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Mestra" sheetId="1" state="visible" r:id="rId1"/>
    <sheet xmlns:r="http://schemas.openxmlformats.org/officeDocument/2006/relationships" name="Revisões" sheetId="2" state="visible" r:id="rId2"/>
    <sheet xmlns:r="http://schemas.openxmlformats.org/officeDocument/2006/relationships" name="Cadastros" sheetId="3" state="visible" r:id="rId3"/>
    <sheet xmlns:r="http://schemas.openxmlformats.org/officeDocument/2006/relationships" name="Config" sheetId="4" state="visible" r:id="rId4"/>
    <sheet xmlns:r="http://schemas.openxmlformats.org/officeDocument/2006/relationships" name="Listas" sheetId="5" state="visible" r:id="rId5"/>
  </sheets>
  <definedNames>
    <definedName name="cad_org_nome">'Cadastros'!$B$7</definedName>
    <definedName name="cad_referencial">'Cadastros'!$B$8</definedName>
    <definedName name="cad_prefixo">'Cadastros'!$B$9</definedName>
    <definedName name="cad_meta_disponibilidade">'Cadastros'!$B$12</definedName>
    <definedName name="cad_pessoa_id">'Cadastros'!$A$16:$A$35</definedName>
    <definedName name="cad_pessoa_nome">'Cadastros'!$B$16:$B$35</definedName>
    <definedName name="cfg_elaborado">'Config'!$C$19</definedName>
    <definedName name="cfg_aprovado">'Config'!$C$20</definedName>
    <definedName name="cfg_revisao">'Config'!$C$21</definedName>
    <definedName name="cfg_data_revisao">'Config'!$C$22</definedName>
    <definedName name="pcmd_origem">'Config'!$C$23</definedName>
    <definedName name="pcmd_emissao">'Config'!$C$24</definedName>
    <definedName name="lst_tipo_documento">'Listas'!$A$4:$A$13</definedName>
    <definedName name="lst_situacao_documento">'Listas'!$C$4:$C$13</definedName>
    <definedName name="lst_sim_nao">'Listas'!$E$4:$E$5</definedName>
    <definedName name="lst_status_requisito">'Listas'!$G$4:$G$5</definedName>
    <definedName name="_xlnm._FilterDatabase" localSheetId="0" hidden="1">'Lista Mestra'!$A$3:$K$53</definedName>
    <definedName name="_xlnm.Print_Titles" localSheetId="0">'Lista Mestra'!$1:$3</definedName>
    <definedName name="_xlnm.Print_Area" localSheetId="0">'Lista Mestra'!$A$1:$K$10</definedName>
    <definedName name="_xlnm._FilterDatabase" localSheetId="1" hidden="1">'Revisões'!$A$3:$E$103</definedName>
    <definedName name="_xlnm.Print_Titles" localSheetId="1">'Revisões'!$1:$3</definedName>
    <definedName name="_xlnm.Print_Area" localSheetId="1">'Revisões'!$A$1:$E$10</definedName>
    <definedName name="_xlnm.Print_Titles" localSheetId="2">'Cadastros'!$1:$2</definedName>
    <definedName name="_xlnm.Print_Area" localSheetId="2">'Cadastros'!$A$1:$G$41</definedName>
    <definedName name="_xlnm.Print_Area" localSheetId="3">'Config'!$A$1:$F$32</definedName>
    <definedName name="_xlnm.Print_Titles" localSheetId="4">'Listas'!$1:$3</definedName>
    <definedName name="_xlnm.Print_Area" localSheetId="4">'Listas'!$A$1:$J$7</definedName>
  </definedNames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13">
    <font>
      <name val="Calibri"/>
      <family val="2"/>
      <color theme="1"/>
      <sz val="11"/>
      <scheme val="minor"/>
    </font>
    <font>
      <name val="Arial Black"/>
      <color rgb="00000000"/>
      <sz val="16"/>
    </font>
    <font>
      <name val="Arial Black"/>
      <color rgb="00000000"/>
      <sz val="11"/>
    </font>
    <font>
      <name val="Arial Narrow"/>
      <b val="1"/>
      <color rgb="0064717D"/>
      <sz val="8"/>
    </font>
    <font>
      <name val="Arial"/>
      <b val="1"/>
      <color rgb="00FFFFFF"/>
      <sz val="9"/>
    </font>
    <font>
      <name val="Arial"/>
      <color rgb="001F2937"/>
      <sz val="9"/>
    </font>
    <font>
      <name val="Arial"/>
      <color rgb="0064717D"/>
      <sz val="9"/>
    </font>
    <font>
      <name val="Arial Black"/>
      <color rgb="00000000"/>
      <sz val="9.5"/>
    </font>
    <font>
      <name val="Arial"/>
      <b val="1"/>
      <color rgb="00FFFFFF"/>
      <sz val="10"/>
    </font>
    <font>
      <name val="Arial"/>
      <b val="1"/>
      <color rgb="000B2A5B"/>
      <sz val="9"/>
    </font>
    <font>
      <name val="Arial"/>
      <color rgb="0064717D"/>
      <sz val="8.5"/>
    </font>
    <font>
      <name val="Arial"/>
      <b val="1"/>
      <color rgb="000B2A5B"/>
      <sz val="9"/>
      <u val="single"/>
    </font>
    <font>
      <name val="Arial"/>
      <color rgb="008C96A0"/>
      <sz val="8"/>
    </font>
  </fonts>
  <fills count="5">
    <fill>
      <patternFill/>
    </fill>
    <fill>
      <patternFill patternType="gray125"/>
    </fill>
    <fill>
      <patternFill patternType="solid">
        <fgColor rgb="000B2A5B"/>
      </patternFill>
    </fill>
    <fill>
      <patternFill patternType="solid">
        <fgColor rgb="00EEF1F5"/>
      </patternFill>
    </fill>
    <fill>
      <patternFill patternType="solid">
        <fgColor rgb="00EAF1FB"/>
      </patternFill>
    </fill>
  </fills>
  <borders count="22">
    <border>
      <left/>
      <right/>
      <top/>
      <bottom/>
      <diagonal/>
    </border>
    <border>
      <left style="thin">
        <color rgb="000B2A5B"/>
      </left>
      <right/>
      <top style="thin">
        <color rgb="000B2A5B"/>
      </top>
      <bottom/>
    </border>
    <border>
      <left/>
      <right style="thin">
        <color rgb="000B2A5B"/>
      </right>
      <top style="thin">
        <color rgb="000B2A5B"/>
      </top>
      <bottom/>
    </border>
    <border>
      <left style="thin">
        <color rgb="000B2A5B"/>
      </left>
      <right/>
      <top/>
      <bottom style="medium">
        <color rgb="000B2A5B"/>
      </bottom>
    </border>
    <border>
      <left/>
      <right style="thin">
        <color rgb="000B2A5B"/>
      </right>
      <top/>
      <bottom style="medium">
        <color rgb="000B2A5B"/>
      </bottom>
    </border>
    <border>
      <left/>
      <right/>
      <top style="thin">
        <color rgb="000B2A5B"/>
      </top>
      <bottom/>
    </border>
    <border>
      <left/>
      <right/>
      <top/>
      <bottom style="medium">
        <color rgb="000B2A5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5DCE8"/>
      </left>
      <right style="thin">
        <color rgb="00D5DCE8"/>
      </right>
      <top style="thin">
        <color rgb="00D5DCE8"/>
      </top>
      <bottom style="thin">
        <color rgb="00D5DCE8"/>
      </bottom>
    </border>
    <border>
      <left style="thin">
        <color rgb="000B2A5B"/>
      </left>
      <right style="thin">
        <color rgb="000B2A5B"/>
      </right>
      <top style="thin">
        <color rgb="000B2A5B"/>
      </top>
      <bottom/>
    </border>
    <border>
      <left style="thin">
        <color rgb="000B2A5B"/>
      </left>
      <right style="thin">
        <color rgb="000B2A5B"/>
      </right>
      <top/>
      <bottom style="medium">
        <color rgb="000B2A5B"/>
      </bottom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/>
      <right/>
      <top style="thin">
        <color rgb="00D5DCE8"/>
      </top>
      <bottom/>
      <diagonal/>
    </border>
    <border>
      <left/>
      <right style="thin">
        <color rgb="00D5DCE8"/>
      </right>
      <top style="thin">
        <color rgb="00D5DCE8"/>
      </top>
      <bottom/>
      <diagonal/>
    </border>
    <border>
      <left/>
      <right/>
      <top style="thin">
        <color rgb="00D5DCE8"/>
      </top>
      <bottom style="thin">
        <color rgb="00D5DCE8"/>
      </bottom>
      <diagonal/>
    </border>
    <border>
      <left/>
      <right style="thin">
        <color rgb="00D5DCE8"/>
      </right>
      <top style="thin">
        <color rgb="00D5DCE8"/>
      </top>
      <bottom style="thin">
        <color rgb="00D5DCE8"/>
      </bottom>
      <diagonal/>
    </border>
    <border>
      <left style="thin">
        <color rgb="00D5DCE8"/>
      </left>
      <right/>
      <top style="thin">
        <color rgb="00D5DCE8"/>
      </top>
      <bottom style="thin">
        <color rgb="00D5DCE8"/>
      </bottom>
    </border>
    <border>
      <left/>
      <right/>
      <top style="thin">
        <color rgb="00D5DCE8"/>
      </top>
      <bottom style="thin">
        <color rgb="00D5DCE8"/>
      </bottom>
    </border>
    <border>
      <left/>
      <right style="thin">
        <color rgb="00D5DCE8"/>
      </right>
      <top style="thin">
        <color rgb="00D5DCE8"/>
      </top>
      <bottom style="thin">
        <color rgb="00D5DCE8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0" borderId="1" applyAlignment="1" pivotButton="0" quotePrefix="0" xfId="0">
      <alignment horizontal="center" vertical="bottom" shrinkToFit="1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3" fillId="0" borderId="3" applyAlignment="1" pivotButton="0" quotePrefix="0" xfId="0">
      <alignment horizontal="center" vertical="top" wrapText="1"/>
    </xf>
    <xf numFmtId="0" fontId="4" fillId="2" borderId="7" applyAlignment="1" pivotButton="0" quotePrefix="0" xfId="0">
      <alignment horizontal="center" vertical="center" wrapText="1"/>
    </xf>
    <xf numFmtId="49" fontId="5" fillId="0" borderId="8" applyAlignment="1" applyProtection="1" pivotButton="0" quotePrefix="0" xfId="0">
      <alignment horizontal="center" vertical="center"/>
      <protection locked="0" hidden="0"/>
    </xf>
    <xf numFmtId="49" fontId="5" fillId="0" borderId="8" applyAlignment="1" applyProtection="1" pivotButton="0" quotePrefix="0" xfId="0">
      <alignment horizontal="left" vertical="center" wrapText="1" indent="1"/>
      <protection locked="0" hidden="0"/>
    </xf>
    <xf numFmtId="49" fontId="5" fillId="0" borderId="8" applyAlignment="1" applyProtection="1" pivotButton="0" quotePrefix="0" xfId="0">
      <alignment horizontal="left" vertical="center" indent="1"/>
      <protection locked="0" hidden="0"/>
    </xf>
    <xf numFmtId="164" fontId="5" fillId="0" borderId="8" applyAlignment="1" applyProtection="1" pivotButton="0" quotePrefix="0" xfId="0">
      <alignment horizontal="center" vertical="center"/>
      <protection locked="0" hidden="0"/>
    </xf>
    <xf numFmtId="0" fontId="6" fillId="0" borderId="8" applyAlignment="1" pivotButton="0" quotePrefix="0" xfId="0">
      <alignment horizontal="left" vertical="center" wrapText="1" indent="1"/>
    </xf>
    <xf numFmtId="0" fontId="7" fillId="0" borderId="9" applyAlignment="1" pivotButton="0" quotePrefix="0" xfId="0">
      <alignment horizontal="center" vertical="bottom" shrinkToFit="1"/>
    </xf>
    <xf numFmtId="0" fontId="3" fillId="0" borderId="10" applyAlignment="1" pivotButton="0" quotePrefix="0" xfId="0">
      <alignment horizontal="center" vertical="top" wrapText="1"/>
    </xf>
    <xf numFmtId="0" fontId="0" fillId="0" borderId="9" pivotButton="0" quotePrefix="0" xfId="0"/>
    <xf numFmtId="0" fontId="2" fillId="0" borderId="9" applyAlignment="1" pivotButton="0" quotePrefix="0" xfId="0">
      <alignment horizontal="center" vertical="bottom" shrinkToFit="1"/>
    </xf>
    <xf numFmtId="0" fontId="0" fillId="0" borderId="10" pivotButton="0" quotePrefix="0" xfId="0"/>
    <xf numFmtId="0" fontId="8" fillId="2" borderId="7" applyAlignment="1" pivotButton="0" quotePrefix="0" xfId="0">
      <alignment horizontal="left" vertical="center" indent="1"/>
    </xf>
    <xf numFmtId="0" fontId="0" fillId="2" borderId="7" pivotButton="0" quotePrefix="0" xfId="0"/>
    <xf numFmtId="0" fontId="0" fillId="0" borderId="13" pivotButton="0" quotePrefix="0" xfId="0"/>
    <xf numFmtId="0" fontId="0" fillId="0" borderId="14" pivotButton="0" quotePrefix="0" xfId="0"/>
    <xf numFmtId="0" fontId="5" fillId="3" borderId="8" applyAlignment="1" pivotButton="0" quotePrefix="0" xfId="0">
      <alignment vertical="center" wrapText="1" indent="1"/>
    </xf>
    <xf numFmtId="49" fontId="9" fillId="4" borderId="8" applyAlignment="1" applyProtection="1" pivotButton="0" quotePrefix="0" xfId="0">
      <alignment vertical="center" wrapText="1" indent="1"/>
      <protection locked="0" hidden="0"/>
    </xf>
    <xf numFmtId="0" fontId="6" fillId="3" borderId="8" applyAlignment="1" pivotButton="0" quotePrefix="0" xfId="0">
      <alignment vertical="center" wrapText="1" indent="1"/>
    </xf>
    <xf numFmtId="0" fontId="10" fillId="0" borderId="8" applyAlignment="1" pivotButton="0" quotePrefix="0" xfId="0">
      <alignment vertical="center" wrapText="1" indent="1"/>
    </xf>
    <xf numFmtId="0" fontId="0" fillId="0" borderId="17" pivotButton="0" quotePrefix="0" xfId="0"/>
    <xf numFmtId="0" fontId="0" fillId="0" borderId="18" pivotButton="0" quotePrefix="0" xfId="0"/>
    <xf numFmtId="165" fontId="9" fillId="4" borderId="8" applyAlignment="1" applyProtection="1" pivotButton="0" quotePrefix="0" xfId="0">
      <alignment vertical="center" wrapText="1" indent="1"/>
      <protection locked="0" hidden="0"/>
    </xf>
    <xf numFmtId="165" fontId="6" fillId="3" borderId="8" applyAlignment="1" pivotButton="0" quotePrefix="0" xfId="0">
      <alignment vertical="center" wrapText="1" indent="1"/>
    </xf>
    <xf numFmtId="0" fontId="6" fillId="0" borderId="8" applyAlignment="1" pivotButton="0" quotePrefix="0" xfId="0">
      <alignment horizontal="left" vertical="center" indent="1"/>
    </xf>
    <xf numFmtId="0" fontId="5" fillId="0" borderId="19" applyAlignment="1" pivotButton="0" quotePrefix="0" xfId="0">
      <alignment vertical="center" wrapText="1" indent="1"/>
    </xf>
    <xf numFmtId="0" fontId="0" fillId="0" borderId="20" pivotButton="0" quotePrefix="0" xfId="0"/>
    <xf numFmtId="0" fontId="0" fillId="0" borderId="21" pivotButton="0" quotePrefix="0" xfId="0"/>
    <xf numFmtId="0" fontId="11" fillId="0" borderId="8" applyAlignment="1" pivotButton="0" quotePrefix="0" xfId="0">
      <alignment vertical="center" indent="1"/>
    </xf>
    <xf numFmtId="0" fontId="0" fillId="0" borderId="7" pivotButton="0" quotePrefix="0" xfId="0"/>
    <xf numFmtId="0" fontId="0" fillId="0" borderId="8" pivotButton="0" quotePrefix="0" xfId="0"/>
    <xf numFmtId="49" fontId="9" fillId="4" borderId="8" applyAlignment="1" applyProtection="1" pivotButton="0" quotePrefix="0" xfId="0">
      <alignment horizontal="left" vertical="center" wrapText="1" indent="1"/>
      <protection locked="0" hidden="0"/>
    </xf>
    <xf numFmtId="0" fontId="6" fillId="3" borderId="8" applyAlignment="1" pivotButton="0" quotePrefix="0" xfId="0">
      <alignment horizontal="left" vertical="center" indent="1"/>
    </xf>
    <xf numFmtId="164" fontId="6" fillId="3" borderId="8" applyAlignment="1" pivotButton="0" quotePrefix="0" xfId="0">
      <alignment horizontal="left" vertical="center" indent="1"/>
    </xf>
    <xf numFmtId="164" fontId="9" fillId="4" borderId="8" applyAlignment="1" applyProtection="1" pivotButton="0" quotePrefix="0" xfId="0">
      <alignment horizontal="left" vertical="center" wrapText="1" indent="1"/>
      <protection locked="0" hidden="0"/>
    </xf>
    <xf numFmtId="0" fontId="5" fillId="0" borderId="8" applyAlignment="1" pivotButton="0" quotePrefix="0" xfId="0">
      <alignment horizontal="left" vertical="center" indent="1"/>
    </xf>
    <xf numFmtId="1" fontId="6" fillId="0" borderId="8" applyAlignment="1" pivotButton="0" quotePrefix="0" xfId="0">
      <alignment horizontal="center" vertical="center"/>
    </xf>
    <xf numFmtId="0" fontId="12" fillId="0" borderId="0" applyAlignment="1" pivotButton="0" quotePrefix="0" xfId="0">
      <alignment vertical="top" wrapText="1"/>
    </xf>
    <xf numFmtId="0" fontId="5" fillId="0" borderId="8" applyAlignment="1" pivotButton="0" quotePrefix="0" xfId="0">
      <alignment horizontal="left" vertical="center" indent="1"/>
    </xf>
  </cellXfs>
  <cellStyles count="1">
    <cellStyle name="Normal" xfId="0" builtinId="0" hidden="0"/>
  </cellStyles>
  <dxfs count="3">
    <dxf>
      <font>
        <b val="1"/>
        <color rgb="007A0019"/>
      </font>
      <fill>
        <patternFill patternType="solid">
          <fgColor rgb="00FBE7EA"/>
        </patternFill>
      </fill>
    </dxf>
    <dxf>
      <font>
        <color rgb="005C4600"/>
      </font>
      <fill>
        <patternFill patternType="solid">
          <fgColor rgb="00FFF4C2"/>
        </patternFill>
      </fill>
    </dxf>
    <dxf>
      <font>
        <strike val="0"/>
        <color rgb="008C96A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0</col>
      <colOff>457200</colOff>
      <row>0</row>
      <rowOff>142875</rowOff>
    </from>
    <ext cx="1908746" cy="552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66675</colOff>
      <row>0</row>
      <rowOff>228600</rowOff>
    </from>
    <ext cx="1283467" cy="3714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66675</colOff>
      <row>0</row>
      <rowOff>238125</rowOff>
    </from>
    <ext cx="1250558" cy="361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66675</colOff>
      <row>0</row>
      <rowOff>142875</rowOff>
    </from>
    <ext cx="1875836" cy="542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66675</colOff>
      <row>0</row>
      <rowOff>161925</rowOff>
    </from>
    <ext cx="1777108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6" customWidth="1" min="3" max="3"/>
    <col width="10" customWidth="1" min="4" max="4"/>
    <col width="14" customWidth="1" min="5" max="5"/>
    <col width="15" customWidth="1" min="6" max="6"/>
    <col width="15" customWidth="1" min="7" max="7"/>
    <col width="14" customWidth="1" min="8" max="8"/>
    <col width="15" customWidth="1" min="9" max="9"/>
    <col width="24" customWidth="1" min="10" max="10"/>
    <col width="20" customWidth="1" min="11" max="11"/>
  </cols>
  <sheetData>
    <row r="1" ht="33" customHeight="1">
      <c r="A1" s="1" t="n"/>
      <c r="B1" s="2" t="n"/>
      <c r="C1" s="3" t="inlineStr">
        <is>
          <t>Lista mestra de documentos</t>
        </is>
      </c>
      <c r="D1" s="4" t="n"/>
      <c r="E1" s="4" t="n"/>
      <c r="F1" s="4" t="n"/>
      <c r="G1" s="4" t="n"/>
      <c r="H1" s="4" t="n"/>
      <c r="I1" s="2" t="n"/>
      <c r="J1" s="5">
        <f>"Rev. "&amp;IF(cfg_revisao="","—",cfg_revisao)&amp;IF(ISNUMBER(cfg_data_revisao),"   ·   "&amp;RIGHT("0"&amp;DAY(cfg_data_revisao),2)&amp;"/"&amp;RIGHT("0"&amp;MONTH(cfg_data_revisao),2)&amp;"/"&amp;YEAR(cfg_data_revisao),"")</f>
        <v/>
      </c>
      <c r="K1" s="2" t="n"/>
    </row>
    <row r="2" ht="33" customHeight="1">
      <c r="A2" s="6" t="n"/>
      <c r="B2" s="7" t="n"/>
      <c r="C2" s="6" t="n"/>
      <c r="D2" s="8" t="n"/>
      <c r="E2" s="8" t="n"/>
      <c r="F2" s="8" t="n"/>
      <c r="G2" s="8" t="n"/>
      <c r="H2" s="8" t="n"/>
      <c r="I2" s="7" t="n"/>
      <c r="J2" s="9">
        <f>"Elaborado: "&amp;IF(cfg_elaborado="","A definir",cfg_elaborado)&amp;CHAR(10)&amp;"Aprovado: "&amp;IF(cfg_aprovado="","A definir",cfg_aprovado)</f>
        <v/>
      </c>
      <c r="K2" s="7" t="n"/>
    </row>
    <row r="3" ht="24" customHeight="1">
      <c r="A3" s="10" t="inlineStr">
        <is>
          <t>Código</t>
        </is>
      </c>
      <c r="B3" s="10" t="inlineStr">
        <is>
          <t>Título</t>
        </is>
      </c>
      <c r="C3" s="10" t="inlineStr">
        <is>
          <t>Tipo</t>
        </is>
      </c>
      <c r="D3" s="10" t="inlineStr">
        <is>
          <t>Revisão</t>
        </is>
      </c>
      <c r="E3" s="10" t="inlineStr">
        <is>
          <t>Data da revisão</t>
        </is>
      </c>
      <c r="F3" s="10" t="inlineStr">
        <is>
          <t>Elaborador</t>
        </is>
      </c>
      <c r="G3" s="10" t="inlineStr">
        <is>
          <t>Aprovador</t>
        </is>
      </c>
      <c r="H3" s="10" t="inlineStr">
        <is>
          <t>Próxima revisão</t>
        </is>
      </c>
      <c r="I3" s="10" t="inlineStr">
        <is>
          <t>Situação</t>
        </is>
      </c>
      <c r="J3" s="10" t="inlineStr">
        <is>
          <t>Conferência</t>
        </is>
      </c>
      <c r="K3" s="10" t="inlineStr">
        <is>
          <t>Observação</t>
        </is>
      </c>
    </row>
    <row r="4">
      <c r="A4" s="11" t="inlineStr">
        <is>
          <t>PCMD-01</t>
        </is>
      </c>
      <c r="B4" s="12" t="inlineStr">
        <is>
          <t>Lista mestra de documentos</t>
        </is>
      </c>
      <c r="C4" s="13" t="inlineStr">
        <is>
          <t>Planilha (XLSX)</t>
        </is>
      </c>
      <c r="D4" s="11" t="inlineStr">
        <is>
          <t>00</t>
        </is>
      </c>
      <c r="E4" s="14" t="n">
        <v>46318</v>
      </c>
      <c r="F4" s="13" t="inlineStr">
        <is>
          <t>Pessoa A</t>
        </is>
      </c>
      <c r="G4" s="13" t="n"/>
      <c r="H4" s="14" t="n">
        <v>46683</v>
      </c>
      <c r="I4" s="13" t="inlineStr">
        <is>
          <t>Em elaboração</t>
        </is>
      </c>
      <c r="J4" s="15">
        <f>IF(A4="","",IF(AND(ISNUMBER(E4),ISNUMBER(H4),H4&lt;E4),"Verificar: próxima revisão anterior à data",IF(AND(G4&lt;&gt;"",I4&lt;&gt;"Aprovado"),"Verificar: aprovador sem situação Aprovado",IF(AND(I4="Aprovado",G4=""),"Verificar: Aprovado sem aprovador","OK"))))</f>
        <v/>
      </c>
      <c r="K4" s="13" t="inlineStr">
        <is>
          <t>Aguardando aprovação</t>
        </is>
      </c>
    </row>
    <row r="5">
      <c r="A5" s="11" t="inlineStr">
        <is>
          <t>PCMD-02</t>
        </is>
      </c>
      <c r="B5" s="12" t="inlineStr">
        <is>
          <t>Ativos e criticidade</t>
        </is>
      </c>
      <c r="C5" s="13" t="inlineStr">
        <is>
          <t>Planilha (XLSX)</t>
        </is>
      </c>
      <c r="D5" s="11" t="inlineStr">
        <is>
          <t>00</t>
        </is>
      </c>
      <c r="E5" s="14" t="n">
        <v>46318</v>
      </c>
      <c r="F5" s="13" t="inlineStr">
        <is>
          <t>Pessoa A</t>
        </is>
      </c>
      <c r="G5" s="13" t="n"/>
      <c r="H5" s="14" t="n">
        <v>46683</v>
      </c>
      <c r="I5" s="13" t="inlineStr">
        <is>
          <t>Em elaboração</t>
        </is>
      </c>
      <c r="J5" s="15">
        <f>IF(A5="","",IF(AND(ISNUMBER(E5),ISNUMBER(H5),H5&lt;E5),"Verificar: próxima revisão anterior à data",IF(AND(G5&lt;&gt;"",I5&lt;&gt;"Aprovado"),"Verificar: aprovador sem situação Aprovado",IF(AND(I5="Aprovado",G5=""),"Verificar: Aprovado sem aprovador","OK"))))</f>
        <v/>
      </c>
      <c r="K5" s="13" t="inlineStr">
        <is>
          <t>Aguardando aprovação</t>
        </is>
      </c>
    </row>
    <row r="6">
      <c r="A6" s="11" t="inlineStr">
        <is>
          <t>PCMD-03</t>
        </is>
      </c>
      <c r="B6" s="12" t="inlineStr">
        <is>
          <t>Plano mestre de manutenção</t>
        </is>
      </c>
      <c r="C6" s="13" t="inlineStr">
        <is>
          <t>Planilha (XLSX)</t>
        </is>
      </c>
      <c r="D6" s="11" t="inlineStr">
        <is>
          <t>00</t>
        </is>
      </c>
      <c r="E6" s="14" t="n">
        <v>46318</v>
      </c>
      <c r="F6" s="13" t="inlineStr">
        <is>
          <t>Pessoa A</t>
        </is>
      </c>
      <c r="G6" s="13" t="n"/>
      <c r="H6" s="14" t="n">
        <v>46683</v>
      </c>
      <c r="I6" s="13" t="inlineStr">
        <is>
          <t>Em elaboração</t>
        </is>
      </c>
      <c r="J6" s="15">
        <f>IF(A6="","",IF(AND(ISNUMBER(E6),ISNUMBER(H6),H6&lt;E6),"Verificar: próxima revisão anterior à data",IF(AND(G6&lt;&gt;"",I6&lt;&gt;"Aprovado"),"Verificar: aprovador sem situação Aprovado",IF(AND(I6="Aprovado",G6=""),"Verificar: Aprovado sem aprovador","OK"))))</f>
        <v/>
      </c>
      <c r="K6" s="13" t="inlineStr">
        <is>
          <t>Aguardando aprovação</t>
        </is>
      </c>
    </row>
    <row r="7">
      <c r="A7" s="11" t="inlineStr">
        <is>
          <t>PCMD-04</t>
        </is>
      </c>
      <c r="B7" s="12" t="inlineStr">
        <is>
          <t>Cronograma e acompanhamento mensal</t>
        </is>
      </c>
      <c r="C7" s="13" t="inlineStr">
        <is>
          <t>Planilha (XLSX)</t>
        </is>
      </c>
      <c r="D7" s="11" t="inlineStr">
        <is>
          <t>00</t>
        </is>
      </c>
      <c r="E7" s="14" t="n">
        <v>46318</v>
      </c>
      <c r="F7" s="13" t="inlineStr">
        <is>
          <t>Pessoa A</t>
        </is>
      </c>
      <c r="G7" s="13" t="n"/>
      <c r="H7" s="14" t="n">
        <v>46683</v>
      </c>
      <c r="I7" s="13" t="inlineStr">
        <is>
          <t>Em elaboração</t>
        </is>
      </c>
      <c r="J7" s="15">
        <f>IF(A7="","",IF(AND(ISNUMBER(E7),ISNUMBER(H7),H7&lt;E7),"Verificar: próxima revisão anterior à data",IF(AND(G7&lt;&gt;"",I7&lt;&gt;"Aprovado"),"Verificar: aprovador sem situação Aprovado",IF(AND(I7="Aprovado",G7=""),"Verificar: Aprovado sem aprovador","OK"))))</f>
        <v/>
      </c>
      <c r="K7" s="13" t="inlineStr">
        <is>
          <t>Aguardando aprovação</t>
        </is>
      </c>
    </row>
    <row r="8">
      <c r="A8" s="11" t="inlineStr">
        <is>
          <t>PCMD-05</t>
        </is>
      </c>
      <c r="B8" s="12" t="inlineStr">
        <is>
          <t>Ficha de falha</t>
        </is>
      </c>
      <c r="C8" s="13" t="inlineStr">
        <is>
          <t>Planilha (XLSX)</t>
        </is>
      </c>
      <c r="D8" s="11" t="inlineStr">
        <is>
          <t>00</t>
        </is>
      </c>
      <c r="E8" s="14" t="n">
        <v>46318</v>
      </c>
      <c r="F8" s="13" t="inlineStr">
        <is>
          <t>Pessoa A</t>
        </is>
      </c>
      <c r="G8" s="13" t="n"/>
      <c r="H8" s="14" t="n">
        <v>46683</v>
      </c>
      <c r="I8" s="13" t="inlineStr">
        <is>
          <t>Em elaboração</t>
        </is>
      </c>
      <c r="J8" s="15">
        <f>IF(A8="","",IF(AND(ISNUMBER(E8),ISNUMBER(H8),H8&lt;E8),"Verificar: próxima revisão anterior à data",IF(AND(G8&lt;&gt;"",I8&lt;&gt;"Aprovado"),"Verificar: aprovador sem situação Aprovado",IF(AND(I8="Aprovado",G8=""),"Verificar: Aprovado sem aprovador","OK"))))</f>
        <v/>
      </c>
      <c r="K8" s="13" t="inlineStr">
        <is>
          <t>Aguardando aprovação</t>
        </is>
      </c>
    </row>
    <row r="9">
      <c r="A9" s="11" t="inlineStr">
        <is>
          <t>PCMD-W1</t>
        </is>
      </c>
      <c r="B9" s="12" t="inlineStr">
        <is>
          <t>Manual de Gestão de Ativos</t>
        </is>
      </c>
      <c r="C9" s="13" t="inlineStr">
        <is>
          <t>Manual (DOCX)</t>
        </is>
      </c>
      <c r="D9" s="11" t="inlineStr">
        <is>
          <t>00</t>
        </is>
      </c>
      <c r="E9" s="14" t="n">
        <v>46318</v>
      </c>
      <c r="F9" s="13" t="inlineStr">
        <is>
          <t>Pessoa A</t>
        </is>
      </c>
      <c r="G9" s="13" t="n"/>
      <c r="H9" s="14" t="n">
        <v>46683</v>
      </c>
      <c r="I9" s="13" t="inlineStr">
        <is>
          <t>Em elaboração</t>
        </is>
      </c>
      <c r="J9" s="15">
        <f>IF(A9="","",IF(AND(ISNUMBER(E9),ISNUMBER(H9),H9&lt;E9),"Verificar: próxima revisão anterior à data",IF(AND(G9&lt;&gt;"",I9&lt;&gt;"Aprovado"),"Verificar: aprovador sem situação Aprovado",IF(AND(I9="Aprovado",G9=""),"Verificar: Aprovado sem aprovador","OK"))))</f>
        <v/>
      </c>
      <c r="K9" s="13" t="inlineStr">
        <is>
          <t>Aguardando aprovação</t>
        </is>
      </c>
    </row>
    <row r="10">
      <c r="A10" s="11" t="inlineStr">
        <is>
          <t>PCMD-W2</t>
        </is>
      </c>
      <c r="B10" s="12" t="inlineStr">
        <is>
          <t>Manual de Estratégia de Manutenção</t>
        </is>
      </c>
      <c r="C10" s="13" t="inlineStr">
        <is>
          <t>Manual (DOCX)</t>
        </is>
      </c>
      <c r="D10" s="11" t="inlineStr">
        <is>
          <t>00</t>
        </is>
      </c>
      <c r="E10" s="14" t="n">
        <v>46318</v>
      </c>
      <c r="F10" s="13" t="inlineStr">
        <is>
          <t>Pessoa A</t>
        </is>
      </c>
      <c r="G10" s="13" t="n"/>
      <c r="H10" s="14" t="n">
        <v>46683</v>
      </c>
      <c r="I10" s="13" t="inlineStr">
        <is>
          <t>Em elaboração</t>
        </is>
      </c>
      <c r="J10" s="15">
        <f>IF(A10="","",IF(AND(ISNUMBER(E10),ISNUMBER(H10),H10&lt;E10),"Verificar: próxima revisão anterior à data",IF(AND(G10&lt;&gt;"",I10&lt;&gt;"Aprovado"),"Verificar: aprovador sem situação Aprovado",IF(AND(I10="Aprovado",G10=""),"Verificar: Aprovado sem aprovador","OK"))))</f>
        <v/>
      </c>
      <c r="K10" s="13" t="inlineStr">
        <is>
          <t>Aguardando aprovação</t>
        </is>
      </c>
    </row>
    <row r="11">
      <c r="A11" s="11" t="n"/>
      <c r="B11" s="12" t="n"/>
      <c r="C11" s="13" t="n"/>
      <c r="D11" s="11" t="n"/>
      <c r="E11" s="14" t="n"/>
      <c r="F11" s="13" t="n"/>
      <c r="G11" s="13" t="n"/>
      <c r="H11" s="14" t="n"/>
      <c r="I11" s="13" t="n"/>
      <c r="J11" s="15">
        <f>IF(A11="","",IF(AND(ISNUMBER(E11),ISNUMBER(H11),H11&lt;E11),"Verificar: próxima revisão anterior à data",IF(AND(G11&lt;&gt;"",I11&lt;&gt;"Aprovado"),"Verificar: aprovador sem situação Aprovado",IF(AND(I11="Aprovado",G11=""),"Verificar: Aprovado sem aprovador","OK"))))</f>
        <v/>
      </c>
      <c r="K11" s="13" t="n"/>
    </row>
    <row r="12">
      <c r="A12" s="11" t="n"/>
      <c r="B12" s="12" t="n"/>
      <c r="C12" s="13" t="n"/>
      <c r="D12" s="11" t="n"/>
      <c r="E12" s="14" t="n"/>
      <c r="F12" s="13" t="n"/>
      <c r="G12" s="13" t="n"/>
      <c r="H12" s="14" t="n"/>
      <c r="I12" s="13" t="n"/>
      <c r="J12" s="15">
        <f>IF(A12="","",IF(AND(ISNUMBER(E12),ISNUMBER(H12),H12&lt;E12),"Verificar: próxima revisão anterior à data",IF(AND(G12&lt;&gt;"",I12&lt;&gt;"Aprovado"),"Verificar: aprovador sem situação Aprovado",IF(AND(I12="Aprovado",G12=""),"Verificar: Aprovado sem aprovador","OK"))))</f>
        <v/>
      </c>
      <c r="K12" s="13" t="n"/>
    </row>
    <row r="13">
      <c r="A13" s="11" t="n"/>
      <c r="B13" s="12" t="n"/>
      <c r="C13" s="13" t="n"/>
      <c r="D13" s="11" t="n"/>
      <c r="E13" s="14" t="n"/>
      <c r="F13" s="13" t="n"/>
      <c r="G13" s="13" t="n"/>
      <c r="H13" s="14" t="n"/>
      <c r="I13" s="13" t="n"/>
      <c r="J13" s="15">
        <f>IF(A13="","",IF(AND(ISNUMBER(E13),ISNUMBER(H13),H13&lt;E13),"Verificar: próxima revisão anterior à data",IF(AND(G13&lt;&gt;"",I13&lt;&gt;"Aprovado"),"Verificar: aprovador sem situação Aprovado",IF(AND(I13="Aprovado",G13=""),"Verificar: Aprovado sem aprovador","OK"))))</f>
        <v/>
      </c>
      <c r="K13" s="13" t="n"/>
    </row>
    <row r="14">
      <c r="A14" s="11" t="n"/>
      <c r="B14" s="12" t="n"/>
      <c r="C14" s="13" t="n"/>
      <c r="D14" s="11" t="n"/>
      <c r="E14" s="14" t="n"/>
      <c r="F14" s="13" t="n"/>
      <c r="G14" s="13" t="n"/>
      <c r="H14" s="14" t="n"/>
      <c r="I14" s="13" t="n"/>
      <c r="J14" s="15">
        <f>IF(A14="","",IF(AND(ISNUMBER(E14),ISNUMBER(H14),H14&lt;E14),"Verificar: próxima revisão anterior à data",IF(AND(G14&lt;&gt;"",I14&lt;&gt;"Aprovado"),"Verificar: aprovador sem situação Aprovado",IF(AND(I14="Aprovado",G14=""),"Verificar: Aprovado sem aprovador","OK"))))</f>
        <v/>
      </c>
      <c r="K14" s="13" t="n"/>
    </row>
    <row r="15">
      <c r="A15" s="11" t="n"/>
      <c r="B15" s="12" t="n"/>
      <c r="C15" s="13" t="n"/>
      <c r="D15" s="11" t="n"/>
      <c r="E15" s="14" t="n"/>
      <c r="F15" s="13" t="n"/>
      <c r="G15" s="13" t="n"/>
      <c r="H15" s="14" t="n"/>
      <c r="I15" s="13" t="n"/>
      <c r="J15" s="15">
        <f>IF(A15="","",IF(AND(ISNUMBER(E15),ISNUMBER(H15),H15&lt;E15),"Verificar: próxima revisão anterior à data",IF(AND(G15&lt;&gt;"",I15&lt;&gt;"Aprovado"),"Verificar: aprovador sem situação Aprovado",IF(AND(I15="Aprovado",G15=""),"Verificar: Aprovado sem aprovador","OK"))))</f>
        <v/>
      </c>
      <c r="K15" s="13" t="n"/>
    </row>
    <row r="16">
      <c r="A16" s="11" t="n"/>
      <c r="B16" s="12" t="n"/>
      <c r="C16" s="13" t="n"/>
      <c r="D16" s="11" t="n"/>
      <c r="E16" s="14" t="n"/>
      <c r="F16" s="13" t="n"/>
      <c r="G16" s="13" t="n"/>
      <c r="H16" s="14" t="n"/>
      <c r="I16" s="13" t="n"/>
      <c r="J16" s="15">
        <f>IF(A16="","",IF(AND(ISNUMBER(E16),ISNUMBER(H16),H16&lt;E16),"Verificar: próxima revisão anterior à data",IF(AND(G16&lt;&gt;"",I16&lt;&gt;"Aprovado"),"Verificar: aprovador sem situação Aprovado",IF(AND(I16="Aprovado",G16=""),"Verificar: Aprovado sem aprovador","OK"))))</f>
        <v/>
      </c>
      <c r="K16" s="13" t="n"/>
    </row>
    <row r="17">
      <c r="A17" s="11" t="n"/>
      <c r="B17" s="12" t="n"/>
      <c r="C17" s="13" t="n"/>
      <c r="D17" s="11" t="n"/>
      <c r="E17" s="14" t="n"/>
      <c r="F17" s="13" t="n"/>
      <c r="G17" s="13" t="n"/>
      <c r="H17" s="14" t="n"/>
      <c r="I17" s="13" t="n"/>
      <c r="J17" s="15">
        <f>IF(A17="","",IF(AND(ISNUMBER(E17),ISNUMBER(H17),H17&lt;E17),"Verificar: próxima revisão anterior à data",IF(AND(G17&lt;&gt;"",I17&lt;&gt;"Aprovado"),"Verificar: aprovador sem situação Aprovado",IF(AND(I17="Aprovado",G17=""),"Verificar: Aprovado sem aprovador","OK"))))</f>
        <v/>
      </c>
      <c r="K17" s="13" t="n"/>
    </row>
    <row r="18">
      <c r="A18" s="11" t="n"/>
      <c r="B18" s="12" t="n"/>
      <c r="C18" s="13" t="n"/>
      <c r="D18" s="11" t="n"/>
      <c r="E18" s="14" t="n"/>
      <c r="F18" s="13" t="n"/>
      <c r="G18" s="13" t="n"/>
      <c r="H18" s="14" t="n"/>
      <c r="I18" s="13" t="n"/>
      <c r="J18" s="15">
        <f>IF(A18="","",IF(AND(ISNUMBER(E18),ISNUMBER(H18),H18&lt;E18),"Verificar: próxima revisão anterior à data",IF(AND(G18&lt;&gt;"",I18&lt;&gt;"Aprovado"),"Verificar: aprovador sem situação Aprovado",IF(AND(I18="Aprovado",G18=""),"Verificar: Aprovado sem aprovador","OK"))))</f>
        <v/>
      </c>
      <c r="K18" s="13" t="n"/>
    </row>
    <row r="19">
      <c r="A19" s="11" t="n"/>
      <c r="B19" s="12" t="n"/>
      <c r="C19" s="13" t="n"/>
      <c r="D19" s="11" t="n"/>
      <c r="E19" s="14" t="n"/>
      <c r="F19" s="13" t="n"/>
      <c r="G19" s="13" t="n"/>
      <c r="H19" s="14" t="n"/>
      <c r="I19" s="13" t="n"/>
      <c r="J19" s="15">
        <f>IF(A19="","",IF(AND(ISNUMBER(E19),ISNUMBER(H19),H19&lt;E19),"Verificar: próxima revisão anterior à data",IF(AND(G19&lt;&gt;"",I19&lt;&gt;"Aprovado"),"Verificar: aprovador sem situação Aprovado",IF(AND(I19="Aprovado",G19=""),"Verificar: Aprovado sem aprovador","OK"))))</f>
        <v/>
      </c>
      <c r="K19" s="13" t="n"/>
    </row>
    <row r="20">
      <c r="A20" s="11" t="n"/>
      <c r="B20" s="12" t="n"/>
      <c r="C20" s="13" t="n"/>
      <c r="D20" s="11" t="n"/>
      <c r="E20" s="14" t="n"/>
      <c r="F20" s="13" t="n"/>
      <c r="G20" s="13" t="n"/>
      <c r="H20" s="14" t="n"/>
      <c r="I20" s="13" t="n"/>
      <c r="J20" s="15">
        <f>IF(A20="","",IF(AND(ISNUMBER(E20),ISNUMBER(H20),H20&lt;E20),"Verificar: próxima revisão anterior à data",IF(AND(G20&lt;&gt;"",I20&lt;&gt;"Aprovado"),"Verificar: aprovador sem situação Aprovado",IF(AND(I20="Aprovado",G20=""),"Verificar: Aprovado sem aprovador","OK"))))</f>
        <v/>
      </c>
      <c r="K20" s="13" t="n"/>
    </row>
    <row r="21">
      <c r="A21" s="11" t="n"/>
      <c r="B21" s="12" t="n"/>
      <c r="C21" s="13" t="n"/>
      <c r="D21" s="11" t="n"/>
      <c r="E21" s="14" t="n"/>
      <c r="F21" s="13" t="n"/>
      <c r="G21" s="13" t="n"/>
      <c r="H21" s="14" t="n"/>
      <c r="I21" s="13" t="n"/>
      <c r="J21" s="15">
        <f>IF(A21="","",IF(AND(ISNUMBER(E21),ISNUMBER(H21),H21&lt;E21),"Verificar: próxima revisão anterior à data",IF(AND(G21&lt;&gt;"",I21&lt;&gt;"Aprovado"),"Verificar: aprovador sem situação Aprovado",IF(AND(I21="Aprovado",G21=""),"Verificar: Aprovado sem aprovador","OK"))))</f>
        <v/>
      </c>
      <c r="K21" s="13" t="n"/>
    </row>
    <row r="22">
      <c r="A22" s="11" t="n"/>
      <c r="B22" s="12" t="n"/>
      <c r="C22" s="13" t="n"/>
      <c r="D22" s="11" t="n"/>
      <c r="E22" s="14" t="n"/>
      <c r="F22" s="13" t="n"/>
      <c r="G22" s="13" t="n"/>
      <c r="H22" s="14" t="n"/>
      <c r="I22" s="13" t="n"/>
      <c r="J22" s="15">
        <f>IF(A22="","",IF(AND(ISNUMBER(E22),ISNUMBER(H22),H22&lt;E22),"Verificar: próxima revisão anterior à data",IF(AND(G22&lt;&gt;"",I22&lt;&gt;"Aprovado"),"Verificar: aprovador sem situação Aprovado",IF(AND(I22="Aprovado",G22=""),"Verificar: Aprovado sem aprovador","OK"))))</f>
        <v/>
      </c>
      <c r="K22" s="13" t="n"/>
    </row>
    <row r="23">
      <c r="A23" s="11" t="n"/>
      <c r="B23" s="12" t="n"/>
      <c r="C23" s="13" t="n"/>
      <c r="D23" s="11" t="n"/>
      <c r="E23" s="14" t="n"/>
      <c r="F23" s="13" t="n"/>
      <c r="G23" s="13" t="n"/>
      <c r="H23" s="14" t="n"/>
      <c r="I23" s="13" t="n"/>
      <c r="J23" s="15">
        <f>IF(A23="","",IF(AND(ISNUMBER(E23),ISNUMBER(H23),H23&lt;E23),"Verificar: próxima revisão anterior à data",IF(AND(G23&lt;&gt;"",I23&lt;&gt;"Aprovado"),"Verificar: aprovador sem situação Aprovado",IF(AND(I23="Aprovado",G23=""),"Verificar: Aprovado sem aprovador","OK"))))</f>
        <v/>
      </c>
      <c r="K23" s="13" t="n"/>
    </row>
    <row r="24">
      <c r="A24" s="11" t="n"/>
      <c r="B24" s="12" t="n"/>
      <c r="C24" s="13" t="n"/>
      <c r="D24" s="11" t="n"/>
      <c r="E24" s="14" t="n"/>
      <c r="F24" s="13" t="n"/>
      <c r="G24" s="13" t="n"/>
      <c r="H24" s="14" t="n"/>
      <c r="I24" s="13" t="n"/>
      <c r="J24" s="15">
        <f>IF(A24="","",IF(AND(ISNUMBER(E24),ISNUMBER(H24),H24&lt;E24),"Verificar: próxima revisão anterior à data",IF(AND(G24&lt;&gt;"",I24&lt;&gt;"Aprovado"),"Verificar: aprovador sem situação Aprovado",IF(AND(I24="Aprovado",G24=""),"Verificar: Aprovado sem aprovador","OK"))))</f>
        <v/>
      </c>
      <c r="K24" s="13" t="n"/>
    </row>
    <row r="25">
      <c r="A25" s="11" t="n"/>
      <c r="B25" s="12" t="n"/>
      <c r="C25" s="13" t="n"/>
      <c r="D25" s="11" t="n"/>
      <c r="E25" s="14" t="n"/>
      <c r="F25" s="13" t="n"/>
      <c r="G25" s="13" t="n"/>
      <c r="H25" s="14" t="n"/>
      <c r="I25" s="13" t="n"/>
      <c r="J25" s="15">
        <f>IF(A25="","",IF(AND(ISNUMBER(E25),ISNUMBER(H25),H25&lt;E25),"Verificar: próxima revisão anterior à data",IF(AND(G25&lt;&gt;"",I25&lt;&gt;"Aprovado"),"Verificar: aprovador sem situação Aprovado",IF(AND(I25="Aprovado",G25=""),"Verificar: Aprovado sem aprovador","OK"))))</f>
        <v/>
      </c>
      <c r="K25" s="13" t="n"/>
    </row>
    <row r="26">
      <c r="A26" s="11" t="n"/>
      <c r="B26" s="12" t="n"/>
      <c r="C26" s="13" t="n"/>
      <c r="D26" s="11" t="n"/>
      <c r="E26" s="14" t="n"/>
      <c r="F26" s="13" t="n"/>
      <c r="G26" s="13" t="n"/>
      <c r="H26" s="14" t="n"/>
      <c r="I26" s="13" t="n"/>
      <c r="J26" s="15">
        <f>IF(A26="","",IF(AND(ISNUMBER(E26),ISNUMBER(H26),H26&lt;E26),"Verificar: próxima revisão anterior à data",IF(AND(G26&lt;&gt;"",I26&lt;&gt;"Aprovado"),"Verificar: aprovador sem situação Aprovado",IF(AND(I26="Aprovado",G26=""),"Verificar: Aprovado sem aprovador","OK"))))</f>
        <v/>
      </c>
      <c r="K26" s="13" t="n"/>
    </row>
    <row r="27">
      <c r="A27" s="11" t="n"/>
      <c r="B27" s="12" t="n"/>
      <c r="C27" s="13" t="n"/>
      <c r="D27" s="11" t="n"/>
      <c r="E27" s="14" t="n"/>
      <c r="F27" s="13" t="n"/>
      <c r="G27" s="13" t="n"/>
      <c r="H27" s="14" t="n"/>
      <c r="I27" s="13" t="n"/>
      <c r="J27" s="15">
        <f>IF(A27="","",IF(AND(ISNUMBER(E27),ISNUMBER(H27),H27&lt;E27),"Verificar: próxima revisão anterior à data",IF(AND(G27&lt;&gt;"",I27&lt;&gt;"Aprovado"),"Verificar: aprovador sem situação Aprovado",IF(AND(I27="Aprovado",G27=""),"Verificar: Aprovado sem aprovador","OK"))))</f>
        <v/>
      </c>
      <c r="K27" s="13" t="n"/>
    </row>
    <row r="28">
      <c r="A28" s="11" t="n"/>
      <c r="B28" s="12" t="n"/>
      <c r="C28" s="13" t="n"/>
      <c r="D28" s="11" t="n"/>
      <c r="E28" s="14" t="n"/>
      <c r="F28" s="13" t="n"/>
      <c r="G28" s="13" t="n"/>
      <c r="H28" s="14" t="n"/>
      <c r="I28" s="13" t="n"/>
      <c r="J28" s="15">
        <f>IF(A28="","",IF(AND(ISNUMBER(E28),ISNUMBER(H28),H28&lt;E28),"Verificar: próxima revisão anterior à data",IF(AND(G28&lt;&gt;"",I28&lt;&gt;"Aprovado"),"Verificar: aprovador sem situação Aprovado",IF(AND(I28="Aprovado",G28=""),"Verificar: Aprovado sem aprovador","OK"))))</f>
        <v/>
      </c>
      <c r="K28" s="13" t="n"/>
    </row>
    <row r="29">
      <c r="A29" s="11" t="n"/>
      <c r="B29" s="12" t="n"/>
      <c r="C29" s="13" t="n"/>
      <c r="D29" s="11" t="n"/>
      <c r="E29" s="14" t="n"/>
      <c r="F29" s="13" t="n"/>
      <c r="G29" s="13" t="n"/>
      <c r="H29" s="14" t="n"/>
      <c r="I29" s="13" t="n"/>
      <c r="J29" s="15">
        <f>IF(A29="","",IF(AND(ISNUMBER(E29),ISNUMBER(H29),H29&lt;E29),"Verificar: próxima revisão anterior à data",IF(AND(G29&lt;&gt;"",I29&lt;&gt;"Aprovado"),"Verificar: aprovador sem situação Aprovado",IF(AND(I29="Aprovado",G29=""),"Verificar: Aprovado sem aprovador","OK"))))</f>
        <v/>
      </c>
      <c r="K29" s="13" t="n"/>
    </row>
    <row r="30">
      <c r="A30" s="11" t="n"/>
      <c r="B30" s="12" t="n"/>
      <c r="C30" s="13" t="n"/>
      <c r="D30" s="11" t="n"/>
      <c r="E30" s="14" t="n"/>
      <c r="F30" s="13" t="n"/>
      <c r="G30" s="13" t="n"/>
      <c r="H30" s="14" t="n"/>
      <c r="I30" s="13" t="n"/>
      <c r="J30" s="15">
        <f>IF(A30="","",IF(AND(ISNUMBER(E30),ISNUMBER(H30),H30&lt;E30),"Verificar: próxima revisão anterior à data",IF(AND(G30&lt;&gt;"",I30&lt;&gt;"Aprovado"),"Verificar: aprovador sem situação Aprovado",IF(AND(I30="Aprovado",G30=""),"Verificar: Aprovado sem aprovador","OK"))))</f>
        <v/>
      </c>
      <c r="K30" s="13" t="n"/>
    </row>
    <row r="31">
      <c r="A31" s="11" t="n"/>
      <c r="B31" s="12" t="n"/>
      <c r="C31" s="13" t="n"/>
      <c r="D31" s="11" t="n"/>
      <c r="E31" s="14" t="n"/>
      <c r="F31" s="13" t="n"/>
      <c r="G31" s="13" t="n"/>
      <c r="H31" s="14" t="n"/>
      <c r="I31" s="13" t="n"/>
      <c r="J31" s="15">
        <f>IF(A31="","",IF(AND(ISNUMBER(E31),ISNUMBER(H31),H31&lt;E31),"Verificar: próxima revisão anterior à data",IF(AND(G31&lt;&gt;"",I31&lt;&gt;"Aprovado"),"Verificar: aprovador sem situação Aprovado",IF(AND(I31="Aprovado",G31=""),"Verificar: Aprovado sem aprovador","OK"))))</f>
        <v/>
      </c>
      <c r="K31" s="13" t="n"/>
    </row>
    <row r="32">
      <c r="A32" s="11" t="n"/>
      <c r="B32" s="12" t="n"/>
      <c r="C32" s="13" t="n"/>
      <c r="D32" s="11" t="n"/>
      <c r="E32" s="14" t="n"/>
      <c r="F32" s="13" t="n"/>
      <c r="G32" s="13" t="n"/>
      <c r="H32" s="14" t="n"/>
      <c r="I32" s="13" t="n"/>
      <c r="J32" s="15">
        <f>IF(A32="","",IF(AND(ISNUMBER(E32),ISNUMBER(H32),H32&lt;E32),"Verificar: próxima revisão anterior à data",IF(AND(G32&lt;&gt;"",I32&lt;&gt;"Aprovado"),"Verificar: aprovador sem situação Aprovado",IF(AND(I32="Aprovado",G32=""),"Verificar: Aprovado sem aprovador","OK"))))</f>
        <v/>
      </c>
      <c r="K32" s="13" t="n"/>
    </row>
    <row r="33">
      <c r="A33" s="11" t="n"/>
      <c r="B33" s="12" t="n"/>
      <c r="C33" s="13" t="n"/>
      <c r="D33" s="11" t="n"/>
      <c r="E33" s="14" t="n"/>
      <c r="F33" s="13" t="n"/>
      <c r="G33" s="13" t="n"/>
      <c r="H33" s="14" t="n"/>
      <c r="I33" s="13" t="n"/>
      <c r="J33" s="15">
        <f>IF(A33="","",IF(AND(ISNUMBER(E33),ISNUMBER(H33),H33&lt;E33),"Verificar: próxima revisão anterior à data",IF(AND(G33&lt;&gt;"",I33&lt;&gt;"Aprovado"),"Verificar: aprovador sem situação Aprovado",IF(AND(I33="Aprovado",G33=""),"Verificar: Aprovado sem aprovador","OK"))))</f>
        <v/>
      </c>
      <c r="K33" s="13" t="n"/>
    </row>
    <row r="34">
      <c r="A34" s="11" t="n"/>
      <c r="B34" s="12" t="n"/>
      <c r="C34" s="13" t="n"/>
      <c r="D34" s="11" t="n"/>
      <c r="E34" s="14" t="n"/>
      <c r="F34" s="13" t="n"/>
      <c r="G34" s="13" t="n"/>
      <c r="H34" s="14" t="n"/>
      <c r="I34" s="13" t="n"/>
      <c r="J34" s="15">
        <f>IF(A34="","",IF(AND(ISNUMBER(E34),ISNUMBER(H34),H34&lt;E34),"Verificar: próxima revisão anterior à data",IF(AND(G34&lt;&gt;"",I34&lt;&gt;"Aprovado"),"Verificar: aprovador sem situação Aprovado",IF(AND(I34="Aprovado",G34=""),"Verificar: Aprovado sem aprovador","OK"))))</f>
        <v/>
      </c>
      <c r="K34" s="13" t="n"/>
    </row>
    <row r="35">
      <c r="A35" s="11" t="n"/>
      <c r="B35" s="12" t="n"/>
      <c r="C35" s="13" t="n"/>
      <c r="D35" s="11" t="n"/>
      <c r="E35" s="14" t="n"/>
      <c r="F35" s="13" t="n"/>
      <c r="G35" s="13" t="n"/>
      <c r="H35" s="14" t="n"/>
      <c r="I35" s="13" t="n"/>
      <c r="J35" s="15">
        <f>IF(A35="","",IF(AND(ISNUMBER(E35),ISNUMBER(H35),H35&lt;E35),"Verificar: próxima revisão anterior à data",IF(AND(G35&lt;&gt;"",I35&lt;&gt;"Aprovado"),"Verificar: aprovador sem situação Aprovado",IF(AND(I35="Aprovado",G35=""),"Verificar: Aprovado sem aprovador","OK"))))</f>
        <v/>
      </c>
      <c r="K35" s="13" t="n"/>
    </row>
    <row r="36">
      <c r="A36" s="11" t="n"/>
      <c r="B36" s="12" t="n"/>
      <c r="C36" s="13" t="n"/>
      <c r="D36" s="11" t="n"/>
      <c r="E36" s="14" t="n"/>
      <c r="F36" s="13" t="n"/>
      <c r="G36" s="13" t="n"/>
      <c r="H36" s="14" t="n"/>
      <c r="I36" s="13" t="n"/>
      <c r="J36" s="15">
        <f>IF(A36="","",IF(AND(ISNUMBER(E36),ISNUMBER(H36),H36&lt;E36),"Verificar: próxima revisão anterior à data",IF(AND(G36&lt;&gt;"",I36&lt;&gt;"Aprovado"),"Verificar: aprovador sem situação Aprovado",IF(AND(I36="Aprovado",G36=""),"Verificar: Aprovado sem aprovador","OK"))))</f>
        <v/>
      </c>
      <c r="K36" s="13" t="n"/>
    </row>
    <row r="37">
      <c r="A37" s="11" t="n"/>
      <c r="B37" s="12" t="n"/>
      <c r="C37" s="13" t="n"/>
      <c r="D37" s="11" t="n"/>
      <c r="E37" s="14" t="n"/>
      <c r="F37" s="13" t="n"/>
      <c r="G37" s="13" t="n"/>
      <c r="H37" s="14" t="n"/>
      <c r="I37" s="13" t="n"/>
      <c r="J37" s="15">
        <f>IF(A37="","",IF(AND(ISNUMBER(E37),ISNUMBER(H37),H37&lt;E37),"Verificar: próxima revisão anterior à data",IF(AND(G37&lt;&gt;"",I37&lt;&gt;"Aprovado"),"Verificar: aprovador sem situação Aprovado",IF(AND(I37="Aprovado",G37=""),"Verificar: Aprovado sem aprovador","OK"))))</f>
        <v/>
      </c>
      <c r="K37" s="13" t="n"/>
    </row>
    <row r="38">
      <c r="A38" s="11" t="n"/>
      <c r="B38" s="12" t="n"/>
      <c r="C38" s="13" t="n"/>
      <c r="D38" s="11" t="n"/>
      <c r="E38" s="14" t="n"/>
      <c r="F38" s="13" t="n"/>
      <c r="G38" s="13" t="n"/>
      <c r="H38" s="14" t="n"/>
      <c r="I38" s="13" t="n"/>
      <c r="J38" s="15">
        <f>IF(A38="","",IF(AND(ISNUMBER(E38),ISNUMBER(H38),H38&lt;E38),"Verificar: próxima revisão anterior à data",IF(AND(G38&lt;&gt;"",I38&lt;&gt;"Aprovado"),"Verificar: aprovador sem situação Aprovado",IF(AND(I38="Aprovado",G38=""),"Verificar: Aprovado sem aprovador","OK"))))</f>
        <v/>
      </c>
      <c r="K38" s="13" t="n"/>
    </row>
    <row r="39">
      <c r="A39" s="11" t="n"/>
      <c r="B39" s="12" t="n"/>
      <c r="C39" s="13" t="n"/>
      <c r="D39" s="11" t="n"/>
      <c r="E39" s="14" t="n"/>
      <c r="F39" s="13" t="n"/>
      <c r="G39" s="13" t="n"/>
      <c r="H39" s="14" t="n"/>
      <c r="I39" s="13" t="n"/>
      <c r="J39" s="15">
        <f>IF(A39="","",IF(AND(ISNUMBER(E39),ISNUMBER(H39),H39&lt;E39),"Verificar: próxima revisão anterior à data",IF(AND(G39&lt;&gt;"",I39&lt;&gt;"Aprovado"),"Verificar: aprovador sem situação Aprovado",IF(AND(I39="Aprovado",G39=""),"Verificar: Aprovado sem aprovador","OK"))))</f>
        <v/>
      </c>
      <c r="K39" s="13" t="n"/>
    </row>
    <row r="40">
      <c r="A40" s="11" t="n"/>
      <c r="B40" s="12" t="n"/>
      <c r="C40" s="13" t="n"/>
      <c r="D40" s="11" t="n"/>
      <c r="E40" s="14" t="n"/>
      <c r="F40" s="13" t="n"/>
      <c r="G40" s="13" t="n"/>
      <c r="H40" s="14" t="n"/>
      <c r="I40" s="13" t="n"/>
      <c r="J40" s="15">
        <f>IF(A40="","",IF(AND(ISNUMBER(E40),ISNUMBER(H40),H40&lt;E40),"Verificar: próxima revisão anterior à data",IF(AND(G40&lt;&gt;"",I40&lt;&gt;"Aprovado"),"Verificar: aprovador sem situação Aprovado",IF(AND(I40="Aprovado",G40=""),"Verificar: Aprovado sem aprovador","OK"))))</f>
        <v/>
      </c>
      <c r="K40" s="13" t="n"/>
    </row>
    <row r="41">
      <c r="A41" s="11" t="n"/>
      <c r="B41" s="12" t="n"/>
      <c r="C41" s="13" t="n"/>
      <c r="D41" s="11" t="n"/>
      <c r="E41" s="14" t="n"/>
      <c r="F41" s="13" t="n"/>
      <c r="G41" s="13" t="n"/>
      <c r="H41" s="14" t="n"/>
      <c r="I41" s="13" t="n"/>
      <c r="J41" s="15">
        <f>IF(A41="","",IF(AND(ISNUMBER(E41),ISNUMBER(H41),H41&lt;E41),"Verificar: próxima revisão anterior à data",IF(AND(G41&lt;&gt;"",I41&lt;&gt;"Aprovado"),"Verificar: aprovador sem situação Aprovado",IF(AND(I41="Aprovado",G41=""),"Verificar: Aprovado sem aprovador","OK"))))</f>
        <v/>
      </c>
      <c r="K41" s="13" t="n"/>
    </row>
    <row r="42">
      <c r="A42" s="11" t="n"/>
      <c r="B42" s="12" t="n"/>
      <c r="C42" s="13" t="n"/>
      <c r="D42" s="11" t="n"/>
      <c r="E42" s="14" t="n"/>
      <c r="F42" s="13" t="n"/>
      <c r="G42" s="13" t="n"/>
      <c r="H42" s="14" t="n"/>
      <c r="I42" s="13" t="n"/>
      <c r="J42" s="15">
        <f>IF(A42="","",IF(AND(ISNUMBER(E42),ISNUMBER(H42),H42&lt;E42),"Verificar: próxima revisão anterior à data",IF(AND(G42&lt;&gt;"",I42&lt;&gt;"Aprovado"),"Verificar: aprovador sem situação Aprovado",IF(AND(I42="Aprovado",G42=""),"Verificar: Aprovado sem aprovador","OK"))))</f>
        <v/>
      </c>
      <c r="K42" s="13" t="n"/>
    </row>
    <row r="43">
      <c r="A43" s="11" t="n"/>
      <c r="B43" s="12" t="n"/>
      <c r="C43" s="13" t="n"/>
      <c r="D43" s="11" t="n"/>
      <c r="E43" s="14" t="n"/>
      <c r="F43" s="13" t="n"/>
      <c r="G43" s="13" t="n"/>
      <c r="H43" s="14" t="n"/>
      <c r="I43" s="13" t="n"/>
      <c r="J43" s="15">
        <f>IF(A43="","",IF(AND(ISNUMBER(E43),ISNUMBER(H43),H43&lt;E43),"Verificar: próxima revisão anterior à data",IF(AND(G43&lt;&gt;"",I43&lt;&gt;"Aprovado"),"Verificar: aprovador sem situação Aprovado",IF(AND(I43="Aprovado",G43=""),"Verificar: Aprovado sem aprovador","OK"))))</f>
        <v/>
      </c>
      <c r="K43" s="13" t="n"/>
    </row>
    <row r="44">
      <c r="A44" s="11" t="n"/>
      <c r="B44" s="12" t="n"/>
      <c r="C44" s="13" t="n"/>
      <c r="D44" s="11" t="n"/>
      <c r="E44" s="14" t="n"/>
      <c r="F44" s="13" t="n"/>
      <c r="G44" s="13" t="n"/>
      <c r="H44" s="14" t="n"/>
      <c r="I44" s="13" t="n"/>
      <c r="J44" s="15">
        <f>IF(A44="","",IF(AND(ISNUMBER(E44),ISNUMBER(H44),H44&lt;E44),"Verificar: próxima revisão anterior à data",IF(AND(G44&lt;&gt;"",I44&lt;&gt;"Aprovado"),"Verificar: aprovador sem situação Aprovado",IF(AND(I44="Aprovado",G44=""),"Verificar: Aprovado sem aprovador","OK"))))</f>
        <v/>
      </c>
      <c r="K44" s="13" t="n"/>
    </row>
    <row r="45">
      <c r="A45" s="11" t="n"/>
      <c r="B45" s="12" t="n"/>
      <c r="C45" s="13" t="n"/>
      <c r="D45" s="11" t="n"/>
      <c r="E45" s="14" t="n"/>
      <c r="F45" s="13" t="n"/>
      <c r="G45" s="13" t="n"/>
      <c r="H45" s="14" t="n"/>
      <c r="I45" s="13" t="n"/>
      <c r="J45" s="15">
        <f>IF(A45="","",IF(AND(ISNUMBER(E45),ISNUMBER(H45),H45&lt;E45),"Verificar: próxima revisão anterior à data",IF(AND(G45&lt;&gt;"",I45&lt;&gt;"Aprovado"),"Verificar: aprovador sem situação Aprovado",IF(AND(I45="Aprovado",G45=""),"Verificar: Aprovado sem aprovador","OK"))))</f>
        <v/>
      </c>
      <c r="K45" s="13" t="n"/>
    </row>
    <row r="46">
      <c r="A46" s="11" t="n"/>
      <c r="B46" s="12" t="n"/>
      <c r="C46" s="13" t="n"/>
      <c r="D46" s="11" t="n"/>
      <c r="E46" s="14" t="n"/>
      <c r="F46" s="13" t="n"/>
      <c r="G46" s="13" t="n"/>
      <c r="H46" s="14" t="n"/>
      <c r="I46" s="13" t="n"/>
      <c r="J46" s="15">
        <f>IF(A46="","",IF(AND(ISNUMBER(E46),ISNUMBER(H46),H46&lt;E46),"Verificar: próxima revisão anterior à data",IF(AND(G46&lt;&gt;"",I46&lt;&gt;"Aprovado"),"Verificar: aprovador sem situação Aprovado",IF(AND(I46="Aprovado",G46=""),"Verificar: Aprovado sem aprovador","OK"))))</f>
        <v/>
      </c>
      <c r="K46" s="13" t="n"/>
    </row>
    <row r="47">
      <c r="A47" s="11" t="n"/>
      <c r="B47" s="12" t="n"/>
      <c r="C47" s="13" t="n"/>
      <c r="D47" s="11" t="n"/>
      <c r="E47" s="14" t="n"/>
      <c r="F47" s="13" t="n"/>
      <c r="G47" s="13" t="n"/>
      <c r="H47" s="14" t="n"/>
      <c r="I47" s="13" t="n"/>
      <c r="J47" s="15">
        <f>IF(A47="","",IF(AND(ISNUMBER(E47),ISNUMBER(H47),H47&lt;E47),"Verificar: próxima revisão anterior à data",IF(AND(G47&lt;&gt;"",I47&lt;&gt;"Aprovado"),"Verificar: aprovador sem situação Aprovado",IF(AND(I47="Aprovado",G47=""),"Verificar: Aprovado sem aprovador","OK"))))</f>
        <v/>
      </c>
      <c r="K47" s="13" t="n"/>
    </row>
    <row r="48">
      <c r="A48" s="11" t="n"/>
      <c r="B48" s="12" t="n"/>
      <c r="C48" s="13" t="n"/>
      <c r="D48" s="11" t="n"/>
      <c r="E48" s="14" t="n"/>
      <c r="F48" s="13" t="n"/>
      <c r="G48" s="13" t="n"/>
      <c r="H48" s="14" t="n"/>
      <c r="I48" s="13" t="n"/>
      <c r="J48" s="15">
        <f>IF(A48="","",IF(AND(ISNUMBER(E48),ISNUMBER(H48),H48&lt;E48),"Verificar: próxima revisão anterior à data",IF(AND(G48&lt;&gt;"",I48&lt;&gt;"Aprovado"),"Verificar: aprovador sem situação Aprovado",IF(AND(I48="Aprovado",G48=""),"Verificar: Aprovado sem aprovador","OK"))))</f>
        <v/>
      </c>
      <c r="K48" s="13" t="n"/>
    </row>
    <row r="49">
      <c r="A49" s="11" t="n"/>
      <c r="B49" s="12" t="n"/>
      <c r="C49" s="13" t="n"/>
      <c r="D49" s="11" t="n"/>
      <c r="E49" s="14" t="n"/>
      <c r="F49" s="13" t="n"/>
      <c r="G49" s="13" t="n"/>
      <c r="H49" s="14" t="n"/>
      <c r="I49" s="13" t="n"/>
      <c r="J49" s="15">
        <f>IF(A49="","",IF(AND(ISNUMBER(E49),ISNUMBER(H49),H49&lt;E49),"Verificar: próxima revisão anterior à data",IF(AND(G49&lt;&gt;"",I49&lt;&gt;"Aprovado"),"Verificar: aprovador sem situação Aprovado",IF(AND(I49="Aprovado",G49=""),"Verificar: Aprovado sem aprovador","OK"))))</f>
        <v/>
      </c>
      <c r="K49" s="13" t="n"/>
    </row>
    <row r="50">
      <c r="A50" s="11" t="n"/>
      <c r="B50" s="12" t="n"/>
      <c r="C50" s="13" t="n"/>
      <c r="D50" s="11" t="n"/>
      <c r="E50" s="14" t="n"/>
      <c r="F50" s="13" t="n"/>
      <c r="G50" s="13" t="n"/>
      <c r="H50" s="14" t="n"/>
      <c r="I50" s="13" t="n"/>
      <c r="J50" s="15">
        <f>IF(A50="","",IF(AND(ISNUMBER(E50),ISNUMBER(H50),H50&lt;E50),"Verificar: próxima revisão anterior à data",IF(AND(G50&lt;&gt;"",I50&lt;&gt;"Aprovado"),"Verificar: aprovador sem situação Aprovado",IF(AND(I50="Aprovado",G50=""),"Verificar: Aprovado sem aprovador","OK"))))</f>
        <v/>
      </c>
      <c r="K50" s="13" t="n"/>
    </row>
    <row r="51">
      <c r="A51" s="11" t="n"/>
      <c r="B51" s="12" t="n"/>
      <c r="C51" s="13" t="n"/>
      <c r="D51" s="11" t="n"/>
      <c r="E51" s="14" t="n"/>
      <c r="F51" s="13" t="n"/>
      <c r="G51" s="13" t="n"/>
      <c r="H51" s="14" t="n"/>
      <c r="I51" s="13" t="n"/>
      <c r="J51" s="15">
        <f>IF(A51="","",IF(AND(ISNUMBER(E51),ISNUMBER(H51),H51&lt;E51),"Verificar: próxima revisão anterior à data",IF(AND(G51&lt;&gt;"",I51&lt;&gt;"Aprovado"),"Verificar: aprovador sem situação Aprovado",IF(AND(I51="Aprovado",G51=""),"Verificar: Aprovado sem aprovador","OK"))))</f>
        <v/>
      </c>
      <c r="K51" s="13" t="n"/>
    </row>
    <row r="52">
      <c r="A52" s="11" t="n"/>
      <c r="B52" s="12" t="n"/>
      <c r="C52" s="13" t="n"/>
      <c r="D52" s="11" t="n"/>
      <c r="E52" s="14" t="n"/>
      <c r="F52" s="13" t="n"/>
      <c r="G52" s="13" t="n"/>
      <c r="H52" s="14" t="n"/>
      <c r="I52" s="13" t="n"/>
      <c r="J52" s="15">
        <f>IF(A52="","",IF(AND(ISNUMBER(E52),ISNUMBER(H52),H52&lt;E52),"Verificar: próxima revisão anterior à data",IF(AND(G52&lt;&gt;"",I52&lt;&gt;"Aprovado"),"Verificar: aprovador sem situação Aprovado",IF(AND(I52="Aprovado",G52=""),"Verificar: Aprovado sem aprovador","OK"))))</f>
        <v/>
      </c>
      <c r="K52" s="13" t="n"/>
    </row>
    <row r="53">
      <c r="A53" s="11" t="n"/>
      <c r="B53" s="12" t="n"/>
      <c r="C53" s="13" t="n"/>
      <c r="D53" s="11" t="n"/>
      <c r="E53" s="14" t="n"/>
      <c r="F53" s="13" t="n"/>
      <c r="G53" s="13" t="n"/>
      <c r="H53" s="14" t="n"/>
      <c r="I53" s="13" t="n"/>
      <c r="J53" s="15">
        <f>IF(A53="","",IF(AND(ISNUMBER(E53),ISNUMBER(H53),H53&lt;E53),"Verificar: próxima revisão anterior à data",IF(AND(G53&lt;&gt;"",I53&lt;&gt;"Aprovado"),"Verificar: aprovador sem situação Aprovado",IF(AND(I53="Aprovado",G53=""),"Verificar: Aprovado sem aprovador","OK"))))</f>
        <v/>
      </c>
      <c r="K53" s="13" t="n"/>
    </row>
  </sheetData>
  <autoFilter ref="A3:K53"/>
  <mergeCells count="4">
    <mergeCell ref="A1:B2"/>
    <mergeCell ref="J1:K1"/>
    <mergeCell ref="C1:I2"/>
    <mergeCell ref="J2:K2"/>
  </mergeCells>
  <conditionalFormatting sqref="J4:J53">
    <cfRule type="expression" priority="1" dxfId="0" stopIfTrue="1">
      <formula>OR(LEFT(J4,4)="ERRO",LEFT(J4,7)="ATENÇÃO")</formula>
    </cfRule>
    <cfRule type="expression" priority="2" dxfId="1" stopIfTrue="1">
      <formula>OR(LEFT(J4,8)="Pendente",LEFT(J4,9)="Verificar",LEFT(J4,9)="Duplicada",LEFT(J4,7)="Tarefa ",LEFT(J4,13)="Fora do plano",LEFT(J4,8)="Previsão",LEFT(J4,11)="Sem vínculo",LEFT(J4,14)="Não verificado",LEFT(J4,7)="Informe")</formula>
    </cfRule>
  </conditionalFormatting>
  <dataValidations count="4">
    <dataValidation sqref="C4:C53" showDropDown="0" showInputMessage="1" showErrorMessage="1" allowBlank="1" errorTitle="Valor não aceito" error="Escolha um tipo da aba Listas." promptTitle="Tipo" prompt="Tipo do documento." type="list">
      <formula1>=lst_tipo_documento</formula1>
    </dataValidation>
    <dataValidation sqref="E4:E53" showDropDown="0" showInputMessage="1" showErrorMessage="1" allowBlank="1" errorTitle="Valor não aceito" error="Informe uma data válida (dd/mm/aaaa)." promptTitle="Data da revisão" prompt="Data real do Excel, exibida em dd/mm/aaaa." type="date" operator="between">
      <formula1>1</formula1>
      <formula2>2958465</formula2>
    </dataValidation>
    <dataValidation sqref="H4:H53" showDropDown="0" showInputMessage="1" showErrorMessage="1" allowBlank="1" errorTitle="Valor não aceito" error="Informe uma data válida (dd/mm/aaaa)." promptTitle="Próxima revisão" prompt="Data real do Excel, exibida em dd/mm/aaaa." type="date" operator="between">
      <formula1>1</formula1>
      <formula2>2958465</formula2>
    </dataValidation>
    <dataValidation sqref="I4:I53" showDropDown="0" showInputMessage="1" showErrorMessage="1" allowBlank="1" errorTitle="Valor não aceito" error="Escolha uma situação da aba Listas." promptTitle="Situação" prompt="Situação do documento." type="list">
      <formula1>=lst_situacao_documento</formula1>
    </dataValidation>
  </dataValidations>
  <pageMargins left="0.45" right="0.45" top="0.75" bottom="0.85" header="0.3" footer="0.3"/>
  <pageSetup orientation="landscape" paperSize="9" fitToHeight="0" fitToWidth="1" pageOrder="overThenDown"/>
  <headerFooter>
    <oddHeader>&amp;L&amp;"Arial Narrow,Regular"&amp;7 &amp;K64717D&amp;F  ·  &amp;A&amp;C&amp;"Arial Narrow,Regular"&amp;7 &amp;K64717DPCM Direto  ·  PCMD-01&amp;R&amp;"Arial Narrow,Regular"&amp;7 &amp;K64717DImpresso em &amp;D  ·  Pág. &amp;P de &amp;N</oddHeader>
    <oddFooter>&amp;L&amp;7 &amp;K64717DO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2" customWidth="1" min="3" max="3"/>
    <col width="40" customWidth="1" min="4" max="4"/>
    <col width="22" customWidth="1" min="5" max="5"/>
  </cols>
  <sheetData>
    <row r="1" ht="33" customHeight="1">
      <c r="A1" s="1" t="n"/>
      <c r="B1" s="2" t="n"/>
      <c r="C1" s="3" t="inlineStr">
        <is>
          <t>Histórico de revisões</t>
        </is>
      </c>
      <c r="D1" s="2" t="n"/>
      <c r="E1" s="16">
        <f>"Rev. "&amp;IF(cfg_revisao="","—",cfg_revisao)&amp;IF(ISNUMBER(cfg_data_revisao),"   ·   "&amp;RIGHT("0"&amp;DAY(cfg_data_revisao),2)&amp;"/"&amp;RIGHT("0"&amp;MONTH(cfg_data_revisao),2)&amp;"/"&amp;YEAR(cfg_data_revisao),"")</f>
        <v/>
      </c>
    </row>
    <row r="2" ht="33" customHeight="1">
      <c r="A2" s="6" t="n"/>
      <c r="B2" s="7" t="n"/>
      <c r="C2" s="6" t="n"/>
      <c r="D2" s="7" t="n"/>
      <c r="E2" s="17">
        <f>"Elaborado: "&amp;IF(cfg_elaborado="","A definir",cfg_elaborado)&amp;CHAR(10)&amp;"Aprovado: "&amp;IF(cfg_aprovado="","A definir",cfg_aprovado)</f>
        <v/>
      </c>
    </row>
    <row r="3" ht="24" customHeight="1">
      <c r="A3" s="10" t="inlineStr">
        <is>
          <t>Documento</t>
        </is>
      </c>
      <c r="B3" s="10" t="inlineStr">
        <is>
          <t>Revisão</t>
        </is>
      </c>
      <c r="C3" s="10" t="inlineStr">
        <is>
          <t>Data</t>
        </is>
      </c>
      <c r="D3" s="10" t="inlineStr">
        <is>
          <t>Descrição da mudança</t>
        </is>
      </c>
      <c r="E3" s="10" t="inlineStr">
        <is>
          <t>Responsável</t>
        </is>
      </c>
    </row>
    <row r="4">
      <c r="A4" s="13" t="inlineStr">
        <is>
          <t>PCMD-01</t>
        </is>
      </c>
      <c r="B4" s="11" t="inlineStr">
        <is>
          <t>00</t>
        </is>
      </c>
      <c r="C4" s="14" t="n">
        <v>46318</v>
      </c>
      <c r="D4" s="12" t="inlineStr">
        <is>
          <t>Emissão inicial (exemplo fictício)</t>
        </is>
      </c>
      <c r="E4" s="12" t="inlineStr">
        <is>
          <t>Pessoa A</t>
        </is>
      </c>
    </row>
    <row r="5">
      <c r="A5" s="13" t="inlineStr">
        <is>
          <t>PCMD-02</t>
        </is>
      </c>
      <c r="B5" s="11" t="inlineStr">
        <is>
          <t>00</t>
        </is>
      </c>
      <c r="C5" s="14" t="n">
        <v>46318</v>
      </c>
      <c r="D5" s="12" t="inlineStr">
        <is>
          <t>Emissão inicial (exemplo fictício)</t>
        </is>
      </c>
      <c r="E5" s="12" t="inlineStr">
        <is>
          <t>Pessoa A</t>
        </is>
      </c>
    </row>
    <row r="6">
      <c r="A6" s="13" t="inlineStr">
        <is>
          <t>PCMD-03</t>
        </is>
      </c>
      <c r="B6" s="11" t="inlineStr">
        <is>
          <t>00</t>
        </is>
      </c>
      <c r="C6" s="14" t="n">
        <v>46318</v>
      </c>
      <c r="D6" s="12" t="inlineStr">
        <is>
          <t>Emissão inicial (exemplo fictício)</t>
        </is>
      </c>
      <c r="E6" s="12" t="inlineStr">
        <is>
          <t>Pessoa A</t>
        </is>
      </c>
    </row>
    <row r="7">
      <c r="A7" s="13" t="inlineStr">
        <is>
          <t>PCMD-04</t>
        </is>
      </c>
      <c r="B7" s="11" t="inlineStr">
        <is>
          <t>00</t>
        </is>
      </c>
      <c r="C7" s="14" t="n">
        <v>46318</v>
      </c>
      <c r="D7" s="12" t="inlineStr">
        <is>
          <t>Emissão inicial (exemplo fictício)</t>
        </is>
      </c>
      <c r="E7" s="12" t="inlineStr">
        <is>
          <t>Pessoa A</t>
        </is>
      </c>
    </row>
    <row r="8">
      <c r="A8" s="13" t="inlineStr">
        <is>
          <t>PCMD-05</t>
        </is>
      </c>
      <c r="B8" s="11" t="inlineStr">
        <is>
          <t>00</t>
        </is>
      </c>
      <c r="C8" s="14" t="n">
        <v>46318</v>
      </c>
      <c r="D8" s="12" t="inlineStr">
        <is>
          <t>Emissão inicial (exemplo fictício)</t>
        </is>
      </c>
      <c r="E8" s="12" t="inlineStr">
        <is>
          <t>Pessoa A</t>
        </is>
      </c>
    </row>
    <row r="9">
      <c r="A9" s="13" t="inlineStr">
        <is>
          <t>PCMD-W1</t>
        </is>
      </c>
      <c r="B9" s="11" t="inlineStr">
        <is>
          <t>00</t>
        </is>
      </c>
      <c r="C9" s="14" t="n">
        <v>46318</v>
      </c>
      <c r="D9" s="12" t="inlineStr">
        <is>
          <t>Emissão inicial (exemplo fictício)</t>
        </is>
      </c>
      <c r="E9" s="12" t="inlineStr">
        <is>
          <t>Pessoa A</t>
        </is>
      </c>
    </row>
    <row r="10">
      <c r="A10" s="13" t="inlineStr">
        <is>
          <t>PCMD-W2</t>
        </is>
      </c>
      <c r="B10" s="11" t="inlineStr">
        <is>
          <t>00</t>
        </is>
      </c>
      <c r="C10" s="14" t="n">
        <v>46318</v>
      </c>
      <c r="D10" s="12" t="inlineStr">
        <is>
          <t>Emissão inicial (exemplo fictício)</t>
        </is>
      </c>
      <c r="E10" s="12" t="inlineStr">
        <is>
          <t>Pessoa A</t>
        </is>
      </c>
    </row>
    <row r="11">
      <c r="A11" s="13" t="n"/>
      <c r="B11" s="11" t="n"/>
      <c r="C11" s="14" t="n"/>
      <c r="D11" s="12" t="n"/>
      <c r="E11" s="12" t="n"/>
    </row>
    <row r="12">
      <c r="A12" s="13" t="n"/>
      <c r="B12" s="11" t="n"/>
      <c r="C12" s="14" t="n"/>
      <c r="D12" s="12" t="n"/>
      <c r="E12" s="12" t="n"/>
    </row>
    <row r="13">
      <c r="A13" s="13" t="n"/>
      <c r="B13" s="11" t="n"/>
      <c r="C13" s="14" t="n"/>
      <c r="D13" s="12" t="n"/>
      <c r="E13" s="12" t="n"/>
    </row>
    <row r="14">
      <c r="A14" s="13" t="n"/>
      <c r="B14" s="11" t="n"/>
      <c r="C14" s="14" t="n"/>
      <c r="D14" s="12" t="n"/>
      <c r="E14" s="12" t="n"/>
    </row>
    <row r="15">
      <c r="A15" s="13" t="n"/>
      <c r="B15" s="11" t="n"/>
      <c r="C15" s="14" t="n"/>
      <c r="D15" s="12" t="n"/>
      <c r="E15" s="12" t="n"/>
    </row>
    <row r="16">
      <c r="A16" s="13" t="n"/>
      <c r="B16" s="11" t="n"/>
      <c r="C16" s="14" t="n"/>
      <c r="D16" s="12" t="n"/>
      <c r="E16" s="12" t="n"/>
    </row>
    <row r="17">
      <c r="A17" s="13" t="n"/>
      <c r="B17" s="11" t="n"/>
      <c r="C17" s="14" t="n"/>
      <c r="D17" s="12" t="n"/>
      <c r="E17" s="12" t="n"/>
    </row>
    <row r="18">
      <c r="A18" s="13" t="n"/>
      <c r="B18" s="11" t="n"/>
      <c r="C18" s="14" t="n"/>
      <c r="D18" s="12" t="n"/>
      <c r="E18" s="12" t="n"/>
    </row>
    <row r="19">
      <c r="A19" s="13" t="n"/>
      <c r="B19" s="11" t="n"/>
      <c r="C19" s="14" t="n"/>
      <c r="D19" s="12" t="n"/>
      <c r="E19" s="12" t="n"/>
    </row>
    <row r="20">
      <c r="A20" s="13" t="n"/>
      <c r="B20" s="11" t="n"/>
      <c r="C20" s="14" t="n"/>
      <c r="D20" s="12" t="n"/>
      <c r="E20" s="12" t="n"/>
    </row>
    <row r="21">
      <c r="A21" s="13" t="n"/>
      <c r="B21" s="11" t="n"/>
      <c r="C21" s="14" t="n"/>
      <c r="D21" s="12" t="n"/>
      <c r="E21" s="12" t="n"/>
    </row>
    <row r="22">
      <c r="A22" s="13" t="n"/>
      <c r="B22" s="11" t="n"/>
      <c r="C22" s="14" t="n"/>
      <c r="D22" s="12" t="n"/>
      <c r="E22" s="12" t="n"/>
    </row>
    <row r="23">
      <c r="A23" s="13" t="n"/>
      <c r="B23" s="11" t="n"/>
      <c r="C23" s="14" t="n"/>
      <c r="D23" s="12" t="n"/>
      <c r="E23" s="12" t="n"/>
    </row>
    <row r="24">
      <c r="A24" s="13" t="n"/>
      <c r="B24" s="11" t="n"/>
      <c r="C24" s="14" t="n"/>
      <c r="D24" s="12" t="n"/>
      <c r="E24" s="12" t="n"/>
    </row>
    <row r="25">
      <c r="A25" s="13" t="n"/>
      <c r="B25" s="11" t="n"/>
      <c r="C25" s="14" t="n"/>
      <c r="D25" s="12" t="n"/>
      <c r="E25" s="12" t="n"/>
    </row>
    <row r="26">
      <c r="A26" s="13" t="n"/>
      <c r="B26" s="11" t="n"/>
      <c r="C26" s="14" t="n"/>
      <c r="D26" s="12" t="n"/>
      <c r="E26" s="12" t="n"/>
    </row>
    <row r="27">
      <c r="A27" s="13" t="n"/>
      <c r="B27" s="11" t="n"/>
      <c r="C27" s="14" t="n"/>
      <c r="D27" s="12" t="n"/>
      <c r="E27" s="12" t="n"/>
    </row>
    <row r="28">
      <c r="A28" s="13" t="n"/>
      <c r="B28" s="11" t="n"/>
      <c r="C28" s="14" t="n"/>
      <c r="D28" s="12" t="n"/>
      <c r="E28" s="12" t="n"/>
    </row>
    <row r="29">
      <c r="A29" s="13" t="n"/>
      <c r="B29" s="11" t="n"/>
      <c r="C29" s="14" t="n"/>
      <c r="D29" s="12" t="n"/>
      <c r="E29" s="12" t="n"/>
    </row>
    <row r="30">
      <c r="A30" s="13" t="n"/>
      <c r="B30" s="11" t="n"/>
      <c r="C30" s="14" t="n"/>
      <c r="D30" s="12" t="n"/>
      <c r="E30" s="12" t="n"/>
    </row>
    <row r="31">
      <c r="A31" s="13" t="n"/>
      <c r="B31" s="11" t="n"/>
      <c r="C31" s="14" t="n"/>
      <c r="D31" s="12" t="n"/>
      <c r="E31" s="12" t="n"/>
    </row>
    <row r="32">
      <c r="A32" s="13" t="n"/>
      <c r="B32" s="11" t="n"/>
      <c r="C32" s="14" t="n"/>
      <c r="D32" s="12" t="n"/>
      <c r="E32" s="12" t="n"/>
    </row>
    <row r="33">
      <c r="A33" s="13" t="n"/>
      <c r="B33" s="11" t="n"/>
      <c r="C33" s="14" t="n"/>
      <c r="D33" s="12" t="n"/>
      <c r="E33" s="12" t="n"/>
    </row>
    <row r="34">
      <c r="A34" s="13" t="n"/>
      <c r="B34" s="11" t="n"/>
      <c r="C34" s="14" t="n"/>
      <c r="D34" s="12" t="n"/>
      <c r="E34" s="12" t="n"/>
    </row>
    <row r="35">
      <c r="A35" s="13" t="n"/>
      <c r="B35" s="11" t="n"/>
      <c r="C35" s="14" t="n"/>
      <c r="D35" s="12" t="n"/>
      <c r="E35" s="12" t="n"/>
    </row>
    <row r="36">
      <c r="A36" s="13" t="n"/>
      <c r="B36" s="11" t="n"/>
      <c r="C36" s="14" t="n"/>
      <c r="D36" s="12" t="n"/>
      <c r="E36" s="12" t="n"/>
    </row>
    <row r="37">
      <c r="A37" s="13" t="n"/>
      <c r="B37" s="11" t="n"/>
      <c r="C37" s="14" t="n"/>
      <c r="D37" s="12" t="n"/>
      <c r="E37" s="12" t="n"/>
    </row>
    <row r="38">
      <c r="A38" s="13" t="n"/>
      <c r="B38" s="11" t="n"/>
      <c r="C38" s="14" t="n"/>
      <c r="D38" s="12" t="n"/>
      <c r="E38" s="12" t="n"/>
    </row>
    <row r="39">
      <c r="A39" s="13" t="n"/>
      <c r="B39" s="11" t="n"/>
      <c r="C39" s="14" t="n"/>
      <c r="D39" s="12" t="n"/>
      <c r="E39" s="12" t="n"/>
    </row>
    <row r="40">
      <c r="A40" s="13" t="n"/>
      <c r="B40" s="11" t="n"/>
      <c r="C40" s="14" t="n"/>
      <c r="D40" s="12" t="n"/>
      <c r="E40" s="12" t="n"/>
    </row>
    <row r="41">
      <c r="A41" s="13" t="n"/>
      <c r="B41" s="11" t="n"/>
      <c r="C41" s="14" t="n"/>
      <c r="D41" s="12" t="n"/>
      <c r="E41" s="12" t="n"/>
    </row>
    <row r="42">
      <c r="A42" s="13" t="n"/>
      <c r="B42" s="11" t="n"/>
      <c r="C42" s="14" t="n"/>
      <c r="D42" s="12" t="n"/>
      <c r="E42" s="12" t="n"/>
    </row>
    <row r="43">
      <c r="A43" s="13" t="n"/>
      <c r="B43" s="11" t="n"/>
      <c r="C43" s="14" t="n"/>
      <c r="D43" s="12" t="n"/>
      <c r="E43" s="12" t="n"/>
    </row>
    <row r="44">
      <c r="A44" s="13" t="n"/>
      <c r="B44" s="11" t="n"/>
      <c r="C44" s="14" t="n"/>
      <c r="D44" s="12" t="n"/>
      <c r="E44" s="12" t="n"/>
    </row>
    <row r="45">
      <c r="A45" s="13" t="n"/>
      <c r="B45" s="11" t="n"/>
      <c r="C45" s="14" t="n"/>
      <c r="D45" s="12" t="n"/>
      <c r="E45" s="12" t="n"/>
    </row>
    <row r="46">
      <c r="A46" s="13" t="n"/>
      <c r="B46" s="11" t="n"/>
      <c r="C46" s="14" t="n"/>
      <c r="D46" s="12" t="n"/>
      <c r="E46" s="12" t="n"/>
    </row>
    <row r="47">
      <c r="A47" s="13" t="n"/>
      <c r="B47" s="11" t="n"/>
      <c r="C47" s="14" t="n"/>
      <c r="D47" s="12" t="n"/>
      <c r="E47" s="12" t="n"/>
    </row>
    <row r="48">
      <c r="A48" s="13" t="n"/>
      <c r="B48" s="11" t="n"/>
      <c r="C48" s="14" t="n"/>
      <c r="D48" s="12" t="n"/>
      <c r="E48" s="12" t="n"/>
    </row>
    <row r="49">
      <c r="A49" s="13" t="n"/>
      <c r="B49" s="11" t="n"/>
      <c r="C49" s="14" t="n"/>
      <c r="D49" s="12" t="n"/>
      <c r="E49" s="12" t="n"/>
    </row>
    <row r="50">
      <c r="A50" s="13" t="n"/>
      <c r="B50" s="11" t="n"/>
      <c r="C50" s="14" t="n"/>
      <c r="D50" s="12" t="n"/>
      <c r="E50" s="12" t="n"/>
    </row>
    <row r="51">
      <c r="A51" s="13" t="n"/>
      <c r="B51" s="11" t="n"/>
      <c r="C51" s="14" t="n"/>
      <c r="D51" s="12" t="n"/>
      <c r="E51" s="12" t="n"/>
    </row>
    <row r="52">
      <c r="A52" s="13" t="n"/>
      <c r="B52" s="11" t="n"/>
      <c r="C52" s="14" t="n"/>
      <c r="D52" s="12" t="n"/>
      <c r="E52" s="12" t="n"/>
    </row>
    <row r="53">
      <c r="A53" s="13" t="n"/>
      <c r="B53" s="11" t="n"/>
      <c r="C53" s="14" t="n"/>
      <c r="D53" s="12" t="n"/>
      <c r="E53" s="12" t="n"/>
    </row>
    <row r="54">
      <c r="A54" s="13" t="n"/>
      <c r="B54" s="11" t="n"/>
      <c r="C54" s="14" t="n"/>
      <c r="D54" s="12" t="n"/>
      <c r="E54" s="12" t="n"/>
    </row>
    <row r="55">
      <c r="A55" s="13" t="n"/>
      <c r="B55" s="11" t="n"/>
      <c r="C55" s="14" t="n"/>
      <c r="D55" s="12" t="n"/>
      <c r="E55" s="12" t="n"/>
    </row>
    <row r="56">
      <c r="A56" s="13" t="n"/>
      <c r="B56" s="11" t="n"/>
      <c r="C56" s="14" t="n"/>
      <c r="D56" s="12" t="n"/>
      <c r="E56" s="12" t="n"/>
    </row>
    <row r="57">
      <c r="A57" s="13" t="n"/>
      <c r="B57" s="11" t="n"/>
      <c r="C57" s="14" t="n"/>
      <c r="D57" s="12" t="n"/>
      <c r="E57" s="12" t="n"/>
    </row>
    <row r="58">
      <c r="A58" s="13" t="n"/>
      <c r="B58" s="11" t="n"/>
      <c r="C58" s="14" t="n"/>
      <c r="D58" s="12" t="n"/>
      <c r="E58" s="12" t="n"/>
    </row>
    <row r="59">
      <c r="A59" s="13" t="n"/>
      <c r="B59" s="11" t="n"/>
      <c r="C59" s="14" t="n"/>
      <c r="D59" s="12" t="n"/>
      <c r="E59" s="12" t="n"/>
    </row>
    <row r="60">
      <c r="A60" s="13" t="n"/>
      <c r="B60" s="11" t="n"/>
      <c r="C60" s="14" t="n"/>
      <c r="D60" s="12" t="n"/>
      <c r="E60" s="12" t="n"/>
    </row>
    <row r="61">
      <c r="A61" s="13" t="n"/>
      <c r="B61" s="11" t="n"/>
      <c r="C61" s="14" t="n"/>
      <c r="D61" s="12" t="n"/>
      <c r="E61" s="12" t="n"/>
    </row>
    <row r="62">
      <c r="A62" s="13" t="n"/>
      <c r="B62" s="11" t="n"/>
      <c r="C62" s="14" t="n"/>
      <c r="D62" s="12" t="n"/>
      <c r="E62" s="12" t="n"/>
    </row>
    <row r="63">
      <c r="A63" s="13" t="n"/>
      <c r="B63" s="11" t="n"/>
      <c r="C63" s="14" t="n"/>
      <c r="D63" s="12" t="n"/>
      <c r="E63" s="12" t="n"/>
    </row>
    <row r="64">
      <c r="A64" s="13" t="n"/>
      <c r="B64" s="11" t="n"/>
      <c r="C64" s="14" t="n"/>
      <c r="D64" s="12" t="n"/>
      <c r="E64" s="12" t="n"/>
    </row>
    <row r="65">
      <c r="A65" s="13" t="n"/>
      <c r="B65" s="11" t="n"/>
      <c r="C65" s="14" t="n"/>
      <c r="D65" s="12" t="n"/>
      <c r="E65" s="12" t="n"/>
    </row>
    <row r="66">
      <c r="A66" s="13" t="n"/>
      <c r="B66" s="11" t="n"/>
      <c r="C66" s="14" t="n"/>
      <c r="D66" s="12" t="n"/>
      <c r="E66" s="12" t="n"/>
    </row>
    <row r="67">
      <c r="A67" s="13" t="n"/>
      <c r="B67" s="11" t="n"/>
      <c r="C67" s="14" t="n"/>
      <c r="D67" s="12" t="n"/>
      <c r="E67" s="12" t="n"/>
    </row>
    <row r="68">
      <c r="A68" s="13" t="n"/>
      <c r="B68" s="11" t="n"/>
      <c r="C68" s="14" t="n"/>
      <c r="D68" s="12" t="n"/>
      <c r="E68" s="12" t="n"/>
    </row>
    <row r="69">
      <c r="A69" s="13" t="n"/>
      <c r="B69" s="11" t="n"/>
      <c r="C69" s="14" t="n"/>
      <c r="D69" s="12" t="n"/>
      <c r="E69" s="12" t="n"/>
    </row>
    <row r="70">
      <c r="A70" s="13" t="n"/>
      <c r="B70" s="11" t="n"/>
      <c r="C70" s="14" t="n"/>
      <c r="D70" s="12" t="n"/>
      <c r="E70" s="12" t="n"/>
    </row>
    <row r="71">
      <c r="A71" s="13" t="n"/>
      <c r="B71" s="11" t="n"/>
      <c r="C71" s="14" t="n"/>
      <c r="D71" s="12" t="n"/>
      <c r="E71" s="12" t="n"/>
    </row>
    <row r="72">
      <c r="A72" s="13" t="n"/>
      <c r="B72" s="11" t="n"/>
      <c r="C72" s="14" t="n"/>
      <c r="D72" s="12" t="n"/>
      <c r="E72" s="12" t="n"/>
    </row>
    <row r="73">
      <c r="A73" s="13" t="n"/>
      <c r="B73" s="11" t="n"/>
      <c r="C73" s="14" t="n"/>
      <c r="D73" s="12" t="n"/>
      <c r="E73" s="12" t="n"/>
    </row>
    <row r="74">
      <c r="A74" s="13" t="n"/>
      <c r="B74" s="11" t="n"/>
      <c r="C74" s="14" t="n"/>
      <c r="D74" s="12" t="n"/>
      <c r="E74" s="12" t="n"/>
    </row>
    <row r="75">
      <c r="A75" s="13" t="n"/>
      <c r="B75" s="11" t="n"/>
      <c r="C75" s="14" t="n"/>
      <c r="D75" s="12" t="n"/>
      <c r="E75" s="12" t="n"/>
    </row>
    <row r="76">
      <c r="A76" s="13" t="n"/>
      <c r="B76" s="11" t="n"/>
      <c r="C76" s="14" t="n"/>
      <c r="D76" s="12" t="n"/>
      <c r="E76" s="12" t="n"/>
    </row>
    <row r="77">
      <c r="A77" s="13" t="n"/>
      <c r="B77" s="11" t="n"/>
      <c r="C77" s="14" t="n"/>
      <c r="D77" s="12" t="n"/>
      <c r="E77" s="12" t="n"/>
    </row>
    <row r="78">
      <c r="A78" s="13" t="n"/>
      <c r="B78" s="11" t="n"/>
      <c r="C78" s="14" t="n"/>
      <c r="D78" s="12" t="n"/>
      <c r="E78" s="12" t="n"/>
    </row>
    <row r="79">
      <c r="A79" s="13" t="n"/>
      <c r="B79" s="11" t="n"/>
      <c r="C79" s="14" t="n"/>
      <c r="D79" s="12" t="n"/>
      <c r="E79" s="12" t="n"/>
    </row>
    <row r="80">
      <c r="A80" s="13" t="n"/>
      <c r="B80" s="11" t="n"/>
      <c r="C80" s="14" t="n"/>
      <c r="D80" s="12" t="n"/>
      <c r="E80" s="12" t="n"/>
    </row>
    <row r="81">
      <c r="A81" s="13" t="n"/>
      <c r="B81" s="11" t="n"/>
      <c r="C81" s="14" t="n"/>
      <c r="D81" s="12" t="n"/>
      <c r="E81" s="12" t="n"/>
    </row>
    <row r="82">
      <c r="A82" s="13" t="n"/>
      <c r="B82" s="11" t="n"/>
      <c r="C82" s="14" t="n"/>
      <c r="D82" s="12" t="n"/>
      <c r="E82" s="12" t="n"/>
    </row>
    <row r="83">
      <c r="A83" s="13" t="n"/>
      <c r="B83" s="11" t="n"/>
      <c r="C83" s="14" t="n"/>
      <c r="D83" s="12" t="n"/>
      <c r="E83" s="12" t="n"/>
    </row>
    <row r="84">
      <c r="A84" s="13" t="n"/>
      <c r="B84" s="11" t="n"/>
      <c r="C84" s="14" t="n"/>
      <c r="D84" s="12" t="n"/>
      <c r="E84" s="12" t="n"/>
    </row>
    <row r="85">
      <c r="A85" s="13" t="n"/>
      <c r="B85" s="11" t="n"/>
      <c r="C85" s="14" t="n"/>
      <c r="D85" s="12" t="n"/>
      <c r="E85" s="12" t="n"/>
    </row>
    <row r="86">
      <c r="A86" s="13" t="n"/>
      <c r="B86" s="11" t="n"/>
      <c r="C86" s="14" t="n"/>
      <c r="D86" s="12" t="n"/>
      <c r="E86" s="12" t="n"/>
    </row>
    <row r="87">
      <c r="A87" s="13" t="n"/>
      <c r="B87" s="11" t="n"/>
      <c r="C87" s="14" t="n"/>
      <c r="D87" s="12" t="n"/>
      <c r="E87" s="12" t="n"/>
    </row>
    <row r="88">
      <c r="A88" s="13" t="n"/>
      <c r="B88" s="11" t="n"/>
      <c r="C88" s="14" t="n"/>
      <c r="D88" s="12" t="n"/>
      <c r="E88" s="12" t="n"/>
    </row>
    <row r="89">
      <c r="A89" s="13" t="n"/>
      <c r="B89" s="11" t="n"/>
      <c r="C89" s="14" t="n"/>
      <c r="D89" s="12" t="n"/>
      <c r="E89" s="12" t="n"/>
    </row>
    <row r="90">
      <c r="A90" s="13" t="n"/>
      <c r="B90" s="11" t="n"/>
      <c r="C90" s="14" t="n"/>
      <c r="D90" s="12" t="n"/>
      <c r="E90" s="12" t="n"/>
    </row>
    <row r="91">
      <c r="A91" s="13" t="n"/>
      <c r="B91" s="11" t="n"/>
      <c r="C91" s="14" t="n"/>
      <c r="D91" s="12" t="n"/>
      <c r="E91" s="12" t="n"/>
    </row>
    <row r="92">
      <c r="A92" s="13" t="n"/>
      <c r="B92" s="11" t="n"/>
      <c r="C92" s="14" t="n"/>
      <c r="D92" s="12" t="n"/>
      <c r="E92" s="12" t="n"/>
    </row>
    <row r="93">
      <c r="A93" s="13" t="n"/>
      <c r="B93" s="11" t="n"/>
      <c r="C93" s="14" t="n"/>
      <c r="D93" s="12" t="n"/>
      <c r="E93" s="12" t="n"/>
    </row>
    <row r="94">
      <c r="A94" s="13" t="n"/>
      <c r="B94" s="11" t="n"/>
      <c r="C94" s="14" t="n"/>
      <c r="D94" s="12" t="n"/>
      <c r="E94" s="12" t="n"/>
    </row>
    <row r="95">
      <c r="A95" s="13" t="n"/>
      <c r="B95" s="11" t="n"/>
      <c r="C95" s="14" t="n"/>
      <c r="D95" s="12" t="n"/>
      <c r="E95" s="12" t="n"/>
    </row>
    <row r="96">
      <c r="A96" s="13" t="n"/>
      <c r="B96" s="11" t="n"/>
      <c r="C96" s="14" t="n"/>
      <c r="D96" s="12" t="n"/>
      <c r="E96" s="12" t="n"/>
    </row>
    <row r="97">
      <c r="A97" s="13" t="n"/>
      <c r="B97" s="11" t="n"/>
      <c r="C97" s="14" t="n"/>
      <c r="D97" s="12" t="n"/>
      <c r="E97" s="12" t="n"/>
    </row>
    <row r="98">
      <c r="A98" s="13" t="n"/>
      <c r="B98" s="11" t="n"/>
      <c r="C98" s="14" t="n"/>
      <c r="D98" s="12" t="n"/>
      <c r="E98" s="12" t="n"/>
    </row>
    <row r="99">
      <c r="A99" s="13" t="n"/>
      <c r="B99" s="11" t="n"/>
      <c r="C99" s="14" t="n"/>
      <c r="D99" s="12" t="n"/>
      <c r="E99" s="12" t="n"/>
    </row>
    <row r="100">
      <c r="A100" s="13" t="n"/>
      <c r="B100" s="11" t="n"/>
      <c r="C100" s="14" t="n"/>
      <c r="D100" s="12" t="n"/>
      <c r="E100" s="12" t="n"/>
    </row>
    <row r="101">
      <c r="A101" s="13" t="n"/>
      <c r="B101" s="11" t="n"/>
      <c r="C101" s="14" t="n"/>
      <c r="D101" s="12" t="n"/>
      <c r="E101" s="12" t="n"/>
    </row>
    <row r="102">
      <c r="A102" s="13" t="n"/>
      <c r="B102" s="11" t="n"/>
      <c r="C102" s="14" t="n"/>
      <c r="D102" s="12" t="n"/>
      <c r="E102" s="12" t="n"/>
    </row>
    <row r="103">
      <c r="A103" s="13" t="n"/>
      <c r="B103" s="11" t="n"/>
      <c r="C103" s="14" t="n"/>
      <c r="D103" s="12" t="n"/>
      <c r="E103" s="12" t="n"/>
    </row>
  </sheetData>
  <autoFilter ref="A3:E103"/>
  <mergeCells count="2">
    <mergeCell ref="A1:B2"/>
    <mergeCell ref="C1:D2"/>
  </mergeCells>
  <dataValidations count="1">
    <dataValidation sqref="C4:C103" showDropDown="0" showInputMessage="1" showErrorMessage="1" allowBlank="1" errorTitle="Valor não aceito" error="Informe uma data válida (dd/mm/aaaa)." promptTitle="Data" prompt="Data real do Excel, exibida em dd/mm/aaaa." type="date" operator="between">
      <formula1>1</formula1>
      <formula2>2958465</formula2>
    </dataValidation>
  </dataValidations>
  <pageMargins left="0.45" right="0.45" top="0.75" bottom="0.85" header="0.3" footer="0.3"/>
  <pageSetup orientation="portrait" paperSize="9" fitToHeight="0" fitToWidth="1" pageOrder="overThenDown"/>
  <headerFooter>
    <oddHeader>&amp;L&amp;"Arial Narrow,Regular"&amp;7 &amp;K64717D&amp;F  ·  &amp;A&amp;C&amp;"Arial Narrow,Regular"&amp;7 &amp;K64717DPCM Direto  ·  PCMD-01&amp;R&amp;"Arial Narrow,Regular"&amp;7 &amp;K64717DImpresso em &amp;D  ·  Pág. &amp;P de &amp;N</oddHeader>
    <oddFooter>&amp;L&amp;7 &amp;K64717DO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4" customWidth="1" min="2" max="2"/>
    <col width="26" customWidth="1" min="3" max="3"/>
    <col width="14" customWidth="1" min="4" max="4"/>
    <col width="30" customWidth="1" min="5" max="5"/>
    <col width="16" customWidth="1" min="6" max="6"/>
    <col width="32" customWidth="1" min="7" max="7"/>
  </cols>
  <sheetData>
    <row r="1" ht="33" customHeight="1">
      <c r="A1" s="18" t="n"/>
      <c r="B1" s="3" t="inlineStr">
        <is>
          <t>Cadastros</t>
        </is>
      </c>
      <c r="C1" s="4" t="n"/>
      <c r="D1" s="4" t="n"/>
      <c r="E1" s="4" t="n"/>
      <c r="F1" s="2" t="n"/>
      <c r="G1" s="19">
        <f>"Rev. "&amp;IF(cfg_revisao="","—",cfg_revisao)&amp;IF(ISNUMBER(cfg_data_revisao),"   ·   "&amp;RIGHT("0"&amp;DAY(cfg_data_revisao),2)&amp;"/"&amp;RIGHT("0"&amp;MONTH(cfg_data_revisao),2)&amp;"/"&amp;YEAR(cfg_data_revisao),"")</f>
        <v/>
      </c>
    </row>
    <row r="2" ht="33" customHeight="1">
      <c r="A2" s="20" t="n"/>
      <c r="B2" s="6" t="n"/>
      <c r="C2" s="8" t="n"/>
      <c r="D2" s="8" t="n"/>
      <c r="E2" s="8" t="n"/>
      <c r="F2" s="7" t="n"/>
      <c r="G2" s="17">
        <f>"Elaborado: "&amp;IF(cfg_elaborado="","A definir",cfg_elaborado)&amp;CHAR(10)&amp;"Aprovado: "&amp;IF(cfg_aprovado="","A definir",cfg_aprovado)</f>
        <v/>
      </c>
    </row>
    <row r="3" hidden="1"/>
    <row r="4" hidden="1"/>
    <row r="5" ht="21" customHeight="1">
      <c r="A5" s="21" t="inlineStr">
        <is>
          <t>1    ORGANIZAÇÃO</t>
        </is>
      </c>
      <c r="B5" s="22" t="n"/>
      <c r="C5" s="22" t="n"/>
      <c r="D5" s="22" t="n"/>
      <c r="E5" s="22" t="n"/>
      <c r="F5" s="22" t="n"/>
      <c r="G5" s="22" t="n"/>
    </row>
    <row r="6" ht="24" customHeight="1">
      <c r="A6" s="10" t="inlineStr">
        <is>
          <t>Campo</t>
        </is>
      </c>
      <c r="B6" s="10" t="inlineStr">
        <is>
          <t>Valor</t>
        </is>
      </c>
      <c r="C6" s="10" t="inlineStr">
        <is>
          <t>Automático</t>
        </is>
      </c>
      <c r="D6" s="10" t="inlineStr">
        <is>
          <t>Orientação</t>
        </is>
      </c>
      <c r="E6" s="23" t="n"/>
      <c r="F6" s="23" t="n"/>
      <c r="G6" s="24" t="n"/>
    </row>
    <row r="7" ht="22" customHeight="1">
      <c r="A7" s="25" t="inlineStr">
        <is>
          <t>Nome da organização</t>
        </is>
      </c>
      <c r="B7" s="26" t="inlineStr">
        <is>
          <t>Indústria Exemplo</t>
        </is>
      </c>
      <c r="C7" s="27" t="n"/>
      <c r="D7" s="28" t="inlineStr">
        <is>
          <t>Ex.: Indústria Exemplo.</t>
        </is>
      </c>
      <c r="E7" s="29" t="n"/>
      <c r="F7" s="29" t="n"/>
      <c r="G7" s="30" t="n"/>
    </row>
    <row r="8" ht="22" customHeight="1">
      <c r="A8" s="25" t="inlineStr">
        <is>
          <t>Referencial</t>
        </is>
      </c>
      <c r="B8" s="26" t="inlineStr">
        <is>
          <t>GERAL (sem norma)</t>
        </is>
      </c>
      <c r="C8" s="27" t="n"/>
      <c r="D8" s="28" t="inlineStr">
        <is>
          <t>Padrão GERAL (sem norma). Não cite norma sem fonte oficial, versão e data.</t>
        </is>
      </c>
      <c r="E8" s="29" t="n"/>
      <c r="F8" s="29" t="n"/>
      <c r="G8" s="30" t="n"/>
    </row>
    <row r="9" ht="22" customHeight="1">
      <c r="A9" s="25" t="inlineStr">
        <is>
          <t>Prefixo dos documentos</t>
        </is>
      </c>
      <c r="B9" s="26" t="inlineStr">
        <is>
          <t>PCMD</t>
        </is>
      </c>
      <c r="C9" s="27" t="n"/>
      <c r="D9" s="28" t="inlineStr">
        <is>
          <t>Padrão PCMD.</t>
        </is>
      </c>
      <c r="E9" s="29" t="n"/>
      <c r="F9" s="29" t="n"/>
      <c r="G9" s="30" t="n"/>
    </row>
    <row r="10" ht="22" customHeight="1">
      <c r="A10" s="25" t="inlineStr">
        <is>
          <t>Elaborador padrão (ID)</t>
        </is>
      </c>
      <c r="B10" s="26" t="inlineStr">
        <is>
          <t>pes-a</t>
        </is>
      </c>
      <c r="C10" s="27">
        <f>IF(B10="","",IFERROR(INDEX(cad_pessoa_nome,MATCH(B10,cad_pessoa_id,0)),"Pessoa não cadastrada"))</f>
        <v/>
      </c>
      <c r="D10" s="28" t="inlineStr">
        <is>
          <t>ID do bloco Pessoas, abaixo.</t>
        </is>
      </c>
      <c r="E10" s="29" t="n"/>
      <c r="F10" s="29" t="n"/>
      <c r="G10" s="30" t="n"/>
    </row>
    <row r="11" ht="22" customHeight="1">
      <c r="A11" s="25" t="inlineStr">
        <is>
          <t>Aprovador padrão (ID)</t>
        </is>
      </c>
      <c r="B11" s="26" t="n"/>
      <c r="C11" s="27">
        <f>IF(B11="","A definir (aprovação não registrada)",IFERROR(INDEX(cad_pessoa_nome,MATCH(B11,cad_pessoa_id,0)),"Pessoa não cadastrada"))</f>
        <v/>
      </c>
      <c r="D11" s="28" t="inlineStr">
        <is>
          <t>Só informe após aprovação efetiva.</t>
        </is>
      </c>
      <c r="E11" s="29" t="n"/>
      <c r="F11" s="29" t="n"/>
      <c r="G11" s="30" t="n"/>
    </row>
    <row r="12" ht="22" customHeight="1">
      <c r="A12" s="25" t="inlineStr">
        <is>
          <t>Meta de disponibilidade (%)</t>
        </is>
      </c>
      <c r="B12" s="31" t="n"/>
      <c r="C12" s="32">
        <f>IF(B12="","A definir",B12)</f>
        <v/>
      </c>
      <c r="D12" s="28" t="inlineStr">
        <is>
          <t>Disponibilidade, MTBF e MTTR não são calculados: regras técnicas pendentes.</t>
        </is>
      </c>
      <c r="E12" s="29" t="n"/>
      <c r="F12" s="29" t="n"/>
      <c r="G12" s="30" t="n"/>
    </row>
    <row r="14" ht="21" customHeight="1">
      <c r="A14" s="21" t="inlineStr">
        <is>
          <t>2    PESSOAS E FUNÇÕES</t>
        </is>
      </c>
      <c r="B14" s="22" t="n"/>
      <c r="C14" s="22" t="n"/>
      <c r="D14" s="22" t="n"/>
      <c r="E14" s="22" t="n"/>
      <c r="F14" s="22" t="n"/>
      <c r="G14" s="22" t="n"/>
    </row>
    <row r="15" ht="24" customHeight="1">
      <c r="A15" s="10" t="inlineStr">
        <is>
          <t>ID da pessoa</t>
        </is>
      </c>
      <c r="B15" s="10" t="inlineStr">
        <is>
          <t>Nome</t>
        </is>
      </c>
      <c r="C15" s="10" t="inlineStr">
        <is>
          <t>Função</t>
        </is>
      </c>
      <c r="D15" s="10" t="inlineStr">
        <is>
          <t>Especialidade</t>
        </is>
      </c>
      <c r="E15" s="10" t="inlineStr">
        <is>
          <t>Ativa</t>
        </is>
      </c>
      <c r="F15" s="10" t="inlineStr">
        <is>
          <t>Conferência</t>
        </is>
      </c>
    </row>
    <row r="16">
      <c r="A16" s="11" t="inlineStr">
        <is>
          <t>pes-a</t>
        </is>
      </c>
      <c r="B16" s="12" t="inlineStr">
        <is>
          <t>Pessoa A</t>
        </is>
      </c>
      <c r="C16" s="12" t="inlineStr">
        <is>
          <t>Planejamento de manutenção</t>
        </is>
      </c>
      <c r="D16" s="13" t="inlineStr">
        <is>
          <t>Mecânica</t>
        </is>
      </c>
      <c r="E16" s="11" t="inlineStr">
        <is>
          <t>Sim</t>
        </is>
      </c>
      <c r="F16" s="33">
        <f>IF(A16&amp;B16="","",IF(A16="","ERRO: falta ID",IF(COUNTIF(cad_pessoa_id,A16)&gt;1,"ERRO: ID repetido",IF(B16="","ERRO: falta nome","OK"))))</f>
        <v/>
      </c>
    </row>
    <row r="17">
      <c r="A17" s="11" t="inlineStr">
        <is>
          <t>pes-b</t>
        </is>
      </c>
      <c r="B17" s="12" t="inlineStr">
        <is>
          <t>Pessoa B</t>
        </is>
      </c>
      <c r="C17" s="12" t="inlineStr">
        <is>
          <t>Técnico de manutenção</t>
        </is>
      </c>
      <c r="D17" s="13" t="inlineStr">
        <is>
          <t>Elétrica</t>
        </is>
      </c>
      <c r="E17" s="11" t="inlineStr">
        <is>
          <t>Sim</t>
        </is>
      </c>
      <c r="F17" s="33">
        <f>IF(A17&amp;B17="","",IF(A17="","ERRO: falta ID",IF(COUNTIF(cad_pessoa_id,A17)&gt;1,"ERRO: ID repetido",IF(B17="","ERRO: falta nome","OK"))))</f>
        <v/>
      </c>
    </row>
    <row r="18">
      <c r="A18" s="11" t="n"/>
      <c r="B18" s="12" t="n"/>
      <c r="C18" s="12" t="n"/>
      <c r="D18" s="13" t="n"/>
      <c r="E18" s="11" t="n"/>
      <c r="F18" s="33">
        <f>IF(A18&amp;B18="","",IF(A18="","ERRO: falta ID",IF(COUNTIF(cad_pessoa_id,A18)&gt;1,"ERRO: ID repetido",IF(B18="","ERRO: falta nome","OK"))))</f>
        <v/>
      </c>
    </row>
    <row r="19">
      <c r="A19" s="11" t="n"/>
      <c r="B19" s="12" t="n"/>
      <c r="C19" s="12" t="n"/>
      <c r="D19" s="13" t="n"/>
      <c r="E19" s="11" t="n"/>
      <c r="F19" s="33">
        <f>IF(A19&amp;B19="","",IF(A19="","ERRO: falta ID",IF(COUNTIF(cad_pessoa_id,A19)&gt;1,"ERRO: ID repetido",IF(B19="","ERRO: falta nome","OK"))))</f>
        <v/>
      </c>
    </row>
    <row r="20">
      <c r="A20" s="11" t="n"/>
      <c r="B20" s="12" t="n"/>
      <c r="C20" s="12" t="n"/>
      <c r="D20" s="13" t="n"/>
      <c r="E20" s="11" t="n"/>
      <c r="F20" s="33">
        <f>IF(A20&amp;B20="","",IF(A20="","ERRO: falta ID",IF(COUNTIF(cad_pessoa_id,A20)&gt;1,"ERRO: ID repetido",IF(B20="","ERRO: falta nome","OK"))))</f>
        <v/>
      </c>
    </row>
    <row r="21">
      <c r="A21" s="11" t="n"/>
      <c r="B21" s="12" t="n"/>
      <c r="C21" s="12" t="n"/>
      <c r="D21" s="13" t="n"/>
      <c r="E21" s="11" t="n"/>
      <c r="F21" s="33">
        <f>IF(A21&amp;B21="","",IF(A21="","ERRO: falta ID",IF(COUNTIF(cad_pessoa_id,A21)&gt;1,"ERRO: ID repetido",IF(B21="","ERRO: falta nome","OK"))))</f>
        <v/>
      </c>
    </row>
    <row r="22">
      <c r="A22" s="11" t="n"/>
      <c r="B22" s="12" t="n"/>
      <c r="C22" s="12" t="n"/>
      <c r="D22" s="13" t="n"/>
      <c r="E22" s="11" t="n"/>
      <c r="F22" s="33">
        <f>IF(A22&amp;B22="","",IF(A22="","ERRO: falta ID",IF(COUNTIF(cad_pessoa_id,A22)&gt;1,"ERRO: ID repetido",IF(B22="","ERRO: falta nome","OK"))))</f>
        <v/>
      </c>
    </row>
    <row r="23">
      <c r="A23" s="11" t="n"/>
      <c r="B23" s="12" t="n"/>
      <c r="C23" s="12" t="n"/>
      <c r="D23" s="13" t="n"/>
      <c r="E23" s="11" t="n"/>
      <c r="F23" s="33">
        <f>IF(A23&amp;B23="","",IF(A23="","ERRO: falta ID",IF(COUNTIF(cad_pessoa_id,A23)&gt;1,"ERRO: ID repetido",IF(B23="","ERRO: falta nome","OK"))))</f>
        <v/>
      </c>
    </row>
    <row r="24">
      <c r="A24" s="11" t="n"/>
      <c r="B24" s="12" t="n"/>
      <c r="C24" s="12" t="n"/>
      <c r="D24" s="13" t="n"/>
      <c r="E24" s="11" t="n"/>
      <c r="F24" s="33">
        <f>IF(A24&amp;B24="","",IF(A24="","ERRO: falta ID",IF(COUNTIF(cad_pessoa_id,A24)&gt;1,"ERRO: ID repetido",IF(B24="","ERRO: falta nome","OK"))))</f>
        <v/>
      </c>
    </row>
    <row r="25">
      <c r="A25" s="11" t="n"/>
      <c r="B25" s="12" t="n"/>
      <c r="C25" s="12" t="n"/>
      <c r="D25" s="13" t="n"/>
      <c r="E25" s="11" t="n"/>
      <c r="F25" s="33">
        <f>IF(A25&amp;B25="","",IF(A25="","ERRO: falta ID",IF(COUNTIF(cad_pessoa_id,A25)&gt;1,"ERRO: ID repetido",IF(B25="","ERRO: falta nome","OK"))))</f>
        <v/>
      </c>
    </row>
    <row r="26">
      <c r="A26" s="11" t="n"/>
      <c r="B26" s="12" t="n"/>
      <c r="C26" s="12" t="n"/>
      <c r="D26" s="13" t="n"/>
      <c r="E26" s="11" t="n"/>
      <c r="F26" s="33">
        <f>IF(A26&amp;B26="","",IF(A26="","ERRO: falta ID",IF(COUNTIF(cad_pessoa_id,A26)&gt;1,"ERRO: ID repetido",IF(B26="","ERRO: falta nome","OK"))))</f>
        <v/>
      </c>
    </row>
    <row r="27">
      <c r="A27" s="11" t="n"/>
      <c r="B27" s="12" t="n"/>
      <c r="C27" s="12" t="n"/>
      <c r="D27" s="13" t="n"/>
      <c r="E27" s="11" t="n"/>
      <c r="F27" s="33">
        <f>IF(A27&amp;B27="","",IF(A27="","ERRO: falta ID",IF(COUNTIF(cad_pessoa_id,A27)&gt;1,"ERRO: ID repetido",IF(B27="","ERRO: falta nome","OK"))))</f>
        <v/>
      </c>
    </row>
    <row r="28">
      <c r="A28" s="11" t="n"/>
      <c r="B28" s="12" t="n"/>
      <c r="C28" s="12" t="n"/>
      <c r="D28" s="13" t="n"/>
      <c r="E28" s="11" t="n"/>
      <c r="F28" s="33">
        <f>IF(A28&amp;B28="","",IF(A28="","ERRO: falta ID",IF(COUNTIF(cad_pessoa_id,A28)&gt;1,"ERRO: ID repetido",IF(B28="","ERRO: falta nome","OK"))))</f>
        <v/>
      </c>
    </row>
    <row r="29">
      <c r="A29" s="11" t="n"/>
      <c r="B29" s="12" t="n"/>
      <c r="C29" s="12" t="n"/>
      <c r="D29" s="13" t="n"/>
      <c r="E29" s="11" t="n"/>
      <c r="F29" s="33">
        <f>IF(A29&amp;B29="","",IF(A29="","ERRO: falta ID",IF(COUNTIF(cad_pessoa_id,A29)&gt;1,"ERRO: ID repetido",IF(B29="","ERRO: falta nome","OK"))))</f>
        <v/>
      </c>
    </row>
    <row r="30">
      <c r="A30" s="11" t="n"/>
      <c r="B30" s="12" t="n"/>
      <c r="C30" s="12" t="n"/>
      <c r="D30" s="13" t="n"/>
      <c r="E30" s="11" t="n"/>
      <c r="F30" s="33">
        <f>IF(A30&amp;B30="","",IF(A30="","ERRO: falta ID",IF(COUNTIF(cad_pessoa_id,A30)&gt;1,"ERRO: ID repetido",IF(B30="","ERRO: falta nome","OK"))))</f>
        <v/>
      </c>
    </row>
    <row r="31">
      <c r="A31" s="11" t="n"/>
      <c r="B31" s="12" t="n"/>
      <c r="C31" s="12" t="n"/>
      <c r="D31" s="13" t="n"/>
      <c r="E31" s="11" t="n"/>
      <c r="F31" s="33">
        <f>IF(A31&amp;B31="","",IF(A31="","ERRO: falta ID",IF(COUNTIF(cad_pessoa_id,A31)&gt;1,"ERRO: ID repetido",IF(B31="","ERRO: falta nome","OK"))))</f>
        <v/>
      </c>
    </row>
    <row r="32">
      <c r="A32" s="11" t="n"/>
      <c r="B32" s="12" t="n"/>
      <c r="C32" s="12" t="n"/>
      <c r="D32" s="13" t="n"/>
      <c r="E32" s="11" t="n"/>
      <c r="F32" s="33">
        <f>IF(A32&amp;B32="","",IF(A32="","ERRO: falta ID",IF(COUNTIF(cad_pessoa_id,A32)&gt;1,"ERRO: ID repetido",IF(B32="","ERRO: falta nome","OK"))))</f>
        <v/>
      </c>
    </row>
    <row r="33">
      <c r="A33" s="11" t="n"/>
      <c r="B33" s="12" t="n"/>
      <c r="C33" s="12" t="n"/>
      <c r="D33" s="13" t="n"/>
      <c r="E33" s="11" t="n"/>
      <c r="F33" s="33">
        <f>IF(A33&amp;B33="","",IF(A33="","ERRO: falta ID",IF(COUNTIF(cad_pessoa_id,A33)&gt;1,"ERRO: ID repetido",IF(B33="","ERRO: falta nome","OK"))))</f>
        <v/>
      </c>
    </row>
    <row r="34">
      <c r="A34" s="11" t="n"/>
      <c r="B34" s="12" t="n"/>
      <c r="C34" s="12" t="n"/>
      <c r="D34" s="13" t="n"/>
      <c r="E34" s="11" t="n"/>
      <c r="F34" s="33">
        <f>IF(A34&amp;B34="","",IF(A34="","ERRO: falta ID",IF(COUNTIF(cad_pessoa_id,A34)&gt;1,"ERRO: ID repetido",IF(B34="","ERRO: falta nome","OK"))))</f>
        <v/>
      </c>
    </row>
    <row r="35">
      <c r="A35" s="11" t="n"/>
      <c r="B35" s="12" t="n"/>
      <c r="C35" s="12" t="n"/>
      <c r="D35" s="13" t="n"/>
      <c r="E35" s="11" t="n"/>
      <c r="F35" s="33">
        <f>IF(A35&amp;B35="","",IF(A35="","ERRO: falta ID",IF(COUNTIF(cad_pessoa_id,A35)&gt;1,"ERRO: ID repetido",IF(B35="","ERRO: falta nome","OK"))))</f>
        <v/>
      </c>
    </row>
    <row r="37" ht="21" customHeight="1">
      <c r="A37" s="21" t="inlineStr">
        <is>
          <t>3    REQUISITOS E REFERÊNCIAS</t>
        </is>
      </c>
      <c r="B37" s="22" t="n"/>
      <c r="C37" s="22" t="n"/>
      <c r="D37" s="22" t="n"/>
      <c r="E37" s="22" t="n"/>
      <c r="F37" s="22" t="n"/>
      <c r="G37" s="22" t="n"/>
    </row>
    <row r="38" ht="24" customHeight="1">
      <c r="A38" s="10" t="inlineStr">
        <is>
          <t>ID do requisito</t>
        </is>
      </c>
      <c r="B38" s="10" t="inlineStr">
        <is>
          <t>Referência</t>
        </is>
      </c>
      <c r="C38" s="10" t="inlineStr">
        <is>
          <t>Versão</t>
        </is>
      </c>
      <c r="D38" s="10" t="inlineStr">
        <is>
          <t>Data</t>
        </is>
      </c>
      <c r="E38" s="10" t="inlineStr">
        <is>
          <t>Fonte oficial (HTTPS)</t>
        </is>
      </c>
      <c r="F38" s="10" t="inlineStr">
        <is>
          <t>Status</t>
        </is>
      </c>
      <c r="G38" s="10" t="inlineStr">
        <is>
          <t>Conferência</t>
        </is>
      </c>
    </row>
    <row r="39">
      <c r="A39" s="11" t="inlineStr">
        <is>
          <t>req-001</t>
        </is>
      </c>
      <c r="B39" s="12" t="inlineStr">
        <is>
          <t>GERAL (sem norma)</t>
        </is>
      </c>
      <c r="C39" s="11" t="n"/>
      <c r="D39" s="14" t="n"/>
      <c r="E39" s="12" t="n"/>
      <c r="F39" s="13" t="inlineStr">
        <is>
          <t>Não verificado</t>
        </is>
      </c>
      <c r="G39" s="15">
        <f>IF(A39&amp;B39="","",IF(F39="Verificado",IF(OR(C39="",NOT(ISNUMBER(D39)),LEFT(E39,8)&lt;&gt;"https://"),"ERRO: Verificado exige versão, data e fonte HTTPS","Verificado pelo responsável (não certifica conformidade)"),"Não verificado: verificar na fonte oficial"))</f>
        <v/>
      </c>
    </row>
    <row r="40">
      <c r="A40" s="11" t="inlineStr">
        <is>
          <t>req-002</t>
        </is>
      </c>
      <c r="B40" s="12" t="inlineStr">
        <is>
          <t>Procedimento interno de bloqueio de energia (fictício)</t>
        </is>
      </c>
      <c r="C40" s="11" t="inlineStr">
        <is>
          <t>Rev. 02</t>
        </is>
      </c>
      <c r="D40" s="14" t="n">
        <v>46154</v>
      </c>
      <c r="E40" s="12" t="inlineStr">
        <is>
          <t>https://example.com/procedimento-bloqueio</t>
        </is>
      </c>
      <c r="F40" s="13" t="inlineStr">
        <is>
          <t>Verificado</t>
        </is>
      </c>
      <c r="G40" s="15">
        <f>IF(A40&amp;B40="","",IF(F40="Verificado",IF(OR(C40="",NOT(ISNUMBER(D40)),LEFT(E40,8)&lt;&gt;"https://"),"ERRO: Verificado exige versão, data e fonte HTTPS","Verificado pelo responsável (não certifica conformidade)"),"Não verificado: verificar na fonte oficial"))</f>
        <v/>
      </c>
    </row>
    <row r="41">
      <c r="A41" s="11" t="inlineStr">
        <is>
          <t>req-003</t>
        </is>
      </c>
      <c r="B41" s="12" t="inlineStr">
        <is>
          <t>Manual do fabricante do compressor (fictício)</t>
        </is>
      </c>
      <c r="C41" s="11" t="n"/>
      <c r="D41" s="14" t="n"/>
      <c r="E41" s="12" t="n"/>
      <c r="F41" s="13" t="inlineStr">
        <is>
          <t>Não verificado</t>
        </is>
      </c>
      <c r="G41" s="15">
        <f>IF(A41&amp;B41="","",IF(F41="Verificado",IF(OR(C41="",NOT(ISNUMBER(D41)),LEFT(E41,8)&lt;&gt;"https://"),"ERRO: Verificado exige versão, data e fonte HTTPS","Verificado pelo responsável (não certifica conformidade)"),"Não verificado: verificar na fonte oficial"))</f>
        <v/>
      </c>
    </row>
    <row r="42">
      <c r="A42" s="11" t="n"/>
      <c r="B42" s="12" t="n"/>
      <c r="C42" s="11" t="n"/>
      <c r="D42" s="14" t="n"/>
      <c r="E42" s="12" t="n"/>
      <c r="F42" s="13" t="n"/>
      <c r="G42" s="15">
        <f>IF(A42&amp;B42="","",IF(F42="Verificado",IF(OR(C42="",NOT(ISNUMBER(D42)),LEFT(E42,8)&lt;&gt;"https://"),"ERRO: Verificado exige versão, data e fonte HTTPS","Verificado pelo responsável (não certifica conformidade)"),"Não verificado: verificar na fonte oficial"))</f>
        <v/>
      </c>
    </row>
    <row r="43">
      <c r="A43" s="11" t="n"/>
      <c r="B43" s="12" t="n"/>
      <c r="C43" s="11" t="n"/>
      <c r="D43" s="14" t="n"/>
      <c r="E43" s="12" t="n"/>
      <c r="F43" s="13" t="n"/>
      <c r="G43" s="15">
        <f>IF(A43&amp;B43="","",IF(F43="Verificado",IF(OR(C43="",NOT(ISNUMBER(D43)),LEFT(E43,8)&lt;&gt;"https://"),"ERRO: Verificado exige versão, data e fonte HTTPS","Verificado pelo responsável (não certifica conformidade)"),"Não verificado: verificar na fonte oficial"))</f>
        <v/>
      </c>
    </row>
    <row r="44">
      <c r="A44" s="11" t="n"/>
      <c r="B44" s="12" t="n"/>
      <c r="C44" s="11" t="n"/>
      <c r="D44" s="14" t="n"/>
      <c r="E44" s="12" t="n"/>
      <c r="F44" s="13" t="n"/>
      <c r="G44" s="15">
        <f>IF(A44&amp;B44="","",IF(F44="Verificado",IF(OR(C44="",NOT(ISNUMBER(D44)),LEFT(E44,8)&lt;&gt;"https://"),"ERRO: Verificado exige versão, data e fonte HTTPS","Verificado pelo responsável (não certifica conformidade)"),"Não verificado: verificar na fonte oficial"))</f>
        <v/>
      </c>
    </row>
    <row r="45">
      <c r="A45" s="11" t="n"/>
      <c r="B45" s="12" t="n"/>
      <c r="C45" s="11" t="n"/>
      <c r="D45" s="14" t="n"/>
      <c r="E45" s="12" t="n"/>
      <c r="F45" s="13" t="n"/>
      <c r="G45" s="15">
        <f>IF(A45&amp;B45="","",IF(F45="Verificado",IF(OR(C45="",NOT(ISNUMBER(D45)),LEFT(E45,8)&lt;&gt;"https://"),"ERRO: Verificado exige versão, data e fonte HTTPS","Verificado pelo responsável (não certifica conformidade)"),"Não verificado: verificar na fonte oficial"))</f>
        <v/>
      </c>
    </row>
    <row r="46">
      <c r="A46" s="11" t="n"/>
      <c r="B46" s="12" t="n"/>
      <c r="C46" s="11" t="n"/>
      <c r="D46" s="14" t="n"/>
      <c r="E46" s="12" t="n"/>
      <c r="F46" s="13" t="n"/>
      <c r="G46" s="15">
        <f>IF(A46&amp;B46="","",IF(F46="Verificado",IF(OR(C46="",NOT(ISNUMBER(D46)),LEFT(E46,8)&lt;&gt;"https://"),"ERRO: Verificado exige versão, data e fonte HTTPS","Verificado pelo responsável (não certifica conformidade)"),"Não verificado: verificar na fonte oficial"))</f>
        <v/>
      </c>
    </row>
    <row r="47">
      <c r="A47" s="11" t="n"/>
      <c r="B47" s="12" t="n"/>
      <c r="C47" s="11" t="n"/>
      <c r="D47" s="14" t="n"/>
      <c r="E47" s="12" t="n"/>
      <c r="F47" s="13" t="n"/>
      <c r="G47" s="15">
        <f>IF(A47&amp;B47="","",IF(F47="Verificado",IF(OR(C47="",NOT(ISNUMBER(D47)),LEFT(E47,8)&lt;&gt;"https://"),"ERRO: Verificado exige versão, data e fonte HTTPS","Verificado pelo responsável (não certifica conformidade)"),"Não verificado: verificar na fonte oficial"))</f>
        <v/>
      </c>
    </row>
    <row r="48">
      <c r="A48" s="11" t="n"/>
      <c r="B48" s="12" t="n"/>
      <c r="C48" s="11" t="n"/>
      <c r="D48" s="14" t="n"/>
      <c r="E48" s="12" t="n"/>
      <c r="F48" s="13" t="n"/>
      <c r="G48" s="15">
        <f>IF(A48&amp;B48="","",IF(F48="Verificado",IF(OR(C48="",NOT(ISNUMBER(D48)),LEFT(E48,8)&lt;&gt;"https://"),"ERRO: Verificado exige versão, data e fonte HTTPS","Verificado pelo responsável (não certifica conformidade)"),"Não verificado: verificar na fonte oficial"))</f>
        <v/>
      </c>
    </row>
    <row r="49">
      <c r="A49" s="11" t="n"/>
      <c r="B49" s="12" t="n"/>
      <c r="C49" s="11" t="n"/>
      <c r="D49" s="14" t="n"/>
      <c r="E49" s="12" t="n"/>
      <c r="F49" s="13" t="n"/>
      <c r="G49" s="15">
        <f>IF(A49&amp;B49="","",IF(F49="Verificado",IF(OR(C49="",NOT(ISNUMBER(D49)),LEFT(E49,8)&lt;&gt;"https://"),"ERRO: Verificado exige versão, data e fonte HTTPS","Verificado pelo responsável (não certifica conformidade)"),"Não verificado: verificar na fonte oficial"))</f>
        <v/>
      </c>
    </row>
    <row r="50">
      <c r="A50" s="11" t="n"/>
      <c r="B50" s="12" t="n"/>
      <c r="C50" s="11" t="n"/>
      <c r="D50" s="14" t="n"/>
      <c r="E50" s="12" t="n"/>
      <c r="F50" s="13" t="n"/>
      <c r="G50" s="15">
        <f>IF(A50&amp;B50="","",IF(F50="Verificado",IF(OR(C50="",NOT(ISNUMBER(D50)),LEFT(E50,8)&lt;&gt;"https://"),"ERRO: Verificado exige versão, data e fonte HTTPS","Verificado pelo responsável (não certifica conformidade)"),"Não verificado: verificar na fonte oficial"))</f>
        <v/>
      </c>
    </row>
    <row r="51">
      <c r="A51" s="11" t="n"/>
      <c r="B51" s="12" t="n"/>
      <c r="C51" s="11" t="n"/>
      <c r="D51" s="14" t="n"/>
      <c r="E51" s="12" t="n"/>
      <c r="F51" s="13" t="n"/>
      <c r="G51" s="15">
        <f>IF(A51&amp;B51="","",IF(F51="Verificado",IF(OR(C51="",NOT(ISNUMBER(D51)),LEFT(E51,8)&lt;&gt;"https://"),"ERRO: Verificado exige versão, data e fonte HTTPS","Verificado pelo responsável (não certifica conformidade)"),"Não verificado: verificar na fonte oficial"))</f>
        <v/>
      </c>
    </row>
    <row r="52">
      <c r="A52" s="11" t="n"/>
      <c r="B52" s="12" t="n"/>
      <c r="C52" s="11" t="n"/>
      <c r="D52" s="14" t="n"/>
      <c r="E52" s="12" t="n"/>
      <c r="F52" s="13" t="n"/>
      <c r="G52" s="15">
        <f>IF(A52&amp;B52="","",IF(F52="Verificado",IF(OR(C52="",NOT(ISNUMBER(D52)),LEFT(E52,8)&lt;&gt;"https://"),"ERRO: Verificado exige versão, data e fonte HTTPS","Verificado pelo responsável (não certifica conformidade)"),"Não verificado: verificar na fonte oficial"))</f>
        <v/>
      </c>
    </row>
    <row r="53">
      <c r="A53" s="11" t="n"/>
      <c r="B53" s="12" t="n"/>
      <c r="C53" s="11" t="n"/>
      <c r="D53" s="14" t="n"/>
      <c r="E53" s="12" t="n"/>
      <c r="F53" s="13" t="n"/>
      <c r="G53" s="15">
        <f>IF(A53&amp;B53="","",IF(F53="Verificado",IF(OR(C53="",NOT(ISNUMBER(D53)),LEFT(E53,8)&lt;&gt;"https://"),"ERRO: Verificado exige versão, data e fonte HTTPS","Verificado pelo responsável (não certifica conformidade)"),"Não verificado: verificar na fonte oficial"))</f>
        <v/>
      </c>
    </row>
    <row r="54">
      <c r="A54" s="11" t="n"/>
      <c r="B54" s="12" t="n"/>
      <c r="C54" s="11" t="n"/>
      <c r="D54" s="14" t="n"/>
      <c r="E54" s="12" t="n"/>
      <c r="F54" s="13" t="n"/>
      <c r="G54" s="15">
        <f>IF(A54&amp;B54="","",IF(F54="Verificado",IF(OR(C54="",NOT(ISNUMBER(D54)),LEFT(E54,8)&lt;&gt;"https://"),"ERRO: Verificado exige versão, data e fonte HTTPS","Verificado pelo responsável (não certifica conformidade)"),"Não verificado: verificar na fonte oficial"))</f>
        <v/>
      </c>
    </row>
    <row r="55">
      <c r="A55" s="11" t="n"/>
      <c r="B55" s="12" t="n"/>
      <c r="C55" s="11" t="n"/>
      <c r="D55" s="14" t="n"/>
      <c r="E55" s="12" t="n"/>
      <c r="F55" s="13" t="n"/>
      <c r="G55" s="15">
        <f>IF(A55&amp;B55="","",IF(F55="Verificado",IF(OR(C55="",NOT(ISNUMBER(D55)),LEFT(E55,8)&lt;&gt;"https://"),"ERRO: Verificado exige versão, data e fonte HTTPS","Verificado pelo responsável (não certifica conformidade)"),"Não verificado: verificar na fonte oficial"))</f>
        <v/>
      </c>
    </row>
    <row r="56">
      <c r="A56" s="11" t="n"/>
      <c r="B56" s="12" t="n"/>
      <c r="C56" s="11" t="n"/>
      <c r="D56" s="14" t="n"/>
      <c r="E56" s="12" t="n"/>
      <c r="F56" s="13" t="n"/>
      <c r="G56" s="15">
        <f>IF(A56&amp;B56="","",IF(F56="Verificado",IF(OR(C56="",NOT(ISNUMBER(D56)),LEFT(E56,8)&lt;&gt;"https://"),"ERRO: Verificado exige versão, data e fonte HTTPS","Verificado pelo responsável (não certifica conformidade)"),"Não verificado: verificar na fonte oficial"))</f>
        <v/>
      </c>
    </row>
    <row r="57">
      <c r="A57" s="11" t="n"/>
      <c r="B57" s="12" t="n"/>
      <c r="C57" s="11" t="n"/>
      <c r="D57" s="14" t="n"/>
      <c r="E57" s="12" t="n"/>
      <c r="F57" s="13" t="n"/>
      <c r="G57" s="15">
        <f>IF(A57&amp;B57="","",IF(F57="Verificado",IF(OR(C57="",NOT(ISNUMBER(D57)),LEFT(E57,8)&lt;&gt;"https://"),"ERRO: Verificado exige versão, data e fonte HTTPS","Verificado pelo responsável (não certifica conformidade)"),"Não verificado: verificar na fonte oficial"))</f>
        <v/>
      </c>
    </row>
    <row r="58">
      <c r="A58" s="11" t="n"/>
      <c r="B58" s="12" t="n"/>
      <c r="C58" s="11" t="n"/>
      <c r="D58" s="14" t="n"/>
      <c r="E58" s="12" t="n"/>
      <c r="F58" s="13" t="n"/>
      <c r="G58" s="15">
        <f>IF(A58&amp;B58="","",IF(F58="Verificado",IF(OR(C58="",NOT(ISNUMBER(D58)),LEFT(E58,8)&lt;&gt;"https://"),"ERRO: Verificado exige versão, data e fonte HTTPS","Verificado pelo responsável (não certifica conformidade)"),"Não verificado: verificar na fonte oficial"))</f>
        <v/>
      </c>
    </row>
    <row r="59">
      <c r="A59" s="11" t="n"/>
      <c r="B59" s="12" t="n"/>
      <c r="C59" s="11" t="n"/>
      <c r="D59" s="14" t="n"/>
      <c r="E59" s="12" t="n"/>
      <c r="F59" s="13" t="n"/>
      <c r="G59" s="15">
        <f>IF(A59&amp;B59="","",IF(F59="Verificado",IF(OR(C59="",NOT(ISNUMBER(D59)),LEFT(E59,8)&lt;&gt;"https://"),"ERRO: Verificado exige versão, data e fonte HTTPS","Verificado pelo responsável (não certifica conformidade)"),"Não verificado: verificar na fonte oficial"))</f>
        <v/>
      </c>
    </row>
    <row r="60">
      <c r="A60" s="11" t="n"/>
      <c r="B60" s="12" t="n"/>
      <c r="C60" s="11" t="n"/>
      <c r="D60" s="14" t="n"/>
      <c r="E60" s="12" t="n"/>
      <c r="F60" s="13" t="n"/>
      <c r="G60" s="15">
        <f>IF(A60&amp;B60="","",IF(F60="Verificado",IF(OR(C60="",NOT(ISNUMBER(D60)),LEFT(E60,8)&lt;&gt;"https://"),"ERRO: Verificado exige versão, data e fonte HTTPS","Verificado pelo responsável (não certifica conformidade)"),"Não verificado: verificar na fonte oficial"))</f>
        <v/>
      </c>
    </row>
    <row r="61">
      <c r="A61" s="11" t="n"/>
      <c r="B61" s="12" t="n"/>
      <c r="C61" s="11" t="n"/>
      <c r="D61" s="14" t="n"/>
      <c r="E61" s="12" t="n"/>
      <c r="F61" s="13" t="n"/>
      <c r="G61" s="15">
        <f>IF(A61&amp;B61="","",IF(F61="Verificado",IF(OR(C61="",NOT(ISNUMBER(D61)),LEFT(E61,8)&lt;&gt;"https://"),"ERRO: Verificado exige versão, data e fonte HTTPS","Verificado pelo responsável (não certifica conformidade)"),"Não verificado: verificar na fonte oficial"))</f>
        <v/>
      </c>
    </row>
    <row r="62">
      <c r="A62" s="11" t="n"/>
      <c r="B62" s="12" t="n"/>
      <c r="C62" s="11" t="n"/>
      <c r="D62" s="14" t="n"/>
      <c r="E62" s="12" t="n"/>
      <c r="F62" s="13" t="n"/>
      <c r="G62" s="15">
        <f>IF(A62&amp;B62="","",IF(F62="Verificado",IF(OR(C62="",NOT(ISNUMBER(D62)),LEFT(E62,8)&lt;&gt;"https://"),"ERRO: Verificado exige versão, data e fonte HTTPS","Verificado pelo responsável (não certifica conformidade)"),"Não verificado: verificar na fonte oficial"))</f>
        <v/>
      </c>
    </row>
    <row r="63">
      <c r="A63" s="11" t="n"/>
      <c r="B63" s="12" t="n"/>
      <c r="C63" s="11" t="n"/>
      <c r="D63" s="14" t="n"/>
      <c r="E63" s="12" t="n"/>
      <c r="F63" s="13" t="n"/>
      <c r="G63" s="15">
        <f>IF(A63&amp;B63="","",IF(F63="Verificado",IF(OR(C63="",NOT(ISNUMBER(D63)),LEFT(E63,8)&lt;&gt;"https://"),"ERRO: Verificado exige versão, data e fonte HTTPS","Verificado pelo responsável (não certifica conformidade)"),"Não verificado: verificar na fonte oficial"))</f>
        <v/>
      </c>
    </row>
    <row r="64">
      <c r="A64" s="11" t="n"/>
      <c r="B64" s="12" t="n"/>
      <c r="C64" s="11" t="n"/>
      <c r="D64" s="14" t="n"/>
      <c r="E64" s="12" t="n"/>
      <c r="F64" s="13" t="n"/>
      <c r="G64" s="15">
        <f>IF(A64&amp;B64="","",IF(F64="Verificado",IF(OR(C64="",NOT(ISNUMBER(D64)),LEFT(E64,8)&lt;&gt;"https://"),"ERRO: Verificado exige versão, data e fonte HTTPS","Verificado pelo responsável (não certifica conformidade)"),"Não verificado: verificar na fonte oficial"))</f>
        <v/>
      </c>
    </row>
    <row r="65">
      <c r="A65" s="11" t="n"/>
      <c r="B65" s="12" t="n"/>
      <c r="C65" s="11" t="n"/>
      <c r="D65" s="14" t="n"/>
      <c r="E65" s="12" t="n"/>
      <c r="F65" s="13" t="n"/>
      <c r="G65" s="15">
        <f>IF(A65&amp;B65="","",IF(F65="Verificado",IF(OR(C65="",NOT(ISNUMBER(D65)),LEFT(E65,8)&lt;&gt;"https://"),"ERRO: Verificado exige versão, data e fonte HTTPS","Verificado pelo responsável (não certifica conformidade)"),"Não verificado: verificar na fonte oficial"))</f>
        <v/>
      </c>
    </row>
    <row r="66">
      <c r="A66" s="11" t="n"/>
      <c r="B66" s="12" t="n"/>
      <c r="C66" s="11" t="n"/>
      <c r="D66" s="14" t="n"/>
      <c r="E66" s="12" t="n"/>
      <c r="F66" s="13" t="n"/>
      <c r="G66" s="15">
        <f>IF(A66&amp;B66="","",IF(F66="Verificado",IF(OR(C66="",NOT(ISNUMBER(D66)),LEFT(E66,8)&lt;&gt;"https://"),"ERRO: Verificado exige versão, data e fonte HTTPS","Verificado pelo responsável (não certifica conformidade)"),"Não verificado: verificar na fonte oficial"))</f>
        <v/>
      </c>
    </row>
    <row r="67">
      <c r="A67" s="11" t="n"/>
      <c r="B67" s="12" t="n"/>
      <c r="C67" s="11" t="n"/>
      <c r="D67" s="14" t="n"/>
      <c r="E67" s="12" t="n"/>
      <c r="F67" s="13" t="n"/>
      <c r="G67" s="15">
        <f>IF(A67&amp;B67="","",IF(F67="Verificado",IF(OR(C67="",NOT(ISNUMBER(D67)),LEFT(E67,8)&lt;&gt;"https://"),"ERRO: Verificado exige versão, data e fonte HTTPS","Verificado pelo responsável (não certifica conformidade)"),"Não verificado: verificar na fonte oficial"))</f>
        <v/>
      </c>
    </row>
    <row r="68">
      <c r="A68" s="11" t="n"/>
      <c r="B68" s="12" t="n"/>
      <c r="C68" s="11" t="n"/>
      <c r="D68" s="14" t="n"/>
      <c r="E68" s="12" t="n"/>
      <c r="F68" s="13" t="n"/>
      <c r="G68" s="15">
        <f>IF(A68&amp;B68="","",IF(F68="Verificado",IF(OR(C68="",NOT(ISNUMBER(D68)),LEFT(E68,8)&lt;&gt;"https://"),"ERRO: Verificado exige versão, data e fonte HTTPS","Verificado pelo responsável (não certifica conformidade)"),"Não verificado: verificar na fonte oficial"))</f>
        <v/>
      </c>
    </row>
  </sheetData>
  <mergeCells count="12">
    <mergeCell ref="A14:G14"/>
    <mergeCell ref="D9:G9"/>
    <mergeCell ref="D12:G12"/>
    <mergeCell ref="A37:G37"/>
    <mergeCell ref="D8:G8"/>
    <mergeCell ref="D6:G6"/>
    <mergeCell ref="D7:G7"/>
    <mergeCell ref="B1:F2"/>
    <mergeCell ref="D11:G11"/>
    <mergeCell ref="D10:G10"/>
    <mergeCell ref="A5:G5"/>
    <mergeCell ref="A1:A2"/>
  </mergeCells>
  <conditionalFormatting sqref="A16:F35">
    <cfRule type="expression" priority="1" dxfId="2">
      <formula>$E16="Não"</formula>
    </cfRule>
  </conditionalFormatting>
  <conditionalFormatting sqref="F16:F35">
    <cfRule type="expression" priority="2" dxfId="0" stopIfTrue="1">
      <formula>OR(LEFT(F16,4)="ERRO",LEFT(F16,7)="ATENÇÃO")</formula>
    </cfRule>
    <cfRule type="expression" priority="3" dxfId="1" stopIfTrue="1">
      <formula>OR(LEFT(F16,8)="Pendente",LEFT(F16,9)="Verificar",LEFT(F16,9)="Duplicada",LEFT(F16,7)="Tarefa ",LEFT(F16,13)="Fora do plano",LEFT(F16,8)="Previsão",LEFT(F16,11)="Sem vínculo",LEFT(F16,14)="Não verificado",LEFT(F16,7)="Informe")</formula>
    </cfRule>
  </conditionalFormatting>
  <conditionalFormatting sqref="G39:G68">
    <cfRule type="expression" priority="4" dxfId="0" stopIfTrue="1">
      <formula>OR(LEFT(G39,4)="ERRO",LEFT(G39,7)="ATENÇÃO")</formula>
    </cfRule>
    <cfRule type="expression" priority="5" dxfId="1" stopIfTrue="1">
      <formula>OR(LEFT(G39,8)="Pendente",LEFT(G39,9)="Verificar",LEFT(G39,9)="Duplicada",LEFT(G39,7)="Tarefa ",LEFT(G39,13)="Fora do plano",LEFT(G39,8)="Previsão",LEFT(G39,11)="Sem vínculo",LEFT(G39,14)="Não verificado",LEFT(G39,7)="Informe")</formula>
    </cfRule>
  </conditionalFormatting>
  <dataValidations count="9">
    <dataValidation sqref="B10" showDropDown="0" showInputMessage="0" showErrorMessage="1" allowBlank="1" errorTitle="Valor não aceito" error="Use um ID do bloco Pessoas." type="list">
      <formula1>=cad_pessoa_id</formula1>
    </dataValidation>
    <dataValidation sqref="B11" showDropDown="0" showInputMessage="0" showErrorMessage="1" allowBlank="1" errorTitle="Valor não aceito" error="Use um ID do bloco Pessoas." type="list">
      <formula1>=cad_pessoa_id</formula1>
    </dataValidation>
    <dataValidation sqref="B12" showDropDown="0" showInputMessage="0" showErrorMessage="1" allowBlank="1" errorTitle="Meta não aceita" error="Informe um percentual entre 0% e 100%. Vazio = A definir." type="decimal" operator="between">
      <formula1>0</formula1>
      <formula2>1</formula2>
    </dataValidation>
    <dataValidation sqref="A16:A35" showDropDown="0" showInputMessage="1" showErrorMessage="1" allowBlank="1" errorTitle="Valor não aceito" error="ID técnico: sem espaços e sem o caractere |." promptTitle="ID da pessoa" prompt="ID técnico estável (letras sem acento, números, hífen ou sublinhado)." type="custom">
      <formula1>AND(LEN(A16)&lt;=120,ISERROR(FIND("|",A16)),ISERROR(FIND(" ",A16)))</formula1>
    </dataValidation>
    <dataValidation sqref="E16:E35" showDropDown="0" showInputMessage="1" showErrorMessage="1" allowBlank="1" errorTitle="Valor não aceito" error="Use Sim ou Não." promptTitle="Ativa" prompt="Escolha Sim ou Não." type="list">
      <formula1>=lst_sim_nao</formula1>
    </dataValidation>
    <dataValidation sqref="A39:A68" showDropDown="0" showInputMessage="1" showErrorMessage="1" allowBlank="1" errorTitle="Valor não aceito" error="ID técnico: sem espaços e sem o caractere |." promptTitle="ID do requisito" prompt="ID técnico estável (letras sem acento, números, hífen ou sublinhado)." type="custom">
      <formula1>AND(LEN(A39)&lt;=120,ISERROR(FIND("|",A39)),ISERROR(FIND(" ",A39)))</formula1>
    </dataValidation>
    <dataValidation sqref="D39:D68" showDropDown="0" showInputMessage="1" showErrorMessage="1" allowBlank="1" errorTitle="Valor não aceito" error="Informe uma data válida (dd/mm/aaaa)." promptTitle="Data" prompt="Data real do Excel, exibida em dd/mm/aaaa." type="date" operator="between">
      <formula1>1</formula1>
      <formula2>2958465</formula2>
    </dataValidation>
    <dataValidation sqref="E39:E68" showDropDown="0" showInputMessage="1" showErrorMessage="1" allowBlank="1" errorTitle="Valor não aceito" error="Use um link que comece com https://" promptTitle="Fonte oficial (HTTPS)" prompt="Link HTTPS da fonte oficial (texto, sem hiperlink automático)." type="custom">
      <formula1>OR(E39="",LEFT(E39,8)="https://")</formula1>
    </dataValidation>
    <dataValidation sqref="F39:F68" showDropDown="0" showInputMessage="1" showErrorMessage="1" allowBlank="1" errorTitle="Valor não aceito" error="Use Não verificado ou Verificado." promptTitle="Status" prompt="Verificado exige versão, data e fonte HTTPS; não certifica conformidade." type="list">
      <formula1>=lst_status_requisito</formula1>
    </dataValidation>
  </dataValidations>
  <pageMargins left="0.45" right="0.45" top="0.75" bottom="0.85" header="0.3" footer="0.3"/>
  <pageSetup orientation="landscape" paperSize="9" fitToHeight="0" fitToWidth="1" pageOrder="overThenDown"/>
  <headerFooter>
    <oddHeader>&amp;L&amp;"Arial Narrow,Regular"&amp;7 &amp;K64717D&amp;F  ·  &amp;A&amp;C&amp;"Arial Narrow,Regular"&amp;7 &amp;K64717DPCM Direto  ·  PCMD-01&amp;R&amp;"Arial Narrow,Regular"&amp;7 &amp;K64717DImpresso em &amp;D  ·  Pág. &amp;P de &amp;N</oddHeader>
    <oddFooter>&amp;L&amp;7 &amp;K64717DO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rowBreaks count="1" manualBreakCount="1">
    <brk id="36" min="0" max="16383" man="1"/>
  </rowBreaks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6" customWidth="1" min="3" max="3"/>
    <col width="20" customWidth="1" min="4" max="4"/>
    <col width="16" customWidth="1" min="5" max="5"/>
    <col width="16" customWidth="1" min="6" max="6"/>
  </cols>
  <sheetData>
    <row r="1" ht="33" customHeight="1">
      <c r="A1" s="1" t="n"/>
      <c r="B1" s="2" t="n"/>
      <c r="C1" s="3" t="inlineStr">
        <is>
          <t>Controle documental</t>
        </is>
      </c>
      <c r="D1" s="2" t="n"/>
      <c r="E1" s="5">
        <f>"Rev. "&amp;IF(cfg_revisao="","—",cfg_revisao)&amp;IF(ISNUMBER(cfg_data_revisao),"   ·   "&amp;RIGHT("0"&amp;DAY(cfg_data_revisao),2)&amp;"/"&amp;RIGHT("0"&amp;MONTH(cfg_data_revisao),2)&amp;"/"&amp;YEAR(cfg_data_revisao),"")</f>
        <v/>
      </c>
      <c r="F1" s="2" t="n"/>
    </row>
    <row r="2" ht="33" customHeight="1">
      <c r="A2" s="6" t="n"/>
      <c r="B2" s="7" t="n"/>
      <c r="C2" s="6" t="n"/>
      <c r="D2" s="7" t="n"/>
      <c r="E2" s="9">
        <f>"Elaborado: "&amp;IF(cfg_elaborado="","A definir",cfg_elaborado)&amp;CHAR(10)&amp;"Aprovado: "&amp;IF(cfg_aprovado="","A definir",cfg_aprovado)</f>
        <v/>
      </c>
      <c r="F2" s="7" t="n"/>
    </row>
    <row r="3" hidden="1"/>
    <row r="4" hidden="1"/>
    <row r="5" hidden="1"/>
    <row r="7" ht="21" customHeight="1">
      <c r="A7" s="21" t="inlineStr">
        <is>
          <t>1    COMO USAR</t>
        </is>
      </c>
      <c r="B7" s="22" t="n"/>
      <c r="C7" s="22" t="n"/>
      <c r="D7" s="22" t="n"/>
      <c r="E7" s="22" t="n"/>
      <c r="F7" s="22" t="n"/>
    </row>
    <row r="8" ht="19" customHeight="1">
      <c r="A8" s="34" t="inlineStr">
        <is>
          <t>1)  Em Cadastros, preencha a organização e cadastre as pessoas.</t>
        </is>
      </c>
      <c r="B8" s="35" t="n"/>
      <c r="C8" s="35" t="n"/>
      <c r="D8" s="35" t="n"/>
      <c r="E8" s="35" t="n"/>
      <c r="F8" s="36" t="n"/>
    </row>
    <row r="9" ht="19" customHeight="1">
      <c r="A9" s="34" t="inlineStr">
        <is>
          <t>2)  Ainda em Cadastros, registre as referências (começam Não verificado).</t>
        </is>
      </c>
      <c r="B9" s="35" t="n"/>
      <c r="C9" s="35" t="n"/>
      <c r="D9" s="35" t="n"/>
      <c r="E9" s="35" t="n"/>
      <c r="F9" s="36" t="n"/>
    </row>
    <row r="10" ht="19" customHeight="1">
      <c r="A10" s="34" t="inlineStr">
        <is>
          <t>3)  Mantenha a Lista Mestra e as Revisões a cada mudança. A revisão do PCMD-01 na Lista Mestra aparece no cabeçalho.</t>
        </is>
      </c>
      <c r="B10" s="35" t="n"/>
      <c r="C10" s="35" t="n"/>
      <c r="D10" s="35" t="n"/>
      <c r="E10" s="35" t="n"/>
      <c r="F10" s="36" t="n"/>
    </row>
    <row r="11" ht="19" customHeight="1">
      <c r="A11" s="34" t="inlineStr">
        <is>
          <t>Fundo azul-claro: preencher. Texto cinza: automático (fórmula, não digite). ERRO em vermelho e Pendente em amarelo pedem ação.</t>
        </is>
      </c>
      <c r="B11" s="35" t="n"/>
      <c r="C11" s="35" t="n"/>
      <c r="D11" s="35" t="n"/>
      <c r="E11" s="35" t="n"/>
      <c r="F11" s="36" t="n"/>
    </row>
    <row r="12" ht="19" customHeight="1">
      <c r="A12" s="37" t="inlineStr">
        <is>
          <t>Lista Mestra</t>
        </is>
      </c>
      <c r="B12" s="34" t="inlineStr">
        <is>
          <t>Um documento por linha: revisão, datas, elaborador, aprovador e situação.</t>
        </is>
      </c>
      <c r="C12" s="35" t="n"/>
      <c r="D12" s="35" t="n"/>
      <c r="E12" s="35" t="n"/>
      <c r="F12" s="36" t="n"/>
    </row>
    <row r="13" ht="19" customHeight="1">
      <c r="A13" s="37" t="inlineStr">
        <is>
          <t>Revisões</t>
        </is>
      </c>
      <c r="B13" s="34" t="inlineStr">
        <is>
          <t>Uma linha por revisão de cada documento.</t>
        </is>
      </c>
      <c r="C13" s="35" t="n"/>
      <c r="D13" s="35" t="n"/>
      <c r="E13" s="35" t="n"/>
      <c r="F13" s="36" t="n"/>
    </row>
    <row r="14" ht="19" customHeight="1">
      <c r="A14" s="37" t="inlineStr">
        <is>
          <t>Cadastros</t>
        </is>
      </c>
      <c r="B14" s="34" t="inlineStr">
        <is>
          <t>Organização, pessoas e requisitos (Verificado exige versão, data e fonte HTTPS).</t>
        </is>
      </c>
      <c r="C14" s="35" t="n"/>
      <c r="D14" s="35" t="n"/>
      <c r="E14" s="35" t="n"/>
      <c r="F14" s="36" t="n"/>
    </row>
    <row r="15" ht="19" customHeight="1">
      <c r="A15" s="37" t="inlineStr">
        <is>
          <t>Listas</t>
        </is>
      </c>
      <c r="B15" s="34" t="inlineStr">
        <is>
          <t>Valores aceitos nas listas suspensas.</t>
        </is>
      </c>
      <c r="C15" s="35" t="n"/>
      <c r="D15" s="35" t="n"/>
      <c r="E15" s="35" t="n"/>
      <c r="F15" s="36" t="n"/>
    </row>
    <row r="17" ht="21" customHeight="1">
      <c r="A17" s="21" t="inlineStr">
        <is>
          <t>2    PARÂMETROS DO DOCUMENTO</t>
        </is>
      </c>
      <c r="B17" s="22" t="n"/>
      <c r="C17" s="22" t="n"/>
      <c r="D17" s="22" t="n"/>
    </row>
    <row r="18" ht="24" customHeight="1">
      <c r="A18" s="10" t="inlineStr">
        <is>
          <t>Parâmetro</t>
        </is>
      </c>
      <c r="B18" s="38" t="n"/>
      <c r="C18" s="10" t="inlineStr">
        <is>
          <t>Valor</t>
        </is>
      </c>
      <c r="D18" s="38" t="n"/>
    </row>
    <row r="19" ht="19.5" customHeight="1">
      <c r="A19" s="25" t="inlineStr">
        <is>
          <t>Elaborado por</t>
        </is>
      </c>
      <c r="B19" s="39" t="n"/>
      <c r="C19" s="40" t="inlineStr">
        <is>
          <t>Pessoa A</t>
        </is>
      </c>
      <c r="D19" s="39" t="n"/>
    </row>
    <row r="20" ht="19.5" customHeight="1">
      <c r="A20" s="25" t="inlineStr">
        <is>
          <t>Aprovado por (só após aprovação)</t>
        </is>
      </c>
      <c r="B20" s="39" t="n"/>
      <c r="C20" s="40" t="n"/>
      <c r="D20" s="39" t="n"/>
    </row>
    <row r="21" ht="28" customHeight="1">
      <c r="A21" s="25" t="inlineStr">
        <is>
          <t>Revisão atual (automática, da Lista Mestra)</t>
        </is>
      </c>
      <c r="B21" s="39" t="n"/>
      <c r="C21" s="41">
        <f>IFERROR(INDEX('Lista Mestra'!$D$4:$D$53,MATCH("PCMD-01",'Lista Mestra'!$A$4:$A$53,0))&amp;"","")</f>
        <v/>
      </c>
      <c r="D21" s="39" t="n"/>
    </row>
    <row r="22" ht="19.5" customHeight="1">
      <c r="A22" s="25" t="inlineStr">
        <is>
          <t>Data da revisão (automática)</t>
        </is>
      </c>
      <c r="B22" s="39" t="n"/>
      <c r="C22" s="42">
        <f>IFERROR(IF(INDEX('Lista Mestra'!$E$4:$E$53,MATCH("PCMD-01",'Lista Mestra'!$A$4:$A$53,0))="","",INDEX('Lista Mestra'!$E$4:$E$53,MATCH("PCMD-01",'Lista Mestra'!$A$4:$A$53,0))),"")</f>
        <v/>
      </c>
      <c r="D22" s="39" t="n"/>
    </row>
    <row r="23" ht="19.5" customHeight="1">
      <c r="A23" s="25" t="inlineStr">
        <is>
          <t>Origem dos dados</t>
        </is>
      </c>
      <c r="B23" s="39" t="n"/>
      <c r="C23" s="40" t="inlineStr">
        <is>
          <t>Demonstração fictícia gerada com a lógica do PCM Direto (não é exportação do app)</t>
        </is>
      </c>
      <c r="D23" s="39" t="n"/>
    </row>
    <row r="24" ht="19.5" customHeight="1">
      <c r="A24" s="25" t="inlineStr">
        <is>
          <t>Data de emissão</t>
        </is>
      </c>
      <c r="B24" s="39" t="n"/>
      <c r="C24" s="43" t="n">
        <v>46318</v>
      </c>
      <c r="D24" s="39" t="n"/>
    </row>
    <row r="26" ht="21" customHeight="1">
      <c r="A26" s="21" t="inlineStr">
        <is>
          <t>3    CONFERÊNCIAS</t>
        </is>
      </c>
      <c r="B26" s="22" t="n"/>
      <c r="C26" s="22" t="n"/>
      <c r="D26" s="22" t="n"/>
      <c r="E26" s="22" t="n"/>
      <c r="F26" s="22" t="n"/>
    </row>
    <row r="27" ht="24" customHeight="1">
      <c r="A27" s="10" t="inlineStr">
        <is>
          <t>Aba</t>
        </is>
      </c>
      <c r="B27" s="10" t="inlineStr">
        <is>
          <t>Linhas preenchidas</t>
        </is>
      </c>
      <c r="C27" s="10" t="inlineStr">
        <is>
          <t>Linhas com ERRO</t>
        </is>
      </c>
      <c r="D27" s="10" t="inlineStr">
        <is>
          <t>Capacidade</t>
        </is>
      </c>
      <c r="E27" s="38" t="n"/>
      <c r="F27" s="38" t="n"/>
    </row>
    <row r="28" ht="19.5" customHeight="1">
      <c r="A28" s="44" t="inlineStr">
        <is>
          <t>Lista Mestra</t>
        </is>
      </c>
      <c r="B28" s="45">
        <f>COUNTA('Lista Mestra'!$A$4:$A$53)</f>
        <v/>
      </c>
      <c r="C28" s="45">
        <f>COUNTIF('Lista Mestra'!$J$4:$J$53,"ERRO*")</f>
        <v/>
      </c>
      <c r="D28" s="15">
        <f>IF(COUNTA('Lista Mestra'!$A$54:$A$2053)&gt;0,"ATENÇÃO: há dados além da linha 53; estenda fórmulas e nomes","OK")</f>
        <v/>
      </c>
      <c r="E28" s="39" t="n"/>
      <c r="F28" s="39" t="n"/>
    </row>
    <row r="29" ht="19.5" customHeight="1">
      <c r="A29" s="44" t="inlineStr">
        <is>
          <t>Pessoas</t>
        </is>
      </c>
      <c r="B29" s="45">
        <f>COUNTA('Cadastros'!$A$16:$A$35)</f>
        <v/>
      </c>
      <c r="C29" s="45">
        <f>COUNTIF('Cadastros'!$F$16:$F$35,"ERRO*")</f>
        <v/>
      </c>
      <c r="D29" s="15">
        <f>IF(COUNTA('Cadastros'!$A$36:$A$2035)&gt;0,"ATENÇÃO: há dados além da linha 35; estenda fórmulas e nomes","OK")</f>
        <v/>
      </c>
      <c r="E29" s="39" t="n"/>
      <c r="F29" s="39" t="n"/>
    </row>
    <row r="30" ht="19.5" customHeight="1">
      <c r="A30" s="44" t="inlineStr">
        <is>
          <t>Requisitos</t>
        </is>
      </c>
      <c r="B30" s="45">
        <f>COUNTA('Cadastros'!$A$39:$A$68)</f>
        <v/>
      </c>
      <c r="C30" s="45">
        <f>COUNTIF('Cadastros'!$G$39:$G$68,"ERRO*")</f>
        <v/>
      </c>
      <c r="D30" s="15">
        <f>IF(COUNTA('Cadastros'!$A$69:$A$2068)&gt;0,"ATENÇÃO: há dados além da linha 68; estenda fórmulas e nomes","OK")</f>
        <v/>
      </c>
      <c r="E30" s="39" t="n"/>
      <c r="F30" s="39" t="n"/>
    </row>
    <row r="32" ht="24" customHeight="1">
      <c r="A32" s="46" t="inlineStr">
        <is>
          <t>Modelo 1.0.0 · Thiago Oliveira Lima · pcmdireto@gmail.com · Licença MIT · Sem macros, vínculos externos ou envio de dados. Regras completas: COMO-USAR.md.</t>
        </is>
      </c>
    </row>
  </sheetData>
  <mergeCells count="34">
    <mergeCell ref="A17:D17"/>
    <mergeCell ref="A24:B24"/>
    <mergeCell ref="C24:D24"/>
    <mergeCell ref="D27:F27"/>
    <mergeCell ref="A26:F26"/>
    <mergeCell ref="C20:D20"/>
    <mergeCell ref="B12:F12"/>
    <mergeCell ref="D28:F28"/>
    <mergeCell ref="E1:F1"/>
    <mergeCell ref="A32:F32"/>
    <mergeCell ref="A8:F8"/>
    <mergeCell ref="C22:D22"/>
    <mergeCell ref="B14:F14"/>
    <mergeCell ref="A18:B18"/>
    <mergeCell ref="D30:F30"/>
    <mergeCell ref="B13:F13"/>
    <mergeCell ref="A21:B21"/>
    <mergeCell ref="A10:F10"/>
    <mergeCell ref="D29:F29"/>
    <mergeCell ref="C21:D21"/>
    <mergeCell ref="E2:F2"/>
    <mergeCell ref="A9:F9"/>
    <mergeCell ref="A23:B23"/>
    <mergeCell ref="A1:B2"/>
    <mergeCell ref="C23:D23"/>
    <mergeCell ref="A22:B22"/>
    <mergeCell ref="A11:F11"/>
    <mergeCell ref="A20:B20"/>
    <mergeCell ref="B15:F15"/>
    <mergeCell ref="A19:B19"/>
    <mergeCell ref="C1:D2"/>
    <mergeCell ref="C19:D19"/>
    <mergeCell ref="C18:D18"/>
    <mergeCell ref="A7:F7"/>
  </mergeCells>
  <conditionalFormatting sqref="D28:D30">
    <cfRule type="expression" priority="1" dxfId="0" stopIfTrue="1">
      <formula>OR(LEFT(D28,4)="ERRO",LEFT(D28,7)="ATENÇÃO")</formula>
    </cfRule>
    <cfRule type="expression" priority="2" dxfId="1" stopIfTrue="1">
      <formula>OR(LEFT(D28,8)="Pendente",LEFT(D28,9)="Verificar",LEFT(D28,9)="Duplicada",LEFT(D28,7)="Tarefa ",LEFT(D28,13)="Fora do plano",LEFT(D28,8)="Previsão",LEFT(D28,11)="Sem vínculo",LEFT(D28,14)="Não verificado",LEFT(D28,7)="Informe")</formula>
    </cfRule>
  </conditionalFormatting>
  <conditionalFormatting sqref="C28:C30">
    <cfRule type="expression" priority="3" dxfId="0">
      <formula>N(C28)&gt;0</formula>
    </cfRule>
  </conditionalFormatting>
  <dataValidations count="1">
    <dataValidation sqref="C24" showDropDown="0" showInputMessage="0" showErrorMessage="1" allowBlank="1" errorTitle="Data não aceita" error="Informe uma data válida (dd/mm/aaaa)." type="date" operator="between">
      <formula1>1</formula1>
      <formula2>2958465</formula2>
    </dataValidation>
  </dataValidations>
  <hyperlinks>
    <hyperlink ref="A12" location="'Lista Mestra'!A1" display="Lista Mestra"/>
    <hyperlink ref="A13" location="'Revisões'!A1" display="Revisões"/>
    <hyperlink ref="A14" location="'Cadastros'!A1" display="Cadastros"/>
    <hyperlink ref="A15" location="'Listas'!A1" display="Listas"/>
  </hyperlinks>
  <pageMargins left="0.45" right="0.45" top="0.75" bottom="0.85" header="0.3" footer="0.3"/>
  <pageSetup orientation="portrait" paperSize="9" fitToHeight="0" fitToWidth="1" pageOrder="overThenDown"/>
  <headerFooter>
    <oddHeader>&amp;L&amp;"Arial Narrow,Regular"&amp;7 &amp;K64717D&amp;F  ·  &amp;A&amp;C&amp;"Arial Narrow,Regular"&amp;7 &amp;K64717DPCM Direto  ·  PCMD-01&amp;R&amp;"Arial Narrow,Regular"&amp;7 &amp;K64717DImpresso em &amp;D  ·  Pág. &amp;P de &amp;N</oddHeader>
    <oddFooter>&amp;L&amp;7 &amp;K64717DO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" customWidth="1" min="2" max="2"/>
    <col width="16" customWidth="1" min="3" max="3"/>
    <col width="2" customWidth="1" min="4" max="4"/>
    <col width="9" customWidth="1" min="5" max="5"/>
    <col width="2" customWidth="1" min="6" max="6"/>
    <col width="15" customWidth="1" min="7" max="7"/>
    <col width="2" customWidth="1" min="8" max="8"/>
    <col width="24" customWidth="1" min="9" max="9"/>
    <col width="26" customWidth="1" min="10" max="10"/>
  </cols>
  <sheetData>
    <row r="1" ht="33" customHeight="1">
      <c r="A1" s="1" t="n"/>
      <c r="B1" s="4" t="n"/>
      <c r="C1" s="2" t="n"/>
      <c r="D1" s="3" t="inlineStr">
        <is>
          <t>Listas</t>
        </is>
      </c>
      <c r="E1" s="4" t="n"/>
      <c r="F1" s="4" t="n"/>
      <c r="G1" s="4" t="n"/>
      <c r="H1" s="4" t="n"/>
      <c r="I1" s="2" t="n"/>
      <c r="J1" s="16">
        <f>"Rev. "&amp;IF(cfg_revisao="","—",cfg_revisao)&amp;IF(ISNUMBER(cfg_data_revisao),"   ·   "&amp;RIGHT("0"&amp;DAY(cfg_data_revisao),2)&amp;"/"&amp;RIGHT("0"&amp;MONTH(cfg_data_revisao),2)&amp;"/"&amp;YEAR(cfg_data_revisao),"")</f>
        <v/>
      </c>
    </row>
    <row r="2" ht="33" customHeight="1">
      <c r="A2" s="6" t="n"/>
      <c r="B2" s="8" t="n"/>
      <c r="C2" s="7" t="n"/>
      <c r="D2" s="6" t="n"/>
      <c r="E2" s="8" t="n"/>
      <c r="F2" s="8" t="n"/>
      <c r="G2" s="8" t="n"/>
      <c r="H2" s="8" t="n"/>
      <c r="I2" s="7" t="n"/>
      <c r="J2" s="17">
        <f>"Elaborado: "&amp;IF(cfg_elaborado="","A definir",cfg_elaborado)&amp;CHAR(10)&amp;"Aprovado: "&amp;IF(cfg_aprovado="","A definir",cfg_aprovado)</f>
        <v/>
      </c>
    </row>
    <row r="3" ht="24" customHeight="1">
      <c r="A3" s="10" t="inlineStr">
        <is>
          <t>Tipo de documento</t>
        </is>
      </c>
      <c r="C3" s="10" t="inlineStr">
        <is>
          <t>Situação do documento</t>
        </is>
      </c>
      <c r="E3" s="10" t="inlineStr">
        <is>
          <t>Sim/Não</t>
        </is>
      </c>
      <c r="G3" s="10" t="inlineStr">
        <is>
          <t>Status de requisito</t>
        </is>
      </c>
    </row>
    <row r="4">
      <c r="A4" s="47" t="inlineStr">
        <is>
          <t>Planilha (XLSX)</t>
        </is>
      </c>
      <c r="C4" s="47" t="inlineStr">
        <is>
          <t>Em elaboração</t>
        </is>
      </c>
      <c r="E4" s="47" t="inlineStr">
        <is>
          <t>Sim</t>
        </is>
      </c>
      <c r="G4" s="47" t="inlineStr">
        <is>
          <t>Não verificado</t>
        </is>
      </c>
    </row>
    <row r="5">
      <c r="A5" s="47" t="inlineStr">
        <is>
          <t>Manual (DOCX)</t>
        </is>
      </c>
      <c r="C5" s="47" t="inlineStr">
        <is>
          <t>Em revisão</t>
        </is>
      </c>
      <c r="E5" s="47" t="inlineStr">
        <is>
          <t>Não</t>
        </is>
      </c>
      <c r="G5" s="47" t="inlineStr">
        <is>
          <t>Verificado</t>
        </is>
      </c>
    </row>
    <row r="6">
      <c r="A6" s="47" t="inlineStr">
        <is>
          <t>Outro</t>
        </is>
      </c>
      <c r="C6" s="47" t="inlineStr">
        <is>
          <t>Aprovado</t>
        </is>
      </c>
    </row>
    <row r="7">
      <c r="C7" s="47" t="inlineStr">
        <is>
          <t>Obsoleto</t>
        </is>
      </c>
    </row>
  </sheetData>
  <mergeCells count="2">
    <mergeCell ref="D1:I2"/>
    <mergeCell ref="A1:C2"/>
  </mergeCells>
  <pageMargins left="0.45" right="0.45" top="0.75" bottom="0.85" header="0.3" footer="0.3"/>
  <pageSetup orientation="landscape" paperSize="9" fitToHeight="0" fitToWidth="1" pageOrder="overThenDown"/>
  <headerFooter>
    <oddHeader>&amp;L&amp;"Arial Narrow,Regular"&amp;7 &amp;K64717D&amp;F  ·  &amp;A&amp;C&amp;"Arial Narrow,Regular"&amp;7 &amp;K64717DPCM Direto  ·  PCMD-01&amp;R&amp;"Arial Narrow,Regular"&amp;7 &amp;K64717DImpresso em &amp;D  ·  Pág. &amp;P de &amp;N</oddHeader>
    <oddFooter>&amp;L&amp;7 &amp;K64717DO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PCM Direto (gerador de modelos)</dc:creator>
  <dc:title xmlns:dc="http://purl.org/dc/elements/1.1/">PCM Direto · PCMD-01 Controle documental</dc:title>
  <dc:subject xmlns:dc="http://purl.org/dc/elements/1.1/">O material apoia a organização do PCM e não substitui a avaliação de profissional habilitado nem o texto oficial das normas. As periodicidades são base genérica e devem ser confirmadas com o manual do fabricante.</dc:subject>
  <dcterms:created xmlns:dcterms="http://purl.org/dc/terms/" xmlns:xsi="http://www.w3.org/2001/XMLSchema-instance" xsi:type="dcterms:W3CDTF">2026-10-23T12:00:00Z</dcterms:created>
  <dcterms:modified xmlns:dcterms="http://purl.org/dc/terms/" xmlns:xsi="http://www.w3.org/2001/XMLSchema-instance" xsi:type="dcterms:W3CDTF">2026-10-25T06:33:49Z</dcterms:modified>
  <cp:keywords>PCM Direto; modelo 1.0.0; licença MIT</cp:keywords>
</cp:coreProperties>
</file>