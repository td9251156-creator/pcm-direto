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Instruções" state="visible" r:id="rId4"/>
    <sheet sheetId="1" name="Checklist Diário" state="visible" r:id="rId5"/>
    <sheet sheetId="2" name="Checklist Semanal" state="visible" r:id="rId6"/>
    <sheet sheetId="3" name="Checklist Mensal" state="visible" r:id="rId7"/>
    <sheet sheetId="4" name="Revisões" state="visible" r:id="rId8"/>
  </sheets>
  <definedNames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_xlnm.Print_Area" localSheetId="0">'Instruções'!$A1:$F34</definedName>
    <definedName name="_xlnm.Print_Titles" localSheetId="0">'Instruções'!$1:$3</definedName>
    <definedName name="_xlnm.Print_Area" localSheetId="1">'Checklist Diário'!$A1:$H32</definedName>
    <definedName name="_xlnm.Print_Area" localSheetId="2">'Checklist Semanal'!$A1:$H32</definedName>
    <definedName name="_xlnm.Print_Area" localSheetId="3">'Checklist Mensal'!$A1:$H32</definedName>
    <definedName name="_xlnm.Print_Area" localSheetId="4">'Revisões'!$A1:$E33</definedName>
    <definedName name="_xlnm.Print_Titles" localSheetId="4">'Revisões'!$1:$3</definedName>
  </definedNames>
  <calcPr calcId="171027" fullCalcOnLoad="1"/>
</workbook>
</file>

<file path=xl/sharedStrings.xml><?xml version="1.0" encoding="utf-8"?>
<sst xmlns="http://schemas.openxmlformats.org/spreadsheetml/2006/main" count="192" uniqueCount="116">
  <si>
    <r>
      <rPr>
        <b/>
        <color rgb="FF0B2A5B"/>
        <sz val="16"/>
        <rFont val="Arial"/>
      </rPr>
      <t>Kit de 3 checklists de manutenção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</si>
  <si>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</si>
  <si>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Imprima: cada checklist sai em uma única folha A4 retrato. Ou preencha direto no Excel.</t>
  </si>
  <si>
    <t>2) Preencha a identificação (equipamento, setor, data, turno, executante) e marque X em OK, NOK ou N/A — uma opção por item.</t>
  </si>
  <si>
    <t>3) Toda não conformidade vira ordem de serviço: anote o número da OS na coluna Observação. Grupo e item podem ser reescritos para os seus equipamentos.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</si>
  <si>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</si>
  <si>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</si>
  <si>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</si>
  <si>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</si>
  <si>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</si>
  <si>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</si>
  <si>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</si>
  <si>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</si>
  <si>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</si>
  <si>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</si>
  <si>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</si>
  <si>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</si>
  <si>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</si>
  <si>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</si>
  <si>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</si>
  <si>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</si>
  <si>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</si>
  <si>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</si>
  <si>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</si>
  <si>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</si>
  <si>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</si>
  <si>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</si>
  <si>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Checklist Diário</t>
  </si>
  <si>
    <t>Checklist Semanal</t>
  </si>
  <si>
    <t>Checklist Mensal</t>
  </si>
  <si>
    <t>4. ÍNDICE DAS ABAS (clique no nome)</t>
  </si>
  <si>
    <t>Inspeção de início de turno (12 itens).</t>
  </si>
  <si>
    <t>Rota semanal de lubrificação, aperto e limpeza técnica (12 itens).</t>
  </si>
  <si>
    <t>Termografia, vibração, isolação e calibração (12 itens).</t>
  </si>
  <si>
    <t>Revisões</t>
  </si>
  <si>
    <t>Histórico de revisões deste arquivo.</t>
  </si>
  <si>
    <t>PCMD-K03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</si>
  <si>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Checklist diário de manutenção</t>
    </r>
    <r>
      <rPr>
        <color rgb="FF4A5668"/>
        <sz val="8.5"/>
        <rFont val="Arial"/>
      </rPr>
      <t xml:space="preserve">
Inspeção de início de turno. Marque X em uma opção por item.</t>
    </r>
  </si>
  <si>
    <t>IDENTIFICAÇÃO</t>
  </si>
  <si>
    <t>Equipamento</t>
  </si>
  <si>
    <t>Setor</t>
  </si>
  <si>
    <t>Data</t>
  </si>
  <si>
    <t>Turno</t>
  </si>
  <si>
    <t>Executante</t>
  </si>
  <si>
    <t>Matrícula</t>
  </si>
  <si>
    <t>#</t>
  </si>
  <si>
    <t>Grupo</t>
  </si>
  <si>
    <t>Item verificado</t>
  </si>
  <si>
    <t>OK</t>
  </si>
  <si>
    <t>NOK</t>
  </si>
  <si>
    <t>N/A</t>
  </si>
  <si>
    <t>Observação / nº da OS</t>
  </si>
  <si>
    <t>Conferência</t>
  </si>
  <si>
    <t>Segurança</t>
  </si>
  <si>
    <t>Proteções e dispositivos de segurança íntegros e no lugar</t>
  </si>
  <si>
    <t>Botão de emergência testado e funcionando</t>
  </si>
  <si>
    <t>Área ao redor da máquina limpa e desobstruída</t>
  </si>
  <si>
    <t>Lubrificação</t>
  </si>
  <si>
    <t>Nível de óleo dentro da faixa indicada no visor</t>
  </si>
  <si>
    <t>Sem vazamento visível de óleo ou graxa no piso</t>
  </si>
  <si>
    <t>Elétrica</t>
  </si>
  <si>
    <t>Painel elétrico fechado, sem fio exposto</t>
  </si>
  <si>
    <t>Sinaleiros e indicadores funcionando</t>
  </si>
  <si>
    <t>Mecânica</t>
  </si>
  <si>
    <t>Ruído e vibração dentro do normal na partida</t>
  </si>
  <si>
    <t>Correias e proteções sem folga ou desgaste aparente</t>
  </si>
  <si>
    <t>Pneumática</t>
  </si>
  <si>
    <t>Pressão de ar na faixa de trabalho</t>
  </si>
  <si>
    <t>Sem vazamento audível nas conexões</t>
  </si>
  <si>
    <t>Limpeza</t>
  </si>
  <si>
    <t>Máquina limpa, sem acúmulo de resíduo</t>
  </si>
  <si>
    <t>RESUMO (automático)</t>
  </si>
  <si>
    <t>Itens conformes (OK)</t>
  </si>
  <si>
    <t>Não conformidades (NOK)</t>
  </si>
  <si>
    <t>Não se aplica (N/A)</t>
  </si>
  <si>
    <t>Índice de conformidade</t>
  </si>
  <si>
    <t>Assinatura do executante</t>
  </si>
  <si>
    <t>Visto do supervisor</t>
  </si>
  <si>
    <t>Toda não conformidade (NOK) deve gerar uma ordem de serviço. Anote o número da OS na coluna Observação. Os itens são ponto de partida: valide-os com o manual do fabricante e ajuste aos seus equipamentos.</t>
  </si>
  <si>
    <r>
      <rPr>
        <b/>
        <color rgb="FF0B2A5B"/>
        <sz val="16"/>
        <rFont val="Arial"/>
      </rPr>
      <t>Checklist semanal de manutenção</t>
    </r>
    <r>
      <rPr>
        <color rgb="FF4A5668"/>
        <sz val="8.5"/>
        <rFont val="Arial"/>
      </rPr>
      <t xml:space="preserve">
Rota semanal de lubrificação, aperto e limpeza técnica. Marque X em uma opção por item.</t>
    </r>
  </si>
  <si>
    <t>Lubrificação dos pontos da rota semanal executada</t>
  </si>
  <si>
    <t>Graxeiras desobstruídas e identificadas</t>
  </si>
  <si>
    <t>Reaperto visual das conexões do painel</t>
  </si>
  <si>
    <t>Ventilação e filtro do painel limpos</t>
  </si>
  <si>
    <t>Alinhamento de polias e tensão das correias conferidos</t>
  </si>
  <si>
    <t>Fixação da base e chumbadores sem folga</t>
  </si>
  <si>
    <t>Hidráulica</t>
  </si>
  <si>
    <t>Nível e cor do óleo hidráulico conferidos</t>
  </si>
  <si>
    <t>Mangueiras sem ressecamento, bolha ou abrasão</t>
  </si>
  <si>
    <t>Dreno do reservatório e do filtro executado</t>
  </si>
  <si>
    <t>Instrumentação</t>
  </si>
  <si>
    <t>Manômetros e termômetros com leitura coerente</t>
  </si>
  <si>
    <t>Limpeza técnica do conjunto realizada</t>
  </si>
  <si>
    <t>Documentação</t>
  </si>
  <si>
    <t>Apontamento de horas e ocorrências registrado</t>
  </si>
  <si>
    <r>
      <rPr>
        <b/>
        <color rgb="FF0B2A5B"/>
        <sz val="16"/>
        <rFont val="Arial"/>
      </rPr>
      <t>Checklist mensal de manutenção</t>
    </r>
    <r>
      <rPr>
        <color rgb="FF4A5668"/>
        <sz val="8.5"/>
        <rFont val="Arial"/>
      </rPr>
      <t xml:space="preserve">
Termografia, vibração, isolação e calibração. Marque X em uma opção por item.</t>
    </r>
  </si>
  <si>
    <t>Troca ou complemento de lubrificante conforme plano</t>
  </si>
  <si>
    <t>Termografia ou inspeção térmica das conexões</t>
  </si>
  <si>
    <t>Teste de isolação do motor registrado</t>
  </si>
  <si>
    <t>Folga de mancais e rolamentos medida</t>
  </si>
  <si>
    <t>Análise de vibração dos conjuntos rotativos</t>
  </si>
  <si>
    <t>Troca do elemento filtrante hidráulico avaliada</t>
  </si>
  <si>
    <t>Revisão de cilindros, válvulas e atuadores</t>
  </si>
  <si>
    <t>Calibração de sensores e termopares verificada</t>
  </si>
  <si>
    <t>Teste funcional completo dos intertravamentos</t>
  </si>
  <si>
    <t>Sinalização e identificação do ativo conferidas</t>
  </si>
  <si>
    <t>Estrutura</t>
  </si>
  <si>
    <t>Inspeção de trincas, corrosão e solda</t>
  </si>
  <si>
    <t>Histórico do ativo atualizado e pendências abertas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</si>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</sst>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0B2A5B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7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/>
      <right/>
      <top/>
      <bottom style="thin">
        <color rgb="FF0B2A5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7" fillId="4" borderId="5" xfId="0" applyFont="1" applyFill="1" applyBorder="1" applyAlignment="1" applyProtection="1">
      <alignment vertical="center" wrapText="1" indent="1"/>
      <protection locked="0"/>
    </xf>
    <xf numFmtId="0" fontId="9" fillId="3" borderId="5" xfId="0" applyFont="1" applyFill="1" applyBorder="1" applyAlignment="1">
      <alignment horizontal="center" vertical="center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left" vertical="center" indent="1"/>
    </xf>
    <xf numFmtId="1" fontId="2" fillId="3" borderId="5" xfId="0" applyNumberFormat="1" applyFont="1" applyFill="1" applyBorder="1" applyAlignment="1">
      <alignment horizontal="center" vertical="center" wrapText="1" indent="1"/>
    </xf>
    <xf numFmtId="165" fontId="2" fillId="3" borderId="5" xfId="0" applyNumberFormat="1" applyFont="1" applyFill="1" applyBorder="1" applyAlignment="1">
      <alignment horizontal="center" vertical="center" wrapText="1" indent="1"/>
    </xf>
    <xf numFmtId="0" fontId="5" fillId="0" borderId="6" xfId="0" applyFont="1" applyBorder="1" applyAlignment="1">
      <alignment vertical="center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43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217500</xdr:rowOff>
    </xdr:from>
    <xdr:ext cx="12763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217500</xdr:rowOff>
    </xdr:from>
    <xdr:ext cx="12763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217500</xdr:rowOff>
    </xdr:from>
    <xdr:ext cx="12763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Checklist Di&#225;rio&apos;!A1" TargetMode="External"/><Relationship Id="rId2" Type="http://schemas.openxmlformats.org/officeDocument/2006/relationships/hyperlink" Target="#&apos;Checklist Semanal&apos;!A1" TargetMode="External"/><Relationship Id="rId3" Type="http://schemas.openxmlformats.org/officeDocument/2006/relationships/hyperlink" Target="#&apos;Checklist Mensal&apos;!A1" TargetMode="External"/><Relationship Id="rId4" Type="http://schemas.openxmlformats.org/officeDocument/2006/relationships/hyperlink" Target="#&apos;Revis&#245;es&apos;!A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46" customWidth="1"/>
    <col min="4" max="6" width="7" customWidth="1"/>
    <col min="7" max="8" width="22" customWidth="1"/>
  </cols>
  <sheetData>
    <row r="1" ht="36" customHeight="1" spans="1:8" x14ac:dyDescent="0.25">
      <c r="A1" s="1"/>
      <c r="B1" s="1"/>
      <c r="C1" s="2" t="s">
        <v>37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8" x14ac:dyDescent="0.25">
      <c r="A4" s="5" t="s">
        <v>38</v>
      </c>
      <c r="B4" s="5"/>
      <c r="C4" s="5"/>
      <c r="D4" s="5"/>
      <c r="E4" s="5"/>
      <c r="F4" s="5"/>
      <c r="G4" s="5"/>
      <c r="H4" s="5"/>
    </row>
    <row r="5" ht="22" customHeight="1" spans="1:8" x14ac:dyDescent="0.25">
      <c r="A5" s="9" t="s">
        <v>39</v>
      </c>
      <c r="B5" s="9"/>
      <c r="C5" s="18"/>
      <c r="D5" s="9" t="s">
        <v>40</v>
      </c>
      <c r="E5" s="9"/>
      <c r="F5" s="9"/>
      <c r="G5" s="18"/>
      <c r="H5" s="18"/>
    </row>
    <row r="6" ht="22" customHeight="1" spans="1:8" x14ac:dyDescent="0.25">
      <c r="A6" s="9" t="s">
        <v>41</v>
      </c>
      <c r="B6" s="9"/>
      <c r="C6" s="14"/>
      <c r="D6" s="9" t="s">
        <v>42</v>
      </c>
      <c r="E6" s="9"/>
      <c r="F6" s="9"/>
      <c r="G6" s="18"/>
      <c r="H6" s="18"/>
    </row>
    <row r="7" ht="22" customHeight="1" spans="1:8" x14ac:dyDescent="0.25">
      <c r="A7" s="9" t="s">
        <v>43</v>
      </c>
      <c r="B7" s="9"/>
      <c r="C7" s="18"/>
      <c r="D7" s="9" t="s">
        <v>44</v>
      </c>
      <c r="E7" s="9"/>
      <c r="F7" s="9"/>
      <c r="G7" s="18"/>
      <c r="H7" s="18"/>
    </row>
    <row r="8" ht="8" customHeight="1" x14ac:dyDescent="0.25"/>
    <row r="9" ht="24" customHeight="1" spans="1:8" x14ac:dyDescent="0.25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</row>
    <row r="10" ht="24" customHeight="1" spans="1:8" x14ac:dyDescent="0.25">
      <c r="A10" s="19">
        <v>1</v>
      </c>
      <c r="B10" s="20" t="s">
        <v>53</v>
      </c>
      <c r="C10" s="21" t="s">
        <v>54</v>
      </c>
      <c r="D10" s="22"/>
      <c r="E10" s="22"/>
      <c r="F10" s="22"/>
      <c r="G10" s="21"/>
      <c r="H10" s="23">
        <f>IF(COUNTIF(D10:F10,"X")&gt;1,"ERRO: marque só uma opção",IF(AND(E10="X",G10=""),"Pendente: anote a OS",IF(AND(COUNTIF(D10:F10,"X")=0,COUNTA($D$10:$F$21)&gt;0),"Pendente: sem marcação",IF(COUNTIF(D10:F10,"X")=1,"OK",""))))</f>
      </c>
    </row>
    <row r="11" ht="24" customHeight="1" spans="1:8" x14ac:dyDescent="0.25">
      <c r="A11" s="19">
        <v>2</v>
      </c>
      <c r="B11" s="20" t="s">
        <v>53</v>
      </c>
      <c r="C11" s="21" t="s">
        <v>55</v>
      </c>
      <c r="D11" s="22"/>
      <c r="E11" s="22"/>
      <c r="F11" s="22"/>
      <c r="G11" s="21"/>
      <c r="H11" s="23">
        <f>IF(COUNTIF(D11:F11,"X")&gt;1,"ERRO: marque só uma opção",IF(AND(E11="X",G11=""),"Pendente: anote a OS",IF(AND(COUNTIF(D11:F11,"X")=0,COUNTA($D$10:$F$21)&gt;0),"Pendente: sem marcação",IF(COUNTIF(D11:F11,"X")=1,"OK",""))))</f>
      </c>
    </row>
    <row r="12" ht="24" customHeight="1" spans="1:8" x14ac:dyDescent="0.25">
      <c r="A12" s="19">
        <v>3</v>
      </c>
      <c r="B12" s="20" t="s">
        <v>53</v>
      </c>
      <c r="C12" s="21" t="s">
        <v>56</v>
      </c>
      <c r="D12" s="22"/>
      <c r="E12" s="22"/>
      <c r="F12" s="22"/>
      <c r="G12" s="21"/>
      <c r="H12" s="23">
        <f>IF(COUNTIF(D12:F12,"X")&gt;1,"ERRO: marque só uma opção",IF(AND(E12="X",G12=""),"Pendente: anote a OS",IF(AND(COUNTIF(D12:F12,"X")=0,COUNTA($D$10:$F$21)&gt;0),"Pendente: sem marcação",IF(COUNTIF(D12:F12,"X")=1,"OK",""))))</f>
      </c>
    </row>
    <row r="13" ht="24" customHeight="1" spans="1:8" x14ac:dyDescent="0.25">
      <c r="A13" s="19">
        <v>4</v>
      </c>
      <c r="B13" s="20" t="s">
        <v>57</v>
      </c>
      <c r="C13" s="21" t="s">
        <v>58</v>
      </c>
      <c r="D13" s="22"/>
      <c r="E13" s="22"/>
      <c r="F13" s="22"/>
      <c r="G13" s="21"/>
      <c r="H13" s="23">
        <f>IF(COUNTIF(D13:F13,"X")&gt;1,"ERRO: marque só uma opção",IF(AND(E13="X",G13=""),"Pendente: anote a OS",IF(AND(COUNTIF(D13:F13,"X")=0,COUNTA($D$10:$F$21)&gt;0),"Pendente: sem marcação",IF(COUNTIF(D13:F13,"X")=1,"OK",""))))</f>
      </c>
    </row>
    <row r="14" ht="24" customHeight="1" spans="1:8" x14ac:dyDescent="0.25">
      <c r="A14" s="19">
        <v>5</v>
      </c>
      <c r="B14" s="20" t="s">
        <v>57</v>
      </c>
      <c r="C14" s="21" t="s">
        <v>59</v>
      </c>
      <c r="D14" s="22"/>
      <c r="E14" s="22"/>
      <c r="F14" s="22"/>
      <c r="G14" s="21"/>
      <c r="H14" s="23">
        <f>IF(COUNTIF(D14:F14,"X")&gt;1,"ERRO: marque só uma opção",IF(AND(E14="X",G14=""),"Pendente: anote a OS",IF(AND(COUNTIF(D14:F14,"X")=0,COUNTA($D$10:$F$21)&gt;0),"Pendente: sem marcação",IF(COUNTIF(D14:F14,"X")=1,"OK",""))))</f>
      </c>
    </row>
    <row r="15" ht="24" customHeight="1" spans="1:8" x14ac:dyDescent="0.25">
      <c r="A15" s="19">
        <v>6</v>
      </c>
      <c r="B15" s="20" t="s">
        <v>60</v>
      </c>
      <c r="C15" s="21" t="s">
        <v>61</v>
      </c>
      <c r="D15" s="22"/>
      <c r="E15" s="22"/>
      <c r="F15" s="22"/>
      <c r="G15" s="21"/>
      <c r="H15" s="23">
        <f>IF(COUNTIF(D15:F15,"X")&gt;1,"ERRO: marque só uma opção",IF(AND(E15="X",G15=""),"Pendente: anote a OS",IF(AND(COUNTIF(D15:F15,"X")=0,COUNTA($D$10:$F$21)&gt;0),"Pendente: sem marcação",IF(COUNTIF(D15:F15,"X")=1,"OK",""))))</f>
      </c>
    </row>
    <row r="16" ht="24" customHeight="1" spans="1:8" x14ac:dyDescent="0.25">
      <c r="A16" s="19">
        <v>7</v>
      </c>
      <c r="B16" s="20" t="s">
        <v>60</v>
      </c>
      <c r="C16" s="21" t="s">
        <v>62</v>
      </c>
      <c r="D16" s="22"/>
      <c r="E16" s="22"/>
      <c r="F16" s="22"/>
      <c r="G16" s="21"/>
      <c r="H16" s="23">
        <f>IF(COUNTIF(D16:F16,"X")&gt;1,"ERRO: marque só uma opção",IF(AND(E16="X",G16=""),"Pendente: anote a OS",IF(AND(COUNTIF(D16:F16,"X")=0,COUNTA($D$10:$F$21)&gt;0),"Pendente: sem marcação",IF(COUNTIF(D16:F16,"X")=1,"OK",""))))</f>
      </c>
    </row>
    <row r="17" ht="24" customHeight="1" spans="1:8" x14ac:dyDescent="0.25">
      <c r="A17" s="19">
        <v>8</v>
      </c>
      <c r="B17" s="20" t="s">
        <v>63</v>
      </c>
      <c r="C17" s="21" t="s">
        <v>64</v>
      </c>
      <c r="D17" s="22"/>
      <c r="E17" s="22"/>
      <c r="F17" s="22"/>
      <c r="G17" s="21"/>
      <c r="H17" s="23">
        <f>IF(COUNTIF(D17:F17,"X")&gt;1,"ERRO: marque só uma opção",IF(AND(E17="X",G17=""),"Pendente: anote a OS",IF(AND(COUNTIF(D17:F17,"X")=0,COUNTA($D$10:$F$21)&gt;0),"Pendente: sem marcação",IF(COUNTIF(D17:F17,"X")=1,"OK",""))))</f>
      </c>
    </row>
    <row r="18" ht="24" customHeight="1" spans="1:8" x14ac:dyDescent="0.25">
      <c r="A18" s="19">
        <v>9</v>
      </c>
      <c r="B18" s="20" t="s">
        <v>63</v>
      </c>
      <c r="C18" s="21" t="s">
        <v>65</v>
      </c>
      <c r="D18" s="22"/>
      <c r="E18" s="22"/>
      <c r="F18" s="22"/>
      <c r="G18" s="21"/>
      <c r="H18" s="23">
        <f>IF(COUNTIF(D18:F18,"X")&gt;1,"ERRO: marque só uma opção",IF(AND(E18="X",G18=""),"Pendente: anote a OS",IF(AND(COUNTIF(D18:F18,"X")=0,COUNTA($D$10:$F$21)&gt;0),"Pendente: sem marcação",IF(COUNTIF(D18:F18,"X")=1,"OK",""))))</f>
      </c>
    </row>
    <row r="19" ht="24" customHeight="1" spans="1:8" x14ac:dyDescent="0.25">
      <c r="A19" s="19">
        <v>10</v>
      </c>
      <c r="B19" s="20" t="s">
        <v>66</v>
      </c>
      <c r="C19" s="21" t="s">
        <v>67</v>
      </c>
      <c r="D19" s="22"/>
      <c r="E19" s="22"/>
      <c r="F19" s="22"/>
      <c r="G19" s="21"/>
      <c r="H19" s="23">
        <f>IF(COUNTIF(D19:F19,"X")&gt;1,"ERRO: marque só uma opção",IF(AND(E19="X",G19=""),"Pendente: anote a OS",IF(AND(COUNTIF(D19:F19,"X")=0,COUNTA($D$10:$F$21)&gt;0),"Pendente: sem marcação",IF(COUNTIF(D19:F19,"X")=1,"OK",""))))</f>
      </c>
    </row>
    <row r="20" ht="24" customHeight="1" spans="1:8" x14ac:dyDescent="0.25">
      <c r="A20" s="19">
        <v>11</v>
      </c>
      <c r="B20" s="20" t="s">
        <v>66</v>
      </c>
      <c r="C20" s="21" t="s">
        <v>68</v>
      </c>
      <c r="D20" s="22"/>
      <c r="E20" s="22"/>
      <c r="F20" s="22"/>
      <c r="G20" s="21"/>
      <c r="H20" s="23">
        <f>IF(COUNTIF(D20:F20,"X")&gt;1,"ERRO: marque só uma opção",IF(AND(E20="X",G20=""),"Pendente: anote a OS",IF(AND(COUNTIF(D20:F20,"X")=0,COUNTA($D$10:$F$21)&gt;0),"Pendente: sem marcação",IF(COUNTIF(D20:F20,"X")=1,"OK",""))))</f>
      </c>
    </row>
    <row r="21" ht="24" customHeight="1" spans="1:8" x14ac:dyDescent="0.25">
      <c r="A21" s="19">
        <v>12</v>
      </c>
      <c r="B21" s="20" t="s">
        <v>69</v>
      </c>
      <c r="C21" s="21" t="s">
        <v>70</v>
      </c>
      <c r="D21" s="22"/>
      <c r="E21" s="22"/>
      <c r="F21" s="22"/>
      <c r="G21" s="21"/>
      <c r="H21" s="23">
        <f>IF(COUNTIF(D21:F21,"X")&gt;1,"ERRO: marque só uma opção",IF(AND(E21="X",G21=""),"Pendente: anote a OS",IF(AND(COUNTIF(D21:F21,"X")=0,COUNTA($D$10:$F$21)&gt;0),"Pendente: sem marcação",IF(COUNTIF(D21:F21,"X")=1,"OK",""))))</f>
      </c>
    </row>
    <row r="22" ht="8" customHeight="1" x14ac:dyDescent="0.25"/>
    <row r="23" ht="20" customHeight="1" spans="1:8" x14ac:dyDescent="0.25">
      <c r="A23" s="5" t="s">
        <v>71</v>
      </c>
      <c r="B23" s="5"/>
      <c r="C23" s="5"/>
      <c r="D23" s="5"/>
      <c r="E23" s="5"/>
      <c r="F23" s="5"/>
      <c r="G23" s="5"/>
      <c r="H23" s="5"/>
    </row>
    <row r="24" ht="20" customHeight="1" spans="1:8" x14ac:dyDescent="0.25">
      <c r="A24" s="9" t="s">
        <v>72</v>
      </c>
      <c r="B24" s="9"/>
      <c r="C24" s="24">
        <f>COUNTIF(D10:D21,"X")</f>
      </c>
      <c r="D24" s="16">
        <f>IF(COUNTIF(H10:H21,"Pendente*")&gt;0,"Pendente: "&amp;COUNTIF(H10:H21,"Pendente*")&amp;" item(ns) sem marcação ou NOK sem OS","")</f>
      </c>
      <c r="E24" s="16"/>
      <c r="F24" s="16"/>
      <c r="G24" s="16"/>
      <c r="H24" s="16"/>
    </row>
    <row r="25" ht="20" customHeight="1" spans="1:8" x14ac:dyDescent="0.25">
      <c r="A25" s="9" t="s">
        <v>73</v>
      </c>
      <c r="B25" s="9"/>
      <c r="C25" s="24">
        <f>COUNTIF(E10:E21,"X")</f>
      </c>
      <c r="D25" s="6"/>
      <c r="E25" s="6"/>
      <c r="F25" s="6"/>
      <c r="G25" s="6"/>
      <c r="H25" s="6"/>
    </row>
    <row r="26" ht="20" customHeight="1" spans="1:8" x14ac:dyDescent="0.25">
      <c r="A26" s="9" t="s">
        <v>74</v>
      </c>
      <c r="B26" s="9"/>
      <c r="C26" s="24">
        <f>COUNTIF(F10:F21,"X")</f>
      </c>
      <c r="D26" s="6"/>
      <c r="E26" s="6"/>
      <c r="F26" s="6"/>
      <c r="G26" s="6"/>
      <c r="H26" s="6"/>
    </row>
    <row r="27" ht="20" customHeight="1" spans="1:8" x14ac:dyDescent="0.25">
      <c r="A27" s="9" t="s">
        <v>75</v>
      </c>
      <c r="B27" s="9"/>
      <c r="C27" s="25">
        <f>IF(COUNTIF(H10:H21,"ERRO*")&gt;0,"Revisar marcações",IF(C24+C25=0,"",C24/(C24+C25)))</f>
      </c>
      <c r="D27" s="6"/>
      <c r="E27" s="6"/>
      <c r="F27" s="6"/>
      <c r="G27" s="6"/>
      <c r="H27" s="6"/>
    </row>
    <row r="28" ht="10" customHeight="1" x14ac:dyDescent="0.25"/>
    <row r="29" ht="40" customHeight="1" spans="1:8" x14ac:dyDescent="0.25">
      <c r="A29" s="26"/>
      <c r="B29" s="26"/>
      <c r="C29" s="26"/>
      <c r="E29" s="26"/>
      <c r="F29" s="26"/>
      <c r="G29" s="26"/>
      <c r="H29" s="26"/>
    </row>
    <row r="30" ht="16" customHeight="1" spans="1:8" x14ac:dyDescent="0.25">
      <c r="A30" s="27" t="s">
        <v>76</v>
      </c>
      <c r="B30" s="27"/>
      <c r="C30" s="27"/>
      <c r="E30" s="27" t="s">
        <v>77</v>
      </c>
      <c r="F30" s="27"/>
      <c r="G30" s="27"/>
      <c r="H30" s="27"/>
    </row>
    <row r="31" ht="8" customHeight="1" x14ac:dyDescent="0.25"/>
    <row r="32" ht="28" customHeight="1" spans="1:8" x14ac:dyDescent="0.25">
      <c r="A32" s="28" t="s">
        <v>78</v>
      </c>
      <c r="B32" s="28"/>
      <c r="C32" s="28"/>
      <c r="D32" s="28"/>
      <c r="E32" s="28"/>
      <c r="F32" s="28"/>
      <c r="G32" s="28"/>
      <c r="H32" s="28"/>
    </row>
  </sheetData>
  <sheetProtection sheet="1" formatColumns="0" formatRows="0" autoFilter="0"/>
  <mergeCells count="26">
    <mergeCell ref="A1:B2"/>
    <mergeCell ref="C1:G2"/>
    <mergeCell ref="A4:H4"/>
    <mergeCell ref="A5:B5"/>
    <mergeCell ref="D5:F5"/>
    <mergeCell ref="G5:H5"/>
    <mergeCell ref="A6:B6"/>
    <mergeCell ref="D6:F6"/>
    <mergeCell ref="G6:H6"/>
    <mergeCell ref="A7:B7"/>
    <mergeCell ref="D7:F7"/>
    <mergeCell ref="G7:H7"/>
    <mergeCell ref="A23:H23"/>
    <mergeCell ref="A24:B24"/>
    <mergeCell ref="D24:H24"/>
    <mergeCell ref="A25:B25"/>
    <mergeCell ref="D25:H25"/>
    <mergeCell ref="A26:B26"/>
    <mergeCell ref="D26:H26"/>
    <mergeCell ref="A27:B27"/>
    <mergeCell ref="D27:H27"/>
    <mergeCell ref="A29:C29"/>
    <mergeCell ref="E29:H29"/>
    <mergeCell ref="A30:C30"/>
    <mergeCell ref="E30:H30"/>
    <mergeCell ref="A32:H32"/>
  </mergeCells>
  <conditionalFormatting sqref="D10:D21">
    <cfRule type="expression" dxfId="4" priority="1">
      <formula>UPPER(D10)="X"</formula>
    </cfRule>
  </conditionalFormatting>
  <conditionalFormatting sqref="E10:E21">
    <cfRule type="expression" dxfId="5" priority="1">
      <formula>UPPER(E10)="X"</formula>
    </cfRule>
  </conditionalFormatting>
  <conditionalFormatting sqref="F10:F21">
    <cfRule type="expression" dxfId="6" priority="1">
      <formula>UPPER(F10)="X"</formula>
    </cfRule>
  </conditionalFormatting>
  <conditionalFormatting sqref="H10:H21">
    <cfRule type="expression" dxfId="7" priority="1">
      <formula>OR(LEFT(H10,4)="ERRO",LEFT(H10,7)="ATENÇÃO")</formula>
    </cfRule>
    <cfRule type="expression" dxfId="8" priority="2">
      <formula>OR(LEFT(H10,8)="Pendente",LEFT(H10,9)="Verificar",LEFT(H10,9)="Duplicada",LEFT(H10,7)="Tarefa ",LEFT(H10,13)="Fora do plano",LEFT(H10,8)="Previsão",LEFT(H10,11)="Sem vínculo",LEFT(H10,14)="Não verificado",LEFT(H10,7)="Informe",LEFT(H10,9)="A definir")</formula>
    </cfRule>
    <cfRule type="expression" dxfId="9" priority="3">
      <formula>OR(H10="OK",LEFT(H10,4)="Nada",LEFT(H10,3)="OK:")</formula>
    </cfRule>
  </conditionalFormatting>
  <conditionalFormatting sqref="C25">
    <cfRule type="expression" dxfId="10" priority="1">
      <formula>C25&gt;0</formula>
    </cfRule>
  </conditionalFormatting>
  <conditionalFormatting sqref="C27">
    <cfRule type="expression" dxfId="11" priority="1">
      <formula>AND(ISTEXT(C27),C27&lt;&gt;"")</formula>
    </cfRule>
    <cfRule type="expression" dxfId="12" priority="2">
      <formula>AND(ISNUMBER(C27),C27&lt;0.8)</formula>
    </cfRule>
    <cfRule type="expression" dxfId="13" priority="3">
      <formula>AND(ISNUMBER(C27),C27&gt;=0.8)</formula>
    </cfRule>
  </conditionalFormatting>
  <conditionalFormatting sqref="D24">
    <cfRule type="expression" dxfId="14" priority="1">
      <formula>OR(LEFT(D24,4)="ERRO",LEFT(D24,7)="ATENÇÃO")</formula>
    </cfRule>
    <cfRule type="expression" dxfId="15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16" priority="3">
      <formula>OR(D24="OK",LEFT(D24,4)="Nada",LEFT(D24,3)="OK:")</formula>
    </cfRule>
  </conditionalFormatting>
  <dataValidations count="2">
    <dataValidation type="date" allowBlank="1" showErrorMessage="1" errorTitle="Data inválida" error="Digite uma data válida." sqref="C6">
      <formula1>32874</formula1>
      <formula2>73050</formula2>
    </dataValidation>
    <dataValidation type="list" allowBlank="1" showErrorMessage="1" errorTitle="Marcação inválida" error="Use somente X." sqref="D10:F21">
      <formula1>"X"</formula1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1"/>
  <headerFooter>
    <oddHeader>&amp;L&amp;"Arial,Regular"&amp;7&amp;K4A5668&amp;F  ·  &amp;A&amp;C&amp;"Arial,Regular"&amp;7&amp;K4A5668PCM Direto  ·  PCMD-K03&amp;R&amp;"Arial,Regular"&amp;7&amp;K4A5668Impresso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46" customWidth="1"/>
    <col min="4" max="6" width="7" customWidth="1"/>
    <col min="7" max="8" width="22" customWidth="1"/>
  </cols>
  <sheetData>
    <row r="1" ht="36" customHeight="1" spans="1:8" x14ac:dyDescent="0.25">
      <c r="A1" s="1"/>
      <c r="B1" s="1"/>
      <c r="C1" s="2" t="s">
        <v>79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8" x14ac:dyDescent="0.25">
      <c r="A4" s="5" t="s">
        <v>38</v>
      </c>
      <c r="B4" s="5"/>
      <c r="C4" s="5"/>
      <c r="D4" s="5"/>
      <c r="E4" s="5"/>
      <c r="F4" s="5"/>
      <c r="G4" s="5"/>
      <c r="H4" s="5"/>
    </row>
    <row r="5" ht="22" customHeight="1" spans="1:8" x14ac:dyDescent="0.25">
      <c r="A5" s="9" t="s">
        <v>39</v>
      </c>
      <c r="B5" s="9"/>
      <c r="C5" s="18"/>
      <c r="D5" s="9" t="s">
        <v>40</v>
      </c>
      <c r="E5" s="9"/>
      <c r="F5" s="9"/>
      <c r="G5" s="18"/>
      <c r="H5" s="18"/>
    </row>
    <row r="6" ht="22" customHeight="1" spans="1:8" x14ac:dyDescent="0.25">
      <c r="A6" s="9" t="s">
        <v>41</v>
      </c>
      <c r="B6" s="9"/>
      <c r="C6" s="14"/>
      <c r="D6" s="9" t="s">
        <v>42</v>
      </c>
      <c r="E6" s="9"/>
      <c r="F6" s="9"/>
      <c r="G6" s="18"/>
      <c r="H6" s="18"/>
    </row>
    <row r="7" ht="22" customHeight="1" spans="1:8" x14ac:dyDescent="0.25">
      <c r="A7" s="9" t="s">
        <v>43</v>
      </c>
      <c r="B7" s="9"/>
      <c r="C7" s="18"/>
      <c r="D7" s="9" t="s">
        <v>44</v>
      </c>
      <c r="E7" s="9"/>
      <c r="F7" s="9"/>
      <c r="G7" s="18"/>
      <c r="H7" s="18"/>
    </row>
    <row r="8" ht="8" customHeight="1" x14ac:dyDescent="0.25"/>
    <row r="9" ht="24" customHeight="1" spans="1:8" x14ac:dyDescent="0.25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</row>
    <row r="10" ht="24" customHeight="1" spans="1:8" x14ac:dyDescent="0.25">
      <c r="A10" s="19">
        <v>1</v>
      </c>
      <c r="B10" s="20" t="s">
        <v>57</v>
      </c>
      <c r="C10" s="21" t="s">
        <v>80</v>
      </c>
      <c r="D10" s="22"/>
      <c r="E10" s="22"/>
      <c r="F10" s="22"/>
      <c r="G10" s="21"/>
      <c r="H10" s="23">
        <f>IF(COUNTIF(D10:F10,"X")&gt;1,"ERRO: marque só uma opção",IF(AND(E10="X",G10=""),"Pendente: anote a OS",IF(AND(COUNTIF(D10:F10,"X")=0,COUNTA($D$10:$F$21)&gt;0),"Pendente: sem marcação",IF(COUNTIF(D10:F10,"X")=1,"OK",""))))</f>
      </c>
    </row>
    <row r="11" ht="24" customHeight="1" spans="1:8" x14ac:dyDescent="0.25">
      <c r="A11" s="19">
        <v>2</v>
      </c>
      <c r="B11" s="20" t="s">
        <v>57</v>
      </c>
      <c r="C11" s="21" t="s">
        <v>81</v>
      </c>
      <c r="D11" s="22"/>
      <c r="E11" s="22"/>
      <c r="F11" s="22"/>
      <c r="G11" s="21"/>
      <c r="H11" s="23">
        <f>IF(COUNTIF(D11:F11,"X")&gt;1,"ERRO: marque só uma opção",IF(AND(E11="X",G11=""),"Pendente: anote a OS",IF(AND(COUNTIF(D11:F11,"X")=0,COUNTA($D$10:$F$21)&gt;0),"Pendente: sem marcação",IF(COUNTIF(D11:F11,"X")=1,"OK",""))))</f>
      </c>
    </row>
    <row r="12" ht="24" customHeight="1" spans="1:8" x14ac:dyDescent="0.25">
      <c r="A12" s="19">
        <v>3</v>
      </c>
      <c r="B12" s="20" t="s">
        <v>60</v>
      </c>
      <c r="C12" s="21" t="s">
        <v>82</v>
      </c>
      <c r="D12" s="22"/>
      <c r="E12" s="22"/>
      <c r="F12" s="22"/>
      <c r="G12" s="21"/>
      <c r="H12" s="23">
        <f>IF(COUNTIF(D12:F12,"X")&gt;1,"ERRO: marque só uma opção",IF(AND(E12="X",G12=""),"Pendente: anote a OS",IF(AND(COUNTIF(D12:F12,"X")=0,COUNTA($D$10:$F$21)&gt;0),"Pendente: sem marcação",IF(COUNTIF(D12:F12,"X")=1,"OK",""))))</f>
      </c>
    </row>
    <row r="13" ht="24" customHeight="1" spans="1:8" x14ac:dyDescent="0.25">
      <c r="A13" s="19">
        <v>4</v>
      </c>
      <c r="B13" s="20" t="s">
        <v>60</v>
      </c>
      <c r="C13" s="21" t="s">
        <v>83</v>
      </c>
      <c r="D13" s="22"/>
      <c r="E13" s="22"/>
      <c r="F13" s="22"/>
      <c r="G13" s="21"/>
      <c r="H13" s="23">
        <f>IF(COUNTIF(D13:F13,"X")&gt;1,"ERRO: marque só uma opção",IF(AND(E13="X",G13=""),"Pendente: anote a OS",IF(AND(COUNTIF(D13:F13,"X")=0,COUNTA($D$10:$F$21)&gt;0),"Pendente: sem marcação",IF(COUNTIF(D13:F13,"X")=1,"OK",""))))</f>
      </c>
    </row>
    <row r="14" ht="24" customHeight="1" spans="1:8" x14ac:dyDescent="0.25">
      <c r="A14" s="19">
        <v>5</v>
      </c>
      <c r="B14" s="20" t="s">
        <v>63</v>
      </c>
      <c r="C14" s="21" t="s">
        <v>84</v>
      </c>
      <c r="D14" s="22"/>
      <c r="E14" s="22"/>
      <c r="F14" s="22"/>
      <c r="G14" s="21"/>
      <c r="H14" s="23">
        <f>IF(COUNTIF(D14:F14,"X")&gt;1,"ERRO: marque só uma opção",IF(AND(E14="X",G14=""),"Pendente: anote a OS",IF(AND(COUNTIF(D14:F14,"X")=0,COUNTA($D$10:$F$21)&gt;0),"Pendente: sem marcação",IF(COUNTIF(D14:F14,"X")=1,"OK",""))))</f>
      </c>
    </row>
    <row r="15" ht="24" customHeight="1" spans="1:8" x14ac:dyDescent="0.25">
      <c r="A15" s="19">
        <v>6</v>
      </c>
      <c r="B15" s="20" t="s">
        <v>63</v>
      </c>
      <c r="C15" s="21" t="s">
        <v>85</v>
      </c>
      <c r="D15" s="22"/>
      <c r="E15" s="22"/>
      <c r="F15" s="22"/>
      <c r="G15" s="21"/>
      <c r="H15" s="23">
        <f>IF(COUNTIF(D15:F15,"X")&gt;1,"ERRO: marque só uma opção",IF(AND(E15="X",G15=""),"Pendente: anote a OS",IF(AND(COUNTIF(D15:F15,"X")=0,COUNTA($D$10:$F$21)&gt;0),"Pendente: sem marcação",IF(COUNTIF(D15:F15,"X")=1,"OK",""))))</f>
      </c>
    </row>
    <row r="16" ht="24" customHeight="1" spans="1:8" x14ac:dyDescent="0.25">
      <c r="A16" s="19">
        <v>7</v>
      </c>
      <c r="B16" s="20" t="s">
        <v>86</v>
      </c>
      <c r="C16" s="21" t="s">
        <v>87</v>
      </c>
      <c r="D16" s="22"/>
      <c r="E16" s="22"/>
      <c r="F16" s="22"/>
      <c r="G16" s="21"/>
      <c r="H16" s="23">
        <f>IF(COUNTIF(D16:F16,"X")&gt;1,"ERRO: marque só uma opção",IF(AND(E16="X",G16=""),"Pendente: anote a OS",IF(AND(COUNTIF(D16:F16,"X")=0,COUNTA($D$10:$F$21)&gt;0),"Pendente: sem marcação",IF(COUNTIF(D16:F16,"X")=1,"OK",""))))</f>
      </c>
    </row>
    <row r="17" ht="24" customHeight="1" spans="1:8" x14ac:dyDescent="0.25">
      <c r="A17" s="19">
        <v>8</v>
      </c>
      <c r="B17" s="20" t="s">
        <v>86</v>
      </c>
      <c r="C17" s="21" t="s">
        <v>88</v>
      </c>
      <c r="D17" s="22"/>
      <c r="E17" s="22"/>
      <c r="F17" s="22"/>
      <c r="G17" s="21"/>
      <c r="H17" s="23">
        <f>IF(COUNTIF(D17:F17,"X")&gt;1,"ERRO: marque só uma opção",IF(AND(E17="X",G17=""),"Pendente: anote a OS",IF(AND(COUNTIF(D17:F17,"X")=0,COUNTA($D$10:$F$21)&gt;0),"Pendente: sem marcação",IF(COUNTIF(D17:F17,"X")=1,"OK",""))))</f>
      </c>
    </row>
    <row r="18" ht="24" customHeight="1" spans="1:8" x14ac:dyDescent="0.25">
      <c r="A18" s="19">
        <v>9</v>
      </c>
      <c r="B18" s="20" t="s">
        <v>66</v>
      </c>
      <c r="C18" s="21" t="s">
        <v>89</v>
      </c>
      <c r="D18" s="22"/>
      <c r="E18" s="22"/>
      <c r="F18" s="22"/>
      <c r="G18" s="21"/>
      <c r="H18" s="23">
        <f>IF(COUNTIF(D18:F18,"X")&gt;1,"ERRO: marque só uma opção",IF(AND(E18="X",G18=""),"Pendente: anote a OS",IF(AND(COUNTIF(D18:F18,"X")=0,COUNTA($D$10:$F$21)&gt;0),"Pendente: sem marcação",IF(COUNTIF(D18:F18,"X")=1,"OK",""))))</f>
      </c>
    </row>
    <row r="19" ht="24" customHeight="1" spans="1:8" x14ac:dyDescent="0.25">
      <c r="A19" s="19">
        <v>10</v>
      </c>
      <c r="B19" s="20" t="s">
        <v>90</v>
      </c>
      <c r="C19" s="21" t="s">
        <v>91</v>
      </c>
      <c r="D19" s="22"/>
      <c r="E19" s="22"/>
      <c r="F19" s="22"/>
      <c r="G19" s="21"/>
      <c r="H19" s="23">
        <f>IF(COUNTIF(D19:F19,"X")&gt;1,"ERRO: marque só uma opção",IF(AND(E19="X",G19=""),"Pendente: anote a OS",IF(AND(COUNTIF(D19:F19,"X")=0,COUNTA($D$10:$F$21)&gt;0),"Pendente: sem marcação",IF(COUNTIF(D19:F19,"X")=1,"OK",""))))</f>
      </c>
    </row>
    <row r="20" ht="24" customHeight="1" spans="1:8" x14ac:dyDescent="0.25">
      <c r="A20" s="19">
        <v>11</v>
      </c>
      <c r="B20" s="20" t="s">
        <v>69</v>
      </c>
      <c r="C20" s="21" t="s">
        <v>92</v>
      </c>
      <c r="D20" s="22"/>
      <c r="E20" s="22"/>
      <c r="F20" s="22"/>
      <c r="G20" s="21"/>
      <c r="H20" s="23">
        <f>IF(COUNTIF(D20:F20,"X")&gt;1,"ERRO: marque só uma opção",IF(AND(E20="X",G20=""),"Pendente: anote a OS",IF(AND(COUNTIF(D20:F20,"X")=0,COUNTA($D$10:$F$21)&gt;0),"Pendente: sem marcação",IF(COUNTIF(D20:F20,"X")=1,"OK",""))))</f>
      </c>
    </row>
    <row r="21" ht="24" customHeight="1" spans="1:8" x14ac:dyDescent="0.25">
      <c r="A21" s="19">
        <v>12</v>
      </c>
      <c r="B21" s="20" t="s">
        <v>93</v>
      </c>
      <c r="C21" s="21" t="s">
        <v>94</v>
      </c>
      <c r="D21" s="22"/>
      <c r="E21" s="22"/>
      <c r="F21" s="22"/>
      <c r="G21" s="21"/>
      <c r="H21" s="23">
        <f>IF(COUNTIF(D21:F21,"X")&gt;1,"ERRO: marque só uma opção",IF(AND(E21="X",G21=""),"Pendente: anote a OS",IF(AND(COUNTIF(D21:F21,"X")=0,COUNTA($D$10:$F$21)&gt;0),"Pendente: sem marcação",IF(COUNTIF(D21:F21,"X")=1,"OK",""))))</f>
      </c>
    </row>
    <row r="22" ht="8" customHeight="1" x14ac:dyDescent="0.25"/>
    <row r="23" ht="20" customHeight="1" spans="1:8" x14ac:dyDescent="0.25">
      <c r="A23" s="5" t="s">
        <v>71</v>
      </c>
      <c r="B23" s="5"/>
      <c r="C23" s="5"/>
      <c r="D23" s="5"/>
      <c r="E23" s="5"/>
      <c r="F23" s="5"/>
      <c r="G23" s="5"/>
      <c r="H23" s="5"/>
    </row>
    <row r="24" ht="20" customHeight="1" spans="1:8" x14ac:dyDescent="0.25">
      <c r="A24" s="9" t="s">
        <v>72</v>
      </c>
      <c r="B24" s="9"/>
      <c r="C24" s="24">
        <f>COUNTIF(D10:D21,"X")</f>
      </c>
      <c r="D24" s="16">
        <f>IF(COUNTIF(H10:H21,"Pendente*")&gt;0,"Pendente: "&amp;COUNTIF(H10:H21,"Pendente*")&amp;" item(ns) sem marcação ou NOK sem OS","")</f>
      </c>
      <c r="E24" s="16"/>
      <c r="F24" s="16"/>
      <c r="G24" s="16"/>
      <c r="H24" s="16"/>
    </row>
    <row r="25" ht="20" customHeight="1" spans="1:8" x14ac:dyDescent="0.25">
      <c r="A25" s="9" t="s">
        <v>73</v>
      </c>
      <c r="B25" s="9"/>
      <c r="C25" s="24">
        <f>COUNTIF(E10:E21,"X")</f>
      </c>
      <c r="D25" s="6"/>
      <c r="E25" s="6"/>
      <c r="F25" s="6"/>
      <c r="G25" s="6"/>
      <c r="H25" s="6"/>
    </row>
    <row r="26" ht="20" customHeight="1" spans="1:8" x14ac:dyDescent="0.25">
      <c r="A26" s="9" t="s">
        <v>74</v>
      </c>
      <c r="B26" s="9"/>
      <c r="C26" s="24">
        <f>COUNTIF(F10:F21,"X")</f>
      </c>
      <c r="D26" s="6"/>
      <c r="E26" s="6"/>
      <c r="F26" s="6"/>
      <c r="G26" s="6"/>
      <c r="H26" s="6"/>
    </row>
    <row r="27" ht="20" customHeight="1" spans="1:8" x14ac:dyDescent="0.25">
      <c r="A27" s="9" t="s">
        <v>75</v>
      </c>
      <c r="B27" s="9"/>
      <c r="C27" s="25">
        <f>IF(COUNTIF(H10:H21,"ERRO*")&gt;0,"Revisar marcações",IF(C24+C25=0,"",C24/(C24+C25)))</f>
      </c>
      <c r="D27" s="6"/>
      <c r="E27" s="6"/>
      <c r="F27" s="6"/>
      <c r="G27" s="6"/>
      <c r="H27" s="6"/>
    </row>
    <row r="28" ht="10" customHeight="1" x14ac:dyDescent="0.25"/>
    <row r="29" ht="40" customHeight="1" spans="1:8" x14ac:dyDescent="0.25">
      <c r="A29" s="26"/>
      <c r="B29" s="26"/>
      <c r="C29" s="26"/>
      <c r="E29" s="26"/>
      <c r="F29" s="26"/>
      <c r="G29" s="26"/>
      <c r="H29" s="26"/>
    </row>
    <row r="30" ht="16" customHeight="1" spans="1:8" x14ac:dyDescent="0.25">
      <c r="A30" s="27" t="s">
        <v>76</v>
      </c>
      <c r="B30" s="27"/>
      <c r="C30" s="27"/>
      <c r="E30" s="27" t="s">
        <v>77</v>
      </c>
      <c r="F30" s="27"/>
      <c r="G30" s="27"/>
      <c r="H30" s="27"/>
    </row>
    <row r="31" ht="8" customHeight="1" x14ac:dyDescent="0.25"/>
    <row r="32" ht="28" customHeight="1" spans="1:8" x14ac:dyDescent="0.25">
      <c r="A32" s="28" t="s">
        <v>78</v>
      </c>
      <c r="B32" s="28"/>
      <c r="C32" s="28"/>
      <c r="D32" s="28"/>
      <c r="E32" s="28"/>
      <c r="F32" s="28"/>
      <c r="G32" s="28"/>
      <c r="H32" s="28"/>
    </row>
  </sheetData>
  <sheetProtection sheet="1" formatColumns="0" formatRows="0" autoFilter="0"/>
  <mergeCells count="26">
    <mergeCell ref="A1:B2"/>
    <mergeCell ref="C1:G2"/>
    <mergeCell ref="A4:H4"/>
    <mergeCell ref="A5:B5"/>
    <mergeCell ref="D5:F5"/>
    <mergeCell ref="G5:H5"/>
    <mergeCell ref="A6:B6"/>
    <mergeCell ref="D6:F6"/>
    <mergeCell ref="G6:H6"/>
    <mergeCell ref="A7:B7"/>
    <mergeCell ref="D7:F7"/>
    <mergeCell ref="G7:H7"/>
    <mergeCell ref="A23:H23"/>
    <mergeCell ref="A24:B24"/>
    <mergeCell ref="D24:H24"/>
    <mergeCell ref="A25:B25"/>
    <mergeCell ref="D25:H25"/>
    <mergeCell ref="A26:B26"/>
    <mergeCell ref="D26:H26"/>
    <mergeCell ref="A27:B27"/>
    <mergeCell ref="D27:H27"/>
    <mergeCell ref="A29:C29"/>
    <mergeCell ref="E29:H29"/>
    <mergeCell ref="A30:C30"/>
    <mergeCell ref="E30:H30"/>
    <mergeCell ref="A32:H32"/>
  </mergeCells>
  <conditionalFormatting sqref="D10:D21">
    <cfRule type="expression" dxfId="17" priority="1">
      <formula>UPPER(D10)="X"</formula>
    </cfRule>
  </conditionalFormatting>
  <conditionalFormatting sqref="E10:E21">
    <cfRule type="expression" dxfId="18" priority="1">
      <formula>UPPER(E10)="X"</formula>
    </cfRule>
  </conditionalFormatting>
  <conditionalFormatting sqref="F10:F21">
    <cfRule type="expression" dxfId="19" priority="1">
      <formula>UPPER(F10)="X"</formula>
    </cfRule>
  </conditionalFormatting>
  <conditionalFormatting sqref="H10:H21">
    <cfRule type="expression" dxfId="20" priority="1">
      <formula>OR(LEFT(H10,4)="ERRO",LEFT(H10,7)="ATENÇÃO")</formula>
    </cfRule>
    <cfRule type="expression" dxfId="21" priority="2">
      <formula>OR(LEFT(H10,8)="Pendente",LEFT(H10,9)="Verificar",LEFT(H10,9)="Duplicada",LEFT(H10,7)="Tarefa ",LEFT(H10,13)="Fora do plano",LEFT(H10,8)="Previsão",LEFT(H10,11)="Sem vínculo",LEFT(H10,14)="Não verificado",LEFT(H10,7)="Informe",LEFT(H10,9)="A definir")</formula>
    </cfRule>
    <cfRule type="expression" dxfId="22" priority="3">
      <formula>OR(H10="OK",LEFT(H10,4)="Nada",LEFT(H10,3)="OK:")</formula>
    </cfRule>
  </conditionalFormatting>
  <conditionalFormatting sqref="C25">
    <cfRule type="expression" dxfId="23" priority="1">
      <formula>C25&gt;0</formula>
    </cfRule>
  </conditionalFormatting>
  <conditionalFormatting sqref="C27">
    <cfRule type="expression" dxfId="24" priority="1">
      <formula>AND(ISTEXT(C27),C27&lt;&gt;"")</formula>
    </cfRule>
    <cfRule type="expression" dxfId="25" priority="2">
      <formula>AND(ISNUMBER(C27),C27&lt;0.8)</formula>
    </cfRule>
    <cfRule type="expression" dxfId="26" priority="3">
      <formula>AND(ISNUMBER(C27),C27&gt;=0.8)</formula>
    </cfRule>
  </conditionalFormatting>
  <conditionalFormatting sqref="D24">
    <cfRule type="expression" dxfId="27" priority="1">
      <formula>OR(LEFT(D24,4)="ERRO",LEFT(D24,7)="ATENÇÃO")</formula>
    </cfRule>
    <cfRule type="expression" dxfId="28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29" priority="3">
      <formula>OR(D24="OK",LEFT(D24,4)="Nada",LEFT(D24,3)="OK:")</formula>
    </cfRule>
  </conditionalFormatting>
  <dataValidations count="2">
    <dataValidation type="date" allowBlank="1" showErrorMessage="1" errorTitle="Data inválida" error="Digite uma data válida." sqref="C6">
      <formula1>32874</formula1>
      <formula2>73050</formula2>
    </dataValidation>
    <dataValidation type="list" allowBlank="1" showErrorMessage="1" errorTitle="Marcação inválida" error="Use somente X." sqref="D10:F21">
      <formula1>"X"</formula1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1"/>
  <headerFooter>
    <oddHeader>&amp;L&amp;"Arial,Regular"&amp;7&amp;K4A5668&amp;F  ·  &amp;A&amp;C&amp;"Arial,Regular"&amp;7&amp;K4A5668PCM Direto  ·  PCMD-K03&amp;R&amp;"Arial,Regular"&amp;7&amp;K4A5668Impresso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46" customWidth="1"/>
    <col min="4" max="6" width="7" customWidth="1"/>
    <col min="7" max="8" width="22" customWidth="1"/>
  </cols>
  <sheetData>
    <row r="1" ht="36" customHeight="1" spans="1:8" x14ac:dyDescent="0.25">
      <c r="A1" s="1"/>
      <c r="B1" s="1"/>
      <c r="C1" s="2" t="s">
        <v>95</v>
      </c>
      <c r="D1" s="2"/>
      <c r="E1" s="2"/>
      <c r="F1" s="2"/>
      <c r="G1" s="2"/>
      <c r="H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8" x14ac:dyDescent="0.25">
      <c r="A2" s="1"/>
      <c r="B2" s="1"/>
      <c r="C2" s="2"/>
      <c r="D2" s="2"/>
      <c r="E2" s="2"/>
      <c r="F2" s="2"/>
      <c r="G2" s="2"/>
      <c r="H2" s="4">
        <f>"Elaborado: "&amp;IF(cfg_elaborado="","A definir",cfg_elaborado)&amp;CHAR(10)&amp;"Aprovado: "&amp;IF(cfg_aprovado="","A definir",cfg_aprovado)</f>
      </c>
    </row>
    <row r="3" ht="8" customHeight="1" x14ac:dyDescent="0.25"/>
    <row r="4" ht="20" customHeight="1" spans="1:8" x14ac:dyDescent="0.25">
      <c r="A4" s="5" t="s">
        <v>38</v>
      </c>
      <c r="B4" s="5"/>
      <c r="C4" s="5"/>
      <c r="D4" s="5"/>
      <c r="E4" s="5"/>
      <c r="F4" s="5"/>
      <c r="G4" s="5"/>
      <c r="H4" s="5"/>
    </row>
    <row r="5" ht="22" customHeight="1" spans="1:8" x14ac:dyDescent="0.25">
      <c r="A5" s="9" t="s">
        <v>39</v>
      </c>
      <c r="B5" s="9"/>
      <c r="C5" s="18"/>
      <c r="D5" s="9" t="s">
        <v>40</v>
      </c>
      <c r="E5" s="9"/>
      <c r="F5" s="9"/>
      <c r="G5" s="18"/>
      <c r="H5" s="18"/>
    </row>
    <row r="6" ht="22" customHeight="1" spans="1:8" x14ac:dyDescent="0.25">
      <c r="A6" s="9" t="s">
        <v>41</v>
      </c>
      <c r="B6" s="9"/>
      <c r="C6" s="14"/>
      <c r="D6" s="9" t="s">
        <v>42</v>
      </c>
      <c r="E6" s="9"/>
      <c r="F6" s="9"/>
      <c r="G6" s="18"/>
      <c r="H6" s="18"/>
    </row>
    <row r="7" ht="22" customHeight="1" spans="1:8" x14ac:dyDescent="0.25">
      <c r="A7" s="9" t="s">
        <v>43</v>
      </c>
      <c r="B7" s="9"/>
      <c r="C7" s="18"/>
      <c r="D7" s="9" t="s">
        <v>44</v>
      </c>
      <c r="E7" s="9"/>
      <c r="F7" s="9"/>
      <c r="G7" s="18"/>
      <c r="H7" s="18"/>
    </row>
    <row r="8" ht="8" customHeight="1" x14ac:dyDescent="0.25"/>
    <row r="9" ht="24" customHeight="1" spans="1:8" x14ac:dyDescent="0.25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</row>
    <row r="10" ht="24" customHeight="1" spans="1:8" x14ac:dyDescent="0.25">
      <c r="A10" s="19">
        <v>1</v>
      </c>
      <c r="B10" s="20" t="s">
        <v>57</v>
      </c>
      <c r="C10" s="21" t="s">
        <v>96</v>
      </c>
      <c r="D10" s="22"/>
      <c r="E10" s="22"/>
      <c r="F10" s="22"/>
      <c r="G10" s="21"/>
      <c r="H10" s="23">
        <f>IF(COUNTIF(D10:F10,"X")&gt;1,"ERRO: marque só uma opção",IF(AND(E10="X",G10=""),"Pendente: anote a OS",IF(AND(COUNTIF(D10:F10,"X")=0,COUNTA($D$10:$F$21)&gt;0),"Pendente: sem marcação",IF(COUNTIF(D10:F10,"X")=1,"OK",""))))</f>
      </c>
    </row>
    <row r="11" ht="24" customHeight="1" spans="1:8" x14ac:dyDescent="0.25">
      <c r="A11" s="19">
        <v>2</v>
      </c>
      <c r="B11" s="20" t="s">
        <v>60</v>
      </c>
      <c r="C11" s="21" t="s">
        <v>97</v>
      </c>
      <c r="D11" s="22"/>
      <c r="E11" s="22"/>
      <c r="F11" s="22"/>
      <c r="G11" s="21"/>
      <c r="H11" s="23">
        <f>IF(COUNTIF(D11:F11,"X")&gt;1,"ERRO: marque só uma opção",IF(AND(E11="X",G11=""),"Pendente: anote a OS",IF(AND(COUNTIF(D11:F11,"X")=0,COUNTA($D$10:$F$21)&gt;0),"Pendente: sem marcação",IF(COUNTIF(D11:F11,"X")=1,"OK",""))))</f>
      </c>
    </row>
    <row r="12" ht="24" customHeight="1" spans="1:8" x14ac:dyDescent="0.25">
      <c r="A12" s="19">
        <v>3</v>
      </c>
      <c r="B12" s="20" t="s">
        <v>60</v>
      </c>
      <c r="C12" s="21" t="s">
        <v>98</v>
      </c>
      <c r="D12" s="22"/>
      <c r="E12" s="22"/>
      <c r="F12" s="22"/>
      <c r="G12" s="21"/>
      <c r="H12" s="23">
        <f>IF(COUNTIF(D12:F12,"X")&gt;1,"ERRO: marque só uma opção",IF(AND(E12="X",G12=""),"Pendente: anote a OS",IF(AND(COUNTIF(D12:F12,"X")=0,COUNTA($D$10:$F$21)&gt;0),"Pendente: sem marcação",IF(COUNTIF(D12:F12,"X")=1,"OK",""))))</f>
      </c>
    </row>
    <row r="13" ht="24" customHeight="1" spans="1:8" x14ac:dyDescent="0.25">
      <c r="A13" s="19">
        <v>4</v>
      </c>
      <c r="B13" s="20" t="s">
        <v>63</v>
      </c>
      <c r="C13" s="21" t="s">
        <v>99</v>
      </c>
      <c r="D13" s="22"/>
      <c r="E13" s="22"/>
      <c r="F13" s="22"/>
      <c r="G13" s="21"/>
      <c r="H13" s="23">
        <f>IF(COUNTIF(D13:F13,"X")&gt;1,"ERRO: marque só uma opção",IF(AND(E13="X",G13=""),"Pendente: anote a OS",IF(AND(COUNTIF(D13:F13,"X")=0,COUNTA($D$10:$F$21)&gt;0),"Pendente: sem marcação",IF(COUNTIF(D13:F13,"X")=1,"OK",""))))</f>
      </c>
    </row>
    <row r="14" ht="24" customHeight="1" spans="1:8" x14ac:dyDescent="0.25">
      <c r="A14" s="19">
        <v>5</v>
      </c>
      <c r="B14" s="20" t="s">
        <v>63</v>
      </c>
      <c r="C14" s="21" t="s">
        <v>100</v>
      </c>
      <c r="D14" s="22"/>
      <c r="E14" s="22"/>
      <c r="F14" s="22"/>
      <c r="G14" s="21"/>
      <c r="H14" s="23">
        <f>IF(COUNTIF(D14:F14,"X")&gt;1,"ERRO: marque só uma opção",IF(AND(E14="X",G14=""),"Pendente: anote a OS",IF(AND(COUNTIF(D14:F14,"X")=0,COUNTA($D$10:$F$21)&gt;0),"Pendente: sem marcação",IF(COUNTIF(D14:F14,"X")=1,"OK",""))))</f>
      </c>
    </row>
    <row r="15" ht="24" customHeight="1" spans="1:8" x14ac:dyDescent="0.25">
      <c r="A15" s="19">
        <v>6</v>
      </c>
      <c r="B15" s="20" t="s">
        <v>86</v>
      </c>
      <c r="C15" s="21" t="s">
        <v>101</v>
      </c>
      <c r="D15" s="22"/>
      <c r="E15" s="22"/>
      <c r="F15" s="22"/>
      <c r="G15" s="21"/>
      <c r="H15" s="23">
        <f>IF(COUNTIF(D15:F15,"X")&gt;1,"ERRO: marque só uma opção",IF(AND(E15="X",G15=""),"Pendente: anote a OS",IF(AND(COUNTIF(D15:F15,"X")=0,COUNTA($D$10:$F$21)&gt;0),"Pendente: sem marcação",IF(COUNTIF(D15:F15,"X")=1,"OK",""))))</f>
      </c>
    </row>
    <row r="16" ht="24" customHeight="1" spans="1:8" x14ac:dyDescent="0.25">
      <c r="A16" s="19">
        <v>7</v>
      </c>
      <c r="B16" s="20" t="s">
        <v>66</v>
      </c>
      <c r="C16" s="21" t="s">
        <v>102</v>
      </c>
      <c r="D16" s="22"/>
      <c r="E16" s="22"/>
      <c r="F16" s="22"/>
      <c r="G16" s="21"/>
      <c r="H16" s="23">
        <f>IF(COUNTIF(D16:F16,"X")&gt;1,"ERRO: marque só uma opção",IF(AND(E16="X",G16=""),"Pendente: anote a OS",IF(AND(COUNTIF(D16:F16,"X")=0,COUNTA($D$10:$F$21)&gt;0),"Pendente: sem marcação",IF(COUNTIF(D16:F16,"X")=1,"OK",""))))</f>
      </c>
    </row>
    <row r="17" ht="24" customHeight="1" spans="1:8" x14ac:dyDescent="0.25">
      <c r="A17" s="19">
        <v>8</v>
      </c>
      <c r="B17" s="20" t="s">
        <v>90</v>
      </c>
      <c r="C17" s="21" t="s">
        <v>103</v>
      </c>
      <c r="D17" s="22"/>
      <c r="E17" s="22"/>
      <c r="F17" s="22"/>
      <c r="G17" s="21"/>
      <c r="H17" s="23">
        <f>IF(COUNTIF(D17:F17,"X")&gt;1,"ERRO: marque só uma opção",IF(AND(E17="X",G17=""),"Pendente: anote a OS",IF(AND(COUNTIF(D17:F17,"X")=0,COUNTA($D$10:$F$21)&gt;0),"Pendente: sem marcação",IF(COUNTIF(D17:F17,"X")=1,"OK",""))))</f>
      </c>
    </row>
    <row r="18" ht="24" customHeight="1" spans="1:8" x14ac:dyDescent="0.25">
      <c r="A18" s="19">
        <v>9</v>
      </c>
      <c r="B18" s="20" t="s">
        <v>53</v>
      </c>
      <c r="C18" s="21" t="s">
        <v>104</v>
      </c>
      <c r="D18" s="22"/>
      <c r="E18" s="22"/>
      <c r="F18" s="22"/>
      <c r="G18" s="21"/>
      <c r="H18" s="23">
        <f>IF(COUNTIF(D18:F18,"X")&gt;1,"ERRO: marque só uma opção",IF(AND(E18="X",G18=""),"Pendente: anote a OS",IF(AND(COUNTIF(D18:F18,"X")=0,COUNTA($D$10:$F$21)&gt;0),"Pendente: sem marcação",IF(COUNTIF(D18:F18,"X")=1,"OK",""))))</f>
      </c>
    </row>
    <row r="19" ht="24" customHeight="1" spans="1:8" x14ac:dyDescent="0.25">
      <c r="A19" s="19">
        <v>10</v>
      </c>
      <c r="B19" s="20" t="s">
        <v>53</v>
      </c>
      <c r="C19" s="21" t="s">
        <v>105</v>
      </c>
      <c r="D19" s="22"/>
      <c r="E19" s="22"/>
      <c r="F19" s="22"/>
      <c r="G19" s="21"/>
      <c r="H19" s="23">
        <f>IF(COUNTIF(D19:F19,"X")&gt;1,"ERRO: marque só uma opção",IF(AND(E19="X",G19=""),"Pendente: anote a OS",IF(AND(COUNTIF(D19:F19,"X")=0,COUNTA($D$10:$F$21)&gt;0),"Pendente: sem marcação",IF(COUNTIF(D19:F19,"X")=1,"OK",""))))</f>
      </c>
    </row>
    <row r="20" ht="24" customHeight="1" spans="1:8" x14ac:dyDescent="0.25">
      <c r="A20" s="19">
        <v>11</v>
      </c>
      <c r="B20" s="20" t="s">
        <v>106</v>
      </c>
      <c r="C20" s="21" t="s">
        <v>107</v>
      </c>
      <c r="D20" s="22"/>
      <c r="E20" s="22"/>
      <c r="F20" s="22"/>
      <c r="G20" s="21"/>
      <c r="H20" s="23">
        <f>IF(COUNTIF(D20:F20,"X")&gt;1,"ERRO: marque só uma opção",IF(AND(E20="X",G20=""),"Pendente: anote a OS",IF(AND(COUNTIF(D20:F20,"X")=0,COUNTA($D$10:$F$21)&gt;0),"Pendente: sem marcação",IF(COUNTIF(D20:F20,"X")=1,"OK",""))))</f>
      </c>
    </row>
    <row r="21" ht="24" customHeight="1" spans="1:8" x14ac:dyDescent="0.25">
      <c r="A21" s="19">
        <v>12</v>
      </c>
      <c r="B21" s="20" t="s">
        <v>93</v>
      </c>
      <c r="C21" s="21" t="s">
        <v>108</v>
      </c>
      <c r="D21" s="22"/>
      <c r="E21" s="22"/>
      <c r="F21" s="22"/>
      <c r="G21" s="21"/>
      <c r="H21" s="23">
        <f>IF(COUNTIF(D21:F21,"X")&gt;1,"ERRO: marque só uma opção",IF(AND(E21="X",G21=""),"Pendente: anote a OS",IF(AND(COUNTIF(D21:F21,"X")=0,COUNTA($D$10:$F$21)&gt;0),"Pendente: sem marcação",IF(COUNTIF(D21:F21,"X")=1,"OK",""))))</f>
      </c>
    </row>
    <row r="22" ht="8" customHeight="1" x14ac:dyDescent="0.25"/>
    <row r="23" ht="20" customHeight="1" spans="1:8" x14ac:dyDescent="0.25">
      <c r="A23" s="5" t="s">
        <v>71</v>
      </c>
      <c r="B23" s="5"/>
      <c r="C23" s="5"/>
      <c r="D23" s="5"/>
      <c r="E23" s="5"/>
      <c r="F23" s="5"/>
      <c r="G23" s="5"/>
      <c r="H23" s="5"/>
    </row>
    <row r="24" ht="20" customHeight="1" spans="1:8" x14ac:dyDescent="0.25">
      <c r="A24" s="9" t="s">
        <v>72</v>
      </c>
      <c r="B24" s="9"/>
      <c r="C24" s="24">
        <f>COUNTIF(D10:D21,"X")</f>
      </c>
      <c r="D24" s="16">
        <f>IF(COUNTIF(H10:H21,"Pendente*")&gt;0,"Pendente: "&amp;COUNTIF(H10:H21,"Pendente*")&amp;" item(ns) sem marcação ou NOK sem OS","")</f>
      </c>
      <c r="E24" s="16"/>
      <c r="F24" s="16"/>
      <c r="G24" s="16"/>
      <c r="H24" s="16"/>
    </row>
    <row r="25" ht="20" customHeight="1" spans="1:8" x14ac:dyDescent="0.25">
      <c r="A25" s="9" t="s">
        <v>73</v>
      </c>
      <c r="B25" s="9"/>
      <c r="C25" s="24">
        <f>COUNTIF(E10:E21,"X")</f>
      </c>
      <c r="D25" s="6"/>
      <c r="E25" s="6"/>
      <c r="F25" s="6"/>
      <c r="G25" s="6"/>
      <c r="H25" s="6"/>
    </row>
    <row r="26" ht="20" customHeight="1" spans="1:8" x14ac:dyDescent="0.25">
      <c r="A26" s="9" t="s">
        <v>74</v>
      </c>
      <c r="B26" s="9"/>
      <c r="C26" s="24">
        <f>COUNTIF(F10:F21,"X")</f>
      </c>
      <c r="D26" s="6"/>
      <c r="E26" s="6"/>
      <c r="F26" s="6"/>
      <c r="G26" s="6"/>
      <c r="H26" s="6"/>
    </row>
    <row r="27" ht="20" customHeight="1" spans="1:8" x14ac:dyDescent="0.25">
      <c r="A27" s="9" t="s">
        <v>75</v>
      </c>
      <c r="B27" s="9"/>
      <c r="C27" s="25">
        <f>IF(COUNTIF(H10:H21,"ERRO*")&gt;0,"Revisar marcações",IF(C24+C25=0,"",C24/(C24+C25)))</f>
      </c>
      <c r="D27" s="6"/>
      <c r="E27" s="6"/>
      <c r="F27" s="6"/>
      <c r="G27" s="6"/>
      <c r="H27" s="6"/>
    </row>
    <row r="28" ht="10" customHeight="1" x14ac:dyDescent="0.25"/>
    <row r="29" ht="40" customHeight="1" spans="1:8" x14ac:dyDescent="0.25">
      <c r="A29" s="26"/>
      <c r="B29" s="26"/>
      <c r="C29" s="26"/>
      <c r="E29" s="26"/>
      <c r="F29" s="26"/>
      <c r="G29" s="26"/>
      <c r="H29" s="26"/>
    </row>
    <row r="30" ht="16" customHeight="1" spans="1:8" x14ac:dyDescent="0.25">
      <c r="A30" s="27" t="s">
        <v>76</v>
      </c>
      <c r="B30" s="27"/>
      <c r="C30" s="27"/>
      <c r="E30" s="27" t="s">
        <v>77</v>
      </c>
      <c r="F30" s="27"/>
      <c r="G30" s="27"/>
      <c r="H30" s="27"/>
    </row>
    <row r="31" ht="8" customHeight="1" x14ac:dyDescent="0.25"/>
    <row r="32" ht="28" customHeight="1" spans="1:8" x14ac:dyDescent="0.25">
      <c r="A32" s="28" t="s">
        <v>78</v>
      </c>
      <c r="B32" s="28"/>
      <c r="C32" s="28"/>
      <c r="D32" s="28"/>
      <c r="E32" s="28"/>
      <c r="F32" s="28"/>
      <c r="G32" s="28"/>
      <c r="H32" s="28"/>
    </row>
  </sheetData>
  <sheetProtection sheet="1" formatColumns="0" formatRows="0" autoFilter="0"/>
  <mergeCells count="26">
    <mergeCell ref="A1:B2"/>
    <mergeCell ref="C1:G2"/>
    <mergeCell ref="A4:H4"/>
    <mergeCell ref="A5:B5"/>
    <mergeCell ref="D5:F5"/>
    <mergeCell ref="G5:H5"/>
    <mergeCell ref="A6:B6"/>
    <mergeCell ref="D6:F6"/>
    <mergeCell ref="G6:H6"/>
    <mergeCell ref="A7:B7"/>
    <mergeCell ref="D7:F7"/>
    <mergeCell ref="G7:H7"/>
    <mergeCell ref="A23:H23"/>
    <mergeCell ref="A24:B24"/>
    <mergeCell ref="D24:H24"/>
    <mergeCell ref="A25:B25"/>
    <mergeCell ref="D25:H25"/>
    <mergeCell ref="A26:B26"/>
    <mergeCell ref="D26:H26"/>
    <mergeCell ref="A27:B27"/>
    <mergeCell ref="D27:H27"/>
    <mergeCell ref="A29:C29"/>
    <mergeCell ref="E29:H29"/>
    <mergeCell ref="A30:C30"/>
    <mergeCell ref="E30:H30"/>
    <mergeCell ref="A32:H32"/>
  </mergeCells>
  <conditionalFormatting sqref="D10:D21">
    <cfRule type="expression" dxfId="30" priority="1">
      <formula>UPPER(D10)="X"</formula>
    </cfRule>
  </conditionalFormatting>
  <conditionalFormatting sqref="E10:E21">
    <cfRule type="expression" dxfId="31" priority="1">
      <formula>UPPER(E10)="X"</formula>
    </cfRule>
  </conditionalFormatting>
  <conditionalFormatting sqref="F10:F21">
    <cfRule type="expression" dxfId="32" priority="1">
      <formula>UPPER(F10)="X"</formula>
    </cfRule>
  </conditionalFormatting>
  <conditionalFormatting sqref="H10:H21">
    <cfRule type="expression" dxfId="33" priority="1">
      <formula>OR(LEFT(H10,4)="ERRO",LEFT(H10,7)="ATENÇÃO")</formula>
    </cfRule>
    <cfRule type="expression" dxfId="34" priority="2">
      <formula>OR(LEFT(H10,8)="Pendente",LEFT(H10,9)="Verificar",LEFT(H10,9)="Duplicada",LEFT(H10,7)="Tarefa ",LEFT(H10,13)="Fora do plano",LEFT(H10,8)="Previsão",LEFT(H10,11)="Sem vínculo",LEFT(H10,14)="Não verificado",LEFT(H10,7)="Informe",LEFT(H10,9)="A definir")</formula>
    </cfRule>
    <cfRule type="expression" dxfId="35" priority="3">
      <formula>OR(H10="OK",LEFT(H10,4)="Nada",LEFT(H10,3)="OK:")</formula>
    </cfRule>
  </conditionalFormatting>
  <conditionalFormatting sqref="C25">
    <cfRule type="expression" dxfId="36" priority="1">
      <formula>C25&gt;0</formula>
    </cfRule>
  </conditionalFormatting>
  <conditionalFormatting sqref="C27">
    <cfRule type="expression" dxfId="37" priority="1">
      <formula>AND(ISTEXT(C27),C27&lt;&gt;"")</formula>
    </cfRule>
    <cfRule type="expression" dxfId="38" priority="2">
      <formula>AND(ISNUMBER(C27),C27&lt;0.8)</formula>
    </cfRule>
    <cfRule type="expression" dxfId="39" priority="3">
      <formula>AND(ISNUMBER(C27),C27&gt;=0.8)</formula>
    </cfRule>
  </conditionalFormatting>
  <conditionalFormatting sqref="D24">
    <cfRule type="expression" dxfId="40" priority="1">
      <formula>OR(LEFT(D24,4)="ERRO",LEFT(D24,7)="ATENÇÃO")</formula>
    </cfRule>
    <cfRule type="expression" dxfId="41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42" priority="3">
      <formula>OR(D24="OK",LEFT(D24,4)="Nada",LEFT(D24,3)="OK:")</formula>
    </cfRule>
  </conditionalFormatting>
  <dataValidations count="2">
    <dataValidation type="date" allowBlank="1" showErrorMessage="1" errorTitle="Data inválida" error="Digite uma data válida." sqref="C6">
      <formula1>32874</formula1>
      <formula2>73050</formula2>
    </dataValidation>
    <dataValidation type="list" allowBlank="1" showErrorMessage="1" errorTitle="Marcação inválida" error="Use somente X." sqref="D10:F21">
      <formula1>"X"</formula1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1"/>
  <headerFooter>
    <oddHeader>&amp;L&amp;"Arial,Regular"&amp;7&amp;K4A5668&amp;F  ·  &amp;A&amp;C&amp;"Arial,Regular"&amp;7&amp;K4A5668PCM Direto  ·  PCMD-K03&amp;R&amp;"Arial,Regular"&amp;7&amp;K4A5668Impresso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109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110</v>
      </c>
      <c r="B3" s="8" t="s">
        <v>41</v>
      </c>
      <c r="C3" s="8" t="s">
        <v>111</v>
      </c>
      <c r="D3" s="8" t="s">
        <v>112</v>
      </c>
      <c r="E3" s="8" t="s">
        <v>113</v>
      </c>
    </row>
    <row r="4" ht="26" customHeight="1" spans="1:5" x14ac:dyDescent="0.25">
      <c r="A4" s="29" t="s">
        <v>114</v>
      </c>
      <c r="B4" s="30">
        <v>46321</v>
      </c>
      <c r="C4" s="21" t="s">
        <v>115</v>
      </c>
      <c r="D4" s="20"/>
      <c r="E4" s="20"/>
    </row>
    <row r="5" spans="1:5" x14ac:dyDescent="0.25">
      <c r="A5" s="29"/>
      <c r="B5" s="30"/>
      <c r="C5" s="21"/>
      <c r="D5" s="20"/>
      <c r="E5" s="20"/>
    </row>
    <row r="6" spans="1:5" x14ac:dyDescent="0.25">
      <c r="A6" s="29"/>
      <c r="B6" s="30"/>
      <c r="C6" s="21"/>
      <c r="D6" s="20"/>
      <c r="E6" s="20"/>
    </row>
    <row r="7" spans="1:5" x14ac:dyDescent="0.25">
      <c r="A7" s="29"/>
      <c r="B7" s="30"/>
      <c r="C7" s="21"/>
      <c r="D7" s="20"/>
      <c r="E7" s="20"/>
    </row>
    <row r="8" spans="1:5" x14ac:dyDescent="0.25">
      <c r="A8" s="29"/>
      <c r="B8" s="30"/>
      <c r="C8" s="21"/>
      <c r="D8" s="20"/>
      <c r="E8" s="20"/>
    </row>
    <row r="9" spans="1:5" x14ac:dyDescent="0.25">
      <c r="A9" s="29"/>
      <c r="B9" s="30"/>
      <c r="C9" s="21"/>
      <c r="D9" s="20"/>
      <c r="E9" s="20"/>
    </row>
    <row r="10" spans="1:5" x14ac:dyDescent="0.25">
      <c r="A10" s="29"/>
      <c r="B10" s="30"/>
      <c r="C10" s="21"/>
      <c r="D10" s="20"/>
      <c r="E10" s="20"/>
    </row>
    <row r="11" spans="1:5" x14ac:dyDescent="0.25">
      <c r="A11" s="29"/>
      <c r="B11" s="30"/>
      <c r="C11" s="21"/>
      <c r="D11" s="20"/>
      <c r="E11" s="20"/>
    </row>
    <row r="12" spans="1:5" x14ac:dyDescent="0.25">
      <c r="A12" s="29"/>
      <c r="B12" s="30"/>
      <c r="C12" s="21"/>
      <c r="D12" s="20"/>
      <c r="E12" s="20"/>
    </row>
    <row r="13" spans="1:5" x14ac:dyDescent="0.25">
      <c r="A13" s="29"/>
      <c r="B13" s="30"/>
      <c r="C13" s="21"/>
      <c r="D13" s="20"/>
      <c r="E13" s="20"/>
    </row>
    <row r="14" spans="1:5" x14ac:dyDescent="0.25">
      <c r="A14" s="29"/>
      <c r="B14" s="30"/>
      <c r="C14" s="21"/>
      <c r="D14" s="20"/>
      <c r="E14" s="20"/>
    </row>
    <row r="15" spans="1:5" x14ac:dyDescent="0.25">
      <c r="A15" s="29"/>
      <c r="B15" s="30"/>
      <c r="C15" s="21"/>
      <c r="D15" s="20"/>
      <c r="E15" s="20"/>
    </row>
    <row r="16" spans="1:5" x14ac:dyDescent="0.25">
      <c r="A16" s="29"/>
      <c r="B16" s="30"/>
      <c r="C16" s="21"/>
      <c r="D16" s="20"/>
      <c r="E16" s="20"/>
    </row>
    <row r="17" spans="1:5" x14ac:dyDescent="0.25">
      <c r="A17" s="29"/>
      <c r="B17" s="30"/>
      <c r="C17" s="21"/>
      <c r="D17" s="20"/>
      <c r="E17" s="20"/>
    </row>
    <row r="18" spans="1:5" x14ac:dyDescent="0.25">
      <c r="A18" s="29"/>
      <c r="B18" s="30"/>
      <c r="C18" s="21"/>
      <c r="D18" s="20"/>
      <c r="E18" s="20"/>
    </row>
    <row r="19" spans="1:5" x14ac:dyDescent="0.25">
      <c r="A19" s="29"/>
      <c r="B19" s="30"/>
      <c r="C19" s="21"/>
      <c r="D19" s="20"/>
      <c r="E19" s="20"/>
    </row>
    <row r="20" spans="1:5" x14ac:dyDescent="0.25">
      <c r="A20" s="29"/>
      <c r="B20" s="30"/>
      <c r="C20" s="21"/>
      <c r="D20" s="20"/>
      <c r="E20" s="20"/>
    </row>
    <row r="21" spans="1:5" x14ac:dyDescent="0.25">
      <c r="A21" s="29"/>
      <c r="B21" s="30"/>
      <c r="C21" s="21"/>
      <c r="D21" s="20"/>
      <c r="E21" s="20"/>
    </row>
    <row r="22" spans="1:5" x14ac:dyDescent="0.25">
      <c r="A22" s="29"/>
      <c r="B22" s="30"/>
      <c r="C22" s="21"/>
      <c r="D22" s="20"/>
      <c r="E22" s="20"/>
    </row>
    <row r="23" spans="1:5" x14ac:dyDescent="0.25">
      <c r="A23" s="29"/>
      <c r="B23" s="30"/>
      <c r="C23" s="21"/>
      <c r="D23" s="20"/>
      <c r="E23" s="20"/>
    </row>
    <row r="24" spans="1:5" x14ac:dyDescent="0.25">
      <c r="A24" s="29"/>
      <c r="B24" s="30"/>
      <c r="C24" s="21"/>
      <c r="D24" s="20"/>
      <c r="E24" s="20"/>
    </row>
    <row r="25" spans="1:5" x14ac:dyDescent="0.25">
      <c r="A25" s="29"/>
      <c r="B25" s="30"/>
      <c r="C25" s="21"/>
      <c r="D25" s="20"/>
      <c r="E25" s="20"/>
    </row>
    <row r="26" spans="1:5" x14ac:dyDescent="0.25">
      <c r="A26" s="29"/>
      <c r="B26" s="30"/>
      <c r="C26" s="21"/>
      <c r="D26" s="20"/>
      <c r="E26" s="20"/>
    </row>
    <row r="27" spans="1:5" x14ac:dyDescent="0.25">
      <c r="A27" s="29"/>
      <c r="B27" s="30"/>
      <c r="C27" s="21"/>
      <c r="D27" s="20"/>
      <c r="E27" s="20"/>
    </row>
    <row r="28" spans="1:5" x14ac:dyDescent="0.25">
      <c r="A28" s="29"/>
      <c r="B28" s="30"/>
      <c r="C28" s="21"/>
      <c r="D28" s="20"/>
      <c r="E28" s="20"/>
    </row>
    <row r="29" spans="1:5" x14ac:dyDescent="0.25">
      <c r="A29" s="29"/>
      <c r="B29" s="30"/>
      <c r="C29" s="21"/>
      <c r="D29" s="20"/>
      <c r="E29" s="20"/>
    </row>
    <row r="30" spans="1:5" x14ac:dyDescent="0.25">
      <c r="A30" s="29"/>
      <c r="B30" s="30"/>
      <c r="C30" s="21"/>
      <c r="D30" s="20"/>
      <c r="E30" s="20"/>
    </row>
    <row r="31" spans="1:5" x14ac:dyDescent="0.25">
      <c r="A31" s="29"/>
      <c r="B31" s="30"/>
      <c r="C31" s="21"/>
      <c r="D31" s="20"/>
      <c r="E31" s="20"/>
    </row>
    <row r="32" spans="1:5" x14ac:dyDescent="0.25">
      <c r="A32" s="29"/>
      <c r="B32" s="30"/>
      <c r="C32" s="21"/>
      <c r="D32" s="20"/>
      <c r="E32" s="20"/>
    </row>
    <row r="33" spans="1:5" x14ac:dyDescent="0.25">
      <c r="A33" s="29"/>
      <c r="B33" s="30"/>
      <c r="C33" s="21"/>
      <c r="D33" s="20"/>
      <c r="E33" s="20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PCMD-K03&amp;R&amp;"Arial,Regular"&amp;7&amp;K4A5668Impresso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8" customHeight="1" x14ac:dyDescent="0.25"/>
    <row r="22" ht="20" customHeight="1" spans="1:6" x14ac:dyDescent="0.25">
      <c r="A22" s="5" t="s">
        <v>22</v>
      </c>
      <c r="B22" s="5"/>
      <c r="C22" s="5"/>
      <c r="D22" s="5"/>
      <c r="E22" s="5"/>
      <c r="F22" s="5"/>
    </row>
    <row r="23" ht="22" customHeight="1" spans="1:6" x14ac:dyDescent="0.25">
      <c r="A23" s="8" t="s">
        <v>23</v>
      </c>
      <c r="B23" s="8" t="s">
        <v>24</v>
      </c>
      <c r="C23" s="8" t="s">
        <v>25</v>
      </c>
      <c r="D23" s="8" t="s">
        <v>26</v>
      </c>
      <c r="E23" s="8"/>
      <c r="F23" s="8"/>
    </row>
    <row r="24" ht="20" customHeight="1" spans="1:6" x14ac:dyDescent="0.25">
      <c r="A24" s="9" t="s">
        <v>27</v>
      </c>
      <c r="B24" s="15">
        <f>COUNTA('Checklist Diário'!$D$10:$F$21)</f>
      </c>
      <c r="C24" s="15">
        <f>COUNTIF('Checklist Diário'!$H$10:$H$21,"ERRO*")</f>
      </c>
      <c r="D24" s="16">
        <f>IF(COUNTIF('Checklist Diário'!$H$10:$H$21,"ERRO*")&gt;0,"ERRO: há itens com mais de uma marcação",IF(COUNTIF('Checklist Diário'!$H$10:$H$21,"Pendente*")&gt;0,"Pendente: itens sem marcação ou NOK sem OS","OK"))</f>
      </c>
      <c r="E24" s="16"/>
      <c r="F24" s="16"/>
    </row>
    <row r="25" ht="20" customHeight="1" spans="1:6" x14ac:dyDescent="0.25">
      <c r="A25" s="9" t="s">
        <v>28</v>
      </c>
      <c r="B25" s="15">
        <f>COUNTA('Checklist Semanal'!$D$10:$F$21)</f>
      </c>
      <c r="C25" s="15">
        <f>COUNTIF('Checklist Semanal'!$H$10:$H$21,"ERRO*")</f>
      </c>
      <c r="D25" s="16">
        <f>IF(COUNTIF('Checklist Semanal'!$H$10:$H$21,"ERRO*")&gt;0,"ERRO: há itens com mais de uma marcação",IF(COUNTIF('Checklist Semanal'!$H$10:$H$21,"Pendente*")&gt;0,"Pendente: itens sem marcação ou NOK sem OS","OK"))</f>
      </c>
      <c r="E25" s="16"/>
      <c r="F25" s="16"/>
    </row>
    <row r="26" ht="20" customHeight="1" spans="1:6" x14ac:dyDescent="0.25">
      <c r="A26" s="9" t="s">
        <v>29</v>
      </c>
      <c r="B26" s="15">
        <f>COUNTA('Checklist Mensal'!$D$10:$F$21)</f>
      </c>
      <c r="C26" s="15">
        <f>COUNTIF('Checklist Mensal'!$H$10:$H$21,"ERRO*")</f>
      </c>
      <c r="D26" s="16">
        <f>IF(COUNTIF('Checklist Mensal'!$H$10:$H$21,"ERRO*")&gt;0,"ERRO: há itens com mais de uma marcação",IF(COUNTIF('Checklist Mensal'!$H$10:$H$21,"Pendente*")&gt;0,"Pendente: itens sem marcação ou NOK sem OS","OK"))</f>
      </c>
      <c r="E26" s="16"/>
      <c r="F26" s="16"/>
    </row>
    <row r="27" ht="8" customHeight="1" x14ac:dyDescent="0.25"/>
    <row r="28" ht="20" customHeight="1" spans="1:6" x14ac:dyDescent="0.25">
      <c r="A28" s="5" t="s">
        <v>30</v>
      </c>
      <c r="B28" s="5"/>
      <c r="C28" s="5"/>
      <c r="D28" s="5"/>
      <c r="E28" s="5"/>
      <c r="F28" s="5"/>
    </row>
    <row r="29" ht="20" customHeight="1" spans="1:6" x14ac:dyDescent="0.25">
      <c r="A29" s="17" t="s">
        <v>27</v>
      </c>
      <c r="B29" s="11" t="s">
        <v>31</v>
      </c>
      <c r="C29" s="11"/>
      <c r="D29" s="11"/>
      <c r="E29" s="11"/>
      <c r="F29" s="11"/>
    </row>
    <row r="30" ht="20" customHeight="1" spans="1:6" x14ac:dyDescent="0.25">
      <c r="A30" s="17" t="s">
        <v>28</v>
      </c>
      <c r="B30" s="11" t="s">
        <v>32</v>
      </c>
      <c r="C30" s="11"/>
      <c r="D30" s="11"/>
      <c r="E30" s="11"/>
      <c r="F30" s="11"/>
    </row>
    <row r="31" ht="20" customHeight="1" spans="1:6" x14ac:dyDescent="0.25">
      <c r="A31" s="17" t="s">
        <v>29</v>
      </c>
      <c r="B31" s="11" t="s">
        <v>33</v>
      </c>
      <c r="C31" s="11"/>
      <c r="D31" s="11"/>
      <c r="E31" s="11"/>
      <c r="F31" s="11"/>
    </row>
    <row r="32" ht="20" customHeight="1" spans="1:6" x14ac:dyDescent="0.25">
      <c r="A32" s="17" t="s">
        <v>34</v>
      </c>
      <c r="B32" s="11" t="s">
        <v>35</v>
      </c>
      <c r="C32" s="11"/>
      <c r="D32" s="11"/>
      <c r="E32" s="11"/>
      <c r="F32" s="11"/>
    </row>
    <row r="33" ht="8" customHeight="1" x14ac:dyDescent="0.25"/>
    <row r="34" ht="24" customHeight="1" spans="1:6" x14ac:dyDescent="0.25">
      <c r="A34" s="7" t="s">
        <v>36</v>
      </c>
      <c r="B34" s="7"/>
      <c r="C34" s="7"/>
      <c r="D34" s="7"/>
      <c r="E34" s="7"/>
      <c r="F34" s="7"/>
    </row>
  </sheetData>
  <sheetProtection sheet="1" formatColumns="0" formatRows="0" autoFilter="0"/>
  <mergeCells count="40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D26:F26"/>
    <mergeCell ref="A28:F28"/>
    <mergeCell ref="B29:F29"/>
    <mergeCell ref="B30:F30"/>
    <mergeCell ref="B31:F31"/>
    <mergeCell ref="B32:F32"/>
    <mergeCell ref="A34:F34"/>
  </mergeCells>
  <conditionalFormatting sqref="C24:C26">
    <cfRule type="expression" dxfId="0" priority="1">
      <formula>N(C24)&gt;0</formula>
    </cfRule>
  </conditionalFormatting>
  <conditionalFormatting sqref="D24:D26">
    <cfRule type="expression" dxfId="1" priority="1">
      <formula>OR(LEFT(D24,4)="ERRO",LEFT(D24,7)="ATENÇÃO")</formula>
    </cfRule>
    <cfRule type="expression" dxfId="2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3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A29" r:id="rId1" location="#'Checklist Diário'!A1"/>
    <hyperlink ref="A30" r:id="rId2" location="#'Checklist Semanal'!A1"/>
    <hyperlink ref="A31" r:id="rId3" location="#'Checklist Mensal'!A1"/>
    <hyperlink ref="A32" r:id="rId4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PCMD-K03&amp;R&amp;"Arial,Regular"&amp;7&amp;K4A5668Impresso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Checklist Diário</vt:lpstr>
      <vt:lpstr>Checklist Semanal</vt:lpstr>
      <vt:lpstr>Checklist Mensal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PCMD-K03 · Kit de 3 checklists de manutenção</dc:title>
  <dc:subject>PCM Direto</dc:subject>
  <dc:description/>
  <cp:keywords>PCMD-K03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