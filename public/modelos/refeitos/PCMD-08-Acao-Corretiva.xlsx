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ção Corretiva" state="visible" r:id="rId4"/>
    <sheet sheetId="2" name="Revisões" state="visible" r:id="rId5"/>
    <sheet sheetId="3" name="Config" state="visible" r:id="rId6"/>
    <sheet sheetId="4" name="Listas" state="visible" r:id="rId7"/>
  </sheets>
  <definedNames>
    <definedName name="ac_numero">'Ação Corretiva'!$A$4:$A$203</definedName>
    <definedName name="ac_status">'Ação Corretiva'!$L$4:$L$203</definedName>
    <definedName name="ac_conferencia">'Ação Corretiva'!$O$4:$O$203</definedName>
    <definedName name="rv_revisao">'Revisões'!$A$4:$A$33</definedName>
    <definedName name="rv_data">'Revisões'!$B$4:$B$33</definedName>
    <definedName name="cfg_elaborado">Config!$C$15</definedName>
    <definedName name="cfg_aprovado">Config!$C$16</definedName>
    <definedName name="cfg_revisao">Config!$C$17</definedName>
    <definedName name="cfg_data_revisao">Config!$C$18</definedName>
    <definedName name="pcmd_origem">Config!$C$19</definedName>
    <definedName name="pcmd_emissao">Config!$C$20</definedName>
    <definedName name="lst_origem_acao">Listas!$A$4:$A$18</definedName>
    <definedName name="lst_eficacia">Listas!$C$4:$C$18</definedName>
    <definedName name="_xlnm.Print_Area" localSheetId="0">'Ação Corretiva'!$A1:$O203</definedName>
    <definedName name="_xlnm.Print_Titles" localSheetId="0">'Ação Corretiva'!$1:$3</definedName>
    <definedName name="_xlnm.Print_Area" localSheetId="1">'Revisões'!$A1:$E33</definedName>
    <definedName name="_xlnm.Print_Titles" localSheetId="1">'Revisões'!$1:$3</definedName>
    <definedName name="_xlnm.Print_Area" localSheetId="2">'Config'!$A1:$F27</definedName>
    <definedName name="_xlnm.Print_Titles" localSheetId="2">'Config'!$1:$3</definedName>
    <definedName name="_xlnm.Print_Area" localSheetId="3">'Listas'!$A1:$D18</definedName>
    <definedName name="_xlnm.Print_Titles" localSheetId="3">'Listas'!$1:$3</definedName>
  </definedNames>
  <calcPr calcId="171027" fullCalcOnLoad="1"/>
</workbook>
</file>

<file path=xl/sharedStrings.xml><?xml version="1.0" encoding="utf-8"?>
<sst xmlns="http://schemas.openxmlformats.org/spreadsheetml/2006/main" count="69" uniqueCount="69">
  <si>
    <r>
      <rPr>
        <b/>
        <color rgb="FF0B2A5B"/>
        <sz val="16"/>
        <rFont val="Arial"/>
      </rPr>
      <t>Registro de ação corretiva</t>
    </r>
    <r>
      <rPr>
        <color rgb="FF4A5668"/>
        <sz val="8.5"/>
        <rFont val="Arial"/>
      </rPr>
      <t xml:space="preserve">
Descreva problema, causa, ação, responsável e prazo; o status é calculado.</t>
    </r>
  </si>
  <si>
    <t>Nº da ação</t>
  </si>
  <si>
    <t>Data de abertura</t>
  </si>
  <si>
    <t>Origem</t>
  </si>
  <si>
    <t>TAG</t>
  </si>
  <si>
    <t>Problema</t>
  </si>
  <si>
    <t>Contenção imediata</t>
  </si>
  <si>
    <t>Causa raiz</t>
  </si>
  <si>
    <t>Ação corretiva</t>
  </si>
  <si>
    <t>Responsável (nome)</t>
  </si>
  <si>
    <t>Prazo</t>
  </si>
  <si>
    <t>Data de conclusão</t>
  </si>
  <si>
    <t>Status</t>
  </si>
  <si>
    <t>Eficácia verificada?</t>
  </si>
  <si>
    <t>Evidência (referência)</t>
  </si>
  <si>
    <t>Conferência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</si>
  <si>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</si>
  <si>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</si>
  <si>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</si>
  <si>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</si>
  <si>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</si>
  <si>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</si>
  <si>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</si>
  <si>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</si>
  <si>
    <r>
      <rPr>
        <b/>
        <color rgb="FF0B2A5B"/>
        <sz val="16"/>
        <rFont val="Arial"/>
      </rPr>
      <t>Ação corretiva</t>
    </r>
    <r>
      <rPr>
        <color rgb="FF4A5668"/>
        <sz val="8.5"/>
        <rFont val="Arial"/>
      </rPr>
      <t xml:space="preserve">
Como usar, parâmetros do documento e conferências gerais.</t>
    </r>
  </si>
  <si>
    <t>Abas deste arquivo</t>
  </si>
  <si>
    <t>→ Ação Corretiva</t>
  </si>
  <si>
    <t>→ Revisões</t>
  </si>
  <si>
    <t>→ Listas</t>
  </si>
  <si>
    <t>1. COMO USAR</t>
  </si>
  <si>
    <t>1) Registre o número da ação, o problema, a data de abertura e a contenção imediata.</t>
  </si>
  <si>
    <t>2) Complete causa raiz, ação corretiva, responsável e prazo. O status (Em andamento, Atrasada, Concluída) é calculado.</t>
  </si>
  <si>
    <t>3) Ao concluir, informe a data de conclusão e verifique a eficácia com evidência.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</si>
  <si>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</si>
  <si>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</si>
  <si>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</si>
  <si>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</si>
  <si>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</si>
  <si>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</si>
  <si>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</si>
  <si>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</si>
  <si>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</si>
  <si>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</si>
  <si>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</si>
  <si>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</si>
  <si>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</si>
  <si>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</si>
  <si>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</si>
  <si>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</si>
  <si>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</si>
  <si>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</si>
  <si>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</si>
  <si>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</si>
  <si>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</si>
  <si>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</si>
  <si>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Ação Corretiva</t>
  </si>
  <si>
    <t>Atrasadas</t>
  </si>
  <si>
    <t>PCMD-08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</si>
  <si>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</si>
  <si>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Origem da ação</t>
  </si>
  <si>
    <t>Eficácia verificada</t>
  </si>
  <si>
    <t>Falha</t>
  </si>
  <si>
    <t>Eficaz</t>
  </si>
  <si>
    <t>Auditoria</t>
  </si>
  <si>
    <t>Não eficaz</t>
  </si>
  <si>
    <t>Inspeção</t>
  </si>
  <si>
    <t>Pendente</t>
  </si>
  <si>
    <t>Reclamação</t>
  </si>
  <si>
    <t>Outro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</si>
</sst>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2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9"/>
      <name val="Arial"/>
    </font>
    <font>
      <b/>
      <color rgb="FF0E1726"/>
      <sz val="9"/>
      <name val="Arial"/>
    </font>
    <font>
      <color rgb="FF0E1726"/>
      <sz val="9"/>
      <name val="Arial"/>
    </font>
    <font>
      <color rgb="FF4A5668"/>
      <sz val="9"/>
      <name val="Arial"/>
    </font>
    <font>
      <b/>
      <color rgb="FF0B2A5B"/>
      <sz val="9"/>
      <name val="Arial"/>
    </font>
    <font>
      <u/>
      <color rgb="FF0B2A5B"/>
      <sz val="9"/>
      <name val="Arial"/>
    </font>
    <font>
      <b/>
      <color rgb="FFFFFFFF"/>
      <sz val="10"/>
      <name val="Arial"/>
    </font>
    <font>
      <color rgb="FF4A5668"/>
      <sz val="8.5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6" fillId="0" borderId="5" xfId="0" applyFont="1" applyBorder="1" applyAlignment="1" applyProtection="1">
      <alignment horizontal="left" vertical="center" indent="1"/>
      <protection locked="0"/>
    </xf>
    <xf numFmtId="0" fontId="7" fillId="3" borderId="5" xfId="0" applyFont="1" applyFill="1" applyBorder="1" applyAlignment="1" applyProtection="1">
      <alignment horizontal="center" vertical="center"/>
    </xf>
    <xf numFmtId="0" fontId="7" fillId="3" borderId="5" xfId="0" applyFont="1" applyFill="1" applyBorder="1" applyAlignment="1" applyProtection="1">
      <alignment horizontal="left" vertical="center" indent="1"/>
    </xf>
    <xf numFmtId="0" fontId="8" fillId="3" borderId="5" xfId="0" applyFont="1" applyFill="1" applyBorder="1" applyAlignment="1">
      <alignment vertical="center" wrapText="1" indent="1"/>
    </xf>
    <xf numFmtId="0" fontId="9" fillId="0" borderId="5" xfId="0" applyFont="1" applyBorder="1" applyAlignment="1">
      <alignment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6" fillId="3" borderId="5" xfId="0" applyFont="1" applyFill="1" applyBorder="1" applyAlignment="1">
      <alignment vertical="center" wrapText="1" indent="1"/>
    </xf>
    <xf numFmtId="49" fontId="8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11" fillId="0" borderId="5" xfId="0" applyFont="1" applyBorder="1" applyAlignment="1">
      <alignment vertical="center" wrapText="1" indent="1"/>
    </xf>
    <xf numFmtId="49" fontId="7" fillId="3" borderId="5" xfId="0" applyNumberFormat="1" applyFont="1" applyFill="1" applyBorder="1" applyAlignment="1">
      <alignment horizontal="left" vertical="center" wrapText="1" indent="1"/>
    </xf>
    <xf numFmtId="164" fontId="7" fillId="3" borderId="5" xfId="0" applyNumberFormat="1" applyFont="1" applyFill="1" applyBorder="1" applyAlignment="1">
      <alignment horizontal="left" vertical="center" wrapText="1" indent="1"/>
    </xf>
    <xf numFmtId="164" fontId="8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5" xfId="0" applyFont="1" applyFill="1" applyBorder="1" applyAlignment="1">
      <alignment horizontal="center" vertical="center" wrapText="1" indent="1"/>
    </xf>
    <xf numFmtId="0" fontId="7" fillId="3" borderId="5" xfId="0" applyFont="1" applyFill="1" applyBorder="1" applyAlignment="1">
      <alignment vertical="center" wrapText="1" indent="1"/>
    </xf>
    <xf numFmtId="0" fontId="1" fillId="0" borderId="2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left" vertical="center" indent="1"/>
    </xf>
  </cellXfs>
  <cellStyles count="1">
    <cellStyle name="Normal" xfId="0" builtinId="0"/>
  </cellStyles>
  <dxfs count="15"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0B2A5B"/>
      </font>
      <fill>
        <patternFill patternType="solid">
          <bgColor rgb="FFEEF2F8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187500</xdr:rowOff>
    </xdr:from>
    <xdr:ext cx="154305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11069</xdr:colOff>
      <xdr:row>0</xdr:row>
      <xdr:rowOff>180000</xdr:rowOff>
    </xdr:from>
    <xdr:ext cx="1609725" cy="4667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&#231;&#227;o Corretiva&apos;!A1" TargetMode="External"/><Relationship Id="rId2" Type="http://schemas.openxmlformats.org/officeDocument/2006/relationships/hyperlink" Target="#&apos;Revis&#245;es&apos;!A1" TargetMode="External"/><Relationship Id="rId3" Type="http://schemas.openxmlformats.org/officeDocument/2006/relationships/hyperlink" Target="#&apos;Listas&apos;!A1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03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6" customWidth="1"/>
    <col min="5" max="5" width="32" customWidth="1"/>
    <col min="6" max="7" width="28" customWidth="1"/>
    <col min="8" max="8" width="32" customWidth="1"/>
    <col min="9" max="9" width="20" customWidth="1"/>
    <col min="10" max="11" width="12" customWidth="1"/>
    <col min="12" max="13" width="14" customWidth="1"/>
    <col min="14" max="14" width="24" customWidth="1"/>
    <col min="15" max="15" width="36" customWidth="1"/>
  </cols>
  <sheetData>
    <row r="1" ht="36" customHeight="1" spans="1:15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5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4">
        <f>"Elaborado: "&amp;IF(cfg_elaborado="","A definir",cfg_elaborado)&amp;CHAR(10)&amp;"Aprovado: "&amp;IF(cfg_aprovado="","A definir",cfg_aprovado)</f>
      </c>
    </row>
    <row r="3" ht="34" customHeight="1" spans="1:15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</row>
    <row r="4" spans="1:15" x14ac:dyDescent="0.25">
      <c r="A4" s="6"/>
      <c r="B4" s="7"/>
      <c r="C4" s="8"/>
      <c r="D4" s="9"/>
      <c r="E4" s="10"/>
      <c r="F4" s="10"/>
      <c r="G4" s="10"/>
      <c r="H4" s="10"/>
      <c r="I4" s="11"/>
      <c r="J4" s="7"/>
      <c r="K4" s="7"/>
      <c r="L4" s="12">
        <f t="shared" ref="L4:L203" si="0">IF(A4&amp;E4="","",IF(ISNUMBER(K4),"Concluída",IF(AND(ISNUMBER(J4),J4&lt;TODAY()),"Atrasada","Em andamento")))</f>
      </c>
      <c r="M4" s="8"/>
      <c r="N4" s="11"/>
      <c r="O4" s="13">
        <f t="shared" ref="O4:O203" si="1">IF(A4&amp;E4="","",IF(A4="","ERRO: falta o número da ação",IF(COUNTIF(ac_numero,A4)&gt;1,"ERRO: número repetido",IF(NOT(ISNUMBER(B4)),"ERRO: data de abertura ausente",IF(E4="","ERRO: falta o problema",IF(AND(ISNUMBER(K4),K4&lt;B4),"ERRO: conclusão anterior à abertura",IF(AND(ISNUMBER(J4),J4&lt;B4),"ERRO: prazo anterior à abertura",IF(AND(ISNUMBER(K4),OR(M4="",M4="Pendente")),"Pendente: verificar a eficácia",IF(AND(ISNUMBER(K4),M4="Não eficaz"),"Verificar: ação não eficaz, abra nova ação",IF(OR(G4="",H4="",I4="",NOT(ISNUMBER(J4))),"Pendente: causa, ação, responsável e prazo","OK"))))))))))</f>
      </c>
    </row>
    <row r="5" spans="1:15" x14ac:dyDescent="0.25">
      <c r="A5" s="6"/>
      <c r="B5" s="7"/>
      <c r="C5" s="8"/>
      <c r="D5" s="9"/>
      <c r="E5" s="10"/>
      <c r="F5" s="10"/>
      <c r="G5" s="10"/>
      <c r="H5" s="10"/>
      <c r="I5" s="11"/>
      <c r="J5" s="7"/>
      <c r="K5" s="7"/>
      <c r="L5" s="12">
        <f t="shared" si="0"/>
      </c>
      <c r="M5" s="8"/>
      <c r="N5" s="11"/>
      <c r="O5" s="13">
        <f t="shared" si="1"/>
      </c>
    </row>
    <row r="6" spans="1:15" x14ac:dyDescent="0.25">
      <c r="A6" s="6"/>
      <c r="B6" s="7"/>
      <c r="C6" s="8"/>
      <c r="D6" s="9"/>
      <c r="E6" s="10"/>
      <c r="F6" s="10"/>
      <c r="G6" s="10"/>
      <c r="H6" s="10"/>
      <c r="I6" s="11"/>
      <c r="J6" s="7"/>
      <c r="K6" s="7"/>
      <c r="L6" s="12">
        <f t="shared" si="0"/>
      </c>
      <c r="M6" s="8"/>
      <c r="N6" s="11"/>
      <c r="O6" s="13">
        <f t="shared" si="1"/>
      </c>
    </row>
    <row r="7" spans="1:15" x14ac:dyDescent="0.25">
      <c r="A7" s="6"/>
      <c r="B7" s="7"/>
      <c r="C7" s="8"/>
      <c r="D7" s="9"/>
      <c r="E7" s="10"/>
      <c r="F7" s="10"/>
      <c r="G7" s="10"/>
      <c r="H7" s="10"/>
      <c r="I7" s="11"/>
      <c r="J7" s="7"/>
      <c r="K7" s="7"/>
      <c r="L7" s="12">
        <f t="shared" si="0"/>
      </c>
      <c r="M7" s="8"/>
      <c r="N7" s="11"/>
      <c r="O7" s="13">
        <f t="shared" si="1"/>
      </c>
    </row>
    <row r="8" spans="1:15" x14ac:dyDescent="0.25">
      <c r="A8" s="6"/>
      <c r="B8" s="7"/>
      <c r="C8" s="8"/>
      <c r="D8" s="9"/>
      <c r="E8" s="10"/>
      <c r="F8" s="10"/>
      <c r="G8" s="10"/>
      <c r="H8" s="10"/>
      <c r="I8" s="11"/>
      <c r="J8" s="7"/>
      <c r="K8" s="7"/>
      <c r="L8" s="12">
        <f t="shared" si="0"/>
      </c>
      <c r="M8" s="8"/>
      <c r="N8" s="11"/>
      <c r="O8" s="13">
        <f t="shared" si="1"/>
      </c>
    </row>
    <row r="9" spans="1:15" x14ac:dyDescent="0.25">
      <c r="A9" s="6"/>
      <c r="B9" s="7"/>
      <c r="C9" s="8"/>
      <c r="D9" s="9"/>
      <c r="E9" s="10"/>
      <c r="F9" s="10"/>
      <c r="G9" s="10"/>
      <c r="H9" s="10"/>
      <c r="I9" s="11"/>
      <c r="J9" s="7"/>
      <c r="K9" s="7"/>
      <c r="L9" s="12">
        <f t="shared" si="0"/>
      </c>
      <c r="M9" s="8"/>
      <c r="N9" s="11"/>
      <c r="O9" s="13">
        <f t="shared" si="1"/>
      </c>
    </row>
    <row r="10" spans="1:15" x14ac:dyDescent="0.25">
      <c r="A10" s="6"/>
      <c r="B10" s="7"/>
      <c r="C10" s="8"/>
      <c r="D10" s="9"/>
      <c r="E10" s="10"/>
      <c r="F10" s="10"/>
      <c r="G10" s="10"/>
      <c r="H10" s="10"/>
      <c r="I10" s="11"/>
      <c r="J10" s="7"/>
      <c r="K10" s="7"/>
      <c r="L10" s="12">
        <f t="shared" si="0"/>
      </c>
      <c r="M10" s="8"/>
      <c r="N10" s="11"/>
      <c r="O10" s="13">
        <f t="shared" si="1"/>
      </c>
    </row>
    <row r="11" spans="1:15" x14ac:dyDescent="0.25">
      <c r="A11" s="6"/>
      <c r="B11" s="7"/>
      <c r="C11" s="8"/>
      <c r="D11" s="9"/>
      <c r="E11" s="10"/>
      <c r="F11" s="10"/>
      <c r="G11" s="10"/>
      <c r="H11" s="10"/>
      <c r="I11" s="11"/>
      <c r="J11" s="7"/>
      <c r="K11" s="7"/>
      <c r="L11" s="12">
        <f t="shared" si="0"/>
      </c>
      <c r="M11" s="8"/>
      <c r="N11" s="11"/>
      <c r="O11" s="13">
        <f t="shared" si="1"/>
      </c>
    </row>
    <row r="12" spans="1:15" x14ac:dyDescent="0.25">
      <c r="A12" s="6"/>
      <c r="B12" s="7"/>
      <c r="C12" s="8"/>
      <c r="D12" s="9"/>
      <c r="E12" s="10"/>
      <c r="F12" s="10"/>
      <c r="G12" s="10"/>
      <c r="H12" s="10"/>
      <c r="I12" s="11"/>
      <c r="J12" s="7"/>
      <c r="K12" s="7"/>
      <c r="L12" s="12">
        <f t="shared" si="0"/>
      </c>
      <c r="M12" s="8"/>
      <c r="N12" s="11"/>
      <c r="O12" s="13">
        <f t="shared" si="1"/>
      </c>
    </row>
    <row r="13" spans="1:15" x14ac:dyDescent="0.25">
      <c r="A13" s="6"/>
      <c r="B13" s="7"/>
      <c r="C13" s="8"/>
      <c r="D13" s="9"/>
      <c r="E13" s="10"/>
      <c r="F13" s="10"/>
      <c r="G13" s="10"/>
      <c r="H13" s="10"/>
      <c r="I13" s="11"/>
      <c r="J13" s="7"/>
      <c r="K13" s="7"/>
      <c r="L13" s="12">
        <f t="shared" si="0"/>
      </c>
      <c r="M13" s="8"/>
      <c r="N13" s="11"/>
      <c r="O13" s="13">
        <f t="shared" si="1"/>
      </c>
    </row>
    <row r="14" spans="1:15" x14ac:dyDescent="0.25">
      <c r="A14" s="6"/>
      <c r="B14" s="7"/>
      <c r="C14" s="8"/>
      <c r="D14" s="9"/>
      <c r="E14" s="10"/>
      <c r="F14" s="10"/>
      <c r="G14" s="10"/>
      <c r="H14" s="10"/>
      <c r="I14" s="11"/>
      <c r="J14" s="7"/>
      <c r="K14" s="7"/>
      <c r="L14" s="12">
        <f t="shared" si="0"/>
      </c>
      <c r="M14" s="8"/>
      <c r="N14" s="11"/>
      <c r="O14" s="13">
        <f t="shared" si="1"/>
      </c>
    </row>
    <row r="15" spans="1:15" x14ac:dyDescent="0.25">
      <c r="A15" s="6"/>
      <c r="B15" s="7"/>
      <c r="C15" s="8"/>
      <c r="D15" s="9"/>
      <c r="E15" s="10"/>
      <c r="F15" s="10"/>
      <c r="G15" s="10"/>
      <c r="H15" s="10"/>
      <c r="I15" s="11"/>
      <c r="J15" s="7"/>
      <c r="K15" s="7"/>
      <c r="L15" s="12">
        <f t="shared" si="0"/>
      </c>
      <c r="M15" s="8"/>
      <c r="N15" s="11"/>
      <c r="O15" s="13">
        <f t="shared" si="1"/>
      </c>
    </row>
    <row r="16" spans="1:15" x14ac:dyDescent="0.25">
      <c r="A16" s="6"/>
      <c r="B16" s="7"/>
      <c r="C16" s="8"/>
      <c r="D16" s="9"/>
      <c r="E16" s="10"/>
      <c r="F16" s="10"/>
      <c r="G16" s="10"/>
      <c r="H16" s="10"/>
      <c r="I16" s="11"/>
      <c r="J16" s="7"/>
      <c r="K16" s="7"/>
      <c r="L16" s="12">
        <f t="shared" si="0"/>
      </c>
      <c r="M16" s="8"/>
      <c r="N16" s="11"/>
      <c r="O16" s="13">
        <f t="shared" si="1"/>
      </c>
    </row>
    <row r="17" spans="1:15" x14ac:dyDescent="0.25">
      <c r="A17" s="6"/>
      <c r="B17" s="7"/>
      <c r="C17" s="8"/>
      <c r="D17" s="9"/>
      <c r="E17" s="10"/>
      <c r="F17" s="10"/>
      <c r="G17" s="10"/>
      <c r="H17" s="10"/>
      <c r="I17" s="11"/>
      <c r="J17" s="7"/>
      <c r="K17" s="7"/>
      <c r="L17" s="12">
        <f t="shared" si="0"/>
      </c>
      <c r="M17" s="8"/>
      <c r="N17" s="11"/>
      <c r="O17" s="13">
        <f t="shared" si="1"/>
      </c>
    </row>
    <row r="18" spans="1:15" x14ac:dyDescent="0.25">
      <c r="A18" s="6"/>
      <c r="B18" s="7"/>
      <c r="C18" s="8"/>
      <c r="D18" s="9"/>
      <c r="E18" s="10"/>
      <c r="F18" s="10"/>
      <c r="G18" s="10"/>
      <c r="H18" s="10"/>
      <c r="I18" s="11"/>
      <c r="J18" s="7"/>
      <c r="K18" s="7"/>
      <c r="L18" s="12">
        <f t="shared" si="0"/>
      </c>
      <c r="M18" s="8"/>
      <c r="N18" s="11"/>
      <c r="O18" s="13">
        <f t="shared" si="1"/>
      </c>
    </row>
    <row r="19" spans="1:15" x14ac:dyDescent="0.25">
      <c r="A19" s="6"/>
      <c r="B19" s="7"/>
      <c r="C19" s="8"/>
      <c r="D19" s="9"/>
      <c r="E19" s="10"/>
      <c r="F19" s="10"/>
      <c r="G19" s="10"/>
      <c r="H19" s="10"/>
      <c r="I19" s="11"/>
      <c r="J19" s="7"/>
      <c r="K19" s="7"/>
      <c r="L19" s="12">
        <f t="shared" si="0"/>
      </c>
      <c r="M19" s="8"/>
      <c r="N19" s="11"/>
      <c r="O19" s="13">
        <f t="shared" si="1"/>
      </c>
    </row>
    <row r="20" spans="1:15" x14ac:dyDescent="0.25">
      <c r="A20" s="6"/>
      <c r="B20" s="7"/>
      <c r="C20" s="8"/>
      <c r="D20" s="9"/>
      <c r="E20" s="10"/>
      <c r="F20" s="10"/>
      <c r="G20" s="10"/>
      <c r="H20" s="10"/>
      <c r="I20" s="11"/>
      <c r="J20" s="7"/>
      <c r="K20" s="7"/>
      <c r="L20" s="12">
        <f t="shared" si="0"/>
      </c>
      <c r="M20" s="8"/>
      <c r="N20" s="11"/>
      <c r="O20" s="13">
        <f t="shared" si="1"/>
      </c>
    </row>
    <row r="21" spans="1:15" x14ac:dyDescent="0.25">
      <c r="A21" s="6"/>
      <c r="B21" s="7"/>
      <c r="C21" s="8"/>
      <c r="D21" s="9"/>
      <c r="E21" s="10"/>
      <c r="F21" s="10"/>
      <c r="G21" s="10"/>
      <c r="H21" s="10"/>
      <c r="I21" s="11"/>
      <c r="J21" s="7"/>
      <c r="K21" s="7"/>
      <c r="L21" s="12">
        <f t="shared" si="0"/>
      </c>
      <c r="M21" s="8"/>
      <c r="N21" s="11"/>
      <c r="O21" s="13">
        <f t="shared" si="1"/>
      </c>
    </row>
    <row r="22" spans="1:15" x14ac:dyDescent="0.25">
      <c r="A22" s="6"/>
      <c r="B22" s="7"/>
      <c r="C22" s="8"/>
      <c r="D22" s="9"/>
      <c r="E22" s="10"/>
      <c r="F22" s="10"/>
      <c r="G22" s="10"/>
      <c r="H22" s="10"/>
      <c r="I22" s="11"/>
      <c r="J22" s="7"/>
      <c r="K22" s="7"/>
      <c r="L22" s="12">
        <f t="shared" si="0"/>
      </c>
      <c r="M22" s="8"/>
      <c r="N22" s="11"/>
      <c r="O22" s="13">
        <f t="shared" si="1"/>
      </c>
    </row>
    <row r="23" spans="1:15" x14ac:dyDescent="0.25">
      <c r="A23" s="6"/>
      <c r="B23" s="7"/>
      <c r="C23" s="8"/>
      <c r="D23" s="9"/>
      <c r="E23" s="10"/>
      <c r="F23" s="10"/>
      <c r="G23" s="10"/>
      <c r="H23" s="10"/>
      <c r="I23" s="11"/>
      <c r="J23" s="7"/>
      <c r="K23" s="7"/>
      <c r="L23" s="12">
        <f t="shared" si="0"/>
      </c>
      <c r="M23" s="8"/>
      <c r="N23" s="11"/>
      <c r="O23" s="13">
        <f t="shared" si="1"/>
      </c>
    </row>
    <row r="24" spans="1:15" x14ac:dyDescent="0.25">
      <c r="A24" s="6"/>
      <c r="B24" s="7"/>
      <c r="C24" s="8"/>
      <c r="D24" s="9"/>
      <c r="E24" s="10"/>
      <c r="F24" s="10"/>
      <c r="G24" s="10"/>
      <c r="H24" s="10"/>
      <c r="I24" s="11"/>
      <c r="J24" s="7"/>
      <c r="K24" s="7"/>
      <c r="L24" s="12">
        <f t="shared" si="0"/>
      </c>
      <c r="M24" s="8"/>
      <c r="N24" s="11"/>
      <c r="O24" s="13">
        <f t="shared" si="1"/>
      </c>
    </row>
    <row r="25" spans="1:15" x14ac:dyDescent="0.25">
      <c r="A25" s="6"/>
      <c r="B25" s="7"/>
      <c r="C25" s="8"/>
      <c r="D25" s="9"/>
      <c r="E25" s="10"/>
      <c r="F25" s="10"/>
      <c r="G25" s="10"/>
      <c r="H25" s="10"/>
      <c r="I25" s="11"/>
      <c r="J25" s="7"/>
      <c r="K25" s="7"/>
      <c r="L25" s="12">
        <f t="shared" si="0"/>
      </c>
      <c r="M25" s="8"/>
      <c r="N25" s="11"/>
      <c r="O25" s="13">
        <f t="shared" si="1"/>
      </c>
    </row>
    <row r="26" spans="1:15" x14ac:dyDescent="0.25">
      <c r="A26" s="6"/>
      <c r="B26" s="7"/>
      <c r="C26" s="8"/>
      <c r="D26" s="9"/>
      <c r="E26" s="10"/>
      <c r="F26" s="10"/>
      <c r="G26" s="10"/>
      <c r="H26" s="10"/>
      <c r="I26" s="11"/>
      <c r="J26" s="7"/>
      <c r="K26" s="7"/>
      <c r="L26" s="12">
        <f t="shared" si="0"/>
      </c>
      <c r="M26" s="8"/>
      <c r="N26" s="11"/>
      <c r="O26" s="13">
        <f t="shared" si="1"/>
      </c>
    </row>
    <row r="27" spans="1:15" x14ac:dyDescent="0.25">
      <c r="A27" s="6"/>
      <c r="B27" s="7"/>
      <c r="C27" s="8"/>
      <c r="D27" s="9"/>
      <c r="E27" s="10"/>
      <c r="F27" s="10"/>
      <c r="G27" s="10"/>
      <c r="H27" s="10"/>
      <c r="I27" s="11"/>
      <c r="J27" s="7"/>
      <c r="K27" s="7"/>
      <c r="L27" s="12">
        <f t="shared" si="0"/>
      </c>
      <c r="M27" s="8"/>
      <c r="N27" s="11"/>
      <c r="O27" s="13">
        <f t="shared" si="1"/>
      </c>
    </row>
    <row r="28" spans="1:15" x14ac:dyDescent="0.25">
      <c r="A28" s="6"/>
      <c r="B28" s="7"/>
      <c r="C28" s="8"/>
      <c r="D28" s="9"/>
      <c r="E28" s="10"/>
      <c r="F28" s="10"/>
      <c r="G28" s="10"/>
      <c r="H28" s="10"/>
      <c r="I28" s="11"/>
      <c r="J28" s="7"/>
      <c r="K28" s="7"/>
      <c r="L28" s="12">
        <f t="shared" si="0"/>
      </c>
      <c r="M28" s="8"/>
      <c r="N28" s="11"/>
      <c r="O28" s="13">
        <f t="shared" si="1"/>
      </c>
    </row>
    <row r="29" spans="1:15" x14ac:dyDescent="0.25">
      <c r="A29" s="6"/>
      <c r="B29" s="7"/>
      <c r="C29" s="8"/>
      <c r="D29" s="9"/>
      <c r="E29" s="10"/>
      <c r="F29" s="10"/>
      <c r="G29" s="10"/>
      <c r="H29" s="10"/>
      <c r="I29" s="11"/>
      <c r="J29" s="7"/>
      <c r="K29" s="7"/>
      <c r="L29" s="12">
        <f t="shared" si="0"/>
      </c>
      <c r="M29" s="8"/>
      <c r="N29" s="11"/>
      <c r="O29" s="13">
        <f t="shared" si="1"/>
      </c>
    </row>
    <row r="30" spans="1:15" x14ac:dyDescent="0.25">
      <c r="A30" s="6"/>
      <c r="B30" s="7"/>
      <c r="C30" s="8"/>
      <c r="D30" s="9"/>
      <c r="E30" s="10"/>
      <c r="F30" s="10"/>
      <c r="G30" s="10"/>
      <c r="H30" s="10"/>
      <c r="I30" s="11"/>
      <c r="J30" s="7"/>
      <c r="K30" s="7"/>
      <c r="L30" s="12">
        <f t="shared" si="0"/>
      </c>
      <c r="M30" s="8"/>
      <c r="N30" s="11"/>
      <c r="O30" s="13">
        <f t="shared" si="1"/>
      </c>
    </row>
    <row r="31" spans="1:15" x14ac:dyDescent="0.25">
      <c r="A31" s="6"/>
      <c r="B31" s="7"/>
      <c r="C31" s="8"/>
      <c r="D31" s="9"/>
      <c r="E31" s="10"/>
      <c r="F31" s="10"/>
      <c r="G31" s="10"/>
      <c r="H31" s="10"/>
      <c r="I31" s="11"/>
      <c r="J31" s="7"/>
      <c r="K31" s="7"/>
      <c r="L31" s="12">
        <f t="shared" si="0"/>
      </c>
      <c r="M31" s="8"/>
      <c r="N31" s="11"/>
      <c r="O31" s="13">
        <f t="shared" si="1"/>
      </c>
    </row>
    <row r="32" spans="1:15" x14ac:dyDescent="0.25">
      <c r="A32" s="6"/>
      <c r="B32" s="7"/>
      <c r="C32" s="8"/>
      <c r="D32" s="9"/>
      <c r="E32" s="10"/>
      <c r="F32" s="10"/>
      <c r="G32" s="10"/>
      <c r="H32" s="10"/>
      <c r="I32" s="11"/>
      <c r="J32" s="7"/>
      <c r="K32" s="7"/>
      <c r="L32" s="12">
        <f t="shared" si="0"/>
      </c>
      <c r="M32" s="8"/>
      <c r="N32" s="11"/>
      <c r="O32" s="13">
        <f t="shared" si="1"/>
      </c>
    </row>
    <row r="33" spans="1:15" x14ac:dyDescent="0.25">
      <c r="A33" s="6"/>
      <c r="B33" s="7"/>
      <c r="C33" s="8"/>
      <c r="D33" s="9"/>
      <c r="E33" s="10"/>
      <c r="F33" s="10"/>
      <c r="G33" s="10"/>
      <c r="H33" s="10"/>
      <c r="I33" s="11"/>
      <c r="J33" s="7"/>
      <c r="K33" s="7"/>
      <c r="L33" s="12">
        <f t="shared" si="0"/>
      </c>
      <c r="M33" s="8"/>
      <c r="N33" s="11"/>
      <c r="O33" s="13">
        <f t="shared" si="1"/>
      </c>
    </row>
    <row r="34" spans="1:15" x14ac:dyDescent="0.25">
      <c r="A34" s="6"/>
      <c r="B34" s="7"/>
      <c r="C34" s="8"/>
      <c r="D34" s="9"/>
      <c r="E34" s="10"/>
      <c r="F34" s="10"/>
      <c r="G34" s="10"/>
      <c r="H34" s="10"/>
      <c r="I34" s="11"/>
      <c r="J34" s="7"/>
      <c r="K34" s="7"/>
      <c r="L34" s="12">
        <f t="shared" si="0"/>
      </c>
      <c r="M34" s="8"/>
      <c r="N34" s="11"/>
      <c r="O34" s="13">
        <f t="shared" si="1"/>
      </c>
    </row>
    <row r="35" spans="1:15" x14ac:dyDescent="0.25">
      <c r="A35" s="6"/>
      <c r="B35" s="7"/>
      <c r="C35" s="8"/>
      <c r="D35" s="9"/>
      <c r="E35" s="10"/>
      <c r="F35" s="10"/>
      <c r="G35" s="10"/>
      <c r="H35" s="10"/>
      <c r="I35" s="11"/>
      <c r="J35" s="7"/>
      <c r="K35" s="7"/>
      <c r="L35" s="12">
        <f t="shared" si="0"/>
      </c>
      <c r="M35" s="8"/>
      <c r="N35" s="11"/>
      <c r="O35" s="13">
        <f t="shared" si="1"/>
      </c>
    </row>
    <row r="36" spans="1:15" x14ac:dyDescent="0.25">
      <c r="A36" s="6"/>
      <c r="B36" s="7"/>
      <c r="C36" s="8"/>
      <c r="D36" s="9"/>
      <c r="E36" s="10"/>
      <c r="F36" s="10"/>
      <c r="G36" s="10"/>
      <c r="H36" s="10"/>
      <c r="I36" s="11"/>
      <c r="J36" s="7"/>
      <c r="K36" s="7"/>
      <c r="L36" s="12">
        <f t="shared" si="0"/>
      </c>
      <c r="M36" s="8"/>
      <c r="N36" s="11"/>
      <c r="O36" s="13">
        <f t="shared" si="1"/>
      </c>
    </row>
    <row r="37" spans="1:15" x14ac:dyDescent="0.25">
      <c r="A37" s="6"/>
      <c r="B37" s="7"/>
      <c r="C37" s="8"/>
      <c r="D37" s="9"/>
      <c r="E37" s="10"/>
      <c r="F37" s="10"/>
      <c r="G37" s="10"/>
      <c r="H37" s="10"/>
      <c r="I37" s="11"/>
      <c r="J37" s="7"/>
      <c r="K37" s="7"/>
      <c r="L37" s="12">
        <f t="shared" si="0"/>
      </c>
      <c r="M37" s="8"/>
      <c r="N37" s="11"/>
      <c r="O37" s="13">
        <f t="shared" si="1"/>
      </c>
    </row>
    <row r="38" spans="1:15" x14ac:dyDescent="0.25">
      <c r="A38" s="6"/>
      <c r="B38" s="7"/>
      <c r="C38" s="8"/>
      <c r="D38" s="9"/>
      <c r="E38" s="10"/>
      <c r="F38" s="10"/>
      <c r="G38" s="10"/>
      <c r="H38" s="10"/>
      <c r="I38" s="11"/>
      <c r="J38" s="7"/>
      <c r="K38" s="7"/>
      <c r="L38" s="12">
        <f t="shared" si="0"/>
      </c>
      <c r="M38" s="8"/>
      <c r="N38" s="11"/>
      <c r="O38" s="13">
        <f t="shared" si="1"/>
      </c>
    </row>
    <row r="39" spans="1:15" x14ac:dyDescent="0.25">
      <c r="A39" s="6"/>
      <c r="B39" s="7"/>
      <c r="C39" s="8"/>
      <c r="D39" s="9"/>
      <c r="E39" s="10"/>
      <c r="F39" s="10"/>
      <c r="G39" s="10"/>
      <c r="H39" s="10"/>
      <c r="I39" s="11"/>
      <c r="J39" s="7"/>
      <c r="K39" s="7"/>
      <c r="L39" s="12">
        <f t="shared" si="0"/>
      </c>
      <c r="M39" s="8"/>
      <c r="N39" s="11"/>
      <c r="O39" s="13">
        <f t="shared" si="1"/>
      </c>
    </row>
    <row r="40" spans="1:15" x14ac:dyDescent="0.25">
      <c r="A40" s="6"/>
      <c r="B40" s="7"/>
      <c r="C40" s="8"/>
      <c r="D40" s="9"/>
      <c r="E40" s="10"/>
      <c r="F40" s="10"/>
      <c r="G40" s="10"/>
      <c r="H40" s="10"/>
      <c r="I40" s="11"/>
      <c r="J40" s="7"/>
      <c r="K40" s="7"/>
      <c r="L40" s="12">
        <f t="shared" si="0"/>
      </c>
      <c r="M40" s="8"/>
      <c r="N40" s="11"/>
      <c r="O40" s="13">
        <f t="shared" si="1"/>
      </c>
    </row>
    <row r="41" spans="1:15" x14ac:dyDescent="0.25">
      <c r="A41" s="6"/>
      <c r="B41" s="7"/>
      <c r="C41" s="8"/>
      <c r="D41" s="9"/>
      <c r="E41" s="10"/>
      <c r="F41" s="10"/>
      <c r="G41" s="10"/>
      <c r="H41" s="10"/>
      <c r="I41" s="11"/>
      <c r="J41" s="7"/>
      <c r="K41" s="7"/>
      <c r="L41" s="12">
        <f t="shared" si="0"/>
      </c>
      <c r="M41" s="8"/>
      <c r="N41" s="11"/>
      <c r="O41" s="13">
        <f t="shared" si="1"/>
      </c>
    </row>
    <row r="42" spans="1:15" x14ac:dyDescent="0.25">
      <c r="A42" s="6"/>
      <c r="B42" s="7"/>
      <c r="C42" s="8"/>
      <c r="D42" s="9"/>
      <c r="E42" s="10"/>
      <c r="F42" s="10"/>
      <c r="G42" s="10"/>
      <c r="H42" s="10"/>
      <c r="I42" s="11"/>
      <c r="J42" s="7"/>
      <c r="K42" s="7"/>
      <c r="L42" s="12">
        <f t="shared" si="0"/>
      </c>
      <c r="M42" s="8"/>
      <c r="N42" s="11"/>
      <c r="O42" s="13">
        <f t="shared" si="1"/>
      </c>
    </row>
    <row r="43" spans="1:15" x14ac:dyDescent="0.25">
      <c r="A43" s="6"/>
      <c r="B43" s="7"/>
      <c r="C43" s="8"/>
      <c r="D43" s="9"/>
      <c r="E43" s="10"/>
      <c r="F43" s="10"/>
      <c r="G43" s="10"/>
      <c r="H43" s="10"/>
      <c r="I43" s="11"/>
      <c r="J43" s="7"/>
      <c r="K43" s="7"/>
      <c r="L43" s="12">
        <f t="shared" si="0"/>
      </c>
      <c r="M43" s="8"/>
      <c r="N43" s="11"/>
      <c r="O43" s="13">
        <f t="shared" si="1"/>
      </c>
    </row>
    <row r="44" spans="1:15" x14ac:dyDescent="0.25">
      <c r="A44" s="6"/>
      <c r="B44" s="7"/>
      <c r="C44" s="8"/>
      <c r="D44" s="9"/>
      <c r="E44" s="10"/>
      <c r="F44" s="10"/>
      <c r="G44" s="10"/>
      <c r="H44" s="10"/>
      <c r="I44" s="11"/>
      <c r="J44" s="7"/>
      <c r="K44" s="7"/>
      <c r="L44" s="12">
        <f t="shared" si="0"/>
      </c>
      <c r="M44" s="8"/>
      <c r="N44" s="11"/>
      <c r="O44" s="13">
        <f t="shared" si="1"/>
      </c>
    </row>
    <row r="45" spans="1:15" x14ac:dyDescent="0.25">
      <c r="A45" s="6"/>
      <c r="B45" s="7"/>
      <c r="C45" s="8"/>
      <c r="D45" s="9"/>
      <c r="E45" s="10"/>
      <c r="F45" s="10"/>
      <c r="G45" s="10"/>
      <c r="H45" s="10"/>
      <c r="I45" s="11"/>
      <c r="J45" s="7"/>
      <c r="K45" s="7"/>
      <c r="L45" s="12">
        <f t="shared" si="0"/>
      </c>
      <c r="M45" s="8"/>
      <c r="N45" s="11"/>
      <c r="O45" s="13">
        <f t="shared" si="1"/>
      </c>
    </row>
    <row r="46" spans="1:15" x14ac:dyDescent="0.25">
      <c r="A46" s="6"/>
      <c r="B46" s="7"/>
      <c r="C46" s="8"/>
      <c r="D46" s="9"/>
      <c r="E46" s="10"/>
      <c r="F46" s="10"/>
      <c r="G46" s="10"/>
      <c r="H46" s="10"/>
      <c r="I46" s="11"/>
      <c r="J46" s="7"/>
      <c r="K46" s="7"/>
      <c r="L46" s="12">
        <f t="shared" si="0"/>
      </c>
      <c r="M46" s="8"/>
      <c r="N46" s="11"/>
      <c r="O46" s="13">
        <f t="shared" si="1"/>
      </c>
    </row>
    <row r="47" spans="1:15" x14ac:dyDescent="0.25">
      <c r="A47" s="6"/>
      <c r="B47" s="7"/>
      <c r="C47" s="8"/>
      <c r="D47" s="9"/>
      <c r="E47" s="10"/>
      <c r="F47" s="10"/>
      <c r="G47" s="10"/>
      <c r="H47" s="10"/>
      <c r="I47" s="11"/>
      <c r="J47" s="7"/>
      <c r="K47" s="7"/>
      <c r="L47" s="12">
        <f t="shared" si="0"/>
      </c>
      <c r="M47" s="8"/>
      <c r="N47" s="11"/>
      <c r="O47" s="13">
        <f t="shared" si="1"/>
      </c>
    </row>
    <row r="48" spans="1:15" x14ac:dyDescent="0.25">
      <c r="A48" s="6"/>
      <c r="B48" s="7"/>
      <c r="C48" s="8"/>
      <c r="D48" s="9"/>
      <c r="E48" s="10"/>
      <c r="F48" s="10"/>
      <c r="G48" s="10"/>
      <c r="H48" s="10"/>
      <c r="I48" s="11"/>
      <c r="J48" s="7"/>
      <c r="K48" s="7"/>
      <c r="L48" s="12">
        <f t="shared" si="0"/>
      </c>
      <c r="M48" s="8"/>
      <c r="N48" s="11"/>
      <c r="O48" s="13">
        <f t="shared" si="1"/>
      </c>
    </row>
    <row r="49" spans="1:15" x14ac:dyDescent="0.25">
      <c r="A49" s="6"/>
      <c r="B49" s="7"/>
      <c r="C49" s="8"/>
      <c r="D49" s="9"/>
      <c r="E49" s="10"/>
      <c r="F49" s="10"/>
      <c r="G49" s="10"/>
      <c r="H49" s="10"/>
      <c r="I49" s="11"/>
      <c r="J49" s="7"/>
      <c r="K49" s="7"/>
      <c r="L49" s="12">
        <f t="shared" si="0"/>
      </c>
      <c r="M49" s="8"/>
      <c r="N49" s="11"/>
      <c r="O49" s="13">
        <f t="shared" si="1"/>
      </c>
    </row>
    <row r="50" spans="1:15" x14ac:dyDescent="0.25">
      <c r="A50" s="6"/>
      <c r="B50" s="7"/>
      <c r="C50" s="8"/>
      <c r="D50" s="9"/>
      <c r="E50" s="10"/>
      <c r="F50" s="10"/>
      <c r="G50" s="10"/>
      <c r="H50" s="10"/>
      <c r="I50" s="11"/>
      <c r="J50" s="7"/>
      <c r="K50" s="7"/>
      <c r="L50" s="12">
        <f t="shared" si="0"/>
      </c>
      <c r="M50" s="8"/>
      <c r="N50" s="11"/>
      <c r="O50" s="13">
        <f t="shared" si="1"/>
      </c>
    </row>
    <row r="51" spans="1:15" x14ac:dyDescent="0.25">
      <c r="A51" s="6"/>
      <c r="B51" s="7"/>
      <c r="C51" s="8"/>
      <c r="D51" s="9"/>
      <c r="E51" s="10"/>
      <c r="F51" s="10"/>
      <c r="G51" s="10"/>
      <c r="H51" s="10"/>
      <c r="I51" s="11"/>
      <c r="J51" s="7"/>
      <c r="K51" s="7"/>
      <c r="L51" s="12">
        <f t="shared" si="0"/>
      </c>
      <c r="M51" s="8"/>
      <c r="N51" s="11"/>
      <c r="O51" s="13">
        <f t="shared" si="1"/>
      </c>
    </row>
    <row r="52" spans="1:15" x14ac:dyDescent="0.25">
      <c r="A52" s="6"/>
      <c r="B52" s="7"/>
      <c r="C52" s="8"/>
      <c r="D52" s="9"/>
      <c r="E52" s="10"/>
      <c r="F52" s="10"/>
      <c r="G52" s="10"/>
      <c r="H52" s="10"/>
      <c r="I52" s="11"/>
      <c r="J52" s="7"/>
      <c r="K52" s="7"/>
      <c r="L52" s="12">
        <f t="shared" si="0"/>
      </c>
      <c r="M52" s="8"/>
      <c r="N52" s="11"/>
      <c r="O52" s="13">
        <f t="shared" si="1"/>
      </c>
    </row>
    <row r="53" spans="1:15" x14ac:dyDescent="0.25">
      <c r="A53" s="6"/>
      <c r="B53" s="7"/>
      <c r="C53" s="8"/>
      <c r="D53" s="9"/>
      <c r="E53" s="10"/>
      <c r="F53" s="10"/>
      <c r="G53" s="10"/>
      <c r="H53" s="10"/>
      <c r="I53" s="11"/>
      <c r="J53" s="7"/>
      <c r="K53" s="7"/>
      <c r="L53" s="12">
        <f t="shared" si="0"/>
      </c>
      <c r="M53" s="8"/>
      <c r="N53" s="11"/>
      <c r="O53" s="13">
        <f t="shared" si="1"/>
      </c>
    </row>
    <row r="54" spans="1:15" x14ac:dyDescent="0.25">
      <c r="A54" s="6"/>
      <c r="B54" s="7"/>
      <c r="C54" s="8"/>
      <c r="D54" s="9"/>
      <c r="E54" s="10"/>
      <c r="F54" s="10"/>
      <c r="G54" s="10"/>
      <c r="H54" s="10"/>
      <c r="I54" s="11"/>
      <c r="J54" s="7"/>
      <c r="K54" s="7"/>
      <c r="L54" s="12">
        <f t="shared" si="0"/>
      </c>
      <c r="M54" s="8"/>
      <c r="N54" s="11"/>
      <c r="O54" s="13">
        <f t="shared" si="1"/>
      </c>
    </row>
    <row r="55" spans="1:15" x14ac:dyDescent="0.25">
      <c r="A55" s="6"/>
      <c r="B55" s="7"/>
      <c r="C55" s="8"/>
      <c r="D55" s="9"/>
      <c r="E55" s="10"/>
      <c r="F55" s="10"/>
      <c r="G55" s="10"/>
      <c r="H55" s="10"/>
      <c r="I55" s="11"/>
      <c r="J55" s="7"/>
      <c r="K55" s="7"/>
      <c r="L55" s="12">
        <f t="shared" si="0"/>
      </c>
      <c r="M55" s="8"/>
      <c r="N55" s="11"/>
      <c r="O55" s="13">
        <f t="shared" si="1"/>
      </c>
    </row>
    <row r="56" spans="1:15" x14ac:dyDescent="0.25">
      <c r="A56" s="6"/>
      <c r="B56" s="7"/>
      <c r="C56" s="8"/>
      <c r="D56" s="9"/>
      <c r="E56" s="10"/>
      <c r="F56" s="10"/>
      <c r="G56" s="10"/>
      <c r="H56" s="10"/>
      <c r="I56" s="11"/>
      <c r="J56" s="7"/>
      <c r="K56" s="7"/>
      <c r="L56" s="12">
        <f t="shared" si="0"/>
      </c>
      <c r="M56" s="8"/>
      <c r="N56" s="11"/>
      <c r="O56" s="13">
        <f t="shared" si="1"/>
      </c>
    </row>
    <row r="57" spans="1:15" x14ac:dyDescent="0.25">
      <c r="A57" s="6"/>
      <c r="B57" s="7"/>
      <c r="C57" s="8"/>
      <c r="D57" s="9"/>
      <c r="E57" s="10"/>
      <c r="F57" s="10"/>
      <c r="G57" s="10"/>
      <c r="H57" s="10"/>
      <c r="I57" s="11"/>
      <c r="J57" s="7"/>
      <c r="K57" s="7"/>
      <c r="L57" s="12">
        <f t="shared" si="0"/>
      </c>
      <c r="M57" s="8"/>
      <c r="N57" s="11"/>
      <c r="O57" s="13">
        <f t="shared" si="1"/>
      </c>
    </row>
    <row r="58" spans="1:15" x14ac:dyDescent="0.25">
      <c r="A58" s="6"/>
      <c r="B58" s="7"/>
      <c r="C58" s="8"/>
      <c r="D58" s="9"/>
      <c r="E58" s="10"/>
      <c r="F58" s="10"/>
      <c r="G58" s="10"/>
      <c r="H58" s="10"/>
      <c r="I58" s="11"/>
      <c r="J58" s="7"/>
      <c r="K58" s="7"/>
      <c r="L58" s="12">
        <f t="shared" si="0"/>
      </c>
      <c r="M58" s="8"/>
      <c r="N58" s="11"/>
      <c r="O58" s="13">
        <f t="shared" si="1"/>
      </c>
    </row>
    <row r="59" spans="1:15" x14ac:dyDescent="0.25">
      <c r="A59" s="6"/>
      <c r="B59" s="7"/>
      <c r="C59" s="8"/>
      <c r="D59" s="9"/>
      <c r="E59" s="10"/>
      <c r="F59" s="10"/>
      <c r="G59" s="10"/>
      <c r="H59" s="10"/>
      <c r="I59" s="11"/>
      <c r="J59" s="7"/>
      <c r="K59" s="7"/>
      <c r="L59" s="12">
        <f t="shared" si="0"/>
      </c>
      <c r="M59" s="8"/>
      <c r="N59" s="11"/>
      <c r="O59" s="13">
        <f t="shared" si="1"/>
      </c>
    </row>
    <row r="60" spans="1:15" x14ac:dyDescent="0.25">
      <c r="A60" s="6"/>
      <c r="B60" s="7"/>
      <c r="C60" s="8"/>
      <c r="D60" s="9"/>
      <c r="E60" s="10"/>
      <c r="F60" s="10"/>
      <c r="G60" s="10"/>
      <c r="H60" s="10"/>
      <c r="I60" s="11"/>
      <c r="J60" s="7"/>
      <c r="K60" s="7"/>
      <c r="L60" s="12">
        <f t="shared" si="0"/>
      </c>
      <c r="M60" s="8"/>
      <c r="N60" s="11"/>
      <c r="O60" s="13">
        <f t="shared" si="1"/>
      </c>
    </row>
    <row r="61" spans="1:15" x14ac:dyDescent="0.25">
      <c r="A61" s="6"/>
      <c r="B61" s="7"/>
      <c r="C61" s="8"/>
      <c r="D61" s="9"/>
      <c r="E61" s="10"/>
      <c r="F61" s="10"/>
      <c r="G61" s="10"/>
      <c r="H61" s="10"/>
      <c r="I61" s="11"/>
      <c r="J61" s="7"/>
      <c r="K61" s="7"/>
      <c r="L61" s="12">
        <f t="shared" si="0"/>
      </c>
      <c r="M61" s="8"/>
      <c r="N61" s="11"/>
      <c r="O61" s="13">
        <f t="shared" si="1"/>
      </c>
    </row>
    <row r="62" spans="1:15" x14ac:dyDescent="0.25">
      <c r="A62" s="6"/>
      <c r="B62" s="7"/>
      <c r="C62" s="8"/>
      <c r="D62" s="9"/>
      <c r="E62" s="10"/>
      <c r="F62" s="10"/>
      <c r="G62" s="10"/>
      <c r="H62" s="10"/>
      <c r="I62" s="11"/>
      <c r="J62" s="7"/>
      <c r="K62" s="7"/>
      <c r="L62" s="12">
        <f t="shared" si="0"/>
      </c>
      <c r="M62" s="8"/>
      <c r="N62" s="11"/>
      <c r="O62" s="13">
        <f t="shared" si="1"/>
      </c>
    </row>
    <row r="63" spans="1:15" x14ac:dyDescent="0.25">
      <c r="A63" s="6"/>
      <c r="B63" s="7"/>
      <c r="C63" s="8"/>
      <c r="D63" s="9"/>
      <c r="E63" s="10"/>
      <c r="F63" s="10"/>
      <c r="G63" s="10"/>
      <c r="H63" s="10"/>
      <c r="I63" s="11"/>
      <c r="J63" s="7"/>
      <c r="K63" s="7"/>
      <c r="L63" s="12">
        <f t="shared" si="0"/>
      </c>
      <c r="M63" s="8"/>
      <c r="N63" s="11"/>
      <c r="O63" s="13">
        <f t="shared" si="1"/>
      </c>
    </row>
    <row r="64" spans="1:15" x14ac:dyDescent="0.25">
      <c r="A64" s="6"/>
      <c r="B64" s="7"/>
      <c r="C64" s="8"/>
      <c r="D64" s="9"/>
      <c r="E64" s="10"/>
      <c r="F64" s="10"/>
      <c r="G64" s="10"/>
      <c r="H64" s="10"/>
      <c r="I64" s="11"/>
      <c r="J64" s="7"/>
      <c r="K64" s="7"/>
      <c r="L64" s="12">
        <f t="shared" si="0"/>
      </c>
      <c r="M64" s="8"/>
      <c r="N64" s="11"/>
      <c r="O64" s="13">
        <f t="shared" si="1"/>
      </c>
    </row>
    <row r="65" spans="1:15" x14ac:dyDescent="0.25">
      <c r="A65" s="6"/>
      <c r="B65" s="7"/>
      <c r="C65" s="8"/>
      <c r="D65" s="9"/>
      <c r="E65" s="10"/>
      <c r="F65" s="10"/>
      <c r="G65" s="10"/>
      <c r="H65" s="10"/>
      <c r="I65" s="11"/>
      <c r="J65" s="7"/>
      <c r="K65" s="7"/>
      <c r="L65" s="12">
        <f t="shared" si="0"/>
      </c>
      <c r="M65" s="8"/>
      <c r="N65" s="11"/>
      <c r="O65" s="13">
        <f t="shared" si="1"/>
      </c>
    </row>
    <row r="66" spans="1:15" x14ac:dyDescent="0.25">
      <c r="A66" s="6"/>
      <c r="B66" s="7"/>
      <c r="C66" s="8"/>
      <c r="D66" s="9"/>
      <c r="E66" s="10"/>
      <c r="F66" s="10"/>
      <c r="G66" s="10"/>
      <c r="H66" s="10"/>
      <c r="I66" s="11"/>
      <c r="J66" s="7"/>
      <c r="K66" s="7"/>
      <c r="L66" s="12">
        <f t="shared" si="0"/>
      </c>
      <c r="M66" s="8"/>
      <c r="N66" s="11"/>
      <c r="O66" s="13">
        <f t="shared" si="1"/>
      </c>
    </row>
    <row r="67" spans="1:15" x14ac:dyDescent="0.25">
      <c r="A67" s="6"/>
      <c r="B67" s="7"/>
      <c r="C67" s="8"/>
      <c r="D67" s="9"/>
      <c r="E67" s="10"/>
      <c r="F67" s="10"/>
      <c r="G67" s="10"/>
      <c r="H67" s="10"/>
      <c r="I67" s="11"/>
      <c r="J67" s="7"/>
      <c r="K67" s="7"/>
      <c r="L67" s="12">
        <f t="shared" si="0"/>
      </c>
      <c r="M67" s="8"/>
      <c r="N67" s="11"/>
      <c r="O67" s="13">
        <f t="shared" si="1"/>
      </c>
    </row>
    <row r="68" spans="1:15" x14ac:dyDescent="0.25">
      <c r="A68" s="6"/>
      <c r="B68" s="7"/>
      <c r="C68" s="8"/>
      <c r="D68" s="9"/>
      <c r="E68" s="10"/>
      <c r="F68" s="10"/>
      <c r="G68" s="10"/>
      <c r="H68" s="10"/>
      <c r="I68" s="11"/>
      <c r="J68" s="7"/>
      <c r="K68" s="7"/>
      <c r="L68" s="12">
        <f t="shared" si="0"/>
      </c>
      <c r="M68" s="8"/>
      <c r="N68" s="11"/>
      <c r="O68" s="13">
        <f t="shared" si="1"/>
      </c>
    </row>
    <row r="69" spans="1:15" x14ac:dyDescent="0.25">
      <c r="A69" s="6"/>
      <c r="B69" s="7"/>
      <c r="C69" s="8"/>
      <c r="D69" s="9"/>
      <c r="E69" s="10"/>
      <c r="F69" s="10"/>
      <c r="G69" s="10"/>
      <c r="H69" s="10"/>
      <c r="I69" s="11"/>
      <c r="J69" s="7"/>
      <c r="K69" s="7"/>
      <c r="L69" s="12">
        <f t="shared" si="0"/>
      </c>
      <c r="M69" s="8"/>
      <c r="N69" s="11"/>
      <c r="O69" s="13">
        <f t="shared" si="1"/>
      </c>
    </row>
    <row r="70" spans="1:15" x14ac:dyDescent="0.25">
      <c r="A70" s="6"/>
      <c r="B70" s="7"/>
      <c r="C70" s="8"/>
      <c r="D70" s="9"/>
      <c r="E70" s="10"/>
      <c r="F70" s="10"/>
      <c r="G70" s="10"/>
      <c r="H70" s="10"/>
      <c r="I70" s="11"/>
      <c r="J70" s="7"/>
      <c r="K70" s="7"/>
      <c r="L70" s="12">
        <f t="shared" si="0"/>
      </c>
      <c r="M70" s="8"/>
      <c r="N70" s="11"/>
      <c r="O70" s="13">
        <f t="shared" si="1"/>
      </c>
    </row>
    <row r="71" spans="1:15" x14ac:dyDescent="0.25">
      <c r="A71" s="6"/>
      <c r="B71" s="7"/>
      <c r="C71" s="8"/>
      <c r="D71" s="9"/>
      <c r="E71" s="10"/>
      <c r="F71" s="10"/>
      <c r="G71" s="10"/>
      <c r="H71" s="10"/>
      <c r="I71" s="11"/>
      <c r="J71" s="7"/>
      <c r="K71" s="7"/>
      <c r="L71" s="12">
        <f t="shared" si="0"/>
      </c>
      <c r="M71" s="8"/>
      <c r="N71" s="11"/>
      <c r="O71" s="13">
        <f t="shared" si="1"/>
      </c>
    </row>
    <row r="72" spans="1:15" x14ac:dyDescent="0.25">
      <c r="A72" s="6"/>
      <c r="B72" s="7"/>
      <c r="C72" s="8"/>
      <c r="D72" s="9"/>
      <c r="E72" s="10"/>
      <c r="F72" s="10"/>
      <c r="G72" s="10"/>
      <c r="H72" s="10"/>
      <c r="I72" s="11"/>
      <c r="J72" s="7"/>
      <c r="K72" s="7"/>
      <c r="L72" s="12">
        <f t="shared" si="0"/>
      </c>
      <c r="M72" s="8"/>
      <c r="N72" s="11"/>
      <c r="O72" s="13">
        <f t="shared" si="1"/>
      </c>
    </row>
    <row r="73" spans="1:15" x14ac:dyDescent="0.25">
      <c r="A73" s="6"/>
      <c r="B73" s="7"/>
      <c r="C73" s="8"/>
      <c r="D73" s="9"/>
      <c r="E73" s="10"/>
      <c r="F73" s="10"/>
      <c r="G73" s="10"/>
      <c r="H73" s="10"/>
      <c r="I73" s="11"/>
      <c r="J73" s="7"/>
      <c r="K73" s="7"/>
      <c r="L73" s="12">
        <f t="shared" si="0"/>
      </c>
      <c r="M73" s="8"/>
      <c r="N73" s="11"/>
      <c r="O73" s="13">
        <f t="shared" si="1"/>
      </c>
    </row>
    <row r="74" spans="1:15" x14ac:dyDescent="0.25">
      <c r="A74" s="6"/>
      <c r="B74" s="7"/>
      <c r="C74" s="8"/>
      <c r="D74" s="9"/>
      <c r="E74" s="10"/>
      <c r="F74" s="10"/>
      <c r="G74" s="10"/>
      <c r="H74" s="10"/>
      <c r="I74" s="11"/>
      <c r="J74" s="7"/>
      <c r="K74" s="7"/>
      <c r="L74" s="12">
        <f t="shared" si="0"/>
      </c>
      <c r="M74" s="8"/>
      <c r="N74" s="11"/>
      <c r="O74" s="13">
        <f t="shared" si="1"/>
      </c>
    </row>
    <row r="75" spans="1:15" x14ac:dyDescent="0.25">
      <c r="A75" s="6"/>
      <c r="B75" s="7"/>
      <c r="C75" s="8"/>
      <c r="D75" s="9"/>
      <c r="E75" s="10"/>
      <c r="F75" s="10"/>
      <c r="G75" s="10"/>
      <c r="H75" s="10"/>
      <c r="I75" s="11"/>
      <c r="J75" s="7"/>
      <c r="K75" s="7"/>
      <c r="L75" s="12">
        <f t="shared" si="0"/>
      </c>
      <c r="M75" s="8"/>
      <c r="N75" s="11"/>
      <c r="O75" s="13">
        <f t="shared" si="1"/>
      </c>
    </row>
    <row r="76" spans="1:15" x14ac:dyDescent="0.25">
      <c r="A76" s="6"/>
      <c r="B76" s="7"/>
      <c r="C76" s="8"/>
      <c r="D76" s="9"/>
      <c r="E76" s="10"/>
      <c r="F76" s="10"/>
      <c r="G76" s="10"/>
      <c r="H76" s="10"/>
      <c r="I76" s="11"/>
      <c r="J76" s="7"/>
      <c r="K76" s="7"/>
      <c r="L76" s="12">
        <f t="shared" si="0"/>
      </c>
      <c r="M76" s="8"/>
      <c r="N76" s="11"/>
      <c r="O76" s="13">
        <f t="shared" si="1"/>
      </c>
    </row>
    <row r="77" spans="1:15" x14ac:dyDescent="0.25">
      <c r="A77" s="6"/>
      <c r="B77" s="7"/>
      <c r="C77" s="8"/>
      <c r="D77" s="9"/>
      <c r="E77" s="10"/>
      <c r="F77" s="10"/>
      <c r="G77" s="10"/>
      <c r="H77" s="10"/>
      <c r="I77" s="11"/>
      <c r="J77" s="7"/>
      <c r="K77" s="7"/>
      <c r="L77" s="12">
        <f t="shared" si="0"/>
      </c>
      <c r="M77" s="8"/>
      <c r="N77" s="11"/>
      <c r="O77" s="13">
        <f t="shared" si="1"/>
      </c>
    </row>
    <row r="78" spans="1:15" x14ac:dyDescent="0.25">
      <c r="A78" s="6"/>
      <c r="B78" s="7"/>
      <c r="C78" s="8"/>
      <c r="D78" s="9"/>
      <c r="E78" s="10"/>
      <c r="F78" s="10"/>
      <c r="G78" s="10"/>
      <c r="H78" s="10"/>
      <c r="I78" s="11"/>
      <c r="J78" s="7"/>
      <c r="K78" s="7"/>
      <c r="L78" s="12">
        <f t="shared" si="0"/>
      </c>
      <c r="M78" s="8"/>
      <c r="N78" s="11"/>
      <c r="O78" s="13">
        <f t="shared" si="1"/>
      </c>
    </row>
    <row r="79" spans="1:15" x14ac:dyDescent="0.25">
      <c r="A79" s="6"/>
      <c r="B79" s="7"/>
      <c r="C79" s="8"/>
      <c r="D79" s="9"/>
      <c r="E79" s="10"/>
      <c r="F79" s="10"/>
      <c r="G79" s="10"/>
      <c r="H79" s="10"/>
      <c r="I79" s="11"/>
      <c r="J79" s="7"/>
      <c r="K79" s="7"/>
      <c r="L79" s="12">
        <f t="shared" si="0"/>
      </c>
      <c r="M79" s="8"/>
      <c r="N79" s="11"/>
      <c r="O79" s="13">
        <f t="shared" si="1"/>
      </c>
    </row>
    <row r="80" spans="1:15" x14ac:dyDescent="0.25">
      <c r="A80" s="6"/>
      <c r="B80" s="7"/>
      <c r="C80" s="8"/>
      <c r="D80" s="9"/>
      <c r="E80" s="10"/>
      <c r="F80" s="10"/>
      <c r="G80" s="10"/>
      <c r="H80" s="10"/>
      <c r="I80" s="11"/>
      <c r="J80" s="7"/>
      <c r="K80" s="7"/>
      <c r="L80" s="12">
        <f t="shared" si="0"/>
      </c>
      <c r="M80" s="8"/>
      <c r="N80" s="11"/>
      <c r="O80" s="13">
        <f t="shared" si="1"/>
      </c>
    </row>
    <row r="81" spans="1:15" x14ac:dyDescent="0.25">
      <c r="A81" s="6"/>
      <c r="B81" s="7"/>
      <c r="C81" s="8"/>
      <c r="D81" s="9"/>
      <c r="E81" s="10"/>
      <c r="F81" s="10"/>
      <c r="G81" s="10"/>
      <c r="H81" s="10"/>
      <c r="I81" s="11"/>
      <c r="J81" s="7"/>
      <c r="K81" s="7"/>
      <c r="L81" s="12">
        <f t="shared" si="0"/>
      </c>
      <c r="M81" s="8"/>
      <c r="N81" s="11"/>
      <c r="O81" s="13">
        <f t="shared" si="1"/>
      </c>
    </row>
    <row r="82" spans="1:15" x14ac:dyDescent="0.25">
      <c r="A82" s="6"/>
      <c r="B82" s="7"/>
      <c r="C82" s="8"/>
      <c r="D82" s="9"/>
      <c r="E82" s="10"/>
      <c r="F82" s="10"/>
      <c r="G82" s="10"/>
      <c r="H82" s="10"/>
      <c r="I82" s="11"/>
      <c r="J82" s="7"/>
      <c r="K82" s="7"/>
      <c r="L82" s="12">
        <f t="shared" si="0"/>
      </c>
      <c r="M82" s="8"/>
      <c r="N82" s="11"/>
      <c r="O82" s="13">
        <f t="shared" si="1"/>
      </c>
    </row>
    <row r="83" spans="1:15" x14ac:dyDescent="0.25">
      <c r="A83" s="6"/>
      <c r="B83" s="7"/>
      <c r="C83" s="8"/>
      <c r="D83" s="9"/>
      <c r="E83" s="10"/>
      <c r="F83" s="10"/>
      <c r="G83" s="10"/>
      <c r="H83" s="10"/>
      <c r="I83" s="11"/>
      <c r="J83" s="7"/>
      <c r="K83" s="7"/>
      <c r="L83" s="12">
        <f t="shared" si="0"/>
      </c>
      <c r="M83" s="8"/>
      <c r="N83" s="11"/>
      <c r="O83" s="13">
        <f t="shared" si="1"/>
      </c>
    </row>
    <row r="84" spans="1:15" x14ac:dyDescent="0.25">
      <c r="A84" s="6"/>
      <c r="B84" s="7"/>
      <c r="C84" s="8"/>
      <c r="D84" s="9"/>
      <c r="E84" s="10"/>
      <c r="F84" s="10"/>
      <c r="G84" s="10"/>
      <c r="H84" s="10"/>
      <c r="I84" s="11"/>
      <c r="J84" s="7"/>
      <c r="K84" s="7"/>
      <c r="L84" s="12">
        <f t="shared" si="0"/>
      </c>
      <c r="M84" s="8"/>
      <c r="N84" s="11"/>
      <c r="O84" s="13">
        <f t="shared" si="1"/>
      </c>
    </row>
    <row r="85" spans="1:15" x14ac:dyDescent="0.25">
      <c r="A85" s="6"/>
      <c r="B85" s="7"/>
      <c r="C85" s="8"/>
      <c r="D85" s="9"/>
      <c r="E85" s="10"/>
      <c r="F85" s="10"/>
      <c r="G85" s="10"/>
      <c r="H85" s="10"/>
      <c r="I85" s="11"/>
      <c r="J85" s="7"/>
      <c r="K85" s="7"/>
      <c r="L85" s="12">
        <f t="shared" si="0"/>
      </c>
      <c r="M85" s="8"/>
      <c r="N85" s="11"/>
      <c r="O85" s="13">
        <f t="shared" si="1"/>
      </c>
    </row>
    <row r="86" spans="1:15" x14ac:dyDescent="0.25">
      <c r="A86" s="6"/>
      <c r="B86" s="7"/>
      <c r="C86" s="8"/>
      <c r="D86" s="9"/>
      <c r="E86" s="10"/>
      <c r="F86" s="10"/>
      <c r="G86" s="10"/>
      <c r="H86" s="10"/>
      <c r="I86" s="11"/>
      <c r="J86" s="7"/>
      <c r="K86" s="7"/>
      <c r="L86" s="12">
        <f t="shared" si="0"/>
      </c>
      <c r="M86" s="8"/>
      <c r="N86" s="11"/>
      <c r="O86" s="13">
        <f t="shared" si="1"/>
      </c>
    </row>
    <row r="87" spans="1:15" x14ac:dyDescent="0.25">
      <c r="A87" s="6"/>
      <c r="B87" s="7"/>
      <c r="C87" s="8"/>
      <c r="D87" s="9"/>
      <c r="E87" s="10"/>
      <c r="F87" s="10"/>
      <c r="G87" s="10"/>
      <c r="H87" s="10"/>
      <c r="I87" s="11"/>
      <c r="J87" s="7"/>
      <c r="K87" s="7"/>
      <c r="L87" s="12">
        <f t="shared" si="0"/>
      </c>
      <c r="M87" s="8"/>
      <c r="N87" s="11"/>
      <c r="O87" s="13">
        <f t="shared" si="1"/>
      </c>
    </row>
    <row r="88" spans="1:15" x14ac:dyDescent="0.25">
      <c r="A88" s="6"/>
      <c r="B88" s="7"/>
      <c r="C88" s="8"/>
      <c r="D88" s="9"/>
      <c r="E88" s="10"/>
      <c r="F88" s="10"/>
      <c r="G88" s="10"/>
      <c r="H88" s="10"/>
      <c r="I88" s="11"/>
      <c r="J88" s="7"/>
      <c r="K88" s="7"/>
      <c r="L88" s="12">
        <f t="shared" si="0"/>
      </c>
      <c r="M88" s="8"/>
      <c r="N88" s="11"/>
      <c r="O88" s="13">
        <f t="shared" si="1"/>
      </c>
    </row>
    <row r="89" spans="1:15" x14ac:dyDescent="0.25">
      <c r="A89" s="6"/>
      <c r="B89" s="7"/>
      <c r="C89" s="8"/>
      <c r="D89" s="9"/>
      <c r="E89" s="10"/>
      <c r="F89" s="10"/>
      <c r="G89" s="10"/>
      <c r="H89" s="10"/>
      <c r="I89" s="11"/>
      <c r="J89" s="7"/>
      <c r="K89" s="7"/>
      <c r="L89" s="12">
        <f t="shared" si="0"/>
      </c>
      <c r="M89" s="8"/>
      <c r="N89" s="11"/>
      <c r="O89" s="13">
        <f t="shared" si="1"/>
      </c>
    </row>
    <row r="90" spans="1:15" x14ac:dyDescent="0.25">
      <c r="A90" s="6"/>
      <c r="B90" s="7"/>
      <c r="C90" s="8"/>
      <c r="D90" s="9"/>
      <c r="E90" s="10"/>
      <c r="F90" s="10"/>
      <c r="G90" s="10"/>
      <c r="H90" s="10"/>
      <c r="I90" s="11"/>
      <c r="J90" s="7"/>
      <c r="K90" s="7"/>
      <c r="L90" s="12">
        <f t="shared" si="0"/>
      </c>
      <c r="M90" s="8"/>
      <c r="N90" s="11"/>
      <c r="O90" s="13">
        <f t="shared" si="1"/>
      </c>
    </row>
    <row r="91" spans="1:15" x14ac:dyDescent="0.25">
      <c r="A91" s="6"/>
      <c r="B91" s="7"/>
      <c r="C91" s="8"/>
      <c r="D91" s="9"/>
      <c r="E91" s="10"/>
      <c r="F91" s="10"/>
      <c r="G91" s="10"/>
      <c r="H91" s="10"/>
      <c r="I91" s="11"/>
      <c r="J91" s="7"/>
      <c r="K91" s="7"/>
      <c r="L91" s="12">
        <f t="shared" si="0"/>
      </c>
      <c r="M91" s="8"/>
      <c r="N91" s="11"/>
      <c r="O91" s="13">
        <f t="shared" si="1"/>
      </c>
    </row>
    <row r="92" spans="1:15" x14ac:dyDescent="0.25">
      <c r="A92" s="6"/>
      <c r="B92" s="7"/>
      <c r="C92" s="8"/>
      <c r="D92" s="9"/>
      <c r="E92" s="10"/>
      <c r="F92" s="10"/>
      <c r="G92" s="10"/>
      <c r="H92" s="10"/>
      <c r="I92" s="11"/>
      <c r="J92" s="7"/>
      <c r="K92" s="7"/>
      <c r="L92" s="12">
        <f t="shared" si="0"/>
      </c>
      <c r="M92" s="8"/>
      <c r="N92" s="11"/>
      <c r="O92" s="13">
        <f t="shared" si="1"/>
      </c>
    </row>
    <row r="93" spans="1:15" x14ac:dyDescent="0.25">
      <c r="A93" s="6"/>
      <c r="B93" s="7"/>
      <c r="C93" s="8"/>
      <c r="D93" s="9"/>
      <c r="E93" s="10"/>
      <c r="F93" s="10"/>
      <c r="G93" s="10"/>
      <c r="H93" s="10"/>
      <c r="I93" s="11"/>
      <c r="J93" s="7"/>
      <c r="K93" s="7"/>
      <c r="L93" s="12">
        <f t="shared" si="0"/>
      </c>
      <c r="M93" s="8"/>
      <c r="N93" s="11"/>
      <c r="O93" s="13">
        <f t="shared" si="1"/>
      </c>
    </row>
    <row r="94" spans="1:15" x14ac:dyDescent="0.25">
      <c r="A94" s="6"/>
      <c r="B94" s="7"/>
      <c r="C94" s="8"/>
      <c r="D94" s="9"/>
      <c r="E94" s="10"/>
      <c r="F94" s="10"/>
      <c r="G94" s="10"/>
      <c r="H94" s="10"/>
      <c r="I94" s="11"/>
      <c r="J94" s="7"/>
      <c r="K94" s="7"/>
      <c r="L94" s="12">
        <f t="shared" si="0"/>
      </c>
      <c r="M94" s="8"/>
      <c r="N94" s="11"/>
      <c r="O94" s="13">
        <f t="shared" si="1"/>
      </c>
    </row>
    <row r="95" spans="1:15" x14ac:dyDescent="0.25">
      <c r="A95" s="6"/>
      <c r="B95" s="7"/>
      <c r="C95" s="8"/>
      <c r="D95" s="9"/>
      <c r="E95" s="10"/>
      <c r="F95" s="10"/>
      <c r="G95" s="10"/>
      <c r="H95" s="10"/>
      <c r="I95" s="11"/>
      <c r="J95" s="7"/>
      <c r="K95" s="7"/>
      <c r="L95" s="12">
        <f t="shared" si="0"/>
      </c>
      <c r="M95" s="8"/>
      <c r="N95" s="11"/>
      <c r="O95" s="13">
        <f t="shared" si="1"/>
      </c>
    </row>
    <row r="96" spans="1:15" x14ac:dyDescent="0.25">
      <c r="A96" s="6"/>
      <c r="B96" s="7"/>
      <c r="C96" s="8"/>
      <c r="D96" s="9"/>
      <c r="E96" s="10"/>
      <c r="F96" s="10"/>
      <c r="G96" s="10"/>
      <c r="H96" s="10"/>
      <c r="I96" s="11"/>
      <c r="J96" s="7"/>
      <c r="K96" s="7"/>
      <c r="L96" s="12">
        <f t="shared" si="0"/>
      </c>
      <c r="M96" s="8"/>
      <c r="N96" s="11"/>
      <c r="O96" s="13">
        <f t="shared" si="1"/>
      </c>
    </row>
    <row r="97" spans="1:15" x14ac:dyDescent="0.25">
      <c r="A97" s="6"/>
      <c r="B97" s="7"/>
      <c r="C97" s="8"/>
      <c r="D97" s="9"/>
      <c r="E97" s="10"/>
      <c r="F97" s="10"/>
      <c r="G97" s="10"/>
      <c r="H97" s="10"/>
      <c r="I97" s="11"/>
      <c r="J97" s="7"/>
      <c r="K97" s="7"/>
      <c r="L97" s="12">
        <f t="shared" si="0"/>
      </c>
      <c r="M97" s="8"/>
      <c r="N97" s="11"/>
      <c r="O97" s="13">
        <f t="shared" si="1"/>
      </c>
    </row>
    <row r="98" spans="1:15" x14ac:dyDescent="0.25">
      <c r="A98" s="6"/>
      <c r="B98" s="7"/>
      <c r="C98" s="8"/>
      <c r="D98" s="9"/>
      <c r="E98" s="10"/>
      <c r="F98" s="10"/>
      <c r="G98" s="10"/>
      <c r="H98" s="10"/>
      <c r="I98" s="11"/>
      <c r="J98" s="7"/>
      <c r="K98" s="7"/>
      <c r="L98" s="12">
        <f t="shared" si="0"/>
      </c>
      <c r="M98" s="8"/>
      <c r="N98" s="11"/>
      <c r="O98" s="13">
        <f t="shared" si="1"/>
      </c>
    </row>
    <row r="99" spans="1:15" x14ac:dyDescent="0.25">
      <c r="A99" s="6"/>
      <c r="B99" s="7"/>
      <c r="C99" s="8"/>
      <c r="D99" s="9"/>
      <c r="E99" s="10"/>
      <c r="F99" s="10"/>
      <c r="G99" s="10"/>
      <c r="H99" s="10"/>
      <c r="I99" s="11"/>
      <c r="J99" s="7"/>
      <c r="K99" s="7"/>
      <c r="L99" s="12">
        <f t="shared" si="0"/>
      </c>
      <c r="M99" s="8"/>
      <c r="N99" s="11"/>
      <c r="O99" s="13">
        <f t="shared" si="1"/>
      </c>
    </row>
    <row r="100" spans="1:15" x14ac:dyDescent="0.25">
      <c r="A100" s="6"/>
      <c r="B100" s="7"/>
      <c r="C100" s="8"/>
      <c r="D100" s="9"/>
      <c r="E100" s="10"/>
      <c r="F100" s="10"/>
      <c r="G100" s="10"/>
      <c r="H100" s="10"/>
      <c r="I100" s="11"/>
      <c r="J100" s="7"/>
      <c r="K100" s="7"/>
      <c r="L100" s="12">
        <f t="shared" si="0"/>
      </c>
      <c r="M100" s="8"/>
      <c r="N100" s="11"/>
      <c r="O100" s="13">
        <f t="shared" si="1"/>
      </c>
    </row>
    <row r="101" spans="1:15" x14ac:dyDescent="0.25">
      <c r="A101" s="6"/>
      <c r="B101" s="7"/>
      <c r="C101" s="8"/>
      <c r="D101" s="9"/>
      <c r="E101" s="10"/>
      <c r="F101" s="10"/>
      <c r="G101" s="10"/>
      <c r="H101" s="10"/>
      <c r="I101" s="11"/>
      <c r="J101" s="7"/>
      <c r="K101" s="7"/>
      <c r="L101" s="12">
        <f t="shared" si="0"/>
      </c>
      <c r="M101" s="8"/>
      <c r="N101" s="11"/>
      <c r="O101" s="13">
        <f t="shared" si="1"/>
      </c>
    </row>
    <row r="102" spans="1:15" x14ac:dyDescent="0.25">
      <c r="A102" s="6"/>
      <c r="B102" s="7"/>
      <c r="C102" s="8"/>
      <c r="D102" s="9"/>
      <c r="E102" s="10"/>
      <c r="F102" s="10"/>
      <c r="G102" s="10"/>
      <c r="H102" s="10"/>
      <c r="I102" s="11"/>
      <c r="J102" s="7"/>
      <c r="K102" s="7"/>
      <c r="L102" s="12">
        <f t="shared" si="0"/>
      </c>
      <c r="M102" s="8"/>
      <c r="N102" s="11"/>
      <c r="O102" s="13">
        <f t="shared" si="1"/>
      </c>
    </row>
    <row r="103" spans="1:15" x14ac:dyDescent="0.25">
      <c r="A103" s="6"/>
      <c r="B103" s="7"/>
      <c r="C103" s="8"/>
      <c r="D103" s="9"/>
      <c r="E103" s="10"/>
      <c r="F103" s="10"/>
      <c r="G103" s="10"/>
      <c r="H103" s="10"/>
      <c r="I103" s="11"/>
      <c r="J103" s="7"/>
      <c r="K103" s="7"/>
      <c r="L103" s="12">
        <f t="shared" si="0"/>
      </c>
      <c r="M103" s="8"/>
      <c r="N103" s="11"/>
      <c r="O103" s="13">
        <f t="shared" si="1"/>
      </c>
    </row>
    <row r="104" spans="1:15" x14ac:dyDescent="0.25">
      <c r="A104" s="6"/>
      <c r="B104" s="7"/>
      <c r="C104" s="8"/>
      <c r="D104" s="9"/>
      <c r="E104" s="10"/>
      <c r="F104" s="10"/>
      <c r="G104" s="10"/>
      <c r="H104" s="10"/>
      <c r="I104" s="11"/>
      <c r="J104" s="7"/>
      <c r="K104" s="7"/>
      <c r="L104" s="12">
        <f t="shared" si="0"/>
      </c>
      <c r="M104" s="8"/>
      <c r="N104" s="11"/>
      <c r="O104" s="13">
        <f t="shared" si="1"/>
      </c>
    </row>
    <row r="105" spans="1:15" x14ac:dyDescent="0.25">
      <c r="A105" s="6"/>
      <c r="B105" s="7"/>
      <c r="C105" s="8"/>
      <c r="D105" s="9"/>
      <c r="E105" s="10"/>
      <c r="F105" s="10"/>
      <c r="G105" s="10"/>
      <c r="H105" s="10"/>
      <c r="I105" s="11"/>
      <c r="J105" s="7"/>
      <c r="K105" s="7"/>
      <c r="L105" s="12">
        <f t="shared" si="0"/>
      </c>
      <c r="M105" s="8"/>
      <c r="N105" s="11"/>
      <c r="O105" s="13">
        <f t="shared" si="1"/>
      </c>
    </row>
    <row r="106" spans="1:15" x14ac:dyDescent="0.25">
      <c r="A106" s="6"/>
      <c r="B106" s="7"/>
      <c r="C106" s="8"/>
      <c r="D106" s="9"/>
      <c r="E106" s="10"/>
      <c r="F106" s="10"/>
      <c r="G106" s="10"/>
      <c r="H106" s="10"/>
      <c r="I106" s="11"/>
      <c r="J106" s="7"/>
      <c r="K106" s="7"/>
      <c r="L106" s="12">
        <f t="shared" si="0"/>
      </c>
      <c r="M106" s="8"/>
      <c r="N106" s="11"/>
      <c r="O106" s="13">
        <f t="shared" si="1"/>
      </c>
    </row>
    <row r="107" spans="1:15" x14ac:dyDescent="0.25">
      <c r="A107" s="6"/>
      <c r="B107" s="7"/>
      <c r="C107" s="8"/>
      <c r="D107" s="9"/>
      <c r="E107" s="10"/>
      <c r="F107" s="10"/>
      <c r="G107" s="10"/>
      <c r="H107" s="10"/>
      <c r="I107" s="11"/>
      <c r="J107" s="7"/>
      <c r="K107" s="7"/>
      <c r="L107" s="12">
        <f t="shared" si="0"/>
      </c>
      <c r="M107" s="8"/>
      <c r="N107" s="11"/>
      <c r="O107" s="13">
        <f t="shared" si="1"/>
      </c>
    </row>
    <row r="108" spans="1:15" x14ac:dyDescent="0.25">
      <c r="A108" s="6"/>
      <c r="B108" s="7"/>
      <c r="C108" s="8"/>
      <c r="D108" s="9"/>
      <c r="E108" s="10"/>
      <c r="F108" s="10"/>
      <c r="G108" s="10"/>
      <c r="H108" s="10"/>
      <c r="I108" s="11"/>
      <c r="J108" s="7"/>
      <c r="K108" s="7"/>
      <c r="L108" s="12">
        <f t="shared" si="0"/>
      </c>
      <c r="M108" s="8"/>
      <c r="N108" s="11"/>
      <c r="O108" s="13">
        <f t="shared" si="1"/>
      </c>
    </row>
    <row r="109" spans="1:15" x14ac:dyDescent="0.25">
      <c r="A109" s="6"/>
      <c r="B109" s="7"/>
      <c r="C109" s="8"/>
      <c r="D109" s="9"/>
      <c r="E109" s="10"/>
      <c r="F109" s="10"/>
      <c r="G109" s="10"/>
      <c r="H109" s="10"/>
      <c r="I109" s="11"/>
      <c r="J109" s="7"/>
      <c r="K109" s="7"/>
      <c r="L109" s="12">
        <f t="shared" si="0"/>
      </c>
      <c r="M109" s="8"/>
      <c r="N109" s="11"/>
      <c r="O109" s="13">
        <f t="shared" si="1"/>
      </c>
    </row>
    <row r="110" spans="1:15" x14ac:dyDescent="0.25">
      <c r="A110" s="6"/>
      <c r="B110" s="7"/>
      <c r="C110" s="8"/>
      <c r="D110" s="9"/>
      <c r="E110" s="10"/>
      <c r="F110" s="10"/>
      <c r="G110" s="10"/>
      <c r="H110" s="10"/>
      <c r="I110" s="11"/>
      <c r="J110" s="7"/>
      <c r="K110" s="7"/>
      <c r="L110" s="12">
        <f t="shared" si="0"/>
      </c>
      <c r="M110" s="8"/>
      <c r="N110" s="11"/>
      <c r="O110" s="13">
        <f t="shared" si="1"/>
      </c>
    </row>
    <row r="111" spans="1:15" x14ac:dyDescent="0.25">
      <c r="A111" s="6"/>
      <c r="B111" s="7"/>
      <c r="C111" s="8"/>
      <c r="D111" s="9"/>
      <c r="E111" s="10"/>
      <c r="F111" s="10"/>
      <c r="G111" s="10"/>
      <c r="H111" s="10"/>
      <c r="I111" s="11"/>
      <c r="J111" s="7"/>
      <c r="K111" s="7"/>
      <c r="L111" s="12">
        <f t="shared" si="0"/>
      </c>
      <c r="M111" s="8"/>
      <c r="N111" s="11"/>
      <c r="O111" s="13">
        <f t="shared" si="1"/>
      </c>
    </row>
    <row r="112" spans="1:15" x14ac:dyDescent="0.25">
      <c r="A112" s="6"/>
      <c r="B112" s="7"/>
      <c r="C112" s="8"/>
      <c r="D112" s="9"/>
      <c r="E112" s="10"/>
      <c r="F112" s="10"/>
      <c r="G112" s="10"/>
      <c r="H112" s="10"/>
      <c r="I112" s="11"/>
      <c r="J112" s="7"/>
      <c r="K112" s="7"/>
      <c r="L112" s="12">
        <f t="shared" si="0"/>
      </c>
      <c r="M112" s="8"/>
      <c r="N112" s="11"/>
      <c r="O112" s="13">
        <f t="shared" si="1"/>
      </c>
    </row>
    <row r="113" spans="1:15" x14ac:dyDescent="0.25">
      <c r="A113" s="6"/>
      <c r="B113" s="7"/>
      <c r="C113" s="8"/>
      <c r="D113" s="9"/>
      <c r="E113" s="10"/>
      <c r="F113" s="10"/>
      <c r="G113" s="10"/>
      <c r="H113" s="10"/>
      <c r="I113" s="11"/>
      <c r="J113" s="7"/>
      <c r="K113" s="7"/>
      <c r="L113" s="12">
        <f t="shared" si="0"/>
      </c>
      <c r="M113" s="8"/>
      <c r="N113" s="11"/>
      <c r="O113" s="13">
        <f t="shared" si="1"/>
      </c>
    </row>
    <row r="114" spans="1:15" x14ac:dyDescent="0.25">
      <c r="A114" s="6"/>
      <c r="B114" s="7"/>
      <c r="C114" s="8"/>
      <c r="D114" s="9"/>
      <c r="E114" s="10"/>
      <c r="F114" s="10"/>
      <c r="G114" s="10"/>
      <c r="H114" s="10"/>
      <c r="I114" s="11"/>
      <c r="J114" s="7"/>
      <c r="K114" s="7"/>
      <c r="L114" s="12">
        <f t="shared" si="0"/>
      </c>
      <c r="M114" s="8"/>
      <c r="N114" s="11"/>
      <c r="O114" s="13">
        <f t="shared" si="1"/>
      </c>
    </row>
    <row r="115" spans="1:15" x14ac:dyDescent="0.25">
      <c r="A115" s="6"/>
      <c r="B115" s="7"/>
      <c r="C115" s="8"/>
      <c r="D115" s="9"/>
      <c r="E115" s="10"/>
      <c r="F115" s="10"/>
      <c r="G115" s="10"/>
      <c r="H115" s="10"/>
      <c r="I115" s="11"/>
      <c r="J115" s="7"/>
      <c r="K115" s="7"/>
      <c r="L115" s="12">
        <f t="shared" si="0"/>
      </c>
      <c r="M115" s="8"/>
      <c r="N115" s="11"/>
      <c r="O115" s="13">
        <f t="shared" si="1"/>
      </c>
    </row>
    <row r="116" spans="1:15" x14ac:dyDescent="0.25">
      <c r="A116" s="6"/>
      <c r="B116" s="7"/>
      <c r="C116" s="8"/>
      <c r="D116" s="9"/>
      <c r="E116" s="10"/>
      <c r="F116" s="10"/>
      <c r="G116" s="10"/>
      <c r="H116" s="10"/>
      <c r="I116" s="11"/>
      <c r="J116" s="7"/>
      <c r="K116" s="7"/>
      <c r="L116" s="12">
        <f t="shared" si="0"/>
      </c>
      <c r="M116" s="8"/>
      <c r="N116" s="11"/>
      <c r="O116" s="13">
        <f t="shared" si="1"/>
      </c>
    </row>
    <row r="117" spans="1:15" x14ac:dyDescent="0.25">
      <c r="A117" s="6"/>
      <c r="B117" s="7"/>
      <c r="C117" s="8"/>
      <c r="D117" s="9"/>
      <c r="E117" s="10"/>
      <c r="F117" s="10"/>
      <c r="G117" s="10"/>
      <c r="H117" s="10"/>
      <c r="I117" s="11"/>
      <c r="J117" s="7"/>
      <c r="K117" s="7"/>
      <c r="L117" s="12">
        <f t="shared" si="0"/>
      </c>
      <c r="M117" s="8"/>
      <c r="N117" s="11"/>
      <c r="O117" s="13">
        <f t="shared" si="1"/>
      </c>
    </row>
    <row r="118" spans="1:15" x14ac:dyDescent="0.25">
      <c r="A118" s="6"/>
      <c r="B118" s="7"/>
      <c r="C118" s="8"/>
      <c r="D118" s="9"/>
      <c r="E118" s="10"/>
      <c r="F118" s="10"/>
      <c r="G118" s="10"/>
      <c r="H118" s="10"/>
      <c r="I118" s="11"/>
      <c r="J118" s="7"/>
      <c r="K118" s="7"/>
      <c r="L118" s="12">
        <f t="shared" si="0"/>
      </c>
      <c r="M118" s="8"/>
      <c r="N118" s="11"/>
      <c r="O118" s="13">
        <f t="shared" si="1"/>
      </c>
    </row>
    <row r="119" spans="1:15" x14ac:dyDescent="0.25">
      <c r="A119" s="6"/>
      <c r="B119" s="7"/>
      <c r="C119" s="8"/>
      <c r="D119" s="9"/>
      <c r="E119" s="10"/>
      <c r="F119" s="10"/>
      <c r="G119" s="10"/>
      <c r="H119" s="10"/>
      <c r="I119" s="11"/>
      <c r="J119" s="7"/>
      <c r="K119" s="7"/>
      <c r="L119" s="12">
        <f t="shared" si="0"/>
      </c>
      <c r="M119" s="8"/>
      <c r="N119" s="11"/>
      <c r="O119" s="13">
        <f t="shared" si="1"/>
      </c>
    </row>
    <row r="120" spans="1:15" x14ac:dyDescent="0.25">
      <c r="A120" s="6"/>
      <c r="B120" s="7"/>
      <c r="C120" s="8"/>
      <c r="D120" s="9"/>
      <c r="E120" s="10"/>
      <c r="F120" s="10"/>
      <c r="G120" s="10"/>
      <c r="H120" s="10"/>
      <c r="I120" s="11"/>
      <c r="J120" s="7"/>
      <c r="K120" s="7"/>
      <c r="L120" s="12">
        <f t="shared" si="0"/>
      </c>
      <c r="M120" s="8"/>
      <c r="N120" s="11"/>
      <c r="O120" s="13">
        <f t="shared" si="1"/>
      </c>
    </row>
    <row r="121" spans="1:15" x14ac:dyDescent="0.25">
      <c r="A121" s="6"/>
      <c r="B121" s="7"/>
      <c r="C121" s="8"/>
      <c r="D121" s="9"/>
      <c r="E121" s="10"/>
      <c r="F121" s="10"/>
      <c r="G121" s="10"/>
      <c r="H121" s="10"/>
      <c r="I121" s="11"/>
      <c r="J121" s="7"/>
      <c r="K121" s="7"/>
      <c r="L121" s="12">
        <f t="shared" si="0"/>
      </c>
      <c r="M121" s="8"/>
      <c r="N121" s="11"/>
      <c r="O121" s="13">
        <f t="shared" si="1"/>
      </c>
    </row>
    <row r="122" spans="1:15" x14ac:dyDescent="0.25">
      <c r="A122" s="6"/>
      <c r="B122" s="7"/>
      <c r="C122" s="8"/>
      <c r="D122" s="9"/>
      <c r="E122" s="10"/>
      <c r="F122" s="10"/>
      <c r="G122" s="10"/>
      <c r="H122" s="10"/>
      <c r="I122" s="11"/>
      <c r="J122" s="7"/>
      <c r="K122" s="7"/>
      <c r="L122" s="12">
        <f t="shared" si="0"/>
      </c>
      <c r="M122" s="8"/>
      <c r="N122" s="11"/>
      <c r="O122" s="13">
        <f t="shared" si="1"/>
      </c>
    </row>
    <row r="123" spans="1:15" x14ac:dyDescent="0.25">
      <c r="A123" s="6"/>
      <c r="B123" s="7"/>
      <c r="C123" s="8"/>
      <c r="D123" s="9"/>
      <c r="E123" s="10"/>
      <c r="F123" s="10"/>
      <c r="G123" s="10"/>
      <c r="H123" s="10"/>
      <c r="I123" s="11"/>
      <c r="J123" s="7"/>
      <c r="K123" s="7"/>
      <c r="L123" s="12">
        <f t="shared" si="0"/>
      </c>
      <c r="M123" s="8"/>
      <c r="N123" s="11"/>
      <c r="O123" s="13">
        <f t="shared" si="1"/>
      </c>
    </row>
    <row r="124" spans="1:15" x14ac:dyDescent="0.25">
      <c r="A124" s="6"/>
      <c r="B124" s="7"/>
      <c r="C124" s="8"/>
      <c r="D124" s="9"/>
      <c r="E124" s="10"/>
      <c r="F124" s="10"/>
      <c r="G124" s="10"/>
      <c r="H124" s="10"/>
      <c r="I124" s="11"/>
      <c r="J124" s="7"/>
      <c r="K124" s="7"/>
      <c r="L124" s="12">
        <f t="shared" si="0"/>
      </c>
      <c r="M124" s="8"/>
      <c r="N124" s="11"/>
      <c r="O124" s="13">
        <f t="shared" si="1"/>
      </c>
    </row>
    <row r="125" spans="1:15" x14ac:dyDescent="0.25">
      <c r="A125" s="6"/>
      <c r="B125" s="7"/>
      <c r="C125" s="8"/>
      <c r="D125" s="9"/>
      <c r="E125" s="10"/>
      <c r="F125" s="10"/>
      <c r="G125" s="10"/>
      <c r="H125" s="10"/>
      <c r="I125" s="11"/>
      <c r="J125" s="7"/>
      <c r="K125" s="7"/>
      <c r="L125" s="12">
        <f t="shared" si="0"/>
      </c>
      <c r="M125" s="8"/>
      <c r="N125" s="11"/>
      <c r="O125" s="13">
        <f t="shared" si="1"/>
      </c>
    </row>
    <row r="126" spans="1:15" x14ac:dyDescent="0.25">
      <c r="A126" s="6"/>
      <c r="B126" s="7"/>
      <c r="C126" s="8"/>
      <c r="D126" s="9"/>
      <c r="E126" s="10"/>
      <c r="F126" s="10"/>
      <c r="G126" s="10"/>
      <c r="H126" s="10"/>
      <c r="I126" s="11"/>
      <c r="J126" s="7"/>
      <c r="K126" s="7"/>
      <c r="L126" s="12">
        <f t="shared" si="0"/>
      </c>
      <c r="M126" s="8"/>
      <c r="N126" s="11"/>
      <c r="O126" s="13">
        <f t="shared" si="1"/>
      </c>
    </row>
    <row r="127" spans="1:15" x14ac:dyDescent="0.25">
      <c r="A127" s="6"/>
      <c r="B127" s="7"/>
      <c r="C127" s="8"/>
      <c r="D127" s="9"/>
      <c r="E127" s="10"/>
      <c r="F127" s="10"/>
      <c r="G127" s="10"/>
      <c r="H127" s="10"/>
      <c r="I127" s="11"/>
      <c r="J127" s="7"/>
      <c r="K127" s="7"/>
      <c r="L127" s="12">
        <f t="shared" si="0"/>
      </c>
      <c r="M127" s="8"/>
      <c r="N127" s="11"/>
      <c r="O127" s="13">
        <f t="shared" si="1"/>
      </c>
    </row>
    <row r="128" spans="1:15" x14ac:dyDescent="0.25">
      <c r="A128" s="6"/>
      <c r="B128" s="7"/>
      <c r="C128" s="8"/>
      <c r="D128" s="9"/>
      <c r="E128" s="10"/>
      <c r="F128" s="10"/>
      <c r="G128" s="10"/>
      <c r="H128" s="10"/>
      <c r="I128" s="11"/>
      <c r="J128" s="7"/>
      <c r="K128" s="7"/>
      <c r="L128" s="12">
        <f t="shared" si="0"/>
      </c>
      <c r="M128" s="8"/>
      <c r="N128" s="11"/>
      <c r="O128" s="13">
        <f t="shared" si="1"/>
      </c>
    </row>
    <row r="129" spans="1:15" x14ac:dyDescent="0.25">
      <c r="A129" s="6"/>
      <c r="B129" s="7"/>
      <c r="C129" s="8"/>
      <c r="D129" s="9"/>
      <c r="E129" s="10"/>
      <c r="F129" s="10"/>
      <c r="G129" s="10"/>
      <c r="H129" s="10"/>
      <c r="I129" s="11"/>
      <c r="J129" s="7"/>
      <c r="K129" s="7"/>
      <c r="L129" s="12">
        <f t="shared" si="0"/>
      </c>
      <c r="M129" s="8"/>
      <c r="N129" s="11"/>
      <c r="O129" s="13">
        <f t="shared" si="1"/>
      </c>
    </row>
    <row r="130" spans="1:15" x14ac:dyDescent="0.25">
      <c r="A130" s="6"/>
      <c r="B130" s="7"/>
      <c r="C130" s="8"/>
      <c r="D130" s="9"/>
      <c r="E130" s="10"/>
      <c r="F130" s="10"/>
      <c r="G130" s="10"/>
      <c r="H130" s="10"/>
      <c r="I130" s="11"/>
      <c r="J130" s="7"/>
      <c r="K130" s="7"/>
      <c r="L130" s="12">
        <f t="shared" si="0"/>
      </c>
      <c r="M130" s="8"/>
      <c r="N130" s="11"/>
      <c r="O130" s="13">
        <f t="shared" si="1"/>
      </c>
    </row>
    <row r="131" spans="1:15" x14ac:dyDescent="0.25">
      <c r="A131" s="6"/>
      <c r="B131" s="7"/>
      <c r="C131" s="8"/>
      <c r="D131" s="9"/>
      <c r="E131" s="10"/>
      <c r="F131" s="10"/>
      <c r="G131" s="10"/>
      <c r="H131" s="10"/>
      <c r="I131" s="11"/>
      <c r="J131" s="7"/>
      <c r="K131" s="7"/>
      <c r="L131" s="12">
        <f t="shared" si="0"/>
      </c>
      <c r="M131" s="8"/>
      <c r="N131" s="11"/>
      <c r="O131" s="13">
        <f t="shared" si="1"/>
      </c>
    </row>
    <row r="132" spans="1:15" x14ac:dyDescent="0.25">
      <c r="A132" s="6"/>
      <c r="B132" s="7"/>
      <c r="C132" s="8"/>
      <c r="D132" s="9"/>
      <c r="E132" s="10"/>
      <c r="F132" s="10"/>
      <c r="G132" s="10"/>
      <c r="H132" s="10"/>
      <c r="I132" s="11"/>
      <c r="J132" s="7"/>
      <c r="K132" s="7"/>
      <c r="L132" s="12">
        <f t="shared" si="0"/>
      </c>
      <c r="M132" s="8"/>
      <c r="N132" s="11"/>
      <c r="O132" s="13">
        <f t="shared" si="1"/>
      </c>
    </row>
    <row r="133" spans="1:15" x14ac:dyDescent="0.25">
      <c r="A133" s="6"/>
      <c r="B133" s="7"/>
      <c r="C133" s="8"/>
      <c r="D133" s="9"/>
      <c r="E133" s="10"/>
      <c r="F133" s="10"/>
      <c r="G133" s="10"/>
      <c r="H133" s="10"/>
      <c r="I133" s="11"/>
      <c r="J133" s="7"/>
      <c r="K133" s="7"/>
      <c r="L133" s="12">
        <f t="shared" si="0"/>
      </c>
      <c r="M133" s="8"/>
      <c r="N133" s="11"/>
      <c r="O133" s="13">
        <f t="shared" si="1"/>
      </c>
    </row>
    <row r="134" spans="1:15" x14ac:dyDescent="0.25">
      <c r="A134" s="6"/>
      <c r="B134" s="7"/>
      <c r="C134" s="8"/>
      <c r="D134" s="9"/>
      <c r="E134" s="10"/>
      <c r="F134" s="10"/>
      <c r="G134" s="10"/>
      <c r="H134" s="10"/>
      <c r="I134" s="11"/>
      <c r="J134" s="7"/>
      <c r="K134" s="7"/>
      <c r="L134" s="12">
        <f t="shared" si="0"/>
      </c>
      <c r="M134" s="8"/>
      <c r="N134" s="11"/>
      <c r="O134" s="13">
        <f t="shared" si="1"/>
      </c>
    </row>
    <row r="135" spans="1:15" x14ac:dyDescent="0.25">
      <c r="A135" s="6"/>
      <c r="B135" s="7"/>
      <c r="C135" s="8"/>
      <c r="D135" s="9"/>
      <c r="E135" s="10"/>
      <c r="F135" s="10"/>
      <c r="G135" s="10"/>
      <c r="H135" s="10"/>
      <c r="I135" s="11"/>
      <c r="J135" s="7"/>
      <c r="K135" s="7"/>
      <c r="L135" s="12">
        <f t="shared" si="0"/>
      </c>
      <c r="M135" s="8"/>
      <c r="N135" s="11"/>
      <c r="O135" s="13">
        <f t="shared" si="1"/>
      </c>
    </row>
    <row r="136" spans="1:15" x14ac:dyDescent="0.25">
      <c r="A136" s="6"/>
      <c r="B136" s="7"/>
      <c r="C136" s="8"/>
      <c r="D136" s="9"/>
      <c r="E136" s="10"/>
      <c r="F136" s="10"/>
      <c r="G136" s="10"/>
      <c r="H136" s="10"/>
      <c r="I136" s="11"/>
      <c r="J136" s="7"/>
      <c r="K136" s="7"/>
      <c r="L136" s="12">
        <f t="shared" si="0"/>
      </c>
      <c r="M136" s="8"/>
      <c r="N136" s="11"/>
      <c r="O136" s="13">
        <f t="shared" si="1"/>
      </c>
    </row>
    <row r="137" spans="1:15" x14ac:dyDescent="0.25">
      <c r="A137" s="6"/>
      <c r="B137" s="7"/>
      <c r="C137" s="8"/>
      <c r="D137" s="9"/>
      <c r="E137" s="10"/>
      <c r="F137" s="10"/>
      <c r="G137" s="10"/>
      <c r="H137" s="10"/>
      <c r="I137" s="11"/>
      <c r="J137" s="7"/>
      <c r="K137" s="7"/>
      <c r="L137" s="12">
        <f t="shared" si="0"/>
      </c>
      <c r="M137" s="8"/>
      <c r="N137" s="11"/>
      <c r="O137" s="13">
        <f t="shared" si="1"/>
      </c>
    </row>
    <row r="138" spans="1:15" x14ac:dyDescent="0.25">
      <c r="A138" s="6"/>
      <c r="B138" s="7"/>
      <c r="C138" s="8"/>
      <c r="D138" s="9"/>
      <c r="E138" s="10"/>
      <c r="F138" s="10"/>
      <c r="G138" s="10"/>
      <c r="H138" s="10"/>
      <c r="I138" s="11"/>
      <c r="J138" s="7"/>
      <c r="K138" s="7"/>
      <c r="L138" s="12">
        <f t="shared" si="0"/>
      </c>
      <c r="M138" s="8"/>
      <c r="N138" s="11"/>
      <c r="O138" s="13">
        <f t="shared" si="1"/>
      </c>
    </row>
    <row r="139" spans="1:15" x14ac:dyDescent="0.25">
      <c r="A139" s="6"/>
      <c r="B139" s="7"/>
      <c r="C139" s="8"/>
      <c r="D139" s="9"/>
      <c r="E139" s="10"/>
      <c r="F139" s="10"/>
      <c r="G139" s="10"/>
      <c r="H139" s="10"/>
      <c r="I139" s="11"/>
      <c r="J139" s="7"/>
      <c r="K139" s="7"/>
      <c r="L139" s="12">
        <f t="shared" si="0"/>
      </c>
      <c r="M139" s="8"/>
      <c r="N139" s="11"/>
      <c r="O139" s="13">
        <f t="shared" si="1"/>
      </c>
    </row>
    <row r="140" spans="1:15" x14ac:dyDescent="0.25">
      <c r="A140" s="6"/>
      <c r="B140" s="7"/>
      <c r="C140" s="8"/>
      <c r="D140" s="9"/>
      <c r="E140" s="10"/>
      <c r="F140" s="10"/>
      <c r="G140" s="10"/>
      <c r="H140" s="10"/>
      <c r="I140" s="11"/>
      <c r="J140" s="7"/>
      <c r="K140" s="7"/>
      <c r="L140" s="12">
        <f t="shared" si="0"/>
      </c>
      <c r="M140" s="8"/>
      <c r="N140" s="11"/>
      <c r="O140" s="13">
        <f t="shared" si="1"/>
      </c>
    </row>
    <row r="141" spans="1:15" x14ac:dyDescent="0.25">
      <c r="A141" s="6"/>
      <c r="B141" s="7"/>
      <c r="C141" s="8"/>
      <c r="D141" s="9"/>
      <c r="E141" s="10"/>
      <c r="F141" s="10"/>
      <c r="G141" s="10"/>
      <c r="H141" s="10"/>
      <c r="I141" s="11"/>
      <c r="J141" s="7"/>
      <c r="K141" s="7"/>
      <c r="L141" s="12">
        <f t="shared" si="0"/>
      </c>
      <c r="M141" s="8"/>
      <c r="N141" s="11"/>
      <c r="O141" s="13">
        <f t="shared" si="1"/>
      </c>
    </row>
    <row r="142" spans="1:15" x14ac:dyDescent="0.25">
      <c r="A142" s="6"/>
      <c r="B142" s="7"/>
      <c r="C142" s="8"/>
      <c r="D142" s="9"/>
      <c r="E142" s="10"/>
      <c r="F142" s="10"/>
      <c r="G142" s="10"/>
      <c r="H142" s="10"/>
      <c r="I142" s="11"/>
      <c r="J142" s="7"/>
      <c r="K142" s="7"/>
      <c r="L142" s="12">
        <f t="shared" si="0"/>
      </c>
      <c r="M142" s="8"/>
      <c r="N142" s="11"/>
      <c r="O142" s="13">
        <f t="shared" si="1"/>
      </c>
    </row>
    <row r="143" spans="1:15" x14ac:dyDescent="0.25">
      <c r="A143" s="6"/>
      <c r="B143" s="7"/>
      <c r="C143" s="8"/>
      <c r="D143" s="9"/>
      <c r="E143" s="10"/>
      <c r="F143" s="10"/>
      <c r="G143" s="10"/>
      <c r="H143" s="10"/>
      <c r="I143" s="11"/>
      <c r="J143" s="7"/>
      <c r="K143" s="7"/>
      <c r="L143" s="12">
        <f t="shared" si="0"/>
      </c>
      <c r="M143" s="8"/>
      <c r="N143" s="11"/>
      <c r="O143" s="13">
        <f t="shared" si="1"/>
      </c>
    </row>
    <row r="144" spans="1:15" x14ac:dyDescent="0.25">
      <c r="A144" s="6"/>
      <c r="B144" s="7"/>
      <c r="C144" s="8"/>
      <c r="D144" s="9"/>
      <c r="E144" s="10"/>
      <c r="F144" s="10"/>
      <c r="G144" s="10"/>
      <c r="H144" s="10"/>
      <c r="I144" s="11"/>
      <c r="J144" s="7"/>
      <c r="K144" s="7"/>
      <c r="L144" s="12">
        <f t="shared" si="0"/>
      </c>
      <c r="M144" s="8"/>
      <c r="N144" s="11"/>
      <c r="O144" s="13">
        <f t="shared" si="1"/>
      </c>
    </row>
    <row r="145" spans="1:15" x14ac:dyDescent="0.25">
      <c r="A145" s="6"/>
      <c r="B145" s="7"/>
      <c r="C145" s="8"/>
      <c r="D145" s="9"/>
      <c r="E145" s="10"/>
      <c r="F145" s="10"/>
      <c r="G145" s="10"/>
      <c r="H145" s="10"/>
      <c r="I145" s="11"/>
      <c r="J145" s="7"/>
      <c r="K145" s="7"/>
      <c r="L145" s="12">
        <f t="shared" si="0"/>
      </c>
      <c r="M145" s="8"/>
      <c r="N145" s="11"/>
      <c r="O145" s="13">
        <f t="shared" si="1"/>
      </c>
    </row>
    <row r="146" spans="1:15" x14ac:dyDescent="0.25">
      <c r="A146" s="6"/>
      <c r="B146" s="7"/>
      <c r="C146" s="8"/>
      <c r="D146" s="9"/>
      <c r="E146" s="10"/>
      <c r="F146" s="10"/>
      <c r="G146" s="10"/>
      <c r="H146" s="10"/>
      <c r="I146" s="11"/>
      <c r="J146" s="7"/>
      <c r="K146" s="7"/>
      <c r="L146" s="12">
        <f t="shared" si="0"/>
      </c>
      <c r="M146" s="8"/>
      <c r="N146" s="11"/>
      <c r="O146" s="13">
        <f t="shared" si="1"/>
      </c>
    </row>
    <row r="147" spans="1:15" x14ac:dyDescent="0.25">
      <c r="A147" s="6"/>
      <c r="B147" s="7"/>
      <c r="C147" s="8"/>
      <c r="D147" s="9"/>
      <c r="E147" s="10"/>
      <c r="F147" s="10"/>
      <c r="G147" s="10"/>
      <c r="H147" s="10"/>
      <c r="I147" s="11"/>
      <c r="J147" s="7"/>
      <c r="K147" s="7"/>
      <c r="L147" s="12">
        <f t="shared" si="0"/>
      </c>
      <c r="M147" s="8"/>
      <c r="N147" s="11"/>
      <c r="O147" s="13">
        <f t="shared" si="1"/>
      </c>
    </row>
    <row r="148" spans="1:15" x14ac:dyDescent="0.25">
      <c r="A148" s="6"/>
      <c r="B148" s="7"/>
      <c r="C148" s="8"/>
      <c r="D148" s="9"/>
      <c r="E148" s="10"/>
      <c r="F148" s="10"/>
      <c r="G148" s="10"/>
      <c r="H148" s="10"/>
      <c r="I148" s="11"/>
      <c r="J148" s="7"/>
      <c r="K148" s="7"/>
      <c r="L148" s="12">
        <f t="shared" si="0"/>
      </c>
      <c r="M148" s="8"/>
      <c r="N148" s="11"/>
      <c r="O148" s="13">
        <f t="shared" si="1"/>
      </c>
    </row>
    <row r="149" spans="1:15" x14ac:dyDescent="0.25">
      <c r="A149" s="6"/>
      <c r="B149" s="7"/>
      <c r="C149" s="8"/>
      <c r="D149" s="9"/>
      <c r="E149" s="10"/>
      <c r="F149" s="10"/>
      <c r="G149" s="10"/>
      <c r="H149" s="10"/>
      <c r="I149" s="11"/>
      <c r="J149" s="7"/>
      <c r="K149" s="7"/>
      <c r="L149" s="12">
        <f t="shared" si="0"/>
      </c>
      <c r="M149" s="8"/>
      <c r="N149" s="11"/>
      <c r="O149" s="13">
        <f t="shared" si="1"/>
      </c>
    </row>
    <row r="150" spans="1:15" x14ac:dyDescent="0.25">
      <c r="A150" s="6"/>
      <c r="B150" s="7"/>
      <c r="C150" s="8"/>
      <c r="D150" s="9"/>
      <c r="E150" s="10"/>
      <c r="F150" s="10"/>
      <c r="G150" s="10"/>
      <c r="H150" s="10"/>
      <c r="I150" s="11"/>
      <c r="J150" s="7"/>
      <c r="K150" s="7"/>
      <c r="L150" s="12">
        <f t="shared" si="0"/>
      </c>
      <c r="M150" s="8"/>
      <c r="N150" s="11"/>
      <c r="O150" s="13">
        <f t="shared" si="1"/>
      </c>
    </row>
    <row r="151" spans="1:15" x14ac:dyDescent="0.25">
      <c r="A151" s="6"/>
      <c r="B151" s="7"/>
      <c r="C151" s="8"/>
      <c r="D151" s="9"/>
      <c r="E151" s="10"/>
      <c r="F151" s="10"/>
      <c r="G151" s="10"/>
      <c r="H151" s="10"/>
      <c r="I151" s="11"/>
      <c r="J151" s="7"/>
      <c r="K151" s="7"/>
      <c r="L151" s="12">
        <f t="shared" si="0"/>
      </c>
      <c r="M151" s="8"/>
      <c r="N151" s="11"/>
      <c r="O151" s="13">
        <f t="shared" si="1"/>
      </c>
    </row>
    <row r="152" spans="1:15" x14ac:dyDescent="0.25">
      <c r="A152" s="6"/>
      <c r="B152" s="7"/>
      <c r="C152" s="8"/>
      <c r="D152" s="9"/>
      <c r="E152" s="10"/>
      <c r="F152" s="10"/>
      <c r="G152" s="10"/>
      <c r="H152" s="10"/>
      <c r="I152" s="11"/>
      <c r="J152" s="7"/>
      <c r="K152" s="7"/>
      <c r="L152" s="12">
        <f t="shared" si="0"/>
      </c>
      <c r="M152" s="8"/>
      <c r="N152" s="11"/>
      <c r="O152" s="13">
        <f t="shared" si="1"/>
      </c>
    </row>
    <row r="153" spans="1:15" x14ac:dyDescent="0.25">
      <c r="A153" s="6"/>
      <c r="B153" s="7"/>
      <c r="C153" s="8"/>
      <c r="D153" s="9"/>
      <c r="E153" s="10"/>
      <c r="F153" s="10"/>
      <c r="G153" s="10"/>
      <c r="H153" s="10"/>
      <c r="I153" s="11"/>
      <c r="J153" s="7"/>
      <c r="K153" s="7"/>
      <c r="L153" s="12">
        <f t="shared" si="0"/>
      </c>
      <c r="M153" s="8"/>
      <c r="N153" s="11"/>
      <c r="O153" s="13">
        <f t="shared" si="1"/>
      </c>
    </row>
    <row r="154" spans="1:15" x14ac:dyDescent="0.25">
      <c r="A154" s="6"/>
      <c r="B154" s="7"/>
      <c r="C154" s="8"/>
      <c r="D154" s="9"/>
      <c r="E154" s="10"/>
      <c r="F154" s="10"/>
      <c r="G154" s="10"/>
      <c r="H154" s="10"/>
      <c r="I154" s="11"/>
      <c r="J154" s="7"/>
      <c r="K154" s="7"/>
      <c r="L154" s="12">
        <f t="shared" si="0"/>
      </c>
      <c r="M154" s="8"/>
      <c r="N154" s="11"/>
      <c r="O154" s="13">
        <f t="shared" si="1"/>
      </c>
    </row>
    <row r="155" spans="1:15" x14ac:dyDescent="0.25">
      <c r="A155" s="6"/>
      <c r="B155" s="7"/>
      <c r="C155" s="8"/>
      <c r="D155" s="9"/>
      <c r="E155" s="10"/>
      <c r="F155" s="10"/>
      <c r="G155" s="10"/>
      <c r="H155" s="10"/>
      <c r="I155" s="11"/>
      <c r="J155" s="7"/>
      <c r="K155" s="7"/>
      <c r="L155" s="12">
        <f t="shared" si="0"/>
      </c>
      <c r="M155" s="8"/>
      <c r="N155" s="11"/>
      <c r="O155" s="13">
        <f t="shared" si="1"/>
      </c>
    </row>
    <row r="156" spans="1:15" x14ac:dyDescent="0.25">
      <c r="A156" s="6"/>
      <c r="B156" s="7"/>
      <c r="C156" s="8"/>
      <c r="D156" s="9"/>
      <c r="E156" s="10"/>
      <c r="F156" s="10"/>
      <c r="G156" s="10"/>
      <c r="H156" s="10"/>
      <c r="I156" s="11"/>
      <c r="J156" s="7"/>
      <c r="K156" s="7"/>
      <c r="L156" s="12">
        <f t="shared" si="0"/>
      </c>
      <c r="M156" s="8"/>
      <c r="N156" s="11"/>
      <c r="O156" s="13">
        <f t="shared" si="1"/>
      </c>
    </row>
    <row r="157" spans="1:15" x14ac:dyDescent="0.25">
      <c r="A157" s="6"/>
      <c r="B157" s="7"/>
      <c r="C157" s="8"/>
      <c r="D157" s="9"/>
      <c r="E157" s="10"/>
      <c r="F157" s="10"/>
      <c r="G157" s="10"/>
      <c r="H157" s="10"/>
      <c r="I157" s="11"/>
      <c r="J157" s="7"/>
      <c r="K157" s="7"/>
      <c r="L157" s="12">
        <f t="shared" si="0"/>
      </c>
      <c r="M157" s="8"/>
      <c r="N157" s="11"/>
      <c r="O157" s="13">
        <f t="shared" si="1"/>
      </c>
    </row>
    <row r="158" spans="1:15" x14ac:dyDescent="0.25">
      <c r="A158" s="6"/>
      <c r="B158" s="7"/>
      <c r="C158" s="8"/>
      <c r="D158" s="9"/>
      <c r="E158" s="10"/>
      <c r="F158" s="10"/>
      <c r="G158" s="10"/>
      <c r="H158" s="10"/>
      <c r="I158" s="11"/>
      <c r="J158" s="7"/>
      <c r="K158" s="7"/>
      <c r="L158" s="12">
        <f t="shared" si="0"/>
      </c>
      <c r="M158" s="8"/>
      <c r="N158" s="11"/>
      <c r="O158" s="13">
        <f t="shared" si="1"/>
      </c>
    </row>
    <row r="159" spans="1:15" x14ac:dyDescent="0.25">
      <c r="A159" s="6"/>
      <c r="B159" s="7"/>
      <c r="C159" s="8"/>
      <c r="D159" s="9"/>
      <c r="E159" s="10"/>
      <c r="F159" s="10"/>
      <c r="G159" s="10"/>
      <c r="H159" s="10"/>
      <c r="I159" s="11"/>
      <c r="J159" s="7"/>
      <c r="K159" s="7"/>
      <c r="L159" s="12">
        <f t="shared" si="0"/>
      </c>
      <c r="M159" s="8"/>
      <c r="N159" s="11"/>
      <c r="O159" s="13">
        <f t="shared" si="1"/>
      </c>
    </row>
    <row r="160" spans="1:15" x14ac:dyDescent="0.25">
      <c r="A160" s="6"/>
      <c r="B160" s="7"/>
      <c r="C160" s="8"/>
      <c r="D160" s="9"/>
      <c r="E160" s="10"/>
      <c r="F160" s="10"/>
      <c r="G160" s="10"/>
      <c r="H160" s="10"/>
      <c r="I160" s="11"/>
      <c r="J160" s="7"/>
      <c r="K160" s="7"/>
      <c r="L160" s="12">
        <f t="shared" si="0"/>
      </c>
      <c r="M160" s="8"/>
      <c r="N160" s="11"/>
      <c r="O160" s="13">
        <f t="shared" si="1"/>
      </c>
    </row>
    <row r="161" spans="1:15" x14ac:dyDescent="0.25">
      <c r="A161" s="6"/>
      <c r="B161" s="7"/>
      <c r="C161" s="8"/>
      <c r="D161" s="9"/>
      <c r="E161" s="10"/>
      <c r="F161" s="10"/>
      <c r="G161" s="10"/>
      <c r="H161" s="10"/>
      <c r="I161" s="11"/>
      <c r="J161" s="7"/>
      <c r="K161" s="7"/>
      <c r="L161" s="12">
        <f t="shared" si="0"/>
      </c>
      <c r="M161" s="8"/>
      <c r="N161" s="11"/>
      <c r="O161" s="13">
        <f t="shared" si="1"/>
      </c>
    </row>
    <row r="162" spans="1:15" x14ac:dyDescent="0.25">
      <c r="A162" s="6"/>
      <c r="B162" s="7"/>
      <c r="C162" s="8"/>
      <c r="D162" s="9"/>
      <c r="E162" s="10"/>
      <c r="F162" s="10"/>
      <c r="G162" s="10"/>
      <c r="H162" s="10"/>
      <c r="I162" s="11"/>
      <c r="J162" s="7"/>
      <c r="K162" s="7"/>
      <c r="L162" s="12">
        <f t="shared" si="0"/>
      </c>
      <c r="M162" s="8"/>
      <c r="N162" s="11"/>
      <c r="O162" s="13">
        <f t="shared" si="1"/>
      </c>
    </row>
    <row r="163" spans="1:15" x14ac:dyDescent="0.25">
      <c r="A163" s="6"/>
      <c r="B163" s="7"/>
      <c r="C163" s="8"/>
      <c r="D163" s="9"/>
      <c r="E163" s="10"/>
      <c r="F163" s="10"/>
      <c r="G163" s="10"/>
      <c r="H163" s="10"/>
      <c r="I163" s="11"/>
      <c r="J163" s="7"/>
      <c r="K163" s="7"/>
      <c r="L163" s="12">
        <f t="shared" si="0"/>
      </c>
      <c r="M163" s="8"/>
      <c r="N163" s="11"/>
      <c r="O163" s="13">
        <f t="shared" si="1"/>
      </c>
    </row>
    <row r="164" spans="1:15" x14ac:dyDescent="0.25">
      <c r="A164" s="6"/>
      <c r="B164" s="7"/>
      <c r="C164" s="8"/>
      <c r="D164" s="9"/>
      <c r="E164" s="10"/>
      <c r="F164" s="10"/>
      <c r="G164" s="10"/>
      <c r="H164" s="10"/>
      <c r="I164" s="11"/>
      <c r="J164" s="7"/>
      <c r="K164" s="7"/>
      <c r="L164" s="12">
        <f t="shared" si="0"/>
      </c>
      <c r="M164" s="8"/>
      <c r="N164" s="11"/>
      <c r="O164" s="13">
        <f t="shared" si="1"/>
      </c>
    </row>
    <row r="165" spans="1:15" x14ac:dyDescent="0.25">
      <c r="A165" s="6"/>
      <c r="B165" s="7"/>
      <c r="C165" s="8"/>
      <c r="D165" s="9"/>
      <c r="E165" s="10"/>
      <c r="F165" s="10"/>
      <c r="G165" s="10"/>
      <c r="H165" s="10"/>
      <c r="I165" s="11"/>
      <c r="J165" s="7"/>
      <c r="K165" s="7"/>
      <c r="L165" s="12">
        <f t="shared" si="0"/>
      </c>
      <c r="M165" s="8"/>
      <c r="N165" s="11"/>
      <c r="O165" s="13">
        <f t="shared" si="1"/>
      </c>
    </row>
    <row r="166" spans="1:15" x14ac:dyDescent="0.25">
      <c r="A166" s="6"/>
      <c r="B166" s="7"/>
      <c r="C166" s="8"/>
      <c r="D166" s="9"/>
      <c r="E166" s="10"/>
      <c r="F166" s="10"/>
      <c r="G166" s="10"/>
      <c r="H166" s="10"/>
      <c r="I166" s="11"/>
      <c r="J166" s="7"/>
      <c r="K166" s="7"/>
      <c r="L166" s="12">
        <f t="shared" si="0"/>
      </c>
      <c r="M166" s="8"/>
      <c r="N166" s="11"/>
      <c r="O166" s="13">
        <f t="shared" si="1"/>
      </c>
    </row>
    <row r="167" spans="1:15" x14ac:dyDescent="0.25">
      <c r="A167" s="6"/>
      <c r="B167" s="7"/>
      <c r="C167" s="8"/>
      <c r="D167" s="9"/>
      <c r="E167" s="10"/>
      <c r="F167" s="10"/>
      <c r="G167" s="10"/>
      <c r="H167" s="10"/>
      <c r="I167" s="11"/>
      <c r="J167" s="7"/>
      <c r="K167" s="7"/>
      <c r="L167" s="12">
        <f t="shared" si="0"/>
      </c>
      <c r="M167" s="8"/>
      <c r="N167" s="11"/>
      <c r="O167" s="13">
        <f t="shared" si="1"/>
      </c>
    </row>
    <row r="168" spans="1:15" x14ac:dyDescent="0.25">
      <c r="A168" s="6"/>
      <c r="B168" s="7"/>
      <c r="C168" s="8"/>
      <c r="D168" s="9"/>
      <c r="E168" s="10"/>
      <c r="F168" s="10"/>
      <c r="G168" s="10"/>
      <c r="H168" s="10"/>
      <c r="I168" s="11"/>
      <c r="J168" s="7"/>
      <c r="K168" s="7"/>
      <c r="L168" s="12">
        <f t="shared" si="0"/>
      </c>
      <c r="M168" s="8"/>
      <c r="N168" s="11"/>
      <c r="O168" s="13">
        <f t="shared" si="1"/>
      </c>
    </row>
    <row r="169" spans="1:15" x14ac:dyDescent="0.25">
      <c r="A169" s="6"/>
      <c r="B169" s="7"/>
      <c r="C169" s="8"/>
      <c r="D169" s="9"/>
      <c r="E169" s="10"/>
      <c r="F169" s="10"/>
      <c r="G169" s="10"/>
      <c r="H169" s="10"/>
      <c r="I169" s="11"/>
      <c r="J169" s="7"/>
      <c r="K169" s="7"/>
      <c r="L169" s="12">
        <f t="shared" si="0"/>
      </c>
      <c r="M169" s="8"/>
      <c r="N169" s="11"/>
      <c r="O169" s="13">
        <f t="shared" si="1"/>
      </c>
    </row>
    <row r="170" spans="1:15" x14ac:dyDescent="0.25">
      <c r="A170" s="6"/>
      <c r="B170" s="7"/>
      <c r="C170" s="8"/>
      <c r="D170" s="9"/>
      <c r="E170" s="10"/>
      <c r="F170" s="10"/>
      <c r="G170" s="10"/>
      <c r="H170" s="10"/>
      <c r="I170" s="11"/>
      <c r="J170" s="7"/>
      <c r="K170" s="7"/>
      <c r="L170" s="12">
        <f t="shared" si="0"/>
      </c>
      <c r="M170" s="8"/>
      <c r="N170" s="11"/>
      <c r="O170" s="13">
        <f t="shared" si="1"/>
      </c>
    </row>
    <row r="171" spans="1:15" x14ac:dyDescent="0.25">
      <c r="A171" s="6"/>
      <c r="B171" s="7"/>
      <c r="C171" s="8"/>
      <c r="D171" s="9"/>
      <c r="E171" s="10"/>
      <c r="F171" s="10"/>
      <c r="G171" s="10"/>
      <c r="H171" s="10"/>
      <c r="I171" s="11"/>
      <c r="J171" s="7"/>
      <c r="K171" s="7"/>
      <c r="L171" s="12">
        <f t="shared" si="0"/>
      </c>
      <c r="M171" s="8"/>
      <c r="N171" s="11"/>
      <c r="O171" s="13">
        <f t="shared" si="1"/>
      </c>
    </row>
    <row r="172" spans="1:15" x14ac:dyDescent="0.25">
      <c r="A172" s="6"/>
      <c r="B172" s="7"/>
      <c r="C172" s="8"/>
      <c r="D172" s="9"/>
      <c r="E172" s="10"/>
      <c r="F172" s="10"/>
      <c r="G172" s="10"/>
      <c r="H172" s="10"/>
      <c r="I172" s="11"/>
      <c r="J172" s="7"/>
      <c r="K172" s="7"/>
      <c r="L172" s="12">
        <f t="shared" si="0"/>
      </c>
      <c r="M172" s="8"/>
      <c r="N172" s="11"/>
      <c r="O172" s="13">
        <f t="shared" si="1"/>
      </c>
    </row>
    <row r="173" spans="1:15" x14ac:dyDescent="0.25">
      <c r="A173" s="6"/>
      <c r="B173" s="7"/>
      <c r="C173" s="8"/>
      <c r="D173" s="9"/>
      <c r="E173" s="10"/>
      <c r="F173" s="10"/>
      <c r="G173" s="10"/>
      <c r="H173" s="10"/>
      <c r="I173" s="11"/>
      <c r="J173" s="7"/>
      <c r="K173" s="7"/>
      <c r="L173" s="12">
        <f t="shared" si="0"/>
      </c>
      <c r="M173" s="8"/>
      <c r="N173" s="11"/>
      <c r="O173" s="13">
        <f t="shared" si="1"/>
      </c>
    </row>
    <row r="174" spans="1:15" x14ac:dyDescent="0.25">
      <c r="A174" s="6"/>
      <c r="B174" s="7"/>
      <c r="C174" s="8"/>
      <c r="D174" s="9"/>
      <c r="E174" s="10"/>
      <c r="F174" s="10"/>
      <c r="G174" s="10"/>
      <c r="H174" s="10"/>
      <c r="I174" s="11"/>
      <c r="J174" s="7"/>
      <c r="K174" s="7"/>
      <c r="L174" s="12">
        <f t="shared" si="0"/>
      </c>
      <c r="M174" s="8"/>
      <c r="N174" s="11"/>
      <c r="O174" s="13">
        <f t="shared" si="1"/>
      </c>
    </row>
    <row r="175" spans="1:15" x14ac:dyDescent="0.25">
      <c r="A175" s="6"/>
      <c r="B175" s="7"/>
      <c r="C175" s="8"/>
      <c r="D175" s="9"/>
      <c r="E175" s="10"/>
      <c r="F175" s="10"/>
      <c r="G175" s="10"/>
      <c r="H175" s="10"/>
      <c r="I175" s="11"/>
      <c r="J175" s="7"/>
      <c r="K175" s="7"/>
      <c r="L175" s="12">
        <f t="shared" si="0"/>
      </c>
      <c r="M175" s="8"/>
      <c r="N175" s="11"/>
      <c r="O175" s="13">
        <f t="shared" si="1"/>
      </c>
    </row>
    <row r="176" spans="1:15" x14ac:dyDescent="0.25">
      <c r="A176" s="6"/>
      <c r="B176" s="7"/>
      <c r="C176" s="8"/>
      <c r="D176" s="9"/>
      <c r="E176" s="10"/>
      <c r="F176" s="10"/>
      <c r="G176" s="10"/>
      <c r="H176" s="10"/>
      <c r="I176" s="11"/>
      <c r="J176" s="7"/>
      <c r="K176" s="7"/>
      <c r="L176" s="12">
        <f t="shared" si="0"/>
      </c>
      <c r="M176" s="8"/>
      <c r="N176" s="11"/>
      <c r="O176" s="13">
        <f t="shared" si="1"/>
      </c>
    </row>
    <row r="177" spans="1:15" x14ac:dyDescent="0.25">
      <c r="A177" s="6"/>
      <c r="B177" s="7"/>
      <c r="C177" s="8"/>
      <c r="D177" s="9"/>
      <c r="E177" s="10"/>
      <c r="F177" s="10"/>
      <c r="G177" s="10"/>
      <c r="H177" s="10"/>
      <c r="I177" s="11"/>
      <c r="J177" s="7"/>
      <c r="K177" s="7"/>
      <c r="L177" s="12">
        <f t="shared" si="0"/>
      </c>
      <c r="M177" s="8"/>
      <c r="N177" s="11"/>
      <c r="O177" s="13">
        <f t="shared" si="1"/>
      </c>
    </row>
    <row r="178" spans="1:15" x14ac:dyDescent="0.25">
      <c r="A178" s="6"/>
      <c r="B178" s="7"/>
      <c r="C178" s="8"/>
      <c r="D178" s="9"/>
      <c r="E178" s="10"/>
      <c r="F178" s="10"/>
      <c r="G178" s="10"/>
      <c r="H178" s="10"/>
      <c r="I178" s="11"/>
      <c r="J178" s="7"/>
      <c r="K178" s="7"/>
      <c r="L178" s="12">
        <f t="shared" si="0"/>
      </c>
      <c r="M178" s="8"/>
      <c r="N178" s="11"/>
      <c r="O178" s="13">
        <f t="shared" si="1"/>
      </c>
    </row>
    <row r="179" spans="1:15" x14ac:dyDescent="0.25">
      <c r="A179" s="6"/>
      <c r="B179" s="7"/>
      <c r="C179" s="8"/>
      <c r="D179" s="9"/>
      <c r="E179" s="10"/>
      <c r="F179" s="10"/>
      <c r="G179" s="10"/>
      <c r="H179" s="10"/>
      <c r="I179" s="11"/>
      <c r="J179" s="7"/>
      <c r="K179" s="7"/>
      <c r="L179" s="12">
        <f t="shared" si="0"/>
      </c>
      <c r="M179" s="8"/>
      <c r="N179" s="11"/>
      <c r="O179" s="13">
        <f t="shared" si="1"/>
      </c>
    </row>
    <row r="180" spans="1:15" x14ac:dyDescent="0.25">
      <c r="A180" s="6"/>
      <c r="B180" s="7"/>
      <c r="C180" s="8"/>
      <c r="D180" s="9"/>
      <c r="E180" s="10"/>
      <c r="F180" s="10"/>
      <c r="G180" s="10"/>
      <c r="H180" s="10"/>
      <c r="I180" s="11"/>
      <c r="J180" s="7"/>
      <c r="K180" s="7"/>
      <c r="L180" s="12">
        <f t="shared" si="0"/>
      </c>
      <c r="M180" s="8"/>
      <c r="N180" s="11"/>
      <c r="O180" s="13">
        <f t="shared" si="1"/>
      </c>
    </row>
    <row r="181" spans="1:15" x14ac:dyDescent="0.25">
      <c r="A181" s="6"/>
      <c r="B181" s="7"/>
      <c r="C181" s="8"/>
      <c r="D181" s="9"/>
      <c r="E181" s="10"/>
      <c r="F181" s="10"/>
      <c r="G181" s="10"/>
      <c r="H181" s="10"/>
      <c r="I181" s="11"/>
      <c r="J181" s="7"/>
      <c r="K181" s="7"/>
      <c r="L181" s="12">
        <f t="shared" si="0"/>
      </c>
      <c r="M181" s="8"/>
      <c r="N181" s="11"/>
      <c r="O181" s="13">
        <f t="shared" si="1"/>
      </c>
    </row>
    <row r="182" spans="1:15" x14ac:dyDescent="0.25">
      <c r="A182" s="6"/>
      <c r="B182" s="7"/>
      <c r="C182" s="8"/>
      <c r="D182" s="9"/>
      <c r="E182" s="10"/>
      <c r="F182" s="10"/>
      <c r="G182" s="10"/>
      <c r="H182" s="10"/>
      <c r="I182" s="11"/>
      <c r="J182" s="7"/>
      <c r="K182" s="7"/>
      <c r="L182" s="12">
        <f t="shared" si="0"/>
      </c>
      <c r="M182" s="8"/>
      <c r="N182" s="11"/>
      <c r="O182" s="13">
        <f t="shared" si="1"/>
      </c>
    </row>
    <row r="183" spans="1:15" x14ac:dyDescent="0.25">
      <c r="A183" s="6"/>
      <c r="B183" s="7"/>
      <c r="C183" s="8"/>
      <c r="D183" s="9"/>
      <c r="E183" s="10"/>
      <c r="F183" s="10"/>
      <c r="G183" s="10"/>
      <c r="H183" s="10"/>
      <c r="I183" s="11"/>
      <c r="J183" s="7"/>
      <c r="K183" s="7"/>
      <c r="L183" s="12">
        <f t="shared" si="0"/>
      </c>
      <c r="M183" s="8"/>
      <c r="N183" s="11"/>
      <c r="O183" s="13">
        <f t="shared" si="1"/>
      </c>
    </row>
    <row r="184" spans="1:15" x14ac:dyDescent="0.25">
      <c r="A184" s="6"/>
      <c r="B184" s="7"/>
      <c r="C184" s="8"/>
      <c r="D184" s="9"/>
      <c r="E184" s="10"/>
      <c r="F184" s="10"/>
      <c r="G184" s="10"/>
      <c r="H184" s="10"/>
      <c r="I184" s="11"/>
      <c r="J184" s="7"/>
      <c r="K184" s="7"/>
      <c r="L184" s="12">
        <f t="shared" si="0"/>
      </c>
      <c r="M184" s="8"/>
      <c r="N184" s="11"/>
      <c r="O184" s="13">
        <f t="shared" si="1"/>
      </c>
    </row>
    <row r="185" spans="1:15" x14ac:dyDescent="0.25">
      <c r="A185" s="6"/>
      <c r="B185" s="7"/>
      <c r="C185" s="8"/>
      <c r="D185" s="9"/>
      <c r="E185" s="10"/>
      <c r="F185" s="10"/>
      <c r="G185" s="10"/>
      <c r="H185" s="10"/>
      <c r="I185" s="11"/>
      <c r="J185" s="7"/>
      <c r="K185" s="7"/>
      <c r="L185" s="12">
        <f t="shared" si="0"/>
      </c>
      <c r="M185" s="8"/>
      <c r="N185" s="11"/>
      <c r="O185" s="13">
        <f t="shared" si="1"/>
      </c>
    </row>
    <row r="186" spans="1:15" x14ac:dyDescent="0.25">
      <c r="A186" s="6"/>
      <c r="B186" s="7"/>
      <c r="C186" s="8"/>
      <c r="D186" s="9"/>
      <c r="E186" s="10"/>
      <c r="F186" s="10"/>
      <c r="G186" s="10"/>
      <c r="H186" s="10"/>
      <c r="I186" s="11"/>
      <c r="J186" s="7"/>
      <c r="K186" s="7"/>
      <c r="L186" s="12">
        <f t="shared" si="0"/>
      </c>
      <c r="M186" s="8"/>
      <c r="N186" s="11"/>
      <c r="O186" s="13">
        <f t="shared" si="1"/>
      </c>
    </row>
    <row r="187" spans="1:15" x14ac:dyDescent="0.25">
      <c r="A187" s="6"/>
      <c r="B187" s="7"/>
      <c r="C187" s="8"/>
      <c r="D187" s="9"/>
      <c r="E187" s="10"/>
      <c r="F187" s="10"/>
      <c r="G187" s="10"/>
      <c r="H187" s="10"/>
      <c r="I187" s="11"/>
      <c r="J187" s="7"/>
      <c r="K187" s="7"/>
      <c r="L187" s="12">
        <f t="shared" si="0"/>
      </c>
      <c r="M187" s="8"/>
      <c r="N187" s="11"/>
      <c r="O187" s="13">
        <f t="shared" si="1"/>
      </c>
    </row>
    <row r="188" spans="1:15" x14ac:dyDescent="0.25">
      <c r="A188" s="6"/>
      <c r="B188" s="7"/>
      <c r="C188" s="8"/>
      <c r="D188" s="9"/>
      <c r="E188" s="10"/>
      <c r="F188" s="10"/>
      <c r="G188" s="10"/>
      <c r="H188" s="10"/>
      <c r="I188" s="11"/>
      <c r="J188" s="7"/>
      <c r="K188" s="7"/>
      <c r="L188" s="12">
        <f t="shared" si="0"/>
      </c>
      <c r="M188" s="8"/>
      <c r="N188" s="11"/>
      <c r="O188" s="13">
        <f t="shared" si="1"/>
      </c>
    </row>
    <row r="189" spans="1:15" x14ac:dyDescent="0.25">
      <c r="A189" s="6"/>
      <c r="B189" s="7"/>
      <c r="C189" s="8"/>
      <c r="D189" s="9"/>
      <c r="E189" s="10"/>
      <c r="F189" s="10"/>
      <c r="G189" s="10"/>
      <c r="H189" s="10"/>
      <c r="I189" s="11"/>
      <c r="J189" s="7"/>
      <c r="K189" s="7"/>
      <c r="L189" s="12">
        <f t="shared" si="0"/>
      </c>
      <c r="M189" s="8"/>
      <c r="N189" s="11"/>
      <c r="O189" s="13">
        <f t="shared" si="1"/>
      </c>
    </row>
    <row r="190" spans="1:15" x14ac:dyDescent="0.25">
      <c r="A190" s="6"/>
      <c r="B190" s="7"/>
      <c r="C190" s="8"/>
      <c r="D190" s="9"/>
      <c r="E190" s="10"/>
      <c r="F190" s="10"/>
      <c r="G190" s="10"/>
      <c r="H190" s="10"/>
      <c r="I190" s="11"/>
      <c r="J190" s="7"/>
      <c r="K190" s="7"/>
      <c r="L190" s="12">
        <f t="shared" si="0"/>
      </c>
      <c r="M190" s="8"/>
      <c r="N190" s="11"/>
      <c r="O190" s="13">
        <f t="shared" si="1"/>
      </c>
    </row>
    <row r="191" spans="1:15" x14ac:dyDescent="0.25">
      <c r="A191" s="6"/>
      <c r="B191" s="7"/>
      <c r="C191" s="8"/>
      <c r="D191" s="9"/>
      <c r="E191" s="10"/>
      <c r="F191" s="10"/>
      <c r="G191" s="10"/>
      <c r="H191" s="10"/>
      <c r="I191" s="11"/>
      <c r="J191" s="7"/>
      <c r="K191" s="7"/>
      <c r="L191" s="12">
        <f t="shared" si="0"/>
      </c>
      <c r="M191" s="8"/>
      <c r="N191" s="11"/>
      <c r="O191" s="13">
        <f t="shared" si="1"/>
      </c>
    </row>
    <row r="192" spans="1:15" x14ac:dyDescent="0.25">
      <c r="A192" s="6"/>
      <c r="B192" s="7"/>
      <c r="C192" s="8"/>
      <c r="D192" s="9"/>
      <c r="E192" s="10"/>
      <c r="F192" s="10"/>
      <c r="G192" s="10"/>
      <c r="H192" s="10"/>
      <c r="I192" s="11"/>
      <c r="J192" s="7"/>
      <c r="K192" s="7"/>
      <c r="L192" s="12">
        <f t="shared" si="0"/>
      </c>
      <c r="M192" s="8"/>
      <c r="N192" s="11"/>
      <c r="O192" s="13">
        <f t="shared" si="1"/>
      </c>
    </row>
    <row r="193" spans="1:15" x14ac:dyDescent="0.25">
      <c r="A193" s="6"/>
      <c r="B193" s="7"/>
      <c r="C193" s="8"/>
      <c r="D193" s="9"/>
      <c r="E193" s="10"/>
      <c r="F193" s="10"/>
      <c r="G193" s="10"/>
      <c r="H193" s="10"/>
      <c r="I193" s="11"/>
      <c r="J193" s="7"/>
      <c r="K193" s="7"/>
      <c r="L193" s="12">
        <f t="shared" si="0"/>
      </c>
      <c r="M193" s="8"/>
      <c r="N193" s="11"/>
      <c r="O193" s="13">
        <f t="shared" si="1"/>
      </c>
    </row>
    <row r="194" spans="1:15" x14ac:dyDescent="0.25">
      <c r="A194" s="6"/>
      <c r="B194" s="7"/>
      <c r="C194" s="8"/>
      <c r="D194" s="9"/>
      <c r="E194" s="10"/>
      <c r="F194" s="10"/>
      <c r="G194" s="10"/>
      <c r="H194" s="10"/>
      <c r="I194" s="11"/>
      <c r="J194" s="7"/>
      <c r="K194" s="7"/>
      <c r="L194" s="12">
        <f t="shared" si="0"/>
      </c>
      <c r="M194" s="8"/>
      <c r="N194" s="11"/>
      <c r="O194" s="13">
        <f t="shared" si="1"/>
      </c>
    </row>
    <row r="195" spans="1:15" x14ac:dyDescent="0.25">
      <c r="A195" s="6"/>
      <c r="B195" s="7"/>
      <c r="C195" s="8"/>
      <c r="D195" s="9"/>
      <c r="E195" s="10"/>
      <c r="F195" s="10"/>
      <c r="G195" s="10"/>
      <c r="H195" s="10"/>
      <c r="I195" s="11"/>
      <c r="J195" s="7"/>
      <c r="K195" s="7"/>
      <c r="L195" s="12">
        <f t="shared" si="0"/>
      </c>
      <c r="M195" s="8"/>
      <c r="N195" s="11"/>
      <c r="O195" s="13">
        <f t="shared" si="1"/>
      </c>
    </row>
    <row r="196" spans="1:15" x14ac:dyDescent="0.25">
      <c r="A196" s="6"/>
      <c r="B196" s="7"/>
      <c r="C196" s="8"/>
      <c r="D196" s="9"/>
      <c r="E196" s="10"/>
      <c r="F196" s="10"/>
      <c r="G196" s="10"/>
      <c r="H196" s="10"/>
      <c r="I196" s="11"/>
      <c r="J196" s="7"/>
      <c r="K196" s="7"/>
      <c r="L196" s="12">
        <f t="shared" si="0"/>
      </c>
      <c r="M196" s="8"/>
      <c r="N196" s="11"/>
      <c r="O196" s="13">
        <f t="shared" si="1"/>
      </c>
    </row>
    <row r="197" spans="1:15" x14ac:dyDescent="0.25">
      <c r="A197" s="6"/>
      <c r="B197" s="7"/>
      <c r="C197" s="8"/>
      <c r="D197" s="9"/>
      <c r="E197" s="10"/>
      <c r="F197" s="10"/>
      <c r="G197" s="10"/>
      <c r="H197" s="10"/>
      <c r="I197" s="11"/>
      <c r="J197" s="7"/>
      <c r="K197" s="7"/>
      <c r="L197" s="12">
        <f t="shared" si="0"/>
      </c>
      <c r="M197" s="8"/>
      <c r="N197" s="11"/>
      <c r="O197" s="13">
        <f t="shared" si="1"/>
      </c>
    </row>
    <row r="198" spans="1:15" x14ac:dyDescent="0.25">
      <c r="A198" s="6"/>
      <c r="B198" s="7"/>
      <c r="C198" s="8"/>
      <c r="D198" s="9"/>
      <c r="E198" s="10"/>
      <c r="F198" s="10"/>
      <c r="G198" s="10"/>
      <c r="H198" s="10"/>
      <c r="I198" s="11"/>
      <c r="J198" s="7"/>
      <c r="K198" s="7"/>
      <c r="L198" s="12">
        <f t="shared" si="0"/>
      </c>
      <c r="M198" s="8"/>
      <c r="N198" s="11"/>
      <c r="O198" s="13">
        <f t="shared" si="1"/>
      </c>
    </row>
    <row r="199" spans="1:15" x14ac:dyDescent="0.25">
      <c r="A199" s="6"/>
      <c r="B199" s="7"/>
      <c r="C199" s="8"/>
      <c r="D199" s="9"/>
      <c r="E199" s="10"/>
      <c r="F199" s="10"/>
      <c r="G199" s="10"/>
      <c r="H199" s="10"/>
      <c r="I199" s="11"/>
      <c r="J199" s="7"/>
      <c r="K199" s="7"/>
      <c r="L199" s="12">
        <f t="shared" si="0"/>
      </c>
      <c r="M199" s="8"/>
      <c r="N199" s="11"/>
      <c r="O199" s="13">
        <f t="shared" si="1"/>
      </c>
    </row>
    <row r="200" spans="1:15" x14ac:dyDescent="0.25">
      <c r="A200" s="6"/>
      <c r="B200" s="7"/>
      <c r="C200" s="8"/>
      <c r="D200" s="9"/>
      <c r="E200" s="10"/>
      <c r="F200" s="10"/>
      <c r="G200" s="10"/>
      <c r="H200" s="10"/>
      <c r="I200" s="11"/>
      <c r="J200" s="7"/>
      <c r="K200" s="7"/>
      <c r="L200" s="12">
        <f t="shared" si="0"/>
      </c>
      <c r="M200" s="8"/>
      <c r="N200" s="11"/>
      <c r="O200" s="13">
        <f t="shared" si="1"/>
      </c>
    </row>
    <row r="201" spans="1:15" x14ac:dyDescent="0.25">
      <c r="A201" s="6"/>
      <c r="B201" s="7"/>
      <c r="C201" s="8"/>
      <c r="D201" s="9"/>
      <c r="E201" s="10"/>
      <c r="F201" s="10"/>
      <c r="G201" s="10"/>
      <c r="H201" s="10"/>
      <c r="I201" s="11"/>
      <c r="J201" s="7"/>
      <c r="K201" s="7"/>
      <c r="L201" s="12">
        <f t="shared" si="0"/>
      </c>
      <c r="M201" s="8"/>
      <c r="N201" s="11"/>
      <c r="O201" s="13">
        <f t="shared" si="1"/>
      </c>
    </row>
    <row r="202" spans="1:15" x14ac:dyDescent="0.25">
      <c r="A202" s="6"/>
      <c r="B202" s="7"/>
      <c r="C202" s="8"/>
      <c r="D202" s="9"/>
      <c r="E202" s="10"/>
      <c r="F202" s="10"/>
      <c r="G202" s="10"/>
      <c r="H202" s="10"/>
      <c r="I202" s="11"/>
      <c r="J202" s="7"/>
      <c r="K202" s="7"/>
      <c r="L202" s="12">
        <f t="shared" si="0"/>
      </c>
      <c r="M202" s="8"/>
      <c r="N202" s="11"/>
      <c r="O202" s="13">
        <f t="shared" si="1"/>
      </c>
    </row>
    <row r="203" spans="1:15" x14ac:dyDescent="0.25">
      <c r="A203" s="6"/>
      <c r="B203" s="7"/>
      <c r="C203" s="8"/>
      <c r="D203" s="9"/>
      <c r="E203" s="10"/>
      <c r="F203" s="10"/>
      <c r="G203" s="10"/>
      <c r="H203" s="10"/>
      <c r="I203" s="11"/>
      <c r="J203" s="7"/>
      <c r="K203" s="7"/>
      <c r="L203" s="12">
        <f t="shared" si="0"/>
      </c>
      <c r="M203" s="8"/>
      <c r="N203" s="11"/>
      <c r="O203" s="13">
        <f t="shared" si="1"/>
      </c>
    </row>
  </sheetData>
  <sheetProtection sheet="1" formatColumns="0" formatRows="0" autoFilter="0"/>
  <autoFilter ref="A3:O203"/>
  <mergeCells count="2">
    <mergeCell ref="A1:B2"/>
    <mergeCell ref="C1:N2"/>
  </mergeCells>
  <conditionalFormatting sqref="L4:L203">
    <cfRule type="expression" dxfId="0" priority="10">
      <formula>L4="Concluída"</formula>
    </cfRule>
    <cfRule type="expression" dxfId="1" priority="11">
      <formula>L4="Atrasada"</formula>
    </cfRule>
    <cfRule type="expression" dxfId="2" priority="12">
      <formula>L4="Em andamento"</formula>
    </cfRule>
  </conditionalFormatting>
  <conditionalFormatting sqref="M4:M203">
    <cfRule type="expression" dxfId="3" priority="10">
      <formula>M4="Eficaz"</formula>
    </cfRule>
    <cfRule type="expression" dxfId="4" priority="11">
      <formula>M4="Não eficaz"</formula>
    </cfRule>
    <cfRule type="expression" dxfId="5" priority="12">
      <formula>M4="Pendente"</formula>
    </cfRule>
  </conditionalFormatting>
  <conditionalFormatting sqref="O4:O203">
    <cfRule type="expression" dxfId="6" priority="1">
      <formula>OR(LEFT(O4,4)="ERRO",LEFT(O4,7)="ATENÇÃO")</formula>
    </cfRule>
    <cfRule type="expression" dxfId="7" priority="2">
      <formula>OR(LEFT(O4,8)="Pendente",LEFT(O4,9)="Verificar",LEFT(O4,9)="Duplicada",LEFT(O4,7)="Tarefa ",LEFT(O4,13)="Fora do plano",LEFT(O4,8)="Previsão",LEFT(O4,11)="Sem vínculo",LEFT(O4,14)="Não verificado",LEFT(O4,7)="Informe",LEFT(O4,9)="A definir")</formula>
    </cfRule>
    <cfRule type="expression" dxfId="8" priority="3">
      <formula>OR(O4="OK",LEFT(O4,4)="Nada",LEFT(O4,3)="OK:")</formula>
    </cfRule>
  </conditionalFormatting>
  <dataValidations count="5">
    <dataValidation type="date" allowBlank="1" showErrorMessage="1" errorStyle="stop" errorTitle="Data inválida" error="Digite uma data válida no formato dd/mm/aaaa." sqref="B4:B203">
      <formula1>32874</formula1>
      <formula2>73050</formula2>
    </dataValidation>
    <dataValidation type="list" allowBlank="1" showErrorMessage="1" errorStyle="stop" errorTitle="Valor fora da lista" error="Escolha um item da lista suspensa (aba Listas)." sqref="C4:C203">
      <formula1>OFFSET(lst_origem_acao,0,0,MAX(1,COUNTA(lst_origem_acao)),1)</formula1>
    </dataValidation>
    <dataValidation type="date" allowBlank="1" showErrorMessage="1" errorStyle="stop" errorTitle="Data inválida" error="Digite uma data válida no formato dd/mm/aaaa." sqref="J4:J203">
      <formula1>32874</formula1>
      <formula2>73050</formula2>
    </dataValidation>
    <dataValidation type="date" allowBlank="1" showErrorMessage="1" errorStyle="stop" errorTitle="Data inválida" error="Digite uma data válida no formato dd/mm/aaaa." sqref="K4:K203">
      <formula1>32874</formula1>
      <formula2>73050</formula2>
    </dataValidation>
    <dataValidation type="list" allowBlank="1" showErrorMessage="1" errorStyle="stop" errorTitle="Valor fora da lista" error="Escolha um item da lista suspensa (aba Listas)." sqref="M4:M203">
      <formula1>OFFSET(lst_eficacia,0,0,MAX(1,COUNTA(lst_eficacia)),1)</formula1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16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</row>
    <row r="4" ht="26" customHeight="1" spans="1:5" x14ac:dyDescent="0.25">
      <c r="A4" s="9" t="s">
        <v>22</v>
      </c>
      <c r="B4" s="7">
        <v>46321</v>
      </c>
      <c r="C4" s="10" t="s">
        <v>23</v>
      </c>
      <c r="D4" s="11"/>
      <c r="E4" s="11"/>
    </row>
    <row r="5" spans="1:5" x14ac:dyDescent="0.25">
      <c r="A5" s="9"/>
      <c r="B5" s="7"/>
      <c r="C5" s="10"/>
      <c r="D5" s="11"/>
      <c r="E5" s="11"/>
    </row>
    <row r="6" spans="1:5" x14ac:dyDescent="0.25">
      <c r="A6" s="9"/>
      <c r="B6" s="7"/>
      <c r="C6" s="10"/>
      <c r="D6" s="11"/>
      <c r="E6" s="11"/>
    </row>
    <row r="7" spans="1:5" x14ac:dyDescent="0.25">
      <c r="A7" s="9"/>
      <c r="B7" s="7"/>
      <c r="C7" s="10"/>
      <c r="D7" s="11"/>
      <c r="E7" s="11"/>
    </row>
    <row r="8" spans="1:5" x14ac:dyDescent="0.25">
      <c r="A8" s="9"/>
      <c r="B8" s="7"/>
      <c r="C8" s="10"/>
      <c r="D8" s="11"/>
      <c r="E8" s="11"/>
    </row>
    <row r="9" spans="1:5" x14ac:dyDescent="0.25">
      <c r="A9" s="9"/>
      <c r="B9" s="7"/>
      <c r="C9" s="10"/>
      <c r="D9" s="11"/>
      <c r="E9" s="11"/>
    </row>
    <row r="10" spans="1:5" x14ac:dyDescent="0.25">
      <c r="A10" s="9"/>
      <c r="B10" s="7"/>
      <c r="C10" s="10"/>
      <c r="D10" s="11"/>
      <c r="E10" s="11"/>
    </row>
    <row r="11" spans="1:5" x14ac:dyDescent="0.25">
      <c r="A11" s="9"/>
      <c r="B11" s="7"/>
      <c r="C11" s="10"/>
      <c r="D11" s="11"/>
      <c r="E11" s="11"/>
    </row>
    <row r="12" spans="1:5" x14ac:dyDescent="0.25">
      <c r="A12" s="9"/>
      <c r="B12" s="7"/>
      <c r="C12" s="10"/>
      <c r="D12" s="11"/>
      <c r="E12" s="11"/>
    </row>
    <row r="13" spans="1:5" x14ac:dyDescent="0.25">
      <c r="A13" s="9"/>
      <c r="B13" s="7"/>
      <c r="C13" s="10"/>
      <c r="D13" s="11"/>
      <c r="E13" s="11"/>
    </row>
    <row r="14" spans="1:5" x14ac:dyDescent="0.25">
      <c r="A14" s="9"/>
      <c r="B14" s="7"/>
      <c r="C14" s="10"/>
      <c r="D14" s="11"/>
      <c r="E14" s="11"/>
    </row>
    <row r="15" spans="1:5" x14ac:dyDescent="0.25">
      <c r="A15" s="9"/>
      <c r="B15" s="7"/>
      <c r="C15" s="10"/>
      <c r="D15" s="11"/>
      <c r="E15" s="11"/>
    </row>
    <row r="16" spans="1:5" x14ac:dyDescent="0.25">
      <c r="A16" s="9"/>
      <c r="B16" s="7"/>
      <c r="C16" s="10"/>
      <c r="D16" s="11"/>
      <c r="E16" s="11"/>
    </row>
    <row r="17" spans="1:5" x14ac:dyDescent="0.25">
      <c r="A17" s="9"/>
      <c r="B17" s="7"/>
      <c r="C17" s="10"/>
      <c r="D17" s="11"/>
      <c r="E17" s="11"/>
    </row>
    <row r="18" spans="1:5" x14ac:dyDescent="0.25">
      <c r="A18" s="9"/>
      <c r="B18" s="7"/>
      <c r="C18" s="10"/>
      <c r="D18" s="11"/>
      <c r="E18" s="11"/>
    </row>
    <row r="19" spans="1:5" x14ac:dyDescent="0.25">
      <c r="A19" s="9"/>
      <c r="B19" s="7"/>
      <c r="C19" s="10"/>
      <c r="D19" s="11"/>
      <c r="E19" s="11"/>
    </row>
    <row r="20" spans="1:5" x14ac:dyDescent="0.25">
      <c r="A20" s="9"/>
      <c r="B20" s="7"/>
      <c r="C20" s="10"/>
      <c r="D20" s="11"/>
      <c r="E20" s="11"/>
    </row>
    <row r="21" spans="1:5" x14ac:dyDescent="0.25">
      <c r="A21" s="9"/>
      <c r="B21" s="7"/>
      <c r="C21" s="10"/>
      <c r="D21" s="11"/>
      <c r="E21" s="11"/>
    </row>
    <row r="22" spans="1:5" x14ac:dyDescent="0.25">
      <c r="A22" s="9"/>
      <c r="B22" s="7"/>
      <c r="C22" s="10"/>
      <c r="D22" s="11"/>
      <c r="E22" s="11"/>
    </row>
    <row r="23" spans="1:5" x14ac:dyDescent="0.25">
      <c r="A23" s="9"/>
      <c r="B23" s="7"/>
      <c r="C23" s="10"/>
      <c r="D23" s="11"/>
      <c r="E23" s="11"/>
    </row>
    <row r="24" spans="1:5" x14ac:dyDescent="0.25">
      <c r="A24" s="9"/>
      <c r="B24" s="7"/>
      <c r="C24" s="10"/>
      <c r="D24" s="11"/>
      <c r="E24" s="11"/>
    </row>
    <row r="25" spans="1:5" x14ac:dyDescent="0.25">
      <c r="A25" s="9"/>
      <c r="B25" s="7"/>
      <c r="C25" s="10"/>
      <c r="D25" s="11"/>
      <c r="E25" s="11"/>
    </row>
    <row r="26" spans="1:5" x14ac:dyDescent="0.25">
      <c r="A26" s="9"/>
      <c r="B26" s="7"/>
      <c r="C26" s="10"/>
      <c r="D26" s="11"/>
      <c r="E26" s="11"/>
    </row>
    <row r="27" spans="1:5" x14ac:dyDescent="0.25">
      <c r="A27" s="9"/>
      <c r="B27" s="7"/>
      <c r="C27" s="10"/>
      <c r="D27" s="11"/>
      <c r="E27" s="11"/>
    </row>
    <row r="28" spans="1:5" x14ac:dyDescent="0.25">
      <c r="A28" s="9"/>
      <c r="B28" s="7"/>
      <c r="C28" s="10"/>
      <c r="D28" s="11"/>
      <c r="E28" s="11"/>
    </row>
    <row r="29" spans="1:5" x14ac:dyDescent="0.25">
      <c r="A29" s="9"/>
      <c r="B29" s="7"/>
      <c r="C29" s="10"/>
      <c r="D29" s="11"/>
      <c r="E29" s="11"/>
    </row>
    <row r="30" spans="1:5" x14ac:dyDescent="0.25">
      <c r="A30" s="9"/>
      <c r="B30" s="7"/>
      <c r="C30" s="10"/>
      <c r="D30" s="11"/>
      <c r="E30" s="11"/>
    </row>
    <row r="31" spans="1:5" x14ac:dyDescent="0.25">
      <c r="A31" s="9"/>
      <c r="B31" s="7"/>
      <c r="C31" s="10"/>
      <c r="D31" s="11"/>
      <c r="E31" s="11"/>
    </row>
    <row r="32" spans="1:5" x14ac:dyDescent="0.25">
      <c r="A32" s="9"/>
      <c r="B32" s="7"/>
      <c r="C32" s="10"/>
      <c r="D32" s="11"/>
      <c r="E32" s="11"/>
    </row>
    <row r="33" spans="1:5" x14ac:dyDescent="0.25">
      <c r="A33" s="9"/>
      <c r="B33" s="7"/>
      <c r="C33" s="10"/>
      <c r="D33" s="11"/>
      <c r="E33" s="11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24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4" ht="18" customHeight="1" spans="1:6" x14ac:dyDescent="0.25">
      <c r="A4" s="14" t="s">
        <v>25</v>
      </c>
      <c r="B4" s="15" t="s">
        <v>26</v>
      </c>
      <c r="C4" s="15"/>
      <c r="D4" s="15" t="s">
        <v>27</v>
      </c>
      <c r="E4" s="15" t="s">
        <v>28</v>
      </c>
      <c r="F4" s="15"/>
    </row>
    <row r="6" ht="8" customHeight="1" x14ac:dyDescent="0.25"/>
    <row r="7" ht="20" customHeight="1" spans="1:6" x14ac:dyDescent="0.25">
      <c r="A7" s="16" t="s">
        <v>29</v>
      </c>
      <c r="B7" s="16"/>
      <c r="C7" s="16"/>
      <c r="D7" s="16"/>
      <c r="E7" s="16"/>
      <c r="F7" s="16"/>
    </row>
    <row r="8" ht="28" customHeight="1" spans="1:6" x14ac:dyDescent="0.25">
      <c r="A8" s="17" t="s">
        <v>30</v>
      </c>
      <c r="B8" s="17"/>
      <c r="C8" s="17"/>
      <c r="D8" s="17"/>
      <c r="E8" s="17"/>
      <c r="F8" s="17"/>
    </row>
    <row r="9" ht="28" customHeight="1" spans="1:6" x14ac:dyDescent="0.25">
      <c r="A9" s="17" t="s">
        <v>31</v>
      </c>
      <c r="B9" s="17"/>
      <c r="C9" s="17"/>
      <c r="D9" s="17"/>
      <c r="E9" s="17"/>
      <c r="F9" s="17"/>
    </row>
    <row r="10" ht="28" customHeight="1" spans="1:6" x14ac:dyDescent="0.25">
      <c r="A10" s="17" t="s">
        <v>32</v>
      </c>
      <c r="B10" s="17"/>
      <c r="C10" s="17"/>
      <c r="D10" s="17"/>
      <c r="E10" s="17"/>
      <c r="F10" s="17"/>
    </row>
    <row r="11" ht="24" customHeight="1" spans="1:6" x14ac:dyDescent="0.25">
      <c r="A11" s="18" t="s">
        <v>33</v>
      </c>
      <c r="B11" s="18"/>
      <c r="C11" s="18"/>
      <c r="D11" s="18"/>
      <c r="E11" s="18"/>
      <c r="F11" s="18"/>
    </row>
    <row r="12" ht="8" customHeight="1" x14ac:dyDescent="0.25"/>
    <row r="13" ht="20" customHeight="1" spans="1:6" x14ac:dyDescent="0.25">
      <c r="A13" s="16" t="s">
        <v>34</v>
      </c>
      <c r="B13" s="16"/>
      <c r="C13" s="16"/>
      <c r="D13" s="16"/>
      <c r="E13" s="16"/>
      <c r="F13" s="16"/>
    </row>
    <row r="14" ht="22" customHeight="1" spans="1:6" x14ac:dyDescent="0.25">
      <c r="A14" s="5" t="s">
        <v>35</v>
      </c>
      <c r="B14" s="5"/>
      <c r="C14" s="5" t="s">
        <v>36</v>
      </c>
      <c r="D14" s="5"/>
      <c r="E14" s="5" t="s">
        <v>37</v>
      </c>
      <c r="F14" s="5"/>
    </row>
    <row r="15" ht="20" customHeight="1" spans="1:6" x14ac:dyDescent="0.25">
      <c r="A15" s="19" t="s">
        <v>38</v>
      </c>
      <c r="B15" s="19"/>
      <c r="C15" s="20"/>
      <c r="D15" s="20"/>
      <c r="E15" s="21" t="s">
        <v>39</v>
      </c>
      <c r="F15" s="21"/>
    </row>
    <row r="16" ht="20" customHeight="1" spans="1:6" x14ac:dyDescent="0.25">
      <c r="A16" s="19" t="s">
        <v>40</v>
      </c>
      <c r="B16" s="19"/>
      <c r="C16" s="20"/>
      <c r="D16" s="20"/>
      <c r="E16" s="21" t="s">
        <v>41</v>
      </c>
      <c r="F16" s="21"/>
    </row>
    <row r="17" ht="20" customHeight="1" spans="1:6" x14ac:dyDescent="0.25">
      <c r="A17" s="19" t="s">
        <v>42</v>
      </c>
      <c r="B17" s="19"/>
      <c r="C17" s="22">
        <f>IFERROR(LOOKUP(2,1/(rv_revisao&lt;&gt;""),rv_revisao)&amp;"","")</f>
      </c>
      <c r="D17" s="22"/>
      <c r="E17" s="21" t="s">
        <v>43</v>
      </c>
      <c r="F17" s="21"/>
    </row>
    <row r="18" ht="20" customHeight="1" spans="1:6" x14ac:dyDescent="0.25">
      <c r="A18" s="19" t="s">
        <v>44</v>
      </c>
      <c r="B18" s="19"/>
      <c r="C18" s="23">
        <f>IFERROR(1/(1/LOOKUP(2,1/(rv_revisao&lt;&gt;""),rv_data)),"")</f>
      </c>
      <c r="D18" s="23"/>
      <c r="E18" s="21" t="s">
        <v>45</v>
      </c>
      <c r="F18" s="21"/>
    </row>
    <row r="19" ht="20" customHeight="1" spans="1:6" x14ac:dyDescent="0.25">
      <c r="A19" s="19" t="s">
        <v>46</v>
      </c>
      <c r="B19" s="19"/>
      <c r="C19" s="20"/>
      <c r="D19" s="20"/>
      <c r="E19" s="21" t="s">
        <v>47</v>
      </c>
      <c r="F19" s="21"/>
    </row>
    <row r="20" ht="20" customHeight="1" spans="1:6" x14ac:dyDescent="0.25">
      <c r="A20" s="19" t="s">
        <v>48</v>
      </c>
      <c r="B20" s="19"/>
      <c r="C20" s="24"/>
      <c r="D20" s="24"/>
      <c r="E20" s="21" t="s">
        <v>49</v>
      </c>
      <c r="F20" s="21"/>
    </row>
    <row r="21" ht="8" customHeight="1" x14ac:dyDescent="0.25"/>
    <row r="22" ht="20" customHeight="1" spans="1:6" x14ac:dyDescent="0.25">
      <c r="A22" s="16" t="s">
        <v>50</v>
      </c>
      <c r="B22" s="16"/>
      <c r="C22" s="16"/>
      <c r="D22" s="16"/>
      <c r="E22" s="16"/>
      <c r="F22" s="16"/>
    </row>
    <row r="23" ht="22" customHeight="1" spans="1:6" x14ac:dyDescent="0.25">
      <c r="A23" s="5" t="s">
        <v>51</v>
      </c>
      <c r="B23" s="5" t="s">
        <v>52</v>
      </c>
      <c r="C23" s="5" t="s">
        <v>53</v>
      </c>
      <c r="D23" s="5" t="s">
        <v>54</v>
      </c>
      <c r="E23" s="5"/>
      <c r="F23" s="5"/>
    </row>
    <row r="24" ht="20" customHeight="1" spans="1:6" x14ac:dyDescent="0.25">
      <c r="A24" s="19" t="s">
        <v>55</v>
      </c>
      <c r="B24" s="25">
        <f>COUNTA(ac_numero)</f>
      </c>
      <c r="C24" s="25">
        <f>COUNTIF(ac_conferencia,"ERRO*")</f>
      </c>
      <c r="D24" s="26">
        <f>IF(COUNTA('Ação Corretiva'!$A$204:$A$2203)&gt;0,"ATENÇÃO: há dados além da linha 203; estenda fórmulas e nomes","OK")</f>
      </c>
      <c r="E24" s="26"/>
      <c r="F24" s="26"/>
    </row>
    <row r="25" ht="20" customHeight="1" spans="1:6" x14ac:dyDescent="0.25">
      <c r="A25" s="19" t="s">
        <v>56</v>
      </c>
      <c r="B25" s="25">
        <f>COUNTIF(ac_status,"Atrasada")</f>
      </c>
      <c r="C25" s="25">
        <f>0</f>
      </c>
      <c r="D25" s="26">
        <f>IF(COUNTIF(ac_status,"Atrasada")&gt;0,"Verificar: há ações com prazo vencido","OK")</f>
      </c>
      <c r="E25" s="26"/>
      <c r="F25" s="26"/>
    </row>
    <row r="26" ht="8" customHeight="1" x14ac:dyDescent="0.25"/>
    <row r="27" ht="24" customHeight="1" spans="1:6" x14ac:dyDescent="0.25">
      <c r="A27" s="18" t="s">
        <v>57</v>
      </c>
      <c r="B27" s="18"/>
      <c r="C27" s="18"/>
      <c r="D27" s="18"/>
      <c r="E27" s="18"/>
      <c r="F27" s="18"/>
    </row>
  </sheetData>
  <sheetProtection sheet="1" formatColumns="0" formatRows="0" autoFilter="0"/>
  <mergeCells count="36">
    <mergeCell ref="A1:B2"/>
    <mergeCell ref="C1:E2"/>
    <mergeCell ref="B4:C4"/>
    <mergeCell ref="E4:F4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A27:F27"/>
  </mergeCells>
  <conditionalFormatting sqref="C24:C25">
    <cfRule type="expression" dxfId="9" priority="1">
      <formula>N(C24)&gt;0</formula>
    </cfRule>
  </conditionalFormatting>
  <conditionalFormatting sqref="D24:D25">
    <cfRule type="expression" dxfId="10" priority="1">
      <formula>OR(LEFT(D24,4)="ERRO",LEFT(D24,7)="ATENÇÃO")</formula>
    </cfRule>
    <cfRule type="expression" dxfId="11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12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B4" r:id="rId1" location="#'Ação Corretiva'!A1"/>
    <hyperlink ref="D4" r:id="rId2" location="#'Revisões'!A1"/>
    <hyperlink ref="E4" r:id="rId3" location="#'Lista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8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2" customWidth="1"/>
    <col min="2" max="2" width="3" customWidth="1"/>
    <col min="3" max="3" width="22" customWidth="1"/>
    <col min="4" max="4" width="14" customWidth="1"/>
  </cols>
  <sheetData>
    <row r="1" ht="36" customHeight="1" spans="1:4" x14ac:dyDescent="0.25">
      <c r="A1" s="1"/>
      <c r="B1" s="1"/>
      <c r="C1" s="27" t="s">
        <v>58</v>
      </c>
      <c r="D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4" x14ac:dyDescent="0.25">
      <c r="A2" s="1"/>
      <c r="B2" s="1"/>
      <c r="C2" s="27"/>
      <c r="D2" s="4">
        <f>"Elaborado: "&amp;IF(cfg_elaborado="","A definir",cfg_elaborado)&amp;CHAR(10)&amp;"Aprovado: "&amp;IF(cfg_aprovado="","A definir",cfg_aprovado)</f>
      </c>
    </row>
    <row r="3" ht="30" customHeight="1" spans="1:3" x14ac:dyDescent="0.25">
      <c r="A3" s="5" t="s">
        <v>59</v>
      </c>
      <c r="C3" s="5" t="s">
        <v>60</v>
      </c>
    </row>
    <row r="4" spans="1:3" x14ac:dyDescent="0.25">
      <c r="A4" s="11" t="s">
        <v>61</v>
      </c>
      <c r="C4" s="28" t="s">
        <v>62</v>
      </c>
    </row>
    <row r="5" spans="1:3" x14ac:dyDescent="0.25">
      <c r="A5" s="11" t="s">
        <v>63</v>
      </c>
      <c r="C5" s="28" t="s">
        <v>64</v>
      </c>
    </row>
    <row r="6" spans="1:3" x14ac:dyDescent="0.25">
      <c r="A6" s="11" t="s">
        <v>65</v>
      </c>
      <c r="C6" s="28" t="s">
        <v>66</v>
      </c>
    </row>
    <row r="7" spans="1:3" x14ac:dyDescent="0.25">
      <c r="A7" s="11" t="s">
        <v>67</v>
      </c>
      <c r="C7" s="28"/>
    </row>
    <row r="8" spans="1:3" x14ac:dyDescent="0.25">
      <c r="A8" s="11" t="s">
        <v>68</v>
      </c>
      <c r="C8" s="28"/>
    </row>
    <row r="9" spans="1:3" x14ac:dyDescent="0.25">
      <c r="A9" s="11"/>
      <c r="C9" s="28"/>
    </row>
    <row r="10" spans="1:3" x14ac:dyDescent="0.25">
      <c r="A10" s="11"/>
      <c r="C10" s="28"/>
    </row>
    <row r="11" spans="1:3" x14ac:dyDescent="0.25">
      <c r="A11" s="11"/>
      <c r="C11" s="28"/>
    </row>
    <row r="12" spans="1:3" x14ac:dyDescent="0.25">
      <c r="A12" s="11"/>
      <c r="C12" s="28"/>
    </row>
    <row r="13" spans="1:3" x14ac:dyDescent="0.25">
      <c r="A13" s="11"/>
      <c r="C13" s="28"/>
    </row>
    <row r="14" spans="1:3" x14ac:dyDescent="0.25">
      <c r="A14" s="11"/>
      <c r="C14" s="28"/>
    </row>
    <row r="15" spans="1:3" x14ac:dyDescent="0.25">
      <c r="A15" s="11"/>
      <c r="C15" s="28"/>
    </row>
    <row r="16" spans="1:3" x14ac:dyDescent="0.25">
      <c r="A16" s="11"/>
      <c r="C16" s="28"/>
    </row>
    <row r="17" spans="1:3" x14ac:dyDescent="0.25">
      <c r="A17" s="11"/>
      <c r="C17" s="28"/>
    </row>
    <row r="18" spans="1:3" x14ac:dyDescent="0.25">
      <c r="A18" s="11"/>
      <c r="C18" s="28"/>
    </row>
  </sheetData>
  <sheetProtection sheet="1" formatColumns="0" formatRows="0" autoFilter="0"/>
  <mergeCells count="2">
    <mergeCell ref="A1:B2"/>
    <mergeCell ref="C1:C2"/>
  </mergeCells>
  <conditionalFormatting sqref="A4:A18">
    <cfRule type="expression" dxfId="13" priority="1">
      <formula>AND(A4&lt;&gt;"",COUNTIF(A$4:A$18,A4)&gt;1)</formula>
    </cfRule>
  </conditionalFormatting>
  <conditionalFormatting sqref="C4:C18">
    <cfRule type="expression" dxfId="14" priority="1">
      <formula>AND(C4&lt;&gt;"",COUNTIF(C$4:C$18,C4)&gt;1)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PCMD-08&amp;R&amp;"Arial,Regular"&amp;7&amp;K4A5668Impresso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Ação Corretiva</vt:lpstr>
      <vt:lpstr>Revisões</vt:lpstr>
      <vt:lpstr>Config</vt:lpstr>
      <vt:lpstr>Listas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PCMD-08 · Ação corretiva</dc:title>
  <dc:subject>PCM Direto</dc:subject>
  <dc:description/>
  <cp:keywords>PCMD-08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