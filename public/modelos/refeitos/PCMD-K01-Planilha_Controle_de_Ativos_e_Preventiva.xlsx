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Instruções" state="visible" r:id="rId4"/>
    <sheet sheetId="1" name="Painel" state="visible" r:id="rId5"/>
    <sheet sheetId="2" name="Ativos" state="visible" r:id="rId6"/>
    <sheet sheetId="3" name="Planos" state="visible" r:id="rId7"/>
    <sheet sheetId="4" name="Cronograma Anual" state="visible" r:id="rId8"/>
    <sheet sheetId="5" name="Listas" state="visible" r:id="rId9"/>
    <sheet sheetId="6" name="Revisões" state="visible" r:id="rId10"/>
  </sheets>
  <definedNames>
    <definedName name="at_codigo">Ativos!$A$4:$A$203</definedName>
    <definedName name="at_criticidade">Ativos!$F$4:$F$203</definedName>
    <definedName name="at_situacao">Ativos!$G$4:$G$203</definedName>
    <definedName name="at_conferencia">Ativos!$I$4:$I$203</definedName>
    <definedName name="pl_plano">Planos!$A$4:$A$303</definedName>
    <definedName name="pl_situacao">Planos!$I$4:$I$303</definedName>
    <definedName name="pl_conferencia">Planos!$M$4:$M$303</definedName>
    <definedName name="lst_setor">Listas!$A$4:$A$33</definedName>
    <definedName name="lst_situacao_ativo">Listas!$C$4:$C$33</definedName>
    <definedName name="lst_tipo_plano">Listas!$E$4:$E$33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crono_ano">'Instruções'!$C$21</definedName>
    <definedName name="crono_ano_ref">'Instruções'!$C$22</definedName>
    <definedName name="_xlnm.Print_Area" localSheetId="0">'Instruções'!$A1:$F37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'Ativos'!$A1:$I203</definedName>
    <definedName name="_xlnm.Print_Titles" localSheetId="2">'Ativos'!$1:$3</definedName>
    <definedName name="_xlnm.Print_Area" localSheetId="3">'Planos'!$A1:$M303</definedName>
    <definedName name="_xlnm.Print_Titles" localSheetId="3">'Planos'!$1:$3</definedName>
    <definedName name="_xlnm.Print_Area" localSheetId="4">'Cronograma Anual'!$A1:$R305</definedName>
    <definedName name="_xlnm.Print_Titles" localSheetId="4">'Cronograma Anual'!$1:$5</definedName>
    <definedName name="_xlnm.Print_Area" localSheetId="5">'Listas'!$A1:$E33</definedName>
    <definedName name="_xlnm.Print_Titles" localSheetId="5">'Listas'!$1:$3</definedName>
    <definedName name="_xlnm.Print_Area" localSheetId="6">'Revisões'!$A1:$E33</definedName>
    <definedName name="_xlnm.Print_Titles" localSheetId="6">'Revisões'!$1:$3</definedName>
  </definedNames>
  <calcPr calcId="171027" fullCalcOnLoad="1"/>
</workbook>
</file>

<file path=xl/sharedStrings.xml><?xml version="1.0" encoding="utf-8"?>
<sst xmlns="http://schemas.openxmlformats.org/spreadsheetml/2006/main" count="149" uniqueCount="123">
  <si>
    <r>
      <rPr>
        <b/>
        <color rgb="FF0B2A5B"/>
        <sz val="16"/>
        <rFont val="Arial"/>
      </rPr>
      <t>Controle de ativos e manutenção preventiva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</si>
  <si>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</si>
  <si>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Listas, cadastre os setores. Em Ativos, cadastre cada equipamento com setor e criticidade (A, B ou C).</t>
  </si>
  <si>
    <t>2) Em Planos, uma linha por atividade: ativo, periodicidade em dias, última execução e duração. Próxima execução, dias restantes e situação são calculados.</t>
  </si>
  <si>
    <t>3) O Cronograma Anual mostra quantas vezes cada plano cai em cada mês do ano abaixo e soma as horas — útil para dimensionar equipe e negociar parada.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</si>
  <si>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</si>
  <si>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</si>
  <si>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</si>
  <si>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</si>
  <si>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</si>
  <si>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</si>
  <si>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</si>
  <si>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</si>
  <si>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</si>
  <si>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</si>
  <si>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</si>
  <si>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</si>
  <si>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</si>
  <si>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</si>
  <si>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</si>
  <si>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</si>
  <si>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</si>
  <si>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Ano do cronograma</t>
  </si>
  <si>
    <t>Vazio = ano atual.</t>
  </si>
  <si>
    <t>Ano usado (automático)</t>
  </si>
  <si>
    <t>Ano aplicado no Cronograma Anual e no Painel.</t>
  </si>
  <si>
    <t>3. CONFERÊNCIAS</t>
  </si>
  <si>
    <t>Aba / verificação</t>
  </si>
  <si>
    <t>Linhas preenchidas</t>
  </si>
  <si>
    <t>Linhas com ERRO</t>
  </si>
  <si>
    <t>Capacidade / resultado</t>
  </si>
  <si>
    <t>Ativos</t>
  </si>
  <si>
    <t>Planos</t>
  </si>
  <si>
    <t>4. ÍNDICE DAS ABAS (clique no nome)</t>
  </si>
  <si>
    <t>Painel</t>
  </si>
  <si>
    <t>Planos vencidos, em dia, horas por mês e vencidos por criticidade.</t>
  </si>
  <si>
    <t>Uma linha por equipamento; criticidade A, B ou C.</t>
  </si>
  <si>
    <t>Uma linha por atividade; próxima execução e situação calculadas.</t>
  </si>
  <si>
    <t>Cronograma Anual</t>
  </si>
  <si>
    <t>Execuções e horas previstas por mês, montadas automaticamente.</t>
  </si>
  <si>
    <t>Listas</t>
  </si>
  <si>
    <t>Setores, situações e tipos usados nas listas suspensas.</t>
  </si>
  <si>
    <t>Revisões</t>
  </si>
  <si>
    <t>Histórico de revisões deste arquivo.</t>
  </si>
  <si>
    <t>PCMD-K01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</si>
  <si>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de manutenção preventiva</t>
    </r>
    <r>
      <rPr>
        <color rgb="FF4A5668"/>
        <sz val="8.5"/>
        <rFont val="Arial"/>
      </rPr>
      <t xml:space="preserve">
Calculado a partir das abas Ativos, Planos e Cronograma Anual. Nenhum número é digitado aqui.</t>
    </r>
  </si>
  <si>
    <t>ATIVOS CADASTRADOS</t>
  </si>
  <si>
    <t>PLANOS ATIVOS</t>
  </si>
  <si>
    <t>PLANOS VENCIDOS</t>
  </si>
  <si>
    <t>PLANOS EM DIA</t>
  </si>
  <si>
    <t>equipamentos</t>
  </si>
  <si>
    <t>atividades programadas</t>
  </si>
  <si>
    <t>precisam de ação</t>
  </si>
  <si>
    <t>em dia ÷ planos com data</t>
  </si>
  <si>
    <t>SITUAÇÃO DOS PLANOS</t>
  </si>
  <si>
    <t>HORAS PLANEJADAS POR MÊS</t>
  </si>
  <si>
    <t>VENCIDOS POR CRITICIDADE</t>
  </si>
  <si>
    <t>DADOS DOS GRÁFICOS (automático, não digite)</t>
  </si>
  <si>
    <t>Situação</t>
  </si>
  <si>
    <t>Mês</t>
  </si>
  <si>
    <t>Criticidade</t>
  </si>
  <si>
    <t>Vencido</t>
  </si>
  <si>
    <t>Jan</t>
  </si>
  <si>
    <t>Classe A</t>
  </si>
  <si>
    <t>Programar</t>
  </si>
  <si>
    <t>Fev</t>
  </si>
  <si>
    <t>Classe B</t>
  </si>
  <si>
    <t>Em dia</t>
  </si>
  <si>
    <t>Mar</t>
  </si>
  <si>
    <t>Classe C</t>
  </si>
  <si>
    <t>Sem data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</si>
  <si>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</si>
  <si>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</si>
  <si>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</si>
  <si>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</si>
  <si>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</si>
  <si>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</si>
  <si>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</si>
  <si>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</si>
  <si>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</si>
  <si>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rPr>
        <b/>
        <color rgb="FF0B2A5B"/>
        <sz val="16"/>
        <rFont val="Arial"/>
      </rPr>
      <t>Cadastro de ativos</t>
    </r>
    <r>
      <rPr>
        <color rgb="FF4A5668"/>
        <sz val="8.5"/>
        <rFont val="Arial"/>
      </rPr>
      <t xml:space="preserve">
Uma linha por equipamento. A criticidade (A, B ou C) prioriza os planos.</t>
    </r>
  </si>
  <si>
    <t>Código</t>
  </si>
  <si>
    <t>Descrição</t>
  </si>
  <si>
    <t>Setor</t>
  </si>
  <si>
    <t>Fabricante</t>
  </si>
  <si>
    <t>Ano</t>
  </si>
  <si>
    <t>Planos vinculados</t>
  </si>
  <si>
    <t>Conferência</t>
  </si>
  <si>
    <r>
      <rPr>
        <b/>
        <color rgb="FF0B2A5B"/>
        <sz val="16"/>
        <rFont val="Arial"/>
      </rPr>
      <t>Biblioteca de planos de manutenção</t>
    </r>
    <r>
      <rPr>
        <color rgb="FF4A5668"/>
        <sz val="8.5"/>
        <rFont val="Arial"/>
      </rPr>
      <t xml:space="preserve">
Próxima execução, dias restantes e situação vêm da última execução e da periodicidade.</t>
    </r>
  </si>
  <si>
    <t>Plano</t>
  </si>
  <si>
    <t>Ativo</t>
  </si>
  <si>
    <t>Descrição da atividade</t>
  </si>
  <si>
    <t>Tipo</t>
  </si>
  <si>
    <t>Periodicidade (dias)</t>
  </si>
  <si>
    <t>Última execução</t>
  </si>
  <si>
    <t>Próxima execução</t>
  </si>
  <si>
    <t>Dias restantes</t>
  </si>
  <si>
    <t>Responsável</t>
  </si>
  <si>
    <t>Duração (h)</t>
  </si>
  <si>
    <t>Criticidade do ativo</t>
  </si>
  <si>
    <r>
      <rPr>
        <b/>
        <color rgb="FF0B2A5B"/>
        <sz val="16"/>
        <rFont val="Arial"/>
      </rPr>
      <t>Cronograma anual de manutenção</t>
    </r>
    <r>
      <rPr>
        <color rgb="FF4A5668"/>
        <sz val="8.5"/>
        <rFont val="Arial"/>
      </rPr>
      <t xml:space="preserve">
Execuções previstas por mês, projetadas a partir da próxima execução e da periodicidade. Não marque nada à mão.</t>
    </r>
  </si>
  <si>
    <t>Atividade</t>
  </si>
  <si>
    <t>Total no ano</t>
  </si>
  <si>
    <t>Horas planejadas no mês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</si>
  <si>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</si>
  <si>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Situação do ativo</t>
  </si>
  <si>
    <t>Tipo de plano</t>
  </si>
  <si>
    <t>Operando</t>
  </si>
  <si>
    <t>Preventiva</t>
  </si>
  <si>
    <t>Parado</t>
  </si>
  <si>
    <t>Preditiva</t>
  </si>
  <si>
    <t>Em manutenção</t>
  </si>
  <si>
    <t>Inspeção</t>
  </si>
  <si>
    <t>Desativado</t>
  </si>
  <si>
    <t>Lubrificação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</si>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</sst>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0.0%"/>
    <numFmt numFmtId="166" formatCode="0.0"/>
    <numFmt numFmtId="167" formatCode="0;;"/>
    <numFmt numFmtId="168" formatCode="0.0;;"/>
    <numFmt numFmtId="169" formatCode="0;;;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1" fontId="7" fillId="4" borderId="5" xfId="0" applyNumberFormat="1" applyFont="1" applyFill="1" applyBorder="1" applyAlignment="1" applyProtection="1">
      <alignment vertical="center" wrapText="1" indent="1"/>
      <protection locked="0"/>
    </xf>
    <xf numFmtId="1" fontId="9" fillId="3" borderId="5" xfId="0" applyNumberFormat="1" applyFont="1" applyFill="1" applyBorder="1" applyAlignment="1">
      <alignment vertical="center" wrapText="1" indent="1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165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164" fontId="9" fillId="3" borderId="5" xfId="0" applyNumberFormat="1" applyFont="1" applyFill="1" applyBorder="1" applyAlignment="1" applyProtection="1">
      <alignment horizontal="center" vertical="center"/>
    </xf>
    <xf numFmtId="1" fontId="9" fillId="3" borderId="5" xfId="0" applyNumberFormat="1" applyFont="1" applyFill="1" applyBorder="1" applyAlignment="1" applyProtection="1">
      <alignment horizontal="center" vertical="center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>
      <alignment horizontal="right" vertical="center" wrapText="1" indent="1"/>
    </xf>
    <xf numFmtId="0" fontId="7" fillId="3" borderId="5" xfId="0" applyFont="1" applyFill="1" applyBorder="1" applyAlignment="1">
      <alignment horizontal="center" vertical="center"/>
    </xf>
    <xf numFmtId="166" fontId="7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168" fontId="9" fillId="3" borderId="5" xfId="0" applyNumberFormat="1" applyFont="1" applyFill="1" applyBorder="1" applyAlignment="1">
      <alignment horizontal="center" vertical="center"/>
    </xf>
    <xf numFmtId="169" fontId="9" fillId="3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7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FFFFFF"/>
      </font>
      <fill>
        <patternFill patternType="solid">
          <bgColor rgb="FF0B2A5B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B4231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E7A4C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FA3B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'Painel'!$A$30:$A$33</c:f>
            </c:strRef>
          </c:cat>
          <c:val>
            <c:numRef>
              <c:f>'Painel'!$C$30:$C$33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'Painel'!$E$30:$E$41</c:f>
            </c:strRef>
          </c:cat>
          <c:val>
            <c:numRef>
              <c:f>'Painel'!$G$30:$G$41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l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B42318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'Painel'!$I$30:$I$32</c:f>
            </c:strRef>
          </c:cat>
          <c:val>
            <c:numRef>
              <c:f>'Painel'!$K$30:$K$32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89708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172500</xdr:rowOff>
    </xdr:from>
    <xdr:ext cx="1676400" cy="485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172500</xdr:rowOff>
    </xdr:from>
    <xdr:ext cx="1676400" cy="485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0</xdr:row>
      <xdr:rowOff>195000</xdr:rowOff>
    </xdr:from>
    <xdr:ext cx="1476375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Ativos&apos;!A1" TargetMode="External"/><Relationship Id="rId3" Type="http://schemas.openxmlformats.org/officeDocument/2006/relationships/hyperlink" Target="#&apos;Planos&apos;!A1" TargetMode="External"/><Relationship Id="rId4" Type="http://schemas.openxmlformats.org/officeDocument/2006/relationships/hyperlink" Target="#&apos;Cronograma Anual&apos;!A1" TargetMode="External"/><Relationship Id="rId5" Type="http://schemas.openxmlformats.org/officeDocument/2006/relationships/hyperlink" Target="#&apos;Listas&apos;!A1" TargetMode="External"/><Relationship Id="rId6" Type="http://schemas.openxmlformats.org/officeDocument/2006/relationships/hyperlink" Target="#&apos;Revis&#245;es&apos;!A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45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20" t="s">
        <v>46</v>
      </c>
      <c r="B4" s="20"/>
      <c r="C4" s="20"/>
      <c r="D4" s="20" t="s">
        <v>47</v>
      </c>
      <c r="E4" s="20"/>
      <c r="F4" s="20"/>
      <c r="G4" s="20" t="s">
        <v>48</v>
      </c>
      <c r="H4" s="20"/>
      <c r="I4" s="20"/>
      <c r="J4" s="20" t="s">
        <v>49</v>
      </c>
      <c r="K4" s="20"/>
      <c r="L4" s="20"/>
    </row>
    <row r="5" ht="38" customHeight="1" spans="1:12" x14ac:dyDescent="0.25">
      <c r="A5" s="21">
        <f>COUNTA(at_codigo)</f>
      </c>
      <c r="B5" s="21"/>
      <c r="C5" s="21"/>
      <c r="D5" s="21">
        <f>COUNTA(pl_plano)</f>
      </c>
      <c r="E5" s="21"/>
      <c r="F5" s="21"/>
      <c r="G5" s="21">
        <f>COUNTIF(pl_situacao,"Vencido")</f>
      </c>
      <c r="H5" s="21"/>
      <c r="I5" s="21"/>
      <c r="J5" s="22">
        <f>IFERROR(COUNTIF(pl_situacao,"Em dia")/(COUNTA(pl_plano)-COUNTIF(pl_situacao,"Sem data")),"—")</f>
      </c>
      <c r="K5" s="22"/>
      <c r="L5" s="22"/>
    </row>
    <row r="6" ht="18" customHeight="1" spans="1:12" x14ac:dyDescent="0.25">
      <c r="A6" s="23" t="s">
        <v>50</v>
      </c>
      <c r="B6" s="23"/>
      <c r="C6" s="23"/>
      <c r="D6" s="23" t="s">
        <v>51</v>
      </c>
      <c r="E6" s="23"/>
      <c r="F6" s="23"/>
      <c r="G6" s="23" t="s">
        <v>52</v>
      </c>
      <c r="H6" s="23"/>
      <c r="I6" s="23"/>
      <c r="J6" s="23" t="s">
        <v>53</v>
      </c>
      <c r="K6" s="23"/>
      <c r="L6" s="23"/>
    </row>
    <row r="7" ht="8" customHeight="1" x14ac:dyDescent="0.25"/>
    <row r="8" ht="20" customHeight="1" spans="1:12" x14ac:dyDescent="0.25">
      <c r="A8" s="17">
        <f>"Vencem nos próximos 7 dias: "&amp;COUNTIF(pl_situacao,"Programar")&amp;"   ·   Vencidos em ativos críticos (A): "&amp;COUNTIFS(pl_situacao,"Vencido",Planos!$L$4:$L$303,"A")&amp;"   ·   Horas planejadas em "&amp;crono_ano_ref&amp;": "&amp;FIXED(SUM('Cronograma Anual'!$F$5:$Q$5),1)&amp;" h"</f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ht="8" customHeight="1" x14ac:dyDescent="0.25"/>
    <row r="10" ht="20" customHeight="1" spans="1:12" x14ac:dyDescent="0.25">
      <c r="A10" s="5" t="s">
        <v>54</v>
      </c>
      <c r="B10" s="5"/>
      <c r="C10" s="5"/>
      <c r="D10" s="5"/>
      <c r="E10" s="5" t="s">
        <v>55</v>
      </c>
      <c r="F10" s="5"/>
      <c r="G10" s="5"/>
      <c r="H10" s="5"/>
      <c r="I10" s="5" t="s">
        <v>56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57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58</v>
      </c>
      <c r="B29" s="8"/>
      <c r="C29" s="8" t="s">
        <v>8</v>
      </c>
      <c r="D29" s="8"/>
      <c r="E29" s="8" t="s">
        <v>59</v>
      </c>
      <c r="F29" s="8"/>
      <c r="G29" s="8" t="s">
        <v>8</v>
      </c>
      <c r="H29" s="8"/>
      <c r="I29" s="8" t="s">
        <v>60</v>
      </c>
      <c r="J29" s="8"/>
      <c r="K29" s="8" t="s">
        <v>8</v>
      </c>
      <c r="L29" s="8"/>
    </row>
    <row r="30" spans="1:12" x14ac:dyDescent="0.25">
      <c r="A30" s="24" t="s">
        <v>61</v>
      </c>
      <c r="B30" s="24"/>
      <c r="C30" s="25">
        <f>COUNTIF(pl_situacao,"Vencido")</f>
      </c>
      <c r="D30" s="25"/>
      <c r="E30" s="24" t="s">
        <v>62</v>
      </c>
      <c r="F30" s="24"/>
      <c r="G30" s="26">
        <f>'Cronograma Anual'!F5</f>
      </c>
      <c r="H30" s="26"/>
      <c r="I30" s="24" t="s">
        <v>63</v>
      </c>
      <c r="J30" s="24"/>
      <c r="K30" s="25">
        <f>COUNTIFS(pl_situacao,"Vencido",Planos!$L$4:$L$303,"A")</f>
      </c>
      <c r="L30" s="25"/>
    </row>
    <row r="31" spans="1:12" x14ac:dyDescent="0.25">
      <c r="A31" s="24" t="s">
        <v>64</v>
      </c>
      <c r="B31" s="24"/>
      <c r="C31" s="25">
        <f>COUNTIF(pl_situacao,"Programar")</f>
      </c>
      <c r="D31" s="25"/>
      <c r="E31" s="24" t="s">
        <v>65</v>
      </c>
      <c r="F31" s="24"/>
      <c r="G31" s="26">
        <f>'Cronograma Anual'!G5</f>
      </c>
      <c r="H31" s="26"/>
      <c r="I31" s="24" t="s">
        <v>66</v>
      </c>
      <c r="J31" s="24"/>
      <c r="K31" s="25">
        <f>COUNTIFS(pl_situacao,"Vencido",Planos!$L$4:$L$303,"B")</f>
      </c>
      <c r="L31" s="25"/>
    </row>
    <row r="32" spans="1:12" x14ac:dyDescent="0.25">
      <c r="A32" s="24" t="s">
        <v>67</v>
      </c>
      <c r="B32" s="24"/>
      <c r="C32" s="25">
        <f>COUNTIF(pl_situacao,"Em dia")</f>
      </c>
      <c r="D32" s="25"/>
      <c r="E32" s="24" t="s">
        <v>68</v>
      </c>
      <c r="F32" s="24"/>
      <c r="G32" s="26">
        <f>'Cronograma Anual'!H5</f>
      </c>
      <c r="H32" s="26"/>
      <c r="I32" s="24" t="s">
        <v>69</v>
      </c>
      <c r="J32" s="24"/>
      <c r="K32" s="25">
        <f>COUNTIFS(pl_situacao,"Vencido",Planos!$L$4:$L$303,"C")</f>
      </c>
      <c r="L32" s="25"/>
    </row>
    <row r="33" spans="1:8" x14ac:dyDescent="0.25">
      <c r="A33" s="24" t="s">
        <v>70</v>
      </c>
      <c r="B33" s="24"/>
      <c r="C33" s="25">
        <f>COUNTIF(pl_situacao,"Sem data")</f>
      </c>
      <c r="D33" s="25"/>
      <c r="E33" s="24" t="s">
        <v>71</v>
      </c>
      <c r="F33" s="24"/>
      <c r="G33" s="26">
        <f>'Cronograma Anual'!I5</f>
      </c>
      <c r="H33" s="26"/>
    </row>
    <row r="34" spans="5:8" x14ac:dyDescent="0.25">
      <c r="E34" s="24" t="s">
        <v>72</v>
      </c>
      <c r="F34" s="24"/>
      <c r="G34" s="26">
        <f>'Cronograma Anual'!J5</f>
      </c>
      <c r="H34" s="26"/>
    </row>
    <row r="35" spans="5:8" x14ac:dyDescent="0.25">
      <c r="E35" s="24" t="s">
        <v>73</v>
      </c>
      <c r="F35" s="24"/>
      <c r="G35" s="26">
        <f>'Cronograma Anual'!K5</f>
      </c>
      <c r="H35" s="26"/>
    </row>
    <row r="36" spans="5:8" x14ac:dyDescent="0.25">
      <c r="E36" s="24" t="s">
        <v>74</v>
      </c>
      <c r="F36" s="24"/>
      <c r="G36" s="26">
        <f>'Cronograma Anual'!L5</f>
      </c>
      <c r="H36" s="26"/>
    </row>
    <row r="37" spans="5:8" x14ac:dyDescent="0.25">
      <c r="E37" s="24" t="s">
        <v>75</v>
      </c>
      <c r="F37" s="24"/>
      <c r="G37" s="26">
        <f>'Cronograma Anual'!M5</f>
      </c>
      <c r="H37" s="26"/>
    </row>
    <row r="38" spans="5:8" x14ac:dyDescent="0.25">
      <c r="E38" s="24" t="s">
        <v>76</v>
      </c>
      <c r="F38" s="24"/>
      <c r="G38" s="26">
        <f>'Cronograma Anual'!N5</f>
      </c>
      <c r="H38" s="26"/>
    </row>
    <row r="39" spans="5:8" x14ac:dyDescent="0.25">
      <c r="E39" s="24" t="s">
        <v>77</v>
      </c>
      <c r="F39" s="24"/>
      <c r="G39" s="26">
        <f>'Cronograma Anual'!O5</f>
      </c>
      <c r="H39" s="26"/>
    </row>
    <row r="40" spans="5:8" x14ac:dyDescent="0.25">
      <c r="E40" s="24" t="s">
        <v>78</v>
      </c>
      <c r="F40" s="24"/>
      <c r="G40" s="26">
        <f>'Cronograma Anual'!P5</f>
      </c>
      <c r="H40" s="26"/>
    </row>
    <row r="41" spans="5:8" x14ac:dyDescent="0.25">
      <c r="E41" s="24" t="s">
        <v>79</v>
      </c>
      <c r="F41" s="24"/>
      <c r="G41" s="26">
        <f>'Cronograma Anual'!Q5</f>
      </c>
      <c r="H41" s="26"/>
    </row>
  </sheetData>
  <sheetProtection sheet="1" formatColumns="0" formatRows="0" autoFilter="0"/>
  <mergeCells count="41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conditionalFormatting sqref="G5">
    <cfRule type="expression" dxfId="4" priority="1">
      <formula>AND(ISNUMBER(G5),G5&gt;0)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18" customWidth="1"/>
    <col min="6" max="6" width="12" customWidth="1"/>
    <col min="7" max="7" width="16" customWidth="1"/>
    <col min="8" max="8" width="11" customWidth="1"/>
    <col min="9" max="9" width="34" customWidth="1"/>
  </cols>
  <sheetData>
    <row r="1" ht="36" customHeight="1" spans="1:9" x14ac:dyDescent="0.25">
      <c r="A1" s="1"/>
      <c r="B1" s="1"/>
      <c r="C1" s="2" t="s">
        <v>80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0" customHeight="1" spans="1:9" x14ac:dyDescent="0.25">
      <c r="A3" s="8" t="s">
        <v>81</v>
      </c>
      <c r="B3" s="8" t="s">
        <v>82</v>
      </c>
      <c r="C3" s="8" t="s">
        <v>83</v>
      </c>
      <c r="D3" s="8" t="s">
        <v>84</v>
      </c>
      <c r="E3" s="8" t="s">
        <v>85</v>
      </c>
      <c r="F3" s="8" t="s">
        <v>60</v>
      </c>
      <c r="G3" s="8" t="s">
        <v>58</v>
      </c>
      <c r="H3" s="8" t="s">
        <v>86</v>
      </c>
      <c r="I3" s="8" t="s">
        <v>87</v>
      </c>
    </row>
    <row r="4" spans="1:9" x14ac:dyDescent="0.25">
      <c r="A4" s="27"/>
      <c r="B4" s="28"/>
      <c r="C4" s="29"/>
      <c r="D4" s="28"/>
      <c r="E4" s="30"/>
      <c r="F4" s="29"/>
      <c r="G4" s="29"/>
      <c r="H4" s="31">
        <f>IF(A4="","",COUNTIF(Planos!$B$4:$B$303,A4))</f>
      </c>
      <c r="I4" s="32">
        <f t="shared" ref="I4:I203" si="0">IF(A4&amp;B4="","",IF(A4="","ERRO: falta o código",IF(COUNTIF(at_codigo,A4)&gt;1,"ERRO: código repetido",IF(F4="","Pendente: defina a criticidade",IF(AND(H4=0,G4&lt;&gt;"Desativado"),"Verificar: ativo sem plano de manutenção","OK")))))</f>
      </c>
    </row>
    <row r="5" spans="1:9" x14ac:dyDescent="0.25">
      <c r="A5" s="27"/>
      <c r="B5" s="28"/>
      <c r="C5" s="29"/>
      <c r="D5" s="28"/>
      <c r="E5" s="30"/>
      <c r="F5" s="29"/>
      <c r="G5" s="29"/>
      <c r="H5" s="31">
        <f>IF(A5="","",COUNTIF(Planos!$B$4:$B$303,A5))</f>
      </c>
      <c r="I5" s="32">
        <f t="shared" si="0"/>
      </c>
    </row>
    <row r="6" spans="1:9" x14ac:dyDescent="0.25">
      <c r="A6" s="27"/>
      <c r="B6" s="28"/>
      <c r="C6" s="29"/>
      <c r="D6" s="28"/>
      <c r="E6" s="30"/>
      <c r="F6" s="29"/>
      <c r="G6" s="29"/>
      <c r="H6" s="31">
        <f>IF(A6="","",COUNTIF(Planos!$B$4:$B$303,A6))</f>
      </c>
      <c r="I6" s="32">
        <f t="shared" si="0"/>
      </c>
    </row>
    <row r="7" spans="1:9" x14ac:dyDescent="0.25">
      <c r="A7" s="27"/>
      <c r="B7" s="28"/>
      <c r="C7" s="29"/>
      <c r="D7" s="28"/>
      <c r="E7" s="30"/>
      <c r="F7" s="29"/>
      <c r="G7" s="29"/>
      <c r="H7" s="31">
        <f>IF(A7="","",COUNTIF(Planos!$B$4:$B$303,A7))</f>
      </c>
      <c r="I7" s="32">
        <f t="shared" si="0"/>
      </c>
    </row>
    <row r="8" spans="1:9" x14ac:dyDescent="0.25">
      <c r="A8" s="27"/>
      <c r="B8" s="28"/>
      <c r="C8" s="29"/>
      <c r="D8" s="28"/>
      <c r="E8" s="30"/>
      <c r="F8" s="29"/>
      <c r="G8" s="29"/>
      <c r="H8" s="31">
        <f>IF(A8="","",COUNTIF(Planos!$B$4:$B$303,A8))</f>
      </c>
      <c r="I8" s="32">
        <f t="shared" si="0"/>
      </c>
    </row>
    <row r="9" spans="1:9" x14ac:dyDescent="0.25">
      <c r="A9" s="27"/>
      <c r="B9" s="28"/>
      <c r="C9" s="29"/>
      <c r="D9" s="28"/>
      <c r="E9" s="30"/>
      <c r="F9" s="29"/>
      <c r="G9" s="29"/>
      <c r="H9" s="31">
        <f>IF(A9="","",COUNTIF(Planos!$B$4:$B$303,A9))</f>
      </c>
      <c r="I9" s="32">
        <f t="shared" si="0"/>
      </c>
    </row>
    <row r="10" spans="1:9" x14ac:dyDescent="0.25">
      <c r="A10" s="27"/>
      <c r="B10" s="28"/>
      <c r="C10" s="29"/>
      <c r="D10" s="28"/>
      <c r="E10" s="30"/>
      <c r="F10" s="29"/>
      <c r="G10" s="29"/>
      <c r="H10" s="31">
        <f>IF(A10="","",COUNTIF(Planos!$B$4:$B$303,A10))</f>
      </c>
      <c r="I10" s="32">
        <f t="shared" si="0"/>
      </c>
    </row>
    <row r="11" spans="1:9" x14ac:dyDescent="0.25">
      <c r="A11" s="27"/>
      <c r="B11" s="28"/>
      <c r="C11" s="29"/>
      <c r="D11" s="28"/>
      <c r="E11" s="30"/>
      <c r="F11" s="29"/>
      <c r="G11" s="29"/>
      <c r="H11" s="31">
        <f>IF(A11="","",COUNTIF(Planos!$B$4:$B$303,A11))</f>
      </c>
      <c r="I11" s="32">
        <f t="shared" si="0"/>
      </c>
    </row>
    <row r="12" spans="1:9" x14ac:dyDescent="0.25">
      <c r="A12" s="27"/>
      <c r="B12" s="28"/>
      <c r="C12" s="29"/>
      <c r="D12" s="28"/>
      <c r="E12" s="30"/>
      <c r="F12" s="29"/>
      <c r="G12" s="29"/>
      <c r="H12" s="31">
        <f>IF(A12="","",COUNTIF(Planos!$B$4:$B$303,A12))</f>
      </c>
      <c r="I12" s="32">
        <f t="shared" si="0"/>
      </c>
    </row>
    <row r="13" spans="1:9" x14ac:dyDescent="0.25">
      <c r="A13" s="27"/>
      <c r="B13" s="28"/>
      <c r="C13" s="29"/>
      <c r="D13" s="28"/>
      <c r="E13" s="30"/>
      <c r="F13" s="29"/>
      <c r="G13" s="29"/>
      <c r="H13" s="31">
        <f>IF(A13="","",COUNTIF(Planos!$B$4:$B$303,A13))</f>
      </c>
      <c r="I13" s="32">
        <f t="shared" si="0"/>
      </c>
    </row>
    <row r="14" spans="1:9" x14ac:dyDescent="0.25">
      <c r="A14" s="27"/>
      <c r="B14" s="28"/>
      <c r="C14" s="29"/>
      <c r="D14" s="28"/>
      <c r="E14" s="30"/>
      <c r="F14" s="29"/>
      <c r="G14" s="29"/>
      <c r="H14" s="31">
        <f>IF(A14="","",COUNTIF(Planos!$B$4:$B$303,A14))</f>
      </c>
      <c r="I14" s="32">
        <f t="shared" si="0"/>
      </c>
    </row>
    <row r="15" spans="1:9" x14ac:dyDescent="0.25">
      <c r="A15" s="27"/>
      <c r="B15" s="28"/>
      <c r="C15" s="29"/>
      <c r="D15" s="28"/>
      <c r="E15" s="30"/>
      <c r="F15" s="29"/>
      <c r="G15" s="29"/>
      <c r="H15" s="31">
        <f>IF(A15="","",COUNTIF(Planos!$B$4:$B$303,A15))</f>
      </c>
      <c r="I15" s="32">
        <f t="shared" si="0"/>
      </c>
    </row>
    <row r="16" spans="1:9" x14ac:dyDescent="0.25">
      <c r="A16" s="27"/>
      <c r="B16" s="28"/>
      <c r="C16" s="29"/>
      <c r="D16" s="28"/>
      <c r="E16" s="30"/>
      <c r="F16" s="29"/>
      <c r="G16" s="29"/>
      <c r="H16" s="31">
        <f>IF(A16="","",COUNTIF(Planos!$B$4:$B$303,A16))</f>
      </c>
      <c r="I16" s="32">
        <f t="shared" si="0"/>
      </c>
    </row>
    <row r="17" spans="1:9" x14ac:dyDescent="0.25">
      <c r="A17" s="27"/>
      <c r="B17" s="28"/>
      <c r="C17" s="29"/>
      <c r="D17" s="28"/>
      <c r="E17" s="30"/>
      <c r="F17" s="29"/>
      <c r="G17" s="29"/>
      <c r="H17" s="31">
        <f>IF(A17="","",COUNTIF(Planos!$B$4:$B$303,A17))</f>
      </c>
      <c r="I17" s="32">
        <f t="shared" si="0"/>
      </c>
    </row>
    <row r="18" spans="1:9" x14ac:dyDescent="0.25">
      <c r="A18" s="27"/>
      <c r="B18" s="28"/>
      <c r="C18" s="29"/>
      <c r="D18" s="28"/>
      <c r="E18" s="30"/>
      <c r="F18" s="29"/>
      <c r="G18" s="29"/>
      <c r="H18" s="31">
        <f>IF(A18="","",COUNTIF(Planos!$B$4:$B$303,A18))</f>
      </c>
      <c r="I18" s="32">
        <f t="shared" si="0"/>
      </c>
    </row>
    <row r="19" spans="1:9" x14ac:dyDescent="0.25">
      <c r="A19" s="27"/>
      <c r="B19" s="28"/>
      <c r="C19" s="29"/>
      <c r="D19" s="28"/>
      <c r="E19" s="30"/>
      <c r="F19" s="29"/>
      <c r="G19" s="29"/>
      <c r="H19" s="31">
        <f>IF(A19="","",COUNTIF(Planos!$B$4:$B$303,A19))</f>
      </c>
      <c r="I19" s="32">
        <f t="shared" si="0"/>
      </c>
    </row>
    <row r="20" spans="1:9" x14ac:dyDescent="0.25">
      <c r="A20" s="27"/>
      <c r="B20" s="28"/>
      <c r="C20" s="29"/>
      <c r="D20" s="28"/>
      <c r="E20" s="30"/>
      <c r="F20" s="29"/>
      <c r="G20" s="29"/>
      <c r="H20" s="31">
        <f>IF(A20="","",COUNTIF(Planos!$B$4:$B$303,A20))</f>
      </c>
      <c r="I20" s="32">
        <f t="shared" si="0"/>
      </c>
    </row>
    <row r="21" spans="1:9" x14ac:dyDescent="0.25">
      <c r="A21" s="27"/>
      <c r="B21" s="28"/>
      <c r="C21" s="29"/>
      <c r="D21" s="28"/>
      <c r="E21" s="30"/>
      <c r="F21" s="29"/>
      <c r="G21" s="29"/>
      <c r="H21" s="31">
        <f>IF(A21="","",COUNTIF(Planos!$B$4:$B$303,A21))</f>
      </c>
      <c r="I21" s="32">
        <f t="shared" si="0"/>
      </c>
    </row>
    <row r="22" spans="1:9" x14ac:dyDescent="0.25">
      <c r="A22" s="27"/>
      <c r="B22" s="28"/>
      <c r="C22" s="29"/>
      <c r="D22" s="28"/>
      <c r="E22" s="30"/>
      <c r="F22" s="29"/>
      <c r="G22" s="29"/>
      <c r="H22" s="31">
        <f>IF(A22="","",COUNTIF(Planos!$B$4:$B$303,A22))</f>
      </c>
      <c r="I22" s="32">
        <f t="shared" si="0"/>
      </c>
    </row>
    <row r="23" spans="1:9" x14ac:dyDescent="0.25">
      <c r="A23" s="27"/>
      <c r="B23" s="28"/>
      <c r="C23" s="29"/>
      <c r="D23" s="28"/>
      <c r="E23" s="30"/>
      <c r="F23" s="29"/>
      <c r="G23" s="29"/>
      <c r="H23" s="31">
        <f>IF(A23="","",COUNTIF(Planos!$B$4:$B$303,A23))</f>
      </c>
      <c r="I23" s="32">
        <f t="shared" si="0"/>
      </c>
    </row>
    <row r="24" spans="1:9" x14ac:dyDescent="0.25">
      <c r="A24" s="27"/>
      <c r="B24" s="28"/>
      <c r="C24" s="29"/>
      <c r="D24" s="28"/>
      <c r="E24" s="30"/>
      <c r="F24" s="29"/>
      <c r="G24" s="29"/>
      <c r="H24" s="31">
        <f>IF(A24="","",COUNTIF(Planos!$B$4:$B$303,A24))</f>
      </c>
      <c r="I24" s="32">
        <f t="shared" si="0"/>
      </c>
    </row>
    <row r="25" spans="1:9" x14ac:dyDescent="0.25">
      <c r="A25" s="27"/>
      <c r="B25" s="28"/>
      <c r="C25" s="29"/>
      <c r="D25" s="28"/>
      <c r="E25" s="30"/>
      <c r="F25" s="29"/>
      <c r="G25" s="29"/>
      <c r="H25" s="31">
        <f>IF(A25="","",COUNTIF(Planos!$B$4:$B$303,A25))</f>
      </c>
      <c r="I25" s="32">
        <f t="shared" si="0"/>
      </c>
    </row>
    <row r="26" spans="1:9" x14ac:dyDescent="0.25">
      <c r="A26" s="27"/>
      <c r="B26" s="28"/>
      <c r="C26" s="29"/>
      <c r="D26" s="28"/>
      <c r="E26" s="30"/>
      <c r="F26" s="29"/>
      <c r="G26" s="29"/>
      <c r="H26" s="31">
        <f>IF(A26="","",COUNTIF(Planos!$B$4:$B$303,A26))</f>
      </c>
      <c r="I26" s="32">
        <f t="shared" si="0"/>
      </c>
    </row>
    <row r="27" spans="1:9" x14ac:dyDescent="0.25">
      <c r="A27" s="27"/>
      <c r="B27" s="28"/>
      <c r="C27" s="29"/>
      <c r="D27" s="28"/>
      <c r="E27" s="30"/>
      <c r="F27" s="29"/>
      <c r="G27" s="29"/>
      <c r="H27" s="31">
        <f>IF(A27="","",COUNTIF(Planos!$B$4:$B$303,A27))</f>
      </c>
      <c r="I27" s="32">
        <f t="shared" si="0"/>
      </c>
    </row>
    <row r="28" spans="1:9" x14ac:dyDescent="0.25">
      <c r="A28" s="27"/>
      <c r="B28" s="28"/>
      <c r="C28" s="29"/>
      <c r="D28" s="28"/>
      <c r="E28" s="30"/>
      <c r="F28" s="29"/>
      <c r="G28" s="29"/>
      <c r="H28" s="31">
        <f>IF(A28="","",COUNTIF(Planos!$B$4:$B$303,A28))</f>
      </c>
      <c r="I28" s="32">
        <f t="shared" si="0"/>
      </c>
    </row>
    <row r="29" spans="1:9" x14ac:dyDescent="0.25">
      <c r="A29" s="27"/>
      <c r="B29" s="28"/>
      <c r="C29" s="29"/>
      <c r="D29" s="28"/>
      <c r="E29" s="30"/>
      <c r="F29" s="29"/>
      <c r="G29" s="29"/>
      <c r="H29" s="31">
        <f>IF(A29="","",COUNTIF(Planos!$B$4:$B$303,A29))</f>
      </c>
      <c r="I29" s="32">
        <f t="shared" si="0"/>
      </c>
    </row>
    <row r="30" spans="1:9" x14ac:dyDescent="0.25">
      <c r="A30" s="27"/>
      <c r="B30" s="28"/>
      <c r="C30" s="29"/>
      <c r="D30" s="28"/>
      <c r="E30" s="30"/>
      <c r="F30" s="29"/>
      <c r="G30" s="29"/>
      <c r="H30" s="31">
        <f>IF(A30="","",COUNTIF(Planos!$B$4:$B$303,A30))</f>
      </c>
      <c r="I30" s="32">
        <f t="shared" si="0"/>
      </c>
    </row>
    <row r="31" spans="1:9" x14ac:dyDescent="0.25">
      <c r="A31" s="27"/>
      <c r="B31" s="28"/>
      <c r="C31" s="29"/>
      <c r="D31" s="28"/>
      <c r="E31" s="30"/>
      <c r="F31" s="29"/>
      <c r="G31" s="29"/>
      <c r="H31" s="31">
        <f>IF(A31="","",COUNTIF(Planos!$B$4:$B$303,A31))</f>
      </c>
      <c r="I31" s="32">
        <f t="shared" si="0"/>
      </c>
    </row>
    <row r="32" spans="1:9" x14ac:dyDescent="0.25">
      <c r="A32" s="27"/>
      <c r="B32" s="28"/>
      <c r="C32" s="29"/>
      <c r="D32" s="28"/>
      <c r="E32" s="30"/>
      <c r="F32" s="29"/>
      <c r="G32" s="29"/>
      <c r="H32" s="31">
        <f>IF(A32="","",COUNTIF(Planos!$B$4:$B$303,A32))</f>
      </c>
      <c r="I32" s="32">
        <f t="shared" si="0"/>
      </c>
    </row>
    <row r="33" spans="1:9" x14ac:dyDescent="0.25">
      <c r="A33" s="27"/>
      <c r="B33" s="28"/>
      <c r="C33" s="29"/>
      <c r="D33" s="28"/>
      <c r="E33" s="30"/>
      <c r="F33" s="29"/>
      <c r="G33" s="29"/>
      <c r="H33" s="31">
        <f>IF(A33="","",COUNTIF(Planos!$B$4:$B$303,A33))</f>
      </c>
      <c r="I33" s="32">
        <f t="shared" si="0"/>
      </c>
    </row>
    <row r="34" spans="1:9" x14ac:dyDescent="0.25">
      <c r="A34" s="27"/>
      <c r="B34" s="28"/>
      <c r="C34" s="29"/>
      <c r="D34" s="28"/>
      <c r="E34" s="30"/>
      <c r="F34" s="29"/>
      <c r="G34" s="29"/>
      <c r="H34" s="31">
        <f>IF(A34="","",COUNTIF(Planos!$B$4:$B$303,A34))</f>
      </c>
      <c r="I34" s="32">
        <f t="shared" si="0"/>
      </c>
    </row>
    <row r="35" spans="1:9" x14ac:dyDescent="0.25">
      <c r="A35" s="27"/>
      <c r="B35" s="28"/>
      <c r="C35" s="29"/>
      <c r="D35" s="28"/>
      <c r="E35" s="30"/>
      <c r="F35" s="29"/>
      <c r="G35" s="29"/>
      <c r="H35" s="31">
        <f>IF(A35="","",COUNTIF(Planos!$B$4:$B$303,A35))</f>
      </c>
      <c r="I35" s="32">
        <f t="shared" si="0"/>
      </c>
    </row>
    <row r="36" spans="1:9" x14ac:dyDescent="0.25">
      <c r="A36" s="27"/>
      <c r="B36" s="28"/>
      <c r="C36" s="29"/>
      <c r="D36" s="28"/>
      <c r="E36" s="30"/>
      <c r="F36" s="29"/>
      <c r="G36" s="29"/>
      <c r="H36" s="31">
        <f>IF(A36="","",COUNTIF(Planos!$B$4:$B$303,A36))</f>
      </c>
      <c r="I36" s="32">
        <f t="shared" si="0"/>
      </c>
    </row>
    <row r="37" spans="1:9" x14ac:dyDescent="0.25">
      <c r="A37" s="27"/>
      <c r="B37" s="28"/>
      <c r="C37" s="29"/>
      <c r="D37" s="28"/>
      <c r="E37" s="30"/>
      <c r="F37" s="29"/>
      <c r="G37" s="29"/>
      <c r="H37" s="31">
        <f>IF(A37="","",COUNTIF(Planos!$B$4:$B$303,A37))</f>
      </c>
      <c r="I37" s="32">
        <f t="shared" si="0"/>
      </c>
    </row>
    <row r="38" spans="1:9" x14ac:dyDescent="0.25">
      <c r="A38" s="27"/>
      <c r="B38" s="28"/>
      <c r="C38" s="29"/>
      <c r="D38" s="28"/>
      <c r="E38" s="30"/>
      <c r="F38" s="29"/>
      <c r="G38" s="29"/>
      <c r="H38" s="31">
        <f>IF(A38="","",COUNTIF(Planos!$B$4:$B$303,A38))</f>
      </c>
      <c r="I38" s="32">
        <f t="shared" si="0"/>
      </c>
    </row>
    <row r="39" spans="1:9" x14ac:dyDescent="0.25">
      <c r="A39" s="27"/>
      <c r="B39" s="28"/>
      <c r="C39" s="29"/>
      <c r="D39" s="28"/>
      <c r="E39" s="30"/>
      <c r="F39" s="29"/>
      <c r="G39" s="29"/>
      <c r="H39" s="31">
        <f>IF(A39="","",COUNTIF(Planos!$B$4:$B$303,A39))</f>
      </c>
      <c r="I39" s="32">
        <f t="shared" si="0"/>
      </c>
    </row>
    <row r="40" spans="1:9" x14ac:dyDescent="0.25">
      <c r="A40" s="27"/>
      <c r="B40" s="28"/>
      <c r="C40" s="29"/>
      <c r="D40" s="28"/>
      <c r="E40" s="30"/>
      <c r="F40" s="29"/>
      <c r="G40" s="29"/>
      <c r="H40" s="31">
        <f>IF(A40="","",COUNTIF(Planos!$B$4:$B$303,A40))</f>
      </c>
      <c r="I40" s="32">
        <f t="shared" si="0"/>
      </c>
    </row>
    <row r="41" spans="1:9" x14ac:dyDescent="0.25">
      <c r="A41" s="27"/>
      <c r="B41" s="28"/>
      <c r="C41" s="29"/>
      <c r="D41" s="28"/>
      <c r="E41" s="30"/>
      <c r="F41" s="29"/>
      <c r="G41" s="29"/>
      <c r="H41" s="31">
        <f>IF(A41="","",COUNTIF(Planos!$B$4:$B$303,A41))</f>
      </c>
      <c r="I41" s="32">
        <f t="shared" si="0"/>
      </c>
    </row>
    <row r="42" spans="1:9" x14ac:dyDescent="0.25">
      <c r="A42" s="27"/>
      <c r="B42" s="28"/>
      <c r="C42" s="29"/>
      <c r="D42" s="28"/>
      <c r="E42" s="30"/>
      <c r="F42" s="29"/>
      <c r="G42" s="29"/>
      <c r="H42" s="31">
        <f>IF(A42="","",COUNTIF(Planos!$B$4:$B$303,A42))</f>
      </c>
      <c r="I42" s="32">
        <f t="shared" si="0"/>
      </c>
    </row>
    <row r="43" spans="1:9" x14ac:dyDescent="0.25">
      <c r="A43" s="27"/>
      <c r="B43" s="28"/>
      <c r="C43" s="29"/>
      <c r="D43" s="28"/>
      <c r="E43" s="30"/>
      <c r="F43" s="29"/>
      <c r="G43" s="29"/>
      <c r="H43" s="31">
        <f>IF(A43="","",COUNTIF(Planos!$B$4:$B$303,A43))</f>
      </c>
      <c r="I43" s="32">
        <f t="shared" si="0"/>
      </c>
    </row>
    <row r="44" spans="1:9" x14ac:dyDescent="0.25">
      <c r="A44" s="27"/>
      <c r="B44" s="28"/>
      <c r="C44" s="29"/>
      <c r="D44" s="28"/>
      <c r="E44" s="30"/>
      <c r="F44" s="29"/>
      <c r="G44" s="29"/>
      <c r="H44" s="31">
        <f>IF(A44="","",COUNTIF(Planos!$B$4:$B$303,A44))</f>
      </c>
      <c r="I44" s="32">
        <f t="shared" si="0"/>
      </c>
    </row>
    <row r="45" spans="1:9" x14ac:dyDescent="0.25">
      <c r="A45" s="27"/>
      <c r="B45" s="28"/>
      <c r="C45" s="29"/>
      <c r="D45" s="28"/>
      <c r="E45" s="30"/>
      <c r="F45" s="29"/>
      <c r="G45" s="29"/>
      <c r="H45" s="31">
        <f>IF(A45="","",COUNTIF(Planos!$B$4:$B$303,A45))</f>
      </c>
      <c r="I45" s="32">
        <f t="shared" si="0"/>
      </c>
    </row>
    <row r="46" spans="1:9" x14ac:dyDescent="0.25">
      <c r="A46" s="27"/>
      <c r="B46" s="28"/>
      <c r="C46" s="29"/>
      <c r="D46" s="28"/>
      <c r="E46" s="30"/>
      <c r="F46" s="29"/>
      <c r="G46" s="29"/>
      <c r="H46" s="31">
        <f>IF(A46="","",COUNTIF(Planos!$B$4:$B$303,A46))</f>
      </c>
      <c r="I46" s="32">
        <f t="shared" si="0"/>
      </c>
    </row>
    <row r="47" spans="1:9" x14ac:dyDescent="0.25">
      <c r="A47" s="27"/>
      <c r="B47" s="28"/>
      <c r="C47" s="29"/>
      <c r="D47" s="28"/>
      <c r="E47" s="30"/>
      <c r="F47" s="29"/>
      <c r="G47" s="29"/>
      <c r="H47" s="31">
        <f>IF(A47="","",COUNTIF(Planos!$B$4:$B$303,A47))</f>
      </c>
      <c r="I47" s="32">
        <f t="shared" si="0"/>
      </c>
    </row>
    <row r="48" spans="1:9" x14ac:dyDescent="0.25">
      <c r="A48" s="27"/>
      <c r="B48" s="28"/>
      <c r="C48" s="29"/>
      <c r="D48" s="28"/>
      <c r="E48" s="30"/>
      <c r="F48" s="29"/>
      <c r="G48" s="29"/>
      <c r="H48" s="31">
        <f>IF(A48="","",COUNTIF(Planos!$B$4:$B$303,A48))</f>
      </c>
      <c r="I48" s="32">
        <f t="shared" si="0"/>
      </c>
    </row>
    <row r="49" spans="1:9" x14ac:dyDescent="0.25">
      <c r="A49" s="27"/>
      <c r="B49" s="28"/>
      <c r="C49" s="29"/>
      <c r="D49" s="28"/>
      <c r="E49" s="30"/>
      <c r="F49" s="29"/>
      <c r="G49" s="29"/>
      <c r="H49" s="31">
        <f>IF(A49="","",COUNTIF(Planos!$B$4:$B$303,A49))</f>
      </c>
      <c r="I49" s="32">
        <f t="shared" si="0"/>
      </c>
    </row>
    <row r="50" spans="1:9" x14ac:dyDescent="0.25">
      <c r="A50" s="27"/>
      <c r="B50" s="28"/>
      <c r="C50" s="29"/>
      <c r="D50" s="28"/>
      <c r="E50" s="30"/>
      <c r="F50" s="29"/>
      <c r="G50" s="29"/>
      <c r="H50" s="31">
        <f>IF(A50="","",COUNTIF(Planos!$B$4:$B$303,A50))</f>
      </c>
      <c r="I50" s="32">
        <f t="shared" si="0"/>
      </c>
    </row>
    <row r="51" spans="1:9" x14ac:dyDescent="0.25">
      <c r="A51" s="27"/>
      <c r="B51" s="28"/>
      <c r="C51" s="29"/>
      <c r="D51" s="28"/>
      <c r="E51" s="30"/>
      <c r="F51" s="29"/>
      <c r="G51" s="29"/>
      <c r="H51" s="31">
        <f>IF(A51="","",COUNTIF(Planos!$B$4:$B$303,A51))</f>
      </c>
      <c r="I51" s="32">
        <f t="shared" si="0"/>
      </c>
    </row>
    <row r="52" spans="1:9" x14ac:dyDescent="0.25">
      <c r="A52" s="27"/>
      <c r="B52" s="28"/>
      <c r="C52" s="29"/>
      <c r="D52" s="28"/>
      <c r="E52" s="30"/>
      <c r="F52" s="29"/>
      <c r="G52" s="29"/>
      <c r="H52" s="31">
        <f>IF(A52="","",COUNTIF(Planos!$B$4:$B$303,A52))</f>
      </c>
      <c r="I52" s="32">
        <f t="shared" si="0"/>
      </c>
    </row>
    <row r="53" spans="1:9" x14ac:dyDescent="0.25">
      <c r="A53" s="27"/>
      <c r="B53" s="28"/>
      <c r="C53" s="29"/>
      <c r="D53" s="28"/>
      <c r="E53" s="30"/>
      <c r="F53" s="29"/>
      <c r="G53" s="29"/>
      <c r="H53" s="31">
        <f>IF(A53="","",COUNTIF(Planos!$B$4:$B$303,A53))</f>
      </c>
      <c r="I53" s="32">
        <f t="shared" si="0"/>
      </c>
    </row>
    <row r="54" spans="1:9" x14ac:dyDescent="0.25">
      <c r="A54" s="27"/>
      <c r="B54" s="28"/>
      <c r="C54" s="29"/>
      <c r="D54" s="28"/>
      <c r="E54" s="30"/>
      <c r="F54" s="29"/>
      <c r="G54" s="29"/>
      <c r="H54" s="31">
        <f>IF(A54="","",COUNTIF(Planos!$B$4:$B$303,A54))</f>
      </c>
      <c r="I54" s="32">
        <f t="shared" si="0"/>
      </c>
    </row>
    <row r="55" spans="1:9" x14ac:dyDescent="0.25">
      <c r="A55" s="27"/>
      <c r="B55" s="28"/>
      <c r="C55" s="29"/>
      <c r="D55" s="28"/>
      <c r="E55" s="30"/>
      <c r="F55" s="29"/>
      <c r="G55" s="29"/>
      <c r="H55" s="31">
        <f>IF(A55="","",COUNTIF(Planos!$B$4:$B$303,A55))</f>
      </c>
      <c r="I55" s="32">
        <f t="shared" si="0"/>
      </c>
    </row>
    <row r="56" spans="1:9" x14ac:dyDescent="0.25">
      <c r="A56" s="27"/>
      <c r="B56" s="28"/>
      <c r="C56" s="29"/>
      <c r="D56" s="28"/>
      <c r="E56" s="30"/>
      <c r="F56" s="29"/>
      <c r="G56" s="29"/>
      <c r="H56" s="31">
        <f>IF(A56="","",COUNTIF(Planos!$B$4:$B$303,A56))</f>
      </c>
      <c r="I56" s="32">
        <f t="shared" si="0"/>
      </c>
    </row>
    <row r="57" spans="1:9" x14ac:dyDescent="0.25">
      <c r="A57" s="27"/>
      <c r="B57" s="28"/>
      <c r="C57" s="29"/>
      <c r="D57" s="28"/>
      <c r="E57" s="30"/>
      <c r="F57" s="29"/>
      <c r="G57" s="29"/>
      <c r="H57" s="31">
        <f>IF(A57="","",COUNTIF(Planos!$B$4:$B$303,A57))</f>
      </c>
      <c r="I57" s="32">
        <f t="shared" si="0"/>
      </c>
    </row>
    <row r="58" spans="1:9" x14ac:dyDescent="0.25">
      <c r="A58" s="27"/>
      <c r="B58" s="28"/>
      <c r="C58" s="29"/>
      <c r="D58" s="28"/>
      <c r="E58" s="30"/>
      <c r="F58" s="29"/>
      <c r="G58" s="29"/>
      <c r="H58" s="31">
        <f>IF(A58="","",COUNTIF(Planos!$B$4:$B$303,A58))</f>
      </c>
      <c r="I58" s="32">
        <f t="shared" si="0"/>
      </c>
    </row>
    <row r="59" spans="1:9" x14ac:dyDescent="0.25">
      <c r="A59" s="27"/>
      <c r="B59" s="28"/>
      <c r="C59" s="29"/>
      <c r="D59" s="28"/>
      <c r="E59" s="30"/>
      <c r="F59" s="29"/>
      <c r="G59" s="29"/>
      <c r="H59" s="31">
        <f>IF(A59="","",COUNTIF(Planos!$B$4:$B$303,A59))</f>
      </c>
      <c r="I59" s="32">
        <f t="shared" si="0"/>
      </c>
    </row>
    <row r="60" spans="1:9" x14ac:dyDescent="0.25">
      <c r="A60" s="27"/>
      <c r="B60" s="28"/>
      <c r="C60" s="29"/>
      <c r="D60" s="28"/>
      <c r="E60" s="30"/>
      <c r="F60" s="29"/>
      <c r="G60" s="29"/>
      <c r="H60" s="31">
        <f>IF(A60="","",COUNTIF(Planos!$B$4:$B$303,A60))</f>
      </c>
      <c r="I60" s="32">
        <f t="shared" si="0"/>
      </c>
    </row>
    <row r="61" spans="1:9" x14ac:dyDescent="0.25">
      <c r="A61" s="27"/>
      <c r="B61" s="28"/>
      <c r="C61" s="29"/>
      <c r="D61" s="28"/>
      <c r="E61" s="30"/>
      <c r="F61" s="29"/>
      <c r="G61" s="29"/>
      <c r="H61" s="31">
        <f>IF(A61="","",COUNTIF(Planos!$B$4:$B$303,A61))</f>
      </c>
      <c r="I61" s="32">
        <f t="shared" si="0"/>
      </c>
    </row>
    <row r="62" spans="1:9" x14ac:dyDescent="0.25">
      <c r="A62" s="27"/>
      <c r="B62" s="28"/>
      <c r="C62" s="29"/>
      <c r="D62" s="28"/>
      <c r="E62" s="30"/>
      <c r="F62" s="29"/>
      <c r="G62" s="29"/>
      <c r="H62" s="31">
        <f>IF(A62="","",COUNTIF(Planos!$B$4:$B$303,A62))</f>
      </c>
      <c r="I62" s="32">
        <f t="shared" si="0"/>
      </c>
    </row>
    <row r="63" spans="1:9" x14ac:dyDescent="0.25">
      <c r="A63" s="27"/>
      <c r="B63" s="28"/>
      <c r="C63" s="29"/>
      <c r="D63" s="28"/>
      <c r="E63" s="30"/>
      <c r="F63" s="29"/>
      <c r="G63" s="29"/>
      <c r="H63" s="31">
        <f>IF(A63="","",COUNTIF(Planos!$B$4:$B$303,A63))</f>
      </c>
      <c r="I63" s="32">
        <f t="shared" si="0"/>
      </c>
    </row>
    <row r="64" spans="1:9" x14ac:dyDescent="0.25">
      <c r="A64" s="27"/>
      <c r="B64" s="28"/>
      <c r="C64" s="29"/>
      <c r="D64" s="28"/>
      <c r="E64" s="30"/>
      <c r="F64" s="29"/>
      <c r="G64" s="29"/>
      <c r="H64" s="31">
        <f>IF(A64="","",COUNTIF(Planos!$B$4:$B$303,A64))</f>
      </c>
      <c r="I64" s="32">
        <f t="shared" si="0"/>
      </c>
    </row>
    <row r="65" spans="1:9" x14ac:dyDescent="0.25">
      <c r="A65" s="27"/>
      <c r="B65" s="28"/>
      <c r="C65" s="29"/>
      <c r="D65" s="28"/>
      <c r="E65" s="30"/>
      <c r="F65" s="29"/>
      <c r="G65" s="29"/>
      <c r="H65" s="31">
        <f>IF(A65="","",COUNTIF(Planos!$B$4:$B$303,A65))</f>
      </c>
      <c r="I65" s="32">
        <f t="shared" si="0"/>
      </c>
    </row>
    <row r="66" spans="1:9" x14ac:dyDescent="0.25">
      <c r="A66" s="27"/>
      <c r="B66" s="28"/>
      <c r="C66" s="29"/>
      <c r="D66" s="28"/>
      <c r="E66" s="30"/>
      <c r="F66" s="29"/>
      <c r="G66" s="29"/>
      <c r="H66" s="31">
        <f>IF(A66="","",COUNTIF(Planos!$B$4:$B$303,A66))</f>
      </c>
      <c r="I66" s="32">
        <f t="shared" si="0"/>
      </c>
    </row>
    <row r="67" spans="1:9" x14ac:dyDescent="0.25">
      <c r="A67" s="27"/>
      <c r="B67" s="28"/>
      <c r="C67" s="29"/>
      <c r="D67" s="28"/>
      <c r="E67" s="30"/>
      <c r="F67" s="29"/>
      <c r="G67" s="29"/>
      <c r="H67" s="31">
        <f>IF(A67="","",COUNTIF(Planos!$B$4:$B$303,A67))</f>
      </c>
      <c r="I67" s="32">
        <f t="shared" si="0"/>
      </c>
    </row>
    <row r="68" spans="1:9" x14ac:dyDescent="0.25">
      <c r="A68" s="27"/>
      <c r="B68" s="28"/>
      <c r="C68" s="29"/>
      <c r="D68" s="28"/>
      <c r="E68" s="30"/>
      <c r="F68" s="29"/>
      <c r="G68" s="29"/>
      <c r="H68" s="31">
        <f>IF(A68="","",COUNTIF(Planos!$B$4:$B$303,A68))</f>
      </c>
      <c r="I68" s="32">
        <f t="shared" si="0"/>
      </c>
    </row>
    <row r="69" spans="1:9" x14ac:dyDescent="0.25">
      <c r="A69" s="27"/>
      <c r="B69" s="28"/>
      <c r="C69" s="29"/>
      <c r="D69" s="28"/>
      <c r="E69" s="30"/>
      <c r="F69" s="29"/>
      <c r="G69" s="29"/>
      <c r="H69" s="31">
        <f>IF(A69="","",COUNTIF(Planos!$B$4:$B$303,A69))</f>
      </c>
      <c r="I69" s="32">
        <f t="shared" si="0"/>
      </c>
    </row>
    <row r="70" spans="1:9" x14ac:dyDescent="0.25">
      <c r="A70" s="27"/>
      <c r="B70" s="28"/>
      <c r="C70" s="29"/>
      <c r="D70" s="28"/>
      <c r="E70" s="30"/>
      <c r="F70" s="29"/>
      <c r="G70" s="29"/>
      <c r="H70" s="31">
        <f>IF(A70="","",COUNTIF(Planos!$B$4:$B$303,A70))</f>
      </c>
      <c r="I70" s="32">
        <f t="shared" si="0"/>
      </c>
    </row>
    <row r="71" spans="1:9" x14ac:dyDescent="0.25">
      <c r="A71" s="27"/>
      <c r="B71" s="28"/>
      <c r="C71" s="29"/>
      <c r="D71" s="28"/>
      <c r="E71" s="30"/>
      <c r="F71" s="29"/>
      <c r="G71" s="29"/>
      <c r="H71" s="31">
        <f>IF(A71="","",COUNTIF(Planos!$B$4:$B$303,A71))</f>
      </c>
      <c r="I71" s="32">
        <f t="shared" si="0"/>
      </c>
    </row>
    <row r="72" spans="1:9" x14ac:dyDescent="0.25">
      <c r="A72" s="27"/>
      <c r="B72" s="28"/>
      <c r="C72" s="29"/>
      <c r="D72" s="28"/>
      <c r="E72" s="30"/>
      <c r="F72" s="29"/>
      <c r="G72" s="29"/>
      <c r="H72" s="31">
        <f>IF(A72="","",COUNTIF(Planos!$B$4:$B$303,A72))</f>
      </c>
      <c r="I72" s="32">
        <f t="shared" si="0"/>
      </c>
    </row>
    <row r="73" spans="1:9" x14ac:dyDescent="0.25">
      <c r="A73" s="27"/>
      <c r="B73" s="28"/>
      <c r="C73" s="29"/>
      <c r="D73" s="28"/>
      <c r="E73" s="30"/>
      <c r="F73" s="29"/>
      <c r="G73" s="29"/>
      <c r="H73" s="31">
        <f>IF(A73="","",COUNTIF(Planos!$B$4:$B$303,A73))</f>
      </c>
      <c r="I73" s="32">
        <f t="shared" si="0"/>
      </c>
    </row>
    <row r="74" spans="1:9" x14ac:dyDescent="0.25">
      <c r="A74" s="27"/>
      <c r="B74" s="28"/>
      <c r="C74" s="29"/>
      <c r="D74" s="28"/>
      <c r="E74" s="30"/>
      <c r="F74" s="29"/>
      <c r="G74" s="29"/>
      <c r="H74" s="31">
        <f>IF(A74="","",COUNTIF(Planos!$B$4:$B$303,A74))</f>
      </c>
      <c r="I74" s="32">
        <f t="shared" si="0"/>
      </c>
    </row>
    <row r="75" spans="1:9" x14ac:dyDescent="0.25">
      <c r="A75" s="27"/>
      <c r="B75" s="28"/>
      <c r="C75" s="29"/>
      <c r="D75" s="28"/>
      <c r="E75" s="30"/>
      <c r="F75" s="29"/>
      <c r="G75" s="29"/>
      <c r="H75" s="31">
        <f>IF(A75="","",COUNTIF(Planos!$B$4:$B$303,A75))</f>
      </c>
      <c r="I75" s="32">
        <f t="shared" si="0"/>
      </c>
    </row>
    <row r="76" spans="1:9" x14ac:dyDescent="0.25">
      <c r="A76" s="27"/>
      <c r="B76" s="28"/>
      <c r="C76" s="29"/>
      <c r="D76" s="28"/>
      <c r="E76" s="30"/>
      <c r="F76" s="29"/>
      <c r="G76" s="29"/>
      <c r="H76" s="31">
        <f>IF(A76="","",COUNTIF(Planos!$B$4:$B$303,A76))</f>
      </c>
      <c r="I76" s="32">
        <f t="shared" si="0"/>
      </c>
    </row>
    <row r="77" spans="1:9" x14ac:dyDescent="0.25">
      <c r="A77" s="27"/>
      <c r="B77" s="28"/>
      <c r="C77" s="29"/>
      <c r="D77" s="28"/>
      <c r="E77" s="30"/>
      <c r="F77" s="29"/>
      <c r="G77" s="29"/>
      <c r="H77" s="31">
        <f>IF(A77="","",COUNTIF(Planos!$B$4:$B$303,A77))</f>
      </c>
      <c r="I77" s="32">
        <f t="shared" si="0"/>
      </c>
    </row>
    <row r="78" spans="1:9" x14ac:dyDescent="0.25">
      <c r="A78" s="27"/>
      <c r="B78" s="28"/>
      <c r="C78" s="29"/>
      <c r="D78" s="28"/>
      <c r="E78" s="30"/>
      <c r="F78" s="29"/>
      <c r="G78" s="29"/>
      <c r="H78" s="31">
        <f>IF(A78="","",COUNTIF(Planos!$B$4:$B$303,A78))</f>
      </c>
      <c r="I78" s="32">
        <f t="shared" si="0"/>
      </c>
    </row>
    <row r="79" spans="1:9" x14ac:dyDescent="0.25">
      <c r="A79" s="27"/>
      <c r="B79" s="28"/>
      <c r="C79" s="29"/>
      <c r="D79" s="28"/>
      <c r="E79" s="30"/>
      <c r="F79" s="29"/>
      <c r="G79" s="29"/>
      <c r="H79" s="31">
        <f>IF(A79="","",COUNTIF(Planos!$B$4:$B$303,A79))</f>
      </c>
      <c r="I79" s="32">
        <f t="shared" si="0"/>
      </c>
    </row>
    <row r="80" spans="1:9" x14ac:dyDescent="0.25">
      <c r="A80" s="27"/>
      <c r="B80" s="28"/>
      <c r="C80" s="29"/>
      <c r="D80" s="28"/>
      <c r="E80" s="30"/>
      <c r="F80" s="29"/>
      <c r="G80" s="29"/>
      <c r="H80" s="31">
        <f>IF(A80="","",COUNTIF(Planos!$B$4:$B$303,A80))</f>
      </c>
      <c r="I80" s="32">
        <f t="shared" si="0"/>
      </c>
    </row>
    <row r="81" spans="1:9" x14ac:dyDescent="0.25">
      <c r="A81" s="27"/>
      <c r="B81" s="28"/>
      <c r="C81" s="29"/>
      <c r="D81" s="28"/>
      <c r="E81" s="30"/>
      <c r="F81" s="29"/>
      <c r="G81" s="29"/>
      <c r="H81" s="31">
        <f>IF(A81="","",COUNTIF(Planos!$B$4:$B$303,A81))</f>
      </c>
      <c r="I81" s="32">
        <f t="shared" si="0"/>
      </c>
    </row>
    <row r="82" spans="1:9" x14ac:dyDescent="0.25">
      <c r="A82" s="27"/>
      <c r="B82" s="28"/>
      <c r="C82" s="29"/>
      <c r="D82" s="28"/>
      <c r="E82" s="30"/>
      <c r="F82" s="29"/>
      <c r="G82" s="29"/>
      <c r="H82" s="31">
        <f>IF(A82="","",COUNTIF(Planos!$B$4:$B$303,A82))</f>
      </c>
      <c r="I82" s="32">
        <f t="shared" si="0"/>
      </c>
    </row>
    <row r="83" spans="1:9" x14ac:dyDescent="0.25">
      <c r="A83" s="27"/>
      <c r="B83" s="28"/>
      <c r="C83" s="29"/>
      <c r="D83" s="28"/>
      <c r="E83" s="30"/>
      <c r="F83" s="29"/>
      <c r="G83" s="29"/>
      <c r="H83" s="31">
        <f>IF(A83="","",COUNTIF(Planos!$B$4:$B$303,A83))</f>
      </c>
      <c r="I83" s="32">
        <f t="shared" si="0"/>
      </c>
    </row>
    <row r="84" spans="1:9" x14ac:dyDescent="0.25">
      <c r="A84" s="27"/>
      <c r="B84" s="28"/>
      <c r="C84" s="29"/>
      <c r="D84" s="28"/>
      <c r="E84" s="30"/>
      <c r="F84" s="29"/>
      <c r="G84" s="29"/>
      <c r="H84" s="31">
        <f>IF(A84="","",COUNTIF(Planos!$B$4:$B$303,A84))</f>
      </c>
      <c r="I84" s="32">
        <f t="shared" si="0"/>
      </c>
    </row>
    <row r="85" spans="1:9" x14ac:dyDescent="0.25">
      <c r="A85" s="27"/>
      <c r="B85" s="28"/>
      <c r="C85" s="29"/>
      <c r="D85" s="28"/>
      <c r="E85" s="30"/>
      <c r="F85" s="29"/>
      <c r="G85" s="29"/>
      <c r="H85" s="31">
        <f>IF(A85="","",COUNTIF(Planos!$B$4:$B$303,A85))</f>
      </c>
      <c r="I85" s="32">
        <f t="shared" si="0"/>
      </c>
    </row>
    <row r="86" spans="1:9" x14ac:dyDescent="0.25">
      <c r="A86" s="27"/>
      <c r="B86" s="28"/>
      <c r="C86" s="29"/>
      <c r="D86" s="28"/>
      <c r="E86" s="30"/>
      <c r="F86" s="29"/>
      <c r="G86" s="29"/>
      <c r="H86" s="31">
        <f>IF(A86="","",COUNTIF(Planos!$B$4:$B$303,A86))</f>
      </c>
      <c r="I86" s="32">
        <f t="shared" si="0"/>
      </c>
    </row>
    <row r="87" spans="1:9" x14ac:dyDescent="0.25">
      <c r="A87" s="27"/>
      <c r="B87" s="28"/>
      <c r="C87" s="29"/>
      <c r="D87" s="28"/>
      <c r="E87" s="30"/>
      <c r="F87" s="29"/>
      <c r="G87" s="29"/>
      <c r="H87" s="31">
        <f>IF(A87="","",COUNTIF(Planos!$B$4:$B$303,A87))</f>
      </c>
      <c r="I87" s="32">
        <f t="shared" si="0"/>
      </c>
    </row>
    <row r="88" spans="1:9" x14ac:dyDescent="0.25">
      <c r="A88" s="27"/>
      <c r="B88" s="28"/>
      <c r="C88" s="29"/>
      <c r="D88" s="28"/>
      <c r="E88" s="30"/>
      <c r="F88" s="29"/>
      <c r="G88" s="29"/>
      <c r="H88" s="31">
        <f>IF(A88="","",COUNTIF(Planos!$B$4:$B$303,A88))</f>
      </c>
      <c r="I88" s="32">
        <f t="shared" si="0"/>
      </c>
    </row>
    <row r="89" spans="1:9" x14ac:dyDescent="0.25">
      <c r="A89" s="27"/>
      <c r="B89" s="28"/>
      <c r="C89" s="29"/>
      <c r="D89" s="28"/>
      <c r="E89" s="30"/>
      <c r="F89" s="29"/>
      <c r="G89" s="29"/>
      <c r="H89" s="31">
        <f>IF(A89="","",COUNTIF(Planos!$B$4:$B$303,A89))</f>
      </c>
      <c r="I89" s="32">
        <f t="shared" si="0"/>
      </c>
    </row>
    <row r="90" spans="1:9" x14ac:dyDescent="0.25">
      <c r="A90" s="27"/>
      <c r="B90" s="28"/>
      <c r="C90" s="29"/>
      <c r="D90" s="28"/>
      <c r="E90" s="30"/>
      <c r="F90" s="29"/>
      <c r="G90" s="29"/>
      <c r="H90" s="31">
        <f>IF(A90="","",COUNTIF(Planos!$B$4:$B$303,A90))</f>
      </c>
      <c r="I90" s="32">
        <f t="shared" si="0"/>
      </c>
    </row>
    <row r="91" spans="1:9" x14ac:dyDescent="0.25">
      <c r="A91" s="27"/>
      <c r="B91" s="28"/>
      <c r="C91" s="29"/>
      <c r="D91" s="28"/>
      <c r="E91" s="30"/>
      <c r="F91" s="29"/>
      <c r="G91" s="29"/>
      <c r="H91" s="31">
        <f>IF(A91="","",COUNTIF(Planos!$B$4:$B$303,A91))</f>
      </c>
      <c r="I91" s="32">
        <f t="shared" si="0"/>
      </c>
    </row>
    <row r="92" spans="1:9" x14ac:dyDescent="0.25">
      <c r="A92" s="27"/>
      <c r="B92" s="28"/>
      <c r="C92" s="29"/>
      <c r="D92" s="28"/>
      <c r="E92" s="30"/>
      <c r="F92" s="29"/>
      <c r="G92" s="29"/>
      <c r="H92" s="31">
        <f>IF(A92="","",COUNTIF(Planos!$B$4:$B$303,A92))</f>
      </c>
      <c r="I92" s="32">
        <f t="shared" si="0"/>
      </c>
    </row>
    <row r="93" spans="1:9" x14ac:dyDescent="0.25">
      <c r="A93" s="27"/>
      <c r="B93" s="28"/>
      <c r="C93" s="29"/>
      <c r="D93" s="28"/>
      <c r="E93" s="30"/>
      <c r="F93" s="29"/>
      <c r="G93" s="29"/>
      <c r="H93" s="31">
        <f>IF(A93="","",COUNTIF(Planos!$B$4:$B$303,A93))</f>
      </c>
      <c r="I93" s="32">
        <f t="shared" si="0"/>
      </c>
    </row>
    <row r="94" spans="1:9" x14ac:dyDescent="0.25">
      <c r="A94" s="27"/>
      <c r="B94" s="28"/>
      <c r="C94" s="29"/>
      <c r="D94" s="28"/>
      <c r="E94" s="30"/>
      <c r="F94" s="29"/>
      <c r="G94" s="29"/>
      <c r="H94" s="31">
        <f>IF(A94="","",COUNTIF(Planos!$B$4:$B$303,A94))</f>
      </c>
      <c r="I94" s="32">
        <f t="shared" si="0"/>
      </c>
    </row>
    <row r="95" spans="1:9" x14ac:dyDescent="0.25">
      <c r="A95" s="27"/>
      <c r="B95" s="28"/>
      <c r="C95" s="29"/>
      <c r="D95" s="28"/>
      <c r="E95" s="30"/>
      <c r="F95" s="29"/>
      <c r="G95" s="29"/>
      <c r="H95" s="31">
        <f>IF(A95="","",COUNTIF(Planos!$B$4:$B$303,A95))</f>
      </c>
      <c r="I95" s="32">
        <f t="shared" si="0"/>
      </c>
    </row>
    <row r="96" spans="1:9" x14ac:dyDescent="0.25">
      <c r="A96" s="27"/>
      <c r="B96" s="28"/>
      <c r="C96" s="29"/>
      <c r="D96" s="28"/>
      <c r="E96" s="30"/>
      <c r="F96" s="29"/>
      <c r="G96" s="29"/>
      <c r="H96" s="31">
        <f>IF(A96="","",COUNTIF(Planos!$B$4:$B$303,A96))</f>
      </c>
      <c r="I96" s="32">
        <f t="shared" si="0"/>
      </c>
    </row>
    <row r="97" spans="1:9" x14ac:dyDescent="0.25">
      <c r="A97" s="27"/>
      <c r="B97" s="28"/>
      <c r="C97" s="29"/>
      <c r="D97" s="28"/>
      <c r="E97" s="30"/>
      <c r="F97" s="29"/>
      <c r="G97" s="29"/>
      <c r="H97" s="31">
        <f>IF(A97="","",COUNTIF(Planos!$B$4:$B$303,A97))</f>
      </c>
      <c r="I97" s="32">
        <f t="shared" si="0"/>
      </c>
    </row>
    <row r="98" spans="1:9" x14ac:dyDescent="0.25">
      <c r="A98" s="27"/>
      <c r="B98" s="28"/>
      <c r="C98" s="29"/>
      <c r="D98" s="28"/>
      <c r="E98" s="30"/>
      <c r="F98" s="29"/>
      <c r="G98" s="29"/>
      <c r="H98" s="31">
        <f>IF(A98="","",COUNTIF(Planos!$B$4:$B$303,A98))</f>
      </c>
      <c r="I98" s="32">
        <f t="shared" si="0"/>
      </c>
    </row>
    <row r="99" spans="1:9" x14ac:dyDescent="0.25">
      <c r="A99" s="27"/>
      <c r="B99" s="28"/>
      <c r="C99" s="29"/>
      <c r="D99" s="28"/>
      <c r="E99" s="30"/>
      <c r="F99" s="29"/>
      <c r="G99" s="29"/>
      <c r="H99" s="31">
        <f>IF(A99="","",COUNTIF(Planos!$B$4:$B$303,A99))</f>
      </c>
      <c r="I99" s="32">
        <f t="shared" si="0"/>
      </c>
    </row>
    <row r="100" spans="1:9" x14ac:dyDescent="0.25">
      <c r="A100" s="27"/>
      <c r="B100" s="28"/>
      <c r="C100" s="29"/>
      <c r="D100" s="28"/>
      <c r="E100" s="30"/>
      <c r="F100" s="29"/>
      <c r="G100" s="29"/>
      <c r="H100" s="31">
        <f>IF(A100="","",COUNTIF(Planos!$B$4:$B$303,A100))</f>
      </c>
      <c r="I100" s="32">
        <f t="shared" si="0"/>
      </c>
    </row>
    <row r="101" spans="1:9" x14ac:dyDescent="0.25">
      <c r="A101" s="27"/>
      <c r="B101" s="28"/>
      <c r="C101" s="29"/>
      <c r="D101" s="28"/>
      <c r="E101" s="30"/>
      <c r="F101" s="29"/>
      <c r="G101" s="29"/>
      <c r="H101" s="31">
        <f>IF(A101="","",COUNTIF(Planos!$B$4:$B$303,A101))</f>
      </c>
      <c r="I101" s="32">
        <f t="shared" si="0"/>
      </c>
    </row>
    <row r="102" spans="1:9" x14ac:dyDescent="0.25">
      <c r="A102" s="27"/>
      <c r="B102" s="28"/>
      <c r="C102" s="29"/>
      <c r="D102" s="28"/>
      <c r="E102" s="30"/>
      <c r="F102" s="29"/>
      <c r="G102" s="29"/>
      <c r="H102" s="31">
        <f>IF(A102="","",COUNTIF(Planos!$B$4:$B$303,A102))</f>
      </c>
      <c r="I102" s="32">
        <f t="shared" si="0"/>
      </c>
    </row>
    <row r="103" spans="1:9" x14ac:dyDescent="0.25">
      <c r="A103" s="27"/>
      <c r="B103" s="28"/>
      <c r="C103" s="29"/>
      <c r="D103" s="28"/>
      <c r="E103" s="30"/>
      <c r="F103" s="29"/>
      <c r="G103" s="29"/>
      <c r="H103" s="31">
        <f>IF(A103="","",COUNTIF(Planos!$B$4:$B$303,A103))</f>
      </c>
      <c r="I103" s="32">
        <f t="shared" si="0"/>
      </c>
    </row>
    <row r="104" spans="1:9" x14ac:dyDescent="0.25">
      <c r="A104" s="27"/>
      <c r="B104" s="28"/>
      <c r="C104" s="29"/>
      <c r="D104" s="28"/>
      <c r="E104" s="30"/>
      <c r="F104" s="29"/>
      <c r="G104" s="29"/>
      <c r="H104" s="31">
        <f>IF(A104="","",COUNTIF(Planos!$B$4:$B$303,A104))</f>
      </c>
      <c r="I104" s="32">
        <f t="shared" si="0"/>
      </c>
    </row>
    <row r="105" spans="1:9" x14ac:dyDescent="0.25">
      <c r="A105" s="27"/>
      <c r="B105" s="28"/>
      <c r="C105" s="29"/>
      <c r="D105" s="28"/>
      <c r="E105" s="30"/>
      <c r="F105" s="29"/>
      <c r="G105" s="29"/>
      <c r="H105" s="31">
        <f>IF(A105="","",COUNTIF(Planos!$B$4:$B$303,A105))</f>
      </c>
      <c r="I105" s="32">
        <f t="shared" si="0"/>
      </c>
    </row>
    <row r="106" spans="1:9" x14ac:dyDescent="0.25">
      <c r="A106" s="27"/>
      <c r="B106" s="28"/>
      <c r="C106" s="29"/>
      <c r="D106" s="28"/>
      <c r="E106" s="30"/>
      <c r="F106" s="29"/>
      <c r="G106" s="29"/>
      <c r="H106" s="31">
        <f>IF(A106="","",COUNTIF(Planos!$B$4:$B$303,A106))</f>
      </c>
      <c r="I106" s="32">
        <f t="shared" si="0"/>
      </c>
    </row>
    <row r="107" spans="1:9" x14ac:dyDescent="0.25">
      <c r="A107" s="27"/>
      <c r="B107" s="28"/>
      <c r="C107" s="29"/>
      <c r="D107" s="28"/>
      <c r="E107" s="30"/>
      <c r="F107" s="29"/>
      <c r="G107" s="29"/>
      <c r="H107" s="31">
        <f>IF(A107="","",COUNTIF(Planos!$B$4:$B$303,A107))</f>
      </c>
      <c r="I107" s="32">
        <f t="shared" si="0"/>
      </c>
    </row>
    <row r="108" spans="1:9" x14ac:dyDescent="0.25">
      <c r="A108" s="27"/>
      <c r="B108" s="28"/>
      <c r="C108" s="29"/>
      <c r="D108" s="28"/>
      <c r="E108" s="30"/>
      <c r="F108" s="29"/>
      <c r="G108" s="29"/>
      <c r="H108" s="31">
        <f>IF(A108="","",COUNTIF(Planos!$B$4:$B$303,A108))</f>
      </c>
      <c r="I108" s="32">
        <f t="shared" si="0"/>
      </c>
    </row>
    <row r="109" spans="1:9" x14ac:dyDescent="0.25">
      <c r="A109" s="27"/>
      <c r="B109" s="28"/>
      <c r="C109" s="29"/>
      <c r="D109" s="28"/>
      <c r="E109" s="30"/>
      <c r="F109" s="29"/>
      <c r="G109" s="29"/>
      <c r="H109" s="31">
        <f>IF(A109="","",COUNTIF(Planos!$B$4:$B$303,A109))</f>
      </c>
      <c r="I109" s="32">
        <f t="shared" si="0"/>
      </c>
    </row>
    <row r="110" spans="1:9" x14ac:dyDescent="0.25">
      <c r="A110" s="27"/>
      <c r="B110" s="28"/>
      <c r="C110" s="29"/>
      <c r="D110" s="28"/>
      <c r="E110" s="30"/>
      <c r="F110" s="29"/>
      <c r="G110" s="29"/>
      <c r="H110" s="31">
        <f>IF(A110="","",COUNTIF(Planos!$B$4:$B$303,A110))</f>
      </c>
      <c r="I110" s="32">
        <f t="shared" si="0"/>
      </c>
    </row>
    <row r="111" spans="1:9" x14ac:dyDescent="0.25">
      <c r="A111" s="27"/>
      <c r="B111" s="28"/>
      <c r="C111" s="29"/>
      <c r="D111" s="28"/>
      <c r="E111" s="30"/>
      <c r="F111" s="29"/>
      <c r="G111" s="29"/>
      <c r="H111" s="31">
        <f>IF(A111="","",COUNTIF(Planos!$B$4:$B$303,A111))</f>
      </c>
      <c r="I111" s="32">
        <f t="shared" si="0"/>
      </c>
    </row>
    <row r="112" spans="1:9" x14ac:dyDescent="0.25">
      <c r="A112" s="27"/>
      <c r="B112" s="28"/>
      <c r="C112" s="29"/>
      <c r="D112" s="28"/>
      <c r="E112" s="30"/>
      <c r="F112" s="29"/>
      <c r="G112" s="29"/>
      <c r="H112" s="31">
        <f>IF(A112="","",COUNTIF(Planos!$B$4:$B$303,A112))</f>
      </c>
      <c r="I112" s="32">
        <f t="shared" si="0"/>
      </c>
    </row>
    <row r="113" spans="1:9" x14ac:dyDescent="0.25">
      <c r="A113" s="27"/>
      <c r="B113" s="28"/>
      <c r="C113" s="29"/>
      <c r="D113" s="28"/>
      <c r="E113" s="30"/>
      <c r="F113" s="29"/>
      <c r="G113" s="29"/>
      <c r="H113" s="31">
        <f>IF(A113="","",COUNTIF(Planos!$B$4:$B$303,A113))</f>
      </c>
      <c r="I113" s="32">
        <f t="shared" si="0"/>
      </c>
    </row>
    <row r="114" spans="1:9" x14ac:dyDescent="0.25">
      <c r="A114" s="27"/>
      <c r="B114" s="28"/>
      <c r="C114" s="29"/>
      <c r="D114" s="28"/>
      <c r="E114" s="30"/>
      <c r="F114" s="29"/>
      <c r="G114" s="29"/>
      <c r="H114" s="31">
        <f>IF(A114="","",COUNTIF(Planos!$B$4:$B$303,A114))</f>
      </c>
      <c r="I114" s="32">
        <f t="shared" si="0"/>
      </c>
    </row>
    <row r="115" spans="1:9" x14ac:dyDescent="0.25">
      <c r="A115" s="27"/>
      <c r="B115" s="28"/>
      <c r="C115" s="29"/>
      <c r="D115" s="28"/>
      <c r="E115" s="30"/>
      <c r="F115" s="29"/>
      <c r="G115" s="29"/>
      <c r="H115" s="31">
        <f>IF(A115="","",COUNTIF(Planos!$B$4:$B$303,A115))</f>
      </c>
      <c r="I115" s="32">
        <f t="shared" si="0"/>
      </c>
    </row>
    <row r="116" spans="1:9" x14ac:dyDescent="0.25">
      <c r="A116" s="27"/>
      <c r="B116" s="28"/>
      <c r="C116" s="29"/>
      <c r="D116" s="28"/>
      <c r="E116" s="30"/>
      <c r="F116" s="29"/>
      <c r="G116" s="29"/>
      <c r="H116" s="31">
        <f>IF(A116="","",COUNTIF(Planos!$B$4:$B$303,A116))</f>
      </c>
      <c r="I116" s="32">
        <f t="shared" si="0"/>
      </c>
    </row>
    <row r="117" spans="1:9" x14ac:dyDescent="0.25">
      <c r="A117" s="27"/>
      <c r="B117" s="28"/>
      <c r="C117" s="29"/>
      <c r="D117" s="28"/>
      <c r="E117" s="30"/>
      <c r="F117" s="29"/>
      <c r="G117" s="29"/>
      <c r="H117" s="31">
        <f>IF(A117="","",COUNTIF(Planos!$B$4:$B$303,A117))</f>
      </c>
      <c r="I117" s="32">
        <f t="shared" si="0"/>
      </c>
    </row>
    <row r="118" spans="1:9" x14ac:dyDescent="0.25">
      <c r="A118" s="27"/>
      <c r="B118" s="28"/>
      <c r="C118" s="29"/>
      <c r="D118" s="28"/>
      <c r="E118" s="30"/>
      <c r="F118" s="29"/>
      <c r="G118" s="29"/>
      <c r="H118" s="31">
        <f>IF(A118="","",COUNTIF(Planos!$B$4:$B$303,A118))</f>
      </c>
      <c r="I118" s="32">
        <f t="shared" si="0"/>
      </c>
    </row>
    <row r="119" spans="1:9" x14ac:dyDescent="0.25">
      <c r="A119" s="27"/>
      <c r="B119" s="28"/>
      <c r="C119" s="29"/>
      <c r="D119" s="28"/>
      <c r="E119" s="30"/>
      <c r="F119" s="29"/>
      <c r="G119" s="29"/>
      <c r="H119" s="31">
        <f>IF(A119="","",COUNTIF(Planos!$B$4:$B$303,A119))</f>
      </c>
      <c r="I119" s="32">
        <f t="shared" si="0"/>
      </c>
    </row>
    <row r="120" spans="1:9" x14ac:dyDescent="0.25">
      <c r="A120" s="27"/>
      <c r="B120" s="28"/>
      <c r="C120" s="29"/>
      <c r="D120" s="28"/>
      <c r="E120" s="30"/>
      <c r="F120" s="29"/>
      <c r="G120" s="29"/>
      <c r="H120" s="31">
        <f>IF(A120="","",COUNTIF(Planos!$B$4:$B$303,A120))</f>
      </c>
      <c r="I120" s="32">
        <f t="shared" si="0"/>
      </c>
    </row>
    <row r="121" spans="1:9" x14ac:dyDescent="0.25">
      <c r="A121" s="27"/>
      <c r="B121" s="28"/>
      <c r="C121" s="29"/>
      <c r="D121" s="28"/>
      <c r="E121" s="30"/>
      <c r="F121" s="29"/>
      <c r="G121" s="29"/>
      <c r="H121" s="31">
        <f>IF(A121="","",COUNTIF(Planos!$B$4:$B$303,A121))</f>
      </c>
      <c r="I121" s="32">
        <f t="shared" si="0"/>
      </c>
    </row>
    <row r="122" spans="1:9" x14ac:dyDescent="0.25">
      <c r="A122" s="27"/>
      <c r="B122" s="28"/>
      <c r="C122" s="29"/>
      <c r="D122" s="28"/>
      <c r="E122" s="30"/>
      <c r="F122" s="29"/>
      <c r="G122" s="29"/>
      <c r="H122" s="31">
        <f>IF(A122="","",COUNTIF(Planos!$B$4:$B$303,A122))</f>
      </c>
      <c r="I122" s="32">
        <f t="shared" si="0"/>
      </c>
    </row>
    <row r="123" spans="1:9" x14ac:dyDescent="0.25">
      <c r="A123" s="27"/>
      <c r="B123" s="28"/>
      <c r="C123" s="29"/>
      <c r="D123" s="28"/>
      <c r="E123" s="30"/>
      <c r="F123" s="29"/>
      <c r="G123" s="29"/>
      <c r="H123" s="31">
        <f>IF(A123="","",COUNTIF(Planos!$B$4:$B$303,A123))</f>
      </c>
      <c r="I123" s="32">
        <f t="shared" si="0"/>
      </c>
    </row>
    <row r="124" spans="1:9" x14ac:dyDescent="0.25">
      <c r="A124" s="27"/>
      <c r="B124" s="28"/>
      <c r="C124" s="29"/>
      <c r="D124" s="28"/>
      <c r="E124" s="30"/>
      <c r="F124" s="29"/>
      <c r="G124" s="29"/>
      <c r="H124" s="31">
        <f>IF(A124="","",COUNTIF(Planos!$B$4:$B$303,A124))</f>
      </c>
      <c r="I124" s="32">
        <f t="shared" si="0"/>
      </c>
    </row>
    <row r="125" spans="1:9" x14ac:dyDescent="0.25">
      <c r="A125" s="27"/>
      <c r="B125" s="28"/>
      <c r="C125" s="29"/>
      <c r="D125" s="28"/>
      <c r="E125" s="30"/>
      <c r="F125" s="29"/>
      <c r="G125" s="29"/>
      <c r="H125" s="31">
        <f>IF(A125="","",COUNTIF(Planos!$B$4:$B$303,A125))</f>
      </c>
      <c r="I125" s="32">
        <f t="shared" si="0"/>
      </c>
    </row>
    <row r="126" spans="1:9" x14ac:dyDescent="0.25">
      <c r="A126" s="27"/>
      <c r="B126" s="28"/>
      <c r="C126" s="29"/>
      <c r="D126" s="28"/>
      <c r="E126" s="30"/>
      <c r="F126" s="29"/>
      <c r="G126" s="29"/>
      <c r="H126" s="31">
        <f>IF(A126="","",COUNTIF(Planos!$B$4:$B$303,A126))</f>
      </c>
      <c r="I126" s="32">
        <f t="shared" si="0"/>
      </c>
    </row>
    <row r="127" spans="1:9" x14ac:dyDescent="0.25">
      <c r="A127" s="27"/>
      <c r="B127" s="28"/>
      <c r="C127" s="29"/>
      <c r="D127" s="28"/>
      <c r="E127" s="30"/>
      <c r="F127" s="29"/>
      <c r="G127" s="29"/>
      <c r="H127" s="31">
        <f>IF(A127="","",COUNTIF(Planos!$B$4:$B$303,A127))</f>
      </c>
      <c r="I127" s="32">
        <f t="shared" si="0"/>
      </c>
    </row>
    <row r="128" spans="1:9" x14ac:dyDescent="0.25">
      <c r="A128" s="27"/>
      <c r="B128" s="28"/>
      <c r="C128" s="29"/>
      <c r="D128" s="28"/>
      <c r="E128" s="30"/>
      <c r="F128" s="29"/>
      <c r="G128" s="29"/>
      <c r="H128" s="31">
        <f>IF(A128="","",COUNTIF(Planos!$B$4:$B$303,A128))</f>
      </c>
      <c r="I128" s="32">
        <f t="shared" si="0"/>
      </c>
    </row>
    <row r="129" spans="1:9" x14ac:dyDescent="0.25">
      <c r="A129" s="27"/>
      <c r="B129" s="28"/>
      <c r="C129" s="29"/>
      <c r="D129" s="28"/>
      <c r="E129" s="30"/>
      <c r="F129" s="29"/>
      <c r="G129" s="29"/>
      <c r="H129" s="31">
        <f>IF(A129="","",COUNTIF(Planos!$B$4:$B$303,A129))</f>
      </c>
      <c r="I129" s="32">
        <f t="shared" si="0"/>
      </c>
    </row>
    <row r="130" spans="1:9" x14ac:dyDescent="0.25">
      <c r="A130" s="27"/>
      <c r="B130" s="28"/>
      <c r="C130" s="29"/>
      <c r="D130" s="28"/>
      <c r="E130" s="30"/>
      <c r="F130" s="29"/>
      <c r="G130" s="29"/>
      <c r="H130" s="31">
        <f>IF(A130="","",COUNTIF(Planos!$B$4:$B$303,A130))</f>
      </c>
      <c r="I130" s="32">
        <f t="shared" si="0"/>
      </c>
    </row>
    <row r="131" spans="1:9" x14ac:dyDescent="0.25">
      <c r="A131" s="27"/>
      <c r="B131" s="28"/>
      <c r="C131" s="29"/>
      <c r="D131" s="28"/>
      <c r="E131" s="30"/>
      <c r="F131" s="29"/>
      <c r="G131" s="29"/>
      <c r="H131" s="31">
        <f>IF(A131="","",COUNTIF(Planos!$B$4:$B$303,A131))</f>
      </c>
      <c r="I131" s="32">
        <f t="shared" si="0"/>
      </c>
    </row>
    <row r="132" spans="1:9" x14ac:dyDescent="0.25">
      <c r="A132" s="27"/>
      <c r="B132" s="28"/>
      <c r="C132" s="29"/>
      <c r="D132" s="28"/>
      <c r="E132" s="30"/>
      <c r="F132" s="29"/>
      <c r="G132" s="29"/>
      <c r="H132" s="31">
        <f>IF(A132="","",COUNTIF(Planos!$B$4:$B$303,A132))</f>
      </c>
      <c r="I132" s="32">
        <f t="shared" si="0"/>
      </c>
    </row>
    <row r="133" spans="1:9" x14ac:dyDescent="0.25">
      <c r="A133" s="27"/>
      <c r="B133" s="28"/>
      <c r="C133" s="29"/>
      <c r="D133" s="28"/>
      <c r="E133" s="30"/>
      <c r="F133" s="29"/>
      <c r="G133" s="29"/>
      <c r="H133" s="31">
        <f>IF(A133="","",COUNTIF(Planos!$B$4:$B$303,A133))</f>
      </c>
      <c r="I133" s="32">
        <f t="shared" si="0"/>
      </c>
    </row>
    <row r="134" spans="1:9" x14ac:dyDescent="0.25">
      <c r="A134" s="27"/>
      <c r="B134" s="28"/>
      <c r="C134" s="29"/>
      <c r="D134" s="28"/>
      <c r="E134" s="30"/>
      <c r="F134" s="29"/>
      <c r="G134" s="29"/>
      <c r="H134" s="31">
        <f>IF(A134="","",COUNTIF(Planos!$B$4:$B$303,A134))</f>
      </c>
      <c r="I134" s="32">
        <f t="shared" si="0"/>
      </c>
    </row>
    <row r="135" spans="1:9" x14ac:dyDescent="0.25">
      <c r="A135" s="27"/>
      <c r="B135" s="28"/>
      <c r="C135" s="29"/>
      <c r="D135" s="28"/>
      <c r="E135" s="30"/>
      <c r="F135" s="29"/>
      <c r="G135" s="29"/>
      <c r="H135" s="31">
        <f>IF(A135="","",COUNTIF(Planos!$B$4:$B$303,A135))</f>
      </c>
      <c r="I135" s="32">
        <f t="shared" si="0"/>
      </c>
    </row>
    <row r="136" spans="1:9" x14ac:dyDescent="0.25">
      <c r="A136" s="27"/>
      <c r="B136" s="28"/>
      <c r="C136" s="29"/>
      <c r="D136" s="28"/>
      <c r="E136" s="30"/>
      <c r="F136" s="29"/>
      <c r="G136" s="29"/>
      <c r="H136" s="31">
        <f>IF(A136="","",COUNTIF(Planos!$B$4:$B$303,A136))</f>
      </c>
      <c r="I136" s="32">
        <f t="shared" si="0"/>
      </c>
    </row>
    <row r="137" spans="1:9" x14ac:dyDescent="0.25">
      <c r="A137" s="27"/>
      <c r="B137" s="28"/>
      <c r="C137" s="29"/>
      <c r="D137" s="28"/>
      <c r="E137" s="30"/>
      <c r="F137" s="29"/>
      <c r="G137" s="29"/>
      <c r="H137" s="31">
        <f>IF(A137="","",COUNTIF(Planos!$B$4:$B$303,A137))</f>
      </c>
      <c r="I137" s="32">
        <f t="shared" si="0"/>
      </c>
    </row>
    <row r="138" spans="1:9" x14ac:dyDescent="0.25">
      <c r="A138" s="27"/>
      <c r="B138" s="28"/>
      <c r="C138" s="29"/>
      <c r="D138" s="28"/>
      <c r="E138" s="30"/>
      <c r="F138" s="29"/>
      <c r="G138" s="29"/>
      <c r="H138" s="31">
        <f>IF(A138="","",COUNTIF(Planos!$B$4:$B$303,A138))</f>
      </c>
      <c r="I138" s="32">
        <f t="shared" si="0"/>
      </c>
    </row>
    <row r="139" spans="1:9" x14ac:dyDescent="0.25">
      <c r="A139" s="27"/>
      <c r="B139" s="28"/>
      <c r="C139" s="29"/>
      <c r="D139" s="28"/>
      <c r="E139" s="30"/>
      <c r="F139" s="29"/>
      <c r="G139" s="29"/>
      <c r="H139" s="31">
        <f>IF(A139="","",COUNTIF(Planos!$B$4:$B$303,A139))</f>
      </c>
      <c r="I139" s="32">
        <f t="shared" si="0"/>
      </c>
    </row>
    <row r="140" spans="1:9" x14ac:dyDescent="0.25">
      <c r="A140" s="27"/>
      <c r="B140" s="28"/>
      <c r="C140" s="29"/>
      <c r="D140" s="28"/>
      <c r="E140" s="30"/>
      <c r="F140" s="29"/>
      <c r="G140" s="29"/>
      <c r="H140" s="31">
        <f>IF(A140="","",COUNTIF(Planos!$B$4:$B$303,A140))</f>
      </c>
      <c r="I140" s="32">
        <f t="shared" si="0"/>
      </c>
    </row>
    <row r="141" spans="1:9" x14ac:dyDescent="0.25">
      <c r="A141" s="27"/>
      <c r="B141" s="28"/>
      <c r="C141" s="29"/>
      <c r="D141" s="28"/>
      <c r="E141" s="30"/>
      <c r="F141" s="29"/>
      <c r="G141" s="29"/>
      <c r="H141" s="31">
        <f>IF(A141="","",COUNTIF(Planos!$B$4:$B$303,A141))</f>
      </c>
      <c r="I141" s="32">
        <f t="shared" si="0"/>
      </c>
    </row>
    <row r="142" spans="1:9" x14ac:dyDescent="0.25">
      <c r="A142" s="27"/>
      <c r="B142" s="28"/>
      <c r="C142" s="29"/>
      <c r="D142" s="28"/>
      <c r="E142" s="30"/>
      <c r="F142" s="29"/>
      <c r="G142" s="29"/>
      <c r="H142" s="31">
        <f>IF(A142="","",COUNTIF(Planos!$B$4:$B$303,A142))</f>
      </c>
      <c r="I142" s="32">
        <f t="shared" si="0"/>
      </c>
    </row>
    <row r="143" spans="1:9" x14ac:dyDescent="0.25">
      <c r="A143" s="27"/>
      <c r="B143" s="28"/>
      <c r="C143" s="29"/>
      <c r="D143" s="28"/>
      <c r="E143" s="30"/>
      <c r="F143" s="29"/>
      <c r="G143" s="29"/>
      <c r="H143" s="31">
        <f>IF(A143="","",COUNTIF(Planos!$B$4:$B$303,A143))</f>
      </c>
      <c r="I143" s="32">
        <f t="shared" si="0"/>
      </c>
    </row>
    <row r="144" spans="1:9" x14ac:dyDescent="0.25">
      <c r="A144" s="27"/>
      <c r="B144" s="28"/>
      <c r="C144" s="29"/>
      <c r="D144" s="28"/>
      <c r="E144" s="30"/>
      <c r="F144" s="29"/>
      <c r="G144" s="29"/>
      <c r="H144" s="31">
        <f>IF(A144="","",COUNTIF(Planos!$B$4:$B$303,A144))</f>
      </c>
      <c r="I144" s="32">
        <f t="shared" si="0"/>
      </c>
    </row>
    <row r="145" spans="1:9" x14ac:dyDescent="0.25">
      <c r="A145" s="27"/>
      <c r="B145" s="28"/>
      <c r="C145" s="29"/>
      <c r="D145" s="28"/>
      <c r="E145" s="30"/>
      <c r="F145" s="29"/>
      <c r="G145" s="29"/>
      <c r="H145" s="31">
        <f>IF(A145="","",COUNTIF(Planos!$B$4:$B$303,A145))</f>
      </c>
      <c r="I145" s="32">
        <f t="shared" si="0"/>
      </c>
    </row>
    <row r="146" spans="1:9" x14ac:dyDescent="0.25">
      <c r="A146" s="27"/>
      <c r="B146" s="28"/>
      <c r="C146" s="29"/>
      <c r="D146" s="28"/>
      <c r="E146" s="30"/>
      <c r="F146" s="29"/>
      <c r="G146" s="29"/>
      <c r="H146" s="31">
        <f>IF(A146="","",COUNTIF(Planos!$B$4:$B$303,A146))</f>
      </c>
      <c r="I146" s="32">
        <f t="shared" si="0"/>
      </c>
    </row>
    <row r="147" spans="1:9" x14ac:dyDescent="0.25">
      <c r="A147" s="27"/>
      <c r="B147" s="28"/>
      <c r="C147" s="29"/>
      <c r="D147" s="28"/>
      <c r="E147" s="30"/>
      <c r="F147" s="29"/>
      <c r="G147" s="29"/>
      <c r="H147" s="31">
        <f>IF(A147="","",COUNTIF(Planos!$B$4:$B$303,A147))</f>
      </c>
      <c r="I147" s="32">
        <f t="shared" si="0"/>
      </c>
    </row>
    <row r="148" spans="1:9" x14ac:dyDescent="0.25">
      <c r="A148" s="27"/>
      <c r="B148" s="28"/>
      <c r="C148" s="29"/>
      <c r="D148" s="28"/>
      <c r="E148" s="30"/>
      <c r="F148" s="29"/>
      <c r="G148" s="29"/>
      <c r="H148" s="31">
        <f>IF(A148="","",COUNTIF(Planos!$B$4:$B$303,A148))</f>
      </c>
      <c r="I148" s="32">
        <f t="shared" si="0"/>
      </c>
    </row>
    <row r="149" spans="1:9" x14ac:dyDescent="0.25">
      <c r="A149" s="27"/>
      <c r="B149" s="28"/>
      <c r="C149" s="29"/>
      <c r="D149" s="28"/>
      <c r="E149" s="30"/>
      <c r="F149" s="29"/>
      <c r="G149" s="29"/>
      <c r="H149" s="31">
        <f>IF(A149="","",COUNTIF(Planos!$B$4:$B$303,A149))</f>
      </c>
      <c r="I149" s="32">
        <f t="shared" si="0"/>
      </c>
    </row>
    <row r="150" spans="1:9" x14ac:dyDescent="0.25">
      <c r="A150" s="27"/>
      <c r="B150" s="28"/>
      <c r="C150" s="29"/>
      <c r="D150" s="28"/>
      <c r="E150" s="30"/>
      <c r="F150" s="29"/>
      <c r="G150" s="29"/>
      <c r="H150" s="31">
        <f>IF(A150="","",COUNTIF(Planos!$B$4:$B$303,A150))</f>
      </c>
      <c r="I150" s="32">
        <f t="shared" si="0"/>
      </c>
    </row>
    <row r="151" spans="1:9" x14ac:dyDescent="0.25">
      <c r="A151" s="27"/>
      <c r="B151" s="28"/>
      <c r="C151" s="29"/>
      <c r="D151" s="28"/>
      <c r="E151" s="30"/>
      <c r="F151" s="29"/>
      <c r="G151" s="29"/>
      <c r="H151" s="31">
        <f>IF(A151="","",COUNTIF(Planos!$B$4:$B$303,A151))</f>
      </c>
      <c r="I151" s="32">
        <f t="shared" si="0"/>
      </c>
    </row>
    <row r="152" spans="1:9" x14ac:dyDescent="0.25">
      <c r="A152" s="27"/>
      <c r="B152" s="28"/>
      <c r="C152" s="29"/>
      <c r="D152" s="28"/>
      <c r="E152" s="30"/>
      <c r="F152" s="29"/>
      <c r="G152" s="29"/>
      <c r="H152" s="31">
        <f>IF(A152="","",COUNTIF(Planos!$B$4:$B$303,A152))</f>
      </c>
      <c r="I152" s="32">
        <f t="shared" si="0"/>
      </c>
    </row>
    <row r="153" spans="1:9" x14ac:dyDescent="0.25">
      <c r="A153" s="27"/>
      <c r="B153" s="28"/>
      <c r="C153" s="29"/>
      <c r="D153" s="28"/>
      <c r="E153" s="30"/>
      <c r="F153" s="29"/>
      <c r="G153" s="29"/>
      <c r="H153" s="31">
        <f>IF(A153="","",COUNTIF(Planos!$B$4:$B$303,A153))</f>
      </c>
      <c r="I153" s="32">
        <f t="shared" si="0"/>
      </c>
    </row>
    <row r="154" spans="1:9" x14ac:dyDescent="0.25">
      <c r="A154" s="27"/>
      <c r="B154" s="28"/>
      <c r="C154" s="29"/>
      <c r="D154" s="28"/>
      <c r="E154" s="30"/>
      <c r="F154" s="29"/>
      <c r="G154" s="29"/>
      <c r="H154" s="31">
        <f>IF(A154="","",COUNTIF(Planos!$B$4:$B$303,A154))</f>
      </c>
      <c r="I154" s="32">
        <f t="shared" si="0"/>
      </c>
    </row>
    <row r="155" spans="1:9" x14ac:dyDescent="0.25">
      <c r="A155" s="27"/>
      <c r="B155" s="28"/>
      <c r="C155" s="29"/>
      <c r="D155" s="28"/>
      <c r="E155" s="30"/>
      <c r="F155" s="29"/>
      <c r="G155" s="29"/>
      <c r="H155" s="31">
        <f>IF(A155="","",COUNTIF(Planos!$B$4:$B$303,A155))</f>
      </c>
      <c r="I155" s="32">
        <f t="shared" si="0"/>
      </c>
    </row>
    <row r="156" spans="1:9" x14ac:dyDescent="0.25">
      <c r="A156" s="27"/>
      <c r="B156" s="28"/>
      <c r="C156" s="29"/>
      <c r="D156" s="28"/>
      <c r="E156" s="30"/>
      <c r="F156" s="29"/>
      <c r="G156" s="29"/>
      <c r="H156" s="31">
        <f>IF(A156="","",COUNTIF(Planos!$B$4:$B$303,A156))</f>
      </c>
      <c r="I156" s="32">
        <f t="shared" si="0"/>
      </c>
    </row>
    <row r="157" spans="1:9" x14ac:dyDescent="0.25">
      <c r="A157" s="27"/>
      <c r="B157" s="28"/>
      <c r="C157" s="29"/>
      <c r="D157" s="28"/>
      <c r="E157" s="30"/>
      <c r="F157" s="29"/>
      <c r="G157" s="29"/>
      <c r="H157" s="31">
        <f>IF(A157="","",COUNTIF(Planos!$B$4:$B$303,A157))</f>
      </c>
      <c r="I157" s="32">
        <f t="shared" si="0"/>
      </c>
    </row>
    <row r="158" spans="1:9" x14ac:dyDescent="0.25">
      <c r="A158" s="27"/>
      <c r="B158" s="28"/>
      <c r="C158" s="29"/>
      <c r="D158" s="28"/>
      <c r="E158" s="30"/>
      <c r="F158" s="29"/>
      <c r="G158" s="29"/>
      <c r="H158" s="31">
        <f>IF(A158="","",COUNTIF(Planos!$B$4:$B$303,A158))</f>
      </c>
      <c r="I158" s="32">
        <f t="shared" si="0"/>
      </c>
    </row>
    <row r="159" spans="1:9" x14ac:dyDescent="0.25">
      <c r="A159" s="27"/>
      <c r="B159" s="28"/>
      <c r="C159" s="29"/>
      <c r="D159" s="28"/>
      <c r="E159" s="30"/>
      <c r="F159" s="29"/>
      <c r="G159" s="29"/>
      <c r="H159" s="31">
        <f>IF(A159="","",COUNTIF(Planos!$B$4:$B$303,A159))</f>
      </c>
      <c r="I159" s="32">
        <f t="shared" si="0"/>
      </c>
    </row>
    <row r="160" spans="1:9" x14ac:dyDescent="0.25">
      <c r="A160" s="27"/>
      <c r="B160" s="28"/>
      <c r="C160" s="29"/>
      <c r="D160" s="28"/>
      <c r="E160" s="30"/>
      <c r="F160" s="29"/>
      <c r="G160" s="29"/>
      <c r="H160" s="31">
        <f>IF(A160="","",COUNTIF(Planos!$B$4:$B$303,A160))</f>
      </c>
      <c r="I160" s="32">
        <f t="shared" si="0"/>
      </c>
    </row>
    <row r="161" spans="1:9" x14ac:dyDescent="0.25">
      <c r="A161" s="27"/>
      <c r="B161" s="28"/>
      <c r="C161" s="29"/>
      <c r="D161" s="28"/>
      <c r="E161" s="30"/>
      <c r="F161" s="29"/>
      <c r="G161" s="29"/>
      <c r="H161" s="31">
        <f>IF(A161="","",COUNTIF(Planos!$B$4:$B$303,A161))</f>
      </c>
      <c r="I161" s="32">
        <f t="shared" si="0"/>
      </c>
    </row>
    <row r="162" spans="1:9" x14ac:dyDescent="0.25">
      <c r="A162" s="27"/>
      <c r="B162" s="28"/>
      <c r="C162" s="29"/>
      <c r="D162" s="28"/>
      <c r="E162" s="30"/>
      <c r="F162" s="29"/>
      <c r="G162" s="29"/>
      <c r="H162" s="31">
        <f>IF(A162="","",COUNTIF(Planos!$B$4:$B$303,A162))</f>
      </c>
      <c r="I162" s="32">
        <f t="shared" si="0"/>
      </c>
    </row>
    <row r="163" spans="1:9" x14ac:dyDescent="0.25">
      <c r="A163" s="27"/>
      <c r="B163" s="28"/>
      <c r="C163" s="29"/>
      <c r="D163" s="28"/>
      <c r="E163" s="30"/>
      <c r="F163" s="29"/>
      <c r="G163" s="29"/>
      <c r="H163" s="31">
        <f>IF(A163="","",COUNTIF(Planos!$B$4:$B$303,A163))</f>
      </c>
      <c r="I163" s="32">
        <f t="shared" si="0"/>
      </c>
    </row>
    <row r="164" spans="1:9" x14ac:dyDescent="0.25">
      <c r="A164" s="27"/>
      <c r="B164" s="28"/>
      <c r="C164" s="29"/>
      <c r="D164" s="28"/>
      <c r="E164" s="30"/>
      <c r="F164" s="29"/>
      <c r="G164" s="29"/>
      <c r="H164" s="31">
        <f>IF(A164="","",COUNTIF(Planos!$B$4:$B$303,A164))</f>
      </c>
      <c r="I164" s="32">
        <f t="shared" si="0"/>
      </c>
    </row>
    <row r="165" spans="1:9" x14ac:dyDescent="0.25">
      <c r="A165" s="27"/>
      <c r="B165" s="28"/>
      <c r="C165" s="29"/>
      <c r="D165" s="28"/>
      <c r="E165" s="30"/>
      <c r="F165" s="29"/>
      <c r="G165" s="29"/>
      <c r="H165" s="31">
        <f>IF(A165="","",COUNTIF(Planos!$B$4:$B$303,A165))</f>
      </c>
      <c r="I165" s="32">
        <f t="shared" si="0"/>
      </c>
    </row>
    <row r="166" spans="1:9" x14ac:dyDescent="0.25">
      <c r="A166" s="27"/>
      <c r="B166" s="28"/>
      <c r="C166" s="29"/>
      <c r="D166" s="28"/>
      <c r="E166" s="30"/>
      <c r="F166" s="29"/>
      <c r="G166" s="29"/>
      <c r="H166" s="31">
        <f>IF(A166="","",COUNTIF(Planos!$B$4:$B$303,A166))</f>
      </c>
      <c r="I166" s="32">
        <f t="shared" si="0"/>
      </c>
    </row>
    <row r="167" spans="1:9" x14ac:dyDescent="0.25">
      <c r="A167" s="27"/>
      <c r="B167" s="28"/>
      <c r="C167" s="29"/>
      <c r="D167" s="28"/>
      <c r="E167" s="30"/>
      <c r="F167" s="29"/>
      <c r="G167" s="29"/>
      <c r="H167" s="31">
        <f>IF(A167="","",COUNTIF(Planos!$B$4:$B$303,A167))</f>
      </c>
      <c r="I167" s="32">
        <f t="shared" si="0"/>
      </c>
    </row>
    <row r="168" spans="1:9" x14ac:dyDescent="0.25">
      <c r="A168" s="27"/>
      <c r="B168" s="28"/>
      <c r="C168" s="29"/>
      <c r="D168" s="28"/>
      <c r="E168" s="30"/>
      <c r="F168" s="29"/>
      <c r="G168" s="29"/>
      <c r="H168" s="31">
        <f>IF(A168="","",COUNTIF(Planos!$B$4:$B$303,A168))</f>
      </c>
      <c r="I168" s="32">
        <f t="shared" si="0"/>
      </c>
    </row>
    <row r="169" spans="1:9" x14ac:dyDescent="0.25">
      <c r="A169" s="27"/>
      <c r="B169" s="28"/>
      <c r="C169" s="29"/>
      <c r="D169" s="28"/>
      <c r="E169" s="30"/>
      <c r="F169" s="29"/>
      <c r="G169" s="29"/>
      <c r="H169" s="31">
        <f>IF(A169="","",COUNTIF(Planos!$B$4:$B$303,A169))</f>
      </c>
      <c r="I169" s="32">
        <f t="shared" si="0"/>
      </c>
    </row>
    <row r="170" spans="1:9" x14ac:dyDescent="0.25">
      <c r="A170" s="27"/>
      <c r="B170" s="28"/>
      <c r="C170" s="29"/>
      <c r="D170" s="28"/>
      <c r="E170" s="30"/>
      <c r="F170" s="29"/>
      <c r="G170" s="29"/>
      <c r="H170" s="31">
        <f>IF(A170="","",COUNTIF(Planos!$B$4:$B$303,A170))</f>
      </c>
      <c r="I170" s="32">
        <f t="shared" si="0"/>
      </c>
    </row>
    <row r="171" spans="1:9" x14ac:dyDescent="0.25">
      <c r="A171" s="27"/>
      <c r="B171" s="28"/>
      <c r="C171" s="29"/>
      <c r="D171" s="28"/>
      <c r="E171" s="30"/>
      <c r="F171" s="29"/>
      <c r="G171" s="29"/>
      <c r="H171" s="31">
        <f>IF(A171="","",COUNTIF(Planos!$B$4:$B$303,A171))</f>
      </c>
      <c r="I171" s="32">
        <f t="shared" si="0"/>
      </c>
    </row>
    <row r="172" spans="1:9" x14ac:dyDescent="0.25">
      <c r="A172" s="27"/>
      <c r="B172" s="28"/>
      <c r="C172" s="29"/>
      <c r="D172" s="28"/>
      <c r="E172" s="30"/>
      <c r="F172" s="29"/>
      <c r="G172" s="29"/>
      <c r="H172" s="31">
        <f>IF(A172="","",COUNTIF(Planos!$B$4:$B$303,A172))</f>
      </c>
      <c r="I172" s="32">
        <f t="shared" si="0"/>
      </c>
    </row>
    <row r="173" spans="1:9" x14ac:dyDescent="0.25">
      <c r="A173" s="27"/>
      <c r="B173" s="28"/>
      <c r="C173" s="29"/>
      <c r="D173" s="28"/>
      <c r="E173" s="30"/>
      <c r="F173" s="29"/>
      <c r="G173" s="29"/>
      <c r="H173" s="31">
        <f>IF(A173="","",COUNTIF(Planos!$B$4:$B$303,A173))</f>
      </c>
      <c r="I173" s="32">
        <f t="shared" si="0"/>
      </c>
    </row>
    <row r="174" spans="1:9" x14ac:dyDescent="0.25">
      <c r="A174" s="27"/>
      <c r="B174" s="28"/>
      <c r="C174" s="29"/>
      <c r="D174" s="28"/>
      <c r="E174" s="30"/>
      <c r="F174" s="29"/>
      <c r="G174" s="29"/>
      <c r="H174" s="31">
        <f>IF(A174="","",COUNTIF(Planos!$B$4:$B$303,A174))</f>
      </c>
      <c r="I174" s="32">
        <f t="shared" si="0"/>
      </c>
    </row>
    <row r="175" spans="1:9" x14ac:dyDescent="0.25">
      <c r="A175" s="27"/>
      <c r="B175" s="28"/>
      <c r="C175" s="29"/>
      <c r="D175" s="28"/>
      <c r="E175" s="30"/>
      <c r="F175" s="29"/>
      <c r="G175" s="29"/>
      <c r="H175" s="31">
        <f>IF(A175="","",COUNTIF(Planos!$B$4:$B$303,A175))</f>
      </c>
      <c r="I175" s="32">
        <f t="shared" si="0"/>
      </c>
    </row>
    <row r="176" spans="1:9" x14ac:dyDescent="0.25">
      <c r="A176" s="27"/>
      <c r="B176" s="28"/>
      <c r="C176" s="29"/>
      <c r="D176" s="28"/>
      <c r="E176" s="30"/>
      <c r="F176" s="29"/>
      <c r="G176" s="29"/>
      <c r="H176" s="31">
        <f>IF(A176="","",COUNTIF(Planos!$B$4:$B$303,A176))</f>
      </c>
      <c r="I176" s="32">
        <f t="shared" si="0"/>
      </c>
    </row>
    <row r="177" spans="1:9" x14ac:dyDescent="0.25">
      <c r="A177" s="27"/>
      <c r="B177" s="28"/>
      <c r="C177" s="29"/>
      <c r="D177" s="28"/>
      <c r="E177" s="30"/>
      <c r="F177" s="29"/>
      <c r="G177" s="29"/>
      <c r="H177" s="31">
        <f>IF(A177="","",COUNTIF(Planos!$B$4:$B$303,A177))</f>
      </c>
      <c r="I177" s="32">
        <f t="shared" si="0"/>
      </c>
    </row>
    <row r="178" spans="1:9" x14ac:dyDescent="0.25">
      <c r="A178" s="27"/>
      <c r="B178" s="28"/>
      <c r="C178" s="29"/>
      <c r="D178" s="28"/>
      <c r="E178" s="30"/>
      <c r="F178" s="29"/>
      <c r="G178" s="29"/>
      <c r="H178" s="31">
        <f>IF(A178="","",COUNTIF(Planos!$B$4:$B$303,A178))</f>
      </c>
      <c r="I178" s="32">
        <f t="shared" si="0"/>
      </c>
    </row>
    <row r="179" spans="1:9" x14ac:dyDescent="0.25">
      <c r="A179" s="27"/>
      <c r="B179" s="28"/>
      <c r="C179" s="29"/>
      <c r="D179" s="28"/>
      <c r="E179" s="30"/>
      <c r="F179" s="29"/>
      <c r="G179" s="29"/>
      <c r="H179" s="31">
        <f>IF(A179="","",COUNTIF(Planos!$B$4:$B$303,A179))</f>
      </c>
      <c r="I179" s="32">
        <f t="shared" si="0"/>
      </c>
    </row>
    <row r="180" spans="1:9" x14ac:dyDescent="0.25">
      <c r="A180" s="27"/>
      <c r="B180" s="28"/>
      <c r="C180" s="29"/>
      <c r="D180" s="28"/>
      <c r="E180" s="30"/>
      <c r="F180" s="29"/>
      <c r="G180" s="29"/>
      <c r="H180" s="31">
        <f>IF(A180="","",COUNTIF(Planos!$B$4:$B$303,A180))</f>
      </c>
      <c r="I180" s="32">
        <f t="shared" si="0"/>
      </c>
    </row>
    <row r="181" spans="1:9" x14ac:dyDescent="0.25">
      <c r="A181" s="27"/>
      <c r="B181" s="28"/>
      <c r="C181" s="29"/>
      <c r="D181" s="28"/>
      <c r="E181" s="30"/>
      <c r="F181" s="29"/>
      <c r="G181" s="29"/>
      <c r="H181" s="31">
        <f>IF(A181="","",COUNTIF(Planos!$B$4:$B$303,A181))</f>
      </c>
      <c r="I181" s="32">
        <f t="shared" si="0"/>
      </c>
    </row>
    <row r="182" spans="1:9" x14ac:dyDescent="0.25">
      <c r="A182" s="27"/>
      <c r="B182" s="28"/>
      <c r="C182" s="29"/>
      <c r="D182" s="28"/>
      <c r="E182" s="30"/>
      <c r="F182" s="29"/>
      <c r="G182" s="29"/>
      <c r="H182" s="31">
        <f>IF(A182="","",COUNTIF(Planos!$B$4:$B$303,A182))</f>
      </c>
      <c r="I182" s="32">
        <f t="shared" si="0"/>
      </c>
    </row>
    <row r="183" spans="1:9" x14ac:dyDescent="0.25">
      <c r="A183" s="27"/>
      <c r="B183" s="28"/>
      <c r="C183" s="29"/>
      <c r="D183" s="28"/>
      <c r="E183" s="30"/>
      <c r="F183" s="29"/>
      <c r="G183" s="29"/>
      <c r="H183" s="31">
        <f>IF(A183="","",COUNTIF(Planos!$B$4:$B$303,A183))</f>
      </c>
      <c r="I183" s="32">
        <f t="shared" si="0"/>
      </c>
    </row>
    <row r="184" spans="1:9" x14ac:dyDescent="0.25">
      <c r="A184" s="27"/>
      <c r="B184" s="28"/>
      <c r="C184" s="29"/>
      <c r="D184" s="28"/>
      <c r="E184" s="30"/>
      <c r="F184" s="29"/>
      <c r="G184" s="29"/>
      <c r="H184" s="31">
        <f>IF(A184="","",COUNTIF(Planos!$B$4:$B$303,A184))</f>
      </c>
      <c r="I184" s="32">
        <f t="shared" si="0"/>
      </c>
    </row>
    <row r="185" spans="1:9" x14ac:dyDescent="0.25">
      <c r="A185" s="27"/>
      <c r="B185" s="28"/>
      <c r="C185" s="29"/>
      <c r="D185" s="28"/>
      <c r="E185" s="30"/>
      <c r="F185" s="29"/>
      <c r="G185" s="29"/>
      <c r="H185" s="31">
        <f>IF(A185="","",COUNTIF(Planos!$B$4:$B$303,A185))</f>
      </c>
      <c r="I185" s="32">
        <f t="shared" si="0"/>
      </c>
    </row>
    <row r="186" spans="1:9" x14ac:dyDescent="0.25">
      <c r="A186" s="27"/>
      <c r="B186" s="28"/>
      <c r="C186" s="29"/>
      <c r="D186" s="28"/>
      <c r="E186" s="30"/>
      <c r="F186" s="29"/>
      <c r="G186" s="29"/>
      <c r="H186" s="31">
        <f>IF(A186="","",COUNTIF(Planos!$B$4:$B$303,A186))</f>
      </c>
      <c r="I186" s="32">
        <f t="shared" si="0"/>
      </c>
    </row>
    <row r="187" spans="1:9" x14ac:dyDescent="0.25">
      <c r="A187" s="27"/>
      <c r="B187" s="28"/>
      <c r="C187" s="29"/>
      <c r="D187" s="28"/>
      <c r="E187" s="30"/>
      <c r="F187" s="29"/>
      <c r="G187" s="29"/>
      <c r="H187" s="31">
        <f>IF(A187="","",COUNTIF(Planos!$B$4:$B$303,A187))</f>
      </c>
      <c r="I187" s="32">
        <f t="shared" si="0"/>
      </c>
    </row>
    <row r="188" spans="1:9" x14ac:dyDescent="0.25">
      <c r="A188" s="27"/>
      <c r="B188" s="28"/>
      <c r="C188" s="29"/>
      <c r="D188" s="28"/>
      <c r="E188" s="30"/>
      <c r="F188" s="29"/>
      <c r="G188" s="29"/>
      <c r="H188" s="31">
        <f>IF(A188="","",COUNTIF(Planos!$B$4:$B$303,A188))</f>
      </c>
      <c r="I188" s="32">
        <f t="shared" si="0"/>
      </c>
    </row>
    <row r="189" spans="1:9" x14ac:dyDescent="0.25">
      <c r="A189" s="27"/>
      <c r="B189" s="28"/>
      <c r="C189" s="29"/>
      <c r="D189" s="28"/>
      <c r="E189" s="30"/>
      <c r="F189" s="29"/>
      <c r="G189" s="29"/>
      <c r="H189" s="31">
        <f>IF(A189="","",COUNTIF(Planos!$B$4:$B$303,A189))</f>
      </c>
      <c r="I189" s="32">
        <f t="shared" si="0"/>
      </c>
    </row>
    <row r="190" spans="1:9" x14ac:dyDescent="0.25">
      <c r="A190" s="27"/>
      <c r="B190" s="28"/>
      <c r="C190" s="29"/>
      <c r="D190" s="28"/>
      <c r="E190" s="30"/>
      <c r="F190" s="29"/>
      <c r="G190" s="29"/>
      <c r="H190" s="31">
        <f>IF(A190="","",COUNTIF(Planos!$B$4:$B$303,A190))</f>
      </c>
      <c r="I190" s="32">
        <f t="shared" si="0"/>
      </c>
    </row>
    <row r="191" spans="1:9" x14ac:dyDescent="0.25">
      <c r="A191" s="27"/>
      <c r="B191" s="28"/>
      <c r="C191" s="29"/>
      <c r="D191" s="28"/>
      <c r="E191" s="30"/>
      <c r="F191" s="29"/>
      <c r="G191" s="29"/>
      <c r="H191" s="31">
        <f>IF(A191="","",COUNTIF(Planos!$B$4:$B$303,A191))</f>
      </c>
      <c r="I191" s="32">
        <f t="shared" si="0"/>
      </c>
    </row>
    <row r="192" spans="1:9" x14ac:dyDescent="0.25">
      <c r="A192" s="27"/>
      <c r="B192" s="28"/>
      <c r="C192" s="29"/>
      <c r="D192" s="28"/>
      <c r="E192" s="30"/>
      <c r="F192" s="29"/>
      <c r="G192" s="29"/>
      <c r="H192" s="31">
        <f>IF(A192="","",COUNTIF(Planos!$B$4:$B$303,A192))</f>
      </c>
      <c r="I192" s="32">
        <f t="shared" si="0"/>
      </c>
    </row>
    <row r="193" spans="1:9" x14ac:dyDescent="0.25">
      <c r="A193" s="27"/>
      <c r="B193" s="28"/>
      <c r="C193" s="29"/>
      <c r="D193" s="28"/>
      <c r="E193" s="30"/>
      <c r="F193" s="29"/>
      <c r="G193" s="29"/>
      <c r="H193" s="31">
        <f>IF(A193="","",COUNTIF(Planos!$B$4:$B$303,A193))</f>
      </c>
      <c r="I193" s="32">
        <f t="shared" si="0"/>
      </c>
    </row>
    <row r="194" spans="1:9" x14ac:dyDescent="0.25">
      <c r="A194" s="27"/>
      <c r="B194" s="28"/>
      <c r="C194" s="29"/>
      <c r="D194" s="28"/>
      <c r="E194" s="30"/>
      <c r="F194" s="29"/>
      <c r="G194" s="29"/>
      <c r="H194" s="31">
        <f>IF(A194="","",COUNTIF(Planos!$B$4:$B$303,A194))</f>
      </c>
      <c r="I194" s="32">
        <f t="shared" si="0"/>
      </c>
    </row>
    <row r="195" spans="1:9" x14ac:dyDescent="0.25">
      <c r="A195" s="27"/>
      <c r="B195" s="28"/>
      <c r="C195" s="29"/>
      <c r="D195" s="28"/>
      <c r="E195" s="30"/>
      <c r="F195" s="29"/>
      <c r="G195" s="29"/>
      <c r="H195" s="31">
        <f>IF(A195="","",COUNTIF(Planos!$B$4:$B$303,A195))</f>
      </c>
      <c r="I195" s="32">
        <f t="shared" si="0"/>
      </c>
    </row>
    <row r="196" spans="1:9" x14ac:dyDescent="0.25">
      <c r="A196" s="27"/>
      <c r="B196" s="28"/>
      <c r="C196" s="29"/>
      <c r="D196" s="28"/>
      <c r="E196" s="30"/>
      <c r="F196" s="29"/>
      <c r="G196" s="29"/>
      <c r="H196" s="31">
        <f>IF(A196="","",COUNTIF(Planos!$B$4:$B$303,A196))</f>
      </c>
      <c r="I196" s="32">
        <f t="shared" si="0"/>
      </c>
    </row>
    <row r="197" spans="1:9" x14ac:dyDescent="0.25">
      <c r="A197" s="27"/>
      <c r="B197" s="28"/>
      <c r="C197" s="29"/>
      <c r="D197" s="28"/>
      <c r="E197" s="30"/>
      <c r="F197" s="29"/>
      <c r="G197" s="29"/>
      <c r="H197" s="31">
        <f>IF(A197="","",COUNTIF(Planos!$B$4:$B$303,A197))</f>
      </c>
      <c r="I197" s="32">
        <f t="shared" si="0"/>
      </c>
    </row>
    <row r="198" spans="1:9" x14ac:dyDescent="0.25">
      <c r="A198" s="27"/>
      <c r="B198" s="28"/>
      <c r="C198" s="29"/>
      <c r="D198" s="28"/>
      <c r="E198" s="30"/>
      <c r="F198" s="29"/>
      <c r="G198" s="29"/>
      <c r="H198" s="31">
        <f>IF(A198="","",COUNTIF(Planos!$B$4:$B$303,A198))</f>
      </c>
      <c r="I198" s="32">
        <f t="shared" si="0"/>
      </c>
    </row>
    <row r="199" spans="1:9" x14ac:dyDescent="0.25">
      <c r="A199" s="27"/>
      <c r="B199" s="28"/>
      <c r="C199" s="29"/>
      <c r="D199" s="28"/>
      <c r="E199" s="30"/>
      <c r="F199" s="29"/>
      <c r="G199" s="29"/>
      <c r="H199" s="31">
        <f>IF(A199="","",COUNTIF(Planos!$B$4:$B$303,A199))</f>
      </c>
      <c r="I199" s="32">
        <f t="shared" si="0"/>
      </c>
    </row>
    <row r="200" spans="1:9" x14ac:dyDescent="0.25">
      <c r="A200" s="27"/>
      <c r="B200" s="28"/>
      <c r="C200" s="29"/>
      <c r="D200" s="28"/>
      <c r="E200" s="30"/>
      <c r="F200" s="29"/>
      <c r="G200" s="29"/>
      <c r="H200" s="31">
        <f>IF(A200="","",COUNTIF(Planos!$B$4:$B$303,A200))</f>
      </c>
      <c r="I200" s="32">
        <f t="shared" si="0"/>
      </c>
    </row>
    <row r="201" spans="1:9" x14ac:dyDescent="0.25">
      <c r="A201" s="27"/>
      <c r="B201" s="28"/>
      <c r="C201" s="29"/>
      <c r="D201" s="28"/>
      <c r="E201" s="30"/>
      <c r="F201" s="29"/>
      <c r="G201" s="29"/>
      <c r="H201" s="31">
        <f>IF(A201="","",COUNTIF(Planos!$B$4:$B$303,A201))</f>
      </c>
      <c r="I201" s="32">
        <f t="shared" si="0"/>
      </c>
    </row>
    <row r="202" spans="1:9" x14ac:dyDescent="0.25">
      <c r="A202" s="27"/>
      <c r="B202" s="28"/>
      <c r="C202" s="29"/>
      <c r="D202" s="28"/>
      <c r="E202" s="30"/>
      <c r="F202" s="29"/>
      <c r="G202" s="29"/>
      <c r="H202" s="31">
        <f>IF(A202="","",COUNTIF(Planos!$B$4:$B$303,A202))</f>
      </c>
      <c r="I202" s="32">
        <f t="shared" si="0"/>
      </c>
    </row>
    <row r="203" spans="1:9" x14ac:dyDescent="0.25">
      <c r="A203" s="27"/>
      <c r="B203" s="28"/>
      <c r="C203" s="29"/>
      <c r="D203" s="28"/>
      <c r="E203" s="30"/>
      <c r="F203" s="29"/>
      <c r="G203" s="29"/>
      <c r="H203" s="31">
        <f>IF(A203="","",COUNTIF(Planos!$B$4:$B$303,A203))</f>
      </c>
      <c r="I203" s="32">
        <f t="shared" si="0"/>
      </c>
    </row>
  </sheetData>
  <sheetProtection sheet="1" formatColumns="0" formatRows="0" autoFilter="0"/>
  <autoFilter ref="A3:I203"/>
  <mergeCells count="2">
    <mergeCell ref="A1:B2"/>
    <mergeCell ref="C1:H2"/>
  </mergeCells>
  <conditionalFormatting sqref="F4:F203">
    <cfRule type="expression" dxfId="5" priority="10">
      <formula>F4="A"</formula>
    </cfRule>
    <cfRule type="expression" dxfId="6" priority="11">
      <formula>F4="B"</formula>
    </cfRule>
    <cfRule type="expression" dxfId="7" priority="12">
      <formula>F4="C"</formula>
    </cfRule>
  </conditionalFormatting>
  <conditionalFormatting sqref="G4:G203">
    <cfRule type="expression" dxfId="8" priority="10">
      <formula>G4="Desativado"</formula>
    </cfRule>
    <cfRule type="expression" dxfId="9" priority="11">
      <formula>G4="Parado"</formula>
    </cfRule>
    <cfRule type="expression" dxfId="10" priority="12">
      <formula>G4="Em manutenção"</formula>
    </cfRule>
  </conditionalFormatting>
  <conditionalFormatting sqref="I4:I203">
    <cfRule type="expression" dxfId="11" priority="1">
      <formula>OR(LEFT(I4,4)="ERRO",LEFT(I4,7)="ATENÇÃO")</formula>
    </cfRule>
    <cfRule type="expression" dxfId="12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13" priority="3">
      <formula>OR(I4="OK",LEFT(I4,4)="Nada",LEFT(I4,3)="OK:")</formula>
    </cfRule>
  </conditionalFormatting>
  <dataValidations count="4">
    <dataValidation type="list" allowBlank="1" showErrorMessage="1" errorStyle="stop" errorTitle="Valor fora da lista" error="Escolha um item da lista suspensa (aba Listas)." sqref="C4:C203">
      <formula1>OFFSET(lst_setor,0,0,MAX(1,COUNTA(lst_setor)),1)</formula1>
    </dataValidation>
    <dataValidation type="whole" allowBlank="1" showErrorMessage="1" errorStyle="stop" errorTitle="Valor inválido" error="Ano de fabricação com 4 dígitos." sqref="E4:E203">
      <formula1>1950</formula1>
      <formula2>2100</formula2>
    </dataValidation>
    <dataValidation type="list" allowBlank="1" showErrorMessage="1" errorStyle="stop" errorTitle="Valor fora da lista" error="Escolha A, B ou C." sqref="F4:F203">
      <formula1>"A,B,C"</formula1>
    </dataValidation>
    <dataValidation type="list" allowBlank="1" showErrorMessage="1" errorStyle="stop" errorTitle="Valor fora da lista" error="Escolha um item da lista suspensa (aba Listas)." sqref="G4:G203">
      <formula1>OFFSET(lst_situacao_ativo,0,0,MAX(1,COUNTA(lst_situacao_ativo)),1)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3"/>
  <sheetViews>
    <sheetView workbookViewId="0" showGridLines="0" zoomScale="100" zoomScaleNormal="10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8" customWidth="1"/>
    <col min="4" max="4" width="14" customWidth="1"/>
    <col min="5" max="7" width="13" customWidth="1"/>
    <col min="8" max="8" width="10" customWidth="1"/>
    <col min="9" max="9" width="12" customWidth="1"/>
    <col min="10" max="10" width="20" customWidth="1"/>
    <col min="11" max="11" width="10" customWidth="1"/>
    <col min="12" max="12" width="11" customWidth="1"/>
    <col min="13" max="13" width="36" customWidth="1"/>
  </cols>
  <sheetData>
    <row r="1" ht="36" customHeight="1" spans="1:13" x14ac:dyDescent="0.25">
      <c r="A1" s="1"/>
      <c r="B1" s="1"/>
      <c r="C1" s="2" t="s">
        <v>88</v>
      </c>
      <c r="D1" s="2"/>
      <c r="E1" s="2"/>
      <c r="F1" s="2"/>
      <c r="G1" s="2"/>
      <c r="H1" s="2"/>
      <c r="I1" s="2"/>
      <c r="J1" s="2"/>
      <c r="K1" s="2"/>
      <c r="L1" s="2"/>
      <c r="M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3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4">
        <f>"Elaborado: "&amp;IF(cfg_elaborado="","A definir",cfg_elaborado)&amp;CHAR(10)&amp;"Aprovado: "&amp;IF(cfg_aprovado="","A definir",cfg_aprovado)</f>
      </c>
    </row>
    <row r="3" ht="32" customHeight="1" spans="1:13" x14ac:dyDescent="0.25">
      <c r="A3" s="8" t="s">
        <v>89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95</v>
      </c>
      <c r="H3" s="8" t="s">
        <v>96</v>
      </c>
      <c r="I3" s="8" t="s">
        <v>58</v>
      </c>
      <c r="J3" s="8" t="s">
        <v>97</v>
      </c>
      <c r="K3" s="8" t="s">
        <v>98</v>
      </c>
      <c r="L3" s="8" t="s">
        <v>99</v>
      </c>
      <c r="M3" s="8" t="s">
        <v>87</v>
      </c>
    </row>
    <row r="4" spans="1:13" x14ac:dyDescent="0.25">
      <c r="A4" s="27"/>
      <c r="B4" s="29"/>
      <c r="C4" s="33"/>
      <c r="D4" s="29"/>
      <c r="E4" s="30"/>
      <c r="F4" s="34"/>
      <c r="G4" s="35">
        <f t="shared" ref="G4:G303" si="0">IF(OR(NOT(ISNUMBER(F4)),N(E4)&lt;=0),"",F4+E4)</f>
      </c>
      <c r="H4" s="36">
        <f t="shared" ref="H4:H303" si="1">IF(G4="","",G4-TODAY())</f>
      </c>
      <c r="I4" s="31">
        <f t="shared" ref="I4:I303" si="2">IF(A4="","",IF(G4="","Sem data",IF(H4&lt;0,"Vencido",IF(H4&lt;=7,"Programar","Em dia"))))</f>
      </c>
      <c r="J4" s="28"/>
      <c r="K4" s="37"/>
      <c r="L4" s="31">
        <f t="shared" ref="L4:L303" si="3">IF(B4="","",IFERROR(INDEX(at_criticidade,MATCH(B4,at_codigo,0))&amp;"",""))</f>
      </c>
      <c r="M4" s="32">
        <f t="shared" ref="M4:M303" si="4">IF(A4&amp;B4&amp;C4="","",IF(A4="","ERRO: falta o código do plano",IF(COUNTIF(pl_plano,A4)&gt;1,"ERRO: plano repetido",IF(B4="","ERRO: falta o ativo",IF(ISNA(MATCH(B4,at_codigo,0)),"ERRO: ativo não cadastrado",IF(INDEX(at_situacao,MATCH(B4,at_codigo,0))="Desativado","Verificar: ativo desativado",IF(N(E4)&lt;=0,"Pendente: informe a periodicidade",IF(NOT(ISNUMBER(F4)),"Pendente: informe a última execução",IF(F4&gt;TODAY(),"ERRO: última execução no futuro","OK")))))))))</f>
      </c>
    </row>
    <row r="5" spans="1:13" x14ac:dyDescent="0.25">
      <c r="A5" s="27"/>
      <c r="B5" s="29"/>
      <c r="C5" s="33"/>
      <c r="D5" s="29"/>
      <c r="E5" s="30"/>
      <c r="F5" s="34"/>
      <c r="G5" s="35">
        <f t="shared" si="0"/>
      </c>
      <c r="H5" s="36">
        <f t="shared" si="1"/>
      </c>
      <c r="I5" s="31">
        <f t="shared" si="2"/>
      </c>
      <c r="J5" s="28"/>
      <c r="K5" s="37"/>
      <c r="L5" s="31">
        <f t="shared" si="3"/>
      </c>
      <c r="M5" s="32">
        <f t="shared" si="4"/>
      </c>
    </row>
    <row r="6" spans="1:13" x14ac:dyDescent="0.25">
      <c r="A6" s="27"/>
      <c r="B6" s="29"/>
      <c r="C6" s="33"/>
      <c r="D6" s="29"/>
      <c r="E6" s="30"/>
      <c r="F6" s="34"/>
      <c r="G6" s="35">
        <f t="shared" si="0"/>
      </c>
      <c r="H6" s="36">
        <f t="shared" si="1"/>
      </c>
      <c r="I6" s="31">
        <f t="shared" si="2"/>
      </c>
      <c r="J6" s="28"/>
      <c r="K6" s="37"/>
      <c r="L6" s="31">
        <f t="shared" si="3"/>
      </c>
      <c r="M6" s="32">
        <f t="shared" si="4"/>
      </c>
    </row>
    <row r="7" spans="1:13" x14ac:dyDescent="0.25">
      <c r="A7" s="27"/>
      <c r="B7" s="29"/>
      <c r="C7" s="33"/>
      <c r="D7" s="29"/>
      <c r="E7" s="30"/>
      <c r="F7" s="34"/>
      <c r="G7" s="35">
        <f t="shared" si="0"/>
      </c>
      <c r="H7" s="36">
        <f t="shared" si="1"/>
      </c>
      <c r="I7" s="31">
        <f t="shared" si="2"/>
      </c>
      <c r="J7" s="28"/>
      <c r="K7" s="37"/>
      <c r="L7" s="31">
        <f t="shared" si="3"/>
      </c>
      <c r="M7" s="32">
        <f t="shared" si="4"/>
      </c>
    </row>
    <row r="8" spans="1:13" x14ac:dyDescent="0.25">
      <c r="A8" s="27"/>
      <c r="B8" s="29"/>
      <c r="C8" s="33"/>
      <c r="D8" s="29"/>
      <c r="E8" s="30"/>
      <c r="F8" s="34"/>
      <c r="G8" s="35">
        <f t="shared" si="0"/>
      </c>
      <c r="H8" s="36">
        <f t="shared" si="1"/>
      </c>
      <c r="I8" s="31">
        <f t="shared" si="2"/>
      </c>
      <c r="J8" s="28"/>
      <c r="K8" s="37"/>
      <c r="L8" s="31">
        <f t="shared" si="3"/>
      </c>
      <c r="M8" s="32">
        <f t="shared" si="4"/>
      </c>
    </row>
    <row r="9" spans="1:13" x14ac:dyDescent="0.25">
      <c r="A9" s="27"/>
      <c r="B9" s="29"/>
      <c r="C9" s="33"/>
      <c r="D9" s="29"/>
      <c r="E9" s="30"/>
      <c r="F9" s="34"/>
      <c r="G9" s="35">
        <f t="shared" si="0"/>
      </c>
      <c r="H9" s="36">
        <f t="shared" si="1"/>
      </c>
      <c r="I9" s="31">
        <f t="shared" si="2"/>
      </c>
      <c r="J9" s="28"/>
      <c r="K9" s="37"/>
      <c r="L9" s="31">
        <f t="shared" si="3"/>
      </c>
      <c r="M9" s="32">
        <f t="shared" si="4"/>
      </c>
    </row>
    <row r="10" spans="1:13" x14ac:dyDescent="0.25">
      <c r="A10" s="27"/>
      <c r="B10" s="29"/>
      <c r="C10" s="33"/>
      <c r="D10" s="29"/>
      <c r="E10" s="30"/>
      <c r="F10" s="34"/>
      <c r="G10" s="35">
        <f t="shared" si="0"/>
      </c>
      <c r="H10" s="36">
        <f t="shared" si="1"/>
      </c>
      <c r="I10" s="31">
        <f t="shared" si="2"/>
      </c>
      <c r="J10" s="28"/>
      <c r="K10" s="37"/>
      <c r="L10" s="31">
        <f t="shared" si="3"/>
      </c>
      <c r="M10" s="32">
        <f t="shared" si="4"/>
      </c>
    </row>
    <row r="11" spans="1:13" x14ac:dyDescent="0.25">
      <c r="A11" s="27"/>
      <c r="B11" s="29"/>
      <c r="C11" s="33"/>
      <c r="D11" s="29"/>
      <c r="E11" s="30"/>
      <c r="F11" s="34"/>
      <c r="G11" s="35">
        <f t="shared" si="0"/>
      </c>
      <c r="H11" s="36">
        <f t="shared" si="1"/>
      </c>
      <c r="I11" s="31">
        <f t="shared" si="2"/>
      </c>
      <c r="J11" s="28"/>
      <c r="K11" s="37"/>
      <c r="L11" s="31">
        <f t="shared" si="3"/>
      </c>
      <c r="M11" s="32">
        <f t="shared" si="4"/>
      </c>
    </row>
    <row r="12" spans="1:13" x14ac:dyDescent="0.25">
      <c r="A12" s="27"/>
      <c r="B12" s="29"/>
      <c r="C12" s="33"/>
      <c r="D12" s="29"/>
      <c r="E12" s="30"/>
      <c r="F12" s="34"/>
      <c r="G12" s="35">
        <f t="shared" si="0"/>
      </c>
      <c r="H12" s="36">
        <f t="shared" si="1"/>
      </c>
      <c r="I12" s="31">
        <f t="shared" si="2"/>
      </c>
      <c r="J12" s="28"/>
      <c r="K12" s="37"/>
      <c r="L12" s="31">
        <f t="shared" si="3"/>
      </c>
      <c r="M12" s="32">
        <f t="shared" si="4"/>
      </c>
    </row>
    <row r="13" spans="1:13" x14ac:dyDescent="0.25">
      <c r="A13" s="27"/>
      <c r="B13" s="29"/>
      <c r="C13" s="33"/>
      <c r="D13" s="29"/>
      <c r="E13" s="30"/>
      <c r="F13" s="34"/>
      <c r="G13" s="35">
        <f t="shared" si="0"/>
      </c>
      <c r="H13" s="36">
        <f t="shared" si="1"/>
      </c>
      <c r="I13" s="31">
        <f t="shared" si="2"/>
      </c>
      <c r="J13" s="28"/>
      <c r="K13" s="37"/>
      <c r="L13" s="31">
        <f t="shared" si="3"/>
      </c>
      <c r="M13" s="32">
        <f t="shared" si="4"/>
      </c>
    </row>
    <row r="14" spans="1:13" x14ac:dyDescent="0.25">
      <c r="A14" s="27"/>
      <c r="B14" s="29"/>
      <c r="C14" s="33"/>
      <c r="D14" s="29"/>
      <c r="E14" s="30"/>
      <c r="F14" s="34"/>
      <c r="G14" s="35">
        <f t="shared" si="0"/>
      </c>
      <c r="H14" s="36">
        <f t="shared" si="1"/>
      </c>
      <c r="I14" s="31">
        <f t="shared" si="2"/>
      </c>
      <c r="J14" s="28"/>
      <c r="K14" s="37"/>
      <c r="L14" s="31">
        <f t="shared" si="3"/>
      </c>
      <c r="M14" s="32">
        <f t="shared" si="4"/>
      </c>
    </row>
    <row r="15" spans="1:13" x14ac:dyDescent="0.25">
      <c r="A15" s="27"/>
      <c r="B15" s="29"/>
      <c r="C15" s="33"/>
      <c r="D15" s="29"/>
      <c r="E15" s="30"/>
      <c r="F15" s="34"/>
      <c r="G15" s="35">
        <f t="shared" si="0"/>
      </c>
      <c r="H15" s="36">
        <f t="shared" si="1"/>
      </c>
      <c r="I15" s="31">
        <f t="shared" si="2"/>
      </c>
      <c r="J15" s="28"/>
      <c r="K15" s="37"/>
      <c r="L15" s="31">
        <f t="shared" si="3"/>
      </c>
      <c r="M15" s="32">
        <f t="shared" si="4"/>
      </c>
    </row>
    <row r="16" spans="1:13" x14ac:dyDescent="0.25">
      <c r="A16" s="27"/>
      <c r="B16" s="29"/>
      <c r="C16" s="33"/>
      <c r="D16" s="29"/>
      <c r="E16" s="30"/>
      <c r="F16" s="34"/>
      <c r="G16" s="35">
        <f t="shared" si="0"/>
      </c>
      <c r="H16" s="36">
        <f t="shared" si="1"/>
      </c>
      <c r="I16" s="31">
        <f t="shared" si="2"/>
      </c>
      <c r="J16" s="28"/>
      <c r="K16" s="37"/>
      <c r="L16" s="31">
        <f t="shared" si="3"/>
      </c>
      <c r="M16" s="32">
        <f t="shared" si="4"/>
      </c>
    </row>
    <row r="17" spans="1:13" x14ac:dyDescent="0.25">
      <c r="A17" s="27"/>
      <c r="B17" s="29"/>
      <c r="C17" s="33"/>
      <c r="D17" s="29"/>
      <c r="E17" s="30"/>
      <c r="F17" s="34"/>
      <c r="G17" s="35">
        <f t="shared" si="0"/>
      </c>
      <c r="H17" s="36">
        <f t="shared" si="1"/>
      </c>
      <c r="I17" s="31">
        <f t="shared" si="2"/>
      </c>
      <c r="J17" s="28"/>
      <c r="K17" s="37"/>
      <c r="L17" s="31">
        <f t="shared" si="3"/>
      </c>
      <c r="M17" s="32">
        <f t="shared" si="4"/>
      </c>
    </row>
    <row r="18" spans="1:13" x14ac:dyDescent="0.25">
      <c r="A18" s="27"/>
      <c r="B18" s="29"/>
      <c r="C18" s="33"/>
      <c r="D18" s="29"/>
      <c r="E18" s="30"/>
      <c r="F18" s="34"/>
      <c r="G18" s="35">
        <f t="shared" si="0"/>
      </c>
      <c r="H18" s="36">
        <f t="shared" si="1"/>
      </c>
      <c r="I18" s="31">
        <f t="shared" si="2"/>
      </c>
      <c r="J18" s="28"/>
      <c r="K18" s="37"/>
      <c r="L18" s="31">
        <f t="shared" si="3"/>
      </c>
      <c r="M18" s="32">
        <f t="shared" si="4"/>
      </c>
    </row>
    <row r="19" spans="1:13" x14ac:dyDescent="0.25">
      <c r="A19" s="27"/>
      <c r="B19" s="29"/>
      <c r="C19" s="33"/>
      <c r="D19" s="29"/>
      <c r="E19" s="30"/>
      <c r="F19" s="34"/>
      <c r="G19" s="35">
        <f t="shared" si="0"/>
      </c>
      <c r="H19" s="36">
        <f t="shared" si="1"/>
      </c>
      <c r="I19" s="31">
        <f t="shared" si="2"/>
      </c>
      <c r="J19" s="28"/>
      <c r="K19" s="37"/>
      <c r="L19" s="31">
        <f t="shared" si="3"/>
      </c>
      <c r="M19" s="32">
        <f t="shared" si="4"/>
      </c>
    </row>
    <row r="20" spans="1:13" x14ac:dyDescent="0.25">
      <c r="A20" s="27"/>
      <c r="B20" s="29"/>
      <c r="C20" s="33"/>
      <c r="D20" s="29"/>
      <c r="E20" s="30"/>
      <c r="F20" s="34"/>
      <c r="G20" s="35">
        <f t="shared" si="0"/>
      </c>
      <c r="H20" s="36">
        <f t="shared" si="1"/>
      </c>
      <c r="I20" s="31">
        <f t="shared" si="2"/>
      </c>
      <c r="J20" s="28"/>
      <c r="K20" s="37"/>
      <c r="L20" s="31">
        <f t="shared" si="3"/>
      </c>
      <c r="M20" s="32">
        <f t="shared" si="4"/>
      </c>
    </row>
    <row r="21" spans="1:13" x14ac:dyDescent="0.25">
      <c r="A21" s="27"/>
      <c r="B21" s="29"/>
      <c r="C21" s="33"/>
      <c r="D21" s="29"/>
      <c r="E21" s="30"/>
      <c r="F21" s="34"/>
      <c r="G21" s="35">
        <f t="shared" si="0"/>
      </c>
      <c r="H21" s="36">
        <f t="shared" si="1"/>
      </c>
      <c r="I21" s="31">
        <f t="shared" si="2"/>
      </c>
      <c r="J21" s="28"/>
      <c r="K21" s="37"/>
      <c r="L21" s="31">
        <f t="shared" si="3"/>
      </c>
      <c r="M21" s="32">
        <f t="shared" si="4"/>
      </c>
    </row>
    <row r="22" spans="1:13" x14ac:dyDescent="0.25">
      <c r="A22" s="27"/>
      <c r="B22" s="29"/>
      <c r="C22" s="33"/>
      <c r="D22" s="29"/>
      <c r="E22" s="30"/>
      <c r="F22" s="34"/>
      <c r="G22" s="35">
        <f t="shared" si="0"/>
      </c>
      <c r="H22" s="36">
        <f t="shared" si="1"/>
      </c>
      <c r="I22" s="31">
        <f t="shared" si="2"/>
      </c>
      <c r="J22" s="28"/>
      <c r="K22" s="37"/>
      <c r="L22" s="31">
        <f t="shared" si="3"/>
      </c>
      <c r="M22" s="32">
        <f t="shared" si="4"/>
      </c>
    </row>
    <row r="23" spans="1:13" x14ac:dyDescent="0.25">
      <c r="A23" s="27"/>
      <c r="B23" s="29"/>
      <c r="C23" s="33"/>
      <c r="D23" s="29"/>
      <c r="E23" s="30"/>
      <c r="F23" s="34"/>
      <c r="G23" s="35">
        <f t="shared" si="0"/>
      </c>
      <c r="H23" s="36">
        <f t="shared" si="1"/>
      </c>
      <c r="I23" s="31">
        <f t="shared" si="2"/>
      </c>
      <c r="J23" s="28"/>
      <c r="K23" s="37"/>
      <c r="L23" s="31">
        <f t="shared" si="3"/>
      </c>
      <c r="M23" s="32">
        <f t="shared" si="4"/>
      </c>
    </row>
    <row r="24" spans="1:13" x14ac:dyDescent="0.25">
      <c r="A24" s="27"/>
      <c r="B24" s="29"/>
      <c r="C24" s="33"/>
      <c r="D24" s="29"/>
      <c r="E24" s="30"/>
      <c r="F24" s="34"/>
      <c r="G24" s="35">
        <f t="shared" si="0"/>
      </c>
      <c r="H24" s="36">
        <f t="shared" si="1"/>
      </c>
      <c r="I24" s="31">
        <f t="shared" si="2"/>
      </c>
      <c r="J24" s="28"/>
      <c r="K24" s="37"/>
      <c r="L24" s="31">
        <f t="shared" si="3"/>
      </c>
      <c r="M24" s="32">
        <f t="shared" si="4"/>
      </c>
    </row>
    <row r="25" spans="1:13" x14ac:dyDescent="0.25">
      <c r="A25" s="27"/>
      <c r="B25" s="29"/>
      <c r="C25" s="33"/>
      <c r="D25" s="29"/>
      <c r="E25" s="30"/>
      <c r="F25" s="34"/>
      <c r="G25" s="35">
        <f t="shared" si="0"/>
      </c>
      <c r="H25" s="36">
        <f t="shared" si="1"/>
      </c>
      <c r="I25" s="31">
        <f t="shared" si="2"/>
      </c>
      <c r="J25" s="28"/>
      <c r="K25" s="37"/>
      <c r="L25" s="31">
        <f t="shared" si="3"/>
      </c>
      <c r="M25" s="32">
        <f t="shared" si="4"/>
      </c>
    </row>
    <row r="26" spans="1:13" x14ac:dyDescent="0.25">
      <c r="A26" s="27"/>
      <c r="B26" s="29"/>
      <c r="C26" s="33"/>
      <c r="D26" s="29"/>
      <c r="E26" s="30"/>
      <c r="F26" s="34"/>
      <c r="G26" s="35">
        <f t="shared" si="0"/>
      </c>
      <c r="H26" s="36">
        <f t="shared" si="1"/>
      </c>
      <c r="I26" s="31">
        <f t="shared" si="2"/>
      </c>
      <c r="J26" s="28"/>
      <c r="K26" s="37"/>
      <c r="L26" s="31">
        <f t="shared" si="3"/>
      </c>
      <c r="M26" s="32">
        <f t="shared" si="4"/>
      </c>
    </row>
    <row r="27" spans="1:13" x14ac:dyDescent="0.25">
      <c r="A27" s="27"/>
      <c r="B27" s="29"/>
      <c r="C27" s="33"/>
      <c r="D27" s="29"/>
      <c r="E27" s="30"/>
      <c r="F27" s="34"/>
      <c r="G27" s="35">
        <f t="shared" si="0"/>
      </c>
      <c r="H27" s="36">
        <f t="shared" si="1"/>
      </c>
      <c r="I27" s="31">
        <f t="shared" si="2"/>
      </c>
      <c r="J27" s="28"/>
      <c r="K27" s="37"/>
      <c r="L27" s="31">
        <f t="shared" si="3"/>
      </c>
      <c r="M27" s="32">
        <f t="shared" si="4"/>
      </c>
    </row>
    <row r="28" spans="1:13" x14ac:dyDescent="0.25">
      <c r="A28" s="27"/>
      <c r="B28" s="29"/>
      <c r="C28" s="33"/>
      <c r="D28" s="29"/>
      <c r="E28" s="30"/>
      <c r="F28" s="34"/>
      <c r="G28" s="35">
        <f t="shared" si="0"/>
      </c>
      <c r="H28" s="36">
        <f t="shared" si="1"/>
      </c>
      <c r="I28" s="31">
        <f t="shared" si="2"/>
      </c>
      <c r="J28" s="28"/>
      <c r="K28" s="37"/>
      <c r="L28" s="31">
        <f t="shared" si="3"/>
      </c>
      <c r="M28" s="32">
        <f t="shared" si="4"/>
      </c>
    </row>
    <row r="29" spans="1:13" x14ac:dyDescent="0.25">
      <c r="A29" s="27"/>
      <c r="B29" s="29"/>
      <c r="C29" s="33"/>
      <c r="D29" s="29"/>
      <c r="E29" s="30"/>
      <c r="F29" s="34"/>
      <c r="G29" s="35">
        <f t="shared" si="0"/>
      </c>
      <c r="H29" s="36">
        <f t="shared" si="1"/>
      </c>
      <c r="I29" s="31">
        <f t="shared" si="2"/>
      </c>
      <c r="J29" s="28"/>
      <c r="K29" s="37"/>
      <c r="L29" s="31">
        <f t="shared" si="3"/>
      </c>
      <c r="M29" s="32">
        <f t="shared" si="4"/>
      </c>
    </row>
    <row r="30" spans="1:13" x14ac:dyDescent="0.25">
      <c r="A30" s="27"/>
      <c r="B30" s="29"/>
      <c r="C30" s="33"/>
      <c r="D30" s="29"/>
      <c r="E30" s="30"/>
      <c r="F30" s="34"/>
      <c r="G30" s="35">
        <f t="shared" si="0"/>
      </c>
      <c r="H30" s="36">
        <f t="shared" si="1"/>
      </c>
      <c r="I30" s="31">
        <f t="shared" si="2"/>
      </c>
      <c r="J30" s="28"/>
      <c r="K30" s="37"/>
      <c r="L30" s="31">
        <f t="shared" si="3"/>
      </c>
      <c r="M30" s="32">
        <f t="shared" si="4"/>
      </c>
    </row>
    <row r="31" spans="1:13" x14ac:dyDescent="0.25">
      <c r="A31" s="27"/>
      <c r="B31" s="29"/>
      <c r="C31" s="33"/>
      <c r="D31" s="29"/>
      <c r="E31" s="30"/>
      <c r="F31" s="34"/>
      <c r="G31" s="35">
        <f t="shared" si="0"/>
      </c>
      <c r="H31" s="36">
        <f t="shared" si="1"/>
      </c>
      <c r="I31" s="31">
        <f t="shared" si="2"/>
      </c>
      <c r="J31" s="28"/>
      <c r="K31" s="37"/>
      <c r="L31" s="31">
        <f t="shared" si="3"/>
      </c>
      <c r="M31" s="32">
        <f t="shared" si="4"/>
      </c>
    </row>
    <row r="32" spans="1:13" x14ac:dyDescent="0.25">
      <c r="A32" s="27"/>
      <c r="B32" s="29"/>
      <c r="C32" s="33"/>
      <c r="D32" s="29"/>
      <c r="E32" s="30"/>
      <c r="F32" s="34"/>
      <c r="G32" s="35">
        <f t="shared" si="0"/>
      </c>
      <c r="H32" s="36">
        <f t="shared" si="1"/>
      </c>
      <c r="I32" s="31">
        <f t="shared" si="2"/>
      </c>
      <c r="J32" s="28"/>
      <c r="K32" s="37"/>
      <c r="L32" s="31">
        <f t="shared" si="3"/>
      </c>
      <c r="M32" s="32">
        <f t="shared" si="4"/>
      </c>
    </row>
    <row r="33" spans="1:13" x14ac:dyDescent="0.25">
      <c r="A33" s="27"/>
      <c r="B33" s="29"/>
      <c r="C33" s="33"/>
      <c r="D33" s="29"/>
      <c r="E33" s="30"/>
      <c r="F33" s="34"/>
      <c r="G33" s="35">
        <f t="shared" si="0"/>
      </c>
      <c r="H33" s="36">
        <f t="shared" si="1"/>
      </c>
      <c r="I33" s="31">
        <f t="shared" si="2"/>
      </c>
      <c r="J33" s="28"/>
      <c r="K33" s="37"/>
      <c r="L33" s="31">
        <f t="shared" si="3"/>
      </c>
      <c r="M33" s="32">
        <f t="shared" si="4"/>
      </c>
    </row>
    <row r="34" spans="1:13" x14ac:dyDescent="0.25">
      <c r="A34" s="27"/>
      <c r="B34" s="29"/>
      <c r="C34" s="33"/>
      <c r="D34" s="29"/>
      <c r="E34" s="30"/>
      <c r="F34" s="34"/>
      <c r="G34" s="35">
        <f t="shared" si="0"/>
      </c>
      <c r="H34" s="36">
        <f t="shared" si="1"/>
      </c>
      <c r="I34" s="31">
        <f t="shared" si="2"/>
      </c>
      <c r="J34" s="28"/>
      <c r="K34" s="37"/>
      <c r="L34" s="31">
        <f t="shared" si="3"/>
      </c>
      <c r="M34" s="32">
        <f t="shared" si="4"/>
      </c>
    </row>
    <row r="35" spans="1:13" x14ac:dyDescent="0.25">
      <c r="A35" s="27"/>
      <c r="B35" s="29"/>
      <c r="C35" s="33"/>
      <c r="D35" s="29"/>
      <c r="E35" s="30"/>
      <c r="F35" s="34"/>
      <c r="G35" s="35">
        <f t="shared" si="0"/>
      </c>
      <c r="H35" s="36">
        <f t="shared" si="1"/>
      </c>
      <c r="I35" s="31">
        <f t="shared" si="2"/>
      </c>
      <c r="J35" s="28"/>
      <c r="K35" s="37"/>
      <c r="L35" s="31">
        <f t="shared" si="3"/>
      </c>
      <c r="M35" s="32">
        <f t="shared" si="4"/>
      </c>
    </row>
    <row r="36" spans="1:13" x14ac:dyDescent="0.25">
      <c r="A36" s="27"/>
      <c r="B36" s="29"/>
      <c r="C36" s="33"/>
      <c r="D36" s="29"/>
      <c r="E36" s="30"/>
      <c r="F36" s="34"/>
      <c r="G36" s="35">
        <f t="shared" si="0"/>
      </c>
      <c r="H36" s="36">
        <f t="shared" si="1"/>
      </c>
      <c r="I36" s="31">
        <f t="shared" si="2"/>
      </c>
      <c r="J36" s="28"/>
      <c r="K36" s="37"/>
      <c r="L36" s="31">
        <f t="shared" si="3"/>
      </c>
      <c r="M36" s="32">
        <f t="shared" si="4"/>
      </c>
    </row>
    <row r="37" spans="1:13" x14ac:dyDescent="0.25">
      <c r="A37" s="27"/>
      <c r="B37" s="29"/>
      <c r="C37" s="33"/>
      <c r="D37" s="29"/>
      <c r="E37" s="30"/>
      <c r="F37" s="34"/>
      <c r="G37" s="35">
        <f t="shared" si="0"/>
      </c>
      <c r="H37" s="36">
        <f t="shared" si="1"/>
      </c>
      <c r="I37" s="31">
        <f t="shared" si="2"/>
      </c>
      <c r="J37" s="28"/>
      <c r="K37" s="37"/>
      <c r="L37" s="31">
        <f t="shared" si="3"/>
      </c>
      <c r="M37" s="32">
        <f t="shared" si="4"/>
      </c>
    </row>
    <row r="38" spans="1:13" x14ac:dyDescent="0.25">
      <c r="A38" s="27"/>
      <c r="B38" s="29"/>
      <c r="C38" s="33"/>
      <c r="D38" s="29"/>
      <c r="E38" s="30"/>
      <c r="F38" s="34"/>
      <c r="G38" s="35">
        <f t="shared" si="0"/>
      </c>
      <c r="H38" s="36">
        <f t="shared" si="1"/>
      </c>
      <c r="I38" s="31">
        <f t="shared" si="2"/>
      </c>
      <c r="J38" s="28"/>
      <c r="K38" s="37"/>
      <c r="L38" s="31">
        <f t="shared" si="3"/>
      </c>
      <c r="M38" s="32">
        <f t="shared" si="4"/>
      </c>
    </row>
    <row r="39" spans="1:13" x14ac:dyDescent="0.25">
      <c r="A39" s="27"/>
      <c r="B39" s="29"/>
      <c r="C39" s="33"/>
      <c r="D39" s="29"/>
      <c r="E39" s="30"/>
      <c r="F39" s="34"/>
      <c r="G39" s="35">
        <f t="shared" si="0"/>
      </c>
      <c r="H39" s="36">
        <f t="shared" si="1"/>
      </c>
      <c r="I39" s="31">
        <f t="shared" si="2"/>
      </c>
      <c r="J39" s="28"/>
      <c r="K39" s="37"/>
      <c r="L39" s="31">
        <f t="shared" si="3"/>
      </c>
      <c r="M39" s="32">
        <f t="shared" si="4"/>
      </c>
    </row>
    <row r="40" spans="1:13" x14ac:dyDescent="0.25">
      <c r="A40" s="27"/>
      <c r="B40" s="29"/>
      <c r="C40" s="33"/>
      <c r="D40" s="29"/>
      <c r="E40" s="30"/>
      <c r="F40" s="34"/>
      <c r="G40" s="35">
        <f t="shared" si="0"/>
      </c>
      <c r="H40" s="36">
        <f t="shared" si="1"/>
      </c>
      <c r="I40" s="31">
        <f t="shared" si="2"/>
      </c>
      <c r="J40" s="28"/>
      <c r="K40" s="37"/>
      <c r="L40" s="31">
        <f t="shared" si="3"/>
      </c>
      <c r="M40" s="32">
        <f t="shared" si="4"/>
      </c>
    </row>
    <row r="41" spans="1:13" x14ac:dyDescent="0.25">
      <c r="A41" s="27"/>
      <c r="B41" s="29"/>
      <c r="C41" s="33"/>
      <c r="D41" s="29"/>
      <c r="E41" s="30"/>
      <c r="F41" s="34"/>
      <c r="G41" s="35">
        <f t="shared" si="0"/>
      </c>
      <c r="H41" s="36">
        <f t="shared" si="1"/>
      </c>
      <c r="I41" s="31">
        <f t="shared" si="2"/>
      </c>
      <c r="J41" s="28"/>
      <c r="K41" s="37"/>
      <c r="L41" s="31">
        <f t="shared" si="3"/>
      </c>
      <c r="M41" s="32">
        <f t="shared" si="4"/>
      </c>
    </row>
    <row r="42" spans="1:13" x14ac:dyDescent="0.25">
      <c r="A42" s="27"/>
      <c r="B42" s="29"/>
      <c r="C42" s="33"/>
      <c r="D42" s="29"/>
      <c r="E42" s="30"/>
      <c r="F42" s="34"/>
      <c r="G42" s="35">
        <f t="shared" si="0"/>
      </c>
      <c r="H42" s="36">
        <f t="shared" si="1"/>
      </c>
      <c r="I42" s="31">
        <f t="shared" si="2"/>
      </c>
      <c r="J42" s="28"/>
      <c r="K42" s="37"/>
      <c r="L42" s="31">
        <f t="shared" si="3"/>
      </c>
      <c r="M42" s="32">
        <f t="shared" si="4"/>
      </c>
    </row>
    <row r="43" spans="1:13" x14ac:dyDescent="0.25">
      <c r="A43" s="27"/>
      <c r="B43" s="29"/>
      <c r="C43" s="33"/>
      <c r="D43" s="29"/>
      <c r="E43" s="30"/>
      <c r="F43" s="34"/>
      <c r="G43" s="35">
        <f t="shared" si="0"/>
      </c>
      <c r="H43" s="36">
        <f t="shared" si="1"/>
      </c>
      <c r="I43" s="31">
        <f t="shared" si="2"/>
      </c>
      <c r="J43" s="28"/>
      <c r="K43" s="37"/>
      <c r="L43" s="31">
        <f t="shared" si="3"/>
      </c>
      <c r="M43" s="32">
        <f t="shared" si="4"/>
      </c>
    </row>
    <row r="44" spans="1:13" x14ac:dyDescent="0.25">
      <c r="A44" s="27"/>
      <c r="B44" s="29"/>
      <c r="C44" s="33"/>
      <c r="D44" s="29"/>
      <c r="E44" s="30"/>
      <c r="F44" s="34"/>
      <c r="G44" s="35">
        <f t="shared" si="0"/>
      </c>
      <c r="H44" s="36">
        <f t="shared" si="1"/>
      </c>
      <c r="I44" s="31">
        <f t="shared" si="2"/>
      </c>
      <c r="J44" s="28"/>
      <c r="K44" s="37"/>
      <c r="L44" s="31">
        <f t="shared" si="3"/>
      </c>
      <c r="M44" s="32">
        <f t="shared" si="4"/>
      </c>
    </row>
    <row r="45" spans="1:13" x14ac:dyDescent="0.25">
      <c r="A45" s="27"/>
      <c r="B45" s="29"/>
      <c r="C45" s="33"/>
      <c r="D45" s="29"/>
      <c r="E45" s="30"/>
      <c r="F45" s="34"/>
      <c r="G45" s="35">
        <f t="shared" si="0"/>
      </c>
      <c r="H45" s="36">
        <f t="shared" si="1"/>
      </c>
      <c r="I45" s="31">
        <f t="shared" si="2"/>
      </c>
      <c r="J45" s="28"/>
      <c r="K45" s="37"/>
      <c r="L45" s="31">
        <f t="shared" si="3"/>
      </c>
      <c r="M45" s="32">
        <f t="shared" si="4"/>
      </c>
    </row>
    <row r="46" spans="1:13" x14ac:dyDescent="0.25">
      <c r="A46" s="27"/>
      <c r="B46" s="29"/>
      <c r="C46" s="33"/>
      <c r="D46" s="29"/>
      <c r="E46" s="30"/>
      <c r="F46" s="34"/>
      <c r="G46" s="35">
        <f t="shared" si="0"/>
      </c>
      <c r="H46" s="36">
        <f t="shared" si="1"/>
      </c>
      <c r="I46" s="31">
        <f t="shared" si="2"/>
      </c>
      <c r="J46" s="28"/>
      <c r="K46" s="37"/>
      <c r="L46" s="31">
        <f t="shared" si="3"/>
      </c>
      <c r="M46" s="32">
        <f t="shared" si="4"/>
      </c>
    </row>
    <row r="47" spans="1:13" x14ac:dyDescent="0.25">
      <c r="A47" s="27"/>
      <c r="B47" s="29"/>
      <c r="C47" s="33"/>
      <c r="D47" s="29"/>
      <c r="E47" s="30"/>
      <c r="F47" s="34"/>
      <c r="G47" s="35">
        <f t="shared" si="0"/>
      </c>
      <c r="H47" s="36">
        <f t="shared" si="1"/>
      </c>
      <c r="I47" s="31">
        <f t="shared" si="2"/>
      </c>
      <c r="J47" s="28"/>
      <c r="K47" s="37"/>
      <c r="L47" s="31">
        <f t="shared" si="3"/>
      </c>
      <c r="M47" s="32">
        <f t="shared" si="4"/>
      </c>
    </row>
    <row r="48" spans="1:13" x14ac:dyDescent="0.25">
      <c r="A48" s="27"/>
      <c r="B48" s="29"/>
      <c r="C48" s="33"/>
      <c r="D48" s="29"/>
      <c r="E48" s="30"/>
      <c r="F48" s="34"/>
      <c r="G48" s="35">
        <f t="shared" si="0"/>
      </c>
      <c r="H48" s="36">
        <f t="shared" si="1"/>
      </c>
      <c r="I48" s="31">
        <f t="shared" si="2"/>
      </c>
      <c r="J48" s="28"/>
      <c r="K48" s="37"/>
      <c r="L48" s="31">
        <f t="shared" si="3"/>
      </c>
      <c r="M48" s="32">
        <f t="shared" si="4"/>
      </c>
    </row>
    <row r="49" spans="1:13" x14ac:dyDescent="0.25">
      <c r="A49" s="27"/>
      <c r="B49" s="29"/>
      <c r="C49" s="33"/>
      <c r="D49" s="29"/>
      <c r="E49" s="30"/>
      <c r="F49" s="34"/>
      <c r="G49" s="35">
        <f t="shared" si="0"/>
      </c>
      <c r="H49" s="36">
        <f t="shared" si="1"/>
      </c>
      <c r="I49" s="31">
        <f t="shared" si="2"/>
      </c>
      <c r="J49" s="28"/>
      <c r="K49" s="37"/>
      <c r="L49" s="31">
        <f t="shared" si="3"/>
      </c>
      <c r="M49" s="32">
        <f t="shared" si="4"/>
      </c>
    </row>
    <row r="50" spans="1:13" x14ac:dyDescent="0.25">
      <c r="A50" s="27"/>
      <c r="B50" s="29"/>
      <c r="C50" s="33"/>
      <c r="D50" s="29"/>
      <c r="E50" s="30"/>
      <c r="F50" s="34"/>
      <c r="G50" s="35">
        <f t="shared" si="0"/>
      </c>
      <c r="H50" s="36">
        <f t="shared" si="1"/>
      </c>
      <c r="I50" s="31">
        <f t="shared" si="2"/>
      </c>
      <c r="J50" s="28"/>
      <c r="K50" s="37"/>
      <c r="L50" s="31">
        <f t="shared" si="3"/>
      </c>
      <c r="M50" s="32">
        <f t="shared" si="4"/>
      </c>
    </row>
    <row r="51" spans="1:13" x14ac:dyDescent="0.25">
      <c r="A51" s="27"/>
      <c r="B51" s="29"/>
      <c r="C51" s="33"/>
      <c r="D51" s="29"/>
      <c r="E51" s="30"/>
      <c r="F51" s="34"/>
      <c r="G51" s="35">
        <f t="shared" si="0"/>
      </c>
      <c r="H51" s="36">
        <f t="shared" si="1"/>
      </c>
      <c r="I51" s="31">
        <f t="shared" si="2"/>
      </c>
      <c r="J51" s="28"/>
      <c r="K51" s="37"/>
      <c r="L51" s="31">
        <f t="shared" si="3"/>
      </c>
      <c r="M51" s="32">
        <f t="shared" si="4"/>
      </c>
    </row>
    <row r="52" spans="1:13" x14ac:dyDescent="0.25">
      <c r="A52" s="27"/>
      <c r="B52" s="29"/>
      <c r="C52" s="33"/>
      <c r="D52" s="29"/>
      <c r="E52" s="30"/>
      <c r="F52" s="34"/>
      <c r="G52" s="35">
        <f t="shared" si="0"/>
      </c>
      <c r="H52" s="36">
        <f t="shared" si="1"/>
      </c>
      <c r="I52" s="31">
        <f t="shared" si="2"/>
      </c>
      <c r="J52" s="28"/>
      <c r="K52" s="37"/>
      <c r="L52" s="31">
        <f t="shared" si="3"/>
      </c>
      <c r="M52" s="32">
        <f t="shared" si="4"/>
      </c>
    </row>
    <row r="53" spans="1:13" x14ac:dyDescent="0.25">
      <c r="A53" s="27"/>
      <c r="B53" s="29"/>
      <c r="C53" s="33"/>
      <c r="D53" s="29"/>
      <c r="E53" s="30"/>
      <c r="F53" s="34"/>
      <c r="G53" s="35">
        <f t="shared" si="0"/>
      </c>
      <c r="H53" s="36">
        <f t="shared" si="1"/>
      </c>
      <c r="I53" s="31">
        <f t="shared" si="2"/>
      </c>
      <c r="J53" s="28"/>
      <c r="K53" s="37"/>
      <c r="L53" s="31">
        <f t="shared" si="3"/>
      </c>
      <c r="M53" s="32">
        <f t="shared" si="4"/>
      </c>
    </row>
    <row r="54" spans="1:13" x14ac:dyDescent="0.25">
      <c r="A54" s="27"/>
      <c r="B54" s="29"/>
      <c r="C54" s="33"/>
      <c r="D54" s="29"/>
      <c r="E54" s="30"/>
      <c r="F54" s="34"/>
      <c r="G54" s="35">
        <f t="shared" si="0"/>
      </c>
      <c r="H54" s="36">
        <f t="shared" si="1"/>
      </c>
      <c r="I54" s="31">
        <f t="shared" si="2"/>
      </c>
      <c r="J54" s="28"/>
      <c r="K54" s="37"/>
      <c r="L54" s="31">
        <f t="shared" si="3"/>
      </c>
      <c r="M54" s="32">
        <f t="shared" si="4"/>
      </c>
    </row>
    <row r="55" spans="1:13" x14ac:dyDescent="0.25">
      <c r="A55" s="27"/>
      <c r="B55" s="29"/>
      <c r="C55" s="33"/>
      <c r="D55" s="29"/>
      <c r="E55" s="30"/>
      <c r="F55" s="34"/>
      <c r="G55" s="35">
        <f t="shared" si="0"/>
      </c>
      <c r="H55" s="36">
        <f t="shared" si="1"/>
      </c>
      <c r="I55" s="31">
        <f t="shared" si="2"/>
      </c>
      <c r="J55" s="28"/>
      <c r="K55" s="37"/>
      <c r="L55" s="31">
        <f t="shared" si="3"/>
      </c>
      <c r="M55" s="32">
        <f t="shared" si="4"/>
      </c>
    </row>
    <row r="56" spans="1:13" x14ac:dyDescent="0.25">
      <c r="A56" s="27"/>
      <c r="B56" s="29"/>
      <c r="C56" s="33"/>
      <c r="D56" s="29"/>
      <c r="E56" s="30"/>
      <c r="F56" s="34"/>
      <c r="G56" s="35">
        <f t="shared" si="0"/>
      </c>
      <c r="H56" s="36">
        <f t="shared" si="1"/>
      </c>
      <c r="I56" s="31">
        <f t="shared" si="2"/>
      </c>
      <c r="J56" s="28"/>
      <c r="K56" s="37"/>
      <c r="L56" s="31">
        <f t="shared" si="3"/>
      </c>
      <c r="M56" s="32">
        <f t="shared" si="4"/>
      </c>
    </row>
    <row r="57" spans="1:13" x14ac:dyDescent="0.25">
      <c r="A57" s="27"/>
      <c r="B57" s="29"/>
      <c r="C57" s="33"/>
      <c r="D57" s="29"/>
      <c r="E57" s="30"/>
      <c r="F57" s="34"/>
      <c r="G57" s="35">
        <f t="shared" si="0"/>
      </c>
      <c r="H57" s="36">
        <f t="shared" si="1"/>
      </c>
      <c r="I57" s="31">
        <f t="shared" si="2"/>
      </c>
      <c r="J57" s="28"/>
      <c r="K57" s="37"/>
      <c r="L57" s="31">
        <f t="shared" si="3"/>
      </c>
      <c r="M57" s="32">
        <f t="shared" si="4"/>
      </c>
    </row>
    <row r="58" spans="1:13" x14ac:dyDescent="0.25">
      <c r="A58" s="27"/>
      <c r="B58" s="29"/>
      <c r="C58" s="33"/>
      <c r="D58" s="29"/>
      <c r="E58" s="30"/>
      <c r="F58" s="34"/>
      <c r="G58" s="35">
        <f t="shared" si="0"/>
      </c>
      <c r="H58" s="36">
        <f t="shared" si="1"/>
      </c>
      <c r="I58" s="31">
        <f t="shared" si="2"/>
      </c>
      <c r="J58" s="28"/>
      <c r="K58" s="37"/>
      <c r="L58" s="31">
        <f t="shared" si="3"/>
      </c>
      <c r="M58" s="32">
        <f t="shared" si="4"/>
      </c>
    </row>
    <row r="59" spans="1:13" x14ac:dyDescent="0.25">
      <c r="A59" s="27"/>
      <c r="B59" s="29"/>
      <c r="C59" s="33"/>
      <c r="D59" s="29"/>
      <c r="E59" s="30"/>
      <c r="F59" s="34"/>
      <c r="G59" s="35">
        <f t="shared" si="0"/>
      </c>
      <c r="H59" s="36">
        <f t="shared" si="1"/>
      </c>
      <c r="I59" s="31">
        <f t="shared" si="2"/>
      </c>
      <c r="J59" s="28"/>
      <c r="K59" s="37"/>
      <c r="L59" s="31">
        <f t="shared" si="3"/>
      </c>
      <c r="M59" s="32">
        <f t="shared" si="4"/>
      </c>
    </row>
    <row r="60" spans="1:13" x14ac:dyDescent="0.25">
      <c r="A60" s="27"/>
      <c r="B60" s="29"/>
      <c r="C60" s="33"/>
      <c r="D60" s="29"/>
      <c r="E60" s="30"/>
      <c r="F60" s="34"/>
      <c r="G60" s="35">
        <f t="shared" si="0"/>
      </c>
      <c r="H60" s="36">
        <f t="shared" si="1"/>
      </c>
      <c r="I60" s="31">
        <f t="shared" si="2"/>
      </c>
      <c r="J60" s="28"/>
      <c r="K60" s="37"/>
      <c r="L60" s="31">
        <f t="shared" si="3"/>
      </c>
      <c r="M60" s="32">
        <f t="shared" si="4"/>
      </c>
    </row>
    <row r="61" spans="1:13" x14ac:dyDescent="0.25">
      <c r="A61" s="27"/>
      <c r="B61" s="29"/>
      <c r="C61" s="33"/>
      <c r="D61" s="29"/>
      <c r="E61" s="30"/>
      <c r="F61" s="34"/>
      <c r="G61" s="35">
        <f t="shared" si="0"/>
      </c>
      <c r="H61" s="36">
        <f t="shared" si="1"/>
      </c>
      <c r="I61" s="31">
        <f t="shared" si="2"/>
      </c>
      <c r="J61" s="28"/>
      <c r="K61" s="37"/>
      <c r="L61" s="31">
        <f t="shared" si="3"/>
      </c>
      <c r="M61" s="32">
        <f t="shared" si="4"/>
      </c>
    </row>
    <row r="62" spans="1:13" x14ac:dyDescent="0.25">
      <c r="A62" s="27"/>
      <c r="B62" s="29"/>
      <c r="C62" s="33"/>
      <c r="D62" s="29"/>
      <c r="E62" s="30"/>
      <c r="F62" s="34"/>
      <c r="G62" s="35">
        <f t="shared" si="0"/>
      </c>
      <c r="H62" s="36">
        <f t="shared" si="1"/>
      </c>
      <c r="I62" s="31">
        <f t="shared" si="2"/>
      </c>
      <c r="J62" s="28"/>
      <c r="K62" s="37"/>
      <c r="L62" s="31">
        <f t="shared" si="3"/>
      </c>
      <c r="M62" s="32">
        <f t="shared" si="4"/>
      </c>
    </row>
    <row r="63" spans="1:13" x14ac:dyDescent="0.25">
      <c r="A63" s="27"/>
      <c r="B63" s="29"/>
      <c r="C63" s="33"/>
      <c r="D63" s="29"/>
      <c r="E63" s="30"/>
      <c r="F63" s="34"/>
      <c r="G63" s="35">
        <f t="shared" si="0"/>
      </c>
      <c r="H63" s="36">
        <f t="shared" si="1"/>
      </c>
      <c r="I63" s="31">
        <f t="shared" si="2"/>
      </c>
      <c r="J63" s="28"/>
      <c r="K63" s="37"/>
      <c r="L63" s="31">
        <f t="shared" si="3"/>
      </c>
      <c r="M63" s="32">
        <f t="shared" si="4"/>
      </c>
    </row>
    <row r="64" spans="1:13" x14ac:dyDescent="0.25">
      <c r="A64" s="27"/>
      <c r="B64" s="29"/>
      <c r="C64" s="33"/>
      <c r="D64" s="29"/>
      <c r="E64" s="30"/>
      <c r="F64" s="34"/>
      <c r="G64" s="35">
        <f t="shared" si="0"/>
      </c>
      <c r="H64" s="36">
        <f t="shared" si="1"/>
      </c>
      <c r="I64" s="31">
        <f t="shared" si="2"/>
      </c>
      <c r="J64" s="28"/>
      <c r="K64" s="37"/>
      <c r="L64" s="31">
        <f t="shared" si="3"/>
      </c>
      <c r="M64" s="32">
        <f t="shared" si="4"/>
      </c>
    </row>
    <row r="65" spans="1:13" x14ac:dyDescent="0.25">
      <c r="A65" s="27"/>
      <c r="B65" s="29"/>
      <c r="C65" s="33"/>
      <c r="D65" s="29"/>
      <c r="E65" s="30"/>
      <c r="F65" s="34"/>
      <c r="G65" s="35">
        <f t="shared" si="0"/>
      </c>
      <c r="H65" s="36">
        <f t="shared" si="1"/>
      </c>
      <c r="I65" s="31">
        <f t="shared" si="2"/>
      </c>
      <c r="J65" s="28"/>
      <c r="K65" s="37"/>
      <c r="L65" s="31">
        <f t="shared" si="3"/>
      </c>
      <c r="M65" s="32">
        <f t="shared" si="4"/>
      </c>
    </row>
    <row r="66" spans="1:13" x14ac:dyDescent="0.25">
      <c r="A66" s="27"/>
      <c r="B66" s="29"/>
      <c r="C66" s="33"/>
      <c r="D66" s="29"/>
      <c r="E66" s="30"/>
      <c r="F66" s="34"/>
      <c r="G66" s="35">
        <f t="shared" si="0"/>
      </c>
      <c r="H66" s="36">
        <f t="shared" si="1"/>
      </c>
      <c r="I66" s="31">
        <f t="shared" si="2"/>
      </c>
      <c r="J66" s="28"/>
      <c r="K66" s="37"/>
      <c r="L66" s="31">
        <f t="shared" si="3"/>
      </c>
      <c r="M66" s="32">
        <f t="shared" si="4"/>
      </c>
    </row>
    <row r="67" spans="1:13" x14ac:dyDescent="0.25">
      <c r="A67" s="27"/>
      <c r="B67" s="29"/>
      <c r="C67" s="33"/>
      <c r="D67" s="29"/>
      <c r="E67" s="30"/>
      <c r="F67" s="34"/>
      <c r="G67" s="35">
        <f t="shared" si="0"/>
      </c>
      <c r="H67" s="36">
        <f t="shared" si="1"/>
      </c>
      <c r="I67" s="31">
        <f t="shared" si="2"/>
      </c>
      <c r="J67" s="28"/>
      <c r="K67" s="37"/>
      <c r="L67" s="31">
        <f t="shared" si="3"/>
      </c>
      <c r="M67" s="32">
        <f t="shared" si="4"/>
      </c>
    </row>
    <row r="68" spans="1:13" x14ac:dyDescent="0.25">
      <c r="A68" s="27"/>
      <c r="B68" s="29"/>
      <c r="C68" s="33"/>
      <c r="D68" s="29"/>
      <c r="E68" s="30"/>
      <c r="F68" s="34"/>
      <c r="G68" s="35">
        <f t="shared" si="0"/>
      </c>
      <c r="H68" s="36">
        <f t="shared" si="1"/>
      </c>
      <c r="I68" s="31">
        <f t="shared" si="2"/>
      </c>
      <c r="J68" s="28"/>
      <c r="K68" s="37"/>
      <c r="L68" s="31">
        <f t="shared" si="3"/>
      </c>
      <c r="M68" s="32">
        <f t="shared" si="4"/>
      </c>
    </row>
    <row r="69" spans="1:13" x14ac:dyDescent="0.25">
      <c r="A69" s="27"/>
      <c r="B69" s="29"/>
      <c r="C69" s="33"/>
      <c r="D69" s="29"/>
      <c r="E69" s="30"/>
      <c r="F69" s="34"/>
      <c r="G69" s="35">
        <f t="shared" si="0"/>
      </c>
      <c r="H69" s="36">
        <f t="shared" si="1"/>
      </c>
      <c r="I69" s="31">
        <f t="shared" si="2"/>
      </c>
      <c r="J69" s="28"/>
      <c r="K69" s="37"/>
      <c r="L69" s="31">
        <f t="shared" si="3"/>
      </c>
      <c r="M69" s="32">
        <f t="shared" si="4"/>
      </c>
    </row>
    <row r="70" spans="1:13" x14ac:dyDescent="0.25">
      <c r="A70" s="27"/>
      <c r="B70" s="29"/>
      <c r="C70" s="33"/>
      <c r="D70" s="29"/>
      <c r="E70" s="30"/>
      <c r="F70" s="34"/>
      <c r="G70" s="35">
        <f t="shared" si="0"/>
      </c>
      <c r="H70" s="36">
        <f t="shared" si="1"/>
      </c>
      <c r="I70" s="31">
        <f t="shared" si="2"/>
      </c>
      <c r="J70" s="28"/>
      <c r="K70" s="37"/>
      <c r="L70" s="31">
        <f t="shared" si="3"/>
      </c>
      <c r="M70" s="32">
        <f t="shared" si="4"/>
      </c>
    </row>
    <row r="71" spans="1:13" x14ac:dyDescent="0.25">
      <c r="A71" s="27"/>
      <c r="B71" s="29"/>
      <c r="C71" s="33"/>
      <c r="D71" s="29"/>
      <c r="E71" s="30"/>
      <c r="F71" s="34"/>
      <c r="G71" s="35">
        <f t="shared" si="0"/>
      </c>
      <c r="H71" s="36">
        <f t="shared" si="1"/>
      </c>
      <c r="I71" s="31">
        <f t="shared" si="2"/>
      </c>
      <c r="J71" s="28"/>
      <c r="K71" s="37"/>
      <c r="L71" s="31">
        <f t="shared" si="3"/>
      </c>
      <c r="M71" s="32">
        <f t="shared" si="4"/>
      </c>
    </row>
    <row r="72" spans="1:13" x14ac:dyDescent="0.25">
      <c r="A72" s="27"/>
      <c r="B72" s="29"/>
      <c r="C72" s="33"/>
      <c r="D72" s="29"/>
      <c r="E72" s="30"/>
      <c r="F72" s="34"/>
      <c r="G72" s="35">
        <f t="shared" si="0"/>
      </c>
      <c r="H72" s="36">
        <f t="shared" si="1"/>
      </c>
      <c r="I72" s="31">
        <f t="shared" si="2"/>
      </c>
      <c r="J72" s="28"/>
      <c r="K72" s="37"/>
      <c r="L72" s="31">
        <f t="shared" si="3"/>
      </c>
      <c r="M72" s="32">
        <f t="shared" si="4"/>
      </c>
    </row>
    <row r="73" spans="1:13" x14ac:dyDescent="0.25">
      <c r="A73" s="27"/>
      <c r="B73" s="29"/>
      <c r="C73" s="33"/>
      <c r="D73" s="29"/>
      <c r="E73" s="30"/>
      <c r="F73" s="34"/>
      <c r="G73" s="35">
        <f t="shared" si="0"/>
      </c>
      <c r="H73" s="36">
        <f t="shared" si="1"/>
      </c>
      <c r="I73" s="31">
        <f t="shared" si="2"/>
      </c>
      <c r="J73" s="28"/>
      <c r="K73" s="37"/>
      <c r="L73" s="31">
        <f t="shared" si="3"/>
      </c>
      <c r="M73" s="32">
        <f t="shared" si="4"/>
      </c>
    </row>
    <row r="74" spans="1:13" x14ac:dyDescent="0.25">
      <c r="A74" s="27"/>
      <c r="B74" s="29"/>
      <c r="C74" s="33"/>
      <c r="D74" s="29"/>
      <c r="E74" s="30"/>
      <c r="F74" s="34"/>
      <c r="G74" s="35">
        <f t="shared" si="0"/>
      </c>
      <c r="H74" s="36">
        <f t="shared" si="1"/>
      </c>
      <c r="I74" s="31">
        <f t="shared" si="2"/>
      </c>
      <c r="J74" s="28"/>
      <c r="K74" s="37"/>
      <c r="L74" s="31">
        <f t="shared" si="3"/>
      </c>
      <c r="M74" s="32">
        <f t="shared" si="4"/>
      </c>
    </row>
    <row r="75" spans="1:13" x14ac:dyDescent="0.25">
      <c r="A75" s="27"/>
      <c r="B75" s="29"/>
      <c r="C75" s="33"/>
      <c r="D75" s="29"/>
      <c r="E75" s="30"/>
      <c r="F75" s="34"/>
      <c r="G75" s="35">
        <f t="shared" si="0"/>
      </c>
      <c r="H75" s="36">
        <f t="shared" si="1"/>
      </c>
      <c r="I75" s="31">
        <f t="shared" si="2"/>
      </c>
      <c r="J75" s="28"/>
      <c r="K75" s="37"/>
      <c r="L75" s="31">
        <f t="shared" si="3"/>
      </c>
      <c r="M75" s="32">
        <f t="shared" si="4"/>
      </c>
    </row>
    <row r="76" spans="1:13" x14ac:dyDescent="0.25">
      <c r="A76" s="27"/>
      <c r="B76" s="29"/>
      <c r="C76" s="33"/>
      <c r="D76" s="29"/>
      <c r="E76" s="30"/>
      <c r="F76" s="34"/>
      <c r="G76" s="35">
        <f t="shared" si="0"/>
      </c>
      <c r="H76" s="36">
        <f t="shared" si="1"/>
      </c>
      <c r="I76" s="31">
        <f t="shared" si="2"/>
      </c>
      <c r="J76" s="28"/>
      <c r="K76" s="37"/>
      <c r="L76" s="31">
        <f t="shared" si="3"/>
      </c>
      <c r="M76" s="32">
        <f t="shared" si="4"/>
      </c>
    </row>
    <row r="77" spans="1:13" x14ac:dyDescent="0.25">
      <c r="A77" s="27"/>
      <c r="B77" s="29"/>
      <c r="C77" s="33"/>
      <c r="D77" s="29"/>
      <c r="E77" s="30"/>
      <c r="F77" s="34"/>
      <c r="G77" s="35">
        <f t="shared" si="0"/>
      </c>
      <c r="H77" s="36">
        <f t="shared" si="1"/>
      </c>
      <c r="I77" s="31">
        <f t="shared" si="2"/>
      </c>
      <c r="J77" s="28"/>
      <c r="K77" s="37"/>
      <c r="L77" s="31">
        <f t="shared" si="3"/>
      </c>
      <c r="M77" s="32">
        <f t="shared" si="4"/>
      </c>
    </row>
    <row r="78" spans="1:13" x14ac:dyDescent="0.25">
      <c r="A78" s="27"/>
      <c r="B78" s="29"/>
      <c r="C78" s="33"/>
      <c r="D78" s="29"/>
      <c r="E78" s="30"/>
      <c r="F78" s="34"/>
      <c r="G78" s="35">
        <f t="shared" si="0"/>
      </c>
      <c r="H78" s="36">
        <f t="shared" si="1"/>
      </c>
      <c r="I78" s="31">
        <f t="shared" si="2"/>
      </c>
      <c r="J78" s="28"/>
      <c r="K78" s="37"/>
      <c r="L78" s="31">
        <f t="shared" si="3"/>
      </c>
      <c r="M78" s="32">
        <f t="shared" si="4"/>
      </c>
    </row>
    <row r="79" spans="1:13" x14ac:dyDescent="0.25">
      <c r="A79" s="27"/>
      <c r="B79" s="29"/>
      <c r="C79" s="33"/>
      <c r="D79" s="29"/>
      <c r="E79" s="30"/>
      <c r="F79" s="34"/>
      <c r="G79" s="35">
        <f t="shared" si="0"/>
      </c>
      <c r="H79" s="36">
        <f t="shared" si="1"/>
      </c>
      <c r="I79" s="31">
        <f t="shared" si="2"/>
      </c>
      <c r="J79" s="28"/>
      <c r="K79" s="37"/>
      <c r="L79" s="31">
        <f t="shared" si="3"/>
      </c>
      <c r="M79" s="32">
        <f t="shared" si="4"/>
      </c>
    </row>
    <row r="80" spans="1:13" x14ac:dyDescent="0.25">
      <c r="A80" s="27"/>
      <c r="B80" s="29"/>
      <c r="C80" s="33"/>
      <c r="D80" s="29"/>
      <c r="E80" s="30"/>
      <c r="F80" s="34"/>
      <c r="G80" s="35">
        <f t="shared" si="0"/>
      </c>
      <c r="H80" s="36">
        <f t="shared" si="1"/>
      </c>
      <c r="I80" s="31">
        <f t="shared" si="2"/>
      </c>
      <c r="J80" s="28"/>
      <c r="K80" s="37"/>
      <c r="L80" s="31">
        <f t="shared" si="3"/>
      </c>
      <c r="M80" s="32">
        <f t="shared" si="4"/>
      </c>
    </row>
    <row r="81" spans="1:13" x14ac:dyDescent="0.25">
      <c r="A81" s="27"/>
      <c r="B81" s="29"/>
      <c r="C81" s="33"/>
      <c r="D81" s="29"/>
      <c r="E81" s="30"/>
      <c r="F81" s="34"/>
      <c r="G81" s="35">
        <f t="shared" si="0"/>
      </c>
      <c r="H81" s="36">
        <f t="shared" si="1"/>
      </c>
      <c r="I81" s="31">
        <f t="shared" si="2"/>
      </c>
      <c r="J81" s="28"/>
      <c r="K81" s="37"/>
      <c r="L81" s="31">
        <f t="shared" si="3"/>
      </c>
      <c r="M81" s="32">
        <f t="shared" si="4"/>
      </c>
    </row>
    <row r="82" spans="1:13" x14ac:dyDescent="0.25">
      <c r="A82" s="27"/>
      <c r="B82" s="29"/>
      <c r="C82" s="33"/>
      <c r="D82" s="29"/>
      <c r="E82" s="30"/>
      <c r="F82" s="34"/>
      <c r="G82" s="35">
        <f t="shared" si="0"/>
      </c>
      <c r="H82" s="36">
        <f t="shared" si="1"/>
      </c>
      <c r="I82" s="31">
        <f t="shared" si="2"/>
      </c>
      <c r="J82" s="28"/>
      <c r="K82" s="37"/>
      <c r="L82" s="31">
        <f t="shared" si="3"/>
      </c>
      <c r="M82" s="32">
        <f t="shared" si="4"/>
      </c>
    </row>
    <row r="83" spans="1:13" x14ac:dyDescent="0.25">
      <c r="A83" s="27"/>
      <c r="B83" s="29"/>
      <c r="C83" s="33"/>
      <c r="D83" s="29"/>
      <c r="E83" s="30"/>
      <c r="F83" s="34"/>
      <c r="G83" s="35">
        <f t="shared" si="0"/>
      </c>
      <c r="H83" s="36">
        <f t="shared" si="1"/>
      </c>
      <c r="I83" s="31">
        <f t="shared" si="2"/>
      </c>
      <c r="J83" s="28"/>
      <c r="K83" s="37"/>
      <c r="L83" s="31">
        <f t="shared" si="3"/>
      </c>
      <c r="M83" s="32">
        <f t="shared" si="4"/>
      </c>
    </row>
    <row r="84" spans="1:13" x14ac:dyDescent="0.25">
      <c r="A84" s="27"/>
      <c r="B84" s="29"/>
      <c r="C84" s="33"/>
      <c r="D84" s="29"/>
      <c r="E84" s="30"/>
      <c r="F84" s="34"/>
      <c r="G84" s="35">
        <f t="shared" si="0"/>
      </c>
      <c r="H84" s="36">
        <f t="shared" si="1"/>
      </c>
      <c r="I84" s="31">
        <f t="shared" si="2"/>
      </c>
      <c r="J84" s="28"/>
      <c r="K84" s="37"/>
      <c r="L84" s="31">
        <f t="shared" si="3"/>
      </c>
      <c r="M84" s="32">
        <f t="shared" si="4"/>
      </c>
    </row>
    <row r="85" spans="1:13" x14ac:dyDescent="0.25">
      <c r="A85" s="27"/>
      <c r="B85" s="29"/>
      <c r="C85" s="33"/>
      <c r="D85" s="29"/>
      <c r="E85" s="30"/>
      <c r="F85" s="34"/>
      <c r="G85" s="35">
        <f t="shared" si="0"/>
      </c>
      <c r="H85" s="36">
        <f t="shared" si="1"/>
      </c>
      <c r="I85" s="31">
        <f t="shared" si="2"/>
      </c>
      <c r="J85" s="28"/>
      <c r="K85" s="37"/>
      <c r="L85" s="31">
        <f t="shared" si="3"/>
      </c>
      <c r="M85" s="32">
        <f t="shared" si="4"/>
      </c>
    </row>
    <row r="86" spans="1:13" x14ac:dyDescent="0.25">
      <c r="A86" s="27"/>
      <c r="B86" s="29"/>
      <c r="C86" s="33"/>
      <c r="D86" s="29"/>
      <c r="E86" s="30"/>
      <c r="F86" s="34"/>
      <c r="G86" s="35">
        <f t="shared" si="0"/>
      </c>
      <c r="H86" s="36">
        <f t="shared" si="1"/>
      </c>
      <c r="I86" s="31">
        <f t="shared" si="2"/>
      </c>
      <c r="J86" s="28"/>
      <c r="K86" s="37"/>
      <c r="L86" s="31">
        <f t="shared" si="3"/>
      </c>
      <c r="M86" s="32">
        <f t="shared" si="4"/>
      </c>
    </row>
    <row r="87" spans="1:13" x14ac:dyDescent="0.25">
      <c r="A87" s="27"/>
      <c r="B87" s="29"/>
      <c r="C87" s="33"/>
      <c r="D87" s="29"/>
      <c r="E87" s="30"/>
      <c r="F87" s="34"/>
      <c r="G87" s="35">
        <f t="shared" si="0"/>
      </c>
      <c r="H87" s="36">
        <f t="shared" si="1"/>
      </c>
      <c r="I87" s="31">
        <f t="shared" si="2"/>
      </c>
      <c r="J87" s="28"/>
      <c r="K87" s="37"/>
      <c r="L87" s="31">
        <f t="shared" si="3"/>
      </c>
      <c r="M87" s="32">
        <f t="shared" si="4"/>
      </c>
    </row>
    <row r="88" spans="1:13" x14ac:dyDescent="0.25">
      <c r="A88" s="27"/>
      <c r="B88" s="29"/>
      <c r="C88" s="33"/>
      <c r="D88" s="29"/>
      <c r="E88" s="30"/>
      <c r="F88" s="34"/>
      <c r="G88" s="35">
        <f t="shared" si="0"/>
      </c>
      <c r="H88" s="36">
        <f t="shared" si="1"/>
      </c>
      <c r="I88" s="31">
        <f t="shared" si="2"/>
      </c>
      <c r="J88" s="28"/>
      <c r="K88" s="37"/>
      <c r="L88" s="31">
        <f t="shared" si="3"/>
      </c>
      <c r="M88" s="32">
        <f t="shared" si="4"/>
      </c>
    </row>
    <row r="89" spans="1:13" x14ac:dyDescent="0.25">
      <c r="A89" s="27"/>
      <c r="B89" s="29"/>
      <c r="C89" s="33"/>
      <c r="D89" s="29"/>
      <c r="E89" s="30"/>
      <c r="F89" s="34"/>
      <c r="G89" s="35">
        <f t="shared" si="0"/>
      </c>
      <c r="H89" s="36">
        <f t="shared" si="1"/>
      </c>
      <c r="I89" s="31">
        <f t="shared" si="2"/>
      </c>
      <c r="J89" s="28"/>
      <c r="K89" s="37"/>
      <c r="L89" s="31">
        <f t="shared" si="3"/>
      </c>
      <c r="M89" s="32">
        <f t="shared" si="4"/>
      </c>
    </row>
    <row r="90" spans="1:13" x14ac:dyDescent="0.25">
      <c r="A90" s="27"/>
      <c r="B90" s="29"/>
      <c r="C90" s="33"/>
      <c r="D90" s="29"/>
      <c r="E90" s="30"/>
      <c r="F90" s="34"/>
      <c r="G90" s="35">
        <f t="shared" si="0"/>
      </c>
      <c r="H90" s="36">
        <f t="shared" si="1"/>
      </c>
      <c r="I90" s="31">
        <f t="shared" si="2"/>
      </c>
      <c r="J90" s="28"/>
      <c r="K90" s="37"/>
      <c r="L90" s="31">
        <f t="shared" si="3"/>
      </c>
      <c r="M90" s="32">
        <f t="shared" si="4"/>
      </c>
    </row>
    <row r="91" spans="1:13" x14ac:dyDescent="0.25">
      <c r="A91" s="27"/>
      <c r="B91" s="29"/>
      <c r="C91" s="33"/>
      <c r="D91" s="29"/>
      <c r="E91" s="30"/>
      <c r="F91" s="34"/>
      <c r="G91" s="35">
        <f t="shared" si="0"/>
      </c>
      <c r="H91" s="36">
        <f t="shared" si="1"/>
      </c>
      <c r="I91" s="31">
        <f t="shared" si="2"/>
      </c>
      <c r="J91" s="28"/>
      <c r="K91" s="37"/>
      <c r="L91" s="31">
        <f t="shared" si="3"/>
      </c>
      <c r="M91" s="32">
        <f t="shared" si="4"/>
      </c>
    </row>
    <row r="92" spans="1:13" x14ac:dyDescent="0.25">
      <c r="A92" s="27"/>
      <c r="B92" s="29"/>
      <c r="C92" s="33"/>
      <c r="D92" s="29"/>
      <c r="E92" s="30"/>
      <c r="F92" s="34"/>
      <c r="G92" s="35">
        <f t="shared" si="0"/>
      </c>
      <c r="H92" s="36">
        <f t="shared" si="1"/>
      </c>
      <c r="I92" s="31">
        <f t="shared" si="2"/>
      </c>
      <c r="J92" s="28"/>
      <c r="K92" s="37"/>
      <c r="L92" s="31">
        <f t="shared" si="3"/>
      </c>
      <c r="M92" s="32">
        <f t="shared" si="4"/>
      </c>
    </row>
    <row r="93" spans="1:13" x14ac:dyDescent="0.25">
      <c r="A93" s="27"/>
      <c r="B93" s="29"/>
      <c r="C93" s="33"/>
      <c r="D93" s="29"/>
      <c r="E93" s="30"/>
      <c r="F93" s="34"/>
      <c r="G93" s="35">
        <f t="shared" si="0"/>
      </c>
      <c r="H93" s="36">
        <f t="shared" si="1"/>
      </c>
      <c r="I93" s="31">
        <f t="shared" si="2"/>
      </c>
      <c r="J93" s="28"/>
      <c r="K93" s="37"/>
      <c r="L93" s="31">
        <f t="shared" si="3"/>
      </c>
      <c r="M93" s="32">
        <f t="shared" si="4"/>
      </c>
    </row>
    <row r="94" spans="1:13" x14ac:dyDescent="0.25">
      <c r="A94" s="27"/>
      <c r="B94" s="29"/>
      <c r="C94" s="33"/>
      <c r="D94" s="29"/>
      <c r="E94" s="30"/>
      <c r="F94" s="34"/>
      <c r="G94" s="35">
        <f t="shared" si="0"/>
      </c>
      <c r="H94" s="36">
        <f t="shared" si="1"/>
      </c>
      <c r="I94" s="31">
        <f t="shared" si="2"/>
      </c>
      <c r="J94" s="28"/>
      <c r="K94" s="37"/>
      <c r="L94" s="31">
        <f t="shared" si="3"/>
      </c>
      <c r="M94" s="32">
        <f t="shared" si="4"/>
      </c>
    </row>
    <row r="95" spans="1:13" x14ac:dyDescent="0.25">
      <c r="A95" s="27"/>
      <c r="B95" s="29"/>
      <c r="C95" s="33"/>
      <c r="D95" s="29"/>
      <c r="E95" s="30"/>
      <c r="F95" s="34"/>
      <c r="G95" s="35">
        <f t="shared" si="0"/>
      </c>
      <c r="H95" s="36">
        <f t="shared" si="1"/>
      </c>
      <c r="I95" s="31">
        <f t="shared" si="2"/>
      </c>
      <c r="J95" s="28"/>
      <c r="K95" s="37"/>
      <c r="L95" s="31">
        <f t="shared" si="3"/>
      </c>
      <c r="M95" s="32">
        <f t="shared" si="4"/>
      </c>
    </row>
    <row r="96" spans="1:13" x14ac:dyDescent="0.25">
      <c r="A96" s="27"/>
      <c r="B96" s="29"/>
      <c r="C96" s="33"/>
      <c r="D96" s="29"/>
      <c r="E96" s="30"/>
      <c r="F96" s="34"/>
      <c r="G96" s="35">
        <f t="shared" si="0"/>
      </c>
      <c r="H96" s="36">
        <f t="shared" si="1"/>
      </c>
      <c r="I96" s="31">
        <f t="shared" si="2"/>
      </c>
      <c r="J96" s="28"/>
      <c r="K96" s="37"/>
      <c r="L96" s="31">
        <f t="shared" si="3"/>
      </c>
      <c r="M96" s="32">
        <f t="shared" si="4"/>
      </c>
    </row>
    <row r="97" spans="1:13" x14ac:dyDescent="0.25">
      <c r="A97" s="27"/>
      <c r="B97" s="29"/>
      <c r="C97" s="33"/>
      <c r="D97" s="29"/>
      <c r="E97" s="30"/>
      <c r="F97" s="34"/>
      <c r="G97" s="35">
        <f t="shared" si="0"/>
      </c>
      <c r="H97" s="36">
        <f t="shared" si="1"/>
      </c>
      <c r="I97" s="31">
        <f t="shared" si="2"/>
      </c>
      <c r="J97" s="28"/>
      <c r="K97" s="37"/>
      <c r="L97" s="31">
        <f t="shared" si="3"/>
      </c>
      <c r="M97" s="32">
        <f t="shared" si="4"/>
      </c>
    </row>
    <row r="98" spans="1:13" x14ac:dyDescent="0.25">
      <c r="A98" s="27"/>
      <c r="B98" s="29"/>
      <c r="C98" s="33"/>
      <c r="D98" s="29"/>
      <c r="E98" s="30"/>
      <c r="F98" s="34"/>
      <c r="G98" s="35">
        <f t="shared" si="0"/>
      </c>
      <c r="H98" s="36">
        <f t="shared" si="1"/>
      </c>
      <c r="I98" s="31">
        <f t="shared" si="2"/>
      </c>
      <c r="J98" s="28"/>
      <c r="K98" s="37"/>
      <c r="L98" s="31">
        <f t="shared" si="3"/>
      </c>
      <c r="M98" s="32">
        <f t="shared" si="4"/>
      </c>
    </row>
    <row r="99" spans="1:13" x14ac:dyDescent="0.25">
      <c r="A99" s="27"/>
      <c r="B99" s="29"/>
      <c r="C99" s="33"/>
      <c r="D99" s="29"/>
      <c r="E99" s="30"/>
      <c r="F99" s="34"/>
      <c r="G99" s="35">
        <f t="shared" si="0"/>
      </c>
      <c r="H99" s="36">
        <f t="shared" si="1"/>
      </c>
      <c r="I99" s="31">
        <f t="shared" si="2"/>
      </c>
      <c r="J99" s="28"/>
      <c r="K99" s="37"/>
      <c r="L99" s="31">
        <f t="shared" si="3"/>
      </c>
      <c r="M99" s="32">
        <f t="shared" si="4"/>
      </c>
    </row>
    <row r="100" spans="1:13" x14ac:dyDescent="0.25">
      <c r="A100" s="27"/>
      <c r="B100" s="29"/>
      <c r="C100" s="33"/>
      <c r="D100" s="29"/>
      <c r="E100" s="30"/>
      <c r="F100" s="34"/>
      <c r="G100" s="35">
        <f t="shared" si="0"/>
      </c>
      <c r="H100" s="36">
        <f t="shared" si="1"/>
      </c>
      <c r="I100" s="31">
        <f t="shared" si="2"/>
      </c>
      <c r="J100" s="28"/>
      <c r="K100" s="37"/>
      <c r="L100" s="31">
        <f t="shared" si="3"/>
      </c>
      <c r="M100" s="32">
        <f t="shared" si="4"/>
      </c>
    </row>
    <row r="101" spans="1:13" x14ac:dyDescent="0.25">
      <c r="A101" s="27"/>
      <c r="B101" s="29"/>
      <c r="C101" s="33"/>
      <c r="D101" s="29"/>
      <c r="E101" s="30"/>
      <c r="F101" s="34"/>
      <c r="G101" s="35">
        <f t="shared" si="0"/>
      </c>
      <c r="H101" s="36">
        <f t="shared" si="1"/>
      </c>
      <c r="I101" s="31">
        <f t="shared" si="2"/>
      </c>
      <c r="J101" s="28"/>
      <c r="K101" s="37"/>
      <c r="L101" s="31">
        <f t="shared" si="3"/>
      </c>
      <c r="M101" s="32">
        <f t="shared" si="4"/>
      </c>
    </row>
    <row r="102" spans="1:13" x14ac:dyDescent="0.25">
      <c r="A102" s="27"/>
      <c r="B102" s="29"/>
      <c r="C102" s="33"/>
      <c r="D102" s="29"/>
      <c r="E102" s="30"/>
      <c r="F102" s="34"/>
      <c r="G102" s="35">
        <f t="shared" si="0"/>
      </c>
      <c r="H102" s="36">
        <f t="shared" si="1"/>
      </c>
      <c r="I102" s="31">
        <f t="shared" si="2"/>
      </c>
      <c r="J102" s="28"/>
      <c r="K102" s="37"/>
      <c r="L102" s="31">
        <f t="shared" si="3"/>
      </c>
      <c r="M102" s="32">
        <f t="shared" si="4"/>
      </c>
    </row>
    <row r="103" spans="1:13" x14ac:dyDescent="0.25">
      <c r="A103" s="27"/>
      <c r="B103" s="29"/>
      <c r="C103" s="33"/>
      <c r="D103" s="29"/>
      <c r="E103" s="30"/>
      <c r="F103" s="34"/>
      <c r="G103" s="35">
        <f t="shared" si="0"/>
      </c>
      <c r="H103" s="36">
        <f t="shared" si="1"/>
      </c>
      <c r="I103" s="31">
        <f t="shared" si="2"/>
      </c>
      <c r="J103" s="28"/>
      <c r="K103" s="37"/>
      <c r="L103" s="31">
        <f t="shared" si="3"/>
      </c>
      <c r="M103" s="32">
        <f t="shared" si="4"/>
      </c>
    </row>
    <row r="104" spans="1:13" x14ac:dyDescent="0.25">
      <c r="A104" s="27"/>
      <c r="B104" s="29"/>
      <c r="C104" s="33"/>
      <c r="D104" s="29"/>
      <c r="E104" s="30"/>
      <c r="F104" s="34"/>
      <c r="G104" s="35">
        <f t="shared" si="0"/>
      </c>
      <c r="H104" s="36">
        <f t="shared" si="1"/>
      </c>
      <c r="I104" s="31">
        <f t="shared" si="2"/>
      </c>
      <c r="J104" s="28"/>
      <c r="K104" s="37"/>
      <c r="L104" s="31">
        <f t="shared" si="3"/>
      </c>
      <c r="M104" s="32">
        <f t="shared" si="4"/>
      </c>
    </row>
    <row r="105" spans="1:13" x14ac:dyDescent="0.25">
      <c r="A105" s="27"/>
      <c r="B105" s="29"/>
      <c r="C105" s="33"/>
      <c r="D105" s="29"/>
      <c r="E105" s="30"/>
      <c r="F105" s="34"/>
      <c r="G105" s="35">
        <f t="shared" si="0"/>
      </c>
      <c r="H105" s="36">
        <f t="shared" si="1"/>
      </c>
      <c r="I105" s="31">
        <f t="shared" si="2"/>
      </c>
      <c r="J105" s="28"/>
      <c r="K105" s="37"/>
      <c r="L105" s="31">
        <f t="shared" si="3"/>
      </c>
      <c r="M105" s="32">
        <f t="shared" si="4"/>
      </c>
    </row>
    <row r="106" spans="1:13" x14ac:dyDescent="0.25">
      <c r="A106" s="27"/>
      <c r="B106" s="29"/>
      <c r="C106" s="33"/>
      <c r="D106" s="29"/>
      <c r="E106" s="30"/>
      <c r="F106" s="34"/>
      <c r="G106" s="35">
        <f t="shared" si="0"/>
      </c>
      <c r="H106" s="36">
        <f t="shared" si="1"/>
      </c>
      <c r="I106" s="31">
        <f t="shared" si="2"/>
      </c>
      <c r="J106" s="28"/>
      <c r="K106" s="37"/>
      <c r="L106" s="31">
        <f t="shared" si="3"/>
      </c>
      <c r="M106" s="32">
        <f t="shared" si="4"/>
      </c>
    </row>
    <row r="107" spans="1:13" x14ac:dyDescent="0.25">
      <c r="A107" s="27"/>
      <c r="B107" s="29"/>
      <c r="C107" s="33"/>
      <c r="D107" s="29"/>
      <c r="E107" s="30"/>
      <c r="F107" s="34"/>
      <c r="G107" s="35">
        <f t="shared" si="0"/>
      </c>
      <c r="H107" s="36">
        <f t="shared" si="1"/>
      </c>
      <c r="I107" s="31">
        <f t="shared" si="2"/>
      </c>
      <c r="J107" s="28"/>
      <c r="K107" s="37"/>
      <c r="L107" s="31">
        <f t="shared" si="3"/>
      </c>
      <c r="M107" s="32">
        <f t="shared" si="4"/>
      </c>
    </row>
    <row r="108" spans="1:13" x14ac:dyDescent="0.25">
      <c r="A108" s="27"/>
      <c r="B108" s="29"/>
      <c r="C108" s="33"/>
      <c r="D108" s="29"/>
      <c r="E108" s="30"/>
      <c r="F108" s="34"/>
      <c r="G108" s="35">
        <f t="shared" si="0"/>
      </c>
      <c r="H108" s="36">
        <f t="shared" si="1"/>
      </c>
      <c r="I108" s="31">
        <f t="shared" si="2"/>
      </c>
      <c r="J108" s="28"/>
      <c r="K108" s="37"/>
      <c r="L108" s="31">
        <f t="shared" si="3"/>
      </c>
      <c r="M108" s="32">
        <f t="shared" si="4"/>
      </c>
    </row>
    <row r="109" spans="1:13" x14ac:dyDescent="0.25">
      <c r="A109" s="27"/>
      <c r="B109" s="29"/>
      <c r="C109" s="33"/>
      <c r="D109" s="29"/>
      <c r="E109" s="30"/>
      <c r="F109" s="34"/>
      <c r="G109" s="35">
        <f t="shared" si="0"/>
      </c>
      <c r="H109" s="36">
        <f t="shared" si="1"/>
      </c>
      <c r="I109" s="31">
        <f t="shared" si="2"/>
      </c>
      <c r="J109" s="28"/>
      <c r="K109" s="37"/>
      <c r="L109" s="31">
        <f t="shared" si="3"/>
      </c>
      <c r="M109" s="32">
        <f t="shared" si="4"/>
      </c>
    </row>
    <row r="110" spans="1:13" x14ac:dyDescent="0.25">
      <c r="A110" s="27"/>
      <c r="B110" s="29"/>
      <c r="C110" s="33"/>
      <c r="D110" s="29"/>
      <c r="E110" s="30"/>
      <c r="F110" s="34"/>
      <c r="G110" s="35">
        <f t="shared" si="0"/>
      </c>
      <c r="H110" s="36">
        <f t="shared" si="1"/>
      </c>
      <c r="I110" s="31">
        <f t="shared" si="2"/>
      </c>
      <c r="J110" s="28"/>
      <c r="K110" s="37"/>
      <c r="L110" s="31">
        <f t="shared" si="3"/>
      </c>
      <c r="M110" s="32">
        <f t="shared" si="4"/>
      </c>
    </row>
    <row r="111" spans="1:13" x14ac:dyDescent="0.25">
      <c r="A111" s="27"/>
      <c r="B111" s="29"/>
      <c r="C111" s="33"/>
      <c r="D111" s="29"/>
      <c r="E111" s="30"/>
      <c r="F111" s="34"/>
      <c r="G111" s="35">
        <f t="shared" si="0"/>
      </c>
      <c r="H111" s="36">
        <f t="shared" si="1"/>
      </c>
      <c r="I111" s="31">
        <f t="shared" si="2"/>
      </c>
      <c r="J111" s="28"/>
      <c r="K111" s="37"/>
      <c r="L111" s="31">
        <f t="shared" si="3"/>
      </c>
      <c r="M111" s="32">
        <f t="shared" si="4"/>
      </c>
    </row>
    <row r="112" spans="1:13" x14ac:dyDescent="0.25">
      <c r="A112" s="27"/>
      <c r="B112" s="29"/>
      <c r="C112" s="33"/>
      <c r="D112" s="29"/>
      <c r="E112" s="30"/>
      <c r="F112" s="34"/>
      <c r="G112" s="35">
        <f t="shared" si="0"/>
      </c>
      <c r="H112" s="36">
        <f t="shared" si="1"/>
      </c>
      <c r="I112" s="31">
        <f t="shared" si="2"/>
      </c>
      <c r="J112" s="28"/>
      <c r="K112" s="37"/>
      <c r="L112" s="31">
        <f t="shared" si="3"/>
      </c>
      <c r="M112" s="32">
        <f t="shared" si="4"/>
      </c>
    </row>
    <row r="113" spans="1:13" x14ac:dyDescent="0.25">
      <c r="A113" s="27"/>
      <c r="B113" s="29"/>
      <c r="C113" s="33"/>
      <c r="D113" s="29"/>
      <c r="E113" s="30"/>
      <c r="F113" s="34"/>
      <c r="G113" s="35">
        <f t="shared" si="0"/>
      </c>
      <c r="H113" s="36">
        <f t="shared" si="1"/>
      </c>
      <c r="I113" s="31">
        <f t="shared" si="2"/>
      </c>
      <c r="J113" s="28"/>
      <c r="K113" s="37"/>
      <c r="L113" s="31">
        <f t="shared" si="3"/>
      </c>
      <c r="M113" s="32">
        <f t="shared" si="4"/>
      </c>
    </row>
    <row r="114" spans="1:13" x14ac:dyDescent="0.25">
      <c r="A114" s="27"/>
      <c r="B114" s="29"/>
      <c r="C114" s="33"/>
      <c r="D114" s="29"/>
      <c r="E114" s="30"/>
      <c r="F114" s="34"/>
      <c r="G114" s="35">
        <f t="shared" si="0"/>
      </c>
      <c r="H114" s="36">
        <f t="shared" si="1"/>
      </c>
      <c r="I114" s="31">
        <f t="shared" si="2"/>
      </c>
      <c r="J114" s="28"/>
      <c r="K114" s="37"/>
      <c r="L114" s="31">
        <f t="shared" si="3"/>
      </c>
      <c r="M114" s="32">
        <f t="shared" si="4"/>
      </c>
    </row>
    <row r="115" spans="1:13" x14ac:dyDescent="0.25">
      <c r="A115" s="27"/>
      <c r="B115" s="29"/>
      <c r="C115" s="33"/>
      <c r="D115" s="29"/>
      <c r="E115" s="30"/>
      <c r="F115" s="34"/>
      <c r="G115" s="35">
        <f t="shared" si="0"/>
      </c>
      <c r="H115" s="36">
        <f t="shared" si="1"/>
      </c>
      <c r="I115" s="31">
        <f t="shared" si="2"/>
      </c>
      <c r="J115" s="28"/>
      <c r="K115" s="37"/>
      <c r="L115" s="31">
        <f t="shared" si="3"/>
      </c>
      <c r="M115" s="32">
        <f t="shared" si="4"/>
      </c>
    </row>
    <row r="116" spans="1:13" x14ac:dyDescent="0.25">
      <c r="A116" s="27"/>
      <c r="B116" s="29"/>
      <c r="C116" s="33"/>
      <c r="D116" s="29"/>
      <c r="E116" s="30"/>
      <c r="F116" s="34"/>
      <c r="G116" s="35">
        <f t="shared" si="0"/>
      </c>
      <c r="H116" s="36">
        <f t="shared" si="1"/>
      </c>
      <c r="I116" s="31">
        <f t="shared" si="2"/>
      </c>
      <c r="J116" s="28"/>
      <c r="K116" s="37"/>
      <c r="L116" s="31">
        <f t="shared" si="3"/>
      </c>
      <c r="M116" s="32">
        <f t="shared" si="4"/>
      </c>
    </row>
    <row r="117" spans="1:13" x14ac:dyDescent="0.25">
      <c r="A117" s="27"/>
      <c r="B117" s="29"/>
      <c r="C117" s="33"/>
      <c r="D117" s="29"/>
      <c r="E117" s="30"/>
      <c r="F117" s="34"/>
      <c r="G117" s="35">
        <f t="shared" si="0"/>
      </c>
      <c r="H117" s="36">
        <f t="shared" si="1"/>
      </c>
      <c r="I117" s="31">
        <f t="shared" si="2"/>
      </c>
      <c r="J117" s="28"/>
      <c r="K117" s="37"/>
      <c r="L117" s="31">
        <f t="shared" si="3"/>
      </c>
      <c r="M117" s="32">
        <f t="shared" si="4"/>
      </c>
    </row>
    <row r="118" spans="1:13" x14ac:dyDescent="0.25">
      <c r="A118" s="27"/>
      <c r="B118" s="29"/>
      <c r="C118" s="33"/>
      <c r="D118" s="29"/>
      <c r="E118" s="30"/>
      <c r="F118" s="34"/>
      <c r="G118" s="35">
        <f t="shared" si="0"/>
      </c>
      <c r="H118" s="36">
        <f t="shared" si="1"/>
      </c>
      <c r="I118" s="31">
        <f t="shared" si="2"/>
      </c>
      <c r="J118" s="28"/>
      <c r="K118" s="37"/>
      <c r="L118" s="31">
        <f t="shared" si="3"/>
      </c>
      <c r="M118" s="32">
        <f t="shared" si="4"/>
      </c>
    </row>
    <row r="119" spans="1:13" x14ac:dyDescent="0.25">
      <c r="A119" s="27"/>
      <c r="B119" s="29"/>
      <c r="C119" s="33"/>
      <c r="D119" s="29"/>
      <c r="E119" s="30"/>
      <c r="F119" s="34"/>
      <c r="G119" s="35">
        <f t="shared" si="0"/>
      </c>
      <c r="H119" s="36">
        <f t="shared" si="1"/>
      </c>
      <c r="I119" s="31">
        <f t="shared" si="2"/>
      </c>
      <c r="J119" s="28"/>
      <c r="K119" s="37"/>
      <c r="L119" s="31">
        <f t="shared" si="3"/>
      </c>
      <c r="M119" s="32">
        <f t="shared" si="4"/>
      </c>
    </row>
    <row r="120" spans="1:13" x14ac:dyDescent="0.25">
      <c r="A120" s="27"/>
      <c r="B120" s="29"/>
      <c r="C120" s="33"/>
      <c r="D120" s="29"/>
      <c r="E120" s="30"/>
      <c r="F120" s="34"/>
      <c r="G120" s="35">
        <f t="shared" si="0"/>
      </c>
      <c r="H120" s="36">
        <f t="shared" si="1"/>
      </c>
      <c r="I120" s="31">
        <f t="shared" si="2"/>
      </c>
      <c r="J120" s="28"/>
      <c r="K120" s="37"/>
      <c r="L120" s="31">
        <f t="shared" si="3"/>
      </c>
      <c r="M120" s="32">
        <f t="shared" si="4"/>
      </c>
    </row>
    <row r="121" spans="1:13" x14ac:dyDescent="0.25">
      <c r="A121" s="27"/>
      <c r="B121" s="29"/>
      <c r="C121" s="33"/>
      <c r="D121" s="29"/>
      <c r="E121" s="30"/>
      <c r="F121" s="34"/>
      <c r="G121" s="35">
        <f t="shared" si="0"/>
      </c>
      <c r="H121" s="36">
        <f t="shared" si="1"/>
      </c>
      <c r="I121" s="31">
        <f t="shared" si="2"/>
      </c>
      <c r="J121" s="28"/>
      <c r="K121" s="37"/>
      <c r="L121" s="31">
        <f t="shared" si="3"/>
      </c>
      <c r="M121" s="32">
        <f t="shared" si="4"/>
      </c>
    </row>
    <row r="122" spans="1:13" x14ac:dyDescent="0.25">
      <c r="A122" s="27"/>
      <c r="B122" s="29"/>
      <c r="C122" s="33"/>
      <c r="D122" s="29"/>
      <c r="E122" s="30"/>
      <c r="F122" s="34"/>
      <c r="G122" s="35">
        <f t="shared" si="0"/>
      </c>
      <c r="H122" s="36">
        <f t="shared" si="1"/>
      </c>
      <c r="I122" s="31">
        <f t="shared" si="2"/>
      </c>
      <c r="J122" s="28"/>
      <c r="K122" s="37"/>
      <c r="L122" s="31">
        <f t="shared" si="3"/>
      </c>
      <c r="M122" s="32">
        <f t="shared" si="4"/>
      </c>
    </row>
    <row r="123" spans="1:13" x14ac:dyDescent="0.25">
      <c r="A123" s="27"/>
      <c r="B123" s="29"/>
      <c r="C123" s="33"/>
      <c r="D123" s="29"/>
      <c r="E123" s="30"/>
      <c r="F123" s="34"/>
      <c r="G123" s="35">
        <f t="shared" si="0"/>
      </c>
      <c r="H123" s="36">
        <f t="shared" si="1"/>
      </c>
      <c r="I123" s="31">
        <f t="shared" si="2"/>
      </c>
      <c r="J123" s="28"/>
      <c r="K123" s="37"/>
      <c r="L123" s="31">
        <f t="shared" si="3"/>
      </c>
      <c r="M123" s="32">
        <f t="shared" si="4"/>
      </c>
    </row>
    <row r="124" spans="1:13" x14ac:dyDescent="0.25">
      <c r="A124" s="27"/>
      <c r="B124" s="29"/>
      <c r="C124" s="33"/>
      <c r="D124" s="29"/>
      <c r="E124" s="30"/>
      <c r="F124" s="34"/>
      <c r="G124" s="35">
        <f t="shared" si="0"/>
      </c>
      <c r="H124" s="36">
        <f t="shared" si="1"/>
      </c>
      <c r="I124" s="31">
        <f t="shared" si="2"/>
      </c>
      <c r="J124" s="28"/>
      <c r="K124" s="37"/>
      <c r="L124" s="31">
        <f t="shared" si="3"/>
      </c>
      <c r="M124" s="32">
        <f t="shared" si="4"/>
      </c>
    </row>
    <row r="125" spans="1:13" x14ac:dyDescent="0.25">
      <c r="A125" s="27"/>
      <c r="B125" s="29"/>
      <c r="C125" s="33"/>
      <c r="D125" s="29"/>
      <c r="E125" s="30"/>
      <c r="F125" s="34"/>
      <c r="G125" s="35">
        <f t="shared" si="0"/>
      </c>
      <c r="H125" s="36">
        <f t="shared" si="1"/>
      </c>
      <c r="I125" s="31">
        <f t="shared" si="2"/>
      </c>
      <c r="J125" s="28"/>
      <c r="K125" s="37"/>
      <c r="L125" s="31">
        <f t="shared" si="3"/>
      </c>
      <c r="M125" s="32">
        <f t="shared" si="4"/>
      </c>
    </row>
    <row r="126" spans="1:13" x14ac:dyDescent="0.25">
      <c r="A126" s="27"/>
      <c r="B126" s="29"/>
      <c r="C126" s="33"/>
      <c r="D126" s="29"/>
      <c r="E126" s="30"/>
      <c r="F126" s="34"/>
      <c r="G126" s="35">
        <f t="shared" si="0"/>
      </c>
      <c r="H126" s="36">
        <f t="shared" si="1"/>
      </c>
      <c r="I126" s="31">
        <f t="shared" si="2"/>
      </c>
      <c r="J126" s="28"/>
      <c r="K126" s="37"/>
      <c r="L126" s="31">
        <f t="shared" si="3"/>
      </c>
      <c r="M126" s="32">
        <f t="shared" si="4"/>
      </c>
    </row>
    <row r="127" spans="1:13" x14ac:dyDescent="0.25">
      <c r="A127" s="27"/>
      <c r="B127" s="29"/>
      <c r="C127" s="33"/>
      <c r="D127" s="29"/>
      <c r="E127" s="30"/>
      <c r="F127" s="34"/>
      <c r="G127" s="35">
        <f t="shared" si="0"/>
      </c>
      <c r="H127" s="36">
        <f t="shared" si="1"/>
      </c>
      <c r="I127" s="31">
        <f t="shared" si="2"/>
      </c>
      <c r="J127" s="28"/>
      <c r="K127" s="37"/>
      <c r="L127" s="31">
        <f t="shared" si="3"/>
      </c>
      <c r="M127" s="32">
        <f t="shared" si="4"/>
      </c>
    </row>
    <row r="128" spans="1:13" x14ac:dyDescent="0.25">
      <c r="A128" s="27"/>
      <c r="B128" s="29"/>
      <c r="C128" s="33"/>
      <c r="D128" s="29"/>
      <c r="E128" s="30"/>
      <c r="F128" s="34"/>
      <c r="G128" s="35">
        <f t="shared" si="0"/>
      </c>
      <c r="H128" s="36">
        <f t="shared" si="1"/>
      </c>
      <c r="I128" s="31">
        <f t="shared" si="2"/>
      </c>
      <c r="J128" s="28"/>
      <c r="K128" s="37"/>
      <c r="L128" s="31">
        <f t="shared" si="3"/>
      </c>
      <c r="M128" s="32">
        <f t="shared" si="4"/>
      </c>
    </row>
    <row r="129" spans="1:13" x14ac:dyDescent="0.25">
      <c r="A129" s="27"/>
      <c r="B129" s="29"/>
      <c r="C129" s="33"/>
      <c r="D129" s="29"/>
      <c r="E129" s="30"/>
      <c r="F129" s="34"/>
      <c r="G129" s="35">
        <f t="shared" si="0"/>
      </c>
      <c r="H129" s="36">
        <f t="shared" si="1"/>
      </c>
      <c r="I129" s="31">
        <f t="shared" si="2"/>
      </c>
      <c r="J129" s="28"/>
      <c r="K129" s="37"/>
      <c r="L129" s="31">
        <f t="shared" si="3"/>
      </c>
      <c r="M129" s="32">
        <f t="shared" si="4"/>
      </c>
    </row>
    <row r="130" spans="1:13" x14ac:dyDescent="0.25">
      <c r="A130" s="27"/>
      <c r="B130" s="29"/>
      <c r="C130" s="33"/>
      <c r="D130" s="29"/>
      <c r="E130" s="30"/>
      <c r="F130" s="34"/>
      <c r="G130" s="35">
        <f t="shared" si="0"/>
      </c>
      <c r="H130" s="36">
        <f t="shared" si="1"/>
      </c>
      <c r="I130" s="31">
        <f t="shared" si="2"/>
      </c>
      <c r="J130" s="28"/>
      <c r="K130" s="37"/>
      <c r="L130" s="31">
        <f t="shared" si="3"/>
      </c>
      <c r="M130" s="32">
        <f t="shared" si="4"/>
      </c>
    </row>
    <row r="131" spans="1:13" x14ac:dyDescent="0.25">
      <c r="A131" s="27"/>
      <c r="B131" s="29"/>
      <c r="C131" s="33"/>
      <c r="D131" s="29"/>
      <c r="E131" s="30"/>
      <c r="F131" s="34"/>
      <c r="G131" s="35">
        <f t="shared" si="0"/>
      </c>
      <c r="H131" s="36">
        <f t="shared" si="1"/>
      </c>
      <c r="I131" s="31">
        <f t="shared" si="2"/>
      </c>
      <c r="J131" s="28"/>
      <c r="K131" s="37"/>
      <c r="L131" s="31">
        <f t="shared" si="3"/>
      </c>
      <c r="M131" s="32">
        <f t="shared" si="4"/>
      </c>
    </row>
    <row r="132" spans="1:13" x14ac:dyDescent="0.25">
      <c r="A132" s="27"/>
      <c r="B132" s="29"/>
      <c r="C132" s="33"/>
      <c r="D132" s="29"/>
      <c r="E132" s="30"/>
      <c r="F132" s="34"/>
      <c r="G132" s="35">
        <f t="shared" si="0"/>
      </c>
      <c r="H132" s="36">
        <f t="shared" si="1"/>
      </c>
      <c r="I132" s="31">
        <f t="shared" si="2"/>
      </c>
      <c r="J132" s="28"/>
      <c r="K132" s="37"/>
      <c r="L132" s="31">
        <f t="shared" si="3"/>
      </c>
      <c r="M132" s="32">
        <f t="shared" si="4"/>
      </c>
    </row>
    <row r="133" spans="1:13" x14ac:dyDescent="0.25">
      <c r="A133" s="27"/>
      <c r="B133" s="29"/>
      <c r="C133" s="33"/>
      <c r="D133" s="29"/>
      <c r="E133" s="30"/>
      <c r="F133" s="34"/>
      <c r="G133" s="35">
        <f t="shared" si="0"/>
      </c>
      <c r="H133" s="36">
        <f t="shared" si="1"/>
      </c>
      <c r="I133" s="31">
        <f t="shared" si="2"/>
      </c>
      <c r="J133" s="28"/>
      <c r="K133" s="37"/>
      <c r="L133" s="31">
        <f t="shared" si="3"/>
      </c>
      <c r="M133" s="32">
        <f t="shared" si="4"/>
      </c>
    </row>
    <row r="134" spans="1:13" x14ac:dyDescent="0.25">
      <c r="A134" s="27"/>
      <c r="B134" s="29"/>
      <c r="C134" s="33"/>
      <c r="D134" s="29"/>
      <c r="E134" s="30"/>
      <c r="F134" s="34"/>
      <c r="G134" s="35">
        <f t="shared" si="0"/>
      </c>
      <c r="H134" s="36">
        <f t="shared" si="1"/>
      </c>
      <c r="I134" s="31">
        <f t="shared" si="2"/>
      </c>
      <c r="J134" s="28"/>
      <c r="K134" s="37"/>
      <c r="L134" s="31">
        <f t="shared" si="3"/>
      </c>
      <c r="M134" s="32">
        <f t="shared" si="4"/>
      </c>
    </row>
    <row r="135" spans="1:13" x14ac:dyDescent="0.25">
      <c r="A135" s="27"/>
      <c r="B135" s="29"/>
      <c r="C135" s="33"/>
      <c r="D135" s="29"/>
      <c r="E135" s="30"/>
      <c r="F135" s="34"/>
      <c r="G135" s="35">
        <f t="shared" si="0"/>
      </c>
      <c r="H135" s="36">
        <f t="shared" si="1"/>
      </c>
      <c r="I135" s="31">
        <f t="shared" si="2"/>
      </c>
      <c r="J135" s="28"/>
      <c r="K135" s="37"/>
      <c r="L135" s="31">
        <f t="shared" si="3"/>
      </c>
      <c r="M135" s="32">
        <f t="shared" si="4"/>
      </c>
    </row>
    <row r="136" spans="1:13" x14ac:dyDescent="0.25">
      <c r="A136" s="27"/>
      <c r="B136" s="29"/>
      <c r="C136" s="33"/>
      <c r="D136" s="29"/>
      <c r="E136" s="30"/>
      <c r="F136" s="34"/>
      <c r="G136" s="35">
        <f t="shared" si="0"/>
      </c>
      <c r="H136" s="36">
        <f t="shared" si="1"/>
      </c>
      <c r="I136" s="31">
        <f t="shared" si="2"/>
      </c>
      <c r="J136" s="28"/>
      <c r="K136" s="37"/>
      <c r="L136" s="31">
        <f t="shared" si="3"/>
      </c>
      <c r="M136" s="32">
        <f t="shared" si="4"/>
      </c>
    </row>
    <row r="137" spans="1:13" x14ac:dyDescent="0.25">
      <c r="A137" s="27"/>
      <c r="B137" s="29"/>
      <c r="C137" s="33"/>
      <c r="D137" s="29"/>
      <c r="E137" s="30"/>
      <c r="F137" s="34"/>
      <c r="G137" s="35">
        <f t="shared" si="0"/>
      </c>
      <c r="H137" s="36">
        <f t="shared" si="1"/>
      </c>
      <c r="I137" s="31">
        <f t="shared" si="2"/>
      </c>
      <c r="J137" s="28"/>
      <c r="K137" s="37"/>
      <c r="L137" s="31">
        <f t="shared" si="3"/>
      </c>
      <c r="M137" s="32">
        <f t="shared" si="4"/>
      </c>
    </row>
    <row r="138" spans="1:13" x14ac:dyDescent="0.25">
      <c r="A138" s="27"/>
      <c r="B138" s="29"/>
      <c r="C138" s="33"/>
      <c r="D138" s="29"/>
      <c r="E138" s="30"/>
      <c r="F138" s="34"/>
      <c r="G138" s="35">
        <f t="shared" si="0"/>
      </c>
      <c r="H138" s="36">
        <f t="shared" si="1"/>
      </c>
      <c r="I138" s="31">
        <f t="shared" si="2"/>
      </c>
      <c r="J138" s="28"/>
      <c r="K138" s="37"/>
      <c r="L138" s="31">
        <f t="shared" si="3"/>
      </c>
      <c r="M138" s="32">
        <f t="shared" si="4"/>
      </c>
    </row>
    <row r="139" spans="1:13" x14ac:dyDescent="0.25">
      <c r="A139" s="27"/>
      <c r="B139" s="29"/>
      <c r="C139" s="33"/>
      <c r="D139" s="29"/>
      <c r="E139" s="30"/>
      <c r="F139" s="34"/>
      <c r="G139" s="35">
        <f t="shared" si="0"/>
      </c>
      <c r="H139" s="36">
        <f t="shared" si="1"/>
      </c>
      <c r="I139" s="31">
        <f t="shared" si="2"/>
      </c>
      <c r="J139" s="28"/>
      <c r="K139" s="37"/>
      <c r="L139" s="31">
        <f t="shared" si="3"/>
      </c>
      <c r="M139" s="32">
        <f t="shared" si="4"/>
      </c>
    </row>
    <row r="140" spans="1:13" x14ac:dyDescent="0.25">
      <c r="A140" s="27"/>
      <c r="B140" s="29"/>
      <c r="C140" s="33"/>
      <c r="D140" s="29"/>
      <c r="E140" s="30"/>
      <c r="F140" s="34"/>
      <c r="G140" s="35">
        <f t="shared" si="0"/>
      </c>
      <c r="H140" s="36">
        <f t="shared" si="1"/>
      </c>
      <c r="I140" s="31">
        <f t="shared" si="2"/>
      </c>
      <c r="J140" s="28"/>
      <c r="K140" s="37"/>
      <c r="L140" s="31">
        <f t="shared" si="3"/>
      </c>
      <c r="M140" s="32">
        <f t="shared" si="4"/>
      </c>
    </row>
    <row r="141" spans="1:13" x14ac:dyDescent="0.25">
      <c r="A141" s="27"/>
      <c r="B141" s="29"/>
      <c r="C141" s="33"/>
      <c r="D141" s="29"/>
      <c r="E141" s="30"/>
      <c r="F141" s="34"/>
      <c r="G141" s="35">
        <f t="shared" si="0"/>
      </c>
      <c r="H141" s="36">
        <f t="shared" si="1"/>
      </c>
      <c r="I141" s="31">
        <f t="shared" si="2"/>
      </c>
      <c r="J141" s="28"/>
      <c r="K141" s="37"/>
      <c r="L141" s="31">
        <f t="shared" si="3"/>
      </c>
      <c r="M141" s="32">
        <f t="shared" si="4"/>
      </c>
    </row>
    <row r="142" spans="1:13" x14ac:dyDescent="0.25">
      <c r="A142" s="27"/>
      <c r="B142" s="29"/>
      <c r="C142" s="33"/>
      <c r="D142" s="29"/>
      <c r="E142" s="30"/>
      <c r="F142" s="34"/>
      <c r="G142" s="35">
        <f t="shared" si="0"/>
      </c>
      <c r="H142" s="36">
        <f t="shared" si="1"/>
      </c>
      <c r="I142" s="31">
        <f t="shared" si="2"/>
      </c>
      <c r="J142" s="28"/>
      <c r="K142" s="37"/>
      <c r="L142" s="31">
        <f t="shared" si="3"/>
      </c>
      <c r="M142" s="32">
        <f t="shared" si="4"/>
      </c>
    </row>
    <row r="143" spans="1:13" x14ac:dyDescent="0.25">
      <c r="A143" s="27"/>
      <c r="B143" s="29"/>
      <c r="C143" s="33"/>
      <c r="D143" s="29"/>
      <c r="E143" s="30"/>
      <c r="F143" s="34"/>
      <c r="G143" s="35">
        <f t="shared" si="0"/>
      </c>
      <c r="H143" s="36">
        <f t="shared" si="1"/>
      </c>
      <c r="I143" s="31">
        <f t="shared" si="2"/>
      </c>
      <c r="J143" s="28"/>
      <c r="K143" s="37"/>
      <c r="L143" s="31">
        <f t="shared" si="3"/>
      </c>
      <c r="M143" s="32">
        <f t="shared" si="4"/>
      </c>
    </row>
    <row r="144" spans="1:13" x14ac:dyDescent="0.25">
      <c r="A144" s="27"/>
      <c r="B144" s="29"/>
      <c r="C144" s="33"/>
      <c r="D144" s="29"/>
      <c r="E144" s="30"/>
      <c r="F144" s="34"/>
      <c r="G144" s="35">
        <f t="shared" si="0"/>
      </c>
      <c r="H144" s="36">
        <f t="shared" si="1"/>
      </c>
      <c r="I144" s="31">
        <f t="shared" si="2"/>
      </c>
      <c r="J144" s="28"/>
      <c r="K144" s="37"/>
      <c r="L144" s="31">
        <f t="shared" si="3"/>
      </c>
      <c r="M144" s="32">
        <f t="shared" si="4"/>
      </c>
    </row>
    <row r="145" spans="1:13" x14ac:dyDescent="0.25">
      <c r="A145" s="27"/>
      <c r="B145" s="29"/>
      <c r="C145" s="33"/>
      <c r="D145" s="29"/>
      <c r="E145" s="30"/>
      <c r="F145" s="34"/>
      <c r="G145" s="35">
        <f t="shared" si="0"/>
      </c>
      <c r="H145" s="36">
        <f t="shared" si="1"/>
      </c>
      <c r="I145" s="31">
        <f t="shared" si="2"/>
      </c>
      <c r="J145" s="28"/>
      <c r="K145" s="37"/>
      <c r="L145" s="31">
        <f t="shared" si="3"/>
      </c>
      <c r="M145" s="32">
        <f t="shared" si="4"/>
      </c>
    </row>
    <row r="146" spans="1:13" x14ac:dyDescent="0.25">
      <c r="A146" s="27"/>
      <c r="B146" s="29"/>
      <c r="C146" s="33"/>
      <c r="D146" s="29"/>
      <c r="E146" s="30"/>
      <c r="F146" s="34"/>
      <c r="G146" s="35">
        <f t="shared" si="0"/>
      </c>
      <c r="H146" s="36">
        <f t="shared" si="1"/>
      </c>
      <c r="I146" s="31">
        <f t="shared" si="2"/>
      </c>
      <c r="J146" s="28"/>
      <c r="K146" s="37"/>
      <c r="L146" s="31">
        <f t="shared" si="3"/>
      </c>
      <c r="M146" s="32">
        <f t="shared" si="4"/>
      </c>
    </row>
    <row r="147" spans="1:13" x14ac:dyDescent="0.25">
      <c r="A147" s="27"/>
      <c r="B147" s="29"/>
      <c r="C147" s="33"/>
      <c r="D147" s="29"/>
      <c r="E147" s="30"/>
      <c r="F147" s="34"/>
      <c r="G147" s="35">
        <f t="shared" si="0"/>
      </c>
      <c r="H147" s="36">
        <f t="shared" si="1"/>
      </c>
      <c r="I147" s="31">
        <f t="shared" si="2"/>
      </c>
      <c r="J147" s="28"/>
      <c r="K147" s="37"/>
      <c r="L147" s="31">
        <f t="shared" si="3"/>
      </c>
      <c r="M147" s="32">
        <f t="shared" si="4"/>
      </c>
    </row>
    <row r="148" spans="1:13" x14ac:dyDescent="0.25">
      <c r="A148" s="27"/>
      <c r="B148" s="29"/>
      <c r="C148" s="33"/>
      <c r="D148" s="29"/>
      <c r="E148" s="30"/>
      <c r="F148" s="34"/>
      <c r="G148" s="35">
        <f t="shared" si="0"/>
      </c>
      <c r="H148" s="36">
        <f t="shared" si="1"/>
      </c>
      <c r="I148" s="31">
        <f t="shared" si="2"/>
      </c>
      <c r="J148" s="28"/>
      <c r="K148" s="37"/>
      <c r="L148" s="31">
        <f t="shared" si="3"/>
      </c>
      <c r="M148" s="32">
        <f t="shared" si="4"/>
      </c>
    </row>
    <row r="149" spans="1:13" x14ac:dyDescent="0.25">
      <c r="A149" s="27"/>
      <c r="B149" s="29"/>
      <c r="C149" s="33"/>
      <c r="D149" s="29"/>
      <c r="E149" s="30"/>
      <c r="F149" s="34"/>
      <c r="G149" s="35">
        <f t="shared" si="0"/>
      </c>
      <c r="H149" s="36">
        <f t="shared" si="1"/>
      </c>
      <c r="I149" s="31">
        <f t="shared" si="2"/>
      </c>
      <c r="J149" s="28"/>
      <c r="K149" s="37"/>
      <c r="L149" s="31">
        <f t="shared" si="3"/>
      </c>
      <c r="M149" s="32">
        <f t="shared" si="4"/>
      </c>
    </row>
    <row r="150" spans="1:13" x14ac:dyDescent="0.25">
      <c r="A150" s="27"/>
      <c r="B150" s="29"/>
      <c r="C150" s="33"/>
      <c r="D150" s="29"/>
      <c r="E150" s="30"/>
      <c r="F150" s="34"/>
      <c r="G150" s="35">
        <f t="shared" si="0"/>
      </c>
      <c r="H150" s="36">
        <f t="shared" si="1"/>
      </c>
      <c r="I150" s="31">
        <f t="shared" si="2"/>
      </c>
      <c r="J150" s="28"/>
      <c r="K150" s="37"/>
      <c r="L150" s="31">
        <f t="shared" si="3"/>
      </c>
      <c r="M150" s="32">
        <f t="shared" si="4"/>
      </c>
    </row>
    <row r="151" spans="1:13" x14ac:dyDescent="0.25">
      <c r="A151" s="27"/>
      <c r="B151" s="29"/>
      <c r="C151" s="33"/>
      <c r="D151" s="29"/>
      <c r="E151" s="30"/>
      <c r="F151" s="34"/>
      <c r="G151" s="35">
        <f t="shared" si="0"/>
      </c>
      <c r="H151" s="36">
        <f t="shared" si="1"/>
      </c>
      <c r="I151" s="31">
        <f t="shared" si="2"/>
      </c>
      <c r="J151" s="28"/>
      <c r="K151" s="37"/>
      <c r="L151" s="31">
        <f t="shared" si="3"/>
      </c>
      <c r="M151" s="32">
        <f t="shared" si="4"/>
      </c>
    </row>
    <row r="152" spans="1:13" x14ac:dyDescent="0.25">
      <c r="A152" s="27"/>
      <c r="B152" s="29"/>
      <c r="C152" s="33"/>
      <c r="D152" s="29"/>
      <c r="E152" s="30"/>
      <c r="F152" s="34"/>
      <c r="G152" s="35">
        <f t="shared" si="0"/>
      </c>
      <c r="H152" s="36">
        <f t="shared" si="1"/>
      </c>
      <c r="I152" s="31">
        <f t="shared" si="2"/>
      </c>
      <c r="J152" s="28"/>
      <c r="K152" s="37"/>
      <c r="L152" s="31">
        <f t="shared" si="3"/>
      </c>
      <c r="M152" s="32">
        <f t="shared" si="4"/>
      </c>
    </row>
    <row r="153" spans="1:13" x14ac:dyDescent="0.25">
      <c r="A153" s="27"/>
      <c r="B153" s="29"/>
      <c r="C153" s="33"/>
      <c r="D153" s="29"/>
      <c r="E153" s="30"/>
      <c r="F153" s="34"/>
      <c r="G153" s="35">
        <f t="shared" si="0"/>
      </c>
      <c r="H153" s="36">
        <f t="shared" si="1"/>
      </c>
      <c r="I153" s="31">
        <f t="shared" si="2"/>
      </c>
      <c r="J153" s="28"/>
      <c r="K153" s="37"/>
      <c r="L153" s="31">
        <f t="shared" si="3"/>
      </c>
      <c r="M153" s="32">
        <f t="shared" si="4"/>
      </c>
    </row>
    <row r="154" spans="1:13" x14ac:dyDescent="0.25">
      <c r="A154" s="27"/>
      <c r="B154" s="29"/>
      <c r="C154" s="33"/>
      <c r="D154" s="29"/>
      <c r="E154" s="30"/>
      <c r="F154" s="34"/>
      <c r="G154" s="35">
        <f t="shared" si="0"/>
      </c>
      <c r="H154" s="36">
        <f t="shared" si="1"/>
      </c>
      <c r="I154" s="31">
        <f t="shared" si="2"/>
      </c>
      <c r="J154" s="28"/>
      <c r="K154" s="37"/>
      <c r="L154" s="31">
        <f t="shared" si="3"/>
      </c>
      <c r="M154" s="32">
        <f t="shared" si="4"/>
      </c>
    </row>
    <row r="155" spans="1:13" x14ac:dyDescent="0.25">
      <c r="A155" s="27"/>
      <c r="B155" s="29"/>
      <c r="C155" s="33"/>
      <c r="D155" s="29"/>
      <c r="E155" s="30"/>
      <c r="F155" s="34"/>
      <c r="G155" s="35">
        <f t="shared" si="0"/>
      </c>
      <c r="H155" s="36">
        <f t="shared" si="1"/>
      </c>
      <c r="I155" s="31">
        <f t="shared" si="2"/>
      </c>
      <c r="J155" s="28"/>
      <c r="K155" s="37"/>
      <c r="L155" s="31">
        <f t="shared" si="3"/>
      </c>
      <c r="M155" s="32">
        <f t="shared" si="4"/>
      </c>
    </row>
    <row r="156" spans="1:13" x14ac:dyDescent="0.25">
      <c r="A156" s="27"/>
      <c r="B156" s="29"/>
      <c r="C156" s="33"/>
      <c r="D156" s="29"/>
      <c r="E156" s="30"/>
      <c r="F156" s="34"/>
      <c r="G156" s="35">
        <f t="shared" si="0"/>
      </c>
      <c r="H156" s="36">
        <f t="shared" si="1"/>
      </c>
      <c r="I156" s="31">
        <f t="shared" si="2"/>
      </c>
      <c r="J156" s="28"/>
      <c r="K156" s="37"/>
      <c r="L156" s="31">
        <f t="shared" si="3"/>
      </c>
      <c r="M156" s="32">
        <f t="shared" si="4"/>
      </c>
    </row>
    <row r="157" spans="1:13" x14ac:dyDescent="0.25">
      <c r="A157" s="27"/>
      <c r="B157" s="29"/>
      <c r="C157" s="33"/>
      <c r="D157" s="29"/>
      <c r="E157" s="30"/>
      <c r="F157" s="34"/>
      <c r="G157" s="35">
        <f t="shared" si="0"/>
      </c>
      <c r="H157" s="36">
        <f t="shared" si="1"/>
      </c>
      <c r="I157" s="31">
        <f t="shared" si="2"/>
      </c>
      <c r="J157" s="28"/>
      <c r="K157" s="37"/>
      <c r="L157" s="31">
        <f t="shared" si="3"/>
      </c>
      <c r="M157" s="32">
        <f t="shared" si="4"/>
      </c>
    </row>
    <row r="158" spans="1:13" x14ac:dyDescent="0.25">
      <c r="A158" s="27"/>
      <c r="B158" s="29"/>
      <c r="C158" s="33"/>
      <c r="D158" s="29"/>
      <c r="E158" s="30"/>
      <c r="F158" s="34"/>
      <c r="G158" s="35">
        <f t="shared" si="0"/>
      </c>
      <c r="H158" s="36">
        <f t="shared" si="1"/>
      </c>
      <c r="I158" s="31">
        <f t="shared" si="2"/>
      </c>
      <c r="J158" s="28"/>
      <c r="K158" s="37"/>
      <c r="L158" s="31">
        <f t="shared" si="3"/>
      </c>
      <c r="M158" s="32">
        <f t="shared" si="4"/>
      </c>
    </row>
    <row r="159" spans="1:13" x14ac:dyDescent="0.25">
      <c r="A159" s="27"/>
      <c r="B159" s="29"/>
      <c r="C159" s="33"/>
      <c r="D159" s="29"/>
      <c r="E159" s="30"/>
      <c r="F159" s="34"/>
      <c r="G159" s="35">
        <f t="shared" si="0"/>
      </c>
      <c r="H159" s="36">
        <f t="shared" si="1"/>
      </c>
      <c r="I159" s="31">
        <f t="shared" si="2"/>
      </c>
      <c r="J159" s="28"/>
      <c r="K159" s="37"/>
      <c r="L159" s="31">
        <f t="shared" si="3"/>
      </c>
      <c r="M159" s="32">
        <f t="shared" si="4"/>
      </c>
    </row>
    <row r="160" spans="1:13" x14ac:dyDescent="0.25">
      <c r="A160" s="27"/>
      <c r="B160" s="29"/>
      <c r="C160" s="33"/>
      <c r="D160" s="29"/>
      <c r="E160" s="30"/>
      <c r="F160" s="34"/>
      <c r="G160" s="35">
        <f t="shared" si="0"/>
      </c>
      <c r="H160" s="36">
        <f t="shared" si="1"/>
      </c>
      <c r="I160" s="31">
        <f t="shared" si="2"/>
      </c>
      <c r="J160" s="28"/>
      <c r="K160" s="37"/>
      <c r="L160" s="31">
        <f t="shared" si="3"/>
      </c>
      <c r="M160" s="32">
        <f t="shared" si="4"/>
      </c>
    </row>
    <row r="161" spans="1:13" x14ac:dyDescent="0.25">
      <c r="A161" s="27"/>
      <c r="B161" s="29"/>
      <c r="C161" s="33"/>
      <c r="D161" s="29"/>
      <c r="E161" s="30"/>
      <c r="F161" s="34"/>
      <c r="G161" s="35">
        <f t="shared" si="0"/>
      </c>
      <c r="H161" s="36">
        <f t="shared" si="1"/>
      </c>
      <c r="I161" s="31">
        <f t="shared" si="2"/>
      </c>
      <c r="J161" s="28"/>
      <c r="K161" s="37"/>
      <c r="L161" s="31">
        <f t="shared" si="3"/>
      </c>
      <c r="M161" s="32">
        <f t="shared" si="4"/>
      </c>
    </row>
    <row r="162" spans="1:13" x14ac:dyDescent="0.25">
      <c r="A162" s="27"/>
      <c r="B162" s="29"/>
      <c r="C162" s="33"/>
      <c r="D162" s="29"/>
      <c r="E162" s="30"/>
      <c r="F162" s="34"/>
      <c r="G162" s="35">
        <f t="shared" si="0"/>
      </c>
      <c r="H162" s="36">
        <f t="shared" si="1"/>
      </c>
      <c r="I162" s="31">
        <f t="shared" si="2"/>
      </c>
      <c r="J162" s="28"/>
      <c r="K162" s="37"/>
      <c r="L162" s="31">
        <f t="shared" si="3"/>
      </c>
      <c r="M162" s="32">
        <f t="shared" si="4"/>
      </c>
    </row>
    <row r="163" spans="1:13" x14ac:dyDescent="0.25">
      <c r="A163" s="27"/>
      <c r="B163" s="29"/>
      <c r="C163" s="33"/>
      <c r="D163" s="29"/>
      <c r="E163" s="30"/>
      <c r="F163" s="34"/>
      <c r="G163" s="35">
        <f t="shared" si="0"/>
      </c>
      <c r="H163" s="36">
        <f t="shared" si="1"/>
      </c>
      <c r="I163" s="31">
        <f t="shared" si="2"/>
      </c>
      <c r="J163" s="28"/>
      <c r="K163" s="37"/>
      <c r="L163" s="31">
        <f t="shared" si="3"/>
      </c>
      <c r="M163" s="32">
        <f t="shared" si="4"/>
      </c>
    </row>
    <row r="164" spans="1:13" x14ac:dyDescent="0.25">
      <c r="A164" s="27"/>
      <c r="B164" s="29"/>
      <c r="C164" s="33"/>
      <c r="D164" s="29"/>
      <c r="E164" s="30"/>
      <c r="F164" s="34"/>
      <c r="G164" s="35">
        <f t="shared" si="0"/>
      </c>
      <c r="H164" s="36">
        <f t="shared" si="1"/>
      </c>
      <c r="I164" s="31">
        <f t="shared" si="2"/>
      </c>
      <c r="J164" s="28"/>
      <c r="K164" s="37"/>
      <c r="L164" s="31">
        <f t="shared" si="3"/>
      </c>
      <c r="M164" s="32">
        <f t="shared" si="4"/>
      </c>
    </row>
    <row r="165" spans="1:13" x14ac:dyDescent="0.25">
      <c r="A165" s="27"/>
      <c r="B165" s="29"/>
      <c r="C165" s="33"/>
      <c r="D165" s="29"/>
      <c r="E165" s="30"/>
      <c r="F165" s="34"/>
      <c r="G165" s="35">
        <f t="shared" si="0"/>
      </c>
      <c r="H165" s="36">
        <f t="shared" si="1"/>
      </c>
      <c r="I165" s="31">
        <f t="shared" si="2"/>
      </c>
      <c r="J165" s="28"/>
      <c r="K165" s="37"/>
      <c r="L165" s="31">
        <f t="shared" si="3"/>
      </c>
      <c r="M165" s="32">
        <f t="shared" si="4"/>
      </c>
    </row>
    <row r="166" spans="1:13" x14ac:dyDescent="0.25">
      <c r="A166" s="27"/>
      <c r="B166" s="29"/>
      <c r="C166" s="33"/>
      <c r="D166" s="29"/>
      <c r="E166" s="30"/>
      <c r="F166" s="34"/>
      <c r="G166" s="35">
        <f t="shared" si="0"/>
      </c>
      <c r="H166" s="36">
        <f t="shared" si="1"/>
      </c>
      <c r="I166" s="31">
        <f t="shared" si="2"/>
      </c>
      <c r="J166" s="28"/>
      <c r="K166" s="37"/>
      <c r="L166" s="31">
        <f t="shared" si="3"/>
      </c>
      <c r="M166" s="32">
        <f t="shared" si="4"/>
      </c>
    </row>
    <row r="167" spans="1:13" x14ac:dyDescent="0.25">
      <c r="A167" s="27"/>
      <c r="B167" s="29"/>
      <c r="C167" s="33"/>
      <c r="D167" s="29"/>
      <c r="E167" s="30"/>
      <c r="F167" s="34"/>
      <c r="G167" s="35">
        <f t="shared" si="0"/>
      </c>
      <c r="H167" s="36">
        <f t="shared" si="1"/>
      </c>
      <c r="I167" s="31">
        <f t="shared" si="2"/>
      </c>
      <c r="J167" s="28"/>
      <c r="K167" s="37"/>
      <c r="L167" s="31">
        <f t="shared" si="3"/>
      </c>
      <c r="M167" s="32">
        <f t="shared" si="4"/>
      </c>
    </row>
    <row r="168" spans="1:13" x14ac:dyDescent="0.25">
      <c r="A168" s="27"/>
      <c r="B168" s="29"/>
      <c r="C168" s="33"/>
      <c r="D168" s="29"/>
      <c r="E168" s="30"/>
      <c r="F168" s="34"/>
      <c r="G168" s="35">
        <f t="shared" si="0"/>
      </c>
      <c r="H168" s="36">
        <f t="shared" si="1"/>
      </c>
      <c r="I168" s="31">
        <f t="shared" si="2"/>
      </c>
      <c r="J168" s="28"/>
      <c r="K168" s="37"/>
      <c r="L168" s="31">
        <f t="shared" si="3"/>
      </c>
      <c r="M168" s="32">
        <f t="shared" si="4"/>
      </c>
    </row>
    <row r="169" spans="1:13" x14ac:dyDescent="0.25">
      <c r="A169" s="27"/>
      <c r="B169" s="29"/>
      <c r="C169" s="33"/>
      <c r="D169" s="29"/>
      <c r="E169" s="30"/>
      <c r="F169" s="34"/>
      <c r="G169" s="35">
        <f t="shared" si="0"/>
      </c>
      <c r="H169" s="36">
        <f t="shared" si="1"/>
      </c>
      <c r="I169" s="31">
        <f t="shared" si="2"/>
      </c>
      <c r="J169" s="28"/>
      <c r="K169" s="37"/>
      <c r="L169" s="31">
        <f t="shared" si="3"/>
      </c>
      <c r="M169" s="32">
        <f t="shared" si="4"/>
      </c>
    </row>
    <row r="170" spans="1:13" x14ac:dyDescent="0.25">
      <c r="A170" s="27"/>
      <c r="B170" s="29"/>
      <c r="C170" s="33"/>
      <c r="D170" s="29"/>
      <c r="E170" s="30"/>
      <c r="F170" s="34"/>
      <c r="G170" s="35">
        <f t="shared" si="0"/>
      </c>
      <c r="H170" s="36">
        <f t="shared" si="1"/>
      </c>
      <c r="I170" s="31">
        <f t="shared" si="2"/>
      </c>
      <c r="J170" s="28"/>
      <c r="K170" s="37"/>
      <c r="L170" s="31">
        <f t="shared" si="3"/>
      </c>
      <c r="M170" s="32">
        <f t="shared" si="4"/>
      </c>
    </row>
    <row r="171" spans="1:13" x14ac:dyDescent="0.25">
      <c r="A171" s="27"/>
      <c r="B171" s="29"/>
      <c r="C171" s="33"/>
      <c r="D171" s="29"/>
      <c r="E171" s="30"/>
      <c r="F171" s="34"/>
      <c r="G171" s="35">
        <f t="shared" si="0"/>
      </c>
      <c r="H171" s="36">
        <f t="shared" si="1"/>
      </c>
      <c r="I171" s="31">
        <f t="shared" si="2"/>
      </c>
      <c r="J171" s="28"/>
      <c r="K171" s="37"/>
      <c r="L171" s="31">
        <f t="shared" si="3"/>
      </c>
      <c r="M171" s="32">
        <f t="shared" si="4"/>
      </c>
    </row>
    <row r="172" spans="1:13" x14ac:dyDescent="0.25">
      <c r="A172" s="27"/>
      <c r="B172" s="29"/>
      <c r="C172" s="33"/>
      <c r="D172" s="29"/>
      <c r="E172" s="30"/>
      <c r="F172" s="34"/>
      <c r="G172" s="35">
        <f t="shared" si="0"/>
      </c>
      <c r="H172" s="36">
        <f t="shared" si="1"/>
      </c>
      <c r="I172" s="31">
        <f t="shared" si="2"/>
      </c>
      <c r="J172" s="28"/>
      <c r="K172" s="37"/>
      <c r="L172" s="31">
        <f t="shared" si="3"/>
      </c>
      <c r="M172" s="32">
        <f t="shared" si="4"/>
      </c>
    </row>
    <row r="173" spans="1:13" x14ac:dyDescent="0.25">
      <c r="A173" s="27"/>
      <c r="B173" s="29"/>
      <c r="C173" s="33"/>
      <c r="D173" s="29"/>
      <c r="E173" s="30"/>
      <c r="F173" s="34"/>
      <c r="G173" s="35">
        <f t="shared" si="0"/>
      </c>
      <c r="H173" s="36">
        <f t="shared" si="1"/>
      </c>
      <c r="I173" s="31">
        <f t="shared" si="2"/>
      </c>
      <c r="J173" s="28"/>
      <c r="K173" s="37"/>
      <c r="L173" s="31">
        <f t="shared" si="3"/>
      </c>
      <c r="M173" s="32">
        <f t="shared" si="4"/>
      </c>
    </row>
    <row r="174" spans="1:13" x14ac:dyDescent="0.25">
      <c r="A174" s="27"/>
      <c r="B174" s="29"/>
      <c r="C174" s="33"/>
      <c r="D174" s="29"/>
      <c r="E174" s="30"/>
      <c r="F174" s="34"/>
      <c r="G174" s="35">
        <f t="shared" si="0"/>
      </c>
      <c r="H174" s="36">
        <f t="shared" si="1"/>
      </c>
      <c r="I174" s="31">
        <f t="shared" si="2"/>
      </c>
      <c r="J174" s="28"/>
      <c r="K174" s="37"/>
      <c r="L174" s="31">
        <f t="shared" si="3"/>
      </c>
      <c r="M174" s="32">
        <f t="shared" si="4"/>
      </c>
    </row>
    <row r="175" spans="1:13" x14ac:dyDescent="0.25">
      <c r="A175" s="27"/>
      <c r="B175" s="29"/>
      <c r="C175" s="33"/>
      <c r="D175" s="29"/>
      <c r="E175" s="30"/>
      <c r="F175" s="34"/>
      <c r="G175" s="35">
        <f t="shared" si="0"/>
      </c>
      <c r="H175" s="36">
        <f t="shared" si="1"/>
      </c>
      <c r="I175" s="31">
        <f t="shared" si="2"/>
      </c>
      <c r="J175" s="28"/>
      <c r="K175" s="37"/>
      <c r="L175" s="31">
        <f t="shared" si="3"/>
      </c>
      <c r="M175" s="32">
        <f t="shared" si="4"/>
      </c>
    </row>
    <row r="176" spans="1:13" x14ac:dyDescent="0.25">
      <c r="A176" s="27"/>
      <c r="B176" s="29"/>
      <c r="C176" s="33"/>
      <c r="D176" s="29"/>
      <c r="E176" s="30"/>
      <c r="F176" s="34"/>
      <c r="G176" s="35">
        <f t="shared" si="0"/>
      </c>
      <c r="H176" s="36">
        <f t="shared" si="1"/>
      </c>
      <c r="I176" s="31">
        <f t="shared" si="2"/>
      </c>
      <c r="J176" s="28"/>
      <c r="K176" s="37"/>
      <c r="L176" s="31">
        <f t="shared" si="3"/>
      </c>
      <c r="M176" s="32">
        <f t="shared" si="4"/>
      </c>
    </row>
    <row r="177" spans="1:13" x14ac:dyDescent="0.25">
      <c r="A177" s="27"/>
      <c r="B177" s="29"/>
      <c r="C177" s="33"/>
      <c r="D177" s="29"/>
      <c r="E177" s="30"/>
      <c r="F177" s="34"/>
      <c r="G177" s="35">
        <f t="shared" si="0"/>
      </c>
      <c r="H177" s="36">
        <f t="shared" si="1"/>
      </c>
      <c r="I177" s="31">
        <f t="shared" si="2"/>
      </c>
      <c r="J177" s="28"/>
      <c r="K177" s="37"/>
      <c r="L177" s="31">
        <f t="shared" si="3"/>
      </c>
      <c r="M177" s="32">
        <f t="shared" si="4"/>
      </c>
    </row>
    <row r="178" spans="1:13" x14ac:dyDescent="0.25">
      <c r="A178" s="27"/>
      <c r="B178" s="29"/>
      <c r="C178" s="33"/>
      <c r="D178" s="29"/>
      <c r="E178" s="30"/>
      <c r="F178" s="34"/>
      <c r="G178" s="35">
        <f t="shared" si="0"/>
      </c>
      <c r="H178" s="36">
        <f t="shared" si="1"/>
      </c>
      <c r="I178" s="31">
        <f t="shared" si="2"/>
      </c>
      <c r="J178" s="28"/>
      <c r="K178" s="37"/>
      <c r="L178" s="31">
        <f t="shared" si="3"/>
      </c>
      <c r="M178" s="32">
        <f t="shared" si="4"/>
      </c>
    </row>
    <row r="179" spans="1:13" x14ac:dyDescent="0.25">
      <c r="A179" s="27"/>
      <c r="B179" s="29"/>
      <c r="C179" s="33"/>
      <c r="D179" s="29"/>
      <c r="E179" s="30"/>
      <c r="F179" s="34"/>
      <c r="G179" s="35">
        <f t="shared" si="0"/>
      </c>
      <c r="H179" s="36">
        <f t="shared" si="1"/>
      </c>
      <c r="I179" s="31">
        <f t="shared" si="2"/>
      </c>
      <c r="J179" s="28"/>
      <c r="K179" s="37"/>
      <c r="L179" s="31">
        <f t="shared" si="3"/>
      </c>
      <c r="M179" s="32">
        <f t="shared" si="4"/>
      </c>
    </row>
    <row r="180" spans="1:13" x14ac:dyDescent="0.25">
      <c r="A180" s="27"/>
      <c r="B180" s="29"/>
      <c r="C180" s="33"/>
      <c r="D180" s="29"/>
      <c r="E180" s="30"/>
      <c r="F180" s="34"/>
      <c r="G180" s="35">
        <f t="shared" si="0"/>
      </c>
      <c r="H180" s="36">
        <f t="shared" si="1"/>
      </c>
      <c r="I180" s="31">
        <f t="shared" si="2"/>
      </c>
      <c r="J180" s="28"/>
      <c r="K180" s="37"/>
      <c r="L180" s="31">
        <f t="shared" si="3"/>
      </c>
      <c r="M180" s="32">
        <f t="shared" si="4"/>
      </c>
    </row>
    <row r="181" spans="1:13" x14ac:dyDescent="0.25">
      <c r="A181" s="27"/>
      <c r="B181" s="29"/>
      <c r="C181" s="33"/>
      <c r="D181" s="29"/>
      <c r="E181" s="30"/>
      <c r="F181" s="34"/>
      <c r="G181" s="35">
        <f t="shared" si="0"/>
      </c>
      <c r="H181" s="36">
        <f t="shared" si="1"/>
      </c>
      <c r="I181" s="31">
        <f t="shared" si="2"/>
      </c>
      <c r="J181" s="28"/>
      <c r="K181" s="37"/>
      <c r="L181" s="31">
        <f t="shared" si="3"/>
      </c>
      <c r="M181" s="32">
        <f t="shared" si="4"/>
      </c>
    </row>
    <row r="182" spans="1:13" x14ac:dyDescent="0.25">
      <c r="A182" s="27"/>
      <c r="B182" s="29"/>
      <c r="C182" s="33"/>
      <c r="D182" s="29"/>
      <c r="E182" s="30"/>
      <c r="F182" s="34"/>
      <c r="G182" s="35">
        <f t="shared" si="0"/>
      </c>
      <c r="H182" s="36">
        <f t="shared" si="1"/>
      </c>
      <c r="I182" s="31">
        <f t="shared" si="2"/>
      </c>
      <c r="J182" s="28"/>
      <c r="K182" s="37"/>
      <c r="L182" s="31">
        <f t="shared" si="3"/>
      </c>
      <c r="M182" s="32">
        <f t="shared" si="4"/>
      </c>
    </row>
    <row r="183" spans="1:13" x14ac:dyDescent="0.25">
      <c r="A183" s="27"/>
      <c r="B183" s="29"/>
      <c r="C183" s="33"/>
      <c r="D183" s="29"/>
      <c r="E183" s="30"/>
      <c r="F183" s="34"/>
      <c r="G183" s="35">
        <f t="shared" si="0"/>
      </c>
      <c r="H183" s="36">
        <f t="shared" si="1"/>
      </c>
      <c r="I183" s="31">
        <f t="shared" si="2"/>
      </c>
      <c r="J183" s="28"/>
      <c r="K183" s="37"/>
      <c r="L183" s="31">
        <f t="shared" si="3"/>
      </c>
      <c r="M183" s="32">
        <f t="shared" si="4"/>
      </c>
    </row>
    <row r="184" spans="1:13" x14ac:dyDescent="0.25">
      <c r="A184" s="27"/>
      <c r="B184" s="29"/>
      <c r="C184" s="33"/>
      <c r="D184" s="29"/>
      <c r="E184" s="30"/>
      <c r="F184" s="34"/>
      <c r="G184" s="35">
        <f t="shared" si="0"/>
      </c>
      <c r="H184" s="36">
        <f t="shared" si="1"/>
      </c>
      <c r="I184" s="31">
        <f t="shared" si="2"/>
      </c>
      <c r="J184" s="28"/>
      <c r="K184" s="37"/>
      <c r="L184" s="31">
        <f t="shared" si="3"/>
      </c>
      <c r="M184" s="32">
        <f t="shared" si="4"/>
      </c>
    </row>
    <row r="185" spans="1:13" x14ac:dyDescent="0.25">
      <c r="A185" s="27"/>
      <c r="B185" s="29"/>
      <c r="C185" s="33"/>
      <c r="D185" s="29"/>
      <c r="E185" s="30"/>
      <c r="F185" s="34"/>
      <c r="G185" s="35">
        <f t="shared" si="0"/>
      </c>
      <c r="H185" s="36">
        <f t="shared" si="1"/>
      </c>
      <c r="I185" s="31">
        <f t="shared" si="2"/>
      </c>
      <c r="J185" s="28"/>
      <c r="K185" s="37"/>
      <c r="L185" s="31">
        <f t="shared" si="3"/>
      </c>
      <c r="M185" s="32">
        <f t="shared" si="4"/>
      </c>
    </row>
    <row r="186" spans="1:13" x14ac:dyDescent="0.25">
      <c r="A186" s="27"/>
      <c r="B186" s="29"/>
      <c r="C186" s="33"/>
      <c r="D186" s="29"/>
      <c r="E186" s="30"/>
      <c r="F186" s="34"/>
      <c r="G186" s="35">
        <f t="shared" si="0"/>
      </c>
      <c r="H186" s="36">
        <f t="shared" si="1"/>
      </c>
      <c r="I186" s="31">
        <f t="shared" si="2"/>
      </c>
      <c r="J186" s="28"/>
      <c r="K186" s="37"/>
      <c r="L186" s="31">
        <f t="shared" si="3"/>
      </c>
      <c r="M186" s="32">
        <f t="shared" si="4"/>
      </c>
    </row>
    <row r="187" spans="1:13" x14ac:dyDescent="0.25">
      <c r="A187" s="27"/>
      <c r="B187" s="29"/>
      <c r="C187" s="33"/>
      <c r="D187" s="29"/>
      <c r="E187" s="30"/>
      <c r="F187" s="34"/>
      <c r="G187" s="35">
        <f t="shared" si="0"/>
      </c>
      <c r="H187" s="36">
        <f t="shared" si="1"/>
      </c>
      <c r="I187" s="31">
        <f t="shared" si="2"/>
      </c>
      <c r="J187" s="28"/>
      <c r="K187" s="37"/>
      <c r="L187" s="31">
        <f t="shared" si="3"/>
      </c>
      <c r="M187" s="32">
        <f t="shared" si="4"/>
      </c>
    </row>
    <row r="188" spans="1:13" x14ac:dyDescent="0.25">
      <c r="A188" s="27"/>
      <c r="B188" s="29"/>
      <c r="C188" s="33"/>
      <c r="D188" s="29"/>
      <c r="E188" s="30"/>
      <c r="F188" s="34"/>
      <c r="G188" s="35">
        <f t="shared" si="0"/>
      </c>
      <c r="H188" s="36">
        <f t="shared" si="1"/>
      </c>
      <c r="I188" s="31">
        <f t="shared" si="2"/>
      </c>
      <c r="J188" s="28"/>
      <c r="K188" s="37"/>
      <c r="L188" s="31">
        <f t="shared" si="3"/>
      </c>
      <c r="M188" s="32">
        <f t="shared" si="4"/>
      </c>
    </row>
    <row r="189" spans="1:13" x14ac:dyDescent="0.25">
      <c r="A189" s="27"/>
      <c r="B189" s="29"/>
      <c r="C189" s="33"/>
      <c r="D189" s="29"/>
      <c r="E189" s="30"/>
      <c r="F189" s="34"/>
      <c r="G189" s="35">
        <f t="shared" si="0"/>
      </c>
      <c r="H189" s="36">
        <f t="shared" si="1"/>
      </c>
      <c r="I189" s="31">
        <f t="shared" si="2"/>
      </c>
      <c r="J189" s="28"/>
      <c r="K189" s="37"/>
      <c r="L189" s="31">
        <f t="shared" si="3"/>
      </c>
      <c r="M189" s="32">
        <f t="shared" si="4"/>
      </c>
    </row>
    <row r="190" spans="1:13" x14ac:dyDescent="0.25">
      <c r="A190" s="27"/>
      <c r="B190" s="29"/>
      <c r="C190" s="33"/>
      <c r="D190" s="29"/>
      <c r="E190" s="30"/>
      <c r="F190" s="34"/>
      <c r="G190" s="35">
        <f t="shared" si="0"/>
      </c>
      <c r="H190" s="36">
        <f t="shared" si="1"/>
      </c>
      <c r="I190" s="31">
        <f t="shared" si="2"/>
      </c>
      <c r="J190" s="28"/>
      <c r="K190" s="37"/>
      <c r="L190" s="31">
        <f t="shared" si="3"/>
      </c>
      <c r="M190" s="32">
        <f t="shared" si="4"/>
      </c>
    </row>
    <row r="191" spans="1:13" x14ac:dyDescent="0.25">
      <c r="A191" s="27"/>
      <c r="B191" s="29"/>
      <c r="C191" s="33"/>
      <c r="D191" s="29"/>
      <c r="E191" s="30"/>
      <c r="F191" s="34"/>
      <c r="G191" s="35">
        <f t="shared" si="0"/>
      </c>
      <c r="H191" s="36">
        <f t="shared" si="1"/>
      </c>
      <c r="I191" s="31">
        <f t="shared" si="2"/>
      </c>
      <c r="J191" s="28"/>
      <c r="K191" s="37"/>
      <c r="L191" s="31">
        <f t="shared" si="3"/>
      </c>
      <c r="M191" s="32">
        <f t="shared" si="4"/>
      </c>
    </row>
    <row r="192" spans="1:13" x14ac:dyDescent="0.25">
      <c r="A192" s="27"/>
      <c r="B192" s="29"/>
      <c r="C192" s="33"/>
      <c r="D192" s="29"/>
      <c r="E192" s="30"/>
      <c r="F192" s="34"/>
      <c r="G192" s="35">
        <f t="shared" si="0"/>
      </c>
      <c r="H192" s="36">
        <f t="shared" si="1"/>
      </c>
      <c r="I192" s="31">
        <f t="shared" si="2"/>
      </c>
      <c r="J192" s="28"/>
      <c r="K192" s="37"/>
      <c r="L192" s="31">
        <f t="shared" si="3"/>
      </c>
      <c r="M192" s="32">
        <f t="shared" si="4"/>
      </c>
    </row>
    <row r="193" spans="1:13" x14ac:dyDescent="0.25">
      <c r="A193" s="27"/>
      <c r="B193" s="29"/>
      <c r="C193" s="33"/>
      <c r="D193" s="29"/>
      <c r="E193" s="30"/>
      <c r="F193" s="34"/>
      <c r="G193" s="35">
        <f t="shared" si="0"/>
      </c>
      <c r="H193" s="36">
        <f t="shared" si="1"/>
      </c>
      <c r="I193" s="31">
        <f t="shared" si="2"/>
      </c>
      <c r="J193" s="28"/>
      <c r="K193" s="37"/>
      <c r="L193" s="31">
        <f t="shared" si="3"/>
      </c>
      <c r="M193" s="32">
        <f t="shared" si="4"/>
      </c>
    </row>
    <row r="194" spans="1:13" x14ac:dyDescent="0.25">
      <c r="A194" s="27"/>
      <c r="B194" s="29"/>
      <c r="C194" s="33"/>
      <c r="D194" s="29"/>
      <c r="E194" s="30"/>
      <c r="F194" s="34"/>
      <c r="G194" s="35">
        <f t="shared" si="0"/>
      </c>
      <c r="H194" s="36">
        <f t="shared" si="1"/>
      </c>
      <c r="I194" s="31">
        <f t="shared" si="2"/>
      </c>
      <c r="J194" s="28"/>
      <c r="K194" s="37"/>
      <c r="L194" s="31">
        <f t="shared" si="3"/>
      </c>
      <c r="M194" s="32">
        <f t="shared" si="4"/>
      </c>
    </row>
    <row r="195" spans="1:13" x14ac:dyDescent="0.25">
      <c r="A195" s="27"/>
      <c r="B195" s="29"/>
      <c r="C195" s="33"/>
      <c r="D195" s="29"/>
      <c r="E195" s="30"/>
      <c r="F195" s="34"/>
      <c r="G195" s="35">
        <f t="shared" si="0"/>
      </c>
      <c r="H195" s="36">
        <f t="shared" si="1"/>
      </c>
      <c r="I195" s="31">
        <f t="shared" si="2"/>
      </c>
      <c r="J195" s="28"/>
      <c r="K195" s="37"/>
      <c r="L195" s="31">
        <f t="shared" si="3"/>
      </c>
      <c r="M195" s="32">
        <f t="shared" si="4"/>
      </c>
    </row>
    <row r="196" spans="1:13" x14ac:dyDescent="0.25">
      <c r="A196" s="27"/>
      <c r="B196" s="29"/>
      <c r="C196" s="33"/>
      <c r="D196" s="29"/>
      <c r="E196" s="30"/>
      <c r="F196" s="34"/>
      <c r="G196" s="35">
        <f t="shared" si="0"/>
      </c>
      <c r="H196" s="36">
        <f t="shared" si="1"/>
      </c>
      <c r="I196" s="31">
        <f t="shared" si="2"/>
      </c>
      <c r="J196" s="28"/>
      <c r="K196" s="37"/>
      <c r="L196" s="31">
        <f t="shared" si="3"/>
      </c>
      <c r="M196" s="32">
        <f t="shared" si="4"/>
      </c>
    </row>
    <row r="197" spans="1:13" x14ac:dyDescent="0.25">
      <c r="A197" s="27"/>
      <c r="B197" s="29"/>
      <c r="C197" s="33"/>
      <c r="D197" s="29"/>
      <c r="E197" s="30"/>
      <c r="F197" s="34"/>
      <c r="G197" s="35">
        <f t="shared" si="0"/>
      </c>
      <c r="H197" s="36">
        <f t="shared" si="1"/>
      </c>
      <c r="I197" s="31">
        <f t="shared" si="2"/>
      </c>
      <c r="J197" s="28"/>
      <c r="K197" s="37"/>
      <c r="L197" s="31">
        <f t="shared" si="3"/>
      </c>
      <c r="M197" s="32">
        <f t="shared" si="4"/>
      </c>
    </row>
    <row r="198" spans="1:13" x14ac:dyDescent="0.25">
      <c r="A198" s="27"/>
      <c r="B198" s="29"/>
      <c r="C198" s="33"/>
      <c r="D198" s="29"/>
      <c r="E198" s="30"/>
      <c r="F198" s="34"/>
      <c r="G198" s="35">
        <f t="shared" si="0"/>
      </c>
      <c r="H198" s="36">
        <f t="shared" si="1"/>
      </c>
      <c r="I198" s="31">
        <f t="shared" si="2"/>
      </c>
      <c r="J198" s="28"/>
      <c r="K198" s="37"/>
      <c r="L198" s="31">
        <f t="shared" si="3"/>
      </c>
      <c r="M198" s="32">
        <f t="shared" si="4"/>
      </c>
    </row>
    <row r="199" spans="1:13" x14ac:dyDescent="0.25">
      <c r="A199" s="27"/>
      <c r="B199" s="29"/>
      <c r="C199" s="33"/>
      <c r="D199" s="29"/>
      <c r="E199" s="30"/>
      <c r="F199" s="34"/>
      <c r="G199" s="35">
        <f t="shared" si="0"/>
      </c>
      <c r="H199" s="36">
        <f t="shared" si="1"/>
      </c>
      <c r="I199" s="31">
        <f t="shared" si="2"/>
      </c>
      <c r="J199" s="28"/>
      <c r="K199" s="37"/>
      <c r="L199" s="31">
        <f t="shared" si="3"/>
      </c>
      <c r="M199" s="32">
        <f t="shared" si="4"/>
      </c>
    </row>
    <row r="200" spans="1:13" x14ac:dyDescent="0.25">
      <c r="A200" s="27"/>
      <c r="B200" s="29"/>
      <c r="C200" s="33"/>
      <c r="D200" s="29"/>
      <c r="E200" s="30"/>
      <c r="F200" s="34"/>
      <c r="G200" s="35">
        <f t="shared" si="0"/>
      </c>
      <c r="H200" s="36">
        <f t="shared" si="1"/>
      </c>
      <c r="I200" s="31">
        <f t="shared" si="2"/>
      </c>
      <c r="J200" s="28"/>
      <c r="K200" s="37"/>
      <c r="L200" s="31">
        <f t="shared" si="3"/>
      </c>
      <c r="M200" s="32">
        <f t="shared" si="4"/>
      </c>
    </row>
    <row r="201" spans="1:13" x14ac:dyDescent="0.25">
      <c r="A201" s="27"/>
      <c r="B201" s="29"/>
      <c r="C201" s="33"/>
      <c r="D201" s="29"/>
      <c r="E201" s="30"/>
      <c r="F201" s="34"/>
      <c r="G201" s="35">
        <f t="shared" si="0"/>
      </c>
      <c r="H201" s="36">
        <f t="shared" si="1"/>
      </c>
      <c r="I201" s="31">
        <f t="shared" si="2"/>
      </c>
      <c r="J201" s="28"/>
      <c r="K201" s="37"/>
      <c r="L201" s="31">
        <f t="shared" si="3"/>
      </c>
      <c r="M201" s="32">
        <f t="shared" si="4"/>
      </c>
    </row>
    <row r="202" spans="1:13" x14ac:dyDescent="0.25">
      <c r="A202" s="27"/>
      <c r="B202" s="29"/>
      <c r="C202" s="33"/>
      <c r="D202" s="29"/>
      <c r="E202" s="30"/>
      <c r="F202" s="34"/>
      <c r="G202" s="35">
        <f t="shared" si="0"/>
      </c>
      <c r="H202" s="36">
        <f t="shared" si="1"/>
      </c>
      <c r="I202" s="31">
        <f t="shared" si="2"/>
      </c>
      <c r="J202" s="28"/>
      <c r="K202" s="37"/>
      <c r="L202" s="31">
        <f t="shared" si="3"/>
      </c>
      <c r="M202" s="32">
        <f t="shared" si="4"/>
      </c>
    </row>
    <row r="203" spans="1:13" x14ac:dyDescent="0.25">
      <c r="A203" s="27"/>
      <c r="B203" s="29"/>
      <c r="C203" s="33"/>
      <c r="D203" s="29"/>
      <c r="E203" s="30"/>
      <c r="F203" s="34"/>
      <c r="G203" s="35">
        <f t="shared" si="0"/>
      </c>
      <c r="H203" s="36">
        <f t="shared" si="1"/>
      </c>
      <c r="I203" s="31">
        <f t="shared" si="2"/>
      </c>
      <c r="J203" s="28"/>
      <c r="K203" s="37"/>
      <c r="L203" s="31">
        <f t="shared" si="3"/>
      </c>
      <c r="M203" s="32">
        <f t="shared" si="4"/>
      </c>
    </row>
    <row r="204" spans="1:13" x14ac:dyDescent="0.25">
      <c r="A204" s="27"/>
      <c r="B204" s="29"/>
      <c r="C204" s="33"/>
      <c r="D204" s="29"/>
      <c r="E204" s="30"/>
      <c r="F204" s="34"/>
      <c r="G204" s="35">
        <f t="shared" si="0"/>
      </c>
      <c r="H204" s="36">
        <f t="shared" si="1"/>
      </c>
      <c r="I204" s="31">
        <f t="shared" si="2"/>
      </c>
      <c r="J204" s="28"/>
      <c r="K204" s="37"/>
      <c r="L204" s="31">
        <f t="shared" si="3"/>
      </c>
      <c r="M204" s="32">
        <f t="shared" si="4"/>
      </c>
    </row>
    <row r="205" spans="1:13" x14ac:dyDescent="0.25">
      <c r="A205" s="27"/>
      <c r="B205" s="29"/>
      <c r="C205" s="33"/>
      <c r="D205" s="29"/>
      <c r="E205" s="30"/>
      <c r="F205" s="34"/>
      <c r="G205" s="35">
        <f t="shared" si="0"/>
      </c>
      <c r="H205" s="36">
        <f t="shared" si="1"/>
      </c>
      <c r="I205" s="31">
        <f t="shared" si="2"/>
      </c>
      <c r="J205" s="28"/>
      <c r="K205" s="37"/>
      <c r="L205" s="31">
        <f t="shared" si="3"/>
      </c>
      <c r="M205" s="32">
        <f t="shared" si="4"/>
      </c>
    </row>
    <row r="206" spans="1:13" x14ac:dyDescent="0.25">
      <c r="A206" s="27"/>
      <c r="B206" s="29"/>
      <c r="C206" s="33"/>
      <c r="D206" s="29"/>
      <c r="E206" s="30"/>
      <c r="F206" s="34"/>
      <c r="G206" s="35">
        <f t="shared" si="0"/>
      </c>
      <c r="H206" s="36">
        <f t="shared" si="1"/>
      </c>
      <c r="I206" s="31">
        <f t="shared" si="2"/>
      </c>
      <c r="J206" s="28"/>
      <c r="K206" s="37"/>
      <c r="L206" s="31">
        <f t="shared" si="3"/>
      </c>
      <c r="M206" s="32">
        <f t="shared" si="4"/>
      </c>
    </row>
    <row r="207" spans="1:13" x14ac:dyDescent="0.25">
      <c r="A207" s="27"/>
      <c r="B207" s="29"/>
      <c r="C207" s="33"/>
      <c r="D207" s="29"/>
      <c r="E207" s="30"/>
      <c r="F207" s="34"/>
      <c r="G207" s="35">
        <f t="shared" si="0"/>
      </c>
      <c r="H207" s="36">
        <f t="shared" si="1"/>
      </c>
      <c r="I207" s="31">
        <f t="shared" si="2"/>
      </c>
      <c r="J207" s="28"/>
      <c r="K207" s="37"/>
      <c r="L207" s="31">
        <f t="shared" si="3"/>
      </c>
      <c r="M207" s="32">
        <f t="shared" si="4"/>
      </c>
    </row>
    <row r="208" spans="1:13" x14ac:dyDescent="0.25">
      <c r="A208" s="27"/>
      <c r="B208" s="29"/>
      <c r="C208" s="33"/>
      <c r="D208" s="29"/>
      <c r="E208" s="30"/>
      <c r="F208" s="34"/>
      <c r="G208" s="35">
        <f t="shared" si="0"/>
      </c>
      <c r="H208" s="36">
        <f t="shared" si="1"/>
      </c>
      <c r="I208" s="31">
        <f t="shared" si="2"/>
      </c>
      <c r="J208" s="28"/>
      <c r="K208" s="37"/>
      <c r="L208" s="31">
        <f t="shared" si="3"/>
      </c>
      <c r="M208" s="32">
        <f t="shared" si="4"/>
      </c>
    </row>
    <row r="209" spans="1:13" x14ac:dyDescent="0.25">
      <c r="A209" s="27"/>
      <c r="B209" s="29"/>
      <c r="C209" s="33"/>
      <c r="D209" s="29"/>
      <c r="E209" s="30"/>
      <c r="F209" s="34"/>
      <c r="G209" s="35">
        <f t="shared" si="0"/>
      </c>
      <c r="H209" s="36">
        <f t="shared" si="1"/>
      </c>
      <c r="I209" s="31">
        <f t="shared" si="2"/>
      </c>
      <c r="J209" s="28"/>
      <c r="K209" s="37"/>
      <c r="L209" s="31">
        <f t="shared" si="3"/>
      </c>
      <c r="M209" s="32">
        <f t="shared" si="4"/>
      </c>
    </row>
    <row r="210" spans="1:13" x14ac:dyDescent="0.25">
      <c r="A210" s="27"/>
      <c r="B210" s="29"/>
      <c r="C210" s="33"/>
      <c r="D210" s="29"/>
      <c r="E210" s="30"/>
      <c r="F210" s="34"/>
      <c r="G210" s="35">
        <f t="shared" si="0"/>
      </c>
      <c r="H210" s="36">
        <f t="shared" si="1"/>
      </c>
      <c r="I210" s="31">
        <f t="shared" si="2"/>
      </c>
      <c r="J210" s="28"/>
      <c r="K210" s="37"/>
      <c r="L210" s="31">
        <f t="shared" si="3"/>
      </c>
      <c r="M210" s="32">
        <f t="shared" si="4"/>
      </c>
    </row>
    <row r="211" spans="1:13" x14ac:dyDescent="0.25">
      <c r="A211" s="27"/>
      <c r="B211" s="29"/>
      <c r="C211" s="33"/>
      <c r="D211" s="29"/>
      <c r="E211" s="30"/>
      <c r="F211" s="34"/>
      <c r="G211" s="35">
        <f t="shared" si="0"/>
      </c>
      <c r="H211" s="36">
        <f t="shared" si="1"/>
      </c>
      <c r="I211" s="31">
        <f t="shared" si="2"/>
      </c>
      <c r="J211" s="28"/>
      <c r="K211" s="37"/>
      <c r="L211" s="31">
        <f t="shared" si="3"/>
      </c>
      <c r="M211" s="32">
        <f t="shared" si="4"/>
      </c>
    </row>
    <row r="212" spans="1:13" x14ac:dyDescent="0.25">
      <c r="A212" s="27"/>
      <c r="B212" s="29"/>
      <c r="C212" s="33"/>
      <c r="D212" s="29"/>
      <c r="E212" s="30"/>
      <c r="F212" s="34"/>
      <c r="G212" s="35">
        <f t="shared" si="0"/>
      </c>
      <c r="H212" s="36">
        <f t="shared" si="1"/>
      </c>
      <c r="I212" s="31">
        <f t="shared" si="2"/>
      </c>
      <c r="J212" s="28"/>
      <c r="K212" s="37"/>
      <c r="L212" s="31">
        <f t="shared" si="3"/>
      </c>
      <c r="M212" s="32">
        <f t="shared" si="4"/>
      </c>
    </row>
    <row r="213" spans="1:13" x14ac:dyDescent="0.25">
      <c r="A213" s="27"/>
      <c r="B213" s="29"/>
      <c r="C213" s="33"/>
      <c r="D213" s="29"/>
      <c r="E213" s="30"/>
      <c r="F213" s="34"/>
      <c r="G213" s="35">
        <f t="shared" si="0"/>
      </c>
      <c r="H213" s="36">
        <f t="shared" si="1"/>
      </c>
      <c r="I213" s="31">
        <f t="shared" si="2"/>
      </c>
      <c r="J213" s="28"/>
      <c r="K213" s="37"/>
      <c r="L213" s="31">
        <f t="shared" si="3"/>
      </c>
      <c r="M213" s="32">
        <f t="shared" si="4"/>
      </c>
    </row>
    <row r="214" spans="1:13" x14ac:dyDescent="0.25">
      <c r="A214" s="27"/>
      <c r="B214" s="29"/>
      <c r="C214" s="33"/>
      <c r="D214" s="29"/>
      <c r="E214" s="30"/>
      <c r="F214" s="34"/>
      <c r="G214" s="35">
        <f t="shared" si="0"/>
      </c>
      <c r="H214" s="36">
        <f t="shared" si="1"/>
      </c>
      <c r="I214" s="31">
        <f t="shared" si="2"/>
      </c>
      <c r="J214" s="28"/>
      <c r="K214" s="37"/>
      <c r="L214" s="31">
        <f t="shared" si="3"/>
      </c>
      <c r="M214" s="32">
        <f t="shared" si="4"/>
      </c>
    </row>
    <row r="215" spans="1:13" x14ac:dyDescent="0.25">
      <c r="A215" s="27"/>
      <c r="B215" s="29"/>
      <c r="C215" s="33"/>
      <c r="D215" s="29"/>
      <c r="E215" s="30"/>
      <c r="F215" s="34"/>
      <c r="G215" s="35">
        <f t="shared" si="0"/>
      </c>
      <c r="H215" s="36">
        <f t="shared" si="1"/>
      </c>
      <c r="I215" s="31">
        <f t="shared" si="2"/>
      </c>
      <c r="J215" s="28"/>
      <c r="K215" s="37"/>
      <c r="L215" s="31">
        <f t="shared" si="3"/>
      </c>
      <c r="M215" s="32">
        <f t="shared" si="4"/>
      </c>
    </row>
    <row r="216" spans="1:13" x14ac:dyDescent="0.25">
      <c r="A216" s="27"/>
      <c r="B216" s="29"/>
      <c r="C216" s="33"/>
      <c r="D216" s="29"/>
      <c r="E216" s="30"/>
      <c r="F216" s="34"/>
      <c r="G216" s="35">
        <f t="shared" si="0"/>
      </c>
      <c r="H216" s="36">
        <f t="shared" si="1"/>
      </c>
      <c r="I216" s="31">
        <f t="shared" si="2"/>
      </c>
      <c r="J216" s="28"/>
      <c r="K216" s="37"/>
      <c r="L216" s="31">
        <f t="shared" si="3"/>
      </c>
      <c r="M216" s="32">
        <f t="shared" si="4"/>
      </c>
    </row>
    <row r="217" spans="1:13" x14ac:dyDescent="0.25">
      <c r="A217" s="27"/>
      <c r="B217" s="29"/>
      <c r="C217" s="33"/>
      <c r="D217" s="29"/>
      <c r="E217" s="30"/>
      <c r="F217" s="34"/>
      <c r="G217" s="35">
        <f t="shared" si="0"/>
      </c>
      <c r="H217" s="36">
        <f t="shared" si="1"/>
      </c>
      <c r="I217" s="31">
        <f t="shared" si="2"/>
      </c>
      <c r="J217" s="28"/>
      <c r="K217" s="37"/>
      <c r="L217" s="31">
        <f t="shared" si="3"/>
      </c>
      <c r="M217" s="32">
        <f t="shared" si="4"/>
      </c>
    </row>
    <row r="218" spans="1:13" x14ac:dyDescent="0.25">
      <c r="A218" s="27"/>
      <c r="B218" s="29"/>
      <c r="C218" s="33"/>
      <c r="D218" s="29"/>
      <c r="E218" s="30"/>
      <c r="F218" s="34"/>
      <c r="G218" s="35">
        <f t="shared" si="0"/>
      </c>
      <c r="H218" s="36">
        <f t="shared" si="1"/>
      </c>
      <c r="I218" s="31">
        <f t="shared" si="2"/>
      </c>
      <c r="J218" s="28"/>
      <c r="K218" s="37"/>
      <c r="L218" s="31">
        <f t="shared" si="3"/>
      </c>
      <c r="M218" s="32">
        <f t="shared" si="4"/>
      </c>
    </row>
    <row r="219" spans="1:13" x14ac:dyDescent="0.25">
      <c r="A219" s="27"/>
      <c r="B219" s="29"/>
      <c r="C219" s="33"/>
      <c r="D219" s="29"/>
      <c r="E219" s="30"/>
      <c r="F219" s="34"/>
      <c r="G219" s="35">
        <f t="shared" si="0"/>
      </c>
      <c r="H219" s="36">
        <f t="shared" si="1"/>
      </c>
      <c r="I219" s="31">
        <f t="shared" si="2"/>
      </c>
      <c r="J219" s="28"/>
      <c r="K219" s="37"/>
      <c r="L219" s="31">
        <f t="shared" si="3"/>
      </c>
      <c r="M219" s="32">
        <f t="shared" si="4"/>
      </c>
    </row>
    <row r="220" spans="1:13" x14ac:dyDescent="0.25">
      <c r="A220" s="27"/>
      <c r="B220" s="29"/>
      <c r="C220" s="33"/>
      <c r="D220" s="29"/>
      <c r="E220" s="30"/>
      <c r="F220" s="34"/>
      <c r="G220" s="35">
        <f t="shared" si="0"/>
      </c>
      <c r="H220" s="36">
        <f t="shared" si="1"/>
      </c>
      <c r="I220" s="31">
        <f t="shared" si="2"/>
      </c>
      <c r="J220" s="28"/>
      <c r="K220" s="37"/>
      <c r="L220" s="31">
        <f t="shared" si="3"/>
      </c>
      <c r="M220" s="32">
        <f t="shared" si="4"/>
      </c>
    </row>
    <row r="221" spans="1:13" x14ac:dyDescent="0.25">
      <c r="A221" s="27"/>
      <c r="B221" s="29"/>
      <c r="C221" s="33"/>
      <c r="D221" s="29"/>
      <c r="E221" s="30"/>
      <c r="F221" s="34"/>
      <c r="G221" s="35">
        <f t="shared" si="0"/>
      </c>
      <c r="H221" s="36">
        <f t="shared" si="1"/>
      </c>
      <c r="I221" s="31">
        <f t="shared" si="2"/>
      </c>
      <c r="J221" s="28"/>
      <c r="K221" s="37"/>
      <c r="L221" s="31">
        <f t="shared" si="3"/>
      </c>
      <c r="M221" s="32">
        <f t="shared" si="4"/>
      </c>
    </row>
    <row r="222" spans="1:13" x14ac:dyDescent="0.25">
      <c r="A222" s="27"/>
      <c r="B222" s="29"/>
      <c r="C222" s="33"/>
      <c r="D222" s="29"/>
      <c r="E222" s="30"/>
      <c r="F222" s="34"/>
      <c r="G222" s="35">
        <f t="shared" si="0"/>
      </c>
      <c r="H222" s="36">
        <f t="shared" si="1"/>
      </c>
      <c r="I222" s="31">
        <f t="shared" si="2"/>
      </c>
      <c r="J222" s="28"/>
      <c r="K222" s="37"/>
      <c r="L222" s="31">
        <f t="shared" si="3"/>
      </c>
      <c r="M222" s="32">
        <f t="shared" si="4"/>
      </c>
    </row>
    <row r="223" spans="1:13" x14ac:dyDescent="0.25">
      <c r="A223" s="27"/>
      <c r="B223" s="29"/>
      <c r="C223" s="33"/>
      <c r="D223" s="29"/>
      <c r="E223" s="30"/>
      <c r="F223" s="34"/>
      <c r="G223" s="35">
        <f t="shared" si="0"/>
      </c>
      <c r="H223" s="36">
        <f t="shared" si="1"/>
      </c>
      <c r="I223" s="31">
        <f t="shared" si="2"/>
      </c>
      <c r="J223" s="28"/>
      <c r="K223" s="37"/>
      <c r="L223" s="31">
        <f t="shared" si="3"/>
      </c>
      <c r="M223" s="32">
        <f t="shared" si="4"/>
      </c>
    </row>
    <row r="224" spans="1:13" x14ac:dyDescent="0.25">
      <c r="A224" s="27"/>
      <c r="B224" s="29"/>
      <c r="C224" s="33"/>
      <c r="D224" s="29"/>
      <c r="E224" s="30"/>
      <c r="F224" s="34"/>
      <c r="G224" s="35">
        <f t="shared" si="0"/>
      </c>
      <c r="H224" s="36">
        <f t="shared" si="1"/>
      </c>
      <c r="I224" s="31">
        <f t="shared" si="2"/>
      </c>
      <c r="J224" s="28"/>
      <c r="K224" s="37"/>
      <c r="L224" s="31">
        <f t="shared" si="3"/>
      </c>
      <c r="M224" s="32">
        <f t="shared" si="4"/>
      </c>
    </row>
    <row r="225" spans="1:13" x14ac:dyDescent="0.25">
      <c r="A225" s="27"/>
      <c r="B225" s="29"/>
      <c r="C225" s="33"/>
      <c r="D225" s="29"/>
      <c r="E225" s="30"/>
      <c r="F225" s="34"/>
      <c r="G225" s="35">
        <f t="shared" si="0"/>
      </c>
      <c r="H225" s="36">
        <f t="shared" si="1"/>
      </c>
      <c r="I225" s="31">
        <f t="shared" si="2"/>
      </c>
      <c r="J225" s="28"/>
      <c r="K225" s="37"/>
      <c r="L225" s="31">
        <f t="shared" si="3"/>
      </c>
      <c r="M225" s="32">
        <f t="shared" si="4"/>
      </c>
    </row>
    <row r="226" spans="1:13" x14ac:dyDescent="0.25">
      <c r="A226" s="27"/>
      <c r="B226" s="29"/>
      <c r="C226" s="33"/>
      <c r="D226" s="29"/>
      <c r="E226" s="30"/>
      <c r="F226" s="34"/>
      <c r="G226" s="35">
        <f t="shared" si="0"/>
      </c>
      <c r="H226" s="36">
        <f t="shared" si="1"/>
      </c>
      <c r="I226" s="31">
        <f t="shared" si="2"/>
      </c>
      <c r="J226" s="28"/>
      <c r="K226" s="37"/>
      <c r="L226" s="31">
        <f t="shared" si="3"/>
      </c>
      <c r="M226" s="32">
        <f t="shared" si="4"/>
      </c>
    </row>
    <row r="227" spans="1:13" x14ac:dyDescent="0.25">
      <c r="A227" s="27"/>
      <c r="B227" s="29"/>
      <c r="C227" s="33"/>
      <c r="D227" s="29"/>
      <c r="E227" s="30"/>
      <c r="F227" s="34"/>
      <c r="G227" s="35">
        <f t="shared" si="0"/>
      </c>
      <c r="H227" s="36">
        <f t="shared" si="1"/>
      </c>
      <c r="I227" s="31">
        <f t="shared" si="2"/>
      </c>
      <c r="J227" s="28"/>
      <c r="K227" s="37"/>
      <c r="L227" s="31">
        <f t="shared" si="3"/>
      </c>
      <c r="M227" s="32">
        <f t="shared" si="4"/>
      </c>
    </row>
    <row r="228" spans="1:13" x14ac:dyDescent="0.25">
      <c r="A228" s="27"/>
      <c r="B228" s="29"/>
      <c r="C228" s="33"/>
      <c r="D228" s="29"/>
      <c r="E228" s="30"/>
      <c r="F228" s="34"/>
      <c r="G228" s="35">
        <f t="shared" si="0"/>
      </c>
      <c r="H228" s="36">
        <f t="shared" si="1"/>
      </c>
      <c r="I228" s="31">
        <f t="shared" si="2"/>
      </c>
      <c r="J228" s="28"/>
      <c r="K228" s="37"/>
      <c r="L228" s="31">
        <f t="shared" si="3"/>
      </c>
      <c r="M228" s="32">
        <f t="shared" si="4"/>
      </c>
    </row>
    <row r="229" spans="1:13" x14ac:dyDescent="0.25">
      <c r="A229" s="27"/>
      <c r="B229" s="29"/>
      <c r="C229" s="33"/>
      <c r="D229" s="29"/>
      <c r="E229" s="30"/>
      <c r="F229" s="34"/>
      <c r="G229" s="35">
        <f t="shared" si="0"/>
      </c>
      <c r="H229" s="36">
        <f t="shared" si="1"/>
      </c>
      <c r="I229" s="31">
        <f t="shared" si="2"/>
      </c>
      <c r="J229" s="28"/>
      <c r="K229" s="37"/>
      <c r="L229" s="31">
        <f t="shared" si="3"/>
      </c>
      <c r="M229" s="32">
        <f t="shared" si="4"/>
      </c>
    </row>
    <row r="230" spans="1:13" x14ac:dyDescent="0.25">
      <c r="A230" s="27"/>
      <c r="B230" s="29"/>
      <c r="C230" s="33"/>
      <c r="D230" s="29"/>
      <c r="E230" s="30"/>
      <c r="F230" s="34"/>
      <c r="G230" s="35">
        <f t="shared" si="0"/>
      </c>
      <c r="H230" s="36">
        <f t="shared" si="1"/>
      </c>
      <c r="I230" s="31">
        <f t="shared" si="2"/>
      </c>
      <c r="J230" s="28"/>
      <c r="K230" s="37"/>
      <c r="L230" s="31">
        <f t="shared" si="3"/>
      </c>
      <c r="M230" s="32">
        <f t="shared" si="4"/>
      </c>
    </row>
    <row r="231" spans="1:13" x14ac:dyDescent="0.25">
      <c r="A231" s="27"/>
      <c r="B231" s="29"/>
      <c r="C231" s="33"/>
      <c r="D231" s="29"/>
      <c r="E231" s="30"/>
      <c r="F231" s="34"/>
      <c r="G231" s="35">
        <f t="shared" si="0"/>
      </c>
      <c r="H231" s="36">
        <f t="shared" si="1"/>
      </c>
      <c r="I231" s="31">
        <f t="shared" si="2"/>
      </c>
      <c r="J231" s="28"/>
      <c r="K231" s="37"/>
      <c r="L231" s="31">
        <f t="shared" si="3"/>
      </c>
      <c r="M231" s="32">
        <f t="shared" si="4"/>
      </c>
    </row>
    <row r="232" spans="1:13" x14ac:dyDescent="0.25">
      <c r="A232" s="27"/>
      <c r="B232" s="29"/>
      <c r="C232" s="33"/>
      <c r="D232" s="29"/>
      <c r="E232" s="30"/>
      <c r="F232" s="34"/>
      <c r="G232" s="35">
        <f t="shared" si="0"/>
      </c>
      <c r="H232" s="36">
        <f t="shared" si="1"/>
      </c>
      <c r="I232" s="31">
        <f t="shared" si="2"/>
      </c>
      <c r="J232" s="28"/>
      <c r="K232" s="37"/>
      <c r="L232" s="31">
        <f t="shared" si="3"/>
      </c>
      <c r="M232" s="32">
        <f t="shared" si="4"/>
      </c>
    </row>
    <row r="233" spans="1:13" x14ac:dyDescent="0.25">
      <c r="A233" s="27"/>
      <c r="B233" s="29"/>
      <c r="C233" s="33"/>
      <c r="D233" s="29"/>
      <c r="E233" s="30"/>
      <c r="F233" s="34"/>
      <c r="G233" s="35">
        <f t="shared" si="0"/>
      </c>
      <c r="H233" s="36">
        <f t="shared" si="1"/>
      </c>
      <c r="I233" s="31">
        <f t="shared" si="2"/>
      </c>
      <c r="J233" s="28"/>
      <c r="K233" s="37"/>
      <c r="L233" s="31">
        <f t="shared" si="3"/>
      </c>
      <c r="M233" s="32">
        <f t="shared" si="4"/>
      </c>
    </row>
    <row r="234" spans="1:13" x14ac:dyDescent="0.25">
      <c r="A234" s="27"/>
      <c r="B234" s="29"/>
      <c r="C234" s="33"/>
      <c r="D234" s="29"/>
      <c r="E234" s="30"/>
      <c r="F234" s="34"/>
      <c r="G234" s="35">
        <f t="shared" si="0"/>
      </c>
      <c r="H234" s="36">
        <f t="shared" si="1"/>
      </c>
      <c r="I234" s="31">
        <f t="shared" si="2"/>
      </c>
      <c r="J234" s="28"/>
      <c r="K234" s="37"/>
      <c r="L234" s="31">
        <f t="shared" si="3"/>
      </c>
      <c r="M234" s="32">
        <f t="shared" si="4"/>
      </c>
    </row>
    <row r="235" spans="1:13" x14ac:dyDescent="0.25">
      <c r="A235" s="27"/>
      <c r="B235" s="29"/>
      <c r="C235" s="33"/>
      <c r="D235" s="29"/>
      <c r="E235" s="30"/>
      <c r="F235" s="34"/>
      <c r="G235" s="35">
        <f t="shared" si="0"/>
      </c>
      <c r="H235" s="36">
        <f t="shared" si="1"/>
      </c>
      <c r="I235" s="31">
        <f t="shared" si="2"/>
      </c>
      <c r="J235" s="28"/>
      <c r="K235" s="37"/>
      <c r="L235" s="31">
        <f t="shared" si="3"/>
      </c>
      <c r="M235" s="32">
        <f t="shared" si="4"/>
      </c>
    </row>
    <row r="236" spans="1:13" x14ac:dyDescent="0.25">
      <c r="A236" s="27"/>
      <c r="B236" s="29"/>
      <c r="C236" s="33"/>
      <c r="D236" s="29"/>
      <c r="E236" s="30"/>
      <c r="F236" s="34"/>
      <c r="G236" s="35">
        <f t="shared" si="0"/>
      </c>
      <c r="H236" s="36">
        <f t="shared" si="1"/>
      </c>
      <c r="I236" s="31">
        <f t="shared" si="2"/>
      </c>
      <c r="J236" s="28"/>
      <c r="K236" s="37"/>
      <c r="L236" s="31">
        <f t="shared" si="3"/>
      </c>
      <c r="M236" s="32">
        <f t="shared" si="4"/>
      </c>
    </row>
    <row r="237" spans="1:13" x14ac:dyDescent="0.25">
      <c r="A237" s="27"/>
      <c r="B237" s="29"/>
      <c r="C237" s="33"/>
      <c r="D237" s="29"/>
      <c r="E237" s="30"/>
      <c r="F237" s="34"/>
      <c r="G237" s="35">
        <f t="shared" si="0"/>
      </c>
      <c r="H237" s="36">
        <f t="shared" si="1"/>
      </c>
      <c r="I237" s="31">
        <f t="shared" si="2"/>
      </c>
      <c r="J237" s="28"/>
      <c r="K237" s="37"/>
      <c r="L237" s="31">
        <f t="shared" si="3"/>
      </c>
      <c r="M237" s="32">
        <f t="shared" si="4"/>
      </c>
    </row>
    <row r="238" spans="1:13" x14ac:dyDescent="0.25">
      <c r="A238" s="27"/>
      <c r="B238" s="29"/>
      <c r="C238" s="33"/>
      <c r="D238" s="29"/>
      <c r="E238" s="30"/>
      <c r="F238" s="34"/>
      <c r="G238" s="35">
        <f t="shared" si="0"/>
      </c>
      <c r="H238" s="36">
        <f t="shared" si="1"/>
      </c>
      <c r="I238" s="31">
        <f t="shared" si="2"/>
      </c>
      <c r="J238" s="28"/>
      <c r="K238" s="37"/>
      <c r="L238" s="31">
        <f t="shared" si="3"/>
      </c>
      <c r="M238" s="32">
        <f t="shared" si="4"/>
      </c>
    </row>
    <row r="239" spans="1:13" x14ac:dyDescent="0.25">
      <c r="A239" s="27"/>
      <c r="B239" s="29"/>
      <c r="C239" s="33"/>
      <c r="D239" s="29"/>
      <c r="E239" s="30"/>
      <c r="F239" s="34"/>
      <c r="G239" s="35">
        <f t="shared" si="0"/>
      </c>
      <c r="H239" s="36">
        <f t="shared" si="1"/>
      </c>
      <c r="I239" s="31">
        <f t="shared" si="2"/>
      </c>
      <c r="J239" s="28"/>
      <c r="K239" s="37"/>
      <c r="L239" s="31">
        <f t="shared" si="3"/>
      </c>
      <c r="M239" s="32">
        <f t="shared" si="4"/>
      </c>
    </row>
    <row r="240" spans="1:13" x14ac:dyDescent="0.25">
      <c r="A240" s="27"/>
      <c r="B240" s="29"/>
      <c r="C240" s="33"/>
      <c r="D240" s="29"/>
      <c r="E240" s="30"/>
      <c r="F240" s="34"/>
      <c r="G240" s="35">
        <f t="shared" si="0"/>
      </c>
      <c r="H240" s="36">
        <f t="shared" si="1"/>
      </c>
      <c r="I240" s="31">
        <f t="shared" si="2"/>
      </c>
      <c r="J240" s="28"/>
      <c r="K240" s="37"/>
      <c r="L240" s="31">
        <f t="shared" si="3"/>
      </c>
      <c r="M240" s="32">
        <f t="shared" si="4"/>
      </c>
    </row>
    <row r="241" spans="1:13" x14ac:dyDescent="0.25">
      <c r="A241" s="27"/>
      <c r="B241" s="29"/>
      <c r="C241" s="33"/>
      <c r="D241" s="29"/>
      <c r="E241" s="30"/>
      <c r="F241" s="34"/>
      <c r="G241" s="35">
        <f t="shared" si="0"/>
      </c>
      <c r="H241" s="36">
        <f t="shared" si="1"/>
      </c>
      <c r="I241" s="31">
        <f t="shared" si="2"/>
      </c>
      <c r="J241" s="28"/>
      <c r="K241" s="37"/>
      <c r="L241" s="31">
        <f t="shared" si="3"/>
      </c>
      <c r="M241" s="32">
        <f t="shared" si="4"/>
      </c>
    </row>
    <row r="242" spans="1:13" x14ac:dyDescent="0.25">
      <c r="A242" s="27"/>
      <c r="B242" s="29"/>
      <c r="C242" s="33"/>
      <c r="D242" s="29"/>
      <c r="E242" s="30"/>
      <c r="F242" s="34"/>
      <c r="G242" s="35">
        <f t="shared" si="0"/>
      </c>
      <c r="H242" s="36">
        <f t="shared" si="1"/>
      </c>
      <c r="I242" s="31">
        <f t="shared" si="2"/>
      </c>
      <c r="J242" s="28"/>
      <c r="K242" s="37"/>
      <c r="L242" s="31">
        <f t="shared" si="3"/>
      </c>
      <c r="M242" s="32">
        <f t="shared" si="4"/>
      </c>
    </row>
    <row r="243" spans="1:13" x14ac:dyDescent="0.25">
      <c r="A243" s="27"/>
      <c r="B243" s="29"/>
      <c r="C243" s="33"/>
      <c r="D243" s="29"/>
      <c r="E243" s="30"/>
      <c r="F243" s="34"/>
      <c r="G243" s="35">
        <f t="shared" si="0"/>
      </c>
      <c r="H243" s="36">
        <f t="shared" si="1"/>
      </c>
      <c r="I243" s="31">
        <f t="shared" si="2"/>
      </c>
      <c r="J243" s="28"/>
      <c r="K243" s="37"/>
      <c r="L243" s="31">
        <f t="shared" si="3"/>
      </c>
      <c r="M243" s="32">
        <f t="shared" si="4"/>
      </c>
    </row>
    <row r="244" spans="1:13" x14ac:dyDescent="0.25">
      <c r="A244" s="27"/>
      <c r="B244" s="29"/>
      <c r="C244" s="33"/>
      <c r="D244" s="29"/>
      <c r="E244" s="30"/>
      <c r="F244" s="34"/>
      <c r="G244" s="35">
        <f t="shared" si="0"/>
      </c>
      <c r="H244" s="36">
        <f t="shared" si="1"/>
      </c>
      <c r="I244" s="31">
        <f t="shared" si="2"/>
      </c>
      <c r="J244" s="28"/>
      <c r="K244" s="37"/>
      <c r="L244" s="31">
        <f t="shared" si="3"/>
      </c>
      <c r="M244" s="32">
        <f t="shared" si="4"/>
      </c>
    </row>
    <row r="245" spans="1:13" x14ac:dyDescent="0.25">
      <c r="A245" s="27"/>
      <c r="B245" s="29"/>
      <c r="C245" s="33"/>
      <c r="D245" s="29"/>
      <c r="E245" s="30"/>
      <c r="F245" s="34"/>
      <c r="G245" s="35">
        <f t="shared" si="0"/>
      </c>
      <c r="H245" s="36">
        <f t="shared" si="1"/>
      </c>
      <c r="I245" s="31">
        <f t="shared" si="2"/>
      </c>
      <c r="J245" s="28"/>
      <c r="K245" s="37"/>
      <c r="L245" s="31">
        <f t="shared" si="3"/>
      </c>
      <c r="M245" s="32">
        <f t="shared" si="4"/>
      </c>
    </row>
    <row r="246" spans="1:13" x14ac:dyDescent="0.25">
      <c r="A246" s="27"/>
      <c r="B246" s="29"/>
      <c r="C246" s="33"/>
      <c r="D246" s="29"/>
      <c r="E246" s="30"/>
      <c r="F246" s="34"/>
      <c r="G246" s="35">
        <f t="shared" si="0"/>
      </c>
      <c r="H246" s="36">
        <f t="shared" si="1"/>
      </c>
      <c r="I246" s="31">
        <f t="shared" si="2"/>
      </c>
      <c r="J246" s="28"/>
      <c r="K246" s="37"/>
      <c r="L246" s="31">
        <f t="shared" si="3"/>
      </c>
      <c r="M246" s="32">
        <f t="shared" si="4"/>
      </c>
    </row>
    <row r="247" spans="1:13" x14ac:dyDescent="0.25">
      <c r="A247" s="27"/>
      <c r="B247" s="29"/>
      <c r="C247" s="33"/>
      <c r="D247" s="29"/>
      <c r="E247" s="30"/>
      <c r="F247" s="34"/>
      <c r="G247" s="35">
        <f t="shared" si="0"/>
      </c>
      <c r="H247" s="36">
        <f t="shared" si="1"/>
      </c>
      <c r="I247" s="31">
        <f t="shared" si="2"/>
      </c>
      <c r="J247" s="28"/>
      <c r="K247" s="37"/>
      <c r="L247" s="31">
        <f t="shared" si="3"/>
      </c>
      <c r="M247" s="32">
        <f t="shared" si="4"/>
      </c>
    </row>
    <row r="248" spans="1:13" x14ac:dyDescent="0.25">
      <c r="A248" s="27"/>
      <c r="B248" s="29"/>
      <c r="C248" s="33"/>
      <c r="D248" s="29"/>
      <c r="E248" s="30"/>
      <c r="F248" s="34"/>
      <c r="G248" s="35">
        <f t="shared" si="0"/>
      </c>
      <c r="H248" s="36">
        <f t="shared" si="1"/>
      </c>
      <c r="I248" s="31">
        <f t="shared" si="2"/>
      </c>
      <c r="J248" s="28"/>
      <c r="K248" s="37"/>
      <c r="L248" s="31">
        <f t="shared" si="3"/>
      </c>
      <c r="M248" s="32">
        <f t="shared" si="4"/>
      </c>
    </row>
    <row r="249" spans="1:13" x14ac:dyDescent="0.25">
      <c r="A249" s="27"/>
      <c r="B249" s="29"/>
      <c r="C249" s="33"/>
      <c r="D249" s="29"/>
      <c r="E249" s="30"/>
      <c r="F249" s="34"/>
      <c r="G249" s="35">
        <f t="shared" si="0"/>
      </c>
      <c r="H249" s="36">
        <f t="shared" si="1"/>
      </c>
      <c r="I249" s="31">
        <f t="shared" si="2"/>
      </c>
      <c r="J249" s="28"/>
      <c r="K249" s="37"/>
      <c r="L249" s="31">
        <f t="shared" si="3"/>
      </c>
      <c r="M249" s="32">
        <f t="shared" si="4"/>
      </c>
    </row>
    <row r="250" spans="1:13" x14ac:dyDescent="0.25">
      <c r="A250" s="27"/>
      <c r="B250" s="29"/>
      <c r="C250" s="33"/>
      <c r="D250" s="29"/>
      <c r="E250" s="30"/>
      <c r="F250" s="34"/>
      <c r="G250" s="35">
        <f t="shared" si="0"/>
      </c>
      <c r="H250" s="36">
        <f t="shared" si="1"/>
      </c>
      <c r="I250" s="31">
        <f t="shared" si="2"/>
      </c>
      <c r="J250" s="28"/>
      <c r="K250" s="37"/>
      <c r="L250" s="31">
        <f t="shared" si="3"/>
      </c>
      <c r="M250" s="32">
        <f t="shared" si="4"/>
      </c>
    </row>
    <row r="251" spans="1:13" x14ac:dyDescent="0.25">
      <c r="A251" s="27"/>
      <c r="B251" s="29"/>
      <c r="C251" s="33"/>
      <c r="D251" s="29"/>
      <c r="E251" s="30"/>
      <c r="F251" s="34"/>
      <c r="G251" s="35">
        <f t="shared" si="0"/>
      </c>
      <c r="H251" s="36">
        <f t="shared" si="1"/>
      </c>
      <c r="I251" s="31">
        <f t="shared" si="2"/>
      </c>
      <c r="J251" s="28"/>
      <c r="K251" s="37"/>
      <c r="L251" s="31">
        <f t="shared" si="3"/>
      </c>
      <c r="M251" s="32">
        <f t="shared" si="4"/>
      </c>
    </row>
    <row r="252" spans="1:13" x14ac:dyDescent="0.25">
      <c r="A252" s="27"/>
      <c r="B252" s="29"/>
      <c r="C252" s="33"/>
      <c r="D252" s="29"/>
      <c r="E252" s="30"/>
      <c r="F252" s="34"/>
      <c r="G252" s="35">
        <f t="shared" si="0"/>
      </c>
      <c r="H252" s="36">
        <f t="shared" si="1"/>
      </c>
      <c r="I252" s="31">
        <f t="shared" si="2"/>
      </c>
      <c r="J252" s="28"/>
      <c r="K252" s="37"/>
      <c r="L252" s="31">
        <f t="shared" si="3"/>
      </c>
      <c r="M252" s="32">
        <f t="shared" si="4"/>
      </c>
    </row>
    <row r="253" spans="1:13" x14ac:dyDescent="0.25">
      <c r="A253" s="27"/>
      <c r="B253" s="29"/>
      <c r="C253" s="33"/>
      <c r="D253" s="29"/>
      <c r="E253" s="30"/>
      <c r="F253" s="34"/>
      <c r="G253" s="35">
        <f t="shared" si="0"/>
      </c>
      <c r="H253" s="36">
        <f t="shared" si="1"/>
      </c>
      <c r="I253" s="31">
        <f t="shared" si="2"/>
      </c>
      <c r="J253" s="28"/>
      <c r="K253" s="37"/>
      <c r="L253" s="31">
        <f t="shared" si="3"/>
      </c>
      <c r="M253" s="32">
        <f t="shared" si="4"/>
      </c>
    </row>
    <row r="254" spans="1:13" x14ac:dyDescent="0.25">
      <c r="A254" s="27"/>
      <c r="B254" s="29"/>
      <c r="C254" s="33"/>
      <c r="D254" s="29"/>
      <c r="E254" s="30"/>
      <c r="F254" s="34"/>
      <c r="G254" s="35">
        <f t="shared" si="0"/>
      </c>
      <c r="H254" s="36">
        <f t="shared" si="1"/>
      </c>
      <c r="I254" s="31">
        <f t="shared" si="2"/>
      </c>
      <c r="J254" s="28"/>
      <c r="K254" s="37"/>
      <c r="L254" s="31">
        <f t="shared" si="3"/>
      </c>
      <c r="M254" s="32">
        <f t="shared" si="4"/>
      </c>
    </row>
    <row r="255" spans="1:13" x14ac:dyDescent="0.25">
      <c r="A255" s="27"/>
      <c r="B255" s="29"/>
      <c r="C255" s="33"/>
      <c r="D255" s="29"/>
      <c r="E255" s="30"/>
      <c r="F255" s="34"/>
      <c r="G255" s="35">
        <f t="shared" si="0"/>
      </c>
      <c r="H255" s="36">
        <f t="shared" si="1"/>
      </c>
      <c r="I255" s="31">
        <f t="shared" si="2"/>
      </c>
      <c r="J255" s="28"/>
      <c r="K255" s="37"/>
      <c r="L255" s="31">
        <f t="shared" si="3"/>
      </c>
      <c r="M255" s="32">
        <f t="shared" si="4"/>
      </c>
    </row>
    <row r="256" spans="1:13" x14ac:dyDescent="0.25">
      <c r="A256" s="27"/>
      <c r="B256" s="29"/>
      <c r="C256" s="33"/>
      <c r="D256" s="29"/>
      <c r="E256" s="30"/>
      <c r="F256" s="34"/>
      <c r="G256" s="35">
        <f t="shared" si="0"/>
      </c>
      <c r="H256" s="36">
        <f t="shared" si="1"/>
      </c>
      <c r="I256" s="31">
        <f t="shared" si="2"/>
      </c>
      <c r="J256" s="28"/>
      <c r="K256" s="37"/>
      <c r="L256" s="31">
        <f t="shared" si="3"/>
      </c>
      <c r="M256" s="32">
        <f t="shared" si="4"/>
      </c>
    </row>
    <row r="257" spans="1:13" x14ac:dyDescent="0.25">
      <c r="A257" s="27"/>
      <c r="B257" s="29"/>
      <c r="C257" s="33"/>
      <c r="D257" s="29"/>
      <c r="E257" s="30"/>
      <c r="F257" s="34"/>
      <c r="G257" s="35">
        <f t="shared" si="0"/>
      </c>
      <c r="H257" s="36">
        <f t="shared" si="1"/>
      </c>
      <c r="I257" s="31">
        <f t="shared" si="2"/>
      </c>
      <c r="J257" s="28"/>
      <c r="K257" s="37"/>
      <c r="L257" s="31">
        <f t="shared" si="3"/>
      </c>
      <c r="M257" s="32">
        <f t="shared" si="4"/>
      </c>
    </row>
    <row r="258" spans="1:13" x14ac:dyDescent="0.25">
      <c r="A258" s="27"/>
      <c r="B258" s="29"/>
      <c r="C258" s="33"/>
      <c r="D258" s="29"/>
      <c r="E258" s="30"/>
      <c r="F258" s="34"/>
      <c r="G258" s="35">
        <f t="shared" si="0"/>
      </c>
      <c r="H258" s="36">
        <f t="shared" si="1"/>
      </c>
      <c r="I258" s="31">
        <f t="shared" si="2"/>
      </c>
      <c r="J258" s="28"/>
      <c r="K258" s="37"/>
      <c r="L258" s="31">
        <f t="shared" si="3"/>
      </c>
      <c r="M258" s="32">
        <f t="shared" si="4"/>
      </c>
    </row>
    <row r="259" spans="1:13" x14ac:dyDescent="0.25">
      <c r="A259" s="27"/>
      <c r="B259" s="29"/>
      <c r="C259" s="33"/>
      <c r="D259" s="29"/>
      <c r="E259" s="30"/>
      <c r="F259" s="34"/>
      <c r="G259" s="35">
        <f t="shared" si="0"/>
      </c>
      <c r="H259" s="36">
        <f t="shared" si="1"/>
      </c>
      <c r="I259" s="31">
        <f t="shared" si="2"/>
      </c>
      <c r="J259" s="28"/>
      <c r="K259" s="37"/>
      <c r="L259" s="31">
        <f t="shared" si="3"/>
      </c>
      <c r="M259" s="32">
        <f t="shared" si="4"/>
      </c>
    </row>
    <row r="260" spans="1:13" x14ac:dyDescent="0.25">
      <c r="A260" s="27"/>
      <c r="B260" s="29"/>
      <c r="C260" s="33"/>
      <c r="D260" s="29"/>
      <c r="E260" s="30"/>
      <c r="F260" s="34"/>
      <c r="G260" s="35">
        <f t="shared" si="0"/>
      </c>
      <c r="H260" s="36">
        <f t="shared" si="1"/>
      </c>
      <c r="I260" s="31">
        <f t="shared" si="2"/>
      </c>
      <c r="J260" s="28"/>
      <c r="K260" s="37"/>
      <c r="L260" s="31">
        <f t="shared" si="3"/>
      </c>
      <c r="M260" s="32">
        <f t="shared" si="4"/>
      </c>
    </row>
    <row r="261" spans="1:13" x14ac:dyDescent="0.25">
      <c r="A261" s="27"/>
      <c r="B261" s="29"/>
      <c r="C261" s="33"/>
      <c r="D261" s="29"/>
      <c r="E261" s="30"/>
      <c r="F261" s="34"/>
      <c r="G261" s="35">
        <f t="shared" si="0"/>
      </c>
      <c r="H261" s="36">
        <f t="shared" si="1"/>
      </c>
      <c r="I261" s="31">
        <f t="shared" si="2"/>
      </c>
      <c r="J261" s="28"/>
      <c r="K261" s="37"/>
      <c r="L261" s="31">
        <f t="shared" si="3"/>
      </c>
      <c r="M261" s="32">
        <f t="shared" si="4"/>
      </c>
    </row>
    <row r="262" spans="1:13" x14ac:dyDescent="0.25">
      <c r="A262" s="27"/>
      <c r="B262" s="29"/>
      <c r="C262" s="33"/>
      <c r="D262" s="29"/>
      <c r="E262" s="30"/>
      <c r="F262" s="34"/>
      <c r="G262" s="35">
        <f t="shared" si="0"/>
      </c>
      <c r="H262" s="36">
        <f t="shared" si="1"/>
      </c>
      <c r="I262" s="31">
        <f t="shared" si="2"/>
      </c>
      <c r="J262" s="28"/>
      <c r="K262" s="37"/>
      <c r="L262" s="31">
        <f t="shared" si="3"/>
      </c>
      <c r="M262" s="32">
        <f t="shared" si="4"/>
      </c>
    </row>
    <row r="263" spans="1:13" x14ac:dyDescent="0.25">
      <c r="A263" s="27"/>
      <c r="B263" s="29"/>
      <c r="C263" s="33"/>
      <c r="D263" s="29"/>
      <c r="E263" s="30"/>
      <c r="F263" s="34"/>
      <c r="G263" s="35">
        <f t="shared" si="0"/>
      </c>
      <c r="H263" s="36">
        <f t="shared" si="1"/>
      </c>
      <c r="I263" s="31">
        <f t="shared" si="2"/>
      </c>
      <c r="J263" s="28"/>
      <c r="K263" s="37"/>
      <c r="L263" s="31">
        <f t="shared" si="3"/>
      </c>
      <c r="M263" s="32">
        <f t="shared" si="4"/>
      </c>
    </row>
    <row r="264" spans="1:13" x14ac:dyDescent="0.25">
      <c r="A264" s="27"/>
      <c r="B264" s="29"/>
      <c r="C264" s="33"/>
      <c r="D264" s="29"/>
      <c r="E264" s="30"/>
      <c r="F264" s="34"/>
      <c r="G264" s="35">
        <f t="shared" si="0"/>
      </c>
      <c r="H264" s="36">
        <f t="shared" si="1"/>
      </c>
      <c r="I264" s="31">
        <f t="shared" si="2"/>
      </c>
      <c r="J264" s="28"/>
      <c r="K264" s="37"/>
      <c r="L264" s="31">
        <f t="shared" si="3"/>
      </c>
      <c r="M264" s="32">
        <f t="shared" si="4"/>
      </c>
    </row>
    <row r="265" spans="1:13" x14ac:dyDescent="0.25">
      <c r="A265" s="27"/>
      <c r="B265" s="29"/>
      <c r="C265" s="33"/>
      <c r="D265" s="29"/>
      <c r="E265" s="30"/>
      <c r="F265" s="34"/>
      <c r="G265" s="35">
        <f t="shared" si="0"/>
      </c>
      <c r="H265" s="36">
        <f t="shared" si="1"/>
      </c>
      <c r="I265" s="31">
        <f t="shared" si="2"/>
      </c>
      <c r="J265" s="28"/>
      <c r="K265" s="37"/>
      <c r="L265" s="31">
        <f t="shared" si="3"/>
      </c>
      <c r="M265" s="32">
        <f t="shared" si="4"/>
      </c>
    </row>
    <row r="266" spans="1:13" x14ac:dyDescent="0.25">
      <c r="A266" s="27"/>
      <c r="B266" s="29"/>
      <c r="C266" s="33"/>
      <c r="D266" s="29"/>
      <c r="E266" s="30"/>
      <c r="F266" s="34"/>
      <c r="G266" s="35">
        <f t="shared" si="0"/>
      </c>
      <c r="H266" s="36">
        <f t="shared" si="1"/>
      </c>
      <c r="I266" s="31">
        <f t="shared" si="2"/>
      </c>
      <c r="J266" s="28"/>
      <c r="K266" s="37"/>
      <c r="L266" s="31">
        <f t="shared" si="3"/>
      </c>
      <c r="M266" s="32">
        <f t="shared" si="4"/>
      </c>
    </row>
    <row r="267" spans="1:13" x14ac:dyDescent="0.25">
      <c r="A267" s="27"/>
      <c r="B267" s="29"/>
      <c r="C267" s="33"/>
      <c r="D267" s="29"/>
      <c r="E267" s="30"/>
      <c r="F267" s="34"/>
      <c r="G267" s="35">
        <f t="shared" si="0"/>
      </c>
      <c r="H267" s="36">
        <f t="shared" si="1"/>
      </c>
      <c r="I267" s="31">
        <f t="shared" si="2"/>
      </c>
      <c r="J267" s="28"/>
      <c r="K267" s="37"/>
      <c r="L267" s="31">
        <f t="shared" si="3"/>
      </c>
      <c r="M267" s="32">
        <f t="shared" si="4"/>
      </c>
    </row>
    <row r="268" spans="1:13" x14ac:dyDescent="0.25">
      <c r="A268" s="27"/>
      <c r="B268" s="29"/>
      <c r="C268" s="33"/>
      <c r="D268" s="29"/>
      <c r="E268" s="30"/>
      <c r="F268" s="34"/>
      <c r="G268" s="35">
        <f t="shared" si="0"/>
      </c>
      <c r="H268" s="36">
        <f t="shared" si="1"/>
      </c>
      <c r="I268" s="31">
        <f t="shared" si="2"/>
      </c>
      <c r="J268" s="28"/>
      <c r="K268" s="37"/>
      <c r="L268" s="31">
        <f t="shared" si="3"/>
      </c>
      <c r="M268" s="32">
        <f t="shared" si="4"/>
      </c>
    </row>
    <row r="269" spans="1:13" x14ac:dyDescent="0.25">
      <c r="A269" s="27"/>
      <c r="B269" s="29"/>
      <c r="C269" s="33"/>
      <c r="D269" s="29"/>
      <c r="E269" s="30"/>
      <c r="F269" s="34"/>
      <c r="G269" s="35">
        <f t="shared" si="0"/>
      </c>
      <c r="H269" s="36">
        <f t="shared" si="1"/>
      </c>
      <c r="I269" s="31">
        <f t="shared" si="2"/>
      </c>
      <c r="J269" s="28"/>
      <c r="K269" s="37"/>
      <c r="L269" s="31">
        <f t="shared" si="3"/>
      </c>
      <c r="M269" s="32">
        <f t="shared" si="4"/>
      </c>
    </row>
    <row r="270" spans="1:13" x14ac:dyDescent="0.25">
      <c r="A270" s="27"/>
      <c r="B270" s="29"/>
      <c r="C270" s="33"/>
      <c r="D270" s="29"/>
      <c r="E270" s="30"/>
      <c r="F270" s="34"/>
      <c r="G270" s="35">
        <f t="shared" si="0"/>
      </c>
      <c r="H270" s="36">
        <f t="shared" si="1"/>
      </c>
      <c r="I270" s="31">
        <f t="shared" si="2"/>
      </c>
      <c r="J270" s="28"/>
      <c r="K270" s="37"/>
      <c r="L270" s="31">
        <f t="shared" si="3"/>
      </c>
      <c r="M270" s="32">
        <f t="shared" si="4"/>
      </c>
    </row>
    <row r="271" spans="1:13" x14ac:dyDescent="0.25">
      <c r="A271" s="27"/>
      <c r="B271" s="29"/>
      <c r="C271" s="33"/>
      <c r="D271" s="29"/>
      <c r="E271" s="30"/>
      <c r="F271" s="34"/>
      <c r="G271" s="35">
        <f t="shared" si="0"/>
      </c>
      <c r="H271" s="36">
        <f t="shared" si="1"/>
      </c>
      <c r="I271" s="31">
        <f t="shared" si="2"/>
      </c>
      <c r="J271" s="28"/>
      <c r="K271" s="37"/>
      <c r="L271" s="31">
        <f t="shared" si="3"/>
      </c>
      <c r="M271" s="32">
        <f t="shared" si="4"/>
      </c>
    </row>
    <row r="272" spans="1:13" x14ac:dyDescent="0.25">
      <c r="A272" s="27"/>
      <c r="B272" s="29"/>
      <c r="C272" s="33"/>
      <c r="D272" s="29"/>
      <c r="E272" s="30"/>
      <c r="F272" s="34"/>
      <c r="G272" s="35">
        <f t="shared" si="0"/>
      </c>
      <c r="H272" s="36">
        <f t="shared" si="1"/>
      </c>
      <c r="I272" s="31">
        <f t="shared" si="2"/>
      </c>
      <c r="J272" s="28"/>
      <c r="K272" s="37"/>
      <c r="L272" s="31">
        <f t="shared" si="3"/>
      </c>
      <c r="M272" s="32">
        <f t="shared" si="4"/>
      </c>
    </row>
    <row r="273" spans="1:13" x14ac:dyDescent="0.25">
      <c r="A273" s="27"/>
      <c r="B273" s="29"/>
      <c r="C273" s="33"/>
      <c r="D273" s="29"/>
      <c r="E273" s="30"/>
      <c r="F273" s="34"/>
      <c r="G273" s="35">
        <f t="shared" si="0"/>
      </c>
      <c r="H273" s="36">
        <f t="shared" si="1"/>
      </c>
      <c r="I273" s="31">
        <f t="shared" si="2"/>
      </c>
      <c r="J273" s="28"/>
      <c r="K273" s="37"/>
      <c r="L273" s="31">
        <f t="shared" si="3"/>
      </c>
      <c r="M273" s="32">
        <f t="shared" si="4"/>
      </c>
    </row>
    <row r="274" spans="1:13" x14ac:dyDescent="0.25">
      <c r="A274" s="27"/>
      <c r="B274" s="29"/>
      <c r="C274" s="33"/>
      <c r="D274" s="29"/>
      <c r="E274" s="30"/>
      <c r="F274" s="34"/>
      <c r="G274" s="35">
        <f t="shared" si="0"/>
      </c>
      <c r="H274" s="36">
        <f t="shared" si="1"/>
      </c>
      <c r="I274" s="31">
        <f t="shared" si="2"/>
      </c>
      <c r="J274" s="28"/>
      <c r="K274" s="37"/>
      <c r="L274" s="31">
        <f t="shared" si="3"/>
      </c>
      <c r="M274" s="32">
        <f t="shared" si="4"/>
      </c>
    </row>
    <row r="275" spans="1:13" x14ac:dyDescent="0.25">
      <c r="A275" s="27"/>
      <c r="B275" s="29"/>
      <c r="C275" s="33"/>
      <c r="D275" s="29"/>
      <c r="E275" s="30"/>
      <c r="F275" s="34"/>
      <c r="G275" s="35">
        <f t="shared" si="0"/>
      </c>
      <c r="H275" s="36">
        <f t="shared" si="1"/>
      </c>
      <c r="I275" s="31">
        <f t="shared" si="2"/>
      </c>
      <c r="J275" s="28"/>
      <c r="K275" s="37"/>
      <c r="L275" s="31">
        <f t="shared" si="3"/>
      </c>
      <c r="M275" s="32">
        <f t="shared" si="4"/>
      </c>
    </row>
    <row r="276" spans="1:13" x14ac:dyDescent="0.25">
      <c r="A276" s="27"/>
      <c r="B276" s="29"/>
      <c r="C276" s="33"/>
      <c r="D276" s="29"/>
      <c r="E276" s="30"/>
      <c r="F276" s="34"/>
      <c r="G276" s="35">
        <f t="shared" si="0"/>
      </c>
      <c r="H276" s="36">
        <f t="shared" si="1"/>
      </c>
      <c r="I276" s="31">
        <f t="shared" si="2"/>
      </c>
      <c r="J276" s="28"/>
      <c r="K276" s="37"/>
      <c r="L276" s="31">
        <f t="shared" si="3"/>
      </c>
      <c r="M276" s="32">
        <f t="shared" si="4"/>
      </c>
    </row>
    <row r="277" spans="1:13" x14ac:dyDescent="0.25">
      <c r="A277" s="27"/>
      <c r="B277" s="29"/>
      <c r="C277" s="33"/>
      <c r="D277" s="29"/>
      <c r="E277" s="30"/>
      <c r="F277" s="34"/>
      <c r="G277" s="35">
        <f t="shared" si="0"/>
      </c>
      <c r="H277" s="36">
        <f t="shared" si="1"/>
      </c>
      <c r="I277" s="31">
        <f t="shared" si="2"/>
      </c>
      <c r="J277" s="28"/>
      <c r="K277" s="37"/>
      <c r="L277" s="31">
        <f t="shared" si="3"/>
      </c>
      <c r="M277" s="32">
        <f t="shared" si="4"/>
      </c>
    </row>
    <row r="278" spans="1:13" x14ac:dyDescent="0.25">
      <c r="A278" s="27"/>
      <c r="B278" s="29"/>
      <c r="C278" s="33"/>
      <c r="D278" s="29"/>
      <c r="E278" s="30"/>
      <c r="F278" s="34"/>
      <c r="G278" s="35">
        <f t="shared" si="0"/>
      </c>
      <c r="H278" s="36">
        <f t="shared" si="1"/>
      </c>
      <c r="I278" s="31">
        <f t="shared" si="2"/>
      </c>
      <c r="J278" s="28"/>
      <c r="K278" s="37"/>
      <c r="L278" s="31">
        <f t="shared" si="3"/>
      </c>
      <c r="M278" s="32">
        <f t="shared" si="4"/>
      </c>
    </row>
    <row r="279" spans="1:13" x14ac:dyDescent="0.25">
      <c r="A279" s="27"/>
      <c r="B279" s="29"/>
      <c r="C279" s="33"/>
      <c r="D279" s="29"/>
      <c r="E279" s="30"/>
      <c r="F279" s="34"/>
      <c r="G279" s="35">
        <f t="shared" si="0"/>
      </c>
      <c r="H279" s="36">
        <f t="shared" si="1"/>
      </c>
      <c r="I279" s="31">
        <f t="shared" si="2"/>
      </c>
      <c r="J279" s="28"/>
      <c r="K279" s="37"/>
      <c r="L279" s="31">
        <f t="shared" si="3"/>
      </c>
      <c r="M279" s="32">
        <f t="shared" si="4"/>
      </c>
    </row>
    <row r="280" spans="1:13" x14ac:dyDescent="0.25">
      <c r="A280" s="27"/>
      <c r="B280" s="29"/>
      <c r="C280" s="33"/>
      <c r="D280" s="29"/>
      <c r="E280" s="30"/>
      <c r="F280" s="34"/>
      <c r="G280" s="35">
        <f t="shared" si="0"/>
      </c>
      <c r="H280" s="36">
        <f t="shared" si="1"/>
      </c>
      <c r="I280" s="31">
        <f t="shared" si="2"/>
      </c>
      <c r="J280" s="28"/>
      <c r="K280" s="37"/>
      <c r="L280" s="31">
        <f t="shared" si="3"/>
      </c>
      <c r="M280" s="32">
        <f t="shared" si="4"/>
      </c>
    </row>
    <row r="281" spans="1:13" x14ac:dyDescent="0.25">
      <c r="A281" s="27"/>
      <c r="B281" s="29"/>
      <c r="C281" s="33"/>
      <c r="D281" s="29"/>
      <c r="E281" s="30"/>
      <c r="F281" s="34"/>
      <c r="G281" s="35">
        <f t="shared" si="0"/>
      </c>
      <c r="H281" s="36">
        <f t="shared" si="1"/>
      </c>
      <c r="I281" s="31">
        <f t="shared" si="2"/>
      </c>
      <c r="J281" s="28"/>
      <c r="K281" s="37"/>
      <c r="L281" s="31">
        <f t="shared" si="3"/>
      </c>
      <c r="M281" s="32">
        <f t="shared" si="4"/>
      </c>
    </row>
    <row r="282" spans="1:13" x14ac:dyDescent="0.25">
      <c r="A282" s="27"/>
      <c r="B282" s="29"/>
      <c r="C282" s="33"/>
      <c r="D282" s="29"/>
      <c r="E282" s="30"/>
      <c r="F282" s="34"/>
      <c r="G282" s="35">
        <f t="shared" si="0"/>
      </c>
      <c r="H282" s="36">
        <f t="shared" si="1"/>
      </c>
      <c r="I282" s="31">
        <f t="shared" si="2"/>
      </c>
      <c r="J282" s="28"/>
      <c r="K282" s="37"/>
      <c r="L282" s="31">
        <f t="shared" si="3"/>
      </c>
      <c r="M282" s="32">
        <f t="shared" si="4"/>
      </c>
    </row>
    <row r="283" spans="1:13" x14ac:dyDescent="0.25">
      <c r="A283" s="27"/>
      <c r="B283" s="29"/>
      <c r="C283" s="33"/>
      <c r="D283" s="29"/>
      <c r="E283" s="30"/>
      <c r="F283" s="34"/>
      <c r="G283" s="35">
        <f t="shared" si="0"/>
      </c>
      <c r="H283" s="36">
        <f t="shared" si="1"/>
      </c>
      <c r="I283" s="31">
        <f t="shared" si="2"/>
      </c>
      <c r="J283" s="28"/>
      <c r="K283" s="37"/>
      <c r="L283" s="31">
        <f t="shared" si="3"/>
      </c>
      <c r="M283" s="32">
        <f t="shared" si="4"/>
      </c>
    </row>
    <row r="284" spans="1:13" x14ac:dyDescent="0.25">
      <c r="A284" s="27"/>
      <c r="B284" s="29"/>
      <c r="C284" s="33"/>
      <c r="D284" s="29"/>
      <c r="E284" s="30"/>
      <c r="F284" s="34"/>
      <c r="G284" s="35">
        <f t="shared" si="0"/>
      </c>
      <c r="H284" s="36">
        <f t="shared" si="1"/>
      </c>
      <c r="I284" s="31">
        <f t="shared" si="2"/>
      </c>
      <c r="J284" s="28"/>
      <c r="K284" s="37"/>
      <c r="L284" s="31">
        <f t="shared" si="3"/>
      </c>
      <c r="M284" s="32">
        <f t="shared" si="4"/>
      </c>
    </row>
    <row r="285" spans="1:13" x14ac:dyDescent="0.25">
      <c r="A285" s="27"/>
      <c r="B285" s="29"/>
      <c r="C285" s="33"/>
      <c r="D285" s="29"/>
      <c r="E285" s="30"/>
      <c r="F285" s="34"/>
      <c r="G285" s="35">
        <f t="shared" si="0"/>
      </c>
      <c r="H285" s="36">
        <f t="shared" si="1"/>
      </c>
      <c r="I285" s="31">
        <f t="shared" si="2"/>
      </c>
      <c r="J285" s="28"/>
      <c r="K285" s="37"/>
      <c r="L285" s="31">
        <f t="shared" si="3"/>
      </c>
      <c r="M285" s="32">
        <f t="shared" si="4"/>
      </c>
    </row>
    <row r="286" spans="1:13" x14ac:dyDescent="0.25">
      <c r="A286" s="27"/>
      <c r="B286" s="29"/>
      <c r="C286" s="33"/>
      <c r="D286" s="29"/>
      <c r="E286" s="30"/>
      <c r="F286" s="34"/>
      <c r="G286" s="35">
        <f t="shared" si="0"/>
      </c>
      <c r="H286" s="36">
        <f t="shared" si="1"/>
      </c>
      <c r="I286" s="31">
        <f t="shared" si="2"/>
      </c>
      <c r="J286" s="28"/>
      <c r="K286" s="37"/>
      <c r="L286" s="31">
        <f t="shared" si="3"/>
      </c>
      <c r="M286" s="32">
        <f t="shared" si="4"/>
      </c>
    </row>
    <row r="287" spans="1:13" x14ac:dyDescent="0.25">
      <c r="A287" s="27"/>
      <c r="B287" s="29"/>
      <c r="C287" s="33"/>
      <c r="D287" s="29"/>
      <c r="E287" s="30"/>
      <c r="F287" s="34"/>
      <c r="G287" s="35">
        <f t="shared" si="0"/>
      </c>
      <c r="H287" s="36">
        <f t="shared" si="1"/>
      </c>
      <c r="I287" s="31">
        <f t="shared" si="2"/>
      </c>
      <c r="J287" s="28"/>
      <c r="K287" s="37"/>
      <c r="L287" s="31">
        <f t="shared" si="3"/>
      </c>
      <c r="M287" s="32">
        <f t="shared" si="4"/>
      </c>
    </row>
    <row r="288" spans="1:13" x14ac:dyDescent="0.25">
      <c r="A288" s="27"/>
      <c r="B288" s="29"/>
      <c r="C288" s="33"/>
      <c r="D288" s="29"/>
      <c r="E288" s="30"/>
      <c r="F288" s="34"/>
      <c r="G288" s="35">
        <f t="shared" si="0"/>
      </c>
      <c r="H288" s="36">
        <f t="shared" si="1"/>
      </c>
      <c r="I288" s="31">
        <f t="shared" si="2"/>
      </c>
      <c r="J288" s="28"/>
      <c r="K288" s="37"/>
      <c r="L288" s="31">
        <f t="shared" si="3"/>
      </c>
      <c r="M288" s="32">
        <f t="shared" si="4"/>
      </c>
    </row>
    <row r="289" spans="1:13" x14ac:dyDescent="0.25">
      <c r="A289" s="27"/>
      <c r="B289" s="29"/>
      <c r="C289" s="33"/>
      <c r="D289" s="29"/>
      <c r="E289" s="30"/>
      <c r="F289" s="34"/>
      <c r="G289" s="35">
        <f t="shared" si="0"/>
      </c>
      <c r="H289" s="36">
        <f t="shared" si="1"/>
      </c>
      <c r="I289" s="31">
        <f t="shared" si="2"/>
      </c>
      <c r="J289" s="28"/>
      <c r="K289" s="37"/>
      <c r="L289" s="31">
        <f t="shared" si="3"/>
      </c>
      <c r="M289" s="32">
        <f t="shared" si="4"/>
      </c>
    </row>
    <row r="290" spans="1:13" x14ac:dyDescent="0.25">
      <c r="A290" s="27"/>
      <c r="B290" s="29"/>
      <c r="C290" s="33"/>
      <c r="D290" s="29"/>
      <c r="E290" s="30"/>
      <c r="F290" s="34"/>
      <c r="G290" s="35">
        <f t="shared" si="0"/>
      </c>
      <c r="H290" s="36">
        <f t="shared" si="1"/>
      </c>
      <c r="I290" s="31">
        <f t="shared" si="2"/>
      </c>
      <c r="J290" s="28"/>
      <c r="K290" s="37"/>
      <c r="L290" s="31">
        <f t="shared" si="3"/>
      </c>
      <c r="M290" s="32">
        <f t="shared" si="4"/>
      </c>
    </row>
    <row r="291" spans="1:13" x14ac:dyDescent="0.25">
      <c r="A291" s="27"/>
      <c r="B291" s="29"/>
      <c r="C291" s="33"/>
      <c r="D291" s="29"/>
      <c r="E291" s="30"/>
      <c r="F291" s="34"/>
      <c r="G291" s="35">
        <f t="shared" si="0"/>
      </c>
      <c r="H291" s="36">
        <f t="shared" si="1"/>
      </c>
      <c r="I291" s="31">
        <f t="shared" si="2"/>
      </c>
      <c r="J291" s="28"/>
      <c r="K291" s="37"/>
      <c r="L291" s="31">
        <f t="shared" si="3"/>
      </c>
      <c r="M291" s="32">
        <f t="shared" si="4"/>
      </c>
    </row>
    <row r="292" spans="1:13" x14ac:dyDescent="0.25">
      <c r="A292" s="27"/>
      <c r="B292" s="29"/>
      <c r="C292" s="33"/>
      <c r="D292" s="29"/>
      <c r="E292" s="30"/>
      <c r="F292" s="34"/>
      <c r="G292" s="35">
        <f t="shared" si="0"/>
      </c>
      <c r="H292" s="36">
        <f t="shared" si="1"/>
      </c>
      <c r="I292" s="31">
        <f t="shared" si="2"/>
      </c>
      <c r="J292" s="28"/>
      <c r="K292" s="37"/>
      <c r="L292" s="31">
        <f t="shared" si="3"/>
      </c>
      <c r="M292" s="32">
        <f t="shared" si="4"/>
      </c>
    </row>
    <row r="293" spans="1:13" x14ac:dyDescent="0.25">
      <c r="A293" s="27"/>
      <c r="B293" s="29"/>
      <c r="C293" s="33"/>
      <c r="D293" s="29"/>
      <c r="E293" s="30"/>
      <c r="F293" s="34"/>
      <c r="G293" s="35">
        <f t="shared" si="0"/>
      </c>
      <c r="H293" s="36">
        <f t="shared" si="1"/>
      </c>
      <c r="I293" s="31">
        <f t="shared" si="2"/>
      </c>
      <c r="J293" s="28"/>
      <c r="K293" s="37"/>
      <c r="L293" s="31">
        <f t="shared" si="3"/>
      </c>
      <c r="M293" s="32">
        <f t="shared" si="4"/>
      </c>
    </row>
    <row r="294" spans="1:13" x14ac:dyDescent="0.25">
      <c r="A294" s="27"/>
      <c r="B294" s="29"/>
      <c r="C294" s="33"/>
      <c r="D294" s="29"/>
      <c r="E294" s="30"/>
      <c r="F294" s="34"/>
      <c r="G294" s="35">
        <f t="shared" si="0"/>
      </c>
      <c r="H294" s="36">
        <f t="shared" si="1"/>
      </c>
      <c r="I294" s="31">
        <f t="shared" si="2"/>
      </c>
      <c r="J294" s="28"/>
      <c r="K294" s="37"/>
      <c r="L294" s="31">
        <f t="shared" si="3"/>
      </c>
      <c r="M294" s="32">
        <f t="shared" si="4"/>
      </c>
    </row>
    <row r="295" spans="1:13" x14ac:dyDescent="0.25">
      <c r="A295" s="27"/>
      <c r="B295" s="29"/>
      <c r="C295" s="33"/>
      <c r="D295" s="29"/>
      <c r="E295" s="30"/>
      <c r="F295" s="34"/>
      <c r="G295" s="35">
        <f t="shared" si="0"/>
      </c>
      <c r="H295" s="36">
        <f t="shared" si="1"/>
      </c>
      <c r="I295" s="31">
        <f t="shared" si="2"/>
      </c>
      <c r="J295" s="28"/>
      <c r="K295" s="37"/>
      <c r="L295" s="31">
        <f t="shared" si="3"/>
      </c>
      <c r="M295" s="32">
        <f t="shared" si="4"/>
      </c>
    </row>
    <row r="296" spans="1:13" x14ac:dyDescent="0.25">
      <c r="A296" s="27"/>
      <c r="B296" s="29"/>
      <c r="C296" s="33"/>
      <c r="D296" s="29"/>
      <c r="E296" s="30"/>
      <c r="F296" s="34"/>
      <c r="G296" s="35">
        <f t="shared" si="0"/>
      </c>
      <c r="H296" s="36">
        <f t="shared" si="1"/>
      </c>
      <c r="I296" s="31">
        <f t="shared" si="2"/>
      </c>
      <c r="J296" s="28"/>
      <c r="K296" s="37"/>
      <c r="L296" s="31">
        <f t="shared" si="3"/>
      </c>
      <c r="M296" s="32">
        <f t="shared" si="4"/>
      </c>
    </row>
    <row r="297" spans="1:13" x14ac:dyDescent="0.25">
      <c r="A297" s="27"/>
      <c r="B297" s="29"/>
      <c r="C297" s="33"/>
      <c r="D297" s="29"/>
      <c r="E297" s="30"/>
      <c r="F297" s="34"/>
      <c r="G297" s="35">
        <f t="shared" si="0"/>
      </c>
      <c r="H297" s="36">
        <f t="shared" si="1"/>
      </c>
      <c r="I297" s="31">
        <f t="shared" si="2"/>
      </c>
      <c r="J297" s="28"/>
      <c r="K297" s="37"/>
      <c r="L297" s="31">
        <f t="shared" si="3"/>
      </c>
      <c r="M297" s="32">
        <f t="shared" si="4"/>
      </c>
    </row>
    <row r="298" spans="1:13" x14ac:dyDescent="0.25">
      <c r="A298" s="27"/>
      <c r="B298" s="29"/>
      <c r="C298" s="33"/>
      <c r="D298" s="29"/>
      <c r="E298" s="30"/>
      <c r="F298" s="34"/>
      <c r="G298" s="35">
        <f t="shared" si="0"/>
      </c>
      <c r="H298" s="36">
        <f t="shared" si="1"/>
      </c>
      <c r="I298" s="31">
        <f t="shared" si="2"/>
      </c>
      <c r="J298" s="28"/>
      <c r="K298" s="37"/>
      <c r="L298" s="31">
        <f t="shared" si="3"/>
      </c>
      <c r="M298" s="32">
        <f t="shared" si="4"/>
      </c>
    </row>
    <row r="299" spans="1:13" x14ac:dyDescent="0.25">
      <c r="A299" s="27"/>
      <c r="B299" s="29"/>
      <c r="C299" s="33"/>
      <c r="D299" s="29"/>
      <c r="E299" s="30"/>
      <c r="F299" s="34"/>
      <c r="G299" s="35">
        <f t="shared" si="0"/>
      </c>
      <c r="H299" s="36">
        <f t="shared" si="1"/>
      </c>
      <c r="I299" s="31">
        <f t="shared" si="2"/>
      </c>
      <c r="J299" s="28"/>
      <c r="K299" s="37"/>
      <c r="L299" s="31">
        <f t="shared" si="3"/>
      </c>
      <c r="M299" s="32">
        <f t="shared" si="4"/>
      </c>
    </row>
    <row r="300" spans="1:13" x14ac:dyDescent="0.25">
      <c r="A300" s="27"/>
      <c r="B300" s="29"/>
      <c r="C300" s="33"/>
      <c r="D300" s="29"/>
      <c r="E300" s="30"/>
      <c r="F300" s="34"/>
      <c r="G300" s="35">
        <f t="shared" si="0"/>
      </c>
      <c r="H300" s="36">
        <f t="shared" si="1"/>
      </c>
      <c r="I300" s="31">
        <f t="shared" si="2"/>
      </c>
      <c r="J300" s="28"/>
      <c r="K300" s="37"/>
      <c r="L300" s="31">
        <f t="shared" si="3"/>
      </c>
      <c r="M300" s="32">
        <f t="shared" si="4"/>
      </c>
    </row>
    <row r="301" spans="1:13" x14ac:dyDescent="0.25">
      <c r="A301" s="27"/>
      <c r="B301" s="29"/>
      <c r="C301" s="33"/>
      <c r="D301" s="29"/>
      <c r="E301" s="30"/>
      <c r="F301" s="34"/>
      <c r="G301" s="35">
        <f t="shared" si="0"/>
      </c>
      <c r="H301" s="36">
        <f t="shared" si="1"/>
      </c>
      <c r="I301" s="31">
        <f t="shared" si="2"/>
      </c>
      <c r="J301" s="28"/>
      <c r="K301" s="37"/>
      <c r="L301" s="31">
        <f t="shared" si="3"/>
      </c>
      <c r="M301" s="32">
        <f t="shared" si="4"/>
      </c>
    </row>
    <row r="302" spans="1:13" x14ac:dyDescent="0.25">
      <c r="A302" s="27"/>
      <c r="B302" s="29"/>
      <c r="C302" s="33"/>
      <c r="D302" s="29"/>
      <c r="E302" s="30"/>
      <c r="F302" s="34"/>
      <c r="G302" s="35">
        <f t="shared" si="0"/>
      </c>
      <c r="H302" s="36">
        <f t="shared" si="1"/>
      </c>
      <c r="I302" s="31">
        <f t="shared" si="2"/>
      </c>
      <c r="J302" s="28"/>
      <c r="K302" s="37"/>
      <c r="L302" s="31">
        <f t="shared" si="3"/>
      </c>
      <c r="M302" s="32">
        <f t="shared" si="4"/>
      </c>
    </row>
    <row r="303" spans="1:13" x14ac:dyDescent="0.25">
      <c r="A303" s="27"/>
      <c r="B303" s="29"/>
      <c r="C303" s="33"/>
      <c r="D303" s="29"/>
      <c r="E303" s="30"/>
      <c r="F303" s="34"/>
      <c r="G303" s="35">
        <f t="shared" si="0"/>
      </c>
      <c r="H303" s="36">
        <f t="shared" si="1"/>
      </c>
      <c r="I303" s="31">
        <f t="shared" si="2"/>
      </c>
      <c r="J303" s="28"/>
      <c r="K303" s="37"/>
      <c r="L303" s="31">
        <f t="shared" si="3"/>
      </c>
      <c r="M303" s="32">
        <f t="shared" si="4"/>
      </c>
    </row>
  </sheetData>
  <sheetProtection sheet="1" formatColumns="0" formatRows="0" autoFilter="0"/>
  <autoFilter ref="A3:M303"/>
  <mergeCells count="2">
    <mergeCell ref="A1:B2"/>
    <mergeCell ref="C1:L2"/>
  </mergeCells>
  <conditionalFormatting sqref="H4:H303">
    <cfRule type="expression" dxfId="14" priority="10">
      <formula>AND(ISNUMBER(H4),H4&lt;0)</formula>
    </cfRule>
  </conditionalFormatting>
  <conditionalFormatting sqref="I4:I303">
    <cfRule type="expression" dxfId="15" priority="10">
      <formula>I4="Vencido"</formula>
    </cfRule>
    <cfRule type="expression" dxfId="16" priority="11">
      <formula>I4="Programar"</formula>
    </cfRule>
    <cfRule type="expression" dxfId="17" priority="12">
      <formula>I4="Em dia"</formula>
    </cfRule>
    <cfRule type="expression" dxfId="18" priority="13">
      <formula>I4="Sem data"</formula>
    </cfRule>
  </conditionalFormatting>
  <conditionalFormatting sqref="M4:M303">
    <cfRule type="expression" dxfId="19" priority="1">
      <formula>OR(LEFT(M4,4)="ERRO",LEFT(M4,7)="ATENÇÃO")</formula>
    </cfRule>
    <cfRule type="expression" dxfId="20" priority="2">
      <formula>OR(LEFT(M4,8)="Pendente",LEFT(M4,9)="Verificar",LEFT(M4,9)="Duplicada",LEFT(M4,7)="Tarefa ",LEFT(M4,13)="Fora do plano",LEFT(M4,8)="Previsão",LEFT(M4,11)="Sem vínculo",LEFT(M4,14)="Não verificado",LEFT(M4,7)="Informe",LEFT(M4,9)="A definir")</formula>
    </cfRule>
    <cfRule type="expression" dxfId="21" priority="3">
      <formula>OR(M4="OK",LEFT(M4,4)="Nada",LEFT(M4,3)="OK:")</formula>
    </cfRule>
  </conditionalFormatting>
  <dataValidations count="5">
    <dataValidation type="list" allowBlank="1" showErrorMessage="1" errorStyle="stop" errorTitle="Valor fora da lista" error="Escolha um ativo cadastrado na aba Ativos." sqref="B4:B303">
      <formula1>OFFSET(at_codigo,0,0,MAX(1,COUNTA(at_codigo)),1)</formula1>
    </dataValidation>
    <dataValidation type="list" allowBlank="1" showErrorMessage="1" errorStyle="stop" errorTitle="Valor fora da lista" error="Escolha um item da lista suspensa (aba Listas)." sqref="D4:D303">
      <formula1>OFFSET(lst_tipo_plano,0,0,MAX(1,COUNTA(lst_tipo_plano)),1)</formula1>
    </dataValidation>
    <dataValidation type="whole" allowBlank="1" showErrorMessage="1" errorStyle="stop" errorTitle="Valor inválido" error="Informe a periodicidade em dias (1 a 3650)." sqref="E4:E303">
      <formula1>1</formula1>
      <formula2>3650</formula2>
    </dataValidation>
    <dataValidation type="date" allowBlank="1" showErrorMessage="1" errorStyle="stop" errorTitle="Data inválida" error="Digite uma data válida no formato dd/mm/aaaa." sqref="F4:F3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K4:K3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5"/>
  <sheetViews>
    <sheetView workbookViewId="0" showGridLines="0" zoomScale="100" zoomScaleNormal="100">
      <pane xSplit="5" ySplit="5" topLeftCell="F6" activePane="bottomRight" state="frozen"/>
      <selection pane="bottomRight" activeCell="F6" sqref="F6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6" customWidth="1"/>
    <col min="4" max="4" width="11" customWidth="1"/>
    <col min="6" max="17" width="6.5" customWidth="1"/>
  </cols>
  <sheetData>
    <row r="1" ht="36" customHeight="1" spans="1:18" x14ac:dyDescent="0.25">
      <c r="A1" s="1"/>
      <c r="B1" s="1"/>
      <c r="C1" s="2" t="s">
        <v>100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8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f>"Elaborado: "&amp;IF(cfg_elaborado="","A definir",cfg_elaborado)&amp;CHAR(10)&amp;"Aprovado: "&amp;IF(cfg_aprovado="","A definir",cfg_aprovado)</f>
      </c>
    </row>
    <row r="3" ht="24" customHeight="1" spans="1:18" x14ac:dyDescent="0.25">
      <c r="A3" s="8" t="s">
        <v>89</v>
      </c>
      <c r="B3" s="8" t="s">
        <v>90</v>
      </c>
      <c r="C3" s="8" t="s">
        <v>101</v>
      </c>
      <c r="D3" s="8" t="s">
        <v>93</v>
      </c>
      <c r="E3" s="8" t="s">
        <v>98</v>
      </c>
      <c r="F3" s="8" t="s">
        <v>62</v>
      </c>
      <c r="G3" s="8" t="s">
        <v>65</v>
      </c>
      <c r="H3" s="8" t="s">
        <v>68</v>
      </c>
      <c r="I3" s="8" t="s">
        <v>71</v>
      </c>
      <c r="J3" s="8" t="s">
        <v>72</v>
      </c>
      <c r="K3" s="8" t="s">
        <v>73</v>
      </c>
      <c r="L3" s="8" t="s">
        <v>74</v>
      </c>
      <c r="M3" s="8" t="s">
        <v>75</v>
      </c>
      <c r="N3" s="8" t="s">
        <v>76</v>
      </c>
      <c r="O3" s="8" t="s">
        <v>77</v>
      </c>
      <c r="P3" s="8" t="s">
        <v>78</v>
      </c>
      <c r="Q3" s="8" t="s">
        <v>79</v>
      </c>
      <c r="R3" s="8" t="s">
        <v>102</v>
      </c>
    </row>
    <row r="4" spans="1:18" x14ac:dyDescent="0.25">
      <c r="A4" s="38">
        <f>"Execuções no mês · ano "&amp;crono_ano_ref</f>
      </c>
      <c r="B4" s="38"/>
      <c r="C4" s="38"/>
      <c r="D4" s="38"/>
      <c r="E4" s="38"/>
      <c r="F4" s="39">
        <f>SUM(F6:F305)</f>
      </c>
      <c r="G4" s="39">
        <f>SUM(G6:G305)</f>
      </c>
      <c r="H4" s="39">
        <f>SUM(H6:H305)</f>
      </c>
      <c r="I4" s="39">
        <f>SUM(I6:I305)</f>
      </c>
      <c r="J4" s="39">
        <f>SUM(J6:J305)</f>
      </c>
      <c r="K4" s="39">
        <f>SUM(K6:K305)</f>
      </c>
      <c r="L4" s="39">
        <f>SUM(L6:L305)</f>
      </c>
      <c r="M4" s="39">
        <f>SUM(M6:M305)</f>
      </c>
      <c r="N4" s="39">
        <f>SUM(N6:N305)</f>
      </c>
      <c r="O4" s="39">
        <f>SUM(O6:O305)</f>
      </c>
      <c r="P4" s="39">
        <f>SUM(P6:P305)</f>
      </c>
      <c r="Q4" s="39">
        <f>SUM(Q6:Q305)</f>
      </c>
      <c r="R4" s="39">
        <f>SUM(F4:Q4)</f>
      </c>
    </row>
    <row r="5" spans="1:18" x14ac:dyDescent="0.25">
      <c r="A5" s="38" t="s">
        <v>103</v>
      </c>
      <c r="B5" s="38"/>
      <c r="C5" s="38"/>
      <c r="D5" s="38"/>
      <c r="E5" s="38"/>
      <c r="F5" s="40">
        <f>SUMPRODUCT(F6:F305,$E$6:$E$305)</f>
      </c>
      <c r="G5" s="40">
        <f>SUMPRODUCT(G6:G305,$E$6:$E$305)</f>
      </c>
      <c r="H5" s="40">
        <f>SUMPRODUCT(H6:H305,$E$6:$E$305)</f>
      </c>
      <c r="I5" s="40">
        <f>SUMPRODUCT(I6:I305,$E$6:$E$305)</f>
      </c>
      <c r="J5" s="40">
        <f>SUMPRODUCT(J6:J305,$E$6:$E$305)</f>
      </c>
      <c r="K5" s="40">
        <f>SUMPRODUCT(K6:K305,$E$6:$E$305)</f>
      </c>
      <c r="L5" s="40">
        <f>SUMPRODUCT(L6:L305,$E$6:$E$305)</f>
      </c>
      <c r="M5" s="40">
        <f>SUMPRODUCT(M6:M305,$E$6:$E$305)</f>
      </c>
      <c r="N5" s="40">
        <f>SUMPRODUCT(N6:N305,$E$6:$E$305)</f>
      </c>
      <c r="O5" s="40">
        <f>SUMPRODUCT(O6:O305,$E$6:$E$305)</f>
      </c>
      <c r="P5" s="40">
        <f>SUMPRODUCT(P6:P305,$E$6:$E$305)</f>
      </c>
      <c r="Q5" s="40">
        <f>SUMPRODUCT(Q6:Q305,$E$6:$E$305)</f>
      </c>
      <c r="R5" s="40">
        <f>SUM(F5:Q5)</f>
      </c>
    </row>
    <row r="6" spans="1:18" x14ac:dyDescent="0.25">
      <c r="A6" s="24">
        <f>IF(Planos!$A4="","",Planos!A4&amp;"")</f>
      </c>
      <c r="B6" s="41">
        <f>IF(Planos!$A4="","",Planos!B4&amp;"")</f>
      </c>
      <c r="C6" s="24">
        <f>IF(Planos!$A4="","",Planos!C4&amp;"")</f>
      </c>
      <c r="D6" s="42">
        <f>IF(Planos!$A4="","",N(Planos!E4))</f>
      </c>
      <c r="E6" s="43">
        <f>IF(Planos!$A4="","",N(Planos!K4))</f>
      </c>
      <c r="F6" s="44">
        <f>IF(OR(Planos!$A4="",NOT(ISNUMBER(Planos!$G4)),N(Planos!$E4)&lt;=0),0,IF(Planos!$G4&gt;EOMONTH(DATE(crono_ano_ref,1,1),0),0,MAX(0,INT((EOMONTH(DATE(crono_ano_ref,1,1),0)-IF(Planos!$G4&gt;=DATE(crono_ano_ref,1,1),Planos!$G4,Planos!$G4+CEILING((DATE(crono_ano_ref,1,1)-Planos!$G4)/Planos!$E4,1)*Planos!$E4))/Planos!$E4)+1)))</f>
      </c>
      <c r="G6" s="44">
        <f>IF(OR(Planos!$A4="",NOT(ISNUMBER(Planos!$G4)),N(Planos!$E4)&lt;=0),0,IF(Planos!$G4&gt;EOMONTH(DATE(crono_ano_ref,2,1),0),0,MAX(0,INT((EOMONTH(DATE(crono_ano_ref,2,1),0)-IF(Planos!$G4&gt;=DATE(crono_ano_ref,2,1),Planos!$G4,Planos!$G4+CEILING((DATE(crono_ano_ref,2,1)-Planos!$G4)/Planos!$E4,1)*Planos!$E4))/Planos!$E4)+1)))</f>
      </c>
      <c r="H6" s="44">
        <f>IF(OR(Planos!$A4="",NOT(ISNUMBER(Planos!$G4)),N(Planos!$E4)&lt;=0),0,IF(Planos!$G4&gt;EOMONTH(DATE(crono_ano_ref,3,1),0),0,MAX(0,INT((EOMONTH(DATE(crono_ano_ref,3,1),0)-IF(Planos!$G4&gt;=DATE(crono_ano_ref,3,1),Planos!$G4,Planos!$G4+CEILING((DATE(crono_ano_ref,3,1)-Planos!$G4)/Planos!$E4,1)*Planos!$E4))/Planos!$E4)+1)))</f>
      </c>
      <c r="I6" s="44">
        <f>IF(OR(Planos!$A4="",NOT(ISNUMBER(Planos!$G4)),N(Planos!$E4)&lt;=0),0,IF(Planos!$G4&gt;EOMONTH(DATE(crono_ano_ref,4,1),0),0,MAX(0,INT((EOMONTH(DATE(crono_ano_ref,4,1),0)-IF(Planos!$G4&gt;=DATE(crono_ano_ref,4,1),Planos!$G4,Planos!$G4+CEILING((DATE(crono_ano_ref,4,1)-Planos!$G4)/Planos!$E4,1)*Planos!$E4))/Planos!$E4)+1)))</f>
      </c>
      <c r="J6" s="44">
        <f>IF(OR(Planos!$A4="",NOT(ISNUMBER(Planos!$G4)),N(Planos!$E4)&lt;=0),0,IF(Planos!$G4&gt;EOMONTH(DATE(crono_ano_ref,5,1),0),0,MAX(0,INT((EOMONTH(DATE(crono_ano_ref,5,1),0)-IF(Planos!$G4&gt;=DATE(crono_ano_ref,5,1),Planos!$G4,Planos!$G4+CEILING((DATE(crono_ano_ref,5,1)-Planos!$G4)/Planos!$E4,1)*Planos!$E4))/Planos!$E4)+1)))</f>
      </c>
      <c r="K6" s="44">
        <f>IF(OR(Planos!$A4="",NOT(ISNUMBER(Planos!$G4)),N(Planos!$E4)&lt;=0),0,IF(Planos!$G4&gt;EOMONTH(DATE(crono_ano_ref,6,1),0),0,MAX(0,INT((EOMONTH(DATE(crono_ano_ref,6,1),0)-IF(Planos!$G4&gt;=DATE(crono_ano_ref,6,1),Planos!$G4,Planos!$G4+CEILING((DATE(crono_ano_ref,6,1)-Planos!$G4)/Planos!$E4,1)*Planos!$E4))/Planos!$E4)+1)))</f>
      </c>
      <c r="L6" s="44">
        <f>IF(OR(Planos!$A4="",NOT(ISNUMBER(Planos!$G4)),N(Planos!$E4)&lt;=0),0,IF(Planos!$G4&gt;EOMONTH(DATE(crono_ano_ref,7,1),0),0,MAX(0,INT((EOMONTH(DATE(crono_ano_ref,7,1),0)-IF(Planos!$G4&gt;=DATE(crono_ano_ref,7,1),Planos!$G4,Planos!$G4+CEILING((DATE(crono_ano_ref,7,1)-Planos!$G4)/Planos!$E4,1)*Planos!$E4))/Planos!$E4)+1)))</f>
      </c>
      <c r="M6" s="44">
        <f>IF(OR(Planos!$A4="",NOT(ISNUMBER(Planos!$G4)),N(Planos!$E4)&lt;=0),0,IF(Planos!$G4&gt;EOMONTH(DATE(crono_ano_ref,8,1),0),0,MAX(0,INT((EOMONTH(DATE(crono_ano_ref,8,1),0)-IF(Planos!$G4&gt;=DATE(crono_ano_ref,8,1),Planos!$G4,Planos!$G4+CEILING((DATE(crono_ano_ref,8,1)-Planos!$G4)/Planos!$E4,1)*Planos!$E4))/Planos!$E4)+1)))</f>
      </c>
      <c r="N6" s="44">
        <f>IF(OR(Planos!$A4="",NOT(ISNUMBER(Planos!$G4)),N(Planos!$E4)&lt;=0),0,IF(Planos!$G4&gt;EOMONTH(DATE(crono_ano_ref,9,1),0),0,MAX(0,INT((EOMONTH(DATE(crono_ano_ref,9,1),0)-IF(Planos!$G4&gt;=DATE(crono_ano_ref,9,1),Planos!$G4,Planos!$G4+CEILING((DATE(crono_ano_ref,9,1)-Planos!$G4)/Planos!$E4,1)*Planos!$E4))/Planos!$E4)+1)))</f>
      </c>
      <c r="O6" s="44">
        <f>IF(OR(Planos!$A4="",NOT(ISNUMBER(Planos!$G4)),N(Planos!$E4)&lt;=0),0,IF(Planos!$G4&gt;EOMONTH(DATE(crono_ano_ref,10,1),0),0,MAX(0,INT((EOMONTH(DATE(crono_ano_ref,10,1),0)-IF(Planos!$G4&gt;=DATE(crono_ano_ref,10,1),Planos!$G4,Planos!$G4+CEILING((DATE(crono_ano_ref,10,1)-Planos!$G4)/Planos!$E4,1)*Planos!$E4))/Planos!$E4)+1)))</f>
      </c>
      <c r="P6" s="44">
        <f>IF(OR(Planos!$A4="",NOT(ISNUMBER(Planos!$G4)),N(Planos!$E4)&lt;=0),0,IF(Planos!$G4&gt;EOMONTH(DATE(crono_ano_ref,11,1),0),0,MAX(0,INT((EOMONTH(DATE(crono_ano_ref,11,1),0)-IF(Planos!$G4&gt;=DATE(crono_ano_ref,11,1),Planos!$G4,Planos!$G4+CEILING((DATE(crono_ano_ref,11,1)-Planos!$G4)/Planos!$E4,1)*Planos!$E4))/Planos!$E4)+1)))</f>
      </c>
      <c r="Q6" s="44">
        <f>IF(OR(Planos!$A4="",NOT(ISNUMBER(Planos!$G4)),N(Planos!$E4)&lt;=0),0,IF(Planos!$G4&gt;EOMONTH(DATE(crono_ano_ref,12,1),0),0,MAX(0,INT((EOMONTH(DATE(crono_ano_ref,12,1),0)-IF(Planos!$G4&gt;=DATE(crono_ano_ref,12,1),Planos!$G4,Planos!$G4+CEILING((DATE(crono_ano_ref,12,1)-Planos!$G4)/Planos!$E4,1)*Planos!$E4))/Planos!$E4)+1)))</f>
      </c>
      <c r="R6" s="44">
        <f>SUM(F6:Q6)</f>
      </c>
    </row>
    <row r="7" spans="1:18" x14ac:dyDescent="0.25">
      <c r="A7" s="24">
        <f>IF(Planos!$A5="","",Planos!A5&amp;"")</f>
      </c>
      <c r="B7" s="41">
        <f>IF(Planos!$A5="","",Planos!B5&amp;"")</f>
      </c>
      <c r="C7" s="24">
        <f>IF(Planos!$A5="","",Planos!C5&amp;"")</f>
      </c>
      <c r="D7" s="42">
        <f>IF(Planos!$A5="","",N(Planos!E5))</f>
      </c>
      <c r="E7" s="43">
        <f>IF(Planos!$A5="","",N(Planos!K5))</f>
      </c>
      <c r="F7" s="44">
        <f>IF(OR(Planos!$A5="",NOT(ISNUMBER(Planos!$G5)),N(Planos!$E5)&lt;=0),0,IF(Planos!$G5&gt;EOMONTH(DATE(crono_ano_ref,1,1),0),0,MAX(0,INT((EOMONTH(DATE(crono_ano_ref,1,1),0)-IF(Planos!$G5&gt;=DATE(crono_ano_ref,1,1),Planos!$G5,Planos!$G5+CEILING((DATE(crono_ano_ref,1,1)-Planos!$G5)/Planos!$E5,1)*Planos!$E5))/Planos!$E5)+1)))</f>
      </c>
      <c r="G7" s="44">
        <f>IF(OR(Planos!$A5="",NOT(ISNUMBER(Planos!$G5)),N(Planos!$E5)&lt;=0),0,IF(Planos!$G5&gt;EOMONTH(DATE(crono_ano_ref,2,1),0),0,MAX(0,INT((EOMONTH(DATE(crono_ano_ref,2,1),0)-IF(Planos!$G5&gt;=DATE(crono_ano_ref,2,1),Planos!$G5,Planos!$G5+CEILING((DATE(crono_ano_ref,2,1)-Planos!$G5)/Planos!$E5,1)*Planos!$E5))/Planos!$E5)+1)))</f>
      </c>
      <c r="H7" s="44">
        <f>IF(OR(Planos!$A5="",NOT(ISNUMBER(Planos!$G5)),N(Planos!$E5)&lt;=0),0,IF(Planos!$G5&gt;EOMONTH(DATE(crono_ano_ref,3,1),0),0,MAX(0,INT((EOMONTH(DATE(crono_ano_ref,3,1),0)-IF(Planos!$G5&gt;=DATE(crono_ano_ref,3,1),Planos!$G5,Planos!$G5+CEILING((DATE(crono_ano_ref,3,1)-Planos!$G5)/Planos!$E5,1)*Planos!$E5))/Planos!$E5)+1)))</f>
      </c>
      <c r="I7" s="44">
        <f>IF(OR(Planos!$A5="",NOT(ISNUMBER(Planos!$G5)),N(Planos!$E5)&lt;=0),0,IF(Planos!$G5&gt;EOMONTH(DATE(crono_ano_ref,4,1),0),0,MAX(0,INT((EOMONTH(DATE(crono_ano_ref,4,1),0)-IF(Planos!$G5&gt;=DATE(crono_ano_ref,4,1),Planos!$G5,Planos!$G5+CEILING((DATE(crono_ano_ref,4,1)-Planos!$G5)/Planos!$E5,1)*Planos!$E5))/Planos!$E5)+1)))</f>
      </c>
      <c r="J7" s="44">
        <f>IF(OR(Planos!$A5="",NOT(ISNUMBER(Planos!$G5)),N(Planos!$E5)&lt;=0),0,IF(Planos!$G5&gt;EOMONTH(DATE(crono_ano_ref,5,1),0),0,MAX(0,INT((EOMONTH(DATE(crono_ano_ref,5,1),0)-IF(Planos!$G5&gt;=DATE(crono_ano_ref,5,1),Planos!$G5,Planos!$G5+CEILING((DATE(crono_ano_ref,5,1)-Planos!$G5)/Planos!$E5,1)*Planos!$E5))/Planos!$E5)+1)))</f>
      </c>
      <c r="K7" s="44">
        <f>IF(OR(Planos!$A5="",NOT(ISNUMBER(Planos!$G5)),N(Planos!$E5)&lt;=0),0,IF(Planos!$G5&gt;EOMONTH(DATE(crono_ano_ref,6,1),0),0,MAX(0,INT((EOMONTH(DATE(crono_ano_ref,6,1),0)-IF(Planos!$G5&gt;=DATE(crono_ano_ref,6,1),Planos!$G5,Planos!$G5+CEILING((DATE(crono_ano_ref,6,1)-Planos!$G5)/Planos!$E5,1)*Planos!$E5))/Planos!$E5)+1)))</f>
      </c>
      <c r="L7" s="44">
        <f>IF(OR(Planos!$A5="",NOT(ISNUMBER(Planos!$G5)),N(Planos!$E5)&lt;=0),0,IF(Planos!$G5&gt;EOMONTH(DATE(crono_ano_ref,7,1),0),0,MAX(0,INT((EOMONTH(DATE(crono_ano_ref,7,1),0)-IF(Planos!$G5&gt;=DATE(crono_ano_ref,7,1),Planos!$G5,Planos!$G5+CEILING((DATE(crono_ano_ref,7,1)-Planos!$G5)/Planos!$E5,1)*Planos!$E5))/Planos!$E5)+1)))</f>
      </c>
      <c r="M7" s="44">
        <f>IF(OR(Planos!$A5="",NOT(ISNUMBER(Planos!$G5)),N(Planos!$E5)&lt;=0),0,IF(Planos!$G5&gt;EOMONTH(DATE(crono_ano_ref,8,1),0),0,MAX(0,INT((EOMONTH(DATE(crono_ano_ref,8,1),0)-IF(Planos!$G5&gt;=DATE(crono_ano_ref,8,1),Planos!$G5,Planos!$G5+CEILING((DATE(crono_ano_ref,8,1)-Planos!$G5)/Planos!$E5,1)*Planos!$E5))/Planos!$E5)+1)))</f>
      </c>
      <c r="N7" s="44">
        <f>IF(OR(Planos!$A5="",NOT(ISNUMBER(Planos!$G5)),N(Planos!$E5)&lt;=0),0,IF(Planos!$G5&gt;EOMONTH(DATE(crono_ano_ref,9,1),0),0,MAX(0,INT((EOMONTH(DATE(crono_ano_ref,9,1),0)-IF(Planos!$G5&gt;=DATE(crono_ano_ref,9,1),Planos!$G5,Planos!$G5+CEILING((DATE(crono_ano_ref,9,1)-Planos!$G5)/Planos!$E5,1)*Planos!$E5))/Planos!$E5)+1)))</f>
      </c>
      <c r="O7" s="44">
        <f>IF(OR(Planos!$A5="",NOT(ISNUMBER(Planos!$G5)),N(Planos!$E5)&lt;=0),0,IF(Planos!$G5&gt;EOMONTH(DATE(crono_ano_ref,10,1),0),0,MAX(0,INT((EOMONTH(DATE(crono_ano_ref,10,1),0)-IF(Planos!$G5&gt;=DATE(crono_ano_ref,10,1),Planos!$G5,Planos!$G5+CEILING((DATE(crono_ano_ref,10,1)-Planos!$G5)/Planos!$E5,1)*Planos!$E5))/Planos!$E5)+1)))</f>
      </c>
      <c r="P7" s="44">
        <f>IF(OR(Planos!$A5="",NOT(ISNUMBER(Planos!$G5)),N(Planos!$E5)&lt;=0),0,IF(Planos!$G5&gt;EOMONTH(DATE(crono_ano_ref,11,1),0),0,MAX(0,INT((EOMONTH(DATE(crono_ano_ref,11,1),0)-IF(Planos!$G5&gt;=DATE(crono_ano_ref,11,1),Planos!$G5,Planos!$G5+CEILING((DATE(crono_ano_ref,11,1)-Planos!$G5)/Planos!$E5,1)*Planos!$E5))/Planos!$E5)+1)))</f>
      </c>
      <c r="Q7" s="44">
        <f>IF(OR(Planos!$A5="",NOT(ISNUMBER(Planos!$G5)),N(Planos!$E5)&lt;=0),0,IF(Planos!$G5&gt;EOMONTH(DATE(crono_ano_ref,12,1),0),0,MAX(0,INT((EOMONTH(DATE(crono_ano_ref,12,1),0)-IF(Planos!$G5&gt;=DATE(crono_ano_ref,12,1),Planos!$G5,Planos!$G5+CEILING((DATE(crono_ano_ref,12,1)-Planos!$G5)/Planos!$E5,1)*Planos!$E5))/Planos!$E5)+1)))</f>
      </c>
      <c r="R7" s="44">
        <f>SUM(F7:Q7)</f>
      </c>
    </row>
    <row r="8" spans="1:18" x14ac:dyDescent="0.25">
      <c r="A8" s="24">
        <f>IF(Planos!$A6="","",Planos!A6&amp;"")</f>
      </c>
      <c r="B8" s="41">
        <f>IF(Planos!$A6="","",Planos!B6&amp;"")</f>
      </c>
      <c r="C8" s="24">
        <f>IF(Planos!$A6="","",Planos!C6&amp;"")</f>
      </c>
      <c r="D8" s="42">
        <f>IF(Planos!$A6="","",N(Planos!E6))</f>
      </c>
      <c r="E8" s="43">
        <f>IF(Planos!$A6="","",N(Planos!K6))</f>
      </c>
      <c r="F8" s="44">
        <f>IF(OR(Planos!$A6="",NOT(ISNUMBER(Planos!$G6)),N(Planos!$E6)&lt;=0),0,IF(Planos!$G6&gt;EOMONTH(DATE(crono_ano_ref,1,1),0),0,MAX(0,INT((EOMONTH(DATE(crono_ano_ref,1,1),0)-IF(Planos!$G6&gt;=DATE(crono_ano_ref,1,1),Planos!$G6,Planos!$G6+CEILING((DATE(crono_ano_ref,1,1)-Planos!$G6)/Planos!$E6,1)*Planos!$E6))/Planos!$E6)+1)))</f>
      </c>
      <c r="G8" s="44">
        <f>IF(OR(Planos!$A6="",NOT(ISNUMBER(Planos!$G6)),N(Planos!$E6)&lt;=0),0,IF(Planos!$G6&gt;EOMONTH(DATE(crono_ano_ref,2,1),0),0,MAX(0,INT((EOMONTH(DATE(crono_ano_ref,2,1),0)-IF(Planos!$G6&gt;=DATE(crono_ano_ref,2,1),Planos!$G6,Planos!$G6+CEILING((DATE(crono_ano_ref,2,1)-Planos!$G6)/Planos!$E6,1)*Planos!$E6))/Planos!$E6)+1)))</f>
      </c>
      <c r="H8" s="44">
        <f>IF(OR(Planos!$A6="",NOT(ISNUMBER(Planos!$G6)),N(Planos!$E6)&lt;=0),0,IF(Planos!$G6&gt;EOMONTH(DATE(crono_ano_ref,3,1),0),0,MAX(0,INT((EOMONTH(DATE(crono_ano_ref,3,1),0)-IF(Planos!$G6&gt;=DATE(crono_ano_ref,3,1),Planos!$G6,Planos!$G6+CEILING((DATE(crono_ano_ref,3,1)-Planos!$G6)/Planos!$E6,1)*Planos!$E6))/Planos!$E6)+1)))</f>
      </c>
      <c r="I8" s="44">
        <f>IF(OR(Planos!$A6="",NOT(ISNUMBER(Planos!$G6)),N(Planos!$E6)&lt;=0),0,IF(Planos!$G6&gt;EOMONTH(DATE(crono_ano_ref,4,1),0),0,MAX(0,INT((EOMONTH(DATE(crono_ano_ref,4,1),0)-IF(Planos!$G6&gt;=DATE(crono_ano_ref,4,1),Planos!$G6,Planos!$G6+CEILING((DATE(crono_ano_ref,4,1)-Planos!$G6)/Planos!$E6,1)*Planos!$E6))/Planos!$E6)+1)))</f>
      </c>
      <c r="J8" s="44">
        <f>IF(OR(Planos!$A6="",NOT(ISNUMBER(Planos!$G6)),N(Planos!$E6)&lt;=0),0,IF(Planos!$G6&gt;EOMONTH(DATE(crono_ano_ref,5,1),0),0,MAX(0,INT((EOMONTH(DATE(crono_ano_ref,5,1),0)-IF(Planos!$G6&gt;=DATE(crono_ano_ref,5,1),Planos!$G6,Planos!$G6+CEILING((DATE(crono_ano_ref,5,1)-Planos!$G6)/Planos!$E6,1)*Planos!$E6))/Planos!$E6)+1)))</f>
      </c>
      <c r="K8" s="44">
        <f>IF(OR(Planos!$A6="",NOT(ISNUMBER(Planos!$G6)),N(Planos!$E6)&lt;=0),0,IF(Planos!$G6&gt;EOMONTH(DATE(crono_ano_ref,6,1),0),0,MAX(0,INT((EOMONTH(DATE(crono_ano_ref,6,1),0)-IF(Planos!$G6&gt;=DATE(crono_ano_ref,6,1),Planos!$G6,Planos!$G6+CEILING((DATE(crono_ano_ref,6,1)-Planos!$G6)/Planos!$E6,1)*Planos!$E6))/Planos!$E6)+1)))</f>
      </c>
      <c r="L8" s="44">
        <f>IF(OR(Planos!$A6="",NOT(ISNUMBER(Planos!$G6)),N(Planos!$E6)&lt;=0),0,IF(Planos!$G6&gt;EOMONTH(DATE(crono_ano_ref,7,1),0),0,MAX(0,INT((EOMONTH(DATE(crono_ano_ref,7,1),0)-IF(Planos!$G6&gt;=DATE(crono_ano_ref,7,1),Planos!$G6,Planos!$G6+CEILING((DATE(crono_ano_ref,7,1)-Planos!$G6)/Planos!$E6,1)*Planos!$E6))/Planos!$E6)+1)))</f>
      </c>
      <c r="M8" s="44">
        <f>IF(OR(Planos!$A6="",NOT(ISNUMBER(Planos!$G6)),N(Planos!$E6)&lt;=0),0,IF(Planos!$G6&gt;EOMONTH(DATE(crono_ano_ref,8,1),0),0,MAX(0,INT((EOMONTH(DATE(crono_ano_ref,8,1),0)-IF(Planos!$G6&gt;=DATE(crono_ano_ref,8,1),Planos!$G6,Planos!$G6+CEILING((DATE(crono_ano_ref,8,1)-Planos!$G6)/Planos!$E6,1)*Planos!$E6))/Planos!$E6)+1)))</f>
      </c>
      <c r="N8" s="44">
        <f>IF(OR(Planos!$A6="",NOT(ISNUMBER(Planos!$G6)),N(Planos!$E6)&lt;=0),0,IF(Planos!$G6&gt;EOMONTH(DATE(crono_ano_ref,9,1),0),0,MAX(0,INT((EOMONTH(DATE(crono_ano_ref,9,1),0)-IF(Planos!$G6&gt;=DATE(crono_ano_ref,9,1),Planos!$G6,Planos!$G6+CEILING((DATE(crono_ano_ref,9,1)-Planos!$G6)/Planos!$E6,1)*Planos!$E6))/Planos!$E6)+1)))</f>
      </c>
      <c r="O8" s="44">
        <f>IF(OR(Planos!$A6="",NOT(ISNUMBER(Planos!$G6)),N(Planos!$E6)&lt;=0),0,IF(Planos!$G6&gt;EOMONTH(DATE(crono_ano_ref,10,1),0),0,MAX(0,INT((EOMONTH(DATE(crono_ano_ref,10,1),0)-IF(Planos!$G6&gt;=DATE(crono_ano_ref,10,1),Planos!$G6,Planos!$G6+CEILING((DATE(crono_ano_ref,10,1)-Planos!$G6)/Planos!$E6,1)*Planos!$E6))/Planos!$E6)+1)))</f>
      </c>
      <c r="P8" s="44">
        <f>IF(OR(Planos!$A6="",NOT(ISNUMBER(Planos!$G6)),N(Planos!$E6)&lt;=0),0,IF(Planos!$G6&gt;EOMONTH(DATE(crono_ano_ref,11,1),0),0,MAX(0,INT((EOMONTH(DATE(crono_ano_ref,11,1),0)-IF(Planos!$G6&gt;=DATE(crono_ano_ref,11,1),Planos!$G6,Planos!$G6+CEILING((DATE(crono_ano_ref,11,1)-Planos!$G6)/Planos!$E6,1)*Planos!$E6))/Planos!$E6)+1)))</f>
      </c>
      <c r="Q8" s="44">
        <f>IF(OR(Planos!$A6="",NOT(ISNUMBER(Planos!$G6)),N(Planos!$E6)&lt;=0),0,IF(Planos!$G6&gt;EOMONTH(DATE(crono_ano_ref,12,1),0),0,MAX(0,INT((EOMONTH(DATE(crono_ano_ref,12,1),0)-IF(Planos!$G6&gt;=DATE(crono_ano_ref,12,1),Planos!$G6,Planos!$G6+CEILING((DATE(crono_ano_ref,12,1)-Planos!$G6)/Planos!$E6,1)*Planos!$E6))/Planos!$E6)+1)))</f>
      </c>
      <c r="R8" s="44">
        <f>SUM(F8:Q8)</f>
      </c>
    </row>
    <row r="9" spans="1:18" x14ac:dyDescent="0.25">
      <c r="A9" s="24">
        <f>IF(Planos!$A7="","",Planos!A7&amp;"")</f>
      </c>
      <c r="B9" s="41">
        <f>IF(Planos!$A7="","",Planos!B7&amp;"")</f>
      </c>
      <c r="C9" s="24">
        <f>IF(Planos!$A7="","",Planos!C7&amp;"")</f>
      </c>
      <c r="D9" s="42">
        <f>IF(Planos!$A7="","",N(Planos!E7))</f>
      </c>
      <c r="E9" s="43">
        <f>IF(Planos!$A7="","",N(Planos!K7))</f>
      </c>
      <c r="F9" s="44">
        <f>IF(OR(Planos!$A7="",NOT(ISNUMBER(Planos!$G7)),N(Planos!$E7)&lt;=0),0,IF(Planos!$G7&gt;EOMONTH(DATE(crono_ano_ref,1,1),0),0,MAX(0,INT((EOMONTH(DATE(crono_ano_ref,1,1),0)-IF(Planos!$G7&gt;=DATE(crono_ano_ref,1,1),Planos!$G7,Planos!$G7+CEILING((DATE(crono_ano_ref,1,1)-Planos!$G7)/Planos!$E7,1)*Planos!$E7))/Planos!$E7)+1)))</f>
      </c>
      <c r="G9" s="44">
        <f>IF(OR(Planos!$A7="",NOT(ISNUMBER(Planos!$G7)),N(Planos!$E7)&lt;=0),0,IF(Planos!$G7&gt;EOMONTH(DATE(crono_ano_ref,2,1),0),0,MAX(0,INT((EOMONTH(DATE(crono_ano_ref,2,1),0)-IF(Planos!$G7&gt;=DATE(crono_ano_ref,2,1),Planos!$G7,Planos!$G7+CEILING((DATE(crono_ano_ref,2,1)-Planos!$G7)/Planos!$E7,1)*Planos!$E7))/Planos!$E7)+1)))</f>
      </c>
      <c r="H9" s="44">
        <f>IF(OR(Planos!$A7="",NOT(ISNUMBER(Planos!$G7)),N(Planos!$E7)&lt;=0),0,IF(Planos!$G7&gt;EOMONTH(DATE(crono_ano_ref,3,1),0),0,MAX(0,INT((EOMONTH(DATE(crono_ano_ref,3,1),0)-IF(Planos!$G7&gt;=DATE(crono_ano_ref,3,1),Planos!$G7,Planos!$G7+CEILING((DATE(crono_ano_ref,3,1)-Planos!$G7)/Planos!$E7,1)*Planos!$E7))/Planos!$E7)+1)))</f>
      </c>
      <c r="I9" s="44">
        <f>IF(OR(Planos!$A7="",NOT(ISNUMBER(Planos!$G7)),N(Planos!$E7)&lt;=0),0,IF(Planos!$G7&gt;EOMONTH(DATE(crono_ano_ref,4,1),0),0,MAX(0,INT((EOMONTH(DATE(crono_ano_ref,4,1),0)-IF(Planos!$G7&gt;=DATE(crono_ano_ref,4,1),Planos!$G7,Planos!$G7+CEILING((DATE(crono_ano_ref,4,1)-Planos!$G7)/Planos!$E7,1)*Planos!$E7))/Planos!$E7)+1)))</f>
      </c>
      <c r="J9" s="44">
        <f>IF(OR(Planos!$A7="",NOT(ISNUMBER(Planos!$G7)),N(Planos!$E7)&lt;=0),0,IF(Planos!$G7&gt;EOMONTH(DATE(crono_ano_ref,5,1),0),0,MAX(0,INT((EOMONTH(DATE(crono_ano_ref,5,1),0)-IF(Planos!$G7&gt;=DATE(crono_ano_ref,5,1),Planos!$G7,Planos!$G7+CEILING((DATE(crono_ano_ref,5,1)-Planos!$G7)/Planos!$E7,1)*Planos!$E7))/Planos!$E7)+1)))</f>
      </c>
      <c r="K9" s="44">
        <f>IF(OR(Planos!$A7="",NOT(ISNUMBER(Planos!$G7)),N(Planos!$E7)&lt;=0),0,IF(Planos!$G7&gt;EOMONTH(DATE(crono_ano_ref,6,1),0),0,MAX(0,INT((EOMONTH(DATE(crono_ano_ref,6,1),0)-IF(Planos!$G7&gt;=DATE(crono_ano_ref,6,1),Planos!$G7,Planos!$G7+CEILING((DATE(crono_ano_ref,6,1)-Planos!$G7)/Planos!$E7,1)*Planos!$E7))/Planos!$E7)+1)))</f>
      </c>
      <c r="L9" s="44">
        <f>IF(OR(Planos!$A7="",NOT(ISNUMBER(Planos!$G7)),N(Planos!$E7)&lt;=0),0,IF(Planos!$G7&gt;EOMONTH(DATE(crono_ano_ref,7,1),0),0,MAX(0,INT((EOMONTH(DATE(crono_ano_ref,7,1),0)-IF(Planos!$G7&gt;=DATE(crono_ano_ref,7,1),Planos!$G7,Planos!$G7+CEILING((DATE(crono_ano_ref,7,1)-Planos!$G7)/Planos!$E7,1)*Planos!$E7))/Planos!$E7)+1)))</f>
      </c>
      <c r="M9" s="44">
        <f>IF(OR(Planos!$A7="",NOT(ISNUMBER(Planos!$G7)),N(Planos!$E7)&lt;=0),0,IF(Planos!$G7&gt;EOMONTH(DATE(crono_ano_ref,8,1),0),0,MAX(0,INT((EOMONTH(DATE(crono_ano_ref,8,1),0)-IF(Planos!$G7&gt;=DATE(crono_ano_ref,8,1),Planos!$G7,Planos!$G7+CEILING((DATE(crono_ano_ref,8,1)-Planos!$G7)/Planos!$E7,1)*Planos!$E7))/Planos!$E7)+1)))</f>
      </c>
      <c r="N9" s="44">
        <f>IF(OR(Planos!$A7="",NOT(ISNUMBER(Planos!$G7)),N(Planos!$E7)&lt;=0),0,IF(Planos!$G7&gt;EOMONTH(DATE(crono_ano_ref,9,1),0),0,MAX(0,INT((EOMONTH(DATE(crono_ano_ref,9,1),0)-IF(Planos!$G7&gt;=DATE(crono_ano_ref,9,1),Planos!$G7,Planos!$G7+CEILING((DATE(crono_ano_ref,9,1)-Planos!$G7)/Planos!$E7,1)*Planos!$E7))/Planos!$E7)+1)))</f>
      </c>
      <c r="O9" s="44">
        <f>IF(OR(Planos!$A7="",NOT(ISNUMBER(Planos!$G7)),N(Planos!$E7)&lt;=0),0,IF(Planos!$G7&gt;EOMONTH(DATE(crono_ano_ref,10,1),0),0,MAX(0,INT((EOMONTH(DATE(crono_ano_ref,10,1),0)-IF(Planos!$G7&gt;=DATE(crono_ano_ref,10,1),Planos!$G7,Planos!$G7+CEILING((DATE(crono_ano_ref,10,1)-Planos!$G7)/Planos!$E7,1)*Planos!$E7))/Planos!$E7)+1)))</f>
      </c>
      <c r="P9" s="44">
        <f>IF(OR(Planos!$A7="",NOT(ISNUMBER(Planos!$G7)),N(Planos!$E7)&lt;=0),0,IF(Planos!$G7&gt;EOMONTH(DATE(crono_ano_ref,11,1),0),0,MAX(0,INT((EOMONTH(DATE(crono_ano_ref,11,1),0)-IF(Planos!$G7&gt;=DATE(crono_ano_ref,11,1),Planos!$G7,Planos!$G7+CEILING((DATE(crono_ano_ref,11,1)-Planos!$G7)/Planos!$E7,1)*Planos!$E7))/Planos!$E7)+1)))</f>
      </c>
      <c r="Q9" s="44">
        <f>IF(OR(Planos!$A7="",NOT(ISNUMBER(Planos!$G7)),N(Planos!$E7)&lt;=0),0,IF(Planos!$G7&gt;EOMONTH(DATE(crono_ano_ref,12,1),0),0,MAX(0,INT((EOMONTH(DATE(crono_ano_ref,12,1),0)-IF(Planos!$G7&gt;=DATE(crono_ano_ref,12,1),Planos!$G7,Planos!$G7+CEILING((DATE(crono_ano_ref,12,1)-Planos!$G7)/Planos!$E7,1)*Planos!$E7))/Planos!$E7)+1)))</f>
      </c>
      <c r="R9" s="44">
        <f>SUM(F9:Q9)</f>
      </c>
    </row>
    <row r="10" spans="1:18" x14ac:dyDescent="0.25">
      <c r="A10" s="24">
        <f>IF(Planos!$A8="","",Planos!A8&amp;"")</f>
      </c>
      <c r="B10" s="41">
        <f>IF(Planos!$A8="","",Planos!B8&amp;"")</f>
      </c>
      <c r="C10" s="24">
        <f>IF(Planos!$A8="","",Planos!C8&amp;"")</f>
      </c>
      <c r="D10" s="42">
        <f>IF(Planos!$A8="","",N(Planos!E8))</f>
      </c>
      <c r="E10" s="43">
        <f>IF(Planos!$A8="","",N(Planos!K8))</f>
      </c>
      <c r="F10" s="44">
        <f>IF(OR(Planos!$A8="",NOT(ISNUMBER(Planos!$G8)),N(Planos!$E8)&lt;=0),0,IF(Planos!$G8&gt;EOMONTH(DATE(crono_ano_ref,1,1),0),0,MAX(0,INT((EOMONTH(DATE(crono_ano_ref,1,1),0)-IF(Planos!$G8&gt;=DATE(crono_ano_ref,1,1),Planos!$G8,Planos!$G8+CEILING((DATE(crono_ano_ref,1,1)-Planos!$G8)/Planos!$E8,1)*Planos!$E8))/Planos!$E8)+1)))</f>
      </c>
      <c r="G10" s="44">
        <f>IF(OR(Planos!$A8="",NOT(ISNUMBER(Planos!$G8)),N(Planos!$E8)&lt;=0),0,IF(Planos!$G8&gt;EOMONTH(DATE(crono_ano_ref,2,1),0),0,MAX(0,INT((EOMONTH(DATE(crono_ano_ref,2,1),0)-IF(Planos!$G8&gt;=DATE(crono_ano_ref,2,1),Planos!$G8,Planos!$G8+CEILING((DATE(crono_ano_ref,2,1)-Planos!$G8)/Planos!$E8,1)*Planos!$E8))/Planos!$E8)+1)))</f>
      </c>
      <c r="H10" s="44">
        <f>IF(OR(Planos!$A8="",NOT(ISNUMBER(Planos!$G8)),N(Planos!$E8)&lt;=0),0,IF(Planos!$G8&gt;EOMONTH(DATE(crono_ano_ref,3,1),0),0,MAX(0,INT((EOMONTH(DATE(crono_ano_ref,3,1),0)-IF(Planos!$G8&gt;=DATE(crono_ano_ref,3,1),Planos!$G8,Planos!$G8+CEILING((DATE(crono_ano_ref,3,1)-Planos!$G8)/Planos!$E8,1)*Planos!$E8))/Planos!$E8)+1)))</f>
      </c>
      <c r="I10" s="44">
        <f>IF(OR(Planos!$A8="",NOT(ISNUMBER(Planos!$G8)),N(Planos!$E8)&lt;=0),0,IF(Planos!$G8&gt;EOMONTH(DATE(crono_ano_ref,4,1),0),0,MAX(0,INT((EOMONTH(DATE(crono_ano_ref,4,1),0)-IF(Planos!$G8&gt;=DATE(crono_ano_ref,4,1),Planos!$G8,Planos!$G8+CEILING((DATE(crono_ano_ref,4,1)-Planos!$G8)/Planos!$E8,1)*Planos!$E8))/Planos!$E8)+1)))</f>
      </c>
      <c r="J10" s="44">
        <f>IF(OR(Planos!$A8="",NOT(ISNUMBER(Planos!$G8)),N(Planos!$E8)&lt;=0),0,IF(Planos!$G8&gt;EOMONTH(DATE(crono_ano_ref,5,1),0),0,MAX(0,INT((EOMONTH(DATE(crono_ano_ref,5,1),0)-IF(Planos!$G8&gt;=DATE(crono_ano_ref,5,1),Planos!$G8,Planos!$G8+CEILING((DATE(crono_ano_ref,5,1)-Planos!$G8)/Planos!$E8,1)*Planos!$E8))/Planos!$E8)+1)))</f>
      </c>
      <c r="K10" s="44">
        <f>IF(OR(Planos!$A8="",NOT(ISNUMBER(Planos!$G8)),N(Planos!$E8)&lt;=0),0,IF(Planos!$G8&gt;EOMONTH(DATE(crono_ano_ref,6,1),0),0,MAX(0,INT((EOMONTH(DATE(crono_ano_ref,6,1),0)-IF(Planos!$G8&gt;=DATE(crono_ano_ref,6,1),Planos!$G8,Planos!$G8+CEILING((DATE(crono_ano_ref,6,1)-Planos!$G8)/Planos!$E8,1)*Planos!$E8))/Planos!$E8)+1)))</f>
      </c>
      <c r="L10" s="44">
        <f>IF(OR(Planos!$A8="",NOT(ISNUMBER(Planos!$G8)),N(Planos!$E8)&lt;=0),0,IF(Planos!$G8&gt;EOMONTH(DATE(crono_ano_ref,7,1),0),0,MAX(0,INT((EOMONTH(DATE(crono_ano_ref,7,1),0)-IF(Planos!$G8&gt;=DATE(crono_ano_ref,7,1),Planos!$G8,Planos!$G8+CEILING((DATE(crono_ano_ref,7,1)-Planos!$G8)/Planos!$E8,1)*Planos!$E8))/Planos!$E8)+1)))</f>
      </c>
      <c r="M10" s="44">
        <f>IF(OR(Planos!$A8="",NOT(ISNUMBER(Planos!$G8)),N(Planos!$E8)&lt;=0),0,IF(Planos!$G8&gt;EOMONTH(DATE(crono_ano_ref,8,1),0),0,MAX(0,INT((EOMONTH(DATE(crono_ano_ref,8,1),0)-IF(Planos!$G8&gt;=DATE(crono_ano_ref,8,1),Planos!$G8,Planos!$G8+CEILING((DATE(crono_ano_ref,8,1)-Planos!$G8)/Planos!$E8,1)*Planos!$E8))/Planos!$E8)+1)))</f>
      </c>
      <c r="N10" s="44">
        <f>IF(OR(Planos!$A8="",NOT(ISNUMBER(Planos!$G8)),N(Planos!$E8)&lt;=0),0,IF(Planos!$G8&gt;EOMONTH(DATE(crono_ano_ref,9,1),0),0,MAX(0,INT((EOMONTH(DATE(crono_ano_ref,9,1),0)-IF(Planos!$G8&gt;=DATE(crono_ano_ref,9,1),Planos!$G8,Planos!$G8+CEILING((DATE(crono_ano_ref,9,1)-Planos!$G8)/Planos!$E8,1)*Planos!$E8))/Planos!$E8)+1)))</f>
      </c>
      <c r="O10" s="44">
        <f>IF(OR(Planos!$A8="",NOT(ISNUMBER(Planos!$G8)),N(Planos!$E8)&lt;=0),0,IF(Planos!$G8&gt;EOMONTH(DATE(crono_ano_ref,10,1),0),0,MAX(0,INT((EOMONTH(DATE(crono_ano_ref,10,1),0)-IF(Planos!$G8&gt;=DATE(crono_ano_ref,10,1),Planos!$G8,Planos!$G8+CEILING((DATE(crono_ano_ref,10,1)-Planos!$G8)/Planos!$E8,1)*Planos!$E8))/Planos!$E8)+1)))</f>
      </c>
      <c r="P10" s="44">
        <f>IF(OR(Planos!$A8="",NOT(ISNUMBER(Planos!$G8)),N(Planos!$E8)&lt;=0),0,IF(Planos!$G8&gt;EOMONTH(DATE(crono_ano_ref,11,1),0),0,MAX(0,INT((EOMONTH(DATE(crono_ano_ref,11,1),0)-IF(Planos!$G8&gt;=DATE(crono_ano_ref,11,1),Planos!$G8,Planos!$G8+CEILING((DATE(crono_ano_ref,11,1)-Planos!$G8)/Planos!$E8,1)*Planos!$E8))/Planos!$E8)+1)))</f>
      </c>
      <c r="Q10" s="44">
        <f>IF(OR(Planos!$A8="",NOT(ISNUMBER(Planos!$G8)),N(Planos!$E8)&lt;=0),0,IF(Planos!$G8&gt;EOMONTH(DATE(crono_ano_ref,12,1),0),0,MAX(0,INT((EOMONTH(DATE(crono_ano_ref,12,1),0)-IF(Planos!$G8&gt;=DATE(crono_ano_ref,12,1),Planos!$G8,Planos!$G8+CEILING((DATE(crono_ano_ref,12,1)-Planos!$G8)/Planos!$E8,1)*Planos!$E8))/Planos!$E8)+1)))</f>
      </c>
      <c r="R10" s="44">
        <f>SUM(F10:Q10)</f>
      </c>
    </row>
    <row r="11" spans="1:18" x14ac:dyDescent="0.25">
      <c r="A11" s="24">
        <f>IF(Planos!$A9="","",Planos!A9&amp;"")</f>
      </c>
      <c r="B11" s="41">
        <f>IF(Planos!$A9="","",Planos!B9&amp;"")</f>
      </c>
      <c r="C11" s="24">
        <f>IF(Planos!$A9="","",Planos!C9&amp;"")</f>
      </c>
      <c r="D11" s="42">
        <f>IF(Planos!$A9="","",N(Planos!E9))</f>
      </c>
      <c r="E11" s="43">
        <f>IF(Planos!$A9="","",N(Planos!K9))</f>
      </c>
      <c r="F11" s="44">
        <f>IF(OR(Planos!$A9="",NOT(ISNUMBER(Planos!$G9)),N(Planos!$E9)&lt;=0),0,IF(Planos!$G9&gt;EOMONTH(DATE(crono_ano_ref,1,1),0),0,MAX(0,INT((EOMONTH(DATE(crono_ano_ref,1,1),0)-IF(Planos!$G9&gt;=DATE(crono_ano_ref,1,1),Planos!$G9,Planos!$G9+CEILING((DATE(crono_ano_ref,1,1)-Planos!$G9)/Planos!$E9,1)*Planos!$E9))/Planos!$E9)+1)))</f>
      </c>
      <c r="G11" s="44">
        <f>IF(OR(Planos!$A9="",NOT(ISNUMBER(Planos!$G9)),N(Planos!$E9)&lt;=0),0,IF(Planos!$G9&gt;EOMONTH(DATE(crono_ano_ref,2,1),0),0,MAX(0,INT((EOMONTH(DATE(crono_ano_ref,2,1),0)-IF(Planos!$G9&gt;=DATE(crono_ano_ref,2,1),Planos!$G9,Planos!$G9+CEILING((DATE(crono_ano_ref,2,1)-Planos!$G9)/Planos!$E9,1)*Planos!$E9))/Planos!$E9)+1)))</f>
      </c>
      <c r="H11" s="44">
        <f>IF(OR(Planos!$A9="",NOT(ISNUMBER(Planos!$G9)),N(Planos!$E9)&lt;=0),0,IF(Planos!$G9&gt;EOMONTH(DATE(crono_ano_ref,3,1),0),0,MAX(0,INT((EOMONTH(DATE(crono_ano_ref,3,1),0)-IF(Planos!$G9&gt;=DATE(crono_ano_ref,3,1),Planos!$G9,Planos!$G9+CEILING((DATE(crono_ano_ref,3,1)-Planos!$G9)/Planos!$E9,1)*Planos!$E9))/Planos!$E9)+1)))</f>
      </c>
      <c r="I11" s="44">
        <f>IF(OR(Planos!$A9="",NOT(ISNUMBER(Planos!$G9)),N(Planos!$E9)&lt;=0),0,IF(Planos!$G9&gt;EOMONTH(DATE(crono_ano_ref,4,1),0),0,MAX(0,INT((EOMONTH(DATE(crono_ano_ref,4,1),0)-IF(Planos!$G9&gt;=DATE(crono_ano_ref,4,1),Planos!$G9,Planos!$G9+CEILING((DATE(crono_ano_ref,4,1)-Planos!$G9)/Planos!$E9,1)*Planos!$E9))/Planos!$E9)+1)))</f>
      </c>
      <c r="J11" s="44">
        <f>IF(OR(Planos!$A9="",NOT(ISNUMBER(Planos!$G9)),N(Planos!$E9)&lt;=0),0,IF(Planos!$G9&gt;EOMONTH(DATE(crono_ano_ref,5,1),0),0,MAX(0,INT((EOMONTH(DATE(crono_ano_ref,5,1),0)-IF(Planos!$G9&gt;=DATE(crono_ano_ref,5,1),Planos!$G9,Planos!$G9+CEILING((DATE(crono_ano_ref,5,1)-Planos!$G9)/Planos!$E9,1)*Planos!$E9))/Planos!$E9)+1)))</f>
      </c>
      <c r="K11" s="44">
        <f>IF(OR(Planos!$A9="",NOT(ISNUMBER(Planos!$G9)),N(Planos!$E9)&lt;=0),0,IF(Planos!$G9&gt;EOMONTH(DATE(crono_ano_ref,6,1),0),0,MAX(0,INT((EOMONTH(DATE(crono_ano_ref,6,1),0)-IF(Planos!$G9&gt;=DATE(crono_ano_ref,6,1),Planos!$G9,Planos!$G9+CEILING((DATE(crono_ano_ref,6,1)-Planos!$G9)/Planos!$E9,1)*Planos!$E9))/Planos!$E9)+1)))</f>
      </c>
      <c r="L11" s="44">
        <f>IF(OR(Planos!$A9="",NOT(ISNUMBER(Planos!$G9)),N(Planos!$E9)&lt;=0),0,IF(Planos!$G9&gt;EOMONTH(DATE(crono_ano_ref,7,1),0),0,MAX(0,INT((EOMONTH(DATE(crono_ano_ref,7,1),0)-IF(Planos!$G9&gt;=DATE(crono_ano_ref,7,1),Planos!$G9,Planos!$G9+CEILING((DATE(crono_ano_ref,7,1)-Planos!$G9)/Planos!$E9,1)*Planos!$E9))/Planos!$E9)+1)))</f>
      </c>
      <c r="M11" s="44">
        <f>IF(OR(Planos!$A9="",NOT(ISNUMBER(Planos!$G9)),N(Planos!$E9)&lt;=0),0,IF(Planos!$G9&gt;EOMONTH(DATE(crono_ano_ref,8,1),0),0,MAX(0,INT((EOMONTH(DATE(crono_ano_ref,8,1),0)-IF(Planos!$G9&gt;=DATE(crono_ano_ref,8,1),Planos!$G9,Planos!$G9+CEILING((DATE(crono_ano_ref,8,1)-Planos!$G9)/Planos!$E9,1)*Planos!$E9))/Planos!$E9)+1)))</f>
      </c>
      <c r="N11" s="44">
        <f>IF(OR(Planos!$A9="",NOT(ISNUMBER(Planos!$G9)),N(Planos!$E9)&lt;=0),0,IF(Planos!$G9&gt;EOMONTH(DATE(crono_ano_ref,9,1),0),0,MAX(0,INT((EOMONTH(DATE(crono_ano_ref,9,1),0)-IF(Planos!$G9&gt;=DATE(crono_ano_ref,9,1),Planos!$G9,Planos!$G9+CEILING((DATE(crono_ano_ref,9,1)-Planos!$G9)/Planos!$E9,1)*Planos!$E9))/Planos!$E9)+1)))</f>
      </c>
      <c r="O11" s="44">
        <f>IF(OR(Planos!$A9="",NOT(ISNUMBER(Planos!$G9)),N(Planos!$E9)&lt;=0),0,IF(Planos!$G9&gt;EOMONTH(DATE(crono_ano_ref,10,1),0),0,MAX(0,INT((EOMONTH(DATE(crono_ano_ref,10,1),0)-IF(Planos!$G9&gt;=DATE(crono_ano_ref,10,1),Planos!$G9,Planos!$G9+CEILING((DATE(crono_ano_ref,10,1)-Planos!$G9)/Planos!$E9,1)*Planos!$E9))/Planos!$E9)+1)))</f>
      </c>
      <c r="P11" s="44">
        <f>IF(OR(Planos!$A9="",NOT(ISNUMBER(Planos!$G9)),N(Planos!$E9)&lt;=0),0,IF(Planos!$G9&gt;EOMONTH(DATE(crono_ano_ref,11,1),0),0,MAX(0,INT((EOMONTH(DATE(crono_ano_ref,11,1),0)-IF(Planos!$G9&gt;=DATE(crono_ano_ref,11,1),Planos!$G9,Planos!$G9+CEILING((DATE(crono_ano_ref,11,1)-Planos!$G9)/Planos!$E9,1)*Planos!$E9))/Planos!$E9)+1)))</f>
      </c>
      <c r="Q11" s="44">
        <f>IF(OR(Planos!$A9="",NOT(ISNUMBER(Planos!$G9)),N(Planos!$E9)&lt;=0),0,IF(Planos!$G9&gt;EOMONTH(DATE(crono_ano_ref,12,1),0),0,MAX(0,INT((EOMONTH(DATE(crono_ano_ref,12,1),0)-IF(Planos!$G9&gt;=DATE(crono_ano_ref,12,1),Planos!$G9,Planos!$G9+CEILING((DATE(crono_ano_ref,12,1)-Planos!$G9)/Planos!$E9,1)*Planos!$E9))/Planos!$E9)+1)))</f>
      </c>
      <c r="R11" s="44">
        <f>SUM(F11:Q11)</f>
      </c>
    </row>
    <row r="12" spans="1:18" x14ac:dyDescent="0.25">
      <c r="A12" s="24">
        <f>IF(Planos!$A10="","",Planos!A10&amp;"")</f>
      </c>
      <c r="B12" s="41">
        <f>IF(Planos!$A10="","",Planos!B10&amp;"")</f>
      </c>
      <c r="C12" s="24">
        <f>IF(Planos!$A10="","",Planos!C10&amp;"")</f>
      </c>
      <c r="D12" s="42">
        <f>IF(Planos!$A10="","",N(Planos!E10))</f>
      </c>
      <c r="E12" s="43">
        <f>IF(Planos!$A10="","",N(Planos!K10))</f>
      </c>
      <c r="F12" s="44">
        <f>IF(OR(Planos!$A10="",NOT(ISNUMBER(Planos!$G10)),N(Planos!$E10)&lt;=0),0,IF(Planos!$G10&gt;EOMONTH(DATE(crono_ano_ref,1,1),0),0,MAX(0,INT((EOMONTH(DATE(crono_ano_ref,1,1),0)-IF(Planos!$G10&gt;=DATE(crono_ano_ref,1,1),Planos!$G10,Planos!$G10+CEILING((DATE(crono_ano_ref,1,1)-Planos!$G10)/Planos!$E10,1)*Planos!$E10))/Planos!$E10)+1)))</f>
      </c>
      <c r="G12" s="44">
        <f>IF(OR(Planos!$A10="",NOT(ISNUMBER(Planos!$G10)),N(Planos!$E10)&lt;=0),0,IF(Planos!$G10&gt;EOMONTH(DATE(crono_ano_ref,2,1),0),0,MAX(0,INT((EOMONTH(DATE(crono_ano_ref,2,1),0)-IF(Planos!$G10&gt;=DATE(crono_ano_ref,2,1),Planos!$G10,Planos!$G10+CEILING((DATE(crono_ano_ref,2,1)-Planos!$G10)/Planos!$E10,1)*Planos!$E10))/Planos!$E10)+1)))</f>
      </c>
      <c r="H12" s="44">
        <f>IF(OR(Planos!$A10="",NOT(ISNUMBER(Planos!$G10)),N(Planos!$E10)&lt;=0),0,IF(Planos!$G10&gt;EOMONTH(DATE(crono_ano_ref,3,1),0),0,MAX(0,INT((EOMONTH(DATE(crono_ano_ref,3,1),0)-IF(Planos!$G10&gt;=DATE(crono_ano_ref,3,1),Planos!$G10,Planos!$G10+CEILING((DATE(crono_ano_ref,3,1)-Planos!$G10)/Planos!$E10,1)*Planos!$E10))/Planos!$E10)+1)))</f>
      </c>
      <c r="I12" s="44">
        <f>IF(OR(Planos!$A10="",NOT(ISNUMBER(Planos!$G10)),N(Planos!$E10)&lt;=0),0,IF(Planos!$G10&gt;EOMONTH(DATE(crono_ano_ref,4,1),0),0,MAX(0,INT((EOMONTH(DATE(crono_ano_ref,4,1),0)-IF(Planos!$G10&gt;=DATE(crono_ano_ref,4,1),Planos!$G10,Planos!$G10+CEILING((DATE(crono_ano_ref,4,1)-Planos!$G10)/Planos!$E10,1)*Planos!$E10))/Planos!$E10)+1)))</f>
      </c>
      <c r="J12" s="44">
        <f>IF(OR(Planos!$A10="",NOT(ISNUMBER(Planos!$G10)),N(Planos!$E10)&lt;=0),0,IF(Planos!$G10&gt;EOMONTH(DATE(crono_ano_ref,5,1),0),0,MAX(0,INT((EOMONTH(DATE(crono_ano_ref,5,1),0)-IF(Planos!$G10&gt;=DATE(crono_ano_ref,5,1),Planos!$G10,Planos!$G10+CEILING((DATE(crono_ano_ref,5,1)-Planos!$G10)/Planos!$E10,1)*Planos!$E10))/Planos!$E10)+1)))</f>
      </c>
      <c r="K12" s="44">
        <f>IF(OR(Planos!$A10="",NOT(ISNUMBER(Planos!$G10)),N(Planos!$E10)&lt;=0),0,IF(Planos!$G10&gt;EOMONTH(DATE(crono_ano_ref,6,1),0),0,MAX(0,INT((EOMONTH(DATE(crono_ano_ref,6,1),0)-IF(Planos!$G10&gt;=DATE(crono_ano_ref,6,1),Planos!$G10,Planos!$G10+CEILING((DATE(crono_ano_ref,6,1)-Planos!$G10)/Planos!$E10,1)*Planos!$E10))/Planos!$E10)+1)))</f>
      </c>
      <c r="L12" s="44">
        <f>IF(OR(Planos!$A10="",NOT(ISNUMBER(Planos!$G10)),N(Planos!$E10)&lt;=0),0,IF(Planos!$G10&gt;EOMONTH(DATE(crono_ano_ref,7,1),0),0,MAX(0,INT((EOMONTH(DATE(crono_ano_ref,7,1),0)-IF(Planos!$G10&gt;=DATE(crono_ano_ref,7,1),Planos!$G10,Planos!$G10+CEILING((DATE(crono_ano_ref,7,1)-Planos!$G10)/Planos!$E10,1)*Planos!$E10))/Planos!$E10)+1)))</f>
      </c>
      <c r="M12" s="44">
        <f>IF(OR(Planos!$A10="",NOT(ISNUMBER(Planos!$G10)),N(Planos!$E10)&lt;=0),0,IF(Planos!$G10&gt;EOMONTH(DATE(crono_ano_ref,8,1),0),0,MAX(0,INT((EOMONTH(DATE(crono_ano_ref,8,1),0)-IF(Planos!$G10&gt;=DATE(crono_ano_ref,8,1),Planos!$G10,Planos!$G10+CEILING((DATE(crono_ano_ref,8,1)-Planos!$G10)/Planos!$E10,1)*Planos!$E10))/Planos!$E10)+1)))</f>
      </c>
      <c r="N12" s="44">
        <f>IF(OR(Planos!$A10="",NOT(ISNUMBER(Planos!$G10)),N(Planos!$E10)&lt;=0),0,IF(Planos!$G10&gt;EOMONTH(DATE(crono_ano_ref,9,1),0),0,MAX(0,INT((EOMONTH(DATE(crono_ano_ref,9,1),0)-IF(Planos!$G10&gt;=DATE(crono_ano_ref,9,1),Planos!$G10,Planos!$G10+CEILING((DATE(crono_ano_ref,9,1)-Planos!$G10)/Planos!$E10,1)*Planos!$E10))/Planos!$E10)+1)))</f>
      </c>
      <c r="O12" s="44">
        <f>IF(OR(Planos!$A10="",NOT(ISNUMBER(Planos!$G10)),N(Planos!$E10)&lt;=0),0,IF(Planos!$G10&gt;EOMONTH(DATE(crono_ano_ref,10,1),0),0,MAX(0,INT((EOMONTH(DATE(crono_ano_ref,10,1),0)-IF(Planos!$G10&gt;=DATE(crono_ano_ref,10,1),Planos!$G10,Planos!$G10+CEILING((DATE(crono_ano_ref,10,1)-Planos!$G10)/Planos!$E10,1)*Planos!$E10))/Planos!$E10)+1)))</f>
      </c>
      <c r="P12" s="44">
        <f>IF(OR(Planos!$A10="",NOT(ISNUMBER(Planos!$G10)),N(Planos!$E10)&lt;=0),0,IF(Planos!$G10&gt;EOMONTH(DATE(crono_ano_ref,11,1),0),0,MAX(0,INT((EOMONTH(DATE(crono_ano_ref,11,1),0)-IF(Planos!$G10&gt;=DATE(crono_ano_ref,11,1),Planos!$G10,Planos!$G10+CEILING((DATE(crono_ano_ref,11,1)-Planos!$G10)/Planos!$E10,1)*Planos!$E10))/Planos!$E10)+1)))</f>
      </c>
      <c r="Q12" s="44">
        <f>IF(OR(Planos!$A10="",NOT(ISNUMBER(Planos!$G10)),N(Planos!$E10)&lt;=0),0,IF(Planos!$G10&gt;EOMONTH(DATE(crono_ano_ref,12,1),0),0,MAX(0,INT((EOMONTH(DATE(crono_ano_ref,12,1),0)-IF(Planos!$G10&gt;=DATE(crono_ano_ref,12,1),Planos!$G10,Planos!$G10+CEILING((DATE(crono_ano_ref,12,1)-Planos!$G10)/Planos!$E10,1)*Planos!$E10))/Planos!$E10)+1)))</f>
      </c>
      <c r="R12" s="44">
        <f>SUM(F12:Q12)</f>
      </c>
    </row>
    <row r="13" spans="1:18" x14ac:dyDescent="0.25">
      <c r="A13" s="24">
        <f>IF(Planos!$A11="","",Planos!A11&amp;"")</f>
      </c>
      <c r="B13" s="41">
        <f>IF(Planos!$A11="","",Planos!B11&amp;"")</f>
      </c>
      <c r="C13" s="24">
        <f>IF(Planos!$A11="","",Planos!C11&amp;"")</f>
      </c>
      <c r="D13" s="42">
        <f>IF(Planos!$A11="","",N(Planos!E11))</f>
      </c>
      <c r="E13" s="43">
        <f>IF(Planos!$A11="","",N(Planos!K11))</f>
      </c>
      <c r="F13" s="44">
        <f>IF(OR(Planos!$A11="",NOT(ISNUMBER(Planos!$G11)),N(Planos!$E11)&lt;=0),0,IF(Planos!$G11&gt;EOMONTH(DATE(crono_ano_ref,1,1),0),0,MAX(0,INT((EOMONTH(DATE(crono_ano_ref,1,1),0)-IF(Planos!$G11&gt;=DATE(crono_ano_ref,1,1),Planos!$G11,Planos!$G11+CEILING((DATE(crono_ano_ref,1,1)-Planos!$G11)/Planos!$E11,1)*Planos!$E11))/Planos!$E11)+1)))</f>
      </c>
      <c r="G13" s="44">
        <f>IF(OR(Planos!$A11="",NOT(ISNUMBER(Planos!$G11)),N(Planos!$E11)&lt;=0),0,IF(Planos!$G11&gt;EOMONTH(DATE(crono_ano_ref,2,1),0),0,MAX(0,INT((EOMONTH(DATE(crono_ano_ref,2,1),0)-IF(Planos!$G11&gt;=DATE(crono_ano_ref,2,1),Planos!$G11,Planos!$G11+CEILING((DATE(crono_ano_ref,2,1)-Planos!$G11)/Planos!$E11,1)*Planos!$E11))/Planos!$E11)+1)))</f>
      </c>
      <c r="H13" s="44">
        <f>IF(OR(Planos!$A11="",NOT(ISNUMBER(Planos!$G11)),N(Planos!$E11)&lt;=0),0,IF(Planos!$G11&gt;EOMONTH(DATE(crono_ano_ref,3,1),0),0,MAX(0,INT((EOMONTH(DATE(crono_ano_ref,3,1),0)-IF(Planos!$G11&gt;=DATE(crono_ano_ref,3,1),Planos!$G11,Planos!$G11+CEILING((DATE(crono_ano_ref,3,1)-Planos!$G11)/Planos!$E11,1)*Planos!$E11))/Planos!$E11)+1)))</f>
      </c>
      <c r="I13" s="44">
        <f>IF(OR(Planos!$A11="",NOT(ISNUMBER(Planos!$G11)),N(Planos!$E11)&lt;=0),0,IF(Planos!$G11&gt;EOMONTH(DATE(crono_ano_ref,4,1),0),0,MAX(0,INT((EOMONTH(DATE(crono_ano_ref,4,1),0)-IF(Planos!$G11&gt;=DATE(crono_ano_ref,4,1),Planos!$G11,Planos!$G11+CEILING((DATE(crono_ano_ref,4,1)-Planos!$G11)/Planos!$E11,1)*Planos!$E11))/Planos!$E11)+1)))</f>
      </c>
      <c r="J13" s="44">
        <f>IF(OR(Planos!$A11="",NOT(ISNUMBER(Planos!$G11)),N(Planos!$E11)&lt;=0),0,IF(Planos!$G11&gt;EOMONTH(DATE(crono_ano_ref,5,1),0),0,MAX(0,INT((EOMONTH(DATE(crono_ano_ref,5,1),0)-IF(Planos!$G11&gt;=DATE(crono_ano_ref,5,1),Planos!$G11,Planos!$G11+CEILING((DATE(crono_ano_ref,5,1)-Planos!$G11)/Planos!$E11,1)*Planos!$E11))/Planos!$E11)+1)))</f>
      </c>
      <c r="K13" s="44">
        <f>IF(OR(Planos!$A11="",NOT(ISNUMBER(Planos!$G11)),N(Planos!$E11)&lt;=0),0,IF(Planos!$G11&gt;EOMONTH(DATE(crono_ano_ref,6,1),0),0,MAX(0,INT((EOMONTH(DATE(crono_ano_ref,6,1),0)-IF(Planos!$G11&gt;=DATE(crono_ano_ref,6,1),Planos!$G11,Planos!$G11+CEILING((DATE(crono_ano_ref,6,1)-Planos!$G11)/Planos!$E11,1)*Planos!$E11))/Planos!$E11)+1)))</f>
      </c>
      <c r="L13" s="44">
        <f>IF(OR(Planos!$A11="",NOT(ISNUMBER(Planos!$G11)),N(Planos!$E11)&lt;=0),0,IF(Planos!$G11&gt;EOMONTH(DATE(crono_ano_ref,7,1),0),0,MAX(0,INT((EOMONTH(DATE(crono_ano_ref,7,1),0)-IF(Planos!$G11&gt;=DATE(crono_ano_ref,7,1),Planos!$G11,Planos!$G11+CEILING((DATE(crono_ano_ref,7,1)-Planos!$G11)/Planos!$E11,1)*Planos!$E11))/Planos!$E11)+1)))</f>
      </c>
      <c r="M13" s="44">
        <f>IF(OR(Planos!$A11="",NOT(ISNUMBER(Planos!$G11)),N(Planos!$E11)&lt;=0),0,IF(Planos!$G11&gt;EOMONTH(DATE(crono_ano_ref,8,1),0),0,MAX(0,INT((EOMONTH(DATE(crono_ano_ref,8,1),0)-IF(Planos!$G11&gt;=DATE(crono_ano_ref,8,1),Planos!$G11,Planos!$G11+CEILING((DATE(crono_ano_ref,8,1)-Planos!$G11)/Planos!$E11,1)*Planos!$E11))/Planos!$E11)+1)))</f>
      </c>
      <c r="N13" s="44">
        <f>IF(OR(Planos!$A11="",NOT(ISNUMBER(Planos!$G11)),N(Planos!$E11)&lt;=0),0,IF(Planos!$G11&gt;EOMONTH(DATE(crono_ano_ref,9,1),0),0,MAX(0,INT((EOMONTH(DATE(crono_ano_ref,9,1),0)-IF(Planos!$G11&gt;=DATE(crono_ano_ref,9,1),Planos!$G11,Planos!$G11+CEILING((DATE(crono_ano_ref,9,1)-Planos!$G11)/Planos!$E11,1)*Planos!$E11))/Planos!$E11)+1)))</f>
      </c>
      <c r="O13" s="44">
        <f>IF(OR(Planos!$A11="",NOT(ISNUMBER(Planos!$G11)),N(Planos!$E11)&lt;=0),0,IF(Planos!$G11&gt;EOMONTH(DATE(crono_ano_ref,10,1),0),0,MAX(0,INT((EOMONTH(DATE(crono_ano_ref,10,1),0)-IF(Planos!$G11&gt;=DATE(crono_ano_ref,10,1),Planos!$G11,Planos!$G11+CEILING((DATE(crono_ano_ref,10,1)-Planos!$G11)/Planos!$E11,1)*Planos!$E11))/Planos!$E11)+1)))</f>
      </c>
      <c r="P13" s="44">
        <f>IF(OR(Planos!$A11="",NOT(ISNUMBER(Planos!$G11)),N(Planos!$E11)&lt;=0),0,IF(Planos!$G11&gt;EOMONTH(DATE(crono_ano_ref,11,1),0),0,MAX(0,INT((EOMONTH(DATE(crono_ano_ref,11,1),0)-IF(Planos!$G11&gt;=DATE(crono_ano_ref,11,1),Planos!$G11,Planos!$G11+CEILING((DATE(crono_ano_ref,11,1)-Planos!$G11)/Planos!$E11,1)*Planos!$E11))/Planos!$E11)+1)))</f>
      </c>
      <c r="Q13" s="44">
        <f>IF(OR(Planos!$A11="",NOT(ISNUMBER(Planos!$G11)),N(Planos!$E11)&lt;=0),0,IF(Planos!$G11&gt;EOMONTH(DATE(crono_ano_ref,12,1),0),0,MAX(0,INT((EOMONTH(DATE(crono_ano_ref,12,1),0)-IF(Planos!$G11&gt;=DATE(crono_ano_ref,12,1),Planos!$G11,Planos!$G11+CEILING((DATE(crono_ano_ref,12,1)-Planos!$G11)/Planos!$E11,1)*Planos!$E11))/Planos!$E11)+1)))</f>
      </c>
      <c r="R13" s="44">
        <f>SUM(F13:Q13)</f>
      </c>
    </row>
    <row r="14" spans="1:18" x14ac:dyDescent="0.25">
      <c r="A14" s="24">
        <f>IF(Planos!$A12="","",Planos!A12&amp;"")</f>
      </c>
      <c r="B14" s="41">
        <f>IF(Planos!$A12="","",Planos!B12&amp;"")</f>
      </c>
      <c r="C14" s="24">
        <f>IF(Planos!$A12="","",Planos!C12&amp;"")</f>
      </c>
      <c r="D14" s="42">
        <f>IF(Planos!$A12="","",N(Planos!E12))</f>
      </c>
      <c r="E14" s="43">
        <f>IF(Planos!$A12="","",N(Planos!K12))</f>
      </c>
      <c r="F14" s="44">
        <f>IF(OR(Planos!$A12="",NOT(ISNUMBER(Planos!$G12)),N(Planos!$E12)&lt;=0),0,IF(Planos!$G12&gt;EOMONTH(DATE(crono_ano_ref,1,1),0),0,MAX(0,INT((EOMONTH(DATE(crono_ano_ref,1,1),0)-IF(Planos!$G12&gt;=DATE(crono_ano_ref,1,1),Planos!$G12,Planos!$G12+CEILING((DATE(crono_ano_ref,1,1)-Planos!$G12)/Planos!$E12,1)*Planos!$E12))/Planos!$E12)+1)))</f>
      </c>
      <c r="G14" s="44">
        <f>IF(OR(Planos!$A12="",NOT(ISNUMBER(Planos!$G12)),N(Planos!$E12)&lt;=0),0,IF(Planos!$G12&gt;EOMONTH(DATE(crono_ano_ref,2,1),0),0,MAX(0,INT((EOMONTH(DATE(crono_ano_ref,2,1),0)-IF(Planos!$G12&gt;=DATE(crono_ano_ref,2,1),Planos!$G12,Planos!$G12+CEILING((DATE(crono_ano_ref,2,1)-Planos!$G12)/Planos!$E12,1)*Planos!$E12))/Planos!$E12)+1)))</f>
      </c>
      <c r="H14" s="44">
        <f>IF(OR(Planos!$A12="",NOT(ISNUMBER(Planos!$G12)),N(Planos!$E12)&lt;=0),0,IF(Planos!$G12&gt;EOMONTH(DATE(crono_ano_ref,3,1),0),0,MAX(0,INT((EOMONTH(DATE(crono_ano_ref,3,1),0)-IF(Planos!$G12&gt;=DATE(crono_ano_ref,3,1),Planos!$G12,Planos!$G12+CEILING((DATE(crono_ano_ref,3,1)-Planos!$G12)/Planos!$E12,1)*Planos!$E12))/Planos!$E12)+1)))</f>
      </c>
      <c r="I14" s="44">
        <f>IF(OR(Planos!$A12="",NOT(ISNUMBER(Planos!$G12)),N(Planos!$E12)&lt;=0),0,IF(Planos!$G12&gt;EOMONTH(DATE(crono_ano_ref,4,1),0),0,MAX(0,INT((EOMONTH(DATE(crono_ano_ref,4,1),0)-IF(Planos!$G12&gt;=DATE(crono_ano_ref,4,1),Planos!$G12,Planos!$G12+CEILING((DATE(crono_ano_ref,4,1)-Planos!$G12)/Planos!$E12,1)*Planos!$E12))/Planos!$E12)+1)))</f>
      </c>
      <c r="J14" s="44">
        <f>IF(OR(Planos!$A12="",NOT(ISNUMBER(Planos!$G12)),N(Planos!$E12)&lt;=0),0,IF(Planos!$G12&gt;EOMONTH(DATE(crono_ano_ref,5,1),0),0,MAX(0,INT((EOMONTH(DATE(crono_ano_ref,5,1),0)-IF(Planos!$G12&gt;=DATE(crono_ano_ref,5,1),Planos!$G12,Planos!$G12+CEILING((DATE(crono_ano_ref,5,1)-Planos!$G12)/Planos!$E12,1)*Planos!$E12))/Planos!$E12)+1)))</f>
      </c>
      <c r="K14" s="44">
        <f>IF(OR(Planos!$A12="",NOT(ISNUMBER(Planos!$G12)),N(Planos!$E12)&lt;=0),0,IF(Planos!$G12&gt;EOMONTH(DATE(crono_ano_ref,6,1),0),0,MAX(0,INT((EOMONTH(DATE(crono_ano_ref,6,1),0)-IF(Planos!$G12&gt;=DATE(crono_ano_ref,6,1),Planos!$G12,Planos!$G12+CEILING((DATE(crono_ano_ref,6,1)-Planos!$G12)/Planos!$E12,1)*Planos!$E12))/Planos!$E12)+1)))</f>
      </c>
      <c r="L14" s="44">
        <f>IF(OR(Planos!$A12="",NOT(ISNUMBER(Planos!$G12)),N(Planos!$E12)&lt;=0),0,IF(Planos!$G12&gt;EOMONTH(DATE(crono_ano_ref,7,1),0),0,MAX(0,INT((EOMONTH(DATE(crono_ano_ref,7,1),0)-IF(Planos!$G12&gt;=DATE(crono_ano_ref,7,1),Planos!$G12,Planos!$G12+CEILING((DATE(crono_ano_ref,7,1)-Planos!$G12)/Planos!$E12,1)*Planos!$E12))/Planos!$E12)+1)))</f>
      </c>
      <c r="M14" s="44">
        <f>IF(OR(Planos!$A12="",NOT(ISNUMBER(Planos!$G12)),N(Planos!$E12)&lt;=0),0,IF(Planos!$G12&gt;EOMONTH(DATE(crono_ano_ref,8,1),0),0,MAX(0,INT((EOMONTH(DATE(crono_ano_ref,8,1),0)-IF(Planos!$G12&gt;=DATE(crono_ano_ref,8,1),Planos!$G12,Planos!$G12+CEILING((DATE(crono_ano_ref,8,1)-Planos!$G12)/Planos!$E12,1)*Planos!$E12))/Planos!$E12)+1)))</f>
      </c>
      <c r="N14" s="44">
        <f>IF(OR(Planos!$A12="",NOT(ISNUMBER(Planos!$G12)),N(Planos!$E12)&lt;=0),0,IF(Planos!$G12&gt;EOMONTH(DATE(crono_ano_ref,9,1),0),0,MAX(0,INT((EOMONTH(DATE(crono_ano_ref,9,1),0)-IF(Planos!$G12&gt;=DATE(crono_ano_ref,9,1),Planos!$G12,Planos!$G12+CEILING((DATE(crono_ano_ref,9,1)-Planos!$G12)/Planos!$E12,1)*Planos!$E12))/Planos!$E12)+1)))</f>
      </c>
      <c r="O14" s="44">
        <f>IF(OR(Planos!$A12="",NOT(ISNUMBER(Planos!$G12)),N(Planos!$E12)&lt;=0),0,IF(Planos!$G12&gt;EOMONTH(DATE(crono_ano_ref,10,1),0),0,MAX(0,INT((EOMONTH(DATE(crono_ano_ref,10,1),0)-IF(Planos!$G12&gt;=DATE(crono_ano_ref,10,1),Planos!$G12,Planos!$G12+CEILING((DATE(crono_ano_ref,10,1)-Planos!$G12)/Planos!$E12,1)*Planos!$E12))/Planos!$E12)+1)))</f>
      </c>
      <c r="P14" s="44">
        <f>IF(OR(Planos!$A12="",NOT(ISNUMBER(Planos!$G12)),N(Planos!$E12)&lt;=0),0,IF(Planos!$G12&gt;EOMONTH(DATE(crono_ano_ref,11,1),0),0,MAX(0,INT((EOMONTH(DATE(crono_ano_ref,11,1),0)-IF(Planos!$G12&gt;=DATE(crono_ano_ref,11,1),Planos!$G12,Planos!$G12+CEILING((DATE(crono_ano_ref,11,1)-Planos!$G12)/Planos!$E12,1)*Planos!$E12))/Planos!$E12)+1)))</f>
      </c>
      <c r="Q14" s="44">
        <f>IF(OR(Planos!$A12="",NOT(ISNUMBER(Planos!$G12)),N(Planos!$E12)&lt;=0),0,IF(Planos!$G12&gt;EOMONTH(DATE(crono_ano_ref,12,1),0),0,MAX(0,INT((EOMONTH(DATE(crono_ano_ref,12,1),0)-IF(Planos!$G12&gt;=DATE(crono_ano_ref,12,1),Planos!$G12,Planos!$G12+CEILING((DATE(crono_ano_ref,12,1)-Planos!$G12)/Planos!$E12,1)*Planos!$E12))/Planos!$E12)+1)))</f>
      </c>
      <c r="R14" s="44">
        <f>SUM(F14:Q14)</f>
      </c>
    </row>
    <row r="15" spans="1:18" x14ac:dyDescent="0.25">
      <c r="A15" s="24">
        <f>IF(Planos!$A13="","",Planos!A13&amp;"")</f>
      </c>
      <c r="B15" s="41">
        <f>IF(Planos!$A13="","",Planos!B13&amp;"")</f>
      </c>
      <c r="C15" s="24">
        <f>IF(Planos!$A13="","",Planos!C13&amp;"")</f>
      </c>
      <c r="D15" s="42">
        <f>IF(Planos!$A13="","",N(Planos!E13))</f>
      </c>
      <c r="E15" s="43">
        <f>IF(Planos!$A13="","",N(Planos!K13))</f>
      </c>
      <c r="F15" s="44">
        <f>IF(OR(Planos!$A13="",NOT(ISNUMBER(Planos!$G13)),N(Planos!$E13)&lt;=0),0,IF(Planos!$G13&gt;EOMONTH(DATE(crono_ano_ref,1,1),0),0,MAX(0,INT((EOMONTH(DATE(crono_ano_ref,1,1),0)-IF(Planos!$G13&gt;=DATE(crono_ano_ref,1,1),Planos!$G13,Planos!$G13+CEILING((DATE(crono_ano_ref,1,1)-Planos!$G13)/Planos!$E13,1)*Planos!$E13))/Planos!$E13)+1)))</f>
      </c>
      <c r="G15" s="44">
        <f>IF(OR(Planos!$A13="",NOT(ISNUMBER(Planos!$G13)),N(Planos!$E13)&lt;=0),0,IF(Planos!$G13&gt;EOMONTH(DATE(crono_ano_ref,2,1),0),0,MAX(0,INT((EOMONTH(DATE(crono_ano_ref,2,1),0)-IF(Planos!$G13&gt;=DATE(crono_ano_ref,2,1),Planos!$G13,Planos!$G13+CEILING((DATE(crono_ano_ref,2,1)-Planos!$G13)/Planos!$E13,1)*Planos!$E13))/Planos!$E13)+1)))</f>
      </c>
      <c r="H15" s="44">
        <f>IF(OR(Planos!$A13="",NOT(ISNUMBER(Planos!$G13)),N(Planos!$E13)&lt;=0),0,IF(Planos!$G13&gt;EOMONTH(DATE(crono_ano_ref,3,1),0),0,MAX(0,INT((EOMONTH(DATE(crono_ano_ref,3,1),0)-IF(Planos!$G13&gt;=DATE(crono_ano_ref,3,1),Planos!$G13,Planos!$G13+CEILING((DATE(crono_ano_ref,3,1)-Planos!$G13)/Planos!$E13,1)*Planos!$E13))/Planos!$E13)+1)))</f>
      </c>
      <c r="I15" s="44">
        <f>IF(OR(Planos!$A13="",NOT(ISNUMBER(Planos!$G13)),N(Planos!$E13)&lt;=0),0,IF(Planos!$G13&gt;EOMONTH(DATE(crono_ano_ref,4,1),0),0,MAX(0,INT((EOMONTH(DATE(crono_ano_ref,4,1),0)-IF(Planos!$G13&gt;=DATE(crono_ano_ref,4,1),Planos!$G13,Planos!$G13+CEILING((DATE(crono_ano_ref,4,1)-Planos!$G13)/Planos!$E13,1)*Planos!$E13))/Planos!$E13)+1)))</f>
      </c>
      <c r="J15" s="44">
        <f>IF(OR(Planos!$A13="",NOT(ISNUMBER(Planos!$G13)),N(Planos!$E13)&lt;=0),0,IF(Planos!$G13&gt;EOMONTH(DATE(crono_ano_ref,5,1),0),0,MAX(0,INT((EOMONTH(DATE(crono_ano_ref,5,1),0)-IF(Planos!$G13&gt;=DATE(crono_ano_ref,5,1),Planos!$G13,Planos!$G13+CEILING((DATE(crono_ano_ref,5,1)-Planos!$G13)/Planos!$E13,1)*Planos!$E13))/Planos!$E13)+1)))</f>
      </c>
      <c r="K15" s="44">
        <f>IF(OR(Planos!$A13="",NOT(ISNUMBER(Planos!$G13)),N(Planos!$E13)&lt;=0),0,IF(Planos!$G13&gt;EOMONTH(DATE(crono_ano_ref,6,1),0),0,MAX(0,INT((EOMONTH(DATE(crono_ano_ref,6,1),0)-IF(Planos!$G13&gt;=DATE(crono_ano_ref,6,1),Planos!$G13,Planos!$G13+CEILING((DATE(crono_ano_ref,6,1)-Planos!$G13)/Planos!$E13,1)*Planos!$E13))/Planos!$E13)+1)))</f>
      </c>
      <c r="L15" s="44">
        <f>IF(OR(Planos!$A13="",NOT(ISNUMBER(Planos!$G13)),N(Planos!$E13)&lt;=0),0,IF(Planos!$G13&gt;EOMONTH(DATE(crono_ano_ref,7,1),0),0,MAX(0,INT((EOMONTH(DATE(crono_ano_ref,7,1),0)-IF(Planos!$G13&gt;=DATE(crono_ano_ref,7,1),Planos!$G13,Planos!$G13+CEILING((DATE(crono_ano_ref,7,1)-Planos!$G13)/Planos!$E13,1)*Planos!$E13))/Planos!$E13)+1)))</f>
      </c>
      <c r="M15" s="44">
        <f>IF(OR(Planos!$A13="",NOT(ISNUMBER(Planos!$G13)),N(Planos!$E13)&lt;=0),0,IF(Planos!$G13&gt;EOMONTH(DATE(crono_ano_ref,8,1),0),0,MAX(0,INT((EOMONTH(DATE(crono_ano_ref,8,1),0)-IF(Planos!$G13&gt;=DATE(crono_ano_ref,8,1),Planos!$G13,Planos!$G13+CEILING((DATE(crono_ano_ref,8,1)-Planos!$G13)/Planos!$E13,1)*Planos!$E13))/Planos!$E13)+1)))</f>
      </c>
      <c r="N15" s="44">
        <f>IF(OR(Planos!$A13="",NOT(ISNUMBER(Planos!$G13)),N(Planos!$E13)&lt;=0),0,IF(Planos!$G13&gt;EOMONTH(DATE(crono_ano_ref,9,1),0),0,MAX(0,INT((EOMONTH(DATE(crono_ano_ref,9,1),0)-IF(Planos!$G13&gt;=DATE(crono_ano_ref,9,1),Planos!$G13,Planos!$G13+CEILING((DATE(crono_ano_ref,9,1)-Planos!$G13)/Planos!$E13,1)*Planos!$E13))/Planos!$E13)+1)))</f>
      </c>
      <c r="O15" s="44">
        <f>IF(OR(Planos!$A13="",NOT(ISNUMBER(Planos!$G13)),N(Planos!$E13)&lt;=0),0,IF(Planos!$G13&gt;EOMONTH(DATE(crono_ano_ref,10,1),0),0,MAX(0,INT((EOMONTH(DATE(crono_ano_ref,10,1),0)-IF(Planos!$G13&gt;=DATE(crono_ano_ref,10,1),Planos!$G13,Planos!$G13+CEILING((DATE(crono_ano_ref,10,1)-Planos!$G13)/Planos!$E13,1)*Planos!$E13))/Planos!$E13)+1)))</f>
      </c>
      <c r="P15" s="44">
        <f>IF(OR(Planos!$A13="",NOT(ISNUMBER(Planos!$G13)),N(Planos!$E13)&lt;=0),0,IF(Planos!$G13&gt;EOMONTH(DATE(crono_ano_ref,11,1),0),0,MAX(0,INT((EOMONTH(DATE(crono_ano_ref,11,1),0)-IF(Planos!$G13&gt;=DATE(crono_ano_ref,11,1),Planos!$G13,Planos!$G13+CEILING((DATE(crono_ano_ref,11,1)-Planos!$G13)/Planos!$E13,1)*Planos!$E13))/Planos!$E13)+1)))</f>
      </c>
      <c r="Q15" s="44">
        <f>IF(OR(Planos!$A13="",NOT(ISNUMBER(Planos!$G13)),N(Planos!$E13)&lt;=0),0,IF(Planos!$G13&gt;EOMONTH(DATE(crono_ano_ref,12,1),0),0,MAX(0,INT((EOMONTH(DATE(crono_ano_ref,12,1),0)-IF(Planos!$G13&gt;=DATE(crono_ano_ref,12,1),Planos!$G13,Planos!$G13+CEILING((DATE(crono_ano_ref,12,1)-Planos!$G13)/Planos!$E13,1)*Planos!$E13))/Planos!$E13)+1)))</f>
      </c>
      <c r="R15" s="44">
        <f>SUM(F15:Q15)</f>
      </c>
    </row>
    <row r="16" spans="1:18" x14ac:dyDescent="0.25">
      <c r="A16" s="24">
        <f>IF(Planos!$A14="","",Planos!A14&amp;"")</f>
      </c>
      <c r="B16" s="41">
        <f>IF(Planos!$A14="","",Planos!B14&amp;"")</f>
      </c>
      <c r="C16" s="24">
        <f>IF(Planos!$A14="","",Planos!C14&amp;"")</f>
      </c>
      <c r="D16" s="42">
        <f>IF(Planos!$A14="","",N(Planos!E14))</f>
      </c>
      <c r="E16" s="43">
        <f>IF(Planos!$A14="","",N(Planos!K14))</f>
      </c>
      <c r="F16" s="44">
        <f>IF(OR(Planos!$A14="",NOT(ISNUMBER(Planos!$G14)),N(Planos!$E14)&lt;=0),0,IF(Planos!$G14&gt;EOMONTH(DATE(crono_ano_ref,1,1),0),0,MAX(0,INT((EOMONTH(DATE(crono_ano_ref,1,1),0)-IF(Planos!$G14&gt;=DATE(crono_ano_ref,1,1),Planos!$G14,Planos!$G14+CEILING((DATE(crono_ano_ref,1,1)-Planos!$G14)/Planos!$E14,1)*Planos!$E14))/Planos!$E14)+1)))</f>
      </c>
      <c r="G16" s="44">
        <f>IF(OR(Planos!$A14="",NOT(ISNUMBER(Planos!$G14)),N(Planos!$E14)&lt;=0),0,IF(Planos!$G14&gt;EOMONTH(DATE(crono_ano_ref,2,1),0),0,MAX(0,INT((EOMONTH(DATE(crono_ano_ref,2,1),0)-IF(Planos!$G14&gt;=DATE(crono_ano_ref,2,1),Planos!$G14,Planos!$G14+CEILING((DATE(crono_ano_ref,2,1)-Planos!$G14)/Planos!$E14,1)*Planos!$E14))/Planos!$E14)+1)))</f>
      </c>
      <c r="H16" s="44">
        <f>IF(OR(Planos!$A14="",NOT(ISNUMBER(Planos!$G14)),N(Planos!$E14)&lt;=0),0,IF(Planos!$G14&gt;EOMONTH(DATE(crono_ano_ref,3,1),0),0,MAX(0,INT((EOMONTH(DATE(crono_ano_ref,3,1),0)-IF(Planos!$G14&gt;=DATE(crono_ano_ref,3,1),Planos!$G14,Planos!$G14+CEILING((DATE(crono_ano_ref,3,1)-Planos!$G14)/Planos!$E14,1)*Planos!$E14))/Planos!$E14)+1)))</f>
      </c>
      <c r="I16" s="44">
        <f>IF(OR(Planos!$A14="",NOT(ISNUMBER(Planos!$G14)),N(Planos!$E14)&lt;=0),0,IF(Planos!$G14&gt;EOMONTH(DATE(crono_ano_ref,4,1),0),0,MAX(0,INT((EOMONTH(DATE(crono_ano_ref,4,1),0)-IF(Planos!$G14&gt;=DATE(crono_ano_ref,4,1),Planos!$G14,Planos!$G14+CEILING((DATE(crono_ano_ref,4,1)-Planos!$G14)/Planos!$E14,1)*Planos!$E14))/Planos!$E14)+1)))</f>
      </c>
      <c r="J16" s="44">
        <f>IF(OR(Planos!$A14="",NOT(ISNUMBER(Planos!$G14)),N(Planos!$E14)&lt;=0),0,IF(Planos!$G14&gt;EOMONTH(DATE(crono_ano_ref,5,1),0),0,MAX(0,INT((EOMONTH(DATE(crono_ano_ref,5,1),0)-IF(Planos!$G14&gt;=DATE(crono_ano_ref,5,1),Planos!$G14,Planos!$G14+CEILING((DATE(crono_ano_ref,5,1)-Planos!$G14)/Planos!$E14,1)*Planos!$E14))/Planos!$E14)+1)))</f>
      </c>
      <c r="K16" s="44">
        <f>IF(OR(Planos!$A14="",NOT(ISNUMBER(Planos!$G14)),N(Planos!$E14)&lt;=0),0,IF(Planos!$G14&gt;EOMONTH(DATE(crono_ano_ref,6,1),0),0,MAX(0,INT((EOMONTH(DATE(crono_ano_ref,6,1),0)-IF(Planos!$G14&gt;=DATE(crono_ano_ref,6,1),Planos!$G14,Planos!$G14+CEILING((DATE(crono_ano_ref,6,1)-Planos!$G14)/Planos!$E14,1)*Planos!$E14))/Planos!$E14)+1)))</f>
      </c>
      <c r="L16" s="44">
        <f>IF(OR(Planos!$A14="",NOT(ISNUMBER(Planos!$G14)),N(Planos!$E14)&lt;=0),0,IF(Planos!$G14&gt;EOMONTH(DATE(crono_ano_ref,7,1),0),0,MAX(0,INT((EOMONTH(DATE(crono_ano_ref,7,1),0)-IF(Planos!$G14&gt;=DATE(crono_ano_ref,7,1),Planos!$G14,Planos!$G14+CEILING((DATE(crono_ano_ref,7,1)-Planos!$G14)/Planos!$E14,1)*Planos!$E14))/Planos!$E14)+1)))</f>
      </c>
      <c r="M16" s="44">
        <f>IF(OR(Planos!$A14="",NOT(ISNUMBER(Planos!$G14)),N(Planos!$E14)&lt;=0),0,IF(Planos!$G14&gt;EOMONTH(DATE(crono_ano_ref,8,1),0),0,MAX(0,INT((EOMONTH(DATE(crono_ano_ref,8,1),0)-IF(Planos!$G14&gt;=DATE(crono_ano_ref,8,1),Planos!$G14,Planos!$G14+CEILING((DATE(crono_ano_ref,8,1)-Planos!$G14)/Planos!$E14,1)*Planos!$E14))/Planos!$E14)+1)))</f>
      </c>
      <c r="N16" s="44">
        <f>IF(OR(Planos!$A14="",NOT(ISNUMBER(Planos!$G14)),N(Planos!$E14)&lt;=0),0,IF(Planos!$G14&gt;EOMONTH(DATE(crono_ano_ref,9,1),0),0,MAX(0,INT((EOMONTH(DATE(crono_ano_ref,9,1),0)-IF(Planos!$G14&gt;=DATE(crono_ano_ref,9,1),Planos!$G14,Planos!$G14+CEILING((DATE(crono_ano_ref,9,1)-Planos!$G14)/Planos!$E14,1)*Planos!$E14))/Planos!$E14)+1)))</f>
      </c>
      <c r="O16" s="44">
        <f>IF(OR(Planos!$A14="",NOT(ISNUMBER(Planos!$G14)),N(Planos!$E14)&lt;=0),0,IF(Planos!$G14&gt;EOMONTH(DATE(crono_ano_ref,10,1),0),0,MAX(0,INT((EOMONTH(DATE(crono_ano_ref,10,1),0)-IF(Planos!$G14&gt;=DATE(crono_ano_ref,10,1),Planos!$G14,Planos!$G14+CEILING((DATE(crono_ano_ref,10,1)-Planos!$G14)/Planos!$E14,1)*Planos!$E14))/Planos!$E14)+1)))</f>
      </c>
      <c r="P16" s="44">
        <f>IF(OR(Planos!$A14="",NOT(ISNUMBER(Planos!$G14)),N(Planos!$E14)&lt;=0),0,IF(Planos!$G14&gt;EOMONTH(DATE(crono_ano_ref,11,1),0),0,MAX(0,INT((EOMONTH(DATE(crono_ano_ref,11,1),0)-IF(Planos!$G14&gt;=DATE(crono_ano_ref,11,1),Planos!$G14,Planos!$G14+CEILING((DATE(crono_ano_ref,11,1)-Planos!$G14)/Planos!$E14,1)*Planos!$E14))/Planos!$E14)+1)))</f>
      </c>
      <c r="Q16" s="44">
        <f>IF(OR(Planos!$A14="",NOT(ISNUMBER(Planos!$G14)),N(Planos!$E14)&lt;=0),0,IF(Planos!$G14&gt;EOMONTH(DATE(crono_ano_ref,12,1),0),0,MAX(0,INT((EOMONTH(DATE(crono_ano_ref,12,1),0)-IF(Planos!$G14&gt;=DATE(crono_ano_ref,12,1),Planos!$G14,Planos!$G14+CEILING((DATE(crono_ano_ref,12,1)-Planos!$G14)/Planos!$E14,1)*Planos!$E14))/Planos!$E14)+1)))</f>
      </c>
      <c r="R16" s="44">
        <f>SUM(F16:Q16)</f>
      </c>
    </row>
    <row r="17" spans="1:18" x14ac:dyDescent="0.25">
      <c r="A17" s="24">
        <f>IF(Planos!$A15="","",Planos!A15&amp;"")</f>
      </c>
      <c r="B17" s="41">
        <f>IF(Planos!$A15="","",Planos!B15&amp;"")</f>
      </c>
      <c r="C17" s="24">
        <f>IF(Planos!$A15="","",Planos!C15&amp;"")</f>
      </c>
      <c r="D17" s="42">
        <f>IF(Planos!$A15="","",N(Planos!E15))</f>
      </c>
      <c r="E17" s="43">
        <f>IF(Planos!$A15="","",N(Planos!K15))</f>
      </c>
      <c r="F17" s="44">
        <f>IF(OR(Planos!$A15="",NOT(ISNUMBER(Planos!$G15)),N(Planos!$E15)&lt;=0),0,IF(Planos!$G15&gt;EOMONTH(DATE(crono_ano_ref,1,1),0),0,MAX(0,INT((EOMONTH(DATE(crono_ano_ref,1,1),0)-IF(Planos!$G15&gt;=DATE(crono_ano_ref,1,1),Planos!$G15,Planos!$G15+CEILING((DATE(crono_ano_ref,1,1)-Planos!$G15)/Planos!$E15,1)*Planos!$E15))/Planos!$E15)+1)))</f>
      </c>
      <c r="G17" s="44">
        <f>IF(OR(Planos!$A15="",NOT(ISNUMBER(Planos!$G15)),N(Planos!$E15)&lt;=0),0,IF(Planos!$G15&gt;EOMONTH(DATE(crono_ano_ref,2,1),0),0,MAX(0,INT((EOMONTH(DATE(crono_ano_ref,2,1),0)-IF(Planos!$G15&gt;=DATE(crono_ano_ref,2,1),Planos!$G15,Planos!$G15+CEILING((DATE(crono_ano_ref,2,1)-Planos!$G15)/Planos!$E15,1)*Planos!$E15))/Planos!$E15)+1)))</f>
      </c>
      <c r="H17" s="44">
        <f>IF(OR(Planos!$A15="",NOT(ISNUMBER(Planos!$G15)),N(Planos!$E15)&lt;=0),0,IF(Planos!$G15&gt;EOMONTH(DATE(crono_ano_ref,3,1),0),0,MAX(0,INT((EOMONTH(DATE(crono_ano_ref,3,1),0)-IF(Planos!$G15&gt;=DATE(crono_ano_ref,3,1),Planos!$G15,Planos!$G15+CEILING((DATE(crono_ano_ref,3,1)-Planos!$G15)/Planos!$E15,1)*Planos!$E15))/Planos!$E15)+1)))</f>
      </c>
      <c r="I17" s="44">
        <f>IF(OR(Planos!$A15="",NOT(ISNUMBER(Planos!$G15)),N(Planos!$E15)&lt;=0),0,IF(Planos!$G15&gt;EOMONTH(DATE(crono_ano_ref,4,1),0),0,MAX(0,INT((EOMONTH(DATE(crono_ano_ref,4,1),0)-IF(Planos!$G15&gt;=DATE(crono_ano_ref,4,1),Planos!$G15,Planos!$G15+CEILING((DATE(crono_ano_ref,4,1)-Planos!$G15)/Planos!$E15,1)*Planos!$E15))/Planos!$E15)+1)))</f>
      </c>
      <c r="J17" s="44">
        <f>IF(OR(Planos!$A15="",NOT(ISNUMBER(Planos!$G15)),N(Planos!$E15)&lt;=0),0,IF(Planos!$G15&gt;EOMONTH(DATE(crono_ano_ref,5,1),0),0,MAX(0,INT((EOMONTH(DATE(crono_ano_ref,5,1),0)-IF(Planos!$G15&gt;=DATE(crono_ano_ref,5,1),Planos!$G15,Planos!$G15+CEILING((DATE(crono_ano_ref,5,1)-Planos!$G15)/Planos!$E15,1)*Planos!$E15))/Planos!$E15)+1)))</f>
      </c>
      <c r="K17" s="44">
        <f>IF(OR(Planos!$A15="",NOT(ISNUMBER(Planos!$G15)),N(Planos!$E15)&lt;=0),0,IF(Planos!$G15&gt;EOMONTH(DATE(crono_ano_ref,6,1),0),0,MAX(0,INT((EOMONTH(DATE(crono_ano_ref,6,1),0)-IF(Planos!$G15&gt;=DATE(crono_ano_ref,6,1),Planos!$G15,Planos!$G15+CEILING((DATE(crono_ano_ref,6,1)-Planos!$G15)/Planos!$E15,1)*Planos!$E15))/Planos!$E15)+1)))</f>
      </c>
      <c r="L17" s="44">
        <f>IF(OR(Planos!$A15="",NOT(ISNUMBER(Planos!$G15)),N(Planos!$E15)&lt;=0),0,IF(Planos!$G15&gt;EOMONTH(DATE(crono_ano_ref,7,1),0),0,MAX(0,INT((EOMONTH(DATE(crono_ano_ref,7,1),0)-IF(Planos!$G15&gt;=DATE(crono_ano_ref,7,1),Planos!$G15,Planos!$G15+CEILING((DATE(crono_ano_ref,7,1)-Planos!$G15)/Planos!$E15,1)*Planos!$E15))/Planos!$E15)+1)))</f>
      </c>
      <c r="M17" s="44">
        <f>IF(OR(Planos!$A15="",NOT(ISNUMBER(Planos!$G15)),N(Planos!$E15)&lt;=0),0,IF(Planos!$G15&gt;EOMONTH(DATE(crono_ano_ref,8,1),0),0,MAX(0,INT((EOMONTH(DATE(crono_ano_ref,8,1),0)-IF(Planos!$G15&gt;=DATE(crono_ano_ref,8,1),Planos!$G15,Planos!$G15+CEILING((DATE(crono_ano_ref,8,1)-Planos!$G15)/Planos!$E15,1)*Planos!$E15))/Planos!$E15)+1)))</f>
      </c>
      <c r="N17" s="44">
        <f>IF(OR(Planos!$A15="",NOT(ISNUMBER(Planos!$G15)),N(Planos!$E15)&lt;=0),0,IF(Planos!$G15&gt;EOMONTH(DATE(crono_ano_ref,9,1),0),0,MAX(0,INT((EOMONTH(DATE(crono_ano_ref,9,1),0)-IF(Planos!$G15&gt;=DATE(crono_ano_ref,9,1),Planos!$G15,Planos!$G15+CEILING((DATE(crono_ano_ref,9,1)-Planos!$G15)/Planos!$E15,1)*Planos!$E15))/Planos!$E15)+1)))</f>
      </c>
      <c r="O17" s="44">
        <f>IF(OR(Planos!$A15="",NOT(ISNUMBER(Planos!$G15)),N(Planos!$E15)&lt;=0),0,IF(Planos!$G15&gt;EOMONTH(DATE(crono_ano_ref,10,1),0),0,MAX(0,INT((EOMONTH(DATE(crono_ano_ref,10,1),0)-IF(Planos!$G15&gt;=DATE(crono_ano_ref,10,1),Planos!$G15,Planos!$G15+CEILING((DATE(crono_ano_ref,10,1)-Planos!$G15)/Planos!$E15,1)*Planos!$E15))/Planos!$E15)+1)))</f>
      </c>
      <c r="P17" s="44">
        <f>IF(OR(Planos!$A15="",NOT(ISNUMBER(Planos!$G15)),N(Planos!$E15)&lt;=0),0,IF(Planos!$G15&gt;EOMONTH(DATE(crono_ano_ref,11,1),0),0,MAX(0,INT((EOMONTH(DATE(crono_ano_ref,11,1),0)-IF(Planos!$G15&gt;=DATE(crono_ano_ref,11,1),Planos!$G15,Planos!$G15+CEILING((DATE(crono_ano_ref,11,1)-Planos!$G15)/Planos!$E15,1)*Planos!$E15))/Planos!$E15)+1)))</f>
      </c>
      <c r="Q17" s="44">
        <f>IF(OR(Planos!$A15="",NOT(ISNUMBER(Planos!$G15)),N(Planos!$E15)&lt;=0),0,IF(Planos!$G15&gt;EOMONTH(DATE(crono_ano_ref,12,1),0),0,MAX(0,INT((EOMONTH(DATE(crono_ano_ref,12,1),0)-IF(Planos!$G15&gt;=DATE(crono_ano_ref,12,1),Planos!$G15,Planos!$G15+CEILING((DATE(crono_ano_ref,12,1)-Planos!$G15)/Planos!$E15,1)*Planos!$E15))/Planos!$E15)+1)))</f>
      </c>
      <c r="R17" s="44">
        <f>SUM(F17:Q17)</f>
      </c>
    </row>
    <row r="18" spans="1:18" x14ac:dyDescent="0.25">
      <c r="A18" s="24">
        <f>IF(Planos!$A16="","",Planos!A16&amp;"")</f>
      </c>
      <c r="B18" s="41">
        <f>IF(Planos!$A16="","",Planos!B16&amp;"")</f>
      </c>
      <c r="C18" s="24">
        <f>IF(Planos!$A16="","",Planos!C16&amp;"")</f>
      </c>
      <c r="D18" s="42">
        <f>IF(Planos!$A16="","",N(Planos!E16))</f>
      </c>
      <c r="E18" s="43">
        <f>IF(Planos!$A16="","",N(Planos!K16))</f>
      </c>
      <c r="F18" s="44">
        <f>IF(OR(Planos!$A16="",NOT(ISNUMBER(Planos!$G16)),N(Planos!$E16)&lt;=0),0,IF(Planos!$G16&gt;EOMONTH(DATE(crono_ano_ref,1,1),0),0,MAX(0,INT((EOMONTH(DATE(crono_ano_ref,1,1),0)-IF(Planos!$G16&gt;=DATE(crono_ano_ref,1,1),Planos!$G16,Planos!$G16+CEILING((DATE(crono_ano_ref,1,1)-Planos!$G16)/Planos!$E16,1)*Planos!$E16))/Planos!$E16)+1)))</f>
      </c>
      <c r="G18" s="44">
        <f>IF(OR(Planos!$A16="",NOT(ISNUMBER(Planos!$G16)),N(Planos!$E16)&lt;=0),0,IF(Planos!$G16&gt;EOMONTH(DATE(crono_ano_ref,2,1),0),0,MAX(0,INT((EOMONTH(DATE(crono_ano_ref,2,1),0)-IF(Planos!$G16&gt;=DATE(crono_ano_ref,2,1),Planos!$G16,Planos!$G16+CEILING((DATE(crono_ano_ref,2,1)-Planos!$G16)/Planos!$E16,1)*Planos!$E16))/Planos!$E16)+1)))</f>
      </c>
      <c r="H18" s="44">
        <f>IF(OR(Planos!$A16="",NOT(ISNUMBER(Planos!$G16)),N(Planos!$E16)&lt;=0),0,IF(Planos!$G16&gt;EOMONTH(DATE(crono_ano_ref,3,1),0),0,MAX(0,INT((EOMONTH(DATE(crono_ano_ref,3,1),0)-IF(Planos!$G16&gt;=DATE(crono_ano_ref,3,1),Planos!$G16,Planos!$G16+CEILING((DATE(crono_ano_ref,3,1)-Planos!$G16)/Planos!$E16,1)*Planos!$E16))/Planos!$E16)+1)))</f>
      </c>
      <c r="I18" s="44">
        <f>IF(OR(Planos!$A16="",NOT(ISNUMBER(Planos!$G16)),N(Planos!$E16)&lt;=0),0,IF(Planos!$G16&gt;EOMONTH(DATE(crono_ano_ref,4,1),0),0,MAX(0,INT((EOMONTH(DATE(crono_ano_ref,4,1),0)-IF(Planos!$G16&gt;=DATE(crono_ano_ref,4,1),Planos!$G16,Planos!$G16+CEILING((DATE(crono_ano_ref,4,1)-Planos!$G16)/Planos!$E16,1)*Planos!$E16))/Planos!$E16)+1)))</f>
      </c>
      <c r="J18" s="44">
        <f>IF(OR(Planos!$A16="",NOT(ISNUMBER(Planos!$G16)),N(Planos!$E16)&lt;=0),0,IF(Planos!$G16&gt;EOMONTH(DATE(crono_ano_ref,5,1),0),0,MAX(0,INT((EOMONTH(DATE(crono_ano_ref,5,1),0)-IF(Planos!$G16&gt;=DATE(crono_ano_ref,5,1),Planos!$G16,Planos!$G16+CEILING((DATE(crono_ano_ref,5,1)-Planos!$G16)/Planos!$E16,1)*Planos!$E16))/Planos!$E16)+1)))</f>
      </c>
      <c r="K18" s="44">
        <f>IF(OR(Planos!$A16="",NOT(ISNUMBER(Planos!$G16)),N(Planos!$E16)&lt;=0),0,IF(Planos!$G16&gt;EOMONTH(DATE(crono_ano_ref,6,1),0),0,MAX(0,INT((EOMONTH(DATE(crono_ano_ref,6,1),0)-IF(Planos!$G16&gt;=DATE(crono_ano_ref,6,1),Planos!$G16,Planos!$G16+CEILING((DATE(crono_ano_ref,6,1)-Planos!$G16)/Planos!$E16,1)*Planos!$E16))/Planos!$E16)+1)))</f>
      </c>
      <c r="L18" s="44">
        <f>IF(OR(Planos!$A16="",NOT(ISNUMBER(Planos!$G16)),N(Planos!$E16)&lt;=0),0,IF(Planos!$G16&gt;EOMONTH(DATE(crono_ano_ref,7,1),0),0,MAX(0,INT((EOMONTH(DATE(crono_ano_ref,7,1),0)-IF(Planos!$G16&gt;=DATE(crono_ano_ref,7,1),Planos!$G16,Planos!$G16+CEILING((DATE(crono_ano_ref,7,1)-Planos!$G16)/Planos!$E16,1)*Planos!$E16))/Planos!$E16)+1)))</f>
      </c>
      <c r="M18" s="44">
        <f>IF(OR(Planos!$A16="",NOT(ISNUMBER(Planos!$G16)),N(Planos!$E16)&lt;=0),0,IF(Planos!$G16&gt;EOMONTH(DATE(crono_ano_ref,8,1),0),0,MAX(0,INT((EOMONTH(DATE(crono_ano_ref,8,1),0)-IF(Planos!$G16&gt;=DATE(crono_ano_ref,8,1),Planos!$G16,Planos!$G16+CEILING((DATE(crono_ano_ref,8,1)-Planos!$G16)/Planos!$E16,1)*Planos!$E16))/Planos!$E16)+1)))</f>
      </c>
      <c r="N18" s="44">
        <f>IF(OR(Planos!$A16="",NOT(ISNUMBER(Planos!$G16)),N(Planos!$E16)&lt;=0),0,IF(Planos!$G16&gt;EOMONTH(DATE(crono_ano_ref,9,1),0),0,MAX(0,INT((EOMONTH(DATE(crono_ano_ref,9,1),0)-IF(Planos!$G16&gt;=DATE(crono_ano_ref,9,1),Planos!$G16,Planos!$G16+CEILING((DATE(crono_ano_ref,9,1)-Planos!$G16)/Planos!$E16,1)*Planos!$E16))/Planos!$E16)+1)))</f>
      </c>
      <c r="O18" s="44">
        <f>IF(OR(Planos!$A16="",NOT(ISNUMBER(Planos!$G16)),N(Planos!$E16)&lt;=0),0,IF(Planos!$G16&gt;EOMONTH(DATE(crono_ano_ref,10,1),0),0,MAX(0,INT((EOMONTH(DATE(crono_ano_ref,10,1),0)-IF(Planos!$G16&gt;=DATE(crono_ano_ref,10,1),Planos!$G16,Planos!$G16+CEILING((DATE(crono_ano_ref,10,1)-Planos!$G16)/Planos!$E16,1)*Planos!$E16))/Planos!$E16)+1)))</f>
      </c>
      <c r="P18" s="44">
        <f>IF(OR(Planos!$A16="",NOT(ISNUMBER(Planos!$G16)),N(Planos!$E16)&lt;=0),0,IF(Planos!$G16&gt;EOMONTH(DATE(crono_ano_ref,11,1),0),0,MAX(0,INT((EOMONTH(DATE(crono_ano_ref,11,1),0)-IF(Planos!$G16&gt;=DATE(crono_ano_ref,11,1),Planos!$G16,Planos!$G16+CEILING((DATE(crono_ano_ref,11,1)-Planos!$G16)/Planos!$E16,1)*Planos!$E16))/Planos!$E16)+1)))</f>
      </c>
      <c r="Q18" s="44">
        <f>IF(OR(Planos!$A16="",NOT(ISNUMBER(Planos!$G16)),N(Planos!$E16)&lt;=0),0,IF(Planos!$G16&gt;EOMONTH(DATE(crono_ano_ref,12,1),0),0,MAX(0,INT((EOMONTH(DATE(crono_ano_ref,12,1),0)-IF(Planos!$G16&gt;=DATE(crono_ano_ref,12,1),Planos!$G16,Planos!$G16+CEILING((DATE(crono_ano_ref,12,1)-Planos!$G16)/Planos!$E16,1)*Planos!$E16))/Planos!$E16)+1)))</f>
      </c>
      <c r="R18" s="44">
        <f>SUM(F18:Q18)</f>
      </c>
    </row>
    <row r="19" spans="1:18" x14ac:dyDescent="0.25">
      <c r="A19" s="24">
        <f>IF(Planos!$A17="","",Planos!A17&amp;"")</f>
      </c>
      <c r="B19" s="41">
        <f>IF(Planos!$A17="","",Planos!B17&amp;"")</f>
      </c>
      <c r="C19" s="24">
        <f>IF(Planos!$A17="","",Planos!C17&amp;"")</f>
      </c>
      <c r="D19" s="42">
        <f>IF(Planos!$A17="","",N(Planos!E17))</f>
      </c>
      <c r="E19" s="43">
        <f>IF(Planos!$A17="","",N(Planos!K17))</f>
      </c>
      <c r="F19" s="44">
        <f>IF(OR(Planos!$A17="",NOT(ISNUMBER(Planos!$G17)),N(Planos!$E17)&lt;=0),0,IF(Planos!$G17&gt;EOMONTH(DATE(crono_ano_ref,1,1),0),0,MAX(0,INT((EOMONTH(DATE(crono_ano_ref,1,1),0)-IF(Planos!$G17&gt;=DATE(crono_ano_ref,1,1),Planos!$G17,Planos!$G17+CEILING((DATE(crono_ano_ref,1,1)-Planos!$G17)/Planos!$E17,1)*Planos!$E17))/Planos!$E17)+1)))</f>
      </c>
      <c r="G19" s="44">
        <f>IF(OR(Planos!$A17="",NOT(ISNUMBER(Planos!$G17)),N(Planos!$E17)&lt;=0),0,IF(Planos!$G17&gt;EOMONTH(DATE(crono_ano_ref,2,1),0),0,MAX(0,INT((EOMONTH(DATE(crono_ano_ref,2,1),0)-IF(Planos!$G17&gt;=DATE(crono_ano_ref,2,1),Planos!$G17,Planos!$G17+CEILING((DATE(crono_ano_ref,2,1)-Planos!$G17)/Planos!$E17,1)*Planos!$E17))/Planos!$E17)+1)))</f>
      </c>
      <c r="H19" s="44">
        <f>IF(OR(Planos!$A17="",NOT(ISNUMBER(Planos!$G17)),N(Planos!$E17)&lt;=0),0,IF(Planos!$G17&gt;EOMONTH(DATE(crono_ano_ref,3,1),0),0,MAX(0,INT((EOMONTH(DATE(crono_ano_ref,3,1),0)-IF(Planos!$G17&gt;=DATE(crono_ano_ref,3,1),Planos!$G17,Planos!$G17+CEILING((DATE(crono_ano_ref,3,1)-Planos!$G17)/Planos!$E17,1)*Planos!$E17))/Planos!$E17)+1)))</f>
      </c>
      <c r="I19" s="44">
        <f>IF(OR(Planos!$A17="",NOT(ISNUMBER(Planos!$G17)),N(Planos!$E17)&lt;=0),0,IF(Planos!$G17&gt;EOMONTH(DATE(crono_ano_ref,4,1),0),0,MAX(0,INT((EOMONTH(DATE(crono_ano_ref,4,1),0)-IF(Planos!$G17&gt;=DATE(crono_ano_ref,4,1),Planos!$G17,Planos!$G17+CEILING((DATE(crono_ano_ref,4,1)-Planos!$G17)/Planos!$E17,1)*Planos!$E17))/Planos!$E17)+1)))</f>
      </c>
      <c r="J19" s="44">
        <f>IF(OR(Planos!$A17="",NOT(ISNUMBER(Planos!$G17)),N(Planos!$E17)&lt;=0),0,IF(Planos!$G17&gt;EOMONTH(DATE(crono_ano_ref,5,1),0),0,MAX(0,INT((EOMONTH(DATE(crono_ano_ref,5,1),0)-IF(Planos!$G17&gt;=DATE(crono_ano_ref,5,1),Planos!$G17,Planos!$G17+CEILING((DATE(crono_ano_ref,5,1)-Planos!$G17)/Planos!$E17,1)*Planos!$E17))/Planos!$E17)+1)))</f>
      </c>
      <c r="K19" s="44">
        <f>IF(OR(Planos!$A17="",NOT(ISNUMBER(Planos!$G17)),N(Planos!$E17)&lt;=0),0,IF(Planos!$G17&gt;EOMONTH(DATE(crono_ano_ref,6,1),0),0,MAX(0,INT((EOMONTH(DATE(crono_ano_ref,6,1),0)-IF(Planos!$G17&gt;=DATE(crono_ano_ref,6,1),Planos!$G17,Planos!$G17+CEILING((DATE(crono_ano_ref,6,1)-Planos!$G17)/Planos!$E17,1)*Planos!$E17))/Planos!$E17)+1)))</f>
      </c>
      <c r="L19" s="44">
        <f>IF(OR(Planos!$A17="",NOT(ISNUMBER(Planos!$G17)),N(Planos!$E17)&lt;=0),0,IF(Planos!$G17&gt;EOMONTH(DATE(crono_ano_ref,7,1),0),0,MAX(0,INT((EOMONTH(DATE(crono_ano_ref,7,1),0)-IF(Planos!$G17&gt;=DATE(crono_ano_ref,7,1),Planos!$G17,Planos!$G17+CEILING((DATE(crono_ano_ref,7,1)-Planos!$G17)/Planos!$E17,1)*Planos!$E17))/Planos!$E17)+1)))</f>
      </c>
      <c r="M19" s="44">
        <f>IF(OR(Planos!$A17="",NOT(ISNUMBER(Planos!$G17)),N(Planos!$E17)&lt;=0),0,IF(Planos!$G17&gt;EOMONTH(DATE(crono_ano_ref,8,1),0),0,MAX(0,INT((EOMONTH(DATE(crono_ano_ref,8,1),0)-IF(Planos!$G17&gt;=DATE(crono_ano_ref,8,1),Planos!$G17,Planos!$G17+CEILING((DATE(crono_ano_ref,8,1)-Planos!$G17)/Planos!$E17,1)*Planos!$E17))/Planos!$E17)+1)))</f>
      </c>
      <c r="N19" s="44">
        <f>IF(OR(Planos!$A17="",NOT(ISNUMBER(Planos!$G17)),N(Planos!$E17)&lt;=0),0,IF(Planos!$G17&gt;EOMONTH(DATE(crono_ano_ref,9,1),0),0,MAX(0,INT((EOMONTH(DATE(crono_ano_ref,9,1),0)-IF(Planos!$G17&gt;=DATE(crono_ano_ref,9,1),Planos!$G17,Planos!$G17+CEILING((DATE(crono_ano_ref,9,1)-Planos!$G17)/Planos!$E17,1)*Planos!$E17))/Planos!$E17)+1)))</f>
      </c>
      <c r="O19" s="44">
        <f>IF(OR(Planos!$A17="",NOT(ISNUMBER(Planos!$G17)),N(Planos!$E17)&lt;=0),0,IF(Planos!$G17&gt;EOMONTH(DATE(crono_ano_ref,10,1),0),0,MAX(0,INT((EOMONTH(DATE(crono_ano_ref,10,1),0)-IF(Planos!$G17&gt;=DATE(crono_ano_ref,10,1),Planos!$G17,Planos!$G17+CEILING((DATE(crono_ano_ref,10,1)-Planos!$G17)/Planos!$E17,1)*Planos!$E17))/Planos!$E17)+1)))</f>
      </c>
      <c r="P19" s="44">
        <f>IF(OR(Planos!$A17="",NOT(ISNUMBER(Planos!$G17)),N(Planos!$E17)&lt;=0),0,IF(Planos!$G17&gt;EOMONTH(DATE(crono_ano_ref,11,1),0),0,MAX(0,INT((EOMONTH(DATE(crono_ano_ref,11,1),0)-IF(Planos!$G17&gt;=DATE(crono_ano_ref,11,1),Planos!$G17,Planos!$G17+CEILING((DATE(crono_ano_ref,11,1)-Planos!$G17)/Planos!$E17,1)*Planos!$E17))/Planos!$E17)+1)))</f>
      </c>
      <c r="Q19" s="44">
        <f>IF(OR(Planos!$A17="",NOT(ISNUMBER(Planos!$G17)),N(Planos!$E17)&lt;=0),0,IF(Planos!$G17&gt;EOMONTH(DATE(crono_ano_ref,12,1),0),0,MAX(0,INT((EOMONTH(DATE(crono_ano_ref,12,1),0)-IF(Planos!$G17&gt;=DATE(crono_ano_ref,12,1),Planos!$G17,Planos!$G17+CEILING((DATE(crono_ano_ref,12,1)-Planos!$G17)/Planos!$E17,1)*Planos!$E17))/Planos!$E17)+1)))</f>
      </c>
      <c r="R19" s="44">
        <f>SUM(F19:Q19)</f>
      </c>
    </row>
    <row r="20" spans="1:18" x14ac:dyDescent="0.25">
      <c r="A20" s="24">
        <f>IF(Planos!$A18="","",Planos!A18&amp;"")</f>
      </c>
      <c r="B20" s="41">
        <f>IF(Planos!$A18="","",Planos!B18&amp;"")</f>
      </c>
      <c r="C20" s="24">
        <f>IF(Planos!$A18="","",Planos!C18&amp;"")</f>
      </c>
      <c r="D20" s="42">
        <f>IF(Planos!$A18="","",N(Planos!E18))</f>
      </c>
      <c r="E20" s="43">
        <f>IF(Planos!$A18="","",N(Planos!K18))</f>
      </c>
      <c r="F20" s="44">
        <f>IF(OR(Planos!$A18="",NOT(ISNUMBER(Planos!$G18)),N(Planos!$E18)&lt;=0),0,IF(Planos!$G18&gt;EOMONTH(DATE(crono_ano_ref,1,1),0),0,MAX(0,INT((EOMONTH(DATE(crono_ano_ref,1,1),0)-IF(Planos!$G18&gt;=DATE(crono_ano_ref,1,1),Planos!$G18,Planos!$G18+CEILING((DATE(crono_ano_ref,1,1)-Planos!$G18)/Planos!$E18,1)*Planos!$E18))/Planos!$E18)+1)))</f>
      </c>
      <c r="G20" s="44">
        <f>IF(OR(Planos!$A18="",NOT(ISNUMBER(Planos!$G18)),N(Planos!$E18)&lt;=0),0,IF(Planos!$G18&gt;EOMONTH(DATE(crono_ano_ref,2,1),0),0,MAX(0,INT((EOMONTH(DATE(crono_ano_ref,2,1),0)-IF(Planos!$G18&gt;=DATE(crono_ano_ref,2,1),Planos!$G18,Planos!$G18+CEILING((DATE(crono_ano_ref,2,1)-Planos!$G18)/Planos!$E18,1)*Planos!$E18))/Planos!$E18)+1)))</f>
      </c>
      <c r="H20" s="44">
        <f>IF(OR(Planos!$A18="",NOT(ISNUMBER(Planos!$G18)),N(Planos!$E18)&lt;=0),0,IF(Planos!$G18&gt;EOMONTH(DATE(crono_ano_ref,3,1),0),0,MAX(0,INT((EOMONTH(DATE(crono_ano_ref,3,1),0)-IF(Planos!$G18&gt;=DATE(crono_ano_ref,3,1),Planos!$G18,Planos!$G18+CEILING((DATE(crono_ano_ref,3,1)-Planos!$G18)/Planos!$E18,1)*Planos!$E18))/Planos!$E18)+1)))</f>
      </c>
      <c r="I20" s="44">
        <f>IF(OR(Planos!$A18="",NOT(ISNUMBER(Planos!$G18)),N(Planos!$E18)&lt;=0),0,IF(Planos!$G18&gt;EOMONTH(DATE(crono_ano_ref,4,1),0),0,MAX(0,INT((EOMONTH(DATE(crono_ano_ref,4,1),0)-IF(Planos!$G18&gt;=DATE(crono_ano_ref,4,1),Planos!$G18,Planos!$G18+CEILING((DATE(crono_ano_ref,4,1)-Planos!$G18)/Planos!$E18,1)*Planos!$E18))/Planos!$E18)+1)))</f>
      </c>
      <c r="J20" s="44">
        <f>IF(OR(Planos!$A18="",NOT(ISNUMBER(Planos!$G18)),N(Planos!$E18)&lt;=0),0,IF(Planos!$G18&gt;EOMONTH(DATE(crono_ano_ref,5,1),0),0,MAX(0,INT((EOMONTH(DATE(crono_ano_ref,5,1),0)-IF(Planos!$G18&gt;=DATE(crono_ano_ref,5,1),Planos!$G18,Planos!$G18+CEILING((DATE(crono_ano_ref,5,1)-Planos!$G18)/Planos!$E18,1)*Planos!$E18))/Planos!$E18)+1)))</f>
      </c>
      <c r="K20" s="44">
        <f>IF(OR(Planos!$A18="",NOT(ISNUMBER(Planos!$G18)),N(Planos!$E18)&lt;=0),0,IF(Planos!$G18&gt;EOMONTH(DATE(crono_ano_ref,6,1),0),0,MAX(0,INT((EOMONTH(DATE(crono_ano_ref,6,1),0)-IF(Planos!$G18&gt;=DATE(crono_ano_ref,6,1),Planos!$G18,Planos!$G18+CEILING((DATE(crono_ano_ref,6,1)-Planos!$G18)/Planos!$E18,1)*Planos!$E18))/Planos!$E18)+1)))</f>
      </c>
      <c r="L20" s="44">
        <f>IF(OR(Planos!$A18="",NOT(ISNUMBER(Planos!$G18)),N(Planos!$E18)&lt;=0),0,IF(Planos!$G18&gt;EOMONTH(DATE(crono_ano_ref,7,1),0),0,MAX(0,INT((EOMONTH(DATE(crono_ano_ref,7,1),0)-IF(Planos!$G18&gt;=DATE(crono_ano_ref,7,1),Planos!$G18,Planos!$G18+CEILING((DATE(crono_ano_ref,7,1)-Planos!$G18)/Planos!$E18,1)*Planos!$E18))/Planos!$E18)+1)))</f>
      </c>
      <c r="M20" s="44">
        <f>IF(OR(Planos!$A18="",NOT(ISNUMBER(Planos!$G18)),N(Planos!$E18)&lt;=0),0,IF(Planos!$G18&gt;EOMONTH(DATE(crono_ano_ref,8,1),0),0,MAX(0,INT((EOMONTH(DATE(crono_ano_ref,8,1),0)-IF(Planos!$G18&gt;=DATE(crono_ano_ref,8,1),Planos!$G18,Planos!$G18+CEILING((DATE(crono_ano_ref,8,1)-Planos!$G18)/Planos!$E18,1)*Planos!$E18))/Planos!$E18)+1)))</f>
      </c>
      <c r="N20" s="44">
        <f>IF(OR(Planos!$A18="",NOT(ISNUMBER(Planos!$G18)),N(Planos!$E18)&lt;=0),0,IF(Planos!$G18&gt;EOMONTH(DATE(crono_ano_ref,9,1),0),0,MAX(0,INT((EOMONTH(DATE(crono_ano_ref,9,1),0)-IF(Planos!$G18&gt;=DATE(crono_ano_ref,9,1),Planos!$G18,Planos!$G18+CEILING((DATE(crono_ano_ref,9,1)-Planos!$G18)/Planos!$E18,1)*Planos!$E18))/Planos!$E18)+1)))</f>
      </c>
      <c r="O20" s="44">
        <f>IF(OR(Planos!$A18="",NOT(ISNUMBER(Planos!$G18)),N(Planos!$E18)&lt;=0),0,IF(Planos!$G18&gt;EOMONTH(DATE(crono_ano_ref,10,1),0),0,MAX(0,INT((EOMONTH(DATE(crono_ano_ref,10,1),0)-IF(Planos!$G18&gt;=DATE(crono_ano_ref,10,1),Planos!$G18,Planos!$G18+CEILING((DATE(crono_ano_ref,10,1)-Planos!$G18)/Planos!$E18,1)*Planos!$E18))/Planos!$E18)+1)))</f>
      </c>
      <c r="P20" s="44">
        <f>IF(OR(Planos!$A18="",NOT(ISNUMBER(Planos!$G18)),N(Planos!$E18)&lt;=0),0,IF(Planos!$G18&gt;EOMONTH(DATE(crono_ano_ref,11,1),0),0,MAX(0,INT((EOMONTH(DATE(crono_ano_ref,11,1),0)-IF(Planos!$G18&gt;=DATE(crono_ano_ref,11,1),Planos!$G18,Planos!$G18+CEILING((DATE(crono_ano_ref,11,1)-Planos!$G18)/Planos!$E18,1)*Planos!$E18))/Planos!$E18)+1)))</f>
      </c>
      <c r="Q20" s="44">
        <f>IF(OR(Planos!$A18="",NOT(ISNUMBER(Planos!$G18)),N(Planos!$E18)&lt;=0),0,IF(Planos!$G18&gt;EOMONTH(DATE(crono_ano_ref,12,1),0),0,MAX(0,INT((EOMONTH(DATE(crono_ano_ref,12,1),0)-IF(Planos!$G18&gt;=DATE(crono_ano_ref,12,1),Planos!$G18,Planos!$G18+CEILING((DATE(crono_ano_ref,12,1)-Planos!$G18)/Planos!$E18,1)*Planos!$E18))/Planos!$E18)+1)))</f>
      </c>
      <c r="R20" s="44">
        <f>SUM(F20:Q20)</f>
      </c>
    </row>
    <row r="21" spans="1:18" x14ac:dyDescent="0.25">
      <c r="A21" s="24">
        <f>IF(Planos!$A19="","",Planos!A19&amp;"")</f>
      </c>
      <c r="B21" s="41">
        <f>IF(Planos!$A19="","",Planos!B19&amp;"")</f>
      </c>
      <c r="C21" s="24">
        <f>IF(Planos!$A19="","",Planos!C19&amp;"")</f>
      </c>
      <c r="D21" s="42">
        <f>IF(Planos!$A19="","",N(Planos!E19))</f>
      </c>
      <c r="E21" s="43">
        <f>IF(Planos!$A19="","",N(Planos!K19))</f>
      </c>
      <c r="F21" s="44">
        <f>IF(OR(Planos!$A19="",NOT(ISNUMBER(Planos!$G19)),N(Planos!$E19)&lt;=0),0,IF(Planos!$G19&gt;EOMONTH(DATE(crono_ano_ref,1,1),0),0,MAX(0,INT((EOMONTH(DATE(crono_ano_ref,1,1),0)-IF(Planos!$G19&gt;=DATE(crono_ano_ref,1,1),Planos!$G19,Planos!$G19+CEILING((DATE(crono_ano_ref,1,1)-Planos!$G19)/Planos!$E19,1)*Planos!$E19))/Planos!$E19)+1)))</f>
      </c>
      <c r="G21" s="44">
        <f>IF(OR(Planos!$A19="",NOT(ISNUMBER(Planos!$G19)),N(Planos!$E19)&lt;=0),0,IF(Planos!$G19&gt;EOMONTH(DATE(crono_ano_ref,2,1),0),0,MAX(0,INT((EOMONTH(DATE(crono_ano_ref,2,1),0)-IF(Planos!$G19&gt;=DATE(crono_ano_ref,2,1),Planos!$G19,Planos!$G19+CEILING((DATE(crono_ano_ref,2,1)-Planos!$G19)/Planos!$E19,1)*Planos!$E19))/Planos!$E19)+1)))</f>
      </c>
      <c r="H21" s="44">
        <f>IF(OR(Planos!$A19="",NOT(ISNUMBER(Planos!$G19)),N(Planos!$E19)&lt;=0),0,IF(Planos!$G19&gt;EOMONTH(DATE(crono_ano_ref,3,1),0),0,MAX(0,INT((EOMONTH(DATE(crono_ano_ref,3,1),0)-IF(Planos!$G19&gt;=DATE(crono_ano_ref,3,1),Planos!$G19,Planos!$G19+CEILING((DATE(crono_ano_ref,3,1)-Planos!$G19)/Planos!$E19,1)*Planos!$E19))/Planos!$E19)+1)))</f>
      </c>
      <c r="I21" s="44">
        <f>IF(OR(Planos!$A19="",NOT(ISNUMBER(Planos!$G19)),N(Planos!$E19)&lt;=0),0,IF(Planos!$G19&gt;EOMONTH(DATE(crono_ano_ref,4,1),0),0,MAX(0,INT((EOMONTH(DATE(crono_ano_ref,4,1),0)-IF(Planos!$G19&gt;=DATE(crono_ano_ref,4,1),Planos!$G19,Planos!$G19+CEILING((DATE(crono_ano_ref,4,1)-Planos!$G19)/Planos!$E19,1)*Planos!$E19))/Planos!$E19)+1)))</f>
      </c>
      <c r="J21" s="44">
        <f>IF(OR(Planos!$A19="",NOT(ISNUMBER(Planos!$G19)),N(Planos!$E19)&lt;=0),0,IF(Planos!$G19&gt;EOMONTH(DATE(crono_ano_ref,5,1),0),0,MAX(0,INT((EOMONTH(DATE(crono_ano_ref,5,1),0)-IF(Planos!$G19&gt;=DATE(crono_ano_ref,5,1),Planos!$G19,Planos!$G19+CEILING((DATE(crono_ano_ref,5,1)-Planos!$G19)/Planos!$E19,1)*Planos!$E19))/Planos!$E19)+1)))</f>
      </c>
      <c r="K21" s="44">
        <f>IF(OR(Planos!$A19="",NOT(ISNUMBER(Planos!$G19)),N(Planos!$E19)&lt;=0),0,IF(Planos!$G19&gt;EOMONTH(DATE(crono_ano_ref,6,1),0),0,MAX(0,INT((EOMONTH(DATE(crono_ano_ref,6,1),0)-IF(Planos!$G19&gt;=DATE(crono_ano_ref,6,1),Planos!$G19,Planos!$G19+CEILING((DATE(crono_ano_ref,6,1)-Planos!$G19)/Planos!$E19,1)*Planos!$E19))/Planos!$E19)+1)))</f>
      </c>
      <c r="L21" s="44">
        <f>IF(OR(Planos!$A19="",NOT(ISNUMBER(Planos!$G19)),N(Planos!$E19)&lt;=0),0,IF(Planos!$G19&gt;EOMONTH(DATE(crono_ano_ref,7,1),0),0,MAX(0,INT((EOMONTH(DATE(crono_ano_ref,7,1),0)-IF(Planos!$G19&gt;=DATE(crono_ano_ref,7,1),Planos!$G19,Planos!$G19+CEILING((DATE(crono_ano_ref,7,1)-Planos!$G19)/Planos!$E19,1)*Planos!$E19))/Planos!$E19)+1)))</f>
      </c>
      <c r="M21" s="44">
        <f>IF(OR(Planos!$A19="",NOT(ISNUMBER(Planos!$G19)),N(Planos!$E19)&lt;=0),0,IF(Planos!$G19&gt;EOMONTH(DATE(crono_ano_ref,8,1),0),0,MAX(0,INT((EOMONTH(DATE(crono_ano_ref,8,1),0)-IF(Planos!$G19&gt;=DATE(crono_ano_ref,8,1),Planos!$G19,Planos!$G19+CEILING((DATE(crono_ano_ref,8,1)-Planos!$G19)/Planos!$E19,1)*Planos!$E19))/Planos!$E19)+1)))</f>
      </c>
      <c r="N21" s="44">
        <f>IF(OR(Planos!$A19="",NOT(ISNUMBER(Planos!$G19)),N(Planos!$E19)&lt;=0),0,IF(Planos!$G19&gt;EOMONTH(DATE(crono_ano_ref,9,1),0),0,MAX(0,INT((EOMONTH(DATE(crono_ano_ref,9,1),0)-IF(Planos!$G19&gt;=DATE(crono_ano_ref,9,1),Planos!$G19,Planos!$G19+CEILING((DATE(crono_ano_ref,9,1)-Planos!$G19)/Planos!$E19,1)*Planos!$E19))/Planos!$E19)+1)))</f>
      </c>
      <c r="O21" s="44">
        <f>IF(OR(Planos!$A19="",NOT(ISNUMBER(Planos!$G19)),N(Planos!$E19)&lt;=0),0,IF(Planos!$G19&gt;EOMONTH(DATE(crono_ano_ref,10,1),0),0,MAX(0,INT((EOMONTH(DATE(crono_ano_ref,10,1),0)-IF(Planos!$G19&gt;=DATE(crono_ano_ref,10,1),Planos!$G19,Planos!$G19+CEILING((DATE(crono_ano_ref,10,1)-Planos!$G19)/Planos!$E19,1)*Planos!$E19))/Planos!$E19)+1)))</f>
      </c>
      <c r="P21" s="44">
        <f>IF(OR(Planos!$A19="",NOT(ISNUMBER(Planos!$G19)),N(Planos!$E19)&lt;=0),0,IF(Planos!$G19&gt;EOMONTH(DATE(crono_ano_ref,11,1),0),0,MAX(0,INT((EOMONTH(DATE(crono_ano_ref,11,1),0)-IF(Planos!$G19&gt;=DATE(crono_ano_ref,11,1),Planos!$G19,Planos!$G19+CEILING((DATE(crono_ano_ref,11,1)-Planos!$G19)/Planos!$E19,1)*Planos!$E19))/Planos!$E19)+1)))</f>
      </c>
      <c r="Q21" s="44">
        <f>IF(OR(Planos!$A19="",NOT(ISNUMBER(Planos!$G19)),N(Planos!$E19)&lt;=0),0,IF(Planos!$G19&gt;EOMONTH(DATE(crono_ano_ref,12,1),0),0,MAX(0,INT((EOMONTH(DATE(crono_ano_ref,12,1),0)-IF(Planos!$G19&gt;=DATE(crono_ano_ref,12,1),Planos!$G19,Planos!$G19+CEILING((DATE(crono_ano_ref,12,1)-Planos!$G19)/Planos!$E19,1)*Planos!$E19))/Planos!$E19)+1)))</f>
      </c>
      <c r="R21" s="44">
        <f>SUM(F21:Q21)</f>
      </c>
    </row>
    <row r="22" spans="1:18" x14ac:dyDescent="0.25">
      <c r="A22" s="24">
        <f>IF(Planos!$A20="","",Planos!A20&amp;"")</f>
      </c>
      <c r="B22" s="41">
        <f>IF(Planos!$A20="","",Planos!B20&amp;"")</f>
      </c>
      <c r="C22" s="24">
        <f>IF(Planos!$A20="","",Planos!C20&amp;"")</f>
      </c>
      <c r="D22" s="42">
        <f>IF(Planos!$A20="","",N(Planos!E20))</f>
      </c>
      <c r="E22" s="43">
        <f>IF(Planos!$A20="","",N(Planos!K20))</f>
      </c>
      <c r="F22" s="44">
        <f>IF(OR(Planos!$A20="",NOT(ISNUMBER(Planos!$G20)),N(Planos!$E20)&lt;=0),0,IF(Planos!$G20&gt;EOMONTH(DATE(crono_ano_ref,1,1),0),0,MAX(0,INT((EOMONTH(DATE(crono_ano_ref,1,1),0)-IF(Planos!$G20&gt;=DATE(crono_ano_ref,1,1),Planos!$G20,Planos!$G20+CEILING((DATE(crono_ano_ref,1,1)-Planos!$G20)/Planos!$E20,1)*Planos!$E20))/Planos!$E20)+1)))</f>
      </c>
      <c r="G22" s="44">
        <f>IF(OR(Planos!$A20="",NOT(ISNUMBER(Planos!$G20)),N(Planos!$E20)&lt;=0),0,IF(Planos!$G20&gt;EOMONTH(DATE(crono_ano_ref,2,1),0),0,MAX(0,INT((EOMONTH(DATE(crono_ano_ref,2,1),0)-IF(Planos!$G20&gt;=DATE(crono_ano_ref,2,1),Planos!$G20,Planos!$G20+CEILING((DATE(crono_ano_ref,2,1)-Planos!$G20)/Planos!$E20,1)*Planos!$E20))/Planos!$E20)+1)))</f>
      </c>
      <c r="H22" s="44">
        <f>IF(OR(Planos!$A20="",NOT(ISNUMBER(Planos!$G20)),N(Planos!$E20)&lt;=0),0,IF(Planos!$G20&gt;EOMONTH(DATE(crono_ano_ref,3,1),0),0,MAX(0,INT((EOMONTH(DATE(crono_ano_ref,3,1),0)-IF(Planos!$G20&gt;=DATE(crono_ano_ref,3,1),Planos!$G20,Planos!$G20+CEILING((DATE(crono_ano_ref,3,1)-Planos!$G20)/Planos!$E20,1)*Planos!$E20))/Planos!$E20)+1)))</f>
      </c>
      <c r="I22" s="44">
        <f>IF(OR(Planos!$A20="",NOT(ISNUMBER(Planos!$G20)),N(Planos!$E20)&lt;=0),0,IF(Planos!$G20&gt;EOMONTH(DATE(crono_ano_ref,4,1),0),0,MAX(0,INT((EOMONTH(DATE(crono_ano_ref,4,1),0)-IF(Planos!$G20&gt;=DATE(crono_ano_ref,4,1),Planos!$G20,Planos!$G20+CEILING((DATE(crono_ano_ref,4,1)-Planos!$G20)/Planos!$E20,1)*Planos!$E20))/Planos!$E20)+1)))</f>
      </c>
      <c r="J22" s="44">
        <f>IF(OR(Planos!$A20="",NOT(ISNUMBER(Planos!$G20)),N(Planos!$E20)&lt;=0),0,IF(Planos!$G20&gt;EOMONTH(DATE(crono_ano_ref,5,1),0),0,MAX(0,INT((EOMONTH(DATE(crono_ano_ref,5,1),0)-IF(Planos!$G20&gt;=DATE(crono_ano_ref,5,1),Planos!$G20,Planos!$G20+CEILING((DATE(crono_ano_ref,5,1)-Planos!$G20)/Planos!$E20,1)*Planos!$E20))/Planos!$E20)+1)))</f>
      </c>
      <c r="K22" s="44">
        <f>IF(OR(Planos!$A20="",NOT(ISNUMBER(Planos!$G20)),N(Planos!$E20)&lt;=0),0,IF(Planos!$G20&gt;EOMONTH(DATE(crono_ano_ref,6,1),0),0,MAX(0,INT((EOMONTH(DATE(crono_ano_ref,6,1),0)-IF(Planos!$G20&gt;=DATE(crono_ano_ref,6,1),Planos!$G20,Planos!$G20+CEILING((DATE(crono_ano_ref,6,1)-Planos!$G20)/Planos!$E20,1)*Planos!$E20))/Planos!$E20)+1)))</f>
      </c>
      <c r="L22" s="44">
        <f>IF(OR(Planos!$A20="",NOT(ISNUMBER(Planos!$G20)),N(Planos!$E20)&lt;=0),0,IF(Planos!$G20&gt;EOMONTH(DATE(crono_ano_ref,7,1),0),0,MAX(0,INT((EOMONTH(DATE(crono_ano_ref,7,1),0)-IF(Planos!$G20&gt;=DATE(crono_ano_ref,7,1),Planos!$G20,Planos!$G20+CEILING((DATE(crono_ano_ref,7,1)-Planos!$G20)/Planos!$E20,1)*Planos!$E20))/Planos!$E20)+1)))</f>
      </c>
      <c r="M22" s="44">
        <f>IF(OR(Planos!$A20="",NOT(ISNUMBER(Planos!$G20)),N(Planos!$E20)&lt;=0),0,IF(Planos!$G20&gt;EOMONTH(DATE(crono_ano_ref,8,1),0),0,MAX(0,INT((EOMONTH(DATE(crono_ano_ref,8,1),0)-IF(Planos!$G20&gt;=DATE(crono_ano_ref,8,1),Planos!$G20,Planos!$G20+CEILING((DATE(crono_ano_ref,8,1)-Planos!$G20)/Planos!$E20,1)*Planos!$E20))/Planos!$E20)+1)))</f>
      </c>
      <c r="N22" s="44">
        <f>IF(OR(Planos!$A20="",NOT(ISNUMBER(Planos!$G20)),N(Planos!$E20)&lt;=0),0,IF(Planos!$G20&gt;EOMONTH(DATE(crono_ano_ref,9,1),0),0,MAX(0,INT((EOMONTH(DATE(crono_ano_ref,9,1),0)-IF(Planos!$G20&gt;=DATE(crono_ano_ref,9,1),Planos!$G20,Planos!$G20+CEILING((DATE(crono_ano_ref,9,1)-Planos!$G20)/Planos!$E20,1)*Planos!$E20))/Planos!$E20)+1)))</f>
      </c>
      <c r="O22" s="44">
        <f>IF(OR(Planos!$A20="",NOT(ISNUMBER(Planos!$G20)),N(Planos!$E20)&lt;=0),0,IF(Planos!$G20&gt;EOMONTH(DATE(crono_ano_ref,10,1),0),0,MAX(0,INT((EOMONTH(DATE(crono_ano_ref,10,1),0)-IF(Planos!$G20&gt;=DATE(crono_ano_ref,10,1),Planos!$G20,Planos!$G20+CEILING((DATE(crono_ano_ref,10,1)-Planos!$G20)/Planos!$E20,1)*Planos!$E20))/Planos!$E20)+1)))</f>
      </c>
      <c r="P22" s="44">
        <f>IF(OR(Planos!$A20="",NOT(ISNUMBER(Planos!$G20)),N(Planos!$E20)&lt;=0),0,IF(Planos!$G20&gt;EOMONTH(DATE(crono_ano_ref,11,1),0),0,MAX(0,INT((EOMONTH(DATE(crono_ano_ref,11,1),0)-IF(Planos!$G20&gt;=DATE(crono_ano_ref,11,1),Planos!$G20,Planos!$G20+CEILING((DATE(crono_ano_ref,11,1)-Planos!$G20)/Planos!$E20,1)*Planos!$E20))/Planos!$E20)+1)))</f>
      </c>
      <c r="Q22" s="44">
        <f>IF(OR(Planos!$A20="",NOT(ISNUMBER(Planos!$G20)),N(Planos!$E20)&lt;=0),0,IF(Planos!$G20&gt;EOMONTH(DATE(crono_ano_ref,12,1),0),0,MAX(0,INT((EOMONTH(DATE(crono_ano_ref,12,1),0)-IF(Planos!$G20&gt;=DATE(crono_ano_ref,12,1),Planos!$G20,Planos!$G20+CEILING((DATE(crono_ano_ref,12,1)-Planos!$G20)/Planos!$E20,1)*Planos!$E20))/Planos!$E20)+1)))</f>
      </c>
      <c r="R22" s="44">
        <f>SUM(F22:Q22)</f>
      </c>
    </row>
    <row r="23" spans="1:18" x14ac:dyDescent="0.25">
      <c r="A23" s="24">
        <f>IF(Planos!$A21="","",Planos!A21&amp;"")</f>
      </c>
      <c r="B23" s="41">
        <f>IF(Planos!$A21="","",Planos!B21&amp;"")</f>
      </c>
      <c r="C23" s="24">
        <f>IF(Planos!$A21="","",Planos!C21&amp;"")</f>
      </c>
      <c r="D23" s="42">
        <f>IF(Planos!$A21="","",N(Planos!E21))</f>
      </c>
      <c r="E23" s="43">
        <f>IF(Planos!$A21="","",N(Planos!K21))</f>
      </c>
      <c r="F23" s="44">
        <f>IF(OR(Planos!$A21="",NOT(ISNUMBER(Planos!$G21)),N(Planos!$E21)&lt;=0),0,IF(Planos!$G21&gt;EOMONTH(DATE(crono_ano_ref,1,1),0),0,MAX(0,INT((EOMONTH(DATE(crono_ano_ref,1,1),0)-IF(Planos!$G21&gt;=DATE(crono_ano_ref,1,1),Planos!$G21,Planos!$G21+CEILING((DATE(crono_ano_ref,1,1)-Planos!$G21)/Planos!$E21,1)*Planos!$E21))/Planos!$E21)+1)))</f>
      </c>
      <c r="G23" s="44">
        <f>IF(OR(Planos!$A21="",NOT(ISNUMBER(Planos!$G21)),N(Planos!$E21)&lt;=0),0,IF(Planos!$G21&gt;EOMONTH(DATE(crono_ano_ref,2,1),0),0,MAX(0,INT((EOMONTH(DATE(crono_ano_ref,2,1),0)-IF(Planos!$G21&gt;=DATE(crono_ano_ref,2,1),Planos!$G21,Planos!$G21+CEILING((DATE(crono_ano_ref,2,1)-Planos!$G21)/Planos!$E21,1)*Planos!$E21))/Planos!$E21)+1)))</f>
      </c>
      <c r="H23" s="44">
        <f>IF(OR(Planos!$A21="",NOT(ISNUMBER(Planos!$G21)),N(Planos!$E21)&lt;=0),0,IF(Planos!$G21&gt;EOMONTH(DATE(crono_ano_ref,3,1),0),0,MAX(0,INT((EOMONTH(DATE(crono_ano_ref,3,1),0)-IF(Planos!$G21&gt;=DATE(crono_ano_ref,3,1),Planos!$G21,Planos!$G21+CEILING((DATE(crono_ano_ref,3,1)-Planos!$G21)/Planos!$E21,1)*Planos!$E21))/Planos!$E21)+1)))</f>
      </c>
      <c r="I23" s="44">
        <f>IF(OR(Planos!$A21="",NOT(ISNUMBER(Planos!$G21)),N(Planos!$E21)&lt;=0),0,IF(Planos!$G21&gt;EOMONTH(DATE(crono_ano_ref,4,1),0),0,MAX(0,INT((EOMONTH(DATE(crono_ano_ref,4,1),0)-IF(Planos!$G21&gt;=DATE(crono_ano_ref,4,1),Planos!$G21,Planos!$G21+CEILING((DATE(crono_ano_ref,4,1)-Planos!$G21)/Planos!$E21,1)*Planos!$E21))/Planos!$E21)+1)))</f>
      </c>
      <c r="J23" s="44">
        <f>IF(OR(Planos!$A21="",NOT(ISNUMBER(Planos!$G21)),N(Planos!$E21)&lt;=0),0,IF(Planos!$G21&gt;EOMONTH(DATE(crono_ano_ref,5,1),0),0,MAX(0,INT((EOMONTH(DATE(crono_ano_ref,5,1),0)-IF(Planos!$G21&gt;=DATE(crono_ano_ref,5,1),Planos!$G21,Planos!$G21+CEILING((DATE(crono_ano_ref,5,1)-Planos!$G21)/Planos!$E21,1)*Planos!$E21))/Planos!$E21)+1)))</f>
      </c>
      <c r="K23" s="44">
        <f>IF(OR(Planos!$A21="",NOT(ISNUMBER(Planos!$G21)),N(Planos!$E21)&lt;=0),0,IF(Planos!$G21&gt;EOMONTH(DATE(crono_ano_ref,6,1),0),0,MAX(0,INT((EOMONTH(DATE(crono_ano_ref,6,1),0)-IF(Planos!$G21&gt;=DATE(crono_ano_ref,6,1),Planos!$G21,Planos!$G21+CEILING((DATE(crono_ano_ref,6,1)-Planos!$G21)/Planos!$E21,1)*Planos!$E21))/Planos!$E21)+1)))</f>
      </c>
      <c r="L23" s="44">
        <f>IF(OR(Planos!$A21="",NOT(ISNUMBER(Planos!$G21)),N(Planos!$E21)&lt;=0),0,IF(Planos!$G21&gt;EOMONTH(DATE(crono_ano_ref,7,1),0),0,MAX(0,INT((EOMONTH(DATE(crono_ano_ref,7,1),0)-IF(Planos!$G21&gt;=DATE(crono_ano_ref,7,1),Planos!$G21,Planos!$G21+CEILING((DATE(crono_ano_ref,7,1)-Planos!$G21)/Planos!$E21,1)*Planos!$E21))/Planos!$E21)+1)))</f>
      </c>
      <c r="M23" s="44">
        <f>IF(OR(Planos!$A21="",NOT(ISNUMBER(Planos!$G21)),N(Planos!$E21)&lt;=0),0,IF(Planos!$G21&gt;EOMONTH(DATE(crono_ano_ref,8,1),0),0,MAX(0,INT((EOMONTH(DATE(crono_ano_ref,8,1),0)-IF(Planos!$G21&gt;=DATE(crono_ano_ref,8,1),Planos!$G21,Planos!$G21+CEILING((DATE(crono_ano_ref,8,1)-Planos!$G21)/Planos!$E21,1)*Planos!$E21))/Planos!$E21)+1)))</f>
      </c>
      <c r="N23" s="44">
        <f>IF(OR(Planos!$A21="",NOT(ISNUMBER(Planos!$G21)),N(Planos!$E21)&lt;=0),0,IF(Planos!$G21&gt;EOMONTH(DATE(crono_ano_ref,9,1),0),0,MAX(0,INT((EOMONTH(DATE(crono_ano_ref,9,1),0)-IF(Planos!$G21&gt;=DATE(crono_ano_ref,9,1),Planos!$G21,Planos!$G21+CEILING((DATE(crono_ano_ref,9,1)-Planos!$G21)/Planos!$E21,1)*Planos!$E21))/Planos!$E21)+1)))</f>
      </c>
      <c r="O23" s="44">
        <f>IF(OR(Planos!$A21="",NOT(ISNUMBER(Planos!$G21)),N(Planos!$E21)&lt;=0),0,IF(Planos!$G21&gt;EOMONTH(DATE(crono_ano_ref,10,1),0),0,MAX(0,INT((EOMONTH(DATE(crono_ano_ref,10,1),0)-IF(Planos!$G21&gt;=DATE(crono_ano_ref,10,1),Planos!$G21,Planos!$G21+CEILING((DATE(crono_ano_ref,10,1)-Planos!$G21)/Planos!$E21,1)*Planos!$E21))/Planos!$E21)+1)))</f>
      </c>
      <c r="P23" s="44">
        <f>IF(OR(Planos!$A21="",NOT(ISNUMBER(Planos!$G21)),N(Planos!$E21)&lt;=0),0,IF(Planos!$G21&gt;EOMONTH(DATE(crono_ano_ref,11,1),0),0,MAX(0,INT((EOMONTH(DATE(crono_ano_ref,11,1),0)-IF(Planos!$G21&gt;=DATE(crono_ano_ref,11,1),Planos!$G21,Planos!$G21+CEILING((DATE(crono_ano_ref,11,1)-Planos!$G21)/Planos!$E21,1)*Planos!$E21))/Planos!$E21)+1)))</f>
      </c>
      <c r="Q23" s="44">
        <f>IF(OR(Planos!$A21="",NOT(ISNUMBER(Planos!$G21)),N(Planos!$E21)&lt;=0),0,IF(Planos!$G21&gt;EOMONTH(DATE(crono_ano_ref,12,1),0),0,MAX(0,INT((EOMONTH(DATE(crono_ano_ref,12,1),0)-IF(Planos!$G21&gt;=DATE(crono_ano_ref,12,1),Planos!$G21,Planos!$G21+CEILING((DATE(crono_ano_ref,12,1)-Planos!$G21)/Planos!$E21,1)*Planos!$E21))/Planos!$E21)+1)))</f>
      </c>
      <c r="R23" s="44">
        <f>SUM(F23:Q23)</f>
      </c>
    </row>
    <row r="24" spans="1:18" x14ac:dyDescent="0.25">
      <c r="A24" s="24">
        <f>IF(Planos!$A22="","",Planos!A22&amp;"")</f>
      </c>
      <c r="B24" s="41">
        <f>IF(Planos!$A22="","",Planos!B22&amp;"")</f>
      </c>
      <c r="C24" s="24">
        <f>IF(Planos!$A22="","",Planos!C22&amp;"")</f>
      </c>
      <c r="D24" s="42">
        <f>IF(Planos!$A22="","",N(Planos!E22))</f>
      </c>
      <c r="E24" s="43">
        <f>IF(Planos!$A22="","",N(Planos!K22))</f>
      </c>
      <c r="F24" s="44">
        <f>IF(OR(Planos!$A22="",NOT(ISNUMBER(Planos!$G22)),N(Planos!$E22)&lt;=0),0,IF(Planos!$G22&gt;EOMONTH(DATE(crono_ano_ref,1,1),0),0,MAX(0,INT((EOMONTH(DATE(crono_ano_ref,1,1),0)-IF(Planos!$G22&gt;=DATE(crono_ano_ref,1,1),Planos!$G22,Planos!$G22+CEILING((DATE(crono_ano_ref,1,1)-Planos!$G22)/Planos!$E22,1)*Planos!$E22))/Planos!$E22)+1)))</f>
      </c>
      <c r="G24" s="44">
        <f>IF(OR(Planos!$A22="",NOT(ISNUMBER(Planos!$G22)),N(Planos!$E22)&lt;=0),0,IF(Planos!$G22&gt;EOMONTH(DATE(crono_ano_ref,2,1),0),0,MAX(0,INT((EOMONTH(DATE(crono_ano_ref,2,1),0)-IF(Planos!$G22&gt;=DATE(crono_ano_ref,2,1),Planos!$G22,Planos!$G22+CEILING((DATE(crono_ano_ref,2,1)-Planos!$G22)/Planos!$E22,1)*Planos!$E22))/Planos!$E22)+1)))</f>
      </c>
      <c r="H24" s="44">
        <f>IF(OR(Planos!$A22="",NOT(ISNUMBER(Planos!$G22)),N(Planos!$E22)&lt;=0),0,IF(Planos!$G22&gt;EOMONTH(DATE(crono_ano_ref,3,1),0),0,MAX(0,INT((EOMONTH(DATE(crono_ano_ref,3,1),0)-IF(Planos!$G22&gt;=DATE(crono_ano_ref,3,1),Planos!$G22,Planos!$G22+CEILING((DATE(crono_ano_ref,3,1)-Planos!$G22)/Planos!$E22,1)*Planos!$E22))/Planos!$E22)+1)))</f>
      </c>
      <c r="I24" s="44">
        <f>IF(OR(Planos!$A22="",NOT(ISNUMBER(Planos!$G22)),N(Planos!$E22)&lt;=0),0,IF(Planos!$G22&gt;EOMONTH(DATE(crono_ano_ref,4,1),0),0,MAX(0,INT((EOMONTH(DATE(crono_ano_ref,4,1),0)-IF(Planos!$G22&gt;=DATE(crono_ano_ref,4,1),Planos!$G22,Planos!$G22+CEILING((DATE(crono_ano_ref,4,1)-Planos!$G22)/Planos!$E22,1)*Planos!$E22))/Planos!$E22)+1)))</f>
      </c>
      <c r="J24" s="44">
        <f>IF(OR(Planos!$A22="",NOT(ISNUMBER(Planos!$G22)),N(Planos!$E22)&lt;=0),0,IF(Planos!$G22&gt;EOMONTH(DATE(crono_ano_ref,5,1),0),0,MAX(0,INT((EOMONTH(DATE(crono_ano_ref,5,1),0)-IF(Planos!$G22&gt;=DATE(crono_ano_ref,5,1),Planos!$G22,Planos!$G22+CEILING((DATE(crono_ano_ref,5,1)-Planos!$G22)/Planos!$E22,1)*Planos!$E22))/Planos!$E22)+1)))</f>
      </c>
      <c r="K24" s="44">
        <f>IF(OR(Planos!$A22="",NOT(ISNUMBER(Planos!$G22)),N(Planos!$E22)&lt;=0),0,IF(Planos!$G22&gt;EOMONTH(DATE(crono_ano_ref,6,1),0),0,MAX(0,INT((EOMONTH(DATE(crono_ano_ref,6,1),0)-IF(Planos!$G22&gt;=DATE(crono_ano_ref,6,1),Planos!$G22,Planos!$G22+CEILING((DATE(crono_ano_ref,6,1)-Planos!$G22)/Planos!$E22,1)*Planos!$E22))/Planos!$E22)+1)))</f>
      </c>
      <c r="L24" s="44">
        <f>IF(OR(Planos!$A22="",NOT(ISNUMBER(Planos!$G22)),N(Planos!$E22)&lt;=0),0,IF(Planos!$G22&gt;EOMONTH(DATE(crono_ano_ref,7,1),0),0,MAX(0,INT((EOMONTH(DATE(crono_ano_ref,7,1),0)-IF(Planos!$G22&gt;=DATE(crono_ano_ref,7,1),Planos!$G22,Planos!$G22+CEILING((DATE(crono_ano_ref,7,1)-Planos!$G22)/Planos!$E22,1)*Planos!$E22))/Planos!$E22)+1)))</f>
      </c>
      <c r="M24" s="44">
        <f>IF(OR(Planos!$A22="",NOT(ISNUMBER(Planos!$G22)),N(Planos!$E22)&lt;=0),0,IF(Planos!$G22&gt;EOMONTH(DATE(crono_ano_ref,8,1),0),0,MAX(0,INT((EOMONTH(DATE(crono_ano_ref,8,1),0)-IF(Planos!$G22&gt;=DATE(crono_ano_ref,8,1),Planos!$G22,Planos!$G22+CEILING((DATE(crono_ano_ref,8,1)-Planos!$G22)/Planos!$E22,1)*Planos!$E22))/Planos!$E22)+1)))</f>
      </c>
      <c r="N24" s="44">
        <f>IF(OR(Planos!$A22="",NOT(ISNUMBER(Planos!$G22)),N(Planos!$E22)&lt;=0),0,IF(Planos!$G22&gt;EOMONTH(DATE(crono_ano_ref,9,1),0),0,MAX(0,INT((EOMONTH(DATE(crono_ano_ref,9,1),0)-IF(Planos!$G22&gt;=DATE(crono_ano_ref,9,1),Planos!$G22,Planos!$G22+CEILING((DATE(crono_ano_ref,9,1)-Planos!$G22)/Planos!$E22,1)*Planos!$E22))/Planos!$E22)+1)))</f>
      </c>
      <c r="O24" s="44">
        <f>IF(OR(Planos!$A22="",NOT(ISNUMBER(Planos!$G22)),N(Planos!$E22)&lt;=0),0,IF(Planos!$G22&gt;EOMONTH(DATE(crono_ano_ref,10,1),0),0,MAX(0,INT((EOMONTH(DATE(crono_ano_ref,10,1),0)-IF(Planos!$G22&gt;=DATE(crono_ano_ref,10,1),Planos!$G22,Planos!$G22+CEILING((DATE(crono_ano_ref,10,1)-Planos!$G22)/Planos!$E22,1)*Planos!$E22))/Planos!$E22)+1)))</f>
      </c>
      <c r="P24" s="44">
        <f>IF(OR(Planos!$A22="",NOT(ISNUMBER(Planos!$G22)),N(Planos!$E22)&lt;=0),0,IF(Planos!$G22&gt;EOMONTH(DATE(crono_ano_ref,11,1),0),0,MAX(0,INT((EOMONTH(DATE(crono_ano_ref,11,1),0)-IF(Planos!$G22&gt;=DATE(crono_ano_ref,11,1),Planos!$G22,Planos!$G22+CEILING((DATE(crono_ano_ref,11,1)-Planos!$G22)/Planos!$E22,1)*Planos!$E22))/Planos!$E22)+1)))</f>
      </c>
      <c r="Q24" s="44">
        <f>IF(OR(Planos!$A22="",NOT(ISNUMBER(Planos!$G22)),N(Planos!$E22)&lt;=0),0,IF(Planos!$G22&gt;EOMONTH(DATE(crono_ano_ref,12,1),0),0,MAX(0,INT((EOMONTH(DATE(crono_ano_ref,12,1),0)-IF(Planos!$G22&gt;=DATE(crono_ano_ref,12,1),Planos!$G22,Planos!$G22+CEILING((DATE(crono_ano_ref,12,1)-Planos!$G22)/Planos!$E22,1)*Planos!$E22))/Planos!$E22)+1)))</f>
      </c>
      <c r="R24" s="44">
        <f>SUM(F24:Q24)</f>
      </c>
    </row>
    <row r="25" spans="1:18" x14ac:dyDescent="0.25">
      <c r="A25" s="24">
        <f>IF(Planos!$A23="","",Planos!A23&amp;"")</f>
      </c>
      <c r="B25" s="41">
        <f>IF(Planos!$A23="","",Planos!B23&amp;"")</f>
      </c>
      <c r="C25" s="24">
        <f>IF(Planos!$A23="","",Planos!C23&amp;"")</f>
      </c>
      <c r="D25" s="42">
        <f>IF(Planos!$A23="","",N(Planos!E23))</f>
      </c>
      <c r="E25" s="43">
        <f>IF(Planos!$A23="","",N(Planos!K23))</f>
      </c>
      <c r="F25" s="44">
        <f>IF(OR(Planos!$A23="",NOT(ISNUMBER(Planos!$G23)),N(Planos!$E23)&lt;=0),0,IF(Planos!$G23&gt;EOMONTH(DATE(crono_ano_ref,1,1),0),0,MAX(0,INT((EOMONTH(DATE(crono_ano_ref,1,1),0)-IF(Planos!$G23&gt;=DATE(crono_ano_ref,1,1),Planos!$G23,Planos!$G23+CEILING((DATE(crono_ano_ref,1,1)-Planos!$G23)/Planos!$E23,1)*Planos!$E23))/Planos!$E23)+1)))</f>
      </c>
      <c r="G25" s="44">
        <f>IF(OR(Planos!$A23="",NOT(ISNUMBER(Planos!$G23)),N(Planos!$E23)&lt;=0),0,IF(Planos!$G23&gt;EOMONTH(DATE(crono_ano_ref,2,1),0),0,MAX(0,INT((EOMONTH(DATE(crono_ano_ref,2,1),0)-IF(Planos!$G23&gt;=DATE(crono_ano_ref,2,1),Planos!$G23,Planos!$G23+CEILING((DATE(crono_ano_ref,2,1)-Planos!$G23)/Planos!$E23,1)*Planos!$E23))/Planos!$E23)+1)))</f>
      </c>
      <c r="H25" s="44">
        <f>IF(OR(Planos!$A23="",NOT(ISNUMBER(Planos!$G23)),N(Planos!$E23)&lt;=0),0,IF(Planos!$G23&gt;EOMONTH(DATE(crono_ano_ref,3,1),0),0,MAX(0,INT((EOMONTH(DATE(crono_ano_ref,3,1),0)-IF(Planos!$G23&gt;=DATE(crono_ano_ref,3,1),Planos!$G23,Planos!$G23+CEILING((DATE(crono_ano_ref,3,1)-Planos!$G23)/Planos!$E23,1)*Planos!$E23))/Planos!$E23)+1)))</f>
      </c>
      <c r="I25" s="44">
        <f>IF(OR(Planos!$A23="",NOT(ISNUMBER(Planos!$G23)),N(Planos!$E23)&lt;=0),0,IF(Planos!$G23&gt;EOMONTH(DATE(crono_ano_ref,4,1),0),0,MAX(0,INT((EOMONTH(DATE(crono_ano_ref,4,1),0)-IF(Planos!$G23&gt;=DATE(crono_ano_ref,4,1),Planos!$G23,Planos!$G23+CEILING((DATE(crono_ano_ref,4,1)-Planos!$G23)/Planos!$E23,1)*Planos!$E23))/Planos!$E23)+1)))</f>
      </c>
      <c r="J25" s="44">
        <f>IF(OR(Planos!$A23="",NOT(ISNUMBER(Planos!$G23)),N(Planos!$E23)&lt;=0),0,IF(Planos!$G23&gt;EOMONTH(DATE(crono_ano_ref,5,1),0),0,MAX(0,INT((EOMONTH(DATE(crono_ano_ref,5,1),0)-IF(Planos!$G23&gt;=DATE(crono_ano_ref,5,1),Planos!$G23,Planos!$G23+CEILING((DATE(crono_ano_ref,5,1)-Planos!$G23)/Planos!$E23,1)*Planos!$E23))/Planos!$E23)+1)))</f>
      </c>
      <c r="K25" s="44">
        <f>IF(OR(Planos!$A23="",NOT(ISNUMBER(Planos!$G23)),N(Planos!$E23)&lt;=0),0,IF(Planos!$G23&gt;EOMONTH(DATE(crono_ano_ref,6,1),0),0,MAX(0,INT((EOMONTH(DATE(crono_ano_ref,6,1),0)-IF(Planos!$G23&gt;=DATE(crono_ano_ref,6,1),Planos!$G23,Planos!$G23+CEILING((DATE(crono_ano_ref,6,1)-Planos!$G23)/Planos!$E23,1)*Planos!$E23))/Planos!$E23)+1)))</f>
      </c>
      <c r="L25" s="44">
        <f>IF(OR(Planos!$A23="",NOT(ISNUMBER(Planos!$G23)),N(Planos!$E23)&lt;=0),0,IF(Planos!$G23&gt;EOMONTH(DATE(crono_ano_ref,7,1),0),0,MAX(0,INT((EOMONTH(DATE(crono_ano_ref,7,1),0)-IF(Planos!$G23&gt;=DATE(crono_ano_ref,7,1),Planos!$G23,Planos!$G23+CEILING((DATE(crono_ano_ref,7,1)-Planos!$G23)/Planos!$E23,1)*Planos!$E23))/Planos!$E23)+1)))</f>
      </c>
      <c r="M25" s="44">
        <f>IF(OR(Planos!$A23="",NOT(ISNUMBER(Planos!$G23)),N(Planos!$E23)&lt;=0),0,IF(Planos!$G23&gt;EOMONTH(DATE(crono_ano_ref,8,1),0),0,MAX(0,INT((EOMONTH(DATE(crono_ano_ref,8,1),0)-IF(Planos!$G23&gt;=DATE(crono_ano_ref,8,1),Planos!$G23,Planos!$G23+CEILING((DATE(crono_ano_ref,8,1)-Planos!$G23)/Planos!$E23,1)*Planos!$E23))/Planos!$E23)+1)))</f>
      </c>
      <c r="N25" s="44">
        <f>IF(OR(Planos!$A23="",NOT(ISNUMBER(Planos!$G23)),N(Planos!$E23)&lt;=0),0,IF(Planos!$G23&gt;EOMONTH(DATE(crono_ano_ref,9,1),0),0,MAX(0,INT((EOMONTH(DATE(crono_ano_ref,9,1),0)-IF(Planos!$G23&gt;=DATE(crono_ano_ref,9,1),Planos!$G23,Planos!$G23+CEILING((DATE(crono_ano_ref,9,1)-Planos!$G23)/Planos!$E23,1)*Planos!$E23))/Planos!$E23)+1)))</f>
      </c>
      <c r="O25" s="44">
        <f>IF(OR(Planos!$A23="",NOT(ISNUMBER(Planos!$G23)),N(Planos!$E23)&lt;=0),0,IF(Planos!$G23&gt;EOMONTH(DATE(crono_ano_ref,10,1),0),0,MAX(0,INT((EOMONTH(DATE(crono_ano_ref,10,1),0)-IF(Planos!$G23&gt;=DATE(crono_ano_ref,10,1),Planos!$G23,Planos!$G23+CEILING((DATE(crono_ano_ref,10,1)-Planos!$G23)/Planos!$E23,1)*Planos!$E23))/Planos!$E23)+1)))</f>
      </c>
      <c r="P25" s="44">
        <f>IF(OR(Planos!$A23="",NOT(ISNUMBER(Planos!$G23)),N(Planos!$E23)&lt;=0),0,IF(Planos!$G23&gt;EOMONTH(DATE(crono_ano_ref,11,1),0),0,MAX(0,INT((EOMONTH(DATE(crono_ano_ref,11,1),0)-IF(Planos!$G23&gt;=DATE(crono_ano_ref,11,1),Planos!$G23,Planos!$G23+CEILING((DATE(crono_ano_ref,11,1)-Planos!$G23)/Planos!$E23,1)*Planos!$E23))/Planos!$E23)+1)))</f>
      </c>
      <c r="Q25" s="44">
        <f>IF(OR(Planos!$A23="",NOT(ISNUMBER(Planos!$G23)),N(Planos!$E23)&lt;=0),0,IF(Planos!$G23&gt;EOMONTH(DATE(crono_ano_ref,12,1),0),0,MAX(0,INT((EOMONTH(DATE(crono_ano_ref,12,1),0)-IF(Planos!$G23&gt;=DATE(crono_ano_ref,12,1),Planos!$G23,Planos!$G23+CEILING((DATE(crono_ano_ref,12,1)-Planos!$G23)/Planos!$E23,1)*Planos!$E23))/Planos!$E23)+1)))</f>
      </c>
      <c r="R25" s="44">
        <f>SUM(F25:Q25)</f>
      </c>
    </row>
    <row r="26" spans="1:18" x14ac:dyDescent="0.25">
      <c r="A26" s="24">
        <f>IF(Planos!$A24="","",Planos!A24&amp;"")</f>
      </c>
      <c r="B26" s="41">
        <f>IF(Planos!$A24="","",Planos!B24&amp;"")</f>
      </c>
      <c r="C26" s="24">
        <f>IF(Planos!$A24="","",Planos!C24&amp;"")</f>
      </c>
      <c r="D26" s="42">
        <f>IF(Planos!$A24="","",N(Planos!E24))</f>
      </c>
      <c r="E26" s="43">
        <f>IF(Planos!$A24="","",N(Planos!K24))</f>
      </c>
      <c r="F26" s="44">
        <f>IF(OR(Planos!$A24="",NOT(ISNUMBER(Planos!$G24)),N(Planos!$E24)&lt;=0),0,IF(Planos!$G24&gt;EOMONTH(DATE(crono_ano_ref,1,1),0),0,MAX(0,INT((EOMONTH(DATE(crono_ano_ref,1,1),0)-IF(Planos!$G24&gt;=DATE(crono_ano_ref,1,1),Planos!$G24,Planos!$G24+CEILING((DATE(crono_ano_ref,1,1)-Planos!$G24)/Planos!$E24,1)*Planos!$E24))/Planos!$E24)+1)))</f>
      </c>
      <c r="G26" s="44">
        <f>IF(OR(Planos!$A24="",NOT(ISNUMBER(Planos!$G24)),N(Planos!$E24)&lt;=0),0,IF(Planos!$G24&gt;EOMONTH(DATE(crono_ano_ref,2,1),0),0,MAX(0,INT((EOMONTH(DATE(crono_ano_ref,2,1),0)-IF(Planos!$G24&gt;=DATE(crono_ano_ref,2,1),Planos!$G24,Planos!$G24+CEILING((DATE(crono_ano_ref,2,1)-Planos!$G24)/Planos!$E24,1)*Planos!$E24))/Planos!$E24)+1)))</f>
      </c>
      <c r="H26" s="44">
        <f>IF(OR(Planos!$A24="",NOT(ISNUMBER(Planos!$G24)),N(Planos!$E24)&lt;=0),0,IF(Planos!$G24&gt;EOMONTH(DATE(crono_ano_ref,3,1),0),0,MAX(0,INT((EOMONTH(DATE(crono_ano_ref,3,1),0)-IF(Planos!$G24&gt;=DATE(crono_ano_ref,3,1),Planos!$G24,Planos!$G24+CEILING((DATE(crono_ano_ref,3,1)-Planos!$G24)/Planos!$E24,1)*Planos!$E24))/Planos!$E24)+1)))</f>
      </c>
      <c r="I26" s="44">
        <f>IF(OR(Planos!$A24="",NOT(ISNUMBER(Planos!$G24)),N(Planos!$E24)&lt;=0),0,IF(Planos!$G24&gt;EOMONTH(DATE(crono_ano_ref,4,1),0),0,MAX(0,INT((EOMONTH(DATE(crono_ano_ref,4,1),0)-IF(Planos!$G24&gt;=DATE(crono_ano_ref,4,1),Planos!$G24,Planos!$G24+CEILING((DATE(crono_ano_ref,4,1)-Planos!$G24)/Planos!$E24,1)*Planos!$E24))/Planos!$E24)+1)))</f>
      </c>
      <c r="J26" s="44">
        <f>IF(OR(Planos!$A24="",NOT(ISNUMBER(Planos!$G24)),N(Planos!$E24)&lt;=0),0,IF(Planos!$G24&gt;EOMONTH(DATE(crono_ano_ref,5,1),0),0,MAX(0,INT((EOMONTH(DATE(crono_ano_ref,5,1),0)-IF(Planos!$G24&gt;=DATE(crono_ano_ref,5,1),Planos!$G24,Planos!$G24+CEILING((DATE(crono_ano_ref,5,1)-Planos!$G24)/Planos!$E24,1)*Planos!$E24))/Planos!$E24)+1)))</f>
      </c>
      <c r="K26" s="44">
        <f>IF(OR(Planos!$A24="",NOT(ISNUMBER(Planos!$G24)),N(Planos!$E24)&lt;=0),0,IF(Planos!$G24&gt;EOMONTH(DATE(crono_ano_ref,6,1),0),0,MAX(0,INT((EOMONTH(DATE(crono_ano_ref,6,1),0)-IF(Planos!$G24&gt;=DATE(crono_ano_ref,6,1),Planos!$G24,Planos!$G24+CEILING((DATE(crono_ano_ref,6,1)-Planos!$G24)/Planos!$E24,1)*Planos!$E24))/Planos!$E24)+1)))</f>
      </c>
      <c r="L26" s="44">
        <f>IF(OR(Planos!$A24="",NOT(ISNUMBER(Planos!$G24)),N(Planos!$E24)&lt;=0),0,IF(Planos!$G24&gt;EOMONTH(DATE(crono_ano_ref,7,1),0),0,MAX(0,INT((EOMONTH(DATE(crono_ano_ref,7,1),0)-IF(Planos!$G24&gt;=DATE(crono_ano_ref,7,1),Planos!$G24,Planos!$G24+CEILING((DATE(crono_ano_ref,7,1)-Planos!$G24)/Planos!$E24,1)*Planos!$E24))/Planos!$E24)+1)))</f>
      </c>
      <c r="M26" s="44">
        <f>IF(OR(Planos!$A24="",NOT(ISNUMBER(Planos!$G24)),N(Planos!$E24)&lt;=0),0,IF(Planos!$G24&gt;EOMONTH(DATE(crono_ano_ref,8,1),0),0,MAX(0,INT((EOMONTH(DATE(crono_ano_ref,8,1),0)-IF(Planos!$G24&gt;=DATE(crono_ano_ref,8,1),Planos!$G24,Planos!$G24+CEILING((DATE(crono_ano_ref,8,1)-Planos!$G24)/Planos!$E24,1)*Planos!$E24))/Planos!$E24)+1)))</f>
      </c>
      <c r="N26" s="44">
        <f>IF(OR(Planos!$A24="",NOT(ISNUMBER(Planos!$G24)),N(Planos!$E24)&lt;=0),0,IF(Planos!$G24&gt;EOMONTH(DATE(crono_ano_ref,9,1),0),0,MAX(0,INT((EOMONTH(DATE(crono_ano_ref,9,1),0)-IF(Planos!$G24&gt;=DATE(crono_ano_ref,9,1),Planos!$G24,Planos!$G24+CEILING((DATE(crono_ano_ref,9,1)-Planos!$G24)/Planos!$E24,1)*Planos!$E24))/Planos!$E24)+1)))</f>
      </c>
      <c r="O26" s="44">
        <f>IF(OR(Planos!$A24="",NOT(ISNUMBER(Planos!$G24)),N(Planos!$E24)&lt;=0),0,IF(Planos!$G24&gt;EOMONTH(DATE(crono_ano_ref,10,1),0),0,MAX(0,INT((EOMONTH(DATE(crono_ano_ref,10,1),0)-IF(Planos!$G24&gt;=DATE(crono_ano_ref,10,1),Planos!$G24,Planos!$G24+CEILING((DATE(crono_ano_ref,10,1)-Planos!$G24)/Planos!$E24,1)*Planos!$E24))/Planos!$E24)+1)))</f>
      </c>
      <c r="P26" s="44">
        <f>IF(OR(Planos!$A24="",NOT(ISNUMBER(Planos!$G24)),N(Planos!$E24)&lt;=0),0,IF(Planos!$G24&gt;EOMONTH(DATE(crono_ano_ref,11,1),0),0,MAX(0,INT((EOMONTH(DATE(crono_ano_ref,11,1),0)-IF(Planos!$G24&gt;=DATE(crono_ano_ref,11,1),Planos!$G24,Planos!$G24+CEILING((DATE(crono_ano_ref,11,1)-Planos!$G24)/Planos!$E24,1)*Planos!$E24))/Planos!$E24)+1)))</f>
      </c>
      <c r="Q26" s="44">
        <f>IF(OR(Planos!$A24="",NOT(ISNUMBER(Planos!$G24)),N(Planos!$E24)&lt;=0),0,IF(Planos!$G24&gt;EOMONTH(DATE(crono_ano_ref,12,1),0),0,MAX(0,INT((EOMONTH(DATE(crono_ano_ref,12,1),0)-IF(Planos!$G24&gt;=DATE(crono_ano_ref,12,1),Planos!$G24,Planos!$G24+CEILING((DATE(crono_ano_ref,12,1)-Planos!$G24)/Planos!$E24,1)*Planos!$E24))/Planos!$E24)+1)))</f>
      </c>
      <c r="R26" s="44">
        <f>SUM(F26:Q26)</f>
      </c>
    </row>
    <row r="27" spans="1:18" x14ac:dyDescent="0.25">
      <c r="A27" s="24">
        <f>IF(Planos!$A25="","",Planos!A25&amp;"")</f>
      </c>
      <c r="B27" s="41">
        <f>IF(Planos!$A25="","",Planos!B25&amp;"")</f>
      </c>
      <c r="C27" s="24">
        <f>IF(Planos!$A25="","",Planos!C25&amp;"")</f>
      </c>
      <c r="D27" s="42">
        <f>IF(Planos!$A25="","",N(Planos!E25))</f>
      </c>
      <c r="E27" s="43">
        <f>IF(Planos!$A25="","",N(Planos!K25))</f>
      </c>
      <c r="F27" s="44">
        <f>IF(OR(Planos!$A25="",NOT(ISNUMBER(Planos!$G25)),N(Planos!$E25)&lt;=0),0,IF(Planos!$G25&gt;EOMONTH(DATE(crono_ano_ref,1,1),0),0,MAX(0,INT((EOMONTH(DATE(crono_ano_ref,1,1),0)-IF(Planos!$G25&gt;=DATE(crono_ano_ref,1,1),Planos!$G25,Planos!$G25+CEILING((DATE(crono_ano_ref,1,1)-Planos!$G25)/Planos!$E25,1)*Planos!$E25))/Planos!$E25)+1)))</f>
      </c>
      <c r="G27" s="44">
        <f>IF(OR(Planos!$A25="",NOT(ISNUMBER(Planos!$G25)),N(Planos!$E25)&lt;=0),0,IF(Planos!$G25&gt;EOMONTH(DATE(crono_ano_ref,2,1),0),0,MAX(0,INT((EOMONTH(DATE(crono_ano_ref,2,1),0)-IF(Planos!$G25&gt;=DATE(crono_ano_ref,2,1),Planos!$G25,Planos!$G25+CEILING((DATE(crono_ano_ref,2,1)-Planos!$G25)/Planos!$E25,1)*Planos!$E25))/Planos!$E25)+1)))</f>
      </c>
      <c r="H27" s="44">
        <f>IF(OR(Planos!$A25="",NOT(ISNUMBER(Planos!$G25)),N(Planos!$E25)&lt;=0),0,IF(Planos!$G25&gt;EOMONTH(DATE(crono_ano_ref,3,1),0),0,MAX(0,INT((EOMONTH(DATE(crono_ano_ref,3,1),0)-IF(Planos!$G25&gt;=DATE(crono_ano_ref,3,1),Planos!$G25,Planos!$G25+CEILING((DATE(crono_ano_ref,3,1)-Planos!$G25)/Planos!$E25,1)*Planos!$E25))/Planos!$E25)+1)))</f>
      </c>
      <c r="I27" s="44">
        <f>IF(OR(Planos!$A25="",NOT(ISNUMBER(Planos!$G25)),N(Planos!$E25)&lt;=0),0,IF(Planos!$G25&gt;EOMONTH(DATE(crono_ano_ref,4,1),0),0,MAX(0,INT((EOMONTH(DATE(crono_ano_ref,4,1),0)-IF(Planos!$G25&gt;=DATE(crono_ano_ref,4,1),Planos!$G25,Planos!$G25+CEILING((DATE(crono_ano_ref,4,1)-Planos!$G25)/Planos!$E25,1)*Planos!$E25))/Planos!$E25)+1)))</f>
      </c>
      <c r="J27" s="44">
        <f>IF(OR(Planos!$A25="",NOT(ISNUMBER(Planos!$G25)),N(Planos!$E25)&lt;=0),0,IF(Planos!$G25&gt;EOMONTH(DATE(crono_ano_ref,5,1),0),0,MAX(0,INT((EOMONTH(DATE(crono_ano_ref,5,1),0)-IF(Planos!$G25&gt;=DATE(crono_ano_ref,5,1),Planos!$G25,Planos!$G25+CEILING((DATE(crono_ano_ref,5,1)-Planos!$G25)/Planos!$E25,1)*Planos!$E25))/Planos!$E25)+1)))</f>
      </c>
      <c r="K27" s="44">
        <f>IF(OR(Planos!$A25="",NOT(ISNUMBER(Planos!$G25)),N(Planos!$E25)&lt;=0),0,IF(Planos!$G25&gt;EOMONTH(DATE(crono_ano_ref,6,1),0),0,MAX(0,INT((EOMONTH(DATE(crono_ano_ref,6,1),0)-IF(Planos!$G25&gt;=DATE(crono_ano_ref,6,1),Planos!$G25,Planos!$G25+CEILING((DATE(crono_ano_ref,6,1)-Planos!$G25)/Planos!$E25,1)*Planos!$E25))/Planos!$E25)+1)))</f>
      </c>
      <c r="L27" s="44">
        <f>IF(OR(Planos!$A25="",NOT(ISNUMBER(Planos!$G25)),N(Planos!$E25)&lt;=0),0,IF(Planos!$G25&gt;EOMONTH(DATE(crono_ano_ref,7,1),0),0,MAX(0,INT((EOMONTH(DATE(crono_ano_ref,7,1),0)-IF(Planos!$G25&gt;=DATE(crono_ano_ref,7,1),Planos!$G25,Planos!$G25+CEILING((DATE(crono_ano_ref,7,1)-Planos!$G25)/Planos!$E25,1)*Planos!$E25))/Planos!$E25)+1)))</f>
      </c>
      <c r="M27" s="44">
        <f>IF(OR(Planos!$A25="",NOT(ISNUMBER(Planos!$G25)),N(Planos!$E25)&lt;=0),0,IF(Planos!$G25&gt;EOMONTH(DATE(crono_ano_ref,8,1),0),0,MAX(0,INT((EOMONTH(DATE(crono_ano_ref,8,1),0)-IF(Planos!$G25&gt;=DATE(crono_ano_ref,8,1),Planos!$G25,Planos!$G25+CEILING((DATE(crono_ano_ref,8,1)-Planos!$G25)/Planos!$E25,1)*Planos!$E25))/Planos!$E25)+1)))</f>
      </c>
      <c r="N27" s="44">
        <f>IF(OR(Planos!$A25="",NOT(ISNUMBER(Planos!$G25)),N(Planos!$E25)&lt;=0),0,IF(Planos!$G25&gt;EOMONTH(DATE(crono_ano_ref,9,1),0),0,MAX(0,INT((EOMONTH(DATE(crono_ano_ref,9,1),0)-IF(Planos!$G25&gt;=DATE(crono_ano_ref,9,1),Planos!$G25,Planos!$G25+CEILING((DATE(crono_ano_ref,9,1)-Planos!$G25)/Planos!$E25,1)*Planos!$E25))/Planos!$E25)+1)))</f>
      </c>
      <c r="O27" s="44">
        <f>IF(OR(Planos!$A25="",NOT(ISNUMBER(Planos!$G25)),N(Planos!$E25)&lt;=0),0,IF(Planos!$G25&gt;EOMONTH(DATE(crono_ano_ref,10,1),0),0,MAX(0,INT((EOMONTH(DATE(crono_ano_ref,10,1),0)-IF(Planos!$G25&gt;=DATE(crono_ano_ref,10,1),Planos!$G25,Planos!$G25+CEILING((DATE(crono_ano_ref,10,1)-Planos!$G25)/Planos!$E25,1)*Planos!$E25))/Planos!$E25)+1)))</f>
      </c>
      <c r="P27" s="44">
        <f>IF(OR(Planos!$A25="",NOT(ISNUMBER(Planos!$G25)),N(Planos!$E25)&lt;=0),0,IF(Planos!$G25&gt;EOMONTH(DATE(crono_ano_ref,11,1),0),0,MAX(0,INT((EOMONTH(DATE(crono_ano_ref,11,1),0)-IF(Planos!$G25&gt;=DATE(crono_ano_ref,11,1),Planos!$G25,Planos!$G25+CEILING((DATE(crono_ano_ref,11,1)-Planos!$G25)/Planos!$E25,1)*Planos!$E25))/Planos!$E25)+1)))</f>
      </c>
      <c r="Q27" s="44">
        <f>IF(OR(Planos!$A25="",NOT(ISNUMBER(Planos!$G25)),N(Planos!$E25)&lt;=0),0,IF(Planos!$G25&gt;EOMONTH(DATE(crono_ano_ref,12,1),0),0,MAX(0,INT((EOMONTH(DATE(crono_ano_ref,12,1),0)-IF(Planos!$G25&gt;=DATE(crono_ano_ref,12,1),Planos!$G25,Planos!$G25+CEILING((DATE(crono_ano_ref,12,1)-Planos!$G25)/Planos!$E25,1)*Planos!$E25))/Planos!$E25)+1)))</f>
      </c>
      <c r="R27" s="44">
        <f>SUM(F27:Q27)</f>
      </c>
    </row>
    <row r="28" spans="1:18" x14ac:dyDescent="0.25">
      <c r="A28" s="24">
        <f>IF(Planos!$A26="","",Planos!A26&amp;"")</f>
      </c>
      <c r="B28" s="41">
        <f>IF(Planos!$A26="","",Planos!B26&amp;"")</f>
      </c>
      <c r="C28" s="24">
        <f>IF(Planos!$A26="","",Planos!C26&amp;"")</f>
      </c>
      <c r="D28" s="42">
        <f>IF(Planos!$A26="","",N(Planos!E26))</f>
      </c>
      <c r="E28" s="43">
        <f>IF(Planos!$A26="","",N(Planos!K26))</f>
      </c>
      <c r="F28" s="44">
        <f>IF(OR(Planos!$A26="",NOT(ISNUMBER(Planos!$G26)),N(Planos!$E26)&lt;=0),0,IF(Planos!$G26&gt;EOMONTH(DATE(crono_ano_ref,1,1),0),0,MAX(0,INT((EOMONTH(DATE(crono_ano_ref,1,1),0)-IF(Planos!$G26&gt;=DATE(crono_ano_ref,1,1),Planos!$G26,Planos!$G26+CEILING((DATE(crono_ano_ref,1,1)-Planos!$G26)/Planos!$E26,1)*Planos!$E26))/Planos!$E26)+1)))</f>
      </c>
      <c r="G28" s="44">
        <f>IF(OR(Planos!$A26="",NOT(ISNUMBER(Planos!$G26)),N(Planos!$E26)&lt;=0),0,IF(Planos!$G26&gt;EOMONTH(DATE(crono_ano_ref,2,1),0),0,MAX(0,INT((EOMONTH(DATE(crono_ano_ref,2,1),0)-IF(Planos!$G26&gt;=DATE(crono_ano_ref,2,1),Planos!$G26,Planos!$G26+CEILING((DATE(crono_ano_ref,2,1)-Planos!$G26)/Planos!$E26,1)*Planos!$E26))/Planos!$E26)+1)))</f>
      </c>
      <c r="H28" s="44">
        <f>IF(OR(Planos!$A26="",NOT(ISNUMBER(Planos!$G26)),N(Planos!$E26)&lt;=0),0,IF(Planos!$G26&gt;EOMONTH(DATE(crono_ano_ref,3,1),0),0,MAX(0,INT((EOMONTH(DATE(crono_ano_ref,3,1),0)-IF(Planos!$G26&gt;=DATE(crono_ano_ref,3,1),Planos!$G26,Planos!$G26+CEILING((DATE(crono_ano_ref,3,1)-Planos!$G26)/Planos!$E26,1)*Planos!$E26))/Planos!$E26)+1)))</f>
      </c>
      <c r="I28" s="44">
        <f>IF(OR(Planos!$A26="",NOT(ISNUMBER(Planos!$G26)),N(Planos!$E26)&lt;=0),0,IF(Planos!$G26&gt;EOMONTH(DATE(crono_ano_ref,4,1),0),0,MAX(0,INT((EOMONTH(DATE(crono_ano_ref,4,1),0)-IF(Planos!$G26&gt;=DATE(crono_ano_ref,4,1),Planos!$G26,Planos!$G26+CEILING((DATE(crono_ano_ref,4,1)-Planos!$G26)/Planos!$E26,1)*Planos!$E26))/Planos!$E26)+1)))</f>
      </c>
      <c r="J28" s="44">
        <f>IF(OR(Planos!$A26="",NOT(ISNUMBER(Planos!$G26)),N(Planos!$E26)&lt;=0),0,IF(Planos!$G26&gt;EOMONTH(DATE(crono_ano_ref,5,1),0),0,MAX(0,INT((EOMONTH(DATE(crono_ano_ref,5,1),0)-IF(Planos!$G26&gt;=DATE(crono_ano_ref,5,1),Planos!$G26,Planos!$G26+CEILING((DATE(crono_ano_ref,5,1)-Planos!$G26)/Planos!$E26,1)*Planos!$E26))/Planos!$E26)+1)))</f>
      </c>
      <c r="K28" s="44">
        <f>IF(OR(Planos!$A26="",NOT(ISNUMBER(Planos!$G26)),N(Planos!$E26)&lt;=0),0,IF(Planos!$G26&gt;EOMONTH(DATE(crono_ano_ref,6,1),0),0,MAX(0,INT((EOMONTH(DATE(crono_ano_ref,6,1),0)-IF(Planos!$G26&gt;=DATE(crono_ano_ref,6,1),Planos!$G26,Planos!$G26+CEILING((DATE(crono_ano_ref,6,1)-Planos!$G26)/Planos!$E26,1)*Planos!$E26))/Planos!$E26)+1)))</f>
      </c>
      <c r="L28" s="44">
        <f>IF(OR(Planos!$A26="",NOT(ISNUMBER(Planos!$G26)),N(Planos!$E26)&lt;=0),0,IF(Planos!$G26&gt;EOMONTH(DATE(crono_ano_ref,7,1),0),0,MAX(0,INT((EOMONTH(DATE(crono_ano_ref,7,1),0)-IF(Planos!$G26&gt;=DATE(crono_ano_ref,7,1),Planos!$G26,Planos!$G26+CEILING((DATE(crono_ano_ref,7,1)-Planos!$G26)/Planos!$E26,1)*Planos!$E26))/Planos!$E26)+1)))</f>
      </c>
      <c r="M28" s="44">
        <f>IF(OR(Planos!$A26="",NOT(ISNUMBER(Planos!$G26)),N(Planos!$E26)&lt;=0),0,IF(Planos!$G26&gt;EOMONTH(DATE(crono_ano_ref,8,1),0),0,MAX(0,INT((EOMONTH(DATE(crono_ano_ref,8,1),0)-IF(Planos!$G26&gt;=DATE(crono_ano_ref,8,1),Planos!$G26,Planos!$G26+CEILING((DATE(crono_ano_ref,8,1)-Planos!$G26)/Planos!$E26,1)*Planos!$E26))/Planos!$E26)+1)))</f>
      </c>
      <c r="N28" s="44">
        <f>IF(OR(Planos!$A26="",NOT(ISNUMBER(Planos!$G26)),N(Planos!$E26)&lt;=0),0,IF(Planos!$G26&gt;EOMONTH(DATE(crono_ano_ref,9,1),0),0,MAX(0,INT((EOMONTH(DATE(crono_ano_ref,9,1),0)-IF(Planos!$G26&gt;=DATE(crono_ano_ref,9,1),Planos!$G26,Planos!$G26+CEILING((DATE(crono_ano_ref,9,1)-Planos!$G26)/Planos!$E26,1)*Planos!$E26))/Planos!$E26)+1)))</f>
      </c>
      <c r="O28" s="44">
        <f>IF(OR(Planos!$A26="",NOT(ISNUMBER(Planos!$G26)),N(Planos!$E26)&lt;=0),0,IF(Planos!$G26&gt;EOMONTH(DATE(crono_ano_ref,10,1),0),0,MAX(0,INT((EOMONTH(DATE(crono_ano_ref,10,1),0)-IF(Planos!$G26&gt;=DATE(crono_ano_ref,10,1),Planos!$G26,Planos!$G26+CEILING((DATE(crono_ano_ref,10,1)-Planos!$G26)/Planos!$E26,1)*Planos!$E26))/Planos!$E26)+1)))</f>
      </c>
      <c r="P28" s="44">
        <f>IF(OR(Planos!$A26="",NOT(ISNUMBER(Planos!$G26)),N(Planos!$E26)&lt;=0),0,IF(Planos!$G26&gt;EOMONTH(DATE(crono_ano_ref,11,1),0),0,MAX(0,INT((EOMONTH(DATE(crono_ano_ref,11,1),0)-IF(Planos!$G26&gt;=DATE(crono_ano_ref,11,1),Planos!$G26,Planos!$G26+CEILING((DATE(crono_ano_ref,11,1)-Planos!$G26)/Planos!$E26,1)*Planos!$E26))/Planos!$E26)+1)))</f>
      </c>
      <c r="Q28" s="44">
        <f>IF(OR(Planos!$A26="",NOT(ISNUMBER(Planos!$G26)),N(Planos!$E26)&lt;=0),0,IF(Planos!$G26&gt;EOMONTH(DATE(crono_ano_ref,12,1),0),0,MAX(0,INT((EOMONTH(DATE(crono_ano_ref,12,1),0)-IF(Planos!$G26&gt;=DATE(crono_ano_ref,12,1),Planos!$G26,Planos!$G26+CEILING((DATE(crono_ano_ref,12,1)-Planos!$G26)/Planos!$E26,1)*Planos!$E26))/Planos!$E26)+1)))</f>
      </c>
      <c r="R28" s="44">
        <f>SUM(F28:Q28)</f>
      </c>
    </row>
    <row r="29" spans="1:18" x14ac:dyDescent="0.25">
      <c r="A29" s="24">
        <f>IF(Planos!$A27="","",Planos!A27&amp;"")</f>
      </c>
      <c r="B29" s="41">
        <f>IF(Planos!$A27="","",Planos!B27&amp;"")</f>
      </c>
      <c r="C29" s="24">
        <f>IF(Planos!$A27="","",Planos!C27&amp;"")</f>
      </c>
      <c r="D29" s="42">
        <f>IF(Planos!$A27="","",N(Planos!E27))</f>
      </c>
      <c r="E29" s="43">
        <f>IF(Planos!$A27="","",N(Planos!K27))</f>
      </c>
      <c r="F29" s="44">
        <f>IF(OR(Planos!$A27="",NOT(ISNUMBER(Planos!$G27)),N(Planos!$E27)&lt;=0),0,IF(Planos!$G27&gt;EOMONTH(DATE(crono_ano_ref,1,1),0),0,MAX(0,INT((EOMONTH(DATE(crono_ano_ref,1,1),0)-IF(Planos!$G27&gt;=DATE(crono_ano_ref,1,1),Planos!$G27,Planos!$G27+CEILING((DATE(crono_ano_ref,1,1)-Planos!$G27)/Planos!$E27,1)*Planos!$E27))/Planos!$E27)+1)))</f>
      </c>
      <c r="G29" s="44">
        <f>IF(OR(Planos!$A27="",NOT(ISNUMBER(Planos!$G27)),N(Planos!$E27)&lt;=0),0,IF(Planos!$G27&gt;EOMONTH(DATE(crono_ano_ref,2,1),0),0,MAX(0,INT((EOMONTH(DATE(crono_ano_ref,2,1),0)-IF(Planos!$G27&gt;=DATE(crono_ano_ref,2,1),Planos!$G27,Planos!$G27+CEILING((DATE(crono_ano_ref,2,1)-Planos!$G27)/Planos!$E27,1)*Planos!$E27))/Planos!$E27)+1)))</f>
      </c>
      <c r="H29" s="44">
        <f>IF(OR(Planos!$A27="",NOT(ISNUMBER(Planos!$G27)),N(Planos!$E27)&lt;=0),0,IF(Planos!$G27&gt;EOMONTH(DATE(crono_ano_ref,3,1),0),0,MAX(0,INT((EOMONTH(DATE(crono_ano_ref,3,1),0)-IF(Planos!$G27&gt;=DATE(crono_ano_ref,3,1),Planos!$G27,Planos!$G27+CEILING((DATE(crono_ano_ref,3,1)-Planos!$G27)/Planos!$E27,1)*Planos!$E27))/Planos!$E27)+1)))</f>
      </c>
      <c r="I29" s="44">
        <f>IF(OR(Planos!$A27="",NOT(ISNUMBER(Planos!$G27)),N(Planos!$E27)&lt;=0),0,IF(Planos!$G27&gt;EOMONTH(DATE(crono_ano_ref,4,1),0),0,MAX(0,INT((EOMONTH(DATE(crono_ano_ref,4,1),0)-IF(Planos!$G27&gt;=DATE(crono_ano_ref,4,1),Planos!$G27,Planos!$G27+CEILING((DATE(crono_ano_ref,4,1)-Planos!$G27)/Planos!$E27,1)*Planos!$E27))/Planos!$E27)+1)))</f>
      </c>
      <c r="J29" s="44">
        <f>IF(OR(Planos!$A27="",NOT(ISNUMBER(Planos!$G27)),N(Planos!$E27)&lt;=0),0,IF(Planos!$G27&gt;EOMONTH(DATE(crono_ano_ref,5,1),0),0,MAX(0,INT((EOMONTH(DATE(crono_ano_ref,5,1),0)-IF(Planos!$G27&gt;=DATE(crono_ano_ref,5,1),Planos!$G27,Planos!$G27+CEILING((DATE(crono_ano_ref,5,1)-Planos!$G27)/Planos!$E27,1)*Planos!$E27))/Planos!$E27)+1)))</f>
      </c>
      <c r="K29" s="44">
        <f>IF(OR(Planos!$A27="",NOT(ISNUMBER(Planos!$G27)),N(Planos!$E27)&lt;=0),0,IF(Planos!$G27&gt;EOMONTH(DATE(crono_ano_ref,6,1),0),0,MAX(0,INT((EOMONTH(DATE(crono_ano_ref,6,1),0)-IF(Planos!$G27&gt;=DATE(crono_ano_ref,6,1),Planos!$G27,Planos!$G27+CEILING((DATE(crono_ano_ref,6,1)-Planos!$G27)/Planos!$E27,1)*Planos!$E27))/Planos!$E27)+1)))</f>
      </c>
      <c r="L29" s="44">
        <f>IF(OR(Planos!$A27="",NOT(ISNUMBER(Planos!$G27)),N(Planos!$E27)&lt;=0),0,IF(Planos!$G27&gt;EOMONTH(DATE(crono_ano_ref,7,1),0),0,MAX(0,INT((EOMONTH(DATE(crono_ano_ref,7,1),0)-IF(Planos!$G27&gt;=DATE(crono_ano_ref,7,1),Planos!$G27,Planos!$G27+CEILING((DATE(crono_ano_ref,7,1)-Planos!$G27)/Planos!$E27,1)*Planos!$E27))/Planos!$E27)+1)))</f>
      </c>
      <c r="M29" s="44">
        <f>IF(OR(Planos!$A27="",NOT(ISNUMBER(Planos!$G27)),N(Planos!$E27)&lt;=0),0,IF(Planos!$G27&gt;EOMONTH(DATE(crono_ano_ref,8,1),0),0,MAX(0,INT((EOMONTH(DATE(crono_ano_ref,8,1),0)-IF(Planos!$G27&gt;=DATE(crono_ano_ref,8,1),Planos!$G27,Planos!$G27+CEILING((DATE(crono_ano_ref,8,1)-Planos!$G27)/Planos!$E27,1)*Planos!$E27))/Planos!$E27)+1)))</f>
      </c>
      <c r="N29" s="44">
        <f>IF(OR(Planos!$A27="",NOT(ISNUMBER(Planos!$G27)),N(Planos!$E27)&lt;=0),0,IF(Planos!$G27&gt;EOMONTH(DATE(crono_ano_ref,9,1),0),0,MAX(0,INT((EOMONTH(DATE(crono_ano_ref,9,1),0)-IF(Planos!$G27&gt;=DATE(crono_ano_ref,9,1),Planos!$G27,Planos!$G27+CEILING((DATE(crono_ano_ref,9,1)-Planos!$G27)/Planos!$E27,1)*Planos!$E27))/Planos!$E27)+1)))</f>
      </c>
      <c r="O29" s="44">
        <f>IF(OR(Planos!$A27="",NOT(ISNUMBER(Planos!$G27)),N(Planos!$E27)&lt;=0),0,IF(Planos!$G27&gt;EOMONTH(DATE(crono_ano_ref,10,1),0),0,MAX(0,INT((EOMONTH(DATE(crono_ano_ref,10,1),0)-IF(Planos!$G27&gt;=DATE(crono_ano_ref,10,1),Planos!$G27,Planos!$G27+CEILING((DATE(crono_ano_ref,10,1)-Planos!$G27)/Planos!$E27,1)*Planos!$E27))/Planos!$E27)+1)))</f>
      </c>
      <c r="P29" s="44">
        <f>IF(OR(Planos!$A27="",NOT(ISNUMBER(Planos!$G27)),N(Planos!$E27)&lt;=0),0,IF(Planos!$G27&gt;EOMONTH(DATE(crono_ano_ref,11,1),0),0,MAX(0,INT((EOMONTH(DATE(crono_ano_ref,11,1),0)-IF(Planos!$G27&gt;=DATE(crono_ano_ref,11,1),Planos!$G27,Planos!$G27+CEILING((DATE(crono_ano_ref,11,1)-Planos!$G27)/Planos!$E27,1)*Planos!$E27))/Planos!$E27)+1)))</f>
      </c>
      <c r="Q29" s="44">
        <f>IF(OR(Planos!$A27="",NOT(ISNUMBER(Planos!$G27)),N(Planos!$E27)&lt;=0),0,IF(Planos!$G27&gt;EOMONTH(DATE(crono_ano_ref,12,1),0),0,MAX(0,INT((EOMONTH(DATE(crono_ano_ref,12,1),0)-IF(Planos!$G27&gt;=DATE(crono_ano_ref,12,1),Planos!$G27,Planos!$G27+CEILING((DATE(crono_ano_ref,12,1)-Planos!$G27)/Planos!$E27,1)*Planos!$E27))/Planos!$E27)+1)))</f>
      </c>
      <c r="R29" s="44">
        <f>SUM(F29:Q29)</f>
      </c>
    </row>
    <row r="30" spans="1:18" x14ac:dyDescent="0.25">
      <c r="A30" s="24">
        <f>IF(Planos!$A28="","",Planos!A28&amp;"")</f>
      </c>
      <c r="B30" s="41">
        <f>IF(Planos!$A28="","",Planos!B28&amp;"")</f>
      </c>
      <c r="C30" s="24">
        <f>IF(Planos!$A28="","",Planos!C28&amp;"")</f>
      </c>
      <c r="D30" s="42">
        <f>IF(Planos!$A28="","",N(Planos!E28))</f>
      </c>
      <c r="E30" s="43">
        <f>IF(Planos!$A28="","",N(Planos!K28))</f>
      </c>
      <c r="F30" s="44">
        <f>IF(OR(Planos!$A28="",NOT(ISNUMBER(Planos!$G28)),N(Planos!$E28)&lt;=0),0,IF(Planos!$G28&gt;EOMONTH(DATE(crono_ano_ref,1,1),0),0,MAX(0,INT((EOMONTH(DATE(crono_ano_ref,1,1),0)-IF(Planos!$G28&gt;=DATE(crono_ano_ref,1,1),Planos!$G28,Planos!$G28+CEILING((DATE(crono_ano_ref,1,1)-Planos!$G28)/Planos!$E28,1)*Planos!$E28))/Planos!$E28)+1)))</f>
      </c>
      <c r="G30" s="44">
        <f>IF(OR(Planos!$A28="",NOT(ISNUMBER(Planos!$G28)),N(Planos!$E28)&lt;=0),0,IF(Planos!$G28&gt;EOMONTH(DATE(crono_ano_ref,2,1),0),0,MAX(0,INT((EOMONTH(DATE(crono_ano_ref,2,1),0)-IF(Planos!$G28&gt;=DATE(crono_ano_ref,2,1),Planos!$G28,Planos!$G28+CEILING((DATE(crono_ano_ref,2,1)-Planos!$G28)/Planos!$E28,1)*Planos!$E28))/Planos!$E28)+1)))</f>
      </c>
      <c r="H30" s="44">
        <f>IF(OR(Planos!$A28="",NOT(ISNUMBER(Planos!$G28)),N(Planos!$E28)&lt;=0),0,IF(Planos!$G28&gt;EOMONTH(DATE(crono_ano_ref,3,1),0),0,MAX(0,INT((EOMONTH(DATE(crono_ano_ref,3,1),0)-IF(Planos!$G28&gt;=DATE(crono_ano_ref,3,1),Planos!$G28,Planos!$G28+CEILING((DATE(crono_ano_ref,3,1)-Planos!$G28)/Planos!$E28,1)*Planos!$E28))/Planos!$E28)+1)))</f>
      </c>
      <c r="I30" s="44">
        <f>IF(OR(Planos!$A28="",NOT(ISNUMBER(Planos!$G28)),N(Planos!$E28)&lt;=0),0,IF(Planos!$G28&gt;EOMONTH(DATE(crono_ano_ref,4,1),0),0,MAX(0,INT((EOMONTH(DATE(crono_ano_ref,4,1),0)-IF(Planos!$G28&gt;=DATE(crono_ano_ref,4,1),Planos!$G28,Planos!$G28+CEILING((DATE(crono_ano_ref,4,1)-Planos!$G28)/Planos!$E28,1)*Planos!$E28))/Planos!$E28)+1)))</f>
      </c>
      <c r="J30" s="44">
        <f>IF(OR(Planos!$A28="",NOT(ISNUMBER(Planos!$G28)),N(Planos!$E28)&lt;=0),0,IF(Planos!$G28&gt;EOMONTH(DATE(crono_ano_ref,5,1),0),0,MAX(0,INT((EOMONTH(DATE(crono_ano_ref,5,1),0)-IF(Planos!$G28&gt;=DATE(crono_ano_ref,5,1),Planos!$G28,Planos!$G28+CEILING((DATE(crono_ano_ref,5,1)-Planos!$G28)/Planos!$E28,1)*Planos!$E28))/Planos!$E28)+1)))</f>
      </c>
      <c r="K30" s="44">
        <f>IF(OR(Planos!$A28="",NOT(ISNUMBER(Planos!$G28)),N(Planos!$E28)&lt;=0),0,IF(Planos!$G28&gt;EOMONTH(DATE(crono_ano_ref,6,1),0),0,MAX(0,INT((EOMONTH(DATE(crono_ano_ref,6,1),0)-IF(Planos!$G28&gt;=DATE(crono_ano_ref,6,1),Planos!$G28,Planos!$G28+CEILING((DATE(crono_ano_ref,6,1)-Planos!$G28)/Planos!$E28,1)*Planos!$E28))/Planos!$E28)+1)))</f>
      </c>
      <c r="L30" s="44">
        <f>IF(OR(Planos!$A28="",NOT(ISNUMBER(Planos!$G28)),N(Planos!$E28)&lt;=0),0,IF(Planos!$G28&gt;EOMONTH(DATE(crono_ano_ref,7,1),0),0,MAX(0,INT((EOMONTH(DATE(crono_ano_ref,7,1),0)-IF(Planos!$G28&gt;=DATE(crono_ano_ref,7,1),Planos!$G28,Planos!$G28+CEILING((DATE(crono_ano_ref,7,1)-Planos!$G28)/Planos!$E28,1)*Planos!$E28))/Planos!$E28)+1)))</f>
      </c>
      <c r="M30" s="44">
        <f>IF(OR(Planos!$A28="",NOT(ISNUMBER(Planos!$G28)),N(Planos!$E28)&lt;=0),0,IF(Planos!$G28&gt;EOMONTH(DATE(crono_ano_ref,8,1),0),0,MAX(0,INT((EOMONTH(DATE(crono_ano_ref,8,1),0)-IF(Planos!$G28&gt;=DATE(crono_ano_ref,8,1),Planos!$G28,Planos!$G28+CEILING((DATE(crono_ano_ref,8,1)-Planos!$G28)/Planos!$E28,1)*Planos!$E28))/Planos!$E28)+1)))</f>
      </c>
      <c r="N30" s="44">
        <f>IF(OR(Planos!$A28="",NOT(ISNUMBER(Planos!$G28)),N(Planos!$E28)&lt;=0),0,IF(Planos!$G28&gt;EOMONTH(DATE(crono_ano_ref,9,1),0),0,MAX(0,INT((EOMONTH(DATE(crono_ano_ref,9,1),0)-IF(Planos!$G28&gt;=DATE(crono_ano_ref,9,1),Planos!$G28,Planos!$G28+CEILING((DATE(crono_ano_ref,9,1)-Planos!$G28)/Planos!$E28,1)*Planos!$E28))/Planos!$E28)+1)))</f>
      </c>
      <c r="O30" s="44">
        <f>IF(OR(Planos!$A28="",NOT(ISNUMBER(Planos!$G28)),N(Planos!$E28)&lt;=0),0,IF(Planos!$G28&gt;EOMONTH(DATE(crono_ano_ref,10,1),0),0,MAX(0,INT((EOMONTH(DATE(crono_ano_ref,10,1),0)-IF(Planos!$G28&gt;=DATE(crono_ano_ref,10,1),Planos!$G28,Planos!$G28+CEILING((DATE(crono_ano_ref,10,1)-Planos!$G28)/Planos!$E28,1)*Planos!$E28))/Planos!$E28)+1)))</f>
      </c>
      <c r="P30" s="44">
        <f>IF(OR(Planos!$A28="",NOT(ISNUMBER(Planos!$G28)),N(Planos!$E28)&lt;=0),0,IF(Planos!$G28&gt;EOMONTH(DATE(crono_ano_ref,11,1),0),0,MAX(0,INT((EOMONTH(DATE(crono_ano_ref,11,1),0)-IF(Planos!$G28&gt;=DATE(crono_ano_ref,11,1),Planos!$G28,Planos!$G28+CEILING((DATE(crono_ano_ref,11,1)-Planos!$G28)/Planos!$E28,1)*Planos!$E28))/Planos!$E28)+1)))</f>
      </c>
      <c r="Q30" s="44">
        <f>IF(OR(Planos!$A28="",NOT(ISNUMBER(Planos!$G28)),N(Planos!$E28)&lt;=0),0,IF(Planos!$G28&gt;EOMONTH(DATE(crono_ano_ref,12,1),0),0,MAX(0,INT((EOMONTH(DATE(crono_ano_ref,12,1),0)-IF(Planos!$G28&gt;=DATE(crono_ano_ref,12,1),Planos!$G28,Planos!$G28+CEILING((DATE(crono_ano_ref,12,1)-Planos!$G28)/Planos!$E28,1)*Planos!$E28))/Planos!$E28)+1)))</f>
      </c>
      <c r="R30" s="44">
        <f>SUM(F30:Q30)</f>
      </c>
    </row>
    <row r="31" spans="1:18" x14ac:dyDescent="0.25">
      <c r="A31" s="24">
        <f>IF(Planos!$A29="","",Planos!A29&amp;"")</f>
      </c>
      <c r="B31" s="41">
        <f>IF(Planos!$A29="","",Planos!B29&amp;"")</f>
      </c>
      <c r="C31" s="24">
        <f>IF(Planos!$A29="","",Planos!C29&amp;"")</f>
      </c>
      <c r="D31" s="42">
        <f>IF(Planos!$A29="","",N(Planos!E29))</f>
      </c>
      <c r="E31" s="43">
        <f>IF(Planos!$A29="","",N(Planos!K29))</f>
      </c>
      <c r="F31" s="44">
        <f>IF(OR(Planos!$A29="",NOT(ISNUMBER(Planos!$G29)),N(Planos!$E29)&lt;=0),0,IF(Planos!$G29&gt;EOMONTH(DATE(crono_ano_ref,1,1),0),0,MAX(0,INT((EOMONTH(DATE(crono_ano_ref,1,1),0)-IF(Planos!$G29&gt;=DATE(crono_ano_ref,1,1),Planos!$G29,Planos!$G29+CEILING((DATE(crono_ano_ref,1,1)-Planos!$G29)/Planos!$E29,1)*Planos!$E29))/Planos!$E29)+1)))</f>
      </c>
      <c r="G31" s="44">
        <f>IF(OR(Planos!$A29="",NOT(ISNUMBER(Planos!$G29)),N(Planos!$E29)&lt;=0),0,IF(Planos!$G29&gt;EOMONTH(DATE(crono_ano_ref,2,1),0),0,MAX(0,INT((EOMONTH(DATE(crono_ano_ref,2,1),0)-IF(Planos!$G29&gt;=DATE(crono_ano_ref,2,1),Planos!$G29,Planos!$G29+CEILING((DATE(crono_ano_ref,2,1)-Planos!$G29)/Planos!$E29,1)*Planos!$E29))/Planos!$E29)+1)))</f>
      </c>
      <c r="H31" s="44">
        <f>IF(OR(Planos!$A29="",NOT(ISNUMBER(Planos!$G29)),N(Planos!$E29)&lt;=0),0,IF(Planos!$G29&gt;EOMONTH(DATE(crono_ano_ref,3,1),0),0,MAX(0,INT((EOMONTH(DATE(crono_ano_ref,3,1),0)-IF(Planos!$G29&gt;=DATE(crono_ano_ref,3,1),Planos!$G29,Planos!$G29+CEILING((DATE(crono_ano_ref,3,1)-Planos!$G29)/Planos!$E29,1)*Planos!$E29))/Planos!$E29)+1)))</f>
      </c>
      <c r="I31" s="44">
        <f>IF(OR(Planos!$A29="",NOT(ISNUMBER(Planos!$G29)),N(Planos!$E29)&lt;=0),0,IF(Planos!$G29&gt;EOMONTH(DATE(crono_ano_ref,4,1),0),0,MAX(0,INT((EOMONTH(DATE(crono_ano_ref,4,1),0)-IF(Planos!$G29&gt;=DATE(crono_ano_ref,4,1),Planos!$G29,Planos!$G29+CEILING((DATE(crono_ano_ref,4,1)-Planos!$G29)/Planos!$E29,1)*Planos!$E29))/Planos!$E29)+1)))</f>
      </c>
      <c r="J31" s="44">
        <f>IF(OR(Planos!$A29="",NOT(ISNUMBER(Planos!$G29)),N(Planos!$E29)&lt;=0),0,IF(Planos!$G29&gt;EOMONTH(DATE(crono_ano_ref,5,1),0),0,MAX(0,INT((EOMONTH(DATE(crono_ano_ref,5,1),0)-IF(Planos!$G29&gt;=DATE(crono_ano_ref,5,1),Planos!$G29,Planos!$G29+CEILING((DATE(crono_ano_ref,5,1)-Planos!$G29)/Planos!$E29,1)*Planos!$E29))/Planos!$E29)+1)))</f>
      </c>
      <c r="K31" s="44">
        <f>IF(OR(Planos!$A29="",NOT(ISNUMBER(Planos!$G29)),N(Planos!$E29)&lt;=0),0,IF(Planos!$G29&gt;EOMONTH(DATE(crono_ano_ref,6,1),0),0,MAX(0,INT((EOMONTH(DATE(crono_ano_ref,6,1),0)-IF(Planos!$G29&gt;=DATE(crono_ano_ref,6,1),Planos!$G29,Planos!$G29+CEILING((DATE(crono_ano_ref,6,1)-Planos!$G29)/Planos!$E29,1)*Planos!$E29))/Planos!$E29)+1)))</f>
      </c>
      <c r="L31" s="44">
        <f>IF(OR(Planos!$A29="",NOT(ISNUMBER(Planos!$G29)),N(Planos!$E29)&lt;=0),0,IF(Planos!$G29&gt;EOMONTH(DATE(crono_ano_ref,7,1),0),0,MAX(0,INT((EOMONTH(DATE(crono_ano_ref,7,1),0)-IF(Planos!$G29&gt;=DATE(crono_ano_ref,7,1),Planos!$G29,Planos!$G29+CEILING((DATE(crono_ano_ref,7,1)-Planos!$G29)/Planos!$E29,1)*Planos!$E29))/Planos!$E29)+1)))</f>
      </c>
      <c r="M31" s="44">
        <f>IF(OR(Planos!$A29="",NOT(ISNUMBER(Planos!$G29)),N(Planos!$E29)&lt;=0),0,IF(Planos!$G29&gt;EOMONTH(DATE(crono_ano_ref,8,1),0),0,MAX(0,INT((EOMONTH(DATE(crono_ano_ref,8,1),0)-IF(Planos!$G29&gt;=DATE(crono_ano_ref,8,1),Planos!$G29,Planos!$G29+CEILING((DATE(crono_ano_ref,8,1)-Planos!$G29)/Planos!$E29,1)*Planos!$E29))/Planos!$E29)+1)))</f>
      </c>
      <c r="N31" s="44">
        <f>IF(OR(Planos!$A29="",NOT(ISNUMBER(Planos!$G29)),N(Planos!$E29)&lt;=0),0,IF(Planos!$G29&gt;EOMONTH(DATE(crono_ano_ref,9,1),0),0,MAX(0,INT((EOMONTH(DATE(crono_ano_ref,9,1),0)-IF(Planos!$G29&gt;=DATE(crono_ano_ref,9,1),Planos!$G29,Planos!$G29+CEILING((DATE(crono_ano_ref,9,1)-Planos!$G29)/Planos!$E29,1)*Planos!$E29))/Planos!$E29)+1)))</f>
      </c>
      <c r="O31" s="44">
        <f>IF(OR(Planos!$A29="",NOT(ISNUMBER(Planos!$G29)),N(Planos!$E29)&lt;=0),0,IF(Planos!$G29&gt;EOMONTH(DATE(crono_ano_ref,10,1),0),0,MAX(0,INT((EOMONTH(DATE(crono_ano_ref,10,1),0)-IF(Planos!$G29&gt;=DATE(crono_ano_ref,10,1),Planos!$G29,Planos!$G29+CEILING((DATE(crono_ano_ref,10,1)-Planos!$G29)/Planos!$E29,1)*Planos!$E29))/Planos!$E29)+1)))</f>
      </c>
      <c r="P31" s="44">
        <f>IF(OR(Planos!$A29="",NOT(ISNUMBER(Planos!$G29)),N(Planos!$E29)&lt;=0),0,IF(Planos!$G29&gt;EOMONTH(DATE(crono_ano_ref,11,1),0),0,MAX(0,INT((EOMONTH(DATE(crono_ano_ref,11,1),0)-IF(Planos!$G29&gt;=DATE(crono_ano_ref,11,1),Planos!$G29,Planos!$G29+CEILING((DATE(crono_ano_ref,11,1)-Planos!$G29)/Planos!$E29,1)*Planos!$E29))/Planos!$E29)+1)))</f>
      </c>
      <c r="Q31" s="44">
        <f>IF(OR(Planos!$A29="",NOT(ISNUMBER(Planos!$G29)),N(Planos!$E29)&lt;=0),0,IF(Planos!$G29&gt;EOMONTH(DATE(crono_ano_ref,12,1),0),0,MAX(0,INT((EOMONTH(DATE(crono_ano_ref,12,1),0)-IF(Planos!$G29&gt;=DATE(crono_ano_ref,12,1),Planos!$G29,Planos!$G29+CEILING((DATE(crono_ano_ref,12,1)-Planos!$G29)/Planos!$E29,1)*Planos!$E29))/Planos!$E29)+1)))</f>
      </c>
      <c r="R31" s="44">
        <f>SUM(F31:Q31)</f>
      </c>
    </row>
    <row r="32" spans="1:18" x14ac:dyDescent="0.25">
      <c r="A32" s="24">
        <f>IF(Planos!$A30="","",Planos!A30&amp;"")</f>
      </c>
      <c r="B32" s="41">
        <f>IF(Planos!$A30="","",Planos!B30&amp;"")</f>
      </c>
      <c r="C32" s="24">
        <f>IF(Planos!$A30="","",Planos!C30&amp;"")</f>
      </c>
      <c r="D32" s="42">
        <f>IF(Planos!$A30="","",N(Planos!E30))</f>
      </c>
      <c r="E32" s="43">
        <f>IF(Planos!$A30="","",N(Planos!K30))</f>
      </c>
      <c r="F32" s="44">
        <f>IF(OR(Planos!$A30="",NOT(ISNUMBER(Planos!$G30)),N(Planos!$E30)&lt;=0),0,IF(Planos!$G30&gt;EOMONTH(DATE(crono_ano_ref,1,1),0),0,MAX(0,INT((EOMONTH(DATE(crono_ano_ref,1,1),0)-IF(Planos!$G30&gt;=DATE(crono_ano_ref,1,1),Planos!$G30,Planos!$G30+CEILING((DATE(crono_ano_ref,1,1)-Planos!$G30)/Planos!$E30,1)*Planos!$E30))/Planos!$E30)+1)))</f>
      </c>
      <c r="G32" s="44">
        <f>IF(OR(Planos!$A30="",NOT(ISNUMBER(Planos!$G30)),N(Planos!$E30)&lt;=0),0,IF(Planos!$G30&gt;EOMONTH(DATE(crono_ano_ref,2,1),0),0,MAX(0,INT((EOMONTH(DATE(crono_ano_ref,2,1),0)-IF(Planos!$G30&gt;=DATE(crono_ano_ref,2,1),Planos!$G30,Planos!$G30+CEILING((DATE(crono_ano_ref,2,1)-Planos!$G30)/Planos!$E30,1)*Planos!$E30))/Planos!$E30)+1)))</f>
      </c>
      <c r="H32" s="44">
        <f>IF(OR(Planos!$A30="",NOT(ISNUMBER(Planos!$G30)),N(Planos!$E30)&lt;=0),0,IF(Planos!$G30&gt;EOMONTH(DATE(crono_ano_ref,3,1),0),0,MAX(0,INT((EOMONTH(DATE(crono_ano_ref,3,1),0)-IF(Planos!$G30&gt;=DATE(crono_ano_ref,3,1),Planos!$G30,Planos!$G30+CEILING((DATE(crono_ano_ref,3,1)-Planos!$G30)/Planos!$E30,1)*Planos!$E30))/Planos!$E30)+1)))</f>
      </c>
      <c r="I32" s="44">
        <f>IF(OR(Planos!$A30="",NOT(ISNUMBER(Planos!$G30)),N(Planos!$E30)&lt;=0),0,IF(Planos!$G30&gt;EOMONTH(DATE(crono_ano_ref,4,1),0),0,MAX(0,INT((EOMONTH(DATE(crono_ano_ref,4,1),0)-IF(Planos!$G30&gt;=DATE(crono_ano_ref,4,1),Planos!$G30,Planos!$G30+CEILING((DATE(crono_ano_ref,4,1)-Planos!$G30)/Planos!$E30,1)*Planos!$E30))/Planos!$E30)+1)))</f>
      </c>
      <c r="J32" s="44">
        <f>IF(OR(Planos!$A30="",NOT(ISNUMBER(Planos!$G30)),N(Planos!$E30)&lt;=0),0,IF(Planos!$G30&gt;EOMONTH(DATE(crono_ano_ref,5,1),0),0,MAX(0,INT((EOMONTH(DATE(crono_ano_ref,5,1),0)-IF(Planos!$G30&gt;=DATE(crono_ano_ref,5,1),Planos!$G30,Planos!$G30+CEILING((DATE(crono_ano_ref,5,1)-Planos!$G30)/Planos!$E30,1)*Planos!$E30))/Planos!$E30)+1)))</f>
      </c>
      <c r="K32" s="44">
        <f>IF(OR(Planos!$A30="",NOT(ISNUMBER(Planos!$G30)),N(Planos!$E30)&lt;=0),0,IF(Planos!$G30&gt;EOMONTH(DATE(crono_ano_ref,6,1),0),0,MAX(0,INT((EOMONTH(DATE(crono_ano_ref,6,1),0)-IF(Planos!$G30&gt;=DATE(crono_ano_ref,6,1),Planos!$G30,Planos!$G30+CEILING((DATE(crono_ano_ref,6,1)-Planos!$G30)/Planos!$E30,1)*Planos!$E30))/Planos!$E30)+1)))</f>
      </c>
      <c r="L32" s="44">
        <f>IF(OR(Planos!$A30="",NOT(ISNUMBER(Planos!$G30)),N(Planos!$E30)&lt;=0),0,IF(Planos!$G30&gt;EOMONTH(DATE(crono_ano_ref,7,1),0),0,MAX(0,INT((EOMONTH(DATE(crono_ano_ref,7,1),0)-IF(Planos!$G30&gt;=DATE(crono_ano_ref,7,1),Planos!$G30,Planos!$G30+CEILING((DATE(crono_ano_ref,7,1)-Planos!$G30)/Planos!$E30,1)*Planos!$E30))/Planos!$E30)+1)))</f>
      </c>
      <c r="M32" s="44">
        <f>IF(OR(Planos!$A30="",NOT(ISNUMBER(Planos!$G30)),N(Planos!$E30)&lt;=0),0,IF(Planos!$G30&gt;EOMONTH(DATE(crono_ano_ref,8,1),0),0,MAX(0,INT((EOMONTH(DATE(crono_ano_ref,8,1),0)-IF(Planos!$G30&gt;=DATE(crono_ano_ref,8,1),Planos!$G30,Planos!$G30+CEILING((DATE(crono_ano_ref,8,1)-Planos!$G30)/Planos!$E30,1)*Planos!$E30))/Planos!$E30)+1)))</f>
      </c>
      <c r="N32" s="44">
        <f>IF(OR(Planos!$A30="",NOT(ISNUMBER(Planos!$G30)),N(Planos!$E30)&lt;=0),0,IF(Planos!$G30&gt;EOMONTH(DATE(crono_ano_ref,9,1),0),0,MAX(0,INT((EOMONTH(DATE(crono_ano_ref,9,1),0)-IF(Planos!$G30&gt;=DATE(crono_ano_ref,9,1),Planos!$G30,Planos!$G30+CEILING((DATE(crono_ano_ref,9,1)-Planos!$G30)/Planos!$E30,1)*Planos!$E30))/Planos!$E30)+1)))</f>
      </c>
      <c r="O32" s="44">
        <f>IF(OR(Planos!$A30="",NOT(ISNUMBER(Planos!$G30)),N(Planos!$E30)&lt;=0),0,IF(Planos!$G30&gt;EOMONTH(DATE(crono_ano_ref,10,1),0),0,MAX(0,INT((EOMONTH(DATE(crono_ano_ref,10,1),0)-IF(Planos!$G30&gt;=DATE(crono_ano_ref,10,1),Planos!$G30,Planos!$G30+CEILING((DATE(crono_ano_ref,10,1)-Planos!$G30)/Planos!$E30,1)*Planos!$E30))/Planos!$E30)+1)))</f>
      </c>
      <c r="P32" s="44">
        <f>IF(OR(Planos!$A30="",NOT(ISNUMBER(Planos!$G30)),N(Planos!$E30)&lt;=0),0,IF(Planos!$G30&gt;EOMONTH(DATE(crono_ano_ref,11,1),0),0,MAX(0,INT((EOMONTH(DATE(crono_ano_ref,11,1),0)-IF(Planos!$G30&gt;=DATE(crono_ano_ref,11,1),Planos!$G30,Planos!$G30+CEILING((DATE(crono_ano_ref,11,1)-Planos!$G30)/Planos!$E30,1)*Planos!$E30))/Planos!$E30)+1)))</f>
      </c>
      <c r="Q32" s="44">
        <f>IF(OR(Planos!$A30="",NOT(ISNUMBER(Planos!$G30)),N(Planos!$E30)&lt;=0),0,IF(Planos!$G30&gt;EOMONTH(DATE(crono_ano_ref,12,1),0),0,MAX(0,INT((EOMONTH(DATE(crono_ano_ref,12,1),0)-IF(Planos!$G30&gt;=DATE(crono_ano_ref,12,1),Planos!$G30,Planos!$G30+CEILING((DATE(crono_ano_ref,12,1)-Planos!$G30)/Planos!$E30,1)*Planos!$E30))/Planos!$E30)+1)))</f>
      </c>
      <c r="R32" s="44">
        <f>SUM(F32:Q32)</f>
      </c>
    </row>
    <row r="33" spans="1:18" x14ac:dyDescent="0.25">
      <c r="A33" s="24">
        <f>IF(Planos!$A31="","",Planos!A31&amp;"")</f>
      </c>
      <c r="B33" s="41">
        <f>IF(Planos!$A31="","",Planos!B31&amp;"")</f>
      </c>
      <c r="C33" s="24">
        <f>IF(Planos!$A31="","",Planos!C31&amp;"")</f>
      </c>
      <c r="D33" s="42">
        <f>IF(Planos!$A31="","",N(Planos!E31))</f>
      </c>
      <c r="E33" s="43">
        <f>IF(Planos!$A31="","",N(Planos!K31))</f>
      </c>
      <c r="F33" s="44">
        <f>IF(OR(Planos!$A31="",NOT(ISNUMBER(Planos!$G31)),N(Planos!$E31)&lt;=0),0,IF(Planos!$G31&gt;EOMONTH(DATE(crono_ano_ref,1,1),0),0,MAX(0,INT((EOMONTH(DATE(crono_ano_ref,1,1),0)-IF(Planos!$G31&gt;=DATE(crono_ano_ref,1,1),Planos!$G31,Planos!$G31+CEILING((DATE(crono_ano_ref,1,1)-Planos!$G31)/Planos!$E31,1)*Planos!$E31))/Planos!$E31)+1)))</f>
      </c>
      <c r="G33" s="44">
        <f>IF(OR(Planos!$A31="",NOT(ISNUMBER(Planos!$G31)),N(Planos!$E31)&lt;=0),0,IF(Planos!$G31&gt;EOMONTH(DATE(crono_ano_ref,2,1),0),0,MAX(0,INT((EOMONTH(DATE(crono_ano_ref,2,1),0)-IF(Planos!$G31&gt;=DATE(crono_ano_ref,2,1),Planos!$G31,Planos!$G31+CEILING((DATE(crono_ano_ref,2,1)-Planos!$G31)/Planos!$E31,1)*Planos!$E31))/Planos!$E31)+1)))</f>
      </c>
      <c r="H33" s="44">
        <f>IF(OR(Planos!$A31="",NOT(ISNUMBER(Planos!$G31)),N(Planos!$E31)&lt;=0),0,IF(Planos!$G31&gt;EOMONTH(DATE(crono_ano_ref,3,1),0),0,MAX(0,INT((EOMONTH(DATE(crono_ano_ref,3,1),0)-IF(Planos!$G31&gt;=DATE(crono_ano_ref,3,1),Planos!$G31,Planos!$G31+CEILING((DATE(crono_ano_ref,3,1)-Planos!$G31)/Planos!$E31,1)*Planos!$E31))/Planos!$E31)+1)))</f>
      </c>
      <c r="I33" s="44">
        <f>IF(OR(Planos!$A31="",NOT(ISNUMBER(Planos!$G31)),N(Planos!$E31)&lt;=0),0,IF(Planos!$G31&gt;EOMONTH(DATE(crono_ano_ref,4,1),0),0,MAX(0,INT((EOMONTH(DATE(crono_ano_ref,4,1),0)-IF(Planos!$G31&gt;=DATE(crono_ano_ref,4,1),Planos!$G31,Planos!$G31+CEILING((DATE(crono_ano_ref,4,1)-Planos!$G31)/Planos!$E31,1)*Planos!$E31))/Planos!$E31)+1)))</f>
      </c>
      <c r="J33" s="44">
        <f>IF(OR(Planos!$A31="",NOT(ISNUMBER(Planos!$G31)),N(Planos!$E31)&lt;=0),0,IF(Planos!$G31&gt;EOMONTH(DATE(crono_ano_ref,5,1),0),0,MAX(0,INT((EOMONTH(DATE(crono_ano_ref,5,1),0)-IF(Planos!$G31&gt;=DATE(crono_ano_ref,5,1),Planos!$G31,Planos!$G31+CEILING((DATE(crono_ano_ref,5,1)-Planos!$G31)/Planos!$E31,1)*Planos!$E31))/Planos!$E31)+1)))</f>
      </c>
      <c r="K33" s="44">
        <f>IF(OR(Planos!$A31="",NOT(ISNUMBER(Planos!$G31)),N(Planos!$E31)&lt;=0),0,IF(Planos!$G31&gt;EOMONTH(DATE(crono_ano_ref,6,1),0),0,MAX(0,INT((EOMONTH(DATE(crono_ano_ref,6,1),0)-IF(Planos!$G31&gt;=DATE(crono_ano_ref,6,1),Planos!$G31,Planos!$G31+CEILING((DATE(crono_ano_ref,6,1)-Planos!$G31)/Planos!$E31,1)*Planos!$E31))/Planos!$E31)+1)))</f>
      </c>
      <c r="L33" s="44">
        <f>IF(OR(Planos!$A31="",NOT(ISNUMBER(Planos!$G31)),N(Planos!$E31)&lt;=0),0,IF(Planos!$G31&gt;EOMONTH(DATE(crono_ano_ref,7,1),0),0,MAX(0,INT((EOMONTH(DATE(crono_ano_ref,7,1),0)-IF(Planos!$G31&gt;=DATE(crono_ano_ref,7,1),Planos!$G31,Planos!$G31+CEILING((DATE(crono_ano_ref,7,1)-Planos!$G31)/Planos!$E31,1)*Planos!$E31))/Planos!$E31)+1)))</f>
      </c>
      <c r="M33" s="44">
        <f>IF(OR(Planos!$A31="",NOT(ISNUMBER(Planos!$G31)),N(Planos!$E31)&lt;=0),0,IF(Planos!$G31&gt;EOMONTH(DATE(crono_ano_ref,8,1),0),0,MAX(0,INT((EOMONTH(DATE(crono_ano_ref,8,1),0)-IF(Planos!$G31&gt;=DATE(crono_ano_ref,8,1),Planos!$G31,Planos!$G31+CEILING((DATE(crono_ano_ref,8,1)-Planos!$G31)/Planos!$E31,1)*Planos!$E31))/Planos!$E31)+1)))</f>
      </c>
      <c r="N33" s="44">
        <f>IF(OR(Planos!$A31="",NOT(ISNUMBER(Planos!$G31)),N(Planos!$E31)&lt;=0),0,IF(Planos!$G31&gt;EOMONTH(DATE(crono_ano_ref,9,1),0),0,MAX(0,INT((EOMONTH(DATE(crono_ano_ref,9,1),0)-IF(Planos!$G31&gt;=DATE(crono_ano_ref,9,1),Planos!$G31,Planos!$G31+CEILING((DATE(crono_ano_ref,9,1)-Planos!$G31)/Planos!$E31,1)*Planos!$E31))/Planos!$E31)+1)))</f>
      </c>
      <c r="O33" s="44">
        <f>IF(OR(Planos!$A31="",NOT(ISNUMBER(Planos!$G31)),N(Planos!$E31)&lt;=0),0,IF(Planos!$G31&gt;EOMONTH(DATE(crono_ano_ref,10,1),0),0,MAX(0,INT((EOMONTH(DATE(crono_ano_ref,10,1),0)-IF(Planos!$G31&gt;=DATE(crono_ano_ref,10,1),Planos!$G31,Planos!$G31+CEILING((DATE(crono_ano_ref,10,1)-Planos!$G31)/Planos!$E31,1)*Planos!$E31))/Planos!$E31)+1)))</f>
      </c>
      <c r="P33" s="44">
        <f>IF(OR(Planos!$A31="",NOT(ISNUMBER(Planos!$G31)),N(Planos!$E31)&lt;=0),0,IF(Planos!$G31&gt;EOMONTH(DATE(crono_ano_ref,11,1),0),0,MAX(0,INT((EOMONTH(DATE(crono_ano_ref,11,1),0)-IF(Planos!$G31&gt;=DATE(crono_ano_ref,11,1),Planos!$G31,Planos!$G31+CEILING((DATE(crono_ano_ref,11,1)-Planos!$G31)/Planos!$E31,1)*Planos!$E31))/Planos!$E31)+1)))</f>
      </c>
      <c r="Q33" s="44">
        <f>IF(OR(Planos!$A31="",NOT(ISNUMBER(Planos!$G31)),N(Planos!$E31)&lt;=0),0,IF(Planos!$G31&gt;EOMONTH(DATE(crono_ano_ref,12,1),0),0,MAX(0,INT((EOMONTH(DATE(crono_ano_ref,12,1),0)-IF(Planos!$G31&gt;=DATE(crono_ano_ref,12,1),Planos!$G31,Planos!$G31+CEILING((DATE(crono_ano_ref,12,1)-Planos!$G31)/Planos!$E31,1)*Planos!$E31))/Planos!$E31)+1)))</f>
      </c>
      <c r="R33" s="44">
        <f>SUM(F33:Q33)</f>
      </c>
    </row>
    <row r="34" spans="1:18" x14ac:dyDescent="0.25">
      <c r="A34" s="24">
        <f>IF(Planos!$A32="","",Planos!A32&amp;"")</f>
      </c>
      <c r="B34" s="41">
        <f>IF(Planos!$A32="","",Planos!B32&amp;"")</f>
      </c>
      <c r="C34" s="24">
        <f>IF(Planos!$A32="","",Planos!C32&amp;"")</f>
      </c>
      <c r="D34" s="42">
        <f>IF(Planos!$A32="","",N(Planos!E32))</f>
      </c>
      <c r="E34" s="43">
        <f>IF(Planos!$A32="","",N(Planos!K32))</f>
      </c>
      <c r="F34" s="44">
        <f>IF(OR(Planos!$A32="",NOT(ISNUMBER(Planos!$G32)),N(Planos!$E32)&lt;=0),0,IF(Planos!$G32&gt;EOMONTH(DATE(crono_ano_ref,1,1),0),0,MAX(0,INT((EOMONTH(DATE(crono_ano_ref,1,1),0)-IF(Planos!$G32&gt;=DATE(crono_ano_ref,1,1),Planos!$G32,Planos!$G32+CEILING((DATE(crono_ano_ref,1,1)-Planos!$G32)/Planos!$E32,1)*Planos!$E32))/Planos!$E32)+1)))</f>
      </c>
      <c r="G34" s="44">
        <f>IF(OR(Planos!$A32="",NOT(ISNUMBER(Planos!$G32)),N(Planos!$E32)&lt;=0),0,IF(Planos!$G32&gt;EOMONTH(DATE(crono_ano_ref,2,1),0),0,MAX(0,INT((EOMONTH(DATE(crono_ano_ref,2,1),0)-IF(Planos!$G32&gt;=DATE(crono_ano_ref,2,1),Planos!$G32,Planos!$G32+CEILING((DATE(crono_ano_ref,2,1)-Planos!$G32)/Planos!$E32,1)*Planos!$E32))/Planos!$E32)+1)))</f>
      </c>
      <c r="H34" s="44">
        <f>IF(OR(Planos!$A32="",NOT(ISNUMBER(Planos!$G32)),N(Planos!$E32)&lt;=0),0,IF(Planos!$G32&gt;EOMONTH(DATE(crono_ano_ref,3,1),0),0,MAX(0,INT((EOMONTH(DATE(crono_ano_ref,3,1),0)-IF(Planos!$G32&gt;=DATE(crono_ano_ref,3,1),Planos!$G32,Planos!$G32+CEILING((DATE(crono_ano_ref,3,1)-Planos!$G32)/Planos!$E32,1)*Planos!$E32))/Planos!$E32)+1)))</f>
      </c>
      <c r="I34" s="44">
        <f>IF(OR(Planos!$A32="",NOT(ISNUMBER(Planos!$G32)),N(Planos!$E32)&lt;=0),0,IF(Planos!$G32&gt;EOMONTH(DATE(crono_ano_ref,4,1),0),0,MAX(0,INT((EOMONTH(DATE(crono_ano_ref,4,1),0)-IF(Planos!$G32&gt;=DATE(crono_ano_ref,4,1),Planos!$G32,Planos!$G32+CEILING((DATE(crono_ano_ref,4,1)-Planos!$G32)/Planos!$E32,1)*Planos!$E32))/Planos!$E32)+1)))</f>
      </c>
      <c r="J34" s="44">
        <f>IF(OR(Planos!$A32="",NOT(ISNUMBER(Planos!$G32)),N(Planos!$E32)&lt;=0),0,IF(Planos!$G32&gt;EOMONTH(DATE(crono_ano_ref,5,1),0),0,MAX(0,INT((EOMONTH(DATE(crono_ano_ref,5,1),0)-IF(Planos!$G32&gt;=DATE(crono_ano_ref,5,1),Planos!$G32,Planos!$G32+CEILING((DATE(crono_ano_ref,5,1)-Planos!$G32)/Planos!$E32,1)*Planos!$E32))/Planos!$E32)+1)))</f>
      </c>
      <c r="K34" s="44">
        <f>IF(OR(Planos!$A32="",NOT(ISNUMBER(Planos!$G32)),N(Planos!$E32)&lt;=0),0,IF(Planos!$G32&gt;EOMONTH(DATE(crono_ano_ref,6,1),0),0,MAX(0,INT((EOMONTH(DATE(crono_ano_ref,6,1),0)-IF(Planos!$G32&gt;=DATE(crono_ano_ref,6,1),Planos!$G32,Planos!$G32+CEILING((DATE(crono_ano_ref,6,1)-Planos!$G32)/Planos!$E32,1)*Planos!$E32))/Planos!$E32)+1)))</f>
      </c>
      <c r="L34" s="44">
        <f>IF(OR(Planos!$A32="",NOT(ISNUMBER(Planos!$G32)),N(Planos!$E32)&lt;=0),0,IF(Planos!$G32&gt;EOMONTH(DATE(crono_ano_ref,7,1),0),0,MAX(0,INT((EOMONTH(DATE(crono_ano_ref,7,1),0)-IF(Planos!$G32&gt;=DATE(crono_ano_ref,7,1),Planos!$G32,Planos!$G32+CEILING((DATE(crono_ano_ref,7,1)-Planos!$G32)/Planos!$E32,1)*Planos!$E32))/Planos!$E32)+1)))</f>
      </c>
      <c r="M34" s="44">
        <f>IF(OR(Planos!$A32="",NOT(ISNUMBER(Planos!$G32)),N(Planos!$E32)&lt;=0),0,IF(Planos!$G32&gt;EOMONTH(DATE(crono_ano_ref,8,1),0),0,MAX(0,INT((EOMONTH(DATE(crono_ano_ref,8,1),0)-IF(Planos!$G32&gt;=DATE(crono_ano_ref,8,1),Planos!$G32,Planos!$G32+CEILING((DATE(crono_ano_ref,8,1)-Planos!$G32)/Planos!$E32,1)*Planos!$E32))/Planos!$E32)+1)))</f>
      </c>
      <c r="N34" s="44">
        <f>IF(OR(Planos!$A32="",NOT(ISNUMBER(Planos!$G32)),N(Planos!$E32)&lt;=0),0,IF(Planos!$G32&gt;EOMONTH(DATE(crono_ano_ref,9,1),0),0,MAX(0,INT((EOMONTH(DATE(crono_ano_ref,9,1),0)-IF(Planos!$G32&gt;=DATE(crono_ano_ref,9,1),Planos!$G32,Planos!$G32+CEILING((DATE(crono_ano_ref,9,1)-Planos!$G32)/Planos!$E32,1)*Planos!$E32))/Planos!$E32)+1)))</f>
      </c>
      <c r="O34" s="44">
        <f>IF(OR(Planos!$A32="",NOT(ISNUMBER(Planos!$G32)),N(Planos!$E32)&lt;=0),0,IF(Planos!$G32&gt;EOMONTH(DATE(crono_ano_ref,10,1),0),0,MAX(0,INT((EOMONTH(DATE(crono_ano_ref,10,1),0)-IF(Planos!$G32&gt;=DATE(crono_ano_ref,10,1),Planos!$G32,Planos!$G32+CEILING((DATE(crono_ano_ref,10,1)-Planos!$G32)/Planos!$E32,1)*Planos!$E32))/Planos!$E32)+1)))</f>
      </c>
      <c r="P34" s="44">
        <f>IF(OR(Planos!$A32="",NOT(ISNUMBER(Planos!$G32)),N(Planos!$E32)&lt;=0),0,IF(Planos!$G32&gt;EOMONTH(DATE(crono_ano_ref,11,1),0),0,MAX(0,INT((EOMONTH(DATE(crono_ano_ref,11,1),0)-IF(Planos!$G32&gt;=DATE(crono_ano_ref,11,1),Planos!$G32,Planos!$G32+CEILING((DATE(crono_ano_ref,11,1)-Planos!$G32)/Planos!$E32,1)*Planos!$E32))/Planos!$E32)+1)))</f>
      </c>
      <c r="Q34" s="44">
        <f>IF(OR(Planos!$A32="",NOT(ISNUMBER(Planos!$G32)),N(Planos!$E32)&lt;=0),0,IF(Planos!$G32&gt;EOMONTH(DATE(crono_ano_ref,12,1),0),0,MAX(0,INT((EOMONTH(DATE(crono_ano_ref,12,1),0)-IF(Planos!$G32&gt;=DATE(crono_ano_ref,12,1),Planos!$G32,Planos!$G32+CEILING((DATE(crono_ano_ref,12,1)-Planos!$G32)/Planos!$E32,1)*Planos!$E32))/Planos!$E32)+1)))</f>
      </c>
      <c r="R34" s="44">
        <f>SUM(F34:Q34)</f>
      </c>
    </row>
    <row r="35" spans="1:18" x14ac:dyDescent="0.25">
      <c r="A35" s="24">
        <f>IF(Planos!$A33="","",Planos!A33&amp;"")</f>
      </c>
      <c r="B35" s="41">
        <f>IF(Planos!$A33="","",Planos!B33&amp;"")</f>
      </c>
      <c r="C35" s="24">
        <f>IF(Planos!$A33="","",Planos!C33&amp;"")</f>
      </c>
      <c r="D35" s="42">
        <f>IF(Planos!$A33="","",N(Planos!E33))</f>
      </c>
      <c r="E35" s="43">
        <f>IF(Planos!$A33="","",N(Planos!K33))</f>
      </c>
      <c r="F35" s="44">
        <f>IF(OR(Planos!$A33="",NOT(ISNUMBER(Planos!$G33)),N(Planos!$E33)&lt;=0),0,IF(Planos!$G33&gt;EOMONTH(DATE(crono_ano_ref,1,1),0),0,MAX(0,INT((EOMONTH(DATE(crono_ano_ref,1,1),0)-IF(Planos!$G33&gt;=DATE(crono_ano_ref,1,1),Planos!$G33,Planos!$G33+CEILING((DATE(crono_ano_ref,1,1)-Planos!$G33)/Planos!$E33,1)*Planos!$E33))/Planos!$E33)+1)))</f>
      </c>
      <c r="G35" s="44">
        <f>IF(OR(Planos!$A33="",NOT(ISNUMBER(Planos!$G33)),N(Planos!$E33)&lt;=0),0,IF(Planos!$G33&gt;EOMONTH(DATE(crono_ano_ref,2,1),0),0,MAX(0,INT((EOMONTH(DATE(crono_ano_ref,2,1),0)-IF(Planos!$G33&gt;=DATE(crono_ano_ref,2,1),Planos!$G33,Planos!$G33+CEILING((DATE(crono_ano_ref,2,1)-Planos!$G33)/Planos!$E33,1)*Planos!$E33))/Planos!$E33)+1)))</f>
      </c>
      <c r="H35" s="44">
        <f>IF(OR(Planos!$A33="",NOT(ISNUMBER(Planos!$G33)),N(Planos!$E33)&lt;=0),0,IF(Planos!$G33&gt;EOMONTH(DATE(crono_ano_ref,3,1),0),0,MAX(0,INT((EOMONTH(DATE(crono_ano_ref,3,1),0)-IF(Planos!$G33&gt;=DATE(crono_ano_ref,3,1),Planos!$G33,Planos!$G33+CEILING((DATE(crono_ano_ref,3,1)-Planos!$G33)/Planos!$E33,1)*Planos!$E33))/Planos!$E33)+1)))</f>
      </c>
      <c r="I35" s="44">
        <f>IF(OR(Planos!$A33="",NOT(ISNUMBER(Planos!$G33)),N(Planos!$E33)&lt;=0),0,IF(Planos!$G33&gt;EOMONTH(DATE(crono_ano_ref,4,1),0),0,MAX(0,INT((EOMONTH(DATE(crono_ano_ref,4,1),0)-IF(Planos!$G33&gt;=DATE(crono_ano_ref,4,1),Planos!$G33,Planos!$G33+CEILING((DATE(crono_ano_ref,4,1)-Planos!$G33)/Planos!$E33,1)*Planos!$E33))/Planos!$E33)+1)))</f>
      </c>
      <c r="J35" s="44">
        <f>IF(OR(Planos!$A33="",NOT(ISNUMBER(Planos!$G33)),N(Planos!$E33)&lt;=0),0,IF(Planos!$G33&gt;EOMONTH(DATE(crono_ano_ref,5,1),0),0,MAX(0,INT((EOMONTH(DATE(crono_ano_ref,5,1),0)-IF(Planos!$G33&gt;=DATE(crono_ano_ref,5,1),Planos!$G33,Planos!$G33+CEILING((DATE(crono_ano_ref,5,1)-Planos!$G33)/Planos!$E33,1)*Planos!$E33))/Planos!$E33)+1)))</f>
      </c>
      <c r="K35" s="44">
        <f>IF(OR(Planos!$A33="",NOT(ISNUMBER(Planos!$G33)),N(Planos!$E33)&lt;=0),0,IF(Planos!$G33&gt;EOMONTH(DATE(crono_ano_ref,6,1),0),0,MAX(0,INT((EOMONTH(DATE(crono_ano_ref,6,1),0)-IF(Planos!$G33&gt;=DATE(crono_ano_ref,6,1),Planos!$G33,Planos!$G33+CEILING((DATE(crono_ano_ref,6,1)-Planos!$G33)/Planos!$E33,1)*Planos!$E33))/Planos!$E33)+1)))</f>
      </c>
      <c r="L35" s="44">
        <f>IF(OR(Planos!$A33="",NOT(ISNUMBER(Planos!$G33)),N(Planos!$E33)&lt;=0),0,IF(Planos!$G33&gt;EOMONTH(DATE(crono_ano_ref,7,1),0),0,MAX(0,INT((EOMONTH(DATE(crono_ano_ref,7,1),0)-IF(Planos!$G33&gt;=DATE(crono_ano_ref,7,1),Planos!$G33,Planos!$G33+CEILING((DATE(crono_ano_ref,7,1)-Planos!$G33)/Planos!$E33,1)*Planos!$E33))/Planos!$E33)+1)))</f>
      </c>
      <c r="M35" s="44">
        <f>IF(OR(Planos!$A33="",NOT(ISNUMBER(Planos!$G33)),N(Planos!$E33)&lt;=0),0,IF(Planos!$G33&gt;EOMONTH(DATE(crono_ano_ref,8,1),0),0,MAX(0,INT((EOMONTH(DATE(crono_ano_ref,8,1),0)-IF(Planos!$G33&gt;=DATE(crono_ano_ref,8,1),Planos!$G33,Planos!$G33+CEILING((DATE(crono_ano_ref,8,1)-Planos!$G33)/Planos!$E33,1)*Planos!$E33))/Planos!$E33)+1)))</f>
      </c>
      <c r="N35" s="44">
        <f>IF(OR(Planos!$A33="",NOT(ISNUMBER(Planos!$G33)),N(Planos!$E33)&lt;=0),0,IF(Planos!$G33&gt;EOMONTH(DATE(crono_ano_ref,9,1),0),0,MAX(0,INT((EOMONTH(DATE(crono_ano_ref,9,1),0)-IF(Planos!$G33&gt;=DATE(crono_ano_ref,9,1),Planos!$G33,Planos!$G33+CEILING((DATE(crono_ano_ref,9,1)-Planos!$G33)/Planos!$E33,1)*Planos!$E33))/Planos!$E33)+1)))</f>
      </c>
      <c r="O35" s="44">
        <f>IF(OR(Planos!$A33="",NOT(ISNUMBER(Planos!$G33)),N(Planos!$E33)&lt;=0),0,IF(Planos!$G33&gt;EOMONTH(DATE(crono_ano_ref,10,1),0),0,MAX(0,INT((EOMONTH(DATE(crono_ano_ref,10,1),0)-IF(Planos!$G33&gt;=DATE(crono_ano_ref,10,1),Planos!$G33,Planos!$G33+CEILING((DATE(crono_ano_ref,10,1)-Planos!$G33)/Planos!$E33,1)*Planos!$E33))/Planos!$E33)+1)))</f>
      </c>
      <c r="P35" s="44">
        <f>IF(OR(Planos!$A33="",NOT(ISNUMBER(Planos!$G33)),N(Planos!$E33)&lt;=0),0,IF(Planos!$G33&gt;EOMONTH(DATE(crono_ano_ref,11,1),0),0,MAX(0,INT((EOMONTH(DATE(crono_ano_ref,11,1),0)-IF(Planos!$G33&gt;=DATE(crono_ano_ref,11,1),Planos!$G33,Planos!$G33+CEILING((DATE(crono_ano_ref,11,1)-Planos!$G33)/Planos!$E33,1)*Planos!$E33))/Planos!$E33)+1)))</f>
      </c>
      <c r="Q35" s="44">
        <f>IF(OR(Planos!$A33="",NOT(ISNUMBER(Planos!$G33)),N(Planos!$E33)&lt;=0),0,IF(Planos!$G33&gt;EOMONTH(DATE(crono_ano_ref,12,1),0),0,MAX(0,INT((EOMONTH(DATE(crono_ano_ref,12,1),0)-IF(Planos!$G33&gt;=DATE(crono_ano_ref,12,1),Planos!$G33,Planos!$G33+CEILING((DATE(crono_ano_ref,12,1)-Planos!$G33)/Planos!$E33,1)*Planos!$E33))/Planos!$E33)+1)))</f>
      </c>
      <c r="R35" s="44">
        <f>SUM(F35:Q35)</f>
      </c>
    </row>
    <row r="36" spans="1:18" x14ac:dyDescent="0.25">
      <c r="A36" s="24">
        <f>IF(Planos!$A34="","",Planos!A34&amp;"")</f>
      </c>
      <c r="B36" s="41">
        <f>IF(Planos!$A34="","",Planos!B34&amp;"")</f>
      </c>
      <c r="C36" s="24">
        <f>IF(Planos!$A34="","",Planos!C34&amp;"")</f>
      </c>
      <c r="D36" s="42">
        <f>IF(Planos!$A34="","",N(Planos!E34))</f>
      </c>
      <c r="E36" s="43">
        <f>IF(Planos!$A34="","",N(Planos!K34))</f>
      </c>
      <c r="F36" s="44">
        <f>IF(OR(Planos!$A34="",NOT(ISNUMBER(Planos!$G34)),N(Planos!$E34)&lt;=0),0,IF(Planos!$G34&gt;EOMONTH(DATE(crono_ano_ref,1,1),0),0,MAX(0,INT((EOMONTH(DATE(crono_ano_ref,1,1),0)-IF(Planos!$G34&gt;=DATE(crono_ano_ref,1,1),Planos!$G34,Planos!$G34+CEILING((DATE(crono_ano_ref,1,1)-Planos!$G34)/Planos!$E34,1)*Planos!$E34))/Planos!$E34)+1)))</f>
      </c>
      <c r="G36" s="44">
        <f>IF(OR(Planos!$A34="",NOT(ISNUMBER(Planos!$G34)),N(Planos!$E34)&lt;=0),0,IF(Planos!$G34&gt;EOMONTH(DATE(crono_ano_ref,2,1),0),0,MAX(0,INT((EOMONTH(DATE(crono_ano_ref,2,1),0)-IF(Planos!$G34&gt;=DATE(crono_ano_ref,2,1),Planos!$G34,Planos!$G34+CEILING((DATE(crono_ano_ref,2,1)-Planos!$G34)/Planos!$E34,1)*Planos!$E34))/Planos!$E34)+1)))</f>
      </c>
      <c r="H36" s="44">
        <f>IF(OR(Planos!$A34="",NOT(ISNUMBER(Planos!$G34)),N(Planos!$E34)&lt;=0),0,IF(Planos!$G34&gt;EOMONTH(DATE(crono_ano_ref,3,1),0),0,MAX(0,INT((EOMONTH(DATE(crono_ano_ref,3,1),0)-IF(Planos!$G34&gt;=DATE(crono_ano_ref,3,1),Planos!$G34,Planos!$G34+CEILING((DATE(crono_ano_ref,3,1)-Planos!$G34)/Planos!$E34,1)*Planos!$E34))/Planos!$E34)+1)))</f>
      </c>
      <c r="I36" s="44">
        <f>IF(OR(Planos!$A34="",NOT(ISNUMBER(Planos!$G34)),N(Planos!$E34)&lt;=0),0,IF(Planos!$G34&gt;EOMONTH(DATE(crono_ano_ref,4,1),0),0,MAX(0,INT((EOMONTH(DATE(crono_ano_ref,4,1),0)-IF(Planos!$G34&gt;=DATE(crono_ano_ref,4,1),Planos!$G34,Planos!$G34+CEILING((DATE(crono_ano_ref,4,1)-Planos!$G34)/Planos!$E34,1)*Planos!$E34))/Planos!$E34)+1)))</f>
      </c>
      <c r="J36" s="44">
        <f>IF(OR(Planos!$A34="",NOT(ISNUMBER(Planos!$G34)),N(Planos!$E34)&lt;=0),0,IF(Planos!$G34&gt;EOMONTH(DATE(crono_ano_ref,5,1),0),0,MAX(0,INT((EOMONTH(DATE(crono_ano_ref,5,1),0)-IF(Planos!$G34&gt;=DATE(crono_ano_ref,5,1),Planos!$G34,Planos!$G34+CEILING((DATE(crono_ano_ref,5,1)-Planos!$G34)/Planos!$E34,1)*Planos!$E34))/Planos!$E34)+1)))</f>
      </c>
      <c r="K36" s="44">
        <f>IF(OR(Planos!$A34="",NOT(ISNUMBER(Planos!$G34)),N(Planos!$E34)&lt;=0),0,IF(Planos!$G34&gt;EOMONTH(DATE(crono_ano_ref,6,1),0),0,MAX(0,INT((EOMONTH(DATE(crono_ano_ref,6,1),0)-IF(Planos!$G34&gt;=DATE(crono_ano_ref,6,1),Planos!$G34,Planos!$G34+CEILING((DATE(crono_ano_ref,6,1)-Planos!$G34)/Planos!$E34,1)*Planos!$E34))/Planos!$E34)+1)))</f>
      </c>
      <c r="L36" s="44">
        <f>IF(OR(Planos!$A34="",NOT(ISNUMBER(Planos!$G34)),N(Planos!$E34)&lt;=0),0,IF(Planos!$G34&gt;EOMONTH(DATE(crono_ano_ref,7,1),0),0,MAX(0,INT((EOMONTH(DATE(crono_ano_ref,7,1),0)-IF(Planos!$G34&gt;=DATE(crono_ano_ref,7,1),Planos!$G34,Planos!$G34+CEILING((DATE(crono_ano_ref,7,1)-Planos!$G34)/Planos!$E34,1)*Planos!$E34))/Planos!$E34)+1)))</f>
      </c>
      <c r="M36" s="44">
        <f>IF(OR(Planos!$A34="",NOT(ISNUMBER(Planos!$G34)),N(Planos!$E34)&lt;=0),0,IF(Planos!$G34&gt;EOMONTH(DATE(crono_ano_ref,8,1),0),0,MAX(0,INT((EOMONTH(DATE(crono_ano_ref,8,1),0)-IF(Planos!$G34&gt;=DATE(crono_ano_ref,8,1),Planos!$G34,Planos!$G34+CEILING((DATE(crono_ano_ref,8,1)-Planos!$G34)/Planos!$E34,1)*Planos!$E34))/Planos!$E34)+1)))</f>
      </c>
      <c r="N36" s="44">
        <f>IF(OR(Planos!$A34="",NOT(ISNUMBER(Planos!$G34)),N(Planos!$E34)&lt;=0),0,IF(Planos!$G34&gt;EOMONTH(DATE(crono_ano_ref,9,1),0),0,MAX(0,INT((EOMONTH(DATE(crono_ano_ref,9,1),0)-IF(Planos!$G34&gt;=DATE(crono_ano_ref,9,1),Planos!$G34,Planos!$G34+CEILING((DATE(crono_ano_ref,9,1)-Planos!$G34)/Planos!$E34,1)*Planos!$E34))/Planos!$E34)+1)))</f>
      </c>
      <c r="O36" s="44">
        <f>IF(OR(Planos!$A34="",NOT(ISNUMBER(Planos!$G34)),N(Planos!$E34)&lt;=0),0,IF(Planos!$G34&gt;EOMONTH(DATE(crono_ano_ref,10,1),0),0,MAX(0,INT((EOMONTH(DATE(crono_ano_ref,10,1),0)-IF(Planos!$G34&gt;=DATE(crono_ano_ref,10,1),Planos!$G34,Planos!$G34+CEILING((DATE(crono_ano_ref,10,1)-Planos!$G34)/Planos!$E34,1)*Planos!$E34))/Planos!$E34)+1)))</f>
      </c>
      <c r="P36" s="44">
        <f>IF(OR(Planos!$A34="",NOT(ISNUMBER(Planos!$G34)),N(Planos!$E34)&lt;=0),0,IF(Planos!$G34&gt;EOMONTH(DATE(crono_ano_ref,11,1),0),0,MAX(0,INT((EOMONTH(DATE(crono_ano_ref,11,1),0)-IF(Planos!$G34&gt;=DATE(crono_ano_ref,11,1),Planos!$G34,Planos!$G34+CEILING((DATE(crono_ano_ref,11,1)-Planos!$G34)/Planos!$E34,1)*Planos!$E34))/Planos!$E34)+1)))</f>
      </c>
      <c r="Q36" s="44">
        <f>IF(OR(Planos!$A34="",NOT(ISNUMBER(Planos!$G34)),N(Planos!$E34)&lt;=0),0,IF(Planos!$G34&gt;EOMONTH(DATE(crono_ano_ref,12,1),0),0,MAX(0,INT((EOMONTH(DATE(crono_ano_ref,12,1),0)-IF(Planos!$G34&gt;=DATE(crono_ano_ref,12,1),Planos!$G34,Planos!$G34+CEILING((DATE(crono_ano_ref,12,1)-Planos!$G34)/Planos!$E34,1)*Planos!$E34))/Planos!$E34)+1)))</f>
      </c>
      <c r="R36" s="44">
        <f>SUM(F36:Q36)</f>
      </c>
    </row>
    <row r="37" spans="1:18" x14ac:dyDescent="0.25">
      <c r="A37" s="24">
        <f>IF(Planos!$A35="","",Planos!A35&amp;"")</f>
      </c>
      <c r="B37" s="41">
        <f>IF(Planos!$A35="","",Planos!B35&amp;"")</f>
      </c>
      <c r="C37" s="24">
        <f>IF(Planos!$A35="","",Planos!C35&amp;"")</f>
      </c>
      <c r="D37" s="42">
        <f>IF(Planos!$A35="","",N(Planos!E35))</f>
      </c>
      <c r="E37" s="43">
        <f>IF(Planos!$A35="","",N(Planos!K35))</f>
      </c>
      <c r="F37" s="44">
        <f>IF(OR(Planos!$A35="",NOT(ISNUMBER(Planos!$G35)),N(Planos!$E35)&lt;=0),0,IF(Planos!$G35&gt;EOMONTH(DATE(crono_ano_ref,1,1),0),0,MAX(0,INT((EOMONTH(DATE(crono_ano_ref,1,1),0)-IF(Planos!$G35&gt;=DATE(crono_ano_ref,1,1),Planos!$G35,Planos!$G35+CEILING((DATE(crono_ano_ref,1,1)-Planos!$G35)/Planos!$E35,1)*Planos!$E35))/Planos!$E35)+1)))</f>
      </c>
      <c r="G37" s="44">
        <f>IF(OR(Planos!$A35="",NOT(ISNUMBER(Planos!$G35)),N(Planos!$E35)&lt;=0),0,IF(Planos!$G35&gt;EOMONTH(DATE(crono_ano_ref,2,1),0),0,MAX(0,INT((EOMONTH(DATE(crono_ano_ref,2,1),0)-IF(Planos!$G35&gt;=DATE(crono_ano_ref,2,1),Planos!$G35,Planos!$G35+CEILING((DATE(crono_ano_ref,2,1)-Planos!$G35)/Planos!$E35,1)*Planos!$E35))/Planos!$E35)+1)))</f>
      </c>
      <c r="H37" s="44">
        <f>IF(OR(Planos!$A35="",NOT(ISNUMBER(Planos!$G35)),N(Planos!$E35)&lt;=0),0,IF(Planos!$G35&gt;EOMONTH(DATE(crono_ano_ref,3,1),0),0,MAX(0,INT((EOMONTH(DATE(crono_ano_ref,3,1),0)-IF(Planos!$G35&gt;=DATE(crono_ano_ref,3,1),Planos!$G35,Planos!$G35+CEILING((DATE(crono_ano_ref,3,1)-Planos!$G35)/Planos!$E35,1)*Planos!$E35))/Planos!$E35)+1)))</f>
      </c>
      <c r="I37" s="44">
        <f>IF(OR(Planos!$A35="",NOT(ISNUMBER(Planos!$G35)),N(Planos!$E35)&lt;=0),0,IF(Planos!$G35&gt;EOMONTH(DATE(crono_ano_ref,4,1),0),0,MAX(0,INT((EOMONTH(DATE(crono_ano_ref,4,1),0)-IF(Planos!$G35&gt;=DATE(crono_ano_ref,4,1),Planos!$G35,Planos!$G35+CEILING((DATE(crono_ano_ref,4,1)-Planos!$G35)/Planos!$E35,1)*Planos!$E35))/Planos!$E35)+1)))</f>
      </c>
      <c r="J37" s="44">
        <f>IF(OR(Planos!$A35="",NOT(ISNUMBER(Planos!$G35)),N(Planos!$E35)&lt;=0),0,IF(Planos!$G35&gt;EOMONTH(DATE(crono_ano_ref,5,1),0),0,MAX(0,INT((EOMONTH(DATE(crono_ano_ref,5,1),0)-IF(Planos!$G35&gt;=DATE(crono_ano_ref,5,1),Planos!$G35,Planos!$G35+CEILING((DATE(crono_ano_ref,5,1)-Planos!$G35)/Planos!$E35,1)*Planos!$E35))/Planos!$E35)+1)))</f>
      </c>
      <c r="K37" s="44">
        <f>IF(OR(Planos!$A35="",NOT(ISNUMBER(Planos!$G35)),N(Planos!$E35)&lt;=0),0,IF(Planos!$G35&gt;EOMONTH(DATE(crono_ano_ref,6,1),0),0,MAX(0,INT((EOMONTH(DATE(crono_ano_ref,6,1),0)-IF(Planos!$G35&gt;=DATE(crono_ano_ref,6,1),Planos!$G35,Planos!$G35+CEILING((DATE(crono_ano_ref,6,1)-Planos!$G35)/Planos!$E35,1)*Planos!$E35))/Planos!$E35)+1)))</f>
      </c>
      <c r="L37" s="44">
        <f>IF(OR(Planos!$A35="",NOT(ISNUMBER(Planos!$G35)),N(Planos!$E35)&lt;=0),0,IF(Planos!$G35&gt;EOMONTH(DATE(crono_ano_ref,7,1),0),0,MAX(0,INT((EOMONTH(DATE(crono_ano_ref,7,1),0)-IF(Planos!$G35&gt;=DATE(crono_ano_ref,7,1),Planos!$G35,Planos!$G35+CEILING((DATE(crono_ano_ref,7,1)-Planos!$G35)/Planos!$E35,1)*Planos!$E35))/Planos!$E35)+1)))</f>
      </c>
      <c r="M37" s="44">
        <f>IF(OR(Planos!$A35="",NOT(ISNUMBER(Planos!$G35)),N(Planos!$E35)&lt;=0),0,IF(Planos!$G35&gt;EOMONTH(DATE(crono_ano_ref,8,1),0),0,MAX(0,INT((EOMONTH(DATE(crono_ano_ref,8,1),0)-IF(Planos!$G35&gt;=DATE(crono_ano_ref,8,1),Planos!$G35,Planos!$G35+CEILING((DATE(crono_ano_ref,8,1)-Planos!$G35)/Planos!$E35,1)*Planos!$E35))/Planos!$E35)+1)))</f>
      </c>
      <c r="N37" s="44">
        <f>IF(OR(Planos!$A35="",NOT(ISNUMBER(Planos!$G35)),N(Planos!$E35)&lt;=0),0,IF(Planos!$G35&gt;EOMONTH(DATE(crono_ano_ref,9,1),0),0,MAX(0,INT((EOMONTH(DATE(crono_ano_ref,9,1),0)-IF(Planos!$G35&gt;=DATE(crono_ano_ref,9,1),Planos!$G35,Planos!$G35+CEILING((DATE(crono_ano_ref,9,1)-Planos!$G35)/Planos!$E35,1)*Planos!$E35))/Planos!$E35)+1)))</f>
      </c>
      <c r="O37" s="44">
        <f>IF(OR(Planos!$A35="",NOT(ISNUMBER(Planos!$G35)),N(Planos!$E35)&lt;=0),0,IF(Planos!$G35&gt;EOMONTH(DATE(crono_ano_ref,10,1),0),0,MAX(0,INT((EOMONTH(DATE(crono_ano_ref,10,1),0)-IF(Planos!$G35&gt;=DATE(crono_ano_ref,10,1),Planos!$G35,Planos!$G35+CEILING((DATE(crono_ano_ref,10,1)-Planos!$G35)/Planos!$E35,1)*Planos!$E35))/Planos!$E35)+1)))</f>
      </c>
      <c r="P37" s="44">
        <f>IF(OR(Planos!$A35="",NOT(ISNUMBER(Planos!$G35)),N(Planos!$E35)&lt;=0),0,IF(Planos!$G35&gt;EOMONTH(DATE(crono_ano_ref,11,1),0),0,MAX(0,INT((EOMONTH(DATE(crono_ano_ref,11,1),0)-IF(Planos!$G35&gt;=DATE(crono_ano_ref,11,1),Planos!$G35,Planos!$G35+CEILING((DATE(crono_ano_ref,11,1)-Planos!$G35)/Planos!$E35,1)*Planos!$E35))/Planos!$E35)+1)))</f>
      </c>
      <c r="Q37" s="44">
        <f>IF(OR(Planos!$A35="",NOT(ISNUMBER(Planos!$G35)),N(Planos!$E35)&lt;=0),0,IF(Planos!$G35&gt;EOMONTH(DATE(crono_ano_ref,12,1),0),0,MAX(0,INT((EOMONTH(DATE(crono_ano_ref,12,1),0)-IF(Planos!$G35&gt;=DATE(crono_ano_ref,12,1),Planos!$G35,Planos!$G35+CEILING((DATE(crono_ano_ref,12,1)-Planos!$G35)/Planos!$E35,1)*Planos!$E35))/Planos!$E35)+1)))</f>
      </c>
      <c r="R37" s="44">
        <f>SUM(F37:Q37)</f>
      </c>
    </row>
    <row r="38" spans="1:18" x14ac:dyDescent="0.25">
      <c r="A38" s="24">
        <f>IF(Planos!$A36="","",Planos!A36&amp;"")</f>
      </c>
      <c r="B38" s="41">
        <f>IF(Planos!$A36="","",Planos!B36&amp;"")</f>
      </c>
      <c r="C38" s="24">
        <f>IF(Planos!$A36="","",Planos!C36&amp;"")</f>
      </c>
      <c r="D38" s="42">
        <f>IF(Planos!$A36="","",N(Planos!E36))</f>
      </c>
      <c r="E38" s="43">
        <f>IF(Planos!$A36="","",N(Planos!K36))</f>
      </c>
      <c r="F38" s="44">
        <f>IF(OR(Planos!$A36="",NOT(ISNUMBER(Planos!$G36)),N(Planos!$E36)&lt;=0),0,IF(Planos!$G36&gt;EOMONTH(DATE(crono_ano_ref,1,1),0),0,MAX(0,INT((EOMONTH(DATE(crono_ano_ref,1,1),0)-IF(Planos!$G36&gt;=DATE(crono_ano_ref,1,1),Planos!$G36,Planos!$G36+CEILING((DATE(crono_ano_ref,1,1)-Planos!$G36)/Planos!$E36,1)*Planos!$E36))/Planos!$E36)+1)))</f>
      </c>
      <c r="G38" s="44">
        <f>IF(OR(Planos!$A36="",NOT(ISNUMBER(Planos!$G36)),N(Planos!$E36)&lt;=0),0,IF(Planos!$G36&gt;EOMONTH(DATE(crono_ano_ref,2,1),0),0,MAX(0,INT((EOMONTH(DATE(crono_ano_ref,2,1),0)-IF(Planos!$G36&gt;=DATE(crono_ano_ref,2,1),Planos!$G36,Planos!$G36+CEILING((DATE(crono_ano_ref,2,1)-Planos!$G36)/Planos!$E36,1)*Planos!$E36))/Planos!$E36)+1)))</f>
      </c>
      <c r="H38" s="44">
        <f>IF(OR(Planos!$A36="",NOT(ISNUMBER(Planos!$G36)),N(Planos!$E36)&lt;=0),0,IF(Planos!$G36&gt;EOMONTH(DATE(crono_ano_ref,3,1),0),0,MAX(0,INT((EOMONTH(DATE(crono_ano_ref,3,1),0)-IF(Planos!$G36&gt;=DATE(crono_ano_ref,3,1),Planos!$G36,Planos!$G36+CEILING((DATE(crono_ano_ref,3,1)-Planos!$G36)/Planos!$E36,1)*Planos!$E36))/Planos!$E36)+1)))</f>
      </c>
      <c r="I38" s="44">
        <f>IF(OR(Planos!$A36="",NOT(ISNUMBER(Planos!$G36)),N(Planos!$E36)&lt;=0),0,IF(Planos!$G36&gt;EOMONTH(DATE(crono_ano_ref,4,1),0),0,MAX(0,INT((EOMONTH(DATE(crono_ano_ref,4,1),0)-IF(Planos!$G36&gt;=DATE(crono_ano_ref,4,1),Planos!$G36,Planos!$G36+CEILING((DATE(crono_ano_ref,4,1)-Planos!$G36)/Planos!$E36,1)*Planos!$E36))/Planos!$E36)+1)))</f>
      </c>
      <c r="J38" s="44">
        <f>IF(OR(Planos!$A36="",NOT(ISNUMBER(Planos!$G36)),N(Planos!$E36)&lt;=0),0,IF(Planos!$G36&gt;EOMONTH(DATE(crono_ano_ref,5,1),0),0,MAX(0,INT((EOMONTH(DATE(crono_ano_ref,5,1),0)-IF(Planos!$G36&gt;=DATE(crono_ano_ref,5,1),Planos!$G36,Planos!$G36+CEILING((DATE(crono_ano_ref,5,1)-Planos!$G36)/Planos!$E36,1)*Planos!$E36))/Planos!$E36)+1)))</f>
      </c>
      <c r="K38" s="44">
        <f>IF(OR(Planos!$A36="",NOT(ISNUMBER(Planos!$G36)),N(Planos!$E36)&lt;=0),0,IF(Planos!$G36&gt;EOMONTH(DATE(crono_ano_ref,6,1),0),0,MAX(0,INT((EOMONTH(DATE(crono_ano_ref,6,1),0)-IF(Planos!$G36&gt;=DATE(crono_ano_ref,6,1),Planos!$G36,Planos!$G36+CEILING((DATE(crono_ano_ref,6,1)-Planos!$G36)/Planos!$E36,1)*Planos!$E36))/Planos!$E36)+1)))</f>
      </c>
      <c r="L38" s="44">
        <f>IF(OR(Planos!$A36="",NOT(ISNUMBER(Planos!$G36)),N(Planos!$E36)&lt;=0),0,IF(Planos!$G36&gt;EOMONTH(DATE(crono_ano_ref,7,1),0),0,MAX(0,INT((EOMONTH(DATE(crono_ano_ref,7,1),0)-IF(Planos!$G36&gt;=DATE(crono_ano_ref,7,1),Planos!$G36,Planos!$G36+CEILING((DATE(crono_ano_ref,7,1)-Planos!$G36)/Planos!$E36,1)*Planos!$E36))/Planos!$E36)+1)))</f>
      </c>
      <c r="M38" s="44">
        <f>IF(OR(Planos!$A36="",NOT(ISNUMBER(Planos!$G36)),N(Planos!$E36)&lt;=0),0,IF(Planos!$G36&gt;EOMONTH(DATE(crono_ano_ref,8,1),0),0,MAX(0,INT((EOMONTH(DATE(crono_ano_ref,8,1),0)-IF(Planos!$G36&gt;=DATE(crono_ano_ref,8,1),Planos!$G36,Planos!$G36+CEILING((DATE(crono_ano_ref,8,1)-Planos!$G36)/Planos!$E36,1)*Planos!$E36))/Planos!$E36)+1)))</f>
      </c>
      <c r="N38" s="44">
        <f>IF(OR(Planos!$A36="",NOT(ISNUMBER(Planos!$G36)),N(Planos!$E36)&lt;=0),0,IF(Planos!$G36&gt;EOMONTH(DATE(crono_ano_ref,9,1),0),0,MAX(0,INT((EOMONTH(DATE(crono_ano_ref,9,1),0)-IF(Planos!$G36&gt;=DATE(crono_ano_ref,9,1),Planos!$G36,Planos!$G36+CEILING((DATE(crono_ano_ref,9,1)-Planos!$G36)/Planos!$E36,1)*Planos!$E36))/Planos!$E36)+1)))</f>
      </c>
      <c r="O38" s="44">
        <f>IF(OR(Planos!$A36="",NOT(ISNUMBER(Planos!$G36)),N(Planos!$E36)&lt;=0),0,IF(Planos!$G36&gt;EOMONTH(DATE(crono_ano_ref,10,1),0),0,MAX(0,INT((EOMONTH(DATE(crono_ano_ref,10,1),0)-IF(Planos!$G36&gt;=DATE(crono_ano_ref,10,1),Planos!$G36,Planos!$G36+CEILING((DATE(crono_ano_ref,10,1)-Planos!$G36)/Planos!$E36,1)*Planos!$E36))/Planos!$E36)+1)))</f>
      </c>
      <c r="P38" s="44">
        <f>IF(OR(Planos!$A36="",NOT(ISNUMBER(Planos!$G36)),N(Planos!$E36)&lt;=0),0,IF(Planos!$G36&gt;EOMONTH(DATE(crono_ano_ref,11,1),0),0,MAX(0,INT((EOMONTH(DATE(crono_ano_ref,11,1),0)-IF(Planos!$G36&gt;=DATE(crono_ano_ref,11,1),Planos!$G36,Planos!$G36+CEILING((DATE(crono_ano_ref,11,1)-Planos!$G36)/Planos!$E36,1)*Planos!$E36))/Planos!$E36)+1)))</f>
      </c>
      <c r="Q38" s="44">
        <f>IF(OR(Planos!$A36="",NOT(ISNUMBER(Planos!$G36)),N(Planos!$E36)&lt;=0),0,IF(Planos!$G36&gt;EOMONTH(DATE(crono_ano_ref,12,1),0),0,MAX(0,INT((EOMONTH(DATE(crono_ano_ref,12,1),0)-IF(Planos!$G36&gt;=DATE(crono_ano_ref,12,1),Planos!$G36,Planos!$G36+CEILING((DATE(crono_ano_ref,12,1)-Planos!$G36)/Planos!$E36,1)*Planos!$E36))/Planos!$E36)+1)))</f>
      </c>
      <c r="R38" s="44">
        <f>SUM(F38:Q38)</f>
      </c>
    </row>
    <row r="39" spans="1:18" x14ac:dyDescent="0.25">
      <c r="A39" s="24">
        <f>IF(Planos!$A37="","",Planos!A37&amp;"")</f>
      </c>
      <c r="B39" s="41">
        <f>IF(Planos!$A37="","",Planos!B37&amp;"")</f>
      </c>
      <c r="C39" s="24">
        <f>IF(Planos!$A37="","",Planos!C37&amp;"")</f>
      </c>
      <c r="D39" s="42">
        <f>IF(Planos!$A37="","",N(Planos!E37))</f>
      </c>
      <c r="E39" s="43">
        <f>IF(Planos!$A37="","",N(Planos!K37))</f>
      </c>
      <c r="F39" s="44">
        <f>IF(OR(Planos!$A37="",NOT(ISNUMBER(Planos!$G37)),N(Planos!$E37)&lt;=0),0,IF(Planos!$G37&gt;EOMONTH(DATE(crono_ano_ref,1,1),0),0,MAX(0,INT((EOMONTH(DATE(crono_ano_ref,1,1),0)-IF(Planos!$G37&gt;=DATE(crono_ano_ref,1,1),Planos!$G37,Planos!$G37+CEILING((DATE(crono_ano_ref,1,1)-Planos!$G37)/Planos!$E37,1)*Planos!$E37))/Planos!$E37)+1)))</f>
      </c>
      <c r="G39" s="44">
        <f>IF(OR(Planos!$A37="",NOT(ISNUMBER(Planos!$G37)),N(Planos!$E37)&lt;=0),0,IF(Planos!$G37&gt;EOMONTH(DATE(crono_ano_ref,2,1),0),0,MAX(0,INT((EOMONTH(DATE(crono_ano_ref,2,1),0)-IF(Planos!$G37&gt;=DATE(crono_ano_ref,2,1),Planos!$G37,Planos!$G37+CEILING((DATE(crono_ano_ref,2,1)-Planos!$G37)/Planos!$E37,1)*Planos!$E37))/Planos!$E37)+1)))</f>
      </c>
      <c r="H39" s="44">
        <f>IF(OR(Planos!$A37="",NOT(ISNUMBER(Planos!$G37)),N(Planos!$E37)&lt;=0),0,IF(Planos!$G37&gt;EOMONTH(DATE(crono_ano_ref,3,1),0),0,MAX(0,INT((EOMONTH(DATE(crono_ano_ref,3,1),0)-IF(Planos!$G37&gt;=DATE(crono_ano_ref,3,1),Planos!$G37,Planos!$G37+CEILING((DATE(crono_ano_ref,3,1)-Planos!$G37)/Planos!$E37,1)*Planos!$E37))/Planos!$E37)+1)))</f>
      </c>
      <c r="I39" s="44">
        <f>IF(OR(Planos!$A37="",NOT(ISNUMBER(Planos!$G37)),N(Planos!$E37)&lt;=0),0,IF(Planos!$G37&gt;EOMONTH(DATE(crono_ano_ref,4,1),0),0,MAX(0,INT((EOMONTH(DATE(crono_ano_ref,4,1),0)-IF(Planos!$G37&gt;=DATE(crono_ano_ref,4,1),Planos!$G37,Planos!$G37+CEILING((DATE(crono_ano_ref,4,1)-Planos!$G37)/Planos!$E37,1)*Planos!$E37))/Planos!$E37)+1)))</f>
      </c>
      <c r="J39" s="44">
        <f>IF(OR(Planos!$A37="",NOT(ISNUMBER(Planos!$G37)),N(Planos!$E37)&lt;=0),0,IF(Planos!$G37&gt;EOMONTH(DATE(crono_ano_ref,5,1),0),0,MAX(0,INT((EOMONTH(DATE(crono_ano_ref,5,1),0)-IF(Planos!$G37&gt;=DATE(crono_ano_ref,5,1),Planos!$G37,Planos!$G37+CEILING((DATE(crono_ano_ref,5,1)-Planos!$G37)/Planos!$E37,1)*Planos!$E37))/Planos!$E37)+1)))</f>
      </c>
      <c r="K39" s="44">
        <f>IF(OR(Planos!$A37="",NOT(ISNUMBER(Planos!$G37)),N(Planos!$E37)&lt;=0),0,IF(Planos!$G37&gt;EOMONTH(DATE(crono_ano_ref,6,1),0),0,MAX(0,INT((EOMONTH(DATE(crono_ano_ref,6,1),0)-IF(Planos!$G37&gt;=DATE(crono_ano_ref,6,1),Planos!$G37,Planos!$G37+CEILING((DATE(crono_ano_ref,6,1)-Planos!$G37)/Planos!$E37,1)*Planos!$E37))/Planos!$E37)+1)))</f>
      </c>
      <c r="L39" s="44">
        <f>IF(OR(Planos!$A37="",NOT(ISNUMBER(Planos!$G37)),N(Planos!$E37)&lt;=0),0,IF(Planos!$G37&gt;EOMONTH(DATE(crono_ano_ref,7,1),0),0,MAX(0,INT((EOMONTH(DATE(crono_ano_ref,7,1),0)-IF(Planos!$G37&gt;=DATE(crono_ano_ref,7,1),Planos!$G37,Planos!$G37+CEILING((DATE(crono_ano_ref,7,1)-Planos!$G37)/Planos!$E37,1)*Planos!$E37))/Planos!$E37)+1)))</f>
      </c>
      <c r="M39" s="44">
        <f>IF(OR(Planos!$A37="",NOT(ISNUMBER(Planos!$G37)),N(Planos!$E37)&lt;=0),0,IF(Planos!$G37&gt;EOMONTH(DATE(crono_ano_ref,8,1),0),0,MAX(0,INT((EOMONTH(DATE(crono_ano_ref,8,1),0)-IF(Planos!$G37&gt;=DATE(crono_ano_ref,8,1),Planos!$G37,Planos!$G37+CEILING((DATE(crono_ano_ref,8,1)-Planos!$G37)/Planos!$E37,1)*Planos!$E37))/Planos!$E37)+1)))</f>
      </c>
      <c r="N39" s="44">
        <f>IF(OR(Planos!$A37="",NOT(ISNUMBER(Planos!$G37)),N(Planos!$E37)&lt;=0),0,IF(Planos!$G37&gt;EOMONTH(DATE(crono_ano_ref,9,1),0),0,MAX(0,INT((EOMONTH(DATE(crono_ano_ref,9,1),0)-IF(Planos!$G37&gt;=DATE(crono_ano_ref,9,1),Planos!$G37,Planos!$G37+CEILING((DATE(crono_ano_ref,9,1)-Planos!$G37)/Planos!$E37,1)*Planos!$E37))/Planos!$E37)+1)))</f>
      </c>
      <c r="O39" s="44">
        <f>IF(OR(Planos!$A37="",NOT(ISNUMBER(Planos!$G37)),N(Planos!$E37)&lt;=0),0,IF(Planos!$G37&gt;EOMONTH(DATE(crono_ano_ref,10,1),0),0,MAX(0,INT((EOMONTH(DATE(crono_ano_ref,10,1),0)-IF(Planos!$G37&gt;=DATE(crono_ano_ref,10,1),Planos!$G37,Planos!$G37+CEILING((DATE(crono_ano_ref,10,1)-Planos!$G37)/Planos!$E37,1)*Planos!$E37))/Planos!$E37)+1)))</f>
      </c>
      <c r="P39" s="44">
        <f>IF(OR(Planos!$A37="",NOT(ISNUMBER(Planos!$G37)),N(Planos!$E37)&lt;=0),0,IF(Planos!$G37&gt;EOMONTH(DATE(crono_ano_ref,11,1),0),0,MAX(0,INT((EOMONTH(DATE(crono_ano_ref,11,1),0)-IF(Planos!$G37&gt;=DATE(crono_ano_ref,11,1),Planos!$G37,Planos!$G37+CEILING((DATE(crono_ano_ref,11,1)-Planos!$G37)/Planos!$E37,1)*Planos!$E37))/Planos!$E37)+1)))</f>
      </c>
      <c r="Q39" s="44">
        <f>IF(OR(Planos!$A37="",NOT(ISNUMBER(Planos!$G37)),N(Planos!$E37)&lt;=0),0,IF(Planos!$G37&gt;EOMONTH(DATE(crono_ano_ref,12,1),0),0,MAX(0,INT((EOMONTH(DATE(crono_ano_ref,12,1),0)-IF(Planos!$G37&gt;=DATE(crono_ano_ref,12,1),Planos!$G37,Planos!$G37+CEILING((DATE(crono_ano_ref,12,1)-Planos!$G37)/Planos!$E37,1)*Planos!$E37))/Planos!$E37)+1)))</f>
      </c>
      <c r="R39" s="44">
        <f>SUM(F39:Q39)</f>
      </c>
    </row>
    <row r="40" spans="1:18" x14ac:dyDescent="0.25">
      <c r="A40" s="24">
        <f>IF(Planos!$A38="","",Planos!A38&amp;"")</f>
      </c>
      <c r="B40" s="41">
        <f>IF(Planos!$A38="","",Planos!B38&amp;"")</f>
      </c>
      <c r="C40" s="24">
        <f>IF(Planos!$A38="","",Planos!C38&amp;"")</f>
      </c>
      <c r="D40" s="42">
        <f>IF(Planos!$A38="","",N(Planos!E38))</f>
      </c>
      <c r="E40" s="43">
        <f>IF(Planos!$A38="","",N(Planos!K38))</f>
      </c>
      <c r="F40" s="44">
        <f>IF(OR(Planos!$A38="",NOT(ISNUMBER(Planos!$G38)),N(Planos!$E38)&lt;=0),0,IF(Planos!$G38&gt;EOMONTH(DATE(crono_ano_ref,1,1),0),0,MAX(0,INT((EOMONTH(DATE(crono_ano_ref,1,1),0)-IF(Planos!$G38&gt;=DATE(crono_ano_ref,1,1),Planos!$G38,Planos!$G38+CEILING((DATE(crono_ano_ref,1,1)-Planos!$G38)/Planos!$E38,1)*Planos!$E38))/Planos!$E38)+1)))</f>
      </c>
      <c r="G40" s="44">
        <f>IF(OR(Planos!$A38="",NOT(ISNUMBER(Planos!$G38)),N(Planos!$E38)&lt;=0),0,IF(Planos!$G38&gt;EOMONTH(DATE(crono_ano_ref,2,1),0),0,MAX(0,INT((EOMONTH(DATE(crono_ano_ref,2,1),0)-IF(Planos!$G38&gt;=DATE(crono_ano_ref,2,1),Planos!$G38,Planos!$G38+CEILING((DATE(crono_ano_ref,2,1)-Planos!$G38)/Planos!$E38,1)*Planos!$E38))/Planos!$E38)+1)))</f>
      </c>
      <c r="H40" s="44">
        <f>IF(OR(Planos!$A38="",NOT(ISNUMBER(Planos!$G38)),N(Planos!$E38)&lt;=0),0,IF(Planos!$G38&gt;EOMONTH(DATE(crono_ano_ref,3,1),0),0,MAX(0,INT((EOMONTH(DATE(crono_ano_ref,3,1),0)-IF(Planos!$G38&gt;=DATE(crono_ano_ref,3,1),Planos!$G38,Planos!$G38+CEILING((DATE(crono_ano_ref,3,1)-Planos!$G38)/Planos!$E38,1)*Planos!$E38))/Planos!$E38)+1)))</f>
      </c>
      <c r="I40" s="44">
        <f>IF(OR(Planos!$A38="",NOT(ISNUMBER(Planos!$G38)),N(Planos!$E38)&lt;=0),0,IF(Planos!$G38&gt;EOMONTH(DATE(crono_ano_ref,4,1),0),0,MAX(0,INT((EOMONTH(DATE(crono_ano_ref,4,1),0)-IF(Planos!$G38&gt;=DATE(crono_ano_ref,4,1),Planos!$G38,Planos!$G38+CEILING((DATE(crono_ano_ref,4,1)-Planos!$G38)/Planos!$E38,1)*Planos!$E38))/Planos!$E38)+1)))</f>
      </c>
      <c r="J40" s="44">
        <f>IF(OR(Planos!$A38="",NOT(ISNUMBER(Planos!$G38)),N(Planos!$E38)&lt;=0),0,IF(Planos!$G38&gt;EOMONTH(DATE(crono_ano_ref,5,1),0),0,MAX(0,INT((EOMONTH(DATE(crono_ano_ref,5,1),0)-IF(Planos!$G38&gt;=DATE(crono_ano_ref,5,1),Planos!$G38,Planos!$G38+CEILING((DATE(crono_ano_ref,5,1)-Planos!$G38)/Planos!$E38,1)*Planos!$E38))/Planos!$E38)+1)))</f>
      </c>
      <c r="K40" s="44">
        <f>IF(OR(Planos!$A38="",NOT(ISNUMBER(Planos!$G38)),N(Planos!$E38)&lt;=0),0,IF(Planos!$G38&gt;EOMONTH(DATE(crono_ano_ref,6,1),0),0,MAX(0,INT((EOMONTH(DATE(crono_ano_ref,6,1),0)-IF(Planos!$G38&gt;=DATE(crono_ano_ref,6,1),Planos!$G38,Planos!$G38+CEILING((DATE(crono_ano_ref,6,1)-Planos!$G38)/Planos!$E38,1)*Planos!$E38))/Planos!$E38)+1)))</f>
      </c>
      <c r="L40" s="44">
        <f>IF(OR(Planos!$A38="",NOT(ISNUMBER(Planos!$G38)),N(Planos!$E38)&lt;=0),0,IF(Planos!$G38&gt;EOMONTH(DATE(crono_ano_ref,7,1),0),0,MAX(0,INT((EOMONTH(DATE(crono_ano_ref,7,1),0)-IF(Planos!$G38&gt;=DATE(crono_ano_ref,7,1),Planos!$G38,Planos!$G38+CEILING((DATE(crono_ano_ref,7,1)-Planos!$G38)/Planos!$E38,1)*Planos!$E38))/Planos!$E38)+1)))</f>
      </c>
      <c r="M40" s="44">
        <f>IF(OR(Planos!$A38="",NOT(ISNUMBER(Planos!$G38)),N(Planos!$E38)&lt;=0),0,IF(Planos!$G38&gt;EOMONTH(DATE(crono_ano_ref,8,1),0),0,MAX(0,INT((EOMONTH(DATE(crono_ano_ref,8,1),0)-IF(Planos!$G38&gt;=DATE(crono_ano_ref,8,1),Planos!$G38,Planos!$G38+CEILING((DATE(crono_ano_ref,8,1)-Planos!$G38)/Planos!$E38,1)*Planos!$E38))/Planos!$E38)+1)))</f>
      </c>
      <c r="N40" s="44">
        <f>IF(OR(Planos!$A38="",NOT(ISNUMBER(Planos!$G38)),N(Planos!$E38)&lt;=0),0,IF(Planos!$G38&gt;EOMONTH(DATE(crono_ano_ref,9,1),0),0,MAX(0,INT((EOMONTH(DATE(crono_ano_ref,9,1),0)-IF(Planos!$G38&gt;=DATE(crono_ano_ref,9,1),Planos!$G38,Planos!$G38+CEILING((DATE(crono_ano_ref,9,1)-Planos!$G38)/Planos!$E38,1)*Planos!$E38))/Planos!$E38)+1)))</f>
      </c>
      <c r="O40" s="44">
        <f>IF(OR(Planos!$A38="",NOT(ISNUMBER(Planos!$G38)),N(Planos!$E38)&lt;=0),0,IF(Planos!$G38&gt;EOMONTH(DATE(crono_ano_ref,10,1),0),0,MAX(0,INT((EOMONTH(DATE(crono_ano_ref,10,1),0)-IF(Planos!$G38&gt;=DATE(crono_ano_ref,10,1),Planos!$G38,Planos!$G38+CEILING((DATE(crono_ano_ref,10,1)-Planos!$G38)/Planos!$E38,1)*Planos!$E38))/Planos!$E38)+1)))</f>
      </c>
      <c r="P40" s="44">
        <f>IF(OR(Planos!$A38="",NOT(ISNUMBER(Planos!$G38)),N(Planos!$E38)&lt;=0),0,IF(Planos!$G38&gt;EOMONTH(DATE(crono_ano_ref,11,1),0),0,MAX(0,INT((EOMONTH(DATE(crono_ano_ref,11,1),0)-IF(Planos!$G38&gt;=DATE(crono_ano_ref,11,1),Planos!$G38,Planos!$G38+CEILING((DATE(crono_ano_ref,11,1)-Planos!$G38)/Planos!$E38,1)*Planos!$E38))/Planos!$E38)+1)))</f>
      </c>
      <c r="Q40" s="44">
        <f>IF(OR(Planos!$A38="",NOT(ISNUMBER(Planos!$G38)),N(Planos!$E38)&lt;=0),0,IF(Planos!$G38&gt;EOMONTH(DATE(crono_ano_ref,12,1),0),0,MAX(0,INT((EOMONTH(DATE(crono_ano_ref,12,1),0)-IF(Planos!$G38&gt;=DATE(crono_ano_ref,12,1),Planos!$G38,Planos!$G38+CEILING((DATE(crono_ano_ref,12,1)-Planos!$G38)/Planos!$E38,1)*Planos!$E38))/Planos!$E38)+1)))</f>
      </c>
      <c r="R40" s="44">
        <f>SUM(F40:Q40)</f>
      </c>
    </row>
    <row r="41" spans="1:18" x14ac:dyDescent="0.25">
      <c r="A41" s="24">
        <f>IF(Planos!$A39="","",Planos!A39&amp;"")</f>
      </c>
      <c r="B41" s="41">
        <f>IF(Planos!$A39="","",Planos!B39&amp;"")</f>
      </c>
      <c r="C41" s="24">
        <f>IF(Planos!$A39="","",Planos!C39&amp;"")</f>
      </c>
      <c r="D41" s="42">
        <f>IF(Planos!$A39="","",N(Planos!E39))</f>
      </c>
      <c r="E41" s="43">
        <f>IF(Planos!$A39="","",N(Planos!K39))</f>
      </c>
      <c r="F41" s="44">
        <f>IF(OR(Planos!$A39="",NOT(ISNUMBER(Planos!$G39)),N(Planos!$E39)&lt;=0),0,IF(Planos!$G39&gt;EOMONTH(DATE(crono_ano_ref,1,1),0),0,MAX(0,INT((EOMONTH(DATE(crono_ano_ref,1,1),0)-IF(Planos!$G39&gt;=DATE(crono_ano_ref,1,1),Planos!$G39,Planos!$G39+CEILING((DATE(crono_ano_ref,1,1)-Planos!$G39)/Planos!$E39,1)*Planos!$E39))/Planos!$E39)+1)))</f>
      </c>
      <c r="G41" s="44">
        <f>IF(OR(Planos!$A39="",NOT(ISNUMBER(Planos!$G39)),N(Planos!$E39)&lt;=0),0,IF(Planos!$G39&gt;EOMONTH(DATE(crono_ano_ref,2,1),0),0,MAX(0,INT((EOMONTH(DATE(crono_ano_ref,2,1),0)-IF(Planos!$G39&gt;=DATE(crono_ano_ref,2,1),Planos!$G39,Planos!$G39+CEILING((DATE(crono_ano_ref,2,1)-Planos!$G39)/Planos!$E39,1)*Planos!$E39))/Planos!$E39)+1)))</f>
      </c>
      <c r="H41" s="44">
        <f>IF(OR(Planos!$A39="",NOT(ISNUMBER(Planos!$G39)),N(Planos!$E39)&lt;=0),0,IF(Planos!$G39&gt;EOMONTH(DATE(crono_ano_ref,3,1),0),0,MAX(0,INT((EOMONTH(DATE(crono_ano_ref,3,1),0)-IF(Planos!$G39&gt;=DATE(crono_ano_ref,3,1),Planos!$G39,Planos!$G39+CEILING((DATE(crono_ano_ref,3,1)-Planos!$G39)/Planos!$E39,1)*Planos!$E39))/Planos!$E39)+1)))</f>
      </c>
      <c r="I41" s="44">
        <f>IF(OR(Planos!$A39="",NOT(ISNUMBER(Planos!$G39)),N(Planos!$E39)&lt;=0),0,IF(Planos!$G39&gt;EOMONTH(DATE(crono_ano_ref,4,1),0),0,MAX(0,INT((EOMONTH(DATE(crono_ano_ref,4,1),0)-IF(Planos!$G39&gt;=DATE(crono_ano_ref,4,1),Planos!$G39,Planos!$G39+CEILING((DATE(crono_ano_ref,4,1)-Planos!$G39)/Planos!$E39,1)*Planos!$E39))/Planos!$E39)+1)))</f>
      </c>
      <c r="J41" s="44">
        <f>IF(OR(Planos!$A39="",NOT(ISNUMBER(Planos!$G39)),N(Planos!$E39)&lt;=0),0,IF(Planos!$G39&gt;EOMONTH(DATE(crono_ano_ref,5,1),0),0,MAX(0,INT((EOMONTH(DATE(crono_ano_ref,5,1),0)-IF(Planos!$G39&gt;=DATE(crono_ano_ref,5,1),Planos!$G39,Planos!$G39+CEILING((DATE(crono_ano_ref,5,1)-Planos!$G39)/Planos!$E39,1)*Planos!$E39))/Planos!$E39)+1)))</f>
      </c>
      <c r="K41" s="44">
        <f>IF(OR(Planos!$A39="",NOT(ISNUMBER(Planos!$G39)),N(Planos!$E39)&lt;=0),0,IF(Planos!$G39&gt;EOMONTH(DATE(crono_ano_ref,6,1),0),0,MAX(0,INT((EOMONTH(DATE(crono_ano_ref,6,1),0)-IF(Planos!$G39&gt;=DATE(crono_ano_ref,6,1),Planos!$G39,Planos!$G39+CEILING((DATE(crono_ano_ref,6,1)-Planos!$G39)/Planos!$E39,1)*Planos!$E39))/Planos!$E39)+1)))</f>
      </c>
      <c r="L41" s="44">
        <f>IF(OR(Planos!$A39="",NOT(ISNUMBER(Planos!$G39)),N(Planos!$E39)&lt;=0),0,IF(Planos!$G39&gt;EOMONTH(DATE(crono_ano_ref,7,1),0),0,MAX(0,INT((EOMONTH(DATE(crono_ano_ref,7,1),0)-IF(Planos!$G39&gt;=DATE(crono_ano_ref,7,1),Planos!$G39,Planos!$G39+CEILING((DATE(crono_ano_ref,7,1)-Planos!$G39)/Planos!$E39,1)*Planos!$E39))/Planos!$E39)+1)))</f>
      </c>
      <c r="M41" s="44">
        <f>IF(OR(Planos!$A39="",NOT(ISNUMBER(Planos!$G39)),N(Planos!$E39)&lt;=0),0,IF(Planos!$G39&gt;EOMONTH(DATE(crono_ano_ref,8,1),0),0,MAX(0,INT((EOMONTH(DATE(crono_ano_ref,8,1),0)-IF(Planos!$G39&gt;=DATE(crono_ano_ref,8,1),Planos!$G39,Planos!$G39+CEILING((DATE(crono_ano_ref,8,1)-Planos!$G39)/Planos!$E39,1)*Planos!$E39))/Planos!$E39)+1)))</f>
      </c>
      <c r="N41" s="44">
        <f>IF(OR(Planos!$A39="",NOT(ISNUMBER(Planos!$G39)),N(Planos!$E39)&lt;=0),0,IF(Planos!$G39&gt;EOMONTH(DATE(crono_ano_ref,9,1),0),0,MAX(0,INT((EOMONTH(DATE(crono_ano_ref,9,1),0)-IF(Planos!$G39&gt;=DATE(crono_ano_ref,9,1),Planos!$G39,Planos!$G39+CEILING((DATE(crono_ano_ref,9,1)-Planos!$G39)/Planos!$E39,1)*Planos!$E39))/Planos!$E39)+1)))</f>
      </c>
      <c r="O41" s="44">
        <f>IF(OR(Planos!$A39="",NOT(ISNUMBER(Planos!$G39)),N(Planos!$E39)&lt;=0),0,IF(Planos!$G39&gt;EOMONTH(DATE(crono_ano_ref,10,1),0),0,MAX(0,INT((EOMONTH(DATE(crono_ano_ref,10,1),0)-IF(Planos!$G39&gt;=DATE(crono_ano_ref,10,1),Planos!$G39,Planos!$G39+CEILING((DATE(crono_ano_ref,10,1)-Planos!$G39)/Planos!$E39,1)*Planos!$E39))/Planos!$E39)+1)))</f>
      </c>
      <c r="P41" s="44">
        <f>IF(OR(Planos!$A39="",NOT(ISNUMBER(Planos!$G39)),N(Planos!$E39)&lt;=0),0,IF(Planos!$G39&gt;EOMONTH(DATE(crono_ano_ref,11,1),0),0,MAX(0,INT((EOMONTH(DATE(crono_ano_ref,11,1),0)-IF(Planos!$G39&gt;=DATE(crono_ano_ref,11,1),Planos!$G39,Planos!$G39+CEILING((DATE(crono_ano_ref,11,1)-Planos!$G39)/Planos!$E39,1)*Planos!$E39))/Planos!$E39)+1)))</f>
      </c>
      <c r="Q41" s="44">
        <f>IF(OR(Planos!$A39="",NOT(ISNUMBER(Planos!$G39)),N(Planos!$E39)&lt;=0),0,IF(Planos!$G39&gt;EOMONTH(DATE(crono_ano_ref,12,1),0),0,MAX(0,INT((EOMONTH(DATE(crono_ano_ref,12,1),0)-IF(Planos!$G39&gt;=DATE(crono_ano_ref,12,1),Planos!$G39,Planos!$G39+CEILING((DATE(crono_ano_ref,12,1)-Planos!$G39)/Planos!$E39,1)*Planos!$E39))/Planos!$E39)+1)))</f>
      </c>
      <c r="R41" s="44">
        <f>SUM(F41:Q41)</f>
      </c>
    </row>
    <row r="42" spans="1:18" x14ac:dyDescent="0.25">
      <c r="A42" s="24">
        <f>IF(Planos!$A40="","",Planos!A40&amp;"")</f>
      </c>
      <c r="B42" s="41">
        <f>IF(Planos!$A40="","",Planos!B40&amp;"")</f>
      </c>
      <c r="C42" s="24">
        <f>IF(Planos!$A40="","",Planos!C40&amp;"")</f>
      </c>
      <c r="D42" s="42">
        <f>IF(Planos!$A40="","",N(Planos!E40))</f>
      </c>
      <c r="E42" s="43">
        <f>IF(Planos!$A40="","",N(Planos!K40))</f>
      </c>
      <c r="F42" s="44">
        <f>IF(OR(Planos!$A40="",NOT(ISNUMBER(Planos!$G40)),N(Planos!$E40)&lt;=0),0,IF(Planos!$G40&gt;EOMONTH(DATE(crono_ano_ref,1,1),0),0,MAX(0,INT((EOMONTH(DATE(crono_ano_ref,1,1),0)-IF(Planos!$G40&gt;=DATE(crono_ano_ref,1,1),Planos!$G40,Planos!$G40+CEILING((DATE(crono_ano_ref,1,1)-Planos!$G40)/Planos!$E40,1)*Planos!$E40))/Planos!$E40)+1)))</f>
      </c>
      <c r="G42" s="44">
        <f>IF(OR(Planos!$A40="",NOT(ISNUMBER(Planos!$G40)),N(Planos!$E40)&lt;=0),0,IF(Planos!$G40&gt;EOMONTH(DATE(crono_ano_ref,2,1),0),0,MAX(0,INT((EOMONTH(DATE(crono_ano_ref,2,1),0)-IF(Planos!$G40&gt;=DATE(crono_ano_ref,2,1),Planos!$G40,Planos!$G40+CEILING((DATE(crono_ano_ref,2,1)-Planos!$G40)/Planos!$E40,1)*Planos!$E40))/Planos!$E40)+1)))</f>
      </c>
      <c r="H42" s="44">
        <f>IF(OR(Planos!$A40="",NOT(ISNUMBER(Planos!$G40)),N(Planos!$E40)&lt;=0),0,IF(Planos!$G40&gt;EOMONTH(DATE(crono_ano_ref,3,1),0),0,MAX(0,INT((EOMONTH(DATE(crono_ano_ref,3,1),0)-IF(Planos!$G40&gt;=DATE(crono_ano_ref,3,1),Planos!$G40,Planos!$G40+CEILING((DATE(crono_ano_ref,3,1)-Planos!$G40)/Planos!$E40,1)*Planos!$E40))/Planos!$E40)+1)))</f>
      </c>
      <c r="I42" s="44">
        <f>IF(OR(Planos!$A40="",NOT(ISNUMBER(Planos!$G40)),N(Planos!$E40)&lt;=0),0,IF(Planos!$G40&gt;EOMONTH(DATE(crono_ano_ref,4,1),0),0,MAX(0,INT((EOMONTH(DATE(crono_ano_ref,4,1),0)-IF(Planos!$G40&gt;=DATE(crono_ano_ref,4,1),Planos!$G40,Planos!$G40+CEILING((DATE(crono_ano_ref,4,1)-Planos!$G40)/Planos!$E40,1)*Planos!$E40))/Planos!$E40)+1)))</f>
      </c>
      <c r="J42" s="44">
        <f>IF(OR(Planos!$A40="",NOT(ISNUMBER(Planos!$G40)),N(Planos!$E40)&lt;=0),0,IF(Planos!$G40&gt;EOMONTH(DATE(crono_ano_ref,5,1),0),0,MAX(0,INT((EOMONTH(DATE(crono_ano_ref,5,1),0)-IF(Planos!$G40&gt;=DATE(crono_ano_ref,5,1),Planos!$G40,Planos!$G40+CEILING((DATE(crono_ano_ref,5,1)-Planos!$G40)/Planos!$E40,1)*Planos!$E40))/Planos!$E40)+1)))</f>
      </c>
      <c r="K42" s="44">
        <f>IF(OR(Planos!$A40="",NOT(ISNUMBER(Planos!$G40)),N(Planos!$E40)&lt;=0),0,IF(Planos!$G40&gt;EOMONTH(DATE(crono_ano_ref,6,1),0),0,MAX(0,INT((EOMONTH(DATE(crono_ano_ref,6,1),0)-IF(Planos!$G40&gt;=DATE(crono_ano_ref,6,1),Planos!$G40,Planos!$G40+CEILING((DATE(crono_ano_ref,6,1)-Planos!$G40)/Planos!$E40,1)*Planos!$E40))/Planos!$E40)+1)))</f>
      </c>
      <c r="L42" s="44">
        <f>IF(OR(Planos!$A40="",NOT(ISNUMBER(Planos!$G40)),N(Planos!$E40)&lt;=0),0,IF(Planos!$G40&gt;EOMONTH(DATE(crono_ano_ref,7,1),0),0,MAX(0,INT((EOMONTH(DATE(crono_ano_ref,7,1),0)-IF(Planos!$G40&gt;=DATE(crono_ano_ref,7,1),Planos!$G40,Planos!$G40+CEILING((DATE(crono_ano_ref,7,1)-Planos!$G40)/Planos!$E40,1)*Planos!$E40))/Planos!$E40)+1)))</f>
      </c>
      <c r="M42" s="44">
        <f>IF(OR(Planos!$A40="",NOT(ISNUMBER(Planos!$G40)),N(Planos!$E40)&lt;=0),0,IF(Planos!$G40&gt;EOMONTH(DATE(crono_ano_ref,8,1),0),0,MAX(0,INT((EOMONTH(DATE(crono_ano_ref,8,1),0)-IF(Planos!$G40&gt;=DATE(crono_ano_ref,8,1),Planos!$G40,Planos!$G40+CEILING((DATE(crono_ano_ref,8,1)-Planos!$G40)/Planos!$E40,1)*Planos!$E40))/Planos!$E40)+1)))</f>
      </c>
      <c r="N42" s="44">
        <f>IF(OR(Planos!$A40="",NOT(ISNUMBER(Planos!$G40)),N(Planos!$E40)&lt;=0),0,IF(Planos!$G40&gt;EOMONTH(DATE(crono_ano_ref,9,1),0),0,MAX(0,INT((EOMONTH(DATE(crono_ano_ref,9,1),0)-IF(Planos!$G40&gt;=DATE(crono_ano_ref,9,1),Planos!$G40,Planos!$G40+CEILING((DATE(crono_ano_ref,9,1)-Planos!$G40)/Planos!$E40,1)*Planos!$E40))/Planos!$E40)+1)))</f>
      </c>
      <c r="O42" s="44">
        <f>IF(OR(Planos!$A40="",NOT(ISNUMBER(Planos!$G40)),N(Planos!$E40)&lt;=0),0,IF(Planos!$G40&gt;EOMONTH(DATE(crono_ano_ref,10,1),0),0,MAX(0,INT((EOMONTH(DATE(crono_ano_ref,10,1),0)-IF(Planos!$G40&gt;=DATE(crono_ano_ref,10,1),Planos!$G40,Planos!$G40+CEILING((DATE(crono_ano_ref,10,1)-Planos!$G40)/Planos!$E40,1)*Planos!$E40))/Planos!$E40)+1)))</f>
      </c>
      <c r="P42" s="44">
        <f>IF(OR(Planos!$A40="",NOT(ISNUMBER(Planos!$G40)),N(Planos!$E40)&lt;=0),0,IF(Planos!$G40&gt;EOMONTH(DATE(crono_ano_ref,11,1),0),0,MAX(0,INT((EOMONTH(DATE(crono_ano_ref,11,1),0)-IF(Planos!$G40&gt;=DATE(crono_ano_ref,11,1),Planos!$G40,Planos!$G40+CEILING((DATE(crono_ano_ref,11,1)-Planos!$G40)/Planos!$E40,1)*Planos!$E40))/Planos!$E40)+1)))</f>
      </c>
      <c r="Q42" s="44">
        <f>IF(OR(Planos!$A40="",NOT(ISNUMBER(Planos!$G40)),N(Planos!$E40)&lt;=0),0,IF(Planos!$G40&gt;EOMONTH(DATE(crono_ano_ref,12,1),0),0,MAX(0,INT((EOMONTH(DATE(crono_ano_ref,12,1),0)-IF(Planos!$G40&gt;=DATE(crono_ano_ref,12,1),Planos!$G40,Planos!$G40+CEILING((DATE(crono_ano_ref,12,1)-Planos!$G40)/Planos!$E40,1)*Planos!$E40))/Planos!$E40)+1)))</f>
      </c>
      <c r="R42" s="44">
        <f>SUM(F42:Q42)</f>
      </c>
    </row>
    <row r="43" spans="1:18" x14ac:dyDescent="0.25">
      <c r="A43" s="24">
        <f>IF(Planos!$A41="","",Planos!A41&amp;"")</f>
      </c>
      <c r="B43" s="41">
        <f>IF(Planos!$A41="","",Planos!B41&amp;"")</f>
      </c>
      <c r="C43" s="24">
        <f>IF(Planos!$A41="","",Planos!C41&amp;"")</f>
      </c>
      <c r="D43" s="42">
        <f>IF(Planos!$A41="","",N(Planos!E41))</f>
      </c>
      <c r="E43" s="43">
        <f>IF(Planos!$A41="","",N(Planos!K41))</f>
      </c>
      <c r="F43" s="44">
        <f>IF(OR(Planos!$A41="",NOT(ISNUMBER(Planos!$G41)),N(Planos!$E41)&lt;=0),0,IF(Planos!$G41&gt;EOMONTH(DATE(crono_ano_ref,1,1),0),0,MAX(0,INT((EOMONTH(DATE(crono_ano_ref,1,1),0)-IF(Planos!$G41&gt;=DATE(crono_ano_ref,1,1),Planos!$G41,Planos!$G41+CEILING((DATE(crono_ano_ref,1,1)-Planos!$G41)/Planos!$E41,1)*Planos!$E41))/Planos!$E41)+1)))</f>
      </c>
      <c r="G43" s="44">
        <f>IF(OR(Planos!$A41="",NOT(ISNUMBER(Planos!$G41)),N(Planos!$E41)&lt;=0),0,IF(Planos!$G41&gt;EOMONTH(DATE(crono_ano_ref,2,1),0),0,MAX(0,INT((EOMONTH(DATE(crono_ano_ref,2,1),0)-IF(Planos!$G41&gt;=DATE(crono_ano_ref,2,1),Planos!$G41,Planos!$G41+CEILING((DATE(crono_ano_ref,2,1)-Planos!$G41)/Planos!$E41,1)*Planos!$E41))/Planos!$E41)+1)))</f>
      </c>
      <c r="H43" s="44">
        <f>IF(OR(Planos!$A41="",NOT(ISNUMBER(Planos!$G41)),N(Planos!$E41)&lt;=0),0,IF(Planos!$G41&gt;EOMONTH(DATE(crono_ano_ref,3,1),0),0,MAX(0,INT((EOMONTH(DATE(crono_ano_ref,3,1),0)-IF(Planos!$G41&gt;=DATE(crono_ano_ref,3,1),Planos!$G41,Planos!$G41+CEILING((DATE(crono_ano_ref,3,1)-Planos!$G41)/Planos!$E41,1)*Planos!$E41))/Planos!$E41)+1)))</f>
      </c>
      <c r="I43" s="44">
        <f>IF(OR(Planos!$A41="",NOT(ISNUMBER(Planos!$G41)),N(Planos!$E41)&lt;=0),0,IF(Planos!$G41&gt;EOMONTH(DATE(crono_ano_ref,4,1),0),0,MAX(0,INT((EOMONTH(DATE(crono_ano_ref,4,1),0)-IF(Planos!$G41&gt;=DATE(crono_ano_ref,4,1),Planos!$G41,Planos!$G41+CEILING((DATE(crono_ano_ref,4,1)-Planos!$G41)/Planos!$E41,1)*Planos!$E41))/Planos!$E41)+1)))</f>
      </c>
      <c r="J43" s="44">
        <f>IF(OR(Planos!$A41="",NOT(ISNUMBER(Planos!$G41)),N(Planos!$E41)&lt;=0),0,IF(Planos!$G41&gt;EOMONTH(DATE(crono_ano_ref,5,1),0),0,MAX(0,INT((EOMONTH(DATE(crono_ano_ref,5,1),0)-IF(Planos!$G41&gt;=DATE(crono_ano_ref,5,1),Planos!$G41,Planos!$G41+CEILING((DATE(crono_ano_ref,5,1)-Planos!$G41)/Planos!$E41,1)*Planos!$E41))/Planos!$E41)+1)))</f>
      </c>
      <c r="K43" s="44">
        <f>IF(OR(Planos!$A41="",NOT(ISNUMBER(Planos!$G41)),N(Planos!$E41)&lt;=0),0,IF(Planos!$G41&gt;EOMONTH(DATE(crono_ano_ref,6,1),0),0,MAX(0,INT((EOMONTH(DATE(crono_ano_ref,6,1),0)-IF(Planos!$G41&gt;=DATE(crono_ano_ref,6,1),Planos!$G41,Planos!$G41+CEILING((DATE(crono_ano_ref,6,1)-Planos!$G41)/Planos!$E41,1)*Planos!$E41))/Planos!$E41)+1)))</f>
      </c>
      <c r="L43" s="44">
        <f>IF(OR(Planos!$A41="",NOT(ISNUMBER(Planos!$G41)),N(Planos!$E41)&lt;=0),0,IF(Planos!$G41&gt;EOMONTH(DATE(crono_ano_ref,7,1),0),0,MAX(0,INT((EOMONTH(DATE(crono_ano_ref,7,1),0)-IF(Planos!$G41&gt;=DATE(crono_ano_ref,7,1),Planos!$G41,Planos!$G41+CEILING((DATE(crono_ano_ref,7,1)-Planos!$G41)/Planos!$E41,1)*Planos!$E41))/Planos!$E41)+1)))</f>
      </c>
      <c r="M43" s="44">
        <f>IF(OR(Planos!$A41="",NOT(ISNUMBER(Planos!$G41)),N(Planos!$E41)&lt;=0),0,IF(Planos!$G41&gt;EOMONTH(DATE(crono_ano_ref,8,1),0),0,MAX(0,INT((EOMONTH(DATE(crono_ano_ref,8,1),0)-IF(Planos!$G41&gt;=DATE(crono_ano_ref,8,1),Planos!$G41,Planos!$G41+CEILING((DATE(crono_ano_ref,8,1)-Planos!$G41)/Planos!$E41,1)*Planos!$E41))/Planos!$E41)+1)))</f>
      </c>
      <c r="N43" s="44">
        <f>IF(OR(Planos!$A41="",NOT(ISNUMBER(Planos!$G41)),N(Planos!$E41)&lt;=0),0,IF(Planos!$G41&gt;EOMONTH(DATE(crono_ano_ref,9,1),0),0,MAX(0,INT((EOMONTH(DATE(crono_ano_ref,9,1),0)-IF(Planos!$G41&gt;=DATE(crono_ano_ref,9,1),Planos!$G41,Planos!$G41+CEILING((DATE(crono_ano_ref,9,1)-Planos!$G41)/Planos!$E41,1)*Planos!$E41))/Planos!$E41)+1)))</f>
      </c>
      <c r="O43" s="44">
        <f>IF(OR(Planos!$A41="",NOT(ISNUMBER(Planos!$G41)),N(Planos!$E41)&lt;=0),0,IF(Planos!$G41&gt;EOMONTH(DATE(crono_ano_ref,10,1),0),0,MAX(0,INT((EOMONTH(DATE(crono_ano_ref,10,1),0)-IF(Planos!$G41&gt;=DATE(crono_ano_ref,10,1),Planos!$G41,Planos!$G41+CEILING((DATE(crono_ano_ref,10,1)-Planos!$G41)/Planos!$E41,1)*Planos!$E41))/Planos!$E41)+1)))</f>
      </c>
      <c r="P43" s="44">
        <f>IF(OR(Planos!$A41="",NOT(ISNUMBER(Planos!$G41)),N(Planos!$E41)&lt;=0),0,IF(Planos!$G41&gt;EOMONTH(DATE(crono_ano_ref,11,1),0),0,MAX(0,INT((EOMONTH(DATE(crono_ano_ref,11,1),0)-IF(Planos!$G41&gt;=DATE(crono_ano_ref,11,1),Planos!$G41,Planos!$G41+CEILING((DATE(crono_ano_ref,11,1)-Planos!$G41)/Planos!$E41,1)*Planos!$E41))/Planos!$E41)+1)))</f>
      </c>
      <c r="Q43" s="44">
        <f>IF(OR(Planos!$A41="",NOT(ISNUMBER(Planos!$G41)),N(Planos!$E41)&lt;=0),0,IF(Planos!$G41&gt;EOMONTH(DATE(crono_ano_ref,12,1),0),0,MAX(0,INT((EOMONTH(DATE(crono_ano_ref,12,1),0)-IF(Planos!$G41&gt;=DATE(crono_ano_ref,12,1),Planos!$G41,Planos!$G41+CEILING((DATE(crono_ano_ref,12,1)-Planos!$G41)/Planos!$E41,1)*Planos!$E41))/Planos!$E41)+1)))</f>
      </c>
      <c r="R43" s="44">
        <f>SUM(F43:Q43)</f>
      </c>
    </row>
    <row r="44" spans="1:18" x14ac:dyDescent="0.25">
      <c r="A44" s="24">
        <f>IF(Planos!$A42="","",Planos!A42&amp;"")</f>
      </c>
      <c r="B44" s="41">
        <f>IF(Planos!$A42="","",Planos!B42&amp;"")</f>
      </c>
      <c r="C44" s="24">
        <f>IF(Planos!$A42="","",Planos!C42&amp;"")</f>
      </c>
      <c r="D44" s="42">
        <f>IF(Planos!$A42="","",N(Planos!E42))</f>
      </c>
      <c r="E44" s="43">
        <f>IF(Planos!$A42="","",N(Planos!K42))</f>
      </c>
      <c r="F44" s="44">
        <f>IF(OR(Planos!$A42="",NOT(ISNUMBER(Planos!$G42)),N(Planos!$E42)&lt;=0),0,IF(Planos!$G42&gt;EOMONTH(DATE(crono_ano_ref,1,1),0),0,MAX(0,INT((EOMONTH(DATE(crono_ano_ref,1,1),0)-IF(Planos!$G42&gt;=DATE(crono_ano_ref,1,1),Planos!$G42,Planos!$G42+CEILING((DATE(crono_ano_ref,1,1)-Planos!$G42)/Planos!$E42,1)*Planos!$E42))/Planos!$E42)+1)))</f>
      </c>
      <c r="G44" s="44">
        <f>IF(OR(Planos!$A42="",NOT(ISNUMBER(Planos!$G42)),N(Planos!$E42)&lt;=0),0,IF(Planos!$G42&gt;EOMONTH(DATE(crono_ano_ref,2,1),0),0,MAX(0,INT((EOMONTH(DATE(crono_ano_ref,2,1),0)-IF(Planos!$G42&gt;=DATE(crono_ano_ref,2,1),Planos!$G42,Planos!$G42+CEILING((DATE(crono_ano_ref,2,1)-Planos!$G42)/Planos!$E42,1)*Planos!$E42))/Planos!$E42)+1)))</f>
      </c>
      <c r="H44" s="44">
        <f>IF(OR(Planos!$A42="",NOT(ISNUMBER(Planos!$G42)),N(Planos!$E42)&lt;=0),0,IF(Planos!$G42&gt;EOMONTH(DATE(crono_ano_ref,3,1),0),0,MAX(0,INT((EOMONTH(DATE(crono_ano_ref,3,1),0)-IF(Planos!$G42&gt;=DATE(crono_ano_ref,3,1),Planos!$G42,Planos!$G42+CEILING((DATE(crono_ano_ref,3,1)-Planos!$G42)/Planos!$E42,1)*Planos!$E42))/Planos!$E42)+1)))</f>
      </c>
      <c r="I44" s="44">
        <f>IF(OR(Planos!$A42="",NOT(ISNUMBER(Planos!$G42)),N(Planos!$E42)&lt;=0),0,IF(Planos!$G42&gt;EOMONTH(DATE(crono_ano_ref,4,1),0),0,MAX(0,INT((EOMONTH(DATE(crono_ano_ref,4,1),0)-IF(Planos!$G42&gt;=DATE(crono_ano_ref,4,1),Planos!$G42,Planos!$G42+CEILING((DATE(crono_ano_ref,4,1)-Planos!$G42)/Planos!$E42,1)*Planos!$E42))/Planos!$E42)+1)))</f>
      </c>
      <c r="J44" s="44">
        <f>IF(OR(Planos!$A42="",NOT(ISNUMBER(Planos!$G42)),N(Planos!$E42)&lt;=0),0,IF(Planos!$G42&gt;EOMONTH(DATE(crono_ano_ref,5,1),0),0,MAX(0,INT((EOMONTH(DATE(crono_ano_ref,5,1),0)-IF(Planos!$G42&gt;=DATE(crono_ano_ref,5,1),Planos!$G42,Planos!$G42+CEILING((DATE(crono_ano_ref,5,1)-Planos!$G42)/Planos!$E42,1)*Planos!$E42))/Planos!$E42)+1)))</f>
      </c>
      <c r="K44" s="44">
        <f>IF(OR(Planos!$A42="",NOT(ISNUMBER(Planos!$G42)),N(Planos!$E42)&lt;=0),0,IF(Planos!$G42&gt;EOMONTH(DATE(crono_ano_ref,6,1),0),0,MAX(0,INT((EOMONTH(DATE(crono_ano_ref,6,1),0)-IF(Planos!$G42&gt;=DATE(crono_ano_ref,6,1),Planos!$G42,Planos!$G42+CEILING((DATE(crono_ano_ref,6,1)-Planos!$G42)/Planos!$E42,1)*Planos!$E42))/Planos!$E42)+1)))</f>
      </c>
      <c r="L44" s="44">
        <f>IF(OR(Planos!$A42="",NOT(ISNUMBER(Planos!$G42)),N(Planos!$E42)&lt;=0),0,IF(Planos!$G42&gt;EOMONTH(DATE(crono_ano_ref,7,1),0),0,MAX(0,INT((EOMONTH(DATE(crono_ano_ref,7,1),0)-IF(Planos!$G42&gt;=DATE(crono_ano_ref,7,1),Planos!$G42,Planos!$G42+CEILING((DATE(crono_ano_ref,7,1)-Planos!$G42)/Planos!$E42,1)*Planos!$E42))/Planos!$E42)+1)))</f>
      </c>
      <c r="M44" s="44">
        <f>IF(OR(Planos!$A42="",NOT(ISNUMBER(Planos!$G42)),N(Planos!$E42)&lt;=0),0,IF(Planos!$G42&gt;EOMONTH(DATE(crono_ano_ref,8,1),0),0,MAX(0,INT((EOMONTH(DATE(crono_ano_ref,8,1),0)-IF(Planos!$G42&gt;=DATE(crono_ano_ref,8,1),Planos!$G42,Planos!$G42+CEILING((DATE(crono_ano_ref,8,1)-Planos!$G42)/Planos!$E42,1)*Planos!$E42))/Planos!$E42)+1)))</f>
      </c>
      <c r="N44" s="44">
        <f>IF(OR(Planos!$A42="",NOT(ISNUMBER(Planos!$G42)),N(Planos!$E42)&lt;=0),0,IF(Planos!$G42&gt;EOMONTH(DATE(crono_ano_ref,9,1),0),0,MAX(0,INT((EOMONTH(DATE(crono_ano_ref,9,1),0)-IF(Planos!$G42&gt;=DATE(crono_ano_ref,9,1),Planos!$G42,Planos!$G42+CEILING((DATE(crono_ano_ref,9,1)-Planos!$G42)/Planos!$E42,1)*Planos!$E42))/Planos!$E42)+1)))</f>
      </c>
      <c r="O44" s="44">
        <f>IF(OR(Planos!$A42="",NOT(ISNUMBER(Planos!$G42)),N(Planos!$E42)&lt;=0),0,IF(Planos!$G42&gt;EOMONTH(DATE(crono_ano_ref,10,1),0),0,MAX(0,INT((EOMONTH(DATE(crono_ano_ref,10,1),0)-IF(Planos!$G42&gt;=DATE(crono_ano_ref,10,1),Planos!$G42,Planos!$G42+CEILING((DATE(crono_ano_ref,10,1)-Planos!$G42)/Planos!$E42,1)*Planos!$E42))/Planos!$E42)+1)))</f>
      </c>
      <c r="P44" s="44">
        <f>IF(OR(Planos!$A42="",NOT(ISNUMBER(Planos!$G42)),N(Planos!$E42)&lt;=0),0,IF(Planos!$G42&gt;EOMONTH(DATE(crono_ano_ref,11,1),0),0,MAX(0,INT((EOMONTH(DATE(crono_ano_ref,11,1),0)-IF(Planos!$G42&gt;=DATE(crono_ano_ref,11,1),Planos!$G42,Planos!$G42+CEILING((DATE(crono_ano_ref,11,1)-Planos!$G42)/Planos!$E42,1)*Planos!$E42))/Planos!$E42)+1)))</f>
      </c>
      <c r="Q44" s="44">
        <f>IF(OR(Planos!$A42="",NOT(ISNUMBER(Planos!$G42)),N(Planos!$E42)&lt;=0),0,IF(Planos!$G42&gt;EOMONTH(DATE(crono_ano_ref,12,1),0),0,MAX(0,INT((EOMONTH(DATE(crono_ano_ref,12,1),0)-IF(Planos!$G42&gt;=DATE(crono_ano_ref,12,1),Planos!$G42,Planos!$G42+CEILING((DATE(crono_ano_ref,12,1)-Planos!$G42)/Planos!$E42,1)*Planos!$E42))/Planos!$E42)+1)))</f>
      </c>
      <c r="R44" s="44">
        <f>SUM(F44:Q44)</f>
      </c>
    </row>
    <row r="45" spans="1:18" x14ac:dyDescent="0.25">
      <c r="A45" s="24">
        <f>IF(Planos!$A43="","",Planos!A43&amp;"")</f>
      </c>
      <c r="B45" s="41">
        <f>IF(Planos!$A43="","",Planos!B43&amp;"")</f>
      </c>
      <c r="C45" s="24">
        <f>IF(Planos!$A43="","",Planos!C43&amp;"")</f>
      </c>
      <c r="D45" s="42">
        <f>IF(Planos!$A43="","",N(Planos!E43))</f>
      </c>
      <c r="E45" s="43">
        <f>IF(Planos!$A43="","",N(Planos!K43))</f>
      </c>
      <c r="F45" s="44">
        <f>IF(OR(Planos!$A43="",NOT(ISNUMBER(Planos!$G43)),N(Planos!$E43)&lt;=0),0,IF(Planos!$G43&gt;EOMONTH(DATE(crono_ano_ref,1,1),0),0,MAX(0,INT((EOMONTH(DATE(crono_ano_ref,1,1),0)-IF(Planos!$G43&gt;=DATE(crono_ano_ref,1,1),Planos!$G43,Planos!$G43+CEILING((DATE(crono_ano_ref,1,1)-Planos!$G43)/Planos!$E43,1)*Planos!$E43))/Planos!$E43)+1)))</f>
      </c>
      <c r="G45" s="44">
        <f>IF(OR(Planos!$A43="",NOT(ISNUMBER(Planos!$G43)),N(Planos!$E43)&lt;=0),0,IF(Planos!$G43&gt;EOMONTH(DATE(crono_ano_ref,2,1),0),0,MAX(0,INT((EOMONTH(DATE(crono_ano_ref,2,1),0)-IF(Planos!$G43&gt;=DATE(crono_ano_ref,2,1),Planos!$G43,Planos!$G43+CEILING((DATE(crono_ano_ref,2,1)-Planos!$G43)/Planos!$E43,1)*Planos!$E43))/Planos!$E43)+1)))</f>
      </c>
      <c r="H45" s="44">
        <f>IF(OR(Planos!$A43="",NOT(ISNUMBER(Planos!$G43)),N(Planos!$E43)&lt;=0),0,IF(Planos!$G43&gt;EOMONTH(DATE(crono_ano_ref,3,1),0),0,MAX(0,INT((EOMONTH(DATE(crono_ano_ref,3,1),0)-IF(Planos!$G43&gt;=DATE(crono_ano_ref,3,1),Planos!$G43,Planos!$G43+CEILING((DATE(crono_ano_ref,3,1)-Planos!$G43)/Planos!$E43,1)*Planos!$E43))/Planos!$E43)+1)))</f>
      </c>
      <c r="I45" s="44">
        <f>IF(OR(Planos!$A43="",NOT(ISNUMBER(Planos!$G43)),N(Planos!$E43)&lt;=0),0,IF(Planos!$G43&gt;EOMONTH(DATE(crono_ano_ref,4,1),0),0,MAX(0,INT((EOMONTH(DATE(crono_ano_ref,4,1),0)-IF(Planos!$G43&gt;=DATE(crono_ano_ref,4,1),Planos!$G43,Planos!$G43+CEILING((DATE(crono_ano_ref,4,1)-Planos!$G43)/Planos!$E43,1)*Planos!$E43))/Planos!$E43)+1)))</f>
      </c>
      <c r="J45" s="44">
        <f>IF(OR(Planos!$A43="",NOT(ISNUMBER(Planos!$G43)),N(Planos!$E43)&lt;=0),0,IF(Planos!$G43&gt;EOMONTH(DATE(crono_ano_ref,5,1),0),0,MAX(0,INT((EOMONTH(DATE(crono_ano_ref,5,1),0)-IF(Planos!$G43&gt;=DATE(crono_ano_ref,5,1),Planos!$G43,Planos!$G43+CEILING((DATE(crono_ano_ref,5,1)-Planos!$G43)/Planos!$E43,1)*Planos!$E43))/Planos!$E43)+1)))</f>
      </c>
      <c r="K45" s="44">
        <f>IF(OR(Planos!$A43="",NOT(ISNUMBER(Planos!$G43)),N(Planos!$E43)&lt;=0),0,IF(Planos!$G43&gt;EOMONTH(DATE(crono_ano_ref,6,1),0),0,MAX(0,INT((EOMONTH(DATE(crono_ano_ref,6,1),0)-IF(Planos!$G43&gt;=DATE(crono_ano_ref,6,1),Planos!$G43,Planos!$G43+CEILING((DATE(crono_ano_ref,6,1)-Planos!$G43)/Planos!$E43,1)*Planos!$E43))/Planos!$E43)+1)))</f>
      </c>
      <c r="L45" s="44">
        <f>IF(OR(Planos!$A43="",NOT(ISNUMBER(Planos!$G43)),N(Planos!$E43)&lt;=0),0,IF(Planos!$G43&gt;EOMONTH(DATE(crono_ano_ref,7,1),0),0,MAX(0,INT((EOMONTH(DATE(crono_ano_ref,7,1),0)-IF(Planos!$G43&gt;=DATE(crono_ano_ref,7,1),Planos!$G43,Planos!$G43+CEILING((DATE(crono_ano_ref,7,1)-Planos!$G43)/Planos!$E43,1)*Planos!$E43))/Planos!$E43)+1)))</f>
      </c>
      <c r="M45" s="44">
        <f>IF(OR(Planos!$A43="",NOT(ISNUMBER(Planos!$G43)),N(Planos!$E43)&lt;=0),0,IF(Planos!$G43&gt;EOMONTH(DATE(crono_ano_ref,8,1),0),0,MAX(0,INT((EOMONTH(DATE(crono_ano_ref,8,1),0)-IF(Planos!$G43&gt;=DATE(crono_ano_ref,8,1),Planos!$G43,Planos!$G43+CEILING((DATE(crono_ano_ref,8,1)-Planos!$G43)/Planos!$E43,1)*Planos!$E43))/Planos!$E43)+1)))</f>
      </c>
      <c r="N45" s="44">
        <f>IF(OR(Planos!$A43="",NOT(ISNUMBER(Planos!$G43)),N(Planos!$E43)&lt;=0),0,IF(Planos!$G43&gt;EOMONTH(DATE(crono_ano_ref,9,1),0),0,MAX(0,INT((EOMONTH(DATE(crono_ano_ref,9,1),0)-IF(Planos!$G43&gt;=DATE(crono_ano_ref,9,1),Planos!$G43,Planos!$G43+CEILING((DATE(crono_ano_ref,9,1)-Planos!$G43)/Planos!$E43,1)*Planos!$E43))/Planos!$E43)+1)))</f>
      </c>
      <c r="O45" s="44">
        <f>IF(OR(Planos!$A43="",NOT(ISNUMBER(Planos!$G43)),N(Planos!$E43)&lt;=0),0,IF(Planos!$G43&gt;EOMONTH(DATE(crono_ano_ref,10,1),0),0,MAX(0,INT((EOMONTH(DATE(crono_ano_ref,10,1),0)-IF(Planos!$G43&gt;=DATE(crono_ano_ref,10,1),Planos!$G43,Planos!$G43+CEILING((DATE(crono_ano_ref,10,1)-Planos!$G43)/Planos!$E43,1)*Planos!$E43))/Planos!$E43)+1)))</f>
      </c>
      <c r="P45" s="44">
        <f>IF(OR(Planos!$A43="",NOT(ISNUMBER(Planos!$G43)),N(Planos!$E43)&lt;=0),0,IF(Planos!$G43&gt;EOMONTH(DATE(crono_ano_ref,11,1),0),0,MAX(0,INT((EOMONTH(DATE(crono_ano_ref,11,1),0)-IF(Planos!$G43&gt;=DATE(crono_ano_ref,11,1),Planos!$G43,Planos!$G43+CEILING((DATE(crono_ano_ref,11,1)-Planos!$G43)/Planos!$E43,1)*Planos!$E43))/Planos!$E43)+1)))</f>
      </c>
      <c r="Q45" s="44">
        <f>IF(OR(Planos!$A43="",NOT(ISNUMBER(Planos!$G43)),N(Planos!$E43)&lt;=0),0,IF(Planos!$G43&gt;EOMONTH(DATE(crono_ano_ref,12,1),0),0,MAX(0,INT((EOMONTH(DATE(crono_ano_ref,12,1),0)-IF(Planos!$G43&gt;=DATE(crono_ano_ref,12,1),Planos!$G43,Planos!$G43+CEILING((DATE(crono_ano_ref,12,1)-Planos!$G43)/Planos!$E43,1)*Planos!$E43))/Planos!$E43)+1)))</f>
      </c>
      <c r="R45" s="44">
        <f>SUM(F45:Q45)</f>
      </c>
    </row>
    <row r="46" spans="1:18" x14ac:dyDescent="0.25">
      <c r="A46" s="24">
        <f>IF(Planos!$A44="","",Planos!A44&amp;"")</f>
      </c>
      <c r="B46" s="41">
        <f>IF(Planos!$A44="","",Planos!B44&amp;"")</f>
      </c>
      <c r="C46" s="24">
        <f>IF(Planos!$A44="","",Planos!C44&amp;"")</f>
      </c>
      <c r="D46" s="42">
        <f>IF(Planos!$A44="","",N(Planos!E44))</f>
      </c>
      <c r="E46" s="43">
        <f>IF(Planos!$A44="","",N(Planos!K44))</f>
      </c>
      <c r="F46" s="44">
        <f>IF(OR(Planos!$A44="",NOT(ISNUMBER(Planos!$G44)),N(Planos!$E44)&lt;=0),0,IF(Planos!$G44&gt;EOMONTH(DATE(crono_ano_ref,1,1),0),0,MAX(0,INT((EOMONTH(DATE(crono_ano_ref,1,1),0)-IF(Planos!$G44&gt;=DATE(crono_ano_ref,1,1),Planos!$G44,Planos!$G44+CEILING((DATE(crono_ano_ref,1,1)-Planos!$G44)/Planos!$E44,1)*Planos!$E44))/Planos!$E44)+1)))</f>
      </c>
      <c r="G46" s="44">
        <f>IF(OR(Planos!$A44="",NOT(ISNUMBER(Planos!$G44)),N(Planos!$E44)&lt;=0),0,IF(Planos!$G44&gt;EOMONTH(DATE(crono_ano_ref,2,1),0),0,MAX(0,INT((EOMONTH(DATE(crono_ano_ref,2,1),0)-IF(Planos!$G44&gt;=DATE(crono_ano_ref,2,1),Planos!$G44,Planos!$G44+CEILING((DATE(crono_ano_ref,2,1)-Planos!$G44)/Planos!$E44,1)*Planos!$E44))/Planos!$E44)+1)))</f>
      </c>
      <c r="H46" s="44">
        <f>IF(OR(Planos!$A44="",NOT(ISNUMBER(Planos!$G44)),N(Planos!$E44)&lt;=0),0,IF(Planos!$G44&gt;EOMONTH(DATE(crono_ano_ref,3,1),0),0,MAX(0,INT((EOMONTH(DATE(crono_ano_ref,3,1),0)-IF(Planos!$G44&gt;=DATE(crono_ano_ref,3,1),Planos!$G44,Planos!$G44+CEILING((DATE(crono_ano_ref,3,1)-Planos!$G44)/Planos!$E44,1)*Planos!$E44))/Planos!$E44)+1)))</f>
      </c>
      <c r="I46" s="44">
        <f>IF(OR(Planos!$A44="",NOT(ISNUMBER(Planos!$G44)),N(Planos!$E44)&lt;=0),0,IF(Planos!$G44&gt;EOMONTH(DATE(crono_ano_ref,4,1),0),0,MAX(0,INT((EOMONTH(DATE(crono_ano_ref,4,1),0)-IF(Planos!$G44&gt;=DATE(crono_ano_ref,4,1),Planos!$G44,Planos!$G44+CEILING((DATE(crono_ano_ref,4,1)-Planos!$G44)/Planos!$E44,1)*Planos!$E44))/Planos!$E44)+1)))</f>
      </c>
      <c r="J46" s="44">
        <f>IF(OR(Planos!$A44="",NOT(ISNUMBER(Planos!$G44)),N(Planos!$E44)&lt;=0),0,IF(Planos!$G44&gt;EOMONTH(DATE(crono_ano_ref,5,1),0),0,MAX(0,INT((EOMONTH(DATE(crono_ano_ref,5,1),0)-IF(Planos!$G44&gt;=DATE(crono_ano_ref,5,1),Planos!$G44,Planos!$G44+CEILING((DATE(crono_ano_ref,5,1)-Planos!$G44)/Planos!$E44,1)*Planos!$E44))/Planos!$E44)+1)))</f>
      </c>
      <c r="K46" s="44">
        <f>IF(OR(Planos!$A44="",NOT(ISNUMBER(Planos!$G44)),N(Planos!$E44)&lt;=0),0,IF(Planos!$G44&gt;EOMONTH(DATE(crono_ano_ref,6,1),0),0,MAX(0,INT((EOMONTH(DATE(crono_ano_ref,6,1),0)-IF(Planos!$G44&gt;=DATE(crono_ano_ref,6,1),Planos!$G44,Planos!$G44+CEILING((DATE(crono_ano_ref,6,1)-Planos!$G44)/Planos!$E44,1)*Planos!$E44))/Planos!$E44)+1)))</f>
      </c>
      <c r="L46" s="44">
        <f>IF(OR(Planos!$A44="",NOT(ISNUMBER(Planos!$G44)),N(Planos!$E44)&lt;=0),0,IF(Planos!$G44&gt;EOMONTH(DATE(crono_ano_ref,7,1),0),0,MAX(0,INT((EOMONTH(DATE(crono_ano_ref,7,1),0)-IF(Planos!$G44&gt;=DATE(crono_ano_ref,7,1),Planos!$G44,Planos!$G44+CEILING((DATE(crono_ano_ref,7,1)-Planos!$G44)/Planos!$E44,1)*Planos!$E44))/Planos!$E44)+1)))</f>
      </c>
      <c r="M46" s="44">
        <f>IF(OR(Planos!$A44="",NOT(ISNUMBER(Planos!$G44)),N(Planos!$E44)&lt;=0),0,IF(Planos!$G44&gt;EOMONTH(DATE(crono_ano_ref,8,1),0),0,MAX(0,INT((EOMONTH(DATE(crono_ano_ref,8,1),0)-IF(Planos!$G44&gt;=DATE(crono_ano_ref,8,1),Planos!$G44,Planos!$G44+CEILING((DATE(crono_ano_ref,8,1)-Planos!$G44)/Planos!$E44,1)*Planos!$E44))/Planos!$E44)+1)))</f>
      </c>
      <c r="N46" s="44">
        <f>IF(OR(Planos!$A44="",NOT(ISNUMBER(Planos!$G44)),N(Planos!$E44)&lt;=0),0,IF(Planos!$G44&gt;EOMONTH(DATE(crono_ano_ref,9,1),0),0,MAX(0,INT((EOMONTH(DATE(crono_ano_ref,9,1),0)-IF(Planos!$G44&gt;=DATE(crono_ano_ref,9,1),Planos!$G44,Planos!$G44+CEILING((DATE(crono_ano_ref,9,1)-Planos!$G44)/Planos!$E44,1)*Planos!$E44))/Planos!$E44)+1)))</f>
      </c>
      <c r="O46" s="44">
        <f>IF(OR(Planos!$A44="",NOT(ISNUMBER(Planos!$G44)),N(Planos!$E44)&lt;=0),0,IF(Planos!$G44&gt;EOMONTH(DATE(crono_ano_ref,10,1),0),0,MAX(0,INT((EOMONTH(DATE(crono_ano_ref,10,1),0)-IF(Planos!$G44&gt;=DATE(crono_ano_ref,10,1),Planos!$G44,Planos!$G44+CEILING((DATE(crono_ano_ref,10,1)-Planos!$G44)/Planos!$E44,1)*Planos!$E44))/Planos!$E44)+1)))</f>
      </c>
      <c r="P46" s="44">
        <f>IF(OR(Planos!$A44="",NOT(ISNUMBER(Planos!$G44)),N(Planos!$E44)&lt;=0),0,IF(Planos!$G44&gt;EOMONTH(DATE(crono_ano_ref,11,1),0),0,MAX(0,INT((EOMONTH(DATE(crono_ano_ref,11,1),0)-IF(Planos!$G44&gt;=DATE(crono_ano_ref,11,1),Planos!$G44,Planos!$G44+CEILING((DATE(crono_ano_ref,11,1)-Planos!$G44)/Planos!$E44,1)*Planos!$E44))/Planos!$E44)+1)))</f>
      </c>
      <c r="Q46" s="44">
        <f>IF(OR(Planos!$A44="",NOT(ISNUMBER(Planos!$G44)),N(Planos!$E44)&lt;=0),0,IF(Planos!$G44&gt;EOMONTH(DATE(crono_ano_ref,12,1),0),0,MAX(0,INT((EOMONTH(DATE(crono_ano_ref,12,1),0)-IF(Planos!$G44&gt;=DATE(crono_ano_ref,12,1),Planos!$G44,Planos!$G44+CEILING((DATE(crono_ano_ref,12,1)-Planos!$G44)/Planos!$E44,1)*Planos!$E44))/Planos!$E44)+1)))</f>
      </c>
      <c r="R46" s="44">
        <f>SUM(F46:Q46)</f>
      </c>
    </row>
    <row r="47" spans="1:18" x14ac:dyDescent="0.25">
      <c r="A47" s="24">
        <f>IF(Planos!$A45="","",Planos!A45&amp;"")</f>
      </c>
      <c r="B47" s="41">
        <f>IF(Planos!$A45="","",Planos!B45&amp;"")</f>
      </c>
      <c r="C47" s="24">
        <f>IF(Planos!$A45="","",Planos!C45&amp;"")</f>
      </c>
      <c r="D47" s="42">
        <f>IF(Planos!$A45="","",N(Planos!E45))</f>
      </c>
      <c r="E47" s="43">
        <f>IF(Planos!$A45="","",N(Planos!K45))</f>
      </c>
      <c r="F47" s="44">
        <f>IF(OR(Planos!$A45="",NOT(ISNUMBER(Planos!$G45)),N(Planos!$E45)&lt;=0),0,IF(Planos!$G45&gt;EOMONTH(DATE(crono_ano_ref,1,1),0),0,MAX(0,INT((EOMONTH(DATE(crono_ano_ref,1,1),0)-IF(Planos!$G45&gt;=DATE(crono_ano_ref,1,1),Planos!$G45,Planos!$G45+CEILING((DATE(crono_ano_ref,1,1)-Planos!$G45)/Planos!$E45,1)*Planos!$E45))/Planos!$E45)+1)))</f>
      </c>
      <c r="G47" s="44">
        <f>IF(OR(Planos!$A45="",NOT(ISNUMBER(Planos!$G45)),N(Planos!$E45)&lt;=0),0,IF(Planos!$G45&gt;EOMONTH(DATE(crono_ano_ref,2,1),0),0,MAX(0,INT((EOMONTH(DATE(crono_ano_ref,2,1),0)-IF(Planos!$G45&gt;=DATE(crono_ano_ref,2,1),Planos!$G45,Planos!$G45+CEILING((DATE(crono_ano_ref,2,1)-Planos!$G45)/Planos!$E45,1)*Planos!$E45))/Planos!$E45)+1)))</f>
      </c>
      <c r="H47" s="44">
        <f>IF(OR(Planos!$A45="",NOT(ISNUMBER(Planos!$G45)),N(Planos!$E45)&lt;=0),0,IF(Planos!$G45&gt;EOMONTH(DATE(crono_ano_ref,3,1),0),0,MAX(0,INT((EOMONTH(DATE(crono_ano_ref,3,1),0)-IF(Planos!$G45&gt;=DATE(crono_ano_ref,3,1),Planos!$G45,Planos!$G45+CEILING((DATE(crono_ano_ref,3,1)-Planos!$G45)/Planos!$E45,1)*Planos!$E45))/Planos!$E45)+1)))</f>
      </c>
      <c r="I47" s="44">
        <f>IF(OR(Planos!$A45="",NOT(ISNUMBER(Planos!$G45)),N(Planos!$E45)&lt;=0),0,IF(Planos!$G45&gt;EOMONTH(DATE(crono_ano_ref,4,1),0),0,MAX(0,INT((EOMONTH(DATE(crono_ano_ref,4,1),0)-IF(Planos!$G45&gt;=DATE(crono_ano_ref,4,1),Planos!$G45,Planos!$G45+CEILING((DATE(crono_ano_ref,4,1)-Planos!$G45)/Planos!$E45,1)*Planos!$E45))/Planos!$E45)+1)))</f>
      </c>
      <c r="J47" s="44">
        <f>IF(OR(Planos!$A45="",NOT(ISNUMBER(Planos!$G45)),N(Planos!$E45)&lt;=0),0,IF(Planos!$G45&gt;EOMONTH(DATE(crono_ano_ref,5,1),0),0,MAX(0,INT((EOMONTH(DATE(crono_ano_ref,5,1),0)-IF(Planos!$G45&gt;=DATE(crono_ano_ref,5,1),Planos!$G45,Planos!$G45+CEILING((DATE(crono_ano_ref,5,1)-Planos!$G45)/Planos!$E45,1)*Planos!$E45))/Planos!$E45)+1)))</f>
      </c>
      <c r="K47" s="44">
        <f>IF(OR(Planos!$A45="",NOT(ISNUMBER(Planos!$G45)),N(Planos!$E45)&lt;=0),0,IF(Planos!$G45&gt;EOMONTH(DATE(crono_ano_ref,6,1),0),0,MAX(0,INT((EOMONTH(DATE(crono_ano_ref,6,1),0)-IF(Planos!$G45&gt;=DATE(crono_ano_ref,6,1),Planos!$G45,Planos!$G45+CEILING((DATE(crono_ano_ref,6,1)-Planos!$G45)/Planos!$E45,1)*Planos!$E45))/Planos!$E45)+1)))</f>
      </c>
      <c r="L47" s="44">
        <f>IF(OR(Planos!$A45="",NOT(ISNUMBER(Planos!$G45)),N(Planos!$E45)&lt;=0),0,IF(Planos!$G45&gt;EOMONTH(DATE(crono_ano_ref,7,1),0),0,MAX(0,INT((EOMONTH(DATE(crono_ano_ref,7,1),0)-IF(Planos!$G45&gt;=DATE(crono_ano_ref,7,1),Planos!$G45,Planos!$G45+CEILING((DATE(crono_ano_ref,7,1)-Planos!$G45)/Planos!$E45,1)*Planos!$E45))/Planos!$E45)+1)))</f>
      </c>
      <c r="M47" s="44">
        <f>IF(OR(Planos!$A45="",NOT(ISNUMBER(Planos!$G45)),N(Planos!$E45)&lt;=0),0,IF(Planos!$G45&gt;EOMONTH(DATE(crono_ano_ref,8,1),0),0,MAX(0,INT((EOMONTH(DATE(crono_ano_ref,8,1),0)-IF(Planos!$G45&gt;=DATE(crono_ano_ref,8,1),Planos!$G45,Planos!$G45+CEILING((DATE(crono_ano_ref,8,1)-Planos!$G45)/Planos!$E45,1)*Planos!$E45))/Planos!$E45)+1)))</f>
      </c>
      <c r="N47" s="44">
        <f>IF(OR(Planos!$A45="",NOT(ISNUMBER(Planos!$G45)),N(Planos!$E45)&lt;=0),0,IF(Planos!$G45&gt;EOMONTH(DATE(crono_ano_ref,9,1),0),0,MAX(0,INT((EOMONTH(DATE(crono_ano_ref,9,1),0)-IF(Planos!$G45&gt;=DATE(crono_ano_ref,9,1),Planos!$G45,Planos!$G45+CEILING((DATE(crono_ano_ref,9,1)-Planos!$G45)/Planos!$E45,1)*Planos!$E45))/Planos!$E45)+1)))</f>
      </c>
      <c r="O47" s="44">
        <f>IF(OR(Planos!$A45="",NOT(ISNUMBER(Planos!$G45)),N(Planos!$E45)&lt;=0),0,IF(Planos!$G45&gt;EOMONTH(DATE(crono_ano_ref,10,1),0),0,MAX(0,INT((EOMONTH(DATE(crono_ano_ref,10,1),0)-IF(Planos!$G45&gt;=DATE(crono_ano_ref,10,1),Planos!$G45,Planos!$G45+CEILING((DATE(crono_ano_ref,10,1)-Planos!$G45)/Planos!$E45,1)*Planos!$E45))/Planos!$E45)+1)))</f>
      </c>
      <c r="P47" s="44">
        <f>IF(OR(Planos!$A45="",NOT(ISNUMBER(Planos!$G45)),N(Planos!$E45)&lt;=0),0,IF(Planos!$G45&gt;EOMONTH(DATE(crono_ano_ref,11,1),0),0,MAX(0,INT((EOMONTH(DATE(crono_ano_ref,11,1),0)-IF(Planos!$G45&gt;=DATE(crono_ano_ref,11,1),Planos!$G45,Planos!$G45+CEILING((DATE(crono_ano_ref,11,1)-Planos!$G45)/Planos!$E45,1)*Planos!$E45))/Planos!$E45)+1)))</f>
      </c>
      <c r="Q47" s="44">
        <f>IF(OR(Planos!$A45="",NOT(ISNUMBER(Planos!$G45)),N(Planos!$E45)&lt;=0),0,IF(Planos!$G45&gt;EOMONTH(DATE(crono_ano_ref,12,1),0),0,MAX(0,INT((EOMONTH(DATE(crono_ano_ref,12,1),0)-IF(Planos!$G45&gt;=DATE(crono_ano_ref,12,1),Planos!$G45,Planos!$G45+CEILING((DATE(crono_ano_ref,12,1)-Planos!$G45)/Planos!$E45,1)*Planos!$E45))/Planos!$E45)+1)))</f>
      </c>
      <c r="R47" s="44">
        <f>SUM(F47:Q47)</f>
      </c>
    </row>
    <row r="48" spans="1:18" x14ac:dyDescent="0.25">
      <c r="A48" s="24">
        <f>IF(Planos!$A46="","",Planos!A46&amp;"")</f>
      </c>
      <c r="B48" s="41">
        <f>IF(Planos!$A46="","",Planos!B46&amp;"")</f>
      </c>
      <c r="C48" s="24">
        <f>IF(Planos!$A46="","",Planos!C46&amp;"")</f>
      </c>
      <c r="D48" s="42">
        <f>IF(Planos!$A46="","",N(Planos!E46))</f>
      </c>
      <c r="E48" s="43">
        <f>IF(Planos!$A46="","",N(Planos!K46))</f>
      </c>
      <c r="F48" s="44">
        <f>IF(OR(Planos!$A46="",NOT(ISNUMBER(Planos!$G46)),N(Planos!$E46)&lt;=0),0,IF(Planos!$G46&gt;EOMONTH(DATE(crono_ano_ref,1,1),0),0,MAX(0,INT((EOMONTH(DATE(crono_ano_ref,1,1),0)-IF(Planos!$G46&gt;=DATE(crono_ano_ref,1,1),Planos!$G46,Planos!$G46+CEILING((DATE(crono_ano_ref,1,1)-Planos!$G46)/Planos!$E46,1)*Planos!$E46))/Planos!$E46)+1)))</f>
      </c>
      <c r="G48" s="44">
        <f>IF(OR(Planos!$A46="",NOT(ISNUMBER(Planos!$G46)),N(Planos!$E46)&lt;=0),0,IF(Planos!$G46&gt;EOMONTH(DATE(crono_ano_ref,2,1),0),0,MAX(0,INT((EOMONTH(DATE(crono_ano_ref,2,1),0)-IF(Planos!$G46&gt;=DATE(crono_ano_ref,2,1),Planos!$G46,Planos!$G46+CEILING((DATE(crono_ano_ref,2,1)-Planos!$G46)/Planos!$E46,1)*Planos!$E46))/Planos!$E46)+1)))</f>
      </c>
      <c r="H48" s="44">
        <f>IF(OR(Planos!$A46="",NOT(ISNUMBER(Planos!$G46)),N(Planos!$E46)&lt;=0),0,IF(Planos!$G46&gt;EOMONTH(DATE(crono_ano_ref,3,1),0),0,MAX(0,INT((EOMONTH(DATE(crono_ano_ref,3,1),0)-IF(Planos!$G46&gt;=DATE(crono_ano_ref,3,1),Planos!$G46,Planos!$G46+CEILING((DATE(crono_ano_ref,3,1)-Planos!$G46)/Planos!$E46,1)*Planos!$E46))/Planos!$E46)+1)))</f>
      </c>
      <c r="I48" s="44">
        <f>IF(OR(Planos!$A46="",NOT(ISNUMBER(Planos!$G46)),N(Planos!$E46)&lt;=0),0,IF(Planos!$G46&gt;EOMONTH(DATE(crono_ano_ref,4,1),0),0,MAX(0,INT((EOMONTH(DATE(crono_ano_ref,4,1),0)-IF(Planos!$G46&gt;=DATE(crono_ano_ref,4,1),Planos!$G46,Planos!$G46+CEILING((DATE(crono_ano_ref,4,1)-Planos!$G46)/Planos!$E46,1)*Planos!$E46))/Planos!$E46)+1)))</f>
      </c>
      <c r="J48" s="44">
        <f>IF(OR(Planos!$A46="",NOT(ISNUMBER(Planos!$G46)),N(Planos!$E46)&lt;=0),0,IF(Planos!$G46&gt;EOMONTH(DATE(crono_ano_ref,5,1),0),0,MAX(0,INT((EOMONTH(DATE(crono_ano_ref,5,1),0)-IF(Planos!$G46&gt;=DATE(crono_ano_ref,5,1),Planos!$G46,Planos!$G46+CEILING((DATE(crono_ano_ref,5,1)-Planos!$G46)/Planos!$E46,1)*Planos!$E46))/Planos!$E46)+1)))</f>
      </c>
      <c r="K48" s="44">
        <f>IF(OR(Planos!$A46="",NOT(ISNUMBER(Planos!$G46)),N(Planos!$E46)&lt;=0),0,IF(Planos!$G46&gt;EOMONTH(DATE(crono_ano_ref,6,1),0),0,MAX(0,INT((EOMONTH(DATE(crono_ano_ref,6,1),0)-IF(Planos!$G46&gt;=DATE(crono_ano_ref,6,1),Planos!$G46,Planos!$G46+CEILING((DATE(crono_ano_ref,6,1)-Planos!$G46)/Planos!$E46,1)*Planos!$E46))/Planos!$E46)+1)))</f>
      </c>
      <c r="L48" s="44">
        <f>IF(OR(Planos!$A46="",NOT(ISNUMBER(Planos!$G46)),N(Planos!$E46)&lt;=0),0,IF(Planos!$G46&gt;EOMONTH(DATE(crono_ano_ref,7,1),0),0,MAX(0,INT((EOMONTH(DATE(crono_ano_ref,7,1),0)-IF(Planos!$G46&gt;=DATE(crono_ano_ref,7,1),Planos!$G46,Planos!$G46+CEILING((DATE(crono_ano_ref,7,1)-Planos!$G46)/Planos!$E46,1)*Planos!$E46))/Planos!$E46)+1)))</f>
      </c>
      <c r="M48" s="44">
        <f>IF(OR(Planos!$A46="",NOT(ISNUMBER(Planos!$G46)),N(Planos!$E46)&lt;=0),0,IF(Planos!$G46&gt;EOMONTH(DATE(crono_ano_ref,8,1),0),0,MAX(0,INT((EOMONTH(DATE(crono_ano_ref,8,1),0)-IF(Planos!$G46&gt;=DATE(crono_ano_ref,8,1),Planos!$G46,Planos!$G46+CEILING((DATE(crono_ano_ref,8,1)-Planos!$G46)/Planos!$E46,1)*Planos!$E46))/Planos!$E46)+1)))</f>
      </c>
      <c r="N48" s="44">
        <f>IF(OR(Planos!$A46="",NOT(ISNUMBER(Planos!$G46)),N(Planos!$E46)&lt;=0),0,IF(Planos!$G46&gt;EOMONTH(DATE(crono_ano_ref,9,1),0),0,MAX(0,INT((EOMONTH(DATE(crono_ano_ref,9,1),0)-IF(Planos!$G46&gt;=DATE(crono_ano_ref,9,1),Planos!$G46,Planos!$G46+CEILING((DATE(crono_ano_ref,9,1)-Planos!$G46)/Planos!$E46,1)*Planos!$E46))/Planos!$E46)+1)))</f>
      </c>
      <c r="O48" s="44">
        <f>IF(OR(Planos!$A46="",NOT(ISNUMBER(Planos!$G46)),N(Planos!$E46)&lt;=0),0,IF(Planos!$G46&gt;EOMONTH(DATE(crono_ano_ref,10,1),0),0,MAX(0,INT((EOMONTH(DATE(crono_ano_ref,10,1),0)-IF(Planos!$G46&gt;=DATE(crono_ano_ref,10,1),Planos!$G46,Planos!$G46+CEILING((DATE(crono_ano_ref,10,1)-Planos!$G46)/Planos!$E46,1)*Planos!$E46))/Planos!$E46)+1)))</f>
      </c>
      <c r="P48" s="44">
        <f>IF(OR(Planos!$A46="",NOT(ISNUMBER(Planos!$G46)),N(Planos!$E46)&lt;=0),0,IF(Planos!$G46&gt;EOMONTH(DATE(crono_ano_ref,11,1),0),0,MAX(0,INT((EOMONTH(DATE(crono_ano_ref,11,1),0)-IF(Planos!$G46&gt;=DATE(crono_ano_ref,11,1),Planos!$G46,Planos!$G46+CEILING((DATE(crono_ano_ref,11,1)-Planos!$G46)/Planos!$E46,1)*Planos!$E46))/Planos!$E46)+1)))</f>
      </c>
      <c r="Q48" s="44">
        <f>IF(OR(Planos!$A46="",NOT(ISNUMBER(Planos!$G46)),N(Planos!$E46)&lt;=0),0,IF(Planos!$G46&gt;EOMONTH(DATE(crono_ano_ref,12,1),0),0,MAX(0,INT((EOMONTH(DATE(crono_ano_ref,12,1),0)-IF(Planos!$G46&gt;=DATE(crono_ano_ref,12,1),Planos!$G46,Planos!$G46+CEILING((DATE(crono_ano_ref,12,1)-Planos!$G46)/Planos!$E46,1)*Planos!$E46))/Planos!$E46)+1)))</f>
      </c>
      <c r="R48" s="44">
        <f>SUM(F48:Q48)</f>
      </c>
    </row>
    <row r="49" spans="1:18" x14ac:dyDescent="0.25">
      <c r="A49" s="24">
        <f>IF(Planos!$A47="","",Planos!A47&amp;"")</f>
      </c>
      <c r="B49" s="41">
        <f>IF(Planos!$A47="","",Planos!B47&amp;"")</f>
      </c>
      <c r="C49" s="24">
        <f>IF(Planos!$A47="","",Planos!C47&amp;"")</f>
      </c>
      <c r="D49" s="42">
        <f>IF(Planos!$A47="","",N(Planos!E47))</f>
      </c>
      <c r="E49" s="43">
        <f>IF(Planos!$A47="","",N(Planos!K47))</f>
      </c>
      <c r="F49" s="44">
        <f>IF(OR(Planos!$A47="",NOT(ISNUMBER(Planos!$G47)),N(Planos!$E47)&lt;=0),0,IF(Planos!$G47&gt;EOMONTH(DATE(crono_ano_ref,1,1),0),0,MAX(0,INT((EOMONTH(DATE(crono_ano_ref,1,1),0)-IF(Planos!$G47&gt;=DATE(crono_ano_ref,1,1),Planos!$G47,Planos!$G47+CEILING((DATE(crono_ano_ref,1,1)-Planos!$G47)/Planos!$E47,1)*Planos!$E47))/Planos!$E47)+1)))</f>
      </c>
      <c r="G49" s="44">
        <f>IF(OR(Planos!$A47="",NOT(ISNUMBER(Planos!$G47)),N(Planos!$E47)&lt;=0),0,IF(Planos!$G47&gt;EOMONTH(DATE(crono_ano_ref,2,1),0),0,MAX(0,INT((EOMONTH(DATE(crono_ano_ref,2,1),0)-IF(Planos!$G47&gt;=DATE(crono_ano_ref,2,1),Planos!$G47,Planos!$G47+CEILING((DATE(crono_ano_ref,2,1)-Planos!$G47)/Planos!$E47,1)*Planos!$E47))/Planos!$E47)+1)))</f>
      </c>
      <c r="H49" s="44">
        <f>IF(OR(Planos!$A47="",NOT(ISNUMBER(Planos!$G47)),N(Planos!$E47)&lt;=0),0,IF(Planos!$G47&gt;EOMONTH(DATE(crono_ano_ref,3,1),0),0,MAX(0,INT((EOMONTH(DATE(crono_ano_ref,3,1),0)-IF(Planos!$G47&gt;=DATE(crono_ano_ref,3,1),Planos!$G47,Planos!$G47+CEILING((DATE(crono_ano_ref,3,1)-Planos!$G47)/Planos!$E47,1)*Planos!$E47))/Planos!$E47)+1)))</f>
      </c>
      <c r="I49" s="44">
        <f>IF(OR(Planos!$A47="",NOT(ISNUMBER(Planos!$G47)),N(Planos!$E47)&lt;=0),0,IF(Planos!$G47&gt;EOMONTH(DATE(crono_ano_ref,4,1),0),0,MAX(0,INT((EOMONTH(DATE(crono_ano_ref,4,1),0)-IF(Planos!$G47&gt;=DATE(crono_ano_ref,4,1),Planos!$G47,Planos!$G47+CEILING((DATE(crono_ano_ref,4,1)-Planos!$G47)/Planos!$E47,1)*Planos!$E47))/Planos!$E47)+1)))</f>
      </c>
      <c r="J49" s="44">
        <f>IF(OR(Planos!$A47="",NOT(ISNUMBER(Planos!$G47)),N(Planos!$E47)&lt;=0),0,IF(Planos!$G47&gt;EOMONTH(DATE(crono_ano_ref,5,1),0),0,MAX(0,INT((EOMONTH(DATE(crono_ano_ref,5,1),0)-IF(Planos!$G47&gt;=DATE(crono_ano_ref,5,1),Planos!$G47,Planos!$G47+CEILING((DATE(crono_ano_ref,5,1)-Planos!$G47)/Planos!$E47,1)*Planos!$E47))/Planos!$E47)+1)))</f>
      </c>
      <c r="K49" s="44">
        <f>IF(OR(Planos!$A47="",NOT(ISNUMBER(Planos!$G47)),N(Planos!$E47)&lt;=0),0,IF(Planos!$G47&gt;EOMONTH(DATE(crono_ano_ref,6,1),0),0,MAX(0,INT((EOMONTH(DATE(crono_ano_ref,6,1),0)-IF(Planos!$G47&gt;=DATE(crono_ano_ref,6,1),Planos!$G47,Planos!$G47+CEILING((DATE(crono_ano_ref,6,1)-Planos!$G47)/Planos!$E47,1)*Planos!$E47))/Planos!$E47)+1)))</f>
      </c>
      <c r="L49" s="44">
        <f>IF(OR(Planos!$A47="",NOT(ISNUMBER(Planos!$G47)),N(Planos!$E47)&lt;=0),0,IF(Planos!$G47&gt;EOMONTH(DATE(crono_ano_ref,7,1),0),0,MAX(0,INT((EOMONTH(DATE(crono_ano_ref,7,1),0)-IF(Planos!$G47&gt;=DATE(crono_ano_ref,7,1),Planos!$G47,Planos!$G47+CEILING((DATE(crono_ano_ref,7,1)-Planos!$G47)/Planos!$E47,1)*Planos!$E47))/Planos!$E47)+1)))</f>
      </c>
      <c r="M49" s="44">
        <f>IF(OR(Planos!$A47="",NOT(ISNUMBER(Planos!$G47)),N(Planos!$E47)&lt;=0),0,IF(Planos!$G47&gt;EOMONTH(DATE(crono_ano_ref,8,1),0),0,MAX(0,INT((EOMONTH(DATE(crono_ano_ref,8,1),0)-IF(Planos!$G47&gt;=DATE(crono_ano_ref,8,1),Planos!$G47,Planos!$G47+CEILING((DATE(crono_ano_ref,8,1)-Planos!$G47)/Planos!$E47,1)*Planos!$E47))/Planos!$E47)+1)))</f>
      </c>
      <c r="N49" s="44">
        <f>IF(OR(Planos!$A47="",NOT(ISNUMBER(Planos!$G47)),N(Planos!$E47)&lt;=0),0,IF(Planos!$G47&gt;EOMONTH(DATE(crono_ano_ref,9,1),0),0,MAX(0,INT((EOMONTH(DATE(crono_ano_ref,9,1),0)-IF(Planos!$G47&gt;=DATE(crono_ano_ref,9,1),Planos!$G47,Planos!$G47+CEILING((DATE(crono_ano_ref,9,1)-Planos!$G47)/Planos!$E47,1)*Planos!$E47))/Planos!$E47)+1)))</f>
      </c>
      <c r="O49" s="44">
        <f>IF(OR(Planos!$A47="",NOT(ISNUMBER(Planos!$G47)),N(Planos!$E47)&lt;=0),0,IF(Planos!$G47&gt;EOMONTH(DATE(crono_ano_ref,10,1),0),0,MAX(0,INT((EOMONTH(DATE(crono_ano_ref,10,1),0)-IF(Planos!$G47&gt;=DATE(crono_ano_ref,10,1),Planos!$G47,Planos!$G47+CEILING((DATE(crono_ano_ref,10,1)-Planos!$G47)/Planos!$E47,1)*Planos!$E47))/Planos!$E47)+1)))</f>
      </c>
      <c r="P49" s="44">
        <f>IF(OR(Planos!$A47="",NOT(ISNUMBER(Planos!$G47)),N(Planos!$E47)&lt;=0),0,IF(Planos!$G47&gt;EOMONTH(DATE(crono_ano_ref,11,1),0),0,MAX(0,INT((EOMONTH(DATE(crono_ano_ref,11,1),0)-IF(Planos!$G47&gt;=DATE(crono_ano_ref,11,1),Planos!$G47,Planos!$G47+CEILING((DATE(crono_ano_ref,11,1)-Planos!$G47)/Planos!$E47,1)*Planos!$E47))/Planos!$E47)+1)))</f>
      </c>
      <c r="Q49" s="44">
        <f>IF(OR(Planos!$A47="",NOT(ISNUMBER(Planos!$G47)),N(Planos!$E47)&lt;=0),0,IF(Planos!$G47&gt;EOMONTH(DATE(crono_ano_ref,12,1),0),0,MAX(0,INT((EOMONTH(DATE(crono_ano_ref,12,1),0)-IF(Planos!$G47&gt;=DATE(crono_ano_ref,12,1),Planos!$G47,Planos!$G47+CEILING((DATE(crono_ano_ref,12,1)-Planos!$G47)/Planos!$E47,1)*Planos!$E47))/Planos!$E47)+1)))</f>
      </c>
      <c r="R49" s="44">
        <f>SUM(F49:Q49)</f>
      </c>
    </row>
    <row r="50" spans="1:18" x14ac:dyDescent="0.25">
      <c r="A50" s="24">
        <f>IF(Planos!$A48="","",Planos!A48&amp;"")</f>
      </c>
      <c r="B50" s="41">
        <f>IF(Planos!$A48="","",Planos!B48&amp;"")</f>
      </c>
      <c r="C50" s="24">
        <f>IF(Planos!$A48="","",Planos!C48&amp;"")</f>
      </c>
      <c r="D50" s="42">
        <f>IF(Planos!$A48="","",N(Planos!E48))</f>
      </c>
      <c r="E50" s="43">
        <f>IF(Planos!$A48="","",N(Planos!K48))</f>
      </c>
      <c r="F50" s="44">
        <f>IF(OR(Planos!$A48="",NOT(ISNUMBER(Planos!$G48)),N(Planos!$E48)&lt;=0),0,IF(Planos!$G48&gt;EOMONTH(DATE(crono_ano_ref,1,1),0),0,MAX(0,INT((EOMONTH(DATE(crono_ano_ref,1,1),0)-IF(Planos!$G48&gt;=DATE(crono_ano_ref,1,1),Planos!$G48,Planos!$G48+CEILING((DATE(crono_ano_ref,1,1)-Planos!$G48)/Planos!$E48,1)*Planos!$E48))/Planos!$E48)+1)))</f>
      </c>
      <c r="G50" s="44">
        <f>IF(OR(Planos!$A48="",NOT(ISNUMBER(Planos!$G48)),N(Planos!$E48)&lt;=0),0,IF(Planos!$G48&gt;EOMONTH(DATE(crono_ano_ref,2,1),0),0,MAX(0,INT((EOMONTH(DATE(crono_ano_ref,2,1),0)-IF(Planos!$G48&gt;=DATE(crono_ano_ref,2,1),Planos!$G48,Planos!$G48+CEILING((DATE(crono_ano_ref,2,1)-Planos!$G48)/Planos!$E48,1)*Planos!$E48))/Planos!$E48)+1)))</f>
      </c>
      <c r="H50" s="44">
        <f>IF(OR(Planos!$A48="",NOT(ISNUMBER(Planos!$G48)),N(Planos!$E48)&lt;=0),0,IF(Planos!$G48&gt;EOMONTH(DATE(crono_ano_ref,3,1),0),0,MAX(0,INT((EOMONTH(DATE(crono_ano_ref,3,1),0)-IF(Planos!$G48&gt;=DATE(crono_ano_ref,3,1),Planos!$G48,Planos!$G48+CEILING((DATE(crono_ano_ref,3,1)-Planos!$G48)/Planos!$E48,1)*Planos!$E48))/Planos!$E48)+1)))</f>
      </c>
      <c r="I50" s="44">
        <f>IF(OR(Planos!$A48="",NOT(ISNUMBER(Planos!$G48)),N(Planos!$E48)&lt;=0),0,IF(Planos!$G48&gt;EOMONTH(DATE(crono_ano_ref,4,1),0),0,MAX(0,INT((EOMONTH(DATE(crono_ano_ref,4,1),0)-IF(Planos!$G48&gt;=DATE(crono_ano_ref,4,1),Planos!$G48,Planos!$G48+CEILING((DATE(crono_ano_ref,4,1)-Planos!$G48)/Planos!$E48,1)*Planos!$E48))/Planos!$E48)+1)))</f>
      </c>
      <c r="J50" s="44">
        <f>IF(OR(Planos!$A48="",NOT(ISNUMBER(Planos!$G48)),N(Planos!$E48)&lt;=0),0,IF(Planos!$G48&gt;EOMONTH(DATE(crono_ano_ref,5,1),0),0,MAX(0,INT((EOMONTH(DATE(crono_ano_ref,5,1),0)-IF(Planos!$G48&gt;=DATE(crono_ano_ref,5,1),Planos!$G48,Planos!$G48+CEILING((DATE(crono_ano_ref,5,1)-Planos!$G48)/Planos!$E48,1)*Planos!$E48))/Planos!$E48)+1)))</f>
      </c>
      <c r="K50" s="44">
        <f>IF(OR(Planos!$A48="",NOT(ISNUMBER(Planos!$G48)),N(Planos!$E48)&lt;=0),0,IF(Planos!$G48&gt;EOMONTH(DATE(crono_ano_ref,6,1),0),0,MAX(0,INT((EOMONTH(DATE(crono_ano_ref,6,1),0)-IF(Planos!$G48&gt;=DATE(crono_ano_ref,6,1),Planos!$G48,Planos!$G48+CEILING((DATE(crono_ano_ref,6,1)-Planos!$G48)/Planos!$E48,1)*Planos!$E48))/Planos!$E48)+1)))</f>
      </c>
      <c r="L50" s="44">
        <f>IF(OR(Planos!$A48="",NOT(ISNUMBER(Planos!$G48)),N(Planos!$E48)&lt;=0),0,IF(Planos!$G48&gt;EOMONTH(DATE(crono_ano_ref,7,1),0),0,MAX(0,INT((EOMONTH(DATE(crono_ano_ref,7,1),0)-IF(Planos!$G48&gt;=DATE(crono_ano_ref,7,1),Planos!$G48,Planos!$G48+CEILING((DATE(crono_ano_ref,7,1)-Planos!$G48)/Planos!$E48,1)*Planos!$E48))/Planos!$E48)+1)))</f>
      </c>
      <c r="M50" s="44">
        <f>IF(OR(Planos!$A48="",NOT(ISNUMBER(Planos!$G48)),N(Planos!$E48)&lt;=0),0,IF(Planos!$G48&gt;EOMONTH(DATE(crono_ano_ref,8,1),0),0,MAX(0,INT((EOMONTH(DATE(crono_ano_ref,8,1),0)-IF(Planos!$G48&gt;=DATE(crono_ano_ref,8,1),Planos!$G48,Planos!$G48+CEILING((DATE(crono_ano_ref,8,1)-Planos!$G48)/Planos!$E48,1)*Planos!$E48))/Planos!$E48)+1)))</f>
      </c>
      <c r="N50" s="44">
        <f>IF(OR(Planos!$A48="",NOT(ISNUMBER(Planos!$G48)),N(Planos!$E48)&lt;=0),0,IF(Planos!$G48&gt;EOMONTH(DATE(crono_ano_ref,9,1),0),0,MAX(0,INT((EOMONTH(DATE(crono_ano_ref,9,1),0)-IF(Planos!$G48&gt;=DATE(crono_ano_ref,9,1),Planos!$G48,Planos!$G48+CEILING((DATE(crono_ano_ref,9,1)-Planos!$G48)/Planos!$E48,1)*Planos!$E48))/Planos!$E48)+1)))</f>
      </c>
      <c r="O50" s="44">
        <f>IF(OR(Planos!$A48="",NOT(ISNUMBER(Planos!$G48)),N(Planos!$E48)&lt;=0),0,IF(Planos!$G48&gt;EOMONTH(DATE(crono_ano_ref,10,1),0),0,MAX(0,INT((EOMONTH(DATE(crono_ano_ref,10,1),0)-IF(Planos!$G48&gt;=DATE(crono_ano_ref,10,1),Planos!$G48,Planos!$G48+CEILING((DATE(crono_ano_ref,10,1)-Planos!$G48)/Planos!$E48,1)*Planos!$E48))/Planos!$E48)+1)))</f>
      </c>
      <c r="P50" s="44">
        <f>IF(OR(Planos!$A48="",NOT(ISNUMBER(Planos!$G48)),N(Planos!$E48)&lt;=0),0,IF(Planos!$G48&gt;EOMONTH(DATE(crono_ano_ref,11,1),0),0,MAX(0,INT((EOMONTH(DATE(crono_ano_ref,11,1),0)-IF(Planos!$G48&gt;=DATE(crono_ano_ref,11,1),Planos!$G48,Planos!$G48+CEILING((DATE(crono_ano_ref,11,1)-Planos!$G48)/Planos!$E48,1)*Planos!$E48))/Planos!$E48)+1)))</f>
      </c>
      <c r="Q50" s="44">
        <f>IF(OR(Planos!$A48="",NOT(ISNUMBER(Planos!$G48)),N(Planos!$E48)&lt;=0),0,IF(Planos!$G48&gt;EOMONTH(DATE(crono_ano_ref,12,1),0),0,MAX(0,INT((EOMONTH(DATE(crono_ano_ref,12,1),0)-IF(Planos!$G48&gt;=DATE(crono_ano_ref,12,1),Planos!$G48,Planos!$G48+CEILING((DATE(crono_ano_ref,12,1)-Planos!$G48)/Planos!$E48,1)*Planos!$E48))/Planos!$E48)+1)))</f>
      </c>
      <c r="R50" s="44">
        <f>SUM(F50:Q50)</f>
      </c>
    </row>
    <row r="51" spans="1:18" x14ac:dyDescent="0.25">
      <c r="A51" s="24">
        <f>IF(Planos!$A49="","",Planos!A49&amp;"")</f>
      </c>
      <c r="B51" s="41">
        <f>IF(Planos!$A49="","",Planos!B49&amp;"")</f>
      </c>
      <c r="C51" s="24">
        <f>IF(Planos!$A49="","",Planos!C49&amp;"")</f>
      </c>
      <c r="D51" s="42">
        <f>IF(Planos!$A49="","",N(Planos!E49))</f>
      </c>
      <c r="E51" s="43">
        <f>IF(Planos!$A49="","",N(Planos!K49))</f>
      </c>
      <c r="F51" s="44">
        <f>IF(OR(Planos!$A49="",NOT(ISNUMBER(Planos!$G49)),N(Planos!$E49)&lt;=0),0,IF(Planos!$G49&gt;EOMONTH(DATE(crono_ano_ref,1,1),0),0,MAX(0,INT((EOMONTH(DATE(crono_ano_ref,1,1),0)-IF(Planos!$G49&gt;=DATE(crono_ano_ref,1,1),Planos!$G49,Planos!$G49+CEILING((DATE(crono_ano_ref,1,1)-Planos!$G49)/Planos!$E49,1)*Planos!$E49))/Planos!$E49)+1)))</f>
      </c>
      <c r="G51" s="44">
        <f>IF(OR(Planos!$A49="",NOT(ISNUMBER(Planos!$G49)),N(Planos!$E49)&lt;=0),0,IF(Planos!$G49&gt;EOMONTH(DATE(crono_ano_ref,2,1),0),0,MAX(0,INT((EOMONTH(DATE(crono_ano_ref,2,1),0)-IF(Planos!$G49&gt;=DATE(crono_ano_ref,2,1),Planos!$G49,Planos!$G49+CEILING((DATE(crono_ano_ref,2,1)-Planos!$G49)/Planos!$E49,1)*Planos!$E49))/Planos!$E49)+1)))</f>
      </c>
      <c r="H51" s="44">
        <f>IF(OR(Planos!$A49="",NOT(ISNUMBER(Planos!$G49)),N(Planos!$E49)&lt;=0),0,IF(Planos!$G49&gt;EOMONTH(DATE(crono_ano_ref,3,1),0),0,MAX(0,INT((EOMONTH(DATE(crono_ano_ref,3,1),0)-IF(Planos!$G49&gt;=DATE(crono_ano_ref,3,1),Planos!$G49,Planos!$G49+CEILING((DATE(crono_ano_ref,3,1)-Planos!$G49)/Planos!$E49,1)*Planos!$E49))/Planos!$E49)+1)))</f>
      </c>
      <c r="I51" s="44">
        <f>IF(OR(Planos!$A49="",NOT(ISNUMBER(Planos!$G49)),N(Planos!$E49)&lt;=0),0,IF(Planos!$G49&gt;EOMONTH(DATE(crono_ano_ref,4,1),0),0,MAX(0,INT((EOMONTH(DATE(crono_ano_ref,4,1),0)-IF(Planos!$G49&gt;=DATE(crono_ano_ref,4,1),Planos!$G49,Planos!$G49+CEILING((DATE(crono_ano_ref,4,1)-Planos!$G49)/Planos!$E49,1)*Planos!$E49))/Planos!$E49)+1)))</f>
      </c>
      <c r="J51" s="44">
        <f>IF(OR(Planos!$A49="",NOT(ISNUMBER(Planos!$G49)),N(Planos!$E49)&lt;=0),0,IF(Planos!$G49&gt;EOMONTH(DATE(crono_ano_ref,5,1),0),0,MAX(0,INT((EOMONTH(DATE(crono_ano_ref,5,1),0)-IF(Planos!$G49&gt;=DATE(crono_ano_ref,5,1),Planos!$G49,Planos!$G49+CEILING((DATE(crono_ano_ref,5,1)-Planos!$G49)/Planos!$E49,1)*Planos!$E49))/Planos!$E49)+1)))</f>
      </c>
      <c r="K51" s="44">
        <f>IF(OR(Planos!$A49="",NOT(ISNUMBER(Planos!$G49)),N(Planos!$E49)&lt;=0),0,IF(Planos!$G49&gt;EOMONTH(DATE(crono_ano_ref,6,1),0),0,MAX(0,INT((EOMONTH(DATE(crono_ano_ref,6,1),0)-IF(Planos!$G49&gt;=DATE(crono_ano_ref,6,1),Planos!$G49,Planos!$G49+CEILING((DATE(crono_ano_ref,6,1)-Planos!$G49)/Planos!$E49,1)*Planos!$E49))/Planos!$E49)+1)))</f>
      </c>
      <c r="L51" s="44">
        <f>IF(OR(Planos!$A49="",NOT(ISNUMBER(Planos!$G49)),N(Planos!$E49)&lt;=0),0,IF(Planos!$G49&gt;EOMONTH(DATE(crono_ano_ref,7,1),0),0,MAX(0,INT((EOMONTH(DATE(crono_ano_ref,7,1),0)-IF(Planos!$G49&gt;=DATE(crono_ano_ref,7,1),Planos!$G49,Planos!$G49+CEILING((DATE(crono_ano_ref,7,1)-Planos!$G49)/Planos!$E49,1)*Planos!$E49))/Planos!$E49)+1)))</f>
      </c>
      <c r="M51" s="44">
        <f>IF(OR(Planos!$A49="",NOT(ISNUMBER(Planos!$G49)),N(Planos!$E49)&lt;=0),0,IF(Planos!$G49&gt;EOMONTH(DATE(crono_ano_ref,8,1),0),0,MAX(0,INT((EOMONTH(DATE(crono_ano_ref,8,1),0)-IF(Planos!$G49&gt;=DATE(crono_ano_ref,8,1),Planos!$G49,Planos!$G49+CEILING((DATE(crono_ano_ref,8,1)-Planos!$G49)/Planos!$E49,1)*Planos!$E49))/Planos!$E49)+1)))</f>
      </c>
      <c r="N51" s="44">
        <f>IF(OR(Planos!$A49="",NOT(ISNUMBER(Planos!$G49)),N(Planos!$E49)&lt;=0),0,IF(Planos!$G49&gt;EOMONTH(DATE(crono_ano_ref,9,1),0),0,MAX(0,INT((EOMONTH(DATE(crono_ano_ref,9,1),0)-IF(Planos!$G49&gt;=DATE(crono_ano_ref,9,1),Planos!$G49,Planos!$G49+CEILING((DATE(crono_ano_ref,9,1)-Planos!$G49)/Planos!$E49,1)*Planos!$E49))/Planos!$E49)+1)))</f>
      </c>
      <c r="O51" s="44">
        <f>IF(OR(Planos!$A49="",NOT(ISNUMBER(Planos!$G49)),N(Planos!$E49)&lt;=0),0,IF(Planos!$G49&gt;EOMONTH(DATE(crono_ano_ref,10,1),0),0,MAX(0,INT((EOMONTH(DATE(crono_ano_ref,10,1),0)-IF(Planos!$G49&gt;=DATE(crono_ano_ref,10,1),Planos!$G49,Planos!$G49+CEILING((DATE(crono_ano_ref,10,1)-Planos!$G49)/Planos!$E49,1)*Planos!$E49))/Planos!$E49)+1)))</f>
      </c>
      <c r="P51" s="44">
        <f>IF(OR(Planos!$A49="",NOT(ISNUMBER(Planos!$G49)),N(Planos!$E49)&lt;=0),0,IF(Planos!$G49&gt;EOMONTH(DATE(crono_ano_ref,11,1),0),0,MAX(0,INT((EOMONTH(DATE(crono_ano_ref,11,1),0)-IF(Planos!$G49&gt;=DATE(crono_ano_ref,11,1),Planos!$G49,Planos!$G49+CEILING((DATE(crono_ano_ref,11,1)-Planos!$G49)/Planos!$E49,1)*Planos!$E49))/Planos!$E49)+1)))</f>
      </c>
      <c r="Q51" s="44">
        <f>IF(OR(Planos!$A49="",NOT(ISNUMBER(Planos!$G49)),N(Planos!$E49)&lt;=0),0,IF(Planos!$G49&gt;EOMONTH(DATE(crono_ano_ref,12,1),0),0,MAX(0,INT((EOMONTH(DATE(crono_ano_ref,12,1),0)-IF(Planos!$G49&gt;=DATE(crono_ano_ref,12,1),Planos!$G49,Planos!$G49+CEILING((DATE(crono_ano_ref,12,1)-Planos!$G49)/Planos!$E49,1)*Planos!$E49))/Planos!$E49)+1)))</f>
      </c>
      <c r="R51" s="44">
        <f>SUM(F51:Q51)</f>
      </c>
    </row>
    <row r="52" spans="1:18" x14ac:dyDescent="0.25">
      <c r="A52" s="24">
        <f>IF(Planos!$A50="","",Planos!A50&amp;"")</f>
      </c>
      <c r="B52" s="41">
        <f>IF(Planos!$A50="","",Planos!B50&amp;"")</f>
      </c>
      <c r="C52" s="24">
        <f>IF(Planos!$A50="","",Planos!C50&amp;"")</f>
      </c>
      <c r="D52" s="42">
        <f>IF(Planos!$A50="","",N(Planos!E50))</f>
      </c>
      <c r="E52" s="43">
        <f>IF(Planos!$A50="","",N(Planos!K50))</f>
      </c>
      <c r="F52" s="44">
        <f>IF(OR(Planos!$A50="",NOT(ISNUMBER(Planos!$G50)),N(Planos!$E50)&lt;=0),0,IF(Planos!$G50&gt;EOMONTH(DATE(crono_ano_ref,1,1),0),0,MAX(0,INT((EOMONTH(DATE(crono_ano_ref,1,1),0)-IF(Planos!$G50&gt;=DATE(crono_ano_ref,1,1),Planos!$G50,Planos!$G50+CEILING((DATE(crono_ano_ref,1,1)-Planos!$G50)/Planos!$E50,1)*Planos!$E50))/Planos!$E50)+1)))</f>
      </c>
      <c r="G52" s="44">
        <f>IF(OR(Planos!$A50="",NOT(ISNUMBER(Planos!$G50)),N(Planos!$E50)&lt;=0),0,IF(Planos!$G50&gt;EOMONTH(DATE(crono_ano_ref,2,1),0),0,MAX(0,INT((EOMONTH(DATE(crono_ano_ref,2,1),0)-IF(Planos!$G50&gt;=DATE(crono_ano_ref,2,1),Planos!$G50,Planos!$G50+CEILING((DATE(crono_ano_ref,2,1)-Planos!$G50)/Planos!$E50,1)*Planos!$E50))/Planos!$E50)+1)))</f>
      </c>
      <c r="H52" s="44">
        <f>IF(OR(Planos!$A50="",NOT(ISNUMBER(Planos!$G50)),N(Planos!$E50)&lt;=0),0,IF(Planos!$G50&gt;EOMONTH(DATE(crono_ano_ref,3,1),0),0,MAX(0,INT((EOMONTH(DATE(crono_ano_ref,3,1),0)-IF(Planos!$G50&gt;=DATE(crono_ano_ref,3,1),Planos!$G50,Planos!$G50+CEILING((DATE(crono_ano_ref,3,1)-Planos!$G50)/Planos!$E50,1)*Planos!$E50))/Planos!$E50)+1)))</f>
      </c>
      <c r="I52" s="44">
        <f>IF(OR(Planos!$A50="",NOT(ISNUMBER(Planos!$G50)),N(Planos!$E50)&lt;=0),0,IF(Planos!$G50&gt;EOMONTH(DATE(crono_ano_ref,4,1),0),0,MAX(0,INT((EOMONTH(DATE(crono_ano_ref,4,1),0)-IF(Planos!$G50&gt;=DATE(crono_ano_ref,4,1),Planos!$G50,Planos!$G50+CEILING((DATE(crono_ano_ref,4,1)-Planos!$G50)/Planos!$E50,1)*Planos!$E50))/Planos!$E50)+1)))</f>
      </c>
      <c r="J52" s="44">
        <f>IF(OR(Planos!$A50="",NOT(ISNUMBER(Planos!$G50)),N(Planos!$E50)&lt;=0),0,IF(Planos!$G50&gt;EOMONTH(DATE(crono_ano_ref,5,1),0),0,MAX(0,INT((EOMONTH(DATE(crono_ano_ref,5,1),0)-IF(Planos!$G50&gt;=DATE(crono_ano_ref,5,1),Planos!$G50,Planos!$G50+CEILING((DATE(crono_ano_ref,5,1)-Planos!$G50)/Planos!$E50,1)*Planos!$E50))/Planos!$E50)+1)))</f>
      </c>
      <c r="K52" s="44">
        <f>IF(OR(Planos!$A50="",NOT(ISNUMBER(Planos!$G50)),N(Planos!$E50)&lt;=0),0,IF(Planos!$G50&gt;EOMONTH(DATE(crono_ano_ref,6,1),0),0,MAX(0,INT((EOMONTH(DATE(crono_ano_ref,6,1),0)-IF(Planos!$G50&gt;=DATE(crono_ano_ref,6,1),Planos!$G50,Planos!$G50+CEILING((DATE(crono_ano_ref,6,1)-Planos!$G50)/Planos!$E50,1)*Planos!$E50))/Planos!$E50)+1)))</f>
      </c>
      <c r="L52" s="44">
        <f>IF(OR(Planos!$A50="",NOT(ISNUMBER(Planos!$G50)),N(Planos!$E50)&lt;=0),0,IF(Planos!$G50&gt;EOMONTH(DATE(crono_ano_ref,7,1),0),0,MAX(0,INT((EOMONTH(DATE(crono_ano_ref,7,1),0)-IF(Planos!$G50&gt;=DATE(crono_ano_ref,7,1),Planos!$G50,Planos!$G50+CEILING((DATE(crono_ano_ref,7,1)-Planos!$G50)/Planos!$E50,1)*Planos!$E50))/Planos!$E50)+1)))</f>
      </c>
      <c r="M52" s="44">
        <f>IF(OR(Planos!$A50="",NOT(ISNUMBER(Planos!$G50)),N(Planos!$E50)&lt;=0),0,IF(Planos!$G50&gt;EOMONTH(DATE(crono_ano_ref,8,1),0),0,MAX(0,INT((EOMONTH(DATE(crono_ano_ref,8,1),0)-IF(Planos!$G50&gt;=DATE(crono_ano_ref,8,1),Planos!$G50,Planos!$G50+CEILING((DATE(crono_ano_ref,8,1)-Planos!$G50)/Planos!$E50,1)*Planos!$E50))/Planos!$E50)+1)))</f>
      </c>
      <c r="N52" s="44">
        <f>IF(OR(Planos!$A50="",NOT(ISNUMBER(Planos!$G50)),N(Planos!$E50)&lt;=0),0,IF(Planos!$G50&gt;EOMONTH(DATE(crono_ano_ref,9,1),0),0,MAX(0,INT((EOMONTH(DATE(crono_ano_ref,9,1),0)-IF(Planos!$G50&gt;=DATE(crono_ano_ref,9,1),Planos!$G50,Planos!$G50+CEILING((DATE(crono_ano_ref,9,1)-Planos!$G50)/Planos!$E50,1)*Planos!$E50))/Planos!$E50)+1)))</f>
      </c>
      <c r="O52" s="44">
        <f>IF(OR(Planos!$A50="",NOT(ISNUMBER(Planos!$G50)),N(Planos!$E50)&lt;=0),0,IF(Planos!$G50&gt;EOMONTH(DATE(crono_ano_ref,10,1),0),0,MAX(0,INT((EOMONTH(DATE(crono_ano_ref,10,1),0)-IF(Planos!$G50&gt;=DATE(crono_ano_ref,10,1),Planos!$G50,Planos!$G50+CEILING((DATE(crono_ano_ref,10,1)-Planos!$G50)/Planos!$E50,1)*Planos!$E50))/Planos!$E50)+1)))</f>
      </c>
      <c r="P52" s="44">
        <f>IF(OR(Planos!$A50="",NOT(ISNUMBER(Planos!$G50)),N(Planos!$E50)&lt;=0),0,IF(Planos!$G50&gt;EOMONTH(DATE(crono_ano_ref,11,1),0),0,MAX(0,INT((EOMONTH(DATE(crono_ano_ref,11,1),0)-IF(Planos!$G50&gt;=DATE(crono_ano_ref,11,1),Planos!$G50,Planos!$G50+CEILING((DATE(crono_ano_ref,11,1)-Planos!$G50)/Planos!$E50,1)*Planos!$E50))/Planos!$E50)+1)))</f>
      </c>
      <c r="Q52" s="44">
        <f>IF(OR(Planos!$A50="",NOT(ISNUMBER(Planos!$G50)),N(Planos!$E50)&lt;=0),0,IF(Planos!$G50&gt;EOMONTH(DATE(crono_ano_ref,12,1),0),0,MAX(0,INT((EOMONTH(DATE(crono_ano_ref,12,1),0)-IF(Planos!$G50&gt;=DATE(crono_ano_ref,12,1),Planos!$G50,Planos!$G50+CEILING((DATE(crono_ano_ref,12,1)-Planos!$G50)/Planos!$E50,1)*Planos!$E50))/Planos!$E50)+1)))</f>
      </c>
      <c r="R52" s="44">
        <f>SUM(F52:Q52)</f>
      </c>
    </row>
    <row r="53" spans="1:18" x14ac:dyDescent="0.25">
      <c r="A53" s="24">
        <f>IF(Planos!$A51="","",Planos!A51&amp;"")</f>
      </c>
      <c r="B53" s="41">
        <f>IF(Planos!$A51="","",Planos!B51&amp;"")</f>
      </c>
      <c r="C53" s="24">
        <f>IF(Planos!$A51="","",Planos!C51&amp;"")</f>
      </c>
      <c r="D53" s="42">
        <f>IF(Planos!$A51="","",N(Planos!E51))</f>
      </c>
      <c r="E53" s="43">
        <f>IF(Planos!$A51="","",N(Planos!K51))</f>
      </c>
      <c r="F53" s="44">
        <f>IF(OR(Planos!$A51="",NOT(ISNUMBER(Planos!$G51)),N(Planos!$E51)&lt;=0),0,IF(Planos!$G51&gt;EOMONTH(DATE(crono_ano_ref,1,1),0),0,MAX(0,INT((EOMONTH(DATE(crono_ano_ref,1,1),0)-IF(Planos!$G51&gt;=DATE(crono_ano_ref,1,1),Planos!$G51,Planos!$G51+CEILING((DATE(crono_ano_ref,1,1)-Planos!$G51)/Planos!$E51,1)*Planos!$E51))/Planos!$E51)+1)))</f>
      </c>
      <c r="G53" s="44">
        <f>IF(OR(Planos!$A51="",NOT(ISNUMBER(Planos!$G51)),N(Planos!$E51)&lt;=0),0,IF(Planos!$G51&gt;EOMONTH(DATE(crono_ano_ref,2,1),0),0,MAX(0,INT((EOMONTH(DATE(crono_ano_ref,2,1),0)-IF(Planos!$G51&gt;=DATE(crono_ano_ref,2,1),Planos!$G51,Planos!$G51+CEILING((DATE(crono_ano_ref,2,1)-Planos!$G51)/Planos!$E51,1)*Planos!$E51))/Planos!$E51)+1)))</f>
      </c>
      <c r="H53" s="44">
        <f>IF(OR(Planos!$A51="",NOT(ISNUMBER(Planos!$G51)),N(Planos!$E51)&lt;=0),0,IF(Planos!$G51&gt;EOMONTH(DATE(crono_ano_ref,3,1),0),0,MAX(0,INT((EOMONTH(DATE(crono_ano_ref,3,1),0)-IF(Planos!$G51&gt;=DATE(crono_ano_ref,3,1),Planos!$G51,Planos!$G51+CEILING((DATE(crono_ano_ref,3,1)-Planos!$G51)/Planos!$E51,1)*Planos!$E51))/Planos!$E51)+1)))</f>
      </c>
      <c r="I53" s="44">
        <f>IF(OR(Planos!$A51="",NOT(ISNUMBER(Planos!$G51)),N(Planos!$E51)&lt;=0),0,IF(Planos!$G51&gt;EOMONTH(DATE(crono_ano_ref,4,1),0),0,MAX(0,INT((EOMONTH(DATE(crono_ano_ref,4,1),0)-IF(Planos!$G51&gt;=DATE(crono_ano_ref,4,1),Planos!$G51,Planos!$G51+CEILING((DATE(crono_ano_ref,4,1)-Planos!$G51)/Planos!$E51,1)*Planos!$E51))/Planos!$E51)+1)))</f>
      </c>
      <c r="J53" s="44">
        <f>IF(OR(Planos!$A51="",NOT(ISNUMBER(Planos!$G51)),N(Planos!$E51)&lt;=0),0,IF(Planos!$G51&gt;EOMONTH(DATE(crono_ano_ref,5,1),0),0,MAX(0,INT((EOMONTH(DATE(crono_ano_ref,5,1),0)-IF(Planos!$G51&gt;=DATE(crono_ano_ref,5,1),Planos!$G51,Planos!$G51+CEILING((DATE(crono_ano_ref,5,1)-Planos!$G51)/Planos!$E51,1)*Planos!$E51))/Planos!$E51)+1)))</f>
      </c>
      <c r="K53" s="44">
        <f>IF(OR(Planos!$A51="",NOT(ISNUMBER(Planos!$G51)),N(Planos!$E51)&lt;=0),0,IF(Planos!$G51&gt;EOMONTH(DATE(crono_ano_ref,6,1),0),0,MAX(0,INT((EOMONTH(DATE(crono_ano_ref,6,1),0)-IF(Planos!$G51&gt;=DATE(crono_ano_ref,6,1),Planos!$G51,Planos!$G51+CEILING((DATE(crono_ano_ref,6,1)-Planos!$G51)/Planos!$E51,1)*Planos!$E51))/Planos!$E51)+1)))</f>
      </c>
      <c r="L53" s="44">
        <f>IF(OR(Planos!$A51="",NOT(ISNUMBER(Planos!$G51)),N(Planos!$E51)&lt;=0),0,IF(Planos!$G51&gt;EOMONTH(DATE(crono_ano_ref,7,1),0),0,MAX(0,INT((EOMONTH(DATE(crono_ano_ref,7,1),0)-IF(Planos!$G51&gt;=DATE(crono_ano_ref,7,1),Planos!$G51,Planos!$G51+CEILING((DATE(crono_ano_ref,7,1)-Planos!$G51)/Planos!$E51,1)*Planos!$E51))/Planos!$E51)+1)))</f>
      </c>
      <c r="M53" s="44">
        <f>IF(OR(Planos!$A51="",NOT(ISNUMBER(Planos!$G51)),N(Planos!$E51)&lt;=0),0,IF(Planos!$G51&gt;EOMONTH(DATE(crono_ano_ref,8,1),0),0,MAX(0,INT((EOMONTH(DATE(crono_ano_ref,8,1),0)-IF(Planos!$G51&gt;=DATE(crono_ano_ref,8,1),Planos!$G51,Planos!$G51+CEILING((DATE(crono_ano_ref,8,1)-Planos!$G51)/Planos!$E51,1)*Planos!$E51))/Planos!$E51)+1)))</f>
      </c>
      <c r="N53" s="44">
        <f>IF(OR(Planos!$A51="",NOT(ISNUMBER(Planos!$G51)),N(Planos!$E51)&lt;=0),0,IF(Planos!$G51&gt;EOMONTH(DATE(crono_ano_ref,9,1),0),0,MAX(0,INT((EOMONTH(DATE(crono_ano_ref,9,1),0)-IF(Planos!$G51&gt;=DATE(crono_ano_ref,9,1),Planos!$G51,Planos!$G51+CEILING((DATE(crono_ano_ref,9,1)-Planos!$G51)/Planos!$E51,1)*Planos!$E51))/Planos!$E51)+1)))</f>
      </c>
      <c r="O53" s="44">
        <f>IF(OR(Planos!$A51="",NOT(ISNUMBER(Planos!$G51)),N(Planos!$E51)&lt;=0),0,IF(Planos!$G51&gt;EOMONTH(DATE(crono_ano_ref,10,1),0),0,MAX(0,INT((EOMONTH(DATE(crono_ano_ref,10,1),0)-IF(Planos!$G51&gt;=DATE(crono_ano_ref,10,1),Planos!$G51,Planos!$G51+CEILING((DATE(crono_ano_ref,10,1)-Planos!$G51)/Planos!$E51,1)*Planos!$E51))/Planos!$E51)+1)))</f>
      </c>
      <c r="P53" s="44">
        <f>IF(OR(Planos!$A51="",NOT(ISNUMBER(Planos!$G51)),N(Planos!$E51)&lt;=0),0,IF(Planos!$G51&gt;EOMONTH(DATE(crono_ano_ref,11,1),0),0,MAX(0,INT((EOMONTH(DATE(crono_ano_ref,11,1),0)-IF(Planos!$G51&gt;=DATE(crono_ano_ref,11,1),Planos!$G51,Planos!$G51+CEILING((DATE(crono_ano_ref,11,1)-Planos!$G51)/Planos!$E51,1)*Planos!$E51))/Planos!$E51)+1)))</f>
      </c>
      <c r="Q53" s="44">
        <f>IF(OR(Planos!$A51="",NOT(ISNUMBER(Planos!$G51)),N(Planos!$E51)&lt;=0),0,IF(Planos!$G51&gt;EOMONTH(DATE(crono_ano_ref,12,1),0),0,MAX(0,INT((EOMONTH(DATE(crono_ano_ref,12,1),0)-IF(Planos!$G51&gt;=DATE(crono_ano_ref,12,1),Planos!$G51,Planos!$G51+CEILING((DATE(crono_ano_ref,12,1)-Planos!$G51)/Planos!$E51,1)*Planos!$E51))/Planos!$E51)+1)))</f>
      </c>
      <c r="R53" s="44">
        <f>SUM(F53:Q53)</f>
      </c>
    </row>
    <row r="54" spans="1:18" x14ac:dyDescent="0.25">
      <c r="A54" s="24">
        <f>IF(Planos!$A52="","",Planos!A52&amp;"")</f>
      </c>
      <c r="B54" s="41">
        <f>IF(Planos!$A52="","",Planos!B52&amp;"")</f>
      </c>
      <c r="C54" s="24">
        <f>IF(Planos!$A52="","",Planos!C52&amp;"")</f>
      </c>
      <c r="D54" s="42">
        <f>IF(Planos!$A52="","",N(Planos!E52))</f>
      </c>
      <c r="E54" s="43">
        <f>IF(Planos!$A52="","",N(Planos!K52))</f>
      </c>
      <c r="F54" s="44">
        <f>IF(OR(Planos!$A52="",NOT(ISNUMBER(Planos!$G52)),N(Planos!$E52)&lt;=0),0,IF(Planos!$G52&gt;EOMONTH(DATE(crono_ano_ref,1,1),0),0,MAX(0,INT((EOMONTH(DATE(crono_ano_ref,1,1),0)-IF(Planos!$G52&gt;=DATE(crono_ano_ref,1,1),Planos!$G52,Planos!$G52+CEILING((DATE(crono_ano_ref,1,1)-Planos!$G52)/Planos!$E52,1)*Planos!$E52))/Planos!$E52)+1)))</f>
      </c>
      <c r="G54" s="44">
        <f>IF(OR(Planos!$A52="",NOT(ISNUMBER(Planos!$G52)),N(Planos!$E52)&lt;=0),0,IF(Planos!$G52&gt;EOMONTH(DATE(crono_ano_ref,2,1),0),0,MAX(0,INT((EOMONTH(DATE(crono_ano_ref,2,1),0)-IF(Planos!$G52&gt;=DATE(crono_ano_ref,2,1),Planos!$G52,Planos!$G52+CEILING((DATE(crono_ano_ref,2,1)-Planos!$G52)/Planos!$E52,1)*Planos!$E52))/Planos!$E52)+1)))</f>
      </c>
      <c r="H54" s="44">
        <f>IF(OR(Planos!$A52="",NOT(ISNUMBER(Planos!$G52)),N(Planos!$E52)&lt;=0),0,IF(Planos!$G52&gt;EOMONTH(DATE(crono_ano_ref,3,1),0),0,MAX(0,INT((EOMONTH(DATE(crono_ano_ref,3,1),0)-IF(Planos!$G52&gt;=DATE(crono_ano_ref,3,1),Planos!$G52,Planos!$G52+CEILING((DATE(crono_ano_ref,3,1)-Planos!$G52)/Planos!$E52,1)*Planos!$E52))/Planos!$E52)+1)))</f>
      </c>
      <c r="I54" s="44">
        <f>IF(OR(Planos!$A52="",NOT(ISNUMBER(Planos!$G52)),N(Planos!$E52)&lt;=0),0,IF(Planos!$G52&gt;EOMONTH(DATE(crono_ano_ref,4,1),0),0,MAX(0,INT((EOMONTH(DATE(crono_ano_ref,4,1),0)-IF(Planos!$G52&gt;=DATE(crono_ano_ref,4,1),Planos!$G52,Planos!$G52+CEILING((DATE(crono_ano_ref,4,1)-Planos!$G52)/Planos!$E52,1)*Planos!$E52))/Planos!$E52)+1)))</f>
      </c>
      <c r="J54" s="44">
        <f>IF(OR(Planos!$A52="",NOT(ISNUMBER(Planos!$G52)),N(Planos!$E52)&lt;=0),0,IF(Planos!$G52&gt;EOMONTH(DATE(crono_ano_ref,5,1),0),0,MAX(0,INT((EOMONTH(DATE(crono_ano_ref,5,1),0)-IF(Planos!$G52&gt;=DATE(crono_ano_ref,5,1),Planos!$G52,Planos!$G52+CEILING((DATE(crono_ano_ref,5,1)-Planos!$G52)/Planos!$E52,1)*Planos!$E52))/Planos!$E52)+1)))</f>
      </c>
      <c r="K54" s="44">
        <f>IF(OR(Planos!$A52="",NOT(ISNUMBER(Planos!$G52)),N(Planos!$E52)&lt;=0),0,IF(Planos!$G52&gt;EOMONTH(DATE(crono_ano_ref,6,1),0),0,MAX(0,INT((EOMONTH(DATE(crono_ano_ref,6,1),0)-IF(Planos!$G52&gt;=DATE(crono_ano_ref,6,1),Planos!$G52,Planos!$G52+CEILING((DATE(crono_ano_ref,6,1)-Planos!$G52)/Planos!$E52,1)*Planos!$E52))/Planos!$E52)+1)))</f>
      </c>
      <c r="L54" s="44">
        <f>IF(OR(Planos!$A52="",NOT(ISNUMBER(Planos!$G52)),N(Planos!$E52)&lt;=0),0,IF(Planos!$G52&gt;EOMONTH(DATE(crono_ano_ref,7,1),0),0,MAX(0,INT((EOMONTH(DATE(crono_ano_ref,7,1),0)-IF(Planos!$G52&gt;=DATE(crono_ano_ref,7,1),Planos!$G52,Planos!$G52+CEILING((DATE(crono_ano_ref,7,1)-Planos!$G52)/Planos!$E52,1)*Planos!$E52))/Planos!$E52)+1)))</f>
      </c>
      <c r="M54" s="44">
        <f>IF(OR(Planos!$A52="",NOT(ISNUMBER(Planos!$G52)),N(Planos!$E52)&lt;=0),0,IF(Planos!$G52&gt;EOMONTH(DATE(crono_ano_ref,8,1),0),0,MAX(0,INT((EOMONTH(DATE(crono_ano_ref,8,1),0)-IF(Planos!$G52&gt;=DATE(crono_ano_ref,8,1),Planos!$G52,Planos!$G52+CEILING((DATE(crono_ano_ref,8,1)-Planos!$G52)/Planos!$E52,1)*Planos!$E52))/Planos!$E52)+1)))</f>
      </c>
      <c r="N54" s="44">
        <f>IF(OR(Planos!$A52="",NOT(ISNUMBER(Planos!$G52)),N(Planos!$E52)&lt;=0),0,IF(Planos!$G52&gt;EOMONTH(DATE(crono_ano_ref,9,1),0),0,MAX(0,INT((EOMONTH(DATE(crono_ano_ref,9,1),0)-IF(Planos!$G52&gt;=DATE(crono_ano_ref,9,1),Planos!$G52,Planos!$G52+CEILING((DATE(crono_ano_ref,9,1)-Planos!$G52)/Planos!$E52,1)*Planos!$E52))/Planos!$E52)+1)))</f>
      </c>
      <c r="O54" s="44">
        <f>IF(OR(Planos!$A52="",NOT(ISNUMBER(Planos!$G52)),N(Planos!$E52)&lt;=0),0,IF(Planos!$G52&gt;EOMONTH(DATE(crono_ano_ref,10,1),0),0,MAX(0,INT((EOMONTH(DATE(crono_ano_ref,10,1),0)-IF(Planos!$G52&gt;=DATE(crono_ano_ref,10,1),Planos!$G52,Planos!$G52+CEILING((DATE(crono_ano_ref,10,1)-Planos!$G52)/Planos!$E52,1)*Planos!$E52))/Planos!$E52)+1)))</f>
      </c>
      <c r="P54" s="44">
        <f>IF(OR(Planos!$A52="",NOT(ISNUMBER(Planos!$G52)),N(Planos!$E52)&lt;=0),0,IF(Planos!$G52&gt;EOMONTH(DATE(crono_ano_ref,11,1),0),0,MAX(0,INT((EOMONTH(DATE(crono_ano_ref,11,1),0)-IF(Planos!$G52&gt;=DATE(crono_ano_ref,11,1),Planos!$G52,Planos!$G52+CEILING((DATE(crono_ano_ref,11,1)-Planos!$G52)/Planos!$E52,1)*Planos!$E52))/Planos!$E52)+1)))</f>
      </c>
      <c r="Q54" s="44">
        <f>IF(OR(Planos!$A52="",NOT(ISNUMBER(Planos!$G52)),N(Planos!$E52)&lt;=0),0,IF(Planos!$G52&gt;EOMONTH(DATE(crono_ano_ref,12,1),0),0,MAX(0,INT((EOMONTH(DATE(crono_ano_ref,12,1),0)-IF(Planos!$G52&gt;=DATE(crono_ano_ref,12,1),Planos!$G52,Planos!$G52+CEILING((DATE(crono_ano_ref,12,1)-Planos!$G52)/Planos!$E52,1)*Planos!$E52))/Planos!$E52)+1)))</f>
      </c>
      <c r="R54" s="44">
        <f>SUM(F54:Q54)</f>
      </c>
    </row>
    <row r="55" spans="1:18" x14ac:dyDescent="0.25">
      <c r="A55" s="24">
        <f>IF(Planos!$A53="","",Planos!A53&amp;"")</f>
      </c>
      <c r="B55" s="41">
        <f>IF(Planos!$A53="","",Planos!B53&amp;"")</f>
      </c>
      <c r="C55" s="24">
        <f>IF(Planos!$A53="","",Planos!C53&amp;"")</f>
      </c>
      <c r="D55" s="42">
        <f>IF(Planos!$A53="","",N(Planos!E53))</f>
      </c>
      <c r="E55" s="43">
        <f>IF(Planos!$A53="","",N(Planos!K53))</f>
      </c>
      <c r="F55" s="44">
        <f>IF(OR(Planos!$A53="",NOT(ISNUMBER(Planos!$G53)),N(Planos!$E53)&lt;=0),0,IF(Planos!$G53&gt;EOMONTH(DATE(crono_ano_ref,1,1),0),0,MAX(0,INT((EOMONTH(DATE(crono_ano_ref,1,1),0)-IF(Planos!$G53&gt;=DATE(crono_ano_ref,1,1),Planos!$G53,Planos!$G53+CEILING((DATE(crono_ano_ref,1,1)-Planos!$G53)/Planos!$E53,1)*Planos!$E53))/Planos!$E53)+1)))</f>
      </c>
      <c r="G55" s="44">
        <f>IF(OR(Planos!$A53="",NOT(ISNUMBER(Planos!$G53)),N(Planos!$E53)&lt;=0),0,IF(Planos!$G53&gt;EOMONTH(DATE(crono_ano_ref,2,1),0),0,MAX(0,INT((EOMONTH(DATE(crono_ano_ref,2,1),0)-IF(Planos!$G53&gt;=DATE(crono_ano_ref,2,1),Planos!$G53,Planos!$G53+CEILING((DATE(crono_ano_ref,2,1)-Planos!$G53)/Planos!$E53,1)*Planos!$E53))/Planos!$E53)+1)))</f>
      </c>
      <c r="H55" s="44">
        <f>IF(OR(Planos!$A53="",NOT(ISNUMBER(Planos!$G53)),N(Planos!$E53)&lt;=0),0,IF(Planos!$G53&gt;EOMONTH(DATE(crono_ano_ref,3,1),0),0,MAX(0,INT((EOMONTH(DATE(crono_ano_ref,3,1),0)-IF(Planos!$G53&gt;=DATE(crono_ano_ref,3,1),Planos!$G53,Planos!$G53+CEILING((DATE(crono_ano_ref,3,1)-Planos!$G53)/Planos!$E53,1)*Planos!$E53))/Planos!$E53)+1)))</f>
      </c>
      <c r="I55" s="44">
        <f>IF(OR(Planos!$A53="",NOT(ISNUMBER(Planos!$G53)),N(Planos!$E53)&lt;=0),0,IF(Planos!$G53&gt;EOMONTH(DATE(crono_ano_ref,4,1),0),0,MAX(0,INT((EOMONTH(DATE(crono_ano_ref,4,1),0)-IF(Planos!$G53&gt;=DATE(crono_ano_ref,4,1),Planos!$G53,Planos!$G53+CEILING((DATE(crono_ano_ref,4,1)-Planos!$G53)/Planos!$E53,1)*Planos!$E53))/Planos!$E53)+1)))</f>
      </c>
      <c r="J55" s="44">
        <f>IF(OR(Planos!$A53="",NOT(ISNUMBER(Planos!$G53)),N(Planos!$E53)&lt;=0),0,IF(Planos!$G53&gt;EOMONTH(DATE(crono_ano_ref,5,1),0),0,MAX(0,INT((EOMONTH(DATE(crono_ano_ref,5,1),0)-IF(Planos!$G53&gt;=DATE(crono_ano_ref,5,1),Planos!$G53,Planos!$G53+CEILING((DATE(crono_ano_ref,5,1)-Planos!$G53)/Planos!$E53,1)*Planos!$E53))/Planos!$E53)+1)))</f>
      </c>
      <c r="K55" s="44">
        <f>IF(OR(Planos!$A53="",NOT(ISNUMBER(Planos!$G53)),N(Planos!$E53)&lt;=0),0,IF(Planos!$G53&gt;EOMONTH(DATE(crono_ano_ref,6,1),0),0,MAX(0,INT((EOMONTH(DATE(crono_ano_ref,6,1),0)-IF(Planos!$G53&gt;=DATE(crono_ano_ref,6,1),Planos!$G53,Planos!$G53+CEILING((DATE(crono_ano_ref,6,1)-Planos!$G53)/Planos!$E53,1)*Planos!$E53))/Planos!$E53)+1)))</f>
      </c>
      <c r="L55" s="44">
        <f>IF(OR(Planos!$A53="",NOT(ISNUMBER(Planos!$G53)),N(Planos!$E53)&lt;=0),0,IF(Planos!$G53&gt;EOMONTH(DATE(crono_ano_ref,7,1),0),0,MAX(0,INT((EOMONTH(DATE(crono_ano_ref,7,1),0)-IF(Planos!$G53&gt;=DATE(crono_ano_ref,7,1),Planos!$G53,Planos!$G53+CEILING((DATE(crono_ano_ref,7,1)-Planos!$G53)/Planos!$E53,1)*Planos!$E53))/Planos!$E53)+1)))</f>
      </c>
      <c r="M55" s="44">
        <f>IF(OR(Planos!$A53="",NOT(ISNUMBER(Planos!$G53)),N(Planos!$E53)&lt;=0),0,IF(Planos!$G53&gt;EOMONTH(DATE(crono_ano_ref,8,1),0),0,MAX(0,INT((EOMONTH(DATE(crono_ano_ref,8,1),0)-IF(Planos!$G53&gt;=DATE(crono_ano_ref,8,1),Planos!$G53,Planos!$G53+CEILING((DATE(crono_ano_ref,8,1)-Planos!$G53)/Planos!$E53,1)*Planos!$E53))/Planos!$E53)+1)))</f>
      </c>
      <c r="N55" s="44">
        <f>IF(OR(Planos!$A53="",NOT(ISNUMBER(Planos!$G53)),N(Planos!$E53)&lt;=0),0,IF(Planos!$G53&gt;EOMONTH(DATE(crono_ano_ref,9,1),0),0,MAX(0,INT((EOMONTH(DATE(crono_ano_ref,9,1),0)-IF(Planos!$G53&gt;=DATE(crono_ano_ref,9,1),Planos!$G53,Planos!$G53+CEILING((DATE(crono_ano_ref,9,1)-Planos!$G53)/Planos!$E53,1)*Planos!$E53))/Planos!$E53)+1)))</f>
      </c>
      <c r="O55" s="44">
        <f>IF(OR(Planos!$A53="",NOT(ISNUMBER(Planos!$G53)),N(Planos!$E53)&lt;=0),0,IF(Planos!$G53&gt;EOMONTH(DATE(crono_ano_ref,10,1),0),0,MAX(0,INT((EOMONTH(DATE(crono_ano_ref,10,1),0)-IF(Planos!$G53&gt;=DATE(crono_ano_ref,10,1),Planos!$G53,Planos!$G53+CEILING((DATE(crono_ano_ref,10,1)-Planos!$G53)/Planos!$E53,1)*Planos!$E53))/Planos!$E53)+1)))</f>
      </c>
      <c r="P55" s="44">
        <f>IF(OR(Planos!$A53="",NOT(ISNUMBER(Planos!$G53)),N(Planos!$E53)&lt;=0),0,IF(Planos!$G53&gt;EOMONTH(DATE(crono_ano_ref,11,1),0),0,MAX(0,INT((EOMONTH(DATE(crono_ano_ref,11,1),0)-IF(Planos!$G53&gt;=DATE(crono_ano_ref,11,1),Planos!$G53,Planos!$G53+CEILING((DATE(crono_ano_ref,11,1)-Planos!$G53)/Planos!$E53,1)*Planos!$E53))/Planos!$E53)+1)))</f>
      </c>
      <c r="Q55" s="44">
        <f>IF(OR(Planos!$A53="",NOT(ISNUMBER(Planos!$G53)),N(Planos!$E53)&lt;=0),0,IF(Planos!$G53&gt;EOMONTH(DATE(crono_ano_ref,12,1),0),0,MAX(0,INT((EOMONTH(DATE(crono_ano_ref,12,1),0)-IF(Planos!$G53&gt;=DATE(crono_ano_ref,12,1),Planos!$G53,Planos!$G53+CEILING((DATE(crono_ano_ref,12,1)-Planos!$G53)/Planos!$E53,1)*Planos!$E53))/Planos!$E53)+1)))</f>
      </c>
      <c r="R55" s="44">
        <f>SUM(F55:Q55)</f>
      </c>
    </row>
    <row r="56" spans="1:18" x14ac:dyDescent="0.25">
      <c r="A56" s="24">
        <f>IF(Planos!$A54="","",Planos!A54&amp;"")</f>
      </c>
      <c r="B56" s="41">
        <f>IF(Planos!$A54="","",Planos!B54&amp;"")</f>
      </c>
      <c r="C56" s="24">
        <f>IF(Planos!$A54="","",Planos!C54&amp;"")</f>
      </c>
      <c r="D56" s="42">
        <f>IF(Planos!$A54="","",N(Planos!E54))</f>
      </c>
      <c r="E56" s="43">
        <f>IF(Planos!$A54="","",N(Planos!K54))</f>
      </c>
      <c r="F56" s="44">
        <f>IF(OR(Planos!$A54="",NOT(ISNUMBER(Planos!$G54)),N(Planos!$E54)&lt;=0),0,IF(Planos!$G54&gt;EOMONTH(DATE(crono_ano_ref,1,1),0),0,MAX(0,INT((EOMONTH(DATE(crono_ano_ref,1,1),0)-IF(Planos!$G54&gt;=DATE(crono_ano_ref,1,1),Planos!$G54,Planos!$G54+CEILING((DATE(crono_ano_ref,1,1)-Planos!$G54)/Planos!$E54,1)*Planos!$E54))/Planos!$E54)+1)))</f>
      </c>
      <c r="G56" s="44">
        <f>IF(OR(Planos!$A54="",NOT(ISNUMBER(Planos!$G54)),N(Planos!$E54)&lt;=0),0,IF(Planos!$G54&gt;EOMONTH(DATE(crono_ano_ref,2,1),0),0,MAX(0,INT((EOMONTH(DATE(crono_ano_ref,2,1),0)-IF(Planos!$G54&gt;=DATE(crono_ano_ref,2,1),Planos!$G54,Planos!$G54+CEILING((DATE(crono_ano_ref,2,1)-Planos!$G54)/Planos!$E54,1)*Planos!$E54))/Planos!$E54)+1)))</f>
      </c>
      <c r="H56" s="44">
        <f>IF(OR(Planos!$A54="",NOT(ISNUMBER(Planos!$G54)),N(Planos!$E54)&lt;=0),0,IF(Planos!$G54&gt;EOMONTH(DATE(crono_ano_ref,3,1),0),0,MAX(0,INT((EOMONTH(DATE(crono_ano_ref,3,1),0)-IF(Planos!$G54&gt;=DATE(crono_ano_ref,3,1),Planos!$G54,Planos!$G54+CEILING((DATE(crono_ano_ref,3,1)-Planos!$G54)/Planos!$E54,1)*Planos!$E54))/Planos!$E54)+1)))</f>
      </c>
      <c r="I56" s="44">
        <f>IF(OR(Planos!$A54="",NOT(ISNUMBER(Planos!$G54)),N(Planos!$E54)&lt;=0),0,IF(Planos!$G54&gt;EOMONTH(DATE(crono_ano_ref,4,1),0),0,MAX(0,INT((EOMONTH(DATE(crono_ano_ref,4,1),0)-IF(Planos!$G54&gt;=DATE(crono_ano_ref,4,1),Planos!$G54,Planos!$G54+CEILING((DATE(crono_ano_ref,4,1)-Planos!$G54)/Planos!$E54,1)*Planos!$E54))/Planos!$E54)+1)))</f>
      </c>
      <c r="J56" s="44">
        <f>IF(OR(Planos!$A54="",NOT(ISNUMBER(Planos!$G54)),N(Planos!$E54)&lt;=0),0,IF(Planos!$G54&gt;EOMONTH(DATE(crono_ano_ref,5,1),0),0,MAX(0,INT((EOMONTH(DATE(crono_ano_ref,5,1),0)-IF(Planos!$G54&gt;=DATE(crono_ano_ref,5,1),Planos!$G54,Planos!$G54+CEILING((DATE(crono_ano_ref,5,1)-Planos!$G54)/Planos!$E54,1)*Planos!$E54))/Planos!$E54)+1)))</f>
      </c>
      <c r="K56" s="44">
        <f>IF(OR(Planos!$A54="",NOT(ISNUMBER(Planos!$G54)),N(Planos!$E54)&lt;=0),0,IF(Planos!$G54&gt;EOMONTH(DATE(crono_ano_ref,6,1),0),0,MAX(0,INT((EOMONTH(DATE(crono_ano_ref,6,1),0)-IF(Planos!$G54&gt;=DATE(crono_ano_ref,6,1),Planos!$G54,Planos!$G54+CEILING((DATE(crono_ano_ref,6,1)-Planos!$G54)/Planos!$E54,1)*Planos!$E54))/Planos!$E54)+1)))</f>
      </c>
      <c r="L56" s="44">
        <f>IF(OR(Planos!$A54="",NOT(ISNUMBER(Planos!$G54)),N(Planos!$E54)&lt;=0),0,IF(Planos!$G54&gt;EOMONTH(DATE(crono_ano_ref,7,1),0),0,MAX(0,INT((EOMONTH(DATE(crono_ano_ref,7,1),0)-IF(Planos!$G54&gt;=DATE(crono_ano_ref,7,1),Planos!$G54,Planos!$G54+CEILING((DATE(crono_ano_ref,7,1)-Planos!$G54)/Planos!$E54,1)*Planos!$E54))/Planos!$E54)+1)))</f>
      </c>
      <c r="M56" s="44">
        <f>IF(OR(Planos!$A54="",NOT(ISNUMBER(Planos!$G54)),N(Planos!$E54)&lt;=0),0,IF(Planos!$G54&gt;EOMONTH(DATE(crono_ano_ref,8,1),0),0,MAX(0,INT((EOMONTH(DATE(crono_ano_ref,8,1),0)-IF(Planos!$G54&gt;=DATE(crono_ano_ref,8,1),Planos!$G54,Planos!$G54+CEILING((DATE(crono_ano_ref,8,1)-Planos!$G54)/Planos!$E54,1)*Planos!$E54))/Planos!$E54)+1)))</f>
      </c>
      <c r="N56" s="44">
        <f>IF(OR(Planos!$A54="",NOT(ISNUMBER(Planos!$G54)),N(Planos!$E54)&lt;=0),0,IF(Planos!$G54&gt;EOMONTH(DATE(crono_ano_ref,9,1),0),0,MAX(0,INT((EOMONTH(DATE(crono_ano_ref,9,1),0)-IF(Planos!$G54&gt;=DATE(crono_ano_ref,9,1),Planos!$G54,Planos!$G54+CEILING((DATE(crono_ano_ref,9,1)-Planos!$G54)/Planos!$E54,1)*Planos!$E54))/Planos!$E54)+1)))</f>
      </c>
      <c r="O56" s="44">
        <f>IF(OR(Planos!$A54="",NOT(ISNUMBER(Planos!$G54)),N(Planos!$E54)&lt;=0),0,IF(Planos!$G54&gt;EOMONTH(DATE(crono_ano_ref,10,1),0),0,MAX(0,INT((EOMONTH(DATE(crono_ano_ref,10,1),0)-IF(Planos!$G54&gt;=DATE(crono_ano_ref,10,1),Planos!$G54,Planos!$G54+CEILING((DATE(crono_ano_ref,10,1)-Planos!$G54)/Planos!$E54,1)*Planos!$E54))/Planos!$E54)+1)))</f>
      </c>
      <c r="P56" s="44">
        <f>IF(OR(Planos!$A54="",NOT(ISNUMBER(Planos!$G54)),N(Planos!$E54)&lt;=0),0,IF(Planos!$G54&gt;EOMONTH(DATE(crono_ano_ref,11,1),0),0,MAX(0,INT((EOMONTH(DATE(crono_ano_ref,11,1),0)-IF(Planos!$G54&gt;=DATE(crono_ano_ref,11,1),Planos!$G54,Planos!$G54+CEILING((DATE(crono_ano_ref,11,1)-Planos!$G54)/Planos!$E54,1)*Planos!$E54))/Planos!$E54)+1)))</f>
      </c>
      <c r="Q56" s="44">
        <f>IF(OR(Planos!$A54="",NOT(ISNUMBER(Planos!$G54)),N(Planos!$E54)&lt;=0),0,IF(Planos!$G54&gt;EOMONTH(DATE(crono_ano_ref,12,1),0),0,MAX(0,INT((EOMONTH(DATE(crono_ano_ref,12,1),0)-IF(Planos!$G54&gt;=DATE(crono_ano_ref,12,1),Planos!$G54,Planos!$G54+CEILING((DATE(crono_ano_ref,12,1)-Planos!$G54)/Planos!$E54,1)*Planos!$E54))/Planos!$E54)+1)))</f>
      </c>
      <c r="R56" s="44">
        <f>SUM(F56:Q56)</f>
      </c>
    </row>
    <row r="57" spans="1:18" x14ac:dyDescent="0.25">
      <c r="A57" s="24">
        <f>IF(Planos!$A55="","",Planos!A55&amp;"")</f>
      </c>
      <c r="B57" s="41">
        <f>IF(Planos!$A55="","",Planos!B55&amp;"")</f>
      </c>
      <c r="C57" s="24">
        <f>IF(Planos!$A55="","",Planos!C55&amp;"")</f>
      </c>
      <c r="D57" s="42">
        <f>IF(Planos!$A55="","",N(Planos!E55))</f>
      </c>
      <c r="E57" s="43">
        <f>IF(Planos!$A55="","",N(Planos!K55))</f>
      </c>
      <c r="F57" s="44">
        <f>IF(OR(Planos!$A55="",NOT(ISNUMBER(Planos!$G55)),N(Planos!$E55)&lt;=0),0,IF(Planos!$G55&gt;EOMONTH(DATE(crono_ano_ref,1,1),0),0,MAX(0,INT((EOMONTH(DATE(crono_ano_ref,1,1),0)-IF(Planos!$G55&gt;=DATE(crono_ano_ref,1,1),Planos!$G55,Planos!$G55+CEILING((DATE(crono_ano_ref,1,1)-Planos!$G55)/Planos!$E55,1)*Planos!$E55))/Planos!$E55)+1)))</f>
      </c>
      <c r="G57" s="44">
        <f>IF(OR(Planos!$A55="",NOT(ISNUMBER(Planos!$G55)),N(Planos!$E55)&lt;=0),0,IF(Planos!$G55&gt;EOMONTH(DATE(crono_ano_ref,2,1),0),0,MAX(0,INT((EOMONTH(DATE(crono_ano_ref,2,1),0)-IF(Planos!$G55&gt;=DATE(crono_ano_ref,2,1),Planos!$G55,Planos!$G55+CEILING((DATE(crono_ano_ref,2,1)-Planos!$G55)/Planos!$E55,1)*Planos!$E55))/Planos!$E55)+1)))</f>
      </c>
      <c r="H57" s="44">
        <f>IF(OR(Planos!$A55="",NOT(ISNUMBER(Planos!$G55)),N(Planos!$E55)&lt;=0),0,IF(Planos!$G55&gt;EOMONTH(DATE(crono_ano_ref,3,1),0),0,MAX(0,INT((EOMONTH(DATE(crono_ano_ref,3,1),0)-IF(Planos!$G55&gt;=DATE(crono_ano_ref,3,1),Planos!$G55,Planos!$G55+CEILING((DATE(crono_ano_ref,3,1)-Planos!$G55)/Planos!$E55,1)*Planos!$E55))/Planos!$E55)+1)))</f>
      </c>
      <c r="I57" s="44">
        <f>IF(OR(Planos!$A55="",NOT(ISNUMBER(Planos!$G55)),N(Planos!$E55)&lt;=0),0,IF(Planos!$G55&gt;EOMONTH(DATE(crono_ano_ref,4,1),0),0,MAX(0,INT((EOMONTH(DATE(crono_ano_ref,4,1),0)-IF(Planos!$G55&gt;=DATE(crono_ano_ref,4,1),Planos!$G55,Planos!$G55+CEILING((DATE(crono_ano_ref,4,1)-Planos!$G55)/Planos!$E55,1)*Planos!$E55))/Planos!$E55)+1)))</f>
      </c>
      <c r="J57" s="44">
        <f>IF(OR(Planos!$A55="",NOT(ISNUMBER(Planos!$G55)),N(Planos!$E55)&lt;=0),0,IF(Planos!$G55&gt;EOMONTH(DATE(crono_ano_ref,5,1),0),0,MAX(0,INT((EOMONTH(DATE(crono_ano_ref,5,1),0)-IF(Planos!$G55&gt;=DATE(crono_ano_ref,5,1),Planos!$G55,Planos!$G55+CEILING((DATE(crono_ano_ref,5,1)-Planos!$G55)/Planos!$E55,1)*Planos!$E55))/Planos!$E55)+1)))</f>
      </c>
      <c r="K57" s="44">
        <f>IF(OR(Planos!$A55="",NOT(ISNUMBER(Planos!$G55)),N(Planos!$E55)&lt;=0),0,IF(Planos!$G55&gt;EOMONTH(DATE(crono_ano_ref,6,1),0),0,MAX(0,INT((EOMONTH(DATE(crono_ano_ref,6,1),0)-IF(Planos!$G55&gt;=DATE(crono_ano_ref,6,1),Planos!$G55,Planos!$G55+CEILING((DATE(crono_ano_ref,6,1)-Planos!$G55)/Planos!$E55,1)*Planos!$E55))/Planos!$E55)+1)))</f>
      </c>
      <c r="L57" s="44">
        <f>IF(OR(Planos!$A55="",NOT(ISNUMBER(Planos!$G55)),N(Planos!$E55)&lt;=0),0,IF(Planos!$G55&gt;EOMONTH(DATE(crono_ano_ref,7,1),0),0,MAX(0,INT((EOMONTH(DATE(crono_ano_ref,7,1),0)-IF(Planos!$G55&gt;=DATE(crono_ano_ref,7,1),Planos!$G55,Planos!$G55+CEILING((DATE(crono_ano_ref,7,1)-Planos!$G55)/Planos!$E55,1)*Planos!$E55))/Planos!$E55)+1)))</f>
      </c>
      <c r="M57" s="44">
        <f>IF(OR(Planos!$A55="",NOT(ISNUMBER(Planos!$G55)),N(Planos!$E55)&lt;=0),0,IF(Planos!$G55&gt;EOMONTH(DATE(crono_ano_ref,8,1),0),0,MAX(0,INT((EOMONTH(DATE(crono_ano_ref,8,1),0)-IF(Planos!$G55&gt;=DATE(crono_ano_ref,8,1),Planos!$G55,Planos!$G55+CEILING((DATE(crono_ano_ref,8,1)-Planos!$G55)/Planos!$E55,1)*Planos!$E55))/Planos!$E55)+1)))</f>
      </c>
      <c r="N57" s="44">
        <f>IF(OR(Planos!$A55="",NOT(ISNUMBER(Planos!$G55)),N(Planos!$E55)&lt;=0),0,IF(Planos!$G55&gt;EOMONTH(DATE(crono_ano_ref,9,1),0),0,MAX(0,INT((EOMONTH(DATE(crono_ano_ref,9,1),0)-IF(Planos!$G55&gt;=DATE(crono_ano_ref,9,1),Planos!$G55,Planos!$G55+CEILING((DATE(crono_ano_ref,9,1)-Planos!$G55)/Planos!$E55,1)*Planos!$E55))/Planos!$E55)+1)))</f>
      </c>
      <c r="O57" s="44">
        <f>IF(OR(Planos!$A55="",NOT(ISNUMBER(Planos!$G55)),N(Planos!$E55)&lt;=0),0,IF(Planos!$G55&gt;EOMONTH(DATE(crono_ano_ref,10,1),0),0,MAX(0,INT((EOMONTH(DATE(crono_ano_ref,10,1),0)-IF(Planos!$G55&gt;=DATE(crono_ano_ref,10,1),Planos!$G55,Planos!$G55+CEILING((DATE(crono_ano_ref,10,1)-Planos!$G55)/Planos!$E55,1)*Planos!$E55))/Planos!$E55)+1)))</f>
      </c>
      <c r="P57" s="44">
        <f>IF(OR(Planos!$A55="",NOT(ISNUMBER(Planos!$G55)),N(Planos!$E55)&lt;=0),0,IF(Planos!$G55&gt;EOMONTH(DATE(crono_ano_ref,11,1),0),0,MAX(0,INT((EOMONTH(DATE(crono_ano_ref,11,1),0)-IF(Planos!$G55&gt;=DATE(crono_ano_ref,11,1),Planos!$G55,Planos!$G55+CEILING((DATE(crono_ano_ref,11,1)-Planos!$G55)/Planos!$E55,1)*Planos!$E55))/Planos!$E55)+1)))</f>
      </c>
      <c r="Q57" s="44">
        <f>IF(OR(Planos!$A55="",NOT(ISNUMBER(Planos!$G55)),N(Planos!$E55)&lt;=0),0,IF(Planos!$G55&gt;EOMONTH(DATE(crono_ano_ref,12,1),0),0,MAX(0,INT((EOMONTH(DATE(crono_ano_ref,12,1),0)-IF(Planos!$G55&gt;=DATE(crono_ano_ref,12,1),Planos!$G55,Planos!$G55+CEILING((DATE(crono_ano_ref,12,1)-Planos!$G55)/Planos!$E55,1)*Planos!$E55))/Planos!$E55)+1)))</f>
      </c>
      <c r="R57" s="44">
        <f>SUM(F57:Q57)</f>
      </c>
    </row>
    <row r="58" spans="1:18" x14ac:dyDescent="0.25">
      <c r="A58" s="24">
        <f>IF(Planos!$A56="","",Planos!A56&amp;"")</f>
      </c>
      <c r="B58" s="41">
        <f>IF(Planos!$A56="","",Planos!B56&amp;"")</f>
      </c>
      <c r="C58" s="24">
        <f>IF(Planos!$A56="","",Planos!C56&amp;"")</f>
      </c>
      <c r="D58" s="42">
        <f>IF(Planos!$A56="","",N(Planos!E56))</f>
      </c>
      <c r="E58" s="43">
        <f>IF(Planos!$A56="","",N(Planos!K56))</f>
      </c>
      <c r="F58" s="44">
        <f>IF(OR(Planos!$A56="",NOT(ISNUMBER(Planos!$G56)),N(Planos!$E56)&lt;=0),0,IF(Planos!$G56&gt;EOMONTH(DATE(crono_ano_ref,1,1),0),0,MAX(0,INT((EOMONTH(DATE(crono_ano_ref,1,1),0)-IF(Planos!$G56&gt;=DATE(crono_ano_ref,1,1),Planos!$G56,Planos!$G56+CEILING((DATE(crono_ano_ref,1,1)-Planos!$G56)/Planos!$E56,1)*Planos!$E56))/Planos!$E56)+1)))</f>
      </c>
      <c r="G58" s="44">
        <f>IF(OR(Planos!$A56="",NOT(ISNUMBER(Planos!$G56)),N(Planos!$E56)&lt;=0),0,IF(Planos!$G56&gt;EOMONTH(DATE(crono_ano_ref,2,1),0),0,MAX(0,INT((EOMONTH(DATE(crono_ano_ref,2,1),0)-IF(Planos!$G56&gt;=DATE(crono_ano_ref,2,1),Planos!$G56,Planos!$G56+CEILING((DATE(crono_ano_ref,2,1)-Planos!$G56)/Planos!$E56,1)*Planos!$E56))/Planos!$E56)+1)))</f>
      </c>
      <c r="H58" s="44">
        <f>IF(OR(Planos!$A56="",NOT(ISNUMBER(Planos!$G56)),N(Planos!$E56)&lt;=0),0,IF(Planos!$G56&gt;EOMONTH(DATE(crono_ano_ref,3,1),0),0,MAX(0,INT((EOMONTH(DATE(crono_ano_ref,3,1),0)-IF(Planos!$G56&gt;=DATE(crono_ano_ref,3,1),Planos!$G56,Planos!$G56+CEILING((DATE(crono_ano_ref,3,1)-Planos!$G56)/Planos!$E56,1)*Planos!$E56))/Planos!$E56)+1)))</f>
      </c>
      <c r="I58" s="44">
        <f>IF(OR(Planos!$A56="",NOT(ISNUMBER(Planos!$G56)),N(Planos!$E56)&lt;=0),0,IF(Planos!$G56&gt;EOMONTH(DATE(crono_ano_ref,4,1),0),0,MAX(0,INT((EOMONTH(DATE(crono_ano_ref,4,1),0)-IF(Planos!$G56&gt;=DATE(crono_ano_ref,4,1),Planos!$G56,Planos!$G56+CEILING((DATE(crono_ano_ref,4,1)-Planos!$G56)/Planos!$E56,1)*Planos!$E56))/Planos!$E56)+1)))</f>
      </c>
      <c r="J58" s="44">
        <f>IF(OR(Planos!$A56="",NOT(ISNUMBER(Planos!$G56)),N(Planos!$E56)&lt;=0),0,IF(Planos!$G56&gt;EOMONTH(DATE(crono_ano_ref,5,1),0),0,MAX(0,INT((EOMONTH(DATE(crono_ano_ref,5,1),0)-IF(Planos!$G56&gt;=DATE(crono_ano_ref,5,1),Planos!$G56,Planos!$G56+CEILING((DATE(crono_ano_ref,5,1)-Planos!$G56)/Planos!$E56,1)*Planos!$E56))/Planos!$E56)+1)))</f>
      </c>
      <c r="K58" s="44">
        <f>IF(OR(Planos!$A56="",NOT(ISNUMBER(Planos!$G56)),N(Planos!$E56)&lt;=0),0,IF(Planos!$G56&gt;EOMONTH(DATE(crono_ano_ref,6,1),0),0,MAX(0,INT((EOMONTH(DATE(crono_ano_ref,6,1),0)-IF(Planos!$G56&gt;=DATE(crono_ano_ref,6,1),Planos!$G56,Planos!$G56+CEILING((DATE(crono_ano_ref,6,1)-Planos!$G56)/Planos!$E56,1)*Planos!$E56))/Planos!$E56)+1)))</f>
      </c>
      <c r="L58" s="44">
        <f>IF(OR(Planos!$A56="",NOT(ISNUMBER(Planos!$G56)),N(Planos!$E56)&lt;=0),0,IF(Planos!$G56&gt;EOMONTH(DATE(crono_ano_ref,7,1),0),0,MAX(0,INT((EOMONTH(DATE(crono_ano_ref,7,1),0)-IF(Planos!$G56&gt;=DATE(crono_ano_ref,7,1),Planos!$G56,Planos!$G56+CEILING((DATE(crono_ano_ref,7,1)-Planos!$G56)/Planos!$E56,1)*Planos!$E56))/Planos!$E56)+1)))</f>
      </c>
      <c r="M58" s="44">
        <f>IF(OR(Planos!$A56="",NOT(ISNUMBER(Planos!$G56)),N(Planos!$E56)&lt;=0),0,IF(Planos!$G56&gt;EOMONTH(DATE(crono_ano_ref,8,1),0),0,MAX(0,INT((EOMONTH(DATE(crono_ano_ref,8,1),0)-IF(Planos!$G56&gt;=DATE(crono_ano_ref,8,1),Planos!$G56,Planos!$G56+CEILING((DATE(crono_ano_ref,8,1)-Planos!$G56)/Planos!$E56,1)*Planos!$E56))/Planos!$E56)+1)))</f>
      </c>
      <c r="N58" s="44">
        <f>IF(OR(Planos!$A56="",NOT(ISNUMBER(Planos!$G56)),N(Planos!$E56)&lt;=0),0,IF(Planos!$G56&gt;EOMONTH(DATE(crono_ano_ref,9,1),0),0,MAX(0,INT((EOMONTH(DATE(crono_ano_ref,9,1),0)-IF(Planos!$G56&gt;=DATE(crono_ano_ref,9,1),Planos!$G56,Planos!$G56+CEILING((DATE(crono_ano_ref,9,1)-Planos!$G56)/Planos!$E56,1)*Planos!$E56))/Planos!$E56)+1)))</f>
      </c>
      <c r="O58" s="44">
        <f>IF(OR(Planos!$A56="",NOT(ISNUMBER(Planos!$G56)),N(Planos!$E56)&lt;=0),0,IF(Planos!$G56&gt;EOMONTH(DATE(crono_ano_ref,10,1),0),0,MAX(0,INT((EOMONTH(DATE(crono_ano_ref,10,1),0)-IF(Planos!$G56&gt;=DATE(crono_ano_ref,10,1),Planos!$G56,Planos!$G56+CEILING((DATE(crono_ano_ref,10,1)-Planos!$G56)/Planos!$E56,1)*Planos!$E56))/Planos!$E56)+1)))</f>
      </c>
      <c r="P58" s="44">
        <f>IF(OR(Planos!$A56="",NOT(ISNUMBER(Planos!$G56)),N(Planos!$E56)&lt;=0),0,IF(Planos!$G56&gt;EOMONTH(DATE(crono_ano_ref,11,1),0),0,MAX(0,INT((EOMONTH(DATE(crono_ano_ref,11,1),0)-IF(Planos!$G56&gt;=DATE(crono_ano_ref,11,1),Planos!$G56,Planos!$G56+CEILING((DATE(crono_ano_ref,11,1)-Planos!$G56)/Planos!$E56,1)*Planos!$E56))/Planos!$E56)+1)))</f>
      </c>
      <c r="Q58" s="44">
        <f>IF(OR(Planos!$A56="",NOT(ISNUMBER(Planos!$G56)),N(Planos!$E56)&lt;=0),0,IF(Planos!$G56&gt;EOMONTH(DATE(crono_ano_ref,12,1),0),0,MAX(0,INT((EOMONTH(DATE(crono_ano_ref,12,1),0)-IF(Planos!$G56&gt;=DATE(crono_ano_ref,12,1),Planos!$G56,Planos!$G56+CEILING((DATE(crono_ano_ref,12,1)-Planos!$G56)/Planos!$E56,1)*Planos!$E56))/Planos!$E56)+1)))</f>
      </c>
      <c r="R58" s="44">
        <f>SUM(F58:Q58)</f>
      </c>
    </row>
    <row r="59" spans="1:18" x14ac:dyDescent="0.25">
      <c r="A59" s="24">
        <f>IF(Planos!$A57="","",Planos!A57&amp;"")</f>
      </c>
      <c r="B59" s="41">
        <f>IF(Planos!$A57="","",Planos!B57&amp;"")</f>
      </c>
      <c r="C59" s="24">
        <f>IF(Planos!$A57="","",Planos!C57&amp;"")</f>
      </c>
      <c r="D59" s="42">
        <f>IF(Planos!$A57="","",N(Planos!E57))</f>
      </c>
      <c r="E59" s="43">
        <f>IF(Planos!$A57="","",N(Planos!K57))</f>
      </c>
      <c r="F59" s="44">
        <f>IF(OR(Planos!$A57="",NOT(ISNUMBER(Planos!$G57)),N(Planos!$E57)&lt;=0),0,IF(Planos!$G57&gt;EOMONTH(DATE(crono_ano_ref,1,1),0),0,MAX(0,INT((EOMONTH(DATE(crono_ano_ref,1,1),0)-IF(Planos!$G57&gt;=DATE(crono_ano_ref,1,1),Planos!$G57,Planos!$G57+CEILING((DATE(crono_ano_ref,1,1)-Planos!$G57)/Planos!$E57,1)*Planos!$E57))/Planos!$E57)+1)))</f>
      </c>
      <c r="G59" s="44">
        <f>IF(OR(Planos!$A57="",NOT(ISNUMBER(Planos!$G57)),N(Planos!$E57)&lt;=0),0,IF(Planos!$G57&gt;EOMONTH(DATE(crono_ano_ref,2,1),0),0,MAX(0,INT((EOMONTH(DATE(crono_ano_ref,2,1),0)-IF(Planos!$G57&gt;=DATE(crono_ano_ref,2,1),Planos!$G57,Planos!$G57+CEILING((DATE(crono_ano_ref,2,1)-Planos!$G57)/Planos!$E57,1)*Planos!$E57))/Planos!$E57)+1)))</f>
      </c>
      <c r="H59" s="44">
        <f>IF(OR(Planos!$A57="",NOT(ISNUMBER(Planos!$G57)),N(Planos!$E57)&lt;=0),0,IF(Planos!$G57&gt;EOMONTH(DATE(crono_ano_ref,3,1),0),0,MAX(0,INT((EOMONTH(DATE(crono_ano_ref,3,1),0)-IF(Planos!$G57&gt;=DATE(crono_ano_ref,3,1),Planos!$G57,Planos!$G57+CEILING((DATE(crono_ano_ref,3,1)-Planos!$G57)/Planos!$E57,1)*Planos!$E57))/Planos!$E57)+1)))</f>
      </c>
      <c r="I59" s="44">
        <f>IF(OR(Planos!$A57="",NOT(ISNUMBER(Planos!$G57)),N(Planos!$E57)&lt;=0),0,IF(Planos!$G57&gt;EOMONTH(DATE(crono_ano_ref,4,1),0),0,MAX(0,INT((EOMONTH(DATE(crono_ano_ref,4,1),0)-IF(Planos!$G57&gt;=DATE(crono_ano_ref,4,1),Planos!$G57,Planos!$G57+CEILING((DATE(crono_ano_ref,4,1)-Planos!$G57)/Planos!$E57,1)*Planos!$E57))/Planos!$E57)+1)))</f>
      </c>
      <c r="J59" s="44">
        <f>IF(OR(Planos!$A57="",NOT(ISNUMBER(Planos!$G57)),N(Planos!$E57)&lt;=0),0,IF(Planos!$G57&gt;EOMONTH(DATE(crono_ano_ref,5,1),0),0,MAX(0,INT((EOMONTH(DATE(crono_ano_ref,5,1),0)-IF(Planos!$G57&gt;=DATE(crono_ano_ref,5,1),Planos!$G57,Planos!$G57+CEILING((DATE(crono_ano_ref,5,1)-Planos!$G57)/Planos!$E57,1)*Planos!$E57))/Planos!$E57)+1)))</f>
      </c>
      <c r="K59" s="44">
        <f>IF(OR(Planos!$A57="",NOT(ISNUMBER(Planos!$G57)),N(Planos!$E57)&lt;=0),0,IF(Planos!$G57&gt;EOMONTH(DATE(crono_ano_ref,6,1),0),0,MAX(0,INT((EOMONTH(DATE(crono_ano_ref,6,1),0)-IF(Planos!$G57&gt;=DATE(crono_ano_ref,6,1),Planos!$G57,Planos!$G57+CEILING((DATE(crono_ano_ref,6,1)-Planos!$G57)/Planos!$E57,1)*Planos!$E57))/Planos!$E57)+1)))</f>
      </c>
      <c r="L59" s="44">
        <f>IF(OR(Planos!$A57="",NOT(ISNUMBER(Planos!$G57)),N(Planos!$E57)&lt;=0),0,IF(Planos!$G57&gt;EOMONTH(DATE(crono_ano_ref,7,1),0),0,MAX(0,INT((EOMONTH(DATE(crono_ano_ref,7,1),0)-IF(Planos!$G57&gt;=DATE(crono_ano_ref,7,1),Planos!$G57,Planos!$G57+CEILING((DATE(crono_ano_ref,7,1)-Planos!$G57)/Planos!$E57,1)*Planos!$E57))/Planos!$E57)+1)))</f>
      </c>
      <c r="M59" s="44">
        <f>IF(OR(Planos!$A57="",NOT(ISNUMBER(Planos!$G57)),N(Planos!$E57)&lt;=0),0,IF(Planos!$G57&gt;EOMONTH(DATE(crono_ano_ref,8,1),0),0,MAX(0,INT((EOMONTH(DATE(crono_ano_ref,8,1),0)-IF(Planos!$G57&gt;=DATE(crono_ano_ref,8,1),Planos!$G57,Planos!$G57+CEILING((DATE(crono_ano_ref,8,1)-Planos!$G57)/Planos!$E57,1)*Planos!$E57))/Planos!$E57)+1)))</f>
      </c>
      <c r="N59" s="44">
        <f>IF(OR(Planos!$A57="",NOT(ISNUMBER(Planos!$G57)),N(Planos!$E57)&lt;=0),0,IF(Planos!$G57&gt;EOMONTH(DATE(crono_ano_ref,9,1),0),0,MAX(0,INT((EOMONTH(DATE(crono_ano_ref,9,1),0)-IF(Planos!$G57&gt;=DATE(crono_ano_ref,9,1),Planos!$G57,Planos!$G57+CEILING((DATE(crono_ano_ref,9,1)-Planos!$G57)/Planos!$E57,1)*Planos!$E57))/Planos!$E57)+1)))</f>
      </c>
      <c r="O59" s="44">
        <f>IF(OR(Planos!$A57="",NOT(ISNUMBER(Planos!$G57)),N(Planos!$E57)&lt;=0),0,IF(Planos!$G57&gt;EOMONTH(DATE(crono_ano_ref,10,1),0),0,MAX(0,INT((EOMONTH(DATE(crono_ano_ref,10,1),0)-IF(Planos!$G57&gt;=DATE(crono_ano_ref,10,1),Planos!$G57,Planos!$G57+CEILING((DATE(crono_ano_ref,10,1)-Planos!$G57)/Planos!$E57,1)*Planos!$E57))/Planos!$E57)+1)))</f>
      </c>
      <c r="P59" s="44">
        <f>IF(OR(Planos!$A57="",NOT(ISNUMBER(Planos!$G57)),N(Planos!$E57)&lt;=0),0,IF(Planos!$G57&gt;EOMONTH(DATE(crono_ano_ref,11,1),0),0,MAX(0,INT((EOMONTH(DATE(crono_ano_ref,11,1),0)-IF(Planos!$G57&gt;=DATE(crono_ano_ref,11,1),Planos!$G57,Planos!$G57+CEILING((DATE(crono_ano_ref,11,1)-Planos!$G57)/Planos!$E57,1)*Planos!$E57))/Planos!$E57)+1)))</f>
      </c>
      <c r="Q59" s="44">
        <f>IF(OR(Planos!$A57="",NOT(ISNUMBER(Planos!$G57)),N(Planos!$E57)&lt;=0),0,IF(Planos!$G57&gt;EOMONTH(DATE(crono_ano_ref,12,1),0),0,MAX(0,INT((EOMONTH(DATE(crono_ano_ref,12,1),0)-IF(Planos!$G57&gt;=DATE(crono_ano_ref,12,1),Planos!$G57,Planos!$G57+CEILING((DATE(crono_ano_ref,12,1)-Planos!$G57)/Planos!$E57,1)*Planos!$E57))/Planos!$E57)+1)))</f>
      </c>
      <c r="R59" s="44">
        <f>SUM(F59:Q59)</f>
      </c>
    </row>
    <row r="60" spans="1:18" x14ac:dyDescent="0.25">
      <c r="A60" s="24">
        <f>IF(Planos!$A58="","",Planos!A58&amp;"")</f>
      </c>
      <c r="B60" s="41">
        <f>IF(Planos!$A58="","",Planos!B58&amp;"")</f>
      </c>
      <c r="C60" s="24">
        <f>IF(Planos!$A58="","",Planos!C58&amp;"")</f>
      </c>
      <c r="D60" s="42">
        <f>IF(Planos!$A58="","",N(Planos!E58))</f>
      </c>
      <c r="E60" s="43">
        <f>IF(Planos!$A58="","",N(Planos!K58))</f>
      </c>
      <c r="F60" s="44">
        <f>IF(OR(Planos!$A58="",NOT(ISNUMBER(Planos!$G58)),N(Planos!$E58)&lt;=0),0,IF(Planos!$G58&gt;EOMONTH(DATE(crono_ano_ref,1,1),0),0,MAX(0,INT((EOMONTH(DATE(crono_ano_ref,1,1),0)-IF(Planos!$G58&gt;=DATE(crono_ano_ref,1,1),Planos!$G58,Planos!$G58+CEILING((DATE(crono_ano_ref,1,1)-Planos!$G58)/Planos!$E58,1)*Planos!$E58))/Planos!$E58)+1)))</f>
      </c>
      <c r="G60" s="44">
        <f>IF(OR(Planos!$A58="",NOT(ISNUMBER(Planos!$G58)),N(Planos!$E58)&lt;=0),0,IF(Planos!$G58&gt;EOMONTH(DATE(crono_ano_ref,2,1),0),0,MAX(0,INT((EOMONTH(DATE(crono_ano_ref,2,1),0)-IF(Planos!$G58&gt;=DATE(crono_ano_ref,2,1),Planos!$G58,Planos!$G58+CEILING((DATE(crono_ano_ref,2,1)-Planos!$G58)/Planos!$E58,1)*Planos!$E58))/Planos!$E58)+1)))</f>
      </c>
      <c r="H60" s="44">
        <f>IF(OR(Planos!$A58="",NOT(ISNUMBER(Planos!$G58)),N(Planos!$E58)&lt;=0),0,IF(Planos!$G58&gt;EOMONTH(DATE(crono_ano_ref,3,1),0),0,MAX(0,INT((EOMONTH(DATE(crono_ano_ref,3,1),0)-IF(Planos!$G58&gt;=DATE(crono_ano_ref,3,1),Planos!$G58,Planos!$G58+CEILING((DATE(crono_ano_ref,3,1)-Planos!$G58)/Planos!$E58,1)*Planos!$E58))/Planos!$E58)+1)))</f>
      </c>
      <c r="I60" s="44">
        <f>IF(OR(Planos!$A58="",NOT(ISNUMBER(Planos!$G58)),N(Planos!$E58)&lt;=0),0,IF(Planos!$G58&gt;EOMONTH(DATE(crono_ano_ref,4,1),0),0,MAX(0,INT((EOMONTH(DATE(crono_ano_ref,4,1),0)-IF(Planos!$G58&gt;=DATE(crono_ano_ref,4,1),Planos!$G58,Planos!$G58+CEILING((DATE(crono_ano_ref,4,1)-Planos!$G58)/Planos!$E58,1)*Planos!$E58))/Planos!$E58)+1)))</f>
      </c>
      <c r="J60" s="44">
        <f>IF(OR(Planos!$A58="",NOT(ISNUMBER(Planos!$G58)),N(Planos!$E58)&lt;=0),0,IF(Planos!$G58&gt;EOMONTH(DATE(crono_ano_ref,5,1),0),0,MAX(0,INT((EOMONTH(DATE(crono_ano_ref,5,1),0)-IF(Planos!$G58&gt;=DATE(crono_ano_ref,5,1),Planos!$G58,Planos!$G58+CEILING((DATE(crono_ano_ref,5,1)-Planos!$G58)/Planos!$E58,1)*Planos!$E58))/Planos!$E58)+1)))</f>
      </c>
      <c r="K60" s="44">
        <f>IF(OR(Planos!$A58="",NOT(ISNUMBER(Planos!$G58)),N(Planos!$E58)&lt;=0),0,IF(Planos!$G58&gt;EOMONTH(DATE(crono_ano_ref,6,1),0),0,MAX(0,INT((EOMONTH(DATE(crono_ano_ref,6,1),0)-IF(Planos!$G58&gt;=DATE(crono_ano_ref,6,1),Planos!$G58,Planos!$G58+CEILING((DATE(crono_ano_ref,6,1)-Planos!$G58)/Planos!$E58,1)*Planos!$E58))/Planos!$E58)+1)))</f>
      </c>
      <c r="L60" s="44">
        <f>IF(OR(Planos!$A58="",NOT(ISNUMBER(Planos!$G58)),N(Planos!$E58)&lt;=0),0,IF(Planos!$G58&gt;EOMONTH(DATE(crono_ano_ref,7,1),0),0,MAX(0,INT((EOMONTH(DATE(crono_ano_ref,7,1),0)-IF(Planos!$G58&gt;=DATE(crono_ano_ref,7,1),Planos!$G58,Planos!$G58+CEILING((DATE(crono_ano_ref,7,1)-Planos!$G58)/Planos!$E58,1)*Planos!$E58))/Planos!$E58)+1)))</f>
      </c>
      <c r="M60" s="44">
        <f>IF(OR(Planos!$A58="",NOT(ISNUMBER(Planos!$G58)),N(Planos!$E58)&lt;=0),0,IF(Planos!$G58&gt;EOMONTH(DATE(crono_ano_ref,8,1),0),0,MAX(0,INT((EOMONTH(DATE(crono_ano_ref,8,1),0)-IF(Planos!$G58&gt;=DATE(crono_ano_ref,8,1),Planos!$G58,Planos!$G58+CEILING((DATE(crono_ano_ref,8,1)-Planos!$G58)/Planos!$E58,1)*Planos!$E58))/Planos!$E58)+1)))</f>
      </c>
      <c r="N60" s="44">
        <f>IF(OR(Planos!$A58="",NOT(ISNUMBER(Planos!$G58)),N(Planos!$E58)&lt;=0),0,IF(Planos!$G58&gt;EOMONTH(DATE(crono_ano_ref,9,1),0),0,MAX(0,INT((EOMONTH(DATE(crono_ano_ref,9,1),0)-IF(Planos!$G58&gt;=DATE(crono_ano_ref,9,1),Planos!$G58,Planos!$G58+CEILING((DATE(crono_ano_ref,9,1)-Planos!$G58)/Planos!$E58,1)*Planos!$E58))/Planos!$E58)+1)))</f>
      </c>
      <c r="O60" s="44">
        <f>IF(OR(Planos!$A58="",NOT(ISNUMBER(Planos!$G58)),N(Planos!$E58)&lt;=0),0,IF(Planos!$G58&gt;EOMONTH(DATE(crono_ano_ref,10,1),0),0,MAX(0,INT((EOMONTH(DATE(crono_ano_ref,10,1),0)-IF(Planos!$G58&gt;=DATE(crono_ano_ref,10,1),Planos!$G58,Planos!$G58+CEILING((DATE(crono_ano_ref,10,1)-Planos!$G58)/Planos!$E58,1)*Planos!$E58))/Planos!$E58)+1)))</f>
      </c>
      <c r="P60" s="44">
        <f>IF(OR(Planos!$A58="",NOT(ISNUMBER(Planos!$G58)),N(Planos!$E58)&lt;=0),0,IF(Planos!$G58&gt;EOMONTH(DATE(crono_ano_ref,11,1),0),0,MAX(0,INT((EOMONTH(DATE(crono_ano_ref,11,1),0)-IF(Planos!$G58&gt;=DATE(crono_ano_ref,11,1),Planos!$G58,Planos!$G58+CEILING((DATE(crono_ano_ref,11,1)-Planos!$G58)/Planos!$E58,1)*Planos!$E58))/Planos!$E58)+1)))</f>
      </c>
      <c r="Q60" s="44">
        <f>IF(OR(Planos!$A58="",NOT(ISNUMBER(Planos!$G58)),N(Planos!$E58)&lt;=0),0,IF(Planos!$G58&gt;EOMONTH(DATE(crono_ano_ref,12,1),0),0,MAX(0,INT((EOMONTH(DATE(crono_ano_ref,12,1),0)-IF(Planos!$G58&gt;=DATE(crono_ano_ref,12,1),Planos!$G58,Planos!$G58+CEILING((DATE(crono_ano_ref,12,1)-Planos!$G58)/Planos!$E58,1)*Planos!$E58))/Planos!$E58)+1)))</f>
      </c>
      <c r="R60" s="44">
        <f>SUM(F60:Q60)</f>
      </c>
    </row>
    <row r="61" spans="1:18" x14ac:dyDescent="0.25">
      <c r="A61" s="24">
        <f>IF(Planos!$A59="","",Planos!A59&amp;"")</f>
      </c>
      <c r="B61" s="41">
        <f>IF(Planos!$A59="","",Planos!B59&amp;"")</f>
      </c>
      <c r="C61" s="24">
        <f>IF(Planos!$A59="","",Planos!C59&amp;"")</f>
      </c>
      <c r="D61" s="42">
        <f>IF(Planos!$A59="","",N(Planos!E59))</f>
      </c>
      <c r="E61" s="43">
        <f>IF(Planos!$A59="","",N(Planos!K59))</f>
      </c>
      <c r="F61" s="44">
        <f>IF(OR(Planos!$A59="",NOT(ISNUMBER(Planos!$G59)),N(Planos!$E59)&lt;=0),0,IF(Planos!$G59&gt;EOMONTH(DATE(crono_ano_ref,1,1),0),0,MAX(0,INT((EOMONTH(DATE(crono_ano_ref,1,1),0)-IF(Planos!$G59&gt;=DATE(crono_ano_ref,1,1),Planos!$G59,Planos!$G59+CEILING((DATE(crono_ano_ref,1,1)-Planos!$G59)/Planos!$E59,1)*Planos!$E59))/Planos!$E59)+1)))</f>
      </c>
      <c r="G61" s="44">
        <f>IF(OR(Planos!$A59="",NOT(ISNUMBER(Planos!$G59)),N(Planos!$E59)&lt;=0),0,IF(Planos!$G59&gt;EOMONTH(DATE(crono_ano_ref,2,1),0),0,MAX(0,INT((EOMONTH(DATE(crono_ano_ref,2,1),0)-IF(Planos!$G59&gt;=DATE(crono_ano_ref,2,1),Planos!$G59,Planos!$G59+CEILING((DATE(crono_ano_ref,2,1)-Planos!$G59)/Planos!$E59,1)*Planos!$E59))/Planos!$E59)+1)))</f>
      </c>
      <c r="H61" s="44">
        <f>IF(OR(Planos!$A59="",NOT(ISNUMBER(Planos!$G59)),N(Planos!$E59)&lt;=0),0,IF(Planos!$G59&gt;EOMONTH(DATE(crono_ano_ref,3,1),0),0,MAX(0,INT((EOMONTH(DATE(crono_ano_ref,3,1),0)-IF(Planos!$G59&gt;=DATE(crono_ano_ref,3,1),Planos!$G59,Planos!$G59+CEILING((DATE(crono_ano_ref,3,1)-Planos!$G59)/Planos!$E59,1)*Planos!$E59))/Planos!$E59)+1)))</f>
      </c>
      <c r="I61" s="44">
        <f>IF(OR(Planos!$A59="",NOT(ISNUMBER(Planos!$G59)),N(Planos!$E59)&lt;=0),0,IF(Planos!$G59&gt;EOMONTH(DATE(crono_ano_ref,4,1),0),0,MAX(0,INT((EOMONTH(DATE(crono_ano_ref,4,1),0)-IF(Planos!$G59&gt;=DATE(crono_ano_ref,4,1),Planos!$G59,Planos!$G59+CEILING((DATE(crono_ano_ref,4,1)-Planos!$G59)/Planos!$E59,1)*Planos!$E59))/Planos!$E59)+1)))</f>
      </c>
      <c r="J61" s="44">
        <f>IF(OR(Planos!$A59="",NOT(ISNUMBER(Planos!$G59)),N(Planos!$E59)&lt;=0),0,IF(Planos!$G59&gt;EOMONTH(DATE(crono_ano_ref,5,1),0),0,MAX(0,INT((EOMONTH(DATE(crono_ano_ref,5,1),0)-IF(Planos!$G59&gt;=DATE(crono_ano_ref,5,1),Planos!$G59,Planos!$G59+CEILING((DATE(crono_ano_ref,5,1)-Planos!$G59)/Planos!$E59,1)*Planos!$E59))/Planos!$E59)+1)))</f>
      </c>
      <c r="K61" s="44">
        <f>IF(OR(Planos!$A59="",NOT(ISNUMBER(Planos!$G59)),N(Planos!$E59)&lt;=0),0,IF(Planos!$G59&gt;EOMONTH(DATE(crono_ano_ref,6,1),0),0,MAX(0,INT((EOMONTH(DATE(crono_ano_ref,6,1),0)-IF(Planos!$G59&gt;=DATE(crono_ano_ref,6,1),Planos!$G59,Planos!$G59+CEILING((DATE(crono_ano_ref,6,1)-Planos!$G59)/Planos!$E59,1)*Planos!$E59))/Planos!$E59)+1)))</f>
      </c>
      <c r="L61" s="44">
        <f>IF(OR(Planos!$A59="",NOT(ISNUMBER(Planos!$G59)),N(Planos!$E59)&lt;=0),0,IF(Planos!$G59&gt;EOMONTH(DATE(crono_ano_ref,7,1),0),0,MAX(0,INT((EOMONTH(DATE(crono_ano_ref,7,1),0)-IF(Planos!$G59&gt;=DATE(crono_ano_ref,7,1),Planos!$G59,Planos!$G59+CEILING((DATE(crono_ano_ref,7,1)-Planos!$G59)/Planos!$E59,1)*Planos!$E59))/Planos!$E59)+1)))</f>
      </c>
      <c r="M61" s="44">
        <f>IF(OR(Planos!$A59="",NOT(ISNUMBER(Planos!$G59)),N(Planos!$E59)&lt;=0),0,IF(Planos!$G59&gt;EOMONTH(DATE(crono_ano_ref,8,1),0),0,MAX(0,INT((EOMONTH(DATE(crono_ano_ref,8,1),0)-IF(Planos!$G59&gt;=DATE(crono_ano_ref,8,1),Planos!$G59,Planos!$G59+CEILING((DATE(crono_ano_ref,8,1)-Planos!$G59)/Planos!$E59,1)*Planos!$E59))/Planos!$E59)+1)))</f>
      </c>
      <c r="N61" s="44">
        <f>IF(OR(Planos!$A59="",NOT(ISNUMBER(Planos!$G59)),N(Planos!$E59)&lt;=0),0,IF(Planos!$G59&gt;EOMONTH(DATE(crono_ano_ref,9,1),0),0,MAX(0,INT((EOMONTH(DATE(crono_ano_ref,9,1),0)-IF(Planos!$G59&gt;=DATE(crono_ano_ref,9,1),Planos!$G59,Planos!$G59+CEILING((DATE(crono_ano_ref,9,1)-Planos!$G59)/Planos!$E59,1)*Planos!$E59))/Planos!$E59)+1)))</f>
      </c>
      <c r="O61" s="44">
        <f>IF(OR(Planos!$A59="",NOT(ISNUMBER(Planos!$G59)),N(Planos!$E59)&lt;=0),0,IF(Planos!$G59&gt;EOMONTH(DATE(crono_ano_ref,10,1),0),0,MAX(0,INT((EOMONTH(DATE(crono_ano_ref,10,1),0)-IF(Planos!$G59&gt;=DATE(crono_ano_ref,10,1),Planos!$G59,Planos!$G59+CEILING((DATE(crono_ano_ref,10,1)-Planos!$G59)/Planos!$E59,1)*Planos!$E59))/Planos!$E59)+1)))</f>
      </c>
      <c r="P61" s="44">
        <f>IF(OR(Planos!$A59="",NOT(ISNUMBER(Planos!$G59)),N(Planos!$E59)&lt;=0),0,IF(Planos!$G59&gt;EOMONTH(DATE(crono_ano_ref,11,1),0),0,MAX(0,INT((EOMONTH(DATE(crono_ano_ref,11,1),0)-IF(Planos!$G59&gt;=DATE(crono_ano_ref,11,1),Planos!$G59,Planos!$G59+CEILING((DATE(crono_ano_ref,11,1)-Planos!$G59)/Planos!$E59,1)*Planos!$E59))/Planos!$E59)+1)))</f>
      </c>
      <c r="Q61" s="44">
        <f>IF(OR(Planos!$A59="",NOT(ISNUMBER(Planos!$G59)),N(Planos!$E59)&lt;=0),0,IF(Planos!$G59&gt;EOMONTH(DATE(crono_ano_ref,12,1),0),0,MAX(0,INT((EOMONTH(DATE(crono_ano_ref,12,1),0)-IF(Planos!$G59&gt;=DATE(crono_ano_ref,12,1),Planos!$G59,Planos!$G59+CEILING((DATE(crono_ano_ref,12,1)-Planos!$G59)/Planos!$E59,1)*Planos!$E59))/Planos!$E59)+1)))</f>
      </c>
      <c r="R61" s="44">
        <f>SUM(F61:Q61)</f>
      </c>
    </row>
    <row r="62" spans="1:18" x14ac:dyDescent="0.25">
      <c r="A62" s="24">
        <f>IF(Planos!$A60="","",Planos!A60&amp;"")</f>
      </c>
      <c r="B62" s="41">
        <f>IF(Planos!$A60="","",Planos!B60&amp;"")</f>
      </c>
      <c r="C62" s="24">
        <f>IF(Planos!$A60="","",Planos!C60&amp;"")</f>
      </c>
      <c r="D62" s="42">
        <f>IF(Planos!$A60="","",N(Planos!E60))</f>
      </c>
      <c r="E62" s="43">
        <f>IF(Planos!$A60="","",N(Planos!K60))</f>
      </c>
      <c r="F62" s="44">
        <f>IF(OR(Planos!$A60="",NOT(ISNUMBER(Planos!$G60)),N(Planos!$E60)&lt;=0),0,IF(Planos!$G60&gt;EOMONTH(DATE(crono_ano_ref,1,1),0),0,MAX(0,INT((EOMONTH(DATE(crono_ano_ref,1,1),0)-IF(Planos!$G60&gt;=DATE(crono_ano_ref,1,1),Planos!$G60,Planos!$G60+CEILING((DATE(crono_ano_ref,1,1)-Planos!$G60)/Planos!$E60,1)*Planos!$E60))/Planos!$E60)+1)))</f>
      </c>
      <c r="G62" s="44">
        <f>IF(OR(Planos!$A60="",NOT(ISNUMBER(Planos!$G60)),N(Planos!$E60)&lt;=0),0,IF(Planos!$G60&gt;EOMONTH(DATE(crono_ano_ref,2,1),0),0,MAX(0,INT((EOMONTH(DATE(crono_ano_ref,2,1),0)-IF(Planos!$G60&gt;=DATE(crono_ano_ref,2,1),Planos!$G60,Planos!$G60+CEILING((DATE(crono_ano_ref,2,1)-Planos!$G60)/Planos!$E60,1)*Planos!$E60))/Planos!$E60)+1)))</f>
      </c>
      <c r="H62" s="44">
        <f>IF(OR(Planos!$A60="",NOT(ISNUMBER(Planos!$G60)),N(Planos!$E60)&lt;=0),0,IF(Planos!$G60&gt;EOMONTH(DATE(crono_ano_ref,3,1),0),0,MAX(0,INT((EOMONTH(DATE(crono_ano_ref,3,1),0)-IF(Planos!$G60&gt;=DATE(crono_ano_ref,3,1),Planos!$G60,Planos!$G60+CEILING((DATE(crono_ano_ref,3,1)-Planos!$G60)/Planos!$E60,1)*Planos!$E60))/Planos!$E60)+1)))</f>
      </c>
      <c r="I62" s="44">
        <f>IF(OR(Planos!$A60="",NOT(ISNUMBER(Planos!$G60)),N(Planos!$E60)&lt;=0),0,IF(Planos!$G60&gt;EOMONTH(DATE(crono_ano_ref,4,1),0),0,MAX(0,INT((EOMONTH(DATE(crono_ano_ref,4,1),0)-IF(Planos!$G60&gt;=DATE(crono_ano_ref,4,1),Planos!$G60,Planos!$G60+CEILING((DATE(crono_ano_ref,4,1)-Planos!$G60)/Planos!$E60,1)*Planos!$E60))/Planos!$E60)+1)))</f>
      </c>
      <c r="J62" s="44">
        <f>IF(OR(Planos!$A60="",NOT(ISNUMBER(Planos!$G60)),N(Planos!$E60)&lt;=0),0,IF(Planos!$G60&gt;EOMONTH(DATE(crono_ano_ref,5,1),0),0,MAX(0,INT((EOMONTH(DATE(crono_ano_ref,5,1),0)-IF(Planos!$G60&gt;=DATE(crono_ano_ref,5,1),Planos!$G60,Planos!$G60+CEILING((DATE(crono_ano_ref,5,1)-Planos!$G60)/Planos!$E60,1)*Planos!$E60))/Planos!$E60)+1)))</f>
      </c>
      <c r="K62" s="44">
        <f>IF(OR(Planos!$A60="",NOT(ISNUMBER(Planos!$G60)),N(Planos!$E60)&lt;=0),0,IF(Planos!$G60&gt;EOMONTH(DATE(crono_ano_ref,6,1),0),0,MAX(0,INT((EOMONTH(DATE(crono_ano_ref,6,1),0)-IF(Planos!$G60&gt;=DATE(crono_ano_ref,6,1),Planos!$G60,Planos!$G60+CEILING((DATE(crono_ano_ref,6,1)-Planos!$G60)/Planos!$E60,1)*Planos!$E60))/Planos!$E60)+1)))</f>
      </c>
      <c r="L62" s="44">
        <f>IF(OR(Planos!$A60="",NOT(ISNUMBER(Planos!$G60)),N(Planos!$E60)&lt;=0),0,IF(Planos!$G60&gt;EOMONTH(DATE(crono_ano_ref,7,1),0),0,MAX(0,INT((EOMONTH(DATE(crono_ano_ref,7,1),0)-IF(Planos!$G60&gt;=DATE(crono_ano_ref,7,1),Planos!$G60,Planos!$G60+CEILING((DATE(crono_ano_ref,7,1)-Planos!$G60)/Planos!$E60,1)*Planos!$E60))/Planos!$E60)+1)))</f>
      </c>
      <c r="M62" s="44">
        <f>IF(OR(Planos!$A60="",NOT(ISNUMBER(Planos!$G60)),N(Planos!$E60)&lt;=0),0,IF(Planos!$G60&gt;EOMONTH(DATE(crono_ano_ref,8,1),0),0,MAX(0,INT((EOMONTH(DATE(crono_ano_ref,8,1),0)-IF(Planos!$G60&gt;=DATE(crono_ano_ref,8,1),Planos!$G60,Planos!$G60+CEILING((DATE(crono_ano_ref,8,1)-Planos!$G60)/Planos!$E60,1)*Planos!$E60))/Planos!$E60)+1)))</f>
      </c>
      <c r="N62" s="44">
        <f>IF(OR(Planos!$A60="",NOT(ISNUMBER(Planos!$G60)),N(Planos!$E60)&lt;=0),0,IF(Planos!$G60&gt;EOMONTH(DATE(crono_ano_ref,9,1),0),0,MAX(0,INT((EOMONTH(DATE(crono_ano_ref,9,1),0)-IF(Planos!$G60&gt;=DATE(crono_ano_ref,9,1),Planos!$G60,Planos!$G60+CEILING((DATE(crono_ano_ref,9,1)-Planos!$G60)/Planos!$E60,1)*Planos!$E60))/Planos!$E60)+1)))</f>
      </c>
      <c r="O62" s="44">
        <f>IF(OR(Planos!$A60="",NOT(ISNUMBER(Planos!$G60)),N(Planos!$E60)&lt;=0),0,IF(Planos!$G60&gt;EOMONTH(DATE(crono_ano_ref,10,1),0),0,MAX(0,INT((EOMONTH(DATE(crono_ano_ref,10,1),0)-IF(Planos!$G60&gt;=DATE(crono_ano_ref,10,1),Planos!$G60,Planos!$G60+CEILING((DATE(crono_ano_ref,10,1)-Planos!$G60)/Planos!$E60,1)*Planos!$E60))/Planos!$E60)+1)))</f>
      </c>
      <c r="P62" s="44">
        <f>IF(OR(Planos!$A60="",NOT(ISNUMBER(Planos!$G60)),N(Planos!$E60)&lt;=0),0,IF(Planos!$G60&gt;EOMONTH(DATE(crono_ano_ref,11,1),0),0,MAX(0,INT((EOMONTH(DATE(crono_ano_ref,11,1),0)-IF(Planos!$G60&gt;=DATE(crono_ano_ref,11,1),Planos!$G60,Planos!$G60+CEILING((DATE(crono_ano_ref,11,1)-Planos!$G60)/Planos!$E60,1)*Planos!$E60))/Planos!$E60)+1)))</f>
      </c>
      <c r="Q62" s="44">
        <f>IF(OR(Planos!$A60="",NOT(ISNUMBER(Planos!$G60)),N(Planos!$E60)&lt;=0),0,IF(Planos!$G60&gt;EOMONTH(DATE(crono_ano_ref,12,1),0),0,MAX(0,INT((EOMONTH(DATE(crono_ano_ref,12,1),0)-IF(Planos!$G60&gt;=DATE(crono_ano_ref,12,1),Planos!$G60,Planos!$G60+CEILING((DATE(crono_ano_ref,12,1)-Planos!$G60)/Planos!$E60,1)*Planos!$E60))/Planos!$E60)+1)))</f>
      </c>
      <c r="R62" s="44">
        <f>SUM(F62:Q62)</f>
      </c>
    </row>
    <row r="63" spans="1:18" x14ac:dyDescent="0.25">
      <c r="A63" s="24">
        <f>IF(Planos!$A61="","",Planos!A61&amp;"")</f>
      </c>
      <c r="B63" s="41">
        <f>IF(Planos!$A61="","",Planos!B61&amp;"")</f>
      </c>
      <c r="C63" s="24">
        <f>IF(Planos!$A61="","",Planos!C61&amp;"")</f>
      </c>
      <c r="D63" s="42">
        <f>IF(Planos!$A61="","",N(Planos!E61))</f>
      </c>
      <c r="E63" s="43">
        <f>IF(Planos!$A61="","",N(Planos!K61))</f>
      </c>
      <c r="F63" s="44">
        <f>IF(OR(Planos!$A61="",NOT(ISNUMBER(Planos!$G61)),N(Planos!$E61)&lt;=0),0,IF(Planos!$G61&gt;EOMONTH(DATE(crono_ano_ref,1,1),0),0,MAX(0,INT((EOMONTH(DATE(crono_ano_ref,1,1),0)-IF(Planos!$G61&gt;=DATE(crono_ano_ref,1,1),Planos!$G61,Planos!$G61+CEILING((DATE(crono_ano_ref,1,1)-Planos!$G61)/Planos!$E61,1)*Planos!$E61))/Planos!$E61)+1)))</f>
      </c>
      <c r="G63" s="44">
        <f>IF(OR(Planos!$A61="",NOT(ISNUMBER(Planos!$G61)),N(Planos!$E61)&lt;=0),0,IF(Planos!$G61&gt;EOMONTH(DATE(crono_ano_ref,2,1),0),0,MAX(0,INT((EOMONTH(DATE(crono_ano_ref,2,1),0)-IF(Planos!$G61&gt;=DATE(crono_ano_ref,2,1),Planos!$G61,Planos!$G61+CEILING((DATE(crono_ano_ref,2,1)-Planos!$G61)/Planos!$E61,1)*Planos!$E61))/Planos!$E61)+1)))</f>
      </c>
      <c r="H63" s="44">
        <f>IF(OR(Planos!$A61="",NOT(ISNUMBER(Planos!$G61)),N(Planos!$E61)&lt;=0),0,IF(Planos!$G61&gt;EOMONTH(DATE(crono_ano_ref,3,1),0),0,MAX(0,INT((EOMONTH(DATE(crono_ano_ref,3,1),0)-IF(Planos!$G61&gt;=DATE(crono_ano_ref,3,1),Planos!$G61,Planos!$G61+CEILING((DATE(crono_ano_ref,3,1)-Planos!$G61)/Planos!$E61,1)*Planos!$E61))/Planos!$E61)+1)))</f>
      </c>
      <c r="I63" s="44">
        <f>IF(OR(Planos!$A61="",NOT(ISNUMBER(Planos!$G61)),N(Planos!$E61)&lt;=0),0,IF(Planos!$G61&gt;EOMONTH(DATE(crono_ano_ref,4,1),0),0,MAX(0,INT((EOMONTH(DATE(crono_ano_ref,4,1),0)-IF(Planos!$G61&gt;=DATE(crono_ano_ref,4,1),Planos!$G61,Planos!$G61+CEILING((DATE(crono_ano_ref,4,1)-Planos!$G61)/Planos!$E61,1)*Planos!$E61))/Planos!$E61)+1)))</f>
      </c>
      <c r="J63" s="44">
        <f>IF(OR(Planos!$A61="",NOT(ISNUMBER(Planos!$G61)),N(Planos!$E61)&lt;=0),0,IF(Planos!$G61&gt;EOMONTH(DATE(crono_ano_ref,5,1),0),0,MAX(0,INT((EOMONTH(DATE(crono_ano_ref,5,1),0)-IF(Planos!$G61&gt;=DATE(crono_ano_ref,5,1),Planos!$G61,Planos!$G61+CEILING((DATE(crono_ano_ref,5,1)-Planos!$G61)/Planos!$E61,1)*Planos!$E61))/Planos!$E61)+1)))</f>
      </c>
      <c r="K63" s="44">
        <f>IF(OR(Planos!$A61="",NOT(ISNUMBER(Planos!$G61)),N(Planos!$E61)&lt;=0),0,IF(Planos!$G61&gt;EOMONTH(DATE(crono_ano_ref,6,1),0),0,MAX(0,INT((EOMONTH(DATE(crono_ano_ref,6,1),0)-IF(Planos!$G61&gt;=DATE(crono_ano_ref,6,1),Planos!$G61,Planos!$G61+CEILING((DATE(crono_ano_ref,6,1)-Planos!$G61)/Planos!$E61,1)*Planos!$E61))/Planos!$E61)+1)))</f>
      </c>
      <c r="L63" s="44">
        <f>IF(OR(Planos!$A61="",NOT(ISNUMBER(Planos!$G61)),N(Planos!$E61)&lt;=0),0,IF(Planos!$G61&gt;EOMONTH(DATE(crono_ano_ref,7,1),0),0,MAX(0,INT((EOMONTH(DATE(crono_ano_ref,7,1),0)-IF(Planos!$G61&gt;=DATE(crono_ano_ref,7,1),Planos!$G61,Planos!$G61+CEILING((DATE(crono_ano_ref,7,1)-Planos!$G61)/Planos!$E61,1)*Planos!$E61))/Planos!$E61)+1)))</f>
      </c>
      <c r="M63" s="44">
        <f>IF(OR(Planos!$A61="",NOT(ISNUMBER(Planos!$G61)),N(Planos!$E61)&lt;=0),0,IF(Planos!$G61&gt;EOMONTH(DATE(crono_ano_ref,8,1),0),0,MAX(0,INT((EOMONTH(DATE(crono_ano_ref,8,1),0)-IF(Planos!$G61&gt;=DATE(crono_ano_ref,8,1),Planos!$G61,Planos!$G61+CEILING((DATE(crono_ano_ref,8,1)-Planos!$G61)/Planos!$E61,1)*Planos!$E61))/Planos!$E61)+1)))</f>
      </c>
      <c r="N63" s="44">
        <f>IF(OR(Planos!$A61="",NOT(ISNUMBER(Planos!$G61)),N(Planos!$E61)&lt;=0),0,IF(Planos!$G61&gt;EOMONTH(DATE(crono_ano_ref,9,1),0),0,MAX(0,INT((EOMONTH(DATE(crono_ano_ref,9,1),0)-IF(Planos!$G61&gt;=DATE(crono_ano_ref,9,1),Planos!$G61,Planos!$G61+CEILING((DATE(crono_ano_ref,9,1)-Planos!$G61)/Planos!$E61,1)*Planos!$E61))/Planos!$E61)+1)))</f>
      </c>
      <c r="O63" s="44">
        <f>IF(OR(Planos!$A61="",NOT(ISNUMBER(Planos!$G61)),N(Planos!$E61)&lt;=0),0,IF(Planos!$G61&gt;EOMONTH(DATE(crono_ano_ref,10,1),0),0,MAX(0,INT((EOMONTH(DATE(crono_ano_ref,10,1),0)-IF(Planos!$G61&gt;=DATE(crono_ano_ref,10,1),Planos!$G61,Planos!$G61+CEILING((DATE(crono_ano_ref,10,1)-Planos!$G61)/Planos!$E61,1)*Planos!$E61))/Planos!$E61)+1)))</f>
      </c>
      <c r="P63" s="44">
        <f>IF(OR(Planos!$A61="",NOT(ISNUMBER(Planos!$G61)),N(Planos!$E61)&lt;=0),0,IF(Planos!$G61&gt;EOMONTH(DATE(crono_ano_ref,11,1),0),0,MAX(0,INT((EOMONTH(DATE(crono_ano_ref,11,1),0)-IF(Planos!$G61&gt;=DATE(crono_ano_ref,11,1),Planos!$G61,Planos!$G61+CEILING((DATE(crono_ano_ref,11,1)-Planos!$G61)/Planos!$E61,1)*Planos!$E61))/Planos!$E61)+1)))</f>
      </c>
      <c r="Q63" s="44">
        <f>IF(OR(Planos!$A61="",NOT(ISNUMBER(Planos!$G61)),N(Planos!$E61)&lt;=0),0,IF(Planos!$G61&gt;EOMONTH(DATE(crono_ano_ref,12,1),0),0,MAX(0,INT((EOMONTH(DATE(crono_ano_ref,12,1),0)-IF(Planos!$G61&gt;=DATE(crono_ano_ref,12,1),Planos!$G61,Planos!$G61+CEILING((DATE(crono_ano_ref,12,1)-Planos!$G61)/Planos!$E61,1)*Planos!$E61))/Planos!$E61)+1)))</f>
      </c>
      <c r="R63" s="44">
        <f>SUM(F63:Q63)</f>
      </c>
    </row>
    <row r="64" spans="1:18" x14ac:dyDescent="0.25">
      <c r="A64" s="24">
        <f>IF(Planos!$A62="","",Planos!A62&amp;"")</f>
      </c>
      <c r="B64" s="41">
        <f>IF(Planos!$A62="","",Planos!B62&amp;"")</f>
      </c>
      <c r="C64" s="24">
        <f>IF(Planos!$A62="","",Planos!C62&amp;"")</f>
      </c>
      <c r="D64" s="42">
        <f>IF(Planos!$A62="","",N(Planos!E62))</f>
      </c>
      <c r="E64" s="43">
        <f>IF(Planos!$A62="","",N(Planos!K62))</f>
      </c>
      <c r="F64" s="44">
        <f>IF(OR(Planos!$A62="",NOT(ISNUMBER(Planos!$G62)),N(Planos!$E62)&lt;=0),0,IF(Planos!$G62&gt;EOMONTH(DATE(crono_ano_ref,1,1),0),0,MAX(0,INT((EOMONTH(DATE(crono_ano_ref,1,1),0)-IF(Planos!$G62&gt;=DATE(crono_ano_ref,1,1),Planos!$G62,Planos!$G62+CEILING((DATE(crono_ano_ref,1,1)-Planos!$G62)/Planos!$E62,1)*Planos!$E62))/Planos!$E62)+1)))</f>
      </c>
      <c r="G64" s="44">
        <f>IF(OR(Planos!$A62="",NOT(ISNUMBER(Planos!$G62)),N(Planos!$E62)&lt;=0),0,IF(Planos!$G62&gt;EOMONTH(DATE(crono_ano_ref,2,1),0),0,MAX(0,INT((EOMONTH(DATE(crono_ano_ref,2,1),0)-IF(Planos!$G62&gt;=DATE(crono_ano_ref,2,1),Planos!$G62,Planos!$G62+CEILING((DATE(crono_ano_ref,2,1)-Planos!$G62)/Planos!$E62,1)*Planos!$E62))/Planos!$E62)+1)))</f>
      </c>
      <c r="H64" s="44">
        <f>IF(OR(Planos!$A62="",NOT(ISNUMBER(Planos!$G62)),N(Planos!$E62)&lt;=0),0,IF(Planos!$G62&gt;EOMONTH(DATE(crono_ano_ref,3,1),0),0,MAX(0,INT((EOMONTH(DATE(crono_ano_ref,3,1),0)-IF(Planos!$G62&gt;=DATE(crono_ano_ref,3,1),Planos!$G62,Planos!$G62+CEILING((DATE(crono_ano_ref,3,1)-Planos!$G62)/Planos!$E62,1)*Planos!$E62))/Planos!$E62)+1)))</f>
      </c>
      <c r="I64" s="44">
        <f>IF(OR(Planos!$A62="",NOT(ISNUMBER(Planos!$G62)),N(Planos!$E62)&lt;=0),0,IF(Planos!$G62&gt;EOMONTH(DATE(crono_ano_ref,4,1),0),0,MAX(0,INT((EOMONTH(DATE(crono_ano_ref,4,1),0)-IF(Planos!$G62&gt;=DATE(crono_ano_ref,4,1),Planos!$G62,Planos!$G62+CEILING((DATE(crono_ano_ref,4,1)-Planos!$G62)/Planos!$E62,1)*Planos!$E62))/Planos!$E62)+1)))</f>
      </c>
      <c r="J64" s="44">
        <f>IF(OR(Planos!$A62="",NOT(ISNUMBER(Planos!$G62)),N(Planos!$E62)&lt;=0),0,IF(Planos!$G62&gt;EOMONTH(DATE(crono_ano_ref,5,1),0),0,MAX(0,INT((EOMONTH(DATE(crono_ano_ref,5,1),0)-IF(Planos!$G62&gt;=DATE(crono_ano_ref,5,1),Planos!$G62,Planos!$G62+CEILING((DATE(crono_ano_ref,5,1)-Planos!$G62)/Planos!$E62,1)*Planos!$E62))/Planos!$E62)+1)))</f>
      </c>
      <c r="K64" s="44">
        <f>IF(OR(Planos!$A62="",NOT(ISNUMBER(Planos!$G62)),N(Planos!$E62)&lt;=0),0,IF(Planos!$G62&gt;EOMONTH(DATE(crono_ano_ref,6,1),0),0,MAX(0,INT((EOMONTH(DATE(crono_ano_ref,6,1),0)-IF(Planos!$G62&gt;=DATE(crono_ano_ref,6,1),Planos!$G62,Planos!$G62+CEILING((DATE(crono_ano_ref,6,1)-Planos!$G62)/Planos!$E62,1)*Planos!$E62))/Planos!$E62)+1)))</f>
      </c>
      <c r="L64" s="44">
        <f>IF(OR(Planos!$A62="",NOT(ISNUMBER(Planos!$G62)),N(Planos!$E62)&lt;=0),0,IF(Planos!$G62&gt;EOMONTH(DATE(crono_ano_ref,7,1),0),0,MAX(0,INT((EOMONTH(DATE(crono_ano_ref,7,1),0)-IF(Planos!$G62&gt;=DATE(crono_ano_ref,7,1),Planos!$G62,Planos!$G62+CEILING((DATE(crono_ano_ref,7,1)-Planos!$G62)/Planos!$E62,1)*Planos!$E62))/Planos!$E62)+1)))</f>
      </c>
      <c r="M64" s="44">
        <f>IF(OR(Planos!$A62="",NOT(ISNUMBER(Planos!$G62)),N(Planos!$E62)&lt;=0),0,IF(Planos!$G62&gt;EOMONTH(DATE(crono_ano_ref,8,1),0),0,MAX(0,INT((EOMONTH(DATE(crono_ano_ref,8,1),0)-IF(Planos!$G62&gt;=DATE(crono_ano_ref,8,1),Planos!$G62,Planos!$G62+CEILING((DATE(crono_ano_ref,8,1)-Planos!$G62)/Planos!$E62,1)*Planos!$E62))/Planos!$E62)+1)))</f>
      </c>
      <c r="N64" s="44">
        <f>IF(OR(Planos!$A62="",NOT(ISNUMBER(Planos!$G62)),N(Planos!$E62)&lt;=0),0,IF(Planos!$G62&gt;EOMONTH(DATE(crono_ano_ref,9,1),0),0,MAX(0,INT((EOMONTH(DATE(crono_ano_ref,9,1),0)-IF(Planos!$G62&gt;=DATE(crono_ano_ref,9,1),Planos!$G62,Planos!$G62+CEILING((DATE(crono_ano_ref,9,1)-Planos!$G62)/Planos!$E62,1)*Planos!$E62))/Planos!$E62)+1)))</f>
      </c>
      <c r="O64" s="44">
        <f>IF(OR(Planos!$A62="",NOT(ISNUMBER(Planos!$G62)),N(Planos!$E62)&lt;=0),0,IF(Planos!$G62&gt;EOMONTH(DATE(crono_ano_ref,10,1),0),0,MAX(0,INT((EOMONTH(DATE(crono_ano_ref,10,1),0)-IF(Planos!$G62&gt;=DATE(crono_ano_ref,10,1),Planos!$G62,Planos!$G62+CEILING((DATE(crono_ano_ref,10,1)-Planos!$G62)/Planos!$E62,1)*Planos!$E62))/Planos!$E62)+1)))</f>
      </c>
      <c r="P64" s="44">
        <f>IF(OR(Planos!$A62="",NOT(ISNUMBER(Planos!$G62)),N(Planos!$E62)&lt;=0),0,IF(Planos!$G62&gt;EOMONTH(DATE(crono_ano_ref,11,1),0),0,MAX(0,INT((EOMONTH(DATE(crono_ano_ref,11,1),0)-IF(Planos!$G62&gt;=DATE(crono_ano_ref,11,1),Planos!$G62,Planos!$G62+CEILING((DATE(crono_ano_ref,11,1)-Planos!$G62)/Planos!$E62,1)*Planos!$E62))/Planos!$E62)+1)))</f>
      </c>
      <c r="Q64" s="44">
        <f>IF(OR(Planos!$A62="",NOT(ISNUMBER(Planos!$G62)),N(Planos!$E62)&lt;=0),0,IF(Planos!$G62&gt;EOMONTH(DATE(crono_ano_ref,12,1),0),0,MAX(0,INT((EOMONTH(DATE(crono_ano_ref,12,1),0)-IF(Planos!$G62&gt;=DATE(crono_ano_ref,12,1),Planos!$G62,Planos!$G62+CEILING((DATE(crono_ano_ref,12,1)-Planos!$G62)/Planos!$E62,1)*Planos!$E62))/Planos!$E62)+1)))</f>
      </c>
      <c r="R64" s="44">
        <f>SUM(F64:Q64)</f>
      </c>
    </row>
    <row r="65" spans="1:18" x14ac:dyDescent="0.25">
      <c r="A65" s="24">
        <f>IF(Planos!$A63="","",Planos!A63&amp;"")</f>
      </c>
      <c r="B65" s="41">
        <f>IF(Planos!$A63="","",Planos!B63&amp;"")</f>
      </c>
      <c r="C65" s="24">
        <f>IF(Planos!$A63="","",Planos!C63&amp;"")</f>
      </c>
      <c r="D65" s="42">
        <f>IF(Planos!$A63="","",N(Planos!E63))</f>
      </c>
      <c r="E65" s="43">
        <f>IF(Planos!$A63="","",N(Planos!K63))</f>
      </c>
      <c r="F65" s="44">
        <f>IF(OR(Planos!$A63="",NOT(ISNUMBER(Planos!$G63)),N(Planos!$E63)&lt;=0),0,IF(Planos!$G63&gt;EOMONTH(DATE(crono_ano_ref,1,1),0),0,MAX(0,INT((EOMONTH(DATE(crono_ano_ref,1,1),0)-IF(Planos!$G63&gt;=DATE(crono_ano_ref,1,1),Planos!$G63,Planos!$G63+CEILING((DATE(crono_ano_ref,1,1)-Planos!$G63)/Planos!$E63,1)*Planos!$E63))/Planos!$E63)+1)))</f>
      </c>
      <c r="G65" s="44">
        <f>IF(OR(Planos!$A63="",NOT(ISNUMBER(Planos!$G63)),N(Planos!$E63)&lt;=0),0,IF(Planos!$G63&gt;EOMONTH(DATE(crono_ano_ref,2,1),0),0,MAX(0,INT((EOMONTH(DATE(crono_ano_ref,2,1),0)-IF(Planos!$G63&gt;=DATE(crono_ano_ref,2,1),Planos!$G63,Planos!$G63+CEILING((DATE(crono_ano_ref,2,1)-Planos!$G63)/Planos!$E63,1)*Planos!$E63))/Planos!$E63)+1)))</f>
      </c>
      <c r="H65" s="44">
        <f>IF(OR(Planos!$A63="",NOT(ISNUMBER(Planos!$G63)),N(Planos!$E63)&lt;=0),0,IF(Planos!$G63&gt;EOMONTH(DATE(crono_ano_ref,3,1),0),0,MAX(0,INT((EOMONTH(DATE(crono_ano_ref,3,1),0)-IF(Planos!$G63&gt;=DATE(crono_ano_ref,3,1),Planos!$G63,Planos!$G63+CEILING((DATE(crono_ano_ref,3,1)-Planos!$G63)/Planos!$E63,1)*Planos!$E63))/Planos!$E63)+1)))</f>
      </c>
      <c r="I65" s="44">
        <f>IF(OR(Planos!$A63="",NOT(ISNUMBER(Planos!$G63)),N(Planos!$E63)&lt;=0),0,IF(Planos!$G63&gt;EOMONTH(DATE(crono_ano_ref,4,1),0),0,MAX(0,INT((EOMONTH(DATE(crono_ano_ref,4,1),0)-IF(Planos!$G63&gt;=DATE(crono_ano_ref,4,1),Planos!$G63,Planos!$G63+CEILING((DATE(crono_ano_ref,4,1)-Planos!$G63)/Planos!$E63,1)*Planos!$E63))/Planos!$E63)+1)))</f>
      </c>
      <c r="J65" s="44">
        <f>IF(OR(Planos!$A63="",NOT(ISNUMBER(Planos!$G63)),N(Planos!$E63)&lt;=0),0,IF(Planos!$G63&gt;EOMONTH(DATE(crono_ano_ref,5,1),0),0,MAX(0,INT((EOMONTH(DATE(crono_ano_ref,5,1),0)-IF(Planos!$G63&gt;=DATE(crono_ano_ref,5,1),Planos!$G63,Planos!$G63+CEILING((DATE(crono_ano_ref,5,1)-Planos!$G63)/Planos!$E63,1)*Planos!$E63))/Planos!$E63)+1)))</f>
      </c>
      <c r="K65" s="44">
        <f>IF(OR(Planos!$A63="",NOT(ISNUMBER(Planos!$G63)),N(Planos!$E63)&lt;=0),0,IF(Planos!$G63&gt;EOMONTH(DATE(crono_ano_ref,6,1),0),0,MAX(0,INT((EOMONTH(DATE(crono_ano_ref,6,1),0)-IF(Planos!$G63&gt;=DATE(crono_ano_ref,6,1),Planos!$G63,Planos!$G63+CEILING((DATE(crono_ano_ref,6,1)-Planos!$G63)/Planos!$E63,1)*Planos!$E63))/Planos!$E63)+1)))</f>
      </c>
      <c r="L65" s="44">
        <f>IF(OR(Planos!$A63="",NOT(ISNUMBER(Planos!$G63)),N(Planos!$E63)&lt;=0),0,IF(Planos!$G63&gt;EOMONTH(DATE(crono_ano_ref,7,1),0),0,MAX(0,INT((EOMONTH(DATE(crono_ano_ref,7,1),0)-IF(Planos!$G63&gt;=DATE(crono_ano_ref,7,1),Planos!$G63,Planos!$G63+CEILING((DATE(crono_ano_ref,7,1)-Planos!$G63)/Planos!$E63,1)*Planos!$E63))/Planos!$E63)+1)))</f>
      </c>
      <c r="M65" s="44">
        <f>IF(OR(Planos!$A63="",NOT(ISNUMBER(Planos!$G63)),N(Planos!$E63)&lt;=0),0,IF(Planos!$G63&gt;EOMONTH(DATE(crono_ano_ref,8,1),0),0,MAX(0,INT((EOMONTH(DATE(crono_ano_ref,8,1),0)-IF(Planos!$G63&gt;=DATE(crono_ano_ref,8,1),Planos!$G63,Planos!$G63+CEILING((DATE(crono_ano_ref,8,1)-Planos!$G63)/Planos!$E63,1)*Planos!$E63))/Planos!$E63)+1)))</f>
      </c>
      <c r="N65" s="44">
        <f>IF(OR(Planos!$A63="",NOT(ISNUMBER(Planos!$G63)),N(Planos!$E63)&lt;=0),0,IF(Planos!$G63&gt;EOMONTH(DATE(crono_ano_ref,9,1),0),0,MAX(0,INT((EOMONTH(DATE(crono_ano_ref,9,1),0)-IF(Planos!$G63&gt;=DATE(crono_ano_ref,9,1),Planos!$G63,Planos!$G63+CEILING((DATE(crono_ano_ref,9,1)-Planos!$G63)/Planos!$E63,1)*Planos!$E63))/Planos!$E63)+1)))</f>
      </c>
      <c r="O65" s="44">
        <f>IF(OR(Planos!$A63="",NOT(ISNUMBER(Planos!$G63)),N(Planos!$E63)&lt;=0),0,IF(Planos!$G63&gt;EOMONTH(DATE(crono_ano_ref,10,1),0),0,MAX(0,INT((EOMONTH(DATE(crono_ano_ref,10,1),0)-IF(Planos!$G63&gt;=DATE(crono_ano_ref,10,1),Planos!$G63,Planos!$G63+CEILING((DATE(crono_ano_ref,10,1)-Planos!$G63)/Planos!$E63,1)*Planos!$E63))/Planos!$E63)+1)))</f>
      </c>
      <c r="P65" s="44">
        <f>IF(OR(Planos!$A63="",NOT(ISNUMBER(Planos!$G63)),N(Planos!$E63)&lt;=0),0,IF(Planos!$G63&gt;EOMONTH(DATE(crono_ano_ref,11,1),0),0,MAX(0,INT((EOMONTH(DATE(crono_ano_ref,11,1),0)-IF(Planos!$G63&gt;=DATE(crono_ano_ref,11,1),Planos!$G63,Planos!$G63+CEILING((DATE(crono_ano_ref,11,1)-Planos!$G63)/Planos!$E63,1)*Planos!$E63))/Planos!$E63)+1)))</f>
      </c>
      <c r="Q65" s="44">
        <f>IF(OR(Planos!$A63="",NOT(ISNUMBER(Planos!$G63)),N(Planos!$E63)&lt;=0),0,IF(Planos!$G63&gt;EOMONTH(DATE(crono_ano_ref,12,1),0),0,MAX(0,INT((EOMONTH(DATE(crono_ano_ref,12,1),0)-IF(Planos!$G63&gt;=DATE(crono_ano_ref,12,1),Planos!$G63,Planos!$G63+CEILING((DATE(crono_ano_ref,12,1)-Planos!$G63)/Planos!$E63,1)*Planos!$E63))/Planos!$E63)+1)))</f>
      </c>
      <c r="R65" s="44">
        <f>SUM(F65:Q65)</f>
      </c>
    </row>
    <row r="66" spans="1:18" x14ac:dyDescent="0.25">
      <c r="A66" s="24">
        <f>IF(Planos!$A64="","",Planos!A64&amp;"")</f>
      </c>
      <c r="B66" s="41">
        <f>IF(Planos!$A64="","",Planos!B64&amp;"")</f>
      </c>
      <c r="C66" s="24">
        <f>IF(Planos!$A64="","",Planos!C64&amp;"")</f>
      </c>
      <c r="D66" s="42">
        <f>IF(Planos!$A64="","",N(Planos!E64))</f>
      </c>
      <c r="E66" s="43">
        <f>IF(Planos!$A64="","",N(Planos!K64))</f>
      </c>
      <c r="F66" s="44">
        <f>IF(OR(Planos!$A64="",NOT(ISNUMBER(Planos!$G64)),N(Planos!$E64)&lt;=0),0,IF(Planos!$G64&gt;EOMONTH(DATE(crono_ano_ref,1,1),0),0,MAX(0,INT((EOMONTH(DATE(crono_ano_ref,1,1),0)-IF(Planos!$G64&gt;=DATE(crono_ano_ref,1,1),Planos!$G64,Planos!$G64+CEILING((DATE(crono_ano_ref,1,1)-Planos!$G64)/Planos!$E64,1)*Planos!$E64))/Planos!$E64)+1)))</f>
      </c>
      <c r="G66" s="44">
        <f>IF(OR(Planos!$A64="",NOT(ISNUMBER(Planos!$G64)),N(Planos!$E64)&lt;=0),0,IF(Planos!$G64&gt;EOMONTH(DATE(crono_ano_ref,2,1),0),0,MAX(0,INT((EOMONTH(DATE(crono_ano_ref,2,1),0)-IF(Planos!$G64&gt;=DATE(crono_ano_ref,2,1),Planos!$G64,Planos!$G64+CEILING((DATE(crono_ano_ref,2,1)-Planos!$G64)/Planos!$E64,1)*Planos!$E64))/Planos!$E64)+1)))</f>
      </c>
      <c r="H66" s="44">
        <f>IF(OR(Planos!$A64="",NOT(ISNUMBER(Planos!$G64)),N(Planos!$E64)&lt;=0),0,IF(Planos!$G64&gt;EOMONTH(DATE(crono_ano_ref,3,1),0),0,MAX(0,INT((EOMONTH(DATE(crono_ano_ref,3,1),0)-IF(Planos!$G64&gt;=DATE(crono_ano_ref,3,1),Planos!$G64,Planos!$G64+CEILING((DATE(crono_ano_ref,3,1)-Planos!$G64)/Planos!$E64,1)*Planos!$E64))/Planos!$E64)+1)))</f>
      </c>
      <c r="I66" s="44">
        <f>IF(OR(Planos!$A64="",NOT(ISNUMBER(Planos!$G64)),N(Planos!$E64)&lt;=0),0,IF(Planos!$G64&gt;EOMONTH(DATE(crono_ano_ref,4,1),0),0,MAX(0,INT((EOMONTH(DATE(crono_ano_ref,4,1),0)-IF(Planos!$G64&gt;=DATE(crono_ano_ref,4,1),Planos!$G64,Planos!$G64+CEILING((DATE(crono_ano_ref,4,1)-Planos!$G64)/Planos!$E64,1)*Planos!$E64))/Planos!$E64)+1)))</f>
      </c>
      <c r="J66" s="44">
        <f>IF(OR(Planos!$A64="",NOT(ISNUMBER(Planos!$G64)),N(Planos!$E64)&lt;=0),0,IF(Planos!$G64&gt;EOMONTH(DATE(crono_ano_ref,5,1),0),0,MAX(0,INT((EOMONTH(DATE(crono_ano_ref,5,1),0)-IF(Planos!$G64&gt;=DATE(crono_ano_ref,5,1),Planos!$G64,Planos!$G64+CEILING((DATE(crono_ano_ref,5,1)-Planos!$G64)/Planos!$E64,1)*Planos!$E64))/Planos!$E64)+1)))</f>
      </c>
      <c r="K66" s="44">
        <f>IF(OR(Planos!$A64="",NOT(ISNUMBER(Planos!$G64)),N(Planos!$E64)&lt;=0),0,IF(Planos!$G64&gt;EOMONTH(DATE(crono_ano_ref,6,1),0),0,MAX(0,INT((EOMONTH(DATE(crono_ano_ref,6,1),0)-IF(Planos!$G64&gt;=DATE(crono_ano_ref,6,1),Planos!$G64,Planos!$G64+CEILING((DATE(crono_ano_ref,6,1)-Planos!$G64)/Planos!$E64,1)*Planos!$E64))/Planos!$E64)+1)))</f>
      </c>
      <c r="L66" s="44">
        <f>IF(OR(Planos!$A64="",NOT(ISNUMBER(Planos!$G64)),N(Planos!$E64)&lt;=0),0,IF(Planos!$G64&gt;EOMONTH(DATE(crono_ano_ref,7,1),0),0,MAX(0,INT((EOMONTH(DATE(crono_ano_ref,7,1),0)-IF(Planos!$G64&gt;=DATE(crono_ano_ref,7,1),Planos!$G64,Planos!$G64+CEILING((DATE(crono_ano_ref,7,1)-Planos!$G64)/Planos!$E64,1)*Planos!$E64))/Planos!$E64)+1)))</f>
      </c>
      <c r="M66" s="44">
        <f>IF(OR(Planos!$A64="",NOT(ISNUMBER(Planos!$G64)),N(Planos!$E64)&lt;=0),0,IF(Planos!$G64&gt;EOMONTH(DATE(crono_ano_ref,8,1),0),0,MAX(0,INT((EOMONTH(DATE(crono_ano_ref,8,1),0)-IF(Planos!$G64&gt;=DATE(crono_ano_ref,8,1),Planos!$G64,Planos!$G64+CEILING((DATE(crono_ano_ref,8,1)-Planos!$G64)/Planos!$E64,1)*Planos!$E64))/Planos!$E64)+1)))</f>
      </c>
      <c r="N66" s="44">
        <f>IF(OR(Planos!$A64="",NOT(ISNUMBER(Planos!$G64)),N(Planos!$E64)&lt;=0),0,IF(Planos!$G64&gt;EOMONTH(DATE(crono_ano_ref,9,1),0),0,MAX(0,INT((EOMONTH(DATE(crono_ano_ref,9,1),0)-IF(Planos!$G64&gt;=DATE(crono_ano_ref,9,1),Planos!$G64,Planos!$G64+CEILING((DATE(crono_ano_ref,9,1)-Planos!$G64)/Planos!$E64,1)*Planos!$E64))/Planos!$E64)+1)))</f>
      </c>
      <c r="O66" s="44">
        <f>IF(OR(Planos!$A64="",NOT(ISNUMBER(Planos!$G64)),N(Planos!$E64)&lt;=0),0,IF(Planos!$G64&gt;EOMONTH(DATE(crono_ano_ref,10,1),0),0,MAX(0,INT((EOMONTH(DATE(crono_ano_ref,10,1),0)-IF(Planos!$G64&gt;=DATE(crono_ano_ref,10,1),Planos!$G64,Planos!$G64+CEILING((DATE(crono_ano_ref,10,1)-Planos!$G64)/Planos!$E64,1)*Planos!$E64))/Planos!$E64)+1)))</f>
      </c>
      <c r="P66" s="44">
        <f>IF(OR(Planos!$A64="",NOT(ISNUMBER(Planos!$G64)),N(Planos!$E64)&lt;=0),0,IF(Planos!$G64&gt;EOMONTH(DATE(crono_ano_ref,11,1),0),0,MAX(0,INT((EOMONTH(DATE(crono_ano_ref,11,1),0)-IF(Planos!$G64&gt;=DATE(crono_ano_ref,11,1),Planos!$G64,Planos!$G64+CEILING((DATE(crono_ano_ref,11,1)-Planos!$G64)/Planos!$E64,1)*Planos!$E64))/Planos!$E64)+1)))</f>
      </c>
      <c r="Q66" s="44">
        <f>IF(OR(Planos!$A64="",NOT(ISNUMBER(Planos!$G64)),N(Planos!$E64)&lt;=0),0,IF(Planos!$G64&gt;EOMONTH(DATE(crono_ano_ref,12,1),0),0,MAX(0,INT((EOMONTH(DATE(crono_ano_ref,12,1),0)-IF(Planos!$G64&gt;=DATE(crono_ano_ref,12,1),Planos!$G64,Planos!$G64+CEILING((DATE(crono_ano_ref,12,1)-Planos!$G64)/Planos!$E64,1)*Planos!$E64))/Planos!$E64)+1)))</f>
      </c>
      <c r="R66" s="44">
        <f>SUM(F66:Q66)</f>
      </c>
    </row>
    <row r="67" spans="1:18" x14ac:dyDescent="0.25">
      <c r="A67" s="24">
        <f>IF(Planos!$A65="","",Planos!A65&amp;"")</f>
      </c>
      <c r="B67" s="41">
        <f>IF(Planos!$A65="","",Planos!B65&amp;"")</f>
      </c>
      <c r="C67" s="24">
        <f>IF(Planos!$A65="","",Planos!C65&amp;"")</f>
      </c>
      <c r="D67" s="42">
        <f>IF(Planos!$A65="","",N(Planos!E65))</f>
      </c>
      <c r="E67" s="43">
        <f>IF(Planos!$A65="","",N(Planos!K65))</f>
      </c>
      <c r="F67" s="44">
        <f>IF(OR(Planos!$A65="",NOT(ISNUMBER(Planos!$G65)),N(Planos!$E65)&lt;=0),0,IF(Planos!$G65&gt;EOMONTH(DATE(crono_ano_ref,1,1),0),0,MAX(0,INT((EOMONTH(DATE(crono_ano_ref,1,1),0)-IF(Planos!$G65&gt;=DATE(crono_ano_ref,1,1),Planos!$G65,Planos!$G65+CEILING((DATE(crono_ano_ref,1,1)-Planos!$G65)/Planos!$E65,1)*Planos!$E65))/Planos!$E65)+1)))</f>
      </c>
      <c r="G67" s="44">
        <f>IF(OR(Planos!$A65="",NOT(ISNUMBER(Planos!$G65)),N(Planos!$E65)&lt;=0),0,IF(Planos!$G65&gt;EOMONTH(DATE(crono_ano_ref,2,1),0),0,MAX(0,INT((EOMONTH(DATE(crono_ano_ref,2,1),0)-IF(Planos!$G65&gt;=DATE(crono_ano_ref,2,1),Planos!$G65,Planos!$G65+CEILING((DATE(crono_ano_ref,2,1)-Planos!$G65)/Planos!$E65,1)*Planos!$E65))/Planos!$E65)+1)))</f>
      </c>
      <c r="H67" s="44">
        <f>IF(OR(Planos!$A65="",NOT(ISNUMBER(Planos!$G65)),N(Planos!$E65)&lt;=0),0,IF(Planos!$G65&gt;EOMONTH(DATE(crono_ano_ref,3,1),0),0,MAX(0,INT((EOMONTH(DATE(crono_ano_ref,3,1),0)-IF(Planos!$G65&gt;=DATE(crono_ano_ref,3,1),Planos!$G65,Planos!$G65+CEILING((DATE(crono_ano_ref,3,1)-Planos!$G65)/Planos!$E65,1)*Planos!$E65))/Planos!$E65)+1)))</f>
      </c>
      <c r="I67" s="44">
        <f>IF(OR(Planos!$A65="",NOT(ISNUMBER(Planos!$G65)),N(Planos!$E65)&lt;=0),0,IF(Planos!$G65&gt;EOMONTH(DATE(crono_ano_ref,4,1),0),0,MAX(0,INT((EOMONTH(DATE(crono_ano_ref,4,1),0)-IF(Planos!$G65&gt;=DATE(crono_ano_ref,4,1),Planos!$G65,Planos!$G65+CEILING((DATE(crono_ano_ref,4,1)-Planos!$G65)/Planos!$E65,1)*Planos!$E65))/Planos!$E65)+1)))</f>
      </c>
      <c r="J67" s="44">
        <f>IF(OR(Planos!$A65="",NOT(ISNUMBER(Planos!$G65)),N(Planos!$E65)&lt;=0),0,IF(Planos!$G65&gt;EOMONTH(DATE(crono_ano_ref,5,1),0),0,MAX(0,INT((EOMONTH(DATE(crono_ano_ref,5,1),0)-IF(Planos!$G65&gt;=DATE(crono_ano_ref,5,1),Planos!$G65,Planos!$G65+CEILING((DATE(crono_ano_ref,5,1)-Planos!$G65)/Planos!$E65,1)*Planos!$E65))/Planos!$E65)+1)))</f>
      </c>
      <c r="K67" s="44">
        <f>IF(OR(Planos!$A65="",NOT(ISNUMBER(Planos!$G65)),N(Planos!$E65)&lt;=0),0,IF(Planos!$G65&gt;EOMONTH(DATE(crono_ano_ref,6,1),0),0,MAX(0,INT((EOMONTH(DATE(crono_ano_ref,6,1),0)-IF(Planos!$G65&gt;=DATE(crono_ano_ref,6,1),Planos!$G65,Planos!$G65+CEILING((DATE(crono_ano_ref,6,1)-Planos!$G65)/Planos!$E65,1)*Planos!$E65))/Planos!$E65)+1)))</f>
      </c>
      <c r="L67" s="44">
        <f>IF(OR(Planos!$A65="",NOT(ISNUMBER(Planos!$G65)),N(Planos!$E65)&lt;=0),0,IF(Planos!$G65&gt;EOMONTH(DATE(crono_ano_ref,7,1),0),0,MAX(0,INT((EOMONTH(DATE(crono_ano_ref,7,1),0)-IF(Planos!$G65&gt;=DATE(crono_ano_ref,7,1),Planos!$G65,Planos!$G65+CEILING((DATE(crono_ano_ref,7,1)-Planos!$G65)/Planos!$E65,1)*Planos!$E65))/Planos!$E65)+1)))</f>
      </c>
      <c r="M67" s="44">
        <f>IF(OR(Planos!$A65="",NOT(ISNUMBER(Planos!$G65)),N(Planos!$E65)&lt;=0),0,IF(Planos!$G65&gt;EOMONTH(DATE(crono_ano_ref,8,1),0),0,MAX(0,INT((EOMONTH(DATE(crono_ano_ref,8,1),0)-IF(Planos!$G65&gt;=DATE(crono_ano_ref,8,1),Planos!$G65,Planos!$G65+CEILING((DATE(crono_ano_ref,8,1)-Planos!$G65)/Planos!$E65,1)*Planos!$E65))/Planos!$E65)+1)))</f>
      </c>
      <c r="N67" s="44">
        <f>IF(OR(Planos!$A65="",NOT(ISNUMBER(Planos!$G65)),N(Planos!$E65)&lt;=0),0,IF(Planos!$G65&gt;EOMONTH(DATE(crono_ano_ref,9,1),0),0,MAX(0,INT((EOMONTH(DATE(crono_ano_ref,9,1),0)-IF(Planos!$G65&gt;=DATE(crono_ano_ref,9,1),Planos!$G65,Planos!$G65+CEILING((DATE(crono_ano_ref,9,1)-Planos!$G65)/Planos!$E65,1)*Planos!$E65))/Planos!$E65)+1)))</f>
      </c>
      <c r="O67" s="44">
        <f>IF(OR(Planos!$A65="",NOT(ISNUMBER(Planos!$G65)),N(Planos!$E65)&lt;=0),0,IF(Planos!$G65&gt;EOMONTH(DATE(crono_ano_ref,10,1),0),0,MAX(0,INT((EOMONTH(DATE(crono_ano_ref,10,1),0)-IF(Planos!$G65&gt;=DATE(crono_ano_ref,10,1),Planos!$G65,Planos!$G65+CEILING((DATE(crono_ano_ref,10,1)-Planos!$G65)/Planos!$E65,1)*Planos!$E65))/Planos!$E65)+1)))</f>
      </c>
      <c r="P67" s="44">
        <f>IF(OR(Planos!$A65="",NOT(ISNUMBER(Planos!$G65)),N(Planos!$E65)&lt;=0),0,IF(Planos!$G65&gt;EOMONTH(DATE(crono_ano_ref,11,1),0),0,MAX(0,INT((EOMONTH(DATE(crono_ano_ref,11,1),0)-IF(Planos!$G65&gt;=DATE(crono_ano_ref,11,1),Planos!$G65,Planos!$G65+CEILING((DATE(crono_ano_ref,11,1)-Planos!$G65)/Planos!$E65,1)*Planos!$E65))/Planos!$E65)+1)))</f>
      </c>
      <c r="Q67" s="44">
        <f>IF(OR(Planos!$A65="",NOT(ISNUMBER(Planos!$G65)),N(Planos!$E65)&lt;=0),0,IF(Planos!$G65&gt;EOMONTH(DATE(crono_ano_ref,12,1),0),0,MAX(0,INT((EOMONTH(DATE(crono_ano_ref,12,1),0)-IF(Planos!$G65&gt;=DATE(crono_ano_ref,12,1),Planos!$G65,Planos!$G65+CEILING((DATE(crono_ano_ref,12,1)-Planos!$G65)/Planos!$E65,1)*Planos!$E65))/Planos!$E65)+1)))</f>
      </c>
      <c r="R67" s="44">
        <f>SUM(F67:Q67)</f>
      </c>
    </row>
    <row r="68" spans="1:18" x14ac:dyDescent="0.25">
      <c r="A68" s="24">
        <f>IF(Planos!$A66="","",Planos!A66&amp;"")</f>
      </c>
      <c r="B68" s="41">
        <f>IF(Planos!$A66="","",Planos!B66&amp;"")</f>
      </c>
      <c r="C68" s="24">
        <f>IF(Planos!$A66="","",Planos!C66&amp;"")</f>
      </c>
      <c r="D68" s="42">
        <f>IF(Planos!$A66="","",N(Planos!E66))</f>
      </c>
      <c r="E68" s="43">
        <f>IF(Planos!$A66="","",N(Planos!K66))</f>
      </c>
      <c r="F68" s="44">
        <f>IF(OR(Planos!$A66="",NOT(ISNUMBER(Planos!$G66)),N(Planos!$E66)&lt;=0),0,IF(Planos!$G66&gt;EOMONTH(DATE(crono_ano_ref,1,1),0),0,MAX(0,INT((EOMONTH(DATE(crono_ano_ref,1,1),0)-IF(Planos!$G66&gt;=DATE(crono_ano_ref,1,1),Planos!$G66,Planos!$G66+CEILING((DATE(crono_ano_ref,1,1)-Planos!$G66)/Planos!$E66,1)*Planos!$E66))/Planos!$E66)+1)))</f>
      </c>
      <c r="G68" s="44">
        <f>IF(OR(Planos!$A66="",NOT(ISNUMBER(Planos!$G66)),N(Planos!$E66)&lt;=0),0,IF(Planos!$G66&gt;EOMONTH(DATE(crono_ano_ref,2,1),0),0,MAX(0,INT((EOMONTH(DATE(crono_ano_ref,2,1),0)-IF(Planos!$G66&gt;=DATE(crono_ano_ref,2,1),Planos!$G66,Planos!$G66+CEILING((DATE(crono_ano_ref,2,1)-Planos!$G66)/Planos!$E66,1)*Planos!$E66))/Planos!$E66)+1)))</f>
      </c>
      <c r="H68" s="44">
        <f>IF(OR(Planos!$A66="",NOT(ISNUMBER(Planos!$G66)),N(Planos!$E66)&lt;=0),0,IF(Planos!$G66&gt;EOMONTH(DATE(crono_ano_ref,3,1),0),0,MAX(0,INT((EOMONTH(DATE(crono_ano_ref,3,1),0)-IF(Planos!$G66&gt;=DATE(crono_ano_ref,3,1),Planos!$G66,Planos!$G66+CEILING((DATE(crono_ano_ref,3,1)-Planos!$G66)/Planos!$E66,1)*Planos!$E66))/Planos!$E66)+1)))</f>
      </c>
      <c r="I68" s="44">
        <f>IF(OR(Planos!$A66="",NOT(ISNUMBER(Planos!$G66)),N(Planos!$E66)&lt;=0),0,IF(Planos!$G66&gt;EOMONTH(DATE(crono_ano_ref,4,1),0),0,MAX(0,INT((EOMONTH(DATE(crono_ano_ref,4,1),0)-IF(Planos!$G66&gt;=DATE(crono_ano_ref,4,1),Planos!$G66,Planos!$G66+CEILING((DATE(crono_ano_ref,4,1)-Planos!$G66)/Planos!$E66,1)*Planos!$E66))/Planos!$E66)+1)))</f>
      </c>
      <c r="J68" s="44">
        <f>IF(OR(Planos!$A66="",NOT(ISNUMBER(Planos!$G66)),N(Planos!$E66)&lt;=0),0,IF(Planos!$G66&gt;EOMONTH(DATE(crono_ano_ref,5,1),0),0,MAX(0,INT((EOMONTH(DATE(crono_ano_ref,5,1),0)-IF(Planos!$G66&gt;=DATE(crono_ano_ref,5,1),Planos!$G66,Planos!$G66+CEILING((DATE(crono_ano_ref,5,1)-Planos!$G66)/Planos!$E66,1)*Planos!$E66))/Planos!$E66)+1)))</f>
      </c>
      <c r="K68" s="44">
        <f>IF(OR(Planos!$A66="",NOT(ISNUMBER(Planos!$G66)),N(Planos!$E66)&lt;=0),0,IF(Planos!$G66&gt;EOMONTH(DATE(crono_ano_ref,6,1),0),0,MAX(0,INT((EOMONTH(DATE(crono_ano_ref,6,1),0)-IF(Planos!$G66&gt;=DATE(crono_ano_ref,6,1),Planos!$G66,Planos!$G66+CEILING((DATE(crono_ano_ref,6,1)-Planos!$G66)/Planos!$E66,1)*Planos!$E66))/Planos!$E66)+1)))</f>
      </c>
      <c r="L68" s="44">
        <f>IF(OR(Planos!$A66="",NOT(ISNUMBER(Planos!$G66)),N(Planos!$E66)&lt;=0),0,IF(Planos!$G66&gt;EOMONTH(DATE(crono_ano_ref,7,1),0),0,MAX(0,INT((EOMONTH(DATE(crono_ano_ref,7,1),0)-IF(Planos!$G66&gt;=DATE(crono_ano_ref,7,1),Planos!$G66,Planos!$G66+CEILING((DATE(crono_ano_ref,7,1)-Planos!$G66)/Planos!$E66,1)*Planos!$E66))/Planos!$E66)+1)))</f>
      </c>
      <c r="M68" s="44">
        <f>IF(OR(Planos!$A66="",NOT(ISNUMBER(Planos!$G66)),N(Planos!$E66)&lt;=0),0,IF(Planos!$G66&gt;EOMONTH(DATE(crono_ano_ref,8,1),0),0,MAX(0,INT((EOMONTH(DATE(crono_ano_ref,8,1),0)-IF(Planos!$G66&gt;=DATE(crono_ano_ref,8,1),Planos!$G66,Planos!$G66+CEILING((DATE(crono_ano_ref,8,1)-Planos!$G66)/Planos!$E66,1)*Planos!$E66))/Planos!$E66)+1)))</f>
      </c>
      <c r="N68" s="44">
        <f>IF(OR(Planos!$A66="",NOT(ISNUMBER(Planos!$G66)),N(Planos!$E66)&lt;=0),0,IF(Planos!$G66&gt;EOMONTH(DATE(crono_ano_ref,9,1),0),0,MAX(0,INT((EOMONTH(DATE(crono_ano_ref,9,1),0)-IF(Planos!$G66&gt;=DATE(crono_ano_ref,9,1),Planos!$G66,Planos!$G66+CEILING((DATE(crono_ano_ref,9,1)-Planos!$G66)/Planos!$E66,1)*Planos!$E66))/Planos!$E66)+1)))</f>
      </c>
      <c r="O68" s="44">
        <f>IF(OR(Planos!$A66="",NOT(ISNUMBER(Planos!$G66)),N(Planos!$E66)&lt;=0),0,IF(Planos!$G66&gt;EOMONTH(DATE(crono_ano_ref,10,1),0),0,MAX(0,INT((EOMONTH(DATE(crono_ano_ref,10,1),0)-IF(Planos!$G66&gt;=DATE(crono_ano_ref,10,1),Planos!$G66,Planos!$G66+CEILING((DATE(crono_ano_ref,10,1)-Planos!$G66)/Planos!$E66,1)*Planos!$E66))/Planos!$E66)+1)))</f>
      </c>
      <c r="P68" s="44">
        <f>IF(OR(Planos!$A66="",NOT(ISNUMBER(Planos!$G66)),N(Planos!$E66)&lt;=0),0,IF(Planos!$G66&gt;EOMONTH(DATE(crono_ano_ref,11,1),0),0,MAX(0,INT((EOMONTH(DATE(crono_ano_ref,11,1),0)-IF(Planos!$G66&gt;=DATE(crono_ano_ref,11,1),Planos!$G66,Planos!$G66+CEILING((DATE(crono_ano_ref,11,1)-Planos!$G66)/Planos!$E66,1)*Planos!$E66))/Planos!$E66)+1)))</f>
      </c>
      <c r="Q68" s="44">
        <f>IF(OR(Planos!$A66="",NOT(ISNUMBER(Planos!$G66)),N(Planos!$E66)&lt;=0),0,IF(Planos!$G66&gt;EOMONTH(DATE(crono_ano_ref,12,1),0),0,MAX(0,INT((EOMONTH(DATE(crono_ano_ref,12,1),0)-IF(Planos!$G66&gt;=DATE(crono_ano_ref,12,1),Planos!$G66,Planos!$G66+CEILING((DATE(crono_ano_ref,12,1)-Planos!$G66)/Planos!$E66,1)*Planos!$E66))/Planos!$E66)+1)))</f>
      </c>
      <c r="R68" s="44">
        <f>SUM(F68:Q68)</f>
      </c>
    </row>
    <row r="69" spans="1:18" x14ac:dyDescent="0.25">
      <c r="A69" s="24">
        <f>IF(Planos!$A67="","",Planos!A67&amp;"")</f>
      </c>
      <c r="B69" s="41">
        <f>IF(Planos!$A67="","",Planos!B67&amp;"")</f>
      </c>
      <c r="C69" s="24">
        <f>IF(Planos!$A67="","",Planos!C67&amp;"")</f>
      </c>
      <c r="D69" s="42">
        <f>IF(Planos!$A67="","",N(Planos!E67))</f>
      </c>
      <c r="E69" s="43">
        <f>IF(Planos!$A67="","",N(Planos!K67))</f>
      </c>
      <c r="F69" s="44">
        <f>IF(OR(Planos!$A67="",NOT(ISNUMBER(Planos!$G67)),N(Planos!$E67)&lt;=0),0,IF(Planos!$G67&gt;EOMONTH(DATE(crono_ano_ref,1,1),0),0,MAX(0,INT((EOMONTH(DATE(crono_ano_ref,1,1),0)-IF(Planos!$G67&gt;=DATE(crono_ano_ref,1,1),Planos!$G67,Planos!$G67+CEILING((DATE(crono_ano_ref,1,1)-Planos!$G67)/Planos!$E67,1)*Planos!$E67))/Planos!$E67)+1)))</f>
      </c>
      <c r="G69" s="44">
        <f>IF(OR(Planos!$A67="",NOT(ISNUMBER(Planos!$G67)),N(Planos!$E67)&lt;=0),0,IF(Planos!$G67&gt;EOMONTH(DATE(crono_ano_ref,2,1),0),0,MAX(0,INT((EOMONTH(DATE(crono_ano_ref,2,1),0)-IF(Planos!$G67&gt;=DATE(crono_ano_ref,2,1),Planos!$G67,Planos!$G67+CEILING((DATE(crono_ano_ref,2,1)-Planos!$G67)/Planos!$E67,1)*Planos!$E67))/Planos!$E67)+1)))</f>
      </c>
      <c r="H69" s="44">
        <f>IF(OR(Planos!$A67="",NOT(ISNUMBER(Planos!$G67)),N(Planos!$E67)&lt;=0),0,IF(Planos!$G67&gt;EOMONTH(DATE(crono_ano_ref,3,1),0),0,MAX(0,INT((EOMONTH(DATE(crono_ano_ref,3,1),0)-IF(Planos!$G67&gt;=DATE(crono_ano_ref,3,1),Planos!$G67,Planos!$G67+CEILING((DATE(crono_ano_ref,3,1)-Planos!$G67)/Planos!$E67,1)*Planos!$E67))/Planos!$E67)+1)))</f>
      </c>
      <c r="I69" s="44">
        <f>IF(OR(Planos!$A67="",NOT(ISNUMBER(Planos!$G67)),N(Planos!$E67)&lt;=0),0,IF(Planos!$G67&gt;EOMONTH(DATE(crono_ano_ref,4,1),0),0,MAX(0,INT((EOMONTH(DATE(crono_ano_ref,4,1),0)-IF(Planos!$G67&gt;=DATE(crono_ano_ref,4,1),Planos!$G67,Planos!$G67+CEILING((DATE(crono_ano_ref,4,1)-Planos!$G67)/Planos!$E67,1)*Planos!$E67))/Planos!$E67)+1)))</f>
      </c>
      <c r="J69" s="44">
        <f>IF(OR(Planos!$A67="",NOT(ISNUMBER(Planos!$G67)),N(Planos!$E67)&lt;=0),0,IF(Planos!$G67&gt;EOMONTH(DATE(crono_ano_ref,5,1),0),0,MAX(0,INT((EOMONTH(DATE(crono_ano_ref,5,1),0)-IF(Planos!$G67&gt;=DATE(crono_ano_ref,5,1),Planos!$G67,Planos!$G67+CEILING((DATE(crono_ano_ref,5,1)-Planos!$G67)/Planos!$E67,1)*Planos!$E67))/Planos!$E67)+1)))</f>
      </c>
      <c r="K69" s="44">
        <f>IF(OR(Planos!$A67="",NOT(ISNUMBER(Planos!$G67)),N(Planos!$E67)&lt;=0),0,IF(Planos!$G67&gt;EOMONTH(DATE(crono_ano_ref,6,1),0),0,MAX(0,INT((EOMONTH(DATE(crono_ano_ref,6,1),0)-IF(Planos!$G67&gt;=DATE(crono_ano_ref,6,1),Planos!$G67,Planos!$G67+CEILING((DATE(crono_ano_ref,6,1)-Planos!$G67)/Planos!$E67,1)*Planos!$E67))/Planos!$E67)+1)))</f>
      </c>
      <c r="L69" s="44">
        <f>IF(OR(Planos!$A67="",NOT(ISNUMBER(Planos!$G67)),N(Planos!$E67)&lt;=0),0,IF(Planos!$G67&gt;EOMONTH(DATE(crono_ano_ref,7,1),0),0,MAX(0,INT((EOMONTH(DATE(crono_ano_ref,7,1),0)-IF(Planos!$G67&gt;=DATE(crono_ano_ref,7,1),Planos!$G67,Planos!$G67+CEILING((DATE(crono_ano_ref,7,1)-Planos!$G67)/Planos!$E67,1)*Planos!$E67))/Planos!$E67)+1)))</f>
      </c>
      <c r="M69" s="44">
        <f>IF(OR(Planos!$A67="",NOT(ISNUMBER(Planos!$G67)),N(Planos!$E67)&lt;=0),0,IF(Planos!$G67&gt;EOMONTH(DATE(crono_ano_ref,8,1),0),0,MAX(0,INT((EOMONTH(DATE(crono_ano_ref,8,1),0)-IF(Planos!$G67&gt;=DATE(crono_ano_ref,8,1),Planos!$G67,Planos!$G67+CEILING((DATE(crono_ano_ref,8,1)-Planos!$G67)/Planos!$E67,1)*Planos!$E67))/Planos!$E67)+1)))</f>
      </c>
      <c r="N69" s="44">
        <f>IF(OR(Planos!$A67="",NOT(ISNUMBER(Planos!$G67)),N(Planos!$E67)&lt;=0),0,IF(Planos!$G67&gt;EOMONTH(DATE(crono_ano_ref,9,1),0),0,MAX(0,INT((EOMONTH(DATE(crono_ano_ref,9,1),0)-IF(Planos!$G67&gt;=DATE(crono_ano_ref,9,1),Planos!$G67,Planos!$G67+CEILING((DATE(crono_ano_ref,9,1)-Planos!$G67)/Planos!$E67,1)*Planos!$E67))/Planos!$E67)+1)))</f>
      </c>
      <c r="O69" s="44">
        <f>IF(OR(Planos!$A67="",NOT(ISNUMBER(Planos!$G67)),N(Planos!$E67)&lt;=0),0,IF(Planos!$G67&gt;EOMONTH(DATE(crono_ano_ref,10,1),0),0,MAX(0,INT((EOMONTH(DATE(crono_ano_ref,10,1),0)-IF(Planos!$G67&gt;=DATE(crono_ano_ref,10,1),Planos!$G67,Planos!$G67+CEILING((DATE(crono_ano_ref,10,1)-Planos!$G67)/Planos!$E67,1)*Planos!$E67))/Planos!$E67)+1)))</f>
      </c>
      <c r="P69" s="44">
        <f>IF(OR(Planos!$A67="",NOT(ISNUMBER(Planos!$G67)),N(Planos!$E67)&lt;=0),0,IF(Planos!$G67&gt;EOMONTH(DATE(crono_ano_ref,11,1),0),0,MAX(0,INT((EOMONTH(DATE(crono_ano_ref,11,1),0)-IF(Planos!$G67&gt;=DATE(crono_ano_ref,11,1),Planos!$G67,Planos!$G67+CEILING((DATE(crono_ano_ref,11,1)-Planos!$G67)/Planos!$E67,1)*Planos!$E67))/Planos!$E67)+1)))</f>
      </c>
      <c r="Q69" s="44">
        <f>IF(OR(Planos!$A67="",NOT(ISNUMBER(Planos!$G67)),N(Planos!$E67)&lt;=0),0,IF(Planos!$G67&gt;EOMONTH(DATE(crono_ano_ref,12,1),0),0,MAX(0,INT((EOMONTH(DATE(crono_ano_ref,12,1),0)-IF(Planos!$G67&gt;=DATE(crono_ano_ref,12,1),Planos!$G67,Planos!$G67+CEILING((DATE(crono_ano_ref,12,1)-Planos!$G67)/Planos!$E67,1)*Planos!$E67))/Planos!$E67)+1)))</f>
      </c>
      <c r="R69" s="44">
        <f>SUM(F69:Q69)</f>
      </c>
    </row>
    <row r="70" spans="1:18" x14ac:dyDescent="0.25">
      <c r="A70" s="24">
        <f>IF(Planos!$A68="","",Planos!A68&amp;"")</f>
      </c>
      <c r="B70" s="41">
        <f>IF(Planos!$A68="","",Planos!B68&amp;"")</f>
      </c>
      <c r="C70" s="24">
        <f>IF(Planos!$A68="","",Planos!C68&amp;"")</f>
      </c>
      <c r="D70" s="42">
        <f>IF(Planos!$A68="","",N(Planos!E68))</f>
      </c>
      <c r="E70" s="43">
        <f>IF(Planos!$A68="","",N(Planos!K68))</f>
      </c>
      <c r="F70" s="44">
        <f>IF(OR(Planos!$A68="",NOT(ISNUMBER(Planos!$G68)),N(Planos!$E68)&lt;=0),0,IF(Planos!$G68&gt;EOMONTH(DATE(crono_ano_ref,1,1),0),0,MAX(0,INT((EOMONTH(DATE(crono_ano_ref,1,1),0)-IF(Planos!$G68&gt;=DATE(crono_ano_ref,1,1),Planos!$G68,Planos!$G68+CEILING((DATE(crono_ano_ref,1,1)-Planos!$G68)/Planos!$E68,1)*Planos!$E68))/Planos!$E68)+1)))</f>
      </c>
      <c r="G70" s="44">
        <f>IF(OR(Planos!$A68="",NOT(ISNUMBER(Planos!$G68)),N(Planos!$E68)&lt;=0),0,IF(Planos!$G68&gt;EOMONTH(DATE(crono_ano_ref,2,1),0),0,MAX(0,INT((EOMONTH(DATE(crono_ano_ref,2,1),0)-IF(Planos!$G68&gt;=DATE(crono_ano_ref,2,1),Planos!$G68,Planos!$G68+CEILING((DATE(crono_ano_ref,2,1)-Planos!$G68)/Planos!$E68,1)*Planos!$E68))/Planos!$E68)+1)))</f>
      </c>
      <c r="H70" s="44">
        <f>IF(OR(Planos!$A68="",NOT(ISNUMBER(Planos!$G68)),N(Planos!$E68)&lt;=0),0,IF(Planos!$G68&gt;EOMONTH(DATE(crono_ano_ref,3,1),0),0,MAX(0,INT((EOMONTH(DATE(crono_ano_ref,3,1),0)-IF(Planos!$G68&gt;=DATE(crono_ano_ref,3,1),Planos!$G68,Planos!$G68+CEILING((DATE(crono_ano_ref,3,1)-Planos!$G68)/Planos!$E68,1)*Planos!$E68))/Planos!$E68)+1)))</f>
      </c>
      <c r="I70" s="44">
        <f>IF(OR(Planos!$A68="",NOT(ISNUMBER(Planos!$G68)),N(Planos!$E68)&lt;=0),0,IF(Planos!$G68&gt;EOMONTH(DATE(crono_ano_ref,4,1),0),0,MAX(0,INT((EOMONTH(DATE(crono_ano_ref,4,1),0)-IF(Planos!$G68&gt;=DATE(crono_ano_ref,4,1),Planos!$G68,Planos!$G68+CEILING((DATE(crono_ano_ref,4,1)-Planos!$G68)/Planos!$E68,1)*Planos!$E68))/Planos!$E68)+1)))</f>
      </c>
      <c r="J70" s="44">
        <f>IF(OR(Planos!$A68="",NOT(ISNUMBER(Planos!$G68)),N(Planos!$E68)&lt;=0),0,IF(Planos!$G68&gt;EOMONTH(DATE(crono_ano_ref,5,1),0),0,MAX(0,INT((EOMONTH(DATE(crono_ano_ref,5,1),0)-IF(Planos!$G68&gt;=DATE(crono_ano_ref,5,1),Planos!$G68,Planos!$G68+CEILING((DATE(crono_ano_ref,5,1)-Planos!$G68)/Planos!$E68,1)*Planos!$E68))/Planos!$E68)+1)))</f>
      </c>
      <c r="K70" s="44">
        <f>IF(OR(Planos!$A68="",NOT(ISNUMBER(Planos!$G68)),N(Planos!$E68)&lt;=0),0,IF(Planos!$G68&gt;EOMONTH(DATE(crono_ano_ref,6,1),0),0,MAX(0,INT((EOMONTH(DATE(crono_ano_ref,6,1),0)-IF(Planos!$G68&gt;=DATE(crono_ano_ref,6,1),Planos!$G68,Planos!$G68+CEILING((DATE(crono_ano_ref,6,1)-Planos!$G68)/Planos!$E68,1)*Planos!$E68))/Planos!$E68)+1)))</f>
      </c>
      <c r="L70" s="44">
        <f>IF(OR(Planos!$A68="",NOT(ISNUMBER(Planos!$G68)),N(Planos!$E68)&lt;=0),0,IF(Planos!$G68&gt;EOMONTH(DATE(crono_ano_ref,7,1),0),0,MAX(0,INT((EOMONTH(DATE(crono_ano_ref,7,1),0)-IF(Planos!$G68&gt;=DATE(crono_ano_ref,7,1),Planos!$G68,Planos!$G68+CEILING((DATE(crono_ano_ref,7,1)-Planos!$G68)/Planos!$E68,1)*Planos!$E68))/Planos!$E68)+1)))</f>
      </c>
      <c r="M70" s="44">
        <f>IF(OR(Planos!$A68="",NOT(ISNUMBER(Planos!$G68)),N(Planos!$E68)&lt;=0),0,IF(Planos!$G68&gt;EOMONTH(DATE(crono_ano_ref,8,1),0),0,MAX(0,INT((EOMONTH(DATE(crono_ano_ref,8,1),0)-IF(Planos!$G68&gt;=DATE(crono_ano_ref,8,1),Planos!$G68,Planos!$G68+CEILING((DATE(crono_ano_ref,8,1)-Planos!$G68)/Planos!$E68,1)*Planos!$E68))/Planos!$E68)+1)))</f>
      </c>
      <c r="N70" s="44">
        <f>IF(OR(Planos!$A68="",NOT(ISNUMBER(Planos!$G68)),N(Planos!$E68)&lt;=0),0,IF(Planos!$G68&gt;EOMONTH(DATE(crono_ano_ref,9,1),0),0,MAX(0,INT((EOMONTH(DATE(crono_ano_ref,9,1),0)-IF(Planos!$G68&gt;=DATE(crono_ano_ref,9,1),Planos!$G68,Planos!$G68+CEILING((DATE(crono_ano_ref,9,1)-Planos!$G68)/Planos!$E68,1)*Planos!$E68))/Planos!$E68)+1)))</f>
      </c>
      <c r="O70" s="44">
        <f>IF(OR(Planos!$A68="",NOT(ISNUMBER(Planos!$G68)),N(Planos!$E68)&lt;=0),0,IF(Planos!$G68&gt;EOMONTH(DATE(crono_ano_ref,10,1),0),0,MAX(0,INT((EOMONTH(DATE(crono_ano_ref,10,1),0)-IF(Planos!$G68&gt;=DATE(crono_ano_ref,10,1),Planos!$G68,Planos!$G68+CEILING((DATE(crono_ano_ref,10,1)-Planos!$G68)/Planos!$E68,1)*Planos!$E68))/Planos!$E68)+1)))</f>
      </c>
      <c r="P70" s="44">
        <f>IF(OR(Planos!$A68="",NOT(ISNUMBER(Planos!$G68)),N(Planos!$E68)&lt;=0),0,IF(Planos!$G68&gt;EOMONTH(DATE(crono_ano_ref,11,1),0),0,MAX(0,INT((EOMONTH(DATE(crono_ano_ref,11,1),0)-IF(Planos!$G68&gt;=DATE(crono_ano_ref,11,1),Planos!$G68,Planos!$G68+CEILING((DATE(crono_ano_ref,11,1)-Planos!$G68)/Planos!$E68,1)*Planos!$E68))/Planos!$E68)+1)))</f>
      </c>
      <c r="Q70" s="44">
        <f>IF(OR(Planos!$A68="",NOT(ISNUMBER(Planos!$G68)),N(Planos!$E68)&lt;=0),0,IF(Planos!$G68&gt;EOMONTH(DATE(crono_ano_ref,12,1),0),0,MAX(0,INT((EOMONTH(DATE(crono_ano_ref,12,1),0)-IF(Planos!$G68&gt;=DATE(crono_ano_ref,12,1),Planos!$G68,Planos!$G68+CEILING((DATE(crono_ano_ref,12,1)-Planos!$G68)/Planos!$E68,1)*Planos!$E68))/Planos!$E68)+1)))</f>
      </c>
      <c r="R70" s="44">
        <f>SUM(F70:Q70)</f>
      </c>
    </row>
    <row r="71" spans="1:18" x14ac:dyDescent="0.25">
      <c r="A71" s="24">
        <f>IF(Planos!$A69="","",Planos!A69&amp;"")</f>
      </c>
      <c r="B71" s="41">
        <f>IF(Planos!$A69="","",Planos!B69&amp;"")</f>
      </c>
      <c r="C71" s="24">
        <f>IF(Planos!$A69="","",Planos!C69&amp;"")</f>
      </c>
      <c r="D71" s="42">
        <f>IF(Planos!$A69="","",N(Planos!E69))</f>
      </c>
      <c r="E71" s="43">
        <f>IF(Planos!$A69="","",N(Planos!K69))</f>
      </c>
      <c r="F71" s="44">
        <f>IF(OR(Planos!$A69="",NOT(ISNUMBER(Planos!$G69)),N(Planos!$E69)&lt;=0),0,IF(Planos!$G69&gt;EOMONTH(DATE(crono_ano_ref,1,1),0),0,MAX(0,INT((EOMONTH(DATE(crono_ano_ref,1,1),0)-IF(Planos!$G69&gt;=DATE(crono_ano_ref,1,1),Planos!$G69,Planos!$G69+CEILING((DATE(crono_ano_ref,1,1)-Planos!$G69)/Planos!$E69,1)*Planos!$E69))/Planos!$E69)+1)))</f>
      </c>
      <c r="G71" s="44">
        <f>IF(OR(Planos!$A69="",NOT(ISNUMBER(Planos!$G69)),N(Planos!$E69)&lt;=0),0,IF(Planos!$G69&gt;EOMONTH(DATE(crono_ano_ref,2,1),0),0,MAX(0,INT((EOMONTH(DATE(crono_ano_ref,2,1),0)-IF(Planos!$G69&gt;=DATE(crono_ano_ref,2,1),Planos!$G69,Planos!$G69+CEILING((DATE(crono_ano_ref,2,1)-Planos!$G69)/Planos!$E69,1)*Planos!$E69))/Planos!$E69)+1)))</f>
      </c>
      <c r="H71" s="44">
        <f>IF(OR(Planos!$A69="",NOT(ISNUMBER(Planos!$G69)),N(Planos!$E69)&lt;=0),0,IF(Planos!$G69&gt;EOMONTH(DATE(crono_ano_ref,3,1),0),0,MAX(0,INT((EOMONTH(DATE(crono_ano_ref,3,1),0)-IF(Planos!$G69&gt;=DATE(crono_ano_ref,3,1),Planos!$G69,Planos!$G69+CEILING((DATE(crono_ano_ref,3,1)-Planos!$G69)/Planos!$E69,1)*Planos!$E69))/Planos!$E69)+1)))</f>
      </c>
      <c r="I71" s="44">
        <f>IF(OR(Planos!$A69="",NOT(ISNUMBER(Planos!$G69)),N(Planos!$E69)&lt;=0),0,IF(Planos!$G69&gt;EOMONTH(DATE(crono_ano_ref,4,1),0),0,MAX(0,INT((EOMONTH(DATE(crono_ano_ref,4,1),0)-IF(Planos!$G69&gt;=DATE(crono_ano_ref,4,1),Planos!$G69,Planos!$G69+CEILING((DATE(crono_ano_ref,4,1)-Planos!$G69)/Planos!$E69,1)*Planos!$E69))/Planos!$E69)+1)))</f>
      </c>
      <c r="J71" s="44">
        <f>IF(OR(Planos!$A69="",NOT(ISNUMBER(Planos!$G69)),N(Planos!$E69)&lt;=0),0,IF(Planos!$G69&gt;EOMONTH(DATE(crono_ano_ref,5,1),0),0,MAX(0,INT((EOMONTH(DATE(crono_ano_ref,5,1),0)-IF(Planos!$G69&gt;=DATE(crono_ano_ref,5,1),Planos!$G69,Planos!$G69+CEILING((DATE(crono_ano_ref,5,1)-Planos!$G69)/Planos!$E69,1)*Planos!$E69))/Planos!$E69)+1)))</f>
      </c>
      <c r="K71" s="44">
        <f>IF(OR(Planos!$A69="",NOT(ISNUMBER(Planos!$G69)),N(Planos!$E69)&lt;=0),0,IF(Planos!$G69&gt;EOMONTH(DATE(crono_ano_ref,6,1),0),0,MAX(0,INT((EOMONTH(DATE(crono_ano_ref,6,1),0)-IF(Planos!$G69&gt;=DATE(crono_ano_ref,6,1),Planos!$G69,Planos!$G69+CEILING((DATE(crono_ano_ref,6,1)-Planos!$G69)/Planos!$E69,1)*Planos!$E69))/Planos!$E69)+1)))</f>
      </c>
      <c r="L71" s="44">
        <f>IF(OR(Planos!$A69="",NOT(ISNUMBER(Planos!$G69)),N(Planos!$E69)&lt;=0),0,IF(Planos!$G69&gt;EOMONTH(DATE(crono_ano_ref,7,1),0),0,MAX(0,INT((EOMONTH(DATE(crono_ano_ref,7,1),0)-IF(Planos!$G69&gt;=DATE(crono_ano_ref,7,1),Planos!$G69,Planos!$G69+CEILING((DATE(crono_ano_ref,7,1)-Planos!$G69)/Planos!$E69,1)*Planos!$E69))/Planos!$E69)+1)))</f>
      </c>
      <c r="M71" s="44">
        <f>IF(OR(Planos!$A69="",NOT(ISNUMBER(Planos!$G69)),N(Planos!$E69)&lt;=0),0,IF(Planos!$G69&gt;EOMONTH(DATE(crono_ano_ref,8,1),0),0,MAX(0,INT((EOMONTH(DATE(crono_ano_ref,8,1),0)-IF(Planos!$G69&gt;=DATE(crono_ano_ref,8,1),Planos!$G69,Planos!$G69+CEILING((DATE(crono_ano_ref,8,1)-Planos!$G69)/Planos!$E69,1)*Planos!$E69))/Planos!$E69)+1)))</f>
      </c>
      <c r="N71" s="44">
        <f>IF(OR(Planos!$A69="",NOT(ISNUMBER(Planos!$G69)),N(Planos!$E69)&lt;=0),0,IF(Planos!$G69&gt;EOMONTH(DATE(crono_ano_ref,9,1),0),0,MAX(0,INT((EOMONTH(DATE(crono_ano_ref,9,1),0)-IF(Planos!$G69&gt;=DATE(crono_ano_ref,9,1),Planos!$G69,Planos!$G69+CEILING((DATE(crono_ano_ref,9,1)-Planos!$G69)/Planos!$E69,1)*Planos!$E69))/Planos!$E69)+1)))</f>
      </c>
      <c r="O71" s="44">
        <f>IF(OR(Planos!$A69="",NOT(ISNUMBER(Planos!$G69)),N(Planos!$E69)&lt;=0),0,IF(Planos!$G69&gt;EOMONTH(DATE(crono_ano_ref,10,1),0),0,MAX(0,INT((EOMONTH(DATE(crono_ano_ref,10,1),0)-IF(Planos!$G69&gt;=DATE(crono_ano_ref,10,1),Planos!$G69,Planos!$G69+CEILING((DATE(crono_ano_ref,10,1)-Planos!$G69)/Planos!$E69,1)*Planos!$E69))/Planos!$E69)+1)))</f>
      </c>
      <c r="P71" s="44">
        <f>IF(OR(Planos!$A69="",NOT(ISNUMBER(Planos!$G69)),N(Planos!$E69)&lt;=0),0,IF(Planos!$G69&gt;EOMONTH(DATE(crono_ano_ref,11,1),0),0,MAX(0,INT((EOMONTH(DATE(crono_ano_ref,11,1),0)-IF(Planos!$G69&gt;=DATE(crono_ano_ref,11,1),Planos!$G69,Planos!$G69+CEILING((DATE(crono_ano_ref,11,1)-Planos!$G69)/Planos!$E69,1)*Planos!$E69))/Planos!$E69)+1)))</f>
      </c>
      <c r="Q71" s="44">
        <f>IF(OR(Planos!$A69="",NOT(ISNUMBER(Planos!$G69)),N(Planos!$E69)&lt;=0),0,IF(Planos!$G69&gt;EOMONTH(DATE(crono_ano_ref,12,1),0),0,MAX(0,INT((EOMONTH(DATE(crono_ano_ref,12,1),0)-IF(Planos!$G69&gt;=DATE(crono_ano_ref,12,1),Planos!$G69,Planos!$G69+CEILING((DATE(crono_ano_ref,12,1)-Planos!$G69)/Planos!$E69,1)*Planos!$E69))/Planos!$E69)+1)))</f>
      </c>
      <c r="R71" s="44">
        <f>SUM(F71:Q71)</f>
      </c>
    </row>
    <row r="72" spans="1:18" x14ac:dyDescent="0.25">
      <c r="A72" s="24">
        <f>IF(Planos!$A70="","",Planos!A70&amp;"")</f>
      </c>
      <c r="B72" s="41">
        <f>IF(Planos!$A70="","",Planos!B70&amp;"")</f>
      </c>
      <c r="C72" s="24">
        <f>IF(Planos!$A70="","",Planos!C70&amp;"")</f>
      </c>
      <c r="D72" s="42">
        <f>IF(Planos!$A70="","",N(Planos!E70))</f>
      </c>
      <c r="E72" s="43">
        <f>IF(Planos!$A70="","",N(Planos!K70))</f>
      </c>
      <c r="F72" s="44">
        <f>IF(OR(Planos!$A70="",NOT(ISNUMBER(Planos!$G70)),N(Planos!$E70)&lt;=0),0,IF(Planos!$G70&gt;EOMONTH(DATE(crono_ano_ref,1,1),0),0,MAX(0,INT((EOMONTH(DATE(crono_ano_ref,1,1),0)-IF(Planos!$G70&gt;=DATE(crono_ano_ref,1,1),Planos!$G70,Planos!$G70+CEILING((DATE(crono_ano_ref,1,1)-Planos!$G70)/Planos!$E70,1)*Planos!$E70))/Planos!$E70)+1)))</f>
      </c>
      <c r="G72" s="44">
        <f>IF(OR(Planos!$A70="",NOT(ISNUMBER(Planos!$G70)),N(Planos!$E70)&lt;=0),0,IF(Planos!$G70&gt;EOMONTH(DATE(crono_ano_ref,2,1),0),0,MAX(0,INT((EOMONTH(DATE(crono_ano_ref,2,1),0)-IF(Planos!$G70&gt;=DATE(crono_ano_ref,2,1),Planos!$G70,Planos!$G70+CEILING((DATE(crono_ano_ref,2,1)-Planos!$G70)/Planos!$E70,1)*Planos!$E70))/Planos!$E70)+1)))</f>
      </c>
      <c r="H72" s="44">
        <f>IF(OR(Planos!$A70="",NOT(ISNUMBER(Planos!$G70)),N(Planos!$E70)&lt;=0),0,IF(Planos!$G70&gt;EOMONTH(DATE(crono_ano_ref,3,1),0),0,MAX(0,INT((EOMONTH(DATE(crono_ano_ref,3,1),0)-IF(Planos!$G70&gt;=DATE(crono_ano_ref,3,1),Planos!$G70,Planos!$G70+CEILING((DATE(crono_ano_ref,3,1)-Planos!$G70)/Planos!$E70,1)*Planos!$E70))/Planos!$E70)+1)))</f>
      </c>
      <c r="I72" s="44">
        <f>IF(OR(Planos!$A70="",NOT(ISNUMBER(Planos!$G70)),N(Planos!$E70)&lt;=0),0,IF(Planos!$G70&gt;EOMONTH(DATE(crono_ano_ref,4,1),0),0,MAX(0,INT((EOMONTH(DATE(crono_ano_ref,4,1),0)-IF(Planos!$G70&gt;=DATE(crono_ano_ref,4,1),Planos!$G70,Planos!$G70+CEILING((DATE(crono_ano_ref,4,1)-Planos!$G70)/Planos!$E70,1)*Planos!$E70))/Planos!$E70)+1)))</f>
      </c>
      <c r="J72" s="44">
        <f>IF(OR(Planos!$A70="",NOT(ISNUMBER(Planos!$G70)),N(Planos!$E70)&lt;=0),0,IF(Planos!$G70&gt;EOMONTH(DATE(crono_ano_ref,5,1),0),0,MAX(0,INT((EOMONTH(DATE(crono_ano_ref,5,1),0)-IF(Planos!$G70&gt;=DATE(crono_ano_ref,5,1),Planos!$G70,Planos!$G70+CEILING((DATE(crono_ano_ref,5,1)-Planos!$G70)/Planos!$E70,1)*Planos!$E70))/Planos!$E70)+1)))</f>
      </c>
      <c r="K72" s="44">
        <f>IF(OR(Planos!$A70="",NOT(ISNUMBER(Planos!$G70)),N(Planos!$E70)&lt;=0),0,IF(Planos!$G70&gt;EOMONTH(DATE(crono_ano_ref,6,1),0),0,MAX(0,INT((EOMONTH(DATE(crono_ano_ref,6,1),0)-IF(Planos!$G70&gt;=DATE(crono_ano_ref,6,1),Planos!$G70,Planos!$G70+CEILING((DATE(crono_ano_ref,6,1)-Planos!$G70)/Planos!$E70,1)*Planos!$E70))/Planos!$E70)+1)))</f>
      </c>
      <c r="L72" s="44">
        <f>IF(OR(Planos!$A70="",NOT(ISNUMBER(Planos!$G70)),N(Planos!$E70)&lt;=0),0,IF(Planos!$G70&gt;EOMONTH(DATE(crono_ano_ref,7,1),0),0,MAX(0,INT((EOMONTH(DATE(crono_ano_ref,7,1),0)-IF(Planos!$G70&gt;=DATE(crono_ano_ref,7,1),Planos!$G70,Planos!$G70+CEILING((DATE(crono_ano_ref,7,1)-Planos!$G70)/Planos!$E70,1)*Planos!$E70))/Planos!$E70)+1)))</f>
      </c>
      <c r="M72" s="44">
        <f>IF(OR(Planos!$A70="",NOT(ISNUMBER(Planos!$G70)),N(Planos!$E70)&lt;=0),0,IF(Planos!$G70&gt;EOMONTH(DATE(crono_ano_ref,8,1),0),0,MAX(0,INT((EOMONTH(DATE(crono_ano_ref,8,1),0)-IF(Planos!$G70&gt;=DATE(crono_ano_ref,8,1),Planos!$G70,Planos!$G70+CEILING((DATE(crono_ano_ref,8,1)-Planos!$G70)/Planos!$E70,1)*Planos!$E70))/Planos!$E70)+1)))</f>
      </c>
      <c r="N72" s="44">
        <f>IF(OR(Planos!$A70="",NOT(ISNUMBER(Planos!$G70)),N(Planos!$E70)&lt;=0),0,IF(Planos!$G70&gt;EOMONTH(DATE(crono_ano_ref,9,1),0),0,MAX(0,INT((EOMONTH(DATE(crono_ano_ref,9,1),0)-IF(Planos!$G70&gt;=DATE(crono_ano_ref,9,1),Planos!$G70,Planos!$G70+CEILING((DATE(crono_ano_ref,9,1)-Planos!$G70)/Planos!$E70,1)*Planos!$E70))/Planos!$E70)+1)))</f>
      </c>
      <c r="O72" s="44">
        <f>IF(OR(Planos!$A70="",NOT(ISNUMBER(Planos!$G70)),N(Planos!$E70)&lt;=0),0,IF(Planos!$G70&gt;EOMONTH(DATE(crono_ano_ref,10,1),0),0,MAX(0,INT((EOMONTH(DATE(crono_ano_ref,10,1),0)-IF(Planos!$G70&gt;=DATE(crono_ano_ref,10,1),Planos!$G70,Planos!$G70+CEILING((DATE(crono_ano_ref,10,1)-Planos!$G70)/Planos!$E70,1)*Planos!$E70))/Planos!$E70)+1)))</f>
      </c>
      <c r="P72" s="44">
        <f>IF(OR(Planos!$A70="",NOT(ISNUMBER(Planos!$G70)),N(Planos!$E70)&lt;=0),0,IF(Planos!$G70&gt;EOMONTH(DATE(crono_ano_ref,11,1),0),0,MAX(0,INT((EOMONTH(DATE(crono_ano_ref,11,1),0)-IF(Planos!$G70&gt;=DATE(crono_ano_ref,11,1),Planos!$G70,Planos!$G70+CEILING((DATE(crono_ano_ref,11,1)-Planos!$G70)/Planos!$E70,1)*Planos!$E70))/Planos!$E70)+1)))</f>
      </c>
      <c r="Q72" s="44">
        <f>IF(OR(Planos!$A70="",NOT(ISNUMBER(Planos!$G70)),N(Planos!$E70)&lt;=0),0,IF(Planos!$G70&gt;EOMONTH(DATE(crono_ano_ref,12,1),0),0,MAX(0,INT((EOMONTH(DATE(crono_ano_ref,12,1),0)-IF(Planos!$G70&gt;=DATE(crono_ano_ref,12,1),Planos!$G70,Planos!$G70+CEILING((DATE(crono_ano_ref,12,1)-Planos!$G70)/Planos!$E70,1)*Planos!$E70))/Planos!$E70)+1)))</f>
      </c>
      <c r="R72" s="44">
        <f>SUM(F72:Q72)</f>
      </c>
    </row>
    <row r="73" spans="1:18" x14ac:dyDescent="0.25">
      <c r="A73" s="24">
        <f>IF(Planos!$A71="","",Planos!A71&amp;"")</f>
      </c>
      <c r="B73" s="41">
        <f>IF(Planos!$A71="","",Planos!B71&amp;"")</f>
      </c>
      <c r="C73" s="24">
        <f>IF(Planos!$A71="","",Planos!C71&amp;"")</f>
      </c>
      <c r="D73" s="42">
        <f>IF(Planos!$A71="","",N(Planos!E71))</f>
      </c>
      <c r="E73" s="43">
        <f>IF(Planos!$A71="","",N(Planos!K71))</f>
      </c>
      <c r="F73" s="44">
        <f>IF(OR(Planos!$A71="",NOT(ISNUMBER(Planos!$G71)),N(Planos!$E71)&lt;=0),0,IF(Planos!$G71&gt;EOMONTH(DATE(crono_ano_ref,1,1),0),0,MAX(0,INT((EOMONTH(DATE(crono_ano_ref,1,1),0)-IF(Planos!$G71&gt;=DATE(crono_ano_ref,1,1),Planos!$G71,Planos!$G71+CEILING((DATE(crono_ano_ref,1,1)-Planos!$G71)/Planos!$E71,1)*Planos!$E71))/Planos!$E71)+1)))</f>
      </c>
      <c r="G73" s="44">
        <f>IF(OR(Planos!$A71="",NOT(ISNUMBER(Planos!$G71)),N(Planos!$E71)&lt;=0),0,IF(Planos!$G71&gt;EOMONTH(DATE(crono_ano_ref,2,1),0),0,MAX(0,INT((EOMONTH(DATE(crono_ano_ref,2,1),0)-IF(Planos!$G71&gt;=DATE(crono_ano_ref,2,1),Planos!$G71,Planos!$G71+CEILING((DATE(crono_ano_ref,2,1)-Planos!$G71)/Planos!$E71,1)*Planos!$E71))/Planos!$E71)+1)))</f>
      </c>
      <c r="H73" s="44">
        <f>IF(OR(Planos!$A71="",NOT(ISNUMBER(Planos!$G71)),N(Planos!$E71)&lt;=0),0,IF(Planos!$G71&gt;EOMONTH(DATE(crono_ano_ref,3,1),0),0,MAX(0,INT((EOMONTH(DATE(crono_ano_ref,3,1),0)-IF(Planos!$G71&gt;=DATE(crono_ano_ref,3,1),Planos!$G71,Planos!$G71+CEILING((DATE(crono_ano_ref,3,1)-Planos!$G71)/Planos!$E71,1)*Planos!$E71))/Planos!$E71)+1)))</f>
      </c>
      <c r="I73" s="44">
        <f>IF(OR(Planos!$A71="",NOT(ISNUMBER(Planos!$G71)),N(Planos!$E71)&lt;=0),0,IF(Planos!$G71&gt;EOMONTH(DATE(crono_ano_ref,4,1),0),0,MAX(0,INT((EOMONTH(DATE(crono_ano_ref,4,1),0)-IF(Planos!$G71&gt;=DATE(crono_ano_ref,4,1),Planos!$G71,Planos!$G71+CEILING((DATE(crono_ano_ref,4,1)-Planos!$G71)/Planos!$E71,1)*Planos!$E71))/Planos!$E71)+1)))</f>
      </c>
      <c r="J73" s="44">
        <f>IF(OR(Planos!$A71="",NOT(ISNUMBER(Planos!$G71)),N(Planos!$E71)&lt;=0),0,IF(Planos!$G71&gt;EOMONTH(DATE(crono_ano_ref,5,1),0),0,MAX(0,INT((EOMONTH(DATE(crono_ano_ref,5,1),0)-IF(Planos!$G71&gt;=DATE(crono_ano_ref,5,1),Planos!$G71,Planos!$G71+CEILING((DATE(crono_ano_ref,5,1)-Planos!$G71)/Planos!$E71,1)*Planos!$E71))/Planos!$E71)+1)))</f>
      </c>
      <c r="K73" s="44">
        <f>IF(OR(Planos!$A71="",NOT(ISNUMBER(Planos!$G71)),N(Planos!$E71)&lt;=0),0,IF(Planos!$G71&gt;EOMONTH(DATE(crono_ano_ref,6,1),0),0,MAX(0,INT((EOMONTH(DATE(crono_ano_ref,6,1),0)-IF(Planos!$G71&gt;=DATE(crono_ano_ref,6,1),Planos!$G71,Planos!$G71+CEILING((DATE(crono_ano_ref,6,1)-Planos!$G71)/Planos!$E71,1)*Planos!$E71))/Planos!$E71)+1)))</f>
      </c>
      <c r="L73" s="44">
        <f>IF(OR(Planos!$A71="",NOT(ISNUMBER(Planos!$G71)),N(Planos!$E71)&lt;=0),0,IF(Planos!$G71&gt;EOMONTH(DATE(crono_ano_ref,7,1),0),0,MAX(0,INT((EOMONTH(DATE(crono_ano_ref,7,1),0)-IF(Planos!$G71&gt;=DATE(crono_ano_ref,7,1),Planos!$G71,Planos!$G71+CEILING((DATE(crono_ano_ref,7,1)-Planos!$G71)/Planos!$E71,1)*Planos!$E71))/Planos!$E71)+1)))</f>
      </c>
      <c r="M73" s="44">
        <f>IF(OR(Planos!$A71="",NOT(ISNUMBER(Planos!$G71)),N(Planos!$E71)&lt;=0),0,IF(Planos!$G71&gt;EOMONTH(DATE(crono_ano_ref,8,1),0),0,MAX(0,INT((EOMONTH(DATE(crono_ano_ref,8,1),0)-IF(Planos!$G71&gt;=DATE(crono_ano_ref,8,1),Planos!$G71,Planos!$G71+CEILING((DATE(crono_ano_ref,8,1)-Planos!$G71)/Planos!$E71,1)*Planos!$E71))/Planos!$E71)+1)))</f>
      </c>
      <c r="N73" s="44">
        <f>IF(OR(Planos!$A71="",NOT(ISNUMBER(Planos!$G71)),N(Planos!$E71)&lt;=0),0,IF(Planos!$G71&gt;EOMONTH(DATE(crono_ano_ref,9,1),0),0,MAX(0,INT((EOMONTH(DATE(crono_ano_ref,9,1),0)-IF(Planos!$G71&gt;=DATE(crono_ano_ref,9,1),Planos!$G71,Planos!$G71+CEILING((DATE(crono_ano_ref,9,1)-Planos!$G71)/Planos!$E71,1)*Planos!$E71))/Planos!$E71)+1)))</f>
      </c>
      <c r="O73" s="44">
        <f>IF(OR(Planos!$A71="",NOT(ISNUMBER(Planos!$G71)),N(Planos!$E71)&lt;=0),0,IF(Planos!$G71&gt;EOMONTH(DATE(crono_ano_ref,10,1),0),0,MAX(0,INT((EOMONTH(DATE(crono_ano_ref,10,1),0)-IF(Planos!$G71&gt;=DATE(crono_ano_ref,10,1),Planos!$G71,Planos!$G71+CEILING((DATE(crono_ano_ref,10,1)-Planos!$G71)/Planos!$E71,1)*Planos!$E71))/Planos!$E71)+1)))</f>
      </c>
      <c r="P73" s="44">
        <f>IF(OR(Planos!$A71="",NOT(ISNUMBER(Planos!$G71)),N(Planos!$E71)&lt;=0),0,IF(Planos!$G71&gt;EOMONTH(DATE(crono_ano_ref,11,1),0),0,MAX(0,INT((EOMONTH(DATE(crono_ano_ref,11,1),0)-IF(Planos!$G71&gt;=DATE(crono_ano_ref,11,1),Planos!$G71,Planos!$G71+CEILING((DATE(crono_ano_ref,11,1)-Planos!$G71)/Planos!$E71,1)*Planos!$E71))/Planos!$E71)+1)))</f>
      </c>
      <c r="Q73" s="44">
        <f>IF(OR(Planos!$A71="",NOT(ISNUMBER(Planos!$G71)),N(Planos!$E71)&lt;=0),0,IF(Planos!$G71&gt;EOMONTH(DATE(crono_ano_ref,12,1),0),0,MAX(0,INT((EOMONTH(DATE(crono_ano_ref,12,1),0)-IF(Planos!$G71&gt;=DATE(crono_ano_ref,12,1),Planos!$G71,Planos!$G71+CEILING((DATE(crono_ano_ref,12,1)-Planos!$G71)/Planos!$E71,1)*Planos!$E71))/Planos!$E71)+1)))</f>
      </c>
      <c r="R73" s="44">
        <f>SUM(F73:Q73)</f>
      </c>
    </row>
    <row r="74" spans="1:18" x14ac:dyDescent="0.25">
      <c r="A74" s="24">
        <f>IF(Planos!$A72="","",Planos!A72&amp;"")</f>
      </c>
      <c r="B74" s="41">
        <f>IF(Planos!$A72="","",Planos!B72&amp;"")</f>
      </c>
      <c r="C74" s="24">
        <f>IF(Planos!$A72="","",Planos!C72&amp;"")</f>
      </c>
      <c r="D74" s="42">
        <f>IF(Planos!$A72="","",N(Planos!E72))</f>
      </c>
      <c r="E74" s="43">
        <f>IF(Planos!$A72="","",N(Planos!K72))</f>
      </c>
      <c r="F74" s="44">
        <f>IF(OR(Planos!$A72="",NOT(ISNUMBER(Planos!$G72)),N(Planos!$E72)&lt;=0),0,IF(Planos!$G72&gt;EOMONTH(DATE(crono_ano_ref,1,1),0),0,MAX(0,INT((EOMONTH(DATE(crono_ano_ref,1,1),0)-IF(Planos!$G72&gt;=DATE(crono_ano_ref,1,1),Planos!$G72,Planos!$G72+CEILING((DATE(crono_ano_ref,1,1)-Planos!$G72)/Planos!$E72,1)*Planos!$E72))/Planos!$E72)+1)))</f>
      </c>
      <c r="G74" s="44">
        <f>IF(OR(Planos!$A72="",NOT(ISNUMBER(Planos!$G72)),N(Planos!$E72)&lt;=0),0,IF(Planos!$G72&gt;EOMONTH(DATE(crono_ano_ref,2,1),0),0,MAX(0,INT((EOMONTH(DATE(crono_ano_ref,2,1),0)-IF(Planos!$G72&gt;=DATE(crono_ano_ref,2,1),Planos!$G72,Planos!$G72+CEILING((DATE(crono_ano_ref,2,1)-Planos!$G72)/Planos!$E72,1)*Planos!$E72))/Planos!$E72)+1)))</f>
      </c>
      <c r="H74" s="44">
        <f>IF(OR(Planos!$A72="",NOT(ISNUMBER(Planos!$G72)),N(Planos!$E72)&lt;=0),0,IF(Planos!$G72&gt;EOMONTH(DATE(crono_ano_ref,3,1),0),0,MAX(0,INT((EOMONTH(DATE(crono_ano_ref,3,1),0)-IF(Planos!$G72&gt;=DATE(crono_ano_ref,3,1),Planos!$G72,Planos!$G72+CEILING((DATE(crono_ano_ref,3,1)-Planos!$G72)/Planos!$E72,1)*Planos!$E72))/Planos!$E72)+1)))</f>
      </c>
      <c r="I74" s="44">
        <f>IF(OR(Planos!$A72="",NOT(ISNUMBER(Planos!$G72)),N(Planos!$E72)&lt;=0),0,IF(Planos!$G72&gt;EOMONTH(DATE(crono_ano_ref,4,1),0),0,MAX(0,INT((EOMONTH(DATE(crono_ano_ref,4,1),0)-IF(Planos!$G72&gt;=DATE(crono_ano_ref,4,1),Planos!$G72,Planos!$G72+CEILING((DATE(crono_ano_ref,4,1)-Planos!$G72)/Planos!$E72,1)*Planos!$E72))/Planos!$E72)+1)))</f>
      </c>
      <c r="J74" s="44">
        <f>IF(OR(Planos!$A72="",NOT(ISNUMBER(Planos!$G72)),N(Planos!$E72)&lt;=0),0,IF(Planos!$G72&gt;EOMONTH(DATE(crono_ano_ref,5,1),0),0,MAX(0,INT((EOMONTH(DATE(crono_ano_ref,5,1),0)-IF(Planos!$G72&gt;=DATE(crono_ano_ref,5,1),Planos!$G72,Planos!$G72+CEILING((DATE(crono_ano_ref,5,1)-Planos!$G72)/Planos!$E72,1)*Planos!$E72))/Planos!$E72)+1)))</f>
      </c>
      <c r="K74" s="44">
        <f>IF(OR(Planos!$A72="",NOT(ISNUMBER(Planos!$G72)),N(Planos!$E72)&lt;=0),0,IF(Planos!$G72&gt;EOMONTH(DATE(crono_ano_ref,6,1),0),0,MAX(0,INT((EOMONTH(DATE(crono_ano_ref,6,1),0)-IF(Planos!$G72&gt;=DATE(crono_ano_ref,6,1),Planos!$G72,Planos!$G72+CEILING((DATE(crono_ano_ref,6,1)-Planos!$G72)/Planos!$E72,1)*Planos!$E72))/Planos!$E72)+1)))</f>
      </c>
      <c r="L74" s="44">
        <f>IF(OR(Planos!$A72="",NOT(ISNUMBER(Planos!$G72)),N(Planos!$E72)&lt;=0),0,IF(Planos!$G72&gt;EOMONTH(DATE(crono_ano_ref,7,1),0),0,MAX(0,INT((EOMONTH(DATE(crono_ano_ref,7,1),0)-IF(Planos!$G72&gt;=DATE(crono_ano_ref,7,1),Planos!$G72,Planos!$G72+CEILING((DATE(crono_ano_ref,7,1)-Planos!$G72)/Planos!$E72,1)*Planos!$E72))/Planos!$E72)+1)))</f>
      </c>
      <c r="M74" s="44">
        <f>IF(OR(Planos!$A72="",NOT(ISNUMBER(Planos!$G72)),N(Planos!$E72)&lt;=0),0,IF(Planos!$G72&gt;EOMONTH(DATE(crono_ano_ref,8,1),0),0,MAX(0,INT((EOMONTH(DATE(crono_ano_ref,8,1),0)-IF(Planos!$G72&gt;=DATE(crono_ano_ref,8,1),Planos!$G72,Planos!$G72+CEILING((DATE(crono_ano_ref,8,1)-Planos!$G72)/Planos!$E72,1)*Planos!$E72))/Planos!$E72)+1)))</f>
      </c>
      <c r="N74" s="44">
        <f>IF(OR(Planos!$A72="",NOT(ISNUMBER(Planos!$G72)),N(Planos!$E72)&lt;=0),0,IF(Planos!$G72&gt;EOMONTH(DATE(crono_ano_ref,9,1),0),0,MAX(0,INT((EOMONTH(DATE(crono_ano_ref,9,1),0)-IF(Planos!$G72&gt;=DATE(crono_ano_ref,9,1),Planos!$G72,Planos!$G72+CEILING((DATE(crono_ano_ref,9,1)-Planos!$G72)/Planos!$E72,1)*Planos!$E72))/Planos!$E72)+1)))</f>
      </c>
      <c r="O74" s="44">
        <f>IF(OR(Planos!$A72="",NOT(ISNUMBER(Planos!$G72)),N(Planos!$E72)&lt;=0),0,IF(Planos!$G72&gt;EOMONTH(DATE(crono_ano_ref,10,1),0),0,MAX(0,INT((EOMONTH(DATE(crono_ano_ref,10,1),0)-IF(Planos!$G72&gt;=DATE(crono_ano_ref,10,1),Planos!$G72,Planos!$G72+CEILING((DATE(crono_ano_ref,10,1)-Planos!$G72)/Planos!$E72,1)*Planos!$E72))/Planos!$E72)+1)))</f>
      </c>
      <c r="P74" s="44">
        <f>IF(OR(Planos!$A72="",NOT(ISNUMBER(Planos!$G72)),N(Planos!$E72)&lt;=0),0,IF(Planos!$G72&gt;EOMONTH(DATE(crono_ano_ref,11,1),0),0,MAX(0,INT((EOMONTH(DATE(crono_ano_ref,11,1),0)-IF(Planos!$G72&gt;=DATE(crono_ano_ref,11,1),Planos!$G72,Planos!$G72+CEILING((DATE(crono_ano_ref,11,1)-Planos!$G72)/Planos!$E72,1)*Planos!$E72))/Planos!$E72)+1)))</f>
      </c>
      <c r="Q74" s="44">
        <f>IF(OR(Planos!$A72="",NOT(ISNUMBER(Planos!$G72)),N(Planos!$E72)&lt;=0),0,IF(Planos!$G72&gt;EOMONTH(DATE(crono_ano_ref,12,1),0),0,MAX(0,INT((EOMONTH(DATE(crono_ano_ref,12,1),0)-IF(Planos!$G72&gt;=DATE(crono_ano_ref,12,1),Planos!$G72,Planos!$G72+CEILING((DATE(crono_ano_ref,12,1)-Planos!$G72)/Planos!$E72,1)*Planos!$E72))/Planos!$E72)+1)))</f>
      </c>
      <c r="R74" s="44">
        <f>SUM(F74:Q74)</f>
      </c>
    </row>
    <row r="75" spans="1:18" x14ac:dyDescent="0.25">
      <c r="A75" s="24">
        <f>IF(Planos!$A73="","",Planos!A73&amp;"")</f>
      </c>
      <c r="B75" s="41">
        <f>IF(Planos!$A73="","",Planos!B73&amp;"")</f>
      </c>
      <c r="C75" s="24">
        <f>IF(Planos!$A73="","",Planos!C73&amp;"")</f>
      </c>
      <c r="D75" s="42">
        <f>IF(Planos!$A73="","",N(Planos!E73))</f>
      </c>
      <c r="E75" s="43">
        <f>IF(Planos!$A73="","",N(Planos!K73))</f>
      </c>
      <c r="F75" s="44">
        <f>IF(OR(Planos!$A73="",NOT(ISNUMBER(Planos!$G73)),N(Planos!$E73)&lt;=0),0,IF(Planos!$G73&gt;EOMONTH(DATE(crono_ano_ref,1,1),0),0,MAX(0,INT((EOMONTH(DATE(crono_ano_ref,1,1),0)-IF(Planos!$G73&gt;=DATE(crono_ano_ref,1,1),Planos!$G73,Planos!$G73+CEILING((DATE(crono_ano_ref,1,1)-Planos!$G73)/Planos!$E73,1)*Planos!$E73))/Planos!$E73)+1)))</f>
      </c>
      <c r="G75" s="44">
        <f>IF(OR(Planos!$A73="",NOT(ISNUMBER(Planos!$G73)),N(Planos!$E73)&lt;=0),0,IF(Planos!$G73&gt;EOMONTH(DATE(crono_ano_ref,2,1),0),0,MAX(0,INT((EOMONTH(DATE(crono_ano_ref,2,1),0)-IF(Planos!$G73&gt;=DATE(crono_ano_ref,2,1),Planos!$G73,Planos!$G73+CEILING((DATE(crono_ano_ref,2,1)-Planos!$G73)/Planos!$E73,1)*Planos!$E73))/Planos!$E73)+1)))</f>
      </c>
      <c r="H75" s="44">
        <f>IF(OR(Planos!$A73="",NOT(ISNUMBER(Planos!$G73)),N(Planos!$E73)&lt;=0),0,IF(Planos!$G73&gt;EOMONTH(DATE(crono_ano_ref,3,1),0),0,MAX(0,INT((EOMONTH(DATE(crono_ano_ref,3,1),0)-IF(Planos!$G73&gt;=DATE(crono_ano_ref,3,1),Planos!$G73,Planos!$G73+CEILING((DATE(crono_ano_ref,3,1)-Planos!$G73)/Planos!$E73,1)*Planos!$E73))/Planos!$E73)+1)))</f>
      </c>
      <c r="I75" s="44">
        <f>IF(OR(Planos!$A73="",NOT(ISNUMBER(Planos!$G73)),N(Planos!$E73)&lt;=0),0,IF(Planos!$G73&gt;EOMONTH(DATE(crono_ano_ref,4,1),0),0,MAX(0,INT((EOMONTH(DATE(crono_ano_ref,4,1),0)-IF(Planos!$G73&gt;=DATE(crono_ano_ref,4,1),Planos!$G73,Planos!$G73+CEILING((DATE(crono_ano_ref,4,1)-Planos!$G73)/Planos!$E73,1)*Planos!$E73))/Planos!$E73)+1)))</f>
      </c>
      <c r="J75" s="44">
        <f>IF(OR(Planos!$A73="",NOT(ISNUMBER(Planos!$G73)),N(Planos!$E73)&lt;=0),0,IF(Planos!$G73&gt;EOMONTH(DATE(crono_ano_ref,5,1),0),0,MAX(0,INT((EOMONTH(DATE(crono_ano_ref,5,1),0)-IF(Planos!$G73&gt;=DATE(crono_ano_ref,5,1),Planos!$G73,Planos!$G73+CEILING((DATE(crono_ano_ref,5,1)-Planos!$G73)/Planos!$E73,1)*Planos!$E73))/Planos!$E73)+1)))</f>
      </c>
      <c r="K75" s="44">
        <f>IF(OR(Planos!$A73="",NOT(ISNUMBER(Planos!$G73)),N(Planos!$E73)&lt;=0),0,IF(Planos!$G73&gt;EOMONTH(DATE(crono_ano_ref,6,1),0),0,MAX(0,INT((EOMONTH(DATE(crono_ano_ref,6,1),0)-IF(Planos!$G73&gt;=DATE(crono_ano_ref,6,1),Planos!$G73,Planos!$G73+CEILING((DATE(crono_ano_ref,6,1)-Planos!$G73)/Planos!$E73,1)*Planos!$E73))/Planos!$E73)+1)))</f>
      </c>
      <c r="L75" s="44">
        <f>IF(OR(Planos!$A73="",NOT(ISNUMBER(Planos!$G73)),N(Planos!$E73)&lt;=0),0,IF(Planos!$G73&gt;EOMONTH(DATE(crono_ano_ref,7,1),0),0,MAX(0,INT((EOMONTH(DATE(crono_ano_ref,7,1),0)-IF(Planos!$G73&gt;=DATE(crono_ano_ref,7,1),Planos!$G73,Planos!$G73+CEILING((DATE(crono_ano_ref,7,1)-Planos!$G73)/Planos!$E73,1)*Planos!$E73))/Planos!$E73)+1)))</f>
      </c>
      <c r="M75" s="44">
        <f>IF(OR(Planos!$A73="",NOT(ISNUMBER(Planos!$G73)),N(Planos!$E73)&lt;=0),0,IF(Planos!$G73&gt;EOMONTH(DATE(crono_ano_ref,8,1),0),0,MAX(0,INT((EOMONTH(DATE(crono_ano_ref,8,1),0)-IF(Planos!$G73&gt;=DATE(crono_ano_ref,8,1),Planos!$G73,Planos!$G73+CEILING((DATE(crono_ano_ref,8,1)-Planos!$G73)/Planos!$E73,1)*Planos!$E73))/Planos!$E73)+1)))</f>
      </c>
      <c r="N75" s="44">
        <f>IF(OR(Planos!$A73="",NOT(ISNUMBER(Planos!$G73)),N(Planos!$E73)&lt;=0),0,IF(Planos!$G73&gt;EOMONTH(DATE(crono_ano_ref,9,1),0),0,MAX(0,INT((EOMONTH(DATE(crono_ano_ref,9,1),0)-IF(Planos!$G73&gt;=DATE(crono_ano_ref,9,1),Planos!$G73,Planos!$G73+CEILING((DATE(crono_ano_ref,9,1)-Planos!$G73)/Planos!$E73,1)*Planos!$E73))/Planos!$E73)+1)))</f>
      </c>
      <c r="O75" s="44">
        <f>IF(OR(Planos!$A73="",NOT(ISNUMBER(Planos!$G73)),N(Planos!$E73)&lt;=0),0,IF(Planos!$G73&gt;EOMONTH(DATE(crono_ano_ref,10,1),0),0,MAX(0,INT((EOMONTH(DATE(crono_ano_ref,10,1),0)-IF(Planos!$G73&gt;=DATE(crono_ano_ref,10,1),Planos!$G73,Planos!$G73+CEILING((DATE(crono_ano_ref,10,1)-Planos!$G73)/Planos!$E73,1)*Planos!$E73))/Planos!$E73)+1)))</f>
      </c>
      <c r="P75" s="44">
        <f>IF(OR(Planos!$A73="",NOT(ISNUMBER(Planos!$G73)),N(Planos!$E73)&lt;=0),0,IF(Planos!$G73&gt;EOMONTH(DATE(crono_ano_ref,11,1),0),0,MAX(0,INT((EOMONTH(DATE(crono_ano_ref,11,1),0)-IF(Planos!$G73&gt;=DATE(crono_ano_ref,11,1),Planos!$G73,Planos!$G73+CEILING((DATE(crono_ano_ref,11,1)-Planos!$G73)/Planos!$E73,1)*Planos!$E73))/Planos!$E73)+1)))</f>
      </c>
      <c r="Q75" s="44">
        <f>IF(OR(Planos!$A73="",NOT(ISNUMBER(Planos!$G73)),N(Planos!$E73)&lt;=0),0,IF(Planos!$G73&gt;EOMONTH(DATE(crono_ano_ref,12,1),0),0,MAX(0,INT((EOMONTH(DATE(crono_ano_ref,12,1),0)-IF(Planos!$G73&gt;=DATE(crono_ano_ref,12,1),Planos!$G73,Planos!$G73+CEILING((DATE(crono_ano_ref,12,1)-Planos!$G73)/Planos!$E73,1)*Planos!$E73))/Planos!$E73)+1)))</f>
      </c>
      <c r="R75" s="44">
        <f>SUM(F75:Q75)</f>
      </c>
    </row>
    <row r="76" spans="1:18" x14ac:dyDescent="0.25">
      <c r="A76" s="24">
        <f>IF(Planos!$A74="","",Planos!A74&amp;"")</f>
      </c>
      <c r="B76" s="41">
        <f>IF(Planos!$A74="","",Planos!B74&amp;"")</f>
      </c>
      <c r="C76" s="24">
        <f>IF(Planos!$A74="","",Planos!C74&amp;"")</f>
      </c>
      <c r="D76" s="42">
        <f>IF(Planos!$A74="","",N(Planos!E74))</f>
      </c>
      <c r="E76" s="43">
        <f>IF(Planos!$A74="","",N(Planos!K74))</f>
      </c>
      <c r="F76" s="44">
        <f>IF(OR(Planos!$A74="",NOT(ISNUMBER(Planos!$G74)),N(Planos!$E74)&lt;=0),0,IF(Planos!$G74&gt;EOMONTH(DATE(crono_ano_ref,1,1),0),0,MAX(0,INT((EOMONTH(DATE(crono_ano_ref,1,1),0)-IF(Planos!$G74&gt;=DATE(crono_ano_ref,1,1),Planos!$G74,Planos!$G74+CEILING((DATE(crono_ano_ref,1,1)-Planos!$G74)/Planos!$E74,1)*Planos!$E74))/Planos!$E74)+1)))</f>
      </c>
      <c r="G76" s="44">
        <f>IF(OR(Planos!$A74="",NOT(ISNUMBER(Planos!$G74)),N(Planos!$E74)&lt;=0),0,IF(Planos!$G74&gt;EOMONTH(DATE(crono_ano_ref,2,1),0),0,MAX(0,INT((EOMONTH(DATE(crono_ano_ref,2,1),0)-IF(Planos!$G74&gt;=DATE(crono_ano_ref,2,1),Planos!$G74,Planos!$G74+CEILING((DATE(crono_ano_ref,2,1)-Planos!$G74)/Planos!$E74,1)*Planos!$E74))/Planos!$E74)+1)))</f>
      </c>
      <c r="H76" s="44">
        <f>IF(OR(Planos!$A74="",NOT(ISNUMBER(Planos!$G74)),N(Planos!$E74)&lt;=0),0,IF(Planos!$G74&gt;EOMONTH(DATE(crono_ano_ref,3,1),0),0,MAX(0,INT((EOMONTH(DATE(crono_ano_ref,3,1),0)-IF(Planos!$G74&gt;=DATE(crono_ano_ref,3,1),Planos!$G74,Planos!$G74+CEILING((DATE(crono_ano_ref,3,1)-Planos!$G74)/Planos!$E74,1)*Planos!$E74))/Planos!$E74)+1)))</f>
      </c>
      <c r="I76" s="44">
        <f>IF(OR(Planos!$A74="",NOT(ISNUMBER(Planos!$G74)),N(Planos!$E74)&lt;=0),0,IF(Planos!$G74&gt;EOMONTH(DATE(crono_ano_ref,4,1),0),0,MAX(0,INT((EOMONTH(DATE(crono_ano_ref,4,1),0)-IF(Planos!$G74&gt;=DATE(crono_ano_ref,4,1),Planos!$G74,Planos!$G74+CEILING((DATE(crono_ano_ref,4,1)-Planos!$G74)/Planos!$E74,1)*Planos!$E74))/Planos!$E74)+1)))</f>
      </c>
      <c r="J76" s="44">
        <f>IF(OR(Planos!$A74="",NOT(ISNUMBER(Planos!$G74)),N(Planos!$E74)&lt;=0),0,IF(Planos!$G74&gt;EOMONTH(DATE(crono_ano_ref,5,1),0),0,MAX(0,INT((EOMONTH(DATE(crono_ano_ref,5,1),0)-IF(Planos!$G74&gt;=DATE(crono_ano_ref,5,1),Planos!$G74,Planos!$G74+CEILING((DATE(crono_ano_ref,5,1)-Planos!$G74)/Planos!$E74,1)*Planos!$E74))/Planos!$E74)+1)))</f>
      </c>
      <c r="K76" s="44">
        <f>IF(OR(Planos!$A74="",NOT(ISNUMBER(Planos!$G74)),N(Planos!$E74)&lt;=0),0,IF(Planos!$G74&gt;EOMONTH(DATE(crono_ano_ref,6,1),0),0,MAX(0,INT((EOMONTH(DATE(crono_ano_ref,6,1),0)-IF(Planos!$G74&gt;=DATE(crono_ano_ref,6,1),Planos!$G74,Planos!$G74+CEILING((DATE(crono_ano_ref,6,1)-Planos!$G74)/Planos!$E74,1)*Planos!$E74))/Planos!$E74)+1)))</f>
      </c>
      <c r="L76" s="44">
        <f>IF(OR(Planos!$A74="",NOT(ISNUMBER(Planos!$G74)),N(Planos!$E74)&lt;=0),0,IF(Planos!$G74&gt;EOMONTH(DATE(crono_ano_ref,7,1),0),0,MAX(0,INT((EOMONTH(DATE(crono_ano_ref,7,1),0)-IF(Planos!$G74&gt;=DATE(crono_ano_ref,7,1),Planos!$G74,Planos!$G74+CEILING((DATE(crono_ano_ref,7,1)-Planos!$G74)/Planos!$E74,1)*Planos!$E74))/Planos!$E74)+1)))</f>
      </c>
      <c r="M76" s="44">
        <f>IF(OR(Planos!$A74="",NOT(ISNUMBER(Planos!$G74)),N(Planos!$E74)&lt;=0),0,IF(Planos!$G74&gt;EOMONTH(DATE(crono_ano_ref,8,1),0),0,MAX(0,INT((EOMONTH(DATE(crono_ano_ref,8,1),0)-IF(Planos!$G74&gt;=DATE(crono_ano_ref,8,1),Planos!$G74,Planos!$G74+CEILING((DATE(crono_ano_ref,8,1)-Planos!$G74)/Planos!$E74,1)*Planos!$E74))/Planos!$E74)+1)))</f>
      </c>
      <c r="N76" s="44">
        <f>IF(OR(Planos!$A74="",NOT(ISNUMBER(Planos!$G74)),N(Planos!$E74)&lt;=0),0,IF(Planos!$G74&gt;EOMONTH(DATE(crono_ano_ref,9,1),0),0,MAX(0,INT((EOMONTH(DATE(crono_ano_ref,9,1),0)-IF(Planos!$G74&gt;=DATE(crono_ano_ref,9,1),Planos!$G74,Planos!$G74+CEILING((DATE(crono_ano_ref,9,1)-Planos!$G74)/Planos!$E74,1)*Planos!$E74))/Planos!$E74)+1)))</f>
      </c>
      <c r="O76" s="44">
        <f>IF(OR(Planos!$A74="",NOT(ISNUMBER(Planos!$G74)),N(Planos!$E74)&lt;=0),0,IF(Planos!$G74&gt;EOMONTH(DATE(crono_ano_ref,10,1),0),0,MAX(0,INT((EOMONTH(DATE(crono_ano_ref,10,1),0)-IF(Planos!$G74&gt;=DATE(crono_ano_ref,10,1),Planos!$G74,Planos!$G74+CEILING((DATE(crono_ano_ref,10,1)-Planos!$G74)/Planos!$E74,1)*Planos!$E74))/Planos!$E74)+1)))</f>
      </c>
      <c r="P76" s="44">
        <f>IF(OR(Planos!$A74="",NOT(ISNUMBER(Planos!$G74)),N(Planos!$E74)&lt;=0),0,IF(Planos!$G74&gt;EOMONTH(DATE(crono_ano_ref,11,1),0),0,MAX(0,INT((EOMONTH(DATE(crono_ano_ref,11,1),0)-IF(Planos!$G74&gt;=DATE(crono_ano_ref,11,1),Planos!$G74,Planos!$G74+CEILING((DATE(crono_ano_ref,11,1)-Planos!$G74)/Planos!$E74,1)*Planos!$E74))/Planos!$E74)+1)))</f>
      </c>
      <c r="Q76" s="44">
        <f>IF(OR(Planos!$A74="",NOT(ISNUMBER(Planos!$G74)),N(Planos!$E74)&lt;=0),0,IF(Planos!$G74&gt;EOMONTH(DATE(crono_ano_ref,12,1),0),0,MAX(0,INT((EOMONTH(DATE(crono_ano_ref,12,1),0)-IF(Planos!$G74&gt;=DATE(crono_ano_ref,12,1),Planos!$G74,Planos!$G74+CEILING((DATE(crono_ano_ref,12,1)-Planos!$G74)/Planos!$E74,1)*Planos!$E74))/Planos!$E74)+1)))</f>
      </c>
      <c r="R76" s="44">
        <f>SUM(F76:Q76)</f>
      </c>
    </row>
    <row r="77" spans="1:18" x14ac:dyDescent="0.25">
      <c r="A77" s="24">
        <f>IF(Planos!$A75="","",Planos!A75&amp;"")</f>
      </c>
      <c r="B77" s="41">
        <f>IF(Planos!$A75="","",Planos!B75&amp;"")</f>
      </c>
      <c r="C77" s="24">
        <f>IF(Planos!$A75="","",Planos!C75&amp;"")</f>
      </c>
      <c r="D77" s="42">
        <f>IF(Planos!$A75="","",N(Planos!E75))</f>
      </c>
      <c r="E77" s="43">
        <f>IF(Planos!$A75="","",N(Planos!K75))</f>
      </c>
      <c r="F77" s="44">
        <f>IF(OR(Planos!$A75="",NOT(ISNUMBER(Planos!$G75)),N(Planos!$E75)&lt;=0),0,IF(Planos!$G75&gt;EOMONTH(DATE(crono_ano_ref,1,1),0),0,MAX(0,INT((EOMONTH(DATE(crono_ano_ref,1,1),0)-IF(Planos!$G75&gt;=DATE(crono_ano_ref,1,1),Planos!$G75,Planos!$G75+CEILING((DATE(crono_ano_ref,1,1)-Planos!$G75)/Planos!$E75,1)*Planos!$E75))/Planos!$E75)+1)))</f>
      </c>
      <c r="G77" s="44">
        <f>IF(OR(Planos!$A75="",NOT(ISNUMBER(Planos!$G75)),N(Planos!$E75)&lt;=0),0,IF(Planos!$G75&gt;EOMONTH(DATE(crono_ano_ref,2,1),0),0,MAX(0,INT((EOMONTH(DATE(crono_ano_ref,2,1),0)-IF(Planos!$G75&gt;=DATE(crono_ano_ref,2,1),Planos!$G75,Planos!$G75+CEILING((DATE(crono_ano_ref,2,1)-Planos!$G75)/Planos!$E75,1)*Planos!$E75))/Planos!$E75)+1)))</f>
      </c>
      <c r="H77" s="44">
        <f>IF(OR(Planos!$A75="",NOT(ISNUMBER(Planos!$G75)),N(Planos!$E75)&lt;=0),0,IF(Planos!$G75&gt;EOMONTH(DATE(crono_ano_ref,3,1),0),0,MAX(0,INT((EOMONTH(DATE(crono_ano_ref,3,1),0)-IF(Planos!$G75&gt;=DATE(crono_ano_ref,3,1),Planos!$G75,Planos!$G75+CEILING((DATE(crono_ano_ref,3,1)-Planos!$G75)/Planos!$E75,1)*Planos!$E75))/Planos!$E75)+1)))</f>
      </c>
      <c r="I77" s="44">
        <f>IF(OR(Planos!$A75="",NOT(ISNUMBER(Planos!$G75)),N(Planos!$E75)&lt;=0),0,IF(Planos!$G75&gt;EOMONTH(DATE(crono_ano_ref,4,1),0),0,MAX(0,INT((EOMONTH(DATE(crono_ano_ref,4,1),0)-IF(Planos!$G75&gt;=DATE(crono_ano_ref,4,1),Planos!$G75,Planos!$G75+CEILING((DATE(crono_ano_ref,4,1)-Planos!$G75)/Planos!$E75,1)*Planos!$E75))/Planos!$E75)+1)))</f>
      </c>
      <c r="J77" s="44">
        <f>IF(OR(Planos!$A75="",NOT(ISNUMBER(Planos!$G75)),N(Planos!$E75)&lt;=0),0,IF(Planos!$G75&gt;EOMONTH(DATE(crono_ano_ref,5,1),0),0,MAX(0,INT((EOMONTH(DATE(crono_ano_ref,5,1),0)-IF(Planos!$G75&gt;=DATE(crono_ano_ref,5,1),Planos!$G75,Planos!$G75+CEILING((DATE(crono_ano_ref,5,1)-Planos!$G75)/Planos!$E75,1)*Planos!$E75))/Planos!$E75)+1)))</f>
      </c>
      <c r="K77" s="44">
        <f>IF(OR(Planos!$A75="",NOT(ISNUMBER(Planos!$G75)),N(Planos!$E75)&lt;=0),0,IF(Planos!$G75&gt;EOMONTH(DATE(crono_ano_ref,6,1),0),0,MAX(0,INT((EOMONTH(DATE(crono_ano_ref,6,1),0)-IF(Planos!$G75&gt;=DATE(crono_ano_ref,6,1),Planos!$G75,Planos!$G75+CEILING((DATE(crono_ano_ref,6,1)-Planos!$G75)/Planos!$E75,1)*Planos!$E75))/Planos!$E75)+1)))</f>
      </c>
      <c r="L77" s="44">
        <f>IF(OR(Planos!$A75="",NOT(ISNUMBER(Planos!$G75)),N(Planos!$E75)&lt;=0),0,IF(Planos!$G75&gt;EOMONTH(DATE(crono_ano_ref,7,1),0),0,MAX(0,INT((EOMONTH(DATE(crono_ano_ref,7,1),0)-IF(Planos!$G75&gt;=DATE(crono_ano_ref,7,1),Planos!$G75,Planos!$G75+CEILING((DATE(crono_ano_ref,7,1)-Planos!$G75)/Planos!$E75,1)*Planos!$E75))/Planos!$E75)+1)))</f>
      </c>
      <c r="M77" s="44">
        <f>IF(OR(Planos!$A75="",NOT(ISNUMBER(Planos!$G75)),N(Planos!$E75)&lt;=0),0,IF(Planos!$G75&gt;EOMONTH(DATE(crono_ano_ref,8,1),0),0,MAX(0,INT((EOMONTH(DATE(crono_ano_ref,8,1),0)-IF(Planos!$G75&gt;=DATE(crono_ano_ref,8,1),Planos!$G75,Planos!$G75+CEILING((DATE(crono_ano_ref,8,1)-Planos!$G75)/Planos!$E75,1)*Planos!$E75))/Planos!$E75)+1)))</f>
      </c>
      <c r="N77" s="44">
        <f>IF(OR(Planos!$A75="",NOT(ISNUMBER(Planos!$G75)),N(Planos!$E75)&lt;=0),0,IF(Planos!$G75&gt;EOMONTH(DATE(crono_ano_ref,9,1),0),0,MAX(0,INT((EOMONTH(DATE(crono_ano_ref,9,1),0)-IF(Planos!$G75&gt;=DATE(crono_ano_ref,9,1),Planos!$G75,Planos!$G75+CEILING((DATE(crono_ano_ref,9,1)-Planos!$G75)/Planos!$E75,1)*Planos!$E75))/Planos!$E75)+1)))</f>
      </c>
      <c r="O77" s="44">
        <f>IF(OR(Planos!$A75="",NOT(ISNUMBER(Planos!$G75)),N(Planos!$E75)&lt;=0),0,IF(Planos!$G75&gt;EOMONTH(DATE(crono_ano_ref,10,1),0),0,MAX(0,INT((EOMONTH(DATE(crono_ano_ref,10,1),0)-IF(Planos!$G75&gt;=DATE(crono_ano_ref,10,1),Planos!$G75,Planos!$G75+CEILING((DATE(crono_ano_ref,10,1)-Planos!$G75)/Planos!$E75,1)*Planos!$E75))/Planos!$E75)+1)))</f>
      </c>
      <c r="P77" s="44">
        <f>IF(OR(Planos!$A75="",NOT(ISNUMBER(Planos!$G75)),N(Planos!$E75)&lt;=0),0,IF(Planos!$G75&gt;EOMONTH(DATE(crono_ano_ref,11,1),0),0,MAX(0,INT((EOMONTH(DATE(crono_ano_ref,11,1),0)-IF(Planos!$G75&gt;=DATE(crono_ano_ref,11,1),Planos!$G75,Planos!$G75+CEILING((DATE(crono_ano_ref,11,1)-Planos!$G75)/Planos!$E75,1)*Planos!$E75))/Planos!$E75)+1)))</f>
      </c>
      <c r="Q77" s="44">
        <f>IF(OR(Planos!$A75="",NOT(ISNUMBER(Planos!$G75)),N(Planos!$E75)&lt;=0),0,IF(Planos!$G75&gt;EOMONTH(DATE(crono_ano_ref,12,1),0),0,MAX(0,INT((EOMONTH(DATE(crono_ano_ref,12,1),0)-IF(Planos!$G75&gt;=DATE(crono_ano_ref,12,1),Planos!$G75,Planos!$G75+CEILING((DATE(crono_ano_ref,12,1)-Planos!$G75)/Planos!$E75,1)*Planos!$E75))/Planos!$E75)+1)))</f>
      </c>
      <c r="R77" s="44">
        <f>SUM(F77:Q77)</f>
      </c>
    </row>
    <row r="78" spans="1:18" x14ac:dyDescent="0.25">
      <c r="A78" s="24">
        <f>IF(Planos!$A76="","",Planos!A76&amp;"")</f>
      </c>
      <c r="B78" s="41">
        <f>IF(Planos!$A76="","",Planos!B76&amp;"")</f>
      </c>
      <c r="C78" s="24">
        <f>IF(Planos!$A76="","",Planos!C76&amp;"")</f>
      </c>
      <c r="D78" s="42">
        <f>IF(Planos!$A76="","",N(Planos!E76))</f>
      </c>
      <c r="E78" s="43">
        <f>IF(Planos!$A76="","",N(Planos!K76))</f>
      </c>
      <c r="F78" s="44">
        <f>IF(OR(Planos!$A76="",NOT(ISNUMBER(Planos!$G76)),N(Planos!$E76)&lt;=0),0,IF(Planos!$G76&gt;EOMONTH(DATE(crono_ano_ref,1,1),0),0,MAX(0,INT((EOMONTH(DATE(crono_ano_ref,1,1),0)-IF(Planos!$G76&gt;=DATE(crono_ano_ref,1,1),Planos!$G76,Planos!$G76+CEILING((DATE(crono_ano_ref,1,1)-Planos!$G76)/Planos!$E76,1)*Planos!$E76))/Planos!$E76)+1)))</f>
      </c>
      <c r="G78" s="44">
        <f>IF(OR(Planos!$A76="",NOT(ISNUMBER(Planos!$G76)),N(Planos!$E76)&lt;=0),0,IF(Planos!$G76&gt;EOMONTH(DATE(crono_ano_ref,2,1),0),0,MAX(0,INT((EOMONTH(DATE(crono_ano_ref,2,1),0)-IF(Planos!$G76&gt;=DATE(crono_ano_ref,2,1),Planos!$G76,Planos!$G76+CEILING((DATE(crono_ano_ref,2,1)-Planos!$G76)/Planos!$E76,1)*Planos!$E76))/Planos!$E76)+1)))</f>
      </c>
      <c r="H78" s="44">
        <f>IF(OR(Planos!$A76="",NOT(ISNUMBER(Planos!$G76)),N(Planos!$E76)&lt;=0),0,IF(Planos!$G76&gt;EOMONTH(DATE(crono_ano_ref,3,1),0),0,MAX(0,INT((EOMONTH(DATE(crono_ano_ref,3,1),0)-IF(Planos!$G76&gt;=DATE(crono_ano_ref,3,1),Planos!$G76,Planos!$G76+CEILING((DATE(crono_ano_ref,3,1)-Planos!$G76)/Planos!$E76,1)*Planos!$E76))/Planos!$E76)+1)))</f>
      </c>
      <c r="I78" s="44">
        <f>IF(OR(Planos!$A76="",NOT(ISNUMBER(Planos!$G76)),N(Planos!$E76)&lt;=0),0,IF(Planos!$G76&gt;EOMONTH(DATE(crono_ano_ref,4,1),0),0,MAX(0,INT((EOMONTH(DATE(crono_ano_ref,4,1),0)-IF(Planos!$G76&gt;=DATE(crono_ano_ref,4,1),Planos!$G76,Planos!$G76+CEILING((DATE(crono_ano_ref,4,1)-Planos!$G76)/Planos!$E76,1)*Planos!$E76))/Planos!$E76)+1)))</f>
      </c>
      <c r="J78" s="44">
        <f>IF(OR(Planos!$A76="",NOT(ISNUMBER(Planos!$G76)),N(Planos!$E76)&lt;=0),0,IF(Planos!$G76&gt;EOMONTH(DATE(crono_ano_ref,5,1),0),0,MAX(0,INT((EOMONTH(DATE(crono_ano_ref,5,1),0)-IF(Planos!$G76&gt;=DATE(crono_ano_ref,5,1),Planos!$G76,Planos!$G76+CEILING((DATE(crono_ano_ref,5,1)-Planos!$G76)/Planos!$E76,1)*Planos!$E76))/Planos!$E76)+1)))</f>
      </c>
      <c r="K78" s="44">
        <f>IF(OR(Planos!$A76="",NOT(ISNUMBER(Planos!$G76)),N(Planos!$E76)&lt;=0),0,IF(Planos!$G76&gt;EOMONTH(DATE(crono_ano_ref,6,1),0),0,MAX(0,INT((EOMONTH(DATE(crono_ano_ref,6,1),0)-IF(Planos!$G76&gt;=DATE(crono_ano_ref,6,1),Planos!$G76,Planos!$G76+CEILING((DATE(crono_ano_ref,6,1)-Planos!$G76)/Planos!$E76,1)*Planos!$E76))/Planos!$E76)+1)))</f>
      </c>
      <c r="L78" s="44">
        <f>IF(OR(Planos!$A76="",NOT(ISNUMBER(Planos!$G76)),N(Planos!$E76)&lt;=0),0,IF(Planos!$G76&gt;EOMONTH(DATE(crono_ano_ref,7,1),0),0,MAX(0,INT((EOMONTH(DATE(crono_ano_ref,7,1),0)-IF(Planos!$G76&gt;=DATE(crono_ano_ref,7,1),Planos!$G76,Planos!$G76+CEILING((DATE(crono_ano_ref,7,1)-Planos!$G76)/Planos!$E76,1)*Planos!$E76))/Planos!$E76)+1)))</f>
      </c>
      <c r="M78" s="44">
        <f>IF(OR(Planos!$A76="",NOT(ISNUMBER(Planos!$G76)),N(Planos!$E76)&lt;=0),0,IF(Planos!$G76&gt;EOMONTH(DATE(crono_ano_ref,8,1),0),0,MAX(0,INT((EOMONTH(DATE(crono_ano_ref,8,1),0)-IF(Planos!$G76&gt;=DATE(crono_ano_ref,8,1),Planos!$G76,Planos!$G76+CEILING((DATE(crono_ano_ref,8,1)-Planos!$G76)/Planos!$E76,1)*Planos!$E76))/Planos!$E76)+1)))</f>
      </c>
      <c r="N78" s="44">
        <f>IF(OR(Planos!$A76="",NOT(ISNUMBER(Planos!$G76)),N(Planos!$E76)&lt;=0),0,IF(Planos!$G76&gt;EOMONTH(DATE(crono_ano_ref,9,1),0),0,MAX(0,INT((EOMONTH(DATE(crono_ano_ref,9,1),0)-IF(Planos!$G76&gt;=DATE(crono_ano_ref,9,1),Planos!$G76,Planos!$G76+CEILING((DATE(crono_ano_ref,9,1)-Planos!$G76)/Planos!$E76,1)*Planos!$E76))/Planos!$E76)+1)))</f>
      </c>
      <c r="O78" s="44">
        <f>IF(OR(Planos!$A76="",NOT(ISNUMBER(Planos!$G76)),N(Planos!$E76)&lt;=0),0,IF(Planos!$G76&gt;EOMONTH(DATE(crono_ano_ref,10,1),0),0,MAX(0,INT((EOMONTH(DATE(crono_ano_ref,10,1),0)-IF(Planos!$G76&gt;=DATE(crono_ano_ref,10,1),Planos!$G76,Planos!$G76+CEILING((DATE(crono_ano_ref,10,1)-Planos!$G76)/Planos!$E76,1)*Planos!$E76))/Planos!$E76)+1)))</f>
      </c>
      <c r="P78" s="44">
        <f>IF(OR(Planos!$A76="",NOT(ISNUMBER(Planos!$G76)),N(Planos!$E76)&lt;=0),0,IF(Planos!$G76&gt;EOMONTH(DATE(crono_ano_ref,11,1),0),0,MAX(0,INT((EOMONTH(DATE(crono_ano_ref,11,1),0)-IF(Planos!$G76&gt;=DATE(crono_ano_ref,11,1),Planos!$G76,Planos!$G76+CEILING((DATE(crono_ano_ref,11,1)-Planos!$G76)/Planos!$E76,1)*Planos!$E76))/Planos!$E76)+1)))</f>
      </c>
      <c r="Q78" s="44">
        <f>IF(OR(Planos!$A76="",NOT(ISNUMBER(Planos!$G76)),N(Planos!$E76)&lt;=0),0,IF(Planos!$G76&gt;EOMONTH(DATE(crono_ano_ref,12,1),0),0,MAX(0,INT((EOMONTH(DATE(crono_ano_ref,12,1),0)-IF(Planos!$G76&gt;=DATE(crono_ano_ref,12,1),Planos!$G76,Planos!$G76+CEILING((DATE(crono_ano_ref,12,1)-Planos!$G76)/Planos!$E76,1)*Planos!$E76))/Planos!$E76)+1)))</f>
      </c>
      <c r="R78" s="44">
        <f>SUM(F78:Q78)</f>
      </c>
    </row>
    <row r="79" spans="1:18" x14ac:dyDescent="0.25">
      <c r="A79" s="24">
        <f>IF(Planos!$A77="","",Planos!A77&amp;"")</f>
      </c>
      <c r="B79" s="41">
        <f>IF(Planos!$A77="","",Planos!B77&amp;"")</f>
      </c>
      <c r="C79" s="24">
        <f>IF(Planos!$A77="","",Planos!C77&amp;"")</f>
      </c>
      <c r="D79" s="42">
        <f>IF(Planos!$A77="","",N(Planos!E77))</f>
      </c>
      <c r="E79" s="43">
        <f>IF(Planos!$A77="","",N(Planos!K77))</f>
      </c>
      <c r="F79" s="44">
        <f>IF(OR(Planos!$A77="",NOT(ISNUMBER(Planos!$G77)),N(Planos!$E77)&lt;=0),0,IF(Planos!$G77&gt;EOMONTH(DATE(crono_ano_ref,1,1),0),0,MAX(0,INT((EOMONTH(DATE(crono_ano_ref,1,1),0)-IF(Planos!$G77&gt;=DATE(crono_ano_ref,1,1),Planos!$G77,Planos!$G77+CEILING((DATE(crono_ano_ref,1,1)-Planos!$G77)/Planos!$E77,1)*Planos!$E77))/Planos!$E77)+1)))</f>
      </c>
      <c r="G79" s="44">
        <f>IF(OR(Planos!$A77="",NOT(ISNUMBER(Planos!$G77)),N(Planos!$E77)&lt;=0),0,IF(Planos!$G77&gt;EOMONTH(DATE(crono_ano_ref,2,1),0),0,MAX(0,INT((EOMONTH(DATE(crono_ano_ref,2,1),0)-IF(Planos!$G77&gt;=DATE(crono_ano_ref,2,1),Planos!$G77,Planos!$G77+CEILING((DATE(crono_ano_ref,2,1)-Planos!$G77)/Planos!$E77,1)*Planos!$E77))/Planos!$E77)+1)))</f>
      </c>
      <c r="H79" s="44">
        <f>IF(OR(Planos!$A77="",NOT(ISNUMBER(Planos!$G77)),N(Planos!$E77)&lt;=0),0,IF(Planos!$G77&gt;EOMONTH(DATE(crono_ano_ref,3,1),0),0,MAX(0,INT((EOMONTH(DATE(crono_ano_ref,3,1),0)-IF(Planos!$G77&gt;=DATE(crono_ano_ref,3,1),Planos!$G77,Planos!$G77+CEILING((DATE(crono_ano_ref,3,1)-Planos!$G77)/Planos!$E77,1)*Planos!$E77))/Planos!$E77)+1)))</f>
      </c>
      <c r="I79" s="44">
        <f>IF(OR(Planos!$A77="",NOT(ISNUMBER(Planos!$G77)),N(Planos!$E77)&lt;=0),0,IF(Planos!$G77&gt;EOMONTH(DATE(crono_ano_ref,4,1),0),0,MAX(0,INT((EOMONTH(DATE(crono_ano_ref,4,1),0)-IF(Planos!$G77&gt;=DATE(crono_ano_ref,4,1),Planos!$G77,Planos!$G77+CEILING((DATE(crono_ano_ref,4,1)-Planos!$G77)/Planos!$E77,1)*Planos!$E77))/Planos!$E77)+1)))</f>
      </c>
      <c r="J79" s="44">
        <f>IF(OR(Planos!$A77="",NOT(ISNUMBER(Planos!$G77)),N(Planos!$E77)&lt;=0),0,IF(Planos!$G77&gt;EOMONTH(DATE(crono_ano_ref,5,1),0),0,MAX(0,INT((EOMONTH(DATE(crono_ano_ref,5,1),0)-IF(Planos!$G77&gt;=DATE(crono_ano_ref,5,1),Planos!$G77,Planos!$G77+CEILING((DATE(crono_ano_ref,5,1)-Planos!$G77)/Planos!$E77,1)*Planos!$E77))/Planos!$E77)+1)))</f>
      </c>
      <c r="K79" s="44">
        <f>IF(OR(Planos!$A77="",NOT(ISNUMBER(Planos!$G77)),N(Planos!$E77)&lt;=0),0,IF(Planos!$G77&gt;EOMONTH(DATE(crono_ano_ref,6,1),0),0,MAX(0,INT((EOMONTH(DATE(crono_ano_ref,6,1),0)-IF(Planos!$G77&gt;=DATE(crono_ano_ref,6,1),Planos!$G77,Planos!$G77+CEILING((DATE(crono_ano_ref,6,1)-Planos!$G77)/Planos!$E77,1)*Planos!$E77))/Planos!$E77)+1)))</f>
      </c>
      <c r="L79" s="44">
        <f>IF(OR(Planos!$A77="",NOT(ISNUMBER(Planos!$G77)),N(Planos!$E77)&lt;=0),0,IF(Planos!$G77&gt;EOMONTH(DATE(crono_ano_ref,7,1),0),0,MAX(0,INT((EOMONTH(DATE(crono_ano_ref,7,1),0)-IF(Planos!$G77&gt;=DATE(crono_ano_ref,7,1),Planos!$G77,Planos!$G77+CEILING((DATE(crono_ano_ref,7,1)-Planos!$G77)/Planos!$E77,1)*Planos!$E77))/Planos!$E77)+1)))</f>
      </c>
      <c r="M79" s="44">
        <f>IF(OR(Planos!$A77="",NOT(ISNUMBER(Planos!$G77)),N(Planos!$E77)&lt;=0),0,IF(Planos!$G77&gt;EOMONTH(DATE(crono_ano_ref,8,1),0),0,MAX(0,INT((EOMONTH(DATE(crono_ano_ref,8,1),0)-IF(Planos!$G77&gt;=DATE(crono_ano_ref,8,1),Planos!$G77,Planos!$G77+CEILING((DATE(crono_ano_ref,8,1)-Planos!$G77)/Planos!$E77,1)*Planos!$E77))/Planos!$E77)+1)))</f>
      </c>
      <c r="N79" s="44">
        <f>IF(OR(Planos!$A77="",NOT(ISNUMBER(Planos!$G77)),N(Planos!$E77)&lt;=0),0,IF(Planos!$G77&gt;EOMONTH(DATE(crono_ano_ref,9,1),0),0,MAX(0,INT((EOMONTH(DATE(crono_ano_ref,9,1),0)-IF(Planos!$G77&gt;=DATE(crono_ano_ref,9,1),Planos!$G77,Planos!$G77+CEILING((DATE(crono_ano_ref,9,1)-Planos!$G77)/Planos!$E77,1)*Planos!$E77))/Planos!$E77)+1)))</f>
      </c>
      <c r="O79" s="44">
        <f>IF(OR(Planos!$A77="",NOT(ISNUMBER(Planos!$G77)),N(Planos!$E77)&lt;=0),0,IF(Planos!$G77&gt;EOMONTH(DATE(crono_ano_ref,10,1),0),0,MAX(0,INT((EOMONTH(DATE(crono_ano_ref,10,1),0)-IF(Planos!$G77&gt;=DATE(crono_ano_ref,10,1),Planos!$G77,Planos!$G77+CEILING((DATE(crono_ano_ref,10,1)-Planos!$G77)/Planos!$E77,1)*Planos!$E77))/Planos!$E77)+1)))</f>
      </c>
      <c r="P79" s="44">
        <f>IF(OR(Planos!$A77="",NOT(ISNUMBER(Planos!$G77)),N(Planos!$E77)&lt;=0),0,IF(Planos!$G77&gt;EOMONTH(DATE(crono_ano_ref,11,1),0),0,MAX(0,INT((EOMONTH(DATE(crono_ano_ref,11,1),0)-IF(Planos!$G77&gt;=DATE(crono_ano_ref,11,1),Planos!$G77,Planos!$G77+CEILING((DATE(crono_ano_ref,11,1)-Planos!$G77)/Planos!$E77,1)*Planos!$E77))/Planos!$E77)+1)))</f>
      </c>
      <c r="Q79" s="44">
        <f>IF(OR(Planos!$A77="",NOT(ISNUMBER(Planos!$G77)),N(Planos!$E77)&lt;=0),0,IF(Planos!$G77&gt;EOMONTH(DATE(crono_ano_ref,12,1),0),0,MAX(0,INT((EOMONTH(DATE(crono_ano_ref,12,1),0)-IF(Planos!$G77&gt;=DATE(crono_ano_ref,12,1),Planos!$G77,Planos!$G77+CEILING((DATE(crono_ano_ref,12,1)-Planos!$G77)/Planos!$E77,1)*Planos!$E77))/Planos!$E77)+1)))</f>
      </c>
      <c r="R79" s="44">
        <f>SUM(F79:Q79)</f>
      </c>
    </row>
    <row r="80" spans="1:18" x14ac:dyDescent="0.25">
      <c r="A80" s="24">
        <f>IF(Planos!$A78="","",Planos!A78&amp;"")</f>
      </c>
      <c r="B80" s="41">
        <f>IF(Planos!$A78="","",Planos!B78&amp;"")</f>
      </c>
      <c r="C80" s="24">
        <f>IF(Planos!$A78="","",Planos!C78&amp;"")</f>
      </c>
      <c r="D80" s="42">
        <f>IF(Planos!$A78="","",N(Planos!E78))</f>
      </c>
      <c r="E80" s="43">
        <f>IF(Planos!$A78="","",N(Planos!K78))</f>
      </c>
      <c r="F80" s="44">
        <f>IF(OR(Planos!$A78="",NOT(ISNUMBER(Planos!$G78)),N(Planos!$E78)&lt;=0),0,IF(Planos!$G78&gt;EOMONTH(DATE(crono_ano_ref,1,1),0),0,MAX(0,INT((EOMONTH(DATE(crono_ano_ref,1,1),0)-IF(Planos!$G78&gt;=DATE(crono_ano_ref,1,1),Planos!$G78,Planos!$G78+CEILING((DATE(crono_ano_ref,1,1)-Planos!$G78)/Planos!$E78,1)*Planos!$E78))/Planos!$E78)+1)))</f>
      </c>
      <c r="G80" s="44">
        <f>IF(OR(Planos!$A78="",NOT(ISNUMBER(Planos!$G78)),N(Planos!$E78)&lt;=0),0,IF(Planos!$G78&gt;EOMONTH(DATE(crono_ano_ref,2,1),0),0,MAX(0,INT((EOMONTH(DATE(crono_ano_ref,2,1),0)-IF(Planos!$G78&gt;=DATE(crono_ano_ref,2,1),Planos!$G78,Planos!$G78+CEILING((DATE(crono_ano_ref,2,1)-Planos!$G78)/Planos!$E78,1)*Planos!$E78))/Planos!$E78)+1)))</f>
      </c>
      <c r="H80" s="44">
        <f>IF(OR(Planos!$A78="",NOT(ISNUMBER(Planos!$G78)),N(Planos!$E78)&lt;=0),0,IF(Planos!$G78&gt;EOMONTH(DATE(crono_ano_ref,3,1),0),0,MAX(0,INT((EOMONTH(DATE(crono_ano_ref,3,1),0)-IF(Planos!$G78&gt;=DATE(crono_ano_ref,3,1),Planos!$G78,Planos!$G78+CEILING((DATE(crono_ano_ref,3,1)-Planos!$G78)/Planos!$E78,1)*Planos!$E78))/Planos!$E78)+1)))</f>
      </c>
      <c r="I80" s="44">
        <f>IF(OR(Planos!$A78="",NOT(ISNUMBER(Planos!$G78)),N(Planos!$E78)&lt;=0),0,IF(Planos!$G78&gt;EOMONTH(DATE(crono_ano_ref,4,1),0),0,MAX(0,INT((EOMONTH(DATE(crono_ano_ref,4,1),0)-IF(Planos!$G78&gt;=DATE(crono_ano_ref,4,1),Planos!$G78,Planos!$G78+CEILING((DATE(crono_ano_ref,4,1)-Planos!$G78)/Planos!$E78,1)*Planos!$E78))/Planos!$E78)+1)))</f>
      </c>
      <c r="J80" s="44">
        <f>IF(OR(Planos!$A78="",NOT(ISNUMBER(Planos!$G78)),N(Planos!$E78)&lt;=0),0,IF(Planos!$G78&gt;EOMONTH(DATE(crono_ano_ref,5,1),0),0,MAX(0,INT((EOMONTH(DATE(crono_ano_ref,5,1),0)-IF(Planos!$G78&gt;=DATE(crono_ano_ref,5,1),Planos!$G78,Planos!$G78+CEILING((DATE(crono_ano_ref,5,1)-Planos!$G78)/Planos!$E78,1)*Planos!$E78))/Planos!$E78)+1)))</f>
      </c>
      <c r="K80" s="44">
        <f>IF(OR(Planos!$A78="",NOT(ISNUMBER(Planos!$G78)),N(Planos!$E78)&lt;=0),0,IF(Planos!$G78&gt;EOMONTH(DATE(crono_ano_ref,6,1),0),0,MAX(0,INT((EOMONTH(DATE(crono_ano_ref,6,1),0)-IF(Planos!$G78&gt;=DATE(crono_ano_ref,6,1),Planos!$G78,Planos!$G78+CEILING((DATE(crono_ano_ref,6,1)-Planos!$G78)/Planos!$E78,1)*Planos!$E78))/Planos!$E78)+1)))</f>
      </c>
      <c r="L80" s="44">
        <f>IF(OR(Planos!$A78="",NOT(ISNUMBER(Planos!$G78)),N(Planos!$E78)&lt;=0),0,IF(Planos!$G78&gt;EOMONTH(DATE(crono_ano_ref,7,1),0),0,MAX(0,INT((EOMONTH(DATE(crono_ano_ref,7,1),0)-IF(Planos!$G78&gt;=DATE(crono_ano_ref,7,1),Planos!$G78,Planos!$G78+CEILING((DATE(crono_ano_ref,7,1)-Planos!$G78)/Planos!$E78,1)*Planos!$E78))/Planos!$E78)+1)))</f>
      </c>
      <c r="M80" s="44">
        <f>IF(OR(Planos!$A78="",NOT(ISNUMBER(Planos!$G78)),N(Planos!$E78)&lt;=0),0,IF(Planos!$G78&gt;EOMONTH(DATE(crono_ano_ref,8,1),0),0,MAX(0,INT((EOMONTH(DATE(crono_ano_ref,8,1),0)-IF(Planos!$G78&gt;=DATE(crono_ano_ref,8,1),Planos!$G78,Planos!$G78+CEILING((DATE(crono_ano_ref,8,1)-Planos!$G78)/Planos!$E78,1)*Planos!$E78))/Planos!$E78)+1)))</f>
      </c>
      <c r="N80" s="44">
        <f>IF(OR(Planos!$A78="",NOT(ISNUMBER(Planos!$G78)),N(Planos!$E78)&lt;=0),0,IF(Planos!$G78&gt;EOMONTH(DATE(crono_ano_ref,9,1),0),0,MAX(0,INT((EOMONTH(DATE(crono_ano_ref,9,1),0)-IF(Planos!$G78&gt;=DATE(crono_ano_ref,9,1),Planos!$G78,Planos!$G78+CEILING((DATE(crono_ano_ref,9,1)-Planos!$G78)/Planos!$E78,1)*Planos!$E78))/Planos!$E78)+1)))</f>
      </c>
      <c r="O80" s="44">
        <f>IF(OR(Planos!$A78="",NOT(ISNUMBER(Planos!$G78)),N(Planos!$E78)&lt;=0),0,IF(Planos!$G78&gt;EOMONTH(DATE(crono_ano_ref,10,1),0),0,MAX(0,INT((EOMONTH(DATE(crono_ano_ref,10,1),0)-IF(Planos!$G78&gt;=DATE(crono_ano_ref,10,1),Planos!$G78,Planos!$G78+CEILING((DATE(crono_ano_ref,10,1)-Planos!$G78)/Planos!$E78,1)*Planos!$E78))/Planos!$E78)+1)))</f>
      </c>
      <c r="P80" s="44">
        <f>IF(OR(Planos!$A78="",NOT(ISNUMBER(Planos!$G78)),N(Planos!$E78)&lt;=0),0,IF(Planos!$G78&gt;EOMONTH(DATE(crono_ano_ref,11,1),0),0,MAX(0,INT((EOMONTH(DATE(crono_ano_ref,11,1),0)-IF(Planos!$G78&gt;=DATE(crono_ano_ref,11,1),Planos!$G78,Planos!$G78+CEILING((DATE(crono_ano_ref,11,1)-Planos!$G78)/Planos!$E78,1)*Planos!$E78))/Planos!$E78)+1)))</f>
      </c>
      <c r="Q80" s="44">
        <f>IF(OR(Planos!$A78="",NOT(ISNUMBER(Planos!$G78)),N(Planos!$E78)&lt;=0),0,IF(Planos!$G78&gt;EOMONTH(DATE(crono_ano_ref,12,1),0),0,MAX(0,INT((EOMONTH(DATE(crono_ano_ref,12,1),0)-IF(Planos!$G78&gt;=DATE(crono_ano_ref,12,1),Planos!$G78,Planos!$G78+CEILING((DATE(crono_ano_ref,12,1)-Planos!$G78)/Planos!$E78,1)*Planos!$E78))/Planos!$E78)+1)))</f>
      </c>
      <c r="R80" s="44">
        <f>SUM(F80:Q80)</f>
      </c>
    </row>
    <row r="81" spans="1:18" x14ac:dyDescent="0.25">
      <c r="A81" s="24">
        <f>IF(Planos!$A79="","",Planos!A79&amp;"")</f>
      </c>
      <c r="B81" s="41">
        <f>IF(Planos!$A79="","",Planos!B79&amp;"")</f>
      </c>
      <c r="C81" s="24">
        <f>IF(Planos!$A79="","",Planos!C79&amp;"")</f>
      </c>
      <c r="D81" s="42">
        <f>IF(Planos!$A79="","",N(Planos!E79))</f>
      </c>
      <c r="E81" s="43">
        <f>IF(Planos!$A79="","",N(Planos!K79))</f>
      </c>
      <c r="F81" s="44">
        <f>IF(OR(Planos!$A79="",NOT(ISNUMBER(Planos!$G79)),N(Planos!$E79)&lt;=0),0,IF(Planos!$G79&gt;EOMONTH(DATE(crono_ano_ref,1,1),0),0,MAX(0,INT((EOMONTH(DATE(crono_ano_ref,1,1),0)-IF(Planos!$G79&gt;=DATE(crono_ano_ref,1,1),Planos!$G79,Planos!$G79+CEILING((DATE(crono_ano_ref,1,1)-Planos!$G79)/Planos!$E79,1)*Planos!$E79))/Planos!$E79)+1)))</f>
      </c>
      <c r="G81" s="44">
        <f>IF(OR(Planos!$A79="",NOT(ISNUMBER(Planos!$G79)),N(Planos!$E79)&lt;=0),0,IF(Planos!$G79&gt;EOMONTH(DATE(crono_ano_ref,2,1),0),0,MAX(0,INT((EOMONTH(DATE(crono_ano_ref,2,1),0)-IF(Planos!$G79&gt;=DATE(crono_ano_ref,2,1),Planos!$G79,Planos!$G79+CEILING((DATE(crono_ano_ref,2,1)-Planos!$G79)/Planos!$E79,1)*Planos!$E79))/Planos!$E79)+1)))</f>
      </c>
      <c r="H81" s="44">
        <f>IF(OR(Planos!$A79="",NOT(ISNUMBER(Planos!$G79)),N(Planos!$E79)&lt;=0),0,IF(Planos!$G79&gt;EOMONTH(DATE(crono_ano_ref,3,1),0),0,MAX(0,INT((EOMONTH(DATE(crono_ano_ref,3,1),0)-IF(Planos!$G79&gt;=DATE(crono_ano_ref,3,1),Planos!$G79,Planos!$G79+CEILING((DATE(crono_ano_ref,3,1)-Planos!$G79)/Planos!$E79,1)*Planos!$E79))/Planos!$E79)+1)))</f>
      </c>
      <c r="I81" s="44">
        <f>IF(OR(Planos!$A79="",NOT(ISNUMBER(Planos!$G79)),N(Planos!$E79)&lt;=0),0,IF(Planos!$G79&gt;EOMONTH(DATE(crono_ano_ref,4,1),0),0,MAX(0,INT((EOMONTH(DATE(crono_ano_ref,4,1),0)-IF(Planos!$G79&gt;=DATE(crono_ano_ref,4,1),Planos!$G79,Planos!$G79+CEILING((DATE(crono_ano_ref,4,1)-Planos!$G79)/Planos!$E79,1)*Planos!$E79))/Planos!$E79)+1)))</f>
      </c>
      <c r="J81" s="44">
        <f>IF(OR(Planos!$A79="",NOT(ISNUMBER(Planos!$G79)),N(Planos!$E79)&lt;=0),0,IF(Planos!$G79&gt;EOMONTH(DATE(crono_ano_ref,5,1),0),0,MAX(0,INT((EOMONTH(DATE(crono_ano_ref,5,1),0)-IF(Planos!$G79&gt;=DATE(crono_ano_ref,5,1),Planos!$G79,Planos!$G79+CEILING((DATE(crono_ano_ref,5,1)-Planos!$G79)/Planos!$E79,1)*Planos!$E79))/Planos!$E79)+1)))</f>
      </c>
      <c r="K81" s="44">
        <f>IF(OR(Planos!$A79="",NOT(ISNUMBER(Planos!$G79)),N(Planos!$E79)&lt;=0),0,IF(Planos!$G79&gt;EOMONTH(DATE(crono_ano_ref,6,1),0),0,MAX(0,INT((EOMONTH(DATE(crono_ano_ref,6,1),0)-IF(Planos!$G79&gt;=DATE(crono_ano_ref,6,1),Planos!$G79,Planos!$G79+CEILING((DATE(crono_ano_ref,6,1)-Planos!$G79)/Planos!$E79,1)*Planos!$E79))/Planos!$E79)+1)))</f>
      </c>
      <c r="L81" s="44">
        <f>IF(OR(Planos!$A79="",NOT(ISNUMBER(Planos!$G79)),N(Planos!$E79)&lt;=0),0,IF(Planos!$G79&gt;EOMONTH(DATE(crono_ano_ref,7,1),0),0,MAX(0,INT((EOMONTH(DATE(crono_ano_ref,7,1),0)-IF(Planos!$G79&gt;=DATE(crono_ano_ref,7,1),Planos!$G79,Planos!$G79+CEILING((DATE(crono_ano_ref,7,1)-Planos!$G79)/Planos!$E79,1)*Planos!$E79))/Planos!$E79)+1)))</f>
      </c>
      <c r="M81" s="44">
        <f>IF(OR(Planos!$A79="",NOT(ISNUMBER(Planos!$G79)),N(Planos!$E79)&lt;=0),0,IF(Planos!$G79&gt;EOMONTH(DATE(crono_ano_ref,8,1),0),0,MAX(0,INT((EOMONTH(DATE(crono_ano_ref,8,1),0)-IF(Planos!$G79&gt;=DATE(crono_ano_ref,8,1),Planos!$G79,Planos!$G79+CEILING((DATE(crono_ano_ref,8,1)-Planos!$G79)/Planos!$E79,1)*Planos!$E79))/Planos!$E79)+1)))</f>
      </c>
      <c r="N81" s="44">
        <f>IF(OR(Planos!$A79="",NOT(ISNUMBER(Planos!$G79)),N(Planos!$E79)&lt;=0),0,IF(Planos!$G79&gt;EOMONTH(DATE(crono_ano_ref,9,1),0),0,MAX(0,INT((EOMONTH(DATE(crono_ano_ref,9,1),0)-IF(Planos!$G79&gt;=DATE(crono_ano_ref,9,1),Planos!$G79,Planos!$G79+CEILING((DATE(crono_ano_ref,9,1)-Planos!$G79)/Planos!$E79,1)*Planos!$E79))/Planos!$E79)+1)))</f>
      </c>
      <c r="O81" s="44">
        <f>IF(OR(Planos!$A79="",NOT(ISNUMBER(Planos!$G79)),N(Planos!$E79)&lt;=0),0,IF(Planos!$G79&gt;EOMONTH(DATE(crono_ano_ref,10,1),0),0,MAX(0,INT((EOMONTH(DATE(crono_ano_ref,10,1),0)-IF(Planos!$G79&gt;=DATE(crono_ano_ref,10,1),Planos!$G79,Planos!$G79+CEILING((DATE(crono_ano_ref,10,1)-Planos!$G79)/Planos!$E79,1)*Planos!$E79))/Planos!$E79)+1)))</f>
      </c>
      <c r="P81" s="44">
        <f>IF(OR(Planos!$A79="",NOT(ISNUMBER(Planos!$G79)),N(Planos!$E79)&lt;=0),0,IF(Planos!$G79&gt;EOMONTH(DATE(crono_ano_ref,11,1),0),0,MAX(0,INT((EOMONTH(DATE(crono_ano_ref,11,1),0)-IF(Planos!$G79&gt;=DATE(crono_ano_ref,11,1),Planos!$G79,Planos!$G79+CEILING((DATE(crono_ano_ref,11,1)-Planos!$G79)/Planos!$E79,1)*Planos!$E79))/Planos!$E79)+1)))</f>
      </c>
      <c r="Q81" s="44">
        <f>IF(OR(Planos!$A79="",NOT(ISNUMBER(Planos!$G79)),N(Planos!$E79)&lt;=0),0,IF(Planos!$G79&gt;EOMONTH(DATE(crono_ano_ref,12,1),0),0,MAX(0,INT((EOMONTH(DATE(crono_ano_ref,12,1),0)-IF(Planos!$G79&gt;=DATE(crono_ano_ref,12,1),Planos!$G79,Planos!$G79+CEILING((DATE(crono_ano_ref,12,1)-Planos!$G79)/Planos!$E79,1)*Planos!$E79))/Planos!$E79)+1)))</f>
      </c>
      <c r="R81" s="44">
        <f>SUM(F81:Q81)</f>
      </c>
    </row>
    <row r="82" spans="1:18" x14ac:dyDescent="0.25">
      <c r="A82" s="24">
        <f>IF(Planos!$A80="","",Planos!A80&amp;"")</f>
      </c>
      <c r="B82" s="41">
        <f>IF(Planos!$A80="","",Planos!B80&amp;"")</f>
      </c>
      <c r="C82" s="24">
        <f>IF(Planos!$A80="","",Planos!C80&amp;"")</f>
      </c>
      <c r="D82" s="42">
        <f>IF(Planos!$A80="","",N(Planos!E80))</f>
      </c>
      <c r="E82" s="43">
        <f>IF(Planos!$A80="","",N(Planos!K80))</f>
      </c>
      <c r="F82" s="44">
        <f>IF(OR(Planos!$A80="",NOT(ISNUMBER(Planos!$G80)),N(Planos!$E80)&lt;=0),0,IF(Planos!$G80&gt;EOMONTH(DATE(crono_ano_ref,1,1),0),0,MAX(0,INT((EOMONTH(DATE(crono_ano_ref,1,1),0)-IF(Planos!$G80&gt;=DATE(crono_ano_ref,1,1),Planos!$G80,Planos!$G80+CEILING((DATE(crono_ano_ref,1,1)-Planos!$G80)/Planos!$E80,1)*Planos!$E80))/Planos!$E80)+1)))</f>
      </c>
      <c r="G82" s="44">
        <f>IF(OR(Planos!$A80="",NOT(ISNUMBER(Planos!$G80)),N(Planos!$E80)&lt;=0),0,IF(Planos!$G80&gt;EOMONTH(DATE(crono_ano_ref,2,1),0),0,MAX(0,INT((EOMONTH(DATE(crono_ano_ref,2,1),0)-IF(Planos!$G80&gt;=DATE(crono_ano_ref,2,1),Planos!$G80,Planos!$G80+CEILING((DATE(crono_ano_ref,2,1)-Planos!$G80)/Planos!$E80,1)*Planos!$E80))/Planos!$E80)+1)))</f>
      </c>
      <c r="H82" s="44">
        <f>IF(OR(Planos!$A80="",NOT(ISNUMBER(Planos!$G80)),N(Planos!$E80)&lt;=0),0,IF(Planos!$G80&gt;EOMONTH(DATE(crono_ano_ref,3,1),0),0,MAX(0,INT((EOMONTH(DATE(crono_ano_ref,3,1),0)-IF(Planos!$G80&gt;=DATE(crono_ano_ref,3,1),Planos!$G80,Planos!$G80+CEILING((DATE(crono_ano_ref,3,1)-Planos!$G80)/Planos!$E80,1)*Planos!$E80))/Planos!$E80)+1)))</f>
      </c>
      <c r="I82" s="44">
        <f>IF(OR(Planos!$A80="",NOT(ISNUMBER(Planos!$G80)),N(Planos!$E80)&lt;=0),0,IF(Planos!$G80&gt;EOMONTH(DATE(crono_ano_ref,4,1),0),0,MAX(0,INT((EOMONTH(DATE(crono_ano_ref,4,1),0)-IF(Planos!$G80&gt;=DATE(crono_ano_ref,4,1),Planos!$G80,Planos!$G80+CEILING((DATE(crono_ano_ref,4,1)-Planos!$G80)/Planos!$E80,1)*Planos!$E80))/Planos!$E80)+1)))</f>
      </c>
      <c r="J82" s="44">
        <f>IF(OR(Planos!$A80="",NOT(ISNUMBER(Planos!$G80)),N(Planos!$E80)&lt;=0),0,IF(Planos!$G80&gt;EOMONTH(DATE(crono_ano_ref,5,1),0),0,MAX(0,INT((EOMONTH(DATE(crono_ano_ref,5,1),0)-IF(Planos!$G80&gt;=DATE(crono_ano_ref,5,1),Planos!$G80,Planos!$G80+CEILING((DATE(crono_ano_ref,5,1)-Planos!$G80)/Planos!$E80,1)*Planos!$E80))/Planos!$E80)+1)))</f>
      </c>
      <c r="K82" s="44">
        <f>IF(OR(Planos!$A80="",NOT(ISNUMBER(Planos!$G80)),N(Planos!$E80)&lt;=0),0,IF(Planos!$G80&gt;EOMONTH(DATE(crono_ano_ref,6,1),0),0,MAX(0,INT((EOMONTH(DATE(crono_ano_ref,6,1),0)-IF(Planos!$G80&gt;=DATE(crono_ano_ref,6,1),Planos!$G80,Planos!$G80+CEILING((DATE(crono_ano_ref,6,1)-Planos!$G80)/Planos!$E80,1)*Planos!$E80))/Planos!$E80)+1)))</f>
      </c>
      <c r="L82" s="44">
        <f>IF(OR(Planos!$A80="",NOT(ISNUMBER(Planos!$G80)),N(Planos!$E80)&lt;=0),0,IF(Planos!$G80&gt;EOMONTH(DATE(crono_ano_ref,7,1),0),0,MAX(0,INT((EOMONTH(DATE(crono_ano_ref,7,1),0)-IF(Planos!$G80&gt;=DATE(crono_ano_ref,7,1),Planos!$G80,Planos!$G80+CEILING((DATE(crono_ano_ref,7,1)-Planos!$G80)/Planos!$E80,1)*Planos!$E80))/Planos!$E80)+1)))</f>
      </c>
      <c r="M82" s="44">
        <f>IF(OR(Planos!$A80="",NOT(ISNUMBER(Planos!$G80)),N(Planos!$E80)&lt;=0),0,IF(Planos!$G80&gt;EOMONTH(DATE(crono_ano_ref,8,1),0),0,MAX(0,INT((EOMONTH(DATE(crono_ano_ref,8,1),0)-IF(Planos!$G80&gt;=DATE(crono_ano_ref,8,1),Planos!$G80,Planos!$G80+CEILING((DATE(crono_ano_ref,8,1)-Planos!$G80)/Planos!$E80,1)*Planos!$E80))/Planos!$E80)+1)))</f>
      </c>
      <c r="N82" s="44">
        <f>IF(OR(Planos!$A80="",NOT(ISNUMBER(Planos!$G80)),N(Planos!$E80)&lt;=0),0,IF(Planos!$G80&gt;EOMONTH(DATE(crono_ano_ref,9,1),0),0,MAX(0,INT((EOMONTH(DATE(crono_ano_ref,9,1),0)-IF(Planos!$G80&gt;=DATE(crono_ano_ref,9,1),Planos!$G80,Planos!$G80+CEILING((DATE(crono_ano_ref,9,1)-Planos!$G80)/Planos!$E80,1)*Planos!$E80))/Planos!$E80)+1)))</f>
      </c>
      <c r="O82" s="44">
        <f>IF(OR(Planos!$A80="",NOT(ISNUMBER(Planos!$G80)),N(Planos!$E80)&lt;=0),0,IF(Planos!$G80&gt;EOMONTH(DATE(crono_ano_ref,10,1),0),0,MAX(0,INT((EOMONTH(DATE(crono_ano_ref,10,1),0)-IF(Planos!$G80&gt;=DATE(crono_ano_ref,10,1),Planos!$G80,Planos!$G80+CEILING((DATE(crono_ano_ref,10,1)-Planos!$G80)/Planos!$E80,1)*Planos!$E80))/Planos!$E80)+1)))</f>
      </c>
      <c r="P82" s="44">
        <f>IF(OR(Planos!$A80="",NOT(ISNUMBER(Planos!$G80)),N(Planos!$E80)&lt;=0),0,IF(Planos!$G80&gt;EOMONTH(DATE(crono_ano_ref,11,1),0),0,MAX(0,INT((EOMONTH(DATE(crono_ano_ref,11,1),0)-IF(Planos!$G80&gt;=DATE(crono_ano_ref,11,1),Planos!$G80,Planos!$G80+CEILING((DATE(crono_ano_ref,11,1)-Planos!$G80)/Planos!$E80,1)*Planos!$E80))/Planos!$E80)+1)))</f>
      </c>
      <c r="Q82" s="44">
        <f>IF(OR(Planos!$A80="",NOT(ISNUMBER(Planos!$G80)),N(Planos!$E80)&lt;=0),0,IF(Planos!$G80&gt;EOMONTH(DATE(crono_ano_ref,12,1),0),0,MAX(0,INT((EOMONTH(DATE(crono_ano_ref,12,1),0)-IF(Planos!$G80&gt;=DATE(crono_ano_ref,12,1),Planos!$G80,Planos!$G80+CEILING((DATE(crono_ano_ref,12,1)-Planos!$G80)/Planos!$E80,1)*Planos!$E80))/Planos!$E80)+1)))</f>
      </c>
      <c r="R82" s="44">
        <f>SUM(F82:Q82)</f>
      </c>
    </row>
    <row r="83" spans="1:18" x14ac:dyDescent="0.25">
      <c r="A83" s="24">
        <f>IF(Planos!$A81="","",Planos!A81&amp;"")</f>
      </c>
      <c r="B83" s="41">
        <f>IF(Planos!$A81="","",Planos!B81&amp;"")</f>
      </c>
      <c r="C83" s="24">
        <f>IF(Planos!$A81="","",Planos!C81&amp;"")</f>
      </c>
      <c r="D83" s="42">
        <f>IF(Planos!$A81="","",N(Planos!E81))</f>
      </c>
      <c r="E83" s="43">
        <f>IF(Planos!$A81="","",N(Planos!K81))</f>
      </c>
      <c r="F83" s="44">
        <f>IF(OR(Planos!$A81="",NOT(ISNUMBER(Planos!$G81)),N(Planos!$E81)&lt;=0),0,IF(Planos!$G81&gt;EOMONTH(DATE(crono_ano_ref,1,1),0),0,MAX(0,INT((EOMONTH(DATE(crono_ano_ref,1,1),0)-IF(Planos!$G81&gt;=DATE(crono_ano_ref,1,1),Planos!$G81,Planos!$G81+CEILING((DATE(crono_ano_ref,1,1)-Planos!$G81)/Planos!$E81,1)*Planos!$E81))/Planos!$E81)+1)))</f>
      </c>
      <c r="G83" s="44">
        <f>IF(OR(Planos!$A81="",NOT(ISNUMBER(Planos!$G81)),N(Planos!$E81)&lt;=0),0,IF(Planos!$G81&gt;EOMONTH(DATE(crono_ano_ref,2,1),0),0,MAX(0,INT((EOMONTH(DATE(crono_ano_ref,2,1),0)-IF(Planos!$G81&gt;=DATE(crono_ano_ref,2,1),Planos!$G81,Planos!$G81+CEILING((DATE(crono_ano_ref,2,1)-Planos!$G81)/Planos!$E81,1)*Planos!$E81))/Planos!$E81)+1)))</f>
      </c>
      <c r="H83" s="44">
        <f>IF(OR(Planos!$A81="",NOT(ISNUMBER(Planos!$G81)),N(Planos!$E81)&lt;=0),0,IF(Planos!$G81&gt;EOMONTH(DATE(crono_ano_ref,3,1),0),0,MAX(0,INT((EOMONTH(DATE(crono_ano_ref,3,1),0)-IF(Planos!$G81&gt;=DATE(crono_ano_ref,3,1),Planos!$G81,Planos!$G81+CEILING((DATE(crono_ano_ref,3,1)-Planos!$G81)/Planos!$E81,1)*Planos!$E81))/Planos!$E81)+1)))</f>
      </c>
      <c r="I83" s="44">
        <f>IF(OR(Planos!$A81="",NOT(ISNUMBER(Planos!$G81)),N(Planos!$E81)&lt;=0),0,IF(Planos!$G81&gt;EOMONTH(DATE(crono_ano_ref,4,1),0),0,MAX(0,INT((EOMONTH(DATE(crono_ano_ref,4,1),0)-IF(Planos!$G81&gt;=DATE(crono_ano_ref,4,1),Planos!$G81,Planos!$G81+CEILING((DATE(crono_ano_ref,4,1)-Planos!$G81)/Planos!$E81,1)*Planos!$E81))/Planos!$E81)+1)))</f>
      </c>
      <c r="J83" s="44">
        <f>IF(OR(Planos!$A81="",NOT(ISNUMBER(Planos!$G81)),N(Planos!$E81)&lt;=0),0,IF(Planos!$G81&gt;EOMONTH(DATE(crono_ano_ref,5,1),0),0,MAX(0,INT((EOMONTH(DATE(crono_ano_ref,5,1),0)-IF(Planos!$G81&gt;=DATE(crono_ano_ref,5,1),Planos!$G81,Planos!$G81+CEILING((DATE(crono_ano_ref,5,1)-Planos!$G81)/Planos!$E81,1)*Planos!$E81))/Planos!$E81)+1)))</f>
      </c>
      <c r="K83" s="44">
        <f>IF(OR(Planos!$A81="",NOT(ISNUMBER(Planos!$G81)),N(Planos!$E81)&lt;=0),0,IF(Planos!$G81&gt;EOMONTH(DATE(crono_ano_ref,6,1),0),0,MAX(0,INT((EOMONTH(DATE(crono_ano_ref,6,1),0)-IF(Planos!$G81&gt;=DATE(crono_ano_ref,6,1),Planos!$G81,Planos!$G81+CEILING((DATE(crono_ano_ref,6,1)-Planos!$G81)/Planos!$E81,1)*Planos!$E81))/Planos!$E81)+1)))</f>
      </c>
      <c r="L83" s="44">
        <f>IF(OR(Planos!$A81="",NOT(ISNUMBER(Planos!$G81)),N(Planos!$E81)&lt;=0),0,IF(Planos!$G81&gt;EOMONTH(DATE(crono_ano_ref,7,1),0),0,MAX(0,INT((EOMONTH(DATE(crono_ano_ref,7,1),0)-IF(Planos!$G81&gt;=DATE(crono_ano_ref,7,1),Planos!$G81,Planos!$G81+CEILING((DATE(crono_ano_ref,7,1)-Planos!$G81)/Planos!$E81,1)*Planos!$E81))/Planos!$E81)+1)))</f>
      </c>
      <c r="M83" s="44">
        <f>IF(OR(Planos!$A81="",NOT(ISNUMBER(Planos!$G81)),N(Planos!$E81)&lt;=0),0,IF(Planos!$G81&gt;EOMONTH(DATE(crono_ano_ref,8,1),0),0,MAX(0,INT((EOMONTH(DATE(crono_ano_ref,8,1),0)-IF(Planos!$G81&gt;=DATE(crono_ano_ref,8,1),Planos!$G81,Planos!$G81+CEILING((DATE(crono_ano_ref,8,1)-Planos!$G81)/Planos!$E81,1)*Planos!$E81))/Planos!$E81)+1)))</f>
      </c>
      <c r="N83" s="44">
        <f>IF(OR(Planos!$A81="",NOT(ISNUMBER(Planos!$G81)),N(Planos!$E81)&lt;=0),0,IF(Planos!$G81&gt;EOMONTH(DATE(crono_ano_ref,9,1),0),0,MAX(0,INT((EOMONTH(DATE(crono_ano_ref,9,1),0)-IF(Planos!$G81&gt;=DATE(crono_ano_ref,9,1),Planos!$G81,Planos!$G81+CEILING((DATE(crono_ano_ref,9,1)-Planos!$G81)/Planos!$E81,1)*Planos!$E81))/Planos!$E81)+1)))</f>
      </c>
      <c r="O83" s="44">
        <f>IF(OR(Planos!$A81="",NOT(ISNUMBER(Planos!$G81)),N(Planos!$E81)&lt;=0),0,IF(Planos!$G81&gt;EOMONTH(DATE(crono_ano_ref,10,1),0),0,MAX(0,INT((EOMONTH(DATE(crono_ano_ref,10,1),0)-IF(Planos!$G81&gt;=DATE(crono_ano_ref,10,1),Planos!$G81,Planos!$G81+CEILING((DATE(crono_ano_ref,10,1)-Planos!$G81)/Planos!$E81,1)*Planos!$E81))/Planos!$E81)+1)))</f>
      </c>
      <c r="P83" s="44">
        <f>IF(OR(Planos!$A81="",NOT(ISNUMBER(Planos!$G81)),N(Planos!$E81)&lt;=0),0,IF(Planos!$G81&gt;EOMONTH(DATE(crono_ano_ref,11,1),0),0,MAX(0,INT((EOMONTH(DATE(crono_ano_ref,11,1),0)-IF(Planos!$G81&gt;=DATE(crono_ano_ref,11,1),Planos!$G81,Planos!$G81+CEILING((DATE(crono_ano_ref,11,1)-Planos!$G81)/Planos!$E81,1)*Planos!$E81))/Planos!$E81)+1)))</f>
      </c>
      <c r="Q83" s="44">
        <f>IF(OR(Planos!$A81="",NOT(ISNUMBER(Planos!$G81)),N(Planos!$E81)&lt;=0),0,IF(Planos!$G81&gt;EOMONTH(DATE(crono_ano_ref,12,1),0),0,MAX(0,INT((EOMONTH(DATE(crono_ano_ref,12,1),0)-IF(Planos!$G81&gt;=DATE(crono_ano_ref,12,1),Planos!$G81,Planos!$G81+CEILING((DATE(crono_ano_ref,12,1)-Planos!$G81)/Planos!$E81,1)*Planos!$E81))/Planos!$E81)+1)))</f>
      </c>
      <c r="R83" s="44">
        <f>SUM(F83:Q83)</f>
      </c>
    </row>
    <row r="84" spans="1:18" x14ac:dyDescent="0.25">
      <c r="A84" s="24">
        <f>IF(Planos!$A82="","",Planos!A82&amp;"")</f>
      </c>
      <c r="B84" s="41">
        <f>IF(Planos!$A82="","",Planos!B82&amp;"")</f>
      </c>
      <c r="C84" s="24">
        <f>IF(Planos!$A82="","",Planos!C82&amp;"")</f>
      </c>
      <c r="D84" s="42">
        <f>IF(Planos!$A82="","",N(Planos!E82))</f>
      </c>
      <c r="E84" s="43">
        <f>IF(Planos!$A82="","",N(Planos!K82))</f>
      </c>
      <c r="F84" s="44">
        <f>IF(OR(Planos!$A82="",NOT(ISNUMBER(Planos!$G82)),N(Planos!$E82)&lt;=0),0,IF(Planos!$G82&gt;EOMONTH(DATE(crono_ano_ref,1,1),0),0,MAX(0,INT((EOMONTH(DATE(crono_ano_ref,1,1),0)-IF(Planos!$G82&gt;=DATE(crono_ano_ref,1,1),Planos!$G82,Planos!$G82+CEILING((DATE(crono_ano_ref,1,1)-Planos!$G82)/Planos!$E82,1)*Planos!$E82))/Planos!$E82)+1)))</f>
      </c>
      <c r="G84" s="44">
        <f>IF(OR(Planos!$A82="",NOT(ISNUMBER(Planos!$G82)),N(Planos!$E82)&lt;=0),0,IF(Planos!$G82&gt;EOMONTH(DATE(crono_ano_ref,2,1),0),0,MAX(0,INT((EOMONTH(DATE(crono_ano_ref,2,1),0)-IF(Planos!$G82&gt;=DATE(crono_ano_ref,2,1),Planos!$G82,Planos!$G82+CEILING((DATE(crono_ano_ref,2,1)-Planos!$G82)/Planos!$E82,1)*Planos!$E82))/Planos!$E82)+1)))</f>
      </c>
      <c r="H84" s="44">
        <f>IF(OR(Planos!$A82="",NOT(ISNUMBER(Planos!$G82)),N(Planos!$E82)&lt;=0),0,IF(Planos!$G82&gt;EOMONTH(DATE(crono_ano_ref,3,1),0),0,MAX(0,INT((EOMONTH(DATE(crono_ano_ref,3,1),0)-IF(Planos!$G82&gt;=DATE(crono_ano_ref,3,1),Planos!$G82,Planos!$G82+CEILING((DATE(crono_ano_ref,3,1)-Planos!$G82)/Planos!$E82,1)*Planos!$E82))/Planos!$E82)+1)))</f>
      </c>
      <c r="I84" s="44">
        <f>IF(OR(Planos!$A82="",NOT(ISNUMBER(Planos!$G82)),N(Planos!$E82)&lt;=0),0,IF(Planos!$G82&gt;EOMONTH(DATE(crono_ano_ref,4,1),0),0,MAX(0,INT((EOMONTH(DATE(crono_ano_ref,4,1),0)-IF(Planos!$G82&gt;=DATE(crono_ano_ref,4,1),Planos!$G82,Planos!$G82+CEILING((DATE(crono_ano_ref,4,1)-Planos!$G82)/Planos!$E82,1)*Planos!$E82))/Planos!$E82)+1)))</f>
      </c>
      <c r="J84" s="44">
        <f>IF(OR(Planos!$A82="",NOT(ISNUMBER(Planos!$G82)),N(Planos!$E82)&lt;=0),0,IF(Planos!$G82&gt;EOMONTH(DATE(crono_ano_ref,5,1),0),0,MAX(0,INT((EOMONTH(DATE(crono_ano_ref,5,1),0)-IF(Planos!$G82&gt;=DATE(crono_ano_ref,5,1),Planos!$G82,Planos!$G82+CEILING((DATE(crono_ano_ref,5,1)-Planos!$G82)/Planos!$E82,1)*Planos!$E82))/Planos!$E82)+1)))</f>
      </c>
      <c r="K84" s="44">
        <f>IF(OR(Planos!$A82="",NOT(ISNUMBER(Planos!$G82)),N(Planos!$E82)&lt;=0),0,IF(Planos!$G82&gt;EOMONTH(DATE(crono_ano_ref,6,1),0),0,MAX(0,INT((EOMONTH(DATE(crono_ano_ref,6,1),0)-IF(Planos!$G82&gt;=DATE(crono_ano_ref,6,1),Planos!$G82,Planos!$G82+CEILING((DATE(crono_ano_ref,6,1)-Planos!$G82)/Planos!$E82,1)*Planos!$E82))/Planos!$E82)+1)))</f>
      </c>
      <c r="L84" s="44">
        <f>IF(OR(Planos!$A82="",NOT(ISNUMBER(Planos!$G82)),N(Planos!$E82)&lt;=0),0,IF(Planos!$G82&gt;EOMONTH(DATE(crono_ano_ref,7,1),0),0,MAX(0,INT((EOMONTH(DATE(crono_ano_ref,7,1),0)-IF(Planos!$G82&gt;=DATE(crono_ano_ref,7,1),Planos!$G82,Planos!$G82+CEILING((DATE(crono_ano_ref,7,1)-Planos!$G82)/Planos!$E82,1)*Planos!$E82))/Planos!$E82)+1)))</f>
      </c>
      <c r="M84" s="44">
        <f>IF(OR(Planos!$A82="",NOT(ISNUMBER(Planos!$G82)),N(Planos!$E82)&lt;=0),0,IF(Planos!$G82&gt;EOMONTH(DATE(crono_ano_ref,8,1),0),0,MAX(0,INT((EOMONTH(DATE(crono_ano_ref,8,1),0)-IF(Planos!$G82&gt;=DATE(crono_ano_ref,8,1),Planos!$G82,Planos!$G82+CEILING((DATE(crono_ano_ref,8,1)-Planos!$G82)/Planos!$E82,1)*Planos!$E82))/Planos!$E82)+1)))</f>
      </c>
      <c r="N84" s="44">
        <f>IF(OR(Planos!$A82="",NOT(ISNUMBER(Planos!$G82)),N(Planos!$E82)&lt;=0),0,IF(Planos!$G82&gt;EOMONTH(DATE(crono_ano_ref,9,1),0),0,MAX(0,INT((EOMONTH(DATE(crono_ano_ref,9,1),0)-IF(Planos!$G82&gt;=DATE(crono_ano_ref,9,1),Planos!$G82,Planos!$G82+CEILING((DATE(crono_ano_ref,9,1)-Planos!$G82)/Planos!$E82,1)*Planos!$E82))/Planos!$E82)+1)))</f>
      </c>
      <c r="O84" s="44">
        <f>IF(OR(Planos!$A82="",NOT(ISNUMBER(Planos!$G82)),N(Planos!$E82)&lt;=0),0,IF(Planos!$G82&gt;EOMONTH(DATE(crono_ano_ref,10,1),0),0,MAX(0,INT((EOMONTH(DATE(crono_ano_ref,10,1),0)-IF(Planos!$G82&gt;=DATE(crono_ano_ref,10,1),Planos!$G82,Planos!$G82+CEILING((DATE(crono_ano_ref,10,1)-Planos!$G82)/Planos!$E82,1)*Planos!$E82))/Planos!$E82)+1)))</f>
      </c>
      <c r="P84" s="44">
        <f>IF(OR(Planos!$A82="",NOT(ISNUMBER(Planos!$G82)),N(Planos!$E82)&lt;=0),0,IF(Planos!$G82&gt;EOMONTH(DATE(crono_ano_ref,11,1),0),0,MAX(0,INT((EOMONTH(DATE(crono_ano_ref,11,1),0)-IF(Planos!$G82&gt;=DATE(crono_ano_ref,11,1),Planos!$G82,Planos!$G82+CEILING((DATE(crono_ano_ref,11,1)-Planos!$G82)/Planos!$E82,1)*Planos!$E82))/Planos!$E82)+1)))</f>
      </c>
      <c r="Q84" s="44">
        <f>IF(OR(Planos!$A82="",NOT(ISNUMBER(Planos!$G82)),N(Planos!$E82)&lt;=0),0,IF(Planos!$G82&gt;EOMONTH(DATE(crono_ano_ref,12,1),0),0,MAX(0,INT((EOMONTH(DATE(crono_ano_ref,12,1),0)-IF(Planos!$G82&gt;=DATE(crono_ano_ref,12,1),Planos!$G82,Planos!$G82+CEILING((DATE(crono_ano_ref,12,1)-Planos!$G82)/Planos!$E82,1)*Planos!$E82))/Planos!$E82)+1)))</f>
      </c>
      <c r="R84" s="44">
        <f>SUM(F84:Q84)</f>
      </c>
    </row>
    <row r="85" spans="1:18" x14ac:dyDescent="0.25">
      <c r="A85" s="24">
        <f>IF(Planos!$A83="","",Planos!A83&amp;"")</f>
      </c>
      <c r="B85" s="41">
        <f>IF(Planos!$A83="","",Planos!B83&amp;"")</f>
      </c>
      <c r="C85" s="24">
        <f>IF(Planos!$A83="","",Planos!C83&amp;"")</f>
      </c>
      <c r="D85" s="42">
        <f>IF(Planos!$A83="","",N(Planos!E83))</f>
      </c>
      <c r="E85" s="43">
        <f>IF(Planos!$A83="","",N(Planos!K83))</f>
      </c>
      <c r="F85" s="44">
        <f>IF(OR(Planos!$A83="",NOT(ISNUMBER(Planos!$G83)),N(Planos!$E83)&lt;=0),0,IF(Planos!$G83&gt;EOMONTH(DATE(crono_ano_ref,1,1),0),0,MAX(0,INT((EOMONTH(DATE(crono_ano_ref,1,1),0)-IF(Planos!$G83&gt;=DATE(crono_ano_ref,1,1),Planos!$G83,Planos!$G83+CEILING((DATE(crono_ano_ref,1,1)-Planos!$G83)/Planos!$E83,1)*Planos!$E83))/Planos!$E83)+1)))</f>
      </c>
      <c r="G85" s="44">
        <f>IF(OR(Planos!$A83="",NOT(ISNUMBER(Planos!$G83)),N(Planos!$E83)&lt;=0),0,IF(Planos!$G83&gt;EOMONTH(DATE(crono_ano_ref,2,1),0),0,MAX(0,INT((EOMONTH(DATE(crono_ano_ref,2,1),0)-IF(Planos!$G83&gt;=DATE(crono_ano_ref,2,1),Planos!$G83,Planos!$G83+CEILING((DATE(crono_ano_ref,2,1)-Planos!$G83)/Planos!$E83,1)*Planos!$E83))/Planos!$E83)+1)))</f>
      </c>
      <c r="H85" s="44">
        <f>IF(OR(Planos!$A83="",NOT(ISNUMBER(Planos!$G83)),N(Planos!$E83)&lt;=0),0,IF(Planos!$G83&gt;EOMONTH(DATE(crono_ano_ref,3,1),0),0,MAX(0,INT((EOMONTH(DATE(crono_ano_ref,3,1),0)-IF(Planos!$G83&gt;=DATE(crono_ano_ref,3,1),Planos!$G83,Planos!$G83+CEILING((DATE(crono_ano_ref,3,1)-Planos!$G83)/Planos!$E83,1)*Planos!$E83))/Planos!$E83)+1)))</f>
      </c>
      <c r="I85" s="44">
        <f>IF(OR(Planos!$A83="",NOT(ISNUMBER(Planos!$G83)),N(Planos!$E83)&lt;=0),0,IF(Planos!$G83&gt;EOMONTH(DATE(crono_ano_ref,4,1),0),0,MAX(0,INT((EOMONTH(DATE(crono_ano_ref,4,1),0)-IF(Planos!$G83&gt;=DATE(crono_ano_ref,4,1),Planos!$G83,Planos!$G83+CEILING((DATE(crono_ano_ref,4,1)-Planos!$G83)/Planos!$E83,1)*Planos!$E83))/Planos!$E83)+1)))</f>
      </c>
      <c r="J85" s="44">
        <f>IF(OR(Planos!$A83="",NOT(ISNUMBER(Planos!$G83)),N(Planos!$E83)&lt;=0),0,IF(Planos!$G83&gt;EOMONTH(DATE(crono_ano_ref,5,1),0),0,MAX(0,INT((EOMONTH(DATE(crono_ano_ref,5,1),0)-IF(Planos!$G83&gt;=DATE(crono_ano_ref,5,1),Planos!$G83,Planos!$G83+CEILING((DATE(crono_ano_ref,5,1)-Planos!$G83)/Planos!$E83,1)*Planos!$E83))/Planos!$E83)+1)))</f>
      </c>
      <c r="K85" s="44">
        <f>IF(OR(Planos!$A83="",NOT(ISNUMBER(Planos!$G83)),N(Planos!$E83)&lt;=0),0,IF(Planos!$G83&gt;EOMONTH(DATE(crono_ano_ref,6,1),0),0,MAX(0,INT((EOMONTH(DATE(crono_ano_ref,6,1),0)-IF(Planos!$G83&gt;=DATE(crono_ano_ref,6,1),Planos!$G83,Planos!$G83+CEILING((DATE(crono_ano_ref,6,1)-Planos!$G83)/Planos!$E83,1)*Planos!$E83))/Planos!$E83)+1)))</f>
      </c>
      <c r="L85" s="44">
        <f>IF(OR(Planos!$A83="",NOT(ISNUMBER(Planos!$G83)),N(Planos!$E83)&lt;=0),0,IF(Planos!$G83&gt;EOMONTH(DATE(crono_ano_ref,7,1),0),0,MAX(0,INT((EOMONTH(DATE(crono_ano_ref,7,1),0)-IF(Planos!$G83&gt;=DATE(crono_ano_ref,7,1),Planos!$G83,Planos!$G83+CEILING((DATE(crono_ano_ref,7,1)-Planos!$G83)/Planos!$E83,1)*Planos!$E83))/Planos!$E83)+1)))</f>
      </c>
      <c r="M85" s="44">
        <f>IF(OR(Planos!$A83="",NOT(ISNUMBER(Planos!$G83)),N(Planos!$E83)&lt;=0),0,IF(Planos!$G83&gt;EOMONTH(DATE(crono_ano_ref,8,1),0),0,MAX(0,INT((EOMONTH(DATE(crono_ano_ref,8,1),0)-IF(Planos!$G83&gt;=DATE(crono_ano_ref,8,1),Planos!$G83,Planos!$G83+CEILING((DATE(crono_ano_ref,8,1)-Planos!$G83)/Planos!$E83,1)*Planos!$E83))/Planos!$E83)+1)))</f>
      </c>
      <c r="N85" s="44">
        <f>IF(OR(Planos!$A83="",NOT(ISNUMBER(Planos!$G83)),N(Planos!$E83)&lt;=0),0,IF(Planos!$G83&gt;EOMONTH(DATE(crono_ano_ref,9,1),0),0,MAX(0,INT((EOMONTH(DATE(crono_ano_ref,9,1),0)-IF(Planos!$G83&gt;=DATE(crono_ano_ref,9,1),Planos!$G83,Planos!$G83+CEILING((DATE(crono_ano_ref,9,1)-Planos!$G83)/Planos!$E83,1)*Planos!$E83))/Planos!$E83)+1)))</f>
      </c>
      <c r="O85" s="44">
        <f>IF(OR(Planos!$A83="",NOT(ISNUMBER(Planos!$G83)),N(Planos!$E83)&lt;=0),0,IF(Planos!$G83&gt;EOMONTH(DATE(crono_ano_ref,10,1),0),0,MAX(0,INT((EOMONTH(DATE(crono_ano_ref,10,1),0)-IF(Planos!$G83&gt;=DATE(crono_ano_ref,10,1),Planos!$G83,Planos!$G83+CEILING((DATE(crono_ano_ref,10,1)-Planos!$G83)/Planos!$E83,1)*Planos!$E83))/Planos!$E83)+1)))</f>
      </c>
      <c r="P85" s="44">
        <f>IF(OR(Planos!$A83="",NOT(ISNUMBER(Planos!$G83)),N(Planos!$E83)&lt;=0),0,IF(Planos!$G83&gt;EOMONTH(DATE(crono_ano_ref,11,1),0),0,MAX(0,INT((EOMONTH(DATE(crono_ano_ref,11,1),0)-IF(Planos!$G83&gt;=DATE(crono_ano_ref,11,1),Planos!$G83,Planos!$G83+CEILING((DATE(crono_ano_ref,11,1)-Planos!$G83)/Planos!$E83,1)*Planos!$E83))/Planos!$E83)+1)))</f>
      </c>
      <c r="Q85" s="44">
        <f>IF(OR(Planos!$A83="",NOT(ISNUMBER(Planos!$G83)),N(Planos!$E83)&lt;=0),0,IF(Planos!$G83&gt;EOMONTH(DATE(crono_ano_ref,12,1),0),0,MAX(0,INT((EOMONTH(DATE(crono_ano_ref,12,1),0)-IF(Planos!$G83&gt;=DATE(crono_ano_ref,12,1),Planos!$G83,Planos!$G83+CEILING((DATE(crono_ano_ref,12,1)-Planos!$G83)/Planos!$E83,1)*Planos!$E83))/Planos!$E83)+1)))</f>
      </c>
      <c r="R85" s="44">
        <f>SUM(F85:Q85)</f>
      </c>
    </row>
    <row r="86" spans="1:18" x14ac:dyDescent="0.25">
      <c r="A86" s="24">
        <f>IF(Planos!$A84="","",Planos!A84&amp;"")</f>
      </c>
      <c r="B86" s="41">
        <f>IF(Planos!$A84="","",Planos!B84&amp;"")</f>
      </c>
      <c r="C86" s="24">
        <f>IF(Planos!$A84="","",Planos!C84&amp;"")</f>
      </c>
      <c r="D86" s="42">
        <f>IF(Planos!$A84="","",N(Planos!E84))</f>
      </c>
      <c r="E86" s="43">
        <f>IF(Planos!$A84="","",N(Planos!K84))</f>
      </c>
      <c r="F86" s="44">
        <f>IF(OR(Planos!$A84="",NOT(ISNUMBER(Planos!$G84)),N(Planos!$E84)&lt;=0),0,IF(Planos!$G84&gt;EOMONTH(DATE(crono_ano_ref,1,1),0),0,MAX(0,INT((EOMONTH(DATE(crono_ano_ref,1,1),0)-IF(Planos!$G84&gt;=DATE(crono_ano_ref,1,1),Planos!$G84,Planos!$G84+CEILING((DATE(crono_ano_ref,1,1)-Planos!$G84)/Planos!$E84,1)*Planos!$E84))/Planos!$E84)+1)))</f>
      </c>
      <c r="G86" s="44">
        <f>IF(OR(Planos!$A84="",NOT(ISNUMBER(Planos!$G84)),N(Planos!$E84)&lt;=0),0,IF(Planos!$G84&gt;EOMONTH(DATE(crono_ano_ref,2,1),0),0,MAX(0,INT((EOMONTH(DATE(crono_ano_ref,2,1),0)-IF(Planos!$G84&gt;=DATE(crono_ano_ref,2,1),Planos!$G84,Planos!$G84+CEILING((DATE(crono_ano_ref,2,1)-Planos!$G84)/Planos!$E84,1)*Planos!$E84))/Planos!$E84)+1)))</f>
      </c>
      <c r="H86" s="44">
        <f>IF(OR(Planos!$A84="",NOT(ISNUMBER(Planos!$G84)),N(Planos!$E84)&lt;=0),0,IF(Planos!$G84&gt;EOMONTH(DATE(crono_ano_ref,3,1),0),0,MAX(0,INT((EOMONTH(DATE(crono_ano_ref,3,1),0)-IF(Planos!$G84&gt;=DATE(crono_ano_ref,3,1),Planos!$G84,Planos!$G84+CEILING((DATE(crono_ano_ref,3,1)-Planos!$G84)/Planos!$E84,1)*Planos!$E84))/Planos!$E84)+1)))</f>
      </c>
      <c r="I86" s="44">
        <f>IF(OR(Planos!$A84="",NOT(ISNUMBER(Planos!$G84)),N(Planos!$E84)&lt;=0),0,IF(Planos!$G84&gt;EOMONTH(DATE(crono_ano_ref,4,1),0),0,MAX(0,INT((EOMONTH(DATE(crono_ano_ref,4,1),0)-IF(Planos!$G84&gt;=DATE(crono_ano_ref,4,1),Planos!$G84,Planos!$G84+CEILING((DATE(crono_ano_ref,4,1)-Planos!$G84)/Planos!$E84,1)*Planos!$E84))/Planos!$E84)+1)))</f>
      </c>
      <c r="J86" s="44">
        <f>IF(OR(Planos!$A84="",NOT(ISNUMBER(Planos!$G84)),N(Planos!$E84)&lt;=0),0,IF(Planos!$G84&gt;EOMONTH(DATE(crono_ano_ref,5,1),0),0,MAX(0,INT((EOMONTH(DATE(crono_ano_ref,5,1),0)-IF(Planos!$G84&gt;=DATE(crono_ano_ref,5,1),Planos!$G84,Planos!$G84+CEILING((DATE(crono_ano_ref,5,1)-Planos!$G84)/Planos!$E84,1)*Planos!$E84))/Planos!$E84)+1)))</f>
      </c>
      <c r="K86" s="44">
        <f>IF(OR(Planos!$A84="",NOT(ISNUMBER(Planos!$G84)),N(Planos!$E84)&lt;=0),0,IF(Planos!$G84&gt;EOMONTH(DATE(crono_ano_ref,6,1),0),0,MAX(0,INT((EOMONTH(DATE(crono_ano_ref,6,1),0)-IF(Planos!$G84&gt;=DATE(crono_ano_ref,6,1),Planos!$G84,Planos!$G84+CEILING((DATE(crono_ano_ref,6,1)-Planos!$G84)/Planos!$E84,1)*Planos!$E84))/Planos!$E84)+1)))</f>
      </c>
      <c r="L86" s="44">
        <f>IF(OR(Planos!$A84="",NOT(ISNUMBER(Planos!$G84)),N(Planos!$E84)&lt;=0),0,IF(Planos!$G84&gt;EOMONTH(DATE(crono_ano_ref,7,1),0),0,MAX(0,INT((EOMONTH(DATE(crono_ano_ref,7,1),0)-IF(Planos!$G84&gt;=DATE(crono_ano_ref,7,1),Planos!$G84,Planos!$G84+CEILING((DATE(crono_ano_ref,7,1)-Planos!$G84)/Planos!$E84,1)*Planos!$E84))/Planos!$E84)+1)))</f>
      </c>
      <c r="M86" s="44">
        <f>IF(OR(Planos!$A84="",NOT(ISNUMBER(Planos!$G84)),N(Planos!$E84)&lt;=0),0,IF(Planos!$G84&gt;EOMONTH(DATE(crono_ano_ref,8,1),0),0,MAX(0,INT((EOMONTH(DATE(crono_ano_ref,8,1),0)-IF(Planos!$G84&gt;=DATE(crono_ano_ref,8,1),Planos!$G84,Planos!$G84+CEILING((DATE(crono_ano_ref,8,1)-Planos!$G84)/Planos!$E84,1)*Planos!$E84))/Planos!$E84)+1)))</f>
      </c>
      <c r="N86" s="44">
        <f>IF(OR(Planos!$A84="",NOT(ISNUMBER(Planos!$G84)),N(Planos!$E84)&lt;=0),0,IF(Planos!$G84&gt;EOMONTH(DATE(crono_ano_ref,9,1),0),0,MAX(0,INT((EOMONTH(DATE(crono_ano_ref,9,1),0)-IF(Planos!$G84&gt;=DATE(crono_ano_ref,9,1),Planos!$G84,Planos!$G84+CEILING((DATE(crono_ano_ref,9,1)-Planos!$G84)/Planos!$E84,1)*Planos!$E84))/Planos!$E84)+1)))</f>
      </c>
      <c r="O86" s="44">
        <f>IF(OR(Planos!$A84="",NOT(ISNUMBER(Planos!$G84)),N(Planos!$E84)&lt;=0),0,IF(Planos!$G84&gt;EOMONTH(DATE(crono_ano_ref,10,1),0),0,MAX(0,INT((EOMONTH(DATE(crono_ano_ref,10,1),0)-IF(Planos!$G84&gt;=DATE(crono_ano_ref,10,1),Planos!$G84,Planos!$G84+CEILING((DATE(crono_ano_ref,10,1)-Planos!$G84)/Planos!$E84,1)*Planos!$E84))/Planos!$E84)+1)))</f>
      </c>
      <c r="P86" s="44">
        <f>IF(OR(Planos!$A84="",NOT(ISNUMBER(Planos!$G84)),N(Planos!$E84)&lt;=0),0,IF(Planos!$G84&gt;EOMONTH(DATE(crono_ano_ref,11,1),0),0,MAX(0,INT((EOMONTH(DATE(crono_ano_ref,11,1),0)-IF(Planos!$G84&gt;=DATE(crono_ano_ref,11,1),Planos!$G84,Planos!$G84+CEILING((DATE(crono_ano_ref,11,1)-Planos!$G84)/Planos!$E84,1)*Planos!$E84))/Planos!$E84)+1)))</f>
      </c>
      <c r="Q86" s="44">
        <f>IF(OR(Planos!$A84="",NOT(ISNUMBER(Planos!$G84)),N(Planos!$E84)&lt;=0),0,IF(Planos!$G84&gt;EOMONTH(DATE(crono_ano_ref,12,1),0),0,MAX(0,INT((EOMONTH(DATE(crono_ano_ref,12,1),0)-IF(Planos!$G84&gt;=DATE(crono_ano_ref,12,1),Planos!$G84,Planos!$G84+CEILING((DATE(crono_ano_ref,12,1)-Planos!$G84)/Planos!$E84,1)*Planos!$E84))/Planos!$E84)+1)))</f>
      </c>
      <c r="R86" s="44">
        <f>SUM(F86:Q86)</f>
      </c>
    </row>
    <row r="87" spans="1:18" x14ac:dyDescent="0.25">
      <c r="A87" s="24">
        <f>IF(Planos!$A85="","",Planos!A85&amp;"")</f>
      </c>
      <c r="B87" s="41">
        <f>IF(Planos!$A85="","",Planos!B85&amp;"")</f>
      </c>
      <c r="C87" s="24">
        <f>IF(Planos!$A85="","",Planos!C85&amp;"")</f>
      </c>
      <c r="D87" s="42">
        <f>IF(Planos!$A85="","",N(Planos!E85))</f>
      </c>
      <c r="E87" s="43">
        <f>IF(Planos!$A85="","",N(Planos!K85))</f>
      </c>
      <c r="F87" s="44">
        <f>IF(OR(Planos!$A85="",NOT(ISNUMBER(Planos!$G85)),N(Planos!$E85)&lt;=0),0,IF(Planos!$G85&gt;EOMONTH(DATE(crono_ano_ref,1,1),0),0,MAX(0,INT((EOMONTH(DATE(crono_ano_ref,1,1),0)-IF(Planos!$G85&gt;=DATE(crono_ano_ref,1,1),Planos!$G85,Planos!$G85+CEILING((DATE(crono_ano_ref,1,1)-Planos!$G85)/Planos!$E85,1)*Planos!$E85))/Planos!$E85)+1)))</f>
      </c>
      <c r="G87" s="44">
        <f>IF(OR(Planos!$A85="",NOT(ISNUMBER(Planos!$G85)),N(Planos!$E85)&lt;=0),0,IF(Planos!$G85&gt;EOMONTH(DATE(crono_ano_ref,2,1),0),0,MAX(0,INT((EOMONTH(DATE(crono_ano_ref,2,1),0)-IF(Planos!$G85&gt;=DATE(crono_ano_ref,2,1),Planos!$G85,Planos!$G85+CEILING((DATE(crono_ano_ref,2,1)-Planos!$G85)/Planos!$E85,1)*Planos!$E85))/Planos!$E85)+1)))</f>
      </c>
      <c r="H87" s="44">
        <f>IF(OR(Planos!$A85="",NOT(ISNUMBER(Planos!$G85)),N(Planos!$E85)&lt;=0),0,IF(Planos!$G85&gt;EOMONTH(DATE(crono_ano_ref,3,1),0),0,MAX(0,INT((EOMONTH(DATE(crono_ano_ref,3,1),0)-IF(Planos!$G85&gt;=DATE(crono_ano_ref,3,1),Planos!$G85,Planos!$G85+CEILING((DATE(crono_ano_ref,3,1)-Planos!$G85)/Planos!$E85,1)*Planos!$E85))/Planos!$E85)+1)))</f>
      </c>
      <c r="I87" s="44">
        <f>IF(OR(Planos!$A85="",NOT(ISNUMBER(Planos!$G85)),N(Planos!$E85)&lt;=0),0,IF(Planos!$G85&gt;EOMONTH(DATE(crono_ano_ref,4,1),0),0,MAX(0,INT((EOMONTH(DATE(crono_ano_ref,4,1),0)-IF(Planos!$G85&gt;=DATE(crono_ano_ref,4,1),Planos!$G85,Planos!$G85+CEILING((DATE(crono_ano_ref,4,1)-Planos!$G85)/Planos!$E85,1)*Planos!$E85))/Planos!$E85)+1)))</f>
      </c>
      <c r="J87" s="44">
        <f>IF(OR(Planos!$A85="",NOT(ISNUMBER(Planos!$G85)),N(Planos!$E85)&lt;=0),0,IF(Planos!$G85&gt;EOMONTH(DATE(crono_ano_ref,5,1),0),0,MAX(0,INT((EOMONTH(DATE(crono_ano_ref,5,1),0)-IF(Planos!$G85&gt;=DATE(crono_ano_ref,5,1),Planos!$G85,Planos!$G85+CEILING((DATE(crono_ano_ref,5,1)-Planos!$G85)/Planos!$E85,1)*Planos!$E85))/Planos!$E85)+1)))</f>
      </c>
      <c r="K87" s="44">
        <f>IF(OR(Planos!$A85="",NOT(ISNUMBER(Planos!$G85)),N(Planos!$E85)&lt;=0),0,IF(Planos!$G85&gt;EOMONTH(DATE(crono_ano_ref,6,1),0),0,MAX(0,INT((EOMONTH(DATE(crono_ano_ref,6,1),0)-IF(Planos!$G85&gt;=DATE(crono_ano_ref,6,1),Planos!$G85,Planos!$G85+CEILING((DATE(crono_ano_ref,6,1)-Planos!$G85)/Planos!$E85,1)*Planos!$E85))/Planos!$E85)+1)))</f>
      </c>
      <c r="L87" s="44">
        <f>IF(OR(Planos!$A85="",NOT(ISNUMBER(Planos!$G85)),N(Planos!$E85)&lt;=0),0,IF(Planos!$G85&gt;EOMONTH(DATE(crono_ano_ref,7,1),0),0,MAX(0,INT((EOMONTH(DATE(crono_ano_ref,7,1),0)-IF(Planos!$G85&gt;=DATE(crono_ano_ref,7,1),Planos!$G85,Planos!$G85+CEILING((DATE(crono_ano_ref,7,1)-Planos!$G85)/Planos!$E85,1)*Planos!$E85))/Planos!$E85)+1)))</f>
      </c>
      <c r="M87" s="44">
        <f>IF(OR(Planos!$A85="",NOT(ISNUMBER(Planos!$G85)),N(Planos!$E85)&lt;=0),0,IF(Planos!$G85&gt;EOMONTH(DATE(crono_ano_ref,8,1),0),0,MAX(0,INT((EOMONTH(DATE(crono_ano_ref,8,1),0)-IF(Planos!$G85&gt;=DATE(crono_ano_ref,8,1),Planos!$G85,Planos!$G85+CEILING((DATE(crono_ano_ref,8,1)-Planos!$G85)/Planos!$E85,1)*Planos!$E85))/Planos!$E85)+1)))</f>
      </c>
      <c r="N87" s="44">
        <f>IF(OR(Planos!$A85="",NOT(ISNUMBER(Planos!$G85)),N(Planos!$E85)&lt;=0),0,IF(Planos!$G85&gt;EOMONTH(DATE(crono_ano_ref,9,1),0),0,MAX(0,INT((EOMONTH(DATE(crono_ano_ref,9,1),0)-IF(Planos!$G85&gt;=DATE(crono_ano_ref,9,1),Planos!$G85,Planos!$G85+CEILING((DATE(crono_ano_ref,9,1)-Planos!$G85)/Planos!$E85,1)*Planos!$E85))/Planos!$E85)+1)))</f>
      </c>
      <c r="O87" s="44">
        <f>IF(OR(Planos!$A85="",NOT(ISNUMBER(Planos!$G85)),N(Planos!$E85)&lt;=0),0,IF(Planos!$G85&gt;EOMONTH(DATE(crono_ano_ref,10,1),0),0,MAX(0,INT((EOMONTH(DATE(crono_ano_ref,10,1),0)-IF(Planos!$G85&gt;=DATE(crono_ano_ref,10,1),Planos!$G85,Planos!$G85+CEILING((DATE(crono_ano_ref,10,1)-Planos!$G85)/Planos!$E85,1)*Planos!$E85))/Planos!$E85)+1)))</f>
      </c>
      <c r="P87" s="44">
        <f>IF(OR(Planos!$A85="",NOT(ISNUMBER(Planos!$G85)),N(Planos!$E85)&lt;=0),0,IF(Planos!$G85&gt;EOMONTH(DATE(crono_ano_ref,11,1),0),0,MAX(0,INT((EOMONTH(DATE(crono_ano_ref,11,1),0)-IF(Planos!$G85&gt;=DATE(crono_ano_ref,11,1),Planos!$G85,Planos!$G85+CEILING((DATE(crono_ano_ref,11,1)-Planos!$G85)/Planos!$E85,1)*Planos!$E85))/Planos!$E85)+1)))</f>
      </c>
      <c r="Q87" s="44">
        <f>IF(OR(Planos!$A85="",NOT(ISNUMBER(Planos!$G85)),N(Planos!$E85)&lt;=0),0,IF(Planos!$G85&gt;EOMONTH(DATE(crono_ano_ref,12,1),0),0,MAX(0,INT((EOMONTH(DATE(crono_ano_ref,12,1),0)-IF(Planos!$G85&gt;=DATE(crono_ano_ref,12,1),Planos!$G85,Planos!$G85+CEILING((DATE(crono_ano_ref,12,1)-Planos!$G85)/Planos!$E85,1)*Planos!$E85))/Planos!$E85)+1)))</f>
      </c>
      <c r="R87" s="44">
        <f>SUM(F87:Q87)</f>
      </c>
    </row>
    <row r="88" spans="1:18" x14ac:dyDescent="0.25">
      <c r="A88" s="24">
        <f>IF(Planos!$A86="","",Planos!A86&amp;"")</f>
      </c>
      <c r="B88" s="41">
        <f>IF(Planos!$A86="","",Planos!B86&amp;"")</f>
      </c>
      <c r="C88" s="24">
        <f>IF(Planos!$A86="","",Planos!C86&amp;"")</f>
      </c>
      <c r="D88" s="42">
        <f>IF(Planos!$A86="","",N(Planos!E86))</f>
      </c>
      <c r="E88" s="43">
        <f>IF(Planos!$A86="","",N(Planos!K86))</f>
      </c>
      <c r="F88" s="44">
        <f>IF(OR(Planos!$A86="",NOT(ISNUMBER(Planos!$G86)),N(Planos!$E86)&lt;=0),0,IF(Planos!$G86&gt;EOMONTH(DATE(crono_ano_ref,1,1),0),0,MAX(0,INT((EOMONTH(DATE(crono_ano_ref,1,1),0)-IF(Planos!$G86&gt;=DATE(crono_ano_ref,1,1),Planos!$G86,Planos!$G86+CEILING((DATE(crono_ano_ref,1,1)-Planos!$G86)/Planos!$E86,1)*Planos!$E86))/Planos!$E86)+1)))</f>
      </c>
      <c r="G88" s="44">
        <f>IF(OR(Planos!$A86="",NOT(ISNUMBER(Planos!$G86)),N(Planos!$E86)&lt;=0),0,IF(Planos!$G86&gt;EOMONTH(DATE(crono_ano_ref,2,1),0),0,MAX(0,INT((EOMONTH(DATE(crono_ano_ref,2,1),0)-IF(Planos!$G86&gt;=DATE(crono_ano_ref,2,1),Planos!$G86,Planos!$G86+CEILING((DATE(crono_ano_ref,2,1)-Planos!$G86)/Planos!$E86,1)*Planos!$E86))/Planos!$E86)+1)))</f>
      </c>
      <c r="H88" s="44">
        <f>IF(OR(Planos!$A86="",NOT(ISNUMBER(Planos!$G86)),N(Planos!$E86)&lt;=0),0,IF(Planos!$G86&gt;EOMONTH(DATE(crono_ano_ref,3,1),0),0,MAX(0,INT((EOMONTH(DATE(crono_ano_ref,3,1),0)-IF(Planos!$G86&gt;=DATE(crono_ano_ref,3,1),Planos!$G86,Planos!$G86+CEILING((DATE(crono_ano_ref,3,1)-Planos!$G86)/Planos!$E86,1)*Planos!$E86))/Planos!$E86)+1)))</f>
      </c>
      <c r="I88" s="44">
        <f>IF(OR(Planos!$A86="",NOT(ISNUMBER(Planos!$G86)),N(Planos!$E86)&lt;=0),0,IF(Planos!$G86&gt;EOMONTH(DATE(crono_ano_ref,4,1),0),0,MAX(0,INT((EOMONTH(DATE(crono_ano_ref,4,1),0)-IF(Planos!$G86&gt;=DATE(crono_ano_ref,4,1),Planos!$G86,Planos!$G86+CEILING((DATE(crono_ano_ref,4,1)-Planos!$G86)/Planos!$E86,1)*Planos!$E86))/Planos!$E86)+1)))</f>
      </c>
      <c r="J88" s="44">
        <f>IF(OR(Planos!$A86="",NOT(ISNUMBER(Planos!$G86)),N(Planos!$E86)&lt;=0),0,IF(Planos!$G86&gt;EOMONTH(DATE(crono_ano_ref,5,1),0),0,MAX(0,INT((EOMONTH(DATE(crono_ano_ref,5,1),0)-IF(Planos!$G86&gt;=DATE(crono_ano_ref,5,1),Planos!$G86,Planos!$G86+CEILING((DATE(crono_ano_ref,5,1)-Planos!$G86)/Planos!$E86,1)*Planos!$E86))/Planos!$E86)+1)))</f>
      </c>
      <c r="K88" s="44">
        <f>IF(OR(Planos!$A86="",NOT(ISNUMBER(Planos!$G86)),N(Planos!$E86)&lt;=0),0,IF(Planos!$G86&gt;EOMONTH(DATE(crono_ano_ref,6,1),0),0,MAX(0,INT((EOMONTH(DATE(crono_ano_ref,6,1),0)-IF(Planos!$G86&gt;=DATE(crono_ano_ref,6,1),Planos!$G86,Planos!$G86+CEILING((DATE(crono_ano_ref,6,1)-Planos!$G86)/Planos!$E86,1)*Planos!$E86))/Planos!$E86)+1)))</f>
      </c>
      <c r="L88" s="44">
        <f>IF(OR(Planos!$A86="",NOT(ISNUMBER(Planos!$G86)),N(Planos!$E86)&lt;=0),0,IF(Planos!$G86&gt;EOMONTH(DATE(crono_ano_ref,7,1),0),0,MAX(0,INT((EOMONTH(DATE(crono_ano_ref,7,1),0)-IF(Planos!$G86&gt;=DATE(crono_ano_ref,7,1),Planos!$G86,Planos!$G86+CEILING((DATE(crono_ano_ref,7,1)-Planos!$G86)/Planos!$E86,1)*Planos!$E86))/Planos!$E86)+1)))</f>
      </c>
      <c r="M88" s="44">
        <f>IF(OR(Planos!$A86="",NOT(ISNUMBER(Planos!$G86)),N(Planos!$E86)&lt;=0),0,IF(Planos!$G86&gt;EOMONTH(DATE(crono_ano_ref,8,1),0),0,MAX(0,INT((EOMONTH(DATE(crono_ano_ref,8,1),0)-IF(Planos!$G86&gt;=DATE(crono_ano_ref,8,1),Planos!$G86,Planos!$G86+CEILING((DATE(crono_ano_ref,8,1)-Planos!$G86)/Planos!$E86,1)*Planos!$E86))/Planos!$E86)+1)))</f>
      </c>
      <c r="N88" s="44">
        <f>IF(OR(Planos!$A86="",NOT(ISNUMBER(Planos!$G86)),N(Planos!$E86)&lt;=0),0,IF(Planos!$G86&gt;EOMONTH(DATE(crono_ano_ref,9,1),0),0,MAX(0,INT((EOMONTH(DATE(crono_ano_ref,9,1),0)-IF(Planos!$G86&gt;=DATE(crono_ano_ref,9,1),Planos!$G86,Planos!$G86+CEILING((DATE(crono_ano_ref,9,1)-Planos!$G86)/Planos!$E86,1)*Planos!$E86))/Planos!$E86)+1)))</f>
      </c>
      <c r="O88" s="44">
        <f>IF(OR(Planos!$A86="",NOT(ISNUMBER(Planos!$G86)),N(Planos!$E86)&lt;=0),0,IF(Planos!$G86&gt;EOMONTH(DATE(crono_ano_ref,10,1),0),0,MAX(0,INT((EOMONTH(DATE(crono_ano_ref,10,1),0)-IF(Planos!$G86&gt;=DATE(crono_ano_ref,10,1),Planos!$G86,Planos!$G86+CEILING((DATE(crono_ano_ref,10,1)-Planos!$G86)/Planos!$E86,1)*Planos!$E86))/Planos!$E86)+1)))</f>
      </c>
      <c r="P88" s="44">
        <f>IF(OR(Planos!$A86="",NOT(ISNUMBER(Planos!$G86)),N(Planos!$E86)&lt;=0),0,IF(Planos!$G86&gt;EOMONTH(DATE(crono_ano_ref,11,1),0),0,MAX(0,INT((EOMONTH(DATE(crono_ano_ref,11,1),0)-IF(Planos!$G86&gt;=DATE(crono_ano_ref,11,1),Planos!$G86,Planos!$G86+CEILING((DATE(crono_ano_ref,11,1)-Planos!$G86)/Planos!$E86,1)*Planos!$E86))/Planos!$E86)+1)))</f>
      </c>
      <c r="Q88" s="44">
        <f>IF(OR(Planos!$A86="",NOT(ISNUMBER(Planos!$G86)),N(Planos!$E86)&lt;=0),0,IF(Planos!$G86&gt;EOMONTH(DATE(crono_ano_ref,12,1),0),0,MAX(0,INT((EOMONTH(DATE(crono_ano_ref,12,1),0)-IF(Planos!$G86&gt;=DATE(crono_ano_ref,12,1),Planos!$G86,Planos!$G86+CEILING((DATE(crono_ano_ref,12,1)-Planos!$G86)/Planos!$E86,1)*Planos!$E86))/Planos!$E86)+1)))</f>
      </c>
      <c r="R88" s="44">
        <f>SUM(F88:Q88)</f>
      </c>
    </row>
    <row r="89" spans="1:18" x14ac:dyDescent="0.25">
      <c r="A89" s="24">
        <f>IF(Planos!$A87="","",Planos!A87&amp;"")</f>
      </c>
      <c r="B89" s="41">
        <f>IF(Planos!$A87="","",Planos!B87&amp;"")</f>
      </c>
      <c r="C89" s="24">
        <f>IF(Planos!$A87="","",Planos!C87&amp;"")</f>
      </c>
      <c r="D89" s="42">
        <f>IF(Planos!$A87="","",N(Planos!E87))</f>
      </c>
      <c r="E89" s="43">
        <f>IF(Planos!$A87="","",N(Planos!K87))</f>
      </c>
      <c r="F89" s="44">
        <f>IF(OR(Planos!$A87="",NOT(ISNUMBER(Planos!$G87)),N(Planos!$E87)&lt;=0),0,IF(Planos!$G87&gt;EOMONTH(DATE(crono_ano_ref,1,1),0),0,MAX(0,INT((EOMONTH(DATE(crono_ano_ref,1,1),0)-IF(Planos!$G87&gt;=DATE(crono_ano_ref,1,1),Planos!$G87,Planos!$G87+CEILING((DATE(crono_ano_ref,1,1)-Planos!$G87)/Planos!$E87,1)*Planos!$E87))/Planos!$E87)+1)))</f>
      </c>
      <c r="G89" s="44">
        <f>IF(OR(Planos!$A87="",NOT(ISNUMBER(Planos!$G87)),N(Planos!$E87)&lt;=0),0,IF(Planos!$G87&gt;EOMONTH(DATE(crono_ano_ref,2,1),0),0,MAX(0,INT((EOMONTH(DATE(crono_ano_ref,2,1),0)-IF(Planos!$G87&gt;=DATE(crono_ano_ref,2,1),Planos!$G87,Planos!$G87+CEILING((DATE(crono_ano_ref,2,1)-Planos!$G87)/Planos!$E87,1)*Planos!$E87))/Planos!$E87)+1)))</f>
      </c>
      <c r="H89" s="44">
        <f>IF(OR(Planos!$A87="",NOT(ISNUMBER(Planos!$G87)),N(Planos!$E87)&lt;=0),0,IF(Planos!$G87&gt;EOMONTH(DATE(crono_ano_ref,3,1),0),0,MAX(0,INT((EOMONTH(DATE(crono_ano_ref,3,1),0)-IF(Planos!$G87&gt;=DATE(crono_ano_ref,3,1),Planos!$G87,Planos!$G87+CEILING((DATE(crono_ano_ref,3,1)-Planos!$G87)/Planos!$E87,1)*Planos!$E87))/Planos!$E87)+1)))</f>
      </c>
      <c r="I89" s="44">
        <f>IF(OR(Planos!$A87="",NOT(ISNUMBER(Planos!$G87)),N(Planos!$E87)&lt;=0),0,IF(Planos!$G87&gt;EOMONTH(DATE(crono_ano_ref,4,1),0),0,MAX(0,INT((EOMONTH(DATE(crono_ano_ref,4,1),0)-IF(Planos!$G87&gt;=DATE(crono_ano_ref,4,1),Planos!$G87,Planos!$G87+CEILING((DATE(crono_ano_ref,4,1)-Planos!$G87)/Planos!$E87,1)*Planos!$E87))/Planos!$E87)+1)))</f>
      </c>
      <c r="J89" s="44">
        <f>IF(OR(Planos!$A87="",NOT(ISNUMBER(Planos!$G87)),N(Planos!$E87)&lt;=0),0,IF(Planos!$G87&gt;EOMONTH(DATE(crono_ano_ref,5,1),0),0,MAX(0,INT((EOMONTH(DATE(crono_ano_ref,5,1),0)-IF(Planos!$G87&gt;=DATE(crono_ano_ref,5,1),Planos!$G87,Planos!$G87+CEILING((DATE(crono_ano_ref,5,1)-Planos!$G87)/Planos!$E87,1)*Planos!$E87))/Planos!$E87)+1)))</f>
      </c>
      <c r="K89" s="44">
        <f>IF(OR(Planos!$A87="",NOT(ISNUMBER(Planos!$G87)),N(Planos!$E87)&lt;=0),0,IF(Planos!$G87&gt;EOMONTH(DATE(crono_ano_ref,6,1),0),0,MAX(0,INT((EOMONTH(DATE(crono_ano_ref,6,1),0)-IF(Planos!$G87&gt;=DATE(crono_ano_ref,6,1),Planos!$G87,Planos!$G87+CEILING((DATE(crono_ano_ref,6,1)-Planos!$G87)/Planos!$E87,1)*Planos!$E87))/Planos!$E87)+1)))</f>
      </c>
      <c r="L89" s="44">
        <f>IF(OR(Planos!$A87="",NOT(ISNUMBER(Planos!$G87)),N(Planos!$E87)&lt;=0),0,IF(Planos!$G87&gt;EOMONTH(DATE(crono_ano_ref,7,1),0),0,MAX(0,INT((EOMONTH(DATE(crono_ano_ref,7,1),0)-IF(Planos!$G87&gt;=DATE(crono_ano_ref,7,1),Planos!$G87,Planos!$G87+CEILING((DATE(crono_ano_ref,7,1)-Planos!$G87)/Planos!$E87,1)*Planos!$E87))/Planos!$E87)+1)))</f>
      </c>
      <c r="M89" s="44">
        <f>IF(OR(Planos!$A87="",NOT(ISNUMBER(Planos!$G87)),N(Planos!$E87)&lt;=0),0,IF(Planos!$G87&gt;EOMONTH(DATE(crono_ano_ref,8,1),0),0,MAX(0,INT((EOMONTH(DATE(crono_ano_ref,8,1),0)-IF(Planos!$G87&gt;=DATE(crono_ano_ref,8,1),Planos!$G87,Planos!$G87+CEILING((DATE(crono_ano_ref,8,1)-Planos!$G87)/Planos!$E87,1)*Planos!$E87))/Planos!$E87)+1)))</f>
      </c>
      <c r="N89" s="44">
        <f>IF(OR(Planos!$A87="",NOT(ISNUMBER(Planos!$G87)),N(Planos!$E87)&lt;=0),0,IF(Planos!$G87&gt;EOMONTH(DATE(crono_ano_ref,9,1),0),0,MAX(0,INT((EOMONTH(DATE(crono_ano_ref,9,1),0)-IF(Planos!$G87&gt;=DATE(crono_ano_ref,9,1),Planos!$G87,Planos!$G87+CEILING((DATE(crono_ano_ref,9,1)-Planos!$G87)/Planos!$E87,1)*Planos!$E87))/Planos!$E87)+1)))</f>
      </c>
      <c r="O89" s="44">
        <f>IF(OR(Planos!$A87="",NOT(ISNUMBER(Planos!$G87)),N(Planos!$E87)&lt;=0),0,IF(Planos!$G87&gt;EOMONTH(DATE(crono_ano_ref,10,1),0),0,MAX(0,INT((EOMONTH(DATE(crono_ano_ref,10,1),0)-IF(Planos!$G87&gt;=DATE(crono_ano_ref,10,1),Planos!$G87,Planos!$G87+CEILING((DATE(crono_ano_ref,10,1)-Planos!$G87)/Planos!$E87,1)*Planos!$E87))/Planos!$E87)+1)))</f>
      </c>
      <c r="P89" s="44">
        <f>IF(OR(Planos!$A87="",NOT(ISNUMBER(Planos!$G87)),N(Planos!$E87)&lt;=0),0,IF(Planos!$G87&gt;EOMONTH(DATE(crono_ano_ref,11,1),0),0,MAX(0,INT((EOMONTH(DATE(crono_ano_ref,11,1),0)-IF(Planos!$G87&gt;=DATE(crono_ano_ref,11,1),Planos!$G87,Planos!$G87+CEILING((DATE(crono_ano_ref,11,1)-Planos!$G87)/Planos!$E87,1)*Planos!$E87))/Planos!$E87)+1)))</f>
      </c>
      <c r="Q89" s="44">
        <f>IF(OR(Planos!$A87="",NOT(ISNUMBER(Planos!$G87)),N(Planos!$E87)&lt;=0),0,IF(Planos!$G87&gt;EOMONTH(DATE(crono_ano_ref,12,1),0),0,MAX(0,INT((EOMONTH(DATE(crono_ano_ref,12,1),0)-IF(Planos!$G87&gt;=DATE(crono_ano_ref,12,1),Planos!$G87,Planos!$G87+CEILING((DATE(crono_ano_ref,12,1)-Planos!$G87)/Planos!$E87,1)*Planos!$E87))/Planos!$E87)+1)))</f>
      </c>
      <c r="R89" s="44">
        <f>SUM(F89:Q89)</f>
      </c>
    </row>
    <row r="90" spans="1:18" x14ac:dyDescent="0.25">
      <c r="A90" s="24">
        <f>IF(Planos!$A88="","",Planos!A88&amp;"")</f>
      </c>
      <c r="B90" s="41">
        <f>IF(Planos!$A88="","",Planos!B88&amp;"")</f>
      </c>
      <c r="C90" s="24">
        <f>IF(Planos!$A88="","",Planos!C88&amp;"")</f>
      </c>
      <c r="D90" s="42">
        <f>IF(Planos!$A88="","",N(Planos!E88))</f>
      </c>
      <c r="E90" s="43">
        <f>IF(Planos!$A88="","",N(Planos!K88))</f>
      </c>
      <c r="F90" s="44">
        <f>IF(OR(Planos!$A88="",NOT(ISNUMBER(Planos!$G88)),N(Planos!$E88)&lt;=0),0,IF(Planos!$G88&gt;EOMONTH(DATE(crono_ano_ref,1,1),0),0,MAX(0,INT((EOMONTH(DATE(crono_ano_ref,1,1),0)-IF(Planos!$G88&gt;=DATE(crono_ano_ref,1,1),Planos!$G88,Planos!$G88+CEILING((DATE(crono_ano_ref,1,1)-Planos!$G88)/Planos!$E88,1)*Planos!$E88))/Planos!$E88)+1)))</f>
      </c>
      <c r="G90" s="44">
        <f>IF(OR(Planos!$A88="",NOT(ISNUMBER(Planos!$G88)),N(Planos!$E88)&lt;=0),0,IF(Planos!$G88&gt;EOMONTH(DATE(crono_ano_ref,2,1),0),0,MAX(0,INT((EOMONTH(DATE(crono_ano_ref,2,1),0)-IF(Planos!$G88&gt;=DATE(crono_ano_ref,2,1),Planos!$G88,Planos!$G88+CEILING((DATE(crono_ano_ref,2,1)-Planos!$G88)/Planos!$E88,1)*Planos!$E88))/Planos!$E88)+1)))</f>
      </c>
      <c r="H90" s="44">
        <f>IF(OR(Planos!$A88="",NOT(ISNUMBER(Planos!$G88)),N(Planos!$E88)&lt;=0),0,IF(Planos!$G88&gt;EOMONTH(DATE(crono_ano_ref,3,1),0),0,MAX(0,INT((EOMONTH(DATE(crono_ano_ref,3,1),0)-IF(Planos!$G88&gt;=DATE(crono_ano_ref,3,1),Planos!$G88,Planos!$G88+CEILING((DATE(crono_ano_ref,3,1)-Planos!$G88)/Planos!$E88,1)*Planos!$E88))/Planos!$E88)+1)))</f>
      </c>
      <c r="I90" s="44">
        <f>IF(OR(Planos!$A88="",NOT(ISNUMBER(Planos!$G88)),N(Planos!$E88)&lt;=0),0,IF(Planos!$G88&gt;EOMONTH(DATE(crono_ano_ref,4,1),0),0,MAX(0,INT((EOMONTH(DATE(crono_ano_ref,4,1),0)-IF(Planos!$G88&gt;=DATE(crono_ano_ref,4,1),Planos!$G88,Planos!$G88+CEILING((DATE(crono_ano_ref,4,1)-Planos!$G88)/Planos!$E88,1)*Planos!$E88))/Planos!$E88)+1)))</f>
      </c>
      <c r="J90" s="44">
        <f>IF(OR(Planos!$A88="",NOT(ISNUMBER(Planos!$G88)),N(Planos!$E88)&lt;=0),0,IF(Planos!$G88&gt;EOMONTH(DATE(crono_ano_ref,5,1),0),0,MAX(0,INT((EOMONTH(DATE(crono_ano_ref,5,1),0)-IF(Planos!$G88&gt;=DATE(crono_ano_ref,5,1),Planos!$G88,Planos!$G88+CEILING((DATE(crono_ano_ref,5,1)-Planos!$G88)/Planos!$E88,1)*Planos!$E88))/Planos!$E88)+1)))</f>
      </c>
      <c r="K90" s="44">
        <f>IF(OR(Planos!$A88="",NOT(ISNUMBER(Planos!$G88)),N(Planos!$E88)&lt;=0),0,IF(Planos!$G88&gt;EOMONTH(DATE(crono_ano_ref,6,1),0),0,MAX(0,INT((EOMONTH(DATE(crono_ano_ref,6,1),0)-IF(Planos!$G88&gt;=DATE(crono_ano_ref,6,1),Planos!$G88,Planos!$G88+CEILING((DATE(crono_ano_ref,6,1)-Planos!$G88)/Planos!$E88,1)*Planos!$E88))/Planos!$E88)+1)))</f>
      </c>
      <c r="L90" s="44">
        <f>IF(OR(Planos!$A88="",NOT(ISNUMBER(Planos!$G88)),N(Planos!$E88)&lt;=0),0,IF(Planos!$G88&gt;EOMONTH(DATE(crono_ano_ref,7,1),0),0,MAX(0,INT((EOMONTH(DATE(crono_ano_ref,7,1),0)-IF(Planos!$G88&gt;=DATE(crono_ano_ref,7,1),Planos!$G88,Planos!$G88+CEILING((DATE(crono_ano_ref,7,1)-Planos!$G88)/Planos!$E88,1)*Planos!$E88))/Planos!$E88)+1)))</f>
      </c>
      <c r="M90" s="44">
        <f>IF(OR(Planos!$A88="",NOT(ISNUMBER(Planos!$G88)),N(Planos!$E88)&lt;=0),0,IF(Planos!$G88&gt;EOMONTH(DATE(crono_ano_ref,8,1),0),0,MAX(0,INT((EOMONTH(DATE(crono_ano_ref,8,1),0)-IF(Planos!$G88&gt;=DATE(crono_ano_ref,8,1),Planos!$G88,Planos!$G88+CEILING((DATE(crono_ano_ref,8,1)-Planos!$G88)/Planos!$E88,1)*Planos!$E88))/Planos!$E88)+1)))</f>
      </c>
      <c r="N90" s="44">
        <f>IF(OR(Planos!$A88="",NOT(ISNUMBER(Planos!$G88)),N(Planos!$E88)&lt;=0),0,IF(Planos!$G88&gt;EOMONTH(DATE(crono_ano_ref,9,1),0),0,MAX(0,INT((EOMONTH(DATE(crono_ano_ref,9,1),0)-IF(Planos!$G88&gt;=DATE(crono_ano_ref,9,1),Planos!$G88,Planos!$G88+CEILING((DATE(crono_ano_ref,9,1)-Planos!$G88)/Planos!$E88,1)*Planos!$E88))/Planos!$E88)+1)))</f>
      </c>
      <c r="O90" s="44">
        <f>IF(OR(Planos!$A88="",NOT(ISNUMBER(Planos!$G88)),N(Planos!$E88)&lt;=0),0,IF(Planos!$G88&gt;EOMONTH(DATE(crono_ano_ref,10,1),0),0,MAX(0,INT((EOMONTH(DATE(crono_ano_ref,10,1),0)-IF(Planos!$G88&gt;=DATE(crono_ano_ref,10,1),Planos!$G88,Planos!$G88+CEILING((DATE(crono_ano_ref,10,1)-Planos!$G88)/Planos!$E88,1)*Planos!$E88))/Planos!$E88)+1)))</f>
      </c>
      <c r="P90" s="44">
        <f>IF(OR(Planos!$A88="",NOT(ISNUMBER(Planos!$G88)),N(Planos!$E88)&lt;=0),0,IF(Planos!$G88&gt;EOMONTH(DATE(crono_ano_ref,11,1),0),0,MAX(0,INT((EOMONTH(DATE(crono_ano_ref,11,1),0)-IF(Planos!$G88&gt;=DATE(crono_ano_ref,11,1),Planos!$G88,Planos!$G88+CEILING((DATE(crono_ano_ref,11,1)-Planos!$G88)/Planos!$E88,1)*Planos!$E88))/Planos!$E88)+1)))</f>
      </c>
      <c r="Q90" s="44">
        <f>IF(OR(Planos!$A88="",NOT(ISNUMBER(Planos!$G88)),N(Planos!$E88)&lt;=0),0,IF(Planos!$G88&gt;EOMONTH(DATE(crono_ano_ref,12,1),0),0,MAX(0,INT((EOMONTH(DATE(crono_ano_ref,12,1),0)-IF(Planos!$G88&gt;=DATE(crono_ano_ref,12,1),Planos!$G88,Planos!$G88+CEILING((DATE(crono_ano_ref,12,1)-Planos!$G88)/Planos!$E88,1)*Planos!$E88))/Planos!$E88)+1)))</f>
      </c>
      <c r="R90" s="44">
        <f>SUM(F90:Q90)</f>
      </c>
    </row>
    <row r="91" spans="1:18" x14ac:dyDescent="0.25">
      <c r="A91" s="24">
        <f>IF(Planos!$A89="","",Planos!A89&amp;"")</f>
      </c>
      <c r="B91" s="41">
        <f>IF(Planos!$A89="","",Planos!B89&amp;"")</f>
      </c>
      <c r="C91" s="24">
        <f>IF(Planos!$A89="","",Planos!C89&amp;"")</f>
      </c>
      <c r="D91" s="42">
        <f>IF(Planos!$A89="","",N(Planos!E89))</f>
      </c>
      <c r="E91" s="43">
        <f>IF(Planos!$A89="","",N(Planos!K89))</f>
      </c>
      <c r="F91" s="44">
        <f>IF(OR(Planos!$A89="",NOT(ISNUMBER(Planos!$G89)),N(Planos!$E89)&lt;=0),0,IF(Planos!$G89&gt;EOMONTH(DATE(crono_ano_ref,1,1),0),0,MAX(0,INT((EOMONTH(DATE(crono_ano_ref,1,1),0)-IF(Planos!$G89&gt;=DATE(crono_ano_ref,1,1),Planos!$G89,Planos!$G89+CEILING((DATE(crono_ano_ref,1,1)-Planos!$G89)/Planos!$E89,1)*Planos!$E89))/Planos!$E89)+1)))</f>
      </c>
      <c r="G91" s="44">
        <f>IF(OR(Planos!$A89="",NOT(ISNUMBER(Planos!$G89)),N(Planos!$E89)&lt;=0),0,IF(Planos!$G89&gt;EOMONTH(DATE(crono_ano_ref,2,1),0),0,MAX(0,INT((EOMONTH(DATE(crono_ano_ref,2,1),0)-IF(Planos!$G89&gt;=DATE(crono_ano_ref,2,1),Planos!$G89,Planos!$G89+CEILING((DATE(crono_ano_ref,2,1)-Planos!$G89)/Planos!$E89,1)*Planos!$E89))/Planos!$E89)+1)))</f>
      </c>
      <c r="H91" s="44">
        <f>IF(OR(Planos!$A89="",NOT(ISNUMBER(Planos!$G89)),N(Planos!$E89)&lt;=0),0,IF(Planos!$G89&gt;EOMONTH(DATE(crono_ano_ref,3,1),0),0,MAX(0,INT((EOMONTH(DATE(crono_ano_ref,3,1),0)-IF(Planos!$G89&gt;=DATE(crono_ano_ref,3,1),Planos!$G89,Planos!$G89+CEILING((DATE(crono_ano_ref,3,1)-Planos!$G89)/Planos!$E89,1)*Planos!$E89))/Planos!$E89)+1)))</f>
      </c>
      <c r="I91" s="44">
        <f>IF(OR(Planos!$A89="",NOT(ISNUMBER(Planos!$G89)),N(Planos!$E89)&lt;=0),0,IF(Planos!$G89&gt;EOMONTH(DATE(crono_ano_ref,4,1),0),0,MAX(0,INT((EOMONTH(DATE(crono_ano_ref,4,1),0)-IF(Planos!$G89&gt;=DATE(crono_ano_ref,4,1),Planos!$G89,Planos!$G89+CEILING((DATE(crono_ano_ref,4,1)-Planos!$G89)/Planos!$E89,1)*Planos!$E89))/Planos!$E89)+1)))</f>
      </c>
      <c r="J91" s="44">
        <f>IF(OR(Planos!$A89="",NOT(ISNUMBER(Planos!$G89)),N(Planos!$E89)&lt;=0),0,IF(Planos!$G89&gt;EOMONTH(DATE(crono_ano_ref,5,1),0),0,MAX(0,INT((EOMONTH(DATE(crono_ano_ref,5,1),0)-IF(Planos!$G89&gt;=DATE(crono_ano_ref,5,1),Planos!$G89,Planos!$G89+CEILING((DATE(crono_ano_ref,5,1)-Planos!$G89)/Planos!$E89,1)*Planos!$E89))/Planos!$E89)+1)))</f>
      </c>
      <c r="K91" s="44">
        <f>IF(OR(Planos!$A89="",NOT(ISNUMBER(Planos!$G89)),N(Planos!$E89)&lt;=0),0,IF(Planos!$G89&gt;EOMONTH(DATE(crono_ano_ref,6,1),0),0,MAX(0,INT((EOMONTH(DATE(crono_ano_ref,6,1),0)-IF(Planos!$G89&gt;=DATE(crono_ano_ref,6,1),Planos!$G89,Planos!$G89+CEILING((DATE(crono_ano_ref,6,1)-Planos!$G89)/Planos!$E89,1)*Planos!$E89))/Planos!$E89)+1)))</f>
      </c>
      <c r="L91" s="44">
        <f>IF(OR(Planos!$A89="",NOT(ISNUMBER(Planos!$G89)),N(Planos!$E89)&lt;=0),0,IF(Planos!$G89&gt;EOMONTH(DATE(crono_ano_ref,7,1),0),0,MAX(0,INT((EOMONTH(DATE(crono_ano_ref,7,1),0)-IF(Planos!$G89&gt;=DATE(crono_ano_ref,7,1),Planos!$G89,Planos!$G89+CEILING((DATE(crono_ano_ref,7,1)-Planos!$G89)/Planos!$E89,1)*Planos!$E89))/Planos!$E89)+1)))</f>
      </c>
      <c r="M91" s="44">
        <f>IF(OR(Planos!$A89="",NOT(ISNUMBER(Planos!$G89)),N(Planos!$E89)&lt;=0),0,IF(Planos!$G89&gt;EOMONTH(DATE(crono_ano_ref,8,1),0),0,MAX(0,INT((EOMONTH(DATE(crono_ano_ref,8,1),0)-IF(Planos!$G89&gt;=DATE(crono_ano_ref,8,1),Planos!$G89,Planos!$G89+CEILING((DATE(crono_ano_ref,8,1)-Planos!$G89)/Planos!$E89,1)*Planos!$E89))/Planos!$E89)+1)))</f>
      </c>
      <c r="N91" s="44">
        <f>IF(OR(Planos!$A89="",NOT(ISNUMBER(Planos!$G89)),N(Planos!$E89)&lt;=0),0,IF(Planos!$G89&gt;EOMONTH(DATE(crono_ano_ref,9,1),0),0,MAX(0,INT((EOMONTH(DATE(crono_ano_ref,9,1),0)-IF(Planos!$G89&gt;=DATE(crono_ano_ref,9,1),Planos!$G89,Planos!$G89+CEILING((DATE(crono_ano_ref,9,1)-Planos!$G89)/Planos!$E89,1)*Planos!$E89))/Planos!$E89)+1)))</f>
      </c>
      <c r="O91" s="44">
        <f>IF(OR(Planos!$A89="",NOT(ISNUMBER(Planos!$G89)),N(Planos!$E89)&lt;=0),0,IF(Planos!$G89&gt;EOMONTH(DATE(crono_ano_ref,10,1),0),0,MAX(0,INT((EOMONTH(DATE(crono_ano_ref,10,1),0)-IF(Planos!$G89&gt;=DATE(crono_ano_ref,10,1),Planos!$G89,Planos!$G89+CEILING((DATE(crono_ano_ref,10,1)-Planos!$G89)/Planos!$E89,1)*Planos!$E89))/Planos!$E89)+1)))</f>
      </c>
      <c r="P91" s="44">
        <f>IF(OR(Planos!$A89="",NOT(ISNUMBER(Planos!$G89)),N(Planos!$E89)&lt;=0),0,IF(Planos!$G89&gt;EOMONTH(DATE(crono_ano_ref,11,1),0),0,MAX(0,INT((EOMONTH(DATE(crono_ano_ref,11,1),0)-IF(Planos!$G89&gt;=DATE(crono_ano_ref,11,1),Planos!$G89,Planos!$G89+CEILING((DATE(crono_ano_ref,11,1)-Planos!$G89)/Planos!$E89,1)*Planos!$E89))/Planos!$E89)+1)))</f>
      </c>
      <c r="Q91" s="44">
        <f>IF(OR(Planos!$A89="",NOT(ISNUMBER(Planos!$G89)),N(Planos!$E89)&lt;=0),0,IF(Planos!$G89&gt;EOMONTH(DATE(crono_ano_ref,12,1),0),0,MAX(0,INT((EOMONTH(DATE(crono_ano_ref,12,1),0)-IF(Planos!$G89&gt;=DATE(crono_ano_ref,12,1),Planos!$G89,Planos!$G89+CEILING((DATE(crono_ano_ref,12,1)-Planos!$G89)/Planos!$E89,1)*Planos!$E89))/Planos!$E89)+1)))</f>
      </c>
      <c r="R91" s="44">
        <f>SUM(F91:Q91)</f>
      </c>
    </row>
    <row r="92" spans="1:18" x14ac:dyDescent="0.25">
      <c r="A92" s="24">
        <f>IF(Planos!$A90="","",Planos!A90&amp;"")</f>
      </c>
      <c r="B92" s="41">
        <f>IF(Planos!$A90="","",Planos!B90&amp;"")</f>
      </c>
      <c r="C92" s="24">
        <f>IF(Planos!$A90="","",Planos!C90&amp;"")</f>
      </c>
      <c r="D92" s="42">
        <f>IF(Planos!$A90="","",N(Planos!E90))</f>
      </c>
      <c r="E92" s="43">
        <f>IF(Planos!$A90="","",N(Planos!K90))</f>
      </c>
      <c r="F92" s="44">
        <f>IF(OR(Planos!$A90="",NOT(ISNUMBER(Planos!$G90)),N(Planos!$E90)&lt;=0),0,IF(Planos!$G90&gt;EOMONTH(DATE(crono_ano_ref,1,1),0),0,MAX(0,INT((EOMONTH(DATE(crono_ano_ref,1,1),0)-IF(Planos!$G90&gt;=DATE(crono_ano_ref,1,1),Planos!$G90,Planos!$G90+CEILING((DATE(crono_ano_ref,1,1)-Planos!$G90)/Planos!$E90,1)*Planos!$E90))/Planos!$E90)+1)))</f>
      </c>
      <c r="G92" s="44">
        <f>IF(OR(Planos!$A90="",NOT(ISNUMBER(Planos!$G90)),N(Planos!$E90)&lt;=0),0,IF(Planos!$G90&gt;EOMONTH(DATE(crono_ano_ref,2,1),0),0,MAX(0,INT((EOMONTH(DATE(crono_ano_ref,2,1),0)-IF(Planos!$G90&gt;=DATE(crono_ano_ref,2,1),Planos!$G90,Planos!$G90+CEILING((DATE(crono_ano_ref,2,1)-Planos!$G90)/Planos!$E90,1)*Planos!$E90))/Planos!$E90)+1)))</f>
      </c>
      <c r="H92" s="44">
        <f>IF(OR(Planos!$A90="",NOT(ISNUMBER(Planos!$G90)),N(Planos!$E90)&lt;=0),0,IF(Planos!$G90&gt;EOMONTH(DATE(crono_ano_ref,3,1),0),0,MAX(0,INT((EOMONTH(DATE(crono_ano_ref,3,1),0)-IF(Planos!$G90&gt;=DATE(crono_ano_ref,3,1),Planos!$G90,Planos!$G90+CEILING((DATE(crono_ano_ref,3,1)-Planos!$G90)/Planos!$E90,1)*Planos!$E90))/Planos!$E90)+1)))</f>
      </c>
      <c r="I92" s="44">
        <f>IF(OR(Planos!$A90="",NOT(ISNUMBER(Planos!$G90)),N(Planos!$E90)&lt;=0),0,IF(Planos!$G90&gt;EOMONTH(DATE(crono_ano_ref,4,1),0),0,MAX(0,INT((EOMONTH(DATE(crono_ano_ref,4,1),0)-IF(Planos!$G90&gt;=DATE(crono_ano_ref,4,1),Planos!$G90,Planos!$G90+CEILING((DATE(crono_ano_ref,4,1)-Planos!$G90)/Planos!$E90,1)*Planos!$E90))/Planos!$E90)+1)))</f>
      </c>
      <c r="J92" s="44">
        <f>IF(OR(Planos!$A90="",NOT(ISNUMBER(Planos!$G90)),N(Planos!$E90)&lt;=0),0,IF(Planos!$G90&gt;EOMONTH(DATE(crono_ano_ref,5,1),0),0,MAX(0,INT((EOMONTH(DATE(crono_ano_ref,5,1),0)-IF(Planos!$G90&gt;=DATE(crono_ano_ref,5,1),Planos!$G90,Planos!$G90+CEILING((DATE(crono_ano_ref,5,1)-Planos!$G90)/Planos!$E90,1)*Planos!$E90))/Planos!$E90)+1)))</f>
      </c>
      <c r="K92" s="44">
        <f>IF(OR(Planos!$A90="",NOT(ISNUMBER(Planos!$G90)),N(Planos!$E90)&lt;=0),0,IF(Planos!$G90&gt;EOMONTH(DATE(crono_ano_ref,6,1),0),0,MAX(0,INT((EOMONTH(DATE(crono_ano_ref,6,1),0)-IF(Planos!$G90&gt;=DATE(crono_ano_ref,6,1),Planos!$G90,Planos!$G90+CEILING((DATE(crono_ano_ref,6,1)-Planos!$G90)/Planos!$E90,1)*Planos!$E90))/Planos!$E90)+1)))</f>
      </c>
      <c r="L92" s="44">
        <f>IF(OR(Planos!$A90="",NOT(ISNUMBER(Planos!$G90)),N(Planos!$E90)&lt;=0),0,IF(Planos!$G90&gt;EOMONTH(DATE(crono_ano_ref,7,1),0),0,MAX(0,INT((EOMONTH(DATE(crono_ano_ref,7,1),0)-IF(Planos!$G90&gt;=DATE(crono_ano_ref,7,1),Planos!$G90,Planos!$G90+CEILING((DATE(crono_ano_ref,7,1)-Planos!$G90)/Planos!$E90,1)*Planos!$E90))/Planos!$E90)+1)))</f>
      </c>
      <c r="M92" s="44">
        <f>IF(OR(Planos!$A90="",NOT(ISNUMBER(Planos!$G90)),N(Planos!$E90)&lt;=0),0,IF(Planos!$G90&gt;EOMONTH(DATE(crono_ano_ref,8,1),0),0,MAX(0,INT((EOMONTH(DATE(crono_ano_ref,8,1),0)-IF(Planos!$G90&gt;=DATE(crono_ano_ref,8,1),Planos!$G90,Planos!$G90+CEILING((DATE(crono_ano_ref,8,1)-Planos!$G90)/Planos!$E90,1)*Planos!$E90))/Planos!$E90)+1)))</f>
      </c>
      <c r="N92" s="44">
        <f>IF(OR(Planos!$A90="",NOT(ISNUMBER(Planos!$G90)),N(Planos!$E90)&lt;=0),0,IF(Planos!$G90&gt;EOMONTH(DATE(crono_ano_ref,9,1),0),0,MAX(0,INT((EOMONTH(DATE(crono_ano_ref,9,1),0)-IF(Planos!$G90&gt;=DATE(crono_ano_ref,9,1),Planos!$G90,Planos!$G90+CEILING((DATE(crono_ano_ref,9,1)-Planos!$G90)/Planos!$E90,1)*Planos!$E90))/Planos!$E90)+1)))</f>
      </c>
      <c r="O92" s="44">
        <f>IF(OR(Planos!$A90="",NOT(ISNUMBER(Planos!$G90)),N(Planos!$E90)&lt;=0),0,IF(Planos!$G90&gt;EOMONTH(DATE(crono_ano_ref,10,1),0),0,MAX(0,INT((EOMONTH(DATE(crono_ano_ref,10,1),0)-IF(Planos!$G90&gt;=DATE(crono_ano_ref,10,1),Planos!$G90,Planos!$G90+CEILING((DATE(crono_ano_ref,10,1)-Planos!$G90)/Planos!$E90,1)*Planos!$E90))/Planos!$E90)+1)))</f>
      </c>
      <c r="P92" s="44">
        <f>IF(OR(Planos!$A90="",NOT(ISNUMBER(Planos!$G90)),N(Planos!$E90)&lt;=0),0,IF(Planos!$G90&gt;EOMONTH(DATE(crono_ano_ref,11,1),0),0,MAX(0,INT((EOMONTH(DATE(crono_ano_ref,11,1),0)-IF(Planos!$G90&gt;=DATE(crono_ano_ref,11,1),Planos!$G90,Planos!$G90+CEILING((DATE(crono_ano_ref,11,1)-Planos!$G90)/Planos!$E90,1)*Planos!$E90))/Planos!$E90)+1)))</f>
      </c>
      <c r="Q92" s="44">
        <f>IF(OR(Planos!$A90="",NOT(ISNUMBER(Planos!$G90)),N(Planos!$E90)&lt;=0),0,IF(Planos!$G90&gt;EOMONTH(DATE(crono_ano_ref,12,1),0),0,MAX(0,INT((EOMONTH(DATE(crono_ano_ref,12,1),0)-IF(Planos!$G90&gt;=DATE(crono_ano_ref,12,1),Planos!$G90,Planos!$G90+CEILING((DATE(crono_ano_ref,12,1)-Planos!$G90)/Planos!$E90,1)*Planos!$E90))/Planos!$E90)+1)))</f>
      </c>
      <c r="R92" s="44">
        <f>SUM(F92:Q92)</f>
      </c>
    </row>
    <row r="93" spans="1:18" x14ac:dyDescent="0.25">
      <c r="A93" s="24">
        <f>IF(Planos!$A91="","",Planos!A91&amp;"")</f>
      </c>
      <c r="B93" s="41">
        <f>IF(Planos!$A91="","",Planos!B91&amp;"")</f>
      </c>
      <c r="C93" s="24">
        <f>IF(Planos!$A91="","",Planos!C91&amp;"")</f>
      </c>
      <c r="D93" s="42">
        <f>IF(Planos!$A91="","",N(Planos!E91))</f>
      </c>
      <c r="E93" s="43">
        <f>IF(Planos!$A91="","",N(Planos!K91))</f>
      </c>
      <c r="F93" s="44">
        <f>IF(OR(Planos!$A91="",NOT(ISNUMBER(Planos!$G91)),N(Planos!$E91)&lt;=0),0,IF(Planos!$G91&gt;EOMONTH(DATE(crono_ano_ref,1,1),0),0,MAX(0,INT((EOMONTH(DATE(crono_ano_ref,1,1),0)-IF(Planos!$G91&gt;=DATE(crono_ano_ref,1,1),Planos!$G91,Planos!$G91+CEILING((DATE(crono_ano_ref,1,1)-Planos!$G91)/Planos!$E91,1)*Planos!$E91))/Planos!$E91)+1)))</f>
      </c>
      <c r="G93" s="44">
        <f>IF(OR(Planos!$A91="",NOT(ISNUMBER(Planos!$G91)),N(Planos!$E91)&lt;=0),0,IF(Planos!$G91&gt;EOMONTH(DATE(crono_ano_ref,2,1),0),0,MAX(0,INT((EOMONTH(DATE(crono_ano_ref,2,1),0)-IF(Planos!$G91&gt;=DATE(crono_ano_ref,2,1),Planos!$G91,Planos!$G91+CEILING((DATE(crono_ano_ref,2,1)-Planos!$G91)/Planos!$E91,1)*Planos!$E91))/Planos!$E91)+1)))</f>
      </c>
      <c r="H93" s="44">
        <f>IF(OR(Planos!$A91="",NOT(ISNUMBER(Planos!$G91)),N(Planos!$E91)&lt;=0),0,IF(Planos!$G91&gt;EOMONTH(DATE(crono_ano_ref,3,1),0),0,MAX(0,INT((EOMONTH(DATE(crono_ano_ref,3,1),0)-IF(Planos!$G91&gt;=DATE(crono_ano_ref,3,1),Planos!$G91,Planos!$G91+CEILING((DATE(crono_ano_ref,3,1)-Planos!$G91)/Planos!$E91,1)*Planos!$E91))/Planos!$E91)+1)))</f>
      </c>
      <c r="I93" s="44">
        <f>IF(OR(Planos!$A91="",NOT(ISNUMBER(Planos!$G91)),N(Planos!$E91)&lt;=0),0,IF(Planos!$G91&gt;EOMONTH(DATE(crono_ano_ref,4,1),0),0,MAX(0,INT((EOMONTH(DATE(crono_ano_ref,4,1),0)-IF(Planos!$G91&gt;=DATE(crono_ano_ref,4,1),Planos!$G91,Planos!$G91+CEILING((DATE(crono_ano_ref,4,1)-Planos!$G91)/Planos!$E91,1)*Planos!$E91))/Planos!$E91)+1)))</f>
      </c>
      <c r="J93" s="44">
        <f>IF(OR(Planos!$A91="",NOT(ISNUMBER(Planos!$G91)),N(Planos!$E91)&lt;=0),0,IF(Planos!$G91&gt;EOMONTH(DATE(crono_ano_ref,5,1),0),0,MAX(0,INT((EOMONTH(DATE(crono_ano_ref,5,1),0)-IF(Planos!$G91&gt;=DATE(crono_ano_ref,5,1),Planos!$G91,Planos!$G91+CEILING((DATE(crono_ano_ref,5,1)-Planos!$G91)/Planos!$E91,1)*Planos!$E91))/Planos!$E91)+1)))</f>
      </c>
      <c r="K93" s="44">
        <f>IF(OR(Planos!$A91="",NOT(ISNUMBER(Planos!$G91)),N(Planos!$E91)&lt;=0),0,IF(Planos!$G91&gt;EOMONTH(DATE(crono_ano_ref,6,1),0),0,MAX(0,INT((EOMONTH(DATE(crono_ano_ref,6,1),0)-IF(Planos!$G91&gt;=DATE(crono_ano_ref,6,1),Planos!$G91,Planos!$G91+CEILING((DATE(crono_ano_ref,6,1)-Planos!$G91)/Planos!$E91,1)*Planos!$E91))/Planos!$E91)+1)))</f>
      </c>
      <c r="L93" s="44">
        <f>IF(OR(Planos!$A91="",NOT(ISNUMBER(Planos!$G91)),N(Planos!$E91)&lt;=0),0,IF(Planos!$G91&gt;EOMONTH(DATE(crono_ano_ref,7,1),0),0,MAX(0,INT((EOMONTH(DATE(crono_ano_ref,7,1),0)-IF(Planos!$G91&gt;=DATE(crono_ano_ref,7,1),Planos!$G91,Planos!$G91+CEILING((DATE(crono_ano_ref,7,1)-Planos!$G91)/Planos!$E91,1)*Planos!$E91))/Planos!$E91)+1)))</f>
      </c>
      <c r="M93" s="44">
        <f>IF(OR(Planos!$A91="",NOT(ISNUMBER(Planos!$G91)),N(Planos!$E91)&lt;=0),0,IF(Planos!$G91&gt;EOMONTH(DATE(crono_ano_ref,8,1),0),0,MAX(0,INT((EOMONTH(DATE(crono_ano_ref,8,1),0)-IF(Planos!$G91&gt;=DATE(crono_ano_ref,8,1),Planos!$G91,Planos!$G91+CEILING((DATE(crono_ano_ref,8,1)-Planos!$G91)/Planos!$E91,1)*Planos!$E91))/Planos!$E91)+1)))</f>
      </c>
      <c r="N93" s="44">
        <f>IF(OR(Planos!$A91="",NOT(ISNUMBER(Planos!$G91)),N(Planos!$E91)&lt;=0),0,IF(Planos!$G91&gt;EOMONTH(DATE(crono_ano_ref,9,1),0),0,MAX(0,INT((EOMONTH(DATE(crono_ano_ref,9,1),0)-IF(Planos!$G91&gt;=DATE(crono_ano_ref,9,1),Planos!$G91,Planos!$G91+CEILING((DATE(crono_ano_ref,9,1)-Planos!$G91)/Planos!$E91,1)*Planos!$E91))/Planos!$E91)+1)))</f>
      </c>
      <c r="O93" s="44">
        <f>IF(OR(Planos!$A91="",NOT(ISNUMBER(Planos!$G91)),N(Planos!$E91)&lt;=0),0,IF(Planos!$G91&gt;EOMONTH(DATE(crono_ano_ref,10,1),0),0,MAX(0,INT((EOMONTH(DATE(crono_ano_ref,10,1),0)-IF(Planos!$G91&gt;=DATE(crono_ano_ref,10,1),Planos!$G91,Planos!$G91+CEILING((DATE(crono_ano_ref,10,1)-Planos!$G91)/Planos!$E91,1)*Planos!$E91))/Planos!$E91)+1)))</f>
      </c>
      <c r="P93" s="44">
        <f>IF(OR(Planos!$A91="",NOT(ISNUMBER(Planos!$G91)),N(Planos!$E91)&lt;=0),0,IF(Planos!$G91&gt;EOMONTH(DATE(crono_ano_ref,11,1),0),0,MAX(0,INT((EOMONTH(DATE(crono_ano_ref,11,1),0)-IF(Planos!$G91&gt;=DATE(crono_ano_ref,11,1),Planos!$G91,Planos!$G91+CEILING((DATE(crono_ano_ref,11,1)-Planos!$G91)/Planos!$E91,1)*Planos!$E91))/Planos!$E91)+1)))</f>
      </c>
      <c r="Q93" s="44">
        <f>IF(OR(Planos!$A91="",NOT(ISNUMBER(Planos!$G91)),N(Planos!$E91)&lt;=0),0,IF(Planos!$G91&gt;EOMONTH(DATE(crono_ano_ref,12,1),0),0,MAX(0,INT((EOMONTH(DATE(crono_ano_ref,12,1),0)-IF(Planos!$G91&gt;=DATE(crono_ano_ref,12,1),Planos!$G91,Planos!$G91+CEILING((DATE(crono_ano_ref,12,1)-Planos!$G91)/Planos!$E91,1)*Planos!$E91))/Planos!$E91)+1)))</f>
      </c>
      <c r="R93" s="44">
        <f>SUM(F93:Q93)</f>
      </c>
    </row>
    <row r="94" spans="1:18" x14ac:dyDescent="0.25">
      <c r="A94" s="24">
        <f>IF(Planos!$A92="","",Planos!A92&amp;"")</f>
      </c>
      <c r="B94" s="41">
        <f>IF(Planos!$A92="","",Planos!B92&amp;"")</f>
      </c>
      <c r="C94" s="24">
        <f>IF(Planos!$A92="","",Planos!C92&amp;"")</f>
      </c>
      <c r="D94" s="42">
        <f>IF(Planos!$A92="","",N(Planos!E92))</f>
      </c>
      <c r="E94" s="43">
        <f>IF(Planos!$A92="","",N(Planos!K92))</f>
      </c>
      <c r="F94" s="44">
        <f>IF(OR(Planos!$A92="",NOT(ISNUMBER(Planos!$G92)),N(Planos!$E92)&lt;=0),0,IF(Planos!$G92&gt;EOMONTH(DATE(crono_ano_ref,1,1),0),0,MAX(0,INT((EOMONTH(DATE(crono_ano_ref,1,1),0)-IF(Planos!$G92&gt;=DATE(crono_ano_ref,1,1),Planos!$G92,Planos!$G92+CEILING((DATE(crono_ano_ref,1,1)-Planos!$G92)/Planos!$E92,1)*Planos!$E92))/Planos!$E92)+1)))</f>
      </c>
      <c r="G94" s="44">
        <f>IF(OR(Planos!$A92="",NOT(ISNUMBER(Planos!$G92)),N(Planos!$E92)&lt;=0),0,IF(Planos!$G92&gt;EOMONTH(DATE(crono_ano_ref,2,1),0),0,MAX(0,INT((EOMONTH(DATE(crono_ano_ref,2,1),0)-IF(Planos!$G92&gt;=DATE(crono_ano_ref,2,1),Planos!$G92,Planos!$G92+CEILING((DATE(crono_ano_ref,2,1)-Planos!$G92)/Planos!$E92,1)*Planos!$E92))/Planos!$E92)+1)))</f>
      </c>
      <c r="H94" s="44">
        <f>IF(OR(Planos!$A92="",NOT(ISNUMBER(Planos!$G92)),N(Planos!$E92)&lt;=0),0,IF(Planos!$G92&gt;EOMONTH(DATE(crono_ano_ref,3,1),0),0,MAX(0,INT((EOMONTH(DATE(crono_ano_ref,3,1),0)-IF(Planos!$G92&gt;=DATE(crono_ano_ref,3,1),Planos!$G92,Planos!$G92+CEILING((DATE(crono_ano_ref,3,1)-Planos!$G92)/Planos!$E92,1)*Planos!$E92))/Planos!$E92)+1)))</f>
      </c>
      <c r="I94" s="44">
        <f>IF(OR(Planos!$A92="",NOT(ISNUMBER(Planos!$G92)),N(Planos!$E92)&lt;=0),0,IF(Planos!$G92&gt;EOMONTH(DATE(crono_ano_ref,4,1),0),0,MAX(0,INT((EOMONTH(DATE(crono_ano_ref,4,1),0)-IF(Planos!$G92&gt;=DATE(crono_ano_ref,4,1),Planos!$G92,Planos!$G92+CEILING((DATE(crono_ano_ref,4,1)-Planos!$G92)/Planos!$E92,1)*Planos!$E92))/Planos!$E92)+1)))</f>
      </c>
      <c r="J94" s="44">
        <f>IF(OR(Planos!$A92="",NOT(ISNUMBER(Planos!$G92)),N(Planos!$E92)&lt;=0),0,IF(Planos!$G92&gt;EOMONTH(DATE(crono_ano_ref,5,1),0),0,MAX(0,INT((EOMONTH(DATE(crono_ano_ref,5,1),0)-IF(Planos!$G92&gt;=DATE(crono_ano_ref,5,1),Planos!$G92,Planos!$G92+CEILING((DATE(crono_ano_ref,5,1)-Planos!$G92)/Planos!$E92,1)*Planos!$E92))/Planos!$E92)+1)))</f>
      </c>
      <c r="K94" s="44">
        <f>IF(OR(Planos!$A92="",NOT(ISNUMBER(Planos!$G92)),N(Planos!$E92)&lt;=0),0,IF(Planos!$G92&gt;EOMONTH(DATE(crono_ano_ref,6,1),0),0,MAX(0,INT((EOMONTH(DATE(crono_ano_ref,6,1),0)-IF(Planos!$G92&gt;=DATE(crono_ano_ref,6,1),Planos!$G92,Planos!$G92+CEILING((DATE(crono_ano_ref,6,1)-Planos!$G92)/Planos!$E92,1)*Planos!$E92))/Planos!$E92)+1)))</f>
      </c>
      <c r="L94" s="44">
        <f>IF(OR(Planos!$A92="",NOT(ISNUMBER(Planos!$G92)),N(Planos!$E92)&lt;=0),0,IF(Planos!$G92&gt;EOMONTH(DATE(crono_ano_ref,7,1),0),0,MAX(0,INT((EOMONTH(DATE(crono_ano_ref,7,1),0)-IF(Planos!$G92&gt;=DATE(crono_ano_ref,7,1),Planos!$G92,Planos!$G92+CEILING((DATE(crono_ano_ref,7,1)-Planos!$G92)/Planos!$E92,1)*Planos!$E92))/Planos!$E92)+1)))</f>
      </c>
      <c r="M94" s="44">
        <f>IF(OR(Planos!$A92="",NOT(ISNUMBER(Planos!$G92)),N(Planos!$E92)&lt;=0),0,IF(Planos!$G92&gt;EOMONTH(DATE(crono_ano_ref,8,1),0),0,MAX(0,INT((EOMONTH(DATE(crono_ano_ref,8,1),0)-IF(Planos!$G92&gt;=DATE(crono_ano_ref,8,1),Planos!$G92,Planos!$G92+CEILING((DATE(crono_ano_ref,8,1)-Planos!$G92)/Planos!$E92,1)*Planos!$E92))/Planos!$E92)+1)))</f>
      </c>
      <c r="N94" s="44">
        <f>IF(OR(Planos!$A92="",NOT(ISNUMBER(Planos!$G92)),N(Planos!$E92)&lt;=0),0,IF(Planos!$G92&gt;EOMONTH(DATE(crono_ano_ref,9,1),0),0,MAX(0,INT((EOMONTH(DATE(crono_ano_ref,9,1),0)-IF(Planos!$G92&gt;=DATE(crono_ano_ref,9,1),Planos!$G92,Planos!$G92+CEILING((DATE(crono_ano_ref,9,1)-Planos!$G92)/Planos!$E92,1)*Planos!$E92))/Planos!$E92)+1)))</f>
      </c>
      <c r="O94" s="44">
        <f>IF(OR(Planos!$A92="",NOT(ISNUMBER(Planos!$G92)),N(Planos!$E92)&lt;=0),0,IF(Planos!$G92&gt;EOMONTH(DATE(crono_ano_ref,10,1),0),0,MAX(0,INT((EOMONTH(DATE(crono_ano_ref,10,1),0)-IF(Planos!$G92&gt;=DATE(crono_ano_ref,10,1),Planos!$G92,Planos!$G92+CEILING((DATE(crono_ano_ref,10,1)-Planos!$G92)/Planos!$E92,1)*Planos!$E92))/Planos!$E92)+1)))</f>
      </c>
      <c r="P94" s="44">
        <f>IF(OR(Planos!$A92="",NOT(ISNUMBER(Planos!$G92)),N(Planos!$E92)&lt;=0),0,IF(Planos!$G92&gt;EOMONTH(DATE(crono_ano_ref,11,1),0),0,MAX(0,INT((EOMONTH(DATE(crono_ano_ref,11,1),0)-IF(Planos!$G92&gt;=DATE(crono_ano_ref,11,1),Planos!$G92,Planos!$G92+CEILING((DATE(crono_ano_ref,11,1)-Planos!$G92)/Planos!$E92,1)*Planos!$E92))/Planos!$E92)+1)))</f>
      </c>
      <c r="Q94" s="44">
        <f>IF(OR(Planos!$A92="",NOT(ISNUMBER(Planos!$G92)),N(Planos!$E92)&lt;=0),0,IF(Planos!$G92&gt;EOMONTH(DATE(crono_ano_ref,12,1),0),0,MAX(0,INT((EOMONTH(DATE(crono_ano_ref,12,1),0)-IF(Planos!$G92&gt;=DATE(crono_ano_ref,12,1),Planos!$G92,Planos!$G92+CEILING((DATE(crono_ano_ref,12,1)-Planos!$G92)/Planos!$E92,1)*Planos!$E92))/Planos!$E92)+1)))</f>
      </c>
      <c r="R94" s="44">
        <f>SUM(F94:Q94)</f>
      </c>
    </row>
    <row r="95" spans="1:18" x14ac:dyDescent="0.25">
      <c r="A95" s="24">
        <f>IF(Planos!$A93="","",Planos!A93&amp;"")</f>
      </c>
      <c r="B95" s="41">
        <f>IF(Planos!$A93="","",Planos!B93&amp;"")</f>
      </c>
      <c r="C95" s="24">
        <f>IF(Planos!$A93="","",Planos!C93&amp;"")</f>
      </c>
      <c r="D95" s="42">
        <f>IF(Planos!$A93="","",N(Planos!E93))</f>
      </c>
      <c r="E95" s="43">
        <f>IF(Planos!$A93="","",N(Planos!K93))</f>
      </c>
      <c r="F95" s="44">
        <f>IF(OR(Planos!$A93="",NOT(ISNUMBER(Planos!$G93)),N(Planos!$E93)&lt;=0),0,IF(Planos!$G93&gt;EOMONTH(DATE(crono_ano_ref,1,1),0),0,MAX(0,INT((EOMONTH(DATE(crono_ano_ref,1,1),0)-IF(Planos!$G93&gt;=DATE(crono_ano_ref,1,1),Planos!$G93,Planos!$G93+CEILING((DATE(crono_ano_ref,1,1)-Planos!$G93)/Planos!$E93,1)*Planos!$E93))/Planos!$E93)+1)))</f>
      </c>
      <c r="G95" s="44">
        <f>IF(OR(Planos!$A93="",NOT(ISNUMBER(Planos!$G93)),N(Planos!$E93)&lt;=0),0,IF(Planos!$G93&gt;EOMONTH(DATE(crono_ano_ref,2,1),0),0,MAX(0,INT((EOMONTH(DATE(crono_ano_ref,2,1),0)-IF(Planos!$G93&gt;=DATE(crono_ano_ref,2,1),Planos!$G93,Planos!$G93+CEILING((DATE(crono_ano_ref,2,1)-Planos!$G93)/Planos!$E93,1)*Planos!$E93))/Planos!$E93)+1)))</f>
      </c>
      <c r="H95" s="44">
        <f>IF(OR(Planos!$A93="",NOT(ISNUMBER(Planos!$G93)),N(Planos!$E93)&lt;=0),0,IF(Planos!$G93&gt;EOMONTH(DATE(crono_ano_ref,3,1),0),0,MAX(0,INT((EOMONTH(DATE(crono_ano_ref,3,1),0)-IF(Planos!$G93&gt;=DATE(crono_ano_ref,3,1),Planos!$G93,Planos!$G93+CEILING((DATE(crono_ano_ref,3,1)-Planos!$G93)/Planos!$E93,1)*Planos!$E93))/Planos!$E93)+1)))</f>
      </c>
      <c r="I95" s="44">
        <f>IF(OR(Planos!$A93="",NOT(ISNUMBER(Planos!$G93)),N(Planos!$E93)&lt;=0),0,IF(Planos!$G93&gt;EOMONTH(DATE(crono_ano_ref,4,1),0),0,MAX(0,INT((EOMONTH(DATE(crono_ano_ref,4,1),0)-IF(Planos!$G93&gt;=DATE(crono_ano_ref,4,1),Planos!$G93,Planos!$G93+CEILING((DATE(crono_ano_ref,4,1)-Planos!$G93)/Planos!$E93,1)*Planos!$E93))/Planos!$E93)+1)))</f>
      </c>
      <c r="J95" s="44">
        <f>IF(OR(Planos!$A93="",NOT(ISNUMBER(Planos!$G93)),N(Planos!$E93)&lt;=0),0,IF(Planos!$G93&gt;EOMONTH(DATE(crono_ano_ref,5,1),0),0,MAX(0,INT((EOMONTH(DATE(crono_ano_ref,5,1),0)-IF(Planos!$G93&gt;=DATE(crono_ano_ref,5,1),Planos!$G93,Planos!$G93+CEILING((DATE(crono_ano_ref,5,1)-Planos!$G93)/Planos!$E93,1)*Planos!$E93))/Planos!$E93)+1)))</f>
      </c>
      <c r="K95" s="44">
        <f>IF(OR(Planos!$A93="",NOT(ISNUMBER(Planos!$G93)),N(Planos!$E93)&lt;=0),0,IF(Planos!$G93&gt;EOMONTH(DATE(crono_ano_ref,6,1),0),0,MAX(0,INT((EOMONTH(DATE(crono_ano_ref,6,1),0)-IF(Planos!$G93&gt;=DATE(crono_ano_ref,6,1),Planos!$G93,Planos!$G93+CEILING((DATE(crono_ano_ref,6,1)-Planos!$G93)/Planos!$E93,1)*Planos!$E93))/Planos!$E93)+1)))</f>
      </c>
      <c r="L95" s="44">
        <f>IF(OR(Planos!$A93="",NOT(ISNUMBER(Planos!$G93)),N(Planos!$E93)&lt;=0),0,IF(Planos!$G93&gt;EOMONTH(DATE(crono_ano_ref,7,1),0),0,MAX(0,INT((EOMONTH(DATE(crono_ano_ref,7,1),0)-IF(Planos!$G93&gt;=DATE(crono_ano_ref,7,1),Planos!$G93,Planos!$G93+CEILING((DATE(crono_ano_ref,7,1)-Planos!$G93)/Planos!$E93,1)*Planos!$E93))/Planos!$E93)+1)))</f>
      </c>
      <c r="M95" s="44">
        <f>IF(OR(Planos!$A93="",NOT(ISNUMBER(Planos!$G93)),N(Planos!$E93)&lt;=0),0,IF(Planos!$G93&gt;EOMONTH(DATE(crono_ano_ref,8,1),0),0,MAX(0,INT((EOMONTH(DATE(crono_ano_ref,8,1),0)-IF(Planos!$G93&gt;=DATE(crono_ano_ref,8,1),Planos!$G93,Planos!$G93+CEILING((DATE(crono_ano_ref,8,1)-Planos!$G93)/Planos!$E93,1)*Planos!$E93))/Planos!$E93)+1)))</f>
      </c>
      <c r="N95" s="44">
        <f>IF(OR(Planos!$A93="",NOT(ISNUMBER(Planos!$G93)),N(Planos!$E93)&lt;=0),0,IF(Planos!$G93&gt;EOMONTH(DATE(crono_ano_ref,9,1),0),0,MAX(0,INT((EOMONTH(DATE(crono_ano_ref,9,1),0)-IF(Planos!$G93&gt;=DATE(crono_ano_ref,9,1),Planos!$G93,Planos!$G93+CEILING((DATE(crono_ano_ref,9,1)-Planos!$G93)/Planos!$E93,1)*Planos!$E93))/Planos!$E93)+1)))</f>
      </c>
      <c r="O95" s="44">
        <f>IF(OR(Planos!$A93="",NOT(ISNUMBER(Planos!$G93)),N(Planos!$E93)&lt;=0),0,IF(Planos!$G93&gt;EOMONTH(DATE(crono_ano_ref,10,1),0),0,MAX(0,INT((EOMONTH(DATE(crono_ano_ref,10,1),0)-IF(Planos!$G93&gt;=DATE(crono_ano_ref,10,1),Planos!$G93,Planos!$G93+CEILING((DATE(crono_ano_ref,10,1)-Planos!$G93)/Planos!$E93,1)*Planos!$E93))/Planos!$E93)+1)))</f>
      </c>
      <c r="P95" s="44">
        <f>IF(OR(Planos!$A93="",NOT(ISNUMBER(Planos!$G93)),N(Planos!$E93)&lt;=0),0,IF(Planos!$G93&gt;EOMONTH(DATE(crono_ano_ref,11,1),0),0,MAX(0,INT((EOMONTH(DATE(crono_ano_ref,11,1),0)-IF(Planos!$G93&gt;=DATE(crono_ano_ref,11,1),Planos!$G93,Planos!$G93+CEILING((DATE(crono_ano_ref,11,1)-Planos!$G93)/Planos!$E93,1)*Planos!$E93))/Planos!$E93)+1)))</f>
      </c>
      <c r="Q95" s="44">
        <f>IF(OR(Planos!$A93="",NOT(ISNUMBER(Planos!$G93)),N(Planos!$E93)&lt;=0),0,IF(Planos!$G93&gt;EOMONTH(DATE(crono_ano_ref,12,1),0),0,MAX(0,INT((EOMONTH(DATE(crono_ano_ref,12,1),0)-IF(Planos!$G93&gt;=DATE(crono_ano_ref,12,1),Planos!$G93,Planos!$G93+CEILING((DATE(crono_ano_ref,12,1)-Planos!$G93)/Planos!$E93,1)*Planos!$E93))/Planos!$E93)+1)))</f>
      </c>
      <c r="R95" s="44">
        <f>SUM(F95:Q95)</f>
      </c>
    </row>
    <row r="96" spans="1:18" x14ac:dyDescent="0.25">
      <c r="A96" s="24">
        <f>IF(Planos!$A94="","",Planos!A94&amp;"")</f>
      </c>
      <c r="B96" s="41">
        <f>IF(Planos!$A94="","",Planos!B94&amp;"")</f>
      </c>
      <c r="C96" s="24">
        <f>IF(Planos!$A94="","",Planos!C94&amp;"")</f>
      </c>
      <c r="D96" s="42">
        <f>IF(Planos!$A94="","",N(Planos!E94))</f>
      </c>
      <c r="E96" s="43">
        <f>IF(Planos!$A94="","",N(Planos!K94))</f>
      </c>
      <c r="F96" s="44">
        <f>IF(OR(Planos!$A94="",NOT(ISNUMBER(Planos!$G94)),N(Planos!$E94)&lt;=0),0,IF(Planos!$G94&gt;EOMONTH(DATE(crono_ano_ref,1,1),0),0,MAX(0,INT((EOMONTH(DATE(crono_ano_ref,1,1),0)-IF(Planos!$G94&gt;=DATE(crono_ano_ref,1,1),Planos!$G94,Planos!$G94+CEILING((DATE(crono_ano_ref,1,1)-Planos!$G94)/Planos!$E94,1)*Planos!$E94))/Planos!$E94)+1)))</f>
      </c>
      <c r="G96" s="44">
        <f>IF(OR(Planos!$A94="",NOT(ISNUMBER(Planos!$G94)),N(Planos!$E94)&lt;=0),0,IF(Planos!$G94&gt;EOMONTH(DATE(crono_ano_ref,2,1),0),0,MAX(0,INT((EOMONTH(DATE(crono_ano_ref,2,1),0)-IF(Planos!$G94&gt;=DATE(crono_ano_ref,2,1),Planos!$G94,Planos!$G94+CEILING((DATE(crono_ano_ref,2,1)-Planos!$G94)/Planos!$E94,1)*Planos!$E94))/Planos!$E94)+1)))</f>
      </c>
      <c r="H96" s="44">
        <f>IF(OR(Planos!$A94="",NOT(ISNUMBER(Planos!$G94)),N(Planos!$E94)&lt;=0),0,IF(Planos!$G94&gt;EOMONTH(DATE(crono_ano_ref,3,1),0),0,MAX(0,INT((EOMONTH(DATE(crono_ano_ref,3,1),0)-IF(Planos!$G94&gt;=DATE(crono_ano_ref,3,1),Planos!$G94,Planos!$G94+CEILING((DATE(crono_ano_ref,3,1)-Planos!$G94)/Planos!$E94,1)*Planos!$E94))/Planos!$E94)+1)))</f>
      </c>
      <c r="I96" s="44">
        <f>IF(OR(Planos!$A94="",NOT(ISNUMBER(Planos!$G94)),N(Planos!$E94)&lt;=0),0,IF(Planos!$G94&gt;EOMONTH(DATE(crono_ano_ref,4,1),0),0,MAX(0,INT((EOMONTH(DATE(crono_ano_ref,4,1),0)-IF(Planos!$G94&gt;=DATE(crono_ano_ref,4,1),Planos!$G94,Planos!$G94+CEILING((DATE(crono_ano_ref,4,1)-Planos!$G94)/Planos!$E94,1)*Planos!$E94))/Planos!$E94)+1)))</f>
      </c>
      <c r="J96" s="44">
        <f>IF(OR(Planos!$A94="",NOT(ISNUMBER(Planos!$G94)),N(Planos!$E94)&lt;=0),0,IF(Planos!$G94&gt;EOMONTH(DATE(crono_ano_ref,5,1),0),0,MAX(0,INT((EOMONTH(DATE(crono_ano_ref,5,1),0)-IF(Planos!$G94&gt;=DATE(crono_ano_ref,5,1),Planos!$G94,Planos!$G94+CEILING((DATE(crono_ano_ref,5,1)-Planos!$G94)/Planos!$E94,1)*Planos!$E94))/Planos!$E94)+1)))</f>
      </c>
      <c r="K96" s="44">
        <f>IF(OR(Planos!$A94="",NOT(ISNUMBER(Planos!$G94)),N(Planos!$E94)&lt;=0),0,IF(Planos!$G94&gt;EOMONTH(DATE(crono_ano_ref,6,1),0),0,MAX(0,INT((EOMONTH(DATE(crono_ano_ref,6,1),0)-IF(Planos!$G94&gt;=DATE(crono_ano_ref,6,1),Planos!$G94,Planos!$G94+CEILING((DATE(crono_ano_ref,6,1)-Planos!$G94)/Planos!$E94,1)*Planos!$E94))/Planos!$E94)+1)))</f>
      </c>
      <c r="L96" s="44">
        <f>IF(OR(Planos!$A94="",NOT(ISNUMBER(Planos!$G94)),N(Planos!$E94)&lt;=0),0,IF(Planos!$G94&gt;EOMONTH(DATE(crono_ano_ref,7,1),0),0,MAX(0,INT((EOMONTH(DATE(crono_ano_ref,7,1),0)-IF(Planos!$G94&gt;=DATE(crono_ano_ref,7,1),Planos!$G94,Planos!$G94+CEILING((DATE(crono_ano_ref,7,1)-Planos!$G94)/Planos!$E94,1)*Planos!$E94))/Planos!$E94)+1)))</f>
      </c>
      <c r="M96" s="44">
        <f>IF(OR(Planos!$A94="",NOT(ISNUMBER(Planos!$G94)),N(Planos!$E94)&lt;=0),0,IF(Planos!$G94&gt;EOMONTH(DATE(crono_ano_ref,8,1),0),0,MAX(0,INT((EOMONTH(DATE(crono_ano_ref,8,1),0)-IF(Planos!$G94&gt;=DATE(crono_ano_ref,8,1),Planos!$G94,Planos!$G94+CEILING((DATE(crono_ano_ref,8,1)-Planos!$G94)/Planos!$E94,1)*Planos!$E94))/Planos!$E94)+1)))</f>
      </c>
      <c r="N96" s="44">
        <f>IF(OR(Planos!$A94="",NOT(ISNUMBER(Planos!$G94)),N(Planos!$E94)&lt;=0),0,IF(Planos!$G94&gt;EOMONTH(DATE(crono_ano_ref,9,1),0),0,MAX(0,INT((EOMONTH(DATE(crono_ano_ref,9,1),0)-IF(Planos!$G94&gt;=DATE(crono_ano_ref,9,1),Planos!$G94,Planos!$G94+CEILING((DATE(crono_ano_ref,9,1)-Planos!$G94)/Planos!$E94,1)*Planos!$E94))/Planos!$E94)+1)))</f>
      </c>
      <c r="O96" s="44">
        <f>IF(OR(Planos!$A94="",NOT(ISNUMBER(Planos!$G94)),N(Planos!$E94)&lt;=0),0,IF(Planos!$G94&gt;EOMONTH(DATE(crono_ano_ref,10,1),0),0,MAX(0,INT((EOMONTH(DATE(crono_ano_ref,10,1),0)-IF(Planos!$G94&gt;=DATE(crono_ano_ref,10,1),Planos!$G94,Planos!$G94+CEILING((DATE(crono_ano_ref,10,1)-Planos!$G94)/Planos!$E94,1)*Planos!$E94))/Planos!$E94)+1)))</f>
      </c>
      <c r="P96" s="44">
        <f>IF(OR(Planos!$A94="",NOT(ISNUMBER(Planos!$G94)),N(Planos!$E94)&lt;=0),0,IF(Planos!$G94&gt;EOMONTH(DATE(crono_ano_ref,11,1),0),0,MAX(0,INT((EOMONTH(DATE(crono_ano_ref,11,1),0)-IF(Planos!$G94&gt;=DATE(crono_ano_ref,11,1),Planos!$G94,Planos!$G94+CEILING((DATE(crono_ano_ref,11,1)-Planos!$G94)/Planos!$E94,1)*Planos!$E94))/Planos!$E94)+1)))</f>
      </c>
      <c r="Q96" s="44">
        <f>IF(OR(Planos!$A94="",NOT(ISNUMBER(Planos!$G94)),N(Planos!$E94)&lt;=0),0,IF(Planos!$G94&gt;EOMONTH(DATE(crono_ano_ref,12,1),0),0,MAX(0,INT((EOMONTH(DATE(crono_ano_ref,12,1),0)-IF(Planos!$G94&gt;=DATE(crono_ano_ref,12,1),Planos!$G94,Planos!$G94+CEILING((DATE(crono_ano_ref,12,1)-Planos!$G94)/Planos!$E94,1)*Planos!$E94))/Planos!$E94)+1)))</f>
      </c>
      <c r="R96" s="44">
        <f>SUM(F96:Q96)</f>
      </c>
    </row>
    <row r="97" spans="1:18" x14ac:dyDescent="0.25">
      <c r="A97" s="24">
        <f>IF(Planos!$A95="","",Planos!A95&amp;"")</f>
      </c>
      <c r="B97" s="41">
        <f>IF(Planos!$A95="","",Planos!B95&amp;"")</f>
      </c>
      <c r="C97" s="24">
        <f>IF(Planos!$A95="","",Planos!C95&amp;"")</f>
      </c>
      <c r="D97" s="42">
        <f>IF(Planos!$A95="","",N(Planos!E95))</f>
      </c>
      <c r="E97" s="43">
        <f>IF(Planos!$A95="","",N(Planos!K95))</f>
      </c>
      <c r="F97" s="44">
        <f>IF(OR(Planos!$A95="",NOT(ISNUMBER(Planos!$G95)),N(Planos!$E95)&lt;=0),0,IF(Planos!$G95&gt;EOMONTH(DATE(crono_ano_ref,1,1),0),0,MAX(0,INT((EOMONTH(DATE(crono_ano_ref,1,1),0)-IF(Planos!$G95&gt;=DATE(crono_ano_ref,1,1),Planos!$G95,Planos!$G95+CEILING((DATE(crono_ano_ref,1,1)-Planos!$G95)/Planos!$E95,1)*Planos!$E95))/Planos!$E95)+1)))</f>
      </c>
      <c r="G97" s="44">
        <f>IF(OR(Planos!$A95="",NOT(ISNUMBER(Planos!$G95)),N(Planos!$E95)&lt;=0),0,IF(Planos!$G95&gt;EOMONTH(DATE(crono_ano_ref,2,1),0),0,MAX(0,INT((EOMONTH(DATE(crono_ano_ref,2,1),0)-IF(Planos!$G95&gt;=DATE(crono_ano_ref,2,1),Planos!$G95,Planos!$G95+CEILING((DATE(crono_ano_ref,2,1)-Planos!$G95)/Planos!$E95,1)*Planos!$E95))/Planos!$E95)+1)))</f>
      </c>
      <c r="H97" s="44">
        <f>IF(OR(Planos!$A95="",NOT(ISNUMBER(Planos!$G95)),N(Planos!$E95)&lt;=0),0,IF(Planos!$G95&gt;EOMONTH(DATE(crono_ano_ref,3,1),0),0,MAX(0,INT((EOMONTH(DATE(crono_ano_ref,3,1),0)-IF(Planos!$G95&gt;=DATE(crono_ano_ref,3,1),Planos!$G95,Planos!$G95+CEILING((DATE(crono_ano_ref,3,1)-Planos!$G95)/Planos!$E95,1)*Planos!$E95))/Planos!$E95)+1)))</f>
      </c>
      <c r="I97" s="44">
        <f>IF(OR(Planos!$A95="",NOT(ISNUMBER(Planos!$G95)),N(Planos!$E95)&lt;=0),0,IF(Planos!$G95&gt;EOMONTH(DATE(crono_ano_ref,4,1),0),0,MAX(0,INT((EOMONTH(DATE(crono_ano_ref,4,1),0)-IF(Planos!$G95&gt;=DATE(crono_ano_ref,4,1),Planos!$G95,Planos!$G95+CEILING((DATE(crono_ano_ref,4,1)-Planos!$G95)/Planos!$E95,1)*Planos!$E95))/Planos!$E95)+1)))</f>
      </c>
      <c r="J97" s="44">
        <f>IF(OR(Planos!$A95="",NOT(ISNUMBER(Planos!$G95)),N(Planos!$E95)&lt;=0),0,IF(Planos!$G95&gt;EOMONTH(DATE(crono_ano_ref,5,1),0),0,MAX(0,INT((EOMONTH(DATE(crono_ano_ref,5,1),0)-IF(Planos!$G95&gt;=DATE(crono_ano_ref,5,1),Planos!$G95,Planos!$G95+CEILING((DATE(crono_ano_ref,5,1)-Planos!$G95)/Planos!$E95,1)*Planos!$E95))/Planos!$E95)+1)))</f>
      </c>
      <c r="K97" s="44">
        <f>IF(OR(Planos!$A95="",NOT(ISNUMBER(Planos!$G95)),N(Planos!$E95)&lt;=0),0,IF(Planos!$G95&gt;EOMONTH(DATE(crono_ano_ref,6,1),0),0,MAX(0,INT((EOMONTH(DATE(crono_ano_ref,6,1),0)-IF(Planos!$G95&gt;=DATE(crono_ano_ref,6,1),Planos!$G95,Planos!$G95+CEILING((DATE(crono_ano_ref,6,1)-Planos!$G95)/Planos!$E95,1)*Planos!$E95))/Planos!$E95)+1)))</f>
      </c>
      <c r="L97" s="44">
        <f>IF(OR(Planos!$A95="",NOT(ISNUMBER(Planos!$G95)),N(Planos!$E95)&lt;=0),0,IF(Planos!$G95&gt;EOMONTH(DATE(crono_ano_ref,7,1),0),0,MAX(0,INT((EOMONTH(DATE(crono_ano_ref,7,1),0)-IF(Planos!$G95&gt;=DATE(crono_ano_ref,7,1),Planos!$G95,Planos!$G95+CEILING((DATE(crono_ano_ref,7,1)-Planos!$G95)/Planos!$E95,1)*Planos!$E95))/Planos!$E95)+1)))</f>
      </c>
      <c r="M97" s="44">
        <f>IF(OR(Planos!$A95="",NOT(ISNUMBER(Planos!$G95)),N(Planos!$E95)&lt;=0),0,IF(Planos!$G95&gt;EOMONTH(DATE(crono_ano_ref,8,1),0),0,MAX(0,INT((EOMONTH(DATE(crono_ano_ref,8,1),0)-IF(Planos!$G95&gt;=DATE(crono_ano_ref,8,1),Planos!$G95,Planos!$G95+CEILING((DATE(crono_ano_ref,8,1)-Planos!$G95)/Planos!$E95,1)*Planos!$E95))/Planos!$E95)+1)))</f>
      </c>
      <c r="N97" s="44">
        <f>IF(OR(Planos!$A95="",NOT(ISNUMBER(Planos!$G95)),N(Planos!$E95)&lt;=0),0,IF(Planos!$G95&gt;EOMONTH(DATE(crono_ano_ref,9,1),0),0,MAX(0,INT((EOMONTH(DATE(crono_ano_ref,9,1),0)-IF(Planos!$G95&gt;=DATE(crono_ano_ref,9,1),Planos!$G95,Planos!$G95+CEILING((DATE(crono_ano_ref,9,1)-Planos!$G95)/Planos!$E95,1)*Planos!$E95))/Planos!$E95)+1)))</f>
      </c>
      <c r="O97" s="44">
        <f>IF(OR(Planos!$A95="",NOT(ISNUMBER(Planos!$G95)),N(Planos!$E95)&lt;=0),0,IF(Planos!$G95&gt;EOMONTH(DATE(crono_ano_ref,10,1),0),0,MAX(0,INT((EOMONTH(DATE(crono_ano_ref,10,1),0)-IF(Planos!$G95&gt;=DATE(crono_ano_ref,10,1),Planos!$G95,Planos!$G95+CEILING((DATE(crono_ano_ref,10,1)-Planos!$G95)/Planos!$E95,1)*Planos!$E95))/Planos!$E95)+1)))</f>
      </c>
      <c r="P97" s="44">
        <f>IF(OR(Planos!$A95="",NOT(ISNUMBER(Planos!$G95)),N(Planos!$E95)&lt;=0),0,IF(Planos!$G95&gt;EOMONTH(DATE(crono_ano_ref,11,1),0),0,MAX(0,INT((EOMONTH(DATE(crono_ano_ref,11,1),0)-IF(Planos!$G95&gt;=DATE(crono_ano_ref,11,1),Planos!$G95,Planos!$G95+CEILING((DATE(crono_ano_ref,11,1)-Planos!$G95)/Planos!$E95,1)*Planos!$E95))/Planos!$E95)+1)))</f>
      </c>
      <c r="Q97" s="44">
        <f>IF(OR(Planos!$A95="",NOT(ISNUMBER(Planos!$G95)),N(Planos!$E95)&lt;=0),0,IF(Planos!$G95&gt;EOMONTH(DATE(crono_ano_ref,12,1),0),0,MAX(0,INT((EOMONTH(DATE(crono_ano_ref,12,1),0)-IF(Planos!$G95&gt;=DATE(crono_ano_ref,12,1),Planos!$G95,Planos!$G95+CEILING((DATE(crono_ano_ref,12,1)-Planos!$G95)/Planos!$E95,1)*Planos!$E95))/Planos!$E95)+1)))</f>
      </c>
      <c r="R97" s="44">
        <f>SUM(F97:Q97)</f>
      </c>
    </row>
    <row r="98" spans="1:18" x14ac:dyDescent="0.25">
      <c r="A98" s="24">
        <f>IF(Planos!$A96="","",Planos!A96&amp;"")</f>
      </c>
      <c r="B98" s="41">
        <f>IF(Planos!$A96="","",Planos!B96&amp;"")</f>
      </c>
      <c r="C98" s="24">
        <f>IF(Planos!$A96="","",Planos!C96&amp;"")</f>
      </c>
      <c r="D98" s="42">
        <f>IF(Planos!$A96="","",N(Planos!E96))</f>
      </c>
      <c r="E98" s="43">
        <f>IF(Planos!$A96="","",N(Planos!K96))</f>
      </c>
      <c r="F98" s="44">
        <f>IF(OR(Planos!$A96="",NOT(ISNUMBER(Planos!$G96)),N(Planos!$E96)&lt;=0),0,IF(Planos!$G96&gt;EOMONTH(DATE(crono_ano_ref,1,1),0),0,MAX(0,INT((EOMONTH(DATE(crono_ano_ref,1,1),0)-IF(Planos!$G96&gt;=DATE(crono_ano_ref,1,1),Planos!$G96,Planos!$G96+CEILING((DATE(crono_ano_ref,1,1)-Planos!$G96)/Planos!$E96,1)*Planos!$E96))/Planos!$E96)+1)))</f>
      </c>
      <c r="G98" s="44">
        <f>IF(OR(Planos!$A96="",NOT(ISNUMBER(Planos!$G96)),N(Planos!$E96)&lt;=0),0,IF(Planos!$G96&gt;EOMONTH(DATE(crono_ano_ref,2,1),0),0,MAX(0,INT((EOMONTH(DATE(crono_ano_ref,2,1),0)-IF(Planos!$G96&gt;=DATE(crono_ano_ref,2,1),Planos!$G96,Planos!$G96+CEILING((DATE(crono_ano_ref,2,1)-Planos!$G96)/Planos!$E96,1)*Planos!$E96))/Planos!$E96)+1)))</f>
      </c>
      <c r="H98" s="44">
        <f>IF(OR(Planos!$A96="",NOT(ISNUMBER(Planos!$G96)),N(Planos!$E96)&lt;=0),0,IF(Planos!$G96&gt;EOMONTH(DATE(crono_ano_ref,3,1),0),0,MAX(0,INT((EOMONTH(DATE(crono_ano_ref,3,1),0)-IF(Planos!$G96&gt;=DATE(crono_ano_ref,3,1),Planos!$G96,Planos!$G96+CEILING((DATE(crono_ano_ref,3,1)-Planos!$G96)/Planos!$E96,1)*Planos!$E96))/Planos!$E96)+1)))</f>
      </c>
      <c r="I98" s="44">
        <f>IF(OR(Planos!$A96="",NOT(ISNUMBER(Planos!$G96)),N(Planos!$E96)&lt;=0),0,IF(Planos!$G96&gt;EOMONTH(DATE(crono_ano_ref,4,1),0),0,MAX(0,INT((EOMONTH(DATE(crono_ano_ref,4,1),0)-IF(Planos!$G96&gt;=DATE(crono_ano_ref,4,1),Planos!$G96,Planos!$G96+CEILING((DATE(crono_ano_ref,4,1)-Planos!$G96)/Planos!$E96,1)*Planos!$E96))/Planos!$E96)+1)))</f>
      </c>
      <c r="J98" s="44">
        <f>IF(OR(Planos!$A96="",NOT(ISNUMBER(Planos!$G96)),N(Planos!$E96)&lt;=0),0,IF(Planos!$G96&gt;EOMONTH(DATE(crono_ano_ref,5,1),0),0,MAX(0,INT((EOMONTH(DATE(crono_ano_ref,5,1),0)-IF(Planos!$G96&gt;=DATE(crono_ano_ref,5,1),Planos!$G96,Planos!$G96+CEILING((DATE(crono_ano_ref,5,1)-Planos!$G96)/Planos!$E96,1)*Planos!$E96))/Planos!$E96)+1)))</f>
      </c>
      <c r="K98" s="44">
        <f>IF(OR(Planos!$A96="",NOT(ISNUMBER(Planos!$G96)),N(Planos!$E96)&lt;=0),0,IF(Planos!$G96&gt;EOMONTH(DATE(crono_ano_ref,6,1),0),0,MAX(0,INT((EOMONTH(DATE(crono_ano_ref,6,1),0)-IF(Planos!$G96&gt;=DATE(crono_ano_ref,6,1),Planos!$G96,Planos!$G96+CEILING((DATE(crono_ano_ref,6,1)-Planos!$G96)/Planos!$E96,1)*Planos!$E96))/Planos!$E96)+1)))</f>
      </c>
      <c r="L98" s="44">
        <f>IF(OR(Planos!$A96="",NOT(ISNUMBER(Planos!$G96)),N(Planos!$E96)&lt;=0),0,IF(Planos!$G96&gt;EOMONTH(DATE(crono_ano_ref,7,1),0),0,MAX(0,INT((EOMONTH(DATE(crono_ano_ref,7,1),0)-IF(Planos!$G96&gt;=DATE(crono_ano_ref,7,1),Planos!$G96,Planos!$G96+CEILING((DATE(crono_ano_ref,7,1)-Planos!$G96)/Planos!$E96,1)*Planos!$E96))/Planos!$E96)+1)))</f>
      </c>
      <c r="M98" s="44">
        <f>IF(OR(Planos!$A96="",NOT(ISNUMBER(Planos!$G96)),N(Planos!$E96)&lt;=0),0,IF(Planos!$G96&gt;EOMONTH(DATE(crono_ano_ref,8,1),0),0,MAX(0,INT((EOMONTH(DATE(crono_ano_ref,8,1),0)-IF(Planos!$G96&gt;=DATE(crono_ano_ref,8,1),Planos!$G96,Planos!$G96+CEILING((DATE(crono_ano_ref,8,1)-Planos!$G96)/Planos!$E96,1)*Planos!$E96))/Planos!$E96)+1)))</f>
      </c>
      <c r="N98" s="44">
        <f>IF(OR(Planos!$A96="",NOT(ISNUMBER(Planos!$G96)),N(Planos!$E96)&lt;=0),0,IF(Planos!$G96&gt;EOMONTH(DATE(crono_ano_ref,9,1),0),0,MAX(0,INT((EOMONTH(DATE(crono_ano_ref,9,1),0)-IF(Planos!$G96&gt;=DATE(crono_ano_ref,9,1),Planos!$G96,Planos!$G96+CEILING((DATE(crono_ano_ref,9,1)-Planos!$G96)/Planos!$E96,1)*Planos!$E96))/Planos!$E96)+1)))</f>
      </c>
      <c r="O98" s="44">
        <f>IF(OR(Planos!$A96="",NOT(ISNUMBER(Planos!$G96)),N(Planos!$E96)&lt;=0),0,IF(Planos!$G96&gt;EOMONTH(DATE(crono_ano_ref,10,1),0),0,MAX(0,INT((EOMONTH(DATE(crono_ano_ref,10,1),0)-IF(Planos!$G96&gt;=DATE(crono_ano_ref,10,1),Planos!$G96,Planos!$G96+CEILING((DATE(crono_ano_ref,10,1)-Planos!$G96)/Planos!$E96,1)*Planos!$E96))/Planos!$E96)+1)))</f>
      </c>
      <c r="P98" s="44">
        <f>IF(OR(Planos!$A96="",NOT(ISNUMBER(Planos!$G96)),N(Planos!$E96)&lt;=0),0,IF(Planos!$G96&gt;EOMONTH(DATE(crono_ano_ref,11,1),0),0,MAX(0,INT((EOMONTH(DATE(crono_ano_ref,11,1),0)-IF(Planos!$G96&gt;=DATE(crono_ano_ref,11,1),Planos!$G96,Planos!$G96+CEILING((DATE(crono_ano_ref,11,1)-Planos!$G96)/Planos!$E96,1)*Planos!$E96))/Planos!$E96)+1)))</f>
      </c>
      <c r="Q98" s="44">
        <f>IF(OR(Planos!$A96="",NOT(ISNUMBER(Planos!$G96)),N(Planos!$E96)&lt;=0),0,IF(Planos!$G96&gt;EOMONTH(DATE(crono_ano_ref,12,1),0),0,MAX(0,INT((EOMONTH(DATE(crono_ano_ref,12,1),0)-IF(Planos!$G96&gt;=DATE(crono_ano_ref,12,1),Planos!$G96,Planos!$G96+CEILING((DATE(crono_ano_ref,12,1)-Planos!$G96)/Planos!$E96,1)*Planos!$E96))/Planos!$E96)+1)))</f>
      </c>
      <c r="R98" s="44">
        <f>SUM(F98:Q98)</f>
      </c>
    </row>
    <row r="99" spans="1:18" x14ac:dyDescent="0.25">
      <c r="A99" s="24">
        <f>IF(Planos!$A97="","",Planos!A97&amp;"")</f>
      </c>
      <c r="B99" s="41">
        <f>IF(Planos!$A97="","",Planos!B97&amp;"")</f>
      </c>
      <c r="C99" s="24">
        <f>IF(Planos!$A97="","",Planos!C97&amp;"")</f>
      </c>
      <c r="D99" s="42">
        <f>IF(Planos!$A97="","",N(Planos!E97))</f>
      </c>
      <c r="E99" s="43">
        <f>IF(Planos!$A97="","",N(Planos!K97))</f>
      </c>
      <c r="F99" s="44">
        <f>IF(OR(Planos!$A97="",NOT(ISNUMBER(Planos!$G97)),N(Planos!$E97)&lt;=0),0,IF(Planos!$G97&gt;EOMONTH(DATE(crono_ano_ref,1,1),0),0,MAX(0,INT((EOMONTH(DATE(crono_ano_ref,1,1),0)-IF(Planos!$G97&gt;=DATE(crono_ano_ref,1,1),Planos!$G97,Planos!$G97+CEILING((DATE(crono_ano_ref,1,1)-Planos!$G97)/Planos!$E97,1)*Planos!$E97))/Planos!$E97)+1)))</f>
      </c>
      <c r="G99" s="44">
        <f>IF(OR(Planos!$A97="",NOT(ISNUMBER(Planos!$G97)),N(Planos!$E97)&lt;=0),0,IF(Planos!$G97&gt;EOMONTH(DATE(crono_ano_ref,2,1),0),0,MAX(0,INT((EOMONTH(DATE(crono_ano_ref,2,1),0)-IF(Planos!$G97&gt;=DATE(crono_ano_ref,2,1),Planos!$G97,Planos!$G97+CEILING((DATE(crono_ano_ref,2,1)-Planos!$G97)/Planos!$E97,1)*Planos!$E97))/Planos!$E97)+1)))</f>
      </c>
      <c r="H99" s="44">
        <f>IF(OR(Planos!$A97="",NOT(ISNUMBER(Planos!$G97)),N(Planos!$E97)&lt;=0),0,IF(Planos!$G97&gt;EOMONTH(DATE(crono_ano_ref,3,1),0),0,MAX(0,INT((EOMONTH(DATE(crono_ano_ref,3,1),0)-IF(Planos!$G97&gt;=DATE(crono_ano_ref,3,1),Planos!$G97,Planos!$G97+CEILING((DATE(crono_ano_ref,3,1)-Planos!$G97)/Planos!$E97,1)*Planos!$E97))/Planos!$E97)+1)))</f>
      </c>
      <c r="I99" s="44">
        <f>IF(OR(Planos!$A97="",NOT(ISNUMBER(Planos!$G97)),N(Planos!$E97)&lt;=0),0,IF(Planos!$G97&gt;EOMONTH(DATE(crono_ano_ref,4,1),0),0,MAX(0,INT((EOMONTH(DATE(crono_ano_ref,4,1),0)-IF(Planos!$G97&gt;=DATE(crono_ano_ref,4,1),Planos!$G97,Planos!$G97+CEILING((DATE(crono_ano_ref,4,1)-Planos!$G97)/Planos!$E97,1)*Planos!$E97))/Planos!$E97)+1)))</f>
      </c>
      <c r="J99" s="44">
        <f>IF(OR(Planos!$A97="",NOT(ISNUMBER(Planos!$G97)),N(Planos!$E97)&lt;=0),0,IF(Planos!$G97&gt;EOMONTH(DATE(crono_ano_ref,5,1),0),0,MAX(0,INT((EOMONTH(DATE(crono_ano_ref,5,1),0)-IF(Planos!$G97&gt;=DATE(crono_ano_ref,5,1),Planos!$G97,Planos!$G97+CEILING((DATE(crono_ano_ref,5,1)-Planos!$G97)/Planos!$E97,1)*Planos!$E97))/Planos!$E97)+1)))</f>
      </c>
      <c r="K99" s="44">
        <f>IF(OR(Planos!$A97="",NOT(ISNUMBER(Planos!$G97)),N(Planos!$E97)&lt;=0),0,IF(Planos!$G97&gt;EOMONTH(DATE(crono_ano_ref,6,1),0),0,MAX(0,INT((EOMONTH(DATE(crono_ano_ref,6,1),0)-IF(Planos!$G97&gt;=DATE(crono_ano_ref,6,1),Planos!$G97,Planos!$G97+CEILING((DATE(crono_ano_ref,6,1)-Planos!$G97)/Planos!$E97,1)*Planos!$E97))/Planos!$E97)+1)))</f>
      </c>
      <c r="L99" s="44">
        <f>IF(OR(Planos!$A97="",NOT(ISNUMBER(Planos!$G97)),N(Planos!$E97)&lt;=0),0,IF(Planos!$G97&gt;EOMONTH(DATE(crono_ano_ref,7,1),0),0,MAX(0,INT((EOMONTH(DATE(crono_ano_ref,7,1),0)-IF(Planos!$G97&gt;=DATE(crono_ano_ref,7,1),Planos!$G97,Planos!$G97+CEILING((DATE(crono_ano_ref,7,1)-Planos!$G97)/Planos!$E97,1)*Planos!$E97))/Planos!$E97)+1)))</f>
      </c>
      <c r="M99" s="44">
        <f>IF(OR(Planos!$A97="",NOT(ISNUMBER(Planos!$G97)),N(Planos!$E97)&lt;=0),0,IF(Planos!$G97&gt;EOMONTH(DATE(crono_ano_ref,8,1),0),0,MAX(0,INT((EOMONTH(DATE(crono_ano_ref,8,1),0)-IF(Planos!$G97&gt;=DATE(crono_ano_ref,8,1),Planos!$G97,Planos!$G97+CEILING((DATE(crono_ano_ref,8,1)-Planos!$G97)/Planos!$E97,1)*Planos!$E97))/Planos!$E97)+1)))</f>
      </c>
      <c r="N99" s="44">
        <f>IF(OR(Planos!$A97="",NOT(ISNUMBER(Planos!$G97)),N(Planos!$E97)&lt;=0),0,IF(Planos!$G97&gt;EOMONTH(DATE(crono_ano_ref,9,1),0),0,MAX(0,INT((EOMONTH(DATE(crono_ano_ref,9,1),0)-IF(Planos!$G97&gt;=DATE(crono_ano_ref,9,1),Planos!$G97,Planos!$G97+CEILING((DATE(crono_ano_ref,9,1)-Planos!$G97)/Planos!$E97,1)*Planos!$E97))/Planos!$E97)+1)))</f>
      </c>
      <c r="O99" s="44">
        <f>IF(OR(Planos!$A97="",NOT(ISNUMBER(Planos!$G97)),N(Planos!$E97)&lt;=0),0,IF(Planos!$G97&gt;EOMONTH(DATE(crono_ano_ref,10,1),0),0,MAX(0,INT((EOMONTH(DATE(crono_ano_ref,10,1),0)-IF(Planos!$G97&gt;=DATE(crono_ano_ref,10,1),Planos!$G97,Planos!$G97+CEILING((DATE(crono_ano_ref,10,1)-Planos!$G97)/Planos!$E97,1)*Planos!$E97))/Planos!$E97)+1)))</f>
      </c>
      <c r="P99" s="44">
        <f>IF(OR(Planos!$A97="",NOT(ISNUMBER(Planos!$G97)),N(Planos!$E97)&lt;=0),0,IF(Planos!$G97&gt;EOMONTH(DATE(crono_ano_ref,11,1),0),0,MAX(0,INT((EOMONTH(DATE(crono_ano_ref,11,1),0)-IF(Planos!$G97&gt;=DATE(crono_ano_ref,11,1),Planos!$G97,Planos!$G97+CEILING((DATE(crono_ano_ref,11,1)-Planos!$G97)/Planos!$E97,1)*Planos!$E97))/Planos!$E97)+1)))</f>
      </c>
      <c r="Q99" s="44">
        <f>IF(OR(Planos!$A97="",NOT(ISNUMBER(Planos!$G97)),N(Planos!$E97)&lt;=0),0,IF(Planos!$G97&gt;EOMONTH(DATE(crono_ano_ref,12,1),0),0,MAX(0,INT((EOMONTH(DATE(crono_ano_ref,12,1),0)-IF(Planos!$G97&gt;=DATE(crono_ano_ref,12,1),Planos!$G97,Planos!$G97+CEILING((DATE(crono_ano_ref,12,1)-Planos!$G97)/Planos!$E97,1)*Planos!$E97))/Planos!$E97)+1)))</f>
      </c>
      <c r="R99" s="44">
        <f>SUM(F99:Q99)</f>
      </c>
    </row>
    <row r="100" spans="1:18" x14ac:dyDescent="0.25">
      <c r="A100" s="24">
        <f>IF(Planos!$A98="","",Planos!A98&amp;"")</f>
      </c>
      <c r="B100" s="41">
        <f>IF(Planos!$A98="","",Planos!B98&amp;"")</f>
      </c>
      <c r="C100" s="24">
        <f>IF(Planos!$A98="","",Planos!C98&amp;"")</f>
      </c>
      <c r="D100" s="42">
        <f>IF(Planos!$A98="","",N(Planos!E98))</f>
      </c>
      <c r="E100" s="43">
        <f>IF(Planos!$A98="","",N(Planos!K98))</f>
      </c>
      <c r="F100" s="44">
        <f>IF(OR(Planos!$A98="",NOT(ISNUMBER(Planos!$G98)),N(Planos!$E98)&lt;=0),0,IF(Planos!$G98&gt;EOMONTH(DATE(crono_ano_ref,1,1),0),0,MAX(0,INT((EOMONTH(DATE(crono_ano_ref,1,1),0)-IF(Planos!$G98&gt;=DATE(crono_ano_ref,1,1),Planos!$G98,Planos!$G98+CEILING((DATE(crono_ano_ref,1,1)-Planos!$G98)/Planos!$E98,1)*Planos!$E98))/Planos!$E98)+1)))</f>
      </c>
      <c r="G100" s="44">
        <f>IF(OR(Planos!$A98="",NOT(ISNUMBER(Planos!$G98)),N(Planos!$E98)&lt;=0),0,IF(Planos!$G98&gt;EOMONTH(DATE(crono_ano_ref,2,1),0),0,MAX(0,INT((EOMONTH(DATE(crono_ano_ref,2,1),0)-IF(Planos!$G98&gt;=DATE(crono_ano_ref,2,1),Planos!$G98,Planos!$G98+CEILING((DATE(crono_ano_ref,2,1)-Planos!$G98)/Planos!$E98,1)*Planos!$E98))/Planos!$E98)+1)))</f>
      </c>
      <c r="H100" s="44">
        <f>IF(OR(Planos!$A98="",NOT(ISNUMBER(Planos!$G98)),N(Planos!$E98)&lt;=0),0,IF(Planos!$G98&gt;EOMONTH(DATE(crono_ano_ref,3,1),0),0,MAX(0,INT((EOMONTH(DATE(crono_ano_ref,3,1),0)-IF(Planos!$G98&gt;=DATE(crono_ano_ref,3,1),Planos!$G98,Planos!$G98+CEILING((DATE(crono_ano_ref,3,1)-Planos!$G98)/Planos!$E98,1)*Planos!$E98))/Planos!$E98)+1)))</f>
      </c>
      <c r="I100" s="44">
        <f>IF(OR(Planos!$A98="",NOT(ISNUMBER(Planos!$G98)),N(Planos!$E98)&lt;=0),0,IF(Planos!$G98&gt;EOMONTH(DATE(crono_ano_ref,4,1),0),0,MAX(0,INT((EOMONTH(DATE(crono_ano_ref,4,1),0)-IF(Planos!$G98&gt;=DATE(crono_ano_ref,4,1),Planos!$G98,Planos!$G98+CEILING((DATE(crono_ano_ref,4,1)-Planos!$G98)/Planos!$E98,1)*Planos!$E98))/Planos!$E98)+1)))</f>
      </c>
      <c r="J100" s="44">
        <f>IF(OR(Planos!$A98="",NOT(ISNUMBER(Planos!$G98)),N(Planos!$E98)&lt;=0),0,IF(Planos!$G98&gt;EOMONTH(DATE(crono_ano_ref,5,1),0),0,MAX(0,INT((EOMONTH(DATE(crono_ano_ref,5,1),0)-IF(Planos!$G98&gt;=DATE(crono_ano_ref,5,1),Planos!$G98,Planos!$G98+CEILING((DATE(crono_ano_ref,5,1)-Planos!$G98)/Planos!$E98,1)*Planos!$E98))/Planos!$E98)+1)))</f>
      </c>
      <c r="K100" s="44">
        <f>IF(OR(Planos!$A98="",NOT(ISNUMBER(Planos!$G98)),N(Planos!$E98)&lt;=0),0,IF(Planos!$G98&gt;EOMONTH(DATE(crono_ano_ref,6,1),0),0,MAX(0,INT((EOMONTH(DATE(crono_ano_ref,6,1),0)-IF(Planos!$G98&gt;=DATE(crono_ano_ref,6,1),Planos!$G98,Planos!$G98+CEILING((DATE(crono_ano_ref,6,1)-Planos!$G98)/Planos!$E98,1)*Planos!$E98))/Planos!$E98)+1)))</f>
      </c>
      <c r="L100" s="44">
        <f>IF(OR(Planos!$A98="",NOT(ISNUMBER(Planos!$G98)),N(Planos!$E98)&lt;=0),0,IF(Planos!$G98&gt;EOMONTH(DATE(crono_ano_ref,7,1),0),0,MAX(0,INT((EOMONTH(DATE(crono_ano_ref,7,1),0)-IF(Planos!$G98&gt;=DATE(crono_ano_ref,7,1),Planos!$G98,Planos!$G98+CEILING((DATE(crono_ano_ref,7,1)-Planos!$G98)/Planos!$E98,1)*Planos!$E98))/Planos!$E98)+1)))</f>
      </c>
      <c r="M100" s="44">
        <f>IF(OR(Planos!$A98="",NOT(ISNUMBER(Planos!$G98)),N(Planos!$E98)&lt;=0),0,IF(Planos!$G98&gt;EOMONTH(DATE(crono_ano_ref,8,1),0),0,MAX(0,INT((EOMONTH(DATE(crono_ano_ref,8,1),0)-IF(Planos!$G98&gt;=DATE(crono_ano_ref,8,1),Planos!$G98,Planos!$G98+CEILING((DATE(crono_ano_ref,8,1)-Planos!$G98)/Planos!$E98,1)*Planos!$E98))/Planos!$E98)+1)))</f>
      </c>
      <c r="N100" s="44">
        <f>IF(OR(Planos!$A98="",NOT(ISNUMBER(Planos!$G98)),N(Planos!$E98)&lt;=0),0,IF(Planos!$G98&gt;EOMONTH(DATE(crono_ano_ref,9,1),0),0,MAX(0,INT((EOMONTH(DATE(crono_ano_ref,9,1),0)-IF(Planos!$G98&gt;=DATE(crono_ano_ref,9,1),Planos!$G98,Planos!$G98+CEILING((DATE(crono_ano_ref,9,1)-Planos!$G98)/Planos!$E98,1)*Planos!$E98))/Planos!$E98)+1)))</f>
      </c>
      <c r="O100" s="44">
        <f>IF(OR(Planos!$A98="",NOT(ISNUMBER(Planos!$G98)),N(Planos!$E98)&lt;=0),0,IF(Planos!$G98&gt;EOMONTH(DATE(crono_ano_ref,10,1),0),0,MAX(0,INT((EOMONTH(DATE(crono_ano_ref,10,1),0)-IF(Planos!$G98&gt;=DATE(crono_ano_ref,10,1),Planos!$G98,Planos!$G98+CEILING((DATE(crono_ano_ref,10,1)-Planos!$G98)/Planos!$E98,1)*Planos!$E98))/Planos!$E98)+1)))</f>
      </c>
      <c r="P100" s="44">
        <f>IF(OR(Planos!$A98="",NOT(ISNUMBER(Planos!$G98)),N(Planos!$E98)&lt;=0),0,IF(Planos!$G98&gt;EOMONTH(DATE(crono_ano_ref,11,1),0),0,MAX(0,INT((EOMONTH(DATE(crono_ano_ref,11,1),0)-IF(Planos!$G98&gt;=DATE(crono_ano_ref,11,1),Planos!$G98,Planos!$G98+CEILING((DATE(crono_ano_ref,11,1)-Planos!$G98)/Planos!$E98,1)*Planos!$E98))/Planos!$E98)+1)))</f>
      </c>
      <c r="Q100" s="44">
        <f>IF(OR(Planos!$A98="",NOT(ISNUMBER(Planos!$G98)),N(Planos!$E98)&lt;=0),0,IF(Planos!$G98&gt;EOMONTH(DATE(crono_ano_ref,12,1),0),0,MAX(0,INT((EOMONTH(DATE(crono_ano_ref,12,1),0)-IF(Planos!$G98&gt;=DATE(crono_ano_ref,12,1),Planos!$G98,Planos!$G98+CEILING((DATE(crono_ano_ref,12,1)-Planos!$G98)/Planos!$E98,1)*Planos!$E98))/Planos!$E98)+1)))</f>
      </c>
      <c r="R100" s="44">
        <f>SUM(F100:Q100)</f>
      </c>
    </row>
    <row r="101" spans="1:18" x14ac:dyDescent="0.25">
      <c r="A101" s="24">
        <f>IF(Planos!$A99="","",Planos!A99&amp;"")</f>
      </c>
      <c r="B101" s="41">
        <f>IF(Planos!$A99="","",Planos!B99&amp;"")</f>
      </c>
      <c r="C101" s="24">
        <f>IF(Planos!$A99="","",Planos!C99&amp;"")</f>
      </c>
      <c r="D101" s="42">
        <f>IF(Planos!$A99="","",N(Planos!E99))</f>
      </c>
      <c r="E101" s="43">
        <f>IF(Planos!$A99="","",N(Planos!K99))</f>
      </c>
      <c r="F101" s="44">
        <f>IF(OR(Planos!$A99="",NOT(ISNUMBER(Planos!$G99)),N(Planos!$E99)&lt;=0),0,IF(Planos!$G99&gt;EOMONTH(DATE(crono_ano_ref,1,1),0),0,MAX(0,INT((EOMONTH(DATE(crono_ano_ref,1,1),0)-IF(Planos!$G99&gt;=DATE(crono_ano_ref,1,1),Planos!$G99,Planos!$G99+CEILING((DATE(crono_ano_ref,1,1)-Planos!$G99)/Planos!$E99,1)*Planos!$E99))/Planos!$E99)+1)))</f>
      </c>
      <c r="G101" s="44">
        <f>IF(OR(Planos!$A99="",NOT(ISNUMBER(Planos!$G99)),N(Planos!$E99)&lt;=0),0,IF(Planos!$G99&gt;EOMONTH(DATE(crono_ano_ref,2,1),0),0,MAX(0,INT((EOMONTH(DATE(crono_ano_ref,2,1),0)-IF(Planos!$G99&gt;=DATE(crono_ano_ref,2,1),Planos!$G99,Planos!$G99+CEILING((DATE(crono_ano_ref,2,1)-Planos!$G99)/Planos!$E99,1)*Planos!$E99))/Planos!$E99)+1)))</f>
      </c>
      <c r="H101" s="44">
        <f>IF(OR(Planos!$A99="",NOT(ISNUMBER(Planos!$G99)),N(Planos!$E99)&lt;=0),0,IF(Planos!$G99&gt;EOMONTH(DATE(crono_ano_ref,3,1),0),0,MAX(0,INT((EOMONTH(DATE(crono_ano_ref,3,1),0)-IF(Planos!$G99&gt;=DATE(crono_ano_ref,3,1),Planos!$G99,Planos!$G99+CEILING((DATE(crono_ano_ref,3,1)-Planos!$G99)/Planos!$E99,1)*Planos!$E99))/Planos!$E99)+1)))</f>
      </c>
      <c r="I101" s="44">
        <f>IF(OR(Planos!$A99="",NOT(ISNUMBER(Planos!$G99)),N(Planos!$E99)&lt;=0),0,IF(Planos!$G99&gt;EOMONTH(DATE(crono_ano_ref,4,1),0),0,MAX(0,INT((EOMONTH(DATE(crono_ano_ref,4,1),0)-IF(Planos!$G99&gt;=DATE(crono_ano_ref,4,1),Planos!$G99,Planos!$G99+CEILING((DATE(crono_ano_ref,4,1)-Planos!$G99)/Planos!$E99,1)*Planos!$E99))/Planos!$E99)+1)))</f>
      </c>
      <c r="J101" s="44">
        <f>IF(OR(Planos!$A99="",NOT(ISNUMBER(Planos!$G99)),N(Planos!$E99)&lt;=0),0,IF(Planos!$G99&gt;EOMONTH(DATE(crono_ano_ref,5,1),0),0,MAX(0,INT((EOMONTH(DATE(crono_ano_ref,5,1),0)-IF(Planos!$G99&gt;=DATE(crono_ano_ref,5,1),Planos!$G99,Planos!$G99+CEILING((DATE(crono_ano_ref,5,1)-Planos!$G99)/Planos!$E99,1)*Planos!$E99))/Planos!$E99)+1)))</f>
      </c>
      <c r="K101" s="44">
        <f>IF(OR(Planos!$A99="",NOT(ISNUMBER(Planos!$G99)),N(Planos!$E99)&lt;=0),0,IF(Planos!$G99&gt;EOMONTH(DATE(crono_ano_ref,6,1),0),0,MAX(0,INT((EOMONTH(DATE(crono_ano_ref,6,1),0)-IF(Planos!$G99&gt;=DATE(crono_ano_ref,6,1),Planos!$G99,Planos!$G99+CEILING((DATE(crono_ano_ref,6,1)-Planos!$G99)/Planos!$E99,1)*Planos!$E99))/Planos!$E99)+1)))</f>
      </c>
      <c r="L101" s="44">
        <f>IF(OR(Planos!$A99="",NOT(ISNUMBER(Planos!$G99)),N(Planos!$E99)&lt;=0),0,IF(Planos!$G99&gt;EOMONTH(DATE(crono_ano_ref,7,1),0),0,MAX(0,INT((EOMONTH(DATE(crono_ano_ref,7,1),0)-IF(Planos!$G99&gt;=DATE(crono_ano_ref,7,1),Planos!$G99,Planos!$G99+CEILING((DATE(crono_ano_ref,7,1)-Planos!$G99)/Planos!$E99,1)*Planos!$E99))/Planos!$E99)+1)))</f>
      </c>
      <c r="M101" s="44">
        <f>IF(OR(Planos!$A99="",NOT(ISNUMBER(Planos!$G99)),N(Planos!$E99)&lt;=0),0,IF(Planos!$G99&gt;EOMONTH(DATE(crono_ano_ref,8,1),0),0,MAX(0,INT((EOMONTH(DATE(crono_ano_ref,8,1),0)-IF(Planos!$G99&gt;=DATE(crono_ano_ref,8,1),Planos!$G99,Planos!$G99+CEILING((DATE(crono_ano_ref,8,1)-Planos!$G99)/Planos!$E99,1)*Planos!$E99))/Planos!$E99)+1)))</f>
      </c>
      <c r="N101" s="44">
        <f>IF(OR(Planos!$A99="",NOT(ISNUMBER(Planos!$G99)),N(Planos!$E99)&lt;=0),0,IF(Planos!$G99&gt;EOMONTH(DATE(crono_ano_ref,9,1),0),0,MAX(0,INT((EOMONTH(DATE(crono_ano_ref,9,1),0)-IF(Planos!$G99&gt;=DATE(crono_ano_ref,9,1),Planos!$G99,Planos!$G99+CEILING((DATE(crono_ano_ref,9,1)-Planos!$G99)/Planos!$E99,1)*Planos!$E99))/Planos!$E99)+1)))</f>
      </c>
      <c r="O101" s="44">
        <f>IF(OR(Planos!$A99="",NOT(ISNUMBER(Planos!$G99)),N(Planos!$E99)&lt;=0),0,IF(Planos!$G99&gt;EOMONTH(DATE(crono_ano_ref,10,1),0),0,MAX(0,INT((EOMONTH(DATE(crono_ano_ref,10,1),0)-IF(Planos!$G99&gt;=DATE(crono_ano_ref,10,1),Planos!$G99,Planos!$G99+CEILING((DATE(crono_ano_ref,10,1)-Planos!$G99)/Planos!$E99,1)*Planos!$E99))/Planos!$E99)+1)))</f>
      </c>
      <c r="P101" s="44">
        <f>IF(OR(Planos!$A99="",NOT(ISNUMBER(Planos!$G99)),N(Planos!$E99)&lt;=0),0,IF(Planos!$G99&gt;EOMONTH(DATE(crono_ano_ref,11,1),0),0,MAX(0,INT((EOMONTH(DATE(crono_ano_ref,11,1),0)-IF(Planos!$G99&gt;=DATE(crono_ano_ref,11,1),Planos!$G99,Planos!$G99+CEILING((DATE(crono_ano_ref,11,1)-Planos!$G99)/Planos!$E99,1)*Planos!$E99))/Planos!$E99)+1)))</f>
      </c>
      <c r="Q101" s="44">
        <f>IF(OR(Planos!$A99="",NOT(ISNUMBER(Planos!$G99)),N(Planos!$E99)&lt;=0),0,IF(Planos!$G99&gt;EOMONTH(DATE(crono_ano_ref,12,1),0),0,MAX(0,INT((EOMONTH(DATE(crono_ano_ref,12,1),0)-IF(Planos!$G99&gt;=DATE(crono_ano_ref,12,1),Planos!$G99,Planos!$G99+CEILING((DATE(crono_ano_ref,12,1)-Planos!$G99)/Planos!$E99,1)*Planos!$E99))/Planos!$E99)+1)))</f>
      </c>
      <c r="R101" s="44">
        <f>SUM(F101:Q101)</f>
      </c>
    </row>
    <row r="102" spans="1:18" x14ac:dyDescent="0.25">
      <c r="A102" s="24">
        <f>IF(Planos!$A100="","",Planos!A100&amp;"")</f>
      </c>
      <c r="B102" s="41">
        <f>IF(Planos!$A100="","",Planos!B100&amp;"")</f>
      </c>
      <c r="C102" s="24">
        <f>IF(Planos!$A100="","",Planos!C100&amp;"")</f>
      </c>
      <c r="D102" s="42">
        <f>IF(Planos!$A100="","",N(Planos!E100))</f>
      </c>
      <c r="E102" s="43">
        <f>IF(Planos!$A100="","",N(Planos!K100))</f>
      </c>
      <c r="F102" s="44">
        <f>IF(OR(Planos!$A100="",NOT(ISNUMBER(Planos!$G100)),N(Planos!$E100)&lt;=0),0,IF(Planos!$G100&gt;EOMONTH(DATE(crono_ano_ref,1,1),0),0,MAX(0,INT((EOMONTH(DATE(crono_ano_ref,1,1),0)-IF(Planos!$G100&gt;=DATE(crono_ano_ref,1,1),Planos!$G100,Planos!$G100+CEILING((DATE(crono_ano_ref,1,1)-Planos!$G100)/Planos!$E100,1)*Planos!$E100))/Planos!$E100)+1)))</f>
      </c>
      <c r="G102" s="44">
        <f>IF(OR(Planos!$A100="",NOT(ISNUMBER(Planos!$G100)),N(Planos!$E100)&lt;=0),0,IF(Planos!$G100&gt;EOMONTH(DATE(crono_ano_ref,2,1),0),0,MAX(0,INT((EOMONTH(DATE(crono_ano_ref,2,1),0)-IF(Planos!$G100&gt;=DATE(crono_ano_ref,2,1),Planos!$G100,Planos!$G100+CEILING((DATE(crono_ano_ref,2,1)-Planos!$G100)/Planos!$E100,1)*Planos!$E100))/Planos!$E100)+1)))</f>
      </c>
      <c r="H102" s="44">
        <f>IF(OR(Planos!$A100="",NOT(ISNUMBER(Planos!$G100)),N(Planos!$E100)&lt;=0),0,IF(Planos!$G100&gt;EOMONTH(DATE(crono_ano_ref,3,1),0),0,MAX(0,INT((EOMONTH(DATE(crono_ano_ref,3,1),0)-IF(Planos!$G100&gt;=DATE(crono_ano_ref,3,1),Planos!$G100,Planos!$G100+CEILING((DATE(crono_ano_ref,3,1)-Planos!$G100)/Planos!$E100,1)*Planos!$E100))/Planos!$E100)+1)))</f>
      </c>
      <c r="I102" s="44">
        <f>IF(OR(Planos!$A100="",NOT(ISNUMBER(Planos!$G100)),N(Planos!$E100)&lt;=0),0,IF(Planos!$G100&gt;EOMONTH(DATE(crono_ano_ref,4,1),0),0,MAX(0,INT((EOMONTH(DATE(crono_ano_ref,4,1),0)-IF(Planos!$G100&gt;=DATE(crono_ano_ref,4,1),Planos!$G100,Planos!$G100+CEILING((DATE(crono_ano_ref,4,1)-Planos!$G100)/Planos!$E100,1)*Planos!$E100))/Planos!$E100)+1)))</f>
      </c>
      <c r="J102" s="44">
        <f>IF(OR(Planos!$A100="",NOT(ISNUMBER(Planos!$G100)),N(Planos!$E100)&lt;=0),0,IF(Planos!$G100&gt;EOMONTH(DATE(crono_ano_ref,5,1),0),0,MAX(0,INT((EOMONTH(DATE(crono_ano_ref,5,1),0)-IF(Planos!$G100&gt;=DATE(crono_ano_ref,5,1),Planos!$G100,Planos!$G100+CEILING((DATE(crono_ano_ref,5,1)-Planos!$G100)/Planos!$E100,1)*Planos!$E100))/Planos!$E100)+1)))</f>
      </c>
      <c r="K102" s="44">
        <f>IF(OR(Planos!$A100="",NOT(ISNUMBER(Planos!$G100)),N(Planos!$E100)&lt;=0),0,IF(Planos!$G100&gt;EOMONTH(DATE(crono_ano_ref,6,1),0),0,MAX(0,INT((EOMONTH(DATE(crono_ano_ref,6,1),0)-IF(Planos!$G100&gt;=DATE(crono_ano_ref,6,1),Planos!$G100,Planos!$G100+CEILING((DATE(crono_ano_ref,6,1)-Planos!$G100)/Planos!$E100,1)*Planos!$E100))/Planos!$E100)+1)))</f>
      </c>
      <c r="L102" s="44">
        <f>IF(OR(Planos!$A100="",NOT(ISNUMBER(Planos!$G100)),N(Planos!$E100)&lt;=0),0,IF(Planos!$G100&gt;EOMONTH(DATE(crono_ano_ref,7,1),0),0,MAX(0,INT((EOMONTH(DATE(crono_ano_ref,7,1),0)-IF(Planos!$G100&gt;=DATE(crono_ano_ref,7,1),Planos!$G100,Planos!$G100+CEILING((DATE(crono_ano_ref,7,1)-Planos!$G100)/Planos!$E100,1)*Planos!$E100))/Planos!$E100)+1)))</f>
      </c>
      <c r="M102" s="44">
        <f>IF(OR(Planos!$A100="",NOT(ISNUMBER(Planos!$G100)),N(Planos!$E100)&lt;=0),0,IF(Planos!$G100&gt;EOMONTH(DATE(crono_ano_ref,8,1),0),0,MAX(0,INT((EOMONTH(DATE(crono_ano_ref,8,1),0)-IF(Planos!$G100&gt;=DATE(crono_ano_ref,8,1),Planos!$G100,Planos!$G100+CEILING((DATE(crono_ano_ref,8,1)-Planos!$G100)/Planos!$E100,1)*Planos!$E100))/Planos!$E100)+1)))</f>
      </c>
      <c r="N102" s="44">
        <f>IF(OR(Planos!$A100="",NOT(ISNUMBER(Planos!$G100)),N(Planos!$E100)&lt;=0),0,IF(Planos!$G100&gt;EOMONTH(DATE(crono_ano_ref,9,1),0),0,MAX(0,INT((EOMONTH(DATE(crono_ano_ref,9,1),0)-IF(Planos!$G100&gt;=DATE(crono_ano_ref,9,1),Planos!$G100,Planos!$G100+CEILING((DATE(crono_ano_ref,9,1)-Planos!$G100)/Planos!$E100,1)*Planos!$E100))/Planos!$E100)+1)))</f>
      </c>
      <c r="O102" s="44">
        <f>IF(OR(Planos!$A100="",NOT(ISNUMBER(Planos!$G100)),N(Planos!$E100)&lt;=0),0,IF(Planos!$G100&gt;EOMONTH(DATE(crono_ano_ref,10,1),0),0,MAX(0,INT((EOMONTH(DATE(crono_ano_ref,10,1),0)-IF(Planos!$G100&gt;=DATE(crono_ano_ref,10,1),Planos!$G100,Planos!$G100+CEILING((DATE(crono_ano_ref,10,1)-Planos!$G100)/Planos!$E100,1)*Planos!$E100))/Planos!$E100)+1)))</f>
      </c>
      <c r="P102" s="44">
        <f>IF(OR(Planos!$A100="",NOT(ISNUMBER(Planos!$G100)),N(Planos!$E100)&lt;=0),0,IF(Planos!$G100&gt;EOMONTH(DATE(crono_ano_ref,11,1),0),0,MAX(0,INT((EOMONTH(DATE(crono_ano_ref,11,1),0)-IF(Planos!$G100&gt;=DATE(crono_ano_ref,11,1),Planos!$G100,Planos!$G100+CEILING((DATE(crono_ano_ref,11,1)-Planos!$G100)/Planos!$E100,1)*Planos!$E100))/Planos!$E100)+1)))</f>
      </c>
      <c r="Q102" s="44">
        <f>IF(OR(Planos!$A100="",NOT(ISNUMBER(Planos!$G100)),N(Planos!$E100)&lt;=0),0,IF(Planos!$G100&gt;EOMONTH(DATE(crono_ano_ref,12,1),0),0,MAX(0,INT((EOMONTH(DATE(crono_ano_ref,12,1),0)-IF(Planos!$G100&gt;=DATE(crono_ano_ref,12,1),Planos!$G100,Planos!$G100+CEILING((DATE(crono_ano_ref,12,1)-Planos!$G100)/Planos!$E100,1)*Planos!$E100))/Planos!$E100)+1)))</f>
      </c>
      <c r="R102" s="44">
        <f>SUM(F102:Q102)</f>
      </c>
    </row>
    <row r="103" spans="1:18" x14ac:dyDescent="0.25">
      <c r="A103" s="24">
        <f>IF(Planos!$A101="","",Planos!A101&amp;"")</f>
      </c>
      <c r="B103" s="41">
        <f>IF(Planos!$A101="","",Planos!B101&amp;"")</f>
      </c>
      <c r="C103" s="24">
        <f>IF(Planos!$A101="","",Planos!C101&amp;"")</f>
      </c>
      <c r="D103" s="42">
        <f>IF(Planos!$A101="","",N(Planos!E101))</f>
      </c>
      <c r="E103" s="43">
        <f>IF(Planos!$A101="","",N(Planos!K101))</f>
      </c>
      <c r="F103" s="44">
        <f>IF(OR(Planos!$A101="",NOT(ISNUMBER(Planos!$G101)),N(Planos!$E101)&lt;=0),0,IF(Planos!$G101&gt;EOMONTH(DATE(crono_ano_ref,1,1),0),0,MAX(0,INT((EOMONTH(DATE(crono_ano_ref,1,1),0)-IF(Planos!$G101&gt;=DATE(crono_ano_ref,1,1),Planos!$G101,Planos!$G101+CEILING((DATE(crono_ano_ref,1,1)-Planos!$G101)/Planos!$E101,1)*Planos!$E101))/Planos!$E101)+1)))</f>
      </c>
      <c r="G103" s="44">
        <f>IF(OR(Planos!$A101="",NOT(ISNUMBER(Planos!$G101)),N(Planos!$E101)&lt;=0),0,IF(Planos!$G101&gt;EOMONTH(DATE(crono_ano_ref,2,1),0),0,MAX(0,INT((EOMONTH(DATE(crono_ano_ref,2,1),0)-IF(Planos!$G101&gt;=DATE(crono_ano_ref,2,1),Planos!$G101,Planos!$G101+CEILING((DATE(crono_ano_ref,2,1)-Planos!$G101)/Planos!$E101,1)*Planos!$E101))/Planos!$E101)+1)))</f>
      </c>
      <c r="H103" s="44">
        <f>IF(OR(Planos!$A101="",NOT(ISNUMBER(Planos!$G101)),N(Planos!$E101)&lt;=0),0,IF(Planos!$G101&gt;EOMONTH(DATE(crono_ano_ref,3,1),0),0,MAX(0,INT((EOMONTH(DATE(crono_ano_ref,3,1),0)-IF(Planos!$G101&gt;=DATE(crono_ano_ref,3,1),Planos!$G101,Planos!$G101+CEILING((DATE(crono_ano_ref,3,1)-Planos!$G101)/Planos!$E101,1)*Planos!$E101))/Planos!$E101)+1)))</f>
      </c>
      <c r="I103" s="44">
        <f>IF(OR(Planos!$A101="",NOT(ISNUMBER(Planos!$G101)),N(Planos!$E101)&lt;=0),0,IF(Planos!$G101&gt;EOMONTH(DATE(crono_ano_ref,4,1),0),0,MAX(0,INT((EOMONTH(DATE(crono_ano_ref,4,1),0)-IF(Planos!$G101&gt;=DATE(crono_ano_ref,4,1),Planos!$G101,Planos!$G101+CEILING((DATE(crono_ano_ref,4,1)-Planos!$G101)/Planos!$E101,1)*Planos!$E101))/Planos!$E101)+1)))</f>
      </c>
      <c r="J103" s="44">
        <f>IF(OR(Planos!$A101="",NOT(ISNUMBER(Planos!$G101)),N(Planos!$E101)&lt;=0),0,IF(Planos!$G101&gt;EOMONTH(DATE(crono_ano_ref,5,1),0),0,MAX(0,INT((EOMONTH(DATE(crono_ano_ref,5,1),0)-IF(Planos!$G101&gt;=DATE(crono_ano_ref,5,1),Planos!$G101,Planos!$G101+CEILING((DATE(crono_ano_ref,5,1)-Planos!$G101)/Planos!$E101,1)*Planos!$E101))/Planos!$E101)+1)))</f>
      </c>
      <c r="K103" s="44">
        <f>IF(OR(Planos!$A101="",NOT(ISNUMBER(Planos!$G101)),N(Planos!$E101)&lt;=0),0,IF(Planos!$G101&gt;EOMONTH(DATE(crono_ano_ref,6,1),0),0,MAX(0,INT((EOMONTH(DATE(crono_ano_ref,6,1),0)-IF(Planos!$G101&gt;=DATE(crono_ano_ref,6,1),Planos!$G101,Planos!$G101+CEILING((DATE(crono_ano_ref,6,1)-Planos!$G101)/Planos!$E101,1)*Planos!$E101))/Planos!$E101)+1)))</f>
      </c>
      <c r="L103" s="44">
        <f>IF(OR(Planos!$A101="",NOT(ISNUMBER(Planos!$G101)),N(Planos!$E101)&lt;=0),0,IF(Planos!$G101&gt;EOMONTH(DATE(crono_ano_ref,7,1),0),0,MAX(0,INT((EOMONTH(DATE(crono_ano_ref,7,1),0)-IF(Planos!$G101&gt;=DATE(crono_ano_ref,7,1),Planos!$G101,Planos!$G101+CEILING((DATE(crono_ano_ref,7,1)-Planos!$G101)/Planos!$E101,1)*Planos!$E101))/Planos!$E101)+1)))</f>
      </c>
      <c r="M103" s="44">
        <f>IF(OR(Planos!$A101="",NOT(ISNUMBER(Planos!$G101)),N(Planos!$E101)&lt;=0),0,IF(Planos!$G101&gt;EOMONTH(DATE(crono_ano_ref,8,1),0),0,MAX(0,INT((EOMONTH(DATE(crono_ano_ref,8,1),0)-IF(Planos!$G101&gt;=DATE(crono_ano_ref,8,1),Planos!$G101,Planos!$G101+CEILING((DATE(crono_ano_ref,8,1)-Planos!$G101)/Planos!$E101,1)*Planos!$E101))/Planos!$E101)+1)))</f>
      </c>
      <c r="N103" s="44">
        <f>IF(OR(Planos!$A101="",NOT(ISNUMBER(Planos!$G101)),N(Planos!$E101)&lt;=0),0,IF(Planos!$G101&gt;EOMONTH(DATE(crono_ano_ref,9,1),0),0,MAX(0,INT((EOMONTH(DATE(crono_ano_ref,9,1),0)-IF(Planos!$G101&gt;=DATE(crono_ano_ref,9,1),Planos!$G101,Planos!$G101+CEILING((DATE(crono_ano_ref,9,1)-Planos!$G101)/Planos!$E101,1)*Planos!$E101))/Planos!$E101)+1)))</f>
      </c>
      <c r="O103" s="44">
        <f>IF(OR(Planos!$A101="",NOT(ISNUMBER(Planos!$G101)),N(Planos!$E101)&lt;=0),0,IF(Planos!$G101&gt;EOMONTH(DATE(crono_ano_ref,10,1),0),0,MAX(0,INT((EOMONTH(DATE(crono_ano_ref,10,1),0)-IF(Planos!$G101&gt;=DATE(crono_ano_ref,10,1),Planos!$G101,Planos!$G101+CEILING((DATE(crono_ano_ref,10,1)-Planos!$G101)/Planos!$E101,1)*Planos!$E101))/Planos!$E101)+1)))</f>
      </c>
      <c r="P103" s="44">
        <f>IF(OR(Planos!$A101="",NOT(ISNUMBER(Planos!$G101)),N(Planos!$E101)&lt;=0),0,IF(Planos!$G101&gt;EOMONTH(DATE(crono_ano_ref,11,1),0),0,MAX(0,INT((EOMONTH(DATE(crono_ano_ref,11,1),0)-IF(Planos!$G101&gt;=DATE(crono_ano_ref,11,1),Planos!$G101,Planos!$G101+CEILING((DATE(crono_ano_ref,11,1)-Planos!$G101)/Planos!$E101,1)*Planos!$E101))/Planos!$E101)+1)))</f>
      </c>
      <c r="Q103" s="44">
        <f>IF(OR(Planos!$A101="",NOT(ISNUMBER(Planos!$G101)),N(Planos!$E101)&lt;=0),0,IF(Planos!$G101&gt;EOMONTH(DATE(crono_ano_ref,12,1),0),0,MAX(0,INT((EOMONTH(DATE(crono_ano_ref,12,1),0)-IF(Planos!$G101&gt;=DATE(crono_ano_ref,12,1),Planos!$G101,Planos!$G101+CEILING((DATE(crono_ano_ref,12,1)-Planos!$G101)/Planos!$E101,1)*Planos!$E101))/Planos!$E101)+1)))</f>
      </c>
      <c r="R103" s="44">
        <f>SUM(F103:Q103)</f>
      </c>
    </row>
    <row r="104" spans="1:18" x14ac:dyDescent="0.25">
      <c r="A104" s="24">
        <f>IF(Planos!$A102="","",Planos!A102&amp;"")</f>
      </c>
      <c r="B104" s="41">
        <f>IF(Planos!$A102="","",Planos!B102&amp;"")</f>
      </c>
      <c r="C104" s="24">
        <f>IF(Planos!$A102="","",Planos!C102&amp;"")</f>
      </c>
      <c r="D104" s="42">
        <f>IF(Planos!$A102="","",N(Planos!E102))</f>
      </c>
      <c r="E104" s="43">
        <f>IF(Planos!$A102="","",N(Planos!K102))</f>
      </c>
      <c r="F104" s="44">
        <f>IF(OR(Planos!$A102="",NOT(ISNUMBER(Planos!$G102)),N(Planos!$E102)&lt;=0),0,IF(Planos!$G102&gt;EOMONTH(DATE(crono_ano_ref,1,1),0),0,MAX(0,INT((EOMONTH(DATE(crono_ano_ref,1,1),0)-IF(Planos!$G102&gt;=DATE(crono_ano_ref,1,1),Planos!$G102,Planos!$G102+CEILING((DATE(crono_ano_ref,1,1)-Planos!$G102)/Planos!$E102,1)*Planos!$E102))/Planos!$E102)+1)))</f>
      </c>
      <c r="G104" s="44">
        <f>IF(OR(Planos!$A102="",NOT(ISNUMBER(Planos!$G102)),N(Planos!$E102)&lt;=0),0,IF(Planos!$G102&gt;EOMONTH(DATE(crono_ano_ref,2,1),0),0,MAX(0,INT((EOMONTH(DATE(crono_ano_ref,2,1),0)-IF(Planos!$G102&gt;=DATE(crono_ano_ref,2,1),Planos!$G102,Planos!$G102+CEILING((DATE(crono_ano_ref,2,1)-Planos!$G102)/Planos!$E102,1)*Planos!$E102))/Planos!$E102)+1)))</f>
      </c>
      <c r="H104" s="44">
        <f>IF(OR(Planos!$A102="",NOT(ISNUMBER(Planos!$G102)),N(Planos!$E102)&lt;=0),0,IF(Planos!$G102&gt;EOMONTH(DATE(crono_ano_ref,3,1),0),0,MAX(0,INT((EOMONTH(DATE(crono_ano_ref,3,1),0)-IF(Planos!$G102&gt;=DATE(crono_ano_ref,3,1),Planos!$G102,Planos!$G102+CEILING((DATE(crono_ano_ref,3,1)-Planos!$G102)/Planos!$E102,1)*Planos!$E102))/Planos!$E102)+1)))</f>
      </c>
      <c r="I104" s="44">
        <f>IF(OR(Planos!$A102="",NOT(ISNUMBER(Planos!$G102)),N(Planos!$E102)&lt;=0),0,IF(Planos!$G102&gt;EOMONTH(DATE(crono_ano_ref,4,1),0),0,MAX(0,INT((EOMONTH(DATE(crono_ano_ref,4,1),0)-IF(Planos!$G102&gt;=DATE(crono_ano_ref,4,1),Planos!$G102,Planos!$G102+CEILING((DATE(crono_ano_ref,4,1)-Planos!$G102)/Planos!$E102,1)*Planos!$E102))/Planos!$E102)+1)))</f>
      </c>
      <c r="J104" s="44">
        <f>IF(OR(Planos!$A102="",NOT(ISNUMBER(Planos!$G102)),N(Planos!$E102)&lt;=0),0,IF(Planos!$G102&gt;EOMONTH(DATE(crono_ano_ref,5,1),0),0,MAX(0,INT((EOMONTH(DATE(crono_ano_ref,5,1),0)-IF(Planos!$G102&gt;=DATE(crono_ano_ref,5,1),Planos!$G102,Planos!$G102+CEILING((DATE(crono_ano_ref,5,1)-Planos!$G102)/Planos!$E102,1)*Planos!$E102))/Planos!$E102)+1)))</f>
      </c>
      <c r="K104" s="44">
        <f>IF(OR(Planos!$A102="",NOT(ISNUMBER(Planos!$G102)),N(Planos!$E102)&lt;=0),0,IF(Planos!$G102&gt;EOMONTH(DATE(crono_ano_ref,6,1),0),0,MAX(0,INT((EOMONTH(DATE(crono_ano_ref,6,1),0)-IF(Planos!$G102&gt;=DATE(crono_ano_ref,6,1),Planos!$G102,Planos!$G102+CEILING((DATE(crono_ano_ref,6,1)-Planos!$G102)/Planos!$E102,1)*Planos!$E102))/Planos!$E102)+1)))</f>
      </c>
      <c r="L104" s="44">
        <f>IF(OR(Planos!$A102="",NOT(ISNUMBER(Planos!$G102)),N(Planos!$E102)&lt;=0),0,IF(Planos!$G102&gt;EOMONTH(DATE(crono_ano_ref,7,1),0),0,MAX(0,INT((EOMONTH(DATE(crono_ano_ref,7,1),0)-IF(Planos!$G102&gt;=DATE(crono_ano_ref,7,1),Planos!$G102,Planos!$G102+CEILING((DATE(crono_ano_ref,7,1)-Planos!$G102)/Planos!$E102,1)*Planos!$E102))/Planos!$E102)+1)))</f>
      </c>
      <c r="M104" s="44">
        <f>IF(OR(Planos!$A102="",NOT(ISNUMBER(Planos!$G102)),N(Planos!$E102)&lt;=0),0,IF(Planos!$G102&gt;EOMONTH(DATE(crono_ano_ref,8,1),0),0,MAX(0,INT((EOMONTH(DATE(crono_ano_ref,8,1),0)-IF(Planos!$G102&gt;=DATE(crono_ano_ref,8,1),Planos!$G102,Planos!$G102+CEILING((DATE(crono_ano_ref,8,1)-Planos!$G102)/Planos!$E102,1)*Planos!$E102))/Planos!$E102)+1)))</f>
      </c>
      <c r="N104" s="44">
        <f>IF(OR(Planos!$A102="",NOT(ISNUMBER(Planos!$G102)),N(Planos!$E102)&lt;=0),0,IF(Planos!$G102&gt;EOMONTH(DATE(crono_ano_ref,9,1),0),0,MAX(0,INT((EOMONTH(DATE(crono_ano_ref,9,1),0)-IF(Planos!$G102&gt;=DATE(crono_ano_ref,9,1),Planos!$G102,Planos!$G102+CEILING((DATE(crono_ano_ref,9,1)-Planos!$G102)/Planos!$E102,1)*Planos!$E102))/Planos!$E102)+1)))</f>
      </c>
      <c r="O104" s="44">
        <f>IF(OR(Planos!$A102="",NOT(ISNUMBER(Planos!$G102)),N(Planos!$E102)&lt;=0),0,IF(Planos!$G102&gt;EOMONTH(DATE(crono_ano_ref,10,1),0),0,MAX(0,INT((EOMONTH(DATE(crono_ano_ref,10,1),0)-IF(Planos!$G102&gt;=DATE(crono_ano_ref,10,1),Planos!$G102,Planos!$G102+CEILING((DATE(crono_ano_ref,10,1)-Planos!$G102)/Planos!$E102,1)*Planos!$E102))/Planos!$E102)+1)))</f>
      </c>
      <c r="P104" s="44">
        <f>IF(OR(Planos!$A102="",NOT(ISNUMBER(Planos!$G102)),N(Planos!$E102)&lt;=0),0,IF(Planos!$G102&gt;EOMONTH(DATE(crono_ano_ref,11,1),0),0,MAX(0,INT((EOMONTH(DATE(crono_ano_ref,11,1),0)-IF(Planos!$G102&gt;=DATE(crono_ano_ref,11,1),Planos!$G102,Planos!$G102+CEILING((DATE(crono_ano_ref,11,1)-Planos!$G102)/Planos!$E102,1)*Planos!$E102))/Planos!$E102)+1)))</f>
      </c>
      <c r="Q104" s="44">
        <f>IF(OR(Planos!$A102="",NOT(ISNUMBER(Planos!$G102)),N(Planos!$E102)&lt;=0),0,IF(Planos!$G102&gt;EOMONTH(DATE(crono_ano_ref,12,1),0),0,MAX(0,INT((EOMONTH(DATE(crono_ano_ref,12,1),0)-IF(Planos!$G102&gt;=DATE(crono_ano_ref,12,1),Planos!$G102,Planos!$G102+CEILING((DATE(crono_ano_ref,12,1)-Planos!$G102)/Planos!$E102,1)*Planos!$E102))/Planos!$E102)+1)))</f>
      </c>
      <c r="R104" s="44">
        <f>SUM(F104:Q104)</f>
      </c>
    </row>
    <row r="105" spans="1:18" x14ac:dyDescent="0.25">
      <c r="A105" s="24">
        <f>IF(Planos!$A103="","",Planos!A103&amp;"")</f>
      </c>
      <c r="B105" s="41">
        <f>IF(Planos!$A103="","",Planos!B103&amp;"")</f>
      </c>
      <c r="C105" s="24">
        <f>IF(Planos!$A103="","",Planos!C103&amp;"")</f>
      </c>
      <c r="D105" s="42">
        <f>IF(Planos!$A103="","",N(Planos!E103))</f>
      </c>
      <c r="E105" s="43">
        <f>IF(Planos!$A103="","",N(Planos!K103))</f>
      </c>
      <c r="F105" s="44">
        <f>IF(OR(Planos!$A103="",NOT(ISNUMBER(Planos!$G103)),N(Planos!$E103)&lt;=0),0,IF(Planos!$G103&gt;EOMONTH(DATE(crono_ano_ref,1,1),0),0,MAX(0,INT((EOMONTH(DATE(crono_ano_ref,1,1),0)-IF(Planos!$G103&gt;=DATE(crono_ano_ref,1,1),Planos!$G103,Planos!$G103+CEILING((DATE(crono_ano_ref,1,1)-Planos!$G103)/Planos!$E103,1)*Planos!$E103))/Planos!$E103)+1)))</f>
      </c>
      <c r="G105" s="44">
        <f>IF(OR(Planos!$A103="",NOT(ISNUMBER(Planos!$G103)),N(Planos!$E103)&lt;=0),0,IF(Planos!$G103&gt;EOMONTH(DATE(crono_ano_ref,2,1),0),0,MAX(0,INT((EOMONTH(DATE(crono_ano_ref,2,1),0)-IF(Planos!$G103&gt;=DATE(crono_ano_ref,2,1),Planos!$G103,Planos!$G103+CEILING((DATE(crono_ano_ref,2,1)-Planos!$G103)/Planos!$E103,1)*Planos!$E103))/Planos!$E103)+1)))</f>
      </c>
      <c r="H105" s="44">
        <f>IF(OR(Planos!$A103="",NOT(ISNUMBER(Planos!$G103)),N(Planos!$E103)&lt;=0),0,IF(Planos!$G103&gt;EOMONTH(DATE(crono_ano_ref,3,1),0),0,MAX(0,INT((EOMONTH(DATE(crono_ano_ref,3,1),0)-IF(Planos!$G103&gt;=DATE(crono_ano_ref,3,1),Planos!$G103,Planos!$G103+CEILING((DATE(crono_ano_ref,3,1)-Planos!$G103)/Planos!$E103,1)*Planos!$E103))/Planos!$E103)+1)))</f>
      </c>
      <c r="I105" s="44">
        <f>IF(OR(Planos!$A103="",NOT(ISNUMBER(Planos!$G103)),N(Planos!$E103)&lt;=0),0,IF(Planos!$G103&gt;EOMONTH(DATE(crono_ano_ref,4,1),0),0,MAX(0,INT((EOMONTH(DATE(crono_ano_ref,4,1),0)-IF(Planos!$G103&gt;=DATE(crono_ano_ref,4,1),Planos!$G103,Planos!$G103+CEILING((DATE(crono_ano_ref,4,1)-Planos!$G103)/Planos!$E103,1)*Planos!$E103))/Planos!$E103)+1)))</f>
      </c>
      <c r="J105" s="44">
        <f>IF(OR(Planos!$A103="",NOT(ISNUMBER(Planos!$G103)),N(Planos!$E103)&lt;=0),0,IF(Planos!$G103&gt;EOMONTH(DATE(crono_ano_ref,5,1),0),0,MAX(0,INT((EOMONTH(DATE(crono_ano_ref,5,1),0)-IF(Planos!$G103&gt;=DATE(crono_ano_ref,5,1),Planos!$G103,Planos!$G103+CEILING((DATE(crono_ano_ref,5,1)-Planos!$G103)/Planos!$E103,1)*Planos!$E103))/Planos!$E103)+1)))</f>
      </c>
      <c r="K105" s="44">
        <f>IF(OR(Planos!$A103="",NOT(ISNUMBER(Planos!$G103)),N(Planos!$E103)&lt;=0),0,IF(Planos!$G103&gt;EOMONTH(DATE(crono_ano_ref,6,1),0),0,MAX(0,INT((EOMONTH(DATE(crono_ano_ref,6,1),0)-IF(Planos!$G103&gt;=DATE(crono_ano_ref,6,1),Planos!$G103,Planos!$G103+CEILING((DATE(crono_ano_ref,6,1)-Planos!$G103)/Planos!$E103,1)*Planos!$E103))/Planos!$E103)+1)))</f>
      </c>
      <c r="L105" s="44">
        <f>IF(OR(Planos!$A103="",NOT(ISNUMBER(Planos!$G103)),N(Planos!$E103)&lt;=0),0,IF(Planos!$G103&gt;EOMONTH(DATE(crono_ano_ref,7,1),0),0,MAX(0,INT((EOMONTH(DATE(crono_ano_ref,7,1),0)-IF(Planos!$G103&gt;=DATE(crono_ano_ref,7,1),Planos!$G103,Planos!$G103+CEILING((DATE(crono_ano_ref,7,1)-Planos!$G103)/Planos!$E103,1)*Planos!$E103))/Planos!$E103)+1)))</f>
      </c>
      <c r="M105" s="44">
        <f>IF(OR(Planos!$A103="",NOT(ISNUMBER(Planos!$G103)),N(Planos!$E103)&lt;=0),0,IF(Planos!$G103&gt;EOMONTH(DATE(crono_ano_ref,8,1),0),0,MAX(0,INT((EOMONTH(DATE(crono_ano_ref,8,1),0)-IF(Planos!$G103&gt;=DATE(crono_ano_ref,8,1),Planos!$G103,Planos!$G103+CEILING((DATE(crono_ano_ref,8,1)-Planos!$G103)/Planos!$E103,1)*Planos!$E103))/Planos!$E103)+1)))</f>
      </c>
      <c r="N105" s="44">
        <f>IF(OR(Planos!$A103="",NOT(ISNUMBER(Planos!$G103)),N(Planos!$E103)&lt;=0),0,IF(Planos!$G103&gt;EOMONTH(DATE(crono_ano_ref,9,1),0),0,MAX(0,INT((EOMONTH(DATE(crono_ano_ref,9,1),0)-IF(Planos!$G103&gt;=DATE(crono_ano_ref,9,1),Planos!$G103,Planos!$G103+CEILING((DATE(crono_ano_ref,9,1)-Planos!$G103)/Planos!$E103,1)*Planos!$E103))/Planos!$E103)+1)))</f>
      </c>
      <c r="O105" s="44">
        <f>IF(OR(Planos!$A103="",NOT(ISNUMBER(Planos!$G103)),N(Planos!$E103)&lt;=0),0,IF(Planos!$G103&gt;EOMONTH(DATE(crono_ano_ref,10,1),0),0,MAX(0,INT((EOMONTH(DATE(crono_ano_ref,10,1),0)-IF(Planos!$G103&gt;=DATE(crono_ano_ref,10,1),Planos!$G103,Planos!$G103+CEILING((DATE(crono_ano_ref,10,1)-Planos!$G103)/Planos!$E103,1)*Planos!$E103))/Planos!$E103)+1)))</f>
      </c>
      <c r="P105" s="44">
        <f>IF(OR(Planos!$A103="",NOT(ISNUMBER(Planos!$G103)),N(Planos!$E103)&lt;=0),0,IF(Planos!$G103&gt;EOMONTH(DATE(crono_ano_ref,11,1),0),0,MAX(0,INT((EOMONTH(DATE(crono_ano_ref,11,1),0)-IF(Planos!$G103&gt;=DATE(crono_ano_ref,11,1),Planos!$G103,Planos!$G103+CEILING((DATE(crono_ano_ref,11,1)-Planos!$G103)/Planos!$E103,1)*Planos!$E103))/Planos!$E103)+1)))</f>
      </c>
      <c r="Q105" s="44">
        <f>IF(OR(Planos!$A103="",NOT(ISNUMBER(Planos!$G103)),N(Planos!$E103)&lt;=0),0,IF(Planos!$G103&gt;EOMONTH(DATE(crono_ano_ref,12,1),0),0,MAX(0,INT((EOMONTH(DATE(crono_ano_ref,12,1),0)-IF(Planos!$G103&gt;=DATE(crono_ano_ref,12,1),Planos!$G103,Planos!$G103+CEILING((DATE(crono_ano_ref,12,1)-Planos!$G103)/Planos!$E103,1)*Planos!$E103))/Planos!$E103)+1)))</f>
      </c>
      <c r="R105" s="44">
        <f>SUM(F105:Q105)</f>
      </c>
    </row>
    <row r="106" spans="1:18" x14ac:dyDescent="0.25">
      <c r="A106" s="24">
        <f>IF(Planos!$A104="","",Planos!A104&amp;"")</f>
      </c>
      <c r="B106" s="41">
        <f>IF(Planos!$A104="","",Planos!B104&amp;"")</f>
      </c>
      <c r="C106" s="24">
        <f>IF(Planos!$A104="","",Planos!C104&amp;"")</f>
      </c>
      <c r="D106" s="42">
        <f>IF(Planos!$A104="","",N(Planos!E104))</f>
      </c>
      <c r="E106" s="43">
        <f>IF(Planos!$A104="","",N(Planos!K104))</f>
      </c>
      <c r="F106" s="44">
        <f>IF(OR(Planos!$A104="",NOT(ISNUMBER(Planos!$G104)),N(Planos!$E104)&lt;=0),0,IF(Planos!$G104&gt;EOMONTH(DATE(crono_ano_ref,1,1),0),0,MAX(0,INT((EOMONTH(DATE(crono_ano_ref,1,1),0)-IF(Planos!$G104&gt;=DATE(crono_ano_ref,1,1),Planos!$G104,Planos!$G104+CEILING((DATE(crono_ano_ref,1,1)-Planos!$G104)/Planos!$E104,1)*Planos!$E104))/Planos!$E104)+1)))</f>
      </c>
      <c r="G106" s="44">
        <f>IF(OR(Planos!$A104="",NOT(ISNUMBER(Planos!$G104)),N(Planos!$E104)&lt;=0),0,IF(Planos!$G104&gt;EOMONTH(DATE(crono_ano_ref,2,1),0),0,MAX(0,INT((EOMONTH(DATE(crono_ano_ref,2,1),0)-IF(Planos!$G104&gt;=DATE(crono_ano_ref,2,1),Planos!$G104,Planos!$G104+CEILING((DATE(crono_ano_ref,2,1)-Planos!$G104)/Planos!$E104,1)*Planos!$E104))/Planos!$E104)+1)))</f>
      </c>
      <c r="H106" s="44">
        <f>IF(OR(Planos!$A104="",NOT(ISNUMBER(Planos!$G104)),N(Planos!$E104)&lt;=0),0,IF(Planos!$G104&gt;EOMONTH(DATE(crono_ano_ref,3,1),0),0,MAX(0,INT((EOMONTH(DATE(crono_ano_ref,3,1),0)-IF(Planos!$G104&gt;=DATE(crono_ano_ref,3,1),Planos!$G104,Planos!$G104+CEILING((DATE(crono_ano_ref,3,1)-Planos!$G104)/Planos!$E104,1)*Planos!$E104))/Planos!$E104)+1)))</f>
      </c>
      <c r="I106" s="44">
        <f>IF(OR(Planos!$A104="",NOT(ISNUMBER(Planos!$G104)),N(Planos!$E104)&lt;=0),0,IF(Planos!$G104&gt;EOMONTH(DATE(crono_ano_ref,4,1),0),0,MAX(0,INT((EOMONTH(DATE(crono_ano_ref,4,1),0)-IF(Planos!$G104&gt;=DATE(crono_ano_ref,4,1),Planos!$G104,Planos!$G104+CEILING((DATE(crono_ano_ref,4,1)-Planos!$G104)/Planos!$E104,1)*Planos!$E104))/Planos!$E104)+1)))</f>
      </c>
      <c r="J106" s="44">
        <f>IF(OR(Planos!$A104="",NOT(ISNUMBER(Planos!$G104)),N(Planos!$E104)&lt;=0),0,IF(Planos!$G104&gt;EOMONTH(DATE(crono_ano_ref,5,1),0),0,MAX(0,INT((EOMONTH(DATE(crono_ano_ref,5,1),0)-IF(Planos!$G104&gt;=DATE(crono_ano_ref,5,1),Planos!$G104,Planos!$G104+CEILING((DATE(crono_ano_ref,5,1)-Planos!$G104)/Planos!$E104,1)*Planos!$E104))/Planos!$E104)+1)))</f>
      </c>
      <c r="K106" s="44">
        <f>IF(OR(Planos!$A104="",NOT(ISNUMBER(Planos!$G104)),N(Planos!$E104)&lt;=0),0,IF(Planos!$G104&gt;EOMONTH(DATE(crono_ano_ref,6,1),0),0,MAX(0,INT((EOMONTH(DATE(crono_ano_ref,6,1),0)-IF(Planos!$G104&gt;=DATE(crono_ano_ref,6,1),Planos!$G104,Planos!$G104+CEILING((DATE(crono_ano_ref,6,1)-Planos!$G104)/Planos!$E104,1)*Planos!$E104))/Planos!$E104)+1)))</f>
      </c>
      <c r="L106" s="44">
        <f>IF(OR(Planos!$A104="",NOT(ISNUMBER(Planos!$G104)),N(Planos!$E104)&lt;=0),0,IF(Planos!$G104&gt;EOMONTH(DATE(crono_ano_ref,7,1),0),0,MAX(0,INT((EOMONTH(DATE(crono_ano_ref,7,1),0)-IF(Planos!$G104&gt;=DATE(crono_ano_ref,7,1),Planos!$G104,Planos!$G104+CEILING((DATE(crono_ano_ref,7,1)-Planos!$G104)/Planos!$E104,1)*Planos!$E104))/Planos!$E104)+1)))</f>
      </c>
      <c r="M106" s="44">
        <f>IF(OR(Planos!$A104="",NOT(ISNUMBER(Planos!$G104)),N(Planos!$E104)&lt;=0),0,IF(Planos!$G104&gt;EOMONTH(DATE(crono_ano_ref,8,1),0),0,MAX(0,INT((EOMONTH(DATE(crono_ano_ref,8,1),0)-IF(Planos!$G104&gt;=DATE(crono_ano_ref,8,1),Planos!$G104,Planos!$G104+CEILING((DATE(crono_ano_ref,8,1)-Planos!$G104)/Planos!$E104,1)*Planos!$E104))/Planos!$E104)+1)))</f>
      </c>
      <c r="N106" s="44">
        <f>IF(OR(Planos!$A104="",NOT(ISNUMBER(Planos!$G104)),N(Planos!$E104)&lt;=0),0,IF(Planos!$G104&gt;EOMONTH(DATE(crono_ano_ref,9,1),0),0,MAX(0,INT((EOMONTH(DATE(crono_ano_ref,9,1),0)-IF(Planos!$G104&gt;=DATE(crono_ano_ref,9,1),Planos!$G104,Planos!$G104+CEILING((DATE(crono_ano_ref,9,1)-Planos!$G104)/Planos!$E104,1)*Planos!$E104))/Planos!$E104)+1)))</f>
      </c>
      <c r="O106" s="44">
        <f>IF(OR(Planos!$A104="",NOT(ISNUMBER(Planos!$G104)),N(Planos!$E104)&lt;=0),0,IF(Planos!$G104&gt;EOMONTH(DATE(crono_ano_ref,10,1),0),0,MAX(0,INT((EOMONTH(DATE(crono_ano_ref,10,1),0)-IF(Planos!$G104&gt;=DATE(crono_ano_ref,10,1),Planos!$G104,Planos!$G104+CEILING((DATE(crono_ano_ref,10,1)-Planos!$G104)/Planos!$E104,1)*Planos!$E104))/Planos!$E104)+1)))</f>
      </c>
      <c r="P106" s="44">
        <f>IF(OR(Planos!$A104="",NOT(ISNUMBER(Planos!$G104)),N(Planos!$E104)&lt;=0),0,IF(Planos!$G104&gt;EOMONTH(DATE(crono_ano_ref,11,1),0),0,MAX(0,INT((EOMONTH(DATE(crono_ano_ref,11,1),0)-IF(Planos!$G104&gt;=DATE(crono_ano_ref,11,1),Planos!$G104,Planos!$G104+CEILING((DATE(crono_ano_ref,11,1)-Planos!$G104)/Planos!$E104,1)*Planos!$E104))/Planos!$E104)+1)))</f>
      </c>
      <c r="Q106" s="44">
        <f>IF(OR(Planos!$A104="",NOT(ISNUMBER(Planos!$G104)),N(Planos!$E104)&lt;=0),0,IF(Planos!$G104&gt;EOMONTH(DATE(crono_ano_ref,12,1),0),0,MAX(0,INT((EOMONTH(DATE(crono_ano_ref,12,1),0)-IF(Planos!$G104&gt;=DATE(crono_ano_ref,12,1),Planos!$G104,Planos!$G104+CEILING((DATE(crono_ano_ref,12,1)-Planos!$G104)/Planos!$E104,1)*Planos!$E104))/Planos!$E104)+1)))</f>
      </c>
      <c r="R106" s="44">
        <f>SUM(F106:Q106)</f>
      </c>
    </row>
    <row r="107" spans="1:18" x14ac:dyDescent="0.25">
      <c r="A107" s="24">
        <f>IF(Planos!$A105="","",Planos!A105&amp;"")</f>
      </c>
      <c r="B107" s="41">
        <f>IF(Planos!$A105="","",Planos!B105&amp;"")</f>
      </c>
      <c r="C107" s="24">
        <f>IF(Planos!$A105="","",Planos!C105&amp;"")</f>
      </c>
      <c r="D107" s="42">
        <f>IF(Planos!$A105="","",N(Planos!E105))</f>
      </c>
      <c r="E107" s="43">
        <f>IF(Planos!$A105="","",N(Planos!K105))</f>
      </c>
      <c r="F107" s="44">
        <f>IF(OR(Planos!$A105="",NOT(ISNUMBER(Planos!$G105)),N(Planos!$E105)&lt;=0),0,IF(Planos!$G105&gt;EOMONTH(DATE(crono_ano_ref,1,1),0),0,MAX(0,INT((EOMONTH(DATE(crono_ano_ref,1,1),0)-IF(Planos!$G105&gt;=DATE(crono_ano_ref,1,1),Planos!$G105,Planos!$G105+CEILING((DATE(crono_ano_ref,1,1)-Planos!$G105)/Planos!$E105,1)*Planos!$E105))/Planos!$E105)+1)))</f>
      </c>
      <c r="G107" s="44">
        <f>IF(OR(Planos!$A105="",NOT(ISNUMBER(Planos!$G105)),N(Planos!$E105)&lt;=0),0,IF(Planos!$G105&gt;EOMONTH(DATE(crono_ano_ref,2,1),0),0,MAX(0,INT((EOMONTH(DATE(crono_ano_ref,2,1),0)-IF(Planos!$G105&gt;=DATE(crono_ano_ref,2,1),Planos!$G105,Planos!$G105+CEILING((DATE(crono_ano_ref,2,1)-Planos!$G105)/Planos!$E105,1)*Planos!$E105))/Planos!$E105)+1)))</f>
      </c>
      <c r="H107" s="44">
        <f>IF(OR(Planos!$A105="",NOT(ISNUMBER(Planos!$G105)),N(Planos!$E105)&lt;=0),0,IF(Planos!$G105&gt;EOMONTH(DATE(crono_ano_ref,3,1),0),0,MAX(0,INT((EOMONTH(DATE(crono_ano_ref,3,1),0)-IF(Planos!$G105&gt;=DATE(crono_ano_ref,3,1),Planos!$G105,Planos!$G105+CEILING((DATE(crono_ano_ref,3,1)-Planos!$G105)/Planos!$E105,1)*Planos!$E105))/Planos!$E105)+1)))</f>
      </c>
      <c r="I107" s="44">
        <f>IF(OR(Planos!$A105="",NOT(ISNUMBER(Planos!$G105)),N(Planos!$E105)&lt;=0),0,IF(Planos!$G105&gt;EOMONTH(DATE(crono_ano_ref,4,1),0),0,MAX(0,INT((EOMONTH(DATE(crono_ano_ref,4,1),0)-IF(Planos!$G105&gt;=DATE(crono_ano_ref,4,1),Planos!$G105,Planos!$G105+CEILING((DATE(crono_ano_ref,4,1)-Planos!$G105)/Planos!$E105,1)*Planos!$E105))/Planos!$E105)+1)))</f>
      </c>
      <c r="J107" s="44">
        <f>IF(OR(Planos!$A105="",NOT(ISNUMBER(Planos!$G105)),N(Planos!$E105)&lt;=0),0,IF(Planos!$G105&gt;EOMONTH(DATE(crono_ano_ref,5,1),0),0,MAX(0,INT((EOMONTH(DATE(crono_ano_ref,5,1),0)-IF(Planos!$G105&gt;=DATE(crono_ano_ref,5,1),Planos!$G105,Planos!$G105+CEILING((DATE(crono_ano_ref,5,1)-Planos!$G105)/Planos!$E105,1)*Planos!$E105))/Planos!$E105)+1)))</f>
      </c>
      <c r="K107" s="44">
        <f>IF(OR(Planos!$A105="",NOT(ISNUMBER(Planos!$G105)),N(Planos!$E105)&lt;=0),0,IF(Planos!$G105&gt;EOMONTH(DATE(crono_ano_ref,6,1),0),0,MAX(0,INT((EOMONTH(DATE(crono_ano_ref,6,1),0)-IF(Planos!$G105&gt;=DATE(crono_ano_ref,6,1),Planos!$G105,Planos!$G105+CEILING((DATE(crono_ano_ref,6,1)-Planos!$G105)/Planos!$E105,1)*Planos!$E105))/Planos!$E105)+1)))</f>
      </c>
      <c r="L107" s="44">
        <f>IF(OR(Planos!$A105="",NOT(ISNUMBER(Planos!$G105)),N(Planos!$E105)&lt;=0),0,IF(Planos!$G105&gt;EOMONTH(DATE(crono_ano_ref,7,1),0),0,MAX(0,INT((EOMONTH(DATE(crono_ano_ref,7,1),0)-IF(Planos!$G105&gt;=DATE(crono_ano_ref,7,1),Planos!$G105,Planos!$G105+CEILING((DATE(crono_ano_ref,7,1)-Planos!$G105)/Planos!$E105,1)*Planos!$E105))/Planos!$E105)+1)))</f>
      </c>
      <c r="M107" s="44">
        <f>IF(OR(Planos!$A105="",NOT(ISNUMBER(Planos!$G105)),N(Planos!$E105)&lt;=0),0,IF(Planos!$G105&gt;EOMONTH(DATE(crono_ano_ref,8,1),0),0,MAX(0,INT((EOMONTH(DATE(crono_ano_ref,8,1),0)-IF(Planos!$G105&gt;=DATE(crono_ano_ref,8,1),Planos!$G105,Planos!$G105+CEILING((DATE(crono_ano_ref,8,1)-Planos!$G105)/Planos!$E105,1)*Planos!$E105))/Planos!$E105)+1)))</f>
      </c>
      <c r="N107" s="44">
        <f>IF(OR(Planos!$A105="",NOT(ISNUMBER(Planos!$G105)),N(Planos!$E105)&lt;=0),0,IF(Planos!$G105&gt;EOMONTH(DATE(crono_ano_ref,9,1),0),0,MAX(0,INT((EOMONTH(DATE(crono_ano_ref,9,1),0)-IF(Planos!$G105&gt;=DATE(crono_ano_ref,9,1),Planos!$G105,Planos!$G105+CEILING((DATE(crono_ano_ref,9,1)-Planos!$G105)/Planos!$E105,1)*Planos!$E105))/Planos!$E105)+1)))</f>
      </c>
      <c r="O107" s="44">
        <f>IF(OR(Planos!$A105="",NOT(ISNUMBER(Planos!$G105)),N(Planos!$E105)&lt;=0),0,IF(Planos!$G105&gt;EOMONTH(DATE(crono_ano_ref,10,1),0),0,MAX(0,INT((EOMONTH(DATE(crono_ano_ref,10,1),0)-IF(Planos!$G105&gt;=DATE(crono_ano_ref,10,1),Planos!$G105,Planos!$G105+CEILING((DATE(crono_ano_ref,10,1)-Planos!$G105)/Planos!$E105,1)*Planos!$E105))/Planos!$E105)+1)))</f>
      </c>
      <c r="P107" s="44">
        <f>IF(OR(Planos!$A105="",NOT(ISNUMBER(Planos!$G105)),N(Planos!$E105)&lt;=0),0,IF(Planos!$G105&gt;EOMONTH(DATE(crono_ano_ref,11,1),0),0,MAX(0,INT((EOMONTH(DATE(crono_ano_ref,11,1),0)-IF(Planos!$G105&gt;=DATE(crono_ano_ref,11,1),Planos!$G105,Planos!$G105+CEILING((DATE(crono_ano_ref,11,1)-Planos!$G105)/Planos!$E105,1)*Planos!$E105))/Planos!$E105)+1)))</f>
      </c>
      <c r="Q107" s="44">
        <f>IF(OR(Planos!$A105="",NOT(ISNUMBER(Planos!$G105)),N(Planos!$E105)&lt;=0),0,IF(Planos!$G105&gt;EOMONTH(DATE(crono_ano_ref,12,1),0),0,MAX(0,INT((EOMONTH(DATE(crono_ano_ref,12,1),0)-IF(Planos!$G105&gt;=DATE(crono_ano_ref,12,1),Planos!$G105,Planos!$G105+CEILING((DATE(crono_ano_ref,12,1)-Planos!$G105)/Planos!$E105,1)*Planos!$E105))/Planos!$E105)+1)))</f>
      </c>
      <c r="R107" s="44">
        <f>SUM(F107:Q107)</f>
      </c>
    </row>
    <row r="108" spans="1:18" x14ac:dyDescent="0.25">
      <c r="A108" s="24">
        <f>IF(Planos!$A106="","",Planos!A106&amp;"")</f>
      </c>
      <c r="B108" s="41">
        <f>IF(Planos!$A106="","",Planos!B106&amp;"")</f>
      </c>
      <c r="C108" s="24">
        <f>IF(Planos!$A106="","",Planos!C106&amp;"")</f>
      </c>
      <c r="D108" s="42">
        <f>IF(Planos!$A106="","",N(Planos!E106))</f>
      </c>
      <c r="E108" s="43">
        <f>IF(Planos!$A106="","",N(Planos!K106))</f>
      </c>
      <c r="F108" s="44">
        <f>IF(OR(Planos!$A106="",NOT(ISNUMBER(Planos!$G106)),N(Planos!$E106)&lt;=0),0,IF(Planos!$G106&gt;EOMONTH(DATE(crono_ano_ref,1,1),0),0,MAX(0,INT((EOMONTH(DATE(crono_ano_ref,1,1),0)-IF(Planos!$G106&gt;=DATE(crono_ano_ref,1,1),Planos!$G106,Planos!$G106+CEILING((DATE(crono_ano_ref,1,1)-Planos!$G106)/Planos!$E106,1)*Planos!$E106))/Planos!$E106)+1)))</f>
      </c>
      <c r="G108" s="44">
        <f>IF(OR(Planos!$A106="",NOT(ISNUMBER(Planos!$G106)),N(Planos!$E106)&lt;=0),0,IF(Planos!$G106&gt;EOMONTH(DATE(crono_ano_ref,2,1),0),0,MAX(0,INT((EOMONTH(DATE(crono_ano_ref,2,1),0)-IF(Planos!$G106&gt;=DATE(crono_ano_ref,2,1),Planos!$G106,Planos!$G106+CEILING((DATE(crono_ano_ref,2,1)-Planos!$G106)/Planos!$E106,1)*Planos!$E106))/Planos!$E106)+1)))</f>
      </c>
      <c r="H108" s="44">
        <f>IF(OR(Planos!$A106="",NOT(ISNUMBER(Planos!$G106)),N(Planos!$E106)&lt;=0),0,IF(Planos!$G106&gt;EOMONTH(DATE(crono_ano_ref,3,1),0),0,MAX(0,INT((EOMONTH(DATE(crono_ano_ref,3,1),0)-IF(Planos!$G106&gt;=DATE(crono_ano_ref,3,1),Planos!$G106,Planos!$G106+CEILING((DATE(crono_ano_ref,3,1)-Planos!$G106)/Planos!$E106,1)*Planos!$E106))/Planos!$E106)+1)))</f>
      </c>
      <c r="I108" s="44">
        <f>IF(OR(Planos!$A106="",NOT(ISNUMBER(Planos!$G106)),N(Planos!$E106)&lt;=0),0,IF(Planos!$G106&gt;EOMONTH(DATE(crono_ano_ref,4,1),0),0,MAX(0,INT((EOMONTH(DATE(crono_ano_ref,4,1),0)-IF(Planos!$G106&gt;=DATE(crono_ano_ref,4,1),Planos!$G106,Planos!$G106+CEILING((DATE(crono_ano_ref,4,1)-Planos!$G106)/Planos!$E106,1)*Planos!$E106))/Planos!$E106)+1)))</f>
      </c>
      <c r="J108" s="44">
        <f>IF(OR(Planos!$A106="",NOT(ISNUMBER(Planos!$G106)),N(Planos!$E106)&lt;=0),0,IF(Planos!$G106&gt;EOMONTH(DATE(crono_ano_ref,5,1),0),0,MAX(0,INT((EOMONTH(DATE(crono_ano_ref,5,1),0)-IF(Planos!$G106&gt;=DATE(crono_ano_ref,5,1),Planos!$G106,Planos!$G106+CEILING((DATE(crono_ano_ref,5,1)-Planos!$G106)/Planos!$E106,1)*Planos!$E106))/Planos!$E106)+1)))</f>
      </c>
      <c r="K108" s="44">
        <f>IF(OR(Planos!$A106="",NOT(ISNUMBER(Planos!$G106)),N(Planos!$E106)&lt;=0),0,IF(Planos!$G106&gt;EOMONTH(DATE(crono_ano_ref,6,1),0),0,MAX(0,INT((EOMONTH(DATE(crono_ano_ref,6,1),0)-IF(Planos!$G106&gt;=DATE(crono_ano_ref,6,1),Planos!$G106,Planos!$G106+CEILING((DATE(crono_ano_ref,6,1)-Planos!$G106)/Planos!$E106,1)*Planos!$E106))/Planos!$E106)+1)))</f>
      </c>
      <c r="L108" s="44">
        <f>IF(OR(Planos!$A106="",NOT(ISNUMBER(Planos!$G106)),N(Planos!$E106)&lt;=0),0,IF(Planos!$G106&gt;EOMONTH(DATE(crono_ano_ref,7,1),0),0,MAX(0,INT((EOMONTH(DATE(crono_ano_ref,7,1),0)-IF(Planos!$G106&gt;=DATE(crono_ano_ref,7,1),Planos!$G106,Planos!$G106+CEILING((DATE(crono_ano_ref,7,1)-Planos!$G106)/Planos!$E106,1)*Planos!$E106))/Planos!$E106)+1)))</f>
      </c>
      <c r="M108" s="44">
        <f>IF(OR(Planos!$A106="",NOT(ISNUMBER(Planos!$G106)),N(Planos!$E106)&lt;=0),0,IF(Planos!$G106&gt;EOMONTH(DATE(crono_ano_ref,8,1),0),0,MAX(0,INT((EOMONTH(DATE(crono_ano_ref,8,1),0)-IF(Planos!$G106&gt;=DATE(crono_ano_ref,8,1),Planos!$G106,Planos!$G106+CEILING((DATE(crono_ano_ref,8,1)-Planos!$G106)/Planos!$E106,1)*Planos!$E106))/Planos!$E106)+1)))</f>
      </c>
      <c r="N108" s="44">
        <f>IF(OR(Planos!$A106="",NOT(ISNUMBER(Planos!$G106)),N(Planos!$E106)&lt;=0),0,IF(Planos!$G106&gt;EOMONTH(DATE(crono_ano_ref,9,1),0),0,MAX(0,INT((EOMONTH(DATE(crono_ano_ref,9,1),0)-IF(Planos!$G106&gt;=DATE(crono_ano_ref,9,1),Planos!$G106,Planos!$G106+CEILING((DATE(crono_ano_ref,9,1)-Planos!$G106)/Planos!$E106,1)*Planos!$E106))/Planos!$E106)+1)))</f>
      </c>
      <c r="O108" s="44">
        <f>IF(OR(Planos!$A106="",NOT(ISNUMBER(Planos!$G106)),N(Planos!$E106)&lt;=0),0,IF(Planos!$G106&gt;EOMONTH(DATE(crono_ano_ref,10,1),0),0,MAX(0,INT((EOMONTH(DATE(crono_ano_ref,10,1),0)-IF(Planos!$G106&gt;=DATE(crono_ano_ref,10,1),Planos!$G106,Planos!$G106+CEILING((DATE(crono_ano_ref,10,1)-Planos!$G106)/Planos!$E106,1)*Planos!$E106))/Planos!$E106)+1)))</f>
      </c>
      <c r="P108" s="44">
        <f>IF(OR(Planos!$A106="",NOT(ISNUMBER(Planos!$G106)),N(Planos!$E106)&lt;=0),0,IF(Planos!$G106&gt;EOMONTH(DATE(crono_ano_ref,11,1),0),0,MAX(0,INT((EOMONTH(DATE(crono_ano_ref,11,1),0)-IF(Planos!$G106&gt;=DATE(crono_ano_ref,11,1),Planos!$G106,Planos!$G106+CEILING((DATE(crono_ano_ref,11,1)-Planos!$G106)/Planos!$E106,1)*Planos!$E106))/Planos!$E106)+1)))</f>
      </c>
      <c r="Q108" s="44">
        <f>IF(OR(Planos!$A106="",NOT(ISNUMBER(Planos!$G106)),N(Planos!$E106)&lt;=0),0,IF(Planos!$G106&gt;EOMONTH(DATE(crono_ano_ref,12,1),0),0,MAX(0,INT((EOMONTH(DATE(crono_ano_ref,12,1),0)-IF(Planos!$G106&gt;=DATE(crono_ano_ref,12,1),Planos!$G106,Planos!$G106+CEILING((DATE(crono_ano_ref,12,1)-Planos!$G106)/Planos!$E106,1)*Planos!$E106))/Planos!$E106)+1)))</f>
      </c>
      <c r="R108" s="44">
        <f>SUM(F108:Q108)</f>
      </c>
    </row>
    <row r="109" spans="1:18" x14ac:dyDescent="0.25">
      <c r="A109" s="24">
        <f>IF(Planos!$A107="","",Planos!A107&amp;"")</f>
      </c>
      <c r="B109" s="41">
        <f>IF(Planos!$A107="","",Planos!B107&amp;"")</f>
      </c>
      <c r="C109" s="24">
        <f>IF(Planos!$A107="","",Planos!C107&amp;"")</f>
      </c>
      <c r="D109" s="42">
        <f>IF(Planos!$A107="","",N(Planos!E107))</f>
      </c>
      <c r="E109" s="43">
        <f>IF(Planos!$A107="","",N(Planos!K107))</f>
      </c>
      <c r="F109" s="44">
        <f>IF(OR(Planos!$A107="",NOT(ISNUMBER(Planos!$G107)),N(Planos!$E107)&lt;=0),0,IF(Planos!$G107&gt;EOMONTH(DATE(crono_ano_ref,1,1),0),0,MAX(0,INT((EOMONTH(DATE(crono_ano_ref,1,1),0)-IF(Planos!$G107&gt;=DATE(crono_ano_ref,1,1),Planos!$G107,Planos!$G107+CEILING((DATE(crono_ano_ref,1,1)-Planos!$G107)/Planos!$E107,1)*Planos!$E107))/Planos!$E107)+1)))</f>
      </c>
      <c r="G109" s="44">
        <f>IF(OR(Planos!$A107="",NOT(ISNUMBER(Planos!$G107)),N(Planos!$E107)&lt;=0),0,IF(Planos!$G107&gt;EOMONTH(DATE(crono_ano_ref,2,1),0),0,MAX(0,INT((EOMONTH(DATE(crono_ano_ref,2,1),0)-IF(Planos!$G107&gt;=DATE(crono_ano_ref,2,1),Planos!$G107,Planos!$G107+CEILING((DATE(crono_ano_ref,2,1)-Planos!$G107)/Planos!$E107,1)*Planos!$E107))/Planos!$E107)+1)))</f>
      </c>
      <c r="H109" s="44">
        <f>IF(OR(Planos!$A107="",NOT(ISNUMBER(Planos!$G107)),N(Planos!$E107)&lt;=0),0,IF(Planos!$G107&gt;EOMONTH(DATE(crono_ano_ref,3,1),0),0,MAX(0,INT((EOMONTH(DATE(crono_ano_ref,3,1),0)-IF(Planos!$G107&gt;=DATE(crono_ano_ref,3,1),Planos!$G107,Planos!$G107+CEILING((DATE(crono_ano_ref,3,1)-Planos!$G107)/Planos!$E107,1)*Planos!$E107))/Planos!$E107)+1)))</f>
      </c>
      <c r="I109" s="44">
        <f>IF(OR(Planos!$A107="",NOT(ISNUMBER(Planos!$G107)),N(Planos!$E107)&lt;=0),0,IF(Planos!$G107&gt;EOMONTH(DATE(crono_ano_ref,4,1),0),0,MAX(0,INT((EOMONTH(DATE(crono_ano_ref,4,1),0)-IF(Planos!$G107&gt;=DATE(crono_ano_ref,4,1),Planos!$G107,Planos!$G107+CEILING((DATE(crono_ano_ref,4,1)-Planos!$G107)/Planos!$E107,1)*Planos!$E107))/Planos!$E107)+1)))</f>
      </c>
      <c r="J109" s="44">
        <f>IF(OR(Planos!$A107="",NOT(ISNUMBER(Planos!$G107)),N(Planos!$E107)&lt;=0),0,IF(Planos!$G107&gt;EOMONTH(DATE(crono_ano_ref,5,1),0),0,MAX(0,INT((EOMONTH(DATE(crono_ano_ref,5,1),0)-IF(Planos!$G107&gt;=DATE(crono_ano_ref,5,1),Planos!$G107,Planos!$G107+CEILING((DATE(crono_ano_ref,5,1)-Planos!$G107)/Planos!$E107,1)*Planos!$E107))/Planos!$E107)+1)))</f>
      </c>
      <c r="K109" s="44">
        <f>IF(OR(Planos!$A107="",NOT(ISNUMBER(Planos!$G107)),N(Planos!$E107)&lt;=0),0,IF(Planos!$G107&gt;EOMONTH(DATE(crono_ano_ref,6,1),0),0,MAX(0,INT((EOMONTH(DATE(crono_ano_ref,6,1),0)-IF(Planos!$G107&gt;=DATE(crono_ano_ref,6,1),Planos!$G107,Planos!$G107+CEILING((DATE(crono_ano_ref,6,1)-Planos!$G107)/Planos!$E107,1)*Planos!$E107))/Planos!$E107)+1)))</f>
      </c>
      <c r="L109" s="44">
        <f>IF(OR(Planos!$A107="",NOT(ISNUMBER(Planos!$G107)),N(Planos!$E107)&lt;=0),0,IF(Planos!$G107&gt;EOMONTH(DATE(crono_ano_ref,7,1),0),0,MAX(0,INT((EOMONTH(DATE(crono_ano_ref,7,1),0)-IF(Planos!$G107&gt;=DATE(crono_ano_ref,7,1),Planos!$G107,Planos!$G107+CEILING((DATE(crono_ano_ref,7,1)-Planos!$G107)/Planos!$E107,1)*Planos!$E107))/Planos!$E107)+1)))</f>
      </c>
      <c r="M109" s="44">
        <f>IF(OR(Planos!$A107="",NOT(ISNUMBER(Planos!$G107)),N(Planos!$E107)&lt;=0),0,IF(Planos!$G107&gt;EOMONTH(DATE(crono_ano_ref,8,1),0),0,MAX(0,INT((EOMONTH(DATE(crono_ano_ref,8,1),0)-IF(Planos!$G107&gt;=DATE(crono_ano_ref,8,1),Planos!$G107,Planos!$G107+CEILING((DATE(crono_ano_ref,8,1)-Planos!$G107)/Planos!$E107,1)*Planos!$E107))/Planos!$E107)+1)))</f>
      </c>
      <c r="N109" s="44">
        <f>IF(OR(Planos!$A107="",NOT(ISNUMBER(Planos!$G107)),N(Planos!$E107)&lt;=0),0,IF(Planos!$G107&gt;EOMONTH(DATE(crono_ano_ref,9,1),0),0,MAX(0,INT((EOMONTH(DATE(crono_ano_ref,9,1),0)-IF(Planos!$G107&gt;=DATE(crono_ano_ref,9,1),Planos!$G107,Planos!$G107+CEILING((DATE(crono_ano_ref,9,1)-Planos!$G107)/Planos!$E107,1)*Planos!$E107))/Planos!$E107)+1)))</f>
      </c>
      <c r="O109" s="44">
        <f>IF(OR(Planos!$A107="",NOT(ISNUMBER(Planos!$G107)),N(Planos!$E107)&lt;=0),0,IF(Planos!$G107&gt;EOMONTH(DATE(crono_ano_ref,10,1),0),0,MAX(0,INT((EOMONTH(DATE(crono_ano_ref,10,1),0)-IF(Planos!$G107&gt;=DATE(crono_ano_ref,10,1),Planos!$G107,Planos!$G107+CEILING((DATE(crono_ano_ref,10,1)-Planos!$G107)/Planos!$E107,1)*Planos!$E107))/Planos!$E107)+1)))</f>
      </c>
      <c r="P109" s="44">
        <f>IF(OR(Planos!$A107="",NOT(ISNUMBER(Planos!$G107)),N(Planos!$E107)&lt;=0),0,IF(Planos!$G107&gt;EOMONTH(DATE(crono_ano_ref,11,1),0),0,MAX(0,INT((EOMONTH(DATE(crono_ano_ref,11,1),0)-IF(Planos!$G107&gt;=DATE(crono_ano_ref,11,1),Planos!$G107,Planos!$G107+CEILING((DATE(crono_ano_ref,11,1)-Planos!$G107)/Planos!$E107,1)*Planos!$E107))/Planos!$E107)+1)))</f>
      </c>
      <c r="Q109" s="44">
        <f>IF(OR(Planos!$A107="",NOT(ISNUMBER(Planos!$G107)),N(Planos!$E107)&lt;=0),0,IF(Planos!$G107&gt;EOMONTH(DATE(crono_ano_ref,12,1),0),0,MAX(0,INT((EOMONTH(DATE(crono_ano_ref,12,1),0)-IF(Planos!$G107&gt;=DATE(crono_ano_ref,12,1),Planos!$G107,Planos!$G107+CEILING((DATE(crono_ano_ref,12,1)-Planos!$G107)/Planos!$E107,1)*Planos!$E107))/Planos!$E107)+1)))</f>
      </c>
      <c r="R109" s="44">
        <f>SUM(F109:Q109)</f>
      </c>
    </row>
    <row r="110" spans="1:18" x14ac:dyDescent="0.25">
      <c r="A110" s="24">
        <f>IF(Planos!$A108="","",Planos!A108&amp;"")</f>
      </c>
      <c r="B110" s="41">
        <f>IF(Planos!$A108="","",Planos!B108&amp;"")</f>
      </c>
      <c r="C110" s="24">
        <f>IF(Planos!$A108="","",Planos!C108&amp;"")</f>
      </c>
      <c r="D110" s="42">
        <f>IF(Planos!$A108="","",N(Planos!E108))</f>
      </c>
      <c r="E110" s="43">
        <f>IF(Planos!$A108="","",N(Planos!K108))</f>
      </c>
      <c r="F110" s="44">
        <f>IF(OR(Planos!$A108="",NOT(ISNUMBER(Planos!$G108)),N(Planos!$E108)&lt;=0),0,IF(Planos!$G108&gt;EOMONTH(DATE(crono_ano_ref,1,1),0),0,MAX(0,INT((EOMONTH(DATE(crono_ano_ref,1,1),0)-IF(Planos!$G108&gt;=DATE(crono_ano_ref,1,1),Planos!$G108,Planos!$G108+CEILING((DATE(crono_ano_ref,1,1)-Planos!$G108)/Planos!$E108,1)*Planos!$E108))/Planos!$E108)+1)))</f>
      </c>
      <c r="G110" s="44">
        <f>IF(OR(Planos!$A108="",NOT(ISNUMBER(Planos!$G108)),N(Planos!$E108)&lt;=0),0,IF(Planos!$G108&gt;EOMONTH(DATE(crono_ano_ref,2,1),0),0,MAX(0,INT((EOMONTH(DATE(crono_ano_ref,2,1),0)-IF(Planos!$G108&gt;=DATE(crono_ano_ref,2,1),Planos!$G108,Planos!$G108+CEILING((DATE(crono_ano_ref,2,1)-Planos!$G108)/Planos!$E108,1)*Planos!$E108))/Planos!$E108)+1)))</f>
      </c>
      <c r="H110" s="44">
        <f>IF(OR(Planos!$A108="",NOT(ISNUMBER(Planos!$G108)),N(Planos!$E108)&lt;=0),0,IF(Planos!$G108&gt;EOMONTH(DATE(crono_ano_ref,3,1),0),0,MAX(0,INT((EOMONTH(DATE(crono_ano_ref,3,1),0)-IF(Planos!$G108&gt;=DATE(crono_ano_ref,3,1),Planos!$G108,Planos!$G108+CEILING((DATE(crono_ano_ref,3,1)-Planos!$G108)/Planos!$E108,1)*Planos!$E108))/Planos!$E108)+1)))</f>
      </c>
      <c r="I110" s="44">
        <f>IF(OR(Planos!$A108="",NOT(ISNUMBER(Planos!$G108)),N(Planos!$E108)&lt;=0),0,IF(Planos!$G108&gt;EOMONTH(DATE(crono_ano_ref,4,1),0),0,MAX(0,INT((EOMONTH(DATE(crono_ano_ref,4,1),0)-IF(Planos!$G108&gt;=DATE(crono_ano_ref,4,1),Planos!$G108,Planos!$G108+CEILING((DATE(crono_ano_ref,4,1)-Planos!$G108)/Planos!$E108,1)*Planos!$E108))/Planos!$E108)+1)))</f>
      </c>
      <c r="J110" s="44">
        <f>IF(OR(Planos!$A108="",NOT(ISNUMBER(Planos!$G108)),N(Planos!$E108)&lt;=0),0,IF(Planos!$G108&gt;EOMONTH(DATE(crono_ano_ref,5,1),0),0,MAX(0,INT((EOMONTH(DATE(crono_ano_ref,5,1),0)-IF(Planos!$G108&gt;=DATE(crono_ano_ref,5,1),Planos!$G108,Planos!$G108+CEILING((DATE(crono_ano_ref,5,1)-Planos!$G108)/Planos!$E108,1)*Planos!$E108))/Planos!$E108)+1)))</f>
      </c>
      <c r="K110" s="44">
        <f>IF(OR(Planos!$A108="",NOT(ISNUMBER(Planos!$G108)),N(Planos!$E108)&lt;=0),0,IF(Planos!$G108&gt;EOMONTH(DATE(crono_ano_ref,6,1),0),0,MAX(0,INT((EOMONTH(DATE(crono_ano_ref,6,1),0)-IF(Planos!$G108&gt;=DATE(crono_ano_ref,6,1),Planos!$G108,Planos!$G108+CEILING((DATE(crono_ano_ref,6,1)-Planos!$G108)/Planos!$E108,1)*Planos!$E108))/Planos!$E108)+1)))</f>
      </c>
      <c r="L110" s="44">
        <f>IF(OR(Planos!$A108="",NOT(ISNUMBER(Planos!$G108)),N(Planos!$E108)&lt;=0),0,IF(Planos!$G108&gt;EOMONTH(DATE(crono_ano_ref,7,1),0),0,MAX(0,INT((EOMONTH(DATE(crono_ano_ref,7,1),0)-IF(Planos!$G108&gt;=DATE(crono_ano_ref,7,1),Planos!$G108,Planos!$G108+CEILING((DATE(crono_ano_ref,7,1)-Planos!$G108)/Planos!$E108,1)*Planos!$E108))/Planos!$E108)+1)))</f>
      </c>
      <c r="M110" s="44">
        <f>IF(OR(Planos!$A108="",NOT(ISNUMBER(Planos!$G108)),N(Planos!$E108)&lt;=0),0,IF(Planos!$G108&gt;EOMONTH(DATE(crono_ano_ref,8,1),0),0,MAX(0,INT((EOMONTH(DATE(crono_ano_ref,8,1),0)-IF(Planos!$G108&gt;=DATE(crono_ano_ref,8,1),Planos!$G108,Planos!$G108+CEILING((DATE(crono_ano_ref,8,1)-Planos!$G108)/Planos!$E108,1)*Planos!$E108))/Planos!$E108)+1)))</f>
      </c>
      <c r="N110" s="44">
        <f>IF(OR(Planos!$A108="",NOT(ISNUMBER(Planos!$G108)),N(Planos!$E108)&lt;=0),0,IF(Planos!$G108&gt;EOMONTH(DATE(crono_ano_ref,9,1),0),0,MAX(0,INT((EOMONTH(DATE(crono_ano_ref,9,1),0)-IF(Planos!$G108&gt;=DATE(crono_ano_ref,9,1),Planos!$G108,Planos!$G108+CEILING((DATE(crono_ano_ref,9,1)-Planos!$G108)/Planos!$E108,1)*Planos!$E108))/Planos!$E108)+1)))</f>
      </c>
      <c r="O110" s="44">
        <f>IF(OR(Planos!$A108="",NOT(ISNUMBER(Planos!$G108)),N(Planos!$E108)&lt;=0),0,IF(Planos!$G108&gt;EOMONTH(DATE(crono_ano_ref,10,1),0),0,MAX(0,INT((EOMONTH(DATE(crono_ano_ref,10,1),0)-IF(Planos!$G108&gt;=DATE(crono_ano_ref,10,1),Planos!$G108,Planos!$G108+CEILING((DATE(crono_ano_ref,10,1)-Planos!$G108)/Planos!$E108,1)*Planos!$E108))/Planos!$E108)+1)))</f>
      </c>
      <c r="P110" s="44">
        <f>IF(OR(Planos!$A108="",NOT(ISNUMBER(Planos!$G108)),N(Planos!$E108)&lt;=0),0,IF(Planos!$G108&gt;EOMONTH(DATE(crono_ano_ref,11,1),0),0,MAX(0,INT((EOMONTH(DATE(crono_ano_ref,11,1),0)-IF(Planos!$G108&gt;=DATE(crono_ano_ref,11,1),Planos!$G108,Planos!$G108+CEILING((DATE(crono_ano_ref,11,1)-Planos!$G108)/Planos!$E108,1)*Planos!$E108))/Planos!$E108)+1)))</f>
      </c>
      <c r="Q110" s="44">
        <f>IF(OR(Planos!$A108="",NOT(ISNUMBER(Planos!$G108)),N(Planos!$E108)&lt;=0),0,IF(Planos!$G108&gt;EOMONTH(DATE(crono_ano_ref,12,1),0),0,MAX(0,INT((EOMONTH(DATE(crono_ano_ref,12,1),0)-IF(Planos!$G108&gt;=DATE(crono_ano_ref,12,1),Planos!$G108,Planos!$G108+CEILING((DATE(crono_ano_ref,12,1)-Planos!$G108)/Planos!$E108,1)*Planos!$E108))/Planos!$E108)+1)))</f>
      </c>
      <c r="R110" s="44">
        <f>SUM(F110:Q110)</f>
      </c>
    </row>
    <row r="111" spans="1:18" x14ac:dyDescent="0.25">
      <c r="A111" s="24">
        <f>IF(Planos!$A109="","",Planos!A109&amp;"")</f>
      </c>
      <c r="B111" s="41">
        <f>IF(Planos!$A109="","",Planos!B109&amp;"")</f>
      </c>
      <c r="C111" s="24">
        <f>IF(Planos!$A109="","",Planos!C109&amp;"")</f>
      </c>
      <c r="D111" s="42">
        <f>IF(Planos!$A109="","",N(Planos!E109))</f>
      </c>
      <c r="E111" s="43">
        <f>IF(Planos!$A109="","",N(Planos!K109))</f>
      </c>
      <c r="F111" s="44">
        <f>IF(OR(Planos!$A109="",NOT(ISNUMBER(Planos!$G109)),N(Planos!$E109)&lt;=0),0,IF(Planos!$G109&gt;EOMONTH(DATE(crono_ano_ref,1,1),0),0,MAX(0,INT((EOMONTH(DATE(crono_ano_ref,1,1),0)-IF(Planos!$G109&gt;=DATE(crono_ano_ref,1,1),Planos!$G109,Planos!$G109+CEILING((DATE(crono_ano_ref,1,1)-Planos!$G109)/Planos!$E109,1)*Planos!$E109))/Planos!$E109)+1)))</f>
      </c>
      <c r="G111" s="44">
        <f>IF(OR(Planos!$A109="",NOT(ISNUMBER(Planos!$G109)),N(Planos!$E109)&lt;=0),0,IF(Planos!$G109&gt;EOMONTH(DATE(crono_ano_ref,2,1),0),0,MAX(0,INT((EOMONTH(DATE(crono_ano_ref,2,1),0)-IF(Planos!$G109&gt;=DATE(crono_ano_ref,2,1),Planos!$G109,Planos!$G109+CEILING((DATE(crono_ano_ref,2,1)-Planos!$G109)/Planos!$E109,1)*Planos!$E109))/Planos!$E109)+1)))</f>
      </c>
      <c r="H111" s="44">
        <f>IF(OR(Planos!$A109="",NOT(ISNUMBER(Planos!$G109)),N(Planos!$E109)&lt;=0),0,IF(Planos!$G109&gt;EOMONTH(DATE(crono_ano_ref,3,1),0),0,MAX(0,INT((EOMONTH(DATE(crono_ano_ref,3,1),0)-IF(Planos!$G109&gt;=DATE(crono_ano_ref,3,1),Planos!$G109,Planos!$G109+CEILING((DATE(crono_ano_ref,3,1)-Planos!$G109)/Planos!$E109,1)*Planos!$E109))/Planos!$E109)+1)))</f>
      </c>
      <c r="I111" s="44">
        <f>IF(OR(Planos!$A109="",NOT(ISNUMBER(Planos!$G109)),N(Planos!$E109)&lt;=0),0,IF(Planos!$G109&gt;EOMONTH(DATE(crono_ano_ref,4,1),0),0,MAX(0,INT((EOMONTH(DATE(crono_ano_ref,4,1),0)-IF(Planos!$G109&gt;=DATE(crono_ano_ref,4,1),Planos!$G109,Planos!$G109+CEILING((DATE(crono_ano_ref,4,1)-Planos!$G109)/Planos!$E109,1)*Planos!$E109))/Planos!$E109)+1)))</f>
      </c>
      <c r="J111" s="44">
        <f>IF(OR(Planos!$A109="",NOT(ISNUMBER(Planos!$G109)),N(Planos!$E109)&lt;=0),0,IF(Planos!$G109&gt;EOMONTH(DATE(crono_ano_ref,5,1),0),0,MAX(0,INT((EOMONTH(DATE(crono_ano_ref,5,1),0)-IF(Planos!$G109&gt;=DATE(crono_ano_ref,5,1),Planos!$G109,Planos!$G109+CEILING((DATE(crono_ano_ref,5,1)-Planos!$G109)/Planos!$E109,1)*Planos!$E109))/Planos!$E109)+1)))</f>
      </c>
      <c r="K111" s="44">
        <f>IF(OR(Planos!$A109="",NOT(ISNUMBER(Planos!$G109)),N(Planos!$E109)&lt;=0),0,IF(Planos!$G109&gt;EOMONTH(DATE(crono_ano_ref,6,1),0),0,MAX(0,INT((EOMONTH(DATE(crono_ano_ref,6,1),0)-IF(Planos!$G109&gt;=DATE(crono_ano_ref,6,1),Planos!$G109,Planos!$G109+CEILING((DATE(crono_ano_ref,6,1)-Planos!$G109)/Planos!$E109,1)*Planos!$E109))/Planos!$E109)+1)))</f>
      </c>
      <c r="L111" s="44">
        <f>IF(OR(Planos!$A109="",NOT(ISNUMBER(Planos!$G109)),N(Planos!$E109)&lt;=0),0,IF(Planos!$G109&gt;EOMONTH(DATE(crono_ano_ref,7,1),0),0,MAX(0,INT((EOMONTH(DATE(crono_ano_ref,7,1),0)-IF(Planos!$G109&gt;=DATE(crono_ano_ref,7,1),Planos!$G109,Planos!$G109+CEILING((DATE(crono_ano_ref,7,1)-Planos!$G109)/Planos!$E109,1)*Planos!$E109))/Planos!$E109)+1)))</f>
      </c>
      <c r="M111" s="44">
        <f>IF(OR(Planos!$A109="",NOT(ISNUMBER(Planos!$G109)),N(Planos!$E109)&lt;=0),0,IF(Planos!$G109&gt;EOMONTH(DATE(crono_ano_ref,8,1),0),0,MAX(0,INT((EOMONTH(DATE(crono_ano_ref,8,1),0)-IF(Planos!$G109&gt;=DATE(crono_ano_ref,8,1),Planos!$G109,Planos!$G109+CEILING((DATE(crono_ano_ref,8,1)-Planos!$G109)/Planos!$E109,1)*Planos!$E109))/Planos!$E109)+1)))</f>
      </c>
      <c r="N111" s="44">
        <f>IF(OR(Planos!$A109="",NOT(ISNUMBER(Planos!$G109)),N(Planos!$E109)&lt;=0),0,IF(Planos!$G109&gt;EOMONTH(DATE(crono_ano_ref,9,1),0),0,MAX(0,INT((EOMONTH(DATE(crono_ano_ref,9,1),0)-IF(Planos!$G109&gt;=DATE(crono_ano_ref,9,1),Planos!$G109,Planos!$G109+CEILING((DATE(crono_ano_ref,9,1)-Planos!$G109)/Planos!$E109,1)*Planos!$E109))/Planos!$E109)+1)))</f>
      </c>
      <c r="O111" s="44">
        <f>IF(OR(Planos!$A109="",NOT(ISNUMBER(Planos!$G109)),N(Planos!$E109)&lt;=0),0,IF(Planos!$G109&gt;EOMONTH(DATE(crono_ano_ref,10,1),0),0,MAX(0,INT((EOMONTH(DATE(crono_ano_ref,10,1),0)-IF(Planos!$G109&gt;=DATE(crono_ano_ref,10,1),Planos!$G109,Planos!$G109+CEILING((DATE(crono_ano_ref,10,1)-Planos!$G109)/Planos!$E109,1)*Planos!$E109))/Planos!$E109)+1)))</f>
      </c>
      <c r="P111" s="44">
        <f>IF(OR(Planos!$A109="",NOT(ISNUMBER(Planos!$G109)),N(Planos!$E109)&lt;=0),0,IF(Planos!$G109&gt;EOMONTH(DATE(crono_ano_ref,11,1),0),0,MAX(0,INT((EOMONTH(DATE(crono_ano_ref,11,1),0)-IF(Planos!$G109&gt;=DATE(crono_ano_ref,11,1),Planos!$G109,Planos!$G109+CEILING((DATE(crono_ano_ref,11,1)-Planos!$G109)/Planos!$E109,1)*Planos!$E109))/Planos!$E109)+1)))</f>
      </c>
      <c r="Q111" s="44">
        <f>IF(OR(Planos!$A109="",NOT(ISNUMBER(Planos!$G109)),N(Planos!$E109)&lt;=0),0,IF(Planos!$G109&gt;EOMONTH(DATE(crono_ano_ref,12,1),0),0,MAX(0,INT((EOMONTH(DATE(crono_ano_ref,12,1),0)-IF(Planos!$G109&gt;=DATE(crono_ano_ref,12,1),Planos!$G109,Planos!$G109+CEILING((DATE(crono_ano_ref,12,1)-Planos!$G109)/Planos!$E109,1)*Planos!$E109))/Planos!$E109)+1)))</f>
      </c>
      <c r="R111" s="44">
        <f>SUM(F111:Q111)</f>
      </c>
    </row>
    <row r="112" spans="1:18" x14ac:dyDescent="0.25">
      <c r="A112" s="24">
        <f>IF(Planos!$A110="","",Planos!A110&amp;"")</f>
      </c>
      <c r="B112" s="41">
        <f>IF(Planos!$A110="","",Planos!B110&amp;"")</f>
      </c>
      <c r="C112" s="24">
        <f>IF(Planos!$A110="","",Planos!C110&amp;"")</f>
      </c>
      <c r="D112" s="42">
        <f>IF(Planos!$A110="","",N(Planos!E110))</f>
      </c>
      <c r="E112" s="43">
        <f>IF(Planos!$A110="","",N(Planos!K110))</f>
      </c>
      <c r="F112" s="44">
        <f>IF(OR(Planos!$A110="",NOT(ISNUMBER(Planos!$G110)),N(Planos!$E110)&lt;=0),0,IF(Planos!$G110&gt;EOMONTH(DATE(crono_ano_ref,1,1),0),0,MAX(0,INT((EOMONTH(DATE(crono_ano_ref,1,1),0)-IF(Planos!$G110&gt;=DATE(crono_ano_ref,1,1),Planos!$G110,Planos!$G110+CEILING((DATE(crono_ano_ref,1,1)-Planos!$G110)/Planos!$E110,1)*Planos!$E110))/Planos!$E110)+1)))</f>
      </c>
      <c r="G112" s="44">
        <f>IF(OR(Planos!$A110="",NOT(ISNUMBER(Planos!$G110)),N(Planos!$E110)&lt;=0),0,IF(Planos!$G110&gt;EOMONTH(DATE(crono_ano_ref,2,1),0),0,MAX(0,INT((EOMONTH(DATE(crono_ano_ref,2,1),0)-IF(Planos!$G110&gt;=DATE(crono_ano_ref,2,1),Planos!$G110,Planos!$G110+CEILING((DATE(crono_ano_ref,2,1)-Planos!$G110)/Planos!$E110,1)*Planos!$E110))/Planos!$E110)+1)))</f>
      </c>
      <c r="H112" s="44">
        <f>IF(OR(Planos!$A110="",NOT(ISNUMBER(Planos!$G110)),N(Planos!$E110)&lt;=0),0,IF(Planos!$G110&gt;EOMONTH(DATE(crono_ano_ref,3,1),0),0,MAX(0,INT((EOMONTH(DATE(crono_ano_ref,3,1),0)-IF(Planos!$G110&gt;=DATE(crono_ano_ref,3,1),Planos!$G110,Planos!$G110+CEILING((DATE(crono_ano_ref,3,1)-Planos!$G110)/Planos!$E110,1)*Planos!$E110))/Planos!$E110)+1)))</f>
      </c>
      <c r="I112" s="44">
        <f>IF(OR(Planos!$A110="",NOT(ISNUMBER(Planos!$G110)),N(Planos!$E110)&lt;=0),0,IF(Planos!$G110&gt;EOMONTH(DATE(crono_ano_ref,4,1),0),0,MAX(0,INT((EOMONTH(DATE(crono_ano_ref,4,1),0)-IF(Planos!$G110&gt;=DATE(crono_ano_ref,4,1),Planos!$G110,Planos!$G110+CEILING((DATE(crono_ano_ref,4,1)-Planos!$G110)/Planos!$E110,1)*Planos!$E110))/Planos!$E110)+1)))</f>
      </c>
      <c r="J112" s="44">
        <f>IF(OR(Planos!$A110="",NOT(ISNUMBER(Planos!$G110)),N(Planos!$E110)&lt;=0),0,IF(Planos!$G110&gt;EOMONTH(DATE(crono_ano_ref,5,1),0),0,MAX(0,INT((EOMONTH(DATE(crono_ano_ref,5,1),0)-IF(Planos!$G110&gt;=DATE(crono_ano_ref,5,1),Planos!$G110,Planos!$G110+CEILING((DATE(crono_ano_ref,5,1)-Planos!$G110)/Planos!$E110,1)*Planos!$E110))/Planos!$E110)+1)))</f>
      </c>
      <c r="K112" s="44">
        <f>IF(OR(Planos!$A110="",NOT(ISNUMBER(Planos!$G110)),N(Planos!$E110)&lt;=0),0,IF(Planos!$G110&gt;EOMONTH(DATE(crono_ano_ref,6,1),0),0,MAX(0,INT((EOMONTH(DATE(crono_ano_ref,6,1),0)-IF(Planos!$G110&gt;=DATE(crono_ano_ref,6,1),Planos!$G110,Planos!$G110+CEILING((DATE(crono_ano_ref,6,1)-Planos!$G110)/Planos!$E110,1)*Planos!$E110))/Planos!$E110)+1)))</f>
      </c>
      <c r="L112" s="44">
        <f>IF(OR(Planos!$A110="",NOT(ISNUMBER(Planos!$G110)),N(Planos!$E110)&lt;=0),0,IF(Planos!$G110&gt;EOMONTH(DATE(crono_ano_ref,7,1),0),0,MAX(0,INT((EOMONTH(DATE(crono_ano_ref,7,1),0)-IF(Planos!$G110&gt;=DATE(crono_ano_ref,7,1),Planos!$G110,Planos!$G110+CEILING((DATE(crono_ano_ref,7,1)-Planos!$G110)/Planos!$E110,1)*Planos!$E110))/Planos!$E110)+1)))</f>
      </c>
      <c r="M112" s="44">
        <f>IF(OR(Planos!$A110="",NOT(ISNUMBER(Planos!$G110)),N(Planos!$E110)&lt;=0),0,IF(Planos!$G110&gt;EOMONTH(DATE(crono_ano_ref,8,1),0),0,MAX(0,INT((EOMONTH(DATE(crono_ano_ref,8,1),0)-IF(Planos!$G110&gt;=DATE(crono_ano_ref,8,1),Planos!$G110,Planos!$G110+CEILING((DATE(crono_ano_ref,8,1)-Planos!$G110)/Planos!$E110,1)*Planos!$E110))/Planos!$E110)+1)))</f>
      </c>
      <c r="N112" s="44">
        <f>IF(OR(Planos!$A110="",NOT(ISNUMBER(Planos!$G110)),N(Planos!$E110)&lt;=0),0,IF(Planos!$G110&gt;EOMONTH(DATE(crono_ano_ref,9,1),0),0,MAX(0,INT((EOMONTH(DATE(crono_ano_ref,9,1),0)-IF(Planos!$G110&gt;=DATE(crono_ano_ref,9,1),Planos!$G110,Planos!$G110+CEILING((DATE(crono_ano_ref,9,1)-Planos!$G110)/Planos!$E110,1)*Planos!$E110))/Planos!$E110)+1)))</f>
      </c>
      <c r="O112" s="44">
        <f>IF(OR(Planos!$A110="",NOT(ISNUMBER(Planos!$G110)),N(Planos!$E110)&lt;=0),0,IF(Planos!$G110&gt;EOMONTH(DATE(crono_ano_ref,10,1),0),0,MAX(0,INT((EOMONTH(DATE(crono_ano_ref,10,1),0)-IF(Planos!$G110&gt;=DATE(crono_ano_ref,10,1),Planos!$G110,Planos!$G110+CEILING((DATE(crono_ano_ref,10,1)-Planos!$G110)/Planos!$E110,1)*Planos!$E110))/Planos!$E110)+1)))</f>
      </c>
      <c r="P112" s="44">
        <f>IF(OR(Planos!$A110="",NOT(ISNUMBER(Planos!$G110)),N(Planos!$E110)&lt;=0),0,IF(Planos!$G110&gt;EOMONTH(DATE(crono_ano_ref,11,1),0),0,MAX(0,INT((EOMONTH(DATE(crono_ano_ref,11,1),0)-IF(Planos!$G110&gt;=DATE(crono_ano_ref,11,1),Planos!$G110,Planos!$G110+CEILING((DATE(crono_ano_ref,11,1)-Planos!$G110)/Planos!$E110,1)*Planos!$E110))/Planos!$E110)+1)))</f>
      </c>
      <c r="Q112" s="44">
        <f>IF(OR(Planos!$A110="",NOT(ISNUMBER(Planos!$G110)),N(Planos!$E110)&lt;=0),0,IF(Planos!$G110&gt;EOMONTH(DATE(crono_ano_ref,12,1),0),0,MAX(0,INT((EOMONTH(DATE(crono_ano_ref,12,1),0)-IF(Planos!$G110&gt;=DATE(crono_ano_ref,12,1),Planos!$G110,Planos!$G110+CEILING((DATE(crono_ano_ref,12,1)-Planos!$G110)/Planos!$E110,1)*Planos!$E110))/Planos!$E110)+1)))</f>
      </c>
      <c r="R112" s="44">
        <f>SUM(F112:Q112)</f>
      </c>
    </row>
    <row r="113" spans="1:18" x14ac:dyDescent="0.25">
      <c r="A113" s="24">
        <f>IF(Planos!$A111="","",Planos!A111&amp;"")</f>
      </c>
      <c r="B113" s="41">
        <f>IF(Planos!$A111="","",Planos!B111&amp;"")</f>
      </c>
      <c r="C113" s="24">
        <f>IF(Planos!$A111="","",Planos!C111&amp;"")</f>
      </c>
      <c r="D113" s="42">
        <f>IF(Planos!$A111="","",N(Planos!E111))</f>
      </c>
      <c r="E113" s="43">
        <f>IF(Planos!$A111="","",N(Planos!K111))</f>
      </c>
      <c r="F113" s="44">
        <f>IF(OR(Planos!$A111="",NOT(ISNUMBER(Planos!$G111)),N(Planos!$E111)&lt;=0),0,IF(Planos!$G111&gt;EOMONTH(DATE(crono_ano_ref,1,1),0),0,MAX(0,INT((EOMONTH(DATE(crono_ano_ref,1,1),0)-IF(Planos!$G111&gt;=DATE(crono_ano_ref,1,1),Planos!$G111,Planos!$G111+CEILING((DATE(crono_ano_ref,1,1)-Planos!$G111)/Planos!$E111,1)*Planos!$E111))/Planos!$E111)+1)))</f>
      </c>
      <c r="G113" s="44">
        <f>IF(OR(Planos!$A111="",NOT(ISNUMBER(Planos!$G111)),N(Planos!$E111)&lt;=0),0,IF(Planos!$G111&gt;EOMONTH(DATE(crono_ano_ref,2,1),0),0,MAX(0,INT((EOMONTH(DATE(crono_ano_ref,2,1),0)-IF(Planos!$G111&gt;=DATE(crono_ano_ref,2,1),Planos!$G111,Planos!$G111+CEILING((DATE(crono_ano_ref,2,1)-Planos!$G111)/Planos!$E111,1)*Planos!$E111))/Planos!$E111)+1)))</f>
      </c>
      <c r="H113" s="44">
        <f>IF(OR(Planos!$A111="",NOT(ISNUMBER(Planos!$G111)),N(Planos!$E111)&lt;=0),0,IF(Planos!$G111&gt;EOMONTH(DATE(crono_ano_ref,3,1),0),0,MAX(0,INT((EOMONTH(DATE(crono_ano_ref,3,1),0)-IF(Planos!$G111&gt;=DATE(crono_ano_ref,3,1),Planos!$G111,Planos!$G111+CEILING((DATE(crono_ano_ref,3,1)-Planos!$G111)/Planos!$E111,1)*Planos!$E111))/Planos!$E111)+1)))</f>
      </c>
      <c r="I113" s="44">
        <f>IF(OR(Planos!$A111="",NOT(ISNUMBER(Planos!$G111)),N(Planos!$E111)&lt;=0),0,IF(Planos!$G111&gt;EOMONTH(DATE(crono_ano_ref,4,1),0),0,MAX(0,INT((EOMONTH(DATE(crono_ano_ref,4,1),0)-IF(Planos!$G111&gt;=DATE(crono_ano_ref,4,1),Planos!$G111,Planos!$G111+CEILING((DATE(crono_ano_ref,4,1)-Planos!$G111)/Planos!$E111,1)*Planos!$E111))/Planos!$E111)+1)))</f>
      </c>
      <c r="J113" s="44">
        <f>IF(OR(Planos!$A111="",NOT(ISNUMBER(Planos!$G111)),N(Planos!$E111)&lt;=0),0,IF(Planos!$G111&gt;EOMONTH(DATE(crono_ano_ref,5,1),0),0,MAX(0,INT((EOMONTH(DATE(crono_ano_ref,5,1),0)-IF(Planos!$G111&gt;=DATE(crono_ano_ref,5,1),Planos!$G111,Planos!$G111+CEILING((DATE(crono_ano_ref,5,1)-Planos!$G111)/Planos!$E111,1)*Planos!$E111))/Planos!$E111)+1)))</f>
      </c>
      <c r="K113" s="44">
        <f>IF(OR(Planos!$A111="",NOT(ISNUMBER(Planos!$G111)),N(Planos!$E111)&lt;=0),0,IF(Planos!$G111&gt;EOMONTH(DATE(crono_ano_ref,6,1),0),0,MAX(0,INT((EOMONTH(DATE(crono_ano_ref,6,1),0)-IF(Planos!$G111&gt;=DATE(crono_ano_ref,6,1),Planos!$G111,Planos!$G111+CEILING((DATE(crono_ano_ref,6,1)-Planos!$G111)/Planos!$E111,1)*Planos!$E111))/Planos!$E111)+1)))</f>
      </c>
      <c r="L113" s="44">
        <f>IF(OR(Planos!$A111="",NOT(ISNUMBER(Planos!$G111)),N(Planos!$E111)&lt;=0),0,IF(Planos!$G111&gt;EOMONTH(DATE(crono_ano_ref,7,1),0),0,MAX(0,INT((EOMONTH(DATE(crono_ano_ref,7,1),0)-IF(Planos!$G111&gt;=DATE(crono_ano_ref,7,1),Planos!$G111,Planos!$G111+CEILING((DATE(crono_ano_ref,7,1)-Planos!$G111)/Planos!$E111,1)*Planos!$E111))/Planos!$E111)+1)))</f>
      </c>
      <c r="M113" s="44">
        <f>IF(OR(Planos!$A111="",NOT(ISNUMBER(Planos!$G111)),N(Planos!$E111)&lt;=0),0,IF(Planos!$G111&gt;EOMONTH(DATE(crono_ano_ref,8,1),0),0,MAX(0,INT((EOMONTH(DATE(crono_ano_ref,8,1),0)-IF(Planos!$G111&gt;=DATE(crono_ano_ref,8,1),Planos!$G111,Planos!$G111+CEILING((DATE(crono_ano_ref,8,1)-Planos!$G111)/Planos!$E111,1)*Planos!$E111))/Planos!$E111)+1)))</f>
      </c>
      <c r="N113" s="44">
        <f>IF(OR(Planos!$A111="",NOT(ISNUMBER(Planos!$G111)),N(Planos!$E111)&lt;=0),0,IF(Planos!$G111&gt;EOMONTH(DATE(crono_ano_ref,9,1),0),0,MAX(0,INT((EOMONTH(DATE(crono_ano_ref,9,1),0)-IF(Planos!$G111&gt;=DATE(crono_ano_ref,9,1),Planos!$G111,Planos!$G111+CEILING((DATE(crono_ano_ref,9,1)-Planos!$G111)/Planos!$E111,1)*Planos!$E111))/Planos!$E111)+1)))</f>
      </c>
      <c r="O113" s="44">
        <f>IF(OR(Planos!$A111="",NOT(ISNUMBER(Planos!$G111)),N(Planos!$E111)&lt;=0),0,IF(Planos!$G111&gt;EOMONTH(DATE(crono_ano_ref,10,1),0),0,MAX(0,INT((EOMONTH(DATE(crono_ano_ref,10,1),0)-IF(Planos!$G111&gt;=DATE(crono_ano_ref,10,1),Planos!$G111,Planos!$G111+CEILING((DATE(crono_ano_ref,10,1)-Planos!$G111)/Planos!$E111,1)*Planos!$E111))/Planos!$E111)+1)))</f>
      </c>
      <c r="P113" s="44">
        <f>IF(OR(Planos!$A111="",NOT(ISNUMBER(Planos!$G111)),N(Planos!$E111)&lt;=0),0,IF(Planos!$G111&gt;EOMONTH(DATE(crono_ano_ref,11,1),0),0,MAX(0,INT((EOMONTH(DATE(crono_ano_ref,11,1),0)-IF(Planos!$G111&gt;=DATE(crono_ano_ref,11,1),Planos!$G111,Planos!$G111+CEILING((DATE(crono_ano_ref,11,1)-Planos!$G111)/Planos!$E111,1)*Planos!$E111))/Planos!$E111)+1)))</f>
      </c>
      <c r="Q113" s="44">
        <f>IF(OR(Planos!$A111="",NOT(ISNUMBER(Planos!$G111)),N(Planos!$E111)&lt;=0),0,IF(Planos!$G111&gt;EOMONTH(DATE(crono_ano_ref,12,1),0),0,MAX(0,INT((EOMONTH(DATE(crono_ano_ref,12,1),0)-IF(Planos!$G111&gt;=DATE(crono_ano_ref,12,1),Planos!$G111,Planos!$G111+CEILING((DATE(crono_ano_ref,12,1)-Planos!$G111)/Planos!$E111,1)*Planos!$E111))/Planos!$E111)+1)))</f>
      </c>
      <c r="R113" s="44">
        <f>SUM(F113:Q113)</f>
      </c>
    </row>
    <row r="114" spans="1:18" x14ac:dyDescent="0.25">
      <c r="A114" s="24">
        <f>IF(Planos!$A112="","",Planos!A112&amp;"")</f>
      </c>
      <c r="B114" s="41">
        <f>IF(Planos!$A112="","",Planos!B112&amp;"")</f>
      </c>
      <c r="C114" s="24">
        <f>IF(Planos!$A112="","",Planos!C112&amp;"")</f>
      </c>
      <c r="D114" s="42">
        <f>IF(Planos!$A112="","",N(Planos!E112))</f>
      </c>
      <c r="E114" s="43">
        <f>IF(Planos!$A112="","",N(Planos!K112))</f>
      </c>
      <c r="F114" s="44">
        <f>IF(OR(Planos!$A112="",NOT(ISNUMBER(Planos!$G112)),N(Planos!$E112)&lt;=0),0,IF(Planos!$G112&gt;EOMONTH(DATE(crono_ano_ref,1,1),0),0,MAX(0,INT((EOMONTH(DATE(crono_ano_ref,1,1),0)-IF(Planos!$G112&gt;=DATE(crono_ano_ref,1,1),Planos!$G112,Planos!$G112+CEILING((DATE(crono_ano_ref,1,1)-Planos!$G112)/Planos!$E112,1)*Planos!$E112))/Planos!$E112)+1)))</f>
      </c>
      <c r="G114" s="44">
        <f>IF(OR(Planos!$A112="",NOT(ISNUMBER(Planos!$G112)),N(Planos!$E112)&lt;=0),0,IF(Planos!$G112&gt;EOMONTH(DATE(crono_ano_ref,2,1),0),0,MAX(0,INT((EOMONTH(DATE(crono_ano_ref,2,1),0)-IF(Planos!$G112&gt;=DATE(crono_ano_ref,2,1),Planos!$G112,Planos!$G112+CEILING((DATE(crono_ano_ref,2,1)-Planos!$G112)/Planos!$E112,1)*Planos!$E112))/Planos!$E112)+1)))</f>
      </c>
      <c r="H114" s="44">
        <f>IF(OR(Planos!$A112="",NOT(ISNUMBER(Planos!$G112)),N(Planos!$E112)&lt;=0),0,IF(Planos!$G112&gt;EOMONTH(DATE(crono_ano_ref,3,1),0),0,MAX(0,INT((EOMONTH(DATE(crono_ano_ref,3,1),0)-IF(Planos!$G112&gt;=DATE(crono_ano_ref,3,1),Planos!$G112,Planos!$G112+CEILING((DATE(crono_ano_ref,3,1)-Planos!$G112)/Planos!$E112,1)*Planos!$E112))/Planos!$E112)+1)))</f>
      </c>
      <c r="I114" s="44">
        <f>IF(OR(Planos!$A112="",NOT(ISNUMBER(Planos!$G112)),N(Planos!$E112)&lt;=0),0,IF(Planos!$G112&gt;EOMONTH(DATE(crono_ano_ref,4,1),0),0,MAX(0,INT((EOMONTH(DATE(crono_ano_ref,4,1),0)-IF(Planos!$G112&gt;=DATE(crono_ano_ref,4,1),Planos!$G112,Planos!$G112+CEILING((DATE(crono_ano_ref,4,1)-Planos!$G112)/Planos!$E112,1)*Planos!$E112))/Planos!$E112)+1)))</f>
      </c>
      <c r="J114" s="44">
        <f>IF(OR(Planos!$A112="",NOT(ISNUMBER(Planos!$G112)),N(Planos!$E112)&lt;=0),0,IF(Planos!$G112&gt;EOMONTH(DATE(crono_ano_ref,5,1),0),0,MAX(0,INT((EOMONTH(DATE(crono_ano_ref,5,1),0)-IF(Planos!$G112&gt;=DATE(crono_ano_ref,5,1),Planos!$G112,Planos!$G112+CEILING((DATE(crono_ano_ref,5,1)-Planos!$G112)/Planos!$E112,1)*Planos!$E112))/Planos!$E112)+1)))</f>
      </c>
      <c r="K114" s="44">
        <f>IF(OR(Planos!$A112="",NOT(ISNUMBER(Planos!$G112)),N(Planos!$E112)&lt;=0),0,IF(Planos!$G112&gt;EOMONTH(DATE(crono_ano_ref,6,1),0),0,MAX(0,INT((EOMONTH(DATE(crono_ano_ref,6,1),0)-IF(Planos!$G112&gt;=DATE(crono_ano_ref,6,1),Planos!$G112,Planos!$G112+CEILING((DATE(crono_ano_ref,6,1)-Planos!$G112)/Planos!$E112,1)*Planos!$E112))/Planos!$E112)+1)))</f>
      </c>
      <c r="L114" s="44">
        <f>IF(OR(Planos!$A112="",NOT(ISNUMBER(Planos!$G112)),N(Planos!$E112)&lt;=0),0,IF(Planos!$G112&gt;EOMONTH(DATE(crono_ano_ref,7,1),0),0,MAX(0,INT((EOMONTH(DATE(crono_ano_ref,7,1),0)-IF(Planos!$G112&gt;=DATE(crono_ano_ref,7,1),Planos!$G112,Planos!$G112+CEILING((DATE(crono_ano_ref,7,1)-Planos!$G112)/Planos!$E112,1)*Planos!$E112))/Planos!$E112)+1)))</f>
      </c>
      <c r="M114" s="44">
        <f>IF(OR(Planos!$A112="",NOT(ISNUMBER(Planos!$G112)),N(Planos!$E112)&lt;=0),0,IF(Planos!$G112&gt;EOMONTH(DATE(crono_ano_ref,8,1),0),0,MAX(0,INT((EOMONTH(DATE(crono_ano_ref,8,1),0)-IF(Planos!$G112&gt;=DATE(crono_ano_ref,8,1),Planos!$G112,Planos!$G112+CEILING((DATE(crono_ano_ref,8,1)-Planos!$G112)/Planos!$E112,1)*Planos!$E112))/Planos!$E112)+1)))</f>
      </c>
      <c r="N114" s="44">
        <f>IF(OR(Planos!$A112="",NOT(ISNUMBER(Planos!$G112)),N(Planos!$E112)&lt;=0),0,IF(Planos!$G112&gt;EOMONTH(DATE(crono_ano_ref,9,1),0),0,MAX(0,INT((EOMONTH(DATE(crono_ano_ref,9,1),0)-IF(Planos!$G112&gt;=DATE(crono_ano_ref,9,1),Planos!$G112,Planos!$G112+CEILING((DATE(crono_ano_ref,9,1)-Planos!$G112)/Planos!$E112,1)*Planos!$E112))/Planos!$E112)+1)))</f>
      </c>
      <c r="O114" s="44">
        <f>IF(OR(Planos!$A112="",NOT(ISNUMBER(Planos!$G112)),N(Planos!$E112)&lt;=0),0,IF(Planos!$G112&gt;EOMONTH(DATE(crono_ano_ref,10,1),0),0,MAX(0,INT((EOMONTH(DATE(crono_ano_ref,10,1),0)-IF(Planos!$G112&gt;=DATE(crono_ano_ref,10,1),Planos!$G112,Planos!$G112+CEILING((DATE(crono_ano_ref,10,1)-Planos!$G112)/Planos!$E112,1)*Planos!$E112))/Planos!$E112)+1)))</f>
      </c>
      <c r="P114" s="44">
        <f>IF(OR(Planos!$A112="",NOT(ISNUMBER(Planos!$G112)),N(Planos!$E112)&lt;=0),0,IF(Planos!$G112&gt;EOMONTH(DATE(crono_ano_ref,11,1),0),0,MAX(0,INT((EOMONTH(DATE(crono_ano_ref,11,1),0)-IF(Planos!$G112&gt;=DATE(crono_ano_ref,11,1),Planos!$G112,Planos!$G112+CEILING((DATE(crono_ano_ref,11,1)-Planos!$G112)/Planos!$E112,1)*Planos!$E112))/Planos!$E112)+1)))</f>
      </c>
      <c r="Q114" s="44">
        <f>IF(OR(Planos!$A112="",NOT(ISNUMBER(Planos!$G112)),N(Planos!$E112)&lt;=0),0,IF(Planos!$G112&gt;EOMONTH(DATE(crono_ano_ref,12,1),0),0,MAX(0,INT((EOMONTH(DATE(crono_ano_ref,12,1),0)-IF(Planos!$G112&gt;=DATE(crono_ano_ref,12,1),Planos!$G112,Planos!$G112+CEILING((DATE(crono_ano_ref,12,1)-Planos!$G112)/Planos!$E112,1)*Planos!$E112))/Planos!$E112)+1)))</f>
      </c>
      <c r="R114" s="44">
        <f>SUM(F114:Q114)</f>
      </c>
    </row>
    <row r="115" spans="1:18" x14ac:dyDescent="0.25">
      <c r="A115" s="24">
        <f>IF(Planos!$A113="","",Planos!A113&amp;"")</f>
      </c>
      <c r="B115" s="41">
        <f>IF(Planos!$A113="","",Planos!B113&amp;"")</f>
      </c>
      <c r="C115" s="24">
        <f>IF(Planos!$A113="","",Planos!C113&amp;"")</f>
      </c>
      <c r="D115" s="42">
        <f>IF(Planos!$A113="","",N(Planos!E113))</f>
      </c>
      <c r="E115" s="43">
        <f>IF(Planos!$A113="","",N(Planos!K113))</f>
      </c>
      <c r="F115" s="44">
        <f>IF(OR(Planos!$A113="",NOT(ISNUMBER(Planos!$G113)),N(Planos!$E113)&lt;=0),0,IF(Planos!$G113&gt;EOMONTH(DATE(crono_ano_ref,1,1),0),0,MAX(0,INT((EOMONTH(DATE(crono_ano_ref,1,1),0)-IF(Planos!$G113&gt;=DATE(crono_ano_ref,1,1),Planos!$G113,Planos!$G113+CEILING((DATE(crono_ano_ref,1,1)-Planos!$G113)/Planos!$E113,1)*Planos!$E113))/Planos!$E113)+1)))</f>
      </c>
      <c r="G115" s="44">
        <f>IF(OR(Planos!$A113="",NOT(ISNUMBER(Planos!$G113)),N(Planos!$E113)&lt;=0),0,IF(Planos!$G113&gt;EOMONTH(DATE(crono_ano_ref,2,1),0),0,MAX(0,INT((EOMONTH(DATE(crono_ano_ref,2,1),0)-IF(Planos!$G113&gt;=DATE(crono_ano_ref,2,1),Planos!$G113,Planos!$G113+CEILING((DATE(crono_ano_ref,2,1)-Planos!$G113)/Planos!$E113,1)*Planos!$E113))/Planos!$E113)+1)))</f>
      </c>
      <c r="H115" s="44">
        <f>IF(OR(Planos!$A113="",NOT(ISNUMBER(Planos!$G113)),N(Planos!$E113)&lt;=0),0,IF(Planos!$G113&gt;EOMONTH(DATE(crono_ano_ref,3,1),0),0,MAX(0,INT((EOMONTH(DATE(crono_ano_ref,3,1),0)-IF(Planos!$G113&gt;=DATE(crono_ano_ref,3,1),Planos!$G113,Planos!$G113+CEILING((DATE(crono_ano_ref,3,1)-Planos!$G113)/Planos!$E113,1)*Planos!$E113))/Planos!$E113)+1)))</f>
      </c>
      <c r="I115" s="44">
        <f>IF(OR(Planos!$A113="",NOT(ISNUMBER(Planos!$G113)),N(Planos!$E113)&lt;=0),0,IF(Planos!$G113&gt;EOMONTH(DATE(crono_ano_ref,4,1),0),0,MAX(0,INT((EOMONTH(DATE(crono_ano_ref,4,1),0)-IF(Planos!$G113&gt;=DATE(crono_ano_ref,4,1),Planos!$G113,Planos!$G113+CEILING((DATE(crono_ano_ref,4,1)-Planos!$G113)/Planos!$E113,1)*Planos!$E113))/Planos!$E113)+1)))</f>
      </c>
      <c r="J115" s="44">
        <f>IF(OR(Planos!$A113="",NOT(ISNUMBER(Planos!$G113)),N(Planos!$E113)&lt;=0),0,IF(Planos!$G113&gt;EOMONTH(DATE(crono_ano_ref,5,1),0),0,MAX(0,INT((EOMONTH(DATE(crono_ano_ref,5,1),0)-IF(Planos!$G113&gt;=DATE(crono_ano_ref,5,1),Planos!$G113,Planos!$G113+CEILING((DATE(crono_ano_ref,5,1)-Planos!$G113)/Planos!$E113,1)*Planos!$E113))/Planos!$E113)+1)))</f>
      </c>
      <c r="K115" s="44">
        <f>IF(OR(Planos!$A113="",NOT(ISNUMBER(Planos!$G113)),N(Planos!$E113)&lt;=0),0,IF(Planos!$G113&gt;EOMONTH(DATE(crono_ano_ref,6,1),0),0,MAX(0,INT((EOMONTH(DATE(crono_ano_ref,6,1),0)-IF(Planos!$G113&gt;=DATE(crono_ano_ref,6,1),Planos!$G113,Planos!$G113+CEILING((DATE(crono_ano_ref,6,1)-Planos!$G113)/Planos!$E113,1)*Planos!$E113))/Planos!$E113)+1)))</f>
      </c>
      <c r="L115" s="44">
        <f>IF(OR(Planos!$A113="",NOT(ISNUMBER(Planos!$G113)),N(Planos!$E113)&lt;=0),0,IF(Planos!$G113&gt;EOMONTH(DATE(crono_ano_ref,7,1),0),0,MAX(0,INT((EOMONTH(DATE(crono_ano_ref,7,1),0)-IF(Planos!$G113&gt;=DATE(crono_ano_ref,7,1),Planos!$G113,Planos!$G113+CEILING((DATE(crono_ano_ref,7,1)-Planos!$G113)/Planos!$E113,1)*Planos!$E113))/Planos!$E113)+1)))</f>
      </c>
      <c r="M115" s="44">
        <f>IF(OR(Planos!$A113="",NOT(ISNUMBER(Planos!$G113)),N(Planos!$E113)&lt;=0),0,IF(Planos!$G113&gt;EOMONTH(DATE(crono_ano_ref,8,1),0),0,MAX(0,INT((EOMONTH(DATE(crono_ano_ref,8,1),0)-IF(Planos!$G113&gt;=DATE(crono_ano_ref,8,1),Planos!$G113,Planos!$G113+CEILING((DATE(crono_ano_ref,8,1)-Planos!$G113)/Planos!$E113,1)*Planos!$E113))/Planos!$E113)+1)))</f>
      </c>
      <c r="N115" s="44">
        <f>IF(OR(Planos!$A113="",NOT(ISNUMBER(Planos!$G113)),N(Planos!$E113)&lt;=0),0,IF(Planos!$G113&gt;EOMONTH(DATE(crono_ano_ref,9,1),0),0,MAX(0,INT((EOMONTH(DATE(crono_ano_ref,9,1),0)-IF(Planos!$G113&gt;=DATE(crono_ano_ref,9,1),Planos!$G113,Planos!$G113+CEILING((DATE(crono_ano_ref,9,1)-Planos!$G113)/Planos!$E113,1)*Planos!$E113))/Planos!$E113)+1)))</f>
      </c>
      <c r="O115" s="44">
        <f>IF(OR(Planos!$A113="",NOT(ISNUMBER(Planos!$G113)),N(Planos!$E113)&lt;=0),0,IF(Planos!$G113&gt;EOMONTH(DATE(crono_ano_ref,10,1),0),0,MAX(0,INT((EOMONTH(DATE(crono_ano_ref,10,1),0)-IF(Planos!$G113&gt;=DATE(crono_ano_ref,10,1),Planos!$G113,Planos!$G113+CEILING((DATE(crono_ano_ref,10,1)-Planos!$G113)/Planos!$E113,1)*Planos!$E113))/Planos!$E113)+1)))</f>
      </c>
      <c r="P115" s="44">
        <f>IF(OR(Planos!$A113="",NOT(ISNUMBER(Planos!$G113)),N(Planos!$E113)&lt;=0),0,IF(Planos!$G113&gt;EOMONTH(DATE(crono_ano_ref,11,1),0),0,MAX(0,INT((EOMONTH(DATE(crono_ano_ref,11,1),0)-IF(Planos!$G113&gt;=DATE(crono_ano_ref,11,1),Planos!$G113,Planos!$G113+CEILING((DATE(crono_ano_ref,11,1)-Planos!$G113)/Planos!$E113,1)*Planos!$E113))/Planos!$E113)+1)))</f>
      </c>
      <c r="Q115" s="44">
        <f>IF(OR(Planos!$A113="",NOT(ISNUMBER(Planos!$G113)),N(Planos!$E113)&lt;=0),0,IF(Planos!$G113&gt;EOMONTH(DATE(crono_ano_ref,12,1),0),0,MAX(0,INT((EOMONTH(DATE(crono_ano_ref,12,1),0)-IF(Planos!$G113&gt;=DATE(crono_ano_ref,12,1),Planos!$G113,Planos!$G113+CEILING((DATE(crono_ano_ref,12,1)-Planos!$G113)/Planos!$E113,1)*Planos!$E113))/Planos!$E113)+1)))</f>
      </c>
      <c r="R115" s="44">
        <f>SUM(F115:Q115)</f>
      </c>
    </row>
    <row r="116" spans="1:18" x14ac:dyDescent="0.25">
      <c r="A116" s="24">
        <f>IF(Planos!$A114="","",Planos!A114&amp;"")</f>
      </c>
      <c r="B116" s="41">
        <f>IF(Planos!$A114="","",Planos!B114&amp;"")</f>
      </c>
      <c r="C116" s="24">
        <f>IF(Planos!$A114="","",Planos!C114&amp;"")</f>
      </c>
      <c r="D116" s="42">
        <f>IF(Planos!$A114="","",N(Planos!E114))</f>
      </c>
      <c r="E116" s="43">
        <f>IF(Planos!$A114="","",N(Planos!K114))</f>
      </c>
      <c r="F116" s="44">
        <f>IF(OR(Planos!$A114="",NOT(ISNUMBER(Planos!$G114)),N(Planos!$E114)&lt;=0),0,IF(Planos!$G114&gt;EOMONTH(DATE(crono_ano_ref,1,1),0),0,MAX(0,INT((EOMONTH(DATE(crono_ano_ref,1,1),0)-IF(Planos!$G114&gt;=DATE(crono_ano_ref,1,1),Planos!$G114,Planos!$G114+CEILING((DATE(crono_ano_ref,1,1)-Planos!$G114)/Planos!$E114,1)*Planos!$E114))/Planos!$E114)+1)))</f>
      </c>
      <c r="G116" s="44">
        <f>IF(OR(Planos!$A114="",NOT(ISNUMBER(Planos!$G114)),N(Planos!$E114)&lt;=0),0,IF(Planos!$G114&gt;EOMONTH(DATE(crono_ano_ref,2,1),0),0,MAX(0,INT((EOMONTH(DATE(crono_ano_ref,2,1),0)-IF(Planos!$G114&gt;=DATE(crono_ano_ref,2,1),Planos!$G114,Planos!$G114+CEILING((DATE(crono_ano_ref,2,1)-Planos!$G114)/Planos!$E114,1)*Planos!$E114))/Planos!$E114)+1)))</f>
      </c>
      <c r="H116" s="44">
        <f>IF(OR(Planos!$A114="",NOT(ISNUMBER(Planos!$G114)),N(Planos!$E114)&lt;=0),0,IF(Planos!$G114&gt;EOMONTH(DATE(crono_ano_ref,3,1),0),0,MAX(0,INT((EOMONTH(DATE(crono_ano_ref,3,1),0)-IF(Planos!$G114&gt;=DATE(crono_ano_ref,3,1),Planos!$G114,Planos!$G114+CEILING((DATE(crono_ano_ref,3,1)-Planos!$G114)/Planos!$E114,1)*Planos!$E114))/Planos!$E114)+1)))</f>
      </c>
      <c r="I116" s="44">
        <f>IF(OR(Planos!$A114="",NOT(ISNUMBER(Planos!$G114)),N(Planos!$E114)&lt;=0),0,IF(Planos!$G114&gt;EOMONTH(DATE(crono_ano_ref,4,1),0),0,MAX(0,INT((EOMONTH(DATE(crono_ano_ref,4,1),0)-IF(Planos!$G114&gt;=DATE(crono_ano_ref,4,1),Planos!$G114,Planos!$G114+CEILING((DATE(crono_ano_ref,4,1)-Planos!$G114)/Planos!$E114,1)*Planos!$E114))/Planos!$E114)+1)))</f>
      </c>
      <c r="J116" s="44">
        <f>IF(OR(Planos!$A114="",NOT(ISNUMBER(Planos!$G114)),N(Planos!$E114)&lt;=0),0,IF(Planos!$G114&gt;EOMONTH(DATE(crono_ano_ref,5,1),0),0,MAX(0,INT((EOMONTH(DATE(crono_ano_ref,5,1),0)-IF(Planos!$G114&gt;=DATE(crono_ano_ref,5,1),Planos!$G114,Planos!$G114+CEILING((DATE(crono_ano_ref,5,1)-Planos!$G114)/Planos!$E114,1)*Planos!$E114))/Planos!$E114)+1)))</f>
      </c>
      <c r="K116" s="44">
        <f>IF(OR(Planos!$A114="",NOT(ISNUMBER(Planos!$G114)),N(Planos!$E114)&lt;=0),0,IF(Planos!$G114&gt;EOMONTH(DATE(crono_ano_ref,6,1),0),0,MAX(0,INT((EOMONTH(DATE(crono_ano_ref,6,1),0)-IF(Planos!$G114&gt;=DATE(crono_ano_ref,6,1),Planos!$G114,Planos!$G114+CEILING((DATE(crono_ano_ref,6,1)-Planos!$G114)/Planos!$E114,1)*Planos!$E114))/Planos!$E114)+1)))</f>
      </c>
      <c r="L116" s="44">
        <f>IF(OR(Planos!$A114="",NOT(ISNUMBER(Planos!$G114)),N(Planos!$E114)&lt;=0),0,IF(Planos!$G114&gt;EOMONTH(DATE(crono_ano_ref,7,1),0),0,MAX(0,INT((EOMONTH(DATE(crono_ano_ref,7,1),0)-IF(Planos!$G114&gt;=DATE(crono_ano_ref,7,1),Planos!$G114,Planos!$G114+CEILING((DATE(crono_ano_ref,7,1)-Planos!$G114)/Planos!$E114,1)*Planos!$E114))/Planos!$E114)+1)))</f>
      </c>
      <c r="M116" s="44">
        <f>IF(OR(Planos!$A114="",NOT(ISNUMBER(Planos!$G114)),N(Planos!$E114)&lt;=0),0,IF(Planos!$G114&gt;EOMONTH(DATE(crono_ano_ref,8,1),0),0,MAX(0,INT((EOMONTH(DATE(crono_ano_ref,8,1),0)-IF(Planos!$G114&gt;=DATE(crono_ano_ref,8,1),Planos!$G114,Planos!$G114+CEILING((DATE(crono_ano_ref,8,1)-Planos!$G114)/Planos!$E114,1)*Planos!$E114))/Planos!$E114)+1)))</f>
      </c>
      <c r="N116" s="44">
        <f>IF(OR(Planos!$A114="",NOT(ISNUMBER(Planos!$G114)),N(Planos!$E114)&lt;=0),0,IF(Planos!$G114&gt;EOMONTH(DATE(crono_ano_ref,9,1),0),0,MAX(0,INT((EOMONTH(DATE(crono_ano_ref,9,1),0)-IF(Planos!$G114&gt;=DATE(crono_ano_ref,9,1),Planos!$G114,Planos!$G114+CEILING((DATE(crono_ano_ref,9,1)-Planos!$G114)/Planos!$E114,1)*Planos!$E114))/Planos!$E114)+1)))</f>
      </c>
      <c r="O116" s="44">
        <f>IF(OR(Planos!$A114="",NOT(ISNUMBER(Planos!$G114)),N(Planos!$E114)&lt;=0),0,IF(Planos!$G114&gt;EOMONTH(DATE(crono_ano_ref,10,1),0),0,MAX(0,INT((EOMONTH(DATE(crono_ano_ref,10,1),0)-IF(Planos!$G114&gt;=DATE(crono_ano_ref,10,1),Planos!$G114,Planos!$G114+CEILING((DATE(crono_ano_ref,10,1)-Planos!$G114)/Planos!$E114,1)*Planos!$E114))/Planos!$E114)+1)))</f>
      </c>
      <c r="P116" s="44">
        <f>IF(OR(Planos!$A114="",NOT(ISNUMBER(Planos!$G114)),N(Planos!$E114)&lt;=0),0,IF(Planos!$G114&gt;EOMONTH(DATE(crono_ano_ref,11,1),0),0,MAX(0,INT((EOMONTH(DATE(crono_ano_ref,11,1),0)-IF(Planos!$G114&gt;=DATE(crono_ano_ref,11,1),Planos!$G114,Planos!$G114+CEILING((DATE(crono_ano_ref,11,1)-Planos!$G114)/Planos!$E114,1)*Planos!$E114))/Planos!$E114)+1)))</f>
      </c>
      <c r="Q116" s="44">
        <f>IF(OR(Planos!$A114="",NOT(ISNUMBER(Planos!$G114)),N(Planos!$E114)&lt;=0),0,IF(Planos!$G114&gt;EOMONTH(DATE(crono_ano_ref,12,1),0),0,MAX(0,INT((EOMONTH(DATE(crono_ano_ref,12,1),0)-IF(Planos!$G114&gt;=DATE(crono_ano_ref,12,1),Planos!$G114,Planos!$G114+CEILING((DATE(crono_ano_ref,12,1)-Planos!$G114)/Planos!$E114,1)*Planos!$E114))/Planos!$E114)+1)))</f>
      </c>
      <c r="R116" s="44">
        <f>SUM(F116:Q116)</f>
      </c>
    </row>
    <row r="117" spans="1:18" x14ac:dyDescent="0.25">
      <c r="A117" s="24">
        <f>IF(Planos!$A115="","",Planos!A115&amp;"")</f>
      </c>
      <c r="B117" s="41">
        <f>IF(Planos!$A115="","",Planos!B115&amp;"")</f>
      </c>
      <c r="C117" s="24">
        <f>IF(Planos!$A115="","",Planos!C115&amp;"")</f>
      </c>
      <c r="D117" s="42">
        <f>IF(Planos!$A115="","",N(Planos!E115))</f>
      </c>
      <c r="E117" s="43">
        <f>IF(Planos!$A115="","",N(Planos!K115))</f>
      </c>
      <c r="F117" s="44">
        <f>IF(OR(Planos!$A115="",NOT(ISNUMBER(Planos!$G115)),N(Planos!$E115)&lt;=0),0,IF(Planos!$G115&gt;EOMONTH(DATE(crono_ano_ref,1,1),0),0,MAX(0,INT((EOMONTH(DATE(crono_ano_ref,1,1),0)-IF(Planos!$G115&gt;=DATE(crono_ano_ref,1,1),Planos!$G115,Planos!$G115+CEILING((DATE(crono_ano_ref,1,1)-Planos!$G115)/Planos!$E115,1)*Planos!$E115))/Planos!$E115)+1)))</f>
      </c>
      <c r="G117" s="44">
        <f>IF(OR(Planos!$A115="",NOT(ISNUMBER(Planos!$G115)),N(Planos!$E115)&lt;=0),0,IF(Planos!$G115&gt;EOMONTH(DATE(crono_ano_ref,2,1),0),0,MAX(0,INT((EOMONTH(DATE(crono_ano_ref,2,1),0)-IF(Planos!$G115&gt;=DATE(crono_ano_ref,2,1),Planos!$G115,Planos!$G115+CEILING((DATE(crono_ano_ref,2,1)-Planos!$G115)/Planos!$E115,1)*Planos!$E115))/Planos!$E115)+1)))</f>
      </c>
      <c r="H117" s="44">
        <f>IF(OR(Planos!$A115="",NOT(ISNUMBER(Planos!$G115)),N(Planos!$E115)&lt;=0),0,IF(Planos!$G115&gt;EOMONTH(DATE(crono_ano_ref,3,1),0),0,MAX(0,INT((EOMONTH(DATE(crono_ano_ref,3,1),0)-IF(Planos!$G115&gt;=DATE(crono_ano_ref,3,1),Planos!$G115,Planos!$G115+CEILING((DATE(crono_ano_ref,3,1)-Planos!$G115)/Planos!$E115,1)*Planos!$E115))/Planos!$E115)+1)))</f>
      </c>
      <c r="I117" s="44">
        <f>IF(OR(Planos!$A115="",NOT(ISNUMBER(Planos!$G115)),N(Planos!$E115)&lt;=0),0,IF(Planos!$G115&gt;EOMONTH(DATE(crono_ano_ref,4,1),0),0,MAX(0,INT((EOMONTH(DATE(crono_ano_ref,4,1),0)-IF(Planos!$G115&gt;=DATE(crono_ano_ref,4,1),Planos!$G115,Planos!$G115+CEILING((DATE(crono_ano_ref,4,1)-Planos!$G115)/Planos!$E115,1)*Planos!$E115))/Planos!$E115)+1)))</f>
      </c>
      <c r="J117" s="44">
        <f>IF(OR(Planos!$A115="",NOT(ISNUMBER(Planos!$G115)),N(Planos!$E115)&lt;=0),0,IF(Planos!$G115&gt;EOMONTH(DATE(crono_ano_ref,5,1),0),0,MAX(0,INT((EOMONTH(DATE(crono_ano_ref,5,1),0)-IF(Planos!$G115&gt;=DATE(crono_ano_ref,5,1),Planos!$G115,Planos!$G115+CEILING((DATE(crono_ano_ref,5,1)-Planos!$G115)/Planos!$E115,1)*Planos!$E115))/Planos!$E115)+1)))</f>
      </c>
      <c r="K117" s="44">
        <f>IF(OR(Planos!$A115="",NOT(ISNUMBER(Planos!$G115)),N(Planos!$E115)&lt;=0),0,IF(Planos!$G115&gt;EOMONTH(DATE(crono_ano_ref,6,1),0),0,MAX(0,INT((EOMONTH(DATE(crono_ano_ref,6,1),0)-IF(Planos!$G115&gt;=DATE(crono_ano_ref,6,1),Planos!$G115,Planos!$G115+CEILING((DATE(crono_ano_ref,6,1)-Planos!$G115)/Planos!$E115,1)*Planos!$E115))/Planos!$E115)+1)))</f>
      </c>
      <c r="L117" s="44">
        <f>IF(OR(Planos!$A115="",NOT(ISNUMBER(Planos!$G115)),N(Planos!$E115)&lt;=0),0,IF(Planos!$G115&gt;EOMONTH(DATE(crono_ano_ref,7,1),0),0,MAX(0,INT((EOMONTH(DATE(crono_ano_ref,7,1),0)-IF(Planos!$G115&gt;=DATE(crono_ano_ref,7,1),Planos!$G115,Planos!$G115+CEILING((DATE(crono_ano_ref,7,1)-Planos!$G115)/Planos!$E115,1)*Planos!$E115))/Planos!$E115)+1)))</f>
      </c>
      <c r="M117" s="44">
        <f>IF(OR(Planos!$A115="",NOT(ISNUMBER(Planos!$G115)),N(Planos!$E115)&lt;=0),0,IF(Planos!$G115&gt;EOMONTH(DATE(crono_ano_ref,8,1),0),0,MAX(0,INT((EOMONTH(DATE(crono_ano_ref,8,1),0)-IF(Planos!$G115&gt;=DATE(crono_ano_ref,8,1),Planos!$G115,Planos!$G115+CEILING((DATE(crono_ano_ref,8,1)-Planos!$G115)/Planos!$E115,1)*Planos!$E115))/Planos!$E115)+1)))</f>
      </c>
      <c r="N117" s="44">
        <f>IF(OR(Planos!$A115="",NOT(ISNUMBER(Planos!$G115)),N(Planos!$E115)&lt;=0),0,IF(Planos!$G115&gt;EOMONTH(DATE(crono_ano_ref,9,1),0),0,MAX(0,INT((EOMONTH(DATE(crono_ano_ref,9,1),0)-IF(Planos!$G115&gt;=DATE(crono_ano_ref,9,1),Planos!$G115,Planos!$G115+CEILING((DATE(crono_ano_ref,9,1)-Planos!$G115)/Planos!$E115,1)*Planos!$E115))/Planos!$E115)+1)))</f>
      </c>
      <c r="O117" s="44">
        <f>IF(OR(Planos!$A115="",NOT(ISNUMBER(Planos!$G115)),N(Planos!$E115)&lt;=0),0,IF(Planos!$G115&gt;EOMONTH(DATE(crono_ano_ref,10,1),0),0,MAX(0,INT((EOMONTH(DATE(crono_ano_ref,10,1),0)-IF(Planos!$G115&gt;=DATE(crono_ano_ref,10,1),Planos!$G115,Planos!$G115+CEILING((DATE(crono_ano_ref,10,1)-Planos!$G115)/Planos!$E115,1)*Planos!$E115))/Planos!$E115)+1)))</f>
      </c>
      <c r="P117" s="44">
        <f>IF(OR(Planos!$A115="",NOT(ISNUMBER(Planos!$G115)),N(Planos!$E115)&lt;=0),0,IF(Planos!$G115&gt;EOMONTH(DATE(crono_ano_ref,11,1),0),0,MAX(0,INT((EOMONTH(DATE(crono_ano_ref,11,1),0)-IF(Planos!$G115&gt;=DATE(crono_ano_ref,11,1),Planos!$G115,Planos!$G115+CEILING((DATE(crono_ano_ref,11,1)-Planos!$G115)/Planos!$E115,1)*Planos!$E115))/Planos!$E115)+1)))</f>
      </c>
      <c r="Q117" s="44">
        <f>IF(OR(Planos!$A115="",NOT(ISNUMBER(Planos!$G115)),N(Planos!$E115)&lt;=0),0,IF(Planos!$G115&gt;EOMONTH(DATE(crono_ano_ref,12,1),0),0,MAX(0,INT((EOMONTH(DATE(crono_ano_ref,12,1),0)-IF(Planos!$G115&gt;=DATE(crono_ano_ref,12,1),Planos!$G115,Planos!$G115+CEILING((DATE(crono_ano_ref,12,1)-Planos!$G115)/Planos!$E115,1)*Planos!$E115))/Planos!$E115)+1)))</f>
      </c>
      <c r="R117" s="44">
        <f>SUM(F117:Q117)</f>
      </c>
    </row>
    <row r="118" spans="1:18" x14ac:dyDescent="0.25">
      <c r="A118" s="24">
        <f>IF(Planos!$A116="","",Planos!A116&amp;"")</f>
      </c>
      <c r="B118" s="41">
        <f>IF(Planos!$A116="","",Planos!B116&amp;"")</f>
      </c>
      <c r="C118" s="24">
        <f>IF(Planos!$A116="","",Planos!C116&amp;"")</f>
      </c>
      <c r="D118" s="42">
        <f>IF(Planos!$A116="","",N(Planos!E116))</f>
      </c>
      <c r="E118" s="43">
        <f>IF(Planos!$A116="","",N(Planos!K116))</f>
      </c>
      <c r="F118" s="44">
        <f>IF(OR(Planos!$A116="",NOT(ISNUMBER(Planos!$G116)),N(Planos!$E116)&lt;=0),0,IF(Planos!$G116&gt;EOMONTH(DATE(crono_ano_ref,1,1),0),0,MAX(0,INT((EOMONTH(DATE(crono_ano_ref,1,1),0)-IF(Planos!$G116&gt;=DATE(crono_ano_ref,1,1),Planos!$G116,Planos!$G116+CEILING((DATE(crono_ano_ref,1,1)-Planos!$G116)/Planos!$E116,1)*Planos!$E116))/Planos!$E116)+1)))</f>
      </c>
      <c r="G118" s="44">
        <f>IF(OR(Planos!$A116="",NOT(ISNUMBER(Planos!$G116)),N(Planos!$E116)&lt;=0),0,IF(Planos!$G116&gt;EOMONTH(DATE(crono_ano_ref,2,1),0),0,MAX(0,INT((EOMONTH(DATE(crono_ano_ref,2,1),0)-IF(Planos!$G116&gt;=DATE(crono_ano_ref,2,1),Planos!$G116,Planos!$G116+CEILING((DATE(crono_ano_ref,2,1)-Planos!$G116)/Planos!$E116,1)*Planos!$E116))/Planos!$E116)+1)))</f>
      </c>
      <c r="H118" s="44">
        <f>IF(OR(Planos!$A116="",NOT(ISNUMBER(Planos!$G116)),N(Planos!$E116)&lt;=0),0,IF(Planos!$G116&gt;EOMONTH(DATE(crono_ano_ref,3,1),0),0,MAX(0,INT((EOMONTH(DATE(crono_ano_ref,3,1),0)-IF(Planos!$G116&gt;=DATE(crono_ano_ref,3,1),Planos!$G116,Planos!$G116+CEILING((DATE(crono_ano_ref,3,1)-Planos!$G116)/Planos!$E116,1)*Planos!$E116))/Planos!$E116)+1)))</f>
      </c>
      <c r="I118" s="44">
        <f>IF(OR(Planos!$A116="",NOT(ISNUMBER(Planos!$G116)),N(Planos!$E116)&lt;=0),0,IF(Planos!$G116&gt;EOMONTH(DATE(crono_ano_ref,4,1),0),0,MAX(0,INT((EOMONTH(DATE(crono_ano_ref,4,1),0)-IF(Planos!$G116&gt;=DATE(crono_ano_ref,4,1),Planos!$G116,Planos!$G116+CEILING((DATE(crono_ano_ref,4,1)-Planos!$G116)/Planos!$E116,1)*Planos!$E116))/Planos!$E116)+1)))</f>
      </c>
      <c r="J118" s="44">
        <f>IF(OR(Planos!$A116="",NOT(ISNUMBER(Planos!$G116)),N(Planos!$E116)&lt;=0),0,IF(Planos!$G116&gt;EOMONTH(DATE(crono_ano_ref,5,1),0),0,MAX(0,INT((EOMONTH(DATE(crono_ano_ref,5,1),0)-IF(Planos!$G116&gt;=DATE(crono_ano_ref,5,1),Planos!$G116,Planos!$G116+CEILING((DATE(crono_ano_ref,5,1)-Planos!$G116)/Planos!$E116,1)*Planos!$E116))/Planos!$E116)+1)))</f>
      </c>
      <c r="K118" s="44">
        <f>IF(OR(Planos!$A116="",NOT(ISNUMBER(Planos!$G116)),N(Planos!$E116)&lt;=0),0,IF(Planos!$G116&gt;EOMONTH(DATE(crono_ano_ref,6,1),0),0,MAX(0,INT((EOMONTH(DATE(crono_ano_ref,6,1),0)-IF(Planos!$G116&gt;=DATE(crono_ano_ref,6,1),Planos!$G116,Planos!$G116+CEILING((DATE(crono_ano_ref,6,1)-Planos!$G116)/Planos!$E116,1)*Planos!$E116))/Planos!$E116)+1)))</f>
      </c>
      <c r="L118" s="44">
        <f>IF(OR(Planos!$A116="",NOT(ISNUMBER(Planos!$G116)),N(Planos!$E116)&lt;=0),0,IF(Planos!$G116&gt;EOMONTH(DATE(crono_ano_ref,7,1),0),0,MAX(0,INT((EOMONTH(DATE(crono_ano_ref,7,1),0)-IF(Planos!$G116&gt;=DATE(crono_ano_ref,7,1),Planos!$G116,Planos!$G116+CEILING((DATE(crono_ano_ref,7,1)-Planos!$G116)/Planos!$E116,1)*Planos!$E116))/Planos!$E116)+1)))</f>
      </c>
      <c r="M118" s="44">
        <f>IF(OR(Planos!$A116="",NOT(ISNUMBER(Planos!$G116)),N(Planos!$E116)&lt;=0),0,IF(Planos!$G116&gt;EOMONTH(DATE(crono_ano_ref,8,1),0),0,MAX(0,INT((EOMONTH(DATE(crono_ano_ref,8,1),0)-IF(Planos!$G116&gt;=DATE(crono_ano_ref,8,1),Planos!$G116,Planos!$G116+CEILING((DATE(crono_ano_ref,8,1)-Planos!$G116)/Planos!$E116,1)*Planos!$E116))/Planos!$E116)+1)))</f>
      </c>
      <c r="N118" s="44">
        <f>IF(OR(Planos!$A116="",NOT(ISNUMBER(Planos!$G116)),N(Planos!$E116)&lt;=0),0,IF(Planos!$G116&gt;EOMONTH(DATE(crono_ano_ref,9,1),0),0,MAX(0,INT((EOMONTH(DATE(crono_ano_ref,9,1),0)-IF(Planos!$G116&gt;=DATE(crono_ano_ref,9,1),Planos!$G116,Planos!$G116+CEILING((DATE(crono_ano_ref,9,1)-Planos!$G116)/Planos!$E116,1)*Planos!$E116))/Planos!$E116)+1)))</f>
      </c>
      <c r="O118" s="44">
        <f>IF(OR(Planos!$A116="",NOT(ISNUMBER(Planos!$G116)),N(Planos!$E116)&lt;=0),0,IF(Planos!$G116&gt;EOMONTH(DATE(crono_ano_ref,10,1),0),0,MAX(0,INT((EOMONTH(DATE(crono_ano_ref,10,1),0)-IF(Planos!$G116&gt;=DATE(crono_ano_ref,10,1),Planos!$G116,Planos!$G116+CEILING((DATE(crono_ano_ref,10,1)-Planos!$G116)/Planos!$E116,1)*Planos!$E116))/Planos!$E116)+1)))</f>
      </c>
      <c r="P118" s="44">
        <f>IF(OR(Planos!$A116="",NOT(ISNUMBER(Planos!$G116)),N(Planos!$E116)&lt;=0),0,IF(Planos!$G116&gt;EOMONTH(DATE(crono_ano_ref,11,1),0),0,MAX(0,INT((EOMONTH(DATE(crono_ano_ref,11,1),0)-IF(Planos!$G116&gt;=DATE(crono_ano_ref,11,1),Planos!$G116,Planos!$G116+CEILING((DATE(crono_ano_ref,11,1)-Planos!$G116)/Planos!$E116,1)*Planos!$E116))/Planos!$E116)+1)))</f>
      </c>
      <c r="Q118" s="44">
        <f>IF(OR(Planos!$A116="",NOT(ISNUMBER(Planos!$G116)),N(Planos!$E116)&lt;=0),0,IF(Planos!$G116&gt;EOMONTH(DATE(crono_ano_ref,12,1),0),0,MAX(0,INT((EOMONTH(DATE(crono_ano_ref,12,1),0)-IF(Planos!$G116&gt;=DATE(crono_ano_ref,12,1),Planos!$G116,Planos!$G116+CEILING((DATE(crono_ano_ref,12,1)-Planos!$G116)/Planos!$E116,1)*Planos!$E116))/Planos!$E116)+1)))</f>
      </c>
      <c r="R118" s="44">
        <f>SUM(F118:Q118)</f>
      </c>
    </row>
    <row r="119" spans="1:18" x14ac:dyDescent="0.25">
      <c r="A119" s="24">
        <f>IF(Planos!$A117="","",Planos!A117&amp;"")</f>
      </c>
      <c r="B119" s="41">
        <f>IF(Planos!$A117="","",Planos!B117&amp;"")</f>
      </c>
      <c r="C119" s="24">
        <f>IF(Planos!$A117="","",Planos!C117&amp;"")</f>
      </c>
      <c r="D119" s="42">
        <f>IF(Planos!$A117="","",N(Planos!E117))</f>
      </c>
      <c r="E119" s="43">
        <f>IF(Planos!$A117="","",N(Planos!K117))</f>
      </c>
      <c r="F119" s="44">
        <f>IF(OR(Planos!$A117="",NOT(ISNUMBER(Planos!$G117)),N(Planos!$E117)&lt;=0),0,IF(Planos!$G117&gt;EOMONTH(DATE(crono_ano_ref,1,1),0),0,MAX(0,INT((EOMONTH(DATE(crono_ano_ref,1,1),0)-IF(Planos!$G117&gt;=DATE(crono_ano_ref,1,1),Planos!$G117,Planos!$G117+CEILING((DATE(crono_ano_ref,1,1)-Planos!$G117)/Planos!$E117,1)*Planos!$E117))/Planos!$E117)+1)))</f>
      </c>
      <c r="G119" s="44">
        <f>IF(OR(Planos!$A117="",NOT(ISNUMBER(Planos!$G117)),N(Planos!$E117)&lt;=0),0,IF(Planos!$G117&gt;EOMONTH(DATE(crono_ano_ref,2,1),0),0,MAX(0,INT((EOMONTH(DATE(crono_ano_ref,2,1),0)-IF(Planos!$G117&gt;=DATE(crono_ano_ref,2,1),Planos!$G117,Planos!$G117+CEILING((DATE(crono_ano_ref,2,1)-Planos!$G117)/Planos!$E117,1)*Planos!$E117))/Planos!$E117)+1)))</f>
      </c>
      <c r="H119" s="44">
        <f>IF(OR(Planos!$A117="",NOT(ISNUMBER(Planos!$G117)),N(Planos!$E117)&lt;=0),0,IF(Planos!$G117&gt;EOMONTH(DATE(crono_ano_ref,3,1),0),0,MAX(0,INT((EOMONTH(DATE(crono_ano_ref,3,1),0)-IF(Planos!$G117&gt;=DATE(crono_ano_ref,3,1),Planos!$G117,Planos!$G117+CEILING((DATE(crono_ano_ref,3,1)-Planos!$G117)/Planos!$E117,1)*Planos!$E117))/Planos!$E117)+1)))</f>
      </c>
      <c r="I119" s="44">
        <f>IF(OR(Planos!$A117="",NOT(ISNUMBER(Planos!$G117)),N(Planos!$E117)&lt;=0),0,IF(Planos!$G117&gt;EOMONTH(DATE(crono_ano_ref,4,1),0),0,MAX(0,INT((EOMONTH(DATE(crono_ano_ref,4,1),0)-IF(Planos!$G117&gt;=DATE(crono_ano_ref,4,1),Planos!$G117,Planos!$G117+CEILING((DATE(crono_ano_ref,4,1)-Planos!$G117)/Planos!$E117,1)*Planos!$E117))/Planos!$E117)+1)))</f>
      </c>
      <c r="J119" s="44">
        <f>IF(OR(Planos!$A117="",NOT(ISNUMBER(Planos!$G117)),N(Planos!$E117)&lt;=0),0,IF(Planos!$G117&gt;EOMONTH(DATE(crono_ano_ref,5,1),0),0,MAX(0,INT((EOMONTH(DATE(crono_ano_ref,5,1),0)-IF(Planos!$G117&gt;=DATE(crono_ano_ref,5,1),Planos!$G117,Planos!$G117+CEILING((DATE(crono_ano_ref,5,1)-Planos!$G117)/Planos!$E117,1)*Planos!$E117))/Planos!$E117)+1)))</f>
      </c>
      <c r="K119" s="44">
        <f>IF(OR(Planos!$A117="",NOT(ISNUMBER(Planos!$G117)),N(Planos!$E117)&lt;=0),0,IF(Planos!$G117&gt;EOMONTH(DATE(crono_ano_ref,6,1),0),0,MAX(0,INT((EOMONTH(DATE(crono_ano_ref,6,1),0)-IF(Planos!$G117&gt;=DATE(crono_ano_ref,6,1),Planos!$G117,Planos!$G117+CEILING((DATE(crono_ano_ref,6,1)-Planos!$G117)/Planos!$E117,1)*Planos!$E117))/Planos!$E117)+1)))</f>
      </c>
      <c r="L119" s="44">
        <f>IF(OR(Planos!$A117="",NOT(ISNUMBER(Planos!$G117)),N(Planos!$E117)&lt;=0),0,IF(Planos!$G117&gt;EOMONTH(DATE(crono_ano_ref,7,1),0),0,MAX(0,INT((EOMONTH(DATE(crono_ano_ref,7,1),0)-IF(Planos!$G117&gt;=DATE(crono_ano_ref,7,1),Planos!$G117,Planos!$G117+CEILING((DATE(crono_ano_ref,7,1)-Planos!$G117)/Planos!$E117,1)*Planos!$E117))/Planos!$E117)+1)))</f>
      </c>
      <c r="M119" s="44">
        <f>IF(OR(Planos!$A117="",NOT(ISNUMBER(Planos!$G117)),N(Planos!$E117)&lt;=0),0,IF(Planos!$G117&gt;EOMONTH(DATE(crono_ano_ref,8,1),0),0,MAX(0,INT((EOMONTH(DATE(crono_ano_ref,8,1),0)-IF(Planos!$G117&gt;=DATE(crono_ano_ref,8,1),Planos!$G117,Planos!$G117+CEILING((DATE(crono_ano_ref,8,1)-Planos!$G117)/Planos!$E117,1)*Planos!$E117))/Planos!$E117)+1)))</f>
      </c>
      <c r="N119" s="44">
        <f>IF(OR(Planos!$A117="",NOT(ISNUMBER(Planos!$G117)),N(Planos!$E117)&lt;=0),0,IF(Planos!$G117&gt;EOMONTH(DATE(crono_ano_ref,9,1),0),0,MAX(0,INT((EOMONTH(DATE(crono_ano_ref,9,1),0)-IF(Planos!$G117&gt;=DATE(crono_ano_ref,9,1),Planos!$G117,Planos!$G117+CEILING((DATE(crono_ano_ref,9,1)-Planos!$G117)/Planos!$E117,1)*Planos!$E117))/Planos!$E117)+1)))</f>
      </c>
      <c r="O119" s="44">
        <f>IF(OR(Planos!$A117="",NOT(ISNUMBER(Planos!$G117)),N(Planos!$E117)&lt;=0),0,IF(Planos!$G117&gt;EOMONTH(DATE(crono_ano_ref,10,1),0),0,MAX(0,INT((EOMONTH(DATE(crono_ano_ref,10,1),0)-IF(Planos!$G117&gt;=DATE(crono_ano_ref,10,1),Planos!$G117,Planos!$G117+CEILING((DATE(crono_ano_ref,10,1)-Planos!$G117)/Planos!$E117,1)*Planos!$E117))/Planos!$E117)+1)))</f>
      </c>
      <c r="P119" s="44">
        <f>IF(OR(Planos!$A117="",NOT(ISNUMBER(Planos!$G117)),N(Planos!$E117)&lt;=0),0,IF(Planos!$G117&gt;EOMONTH(DATE(crono_ano_ref,11,1),0),0,MAX(0,INT((EOMONTH(DATE(crono_ano_ref,11,1),0)-IF(Planos!$G117&gt;=DATE(crono_ano_ref,11,1),Planos!$G117,Planos!$G117+CEILING((DATE(crono_ano_ref,11,1)-Planos!$G117)/Planos!$E117,1)*Planos!$E117))/Planos!$E117)+1)))</f>
      </c>
      <c r="Q119" s="44">
        <f>IF(OR(Planos!$A117="",NOT(ISNUMBER(Planos!$G117)),N(Planos!$E117)&lt;=0),0,IF(Planos!$G117&gt;EOMONTH(DATE(crono_ano_ref,12,1),0),0,MAX(0,INT((EOMONTH(DATE(crono_ano_ref,12,1),0)-IF(Planos!$G117&gt;=DATE(crono_ano_ref,12,1),Planos!$G117,Planos!$G117+CEILING((DATE(crono_ano_ref,12,1)-Planos!$G117)/Planos!$E117,1)*Planos!$E117))/Planos!$E117)+1)))</f>
      </c>
      <c r="R119" s="44">
        <f>SUM(F119:Q119)</f>
      </c>
    </row>
    <row r="120" spans="1:18" x14ac:dyDescent="0.25">
      <c r="A120" s="24">
        <f>IF(Planos!$A118="","",Planos!A118&amp;"")</f>
      </c>
      <c r="B120" s="41">
        <f>IF(Planos!$A118="","",Planos!B118&amp;"")</f>
      </c>
      <c r="C120" s="24">
        <f>IF(Planos!$A118="","",Planos!C118&amp;"")</f>
      </c>
      <c r="D120" s="42">
        <f>IF(Planos!$A118="","",N(Planos!E118))</f>
      </c>
      <c r="E120" s="43">
        <f>IF(Planos!$A118="","",N(Planos!K118))</f>
      </c>
      <c r="F120" s="44">
        <f>IF(OR(Planos!$A118="",NOT(ISNUMBER(Planos!$G118)),N(Planos!$E118)&lt;=0),0,IF(Planos!$G118&gt;EOMONTH(DATE(crono_ano_ref,1,1),0),0,MAX(0,INT((EOMONTH(DATE(crono_ano_ref,1,1),0)-IF(Planos!$G118&gt;=DATE(crono_ano_ref,1,1),Planos!$G118,Planos!$G118+CEILING((DATE(crono_ano_ref,1,1)-Planos!$G118)/Planos!$E118,1)*Planos!$E118))/Planos!$E118)+1)))</f>
      </c>
      <c r="G120" s="44">
        <f>IF(OR(Planos!$A118="",NOT(ISNUMBER(Planos!$G118)),N(Planos!$E118)&lt;=0),0,IF(Planos!$G118&gt;EOMONTH(DATE(crono_ano_ref,2,1),0),0,MAX(0,INT((EOMONTH(DATE(crono_ano_ref,2,1),0)-IF(Planos!$G118&gt;=DATE(crono_ano_ref,2,1),Planos!$G118,Planos!$G118+CEILING((DATE(crono_ano_ref,2,1)-Planos!$G118)/Planos!$E118,1)*Planos!$E118))/Planos!$E118)+1)))</f>
      </c>
      <c r="H120" s="44">
        <f>IF(OR(Planos!$A118="",NOT(ISNUMBER(Planos!$G118)),N(Planos!$E118)&lt;=0),0,IF(Planos!$G118&gt;EOMONTH(DATE(crono_ano_ref,3,1),0),0,MAX(0,INT((EOMONTH(DATE(crono_ano_ref,3,1),0)-IF(Planos!$G118&gt;=DATE(crono_ano_ref,3,1),Planos!$G118,Planos!$G118+CEILING((DATE(crono_ano_ref,3,1)-Planos!$G118)/Planos!$E118,1)*Planos!$E118))/Planos!$E118)+1)))</f>
      </c>
      <c r="I120" s="44">
        <f>IF(OR(Planos!$A118="",NOT(ISNUMBER(Planos!$G118)),N(Planos!$E118)&lt;=0),0,IF(Planos!$G118&gt;EOMONTH(DATE(crono_ano_ref,4,1),0),0,MAX(0,INT((EOMONTH(DATE(crono_ano_ref,4,1),0)-IF(Planos!$G118&gt;=DATE(crono_ano_ref,4,1),Planos!$G118,Planos!$G118+CEILING((DATE(crono_ano_ref,4,1)-Planos!$G118)/Planos!$E118,1)*Planos!$E118))/Planos!$E118)+1)))</f>
      </c>
      <c r="J120" s="44">
        <f>IF(OR(Planos!$A118="",NOT(ISNUMBER(Planos!$G118)),N(Planos!$E118)&lt;=0),0,IF(Planos!$G118&gt;EOMONTH(DATE(crono_ano_ref,5,1),0),0,MAX(0,INT((EOMONTH(DATE(crono_ano_ref,5,1),0)-IF(Planos!$G118&gt;=DATE(crono_ano_ref,5,1),Planos!$G118,Planos!$G118+CEILING((DATE(crono_ano_ref,5,1)-Planos!$G118)/Planos!$E118,1)*Planos!$E118))/Planos!$E118)+1)))</f>
      </c>
      <c r="K120" s="44">
        <f>IF(OR(Planos!$A118="",NOT(ISNUMBER(Planos!$G118)),N(Planos!$E118)&lt;=0),0,IF(Planos!$G118&gt;EOMONTH(DATE(crono_ano_ref,6,1),0),0,MAX(0,INT((EOMONTH(DATE(crono_ano_ref,6,1),0)-IF(Planos!$G118&gt;=DATE(crono_ano_ref,6,1),Planos!$G118,Planos!$G118+CEILING((DATE(crono_ano_ref,6,1)-Planos!$G118)/Planos!$E118,1)*Planos!$E118))/Planos!$E118)+1)))</f>
      </c>
      <c r="L120" s="44">
        <f>IF(OR(Planos!$A118="",NOT(ISNUMBER(Planos!$G118)),N(Planos!$E118)&lt;=0),0,IF(Planos!$G118&gt;EOMONTH(DATE(crono_ano_ref,7,1),0),0,MAX(0,INT((EOMONTH(DATE(crono_ano_ref,7,1),0)-IF(Planos!$G118&gt;=DATE(crono_ano_ref,7,1),Planos!$G118,Planos!$G118+CEILING((DATE(crono_ano_ref,7,1)-Planos!$G118)/Planos!$E118,1)*Planos!$E118))/Planos!$E118)+1)))</f>
      </c>
      <c r="M120" s="44">
        <f>IF(OR(Planos!$A118="",NOT(ISNUMBER(Planos!$G118)),N(Planos!$E118)&lt;=0),0,IF(Planos!$G118&gt;EOMONTH(DATE(crono_ano_ref,8,1),0),0,MAX(0,INT((EOMONTH(DATE(crono_ano_ref,8,1),0)-IF(Planos!$G118&gt;=DATE(crono_ano_ref,8,1),Planos!$G118,Planos!$G118+CEILING((DATE(crono_ano_ref,8,1)-Planos!$G118)/Planos!$E118,1)*Planos!$E118))/Planos!$E118)+1)))</f>
      </c>
      <c r="N120" s="44">
        <f>IF(OR(Planos!$A118="",NOT(ISNUMBER(Planos!$G118)),N(Planos!$E118)&lt;=0),0,IF(Planos!$G118&gt;EOMONTH(DATE(crono_ano_ref,9,1),0),0,MAX(0,INT((EOMONTH(DATE(crono_ano_ref,9,1),0)-IF(Planos!$G118&gt;=DATE(crono_ano_ref,9,1),Planos!$G118,Planos!$G118+CEILING((DATE(crono_ano_ref,9,1)-Planos!$G118)/Planos!$E118,1)*Planos!$E118))/Planos!$E118)+1)))</f>
      </c>
      <c r="O120" s="44">
        <f>IF(OR(Planos!$A118="",NOT(ISNUMBER(Planos!$G118)),N(Planos!$E118)&lt;=0),0,IF(Planos!$G118&gt;EOMONTH(DATE(crono_ano_ref,10,1),0),0,MAX(0,INT((EOMONTH(DATE(crono_ano_ref,10,1),0)-IF(Planos!$G118&gt;=DATE(crono_ano_ref,10,1),Planos!$G118,Planos!$G118+CEILING((DATE(crono_ano_ref,10,1)-Planos!$G118)/Planos!$E118,1)*Planos!$E118))/Planos!$E118)+1)))</f>
      </c>
      <c r="P120" s="44">
        <f>IF(OR(Planos!$A118="",NOT(ISNUMBER(Planos!$G118)),N(Planos!$E118)&lt;=0),0,IF(Planos!$G118&gt;EOMONTH(DATE(crono_ano_ref,11,1),0),0,MAX(0,INT((EOMONTH(DATE(crono_ano_ref,11,1),0)-IF(Planos!$G118&gt;=DATE(crono_ano_ref,11,1),Planos!$G118,Planos!$G118+CEILING((DATE(crono_ano_ref,11,1)-Planos!$G118)/Planos!$E118,1)*Planos!$E118))/Planos!$E118)+1)))</f>
      </c>
      <c r="Q120" s="44">
        <f>IF(OR(Planos!$A118="",NOT(ISNUMBER(Planos!$G118)),N(Planos!$E118)&lt;=0),0,IF(Planos!$G118&gt;EOMONTH(DATE(crono_ano_ref,12,1),0),0,MAX(0,INT((EOMONTH(DATE(crono_ano_ref,12,1),0)-IF(Planos!$G118&gt;=DATE(crono_ano_ref,12,1),Planos!$G118,Planos!$G118+CEILING((DATE(crono_ano_ref,12,1)-Planos!$G118)/Planos!$E118,1)*Planos!$E118))/Planos!$E118)+1)))</f>
      </c>
      <c r="R120" s="44">
        <f>SUM(F120:Q120)</f>
      </c>
    </row>
    <row r="121" spans="1:18" x14ac:dyDescent="0.25">
      <c r="A121" s="24">
        <f>IF(Planos!$A119="","",Planos!A119&amp;"")</f>
      </c>
      <c r="B121" s="41">
        <f>IF(Planos!$A119="","",Planos!B119&amp;"")</f>
      </c>
      <c r="C121" s="24">
        <f>IF(Planos!$A119="","",Planos!C119&amp;"")</f>
      </c>
      <c r="D121" s="42">
        <f>IF(Planos!$A119="","",N(Planos!E119))</f>
      </c>
      <c r="E121" s="43">
        <f>IF(Planos!$A119="","",N(Planos!K119))</f>
      </c>
      <c r="F121" s="44">
        <f>IF(OR(Planos!$A119="",NOT(ISNUMBER(Planos!$G119)),N(Planos!$E119)&lt;=0),0,IF(Planos!$G119&gt;EOMONTH(DATE(crono_ano_ref,1,1),0),0,MAX(0,INT((EOMONTH(DATE(crono_ano_ref,1,1),0)-IF(Planos!$G119&gt;=DATE(crono_ano_ref,1,1),Planos!$G119,Planos!$G119+CEILING((DATE(crono_ano_ref,1,1)-Planos!$G119)/Planos!$E119,1)*Planos!$E119))/Planos!$E119)+1)))</f>
      </c>
      <c r="G121" s="44">
        <f>IF(OR(Planos!$A119="",NOT(ISNUMBER(Planos!$G119)),N(Planos!$E119)&lt;=0),0,IF(Planos!$G119&gt;EOMONTH(DATE(crono_ano_ref,2,1),0),0,MAX(0,INT((EOMONTH(DATE(crono_ano_ref,2,1),0)-IF(Planos!$G119&gt;=DATE(crono_ano_ref,2,1),Planos!$G119,Planos!$G119+CEILING((DATE(crono_ano_ref,2,1)-Planos!$G119)/Planos!$E119,1)*Planos!$E119))/Planos!$E119)+1)))</f>
      </c>
      <c r="H121" s="44">
        <f>IF(OR(Planos!$A119="",NOT(ISNUMBER(Planos!$G119)),N(Planos!$E119)&lt;=0),0,IF(Planos!$G119&gt;EOMONTH(DATE(crono_ano_ref,3,1),0),0,MAX(0,INT((EOMONTH(DATE(crono_ano_ref,3,1),0)-IF(Planos!$G119&gt;=DATE(crono_ano_ref,3,1),Planos!$G119,Planos!$G119+CEILING((DATE(crono_ano_ref,3,1)-Planos!$G119)/Planos!$E119,1)*Planos!$E119))/Planos!$E119)+1)))</f>
      </c>
      <c r="I121" s="44">
        <f>IF(OR(Planos!$A119="",NOT(ISNUMBER(Planos!$G119)),N(Planos!$E119)&lt;=0),0,IF(Planos!$G119&gt;EOMONTH(DATE(crono_ano_ref,4,1),0),0,MAX(0,INT((EOMONTH(DATE(crono_ano_ref,4,1),0)-IF(Planos!$G119&gt;=DATE(crono_ano_ref,4,1),Planos!$G119,Planos!$G119+CEILING((DATE(crono_ano_ref,4,1)-Planos!$G119)/Planos!$E119,1)*Planos!$E119))/Planos!$E119)+1)))</f>
      </c>
      <c r="J121" s="44">
        <f>IF(OR(Planos!$A119="",NOT(ISNUMBER(Planos!$G119)),N(Planos!$E119)&lt;=0),0,IF(Planos!$G119&gt;EOMONTH(DATE(crono_ano_ref,5,1),0),0,MAX(0,INT((EOMONTH(DATE(crono_ano_ref,5,1),0)-IF(Planos!$G119&gt;=DATE(crono_ano_ref,5,1),Planos!$G119,Planos!$G119+CEILING((DATE(crono_ano_ref,5,1)-Planos!$G119)/Planos!$E119,1)*Planos!$E119))/Planos!$E119)+1)))</f>
      </c>
      <c r="K121" s="44">
        <f>IF(OR(Planos!$A119="",NOT(ISNUMBER(Planos!$G119)),N(Planos!$E119)&lt;=0),0,IF(Planos!$G119&gt;EOMONTH(DATE(crono_ano_ref,6,1),0),0,MAX(0,INT((EOMONTH(DATE(crono_ano_ref,6,1),0)-IF(Planos!$G119&gt;=DATE(crono_ano_ref,6,1),Planos!$G119,Planos!$G119+CEILING((DATE(crono_ano_ref,6,1)-Planos!$G119)/Planos!$E119,1)*Planos!$E119))/Planos!$E119)+1)))</f>
      </c>
      <c r="L121" s="44">
        <f>IF(OR(Planos!$A119="",NOT(ISNUMBER(Planos!$G119)),N(Planos!$E119)&lt;=0),0,IF(Planos!$G119&gt;EOMONTH(DATE(crono_ano_ref,7,1),0),0,MAX(0,INT((EOMONTH(DATE(crono_ano_ref,7,1),0)-IF(Planos!$G119&gt;=DATE(crono_ano_ref,7,1),Planos!$G119,Planos!$G119+CEILING((DATE(crono_ano_ref,7,1)-Planos!$G119)/Planos!$E119,1)*Planos!$E119))/Planos!$E119)+1)))</f>
      </c>
      <c r="M121" s="44">
        <f>IF(OR(Planos!$A119="",NOT(ISNUMBER(Planos!$G119)),N(Planos!$E119)&lt;=0),0,IF(Planos!$G119&gt;EOMONTH(DATE(crono_ano_ref,8,1),0),0,MAX(0,INT((EOMONTH(DATE(crono_ano_ref,8,1),0)-IF(Planos!$G119&gt;=DATE(crono_ano_ref,8,1),Planos!$G119,Planos!$G119+CEILING((DATE(crono_ano_ref,8,1)-Planos!$G119)/Planos!$E119,1)*Planos!$E119))/Planos!$E119)+1)))</f>
      </c>
      <c r="N121" s="44">
        <f>IF(OR(Planos!$A119="",NOT(ISNUMBER(Planos!$G119)),N(Planos!$E119)&lt;=0),0,IF(Planos!$G119&gt;EOMONTH(DATE(crono_ano_ref,9,1),0),0,MAX(0,INT((EOMONTH(DATE(crono_ano_ref,9,1),0)-IF(Planos!$G119&gt;=DATE(crono_ano_ref,9,1),Planos!$G119,Planos!$G119+CEILING((DATE(crono_ano_ref,9,1)-Planos!$G119)/Planos!$E119,1)*Planos!$E119))/Planos!$E119)+1)))</f>
      </c>
      <c r="O121" s="44">
        <f>IF(OR(Planos!$A119="",NOT(ISNUMBER(Planos!$G119)),N(Planos!$E119)&lt;=0),0,IF(Planos!$G119&gt;EOMONTH(DATE(crono_ano_ref,10,1),0),0,MAX(0,INT((EOMONTH(DATE(crono_ano_ref,10,1),0)-IF(Planos!$G119&gt;=DATE(crono_ano_ref,10,1),Planos!$G119,Planos!$G119+CEILING((DATE(crono_ano_ref,10,1)-Planos!$G119)/Planos!$E119,1)*Planos!$E119))/Planos!$E119)+1)))</f>
      </c>
      <c r="P121" s="44">
        <f>IF(OR(Planos!$A119="",NOT(ISNUMBER(Planos!$G119)),N(Planos!$E119)&lt;=0),0,IF(Planos!$G119&gt;EOMONTH(DATE(crono_ano_ref,11,1),0),0,MAX(0,INT((EOMONTH(DATE(crono_ano_ref,11,1),0)-IF(Planos!$G119&gt;=DATE(crono_ano_ref,11,1),Planos!$G119,Planos!$G119+CEILING((DATE(crono_ano_ref,11,1)-Planos!$G119)/Planos!$E119,1)*Planos!$E119))/Planos!$E119)+1)))</f>
      </c>
      <c r="Q121" s="44">
        <f>IF(OR(Planos!$A119="",NOT(ISNUMBER(Planos!$G119)),N(Planos!$E119)&lt;=0),0,IF(Planos!$G119&gt;EOMONTH(DATE(crono_ano_ref,12,1),0),0,MAX(0,INT((EOMONTH(DATE(crono_ano_ref,12,1),0)-IF(Planos!$G119&gt;=DATE(crono_ano_ref,12,1),Planos!$G119,Planos!$G119+CEILING((DATE(crono_ano_ref,12,1)-Planos!$G119)/Planos!$E119,1)*Planos!$E119))/Planos!$E119)+1)))</f>
      </c>
      <c r="R121" s="44">
        <f>SUM(F121:Q121)</f>
      </c>
    </row>
    <row r="122" spans="1:18" x14ac:dyDescent="0.25">
      <c r="A122" s="24">
        <f>IF(Planos!$A120="","",Planos!A120&amp;"")</f>
      </c>
      <c r="B122" s="41">
        <f>IF(Planos!$A120="","",Planos!B120&amp;"")</f>
      </c>
      <c r="C122" s="24">
        <f>IF(Planos!$A120="","",Planos!C120&amp;"")</f>
      </c>
      <c r="D122" s="42">
        <f>IF(Planos!$A120="","",N(Planos!E120))</f>
      </c>
      <c r="E122" s="43">
        <f>IF(Planos!$A120="","",N(Planos!K120))</f>
      </c>
      <c r="F122" s="44">
        <f>IF(OR(Planos!$A120="",NOT(ISNUMBER(Planos!$G120)),N(Planos!$E120)&lt;=0),0,IF(Planos!$G120&gt;EOMONTH(DATE(crono_ano_ref,1,1),0),0,MAX(0,INT((EOMONTH(DATE(crono_ano_ref,1,1),0)-IF(Planos!$G120&gt;=DATE(crono_ano_ref,1,1),Planos!$G120,Planos!$G120+CEILING((DATE(crono_ano_ref,1,1)-Planos!$G120)/Planos!$E120,1)*Planos!$E120))/Planos!$E120)+1)))</f>
      </c>
      <c r="G122" s="44">
        <f>IF(OR(Planos!$A120="",NOT(ISNUMBER(Planos!$G120)),N(Planos!$E120)&lt;=0),0,IF(Planos!$G120&gt;EOMONTH(DATE(crono_ano_ref,2,1),0),0,MAX(0,INT((EOMONTH(DATE(crono_ano_ref,2,1),0)-IF(Planos!$G120&gt;=DATE(crono_ano_ref,2,1),Planos!$G120,Planos!$G120+CEILING((DATE(crono_ano_ref,2,1)-Planos!$G120)/Planos!$E120,1)*Planos!$E120))/Planos!$E120)+1)))</f>
      </c>
      <c r="H122" s="44">
        <f>IF(OR(Planos!$A120="",NOT(ISNUMBER(Planos!$G120)),N(Planos!$E120)&lt;=0),0,IF(Planos!$G120&gt;EOMONTH(DATE(crono_ano_ref,3,1),0),0,MAX(0,INT((EOMONTH(DATE(crono_ano_ref,3,1),0)-IF(Planos!$G120&gt;=DATE(crono_ano_ref,3,1),Planos!$G120,Planos!$G120+CEILING((DATE(crono_ano_ref,3,1)-Planos!$G120)/Planos!$E120,1)*Planos!$E120))/Planos!$E120)+1)))</f>
      </c>
      <c r="I122" s="44">
        <f>IF(OR(Planos!$A120="",NOT(ISNUMBER(Planos!$G120)),N(Planos!$E120)&lt;=0),0,IF(Planos!$G120&gt;EOMONTH(DATE(crono_ano_ref,4,1),0),0,MAX(0,INT((EOMONTH(DATE(crono_ano_ref,4,1),0)-IF(Planos!$G120&gt;=DATE(crono_ano_ref,4,1),Planos!$G120,Planos!$G120+CEILING((DATE(crono_ano_ref,4,1)-Planos!$G120)/Planos!$E120,1)*Planos!$E120))/Planos!$E120)+1)))</f>
      </c>
      <c r="J122" s="44">
        <f>IF(OR(Planos!$A120="",NOT(ISNUMBER(Planos!$G120)),N(Planos!$E120)&lt;=0),0,IF(Planos!$G120&gt;EOMONTH(DATE(crono_ano_ref,5,1),0),0,MAX(0,INT((EOMONTH(DATE(crono_ano_ref,5,1),0)-IF(Planos!$G120&gt;=DATE(crono_ano_ref,5,1),Planos!$G120,Planos!$G120+CEILING((DATE(crono_ano_ref,5,1)-Planos!$G120)/Planos!$E120,1)*Planos!$E120))/Planos!$E120)+1)))</f>
      </c>
      <c r="K122" s="44">
        <f>IF(OR(Planos!$A120="",NOT(ISNUMBER(Planos!$G120)),N(Planos!$E120)&lt;=0),0,IF(Planos!$G120&gt;EOMONTH(DATE(crono_ano_ref,6,1),0),0,MAX(0,INT((EOMONTH(DATE(crono_ano_ref,6,1),0)-IF(Planos!$G120&gt;=DATE(crono_ano_ref,6,1),Planos!$G120,Planos!$G120+CEILING((DATE(crono_ano_ref,6,1)-Planos!$G120)/Planos!$E120,1)*Planos!$E120))/Planos!$E120)+1)))</f>
      </c>
      <c r="L122" s="44">
        <f>IF(OR(Planos!$A120="",NOT(ISNUMBER(Planos!$G120)),N(Planos!$E120)&lt;=0),0,IF(Planos!$G120&gt;EOMONTH(DATE(crono_ano_ref,7,1),0),0,MAX(0,INT((EOMONTH(DATE(crono_ano_ref,7,1),0)-IF(Planos!$G120&gt;=DATE(crono_ano_ref,7,1),Planos!$G120,Planos!$G120+CEILING((DATE(crono_ano_ref,7,1)-Planos!$G120)/Planos!$E120,1)*Planos!$E120))/Planos!$E120)+1)))</f>
      </c>
      <c r="M122" s="44">
        <f>IF(OR(Planos!$A120="",NOT(ISNUMBER(Planos!$G120)),N(Planos!$E120)&lt;=0),0,IF(Planos!$G120&gt;EOMONTH(DATE(crono_ano_ref,8,1),0),0,MAX(0,INT((EOMONTH(DATE(crono_ano_ref,8,1),0)-IF(Planos!$G120&gt;=DATE(crono_ano_ref,8,1),Planos!$G120,Planos!$G120+CEILING((DATE(crono_ano_ref,8,1)-Planos!$G120)/Planos!$E120,1)*Planos!$E120))/Planos!$E120)+1)))</f>
      </c>
      <c r="N122" s="44">
        <f>IF(OR(Planos!$A120="",NOT(ISNUMBER(Planos!$G120)),N(Planos!$E120)&lt;=0),0,IF(Planos!$G120&gt;EOMONTH(DATE(crono_ano_ref,9,1),0),0,MAX(0,INT((EOMONTH(DATE(crono_ano_ref,9,1),0)-IF(Planos!$G120&gt;=DATE(crono_ano_ref,9,1),Planos!$G120,Planos!$G120+CEILING((DATE(crono_ano_ref,9,1)-Planos!$G120)/Planos!$E120,1)*Planos!$E120))/Planos!$E120)+1)))</f>
      </c>
      <c r="O122" s="44">
        <f>IF(OR(Planos!$A120="",NOT(ISNUMBER(Planos!$G120)),N(Planos!$E120)&lt;=0),0,IF(Planos!$G120&gt;EOMONTH(DATE(crono_ano_ref,10,1),0),0,MAX(0,INT((EOMONTH(DATE(crono_ano_ref,10,1),0)-IF(Planos!$G120&gt;=DATE(crono_ano_ref,10,1),Planos!$G120,Planos!$G120+CEILING((DATE(crono_ano_ref,10,1)-Planos!$G120)/Planos!$E120,1)*Planos!$E120))/Planos!$E120)+1)))</f>
      </c>
      <c r="P122" s="44">
        <f>IF(OR(Planos!$A120="",NOT(ISNUMBER(Planos!$G120)),N(Planos!$E120)&lt;=0),0,IF(Planos!$G120&gt;EOMONTH(DATE(crono_ano_ref,11,1),0),0,MAX(0,INT((EOMONTH(DATE(crono_ano_ref,11,1),0)-IF(Planos!$G120&gt;=DATE(crono_ano_ref,11,1),Planos!$G120,Planos!$G120+CEILING((DATE(crono_ano_ref,11,1)-Planos!$G120)/Planos!$E120,1)*Planos!$E120))/Planos!$E120)+1)))</f>
      </c>
      <c r="Q122" s="44">
        <f>IF(OR(Planos!$A120="",NOT(ISNUMBER(Planos!$G120)),N(Planos!$E120)&lt;=0),0,IF(Planos!$G120&gt;EOMONTH(DATE(crono_ano_ref,12,1),0),0,MAX(0,INT((EOMONTH(DATE(crono_ano_ref,12,1),0)-IF(Planos!$G120&gt;=DATE(crono_ano_ref,12,1),Planos!$G120,Planos!$G120+CEILING((DATE(crono_ano_ref,12,1)-Planos!$G120)/Planos!$E120,1)*Planos!$E120))/Planos!$E120)+1)))</f>
      </c>
      <c r="R122" s="44">
        <f>SUM(F122:Q122)</f>
      </c>
    </row>
    <row r="123" spans="1:18" x14ac:dyDescent="0.25">
      <c r="A123" s="24">
        <f>IF(Planos!$A121="","",Planos!A121&amp;"")</f>
      </c>
      <c r="B123" s="41">
        <f>IF(Planos!$A121="","",Planos!B121&amp;"")</f>
      </c>
      <c r="C123" s="24">
        <f>IF(Planos!$A121="","",Planos!C121&amp;"")</f>
      </c>
      <c r="D123" s="42">
        <f>IF(Planos!$A121="","",N(Planos!E121))</f>
      </c>
      <c r="E123" s="43">
        <f>IF(Planos!$A121="","",N(Planos!K121))</f>
      </c>
      <c r="F123" s="44">
        <f>IF(OR(Planos!$A121="",NOT(ISNUMBER(Planos!$G121)),N(Planos!$E121)&lt;=0),0,IF(Planos!$G121&gt;EOMONTH(DATE(crono_ano_ref,1,1),0),0,MAX(0,INT((EOMONTH(DATE(crono_ano_ref,1,1),0)-IF(Planos!$G121&gt;=DATE(crono_ano_ref,1,1),Planos!$G121,Planos!$G121+CEILING((DATE(crono_ano_ref,1,1)-Planos!$G121)/Planos!$E121,1)*Planos!$E121))/Planos!$E121)+1)))</f>
      </c>
      <c r="G123" s="44">
        <f>IF(OR(Planos!$A121="",NOT(ISNUMBER(Planos!$G121)),N(Planos!$E121)&lt;=0),0,IF(Planos!$G121&gt;EOMONTH(DATE(crono_ano_ref,2,1),0),0,MAX(0,INT((EOMONTH(DATE(crono_ano_ref,2,1),0)-IF(Planos!$G121&gt;=DATE(crono_ano_ref,2,1),Planos!$G121,Planos!$G121+CEILING((DATE(crono_ano_ref,2,1)-Planos!$G121)/Planos!$E121,1)*Planos!$E121))/Planos!$E121)+1)))</f>
      </c>
      <c r="H123" s="44">
        <f>IF(OR(Planos!$A121="",NOT(ISNUMBER(Planos!$G121)),N(Planos!$E121)&lt;=0),0,IF(Planos!$G121&gt;EOMONTH(DATE(crono_ano_ref,3,1),0),0,MAX(0,INT((EOMONTH(DATE(crono_ano_ref,3,1),0)-IF(Planos!$G121&gt;=DATE(crono_ano_ref,3,1),Planos!$G121,Planos!$G121+CEILING((DATE(crono_ano_ref,3,1)-Planos!$G121)/Planos!$E121,1)*Planos!$E121))/Planos!$E121)+1)))</f>
      </c>
      <c r="I123" s="44">
        <f>IF(OR(Planos!$A121="",NOT(ISNUMBER(Planos!$G121)),N(Planos!$E121)&lt;=0),0,IF(Planos!$G121&gt;EOMONTH(DATE(crono_ano_ref,4,1),0),0,MAX(0,INT((EOMONTH(DATE(crono_ano_ref,4,1),0)-IF(Planos!$G121&gt;=DATE(crono_ano_ref,4,1),Planos!$G121,Planos!$G121+CEILING((DATE(crono_ano_ref,4,1)-Planos!$G121)/Planos!$E121,1)*Planos!$E121))/Planos!$E121)+1)))</f>
      </c>
      <c r="J123" s="44">
        <f>IF(OR(Planos!$A121="",NOT(ISNUMBER(Planos!$G121)),N(Planos!$E121)&lt;=0),0,IF(Planos!$G121&gt;EOMONTH(DATE(crono_ano_ref,5,1),0),0,MAX(0,INT((EOMONTH(DATE(crono_ano_ref,5,1),0)-IF(Planos!$G121&gt;=DATE(crono_ano_ref,5,1),Planos!$G121,Planos!$G121+CEILING((DATE(crono_ano_ref,5,1)-Planos!$G121)/Planos!$E121,1)*Planos!$E121))/Planos!$E121)+1)))</f>
      </c>
      <c r="K123" s="44">
        <f>IF(OR(Planos!$A121="",NOT(ISNUMBER(Planos!$G121)),N(Planos!$E121)&lt;=0),0,IF(Planos!$G121&gt;EOMONTH(DATE(crono_ano_ref,6,1),0),0,MAX(0,INT((EOMONTH(DATE(crono_ano_ref,6,1),0)-IF(Planos!$G121&gt;=DATE(crono_ano_ref,6,1),Planos!$G121,Planos!$G121+CEILING((DATE(crono_ano_ref,6,1)-Planos!$G121)/Planos!$E121,1)*Planos!$E121))/Planos!$E121)+1)))</f>
      </c>
      <c r="L123" s="44">
        <f>IF(OR(Planos!$A121="",NOT(ISNUMBER(Planos!$G121)),N(Planos!$E121)&lt;=0),0,IF(Planos!$G121&gt;EOMONTH(DATE(crono_ano_ref,7,1),0),0,MAX(0,INT((EOMONTH(DATE(crono_ano_ref,7,1),0)-IF(Planos!$G121&gt;=DATE(crono_ano_ref,7,1),Planos!$G121,Planos!$G121+CEILING((DATE(crono_ano_ref,7,1)-Planos!$G121)/Planos!$E121,1)*Planos!$E121))/Planos!$E121)+1)))</f>
      </c>
      <c r="M123" s="44">
        <f>IF(OR(Planos!$A121="",NOT(ISNUMBER(Planos!$G121)),N(Planos!$E121)&lt;=0),0,IF(Planos!$G121&gt;EOMONTH(DATE(crono_ano_ref,8,1),0),0,MAX(0,INT((EOMONTH(DATE(crono_ano_ref,8,1),0)-IF(Planos!$G121&gt;=DATE(crono_ano_ref,8,1),Planos!$G121,Planos!$G121+CEILING((DATE(crono_ano_ref,8,1)-Planos!$G121)/Planos!$E121,1)*Planos!$E121))/Planos!$E121)+1)))</f>
      </c>
      <c r="N123" s="44">
        <f>IF(OR(Planos!$A121="",NOT(ISNUMBER(Planos!$G121)),N(Planos!$E121)&lt;=0),0,IF(Planos!$G121&gt;EOMONTH(DATE(crono_ano_ref,9,1),0),0,MAX(0,INT((EOMONTH(DATE(crono_ano_ref,9,1),0)-IF(Planos!$G121&gt;=DATE(crono_ano_ref,9,1),Planos!$G121,Planos!$G121+CEILING((DATE(crono_ano_ref,9,1)-Planos!$G121)/Planos!$E121,1)*Planos!$E121))/Planos!$E121)+1)))</f>
      </c>
      <c r="O123" s="44">
        <f>IF(OR(Planos!$A121="",NOT(ISNUMBER(Planos!$G121)),N(Planos!$E121)&lt;=0),0,IF(Planos!$G121&gt;EOMONTH(DATE(crono_ano_ref,10,1),0),0,MAX(0,INT((EOMONTH(DATE(crono_ano_ref,10,1),0)-IF(Planos!$G121&gt;=DATE(crono_ano_ref,10,1),Planos!$G121,Planos!$G121+CEILING((DATE(crono_ano_ref,10,1)-Planos!$G121)/Planos!$E121,1)*Planos!$E121))/Planos!$E121)+1)))</f>
      </c>
      <c r="P123" s="44">
        <f>IF(OR(Planos!$A121="",NOT(ISNUMBER(Planos!$G121)),N(Planos!$E121)&lt;=0),0,IF(Planos!$G121&gt;EOMONTH(DATE(crono_ano_ref,11,1),0),0,MAX(0,INT((EOMONTH(DATE(crono_ano_ref,11,1),0)-IF(Planos!$G121&gt;=DATE(crono_ano_ref,11,1),Planos!$G121,Planos!$G121+CEILING((DATE(crono_ano_ref,11,1)-Planos!$G121)/Planos!$E121,1)*Planos!$E121))/Planos!$E121)+1)))</f>
      </c>
      <c r="Q123" s="44">
        <f>IF(OR(Planos!$A121="",NOT(ISNUMBER(Planos!$G121)),N(Planos!$E121)&lt;=0),0,IF(Planos!$G121&gt;EOMONTH(DATE(crono_ano_ref,12,1),0),0,MAX(0,INT((EOMONTH(DATE(crono_ano_ref,12,1),0)-IF(Planos!$G121&gt;=DATE(crono_ano_ref,12,1),Planos!$G121,Planos!$G121+CEILING((DATE(crono_ano_ref,12,1)-Planos!$G121)/Planos!$E121,1)*Planos!$E121))/Planos!$E121)+1)))</f>
      </c>
      <c r="R123" s="44">
        <f>SUM(F123:Q123)</f>
      </c>
    </row>
    <row r="124" spans="1:18" x14ac:dyDescent="0.25">
      <c r="A124" s="24">
        <f>IF(Planos!$A122="","",Planos!A122&amp;"")</f>
      </c>
      <c r="B124" s="41">
        <f>IF(Planos!$A122="","",Planos!B122&amp;"")</f>
      </c>
      <c r="C124" s="24">
        <f>IF(Planos!$A122="","",Planos!C122&amp;"")</f>
      </c>
      <c r="D124" s="42">
        <f>IF(Planos!$A122="","",N(Planos!E122))</f>
      </c>
      <c r="E124" s="43">
        <f>IF(Planos!$A122="","",N(Planos!K122))</f>
      </c>
      <c r="F124" s="44">
        <f>IF(OR(Planos!$A122="",NOT(ISNUMBER(Planos!$G122)),N(Planos!$E122)&lt;=0),0,IF(Planos!$G122&gt;EOMONTH(DATE(crono_ano_ref,1,1),0),0,MAX(0,INT((EOMONTH(DATE(crono_ano_ref,1,1),0)-IF(Planos!$G122&gt;=DATE(crono_ano_ref,1,1),Planos!$G122,Planos!$G122+CEILING((DATE(crono_ano_ref,1,1)-Planos!$G122)/Planos!$E122,1)*Planos!$E122))/Planos!$E122)+1)))</f>
      </c>
      <c r="G124" s="44">
        <f>IF(OR(Planos!$A122="",NOT(ISNUMBER(Planos!$G122)),N(Planos!$E122)&lt;=0),0,IF(Planos!$G122&gt;EOMONTH(DATE(crono_ano_ref,2,1),0),0,MAX(0,INT((EOMONTH(DATE(crono_ano_ref,2,1),0)-IF(Planos!$G122&gt;=DATE(crono_ano_ref,2,1),Planos!$G122,Planos!$G122+CEILING((DATE(crono_ano_ref,2,1)-Planos!$G122)/Planos!$E122,1)*Planos!$E122))/Planos!$E122)+1)))</f>
      </c>
      <c r="H124" s="44">
        <f>IF(OR(Planos!$A122="",NOT(ISNUMBER(Planos!$G122)),N(Planos!$E122)&lt;=0),0,IF(Planos!$G122&gt;EOMONTH(DATE(crono_ano_ref,3,1),0),0,MAX(0,INT((EOMONTH(DATE(crono_ano_ref,3,1),0)-IF(Planos!$G122&gt;=DATE(crono_ano_ref,3,1),Planos!$G122,Planos!$G122+CEILING((DATE(crono_ano_ref,3,1)-Planos!$G122)/Planos!$E122,1)*Planos!$E122))/Planos!$E122)+1)))</f>
      </c>
      <c r="I124" s="44">
        <f>IF(OR(Planos!$A122="",NOT(ISNUMBER(Planos!$G122)),N(Planos!$E122)&lt;=0),0,IF(Planos!$G122&gt;EOMONTH(DATE(crono_ano_ref,4,1),0),0,MAX(0,INT((EOMONTH(DATE(crono_ano_ref,4,1),0)-IF(Planos!$G122&gt;=DATE(crono_ano_ref,4,1),Planos!$G122,Planos!$G122+CEILING((DATE(crono_ano_ref,4,1)-Planos!$G122)/Planos!$E122,1)*Planos!$E122))/Planos!$E122)+1)))</f>
      </c>
      <c r="J124" s="44">
        <f>IF(OR(Planos!$A122="",NOT(ISNUMBER(Planos!$G122)),N(Planos!$E122)&lt;=0),0,IF(Planos!$G122&gt;EOMONTH(DATE(crono_ano_ref,5,1),0),0,MAX(0,INT((EOMONTH(DATE(crono_ano_ref,5,1),0)-IF(Planos!$G122&gt;=DATE(crono_ano_ref,5,1),Planos!$G122,Planos!$G122+CEILING((DATE(crono_ano_ref,5,1)-Planos!$G122)/Planos!$E122,1)*Planos!$E122))/Planos!$E122)+1)))</f>
      </c>
      <c r="K124" s="44">
        <f>IF(OR(Planos!$A122="",NOT(ISNUMBER(Planos!$G122)),N(Planos!$E122)&lt;=0),0,IF(Planos!$G122&gt;EOMONTH(DATE(crono_ano_ref,6,1),0),0,MAX(0,INT((EOMONTH(DATE(crono_ano_ref,6,1),0)-IF(Planos!$G122&gt;=DATE(crono_ano_ref,6,1),Planos!$G122,Planos!$G122+CEILING((DATE(crono_ano_ref,6,1)-Planos!$G122)/Planos!$E122,1)*Planos!$E122))/Planos!$E122)+1)))</f>
      </c>
      <c r="L124" s="44">
        <f>IF(OR(Planos!$A122="",NOT(ISNUMBER(Planos!$G122)),N(Planos!$E122)&lt;=0),0,IF(Planos!$G122&gt;EOMONTH(DATE(crono_ano_ref,7,1),0),0,MAX(0,INT((EOMONTH(DATE(crono_ano_ref,7,1),0)-IF(Planos!$G122&gt;=DATE(crono_ano_ref,7,1),Planos!$G122,Planos!$G122+CEILING((DATE(crono_ano_ref,7,1)-Planos!$G122)/Planos!$E122,1)*Planos!$E122))/Planos!$E122)+1)))</f>
      </c>
      <c r="M124" s="44">
        <f>IF(OR(Planos!$A122="",NOT(ISNUMBER(Planos!$G122)),N(Planos!$E122)&lt;=0),0,IF(Planos!$G122&gt;EOMONTH(DATE(crono_ano_ref,8,1),0),0,MAX(0,INT((EOMONTH(DATE(crono_ano_ref,8,1),0)-IF(Planos!$G122&gt;=DATE(crono_ano_ref,8,1),Planos!$G122,Planos!$G122+CEILING((DATE(crono_ano_ref,8,1)-Planos!$G122)/Planos!$E122,1)*Planos!$E122))/Planos!$E122)+1)))</f>
      </c>
      <c r="N124" s="44">
        <f>IF(OR(Planos!$A122="",NOT(ISNUMBER(Planos!$G122)),N(Planos!$E122)&lt;=0),0,IF(Planos!$G122&gt;EOMONTH(DATE(crono_ano_ref,9,1),0),0,MAX(0,INT((EOMONTH(DATE(crono_ano_ref,9,1),0)-IF(Planos!$G122&gt;=DATE(crono_ano_ref,9,1),Planos!$G122,Planos!$G122+CEILING((DATE(crono_ano_ref,9,1)-Planos!$G122)/Planos!$E122,1)*Planos!$E122))/Planos!$E122)+1)))</f>
      </c>
      <c r="O124" s="44">
        <f>IF(OR(Planos!$A122="",NOT(ISNUMBER(Planos!$G122)),N(Planos!$E122)&lt;=0),0,IF(Planos!$G122&gt;EOMONTH(DATE(crono_ano_ref,10,1),0),0,MAX(0,INT((EOMONTH(DATE(crono_ano_ref,10,1),0)-IF(Planos!$G122&gt;=DATE(crono_ano_ref,10,1),Planos!$G122,Planos!$G122+CEILING((DATE(crono_ano_ref,10,1)-Planos!$G122)/Planos!$E122,1)*Planos!$E122))/Planos!$E122)+1)))</f>
      </c>
      <c r="P124" s="44">
        <f>IF(OR(Planos!$A122="",NOT(ISNUMBER(Planos!$G122)),N(Planos!$E122)&lt;=0),0,IF(Planos!$G122&gt;EOMONTH(DATE(crono_ano_ref,11,1),0),0,MAX(0,INT((EOMONTH(DATE(crono_ano_ref,11,1),0)-IF(Planos!$G122&gt;=DATE(crono_ano_ref,11,1),Planos!$G122,Planos!$G122+CEILING((DATE(crono_ano_ref,11,1)-Planos!$G122)/Planos!$E122,1)*Planos!$E122))/Planos!$E122)+1)))</f>
      </c>
      <c r="Q124" s="44">
        <f>IF(OR(Planos!$A122="",NOT(ISNUMBER(Planos!$G122)),N(Planos!$E122)&lt;=0),0,IF(Planos!$G122&gt;EOMONTH(DATE(crono_ano_ref,12,1),0),0,MAX(0,INT((EOMONTH(DATE(crono_ano_ref,12,1),0)-IF(Planos!$G122&gt;=DATE(crono_ano_ref,12,1),Planos!$G122,Planos!$G122+CEILING((DATE(crono_ano_ref,12,1)-Planos!$G122)/Planos!$E122,1)*Planos!$E122))/Planos!$E122)+1)))</f>
      </c>
      <c r="R124" s="44">
        <f>SUM(F124:Q124)</f>
      </c>
    </row>
    <row r="125" spans="1:18" x14ac:dyDescent="0.25">
      <c r="A125" s="24">
        <f>IF(Planos!$A123="","",Planos!A123&amp;"")</f>
      </c>
      <c r="B125" s="41">
        <f>IF(Planos!$A123="","",Planos!B123&amp;"")</f>
      </c>
      <c r="C125" s="24">
        <f>IF(Planos!$A123="","",Planos!C123&amp;"")</f>
      </c>
      <c r="D125" s="42">
        <f>IF(Planos!$A123="","",N(Planos!E123))</f>
      </c>
      <c r="E125" s="43">
        <f>IF(Planos!$A123="","",N(Planos!K123))</f>
      </c>
      <c r="F125" s="44">
        <f>IF(OR(Planos!$A123="",NOT(ISNUMBER(Planos!$G123)),N(Planos!$E123)&lt;=0),0,IF(Planos!$G123&gt;EOMONTH(DATE(crono_ano_ref,1,1),0),0,MAX(0,INT((EOMONTH(DATE(crono_ano_ref,1,1),0)-IF(Planos!$G123&gt;=DATE(crono_ano_ref,1,1),Planos!$G123,Planos!$G123+CEILING((DATE(crono_ano_ref,1,1)-Planos!$G123)/Planos!$E123,1)*Planos!$E123))/Planos!$E123)+1)))</f>
      </c>
      <c r="G125" s="44">
        <f>IF(OR(Planos!$A123="",NOT(ISNUMBER(Planos!$G123)),N(Planos!$E123)&lt;=0),0,IF(Planos!$G123&gt;EOMONTH(DATE(crono_ano_ref,2,1),0),0,MAX(0,INT((EOMONTH(DATE(crono_ano_ref,2,1),0)-IF(Planos!$G123&gt;=DATE(crono_ano_ref,2,1),Planos!$G123,Planos!$G123+CEILING((DATE(crono_ano_ref,2,1)-Planos!$G123)/Planos!$E123,1)*Planos!$E123))/Planos!$E123)+1)))</f>
      </c>
      <c r="H125" s="44">
        <f>IF(OR(Planos!$A123="",NOT(ISNUMBER(Planos!$G123)),N(Planos!$E123)&lt;=0),0,IF(Planos!$G123&gt;EOMONTH(DATE(crono_ano_ref,3,1),0),0,MAX(0,INT((EOMONTH(DATE(crono_ano_ref,3,1),0)-IF(Planos!$G123&gt;=DATE(crono_ano_ref,3,1),Planos!$G123,Planos!$G123+CEILING((DATE(crono_ano_ref,3,1)-Planos!$G123)/Planos!$E123,1)*Planos!$E123))/Planos!$E123)+1)))</f>
      </c>
      <c r="I125" s="44">
        <f>IF(OR(Planos!$A123="",NOT(ISNUMBER(Planos!$G123)),N(Planos!$E123)&lt;=0),0,IF(Planos!$G123&gt;EOMONTH(DATE(crono_ano_ref,4,1),0),0,MAX(0,INT((EOMONTH(DATE(crono_ano_ref,4,1),0)-IF(Planos!$G123&gt;=DATE(crono_ano_ref,4,1),Planos!$G123,Planos!$G123+CEILING((DATE(crono_ano_ref,4,1)-Planos!$G123)/Planos!$E123,1)*Planos!$E123))/Planos!$E123)+1)))</f>
      </c>
      <c r="J125" s="44">
        <f>IF(OR(Planos!$A123="",NOT(ISNUMBER(Planos!$G123)),N(Planos!$E123)&lt;=0),0,IF(Planos!$G123&gt;EOMONTH(DATE(crono_ano_ref,5,1),0),0,MAX(0,INT((EOMONTH(DATE(crono_ano_ref,5,1),0)-IF(Planos!$G123&gt;=DATE(crono_ano_ref,5,1),Planos!$G123,Planos!$G123+CEILING((DATE(crono_ano_ref,5,1)-Planos!$G123)/Planos!$E123,1)*Planos!$E123))/Planos!$E123)+1)))</f>
      </c>
      <c r="K125" s="44">
        <f>IF(OR(Planos!$A123="",NOT(ISNUMBER(Planos!$G123)),N(Planos!$E123)&lt;=0),0,IF(Planos!$G123&gt;EOMONTH(DATE(crono_ano_ref,6,1),0),0,MAX(0,INT((EOMONTH(DATE(crono_ano_ref,6,1),0)-IF(Planos!$G123&gt;=DATE(crono_ano_ref,6,1),Planos!$G123,Planos!$G123+CEILING((DATE(crono_ano_ref,6,1)-Planos!$G123)/Planos!$E123,1)*Planos!$E123))/Planos!$E123)+1)))</f>
      </c>
      <c r="L125" s="44">
        <f>IF(OR(Planos!$A123="",NOT(ISNUMBER(Planos!$G123)),N(Planos!$E123)&lt;=0),0,IF(Planos!$G123&gt;EOMONTH(DATE(crono_ano_ref,7,1),0),0,MAX(0,INT((EOMONTH(DATE(crono_ano_ref,7,1),0)-IF(Planos!$G123&gt;=DATE(crono_ano_ref,7,1),Planos!$G123,Planos!$G123+CEILING((DATE(crono_ano_ref,7,1)-Planos!$G123)/Planos!$E123,1)*Planos!$E123))/Planos!$E123)+1)))</f>
      </c>
      <c r="M125" s="44">
        <f>IF(OR(Planos!$A123="",NOT(ISNUMBER(Planos!$G123)),N(Planos!$E123)&lt;=0),0,IF(Planos!$G123&gt;EOMONTH(DATE(crono_ano_ref,8,1),0),0,MAX(0,INT((EOMONTH(DATE(crono_ano_ref,8,1),0)-IF(Planos!$G123&gt;=DATE(crono_ano_ref,8,1),Planos!$G123,Planos!$G123+CEILING((DATE(crono_ano_ref,8,1)-Planos!$G123)/Planos!$E123,1)*Planos!$E123))/Planos!$E123)+1)))</f>
      </c>
      <c r="N125" s="44">
        <f>IF(OR(Planos!$A123="",NOT(ISNUMBER(Planos!$G123)),N(Planos!$E123)&lt;=0),0,IF(Planos!$G123&gt;EOMONTH(DATE(crono_ano_ref,9,1),0),0,MAX(0,INT((EOMONTH(DATE(crono_ano_ref,9,1),0)-IF(Planos!$G123&gt;=DATE(crono_ano_ref,9,1),Planos!$G123,Planos!$G123+CEILING((DATE(crono_ano_ref,9,1)-Planos!$G123)/Planos!$E123,1)*Planos!$E123))/Planos!$E123)+1)))</f>
      </c>
      <c r="O125" s="44">
        <f>IF(OR(Planos!$A123="",NOT(ISNUMBER(Planos!$G123)),N(Planos!$E123)&lt;=0),0,IF(Planos!$G123&gt;EOMONTH(DATE(crono_ano_ref,10,1),0),0,MAX(0,INT((EOMONTH(DATE(crono_ano_ref,10,1),0)-IF(Planos!$G123&gt;=DATE(crono_ano_ref,10,1),Planos!$G123,Planos!$G123+CEILING((DATE(crono_ano_ref,10,1)-Planos!$G123)/Planos!$E123,1)*Planos!$E123))/Planos!$E123)+1)))</f>
      </c>
      <c r="P125" s="44">
        <f>IF(OR(Planos!$A123="",NOT(ISNUMBER(Planos!$G123)),N(Planos!$E123)&lt;=0),0,IF(Planos!$G123&gt;EOMONTH(DATE(crono_ano_ref,11,1),0),0,MAX(0,INT((EOMONTH(DATE(crono_ano_ref,11,1),0)-IF(Planos!$G123&gt;=DATE(crono_ano_ref,11,1),Planos!$G123,Planos!$G123+CEILING((DATE(crono_ano_ref,11,1)-Planos!$G123)/Planos!$E123,1)*Planos!$E123))/Planos!$E123)+1)))</f>
      </c>
      <c r="Q125" s="44">
        <f>IF(OR(Planos!$A123="",NOT(ISNUMBER(Planos!$G123)),N(Planos!$E123)&lt;=0),0,IF(Planos!$G123&gt;EOMONTH(DATE(crono_ano_ref,12,1),0),0,MAX(0,INT((EOMONTH(DATE(crono_ano_ref,12,1),0)-IF(Planos!$G123&gt;=DATE(crono_ano_ref,12,1),Planos!$G123,Planos!$G123+CEILING((DATE(crono_ano_ref,12,1)-Planos!$G123)/Planos!$E123,1)*Planos!$E123))/Planos!$E123)+1)))</f>
      </c>
      <c r="R125" s="44">
        <f>SUM(F125:Q125)</f>
      </c>
    </row>
    <row r="126" spans="1:18" x14ac:dyDescent="0.25">
      <c r="A126" s="24">
        <f>IF(Planos!$A124="","",Planos!A124&amp;"")</f>
      </c>
      <c r="B126" s="41">
        <f>IF(Planos!$A124="","",Planos!B124&amp;"")</f>
      </c>
      <c r="C126" s="24">
        <f>IF(Planos!$A124="","",Planos!C124&amp;"")</f>
      </c>
      <c r="D126" s="42">
        <f>IF(Planos!$A124="","",N(Planos!E124))</f>
      </c>
      <c r="E126" s="43">
        <f>IF(Planos!$A124="","",N(Planos!K124))</f>
      </c>
      <c r="F126" s="44">
        <f>IF(OR(Planos!$A124="",NOT(ISNUMBER(Planos!$G124)),N(Planos!$E124)&lt;=0),0,IF(Planos!$G124&gt;EOMONTH(DATE(crono_ano_ref,1,1),0),0,MAX(0,INT((EOMONTH(DATE(crono_ano_ref,1,1),0)-IF(Planos!$G124&gt;=DATE(crono_ano_ref,1,1),Planos!$G124,Planos!$G124+CEILING((DATE(crono_ano_ref,1,1)-Planos!$G124)/Planos!$E124,1)*Planos!$E124))/Planos!$E124)+1)))</f>
      </c>
      <c r="G126" s="44">
        <f>IF(OR(Planos!$A124="",NOT(ISNUMBER(Planos!$G124)),N(Planos!$E124)&lt;=0),0,IF(Planos!$G124&gt;EOMONTH(DATE(crono_ano_ref,2,1),0),0,MAX(0,INT((EOMONTH(DATE(crono_ano_ref,2,1),0)-IF(Planos!$G124&gt;=DATE(crono_ano_ref,2,1),Planos!$G124,Planos!$G124+CEILING((DATE(crono_ano_ref,2,1)-Planos!$G124)/Planos!$E124,1)*Planos!$E124))/Planos!$E124)+1)))</f>
      </c>
      <c r="H126" s="44">
        <f>IF(OR(Planos!$A124="",NOT(ISNUMBER(Planos!$G124)),N(Planos!$E124)&lt;=0),0,IF(Planos!$G124&gt;EOMONTH(DATE(crono_ano_ref,3,1),0),0,MAX(0,INT((EOMONTH(DATE(crono_ano_ref,3,1),0)-IF(Planos!$G124&gt;=DATE(crono_ano_ref,3,1),Planos!$G124,Planos!$G124+CEILING((DATE(crono_ano_ref,3,1)-Planos!$G124)/Planos!$E124,1)*Planos!$E124))/Planos!$E124)+1)))</f>
      </c>
      <c r="I126" s="44">
        <f>IF(OR(Planos!$A124="",NOT(ISNUMBER(Planos!$G124)),N(Planos!$E124)&lt;=0),0,IF(Planos!$G124&gt;EOMONTH(DATE(crono_ano_ref,4,1),0),0,MAX(0,INT((EOMONTH(DATE(crono_ano_ref,4,1),0)-IF(Planos!$G124&gt;=DATE(crono_ano_ref,4,1),Planos!$G124,Planos!$G124+CEILING((DATE(crono_ano_ref,4,1)-Planos!$G124)/Planos!$E124,1)*Planos!$E124))/Planos!$E124)+1)))</f>
      </c>
      <c r="J126" s="44">
        <f>IF(OR(Planos!$A124="",NOT(ISNUMBER(Planos!$G124)),N(Planos!$E124)&lt;=0),0,IF(Planos!$G124&gt;EOMONTH(DATE(crono_ano_ref,5,1),0),0,MAX(0,INT((EOMONTH(DATE(crono_ano_ref,5,1),0)-IF(Planos!$G124&gt;=DATE(crono_ano_ref,5,1),Planos!$G124,Planos!$G124+CEILING((DATE(crono_ano_ref,5,1)-Planos!$G124)/Planos!$E124,1)*Planos!$E124))/Planos!$E124)+1)))</f>
      </c>
      <c r="K126" s="44">
        <f>IF(OR(Planos!$A124="",NOT(ISNUMBER(Planos!$G124)),N(Planos!$E124)&lt;=0),0,IF(Planos!$G124&gt;EOMONTH(DATE(crono_ano_ref,6,1),0),0,MAX(0,INT((EOMONTH(DATE(crono_ano_ref,6,1),0)-IF(Planos!$G124&gt;=DATE(crono_ano_ref,6,1),Planos!$G124,Planos!$G124+CEILING((DATE(crono_ano_ref,6,1)-Planos!$G124)/Planos!$E124,1)*Planos!$E124))/Planos!$E124)+1)))</f>
      </c>
      <c r="L126" s="44">
        <f>IF(OR(Planos!$A124="",NOT(ISNUMBER(Planos!$G124)),N(Planos!$E124)&lt;=0),0,IF(Planos!$G124&gt;EOMONTH(DATE(crono_ano_ref,7,1),0),0,MAX(0,INT((EOMONTH(DATE(crono_ano_ref,7,1),0)-IF(Planos!$G124&gt;=DATE(crono_ano_ref,7,1),Planos!$G124,Planos!$G124+CEILING((DATE(crono_ano_ref,7,1)-Planos!$G124)/Planos!$E124,1)*Planos!$E124))/Planos!$E124)+1)))</f>
      </c>
      <c r="M126" s="44">
        <f>IF(OR(Planos!$A124="",NOT(ISNUMBER(Planos!$G124)),N(Planos!$E124)&lt;=0),0,IF(Planos!$G124&gt;EOMONTH(DATE(crono_ano_ref,8,1),0),0,MAX(0,INT((EOMONTH(DATE(crono_ano_ref,8,1),0)-IF(Planos!$G124&gt;=DATE(crono_ano_ref,8,1),Planos!$G124,Planos!$G124+CEILING((DATE(crono_ano_ref,8,1)-Planos!$G124)/Planos!$E124,1)*Planos!$E124))/Planos!$E124)+1)))</f>
      </c>
      <c r="N126" s="44">
        <f>IF(OR(Planos!$A124="",NOT(ISNUMBER(Planos!$G124)),N(Planos!$E124)&lt;=0),0,IF(Planos!$G124&gt;EOMONTH(DATE(crono_ano_ref,9,1),0),0,MAX(0,INT((EOMONTH(DATE(crono_ano_ref,9,1),0)-IF(Planos!$G124&gt;=DATE(crono_ano_ref,9,1),Planos!$G124,Planos!$G124+CEILING((DATE(crono_ano_ref,9,1)-Planos!$G124)/Planos!$E124,1)*Planos!$E124))/Planos!$E124)+1)))</f>
      </c>
      <c r="O126" s="44">
        <f>IF(OR(Planos!$A124="",NOT(ISNUMBER(Planos!$G124)),N(Planos!$E124)&lt;=0),0,IF(Planos!$G124&gt;EOMONTH(DATE(crono_ano_ref,10,1),0),0,MAX(0,INT((EOMONTH(DATE(crono_ano_ref,10,1),0)-IF(Planos!$G124&gt;=DATE(crono_ano_ref,10,1),Planos!$G124,Planos!$G124+CEILING((DATE(crono_ano_ref,10,1)-Planos!$G124)/Planos!$E124,1)*Planos!$E124))/Planos!$E124)+1)))</f>
      </c>
      <c r="P126" s="44">
        <f>IF(OR(Planos!$A124="",NOT(ISNUMBER(Planos!$G124)),N(Planos!$E124)&lt;=0),0,IF(Planos!$G124&gt;EOMONTH(DATE(crono_ano_ref,11,1),0),0,MAX(0,INT((EOMONTH(DATE(crono_ano_ref,11,1),0)-IF(Planos!$G124&gt;=DATE(crono_ano_ref,11,1),Planos!$G124,Planos!$G124+CEILING((DATE(crono_ano_ref,11,1)-Planos!$G124)/Planos!$E124,1)*Planos!$E124))/Planos!$E124)+1)))</f>
      </c>
      <c r="Q126" s="44">
        <f>IF(OR(Planos!$A124="",NOT(ISNUMBER(Planos!$G124)),N(Planos!$E124)&lt;=0),0,IF(Planos!$G124&gt;EOMONTH(DATE(crono_ano_ref,12,1),0),0,MAX(0,INT((EOMONTH(DATE(crono_ano_ref,12,1),0)-IF(Planos!$G124&gt;=DATE(crono_ano_ref,12,1),Planos!$G124,Planos!$G124+CEILING((DATE(crono_ano_ref,12,1)-Planos!$G124)/Planos!$E124,1)*Planos!$E124))/Planos!$E124)+1)))</f>
      </c>
      <c r="R126" s="44">
        <f>SUM(F126:Q126)</f>
      </c>
    </row>
    <row r="127" spans="1:18" x14ac:dyDescent="0.25">
      <c r="A127" s="24">
        <f>IF(Planos!$A125="","",Planos!A125&amp;"")</f>
      </c>
      <c r="B127" s="41">
        <f>IF(Planos!$A125="","",Planos!B125&amp;"")</f>
      </c>
      <c r="C127" s="24">
        <f>IF(Planos!$A125="","",Planos!C125&amp;"")</f>
      </c>
      <c r="D127" s="42">
        <f>IF(Planos!$A125="","",N(Planos!E125))</f>
      </c>
      <c r="E127" s="43">
        <f>IF(Planos!$A125="","",N(Planos!K125))</f>
      </c>
      <c r="F127" s="44">
        <f>IF(OR(Planos!$A125="",NOT(ISNUMBER(Planos!$G125)),N(Planos!$E125)&lt;=0),0,IF(Planos!$G125&gt;EOMONTH(DATE(crono_ano_ref,1,1),0),0,MAX(0,INT((EOMONTH(DATE(crono_ano_ref,1,1),0)-IF(Planos!$G125&gt;=DATE(crono_ano_ref,1,1),Planos!$G125,Planos!$G125+CEILING((DATE(crono_ano_ref,1,1)-Planos!$G125)/Planos!$E125,1)*Planos!$E125))/Planos!$E125)+1)))</f>
      </c>
      <c r="G127" s="44">
        <f>IF(OR(Planos!$A125="",NOT(ISNUMBER(Planos!$G125)),N(Planos!$E125)&lt;=0),0,IF(Planos!$G125&gt;EOMONTH(DATE(crono_ano_ref,2,1),0),0,MAX(0,INT((EOMONTH(DATE(crono_ano_ref,2,1),0)-IF(Planos!$G125&gt;=DATE(crono_ano_ref,2,1),Planos!$G125,Planos!$G125+CEILING((DATE(crono_ano_ref,2,1)-Planos!$G125)/Planos!$E125,1)*Planos!$E125))/Planos!$E125)+1)))</f>
      </c>
      <c r="H127" s="44">
        <f>IF(OR(Planos!$A125="",NOT(ISNUMBER(Planos!$G125)),N(Planos!$E125)&lt;=0),0,IF(Planos!$G125&gt;EOMONTH(DATE(crono_ano_ref,3,1),0),0,MAX(0,INT((EOMONTH(DATE(crono_ano_ref,3,1),0)-IF(Planos!$G125&gt;=DATE(crono_ano_ref,3,1),Planos!$G125,Planos!$G125+CEILING((DATE(crono_ano_ref,3,1)-Planos!$G125)/Planos!$E125,1)*Planos!$E125))/Planos!$E125)+1)))</f>
      </c>
      <c r="I127" s="44">
        <f>IF(OR(Planos!$A125="",NOT(ISNUMBER(Planos!$G125)),N(Planos!$E125)&lt;=0),0,IF(Planos!$G125&gt;EOMONTH(DATE(crono_ano_ref,4,1),0),0,MAX(0,INT((EOMONTH(DATE(crono_ano_ref,4,1),0)-IF(Planos!$G125&gt;=DATE(crono_ano_ref,4,1),Planos!$G125,Planos!$G125+CEILING((DATE(crono_ano_ref,4,1)-Planos!$G125)/Planos!$E125,1)*Planos!$E125))/Planos!$E125)+1)))</f>
      </c>
      <c r="J127" s="44">
        <f>IF(OR(Planos!$A125="",NOT(ISNUMBER(Planos!$G125)),N(Planos!$E125)&lt;=0),0,IF(Planos!$G125&gt;EOMONTH(DATE(crono_ano_ref,5,1),0),0,MAX(0,INT((EOMONTH(DATE(crono_ano_ref,5,1),0)-IF(Planos!$G125&gt;=DATE(crono_ano_ref,5,1),Planos!$G125,Planos!$G125+CEILING((DATE(crono_ano_ref,5,1)-Planos!$G125)/Planos!$E125,1)*Planos!$E125))/Planos!$E125)+1)))</f>
      </c>
      <c r="K127" s="44">
        <f>IF(OR(Planos!$A125="",NOT(ISNUMBER(Planos!$G125)),N(Planos!$E125)&lt;=0),0,IF(Planos!$G125&gt;EOMONTH(DATE(crono_ano_ref,6,1),0),0,MAX(0,INT((EOMONTH(DATE(crono_ano_ref,6,1),0)-IF(Planos!$G125&gt;=DATE(crono_ano_ref,6,1),Planos!$G125,Planos!$G125+CEILING((DATE(crono_ano_ref,6,1)-Planos!$G125)/Planos!$E125,1)*Planos!$E125))/Planos!$E125)+1)))</f>
      </c>
      <c r="L127" s="44">
        <f>IF(OR(Planos!$A125="",NOT(ISNUMBER(Planos!$G125)),N(Planos!$E125)&lt;=0),0,IF(Planos!$G125&gt;EOMONTH(DATE(crono_ano_ref,7,1),0),0,MAX(0,INT((EOMONTH(DATE(crono_ano_ref,7,1),0)-IF(Planos!$G125&gt;=DATE(crono_ano_ref,7,1),Planos!$G125,Planos!$G125+CEILING((DATE(crono_ano_ref,7,1)-Planos!$G125)/Planos!$E125,1)*Planos!$E125))/Planos!$E125)+1)))</f>
      </c>
      <c r="M127" s="44">
        <f>IF(OR(Planos!$A125="",NOT(ISNUMBER(Planos!$G125)),N(Planos!$E125)&lt;=0),0,IF(Planos!$G125&gt;EOMONTH(DATE(crono_ano_ref,8,1),0),0,MAX(0,INT((EOMONTH(DATE(crono_ano_ref,8,1),0)-IF(Planos!$G125&gt;=DATE(crono_ano_ref,8,1),Planos!$G125,Planos!$G125+CEILING((DATE(crono_ano_ref,8,1)-Planos!$G125)/Planos!$E125,1)*Planos!$E125))/Planos!$E125)+1)))</f>
      </c>
      <c r="N127" s="44">
        <f>IF(OR(Planos!$A125="",NOT(ISNUMBER(Planos!$G125)),N(Planos!$E125)&lt;=0),0,IF(Planos!$G125&gt;EOMONTH(DATE(crono_ano_ref,9,1),0),0,MAX(0,INT((EOMONTH(DATE(crono_ano_ref,9,1),0)-IF(Planos!$G125&gt;=DATE(crono_ano_ref,9,1),Planos!$G125,Planos!$G125+CEILING((DATE(crono_ano_ref,9,1)-Planos!$G125)/Planos!$E125,1)*Planos!$E125))/Planos!$E125)+1)))</f>
      </c>
      <c r="O127" s="44">
        <f>IF(OR(Planos!$A125="",NOT(ISNUMBER(Planos!$G125)),N(Planos!$E125)&lt;=0),0,IF(Planos!$G125&gt;EOMONTH(DATE(crono_ano_ref,10,1),0),0,MAX(0,INT((EOMONTH(DATE(crono_ano_ref,10,1),0)-IF(Planos!$G125&gt;=DATE(crono_ano_ref,10,1),Planos!$G125,Planos!$G125+CEILING((DATE(crono_ano_ref,10,1)-Planos!$G125)/Planos!$E125,1)*Planos!$E125))/Planos!$E125)+1)))</f>
      </c>
      <c r="P127" s="44">
        <f>IF(OR(Planos!$A125="",NOT(ISNUMBER(Planos!$G125)),N(Planos!$E125)&lt;=0),0,IF(Planos!$G125&gt;EOMONTH(DATE(crono_ano_ref,11,1),0),0,MAX(0,INT((EOMONTH(DATE(crono_ano_ref,11,1),0)-IF(Planos!$G125&gt;=DATE(crono_ano_ref,11,1),Planos!$G125,Planos!$G125+CEILING((DATE(crono_ano_ref,11,1)-Planos!$G125)/Planos!$E125,1)*Planos!$E125))/Planos!$E125)+1)))</f>
      </c>
      <c r="Q127" s="44">
        <f>IF(OR(Planos!$A125="",NOT(ISNUMBER(Planos!$G125)),N(Planos!$E125)&lt;=0),0,IF(Planos!$G125&gt;EOMONTH(DATE(crono_ano_ref,12,1),0),0,MAX(0,INT((EOMONTH(DATE(crono_ano_ref,12,1),0)-IF(Planos!$G125&gt;=DATE(crono_ano_ref,12,1),Planos!$G125,Planos!$G125+CEILING((DATE(crono_ano_ref,12,1)-Planos!$G125)/Planos!$E125,1)*Planos!$E125))/Planos!$E125)+1)))</f>
      </c>
      <c r="R127" s="44">
        <f>SUM(F127:Q127)</f>
      </c>
    </row>
    <row r="128" spans="1:18" x14ac:dyDescent="0.25">
      <c r="A128" s="24">
        <f>IF(Planos!$A126="","",Planos!A126&amp;"")</f>
      </c>
      <c r="B128" s="41">
        <f>IF(Planos!$A126="","",Planos!B126&amp;"")</f>
      </c>
      <c r="C128" s="24">
        <f>IF(Planos!$A126="","",Planos!C126&amp;"")</f>
      </c>
      <c r="D128" s="42">
        <f>IF(Planos!$A126="","",N(Planos!E126))</f>
      </c>
      <c r="E128" s="43">
        <f>IF(Planos!$A126="","",N(Planos!K126))</f>
      </c>
      <c r="F128" s="44">
        <f>IF(OR(Planos!$A126="",NOT(ISNUMBER(Planos!$G126)),N(Planos!$E126)&lt;=0),0,IF(Planos!$G126&gt;EOMONTH(DATE(crono_ano_ref,1,1),0),0,MAX(0,INT((EOMONTH(DATE(crono_ano_ref,1,1),0)-IF(Planos!$G126&gt;=DATE(crono_ano_ref,1,1),Planos!$G126,Planos!$G126+CEILING((DATE(crono_ano_ref,1,1)-Planos!$G126)/Planos!$E126,1)*Planos!$E126))/Planos!$E126)+1)))</f>
      </c>
      <c r="G128" s="44">
        <f>IF(OR(Planos!$A126="",NOT(ISNUMBER(Planos!$G126)),N(Planos!$E126)&lt;=0),0,IF(Planos!$G126&gt;EOMONTH(DATE(crono_ano_ref,2,1),0),0,MAX(0,INT((EOMONTH(DATE(crono_ano_ref,2,1),0)-IF(Planos!$G126&gt;=DATE(crono_ano_ref,2,1),Planos!$G126,Planos!$G126+CEILING((DATE(crono_ano_ref,2,1)-Planos!$G126)/Planos!$E126,1)*Planos!$E126))/Planos!$E126)+1)))</f>
      </c>
      <c r="H128" s="44">
        <f>IF(OR(Planos!$A126="",NOT(ISNUMBER(Planos!$G126)),N(Planos!$E126)&lt;=0),0,IF(Planos!$G126&gt;EOMONTH(DATE(crono_ano_ref,3,1),0),0,MAX(0,INT((EOMONTH(DATE(crono_ano_ref,3,1),0)-IF(Planos!$G126&gt;=DATE(crono_ano_ref,3,1),Planos!$G126,Planos!$G126+CEILING((DATE(crono_ano_ref,3,1)-Planos!$G126)/Planos!$E126,1)*Planos!$E126))/Planos!$E126)+1)))</f>
      </c>
      <c r="I128" s="44">
        <f>IF(OR(Planos!$A126="",NOT(ISNUMBER(Planos!$G126)),N(Planos!$E126)&lt;=0),0,IF(Planos!$G126&gt;EOMONTH(DATE(crono_ano_ref,4,1),0),0,MAX(0,INT((EOMONTH(DATE(crono_ano_ref,4,1),0)-IF(Planos!$G126&gt;=DATE(crono_ano_ref,4,1),Planos!$G126,Planos!$G126+CEILING((DATE(crono_ano_ref,4,1)-Planos!$G126)/Planos!$E126,1)*Planos!$E126))/Planos!$E126)+1)))</f>
      </c>
      <c r="J128" s="44">
        <f>IF(OR(Planos!$A126="",NOT(ISNUMBER(Planos!$G126)),N(Planos!$E126)&lt;=0),0,IF(Planos!$G126&gt;EOMONTH(DATE(crono_ano_ref,5,1),0),0,MAX(0,INT((EOMONTH(DATE(crono_ano_ref,5,1),0)-IF(Planos!$G126&gt;=DATE(crono_ano_ref,5,1),Planos!$G126,Planos!$G126+CEILING((DATE(crono_ano_ref,5,1)-Planos!$G126)/Planos!$E126,1)*Planos!$E126))/Planos!$E126)+1)))</f>
      </c>
      <c r="K128" s="44">
        <f>IF(OR(Planos!$A126="",NOT(ISNUMBER(Planos!$G126)),N(Planos!$E126)&lt;=0),0,IF(Planos!$G126&gt;EOMONTH(DATE(crono_ano_ref,6,1),0),0,MAX(0,INT((EOMONTH(DATE(crono_ano_ref,6,1),0)-IF(Planos!$G126&gt;=DATE(crono_ano_ref,6,1),Planos!$G126,Planos!$G126+CEILING((DATE(crono_ano_ref,6,1)-Planos!$G126)/Planos!$E126,1)*Planos!$E126))/Planos!$E126)+1)))</f>
      </c>
      <c r="L128" s="44">
        <f>IF(OR(Planos!$A126="",NOT(ISNUMBER(Planos!$G126)),N(Planos!$E126)&lt;=0),0,IF(Planos!$G126&gt;EOMONTH(DATE(crono_ano_ref,7,1),0),0,MAX(0,INT((EOMONTH(DATE(crono_ano_ref,7,1),0)-IF(Planos!$G126&gt;=DATE(crono_ano_ref,7,1),Planos!$G126,Planos!$G126+CEILING((DATE(crono_ano_ref,7,1)-Planos!$G126)/Planos!$E126,1)*Planos!$E126))/Planos!$E126)+1)))</f>
      </c>
      <c r="M128" s="44">
        <f>IF(OR(Planos!$A126="",NOT(ISNUMBER(Planos!$G126)),N(Planos!$E126)&lt;=0),0,IF(Planos!$G126&gt;EOMONTH(DATE(crono_ano_ref,8,1),0),0,MAX(0,INT((EOMONTH(DATE(crono_ano_ref,8,1),0)-IF(Planos!$G126&gt;=DATE(crono_ano_ref,8,1),Planos!$G126,Planos!$G126+CEILING((DATE(crono_ano_ref,8,1)-Planos!$G126)/Planos!$E126,1)*Planos!$E126))/Planos!$E126)+1)))</f>
      </c>
      <c r="N128" s="44">
        <f>IF(OR(Planos!$A126="",NOT(ISNUMBER(Planos!$G126)),N(Planos!$E126)&lt;=0),0,IF(Planos!$G126&gt;EOMONTH(DATE(crono_ano_ref,9,1),0),0,MAX(0,INT((EOMONTH(DATE(crono_ano_ref,9,1),0)-IF(Planos!$G126&gt;=DATE(crono_ano_ref,9,1),Planos!$G126,Planos!$G126+CEILING((DATE(crono_ano_ref,9,1)-Planos!$G126)/Planos!$E126,1)*Planos!$E126))/Planos!$E126)+1)))</f>
      </c>
      <c r="O128" s="44">
        <f>IF(OR(Planos!$A126="",NOT(ISNUMBER(Planos!$G126)),N(Planos!$E126)&lt;=0),0,IF(Planos!$G126&gt;EOMONTH(DATE(crono_ano_ref,10,1),0),0,MAX(0,INT((EOMONTH(DATE(crono_ano_ref,10,1),0)-IF(Planos!$G126&gt;=DATE(crono_ano_ref,10,1),Planos!$G126,Planos!$G126+CEILING((DATE(crono_ano_ref,10,1)-Planos!$G126)/Planos!$E126,1)*Planos!$E126))/Planos!$E126)+1)))</f>
      </c>
      <c r="P128" s="44">
        <f>IF(OR(Planos!$A126="",NOT(ISNUMBER(Planos!$G126)),N(Planos!$E126)&lt;=0),0,IF(Planos!$G126&gt;EOMONTH(DATE(crono_ano_ref,11,1),0),0,MAX(0,INT((EOMONTH(DATE(crono_ano_ref,11,1),0)-IF(Planos!$G126&gt;=DATE(crono_ano_ref,11,1),Planos!$G126,Planos!$G126+CEILING((DATE(crono_ano_ref,11,1)-Planos!$G126)/Planos!$E126,1)*Planos!$E126))/Planos!$E126)+1)))</f>
      </c>
      <c r="Q128" s="44">
        <f>IF(OR(Planos!$A126="",NOT(ISNUMBER(Planos!$G126)),N(Planos!$E126)&lt;=0),0,IF(Planos!$G126&gt;EOMONTH(DATE(crono_ano_ref,12,1),0),0,MAX(0,INT((EOMONTH(DATE(crono_ano_ref,12,1),0)-IF(Planos!$G126&gt;=DATE(crono_ano_ref,12,1),Planos!$G126,Planos!$G126+CEILING((DATE(crono_ano_ref,12,1)-Planos!$G126)/Planos!$E126,1)*Planos!$E126))/Planos!$E126)+1)))</f>
      </c>
      <c r="R128" s="44">
        <f>SUM(F128:Q128)</f>
      </c>
    </row>
    <row r="129" spans="1:18" x14ac:dyDescent="0.25">
      <c r="A129" s="24">
        <f>IF(Planos!$A127="","",Planos!A127&amp;"")</f>
      </c>
      <c r="B129" s="41">
        <f>IF(Planos!$A127="","",Planos!B127&amp;"")</f>
      </c>
      <c r="C129" s="24">
        <f>IF(Planos!$A127="","",Planos!C127&amp;"")</f>
      </c>
      <c r="D129" s="42">
        <f>IF(Planos!$A127="","",N(Planos!E127))</f>
      </c>
      <c r="E129" s="43">
        <f>IF(Planos!$A127="","",N(Planos!K127))</f>
      </c>
      <c r="F129" s="44">
        <f>IF(OR(Planos!$A127="",NOT(ISNUMBER(Planos!$G127)),N(Planos!$E127)&lt;=0),0,IF(Planos!$G127&gt;EOMONTH(DATE(crono_ano_ref,1,1),0),0,MAX(0,INT((EOMONTH(DATE(crono_ano_ref,1,1),0)-IF(Planos!$G127&gt;=DATE(crono_ano_ref,1,1),Planos!$G127,Planos!$G127+CEILING((DATE(crono_ano_ref,1,1)-Planos!$G127)/Planos!$E127,1)*Planos!$E127))/Planos!$E127)+1)))</f>
      </c>
      <c r="G129" s="44">
        <f>IF(OR(Planos!$A127="",NOT(ISNUMBER(Planos!$G127)),N(Planos!$E127)&lt;=0),0,IF(Planos!$G127&gt;EOMONTH(DATE(crono_ano_ref,2,1),0),0,MAX(0,INT((EOMONTH(DATE(crono_ano_ref,2,1),0)-IF(Planos!$G127&gt;=DATE(crono_ano_ref,2,1),Planos!$G127,Planos!$G127+CEILING((DATE(crono_ano_ref,2,1)-Planos!$G127)/Planos!$E127,1)*Planos!$E127))/Planos!$E127)+1)))</f>
      </c>
      <c r="H129" s="44">
        <f>IF(OR(Planos!$A127="",NOT(ISNUMBER(Planos!$G127)),N(Planos!$E127)&lt;=0),0,IF(Planos!$G127&gt;EOMONTH(DATE(crono_ano_ref,3,1),0),0,MAX(0,INT((EOMONTH(DATE(crono_ano_ref,3,1),0)-IF(Planos!$G127&gt;=DATE(crono_ano_ref,3,1),Planos!$G127,Planos!$G127+CEILING((DATE(crono_ano_ref,3,1)-Planos!$G127)/Planos!$E127,1)*Planos!$E127))/Planos!$E127)+1)))</f>
      </c>
      <c r="I129" s="44">
        <f>IF(OR(Planos!$A127="",NOT(ISNUMBER(Planos!$G127)),N(Planos!$E127)&lt;=0),0,IF(Planos!$G127&gt;EOMONTH(DATE(crono_ano_ref,4,1),0),0,MAX(0,INT((EOMONTH(DATE(crono_ano_ref,4,1),0)-IF(Planos!$G127&gt;=DATE(crono_ano_ref,4,1),Planos!$G127,Planos!$G127+CEILING((DATE(crono_ano_ref,4,1)-Planos!$G127)/Planos!$E127,1)*Planos!$E127))/Planos!$E127)+1)))</f>
      </c>
      <c r="J129" s="44">
        <f>IF(OR(Planos!$A127="",NOT(ISNUMBER(Planos!$G127)),N(Planos!$E127)&lt;=0),0,IF(Planos!$G127&gt;EOMONTH(DATE(crono_ano_ref,5,1),0),0,MAX(0,INT((EOMONTH(DATE(crono_ano_ref,5,1),0)-IF(Planos!$G127&gt;=DATE(crono_ano_ref,5,1),Planos!$G127,Planos!$G127+CEILING((DATE(crono_ano_ref,5,1)-Planos!$G127)/Planos!$E127,1)*Planos!$E127))/Planos!$E127)+1)))</f>
      </c>
      <c r="K129" s="44">
        <f>IF(OR(Planos!$A127="",NOT(ISNUMBER(Planos!$G127)),N(Planos!$E127)&lt;=0),0,IF(Planos!$G127&gt;EOMONTH(DATE(crono_ano_ref,6,1),0),0,MAX(0,INT((EOMONTH(DATE(crono_ano_ref,6,1),0)-IF(Planos!$G127&gt;=DATE(crono_ano_ref,6,1),Planos!$G127,Planos!$G127+CEILING((DATE(crono_ano_ref,6,1)-Planos!$G127)/Planos!$E127,1)*Planos!$E127))/Planos!$E127)+1)))</f>
      </c>
      <c r="L129" s="44">
        <f>IF(OR(Planos!$A127="",NOT(ISNUMBER(Planos!$G127)),N(Planos!$E127)&lt;=0),0,IF(Planos!$G127&gt;EOMONTH(DATE(crono_ano_ref,7,1),0),0,MAX(0,INT((EOMONTH(DATE(crono_ano_ref,7,1),0)-IF(Planos!$G127&gt;=DATE(crono_ano_ref,7,1),Planos!$G127,Planos!$G127+CEILING((DATE(crono_ano_ref,7,1)-Planos!$G127)/Planos!$E127,1)*Planos!$E127))/Planos!$E127)+1)))</f>
      </c>
      <c r="M129" s="44">
        <f>IF(OR(Planos!$A127="",NOT(ISNUMBER(Planos!$G127)),N(Planos!$E127)&lt;=0),0,IF(Planos!$G127&gt;EOMONTH(DATE(crono_ano_ref,8,1),0),0,MAX(0,INT((EOMONTH(DATE(crono_ano_ref,8,1),0)-IF(Planos!$G127&gt;=DATE(crono_ano_ref,8,1),Planos!$G127,Planos!$G127+CEILING((DATE(crono_ano_ref,8,1)-Planos!$G127)/Planos!$E127,1)*Planos!$E127))/Planos!$E127)+1)))</f>
      </c>
      <c r="N129" s="44">
        <f>IF(OR(Planos!$A127="",NOT(ISNUMBER(Planos!$G127)),N(Planos!$E127)&lt;=0),0,IF(Planos!$G127&gt;EOMONTH(DATE(crono_ano_ref,9,1),0),0,MAX(0,INT((EOMONTH(DATE(crono_ano_ref,9,1),0)-IF(Planos!$G127&gt;=DATE(crono_ano_ref,9,1),Planos!$G127,Planos!$G127+CEILING((DATE(crono_ano_ref,9,1)-Planos!$G127)/Planos!$E127,1)*Planos!$E127))/Planos!$E127)+1)))</f>
      </c>
      <c r="O129" s="44">
        <f>IF(OR(Planos!$A127="",NOT(ISNUMBER(Planos!$G127)),N(Planos!$E127)&lt;=0),0,IF(Planos!$G127&gt;EOMONTH(DATE(crono_ano_ref,10,1),0),0,MAX(0,INT((EOMONTH(DATE(crono_ano_ref,10,1),0)-IF(Planos!$G127&gt;=DATE(crono_ano_ref,10,1),Planos!$G127,Planos!$G127+CEILING((DATE(crono_ano_ref,10,1)-Planos!$G127)/Planos!$E127,1)*Planos!$E127))/Planos!$E127)+1)))</f>
      </c>
      <c r="P129" s="44">
        <f>IF(OR(Planos!$A127="",NOT(ISNUMBER(Planos!$G127)),N(Planos!$E127)&lt;=0),0,IF(Planos!$G127&gt;EOMONTH(DATE(crono_ano_ref,11,1),0),0,MAX(0,INT((EOMONTH(DATE(crono_ano_ref,11,1),0)-IF(Planos!$G127&gt;=DATE(crono_ano_ref,11,1),Planos!$G127,Planos!$G127+CEILING((DATE(crono_ano_ref,11,1)-Planos!$G127)/Planos!$E127,1)*Planos!$E127))/Planos!$E127)+1)))</f>
      </c>
      <c r="Q129" s="44">
        <f>IF(OR(Planos!$A127="",NOT(ISNUMBER(Planos!$G127)),N(Planos!$E127)&lt;=0),0,IF(Planos!$G127&gt;EOMONTH(DATE(crono_ano_ref,12,1),0),0,MAX(0,INT((EOMONTH(DATE(crono_ano_ref,12,1),0)-IF(Planos!$G127&gt;=DATE(crono_ano_ref,12,1),Planos!$G127,Planos!$G127+CEILING((DATE(crono_ano_ref,12,1)-Planos!$G127)/Planos!$E127,1)*Planos!$E127))/Planos!$E127)+1)))</f>
      </c>
      <c r="R129" s="44">
        <f>SUM(F129:Q129)</f>
      </c>
    </row>
    <row r="130" spans="1:18" x14ac:dyDescent="0.25">
      <c r="A130" s="24">
        <f>IF(Planos!$A128="","",Planos!A128&amp;"")</f>
      </c>
      <c r="B130" s="41">
        <f>IF(Planos!$A128="","",Planos!B128&amp;"")</f>
      </c>
      <c r="C130" s="24">
        <f>IF(Planos!$A128="","",Planos!C128&amp;"")</f>
      </c>
      <c r="D130" s="42">
        <f>IF(Planos!$A128="","",N(Planos!E128))</f>
      </c>
      <c r="E130" s="43">
        <f>IF(Planos!$A128="","",N(Planos!K128))</f>
      </c>
      <c r="F130" s="44">
        <f>IF(OR(Planos!$A128="",NOT(ISNUMBER(Planos!$G128)),N(Planos!$E128)&lt;=0),0,IF(Planos!$G128&gt;EOMONTH(DATE(crono_ano_ref,1,1),0),0,MAX(0,INT((EOMONTH(DATE(crono_ano_ref,1,1),0)-IF(Planos!$G128&gt;=DATE(crono_ano_ref,1,1),Planos!$G128,Planos!$G128+CEILING((DATE(crono_ano_ref,1,1)-Planos!$G128)/Planos!$E128,1)*Planos!$E128))/Planos!$E128)+1)))</f>
      </c>
      <c r="G130" s="44">
        <f>IF(OR(Planos!$A128="",NOT(ISNUMBER(Planos!$G128)),N(Planos!$E128)&lt;=0),0,IF(Planos!$G128&gt;EOMONTH(DATE(crono_ano_ref,2,1),0),0,MAX(0,INT((EOMONTH(DATE(crono_ano_ref,2,1),0)-IF(Planos!$G128&gt;=DATE(crono_ano_ref,2,1),Planos!$G128,Planos!$G128+CEILING((DATE(crono_ano_ref,2,1)-Planos!$G128)/Planos!$E128,1)*Planos!$E128))/Planos!$E128)+1)))</f>
      </c>
      <c r="H130" s="44">
        <f>IF(OR(Planos!$A128="",NOT(ISNUMBER(Planos!$G128)),N(Planos!$E128)&lt;=0),0,IF(Planos!$G128&gt;EOMONTH(DATE(crono_ano_ref,3,1),0),0,MAX(0,INT((EOMONTH(DATE(crono_ano_ref,3,1),0)-IF(Planos!$G128&gt;=DATE(crono_ano_ref,3,1),Planos!$G128,Planos!$G128+CEILING((DATE(crono_ano_ref,3,1)-Planos!$G128)/Planos!$E128,1)*Planos!$E128))/Planos!$E128)+1)))</f>
      </c>
      <c r="I130" s="44">
        <f>IF(OR(Planos!$A128="",NOT(ISNUMBER(Planos!$G128)),N(Planos!$E128)&lt;=0),0,IF(Planos!$G128&gt;EOMONTH(DATE(crono_ano_ref,4,1),0),0,MAX(0,INT((EOMONTH(DATE(crono_ano_ref,4,1),0)-IF(Planos!$G128&gt;=DATE(crono_ano_ref,4,1),Planos!$G128,Planos!$G128+CEILING((DATE(crono_ano_ref,4,1)-Planos!$G128)/Planos!$E128,1)*Planos!$E128))/Planos!$E128)+1)))</f>
      </c>
      <c r="J130" s="44">
        <f>IF(OR(Planos!$A128="",NOT(ISNUMBER(Planos!$G128)),N(Planos!$E128)&lt;=0),0,IF(Planos!$G128&gt;EOMONTH(DATE(crono_ano_ref,5,1),0),0,MAX(0,INT((EOMONTH(DATE(crono_ano_ref,5,1),0)-IF(Planos!$G128&gt;=DATE(crono_ano_ref,5,1),Planos!$G128,Planos!$G128+CEILING((DATE(crono_ano_ref,5,1)-Planos!$G128)/Planos!$E128,1)*Planos!$E128))/Planos!$E128)+1)))</f>
      </c>
      <c r="K130" s="44">
        <f>IF(OR(Planos!$A128="",NOT(ISNUMBER(Planos!$G128)),N(Planos!$E128)&lt;=0),0,IF(Planos!$G128&gt;EOMONTH(DATE(crono_ano_ref,6,1),0),0,MAX(0,INT((EOMONTH(DATE(crono_ano_ref,6,1),0)-IF(Planos!$G128&gt;=DATE(crono_ano_ref,6,1),Planos!$G128,Planos!$G128+CEILING((DATE(crono_ano_ref,6,1)-Planos!$G128)/Planos!$E128,1)*Planos!$E128))/Planos!$E128)+1)))</f>
      </c>
      <c r="L130" s="44">
        <f>IF(OR(Planos!$A128="",NOT(ISNUMBER(Planos!$G128)),N(Planos!$E128)&lt;=0),0,IF(Planos!$G128&gt;EOMONTH(DATE(crono_ano_ref,7,1),0),0,MAX(0,INT((EOMONTH(DATE(crono_ano_ref,7,1),0)-IF(Planos!$G128&gt;=DATE(crono_ano_ref,7,1),Planos!$G128,Planos!$G128+CEILING((DATE(crono_ano_ref,7,1)-Planos!$G128)/Planos!$E128,1)*Planos!$E128))/Planos!$E128)+1)))</f>
      </c>
      <c r="M130" s="44">
        <f>IF(OR(Planos!$A128="",NOT(ISNUMBER(Planos!$G128)),N(Planos!$E128)&lt;=0),0,IF(Planos!$G128&gt;EOMONTH(DATE(crono_ano_ref,8,1),0),0,MAX(0,INT((EOMONTH(DATE(crono_ano_ref,8,1),0)-IF(Planos!$G128&gt;=DATE(crono_ano_ref,8,1),Planos!$G128,Planos!$G128+CEILING((DATE(crono_ano_ref,8,1)-Planos!$G128)/Planos!$E128,1)*Planos!$E128))/Planos!$E128)+1)))</f>
      </c>
      <c r="N130" s="44">
        <f>IF(OR(Planos!$A128="",NOT(ISNUMBER(Planos!$G128)),N(Planos!$E128)&lt;=0),0,IF(Planos!$G128&gt;EOMONTH(DATE(crono_ano_ref,9,1),0),0,MAX(0,INT((EOMONTH(DATE(crono_ano_ref,9,1),0)-IF(Planos!$G128&gt;=DATE(crono_ano_ref,9,1),Planos!$G128,Planos!$G128+CEILING((DATE(crono_ano_ref,9,1)-Planos!$G128)/Planos!$E128,1)*Planos!$E128))/Planos!$E128)+1)))</f>
      </c>
      <c r="O130" s="44">
        <f>IF(OR(Planos!$A128="",NOT(ISNUMBER(Planos!$G128)),N(Planos!$E128)&lt;=0),0,IF(Planos!$G128&gt;EOMONTH(DATE(crono_ano_ref,10,1),0),0,MAX(0,INT((EOMONTH(DATE(crono_ano_ref,10,1),0)-IF(Planos!$G128&gt;=DATE(crono_ano_ref,10,1),Planos!$G128,Planos!$G128+CEILING((DATE(crono_ano_ref,10,1)-Planos!$G128)/Planos!$E128,1)*Planos!$E128))/Planos!$E128)+1)))</f>
      </c>
      <c r="P130" s="44">
        <f>IF(OR(Planos!$A128="",NOT(ISNUMBER(Planos!$G128)),N(Planos!$E128)&lt;=0),0,IF(Planos!$G128&gt;EOMONTH(DATE(crono_ano_ref,11,1),0),0,MAX(0,INT((EOMONTH(DATE(crono_ano_ref,11,1),0)-IF(Planos!$G128&gt;=DATE(crono_ano_ref,11,1),Planos!$G128,Planos!$G128+CEILING((DATE(crono_ano_ref,11,1)-Planos!$G128)/Planos!$E128,1)*Planos!$E128))/Planos!$E128)+1)))</f>
      </c>
      <c r="Q130" s="44">
        <f>IF(OR(Planos!$A128="",NOT(ISNUMBER(Planos!$G128)),N(Planos!$E128)&lt;=0),0,IF(Planos!$G128&gt;EOMONTH(DATE(crono_ano_ref,12,1),0),0,MAX(0,INT((EOMONTH(DATE(crono_ano_ref,12,1),0)-IF(Planos!$G128&gt;=DATE(crono_ano_ref,12,1),Planos!$G128,Planos!$G128+CEILING((DATE(crono_ano_ref,12,1)-Planos!$G128)/Planos!$E128,1)*Planos!$E128))/Planos!$E128)+1)))</f>
      </c>
      <c r="R130" s="44">
        <f>SUM(F130:Q130)</f>
      </c>
    </row>
    <row r="131" spans="1:18" x14ac:dyDescent="0.25">
      <c r="A131" s="24">
        <f>IF(Planos!$A129="","",Planos!A129&amp;"")</f>
      </c>
      <c r="B131" s="41">
        <f>IF(Planos!$A129="","",Planos!B129&amp;"")</f>
      </c>
      <c r="C131" s="24">
        <f>IF(Planos!$A129="","",Planos!C129&amp;"")</f>
      </c>
      <c r="D131" s="42">
        <f>IF(Planos!$A129="","",N(Planos!E129))</f>
      </c>
      <c r="E131" s="43">
        <f>IF(Planos!$A129="","",N(Planos!K129))</f>
      </c>
      <c r="F131" s="44">
        <f>IF(OR(Planos!$A129="",NOT(ISNUMBER(Planos!$G129)),N(Planos!$E129)&lt;=0),0,IF(Planos!$G129&gt;EOMONTH(DATE(crono_ano_ref,1,1),0),0,MAX(0,INT((EOMONTH(DATE(crono_ano_ref,1,1),0)-IF(Planos!$G129&gt;=DATE(crono_ano_ref,1,1),Planos!$G129,Planos!$G129+CEILING((DATE(crono_ano_ref,1,1)-Planos!$G129)/Planos!$E129,1)*Planos!$E129))/Planos!$E129)+1)))</f>
      </c>
      <c r="G131" s="44">
        <f>IF(OR(Planos!$A129="",NOT(ISNUMBER(Planos!$G129)),N(Planos!$E129)&lt;=0),0,IF(Planos!$G129&gt;EOMONTH(DATE(crono_ano_ref,2,1),0),0,MAX(0,INT((EOMONTH(DATE(crono_ano_ref,2,1),0)-IF(Planos!$G129&gt;=DATE(crono_ano_ref,2,1),Planos!$G129,Planos!$G129+CEILING((DATE(crono_ano_ref,2,1)-Planos!$G129)/Planos!$E129,1)*Planos!$E129))/Planos!$E129)+1)))</f>
      </c>
      <c r="H131" s="44">
        <f>IF(OR(Planos!$A129="",NOT(ISNUMBER(Planos!$G129)),N(Planos!$E129)&lt;=0),0,IF(Planos!$G129&gt;EOMONTH(DATE(crono_ano_ref,3,1),0),0,MAX(0,INT((EOMONTH(DATE(crono_ano_ref,3,1),0)-IF(Planos!$G129&gt;=DATE(crono_ano_ref,3,1),Planos!$G129,Planos!$G129+CEILING((DATE(crono_ano_ref,3,1)-Planos!$G129)/Planos!$E129,1)*Planos!$E129))/Planos!$E129)+1)))</f>
      </c>
      <c r="I131" s="44">
        <f>IF(OR(Planos!$A129="",NOT(ISNUMBER(Planos!$G129)),N(Planos!$E129)&lt;=0),0,IF(Planos!$G129&gt;EOMONTH(DATE(crono_ano_ref,4,1),0),0,MAX(0,INT((EOMONTH(DATE(crono_ano_ref,4,1),0)-IF(Planos!$G129&gt;=DATE(crono_ano_ref,4,1),Planos!$G129,Planos!$G129+CEILING((DATE(crono_ano_ref,4,1)-Planos!$G129)/Planos!$E129,1)*Planos!$E129))/Planos!$E129)+1)))</f>
      </c>
      <c r="J131" s="44">
        <f>IF(OR(Planos!$A129="",NOT(ISNUMBER(Planos!$G129)),N(Planos!$E129)&lt;=0),0,IF(Planos!$G129&gt;EOMONTH(DATE(crono_ano_ref,5,1),0),0,MAX(0,INT((EOMONTH(DATE(crono_ano_ref,5,1),0)-IF(Planos!$G129&gt;=DATE(crono_ano_ref,5,1),Planos!$G129,Planos!$G129+CEILING((DATE(crono_ano_ref,5,1)-Planos!$G129)/Planos!$E129,1)*Planos!$E129))/Planos!$E129)+1)))</f>
      </c>
      <c r="K131" s="44">
        <f>IF(OR(Planos!$A129="",NOT(ISNUMBER(Planos!$G129)),N(Planos!$E129)&lt;=0),0,IF(Planos!$G129&gt;EOMONTH(DATE(crono_ano_ref,6,1),0),0,MAX(0,INT((EOMONTH(DATE(crono_ano_ref,6,1),0)-IF(Planos!$G129&gt;=DATE(crono_ano_ref,6,1),Planos!$G129,Planos!$G129+CEILING((DATE(crono_ano_ref,6,1)-Planos!$G129)/Planos!$E129,1)*Planos!$E129))/Planos!$E129)+1)))</f>
      </c>
      <c r="L131" s="44">
        <f>IF(OR(Planos!$A129="",NOT(ISNUMBER(Planos!$G129)),N(Planos!$E129)&lt;=0),0,IF(Planos!$G129&gt;EOMONTH(DATE(crono_ano_ref,7,1),0),0,MAX(0,INT((EOMONTH(DATE(crono_ano_ref,7,1),0)-IF(Planos!$G129&gt;=DATE(crono_ano_ref,7,1),Planos!$G129,Planos!$G129+CEILING((DATE(crono_ano_ref,7,1)-Planos!$G129)/Planos!$E129,1)*Planos!$E129))/Planos!$E129)+1)))</f>
      </c>
      <c r="M131" s="44">
        <f>IF(OR(Planos!$A129="",NOT(ISNUMBER(Planos!$G129)),N(Planos!$E129)&lt;=0),0,IF(Planos!$G129&gt;EOMONTH(DATE(crono_ano_ref,8,1),0),0,MAX(0,INT((EOMONTH(DATE(crono_ano_ref,8,1),0)-IF(Planos!$G129&gt;=DATE(crono_ano_ref,8,1),Planos!$G129,Planos!$G129+CEILING((DATE(crono_ano_ref,8,1)-Planos!$G129)/Planos!$E129,1)*Planos!$E129))/Planos!$E129)+1)))</f>
      </c>
      <c r="N131" s="44">
        <f>IF(OR(Planos!$A129="",NOT(ISNUMBER(Planos!$G129)),N(Planos!$E129)&lt;=0),0,IF(Planos!$G129&gt;EOMONTH(DATE(crono_ano_ref,9,1),0),0,MAX(0,INT((EOMONTH(DATE(crono_ano_ref,9,1),0)-IF(Planos!$G129&gt;=DATE(crono_ano_ref,9,1),Planos!$G129,Planos!$G129+CEILING((DATE(crono_ano_ref,9,1)-Planos!$G129)/Planos!$E129,1)*Planos!$E129))/Planos!$E129)+1)))</f>
      </c>
      <c r="O131" s="44">
        <f>IF(OR(Planos!$A129="",NOT(ISNUMBER(Planos!$G129)),N(Planos!$E129)&lt;=0),0,IF(Planos!$G129&gt;EOMONTH(DATE(crono_ano_ref,10,1),0),0,MAX(0,INT((EOMONTH(DATE(crono_ano_ref,10,1),0)-IF(Planos!$G129&gt;=DATE(crono_ano_ref,10,1),Planos!$G129,Planos!$G129+CEILING((DATE(crono_ano_ref,10,1)-Planos!$G129)/Planos!$E129,1)*Planos!$E129))/Planos!$E129)+1)))</f>
      </c>
      <c r="P131" s="44">
        <f>IF(OR(Planos!$A129="",NOT(ISNUMBER(Planos!$G129)),N(Planos!$E129)&lt;=0),0,IF(Planos!$G129&gt;EOMONTH(DATE(crono_ano_ref,11,1),0),0,MAX(0,INT((EOMONTH(DATE(crono_ano_ref,11,1),0)-IF(Planos!$G129&gt;=DATE(crono_ano_ref,11,1),Planos!$G129,Planos!$G129+CEILING((DATE(crono_ano_ref,11,1)-Planos!$G129)/Planos!$E129,1)*Planos!$E129))/Planos!$E129)+1)))</f>
      </c>
      <c r="Q131" s="44">
        <f>IF(OR(Planos!$A129="",NOT(ISNUMBER(Planos!$G129)),N(Planos!$E129)&lt;=0),0,IF(Planos!$G129&gt;EOMONTH(DATE(crono_ano_ref,12,1),0),0,MAX(0,INT((EOMONTH(DATE(crono_ano_ref,12,1),0)-IF(Planos!$G129&gt;=DATE(crono_ano_ref,12,1),Planos!$G129,Planos!$G129+CEILING((DATE(crono_ano_ref,12,1)-Planos!$G129)/Planos!$E129,1)*Planos!$E129))/Planos!$E129)+1)))</f>
      </c>
      <c r="R131" s="44">
        <f>SUM(F131:Q131)</f>
      </c>
    </row>
    <row r="132" spans="1:18" x14ac:dyDescent="0.25">
      <c r="A132" s="24">
        <f>IF(Planos!$A130="","",Planos!A130&amp;"")</f>
      </c>
      <c r="B132" s="41">
        <f>IF(Planos!$A130="","",Planos!B130&amp;"")</f>
      </c>
      <c r="C132" s="24">
        <f>IF(Planos!$A130="","",Planos!C130&amp;"")</f>
      </c>
      <c r="D132" s="42">
        <f>IF(Planos!$A130="","",N(Planos!E130))</f>
      </c>
      <c r="E132" s="43">
        <f>IF(Planos!$A130="","",N(Planos!K130))</f>
      </c>
      <c r="F132" s="44">
        <f>IF(OR(Planos!$A130="",NOT(ISNUMBER(Planos!$G130)),N(Planos!$E130)&lt;=0),0,IF(Planos!$G130&gt;EOMONTH(DATE(crono_ano_ref,1,1),0),0,MAX(0,INT((EOMONTH(DATE(crono_ano_ref,1,1),0)-IF(Planos!$G130&gt;=DATE(crono_ano_ref,1,1),Planos!$G130,Planos!$G130+CEILING((DATE(crono_ano_ref,1,1)-Planos!$G130)/Planos!$E130,1)*Planos!$E130))/Planos!$E130)+1)))</f>
      </c>
      <c r="G132" s="44">
        <f>IF(OR(Planos!$A130="",NOT(ISNUMBER(Planos!$G130)),N(Planos!$E130)&lt;=0),0,IF(Planos!$G130&gt;EOMONTH(DATE(crono_ano_ref,2,1),0),0,MAX(0,INT((EOMONTH(DATE(crono_ano_ref,2,1),0)-IF(Planos!$G130&gt;=DATE(crono_ano_ref,2,1),Planos!$G130,Planos!$G130+CEILING((DATE(crono_ano_ref,2,1)-Planos!$G130)/Planos!$E130,1)*Planos!$E130))/Planos!$E130)+1)))</f>
      </c>
      <c r="H132" s="44">
        <f>IF(OR(Planos!$A130="",NOT(ISNUMBER(Planos!$G130)),N(Planos!$E130)&lt;=0),0,IF(Planos!$G130&gt;EOMONTH(DATE(crono_ano_ref,3,1),0),0,MAX(0,INT((EOMONTH(DATE(crono_ano_ref,3,1),0)-IF(Planos!$G130&gt;=DATE(crono_ano_ref,3,1),Planos!$G130,Planos!$G130+CEILING((DATE(crono_ano_ref,3,1)-Planos!$G130)/Planos!$E130,1)*Planos!$E130))/Planos!$E130)+1)))</f>
      </c>
      <c r="I132" s="44">
        <f>IF(OR(Planos!$A130="",NOT(ISNUMBER(Planos!$G130)),N(Planos!$E130)&lt;=0),0,IF(Planos!$G130&gt;EOMONTH(DATE(crono_ano_ref,4,1),0),0,MAX(0,INT((EOMONTH(DATE(crono_ano_ref,4,1),0)-IF(Planos!$G130&gt;=DATE(crono_ano_ref,4,1),Planos!$G130,Planos!$G130+CEILING((DATE(crono_ano_ref,4,1)-Planos!$G130)/Planos!$E130,1)*Planos!$E130))/Planos!$E130)+1)))</f>
      </c>
      <c r="J132" s="44">
        <f>IF(OR(Planos!$A130="",NOT(ISNUMBER(Planos!$G130)),N(Planos!$E130)&lt;=0),0,IF(Planos!$G130&gt;EOMONTH(DATE(crono_ano_ref,5,1),0),0,MAX(0,INT((EOMONTH(DATE(crono_ano_ref,5,1),0)-IF(Planos!$G130&gt;=DATE(crono_ano_ref,5,1),Planos!$G130,Planos!$G130+CEILING((DATE(crono_ano_ref,5,1)-Planos!$G130)/Planos!$E130,1)*Planos!$E130))/Planos!$E130)+1)))</f>
      </c>
      <c r="K132" s="44">
        <f>IF(OR(Planos!$A130="",NOT(ISNUMBER(Planos!$G130)),N(Planos!$E130)&lt;=0),0,IF(Planos!$G130&gt;EOMONTH(DATE(crono_ano_ref,6,1),0),0,MAX(0,INT((EOMONTH(DATE(crono_ano_ref,6,1),0)-IF(Planos!$G130&gt;=DATE(crono_ano_ref,6,1),Planos!$G130,Planos!$G130+CEILING((DATE(crono_ano_ref,6,1)-Planos!$G130)/Planos!$E130,1)*Planos!$E130))/Planos!$E130)+1)))</f>
      </c>
      <c r="L132" s="44">
        <f>IF(OR(Planos!$A130="",NOT(ISNUMBER(Planos!$G130)),N(Planos!$E130)&lt;=0),0,IF(Planos!$G130&gt;EOMONTH(DATE(crono_ano_ref,7,1),0),0,MAX(0,INT((EOMONTH(DATE(crono_ano_ref,7,1),0)-IF(Planos!$G130&gt;=DATE(crono_ano_ref,7,1),Planos!$G130,Planos!$G130+CEILING((DATE(crono_ano_ref,7,1)-Planos!$G130)/Planos!$E130,1)*Planos!$E130))/Planos!$E130)+1)))</f>
      </c>
      <c r="M132" s="44">
        <f>IF(OR(Planos!$A130="",NOT(ISNUMBER(Planos!$G130)),N(Planos!$E130)&lt;=0),0,IF(Planos!$G130&gt;EOMONTH(DATE(crono_ano_ref,8,1),0),0,MAX(0,INT((EOMONTH(DATE(crono_ano_ref,8,1),0)-IF(Planos!$G130&gt;=DATE(crono_ano_ref,8,1),Planos!$G130,Planos!$G130+CEILING((DATE(crono_ano_ref,8,1)-Planos!$G130)/Planos!$E130,1)*Planos!$E130))/Planos!$E130)+1)))</f>
      </c>
      <c r="N132" s="44">
        <f>IF(OR(Planos!$A130="",NOT(ISNUMBER(Planos!$G130)),N(Planos!$E130)&lt;=0),0,IF(Planos!$G130&gt;EOMONTH(DATE(crono_ano_ref,9,1),0),0,MAX(0,INT((EOMONTH(DATE(crono_ano_ref,9,1),0)-IF(Planos!$G130&gt;=DATE(crono_ano_ref,9,1),Planos!$G130,Planos!$G130+CEILING((DATE(crono_ano_ref,9,1)-Planos!$G130)/Planos!$E130,1)*Planos!$E130))/Planos!$E130)+1)))</f>
      </c>
      <c r="O132" s="44">
        <f>IF(OR(Planos!$A130="",NOT(ISNUMBER(Planos!$G130)),N(Planos!$E130)&lt;=0),0,IF(Planos!$G130&gt;EOMONTH(DATE(crono_ano_ref,10,1),0),0,MAX(0,INT((EOMONTH(DATE(crono_ano_ref,10,1),0)-IF(Planos!$G130&gt;=DATE(crono_ano_ref,10,1),Planos!$G130,Planos!$G130+CEILING((DATE(crono_ano_ref,10,1)-Planos!$G130)/Planos!$E130,1)*Planos!$E130))/Planos!$E130)+1)))</f>
      </c>
      <c r="P132" s="44">
        <f>IF(OR(Planos!$A130="",NOT(ISNUMBER(Planos!$G130)),N(Planos!$E130)&lt;=0),0,IF(Planos!$G130&gt;EOMONTH(DATE(crono_ano_ref,11,1),0),0,MAX(0,INT((EOMONTH(DATE(crono_ano_ref,11,1),0)-IF(Planos!$G130&gt;=DATE(crono_ano_ref,11,1),Planos!$G130,Planos!$G130+CEILING((DATE(crono_ano_ref,11,1)-Planos!$G130)/Planos!$E130,1)*Planos!$E130))/Planos!$E130)+1)))</f>
      </c>
      <c r="Q132" s="44">
        <f>IF(OR(Planos!$A130="",NOT(ISNUMBER(Planos!$G130)),N(Planos!$E130)&lt;=0),0,IF(Planos!$G130&gt;EOMONTH(DATE(crono_ano_ref,12,1),0),0,MAX(0,INT((EOMONTH(DATE(crono_ano_ref,12,1),0)-IF(Planos!$G130&gt;=DATE(crono_ano_ref,12,1),Planos!$G130,Planos!$G130+CEILING((DATE(crono_ano_ref,12,1)-Planos!$G130)/Planos!$E130,1)*Planos!$E130))/Planos!$E130)+1)))</f>
      </c>
      <c r="R132" s="44">
        <f>SUM(F132:Q132)</f>
      </c>
    </row>
    <row r="133" spans="1:18" x14ac:dyDescent="0.25">
      <c r="A133" s="24">
        <f>IF(Planos!$A131="","",Planos!A131&amp;"")</f>
      </c>
      <c r="B133" s="41">
        <f>IF(Planos!$A131="","",Planos!B131&amp;"")</f>
      </c>
      <c r="C133" s="24">
        <f>IF(Planos!$A131="","",Planos!C131&amp;"")</f>
      </c>
      <c r="D133" s="42">
        <f>IF(Planos!$A131="","",N(Planos!E131))</f>
      </c>
      <c r="E133" s="43">
        <f>IF(Planos!$A131="","",N(Planos!K131))</f>
      </c>
      <c r="F133" s="44">
        <f>IF(OR(Planos!$A131="",NOT(ISNUMBER(Planos!$G131)),N(Planos!$E131)&lt;=0),0,IF(Planos!$G131&gt;EOMONTH(DATE(crono_ano_ref,1,1),0),0,MAX(0,INT((EOMONTH(DATE(crono_ano_ref,1,1),0)-IF(Planos!$G131&gt;=DATE(crono_ano_ref,1,1),Planos!$G131,Planos!$G131+CEILING((DATE(crono_ano_ref,1,1)-Planos!$G131)/Planos!$E131,1)*Planos!$E131))/Planos!$E131)+1)))</f>
      </c>
      <c r="G133" s="44">
        <f>IF(OR(Planos!$A131="",NOT(ISNUMBER(Planos!$G131)),N(Planos!$E131)&lt;=0),0,IF(Planos!$G131&gt;EOMONTH(DATE(crono_ano_ref,2,1),0),0,MAX(0,INT((EOMONTH(DATE(crono_ano_ref,2,1),0)-IF(Planos!$G131&gt;=DATE(crono_ano_ref,2,1),Planos!$G131,Planos!$G131+CEILING((DATE(crono_ano_ref,2,1)-Planos!$G131)/Planos!$E131,1)*Planos!$E131))/Planos!$E131)+1)))</f>
      </c>
      <c r="H133" s="44">
        <f>IF(OR(Planos!$A131="",NOT(ISNUMBER(Planos!$G131)),N(Planos!$E131)&lt;=0),0,IF(Planos!$G131&gt;EOMONTH(DATE(crono_ano_ref,3,1),0),0,MAX(0,INT((EOMONTH(DATE(crono_ano_ref,3,1),0)-IF(Planos!$G131&gt;=DATE(crono_ano_ref,3,1),Planos!$G131,Planos!$G131+CEILING((DATE(crono_ano_ref,3,1)-Planos!$G131)/Planos!$E131,1)*Planos!$E131))/Planos!$E131)+1)))</f>
      </c>
      <c r="I133" s="44">
        <f>IF(OR(Planos!$A131="",NOT(ISNUMBER(Planos!$G131)),N(Planos!$E131)&lt;=0),0,IF(Planos!$G131&gt;EOMONTH(DATE(crono_ano_ref,4,1),0),0,MAX(0,INT((EOMONTH(DATE(crono_ano_ref,4,1),0)-IF(Planos!$G131&gt;=DATE(crono_ano_ref,4,1),Planos!$G131,Planos!$G131+CEILING((DATE(crono_ano_ref,4,1)-Planos!$G131)/Planos!$E131,1)*Planos!$E131))/Planos!$E131)+1)))</f>
      </c>
      <c r="J133" s="44">
        <f>IF(OR(Planos!$A131="",NOT(ISNUMBER(Planos!$G131)),N(Planos!$E131)&lt;=0),0,IF(Planos!$G131&gt;EOMONTH(DATE(crono_ano_ref,5,1),0),0,MAX(0,INT((EOMONTH(DATE(crono_ano_ref,5,1),0)-IF(Planos!$G131&gt;=DATE(crono_ano_ref,5,1),Planos!$G131,Planos!$G131+CEILING((DATE(crono_ano_ref,5,1)-Planos!$G131)/Planos!$E131,1)*Planos!$E131))/Planos!$E131)+1)))</f>
      </c>
      <c r="K133" s="44">
        <f>IF(OR(Planos!$A131="",NOT(ISNUMBER(Planos!$G131)),N(Planos!$E131)&lt;=0),0,IF(Planos!$G131&gt;EOMONTH(DATE(crono_ano_ref,6,1),0),0,MAX(0,INT((EOMONTH(DATE(crono_ano_ref,6,1),0)-IF(Planos!$G131&gt;=DATE(crono_ano_ref,6,1),Planos!$G131,Planos!$G131+CEILING((DATE(crono_ano_ref,6,1)-Planos!$G131)/Planos!$E131,1)*Planos!$E131))/Planos!$E131)+1)))</f>
      </c>
      <c r="L133" s="44">
        <f>IF(OR(Planos!$A131="",NOT(ISNUMBER(Planos!$G131)),N(Planos!$E131)&lt;=0),0,IF(Planos!$G131&gt;EOMONTH(DATE(crono_ano_ref,7,1),0),0,MAX(0,INT((EOMONTH(DATE(crono_ano_ref,7,1),0)-IF(Planos!$G131&gt;=DATE(crono_ano_ref,7,1),Planos!$G131,Planos!$G131+CEILING((DATE(crono_ano_ref,7,1)-Planos!$G131)/Planos!$E131,1)*Planos!$E131))/Planos!$E131)+1)))</f>
      </c>
      <c r="M133" s="44">
        <f>IF(OR(Planos!$A131="",NOT(ISNUMBER(Planos!$G131)),N(Planos!$E131)&lt;=0),0,IF(Planos!$G131&gt;EOMONTH(DATE(crono_ano_ref,8,1),0),0,MAX(0,INT((EOMONTH(DATE(crono_ano_ref,8,1),0)-IF(Planos!$G131&gt;=DATE(crono_ano_ref,8,1),Planos!$G131,Planos!$G131+CEILING((DATE(crono_ano_ref,8,1)-Planos!$G131)/Planos!$E131,1)*Planos!$E131))/Planos!$E131)+1)))</f>
      </c>
      <c r="N133" s="44">
        <f>IF(OR(Planos!$A131="",NOT(ISNUMBER(Planos!$G131)),N(Planos!$E131)&lt;=0),0,IF(Planos!$G131&gt;EOMONTH(DATE(crono_ano_ref,9,1),0),0,MAX(0,INT((EOMONTH(DATE(crono_ano_ref,9,1),0)-IF(Planos!$G131&gt;=DATE(crono_ano_ref,9,1),Planos!$G131,Planos!$G131+CEILING((DATE(crono_ano_ref,9,1)-Planos!$G131)/Planos!$E131,1)*Planos!$E131))/Planos!$E131)+1)))</f>
      </c>
      <c r="O133" s="44">
        <f>IF(OR(Planos!$A131="",NOT(ISNUMBER(Planos!$G131)),N(Planos!$E131)&lt;=0),0,IF(Planos!$G131&gt;EOMONTH(DATE(crono_ano_ref,10,1),0),0,MAX(0,INT((EOMONTH(DATE(crono_ano_ref,10,1),0)-IF(Planos!$G131&gt;=DATE(crono_ano_ref,10,1),Planos!$G131,Planos!$G131+CEILING((DATE(crono_ano_ref,10,1)-Planos!$G131)/Planos!$E131,1)*Planos!$E131))/Planos!$E131)+1)))</f>
      </c>
      <c r="P133" s="44">
        <f>IF(OR(Planos!$A131="",NOT(ISNUMBER(Planos!$G131)),N(Planos!$E131)&lt;=0),0,IF(Planos!$G131&gt;EOMONTH(DATE(crono_ano_ref,11,1),0),0,MAX(0,INT((EOMONTH(DATE(crono_ano_ref,11,1),0)-IF(Planos!$G131&gt;=DATE(crono_ano_ref,11,1),Planos!$G131,Planos!$G131+CEILING((DATE(crono_ano_ref,11,1)-Planos!$G131)/Planos!$E131,1)*Planos!$E131))/Planos!$E131)+1)))</f>
      </c>
      <c r="Q133" s="44">
        <f>IF(OR(Planos!$A131="",NOT(ISNUMBER(Planos!$G131)),N(Planos!$E131)&lt;=0),0,IF(Planos!$G131&gt;EOMONTH(DATE(crono_ano_ref,12,1),0),0,MAX(0,INT((EOMONTH(DATE(crono_ano_ref,12,1),0)-IF(Planos!$G131&gt;=DATE(crono_ano_ref,12,1),Planos!$G131,Planos!$G131+CEILING((DATE(crono_ano_ref,12,1)-Planos!$G131)/Planos!$E131,1)*Planos!$E131))/Planos!$E131)+1)))</f>
      </c>
      <c r="R133" s="44">
        <f>SUM(F133:Q133)</f>
      </c>
    </row>
    <row r="134" spans="1:18" x14ac:dyDescent="0.25">
      <c r="A134" s="24">
        <f>IF(Planos!$A132="","",Planos!A132&amp;"")</f>
      </c>
      <c r="B134" s="41">
        <f>IF(Planos!$A132="","",Planos!B132&amp;"")</f>
      </c>
      <c r="C134" s="24">
        <f>IF(Planos!$A132="","",Planos!C132&amp;"")</f>
      </c>
      <c r="D134" s="42">
        <f>IF(Planos!$A132="","",N(Planos!E132))</f>
      </c>
      <c r="E134" s="43">
        <f>IF(Planos!$A132="","",N(Planos!K132))</f>
      </c>
      <c r="F134" s="44">
        <f>IF(OR(Planos!$A132="",NOT(ISNUMBER(Planos!$G132)),N(Planos!$E132)&lt;=0),0,IF(Planos!$G132&gt;EOMONTH(DATE(crono_ano_ref,1,1),0),0,MAX(0,INT((EOMONTH(DATE(crono_ano_ref,1,1),0)-IF(Planos!$G132&gt;=DATE(crono_ano_ref,1,1),Planos!$G132,Planos!$G132+CEILING((DATE(crono_ano_ref,1,1)-Planos!$G132)/Planos!$E132,1)*Planos!$E132))/Planos!$E132)+1)))</f>
      </c>
      <c r="G134" s="44">
        <f>IF(OR(Planos!$A132="",NOT(ISNUMBER(Planos!$G132)),N(Planos!$E132)&lt;=0),0,IF(Planos!$G132&gt;EOMONTH(DATE(crono_ano_ref,2,1),0),0,MAX(0,INT((EOMONTH(DATE(crono_ano_ref,2,1),0)-IF(Planos!$G132&gt;=DATE(crono_ano_ref,2,1),Planos!$G132,Planos!$G132+CEILING((DATE(crono_ano_ref,2,1)-Planos!$G132)/Planos!$E132,1)*Planos!$E132))/Planos!$E132)+1)))</f>
      </c>
      <c r="H134" s="44">
        <f>IF(OR(Planos!$A132="",NOT(ISNUMBER(Planos!$G132)),N(Planos!$E132)&lt;=0),0,IF(Planos!$G132&gt;EOMONTH(DATE(crono_ano_ref,3,1),0),0,MAX(0,INT((EOMONTH(DATE(crono_ano_ref,3,1),0)-IF(Planos!$G132&gt;=DATE(crono_ano_ref,3,1),Planos!$G132,Planos!$G132+CEILING((DATE(crono_ano_ref,3,1)-Planos!$G132)/Planos!$E132,1)*Planos!$E132))/Planos!$E132)+1)))</f>
      </c>
      <c r="I134" s="44">
        <f>IF(OR(Planos!$A132="",NOT(ISNUMBER(Planos!$G132)),N(Planos!$E132)&lt;=0),0,IF(Planos!$G132&gt;EOMONTH(DATE(crono_ano_ref,4,1),0),0,MAX(0,INT((EOMONTH(DATE(crono_ano_ref,4,1),0)-IF(Planos!$G132&gt;=DATE(crono_ano_ref,4,1),Planos!$G132,Planos!$G132+CEILING((DATE(crono_ano_ref,4,1)-Planos!$G132)/Planos!$E132,1)*Planos!$E132))/Planos!$E132)+1)))</f>
      </c>
      <c r="J134" s="44">
        <f>IF(OR(Planos!$A132="",NOT(ISNUMBER(Planos!$G132)),N(Planos!$E132)&lt;=0),0,IF(Planos!$G132&gt;EOMONTH(DATE(crono_ano_ref,5,1),0),0,MAX(0,INT((EOMONTH(DATE(crono_ano_ref,5,1),0)-IF(Planos!$G132&gt;=DATE(crono_ano_ref,5,1),Planos!$G132,Planos!$G132+CEILING((DATE(crono_ano_ref,5,1)-Planos!$G132)/Planos!$E132,1)*Planos!$E132))/Planos!$E132)+1)))</f>
      </c>
      <c r="K134" s="44">
        <f>IF(OR(Planos!$A132="",NOT(ISNUMBER(Planos!$G132)),N(Planos!$E132)&lt;=0),0,IF(Planos!$G132&gt;EOMONTH(DATE(crono_ano_ref,6,1),0),0,MAX(0,INT((EOMONTH(DATE(crono_ano_ref,6,1),0)-IF(Planos!$G132&gt;=DATE(crono_ano_ref,6,1),Planos!$G132,Planos!$G132+CEILING((DATE(crono_ano_ref,6,1)-Planos!$G132)/Planos!$E132,1)*Planos!$E132))/Planos!$E132)+1)))</f>
      </c>
      <c r="L134" s="44">
        <f>IF(OR(Planos!$A132="",NOT(ISNUMBER(Planos!$G132)),N(Planos!$E132)&lt;=0),0,IF(Planos!$G132&gt;EOMONTH(DATE(crono_ano_ref,7,1),0),0,MAX(0,INT((EOMONTH(DATE(crono_ano_ref,7,1),0)-IF(Planos!$G132&gt;=DATE(crono_ano_ref,7,1),Planos!$G132,Planos!$G132+CEILING((DATE(crono_ano_ref,7,1)-Planos!$G132)/Planos!$E132,1)*Planos!$E132))/Planos!$E132)+1)))</f>
      </c>
      <c r="M134" s="44">
        <f>IF(OR(Planos!$A132="",NOT(ISNUMBER(Planos!$G132)),N(Planos!$E132)&lt;=0),0,IF(Planos!$G132&gt;EOMONTH(DATE(crono_ano_ref,8,1),0),0,MAX(0,INT((EOMONTH(DATE(crono_ano_ref,8,1),0)-IF(Planos!$G132&gt;=DATE(crono_ano_ref,8,1),Planos!$G132,Planos!$G132+CEILING((DATE(crono_ano_ref,8,1)-Planos!$G132)/Planos!$E132,1)*Planos!$E132))/Planos!$E132)+1)))</f>
      </c>
      <c r="N134" s="44">
        <f>IF(OR(Planos!$A132="",NOT(ISNUMBER(Planos!$G132)),N(Planos!$E132)&lt;=0),0,IF(Planos!$G132&gt;EOMONTH(DATE(crono_ano_ref,9,1),0),0,MAX(0,INT((EOMONTH(DATE(crono_ano_ref,9,1),0)-IF(Planos!$G132&gt;=DATE(crono_ano_ref,9,1),Planos!$G132,Planos!$G132+CEILING((DATE(crono_ano_ref,9,1)-Planos!$G132)/Planos!$E132,1)*Planos!$E132))/Planos!$E132)+1)))</f>
      </c>
      <c r="O134" s="44">
        <f>IF(OR(Planos!$A132="",NOT(ISNUMBER(Planos!$G132)),N(Planos!$E132)&lt;=0),0,IF(Planos!$G132&gt;EOMONTH(DATE(crono_ano_ref,10,1),0),0,MAX(0,INT((EOMONTH(DATE(crono_ano_ref,10,1),0)-IF(Planos!$G132&gt;=DATE(crono_ano_ref,10,1),Planos!$G132,Planos!$G132+CEILING((DATE(crono_ano_ref,10,1)-Planos!$G132)/Planos!$E132,1)*Planos!$E132))/Planos!$E132)+1)))</f>
      </c>
      <c r="P134" s="44">
        <f>IF(OR(Planos!$A132="",NOT(ISNUMBER(Planos!$G132)),N(Planos!$E132)&lt;=0),0,IF(Planos!$G132&gt;EOMONTH(DATE(crono_ano_ref,11,1),0),0,MAX(0,INT((EOMONTH(DATE(crono_ano_ref,11,1),0)-IF(Planos!$G132&gt;=DATE(crono_ano_ref,11,1),Planos!$G132,Planos!$G132+CEILING((DATE(crono_ano_ref,11,1)-Planos!$G132)/Planos!$E132,1)*Planos!$E132))/Planos!$E132)+1)))</f>
      </c>
      <c r="Q134" s="44">
        <f>IF(OR(Planos!$A132="",NOT(ISNUMBER(Planos!$G132)),N(Planos!$E132)&lt;=0),0,IF(Planos!$G132&gt;EOMONTH(DATE(crono_ano_ref,12,1),0),0,MAX(0,INT((EOMONTH(DATE(crono_ano_ref,12,1),0)-IF(Planos!$G132&gt;=DATE(crono_ano_ref,12,1),Planos!$G132,Planos!$G132+CEILING((DATE(crono_ano_ref,12,1)-Planos!$G132)/Planos!$E132,1)*Planos!$E132))/Planos!$E132)+1)))</f>
      </c>
      <c r="R134" s="44">
        <f>SUM(F134:Q134)</f>
      </c>
    </row>
    <row r="135" spans="1:18" x14ac:dyDescent="0.25">
      <c r="A135" s="24">
        <f>IF(Planos!$A133="","",Planos!A133&amp;"")</f>
      </c>
      <c r="B135" s="41">
        <f>IF(Planos!$A133="","",Planos!B133&amp;"")</f>
      </c>
      <c r="C135" s="24">
        <f>IF(Planos!$A133="","",Planos!C133&amp;"")</f>
      </c>
      <c r="D135" s="42">
        <f>IF(Planos!$A133="","",N(Planos!E133))</f>
      </c>
      <c r="E135" s="43">
        <f>IF(Planos!$A133="","",N(Planos!K133))</f>
      </c>
      <c r="F135" s="44">
        <f>IF(OR(Planos!$A133="",NOT(ISNUMBER(Planos!$G133)),N(Planos!$E133)&lt;=0),0,IF(Planos!$G133&gt;EOMONTH(DATE(crono_ano_ref,1,1),0),0,MAX(0,INT((EOMONTH(DATE(crono_ano_ref,1,1),0)-IF(Planos!$G133&gt;=DATE(crono_ano_ref,1,1),Planos!$G133,Planos!$G133+CEILING((DATE(crono_ano_ref,1,1)-Planos!$G133)/Planos!$E133,1)*Planos!$E133))/Planos!$E133)+1)))</f>
      </c>
      <c r="G135" s="44">
        <f>IF(OR(Planos!$A133="",NOT(ISNUMBER(Planos!$G133)),N(Planos!$E133)&lt;=0),0,IF(Planos!$G133&gt;EOMONTH(DATE(crono_ano_ref,2,1),0),0,MAX(0,INT((EOMONTH(DATE(crono_ano_ref,2,1),0)-IF(Planos!$G133&gt;=DATE(crono_ano_ref,2,1),Planos!$G133,Planos!$G133+CEILING((DATE(crono_ano_ref,2,1)-Planos!$G133)/Planos!$E133,1)*Planos!$E133))/Planos!$E133)+1)))</f>
      </c>
      <c r="H135" s="44">
        <f>IF(OR(Planos!$A133="",NOT(ISNUMBER(Planos!$G133)),N(Planos!$E133)&lt;=0),0,IF(Planos!$G133&gt;EOMONTH(DATE(crono_ano_ref,3,1),0),0,MAX(0,INT((EOMONTH(DATE(crono_ano_ref,3,1),0)-IF(Planos!$G133&gt;=DATE(crono_ano_ref,3,1),Planos!$G133,Planos!$G133+CEILING((DATE(crono_ano_ref,3,1)-Planos!$G133)/Planos!$E133,1)*Planos!$E133))/Planos!$E133)+1)))</f>
      </c>
      <c r="I135" s="44">
        <f>IF(OR(Planos!$A133="",NOT(ISNUMBER(Planos!$G133)),N(Planos!$E133)&lt;=0),0,IF(Planos!$G133&gt;EOMONTH(DATE(crono_ano_ref,4,1),0),0,MAX(0,INT((EOMONTH(DATE(crono_ano_ref,4,1),0)-IF(Planos!$G133&gt;=DATE(crono_ano_ref,4,1),Planos!$G133,Planos!$G133+CEILING((DATE(crono_ano_ref,4,1)-Planos!$G133)/Planos!$E133,1)*Planos!$E133))/Planos!$E133)+1)))</f>
      </c>
      <c r="J135" s="44">
        <f>IF(OR(Planos!$A133="",NOT(ISNUMBER(Planos!$G133)),N(Planos!$E133)&lt;=0),0,IF(Planos!$G133&gt;EOMONTH(DATE(crono_ano_ref,5,1),0),0,MAX(0,INT((EOMONTH(DATE(crono_ano_ref,5,1),0)-IF(Planos!$G133&gt;=DATE(crono_ano_ref,5,1),Planos!$G133,Planos!$G133+CEILING((DATE(crono_ano_ref,5,1)-Planos!$G133)/Planos!$E133,1)*Planos!$E133))/Planos!$E133)+1)))</f>
      </c>
      <c r="K135" s="44">
        <f>IF(OR(Planos!$A133="",NOT(ISNUMBER(Planos!$G133)),N(Planos!$E133)&lt;=0),0,IF(Planos!$G133&gt;EOMONTH(DATE(crono_ano_ref,6,1),0),0,MAX(0,INT((EOMONTH(DATE(crono_ano_ref,6,1),0)-IF(Planos!$G133&gt;=DATE(crono_ano_ref,6,1),Planos!$G133,Planos!$G133+CEILING((DATE(crono_ano_ref,6,1)-Planos!$G133)/Planos!$E133,1)*Planos!$E133))/Planos!$E133)+1)))</f>
      </c>
      <c r="L135" s="44">
        <f>IF(OR(Planos!$A133="",NOT(ISNUMBER(Planos!$G133)),N(Planos!$E133)&lt;=0),0,IF(Planos!$G133&gt;EOMONTH(DATE(crono_ano_ref,7,1),0),0,MAX(0,INT((EOMONTH(DATE(crono_ano_ref,7,1),0)-IF(Planos!$G133&gt;=DATE(crono_ano_ref,7,1),Planos!$G133,Planos!$G133+CEILING((DATE(crono_ano_ref,7,1)-Planos!$G133)/Planos!$E133,1)*Planos!$E133))/Planos!$E133)+1)))</f>
      </c>
      <c r="M135" s="44">
        <f>IF(OR(Planos!$A133="",NOT(ISNUMBER(Planos!$G133)),N(Planos!$E133)&lt;=0),0,IF(Planos!$G133&gt;EOMONTH(DATE(crono_ano_ref,8,1),0),0,MAX(0,INT((EOMONTH(DATE(crono_ano_ref,8,1),0)-IF(Planos!$G133&gt;=DATE(crono_ano_ref,8,1),Planos!$G133,Planos!$G133+CEILING((DATE(crono_ano_ref,8,1)-Planos!$G133)/Planos!$E133,1)*Planos!$E133))/Planos!$E133)+1)))</f>
      </c>
      <c r="N135" s="44">
        <f>IF(OR(Planos!$A133="",NOT(ISNUMBER(Planos!$G133)),N(Planos!$E133)&lt;=0),0,IF(Planos!$G133&gt;EOMONTH(DATE(crono_ano_ref,9,1),0),0,MAX(0,INT((EOMONTH(DATE(crono_ano_ref,9,1),0)-IF(Planos!$G133&gt;=DATE(crono_ano_ref,9,1),Planos!$G133,Planos!$G133+CEILING((DATE(crono_ano_ref,9,1)-Planos!$G133)/Planos!$E133,1)*Planos!$E133))/Planos!$E133)+1)))</f>
      </c>
      <c r="O135" s="44">
        <f>IF(OR(Planos!$A133="",NOT(ISNUMBER(Planos!$G133)),N(Planos!$E133)&lt;=0),0,IF(Planos!$G133&gt;EOMONTH(DATE(crono_ano_ref,10,1),0),0,MAX(0,INT((EOMONTH(DATE(crono_ano_ref,10,1),0)-IF(Planos!$G133&gt;=DATE(crono_ano_ref,10,1),Planos!$G133,Planos!$G133+CEILING((DATE(crono_ano_ref,10,1)-Planos!$G133)/Planos!$E133,1)*Planos!$E133))/Planos!$E133)+1)))</f>
      </c>
      <c r="P135" s="44">
        <f>IF(OR(Planos!$A133="",NOT(ISNUMBER(Planos!$G133)),N(Planos!$E133)&lt;=0),0,IF(Planos!$G133&gt;EOMONTH(DATE(crono_ano_ref,11,1),0),0,MAX(0,INT((EOMONTH(DATE(crono_ano_ref,11,1),0)-IF(Planos!$G133&gt;=DATE(crono_ano_ref,11,1),Planos!$G133,Planos!$G133+CEILING((DATE(crono_ano_ref,11,1)-Planos!$G133)/Planos!$E133,1)*Planos!$E133))/Planos!$E133)+1)))</f>
      </c>
      <c r="Q135" s="44">
        <f>IF(OR(Planos!$A133="",NOT(ISNUMBER(Planos!$G133)),N(Planos!$E133)&lt;=0),0,IF(Planos!$G133&gt;EOMONTH(DATE(crono_ano_ref,12,1),0),0,MAX(0,INT((EOMONTH(DATE(crono_ano_ref,12,1),0)-IF(Planos!$G133&gt;=DATE(crono_ano_ref,12,1),Planos!$G133,Planos!$G133+CEILING((DATE(crono_ano_ref,12,1)-Planos!$G133)/Planos!$E133,1)*Planos!$E133))/Planos!$E133)+1)))</f>
      </c>
      <c r="R135" s="44">
        <f>SUM(F135:Q135)</f>
      </c>
    </row>
    <row r="136" spans="1:18" x14ac:dyDescent="0.25">
      <c r="A136" s="24">
        <f>IF(Planos!$A134="","",Planos!A134&amp;"")</f>
      </c>
      <c r="B136" s="41">
        <f>IF(Planos!$A134="","",Planos!B134&amp;"")</f>
      </c>
      <c r="C136" s="24">
        <f>IF(Planos!$A134="","",Planos!C134&amp;"")</f>
      </c>
      <c r="D136" s="42">
        <f>IF(Planos!$A134="","",N(Planos!E134))</f>
      </c>
      <c r="E136" s="43">
        <f>IF(Planos!$A134="","",N(Planos!K134))</f>
      </c>
      <c r="F136" s="44">
        <f>IF(OR(Planos!$A134="",NOT(ISNUMBER(Planos!$G134)),N(Planos!$E134)&lt;=0),0,IF(Planos!$G134&gt;EOMONTH(DATE(crono_ano_ref,1,1),0),0,MAX(0,INT((EOMONTH(DATE(crono_ano_ref,1,1),0)-IF(Planos!$G134&gt;=DATE(crono_ano_ref,1,1),Planos!$G134,Planos!$G134+CEILING((DATE(crono_ano_ref,1,1)-Planos!$G134)/Planos!$E134,1)*Planos!$E134))/Planos!$E134)+1)))</f>
      </c>
      <c r="G136" s="44">
        <f>IF(OR(Planos!$A134="",NOT(ISNUMBER(Planos!$G134)),N(Planos!$E134)&lt;=0),0,IF(Planos!$G134&gt;EOMONTH(DATE(crono_ano_ref,2,1),0),0,MAX(0,INT((EOMONTH(DATE(crono_ano_ref,2,1),0)-IF(Planos!$G134&gt;=DATE(crono_ano_ref,2,1),Planos!$G134,Planos!$G134+CEILING((DATE(crono_ano_ref,2,1)-Planos!$G134)/Planos!$E134,1)*Planos!$E134))/Planos!$E134)+1)))</f>
      </c>
      <c r="H136" s="44">
        <f>IF(OR(Planos!$A134="",NOT(ISNUMBER(Planos!$G134)),N(Planos!$E134)&lt;=0),0,IF(Planos!$G134&gt;EOMONTH(DATE(crono_ano_ref,3,1),0),0,MAX(0,INT((EOMONTH(DATE(crono_ano_ref,3,1),0)-IF(Planos!$G134&gt;=DATE(crono_ano_ref,3,1),Planos!$G134,Planos!$G134+CEILING((DATE(crono_ano_ref,3,1)-Planos!$G134)/Planos!$E134,1)*Planos!$E134))/Planos!$E134)+1)))</f>
      </c>
      <c r="I136" s="44">
        <f>IF(OR(Planos!$A134="",NOT(ISNUMBER(Planos!$G134)),N(Planos!$E134)&lt;=0),0,IF(Planos!$G134&gt;EOMONTH(DATE(crono_ano_ref,4,1),0),0,MAX(0,INT((EOMONTH(DATE(crono_ano_ref,4,1),0)-IF(Planos!$G134&gt;=DATE(crono_ano_ref,4,1),Planos!$G134,Planos!$G134+CEILING((DATE(crono_ano_ref,4,1)-Planos!$G134)/Planos!$E134,1)*Planos!$E134))/Planos!$E134)+1)))</f>
      </c>
      <c r="J136" s="44">
        <f>IF(OR(Planos!$A134="",NOT(ISNUMBER(Planos!$G134)),N(Planos!$E134)&lt;=0),0,IF(Planos!$G134&gt;EOMONTH(DATE(crono_ano_ref,5,1),0),0,MAX(0,INT((EOMONTH(DATE(crono_ano_ref,5,1),0)-IF(Planos!$G134&gt;=DATE(crono_ano_ref,5,1),Planos!$G134,Planos!$G134+CEILING((DATE(crono_ano_ref,5,1)-Planos!$G134)/Planos!$E134,1)*Planos!$E134))/Planos!$E134)+1)))</f>
      </c>
      <c r="K136" s="44">
        <f>IF(OR(Planos!$A134="",NOT(ISNUMBER(Planos!$G134)),N(Planos!$E134)&lt;=0),0,IF(Planos!$G134&gt;EOMONTH(DATE(crono_ano_ref,6,1),0),0,MAX(0,INT((EOMONTH(DATE(crono_ano_ref,6,1),0)-IF(Planos!$G134&gt;=DATE(crono_ano_ref,6,1),Planos!$G134,Planos!$G134+CEILING((DATE(crono_ano_ref,6,1)-Planos!$G134)/Planos!$E134,1)*Planos!$E134))/Planos!$E134)+1)))</f>
      </c>
      <c r="L136" s="44">
        <f>IF(OR(Planos!$A134="",NOT(ISNUMBER(Planos!$G134)),N(Planos!$E134)&lt;=0),0,IF(Planos!$G134&gt;EOMONTH(DATE(crono_ano_ref,7,1),0),0,MAX(0,INT((EOMONTH(DATE(crono_ano_ref,7,1),0)-IF(Planos!$G134&gt;=DATE(crono_ano_ref,7,1),Planos!$G134,Planos!$G134+CEILING((DATE(crono_ano_ref,7,1)-Planos!$G134)/Planos!$E134,1)*Planos!$E134))/Planos!$E134)+1)))</f>
      </c>
      <c r="M136" s="44">
        <f>IF(OR(Planos!$A134="",NOT(ISNUMBER(Planos!$G134)),N(Planos!$E134)&lt;=0),0,IF(Planos!$G134&gt;EOMONTH(DATE(crono_ano_ref,8,1),0),0,MAX(0,INT((EOMONTH(DATE(crono_ano_ref,8,1),0)-IF(Planos!$G134&gt;=DATE(crono_ano_ref,8,1),Planos!$G134,Planos!$G134+CEILING((DATE(crono_ano_ref,8,1)-Planos!$G134)/Planos!$E134,1)*Planos!$E134))/Planos!$E134)+1)))</f>
      </c>
      <c r="N136" s="44">
        <f>IF(OR(Planos!$A134="",NOT(ISNUMBER(Planos!$G134)),N(Planos!$E134)&lt;=0),0,IF(Planos!$G134&gt;EOMONTH(DATE(crono_ano_ref,9,1),0),0,MAX(0,INT((EOMONTH(DATE(crono_ano_ref,9,1),0)-IF(Planos!$G134&gt;=DATE(crono_ano_ref,9,1),Planos!$G134,Planos!$G134+CEILING((DATE(crono_ano_ref,9,1)-Planos!$G134)/Planos!$E134,1)*Planos!$E134))/Planos!$E134)+1)))</f>
      </c>
      <c r="O136" s="44">
        <f>IF(OR(Planos!$A134="",NOT(ISNUMBER(Planos!$G134)),N(Planos!$E134)&lt;=0),0,IF(Planos!$G134&gt;EOMONTH(DATE(crono_ano_ref,10,1),0),0,MAX(0,INT((EOMONTH(DATE(crono_ano_ref,10,1),0)-IF(Planos!$G134&gt;=DATE(crono_ano_ref,10,1),Planos!$G134,Planos!$G134+CEILING((DATE(crono_ano_ref,10,1)-Planos!$G134)/Planos!$E134,1)*Planos!$E134))/Planos!$E134)+1)))</f>
      </c>
      <c r="P136" s="44">
        <f>IF(OR(Planos!$A134="",NOT(ISNUMBER(Planos!$G134)),N(Planos!$E134)&lt;=0),0,IF(Planos!$G134&gt;EOMONTH(DATE(crono_ano_ref,11,1),0),0,MAX(0,INT((EOMONTH(DATE(crono_ano_ref,11,1),0)-IF(Planos!$G134&gt;=DATE(crono_ano_ref,11,1),Planos!$G134,Planos!$G134+CEILING((DATE(crono_ano_ref,11,1)-Planos!$G134)/Planos!$E134,1)*Planos!$E134))/Planos!$E134)+1)))</f>
      </c>
      <c r="Q136" s="44">
        <f>IF(OR(Planos!$A134="",NOT(ISNUMBER(Planos!$G134)),N(Planos!$E134)&lt;=0),0,IF(Planos!$G134&gt;EOMONTH(DATE(crono_ano_ref,12,1),0),0,MAX(0,INT((EOMONTH(DATE(crono_ano_ref,12,1),0)-IF(Planos!$G134&gt;=DATE(crono_ano_ref,12,1),Planos!$G134,Planos!$G134+CEILING((DATE(crono_ano_ref,12,1)-Planos!$G134)/Planos!$E134,1)*Planos!$E134))/Planos!$E134)+1)))</f>
      </c>
      <c r="R136" s="44">
        <f>SUM(F136:Q136)</f>
      </c>
    </row>
    <row r="137" spans="1:18" x14ac:dyDescent="0.25">
      <c r="A137" s="24">
        <f>IF(Planos!$A135="","",Planos!A135&amp;"")</f>
      </c>
      <c r="B137" s="41">
        <f>IF(Planos!$A135="","",Planos!B135&amp;"")</f>
      </c>
      <c r="C137" s="24">
        <f>IF(Planos!$A135="","",Planos!C135&amp;"")</f>
      </c>
      <c r="D137" s="42">
        <f>IF(Planos!$A135="","",N(Planos!E135))</f>
      </c>
      <c r="E137" s="43">
        <f>IF(Planos!$A135="","",N(Planos!K135))</f>
      </c>
      <c r="F137" s="44">
        <f>IF(OR(Planos!$A135="",NOT(ISNUMBER(Planos!$G135)),N(Planos!$E135)&lt;=0),0,IF(Planos!$G135&gt;EOMONTH(DATE(crono_ano_ref,1,1),0),0,MAX(0,INT((EOMONTH(DATE(crono_ano_ref,1,1),0)-IF(Planos!$G135&gt;=DATE(crono_ano_ref,1,1),Planos!$G135,Planos!$G135+CEILING((DATE(crono_ano_ref,1,1)-Planos!$G135)/Planos!$E135,1)*Planos!$E135))/Planos!$E135)+1)))</f>
      </c>
      <c r="G137" s="44">
        <f>IF(OR(Planos!$A135="",NOT(ISNUMBER(Planos!$G135)),N(Planos!$E135)&lt;=0),0,IF(Planos!$G135&gt;EOMONTH(DATE(crono_ano_ref,2,1),0),0,MAX(0,INT((EOMONTH(DATE(crono_ano_ref,2,1),0)-IF(Planos!$G135&gt;=DATE(crono_ano_ref,2,1),Planos!$G135,Planos!$G135+CEILING((DATE(crono_ano_ref,2,1)-Planos!$G135)/Planos!$E135,1)*Planos!$E135))/Planos!$E135)+1)))</f>
      </c>
      <c r="H137" s="44">
        <f>IF(OR(Planos!$A135="",NOT(ISNUMBER(Planos!$G135)),N(Planos!$E135)&lt;=0),0,IF(Planos!$G135&gt;EOMONTH(DATE(crono_ano_ref,3,1),0),0,MAX(0,INT((EOMONTH(DATE(crono_ano_ref,3,1),0)-IF(Planos!$G135&gt;=DATE(crono_ano_ref,3,1),Planos!$G135,Planos!$G135+CEILING((DATE(crono_ano_ref,3,1)-Planos!$G135)/Planos!$E135,1)*Planos!$E135))/Planos!$E135)+1)))</f>
      </c>
      <c r="I137" s="44">
        <f>IF(OR(Planos!$A135="",NOT(ISNUMBER(Planos!$G135)),N(Planos!$E135)&lt;=0),0,IF(Planos!$G135&gt;EOMONTH(DATE(crono_ano_ref,4,1),0),0,MAX(0,INT((EOMONTH(DATE(crono_ano_ref,4,1),0)-IF(Planos!$G135&gt;=DATE(crono_ano_ref,4,1),Planos!$G135,Planos!$G135+CEILING((DATE(crono_ano_ref,4,1)-Planos!$G135)/Planos!$E135,1)*Planos!$E135))/Planos!$E135)+1)))</f>
      </c>
      <c r="J137" s="44">
        <f>IF(OR(Planos!$A135="",NOT(ISNUMBER(Planos!$G135)),N(Planos!$E135)&lt;=0),0,IF(Planos!$G135&gt;EOMONTH(DATE(crono_ano_ref,5,1),0),0,MAX(0,INT((EOMONTH(DATE(crono_ano_ref,5,1),0)-IF(Planos!$G135&gt;=DATE(crono_ano_ref,5,1),Planos!$G135,Planos!$G135+CEILING((DATE(crono_ano_ref,5,1)-Planos!$G135)/Planos!$E135,1)*Planos!$E135))/Planos!$E135)+1)))</f>
      </c>
      <c r="K137" s="44">
        <f>IF(OR(Planos!$A135="",NOT(ISNUMBER(Planos!$G135)),N(Planos!$E135)&lt;=0),0,IF(Planos!$G135&gt;EOMONTH(DATE(crono_ano_ref,6,1),0),0,MAX(0,INT((EOMONTH(DATE(crono_ano_ref,6,1),0)-IF(Planos!$G135&gt;=DATE(crono_ano_ref,6,1),Planos!$G135,Planos!$G135+CEILING((DATE(crono_ano_ref,6,1)-Planos!$G135)/Planos!$E135,1)*Planos!$E135))/Planos!$E135)+1)))</f>
      </c>
      <c r="L137" s="44">
        <f>IF(OR(Planos!$A135="",NOT(ISNUMBER(Planos!$G135)),N(Planos!$E135)&lt;=0),0,IF(Planos!$G135&gt;EOMONTH(DATE(crono_ano_ref,7,1),0),0,MAX(0,INT((EOMONTH(DATE(crono_ano_ref,7,1),0)-IF(Planos!$G135&gt;=DATE(crono_ano_ref,7,1),Planos!$G135,Planos!$G135+CEILING((DATE(crono_ano_ref,7,1)-Planos!$G135)/Planos!$E135,1)*Planos!$E135))/Planos!$E135)+1)))</f>
      </c>
      <c r="M137" s="44">
        <f>IF(OR(Planos!$A135="",NOT(ISNUMBER(Planos!$G135)),N(Planos!$E135)&lt;=0),0,IF(Planos!$G135&gt;EOMONTH(DATE(crono_ano_ref,8,1),0),0,MAX(0,INT((EOMONTH(DATE(crono_ano_ref,8,1),0)-IF(Planos!$G135&gt;=DATE(crono_ano_ref,8,1),Planos!$G135,Planos!$G135+CEILING((DATE(crono_ano_ref,8,1)-Planos!$G135)/Planos!$E135,1)*Planos!$E135))/Planos!$E135)+1)))</f>
      </c>
      <c r="N137" s="44">
        <f>IF(OR(Planos!$A135="",NOT(ISNUMBER(Planos!$G135)),N(Planos!$E135)&lt;=0),0,IF(Planos!$G135&gt;EOMONTH(DATE(crono_ano_ref,9,1),0),0,MAX(0,INT((EOMONTH(DATE(crono_ano_ref,9,1),0)-IF(Planos!$G135&gt;=DATE(crono_ano_ref,9,1),Planos!$G135,Planos!$G135+CEILING((DATE(crono_ano_ref,9,1)-Planos!$G135)/Planos!$E135,1)*Planos!$E135))/Planos!$E135)+1)))</f>
      </c>
      <c r="O137" s="44">
        <f>IF(OR(Planos!$A135="",NOT(ISNUMBER(Planos!$G135)),N(Planos!$E135)&lt;=0),0,IF(Planos!$G135&gt;EOMONTH(DATE(crono_ano_ref,10,1),0),0,MAX(0,INT((EOMONTH(DATE(crono_ano_ref,10,1),0)-IF(Planos!$G135&gt;=DATE(crono_ano_ref,10,1),Planos!$G135,Planos!$G135+CEILING((DATE(crono_ano_ref,10,1)-Planos!$G135)/Planos!$E135,1)*Planos!$E135))/Planos!$E135)+1)))</f>
      </c>
      <c r="P137" s="44">
        <f>IF(OR(Planos!$A135="",NOT(ISNUMBER(Planos!$G135)),N(Planos!$E135)&lt;=0),0,IF(Planos!$G135&gt;EOMONTH(DATE(crono_ano_ref,11,1),0),0,MAX(0,INT((EOMONTH(DATE(crono_ano_ref,11,1),0)-IF(Planos!$G135&gt;=DATE(crono_ano_ref,11,1),Planos!$G135,Planos!$G135+CEILING((DATE(crono_ano_ref,11,1)-Planos!$G135)/Planos!$E135,1)*Planos!$E135))/Planos!$E135)+1)))</f>
      </c>
      <c r="Q137" s="44">
        <f>IF(OR(Planos!$A135="",NOT(ISNUMBER(Planos!$G135)),N(Planos!$E135)&lt;=0),0,IF(Planos!$G135&gt;EOMONTH(DATE(crono_ano_ref,12,1),0),0,MAX(0,INT((EOMONTH(DATE(crono_ano_ref,12,1),0)-IF(Planos!$G135&gt;=DATE(crono_ano_ref,12,1),Planos!$G135,Planos!$G135+CEILING((DATE(crono_ano_ref,12,1)-Planos!$G135)/Planos!$E135,1)*Planos!$E135))/Planos!$E135)+1)))</f>
      </c>
      <c r="R137" s="44">
        <f>SUM(F137:Q137)</f>
      </c>
    </row>
    <row r="138" spans="1:18" x14ac:dyDescent="0.25">
      <c r="A138" s="24">
        <f>IF(Planos!$A136="","",Planos!A136&amp;"")</f>
      </c>
      <c r="B138" s="41">
        <f>IF(Planos!$A136="","",Planos!B136&amp;"")</f>
      </c>
      <c r="C138" s="24">
        <f>IF(Planos!$A136="","",Planos!C136&amp;"")</f>
      </c>
      <c r="D138" s="42">
        <f>IF(Planos!$A136="","",N(Planos!E136))</f>
      </c>
      <c r="E138" s="43">
        <f>IF(Planos!$A136="","",N(Planos!K136))</f>
      </c>
      <c r="F138" s="44">
        <f>IF(OR(Planos!$A136="",NOT(ISNUMBER(Planos!$G136)),N(Planos!$E136)&lt;=0),0,IF(Planos!$G136&gt;EOMONTH(DATE(crono_ano_ref,1,1),0),0,MAX(0,INT((EOMONTH(DATE(crono_ano_ref,1,1),0)-IF(Planos!$G136&gt;=DATE(crono_ano_ref,1,1),Planos!$G136,Planos!$G136+CEILING((DATE(crono_ano_ref,1,1)-Planos!$G136)/Planos!$E136,1)*Planos!$E136))/Planos!$E136)+1)))</f>
      </c>
      <c r="G138" s="44">
        <f>IF(OR(Planos!$A136="",NOT(ISNUMBER(Planos!$G136)),N(Planos!$E136)&lt;=0),0,IF(Planos!$G136&gt;EOMONTH(DATE(crono_ano_ref,2,1),0),0,MAX(0,INT((EOMONTH(DATE(crono_ano_ref,2,1),0)-IF(Planos!$G136&gt;=DATE(crono_ano_ref,2,1),Planos!$G136,Planos!$G136+CEILING((DATE(crono_ano_ref,2,1)-Planos!$G136)/Planos!$E136,1)*Planos!$E136))/Planos!$E136)+1)))</f>
      </c>
      <c r="H138" s="44">
        <f>IF(OR(Planos!$A136="",NOT(ISNUMBER(Planos!$G136)),N(Planos!$E136)&lt;=0),0,IF(Planos!$G136&gt;EOMONTH(DATE(crono_ano_ref,3,1),0),0,MAX(0,INT((EOMONTH(DATE(crono_ano_ref,3,1),0)-IF(Planos!$G136&gt;=DATE(crono_ano_ref,3,1),Planos!$G136,Planos!$G136+CEILING((DATE(crono_ano_ref,3,1)-Planos!$G136)/Planos!$E136,1)*Planos!$E136))/Planos!$E136)+1)))</f>
      </c>
      <c r="I138" s="44">
        <f>IF(OR(Planos!$A136="",NOT(ISNUMBER(Planos!$G136)),N(Planos!$E136)&lt;=0),0,IF(Planos!$G136&gt;EOMONTH(DATE(crono_ano_ref,4,1),0),0,MAX(0,INT((EOMONTH(DATE(crono_ano_ref,4,1),0)-IF(Planos!$G136&gt;=DATE(crono_ano_ref,4,1),Planos!$G136,Planos!$G136+CEILING((DATE(crono_ano_ref,4,1)-Planos!$G136)/Planos!$E136,1)*Planos!$E136))/Planos!$E136)+1)))</f>
      </c>
      <c r="J138" s="44">
        <f>IF(OR(Planos!$A136="",NOT(ISNUMBER(Planos!$G136)),N(Planos!$E136)&lt;=0),0,IF(Planos!$G136&gt;EOMONTH(DATE(crono_ano_ref,5,1),0),0,MAX(0,INT((EOMONTH(DATE(crono_ano_ref,5,1),0)-IF(Planos!$G136&gt;=DATE(crono_ano_ref,5,1),Planos!$G136,Planos!$G136+CEILING((DATE(crono_ano_ref,5,1)-Planos!$G136)/Planos!$E136,1)*Planos!$E136))/Planos!$E136)+1)))</f>
      </c>
      <c r="K138" s="44">
        <f>IF(OR(Planos!$A136="",NOT(ISNUMBER(Planos!$G136)),N(Planos!$E136)&lt;=0),0,IF(Planos!$G136&gt;EOMONTH(DATE(crono_ano_ref,6,1),0),0,MAX(0,INT((EOMONTH(DATE(crono_ano_ref,6,1),0)-IF(Planos!$G136&gt;=DATE(crono_ano_ref,6,1),Planos!$G136,Planos!$G136+CEILING((DATE(crono_ano_ref,6,1)-Planos!$G136)/Planos!$E136,1)*Planos!$E136))/Planos!$E136)+1)))</f>
      </c>
      <c r="L138" s="44">
        <f>IF(OR(Planos!$A136="",NOT(ISNUMBER(Planos!$G136)),N(Planos!$E136)&lt;=0),0,IF(Planos!$G136&gt;EOMONTH(DATE(crono_ano_ref,7,1),0),0,MAX(0,INT((EOMONTH(DATE(crono_ano_ref,7,1),0)-IF(Planos!$G136&gt;=DATE(crono_ano_ref,7,1),Planos!$G136,Planos!$G136+CEILING((DATE(crono_ano_ref,7,1)-Planos!$G136)/Planos!$E136,1)*Planos!$E136))/Planos!$E136)+1)))</f>
      </c>
      <c r="M138" s="44">
        <f>IF(OR(Planos!$A136="",NOT(ISNUMBER(Planos!$G136)),N(Planos!$E136)&lt;=0),0,IF(Planos!$G136&gt;EOMONTH(DATE(crono_ano_ref,8,1),0),0,MAX(0,INT((EOMONTH(DATE(crono_ano_ref,8,1),0)-IF(Planos!$G136&gt;=DATE(crono_ano_ref,8,1),Planos!$G136,Planos!$G136+CEILING((DATE(crono_ano_ref,8,1)-Planos!$G136)/Planos!$E136,1)*Planos!$E136))/Planos!$E136)+1)))</f>
      </c>
      <c r="N138" s="44">
        <f>IF(OR(Planos!$A136="",NOT(ISNUMBER(Planos!$G136)),N(Planos!$E136)&lt;=0),0,IF(Planos!$G136&gt;EOMONTH(DATE(crono_ano_ref,9,1),0),0,MAX(0,INT((EOMONTH(DATE(crono_ano_ref,9,1),0)-IF(Planos!$G136&gt;=DATE(crono_ano_ref,9,1),Planos!$G136,Planos!$G136+CEILING((DATE(crono_ano_ref,9,1)-Planos!$G136)/Planos!$E136,1)*Planos!$E136))/Planos!$E136)+1)))</f>
      </c>
      <c r="O138" s="44">
        <f>IF(OR(Planos!$A136="",NOT(ISNUMBER(Planos!$G136)),N(Planos!$E136)&lt;=0),0,IF(Planos!$G136&gt;EOMONTH(DATE(crono_ano_ref,10,1),0),0,MAX(0,INT((EOMONTH(DATE(crono_ano_ref,10,1),0)-IF(Planos!$G136&gt;=DATE(crono_ano_ref,10,1),Planos!$G136,Planos!$G136+CEILING((DATE(crono_ano_ref,10,1)-Planos!$G136)/Planos!$E136,1)*Planos!$E136))/Planos!$E136)+1)))</f>
      </c>
      <c r="P138" s="44">
        <f>IF(OR(Planos!$A136="",NOT(ISNUMBER(Planos!$G136)),N(Planos!$E136)&lt;=0),0,IF(Planos!$G136&gt;EOMONTH(DATE(crono_ano_ref,11,1),0),0,MAX(0,INT((EOMONTH(DATE(crono_ano_ref,11,1),0)-IF(Planos!$G136&gt;=DATE(crono_ano_ref,11,1),Planos!$G136,Planos!$G136+CEILING((DATE(crono_ano_ref,11,1)-Planos!$G136)/Planos!$E136,1)*Planos!$E136))/Planos!$E136)+1)))</f>
      </c>
      <c r="Q138" s="44">
        <f>IF(OR(Planos!$A136="",NOT(ISNUMBER(Planos!$G136)),N(Planos!$E136)&lt;=0),0,IF(Planos!$G136&gt;EOMONTH(DATE(crono_ano_ref,12,1),0),0,MAX(0,INT((EOMONTH(DATE(crono_ano_ref,12,1),0)-IF(Planos!$G136&gt;=DATE(crono_ano_ref,12,1),Planos!$G136,Planos!$G136+CEILING((DATE(crono_ano_ref,12,1)-Planos!$G136)/Planos!$E136,1)*Planos!$E136))/Planos!$E136)+1)))</f>
      </c>
      <c r="R138" s="44">
        <f>SUM(F138:Q138)</f>
      </c>
    </row>
    <row r="139" spans="1:18" x14ac:dyDescent="0.25">
      <c r="A139" s="24">
        <f>IF(Planos!$A137="","",Planos!A137&amp;"")</f>
      </c>
      <c r="B139" s="41">
        <f>IF(Planos!$A137="","",Planos!B137&amp;"")</f>
      </c>
      <c r="C139" s="24">
        <f>IF(Planos!$A137="","",Planos!C137&amp;"")</f>
      </c>
      <c r="D139" s="42">
        <f>IF(Planos!$A137="","",N(Planos!E137))</f>
      </c>
      <c r="E139" s="43">
        <f>IF(Planos!$A137="","",N(Planos!K137))</f>
      </c>
      <c r="F139" s="44">
        <f>IF(OR(Planos!$A137="",NOT(ISNUMBER(Planos!$G137)),N(Planos!$E137)&lt;=0),0,IF(Planos!$G137&gt;EOMONTH(DATE(crono_ano_ref,1,1),0),0,MAX(0,INT((EOMONTH(DATE(crono_ano_ref,1,1),0)-IF(Planos!$G137&gt;=DATE(crono_ano_ref,1,1),Planos!$G137,Planos!$G137+CEILING((DATE(crono_ano_ref,1,1)-Planos!$G137)/Planos!$E137,1)*Planos!$E137))/Planos!$E137)+1)))</f>
      </c>
      <c r="G139" s="44">
        <f>IF(OR(Planos!$A137="",NOT(ISNUMBER(Planos!$G137)),N(Planos!$E137)&lt;=0),0,IF(Planos!$G137&gt;EOMONTH(DATE(crono_ano_ref,2,1),0),0,MAX(0,INT((EOMONTH(DATE(crono_ano_ref,2,1),0)-IF(Planos!$G137&gt;=DATE(crono_ano_ref,2,1),Planos!$G137,Planos!$G137+CEILING((DATE(crono_ano_ref,2,1)-Planos!$G137)/Planos!$E137,1)*Planos!$E137))/Planos!$E137)+1)))</f>
      </c>
      <c r="H139" s="44">
        <f>IF(OR(Planos!$A137="",NOT(ISNUMBER(Planos!$G137)),N(Planos!$E137)&lt;=0),0,IF(Planos!$G137&gt;EOMONTH(DATE(crono_ano_ref,3,1),0),0,MAX(0,INT((EOMONTH(DATE(crono_ano_ref,3,1),0)-IF(Planos!$G137&gt;=DATE(crono_ano_ref,3,1),Planos!$G137,Planos!$G137+CEILING((DATE(crono_ano_ref,3,1)-Planos!$G137)/Planos!$E137,1)*Planos!$E137))/Planos!$E137)+1)))</f>
      </c>
      <c r="I139" s="44">
        <f>IF(OR(Planos!$A137="",NOT(ISNUMBER(Planos!$G137)),N(Planos!$E137)&lt;=0),0,IF(Planos!$G137&gt;EOMONTH(DATE(crono_ano_ref,4,1),0),0,MAX(0,INT((EOMONTH(DATE(crono_ano_ref,4,1),0)-IF(Planos!$G137&gt;=DATE(crono_ano_ref,4,1),Planos!$G137,Planos!$G137+CEILING((DATE(crono_ano_ref,4,1)-Planos!$G137)/Planos!$E137,1)*Planos!$E137))/Planos!$E137)+1)))</f>
      </c>
      <c r="J139" s="44">
        <f>IF(OR(Planos!$A137="",NOT(ISNUMBER(Planos!$G137)),N(Planos!$E137)&lt;=0),0,IF(Planos!$G137&gt;EOMONTH(DATE(crono_ano_ref,5,1),0),0,MAX(0,INT((EOMONTH(DATE(crono_ano_ref,5,1),0)-IF(Planos!$G137&gt;=DATE(crono_ano_ref,5,1),Planos!$G137,Planos!$G137+CEILING((DATE(crono_ano_ref,5,1)-Planos!$G137)/Planos!$E137,1)*Planos!$E137))/Planos!$E137)+1)))</f>
      </c>
      <c r="K139" s="44">
        <f>IF(OR(Planos!$A137="",NOT(ISNUMBER(Planos!$G137)),N(Planos!$E137)&lt;=0),0,IF(Planos!$G137&gt;EOMONTH(DATE(crono_ano_ref,6,1),0),0,MAX(0,INT((EOMONTH(DATE(crono_ano_ref,6,1),0)-IF(Planos!$G137&gt;=DATE(crono_ano_ref,6,1),Planos!$G137,Planos!$G137+CEILING((DATE(crono_ano_ref,6,1)-Planos!$G137)/Planos!$E137,1)*Planos!$E137))/Planos!$E137)+1)))</f>
      </c>
      <c r="L139" s="44">
        <f>IF(OR(Planos!$A137="",NOT(ISNUMBER(Planos!$G137)),N(Planos!$E137)&lt;=0),0,IF(Planos!$G137&gt;EOMONTH(DATE(crono_ano_ref,7,1),0),0,MAX(0,INT((EOMONTH(DATE(crono_ano_ref,7,1),0)-IF(Planos!$G137&gt;=DATE(crono_ano_ref,7,1),Planos!$G137,Planos!$G137+CEILING((DATE(crono_ano_ref,7,1)-Planos!$G137)/Planos!$E137,1)*Planos!$E137))/Planos!$E137)+1)))</f>
      </c>
      <c r="M139" s="44">
        <f>IF(OR(Planos!$A137="",NOT(ISNUMBER(Planos!$G137)),N(Planos!$E137)&lt;=0),0,IF(Planos!$G137&gt;EOMONTH(DATE(crono_ano_ref,8,1),0),0,MAX(0,INT((EOMONTH(DATE(crono_ano_ref,8,1),0)-IF(Planos!$G137&gt;=DATE(crono_ano_ref,8,1),Planos!$G137,Planos!$G137+CEILING((DATE(crono_ano_ref,8,1)-Planos!$G137)/Planos!$E137,1)*Planos!$E137))/Planos!$E137)+1)))</f>
      </c>
      <c r="N139" s="44">
        <f>IF(OR(Planos!$A137="",NOT(ISNUMBER(Planos!$G137)),N(Planos!$E137)&lt;=0),0,IF(Planos!$G137&gt;EOMONTH(DATE(crono_ano_ref,9,1),0),0,MAX(0,INT((EOMONTH(DATE(crono_ano_ref,9,1),0)-IF(Planos!$G137&gt;=DATE(crono_ano_ref,9,1),Planos!$G137,Planos!$G137+CEILING((DATE(crono_ano_ref,9,1)-Planos!$G137)/Planos!$E137,1)*Planos!$E137))/Planos!$E137)+1)))</f>
      </c>
      <c r="O139" s="44">
        <f>IF(OR(Planos!$A137="",NOT(ISNUMBER(Planos!$G137)),N(Planos!$E137)&lt;=0),0,IF(Planos!$G137&gt;EOMONTH(DATE(crono_ano_ref,10,1),0),0,MAX(0,INT((EOMONTH(DATE(crono_ano_ref,10,1),0)-IF(Planos!$G137&gt;=DATE(crono_ano_ref,10,1),Planos!$G137,Planos!$G137+CEILING((DATE(crono_ano_ref,10,1)-Planos!$G137)/Planos!$E137,1)*Planos!$E137))/Planos!$E137)+1)))</f>
      </c>
      <c r="P139" s="44">
        <f>IF(OR(Planos!$A137="",NOT(ISNUMBER(Planos!$G137)),N(Planos!$E137)&lt;=0),0,IF(Planos!$G137&gt;EOMONTH(DATE(crono_ano_ref,11,1),0),0,MAX(0,INT((EOMONTH(DATE(crono_ano_ref,11,1),0)-IF(Planos!$G137&gt;=DATE(crono_ano_ref,11,1),Planos!$G137,Planos!$G137+CEILING((DATE(crono_ano_ref,11,1)-Planos!$G137)/Planos!$E137,1)*Planos!$E137))/Planos!$E137)+1)))</f>
      </c>
      <c r="Q139" s="44">
        <f>IF(OR(Planos!$A137="",NOT(ISNUMBER(Planos!$G137)),N(Planos!$E137)&lt;=0),0,IF(Planos!$G137&gt;EOMONTH(DATE(crono_ano_ref,12,1),0),0,MAX(0,INT((EOMONTH(DATE(crono_ano_ref,12,1),0)-IF(Planos!$G137&gt;=DATE(crono_ano_ref,12,1),Planos!$G137,Planos!$G137+CEILING((DATE(crono_ano_ref,12,1)-Planos!$G137)/Planos!$E137,1)*Planos!$E137))/Planos!$E137)+1)))</f>
      </c>
      <c r="R139" s="44">
        <f>SUM(F139:Q139)</f>
      </c>
    </row>
    <row r="140" spans="1:18" x14ac:dyDescent="0.25">
      <c r="A140" s="24">
        <f>IF(Planos!$A138="","",Planos!A138&amp;"")</f>
      </c>
      <c r="B140" s="41">
        <f>IF(Planos!$A138="","",Planos!B138&amp;"")</f>
      </c>
      <c r="C140" s="24">
        <f>IF(Planos!$A138="","",Planos!C138&amp;"")</f>
      </c>
      <c r="D140" s="42">
        <f>IF(Planos!$A138="","",N(Planos!E138))</f>
      </c>
      <c r="E140" s="43">
        <f>IF(Planos!$A138="","",N(Planos!K138))</f>
      </c>
      <c r="F140" s="44">
        <f>IF(OR(Planos!$A138="",NOT(ISNUMBER(Planos!$G138)),N(Planos!$E138)&lt;=0),0,IF(Planos!$G138&gt;EOMONTH(DATE(crono_ano_ref,1,1),0),0,MAX(0,INT((EOMONTH(DATE(crono_ano_ref,1,1),0)-IF(Planos!$G138&gt;=DATE(crono_ano_ref,1,1),Planos!$G138,Planos!$G138+CEILING((DATE(crono_ano_ref,1,1)-Planos!$G138)/Planos!$E138,1)*Planos!$E138))/Planos!$E138)+1)))</f>
      </c>
      <c r="G140" s="44">
        <f>IF(OR(Planos!$A138="",NOT(ISNUMBER(Planos!$G138)),N(Planos!$E138)&lt;=0),0,IF(Planos!$G138&gt;EOMONTH(DATE(crono_ano_ref,2,1),0),0,MAX(0,INT((EOMONTH(DATE(crono_ano_ref,2,1),0)-IF(Planos!$G138&gt;=DATE(crono_ano_ref,2,1),Planos!$G138,Planos!$G138+CEILING((DATE(crono_ano_ref,2,1)-Planos!$G138)/Planos!$E138,1)*Planos!$E138))/Planos!$E138)+1)))</f>
      </c>
      <c r="H140" s="44">
        <f>IF(OR(Planos!$A138="",NOT(ISNUMBER(Planos!$G138)),N(Planos!$E138)&lt;=0),0,IF(Planos!$G138&gt;EOMONTH(DATE(crono_ano_ref,3,1),0),0,MAX(0,INT((EOMONTH(DATE(crono_ano_ref,3,1),0)-IF(Planos!$G138&gt;=DATE(crono_ano_ref,3,1),Planos!$G138,Planos!$G138+CEILING((DATE(crono_ano_ref,3,1)-Planos!$G138)/Planos!$E138,1)*Planos!$E138))/Planos!$E138)+1)))</f>
      </c>
      <c r="I140" s="44">
        <f>IF(OR(Planos!$A138="",NOT(ISNUMBER(Planos!$G138)),N(Planos!$E138)&lt;=0),0,IF(Planos!$G138&gt;EOMONTH(DATE(crono_ano_ref,4,1),0),0,MAX(0,INT((EOMONTH(DATE(crono_ano_ref,4,1),0)-IF(Planos!$G138&gt;=DATE(crono_ano_ref,4,1),Planos!$G138,Planos!$G138+CEILING((DATE(crono_ano_ref,4,1)-Planos!$G138)/Planos!$E138,1)*Planos!$E138))/Planos!$E138)+1)))</f>
      </c>
      <c r="J140" s="44">
        <f>IF(OR(Planos!$A138="",NOT(ISNUMBER(Planos!$G138)),N(Planos!$E138)&lt;=0),0,IF(Planos!$G138&gt;EOMONTH(DATE(crono_ano_ref,5,1),0),0,MAX(0,INT((EOMONTH(DATE(crono_ano_ref,5,1),0)-IF(Planos!$G138&gt;=DATE(crono_ano_ref,5,1),Planos!$G138,Planos!$G138+CEILING((DATE(crono_ano_ref,5,1)-Planos!$G138)/Planos!$E138,1)*Planos!$E138))/Planos!$E138)+1)))</f>
      </c>
      <c r="K140" s="44">
        <f>IF(OR(Planos!$A138="",NOT(ISNUMBER(Planos!$G138)),N(Planos!$E138)&lt;=0),0,IF(Planos!$G138&gt;EOMONTH(DATE(crono_ano_ref,6,1),0),0,MAX(0,INT((EOMONTH(DATE(crono_ano_ref,6,1),0)-IF(Planos!$G138&gt;=DATE(crono_ano_ref,6,1),Planos!$G138,Planos!$G138+CEILING((DATE(crono_ano_ref,6,1)-Planos!$G138)/Planos!$E138,1)*Planos!$E138))/Planos!$E138)+1)))</f>
      </c>
      <c r="L140" s="44">
        <f>IF(OR(Planos!$A138="",NOT(ISNUMBER(Planos!$G138)),N(Planos!$E138)&lt;=0),0,IF(Planos!$G138&gt;EOMONTH(DATE(crono_ano_ref,7,1),0),0,MAX(0,INT((EOMONTH(DATE(crono_ano_ref,7,1),0)-IF(Planos!$G138&gt;=DATE(crono_ano_ref,7,1),Planos!$G138,Planos!$G138+CEILING((DATE(crono_ano_ref,7,1)-Planos!$G138)/Planos!$E138,1)*Planos!$E138))/Planos!$E138)+1)))</f>
      </c>
      <c r="M140" s="44">
        <f>IF(OR(Planos!$A138="",NOT(ISNUMBER(Planos!$G138)),N(Planos!$E138)&lt;=0),0,IF(Planos!$G138&gt;EOMONTH(DATE(crono_ano_ref,8,1),0),0,MAX(0,INT((EOMONTH(DATE(crono_ano_ref,8,1),0)-IF(Planos!$G138&gt;=DATE(crono_ano_ref,8,1),Planos!$G138,Planos!$G138+CEILING((DATE(crono_ano_ref,8,1)-Planos!$G138)/Planos!$E138,1)*Planos!$E138))/Planos!$E138)+1)))</f>
      </c>
      <c r="N140" s="44">
        <f>IF(OR(Planos!$A138="",NOT(ISNUMBER(Planos!$G138)),N(Planos!$E138)&lt;=0),0,IF(Planos!$G138&gt;EOMONTH(DATE(crono_ano_ref,9,1),0),0,MAX(0,INT((EOMONTH(DATE(crono_ano_ref,9,1),0)-IF(Planos!$G138&gt;=DATE(crono_ano_ref,9,1),Planos!$G138,Planos!$G138+CEILING((DATE(crono_ano_ref,9,1)-Planos!$G138)/Planos!$E138,1)*Planos!$E138))/Planos!$E138)+1)))</f>
      </c>
      <c r="O140" s="44">
        <f>IF(OR(Planos!$A138="",NOT(ISNUMBER(Planos!$G138)),N(Planos!$E138)&lt;=0),0,IF(Planos!$G138&gt;EOMONTH(DATE(crono_ano_ref,10,1),0),0,MAX(0,INT((EOMONTH(DATE(crono_ano_ref,10,1),0)-IF(Planos!$G138&gt;=DATE(crono_ano_ref,10,1),Planos!$G138,Planos!$G138+CEILING((DATE(crono_ano_ref,10,1)-Planos!$G138)/Planos!$E138,1)*Planos!$E138))/Planos!$E138)+1)))</f>
      </c>
      <c r="P140" s="44">
        <f>IF(OR(Planos!$A138="",NOT(ISNUMBER(Planos!$G138)),N(Planos!$E138)&lt;=0),0,IF(Planos!$G138&gt;EOMONTH(DATE(crono_ano_ref,11,1),0),0,MAX(0,INT((EOMONTH(DATE(crono_ano_ref,11,1),0)-IF(Planos!$G138&gt;=DATE(crono_ano_ref,11,1),Planos!$G138,Planos!$G138+CEILING((DATE(crono_ano_ref,11,1)-Planos!$G138)/Planos!$E138,1)*Planos!$E138))/Planos!$E138)+1)))</f>
      </c>
      <c r="Q140" s="44">
        <f>IF(OR(Planos!$A138="",NOT(ISNUMBER(Planos!$G138)),N(Planos!$E138)&lt;=0),0,IF(Planos!$G138&gt;EOMONTH(DATE(crono_ano_ref,12,1),0),0,MAX(0,INT((EOMONTH(DATE(crono_ano_ref,12,1),0)-IF(Planos!$G138&gt;=DATE(crono_ano_ref,12,1),Planos!$G138,Planos!$G138+CEILING((DATE(crono_ano_ref,12,1)-Planos!$G138)/Planos!$E138,1)*Planos!$E138))/Planos!$E138)+1)))</f>
      </c>
      <c r="R140" s="44">
        <f>SUM(F140:Q140)</f>
      </c>
    </row>
    <row r="141" spans="1:18" x14ac:dyDescent="0.25">
      <c r="A141" s="24">
        <f>IF(Planos!$A139="","",Planos!A139&amp;"")</f>
      </c>
      <c r="B141" s="41">
        <f>IF(Planos!$A139="","",Planos!B139&amp;"")</f>
      </c>
      <c r="C141" s="24">
        <f>IF(Planos!$A139="","",Planos!C139&amp;"")</f>
      </c>
      <c r="D141" s="42">
        <f>IF(Planos!$A139="","",N(Planos!E139))</f>
      </c>
      <c r="E141" s="43">
        <f>IF(Planos!$A139="","",N(Planos!K139))</f>
      </c>
      <c r="F141" s="44">
        <f>IF(OR(Planos!$A139="",NOT(ISNUMBER(Planos!$G139)),N(Planos!$E139)&lt;=0),0,IF(Planos!$G139&gt;EOMONTH(DATE(crono_ano_ref,1,1),0),0,MAX(0,INT((EOMONTH(DATE(crono_ano_ref,1,1),0)-IF(Planos!$G139&gt;=DATE(crono_ano_ref,1,1),Planos!$G139,Planos!$G139+CEILING((DATE(crono_ano_ref,1,1)-Planos!$G139)/Planos!$E139,1)*Planos!$E139))/Planos!$E139)+1)))</f>
      </c>
      <c r="G141" s="44">
        <f>IF(OR(Planos!$A139="",NOT(ISNUMBER(Planos!$G139)),N(Planos!$E139)&lt;=0),0,IF(Planos!$G139&gt;EOMONTH(DATE(crono_ano_ref,2,1),0),0,MAX(0,INT((EOMONTH(DATE(crono_ano_ref,2,1),0)-IF(Planos!$G139&gt;=DATE(crono_ano_ref,2,1),Planos!$G139,Planos!$G139+CEILING((DATE(crono_ano_ref,2,1)-Planos!$G139)/Planos!$E139,1)*Planos!$E139))/Planos!$E139)+1)))</f>
      </c>
      <c r="H141" s="44">
        <f>IF(OR(Planos!$A139="",NOT(ISNUMBER(Planos!$G139)),N(Planos!$E139)&lt;=0),0,IF(Planos!$G139&gt;EOMONTH(DATE(crono_ano_ref,3,1),0),0,MAX(0,INT((EOMONTH(DATE(crono_ano_ref,3,1),0)-IF(Planos!$G139&gt;=DATE(crono_ano_ref,3,1),Planos!$G139,Planos!$G139+CEILING((DATE(crono_ano_ref,3,1)-Planos!$G139)/Planos!$E139,1)*Planos!$E139))/Planos!$E139)+1)))</f>
      </c>
      <c r="I141" s="44">
        <f>IF(OR(Planos!$A139="",NOT(ISNUMBER(Planos!$G139)),N(Planos!$E139)&lt;=0),0,IF(Planos!$G139&gt;EOMONTH(DATE(crono_ano_ref,4,1),0),0,MAX(0,INT((EOMONTH(DATE(crono_ano_ref,4,1),0)-IF(Planos!$G139&gt;=DATE(crono_ano_ref,4,1),Planos!$G139,Planos!$G139+CEILING((DATE(crono_ano_ref,4,1)-Planos!$G139)/Planos!$E139,1)*Planos!$E139))/Planos!$E139)+1)))</f>
      </c>
      <c r="J141" s="44">
        <f>IF(OR(Planos!$A139="",NOT(ISNUMBER(Planos!$G139)),N(Planos!$E139)&lt;=0),0,IF(Planos!$G139&gt;EOMONTH(DATE(crono_ano_ref,5,1),0),0,MAX(0,INT((EOMONTH(DATE(crono_ano_ref,5,1),0)-IF(Planos!$G139&gt;=DATE(crono_ano_ref,5,1),Planos!$G139,Planos!$G139+CEILING((DATE(crono_ano_ref,5,1)-Planos!$G139)/Planos!$E139,1)*Planos!$E139))/Planos!$E139)+1)))</f>
      </c>
      <c r="K141" s="44">
        <f>IF(OR(Planos!$A139="",NOT(ISNUMBER(Planos!$G139)),N(Planos!$E139)&lt;=0),0,IF(Planos!$G139&gt;EOMONTH(DATE(crono_ano_ref,6,1),0),0,MAX(0,INT((EOMONTH(DATE(crono_ano_ref,6,1),0)-IF(Planos!$G139&gt;=DATE(crono_ano_ref,6,1),Planos!$G139,Planos!$G139+CEILING((DATE(crono_ano_ref,6,1)-Planos!$G139)/Planos!$E139,1)*Planos!$E139))/Planos!$E139)+1)))</f>
      </c>
      <c r="L141" s="44">
        <f>IF(OR(Planos!$A139="",NOT(ISNUMBER(Planos!$G139)),N(Planos!$E139)&lt;=0),0,IF(Planos!$G139&gt;EOMONTH(DATE(crono_ano_ref,7,1),0),0,MAX(0,INT((EOMONTH(DATE(crono_ano_ref,7,1),0)-IF(Planos!$G139&gt;=DATE(crono_ano_ref,7,1),Planos!$G139,Planos!$G139+CEILING((DATE(crono_ano_ref,7,1)-Planos!$G139)/Planos!$E139,1)*Planos!$E139))/Planos!$E139)+1)))</f>
      </c>
      <c r="M141" s="44">
        <f>IF(OR(Planos!$A139="",NOT(ISNUMBER(Planos!$G139)),N(Planos!$E139)&lt;=0),0,IF(Planos!$G139&gt;EOMONTH(DATE(crono_ano_ref,8,1),0),0,MAX(0,INT((EOMONTH(DATE(crono_ano_ref,8,1),0)-IF(Planos!$G139&gt;=DATE(crono_ano_ref,8,1),Planos!$G139,Planos!$G139+CEILING((DATE(crono_ano_ref,8,1)-Planos!$G139)/Planos!$E139,1)*Planos!$E139))/Planos!$E139)+1)))</f>
      </c>
      <c r="N141" s="44">
        <f>IF(OR(Planos!$A139="",NOT(ISNUMBER(Planos!$G139)),N(Planos!$E139)&lt;=0),0,IF(Planos!$G139&gt;EOMONTH(DATE(crono_ano_ref,9,1),0),0,MAX(0,INT((EOMONTH(DATE(crono_ano_ref,9,1),0)-IF(Planos!$G139&gt;=DATE(crono_ano_ref,9,1),Planos!$G139,Planos!$G139+CEILING((DATE(crono_ano_ref,9,1)-Planos!$G139)/Planos!$E139,1)*Planos!$E139))/Planos!$E139)+1)))</f>
      </c>
      <c r="O141" s="44">
        <f>IF(OR(Planos!$A139="",NOT(ISNUMBER(Planos!$G139)),N(Planos!$E139)&lt;=0),0,IF(Planos!$G139&gt;EOMONTH(DATE(crono_ano_ref,10,1),0),0,MAX(0,INT((EOMONTH(DATE(crono_ano_ref,10,1),0)-IF(Planos!$G139&gt;=DATE(crono_ano_ref,10,1),Planos!$G139,Planos!$G139+CEILING((DATE(crono_ano_ref,10,1)-Planos!$G139)/Planos!$E139,1)*Planos!$E139))/Planos!$E139)+1)))</f>
      </c>
      <c r="P141" s="44">
        <f>IF(OR(Planos!$A139="",NOT(ISNUMBER(Planos!$G139)),N(Planos!$E139)&lt;=0),0,IF(Planos!$G139&gt;EOMONTH(DATE(crono_ano_ref,11,1),0),0,MAX(0,INT((EOMONTH(DATE(crono_ano_ref,11,1),0)-IF(Planos!$G139&gt;=DATE(crono_ano_ref,11,1),Planos!$G139,Planos!$G139+CEILING((DATE(crono_ano_ref,11,1)-Planos!$G139)/Planos!$E139,1)*Planos!$E139))/Planos!$E139)+1)))</f>
      </c>
      <c r="Q141" s="44">
        <f>IF(OR(Planos!$A139="",NOT(ISNUMBER(Planos!$G139)),N(Planos!$E139)&lt;=0),0,IF(Planos!$G139&gt;EOMONTH(DATE(crono_ano_ref,12,1),0),0,MAX(0,INT((EOMONTH(DATE(crono_ano_ref,12,1),0)-IF(Planos!$G139&gt;=DATE(crono_ano_ref,12,1),Planos!$G139,Planos!$G139+CEILING((DATE(crono_ano_ref,12,1)-Planos!$G139)/Planos!$E139,1)*Planos!$E139))/Planos!$E139)+1)))</f>
      </c>
      <c r="R141" s="44">
        <f>SUM(F141:Q141)</f>
      </c>
    </row>
    <row r="142" spans="1:18" x14ac:dyDescent="0.25">
      <c r="A142" s="24">
        <f>IF(Planos!$A140="","",Planos!A140&amp;"")</f>
      </c>
      <c r="B142" s="41">
        <f>IF(Planos!$A140="","",Planos!B140&amp;"")</f>
      </c>
      <c r="C142" s="24">
        <f>IF(Planos!$A140="","",Planos!C140&amp;"")</f>
      </c>
      <c r="D142" s="42">
        <f>IF(Planos!$A140="","",N(Planos!E140))</f>
      </c>
      <c r="E142" s="43">
        <f>IF(Planos!$A140="","",N(Planos!K140))</f>
      </c>
      <c r="F142" s="44">
        <f>IF(OR(Planos!$A140="",NOT(ISNUMBER(Planos!$G140)),N(Planos!$E140)&lt;=0),0,IF(Planos!$G140&gt;EOMONTH(DATE(crono_ano_ref,1,1),0),0,MAX(0,INT((EOMONTH(DATE(crono_ano_ref,1,1),0)-IF(Planos!$G140&gt;=DATE(crono_ano_ref,1,1),Planos!$G140,Planos!$G140+CEILING((DATE(crono_ano_ref,1,1)-Planos!$G140)/Planos!$E140,1)*Planos!$E140))/Planos!$E140)+1)))</f>
      </c>
      <c r="G142" s="44">
        <f>IF(OR(Planos!$A140="",NOT(ISNUMBER(Planos!$G140)),N(Planos!$E140)&lt;=0),0,IF(Planos!$G140&gt;EOMONTH(DATE(crono_ano_ref,2,1),0),0,MAX(0,INT((EOMONTH(DATE(crono_ano_ref,2,1),0)-IF(Planos!$G140&gt;=DATE(crono_ano_ref,2,1),Planos!$G140,Planos!$G140+CEILING((DATE(crono_ano_ref,2,1)-Planos!$G140)/Planos!$E140,1)*Planos!$E140))/Planos!$E140)+1)))</f>
      </c>
      <c r="H142" s="44">
        <f>IF(OR(Planos!$A140="",NOT(ISNUMBER(Planos!$G140)),N(Planos!$E140)&lt;=0),0,IF(Planos!$G140&gt;EOMONTH(DATE(crono_ano_ref,3,1),0),0,MAX(0,INT((EOMONTH(DATE(crono_ano_ref,3,1),0)-IF(Planos!$G140&gt;=DATE(crono_ano_ref,3,1),Planos!$G140,Planos!$G140+CEILING((DATE(crono_ano_ref,3,1)-Planos!$G140)/Planos!$E140,1)*Planos!$E140))/Planos!$E140)+1)))</f>
      </c>
      <c r="I142" s="44">
        <f>IF(OR(Planos!$A140="",NOT(ISNUMBER(Planos!$G140)),N(Planos!$E140)&lt;=0),0,IF(Planos!$G140&gt;EOMONTH(DATE(crono_ano_ref,4,1),0),0,MAX(0,INT((EOMONTH(DATE(crono_ano_ref,4,1),0)-IF(Planos!$G140&gt;=DATE(crono_ano_ref,4,1),Planos!$G140,Planos!$G140+CEILING((DATE(crono_ano_ref,4,1)-Planos!$G140)/Planos!$E140,1)*Planos!$E140))/Planos!$E140)+1)))</f>
      </c>
      <c r="J142" s="44">
        <f>IF(OR(Planos!$A140="",NOT(ISNUMBER(Planos!$G140)),N(Planos!$E140)&lt;=0),0,IF(Planos!$G140&gt;EOMONTH(DATE(crono_ano_ref,5,1),0),0,MAX(0,INT((EOMONTH(DATE(crono_ano_ref,5,1),0)-IF(Planos!$G140&gt;=DATE(crono_ano_ref,5,1),Planos!$G140,Planos!$G140+CEILING((DATE(crono_ano_ref,5,1)-Planos!$G140)/Planos!$E140,1)*Planos!$E140))/Planos!$E140)+1)))</f>
      </c>
      <c r="K142" s="44">
        <f>IF(OR(Planos!$A140="",NOT(ISNUMBER(Planos!$G140)),N(Planos!$E140)&lt;=0),0,IF(Planos!$G140&gt;EOMONTH(DATE(crono_ano_ref,6,1),0),0,MAX(0,INT((EOMONTH(DATE(crono_ano_ref,6,1),0)-IF(Planos!$G140&gt;=DATE(crono_ano_ref,6,1),Planos!$G140,Planos!$G140+CEILING((DATE(crono_ano_ref,6,1)-Planos!$G140)/Planos!$E140,1)*Planos!$E140))/Planos!$E140)+1)))</f>
      </c>
      <c r="L142" s="44">
        <f>IF(OR(Planos!$A140="",NOT(ISNUMBER(Planos!$G140)),N(Planos!$E140)&lt;=0),0,IF(Planos!$G140&gt;EOMONTH(DATE(crono_ano_ref,7,1),0),0,MAX(0,INT((EOMONTH(DATE(crono_ano_ref,7,1),0)-IF(Planos!$G140&gt;=DATE(crono_ano_ref,7,1),Planos!$G140,Planos!$G140+CEILING((DATE(crono_ano_ref,7,1)-Planos!$G140)/Planos!$E140,1)*Planos!$E140))/Planos!$E140)+1)))</f>
      </c>
      <c r="M142" s="44">
        <f>IF(OR(Planos!$A140="",NOT(ISNUMBER(Planos!$G140)),N(Planos!$E140)&lt;=0),0,IF(Planos!$G140&gt;EOMONTH(DATE(crono_ano_ref,8,1),0),0,MAX(0,INT((EOMONTH(DATE(crono_ano_ref,8,1),0)-IF(Planos!$G140&gt;=DATE(crono_ano_ref,8,1),Planos!$G140,Planos!$G140+CEILING((DATE(crono_ano_ref,8,1)-Planos!$G140)/Planos!$E140,1)*Planos!$E140))/Planos!$E140)+1)))</f>
      </c>
      <c r="N142" s="44">
        <f>IF(OR(Planos!$A140="",NOT(ISNUMBER(Planos!$G140)),N(Planos!$E140)&lt;=0),0,IF(Planos!$G140&gt;EOMONTH(DATE(crono_ano_ref,9,1),0),0,MAX(0,INT((EOMONTH(DATE(crono_ano_ref,9,1),0)-IF(Planos!$G140&gt;=DATE(crono_ano_ref,9,1),Planos!$G140,Planos!$G140+CEILING((DATE(crono_ano_ref,9,1)-Planos!$G140)/Planos!$E140,1)*Planos!$E140))/Planos!$E140)+1)))</f>
      </c>
      <c r="O142" s="44">
        <f>IF(OR(Planos!$A140="",NOT(ISNUMBER(Planos!$G140)),N(Planos!$E140)&lt;=0),0,IF(Planos!$G140&gt;EOMONTH(DATE(crono_ano_ref,10,1),0),0,MAX(0,INT((EOMONTH(DATE(crono_ano_ref,10,1),0)-IF(Planos!$G140&gt;=DATE(crono_ano_ref,10,1),Planos!$G140,Planos!$G140+CEILING((DATE(crono_ano_ref,10,1)-Planos!$G140)/Planos!$E140,1)*Planos!$E140))/Planos!$E140)+1)))</f>
      </c>
      <c r="P142" s="44">
        <f>IF(OR(Planos!$A140="",NOT(ISNUMBER(Planos!$G140)),N(Planos!$E140)&lt;=0),0,IF(Planos!$G140&gt;EOMONTH(DATE(crono_ano_ref,11,1),0),0,MAX(0,INT((EOMONTH(DATE(crono_ano_ref,11,1),0)-IF(Planos!$G140&gt;=DATE(crono_ano_ref,11,1),Planos!$G140,Planos!$G140+CEILING((DATE(crono_ano_ref,11,1)-Planos!$G140)/Planos!$E140,1)*Planos!$E140))/Planos!$E140)+1)))</f>
      </c>
      <c r="Q142" s="44">
        <f>IF(OR(Planos!$A140="",NOT(ISNUMBER(Planos!$G140)),N(Planos!$E140)&lt;=0),0,IF(Planos!$G140&gt;EOMONTH(DATE(crono_ano_ref,12,1),0),0,MAX(0,INT((EOMONTH(DATE(crono_ano_ref,12,1),0)-IF(Planos!$G140&gt;=DATE(crono_ano_ref,12,1),Planos!$G140,Planos!$G140+CEILING((DATE(crono_ano_ref,12,1)-Planos!$G140)/Planos!$E140,1)*Planos!$E140))/Planos!$E140)+1)))</f>
      </c>
      <c r="R142" s="44">
        <f>SUM(F142:Q142)</f>
      </c>
    </row>
    <row r="143" spans="1:18" x14ac:dyDescent="0.25">
      <c r="A143" s="24">
        <f>IF(Planos!$A141="","",Planos!A141&amp;"")</f>
      </c>
      <c r="B143" s="41">
        <f>IF(Planos!$A141="","",Planos!B141&amp;"")</f>
      </c>
      <c r="C143" s="24">
        <f>IF(Planos!$A141="","",Planos!C141&amp;"")</f>
      </c>
      <c r="D143" s="42">
        <f>IF(Planos!$A141="","",N(Planos!E141))</f>
      </c>
      <c r="E143" s="43">
        <f>IF(Planos!$A141="","",N(Planos!K141))</f>
      </c>
      <c r="F143" s="44">
        <f>IF(OR(Planos!$A141="",NOT(ISNUMBER(Planos!$G141)),N(Planos!$E141)&lt;=0),0,IF(Planos!$G141&gt;EOMONTH(DATE(crono_ano_ref,1,1),0),0,MAX(0,INT((EOMONTH(DATE(crono_ano_ref,1,1),0)-IF(Planos!$G141&gt;=DATE(crono_ano_ref,1,1),Planos!$G141,Planos!$G141+CEILING((DATE(crono_ano_ref,1,1)-Planos!$G141)/Planos!$E141,1)*Planos!$E141))/Planos!$E141)+1)))</f>
      </c>
      <c r="G143" s="44">
        <f>IF(OR(Planos!$A141="",NOT(ISNUMBER(Planos!$G141)),N(Planos!$E141)&lt;=0),0,IF(Planos!$G141&gt;EOMONTH(DATE(crono_ano_ref,2,1),0),0,MAX(0,INT((EOMONTH(DATE(crono_ano_ref,2,1),0)-IF(Planos!$G141&gt;=DATE(crono_ano_ref,2,1),Planos!$G141,Planos!$G141+CEILING((DATE(crono_ano_ref,2,1)-Planos!$G141)/Planos!$E141,1)*Planos!$E141))/Planos!$E141)+1)))</f>
      </c>
      <c r="H143" s="44">
        <f>IF(OR(Planos!$A141="",NOT(ISNUMBER(Planos!$G141)),N(Planos!$E141)&lt;=0),0,IF(Planos!$G141&gt;EOMONTH(DATE(crono_ano_ref,3,1),0),0,MAX(0,INT((EOMONTH(DATE(crono_ano_ref,3,1),0)-IF(Planos!$G141&gt;=DATE(crono_ano_ref,3,1),Planos!$G141,Planos!$G141+CEILING((DATE(crono_ano_ref,3,1)-Planos!$G141)/Planos!$E141,1)*Planos!$E141))/Planos!$E141)+1)))</f>
      </c>
      <c r="I143" s="44">
        <f>IF(OR(Planos!$A141="",NOT(ISNUMBER(Planos!$G141)),N(Planos!$E141)&lt;=0),0,IF(Planos!$G141&gt;EOMONTH(DATE(crono_ano_ref,4,1),0),0,MAX(0,INT((EOMONTH(DATE(crono_ano_ref,4,1),0)-IF(Planos!$G141&gt;=DATE(crono_ano_ref,4,1),Planos!$G141,Planos!$G141+CEILING((DATE(crono_ano_ref,4,1)-Planos!$G141)/Planos!$E141,1)*Planos!$E141))/Planos!$E141)+1)))</f>
      </c>
      <c r="J143" s="44">
        <f>IF(OR(Planos!$A141="",NOT(ISNUMBER(Planos!$G141)),N(Planos!$E141)&lt;=0),0,IF(Planos!$G141&gt;EOMONTH(DATE(crono_ano_ref,5,1),0),0,MAX(0,INT((EOMONTH(DATE(crono_ano_ref,5,1),0)-IF(Planos!$G141&gt;=DATE(crono_ano_ref,5,1),Planos!$G141,Planos!$G141+CEILING((DATE(crono_ano_ref,5,1)-Planos!$G141)/Planos!$E141,1)*Planos!$E141))/Planos!$E141)+1)))</f>
      </c>
      <c r="K143" s="44">
        <f>IF(OR(Planos!$A141="",NOT(ISNUMBER(Planos!$G141)),N(Planos!$E141)&lt;=0),0,IF(Planos!$G141&gt;EOMONTH(DATE(crono_ano_ref,6,1),0),0,MAX(0,INT((EOMONTH(DATE(crono_ano_ref,6,1),0)-IF(Planos!$G141&gt;=DATE(crono_ano_ref,6,1),Planos!$G141,Planos!$G141+CEILING((DATE(crono_ano_ref,6,1)-Planos!$G141)/Planos!$E141,1)*Planos!$E141))/Planos!$E141)+1)))</f>
      </c>
      <c r="L143" s="44">
        <f>IF(OR(Planos!$A141="",NOT(ISNUMBER(Planos!$G141)),N(Planos!$E141)&lt;=0),0,IF(Planos!$G141&gt;EOMONTH(DATE(crono_ano_ref,7,1),0),0,MAX(0,INT((EOMONTH(DATE(crono_ano_ref,7,1),0)-IF(Planos!$G141&gt;=DATE(crono_ano_ref,7,1),Planos!$G141,Planos!$G141+CEILING((DATE(crono_ano_ref,7,1)-Planos!$G141)/Planos!$E141,1)*Planos!$E141))/Planos!$E141)+1)))</f>
      </c>
      <c r="M143" s="44">
        <f>IF(OR(Planos!$A141="",NOT(ISNUMBER(Planos!$G141)),N(Planos!$E141)&lt;=0),0,IF(Planos!$G141&gt;EOMONTH(DATE(crono_ano_ref,8,1),0),0,MAX(0,INT((EOMONTH(DATE(crono_ano_ref,8,1),0)-IF(Planos!$G141&gt;=DATE(crono_ano_ref,8,1),Planos!$G141,Planos!$G141+CEILING((DATE(crono_ano_ref,8,1)-Planos!$G141)/Planos!$E141,1)*Planos!$E141))/Planos!$E141)+1)))</f>
      </c>
      <c r="N143" s="44">
        <f>IF(OR(Planos!$A141="",NOT(ISNUMBER(Planos!$G141)),N(Planos!$E141)&lt;=0),0,IF(Planos!$G141&gt;EOMONTH(DATE(crono_ano_ref,9,1),0),0,MAX(0,INT((EOMONTH(DATE(crono_ano_ref,9,1),0)-IF(Planos!$G141&gt;=DATE(crono_ano_ref,9,1),Planos!$G141,Planos!$G141+CEILING((DATE(crono_ano_ref,9,1)-Planos!$G141)/Planos!$E141,1)*Planos!$E141))/Planos!$E141)+1)))</f>
      </c>
      <c r="O143" s="44">
        <f>IF(OR(Planos!$A141="",NOT(ISNUMBER(Planos!$G141)),N(Planos!$E141)&lt;=0),0,IF(Planos!$G141&gt;EOMONTH(DATE(crono_ano_ref,10,1),0),0,MAX(0,INT((EOMONTH(DATE(crono_ano_ref,10,1),0)-IF(Planos!$G141&gt;=DATE(crono_ano_ref,10,1),Planos!$G141,Planos!$G141+CEILING((DATE(crono_ano_ref,10,1)-Planos!$G141)/Planos!$E141,1)*Planos!$E141))/Planos!$E141)+1)))</f>
      </c>
      <c r="P143" s="44">
        <f>IF(OR(Planos!$A141="",NOT(ISNUMBER(Planos!$G141)),N(Planos!$E141)&lt;=0),0,IF(Planos!$G141&gt;EOMONTH(DATE(crono_ano_ref,11,1),0),0,MAX(0,INT((EOMONTH(DATE(crono_ano_ref,11,1),0)-IF(Planos!$G141&gt;=DATE(crono_ano_ref,11,1),Planos!$G141,Planos!$G141+CEILING((DATE(crono_ano_ref,11,1)-Planos!$G141)/Planos!$E141,1)*Planos!$E141))/Planos!$E141)+1)))</f>
      </c>
      <c r="Q143" s="44">
        <f>IF(OR(Planos!$A141="",NOT(ISNUMBER(Planos!$G141)),N(Planos!$E141)&lt;=0),0,IF(Planos!$G141&gt;EOMONTH(DATE(crono_ano_ref,12,1),0),0,MAX(0,INT((EOMONTH(DATE(crono_ano_ref,12,1),0)-IF(Planos!$G141&gt;=DATE(crono_ano_ref,12,1),Planos!$G141,Planos!$G141+CEILING((DATE(crono_ano_ref,12,1)-Planos!$G141)/Planos!$E141,1)*Planos!$E141))/Planos!$E141)+1)))</f>
      </c>
      <c r="R143" s="44">
        <f>SUM(F143:Q143)</f>
      </c>
    </row>
    <row r="144" spans="1:18" x14ac:dyDescent="0.25">
      <c r="A144" s="24">
        <f>IF(Planos!$A142="","",Planos!A142&amp;"")</f>
      </c>
      <c r="B144" s="41">
        <f>IF(Planos!$A142="","",Planos!B142&amp;"")</f>
      </c>
      <c r="C144" s="24">
        <f>IF(Planos!$A142="","",Planos!C142&amp;"")</f>
      </c>
      <c r="D144" s="42">
        <f>IF(Planos!$A142="","",N(Planos!E142))</f>
      </c>
      <c r="E144" s="43">
        <f>IF(Planos!$A142="","",N(Planos!K142))</f>
      </c>
      <c r="F144" s="44">
        <f>IF(OR(Planos!$A142="",NOT(ISNUMBER(Planos!$G142)),N(Planos!$E142)&lt;=0),0,IF(Planos!$G142&gt;EOMONTH(DATE(crono_ano_ref,1,1),0),0,MAX(0,INT((EOMONTH(DATE(crono_ano_ref,1,1),0)-IF(Planos!$G142&gt;=DATE(crono_ano_ref,1,1),Planos!$G142,Planos!$G142+CEILING((DATE(crono_ano_ref,1,1)-Planos!$G142)/Planos!$E142,1)*Planos!$E142))/Planos!$E142)+1)))</f>
      </c>
      <c r="G144" s="44">
        <f>IF(OR(Planos!$A142="",NOT(ISNUMBER(Planos!$G142)),N(Planos!$E142)&lt;=0),0,IF(Planos!$G142&gt;EOMONTH(DATE(crono_ano_ref,2,1),0),0,MAX(0,INT((EOMONTH(DATE(crono_ano_ref,2,1),0)-IF(Planos!$G142&gt;=DATE(crono_ano_ref,2,1),Planos!$G142,Planos!$G142+CEILING((DATE(crono_ano_ref,2,1)-Planos!$G142)/Planos!$E142,1)*Planos!$E142))/Planos!$E142)+1)))</f>
      </c>
      <c r="H144" s="44">
        <f>IF(OR(Planos!$A142="",NOT(ISNUMBER(Planos!$G142)),N(Planos!$E142)&lt;=0),0,IF(Planos!$G142&gt;EOMONTH(DATE(crono_ano_ref,3,1),0),0,MAX(0,INT((EOMONTH(DATE(crono_ano_ref,3,1),0)-IF(Planos!$G142&gt;=DATE(crono_ano_ref,3,1),Planos!$G142,Planos!$G142+CEILING((DATE(crono_ano_ref,3,1)-Planos!$G142)/Planos!$E142,1)*Planos!$E142))/Planos!$E142)+1)))</f>
      </c>
      <c r="I144" s="44">
        <f>IF(OR(Planos!$A142="",NOT(ISNUMBER(Planos!$G142)),N(Planos!$E142)&lt;=0),0,IF(Planos!$G142&gt;EOMONTH(DATE(crono_ano_ref,4,1),0),0,MAX(0,INT((EOMONTH(DATE(crono_ano_ref,4,1),0)-IF(Planos!$G142&gt;=DATE(crono_ano_ref,4,1),Planos!$G142,Planos!$G142+CEILING((DATE(crono_ano_ref,4,1)-Planos!$G142)/Planos!$E142,1)*Planos!$E142))/Planos!$E142)+1)))</f>
      </c>
      <c r="J144" s="44">
        <f>IF(OR(Planos!$A142="",NOT(ISNUMBER(Planos!$G142)),N(Planos!$E142)&lt;=0),0,IF(Planos!$G142&gt;EOMONTH(DATE(crono_ano_ref,5,1),0),0,MAX(0,INT((EOMONTH(DATE(crono_ano_ref,5,1),0)-IF(Planos!$G142&gt;=DATE(crono_ano_ref,5,1),Planos!$G142,Planos!$G142+CEILING((DATE(crono_ano_ref,5,1)-Planos!$G142)/Planos!$E142,1)*Planos!$E142))/Planos!$E142)+1)))</f>
      </c>
      <c r="K144" s="44">
        <f>IF(OR(Planos!$A142="",NOT(ISNUMBER(Planos!$G142)),N(Planos!$E142)&lt;=0),0,IF(Planos!$G142&gt;EOMONTH(DATE(crono_ano_ref,6,1),0),0,MAX(0,INT((EOMONTH(DATE(crono_ano_ref,6,1),0)-IF(Planos!$G142&gt;=DATE(crono_ano_ref,6,1),Planos!$G142,Planos!$G142+CEILING((DATE(crono_ano_ref,6,1)-Planos!$G142)/Planos!$E142,1)*Planos!$E142))/Planos!$E142)+1)))</f>
      </c>
      <c r="L144" s="44">
        <f>IF(OR(Planos!$A142="",NOT(ISNUMBER(Planos!$G142)),N(Planos!$E142)&lt;=0),0,IF(Planos!$G142&gt;EOMONTH(DATE(crono_ano_ref,7,1),0),0,MAX(0,INT((EOMONTH(DATE(crono_ano_ref,7,1),0)-IF(Planos!$G142&gt;=DATE(crono_ano_ref,7,1),Planos!$G142,Planos!$G142+CEILING((DATE(crono_ano_ref,7,1)-Planos!$G142)/Planos!$E142,1)*Planos!$E142))/Planos!$E142)+1)))</f>
      </c>
      <c r="M144" s="44">
        <f>IF(OR(Planos!$A142="",NOT(ISNUMBER(Planos!$G142)),N(Planos!$E142)&lt;=0),0,IF(Planos!$G142&gt;EOMONTH(DATE(crono_ano_ref,8,1),0),0,MAX(0,INT((EOMONTH(DATE(crono_ano_ref,8,1),0)-IF(Planos!$G142&gt;=DATE(crono_ano_ref,8,1),Planos!$G142,Planos!$G142+CEILING((DATE(crono_ano_ref,8,1)-Planos!$G142)/Planos!$E142,1)*Planos!$E142))/Planos!$E142)+1)))</f>
      </c>
      <c r="N144" s="44">
        <f>IF(OR(Planos!$A142="",NOT(ISNUMBER(Planos!$G142)),N(Planos!$E142)&lt;=0),0,IF(Planos!$G142&gt;EOMONTH(DATE(crono_ano_ref,9,1),0),0,MAX(0,INT((EOMONTH(DATE(crono_ano_ref,9,1),0)-IF(Planos!$G142&gt;=DATE(crono_ano_ref,9,1),Planos!$G142,Planos!$G142+CEILING((DATE(crono_ano_ref,9,1)-Planos!$G142)/Planos!$E142,1)*Planos!$E142))/Planos!$E142)+1)))</f>
      </c>
      <c r="O144" s="44">
        <f>IF(OR(Planos!$A142="",NOT(ISNUMBER(Planos!$G142)),N(Planos!$E142)&lt;=0),0,IF(Planos!$G142&gt;EOMONTH(DATE(crono_ano_ref,10,1),0),0,MAX(0,INT((EOMONTH(DATE(crono_ano_ref,10,1),0)-IF(Planos!$G142&gt;=DATE(crono_ano_ref,10,1),Planos!$G142,Planos!$G142+CEILING((DATE(crono_ano_ref,10,1)-Planos!$G142)/Planos!$E142,1)*Planos!$E142))/Planos!$E142)+1)))</f>
      </c>
      <c r="P144" s="44">
        <f>IF(OR(Planos!$A142="",NOT(ISNUMBER(Planos!$G142)),N(Planos!$E142)&lt;=0),0,IF(Planos!$G142&gt;EOMONTH(DATE(crono_ano_ref,11,1),0),0,MAX(0,INT((EOMONTH(DATE(crono_ano_ref,11,1),0)-IF(Planos!$G142&gt;=DATE(crono_ano_ref,11,1),Planos!$G142,Planos!$G142+CEILING((DATE(crono_ano_ref,11,1)-Planos!$G142)/Planos!$E142,1)*Planos!$E142))/Planos!$E142)+1)))</f>
      </c>
      <c r="Q144" s="44">
        <f>IF(OR(Planos!$A142="",NOT(ISNUMBER(Planos!$G142)),N(Planos!$E142)&lt;=0),0,IF(Planos!$G142&gt;EOMONTH(DATE(crono_ano_ref,12,1),0),0,MAX(0,INT((EOMONTH(DATE(crono_ano_ref,12,1),0)-IF(Planos!$G142&gt;=DATE(crono_ano_ref,12,1),Planos!$G142,Planos!$G142+CEILING((DATE(crono_ano_ref,12,1)-Planos!$G142)/Planos!$E142,1)*Planos!$E142))/Planos!$E142)+1)))</f>
      </c>
      <c r="R144" s="44">
        <f>SUM(F144:Q144)</f>
      </c>
    </row>
    <row r="145" spans="1:18" x14ac:dyDescent="0.25">
      <c r="A145" s="24">
        <f>IF(Planos!$A143="","",Planos!A143&amp;"")</f>
      </c>
      <c r="B145" s="41">
        <f>IF(Planos!$A143="","",Planos!B143&amp;"")</f>
      </c>
      <c r="C145" s="24">
        <f>IF(Planos!$A143="","",Planos!C143&amp;"")</f>
      </c>
      <c r="D145" s="42">
        <f>IF(Planos!$A143="","",N(Planos!E143))</f>
      </c>
      <c r="E145" s="43">
        <f>IF(Planos!$A143="","",N(Planos!K143))</f>
      </c>
      <c r="F145" s="44">
        <f>IF(OR(Planos!$A143="",NOT(ISNUMBER(Planos!$G143)),N(Planos!$E143)&lt;=0),0,IF(Planos!$G143&gt;EOMONTH(DATE(crono_ano_ref,1,1),0),0,MAX(0,INT((EOMONTH(DATE(crono_ano_ref,1,1),0)-IF(Planos!$G143&gt;=DATE(crono_ano_ref,1,1),Planos!$G143,Planos!$G143+CEILING((DATE(crono_ano_ref,1,1)-Planos!$G143)/Planos!$E143,1)*Planos!$E143))/Planos!$E143)+1)))</f>
      </c>
      <c r="G145" s="44">
        <f>IF(OR(Planos!$A143="",NOT(ISNUMBER(Planos!$G143)),N(Planos!$E143)&lt;=0),0,IF(Planos!$G143&gt;EOMONTH(DATE(crono_ano_ref,2,1),0),0,MAX(0,INT((EOMONTH(DATE(crono_ano_ref,2,1),0)-IF(Planos!$G143&gt;=DATE(crono_ano_ref,2,1),Planos!$G143,Planos!$G143+CEILING((DATE(crono_ano_ref,2,1)-Planos!$G143)/Planos!$E143,1)*Planos!$E143))/Planos!$E143)+1)))</f>
      </c>
      <c r="H145" s="44">
        <f>IF(OR(Planos!$A143="",NOT(ISNUMBER(Planos!$G143)),N(Planos!$E143)&lt;=0),0,IF(Planos!$G143&gt;EOMONTH(DATE(crono_ano_ref,3,1),0),0,MAX(0,INT((EOMONTH(DATE(crono_ano_ref,3,1),0)-IF(Planos!$G143&gt;=DATE(crono_ano_ref,3,1),Planos!$G143,Planos!$G143+CEILING((DATE(crono_ano_ref,3,1)-Planos!$G143)/Planos!$E143,1)*Planos!$E143))/Planos!$E143)+1)))</f>
      </c>
      <c r="I145" s="44">
        <f>IF(OR(Planos!$A143="",NOT(ISNUMBER(Planos!$G143)),N(Planos!$E143)&lt;=0),0,IF(Planos!$G143&gt;EOMONTH(DATE(crono_ano_ref,4,1),0),0,MAX(0,INT((EOMONTH(DATE(crono_ano_ref,4,1),0)-IF(Planos!$G143&gt;=DATE(crono_ano_ref,4,1),Planos!$G143,Planos!$G143+CEILING((DATE(crono_ano_ref,4,1)-Planos!$G143)/Planos!$E143,1)*Planos!$E143))/Planos!$E143)+1)))</f>
      </c>
      <c r="J145" s="44">
        <f>IF(OR(Planos!$A143="",NOT(ISNUMBER(Planos!$G143)),N(Planos!$E143)&lt;=0),0,IF(Planos!$G143&gt;EOMONTH(DATE(crono_ano_ref,5,1),0),0,MAX(0,INT((EOMONTH(DATE(crono_ano_ref,5,1),0)-IF(Planos!$G143&gt;=DATE(crono_ano_ref,5,1),Planos!$G143,Planos!$G143+CEILING((DATE(crono_ano_ref,5,1)-Planos!$G143)/Planos!$E143,1)*Planos!$E143))/Planos!$E143)+1)))</f>
      </c>
      <c r="K145" s="44">
        <f>IF(OR(Planos!$A143="",NOT(ISNUMBER(Planos!$G143)),N(Planos!$E143)&lt;=0),0,IF(Planos!$G143&gt;EOMONTH(DATE(crono_ano_ref,6,1),0),0,MAX(0,INT((EOMONTH(DATE(crono_ano_ref,6,1),0)-IF(Planos!$G143&gt;=DATE(crono_ano_ref,6,1),Planos!$G143,Planos!$G143+CEILING((DATE(crono_ano_ref,6,1)-Planos!$G143)/Planos!$E143,1)*Planos!$E143))/Planos!$E143)+1)))</f>
      </c>
      <c r="L145" s="44">
        <f>IF(OR(Planos!$A143="",NOT(ISNUMBER(Planos!$G143)),N(Planos!$E143)&lt;=0),0,IF(Planos!$G143&gt;EOMONTH(DATE(crono_ano_ref,7,1),0),0,MAX(0,INT((EOMONTH(DATE(crono_ano_ref,7,1),0)-IF(Planos!$G143&gt;=DATE(crono_ano_ref,7,1),Planos!$G143,Planos!$G143+CEILING((DATE(crono_ano_ref,7,1)-Planos!$G143)/Planos!$E143,1)*Planos!$E143))/Planos!$E143)+1)))</f>
      </c>
      <c r="M145" s="44">
        <f>IF(OR(Planos!$A143="",NOT(ISNUMBER(Planos!$G143)),N(Planos!$E143)&lt;=0),0,IF(Planos!$G143&gt;EOMONTH(DATE(crono_ano_ref,8,1),0),0,MAX(0,INT((EOMONTH(DATE(crono_ano_ref,8,1),0)-IF(Planos!$G143&gt;=DATE(crono_ano_ref,8,1),Planos!$G143,Planos!$G143+CEILING((DATE(crono_ano_ref,8,1)-Planos!$G143)/Planos!$E143,1)*Planos!$E143))/Planos!$E143)+1)))</f>
      </c>
      <c r="N145" s="44">
        <f>IF(OR(Planos!$A143="",NOT(ISNUMBER(Planos!$G143)),N(Planos!$E143)&lt;=0),0,IF(Planos!$G143&gt;EOMONTH(DATE(crono_ano_ref,9,1),0),0,MAX(0,INT((EOMONTH(DATE(crono_ano_ref,9,1),0)-IF(Planos!$G143&gt;=DATE(crono_ano_ref,9,1),Planos!$G143,Planos!$G143+CEILING((DATE(crono_ano_ref,9,1)-Planos!$G143)/Planos!$E143,1)*Planos!$E143))/Planos!$E143)+1)))</f>
      </c>
      <c r="O145" s="44">
        <f>IF(OR(Planos!$A143="",NOT(ISNUMBER(Planos!$G143)),N(Planos!$E143)&lt;=0),0,IF(Planos!$G143&gt;EOMONTH(DATE(crono_ano_ref,10,1),0),0,MAX(0,INT((EOMONTH(DATE(crono_ano_ref,10,1),0)-IF(Planos!$G143&gt;=DATE(crono_ano_ref,10,1),Planos!$G143,Planos!$G143+CEILING((DATE(crono_ano_ref,10,1)-Planos!$G143)/Planos!$E143,1)*Planos!$E143))/Planos!$E143)+1)))</f>
      </c>
      <c r="P145" s="44">
        <f>IF(OR(Planos!$A143="",NOT(ISNUMBER(Planos!$G143)),N(Planos!$E143)&lt;=0),0,IF(Planos!$G143&gt;EOMONTH(DATE(crono_ano_ref,11,1),0),0,MAX(0,INT((EOMONTH(DATE(crono_ano_ref,11,1),0)-IF(Planos!$G143&gt;=DATE(crono_ano_ref,11,1),Planos!$G143,Planos!$G143+CEILING((DATE(crono_ano_ref,11,1)-Planos!$G143)/Planos!$E143,1)*Planos!$E143))/Planos!$E143)+1)))</f>
      </c>
      <c r="Q145" s="44">
        <f>IF(OR(Planos!$A143="",NOT(ISNUMBER(Planos!$G143)),N(Planos!$E143)&lt;=0),0,IF(Planos!$G143&gt;EOMONTH(DATE(crono_ano_ref,12,1),0),0,MAX(0,INT((EOMONTH(DATE(crono_ano_ref,12,1),0)-IF(Planos!$G143&gt;=DATE(crono_ano_ref,12,1),Planos!$G143,Planos!$G143+CEILING((DATE(crono_ano_ref,12,1)-Planos!$G143)/Planos!$E143,1)*Planos!$E143))/Planos!$E143)+1)))</f>
      </c>
      <c r="R145" s="44">
        <f>SUM(F145:Q145)</f>
      </c>
    </row>
    <row r="146" spans="1:18" x14ac:dyDescent="0.25">
      <c r="A146" s="24">
        <f>IF(Planos!$A144="","",Planos!A144&amp;"")</f>
      </c>
      <c r="B146" s="41">
        <f>IF(Planos!$A144="","",Planos!B144&amp;"")</f>
      </c>
      <c r="C146" s="24">
        <f>IF(Planos!$A144="","",Planos!C144&amp;"")</f>
      </c>
      <c r="D146" s="42">
        <f>IF(Planos!$A144="","",N(Planos!E144))</f>
      </c>
      <c r="E146" s="43">
        <f>IF(Planos!$A144="","",N(Planos!K144))</f>
      </c>
      <c r="F146" s="44">
        <f>IF(OR(Planos!$A144="",NOT(ISNUMBER(Planos!$G144)),N(Planos!$E144)&lt;=0),0,IF(Planos!$G144&gt;EOMONTH(DATE(crono_ano_ref,1,1),0),0,MAX(0,INT((EOMONTH(DATE(crono_ano_ref,1,1),0)-IF(Planos!$G144&gt;=DATE(crono_ano_ref,1,1),Planos!$G144,Planos!$G144+CEILING((DATE(crono_ano_ref,1,1)-Planos!$G144)/Planos!$E144,1)*Planos!$E144))/Planos!$E144)+1)))</f>
      </c>
      <c r="G146" s="44">
        <f>IF(OR(Planos!$A144="",NOT(ISNUMBER(Planos!$G144)),N(Planos!$E144)&lt;=0),0,IF(Planos!$G144&gt;EOMONTH(DATE(crono_ano_ref,2,1),0),0,MAX(0,INT((EOMONTH(DATE(crono_ano_ref,2,1),0)-IF(Planos!$G144&gt;=DATE(crono_ano_ref,2,1),Planos!$G144,Planos!$G144+CEILING((DATE(crono_ano_ref,2,1)-Planos!$G144)/Planos!$E144,1)*Planos!$E144))/Planos!$E144)+1)))</f>
      </c>
      <c r="H146" s="44">
        <f>IF(OR(Planos!$A144="",NOT(ISNUMBER(Planos!$G144)),N(Planos!$E144)&lt;=0),0,IF(Planos!$G144&gt;EOMONTH(DATE(crono_ano_ref,3,1),0),0,MAX(0,INT((EOMONTH(DATE(crono_ano_ref,3,1),0)-IF(Planos!$G144&gt;=DATE(crono_ano_ref,3,1),Planos!$G144,Planos!$G144+CEILING((DATE(crono_ano_ref,3,1)-Planos!$G144)/Planos!$E144,1)*Planos!$E144))/Planos!$E144)+1)))</f>
      </c>
      <c r="I146" s="44">
        <f>IF(OR(Planos!$A144="",NOT(ISNUMBER(Planos!$G144)),N(Planos!$E144)&lt;=0),0,IF(Planos!$G144&gt;EOMONTH(DATE(crono_ano_ref,4,1),0),0,MAX(0,INT((EOMONTH(DATE(crono_ano_ref,4,1),0)-IF(Planos!$G144&gt;=DATE(crono_ano_ref,4,1),Planos!$G144,Planos!$G144+CEILING((DATE(crono_ano_ref,4,1)-Planos!$G144)/Planos!$E144,1)*Planos!$E144))/Planos!$E144)+1)))</f>
      </c>
      <c r="J146" s="44">
        <f>IF(OR(Planos!$A144="",NOT(ISNUMBER(Planos!$G144)),N(Planos!$E144)&lt;=0),0,IF(Planos!$G144&gt;EOMONTH(DATE(crono_ano_ref,5,1),0),0,MAX(0,INT((EOMONTH(DATE(crono_ano_ref,5,1),0)-IF(Planos!$G144&gt;=DATE(crono_ano_ref,5,1),Planos!$G144,Planos!$G144+CEILING((DATE(crono_ano_ref,5,1)-Planos!$G144)/Planos!$E144,1)*Planos!$E144))/Planos!$E144)+1)))</f>
      </c>
      <c r="K146" s="44">
        <f>IF(OR(Planos!$A144="",NOT(ISNUMBER(Planos!$G144)),N(Planos!$E144)&lt;=0),0,IF(Planos!$G144&gt;EOMONTH(DATE(crono_ano_ref,6,1),0),0,MAX(0,INT((EOMONTH(DATE(crono_ano_ref,6,1),0)-IF(Planos!$G144&gt;=DATE(crono_ano_ref,6,1),Planos!$G144,Planos!$G144+CEILING((DATE(crono_ano_ref,6,1)-Planos!$G144)/Planos!$E144,1)*Planos!$E144))/Planos!$E144)+1)))</f>
      </c>
      <c r="L146" s="44">
        <f>IF(OR(Planos!$A144="",NOT(ISNUMBER(Planos!$G144)),N(Planos!$E144)&lt;=0),0,IF(Planos!$G144&gt;EOMONTH(DATE(crono_ano_ref,7,1),0),0,MAX(0,INT((EOMONTH(DATE(crono_ano_ref,7,1),0)-IF(Planos!$G144&gt;=DATE(crono_ano_ref,7,1),Planos!$G144,Planos!$G144+CEILING((DATE(crono_ano_ref,7,1)-Planos!$G144)/Planos!$E144,1)*Planos!$E144))/Planos!$E144)+1)))</f>
      </c>
      <c r="M146" s="44">
        <f>IF(OR(Planos!$A144="",NOT(ISNUMBER(Planos!$G144)),N(Planos!$E144)&lt;=0),0,IF(Planos!$G144&gt;EOMONTH(DATE(crono_ano_ref,8,1),0),0,MAX(0,INT((EOMONTH(DATE(crono_ano_ref,8,1),0)-IF(Planos!$G144&gt;=DATE(crono_ano_ref,8,1),Planos!$G144,Planos!$G144+CEILING((DATE(crono_ano_ref,8,1)-Planos!$G144)/Planos!$E144,1)*Planos!$E144))/Planos!$E144)+1)))</f>
      </c>
      <c r="N146" s="44">
        <f>IF(OR(Planos!$A144="",NOT(ISNUMBER(Planos!$G144)),N(Planos!$E144)&lt;=0),0,IF(Planos!$G144&gt;EOMONTH(DATE(crono_ano_ref,9,1),0),0,MAX(0,INT((EOMONTH(DATE(crono_ano_ref,9,1),0)-IF(Planos!$G144&gt;=DATE(crono_ano_ref,9,1),Planos!$G144,Planos!$G144+CEILING((DATE(crono_ano_ref,9,1)-Planos!$G144)/Planos!$E144,1)*Planos!$E144))/Planos!$E144)+1)))</f>
      </c>
      <c r="O146" s="44">
        <f>IF(OR(Planos!$A144="",NOT(ISNUMBER(Planos!$G144)),N(Planos!$E144)&lt;=0),0,IF(Planos!$G144&gt;EOMONTH(DATE(crono_ano_ref,10,1),0),0,MAX(0,INT((EOMONTH(DATE(crono_ano_ref,10,1),0)-IF(Planos!$G144&gt;=DATE(crono_ano_ref,10,1),Planos!$G144,Planos!$G144+CEILING((DATE(crono_ano_ref,10,1)-Planos!$G144)/Planos!$E144,1)*Planos!$E144))/Planos!$E144)+1)))</f>
      </c>
      <c r="P146" s="44">
        <f>IF(OR(Planos!$A144="",NOT(ISNUMBER(Planos!$G144)),N(Planos!$E144)&lt;=0),0,IF(Planos!$G144&gt;EOMONTH(DATE(crono_ano_ref,11,1),0),0,MAX(0,INT((EOMONTH(DATE(crono_ano_ref,11,1),0)-IF(Planos!$G144&gt;=DATE(crono_ano_ref,11,1),Planos!$G144,Planos!$G144+CEILING((DATE(crono_ano_ref,11,1)-Planos!$G144)/Planos!$E144,1)*Planos!$E144))/Planos!$E144)+1)))</f>
      </c>
      <c r="Q146" s="44">
        <f>IF(OR(Planos!$A144="",NOT(ISNUMBER(Planos!$G144)),N(Planos!$E144)&lt;=0),0,IF(Planos!$G144&gt;EOMONTH(DATE(crono_ano_ref,12,1),0),0,MAX(0,INT((EOMONTH(DATE(crono_ano_ref,12,1),0)-IF(Planos!$G144&gt;=DATE(crono_ano_ref,12,1),Planos!$G144,Planos!$G144+CEILING((DATE(crono_ano_ref,12,1)-Planos!$G144)/Planos!$E144,1)*Planos!$E144))/Planos!$E144)+1)))</f>
      </c>
      <c r="R146" s="44">
        <f>SUM(F146:Q146)</f>
      </c>
    </row>
    <row r="147" spans="1:18" x14ac:dyDescent="0.25">
      <c r="A147" s="24">
        <f>IF(Planos!$A145="","",Planos!A145&amp;"")</f>
      </c>
      <c r="B147" s="41">
        <f>IF(Planos!$A145="","",Planos!B145&amp;"")</f>
      </c>
      <c r="C147" s="24">
        <f>IF(Planos!$A145="","",Planos!C145&amp;"")</f>
      </c>
      <c r="D147" s="42">
        <f>IF(Planos!$A145="","",N(Planos!E145))</f>
      </c>
      <c r="E147" s="43">
        <f>IF(Planos!$A145="","",N(Planos!K145))</f>
      </c>
      <c r="F147" s="44">
        <f>IF(OR(Planos!$A145="",NOT(ISNUMBER(Planos!$G145)),N(Planos!$E145)&lt;=0),0,IF(Planos!$G145&gt;EOMONTH(DATE(crono_ano_ref,1,1),0),0,MAX(0,INT((EOMONTH(DATE(crono_ano_ref,1,1),0)-IF(Planos!$G145&gt;=DATE(crono_ano_ref,1,1),Planos!$G145,Planos!$G145+CEILING((DATE(crono_ano_ref,1,1)-Planos!$G145)/Planos!$E145,1)*Planos!$E145))/Planos!$E145)+1)))</f>
      </c>
      <c r="G147" s="44">
        <f>IF(OR(Planos!$A145="",NOT(ISNUMBER(Planos!$G145)),N(Planos!$E145)&lt;=0),0,IF(Planos!$G145&gt;EOMONTH(DATE(crono_ano_ref,2,1),0),0,MAX(0,INT((EOMONTH(DATE(crono_ano_ref,2,1),0)-IF(Planos!$G145&gt;=DATE(crono_ano_ref,2,1),Planos!$G145,Planos!$G145+CEILING((DATE(crono_ano_ref,2,1)-Planos!$G145)/Planos!$E145,1)*Planos!$E145))/Planos!$E145)+1)))</f>
      </c>
      <c r="H147" s="44">
        <f>IF(OR(Planos!$A145="",NOT(ISNUMBER(Planos!$G145)),N(Planos!$E145)&lt;=0),0,IF(Planos!$G145&gt;EOMONTH(DATE(crono_ano_ref,3,1),0),0,MAX(0,INT((EOMONTH(DATE(crono_ano_ref,3,1),0)-IF(Planos!$G145&gt;=DATE(crono_ano_ref,3,1),Planos!$G145,Planos!$G145+CEILING((DATE(crono_ano_ref,3,1)-Planos!$G145)/Planos!$E145,1)*Planos!$E145))/Planos!$E145)+1)))</f>
      </c>
      <c r="I147" s="44">
        <f>IF(OR(Planos!$A145="",NOT(ISNUMBER(Planos!$G145)),N(Planos!$E145)&lt;=0),0,IF(Planos!$G145&gt;EOMONTH(DATE(crono_ano_ref,4,1),0),0,MAX(0,INT((EOMONTH(DATE(crono_ano_ref,4,1),0)-IF(Planos!$G145&gt;=DATE(crono_ano_ref,4,1),Planos!$G145,Planos!$G145+CEILING((DATE(crono_ano_ref,4,1)-Planos!$G145)/Planos!$E145,1)*Planos!$E145))/Planos!$E145)+1)))</f>
      </c>
      <c r="J147" s="44">
        <f>IF(OR(Planos!$A145="",NOT(ISNUMBER(Planos!$G145)),N(Planos!$E145)&lt;=0),0,IF(Planos!$G145&gt;EOMONTH(DATE(crono_ano_ref,5,1),0),0,MAX(0,INT((EOMONTH(DATE(crono_ano_ref,5,1),0)-IF(Planos!$G145&gt;=DATE(crono_ano_ref,5,1),Planos!$G145,Planos!$G145+CEILING((DATE(crono_ano_ref,5,1)-Planos!$G145)/Planos!$E145,1)*Planos!$E145))/Planos!$E145)+1)))</f>
      </c>
      <c r="K147" s="44">
        <f>IF(OR(Planos!$A145="",NOT(ISNUMBER(Planos!$G145)),N(Planos!$E145)&lt;=0),0,IF(Planos!$G145&gt;EOMONTH(DATE(crono_ano_ref,6,1),0),0,MAX(0,INT((EOMONTH(DATE(crono_ano_ref,6,1),0)-IF(Planos!$G145&gt;=DATE(crono_ano_ref,6,1),Planos!$G145,Planos!$G145+CEILING((DATE(crono_ano_ref,6,1)-Planos!$G145)/Planos!$E145,1)*Planos!$E145))/Planos!$E145)+1)))</f>
      </c>
      <c r="L147" s="44">
        <f>IF(OR(Planos!$A145="",NOT(ISNUMBER(Planos!$G145)),N(Planos!$E145)&lt;=0),0,IF(Planos!$G145&gt;EOMONTH(DATE(crono_ano_ref,7,1),0),0,MAX(0,INT((EOMONTH(DATE(crono_ano_ref,7,1),0)-IF(Planos!$G145&gt;=DATE(crono_ano_ref,7,1),Planos!$G145,Planos!$G145+CEILING((DATE(crono_ano_ref,7,1)-Planos!$G145)/Planos!$E145,1)*Planos!$E145))/Planos!$E145)+1)))</f>
      </c>
      <c r="M147" s="44">
        <f>IF(OR(Planos!$A145="",NOT(ISNUMBER(Planos!$G145)),N(Planos!$E145)&lt;=0),0,IF(Planos!$G145&gt;EOMONTH(DATE(crono_ano_ref,8,1),0),0,MAX(0,INT((EOMONTH(DATE(crono_ano_ref,8,1),0)-IF(Planos!$G145&gt;=DATE(crono_ano_ref,8,1),Planos!$G145,Planos!$G145+CEILING((DATE(crono_ano_ref,8,1)-Planos!$G145)/Planos!$E145,1)*Planos!$E145))/Planos!$E145)+1)))</f>
      </c>
      <c r="N147" s="44">
        <f>IF(OR(Planos!$A145="",NOT(ISNUMBER(Planos!$G145)),N(Planos!$E145)&lt;=0),0,IF(Planos!$G145&gt;EOMONTH(DATE(crono_ano_ref,9,1),0),0,MAX(0,INT((EOMONTH(DATE(crono_ano_ref,9,1),0)-IF(Planos!$G145&gt;=DATE(crono_ano_ref,9,1),Planos!$G145,Planos!$G145+CEILING((DATE(crono_ano_ref,9,1)-Planos!$G145)/Planos!$E145,1)*Planos!$E145))/Planos!$E145)+1)))</f>
      </c>
      <c r="O147" s="44">
        <f>IF(OR(Planos!$A145="",NOT(ISNUMBER(Planos!$G145)),N(Planos!$E145)&lt;=0),0,IF(Planos!$G145&gt;EOMONTH(DATE(crono_ano_ref,10,1),0),0,MAX(0,INT((EOMONTH(DATE(crono_ano_ref,10,1),0)-IF(Planos!$G145&gt;=DATE(crono_ano_ref,10,1),Planos!$G145,Planos!$G145+CEILING((DATE(crono_ano_ref,10,1)-Planos!$G145)/Planos!$E145,1)*Planos!$E145))/Planos!$E145)+1)))</f>
      </c>
      <c r="P147" s="44">
        <f>IF(OR(Planos!$A145="",NOT(ISNUMBER(Planos!$G145)),N(Planos!$E145)&lt;=0),0,IF(Planos!$G145&gt;EOMONTH(DATE(crono_ano_ref,11,1),0),0,MAX(0,INT((EOMONTH(DATE(crono_ano_ref,11,1),0)-IF(Planos!$G145&gt;=DATE(crono_ano_ref,11,1),Planos!$G145,Planos!$G145+CEILING((DATE(crono_ano_ref,11,1)-Planos!$G145)/Planos!$E145,1)*Planos!$E145))/Planos!$E145)+1)))</f>
      </c>
      <c r="Q147" s="44">
        <f>IF(OR(Planos!$A145="",NOT(ISNUMBER(Planos!$G145)),N(Planos!$E145)&lt;=0),0,IF(Planos!$G145&gt;EOMONTH(DATE(crono_ano_ref,12,1),0),0,MAX(0,INT((EOMONTH(DATE(crono_ano_ref,12,1),0)-IF(Planos!$G145&gt;=DATE(crono_ano_ref,12,1),Planos!$G145,Planos!$G145+CEILING((DATE(crono_ano_ref,12,1)-Planos!$G145)/Planos!$E145,1)*Planos!$E145))/Planos!$E145)+1)))</f>
      </c>
      <c r="R147" s="44">
        <f>SUM(F147:Q147)</f>
      </c>
    </row>
    <row r="148" spans="1:18" x14ac:dyDescent="0.25">
      <c r="A148" s="24">
        <f>IF(Planos!$A146="","",Planos!A146&amp;"")</f>
      </c>
      <c r="B148" s="41">
        <f>IF(Planos!$A146="","",Planos!B146&amp;"")</f>
      </c>
      <c r="C148" s="24">
        <f>IF(Planos!$A146="","",Planos!C146&amp;"")</f>
      </c>
      <c r="D148" s="42">
        <f>IF(Planos!$A146="","",N(Planos!E146))</f>
      </c>
      <c r="E148" s="43">
        <f>IF(Planos!$A146="","",N(Planos!K146))</f>
      </c>
      <c r="F148" s="44">
        <f>IF(OR(Planos!$A146="",NOT(ISNUMBER(Planos!$G146)),N(Planos!$E146)&lt;=0),0,IF(Planos!$G146&gt;EOMONTH(DATE(crono_ano_ref,1,1),0),0,MAX(0,INT((EOMONTH(DATE(crono_ano_ref,1,1),0)-IF(Planos!$G146&gt;=DATE(crono_ano_ref,1,1),Planos!$G146,Planos!$G146+CEILING((DATE(crono_ano_ref,1,1)-Planos!$G146)/Planos!$E146,1)*Planos!$E146))/Planos!$E146)+1)))</f>
      </c>
      <c r="G148" s="44">
        <f>IF(OR(Planos!$A146="",NOT(ISNUMBER(Planos!$G146)),N(Planos!$E146)&lt;=0),0,IF(Planos!$G146&gt;EOMONTH(DATE(crono_ano_ref,2,1),0),0,MAX(0,INT((EOMONTH(DATE(crono_ano_ref,2,1),0)-IF(Planos!$G146&gt;=DATE(crono_ano_ref,2,1),Planos!$G146,Planos!$G146+CEILING((DATE(crono_ano_ref,2,1)-Planos!$G146)/Planos!$E146,1)*Planos!$E146))/Planos!$E146)+1)))</f>
      </c>
      <c r="H148" s="44">
        <f>IF(OR(Planos!$A146="",NOT(ISNUMBER(Planos!$G146)),N(Planos!$E146)&lt;=0),0,IF(Planos!$G146&gt;EOMONTH(DATE(crono_ano_ref,3,1),0),0,MAX(0,INT((EOMONTH(DATE(crono_ano_ref,3,1),0)-IF(Planos!$G146&gt;=DATE(crono_ano_ref,3,1),Planos!$G146,Planos!$G146+CEILING((DATE(crono_ano_ref,3,1)-Planos!$G146)/Planos!$E146,1)*Planos!$E146))/Planos!$E146)+1)))</f>
      </c>
      <c r="I148" s="44">
        <f>IF(OR(Planos!$A146="",NOT(ISNUMBER(Planos!$G146)),N(Planos!$E146)&lt;=0),0,IF(Planos!$G146&gt;EOMONTH(DATE(crono_ano_ref,4,1),0),0,MAX(0,INT((EOMONTH(DATE(crono_ano_ref,4,1),0)-IF(Planos!$G146&gt;=DATE(crono_ano_ref,4,1),Planos!$G146,Planos!$G146+CEILING((DATE(crono_ano_ref,4,1)-Planos!$G146)/Planos!$E146,1)*Planos!$E146))/Planos!$E146)+1)))</f>
      </c>
      <c r="J148" s="44">
        <f>IF(OR(Planos!$A146="",NOT(ISNUMBER(Planos!$G146)),N(Planos!$E146)&lt;=0),0,IF(Planos!$G146&gt;EOMONTH(DATE(crono_ano_ref,5,1),0),0,MAX(0,INT((EOMONTH(DATE(crono_ano_ref,5,1),0)-IF(Planos!$G146&gt;=DATE(crono_ano_ref,5,1),Planos!$G146,Planos!$G146+CEILING((DATE(crono_ano_ref,5,1)-Planos!$G146)/Planos!$E146,1)*Planos!$E146))/Planos!$E146)+1)))</f>
      </c>
      <c r="K148" s="44">
        <f>IF(OR(Planos!$A146="",NOT(ISNUMBER(Planos!$G146)),N(Planos!$E146)&lt;=0),0,IF(Planos!$G146&gt;EOMONTH(DATE(crono_ano_ref,6,1),0),0,MAX(0,INT((EOMONTH(DATE(crono_ano_ref,6,1),0)-IF(Planos!$G146&gt;=DATE(crono_ano_ref,6,1),Planos!$G146,Planos!$G146+CEILING((DATE(crono_ano_ref,6,1)-Planos!$G146)/Planos!$E146,1)*Planos!$E146))/Planos!$E146)+1)))</f>
      </c>
      <c r="L148" s="44">
        <f>IF(OR(Planos!$A146="",NOT(ISNUMBER(Planos!$G146)),N(Planos!$E146)&lt;=0),0,IF(Planos!$G146&gt;EOMONTH(DATE(crono_ano_ref,7,1),0),0,MAX(0,INT((EOMONTH(DATE(crono_ano_ref,7,1),0)-IF(Planos!$G146&gt;=DATE(crono_ano_ref,7,1),Planos!$G146,Planos!$G146+CEILING((DATE(crono_ano_ref,7,1)-Planos!$G146)/Planos!$E146,1)*Planos!$E146))/Planos!$E146)+1)))</f>
      </c>
      <c r="M148" s="44">
        <f>IF(OR(Planos!$A146="",NOT(ISNUMBER(Planos!$G146)),N(Planos!$E146)&lt;=0),0,IF(Planos!$G146&gt;EOMONTH(DATE(crono_ano_ref,8,1),0),0,MAX(0,INT((EOMONTH(DATE(crono_ano_ref,8,1),0)-IF(Planos!$G146&gt;=DATE(crono_ano_ref,8,1),Planos!$G146,Planos!$G146+CEILING((DATE(crono_ano_ref,8,1)-Planos!$G146)/Planos!$E146,1)*Planos!$E146))/Planos!$E146)+1)))</f>
      </c>
      <c r="N148" s="44">
        <f>IF(OR(Planos!$A146="",NOT(ISNUMBER(Planos!$G146)),N(Planos!$E146)&lt;=0),0,IF(Planos!$G146&gt;EOMONTH(DATE(crono_ano_ref,9,1),0),0,MAX(0,INT((EOMONTH(DATE(crono_ano_ref,9,1),0)-IF(Planos!$G146&gt;=DATE(crono_ano_ref,9,1),Planos!$G146,Planos!$G146+CEILING((DATE(crono_ano_ref,9,1)-Planos!$G146)/Planos!$E146,1)*Planos!$E146))/Planos!$E146)+1)))</f>
      </c>
      <c r="O148" s="44">
        <f>IF(OR(Planos!$A146="",NOT(ISNUMBER(Planos!$G146)),N(Planos!$E146)&lt;=0),0,IF(Planos!$G146&gt;EOMONTH(DATE(crono_ano_ref,10,1),0),0,MAX(0,INT((EOMONTH(DATE(crono_ano_ref,10,1),0)-IF(Planos!$G146&gt;=DATE(crono_ano_ref,10,1),Planos!$G146,Planos!$G146+CEILING((DATE(crono_ano_ref,10,1)-Planos!$G146)/Planos!$E146,1)*Planos!$E146))/Planos!$E146)+1)))</f>
      </c>
      <c r="P148" s="44">
        <f>IF(OR(Planos!$A146="",NOT(ISNUMBER(Planos!$G146)),N(Planos!$E146)&lt;=0),0,IF(Planos!$G146&gt;EOMONTH(DATE(crono_ano_ref,11,1),0),0,MAX(0,INT((EOMONTH(DATE(crono_ano_ref,11,1),0)-IF(Planos!$G146&gt;=DATE(crono_ano_ref,11,1),Planos!$G146,Planos!$G146+CEILING((DATE(crono_ano_ref,11,1)-Planos!$G146)/Planos!$E146,1)*Planos!$E146))/Planos!$E146)+1)))</f>
      </c>
      <c r="Q148" s="44">
        <f>IF(OR(Planos!$A146="",NOT(ISNUMBER(Planos!$G146)),N(Planos!$E146)&lt;=0),0,IF(Planos!$G146&gt;EOMONTH(DATE(crono_ano_ref,12,1),0),0,MAX(0,INT((EOMONTH(DATE(crono_ano_ref,12,1),0)-IF(Planos!$G146&gt;=DATE(crono_ano_ref,12,1),Planos!$G146,Planos!$G146+CEILING((DATE(crono_ano_ref,12,1)-Planos!$G146)/Planos!$E146,1)*Planos!$E146))/Planos!$E146)+1)))</f>
      </c>
      <c r="R148" s="44">
        <f>SUM(F148:Q148)</f>
      </c>
    </row>
    <row r="149" spans="1:18" x14ac:dyDescent="0.25">
      <c r="A149" s="24">
        <f>IF(Planos!$A147="","",Planos!A147&amp;"")</f>
      </c>
      <c r="B149" s="41">
        <f>IF(Planos!$A147="","",Planos!B147&amp;"")</f>
      </c>
      <c r="C149" s="24">
        <f>IF(Planos!$A147="","",Planos!C147&amp;"")</f>
      </c>
      <c r="D149" s="42">
        <f>IF(Planos!$A147="","",N(Planos!E147))</f>
      </c>
      <c r="E149" s="43">
        <f>IF(Planos!$A147="","",N(Planos!K147))</f>
      </c>
      <c r="F149" s="44">
        <f>IF(OR(Planos!$A147="",NOT(ISNUMBER(Planos!$G147)),N(Planos!$E147)&lt;=0),0,IF(Planos!$G147&gt;EOMONTH(DATE(crono_ano_ref,1,1),0),0,MAX(0,INT((EOMONTH(DATE(crono_ano_ref,1,1),0)-IF(Planos!$G147&gt;=DATE(crono_ano_ref,1,1),Planos!$G147,Planos!$G147+CEILING((DATE(crono_ano_ref,1,1)-Planos!$G147)/Planos!$E147,1)*Planos!$E147))/Planos!$E147)+1)))</f>
      </c>
      <c r="G149" s="44">
        <f>IF(OR(Planos!$A147="",NOT(ISNUMBER(Planos!$G147)),N(Planos!$E147)&lt;=0),0,IF(Planos!$G147&gt;EOMONTH(DATE(crono_ano_ref,2,1),0),0,MAX(0,INT((EOMONTH(DATE(crono_ano_ref,2,1),0)-IF(Planos!$G147&gt;=DATE(crono_ano_ref,2,1),Planos!$G147,Planos!$G147+CEILING((DATE(crono_ano_ref,2,1)-Planos!$G147)/Planos!$E147,1)*Planos!$E147))/Planos!$E147)+1)))</f>
      </c>
      <c r="H149" s="44">
        <f>IF(OR(Planos!$A147="",NOT(ISNUMBER(Planos!$G147)),N(Planos!$E147)&lt;=0),0,IF(Planos!$G147&gt;EOMONTH(DATE(crono_ano_ref,3,1),0),0,MAX(0,INT((EOMONTH(DATE(crono_ano_ref,3,1),0)-IF(Planos!$G147&gt;=DATE(crono_ano_ref,3,1),Planos!$G147,Planos!$G147+CEILING((DATE(crono_ano_ref,3,1)-Planos!$G147)/Planos!$E147,1)*Planos!$E147))/Planos!$E147)+1)))</f>
      </c>
      <c r="I149" s="44">
        <f>IF(OR(Planos!$A147="",NOT(ISNUMBER(Planos!$G147)),N(Planos!$E147)&lt;=0),0,IF(Planos!$G147&gt;EOMONTH(DATE(crono_ano_ref,4,1),0),0,MAX(0,INT((EOMONTH(DATE(crono_ano_ref,4,1),0)-IF(Planos!$G147&gt;=DATE(crono_ano_ref,4,1),Planos!$G147,Planos!$G147+CEILING((DATE(crono_ano_ref,4,1)-Planos!$G147)/Planos!$E147,1)*Planos!$E147))/Planos!$E147)+1)))</f>
      </c>
      <c r="J149" s="44">
        <f>IF(OR(Planos!$A147="",NOT(ISNUMBER(Planos!$G147)),N(Planos!$E147)&lt;=0),0,IF(Planos!$G147&gt;EOMONTH(DATE(crono_ano_ref,5,1),0),0,MAX(0,INT((EOMONTH(DATE(crono_ano_ref,5,1),0)-IF(Planos!$G147&gt;=DATE(crono_ano_ref,5,1),Planos!$G147,Planos!$G147+CEILING((DATE(crono_ano_ref,5,1)-Planos!$G147)/Planos!$E147,1)*Planos!$E147))/Planos!$E147)+1)))</f>
      </c>
      <c r="K149" s="44">
        <f>IF(OR(Planos!$A147="",NOT(ISNUMBER(Planos!$G147)),N(Planos!$E147)&lt;=0),0,IF(Planos!$G147&gt;EOMONTH(DATE(crono_ano_ref,6,1),0),0,MAX(0,INT((EOMONTH(DATE(crono_ano_ref,6,1),0)-IF(Planos!$G147&gt;=DATE(crono_ano_ref,6,1),Planos!$G147,Planos!$G147+CEILING((DATE(crono_ano_ref,6,1)-Planos!$G147)/Planos!$E147,1)*Planos!$E147))/Planos!$E147)+1)))</f>
      </c>
      <c r="L149" s="44">
        <f>IF(OR(Planos!$A147="",NOT(ISNUMBER(Planos!$G147)),N(Planos!$E147)&lt;=0),0,IF(Planos!$G147&gt;EOMONTH(DATE(crono_ano_ref,7,1),0),0,MAX(0,INT((EOMONTH(DATE(crono_ano_ref,7,1),0)-IF(Planos!$G147&gt;=DATE(crono_ano_ref,7,1),Planos!$G147,Planos!$G147+CEILING((DATE(crono_ano_ref,7,1)-Planos!$G147)/Planos!$E147,1)*Planos!$E147))/Planos!$E147)+1)))</f>
      </c>
      <c r="M149" s="44">
        <f>IF(OR(Planos!$A147="",NOT(ISNUMBER(Planos!$G147)),N(Planos!$E147)&lt;=0),0,IF(Planos!$G147&gt;EOMONTH(DATE(crono_ano_ref,8,1),0),0,MAX(0,INT((EOMONTH(DATE(crono_ano_ref,8,1),0)-IF(Planos!$G147&gt;=DATE(crono_ano_ref,8,1),Planos!$G147,Planos!$G147+CEILING((DATE(crono_ano_ref,8,1)-Planos!$G147)/Planos!$E147,1)*Planos!$E147))/Planos!$E147)+1)))</f>
      </c>
      <c r="N149" s="44">
        <f>IF(OR(Planos!$A147="",NOT(ISNUMBER(Planos!$G147)),N(Planos!$E147)&lt;=0),0,IF(Planos!$G147&gt;EOMONTH(DATE(crono_ano_ref,9,1),0),0,MAX(0,INT((EOMONTH(DATE(crono_ano_ref,9,1),0)-IF(Planos!$G147&gt;=DATE(crono_ano_ref,9,1),Planos!$G147,Planos!$G147+CEILING((DATE(crono_ano_ref,9,1)-Planos!$G147)/Planos!$E147,1)*Planos!$E147))/Planos!$E147)+1)))</f>
      </c>
      <c r="O149" s="44">
        <f>IF(OR(Planos!$A147="",NOT(ISNUMBER(Planos!$G147)),N(Planos!$E147)&lt;=0),0,IF(Planos!$G147&gt;EOMONTH(DATE(crono_ano_ref,10,1),0),0,MAX(0,INT((EOMONTH(DATE(crono_ano_ref,10,1),0)-IF(Planos!$G147&gt;=DATE(crono_ano_ref,10,1),Planos!$G147,Planos!$G147+CEILING((DATE(crono_ano_ref,10,1)-Planos!$G147)/Planos!$E147,1)*Planos!$E147))/Planos!$E147)+1)))</f>
      </c>
      <c r="P149" s="44">
        <f>IF(OR(Planos!$A147="",NOT(ISNUMBER(Planos!$G147)),N(Planos!$E147)&lt;=0),0,IF(Planos!$G147&gt;EOMONTH(DATE(crono_ano_ref,11,1),0),0,MAX(0,INT((EOMONTH(DATE(crono_ano_ref,11,1),0)-IF(Planos!$G147&gt;=DATE(crono_ano_ref,11,1),Planos!$G147,Planos!$G147+CEILING((DATE(crono_ano_ref,11,1)-Planos!$G147)/Planos!$E147,1)*Planos!$E147))/Planos!$E147)+1)))</f>
      </c>
      <c r="Q149" s="44">
        <f>IF(OR(Planos!$A147="",NOT(ISNUMBER(Planos!$G147)),N(Planos!$E147)&lt;=0),0,IF(Planos!$G147&gt;EOMONTH(DATE(crono_ano_ref,12,1),0),0,MAX(0,INT((EOMONTH(DATE(crono_ano_ref,12,1),0)-IF(Planos!$G147&gt;=DATE(crono_ano_ref,12,1),Planos!$G147,Planos!$G147+CEILING((DATE(crono_ano_ref,12,1)-Planos!$G147)/Planos!$E147,1)*Planos!$E147))/Planos!$E147)+1)))</f>
      </c>
      <c r="R149" s="44">
        <f>SUM(F149:Q149)</f>
      </c>
    </row>
    <row r="150" spans="1:18" x14ac:dyDescent="0.25">
      <c r="A150" s="24">
        <f>IF(Planos!$A148="","",Planos!A148&amp;"")</f>
      </c>
      <c r="B150" s="41">
        <f>IF(Planos!$A148="","",Planos!B148&amp;"")</f>
      </c>
      <c r="C150" s="24">
        <f>IF(Planos!$A148="","",Planos!C148&amp;"")</f>
      </c>
      <c r="D150" s="42">
        <f>IF(Planos!$A148="","",N(Planos!E148))</f>
      </c>
      <c r="E150" s="43">
        <f>IF(Planos!$A148="","",N(Planos!K148))</f>
      </c>
      <c r="F150" s="44">
        <f>IF(OR(Planos!$A148="",NOT(ISNUMBER(Planos!$G148)),N(Planos!$E148)&lt;=0),0,IF(Planos!$G148&gt;EOMONTH(DATE(crono_ano_ref,1,1),0),0,MAX(0,INT((EOMONTH(DATE(crono_ano_ref,1,1),0)-IF(Planos!$G148&gt;=DATE(crono_ano_ref,1,1),Planos!$G148,Planos!$G148+CEILING((DATE(crono_ano_ref,1,1)-Planos!$G148)/Planos!$E148,1)*Planos!$E148))/Planos!$E148)+1)))</f>
      </c>
      <c r="G150" s="44">
        <f>IF(OR(Planos!$A148="",NOT(ISNUMBER(Planos!$G148)),N(Planos!$E148)&lt;=0),0,IF(Planos!$G148&gt;EOMONTH(DATE(crono_ano_ref,2,1),0),0,MAX(0,INT((EOMONTH(DATE(crono_ano_ref,2,1),0)-IF(Planos!$G148&gt;=DATE(crono_ano_ref,2,1),Planos!$G148,Planos!$G148+CEILING((DATE(crono_ano_ref,2,1)-Planos!$G148)/Planos!$E148,1)*Planos!$E148))/Planos!$E148)+1)))</f>
      </c>
      <c r="H150" s="44">
        <f>IF(OR(Planos!$A148="",NOT(ISNUMBER(Planos!$G148)),N(Planos!$E148)&lt;=0),0,IF(Planos!$G148&gt;EOMONTH(DATE(crono_ano_ref,3,1),0),0,MAX(0,INT((EOMONTH(DATE(crono_ano_ref,3,1),0)-IF(Planos!$G148&gt;=DATE(crono_ano_ref,3,1),Planos!$G148,Planos!$G148+CEILING((DATE(crono_ano_ref,3,1)-Planos!$G148)/Planos!$E148,1)*Planos!$E148))/Planos!$E148)+1)))</f>
      </c>
      <c r="I150" s="44">
        <f>IF(OR(Planos!$A148="",NOT(ISNUMBER(Planos!$G148)),N(Planos!$E148)&lt;=0),0,IF(Planos!$G148&gt;EOMONTH(DATE(crono_ano_ref,4,1),0),0,MAX(0,INT((EOMONTH(DATE(crono_ano_ref,4,1),0)-IF(Planos!$G148&gt;=DATE(crono_ano_ref,4,1),Planos!$G148,Planos!$G148+CEILING((DATE(crono_ano_ref,4,1)-Planos!$G148)/Planos!$E148,1)*Planos!$E148))/Planos!$E148)+1)))</f>
      </c>
      <c r="J150" s="44">
        <f>IF(OR(Planos!$A148="",NOT(ISNUMBER(Planos!$G148)),N(Planos!$E148)&lt;=0),0,IF(Planos!$G148&gt;EOMONTH(DATE(crono_ano_ref,5,1),0),0,MAX(0,INT((EOMONTH(DATE(crono_ano_ref,5,1),0)-IF(Planos!$G148&gt;=DATE(crono_ano_ref,5,1),Planos!$G148,Planos!$G148+CEILING((DATE(crono_ano_ref,5,1)-Planos!$G148)/Planos!$E148,1)*Planos!$E148))/Planos!$E148)+1)))</f>
      </c>
      <c r="K150" s="44">
        <f>IF(OR(Planos!$A148="",NOT(ISNUMBER(Planos!$G148)),N(Planos!$E148)&lt;=0),0,IF(Planos!$G148&gt;EOMONTH(DATE(crono_ano_ref,6,1),0),0,MAX(0,INT((EOMONTH(DATE(crono_ano_ref,6,1),0)-IF(Planos!$G148&gt;=DATE(crono_ano_ref,6,1),Planos!$G148,Planos!$G148+CEILING((DATE(crono_ano_ref,6,1)-Planos!$G148)/Planos!$E148,1)*Planos!$E148))/Planos!$E148)+1)))</f>
      </c>
      <c r="L150" s="44">
        <f>IF(OR(Planos!$A148="",NOT(ISNUMBER(Planos!$G148)),N(Planos!$E148)&lt;=0),0,IF(Planos!$G148&gt;EOMONTH(DATE(crono_ano_ref,7,1),0),0,MAX(0,INT((EOMONTH(DATE(crono_ano_ref,7,1),0)-IF(Planos!$G148&gt;=DATE(crono_ano_ref,7,1),Planos!$G148,Planos!$G148+CEILING((DATE(crono_ano_ref,7,1)-Planos!$G148)/Planos!$E148,1)*Planos!$E148))/Planos!$E148)+1)))</f>
      </c>
      <c r="M150" s="44">
        <f>IF(OR(Planos!$A148="",NOT(ISNUMBER(Planos!$G148)),N(Planos!$E148)&lt;=0),0,IF(Planos!$G148&gt;EOMONTH(DATE(crono_ano_ref,8,1),0),0,MAX(0,INT((EOMONTH(DATE(crono_ano_ref,8,1),0)-IF(Planos!$G148&gt;=DATE(crono_ano_ref,8,1),Planos!$G148,Planos!$G148+CEILING((DATE(crono_ano_ref,8,1)-Planos!$G148)/Planos!$E148,1)*Planos!$E148))/Planos!$E148)+1)))</f>
      </c>
      <c r="N150" s="44">
        <f>IF(OR(Planos!$A148="",NOT(ISNUMBER(Planos!$G148)),N(Planos!$E148)&lt;=0),0,IF(Planos!$G148&gt;EOMONTH(DATE(crono_ano_ref,9,1),0),0,MAX(0,INT((EOMONTH(DATE(crono_ano_ref,9,1),0)-IF(Planos!$G148&gt;=DATE(crono_ano_ref,9,1),Planos!$G148,Planos!$G148+CEILING((DATE(crono_ano_ref,9,1)-Planos!$G148)/Planos!$E148,1)*Planos!$E148))/Planos!$E148)+1)))</f>
      </c>
      <c r="O150" s="44">
        <f>IF(OR(Planos!$A148="",NOT(ISNUMBER(Planos!$G148)),N(Planos!$E148)&lt;=0),0,IF(Planos!$G148&gt;EOMONTH(DATE(crono_ano_ref,10,1),0),0,MAX(0,INT((EOMONTH(DATE(crono_ano_ref,10,1),0)-IF(Planos!$G148&gt;=DATE(crono_ano_ref,10,1),Planos!$G148,Planos!$G148+CEILING((DATE(crono_ano_ref,10,1)-Planos!$G148)/Planos!$E148,1)*Planos!$E148))/Planos!$E148)+1)))</f>
      </c>
      <c r="P150" s="44">
        <f>IF(OR(Planos!$A148="",NOT(ISNUMBER(Planos!$G148)),N(Planos!$E148)&lt;=0),0,IF(Planos!$G148&gt;EOMONTH(DATE(crono_ano_ref,11,1),0),0,MAX(0,INT((EOMONTH(DATE(crono_ano_ref,11,1),0)-IF(Planos!$G148&gt;=DATE(crono_ano_ref,11,1),Planos!$G148,Planos!$G148+CEILING((DATE(crono_ano_ref,11,1)-Planos!$G148)/Planos!$E148,1)*Planos!$E148))/Planos!$E148)+1)))</f>
      </c>
      <c r="Q150" s="44">
        <f>IF(OR(Planos!$A148="",NOT(ISNUMBER(Planos!$G148)),N(Planos!$E148)&lt;=0),0,IF(Planos!$G148&gt;EOMONTH(DATE(crono_ano_ref,12,1),0),0,MAX(0,INT((EOMONTH(DATE(crono_ano_ref,12,1),0)-IF(Planos!$G148&gt;=DATE(crono_ano_ref,12,1),Planos!$G148,Planos!$G148+CEILING((DATE(crono_ano_ref,12,1)-Planos!$G148)/Planos!$E148,1)*Planos!$E148))/Planos!$E148)+1)))</f>
      </c>
      <c r="R150" s="44">
        <f>SUM(F150:Q150)</f>
      </c>
    </row>
    <row r="151" spans="1:18" x14ac:dyDescent="0.25">
      <c r="A151" s="24">
        <f>IF(Planos!$A149="","",Planos!A149&amp;"")</f>
      </c>
      <c r="B151" s="41">
        <f>IF(Planos!$A149="","",Planos!B149&amp;"")</f>
      </c>
      <c r="C151" s="24">
        <f>IF(Planos!$A149="","",Planos!C149&amp;"")</f>
      </c>
      <c r="D151" s="42">
        <f>IF(Planos!$A149="","",N(Planos!E149))</f>
      </c>
      <c r="E151" s="43">
        <f>IF(Planos!$A149="","",N(Planos!K149))</f>
      </c>
      <c r="F151" s="44">
        <f>IF(OR(Planos!$A149="",NOT(ISNUMBER(Planos!$G149)),N(Planos!$E149)&lt;=0),0,IF(Planos!$G149&gt;EOMONTH(DATE(crono_ano_ref,1,1),0),0,MAX(0,INT((EOMONTH(DATE(crono_ano_ref,1,1),0)-IF(Planos!$G149&gt;=DATE(crono_ano_ref,1,1),Planos!$G149,Planos!$G149+CEILING((DATE(crono_ano_ref,1,1)-Planos!$G149)/Planos!$E149,1)*Planos!$E149))/Planos!$E149)+1)))</f>
      </c>
      <c r="G151" s="44">
        <f>IF(OR(Planos!$A149="",NOT(ISNUMBER(Planos!$G149)),N(Planos!$E149)&lt;=0),0,IF(Planos!$G149&gt;EOMONTH(DATE(crono_ano_ref,2,1),0),0,MAX(0,INT((EOMONTH(DATE(crono_ano_ref,2,1),0)-IF(Planos!$G149&gt;=DATE(crono_ano_ref,2,1),Planos!$G149,Planos!$G149+CEILING((DATE(crono_ano_ref,2,1)-Planos!$G149)/Planos!$E149,1)*Planos!$E149))/Planos!$E149)+1)))</f>
      </c>
      <c r="H151" s="44">
        <f>IF(OR(Planos!$A149="",NOT(ISNUMBER(Planos!$G149)),N(Planos!$E149)&lt;=0),0,IF(Planos!$G149&gt;EOMONTH(DATE(crono_ano_ref,3,1),0),0,MAX(0,INT((EOMONTH(DATE(crono_ano_ref,3,1),0)-IF(Planos!$G149&gt;=DATE(crono_ano_ref,3,1),Planos!$G149,Planos!$G149+CEILING((DATE(crono_ano_ref,3,1)-Planos!$G149)/Planos!$E149,1)*Planos!$E149))/Planos!$E149)+1)))</f>
      </c>
      <c r="I151" s="44">
        <f>IF(OR(Planos!$A149="",NOT(ISNUMBER(Planos!$G149)),N(Planos!$E149)&lt;=0),0,IF(Planos!$G149&gt;EOMONTH(DATE(crono_ano_ref,4,1),0),0,MAX(0,INT((EOMONTH(DATE(crono_ano_ref,4,1),0)-IF(Planos!$G149&gt;=DATE(crono_ano_ref,4,1),Planos!$G149,Planos!$G149+CEILING((DATE(crono_ano_ref,4,1)-Planos!$G149)/Planos!$E149,1)*Planos!$E149))/Planos!$E149)+1)))</f>
      </c>
      <c r="J151" s="44">
        <f>IF(OR(Planos!$A149="",NOT(ISNUMBER(Planos!$G149)),N(Planos!$E149)&lt;=0),0,IF(Planos!$G149&gt;EOMONTH(DATE(crono_ano_ref,5,1),0),0,MAX(0,INT((EOMONTH(DATE(crono_ano_ref,5,1),0)-IF(Planos!$G149&gt;=DATE(crono_ano_ref,5,1),Planos!$G149,Planos!$G149+CEILING((DATE(crono_ano_ref,5,1)-Planos!$G149)/Planos!$E149,1)*Planos!$E149))/Planos!$E149)+1)))</f>
      </c>
      <c r="K151" s="44">
        <f>IF(OR(Planos!$A149="",NOT(ISNUMBER(Planos!$G149)),N(Planos!$E149)&lt;=0),0,IF(Planos!$G149&gt;EOMONTH(DATE(crono_ano_ref,6,1),0),0,MAX(0,INT((EOMONTH(DATE(crono_ano_ref,6,1),0)-IF(Planos!$G149&gt;=DATE(crono_ano_ref,6,1),Planos!$G149,Planos!$G149+CEILING((DATE(crono_ano_ref,6,1)-Planos!$G149)/Planos!$E149,1)*Planos!$E149))/Planos!$E149)+1)))</f>
      </c>
      <c r="L151" s="44">
        <f>IF(OR(Planos!$A149="",NOT(ISNUMBER(Planos!$G149)),N(Planos!$E149)&lt;=0),0,IF(Planos!$G149&gt;EOMONTH(DATE(crono_ano_ref,7,1),0),0,MAX(0,INT((EOMONTH(DATE(crono_ano_ref,7,1),0)-IF(Planos!$G149&gt;=DATE(crono_ano_ref,7,1),Planos!$G149,Planos!$G149+CEILING((DATE(crono_ano_ref,7,1)-Planos!$G149)/Planos!$E149,1)*Planos!$E149))/Planos!$E149)+1)))</f>
      </c>
      <c r="M151" s="44">
        <f>IF(OR(Planos!$A149="",NOT(ISNUMBER(Planos!$G149)),N(Planos!$E149)&lt;=0),0,IF(Planos!$G149&gt;EOMONTH(DATE(crono_ano_ref,8,1),0),0,MAX(0,INT((EOMONTH(DATE(crono_ano_ref,8,1),0)-IF(Planos!$G149&gt;=DATE(crono_ano_ref,8,1),Planos!$G149,Planos!$G149+CEILING((DATE(crono_ano_ref,8,1)-Planos!$G149)/Planos!$E149,1)*Planos!$E149))/Planos!$E149)+1)))</f>
      </c>
      <c r="N151" s="44">
        <f>IF(OR(Planos!$A149="",NOT(ISNUMBER(Planos!$G149)),N(Planos!$E149)&lt;=0),0,IF(Planos!$G149&gt;EOMONTH(DATE(crono_ano_ref,9,1),0),0,MAX(0,INT((EOMONTH(DATE(crono_ano_ref,9,1),0)-IF(Planos!$G149&gt;=DATE(crono_ano_ref,9,1),Planos!$G149,Planos!$G149+CEILING((DATE(crono_ano_ref,9,1)-Planos!$G149)/Planos!$E149,1)*Planos!$E149))/Planos!$E149)+1)))</f>
      </c>
      <c r="O151" s="44">
        <f>IF(OR(Planos!$A149="",NOT(ISNUMBER(Planos!$G149)),N(Planos!$E149)&lt;=0),0,IF(Planos!$G149&gt;EOMONTH(DATE(crono_ano_ref,10,1),0),0,MAX(0,INT((EOMONTH(DATE(crono_ano_ref,10,1),0)-IF(Planos!$G149&gt;=DATE(crono_ano_ref,10,1),Planos!$G149,Planos!$G149+CEILING((DATE(crono_ano_ref,10,1)-Planos!$G149)/Planos!$E149,1)*Planos!$E149))/Planos!$E149)+1)))</f>
      </c>
      <c r="P151" s="44">
        <f>IF(OR(Planos!$A149="",NOT(ISNUMBER(Planos!$G149)),N(Planos!$E149)&lt;=0),0,IF(Planos!$G149&gt;EOMONTH(DATE(crono_ano_ref,11,1),0),0,MAX(0,INT((EOMONTH(DATE(crono_ano_ref,11,1),0)-IF(Planos!$G149&gt;=DATE(crono_ano_ref,11,1),Planos!$G149,Planos!$G149+CEILING((DATE(crono_ano_ref,11,1)-Planos!$G149)/Planos!$E149,1)*Planos!$E149))/Planos!$E149)+1)))</f>
      </c>
      <c r="Q151" s="44">
        <f>IF(OR(Planos!$A149="",NOT(ISNUMBER(Planos!$G149)),N(Planos!$E149)&lt;=0),0,IF(Planos!$G149&gt;EOMONTH(DATE(crono_ano_ref,12,1),0),0,MAX(0,INT((EOMONTH(DATE(crono_ano_ref,12,1),0)-IF(Planos!$G149&gt;=DATE(crono_ano_ref,12,1),Planos!$G149,Planos!$G149+CEILING((DATE(crono_ano_ref,12,1)-Planos!$G149)/Planos!$E149,1)*Planos!$E149))/Planos!$E149)+1)))</f>
      </c>
      <c r="R151" s="44">
        <f>SUM(F151:Q151)</f>
      </c>
    </row>
    <row r="152" spans="1:18" x14ac:dyDescent="0.25">
      <c r="A152" s="24">
        <f>IF(Planos!$A150="","",Planos!A150&amp;"")</f>
      </c>
      <c r="B152" s="41">
        <f>IF(Planos!$A150="","",Planos!B150&amp;"")</f>
      </c>
      <c r="C152" s="24">
        <f>IF(Planos!$A150="","",Planos!C150&amp;"")</f>
      </c>
      <c r="D152" s="42">
        <f>IF(Planos!$A150="","",N(Planos!E150))</f>
      </c>
      <c r="E152" s="43">
        <f>IF(Planos!$A150="","",N(Planos!K150))</f>
      </c>
      <c r="F152" s="44">
        <f>IF(OR(Planos!$A150="",NOT(ISNUMBER(Planos!$G150)),N(Planos!$E150)&lt;=0),0,IF(Planos!$G150&gt;EOMONTH(DATE(crono_ano_ref,1,1),0),0,MAX(0,INT((EOMONTH(DATE(crono_ano_ref,1,1),0)-IF(Planos!$G150&gt;=DATE(crono_ano_ref,1,1),Planos!$G150,Planos!$G150+CEILING((DATE(crono_ano_ref,1,1)-Planos!$G150)/Planos!$E150,1)*Planos!$E150))/Planos!$E150)+1)))</f>
      </c>
      <c r="G152" s="44">
        <f>IF(OR(Planos!$A150="",NOT(ISNUMBER(Planos!$G150)),N(Planos!$E150)&lt;=0),0,IF(Planos!$G150&gt;EOMONTH(DATE(crono_ano_ref,2,1),0),0,MAX(0,INT((EOMONTH(DATE(crono_ano_ref,2,1),0)-IF(Planos!$G150&gt;=DATE(crono_ano_ref,2,1),Planos!$G150,Planos!$G150+CEILING((DATE(crono_ano_ref,2,1)-Planos!$G150)/Planos!$E150,1)*Planos!$E150))/Planos!$E150)+1)))</f>
      </c>
      <c r="H152" s="44">
        <f>IF(OR(Planos!$A150="",NOT(ISNUMBER(Planos!$G150)),N(Planos!$E150)&lt;=0),0,IF(Planos!$G150&gt;EOMONTH(DATE(crono_ano_ref,3,1),0),0,MAX(0,INT((EOMONTH(DATE(crono_ano_ref,3,1),0)-IF(Planos!$G150&gt;=DATE(crono_ano_ref,3,1),Planos!$G150,Planos!$G150+CEILING((DATE(crono_ano_ref,3,1)-Planos!$G150)/Planos!$E150,1)*Planos!$E150))/Planos!$E150)+1)))</f>
      </c>
      <c r="I152" s="44">
        <f>IF(OR(Planos!$A150="",NOT(ISNUMBER(Planos!$G150)),N(Planos!$E150)&lt;=0),0,IF(Planos!$G150&gt;EOMONTH(DATE(crono_ano_ref,4,1),0),0,MAX(0,INT((EOMONTH(DATE(crono_ano_ref,4,1),0)-IF(Planos!$G150&gt;=DATE(crono_ano_ref,4,1),Planos!$G150,Planos!$G150+CEILING((DATE(crono_ano_ref,4,1)-Planos!$G150)/Planos!$E150,1)*Planos!$E150))/Planos!$E150)+1)))</f>
      </c>
      <c r="J152" s="44">
        <f>IF(OR(Planos!$A150="",NOT(ISNUMBER(Planos!$G150)),N(Planos!$E150)&lt;=0),0,IF(Planos!$G150&gt;EOMONTH(DATE(crono_ano_ref,5,1),0),0,MAX(0,INT((EOMONTH(DATE(crono_ano_ref,5,1),0)-IF(Planos!$G150&gt;=DATE(crono_ano_ref,5,1),Planos!$G150,Planos!$G150+CEILING((DATE(crono_ano_ref,5,1)-Planos!$G150)/Planos!$E150,1)*Planos!$E150))/Planos!$E150)+1)))</f>
      </c>
      <c r="K152" s="44">
        <f>IF(OR(Planos!$A150="",NOT(ISNUMBER(Planos!$G150)),N(Planos!$E150)&lt;=0),0,IF(Planos!$G150&gt;EOMONTH(DATE(crono_ano_ref,6,1),0),0,MAX(0,INT((EOMONTH(DATE(crono_ano_ref,6,1),0)-IF(Planos!$G150&gt;=DATE(crono_ano_ref,6,1),Planos!$G150,Planos!$G150+CEILING((DATE(crono_ano_ref,6,1)-Planos!$G150)/Planos!$E150,1)*Planos!$E150))/Planos!$E150)+1)))</f>
      </c>
      <c r="L152" s="44">
        <f>IF(OR(Planos!$A150="",NOT(ISNUMBER(Planos!$G150)),N(Planos!$E150)&lt;=0),0,IF(Planos!$G150&gt;EOMONTH(DATE(crono_ano_ref,7,1),0),0,MAX(0,INT((EOMONTH(DATE(crono_ano_ref,7,1),0)-IF(Planos!$G150&gt;=DATE(crono_ano_ref,7,1),Planos!$G150,Planos!$G150+CEILING((DATE(crono_ano_ref,7,1)-Planos!$G150)/Planos!$E150,1)*Planos!$E150))/Planos!$E150)+1)))</f>
      </c>
      <c r="M152" s="44">
        <f>IF(OR(Planos!$A150="",NOT(ISNUMBER(Planos!$G150)),N(Planos!$E150)&lt;=0),0,IF(Planos!$G150&gt;EOMONTH(DATE(crono_ano_ref,8,1),0),0,MAX(0,INT((EOMONTH(DATE(crono_ano_ref,8,1),0)-IF(Planos!$G150&gt;=DATE(crono_ano_ref,8,1),Planos!$G150,Planos!$G150+CEILING((DATE(crono_ano_ref,8,1)-Planos!$G150)/Planos!$E150,1)*Planos!$E150))/Planos!$E150)+1)))</f>
      </c>
      <c r="N152" s="44">
        <f>IF(OR(Planos!$A150="",NOT(ISNUMBER(Planos!$G150)),N(Planos!$E150)&lt;=0),0,IF(Planos!$G150&gt;EOMONTH(DATE(crono_ano_ref,9,1),0),0,MAX(0,INT((EOMONTH(DATE(crono_ano_ref,9,1),0)-IF(Planos!$G150&gt;=DATE(crono_ano_ref,9,1),Planos!$G150,Planos!$G150+CEILING((DATE(crono_ano_ref,9,1)-Planos!$G150)/Planos!$E150,1)*Planos!$E150))/Planos!$E150)+1)))</f>
      </c>
      <c r="O152" s="44">
        <f>IF(OR(Planos!$A150="",NOT(ISNUMBER(Planos!$G150)),N(Planos!$E150)&lt;=0),0,IF(Planos!$G150&gt;EOMONTH(DATE(crono_ano_ref,10,1),0),0,MAX(0,INT((EOMONTH(DATE(crono_ano_ref,10,1),0)-IF(Planos!$G150&gt;=DATE(crono_ano_ref,10,1),Planos!$G150,Planos!$G150+CEILING((DATE(crono_ano_ref,10,1)-Planos!$G150)/Planos!$E150,1)*Planos!$E150))/Planos!$E150)+1)))</f>
      </c>
      <c r="P152" s="44">
        <f>IF(OR(Planos!$A150="",NOT(ISNUMBER(Planos!$G150)),N(Planos!$E150)&lt;=0),0,IF(Planos!$G150&gt;EOMONTH(DATE(crono_ano_ref,11,1),0),0,MAX(0,INT((EOMONTH(DATE(crono_ano_ref,11,1),0)-IF(Planos!$G150&gt;=DATE(crono_ano_ref,11,1),Planos!$G150,Planos!$G150+CEILING((DATE(crono_ano_ref,11,1)-Planos!$G150)/Planos!$E150,1)*Planos!$E150))/Planos!$E150)+1)))</f>
      </c>
      <c r="Q152" s="44">
        <f>IF(OR(Planos!$A150="",NOT(ISNUMBER(Planos!$G150)),N(Planos!$E150)&lt;=0),0,IF(Planos!$G150&gt;EOMONTH(DATE(crono_ano_ref,12,1),0),0,MAX(0,INT((EOMONTH(DATE(crono_ano_ref,12,1),0)-IF(Planos!$G150&gt;=DATE(crono_ano_ref,12,1),Planos!$G150,Planos!$G150+CEILING((DATE(crono_ano_ref,12,1)-Planos!$G150)/Planos!$E150,1)*Planos!$E150))/Planos!$E150)+1)))</f>
      </c>
      <c r="R152" s="44">
        <f>SUM(F152:Q152)</f>
      </c>
    </row>
    <row r="153" spans="1:18" x14ac:dyDescent="0.25">
      <c r="A153" s="24">
        <f>IF(Planos!$A151="","",Planos!A151&amp;"")</f>
      </c>
      <c r="B153" s="41">
        <f>IF(Planos!$A151="","",Planos!B151&amp;"")</f>
      </c>
      <c r="C153" s="24">
        <f>IF(Planos!$A151="","",Planos!C151&amp;"")</f>
      </c>
      <c r="D153" s="42">
        <f>IF(Planos!$A151="","",N(Planos!E151))</f>
      </c>
      <c r="E153" s="43">
        <f>IF(Planos!$A151="","",N(Planos!K151))</f>
      </c>
      <c r="F153" s="44">
        <f>IF(OR(Planos!$A151="",NOT(ISNUMBER(Planos!$G151)),N(Planos!$E151)&lt;=0),0,IF(Planos!$G151&gt;EOMONTH(DATE(crono_ano_ref,1,1),0),0,MAX(0,INT((EOMONTH(DATE(crono_ano_ref,1,1),0)-IF(Planos!$G151&gt;=DATE(crono_ano_ref,1,1),Planos!$G151,Planos!$G151+CEILING((DATE(crono_ano_ref,1,1)-Planos!$G151)/Planos!$E151,1)*Planos!$E151))/Planos!$E151)+1)))</f>
      </c>
      <c r="G153" s="44">
        <f>IF(OR(Planos!$A151="",NOT(ISNUMBER(Planos!$G151)),N(Planos!$E151)&lt;=0),0,IF(Planos!$G151&gt;EOMONTH(DATE(crono_ano_ref,2,1),0),0,MAX(0,INT((EOMONTH(DATE(crono_ano_ref,2,1),0)-IF(Planos!$G151&gt;=DATE(crono_ano_ref,2,1),Planos!$G151,Planos!$G151+CEILING((DATE(crono_ano_ref,2,1)-Planos!$G151)/Planos!$E151,1)*Planos!$E151))/Planos!$E151)+1)))</f>
      </c>
      <c r="H153" s="44">
        <f>IF(OR(Planos!$A151="",NOT(ISNUMBER(Planos!$G151)),N(Planos!$E151)&lt;=0),0,IF(Planos!$G151&gt;EOMONTH(DATE(crono_ano_ref,3,1),0),0,MAX(0,INT((EOMONTH(DATE(crono_ano_ref,3,1),0)-IF(Planos!$G151&gt;=DATE(crono_ano_ref,3,1),Planos!$G151,Planos!$G151+CEILING((DATE(crono_ano_ref,3,1)-Planos!$G151)/Planos!$E151,1)*Planos!$E151))/Planos!$E151)+1)))</f>
      </c>
      <c r="I153" s="44">
        <f>IF(OR(Planos!$A151="",NOT(ISNUMBER(Planos!$G151)),N(Planos!$E151)&lt;=0),0,IF(Planos!$G151&gt;EOMONTH(DATE(crono_ano_ref,4,1),0),0,MAX(0,INT((EOMONTH(DATE(crono_ano_ref,4,1),0)-IF(Planos!$G151&gt;=DATE(crono_ano_ref,4,1),Planos!$G151,Planos!$G151+CEILING((DATE(crono_ano_ref,4,1)-Planos!$G151)/Planos!$E151,1)*Planos!$E151))/Planos!$E151)+1)))</f>
      </c>
      <c r="J153" s="44">
        <f>IF(OR(Planos!$A151="",NOT(ISNUMBER(Planos!$G151)),N(Planos!$E151)&lt;=0),0,IF(Planos!$G151&gt;EOMONTH(DATE(crono_ano_ref,5,1),0),0,MAX(0,INT((EOMONTH(DATE(crono_ano_ref,5,1),0)-IF(Planos!$G151&gt;=DATE(crono_ano_ref,5,1),Planos!$G151,Planos!$G151+CEILING((DATE(crono_ano_ref,5,1)-Planos!$G151)/Planos!$E151,1)*Planos!$E151))/Planos!$E151)+1)))</f>
      </c>
      <c r="K153" s="44">
        <f>IF(OR(Planos!$A151="",NOT(ISNUMBER(Planos!$G151)),N(Planos!$E151)&lt;=0),0,IF(Planos!$G151&gt;EOMONTH(DATE(crono_ano_ref,6,1),0),0,MAX(0,INT((EOMONTH(DATE(crono_ano_ref,6,1),0)-IF(Planos!$G151&gt;=DATE(crono_ano_ref,6,1),Planos!$G151,Planos!$G151+CEILING((DATE(crono_ano_ref,6,1)-Planos!$G151)/Planos!$E151,1)*Planos!$E151))/Planos!$E151)+1)))</f>
      </c>
      <c r="L153" s="44">
        <f>IF(OR(Planos!$A151="",NOT(ISNUMBER(Planos!$G151)),N(Planos!$E151)&lt;=0),0,IF(Planos!$G151&gt;EOMONTH(DATE(crono_ano_ref,7,1),0),0,MAX(0,INT((EOMONTH(DATE(crono_ano_ref,7,1),0)-IF(Planos!$G151&gt;=DATE(crono_ano_ref,7,1),Planos!$G151,Planos!$G151+CEILING((DATE(crono_ano_ref,7,1)-Planos!$G151)/Planos!$E151,1)*Planos!$E151))/Planos!$E151)+1)))</f>
      </c>
      <c r="M153" s="44">
        <f>IF(OR(Planos!$A151="",NOT(ISNUMBER(Planos!$G151)),N(Planos!$E151)&lt;=0),0,IF(Planos!$G151&gt;EOMONTH(DATE(crono_ano_ref,8,1),0),0,MAX(0,INT((EOMONTH(DATE(crono_ano_ref,8,1),0)-IF(Planos!$G151&gt;=DATE(crono_ano_ref,8,1),Planos!$G151,Planos!$G151+CEILING((DATE(crono_ano_ref,8,1)-Planos!$G151)/Planos!$E151,1)*Planos!$E151))/Planos!$E151)+1)))</f>
      </c>
      <c r="N153" s="44">
        <f>IF(OR(Planos!$A151="",NOT(ISNUMBER(Planos!$G151)),N(Planos!$E151)&lt;=0),0,IF(Planos!$G151&gt;EOMONTH(DATE(crono_ano_ref,9,1),0),0,MAX(0,INT((EOMONTH(DATE(crono_ano_ref,9,1),0)-IF(Planos!$G151&gt;=DATE(crono_ano_ref,9,1),Planos!$G151,Planos!$G151+CEILING((DATE(crono_ano_ref,9,1)-Planos!$G151)/Planos!$E151,1)*Planos!$E151))/Planos!$E151)+1)))</f>
      </c>
      <c r="O153" s="44">
        <f>IF(OR(Planos!$A151="",NOT(ISNUMBER(Planos!$G151)),N(Planos!$E151)&lt;=0),0,IF(Planos!$G151&gt;EOMONTH(DATE(crono_ano_ref,10,1),0),0,MAX(0,INT((EOMONTH(DATE(crono_ano_ref,10,1),0)-IF(Planos!$G151&gt;=DATE(crono_ano_ref,10,1),Planos!$G151,Planos!$G151+CEILING((DATE(crono_ano_ref,10,1)-Planos!$G151)/Planos!$E151,1)*Planos!$E151))/Planos!$E151)+1)))</f>
      </c>
      <c r="P153" s="44">
        <f>IF(OR(Planos!$A151="",NOT(ISNUMBER(Planos!$G151)),N(Planos!$E151)&lt;=0),0,IF(Planos!$G151&gt;EOMONTH(DATE(crono_ano_ref,11,1),0),0,MAX(0,INT((EOMONTH(DATE(crono_ano_ref,11,1),0)-IF(Planos!$G151&gt;=DATE(crono_ano_ref,11,1),Planos!$G151,Planos!$G151+CEILING((DATE(crono_ano_ref,11,1)-Planos!$G151)/Planos!$E151,1)*Planos!$E151))/Planos!$E151)+1)))</f>
      </c>
      <c r="Q153" s="44">
        <f>IF(OR(Planos!$A151="",NOT(ISNUMBER(Planos!$G151)),N(Planos!$E151)&lt;=0),0,IF(Planos!$G151&gt;EOMONTH(DATE(crono_ano_ref,12,1),0),0,MAX(0,INT((EOMONTH(DATE(crono_ano_ref,12,1),0)-IF(Planos!$G151&gt;=DATE(crono_ano_ref,12,1),Planos!$G151,Planos!$G151+CEILING((DATE(crono_ano_ref,12,1)-Planos!$G151)/Planos!$E151,1)*Planos!$E151))/Planos!$E151)+1)))</f>
      </c>
      <c r="R153" s="44">
        <f>SUM(F153:Q153)</f>
      </c>
    </row>
    <row r="154" spans="1:18" x14ac:dyDescent="0.25">
      <c r="A154" s="24">
        <f>IF(Planos!$A152="","",Planos!A152&amp;"")</f>
      </c>
      <c r="B154" s="41">
        <f>IF(Planos!$A152="","",Planos!B152&amp;"")</f>
      </c>
      <c r="C154" s="24">
        <f>IF(Planos!$A152="","",Planos!C152&amp;"")</f>
      </c>
      <c r="D154" s="42">
        <f>IF(Planos!$A152="","",N(Planos!E152))</f>
      </c>
      <c r="E154" s="43">
        <f>IF(Planos!$A152="","",N(Planos!K152))</f>
      </c>
      <c r="F154" s="44">
        <f>IF(OR(Planos!$A152="",NOT(ISNUMBER(Planos!$G152)),N(Planos!$E152)&lt;=0),0,IF(Planos!$G152&gt;EOMONTH(DATE(crono_ano_ref,1,1),0),0,MAX(0,INT((EOMONTH(DATE(crono_ano_ref,1,1),0)-IF(Planos!$G152&gt;=DATE(crono_ano_ref,1,1),Planos!$G152,Planos!$G152+CEILING((DATE(crono_ano_ref,1,1)-Planos!$G152)/Planos!$E152,1)*Planos!$E152))/Planos!$E152)+1)))</f>
      </c>
      <c r="G154" s="44">
        <f>IF(OR(Planos!$A152="",NOT(ISNUMBER(Planos!$G152)),N(Planos!$E152)&lt;=0),0,IF(Planos!$G152&gt;EOMONTH(DATE(crono_ano_ref,2,1),0),0,MAX(0,INT((EOMONTH(DATE(crono_ano_ref,2,1),0)-IF(Planos!$G152&gt;=DATE(crono_ano_ref,2,1),Planos!$G152,Planos!$G152+CEILING((DATE(crono_ano_ref,2,1)-Planos!$G152)/Planos!$E152,1)*Planos!$E152))/Planos!$E152)+1)))</f>
      </c>
      <c r="H154" s="44">
        <f>IF(OR(Planos!$A152="",NOT(ISNUMBER(Planos!$G152)),N(Planos!$E152)&lt;=0),0,IF(Planos!$G152&gt;EOMONTH(DATE(crono_ano_ref,3,1),0),0,MAX(0,INT((EOMONTH(DATE(crono_ano_ref,3,1),0)-IF(Planos!$G152&gt;=DATE(crono_ano_ref,3,1),Planos!$G152,Planos!$G152+CEILING((DATE(crono_ano_ref,3,1)-Planos!$G152)/Planos!$E152,1)*Planos!$E152))/Planos!$E152)+1)))</f>
      </c>
      <c r="I154" s="44">
        <f>IF(OR(Planos!$A152="",NOT(ISNUMBER(Planos!$G152)),N(Planos!$E152)&lt;=0),0,IF(Planos!$G152&gt;EOMONTH(DATE(crono_ano_ref,4,1),0),0,MAX(0,INT((EOMONTH(DATE(crono_ano_ref,4,1),0)-IF(Planos!$G152&gt;=DATE(crono_ano_ref,4,1),Planos!$G152,Planos!$G152+CEILING((DATE(crono_ano_ref,4,1)-Planos!$G152)/Planos!$E152,1)*Planos!$E152))/Planos!$E152)+1)))</f>
      </c>
      <c r="J154" s="44">
        <f>IF(OR(Planos!$A152="",NOT(ISNUMBER(Planos!$G152)),N(Planos!$E152)&lt;=0),0,IF(Planos!$G152&gt;EOMONTH(DATE(crono_ano_ref,5,1),0),0,MAX(0,INT((EOMONTH(DATE(crono_ano_ref,5,1),0)-IF(Planos!$G152&gt;=DATE(crono_ano_ref,5,1),Planos!$G152,Planos!$G152+CEILING((DATE(crono_ano_ref,5,1)-Planos!$G152)/Planos!$E152,1)*Planos!$E152))/Planos!$E152)+1)))</f>
      </c>
      <c r="K154" s="44">
        <f>IF(OR(Planos!$A152="",NOT(ISNUMBER(Planos!$G152)),N(Planos!$E152)&lt;=0),0,IF(Planos!$G152&gt;EOMONTH(DATE(crono_ano_ref,6,1),0),0,MAX(0,INT((EOMONTH(DATE(crono_ano_ref,6,1),0)-IF(Planos!$G152&gt;=DATE(crono_ano_ref,6,1),Planos!$G152,Planos!$G152+CEILING((DATE(crono_ano_ref,6,1)-Planos!$G152)/Planos!$E152,1)*Planos!$E152))/Planos!$E152)+1)))</f>
      </c>
      <c r="L154" s="44">
        <f>IF(OR(Planos!$A152="",NOT(ISNUMBER(Planos!$G152)),N(Planos!$E152)&lt;=0),0,IF(Planos!$G152&gt;EOMONTH(DATE(crono_ano_ref,7,1),0),0,MAX(0,INT((EOMONTH(DATE(crono_ano_ref,7,1),0)-IF(Planos!$G152&gt;=DATE(crono_ano_ref,7,1),Planos!$G152,Planos!$G152+CEILING((DATE(crono_ano_ref,7,1)-Planos!$G152)/Planos!$E152,1)*Planos!$E152))/Planos!$E152)+1)))</f>
      </c>
      <c r="M154" s="44">
        <f>IF(OR(Planos!$A152="",NOT(ISNUMBER(Planos!$G152)),N(Planos!$E152)&lt;=0),0,IF(Planos!$G152&gt;EOMONTH(DATE(crono_ano_ref,8,1),0),0,MAX(0,INT((EOMONTH(DATE(crono_ano_ref,8,1),0)-IF(Planos!$G152&gt;=DATE(crono_ano_ref,8,1),Planos!$G152,Planos!$G152+CEILING((DATE(crono_ano_ref,8,1)-Planos!$G152)/Planos!$E152,1)*Planos!$E152))/Planos!$E152)+1)))</f>
      </c>
      <c r="N154" s="44">
        <f>IF(OR(Planos!$A152="",NOT(ISNUMBER(Planos!$G152)),N(Planos!$E152)&lt;=0),0,IF(Planos!$G152&gt;EOMONTH(DATE(crono_ano_ref,9,1),0),0,MAX(0,INT((EOMONTH(DATE(crono_ano_ref,9,1),0)-IF(Planos!$G152&gt;=DATE(crono_ano_ref,9,1),Planos!$G152,Planos!$G152+CEILING((DATE(crono_ano_ref,9,1)-Planos!$G152)/Planos!$E152,1)*Planos!$E152))/Planos!$E152)+1)))</f>
      </c>
      <c r="O154" s="44">
        <f>IF(OR(Planos!$A152="",NOT(ISNUMBER(Planos!$G152)),N(Planos!$E152)&lt;=0),0,IF(Planos!$G152&gt;EOMONTH(DATE(crono_ano_ref,10,1),0),0,MAX(0,INT((EOMONTH(DATE(crono_ano_ref,10,1),0)-IF(Planos!$G152&gt;=DATE(crono_ano_ref,10,1),Planos!$G152,Planos!$G152+CEILING((DATE(crono_ano_ref,10,1)-Planos!$G152)/Planos!$E152,1)*Planos!$E152))/Planos!$E152)+1)))</f>
      </c>
      <c r="P154" s="44">
        <f>IF(OR(Planos!$A152="",NOT(ISNUMBER(Planos!$G152)),N(Planos!$E152)&lt;=0),0,IF(Planos!$G152&gt;EOMONTH(DATE(crono_ano_ref,11,1),0),0,MAX(0,INT((EOMONTH(DATE(crono_ano_ref,11,1),0)-IF(Planos!$G152&gt;=DATE(crono_ano_ref,11,1),Planos!$G152,Planos!$G152+CEILING((DATE(crono_ano_ref,11,1)-Planos!$G152)/Planos!$E152,1)*Planos!$E152))/Planos!$E152)+1)))</f>
      </c>
      <c r="Q154" s="44">
        <f>IF(OR(Planos!$A152="",NOT(ISNUMBER(Planos!$G152)),N(Planos!$E152)&lt;=0),0,IF(Planos!$G152&gt;EOMONTH(DATE(crono_ano_ref,12,1),0),0,MAX(0,INT((EOMONTH(DATE(crono_ano_ref,12,1),0)-IF(Planos!$G152&gt;=DATE(crono_ano_ref,12,1),Planos!$G152,Planos!$G152+CEILING((DATE(crono_ano_ref,12,1)-Planos!$G152)/Planos!$E152,1)*Planos!$E152))/Planos!$E152)+1)))</f>
      </c>
      <c r="R154" s="44">
        <f>SUM(F154:Q154)</f>
      </c>
    </row>
    <row r="155" spans="1:18" x14ac:dyDescent="0.25">
      <c r="A155" s="24">
        <f>IF(Planos!$A153="","",Planos!A153&amp;"")</f>
      </c>
      <c r="B155" s="41">
        <f>IF(Planos!$A153="","",Planos!B153&amp;"")</f>
      </c>
      <c r="C155" s="24">
        <f>IF(Planos!$A153="","",Planos!C153&amp;"")</f>
      </c>
      <c r="D155" s="42">
        <f>IF(Planos!$A153="","",N(Planos!E153))</f>
      </c>
      <c r="E155" s="43">
        <f>IF(Planos!$A153="","",N(Planos!K153))</f>
      </c>
      <c r="F155" s="44">
        <f>IF(OR(Planos!$A153="",NOT(ISNUMBER(Planos!$G153)),N(Planos!$E153)&lt;=0),0,IF(Planos!$G153&gt;EOMONTH(DATE(crono_ano_ref,1,1),0),0,MAX(0,INT((EOMONTH(DATE(crono_ano_ref,1,1),0)-IF(Planos!$G153&gt;=DATE(crono_ano_ref,1,1),Planos!$G153,Planos!$G153+CEILING((DATE(crono_ano_ref,1,1)-Planos!$G153)/Planos!$E153,1)*Planos!$E153))/Planos!$E153)+1)))</f>
      </c>
      <c r="G155" s="44">
        <f>IF(OR(Planos!$A153="",NOT(ISNUMBER(Planos!$G153)),N(Planos!$E153)&lt;=0),0,IF(Planos!$G153&gt;EOMONTH(DATE(crono_ano_ref,2,1),0),0,MAX(0,INT((EOMONTH(DATE(crono_ano_ref,2,1),0)-IF(Planos!$G153&gt;=DATE(crono_ano_ref,2,1),Planos!$G153,Planos!$G153+CEILING((DATE(crono_ano_ref,2,1)-Planos!$G153)/Planos!$E153,1)*Planos!$E153))/Planos!$E153)+1)))</f>
      </c>
      <c r="H155" s="44">
        <f>IF(OR(Planos!$A153="",NOT(ISNUMBER(Planos!$G153)),N(Planos!$E153)&lt;=0),0,IF(Planos!$G153&gt;EOMONTH(DATE(crono_ano_ref,3,1),0),0,MAX(0,INT((EOMONTH(DATE(crono_ano_ref,3,1),0)-IF(Planos!$G153&gt;=DATE(crono_ano_ref,3,1),Planos!$G153,Planos!$G153+CEILING((DATE(crono_ano_ref,3,1)-Planos!$G153)/Planos!$E153,1)*Planos!$E153))/Planos!$E153)+1)))</f>
      </c>
      <c r="I155" s="44">
        <f>IF(OR(Planos!$A153="",NOT(ISNUMBER(Planos!$G153)),N(Planos!$E153)&lt;=0),0,IF(Planos!$G153&gt;EOMONTH(DATE(crono_ano_ref,4,1),0),0,MAX(0,INT((EOMONTH(DATE(crono_ano_ref,4,1),0)-IF(Planos!$G153&gt;=DATE(crono_ano_ref,4,1),Planos!$G153,Planos!$G153+CEILING((DATE(crono_ano_ref,4,1)-Planos!$G153)/Planos!$E153,1)*Planos!$E153))/Planos!$E153)+1)))</f>
      </c>
      <c r="J155" s="44">
        <f>IF(OR(Planos!$A153="",NOT(ISNUMBER(Planos!$G153)),N(Planos!$E153)&lt;=0),0,IF(Planos!$G153&gt;EOMONTH(DATE(crono_ano_ref,5,1),0),0,MAX(0,INT((EOMONTH(DATE(crono_ano_ref,5,1),0)-IF(Planos!$G153&gt;=DATE(crono_ano_ref,5,1),Planos!$G153,Planos!$G153+CEILING((DATE(crono_ano_ref,5,1)-Planos!$G153)/Planos!$E153,1)*Planos!$E153))/Planos!$E153)+1)))</f>
      </c>
      <c r="K155" s="44">
        <f>IF(OR(Planos!$A153="",NOT(ISNUMBER(Planos!$G153)),N(Planos!$E153)&lt;=0),0,IF(Planos!$G153&gt;EOMONTH(DATE(crono_ano_ref,6,1),0),0,MAX(0,INT((EOMONTH(DATE(crono_ano_ref,6,1),0)-IF(Planos!$G153&gt;=DATE(crono_ano_ref,6,1),Planos!$G153,Planos!$G153+CEILING((DATE(crono_ano_ref,6,1)-Planos!$G153)/Planos!$E153,1)*Planos!$E153))/Planos!$E153)+1)))</f>
      </c>
      <c r="L155" s="44">
        <f>IF(OR(Planos!$A153="",NOT(ISNUMBER(Planos!$G153)),N(Planos!$E153)&lt;=0),0,IF(Planos!$G153&gt;EOMONTH(DATE(crono_ano_ref,7,1),0),0,MAX(0,INT((EOMONTH(DATE(crono_ano_ref,7,1),0)-IF(Planos!$G153&gt;=DATE(crono_ano_ref,7,1),Planos!$G153,Planos!$G153+CEILING((DATE(crono_ano_ref,7,1)-Planos!$G153)/Planos!$E153,1)*Planos!$E153))/Planos!$E153)+1)))</f>
      </c>
      <c r="M155" s="44">
        <f>IF(OR(Planos!$A153="",NOT(ISNUMBER(Planos!$G153)),N(Planos!$E153)&lt;=0),0,IF(Planos!$G153&gt;EOMONTH(DATE(crono_ano_ref,8,1),0),0,MAX(0,INT((EOMONTH(DATE(crono_ano_ref,8,1),0)-IF(Planos!$G153&gt;=DATE(crono_ano_ref,8,1),Planos!$G153,Planos!$G153+CEILING((DATE(crono_ano_ref,8,1)-Planos!$G153)/Planos!$E153,1)*Planos!$E153))/Planos!$E153)+1)))</f>
      </c>
      <c r="N155" s="44">
        <f>IF(OR(Planos!$A153="",NOT(ISNUMBER(Planos!$G153)),N(Planos!$E153)&lt;=0),0,IF(Planos!$G153&gt;EOMONTH(DATE(crono_ano_ref,9,1),0),0,MAX(0,INT((EOMONTH(DATE(crono_ano_ref,9,1),0)-IF(Planos!$G153&gt;=DATE(crono_ano_ref,9,1),Planos!$G153,Planos!$G153+CEILING((DATE(crono_ano_ref,9,1)-Planos!$G153)/Planos!$E153,1)*Planos!$E153))/Planos!$E153)+1)))</f>
      </c>
      <c r="O155" s="44">
        <f>IF(OR(Planos!$A153="",NOT(ISNUMBER(Planos!$G153)),N(Planos!$E153)&lt;=0),0,IF(Planos!$G153&gt;EOMONTH(DATE(crono_ano_ref,10,1),0),0,MAX(0,INT((EOMONTH(DATE(crono_ano_ref,10,1),0)-IF(Planos!$G153&gt;=DATE(crono_ano_ref,10,1),Planos!$G153,Planos!$G153+CEILING((DATE(crono_ano_ref,10,1)-Planos!$G153)/Planos!$E153,1)*Planos!$E153))/Planos!$E153)+1)))</f>
      </c>
      <c r="P155" s="44">
        <f>IF(OR(Planos!$A153="",NOT(ISNUMBER(Planos!$G153)),N(Planos!$E153)&lt;=0),0,IF(Planos!$G153&gt;EOMONTH(DATE(crono_ano_ref,11,1),0),0,MAX(0,INT((EOMONTH(DATE(crono_ano_ref,11,1),0)-IF(Planos!$G153&gt;=DATE(crono_ano_ref,11,1),Planos!$G153,Planos!$G153+CEILING((DATE(crono_ano_ref,11,1)-Planos!$G153)/Planos!$E153,1)*Planos!$E153))/Planos!$E153)+1)))</f>
      </c>
      <c r="Q155" s="44">
        <f>IF(OR(Planos!$A153="",NOT(ISNUMBER(Planos!$G153)),N(Planos!$E153)&lt;=0),0,IF(Planos!$G153&gt;EOMONTH(DATE(crono_ano_ref,12,1),0),0,MAX(0,INT((EOMONTH(DATE(crono_ano_ref,12,1),0)-IF(Planos!$G153&gt;=DATE(crono_ano_ref,12,1),Planos!$G153,Planos!$G153+CEILING((DATE(crono_ano_ref,12,1)-Planos!$G153)/Planos!$E153,1)*Planos!$E153))/Planos!$E153)+1)))</f>
      </c>
      <c r="R155" s="44">
        <f>SUM(F155:Q155)</f>
      </c>
    </row>
    <row r="156" spans="1:18" x14ac:dyDescent="0.25">
      <c r="A156" s="24">
        <f>IF(Planos!$A154="","",Planos!A154&amp;"")</f>
      </c>
      <c r="B156" s="41">
        <f>IF(Planos!$A154="","",Planos!B154&amp;"")</f>
      </c>
      <c r="C156" s="24">
        <f>IF(Planos!$A154="","",Planos!C154&amp;"")</f>
      </c>
      <c r="D156" s="42">
        <f>IF(Planos!$A154="","",N(Planos!E154))</f>
      </c>
      <c r="E156" s="43">
        <f>IF(Planos!$A154="","",N(Planos!K154))</f>
      </c>
      <c r="F156" s="44">
        <f>IF(OR(Planos!$A154="",NOT(ISNUMBER(Planos!$G154)),N(Planos!$E154)&lt;=0),0,IF(Planos!$G154&gt;EOMONTH(DATE(crono_ano_ref,1,1),0),0,MAX(0,INT((EOMONTH(DATE(crono_ano_ref,1,1),0)-IF(Planos!$G154&gt;=DATE(crono_ano_ref,1,1),Planos!$G154,Planos!$G154+CEILING((DATE(crono_ano_ref,1,1)-Planos!$G154)/Planos!$E154,1)*Planos!$E154))/Planos!$E154)+1)))</f>
      </c>
      <c r="G156" s="44">
        <f>IF(OR(Planos!$A154="",NOT(ISNUMBER(Planos!$G154)),N(Planos!$E154)&lt;=0),0,IF(Planos!$G154&gt;EOMONTH(DATE(crono_ano_ref,2,1),0),0,MAX(0,INT((EOMONTH(DATE(crono_ano_ref,2,1),0)-IF(Planos!$G154&gt;=DATE(crono_ano_ref,2,1),Planos!$G154,Planos!$G154+CEILING((DATE(crono_ano_ref,2,1)-Planos!$G154)/Planos!$E154,1)*Planos!$E154))/Planos!$E154)+1)))</f>
      </c>
      <c r="H156" s="44">
        <f>IF(OR(Planos!$A154="",NOT(ISNUMBER(Planos!$G154)),N(Planos!$E154)&lt;=0),0,IF(Planos!$G154&gt;EOMONTH(DATE(crono_ano_ref,3,1),0),0,MAX(0,INT((EOMONTH(DATE(crono_ano_ref,3,1),0)-IF(Planos!$G154&gt;=DATE(crono_ano_ref,3,1),Planos!$G154,Planos!$G154+CEILING((DATE(crono_ano_ref,3,1)-Planos!$G154)/Planos!$E154,1)*Planos!$E154))/Planos!$E154)+1)))</f>
      </c>
      <c r="I156" s="44">
        <f>IF(OR(Planos!$A154="",NOT(ISNUMBER(Planos!$G154)),N(Planos!$E154)&lt;=0),0,IF(Planos!$G154&gt;EOMONTH(DATE(crono_ano_ref,4,1),0),0,MAX(0,INT((EOMONTH(DATE(crono_ano_ref,4,1),0)-IF(Planos!$G154&gt;=DATE(crono_ano_ref,4,1),Planos!$G154,Planos!$G154+CEILING((DATE(crono_ano_ref,4,1)-Planos!$G154)/Planos!$E154,1)*Planos!$E154))/Planos!$E154)+1)))</f>
      </c>
      <c r="J156" s="44">
        <f>IF(OR(Planos!$A154="",NOT(ISNUMBER(Planos!$G154)),N(Planos!$E154)&lt;=0),0,IF(Planos!$G154&gt;EOMONTH(DATE(crono_ano_ref,5,1),0),0,MAX(0,INT((EOMONTH(DATE(crono_ano_ref,5,1),0)-IF(Planos!$G154&gt;=DATE(crono_ano_ref,5,1),Planos!$G154,Planos!$G154+CEILING((DATE(crono_ano_ref,5,1)-Planos!$G154)/Planos!$E154,1)*Planos!$E154))/Planos!$E154)+1)))</f>
      </c>
      <c r="K156" s="44">
        <f>IF(OR(Planos!$A154="",NOT(ISNUMBER(Planos!$G154)),N(Planos!$E154)&lt;=0),0,IF(Planos!$G154&gt;EOMONTH(DATE(crono_ano_ref,6,1),0),0,MAX(0,INT((EOMONTH(DATE(crono_ano_ref,6,1),0)-IF(Planos!$G154&gt;=DATE(crono_ano_ref,6,1),Planos!$G154,Planos!$G154+CEILING((DATE(crono_ano_ref,6,1)-Planos!$G154)/Planos!$E154,1)*Planos!$E154))/Planos!$E154)+1)))</f>
      </c>
      <c r="L156" s="44">
        <f>IF(OR(Planos!$A154="",NOT(ISNUMBER(Planos!$G154)),N(Planos!$E154)&lt;=0),0,IF(Planos!$G154&gt;EOMONTH(DATE(crono_ano_ref,7,1),0),0,MAX(0,INT((EOMONTH(DATE(crono_ano_ref,7,1),0)-IF(Planos!$G154&gt;=DATE(crono_ano_ref,7,1),Planos!$G154,Planos!$G154+CEILING((DATE(crono_ano_ref,7,1)-Planos!$G154)/Planos!$E154,1)*Planos!$E154))/Planos!$E154)+1)))</f>
      </c>
      <c r="M156" s="44">
        <f>IF(OR(Planos!$A154="",NOT(ISNUMBER(Planos!$G154)),N(Planos!$E154)&lt;=0),0,IF(Planos!$G154&gt;EOMONTH(DATE(crono_ano_ref,8,1),0),0,MAX(0,INT((EOMONTH(DATE(crono_ano_ref,8,1),0)-IF(Planos!$G154&gt;=DATE(crono_ano_ref,8,1),Planos!$G154,Planos!$G154+CEILING((DATE(crono_ano_ref,8,1)-Planos!$G154)/Planos!$E154,1)*Planos!$E154))/Planos!$E154)+1)))</f>
      </c>
      <c r="N156" s="44">
        <f>IF(OR(Planos!$A154="",NOT(ISNUMBER(Planos!$G154)),N(Planos!$E154)&lt;=0),0,IF(Planos!$G154&gt;EOMONTH(DATE(crono_ano_ref,9,1),0),0,MAX(0,INT((EOMONTH(DATE(crono_ano_ref,9,1),0)-IF(Planos!$G154&gt;=DATE(crono_ano_ref,9,1),Planos!$G154,Planos!$G154+CEILING((DATE(crono_ano_ref,9,1)-Planos!$G154)/Planos!$E154,1)*Planos!$E154))/Planos!$E154)+1)))</f>
      </c>
      <c r="O156" s="44">
        <f>IF(OR(Planos!$A154="",NOT(ISNUMBER(Planos!$G154)),N(Planos!$E154)&lt;=0),0,IF(Planos!$G154&gt;EOMONTH(DATE(crono_ano_ref,10,1),0),0,MAX(0,INT((EOMONTH(DATE(crono_ano_ref,10,1),0)-IF(Planos!$G154&gt;=DATE(crono_ano_ref,10,1),Planos!$G154,Planos!$G154+CEILING((DATE(crono_ano_ref,10,1)-Planos!$G154)/Planos!$E154,1)*Planos!$E154))/Planos!$E154)+1)))</f>
      </c>
      <c r="P156" s="44">
        <f>IF(OR(Planos!$A154="",NOT(ISNUMBER(Planos!$G154)),N(Planos!$E154)&lt;=0),0,IF(Planos!$G154&gt;EOMONTH(DATE(crono_ano_ref,11,1),0),0,MAX(0,INT((EOMONTH(DATE(crono_ano_ref,11,1),0)-IF(Planos!$G154&gt;=DATE(crono_ano_ref,11,1),Planos!$G154,Planos!$G154+CEILING((DATE(crono_ano_ref,11,1)-Planos!$G154)/Planos!$E154,1)*Planos!$E154))/Planos!$E154)+1)))</f>
      </c>
      <c r="Q156" s="44">
        <f>IF(OR(Planos!$A154="",NOT(ISNUMBER(Planos!$G154)),N(Planos!$E154)&lt;=0),0,IF(Planos!$G154&gt;EOMONTH(DATE(crono_ano_ref,12,1),0),0,MAX(0,INT((EOMONTH(DATE(crono_ano_ref,12,1),0)-IF(Planos!$G154&gt;=DATE(crono_ano_ref,12,1),Planos!$G154,Planos!$G154+CEILING((DATE(crono_ano_ref,12,1)-Planos!$G154)/Planos!$E154,1)*Planos!$E154))/Planos!$E154)+1)))</f>
      </c>
      <c r="R156" s="44">
        <f>SUM(F156:Q156)</f>
      </c>
    </row>
    <row r="157" spans="1:18" x14ac:dyDescent="0.25">
      <c r="A157" s="24">
        <f>IF(Planos!$A155="","",Planos!A155&amp;"")</f>
      </c>
      <c r="B157" s="41">
        <f>IF(Planos!$A155="","",Planos!B155&amp;"")</f>
      </c>
      <c r="C157" s="24">
        <f>IF(Planos!$A155="","",Planos!C155&amp;"")</f>
      </c>
      <c r="D157" s="42">
        <f>IF(Planos!$A155="","",N(Planos!E155))</f>
      </c>
      <c r="E157" s="43">
        <f>IF(Planos!$A155="","",N(Planos!K155))</f>
      </c>
      <c r="F157" s="44">
        <f>IF(OR(Planos!$A155="",NOT(ISNUMBER(Planos!$G155)),N(Planos!$E155)&lt;=0),0,IF(Planos!$G155&gt;EOMONTH(DATE(crono_ano_ref,1,1),0),0,MAX(0,INT((EOMONTH(DATE(crono_ano_ref,1,1),0)-IF(Planos!$G155&gt;=DATE(crono_ano_ref,1,1),Planos!$G155,Planos!$G155+CEILING((DATE(crono_ano_ref,1,1)-Planos!$G155)/Planos!$E155,1)*Planos!$E155))/Planos!$E155)+1)))</f>
      </c>
      <c r="G157" s="44">
        <f>IF(OR(Planos!$A155="",NOT(ISNUMBER(Planos!$G155)),N(Planos!$E155)&lt;=0),0,IF(Planos!$G155&gt;EOMONTH(DATE(crono_ano_ref,2,1),0),0,MAX(0,INT((EOMONTH(DATE(crono_ano_ref,2,1),0)-IF(Planos!$G155&gt;=DATE(crono_ano_ref,2,1),Planos!$G155,Planos!$G155+CEILING((DATE(crono_ano_ref,2,1)-Planos!$G155)/Planos!$E155,1)*Planos!$E155))/Planos!$E155)+1)))</f>
      </c>
      <c r="H157" s="44">
        <f>IF(OR(Planos!$A155="",NOT(ISNUMBER(Planos!$G155)),N(Planos!$E155)&lt;=0),0,IF(Planos!$G155&gt;EOMONTH(DATE(crono_ano_ref,3,1),0),0,MAX(0,INT((EOMONTH(DATE(crono_ano_ref,3,1),0)-IF(Planos!$G155&gt;=DATE(crono_ano_ref,3,1),Planos!$G155,Planos!$G155+CEILING((DATE(crono_ano_ref,3,1)-Planos!$G155)/Planos!$E155,1)*Planos!$E155))/Planos!$E155)+1)))</f>
      </c>
      <c r="I157" s="44">
        <f>IF(OR(Planos!$A155="",NOT(ISNUMBER(Planos!$G155)),N(Planos!$E155)&lt;=0),0,IF(Planos!$G155&gt;EOMONTH(DATE(crono_ano_ref,4,1),0),0,MAX(0,INT((EOMONTH(DATE(crono_ano_ref,4,1),0)-IF(Planos!$G155&gt;=DATE(crono_ano_ref,4,1),Planos!$G155,Planos!$G155+CEILING((DATE(crono_ano_ref,4,1)-Planos!$G155)/Planos!$E155,1)*Planos!$E155))/Planos!$E155)+1)))</f>
      </c>
      <c r="J157" s="44">
        <f>IF(OR(Planos!$A155="",NOT(ISNUMBER(Planos!$G155)),N(Planos!$E155)&lt;=0),0,IF(Planos!$G155&gt;EOMONTH(DATE(crono_ano_ref,5,1),0),0,MAX(0,INT((EOMONTH(DATE(crono_ano_ref,5,1),0)-IF(Planos!$G155&gt;=DATE(crono_ano_ref,5,1),Planos!$G155,Planos!$G155+CEILING((DATE(crono_ano_ref,5,1)-Planos!$G155)/Planos!$E155,1)*Planos!$E155))/Planos!$E155)+1)))</f>
      </c>
      <c r="K157" s="44">
        <f>IF(OR(Planos!$A155="",NOT(ISNUMBER(Planos!$G155)),N(Planos!$E155)&lt;=0),0,IF(Planos!$G155&gt;EOMONTH(DATE(crono_ano_ref,6,1),0),0,MAX(0,INT((EOMONTH(DATE(crono_ano_ref,6,1),0)-IF(Planos!$G155&gt;=DATE(crono_ano_ref,6,1),Planos!$G155,Planos!$G155+CEILING((DATE(crono_ano_ref,6,1)-Planos!$G155)/Planos!$E155,1)*Planos!$E155))/Planos!$E155)+1)))</f>
      </c>
      <c r="L157" s="44">
        <f>IF(OR(Planos!$A155="",NOT(ISNUMBER(Planos!$G155)),N(Planos!$E155)&lt;=0),0,IF(Planos!$G155&gt;EOMONTH(DATE(crono_ano_ref,7,1),0),0,MAX(0,INT((EOMONTH(DATE(crono_ano_ref,7,1),0)-IF(Planos!$G155&gt;=DATE(crono_ano_ref,7,1),Planos!$G155,Planos!$G155+CEILING((DATE(crono_ano_ref,7,1)-Planos!$G155)/Planos!$E155,1)*Planos!$E155))/Planos!$E155)+1)))</f>
      </c>
      <c r="M157" s="44">
        <f>IF(OR(Planos!$A155="",NOT(ISNUMBER(Planos!$G155)),N(Planos!$E155)&lt;=0),0,IF(Planos!$G155&gt;EOMONTH(DATE(crono_ano_ref,8,1),0),0,MAX(0,INT((EOMONTH(DATE(crono_ano_ref,8,1),0)-IF(Planos!$G155&gt;=DATE(crono_ano_ref,8,1),Planos!$G155,Planos!$G155+CEILING((DATE(crono_ano_ref,8,1)-Planos!$G155)/Planos!$E155,1)*Planos!$E155))/Planos!$E155)+1)))</f>
      </c>
      <c r="N157" s="44">
        <f>IF(OR(Planos!$A155="",NOT(ISNUMBER(Planos!$G155)),N(Planos!$E155)&lt;=0),0,IF(Planos!$G155&gt;EOMONTH(DATE(crono_ano_ref,9,1),0),0,MAX(0,INT((EOMONTH(DATE(crono_ano_ref,9,1),0)-IF(Planos!$G155&gt;=DATE(crono_ano_ref,9,1),Planos!$G155,Planos!$G155+CEILING((DATE(crono_ano_ref,9,1)-Planos!$G155)/Planos!$E155,1)*Planos!$E155))/Planos!$E155)+1)))</f>
      </c>
      <c r="O157" s="44">
        <f>IF(OR(Planos!$A155="",NOT(ISNUMBER(Planos!$G155)),N(Planos!$E155)&lt;=0),0,IF(Planos!$G155&gt;EOMONTH(DATE(crono_ano_ref,10,1),0),0,MAX(0,INT((EOMONTH(DATE(crono_ano_ref,10,1),0)-IF(Planos!$G155&gt;=DATE(crono_ano_ref,10,1),Planos!$G155,Planos!$G155+CEILING((DATE(crono_ano_ref,10,1)-Planos!$G155)/Planos!$E155,1)*Planos!$E155))/Planos!$E155)+1)))</f>
      </c>
      <c r="P157" s="44">
        <f>IF(OR(Planos!$A155="",NOT(ISNUMBER(Planos!$G155)),N(Planos!$E155)&lt;=0),0,IF(Planos!$G155&gt;EOMONTH(DATE(crono_ano_ref,11,1),0),0,MAX(0,INT((EOMONTH(DATE(crono_ano_ref,11,1),0)-IF(Planos!$G155&gt;=DATE(crono_ano_ref,11,1),Planos!$G155,Planos!$G155+CEILING((DATE(crono_ano_ref,11,1)-Planos!$G155)/Planos!$E155,1)*Planos!$E155))/Planos!$E155)+1)))</f>
      </c>
      <c r="Q157" s="44">
        <f>IF(OR(Planos!$A155="",NOT(ISNUMBER(Planos!$G155)),N(Planos!$E155)&lt;=0),0,IF(Planos!$G155&gt;EOMONTH(DATE(crono_ano_ref,12,1),0),0,MAX(0,INT((EOMONTH(DATE(crono_ano_ref,12,1),0)-IF(Planos!$G155&gt;=DATE(crono_ano_ref,12,1),Planos!$G155,Planos!$G155+CEILING((DATE(crono_ano_ref,12,1)-Planos!$G155)/Planos!$E155,1)*Planos!$E155))/Planos!$E155)+1)))</f>
      </c>
      <c r="R157" s="44">
        <f>SUM(F157:Q157)</f>
      </c>
    </row>
    <row r="158" spans="1:18" x14ac:dyDescent="0.25">
      <c r="A158" s="24">
        <f>IF(Planos!$A156="","",Planos!A156&amp;"")</f>
      </c>
      <c r="B158" s="41">
        <f>IF(Planos!$A156="","",Planos!B156&amp;"")</f>
      </c>
      <c r="C158" s="24">
        <f>IF(Planos!$A156="","",Planos!C156&amp;"")</f>
      </c>
      <c r="D158" s="42">
        <f>IF(Planos!$A156="","",N(Planos!E156))</f>
      </c>
      <c r="E158" s="43">
        <f>IF(Planos!$A156="","",N(Planos!K156))</f>
      </c>
      <c r="F158" s="44">
        <f>IF(OR(Planos!$A156="",NOT(ISNUMBER(Planos!$G156)),N(Planos!$E156)&lt;=0),0,IF(Planos!$G156&gt;EOMONTH(DATE(crono_ano_ref,1,1),0),0,MAX(0,INT((EOMONTH(DATE(crono_ano_ref,1,1),0)-IF(Planos!$G156&gt;=DATE(crono_ano_ref,1,1),Planos!$G156,Planos!$G156+CEILING((DATE(crono_ano_ref,1,1)-Planos!$G156)/Planos!$E156,1)*Planos!$E156))/Planos!$E156)+1)))</f>
      </c>
      <c r="G158" s="44">
        <f>IF(OR(Planos!$A156="",NOT(ISNUMBER(Planos!$G156)),N(Planos!$E156)&lt;=0),0,IF(Planos!$G156&gt;EOMONTH(DATE(crono_ano_ref,2,1),0),0,MAX(0,INT((EOMONTH(DATE(crono_ano_ref,2,1),0)-IF(Planos!$G156&gt;=DATE(crono_ano_ref,2,1),Planos!$G156,Planos!$G156+CEILING((DATE(crono_ano_ref,2,1)-Planos!$G156)/Planos!$E156,1)*Planos!$E156))/Planos!$E156)+1)))</f>
      </c>
      <c r="H158" s="44">
        <f>IF(OR(Planos!$A156="",NOT(ISNUMBER(Planos!$G156)),N(Planos!$E156)&lt;=0),0,IF(Planos!$G156&gt;EOMONTH(DATE(crono_ano_ref,3,1),0),0,MAX(0,INT((EOMONTH(DATE(crono_ano_ref,3,1),0)-IF(Planos!$G156&gt;=DATE(crono_ano_ref,3,1),Planos!$G156,Planos!$G156+CEILING((DATE(crono_ano_ref,3,1)-Planos!$G156)/Planos!$E156,1)*Planos!$E156))/Planos!$E156)+1)))</f>
      </c>
      <c r="I158" s="44">
        <f>IF(OR(Planos!$A156="",NOT(ISNUMBER(Planos!$G156)),N(Planos!$E156)&lt;=0),0,IF(Planos!$G156&gt;EOMONTH(DATE(crono_ano_ref,4,1),0),0,MAX(0,INT((EOMONTH(DATE(crono_ano_ref,4,1),0)-IF(Planos!$G156&gt;=DATE(crono_ano_ref,4,1),Planos!$G156,Planos!$G156+CEILING((DATE(crono_ano_ref,4,1)-Planos!$G156)/Planos!$E156,1)*Planos!$E156))/Planos!$E156)+1)))</f>
      </c>
      <c r="J158" s="44">
        <f>IF(OR(Planos!$A156="",NOT(ISNUMBER(Planos!$G156)),N(Planos!$E156)&lt;=0),0,IF(Planos!$G156&gt;EOMONTH(DATE(crono_ano_ref,5,1),0),0,MAX(0,INT((EOMONTH(DATE(crono_ano_ref,5,1),0)-IF(Planos!$G156&gt;=DATE(crono_ano_ref,5,1),Planos!$G156,Planos!$G156+CEILING((DATE(crono_ano_ref,5,1)-Planos!$G156)/Planos!$E156,1)*Planos!$E156))/Planos!$E156)+1)))</f>
      </c>
      <c r="K158" s="44">
        <f>IF(OR(Planos!$A156="",NOT(ISNUMBER(Planos!$G156)),N(Planos!$E156)&lt;=0),0,IF(Planos!$G156&gt;EOMONTH(DATE(crono_ano_ref,6,1),0),0,MAX(0,INT((EOMONTH(DATE(crono_ano_ref,6,1),0)-IF(Planos!$G156&gt;=DATE(crono_ano_ref,6,1),Planos!$G156,Planos!$G156+CEILING((DATE(crono_ano_ref,6,1)-Planos!$G156)/Planos!$E156,1)*Planos!$E156))/Planos!$E156)+1)))</f>
      </c>
      <c r="L158" s="44">
        <f>IF(OR(Planos!$A156="",NOT(ISNUMBER(Planos!$G156)),N(Planos!$E156)&lt;=0),0,IF(Planos!$G156&gt;EOMONTH(DATE(crono_ano_ref,7,1),0),0,MAX(0,INT((EOMONTH(DATE(crono_ano_ref,7,1),0)-IF(Planos!$G156&gt;=DATE(crono_ano_ref,7,1),Planos!$G156,Planos!$G156+CEILING((DATE(crono_ano_ref,7,1)-Planos!$G156)/Planos!$E156,1)*Planos!$E156))/Planos!$E156)+1)))</f>
      </c>
      <c r="M158" s="44">
        <f>IF(OR(Planos!$A156="",NOT(ISNUMBER(Planos!$G156)),N(Planos!$E156)&lt;=0),0,IF(Planos!$G156&gt;EOMONTH(DATE(crono_ano_ref,8,1),0),0,MAX(0,INT((EOMONTH(DATE(crono_ano_ref,8,1),0)-IF(Planos!$G156&gt;=DATE(crono_ano_ref,8,1),Planos!$G156,Planos!$G156+CEILING((DATE(crono_ano_ref,8,1)-Planos!$G156)/Planos!$E156,1)*Planos!$E156))/Planos!$E156)+1)))</f>
      </c>
      <c r="N158" s="44">
        <f>IF(OR(Planos!$A156="",NOT(ISNUMBER(Planos!$G156)),N(Planos!$E156)&lt;=0),0,IF(Planos!$G156&gt;EOMONTH(DATE(crono_ano_ref,9,1),0),0,MAX(0,INT((EOMONTH(DATE(crono_ano_ref,9,1),0)-IF(Planos!$G156&gt;=DATE(crono_ano_ref,9,1),Planos!$G156,Planos!$G156+CEILING((DATE(crono_ano_ref,9,1)-Planos!$G156)/Planos!$E156,1)*Planos!$E156))/Planos!$E156)+1)))</f>
      </c>
      <c r="O158" s="44">
        <f>IF(OR(Planos!$A156="",NOT(ISNUMBER(Planos!$G156)),N(Planos!$E156)&lt;=0),0,IF(Planos!$G156&gt;EOMONTH(DATE(crono_ano_ref,10,1),0),0,MAX(0,INT((EOMONTH(DATE(crono_ano_ref,10,1),0)-IF(Planos!$G156&gt;=DATE(crono_ano_ref,10,1),Planos!$G156,Planos!$G156+CEILING((DATE(crono_ano_ref,10,1)-Planos!$G156)/Planos!$E156,1)*Planos!$E156))/Planos!$E156)+1)))</f>
      </c>
      <c r="P158" s="44">
        <f>IF(OR(Planos!$A156="",NOT(ISNUMBER(Planos!$G156)),N(Planos!$E156)&lt;=0),0,IF(Planos!$G156&gt;EOMONTH(DATE(crono_ano_ref,11,1),0),0,MAX(0,INT((EOMONTH(DATE(crono_ano_ref,11,1),0)-IF(Planos!$G156&gt;=DATE(crono_ano_ref,11,1),Planos!$G156,Planos!$G156+CEILING((DATE(crono_ano_ref,11,1)-Planos!$G156)/Planos!$E156,1)*Planos!$E156))/Planos!$E156)+1)))</f>
      </c>
      <c r="Q158" s="44">
        <f>IF(OR(Planos!$A156="",NOT(ISNUMBER(Planos!$G156)),N(Planos!$E156)&lt;=0),0,IF(Planos!$G156&gt;EOMONTH(DATE(crono_ano_ref,12,1),0),0,MAX(0,INT((EOMONTH(DATE(crono_ano_ref,12,1),0)-IF(Planos!$G156&gt;=DATE(crono_ano_ref,12,1),Planos!$G156,Planos!$G156+CEILING((DATE(crono_ano_ref,12,1)-Planos!$G156)/Planos!$E156,1)*Planos!$E156))/Planos!$E156)+1)))</f>
      </c>
      <c r="R158" s="44">
        <f>SUM(F158:Q158)</f>
      </c>
    </row>
    <row r="159" spans="1:18" x14ac:dyDescent="0.25">
      <c r="A159" s="24">
        <f>IF(Planos!$A157="","",Planos!A157&amp;"")</f>
      </c>
      <c r="B159" s="41">
        <f>IF(Planos!$A157="","",Planos!B157&amp;"")</f>
      </c>
      <c r="C159" s="24">
        <f>IF(Planos!$A157="","",Planos!C157&amp;"")</f>
      </c>
      <c r="D159" s="42">
        <f>IF(Planos!$A157="","",N(Planos!E157))</f>
      </c>
      <c r="E159" s="43">
        <f>IF(Planos!$A157="","",N(Planos!K157))</f>
      </c>
      <c r="F159" s="44">
        <f>IF(OR(Planos!$A157="",NOT(ISNUMBER(Planos!$G157)),N(Planos!$E157)&lt;=0),0,IF(Planos!$G157&gt;EOMONTH(DATE(crono_ano_ref,1,1),0),0,MAX(0,INT((EOMONTH(DATE(crono_ano_ref,1,1),0)-IF(Planos!$G157&gt;=DATE(crono_ano_ref,1,1),Planos!$G157,Planos!$G157+CEILING((DATE(crono_ano_ref,1,1)-Planos!$G157)/Planos!$E157,1)*Planos!$E157))/Planos!$E157)+1)))</f>
      </c>
      <c r="G159" s="44">
        <f>IF(OR(Planos!$A157="",NOT(ISNUMBER(Planos!$G157)),N(Planos!$E157)&lt;=0),0,IF(Planos!$G157&gt;EOMONTH(DATE(crono_ano_ref,2,1),0),0,MAX(0,INT((EOMONTH(DATE(crono_ano_ref,2,1),0)-IF(Planos!$G157&gt;=DATE(crono_ano_ref,2,1),Planos!$G157,Planos!$G157+CEILING((DATE(crono_ano_ref,2,1)-Planos!$G157)/Planos!$E157,1)*Planos!$E157))/Planos!$E157)+1)))</f>
      </c>
      <c r="H159" s="44">
        <f>IF(OR(Planos!$A157="",NOT(ISNUMBER(Planos!$G157)),N(Planos!$E157)&lt;=0),0,IF(Planos!$G157&gt;EOMONTH(DATE(crono_ano_ref,3,1),0),0,MAX(0,INT((EOMONTH(DATE(crono_ano_ref,3,1),0)-IF(Planos!$G157&gt;=DATE(crono_ano_ref,3,1),Planos!$G157,Planos!$G157+CEILING((DATE(crono_ano_ref,3,1)-Planos!$G157)/Planos!$E157,1)*Planos!$E157))/Planos!$E157)+1)))</f>
      </c>
      <c r="I159" s="44">
        <f>IF(OR(Planos!$A157="",NOT(ISNUMBER(Planos!$G157)),N(Planos!$E157)&lt;=0),0,IF(Planos!$G157&gt;EOMONTH(DATE(crono_ano_ref,4,1),0),0,MAX(0,INT((EOMONTH(DATE(crono_ano_ref,4,1),0)-IF(Planos!$G157&gt;=DATE(crono_ano_ref,4,1),Planos!$G157,Planos!$G157+CEILING((DATE(crono_ano_ref,4,1)-Planos!$G157)/Planos!$E157,1)*Planos!$E157))/Planos!$E157)+1)))</f>
      </c>
      <c r="J159" s="44">
        <f>IF(OR(Planos!$A157="",NOT(ISNUMBER(Planos!$G157)),N(Planos!$E157)&lt;=0),0,IF(Planos!$G157&gt;EOMONTH(DATE(crono_ano_ref,5,1),0),0,MAX(0,INT((EOMONTH(DATE(crono_ano_ref,5,1),0)-IF(Planos!$G157&gt;=DATE(crono_ano_ref,5,1),Planos!$G157,Planos!$G157+CEILING((DATE(crono_ano_ref,5,1)-Planos!$G157)/Planos!$E157,1)*Planos!$E157))/Planos!$E157)+1)))</f>
      </c>
      <c r="K159" s="44">
        <f>IF(OR(Planos!$A157="",NOT(ISNUMBER(Planos!$G157)),N(Planos!$E157)&lt;=0),0,IF(Planos!$G157&gt;EOMONTH(DATE(crono_ano_ref,6,1),0),0,MAX(0,INT((EOMONTH(DATE(crono_ano_ref,6,1),0)-IF(Planos!$G157&gt;=DATE(crono_ano_ref,6,1),Planos!$G157,Planos!$G157+CEILING((DATE(crono_ano_ref,6,1)-Planos!$G157)/Planos!$E157,1)*Planos!$E157))/Planos!$E157)+1)))</f>
      </c>
      <c r="L159" s="44">
        <f>IF(OR(Planos!$A157="",NOT(ISNUMBER(Planos!$G157)),N(Planos!$E157)&lt;=0),0,IF(Planos!$G157&gt;EOMONTH(DATE(crono_ano_ref,7,1),0),0,MAX(0,INT((EOMONTH(DATE(crono_ano_ref,7,1),0)-IF(Planos!$G157&gt;=DATE(crono_ano_ref,7,1),Planos!$G157,Planos!$G157+CEILING((DATE(crono_ano_ref,7,1)-Planos!$G157)/Planos!$E157,1)*Planos!$E157))/Planos!$E157)+1)))</f>
      </c>
      <c r="M159" s="44">
        <f>IF(OR(Planos!$A157="",NOT(ISNUMBER(Planos!$G157)),N(Planos!$E157)&lt;=0),0,IF(Planos!$G157&gt;EOMONTH(DATE(crono_ano_ref,8,1),0),0,MAX(0,INT((EOMONTH(DATE(crono_ano_ref,8,1),0)-IF(Planos!$G157&gt;=DATE(crono_ano_ref,8,1),Planos!$G157,Planos!$G157+CEILING((DATE(crono_ano_ref,8,1)-Planos!$G157)/Planos!$E157,1)*Planos!$E157))/Planos!$E157)+1)))</f>
      </c>
      <c r="N159" s="44">
        <f>IF(OR(Planos!$A157="",NOT(ISNUMBER(Planos!$G157)),N(Planos!$E157)&lt;=0),0,IF(Planos!$G157&gt;EOMONTH(DATE(crono_ano_ref,9,1),0),0,MAX(0,INT((EOMONTH(DATE(crono_ano_ref,9,1),0)-IF(Planos!$G157&gt;=DATE(crono_ano_ref,9,1),Planos!$G157,Planos!$G157+CEILING((DATE(crono_ano_ref,9,1)-Planos!$G157)/Planos!$E157,1)*Planos!$E157))/Planos!$E157)+1)))</f>
      </c>
      <c r="O159" s="44">
        <f>IF(OR(Planos!$A157="",NOT(ISNUMBER(Planos!$G157)),N(Planos!$E157)&lt;=0),0,IF(Planos!$G157&gt;EOMONTH(DATE(crono_ano_ref,10,1),0),0,MAX(0,INT((EOMONTH(DATE(crono_ano_ref,10,1),0)-IF(Planos!$G157&gt;=DATE(crono_ano_ref,10,1),Planos!$G157,Planos!$G157+CEILING((DATE(crono_ano_ref,10,1)-Planos!$G157)/Planos!$E157,1)*Planos!$E157))/Planos!$E157)+1)))</f>
      </c>
      <c r="P159" s="44">
        <f>IF(OR(Planos!$A157="",NOT(ISNUMBER(Planos!$G157)),N(Planos!$E157)&lt;=0),0,IF(Planos!$G157&gt;EOMONTH(DATE(crono_ano_ref,11,1),0),0,MAX(0,INT((EOMONTH(DATE(crono_ano_ref,11,1),0)-IF(Planos!$G157&gt;=DATE(crono_ano_ref,11,1),Planos!$G157,Planos!$G157+CEILING((DATE(crono_ano_ref,11,1)-Planos!$G157)/Planos!$E157,1)*Planos!$E157))/Planos!$E157)+1)))</f>
      </c>
      <c r="Q159" s="44">
        <f>IF(OR(Planos!$A157="",NOT(ISNUMBER(Planos!$G157)),N(Planos!$E157)&lt;=0),0,IF(Planos!$G157&gt;EOMONTH(DATE(crono_ano_ref,12,1),0),0,MAX(0,INT((EOMONTH(DATE(crono_ano_ref,12,1),0)-IF(Planos!$G157&gt;=DATE(crono_ano_ref,12,1),Planos!$G157,Planos!$G157+CEILING((DATE(crono_ano_ref,12,1)-Planos!$G157)/Planos!$E157,1)*Planos!$E157))/Planos!$E157)+1)))</f>
      </c>
      <c r="R159" s="44">
        <f>SUM(F159:Q159)</f>
      </c>
    </row>
    <row r="160" spans="1:18" x14ac:dyDescent="0.25">
      <c r="A160" s="24">
        <f>IF(Planos!$A158="","",Planos!A158&amp;"")</f>
      </c>
      <c r="B160" s="41">
        <f>IF(Planos!$A158="","",Planos!B158&amp;"")</f>
      </c>
      <c r="C160" s="24">
        <f>IF(Planos!$A158="","",Planos!C158&amp;"")</f>
      </c>
      <c r="D160" s="42">
        <f>IF(Planos!$A158="","",N(Planos!E158))</f>
      </c>
      <c r="E160" s="43">
        <f>IF(Planos!$A158="","",N(Planos!K158))</f>
      </c>
      <c r="F160" s="44">
        <f>IF(OR(Planos!$A158="",NOT(ISNUMBER(Planos!$G158)),N(Planos!$E158)&lt;=0),0,IF(Planos!$G158&gt;EOMONTH(DATE(crono_ano_ref,1,1),0),0,MAX(0,INT((EOMONTH(DATE(crono_ano_ref,1,1),0)-IF(Planos!$G158&gt;=DATE(crono_ano_ref,1,1),Planos!$G158,Planos!$G158+CEILING((DATE(crono_ano_ref,1,1)-Planos!$G158)/Planos!$E158,1)*Planos!$E158))/Planos!$E158)+1)))</f>
      </c>
      <c r="G160" s="44">
        <f>IF(OR(Planos!$A158="",NOT(ISNUMBER(Planos!$G158)),N(Planos!$E158)&lt;=0),0,IF(Planos!$G158&gt;EOMONTH(DATE(crono_ano_ref,2,1),0),0,MAX(0,INT((EOMONTH(DATE(crono_ano_ref,2,1),0)-IF(Planos!$G158&gt;=DATE(crono_ano_ref,2,1),Planos!$G158,Planos!$G158+CEILING((DATE(crono_ano_ref,2,1)-Planos!$G158)/Planos!$E158,1)*Planos!$E158))/Planos!$E158)+1)))</f>
      </c>
      <c r="H160" s="44">
        <f>IF(OR(Planos!$A158="",NOT(ISNUMBER(Planos!$G158)),N(Planos!$E158)&lt;=0),0,IF(Planos!$G158&gt;EOMONTH(DATE(crono_ano_ref,3,1),0),0,MAX(0,INT((EOMONTH(DATE(crono_ano_ref,3,1),0)-IF(Planos!$G158&gt;=DATE(crono_ano_ref,3,1),Planos!$G158,Planos!$G158+CEILING((DATE(crono_ano_ref,3,1)-Planos!$G158)/Planos!$E158,1)*Planos!$E158))/Planos!$E158)+1)))</f>
      </c>
      <c r="I160" s="44">
        <f>IF(OR(Planos!$A158="",NOT(ISNUMBER(Planos!$G158)),N(Planos!$E158)&lt;=0),0,IF(Planos!$G158&gt;EOMONTH(DATE(crono_ano_ref,4,1),0),0,MAX(0,INT((EOMONTH(DATE(crono_ano_ref,4,1),0)-IF(Planos!$G158&gt;=DATE(crono_ano_ref,4,1),Planos!$G158,Planos!$G158+CEILING((DATE(crono_ano_ref,4,1)-Planos!$G158)/Planos!$E158,1)*Planos!$E158))/Planos!$E158)+1)))</f>
      </c>
      <c r="J160" s="44">
        <f>IF(OR(Planos!$A158="",NOT(ISNUMBER(Planos!$G158)),N(Planos!$E158)&lt;=0),0,IF(Planos!$G158&gt;EOMONTH(DATE(crono_ano_ref,5,1),0),0,MAX(0,INT((EOMONTH(DATE(crono_ano_ref,5,1),0)-IF(Planos!$G158&gt;=DATE(crono_ano_ref,5,1),Planos!$G158,Planos!$G158+CEILING((DATE(crono_ano_ref,5,1)-Planos!$G158)/Planos!$E158,1)*Planos!$E158))/Planos!$E158)+1)))</f>
      </c>
      <c r="K160" s="44">
        <f>IF(OR(Planos!$A158="",NOT(ISNUMBER(Planos!$G158)),N(Planos!$E158)&lt;=0),0,IF(Planos!$G158&gt;EOMONTH(DATE(crono_ano_ref,6,1),0),0,MAX(0,INT((EOMONTH(DATE(crono_ano_ref,6,1),0)-IF(Planos!$G158&gt;=DATE(crono_ano_ref,6,1),Planos!$G158,Planos!$G158+CEILING((DATE(crono_ano_ref,6,1)-Planos!$G158)/Planos!$E158,1)*Planos!$E158))/Planos!$E158)+1)))</f>
      </c>
      <c r="L160" s="44">
        <f>IF(OR(Planos!$A158="",NOT(ISNUMBER(Planos!$G158)),N(Planos!$E158)&lt;=0),0,IF(Planos!$G158&gt;EOMONTH(DATE(crono_ano_ref,7,1),0),0,MAX(0,INT((EOMONTH(DATE(crono_ano_ref,7,1),0)-IF(Planos!$G158&gt;=DATE(crono_ano_ref,7,1),Planos!$G158,Planos!$G158+CEILING((DATE(crono_ano_ref,7,1)-Planos!$G158)/Planos!$E158,1)*Planos!$E158))/Planos!$E158)+1)))</f>
      </c>
      <c r="M160" s="44">
        <f>IF(OR(Planos!$A158="",NOT(ISNUMBER(Planos!$G158)),N(Planos!$E158)&lt;=0),0,IF(Planos!$G158&gt;EOMONTH(DATE(crono_ano_ref,8,1),0),0,MAX(0,INT((EOMONTH(DATE(crono_ano_ref,8,1),0)-IF(Planos!$G158&gt;=DATE(crono_ano_ref,8,1),Planos!$G158,Planos!$G158+CEILING((DATE(crono_ano_ref,8,1)-Planos!$G158)/Planos!$E158,1)*Planos!$E158))/Planos!$E158)+1)))</f>
      </c>
      <c r="N160" s="44">
        <f>IF(OR(Planos!$A158="",NOT(ISNUMBER(Planos!$G158)),N(Planos!$E158)&lt;=0),0,IF(Planos!$G158&gt;EOMONTH(DATE(crono_ano_ref,9,1),0),0,MAX(0,INT((EOMONTH(DATE(crono_ano_ref,9,1),0)-IF(Planos!$G158&gt;=DATE(crono_ano_ref,9,1),Planos!$G158,Planos!$G158+CEILING((DATE(crono_ano_ref,9,1)-Planos!$G158)/Planos!$E158,1)*Planos!$E158))/Planos!$E158)+1)))</f>
      </c>
      <c r="O160" s="44">
        <f>IF(OR(Planos!$A158="",NOT(ISNUMBER(Planos!$G158)),N(Planos!$E158)&lt;=0),0,IF(Planos!$G158&gt;EOMONTH(DATE(crono_ano_ref,10,1),0),0,MAX(0,INT((EOMONTH(DATE(crono_ano_ref,10,1),0)-IF(Planos!$G158&gt;=DATE(crono_ano_ref,10,1),Planos!$G158,Planos!$G158+CEILING((DATE(crono_ano_ref,10,1)-Planos!$G158)/Planos!$E158,1)*Planos!$E158))/Planos!$E158)+1)))</f>
      </c>
      <c r="P160" s="44">
        <f>IF(OR(Planos!$A158="",NOT(ISNUMBER(Planos!$G158)),N(Planos!$E158)&lt;=0),0,IF(Planos!$G158&gt;EOMONTH(DATE(crono_ano_ref,11,1),0),0,MAX(0,INT((EOMONTH(DATE(crono_ano_ref,11,1),0)-IF(Planos!$G158&gt;=DATE(crono_ano_ref,11,1),Planos!$G158,Planos!$G158+CEILING((DATE(crono_ano_ref,11,1)-Planos!$G158)/Planos!$E158,1)*Planos!$E158))/Planos!$E158)+1)))</f>
      </c>
      <c r="Q160" s="44">
        <f>IF(OR(Planos!$A158="",NOT(ISNUMBER(Planos!$G158)),N(Planos!$E158)&lt;=0),0,IF(Planos!$G158&gt;EOMONTH(DATE(crono_ano_ref,12,1),0),0,MAX(0,INT((EOMONTH(DATE(crono_ano_ref,12,1),0)-IF(Planos!$G158&gt;=DATE(crono_ano_ref,12,1),Planos!$G158,Planos!$G158+CEILING((DATE(crono_ano_ref,12,1)-Planos!$G158)/Planos!$E158,1)*Planos!$E158))/Planos!$E158)+1)))</f>
      </c>
      <c r="R160" s="44">
        <f>SUM(F160:Q160)</f>
      </c>
    </row>
    <row r="161" spans="1:18" x14ac:dyDescent="0.25">
      <c r="A161" s="24">
        <f>IF(Planos!$A159="","",Planos!A159&amp;"")</f>
      </c>
      <c r="B161" s="41">
        <f>IF(Planos!$A159="","",Planos!B159&amp;"")</f>
      </c>
      <c r="C161" s="24">
        <f>IF(Planos!$A159="","",Planos!C159&amp;"")</f>
      </c>
      <c r="D161" s="42">
        <f>IF(Planos!$A159="","",N(Planos!E159))</f>
      </c>
      <c r="E161" s="43">
        <f>IF(Planos!$A159="","",N(Planos!K159))</f>
      </c>
      <c r="F161" s="44">
        <f>IF(OR(Planos!$A159="",NOT(ISNUMBER(Planos!$G159)),N(Planos!$E159)&lt;=0),0,IF(Planos!$G159&gt;EOMONTH(DATE(crono_ano_ref,1,1),0),0,MAX(0,INT((EOMONTH(DATE(crono_ano_ref,1,1),0)-IF(Planos!$G159&gt;=DATE(crono_ano_ref,1,1),Planos!$G159,Planos!$G159+CEILING((DATE(crono_ano_ref,1,1)-Planos!$G159)/Planos!$E159,1)*Planos!$E159))/Planos!$E159)+1)))</f>
      </c>
      <c r="G161" s="44">
        <f>IF(OR(Planos!$A159="",NOT(ISNUMBER(Planos!$G159)),N(Planos!$E159)&lt;=0),0,IF(Planos!$G159&gt;EOMONTH(DATE(crono_ano_ref,2,1),0),0,MAX(0,INT((EOMONTH(DATE(crono_ano_ref,2,1),0)-IF(Planos!$G159&gt;=DATE(crono_ano_ref,2,1),Planos!$G159,Planos!$G159+CEILING((DATE(crono_ano_ref,2,1)-Planos!$G159)/Planos!$E159,1)*Planos!$E159))/Planos!$E159)+1)))</f>
      </c>
      <c r="H161" s="44">
        <f>IF(OR(Planos!$A159="",NOT(ISNUMBER(Planos!$G159)),N(Planos!$E159)&lt;=0),0,IF(Planos!$G159&gt;EOMONTH(DATE(crono_ano_ref,3,1),0),0,MAX(0,INT((EOMONTH(DATE(crono_ano_ref,3,1),0)-IF(Planos!$G159&gt;=DATE(crono_ano_ref,3,1),Planos!$G159,Planos!$G159+CEILING((DATE(crono_ano_ref,3,1)-Planos!$G159)/Planos!$E159,1)*Planos!$E159))/Planos!$E159)+1)))</f>
      </c>
      <c r="I161" s="44">
        <f>IF(OR(Planos!$A159="",NOT(ISNUMBER(Planos!$G159)),N(Planos!$E159)&lt;=0),0,IF(Planos!$G159&gt;EOMONTH(DATE(crono_ano_ref,4,1),0),0,MAX(0,INT((EOMONTH(DATE(crono_ano_ref,4,1),0)-IF(Planos!$G159&gt;=DATE(crono_ano_ref,4,1),Planos!$G159,Planos!$G159+CEILING((DATE(crono_ano_ref,4,1)-Planos!$G159)/Planos!$E159,1)*Planos!$E159))/Planos!$E159)+1)))</f>
      </c>
      <c r="J161" s="44">
        <f>IF(OR(Planos!$A159="",NOT(ISNUMBER(Planos!$G159)),N(Planos!$E159)&lt;=0),0,IF(Planos!$G159&gt;EOMONTH(DATE(crono_ano_ref,5,1),0),0,MAX(0,INT((EOMONTH(DATE(crono_ano_ref,5,1),0)-IF(Planos!$G159&gt;=DATE(crono_ano_ref,5,1),Planos!$G159,Planos!$G159+CEILING((DATE(crono_ano_ref,5,1)-Planos!$G159)/Planos!$E159,1)*Planos!$E159))/Planos!$E159)+1)))</f>
      </c>
      <c r="K161" s="44">
        <f>IF(OR(Planos!$A159="",NOT(ISNUMBER(Planos!$G159)),N(Planos!$E159)&lt;=0),0,IF(Planos!$G159&gt;EOMONTH(DATE(crono_ano_ref,6,1),0),0,MAX(0,INT((EOMONTH(DATE(crono_ano_ref,6,1),0)-IF(Planos!$G159&gt;=DATE(crono_ano_ref,6,1),Planos!$G159,Planos!$G159+CEILING((DATE(crono_ano_ref,6,1)-Planos!$G159)/Planos!$E159,1)*Planos!$E159))/Planos!$E159)+1)))</f>
      </c>
      <c r="L161" s="44">
        <f>IF(OR(Planos!$A159="",NOT(ISNUMBER(Planos!$G159)),N(Planos!$E159)&lt;=0),0,IF(Planos!$G159&gt;EOMONTH(DATE(crono_ano_ref,7,1),0),0,MAX(0,INT((EOMONTH(DATE(crono_ano_ref,7,1),0)-IF(Planos!$G159&gt;=DATE(crono_ano_ref,7,1),Planos!$G159,Planos!$G159+CEILING((DATE(crono_ano_ref,7,1)-Planos!$G159)/Planos!$E159,1)*Planos!$E159))/Planos!$E159)+1)))</f>
      </c>
      <c r="M161" s="44">
        <f>IF(OR(Planos!$A159="",NOT(ISNUMBER(Planos!$G159)),N(Planos!$E159)&lt;=0),0,IF(Planos!$G159&gt;EOMONTH(DATE(crono_ano_ref,8,1),0),0,MAX(0,INT((EOMONTH(DATE(crono_ano_ref,8,1),0)-IF(Planos!$G159&gt;=DATE(crono_ano_ref,8,1),Planos!$G159,Planos!$G159+CEILING((DATE(crono_ano_ref,8,1)-Planos!$G159)/Planos!$E159,1)*Planos!$E159))/Planos!$E159)+1)))</f>
      </c>
      <c r="N161" s="44">
        <f>IF(OR(Planos!$A159="",NOT(ISNUMBER(Planos!$G159)),N(Planos!$E159)&lt;=0),0,IF(Planos!$G159&gt;EOMONTH(DATE(crono_ano_ref,9,1),0),0,MAX(0,INT((EOMONTH(DATE(crono_ano_ref,9,1),0)-IF(Planos!$G159&gt;=DATE(crono_ano_ref,9,1),Planos!$G159,Planos!$G159+CEILING((DATE(crono_ano_ref,9,1)-Planos!$G159)/Planos!$E159,1)*Planos!$E159))/Planos!$E159)+1)))</f>
      </c>
      <c r="O161" s="44">
        <f>IF(OR(Planos!$A159="",NOT(ISNUMBER(Planos!$G159)),N(Planos!$E159)&lt;=0),0,IF(Planos!$G159&gt;EOMONTH(DATE(crono_ano_ref,10,1),0),0,MAX(0,INT((EOMONTH(DATE(crono_ano_ref,10,1),0)-IF(Planos!$G159&gt;=DATE(crono_ano_ref,10,1),Planos!$G159,Planos!$G159+CEILING((DATE(crono_ano_ref,10,1)-Planos!$G159)/Planos!$E159,1)*Planos!$E159))/Planos!$E159)+1)))</f>
      </c>
      <c r="P161" s="44">
        <f>IF(OR(Planos!$A159="",NOT(ISNUMBER(Planos!$G159)),N(Planos!$E159)&lt;=0),0,IF(Planos!$G159&gt;EOMONTH(DATE(crono_ano_ref,11,1),0),0,MAX(0,INT((EOMONTH(DATE(crono_ano_ref,11,1),0)-IF(Planos!$G159&gt;=DATE(crono_ano_ref,11,1),Planos!$G159,Planos!$G159+CEILING((DATE(crono_ano_ref,11,1)-Planos!$G159)/Planos!$E159,1)*Planos!$E159))/Planos!$E159)+1)))</f>
      </c>
      <c r="Q161" s="44">
        <f>IF(OR(Planos!$A159="",NOT(ISNUMBER(Planos!$G159)),N(Planos!$E159)&lt;=0),0,IF(Planos!$G159&gt;EOMONTH(DATE(crono_ano_ref,12,1),0),0,MAX(0,INT((EOMONTH(DATE(crono_ano_ref,12,1),0)-IF(Planos!$G159&gt;=DATE(crono_ano_ref,12,1),Planos!$G159,Planos!$G159+CEILING((DATE(crono_ano_ref,12,1)-Planos!$G159)/Planos!$E159,1)*Planos!$E159))/Planos!$E159)+1)))</f>
      </c>
      <c r="R161" s="44">
        <f>SUM(F161:Q161)</f>
      </c>
    </row>
    <row r="162" spans="1:18" x14ac:dyDescent="0.25">
      <c r="A162" s="24">
        <f>IF(Planos!$A160="","",Planos!A160&amp;"")</f>
      </c>
      <c r="B162" s="41">
        <f>IF(Planos!$A160="","",Planos!B160&amp;"")</f>
      </c>
      <c r="C162" s="24">
        <f>IF(Planos!$A160="","",Planos!C160&amp;"")</f>
      </c>
      <c r="D162" s="42">
        <f>IF(Planos!$A160="","",N(Planos!E160))</f>
      </c>
      <c r="E162" s="43">
        <f>IF(Planos!$A160="","",N(Planos!K160))</f>
      </c>
      <c r="F162" s="44">
        <f>IF(OR(Planos!$A160="",NOT(ISNUMBER(Planos!$G160)),N(Planos!$E160)&lt;=0),0,IF(Planos!$G160&gt;EOMONTH(DATE(crono_ano_ref,1,1),0),0,MAX(0,INT((EOMONTH(DATE(crono_ano_ref,1,1),0)-IF(Planos!$G160&gt;=DATE(crono_ano_ref,1,1),Planos!$G160,Planos!$G160+CEILING((DATE(crono_ano_ref,1,1)-Planos!$G160)/Planos!$E160,1)*Planos!$E160))/Planos!$E160)+1)))</f>
      </c>
      <c r="G162" s="44">
        <f>IF(OR(Planos!$A160="",NOT(ISNUMBER(Planos!$G160)),N(Planos!$E160)&lt;=0),0,IF(Planos!$G160&gt;EOMONTH(DATE(crono_ano_ref,2,1),0),0,MAX(0,INT((EOMONTH(DATE(crono_ano_ref,2,1),0)-IF(Planos!$G160&gt;=DATE(crono_ano_ref,2,1),Planos!$G160,Planos!$G160+CEILING((DATE(crono_ano_ref,2,1)-Planos!$G160)/Planos!$E160,1)*Planos!$E160))/Planos!$E160)+1)))</f>
      </c>
      <c r="H162" s="44">
        <f>IF(OR(Planos!$A160="",NOT(ISNUMBER(Planos!$G160)),N(Planos!$E160)&lt;=0),0,IF(Planos!$G160&gt;EOMONTH(DATE(crono_ano_ref,3,1),0),0,MAX(0,INT((EOMONTH(DATE(crono_ano_ref,3,1),0)-IF(Planos!$G160&gt;=DATE(crono_ano_ref,3,1),Planos!$G160,Planos!$G160+CEILING((DATE(crono_ano_ref,3,1)-Planos!$G160)/Planos!$E160,1)*Planos!$E160))/Planos!$E160)+1)))</f>
      </c>
      <c r="I162" s="44">
        <f>IF(OR(Planos!$A160="",NOT(ISNUMBER(Planos!$G160)),N(Planos!$E160)&lt;=0),0,IF(Planos!$G160&gt;EOMONTH(DATE(crono_ano_ref,4,1),0),0,MAX(0,INT((EOMONTH(DATE(crono_ano_ref,4,1),0)-IF(Planos!$G160&gt;=DATE(crono_ano_ref,4,1),Planos!$G160,Planos!$G160+CEILING((DATE(crono_ano_ref,4,1)-Planos!$G160)/Planos!$E160,1)*Planos!$E160))/Planos!$E160)+1)))</f>
      </c>
      <c r="J162" s="44">
        <f>IF(OR(Planos!$A160="",NOT(ISNUMBER(Planos!$G160)),N(Planos!$E160)&lt;=0),0,IF(Planos!$G160&gt;EOMONTH(DATE(crono_ano_ref,5,1),0),0,MAX(0,INT((EOMONTH(DATE(crono_ano_ref,5,1),0)-IF(Planos!$G160&gt;=DATE(crono_ano_ref,5,1),Planos!$G160,Planos!$G160+CEILING((DATE(crono_ano_ref,5,1)-Planos!$G160)/Planos!$E160,1)*Planos!$E160))/Planos!$E160)+1)))</f>
      </c>
      <c r="K162" s="44">
        <f>IF(OR(Planos!$A160="",NOT(ISNUMBER(Planos!$G160)),N(Planos!$E160)&lt;=0),0,IF(Planos!$G160&gt;EOMONTH(DATE(crono_ano_ref,6,1),0),0,MAX(0,INT((EOMONTH(DATE(crono_ano_ref,6,1),0)-IF(Planos!$G160&gt;=DATE(crono_ano_ref,6,1),Planos!$G160,Planos!$G160+CEILING((DATE(crono_ano_ref,6,1)-Planos!$G160)/Planos!$E160,1)*Planos!$E160))/Planos!$E160)+1)))</f>
      </c>
      <c r="L162" s="44">
        <f>IF(OR(Planos!$A160="",NOT(ISNUMBER(Planos!$G160)),N(Planos!$E160)&lt;=0),0,IF(Planos!$G160&gt;EOMONTH(DATE(crono_ano_ref,7,1),0),0,MAX(0,INT((EOMONTH(DATE(crono_ano_ref,7,1),0)-IF(Planos!$G160&gt;=DATE(crono_ano_ref,7,1),Planos!$G160,Planos!$G160+CEILING((DATE(crono_ano_ref,7,1)-Planos!$G160)/Planos!$E160,1)*Planos!$E160))/Planos!$E160)+1)))</f>
      </c>
      <c r="M162" s="44">
        <f>IF(OR(Planos!$A160="",NOT(ISNUMBER(Planos!$G160)),N(Planos!$E160)&lt;=0),0,IF(Planos!$G160&gt;EOMONTH(DATE(crono_ano_ref,8,1),0),0,MAX(0,INT((EOMONTH(DATE(crono_ano_ref,8,1),0)-IF(Planos!$G160&gt;=DATE(crono_ano_ref,8,1),Planos!$G160,Planos!$G160+CEILING((DATE(crono_ano_ref,8,1)-Planos!$G160)/Planos!$E160,1)*Planos!$E160))/Planos!$E160)+1)))</f>
      </c>
      <c r="N162" s="44">
        <f>IF(OR(Planos!$A160="",NOT(ISNUMBER(Planos!$G160)),N(Planos!$E160)&lt;=0),0,IF(Planos!$G160&gt;EOMONTH(DATE(crono_ano_ref,9,1),0),0,MAX(0,INT((EOMONTH(DATE(crono_ano_ref,9,1),0)-IF(Planos!$G160&gt;=DATE(crono_ano_ref,9,1),Planos!$G160,Planos!$G160+CEILING((DATE(crono_ano_ref,9,1)-Planos!$G160)/Planos!$E160,1)*Planos!$E160))/Planos!$E160)+1)))</f>
      </c>
      <c r="O162" s="44">
        <f>IF(OR(Planos!$A160="",NOT(ISNUMBER(Planos!$G160)),N(Planos!$E160)&lt;=0),0,IF(Planos!$G160&gt;EOMONTH(DATE(crono_ano_ref,10,1),0),0,MAX(0,INT((EOMONTH(DATE(crono_ano_ref,10,1),0)-IF(Planos!$G160&gt;=DATE(crono_ano_ref,10,1),Planos!$G160,Planos!$G160+CEILING((DATE(crono_ano_ref,10,1)-Planos!$G160)/Planos!$E160,1)*Planos!$E160))/Planos!$E160)+1)))</f>
      </c>
      <c r="P162" s="44">
        <f>IF(OR(Planos!$A160="",NOT(ISNUMBER(Planos!$G160)),N(Planos!$E160)&lt;=0),0,IF(Planos!$G160&gt;EOMONTH(DATE(crono_ano_ref,11,1),0),0,MAX(0,INT((EOMONTH(DATE(crono_ano_ref,11,1),0)-IF(Planos!$G160&gt;=DATE(crono_ano_ref,11,1),Planos!$G160,Planos!$G160+CEILING((DATE(crono_ano_ref,11,1)-Planos!$G160)/Planos!$E160,1)*Planos!$E160))/Planos!$E160)+1)))</f>
      </c>
      <c r="Q162" s="44">
        <f>IF(OR(Planos!$A160="",NOT(ISNUMBER(Planos!$G160)),N(Planos!$E160)&lt;=0),0,IF(Planos!$G160&gt;EOMONTH(DATE(crono_ano_ref,12,1),0),0,MAX(0,INT((EOMONTH(DATE(crono_ano_ref,12,1),0)-IF(Planos!$G160&gt;=DATE(crono_ano_ref,12,1),Planos!$G160,Planos!$G160+CEILING((DATE(crono_ano_ref,12,1)-Planos!$G160)/Planos!$E160,1)*Planos!$E160))/Planos!$E160)+1)))</f>
      </c>
      <c r="R162" s="44">
        <f>SUM(F162:Q162)</f>
      </c>
    </row>
    <row r="163" spans="1:18" x14ac:dyDescent="0.25">
      <c r="A163" s="24">
        <f>IF(Planos!$A161="","",Planos!A161&amp;"")</f>
      </c>
      <c r="B163" s="41">
        <f>IF(Planos!$A161="","",Planos!B161&amp;"")</f>
      </c>
      <c r="C163" s="24">
        <f>IF(Planos!$A161="","",Planos!C161&amp;"")</f>
      </c>
      <c r="D163" s="42">
        <f>IF(Planos!$A161="","",N(Planos!E161))</f>
      </c>
      <c r="E163" s="43">
        <f>IF(Planos!$A161="","",N(Planos!K161))</f>
      </c>
      <c r="F163" s="44">
        <f>IF(OR(Planos!$A161="",NOT(ISNUMBER(Planos!$G161)),N(Planos!$E161)&lt;=0),0,IF(Planos!$G161&gt;EOMONTH(DATE(crono_ano_ref,1,1),0),0,MAX(0,INT((EOMONTH(DATE(crono_ano_ref,1,1),0)-IF(Planos!$G161&gt;=DATE(crono_ano_ref,1,1),Planos!$G161,Planos!$G161+CEILING((DATE(crono_ano_ref,1,1)-Planos!$G161)/Planos!$E161,1)*Planos!$E161))/Planos!$E161)+1)))</f>
      </c>
      <c r="G163" s="44">
        <f>IF(OR(Planos!$A161="",NOT(ISNUMBER(Planos!$G161)),N(Planos!$E161)&lt;=0),0,IF(Planos!$G161&gt;EOMONTH(DATE(crono_ano_ref,2,1),0),0,MAX(0,INT((EOMONTH(DATE(crono_ano_ref,2,1),0)-IF(Planos!$G161&gt;=DATE(crono_ano_ref,2,1),Planos!$G161,Planos!$G161+CEILING((DATE(crono_ano_ref,2,1)-Planos!$G161)/Planos!$E161,1)*Planos!$E161))/Planos!$E161)+1)))</f>
      </c>
      <c r="H163" s="44">
        <f>IF(OR(Planos!$A161="",NOT(ISNUMBER(Planos!$G161)),N(Planos!$E161)&lt;=0),0,IF(Planos!$G161&gt;EOMONTH(DATE(crono_ano_ref,3,1),0),0,MAX(0,INT((EOMONTH(DATE(crono_ano_ref,3,1),0)-IF(Planos!$G161&gt;=DATE(crono_ano_ref,3,1),Planos!$G161,Planos!$G161+CEILING((DATE(crono_ano_ref,3,1)-Planos!$G161)/Planos!$E161,1)*Planos!$E161))/Planos!$E161)+1)))</f>
      </c>
      <c r="I163" s="44">
        <f>IF(OR(Planos!$A161="",NOT(ISNUMBER(Planos!$G161)),N(Planos!$E161)&lt;=0),0,IF(Planos!$G161&gt;EOMONTH(DATE(crono_ano_ref,4,1),0),0,MAX(0,INT((EOMONTH(DATE(crono_ano_ref,4,1),0)-IF(Planos!$G161&gt;=DATE(crono_ano_ref,4,1),Planos!$G161,Planos!$G161+CEILING((DATE(crono_ano_ref,4,1)-Planos!$G161)/Planos!$E161,1)*Planos!$E161))/Planos!$E161)+1)))</f>
      </c>
      <c r="J163" s="44">
        <f>IF(OR(Planos!$A161="",NOT(ISNUMBER(Planos!$G161)),N(Planos!$E161)&lt;=0),0,IF(Planos!$G161&gt;EOMONTH(DATE(crono_ano_ref,5,1),0),0,MAX(0,INT((EOMONTH(DATE(crono_ano_ref,5,1),0)-IF(Planos!$G161&gt;=DATE(crono_ano_ref,5,1),Planos!$G161,Planos!$G161+CEILING((DATE(crono_ano_ref,5,1)-Planos!$G161)/Planos!$E161,1)*Planos!$E161))/Planos!$E161)+1)))</f>
      </c>
      <c r="K163" s="44">
        <f>IF(OR(Planos!$A161="",NOT(ISNUMBER(Planos!$G161)),N(Planos!$E161)&lt;=0),0,IF(Planos!$G161&gt;EOMONTH(DATE(crono_ano_ref,6,1),0),0,MAX(0,INT((EOMONTH(DATE(crono_ano_ref,6,1),0)-IF(Planos!$G161&gt;=DATE(crono_ano_ref,6,1),Planos!$G161,Planos!$G161+CEILING((DATE(crono_ano_ref,6,1)-Planos!$G161)/Planos!$E161,1)*Planos!$E161))/Planos!$E161)+1)))</f>
      </c>
      <c r="L163" s="44">
        <f>IF(OR(Planos!$A161="",NOT(ISNUMBER(Planos!$G161)),N(Planos!$E161)&lt;=0),0,IF(Planos!$G161&gt;EOMONTH(DATE(crono_ano_ref,7,1),0),0,MAX(0,INT((EOMONTH(DATE(crono_ano_ref,7,1),0)-IF(Planos!$G161&gt;=DATE(crono_ano_ref,7,1),Planos!$G161,Planos!$G161+CEILING((DATE(crono_ano_ref,7,1)-Planos!$G161)/Planos!$E161,1)*Planos!$E161))/Planos!$E161)+1)))</f>
      </c>
      <c r="M163" s="44">
        <f>IF(OR(Planos!$A161="",NOT(ISNUMBER(Planos!$G161)),N(Planos!$E161)&lt;=0),0,IF(Planos!$G161&gt;EOMONTH(DATE(crono_ano_ref,8,1),0),0,MAX(0,INT((EOMONTH(DATE(crono_ano_ref,8,1),0)-IF(Planos!$G161&gt;=DATE(crono_ano_ref,8,1),Planos!$G161,Planos!$G161+CEILING((DATE(crono_ano_ref,8,1)-Planos!$G161)/Planos!$E161,1)*Planos!$E161))/Planos!$E161)+1)))</f>
      </c>
      <c r="N163" s="44">
        <f>IF(OR(Planos!$A161="",NOT(ISNUMBER(Planos!$G161)),N(Planos!$E161)&lt;=0),0,IF(Planos!$G161&gt;EOMONTH(DATE(crono_ano_ref,9,1),0),0,MAX(0,INT((EOMONTH(DATE(crono_ano_ref,9,1),0)-IF(Planos!$G161&gt;=DATE(crono_ano_ref,9,1),Planos!$G161,Planos!$G161+CEILING((DATE(crono_ano_ref,9,1)-Planos!$G161)/Planos!$E161,1)*Planos!$E161))/Planos!$E161)+1)))</f>
      </c>
      <c r="O163" s="44">
        <f>IF(OR(Planos!$A161="",NOT(ISNUMBER(Planos!$G161)),N(Planos!$E161)&lt;=0),0,IF(Planos!$G161&gt;EOMONTH(DATE(crono_ano_ref,10,1),0),0,MAX(0,INT((EOMONTH(DATE(crono_ano_ref,10,1),0)-IF(Planos!$G161&gt;=DATE(crono_ano_ref,10,1),Planos!$G161,Planos!$G161+CEILING((DATE(crono_ano_ref,10,1)-Planos!$G161)/Planos!$E161,1)*Planos!$E161))/Planos!$E161)+1)))</f>
      </c>
      <c r="P163" s="44">
        <f>IF(OR(Planos!$A161="",NOT(ISNUMBER(Planos!$G161)),N(Planos!$E161)&lt;=0),0,IF(Planos!$G161&gt;EOMONTH(DATE(crono_ano_ref,11,1),0),0,MAX(0,INT((EOMONTH(DATE(crono_ano_ref,11,1),0)-IF(Planos!$G161&gt;=DATE(crono_ano_ref,11,1),Planos!$G161,Planos!$G161+CEILING((DATE(crono_ano_ref,11,1)-Planos!$G161)/Planos!$E161,1)*Planos!$E161))/Planos!$E161)+1)))</f>
      </c>
      <c r="Q163" s="44">
        <f>IF(OR(Planos!$A161="",NOT(ISNUMBER(Planos!$G161)),N(Planos!$E161)&lt;=0),0,IF(Planos!$G161&gt;EOMONTH(DATE(crono_ano_ref,12,1),0),0,MAX(0,INT((EOMONTH(DATE(crono_ano_ref,12,1),0)-IF(Planos!$G161&gt;=DATE(crono_ano_ref,12,1),Planos!$G161,Planos!$G161+CEILING((DATE(crono_ano_ref,12,1)-Planos!$G161)/Planos!$E161,1)*Planos!$E161))/Planos!$E161)+1)))</f>
      </c>
      <c r="R163" s="44">
        <f>SUM(F163:Q163)</f>
      </c>
    </row>
    <row r="164" spans="1:18" x14ac:dyDescent="0.25">
      <c r="A164" s="24">
        <f>IF(Planos!$A162="","",Planos!A162&amp;"")</f>
      </c>
      <c r="B164" s="41">
        <f>IF(Planos!$A162="","",Planos!B162&amp;"")</f>
      </c>
      <c r="C164" s="24">
        <f>IF(Planos!$A162="","",Planos!C162&amp;"")</f>
      </c>
      <c r="D164" s="42">
        <f>IF(Planos!$A162="","",N(Planos!E162))</f>
      </c>
      <c r="E164" s="43">
        <f>IF(Planos!$A162="","",N(Planos!K162))</f>
      </c>
      <c r="F164" s="44">
        <f>IF(OR(Planos!$A162="",NOT(ISNUMBER(Planos!$G162)),N(Planos!$E162)&lt;=0),0,IF(Planos!$G162&gt;EOMONTH(DATE(crono_ano_ref,1,1),0),0,MAX(0,INT((EOMONTH(DATE(crono_ano_ref,1,1),0)-IF(Planos!$G162&gt;=DATE(crono_ano_ref,1,1),Planos!$G162,Planos!$G162+CEILING((DATE(crono_ano_ref,1,1)-Planos!$G162)/Planos!$E162,1)*Planos!$E162))/Planos!$E162)+1)))</f>
      </c>
      <c r="G164" s="44">
        <f>IF(OR(Planos!$A162="",NOT(ISNUMBER(Planos!$G162)),N(Planos!$E162)&lt;=0),0,IF(Planos!$G162&gt;EOMONTH(DATE(crono_ano_ref,2,1),0),0,MAX(0,INT((EOMONTH(DATE(crono_ano_ref,2,1),0)-IF(Planos!$G162&gt;=DATE(crono_ano_ref,2,1),Planos!$G162,Planos!$G162+CEILING((DATE(crono_ano_ref,2,1)-Planos!$G162)/Planos!$E162,1)*Planos!$E162))/Planos!$E162)+1)))</f>
      </c>
      <c r="H164" s="44">
        <f>IF(OR(Planos!$A162="",NOT(ISNUMBER(Planos!$G162)),N(Planos!$E162)&lt;=0),0,IF(Planos!$G162&gt;EOMONTH(DATE(crono_ano_ref,3,1),0),0,MAX(0,INT((EOMONTH(DATE(crono_ano_ref,3,1),0)-IF(Planos!$G162&gt;=DATE(crono_ano_ref,3,1),Planos!$G162,Planos!$G162+CEILING((DATE(crono_ano_ref,3,1)-Planos!$G162)/Planos!$E162,1)*Planos!$E162))/Planos!$E162)+1)))</f>
      </c>
      <c r="I164" s="44">
        <f>IF(OR(Planos!$A162="",NOT(ISNUMBER(Planos!$G162)),N(Planos!$E162)&lt;=0),0,IF(Planos!$G162&gt;EOMONTH(DATE(crono_ano_ref,4,1),0),0,MAX(0,INT((EOMONTH(DATE(crono_ano_ref,4,1),0)-IF(Planos!$G162&gt;=DATE(crono_ano_ref,4,1),Planos!$G162,Planos!$G162+CEILING((DATE(crono_ano_ref,4,1)-Planos!$G162)/Planos!$E162,1)*Planos!$E162))/Planos!$E162)+1)))</f>
      </c>
      <c r="J164" s="44">
        <f>IF(OR(Planos!$A162="",NOT(ISNUMBER(Planos!$G162)),N(Planos!$E162)&lt;=0),0,IF(Planos!$G162&gt;EOMONTH(DATE(crono_ano_ref,5,1),0),0,MAX(0,INT((EOMONTH(DATE(crono_ano_ref,5,1),0)-IF(Planos!$G162&gt;=DATE(crono_ano_ref,5,1),Planos!$G162,Planos!$G162+CEILING((DATE(crono_ano_ref,5,1)-Planos!$G162)/Planos!$E162,1)*Planos!$E162))/Planos!$E162)+1)))</f>
      </c>
      <c r="K164" s="44">
        <f>IF(OR(Planos!$A162="",NOT(ISNUMBER(Planos!$G162)),N(Planos!$E162)&lt;=0),0,IF(Planos!$G162&gt;EOMONTH(DATE(crono_ano_ref,6,1),0),0,MAX(0,INT((EOMONTH(DATE(crono_ano_ref,6,1),0)-IF(Planos!$G162&gt;=DATE(crono_ano_ref,6,1),Planos!$G162,Planos!$G162+CEILING((DATE(crono_ano_ref,6,1)-Planos!$G162)/Planos!$E162,1)*Planos!$E162))/Planos!$E162)+1)))</f>
      </c>
      <c r="L164" s="44">
        <f>IF(OR(Planos!$A162="",NOT(ISNUMBER(Planos!$G162)),N(Planos!$E162)&lt;=0),0,IF(Planos!$G162&gt;EOMONTH(DATE(crono_ano_ref,7,1),0),0,MAX(0,INT((EOMONTH(DATE(crono_ano_ref,7,1),0)-IF(Planos!$G162&gt;=DATE(crono_ano_ref,7,1),Planos!$G162,Planos!$G162+CEILING((DATE(crono_ano_ref,7,1)-Planos!$G162)/Planos!$E162,1)*Planos!$E162))/Planos!$E162)+1)))</f>
      </c>
      <c r="M164" s="44">
        <f>IF(OR(Planos!$A162="",NOT(ISNUMBER(Planos!$G162)),N(Planos!$E162)&lt;=0),0,IF(Planos!$G162&gt;EOMONTH(DATE(crono_ano_ref,8,1),0),0,MAX(0,INT((EOMONTH(DATE(crono_ano_ref,8,1),0)-IF(Planos!$G162&gt;=DATE(crono_ano_ref,8,1),Planos!$G162,Planos!$G162+CEILING((DATE(crono_ano_ref,8,1)-Planos!$G162)/Planos!$E162,1)*Planos!$E162))/Planos!$E162)+1)))</f>
      </c>
      <c r="N164" s="44">
        <f>IF(OR(Planos!$A162="",NOT(ISNUMBER(Planos!$G162)),N(Planos!$E162)&lt;=0),0,IF(Planos!$G162&gt;EOMONTH(DATE(crono_ano_ref,9,1),0),0,MAX(0,INT((EOMONTH(DATE(crono_ano_ref,9,1),0)-IF(Planos!$G162&gt;=DATE(crono_ano_ref,9,1),Planos!$G162,Planos!$G162+CEILING((DATE(crono_ano_ref,9,1)-Planos!$G162)/Planos!$E162,1)*Planos!$E162))/Planos!$E162)+1)))</f>
      </c>
      <c r="O164" s="44">
        <f>IF(OR(Planos!$A162="",NOT(ISNUMBER(Planos!$G162)),N(Planos!$E162)&lt;=0),0,IF(Planos!$G162&gt;EOMONTH(DATE(crono_ano_ref,10,1),0),0,MAX(0,INT((EOMONTH(DATE(crono_ano_ref,10,1),0)-IF(Planos!$G162&gt;=DATE(crono_ano_ref,10,1),Planos!$G162,Planos!$G162+CEILING((DATE(crono_ano_ref,10,1)-Planos!$G162)/Planos!$E162,1)*Planos!$E162))/Planos!$E162)+1)))</f>
      </c>
      <c r="P164" s="44">
        <f>IF(OR(Planos!$A162="",NOT(ISNUMBER(Planos!$G162)),N(Planos!$E162)&lt;=0),0,IF(Planos!$G162&gt;EOMONTH(DATE(crono_ano_ref,11,1),0),0,MAX(0,INT((EOMONTH(DATE(crono_ano_ref,11,1),0)-IF(Planos!$G162&gt;=DATE(crono_ano_ref,11,1),Planos!$G162,Planos!$G162+CEILING((DATE(crono_ano_ref,11,1)-Planos!$G162)/Planos!$E162,1)*Planos!$E162))/Planos!$E162)+1)))</f>
      </c>
      <c r="Q164" s="44">
        <f>IF(OR(Planos!$A162="",NOT(ISNUMBER(Planos!$G162)),N(Planos!$E162)&lt;=0),0,IF(Planos!$G162&gt;EOMONTH(DATE(crono_ano_ref,12,1),0),0,MAX(0,INT((EOMONTH(DATE(crono_ano_ref,12,1),0)-IF(Planos!$G162&gt;=DATE(crono_ano_ref,12,1),Planos!$G162,Planos!$G162+CEILING((DATE(crono_ano_ref,12,1)-Planos!$G162)/Planos!$E162,1)*Planos!$E162))/Planos!$E162)+1)))</f>
      </c>
      <c r="R164" s="44">
        <f>SUM(F164:Q164)</f>
      </c>
    </row>
    <row r="165" spans="1:18" x14ac:dyDescent="0.25">
      <c r="A165" s="24">
        <f>IF(Planos!$A163="","",Planos!A163&amp;"")</f>
      </c>
      <c r="B165" s="41">
        <f>IF(Planos!$A163="","",Planos!B163&amp;"")</f>
      </c>
      <c r="C165" s="24">
        <f>IF(Planos!$A163="","",Planos!C163&amp;"")</f>
      </c>
      <c r="D165" s="42">
        <f>IF(Planos!$A163="","",N(Planos!E163))</f>
      </c>
      <c r="E165" s="43">
        <f>IF(Planos!$A163="","",N(Planos!K163))</f>
      </c>
      <c r="F165" s="44">
        <f>IF(OR(Planos!$A163="",NOT(ISNUMBER(Planos!$G163)),N(Planos!$E163)&lt;=0),0,IF(Planos!$G163&gt;EOMONTH(DATE(crono_ano_ref,1,1),0),0,MAX(0,INT((EOMONTH(DATE(crono_ano_ref,1,1),0)-IF(Planos!$G163&gt;=DATE(crono_ano_ref,1,1),Planos!$G163,Planos!$G163+CEILING((DATE(crono_ano_ref,1,1)-Planos!$G163)/Planos!$E163,1)*Planos!$E163))/Planos!$E163)+1)))</f>
      </c>
      <c r="G165" s="44">
        <f>IF(OR(Planos!$A163="",NOT(ISNUMBER(Planos!$G163)),N(Planos!$E163)&lt;=0),0,IF(Planos!$G163&gt;EOMONTH(DATE(crono_ano_ref,2,1),0),0,MAX(0,INT((EOMONTH(DATE(crono_ano_ref,2,1),0)-IF(Planos!$G163&gt;=DATE(crono_ano_ref,2,1),Planos!$G163,Planos!$G163+CEILING((DATE(crono_ano_ref,2,1)-Planos!$G163)/Planos!$E163,1)*Planos!$E163))/Planos!$E163)+1)))</f>
      </c>
      <c r="H165" s="44">
        <f>IF(OR(Planos!$A163="",NOT(ISNUMBER(Planos!$G163)),N(Planos!$E163)&lt;=0),0,IF(Planos!$G163&gt;EOMONTH(DATE(crono_ano_ref,3,1),0),0,MAX(0,INT((EOMONTH(DATE(crono_ano_ref,3,1),0)-IF(Planos!$G163&gt;=DATE(crono_ano_ref,3,1),Planos!$G163,Planos!$G163+CEILING((DATE(crono_ano_ref,3,1)-Planos!$G163)/Planos!$E163,1)*Planos!$E163))/Planos!$E163)+1)))</f>
      </c>
      <c r="I165" s="44">
        <f>IF(OR(Planos!$A163="",NOT(ISNUMBER(Planos!$G163)),N(Planos!$E163)&lt;=0),0,IF(Planos!$G163&gt;EOMONTH(DATE(crono_ano_ref,4,1),0),0,MAX(0,INT((EOMONTH(DATE(crono_ano_ref,4,1),0)-IF(Planos!$G163&gt;=DATE(crono_ano_ref,4,1),Planos!$G163,Planos!$G163+CEILING((DATE(crono_ano_ref,4,1)-Planos!$G163)/Planos!$E163,1)*Planos!$E163))/Planos!$E163)+1)))</f>
      </c>
      <c r="J165" s="44">
        <f>IF(OR(Planos!$A163="",NOT(ISNUMBER(Planos!$G163)),N(Planos!$E163)&lt;=0),0,IF(Planos!$G163&gt;EOMONTH(DATE(crono_ano_ref,5,1),0),0,MAX(0,INT((EOMONTH(DATE(crono_ano_ref,5,1),0)-IF(Planos!$G163&gt;=DATE(crono_ano_ref,5,1),Planos!$G163,Planos!$G163+CEILING((DATE(crono_ano_ref,5,1)-Planos!$G163)/Planos!$E163,1)*Planos!$E163))/Planos!$E163)+1)))</f>
      </c>
      <c r="K165" s="44">
        <f>IF(OR(Planos!$A163="",NOT(ISNUMBER(Planos!$G163)),N(Planos!$E163)&lt;=0),0,IF(Planos!$G163&gt;EOMONTH(DATE(crono_ano_ref,6,1),0),0,MAX(0,INT((EOMONTH(DATE(crono_ano_ref,6,1),0)-IF(Planos!$G163&gt;=DATE(crono_ano_ref,6,1),Planos!$G163,Planos!$G163+CEILING((DATE(crono_ano_ref,6,1)-Planos!$G163)/Planos!$E163,1)*Planos!$E163))/Planos!$E163)+1)))</f>
      </c>
      <c r="L165" s="44">
        <f>IF(OR(Planos!$A163="",NOT(ISNUMBER(Planos!$G163)),N(Planos!$E163)&lt;=0),0,IF(Planos!$G163&gt;EOMONTH(DATE(crono_ano_ref,7,1),0),0,MAX(0,INT((EOMONTH(DATE(crono_ano_ref,7,1),0)-IF(Planos!$G163&gt;=DATE(crono_ano_ref,7,1),Planos!$G163,Planos!$G163+CEILING((DATE(crono_ano_ref,7,1)-Planos!$G163)/Planos!$E163,1)*Planos!$E163))/Planos!$E163)+1)))</f>
      </c>
      <c r="M165" s="44">
        <f>IF(OR(Planos!$A163="",NOT(ISNUMBER(Planos!$G163)),N(Planos!$E163)&lt;=0),0,IF(Planos!$G163&gt;EOMONTH(DATE(crono_ano_ref,8,1),0),0,MAX(0,INT((EOMONTH(DATE(crono_ano_ref,8,1),0)-IF(Planos!$G163&gt;=DATE(crono_ano_ref,8,1),Planos!$G163,Planos!$G163+CEILING((DATE(crono_ano_ref,8,1)-Planos!$G163)/Planos!$E163,1)*Planos!$E163))/Planos!$E163)+1)))</f>
      </c>
      <c r="N165" s="44">
        <f>IF(OR(Planos!$A163="",NOT(ISNUMBER(Planos!$G163)),N(Planos!$E163)&lt;=0),0,IF(Planos!$G163&gt;EOMONTH(DATE(crono_ano_ref,9,1),0),0,MAX(0,INT((EOMONTH(DATE(crono_ano_ref,9,1),0)-IF(Planos!$G163&gt;=DATE(crono_ano_ref,9,1),Planos!$G163,Planos!$G163+CEILING((DATE(crono_ano_ref,9,1)-Planos!$G163)/Planos!$E163,1)*Planos!$E163))/Planos!$E163)+1)))</f>
      </c>
      <c r="O165" s="44">
        <f>IF(OR(Planos!$A163="",NOT(ISNUMBER(Planos!$G163)),N(Planos!$E163)&lt;=0),0,IF(Planos!$G163&gt;EOMONTH(DATE(crono_ano_ref,10,1),0),0,MAX(0,INT((EOMONTH(DATE(crono_ano_ref,10,1),0)-IF(Planos!$G163&gt;=DATE(crono_ano_ref,10,1),Planos!$G163,Planos!$G163+CEILING((DATE(crono_ano_ref,10,1)-Planos!$G163)/Planos!$E163,1)*Planos!$E163))/Planos!$E163)+1)))</f>
      </c>
      <c r="P165" s="44">
        <f>IF(OR(Planos!$A163="",NOT(ISNUMBER(Planos!$G163)),N(Planos!$E163)&lt;=0),0,IF(Planos!$G163&gt;EOMONTH(DATE(crono_ano_ref,11,1),0),0,MAX(0,INT((EOMONTH(DATE(crono_ano_ref,11,1),0)-IF(Planos!$G163&gt;=DATE(crono_ano_ref,11,1),Planos!$G163,Planos!$G163+CEILING((DATE(crono_ano_ref,11,1)-Planos!$G163)/Planos!$E163,1)*Planos!$E163))/Planos!$E163)+1)))</f>
      </c>
      <c r="Q165" s="44">
        <f>IF(OR(Planos!$A163="",NOT(ISNUMBER(Planos!$G163)),N(Planos!$E163)&lt;=0),0,IF(Planos!$G163&gt;EOMONTH(DATE(crono_ano_ref,12,1),0),0,MAX(0,INT((EOMONTH(DATE(crono_ano_ref,12,1),0)-IF(Planos!$G163&gt;=DATE(crono_ano_ref,12,1),Planos!$G163,Planos!$G163+CEILING((DATE(crono_ano_ref,12,1)-Planos!$G163)/Planos!$E163,1)*Planos!$E163))/Planos!$E163)+1)))</f>
      </c>
      <c r="R165" s="44">
        <f>SUM(F165:Q165)</f>
      </c>
    </row>
    <row r="166" spans="1:18" x14ac:dyDescent="0.25">
      <c r="A166" s="24">
        <f>IF(Planos!$A164="","",Planos!A164&amp;"")</f>
      </c>
      <c r="B166" s="41">
        <f>IF(Planos!$A164="","",Planos!B164&amp;"")</f>
      </c>
      <c r="C166" s="24">
        <f>IF(Planos!$A164="","",Planos!C164&amp;"")</f>
      </c>
      <c r="D166" s="42">
        <f>IF(Planos!$A164="","",N(Planos!E164))</f>
      </c>
      <c r="E166" s="43">
        <f>IF(Planos!$A164="","",N(Planos!K164))</f>
      </c>
      <c r="F166" s="44">
        <f>IF(OR(Planos!$A164="",NOT(ISNUMBER(Planos!$G164)),N(Planos!$E164)&lt;=0),0,IF(Planos!$G164&gt;EOMONTH(DATE(crono_ano_ref,1,1),0),0,MAX(0,INT((EOMONTH(DATE(crono_ano_ref,1,1),0)-IF(Planos!$G164&gt;=DATE(crono_ano_ref,1,1),Planos!$G164,Planos!$G164+CEILING((DATE(crono_ano_ref,1,1)-Planos!$G164)/Planos!$E164,1)*Planos!$E164))/Planos!$E164)+1)))</f>
      </c>
      <c r="G166" s="44">
        <f>IF(OR(Planos!$A164="",NOT(ISNUMBER(Planos!$G164)),N(Planos!$E164)&lt;=0),0,IF(Planos!$G164&gt;EOMONTH(DATE(crono_ano_ref,2,1),0),0,MAX(0,INT((EOMONTH(DATE(crono_ano_ref,2,1),0)-IF(Planos!$G164&gt;=DATE(crono_ano_ref,2,1),Planos!$G164,Planos!$G164+CEILING((DATE(crono_ano_ref,2,1)-Planos!$G164)/Planos!$E164,1)*Planos!$E164))/Planos!$E164)+1)))</f>
      </c>
      <c r="H166" s="44">
        <f>IF(OR(Planos!$A164="",NOT(ISNUMBER(Planos!$G164)),N(Planos!$E164)&lt;=0),0,IF(Planos!$G164&gt;EOMONTH(DATE(crono_ano_ref,3,1),0),0,MAX(0,INT((EOMONTH(DATE(crono_ano_ref,3,1),0)-IF(Planos!$G164&gt;=DATE(crono_ano_ref,3,1),Planos!$G164,Planos!$G164+CEILING((DATE(crono_ano_ref,3,1)-Planos!$G164)/Planos!$E164,1)*Planos!$E164))/Planos!$E164)+1)))</f>
      </c>
      <c r="I166" s="44">
        <f>IF(OR(Planos!$A164="",NOT(ISNUMBER(Planos!$G164)),N(Planos!$E164)&lt;=0),0,IF(Planos!$G164&gt;EOMONTH(DATE(crono_ano_ref,4,1),0),0,MAX(0,INT((EOMONTH(DATE(crono_ano_ref,4,1),0)-IF(Planos!$G164&gt;=DATE(crono_ano_ref,4,1),Planos!$G164,Planos!$G164+CEILING((DATE(crono_ano_ref,4,1)-Planos!$G164)/Planos!$E164,1)*Planos!$E164))/Planos!$E164)+1)))</f>
      </c>
      <c r="J166" s="44">
        <f>IF(OR(Planos!$A164="",NOT(ISNUMBER(Planos!$G164)),N(Planos!$E164)&lt;=0),0,IF(Planos!$G164&gt;EOMONTH(DATE(crono_ano_ref,5,1),0),0,MAX(0,INT((EOMONTH(DATE(crono_ano_ref,5,1),0)-IF(Planos!$G164&gt;=DATE(crono_ano_ref,5,1),Planos!$G164,Planos!$G164+CEILING((DATE(crono_ano_ref,5,1)-Planos!$G164)/Planos!$E164,1)*Planos!$E164))/Planos!$E164)+1)))</f>
      </c>
      <c r="K166" s="44">
        <f>IF(OR(Planos!$A164="",NOT(ISNUMBER(Planos!$G164)),N(Planos!$E164)&lt;=0),0,IF(Planos!$G164&gt;EOMONTH(DATE(crono_ano_ref,6,1),0),0,MAX(0,INT((EOMONTH(DATE(crono_ano_ref,6,1),0)-IF(Planos!$G164&gt;=DATE(crono_ano_ref,6,1),Planos!$G164,Planos!$G164+CEILING((DATE(crono_ano_ref,6,1)-Planos!$G164)/Planos!$E164,1)*Planos!$E164))/Planos!$E164)+1)))</f>
      </c>
      <c r="L166" s="44">
        <f>IF(OR(Planos!$A164="",NOT(ISNUMBER(Planos!$G164)),N(Planos!$E164)&lt;=0),0,IF(Planos!$G164&gt;EOMONTH(DATE(crono_ano_ref,7,1),0),0,MAX(0,INT((EOMONTH(DATE(crono_ano_ref,7,1),0)-IF(Planos!$G164&gt;=DATE(crono_ano_ref,7,1),Planos!$G164,Planos!$G164+CEILING((DATE(crono_ano_ref,7,1)-Planos!$G164)/Planos!$E164,1)*Planos!$E164))/Planos!$E164)+1)))</f>
      </c>
      <c r="M166" s="44">
        <f>IF(OR(Planos!$A164="",NOT(ISNUMBER(Planos!$G164)),N(Planos!$E164)&lt;=0),0,IF(Planos!$G164&gt;EOMONTH(DATE(crono_ano_ref,8,1),0),0,MAX(0,INT((EOMONTH(DATE(crono_ano_ref,8,1),0)-IF(Planos!$G164&gt;=DATE(crono_ano_ref,8,1),Planos!$G164,Planos!$G164+CEILING((DATE(crono_ano_ref,8,1)-Planos!$G164)/Planos!$E164,1)*Planos!$E164))/Planos!$E164)+1)))</f>
      </c>
      <c r="N166" s="44">
        <f>IF(OR(Planos!$A164="",NOT(ISNUMBER(Planos!$G164)),N(Planos!$E164)&lt;=0),0,IF(Planos!$G164&gt;EOMONTH(DATE(crono_ano_ref,9,1),0),0,MAX(0,INT((EOMONTH(DATE(crono_ano_ref,9,1),0)-IF(Planos!$G164&gt;=DATE(crono_ano_ref,9,1),Planos!$G164,Planos!$G164+CEILING((DATE(crono_ano_ref,9,1)-Planos!$G164)/Planos!$E164,1)*Planos!$E164))/Planos!$E164)+1)))</f>
      </c>
      <c r="O166" s="44">
        <f>IF(OR(Planos!$A164="",NOT(ISNUMBER(Planos!$G164)),N(Planos!$E164)&lt;=0),0,IF(Planos!$G164&gt;EOMONTH(DATE(crono_ano_ref,10,1),0),0,MAX(0,INT((EOMONTH(DATE(crono_ano_ref,10,1),0)-IF(Planos!$G164&gt;=DATE(crono_ano_ref,10,1),Planos!$G164,Planos!$G164+CEILING((DATE(crono_ano_ref,10,1)-Planos!$G164)/Planos!$E164,1)*Planos!$E164))/Planos!$E164)+1)))</f>
      </c>
      <c r="P166" s="44">
        <f>IF(OR(Planos!$A164="",NOT(ISNUMBER(Planos!$G164)),N(Planos!$E164)&lt;=0),0,IF(Planos!$G164&gt;EOMONTH(DATE(crono_ano_ref,11,1),0),0,MAX(0,INT((EOMONTH(DATE(crono_ano_ref,11,1),0)-IF(Planos!$G164&gt;=DATE(crono_ano_ref,11,1),Planos!$G164,Planos!$G164+CEILING((DATE(crono_ano_ref,11,1)-Planos!$G164)/Planos!$E164,1)*Planos!$E164))/Planos!$E164)+1)))</f>
      </c>
      <c r="Q166" s="44">
        <f>IF(OR(Planos!$A164="",NOT(ISNUMBER(Planos!$G164)),N(Planos!$E164)&lt;=0),0,IF(Planos!$G164&gt;EOMONTH(DATE(crono_ano_ref,12,1),0),0,MAX(0,INT((EOMONTH(DATE(crono_ano_ref,12,1),0)-IF(Planos!$G164&gt;=DATE(crono_ano_ref,12,1),Planos!$G164,Planos!$G164+CEILING((DATE(crono_ano_ref,12,1)-Planos!$G164)/Planos!$E164,1)*Planos!$E164))/Planos!$E164)+1)))</f>
      </c>
      <c r="R166" s="44">
        <f>SUM(F166:Q166)</f>
      </c>
    </row>
    <row r="167" spans="1:18" x14ac:dyDescent="0.25">
      <c r="A167" s="24">
        <f>IF(Planos!$A165="","",Planos!A165&amp;"")</f>
      </c>
      <c r="B167" s="41">
        <f>IF(Planos!$A165="","",Planos!B165&amp;"")</f>
      </c>
      <c r="C167" s="24">
        <f>IF(Planos!$A165="","",Planos!C165&amp;"")</f>
      </c>
      <c r="D167" s="42">
        <f>IF(Planos!$A165="","",N(Planos!E165))</f>
      </c>
      <c r="E167" s="43">
        <f>IF(Planos!$A165="","",N(Planos!K165))</f>
      </c>
      <c r="F167" s="44">
        <f>IF(OR(Planos!$A165="",NOT(ISNUMBER(Planos!$G165)),N(Planos!$E165)&lt;=0),0,IF(Planos!$G165&gt;EOMONTH(DATE(crono_ano_ref,1,1),0),0,MAX(0,INT((EOMONTH(DATE(crono_ano_ref,1,1),0)-IF(Planos!$G165&gt;=DATE(crono_ano_ref,1,1),Planos!$G165,Planos!$G165+CEILING((DATE(crono_ano_ref,1,1)-Planos!$G165)/Planos!$E165,1)*Planos!$E165))/Planos!$E165)+1)))</f>
      </c>
      <c r="G167" s="44">
        <f>IF(OR(Planos!$A165="",NOT(ISNUMBER(Planos!$G165)),N(Planos!$E165)&lt;=0),0,IF(Planos!$G165&gt;EOMONTH(DATE(crono_ano_ref,2,1),0),0,MAX(0,INT((EOMONTH(DATE(crono_ano_ref,2,1),0)-IF(Planos!$G165&gt;=DATE(crono_ano_ref,2,1),Planos!$G165,Planos!$G165+CEILING((DATE(crono_ano_ref,2,1)-Planos!$G165)/Planos!$E165,1)*Planos!$E165))/Planos!$E165)+1)))</f>
      </c>
      <c r="H167" s="44">
        <f>IF(OR(Planos!$A165="",NOT(ISNUMBER(Planos!$G165)),N(Planos!$E165)&lt;=0),0,IF(Planos!$G165&gt;EOMONTH(DATE(crono_ano_ref,3,1),0),0,MAX(0,INT((EOMONTH(DATE(crono_ano_ref,3,1),0)-IF(Planos!$G165&gt;=DATE(crono_ano_ref,3,1),Planos!$G165,Planos!$G165+CEILING((DATE(crono_ano_ref,3,1)-Planos!$G165)/Planos!$E165,1)*Planos!$E165))/Planos!$E165)+1)))</f>
      </c>
      <c r="I167" s="44">
        <f>IF(OR(Planos!$A165="",NOT(ISNUMBER(Planos!$G165)),N(Planos!$E165)&lt;=0),0,IF(Planos!$G165&gt;EOMONTH(DATE(crono_ano_ref,4,1),0),0,MAX(0,INT((EOMONTH(DATE(crono_ano_ref,4,1),0)-IF(Planos!$G165&gt;=DATE(crono_ano_ref,4,1),Planos!$G165,Planos!$G165+CEILING((DATE(crono_ano_ref,4,1)-Planos!$G165)/Planos!$E165,1)*Planos!$E165))/Planos!$E165)+1)))</f>
      </c>
      <c r="J167" s="44">
        <f>IF(OR(Planos!$A165="",NOT(ISNUMBER(Planos!$G165)),N(Planos!$E165)&lt;=0),0,IF(Planos!$G165&gt;EOMONTH(DATE(crono_ano_ref,5,1),0),0,MAX(0,INT((EOMONTH(DATE(crono_ano_ref,5,1),0)-IF(Planos!$G165&gt;=DATE(crono_ano_ref,5,1),Planos!$G165,Planos!$G165+CEILING((DATE(crono_ano_ref,5,1)-Planos!$G165)/Planos!$E165,1)*Planos!$E165))/Planos!$E165)+1)))</f>
      </c>
      <c r="K167" s="44">
        <f>IF(OR(Planos!$A165="",NOT(ISNUMBER(Planos!$G165)),N(Planos!$E165)&lt;=0),0,IF(Planos!$G165&gt;EOMONTH(DATE(crono_ano_ref,6,1),0),0,MAX(0,INT((EOMONTH(DATE(crono_ano_ref,6,1),0)-IF(Planos!$G165&gt;=DATE(crono_ano_ref,6,1),Planos!$G165,Planos!$G165+CEILING((DATE(crono_ano_ref,6,1)-Planos!$G165)/Planos!$E165,1)*Planos!$E165))/Planos!$E165)+1)))</f>
      </c>
      <c r="L167" s="44">
        <f>IF(OR(Planos!$A165="",NOT(ISNUMBER(Planos!$G165)),N(Planos!$E165)&lt;=0),0,IF(Planos!$G165&gt;EOMONTH(DATE(crono_ano_ref,7,1),0),0,MAX(0,INT((EOMONTH(DATE(crono_ano_ref,7,1),0)-IF(Planos!$G165&gt;=DATE(crono_ano_ref,7,1),Planos!$G165,Planos!$G165+CEILING((DATE(crono_ano_ref,7,1)-Planos!$G165)/Planos!$E165,1)*Planos!$E165))/Planos!$E165)+1)))</f>
      </c>
      <c r="M167" s="44">
        <f>IF(OR(Planos!$A165="",NOT(ISNUMBER(Planos!$G165)),N(Planos!$E165)&lt;=0),0,IF(Planos!$G165&gt;EOMONTH(DATE(crono_ano_ref,8,1),0),0,MAX(0,INT((EOMONTH(DATE(crono_ano_ref,8,1),0)-IF(Planos!$G165&gt;=DATE(crono_ano_ref,8,1),Planos!$G165,Planos!$G165+CEILING((DATE(crono_ano_ref,8,1)-Planos!$G165)/Planos!$E165,1)*Planos!$E165))/Planos!$E165)+1)))</f>
      </c>
      <c r="N167" s="44">
        <f>IF(OR(Planos!$A165="",NOT(ISNUMBER(Planos!$G165)),N(Planos!$E165)&lt;=0),0,IF(Planos!$G165&gt;EOMONTH(DATE(crono_ano_ref,9,1),0),0,MAX(0,INT((EOMONTH(DATE(crono_ano_ref,9,1),0)-IF(Planos!$G165&gt;=DATE(crono_ano_ref,9,1),Planos!$G165,Planos!$G165+CEILING((DATE(crono_ano_ref,9,1)-Planos!$G165)/Planos!$E165,1)*Planos!$E165))/Planos!$E165)+1)))</f>
      </c>
      <c r="O167" s="44">
        <f>IF(OR(Planos!$A165="",NOT(ISNUMBER(Planos!$G165)),N(Planos!$E165)&lt;=0),0,IF(Planos!$G165&gt;EOMONTH(DATE(crono_ano_ref,10,1),0),0,MAX(0,INT((EOMONTH(DATE(crono_ano_ref,10,1),0)-IF(Planos!$G165&gt;=DATE(crono_ano_ref,10,1),Planos!$G165,Planos!$G165+CEILING((DATE(crono_ano_ref,10,1)-Planos!$G165)/Planos!$E165,1)*Planos!$E165))/Planos!$E165)+1)))</f>
      </c>
      <c r="P167" s="44">
        <f>IF(OR(Planos!$A165="",NOT(ISNUMBER(Planos!$G165)),N(Planos!$E165)&lt;=0),0,IF(Planos!$G165&gt;EOMONTH(DATE(crono_ano_ref,11,1),0),0,MAX(0,INT((EOMONTH(DATE(crono_ano_ref,11,1),0)-IF(Planos!$G165&gt;=DATE(crono_ano_ref,11,1),Planos!$G165,Planos!$G165+CEILING((DATE(crono_ano_ref,11,1)-Planos!$G165)/Planos!$E165,1)*Planos!$E165))/Planos!$E165)+1)))</f>
      </c>
      <c r="Q167" s="44">
        <f>IF(OR(Planos!$A165="",NOT(ISNUMBER(Planos!$G165)),N(Planos!$E165)&lt;=0),0,IF(Planos!$G165&gt;EOMONTH(DATE(crono_ano_ref,12,1),0),0,MAX(0,INT((EOMONTH(DATE(crono_ano_ref,12,1),0)-IF(Planos!$G165&gt;=DATE(crono_ano_ref,12,1),Planos!$G165,Planos!$G165+CEILING((DATE(crono_ano_ref,12,1)-Planos!$G165)/Planos!$E165,1)*Planos!$E165))/Planos!$E165)+1)))</f>
      </c>
      <c r="R167" s="44">
        <f>SUM(F167:Q167)</f>
      </c>
    </row>
    <row r="168" spans="1:18" x14ac:dyDescent="0.25">
      <c r="A168" s="24">
        <f>IF(Planos!$A166="","",Planos!A166&amp;"")</f>
      </c>
      <c r="B168" s="41">
        <f>IF(Planos!$A166="","",Planos!B166&amp;"")</f>
      </c>
      <c r="C168" s="24">
        <f>IF(Planos!$A166="","",Planos!C166&amp;"")</f>
      </c>
      <c r="D168" s="42">
        <f>IF(Planos!$A166="","",N(Planos!E166))</f>
      </c>
      <c r="E168" s="43">
        <f>IF(Planos!$A166="","",N(Planos!K166))</f>
      </c>
      <c r="F168" s="44">
        <f>IF(OR(Planos!$A166="",NOT(ISNUMBER(Planos!$G166)),N(Planos!$E166)&lt;=0),0,IF(Planos!$G166&gt;EOMONTH(DATE(crono_ano_ref,1,1),0),0,MAX(0,INT((EOMONTH(DATE(crono_ano_ref,1,1),0)-IF(Planos!$G166&gt;=DATE(crono_ano_ref,1,1),Planos!$G166,Planos!$G166+CEILING((DATE(crono_ano_ref,1,1)-Planos!$G166)/Planos!$E166,1)*Planos!$E166))/Planos!$E166)+1)))</f>
      </c>
      <c r="G168" s="44">
        <f>IF(OR(Planos!$A166="",NOT(ISNUMBER(Planos!$G166)),N(Planos!$E166)&lt;=0),0,IF(Planos!$G166&gt;EOMONTH(DATE(crono_ano_ref,2,1),0),0,MAX(0,INT((EOMONTH(DATE(crono_ano_ref,2,1),0)-IF(Planos!$G166&gt;=DATE(crono_ano_ref,2,1),Planos!$G166,Planos!$G166+CEILING((DATE(crono_ano_ref,2,1)-Planos!$G166)/Planos!$E166,1)*Planos!$E166))/Planos!$E166)+1)))</f>
      </c>
      <c r="H168" s="44">
        <f>IF(OR(Planos!$A166="",NOT(ISNUMBER(Planos!$G166)),N(Planos!$E166)&lt;=0),0,IF(Planos!$G166&gt;EOMONTH(DATE(crono_ano_ref,3,1),0),0,MAX(0,INT((EOMONTH(DATE(crono_ano_ref,3,1),0)-IF(Planos!$G166&gt;=DATE(crono_ano_ref,3,1),Planos!$G166,Planos!$G166+CEILING((DATE(crono_ano_ref,3,1)-Planos!$G166)/Planos!$E166,1)*Planos!$E166))/Planos!$E166)+1)))</f>
      </c>
      <c r="I168" s="44">
        <f>IF(OR(Planos!$A166="",NOT(ISNUMBER(Planos!$G166)),N(Planos!$E166)&lt;=0),0,IF(Planos!$G166&gt;EOMONTH(DATE(crono_ano_ref,4,1),0),0,MAX(0,INT((EOMONTH(DATE(crono_ano_ref,4,1),0)-IF(Planos!$G166&gt;=DATE(crono_ano_ref,4,1),Planos!$G166,Planos!$G166+CEILING((DATE(crono_ano_ref,4,1)-Planos!$G166)/Planos!$E166,1)*Planos!$E166))/Planos!$E166)+1)))</f>
      </c>
      <c r="J168" s="44">
        <f>IF(OR(Planos!$A166="",NOT(ISNUMBER(Planos!$G166)),N(Planos!$E166)&lt;=0),0,IF(Planos!$G166&gt;EOMONTH(DATE(crono_ano_ref,5,1),0),0,MAX(0,INT((EOMONTH(DATE(crono_ano_ref,5,1),0)-IF(Planos!$G166&gt;=DATE(crono_ano_ref,5,1),Planos!$G166,Planos!$G166+CEILING((DATE(crono_ano_ref,5,1)-Planos!$G166)/Planos!$E166,1)*Planos!$E166))/Planos!$E166)+1)))</f>
      </c>
      <c r="K168" s="44">
        <f>IF(OR(Planos!$A166="",NOT(ISNUMBER(Planos!$G166)),N(Planos!$E166)&lt;=0),0,IF(Planos!$G166&gt;EOMONTH(DATE(crono_ano_ref,6,1),0),0,MAX(0,INT((EOMONTH(DATE(crono_ano_ref,6,1),0)-IF(Planos!$G166&gt;=DATE(crono_ano_ref,6,1),Planos!$G166,Planos!$G166+CEILING((DATE(crono_ano_ref,6,1)-Planos!$G166)/Planos!$E166,1)*Planos!$E166))/Planos!$E166)+1)))</f>
      </c>
      <c r="L168" s="44">
        <f>IF(OR(Planos!$A166="",NOT(ISNUMBER(Planos!$G166)),N(Planos!$E166)&lt;=0),0,IF(Planos!$G166&gt;EOMONTH(DATE(crono_ano_ref,7,1),0),0,MAX(0,INT((EOMONTH(DATE(crono_ano_ref,7,1),0)-IF(Planos!$G166&gt;=DATE(crono_ano_ref,7,1),Planos!$G166,Planos!$G166+CEILING((DATE(crono_ano_ref,7,1)-Planos!$G166)/Planos!$E166,1)*Planos!$E166))/Planos!$E166)+1)))</f>
      </c>
      <c r="M168" s="44">
        <f>IF(OR(Planos!$A166="",NOT(ISNUMBER(Planos!$G166)),N(Planos!$E166)&lt;=0),0,IF(Planos!$G166&gt;EOMONTH(DATE(crono_ano_ref,8,1),0),0,MAX(0,INT((EOMONTH(DATE(crono_ano_ref,8,1),0)-IF(Planos!$G166&gt;=DATE(crono_ano_ref,8,1),Planos!$G166,Planos!$G166+CEILING((DATE(crono_ano_ref,8,1)-Planos!$G166)/Planos!$E166,1)*Planos!$E166))/Planos!$E166)+1)))</f>
      </c>
      <c r="N168" s="44">
        <f>IF(OR(Planos!$A166="",NOT(ISNUMBER(Planos!$G166)),N(Planos!$E166)&lt;=0),0,IF(Planos!$G166&gt;EOMONTH(DATE(crono_ano_ref,9,1),0),0,MAX(0,INT((EOMONTH(DATE(crono_ano_ref,9,1),0)-IF(Planos!$G166&gt;=DATE(crono_ano_ref,9,1),Planos!$G166,Planos!$G166+CEILING((DATE(crono_ano_ref,9,1)-Planos!$G166)/Planos!$E166,1)*Planos!$E166))/Planos!$E166)+1)))</f>
      </c>
      <c r="O168" s="44">
        <f>IF(OR(Planos!$A166="",NOT(ISNUMBER(Planos!$G166)),N(Planos!$E166)&lt;=0),0,IF(Planos!$G166&gt;EOMONTH(DATE(crono_ano_ref,10,1),0),0,MAX(0,INT((EOMONTH(DATE(crono_ano_ref,10,1),0)-IF(Planos!$G166&gt;=DATE(crono_ano_ref,10,1),Planos!$G166,Planos!$G166+CEILING((DATE(crono_ano_ref,10,1)-Planos!$G166)/Planos!$E166,1)*Planos!$E166))/Planos!$E166)+1)))</f>
      </c>
      <c r="P168" s="44">
        <f>IF(OR(Planos!$A166="",NOT(ISNUMBER(Planos!$G166)),N(Planos!$E166)&lt;=0),0,IF(Planos!$G166&gt;EOMONTH(DATE(crono_ano_ref,11,1),0),0,MAX(0,INT((EOMONTH(DATE(crono_ano_ref,11,1),0)-IF(Planos!$G166&gt;=DATE(crono_ano_ref,11,1),Planos!$G166,Planos!$G166+CEILING((DATE(crono_ano_ref,11,1)-Planos!$G166)/Planos!$E166,1)*Planos!$E166))/Planos!$E166)+1)))</f>
      </c>
      <c r="Q168" s="44">
        <f>IF(OR(Planos!$A166="",NOT(ISNUMBER(Planos!$G166)),N(Planos!$E166)&lt;=0),0,IF(Planos!$G166&gt;EOMONTH(DATE(crono_ano_ref,12,1),0),0,MAX(0,INT((EOMONTH(DATE(crono_ano_ref,12,1),0)-IF(Planos!$G166&gt;=DATE(crono_ano_ref,12,1),Planos!$G166,Planos!$G166+CEILING((DATE(crono_ano_ref,12,1)-Planos!$G166)/Planos!$E166,1)*Planos!$E166))/Planos!$E166)+1)))</f>
      </c>
      <c r="R168" s="44">
        <f>SUM(F168:Q168)</f>
      </c>
    </row>
    <row r="169" spans="1:18" x14ac:dyDescent="0.25">
      <c r="A169" s="24">
        <f>IF(Planos!$A167="","",Planos!A167&amp;"")</f>
      </c>
      <c r="B169" s="41">
        <f>IF(Planos!$A167="","",Planos!B167&amp;"")</f>
      </c>
      <c r="C169" s="24">
        <f>IF(Planos!$A167="","",Planos!C167&amp;"")</f>
      </c>
      <c r="D169" s="42">
        <f>IF(Planos!$A167="","",N(Planos!E167))</f>
      </c>
      <c r="E169" s="43">
        <f>IF(Planos!$A167="","",N(Planos!K167))</f>
      </c>
      <c r="F169" s="44">
        <f>IF(OR(Planos!$A167="",NOT(ISNUMBER(Planos!$G167)),N(Planos!$E167)&lt;=0),0,IF(Planos!$G167&gt;EOMONTH(DATE(crono_ano_ref,1,1),0),0,MAX(0,INT((EOMONTH(DATE(crono_ano_ref,1,1),0)-IF(Planos!$G167&gt;=DATE(crono_ano_ref,1,1),Planos!$G167,Planos!$G167+CEILING((DATE(crono_ano_ref,1,1)-Planos!$G167)/Planos!$E167,1)*Planos!$E167))/Planos!$E167)+1)))</f>
      </c>
      <c r="G169" s="44">
        <f>IF(OR(Planos!$A167="",NOT(ISNUMBER(Planos!$G167)),N(Planos!$E167)&lt;=0),0,IF(Planos!$G167&gt;EOMONTH(DATE(crono_ano_ref,2,1),0),0,MAX(0,INT((EOMONTH(DATE(crono_ano_ref,2,1),0)-IF(Planos!$G167&gt;=DATE(crono_ano_ref,2,1),Planos!$G167,Planos!$G167+CEILING((DATE(crono_ano_ref,2,1)-Planos!$G167)/Planos!$E167,1)*Planos!$E167))/Planos!$E167)+1)))</f>
      </c>
      <c r="H169" s="44">
        <f>IF(OR(Planos!$A167="",NOT(ISNUMBER(Planos!$G167)),N(Planos!$E167)&lt;=0),0,IF(Planos!$G167&gt;EOMONTH(DATE(crono_ano_ref,3,1),0),0,MAX(0,INT((EOMONTH(DATE(crono_ano_ref,3,1),0)-IF(Planos!$G167&gt;=DATE(crono_ano_ref,3,1),Planos!$G167,Planos!$G167+CEILING((DATE(crono_ano_ref,3,1)-Planos!$G167)/Planos!$E167,1)*Planos!$E167))/Planos!$E167)+1)))</f>
      </c>
      <c r="I169" s="44">
        <f>IF(OR(Planos!$A167="",NOT(ISNUMBER(Planos!$G167)),N(Planos!$E167)&lt;=0),0,IF(Planos!$G167&gt;EOMONTH(DATE(crono_ano_ref,4,1),0),0,MAX(0,INT((EOMONTH(DATE(crono_ano_ref,4,1),0)-IF(Planos!$G167&gt;=DATE(crono_ano_ref,4,1),Planos!$G167,Planos!$G167+CEILING((DATE(crono_ano_ref,4,1)-Planos!$G167)/Planos!$E167,1)*Planos!$E167))/Planos!$E167)+1)))</f>
      </c>
      <c r="J169" s="44">
        <f>IF(OR(Planos!$A167="",NOT(ISNUMBER(Planos!$G167)),N(Planos!$E167)&lt;=0),0,IF(Planos!$G167&gt;EOMONTH(DATE(crono_ano_ref,5,1),0),0,MAX(0,INT((EOMONTH(DATE(crono_ano_ref,5,1),0)-IF(Planos!$G167&gt;=DATE(crono_ano_ref,5,1),Planos!$G167,Planos!$G167+CEILING((DATE(crono_ano_ref,5,1)-Planos!$G167)/Planos!$E167,1)*Planos!$E167))/Planos!$E167)+1)))</f>
      </c>
      <c r="K169" s="44">
        <f>IF(OR(Planos!$A167="",NOT(ISNUMBER(Planos!$G167)),N(Planos!$E167)&lt;=0),0,IF(Planos!$G167&gt;EOMONTH(DATE(crono_ano_ref,6,1),0),0,MAX(0,INT((EOMONTH(DATE(crono_ano_ref,6,1),0)-IF(Planos!$G167&gt;=DATE(crono_ano_ref,6,1),Planos!$G167,Planos!$G167+CEILING((DATE(crono_ano_ref,6,1)-Planos!$G167)/Planos!$E167,1)*Planos!$E167))/Planos!$E167)+1)))</f>
      </c>
      <c r="L169" s="44">
        <f>IF(OR(Planos!$A167="",NOT(ISNUMBER(Planos!$G167)),N(Planos!$E167)&lt;=0),0,IF(Planos!$G167&gt;EOMONTH(DATE(crono_ano_ref,7,1),0),0,MAX(0,INT((EOMONTH(DATE(crono_ano_ref,7,1),0)-IF(Planos!$G167&gt;=DATE(crono_ano_ref,7,1),Planos!$G167,Planos!$G167+CEILING((DATE(crono_ano_ref,7,1)-Planos!$G167)/Planos!$E167,1)*Planos!$E167))/Planos!$E167)+1)))</f>
      </c>
      <c r="M169" s="44">
        <f>IF(OR(Planos!$A167="",NOT(ISNUMBER(Planos!$G167)),N(Planos!$E167)&lt;=0),0,IF(Planos!$G167&gt;EOMONTH(DATE(crono_ano_ref,8,1),0),0,MAX(0,INT((EOMONTH(DATE(crono_ano_ref,8,1),0)-IF(Planos!$G167&gt;=DATE(crono_ano_ref,8,1),Planos!$G167,Planos!$G167+CEILING((DATE(crono_ano_ref,8,1)-Planos!$G167)/Planos!$E167,1)*Planos!$E167))/Planos!$E167)+1)))</f>
      </c>
      <c r="N169" s="44">
        <f>IF(OR(Planos!$A167="",NOT(ISNUMBER(Planos!$G167)),N(Planos!$E167)&lt;=0),0,IF(Planos!$G167&gt;EOMONTH(DATE(crono_ano_ref,9,1),0),0,MAX(0,INT((EOMONTH(DATE(crono_ano_ref,9,1),0)-IF(Planos!$G167&gt;=DATE(crono_ano_ref,9,1),Planos!$G167,Planos!$G167+CEILING((DATE(crono_ano_ref,9,1)-Planos!$G167)/Planos!$E167,1)*Planos!$E167))/Planos!$E167)+1)))</f>
      </c>
      <c r="O169" s="44">
        <f>IF(OR(Planos!$A167="",NOT(ISNUMBER(Planos!$G167)),N(Planos!$E167)&lt;=0),0,IF(Planos!$G167&gt;EOMONTH(DATE(crono_ano_ref,10,1),0),0,MAX(0,INT((EOMONTH(DATE(crono_ano_ref,10,1),0)-IF(Planos!$G167&gt;=DATE(crono_ano_ref,10,1),Planos!$G167,Planos!$G167+CEILING((DATE(crono_ano_ref,10,1)-Planos!$G167)/Planos!$E167,1)*Planos!$E167))/Planos!$E167)+1)))</f>
      </c>
      <c r="P169" s="44">
        <f>IF(OR(Planos!$A167="",NOT(ISNUMBER(Planos!$G167)),N(Planos!$E167)&lt;=0),0,IF(Planos!$G167&gt;EOMONTH(DATE(crono_ano_ref,11,1),0),0,MAX(0,INT((EOMONTH(DATE(crono_ano_ref,11,1),0)-IF(Planos!$G167&gt;=DATE(crono_ano_ref,11,1),Planos!$G167,Planos!$G167+CEILING((DATE(crono_ano_ref,11,1)-Planos!$G167)/Planos!$E167,1)*Planos!$E167))/Planos!$E167)+1)))</f>
      </c>
      <c r="Q169" s="44">
        <f>IF(OR(Planos!$A167="",NOT(ISNUMBER(Planos!$G167)),N(Planos!$E167)&lt;=0),0,IF(Planos!$G167&gt;EOMONTH(DATE(crono_ano_ref,12,1),0),0,MAX(0,INT((EOMONTH(DATE(crono_ano_ref,12,1),0)-IF(Planos!$G167&gt;=DATE(crono_ano_ref,12,1),Planos!$G167,Planos!$G167+CEILING((DATE(crono_ano_ref,12,1)-Planos!$G167)/Planos!$E167,1)*Planos!$E167))/Planos!$E167)+1)))</f>
      </c>
      <c r="R169" s="44">
        <f>SUM(F169:Q169)</f>
      </c>
    </row>
    <row r="170" spans="1:18" x14ac:dyDescent="0.25">
      <c r="A170" s="24">
        <f>IF(Planos!$A168="","",Planos!A168&amp;"")</f>
      </c>
      <c r="B170" s="41">
        <f>IF(Planos!$A168="","",Planos!B168&amp;"")</f>
      </c>
      <c r="C170" s="24">
        <f>IF(Planos!$A168="","",Planos!C168&amp;"")</f>
      </c>
      <c r="D170" s="42">
        <f>IF(Planos!$A168="","",N(Planos!E168))</f>
      </c>
      <c r="E170" s="43">
        <f>IF(Planos!$A168="","",N(Planos!K168))</f>
      </c>
      <c r="F170" s="44">
        <f>IF(OR(Planos!$A168="",NOT(ISNUMBER(Planos!$G168)),N(Planos!$E168)&lt;=0),0,IF(Planos!$G168&gt;EOMONTH(DATE(crono_ano_ref,1,1),0),0,MAX(0,INT((EOMONTH(DATE(crono_ano_ref,1,1),0)-IF(Planos!$G168&gt;=DATE(crono_ano_ref,1,1),Planos!$G168,Planos!$G168+CEILING((DATE(crono_ano_ref,1,1)-Planos!$G168)/Planos!$E168,1)*Planos!$E168))/Planos!$E168)+1)))</f>
      </c>
      <c r="G170" s="44">
        <f>IF(OR(Planos!$A168="",NOT(ISNUMBER(Planos!$G168)),N(Planos!$E168)&lt;=0),0,IF(Planos!$G168&gt;EOMONTH(DATE(crono_ano_ref,2,1),0),0,MAX(0,INT((EOMONTH(DATE(crono_ano_ref,2,1),0)-IF(Planos!$G168&gt;=DATE(crono_ano_ref,2,1),Planos!$G168,Planos!$G168+CEILING((DATE(crono_ano_ref,2,1)-Planos!$G168)/Planos!$E168,1)*Planos!$E168))/Planos!$E168)+1)))</f>
      </c>
      <c r="H170" s="44">
        <f>IF(OR(Planos!$A168="",NOT(ISNUMBER(Planos!$G168)),N(Planos!$E168)&lt;=0),0,IF(Planos!$G168&gt;EOMONTH(DATE(crono_ano_ref,3,1),0),0,MAX(0,INT((EOMONTH(DATE(crono_ano_ref,3,1),0)-IF(Planos!$G168&gt;=DATE(crono_ano_ref,3,1),Planos!$G168,Planos!$G168+CEILING((DATE(crono_ano_ref,3,1)-Planos!$G168)/Planos!$E168,1)*Planos!$E168))/Planos!$E168)+1)))</f>
      </c>
      <c r="I170" s="44">
        <f>IF(OR(Planos!$A168="",NOT(ISNUMBER(Planos!$G168)),N(Planos!$E168)&lt;=0),0,IF(Planos!$G168&gt;EOMONTH(DATE(crono_ano_ref,4,1),0),0,MAX(0,INT((EOMONTH(DATE(crono_ano_ref,4,1),0)-IF(Planos!$G168&gt;=DATE(crono_ano_ref,4,1),Planos!$G168,Planos!$G168+CEILING((DATE(crono_ano_ref,4,1)-Planos!$G168)/Planos!$E168,1)*Planos!$E168))/Planos!$E168)+1)))</f>
      </c>
      <c r="J170" s="44">
        <f>IF(OR(Planos!$A168="",NOT(ISNUMBER(Planos!$G168)),N(Planos!$E168)&lt;=0),0,IF(Planos!$G168&gt;EOMONTH(DATE(crono_ano_ref,5,1),0),0,MAX(0,INT((EOMONTH(DATE(crono_ano_ref,5,1),0)-IF(Planos!$G168&gt;=DATE(crono_ano_ref,5,1),Planos!$G168,Planos!$G168+CEILING((DATE(crono_ano_ref,5,1)-Planos!$G168)/Planos!$E168,1)*Planos!$E168))/Planos!$E168)+1)))</f>
      </c>
      <c r="K170" s="44">
        <f>IF(OR(Planos!$A168="",NOT(ISNUMBER(Planos!$G168)),N(Planos!$E168)&lt;=0),0,IF(Planos!$G168&gt;EOMONTH(DATE(crono_ano_ref,6,1),0),0,MAX(0,INT((EOMONTH(DATE(crono_ano_ref,6,1),0)-IF(Planos!$G168&gt;=DATE(crono_ano_ref,6,1),Planos!$G168,Planos!$G168+CEILING((DATE(crono_ano_ref,6,1)-Planos!$G168)/Planos!$E168,1)*Planos!$E168))/Planos!$E168)+1)))</f>
      </c>
      <c r="L170" s="44">
        <f>IF(OR(Planos!$A168="",NOT(ISNUMBER(Planos!$G168)),N(Planos!$E168)&lt;=0),0,IF(Planos!$G168&gt;EOMONTH(DATE(crono_ano_ref,7,1),0),0,MAX(0,INT((EOMONTH(DATE(crono_ano_ref,7,1),0)-IF(Planos!$G168&gt;=DATE(crono_ano_ref,7,1),Planos!$G168,Planos!$G168+CEILING((DATE(crono_ano_ref,7,1)-Planos!$G168)/Planos!$E168,1)*Planos!$E168))/Planos!$E168)+1)))</f>
      </c>
      <c r="M170" s="44">
        <f>IF(OR(Planos!$A168="",NOT(ISNUMBER(Planos!$G168)),N(Planos!$E168)&lt;=0),0,IF(Planos!$G168&gt;EOMONTH(DATE(crono_ano_ref,8,1),0),0,MAX(0,INT((EOMONTH(DATE(crono_ano_ref,8,1),0)-IF(Planos!$G168&gt;=DATE(crono_ano_ref,8,1),Planos!$G168,Planos!$G168+CEILING((DATE(crono_ano_ref,8,1)-Planos!$G168)/Planos!$E168,1)*Planos!$E168))/Planos!$E168)+1)))</f>
      </c>
      <c r="N170" s="44">
        <f>IF(OR(Planos!$A168="",NOT(ISNUMBER(Planos!$G168)),N(Planos!$E168)&lt;=0),0,IF(Planos!$G168&gt;EOMONTH(DATE(crono_ano_ref,9,1),0),0,MAX(0,INT((EOMONTH(DATE(crono_ano_ref,9,1),0)-IF(Planos!$G168&gt;=DATE(crono_ano_ref,9,1),Planos!$G168,Planos!$G168+CEILING((DATE(crono_ano_ref,9,1)-Planos!$G168)/Planos!$E168,1)*Planos!$E168))/Planos!$E168)+1)))</f>
      </c>
      <c r="O170" s="44">
        <f>IF(OR(Planos!$A168="",NOT(ISNUMBER(Planos!$G168)),N(Planos!$E168)&lt;=0),0,IF(Planos!$G168&gt;EOMONTH(DATE(crono_ano_ref,10,1),0),0,MAX(0,INT((EOMONTH(DATE(crono_ano_ref,10,1),0)-IF(Planos!$G168&gt;=DATE(crono_ano_ref,10,1),Planos!$G168,Planos!$G168+CEILING((DATE(crono_ano_ref,10,1)-Planos!$G168)/Planos!$E168,1)*Planos!$E168))/Planos!$E168)+1)))</f>
      </c>
      <c r="P170" s="44">
        <f>IF(OR(Planos!$A168="",NOT(ISNUMBER(Planos!$G168)),N(Planos!$E168)&lt;=0),0,IF(Planos!$G168&gt;EOMONTH(DATE(crono_ano_ref,11,1),0),0,MAX(0,INT((EOMONTH(DATE(crono_ano_ref,11,1),0)-IF(Planos!$G168&gt;=DATE(crono_ano_ref,11,1),Planos!$G168,Planos!$G168+CEILING((DATE(crono_ano_ref,11,1)-Planos!$G168)/Planos!$E168,1)*Planos!$E168))/Planos!$E168)+1)))</f>
      </c>
      <c r="Q170" s="44">
        <f>IF(OR(Planos!$A168="",NOT(ISNUMBER(Planos!$G168)),N(Planos!$E168)&lt;=0),0,IF(Planos!$G168&gt;EOMONTH(DATE(crono_ano_ref,12,1),0),0,MAX(0,INT((EOMONTH(DATE(crono_ano_ref,12,1),0)-IF(Planos!$G168&gt;=DATE(crono_ano_ref,12,1),Planos!$G168,Planos!$G168+CEILING((DATE(crono_ano_ref,12,1)-Planos!$G168)/Planos!$E168,1)*Planos!$E168))/Planos!$E168)+1)))</f>
      </c>
      <c r="R170" s="44">
        <f>SUM(F170:Q170)</f>
      </c>
    </row>
    <row r="171" spans="1:18" x14ac:dyDescent="0.25">
      <c r="A171" s="24">
        <f>IF(Planos!$A169="","",Planos!A169&amp;"")</f>
      </c>
      <c r="B171" s="41">
        <f>IF(Planos!$A169="","",Planos!B169&amp;"")</f>
      </c>
      <c r="C171" s="24">
        <f>IF(Planos!$A169="","",Planos!C169&amp;"")</f>
      </c>
      <c r="D171" s="42">
        <f>IF(Planos!$A169="","",N(Planos!E169))</f>
      </c>
      <c r="E171" s="43">
        <f>IF(Planos!$A169="","",N(Planos!K169))</f>
      </c>
      <c r="F171" s="44">
        <f>IF(OR(Planos!$A169="",NOT(ISNUMBER(Planos!$G169)),N(Planos!$E169)&lt;=0),0,IF(Planos!$G169&gt;EOMONTH(DATE(crono_ano_ref,1,1),0),0,MAX(0,INT((EOMONTH(DATE(crono_ano_ref,1,1),0)-IF(Planos!$G169&gt;=DATE(crono_ano_ref,1,1),Planos!$G169,Planos!$G169+CEILING((DATE(crono_ano_ref,1,1)-Planos!$G169)/Planos!$E169,1)*Planos!$E169))/Planos!$E169)+1)))</f>
      </c>
      <c r="G171" s="44">
        <f>IF(OR(Planos!$A169="",NOT(ISNUMBER(Planos!$G169)),N(Planos!$E169)&lt;=0),0,IF(Planos!$G169&gt;EOMONTH(DATE(crono_ano_ref,2,1),0),0,MAX(0,INT((EOMONTH(DATE(crono_ano_ref,2,1),0)-IF(Planos!$G169&gt;=DATE(crono_ano_ref,2,1),Planos!$G169,Planos!$G169+CEILING((DATE(crono_ano_ref,2,1)-Planos!$G169)/Planos!$E169,1)*Planos!$E169))/Planos!$E169)+1)))</f>
      </c>
      <c r="H171" s="44">
        <f>IF(OR(Planos!$A169="",NOT(ISNUMBER(Planos!$G169)),N(Planos!$E169)&lt;=0),0,IF(Planos!$G169&gt;EOMONTH(DATE(crono_ano_ref,3,1),0),0,MAX(0,INT((EOMONTH(DATE(crono_ano_ref,3,1),0)-IF(Planos!$G169&gt;=DATE(crono_ano_ref,3,1),Planos!$G169,Planos!$G169+CEILING((DATE(crono_ano_ref,3,1)-Planos!$G169)/Planos!$E169,1)*Planos!$E169))/Planos!$E169)+1)))</f>
      </c>
      <c r="I171" s="44">
        <f>IF(OR(Planos!$A169="",NOT(ISNUMBER(Planos!$G169)),N(Planos!$E169)&lt;=0),0,IF(Planos!$G169&gt;EOMONTH(DATE(crono_ano_ref,4,1),0),0,MAX(0,INT((EOMONTH(DATE(crono_ano_ref,4,1),0)-IF(Planos!$G169&gt;=DATE(crono_ano_ref,4,1),Planos!$G169,Planos!$G169+CEILING((DATE(crono_ano_ref,4,1)-Planos!$G169)/Planos!$E169,1)*Planos!$E169))/Planos!$E169)+1)))</f>
      </c>
      <c r="J171" s="44">
        <f>IF(OR(Planos!$A169="",NOT(ISNUMBER(Planos!$G169)),N(Planos!$E169)&lt;=0),0,IF(Planos!$G169&gt;EOMONTH(DATE(crono_ano_ref,5,1),0),0,MAX(0,INT((EOMONTH(DATE(crono_ano_ref,5,1),0)-IF(Planos!$G169&gt;=DATE(crono_ano_ref,5,1),Planos!$G169,Planos!$G169+CEILING((DATE(crono_ano_ref,5,1)-Planos!$G169)/Planos!$E169,1)*Planos!$E169))/Planos!$E169)+1)))</f>
      </c>
      <c r="K171" s="44">
        <f>IF(OR(Planos!$A169="",NOT(ISNUMBER(Planos!$G169)),N(Planos!$E169)&lt;=0),0,IF(Planos!$G169&gt;EOMONTH(DATE(crono_ano_ref,6,1),0),0,MAX(0,INT((EOMONTH(DATE(crono_ano_ref,6,1),0)-IF(Planos!$G169&gt;=DATE(crono_ano_ref,6,1),Planos!$G169,Planos!$G169+CEILING((DATE(crono_ano_ref,6,1)-Planos!$G169)/Planos!$E169,1)*Planos!$E169))/Planos!$E169)+1)))</f>
      </c>
      <c r="L171" s="44">
        <f>IF(OR(Planos!$A169="",NOT(ISNUMBER(Planos!$G169)),N(Planos!$E169)&lt;=0),0,IF(Planos!$G169&gt;EOMONTH(DATE(crono_ano_ref,7,1),0),0,MAX(0,INT((EOMONTH(DATE(crono_ano_ref,7,1),0)-IF(Planos!$G169&gt;=DATE(crono_ano_ref,7,1),Planos!$G169,Planos!$G169+CEILING((DATE(crono_ano_ref,7,1)-Planos!$G169)/Planos!$E169,1)*Planos!$E169))/Planos!$E169)+1)))</f>
      </c>
      <c r="M171" s="44">
        <f>IF(OR(Planos!$A169="",NOT(ISNUMBER(Planos!$G169)),N(Planos!$E169)&lt;=0),0,IF(Planos!$G169&gt;EOMONTH(DATE(crono_ano_ref,8,1),0),0,MAX(0,INT((EOMONTH(DATE(crono_ano_ref,8,1),0)-IF(Planos!$G169&gt;=DATE(crono_ano_ref,8,1),Planos!$G169,Planos!$G169+CEILING((DATE(crono_ano_ref,8,1)-Planos!$G169)/Planos!$E169,1)*Planos!$E169))/Planos!$E169)+1)))</f>
      </c>
      <c r="N171" s="44">
        <f>IF(OR(Planos!$A169="",NOT(ISNUMBER(Planos!$G169)),N(Planos!$E169)&lt;=0),0,IF(Planos!$G169&gt;EOMONTH(DATE(crono_ano_ref,9,1),0),0,MAX(0,INT((EOMONTH(DATE(crono_ano_ref,9,1),0)-IF(Planos!$G169&gt;=DATE(crono_ano_ref,9,1),Planos!$G169,Planos!$G169+CEILING((DATE(crono_ano_ref,9,1)-Planos!$G169)/Planos!$E169,1)*Planos!$E169))/Planos!$E169)+1)))</f>
      </c>
      <c r="O171" s="44">
        <f>IF(OR(Planos!$A169="",NOT(ISNUMBER(Planos!$G169)),N(Planos!$E169)&lt;=0),0,IF(Planos!$G169&gt;EOMONTH(DATE(crono_ano_ref,10,1),0),0,MAX(0,INT((EOMONTH(DATE(crono_ano_ref,10,1),0)-IF(Planos!$G169&gt;=DATE(crono_ano_ref,10,1),Planos!$G169,Planos!$G169+CEILING((DATE(crono_ano_ref,10,1)-Planos!$G169)/Planos!$E169,1)*Planos!$E169))/Planos!$E169)+1)))</f>
      </c>
      <c r="P171" s="44">
        <f>IF(OR(Planos!$A169="",NOT(ISNUMBER(Planos!$G169)),N(Planos!$E169)&lt;=0),0,IF(Planos!$G169&gt;EOMONTH(DATE(crono_ano_ref,11,1),0),0,MAX(0,INT((EOMONTH(DATE(crono_ano_ref,11,1),0)-IF(Planos!$G169&gt;=DATE(crono_ano_ref,11,1),Planos!$G169,Planos!$G169+CEILING((DATE(crono_ano_ref,11,1)-Planos!$G169)/Planos!$E169,1)*Planos!$E169))/Planos!$E169)+1)))</f>
      </c>
      <c r="Q171" s="44">
        <f>IF(OR(Planos!$A169="",NOT(ISNUMBER(Planos!$G169)),N(Planos!$E169)&lt;=0),0,IF(Planos!$G169&gt;EOMONTH(DATE(crono_ano_ref,12,1),0),0,MAX(0,INT((EOMONTH(DATE(crono_ano_ref,12,1),0)-IF(Planos!$G169&gt;=DATE(crono_ano_ref,12,1),Planos!$G169,Planos!$G169+CEILING((DATE(crono_ano_ref,12,1)-Planos!$G169)/Planos!$E169,1)*Planos!$E169))/Planos!$E169)+1)))</f>
      </c>
      <c r="R171" s="44">
        <f>SUM(F171:Q171)</f>
      </c>
    </row>
    <row r="172" spans="1:18" x14ac:dyDescent="0.25">
      <c r="A172" s="24">
        <f>IF(Planos!$A170="","",Planos!A170&amp;"")</f>
      </c>
      <c r="B172" s="41">
        <f>IF(Planos!$A170="","",Planos!B170&amp;"")</f>
      </c>
      <c r="C172" s="24">
        <f>IF(Planos!$A170="","",Planos!C170&amp;"")</f>
      </c>
      <c r="D172" s="42">
        <f>IF(Planos!$A170="","",N(Planos!E170))</f>
      </c>
      <c r="E172" s="43">
        <f>IF(Planos!$A170="","",N(Planos!K170))</f>
      </c>
      <c r="F172" s="44">
        <f>IF(OR(Planos!$A170="",NOT(ISNUMBER(Planos!$G170)),N(Planos!$E170)&lt;=0),0,IF(Planos!$G170&gt;EOMONTH(DATE(crono_ano_ref,1,1),0),0,MAX(0,INT((EOMONTH(DATE(crono_ano_ref,1,1),0)-IF(Planos!$G170&gt;=DATE(crono_ano_ref,1,1),Planos!$G170,Planos!$G170+CEILING((DATE(crono_ano_ref,1,1)-Planos!$G170)/Planos!$E170,1)*Planos!$E170))/Planos!$E170)+1)))</f>
      </c>
      <c r="G172" s="44">
        <f>IF(OR(Planos!$A170="",NOT(ISNUMBER(Planos!$G170)),N(Planos!$E170)&lt;=0),0,IF(Planos!$G170&gt;EOMONTH(DATE(crono_ano_ref,2,1),0),0,MAX(0,INT((EOMONTH(DATE(crono_ano_ref,2,1),0)-IF(Planos!$G170&gt;=DATE(crono_ano_ref,2,1),Planos!$G170,Planos!$G170+CEILING((DATE(crono_ano_ref,2,1)-Planos!$G170)/Planos!$E170,1)*Planos!$E170))/Planos!$E170)+1)))</f>
      </c>
      <c r="H172" s="44">
        <f>IF(OR(Planos!$A170="",NOT(ISNUMBER(Planos!$G170)),N(Planos!$E170)&lt;=0),0,IF(Planos!$G170&gt;EOMONTH(DATE(crono_ano_ref,3,1),0),0,MAX(0,INT((EOMONTH(DATE(crono_ano_ref,3,1),0)-IF(Planos!$G170&gt;=DATE(crono_ano_ref,3,1),Planos!$G170,Planos!$G170+CEILING((DATE(crono_ano_ref,3,1)-Planos!$G170)/Planos!$E170,1)*Planos!$E170))/Planos!$E170)+1)))</f>
      </c>
      <c r="I172" s="44">
        <f>IF(OR(Planos!$A170="",NOT(ISNUMBER(Planos!$G170)),N(Planos!$E170)&lt;=0),0,IF(Planos!$G170&gt;EOMONTH(DATE(crono_ano_ref,4,1),0),0,MAX(0,INT((EOMONTH(DATE(crono_ano_ref,4,1),0)-IF(Planos!$G170&gt;=DATE(crono_ano_ref,4,1),Planos!$G170,Planos!$G170+CEILING((DATE(crono_ano_ref,4,1)-Planos!$G170)/Planos!$E170,1)*Planos!$E170))/Planos!$E170)+1)))</f>
      </c>
      <c r="J172" s="44">
        <f>IF(OR(Planos!$A170="",NOT(ISNUMBER(Planos!$G170)),N(Planos!$E170)&lt;=0),0,IF(Planos!$G170&gt;EOMONTH(DATE(crono_ano_ref,5,1),0),0,MAX(0,INT((EOMONTH(DATE(crono_ano_ref,5,1),0)-IF(Planos!$G170&gt;=DATE(crono_ano_ref,5,1),Planos!$G170,Planos!$G170+CEILING((DATE(crono_ano_ref,5,1)-Planos!$G170)/Planos!$E170,1)*Planos!$E170))/Planos!$E170)+1)))</f>
      </c>
      <c r="K172" s="44">
        <f>IF(OR(Planos!$A170="",NOT(ISNUMBER(Planos!$G170)),N(Planos!$E170)&lt;=0),0,IF(Planos!$G170&gt;EOMONTH(DATE(crono_ano_ref,6,1),0),0,MAX(0,INT((EOMONTH(DATE(crono_ano_ref,6,1),0)-IF(Planos!$G170&gt;=DATE(crono_ano_ref,6,1),Planos!$G170,Planos!$G170+CEILING((DATE(crono_ano_ref,6,1)-Planos!$G170)/Planos!$E170,1)*Planos!$E170))/Planos!$E170)+1)))</f>
      </c>
      <c r="L172" s="44">
        <f>IF(OR(Planos!$A170="",NOT(ISNUMBER(Planos!$G170)),N(Planos!$E170)&lt;=0),0,IF(Planos!$G170&gt;EOMONTH(DATE(crono_ano_ref,7,1),0),0,MAX(0,INT((EOMONTH(DATE(crono_ano_ref,7,1),0)-IF(Planos!$G170&gt;=DATE(crono_ano_ref,7,1),Planos!$G170,Planos!$G170+CEILING((DATE(crono_ano_ref,7,1)-Planos!$G170)/Planos!$E170,1)*Planos!$E170))/Planos!$E170)+1)))</f>
      </c>
      <c r="M172" s="44">
        <f>IF(OR(Planos!$A170="",NOT(ISNUMBER(Planos!$G170)),N(Planos!$E170)&lt;=0),0,IF(Planos!$G170&gt;EOMONTH(DATE(crono_ano_ref,8,1),0),0,MAX(0,INT((EOMONTH(DATE(crono_ano_ref,8,1),0)-IF(Planos!$G170&gt;=DATE(crono_ano_ref,8,1),Planos!$G170,Planos!$G170+CEILING((DATE(crono_ano_ref,8,1)-Planos!$G170)/Planos!$E170,1)*Planos!$E170))/Planos!$E170)+1)))</f>
      </c>
      <c r="N172" s="44">
        <f>IF(OR(Planos!$A170="",NOT(ISNUMBER(Planos!$G170)),N(Planos!$E170)&lt;=0),0,IF(Planos!$G170&gt;EOMONTH(DATE(crono_ano_ref,9,1),0),0,MAX(0,INT((EOMONTH(DATE(crono_ano_ref,9,1),0)-IF(Planos!$G170&gt;=DATE(crono_ano_ref,9,1),Planos!$G170,Planos!$G170+CEILING((DATE(crono_ano_ref,9,1)-Planos!$G170)/Planos!$E170,1)*Planos!$E170))/Planos!$E170)+1)))</f>
      </c>
      <c r="O172" s="44">
        <f>IF(OR(Planos!$A170="",NOT(ISNUMBER(Planos!$G170)),N(Planos!$E170)&lt;=0),0,IF(Planos!$G170&gt;EOMONTH(DATE(crono_ano_ref,10,1),0),0,MAX(0,INT((EOMONTH(DATE(crono_ano_ref,10,1),0)-IF(Planos!$G170&gt;=DATE(crono_ano_ref,10,1),Planos!$G170,Planos!$G170+CEILING((DATE(crono_ano_ref,10,1)-Planos!$G170)/Planos!$E170,1)*Planos!$E170))/Planos!$E170)+1)))</f>
      </c>
      <c r="P172" s="44">
        <f>IF(OR(Planos!$A170="",NOT(ISNUMBER(Planos!$G170)),N(Planos!$E170)&lt;=0),0,IF(Planos!$G170&gt;EOMONTH(DATE(crono_ano_ref,11,1),0),0,MAX(0,INT((EOMONTH(DATE(crono_ano_ref,11,1),0)-IF(Planos!$G170&gt;=DATE(crono_ano_ref,11,1),Planos!$G170,Planos!$G170+CEILING((DATE(crono_ano_ref,11,1)-Planos!$G170)/Planos!$E170,1)*Planos!$E170))/Planos!$E170)+1)))</f>
      </c>
      <c r="Q172" s="44">
        <f>IF(OR(Planos!$A170="",NOT(ISNUMBER(Planos!$G170)),N(Planos!$E170)&lt;=0),0,IF(Planos!$G170&gt;EOMONTH(DATE(crono_ano_ref,12,1),0),0,MAX(0,INT((EOMONTH(DATE(crono_ano_ref,12,1),0)-IF(Planos!$G170&gt;=DATE(crono_ano_ref,12,1),Planos!$G170,Planos!$G170+CEILING((DATE(crono_ano_ref,12,1)-Planos!$G170)/Planos!$E170,1)*Planos!$E170))/Planos!$E170)+1)))</f>
      </c>
      <c r="R172" s="44">
        <f>SUM(F172:Q172)</f>
      </c>
    </row>
    <row r="173" spans="1:18" x14ac:dyDescent="0.25">
      <c r="A173" s="24">
        <f>IF(Planos!$A171="","",Planos!A171&amp;"")</f>
      </c>
      <c r="B173" s="41">
        <f>IF(Planos!$A171="","",Planos!B171&amp;"")</f>
      </c>
      <c r="C173" s="24">
        <f>IF(Planos!$A171="","",Planos!C171&amp;"")</f>
      </c>
      <c r="D173" s="42">
        <f>IF(Planos!$A171="","",N(Planos!E171))</f>
      </c>
      <c r="E173" s="43">
        <f>IF(Planos!$A171="","",N(Planos!K171))</f>
      </c>
      <c r="F173" s="44">
        <f>IF(OR(Planos!$A171="",NOT(ISNUMBER(Planos!$G171)),N(Planos!$E171)&lt;=0),0,IF(Planos!$G171&gt;EOMONTH(DATE(crono_ano_ref,1,1),0),0,MAX(0,INT((EOMONTH(DATE(crono_ano_ref,1,1),0)-IF(Planos!$G171&gt;=DATE(crono_ano_ref,1,1),Planos!$G171,Planos!$G171+CEILING((DATE(crono_ano_ref,1,1)-Planos!$G171)/Planos!$E171,1)*Planos!$E171))/Planos!$E171)+1)))</f>
      </c>
      <c r="G173" s="44">
        <f>IF(OR(Planos!$A171="",NOT(ISNUMBER(Planos!$G171)),N(Planos!$E171)&lt;=0),0,IF(Planos!$G171&gt;EOMONTH(DATE(crono_ano_ref,2,1),0),0,MAX(0,INT((EOMONTH(DATE(crono_ano_ref,2,1),0)-IF(Planos!$G171&gt;=DATE(crono_ano_ref,2,1),Planos!$G171,Planos!$G171+CEILING((DATE(crono_ano_ref,2,1)-Planos!$G171)/Planos!$E171,1)*Planos!$E171))/Planos!$E171)+1)))</f>
      </c>
      <c r="H173" s="44">
        <f>IF(OR(Planos!$A171="",NOT(ISNUMBER(Planos!$G171)),N(Planos!$E171)&lt;=0),0,IF(Planos!$G171&gt;EOMONTH(DATE(crono_ano_ref,3,1),0),0,MAX(0,INT((EOMONTH(DATE(crono_ano_ref,3,1),0)-IF(Planos!$G171&gt;=DATE(crono_ano_ref,3,1),Planos!$G171,Planos!$G171+CEILING((DATE(crono_ano_ref,3,1)-Planos!$G171)/Planos!$E171,1)*Planos!$E171))/Planos!$E171)+1)))</f>
      </c>
      <c r="I173" s="44">
        <f>IF(OR(Planos!$A171="",NOT(ISNUMBER(Planos!$G171)),N(Planos!$E171)&lt;=0),0,IF(Planos!$G171&gt;EOMONTH(DATE(crono_ano_ref,4,1),0),0,MAX(0,INT((EOMONTH(DATE(crono_ano_ref,4,1),0)-IF(Planos!$G171&gt;=DATE(crono_ano_ref,4,1),Planos!$G171,Planos!$G171+CEILING((DATE(crono_ano_ref,4,1)-Planos!$G171)/Planos!$E171,1)*Planos!$E171))/Planos!$E171)+1)))</f>
      </c>
      <c r="J173" s="44">
        <f>IF(OR(Planos!$A171="",NOT(ISNUMBER(Planos!$G171)),N(Planos!$E171)&lt;=0),0,IF(Planos!$G171&gt;EOMONTH(DATE(crono_ano_ref,5,1),0),0,MAX(0,INT((EOMONTH(DATE(crono_ano_ref,5,1),0)-IF(Planos!$G171&gt;=DATE(crono_ano_ref,5,1),Planos!$G171,Planos!$G171+CEILING((DATE(crono_ano_ref,5,1)-Planos!$G171)/Planos!$E171,1)*Planos!$E171))/Planos!$E171)+1)))</f>
      </c>
      <c r="K173" s="44">
        <f>IF(OR(Planos!$A171="",NOT(ISNUMBER(Planos!$G171)),N(Planos!$E171)&lt;=0),0,IF(Planos!$G171&gt;EOMONTH(DATE(crono_ano_ref,6,1),0),0,MAX(0,INT((EOMONTH(DATE(crono_ano_ref,6,1),0)-IF(Planos!$G171&gt;=DATE(crono_ano_ref,6,1),Planos!$G171,Planos!$G171+CEILING((DATE(crono_ano_ref,6,1)-Planos!$G171)/Planos!$E171,1)*Planos!$E171))/Planos!$E171)+1)))</f>
      </c>
      <c r="L173" s="44">
        <f>IF(OR(Planos!$A171="",NOT(ISNUMBER(Planos!$G171)),N(Planos!$E171)&lt;=0),0,IF(Planos!$G171&gt;EOMONTH(DATE(crono_ano_ref,7,1),0),0,MAX(0,INT((EOMONTH(DATE(crono_ano_ref,7,1),0)-IF(Planos!$G171&gt;=DATE(crono_ano_ref,7,1),Planos!$G171,Planos!$G171+CEILING((DATE(crono_ano_ref,7,1)-Planos!$G171)/Planos!$E171,1)*Planos!$E171))/Planos!$E171)+1)))</f>
      </c>
      <c r="M173" s="44">
        <f>IF(OR(Planos!$A171="",NOT(ISNUMBER(Planos!$G171)),N(Planos!$E171)&lt;=0),0,IF(Planos!$G171&gt;EOMONTH(DATE(crono_ano_ref,8,1),0),0,MAX(0,INT((EOMONTH(DATE(crono_ano_ref,8,1),0)-IF(Planos!$G171&gt;=DATE(crono_ano_ref,8,1),Planos!$G171,Planos!$G171+CEILING((DATE(crono_ano_ref,8,1)-Planos!$G171)/Planos!$E171,1)*Planos!$E171))/Planos!$E171)+1)))</f>
      </c>
      <c r="N173" s="44">
        <f>IF(OR(Planos!$A171="",NOT(ISNUMBER(Planos!$G171)),N(Planos!$E171)&lt;=0),0,IF(Planos!$G171&gt;EOMONTH(DATE(crono_ano_ref,9,1),0),0,MAX(0,INT((EOMONTH(DATE(crono_ano_ref,9,1),0)-IF(Planos!$G171&gt;=DATE(crono_ano_ref,9,1),Planos!$G171,Planos!$G171+CEILING((DATE(crono_ano_ref,9,1)-Planos!$G171)/Planos!$E171,1)*Planos!$E171))/Planos!$E171)+1)))</f>
      </c>
      <c r="O173" s="44">
        <f>IF(OR(Planos!$A171="",NOT(ISNUMBER(Planos!$G171)),N(Planos!$E171)&lt;=0),0,IF(Planos!$G171&gt;EOMONTH(DATE(crono_ano_ref,10,1),0),0,MAX(0,INT((EOMONTH(DATE(crono_ano_ref,10,1),0)-IF(Planos!$G171&gt;=DATE(crono_ano_ref,10,1),Planos!$G171,Planos!$G171+CEILING((DATE(crono_ano_ref,10,1)-Planos!$G171)/Planos!$E171,1)*Planos!$E171))/Planos!$E171)+1)))</f>
      </c>
      <c r="P173" s="44">
        <f>IF(OR(Planos!$A171="",NOT(ISNUMBER(Planos!$G171)),N(Planos!$E171)&lt;=0),0,IF(Planos!$G171&gt;EOMONTH(DATE(crono_ano_ref,11,1),0),0,MAX(0,INT((EOMONTH(DATE(crono_ano_ref,11,1),0)-IF(Planos!$G171&gt;=DATE(crono_ano_ref,11,1),Planos!$G171,Planos!$G171+CEILING((DATE(crono_ano_ref,11,1)-Planos!$G171)/Planos!$E171,1)*Planos!$E171))/Planos!$E171)+1)))</f>
      </c>
      <c r="Q173" s="44">
        <f>IF(OR(Planos!$A171="",NOT(ISNUMBER(Planos!$G171)),N(Planos!$E171)&lt;=0),0,IF(Planos!$G171&gt;EOMONTH(DATE(crono_ano_ref,12,1),0),0,MAX(0,INT((EOMONTH(DATE(crono_ano_ref,12,1),0)-IF(Planos!$G171&gt;=DATE(crono_ano_ref,12,1),Planos!$G171,Planos!$G171+CEILING((DATE(crono_ano_ref,12,1)-Planos!$G171)/Planos!$E171,1)*Planos!$E171))/Planos!$E171)+1)))</f>
      </c>
      <c r="R173" s="44">
        <f>SUM(F173:Q173)</f>
      </c>
    </row>
    <row r="174" spans="1:18" x14ac:dyDescent="0.25">
      <c r="A174" s="24">
        <f>IF(Planos!$A172="","",Planos!A172&amp;"")</f>
      </c>
      <c r="B174" s="41">
        <f>IF(Planos!$A172="","",Planos!B172&amp;"")</f>
      </c>
      <c r="C174" s="24">
        <f>IF(Planos!$A172="","",Planos!C172&amp;"")</f>
      </c>
      <c r="D174" s="42">
        <f>IF(Planos!$A172="","",N(Planos!E172))</f>
      </c>
      <c r="E174" s="43">
        <f>IF(Planos!$A172="","",N(Planos!K172))</f>
      </c>
      <c r="F174" s="44">
        <f>IF(OR(Planos!$A172="",NOT(ISNUMBER(Planos!$G172)),N(Planos!$E172)&lt;=0),0,IF(Planos!$G172&gt;EOMONTH(DATE(crono_ano_ref,1,1),0),0,MAX(0,INT((EOMONTH(DATE(crono_ano_ref,1,1),0)-IF(Planos!$G172&gt;=DATE(crono_ano_ref,1,1),Planos!$G172,Planos!$G172+CEILING((DATE(crono_ano_ref,1,1)-Planos!$G172)/Planos!$E172,1)*Planos!$E172))/Planos!$E172)+1)))</f>
      </c>
      <c r="G174" s="44">
        <f>IF(OR(Planos!$A172="",NOT(ISNUMBER(Planos!$G172)),N(Planos!$E172)&lt;=0),0,IF(Planos!$G172&gt;EOMONTH(DATE(crono_ano_ref,2,1),0),0,MAX(0,INT((EOMONTH(DATE(crono_ano_ref,2,1),0)-IF(Planos!$G172&gt;=DATE(crono_ano_ref,2,1),Planos!$G172,Planos!$G172+CEILING((DATE(crono_ano_ref,2,1)-Planos!$G172)/Planos!$E172,1)*Planos!$E172))/Planos!$E172)+1)))</f>
      </c>
      <c r="H174" s="44">
        <f>IF(OR(Planos!$A172="",NOT(ISNUMBER(Planos!$G172)),N(Planos!$E172)&lt;=0),0,IF(Planos!$G172&gt;EOMONTH(DATE(crono_ano_ref,3,1),0),0,MAX(0,INT((EOMONTH(DATE(crono_ano_ref,3,1),0)-IF(Planos!$G172&gt;=DATE(crono_ano_ref,3,1),Planos!$G172,Planos!$G172+CEILING((DATE(crono_ano_ref,3,1)-Planos!$G172)/Planos!$E172,1)*Planos!$E172))/Planos!$E172)+1)))</f>
      </c>
      <c r="I174" s="44">
        <f>IF(OR(Planos!$A172="",NOT(ISNUMBER(Planos!$G172)),N(Planos!$E172)&lt;=0),0,IF(Planos!$G172&gt;EOMONTH(DATE(crono_ano_ref,4,1),0),0,MAX(0,INT((EOMONTH(DATE(crono_ano_ref,4,1),0)-IF(Planos!$G172&gt;=DATE(crono_ano_ref,4,1),Planos!$G172,Planos!$G172+CEILING((DATE(crono_ano_ref,4,1)-Planos!$G172)/Planos!$E172,1)*Planos!$E172))/Planos!$E172)+1)))</f>
      </c>
      <c r="J174" s="44">
        <f>IF(OR(Planos!$A172="",NOT(ISNUMBER(Planos!$G172)),N(Planos!$E172)&lt;=0),0,IF(Planos!$G172&gt;EOMONTH(DATE(crono_ano_ref,5,1),0),0,MAX(0,INT((EOMONTH(DATE(crono_ano_ref,5,1),0)-IF(Planos!$G172&gt;=DATE(crono_ano_ref,5,1),Planos!$G172,Planos!$G172+CEILING((DATE(crono_ano_ref,5,1)-Planos!$G172)/Planos!$E172,1)*Planos!$E172))/Planos!$E172)+1)))</f>
      </c>
      <c r="K174" s="44">
        <f>IF(OR(Planos!$A172="",NOT(ISNUMBER(Planos!$G172)),N(Planos!$E172)&lt;=0),0,IF(Planos!$G172&gt;EOMONTH(DATE(crono_ano_ref,6,1),0),0,MAX(0,INT((EOMONTH(DATE(crono_ano_ref,6,1),0)-IF(Planos!$G172&gt;=DATE(crono_ano_ref,6,1),Planos!$G172,Planos!$G172+CEILING((DATE(crono_ano_ref,6,1)-Planos!$G172)/Planos!$E172,1)*Planos!$E172))/Planos!$E172)+1)))</f>
      </c>
      <c r="L174" s="44">
        <f>IF(OR(Planos!$A172="",NOT(ISNUMBER(Planos!$G172)),N(Planos!$E172)&lt;=0),0,IF(Planos!$G172&gt;EOMONTH(DATE(crono_ano_ref,7,1),0),0,MAX(0,INT((EOMONTH(DATE(crono_ano_ref,7,1),0)-IF(Planos!$G172&gt;=DATE(crono_ano_ref,7,1),Planos!$G172,Planos!$G172+CEILING((DATE(crono_ano_ref,7,1)-Planos!$G172)/Planos!$E172,1)*Planos!$E172))/Planos!$E172)+1)))</f>
      </c>
      <c r="M174" s="44">
        <f>IF(OR(Planos!$A172="",NOT(ISNUMBER(Planos!$G172)),N(Planos!$E172)&lt;=0),0,IF(Planos!$G172&gt;EOMONTH(DATE(crono_ano_ref,8,1),0),0,MAX(0,INT((EOMONTH(DATE(crono_ano_ref,8,1),0)-IF(Planos!$G172&gt;=DATE(crono_ano_ref,8,1),Planos!$G172,Planos!$G172+CEILING((DATE(crono_ano_ref,8,1)-Planos!$G172)/Planos!$E172,1)*Planos!$E172))/Planos!$E172)+1)))</f>
      </c>
      <c r="N174" s="44">
        <f>IF(OR(Planos!$A172="",NOT(ISNUMBER(Planos!$G172)),N(Planos!$E172)&lt;=0),0,IF(Planos!$G172&gt;EOMONTH(DATE(crono_ano_ref,9,1),0),0,MAX(0,INT((EOMONTH(DATE(crono_ano_ref,9,1),0)-IF(Planos!$G172&gt;=DATE(crono_ano_ref,9,1),Planos!$G172,Planos!$G172+CEILING((DATE(crono_ano_ref,9,1)-Planos!$G172)/Planos!$E172,1)*Planos!$E172))/Planos!$E172)+1)))</f>
      </c>
      <c r="O174" s="44">
        <f>IF(OR(Planos!$A172="",NOT(ISNUMBER(Planos!$G172)),N(Planos!$E172)&lt;=0),0,IF(Planos!$G172&gt;EOMONTH(DATE(crono_ano_ref,10,1),0),0,MAX(0,INT((EOMONTH(DATE(crono_ano_ref,10,1),0)-IF(Planos!$G172&gt;=DATE(crono_ano_ref,10,1),Planos!$G172,Planos!$G172+CEILING((DATE(crono_ano_ref,10,1)-Planos!$G172)/Planos!$E172,1)*Planos!$E172))/Planos!$E172)+1)))</f>
      </c>
      <c r="P174" s="44">
        <f>IF(OR(Planos!$A172="",NOT(ISNUMBER(Planos!$G172)),N(Planos!$E172)&lt;=0),0,IF(Planos!$G172&gt;EOMONTH(DATE(crono_ano_ref,11,1),0),0,MAX(0,INT((EOMONTH(DATE(crono_ano_ref,11,1),0)-IF(Planos!$G172&gt;=DATE(crono_ano_ref,11,1),Planos!$G172,Planos!$G172+CEILING((DATE(crono_ano_ref,11,1)-Planos!$G172)/Planos!$E172,1)*Planos!$E172))/Planos!$E172)+1)))</f>
      </c>
      <c r="Q174" s="44">
        <f>IF(OR(Planos!$A172="",NOT(ISNUMBER(Planos!$G172)),N(Planos!$E172)&lt;=0),0,IF(Planos!$G172&gt;EOMONTH(DATE(crono_ano_ref,12,1),0),0,MAX(0,INT((EOMONTH(DATE(crono_ano_ref,12,1),0)-IF(Planos!$G172&gt;=DATE(crono_ano_ref,12,1),Planos!$G172,Planos!$G172+CEILING((DATE(crono_ano_ref,12,1)-Planos!$G172)/Planos!$E172,1)*Planos!$E172))/Planos!$E172)+1)))</f>
      </c>
      <c r="R174" s="44">
        <f>SUM(F174:Q174)</f>
      </c>
    </row>
    <row r="175" spans="1:18" x14ac:dyDescent="0.25">
      <c r="A175" s="24">
        <f>IF(Planos!$A173="","",Planos!A173&amp;"")</f>
      </c>
      <c r="B175" s="41">
        <f>IF(Planos!$A173="","",Planos!B173&amp;"")</f>
      </c>
      <c r="C175" s="24">
        <f>IF(Planos!$A173="","",Planos!C173&amp;"")</f>
      </c>
      <c r="D175" s="42">
        <f>IF(Planos!$A173="","",N(Planos!E173))</f>
      </c>
      <c r="E175" s="43">
        <f>IF(Planos!$A173="","",N(Planos!K173))</f>
      </c>
      <c r="F175" s="44">
        <f>IF(OR(Planos!$A173="",NOT(ISNUMBER(Planos!$G173)),N(Planos!$E173)&lt;=0),0,IF(Planos!$G173&gt;EOMONTH(DATE(crono_ano_ref,1,1),0),0,MAX(0,INT((EOMONTH(DATE(crono_ano_ref,1,1),0)-IF(Planos!$G173&gt;=DATE(crono_ano_ref,1,1),Planos!$G173,Planos!$G173+CEILING((DATE(crono_ano_ref,1,1)-Planos!$G173)/Planos!$E173,1)*Planos!$E173))/Planos!$E173)+1)))</f>
      </c>
      <c r="G175" s="44">
        <f>IF(OR(Planos!$A173="",NOT(ISNUMBER(Planos!$G173)),N(Planos!$E173)&lt;=0),0,IF(Planos!$G173&gt;EOMONTH(DATE(crono_ano_ref,2,1),0),0,MAX(0,INT((EOMONTH(DATE(crono_ano_ref,2,1),0)-IF(Planos!$G173&gt;=DATE(crono_ano_ref,2,1),Planos!$G173,Planos!$G173+CEILING((DATE(crono_ano_ref,2,1)-Planos!$G173)/Planos!$E173,1)*Planos!$E173))/Planos!$E173)+1)))</f>
      </c>
      <c r="H175" s="44">
        <f>IF(OR(Planos!$A173="",NOT(ISNUMBER(Planos!$G173)),N(Planos!$E173)&lt;=0),0,IF(Planos!$G173&gt;EOMONTH(DATE(crono_ano_ref,3,1),0),0,MAX(0,INT((EOMONTH(DATE(crono_ano_ref,3,1),0)-IF(Planos!$G173&gt;=DATE(crono_ano_ref,3,1),Planos!$G173,Planos!$G173+CEILING((DATE(crono_ano_ref,3,1)-Planos!$G173)/Planos!$E173,1)*Planos!$E173))/Planos!$E173)+1)))</f>
      </c>
      <c r="I175" s="44">
        <f>IF(OR(Planos!$A173="",NOT(ISNUMBER(Planos!$G173)),N(Planos!$E173)&lt;=0),0,IF(Planos!$G173&gt;EOMONTH(DATE(crono_ano_ref,4,1),0),0,MAX(0,INT((EOMONTH(DATE(crono_ano_ref,4,1),0)-IF(Planos!$G173&gt;=DATE(crono_ano_ref,4,1),Planos!$G173,Planos!$G173+CEILING((DATE(crono_ano_ref,4,1)-Planos!$G173)/Planos!$E173,1)*Planos!$E173))/Planos!$E173)+1)))</f>
      </c>
      <c r="J175" s="44">
        <f>IF(OR(Planos!$A173="",NOT(ISNUMBER(Planos!$G173)),N(Planos!$E173)&lt;=0),0,IF(Planos!$G173&gt;EOMONTH(DATE(crono_ano_ref,5,1),0),0,MAX(0,INT((EOMONTH(DATE(crono_ano_ref,5,1),0)-IF(Planos!$G173&gt;=DATE(crono_ano_ref,5,1),Planos!$G173,Planos!$G173+CEILING((DATE(crono_ano_ref,5,1)-Planos!$G173)/Planos!$E173,1)*Planos!$E173))/Planos!$E173)+1)))</f>
      </c>
      <c r="K175" s="44">
        <f>IF(OR(Planos!$A173="",NOT(ISNUMBER(Planos!$G173)),N(Planos!$E173)&lt;=0),0,IF(Planos!$G173&gt;EOMONTH(DATE(crono_ano_ref,6,1),0),0,MAX(0,INT((EOMONTH(DATE(crono_ano_ref,6,1),0)-IF(Planos!$G173&gt;=DATE(crono_ano_ref,6,1),Planos!$G173,Planos!$G173+CEILING((DATE(crono_ano_ref,6,1)-Planos!$G173)/Planos!$E173,1)*Planos!$E173))/Planos!$E173)+1)))</f>
      </c>
      <c r="L175" s="44">
        <f>IF(OR(Planos!$A173="",NOT(ISNUMBER(Planos!$G173)),N(Planos!$E173)&lt;=0),0,IF(Planos!$G173&gt;EOMONTH(DATE(crono_ano_ref,7,1),0),0,MAX(0,INT((EOMONTH(DATE(crono_ano_ref,7,1),0)-IF(Planos!$G173&gt;=DATE(crono_ano_ref,7,1),Planos!$G173,Planos!$G173+CEILING((DATE(crono_ano_ref,7,1)-Planos!$G173)/Planos!$E173,1)*Planos!$E173))/Planos!$E173)+1)))</f>
      </c>
      <c r="M175" s="44">
        <f>IF(OR(Planos!$A173="",NOT(ISNUMBER(Planos!$G173)),N(Planos!$E173)&lt;=0),0,IF(Planos!$G173&gt;EOMONTH(DATE(crono_ano_ref,8,1),0),0,MAX(0,INT((EOMONTH(DATE(crono_ano_ref,8,1),0)-IF(Planos!$G173&gt;=DATE(crono_ano_ref,8,1),Planos!$G173,Planos!$G173+CEILING((DATE(crono_ano_ref,8,1)-Planos!$G173)/Planos!$E173,1)*Planos!$E173))/Planos!$E173)+1)))</f>
      </c>
      <c r="N175" s="44">
        <f>IF(OR(Planos!$A173="",NOT(ISNUMBER(Planos!$G173)),N(Planos!$E173)&lt;=0),0,IF(Planos!$G173&gt;EOMONTH(DATE(crono_ano_ref,9,1),0),0,MAX(0,INT((EOMONTH(DATE(crono_ano_ref,9,1),0)-IF(Planos!$G173&gt;=DATE(crono_ano_ref,9,1),Planos!$G173,Planos!$G173+CEILING((DATE(crono_ano_ref,9,1)-Planos!$G173)/Planos!$E173,1)*Planos!$E173))/Planos!$E173)+1)))</f>
      </c>
      <c r="O175" s="44">
        <f>IF(OR(Planos!$A173="",NOT(ISNUMBER(Planos!$G173)),N(Planos!$E173)&lt;=0),0,IF(Planos!$G173&gt;EOMONTH(DATE(crono_ano_ref,10,1),0),0,MAX(0,INT((EOMONTH(DATE(crono_ano_ref,10,1),0)-IF(Planos!$G173&gt;=DATE(crono_ano_ref,10,1),Planos!$G173,Planos!$G173+CEILING((DATE(crono_ano_ref,10,1)-Planos!$G173)/Planos!$E173,1)*Planos!$E173))/Planos!$E173)+1)))</f>
      </c>
      <c r="P175" s="44">
        <f>IF(OR(Planos!$A173="",NOT(ISNUMBER(Planos!$G173)),N(Planos!$E173)&lt;=0),0,IF(Planos!$G173&gt;EOMONTH(DATE(crono_ano_ref,11,1),0),0,MAX(0,INT((EOMONTH(DATE(crono_ano_ref,11,1),0)-IF(Planos!$G173&gt;=DATE(crono_ano_ref,11,1),Planos!$G173,Planos!$G173+CEILING((DATE(crono_ano_ref,11,1)-Planos!$G173)/Planos!$E173,1)*Planos!$E173))/Planos!$E173)+1)))</f>
      </c>
      <c r="Q175" s="44">
        <f>IF(OR(Planos!$A173="",NOT(ISNUMBER(Planos!$G173)),N(Planos!$E173)&lt;=0),0,IF(Planos!$G173&gt;EOMONTH(DATE(crono_ano_ref,12,1),0),0,MAX(0,INT((EOMONTH(DATE(crono_ano_ref,12,1),0)-IF(Planos!$G173&gt;=DATE(crono_ano_ref,12,1),Planos!$G173,Planos!$G173+CEILING((DATE(crono_ano_ref,12,1)-Planos!$G173)/Planos!$E173,1)*Planos!$E173))/Planos!$E173)+1)))</f>
      </c>
      <c r="R175" s="44">
        <f>SUM(F175:Q175)</f>
      </c>
    </row>
    <row r="176" spans="1:18" x14ac:dyDescent="0.25">
      <c r="A176" s="24">
        <f>IF(Planos!$A174="","",Planos!A174&amp;"")</f>
      </c>
      <c r="B176" s="41">
        <f>IF(Planos!$A174="","",Planos!B174&amp;"")</f>
      </c>
      <c r="C176" s="24">
        <f>IF(Planos!$A174="","",Planos!C174&amp;"")</f>
      </c>
      <c r="D176" s="42">
        <f>IF(Planos!$A174="","",N(Planos!E174))</f>
      </c>
      <c r="E176" s="43">
        <f>IF(Planos!$A174="","",N(Planos!K174))</f>
      </c>
      <c r="F176" s="44">
        <f>IF(OR(Planos!$A174="",NOT(ISNUMBER(Planos!$G174)),N(Planos!$E174)&lt;=0),0,IF(Planos!$G174&gt;EOMONTH(DATE(crono_ano_ref,1,1),0),0,MAX(0,INT((EOMONTH(DATE(crono_ano_ref,1,1),0)-IF(Planos!$G174&gt;=DATE(crono_ano_ref,1,1),Planos!$G174,Planos!$G174+CEILING((DATE(crono_ano_ref,1,1)-Planos!$G174)/Planos!$E174,1)*Planos!$E174))/Planos!$E174)+1)))</f>
      </c>
      <c r="G176" s="44">
        <f>IF(OR(Planos!$A174="",NOT(ISNUMBER(Planos!$G174)),N(Planos!$E174)&lt;=0),0,IF(Planos!$G174&gt;EOMONTH(DATE(crono_ano_ref,2,1),0),0,MAX(0,INT((EOMONTH(DATE(crono_ano_ref,2,1),0)-IF(Planos!$G174&gt;=DATE(crono_ano_ref,2,1),Planos!$G174,Planos!$G174+CEILING((DATE(crono_ano_ref,2,1)-Planos!$G174)/Planos!$E174,1)*Planos!$E174))/Planos!$E174)+1)))</f>
      </c>
      <c r="H176" s="44">
        <f>IF(OR(Planos!$A174="",NOT(ISNUMBER(Planos!$G174)),N(Planos!$E174)&lt;=0),0,IF(Planos!$G174&gt;EOMONTH(DATE(crono_ano_ref,3,1),0),0,MAX(0,INT((EOMONTH(DATE(crono_ano_ref,3,1),0)-IF(Planos!$G174&gt;=DATE(crono_ano_ref,3,1),Planos!$G174,Planos!$G174+CEILING((DATE(crono_ano_ref,3,1)-Planos!$G174)/Planos!$E174,1)*Planos!$E174))/Planos!$E174)+1)))</f>
      </c>
      <c r="I176" s="44">
        <f>IF(OR(Planos!$A174="",NOT(ISNUMBER(Planos!$G174)),N(Planos!$E174)&lt;=0),0,IF(Planos!$G174&gt;EOMONTH(DATE(crono_ano_ref,4,1),0),0,MAX(0,INT((EOMONTH(DATE(crono_ano_ref,4,1),0)-IF(Planos!$G174&gt;=DATE(crono_ano_ref,4,1),Planos!$G174,Planos!$G174+CEILING((DATE(crono_ano_ref,4,1)-Planos!$G174)/Planos!$E174,1)*Planos!$E174))/Planos!$E174)+1)))</f>
      </c>
      <c r="J176" s="44">
        <f>IF(OR(Planos!$A174="",NOT(ISNUMBER(Planos!$G174)),N(Planos!$E174)&lt;=0),0,IF(Planos!$G174&gt;EOMONTH(DATE(crono_ano_ref,5,1),0),0,MAX(0,INT((EOMONTH(DATE(crono_ano_ref,5,1),0)-IF(Planos!$G174&gt;=DATE(crono_ano_ref,5,1),Planos!$G174,Planos!$G174+CEILING((DATE(crono_ano_ref,5,1)-Planos!$G174)/Planos!$E174,1)*Planos!$E174))/Planos!$E174)+1)))</f>
      </c>
      <c r="K176" s="44">
        <f>IF(OR(Planos!$A174="",NOT(ISNUMBER(Planos!$G174)),N(Planos!$E174)&lt;=0),0,IF(Planos!$G174&gt;EOMONTH(DATE(crono_ano_ref,6,1),0),0,MAX(0,INT((EOMONTH(DATE(crono_ano_ref,6,1),0)-IF(Planos!$G174&gt;=DATE(crono_ano_ref,6,1),Planos!$G174,Planos!$G174+CEILING((DATE(crono_ano_ref,6,1)-Planos!$G174)/Planos!$E174,1)*Planos!$E174))/Planos!$E174)+1)))</f>
      </c>
      <c r="L176" s="44">
        <f>IF(OR(Planos!$A174="",NOT(ISNUMBER(Planos!$G174)),N(Planos!$E174)&lt;=0),0,IF(Planos!$G174&gt;EOMONTH(DATE(crono_ano_ref,7,1),0),0,MAX(0,INT((EOMONTH(DATE(crono_ano_ref,7,1),0)-IF(Planos!$G174&gt;=DATE(crono_ano_ref,7,1),Planos!$G174,Planos!$G174+CEILING((DATE(crono_ano_ref,7,1)-Planos!$G174)/Planos!$E174,1)*Planos!$E174))/Planos!$E174)+1)))</f>
      </c>
      <c r="M176" s="44">
        <f>IF(OR(Planos!$A174="",NOT(ISNUMBER(Planos!$G174)),N(Planos!$E174)&lt;=0),0,IF(Planos!$G174&gt;EOMONTH(DATE(crono_ano_ref,8,1),0),0,MAX(0,INT((EOMONTH(DATE(crono_ano_ref,8,1),0)-IF(Planos!$G174&gt;=DATE(crono_ano_ref,8,1),Planos!$G174,Planos!$G174+CEILING((DATE(crono_ano_ref,8,1)-Planos!$G174)/Planos!$E174,1)*Planos!$E174))/Planos!$E174)+1)))</f>
      </c>
      <c r="N176" s="44">
        <f>IF(OR(Planos!$A174="",NOT(ISNUMBER(Planos!$G174)),N(Planos!$E174)&lt;=0),0,IF(Planos!$G174&gt;EOMONTH(DATE(crono_ano_ref,9,1),0),0,MAX(0,INT((EOMONTH(DATE(crono_ano_ref,9,1),0)-IF(Planos!$G174&gt;=DATE(crono_ano_ref,9,1),Planos!$G174,Planos!$G174+CEILING((DATE(crono_ano_ref,9,1)-Planos!$G174)/Planos!$E174,1)*Planos!$E174))/Planos!$E174)+1)))</f>
      </c>
      <c r="O176" s="44">
        <f>IF(OR(Planos!$A174="",NOT(ISNUMBER(Planos!$G174)),N(Planos!$E174)&lt;=0),0,IF(Planos!$G174&gt;EOMONTH(DATE(crono_ano_ref,10,1),0),0,MAX(0,INT((EOMONTH(DATE(crono_ano_ref,10,1),0)-IF(Planos!$G174&gt;=DATE(crono_ano_ref,10,1),Planos!$G174,Planos!$G174+CEILING((DATE(crono_ano_ref,10,1)-Planos!$G174)/Planos!$E174,1)*Planos!$E174))/Planos!$E174)+1)))</f>
      </c>
      <c r="P176" s="44">
        <f>IF(OR(Planos!$A174="",NOT(ISNUMBER(Planos!$G174)),N(Planos!$E174)&lt;=0),0,IF(Planos!$G174&gt;EOMONTH(DATE(crono_ano_ref,11,1),0),0,MAX(0,INT((EOMONTH(DATE(crono_ano_ref,11,1),0)-IF(Planos!$G174&gt;=DATE(crono_ano_ref,11,1),Planos!$G174,Planos!$G174+CEILING((DATE(crono_ano_ref,11,1)-Planos!$G174)/Planos!$E174,1)*Planos!$E174))/Planos!$E174)+1)))</f>
      </c>
      <c r="Q176" s="44">
        <f>IF(OR(Planos!$A174="",NOT(ISNUMBER(Planos!$G174)),N(Planos!$E174)&lt;=0),0,IF(Planos!$G174&gt;EOMONTH(DATE(crono_ano_ref,12,1),0),0,MAX(0,INT((EOMONTH(DATE(crono_ano_ref,12,1),0)-IF(Planos!$G174&gt;=DATE(crono_ano_ref,12,1),Planos!$G174,Planos!$G174+CEILING((DATE(crono_ano_ref,12,1)-Planos!$G174)/Planos!$E174,1)*Planos!$E174))/Planos!$E174)+1)))</f>
      </c>
      <c r="R176" s="44">
        <f>SUM(F176:Q176)</f>
      </c>
    </row>
    <row r="177" spans="1:18" x14ac:dyDescent="0.25">
      <c r="A177" s="24">
        <f>IF(Planos!$A175="","",Planos!A175&amp;"")</f>
      </c>
      <c r="B177" s="41">
        <f>IF(Planos!$A175="","",Planos!B175&amp;"")</f>
      </c>
      <c r="C177" s="24">
        <f>IF(Planos!$A175="","",Planos!C175&amp;"")</f>
      </c>
      <c r="D177" s="42">
        <f>IF(Planos!$A175="","",N(Planos!E175))</f>
      </c>
      <c r="E177" s="43">
        <f>IF(Planos!$A175="","",N(Planos!K175))</f>
      </c>
      <c r="F177" s="44">
        <f>IF(OR(Planos!$A175="",NOT(ISNUMBER(Planos!$G175)),N(Planos!$E175)&lt;=0),0,IF(Planos!$G175&gt;EOMONTH(DATE(crono_ano_ref,1,1),0),0,MAX(0,INT((EOMONTH(DATE(crono_ano_ref,1,1),0)-IF(Planos!$G175&gt;=DATE(crono_ano_ref,1,1),Planos!$G175,Planos!$G175+CEILING((DATE(crono_ano_ref,1,1)-Planos!$G175)/Planos!$E175,1)*Planos!$E175))/Planos!$E175)+1)))</f>
      </c>
      <c r="G177" s="44">
        <f>IF(OR(Planos!$A175="",NOT(ISNUMBER(Planos!$G175)),N(Planos!$E175)&lt;=0),0,IF(Planos!$G175&gt;EOMONTH(DATE(crono_ano_ref,2,1),0),0,MAX(0,INT((EOMONTH(DATE(crono_ano_ref,2,1),0)-IF(Planos!$G175&gt;=DATE(crono_ano_ref,2,1),Planos!$G175,Planos!$G175+CEILING((DATE(crono_ano_ref,2,1)-Planos!$G175)/Planos!$E175,1)*Planos!$E175))/Planos!$E175)+1)))</f>
      </c>
      <c r="H177" s="44">
        <f>IF(OR(Planos!$A175="",NOT(ISNUMBER(Planos!$G175)),N(Planos!$E175)&lt;=0),0,IF(Planos!$G175&gt;EOMONTH(DATE(crono_ano_ref,3,1),0),0,MAX(0,INT((EOMONTH(DATE(crono_ano_ref,3,1),0)-IF(Planos!$G175&gt;=DATE(crono_ano_ref,3,1),Planos!$G175,Planos!$G175+CEILING((DATE(crono_ano_ref,3,1)-Planos!$G175)/Planos!$E175,1)*Planos!$E175))/Planos!$E175)+1)))</f>
      </c>
      <c r="I177" s="44">
        <f>IF(OR(Planos!$A175="",NOT(ISNUMBER(Planos!$G175)),N(Planos!$E175)&lt;=0),0,IF(Planos!$G175&gt;EOMONTH(DATE(crono_ano_ref,4,1),0),0,MAX(0,INT((EOMONTH(DATE(crono_ano_ref,4,1),0)-IF(Planos!$G175&gt;=DATE(crono_ano_ref,4,1),Planos!$G175,Planos!$G175+CEILING((DATE(crono_ano_ref,4,1)-Planos!$G175)/Planos!$E175,1)*Planos!$E175))/Planos!$E175)+1)))</f>
      </c>
      <c r="J177" s="44">
        <f>IF(OR(Planos!$A175="",NOT(ISNUMBER(Planos!$G175)),N(Planos!$E175)&lt;=0),0,IF(Planos!$G175&gt;EOMONTH(DATE(crono_ano_ref,5,1),0),0,MAX(0,INT((EOMONTH(DATE(crono_ano_ref,5,1),0)-IF(Planos!$G175&gt;=DATE(crono_ano_ref,5,1),Planos!$G175,Planos!$G175+CEILING((DATE(crono_ano_ref,5,1)-Planos!$G175)/Planos!$E175,1)*Planos!$E175))/Planos!$E175)+1)))</f>
      </c>
      <c r="K177" s="44">
        <f>IF(OR(Planos!$A175="",NOT(ISNUMBER(Planos!$G175)),N(Planos!$E175)&lt;=0),0,IF(Planos!$G175&gt;EOMONTH(DATE(crono_ano_ref,6,1),0),0,MAX(0,INT((EOMONTH(DATE(crono_ano_ref,6,1),0)-IF(Planos!$G175&gt;=DATE(crono_ano_ref,6,1),Planos!$G175,Planos!$G175+CEILING((DATE(crono_ano_ref,6,1)-Planos!$G175)/Planos!$E175,1)*Planos!$E175))/Planos!$E175)+1)))</f>
      </c>
      <c r="L177" s="44">
        <f>IF(OR(Planos!$A175="",NOT(ISNUMBER(Planos!$G175)),N(Planos!$E175)&lt;=0),0,IF(Planos!$G175&gt;EOMONTH(DATE(crono_ano_ref,7,1),0),0,MAX(0,INT((EOMONTH(DATE(crono_ano_ref,7,1),0)-IF(Planos!$G175&gt;=DATE(crono_ano_ref,7,1),Planos!$G175,Planos!$G175+CEILING((DATE(crono_ano_ref,7,1)-Planos!$G175)/Planos!$E175,1)*Planos!$E175))/Planos!$E175)+1)))</f>
      </c>
      <c r="M177" s="44">
        <f>IF(OR(Planos!$A175="",NOT(ISNUMBER(Planos!$G175)),N(Planos!$E175)&lt;=0),0,IF(Planos!$G175&gt;EOMONTH(DATE(crono_ano_ref,8,1),0),0,MAX(0,INT((EOMONTH(DATE(crono_ano_ref,8,1),0)-IF(Planos!$G175&gt;=DATE(crono_ano_ref,8,1),Planos!$G175,Planos!$G175+CEILING((DATE(crono_ano_ref,8,1)-Planos!$G175)/Planos!$E175,1)*Planos!$E175))/Planos!$E175)+1)))</f>
      </c>
      <c r="N177" s="44">
        <f>IF(OR(Planos!$A175="",NOT(ISNUMBER(Planos!$G175)),N(Planos!$E175)&lt;=0),0,IF(Planos!$G175&gt;EOMONTH(DATE(crono_ano_ref,9,1),0),0,MAX(0,INT((EOMONTH(DATE(crono_ano_ref,9,1),0)-IF(Planos!$G175&gt;=DATE(crono_ano_ref,9,1),Planos!$G175,Planos!$G175+CEILING((DATE(crono_ano_ref,9,1)-Planos!$G175)/Planos!$E175,1)*Planos!$E175))/Planos!$E175)+1)))</f>
      </c>
      <c r="O177" s="44">
        <f>IF(OR(Planos!$A175="",NOT(ISNUMBER(Planos!$G175)),N(Planos!$E175)&lt;=0),0,IF(Planos!$G175&gt;EOMONTH(DATE(crono_ano_ref,10,1),0),0,MAX(0,INT((EOMONTH(DATE(crono_ano_ref,10,1),0)-IF(Planos!$G175&gt;=DATE(crono_ano_ref,10,1),Planos!$G175,Planos!$G175+CEILING((DATE(crono_ano_ref,10,1)-Planos!$G175)/Planos!$E175,1)*Planos!$E175))/Planos!$E175)+1)))</f>
      </c>
      <c r="P177" s="44">
        <f>IF(OR(Planos!$A175="",NOT(ISNUMBER(Planos!$G175)),N(Planos!$E175)&lt;=0),0,IF(Planos!$G175&gt;EOMONTH(DATE(crono_ano_ref,11,1),0),0,MAX(0,INT((EOMONTH(DATE(crono_ano_ref,11,1),0)-IF(Planos!$G175&gt;=DATE(crono_ano_ref,11,1),Planos!$G175,Planos!$G175+CEILING((DATE(crono_ano_ref,11,1)-Planos!$G175)/Planos!$E175,1)*Planos!$E175))/Planos!$E175)+1)))</f>
      </c>
      <c r="Q177" s="44">
        <f>IF(OR(Planos!$A175="",NOT(ISNUMBER(Planos!$G175)),N(Planos!$E175)&lt;=0),0,IF(Planos!$G175&gt;EOMONTH(DATE(crono_ano_ref,12,1),0),0,MAX(0,INT((EOMONTH(DATE(crono_ano_ref,12,1),0)-IF(Planos!$G175&gt;=DATE(crono_ano_ref,12,1),Planos!$G175,Planos!$G175+CEILING((DATE(crono_ano_ref,12,1)-Planos!$G175)/Planos!$E175,1)*Planos!$E175))/Planos!$E175)+1)))</f>
      </c>
      <c r="R177" s="44">
        <f>SUM(F177:Q177)</f>
      </c>
    </row>
    <row r="178" spans="1:18" x14ac:dyDescent="0.25">
      <c r="A178" s="24">
        <f>IF(Planos!$A176="","",Planos!A176&amp;"")</f>
      </c>
      <c r="B178" s="41">
        <f>IF(Planos!$A176="","",Planos!B176&amp;"")</f>
      </c>
      <c r="C178" s="24">
        <f>IF(Planos!$A176="","",Planos!C176&amp;"")</f>
      </c>
      <c r="D178" s="42">
        <f>IF(Planos!$A176="","",N(Planos!E176))</f>
      </c>
      <c r="E178" s="43">
        <f>IF(Planos!$A176="","",N(Planos!K176))</f>
      </c>
      <c r="F178" s="44">
        <f>IF(OR(Planos!$A176="",NOT(ISNUMBER(Planos!$G176)),N(Planos!$E176)&lt;=0),0,IF(Planos!$G176&gt;EOMONTH(DATE(crono_ano_ref,1,1),0),0,MAX(0,INT((EOMONTH(DATE(crono_ano_ref,1,1),0)-IF(Planos!$G176&gt;=DATE(crono_ano_ref,1,1),Planos!$G176,Planos!$G176+CEILING((DATE(crono_ano_ref,1,1)-Planos!$G176)/Planos!$E176,1)*Planos!$E176))/Planos!$E176)+1)))</f>
      </c>
      <c r="G178" s="44">
        <f>IF(OR(Planos!$A176="",NOT(ISNUMBER(Planos!$G176)),N(Planos!$E176)&lt;=0),0,IF(Planos!$G176&gt;EOMONTH(DATE(crono_ano_ref,2,1),0),0,MAX(0,INT((EOMONTH(DATE(crono_ano_ref,2,1),0)-IF(Planos!$G176&gt;=DATE(crono_ano_ref,2,1),Planos!$G176,Planos!$G176+CEILING((DATE(crono_ano_ref,2,1)-Planos!$G176)/Planos!$E176,1)*Planos!$E176))/Planos!$E176)+1)))</f>
      </c>
      <c r="H178" s="44">
        <f>IF(OR(Planos!$A176="",NOT(ISNUMBER(Planos!$G176)),N(Planos!$E176)&lt;=0),0,IF(Planos!$G176&gt;EOMONTH(DATE(crono_ano_ref,3,1),0),0,MAX(0,INT((EOMONTH(DATE(crono_ano_ref,3,1),0)-IF(Planos!$G176&gt;=DATE(crono_ano_ref,3,1),Planos!$G176,Planos!$G176+CEILING((DATE(crono_ano_ref,3,1)-Planos!$G176)/Planos!$E176,1)*Planos!$E176))/Planos!$E176)+1)))</f>
      </c>
      <c r="I178" s="44">
        <f>IF(OR(Planos!$A176="",NOT(ISNUMBER(Planos!$G176)),N(Planos!$E176)&lt;=0),0,IF(Planos!$G176&gt;EOMONTH(DATE(crono_ano_ref,4,1),0),0,MAX(0,INT((EOMONTH(DATE(crono_ano_ref,4,1),0)-IF(Planos!$G176&gt;=DATE(crono_ano_ref,4,1),Planos!$G176,Planos!$G176+CEILING((DATE(crono_ano_ref,4,1)-Planos!$G176)/Planos!$E176,1)*Planos!$E176))/Planos!$E176)+1)))</f>
      </c>
      <c r="J178" s="44">
        <f>IF(OR(Planos!$A176="",NOT(ISNUMBER(Planos!$G176)),N(Planos!$E176)&lt;=0),0,IF(Planos!$G176&gt;EOMONTH(DATE(crono_ano_ref,5,1),0),0,MAX(0,INT((EOMONTH(DATE(crono_ano_ref,5,1),0)-IF(Planos!$G176&gt;=DATE(crono_ano_ref,5,1),Planos!$G176,Planos!$G176+CEILING((DATE(crono_ano_ref,5,1)-Planos!$G176)/Planos!$E176,1)*Planos!$E176))/Planos!$E176)+1)))</f>
      </c>
      <c r="K178" s="44">
        <f>IF(OR(Planos!$A176="",NOT(ISNUMBER(Planos!$G176)),N(Planos!$E176)&lt;=0),0,IF(Planos!$G176&gt;EOMONTH(DATE(crono_ano_ref,6,1),0),0,MAX(0,INT((EOMONTH(DATE(crono_ano_ref,6,1),0)-IF(Planos!$G176&gt;=DATE(crono_ano_ref,6,1),Planos!$G176,Planos!$G176+CEILING((DATE(crono_ano_ref,6,1)-Planos!$G176)/Planos!$E176,1)*Planos!$E176))/Planos!$E176)+1)))</f>
      </c>
      <c r="L178" s="44">
        <f>IF(OR(Planos!$A176="",NOT(ISNUMBER(Planos!$G176)),N(Planos!$E176)&lt;=0),0,IF(Planos!$G176&gt;EOMONTH(DATE(crono_ano_ref,7,1),0),0,MAX(0,INT((EOMONTH(DATE(crono_ano_ref,7,1),0)-IF(Planos!$G176&gt;=DATE(crono_ano_ref,7,1),Planos!$G176,Planos!$G176+CEILING((DATE(crono_ano_ref,7,1)-Planos!$G176)/Planos!$E176,1)*Planos!$E176))/Planos!$E176)+1)))</f>
      </c>
      <c r="M178" s="44">
        <f>IF(OR(Planos!$A176="",NOT(ISNUMBER(Planos!$G176)),N(Planos!$E176)&lt;=0),0,IF(Planos!$G176&gt;EOMONTH(DATE(crono_ano_ref,8,1),0),0,MAX(0,INT((EOMONTH(DATE(crono_ano_ref,8,1),0)-IF(Planos!$G176&gt;=DATE(crono_ano_ref,8,1),Planos!$G176,Planos!$G176+CEILING((DATE(crono_ano_ref,8,1)-Planos!$G176)/Planos!$E176,1)*Planos!$E176))/Planos!$E176)+1)))</f>
      </c>
      <c r="N178" s="44">
        <f>IF(OR(Planos!$A176="",NOT(ISNUMBER(Planos!$G176)),N(Planos!$E176)&lt;=0),0,IF(Planos!$G176&gt;EOMONTH(DATE(crono_ano_ref,9,1),0),0,MAX(0,INT((EOMONTH(DATE(crono_ano_ref,9,1),0)-IF(Planos!$G176&gt;=DATE(crono_ano_ref,9,1),Planos!$G176,Planos!$G176+CEILING((DATE(crono_ano_ref,9,1)-Planos!$G176)/Planos!$E176,1)*Planos!$E176))/Planos!$E176)+1)))</f>
      </c>
      <c r="O178" s="44">
        <f>IF(OR(Planos!$A176="",NOT(ISNUMBER(Planos!$G176)),N(Planos!$E176)&lt;=0),0,IF(Planos!$G176&gt;EOMONTH(DATE(crono_ano_ref,10,1),0),0,MAX(0,INT((EOMONTH(DATE(crono_ano_ref,10,1),0)-IF(Planos!$G176&gt;=DATE(crono_ano_ref,10,1),Planos!$G176,Planos!$G176+CEILING((DATE(crono_ano_ref,10,1)-Planos!$G176)/Planos!$E176,1)*Planos!$E176))/Planos!$E176)+1)))</f>
      </c>
      <c r="P178" s="44">
        <f>IF(OR(Planos!$A176="",NOT(ISNUMBER(Planos!$G176)),N(Planos!$E176)&lt;=0),0,IF(Planos!$G176&gt;EOMONTH(DATE(crono_ano_ref,11,1),0),0,MAX(0,INT((EOMONTH(DATE(crono_ano_ref,11,1),0)-IF(Planos!$G176&gt;=DATE(crono_ano_ref,11,1),Planos!$G176,Planos!$G176+CEILING((DATE(crono_ano_ref,11,1)-Planos!$G176)/Planos!$E176,1)*Planos!$E176))/Planos!$E176)+1)))</f>
      </c>
      <c r="Q178" s="44">
        <f>IF(OR(Planos!$A176="",NOT(ISNUMBER(Planos!$G176)),N(Planos!$E176)&lt;=0),0,IF(Planos!$G176&gt;EOMONTH(DATE(crono_ano_ref,12,1),0),0,MAX(0,INT((EOMONTH(DATE(crono_ano_ref,12,1),0)-IF(Planos!$G176&gt;=DATE(crono_ano_ref,12,1),Planos!$G176,Planos!$G176+CEILING((DATE(crono_ano_ref,12,1)-Planos!$G176)/Planos!$E176,1)*Planos!$E176))/Planos!$E176)+1)))</f>
      </c>
      <c r="R178" s="44">
        <f>SUM(F178:Q178)</f>
      </c>
    </row>
    <row r="179" spans="1:18" x14ac:dyDescent="0.25">
      <c r="A179" s="24">
        <f>IF(Planos!$A177="","",Planos!A177&amp;"")</f>
      </c>
      <c r="B179" s="41">
        <f>IF(Planos!$A177="","",Planos!B177&amp;"")</f>
      </c>
      <c r="C179" s="24">
        <f>IF(Planos!$A177="","",Planos!C177&amp;"")</f>
      </c>
      <c r="D179" s="42">
        <f>IF(Planos!$A177="","",N(Planos!E177))</f>
      </c>
      <c r="E179" s="43">
        <f>IF(Planos!$A177="","",N(Planos!K177))</f>
      </c>
      <c r="F179" s="44">
        <f>IF(OR(Planos!$A177="",NOT(ISNUMBER(Planos!$G177)),N(Planos!$E177)&lt;=0),0,IF(Planos!$G177&gt;EOMONTH(DATE(crono_ano_ref,1,1),0),0,MAX(0,INT((EOMONTH(DATE(crono_ano_ref,1,1),0)-IF(Planos!$G177&gt;=DATE(crono_ano_ref,1,1),Planos!$G177,Planos!$G177+CEILING((DATE(crono_ano_ref,1,1)-Planos!$G177)/Planos!$E177,1)*Planos!$E177))/Planos!$E177)+1)))</f>
      </c>
      <c r="G179" s="44">
        <f>IF(OR(Planos!$A177="",NOT(ISNUMBER(Planos!$G177)),N(Planos!$E177)&lt;=0),0,IF(Planos!$G177&gt;EOMONTH(DATE(crono_ano_ref,2,1),0),0,MAX(0,INT((EOMONTH(DATE(crono_ano_ref,2,1),0)-IF(Planos!$G177&gt;=DATE(crono_ano_ref,2,1),Planos!$G177,Planos!$G177+CEILING((DATE(crono_ano_ref,2,1)-Planos!$G177)/Planos!$E177,1)*Planos!$E177))/Planos!$E177)+1)))</f>
      </c>
      <c r="H179" s="44">
        <f>IF(OR(Planos!$A177="",NOT(ISNUMBER(Planos!$G177)),N(Planos!$E177)&lt;=0),0,IF(Planos!$G177&gt;EOMONTH(DATE(crono_ano_ref,3,1),0),0,MAX(0,INT((EOMONTH(DATE(crono_ano_ref,3,1),0)-IF(Planos!$G177&gt;=DATE(crono_ano_ref,3,1),Planos!$G177,Planos!$G177+CEILING((DATE(crono_ano_ref,3,1)-Planos!$G177)/Planos!$E177,1)*Planos!$E177))/Planos!$E177)+1)))</f>
      </c>
      <c r="I179" s="44">
        <f>IF(OR(Planos!$A177="",NOT(ISNUMBER(Planos!$G177)),N(Planos!$E177)&lt;=0),0,IF(Planos!$G177&gt;EOMONTH(DATE(crono_ano_ref,4,1),0),0,MAX(0,INT((EOMONTH(DATE(crono_ano_ref,4,1),0)-IF(Planos!$G177&gt;=DATE(crono_ano_ref,4,1),Planos!$G177,Planos!$G177+CEILING((DATE(crono_ano_ref,4,1)-Planos!$G177)/Planos!$E177,1)*Planos!$E177))/Planos!$E177)+1)))</f>
      </c>
      <c r="J179" s="44">
        <f>IF(OR(Planos!$A177="",NOT(ISNUMBER(Planos!$G177)),N(Planos!$E177)&lt;=0),0,IF(Planos!$G177&gt;EOMONTH(DATE(crono_ano_ref,5,1),0),0,MAX(0,INT((EOMONTH(DATE(crono_ano_ref,5,1),0)-IF(Planos!$G177&gt;=DATE(crono_ano_ref,5,1),Planos!$G177,Planos!$G177+CEILING((DATE(crono_ano_ref,5,1)-Planos!$G177)/Planos!$E177,1)*Planos!$E177))/Planos!$E177)+1)))</f>
      </c>
      <c r="K179" s="44">
        <f>IF(OR(Planos!$A177="",NOT(ISNUMBER(Planos!$G177)),N(Planos!$E177)&lt;=0),0,IF(Planos!$G177&gt;EOMONTH(DATE(crono_ano_ref,6,1),0),0,MAX(0,INT((EOMONTH(DATE(crono_ano_ref,6,1),0)-IF(Planos!$G177&gt;=DATE(crono_ano_ref,6,1),Planos!$G177,Planos!$G177+CEILING((DATE(crono_ano_ref,6,1)-Planos!$G177)/Planos!$E177,1)*Planos!$E177))/Planos!$E177)+1)))</f>
      </c>
      <c r="L179" s="44">
        <f>IF(OR(Planos!$A177="",NOT(ISNUMBER(Planos!$G177)),N(Planos!$E177)&lt;=0),0,IF(Planos!$G177&gt;EOMONTH(DATE(crono_ano_ref,7,1),0),0,MAX(0,INT((EOMONTH(DATE(crono_ano_ref,7,1),0)-IF(Planos!$G177&gt;=DATE(crono_ano_ref,7,1),Planos!$G177,Planos!$G177+CEILING((DATE(crono_ano_ref,7,1)-Planos!$G177)/Planos!$E177,1)*Planos!$E177))/Planos!$E177)+1)))</f>
      </c>
      <c r="M179" s="44">
        <f>IF(OR(Planos!$A177="",NOT(ISNUMBER(Planos!$G177)),N(Planos!$E177)&lt;=0),0,IF(Planos!$G177&gt;EOMONTH(DATE(crono_ano_ref,8,1),0),0,MAX(0,INT((EOMONTH(DATE(crono_ano_ref,8,1),0)-IF(Planos!$G177&gt;=DATE(crono_ano_ref,8,1),Planos!$G177,Planos!$G177+CEILING((DATE(crono_ano_ref,8,1)-Planos!$G177)/Planos!$E177,1)*Planos!$E177))/Planos!$E177)+1)))</f>
      </c>
      <c r="N179" s="44">
        <f>IF(OR(Planos!$A177="",NOT(ISNUMBER(Planos!$G177)),N(Planos!$E177)&lt;=0),0,IF(Planos!$G177&gt;EOMONTH(DATE(crono_ano_ref,9,1),0),0,MAX(0,INT((EOMONTH(DATE(crono_ano_ref,9,1),0)-IF(Planos!$G177&gt;=DATE(crono_ano_ref,9,1),Planos!$G177,Planos!$G177+CEILING((DATE(crono_ano_ref,9,1)-Planos!$G177)/Planos!$E177,1)*Planos!$E177))/Planos!$E177)+1)))</f>
      </c>
      <c r="O179" s="44">
        <f>IF(OR(Planos!$A177="",NOT(ISNUMBER(Planos!$G177)),N(Planos!$E177)&lt;=0),0,IF(Planos!$G177&gt;EOMONTH(DATE(crono_ano_ref,10,1),0),0,MAX(0,INT((EOMONTH(DATE(crono_ano_ref,10,1),0)-IF(Planos!$G177&gt;=DATE(crono_ano_ref,10,1),Planos!$G177,Planos!$G177+CEILING((DATE(crono_ano_ref,10,1)-Planos!$G177)/Planos!$E177,1)*Planos!$E177))/Planos!$E177)+1)))</f>
      </c>
      <c r="P179" s="44">
        <f>IF(OR(Planos!$A177="",NOT(ISNUMBER(Planos!$G177)),N(Planos!$E177)&lt;=0),0,IF(Planos!$G177&gt;EOMONTH(DATE(crono_ano_ref,11,1),0),0,MAX(0,INT((EOMONTH(DATE(crono_ano_ref,11,1),0)-IF(Planos!$G177&gt;=DATE(crono_ano_ref,11,1),Planos!$G177,Planos!$G177+CEILING((DATE(crono_ano_ref,11,1)-Planos!$G177)/Planos!$E177,1)*Planos!$E177))/Planos!$E177)+1)))</f>
      </c>
      <c r="Q179" s="44">
        <f>IF(OR(Planos!$A177="",NOT(ISNUMBER(Planos!$G177)),N(Planos!$E177)&lt;=0),0,IF(Planos!$G177&gt;EOMONTH(DATE(crono_ano_ref,12,1),0),0,MAX(0,INT((EOMONTH(DATE(crono_ano_ref,12,1),0)-IF(Planos!$G177&gt;=DATE(crono_ano_ref,12,1),Planos!$G177,Planos!$G177+CEILING((DATE(crono_ano_ref,12,1)-Planos!$G177)/Planos!$E177,1)*Planos!$E177))/Planos!$E177)+1)))</f>
      </c>
      <c r="R179" s="44">
        <f>SUM(F179:Q179)</f>
      </c>
    </row>
    <row r="180" spans="1:18" x14ac:dyDescent="0.25">
      <c r="A180" s="24">
        <f>IF(Planos!$A178="","",Planos!A178&amp;"")</f>
      </c>
      <c r="B180" s="41">
        <f>IF(Planos!$A178="","",Planos!B178&amp;"")</f>
      </c>
      <c r="C180" s="24">
        <f>IF(Planos!$A178="","",Planos!C178&amp;"")</f>
      </c>
      <c r="D180" s="42">
        <f>IF(Planos!$A178="","",N(Planos!E178))</f>
      </c>
      <c r="E180" s="43">
        <f>IF(Planos!$A178="","",N(Planos!K178))</f>
      </c>
      <c r="F180" s="44">
        <f>IF(OR(Planos!$A178="",NOT(ISNUMBER(Planos!$G178)),N(Planos!$E178)&lt;=0),0,IF(Planos!$G178&gt;EOMONTH(DATE(crono_ano_ref,1,1),0),0,MAX(0,INT((EOMONTH(DATE(crono_ano_ref,1,1),0)-IF(Planos!$G178&gt;=DATE(crono_ano_ref,1,1),Planos!$G178,Planos!$G178+CEILING((DATE(crono_ano_ref,1,1)-Planos!$G178)/Planos!$E178,1)*Planos!$E178))/Planos!$E178)+1)))</f>
      </c>
      <c r="G180" s="44">
        <f>IF(OR(Planos!$A178="",NOT(ISNUMBER(Planos!$G178)),N(Planos!$E178)&lt;=0),0,IF(Planos!$G178&gt;EOMONTH(DATE(crono_ano_ref,2,1),0),0,MAX(0,INT((EOMONTH(DATE(crono_ano_ref,2,1),0)-IF(Planos!$G178&gt;=DATE(crono_ano_ref,2,1),Planos!$G178,Planos!$G178+CEILING((DATE(crono_ano_ref,2,1)-Planos!$G178)/Planos!$E178,1)*Planos!$E178))/Planos!$E178)+1)))</f>
      </c>
      <c r="H180" s="44">
        <f>IF(OR(Planos!$A178="",NOT(ISNUMBER(Planos!$G178)),N(Planos!$E178)&lt;=0),0,IF(Planos!$G178&gt;EOMONTH(DATE(crono_ano_ref,3,1),0),0,MAX(0,INT((EOMONTH(DATE(crono_ano_ref,3,1),0)-IF(Planos!$G178&gt;=DATE(crono_ano_ref,3,1),Planos!$G178,Planos!$G178+CEILING((DATE(crono_ano_ref,3,1)-Planos!$G178)/Planos!$E178,1)*Planos!$E178))/Planos!$E178)+1)))</f>
      </c>
      <c r="I180" s="44">
        <f>IF(OR(Planos!$A178="",NOT(ISNUMBER(Planos!$G178)),N(Planos!$E178)&lt;=0),0,IF(Planos!$G178&gt;EOMONTH(DATE(crono_ano_ref,4,1),0),0,MAX(0,INT((EOMONTH(DATE(crono_ano_ref,4,1),0)-IF(Planos!$G178&gt;=DATE(crono_ano_ref,4,1),Planos!$G178,Planos!$G178+CEILING((DATE(crono_ano_ref,4,1)-Planos!$G178)/Planos!$E178,1)*Planos!$E178))/Planos!$E178)+1)))</f>
      </c>
      <c r="J180" s="44">
        <f>IF(OR(Planos!$A178="",NOT(ISNUMBER(Planos!$G178)),N(Planos!$E178)&lt;=0),0,IF(Planos!$G178&gt;EOMONTH(DATE(crono_ano_ref,5,1),0),0,MAX(0,INT((EOMONTH(DATE(crono_ano_ref,5,1),0)-IF(Planos!$G178&gt;=DATE(crono_ano_ref,5,1),Planos!$G178,Planos!$G178+CEILING((DATE(crono_ano_ref,5,1)-Planos!$G178)/Planos!$E178,1)*Planos!$E178))/Planos!$E178)+1)))</f>
      </c>
      <c r="K180" s="44">
        <f>IF(OR(Planos!$A178="",NOT(ISNUMBER(Planos!$G178)),N(Planos!$E178)&lt;=0),0,IF(Planos!$G178&gt;EOMONTH(DATE(crono_ano_ref,6,1),0),0,MAX(0,INT((EOMONTH(DATE(crono_ano_ref,6,1),0)-IF(Planos!$G178&gt;=DATE(crono_ano_ref,6,1),Planos!$G178,Planos!$G178+CEILING((DATE(crono_ano_ref,6,1)-Planos!$G178)/Planos!$E178,1)*Planos!$E178))/Planos!$E178)+1)))</f>
      </c>
      <c r="L180" s="44">
        <f>IF(OR(Planos!$A178="",NOT(ISNUMBER(Planos!$G178)),N(Planos!$E178)&lt;=0),0,IF(Planos!$G178&gt;EOMONTH(DATE(crono_ano_ref,7,1),0),0,MAX(0,INT((EOMONTH(DATE(crono_ano_ref,7,1),0)-IF(Planos!$G178&gt;=DATE(crono_ano_ref,7,1),Planos!$G178,Planos!$G178+CEILING((DATE(crono_ano_ref,7,1)-Planos!$G178)/Planos!$E178,1)*Planos!$E178))/Planos!$E178)+1)))</f>
      </c>
      <c r="M180" s="44">
        <f>IF(OR(Planos!$A178="",NOT(ISNUMBER(Planos!$G178)),N(Planos!$E178)&lt;=0),0,IF(Planos!$G178&gt;EOMONTH(DATE(crono_ano_ref,8,1),0),0,MAX(0,INT((EOMONTH(DATE(crono_ano_ref,8,1),0)-IF(Planos!$G178&gt;=DATE(crono_ano_ref,8,1),Planos!$G178,Planos!$G178+CEILING((DATE(crono_ano_ref,8,1)-Planos!$G178)/Planos!$E178,1)*Planos!$E178))/Planos!$E178)+1)))</f>
      </c>
      <c r="N180" s="44">
        <f>IF(OR(Planos!$A178="",NOT(ISNUMBER(Planos!$G178)),N(Planos!$E178)&lt;=0),0,IF(Planos!$G178&gt;EOMONTH(DATE(crono_ano_ref,9,1),0),0,MAX(0,INT((EOMONTH(DATE(crono_ano_ref,9,1),0)-IF(Planos!$G178&gt;=DATE(crono_ano_ref,9,1),Planos!$G178,Planos!$G178+CEILING((DATE(crono_ano_ref,9,1)-Planos!$G178)/Planos!$E178,1)*Planos!$E178))/Planos!$E178)+1)))</f>
      </c>
      <c r="O180" s="44">
        <f>IF(OR(Planos!$A178="",NOT(ISNUMBER(Planos!$G178)),N(Planos!$E178)&lt;=0),0,IF(Planos!$G178&gt;EOMONTH(DATE(crono_ano_ref,10,1),0),0,MAX(0,INT((EOMONTH(DATE(crono_ano_ref,10,1),0)-IF(Planos!$G178&gt;=DATE(crono_ano_ref,10,1),Planos!$G178,Planos!$G178+CEILING((DATE(crono_ano_ref,10,1)-Planos!$G178)/Planos!$E178,1)*Planos!$E178))/Planos!$E178)+1)))</f>
      </c>
      <c r="P180" s="44">
        <f>IF(OR(Planos!$A178="",NOT(ISNUMBER(Planos!$G178)),N(Planos!$E178)&lt;=0),0,IF(Planos!$G178&gt;EOMONTH(DATE(crono_ano_ref,11,1),0),0,MAX(0,INT((EOMONTH(DATE(crono_ano_ref,11,1),0)-IF(Planos!$G178&gt;=DATE(crono_ano_ref,11,1),Planos!$G178,Planos!$G178+CEILING((DATE(crono_ano_ref,11,1)-Planos!$G178)/Planos!$E178,1)*Planos!$E178))/Planos!$E178)+1)))</f>
      </c>
      <c r="Q180" s="44">
        <f>IF(OR(Planos!$A178="",NOT(ISNUMBER(Planos!$G178)),N(Planos!$E178)&lt;=0),0,IF(Planos!$G178&gt;EOMONTH(DATE(crono_ano_ref,12,1),0),0,MAX(0,INT((EOMONTH(DATE(crono_ano_ref,12,1),0)-IF(Planos!$G178&gt;=DATE(crono_ano_ref,12,1),Planos!$G178,Planos!$G178+CEILING((DATE(crono_ano_ref,12,1)-Planos!$G178)/Planos!$E178,1)*Planos!$E178))/Planos!$E178)+1)))</f>
      </c>
      <c r="R180" s="44">
        <f>SUM(F180:Q180)</f>
      </c>
    </row>
    <row r="181" spans="1:18" x14ac:dyDescent="0.25">
      <c r="A181" s="24">
        <f>IF(Planos!$A179="","",Planos!A179&amp;"")</f>
      </c>
      <c r="B181" s="41">
        <f>IF(Planos!$A179="","",Planos!B179&amp;"")</f>
      </c>
      <c r="C181" s="24">
        <f>IF(Planos!$A179="","",Planos!C179&amp;"")</f>
      </c>
      <c r="D181" s="42">
        <f>IF(Planos!$A179="","",N(Planos!E179))</f>
      </c>
      <c r="E181" s="43">
        <f>IF(Planos!$A179="","",N(Planos!K179))</f>
      </c>
      <c r="F181" s="44">
        <f>IF(OR(Planos!$A179="",NOT(ISNUMBER(Planos!$G179)),N(Planos!$E179)&lt;=0),0,IF(Planos!$G179&gt;EOMONTH(DATE(crono_ano_ref,1,1),0),0,MAX(0,INT((EOMONTH(DATE(crono_ano_ref,1,1),0)-IF(Planos!$G179&gt;=DATE(crono_ano_ref,1,1),Planos!$G179,Planos!$G179+CEILING((DATE(crono_ano_ref,1,1)-Planos!$G179)/Planos!$E179,1)*Planos!$E179))/Planos!$E179)+1)))</f>
      </c>
      <c r="G181" s="44">
        <f>IF(OR(Planos!$A179="",NOT(ISNUMBER(Planos!$G179)),N(Planos!$E179)&lt;=0),0,IF(Planos!$G179&gt;EOMONTH(DATE(crono_ano_ref,2,1),0),0,MAX(0,INT((EOMONTH(DATE(crono_ano_ref,2,1),0)-IF(Planos!$G179&gt;=DATE(crono_ano_ref,2,1),Planos!$G179,Planos!$G179+CEILING((DATE(crono_ano_ref,2,1)-Planos!$G179)/Planos!$E179,1)*Planos!$E179))/Planos!$E179)+1)))</f>
      </c>
      <c r="H181" s="44">
        <f>IF(OR(Planos!$A179="",NOT(ISNUMBER(Planos!$G179)),N(Planos!$E179)&lt;=0),0,IF(Planos!$G179&gt;EOMONTH(DATE(crono_ano_ref,3,1),0),0,MAX(0,INT((EOMONTH(DATE(crono_ano_ref,3,1),0)-IF(Planos!$G179&gt;=DATE(crono_ano_ref,3,1),Planos!$G179,Planos!$G179+CEILING((DATE(crono_ano_ref,3,1)-Planos!$G179)/Planos!$E179,1)*Planos!$E179))/Planos!$E179)+1)))</f>
      </c>
      <c r="I181" s="44">
        <f>IF(OR(Planos!$A179="",NOT(ISNUMBER(Planos!$G179)),N(Planos!$E179)&lt;=0),0,IF(Planos!$G179&gt;EOMONTH(DATE(crono_ano_ref,4,1),0),0,MAX(0,INT((EOMONTH(DATE(crono_ano_ref,4,1),0)-IF(Planos!$G179&gt;=DATE(crono_ano_ref,4,1),Planos!$G179,Planos!$G179+CEILING((DATE(crono_ano_ref,4,1)-Planos!$G179)/Planos!$E179,1)*Planos!$E179))/Planos!$E179)+1)))</f>
      </c>
      <c r="J181" s="44">
        <f>IF(OR(Planos!$A179="",NOT(ISNUMBER(Planos!$G179)),N(Planos!$E179)&lt;=0),0,IF(Planos!$G179&gt;EOMONTH(DATE(crono_ano_ref,5,1),0),0,MAX(0,INT((EOMONTH(DATE(crono_ano_ref,5,1),0)-IF(Planos!$G179&gt;=DATE(crono_ano_ref,5,1),Planos!$G179,Planos!$G179+CEILING((DATE(crono_ano_ref,5,1)-Planos!$G179)/Planos!$E179,1)*Planos!$E179))/Planos!$E179)+1)))</f>
      </c>
      <c r="K181" s="44">
        <f>IF(OR(Planos!$A179="",NOT(ISNUMBER(Planos!$G179)),N(Planos!$E179)&lt;=0),0,IF(Planos!$G179&gt;EOMONTH(DATE(crono_ano_ref,6,1),0),0,MAX(0,INT((EOMONTH(DATE(crono_ano_ref,6,1),0)-IF(Planos!$G179&gt;=DATE(crono_ano_ref,6,1),Planos!$G179,Planos!$G179+CEILING((DATE(crono_ano_ref,6,1)-Planos!$G179)/Planos!$E179,1)*Planos!$E179))/Planos!$E179)+1)))</f>
      </c>
      <c r="L181" s="44">
        <f>IF(OR(Planos!$A179="",NOT(ISNUMBER(Planos!$G179)),N(Planos!$E179)&lt;=0),0,IF(Planos!$G179&gt;EOMONTH(DATE(crono_ano_ref,7,1),0),0,MAX(0,INT((EOMONTH(DATE(crono_ano_ref,7,1),0)-IF(Planos!$G179&gt;=DATE(crono_ano_ref,7,1),Planos!$G179,Planos!$G179+CEILING((DATE(crono_ano_ref,7,1)-Planos!$G179)/Planos!$E179,1)*Planos!$E179))/Planos!$E179)+1)))</f>
      </c>
      <c r="M181" s="44">
        <f>IF(OR(Planos!$A179="",NOT(ISNUMBER(Planos!$G179)),N(Planos!$E179)&lt;=0),0,IF(Planos!$G179&gt;EOMONTH(DATE(crono_ano_ref,8,1),0),0,MAX(0,INT((EOMONTH(DATE(crono_ano_ref,8,1),0)-IF(Planos!$G179&gt;=DATE(crono_ano_ref,8,1),Planos!$G179,Planos!$G179+CEILING((DATE(crono_ano_ref,8,1)-Planos!$G179)/Planos!$E179,1)*Planos!$E179))/Planos!$E179)+1)))</f>
      </c>
      <c r="N181" s="44">
        <f>IF(OR(Planos!$A179="",NOT(ISNUMBER(Planos!$G179)),N(Planos!$E179)&lt;=0),0,IF(Planos!$G179&gt;EOMONTH(DATE(crono_ano_ref,9,1),0),0,MAX(0,INT((EOMONTH(DATE(crono_ano_ref,9,1),0)-IF(Planos!$G179&gt;=DATE(crono_ano_ref,9,1),Planos!$G179,Planos!$G179+CEILING((DATE(crono_ano_ref,9,1)-Planos!$G179)/Planos!$E179,1)*Planos!$E179))/Planos!$E179)+1)))</f>
      </c>
      <c r="O181" s="44">
        <f>IF(OR(Planos!$A179="",NOT(ISNUMBER(Planos!$G179)),N(Planos!$E179)&lt;=0),0,IF(Planos!$G179&gt;EOMONTH(DATE(crono_ano_ref,10,1),0),0,MAX(0,INT((EOMONTH(DATE(crono_ano_ref,10,1),0)-IF(Planos!$G179&gt;=DATE(crono_ano_ref,10,1),Planos!$G179,Planos!$G179+CEILING((DATE(crono_ano_ref,10,1)-Planos!$G179)/Planos!$E179,1)*Planos!$E179))/Planos!$E179)+1)))</f>
      </c>
      <c r="P181" s="44">
        <f>IF(OR(Planos!$A179="",NOT(ISNUMBER(Planos!$G179)),N(Planos!$E179)&lt;=0),0,IF(Planos!$G179&gt;EOMONTH(DATE(crono_ano_ref,11,1),0),0,MAX(0,INT((EOMONTH(DATE(crono_ano_ref,11,1),0)-IF(Planos!$G179&gt;=DATE(crono_ano_ref,11,1),Planos!$G179,Planos!$G179+CEILING((DATE(crono_ano_ref,11,1)-Planos!$G179)/Planos!$E179,1)*Planos!$E179))/Planos!$E179)+1)))</f>
      </c>
      <c r="Q181" s="44">
        <f>IF(OR(Planos!$A179="",NOT(ISNUMBER(Planos!$G179)),N(Planos!$E179)&lt;=0),0,IF(Planos!$G179&gt;EOMONTH(DATE(crono_ano_ref,12,1),0),0,MAX(0,INT((EOMONTH(DATE(crono_ano_ref,12,1),0)-IF(Planos!$G179&gt;=DATE(crono_ano_ref,12,1),Planos!$G179,Planos!$G179+CEILING((DATE(crono_ano_ref,12,1)-Planos!$G179)/Planos!$E179,1)*Planos!$E179))/Planos!$E179)+1)))</f>
      </c>
      <c r="R181" s="44">
        <f>SUM(F181:Q181)</f>
      </c>
    </row>
    <row r="182" spans="1:18" x14ac:dyDescent="0.25">
      <c r="A182" s="24">
        <f>IF(Planos!$A180="","",Planos!A180&amp;"")</f>
      </c>
      <c r="B182" s="41">
        <f>IF(Planos!$A180="","",Planos!B180&amp;"")</f>
      </c>
      <c r="C182" s="24">
        <f>IF(Planos!$A180="","",Planos!C180&amp;"")</f>
      </c>
      <c r="D182" s="42">
        <f>IF(Planos!$A180="","",N(Planos!E180))</f>
      </c>
      <c r="E182" s="43">
        <f>IF(Planos!$A180="","",N(Planos!K180))</f>
      </c>
      <c r="F182" s="44">
        <f>IF(OR(Planos!$A180="",NOT(ISNUMBER(Planos!$G180)),N(Planos!$E180)&lt;=0),0,IF(Planos!$G180&gt;EOMONTH(DATE(crono_ano_ref,1,1),0),0,MAX(0,INT((EOMONTH(DATE(crono_ano_ref,1,1),0)-IF(Planos!$G180&gt;=DATE(crono_ano_ref,1,1),Planos!$G180,Planos!$G180+CEILING((DATE(crono_ano_ref,1,1)-Planos!$G180)/Planos!$E180,1)*Planos!$E180))/Planos!$E180)+1)))</f>
      </c>
      <c r="G182" s="44">
        <f>IF(OR(Planos!$A180="",NOT(ISNUMBER(Planos!$G180)),N(Planos!$E180)&lt;=0),0,IF(Planos!$G180&gt;EOMONTH(DATE(crono_ano_ref,2,1),0),0,MAX(0,INT((EOMONTH(DATE(crono_ano_ref,2,1),0)-IF(Planos!$G180&gt;=DATE(crono_ano_ref,2,1),Planos!$G180,Planos!$G180+CEILING((DATE(crono_ano_ref,2,1)-Planos!$G180)/Planos!$E180,1)*Planos!$E180))/Planos!$E180)+1)))</f>
      </c>
      <c r="H182" s="44">
        <f>IF(OR(Planos!$A180="",NOT(ISNUMBER(Planos!$G180)),N(Planos!$E180)&lt;=0),0,IF(Planos!$G180&gt;EOMONTH(DATE(crono_ano_ref,3,1),0),0,MAX(0,INT((EOMONTH(DATE(crono_ano_ref,3,1),0)-IF(Planos!$G180&gt;=DATE(crono_ano_ref,3,1),Planos!$G180,Planos!$G180+CEILING((DATE(crono_ano_ref,3,1)-Planos!$G180)/Planos!$E180,1)*Planos!$E180))/Planos!$E180)+1)))</f>
      </c>
      <c r="I182" s="44">
        <f>IF(OR(Planos!$A180="",NOT(ISNUMBER(Planos!$G180)),N(Planos!$E180)&lt;=0),0,IF(Planos!$G180&gt;EOMONTH(DATE(crono_ano_ref,4,1),0),0,MAX(0,INT((EOMONTH(DATE(crono_ano_ref,4,1),0)-IF(Planos!$G180&gt;=DATE(crono_ano_ref,4,1),Planos!$G180,Planos!$G180+CEILING((DATE(crono_ano_ref,4,1)-Planos!$G180)/Planos!$E180,1)*Planos!$E180))/Planos!$E180)+1)))</f>
      </c>
      <c r="J182" s="44">
        <f>IF(OR(Planos!$A180="",NOT(ISNUMBER(Planos!$G180)),N(Planos!$E180)&lt;=0),0,IF(Planos!$G180&gt;EOMONTH(DATE(crono_ano_ref,5,1),0),0,MAX(0,INT((EOMONTH(DATE(crono_ano_ref,5,1),0)-IF(Planos!$G180&gt;=DATE(crono_ano_ref,5,1),Planos!$G180,Planos!$G180+CEILING((DATE(crono_ano_ref,5,1)-Planos!$G180)/Planos!$E180,1)*Planos!$E180))/Planos!$E180)+1)))</f>
      </c>
      <c r="K182" s="44">
        <f>IF(OR(Planos!$A180="",NOT(ISNUMBER(Planos!$G180)),N(Planos!$E180)&lt;=0),0,IF(Planos!$G180&gt;EOMONTH(DATE(crono_ano_ref,6,1),0),0,MAX(0,INT((EOMONTH(DATE(crono_ano_ref,6,1),0)-IF(Planos!$G180&gt;=DATE(crono_ano_ref,6,1),Planos!$G180,Planos!$G180+CEILING((DATE(crono_ano_ref,6,1)-Planos!$G180)/Planos!$E180,1)*Planos!$E180))/Planos!$E180)+1)))</f>
      </c>
      <c r="L182" s="44">
        <f>IF(OR(Planos!$A180="",NOT(ISNUMBER(Planos!$G180)),N(Planos!$E180)&lt;=0),0,IF(Planos!$G180&gt;EOMONTH(DATE(crono_ano_ref,7,1),0),0,MAX(0,INT((EOMONTH(DATE(crono_ano_ref,7,1),0)-IF(Planos!$G180&gt;=DATE(crono_ano_ref,7,1),Planos!$G180,Planos!$G180+CEILING((DATE(crono_ano_ref,7,1)-Planos!$G180)/Planos!$E180,1)*Planos!$E180))/Planos!$E180)+1)))</f>
      </c>
      <c r="M182" s="44">
        <f>IF(OR(Planos!$A180="",NOT(ISNUMBER(Planos!$G180)),N(Planos!$E180)&lt;=0),0,IF(Planos!$G180&gt;EOMONTH(DATE(crono_ano_ref,8,1),0),0,MAX(0,INT((EOMONTH(DATE(crono_ano_ref,8,1),0)-IF(Planos!$G180&gt;=DATE(crono_ano_ref,8,1),Planos!$G180,Planos!$G180+CEILING((DATE(crono_ano_ref,8,1)-Planos!$G180)/Planos!$E180,1)*Planos!$E180))/Planos!$E180)+1)))</f>
      </c>
      <c r="N182" s="44">
        <f>IF(OR(Planos!$A180="",NOT(ISNUMBER(Planos!$G180)),N(Planos!$E180)&lt;=0),0,IF(Planos!$G180&gt;EOMONTH(DATE(crono_ano_ref,9,1),0),0,MAX(0,INT((EOMONTH(DATE(crono_ano_ref,9,1),0)-IF(Planos!$G180&gt;=DATE(crono_ano_ref,9,1),Planos!$G180,Planos!$G180+CEILING((DATE(crono_ano_ref,9,1)-Planos!$G180)/Planos!$E180,1)*Planos!$E180))/Planos!$E180)+1)))</f>
      </c>
      <c r="O182" s="44">
        <f>IF(OR(Planos!$A180="",NOT(ISNUMBER(Planos!$G180)),N(Planos!$E180)&lt;=0),0,IF(Planos!$G180&gt;EOMONTH(DATE(crono_ano_ref,10,1),0),0,MAX(0,INT((EOMONTH(DATE(crono_ano_ref,10,1),0)-IF(Planos!$G180&gt;=DATE(crono_ano_ref,10,1),Planos!$G180,Planos!$G180+CEILING((DATE(crono_ano_ref,10,1)-Planos!$G180)/Planos!$E180,1)*Planos!$E180))/Planos!$E180)+1)))</f>
      </c>
      <c r="P182" s="44">
        <f>IF(OR(Planos!$A180="",NOT(ISNUMBER(Planos!$G180)),N(Planos!$E180)&lt;=0),0,IF(Planos!$G180&gt;EOMONTH(DATE(crono_ano_ref,11,1),0),0,MAX(0,INT((EOMONTH(DATE(crono_ano_ref,11,1),0)-IF(Planos!$G180&gt;=DATE(crono_ano_ref,11,1),Planos!$G180,Planos!$G180+CEILING((DATE(crono_ano_ref,11,1)-Planos!$G180)/Planos!$E180,1)*Planos!$E180))/Planos!$E180)+1)))</f>
      </c>
      <c r="Q182" s="44">
        <f>IF(OR(Planos!$A180="",NOT(ISNUMBER(Planos!$G180)),N(Planos!$E180)&lt;=0),0,IF(Planos!$G180&gt;EOMONTH(DATE(crono_ano_ref,12,1),0),0,MAX(0,INT((EOMONTH(DATE(crono_ano_ref,12,1),0)-IF(Planos!$G180&gt;=DATE(crono_ano_ref,12,1),Planos!$G180,Planos!$G180+CEILING((DATE(crono_ano_ref,12,1)-Planos!$G180)/Planos!$E180,1)*Planos!$E180))/Planos!$E180)+1)))</f>
      </c>
      <c r="R182" s="44">
        <f>SUM(F182:Q182)</f>
      </c>
    </row>
    <row r="183" spans="1:18" x14ac:dyDescent="0.25">
      <c r="A183" s="24">
        <f>IF(Planos!$A181="","",Planos!A181&amp;"")</f>
      </c>
      <c r="B183" s="41">
        <f>IF(Planos!$A181="","",Planos!B181&amp;"")</f>
      </c>
      <c r="C183" s="24">
        <f>IF(Planos!$A181="","",Planos!C181&amp;"")</f>
      </c>
      <c r="D183" s="42">
        <f>IF(Planos!$A181="","",N(Planos!E181))</f>
      </c>
      <c r="E183" s="43">
        <f>IF(Planos!$A181="","",N(Planos!K181))</f>
      </c>
      <c r="F183" s="44">
        <f>IF(OR(Planos!$A181="",NOT(ISNUMBER(Planos!$G181)),N(Planos!$E181)&lt;=0),0,IF(Planos!$G181&gt;EOMONTH(DATE(crono_ano_ref,1,1),0),0,MAX(0,INT((EOMONTH(DATE(crono_ano_ref,1,1),0)-IF(Planos!$G181&gt;=DATE(crono_ano_ref,1,1),Planos!$G181,Planos!$G181+CEILING((DATE(crono_ano_ref,1,1)-Planos!$G181)/Planos!$E181,1)*Planos!$E181))/Planos!$E181)+1)))</f>
      </c>
      <c r="G183" s="44">
        <f>IF(OR(Planos!$A181="",NOT(ISNUMBER(Planos!$G181)),N(Planos!$E181)&lt;=0),0,IF(Planos!$G181&gt;EOMONTH(DATE(crono_ano_ref,2,1),0),0,MAX(0,INT((EOMONTH(DATE(crono_ano_ref,2,1),0)-IF(Planos!$G181&gt;=DATE(crono_ano_ref,2,1),Planos!$G181,Planos!$G181+CEILING((DATE(crono_ano_ref,2,1)-Planos!$G181)/Planos!$E181,1)*Planos!$E181))/Planos!$E181)+1)))</f>
      </c>
      <c r="H183" s="44">
        <f>IF(OR(Planos!$A181="",NOT(ISNUMBER(Planos!$G181)),N(Planos!$E181)&lt;=0),0,IF(Planos!$G181&gt;EOMONTH(DATE(crono_ano_ref,3,1),0),0,MAX(0,INT((EOMONTH(DATE(crono_ano_ref,3,1),0)-IF(Planos!$G181&gt;=DATE(crono_ano_ref,3,1),Planos!$G181,Planos!$G181+CEILING((DATE(crono_ano_ref,3,1)-Planos!$G181)/Planos!$E181,1)*Planos!$E181))/Planos!$E181)+1)))</f>
      </c>
      <c r="I183" s="44">
        <f>IF(OR(Planos!$A181="",NOT(ISNUMBER(Planos!$G181)),N(Planos!$E181)&lt;=0),0,IF(Planos!$G181&gt;EOMONTH(DATE(crono_ano_ref,4,1),0),0,MAX(0,INT((EOMONTH(DATE(crono_ano_ref,4,1),0)-IF(Planos!$G181&gt;=DATE(crono_ano_ref,4,1),Planos!$G181,Planos!$G181+CEILING((DATE(crono_ano_ref,4,1)-Planos!$G181)/Planos!$E181,1)*Planos!$E181))/Planos!$E181)+1)))</f>
      </c>
      <c r="J183" s="44">
        <f>IF(OR(Planos!$A181="",NOT(ISNUMBER(Planos!$G181)),N(Planos!$E181)&lt;=0),0,IF(Planos!$G181&gt;EOMONTH(DATE(crono_ano_ref,5,1),0),0,MAX(0,INT((EOMONTH(DATE(crono_ano_ref,5,1),0)-IF(Planos!$G181&gt;=DATE(crono_ano_ref,5,1),Planos!$G181,Planos!$G181+CEILING((DATE(crono_ano_ref,5,1)-Planos!$G181)/Planos!$E181,1)*Planos!$E181))/Planos!$E181)+1)))</f>
      </c>
      <c r="K183" s="44">
        <f>IF(OR(Planos!$A181="",NOT(ISNUMBER(Planos!$G181)),N(Planos!$E181)&lt;=0),0,IF(Planos!$G181&gt;EOMONTH(DATE(crono_ano_ref,6,1),0),0,MAX(0,INT((EOMONTH(DATE(crono_ano_ref,6,1),0)-IF(Planos!$G181&gt;=DATE(crono_ano_ref,6,1),Planos!$G181,Planos!$G181+CEILING((DATE(crono_ano_ref,6,1)-Planos!$G181)/Planos!$E181,1)*Planos!$E181))/Planos!$E181)+1)))</f>
      </c>
      <c r="L183" s="44">
        <f>IF(OR(Planos!$A181="",NOT(ISNUMBER(Planos!$G181)),N(Planos!$E181)&lt;=0),0,IF(Planos!$G181&gt;EOMONTH(DATE(crono_ano_ref,7,1),0),0,MAX(0,INT((EOMONTH(DATE(crono_ano_ref,7,1),0)-IF(Planos!$G181&gt;=DATE(crono_ano_ref,7,1),Planos!$G181,Planos!$G181+CEILING((DATE(crono_ano_ref,7,1)-Planos!$G181)/Planos!$E181,1)*Planos!$E181))/Planos!$E181)+1)))</f>
      </c>
      <c r="M183" s="44">
        <f>IF(OR(Planos!$A181="",NOT(ISNUMBER(Planos!$G181)),N(Planos!$E181)&lt;=0),0,IF(Planos!$G181&gt;EOMONTH(DATE(crono_ano_ref,8,1),0),0,MAX(0,INT((EOMONTH(DATE(crono_ano_ref,8,1),0)-IF(Planos!$G181&gt;=DATE(crono_ano_ref,8,1),Planos!$G181,Planos!$G181+CEILING((DATE(crono_ano_ref,8,1)-Planos!$G181)/Planos!$E181,1)*Planos!$E181))/Planos!$E181)+1)))</f>
      </c>
      <c r="N183" s="44">
        <f>IF(OR(Planos!$A181="",NOT(ISNUMBER(Planos!$G181)),N(Planos!$E181)&lt;=0),0,IF(Planos!$G181&gt;EOMONTH(DATE(crono_ano_ref,9,1),0),0,MAX(0,INT((EOMONTH(DATE(crono_ano_ref,9,1),0)-IF(Planos!$G181&gt;=DATE(crono_ano_ref,9,1),Planos!$G181,Planos!$G181+CEILING((DATE(crono_ano_ref,9,1)-Planos!$G181)/Planos!$E181,1)*Planos!$E181))/Planos!$E181)+1)))</f>
      </c>
      <c r="O183" s="44">
        <f>IF(OR(Planos!$A181="",NOT(ISNUMBER(Planos!$G181)),N(Planos!$E181)&lt;=0),0,IF(Planos!$G181&gt;EOMONTH(DATE(crono_ano_ref,10,1),0),0,MAX(0,INT((EOMONTH(DATE(crono_ano_ref,10,1),0)-IF(Planos!$G181&gt;=DATE(crono_ano_ref,10,1),Planos!$G181,Planos!$G181+CEILING((DATE(crono_ano_ref,10,1)-Planos!$G181)/Planos!$E181,1)*Planos!$E181))/Planos!$E181)+1)))</f>
      </c>
      <c r="P183" s="44">
        <f>IF(OR(Planos!$A181="",NOT(ISNUMBER(Planos!$G181)),N(Planos!$E181)&lt;=0),0,IF(Planos!$G181&gt;EOMONTH(DATE(crono_ano_ref,11,1),0),0,MAX(0,INT((EOMONTH(DATE(crono_ano_ref,11,1),0)-IF(Planos!$G181&gt;=DATE(crono_ano_ref,11,1),Planos!$G181,Planos!$G181+CEILING((DATE(crono_ano_ref,11,1)-Planos!$G181)/Planos!$E181,1)*Planos!$E181))/Planos!$E181)+1)))</f>
      </c>
      <c r="Q183" s="44">
        <f>IF(OR(Planos!$A181="",NOT(ISNUMBER(Planos!$G181)),N(Planos!$E181)&lt;=0),0,IF(Planos!$G181&gt;EOMONTH(DATE(crono_ano_ref,12,1),0),0,MAX(0,INT((EOMONTH(DATE(crono_ano_ref,12,1),0)-IF(Planos!$G181&gt;=DATE(crono_ano_ref,12,1),Planos!$G181,Planos!$G181+CEILING((DATE(crono_ano_ref,12,1)-Planos!$G181)/Planos!$E181,1)*Planos!$E181))/Planos!$E181)+1)))</f>
      </c>
      <c r="R183" s="44">
        <f>SUM(F183:Q183)</f>
      </c>
    </row>
    <row r="184" spans="1:18" x14ac:dyDescent="0.25">
      <c r="A184" s="24">
        <f>IF(Planos!$A182="","",Planos!A182&amp;"")</f>
      </c>
      <c r="B184" s="41">
        <f>IF(Planos!$A182="","",Planos!B182&amp;"")</f>
      </c>
      <c r="C184" s="24">
        <f>IF(Planos!$A182="","",Planos!C182&amp;"")</f>
      </c>
      <c r="D184" s="42">
        <f>IF(Planos!$A182="","",N(Planos!E182))</f>
      </c>
      <c r="E184" s="43">
        <f>IF(Planos!$A182="","",N(Planos!K182))</f>
      </c>
      <c r="F184" s="44">
        <f>IF(OR(Planos!$A182="",NOT(ISNUMBER(Planos!$G182)),N(Planos!$E182)&lt;=0),0,IF(Planos!$G182&gt;EOMONTH(DATE(crono_ano_ref,1,1),0),0,MAX(0,INT((EOMONTH(DATE(crono_ano_ref,1,1),0)-IF(Planos!$G182&gt;=DATE(crono_ano_ref,1,1),Planos!$G182,Planos!$G182+CEILING((DATE(crono_ano_ref,1,1)-Planos!$G182)/Planos!$E182,1)*Planos!$E182))/Planos!$E182)+1)))</f>
      </c>
      <c r="G184" s="44">
        <f>IF(OR(Planos!$A182="",NOT(ISNUMBER(Planos!$G182)),N(Planos!$E182)&lt;=0),0,IF(Planos!$G182&gt;EOMONTH(DATE(crono_ano_ref,2,1),0),0,MAX(0,INT((EOMONTH(DATE(crono_ano_ref,2,1),0)-IF(Planos!$G182&gt;=DATE(crono_ano_ref,2,1),Planos!$G182,Planos!$G182+CEILING((DATE(crono_ano_ref,2,1)-Planos!$G182)/Planos!$E182,1)*Planos!$E182))/Planos!$E182)+1)))</f>
      </c>
      <c r="H184" s="44">
        <f>IF(OR(Planos!$A182="",NOT(ISNUMBER(Planos!$G182)),N(Planos!$E182)&lt;=0),0,IF(Planos!$G182&gt;EOMONTH(DATE(crono_ano_ref,3,1),0),0,MAX(0,INT((EOMONTH(DATE(crono_ano_ref,3,1),0)-IF(Planos!$G182&gt;=DATE(crono_ano_ref,3,1),Planos!$G182,Planos!$G182+CEILING((DATE(crono_ano_ref,3,1)-Planos!$G182)/Planos!$E182,1)*Planos!$E182))/Planos!$E182)+1)))</f>
      </c>
      <c r="I184" s="44">
        <f>IF(OR(Planos!$A182="",NOT(ISNUMBER(Planos!$G182)),N(Planos!$E182)&lt;=0),0,IF(Planos!$G182&gt;EOMONTH(DATE(crono_ano_ref,4,1),0),0,MAX(0,INT((EOMONTH(DATE(crono_ano_ref,4,1),0)-IF(Planos!$G182&gt;=DATE(crono_ano_ref,4,1),Planos!$G182,Planos!$G182+CEILING((DATE(crono_ano_ref,4,1)-Planos!$G182)/Planos!$E182,1)*Planos!$E182))/Planos!$E182)+1)))</f>
      </c>
      <c r="J184" s="44">
        <f>IF(OR(Planos!$A182="",NOT(ISNUMBER(Planos!$G182)),N(Planos!$E182)&lt;=0),0,IF(Planos!$G182&gt;EOMONTH(DATE(crono_ano_ref,5,1),0),0,MAX(0,INT((EOMONTH(DATE(crono_ano_ref,5,1),0)-IF(Planos!$G182&gt;=DATE(crono_ano_ref,5,1),Planos!$G182,Planos!$G182+CEILING((DATE(crono_ano_ref,5,1)-Planos!$G182)/Planos!$E182,1)*Planos!$E182))/Planos!$E182)+1)))</f>
      </c>
      <c r="K184" s="44">
        <f>IF(OR(Planos!$A182="",NOT(ISNUMBER(Planos!$G182)),N(Planos!$E182)&lt;=0),0,IF(Planos!$G182&gt;EOMONTH(DATE(crono_ano_ref,6,1),0),0,MAX(0,INT((EOMONTH(DATE(crono_ano_ref,6,1),0)-IF(Planos!$G182&gt;=DATE(crono_ano_ref,6,1),Planos!$G182,Planos!$G182+CEILING((DATE(crono_ano_ref,6,1)-Planos!$G182)/Planos!$E182,1)*Planos!$E182))/Planos!$E182)+1)))</f>
      </c>
      <c r="L184" s="44">
        <f>IF(OR(Planos!$A182="",NOT(ISNUMBER(Planos!$G182)),N(Planos!$E182)&lt;=0),0,IF(Planos!$G182&gt;EOMONTH(DATE(crono_ano_ref,7,1),0),0,MAX(0,INT((EOMONTH(DATE(crono_ano_ref,7,1),0)-IF(Planos!$G182&gt;=DATE(crono_ano_ref,7,1),Planos!$G182,Planos!$G182+CEILING((DATE(crono_ano_ref,7,1)-Planos!$G182)/Planos!$E182,1)*Planos!$E182))/Planos!$E182)+1)))</f>
      </c>
      <c r="M184" s="44">
        <f>IF(OR(Planos!$A182="",NOT(ISNUMBER(Planos!$G182)),N(Planos!$E182)&lt;=0),0,IF(Planos!$G182&gt;EOMONTH(DATE(crono_ano_ref,8,1),0),0,MAX(0,INT((EOMONTH(DATE(crono_ano_ref,8,1),0)-IF(Planos!$G182&gt;=DATE(crono_ano_ref,8,1),Planos!$G182,Planos!$G182+CEILING((DATE(crono_ano_ref,8,1)-Planos!$G182)/Planos!$E182,1)*Planos!$E182))/Planos!$E182)+1)))</f>
      </c>
      <c r="N184" s="44">
        <f>IF(OR(Planos!$A182="",NOT(ISNUMBER(Planos!$G182)),N(Planos!$E182)&lt;=0),0,IF(Planos!$G182&gt;EOMONTH(DATE(crono_ano_ref,9,1),0),0,MAX(0,INT((EOMONTH(DATE(crono_ano_ref,9,1),0)-IF(Planos!$G182&gt;=DATE(crono_ano_ref,9,1),Planos!$G182,Planos!$G182+CEILING((DATE(crono_ano_ref,9,1)-Planos!$G182)/Planos!$E182,1)*Planos!$E182))/Planos!$E182)+1)))</f>
      </c>
      <c r="O184" s="44">
        <f>IF(OR(Planos!$A182="",NOT(ISNUMBER(Planos!$G182)),N(Planos!$E182)&lt;=0),0,IF(Planos!$G182&gt;EOMONTH(DATE(crono_ano_ref,10,1),0),0,MAX(0,INT((EOMONTH(DATE(crono_ano_ref,10,1),0)-IF(Planos!$G182&gt;=DATE(crono_ano_ref,10,1),Planos!$G182,Planos!$G182+CEILING((DATE(crono_ano_ref,10,1)-Planos!$G182)/Planos!$E182,1)*Planos!$E182))/Planos!$E182)+1)))</f>
      </c>
      <c r="P184" s="44">
        <f>IF(OR(Planos!$A182="",NOT(ISNUMBER(Planos!$G182)),N(Planos!$E182)&lt;=0),0,IF(Planos!$G182&gt;EOMONTH(DATE(crono_ano_ref,11,1),0),0,MAX(0,INT((EOMONTH(DATE(crono_ano_ref,11,1),0)-IF(Planos!$G182&gt;=DATE(crono_ano_ref,11,1),Planos!$G182,Planos!$G182+CEILING((DATE(crono_ano_ref,11,1)-Planos!$G182)/Planos!$E182,1)*Planos!$E182))/Planos!$E182)+1)))</f>
      </c>
      <c r="Q184" s="44">
        <f>IF(OR(Planos!$A182="",NOT(ISNUMBER(Planos!$G182)),N(Planos!$E182)&lt;=0),0,IF(Planos!$G182&gt;EOMONTH(DATE(crono_ano_ref,12,1),0),0,MAX(0,INT((EOMONTH(DATE(crono_ano_ref,12,1),0)-IF(Planos!$G182&gt;=DATE(crono_ano_ref,12,1),Planos!$G182,Planos!$G182+CEILING((DATE(crono_ano_ref,12,1)-Planos!$G182)/Planos!$E182,1)*Planos!$E182))/Planos!$E182)+1)))</f>
      </c>
      <c r="R184" s="44">
        <f>SUM(F184:Q184)</f>
      </c>
    </row>
    <row r="185" spans="1:18" x14ac:dyDescent="0.25">
      <c r="A185" s="24">
        <f>IF(Planos!$A183="","",Planos!A183&amp;"")</f>
      </c>
      <c r="B185" s="41">
        <f>IF(Planos!$A183="","",Planos!B183&amp;"")</f>
      </c>
      <c r="C185" s="24">
        <f>IF(Planos!$A183="","",Planos!C183&amp;"")</f>
      </c>
      <c r="D185" s="42">
        <f>IF(Planos!$A183="","",N(Planos!E183))</f>
      </c>
      <c r="E185" s="43">
        <f>IF(Planos!$A183="","",N(Planos!K183))</f>
      </c>
      <c r="F185" s="44">
        <f>IF(OR(Planos!$A183="",NOT(ISNUMBER(Planos!$G183)),N(Planos!$E183)&lt;=0),0,IF(Planos!$G183&gt;EOMONTH(DATE(crono_ano_ref,1,1),0),0,MAX(0,INT((EOMONTH(DATE(crono_ano_ref,1,1),0)-IF(Planos!$G183&gt;=DATE(crono_ano_ref,1,1),Planos!$G183,Planos!$G183+CEILING((DATE(crono_ano_ref,1,1)-Planos!$G183)/Planos!$E183,1)*Planos!$E183))/Planos!$E183)+1)))</f>
      </c>
      <c r="G185" s="44">
        <f>IF(OR(Planos!$A183="",NOT(ISNUMBER(Planos!$G183)),N(Planos!$E183)&lt;=0),0,IF(Planos!$G183&gt;EOMONTH(DATE(crono_ano_ref,2,1),0),0,MAX(0,INT((EOMONTH(DATE(crono_ano_ref,2,1),0)-IF(Planos!$G183&gt;=DATE(crono_ano_ref,2,1),Planos!$G183,Planos!$G183+CEILING((DATE(crono_ano_ref,2,1)-Planos!$G183)/Planos!$E183,1)*Planos!$E183))/Planos!$E183)+1)))</f>
      </c>
      <c r="H185" s="44">
        <f>IF(OR(Planos!$A183="",NOT(ISNUMBER(Planos!$G183)),N(Planos!$E183)&lt;=0),0,IF(Planos!$G183&gt;EOMONTH(DATE(crono_ano_ref,3,1),0),0,MAX(0,INT((EOMONTH(DATE(crono_ano_ref,3,1),0)-IF(Planos!$G183&gt;=DATE(crono_ano_ref,3,1),Planos!$G183,Planos!$G183+CEILING((DATE(crono_ano_ref,3,1)-Planos!$G183)/Planos!$E183,1)*Planos!$E183))/Planos!$E183)+1)))</f>
      </c>
      <c r="I185" s="44">
        <f>IF(OR(Planos!$A183="",NOT(ISNUMBER(Planos!$G183)),N(Planos!$E183)&lt;=0),0,IF(Planos!$G183&gt;EOMONTH(DATE(crono_ano_ref,4,1),0),0,MAX(0,INT((EOMONTH(DATE(crono_ano_ref,4,1),0)-IF(Planos!$G183&gt;=DATE(crono_ano_ref,4,1),Planos!$G183,Planos!$G183+CEILING((DATE(crono_ano_ref,4,1)-Planos!$G183)/Planos!$E183,1)*Planos!$E183))/Planos!$E183)+1)))</f>
      </c>
      <c r="J185" s="44">
        <f>IF(OR(Planos!$A183="",NOT(ISNUMBER(Planos!$G183)),N(Planos!$E183)&lt;=0),0,IF(Planos!$G183&gt;EOMONTH(DATE(crono_ano_ref,5,1),0),0,MAX(0,INT((EOMONTH(DATE(crono_ano_ref,5,1),0)-IF(Planos!$G183&gt;=DATE(crono_ano_ref,5,1),Planos!$G183,Planos!$G183+CEILING((DATE(crono_ano_ref,5,1)-Planos!$G183)/Planos!$E183,1)*Planos!$E183))/Planos!$E183)+1)))</f>
      </c>
      <c r="K185" s="44">
        <f>IF(OR(Planos!$A183="",NOT(ISNUMBER(Planos!$G183)),N(Planos!$E183)&lt;=0),0,IF(Planos!$G183&gt;EOMONTH(DATE(crono_ano_ref,6,1),0),0,MAX(0,INT((EOMONTH(DATE(crono_ano_ref,6,1),0)-IF(Planos!$G183&gt;=DATE(crono_ano_ref,6,1),Planos!$G183,Planos!$G183+CEILING((DATE(crono_ano_ref,6,1)-Planos!$G183)/Planos!$E183,1)*Planos!$E183))/Planos!$E183)+1)))</f>
      </c>
      <c r="L185" s="44">
        <f>IF(OR(Planos!$A183="",NOT(ISNUMBER(Planos!$G183)),N(Planos!$E183)&lt;=0),0,IF(Planos!$G183&gt;EOMONTH(DATE(crono_ano_ref,7,1),0),0,MAX(0,INT((EOMONTH(DATE(crono_ano_ref,7,1),0)-IF(Planos!$G183&gt;=DATE(crono_ano_ref,7,1),Planos!$G183,Planos!$G183+CEILING((DATE(crono_ano_ref,7,1)-Planos!$G183)/Planos!$E183,1)*Planos!$E183))/Planos!$E183)+1)))</f>
      </c>
      <c r="M185" s="44">
        <f>IF(OR(Planos!$A183="",NOT(ISNUMBER(Planos!$G183)),N(Planos!$E183)&lt;=0),0,IF(Planos!$G183&gt;EOMONTH(DATE(crono_ano_ref,8,1),0),0,MAX(0,INT((EOMONTH(DATE(crono_ano_ref,8,1),0)-IF(Planos!$G183&gt;=DATE(crono_ano_ref,8,1),Planos!$G183,Planos!$G183+CEILING((DATE(crono_ano_ref,8,1)-Planos!$G183)/Planos!$E183,1)*Planos!$E183))/Planos!$E183)+1)))</f>
      </c>
      <c r="N185" s="44">
        <f>IF(OR(Planos!$A183="",NOT(ISNUMBER(Planos!$G183)),N(Planos!$E183)&lt;=0),0,IF(Planos!$G183&gt;EOMONTH(DATE(crono_ano_ref,9,1),0),0,MAX(0,INT((EOMONTH(DATE(crono_ano_ref,9,1),0)-IF(Planos!$G183&gt;=DATE(crono_ano_ref,9,1),Planos!$G183,Planos!$G183+CEILING((DATE(crono_ano_ref,9,1)-Planos!$G183)/Planos!$E183,1)*Planos!$E183))/Planos!$E183)+1)))</f>
      </c>
      <c r="O185" s="44">
        <f>IF(OR(Planos!$A183="",NOT(ISNUMBER(Planos!$G183)),N(Planos!$E183)&lt;=0),0,IF(Planos!$G183&gt;EOMONTH(DATE(crono_ano_ref,10,1),0),0,MAX(0,INT((EOMONTH(DATE(crono_ano_ref,10,1),0)-IF(Planos!$G183&gt;=DATE(crono_ano_ref,10,1),Planos!$G183,Planos!$G183+CEILING((DATE(crono_ano_ref,10,1)-Planos!$G183)/Planos!$E183,1)*Planos!$E183))/Planos!$E183)+1)))</f>
      </c>
      <c r="P185" s="44">
        <f>IF(OR(Planos!$A183="",NOT(ISNUMBER(Planos!$G183)),N(Planos!$E183)&lt;=0),0,IF(Planos!$G183&gt;EOMONTH(DATE(crono_ano_ref,11,1),0),0,MAX(0,INT((EOMONTH(DATE(crono_ano_ref,11,1),0)-IF(Planos!$G183&gt;=DATE(crono_ano_ref,11,1),Planos!$G183,Planos!$G183+CEILING((DATE(crono_ano_ref,11,1)-Planos!$G183)/Planos!$E183,1)*Planos!$E183))/Planos!$E183)+1)))</f>
      </c>
      <c r="Q185" s="44">
        <f>IF(OR(Planos!$A183="",NOT(ISNUMBER(Planos!$G183)),N(Planos!$E183)&lt;=0),0,IF(Planos!$G183&gt;EOMONTH(DATE(crono_ano_ref,12,1),0),0,MAX(0,INT((EOMONTH(DATE(crono_ano_ref,12,1),0)-IF(Planos!$G183&gt;=DATE(crono_ano_ref,12,1),Planos!$G183,Planos!$G183+CEILING((DATE(crono_ano_ref,12,1)-Planos!$G183)/Planos!$E183,1)*Planos!$E183))/Planos!$E183)+1)))</f>
      </c>
      <c r="R185" s="44">
        <f>SUM(F185:Q185)</f>
      </c>
    </row>
    <row r="186" spans="1:18" x14ac:dyDescent="0.25">
      <c r="A186" s="24">
        <f>IF(Planos!$A184="","",Planos!A184&amp;"")</f>
      </c>
      <c r="B186" s="41">
        <f>IF(Planos!$A184="","",Planos!B184&amp;"")</f>
      </c>
      <c r="C186" s="24">
        <f>IF(Planos!$A184="","",Planos!C184&amp;"")</f>
      </c>
      <c r="D186" s="42">
        <f>IF(Planos!$A184="","",N(Planos!E184))</f>
      </c>
      <c r="E186" s="43">
        <f>IF(Planos!$A184="","",N(Planos!K184))</f>
      </c>
      <c r="F186" s="44">
        <f>IF(OR(Planos!$A184="",NOT(ISNUMBER(Planos!$G184)),N(Planos!$E184)&lt;=0),0,IF(Planos!$G184&gt;EOMONTH(DATE(crono_ano_ref,1,1),0),0,MAX(0,INT((EOMONTH(DATE(crono_ano_ref,1,1),0)-IF(Planos!$G184&gt;=DATE(crono_ano_ref,1,1),Planos!$G184,Planos!$G184+CEILING((DATE(crono_ano_ref,1,1)-Planos!$G184)/Planos!$E184,1)*Planos!$E184))/Planos!$E184)+1)))</f>
      </c>
      <c r="G186" s="44">
        <f>IF(OR(Planos!$A184="",NOT(ISNUMBER(Planos!$G184)),N(Planos!$E184)&lt;=0),0,IF(Planos!$G184&gt;EOMONTH(DATE(crono_ano_ref,2,1),0),0,MAX(0,INT((EOMONTH(DATE(crono_ano_ref,2,1),0)-IF(Planos!$G184&gt;=DATE(crono_ano_ref,2,1),Planos!$G184,Planos!$G184+CEILING((DATE(crono_ano_ref,2,1)-Planos!$G184)/Planos!$E184,1)*Planos!$E184))/Planos!$E184)+1)))</f>
      </c>
      <c r="H186" s="44">
        <f>IF(OR(Planos!$A184="",NOT(ISNUMBER(Planos!$G184)),N(Planos!$E184)&lt;=0),0,IF(Planos!$G184&gt;EOMONTH(DATE(crono_ano_ref,3,1),0),0,MAX(0,INT((EOMONTH(DATE(crono_ano_ref,3,1),0)-IF(Planos!$G184&gt;=DATE(crono_ano_ref,3,1),Planos!$G184,Planos!$G184+CEILING((DATE(crono_ano_ref,3,1)-Planos!$G184)/Planos!$E184,1)*Planos!$E184))/Planos!$E184)+1)))</f>
      </c>
      <c r="I186" s="44">
        <f>IF(OR(Planos!$A184="",NOT(ISNUMBER(Planos!$G184)),N(Planos!$E184)&lt;=0),0,IF(Planos!$G184&gt;EOMONTH(DATE(crono_ano_ref,4,1),0),0,MAX(0,INT((EOMONTH(DATE(crono_ano_ref,4,1),0)-IF(Planos!$G184&gt;=DATE(crono_ano_ref,4,1),Planos!$G184,Planos!$G184+CEILING((DATE(crono_ano_ref,4,1)-Planos!$G184)/Planos!$E184,1)*Planos!$E184))/Planos!$E184)+1)))</f>
      </c>
      <c r="J186" s="44">
        <f>IF(OR(Planos!$A184="",NOT(ISNUMBER(Planos!$G184)),N(Planos!$E184)&lt;=0),0,IF(Planos!$G184&gt;EOMONTH(DATE(crono_ano_ref,5,1),0),0,MAX(0,INT((EOMONTH(DATE(crono_ano_ref,5,1),0)-IF(Planos!$G184&gt;=DATE(crono_ano_ref,5,1),Planos!$G184,Planos!$G184+CEILING((DATE(crono_ano_ref,5,1)-Planos!$G184)/Planos!$E184,1)*Planos!$E184))/Planos!$E184)+1)))</f>
      </c>
      <c r="K186" s="44">
        <f>IF(OR(Planos!$A184="",NOT(ISNUMBER(Planos!$G184)),N(Planos!$E184)&lt;=0),0,IF(Planos!$G184&gt;EOMONTH(DATE(crono_ano_ref,6,1),0),0,MAX(0,INT((EOMONTH(DATE(crono_ano_ref,6,1),0)-IF(Planos!$G184&gt;=DATE(crono_ano_ref,6,1),Planos!$G184,Planos!$G184+CEILING((DATE(crono_ano_ref,6,1)-Planos!$G184)/Planos!$E184,1)*Planos!$E184))/Planos!$E184)+1)))</f>
      </c>
      <c r="L186" s="44">
        <f>IF(OR(Planos!$A184="",NOT(ISNUMBER(Planos!$G184)),N(Planos!$E184)&lt;=0),0,IF(Planos!$G184&gt;EOMONTH(DATE(crono_ano_ref,7,1),0),0,MAX(0,INT((EOMONTH(DATE(crono_ano_ref,7,1),0)-IF(Planos!$G184&gt;=DATE(crono_ano_ref,7,1),Planos!$G184,Planos!$G184+CEILING((DATE(crono_ano_ref,7,1)-Planos!$G184)/Planos!$E184,1)*Planos!$E184))/Planos!$E184)+1)))</f>
      </c>
      <c r="M186" s="44">
        <f>IF(OR(Planos!$A184="",NOT(ISNUMBER(Planos!$G184)),N(Planos!$E184)&lt;=0),0,IF(Planos!$G184&gt;EOMONTH(DATE(crono_ano_ref,8,1),0),0,MAX(0,INT((EOMONTH(DATE(crono_ano_ref,8,1),0)-IF(Planos!$G184&gt;=DATE(crono_ano_ref,8,1),Planos!$G184,Planos!$G184+CEILING((DATE(crono_ano_ref,8,1)-Planos!$G184)/Planos!$E184,1)*Planos!$E184))/Planos!$E184)+1)))</f>
      </c>
      <c r="N186" s="44">
        <f>IF(OR(Planos!$A184="",NOT(ISNUMBER(Planos!$G184)),N(Planos!$E184)&lt;=0),0,IF(Planos!$G184&gt;EOMONTH(DATE(crono_ano_ref,9,1),0),0,MAX(0,INT((EOMONTH(DATE(crono_ano_ref,9,1),0)-IF(Planos!$G184&gt;=DATE(crono_ano_ref,9,1),Planos!$G184,Planos!$G184+CEILING((DATE(crono_ano_ref,9,1)-Planos!$G184)/Planos!$E184,1)*Planos!$E184))/Planos!$E184)+1)))</f>
      </c>
      <c r="O186" s="44">
        <f>IF(OR(Planos!$A184="",NOT(ISNUMBER(Planos!$G184)),N(Planos!$E184)&lt;=0),0,IF(Planos!$G184&gt;EOMONTH(DATE(crono_ano_ref,10,1),0),0,MAX(0,INT((EOMONTH(DATE(crono_ano_ref,10,1),0)-IF(Planos!$G184&gt;=DATE(crono_ano_ref,10,1),Planos!$G184,Planos!$G184+CEILING((DATE(crono_ano_ref,10,1)-Planos!$G184)/Planos!$E184,1)*Planos!$E184))/Planos!$E184)+1)))</f>
      </c>
      <c r="P186" s="44">
        <f>IF(OR(Planos!$A184="",NOT(ISNUMBER(Planos!$G184)),N(Planos!$E184)&lt;=0),0,IF(Planos!$G184&gt;EOMONTH(DATE(crono_ano_ref,11,1),0),0,MAX(0,INT((EOMONTH(DATE(crono_ano_ref,11,1),0)-IF(Planos!$G184&gt;=DATE(crono_ano_ref,11,1),Planos!$G184,Planos!$G184+CEILING((DATE(crono_ano_ref,11,1)-Planos!$G184)/Planos!$E184,1)*Planos!$E184))/Planos!$E184)+1)))</f>
      </c>
      <c r="Q186" s="44">
        <f>IF(OR(Planos!$A184="",NOT(ISNUMBER(Planos!$G184)),N(Planos!$E184)&lt;=0),0,IF(Planos!$G184&gt;EOMONTH(DATE(crono_ano_ref,12,1),0),0,MAX(0,INT((EOMONTH(DATE(crono_ano_ref,12,1),0)-IF(Planos!$G184&gt;=DATE(crono_ano_ref,12,1),Planos!$G184,Planos!$G184+CEILING((DATE(crono_ano_ref,12,1)-Planos!$G184)/Planos!$E184,1)*Planos!$E184))/Planos!$E184)+1)))</f>
      </c>
      <c r="R186" s="44">
        <f>SUM(F186:Q186)</f>
      </c>
    </row>
    <row r="187" spans="1:18" x14ac:dyDescent="0.25">
      <c r="A187" s="24">
        <f>IF(Planos!$A185="","",Planos!A185&amp;"")</f>
      </c>
      <c r="B187" s="41">
        <f>IF(Planos!$A185="","",Planos!B185&amp;"")</f>
      </c>
      <c r="C187" s="24">
        <f>IF(Planos!$A185="","",Planos!C185&amp;"")</f>
      </c>
      <c r="D187" s="42">
        <f>IF(Planos!$A185="","",N(Planos!E185))</f>
      </c>
      <c r="E187" s="43">
        <f>IF(Planos!$A185="","",N(Planos!K185))</f>
      </c>
      <c r="F187" s="44">
        <f>IF(OR(Planos!$A185="",NOT(ISNUMBER(Planos!$G185)),N(Planos!$E185)&lt;=0),0,IF(Planos!$G185&gt;EOMONTH(DATE(crono_ano_ref,1,1),0),0,MAX(0,INT((EOMONTH(DATE(crono_ano_ref,1,1),0)-IF(Planos!$G185&gt;=DATE(crono_ano_ref,1,1),Planos!$G185,Planos!$G185+CEILING((DATE(crono_ano_ref,1,1)-Planos!$G185)/Planos!$E185,1)*Planos!$E185))/Planos!$E185)+1)))</f>
      </c>
      <c r="G187" s="44">
        <f>IF(OR(Planos!$A185="",NOT(ISNUMBER(Planos!$G185)),N(Planos!$E185)&lt;=0),0,IF(Planos!$G185&gt;EOMONTH(DATE(crono_ano_ref,2,1),0),0,MAX(0,INT((EOMONTH(DATE(crono_ano_ref,2,1),0)-IF(Planos!$G185&gt;=DATE(crono_ano_ref,2,1),Planos!$G185,Planos!$G185+CEILING((DATE(crono_ano_ref,2,1)-Planos!$G185)/Planos!$E185,1)*Planos!$E185))/Planos!$E185)+1)))</f>
      </c>
      <c r="H187" s="44">
        <f>IF(OR(Planos!$A185="",NOT(ISNUMBER(Planos!$G185)),N(Planos!$E185)&lt;=0),0,IF(Planos!$G185&gt;EOMONTH(DATE(crono_ano_ref,3,1),0),0,MAX(0,INT((EOMONTH(DATE(crono_ano_ref,3,1),0)-IF(Planos!$G185&gt;=DATE(crono_ano_ref,3,1),Planos!$G185,Planos!$G185+CEILING((DATE(crono_ano_ref,3,1)-Planos!$G185)/Planos!$E185,1)*Planos!$E185))/Planos!$E185)+1)))</f>
      </c>
      <c r="I187" s="44">
        <f>IF(OR(Planos!$A185="",NOT(ISNUMBER(Planos!$G185)),N(Planos!$E185)&lt;=0),0,IF(Planos!$G185&gt;EOMONTH(DATE(crono_ano_ref,4,1),0),0,MAX(0,INT((EOMONTH(DATE(crono_ano_ref,4,1),0)-IF(Planos!$G185&gt;=DATE(crono_ano_ref,4,1),Planos!$G185,Planos!$G185+CEILING((DATE(crono_ano_ref,4,1)-Planos!$G185)/Planos!$E185,1)*Planos!$E185))/Planos!$E185)+1)))</f>
      </c>
      <c r="J187" s="44">
        <f>IF(OR(Planos!$A185="",NOT(ISNUMBER(Planos!$G185)),N(Planos!$E185)&lt;=0),0,IF(Planos!$G185&gt;EOMONTH(DATE(crono_ano_ref,5,1),0),0,MAX(0,INT((EOMONTH(DATE(crono_ano_ref,5,1),0)-IF(Planos!$G185&gt;=DATE(crono_ano_ref,5,1),Planos!$G185,Planos!$G185+CEILING((DATE(crono_ano_ref,5,1)-Planos!$G185)/Planos!$E185,1)*Planos!$E185))/Planos!$E185)+1)))</f>
      </c>
      <c r="K187" s="44">
        <f>IF(OR(Planos!$A185="",NOT(ISNUMBER(Planos!$G185)),N(Planos!$E185)&lt;=0),0,IF(Planos!$G185&gt;EOMONTH(DATE(crono_ano_ref,6,1),0),0,MAX(0,INT((EOMONTH(DATE(crono_ano_ref,6,1),0)-IF(Planos!$G185&gt;=DATE(crono_ano_ref,6,1),Planos!$G185,Planos!$G185+CEILING((DATE(crono_ano_ref,6,1)-Planos!$G185)/Planos!$E185,1)*Planos!$E185))/Planos!$E185)+1)))</f>
      </c>
      <c r="L187" s="44">
        <f>IF(OR(Planos!$A185="",NOT(ISNUMBER(Planos!$G185)),N(Planos!$E185)&lt;=0),0,IF(Planos!$G185&gt;EOMONTH(DATE(crono_ano_ref,7,1),0),0,MAX(0,INT((EOMONTH(DATE(crono_ano_ref,7,1),0)-IF(Planos!$G185&gt;=DATE(crono_ano_ref,7,1),Planos!$G185,Planos!$G185+CEILING((DATE(crono_ano_ref,7,1)-Planos!$G185)/Planos!$E185,1)*Planos!$E185))/Planos!$E185)+1)))</f>
      </c>
      <c r="M187" s="44">
        <f>IF(OR(Planos!$A185="",NOT(ISNUMBER(Planos!$G185)),N(Planos!$E185)&lt;=0),0,IF(Planos!$G185&gt;EOMONTH(DATE(crono_ano_ref,8,1),0),0,MAX(0,INT((EOMONTH(DATE(crono_ano_ref,8,1),0)-IF(Planos!$G185&gt;=DATE(crono_ano_ref,8,1),Planos!$G185,Planos!$G185+CEILING((DATE(crono_ano_ref,8,1)-Planos!$G185)/Planos!$E185,1)*Planos!$E185))/Planos!$E185)+1)))</f>
      </c>
      <c r="N187" s="44">
        <f>IF(OR(Planos!$A185="",NOT(ISNUMBER(Planos!$G185)),N(Planos!$E185)&lt;=0),0,IF(Planos!$G185&gt;EOMONTH(DATE(crono_ano_ref,9,1),0),0,MAX(0,INT((EOMONTH(DATE(crono_ano_ref,9,1),0)-IF(Planos!$G185&gt;=DATE(crono_ano_ref,9,1),Planos!$G185,Planos!$G185+CEILING((DATE(crono_ano_ref,9,1)-Planos!$G185)/Planos!$E185,1)*Planos!$E185))/Planos!$E185)+1)))</f>
      </c>
      <c r="O187" s="44">
        <f>IF(OR(Planos!$A185="",NOT(ISNUMBER(Planos!$G185)),N(Planos!$E185)&lt;=0),0,IF(Planos!$G185&gt;EOMONTH(DATE(crono_ano_ref,10,1),0),0,MAX(0,INT((EOMONTH(DATE(crono_ano_ref,10,1),0)-IF(Planos!$G185&gt;=DATE(crono_ano_ref,10,1),Planos!$G185,Planos!$G185+CEILING((DATE(crono_ano_ref,10,1)-Planos!$G185)/Planos!$E185,1)*Planos!$E185))/Planos!$E185)+1)))</f>
      </c>
      <c r="P187" s="44">
        <f>IF(OR(Planos!$A185="",NOT(ISNUMBER(Planos!$G185)),N(Planos!$E185)&lt;=0),0,IF(Planos!$G185&gt;EOMONTH(DATE(crono_ano_ref,11,1),0),0,MAX(0,INT((EOMONTH(DATE(crono_ano_ref,11,1),0)-IF(Planos!$G185&gt;=DATE(crono_ano_ref,11,1),Planos!$G185,Planos!$G185+CEILING((DATE(crono_ano_ref,11,1)-Planos!$G185)/Planos!$E185,1)*Planos!$E185))/Planos!$E185)+1)))</f>
      </c>
      <c r="Q187" s="44">
        <f>IF(OR(Planos!$A185="",NOT(ISNUMBER(Planos!$G185)),N(Planos!$E185)&lt;=0),0,IF(Planos!$G185&gt;EOMONTH(DATE(crono_ano_ref,12,1),0),0,MAX(0,INT((EOMONTH(DATE(crono_ano_ref,12,1),0)-IF(Planos!$G185&gt;=DATE(crono_ano_ref,12,1),Planos!$G185,Planos!$G185+CEILING((DATE(crono_ano_ref,12,1)-Planos!$G185)/Planos!$E185,1)*Planos!$E185))/Planos!$E185)+1)))</f>
      </c>
      <c r="R187" s="44">
        <f>SUM(F187:Q187)</f>
      </c>
    </row>
    <row r="188" spans="1:18" x14ac:dyDescent="0.25">
      <c r="A188" s="24">
        <f>IF(Planos!$A186="","",Planos!A186&amp;"")</f>
      </c>
      <c r="B188" s="41">
        <f>IF(Planos!$A186="","",Planos!B186&amp;"")</f>
      </c>
      <c r="C188" s="24">
        <f>IF(Planos!$A186="","",Planos!C186&amp;"")</f>
      </c>
      <c r="D188" s="42">
        <f>IF(Planos!$A186="","",N(Planos!E186))</f>
      </c>
      <c r="E188" s="43">
        <f>IF(Planos!$A186="","",N(Planos!K186))</f>
      </c>
      <c r="F188" s="44">
        <f>IF(OR(Planos!$A186="",NOT(ISNUMBER(Planos!$G186)),N(Planos!$E186)&lt;=0),0,IF(Planos!$G186&gt;EOMONTH(DATE(crono_ano_ref,1,1),0),0,MAX(0,INT((EOMONTH(DATE(crono_ano_ref,1,1),0)-IF(Planos!$G186&gt;=DATE(crono_ano_ref,1,1),Planos!$G186,Planos!$G186+CEILING((DATE(crono_ano_ref,1,1)-Planos!$G186)/Planos!$E186,1)*Planos!$E186))/Planos!$E186)+1)))</f>
      </c>
      <c r="G188" s="44">
        <f>IF(OR(Planos!$A186="",NOT(ISNUMBER(Planos!$G186)),N(Planos!$E186)&lt;=0),0,IF(Planos!$G186&gt;EOMONTH(DATE(crono_ano_ref,2,1),0),0,MAX(0,INT((EOMONTH(DATE(crono_ano_ref,2,1),0)-IF(Planos!$G186&gt;=DATE(crono_ano_ref,2,1),Planos!$G186,Planos!$G186+CEILING((DATE(crono_ano_ref,2,1)-Planos!$G186)/Planos!$E186,1)*Planos!$E186))/Planos!$E186)+1)))</f>
      </c>
      <c r="H188" s="44">
        <f>IF(OR(Planos!$A186="",NOT(ISNUMBER(Planos!$G186)),N(Planos!$E186)&lt;=0),0,IF(Planos!$G186&gt;EOMONTH(DATE(crono_ano_ref,3,1),0),0,MAX(0,INT((EOMONTH(DATE(crono_ano_ref,3,1),0)-IF(Planos!$G186&gt;=DATE(crono_ano_ref,3,1),Planos!$G186,Planos!$G186+CEILING((DATE(crono_ano_ref,3,1)-Planos!$G186)/Planos!$E186,1)*Planos!$E186))/Planos!$E186)+1)))</f>
      </c>
      <c r="I188" s="44">
        <f>IF(OR(Planos!$A186="",NOT(ISNUMBER(Planos!$G186)),N(Planos!$E186)&lt;=0),0,IF(Planos!$G186&gt;EOMONTH(DATE(crono_ano_ref,4,1),0),0,MAX(0,INT((EOMONTH(DATE(crono_ano_ref,4,1),0)-IF(Planos!$G186&gt;=DATE(crono_ano_ref,4,1),Planos!$G186,Planos!$G186+CEILING((DATE(crono_ano_ref,4,1)-Planos!$G186)/Planos!$E186,1)*Planos!$E186))/Planos!$E186)+1)))</f>
      </c>
      <c r="J188" s="44">
        <f>IF(OR(Planos!$A186="",NOT(ISNUMBER(Planos!$G186)),N(Planos!$E186)&lt;=0),0,IF(Planos!$G186&gt;EOMONTH(DATE(crono_ano_ref,5,1),0),0,MAX(0,INT((EOMONTH(DATE(crono_ano_ref,5,1),0)-IF(Planos!$G186&gt;=DATE(crono_ano_ref,5,1),Planos!$G186,Planos!$G186+CEILING((DATE(crono_ano_ref,5,1)-Planos!$G186)/Planos!$E186,1)*Planos!$E186))/Planos!$E186)+1)))</f>
      </c>
      <c r="K188" s="44">
        <f>IF(OR(Planos!$A186="",NOT(ISNUMBER(Planos!$G186)),N(Planos!$E186)&lt;=0),0,IF(Planos!$G186&gt;EOMONTH(DATE(crono_ano_ref,6,1),0),0,MAX(0,INT((EOMONTH(DATE(crono_ano_ref,6,1),0)-IF(Planos!$G186&gt;=DATE(crono_ano_ref,6,1),Planos!$G186,Planos!$G186+CEILING((DATE(crono_ano_ref,6,1)-Planos!$G186)/Planos!$E186,1)*Planos!$E186))/Planos!$E186)+1)))</f>
      </c>
      <c r="L188" s="44">
        <f>IF(OR(Planos!$A186="",NOT(ISNUMBER(Planos!$G186)),N(Planos!$E186)&lt;=0),0,IF(Planos!$G186&gt;EOMONTH(DATE(crono_ano_ref,7,1),0),0,MAX(0,INT((EOMONTH(DATE(crono_ano_ref,7,1),0)-IF(Planos!$G186&gt;=DATE(crono_ano_ref,7,1),Planos!$G186,Planos!$G186+CEILING((DATE(crono_ano_ref,7,1)-Planos!$G186)/Planos!$E186,1)*Planos!$E186))/Planos!$E186)+1)))</f>
      </c>
      <c r="M188" s="44">
        <f>IF(OR(Planos!$A186="",NOT(ISNUMBER(Planos!$G186)),N(Planos!$E186)&lt;=0),0,IF(Planos!$G186&gt;EOMONTH(DATE(crono_ano_ref,8,1),0),0,MAX(0,INT((EOMONTH(DATE(crono_ano_ref,8,1),0)-IF(Planos!$G186&gt;=DATE(crono_ano_ref,8,1),Planos!$G186,Planos!$G186+CEILING((DATE(crono_ano_ref,8,1)-Planos!$G186)/Planos!$E186,1)*Planos!$E186))/Planos!$E186)+1)))</f>
      </c>
      <c r="N188" s="44">
        <f>IF(OR(Planos!$A186="",NOT(ISNUMBER(Planos!$G186)),N(Planos!$E186)&lt;=0),0,IF(Planos!$G186&gt;EOMONTH(DATE(crono_ano_ref,9,1),0),0,MAX(0,INT((EOMONTH(DATE(crono_ano_ref,9,1),0)-IF(Planos!$G186&gt;=DATE(crono_ano_ref,9,1),Planos!$G186,Planos!$G186+CEILING((DATE(crono_ano_ref,9,1)-Planos!$G186)/Planos!$E186,1)*Planos!$E186))/Planos!$E186)+1)))</f>
      </c>
      <c r="O188" s="44">
        <f>IF(OR(Planos!$A186="",NOT(ISNUMBER(Planos!$G186)),N(Planos!$E186)&lt;=0),0,IF(Planos!$G186&gt;EOMONTH(DATE(crono_ano_ref,10,1),0),0,MAX(0,INT((EOMONTH(DATE(crono_ano_ref,10,1),0)-IF(Planos!$G186&gt;=DATE(crono_ano_ref,10,1),Planos!$G186,Planos!$G186+CEILING((DATE(crono_ano_ref,10,1)-Planos!$G186)/Planos!$E186,1)*Planos!$E186))/Planos!$E186)+1)))</f>
      </c>
      <c r="P188" s="44">
        <f>IF(OR(Planos!$A186="",NOT(ISNUMBER(Planos!$G186)),N(Planos!$E186)&lt;=0),0,IF(Planos!$G186&gt;EOMONTH(DATE(crono_ano_ref,11,1),0),0,MAX(0,INT((EOMONTH(DATE(crono_ano_ref,11,1),0)-IF(Planos!$G186&gt;=DATE(crono_ano_ref,11,1),Planos!$G186,Planos!$G186+CEILING((DATE(crono_ano_ref,11,1)-Planos!$G186)/Planos!$E186,1)*Planos!$E186))/Planos!$E186)+1)))</f>
      </c>
      <c r="Q188" s="44">
        <f>IF(OR(Planos!$A186="",NOT(ISNUMBER(Planos!$G186)),N(Planos!$E186)&lt;=0),0,IF(Planos!$G186&gt;EOMONTH(DATE(crono_ano_ref,12,1),0),0,MAX(0,INT((EOMONTH(DATE(crono_ano_ref,12,1),0)-IF(Planos!$G186&gt;=DATE(crono_ano_ref,12,1),Planos!$G186,Planos!$G186+CEILING((DATE(crono_ano_ref,12,1)-Planos!$G186)/Planos!$E186,1)*Planos!$E186))/Planos!$E186)+1)))</f>
      </c>
      <c r="R188" s="44">
        <f>SUM(F188:Q188)</f>
      </c>
    </row>
    <row r="189" spans="1:18" x14ac:dyDescent="0.25">
      <c r="A189" s="24">
        <f>IF(Planos!$A187="","",Planos!A187&amp;"")</f>
      </c>
      <c r="B189" s="41">
        <f>IF(Planos!$A187="","",Planos!B187&amp;"")</f>
      </c>
      <c r="C189" s="24">
        <f>IF(Planos!$A187="","",Planos!C187&amp;"")</f>
      </c>
      <c r="D189" s="42">
        <f>IF(Planos!$A187="","",N(Planos!E187))</f>
      </c>
      <c r="E189" s="43">
        <f>IF(Planos!$A187="","",N(Planos!K187))</f>
      </c>
      <c r="F189" s="44">
        <f>IF(OR(Planos!$A187="",NOT(ISNUMBER(Planos!$G187)),N(Planos!$E187)&lt;=0),0,IF(Planos!$G187&gt;EOMONTH(DATE(crono_ano_ref,1,1),0),0,MAX(0,INT((EOMONTH(DATE(crono_ano_ref,1,1),0)-IF(Planos!$G187&gt;=DATE(crono_ano_ref,1,1),Planos!$G187,Planos!$G187+CEILING((DATE(crono_ano_ref,1,1)-Planos!$G187)/Planos!$E187,1)*Planos!$E187))/Planos!$E187)+1)))</f>
      </c>
      <c r="G189" s="44">
        <f>IF(OR(Planos!$A187="",NOT(ISNUMBER(Planos!$G187)),N(Planos!$E187)&lt;=0),0,IF(Planos!$G187&gt;EOMONTH(DATE(crono_ano_ref,2,1),0),0,MAX(0,INT((EOMONTH(DATE(crono_ano_ref,2,1),0)-IF(Planos!$G187&gt;=DATE(crono_ano_ref,2,1),Planos!$G187,Planos!$G187+CEILING((DATE(crono_ano_ref,2,1)-Planos!$G187)/Planos!$E187,1)*Planos!$E187))/Planos!$E187)+1)))</f>
      </c>
      <c r="H189" s="44">
        <f>IF(OR(Planos!$A187="",NOT(ISNUMBER(Planos!$G187)),N(Planos!$E187)&lt;=0),0,IF(Planos!$G187&gt;EOMONTH(DATE(crono_ano_ref,3,1),0),0,MAX(0,INT((EOMONTH(DATE(crono_ano_ref,3,1),0)-IF(Planos!$G187&gt;=DATE(crono_ano_ref,3,1),Planos!$G187,Planos!$G187+CEILING((DATE(crono_ano_ref,3,1)-Planos!$G187)/Planos!$E187,1)*Planos!$E187))/Planos!$E187)+1)))</f>
      </c>
      <c r="I189" s="44">
        <f>IF(OR(Planos!$A187="",NOT(ISNUMBER(Planos!$G187)),N(Planos!$E187)&lt;=0),0,IF(Planos!$G187&gt;EOMONTH(DATE(crono_ano_ref,4,1),0),0,MAX(0,INT((EOMONTH(DATE(crono_ano_ref,4,1),0)-IF(Planos!$G187&gt;=DATE(crono_ano_ref,4,1),Planos!$G187,Planos!$G187+CEILING((DATE(crono_ano_ref,4,1)-Planos!$G187)/Planos!$E187,1)*Planos!$E187))/Planos!$E187)+1)))</f>
      </c>
      <c r="J189" s="44">
        <f>IF(OR(Planos!$A187="",NOT(ISNUMBER(Planos!$G187)),N(Planos!$E187)&lt;=0),0,IF(Planos!$G187&gt;EOMONTH(DATE(crono_ano_ref,5,1),0),0,MAX(0,INT((EOMONTH(DATE(crono_ano_ref,5,1),0)-IF(Planos!$G187&gt;=DATE(crono_ano_ref,5,1),Planos!$G187,Planos!$G187+CEILING((DATE(crono_ano_ref,5,1)-Planos!$G187)/Planos!$E187,1)*Planos!$E187))/Planos!$E187)+1)))</f>
      </c>
      <c r="K189" s="44">
        <f>IF(OR(Planos!$A187="",NOT(ISNUMBER(Planos!$G187)),N(Planos!$E187)&lt;=0),0,IF(Planos!$G187&gt;EOMONTH(DATE(crono_ano_ref,6,1),0),0,MAX(0,INT((EOMONTH(DATE(crono_ano_ref,6,1),0)-IF(Planos!$G187&gt;=DATE(crono_ano_ref,6,1),Planos!$G187,Planos!$G187+CEILING((DATE(crono_ano_ref,6,1)-Planos!$G187)/Planos!$E187,1)*Planos!$E187))/Planos!$E187)+1)))</f>
      </c>
      <c r="L189" s="44">
        <f>IF(OR(Planos!$A187="",NOT(ISNUMBER(Planos!$G187)),N(Planos!$E187)&lt;=0),0,IF(Planos!$G187&gt;EOMONTH(DATE(crono_ano_ref,7,1),0),0,MAX(0,INT((EOMONTH(DATE(crono_ano_ref,7,1),0)-IF(Planos!$G187&gt;=DATE(crono_ano_ref,7,1),Planos!$G187,Planos!$G187+CEILING((DATE(crono_ano_ref,7,1)-Planos!$G187)/Planos!$E187,1)*Planos!$E187))/Planos!$E187)+1)))</f>
      </c>
      <c r="M189" s="44">
        <f>IF(OR(Planos!$A187="",NOT(ISNUMBER(Planos!$G187)),N(Planos!$E187)&lt;=0),0,IF(Planos!$G187&gt;EOMONTH(DATE(crono_ano_ref,8,1),0),0,MAX(0,INT((EOMONTH(DATE(crono_ano_ref,8,1),0)-IF(Planos!$G187&gt;=DATE(crono_ano_ref,8,1),Planos!$G187,Planos!$G187+CEILING((DATE(crono_ano_ref,8,1)-Planos!$G187)/Planos!$E187,1)*Planos!$E187))/Planos!$E187)+1)))</f>
      </c>
      <c r="N189" s="44">
        <f>IF(OR(Planos!$A187="",NOT(ISNUMBER(Planos!$G187)),N(Planos!$E187)&lt;=0),0,IF(Planos!$G187&gt;EOMONTH(DATE(crono_ano_ref,9,1),0),0,MAX(0,INT((EOMONTH(DATE(crono_ano_ref,9,1),0)-IF(Planos!$G187&gt;=DATE(crono_ano_ref,9,1),Planos!$G187,Planos!$G187+CEILING((DATE(crono_ano_ref,9,1)-Planos!$G187)/Planos!$E187,1)*Planos!$E187))/Planos!$E187)+1)))</f>
      </c>
      <c r="O189" s="44">
        <f>IF(OR(Planos!$A187="",NOT(ISNUMBER(Planos!$G187)),N(Planos!$E187)&lt;=0),0,IF(Planos!$G187&gt;EOMONTH(DATE(crono_ano_ref,10,1),0),0,MAX(0,INT((EOMONTH(DATE(crono_ano_ref,10,1),0)-IF(Planos!$G187&gt;=DATE(crono_ano_ref,10,1),Planos!$G187,Planos!$G187+CEILING((DATE(crono_ano_ref,10,1)-Planos!$G187)/Planos!$E187,1)*Planos!$E187))/Planos!$E187)+1)))</f>
      </c>
      <c r="P189" s="44">
        <f>IF(OR(Planos!$A187="",NOT(ISNUMBER(Planos!$G187)),N(Planos!$E187)&lt;=0),0,IF(Planos!$G187&gt;EOMONTH(DATE(crono_ano_ref,11,1),0),0,MAX(0,INT((EOMONTH(DATE(crono_ano_ref,11,1),0)-IF(Planos!$G187&gt;=DATE(crono_ano_ref,11,1),Planos!$G187,Planos!$G187+CEILING((DATE(crono_ano_ref,11,1)-Planos!$G187)/Planos!$E187,1)*Planos!$E187))/Planos!$E187)+1)))</f>
      </c>
      <c r="Q189" s="44">
        <f>IF(OR(Planos!$A187="",NOT(ISNUMBER(Planos!$G187)),N(Planos!$E187)&lt;=0),0,IF(Planos!$G187&gt;EOMONTH(DATE(crono_ano_ref,12,1),0),0,MAX(0,INT((EOMONTH(DATE(crono_ano_ref,12,1),0)-IF(Planos!$G187&gt;=DATE(crono_ano_ref,12,1),Planos!$G187,Planos!$G187+CEILING((DATE(crono_ano_ref,12,1)-Planos!$G187)/Planos!$E187,1)*Planos!$E187))/Planos!$E187)+1)))</f>
      </c>
      <c r="R189" s="44">
        <f>SUM(F189:Q189)</f>
      </c>
    </row>
    <row r="190" spans="1:18" x14ac:dyDescent="0.25">
      <c r="A190" s="24">
        <f>IF(Planos!$A188="","",Planos!A188&amp;"")</f>
      </c>
      <c r="B190" s="41">
        <f>IF(Planos!$A188="","",Planos!B188&amp;"")</f>
      </c>
      <c r="C190" s="24">
        <f>IF(Planos!$A188="","",Planos!C188&amp;"")</f>
      </c>
      <c r="D190" s="42">
        <f>IF(Planos!$A188="","",N(Planos!E188))</f>
      </c>
      <c r="E190" s="43">
        <f>IF(Planos!$A188="","",N(Planos!K188))</f>
      </c>
      <c r="F190" s="44">
        <f>IF(OR(Planos!$A188="",NOT(ISNUMBER(Planos!$G188)),N(Planos!$E188)&lt;=0),0,IF(Planos!$G188&gt;EOMONTH(DATE(crono_ano_ref,1,1),0),0,MAX(0,INT((EOMONTH(DATE(crono_ano_ref,1,1),0)-IF(Planos!$G188&gt;=DATE(crono_ano_ref,1,1),Planos!$G188,Planos!$G188+CEILING((DATE(crono_ano_ref,1,1)-Planos!$G188)/Planos!$E188,1)*Planos!$E188))/Planos!$E188)+1)))</f>
      </c>
      <c r="G190" s="44">
        <f>IF(OR(Planos!$A188="",NOT(ISNUMBER(Planos!$G188)),N(Planos!$E188)&lt;=0),0,IF(Planos!$G188&gt;EOMONTH(DATE(crono_ano_ref,2,1),0),0,MAX(0,INT((EOMONTH(DATE(crono_ano_ref,2,1),0)-IF(Planos!$G188&gt;=DATE(crono_ano_ref,2,1),Planos!$G188,Planos!$G188+CEILING((DATE(crono_ano_ref,2,1)-Planos!$G188)/Planos!$E188,1)*Planos!$E188))/Planos!$E188)+1)))</f>
      </c>
      <c r="H190" s="44">
        <f>IF(OR(Planos!$A188="",NOT(ISNUMBER(Planos!$G188)),N(Planos!$E188)&lt;=0),0,IF(Planos!$G188&gt;EOMONTH(DATE(crono_ano_ref,3,1),0),0,MAX(0,INT((EOMONTH(DATE(crono_ano_ref,3,1),0)-IF(Planos!$G188&gt;=DATE(crono_ano_ref,3,1),Planos!$G188,Planos!$G188+CEILING((DATE(crono_ano_ref,3,1)-Planos!$G188)/Planos!$E188,1)*Planos!$E188))/Planos!$E188)+1)))</f>
      </c>
      <c r="I190" s="44">
        <f>IF(OR(Planos!$A188="",NOT(ISNUMBER(Planos!$G188)),N(Planos!$E188)&lt;=0),0,IF(Planos!$G188&gt;EOMONTH(DATE(crono_ano_ref,4,1),0),0,MAX(0,INT((EOMONTH(DATE(crono_ano_ref,4,1),0)-IF(Planos!$G188&gt;=DATE(crono_ano_ref,4,1),Planos!$G188,Planos!$G188+CEILING((DATE(crono_ano_ref,4,1)-Planos!$G188)/Planos!$E188,1)*Planos!$E188))/Planos!$E188)+1)))</f>
      </c>
      <c r="J190" s="44">
        <f>IF(OR(Planos!$A188="",NOT(ISNUMBER(Planos!$G188)),N(Planos!$E188)&lt;=0),0,IF(Planos!$G188&gt;EOMONTH(DATE(crono_ano_ref,5,1),0),0,MAX(0,INT((EOMONTH(DATE(crono_ano_ref,5,1),0)-IF(Planos!$G188&gt;=DATE(crono_ano_ref,5,1),Planos!$G188,Planos!$G188+CEILING((DATE(crono_ano_ref,5,1)-Planos!$G188)/Planos!$E188,1)*Planos!$E188))/Planos!$E188)+1)))</f>
      </c>
      <c r="K190" s="44">
        <f>IF(OR(Planos!$A188="",NOT(ISNUMBER(Planos!$G188)),N(Planos!$E188)&lt;=0),0,IF(Planos!$G188&gt;EOMONTH(DATE(crono_ano_ref,6,1),0),0,MAX(0,INT((EOMONTH(DATE(crono_ano_ref,6,1),0)-IF(Planos!$G188&gt;=DATE(crono_ano_ref,6,1),Planos!$G188,Planos!$G188+CEILING((DATE(crono_ano_ref,6,1)-Planos!$G188)/Planos!$E188,1)*Planos!$E188))/Planos!$E188)+1)))</f>
      </c>
      <c r="L190" s="44">
        <f>IF(OR(Planos!$A188="",NOT(ISNUMBER(Planos!$G188)),N(Planos!$E188)&lt;=0),0,IF(Planos!$G188&gt;EOMONTH(DATE(crono_ano_ref,7,1),0),0,MAX(0,INT((EOMONTH(DATE(crono_ano_ref,7,1),0)-IF(Planos!$G188&gt;=DATE(crono_ano_ref,7,1),Planos!$G188,Planos!$G188+CEILING((DATE(crono_ano_ref,7,1)-Planos!$G188)/Planos!$E188,1)*Planos!$E188))/Planos!$E188)+1)))</f>
      </c>
      <c r="M190" s="44">
        <f>IF(OR(Planos!$A188="",NOT(ISNUMBER(Planos!$G188)),N(Planos!$E188)&lt;=0),0,IF(Planos!$G188&gt;EOMONTH(DATE(crono_ano_ref,8,1),0),0,MAX(0,INT((EOMONTH(DATE(crono_ano_ref,8,1),0)-IF(Planos!$G188&gt;=DATE(crono_ano_ref,8,1),Planos!$G188,Planos!$G188+CEILING((DATE(crono_ano_ref,8,1)-Planos!$G188)/Planos!$E188,1)*Planos!$E188))/Planos!$E188)+1)))</f>
      </c>
      <c r="N190" s="44">
        <f>IF(OR(Planos!$A188="",NOT(ISNUMBER(Planos!$G188)),N(Planos!$E188)&lt;=0),0,IF(Planos!$G188&gt;EOMONTH(DATE(crono_ano_ref,9,1),0),0,MAX(0,INT((EOMONTH(DATE(crono_ano_ref,9,1),0)-IF(Planos!$G188&gt;=DATE(crono_ano_ref,9,1),Planos!$G188,Planos!$G188+CEILING((DATE(crono_ano_ref,9,1)-Planos!$G188)/Planos!$E188,1)*Planos!$E188))/Planos!$E188)+1)))</f>
      </c>
      <c r="O190" s="44">
        <f>IF(OR(Planos!$A188="",NOT(ISNUMBER(Planos!$G188)),N(Planos!$E188)&lt;=0),0,IF(Planos!$G188&gt;EOMONTH(DATE(crono_ano_ref,10,1),0),0,MAX(0,INT((EOMONTH(DATE(crono_ano_ref,10,1),0)-IF(Planos!$G188&gt;=DATE(crono_ano_ref,10,1),Planos!$G188,Planos!$G188+CEILING((DATE(crono_ano_ref,10,1)-Planos!$G188)/Planos!$E188,1)*Planos!$E188))/Planos!$E188)+1)))</f>
      </c>
      <c r="P190" s="44">
        <f>IF(OR(Planos!$A188="",NOT(ISNUMBER(Planos!$G188)),N(Planos!$E188)&lt;=0),0,IF(Planos!$G188&gt;EOMONTH(DATE(crono_ano_ref,11,1),0),0,MAX(0,INT((EOMONTH(DATE(crono_ano_ref,11,1),0)-IF(Planos!$G188&gt;=DATE(crono_ano_ref,11,1),Planos!$G188,Planos!$G188+CEILING((DATE(crono_ano_ref,11,1)-Planos!$G188)/Planos!$E188,1)*Planos!$E188))/Planos!$E188)+1)))</f>
      </c>
      <c r="Q190" s="44">
        <f>IF(OR(Planos!$A188="",NOT(ISNUMBER(Planos!$G188)),N(Planos!$E188)&lt;=0),0,IF(Planos!$G188&gt;EOMONTH(DATE(crono_ano_ref,12,1),0),0,MAX(0,INT((EOMONTH(DATE(crono_ano_ref,12,1),0)-IF(Planos!$G188&gt;=DATE(crono_ano_ref,12,1),Planos!$G188,Planos!$G188+CEILING((DATE(crono_ano_ref,12,1)-Planos!$G188)/Planos!$E188,1)*Planos!$E188))/Planos!$E188)+1)))</f>
      </c>
      <c r="R190" s="44">
        <f>SUM(F190:Q190)</f>
      </c>
    </row>
    <row r="191" spans="1:18" x14ac:dyDescent="0.25">
      <c r="A191" s="24">
        <f>IF(Planos!$A189="","",Planos!A189&amp;"")</f>
      </c>
      <c r="B191" s="41">
        <f>IF(Planos!$A189="","",Planos!B189&amp;"")</f>
      </c>
      <c r="C191" s="24">
        <f>IF(Planos!$A189="","",Planos!C189&amp;"")</f>
      </c>
      <c r="D191" s="42">
        <f>IF(Planos!$A189="","",N(Planos!E189))</f>
      </c>
      <c r="E191" s="43">
        <f>IF(Planos!$A189="","",N(Planos!K189))</f>
      </c>
      <c r="F191" s="44">
        <f>IF(OR(Planos!$A189="",NOT(ISNUMBER(Planos!$G189)),N(Planos!$E189)&lt;=0),0,IF(Planos!$G189&gt;EOMONTH(DATE(crono_ano_ref,1,1),0),0,MAX(0,INT((EOMONTH(DATE(crono_ano_ref,1,1),0)-IF(Planos!$G189&gt;=DATE(crono_ano_ref,1,1),Planos!$G189,Planos!$G189+CEILING((DATE(crono_ano_ref,1,1)-Planos!$G189)/Planos!$E189,1)*Planos!$E189))/Planos!$E189)+1)))</f>
      </c>
      <c r="G191" s="44">
        <f>IF(OR(Planos!$A189="",NOT(ISNUMBER(Planos!$G189)),N(Planos!$E189)&lt;=0),0,IF(Planos!$G189&gt;EOMONTH(DATE(crono_ano_ref,2,1),0),0,MAX(0,INT((EOMONTH(DATE(crono_ano_ref,2,1),0)-IF(Planos!$G189&gt;=DATE(crono_ano_ref,2,1),Planos!$G189,Planos!$G189+CEILING((DATE(crono_ano_ref,2,1)-Planos!$G189)/Planos!$E189,1)*Planos!$E189))/Planos!$E189)+1)))</f>
      </c>
      <c r="H191" s="44">
        <f>IF(OR(Planos!$A189="",NOT(ISNUMBER(Planos!$G189)),N(Planos!$E189)&lt;=0),0,IF(Planos!$G189&gt;EOMONTH(DATE(crono_ano_ref,3,1),0),0,MAX(0,INT((EOMONTH(DATE(crono_ano_ref,3,1),0)-IF(Planos!$G189&gt;=DATE(crono_ano_ref,3,1),Planos!$G189,Planos!$G189+CEILING((DATE(crono_ano_ref,3,1)-Planos!$G189)/Planos!$E189,1)*Planos!$E189))/Planos!$E189)+1)))</f>
      </c>
      <c r="I191" s="44">
        <f>IF(OR(Planos!$A189="",NOT(ISNUMBER(Planos!$G189)),N(Planos!$E189)&lt;=0),0,IF(Planos!$G189&gt;EOMONTH(DATE(crono_ano_ref,4,1),0),0,MAX(0,INT((EOMONTH(DATE(crono_ano_ref,4,1),0)-IF(Planos!$G189&gt;=DATE(crono_ano_ref,4,1),Planos!$G189,Planos!$G189+CEILING((DATE(crono_ano_ref,4,1)-Planos!$G189)/Planos!$E189,1)*Planos!$E189))/Planos!$E189)+1)))</f>
      </c>
      <c r="J191" s="44">
        <f>IF(OR(Planos!$A189="",NOT(ISNUMBER(Planos!$G189)),N(Planos!$E189)&lt;=0),0,IF(Planos!$G189&gt;EOMONTH(DATE(crono_ano_ref,5,1),0),0,MAX(0,INT((EOMONTH(DATE(crono_ano_ref,5,1),0)-IF(Planos!$G189&gt;=DATE(crono_ano_ref,5,1),Planos!$G189,Planos!$G189+CEILING((DATE(crono_ano_ref,5,1)-Planos!$G189)/Planos!$E189,1)*Planos!$E189))/Planos!$E189)+1)))</f>
      </c>
      <c r="K191" s="44">
        <f>IF(OR(Planos!$A189="",NOT(ISNUMBER(Planos!$G189)),N(Planos!$E189)&lt;=0),0,IF(Planos!$G189&gt;EOMONTH(DATE(crono_ano_ref,6,1),0),0,MAX(0,INT((EOMONTH(DATE(crono_ano_ref,6,1),0)-IF(Planos!$G189&gt;=DATE(crono_ano_ref,6,1),Planos!$G189,Planos!$G189+CEILING((DATE(crono_ano_ref,6,1)-Planos!$G189)/Planos!$E189,1)*Planos!$E189))/Planos!$E189)+1)))</f>
      </c>
      <c r="L191" s="44">
        <f>IF(OR(Planos!$A189="",NOT(ISNUMBER(Planos!$G189)),N(Planos!$E189)&lt;=0),0,IF(Planos!$G189&gt;EOMONTH(DATE(crono_ano_ref,7,1),0),0,MAX(0,INT((EOMONTH(DATE(crono_ano_ref,7,1),0)-IF(Planos!$G189&gt;=DATE(crono_ano_ref,7,1),Planos!$G189,Planos!$G189+CEILING((DATE(crono_ano_ref,7,1)-Planos!$G189)/Planos!$E189,1)*Planos!$E189))/Planos!$E189)+1)))</f>
      </c>
      <c r="M191" s="44">
        <f>IF(OR(Planos!$A189="",NOT(ISNUMBER(Planos!$G189)),N(Planos!$E189)&lt;=0),0,IF(Planos!$G189&gt;EOMONTH(DATE(crono_ano_ref,8,1),0),0,MAX(0,INT((EOMONTH(DATE(crono_ano_ref,8,1),0)-IF(Planos!$G189&gt;=DATE(crono_ano_ref,8,1),Planos!$G189,Planos!$G189+CEILING((DATE(crono_ano_ref,8,1)-Planos!$G189)/Planos!$E189,1)*Planos!$E189))/Planos!$E189)+1)))</f>
      </c>
      <c r="N191" s="44">
        <f>IF(OR(Planos!$A189="",NOT(ISNUMBER(Planos!$G189)),N(Planos!$E189)&lt;=0),0,IF(Planos!$G189&gt;EOMONTH(DATE(crono_ano_ref,9,1),0),0,MAX(0,INT((EOMONTH(DATE(crono_ano_ref,9,1),0)-IF(Planos!$G189&gt;=DATE(crono_ano_ref,9,1),Planos!$G189,Planos!$G189+CEILING((DATE(crono_ano_ref,9,1)-Planos!$G189)/Planos!$E189,1)*Planos!$E189))/Planos!$E189)+1)))</f>
      </c>
      <c r="O191" s="44">
        <f>IF(OR(Planos!$A189="",NOT(ISNUMBER(Planos!$G189)),N(Planos!$E189)&lt;=0),0,IF(Planos!$G189&gt;EOMONTH(DATE(crono_ano_ref,10,1),0),0,MAX(0,INT((EOMONTH(DATE(crono_ano_ref,10,1),0)-IF(Planos!$G189&gt;=DATE(crono_ano_ref,10,1),Planos!$G189,Planos!$G189+CEILING((DATE(crono_ano_ref,10,1)-Planos!$G189)/Planos!$E189,1)*Planos!$E189))/Planos!$E189)+1)))</f>
      </c>
      <c r="P191" s="44">
        <f>IF(OR(Planos!$A189="",NOT(ISNUMBER(Planos!$G189)),N(Planos!$E189)&lt;=0),0,IF(Planos!$G189&gt;EOMONTH(DATE(crono_ano_ref,11,1),0),0,MAX(0,INT((EOMONTH(DATE(crono_ano_ref,11,1),0)-IF(Planos!$G189&gt;=DATE(crono_ano_ref,11,1),Planos!$G189,Planos!$G189+CEILING((DATE(crono_ano_ref,11,1)-Planos!$G189)/Planos!$E189,1)*Planos!$E189))/Planos!$E189)+1)))</f>
      </c>
      <c r="Q191" s="44">
        <f>IF(OR(Planos!$A189="",NOT(ISNUMBER(Planos!$G189)),N(Planos!$E189)&lt;=0),0,IF(Planos!$G189&gt;EOMONTH(DATE(crono_ano_ref,12,1),0),0,MAX(0,INT((EOMONTH(DATE(crono_ano_ref,12,1),0)-IF(Planos!$G189&gt;=DATE(crono_ano_ref,12,1),Planos!$G189,Planos!$G189+CEILING((DATE(crono_ano_ref,12,1)-Planos!$G189)/Planos!$E189,1)*Planos!$E189))/Planos!$E189)+1)))</f>
      </c>
      <c r="R191" s="44">
        <f>SUM(F191:Q191)</f>
      </c>
    </row>
    <row r="192" spans="1:18" x14ac:dyDescent="0.25">
      <c r="A192" s="24">
        <f>IF(Planos!$A190="","",Planos!A190&amp;"")</f>
      </c>
      <c r="B192" s="41">
        <f>IF(Planos!$A190="","",Planos!B190&amp;"")</f>
      </c>
      <c r="C192" s="24">
        <f>IF(Planos!$A190="","",Planos!C190&amp;"")</f>
      </c>
      <c r="D192" s="42">
        <f>IF(Planos!$A190="","",N(Planos!E190))</f>
      </c>
      <c r="E192" s="43">
        <f>IF(Planos!$A190="","",N(Planos!K190))</f>
      </c>
      <c r="F192" s="44">
        <f>IF(OR(Planos!$A190="",NOT(ISNUMBER(Planos!$G190)),N(Planos!$E190)&lt;=0),0,IF(Planos!$G190&gt;EOMONTH(DATE(crono_ano_ref,1,1),0),0,MAX(0,INT((EOMONTH(DATE(crono_ano_ref,1,1),0)-IF(Planos!$G190&gt;=DATE(crono_ano_ref,1,1),Planos!$G190,Planos!$G190+CEILING((DATE(crono_ano_ref,1,1)-Planos!$G190)/Planos!$E190,1)*Planos!$E190))/Planos!$E190)+1)))</f>
      </c>
      <c r="G192" s="44">
        <f>IF(OR(Planos!$A190="",NOT(ISNUMBER(Planos!$G190)),N(Planos!$E190)&lt;=0),0,IF(Planos!$G190&gt;EOMONTH(DATE(crono_ano_ref,2,1),0),0,MAX(0,INT((EOMONTH(DATE(crono_ano_ref,2,1),0)-IF(Planos!$G190&gt;=DATE(crono_ano_ref,2,1),Planos!$G190,Planos!$G190+CEILING((DATE(crono_ano_ref,2,1)-Planos!$G190)/Planos!$E190,1)*Planos!$E190))/Planos!$E190)+1)))</f>
      </c>
      <c r="H192" s="44">
        <f>IF(OR(Planos!$A190="",NOT(ISNUMBER(Planos!$G190)),N(Planos!$E190)&lt;=0),0,IF(Planos!$G190&gt;EOMONTH(DATE(crono_ano_ref,3,1),0),0,MAX(0,INT((EOMONTH(DATE(crono_ano_ref,3,1),0)-IF(Planos!$G190&gt;=DATE(crono_ano_ref,3,1),Planos!$G190,Planos!$G190+CEILING((DATE(crono_ano_ref,3,1)-Planos!$G190)/Planos!$E190,1)*Planos!$E190))/Planos!$E190)+1)))</f>
      </c>
      <c r="I192" s="44">
        <f>IF(OR(Planos!$A190="",NOT(ISNUMBER(Planos!$G190)),N(Planos!$E190)&lt;=0),0,IF(Planos!$G190&gt;EOMONTH(DATE(crono_ano_ref,4,1),0),0,MAX(0,INT((EOMONTH(DATE(crono_ano_ref,4,1),0)-IF(Planos!$G190&gt;=DATE(crono_ano_ref,4,1),Planos!$G190,Planos!$G190+CEILING((DATE(crono_ano_ref,4,1)-Planos!$G190)/Planos!$E190,1)*Planos!$E190))/Planos!$E190)+1)))</f>
      </c>
      <c r="J192" s="44">
        <f>IF(OR(Planos!$A190="",NOT(ISNUMBER(Planos!$G190)),N(Planos!$E190)&lt;=0),0,IF(Planos!$G190&gt;EOMONTH(DATE(crono_ano_ref,5,1),0),0,MAX(0,INT((EOMONTH(DATE(crono_ano_ref,5,1),0)-IF(Planos!$G190&gt;=DATE(crono_ano_ref,5,1),Planos!$G190,Planos!$G190+CEILING((DATE(crono_ano_ref,5,1)-Planos!$G190)/Planos!$E190,1)*Planos!$E190))/Planos!$E190)+1)))</f>
      </c>
      <c r="K192" s="44">
        <f>IF(OR(Planos!$A190="",NOT(ISNUMBER(Planos!$G190)),N(Planos!$E190)&lt;=0),0,IF(Planos!$G190&gt;EOMONTH(DATE(crono_ano_ref,6,1),0),0,MAX(0,INT((EOMONTH(DATE(crono_ano_ref,6,1),0)-IF(Planos!$G190&gt;=DATE(crono_ano_ref,6,1),Planos!$G190,Planos!$G190+CEILING((DATE(crono_ano_ref,6,1)-Planos!$G190)/Planos!$E190,1)*Planos!$E190))/Planos!$E190)+1)))</f>
      </c>
      <c r="L192" s="44">
        <f>IF(OR(Planos!$A190="",NOT(ISNUMBER(Planos!$G190)),N(Planos!$E190)&lt;=0),0,IF(Planos!$G190&gt;EOMONTH(DATE(crono_ano_ref,7,1),0),0,MAX(0,INT((EOMONTH(DATE(crono_ano_ref,7,1),0)-IF(Planos!$G190&gt;=DATE(crono_ano_ref,7,1),Planos!$G190,Planos!$G190+CEILING((DATE(crono_ano_ref,7,1)-Planos!$G190)/Planos!$E190,1)*Planos!$E190))/Planos!$E190)+1)))</f>
      </c>
      <c r="M192" s="44">
        <f>IF(OR(Planos!$A190="",NOT(ISNUMBER(Planos!$G190)),N(Planos!$E190)&lt;=0),0,IF(Planos!$G190&gt;EOMONTH(DATE(crono_ano_ref,8,1),0),0,MAX(0,INT((EOMONTH(DATE(crono_ano_ref,8,1),0)-IF(Planos!$G190&gt;=DATE(crono_ano_ref,8,1),Planos!$G190,Planos!$G190+CEILING((DATE(crono_ano_ref,8,1)-Planos!$G190)/Planos!$E190,1)*Planos!$E190))/Planos!$E190)+1)))</f>
      </c>
      <c r="N192" s="44">
        <f>IF(OR(Planos!$A190="",NOT(ISNUMBER(Planos!$G190)),N(Planos!$E190)&lt;=0),0,IF(Planos!$G190&gt;EOMONTH(DATE(crono_ano_ref,9,1),0),0,MAX(0,INT((EOMONTH(DATE(crono_ano_ref,9,1),0)-IF(Planos!$G190&gt;=DATE(crono_ano_ref,9,1),Planos!$G190,Planos!$G190+CEILING((DATE(crono_ano_ref,9,1)-Planos!$G190)/Planos!$E190,1)*Planos!$E190))/Planos!$E190)+1)))</f>
      </c>
      <c r="O192" s="44">
        <f>IF(OR(Planos!$A190="",NOT(ISNUMBER(Planos!$G190)),N(Planos!$E190)&lt;=0),0,IF(Planos!$G190&gt;EOMONTH(DATE(crono_ano_ref,10,1),0),0,MAX(0,INT((EOMONTH(DATE(crono_ano_ref,10,1),0)-IF(Planos!$G190&gt;=DATE(crono_ano_ref,10,1),Planos!$G190,Planos!$G190+CEILING((DATE(crono_ano_ref,10,1)-Planos!$G190)/Planos!$E190,1)*Planos!$E190))/Planos!$E190)+1)))</f>
      </c>
      <c r="P192" s="44">
        <f>IF(OR(Planos!$A190="",NOT(ISNUMBER(Planos!$G190)),N(Planos!$E190)&lt;=0),0,IF(Planos!$G190&gt;EOMONTH(DATE(crono_ano_ref,11,1),0),0,MAX(0,INT((EOMONTH(DATE(crono_ano_ref,11,1),0)-IF(Planos!$G190&gt;=DATE(crono_ano_ref,11,1),Planos!$G190,Planos!$G190+CEILING((DATE(crono_ano_ref,11,1)-Planos!$G190)/Planos!$E190,1)*Planos!$E190))/Planos!$E190)+1)))</f>
      </c>
      <c r="Q192" s="44">
        <f>IF(OR(Planos!$A190="",NOT(ISNUMBER(Planos!$G190)),N(Planos!$E190)&lt;=0),0,IF(Planos!$G190&gt;EOMONTH(DATE(crono_ano_ref,12,1),0),0,MAX(0,INT((EOMONTH(DATE(crono_ano_ref,12,1),0)-IF(Planos!$G190&gt;=DATE(crono_ano_ref,12,1),Planos!$G190,Planos!$G190+CEILING((DATE(crono_ano_ref,12,1)-Planos!$G190)/Planos!$E190,1)*Planos!$E190))/Planos!$E190)+1)))</f>
      </c>
      <c r="R192" s="44">
        <f>SUM(F192:Q192)</f>
      </c>
    </row>
    <row r="193" spans="1:18" x14ac:dyDescent="0.25">
      <c r="A193" s="24">
        <f>IF(Planos!$A191="","",Planos!A191&amp;"")</f>
      </c>
      <c r="B193" s="41">
        <f>IF(Planos!$A191="","",Planos!B191&amp;"")</f>
      </c>
      <c r="C193" s="24">
        <f>IF(Planos!$A191="","",Planos!C191&amp;"")</f>
      </c>
      <c r="D193" s="42">
        <f>IF(Planos!$A191="","",N(Planos!E191))</f>
      </c>
      <c r="E193" s="43">
        <f>IF(Planos!$A191="","",N(Planos!K191))</f>
      </c>
      <c r="F193" s="44">
        <f>IF(OR(Planos!$A191="",NOT(ISNUMBER(Planos!$G191)),N(Planos!$E191)&lt;=0),0,IF(Planos!$G191&gt;EOMONTH(DATE(crono_ano_ref,1,1),0),0,MAX(0,INT((EOMONTH(DATE(crono_ano_ref,1,1),0)-IF(Planos!$G191&gt;=DATE(crono_ano_ref,1,1),Planos!$G191,Planos!$G191+CEILING((DATE(crono_ano_ref,1,1)-Planos!$G191)/Planos!$E191,1)*Planos!$E191))/Planos!$E191)+1)))</f>
      </c>
      <c r="G193" s="44">
        <f>IF(OR(Planos!$A191="",NOT(ISNUMBER(Planos!$G191)),N(Planos!$E191)&lt;=0),0,IF(Planos!$G191&gt;EOMONTH(DATE(crono_ano_ref,2,1),0),0,MAX(0,INT((EOMONTH(DATE(crono_ano_ref,2,1),0)-IF(Planos!$G191&gt;=DATE(crono_ano_ref,2,1),Planos!$G191,Planos!$G191+CEILING((DATE(crono_ano_ref,2,1)-Planos!$G191)/Planos!$E191,1)*Planos!$E191))/Planos!$E191)+1)))</f>
      </c>
      <c r="H193" s="44">
        <f>IF(OR(Planos!$A191="",NOT(ISNUMBER(Planos!$G191)),N(Planos!$E191)&lt;=0),0,IF(Planos!$G191&gt;EOMONTH(DATE(crono_ano_ref,3,1),0),0,MAX(0,INT((EOMONTH(DATE(crono_ano_ref,3,1),0)-IF(Planos!$G191&gt;=DATE(crono_ano_ref,3,1),Planos!$G191,Planos!$G191+CEILING((DATE(crono_ano_ref,3,1)-Planos!$G191)/Planos!$E191,1)*Planos!$E191))/Planos!$E191)+1)))</f>
      </c>
      <c r="I193" s="44">
        <f>IF(OR(Planos!$A191="",NOT(ISNUMBER(Planos!$G191)),N(Planos!$E191)&lt;=0),0,IF(Planos!$G191&gt;EOMONTH(DATE(crono_ano_ref,4,1),0),0,MAX(0,INT((EOMONTH(DATE(crono_ano_ref,4,1),0)-IF(Planos!$G191&gt;=DATE(crono_ano_ref,4,1),Planos!$G191,Planos!$G191+CEILING((DATE(crono_ano_ref,4,1)-Planos!$G191)/Planos!$E191,1)*Planos!$E191))/Planos!$E191)+1)))</f>
      </c>
      <c r="J193" s="44">
        <f>IF(OR(Planos!$A191="",NOT(ISNUMBER(Planos!$G191)),N(Planos!$E191)&lt;=0),0,IF(Planos!$G191&gt;EOMONTH(DATE(crono_ano_ref,5,1),0),0,MAX(0,INT((EOMONTH(DATE(crono_ano_ref,5,1),0)-IF(Planos!$G191&gt;=DATE(crono_ano_ref,5,1),Planos!$G191,Planos!$G191+CEILING((DATE(crono_ano_ref,5,1)-Planos!$G191)/Planos!$E191,1)*Planos!$E191))/Planos!$E191)+1)))</f>
      </c>
      <c r="K193" s="44">
        <f>IF(OR(Planos!$A191="",NOT(ISNUMBER(Planos!$G191)),N(Planos!$E191)&lt;=0),0,IF(Planos!$G191&gt;EOMONTH(DATE(crono_ano_ref,6,1),0),0,MAX(0,INT((EOMONTH(DATE(crono_ano_ref,6,1),0)-IF(Planos!$G191&gt;=DATE(crono_ano_ref,6,1),Planos!$G191,Planos!$G191+CEILING((DATE(crono_ano_ref,6,1)-Planos!$G191)/Planos!$E191,1)*Planos!$E191))/Planos!$E191)+1)))</f>
      </c>
      <c r="L193" s="44">
        <f>IF(OR(Planos!$A191="",NOT(ISNUMBER(Planos!$G191)),N(Planos!$E191)&lt;=0),0,IF(Planos!$G191&gt;EOMONTH(DATE(crono_ano_ref,7,1),0),0,MAX(0,INT((EOMONTH(DATE(crono_ano_ref,7,1),0)-IF(Planos!$G191&gt;=DATE(crono_ano_ref,7,1),Planos!$G191,Planos!$G191+CEILING((DATE(crono_ano_ref,7,1)-Planos!$G191)/Planos!$E191,1)*Planos!$E191))/Planos!$E191)+1)))</f>
      </c>
      <c r="M193" s="44">
        <f>IF(OR(Planos!$A191="",NOT(ISNUMBER(Planos!$G191)),N(Planos!$E191)&lt;=0),0,IF(Planos!$G191&gt;EOMONTH(DATE(crono_ano_ref,8,1),0),0,MAX(0,INT((EOMONTH(DATE(crono_ano_ref,8,1),0)-IF(Planos!$G191&gt;=DATE(crono_ano_ref,8,1),Planos!$G191,Planos!$G191+CEILING((DATE(crono_ano_ref,8,1)-Planos!$G191)/Planos!$E191,1)*Planos!$E191))/Planos!$E191)+1)))</f>
      </c>
      <c r="N193" s="44">
        <f>IF(OR(Planos!$A191="",NOT(ISNUMBER(Planos!$G191)),N(Planos!$E191)&lt;=0),0,IF(Planos!$G191&gt;EOMONTH(DATE(crono_ano_ref,9,1),0),0,MAX(0,INT((EOMONTH(DATE(crono_ano_ref,9,1),0)-IF(Planos!$G191&gt;=DATE(crono_ano_ref,9,1),Planos!$G191,Planos!$G191+CEILING((DATE(crono_ano_ref,9,1)-Planos!$G191)/Planos!$E191,1)*Planos!$E191))/Planos!$E191)+1)))</f>
      </c>
      <c r="O193" s="44">
        <f>IF(OR(Planos!$A191="",NOT(ISNUMBER(Planos!$G191)),N(Planos!$E191)&lt;=0),0,IF(Planos!$G191&gt;EOMONTH(DATE(crono_ano_ref,10,1),0),0,MAX(0,INT((EOMONTH(DATE(crono_ano_ref,10,1),0)-IF(Planos!$G191&gt;=DATE(crono_ano_ref,10,1),Planos!$G191,Planos!$G191+CEILING((DATE(crono_ano_ref,10,1)-Planos!$G191)/Planos!$E191,1)*Planos!$E191))/Planos!$E191)+1)))</f>
      </c>
      <c r="P193" s="44">
        <f>IF(OR(Planos!$A191="",NOT(ISNUMBER(Planos!$G191)),N(Planos!$E191)&lt;=0),0,IF(Planos!$G191&gt;EOMONTH(DATE(crono_ano_ref,11,1),0),0,MAX(0,INT((EOMONTH(DATE(crono_ano_ref,11,1),0)-IF(Planos!$G191&gt;=DATE(crono_ano_ref,11,1),Planos!$G191,Planos!$G191+CEILING((DATE(crono_ano_ref,11,1)-Planos!$G191)/Planos!$E191,1)*Planos!$E191))/Planos!$E191)+1)))</f>
      </c>
      <c r="Q193" s="44">
        <f>IF(OR(Planos!$A191="",NOT(ISNUMBER(Planos!$G191)),N(Planos!$E191)&lt;=0),0,IF(Planos!$G191&gt;EOMONTH(DATE(crono_ano_ref,12,1),0),0,MAX(0,INT((EOMONTH(DATE(crono_ano_ref,12,1),0)-IF(Planos!$G191&gt;=DATE(crono_ano_ref,12,1),Planos!$G191,Planos!$G191+CEILING((DATE(crono_ano_ref,12,1)-Planos!$G191)/Planos!$E191,1)*Planos!$E191))/Planos!$E191)+1)))</f>
      </c>
      <c r="R193" s="44">
        <f>SUM(F193:Q193)</f>
      </c>
    </row>
    <row r="194" spans="1:18" x14ac:dyDescent="0.25">
      <c r="A194" s="24">
        <f>IF(Planos!$A192="","",Planos!A192&amp;"")</f>
      </c>
      <c r="B194" s="41">
        <f>IF(Planos!$A192="","",Planos!B192&amp;"")</f>
      </c>
      <c r="C194" s="24">
        <f>IF(Planos!$A192="","",Planos!C192&amp;"")</f>
      </c>
      <c r="D194" s="42">
        <f>IF(Planos!$A192="","",N(Planos!E192))</f>
      </c>
      <c r="E194" s="43">
        <f>IF(Planos!$A192="","",N(Planos!K192))</f>
      </c>
      <c r="F194" s="44">
        <f>IF(OR(Planos!$A192="",NOT(ISNUMBER(Planos!$G192)),N(Planos!$E192)&lt;=0),0,IF(Planos!$G192&gt;EOMONTH(DATE(crono_ano_ref,1,1),0),0,MAX(0,INT((EOMONTH(DATE(crono_ano_ref,1,1),0)-IF(Planos!$G192&gt;=DATE(crono_ano_ref,1,1),Planos!$G192,Planos!$G192+CEILING((DATE(crono_ano_ref,1,1)-Planos!$G192)/Planos!$E192,1)*Planos!$E192))/Planos!$E192)+1)))</f>
      </c>
      <c r="G194" s="44">
        <f>IF(OR(Planos!$A192="",NOT(ISNUMBER(Planos!$G192)),N(Planos!$E192)&lt;=0),0,IF(Planos!$G192&gt;EOMONTH(DATE(crono_ano_ref,2,1),0),0,MAX(0,INT((EOMONTH(DATE(crono_ano_ref,2,1),0)-IF(Planos!$G192&gt;=DATE(crono_ano_ref,2,1),Planos!$G192,Planos!$G192+CEILING((DATE(crono_ano_ref,2,1)-Planos!$G192)/Planos!$E192,1)*Planos!$E192))/Planos!$E192)+1)))</f>
      </c>
      <c r="H194" s="44">
        <f>IF(OR(Planos!$A192="",NOT(ISNUMBER(Planos!$G192)),N(Planos!$E192)&lt;=0),0,IF(Planos!$G192&gt;EOMONTH(DATE(crono_ano_ref,3,1),0),0,MAX(0,INT((EOMONTH(DATE(crono_ano_ref,3,1),0)-IF(Planos!$G192&gt;=DATE(crono_ano_ref,3,1),Planos!$G192,Planos!$G192+CEILING((DATE(crono_ano_ref,3,1)-Planos!$G192)/Planos!$E192,1)*Planos!$E192))/Planos!$E192)+1)))</f>
      </c>
      <c r="I194" s="44">
        <f>IF(OR(Planos!$A192="",NOT(ISNUMBER(Planos!$G192)),N(Planos!$E192)&lt;=0),0,IF(Planos!$G192&gt;EOMONTH(DATE(crono_ano_ref,4,1),0),0,MAX(0,INT((EOMONTH(DATE(crono_ano_ref,4,1),0)-IF(Planos!$G192&gt;=DATE(crono_ano_ref,4,1),Planos!$G192,Planos!$G192+CEILING((DATE(crono_ano_ref,4,1)-Planos!$G192)/Planos!$E192,1)*Planos!$E192))/Planos!$E192)+1)))</f>
      </c>
      <c r="J194" s="44">
        <f>IF(OR(Planos!$A192="",NOT(ISNUMBER(Planos!$G192)),N(Planos!$E192)&lt;=0),0,IF(Planos!$G192&gt;EOMONTH(DATE(crono_ano_ref,5,1),0),0,MAX(0,INT((EOMONTH(DATE(crono_ano_ref,5,1),0)-IF(Planos!$G192&gt;=DATE(crono_ano_ref,5,1),Planos!$G192,Planos!$G192+CEILING((DATE(crono_ano_ref,5,1)-Planos!$G192)/Planos!$E192,1)*Planos!$E192))/Planos!$E192)+1)))</f>
      </c>
      <c r="K194" s="44">
        <f>IF(OR(Planos!$A192="",NOT(ISNUMBER(Planos!$G192)),N(Planos!$E192)&lt;=0),0,IF(Planos!$G192&gt;EOMONTH(DATE(crono_ano_ref,6,1),0),0,MAX(0,INT((EOMONTH(DATE(crono_ano_ref,6,1),0)-IF(Planos!$G192&gt;=DATE(crono_ano_ref,6,1),Planos!$G192,Planos!$G192+CEILING((DATE(crono_ano_ref,6,1)-Planos!$G192)/Planos!$E192,1)*Planos!$E192))/Planos!$E192)+1)))</f>
      </c>
      <c r="L194" s="44">
        <f>IF(OR(Planos!$A192="",NOT(ISNUMBER(Planos!$G192)),N(Planos!$E192)&lt;=0),0,IF(Planos!$G192&gt;EOMONTH(DATE(crono_ano_ref,7,1),0),0,MAX(0,INT((EOMONTH(DATE(crono_ano_ref,7,1),0)-IF(Planos!$G192&gt;=DATE(crono_ano_ref,7,1),Planos!$G192,Planos!$G192+CEILING((DATE(crono_ano_ref,7,1)-Planos!$G192)/Planos!$E192,1)*Planos!$E192))/Planos!$E192)+1)))</f>
      </c>
      <c r="M194" s="44">
        <f>IF(OR(Planos!$A192="",NOT(ISNUMBER(Planos!$G192)),N(Planos!$E192)&lt;=0),0,IF(Planos!$G192&gt;EOMONTH(DATE(crono_ano_ref,8,1),0),0,MAX(0,INT((EOMONTH(DATE(crono_ano_ref,8,1),0)-IF(Planos!$G192&gt;=DATE(crono_ano_ref,8,1),Planos!$G192,Planos!$G192+CEILING((DATE(crono_ano_ref,8,1)-Planos!$G192)/Planos!$E192,1)*Planos!$E192))/Planos!$E192)+1)))</f>
      </c>
      <c r="N194" s="44">
        <f>IF(OR(Planos!$A192="",NOT(ISNUMBER(Planos!$G192)),N(Planos!$E192)&lt;=0),0,IF(Planos!$G192&gt;EOMONTH(DATE(crono_ano_ref,9,1),0),0,MAX(0,INT((EOMONTH(DATE(crono_ano_ref,9,1),0)-IF(Planos!$G192&gt;=DATE(crono_ano_ref,9,1),Planos!$G192,Planos!$G192+CEILING((DATE(crono_ano_ref,9,1)-Planos!$G192)/Planos!$E192,1)*Planos!$E192))/Planos!$E192)+1)))</f>
      </c>
      <c r="O194" s="44">
        <f>IF(OR(Planos!$A192="",NOT(ISNUMBER(Planos!$G192)),N(Planos!$E192)&lt;=0),0,IF(Planos!$G192&gt;EOMONTH(DATE(crono_ano_ref,10,1),0),0,MAX(0,INT((EOMONTH(DATE(crono_ano_ref,10,1),0)-IF(Planos!$G192&gt;=DATE(crono_ano_ref,10,1),Planos!$G192,Planos!$G192+CEILING((DATE(crono_ano_ref,10,1)-Planos!$G192)/Planos!$E192,1)*Planos!$E192))/Planos!$E192)+1)))</f>
      </c>
      <c r="P194" s="44">
        <f>IF(OR(Planos!$A192="",NOT(ISNUMBER(Planos!$G192)),N(Planos!$E192)&lt;=0),0,IF(Planos!$G192&gt;EOMONTH(DATE(crono_ano_ref,11,1),0),0,MAX(0,INT((EOMONTH(DATE(crono_ano_ref,11,1),0)-IF(Planos!$G192&gt;=DATE(crono_ano_ref,11,1),Planos!$G192,Planos!$G192+CEILING((DATE(crono_ano_ref,11,1)-Planos!$G192)/Planos!$E192,1)*Planos!$E192))/Planos!$E192)+1)))</f>
      </c>
      <c r="Q194" s="44">
        <f>IF(OR(Planos!$A192="",NOT(ISNUMBER(Planos!$G192)),N(Planos!$E192)&lt;=0),0,IF(Planos!$G192&gt;EOMONTH(DATE(crono_ano_ref,12,1),0),0,MAX(0,INT((EOMONTH(DATE(crono_ano_ref,12,1),0)-IF(Planos!$G192&gt;=DATE(crono_ano_ref,12,1),Planos!$G192,Planos!$G192+CEILING((DATE(crono_ano_ref,12,1)-Planos!$G192)/Planos!$E192,1)*Planos!$E192))/Planos!$E192)+1)))</f>
      </c>
      <c r="R194" s="44">
        <f>SUM(F194:Q194)</f>
      </c>
    </row>
    <row r="195" spans="1:18" x14ac:dyDescent="0.25">
      <c r="A195" s="24">
        <f>IF(Planos!$A193="","",Planos!A193&amp;"")</f>
      </c>
      <c r="B195" s="41">
        <f>IF(Planos!$A193="","",Planos!B193&amp;"")</f>
      </c>
      <c r="C195" s="24">
        <f>IF(Planos!$A193="","",Planos!C193&amp;"")</f>
      </c>
      <c r="D195" s="42">
        <f>IF(Planos!$A193="","",N(Planos!E193))</f>
      </c>
      <c r="E195" s="43">
        <f>IF(Planos!$A193="","",N(Planos!K193))</f>
      </c>
      <c r="F195" s="44">
        <f>IF(OR(Planos!$A193="",NOT(ISNUMBER(Planos!$G193)),N(Planos!$E193)&lt;=0),0,IF(Planos!$G193&gt;EOMONTH(DATE(crono_ano_ref,1,1),0),0,MAX(0,INT((EOMONTH(DATE(crono_ano_ref,1,1),0)-IF(Planos!$G193&gt;=DATE(crono_ano_ref,1,1),Planos!$G193,Planos!$G193+CEILING((DATE(crono_ano_ref,1,1)-Planos!$G193)/Planos!$E193,1)*Planos!$E193))/Planos!$E193)+1)))</f>
      </c>
      <c r="G195" s="44">
        <f>IF(OR(Planos!$A193="",NOT(ISNUMBER(Planos!$G193)),N(Planos!$E193)&lt;=0),0,IF(Planos!$G193&gt;EOMONTH(DATE(crono_ano_ref,2,1),0),0,MAX(0,INT((EOMONTH(DATE(crono_ano_ref,2,1),0)-IF(Planos!$G193&gt;=DATE(crono_ano_ref,2,1),Planos!$G193,Planos!$G193+CEILING((DATE(crono_ano_ref,2,1)-Planos!$G193)/Planos!$E193,1)*Planos!$E193))/Planos!$E193)+1)))</f>
      </c>
      <c r="H195" s="44">
        <f>IF(OR(Planos!$A193="",NOT(ISNUMBER(Planos!$G193)),N(Planos!$E193)&lt;=0),0,IF(Planos!$G193&gt;EOMONTH(DATE(crono_ano_ref,3,1),0),0,MAX(0,INT((EOMONTH(DATE(crono_ano_ref,3,1),0)-IF(Planos!$G193&gt;=DATE(crono_ano_ref,3,1),Planos!$G193,Planos!$G193+CEILING((DATE(crono_ano_ref,3,1)-Planos!$G193)/Planos!$E193,1)*Planos!$E193))/Planos!$E193)+1)))</f>
      </c>
      <c r="I195" s="44">
        <f>IF(OR(Planos!$A193="",NOT(ISNUMBER(Planos!$G193)),N(Planos!$E193)&lt;=0),0,IF(Planos!$G193&gt;EOMONTH(DATE(crono_ano_ref,4,1),0),0,MAX(0,INT((EOMONTH(DATE(crono_ano_ref,4,1),0)-IF(Planos!$G193&gt;=DATE(crono_ano_ref,4,1),Planos!$G193,Planos!$G193+CEILING((DATE(crono_ano_ref,4,1)-Planos!$G193)/Planos!$E193,1)*Planos!$E193))/Planos!$E193)+1)))</f>
      </c>
      <c r="J195" s="44">
        <f>IF(OR(Planos!$A193="",NOT(ISNUMBER(Planos!$G193)),N(Planos!$E193)&lt;=0),0,IF(Planos!$G193&gt;EOMONTH(DATE(crono_ano_ref,5,1),0),0,MAX(0,INT((EOMONTH(DATE(crono_ano_ref,5,1),0)-IF(Planos!$G193&gt;=DATE(crono_ano_ref,5,1),Planos!$G193,Planos!$G193+CEILING((DATE(crono_ano_ref,5,1)-Planos!$G193)/Planos!$E193,1)*Planos!$E193))/Planos!$E193)+1)))</f>
      </c>
      <c r="K195" s="44">
        <f>IF(OR(Planos!$A193="",NOT(ISNUMBER(Planos!$G193)),N(Planos!$E193)&lt;=0),0,IF(Planos!$G193&gt;EOMONTH(DATE(crono_ano_ref,6,1),0),0,MAX(0,INT((EOMONTH(DATE(crono_ano_ref,6,1),0)-IF(Planos!$G193&gt;=DATE(crono_ano_ref,6,1),Planos!$G193,Planos!$G193+CEILING((DATE(crono_ano_ref,6,1)-Planos!$G193)/Planos!$E193,1)*Planos!$E193))/Planos!$E193)+1)))</f>
      </c>
      <c r="L195" s="44">
        <f>IF(OR(Planos!$A193="",NOT(ISNUMBER(Planos!$G193)),N(Planos!$E193)&lt;=0),0,IF(Planos!$G193&gt;EOMONTH(DATE(crono_ano_ref,7,1),0),0,MAX(0,INT((EOMONTH(DATE(crono_ano_ref,7,1),0)-IF(Planos!$G193&gt;=DATE(crono_ano_ref,7,1),Planos!$G193,Planos!$G193+CEILING((DATE(crono_ano_ref,7,1)-Planos!$G193)/Planos!$E193,1)*Planos!$E193))/Planos!$E193)+1)))</f>
      </c>
      <c r="M195" s="44">
        <f>IF(OR(Planos!$A193="",NOT(ISNUMBER(Planos!$G193)),N(Planos!$E193)&lt;=0),0,IF(Planos!$G193&gt;EOMONTH(DATE(crono_ano_ref,8,1),0),0,MAX(0,INT((EOMONTH(DATE(crono_ano_ref,8,1),0)-IF(Planos!$G193&gt;=DATE(crono_ano_ref,8,1),Planos!$G193,Planos!$G193+CEILING((DATE(crono_ano_ref,8,1)-Planos!$G193)/Planos!$E193,1)*Planos!$E193))/Planos!$E193)+1)))</f>
      </c>
      <c r="N195" s="44">
        <f>IF(OR(Planos!$A193="",NOT(ISNUMBER(Planos!$G193)),N(Planos!$E193)&lt;=0),0,IF(Planos!$G193&gt;EOMONTH(DATE(crono_ano_ref,9,1),0),0,MAX(0,INT((EOMONTH(DATE(crono_ano_ref,9,1),0)-IF(Planos!$G193&gt;=DATE(crono_ano_ref,9,1),Planos!$G193,Planos!$G193+CEILING((DATE(crono_ano_ref,9,1)-Planos!$G193)/Planos!$E193,1)*Planos!$E193))/Planos!$E193)+1)))</f>
      </c>
      <c r="O195" s="44">
        <f>IF(OR(Planos!$A193="",NOT(ISNUMBER(Planos!$G193)),N(Planos!$E193)&lt;=0),0,IF(Planos!$G193&gt;EOMONTH(DATE(crono_ano_ref,10,1),0),0,MAX(0,INT((EOMONTH(DATE(crono_ano_ref,10,1),0)-IF(Planos!$G193&gt;=DATE(crono_ano_ref,10,1),Planos!$G193,Planos!$G193+CEILING((DATE(crono_ano_ref,10,1)-Planos!$G193)/Planos!$E193,1)*Planos!$E193))/Planos!$E193)+1)))</f>
      </c>
      <c r="P195" s="44">
        <f>IF(OR(Planos!$A193="",NOT(ISNUMBER(Planos!$G193)),N(Planos!$E193)&lt;=0),0,IF(Planos!$G193&gt;EOMONTH(DATE(crono_ano_ref,11,1),0),0,MAX(0,INT((EOMONTH(DATE(crono_ano_ref,11,1),0)-IF(Planos!$G193&gt;=DATE(crono_ano_ref,11,1),Planos!$G193,Planos!$G193+CEILING((DATE(crono_ano_ref,11,1)-Planos!$G193)/Planos!$E193,1)*Planos!$E193))/Planos!$E193)+1)))</f>
      </c>
      <c r="Q195" s="44">
        <f>IF(OR(Planos!$A193="",NOT(ISNUMBER(Planos!$G193)),N(Planos!$E193)&lt;=0),0,IF(Planos!$G193&gt;EOMONTH(DATE(crono_ano_ref,12,1),0),0,MAX(0,INT((EOMONTH(DATE(crono_ano_ref,12,1),0)-IF(Planos!$G193&gt;=DATE(crono_ano_ref,12,1),Planos!$G193,Planos!$G193+CEILING((DATE(crono_ano_ref,12,1)-Planos!$G193)/Planos!$E193,1)*Planos!$E193))/Planos!$E193)+1)))</f>
      </c>
      <c r="R195" s="44">
        <f>SUM(F195:Q195)</f>
      </c>
    </row>
    <row r="196" spans="1:18" x14ac:dyDescent="0.25">
      <c r="A196" s="24">
        <f>IF(Planos!$A194="","",Planos!A194&amp;"")</f>
      </c>
      <c r="B196" s="41">
        <f>IF(Planos!$A194="","",Planos!B194&amp;"")</f>
      </c>
      <c r="C196" s="24">
        <f>IF(Planos!$A194="","",Planos!C194&amp;"")</f>
      </c>
      <c r="D196" s="42">
        <f>IF(Planos!$A194="","",N(Planos!E194))</f>
      </c>
      <c r="E196" s="43">
        <f>IF(Planos!$A194="","",N(Planos!K194))</f>
      </c>
      <c r="F196" s="44">
        <f>IF(OR(Planos!$A194="",NOT(ISNUMBER(Planos!$G194)),N(Planos!$E194)&lt;=0),0,IF(Planos!$G194&gt;EOMONTH(DATE(crono_ano_ref,1,1),0),0,MAX(0,INT((EOMONTH(DATE(crono_ano_ref,1,1),0)-IF(Planos!$G194&gt;=DATE(crono_ano_ref,1,1),Planos!$G194,Planos!$G194+CEILING((DATE(crono_ano_ref,1,1)-Planos!$G194)/Planos!$E194,1)*Planos!$E194))/Planos!$E194)+1)))</f>
      </c>
      <c r="G196" s="44">
        <f>IF(OR(Planos!$A194="",NOT(ISNUMBER(Planos!$G194)),N(Planos!$E194)&lt;=0),0,IF(Planos!$G194&gt;EOMONTH(DATE(crono_ano_ref,2,1),0),0,MAX(0,INT((EOMONTH(DATE(crono_ano_ref,2,1),0)-IF(Planos!$G194&gt;=DATE(crono_ano_ref,2,1),Planos!$G194,Planos!$G194+CEILING((DATE(crono_ano_ref,2,1)-Planos!$G194)/Planos!$E194,1)*Planos!$E194))/Planos!$E194)+1)))</f>
      </c>
      <c r="H196" s="44">
        <f>IF(OR(Planos!$A194="",NOT(ISNUMBER(Planos!$G194)),N(Planos!$E194)&lt;=0),0,IF(Planos!$G194&gt;EOMONTH(DATE(crono_ano_ref,3,1),0),0,MAX(0,INT((EOMONTH(DATE(crono_ano_ref,3,1),0)-IF(Planos!$G194&gt;=DATE(crono_ano_ref,3,1),Planos!$G194,Planos!$G194+CEILING((DATE(crono_ano_ref,3,1)-Planos!$G194)/Planos!$E194,1)*Planos!$E194))/Planos!$E194)+1)))</f>
      </c>
      <c r="I196" s="44">
        <f>IF(OR(Planos!$A194="",NOT(ISNUMBER(Planos!$G194)),N(Planos!$E194)&lt;=0),0,IF(Planos!$G194&gt;EOMONTH(DATE(crono_ano_ref,4,1),0),0,MAX(0,INT((EOMONTH(DATE(crono_ano_ref,4,1),0)-IF(Planos!$G194&gt;=DATE(crono_ano_ref,4,1),Planos!$G194,Planos!$G194+CEILING((DATE(crono_ano_ref,4,1)-Planos!$G194)/Planos!$E194,1)*Planos!$E194))/Planos!$E194)+1)))</f>
      </c>
      <c r="J196" s="44">
        <f>IF(OR(Planos!$A194="",NOT(ISNUMBER(Planos!$G194)),N(Planos!$E194)&lt;=0),0,IF(Planos!$G194&gt;EOMONTH(DATE(crono_ano_ref,5,1),0),0,MAX(0,INT((EOMONTH(DATE(crono_ano_ref,5,1),0)-IF(Planos!$G194&gt;=DATE(crono_ano_ref,5,1),Planos!$G194,Planos!$G194+CEILING((DATE(crono_ano_ref,5,1)-Planos!$G194)/Planos!$E194,1)*Planos!$E194))/Planos!$E194)+1)))</f>
      </c>
      <c r="K196" s="44">
        <f>IF(OR(Planos!$A194="",NOT(ISNUMBER(Planos!$G194)),N(Planos!$E194)&lt;=0),0,IF(Planos!$G194&gt;EOMONTH(DATE(crono_ano_ref,6,1),0),0,MAX(0,INT((EOMONTH(DATE(crono_ano_ref,6,1),0)-IF(Planos!$G194&gt;=DATE(crono_ano_ref,6,1),Planos!$G194,Planos!$G194+CEILING((DATE(crono_ano_ref,6,1)-Planos!$G194)/Planos!$E194,1)*Planos!$E194))/Planos!$E194)+1)))</f>
      </c>
      <c r="L196" s="44">
        <f>IF(OR(Planos!$A194="",NOT(ISNUMBER(Planos!$G194)),N(Planos!$E194)&lt;=0),0,IF(Planos!$G194&gt;EOMONTH(DATE(crono_ano_ref,7,1),0),0,MAX(0,INT((EOMONTH(DATE(crono_ano_ref,7,1),0)-IF(Planos!$G194&gt;=DATE(crono_ano_ref,7,1),Planos!$G194,Planos!$G194+CEILING((DATE(crono_ano_ref,7,1)-Planos!$G194)/Planos!$E194,1)*Planos!$E194))/Planos!$E194)+1)))</f>
      </c>
      <c r="M196" s="44">
        <f>IF(OR(Planos!$A194="",NOT(ISNUMBER(Planos!$G194)),N(Planos!$E194)&lt;=0),0,IF(Planos!$G194&gt;EOMONTH(DATE(crono_ano_ref,8,1),0),0,MAX(0,INT((EOMONTH(DATE(crono_ano_ref,8,1),0)-IF(Planos!$G194&gt;=DATE(crono_ano_ref,8,1),Planos!$G194,Planos!$G194+CEILING((DATE(crono_ano_ref,8,1)-Planos!$G194)/Planos!$E194,1)*Planos!$E194))/Planos!$E194)+1)))</f>
      </c>
      <c r="N196" s="44">
        <f>IF(OR(Planos!$A194="",NOT(ISNUMBER(Planos!$G194)),N(Planos!$E194)&lt;=0),0,IF(Planos!$G194&gt;EOMONTH(DATE(crono_ano_ref,9,1),0),0,MAX(0,INT((EOMONTH(DATE(crono_ano_ref,9,1),0)-IF(Planos!$G194&gt;=DATE(crono_ano_ref,9,1),Planos!$G194,Planos!$G194+CEILING((DATE(crono_ano_ref,9,1)-Planos!$G194)/Planos!$E194,1)*Planos!$E194))/Planos!$E194)+1)))</f>
      </c>
      <c r="O196" s="44">
        <f>IF(OR(Planos!$A194="",NOT(ISNUMBER(Planos!$G194)),N(Planos!$E194)&lt;=0),0,IF(Planos!$G194&gt;EOMONTH(DATE(crono_ano_ref,10,1),0),0,MAX(0,INT((EOMONTH(DATE(crono_ano_ref,10,1),0)-IF(Planos!$G194&gt;=DATE(crono_ano_ref,10,1),Planos!$G194,Planos!$G194+CEILING((DATE(crono_ano_ref,10,1)-Planos!$G194)/Planos!$E194,1)*Planos!$E194))/Planos!$E194)+1)))</f>
      </c>
      <c r="P196" s="44">
        <f>IF(OR(Planos!$A194="",NOT(ISNUMBER(Planos!$G194)),N(Planos!$E194)&lt;=0),0,IF(Planos!$G194&gt;EOMONTH(DATE(crono_ano_ref,11,1),0),0,MAX(0,INT((EOMONTH(DATE(crono_ano_ref,11,1),0)-IF(Planos!$G194&gt;=DATE(crono_ano_ref,11,1),Planos!$G194,Planos!$G194+CEILING((DATE(crono_ano_ref,11,1)-Planos!$G194)/Planos!$E194,1)*Planos!$E194))/Planos!$E194)+1)))</f>
      </c>
      <c r="Q196" s="44">
        <f>IF(OR(Planos!$A194="",NOT(ISNUMBER(Planos!$G194)),N(Planos!$E194)&lt;=0),0,IF(Planos!$G194&gt;EOMONTH(DATE(crono_ano_ref,12,1),0),0,MAX(0,INT((EOMONTH(DATE(crono_ano_ref,12,1),0)-IF(Planos!$G194&gt;=DATE(crono_ano_ref,12,1),Planos!$G194,Planos!$G194+CEILING((DATE(crono_ano_ref,12,1)-Planos!$G194)/Planos!$E194,1)*Planos!$E194))/Planos!$E194)+1)))</f>
      </c>
      <c r="R196" s="44">
        <f>SUM(F196:Q196)</f>
      </c>
    </row>
    <row r="197" spans="1:18" x14ac:dyDescent="0.25">
      <c r="A197" s="24">
        <f>IF(Planos!$A195="","",Planos!A195&amp;"")</f>
      </c>
      <c r="B197" s="41">
        <f>IF(Planos!$A195="","",Planos!B195&amp;"")</f>
      </c>
      <c r="C197" s="24">
        <f>IF(Planos!$A195="","",Planos!C195&amp;"")</f>
      </c>
      <c r="D197" s="42">
        <f>IF(Planos!$A195="","",N(Planos!E195))</f>
      </c>
      <c r="E197" s="43">
        <f>IF(Planos!$A195="","",N(Planos!K195))</f>
      </c>
      <c r="F197" s="44">
        <f>IF(OR(Planos!$A195="",NOT(ISNUMBER(Planos!$G195)),N(Planos!$E195)&lt;=0),0,IF(Planos!$G195&gt;EOMONTH(DATE(crono_ano_ref,1,1),0),0,MAX(0,INT((EOMONTH(DATE(crono_ano_ref,1,1),0)-IF(Planos!$G195&gt;=DATE(crono_ano_ref,1,1),Planos!$G195,Planos!$G195+CEILING((DATE(crono_ano_ref,1,1)-Planos!$G195)/Planos!$E195,1)*Planos!$E195))/Planos!$E195)+1)))</f>
      </c>
      <c r="G197" s="44">
        <f>IF(OR(Planos!$A195="",NOT(ISNUMBER(Planos!$G195)),N(Planos!$E195)&lt;=0),0,IF(Planos!$G195&gt;EOMONTH(DATE(crono_ano_ref,2,1),0),0,MAX(0,INT((EOMONTH(DATE(crono_ano_ref,2,1),0)-IF(Planos!$G195&gt;=DATE(crono_ano_ref,2,1),Planos!$G195,Planos!$G195+CEILING((DATE(crono_ano_ref,2,1)-Planos!$G195)/Planos!$E195,1)*Planos!$E195))/Planos!$E195)+1)))</f>
      </c>
      <c r="H197" s="44">
        <f>IF(OR(Planos!$A195="",NOT(ISNUMBER(Planos!$G195)),N(Planos!$E195)&lt;=0),0,IF(Planos!$G195&gt;EOMONTH(DATE(crono_ano_ref,3,1),0),0,MAX(0,INT((EOMONTH(DATE(crono_ano_ref,3,1),0)-IF(Planos!$G195&gt;=DATE(crono_ano_ref,3,1),Planos!$G195,Planos!$G195+CEILING((DATE(crono_ano_ref,3,1)-Planos!$G195)/Planos!$E195,1)*Planos!$E195))/Planos!$E195)+1)))</f>
      </c>
      <c r="I197" s="44">
        <f>IF(OR(Planos!$A195="",NOT(ISNUMBER(Planos!$G195)),N(Planos!$E195)&lt;=0),0,IF(Planos!$G195&gt;EOMONTH(DATE(crono_ano_ref,4,1),0),0,MAX(0,INT((EOMONTH(DATE(crono_ano_ref,4,1),0)-IF(Planos!$G195&gt;=DATE(crono_ano_ref,4,1),Planos!$G195,Planos!$G195+CEILING((DATE(crono_ano_ref,4,1)-Planos!$G195)/Planos!$E195,1)*Planos!$E195))/Planos!$E195)+1)))</f>
      </c>
      <c r="J197" s="44">
        <f>IF(OR(Planos!$A195="",NOT(ISNUMBER(Planos!$G195)),N(Planos!$E195)&lt;=0),0,IF(Planos!$G195&gt;EOMONTH(DATE(crono_ano_ref,5,1),0),0,MAX(0,INT((EOMONTH(DATE(crono_ano_ref,5,1),0)-IF(Planos!$G195&gt;=DATE(crono_ano_ref,5,1),Planos!$G195,Planos!$G195+CEILING((DATE(crono_ano_ref,5,1)-Planos!$G195)/Planos!$E195,1)*Planos!$E195))/Planos!$E195)+1)))</f>
      </c>
      <c r="K197" s="44">
        <f>IF(OR(Planos!$A195="",NOT(ISNUMBER(Planos!$G195)),N(Planos!$E195)&lt;=0),0,IF(Planos!$G195&gt;EOMONTH(DATE(crono_ano_ref,6,1),0),0,MAX(0,INT((EOMONTH(DATE(crono_ano_ref,6,1),0)-IF(Planos!$G195&gt;=DATE(crono_ano_ref,6,1),Planos!$G195,Planos!$G195+CEILING((DATE(crono_ano_ref,6,1)-Planos!$G195)/Planos!$E195,1)*Planos!$E195))/Planos!$E195)+1)))</f>
      </c>
      <c r="L197" s="44">
        <f>IF(OR(Planos!$A195="",NOT(ISNUMBER(Planos!$G195)),N(Planos!$E195)&lt;=0),0,IF(Planos!$G195&gt;EOMONTH(DATE(crono_ano_ref,7,1),0),0,MAX(0,INT((EOMONTH(DATE(crono_ano_ref,7,1),0)-IF(Planos!$G195&gt;=DATE(crono_ano_ref,7,1),Planos!$G195,Planos!$G195+CEILING((DATE(crono_ano_ref,7,1)-Planos!$G195)/Planos!$E195,1)*Planos!$E195))/Planos!$E195)+1)))</f>
      </c>
      <c r="M197" s="44">
        <f>IF(OR(Planos!$A195="",NOT(ISNUMBER(Planos!$G195)),N(Planos!$E195)&lt;=0),0,IF(Planos!$G195&gt;EOMONTH(DATE(crono_ano_ref,8,1),0),0,MAX(0,INT((EOMONTH(DATE(crono_ano_ref,8,1),0)-IF(Planos!$G195&gt;=DATE(crono_ano_ref,8,1),Planos!$G195,Planos!$G195+CEILING((DATE(crono_ano_ref,8,1)-Planos!$G195)/Planos!$E195,1)*Planos!$E195))/Planos!$E195)+1)))</f>
      </c>
      <c r="N197" s="44">
        <f>IF(OR(Planos!$A195="",NOT(ISNUMBER(Planos!$G195)),N(Planos!$E195)&lt;=0),0,IF(Planos!$G195&gt;EOMONTH(DATE(crono_ano_ref,9,1),0),0,MAX(0,INT((EOMONTH(DATE(crono_ano_ref,9,1),0)-IF(Planos!$G195&gt;=DATE(crono_ano_ref,9,1),Planos!$G195,Planos!$G195+CEILING((DATE(crono_ano_ref,9,1)-Planos!$G195)/Planos!$E195,1)*Planos!$E195))/Planos!$E195)+1)))</f>
      </c>
      <c r="O197" s="44">
        <f>IF(OR(Planos!$A195="",NOT(ISNUMBER(Planos!$G195)),N(Planos!$E195)&lt;=0),0,IF(Planos!$G195&gt;EOMONTH(DATE(crono_ano_ref,10,1),0),0,MAX(0,INT((EOMONTH(DATE(crono_ano_ref,10,1),0)-IF(Planos!$G195&gt;=DATE(crono_ano_ref,10,1),Planos!$G195,Planos!$G195+CEILING((DATE(crono_ano_ref,10,1)-Planos!$G195)/Planos!$E195,1)*Planos!$E195))/Planos!$E195)+1)))</f>
      </c>
      <c r="P197" s="44">
        <f>IF(OR(Planos!$A195="",NOT(ISNUMBER(Planos!$G195)),N(Planos!$E195)&lt;=0),0,IF(Planos!$G195&gt;EOMONTH(DATE(crono_ano_ref,11,1),0),0,MAX(0,INT((EOMONTH(DATE(crono_ano_ref,11,1),0)-IF(Planos!$G195&gt;=DATE(crono_ano_ref,11,1),Planos!$G195,Planos!$G195+CEILING((DATE(crono_ano_ref,11,1)-Planos!$G195)/Planos!$E195,1)*Planos!$E195))/Planos!$E195)+1)))</f>
      </c>
      <c r="Q197" s="44">
        <f>IF(OR(Planos!$A195="",NOT(ISNUMBER(Planos!$G195)),N(Planos!$E195)&lt;=0),0,IF(Planos!$G195&gt;EOMONTH(DATE(crono_ano_ref,12,1),0),0,MAX(0,INT((EOMONTH(DATE(crono_ano_ref,12,1),0)-IF(Planos!$G195&gt;=DATE(crono_ano_ref,12,1),Planos!$G195,Planos!$G195+CEILING((DATE(crono_ano_ref,12,1)-Planos!$G195)/Planos!$E195,1)*Planos!$E195))/Planos!$E195)+1)))</f>
      </c>
      <c r="R197" s="44">
        <f>SUM(F197:Q197)</f>
      </c>
    </row>
    <row r="198" spans="1:18" x14ac:dyDescent="0.25">
      <c r="A198" s="24">
        <f>IF(Planos!$A196="","",Planos!A196&amp;"")</f>
      </c>
      <c r="B198" s="41">
        <f>IF(Planos!$A196="","",Planos!B196&amp;"")</f>
      </c>
      <c r="C198" s="24">
        <f>IF(Planos!$A196="","",Planos!C196&amp;"")</f>
      </c>
      <c r="D198" s="42">
        <f>IF(Planos!$A196="","",N(Planos!E196))</f>
      </c>
      <c r="E198" s="43">
        <f>IF(Planos!$A196="","",N(Planos!K196))</f>
      </c>
      <c r="F198" s="44">
        <f>IF(OR(Planos!$A196="",NOT(ISNUMBER(Planos!$G196)),N(Planos!$E196)&lt;=0),0,IF(Planos!$G196&gt;EOMONTH(DATE(crono_ano_ref,1,1),0),0,MAX(0,INT((EOMONTH(DATE(crono_ano_ref,1,1),0)-IF(Planos!$G196&gt;=DATE(crono_ano_ref,1,1),Planos!$G196,Planos!$G196+CEILING((DATE(crono_ano_ref,1,1)-Planos!$G196)/Planos!$E196,1)*Planos!$E196))/Planos!$E196)+1)))</f>
      </c>
      <c r="G198" s="44">
        <f>IF(OR(Planos!$A196="",NOT(ISNUMBER(Planos!$G196)),N(Planos!$E196)&lt;=0),0,IF(Planos!$G196&gt;EOMONTH(DATE(crono_ano_ref,2,1),0),0,MAX(0,INT((EOMONTH(DATE(crono_ano_ref,2,1),0)-IF(Planos!$G196&gt;=DATE(crono_ano_ref,2,1),Planos!$G196,Planos!$G196+CEILING((DATE(crono_ano_ref,2,1)-Planos!$G196)/Planos!$E196,1)*Planos!$E196))/Planos!$E196)+1)))</f>
      </c>
      <c r="H198" s="44">
        <f>IF(OR(Planos!$A196="",NOT(ISNUMBER(Planos!$G196)),N(Planos!$E196)&lt;=0),0,IF(Planos!$G196&gt;EOMONTH(DATE(crono_ano_ref,3,1),0),0,MAX(0,INT((EOMONTH(DATE(crono_ano_ref,3,1),0)-IF(Planos!$G196&gt;=DATE(crono_ano_ref,3,1),Planos!$G196,Planos!$G196+CEILING((DATE(crono_ano_ref,3,1)-Planos!$G196)/Planos!$E196,1)*Planos!$E196))/Planos!$E196)+1)))</f>
      </c>
      <c r="I198" s="44">
        <f>IF(OR(Planos!$A196="",NOT(ISNUMBER(Planos!$G196)),N(Planos!$E196)&lt;=0),0,IF(Planos!$G196&gt;EOMONTH(DATE(crono_ano_ref,4,1),0),0,MAX(0,INT((EOMONTH(DATE(crono_ano_ref,4,1),0)-IF(Planos!$G196&gt;=DATE(crono_ano_ref,4,1),Planos!$G196,Planos!$G196+CEILING((DATE(crono_ano_ref,4,1)-Planos!$G196)/Planos!$E196,1)*Planos!$E196))/Planos!$E196)+1)))</f>
      </c>
      <c r="J198" s="44">
        <f>IF(OR(Planos!$A196="",NOT(ISNUMBER(Planos!$G196)),N(Planos!$E196)&lt;=0),0,IF(Planos!$G196&gt;EOMONTH(DATE(crono_ano_ref,5,1),0),0,MAX(0,INT((EOMONTH(DATE(crono_ano_ref,5,1),0)-IF(Planos!$G196&gt;=DATE(crono_ano_ref,5,1),Planos!$G196,Planos!$G196+CEILING((DATE(crono_ano_ref,5,1)-Planos!$G196)/Planos!$E196,1)*Planos!$E196))/Planos!$E196)+1)))</f>
      </c>
      <c r="K198" s="44">
        <f>IF(OR(Planos!$A196="",NOT(ISNUMBER(Planos!$G196)),N(Planos!$E196)&lt;=0),0,IF(Planos!$G196&gt;EOMONTH(DATE(crono_ano_ref,6,1),0),0,MAX(0,INT((EOMONTH(DATE(crono_ano_ref,6,1),0)-IF(Planos!$G196&gt;=DATE(crono_ano_ref,6,1),Planos!$G196,Planos!$G196+CEILING((DATE(crono_ano_ref,6,1)-Planos!$G196)/Planos!$E196,1)*Planos!$E196))/Planos!$E196)+1)))</f>
      </c>
      <c r="L198" s="44">
        <f>IF(OR(Planos!$A196="",NOT(ISNUMBER(Planos!$G196)),N(Planos!$E196)&lt;=0),0,IF(Planos!$G196&gt;EOMONTH(DATE(crono_ano_ref,7,1),0),0,MAX(0,INT((EOMONTH(DATE(crono_ano_ref,7,1),0)-IF(Planos!$G196&gt;=DATE(crono_ano_ref,7,1),Planos!$G196,Planos!$G196+CEILING((DATE(crono_ano_ref,7,1)-Planos!$G196)/Planos!$E196,1)*Planos!$E196))/Planos!$E196)+1)))</f>
      </c>
      <c r="M198" s="44">
        <f>IF(OR(Planos!$A196="",NOT(ISNUMBER(Planos!$G196)),N(Planos!$E196)&lt;=0),0,IF(Planos!$G196&gt;EOMONTH(DATE(crono_ano_ref,8,1),0),0,MAX(0,INT((EOMONTH(DATE(crono_ano_ref,8,1),0)-IF(Planos!$G196&gt;=DATE(crono_ano_ref,8,1),Planos!$G196,Planos!$G196+CEILING((DATE(crono_ano_ref,8,1)-Planos!$G196)/Planos!$E196,1)*Planos!$E196))/Planos!$E196)+1)))</f>
      </c>
      <c r="N198" s="44">
        <f>IF(OR(Planos!$A196="",NOT(ISNUMBER(Planos!$G196)),N(Planos!$E196)&lt;=0),0,IF(Planos!$G196&gt;EOMONTH(DATE(crono_ano_ref,9,1),0),0,MAX(0,INT((EOMONTH(DATE(crono_ano_ref,9,1),0)-IF(Planos!$G196&gt;=DATE(crono_ano_ref,9,1),Planos!$G196,Planos!$G196+CEILING((DATE(crono_ano_ref,9,1)-Planos!$G196)/Planos!$E196,1)*Planos!$E196))/Planos!$E196)+1)))</f>
      </c>
      <c r="O198" s="44">
        <f>IF(OR(Planos!$A196="",NOT(ISNUMBER(Planos!$G196)),N(Planos!$E196)&lt;=0),0,IF(Planos!$G196&gt;EOMONTH(DATE(crono_ano_ref,10,1),0),0,MAX(0,INT((EOMONTH(DATE(crono_ano_ref,10,1),0)-IF(Planos!$G196&gt;=DATE(crono_ano_ref,10,1),Planos!$G196,Planos!$G196+CEILING((DATE(crono_ano_ref,10,1)-Planos!$G196)/Planos!$E196,1)*Planos!$E196))/Planos!$E196)+1)))</f>
      </c>
      <c r="P198" s="44">
        <f>IF(OR(Planos!$A196="",NOT(ISNUMBER(Planos!$G196)),N(Planos!$E196)&lt;=0),0,IF(Planos!$G196&gt;EOMONTH(DATE(crono_ano_ref,11,1),0),0,MAX(0,INT((EOMONTH(DATE(crono_ano_ref,11,1),0)-IF(Planos!$G196&gt;=DATE(crono_ano_ref,11,1),Planos!$G196,Planos!$G196+CEILING((DATE(crono_ano_ref,11,1)-Planos!$G196)/Planos!$E196,1)*Planos!$E196))/Planos!$E196)+1)))</f>
      </c>
      <c r="Q198" s="44">
        <f>IF(OR(Planos!$A196="",NOT(ISNUMBER(Planos!$G196)),N(Planos!$E196)&lt;=0),0,IF(Planos!$G196&gt;EOMONTH(DATE(crono_ano_ref,12,1),0),0,MAX(0,INT((EOMONTH(DATE(crono_ano_ref,12,1),0)-IF(Planos!$G196&gt;=DATE(crono_ano_ref,12,1),Planos!$G196,Planos!$G196+CEILING((DATE(crono_ano_ref,12,1)-Planos!$G196)/Planos!$E196,1)*Planos!$E196))/Planos!$E196)+1)))</f>
      </c>
      <c r="R198" s="44">
        <f>SUM(F198:Q198)</f>
      </c>
    </row>
    <row r="199" spans="1:18" x14ac:dyDescent="0.25">
      <c r="A199" s="24">
        <f>IF(Planos!$A197="","",Planos!A197&amp;"")</f>
      </c>
      <c r="B199" s="41">
        <f>IF(Planos!$A197="","",Planos!B197&amp;"")</f>
      </c>
      <c r="C199" s="24">
        <f>IF(Planos!$A197="","",Planos!C197&amp;"")</f>
      </c>
      <c r="D199" s="42">
        <f>IF(Planos!$A197="","",N(Planos!E197))</f>
      </c>
      <c r="E199" s="43">
        <f>IF(Planos!$A197="","",N(Planos!K197))</f>
      </c>
      <c r="F199" s="44">
        <f>IF(OR(Planos!$A197="",NOT(ISNUMBER(Planos!$G197)),N(Planos!$E197)&lt;=0),0,IF(Planos!$G197&gt;EOMONTH(DATE(crono_ano_ref,1,1),0),0,MAX(0,INT((EOMONTH(DATE(crono_ano_ref,1,1),0)-IF(Planos!$G197&gt;=DATE(crono_ano_ref,1,1),Planos!$G197,Planos!$G197+CEILING((DATE(crono_ano_ref,1,1)-Planos!$G197)/Planos!$E197,1)*Planos!$E197))/Planos!$E197)+1)))</f>
      </c>
      <c r="G199" s="44">
        <f>IF(OR(Planos!$A197="",NOT(ISNUMBER(Planos!$G197)),N(Planos!$E197)&lt;=0),0,IF(Planos!$G197&gt;EOMONTH(DATE(crono_ano_ref,2,1),0),0,MAX(0,INT((EOMONTH(DATE(crono_ano_ref,2,1),0)-IF(Planos!$G197&gt;=DATE(crono_ano_ref,2,1),Planos!$G197,Planos!$G197+CEILING((DATE(crono_ano_ref,2,1)-Planos!$G197)/Planos!$E197,1)*Planos!$E197))/Planos!$E197)+1)))</f>
      </c>
      <c r="H199" s="44">
        <f>IF(OR(Planos!$A197="",NOT(ISNUMBER(Planos!$G197)),N(Planos!$E197)&lt;=0),0,IF(Planos!$G197&gt;EOMONTH(DATE(crono_ano_ref,3,1),0),0,MAX(0,INT((EOMONTH(DATE(crono_ano_ref,3,1),0)-IF(Planos!$G197&gt;=DATE(crono_ano_ref,3,1),Planos!$G197,Planos!$G197+CEILING((DATE(crono_ano_ref,3,1)-Planos!$G197)/Planos!$E197,1)*Planos!$E197))/Planos!$E197)+1)))</f>
      </c>
      <c r="I199" s="44">
        <f>IF(OR(Planos!$A197="",NOT(ISNUMBER(Planos!$G197)),N(Planos!$E197)&lt;=0),0,IF(Planos!$G197&gt;EOMONTH(DATE(crono_ano_ref,4,1),0),0,MAX(0,INT((EOMONTH(DATE(crono_ano_ref,4,1),0)-IF(Planos!$G197&gt;=DATE(crono_ano_ref,4,1),Planos!$G197,Planos!$G197+CEILING((DATE(crono_ano_ref,4,1)-Planos!$G197)/Planos!$E197,1)*Planos!$E197))/Planos!$E197)+1)))</f>
      </c>
      <c r="J199" s="44">
        <f>IF(OR(Planos!$A197="",NOT(ISNUMBER(Planos!$G197)),N(Planos!$E197)&lt;=0),0,IF(Planos!$G197&gt;EOMONTH(DATE(crono_ano_ref,5,1),0),0,MAX(0,INT((EOMONTH(DATE(crono_ano_ref,5,1),0)-IF(Planos!$G197&gt;=DATE(crono_ano_ref,5,1),Planos!$G197,Planos!$G197+CEILING((DATE(crono_ano_ref,5,1)-Planos!$G197)/Planos!$E197,1)*Planos!$E197))/Planos!$E197)+1)))</f>
      </c>
      <c r="K199" s="44">
        <f>IF(OR(Planos!$A197="",NOT(ISNUMBER(Planos!$G197)),N(Planos!$E197)&lt;=0),0,IF(Planos!$G197&gt;EOMONTH(DATE(crono_ano_ref,6,1),0),0,MAX(0,INT((EOMONTH(DATE(crono_ano_ref,6,1),0)-IF(Planos!$G197&gt;=DATE(crono_ano_ref,6,1),Planos!$G197,Planos!$G197+CEILING((DATE(crono_ano_ref,6,1)-Planos!$G197)/Planos!$E197,1)*Planos!$E197))/Planos!$E197)+1)))</f>
      </c>
      <c r="L199" s="44">
        <f>IF(OR(Planos!$A197="",NOT(ISNUMBER(Planos!$G197)),N(Planos!$E197)&lt;=0),0,IF(Planos!$G197&gt;EOMONTH(DATE(crono_ano_ref,7,1),0),0,MAX(0,INT((EOMONTH(DATE(crono_ano_ref,7,1),0)-IF(Planos!$G197&gt;=DATE(crono_ano_ref,7,1),Planos!$G197,Planos!$G197+CEILING((DATE(crono_ano_ref,7,1)-Planos!$G197)/Planos!$E197,1)*Planos!$E197))/Planos!$E197)+1)))</f>
      </c>
      <c r="M199" s="44">
        <f>IF(OR(Planos!$A197="",NOT(ISNUMBER(Planos!$G197)),N(Planos!$E197)&lt;=0),0,IF(Planos!$G197&gt;EOMONTH(DATE(crono_ano_ref,8,1),0),0,MAX(0,INT((EOMONTH(DATE(crono_ano_ref,8,1),0)-IF(Planos!$G197&gt;=DATE(crono_ano_ref,8,1),Planos!$G197,Planos!$G197+CEILING((DATE(crono_ano_ref,8,1)-Planos!$G197)/Planos!$E197,1)*Planos!$E197))/Planos!$E197)+1)))</f>
      </c>
      <c r="N199" s="44">
        <f>IF(OR(Planos!$A197="",NOT(ISNUMBER(Planos!$G197)),N(Planos!$E197)&lt;=0),0,IF(Planos!$G197&gt;EOMONTH(DATE(crono_ano_ref,9,1),0),0,MAX(0,INT((EOMONTH(DATE(crono_ano_ref,9,1),0)-IF(Planos!$G197&gt;=DATE(crono_ano_ref,9,1),Planos!$G197,Planos!$G197+CEILING((DATE(crono_ano_ref,9,1)-Planos!$G197)/Planos!$E197,1)*Planos!$E197))/Planos!$E197)+1)))</f>
      </c>
      <c r="O199" s="44">
        <f>IF(OR(Planos!$A197="",NOT(ISNUMBER(Planos!$G197)),N(Planos!$E197)&lt;=0),0,IF(Planos!$G197&gt;EOMONTH(DATE(crono_ano_ref,10,1),0),0,MAX(0,INT((EOMONTH(DATE(crono_ano_ref,10,1),0)-IF(Planos!$G197&gt;=DATE(crono_ano_ref,10,1),Planos!$G197,Planos!$G197+CEILING((DATE(crono_ano_ref,10,1)-Planos!$G197)/Planos!$E197,1)*Planos!$E197))/Planos!$E197)+1)))</f>
      </c>
      <c r="P199" s="44">
        <f>IF(OR(Planos!$A197="",NOT(ISNUMBER(Planos!$G197)),N(Planos!$E197)&lt;=0),0,IF(Planos!$G197&gt;EOMONTH(DATE(crono_ano_ref,11,1),0),0,MAX(0,INT((EOMONTH(DATE(crono_ano_ref,11,1),0)-IF(Planos!$G197&gt;=DATE(crono_ano_ref,11,1),Planos!$G197,Planos!$G197+CEILING((DATE(crono_ano_ref,11,1)-Planos!$G197)/Planos!$E197,1)*Planos!$E197))/Planos!$E197)+1)))</f>
      </c>
      <c r="Q199" s="44">
        <f>IF(OR(Planos!$A197="",NOT(ISNUMBER(Planos!$G197)),N(Planos!$E197)&lt;=0),0,IF(Planos!$G197&gt;EOMONTH(DATE(crono_ano_ref,12,1),0),0,MAX(0,INT((EOMONTH(DATE(crono_ano_ref,12,1),0)-IF(Planos!$G197&gt;=DATE(crono_ano_ref,12,1),Planos!$G197,Planos!$G197+CEILING((DATE(crono_ano_ref,12,1)-Planos!$G197)/Planos!$E197,1)*Planos!$E197))/Planos!$E197)+1)))</f>
      </c>
      <c r="R199" s="44">
        <f>SUM(F199:Q199)</f>
      </c>
    </row>
    <row r="200" spans="1:18" x14ac:dyDescent="0.25">
      <c r="A200" s="24">
        <f>IF(Planos!$A198="","",Planos!A198&amp;"")</f>
      </c>
      <c r="B200" s="41">
        <f>IF(Planos!$A198="","",Planos!B198&amp;"")</f>
      </c>
      <c r="C200" s="24">
        <f>IF(Planos!$A198="","",Planos!C198&amp;"")</f>
      </c>
      <c r="D200" s="42">
        <f>IF(Planos!$A198="","",N(Planos!E198))</f>
      </c>
      <c r="E200" s="43">
        <f>IF(Planos!$A198="","",N(Planos!K198))</f>
      </c>
      <c r="F200" s="44">
        <f>IF(OR(Planos!$A198="",NOT(ISNUMBER(Planos!$G198)),N(Planos!$E198)&lt;=0),0,IF(Planos!$G198&gt;EOMONTH(DATE(crono_ano_ref,1,1),0),0,MAX(0,INT((EOMONTH(DATE(crono_ano_ref,1,1),0)-IF(Planos!$G198&gt;=DATE(crono_ano_ref,1,1),Planos!$G198,Planos!$G198+CEILING((DATE(crono_ano_ref,1,1)-Planos!$G198)/Planos!$E198,1)*Planos!$E198))/Planos!$E198)+1)))</f>
      </c>
      <c r="G200" s="44">
        <f>IF(OR(Planos!$A198="",NOT(ISNUMBER(Planos!$G198)),N(Planos!$E198)&lt;=0),0,IF(Planos!$G198&gt;EOMONTH(DATE(crono_ano_ref,2,1),0),0,MAX(0,INT((EOMONTH(DATE(crono_ano_ref,2,1),0)-IF(Planos!$G198&gt;=DATE(crono_ano_ref,2,1),Planos!$G198,Planos!$G198+CEILING((DATE(crono_ano_ref,2,1)-Planos!$G198)/Planos!$E198,1)*Planos!$E198))/Planos!$E198)+1)))</f>
      </c>
      <c r="H200" s="44">
        <f>IF(OR(Planos!$A198="",NOT(ISNUMBER(Planos!$G198)),N(Planos!$E198)&lt;=0),0,IF(Planos!$G198&gt;EOMONTH(DATE(crono_ano_ref,3,1),0),0,MAX(0,INT((EOMONTH(DATE(crono_ano_ref,3,1),0)-IF(Planos!$G198&gt;=DATE(crono_ano_ref,3,1),Planos!$G198,Planos!$G198+CEILING((DATE(crono_ano_ref,3,1)-Planos!$G198)/Planos!$E198,1)*Planos!$E198))/Planos!$E198)+1)))</f>
      </c>
      <c r="I200" s="44">
        <f>IF(OR(Planos!$A198="",NOT(ISNUMBER(Planos!$G198)),N(Planos!$E198)&lt;=0),0,IF(Planos!$G198&gt;EOMONTH(DATE(crono_ano_ref,4,1),0),0,MAX(0,INT((EOMONTH(DATE(crono_ano_ref,4,1),0)-IF(Planos!$G198&gt;=DATE(crono_ano_ref,4,1),Planos!$G198,Planos!$G198+CEILING((DATE(crono_ano_ref,4,1)-Planos!$G198)/Planos!$E198,1)*Planos!$E198))/Planos!$E198)+1)))</f>
      </c>
      <c r="J200" s="44">
        <f>IF(OR(Planos!$A198="",NOT(ISNUMBER(Planos!$G198)),N(Planos!$E198)&lt;=0),0,IF(Planos!$G198&gt;EOMONTH(DATE(crono_ano_ref,5,1),0),0,MAX(0,INT((EOMONTH(DATE(crono_ano_ref,5,1),0)-IF(Planos!$G198&gt;=DATE(crono_ano_ref,5,1),Planos!$G198,Planos!$G198+CEILING((DATE(crono_ano_ref,5,1)-Planos!$G198)/Planos!$E198,1)*Planos!$E198))/Planos!$E198)+1)))</f>
      </c>
      <c r="K200" s="44">
        <f>IF(OR(Planos!$A198="",NOT(ISNUMBER(Planos!$G198)),N(Planos!$E198)&lt;=0),0,IF(Planos!$G198&gt;EOMONTH(DATE(crono_ano_ref,6,1),0),0,MAX(0,INT((EOMONTH(DATE(crono_ano_ref,6,1),0)-IF(Planos!$G198&gt;=DATE(crono_ano_ref,6,1),Planos!$G198,Planos!$G198+CEILING((DATE(crono_ano_ref,6,1)-Planos!$G198)/Planos!$E198,1)*Planos!$E198))/Planos!$E198)+1)))</f>
      </c>
      <c r="L200" s="44">
        <f>IF(OR(Planos!$A198="",NOT(ISNUMBER(Planos!$G198)),N(Planos!$E198)&lt;=0),0,IF(Planos!$G198&gt;EOMONTH(DATE(crono_ano_ref,7,1),0),0,MAX(0,INT((EOMONTH(DATE(crono_ano_ref,7,1),0)-IF(Planos!$G198&gt;=DATE(crono_ano_ref,7,1),Planos!$G198,Planos!$G198+CEILING((DATE(crono_ano_ref,7,1)-Planos!$G198)/Planos!$E198,1)*Planos!$E198))/Planos!$E198)+1)))</f>
      </c>
      <c r="M200" s="44">
        <f>IF(OR(Planos!$A198="",NOT(ISNUMBER(Planos!$G198)),N(Planos!$E198)&lt;=0),0,IF(Planos!$G198&gt;EOMONTH(DATE(crono_ano_ref,8,1),0),0,MAX(0,INT((EOMONTH(DATE(crono_ano_ref,8,1),0)-IF(Planos!$G198&gt;=DATE(crono_ano_ref,8,1),Planos!$G198,Planos!$G198+CEILING((DATE(crono_ano_ref,8,1)-Planos!$G198)/Planos!$E198,1)*Planos!$E198))/Planos!$E198)+1)))</f>
      </c>
      <c r="N200" s="44">
        <f>IF(OR(Planos!$A198="",NOT(ISNUMBER(Planos!$G198)),N(Planos!$E198)&lt;=0),0,IF(Planos!$G198&gt;EOMONTH(DATE(crono_ano_ref,9,1),0),0,MAX(0,INT((EOMONTH(DATE(crono_ano_ref,9,1),0)-IF(Planos!$G198&gt;=DATE(crono_ano_ref,9,1),Planos!$G198,Planos!$G198+CEILING((DATE(crono_ano_ref,9,1)-Planos!$G198)/Planos!$E198,1)*Planos!$E198))/Planos!$E198)+1)))</f>
      </c>
      <c r="O200" s="44">
        <f>IF(OR(Planos!$A198="",NOT(ISNUMBER(Planos!$G198)),N(Planos!$E198)&lt;=0),0,IF(Planos!$G198&gt;EOMONTH(DATE(crono_ano_ref,10,1),0),0,MAX(0,INT((EOMONTH(DATE(crono_ano_ref,10,1),0)-IF(Planos!$G198&gt;=DATE(crono_ano_ref,10,1),Planos!$G198,Planos!$G198+CEILING((DATE(crono_ano_ref,10,1)-Planos!$G198)/Planos!$E198,1)*Planos!$E198))/Planos!$E198)+1)))</f>
      </c>
      <c r="P200" s="44">
        <f>IF(OR(Planos!$A198="",NOT(ISNUMBER(Planos!$G198)),N(Planos!$E198)&lt;=0),0,IF(Planos!$G198&gt;EOMONTH(DATE(crono_ano_ref,11,1),0),0,MAX(0,INT((EOMONTH(DATE(crono_ano_ref,11,1),0)-IF(Planos!$G198&gt;=DATE(crono_ano_ref,11,1),Planos!$G198,Planos!$G198+CEILING((DATE(crono_ano_ref,11,1)-Planos!$G198)/Planos!$E198,1)*Planos!$E198))/Planos!$E198)+1)))</f>
      </c>
      <c r="Q200" s="44">
        <f>IF(OR(Planos!$A198="",NOT(ISNUMBER(Planos!$G198)),N(Planos!$E198)&lt;=0),0,IF(Planos!$G198&gt;EOMONTH(DATE(crono_ano_ref,12,1),0),0,MAX(0,INT((EOMONTH(DATE(crono_ano_ref,12,1),0)-IF(Planos!$G198&gt;=DATE(crono_ano_ref,12,1),Planos!$G198,Planos!$G198+CEILING((DATE(crono_ano_ref,12,1)-Planos!$G198)/Planos!$E198,1)*Planos!$E198))/Planos!$E198)+1)))</f>
      </c>
      <c r="R200" s="44">
        <f>SUM(F200:Q200)</f>
      </c>
    </row>
    <row r="201" spans="1:18" x14ac:dyDescent="0.25">
      <c r="A201" s="24">
        <f>IF(Planos!$A199="","",Planos!A199&amp;"")</f>
      </c>
      <c r="B201" s="41">
        <f>IF(Planos!$A199="","",Planos!B199&amp;"")</f>
      </c>
      <c r="C201" s="24">
        <f>IF(Planos!$A199="","",Planos!C199&amp;"")</f>
      </c>
      <c r="D201" s="42">
        <f>IF(Planos!$A199="","",N(Planos!E199))</f>
      </c>
      <c r="E201" s="43">
        <f>IF(Planos!$A199="","",N(Planos!K199))</f>
      </c>
      <c r="F201" s="44">
        <f>IF(OR(Planos!$A199="",NOT(ISNUMBER(Planos!$G199)),N(Planos!$E199)&lt;=0),0,IF(Planos!$G199&gt;EOMONTH(DATE(crono_ano_ref,1,1),0),0,MAX(0,INT((EOMONTH(DATE(crono_ano_ref,1,1),0)-IF(Planos!$G199&gt;=DATE(crono_ano_ref,1,1),Planos!$G199,Planos!$G199+CEILING((DATE(crono_ano_ref,1,1)-Planos!$G199)/Planos!$E199,1)*Planos!$E199))/Planos!$E199)+1)))</f>
      </c>
      <c r="G201" s="44">
        <f>IF(OR(Planos!$A199="",NOT(ISNUMBER(Planos!$G199)),N(Planos!$E199)&lt;=0),0,IF(Planos!$G199&gt;EOMONTH(DATE(crono_ano_ref,2,1),0),0,MAX(0,INT((EOMONTH(DATE(crono_ano_ref,2,1),0)-IF(Planos!$G199&gt;=DATE(crono_ano_ref,2,1),Planos!$G199,Planos!$G199+CEILING((DATE(crono_ano_ref,2,1)-Planos!$G199)/Planos!$E199,1)*Planos!$E199))/Planos!$E199)+1)))</f>
      </c>
      <c r="H201" s="44">
        <f>IF(OR(Planos!$A199="",NOT(ISNUMBER(Planos!$G199)),N(Planos!$E199)&lt;=0),0,IF(Planos!$G199&gt;EOMONTH(DATE(crono_ano_ref,3,1),0),0,MAX(0,INT((EOMONTH(DATE(crono_ano_ref,3,1),0)-IF(Planos!$G199&gt;=DATE(crono_ano_ref,3,1),Planos!$G199,Planos!$G199+CEILING((DATE(crono_ano_ref,3,1)-Planos!$G199)/Planos!$E199,1)*Planos!$E199))/Planos!$E199)+1)))</f>
      </c>
      <c r="I201" s="44">
        <f>IF(OR(Planos!$A199="",NOT(ISNUMBER(Planos!$G199)),N(Planos!$E199)&lt;=0),0,IF(Planos!$G199&gt;EOMONTH(DATE(crono_ano_ref,4,1),0),0,MAX(0,INT((EOMONTH(DATE(crono_ano_ref,4,1),0)-IF(Planos!$G199&gt;=DATE(crono_ano_ref,4,1),Planos!$G199,Planos!$G199+CEILING((DATE(crono_ano_ref,4,1)-Planos!$G199)/Planos!$E199,1)*Planos!$E199))/Planos!$E199)+1)))</f>
      </c>
      <c r="J201" s="44">
        <f>IF(OR(Planos!$A199="",NOT(ISNUMBER(Planos!$G199)),N(Planos!$E199)&lt;=0),0,IF(Planos!$G199&gt;EOMONTH(DATE(crono_ano_ref,5,1),0),0,MAX(0,INT((EOMONTH(DATE(crono_ano_ref,5,1),0)-IF(Planos!$G199&gt;=DATE(crono_ano_ref,5,1),Planos!$G199,Planos!$G199+CEILING((DATE(crono_ano_ref,5,1)-Planos!$G199)/Planos!$E199,1)*Planos!$E199))/Planos!$E199)+1)))</f>
      </c>
      <c r="K201" s="44">
        <f>IF(OR(Planos!$A199="",NOT(ISNUMBER(Planos!$G199)),N(Planos!$E199)&lt;=0),0,IF(Planos!$G199&gt;EOMONTH(DATE(crono_ano_ref,6,1),0),0,MAX(0,INT((EOMONTH(DATE(crono_ano_ref,6,1),0)-IF(Planos!$G199&gt;=DATE(crono_ano_ref,6,1),Planos!$G199,Planos!$G199+CEILING((DATE(crono_ano_ref,6,1)-Planos!$G199)/Planos!$E199,1)*Planos!$E199))/Planos!$E199)+1)))</f>
      </c>
      <c r="L201" s="44">
        <f>IF(OR(Planos!$A199="",NOT(ISNUMBER(Planos!$G199)),N(Planos!$E199)&lt;=0),0,IF(Planos!$G199&gt;EOMONTH(DATE(crono_ano_ref,7,1),0),0,MAX(0,INT((EOMONTH(DATE(crono_ano_ref,7,1),0)-IF(Planos!$G199&gt;=DATE(crono_ano_ref,7,1),Planos!$G199,Planos!$G199+CEILING((DATE(crono_ano_ref,7,1)-Planos!$G199)/Planos!$E199,1)*Planos!$E199))/Planos!$E199)+1)))</f>
      </c>
      <c r="M201" s="44">
        <f>IF(OR(Planos!$A199="",NOT(ISNUMBER(Planos!$G199)),N(Planos!$E199)&lt;=0),0,IF(Planos!$G199&gt;EOMONTH(DATE(crono_ano_ref,8,1),0),0,MAX(0,INT((EOMONTH(DATE(crono_ano_ref,8,1),0)-IF(Planos!$G199&gt;=DATE(crono_ano_ref,8,1),Planos!$G199,Planos!$G199+CEILING((DATE(crono_ano_ref,8,1)-Planos!$G199)/Planos!$E199,1)*Planos!$E199))/Planos!$E199)+1)))</f>
      </c>
      <c r="N201" s="44">
        <f>IF(OR(Planos!$A199="",NOT(ISNUMBER(Planos!$G199)),N(Planos!$E199)&lt;=0),0,IF(Planos!$G199&gt;EOMONTH(DATE(crono_ano_ref,9,1),0),0,MAX(0,INT((EOMONTH(DATE(crono_ano_ref,9,1),0)-IF(Planos!$G199&gt;=DATE(crono_ano_ref,9,1),Planos!$G199,Planos!$G199+CEILING((DATE(crono_ano_ref,9,1)-Planos!$G199)/Planos!$E199,1)*Planos!$E199))/Planos!$E199)+1)))</f>
      </c>
      <c r="O201" s="44">
        <f>IF(OR(Planos!$A199="",NOT(ISNUMBER(Planos!$G199)),N(Planos!$E199)&lt;=0),0,IF(Planos!$G199&gt;EOMONTH(DATE(crono_ano_ref,10,1),0),0,MAX(0,INT((EOMONTH(DATE(crono_ano_ref,10,1),0)-IF(Planos!$G199&gt;=DATE(crono_ano_ref,10,1),Planos!$G199,Planos!$G199+CEILING((DATE(crono_ano_ref,10,1)-Planos!$G199)/Planos!$E199,1)*Planos!$E199))/Planos!$E199)+1)))</f>
      </c>
      <c r="P201" s="44">
        <f>IF(OR(Planos!$A199="",NOT(ISNUMBER(Planos!$G199)),N(Planos!$E199)&lt;=0),0,IF(Planos!$G199&gt;EOMONTH(DATE(crono_ano_ref,11,1),0),0,MAX(0,INT((EOMONTH(DATE(crono_ano_ref,11,1),0)-IF(Planos!$G199&gt;=DATE(crono_ano_ref,11,1),Planos!$G199,Planos!$G199+CEILING((DATE(crono_ano_ref,11,1)-Planos!$G199)/Planos!$E199,1)*Planos!$E199))/Planos!$E199)+1)))</f>
      </c>
      <c r="Q201" s="44">
        <f>IF(OR(Planos!$A199="",NOT(ISNUMBER(Planos!$G199)),N(Planos!$E199)&lt;=0),0,IF(Planos!$G199&gt;EOMONTH(DATE(crono_ano_ref,12,1),0),0,MAX(0,INT((EOMONTH(DATE(crono_ano_ref,12,1),0)-IF(Planos!$G199&gt;=DATE(crono_ano_ref,12,1),Planos!$G199,Planos!$G199+CEILING((DATE(crono_ano_ref,12,1)-Planos!$G199)/Planos!$E199,1)*Planos!$E199))/Planos!$E199)+1)))</f>
      </c>
      <c r="R201" s="44">
        <f>SUM(F201:Q201)</f>
      </c>
    </row>
    <row r="202" spans="1:18" x14ac:dyDescent="0.25">
      <c r="A202" s="24">
        <f>IF(Planos!$A200="","",Planos!A200&amp;"")</f>
      </c>
      <c r="B202" s="41">
        <f>IF(Planos!$A200="","",Planos!B200&amp;"")</f>
      </c>
      <c r="C202" s="24">
        <f>IF(Planos!$A200="","",Planos!C200&amp;"")</f>
      </c>
      <c r="D202" s="42">
        <f>IF(Planos!$A200="","",N(Planos!E200))</f>
      </c>
      <c r="E202" s="43">
        <f>IF(Planos!$A200="","",N(Planos!K200))</f>
      </c>
      <c r="F202" s="44">
        <f>IF(OR(Planos!$A200="",NOT(ISNUMBER(Planos!$G200)),N(Planos!$E200)&lt;=0),0,IF(Planos!$G200&gt;EOMONTH(DATE(crono_ano_ref,1,1),0),0,MAX(0,INT((EOMONTH(DATE(crono_ano_ref,1,1),0)-IF(Planos!$G200&gt;=DATE(crono_ano_ref,1,1),Planos!$G200,Planos!$G200+CEILING((DATE(crono_ano_ref,1,1)-Planos!$G200)/Planos!$E200,1)*Planos!$E200))/Planos!$E200)+1)))</f>
      </c>
      <c r="G202" s="44">
        <f>IF(OR(Planos!$A200="",NOT(ISNUMBER(Planos!$G200)),N(Planos!$E200)&lt;=0),0,IF(Planos!$G200&gt;EOMONTH(DATE(crono_ano_ref,2,1),0),0,MAX(0,INT((EOMONTH(DATE(crono_ano_ref,2,1),0)-IF(Planos!$G200&gt;=DATE(crono_ano_ref,2,1),Planos!$G200,Planos!$G200+CEILING((DATE(crono_ano_ref,2,1)-Planos!$G200)/Planos!$E200,1)*Planos!$E200))/Planos!$E200)+1)))</f>
      </c>
      <c r="H202" s="44">
        <f>IF(OR(Planos!$A200="",NOT(ISNUMBER(Planos!$G200)),N(Planos!$E200)&lt;=0),0,IF(Planos!$G200&gt;EOMONTH(DATE(crono_ano_ref,3,1),0),0,MAX(0,INT((EOMONTH(DATE(crono_ano_ref,3,1),0)-IF(Planos!$G200&gt;=DATE(crono_ano_ref,3,1),Planos!$G200,Planos!$G200+CEILING((DATE(crono_ano_ref,3,1)-Planos!$G200)/Planos!$E200,1)*Planos!$E200))/Planos!$E200)+1)))</f>
      </c>
      <c r="I202" s="44">
        <f>IF(OR(Planos!$A200="",NOT(ISNUMBER(Planos!$G200)),N(Planos!$E200)&lt;=0),0,IF(Planos!$G200&gt;EOMONTH(DATE(crono_ano_ref,4,1),0),0,MAX(0,INT((EOMONTH(DATE(crono_ano_ref,4,1),0)-IF(Planos!$G200&gt;=DATE(crono_ano_ref,4,1),Planos!$G200,Planos!$G200+CEILING((DATE(crono_ano_ref,4,1)-Planos!$G200)/Planos!$E200,1)*Planos!$E200))/Planos!$E200)+1)))</f>
      </c>
      <c r="J202" s="44">
        <f>IF(OR(Planos!$A200="",NOT(ISNUMBER(Planos!$G200)),N(Planos!$E200)&lt;=0),0,IF(Planos!$G200&gt;EOMONTH(DATE(crono_ano_ref,5,1),0),0,MAX(0,INT((EOMONTH(DATE(crono_ano_ref,5,1),0)-IF(Planos!$G200&gt;=DATE(crono_ano_ref,5,1),Planos!$G200,Planos!$G200+CEILING((DATE(crono_ano_ref,5,1)-Planos!$G200)/Planos!$E200,1)*Planos!$E200))/Planos!$E200)+1)))</f>
      </c>
      <c r="K202" s="44">
        <f>IF(OR(Planos!$A200="",NOT(ISNUMBER(Planos!$G200)),N(Planos!$E200)&lt;=0),0,IF(Planos!$G200&gt;EOMONTH(DATE(crono_ano_ref,6,1),0),0,MAX(0,INT((EOMONTH(DATE(crono_ano_ref,6,1),0)-IF(Planos!$G200&gt;=DATE(crono_ano_ref,6,1),Planos!$G200,Planos!$G200+CEILING((DATE(crono_ano_ref,6,1)-Planos!$G200)/Planos!$E200,1)*Planos!$E200))/Planos!$E200)+1)))</f>
      </c>
      <c r="L202" s="44">
        <f>IF(OR(Planos!$A200="",NOT(ISNUMBER(Planos!$G200)),N(Planos!$E200)&lt;=0),0,IF(Planos!$G200&gt;EOMONTH(DATE(crono_ano_ref,7,1),0),0,MAX(0,INT((EOMONTH(DATE(crono_ano_ref,7,1),0)-IF(Planos!$G200&gt;=DATE(crono_ano_ref,7,1),Planos!$G200,Planos!$G200+CEILING((DATE(crono_ano_ref,7,1)-Planos!$G200)/Planos!$E200,1)*Planos!$E200))/Planos!$E200)+1)))</f>
      </c>
      <c r="M202" s="44">
        <f>IF(OR(Planos!$A200="",NOT(ISNUMBER(Planos!$G200)),N(Planos!$E200)&lt;=0),0,IF(Planos!$G200&gt;EOMONTH(DATE(crono_ano_ref,8,1),0),0,MAX(0,INT((EOMONTH(DATE(crono_ano_ref,8,1),0)-IF(Planos!$G200&gt;=DATE(crono_ano_ref,8,1),Planos!$G200,Planos!$G200+CEILING((DATE(crono_ano_ref,8,1)-Planos!$G200)/Planos!$E200,1)*Planos!$E200))/Planos!$E200)+1)))</f>
      </c>
      <c r="N202" s="44">
        <f>IF(OR(Planos!$A200="",NOT(ISNUMBER(Planos!$G200)),N(Planos!$E200)&lt;=0),0,IF(Planos!$G200&gt;EOMONTH(DATE(crono_ano_ref,9,1),0),0,MAX(0,INT((EOMONTH(DATE(crono_ano_ref,9,1),0)-IF(Planos!$G200&gt;=DATE(crono_ano_ref,9,1),Planos!$G200,Planos!$G200+CEILING((DATE(crono_ano_ref,9,1)-Planos!$G200)/Planos!$E200,1)*Planos!$E200))/Planos!$E200)+1)))</f>
      </c>
      <c r="O202" s="44">
        <f>IF(OR(Planos!$A200="",NOT(ISNUMBER(Planos!$G200)),N(Planos!$E200)&lt;=0),0,IF(Planos!$G200&gt;EOMONTH(DATE(crono_ano_ref,10,1),0),0,MAX(0,INT((EOMONTH(DATE(crono_ano_ref,10,1),0)-IF(Planos!$G200&gt;=DATE(crono_ano_ref,10,1),Planos!$G200,Planos!$G200+CEILING((DATE(crono_ano_ref,10,1)-Planos!$G200)/Planos!$E200,1)*Planos!$E200))/Planos!$E200)+1)))</f>
      </c>
      <c r="P202" s="44">
        <f>IF(OR(Planos!$A200="",NOT(ISNUMBER(Planos!$G200)),N(Planos!$E200)&lt;=0),0,IF(Planos!$G200&gt;EOMONTH(DATE(crono_ano_ref,11,1),0),0,MAX(0,INT((EOMONTH(DATE(crono_ano_ref,11,1),0)-IF(Planos!$G200&gt;=DATE(crono_ano_ref,11,1),Planos!$G200,Planos!$G200+CEILING((DATE(crono_ano_ref,11,1)-Planos!$G200)/Planos!$E200,1)*Planos!$E200))/Planos!$E200)+1)))</f>
      </c>
      <c r="Q202" s="44">
        <f>IF(OR(Planos!$A200="",NOT(ISNUMBER(Planos!$G200)),N(Planos!$E200)&lt;=0),0,IF(Planos!$G200&gt;EOMONTH(DATE(crono_ano_ref,12,1),0),0,MAX(0,INT((EOMONTH(DATE(crono_ano_ref,12,1),0)-IF(Planos!$G200&gt;=DATE(crono_ano_ref,12,1),Planos!$G200,Planos!$G200+CEILING((DATE(crono_ano_ref,12,1)-Planos!$G200)/Planos!$E200,1)*Planos!$E200))/Planos!$E200)+1)))</f>
      </c>
      <c r="R202" s="44">
        <f>SUM(F202:Q202)</f>
      </c>
    </row>
    <row r="203" spans="1:18" x14ac:dyDescent="0.25">
      <c r="A203" s="24">
        <f>IF(Planos!$A201="","",Planos!A201&amp;"")</f>
      </c>
      <c r="B203" s="41">
        <f>IF(Planos!$A201="","",Planos!B201&amp;"")</f>
      </c>
      <c r="C203" s="24">
        <f>IF(Planos!$A201="","",Planos!C201&amp;"")</f>
      </c>
      <c r="D203" s="42">
        <f>IF(Planos!$A201="","",N(Planos!E201))</f>
      </c>
      <c r="E203" s="43">
        <f>IF(Planos!$A201="","",N(Planos!K201))</f>
      </c>
      <c r="F203" s="44">
        <f>IF(OR(Planos!$A201="",NOT(ISNUMBER(Planos!$G201)),N(Planos!$E201)&lt;=0),0,IF(Planos!$G201&gt;EOMONTH(DATE(crono_ano_ref,1,1),0),0,MAX(0,INT((EOMONTH(DATE(crono_ano_ref,1,1),0)-IF(Planos!$G201&gt;=DATE(crono_ano_ref,1,1),Planos!$G201,Planos!$G201+CEILING((DATE(crono_ano_ref,1,1)-Planos!$G201)/Planos!$E201,1)*Planos!$E201))/Planos!$E201)+1)))</f>
      </c>
      <c r="G203" s="44">
        <f>IF(OR(Planos!$A201="",NOT(ISNUMBER(Planos!$G201)),N(Planos!$E201)&lt;=0),0,IF(Planos!$G201&gt;EOMONTH(DATE(crono_ano_ref,2,1),0),0,MAX(0,INT((EOMONTH(DATE(crono_ano_ref,2,1),0)-IF(Planos!$G201&gt;=DATE(crono_ano_ref,2,1),Planos!$G201,Planos!$G201+CEILING((DATE(crono_ano_ref,2,1)-Planos!$G201)/Planos!$E201,1)*Planos!$E201))/Planos!$E201)+1)))</f>
      </c>
      <c r="H203" s="44">
        <f>IF(OR(Planos!$A201="",NOT(ISNUMBER(Planos!$G201)),N(Planos!$E201)&lt;=0),0,IF(Planos!$G201&gt;EOMONTH(DATE(crono_ano_ref,3,1),0),0,MAX(0,INT((EOMONTH(DATE(crono_ano_ref,3,1),0)-IF(Planos!$G201&gt;=DATE(crono_ano_ref,3,1),Planos!$G201,Planos!$G201+CEILING((DATE(crono_ano_ref,3,1)-Planos!$G201)/Planos!$E201,1)*Planos!$E201))/Planos!$E201)+1)))</f>
      </c>
      <c r="I203" s="44">
        <f>IF(OR(Planos!$A201="",NOT(ISNUMBER(Planos!$G201)),N(Planos!$E201)&lt;=0),0,IF(Planos!$G201&gt;EOMONTH(DATE(crono_ano_ref,4,1),0),0,MAX(0,INT((EOMONTH(DATE(crono_ano_ref,4,1),0)-IF(Planos!$G201&gt;=DATE(crono_ano_ref,4,1),Planos!$G201,Planos!$G201+CEILING((DATE(crono_ano_ref,4,1)-Planos!$G201)/Planos!$E201,1)*Planos!$E201))/Planos!$E201)+1)))</f>
      </c>
      <c r="J203" s="44">
        <f>IF(OR(Planos!$A201="",NOT(ISNUMBER(Planos!$G201)),N(Planos!$E201)&lt;=0),0,IF(Planos!$G201&gt;EOMONTH(DATE(crono_ano_ref,5,1),0),0,MAX(0,INT((EOMONTH(DATE(crono_ano_ref,5,1),0)-IF(Planos!$G201&gt;=DATE(crono_ano_ref,5,1),Planos!$G201,Planos!$G201+CEILING((DATE(crono_ano_ref,5,1)-Planos!$G201)/Planos!$E201,1)*Planos!$E201))/Planos!$E201)+1)))</f>
      </c>
      <c r="K203" s="44">
        <f>IF(OR(Planos!$A201="",NOT(ISNUMBER(Planos!$G201)),N(Planos!$E201)&lt;=0),0,IF(Planos!$G201&gt;EOMONTH(DATE(crono_ano_ref,6,1),0),0,MAX(0,INT((EOMONTH(DATE(crono_ano_ref,6,1),0)-IF(Planos!$G201&gt;=DATE(crono_ano_ref,6,1),Planos!$G201,Planos!$G201+CEILING((DATE(crono_ano_ref,6,1)-Planos!$G201)/Planos!$E201,1)*Planos!$E201))/Planos!$E201)+1)))</f>
      </c>
      <c r="L203" s="44">
        <f>IF(OR(Planos!$A201="",NOT(ISNUMBER(Planos!$G201)),N(Planos!$E201)&lt;=0),0,IF(Planos!$G201&gt;EOMONTH(DATE(crono_ano_ref,7,1),0),0,MAX(0,INT((EOMONTH(DATE(crono_ano_ref,7,1),0)-IF(Planos!$G201&gt;=DATE(crono_ano_ref,7,1),Planos!$G201,Planos!$G201+CEILING((DATE(crono_ano_ref,7,1)-Planos!$G201)/Planos!$E201,1)*Planos!$E201))/Planos!$E201)+1)))</f>
      </c>
      <c r="M203" s="44">
        <f>IF(OR(Planos!$A201="",NOT(ISNUMBER(Planos!$G201)),N(Planos!$E201)&lt;=0),0,IF(Planos!$G201&gt;EOMONTH(DATE(crono_ano_ref,8,1),0),0,MAX(0,INT((EOMONTH(DATE(crono_ano_ref,8,1),0)-IF(Planos!$G201&gt;=DATE(crono_ano_ref,8,1),Planos!$G201,Planos!$G201+CEILING((DATE(crono_ano_ref,8,1)-Planos!$G201)/Planos!$E201,1)*Planos!$E201))/Planos!$E201)+1)))</f>
      </c>
      <c r="N203" s="44">
        <f>IF(OR(Planos!$A201="",NOT(ISNUMBER(Planos!$G201)),N(Planos!$E201)&lt;=0),0,IF(Planos!$G201&gt;EOMONTH(DATE(crono_ano_ref,9,1),0),0,MAX(0,INT((EOMONTH(DATE(crono_ano_ref,9,1),0)-IF(Planos!$G201&gt;=DATE(crono_ano_ref,9,1),Planos!$G201,Planos!$G201+CEILING((DATE(crono_ano_ref,9,1)-Planos!$G201)/Planos!$E201,1)*Planos!$E201))/Planos!$E201)+1)))</f>
      </c>
      <c r="O203" s="44">
        <f>IF(OR(Planos!$A201="",NOT(ISNUMBER(Planos!$G201)),N(Planos!$E201)&lt;=0),0,IF(Planos!$G201&gt;EOMONTH(DATE(crono_ano_ref,10,1),0),0,MAX(0,INT((EOMONTH(DATE(crono_ano_ref,10,1),0)-IF(Planos!$G201&gt;=DATE(crono_ano_ref,10,1),Planos!$G201,Planos!$G201+CEILING((DATE(crono_ano_ref,10,1)-Planos!$G201)/Planos!$E201,1)*Planos!$E201))/Planos!$E201)+1)))</f>
      </c>
      <c r="P203" s="44">
        <f>IF(OR(Planos!$A201="",NOT(ISNUMBER(Planos!$G201)),N(Planos!$E201)&lt;=0),0,IF(Planos!$G201&gt;EOMONTH(DATE(crono_ano_ref,11,1),0),0,MAX(0,INT((EOMONTH(DATE(crono_ano_ref,11,1),0)-IF(Planos!$G201&gt;=DATE(crono_ano_ref,11,1),Planos!$G201,Planos!$G201+CEILING((DATE(crono_ano_ref,11,1)-Planos!$G201)/Planos!$E201,1)*Planos!$E201))/Planos!$E201)+1)))</f>
      </c>
      <c r="Q203" s="44">
        <f>IF(OR(Planos!$A201="",NOT(ISNUMBER(Planos!$G201)),N(Planos!$E201)&lt;=0),0,IF(Planos!$G201&gt;EOMONTH(DATE(crono_ano_ref,12,1),0),0,MAX(0,INT((EOMONTH(DATE(crono_ano_ref,12,1),0)-IF(Planos!$G201&gt;=DATE(crono_ano_ref,12,1),Planos!$G201,Planos!$G201+CEILING((DATE(crono_ano_ref,12,1)-Planos!$G201)/Planos!$E201,1)*Planos!$E201))/Planos!$E201)+1)))</f>
      </c>
      <c r="R203" s="44">
        <f>SUM(F203:Q203)</f>
      </c>
    </row>
    <row r="204" spans="1:18" x14ac:dyDescent="0.25">
      <c r="A204" s="24">
        <f>IF(Planos!$A202="","",Planos!A202&amp;"")</f>
      </c>
      <c r="B204" s="41">
        <f>IF(Planos!$A202="","",Planos!B202&amp;"")</f>
      </c>
      <c r="C204" s="24">
        <f>IF(Planos!$A202="","",Planos!C202&amp;"")</f>
      </c>
      <c r="D204" s="42">
        <f>IF(Planos!$A202="","",N(Planos!E202))</f>
      </c>
      <c r="E204" s="43">
        <f>IF(Planos!$A202="","",N(Planos!K202))</f>
      </c>
      <c r="F204" s="44">
        <f>IF(OR(Planos!$A202="",NOT(ISNUMBER(Planos!$G202)),N(Planos!$E202)&lt;=0),0,IF(Planos!$G202&gt;EOMONTH(DATE(crono_ano_ref,1,1),0),0,MAX(0,INT((EOMONTH(DATE(crono_ano_ref,1,1),0)-IF(Planos!$G202&gt;=DATE(crono_ano_ref,1,1),Planos!$G202,Planos!$G202+CEILING((DATE(crono_ano_ref,1,1)-Planos!$G202)/Planos!$E202,1)*Planos!$E202))/Planos!$E202)+1)))</f>
      </c>
      <c r="G204" s="44">
        <f>IF(OR(Planos!$A202="",NOT(ISNUMBER(Planos!$G202)),N(Planos!$E202)&lt;=0),0,IF(Planos!$G202&gt;EOMONTH(DATE(crono_ano_ref,2,1),0),0,MAX(0,INT((EOMONTH(DATE(crono_ano_ref,2,1),0)-IF(Planos!$G202&gt;=DATE(crono_ano_ref,2,1),Planos!$G202,Planos!$G202+CEILING((DATE(crono_ano_ref,2,1)-Planos!$G202)/Planos!$E202,1)*Planos!$E202))/Planos!$E202)+1)))</f>
      </c>
      <c r="H204" s="44">
        <f>IF(OR(Planos!$A202="",NOT(ISNUMBER(Planos!$G202)),N(Planos!$E202)&lt;=0),0,IF(Planos!$G202&gt;EOMONTH(DATE(crono_ano_ref,3,1),0),0,MAX(0,INT((EOMONTH(DATE(crono_ano_ref,3,1),0)-IF(Planos!$G202&gt;=DATE(crono_ano_ref,3,1),Planos!$G202,Planos!$G202+CEILING((DATE(crono_ano_ref,3,1)-Planos!$G202)/Planos!$E202,1)*Planos!$E202))/Planos!$E202)+1)))</f>
      </c>
      <c r="I204" s="44">
        <f>IF(OR(Planos!$A202="",NOT(ISNUMBER(Planos!$G202)),N(Planos!$E202)&lt;=0),0,IF(Planos!$G202&gt;EOMONTH(DATE(crono_ano_ref,4,1),0),0,MAX(0,INT((EOMONTH(DATE(crono_ano_ref,4,1),0)-IF(Planos!$G202&gt;=DATE(crono_ano_ref,4,1),Planos!$G202,Planos!$G202+CEILING((DATE(crono_ano_ref,4,1)-Planos!$G202)/Planos!$E202,1)*Planos!$E202))/Planos!$E202)+1)))</f>
      </c>
      <c r="J204" s="44">
        <f>IF(OR(Planos!$A202="",NOT(ISNUMBER(Planos!$G202)),N(Planos!$E202)&lt;=0),0,IF(Planos!$G202&gt;EOMONTH(DATE(crono_ano_ref,5,1),0),0,MAX(0,INT((EOMONTH(DATE(crono_ano_ref,5,1),0)-IF(Planos!$G202&gt;=DATE(crono_ano_ref,5,1),Planos!$G202,Planos!$G202+CEILING((DATE(crono_ano_ref,5,1)-Planos!$G202)/Planos!$E202,1)*Planos!$E202))/Planos!$E202)+1)))</f>
      </c>
      <c r="K204" s="44">
        <f>IF(OR(Planos!$A202="",NOT(ISNUMBER(Planos!$G202)),N(Planos!$E202)&lt;=0),0,IF(Planos!$G202&gt;EOMONTH(DATE(crono_ano_ref,6,1),0),0,MAX(0,INT((EOMONTH(DATE(crono_ano_ref,6,1),0)-IF(Planos!$G202&gt;=DATE(crono_ano_ref,6,1),Planos!$G202,Planos!$G202+CEILING((DATE(crono_ano_ref,6,1)-Planos!$G202)/Planos!$E202,1)*Planos!$E202))/Planos!$E202)+1)))</f>
      </c>
      <c r="L204" s="44">
        <f>IF(OR(Planos!$A202="",NOT(ISNUMBER(Planos!$G202)),N(Planos!$E202)&lt;=0),0,IF(Planos!$G202&gt;EOMONTH(DATE(crono_ano_ref,7,1),0),0,MAX(0,INT((EOMONTH(DATE(crono_ano_ref,7,1),0)-IF(Planos!$G202&gt;=DATE(crono_ano_ref,7,1),Planos!$G202,Planos!$G202+CEILING((DATE(crono_ano_ref,7,1)-Planos!$G202)/Planos!$E202,1)*Planos!$E202))/Planos!$E202)+1)))</f>
      </c>
      <c r="M204" s="44">
        <f>IF(OR(Planos!$A202="",NOT(ISNUMBER(Planos!$G202)),N(Planos!$E202)&lt;=0),0,IF(Planos!$G202&gt;EOMONTH(DATE(crono_ano_ref,8,1),0),0,MAX(0,INT((EOMONTH(DATE(crono_ano_ref,8,1),0)-IF(Planos!$G202&gt;=DATE(crono_ano_ref,8,1),Planos!$G202,Planos!$G202+CEILING((DATE(crono_ano_ref,8,1)-Planos!$G202)/Planos!$E202,1)*Planos!$E202))/Planos!$E202)+1)))</f>
      </c>
      <c r="N204" s="44">
        <f>IF(OR(Planos!$A202="",NOT(ISNUMBER(Planos!$G202)),N(Planos!$E202)&lt;=0),0,IF(Planos!$G202&gt;EOMONTH(DATE(crono_ano_ref,9,1),0),0,MAX(0,INT((EOMONTH(DATE(crono_ano_ref,9,1),0)-IF(Planos!$G202&gt;=DATE(crono_ano_ref,9,1),Planos!$G202,Planos!$G202+CEILING((DATE(crono_ano_ref,9,1)-Planos!$G202)/Planos!$E202,1)*Planos!$E202))/Planos!$E202)+1)))</f>
      </c>
      <c r="O204" s="44">
        <f>IF(OR(Planos!$A202="",NOT(ISNUMBER(Planos!$G202)),N(Planos!$E202)&lt;=0),0,IF(Planos!$G202&gt;EOMONTH(DATE(crono_ano_ref,10,1),0),0,MAX(0,INT((EOMONTH(DATE(crono_ano_ref,10,1),0)-IF(Planos!$G202&gt;=DATE(crono_ano_ref,10,1),Planos!$G202,Planos!$G202+CEILING((DATE(crono_ano_ref,10,1)-Planos!$G202)/Planos!$E202,1)*Planos!$E202))/Planos!$E202)+1)))</f>
      </c>
      <c r="P204" s="44">
        <f>IF(OR(Planos!$A202="",NOT(ISNUMBER(Planos!$G202)),N(Planos!$E202)&lt;=0),0,IF(Planos!$G202&gt;EOMONTH(DATE(crono_ano_ref,11,1),0),0,MAX(0,INT((EOMONTH(DATE(crono_ano_ref,11,1),0)-IF(Planos!$G202&gt;=DATE(crono_ano_ref,11,1),Planos!$G202,Planos!$G202+CEILING((DATE(crono_ano_ref,11,1)-Planos!$G202)/Planos!$E202,1)*Planos!$E202))/Planos!$E202)+1)))</f>
      </c>
      <c r="Q204" s="44">
        <f>IF(OR(Planos!$A202="",NOT(ISNUMBER(Planos!$G202)),N(Planos!$E202)&lt;=0),0,IF(Planos!$G202&gt;EOMONTH(DATE(crono_ano_ref,12,1),0),0,MAX(0,INT((EOMONTH(DATE(crono_ano_ref,12,1),0)-IF(Planos!$G202&gt;=DATE(crono_ano_ref,12,1),Planos!$G202,Planos!$G202+CEILING((DATE(crono_ano_ref,12,1)-Planos!$G202)/Planos!$E202,1)*Planos!$E202))/Planos!$E202)+1)))</f>
      </c>
      <c r="R204" s="44">
        <f>SUM(F204:Q204)</f>
      </c>
    </row>
    <row r="205" spans="1:18" x14ac:dyDescent="0.25">
      <c r="A205" s="24">
        <f>IF(Planos!$A203="","",Planos!A203&amp;"")</f>
      </c>
      <c r="B205" s="41">
        <f>IF(Planos!$A203="","",Planos!B203&amp;"")</f>
      </c>
      <c r="C205" s="24">
        <f>IF(Planos!$A203="","",Planos!C203&amp;"")</f>
      </c>
      <c r="D205" s="42">
        <f>IF(Planos!$A203="","",N(Planos!E203))</f>
      </c>
      <c r="E205" s="43">
        <f>IF(Planos!$A203="","",N(Planos!K203))</f>
      </c>
      <c r="F205" s="44">
        <f>IF(OR(Planos!$A203="",NOT(ISNUMBER(Planos!$G203)),N(Planos!$E203)&lt;=0),0,IF(Planos!$G203&gt;EOMONTH(DATE(crono_ano_ref,1,1),0),0,MAX(0,INT((EOMONTH(DATE(crono_ano_ref,1,1),0)-IF(Planos!$G203&gt;=DATE(crono_ano_ref,1,1),Planos!$G203,Planos!$G203+CEILING((DATE(crono_ano_ref,1,1)-Planos!$G203)/Planos!$E203,1)*Planos!$E203))/Planos!$E203)+1)))</f>
      </c>
      <c r="G205" s="44">
        <f>IF(OR(Planos!$A203="",NOT(ISNUMBER(Planos!$G203)),N(Planos!$E203)&lt;=0),0,IF(Planos!$G203&gt;EOMONTH(DATE(crono_ano_ref,2,1),0),0,MAX(0,INT((EOMONTH(DATE(crono_ano_ref,2,1),0)-IF(Planos!$G203&gt;=DATE(crono_ano_ref,2,1),Planos!$G203,Planos!$G203+CEILING((DATE(crono_ano_ref,2,1)-Planos!$G203)/Planos!$E203,1)*Planos!$E203))/Planos!$E203)+1)))</f>
      </c>
      <c r="H205" s="44">
        <f>IF(OR(Planos!$A203="",NOT(ISNUMBER(Planos!$G203)),N(Planos!$E203)&lt;=0),0,IF(Planos!$G203&gt;EOMONTH(DATE(crono_ano_ref,3,1),0),0,MAX(0,INT((EOMONTH(DATE(crono_ano_ref,3,1),0)-IF(Planos!$G203&gt;=DATE(crono_ano_ref,3,1),Planos!$G203,Planos!$G203+CEILING((DATE(crono_ano_ref,3,1)-Planos!$G203)/Planos!$E203,1)*Planos!$E203))/Planos!$E203)+1)))</f>
      </c>
      <c r="I205" s="44">
        <f>IF(OR(Planos!$A203="",NOT(ISNUMBER(Planos!$G203)),N(Planos!$E203)&lt;=0),0,IF(Planos!$G203&gt;EOMONTH(DATE(crono_ano_ref,4,1),0),0,MAX(0,INT((EOMONTH(DATE(crono_ano_ref,4,1),0)-IF(Planos!$G203&gt;=DATE(crono_ano_ref,4,1),Planos!$G203,Planos!$G203+CEILING((DATE(crono_ano_ref,4,1)-Planos!$G203)/Planos!$E203,1)*Planos!$E203))/Planos!$E203)+1)))</f>
      </c>
      <c r="J205" s="44">
        <f>IF(OR(Planos!$A203="",NOT(ISNUMBER(Planos!$G203)),N(Planos!$E203)&lt;=0),0,IF(Planos!$G203&gt;EOMONTH(DATE(crono_ano_ref,5,1),0),0,MAX(0,INT((EOMONTH(DATE(crono_ano_ref,5,1),0)-IF(Planos!$G203&gt;=DATE(crono_ano_ref,5,1),Planos!$G203,Planos!$G203+CEILING((DATE(crono_ano_ref,5,1)-Planos!$G203)/Planos!$E203,1)*Planos!$E203))/Planos!$E203)+1)))</f>
      </c>
      <c r="K205" s="44">
        <f>IF(OR(Planos!$A203="",NOT(ISNUMBER(Planos!$G203)),N(Planos!$E203)&lt;=0),0,IF(Planos!$G203&gt;EOMONTH(DATE(crono_ano_ref,6,1),0),0,MAX(0,INT((EOMONTH(DATE(crono_ano_ref,6,1),0)-IF(Planos!$G203&gt;=DATE(crono_ano_ref,6,1),Planos!$G203,Planos!$G203+CEILING((DATE(crono_ano_ref,6,1)-Planos!$G203)/Planos!$E203,1)*Planos!$E203))/Planos!$E203)+1)))</f>
      </c>
      <c r="L205" s="44">
        <f>IF(OR(Planos!$A203="",NOT(ISNUMBER(Planos!$G203)),N(Planos!$E203)&lt;=0),0,IF(Planos!$G203&gt;EOMONTH(DATE(crono_ano_ref,7,1),0),0,MAX(0,INT((EOMONTH(DATE(crono_ano_ref,7,1),0)-IF(Planos!$G203&gt;=DATE(crono_ano_ref,7,1),Planos!$G203,Planos!$G203+CEILING((DATE(crono_ano_ref,7,1)-Planos!$G203)/Planos!$E203,1)*Planos!$E203))/Planos!$E203)+1)))</f>
      </c>
      <c r="M205" s="44">
        <f>IF(OR(Planos!$A203="",NOT(ISNUMBER(Planos!$G203)),N(Planos!$E203)&lt;=0),0,IF(Planos!$G203&gt;EOMONTH(DATE(crono_ano_ref,8,1),0),0,MAX(0,INT((EOMONTH(DATE(crono_ano_ref,8,1),0)-IF(Planos!$G203&gt;=DATE(crono_ano_ref,8,1),Planos!$G203,Planos!$G203+CEILING((DATE(crono_ano_ref,8,1)-Planos!$G203)/Planos!$E203,1)*Planos!$E203))/Planos!$E203)+1)))</f>
      </c>
      <c r="N205" s="44">
        <f>IF(OR(Planos!$A203="",NOT(ISNUMBER(Planos!$G203)),N(Planos!$E203)&lt;=0),0,IF(Planos!$G203&gt;EOMONTH(DATE(crono_ano_ref,9,1),0),0,MAX(0,INT((EOMONTH(DATE(crono_ano_ref,9,1),0)-IF(Planos!$G203&gt;=DATE(crono_ano_ref,9,1),Planos!$G203,Planos!$G203+CEILING((DATE(crono_ano_ref,9,1)-Planos!$G203)/Planos!$E203,1)*Planos!$E203))/Planos!$E203)+1)))</f>
      </c>
      <c r="O205" s="44">
        <f>IF(OR(Planos!$A203="",NOT(ISNUMBER(Planos!$G203)),N(Planos!$E203)&lt;=0),0,IF(Planos!$G203&gt;EOMONTH(DATE(crono_ano_ref,10,1),0),0,MAX(0,INT((EOMONTH(DATE(crono_ano_ref,10,1),0)-IF(Planos!$G203&gt;=DATE(crono_ano_ref,10,1),Planos!$G203,Planos!$G203+CEILING((DATE(crono_ano_ref,10,1)-Planos!$G203)/Planos!$E203,1)*Planos!$E203))/Planos!$E203)+1)))</f>
      </c>
      <c r="P205" s="44">
        <f>IF(OR(Planos!$A203="",NOT(ISNUMBER(Planos!$G203)),N(Planos!$E203)&lt;=0),0,IF(Planos!$G203&gt;EOMONTH(DATE(crono_ano_ref,11,1),0),0,MAX(0,INT((EOMONTH(DATE(crono_ano_ref,11,1),0)-IF(Planos!$G203&gt;=DATE(crono_ano_ref,11,1),Planos!$G203,Planos!$G203+CEILING((DATE(crono_ano_ref,11,1)-Planos!$G203)/Planos!$E203,1)*Planos!$E203))/Planos!$E203)+1)))</f>
      </c>
      <c r="Q205" s="44">
        <f>IF(OR(Planos!$A203="",NOT(ISNUMBER(Planos!$G203)),N(Planos!$E203)&lt;=0),0,IF(Planos!$G203&gt;EOMONTH(DATE(crono_ano_ref,12,1),0),0,MAX(0,INT((EOMONTH(DATE(crono_ano_ref,12,1),0)-IF(Planos!$G203&gt;=DATE(crono_ano_ref,12,1),Planos!$G203,Planos!$G203+CEILING((DATE(crono_ano_ref,12,1)-Planos!$G203)/Planos!$E203,1)*Planos!$E203))/Planos!$E203)+1)))</f>
      </c>
      <c r="R205" s="44">
        <f>SUM(F205:Q205)</f>
      </c>
    </row>
    <row r="206" spans="1:18" x14ac:dyDescent="0.25">
      <c r="A206" s="24">
        <f>IF(Planos!$A204="","",Planos!A204&amp;"")</f>
      </c>
      <c r="B206" s="41">
        <f>IF(Planos!$A204="","",Planos!B204&amp;"")</f>
      </c>
      <c r="C206" s="24">
        <f>IF(Planos!$A204="","",Planos!C204&amp;"")</f>
      </c>
      <c r="D206" s="42">
        <f>IF(Planos!$A204="","",N(Planos!E204))</f>
      </c>
      <c r="E206" s="43">
        <f>IF(Planos!$A204="","",N(Planos!K204))</f>
      </c>
      <c r="F206" s="44">
        <f>IF(OR(Planos!$A204="",NOT(ISNUMBER(Planos!$G204)),N(Planos!$E204)&lt;=0),0,IF(Planos!$G204&gt;EOMONTH(DATE(crono_ano_ref,1,1),0),0,MAX(0,INT((EOMONTH(DATE(crono_ano_ref,1,1),0)-IF(Planos!$G204&gt;=DATE(crono_ano_ref,1,1),Planos!$G204,Planos!$G204+CEILING((DATE(crono_ano_ref,1,1)-Planos!$G204)/Planos!$E204,1)*Planos!$E204))/Planos!$E204)+1)))</f>
      </c>
      <c r="G206" s="44">
        <f>IF(OR(Planos!$A204="",NOT(ISNUMBER(Planos!$G204)),N(Planos!$E204)&lt;=0),0,IF(Planos!$G204&gt;EOMONTH(DATE(crono_ano_ref,2,1),0),0,MAX(0,INT((EOMONTH(DATE(crono_ano_ref,2,1),0)-IF(Planos!$G204&gt;=DATE(crono_ano_ref,2,1),Planos!$G204,Planos!$G204+CEILING((DATE(crono_ano_ref,2,1)-Planos!$G204)/Planos!$E204,1)*Planos!$E204))/Planos!$E204)+1)))</f>
      </c>
      <c r="H206" s="44">
        <f>IF(OR(Planos!$A204="",NOT(ISNUMBER(Planos!$G204)),N(Planos!$E204)&lt;=0),0,IF(Planos!$G204&gt;EOMONTH(DATE(crono_ano_ref,3,1),0),0,MAX(0,INT((EOMONTH(DATE(crono_ano_ref,3,1),0)-IF(Planos!$G204&gt;=DATE(crono_ano_ref,3,1),Planos!$G204,Planos!$G204+CEILING((DATE(crono_ano_ref,3,1)-Planos!$G204)/Planos!$E204,1)*Planos!$E204))/Planos!$E204)+1)))</f>
      </c>
      <c r="I206" s="44">
        <f>IF(OR(Planos!$A204="",NOT(ISNUMBER(Planos!$G204)),N(Planos!$E204)&lt;=0),0,IF(Planos!$G204&gt;EOMONTH(DATE(crono_ano_ref,4,1),0),0,MAX(0,INT((EOMONTH(DATE(crono_ano_ref,4,1),0)-IF(Planos!$G204&gt;=DATE(crono_ano_ref,4,1),Planos!$G204,Planos!$G204+CEILING((DATE(crono_ano_ref,4,1)-Planos!$G204)/Planos!$E204,1)*Planos!$E204))/Planos!$E204)+1)))</f>
      </c>
      <c r="J206" s="44">
        <f>IF(OR(Planos!$A204="",NOT(ISNUMBER(Planos!$G204)),N(Planos!$E204)&lt;=0),0,IF(Planos!$G204&gt;EOMONTH(DATE(crono_ano_ref,5,1),0),0,MAX(0,INT((EOMONTH(DATE(crono_ano_ref,5,1),0)-IF(Planos!$G204&gt;=DATE(crono_ano_ref,5,1),Planos!$G204,Planos!$G204+CEILING((DATE(crono_ano_ref,5,1)-Planos!$G204)/Planos!$E204,1)*Planos!$E204))/Planos!$E204)+1)))</f>
      </c>
      <c r="K206" s="44">
        <f>IF(OR(Planos!$A204="",NOT(ISNUMBER(Planos!$G204)),N(Planos!$E204)&lt;=0),0,IF(Planos!$G204&gt;EOMONTH(DATE(crono_ano_ref,6,1),0),0,MAX(0,INT((EOMONTH(DATE(crono_ano_ref,6,1),0)-IF(Planos!$G204&gt;=DATE(crono_ano_ref,6,1),Planos!$G204,Planos!$G204+CEILING((DATE(crono_ano_ref,6,1)-Planos!$G204)/Planos!$E204,1)*Planos!$E204))/Planos!$E204)+1)))</f>
      </c>
      <c r="L206" s="44">
        <f>IF(OR(Planos!$A204="",NOT(ISNUMBER(Planos!$G204)),N(Planos!$E204)&lt;=0),0,IF(Planos!$G204&gt;EOMONTH(DATE(crono_ano_ref,7,1),0),0,MAX(0,INT((EOMONTH(DATE(crono_ano_ref,7,1),0)-IF(Planos!$G204&gt;=DATE(crono_ano_ref,7,1),Planos!$G204,Planos!$G204+CEILING((DATE(crono_ano_ref,7,1)-Planos!$G204)/Planos!$E204,1)*Planos!$E204))/Planos!$E204)+1)))</f>
      </c>
      <c r="M206" s="44">
        <f>IF(OR(Planos!$A204="",NOT(ISNUMBER(Planos!$G204)),N(Planos!$E204)&lt;=0),0,IF(Planos!$G204&gt;EOMONTH(DATE(crono_ano_ref,8,1),0),0,MAX(0,INT((EOMONTH(DATE(crono_ano_ref,8,1),0)-IF(Planos!$G204&gt;=DATE(crono_ano_ref,8,1),Planos!$G204,Planos!$G204+CEILING((DATE(crono_ano_ref,8,1)-Planos!$G204)/Planos!$E204,1)*Planos!$E204))/Planos!$E204)+1)))</f>
      </c>
      <c r="N206" s="44">
        <f>IF(OR(Planos!$A204="",NOT(ISNUMBER(Planos!$G204)),N(Planos!$E204)&lt;=0),0,IF(Planos!$G204&gt;EOMONTH(DATE(crono_ano_ref,9,1),0),0,MAX(0,INT((EOMONTH(DATE(crono_ano_ref,9,1),0)-IF(Planos!$G204&gt;=DATE(crono_ano_ref,9,1),Planos!$G204,Planos!$G204+CEILING((DATE(crono_ano_ref,9,1)-Planos!$G204)/Planos!$E204,1)*Planos!$E204))/Planos!$E204)+1)))</f>
      </c>
      <c r="O206" s="44">
        <f>IF(OR(Planos!$A204="",NOT(ISNUMBER(Planos!$G204)),N(Planos!$E204)&lt;=0),0,IF(Planos!$G204&gt;EOMONTH(DATE(crono_ano_ref,10,1),0),0,MAX(0,INT((EOMONTH(DATE(crono_ano_ref,10,1),0)-IF(Planos!$G204&gt;=DATE(crono_ano_ref,10,1),Planos!$G204,Planos!$G204+CEILING((DATE(crono_ano_ref,10,1)-Planos!$G204)/Planos!$E204,1)*Planos!$E204))/Planos!$E204)+1)))</f>
      </c>
      <c r="P206" s="44">
        <f>IF(OR(Planos!$A204="",NOT(ISNUMBER(Planos!$G204)),N(Planos!$E204)&lt;=0),0,IF(Planos!$G204&gt;EOMONTH(DATE(crono_ano_ref,11,1),0),0,MAX(0,INT((EOMONTH(DATE(crono_ano_ref,11,1),0)-IF(Planos!$G204&gt;=DATE(crono_ano_ref,11,1),Planos!$G204,Planos!$G204+CEILING((DATE(crono_ano_ref,11,1)-Planos!$G204)/Planos!$E204,1)*Planos!$E204))/Planos!$E204)+1)))</f>
      </c>
      <c r="Q206" s="44">
        <f>IF(OR(Planos!$A204="",NOT(ISNUMBER(Planos!$G204)),N(Planos!$E204)&lt;=0),0,IF(Planos!$G204&gt;EOMONTH(DATE(crono_ano_ref,12,1),0),0,MAX(0,INT((EOMONTH(DATE(crono_ano_ref,12,1),0)-IF(Planos!$G204&gt;=DATE(crono_ano_ref,12,1),Planos!$G204,Planos!$G204+CEILING((DATE(crono_ano_ref,12,1)-Planos!$G204)/Planos!$E204,1)*Planos!$E204))/Planos!$E204)+1)))</f>
      </c>
      <c r="R206" s="44">
        <f>SUM(F206:Q206)</f>
      </c>
    </row>
    <row r="207" spans="1:18" x14ac:dyDescent="0.25">
      <c r="A207" s="24">
        <f>IF(Planos!$A205="","",Planos!A205&amp;"")</f>
      </c>
      <c r="B207" s="41">
        <f>IF(Planos!$A205="","",Planos!B205&amp;"")</f>
      </c>
      <c r="C207" s="24">
        <f>IF(Planos!$A205="","",Planos!C205&amp;"")</f>
      </c>
      <c r="D207" s="42">
        <f>IF(Planos!$A205="","",N(Planos!E205))</f>
      </c>
      <c r="E207" s="43">
        <f>IF(Planos!$A205="","",N(Planos!K205))</f>
      </c>
      <c r="F207" s="44">
        <f>IF(OR(Planos!$A205="",NOT(ISNUMBER(Planos!$G205)),N(Planos!$E205)&lt;=0),0,IF(Planos!$G205&gt;EOMONTH(DATE(crono_ano_ref,1,1),0),0,MAX(0,INT((EOMONTH(DATE(crono_ano_ref,1,1),0)-IF(Planos!$G205&gt;=DATE(crono_ano_ref,1,1),Planos!$G205,Planos!$G205+CEILING((DATE(crono_ano_ref,1,1)-Planos!$G205)/Planos!$E205,1)*Planos!$E205))/Planos!$E205)+1)))</f>
      </c>
      <c r="G207" s="44">
        <f>IF(OR(Planos!$A205="",NOT(ISNUMBER(Planos!$G205)),N(Planos!$E205)&lt;=0),0,IF(Planos!$G205&gt;EOMONTH(DATE(crono_ano_ref,2,1),0),0,MAX(0,INT((EOMONTH(DATE(crono_ano_ref,2,1),0)-IF(Planos!$G205&gt;=DATE(crono_ano_ref,2,1),Planos!$G205,Planos!$G205+CEILING((DATE(crono_ano_ref,2,1)-Planos!$G205)/Planos!$E205,1)*Planos!$E205))/Planos!$E205)+1)))</f>
      </c>
      <c r="H207" s="44">
        <f>IF(OR(Planos!$A205="",NOT(ISNUMBER(Planos!$G205)),N(Planos!$E205)&lt;=0),0,IF(Planos!$G205&gt;EOMONTH(DATE(crono_ano_ref,3,1),0),0,MAX(0,INT((EOMONTH(DATE(crono_ano_ref,3,1),0)-IF(Planos!$G205&gt;=DATE(crono_ano_ref,3,1),Planos!$G205,Planos!$G205+CEILING((DATE(crono_ano_ref,3,1)-Planos!$G205)/Planos!$E205,1)*Planos!$E205))/Planos!$E205)+1)))</f>
      </c>
      <c r="I207" s="44">
        <f>IF(OR(Planos!$A205="",NOT(ISNUMBER(Planos!$G205)),N(Planos!$E205)&lt;=0),0,IF(Planos!$G205&gt;EOMONTH(DATE(crono_ano_ref,4,1),0),0,MAX(0,INT((EOMONTH(DATE(crono_ano_ref,4,1),0)-IF(Planos!$G205&gt;=DATE(crono_ano_ref,4,1),Planos!$G205,Planos!$G205+CEILING((DATE(crono_ano_ref,4,1)-Planos!$G205)/Planos!$E205,1)*Planos!$E205))/Planos!$E205)+1)))</f>
      </c>
      <c r="J207" s="44">
        <f>IF(OR(Planos!$A205="",NOT(ISNUMBER(Planos!$G205)),N(Planos!$E205)&lt;=0),0,IF(Planos!$G205&gt;EOMONTH(DATE(crono_ano_ref,5,1),0),0,MAX(0,INT((EOMONTH(DATE(crono_ano_ref,5,1),0)-IF(Planos!$G205&gt;=DATE(crono_ano_ref,5,1),Planos!$G205,Planos!$G205+CEILING((DATE(crono_ano_ref,5,1)-Planos!$G205)/Planos!$E205,1)*Planos!$E205))/Planos!$E205)+1)))</f>
      </c>
      <c r="K207" s="44">
        <f>IF(OR(Planos!$A205="",NOT(ISNUMBER(Planos!$G205)),N(Planos!$E205)&lt;=0),0,IF(Planos!$G205&gt;EOMONTH(DATE(crono_ano_ref,6,1),0),0,MAX(0,INT((EOMONTH(DATE(crono_ano_ref,6,1),0)-IF(Planos!$G205&gt;=DATE(crono_ano_ref,6,1),Planos!$G205,Planos!$G205+CEILING((DATE(crono_ano_ref,6,1)-Planos!$G205)/Planos!$E205,1)*Planos!$E205))/Planos!$E205)+1)))</f>
      </c>
      <c r="L207" s="44">
        <f>IF(OR(Planos!$A205="",NOT(ISNUMBER(Planos!$G205)),N(Planos!$E205)&lt;=0),0,IF(Planos!$G205&gt;EOMONTH(DATE(crono_ano_ref,7,1),0),0,MAX(0,INT((EOMONTH(DATE(crono_ano_ref,7,1),0)-IF(Planos!$G205&gt;=DATE(crono_ano_ref,7,1),Planos!$G205,Planos!$G205+CEILING((DATE(crono_ano_ref,7,1)-Planos!$G205)/Planos!$E205,1)*Planos!$E205))/Planos!$E205)+1)))</f>
      </c>
      <c r="M207" s="44">
        <f>IF(OR(Planos!$A205="",NOT(ISNUMBER(Planos!$G205)),N(Planos!$E205)&lt;=0),0,IF(Planos!$G205&gt;EOMONTH(DATE(crono_ano_ref,8,1),0),0,MAX(0,INT((EOMONTH(DATE(crono_ano_ref,8,1),0)-IF(Planos!$G205&gt;=DATE(crono_ano_ref,8,1),Planos!$G205,Planos!$G205+CEILING((DATE(crono_ano_ref,8,1)-Planos!$G205)/Planos!$E205,1)*Planos!$E205))/Planos!$E205)+1)))</f>
      </c>
      <c r="N207" s="44">
        <f>IF(OR(Planos!$A205="",NOT(ISNUMBER(Planos!$G205)),N(Planos!$E205)&lt;=0),0,IF(Planos!$G205&gt;EOMONTH(DATE(crono_ano_ref,9,1),0),0,MAX(0,INT((EOMONTH(DATE(crono_ano_ref,9,1),0)-IF(Planos!$G205&gt;=DATE(crono_ano_ref,9,1),Planos!$G205,Planos!$G205+CEILING((DATE(crono_ano_ref,9,1)-Planos!$G205)/Planos!$E205,1)*Planos!$E205))/Planos!$E205)+1)))</f>
      </c>
      <c r="O207" s="44">
        <f>IF(OR(Planos!$A205="",NOT(ISNUMBER(Planos!$G205)),N(Planos!$E205)&lt;=0),0,IF(Planos!$G205&gt;EOMONTH(DATE(crono_ano_ref,10,1),0),0,MAX(0,INT((EOMONTH(DATE(crono_ano_ref,10,1),0)-IF(Planos!$G205&gt;=DATE(crono_ano_ref,10,1),Planos!$G205,Planos!$G205+CEILING((DATE(crono_ano_ref,10,1)-Planos!$G205)/Planos!$E205,1)*Planos!$E205))/Planos!$E205)+1)))</f>
      </c>
      <c r="P207" s="44">
        <f>IF(OR(Planos!$A205="",NOT(ISNUMBER(Planos!$G205)),N(Planos!$E205)&lt;=0),0,IF(Planos!$G205&gt;EOMONTH(DATE(crono_ano_ref,11,1),0),0,MAX(0,INT((EOMONTH(DATE(crono_ano_ref,11,1),0)-IF(Planos!$G205&gt;=DATE(crono_ano_ref,11,1),Planos!$G205,Planos!$G205+CEILING((DATE(crono_ano_ref,11,1)-Planos!$G205)/Planos!$E205,1)*Planos!$E205))/Planos!$E205)+1)))</f>
      </c>
      <c r="Q207" s="44">
        <f>IF(OR(Planos!$A205="",NOT(ISNUMBER(Planos!$G205)),N(Planos!$E205)&lt;=0),0,IF(Planos!$G205&gt;EOMONTH(DATE(crono_ano_ref,12,1),0),0,MAX(0,INT((EOMONTH(DATE(crono_ano_ref,12,1),0)-IF(Planos!$G205&gt;=DATE(crono_ano_ref,12,1),Planos!$G205,Planos!$G205+CEILING((DATE(crono_ano_ref,12,1)-Planos!$G205)/Planos!$E205,1)*Planos!$E205))/Planos!$E205)+1)))</f>
      </c>
      <c r="R207" s="44">
        <f>SUM(F207:Q207)</f>
      </c>
    </row>
    <row r="208" spans="1:18" x14ac:dyDescent="0.25">
      <c r="A208" s="24">
        <f>IF(Planos!$A206="","",Planos!A206&amp;"")</f>
      </c>
      <c r="B208" s="41">
        <f>IF(Planos!$A206="","",Planos!B206&amp;"")</f>
      </c>
      <c r="C208" s="24">
        <f>IF(Planos!$A206="","",Planos!C206&amp;"")</f>
      </c>
      <c r="D208" s="42">
        <f>IF(Planos!$A206="","",N(Planos!E206))</f>
      </c>
      <c r="E208" s="43">
        <f>IF(Planos!$A206="","",N(Planos!K206))</f>
      </c>
      <c r="F208" s="44">
        <f>IF(OR(Planos!$A206="",NOT(ISNUMBER(Planos!$G206)),N(Planos!$E206)&lt;=0),0,IF(Planos!$G206&gt;EOMONTH(DATE(crono_ano_ref,1,1),0),0,MAX(0,INT((EOMONTH(DATE(crono_ano_ref,1,1),0)-IF(Planos!$G206&gt;=DATE(crono_ano_ref,1,1),Planos!$G206,Planos!$G206+CEILING((DATE(crono_ano_ref,1,1)-Planos!$G206)/Planos!$E206,1)*Planos!$E206))/Planos!$E206)+1)))</f>
      </c>
      <c r="G208" s="44">
        <f>IF(OR(Planos!$A206="",NOT(ISNUMBER(Planos!$G206)),N(Planos!$E206)&lt;=0),0,IF(Planos!$G206&gt;EOMONTH(DATE(crono_ano_ref,2,1),0),0,MAX(0,INT((EOMONTH(DATE(crono_ano_ref,2,1),0)-IF(Planos!$G206&gt;=DATE(crono_ano_ref,2,1),Planos!$G206,Planos!$G206+CEILING((DATE(crono_ano_ref,2,1)-Planos!$G206)/Planos!$E206,1)*Planos!$E206))/Planos!$E206)+1)))</f>
      </c>
      <c r="H208" s="44">
        <f>IF(OR(Planos!$A206="",NOT(ISNUMBER(Planos!$G206)),N(Planos!$E206)&lt;=0),0,IF(Planos!$G206&gt;EOMONTH(DATE(crono_ano_ref,3,1),0),0,MAX(0,INT((EOMONTH(DATE(crono_ano_ref,3,1),0)-IF(Planos!$G206&gt;=DATE(crono_ano_ref,3,1),Planos!$G206,Planos!$G206+CEILING((DATE(crono_ano_ref,3,1)-Planos!$G206)/Planos!$E206,1)*Planos!$E206))/Planos!$E206)+1)))</f>
      </c>
      <c r="I208" s="44">
        <f>IF(OR(Planos!$A206="",NOT(ISNUMBER(Planos!$G206)),N(Planos!$E206)&lt;=0),0,IF(Planos!$G206&gt;EOMONTH(DATE(crono_ano_ref,4,1),0),0,MAX(0,INT((EOMONTH(DATE(crono_ano_ref,4,1),0)-IF(Planos!$G206&gt;=DATE(crono_ano_ref,4,1),Planos!$G206,Planos!$G206+CEILING((DATE(crono_ano_ref,4,1)-Planos!$G206)/Planos!$E206,1)*Planos!$E206))/Planos!$E206)+1)))</f>
      </c>
      <c r="J208" s="44">
        <f>IF(OR(Planos!$A206="",NOT(ISNUMBER(Planos!$G206)),N(Planos!$E206)&lt;=0),0,IF(Planos!$G206&gt;EOMONTH(DATE(crono_ano_ref,5,1),0),0,MAX(0,INT((EOMONTH(DATE(crono_ano_ref,5,1),0)-IF(Planos!$G206&gt;=DATE(crono_ano_ref,5,1),Planos!$G206,Planos!$G206+CEILING((DATE(crono_ano_ref,5,1)-Planos!$G206)/Planos!$E206,1)*Planos!$E206))/Planos!$E206)+1)))</f>
      </c>
      <c r="K208" s="44">
        <f>IF(OR(Planos!$A206="",NOT(ISNUMBER(Planos!$G206)),N(Planos!$E206)&lt;=0),0,IF(Planos!$G206&gt;EOMONTH(DATE(crono_ano_ref,6,1),0),0,MAX(0,INT((EOMONTH(DATE(crono_ano_ref,6,1),0)-IF(Planos!$G206&gt;=DATE(crono_ano_ref,6,1),Planos!$G206,Planos!$G206+CEILING((DATE(crono_ano_ref,6,1)-Planos!$G206)/Planos!$E206,1)*Planos!$E206))/Planos!$E206)+1)))</f>
      </c>
      <c r="L208" s="44">
        <f>IF(OR(Planos!$A206="",NOT(ISNUMBER(Planos!$G206)),N(Planos!$E206)&lt;=0),0,IF(Planos!$G206&gt;EOMONTH(DATE(crono_ano_ref,7,1),0),0,MAX(0,INT((EOMONTH(DATE(crono_ano_ref,7,1),0)-IF(Planos!$G206&gt;=DATE(crono_ano_ref,7,1),Planos!$G206,Planos!$G206+CEILING((DATE(crono_ano_ref,7,1)-Planos!$G206)/Planos!$E206,1)*Planos!$E206))/Planos!$E206)+1)))</f>
      </c>
      <c r="M208" s="44">
        <f>IF(OR(Planos!$A206="",NOT(ISNUMBER(Planos!$G206)),N(Planos!$E206)&lt;=0),0,IF(Planos!$G206&gt;EOMONTH(DATE(crono_ano_ref,8,1),0),0,MAX(0,INT((EOMONTH(DATE(crono_ano_ref,8,1),0)-IF(Planos!$G206&gt;=DATE(crono_ano_ref,8,1),Planos!$G206,Planos!$G206+CEILING((DATE(crono_ano_ref,8,1)-Planos!$G206)/Planos!$E206,1)*Planos!$E206))/Planos!$E206)+1)))</f>
      </c>
      <c r="N208" s="44">
        <f>IF(OR(Planos!$A206="",NOT(ISNUMBER(Planos!$G206)),N(Planos!$E206)&lt;=0),0,IF(Planos!$G206&gt;EOMONTH(DATE(crono_ano_ref,9,1),0),0,MAX(0,INT((EOMONTH(DATE(crono_ano_ref,9,1),0)-IF(Planos!$G206&gt;=DATE(crono_ano_ref,9,1),Planos!$G206,Planos!$G206+CEILING((DATE(crono_ano_ref,9,1)-Planos!$G206)/Planos!$E206,1)*Planos!$E206))/Planos!$E206)+1)))</f>
      </c>
      <c r="O208" s="44">
        <f>IF(OR(Planos!$A206="",NOT(ISNUMBER(Planos!$G206)),N(Planos!$E206)&lt;=0),0,IF(Planos!$G206&gt;EOMONTH(DATE(crono_ano_ref,10,1),0),0,MAX(0,INT((EOMONTH(DATE(crono_ano_ref,10,1),0)-IF(Planos!$G206&gt;=DATE(crono_ano_ref,10,1),Planos!$G206,Planos!$G206+CEILING((DATE(crono_ano_ref,10,1)-Planos!$G206)/Planos!$E206,1)*Planos!$E206))/Planos!$E206)+1)))</f>
      </c>
      <c r="P208" s="44">
        <f>IF(OR(Planos!$A206="",NOT(ISNUMBER(Planos!$G206)),N(Planos!$E206)&lt;=0),0,IF(Planos!$G206&gt;EOMONTH(DATE(crono_ano_ref,11,1),0),0,MAX(0,INT((EOMONTH(DATE(crono_ano_ref,11,1),0)-IF(Planos!$G206&gt;=DATE(crono_ano_ref,11,1),Planos!$G206,Planos!$G206+CEILING((DATE(crono_ano_ref,11,1)-Planos!$G206)/Planos!$E206,1)*Planos!$E206))/Planos!$E206)+1)))</f>
      </c>
      <c r="Q208" s="44">
        <f>IF(OR(Planos!$A206="",NOT(ISNUMBER(Planos!$G206)),N(Planos!$E206)&lt;=0),0,IF(Planos!$G206&gt;EOMONTH(DATE(crono_ano_ref,12,1),0),0,MAX(0,INT((EOMONTH(DATE(crono_ano_ref,12,1),0)-IF(Planos!$G206&gt;=DATE(crono_ano_ref,12,1),Planos!$G206,Planos!$G206+CEILING((DATE(crono_ano_ref,12,1)-Planos!$G206)/Planos!$E206,1)*Planos!$E206))/Planos!$E206)+1)))</f>
      </c>
      <c r="R208" s="44">
        <f>SUM(F208:Q208)</f>
      </c>
    </row>
    <row r="209" spans="1:18" x14ac:dyDescent="0.25">
      <c r="A209" s="24">
        <f>IF(Planos!$A207="","",Planos!A207&amp;"")</f>
      </c>
      <c r="B209" s="41">
        <f>IF(Planos!$A207="","",Planos!B207&amp;"")</f>
      </c>
      <c r="C209" s="24">
        <f>IF(Planos!$A207="","",Planos!C207&amp;"")</f>
      </c>
      <c r="D209" s="42">
        <f>IF(Planos!$A207="","",N(Planos!E207))</f>
      </c>
      <c r="E209" s="43">
        <f>IF(Planos!$A207="","",N(Planos!K207))</f>
      </c>
      <c r="F209" s="44">
        <f>IF(OR(Planos!$A207="",NOT(ISNUMBER(Planos!$G207)),N(Planos!$E207)&lt;=0),0,IF(Planos!$G207&gt;EOMONTH(DATE(crono_ano_ref,1,1),0),0,MAX(0,INT((EOMONTH(DATE(crono_ano_ref,1,1),0)-IF(Planos!$G207&gt;=DATE(crono_ano_ref,1,1),Planos!$G207,Planos!$G207+CEILING((DATE(crono_ano_ref,1,1)-Planos!$G207)/Planos!$E207,1)*Planos!$E207))/Planos!$E207)+1)))</f>
      </c>
      <c r="G209" s="44">
        <f>IF(OR(Planos!$A207="",NOT(ISNUMBER(Planos!$G207)),N(Planos!$E207)&lt;=0),0,IF(Planos!$G207&gt;EOMONTH(DATE(crono_ano_ref,2,1),0),0,MAX(0,INT((EOMONTH(DATE(crono_ano_ref,2,1),0)-IF(Planos!$G207&gt;=DATE(crono_ano_ref,2,1),Planos!$G207,Planos!$G207+CEILING((DATE(crono_ano_ref,2,1)-Planos!$G207)/Planos!$E207,1)*Planos!$E207))/Planos!$E207)+1)))</f>
      </c>
      <c r="H209" s="44">
        <f>IF(OR(Planos!$A207="",NOT(ISNUMBER(Planos!$G207)),N(Planos!$E207)&lt;=0),0,IF(Planos!$G207&gt;EOMONTH(DATE(crono_ano_ref,3,1),0),0,MAX(0,INT((EOMONTH(DATE(crono_ano_ref,3,1),0)-IF(Planos!$G207&gt;=DATE(crono_ano_ref,3,1),Planos!$G207,Planos!$G207+CEILING((DATE(crono_ano_ref,3,1)-Planos!$G207)/Planos!$E207,1)*Planos!$E207))/Planos!$E207)+1)))</f>
      </c>
      <c r="I209" s="44">
        <f>IF(OR(Planos!$A207="",NOT(ISNUMBER(Planos!$G207)),N(Planos!$E207)&lt;=0),0,IF(Planos!$G207&gt;EOMONTH(DATE(crono_ano_ref,4,1),0),0,MAX(0,INT((EOMONTH(DATE(crono_ano_ref,4,1),0)-IF(Planos!$G207&gt;=DATE(crono_ano_ref,4,1),Planos!$G207,Planos!$G207+CEILING((DATE(crono_ano_ref,4,1)-Planos!$G207)/Planos!$E207,1)*Planos!$E207))/Planos!$E207)+1)))</f>
      </c>
      <c r="J209" s="44">
        <f>IF(OR(Planos!$A207="",NOT(ISNUMBER(Planos!$G207)),N(Planos!$E207)&lt;=0),0,IF(Planos!$G207&gt;EOMONTH(DATE(crono_ano_ref,5,1),0),0,MAX(0,INT((EOMONTH(DATE(crono_ano_ref,5,1),0)-IF(Planos!$G207&gt;=DATE(crono_ano_ref,5,1),Planos!$G207,Planos!$G207+CEILING((DATE(crono_ano_ref,5,1)-Planos!$G207)/Planos!$E207,1)*Planos!$E207))/Planos!$E207)+1)))</f>
      </c>
      <c r="K209" s="44">
        <f>IF(OR(Planos!$A207="",NOT(ISNUMBER(Planos!$G207)),N(Planos!$E207)&lt;=0),0,IF(Planos!$G207&gt;EOMONTH(DATE(crono_ano_ref,6,1),0),0,MAX(0,INT((EOMONTH(DATE(crono_ano_ref,6,1),0)-IF(Planos!$G207&gt;=DATE(crono_ano_ref,6,1),Planos!$G207,Planos!$G207+CEILING((DATE(crono_ano_ref,6,1)-Planos!$G207)/Planos!$E207,1)*Planos!$E207))/Planos!$E207)+1)))</f>
      </c>
      <c r="L209" s="44">
        <f>IF(OR(Planos!$A207="",NOT(ISNUMBER(Planos!$G207)),N(Planos!$E207)&lt;=0),0,IF(Planos!$G207&gt;EOMONTH(DATE(crono_ano_ref,7,1),0),0,MAX(0,INT((EOMONTH(DATE(crono_ano_ref,7,1),0)-IF(Planos!$G207&gt;=DATE(crono_ano_ref,7,1),Planos!$G207,Planos!$G207+CEILING((DATE(crono_ano_ref,7,1)-Planos!$G207)/Planos!$E207,1)*Planos!$E207))/Planos!$E207)+1)))</f>
      </c>
      <c r="M209" s="44">
        <f>IF(OR(Planos!$A207="",NOT(ISNUMBER(Planos!$G207)),N(Planos!$E207)&lt;=0),0,IF(Planos!$G207&gt;EOMONTH(DATE(crono_ano_ref,8,1),0),0,MAX(0,INT((EOMONTH(DATE(crono_ano_ref,8,1),0)-IF(Planos!$G207&gt;=DATE(crono_ano_ref,8,1),Planos!$G207,Planos!$G207+CEILING((DATE(crono_ano_ref,8,1)-Planos!$G207)/Planos!$E207,1)*Planos!$E207))/Planos!$E207)+1)))</f>
      </c>
      <c r="N209" s="44">
        <f>IF(OR(Planos!$A207="",NOT(ISNUMBER(Planos!$G207)),N(Planos!$E207)&lt;=0),0,IF(Planos!$G207&gt;EOMONTH(DATE(crono_ano_ref,9,1),0),0,MAX(0,INT((EOMONTH(DATE(crono_ano_ref,9,1),0)-IF(Planos!$G207&gt;=DATE(crono_ano_ref,9,1),Planos!$G207,Planos!$G207+CEILING((DATE(crono_ano_ref,9,1)-Planos!$G207)/Planos!$E207,1)*Planos!$E207))/Planos!$E207)+1)))</f>
      </c>
      <c r="O209" s="44">
        <f>IF(OR(Planos!$A207="",NOT(ISNUMBER(Planos!$G207)),N(Planos!$E207)&lt;=0),0,IF(Planos!$G207&gt;EOMONTH(DATE(crono_ano_ref,10,1),0),0,MAX(0,INT((EOMONTH(DATE(crono_ano_ref,10,1),0)-IF(Planos!$G207&gt;=DATE(crono_ano_ref,10,1),Planos!$G207,Planos!$G207+CEILING((DATE(crono_ano_ref,10,1)-Planos!$G207)/Planos!$E207,1)*Planos!$E207))/Planos!$E207)+1)))</f>
      </c>
      <c r="P209" s="44">
        <f>IF(OR(Planos!$A207="",NOT(ISNUMBER(Planos!$G207)),N(Planos!$E207)&lt;=0),0,IF(Planos!$G207&gt;EOMONTH(DATE(crono_ano_ref,11,1),0),0,MAX(0,INT((EOMONTH(DATE(crono_ano_ref,11,1),0)-IF(Planos!$G207&gt;=DATE(crono_ano_ref,11,1),Planos!$G207,Planos!$G207+CEILING((DATE(crono_ano_ref,11,1)-Planos!$G207)/Planos!$E207,1)*Planos!$E207))/Planos!$E207)+1)))</f>
      </c>
      <c r="Q209" s="44">
        <f>IF(OR(Planos!$A207="",NOT(ISNUMBER(Planos!$G207)),N(Planos!$E207)&lt;=0),0,IF(Planos!$G207&gt;EOMONTH(DATE(crono_ano_ref,12,1),0),0,MAX(0,INT((EOMONTH(DATE(crono_ano_ref,12,1),0)-IF(Planos!$G207&gt;=DATE(crono_ano_ref,12,1),Planos!$G207,Planos!$G207+CEILING((DATE(crono_ano_ref,12,1)-Planos!$G207)/Planos!$E207,1)*Planos!$E207))/Planos!$E207)+1)))</f>
      </c>
      <c r="R209" s="44">
        <f>SUM(F209:Q209)</f>
      </c>
    </row>
    <row r="210" spans="1:18" x14ac:dyDescent="0.25">
      <c r="A210" s="24">
        <f>IF(Planos!$A208="","",Planos!A208&amp;"")</f>
      </c>
      <c r="B210" s="41">
        <f>IF(Planos!$A208="","",Planos!B208&amp;"")</f>
      </c>
      <c r="C210" s="24">
        <f>IF(Planos!$A208="","",Planos!C208&amp;"")</f>
      </c>
      <c r="D210" s="42">
        <f>IF(Planos!$A208="","",N(Planos!E208))</f>
      </c>
      <c r="E210" s="43">
        <f>IF(Planos!$A208="","",N(Planos!K208))</f>
      </c>
      <c r="F210" s="44">
        <f>IF(OR(Planos!$A208="",NOT(ISNUMBER(Planos!$G208)),N(Planos!$E208)&lt;=0),0,IF(Planos!$G208&gt;EOMONTH(DATE(crono_ano_ref,1,1),0),0,MAX(0,INT((EOMONTH(DATE(crono_ano_ref,1,1),0)-IF(Planos!$G208&gt;=DATE(crono_ano_ref,1,1),Planos!$G208,Planos!$G208+CEILING((DATE(crono_ano_ref,1,1)-Planos!$G208)/Planos!$E208,1)*Planos!$E208))/Planos!$E208)+1)))</f>
      </c>
      <c r="G210" s="44">
        <f>IF(OR(Planos!$A208="",NOT(ISNUMBER(Planos!$G208)),N(Planos!$E208)&lt;=0),0,IF(Planos!$G208&gt;EOMONTH(DATE(crono_ano_ref,2,1),0),0,MAX(0,INT((EOMONTH(DATE(crono_ano_ref,2,1),0)-IF(Planos!$G208&gt;=DATE(crono_ano_ref,2,1),Planos!$G208,Planos!$G208+CEILING((DATE(crono_ano_ref,2,1)-Planos!$G208)/Planos!$E208,1)*Planos!$E208))/Planos!$E208)+1)))</f>
      </c>
      <c r="H210" s="44">
        <f>IF(OR(Planos!$A208="",NOT(ISNUMBER(Planos!$G208)),N(Planos!$E208)&lt;=0),0,IF(Planos!$G208&gt;EOMONTH(DATE(crono_ano_ref,3,1),0),0,MAX(0,INT((EOMONTH(DATE(crono_ano_ref,3,1),0)-IF(Planos!$G208&gt;=DATE(crono_ano_ref,3,1),Planos!$G208,Planos!$G208+CEILING((DATE(crono_ano_ref,3,1)-Planos!$G208)/Planos!$E208,1)*Planos!$E208))/Planos!$E208)+1)))</f>
      </c>
      <c r="I210" s="44">
        <f>IF(OR(Planos!$A208="",NOT(ISNUMBER(Planos!$G208)),N(Planos!$E208)&lt;=0),0,IF(Planos!$G208&gt;EOMONTH(DATE(crono_ano_ref,4,1),0),0,MAX(0,INT((EOMONTH(DATE(crono_ano_ref,4,1),0)-IF(Planos!$G208&gt;=DATE(crono_ano_ref,4,1),Planos!$G208,Planos!$G208+CEILING((DATE(crono_ano_ref,4,1)-Planos!$G208)/Planos!$E208,1)*Planos!$E208))/Planos!$E208)+1)))</f>
      </c>
      <c r="J210" s="44">
        <f>IF(OR(Planos!$A208="",NOT(ISNUMBER(Planos!$G208)),N(Planos!$E208)&lt;=0),0,IF(Planos!$G208&gt;EOMONTH(DATE(crono_ano_ref,5,1),0),0,MAX(0,INT((EOMONTH(DATE(crono_ano_ref,5,1),0)-IF(Planos!$G208&gt;=DATE(crono_ano_ref,5,1),Planos!$G208,Planos!$G208+CEILING((DATE(crono_ano_ref,5,1)-Planos!$G208)/Planos!$E208,1)*Planos!$E208))/Planos!$E208)+1)))</f>
      </c>
      <c r="K210" s="44">
        <f>IF(OR(Planos!$A208="",NOT(ISNUMBER(Planos!$G208)),N(Planos!$E208)&lt;=0),0,IF(Planos!$G208&gt;EOMONTH(DATE(crono_ano_ref,6,1),0),0,MAX(0,INT((EOMONTH(DATE(crono_ano_ref,6,1),0)-IF(Planos!$G208&gt;=DATE(crono_ano_ref,6,1),Planos!$G208,Planos!$G208+CEILING((DATE(crono_ano_ref,6,1)-Planos!$G208)/Planos!$E208,1)*Planos!$E208))/Planos!$E208)+1)))</f>
      </c>
      <c r="L210" s="44">
        <f>IF(OR(Planos!$A208="",NOT(ISNUMBER(Planos!$G208)),N(Planos!$E208)&lt;=0),0,IF(Planos!$G208&gt;EOMONTH(DATE(crono_ano_ref,7,1),0),0,MAX(0,INT((EOMONTH(DATE(crono_ano_ref,7,1),0)-IF(Planos!$G208&gt;=DATE(crono_ano_ref,7,1),Planos!$G208,Planos!$G208+CEILING((DATE(crono_ano_ref,7,1)-Planos!$G208)/Planos!$E208,1)*Planos!$E208))/Planos!$E208)+1)))</f>
      </c>
      <c r="M210" s="44">
        <f>IF(OR(Planos!$A208="",NOT(ISNUMBER(Planos!$G208)),N(Planos!$E208)&lt;=0),0,IF(Planos!$G208&gt;EOMONTH(DATE(crono_ano_ref,8,1),0),0,MAX(0,INT((EOMONTH(DATE(crono_ano_ref,8,1),0)-IF(Planos!$G208&gt;=DATE(crono_ano_ref,8,1),Planos!$G208,Planos!$G208+CEILING((DATE(crono_ano_ref,8,1)-Planos!$G208)/Planos!$E208,1)*Planos!$E208))/Planos!$E208)+1)))</f>
      </c>
      <c r="N210" s="44">
        <f>IF(OR(Planos!$A208="",NOT(ISNUMBER(Planos!$G208)),N(Planos!$E208)&lt;=0),0,IF(Planos!$G208&gt;EOMONTH(DATE(crono_ano_ref,9,1),0),0,MAX(0,INT((EOMONTH(DATE(crono_ano_ref,9,1),0)-IF(Planos!$G208&gt;=DATE(crono_ano_ref,9,1),Planos!$G208,Planos!$G208+CEILING((DATE(crono_ano_ref,9,1)-Planos!$G208)/Planos!$E208,1)*Planos!$E208))/Planos!$E208)+1)))</f>
      </c>
      <c r="O210" s="44">
        <f>IF(OR(Planos!$A208="",NOT(ISNUMBER(Planos!$G208)),N(Planos!$E208)&lt;=0),0,IF(Planos!$G208&gt;EOMONTH(DATE(crono_ano_ref,10,1),0),0,MAX(0,INT((EOMONTH(DATE(crono_ano_ref,10,1),0)-IF(Planos!$G208&gt;=DATE(crono_ano_ref,10,1),Planos!$G208,Planos!$G208+CEILING((DATE(crono_ano_ref,10,1)-Planos!$G208)/Planos!$E208,1)*Planos!$E208))/Planos!$E208)+1)))</f>
      </c>
      <c r="P210" s="44">
        <f>IF(OR(Planos!$A208="",NOT(ISNUMBER(Planos!$G208)),N(Planos!$E208)&lt;=0),0,IF(Planos!$G208&gt;EOMONTH(DATE(crono_ano_ref,11,1),0),0,MAX(0,INT((EOMONTH(DATE(crono_ano_ref,11,1),0)-IF(Planos!$G208&gt;=DATE(crono_ano_ref,11,1),Planos!$G208,Planos!$G208+CEILING((DATE(crono_ano_ref,11,1)-Planos!$G208)/Planos!$E208,1)*Planos!$E208))/Planos!$E208)+1)))</f>
      </c>
      <c r="Q210" s="44">
        <f>IF(OR(Planos!$A208="",NOT(ISNUMBER(Planos!$G208)),N(Planos!$E208)&lt;=0),0,IF(Planos!$G208&gt;EOMONTH(DATE(crono_ano_ref,12,1),0),0,MAX(0,INT((EOMONTH(DATE(crono_ano_ref,12,1),0)-IF(Planos!$G208&gt;=DATE(crono_ano_ref,12,1),Planos!$G208,Planos!$G208+CEILING((DATE(crono_ano_ref,12,1)-Planos!$G208)/Planos!$E208,1)*Planos!$E208))/Planos!$E208)+1)))</f>
      </c>
      <c r="R210" s="44">
        <f>SUM(F210:Q210)</f>
      </c>
    </row>
    <row r="211" spans="1:18" x14ac:dyDescent="0.25">
      <c r="A211" s="24">
        <f>IF(Planos!$A209="","",Planos!A209&amp;"")</f>
      </c>
      <c r="B211" s="41">
        <f>IF(Planos!$A209="","",Planos!B209&amp;"")</f>
      </c>
      <c r="C211" s="24">
        <f>IF(Planos!$A209="","",Planos!C209&amp;"")</f>
      </c>
      <c r="D211" s="42">
        <f>IF(Planos!$A209="","",N(Planos!E209))</f>
      </c>
      <c r="E211" s="43">
        <f>IF(Planos!$A209="","",N(Planos!K209))</f>
      </c>
      <c r="F211" s="44">
        <f>IF(OR(Planos!$A209="",NOT(ISNUMBER(Planos!$G209)),N(Planos!$E209)&lt;=0),0,IF(Planos!$G209&gt;EOMONTH(DATE(crono_ano_ref,1,1),0),0,MAX(0,INT((EOMONTH(DATE(crono_ano_ref,1,1),0)-IF(Planos!$G209&gt;=DATE(crono_ano_ref,1,1),Planos!$G209,Planos!$G209+CEILING((DATE(crono_ano_ref,1,1)-Planos!$G209)/Planos!$E209,1)*Planos!$E209))/Planos!$E209)+1)))</f>
      </c>
      <c r="G211" s="44">
        <f>IF(OR(Planos!$A209="",NOT(ISNUMBER(Planos!$G209)),N(Planos!$E209)&lt;=0),0,IF(Planos!$G209&gt;EOMONTH(DATE(crono_ano_ref,2,1),0),0,MAX(0,INT((EOMONTH(DATE(crono_ano_ref,2,1),0)-IF(Planos!$G209&gt;=DATE(crono_ano_ref,2,1),Planos!$G209,Planos!$G209+CEILING((DATE(crono_ano_ref,2,1)-Planos!$G209)/Planos!$E209,1)*Planos!$E209))/Planos!$E209)+1)))</f>
      </c>
      <c r="H211" s="44">
        <f>IF(OR(Planos!$A209="",NOT(ISNUMBER(Planos!$G209)),N(Planos!$E209)&lt;=0),0,IF(Planos!$G209&gt;EOMONTH(DATE(crono_ano_ref,3,1),0),0,MAX(0,INT((EOMONTH(DATE(crono_ano_ref,3,1),0)-IF(Planos!$G209&gt;=DATE(crono_ano_ref,3,1),Planos!$G209,Planos!$G209+CEILING((DATE(crono_ano_ref,3,1)-Planos!$G209)/Planos!$E209,1)*Planos!$E209))/Planos!$E209)+1)))</f>
      </c>
      <c r="I211" s="44">
        <f>IF(OR(Planos!$A209="",NOT(ISNUMBER(Planos!$G209)),N(Planos!$E209)&lt;=0),0,IF(Planos!$G209&gt;EOMONTH(DATE(crono_ano_ref,4,1),0),0,MAX(0,INT((EOMONTH(DATE(crono_ano_ref,4,1),0)-IF(Planos!$G209&gt;=DATE(crono_ano_ref,4,1),Planos!$G209,Planos!$G209+CEILING((DATE(crono_ano_ref,4,1)-Planos!$G209)/Planos!$E209,1)*Planos!$E209))/Planos!$E209)+1)))</f>
      </c>
      <c r="J211" s="44">
        <f>IF(OR(Planos!$A209="",NOT(ISNUMBER(Planos!$G209)),N(Planos!$E209)&lt;=0),0,IF(Planos!$G209&gt;EOMONTH(DATE(crono_ano_ref,5,1),0),0,MAX(0,INT((EOMONTH(DATE(crono_ano_ref,5,1),0)-IF(Planos!$G209&gt;=DATE(crono_ano_ref,5,1),Planos!$G209,Planos!$G209+CEILING((DATE(crono_ano_ref,5,1)-Planos!$G209)/Planos!$E209,1)*Planos!$E209))/Planos!$E209)+1)))</f>
      </c>
      <c r="K211" s="44">
        <f>IF(OR(Planos!$A209="",NOT(ISNUMBER(Planos!$G209)),N(Planos!$E209)&lt;=0),0,IF(Planos!$G209&gt;EOMONTH(DATE(crono_ano_ref,6,1),0),0,MAX(0,INT((EOMONTH(DATE(crono_ano_ref,6,1),0)-IF(Planos!$G209&gt;=DATE(crono_ano_ref,6,1),Planos!$G209,Planos!$G209+CEILING((DATE(crono_ano_ref,6,1)-Planos!$G209)/Planos!$E209,1)*Planos!$E209))/Planos!$E209)+1)))</f>
      </c>
      <c r="L211" s="44">
        <f>IF(OR(Planos!$A209="",NOT(ISNUMBER(Planos!$G209)),N(Planos!$E209)&lt;=0),0,IF(Planos!$G209&gt;EOMONTH(DATE(crono_ano_ref,7,1),0),0,MAX(0,INT((EOMONTH(DATE(crono_ano_ref,7,1),0)-IF(Planos!$G209&gt;=DATE(crono_ano_ref,7,1),Planos!$G209,Planos!$G209+CEILING((DATE(crono_ano_ref,7,1)-Planos!$G209)/Planos!$E209,1)*Planos!$E209))/Planos!$E209)+1)))</f>
      </c>
      <c r="M211" s="44">
        <f>IF(OR(Planos!$A209="",NOT(ISNUMBER(Planos!$G209)),N(Planos!$E209)&lt;=0),0,IF(Planos!$G209&gt;EOMONTH(DATE(crono_ano_ref,8,1),0),0,MAX(0,INT((EOMONTH(DATE(crono_ano_ref,8,1),0)-IF(Planos!$G209&gt;=DATE(crono_ano_ref,8,1),Planos!$G209,Planos!$G209+CEILING((DATE(crono_ano_ref,8,1)-Planos!$G209)/Planos!$E209,1)*Planos!$E209))/Planos!$E209)+1)))</f>
      </c>
      <c r="N211" s="44">
        <f>IF(OR(Planos!$A209="",NOT(ISNUMBER(Planos!$G209)),N(Planos!$E209)&lt;=0),0,IF(Planos!$G209&gt;EOMONTH(DATE(crono_ano_ref,9,1),0),0,MAX(0,INT((EOMONTH(DATE(crono_ano_ref,9,1),0)-IF(Planos!$G209&gt;=DATE(crono_ano_ref,9,1),Planos!$G209,Planos!$G209+CEILING((DATE(crono_ano_ref,9,1)-Planos!$G209)/Planos!$E209,1)*Planos!$E209))/Planos!$E209)+1)))</f>
      </c>
      <c r="O211" s="44">
        <f>IF(OR(Planos!$A209="",NOT(ISNUMBER(Planos!$G209)),N(Planos!$E209)&lt;=0),0,IF(Planos!$G209&gt;EOMONTH(DATE(crono_ano_ref,10,1),0),0,MAX(0,INT((EOMONTH(DATE(crono_ano_ref,10,1),0)-IF(Planos!$G209&gt;=DATE(crono_ano_ref,10,1),Planos!$G209,Planos!$G209+CEILING((DATE(crono_ano_ref,10,1)-Planos!$G209)/Planos!$E209,1)*Planos!$E209))/Planos!$E209)+1)))</f>
      </c>
      <c r="P211" s="44">
        <f>IF(OR(Planos!$A209="",NOT(ISNUMBER(Planos!$G209)),N(Planos!$E209)&lt;=0),0,IF(Planos!$G209&gt;EOMONTH(DATE(crono_ano_ref,11,1),0),0,MAX(0,INT((EOMONTH(DATE(crono_ano_ref,11,1),0)-IF(Planos!$G209&gt;=DATE(crono_ano_ref,11,1),Planos!$G209,Planos!$G209+CEILING((DATE(crono_ano_ref,11,1)-Planos!$G209)/Planos!$E209,1)*Planos!$E209))/Planos!$E209)+1)))</f>
      </c>
      <c r="Q211" s="44">
        <f>IF(OR(Planos!$A209="",NOT(ISNUMBER(Planos!$G209)),N(Planos!$E209)&lt;=0),0,IF(Planos!$G209&gt;EOMONTH(DATE(crono_ano_ref,12,1),0),0,MAX(0,INT((EOMONTH(DATE(crono_ano_ref,12,1),0)-IF(Planos!$G209&gt;=DATE(crono_ano_ref,12,1),Planos!$G209,Planos!$G209+CEILING((DATE(crono_ano_ref,12,1)-Planos!$G209)/Planos!$E209,1)*Planos!$E209))/Planos!$E209)+1)))</f>
      </c>
      <c r="R211" s="44">
        <f>SUM(F211:Q211)</f>
      </c>
    </row>
    <row r="212" spans="1:18" x14ac:dyDescent="0.25">
      <c r="A212" s="24">
        <f>IF(Planos!$A210="","",Planos!A210&amp;"")</f>
      </c>
      <c r="B212" s="41">
        <f>IF(Planos!$A210="","",Planos!B210&amp;"")</f>
      </c>
      <c r="C212" s="24">
        <f>IF(Planos!$A210="","",Planos!C210&amp;"")</f>
      </c>
      <c r="D212" s="42">
        <f>IF(Planos!$A210="","",N(Planos!E210))</f>
      </c>
      <c r="E212" s="43">
        <f>IF(Planos!$A210="","",N(Planos!K210))</f>
      </c>
      <c r="F212" s="44">
        <f>IF(OR(Planos!$A210="",NOT(ISNUMBER(Planos!$G210)),N(Planos!$E210)&lt;=0),0,IF(Planos!$G210&gt;EOMONTH(DATE(crono_ano_ref,1,1),0),0,MAX(0,INT((EOMONTH(DATE(crono_ano_ref,1,1),0)-IF(Planos!$G210&gt;=DATE(crono_ano_ref,1,1),Planos!$G210,Planos!$G210+CEILING((DATE(crono_ano_ref,1,1)-Planos!$G210)/Planos!$E210,1)*Planos!$E210))/Planos!$E210)+1)))</f>
      </c>
      <c r="G212" s="44">
        <f>IF(OR(Planos!$A210="",NOT(ISNUMBER(Planos!$G210)),N(Planos!$E210)&lt;=0),0,IF(Planos!$G210&gt;EOMONTH(DATE(crono_ano_ref,2,1),0),0,MAX(0,INT((EOMONTH(DATE(crono_ano_ref,2,1),0)-IF(Planos!$G210&gt;=DATE(crono_ano_ref,2,1),Planos!$G210,Planos!$G210+CEILING((DATE(crono_ano_ref,2,1)-Planos!$G210)/Planos!$E210,1)*Planos!$E210))/Planos!$E210)+1)))</f>
      </c>
      <c r="H212" s="44">
        <f>IF(OR(Planos!$A210="",NOT(ISNUMBER(Planos!$G210)),N(Planos!$E210)&lt;=0),0,IF(Planos!$G210&gt;EOMONTH(DATE(crono_ano_ref,3,1),0),0,MAX(0,INT((EOMONTH(DATE(crono_ano_ref,3,1),0)-IF(Planos!$G210&gt;=DATE(crono_ano_ref,3,1),Planos!$G210,Planos!$G210+CEILING((DATE(crono_ano_ref,3,1)-Planos!$G210)/Planos!$E210,1)*Planos!$E210))/Planos!$E210)+1)))</f>
      </c>
      <c r="I212" s="44">
        <f>IF(OR(Planos!$A210="",NOT(ISNUMBER(Planos!$G210)),N(Planos!$E210)&lt;=0),0,IF(Planos!$G210&gt;EOMONTH(DATE(crono_ano_ref,4,1),0),0,MAX(0,INT((EOMONTH(DATE(crono_ano_ref,4,1),0)-IF(Planos!$G210&gt;=DATE(crono_ano_ref,4,1),Planos!$G210,Planos!$G210+CEILING((DATE(crono_ano_ref,4,1)-Planos!$G210)/Planos!$E210,1)*Planos!$E210))/Planos!$E210)+1)))</f>
      </c>
      <c r="J212" s="44">
        <f>IF(OR(Planos!$A210="",NOT(ISNUMBER(Planos!$G210)),N(Planos!$E210)&lt;=0),0,IF(Planos!$G210&gt;EOMONTH(DATE(crono_ano_ref,5,1),0),0,MAX(0,INT((EOMONTH(DATE(crono_ano_ref,5,1),0)-IF(Planos!$G210&gt;=DATE(crono_ano_ref,5,1),Planos!$G210,Planos!$G210+CEILING((DATE(crono_ano_ref,5,1)-Planos!$G210)/Planos!$E210,1)*Planos!$E210))/Planos!$E210)+1)))</f>
      </c>
      <c r="K212" s="44">
        <f>IF(OR(Planos!$A210="",NOT(ISNUMBER(Planos!$G210)),N(Planos!$E210)&lt;=0),0,IF(Planos!$G210&gt;EOMONTH(DATE(crono_ano_ref,6,1),0),0,MAX(0,INT((EOMONTH(DATE(crono_ano_ref,6,1),0)-IF(Planos!$G210&gt;=DATE(crono_ano_ref,6,1),Planos!$G210,Planos!$G210+CEILING((DATE(crono_ano_ref,6,1)-Planos!$G210)/Planos!$E210,1)*Planos!$E210))/Planos!$E210)+1)))</f>
      </c>
      <c r="L212" s="44">
        <f>IF(OR(Planos!$A210="",NOT(ISNUMBER(Planos!$G210)),N(Planos!$E210)&lt;=0),0,IF(Planos!$G210&gt;EOMONTH(DATE(crono_ano_ref,7,1),0),0,MAX(0,INT((EOMONTH(DATE(crono_ano_ref,7,1),0)-IF(Planos!$G210&gt;=DATE(crono_ano_ref,7,1),Planos!$G210,Planos!$G210+CEILING((DATE(crono_ano_ref,7,1)-Planos!$G210)/Planos!$E210,1)*Planos!$E210))/Planos!$E210)+1)))</f>
      </c>
      <c r="M212" s="44">
        <f>IF(OR(Planos!$A210="",NOT(ISNUMBER(Planos!$G210)),N(Planos!$E210)&lt;=0),0,IF(Planos!$G210&gt;EOMONTH(DATE(crono_ano_ref,8,1),0),0,MAX(0,INT((EOMONTH(DATE(crono_ano_ref,8,1),0)-IF(Planos!$G210&gt;=DATE(crono_ano_ref,8,1),Planos!$G210,Planos!$G210+CEILING((DATE(crono_ano_ref,8,1)-Planos!$G210)/Planos!$E210,1)*Planos!$E210))/Planos!$E210)+1)))</f>
      </c>
      <c r="N212" s="44">
        <f>IF(OR(Planos!$A210="",NOT(ISNUMBER(Planos!$G210)),N(Planos!$E210)&lt;=0),0,IF(Planos!$G210&gt;EOMONTH(DATE(crono_ano_ref,9,1),0),0,MAX(0,INT((EOMONTH(DATE(crono_ano_ref,9,1),0)-IF(Planos!$G210&gt;=DATE(crono_ano_ref,9,1),Planos!$G210,Planos!$G210+CEILING((DATE(crono_ano_ref,9,1)-Planos!$G210)/Planos!$E210,1)*Planos!$E210))/Planos!$E210)+1)))</f>
      </c>
      <c r="O212" s="44">
        <f>IF(OR(Planos!$A210="",NOT(ISNUMBER(Planos!$G210)),N(Planos!$E210)&lt;=0),0,IF(Planos!$G210&gt;EOMONTH(DATE(crono_ano_ref,10,1),0),0,MAX(0,INT((EOMONTH(DATE(crono_ano_ref,10,1),0)-IF(Planos!$G210&gt;=DATE(crono_ano_ref,10,1),Planos!$G210,Planos!$G210+CEILING((DATE(crono_ano_ref,10,1)-Planos!$G210)/Planos!$E210,1)*Planos!$E210))/Planos!$E210)+1)))</f>
      </c>
      <c r="P212" s="44">
        <f>IF(OR(Planos!$A210="",NOT(ISNUMBER(Planos!$G210)),N(Planos!$E210)&lt;=0),0,IF(Planos!$G210&gt;EOMONTH(DATE(crono_ano_ref,11,1),0),0,MAX(0,INT((EOMONTH(DATE(crono_ano_ref,11,1),0)-IF(Planos!$G210&gt;=DATE(crono_ano_ref,11,1),Planos!$G210,Planos!$G210+CEILING((DATE(crono_ano_ref,11,1)-Planos!$G210)/Planos!$E210,1)*Planos!$E210))/Planos!$E210)+1)))</f>
      </c>
      <c r="Q212" s="44">
        <f>IF(OR(Planos!$A210="",NOT(ISNUMBER(Planos!$G210)),N(Planos!$E210)&lt;=0),0,IF(Planos!$G210&gt;EOMONTH(DATE(crono_ano_ref,12,1),0),0,MAX(0,INT((EOMONTH(DATE(crono_ano_ref,12,1),0)-IF(Planos!$G210&gt;=DATE(crono_ano_ref,12,1),Planos!$G210,Planos!$G210+CEILING((DATE(crono_ano_ref,12,1)-Planos!$G210)/Planos!$E210,1)*Planos!$E210))/Planos!$E210)+1)))</f>
      </c>
      <c r="R212" s="44">
        <f>SUM(F212:Q212)</f>
      </c>
    </row>
    <row r="213" spans="1:18" x14ac:dyDescent="0.25">
      <c r="A213" s="24">
        <f>IF(Planos!$A211="","",Planos!A211&amp;"")</f>
      </c>
      <c r="B213" s="41">
        <f>IF(Planos!$A211="","",Planos!B211&amp;"")</f>
      </c>
      <c r="C213" s="24">
        <f>IF(Planos!$A211="","",Planos!C211&amp;"")</f>
      </c>
      <c r="D213" s="42">
        <f>IF(Planos!$A211="","",N(Planos!E211))</f>
      </c>
      <c r="E213" s="43">
        <f>IF(Planos!$A211="","",N(Planos!K211))</f>
      </c>
      <c r="F213" s="44">
        <f>IF(OR(Planos!$A211="",NOT(ISNUMBER(Planos!$G211)),N(Planos!$E211)&lt;=0),0,IF(Planos!$G211&gt;EOMONTH(DATE(crono_ano_ref,1,1),0),0,MAX(0,INT((EOMONTH(DATE(crono_ano_ref,1,1),0)-IF(Planos!$G211&gt;=DATE(crono_ano_ref,1,1),Planos!$G211,Planos!$G211+CEILING((DATE(crono_ano_ref,1,1)-Planos!$G211)/Planos!$E211,1)*Planos!$E211))/Planos!$E211)+1)))</f>
      </c>
      <c r="G213" s="44">
        <f>IF(OR(Planos!$A211="",NOT(ISNUMBER(Planos!$G211)),N(Planos!$E211)&lt;=0),0,IF(Planos!$G211&gt;EOMONTH(DATE(crono_ano_ref,2,1),0),0,MAX(0,INT((EOMONTH(DATE(crono_ano_ref,2,1),0)-IF(Planos!$G211&gt;=DATE(crono_ano_ref,2,1),Planos!$G211,Planos!$G211+CEILING((DATE(crono_ano_ref,2,1)-Planos!$G211)/Planos!$E211,1)*Planos!$E211))/Planos!$E211)+1)))</f>
      </c>
      <c r="H213" s="44">
        <f>IF(OR(Planos!$A211="",NOT(ISNUMBER(Planos!$G211)),N(Planos!$E211)&lt;=0),0,IF(Planos!$G211&gt;EOMONTH(DATE(crono_ano_ref,3,1),0),0,MAX(0,INT((EOMONTH(DATE(crono_ano_ref,3,1),0)-IF(Planos!$G211&gt;=DATE(crono_ano_ref,3,1),Planos!$G211,Planos!$G211+CEILING((DATE(crono_ano_ref,3,1)-Planos!$G211)/Planos!$E211,1)*Planos!$E211))/Planos!$E211)+1)))</f>
      </c>
      <c r="I213" s="44">
        <f>IF(OR(Planos!$A211="",NOT(ISNUMBER(Planos!$G211)),N(Planos!$E211)&lt;=0),0,IF(Planos!$G211&gt;EOMONTH(DATE(crono_ano_ref,4,1),0),0,MAX(0,INT((EOMONTH(DATE(crono_ano_ref,4,1),0)-IF(Planos!$G211&gt;=DATE(crono_ano_ref,4,1),Planos!$G211,Planos!$G211+CEILING((DATE(crono_ano_ref,4,1)-Planos!$G211)/Planos!$E211,1)*Planos!$E211))/Planos!$E211)+1)))</f>
      </c>
      <c r="J213" s="44">
        <f>IF(OR(Planos!$A211="",NOT(ISNUMBER(Planos!$G211)),N(Planos!$E211)&lt;=0),0,IF(Planos!$G211&gt;EOMONTH(DATE(crono_ano_ref,5,1),0),0,MAX(0,INT((EOMONTH(DATE(crono_ano_ref,5,1),0)-IF(Planos!$G211&gt;=DATE(crono_ano_ref,5,1),Planos!$G211,Planos!$G211+CEILING((DATE(crono_ano_ref,5,1)-Planos!$G211)/Planos!$E211,1)*Planos!$E211))/Planos!$E211)+1)))</f>
      </c>
      <c r="K213" s="44">
        <f>IF(OR(Planos!$A211="",NOT(ISNUMBER(Planos!$G211)),N(Planos!$E211)&lt;=0),0,IF(Planos!$G211&gt;EOMONTH(DATE(crono_ano_ref,6,1),0),0,MAX(0,INT((EOMONTH(DATE(crono_ano_ref,6,1),0)-IF(Planos!$G211&gt;=DATE(crono_ano_ref,6,1),Planos!$G211,Planos!$G211+CEILING((DATE(crono_ano_ref,6,1)-Planos!$G211)/Planos!$E211,1)*Planos!$E211))/Planos!$E211)+1)))</f>
      </c>
      <c r="L213" s="44">
        <f>IF(OR(Planos!$A211="",NOT(ISNUMBER(Planos!$G211)),N(Planos!$E211)&lt;=0),0,IF(Planos!$G211&gt;EOMONTH(DATE(crono_ano_ref,7,1),0),0,MAX(0,INT((EOMONTH(DATE(crono_ano_ref,7,1),0)-IF(Planos!$G211&gt;=DATE(crono_ano_ref,7,1),Planos!$G211,Planos!$G211+CEILING((DATE(crono_ano_ref,7,1)-Planos!$G211)/Planos!$E211,1)*Planos!$E211))/Planos!$E211)+1)))</f>
      </c>
      <c r="M213" s="44">
        <f>IF(OR(Planos!$A211="",NOT(ISNUMBER(Planos!$G211)),N(Planos!$E211)&lt;=0),0,IF(Planos!$G211&gt;EOMONTH(DATE(crono_ano_ref,8,1),0),0,MAX(0,INT((EOMONTH(DATE(crono_ano_ref,8,1),0)-IF(Planos!$G211&gt;=DATE(crono_ano_ref,8,1),Planos!$G211,Planos!$G211+CEILING((DATE(crono_ano_ref,8,1)-Planos!$G211)/Planos!$E211,1)*Planos!$E211))/Planos!$E211)+1)))</f>
      </c>
      <c r="N213" s="44">
        <f>IF(OR(Planos!$A211="",NOT(ISNUMBER(Planos!$G211)),N(Planos!$E211)&lt;=0),0,IF(Planos!$G211&gt;EOMONTH(DATE(crono_ano_ref,9,1),0),0,MAX(0,INT((EOMONTH(DATE(crono_ano_ref,9,1),0)-IF(Planos!$G211&gt;=DATE(crono_ano_ref,9,1),Planos!$G211,Planos!$G211+CEILING((DATE(crono_ano_ref,9,1)-Planos!$G211)/Planos!$E211,1)*Planos!$E211))/Planos!$E211)+1)))</f>
      </c>
      <c r="O213" s="44">
        <f>IF(OR(Planos!$A211="",NOT(ISNUMBER(Planos!$G211)),N(Planos!$E211)&lt;=0),0,IF(Planos!$G211&gt;EOMONTH(DATE(crono_ano_ref,10,1),0),0,MAX(0,INT((EOMONTH(DATE(crono_ano_ref,10,1),0)-IF(Planos!$G211&gt;=DATE(crono_ano_ref,10,1),Planos!$G211,Planos!$G211+CEILING((DATE(crono_ano_ref,10,1)-Planos!$G211)/Planos!$E211,1)*Planos!$E211))/Planos!$E211)+1)))</f>
      </c>
      <c r="P213" s="44">
        <f>IF(OR(Planos!$A211="",NOT(ISNUMBER(Planos!$G211)),N(Planos!$E211)&lt;=0),0,IF(Planos!$G211&gt;EOMONTH(DATE(crono_ano_ref,11,1),0),0,MAX(0,INT((EOMONTH(DATE(crono_ano_ref,11,1),0)-IF(Planos!$G211&gt;=DATE(crono_ano_ref,11,1),Planos!$G211,Planos!$G211+CEILING((DATE(crono_ano_ref,11,1)-Planos!$G211)/Planos!$E211,1)*Planos!$E211))/Planos!$E211)+1)))</f>
      </c>
      <c r="Q213" s="44">
        <f>IF(OR(Planos!$A211="",NOT(ISNUMBER(Planos!$G211)),N(Planos!$E211)&lt;=0),0,IF(Planos!$G211&gt;EOMONTH(DATE(crono_ano_ref,12,1),0),0,MAX(0,INT((EOMONTH(DATE(crono_ano_ref,12,1),0)-IF(Planos!$G211&gt;=DATE(crono_ano_ref,12,1),Planos!$G211,Planos!$G211+CEILING((DATE(crono_ano_ref,12,1)-Planos!$G211)/Planos!$E211,1)*Planos!$E211))/Planos!$E211)+1)))</f>
      </c>
      <c r="R213" s="44">
        <f>SUM(F213:Q213)</f>
      </c>
    </row>
    <row r="214" spans="1:18" x14ac:dyDescent="0.25">
      <c r="A214" s="24">
        <f>IF(Planos!$A212="","",Planos!A212&amp;"")</f>
      </c>
      <c r="B214" s="41">
        <f>IF(Planos!$A212="","",Planos!B212&amp;"")</f>
      </c>
      <c r="C214" s="24">
        <f>IF(Planos!$A212="","",Planos!C212&amp;"")</f>
      </c>
      <c r="D214" s="42">
        <f>IF(Planos!$A212="","",N(Planos!E212))</f>
      </c>
      <c r="E214" s="43">
        <f>IF(Planos!$A212="","",N(Planos!K212))</f>
      </c>
      <c r="F214" s="44">
        <f>IF(OR(Planos!$A212="",NOT(ISNUMBER(Planos!$G212)),N(Planos!$E212)&lt;=0),0,IF(Planos!$G212&gt;EOMONTH(DATE(crono_ano_ref,1,1),0),0,MAX(0,INT((EOMONTH(DATE(crono_ano_ref,1,1),0)-IF(Planos!$G212&gt;=DATE(crono_ano_ref,1,1),Planos!$G212,Planos!$G212+CEILING((DATE(crono_ano_ref,1,1)-Planos!$G212)/Planos!$E212,1)*Planos!$E212))/Planos!$E212)+1)))</f>
      </c>
      <c r="G214" s="44">
        <f>IF(OR(Planos!$A212="",NOT(ISNUMBER(Planos!$G212)),N(Planos!$E212)&lt;=0),0,IF(Planos!$G212&gt;EOMONTH(DATE(crono_ano_ref,2,1),0),0,MAX(0,INT((EOMONTH(DATE(crono_ano_ref,2,1),0)-IF(Planos!$G212&gt;=DATE(crono_ano_ref,2,1),Planos!$G212,Planos!$G212+CEILING((DATE(crono_ano_ref,2,1)-Planos!$G212)/Planos!$E212,1)*Planos!$E212))/Planos!$E212)+1)))</f>
      </c>
      <c r="H214" s="44">
        <f>IF(OR(Planos!$A212="",NOT(ISNUMBER(Planos!$G212)),N(Planos!$E212)&lt;=0),0,IF(Planos!$G212&gt;EOMONTH(DATE(crono_ano_ref,3,1),0),0,MAX(0,INT((EOMONTH(DATE(crono_ano_ref,3,1),0)-IF(Planos!$G212&gt;=DATE(crono_ano_ref,3,1),Planos!$G212,Planos!$G212+CEILING((DATE(crono_ano_ref,3,1)-Planos!$G212)/Planos!$E212,1)*Planos!$E212))/Planos!$E212)+1)))</f>
      </c>
      <c r="I214" s="44">
        <f>IF(OR(Planos!$A212="",NOT(ISNUMBER(Planos!$G212)),N(Planos!$E212)&lt;=0),0,IF(Planos!$G212&gt;EOMONTH(DATE(crono_ano_ref,4,1),0),0,MAX(0,INT((EOMONTH(DATE(crono_ano_ref,4,1),0)-IF(Planos!$G212&gt;=DATE(crono_ano_ref,4,1),Planos!$G212,Planos!$G212+CEILING((DATE(crono_ano_ref,4,1)-Planos!$G212)/Planos!$E212,1)*Planos!$E212))/Planos!$E212)+1)))</f>
      </c>
      <c r="J214" s="44">
        <f>IF(OR(Planos!$A212="",NOT(ISNUMBER(Planos!$G212)),N(Planos!$E212)&lt;=0),0,IF(Planos!$G212&gt;EOMONTH(DATE(crono_ano_ref,5,1),0),0,MAX(0,INT((EOMONTH(DATE(crono_ano_ref,5,1),0)-IF(Planos!$G212&gt;=DATE(crono_ano_ref,5,1),Planos!$G212,Planos!$G212+CEILING((DATE(crono_ano_ref,5,1)-Planos!$G212)/Planos!$E212,1)*Planos!$E212))/Planos!$E212)+1)))</f>
      </c>
      <c r="K214" s="44">
        <f>IF(OR(Planos!$A212="",NOT(ISNUMBER(Planos!$G212)),N(Planos!$E212)&lt;=0),0,IF(Planos!$G212&gt;EOMONTH(DATE(crono_ano_ref,6,1),0),0,MAX(0,INT((EOMONTH(DATE(crono_ano_ref,6,1),0)-IF(Planos!$G212&gt;=DATE(crono_ano_ref,6,1),Planos!$G212,Planos!$G212+CEILING((DATE(crono_ano_ref,6,1)-Planos!$G212)/Planos!$E212,1)*Planos!$E212))/Planos!$E212)+1)))</f>
      </c>
      <c r="L214" s="44">
        <f>IF(OR(Planos!$A212="",NOT(ISNUMBER(Planos!$G212)),N(Planos!$E212)&lt;=0),0,IF(Planos!$G212&gt;EOMONTH(DATE(crono_ano_ref,7,1),0),0,MAX(0,INT((EOMONTH(DATE(crono_ano_ref,7,1),0)-IF(Planos!$G212&gt;=DATE(crono_ano_ref,7,1),Planos!$G212,Planos!$G212+CEILING((DATE(crono_ano_ref,7,1)-Planos!$G212)/Planos!$E212,1)*Planos!$E212))/Planos!$E212)+1)))</f>
      </c>
      <c r="M214" s="44">
        <f>IF(OR(Planos!$A212="",NOT(ISNUMBER(Planos!$G212)),N(Planos!$E212)&lt;=0),0,IF(Planos!$G212&gt;EOMONTH(DATE(crono_ano_ref,8,1),0),0,MAX(0,INT((EOMONTH(DATE(crono_ano_ref,8,1),0)-IF(Planos!$G212&gt;=DATE(crono_ano_ref,8,1),Planos!$G212,Planos!$G212+CEILING((DATE(crono_ano_ref,8,1)-Planos!$G212)/Planos!$E212,1)*Planos!$E212))/Planos!$E212)+1)))</f>
      </c>
      <c r="N214" s="44">
        <f>IF(OR(Planos!$A212="",NOT(ISNUMBER(Planos!$G212)),N(Planos!$E212)&lt;=0),0,IF(Planos!$G212&gt;EOMONTH(DATE(crono_ano_ref,9,1),0),0,MAX(0,INT((EOMONTH(DATE(crono_ano_ref,9,1),0)-IF(Planos!$G212&gt;=DATE(crono_ano_ref,9,1),Planos!$G212,Planos!$G212+CEILING((DATE(crono_ano_ref,9,1)-Planos!$G212)/Planos!$E212,1)*Planos!$E212))/Planos!$E212)+1)))</f>
      </c>
      <c r="O214" s="44">
        <f>IF(OR(Planos!$A212="",NOT(ISNUMBER(Planos!$G212)),N(Planos!$E212)&lt;=0),0,IF(Planos!$G212&gt;EOMONTH(DATE(crono_ano_ref,10,1),0),0,MAX(0,INT((EOMONTH(DATE(crono_ano_ref,10,1),0)-IF(Planos!$G212&gt;=DATE(crono_ano_ref,10,1),Planos!$G212,Planos!$G212+CEILING((DATE(crono_ano_ref,10,1)-Planos!$G212)/Planos!$E212,1)*Planos!$E212))/Planos!$E212)+1)))</f>
      </c>
      <c r="P214" s="44">
        <f>IF(OR(Planos!$A212="",NOT(ISNUMBER(Planos!$G212)),N(Planos!$E212)&lt;=0),0,IF(Planos!$G212&gt;EOMONTH(DATE(crono_ano_ref,11,1),0),0,MAX(0,INT((EOMONTH(DATE(crono_ano_ref,11,1),0)-IF(Planos!$G212&gt;=DATE(crono_ano_ref,11,1),Planos!$G212,Planos!$G212+CEILING((DATE(crono_ano_ref,11,1)-Planos!$G212)/Planos!$E212,1)*Planos!$E212))/Planos!$E212)+1)))</f>
      </c>
      <c r="Q214" s="44">
        <f>IF(OR(Planos!$A212="",NOT(ISNUMBER(Planos!$G212)),N(Planos!$E212)&lt;=0),0,IF(Planos!$G212&gt;EOMONTH(DATE(crono_ano_ref,12,1),0),0,MAX(0,INT((EOMONTH(DATE(crono_ano_ref,12,1),0)-IF(Planos!$G212&gt;=DATE(crono_ano_ref,12,1),Planos!$G212,Planos!$G212+CEILING((DATE(crono_ano_ref,12,1)-Planos!$G212)/Planos!$E212,1)*Planos!$E212))/Planos!$E212)+1)))</f>
      </c>
      <c r="R214" s="44">
        <f>SUM(F214:Q214)</f>
      </c>
    </row>
    <row r="215" spans="1:18" x14ac:dyDescent="0.25">
      <c r="A215" s="24">
        <f>IF(Planos!$A213="","",Planos!A213&amp;"")</f>
      </c>
      <c r="B215" s="41">
        <f>IF(Planos!$A213="","",Planos!B213&amp;"")</f>
      </c>
      <c r="C215" s="24">
        <f>IF(Planos!$A213="","",Planos!C213&amp;"")</f>
      </c>
      <c r="D215" s="42">
        <f>IF(Planos!$A213="","",N(Planos!E213))</f>
      </c>
      <c r="E215" s="43">
        <f>IF(Planos!$A213="","",N(Planos!K213))</f>
      </c>
      <c r="F215" s="44">
        <f>IF(OR(Planos!$A213="",NOT(ISNUMBER(Planos!$G213)),N(Planos!$E213)&lt;=0),0,IF(Planos!$G213&gt;EOMONTH(DATE(crono_ano_ref,1,1),0),0,MAX(0,INT((EOMONTH(DATE(crono_ano_ref,1,1),0)-IF(Planos!$G213&gt;=DATE(crono_ano_ref,1,1),Planos!$G213,Planos!$G213+CEILING((DATE(crono_ano_ref,1,1)-Planos!$G213)/Planos!$E213,1)*Planos!$E213))/Planos!$E213)+1)))</f>
      </c>
      <c r="G215" s="44">
        <f>IF(OR(Planos!$A213="",NOT(ISNUMBER(Planos!$G213)),N(Planos!$E213)&lt;=0),0,IF(Planos!$G213&gt;EOMONTH(DATE(crono_ano_ref,2,1),0),0,MAX(0,INT((EOMONTH(DATE(crono_ano_ref,2,1),0)-IF(Planos!$G213&gt;=DATE(crono_ano_ref,2,1),Planos!$G213,Planos!$G213+CEILING((DATE(crono_ano_ref,2,1)-Planos!$G213)/Planos!$E213,1)*Planos!$E213))/Planos!$E213)+1)))</f>
      </c>
      <c r="H215" s="44">
        <f>IF(OR(Planos!$A213="",NOT(ISNUMBER(Planos!$G213)),N(Planos!$E213)&lt;=0),0,IF(Planos!$G213&gt;EOMONTH(DATE(crono_ano_ref,3,1),0),0,MAX(0,INT((EOMONTH(DATE(crono_ano_ref,3,1),0)-IF(Planos!$G213&gt;=DATE(crono_ano_ref,3,1),Planos!$G213,Planos!$G213+CEILING((DATE(crono_ano_ref,3,1)-Planos!$G213)/Planos!$E213,1)*Planos!$E213))/Planos!$E213)+1)))</f>
      </c>
      <c r="I215" s="44">
        <f>IF(OR(Planos!$A213="",NOT(ISNUMBER(Planos!$G213)),N(Planos!$E213)&lt;=0),0,IF(Planos!$G213&gt;EOMONTH(DATE(crono_ano_ref,4,1),0),0,MAX(0,INT((EOMONTH(DATE(crono_ano_ref,4,1),0)-IF(Planos!$G213&gt;=DATE(crono_ano_ref,4,1),Planos!$G213,Planos!$G213+CEILING((DATE(crono_ano_ref,4,1)-Planos!$G213)/Planos!$E213,1)*Planos!$E213))/Planos!$E213)+1)))</f>
      </c>
      <c r="J215" s="44">
        <f>IF(OR(Planos!$A213="",NOT(ISNUMBER(Planos!$G213)),N(Planos!$E213)&lt;=0),0,IF(Planos!$G213&gt;EOMONTH(DATE(crono_ano_ref,5,1),0),0,MAX(0,INT((EOMONTH(DATE(crono_ano_ref,5,1),0)-IF(Planos!$G213&gt;=DATE(crono_ano_ref,5,1),Planos!$G213,Planos!$G213+CEILING((DATE(crono_ano_ref,5,1)-Planos!$G213)/Planos!$E213,1)*Planos!$E213))/Planos!$E213)+1)))</f>
      </c>
      <c r="K215" s="44">
        <f>IF(OR(Planos!$A213="",NOT(ISNUMBER(Planos!$G213)),N(Planos!$E213)&lt;=0),0,IF(Planos!$G213&gt;EOMONTH(DATE(crono_ano_ref,6,1),0),0,MAX(0,INT((EOMONTH(DATE(crono_ano_ref,6,1),0)-IF(Planos!$G213&gt;=DATE(crono_ano_ref,6,1),Planos!$G213,Planos!$G213+CEILING((DATE(crono_ano_ref,6,1)-Planos!$G213)/Planos!$E213,1)*Planos!$E213))/Planos!$E213)+1)))</f>
      </c>
      <c r="L215" s="44">
        <f>IF(OR(Planos!$A213="",NOT(ISNUMBER(Planos!$G213)),N(Planos!$E213)&lt;=0),0,IF(Planos!$G213&gt;EOMONTH(DATE(crono_ano_ref,7,1),0),0,MAX(0,INT((EOMONTH(DATE(crono_ano_ref,7,1),0)-IF(Planos!$G213&gt;=DATE(crono_ano_ref,7,1),Planos!$G213,Planos!$G213+CEILING((DATE(crono_ano_ref,7,1)-Planos!$G213)/Planos!$E213,1)*Planos!$E213))/Planos!$E213)+1)))</f>
      </c>
      <c r="M215" s="44">
        <f>IF(OR(Planos!$A213="",NOT(ISNUMBER(Planos!$G213)),N(Planos!$E213)&lt;=0),0,IF(Planos!$G213&gt;EOMONTH(DATE(crono_ano_ref,8,1),0),0,MAX(0,INT((EOMONTH(DATE(crono_ano_ref,8,1),0)-IF(Planos!$G213&gt;=DATE(crono_ano_ref,8,1),Planos!$G213,Planos!$G213+CEILING((DATE(crono_ano_ref,8,1)-Planos!$G213)/Planos!$E213,1)*Planos!$E213))/Planos!$E213)+1)))</f>
      </c>
      <c r="N215" s="44">
        <f>IF(OR(Planos!$A213="",NOT(ISNUMBER(Planos!$G213)),N(Planos!$E213)&lt;=0),0,IF(Planos!$G213&gt;EOMONTH(DATE(crono_ano_ref,9,1),0),0,MAX(0,INT((EOMONTH(DATE(crono_ano_ref,9,1),0)-IF(Planos!$G213&gt;=DATE(crono_ano_ref,9,1),Planos!$G213,Planos!$G213+CEILING((DATE(crono_ano_ref,9,1)-Planos!$G213)/Planos!$E213,1)*Planos!$E213))/Planos!$E213)+1)))</f>
      </c>
      <c r="O215" s="44">
        <f>IF(OR(Planos!$A213="",NOT(ISNUMBER(Planos!$G213)),N(Planos!$E213)&lt;=0),0,IF(Planos!$G213&gt;EOMONTH(DATE(crono_ano_ref,10,1),0),0,MAX(0,INT((EOMONTH(DATE(crono_ano_ref,10,1),0)-IF(Planos!$G213&gt;=DATE(crono_ano_ref,10,1),Planos!$G213,Planos!$G213+CEILING((DATE(crono_ano_ref,10,1)-Planos!$G213)/Planos!$E213,1)*Planos!$E213))/Planos!$E213)+1)))</f>
      </c>
      <c r="P215" s="44">
        <f>IF(OR(Planos!$A213="",NOT(ISNUMBER(Planos!$G213)),N(Planos!$E213)&lt;=0),0,IF(Planos!$G213&gt;EOMONTH(DATE(crono_ano_ref,11,1),0),0,MAX(0,INT((EOMONTH(DATE(crono_ano_ref,11,1),0)-IF(Planos!$G213&gt;=DATE(crono_ano_ref,11,1),Planos!$G213,Planos!$G213+CEILING((DATE(crono_ano_ref,11,1)-Planos!$G213)/Planos!$E213,1)*Planos!$E213))/Planos!$E213)+1)))</f>
      </c>
      <c r="Q215" s="44">
        <f>IF(OR(Planos!$A213="",NOT(ISNUMBER(Planos!$G213)),N(Planos!$E213)&lt;=0),0,IF(Planos!$G213&gt;EOMONTH(DATE(crono_ano_ref,12,1),0),0,MAX(0,INT((EOMONTH(DATE(crono_ano_ref,12,1),0)-IF(Planos!$G213&gt;=DATE(crono_ano_ref,12,1),Planos!$G213,Planos!$G213+CEILING((DATE(crono_ano_ref,12,1)-Planos!$G213)/Planos!$E213,1)*Planos!$E213))/Planos!$E213)+1)))</f>
      </c>
      <c r="R215" s="44">
        <f>SUM(F215:Q215)</f>
      </c>
    </row>
    <row r="216" spans="1:18" x14ac:dyDescent="0.25">
      <c r="A216" s="24">
        <f>IF(Planos!$A214="","",Planos!A214&amp;"")</f>
      </c>
      <c r="B216" s="41">
        <f>IF(Planos!$A214="","",Planos!B214&amp;"")</f>
      </c>
      <c r="C216" s="24">
        <f>IF(Planos!$A214="","",Planos!C214&amp;"")</f>
      </c>
      <c r="D216" s="42">
        <f>IF(Planos!$A214="","",N(Planos!E214))</f>
      </c>
      <c r="E216" s="43">
        <f>IF(Planos!$A214="","",N(Planos!K214))</f>
      </c>
      <c r="F216" s="44">
        <f>IF(OR(Planos!$A214="",NOT(ISNUMBER(Planos!$G214)),N(Planos!$E214)&lt;=0),0,IF(Planos!$G214&gt;EOMONTH(DATE(crono_ano_ref,1,1),0),0,MAX(0,INT((EOMONTH(DATE(crono_ano_ref,1,1),0)-IF(Planos!$G214&gt;=DATE(crono_ano_ref,1,1),Planos!$G214,Planos!$G214+CEILING((DATE(crono_ano_ref,1,1)-Planos!$G214)/Planos!$E214,1)*Planos!$E214))/Planos!$E214)+1)))</f>
      </c>
      <c r="G216" s="44">
        <f>IF(OR(Planos!$A214="",NOT(ISNUMBER(Planos!$G214)),N(Planos!$E214)&lt;=0),0,IF(Planos!$G214&gt;EOMONTH(DATE(crono_ano_ref,2,1),0),0,MAX(0,INT((EOMONTH(DATE(crono_ano_ref,2,1),0)-IF(Planos!$G214&gt;=DATE(crono_ano_ref,2,1),Planos!$G214,Planos!$G214+CEILING((DATE(crono_ano_ref,2,1)-Planos!$G214)/Planos!$E214,1)*Planos!$E214))/Planos!$E214)+1)))</f>
      </c>
      <c r="H216" s="44">
        <f>IF(OR(Planos!$A214="",NOT(ISNUMBER(Planos!$G214)),N(Planos!$E214)&lt;=0),0,IF(Planos!$G214&gt;EOMONTH(DATE(crono_ano_ref,3,1),0),0,MAX(0,INT((EOMONTH(DATE(crono_ano_ref,3,1),0)-IF(Planos!$G214&gt;=DATE(crono_ano_ref,3,1),Planos!$G214,Planos!$G214+CEILING((DATE(crono_ano_ref,3,1)-Planos!$G214)/Planos!$E214,1)*Planos!$E214))/Planos!$E214)+1)))</f>
      </c>
      <c r="I216" s="44">
        <f>IF(OR(Planos!$A214="",NOT(ISNUMBER(Planos!$G214)),N(Planos!$E214)&lt;=0),0,IF(Planos!$G214&gt;EOMONTH(DATE(crono_ano_ref,4,1),0),0,MAX(0,INT((EOMONTH(DATE(crono_ano_ref,4,1),0)-IF(Planos!$G214&gt;=DATE(crono_ano_ref,4,1),Planos!$G214,Planos!$G214+CEILING((DATE(crono_ano_ref,4,1)-Planos!$G214)/Planos!$E214,1)*Planos!$E214))/Planos!$E214)+1)))</f>
      </c>
      <c r="J216" s="44">
        <f>IF(OR(Planos!$A214="",NOT(ISNUMBER(Planos!$G214)),N(Planos!$E214)&lt;=0),0,IF(Planos!$G214&gt;EOMONTH(DATE(crono_ano_ref,5,1),0),0,MAX(0,INT((EOMONTH(DATE(crono_ano_ref,5,1),0)-IF(Planos!$G214&gt;=DATE(crono_ano_ref,5,1),Planos!$G214,Planos!$G214+CEILING((DATE(crono_ano_ref,5,1)-Planos!$G214)/Planos!$E214,1)*Planos!$E214))/Planos!$E214)+1)))</f>
      </c>
      <c r="K216" s="44">
        <f>IF(OR(Planos!$A214="",NOT(ISNUMBER(Planos!$G214)),N(Planos!$E214)&lt;=0),0,IF(Planos!$G214&gt;EOMONTH(DATE(crono_ano_ref,6,1),0),0,MAX(0,INT((EOMONTH(DATE(crono_ano_ref,6,1),0)-IF(Planos!$G214&gt;=DATE(crono_ano_ref,6,1),Planos!$G214,Planos!$G214+CEILING((DATE(crono_ano_ref,6,1)-Planos!$G214)/Planos!$E214,1)*Planos!$E214))/Planos!$E214)+1)))</f>
      </c>
      <c r="L216" s="44">
        <f>IF(OR(Planos!$A214="",NOT(ISNUMBER(Planos!$G214)),N(Planos!$E214)&lt;=0),0,IF(Planos!$G214&gt;EOMONTH(DATE(crono_ano_ref,7,1),0),0,MAX(0,INT((EOMONTH(DATE(crono_ano_ref,7,1),0)-IF(Planos!$G214&gt;=DATE(crono_ano_ref,7,1),Planos!$G214,Planos!$G214+CEILING((DATE(crono_ano_ref,7,1)-Planos!$G214)/Planos!$E214,1)*Planos!$E214))/Planos!$E214)+1)))</f>
      </c>
      <c r="M216" s="44">
        <f>IF(OR(Planos!$A214="",NOT(ISNUMBER(Planos!$G214)),N(Planos!$E214)&lt;=0),0,IF(Planos!$G214&gt;EOMONTH(DATE(crono_ano_ref,8,1),0),0,MAX(0,INT((EOMONTH(DATE(crono_ano_ref,8,1),0)-IF(Planos!$G214&gt;=DATE(crono_ano_ref,8,1),Planos!$G214,Planos!$G214+CEILING((DATE(crono_ano_ref,8,1)-Planos!$G214)/Planos!$E214,1)*Planos!$E214))/Planos!$E214)+1)))</f>
      </c>
      <c r="N216" s="44">
        <f>IF(OR(Planos!$A214="",NOT(ISNUMBER(Planos!$G214)),N(Planos!$E214)&lt;=0),0,IF(Planos!$G214&gt;EOMONTH(DATE(crono_ano_ref,9,1),0),0,MAX(0,INT((EOMONTH(DATE(crono_ano_ref,9,1),0)-IF(Planos!$G214&gt;=DATE(crono_ano_ref,9,1),Planos!$G214,Planos!$G214+CEILING((DATE(crono_ano_ref,9,1)-Planos!$G214)/Planos!$E214,1)*Planos!$E214))/Planos!$E214)+1)))</f>
      </c>
      <c r="O216" s="44">
        <f>IF(OR(Planos!$A214="",NOT(ISNUMBER(Planos!$G214)),N(Planos!$E214)&lt;=0),0,IF(Planos!$G214&gt;EOMONTH(DATE(crono_ano_ref,10,1),0),0,MAX(0,INT((EOMONTH(DATE(crono_ano_ref,10,1),0)-IF(Planos!$G214&gt;=DATE(crono_ano_ref,10,1),Planos!$G214,Planos!$G214+CEILING((DATE(crono_ano_ref,10,1)-Planos!$G214)/Planos!$E214,1)*Planos!$E214))/Planos!$E214)+1)))</f>
      </c>
      <c r="P216" s="44">
        <f>IF(OR(Planos!$A214="",NOT(ISNUMBER(Planos!$G214)),N(Planos!$E214)&lt;=0),0,IF(Planos!$G214&gt;EOMONTH(DATE(crono_ano_ref,11,1),0),0,MAX(0,INT((EOMONTH(DATE(crono_ano_ref,11,1),0)-IF(Planos!$G214&gt;=DATE(crono_ano_ref,11,1),Planos!$G214,Planos!$G214+CEILING((DATE(crono_ano_ref,11,1)-Planos!$G214)/Planos!$E214,1)*Planos!$E214))/Planos!$E214)+1)))</f>
      </c>
      <c r="Q216" s="44">
        <f>IF(OR(Planos!$A214="",NOT(ISNUMBER(Planos!$G214)),N(Planos!$E214)&lt;=0),0,IF(Planos!$G214&gt;EOMONTH(DATE(crono_ano_ref,12,1),0),0,MAX(0,INT((EOMONTH(DATE(crono_ano_ref,12,1),0)-IF(Planos!$G214&gt;=DATE(crono_ano_ref,12,1),Planos!$G214,Planos!$G214+CEILING((DATE(crono_ano_ref,12,1)-Planos!$G214)/Planos!$E214,1)*Planos!$E214))/Planos!$E214)+1)))</f>
      </c>
      <c r="R216" s="44">
        <f>SUM(F216:Q216)</f>
      </c>
    </row>
    <row r="217" spans="1:18" x14ac:dyDescent="0.25">
      <c r="A217" s="24">
        <f>IF(Planos!$A215="","",Planos!A215&amp;"")</f>
      </c>
      <c r="B217" s="41">
        <f>IF(Planos!$A215="","",Planos!B215&amp;"")</f>
      </c>
      <c r="C217" s="24">
        <f>IF(Planos!$A215="","",Planos!C215&amp;"")</f>
      </c>
      <c r="D217" s="42">
        <f>IF(Planos!$A215="","",N(Planos!E215))</f>
      </c>
      <c r="E217" s="43">
        <f>IF(Planos!$A215="","",N(Planos!K215))</f>
      </c>
      <c r="F217" s="44">
        <f>IF(OR(Planos!$A215="",NOT(ISNUMBER(Planos!$G215)),N(Planos!$E215)&lt;=0),0,IF(Planos!$G215&gt;EOMONTH(DATE(crono_ano_ref,1,1),0),0,MAX(0,INT((EOMONTH(DATE(crono_ano_ref,1,1),0)-IF(Planos!$G215&gt;=DATE(crono_ano_ref,1,1),Planos!$G215,Planos!$G215+CEILING((DATE(crono_ano_ref,1,1)-Planos!$G215)/Planos!$E215,1)*Planos!$E215))/Planos!$E215)+1)))</f>
      </c>
      <c r="G217" s="44">
        <f>IF(OR(Planos!$A215="",NOT(ISNUMBER(Planos!$G215)),N(Planos!$E215)&lt;=0),0,IF(Planos!$G215&gt;EOMONTH(DATE(crono_ano_ref,2,1),0),0,MAX(0,INT((EOMONTH(DATE(crono_ano_ref,2,1),0)-IF(Planos!$G215&gt;=DATE(crono_ano_ref,2,1),Planos!$G215,Planos!$G215+CEILING((DATE(crono_ano_ref,2,1)-Planos!$G215)/Planos!$E215,1)*Planos!$E215))/Planos!$E215)+1)))</f>
      </c>
      <c r="H217" s="44">
        <f>IF(OR(Planos!$A215="",NOT(ISNUMBER(Planos!$G215)),N(Planos!$E215)&lt;=0),0,IF(Planos!$G215&gt;EOMONTH(DATE(crono_ano_ref,3,1),0),0,MAX(0,INT((EOMONTH(DATE(crono_ano_ref,3,1),0)-IF(Planos!$G215&gt;=DATE(crono_ano_ref,3,1),Planos!$G215,Planos!$G215+CEILING((DATE(crono_ano_ref,3,1)-Planos!$G215)/Planos!$E215,1)*Planos!$E215))/Planos!$E215)+1)))</f>
      </c>
      <c r="I217" s="44">
        <f>IF(OR(Planos!$A215="",NOT(ISNUMBER(Planos!$G215)),N(Planos!$E215)&lt;=0),0,IF(Planos!$G215&gt;EOMONTH(DATE(crono_ano_ref,4,1),0),0,MAX(0,INT((EOMONTH(DATE(crono_ano_ref,4,1),0)-IF(Planos!$G215&gt;=DATE(crono_ano_ref,4,1),Planos!$G215,Planos!$G215+CEILING((DATE(crono_ano_ref,4,1)-Planos!$G215)/Planos!$E215,1)*Planos!$E215))/Planos!$E215)+1)))</f>
      </c>
      <c r="J217" s="44">
        <f>IF(OR(Planos!$A215="",NOT(ISNUMBER(Planos!$G215)),N(Planos!$E215)&lt;=0),0,IF(Planos!$G215&gt;EOMONTH(DATE(crono_ano_ref,5,1),0),0,MAX(0,INT((EOMONTH(DATE(crono_ano_ref,5,1),0)-IF(Planos!$G215&gt;=DATE(crono_ano_ref,5,1),Planos!$G215,Planos!$G215+CEILING((DATE(crono_ano_ref,5,1)-Planos!$G215)/Planos!$E215,1)*Planos!$E215))/Planos!$E215)+1)))</f>
      </c>
      <c r="K217" s="44">
        <f>IF(OR(Planos!$A215="",NOT(ISNUMBER(Planos!$G215)),N(Planos!$E215)&lt;=0),0,IF(Planos!$G215&gt;EOMONTH(DATE(crono_ano_ref,6,1),0),0,MAX(0,INT((EOMONTH(DATE(crono_ano_ref,6,1),0)-IF(Planos!$G215&gt;=DATE(crono_ano_ref,6,1),Planos!$G215,Planos!$G215+CEILING((DATE(crono_ano_ref,6,1)-Planos!$G215)/Planos!$E215,1)*Planos!$E215))/Planos!$E215)+1)))</f>
      </c>
      <c r="L217" s="44">
        <f>IF(OR(Planos!$A215="",NOT(ISNUMBER(Planos!$G215)),N(Planos!$E215)&lt;=0),0,IF(Planos!$G215&gt;EOMONTH(DATE(crono_ano_ref,7,1),0),0,MAX(0,INT((EOMONTH(DATE(crono_ano_ref,7,1),0)-IF(Planos!$G215&gt;=DATE(crono_ano_ref,7,1),Planos!$G215,Planos!$G215+CEILING((DATE(crono_ano_ref,7,1)-Planos!$G215)/Planos!$E215,1)*Planos!$E215))/Planos!$E215)+1)))</f>
      </c>
      <c r="M217" s="44">
        <f>IF(OR(Planos!$A215="",NOT(ISNUMBER(Planos!$G215)),N(Planos!$E215)&lt;=0),0,IF(Planos!$G215&gt;EOMONTH(DATE(crono_ano_ref,8,1),0),0,MAX(0,INT((EOMONTH(DATE(crono_ano_ref,8,1),0)-IF(Planos!$G215&gt;=DATE(crono_ano_ref,8,1),Planos!$G215,Planos!$G215+CEILING((DATE(crono_ano_ref,8,1)-Planos!$G215)/Planos!$E215,1)*Planos!$E215))/Planos!$E215)+1)))</f>
      </c>
      <c r="N217" s="44">
        <f>IF(OR(Planos!$A215="",NOT(ISNUMBER(Planos!$G215)),N(Planos!$E215)&lt;=0),0,IF(Planos!$G215&gt;EOMONTH(DATE(crono_ano_ref,9,1),0),0,MAX(0,INT((EOMONTH(DATE(crono_ano_ref,9,1),0)-IF(Planos!$G215&gt;=DATE(crono_ano_ref,9,1),Planos!$G215,Planos!$G215+CEILING((DATE(crono_ano_ref,9,1)-Planos!$G215)/Planos!$E215,1)*Planos!$E215))/Planos!$E215)+1)))</f>
      </c>
      <c r="O217" s="44">
        <f>IF(OR(Planos!$A215="",NOT(ISNUMBER(Planos!$G215)),N(Planos!$E215)&lt;=0),0,IF(Planos!$G215&gt;EOMONTH(DATE(crono_ano_ref,10,1),0),0,MAX(0,INT((EOMONTH(DATE(crono_ano_ref,10,1),0)-IF(Planos!$G215&gt;=DATE(crono_ano_ref,10,1),Planos!$G215,Planos!$G215+CEILING((DATE(crono_ano_ref,10,1)-Planos!$G215)/Planos!$E215,1)*Planos!$E215))/Planos!$E215)+1)))</f>
      </c>
      <c r="P217" s="44">
        <f>IF(OR(Planos!$A215="",NOT(ISNUMBER(Planos!$G215)),N(Planos!$E215)&lt;=0),0,IF(Planos!$G215&gt;EOMONTH(DATE(crono_ano_ref,11,1),0),0,MAX(0,INT((EOMONTH(DATE(crono_ano_ref,11,1),0)-IF(Planos!$G215&gt;=DATE(crono_ano_ref,11,1),Planos!$G215,Planos!$G215+CEILING((DATE(crono_ano_ref,11,1)-Planos!$G215)/Planos!$E215,1)*Planos!$E215))/Planos!$E215)+1)))</f>
      </c>
      <c r="Q217" s="44">
        <f>IF(OR(Planos!$A215="",NOT(ISNUMBER(Planos!$G215)),N(Planos!$E215)&lt;=0),0,IF(Planos!$G215&gt;EOMONTH(DATE(crono_ano_ref,12,1),0),0,MAX(0,INT((EOMONTH(DATE(crono_ano_ref,12,1),0)-IF(Planos!$G215&gt;=DATE(crono_ano_ref,12,1),Planos!$G215,Planos!$G215+CEILING((DATE(crono_ano_ref,12,1)-Planos!$G215)/Planos!$E215,1)*Planos!$E215))/Planos!$E215)+1)))</f>
      </c>
      <c r="R217" s="44">
        <f>SUM(F217:Q217)</f>
      </c>
    </row>
    <row r="218" spans="1:18" x14ac:dyDescent="0.25">
      <c r="A218" s="24">
        <f>IF(Planos!$A216="","",Planos!A216&amp;"")</f>
      </c>
      <c r="B218" s="41">
        <f>IF(Planos!$A216="","",Planos!B216&amp;"")</f>
      </c>
      <c r="C218" s="24">
        <f>IF(Planos!$A216="","",Planos!C216&amp;"")</f>
      </c>
      <c r="D218" s="42">
        <f>IF(Planos!$A216="","",N(Planos!E216))</f>
      </c>
      <c r="E218" s="43">
        <f>IF(Planos!$A216="","",N(Planos!K216))</f>
      </c>
      <c r="F218" s="44">
        <f>IF(OR(Planos!$A216="",NOT(ISNUMBER(Planos!$G216)),N(Planos!$E216)&lt;=0),0,IF(Planos!$G216&gt;EOMONTH(DATE(crono_ano_ref,1,1),0),0,MAX(0,INT((EOMONTH(DATE(crono_ano_ref,1,1),0)-IF(Planos!$G216&gt;=DATE(crono_ano_ref,1,1),Planos!$G216,Planos!$G216+CEILING((DATE(crono_ano_ref,1,1)-Planos!$G216)/Planos!$E216,1)*Planos!$E216))/Planos!$E216)+1)))</f>
      </c>
      <c r="G218" s="44">
        <f>IF(OR(Planos!$A216="",NOT(ISNUMBER(Planos!$G216)),N(Planos!$E216)&lt;=0),0,IF(Planos!$G216&gt;EOMONTH(DATE(crono_ano_ref,2,1),0),0,MAX(0,INT((EOMONTH(DATE(crono_ano_ref,2,1),0)-IF(Planos!$G216&gt;=DATE(crono_ano_ref,2,1),Planos!$G216,Planos!$G216+CEILING((DATE(crono_ano_ref,2,1)-Planos!$G216)/Planos!$E216,1)*Planos!$E216))/Planos!$E216)+1)))</f>
      </c>
      <c r="H218" s="44">
        <f>IF(OR(Planos!$A216="",NOT(ISNUMBER(Planos!$G216)),N(Planos!$E216)&lt;=0),0,IF(Planos!$G216&gt;EOMONTH(DATE(crono_ano_ref,3,1),0),0,MAX(0,INT((EOMONTH(DATE(crono_ano_ref,3,1),0)-IF(Planos!$G216&gt;=DATE(crono_ano_ref,3,1),Planos!$G216,Planos!$G216+CEILING((DATE(crono_ano_ref,3,1)-Planos!$G216)/Planos!$E216,1)*Planos!$E216))/Planos!$E216)+1)))</f>
      </c>
      <c r="I218" s="44">
        <f>IF(OR(Planos!$A216="",NOT(ISNUMBER(Planos!$G216)),N(Planos!$E216)&lt;=0),0,IF(Planos!$G216&gt;EOMONTH(DATE(crono_ano_ref,4,1),0),0,MAX(0,INT((EOMONTH(DATE(crono_ano_ref,4,1),0)-IF(Planos!$G216&gt;=DATE(crono_ano_ref,4,1),Planos!$G216,Planos!$G216+CEILING((DATE(crono_ano_ref,4,1)-Planos!$G216)/Planos!$E216,1)*Planos!$E216))/Planos!$E216)+1)))</f>
      </c>
      <c r="J218" s="44">
        <f>IF(OR(Planos!$A216="",NOT(ISNUMBER(Planos!$G216)),N(Planos!$E216)&lt;=0),0,IF(Planos!$G216&gt;EOMONTH(DATE(crono_ano_ref,5,1),0),0,MAX(0,INT((EOMONTH(DATE(crono_ano_ref,5,1),0)-IF(Planos!$G216&gt;=DATE(crono_ano_ref,5,1),Planos!$G216,Planos!$G216+CEILING((DATE(crono_ano_ref,5,1)-Planos!$G216)/Planos!$E216,1)*Planos!$E216))/Planos!$E216)+1)))</f>
      </c>
      <c r="K218" s="44">
        <f>IF(OR(Planos!$A216="",NOT(ISNUMBER(Planos!$G216)),N(Planos!$E216)&lt;=0),0,IF(Planos!$G216&gt;EOMONTH(DATE(crono_ano_ref,6,1),0),0,MAX(0,INT((EOMONTH(DATE(crono_ano_ref,6,1),0)-IF(Planos!$G216&gt;=DATE(crono_ano_ref,6,1),Planos!$G216,Planos!$G216+CEILING((DATE(crono_ano_ref,6,1)-Planos!$G216)/Planos!$E216,1)*Planos!$E216))/Planos!$E216)+1)))</f>
      </c>
      <c r="L218" s="44">
        <f>IF(OR(Planos!$A216="",NOT(ISNUMBER(Planos!$G216)),N(Planos!$E216)&lt;=0),0,IF(Planos!$G216&gt;EOMONTH(DATE(crono_ano_ref,7,1),0),0,MAX(0,INT((EOMONTH(DATE(crono_ano_ref,7,1),0)-IF(Planos!$G216&gt;=DATE(crono_ano_ref,7,1),Planos!$G216,Planos!$G216+CEILING((DATE(crono_ano_ref,7,1)-Planos!$G216)/Planos!$E216,1)*Planos!$E216))/Planos!$E216)+1)))</f>
      </c>
      <c r="M218" s="44">
        <f>IF(OR(Planos!$A216="",NOT(ISNUMBER(Planos!$G216)),N(Planos!$E216)&lt;=0),0,IF(Planos!$G216&gt;EOMONTH(DATE(crono_ano_ref,8,1),0),0,MAX(0,INT((EOMONTH(DATE(crono_ano_ref,8,1),0)-IF(Planos!$G216&gt;=DATE(crono_ano_ref,8,1),Planos!$G216,Planos!$G216+CEILING((DATE(crono_ano_ref,8,1)-Planos!$G216)/Planos!$E216,1)*Planos!$E216))/Planos!$E216)+1)))</f>
      </c>
      <c r="N218" s="44">
        <f>IF(OR(Planos!$A216="",NOT(ISNUMBER(Planos!$G216)),N(Planos!$E216)&lt;=0),0,IF(Planos!$G216&gt;EOMONTH(DATE(crono_ano_ref,9,1),0),0,MAX(0,INT((EOMONTH(DATE(crono_ano_ref,9,1),0)-IF(Planos!$G216&gt;=DATE(crono_ano_ref,9,1),Planos!$G216,Planos!$G216+CEILING((DATE(crono_ano_ref,9,1)-Planos!$G216)/Planos!$E216,1)*Planos!$E216))/Planos!$E216)+1)))</f>
      </c>
      <c r="O218" s="44">
        <f>IF(OR(Planos!$A216="",NOT(ISNUMBER(Planos!$G216)),N(Planos!$E216)&lt;=0),0,IF(Planos!$G216&gt;EOMONTH(DATE(crono_ano_ref,10,1),0),0,MAX(0,INT((EOMONTH(DATE(crono_ano_ref,10,1),0)-IF(Planos!$G216&gt;=DATE(crono_ano_ref,10,1),Planos!$G216,Planos!$G216+CEILING((DATE(crono_ano_ref,10,1)-Planos!$G216)/Planos!$E216,1)*Planos!$E216))/Planos!$E216)+1)))</f>
      </c>
      <c r="P218" s="44">
        <f>IF(OR(Planos!$A216="",NOT(ISNUMBER(Planos!$G216)),N(Planos!$E216)&lt;=0),0,IF(Planos!$G216&gt;EOMONTH(DATE(crono_ano_ref,11,1),0),0,MAX(0,INT((EOMONTH(DATE(crono_ano_ref,11,1),0)-IF(Planos!$G216&gt;=DATE(crono_ano_ref,11,1),Planos!$G216,Planos!$G216+CEILING((DATE(crono_ano_ref,11,1)-Planos!$G216)/Planos!$E216,1)*Planos!$E216))/Planos!$E216)+1)))</f>
      </c>
      <c r="Q218" s="44">
        <f>IF(OR(Planos!$A216="",NOT(ISNUMBER(Planos!$G216)),N(Planos!$E216)&lt;=0),0,IF(Planos!$G216&gt;EOMONTH(DATE(crono_ano_ref,12,1),0),0,MAX(0,INT((EOMONTH(DATE(crono_ano_ref,12,1),0)-IF(Planos!$G216&gt;=DATE(crono_ano_ref,12,1),Planos!$G216,Planos!$G216+CEILING((DATE(crono_ano_ref,12,1)-Planos!$G216)/Planos!$E216,1)*Planos!$E216))/Planos!$E216)+1)))</f>
      </c>
      <c r="R218" s="44">
        <f>SUM(F218:Q218)</f>
      </c>
    </row>
    <row r="219" spans="1:18" x14ac:dyDescent="0.25">
      <c r="A219" s="24">
        <f>IF(Planos!$A217="","",Planos!A217&amp;"")</f>
      </c>
      <c r="B219" s="41">
        <f>IF(Planos!$A217="","",Planos!B217&amp;"")</f>
      </c>
      <c r="C219" s="24">
        <f>IF(Planos!$A217="","",Planos!C217&amp;"")</f>
      </c>
      <c r="D219" s="42">
        <f>IF(Planos!$A217="","",N(Planos!E217))</f>
      </c>
      <c r="E219" s="43">
        <f>IF(Planos!$A217="","",N(Planos!K217))</f>
      </c>
      <c r="F219" s="44">
        <f>IF(OR(Planos!$A217="",NOT(ISNUMBER(Planos!$G217)),N(Planos!$E217)&lt;=0),0,IF(Planos!$G217&gt;EOMONTH(DATE(crono_ano_ref,1,1),0),0,MAX(0,INT((EOMONTH(DATE(crono_ano_ref,1,1),0)-IF(Planos!$G217&gt;=DATE(crono_ano_ref,1,1),Planos!$G217,Planos!$G217+CEILING((DATE(crono_ano_ref,1,1)-Planos!$G217)/Planos!$E217,1)*Planos!$E217))/Planos!$E217)+1)))</f>
      </c>
      <c r="G219" s="44">
        <f>IF(OR(Planos!$A217="",NOT(ISNUMBER(Planos!$G217)),N(Planos!$E217)&lt;=0),0,IF(Planos!$G217&gt;EOMONTH(DATE(crono_ano_ref,2,1),0),0,MAX(0,INT((EOMONTH(DATE(crono_ano_ref,2,1),0)-IF(Planos!$G217&gt;=DATE(crono_ano_ref,2,1),Planos!$G217,Planos!$G217+CEILING((DATE(crono_ano_ref,2,1)-Planos!$G217)/Planos!$E217,1)*Planos!$E217))/Planos!$E217)+1)))</f>
      </c>
      <c r="H219" s="44">
        <f>IF(OR(Planos!$A217="",NOT(ISNUMBER(Planos!$G217)),N(Planos!$E217)&lt;=0),0,IF(Planos!$G217&gt;EOMONTH(DATE(crono_ano_ref,3,1),0),0,MAX(0,INT((EOMONTH(DATE(crono_ano_ref,3,1),0)-IF(Planos!$G217&gt;=DATE(crono_ano_ref,3,1),Planos!$G217,Planos!$G217+CEILING((DATE(crono_ano_ref,3,1)-Planos!$G217)/Planos!$E217,1)*Planos!$E217))/Planos!$E217)+1)))</f>
      </c>
      <c r="I219" s="44">
        <f>IF(OR(Planos!$A217="",NOT(ISNUMBER(Planos!$G217)),N(Planos!$E217)&lt;=0),0,IF(Planos!$G217&gt;EOMONTH(DATE(crono_ano_ref,4,1),0),0,MAX(0,INT((EOMONTH(DATE(crono_ano_ref,4,1),0)-IF(Planos!$G217&gt;=DATE(crono_ano_ref,4,1),Planos!$G217,Planos!$G217+CEILING((DATE(crono_ano_ref,4,1)-Planos!$G217)/Planos!$E217,1)*Planos!$E217))/Planos!$E217)+1)))</f>
      </c>
      <c r="J219" s="44">
        <f>IF(OR(Planos!$A217="",NOT(ISNUMBER(Planos!$G217)),N(Planos!$E217)&lt;=0),0,IF(Planos!$G217&gt;EOMONTH(DATE(crono_ano_ref,5,1),0),0,MAX(0,INT((EOMONTH(DATE(crono_ano_ref,5,1),0)-IF(Planos!$G217&gt;=DATE(crono_ano_ref,5,1),Planos!$G217,Planos!$G217+CEILING((DATE(crono_ano_ref,5,1)-Planos!$G217)/Planos!$E217,1)*Planos!$E217))/Planos!$E217)+1)))</f>
      </c>
      <c r="K219" s="44">
        <f>IF(OR(Planos!$A217="",NOT(ISNUMBER(Planos!$G217)),N(Planos!$E217)&lt;=0),0,IF(Planos!$G217&gt;EOMONTH(DATE(crono_ano_ref,6,1),0),0,MAX(0,INT((EOMONTH(DATE(crono_ano_ref,6,1),0)-IF(Planos!$G217&gt;=DATE(crono_ano_ref,6,1),Planos!$G217,Planos!$G217+CEILING((DATE(crono_ano_ref,6,1)-Planos!$G217)/Planos!$E217,1)*Planos!$E217))/Planos!$E217)+1)))</f>
      </c>
      <c r="L219" s="44">
        <f>IF(OR(Planos!$A217="",NOT(ISNUMBER(Planos!$G217)),N(Planos!$E217)&lt;=0),0,IF(Planos!$G217&gt;EOMONTH(DATE(crono_ano_ref,7,1),0),0,MAX(0,INT((EOMONTH(DATE(crono_ano_ref,7,1),0)-IF(Planos!$G217&gt;=DATE(crono_ano_ref,7,1),Planos!$G217,Planos!$G217+CEILING((DATE(crono_ano_ref,7,1)-Planos!$G217)/Planos!$E217,1)*Planos!$E217))/Planos!$E217)+1)))</f>
      </c>
      <c r="M219" s="44">
        <f>IF(OR(Planos!$A217="",NOT(ISNUMBER(Planos!$G217)),N(Planos!$E217)&lt;=0),0,IF(Planos!$G217&gt;EOMONTH(DATE(crono_ano_ref,8,1),0),0,MAX(0,INT((EOMONTH(DATE(crono_ano_ref,8,1),0)-IF(Planos!$G217&gt;=DATE(crono_ano_ref,8,1),Planos!$G217,Planos!$G217+CEILING((DATE(crono_ano_ref,8,1)-Planos!$G217)/Planos!$E217,1)*Planos!$E217))/Planos!$E217)+1)))</f>
      </c>
      <c r="N219" s="44">
        <f>IF(OR(Planos!$A217="",NOT(ISNUMBER(Planos!$G217)),N(Planos!$E217)&lt;=0),0,IF(Planos!$G217&gt;EOMONTH(DATE(crono_ano_ref,9,1),0),0,MAX(0,INT((EOMONTH(DATE(crono_ano_ref,9,1),0)-IF(Planos!$G217&gt;=DATE(crono_ano_ref,9,1),Planos!$G217,Planos!$G217+CEILING((DATE(crono_ano_ref,9,1)-Planos!$G217)/Planos!$E217,1)*Planos!$E217))/Planos!$E217)+1)))</f>
      </c>
      <c r="O219" s="44">
        <f>IF(OR(Planos!$A217="",NOT(ISNUMBER(Planos!$G217)),N(Planos!$E217)&lt;=0),0,IF(Planos!$G217&gt;EOMONTH(DATE(crono_ano_ref,10,1),0),0,MAX(0,INT((EOMONTH(DATE(crono_ano_ref,10,1),0)-IF(Planos!$G217&gt;=DATE(crono_ano_ref,10,1),Planos!$G217,Planos!$G217+CEILING((DATE(crono_ano_ref,10,1)-Planos!$G217)/Planos!$E217,1)*Planos!$E217))/Planos!$E217)+1)))</f>
      </c>
      <c r="P219" s="44">
        <f>IF(OR(Planos!$A217="",NOT(ISNUMBER(Planos!$G217)),N(Planos!$E217)&lt;=0),0,IF(Planos!$G217&gt;EOMONTH(DATE(crono_ano_ref,11,1),0),0,MAX(0,INT((EOMONTH(DATE(crono_ano_ref,11,1),0)-IF(Planos!$G217&gt;=DATE(crono_ano_ref,11,1),Planos!$G217,Planos!$G217+CEILING((DATE(crono_ano_ref,11,1)-Planos!$G217)/Planos!$E217,1)*Planos!$E217))/Planos!$E217)+1)))</f>
      </c>
      <c r="Q219" s="44">
        <f>IF(OR(Planos!$A217="",NOT(ISNUMBER(Planos!$G217)),N(Planos!$E217)&lt;=0),0,IF(Planos!$G217&gt;EOMONTH(DATE(crono_ano_ref,12,1),0),0,MAX(0,INT((EOMONTH(DATE(crono_ano_ref,12,1),0)-IF(Planos!$G217&gt;=DATE(crono_ano_ref,12,1),Planos!$G217,Planos!$G217+CEILING((DATE(crono_ano_ref,12,1)-Planos!$G217)/Planos!$E217,1)*Planos!$E217))/Planos!$E217)+1)))</f>
      </c>
      <c r="R219" s="44">
        <f>SUM(F219:Q219)</f>
      </c>
    </row>
    <row r="220" spans="1:18" x14ac:dyDescent="0.25">
      <c r="A220" s="24">
        <f>IF(Planos!$A218="","",Planos!A218&amp;"")</f>
      </c>
      <c r="B220" s="41">
        <f>IF(Planos!$A218="","",Planos!B218&amp;"")</f>
      </c>
      <c r="C220" s="24">
        <f>IF(Planos!$A218="","",Planos!C218&amp;"")</f>
      </c>
      <c r="D220" s="42">
        <f>IF(Planos!$A218="","",N(Planos!E218))</f>
      </c>
      <c r="E220" s="43">
        <f>IF(Planos!$A218="","",N(Planos!K218))</f>
      </c>
      <c r="F220" s="44">
        <f>IF(OR(Planos!$A218="",NOT(ISNUMBER(Planos!$G218)),N(Planos!$E218)&lt;=0),0,IF(Planos!$G218&gt;EOMONTH(DATE(crono_ano_ref,1,1),0),0,MAX(0,INT((EOMONTH(DATE(crono_ano_ref,1,1),0)-IF(Planos!$G218&gt;=DATE(crono_ano_ref,1,1),Planos!$G218,Planos!$G218+CEILING((DATE(crono_ano_ref,1,1)-Planos!$G218)/Planos!$E218,1)*Planos!$E218))/Planos!$E218)+1)))</f>
      </c>
      <c r="G220" s="44">
        <f>IF(OR(Planos!$A218="",NOT(ISNUMBER(Planos!$G218)),N(Planos!$E218)&lt;=0),0,IF(Planos!$G218&gt;EOMONTH(DATE(crono_ano_ref,2,1),0),0,MAX(0,INT((EOMONTH(DATE(crono_ano_ref,2,1),0)-IF(Planos!$G218&gt;=DATE(crono_ano_ref,2,1),Planos!$G218,Planos!$G218+CEILING((DATE(crono_ano_ref,2,1)-Planos!$G218)/Planos!$E218,1)*Planos!$E218))/Planos!$E218)+1)))</f>
      </c>
      <c r="H220" s="44">
        <f>IF(OR(Planos!$A218="",NOT(ISNUMBER(Planos!$G218)),N(Planos!$E218)&lt;=0),0,IF(Planos!$G218&gt;EOMONTH(DATE(crono_ano_ref,3,1),0),0,MAX(0,INT((EOMONTH(DATE(crono_ano_ref,3,1),0)-IF(Planos!$G218&gt;=DATE(crono_ano_ref,3,1),Planos!$G218,Planos!$G218+CEILING((DATE(crono_ano_ref,3,1)-Planos!$G218)/Planos!$E218,1)*Planos!$E218))/Planos!$E218)+1)))</f>
      </c>
      <c r="I220" s="44">
        <f>IF(OR(Planos!$A218="",NOT(ISNUMBER(Planos!$G218)),N(Planos!$E218)&lt;=0),0,IF(Planos!$G218&gt;EOMONTH(DATE(crono_ano_ref,4,1),0),0,MAX(0,INT((EOMONTH(DATE(crono_ano_ref,4,1),0)-IF(Planos!$G218&gt;=DATE(crono_ano_ref,4,1),Planos!$G218,Planos!$G218+CEILING((DATE(crono_ano_ref,4,1)-Planos!$G218)/Planos!$E218,1)*Planos!$E218))/Planos!$E218)+1)))</f>
      </c>
      <c r="J220" s="44">
        <f>IF(OR(Planos!$A218="",NOT(ISNUMBER(Planos!$G218)),N(Planos!$E218)&lt;=0),0,IF(Planos!$G218&gt;EOMONTH(DATE(crono_ano_ref,5,1),0),0,MAX(0,INT((EOMONTH(DATE(crono_ano_ref,5,1),0)-IF(Planos!$G218&gt;=DATE(crono_ano_ref,5,1),Planos!$G218,Planos!$G218+CEILING((DATE(crono_ano_ref,5,1)-Planos!$G218)/Planos!$E218,1)*Planos!$E218))/Planos!$E218)+1)))</f>
      </c>
      <c r="K220" s="44">
        <f>IF(OR(Planos!$A218="",NOT(ISNUMBER(Planos!$G218)),N(Planos!$E218)&lt;=0),0,IF(Planos!$G218&gt;EOMONTH(DATE(crono_ano_ref,6,1),0),0,MAX(0,INT((EOMONTH(DATE(crono_ano_ref,6,1),0)-IF(Planos!$G218&gt;=DATE(crono_ano_ref,6,1),Planos!$G218,Planos!$G218+CEILING((DATE(crono_ano_ref,6,1)-Planos!$G218)/Planos!$E218,1)*Planos!$E218))/Planos!$E218)+1)))</f>
      </c>
      <c r="L220" s="44">
        <f>IF(OR(Planos!$A218="",NOT(ISNUMBER(Planos!$G218)),N(Planos!$E218)&lt;=0),0,IF(Planos!$G218&gt;EOMONTH(DATE(crono_ano_ref,7,1),0),0,MAX(0,INT((EOMONTH(DATE(crono_ano_ref,7,1),0)-IF(Planos!$G218&gt;=DATE(crono_ano_ref,7,1),Planos!$G218,Planos!$G218+CEILING((DATE(crono_ano_ref,7,1)-Planos!$G218)/Planos!$E218,1)*Planos!$E218))/Planos!$E218)+1)))</f>
      </c>
      <c r="M220" s="44">
        <f>IF(OR(Planos!$A218="",NOT(ISNUMBER(Planos!$G218)),N(Planos!$E218)&lt;=0),0,IF(Planos!$G218&gt;EOMONTH(DATE(crono_ano_ref,8,1),0),0,MAX(0,INT((EOMONTH(DATE(crono_ano_ref,8,1),0)-IF(Planos!$G218&gt;=DATE(crono_ano_ref,8,1),Planos!$G218,Planos!$G218+CEILING((DATE(crono_ano_ref,8,1)-Planos!$G218)/Planos!$E218,1)*Planos!$E218))/Planos!$E218)+1)))</f>
      </c>
      <c r="N220" s="44">
        <f>IF(OR(Planos!$A218="",NOT(ISNUMBER(Planos!$G218)),N(Planos!$E218)&lt;=0),0,IF(Planos!$G218&gt;EOMONTH(DATE(crono_ano_ref,9,1),0),0,MAX(0,INT((EOMONTH(DATE(crono_ano_ref,9,1),0)-IF(Planos!$G218&gt;=DATE(crono_ano_ref,9,1),Planos!$G218,Planos!$G218+CEILING((DATE(crono_ano_ref,9,1)-Planos!$G218)/Planos!$E218,1)*Planos!$E218))/Planos!$E218)+1)))</f>
      </c>
      <c r="O220" s="44">
        <f>IF(OR(Planos!$A218="",NOT(ISNUMBER(Planos!$G218)),N(Planos!$E218)&lt;=0),0,IF(Planos!$G218&gt;EOMONTH(DATE(crono_ano_ref,10,1),0),0,MAX(0,INT((EOMONTH(DATE(crono_ano_ref,10,1),0)-IF(Planos!$G218&gt;=DATE(crono_ano_ref,10,1),Planos!$G218,Planos!$G218+CEILING((DATE(crono_ano_ref,10,1)-Planos!$G218)/Planos!$E218,1)*Planos!$E218))/Planos!$E218)+1)))</f>
      </c>
      <c r="P220" s="44">
        <f>IF(OR(Planos!$A218="",NOT(ISNUMBER(Planos!$G218)),N(Planos!$E218)&lt;=0),0,IF(Planos!$G218&gt;EOMONTH(DATE(crono_ano_ref,11,1),0),0,MAX(0,INT((EOMONTH(DATE(crono_ano_ref,11,1),0)-IF(Planos!$G218&gt;=DATE(crono_ano_ref,11,1),Planos!$G218,Planos!$G218+CEILING((DATE(crono_ano_ref,11,1)-Planos!$G218)/Planos!$E218,1)*Planos!$E218))/Planos!$E218)+1)))</f>
      </c>
      <c r="Q220" s="44">
        <f>IF(OR(Planos!$A218="",NOT(ISNUMBER(Planos!$G218)),N(Planos!$E218)&lt;=0),0,IF(Planos!$G218&gt;EOMONTH(DATE(crono_ano_ref,12,1),0),0,MAX(0,INT((EOMONTH(DATE(crono_ano_ref,12,1),0)-IF(Planos!$G218&gt;=DATE(crono_ano_ref,12,1),Planos!$G218,Planos!$G218+CEILING((DATE(crono_ano_ref,12,1)-Planos!$G218)/Planos!$E218,1)*Planos!$E218))/Planos!$E218)+1)))</f>
      </c>
      <c r="R220" s="44">
        <f>SUM(F220:Q220)</f>
      </c>
    </row>
    <row r="221" spans="1:18" x14ac:dyDescent="0.25">
      <c r="A221" s="24">
        <f>IF(Planos!$A219="","",Planos!A219&amp;"")</f>
      </c>
      <c r="B221" s="41">
        <f>IF(Planos!$A219="","",Planos!B219&amp;"")</f>
      </c>
      <c r="C221" s="24">
        <f>IF(Planos!$A219="","",Planos!C219&amp;"")</f>
      </c>
      <c r="D221" s="42">
        <f>IF(Planos!$A219="","",N(Planos!E219))</f>
      </c>
      <c r="E221" s="43">
        <f>IF(Planos!$A219="","",N(Planos!K219))</f>
      </c>
      <c r="F221" s="44">
        <f>IF(OR(Planos!$A219="",NOT(ISNUMBER(Planos!$G219)),N(Planos!$E219)&lt;=0),0,IF(Planos!$G219&gt;EOMONTH(DATE(crono_ano_ref,1,1),0),0,MAX(0,INT((EOMONTH(DATE(crono_ano_ref,1,1),0)-IF(Planos!$G219&gt;=DATE(crono_ano_ref,1,1),Planos!$G219,Planos!$G219+CEILING((DATE(crono_ano_ref,1,1)-Planos!$G219)/Planos!$E219,1)*Planos!$E219))/Planos!$E219)+1)))</f>
      </c>
      <c r="G221" s="44">
        <f>IF(OR(Planos!$A219="",NOT(ISNUMBER(Planos!$G219)),N(Planos!$E219)&lt;=0),0,IF(Planos!$G219&gt;EOMONTH(DATE(crono_ano_ref,2,1),0),0,MAX(0,INT((EOMONTH(DATE(crono_ano_ref,2,1),0)-IF(Planos!$G219&gt;=DATE(crono_ano_ref,2,1),Planos!$G219,Planos!$G219+CEILING((DATE(crono_ano_ref,2,1)-Planos!$G219)/Planos!$E219,1)*Planos!$E219))/Planos!$E219)+1)))</f>
      </c>
      <c r="H221" s="44">
        <f>IF(OR(Planos!$A219="",NOT(ISNUMBER(Planos!$G219)),N(Planos!$E219)&lt;=0),0,IF(Planos!$G219&gt;EOMONTH(DATE(crono_ano_ref,3,1),0),0,MAX(0,INT((EOMONTH(DATE(crono_ano_ref,3,1),0)-IF(Planos!$G219&gt;=DATE(crono_ano_ref,3,1),Planos!$G219,Planos!$G219+CEILING((DATE(crono_ano_ref,3,1)-Planos!$G219)/Planos!$E219,1)*Planos!$E219))/Planos!$E219)+1)))</f>
      </c>
      <c r="I221" s="44">
        <f>IF(OR(Planos!$A219="",NOT(ISNUMBER(Planos!$G219)),N(Planos!$E219)&lt;=0),0,IF(Planos!$G219&gt;EOMONTH(DATE(crono_ano_ref,4,1),0),0,MAX(0,INT((EOMONTH(DATE(crono_ano_ref,4,1),0)-IF(Planos!$G219&gt;=DATE(crono_ano_ref,4,1),Planos!$G219,Planos!$G219+CEILING((DATE(crono_ano_ref,4,1)-Planos!$G219)/Planos!$E219,1)*Planos!$E219))/Planos!$E219)+1)))</f>
      </c>
      <c r="J221" s="44">
        <f>IF(OR(Planos!$A219="",NOT(ISNUMBER(Planos!$G219)),N(Planos!$E219)&lt;=0),0,IF(Planos!$G219&gt;EOMONTH(DATE(crono_ano_ref,5,1),0),0,MAX(0,INT((EOMONTH(DATE(crono_ano_ref,5,1),0)-IF(Planos!$G219&gt;=DATE(crono_ano_ref,5,1),Planos!$G219,Planos!$G219+CEILING((DATE(crono_ano_ref,5,1)-Planos!$G219)/Planos!$E219,1)*Planos!$E219))/Planos!$E219)+1)))</f>
      </c>
      <c r="K221" s="44">
        <f>IF(OR(Planos!$A219="",NOT(ISNUMBER(Planos!$G219)),N(Planos!$E219)&lt;=0),0,IF(Planos!$G219&gt;EOMONTH(DATE(crono_ano_ref,6,1),0),0,MAX(0,INT((EOMONTH(DATE(crono_ano_ref,6,1),0)-IF(Planos!$G219&gt;=DATE(crono_ano_ref,6,1),Planos!$G219,Planos!$G219+CEILING((DATE(crono_ano_ref,6,1)-Planos!$G219)/Planos!$E219,1)*Planos!$E219))/Planos!$E219)+1)))</f>
      </c>
      <c r="L221" s="44">
        <f>IF(OR(Planos!$A219="",NOT(ISNUMBER(Planos!$G219)),N(Planos!$E219)&lt;=0),0,IF(Planos!$G219&gt;EOMONTH(DATE(crono_ano_ref,7,1),0),0,MAX(0,INT((EOMONTH(DATE(crono_ano_ref,7,1),0)-IF(Planos!$G219&gt;=DATE(crono_ano_ref,7,1),Planos!$G219,Planos!$G219+CEILING((DATE(crono_ano_ref,7,1)-Planos!$G219)/Planos!$E219,1)*Planos!$E219))/Planos!$E219)+1)))</f>
      </c>
      <c r="M221" s="44">
        <f>IF(OR(Planos!$A219="",NOT(ISNUMBER(Planos!$G219)),N(Planos!$E219)&lt;=0),0,IF(Planos!$G219&gt;EOMONTH(DATE(crono_ano_ref,8,1),0),0,MAX(0,INT((EOMONTH(DATE(crono_ano_ref,8,1),0)-IF(Planos!$G219&gt;=DATE(crono_ano_ref,8,1),Planos!$G219,Planos!$G219+CEILING((DATE(crono_ano_ref,8,1)-Planos!$G219)/Planos!$E219,1)*Planos!$E219))/Planos!$E219)+1)))</f>
      </c>
      <c r="N221" s="44">
        <f>IF(OR(Planos!$A219="",NOT(ISNUMBER(Planos!$G219)),N(Planos!$E219)&lt;=0),0,IF(Planos!$G219&gt;EOMONTH(DATE(crono_ano_ref,9,1),0),0,MAX(0,INT((EOMONTH(DATE(crono_ano_ref,9,1),0)-IF(Planos!$G219&gt;=DATE(crono_ano_ref,9,1),Planos!$G219,Planos!$G219+CEILING((DATE(crono_ano_ref,9,1)-Planos!$G219)/Planos!$E219,1)*Planos!$E219))/Planos!$E219)+1)))</f>
      </c>
      <c r="O221" s="44">
        <f>IF(OR(Planos!$A219="",NOT(ISNUMBER(Planos!$G219)),N(Planos!$E219)&lt;=0),0,IF(Planos!$G219&gt;EOMONTH(DATE(crono_ano_ref,10,1),0),0,MAX(0,INT((EOMONTH(DATE(crono_ano_ref,10,1),0)-IF(Planos!$G219&gt;=DATE(crono_ano_ref,10,1),Planos!$G219,Planos!$G219+CEILING((DATE(crono_ano_ref,10,1)-Planos!$G219)/Planos!$E219,1)*Planos!$E219))/Planos!$E219)+1)))</f>
      </c>
      <c r="P221" s="44">
        <f>IF(OR(Planos!$A219="",NOT(ISNUMBER(Planos!$G219)),N(Planos!$E219)&lt;=0),0,IF(Planos!$G219&gt;EOMONTH(DATE(crono_ano_ref,11,1),0),0,MAX(0,INT((EOMONTH(DATE(crono_ano_ref,11,1),0)-IF(Planos!$G219&gt;=DATE(crono_ano_ref,11,1),Planos!$G219,Planos!$G219+CEILING((DATE(crono_ano_ref,11,1)-Planos!$G219)/Planos!$E219,1)*Planos!$E219))/Planos!$E219)+1)))</f>
      </c>
      <c r="Q221" s="44">
        <f>IF(OR(Planos!$A219="",NOT(ISNUMBER(Planos!$G219)),N(Planos!$E219)&lt;=0),0,IF(Planos!$G219&gt;EOMONTH(DATE(crono_ano_ref,12,1),0),0,MAX(0,INT((EOMONTH(DATE(crono_ano_ref,12,1),0)-IF(Planos!$G219&gt;=DATE(crono_ano_ref,12,1),Planos!$G219,Planos!$G219+CEILING((DATE(crono_ano_ref,12,1)-Planos!$G219)/Planos!$E219,1)*Planos!$E219))/Planos!$E219)+1)))</f>
      </c>
      <c r="R221" s="44">
        <f>SUM(F221:Q221)</f>
      </c>
    </row>
    <row r="222" spans="1:18" x14ac:dyDescent="0.25">
      <c r="A222" s="24">
        <f>IF(Planos!$A220="","",Planos!A220&amp;"")</f>
      </c>
      <c r="B222" s="41">
        <f>IF(Planos!$A220="","",Planos!B220&amp;"")</f>
      </c>
      <c r="C222" s="24">
        <f>IF(Planos!$A220="","",Planos!C220&amp;"")</f>
      </c>
      <c r="D222" s="42">
        <f>IF(Planos!$A220="","",N(Planos!E220))</f>
      </c>
      <c r="E222" s="43">
        <f>IF(Planos!$A220="","",N(Planos!K220))</f>
      </c>
      <c r="F222" s="44">
        <f>IF(OR(Planos!$A220="",NOT(ISNUMBER(Planos!$G220)),N(Planos!$E220)&lt;=0),0,IF(Planos!$G220&gt;EOMONTH(DATE(crono_ano_ref,1,1),0),0,MAX(0,INT((EOMONTH(DATE(crono_ano_ref,1,1),0)-IF(Planos!$G220&gt;=DATE(crono_ano_ref,1,1),Planos!$G220,Planos!$G220+CEILING((DATE(crono_ano_ref,1,1)-Planos!$G220)/Planos!$E220,1)*Planos!$E220))/Planos!$E220)+1)))</f>
      </c>
      <c r="G222" s="44">
        <f>IF(OR(Planos!$A220="",NOT(ISNUMBER(Planos!$G220)),N(Planos!$E220)&lt;=0),0,IF(Planos!$G220&gt;EOMONTH(DATE(crono_ano_ref,2,1),0),0,MAX(0,INT((EOMONTH(DATE(crono_ano_ref,2,1),0)-IF(Planos!$G220&gt;=DATE(crono_ano_ref,2,1),Planos!$G220,Planos!$G220+CEILING((DATE(crono_ano_ref,2,1)-Planos!$G220)/Planos!$E220,1)*Planos!$E220))/Planos!$E220)+1)))</f>
      </c>
      <c r="H222" s="44">
        <f>IF(OR(Planos!$A220="",NOT(ISNUMBER(Planos!$G220)),N(Planos!$E220)&lt;=0),0,IF(Planos!$G220&gt;EOMONTH(DATE(crono_ano_ref,3,1),0),0,MAX(0,INT((EOMONTH(DATE(crono_ano_ref,3,1),0)-IF(Planos!$G220&gt;=DATE(crono_ano_ref,3,1),Planos!$G220,Planos!$G220+CEILING((DATE(crono_ano_ref,3,1)-Planos!$G220)/Planos!$E220,1)*Planos!$E220))/Planos!$E220)+1)))</f>
      </c>
      <c r="I222" s="44">
        <f>IF(OR(Planos!$A220="",NOT(ISNUMBER(Planos!$G220)),N(Planos!$E220)&lt;=0),0,IF(Planos!$G220&gt;EOMONTH(DATE(crono_ano_ref,4,1),0),0,MAX(0,INT((EOMONTH(DATE(crono_ano_ref,4,1),0)-IF(Planos!$G220&gt;=DATE(crono_ano_ref,4,1),Planos!$G220,Planos!$G220+CEILING((DATE(crono_ano_ref,4,1)-Planos!$G220)/Planos!$E220,1)*Planos!$E220))/Planos!$E220)+1)))</f>
      </c>
      <c r="J222" s="44">
        <f>IF(OR(Planos!$A220="",NOT(ISNUMBER(Planos!$G220)),N(Planos!$E220)&lt;=0),0,IF(Planos!$G220&gt;EOMONTH(DATE(crono_ano_ref,5,1),0),0,MAX(0,INT((EOMONTH(DATE(crono_ano_ref,5,1),0)-IF(Planos!$G220&gt;=DATE(crono_ano_ref,5,1),Planos!$G220,Planos!$G220+CEILING((DATE(crono_ano_ref,5,1)-Planos!$G220)/Planos!$E220,1)*Planos!$E220))/Planos!$E220)+1)))</f>
      </c>
      <c r="K222" s="44">
        <f>IF(OR(Planos!$A220="",NOT(ISNUMBER(Planos!$G220)),N(Planos!$E220)&lt;=0),0,IF(Planos!$G220&gt;EOMONTH(DATE(crono_ano_ref,6,1),0),0,MAX(0,INT((EOMONTH(DATE(crono_ano_ref,6,1),0)-IF(Planos!$G220&gt;=DATE(crono_ano_ref,6,1),Planos!$G220,Planos!$G220+CEILING((DATE(crono_ano_ref,6,1)-Planos!$G220)/Planos!$E220,1)*Planos!$E220))/Planos!$E220)+1)))</f>
      </c>
      <c r="L222" s="44">
        <f>IF(OR(Planos!$A220="",NOT(ISNUMBER(Planos!$G220)),N(Planos!$E220)&lt;=0),0,IF(Planos!$G220&gt;EOMONTH(DATE(crono_ano_ref,7,1),0),0,MAX(0,INT((EOMONTH(DATE(crono_ano_ref,7,1),0)-IF(Planos!$G220&gt;=DATE(crono_ano_ref,7,1),Planos!$G220,Planos!$G220+CEILING((DATE(crono_ano_ref,7,1)-Planos!$G220)/Planos!$E220,1)*Planos!$E220))/Planos!$E220)+1)))</f>
      </c>
      <c r="M222" s="44">
        <f>IF(OR(Planos!$A220="",NOT(ISNUMBER(Planos!$G220)),N(Planos!$E220)&lt;=0),0,IF(Planos!$G220&gt;EOMONTH(DATE(crono_ano_ref,8,1),0),0,MAX(0,INT((EOMONTH(DATE(crono_ano_ref,8,1),0)-IF(Planos!$G220&gt;=DATE(crono_ano_ref,8,1),Planos!$G220,Planos!$G220+CEILING((DATE(crono_ano_ref,8,1)-Planos!$G220)/Planos!$E220,1)*Planos!$E220))/Planos!$E220)+1)))</f>
      </c>
      <c r="N222" s="44">
        <f>IF(OR(Planos!$A220="",NOT(ISNUMBER(Planos!$G220)),N(Planos!$E220)&lt;=0),0,IF(Planos!$G220&gt;EOMONTH(DATE(crono_ano_ref,9,1),0),0,MAX(0,INT((EOMONTH(DATE(crono_ano_ref,9,1),0)-IF(Planos!$G220&gt;=DATE(crono_ano_ref,9,1),Planos!$G220,Planos!$G220+CEILING((DATE(crono_ano_ref,9,1)-Planos!$G220)/Planos!$E220,1)*Planos!$E220))/Planos!$E220)+1)))</f>
      </c>
      <c r="O222" s="44">
        <f>IF(OR(Planos!$A220="",NOT(ISNUMBER(Planos!$G220)),N(Planos!$E220)&lt;=0),0,IF(Planos!$G220&gt;EOMONTH(DATE(crono_ano_ref,10,1),0),0,MAX(0,INT((EOMONTH(DATE(crono_ano_ref,10,1),0)-IF(Planos!$G220&gt;=DATE(crono_ano_ref,10,1),Planos!$G220,Planos!$G220+CEILING((DATE(crono_ano_ref,10,1)-Planos!$G220)/Planos!$E220,1)*Planos!$E220))/Planos!$E220)+1)))</f>
      </c>
      <c r="P222" s="44">
        <f>IF(OR(Planos!$A220="",NOT(ISNUMBER(Planos!$G220)),N(Planos!$E220)&lt;=0),0,IF(Planos!$G220&gt;EOMONTH(DATE(crono_ano_ref,11,1),0),0,MAX(0,INT((EOMONTH(DATE(crono_ano_ref,11,1),0)-IF(Planos!$G220&gt;=DATE(crono_ano_ref,11,1),Planos!$G220,Planos!$G220+CEILING((DATE(crono_ano_ref,11,1)-Planos!$G220)/Planos!$E220,1)*Planos!$E220))/Planos!$E220)+1)))</f>
      </c>
      <c r="Q222" s="44">
        <f>IF(OR(Planos!$A220="",NOT(ISNUMBER(Planos!$G220)),N(Planos!$E220)&lt;=0),0,IF(Planos!$G220&gt;EOMONTH(DATE(crono_ano_ref,12,1),0),0,MAX(0,INT((EOMONTH(DATE(crono_ano_ref,12,1),0)-IF(Planos!$G220&gt;=DATE(crono_ano_ref,12,1),Planos!$G220,Planos!$G220+CEILING((DATE(crono_ano_ref,12,1)-Planos!$G220)/Planos!$E220,1)*Planos!$E220))/Planos!$E220)+1)))</f>
      </c>
      <c r="R222" s="44">
        <f>SUM(F222:Q222)</f>
      </c>
    </row>
    <row r="223" spans="1:18" x14ac:dyDescent="0.25">
      <c r="A223" s="24">
        <f>IF(Planos!$A221="","",Planos!A221&amp;"")</f>
      </c>
      <c r="B223" s="41">
        <f>IF(Planos!$A221="","",Planos!B221&amp;"")</f>
      </c>
      <c r="C223" s="24">
        <f>IF(Planos!$A221="","",Planos!C221&amp;"")</f>
      </c>
      <c r="D223" s="42">
        <f>IF(Planos!$A221="","",N(Planos!E221))</f>
      </c>
      <c r="E223" s="43">
        <f>IF(Planos!$A221="","",N(Planos!K221))</f>
      </c>
      <c r="F223" s="44">
        <f>IF(OR(Planos!$A221="",NOT(ISNUMBER(Planos!$G221)),N(Planos!$E221)&lt;=0),0,IF(Planos!$G221&gt;EOMONTH(DATE(crono_ano_ref,1,1),0),0,MAX(0,INT((EOMONTH(DATE(crono_ano_ref,1,1),0)-IF(Planos!$G221&gt;=DATE(crono_ano_ref,1,1),Planos!$G221,Planos!$G221+CEILING((DATE(crono_ano_ref,1,1)-Planos!$G221)/Planos!$E221,1)*Planos!$E221))/Planos!$E221)+1)))</f>
      </c>
      <c r="G223" s="44">
        <f>IF(OR(Planos!$A221="",NOT(ISNUMBER(Planos!$G221)),N(Planos!$E221)&lt;=0),0,IF(Planos!$G221&gt;EOMONTH(DATE(crono_ano_ref,2,1),0),0,MAX(0,INT((EOMONTH(DATE(crono_ano_ref,2,1),0)-IF(Planos!$G221&gt;=DATE(crono_ano_ref,2,1),Planos!$G221,Planos!$G221+CEILING((DATE(crono_ano_ref,2,1)-Planos!$G221)/Planos!$E221,1)*Planos!$E221))/Planos!$E221)+1)))</f>
      </c>
      <c r="H223" s="44">
        <f>IF(OR(Planos!$A221="",NOT(ISNUMBER(Planos!$G221)),N(Planos!$E221)&lt;=0),0,IF(Planos!$G221&gt;EOMONTH(DATE(crono_ano_ref,3,1),0),0,MAX(0,INT((EOMONTH(DATE(crono_ano_ref,3,1),0)-IF(Planos!$G221&gt;=DATE(crono_ano_ref,3,1),Planos!$G221,Planos!$G221+CEILING((DATE(crono_ano_ref,3,1)-Planos!$G221)/Planos!$E221,1)*Planos!$E221))/Planos!$E221)+1)))</f>
      </c>
      <c r="I223" s="44">
        <f>IF(OR(Planos!$A221="",NOT(ISNUMBER(Planos!$G221)),N(Planos!$E221)&lt;=0),0,IF(Planos!$G221&gt;EOMONTH(DATE(crono_ano_ref,4,1),0),0,MAX(0,INT((EOMONTH(DATE(crono_ano_ref,4,1),0)-IF(Planos!$G221&gt;=DATE(crono_ano_ref,4,1),Planos!$G221,Planos!$G221+CEILING((DATE(crono_ano_ref,4,1)-Planos!$G221)/Planos!$E221,1)*Planos!$E221))/Planos!$E221)+1)))</f>
      </c>
      <c r="J223" s="44">
        <f>IF(OR(Planos!$A221="",NOT(ISNUMBER(Planos!$G221)),N(Planos!$E221)&lt;=0),0,IF(Planos!$G221&gt;EOMONTH(DATE(crono_ano_ref,5,1),0),0,MAX(0,INT((EOMONTH(DATE(crono_ano_ref,5,1),0)-IF(Planos!$G221&gt;=DATE(crono_ano_ref,5,1),Planos!$G221,Planos!$G221+CEILING((DATE(crono_ano_ref,5,1)-Planos!$G221)/Planos!$E221,1)*Planos!$E221))/Planos!$E221)+1)))</f>
      </c>
      <c r="K223" s="44">
        <f>IF(OR(Planos!$A221="",NOT(ISNUMBER(Planos!$G221)),N(Planos!$E221)&lt;=0),0,IF(Planos!$G221&gt;EOMONTH(DATE(crono_ano_ref,6,1),0),0,MAX(0,INT((EOMONTH(DATE(crono_ano_ref,6,1),0)-IF(Planos!$G221&gt;=DATE(crono_ano_ref,6,1),Planos!$G221,Planos!$G221+CEILING((DATE(crono_ano_ref,6,1)-Planos!$G221)/Planos!$E221,1)*Planos!$E221))/Planos!$E221)+1)))</f>
      </c>
      <c r="L223" s="44">
        <f>IF(OR(Planos!$A221="",NOT(ISNUMBER(Planos!$G221)),N(Planos!$E221)&lt;=0),0,IF(Planos!$G221&gt;EOMONTH(DATE(crono_ano_ref,7,1),0),0,MAX(0,INT((EOMONTH(DATE(crono_ano_ref,7,1),0)-IF(Planos!$G221&gt;=DATE(crono_ano_ref,7,1),Planos!$G221,Planos!$G221+CEILING((DATE(crono_ano_ref,7,1)-Planos!$G221)/Planos!$E221,1)*Planos!$E221))/Planos!$E221)+1)))</f>
      </c>
      <c r="M223" s="44">
        <f>IF(OR(Planos!$A221="",NOT(ISNUMBER(Planos!$G221)),N(Planos!$E221)&lt;=0),0,IF(Planos!$G221&gt;EOMONTH(DATE(crono_ano_ref,8,1),0),0,MAX(0,INT((EOMONTH(DATE(crono_ano_ref,8,1),0)-IF(Planos!$G221&gt;=DATE(crono_ano_ref,8,1),Planos!$G221,Planos!$G221+CEILING((DATE(crono_ano_ref,8,1)-Planos!$G221)/Planos!$E221,1)*Planos!$E221))/Planos!$E221)+1)))</f>
      </c>
      <c r="N223" s="44">
        <f>IF(OR(Planos!$A221="",NOT(ISNUMBER(Planos!$G221)),N(Planos!$E221)&lt;=0),0,IF(Planos!$G221&gt;EOMONTH(DATE(crono_ano_ref,9,1),0),0,MAX(0,INT((EOMONTH(DATE(crono_ano_ref,9,1),0)-IF(Planos!$G221&gt;=DATE(crono_ano_ref,9,1),Planos!$G221,Planos!$G221+CEILING((DATE(crono_ano_ref,9,1)-Planos!$G221)/Planos!$E221,1)*Planos!$E221))/Planos!$E221)+1)))</f>
      </c>
      <c r="O223" s="44">
        <f>IF(OR(Planos!$A221="",NOT(ISNUMBER(Planos!$G221)),N(Planos!$E221)&lt;=0),0,IF(Planos!$G221&gt;EOMONTH(DATE(crono_ano_ref,10,1),0),0,MAX(0,INT((EOMONTH(DATE(crono_ano_ref,10,1),0)-IF(Planos!$G221&gt;=DATE(crono_ano_ref,10,1),Planos!$G221,Planos!$G221+CEILING((DATE(crono_ano_ref,10,1)-Planos!$G221)/Planos!$E221,1)*Planos!$E221))/Planos!$E221)+1)))</f>
      </c>
      <c r="P223" s="44">
        <f>IF(OR(Planos!$A221="",NOT(ISNUMBER(Planos!$G221)),N(Planos!$E221)&lt;=0),0,IF(Planos!$G221&gt;EOMONTH(DATE(crono_ano_ref,11,1),0),0,MAX(0,INT((EOMONTH(DATE(crono_ano_ref,11,1),0)-IF(Planos!$G221&gt;=DATE(crono_ano_ref,11,1),Planos!$G221,Planos!$G221+CEILING((DATE(crono_ano_ref,11,1)-Planos!$G221)/Planos!$E221,1)*Planos!$E221))/Planos!$E221)+1)))</f>
      </c>
      <c r="Q223" s="44">
        <f>IF(OR(Planos!$A221="",NOT(ISNUMBER(Planos!$G221)),N(Planos!$E221)&lt;=0),0,IF(Planos!$G221&gt;EOMONTH(DATE(crono_ano_ref,12,1),0),0,MAX(0,INT((EOMONTH(DATE(crono_ano_ref,12,1),0)-IF(Planos!$G221&gt;=DATE(crono_ano_ref,12,1),Planos!$G221,Planos!$G221+CEILING((DATE(crono_ano_ref,12,1)-Planos!$G221)/Planos!$E221,1)*Planos!$E221))/Planos!$E221)+1)))</f>
      </c>
      <c r="R223" s="44">
        <f>SUM(F223:Q223)</f>
      </c>
    </row>
    <row r="224" spans="1:18" x14ac:dyDescent="0.25">
      <c r="A224" s="24">
        <f>IF(Planos!$A222="","",Planos!A222&amp;"")</f>
      </c>
      <c r="B224" s="41">
        <f>IF(Planos!$A222="","",Planos!B222&amp;"")</f>
      </c>
      <c r="C224" s="24">
        <f>IF(Planos!$A222="","",Planos!C222&amp;"")</f>
      </c>
      <c r="D224" s="42">
        <f>IF(Planos!$A222="","",N(Planos!E222))</f>
      </c>
      <c r="E224" s="43">
        <f>IF(Planos!$A222="","",N(Planos!K222))</f>
      </c>
      <c r="F224" s="44">
        <f>IF(OR(Planos!$A222="",NOT(ISNUMBER(Planos!$G222)),N(Planos!$E222)&lt;=0),0,IF(Planos!$G222&gt;EOMONTH(DATE(crono_ano_ref,1,1),0),0,MAX(0,INT((EOMONTH(DATE(crono_ano_ref,1,1),0)-IF(Planos!$G222&gt;=DATE(crono_ano_ref,1,1),Planos!$G222,Planos!$G222+CEILING((DATE(crono_ano_ref,1,1)-Planos!$G222)/Planos!$E222,1)*Planos!$E222))/Planos!$E222)+1)))</f>
      </c>
      <c r="G224" s="44">
        <f>IF(OR(Planos!$A222="",NOT(ISNUMBER(Planos!$G222)),N(Planos!$E222)&lt;=0),0,IF(Planos!$G222&gt;EOMONTH(DATE(crono_ano_ref,2,1),0),0,MAX(0,INT((EOMONTH(DATE(crono_ano_ref,2,1),0)-IF(Planos!$G222&gt;=DATE(crono_ano_ref,2,1),Planos!$G222,Planos!$G222+CEILING((DATE(crono_ano_ref,2,1)-Planos!$G222)/Planos!$E222,1)*Planos!$E222))/Planos!$E222)+1)))</f>
      </c>
      <c r="H224" s="44">
        <f>IF(OR(Planos!$A222="",NOT(ISNUMBER(Planos!$G222)),N(Planos!$E222)&lt;=0),0,IF(Planos!$G222&gt;EOMONTH(DATE(crono_ano_ref,3,1),0),0,MAX(0,INT((EOMONTH(DATE(crono_ano_ref,3,1),0)-IF(Planos!$G222&gt;=DATE(crono_ano_ref,3,1),Planos!$G222,Planos!$G222+CEILING((DATE(crono_ano_ref,3,1)-Planos!$G222)/Planos!$E222,1)*Planos!$E222))/Planos!$E222)+1)))</f>
      </c>
      <c r="I224" s="44">
        <f>IF(OR(Planos!$A222="",NOT(ISNUMBER(Planos!$G222)),N(Planos!$E222)&lt;=0),0,IF(Planos!$G222&gt;EOMONTH(DATE(crono_ano_ref,4,1),0),0,MAX(0,INT((EOMONTH(DATE(crono_ano_ref,4,1),0)-IF(Planos!$G222&gt;=DATE(crono_ano_ref,4,1),Planos!$G222,Planos!$G222+CEILING((DATE(crono_ano_ref,4,1)-Planos!$G222)/Planos!$E222,1)*Planos!$E222))/Planos!$E222)+1)))</f>
      </c>
      <c r="J224" s="44">
        <f>IF(OR(Planos!$A222="",NOT(ISNUMBER(Planos!$G222)),N(Planos!$E222)&lt;=0),0,IF(Planos!$G222&gt;EOMONTH(DATE(crono_ano_ref,5,1),0),0,MAX(0,INT((EOMONTH(DATE(crono_ano_ref,5,1),0)-IF(Planos!$G222&gt;=DATE(crono_ano_ref,5,1),Planos!$G222,Planos!$G222+CEILING((DATE(crono_ano_ref,5,1)-Planos!$G222)/Planos!$E222,1)*Planos!$E222))/Planos!$E222)+1)))</f>
      </c>
      <c r="K224" s="44">
        <f>IF(OR(Planos!$A222="",NOT(ISNUMBER(Planos!$G222)),N(Planos!$E222)&lt;=0),0,IF(Planos!$G222&gt;EOMONTH(DATE(crono_ano_ref,6,1),0),0,MAX(0,INT((EOMONTH(DATE(crono_ano_ref,6,1),0)-IF(Planos!$G222&gt;=DATE(crono_ano_ref,6,1),Planos!$G222,Planos!$G222+CEILING((DATE(crono_ano_ref,6,1)-Planos!$G222)/Planos!$E222,1)*Planos!$E222))/Planos!$E222)+1)))</f>
      </c>
      <c r="L224" s="44">
        <f>IF(OR(Planos!$A222="",NOT(ISNUMBER(Planos!$G222)),N(Planos!$E222)&lt;=0),0,IF(Planos!$G222&gt;EOMONTH(DATE(crono_ano_ref,7,1),0),0,MAX(0,INT((EOMONTH(DATE(crono_ano_ref,7,1),0)-IF(Planos!$G222&gt;=DATE(crono_ano_ref,7,1),Planos!$G222,Planos!$G222+CEILING((DATE(crono_ano_ref,7,1)-Planos!$G222)/Planos!$E222,1)*Planos!$E222))/Planos!$E222)+1)))</f>
      </c>
      <c r="M224" s="44">
        <f>IF(OR(Planos!$A222="",NOT(ISNUMBER(Planos!$G222)),N(Planos!$E222)&lt;=0),0,IF(Planos!$G222&gt;EOMONTH(DATE(crono_ano_ref,8,1),0),0,MAX(0,INT((EOMONTH(DATE(crono_ano_ref,8,1),0)-IF(Planos!$G222&gt;=DATE(crono_ano_ref,8,1),Planos!$G222,Planos!$G222+CEILING((DATE(crono_ano_ref,8,1)-Planos!$G222)/Planos!$E222,1)*Planos!$E222))/Planos!$E222)+1)))</f>
      </c>
      <c r="N224" s="44">
        <f>IF(OR(Planos!$A222="",NOT(ISNUMBER(Planos!$G222)),N(Planos!$E222)&lt;=0),0,IF(Planos!$G222&gt;EOMONTH(DATE(crono_ano_ref,9,1),0),0,MAX(0,INT((EOMONTH(DATE(crono_ano_ref,9,1),0)-IF(Planos!$G222&gt;=DATE(crono_ano_ref,9,1),Planos!$G222,Planos!$G222+CEILING((DATE(crono_ano_ref,9,1)-Planos!$G222)/Planos!$E222,1)*Planos!$E222))/Planos!$E222)+1)))</f>
      </c>
      <c r="O224" s="44">
        <f>IF(OR(Planos!$A222="",NOT(ISNUMBER(Planos!$G222)),N(Planos!$E222)&lt;=0),0,IF(Planos!$G222&gt;EOMONTH(DATE(crono_ano_ref,10,1),0),0,MAX(0,INT((EOMONTH(DATE(crono_ano_ref,10,1),0)-IF(Planos!$G222&gt;=DATE(crono_ano_ref,10,1),Planos!$G222,Planos!$G222+CEILING((DATE(crono_ano_ref,10,1)-Planos!$G222)/Planos!$E222,1)*Planos!$E222))/Planos!$E222)+1)))</f>
      </c>
      <c r="P224" s="44">
        <f>IF(OR(Planos!$A222="",NOT(ISNUMBER(Planos!$G222)),N(Planos!$E222)&lt;=0),0,IF(Planos!$G222&gt;EOMONTH(DATE(crono_ano_ref,11,1),0),0,MAX(0,INT((EOMONTH(DATE(crono_ano_ref,11,1),0)-IF(Planos!$G222&gt;=DATE(crono_ano_ref,11,1),Planos!$G222,Planos!$G222+CEILING((DATE(crono_ano_ref,11,1)-Planos!$G222)/Planos!$E222,1)*Planos!$E222))/Planos!$E222)+1)))</f>
      </c>
      <c r="Q224" s="44">
        <f>IF(OR(Planos!$A222="",NOT(ISNUMBER(Planos!$G222)),N(Planos!$E222)&lt;=0),0,IF(Planos!$G222&gt;EOMONTH(DATE(crono_ano_ref,12,1),0),0,MAX(0,INT((EOMONTH(DATE(crono_ano_ref,12,1),0)-IF(Planos!$G222&gt;=DATE(crono_ano_ref,12,1),Planos!$G222,Planos!$G222+CEILING((DATE(crono_ano_ref,12,1)-Planos!$G222)/Planos!$E222,1)*Planos!$E222))/Planos!$E222)+1)))</f>
      </c>
      <c r="R224" s="44">
        <f>SUM(F224:Q224)</f>
      </c>
    </row>
    <row r="225" spans="1:18" x14ac:dyDescent="0.25">
      <c r="A225" s="24">
        <f>IF(Planos!$A223="","",Planos!A223&amp;"")</f>
      </c>
      <c r="B225" s="41">
        <f>IF(Planos!$A223="","",Planos!B223&amp;"")</f>
      </c>
      <c r="C225" s="24">
        <f>IF(Planos!$A223="","",Planos!C223&amp;"")</f>
      </c>
      <c r="D225" s="42">
        <f>IF(Planos!$A223="","",N(Planos!E223))</f>
      </c>
      <c r="E225" s="43">
        <f>IF(Planos!$A223="","",N(Planos!K223))</f>
      </c>
      <c r="F225" s="44">
        <f>IF(OR(Planos!$A223="",NOT(ISNUMBER(Planos!$G223)),N(Planos!$E223)&lt;=0),0,IF(Planos!$G223&gt;EOMONTH(DATE(crono_ano_ref,1,1),0),0,MAX(0,INT((EOMONTH(DATE(crono_ano_ref,1,1),0)-IF(Planos!$G223&gt;=DATE(crono_ano_ref,1,1),Planos!$G223,Planos!$G223+CEILING((DATE(crono_ano_ref,1,1)-Planos!$G223)/Planos!$E223,1)*Planos!$E223))/Planos!$E223)+1)))</f>
      </c>
      <c r="G225" s="44">
        <f>IF(OR(Planos!$A223="",NOT(ISNUMBER(Planos!$G223)),N(Planos!$E223)&lt;=0),0,IF(Planos!$G223&gt;EOMONTH(DATE(crono_ano_ref,2,1),0),0,MAX(0,INT((EOMONTH(DATE(crono_ano_ref,2,1),0)-IF(Planos!$G223&gt;=DATE(crono_ano_ref,2,1),Planos!$G223,Planos!$G223+CEILING((DATE(crono_ano_ref,2,1)-Planos!$G223)/Planos!$E223,1)*Planos!$E223))/Planos!$E223)+1)))</f>
      </c>
      <c r="H225" s="44">
        <f>IF(OR(Planos!$A223="",NOT(ISNUMBER(Planos!$G223)),N(Planos!$E223)&lt;=0),0,IF(Planos!$G223&gt;EOMONTH(DATE(crono_ano_ref,3,1),0),0,MAX(0,INT((EOMONTH(DATE(crono_ano_ref,3,1),0)-IF(Planos!$G223&gt;=DATE(crono_ano_ref,3,1),Planos!$G223,Planos!$G223+CEILING((DATE(crono_ano_ref,3,1)-Planos!$G223)/Planos!$E223,1)*Planos!$E223))/Planos!$E223)+1)))</f>
      </c>
      <c r="I225" s="44">
        <f>IF(OR(Planos!$A223="",NOT(ISNUMBER(Planos!$G223)),N(Planos!$E223)&lt;=0),0,IF(Planos!$G223&gt;EOMONTH(DATE(crono_ano_ref,4,1),0),0,MAX(0,INT((EOMONTH(DATE(crono_ano_ref,4,1),0)-IF(Planos!$G223&gt;=DATE(crono_ano_ref,4,1),Planos!$G223,Planos!$G223+CEILING((DATE(crono_ano_ref,4,1)-Planos!$G223)/Planos!$E223,1)*Planos!$E223))/Planos!$E223)+1)))</f>
      </c>
      <c r="J225" s="44">
        <f>IF(OR(Planos!$A223="",NOT(ISNUMBER(Planos!$G223)),N(Planos!$E223)&lt;=0),0,IF(Planos!$G223&gt;EOMONTH(DATE(crono_ano_ref,5,1),0),0,MAX(0,INT((EOMONTH(DATE(crono_ano_ref,5,1),0)-IF(Planos!$G223&gt;=DATE(crono_ano_ref,5,1),Planos!$G223,Planos!$G223+CEILING((DATE(crono_ano_ref,5,1)-Planos!$G223)/Planos!$E223,1)*Planos!$E223))/Planos!$E223)+1)))</f>
      </c>
      <c r="K225" s="44">
        <f>IF(OR(Planos!$A223="",NOT(ISNUMBER(Planos!$G223)),N(Planos!$E223)&lt;=0),0,IF(Planos!$G223&gt;EOMONTH(DATE(crono_ano_ref,6,1),0),0,MAX(0,INT((EOMONTH(DATE(crono_ano_ref,6,1),0)-IF(Planos!$G223&gt;=DATE(crono_ano_ref,6,1),Planos!$G223,Planos!$G223+CEILING((DATE(crono_ano_ref,6,1)-Planos!$G223)/Planos!$E223,1)*Planos!$E223))/Planos!$E223)+1)))</f>
      </c>
      <c r="L225" s="44">
        <f>IF(OR(Planos!$A223="",NOT(ISNUMBER(Planos!$G223)),N(Planos!$E223)&lt;=0),0,IF(Planos!$G223&gt;EOMONTH(DATE(crono_ano_ref,7,1),0),0,MAX(0,INT((EOMONTH(DATE(crono_ano_ref,7,1),0)-IF(Planos!$G223&gt;=DATE(crono_ano_ref,7,1),Planos!$G223,Planos!$G223+CEILING((DATE(crono_ano_ref,7,1)-Planos!$G223)/Planos!$E223,1)*Planos!$E223))/Planos!$E223)+1)))</f>
      </c>
      <c r="M225" s="44">
        <f>IF(OR(Planos!$A223="",NOT(ISNUMBER(Planos!$G223)),N(Planos!$E223)&lt;=0),0,IF(Planos!$G223&gt;EOMONTH(DATE(crono_ano_ref,8,1),0),0,MAX(0,INT((EOMONTH(DATE(crono_ano_ref,8,1),0)-IF(Planos!$G223&gt;=DATE(crono_ano_ref,8,1),Planos!$G223,Planos!$G223+CEILING((DATE(crono_ano_ref,8,1)-Planos!$G223)/Planos!$E223,1)*Planos!$E223))/Planos!$E223)+1)))</f>
      </c>
      <c r="N225" s="44">
        <f>IF(OR(Planos!$A223="",NOT(ISNUMBER(Planos!$G223)),N(Planos!$E223)&lt;=0),0,IF(Planos!$G223&gt;EOMONTH(DATE(crono_ano_ref,9,1),0),0,MAX(0,INT((EOMONTH(DATE(crono_ano_ref,9,1),0)-IF(Planos!$G223&gt;=DATE(crono_ano_ref,9,1),Planos!$G223,Planos!$G223+CEILING((DATE(crono_ano_ref,9,1)-Planos!$G223)/Planos!$E223,1)*Planos!$E223))/Planos!$E223)+1)))</f>
      </c>
      <c r="O225" s="44">
        <f>IF(OR(Planos!$A223="",NOT(ISNUMBER(Planos!$G223)),N(Planos!$E223)&lt;=0),0,IF(Planos!$G223&gt;EOMONTH(DATE(crono_ano_ref,10,1),0),0,MAX(0,INT((EOMONTH(DATE(crono_ano_ref,10,1),0)-IF(Planos!$G223&gt;=DATE(crono_ano_ref,10,1),Planos!$G223,Planos!$G223+CEILING((DATE(crono_ano_ref,10,1)-Planos!$G223)/Planos!$E223,1)*Planos!$E223))/Planos!$E223)+1)))</f>
      </c>
      <c r="P225" s="44">
        <f>IF(OR(Planos!$A223="",NOT(ISNUMBER(Planos!$G223)),N(Planos!$E223)&lt;=0),0,IF(Planos!$G223&gt;EOMONTH(DATE(crono_ano_ref,11,1),0),0,MAX(0,INT((EOMONTH(DATE(crono_ano_ref,11,1),0)-IF(Planos!$G223&gt;=DATE(crono_ano_ref,11,1),Planos!$G223,Planos!$G223+CEILING((DATE(crono_ano_ref,11,1)-Planos!$G223)/Planos!$E223,1)*Planos!$E223))/Planos!$E223)+1)))</f>
      </c>
      <c r="Q225" s="44">
        <f>IF(OR(Planos!$A223="",NOT(ISNUMBER(Planos!$G223)),N(Planos!$E223)&lt;=0),0,IF(Planos!$G223&gt;EOMONTH(DATE(crono_ano_ref,12,1),0),0,MAX(0,INT((EOMONTH(DATE(crono_ano_ref,12,1),0)-IF(Planos!$G223&gt;=DATE(crono_ano_ref,12,1),Planos!$G223,Planos!$G223+CEILING((DATE(crono_ano_ref,12,1)-Planos!$G223)/Planos!$E223,1)*Planos!$E223))/Planos!$E223)+1)))</f>
      </c>
      <c r="R225" s="44">
        <f>SUM(F225:Q225)</f>
      </c>
    </row>
    <row r="226" spans="1:18" x14ac:dyDescent="0.25">
      <c r="A226" s="24">
        <f>IF(Planos!$A224="","",Planos!A224&amp;"")</f>
      </c>
      <c r="B226" s="41">
        <f>IF(Planos!$A224="","",Planos!B224&amp;"")</f>
      </c>
      <c r="C226" s="24">
        <f>IF(Planos!$A224="","",Planos!C224&amp;"")</f>
      </c>
      <c r="D226" s="42">
        <f>IF(Planos!$A224="","",N(Planos!E224))</f>
      </c>
      <c r="E226" s="43">
        <f>IF(Planos!$A224="","",N(Planos!K224))</f>
      </c>
      <c r="F226" s="44">
        <f>IF(OR(Planos!$A224="",NOT(ISNUMBER(Planos!$G224)),N(Planos!$E224)&lt;=0),0,IF(Planos!$G224&gt;EOMONTH(DATE(crono_ano_ref,1,1),0),0,MAX(0,INT((EOMONTH(DATE(crono_ano_ref,1,1),0)-IF(Planos!$G224&gt;=DATE(crono_ano_ref,1,1),Planos!$G224,Planos!$G224+CEILING((DATE(crono_ano_ref,1,1)-Planos!$G224)/Planos!$E224,1)*Planos!$E224))/Planos!$E224)+1)))</f>
      </c>
      <c r="G226" s="44">
        <f>IF(OR(Planos!$A224="",NOT(ISNUMBER(Planos!$G224)),N(Planos!$E224)&lt;=0),0,IF(Planos!$G224&gt;EOMONTH(DATE(crono_ano_ref,2,1),0),0,MAX(0,INT((EOMONTH(DATE(crono_ano_ref,2,1),0)-IF(Planos!$G224&gt;=DATE(crono_ano_ref,2,1),Planos!$G224,Planos!$G224+CEILING((DATE(crono_ano_ref,2,1)-Planos!$G224)/Planos!$E224,1)*Planos!$E224))/Planos!$E224)+1)))</f>
      </c>
      <c r="H226" s="44">
        <f>IF(OR(Planos!$A224="",NOT(ISNUMBER(Planos!$G224)),N(Planos!$E224)&lt;=0),0,IF(Planos!$G224&gt;EOMONTH(DATE(crono_ano_ref,3,1),0),0,MAX(0,INT((EOMONTH(DATE(crono_ano_ref,3,1),0)-IF(Planos!$G224&gt;=DATE(crono_ano_ref,3,1),Planos!$G224,Planos!$G224+CEILING((DATE(crono_ano_ref,3,1)-Planos!$G224)/Planos!$E224,1)*Planos!$E224))/Planos!$E224)+1)))</f>
      </c>
      <c r="I226" s="44">
        <f>IF(OR(Planos!$A224="",NOT(ISNUMBER(Planos!$G224)),N(Planos!$E224)&lt;=0),0,IF(Planos!$G224&gt;EOMONTH(DATE(crono_ano_ref,4,1),0),0,MAX(0,INT((EOMONTH(DATE(crono_ano_ref,4,1),0)-IF(Planos!$G224&gt;=DATE(crono_ano_ref,4,1),Planos!$G224,Planos!$G224+CEILING((DATE(crono_ano_ref,4,1)-Planos!$G224)/Planos!$E224,1)*Planos!$E224))/Planos!$E224)+1)))</f>
      </c>
      <c r="J226" s="44">
        <f>IF(OR(Planos!$A224="",NOT(ISNUMBER(Planos!$G224)),N(Planos!$E224)&lt;=0),0,IF(Planos!$G224&gt;EOMONTH(DATE(crono_ano_ref,5,1),0),0,MAX(0,INT((EOMONTH(DATE(crono_ano_ref,5,1),0)-IF(Planos!$G224&gt;=DATE(crono_ano_ref,5,1),Planos!$G224,Planos!$G224+CEILING((DATE(crono_ano_ref,5,1)-Planos!$G224)/Planos!$E224,1)*Planos!$E224))/Planos!$E224)+1)))</f>
      </c>
      <c r="K226" s="44">
        <f>IF(OR(Planos!$A224="",NOT(ISNUMBER(Planos!$G224)),N(Planos!$E224)&lt;=0),0,IF(Planos!$G224&gt;EOMONTH(DATE(crono_ano_ref,6,1),0),0,MAX(0,INT((EOMONTH(DATE(crono_ano_ref,6,1),0)-IF(Planos!$G224&gt;=DATE(crono_ano_ref,6,1),Planos!$G224,Planos!$G224+CEILING((DATE(crono_ano_ref,6,1)-Planos!$G224)/Planos!$E224,1)*Planos!$E224))/Planos!$E224)+1)))</f>
      </c>
      <c r="L226" s="44">
        <f>IF(OR(Planos!$A224="",NOT(ISNUMBER(Planos!$G224)),N(Planos!$E224)&lt;=0),0,IF(Planos!$G224&gt;EOMONTH(DATE(crono_ano_ref,7,1),0),0,MAX(0,INT((EOMONTH(DATE(crono_ano_ref,7,1),0)-IF(Planos!$G224&gt;=DATE(crono_ano_ref,7,1),Planos!$G224,Planos!$G224+CEILING((DATE(crono_ano_ref,7,1)-Planos!$G224)/Planos!$E224,1)*Planos!$E224))/Planos!$E224)+1)))</f>
      </c>
      <c r="M226" s="44">
        <f>IF(OR(Planos!$A224="",NOT(ISNUMBER(Planos!$G224)),N(Planos!$E224)&lt;=0),0,IF(Planos!$G224&gt;EOMONTH(DATE(crono_ano_ref,8,1),0),0,MAX(0,INT((EOMONTH(DATE(crono_ano_ref,8,1),0)-IF(Planos!$G224&gt;=DATE(crono_ano_ref,8,1),Planos!$G224,Planos!$G224+CEILING((DATE(crono_ano_ref,8,1)-Planos!$G224)/Planos!$E224,1)*Planos!$E224))/Planos!$E224)+1)))</f>
      </c>
      <c r="N226" s="44">
        <f>IF(OR(Planos!$A224="",NOT(ISNUMBER(Planos!$G224)),N(Planos!$E224)&lt;=0),0,IF(Planos!$G224&gt;EOMONTH(DATE(crono_ano_ref,9,1),0),0,MAX(0,INT((EOMONTH(DATE(crono_ano_ref,9,1),0)-IF(Planos!$G224&gt;=DATE(crono_ano_ref,9,1),Planos!$G224,Planos!$G224+CEILING((DATE(crono_ano_ref,9,1)-Planos!$G224)/Planos!$E224,1)*Planos!$E224))/Planos!$E224)+1)))</f>
      </c>
      <c r="O226" s="44">
        <f>IF(OR(Planos!$A224="",NOT(ISNUMBER(Planos!$G224)),N(Planos!$E224)&lt;=0),0,IF(Planos!$G224&gt;EOMONTH(DATE(crono_ano_ref,10,1),0),0,MAX(0,INT((EOMONTH(DATE(crono_ano_ref,10,1),0)-IF(Planos!$G224&gt;=DATE(crono_ano_ref,10,1),Planos!$G224,Planos!$G224+CEILING((DATE(crono_ano_ref,10,1)-Planos!$G224)/Planos!$E224,1)*Planos!$E224))/Planos!$E224)+1)))</f>
      </c>
      <c r="P226" s="44">
        <f>IF(OR(Planos!$A224="",NOT(ISNUMBER(Planos!$G224)),N(Planos!$E224)&lt;=0),0,IF(Planos!$G224&gt;EOMONTH(DATE(crono_ano_ref,11,1),0),0,MAX(0,INT((EOMONTH(DATE(crono_ano_ref,11,1),0)-IF(Planos!$G224&gt;=DATE(crono_ano_ref,11,1),Planos!$G224,Planos!$G224+CEILING((DATE(crono_ano_ref,11,1)-Planos!$G224)/Planos!$E224,1)*Planos!$E224))/Planos!$E224)+1)))</f>
      </c>
      <c r="Q226" s="44">
        <f>IF(OR(Planos!$A224="",NOT(ISNUMBER(Planos!$G224)),N(Planos!$E224)&lt;=0),0,IF(Planos!$G224&gt;EOMONTH(DATE(crono_ano_ref,12,1),0),0,MAX(0,INT((EOMONTH(DATE(crono_ano_ref,12,1),0)-IF(Planos!$G224&gt;=DATE(crono_ano_ref,12,1),Planos!$G224,Planos!$G224+CEILING((DATE(crono_ano_ref,12,1)-Planos!$G224)/Planos!$E224,1)*Planos!$E224))/Planos!$E224)+1)))</f>
      </c>
      <c r="R226" s="44">
        <f>SUM(F226:Q226)</f>
      </c>
    </row>
    <row r="227" spans="1:18" x14ac:dyDescent="0.25">
      <c r="A227" s="24">
        <f>IF(Planos!$A225="","",Planos!A225&amp;"")</f>
      </c>
      <c r="B227" s="41">
        <f>IF(Planos!$A225="","",Planos!B225&amp;"")</f>
      </c>
      <c r="C227" s="24">
        <f>IF(Planos!$A225="","",Planos!C225&amp;"")</f>
      </c>
      <c r="D227" s="42">
        <f>IF(Planos!$A225="","",N(Planos!E225))</f>
      </c>
      <c r="E227" s="43">
        <f>IF(Planos!$A225="","",N(Planos!K225))</f>
      </c>
      <c r="F227" s="44">
        <f>IF(OR(Planos!$A225="",NOT(ISNUMBER(Planos!$G225)),N(Planos!$E225)&lt;=0),0,IF(Planos!$G225&gt;EOMONTH(DATE(crono_ano_ref,1,1),0),0,MAX(0,INT((EOMONTH(DATE(crono_ano_ref,1,1),0)-IF(Planos!$G225&gt;=DATE(crono_ano_ref,1,1),Planos!$G225,Planos!$G225+CEILING((DATE(crono_ano_ref,1,1)-Planos!$G225)/Planos!$E225,1)*Planos!$E225))/Planos!$E225)+1)))</f>
      </c>
      <c r="G227" s="44">
        <f>IF(OR(Planos!$A225="",NOT(ISNUMBER(Planos!$G225)),N(Planos!$E225)&lt;=0),0,IF(Planos!$G225&gt;EOMONTH(DATE(crono_ano_ref,2,1),0),0,MAX(0,INT((EOMONTH(DATE(crono_ano_ref,2,1),0)-IF(Planos!$G225&gt;=DATE(crono_ano_ref,2,1),Planos!$G225,Planos!$G225+CEILING((DATE(crono_ano_ref,2,1)-Planos!$G225)/Planos!$E225,1)*Planos!$E225))/Planos!$E225)+1)))</f>
      </c>
      <c r="H227" s="44">
        <f>IF(OR(Planos!$A225="",NOT(ISNUMBER(Planos!$G225)),N(Planos!$E225)&lt;=0),0,IF(Planos!$G225&gt;EOMONTH(DATE(crono_ano_ref,3,1),0),0,MAX(0,INT((EOMONTH(DATE(crono_ano_ref,3,1),0)-IF(Planos!$G225&gt;=DATE(crono_ano_ref,3,1),Planos!$G225,Planos!$G225+CEILING((DATE(crono_ano_ref,3,1)-Planos!$G225)/Planos!$E225,1)*Planos!$E225))/Planos!$E225)+1)))</f>
      </c>
      <c r="I227" s="44">
        <f>IF(OR(Planos!$A225="",NOT(ISNUMBER(Planos!$G225)),N(Planos!$E225)&lt;=0),0,IF(Planos!$G225&gt;EOMONTH(DATE(crono_ano_ref,4,1),0),0,MAX(0,INT((EOMONTH(DATE(crono_ano_ref,4,1),0)-IF(Planos!$G225&gt;=DATE(crono_ano_ref,4,1),Planos!$G225,Planos!$G225+CEILING((DATE(crono_ano_ref,4,1)-Planos!$G225)/Planos!$E225,1)*Planos!$E225))/Planos!$E225)+1)))</f>
      </c>
      <c r="J227" s="44">
        <f>IF(OR(Planos!$A225="",NOT(ISNUMBER(Planos!$G225)),N(Planos!$E225)&lt;=0),0,IF(Planos!$G225&gt;EOMONTH(DATE(crono_ano_ref,5,1),0),0,MAX(0,INT((EOMONTH(DATE(crono_ano_ref,5,1),0)-IF(Planos!$G225&gt;=DATE(crono_ano_ref,5,1),Planos!$G225,Planos!$G225+CEILING((DATE(crono_ano_ref,5,1)-Planos!$G225)/Planos!$E225,1)*Planos!$E225))/Planos!$E225)+1)))</f>
      </c>
      <c r="K227" s="44">
        <f>IF(OR(Planos!$A225="",NOT(ISNUMBER(Planos!$G225)),N(Planos!$E225)&lt;=0),0,IF(Planos!$G225&gt;EOMONTH(DATE(crono_ano_ref,6,1),0),0,MAX(0,INT((EOMONTH(DATE(crono_ano_ref,6,1),0)-IF(Planos!$G225&gt;=DATE(crono_ano_ref,6,1),Planos!$G225,Planos!$G225+CEILING((DATE(crono_ano_ref,6,1)-Planos!$G225)/Planos!$E225,1)*Planos!$E225))/Planos!$E225)+1)))</f>
      </c>
      <c r="L227" s="44">
        <f>IF(OR(Planos!$A225="",NOT(ISNUMBER(Planos!$G225)),N(Planos!$E225)&lt;=0),0,IF(Planos!$G225&gt;EOMONTH(DATE(crono_ano_ref,7,1),0),0,MAX(0,INT((EOMONTH(DATE(crono_ano_ref,7,1),0)-IF(Planos!$G225&gt;=DATE(crono_ano_ref,7,1),Planos!$G225,Planos!$G225+CEILING((DATE(crono_ano_ref,7,1)-Planos!$G225)/Planos!$E225,1)*Planos!$E225))/Planos!$E225)+1)))</f>
      </c>
      <c r="M227" s="44">
        <f>IF(OR(Planos!$A225="",NOT(ISNUMBER(Planos!$G225)),N(Planos!$E225)&lt;=0),0,IF(Planos!$G225&gt;EOMONTH(DATE(crono_ano_ref,8,1),0),0,MAX(0,INT((EOMONTH(DATE(crono_ano_ref,8,1),0)-IF(Planos!$G225&gt;=DATE(crono_ano_ref,8,1),Planos!$G225,Planos!$G225+CEILING((DATE(crono_ano_ref,8,1)-Planos!$G225)/Planos!$E225,1)*Planos!$E225))/Planos!$E225)+1)))</f>
      </c>
      <c r="N227" s="44">
        <f>IF(OR(Planos!$A225="",NOT(ISNUMBER(Planos!$G225)),N(Planos!$E225)&lt;=0),0,IF(Planos!$G225&gt;EOMONTH(DATE(crono_ano_ref,9,1),0),0,MAX(0,INT((EOMONTH(DATE(crono_ano_ref,9,1),0)-IF(Planos!$G225&gt;=DATE(crono_ano_ref,9,1),Planos!$G225,Planos!$G225+CEILING((DATE(crono_ano_ref,9,1)-Planos!$G225)/Planos!$E225,1)*Planos!$E225))/Planos!$E225)+1)))</f>
      </c>
      <c r="O227" s="44">
        <f>IF(OR(Planos!$A225="",NOT(ISNUMBER(Planos!$G225)),N(Planos!$E225)&lt;=0),0,IF(Planos!$G225&gt;EOMONTH(DATE(crono_ano_ref,10,1),0),0,MAX(0,INT((EOMONTH(DATE(crono_ano_ref,10,1),0)-IF(Planos!$G225&gt;=DATE(crono_ano_ref,10,1),Planos!$G225,Planos!$G225+CEILING((DATE(crono_ano_ref,10,1)-Planos!$G225)/Planos!$E225,1)*Planos!$E225))/Planos!$E225)+1)))</f>
      </c>
      <c r="P227" s="44">
        <f>IF(OR(Planos!$A225="",NOT(ISNUMBER(Planos!$G225)),N(Planos!$E225)&lt;=0),0,IF(Planos!$G225&gt;EOMONTH(DATE(crono_ano_ref,11,1),0),0,MAX(0,INT((EOMONTH(DATE(crono_ano_ref,11,1),0)-IF(Planos!$G225&gt;=DATE(crono_ano_ref,11,1),Planos!$G225,Planos!$G225+CEILING((DATE(crono_ano_ref,11,1)-Planos!$G225)/Planos!$E225,1)*Planos!$E225))/Planos!$E225)+1)))</f>
      </c>
      <c r="Q227" s="44">
        <f>IF(OR(Planos!$A225="",NOT(ISNUMBER(Planos!$G225)),N(Planos!$E225)&lt;=0),0,IF(Planos!$G225&gt;EOMONTH(DATE(crono_ano_ref,12,1),0),0,MAX(0,INT((EOMONTH(DATE(crono_ano_ref,12,1),0)-IF(Planos!$G225&gt;=DATE(crono_ano_ref,12,1),Planos!$G225,Planos!$G225+CEILING((DATE(crono_ano_ref,12,1)-Planos!$G225)/Planos!$E225,1)*Planos!$E225))/Planos!$E225)+1)))</f>
      </c>
      <c r="R227" s="44">
        <f>SUM(F227:Q227)</f>
      </c>
    </row>
    <row r="228" spans="1:18" x14ac:dyDescent="0.25">
      <c r="A228" s="24">
        <f>IF(Planos!$A226="","",Planos!A226&amp;"")</f>
      </c>
      <c r="B228" s="41">
        <f>IF(Planos!$A226="","",Planos!B226&amp;"")</f>
      </c>
      <c r="C228" s="24">
        <f>IF(Planos!$A226="","",Planos!C226&amp;"")</f>
      </c>
      <c r="D228" s="42">
        <f>IF(Planos!$A226="","",N(Planos!E226))</f>
      </c>
      <c r="E228" s="43">
        <f>IF(Planos!$A226="","",N(Planos!K226))</f>
      </c>
      <c r="F228" s="44">
        <f>IF(OR(Planos!$A226="",NOT(ISNUMBER(Planos!$G226)),N(Planos!$E226)&lt;=0),0,IF(Planos!$G226&gt;EOMONTH(DATE(crono_ano_ref,1,1),0),0,MAX(0,INT((EOMONTH(DATE(crono_ano_ref,1,1),0)-IF(Planos!$G226&gt;=DATE(crono_ano_ref,1,1),Planos!$G226,Planos!$G226+CEILING((DATE(crono_ano_ref,1,1)-Planos!$G226)/Planos!$E226,1)*Planos!$E226))/Planos!$E226)+1)))</f>
      </c>
      <c r="G228" s="44">
        <f>IF(OR(Planos!$A226="",NOT(ISNUMBER(Planos!$G226)),N(Planos!$E226)&lt;=0),0,IF(Planos!$G226&gt;EOMONTH(DATE(crono_ano_ref,2,1),0),0,MAX(0,INT((EOMONTH(DATE(crono_ano_ref,2,1),0)-IF(Planos!$G226&gt;=DATE(crono_ano_ref,2,1),Planos!$G226,Planos!$G226+CEILING((DATE(crono_ano_ref,2,1)-Planos!$G226)/Planos!$E226,1)*Planos!$E226))/Planos!$E226)+1)))</f>
      </c>
      <c r="H228" s="44">
        <f>IF(OR(Planos!$A226="",NOT(ISNUMBER(Planos!$G226)),N(Planos!$E226)&lt;=0),0,IF(Planos!$G226&gt;EOMONTH(DATE(crono_ano_ref,3,1),0),0,MAX(0,INT((EOMONTH(DATE(crono_ano_ref,3,1),0)-IF(Planos!$G226&gt;=DATE(crono_ano_ref,3,1),Planos!$G226,Planos!$G226+CEILING((DATE(crono_ano_ref,3,1)-Planos!$G226)/Planos!$E226,1)*Planos!$E226))/Planos!$E226)+1)))</f>
      </c>
      <c r="I228" s="44">
        <f>IF(OR(Planos!$A226="",NOT(ISNUMBER(Planos!$G226)),N(Planos!$E226)&lt;=0),0,IF(Planos!$G226&gt;EOMONTH(DATE(crono_ano_ref,4,1),0),0,MAX(0,INT((EOMONTH(DATE(crono_ano_ref,4,1),0)-IF(Planos!$G226&gt;=DATE(crono_ano_ref,4,1),Planos!$G226,Planos!$G226+CEILING((DATE(crono_ano_ref,4,1)-Planos!$G226)/Planos!$E226,1)*Planos!$E226))/Planos!$E226)+1)))</f>
      </c>
      <c r="J228" s="44">
        <f>IF(OR(Planos!$A226="",NOT(ISNUMBER(Planos!$G226)),N(Planos!$E226)&lt;=0),0,IF(Planos!$G226&gt;EOMONTH(DATE(crono_ano_ref,5,1),0),0,MAX(0,INT((EOMONTH(DATE(crono_ano_ref,5,1),0)-IF(Planos!$G226&gt;=DATE(crono_ano_ref,5,1),Planos!$G226,Planos!$G226+CEILING((DATE(crono_ano_ref,5,1)-Planos!$G226)/Planos!$E226,1)*Planos!$E226))/Planos!$E226)+1)))</f>
      </c>
      <c r="K228" s="44">
        <f>IF(OR(Planos!$A226="",NOT(ISNUMBER(Planos!$G226)),N(Planos!$E226)&lt;=0),0,IF(Planos!$G226&gt;EOMONTH(DATE(crono_ano_ref,6,1),0),0,MAX(0,INT((EOMONTH(DATE(crono_ano_ref,6,1),0)-IF(Planos!$G226&gt;=DATE(crono_ano_ref,6,1),Planos!$G226,Planos!$G226+CEILING((DATE(crono_ano_ref,6,1)-Planos!$G226)/Planos!$E226,1)*Planos!$E226))/Planos!$E226)+1)))</f>
      </c>
      <c r="L228" s="44">
        <f>IF(OR(Planos!$A226="",NOT(ISNUMBER(Planos!$G226)),N(Planos!$E226)&lt;=0),0,IF(Planos!$G226&gt;EOMONTH(DATE(crono_ano_ref,7,1),0),0,MAX(0,INT((EOMONTH(DATE(crono_ano_ref,7,1),0)-IF(Planos!$G226&gt;=DATE(crono_ano_ref,7,1),Planos!$G226,Planos!$G226+CEILING((DATE(crono_ano_ref,7,1)-Planos!$G226)/Planos!$E226,1)*Planos!$E226))/Planos!$E226)+1)))</f>
      </c>
      <c r="M228" s="44">
        <f>IF(OR(Planos!$A226="",NOT(ISNUMBER(Planos!$G226)),N(Planos!$E226)&lt;=0),0,IF(Planos!$G226&gt;EOMONTH(DATE(crono_ano_ref,8,1),0),0,MAX(0,INT((EOMONTH(DATE(crono_ano_ref,8,1),0)-IF(Planos!$G226&gt;=DATE(crono_ano_ref,8,1),Planos!$G226,Planos!$G226+CEILING((DATE(crono_ano_ref,8,1)-Planos!$G226)/Planos!$E226,1)*Planos!$E226))/Planos!$E226)+1)))</f>
      </c>
      <c r="N228" s="44">
        <f>IF(OR(Planos!$A226="",NOT(ISNUMBER(Planos!$G226)),N(Planos!$E226)&lt;=0),0,IF(Planos!$G226&gt;EOMONTH(DATE(crono_ano_ref,9,1),0),0,MAX(0,INT((EOMONTH(DATE(crono_ano_ref,9,1),0)-IF(Planos!$G226&gt;=DATE(crono_ano_ref,9,1),Planos!$G226,Planos!$G226+CEILING((DATE(crono_ano_ref,9,1)-Planos!$G226)/Planos!$E226,1)*Planos!$E226))/Planos!$E226)+1)))</f>
      </c>
      <c r="O228" s="44">
        <f>IF(OR(Planos!$A226="",NOT(ISNUMBER(Planos!$G226)),N(Planos!$E226)&lt;=0),0,IF(Planos!$G226&gt;EOMONTH(DATE(crono_ano_ref,10,1),0),0,MAX(0,INT((EOMONTH(DATE(crono_ano_ref,10,1),0)-IF(Planos!$G226&gt;=DATE(crono_ano_ref,10,1),Planos!$G226,Planos!$G226+CEILING((DATE(crono_ano_ref,10,1)-Planos!$G226)/Planos!$E226,1)*Planos!$E226))/Planos!$E226)+1)))</f>
      </c>
      <c r="P228" s="44">
        <f>IF(OR(Planos!$A226="",NOT(ISNUMBER(Planos!$G226)),N(Planos!$E226)&lt;=0),0,IF(Planos!$G226&gt;EOMONTH(DATE(crono_ano_ref,11,1),0),0,MAX(0,INT((EOMONTH(DATE(crono_ano_ref,11,1),0)-IF(Planos!$G226&gt;=DATE(crono_ano_ref,11,1),Planos!$G226,Planos!$G226+CEILING((DATE(crono_ano_ref,11,1)-Planos!$G226)/Planos!$E226,1)*Planos!$E226))/Planos!$E226)+1)))</f>
      </c>
      <c r="Q228" s="44">
        <f>IF(OR(Planos!$A226="",NOT(ISNUMBER(Planos!$G226)),N(Planos!$E226)&lt;=0),0,IF(Planos!$G226&gt;EOMONTH(DATE(crono_ano_ref,12,1),0),0,MAX(0,INT((EOMONTH(DATE(crono_ano_ref,12,1),0)-IF(Planos!$G226&gt;=DATE(crono_ano_ref,12,1),Planos!$G226,Planos!$G226+CEILING((DATE(crono_ano_ref,12,1)-Planos!$G226)/Planos!$E226,1)*Planos!$E226))/Planos!$E226)+1)))</f>
      </c>
      <c r="R228" s="44">
        <f>SUM(F228:Q228)</f>
      </c>
    </row>
    <row r="229" spans="1:18" x14ac:dyDescent="0.25">
      <c r="A229" s="24">
        <f>IF(Planos!$A227="","",Planos!A227&amp;"")</f>
      </c>
      <c r="B229" s="41">
        <f>IF(Planos!$A227="","",Planos!B227&amp;"")</f>
      </c>
      <c r="C229" s="24">
        <f>IF(Planos!$A227="","",Planos!C227&amp;"")</f>
      </c>
      <c r="D229" s="42">
        <f>IF(Planos!$A227="","",N(Planos!E227))</f>
      </c>
      <c r="E229" s="43">
        <f>IF(Planos!$A227="","",N(Planos!K227))</f>
      </c>
      <c r="F229" s="44">
        <f>IF(OR(Planos!$A227="",NOT(ISNUMBER(Planos!$G227)),N(Planos!$E227)&lt;=0),0,IF(Planos!$G227&gt;EOMONTH(DATE(crono_ano_ref,1,1),0),0,MAX(0,INT((EOMONTH(DATE(crono_ano_ref,1,1),0)-IF(Planos!$G227&gt;=DATE(crono_ano_ref,1,1),Planos!$G227,Planos!$G227+CEILING((DATE(crono_ano_ref,1,1)-Planos!$G227)/Planos!$E227,1)*Planos!$E227))/Planos!$E227)+1)))</f>
      </c>
      <c r="G229" s="44">
        <f>IF(OR(Planos!$A227="",NOT(ISNUMBER(Planos!$G227)),N(Planos!$E227)&lt;=0),0,IF(Planos!$G227&gt;EOMONTH(DATE(crono_ano_ref,2,1),0),0,MAX(0,INT((EOMONTH(DATE(crono_ano_ref,2,1),0)-IF(Planos!$G227&gt;=DATE(crono_ano_ref,2,1),Planos!$G227,Planos!$G227+CEILING((DATE(crono_ano_ref,2,1)-Planos!$G227)/Planos!$E227,1)*Planos!$E227))/Planos!$E227)+1)))</f>
      </c>
      <c r="H229" s="44">
        <f>IF(OR(Planos!$A227="",NOT(ISNUMBER(Planos!$G227)),N(Planos!$E227)&lt;=0),0,IF(Planos!$G227&gt;EOMONTH(DATE(crono_ano_ref,3,1),0),0,MAX(0,INT((EOMONTH(DATE(crono_ano_ref,3,1),0)-IF(Planos!$G227&gt;=DATE(crono_ano_ref,3,1),Planos!$G227,Planos!$G227+CEILING((DATE(crono_ano_ref,3,1)-Planos!$G227)/Planos!$E227,1)*Planos!$E227))/Planos!$E227)+1)))</f>
      </c>
      <c r="I229" s="44">
        <f>IF(OR(Planos!$A227="",NOT(ISNUMBER(Planos!$G227)),N(Planos!$E227)&lt;=0),0,IF(Planos!$G227&gt;EOMONTH(DATE(crono_ano_ref,4,1),0),0,MAX(0,INT((EOMONTH(DATE(crono_ano_ref,4,1),0)-IF(Planos!$G227&gt;=DATE(crono_ano_ref,4,1),Planos!$G227,Planos!$G227+CEILING((DATE(crono_ano_ref,4,1)-Planos!$G227)/Planos!$E227,1)*Planos!$E227))/Planos!$E227)+1)))</f>
      </c>
      <c r="J229" s="44">
        <f>IF(OR(Planos!$A227="",NOT(ISNUMBER(Planos!$G227)),N(Planos!$E227)&lt;=0),0,IF(Planos!$G227&gt;EOMONTH(DATE(crono_ano_ref,5,1),0),0,MAX(0,INT((EOMONTH(DATE(crono_ano_ref,5,1),0)-IF(Planos!$G227&gt;=DATE(crono_ano_ref,5,1),Planos!$G227,Planos!$G227+CEILING((DATE(crono_ano_ref,5,1)-Planos!$G227)/Planos!$E227,1)*Planos!$E227))/Planos!$E227)+1)))</f>
      </c>
      <c r="K229" s="44">
        <f>IF(OR(Planos!$A227="",NOT(ISNUMBER(Planos!$G227)),N(Planos!$E227)&lt;=0),0,IF(Planos!$G227&gt;EOMONTH(DATE(crono_ano_ref,6,1),0),0,MAX(0,INT((EOMONTH(DATE(crono_ano_ref,6,1),0)-IF(Planos!$G227&gt;=DATE(crono_ano_ref,6,1),Planos!$G227,Planos!$G227+CEILING((DATE(crono_ano_ref,6,1)-Planos!$G227)/Planos!$E227,1)*Planos!$E227))/Planos!$E227)+1)))</f>
      </c>
      <c r="L229" s="44">
        <f>IF(OR(Planos!$A227="",NOT(ISNUMBER(Planos!$G227)),N(Planos!$E227)&lt;=0),0,IF(Planos!$G227&gt;EOMONTH(DATE(crono_ano_ref,7,1),0),0,MAX(0,INT((EOMONTH(DATE(crono_ano_ref,7,1),0)-IF(Planos!$G227&gt;=DATE(crono_ano_ref,7,1),Planos!$G227,Planos!$G227+CEILING((DATE(crono_ano_ref,7,1)-Planos!$G227)/Planos!$E227,1)*Planos!$E227))/Planos!$E227)+1)))</f>
      </c>
      <c r="M229" s="44">
        <f>IF(OR(Planos!$A227="",NOT(ISNUMBER(Planos!$G227)),N(Planos!$E227)&lt;=0),0,IF(Planos!$G227&gt;EOMONTH(DATE(crono_ano_ref,8,1),0),0,MAX(0,INT((EOMONTH(DATE(crono_ano_ref,8,1),0)-IF(Planos!$G227&gt;=DATE(crono_ano_ref,8,1),Planos!$G227,Planos!$G227+CEILING((DATE(crono_ano_ref,8,1)-Planos!$G227)/Planos!$E227,1)*Planos!$E227))/Planos!$E227)+1)))</f>
      </c>
      <c r="N229" s="44">
        <f>IF(OR(Planos!$A227="",NOT(ISNUMBER(Planos!$G227)),N(Planos!$E227)&lt;=0),0,IF(Planos!$G227&gt;EOMONTH(DATE(crono_ano_ref,9,1),0),0,MAX(0,INT((EOMONTH(DATE(crono_ano_ref,9,1),0)-IF(Planos!$G227&gt;=DATE(crono_ano_ref,9,1),Planos!$G227,Planos!$G227+CEILING((DATE(crono_ano_ref,9,1)-Planos!$G227)/Planos!$E227,1)*Planos!$E227))/Planos!$E227)+1)))</f>
      </c>
      <c r="O229" s="44">
        <f>IF(OR(Planos!$A227="",NOT(ISNUMBER(Planos!$G227)),N(Planos!$E227)&lt;=0),0,IF(Planos!$G227&gt;EOMONTH(DATE(crono_ano_ref,10,1),0),0,MAX(0,INT((EOMONTH(DATE(crono_ano_ref,10,1),0)-IF(Planos!$G227&gt;=DATE(crono_ano_ref,10,1),Planos!$G227,Planos!$G227+CEILING((DATE(crono_ano_ref,10,1)-Planos!$G227)/Planos!$E227,1)*Planos!$E227))/Planos!$E227)+1)))</f>
      </c>
      <c r="P229" s="44">
        <f>IF(OR(Planos!$A227="",NOT(ISNUMBER(Planos!$G227)),N(Planos!$E227)&lt;=0),0,IF(Planos!$G227&gt;EOMONTH(DATE(crono_ano_ref,11,1),0),0,MAX(0,INT((EOMONTH(DATE(crono_ano_ref,11,1),0)-IF(Planos!$G227&gt;=DATE(crono_ano_ref,11,1),Planos!$G227,Planos!$G227+CEILING((DATE(crono_ano_ref,11,1)-Planos!$G227)/Planos!$E227,1)*Planos!$E227))/Planos!$E227)+1)))</f>
      </c>
      <c r="Q229" s="44">
        <f>IF(OR(Planos!$A227="",NOT(ISNUMBER(Planos!$G227)),N(Planos!$E227)&lt;=0),0,IF(Planos!$G227&gt;EOMONTH(DATE(crono_ano_ref,12,1),0),0,MAX(0,INT((EOMONTH(DATE(crono_ano_ref,12,1),0)-IF(Planos!$G227&gt;=DATE(crono_ano_ref,12,1),Planos!$G227,Planos!$G227+CEILING((DATE(crono_ano_ref,12,1)-Planos!$G227)/Planos!$E227,1)*Planos!$E227))/Planos!$E227)+1)))</f>
      </c>
      <c r="R229" s="44">
        <f>SUM(F229:Q229)</f>
      </c>
    </row>
    <row r="230" spans="1:18" x14ac:dyDescent="0.25">
      <c r="A230" s="24">
        <f>IF(Planos!$A228="","",Planos!A228&amp;"")</f>
      </c>
      <c r="B230" s="41">
        <f>IF(Planos!$A228="","",Planos!B228&amp;"")</f>
      </c>
      <c r="C230" s="24">
        <f>IF(Planos!$A228="","",Planos!C228&amp;"")</f>
      </c>
      <c r="D230" s="42">
        <f>IF(Planos!$A228="","",N(Planos!E228))</f>
      </c>
      <c r="E230" s="43">
        <f>IF(Planos!$A228="","",N(Planos!K228))</f>
      </c>
      <c r="F230" s="44">
        <f>IF(OR(Planos!$A228="",NOT(ISNUMBER(Planos!$G228)),N(Planos!$E228)&lt;=0),0,IF(Planos!$G228&gt;EOMONTH(DATE(crono_ano_ref,1,1),0),0,MAX(0,INT((EOMONTH(DATE(crono_ano_ref,1,1),0)-IF(Planos!$G228&gt;=DATE(crono_ano_ref,1,1),Planos!$G228,Planos!$G228+CEILING((DATE(crono_ano_ref,1,1)-Planos!$G228)/Planos!$E228,1)*Planos!$E228))/Planos!$E228)+1)))</f>
      </c>
      <c r="G230" s="44">
        <f>IF(OR(Planos!$A228="",NOT(ISNUMBER(Planos!$G228)),N(Planos!$E228)&lt;=0),0,IF(Planos!$G228&gt;EOMONTH(DATE(crono_ano_ref,2,1),0),0,MAX(0,INT((EOMONTH(DATE(crono_ano_ref,2,1),0)-IF(Planos!$G228&gt;=DATE(crono_ano_ref,2,1),Planos!$G228,Planos!$G228+CEILING((DATE(crono_ano_ref,2,1)-Planos!$G228)/Planos!$E228,1)*Planos!$E228))/Planos!$E228)+1)))</f>
      </c>
      <c r="H230" s="44">
        <f>IF(OR(Planos!$A228="",NOT(ISNUMBER(Planos!$G228)),N(Planos!$E228)&lt;=0),0,IF(Planos!$G228&gt;EOMONTH(DATE(crono_ano_ref,3,1),0),0,MAX(0,INT((EOMONTH(DATE(crono_ano_ref,3,1),0)-IF(Planos!$G228&gt;=DATE(crono_ano_ref,3,1),Planos!$G228,Planos!$G228+CEILING((DATE(crono_ano_ref,3,1)-Planos!$G228)/Planos!$E228,1)*Planos!$E228))/Planos!$E228)+1)))</f>
      </c>
      <c r="I230" s="44">
        <f>IF(OR(Planos!$A228="",NOT(ISNUMBER(Planos!$G228)),N(Planos!$E228)&lt;=0),0,IF(Planos!$G228&gt;EOMONTH(DATE(crono_ano_ref,4,1),0),0,MAX(0,INT((EOMONTH(DATE(crono_ano_ref,4,1),0)-IF(Planos!$G228&gt;=DATE(crono_ano_ref,4,1),Planos!$G228,Planos!$G228+CEILING((DATE(crono_ano_ref,4,1)-Planos!$G228)/Planos!$E228,1)*Planos!$E228))/Planos!$E228)+1)))</f>
      </c>
      <c r="J230" s="44">
        <f>IF(OR(Planos!$A228="",NOT(ISNUMBER(Planos!$G228)),N(Planos!$E228)&lt;=0),0,IF(Planos!$G228&gt;EOMONTH(DATE(crono_ano_ref,5,1),0),0,MAX(0,INT((EOMONTH(DATE(crono_ano_ref,5,1),0)-IF(Planos!$G228&gt;=DATE(crono_ano_ref,5,1),Planos!$G228,Planos!$G228+CEILING((DATE(crono_ano_ref,5,1)-Planos!$G228)/Planos!$E228,1)*Planos!$E228))/Planos!$E228)+1)))</f>
      </c>
      <c r="K230" s="44">
        <f>IF(OR(Planos!$A228="",NOT(ISNUMBER(Planos!$G228)),N(Planos!$E228)&lt;=0),0,IF(Planos!$G228&gt;EOMONTH(DATE(crono_ano_ref,6,1),0),0,MAX(0,INT((EOMONTH(DATE(crono_ano_ref,6,1),0)-IF(Planos!$G228&gt;=DATE(crono_ano_ref,6,1),Planos!$G228,Planos!$G228+CEILING((DATE(crono_ano_ref,6,1)-Planos!$G228)/Planos!$E228,1)*Planos!$E228))/Planos!$E228)+1)))</f>
      </c>
      <c r="L230" s="44">
        <f>IF(OR(Planos!$A228="",NOT(ISNUMBER(Planos!$G228)),N(Planos!$E228)&lt;=0),0,IF(Planos!$G228&gt;EOMONTH(DATE(crono_ano_ref,7,1),0),0,MAX(0,INT((EOMONTH(DATE(crono_ano_ref,7,1),0)-IF(Planos!$G228&gt;=DATE(crono_ano_ref,7,1),Planos!$G228,Planos!$G228+CEILING((DATE(crono_ano_ref,7,1)-Planos!$G228)/Planos!$E228,1)*Planos!$E228))/Planos!$E228)+1)))</f>
      </c>
      <c r="M230" s="44">
        <f>IF(OR(Planos!$A228="",NOT(ISNUMBER(Planos!$G228)),N(Planos!$E228)&lt;=0),0,IF(Planos!$G228&gt;EOMONTH(DATE(crono_ano_ref,8,1),0),0,MAX(0,INT((EOMONTH(DATE(crono_ano_ref,8,1),0)-IF(Planos!$G228&gt;=DATE(crono_ano_ref,8,1),Planos!$G228,Planos!$G228+CEILING((DATE(crono_ano_ref,8,1)-Planos!$G228)/Planos!$E228,1)*Planos!$E228))/Planos!$E228)+1)))</f>
      </c>
      <c r="N230" s="44">
        <f>IF(OR(Planos!$A228="",NOT(ISNUMBER(Planos!$G228)),N(Planos!$E228)&lt;=0),0,IF(Planos!$G228&gt;EOMONTH(DATE(crono_ano_ref,9,1),0),0,MAX(0,INT((EOMONTH(DATE(crono_ano_ref,9,1),0)-IF(Planos!$G228&gt;=DATE(crono_ano_ref,9,1),Planos!$G228,Planos!$G228+CEILING((DATE(crono_ano_ref,9,1)-Planos!$G228)/Planos!$E228,1)*Planos!$E228))/Planos!$E228)+1)))</f>
      </c>
      <c r="O230" s="44">
        <f>IF(OR(Planos!$A228="",NOT(ISNUMBER(Planos!$G228)),N(Planos!$E228)&lt;=0),0,IF(Planos!$G228&gt;EOMONTH(DATE(crono_ano_ref,10,1),0),0,MAX(0,INT((EOMONTH(DATE(crono_ano_ref,10,1),0)-IF(Planos!$G228&gt;=DATE(crono_ano_ref,10,1),Planos!$G228,Planos!$G228+CEILING((DATE(crono_ano_ref,10,1)-Planos!$G228)/Planos!$E228,1)*Planos!$E228))/Planos!$E228)+1)))</f>
      </c>
      <c r="P230" s="44">
        <f>IF(OR(Planos!$A228="",NOT(ISNUMBER(Planos!$G228)),N(Planos!$E228)&lt;=0),0,IF(Planos!$G228&gt;EOMONTH(DATE(crono_ano_ref,11,1),0),0,MAX(0,INT((EOMONTH(DATE(crono_ano_ref,11,1),0)-IF(Planos!$G228&gt;=DATE(crono_ano_ref,11,1),Planos!$G228,Planos!$G228+CEILING((DATE(crono_ano_ref,11,1)-Planos!$G228)/Planos!$E228,1)*Planos!$E228))/Planos!$E228)+1)))</f>
      </c>
      <c r="Q230" s="44">
        <f>IF(OR(Planos!$A228="",NOT(ISNUMBER(Planos!$G228)),N(Planos!$E228)&lt;=0),0,IF(Planos!$G228&gt;EOMONTH(DATE(crono_ano_ref,12,1),0),0,MAX(0,INT((EOMONTH(DATE(crono_ano_ref,12,1),0)-IF(Planos!$G228&gt;=DATE(crono_ano_ref,12,1),Planos!$G228,Planos!$G228+CEILING((DATE(crono_ano_ref,12,1)-Planos!$G228)/Planos!$E228,1)*Planos!$E228))/Planos!$E228)+1)))</f>
      </c>
      <c r="R230" s="44">
        <f>SUM(F230:Q230)</f>
      </c>
    </row>
    <row r="231" spans="1:18" x14ac:dyDescent="0.25">
      <c r="A231" s="24">
        <f>IF(Planos!$A229="","",Planos!A229&amp;"")</f>
      </c>
      <c r="B231" s="41">
        <f>IF(Planos!$A229="","",Planos!B229&amp;"")</f>
      </c>
      <c r="C231" s="24">
        <f>IF(Planos!$A229="","",Planos!C229&amp;"")</f>
      </c>
      <c r="D231" s="42">
        <f>IF(Planos!$A229="","",N(Planos!E229))</f>
      </c>
      <c r="E231" s="43">
        <f>IF(Planos!$A229="","",N(Planos!K229))</f>
      </c>
      <c r="F231" s="44">
        <f>IF(OR(Planos!$A229="",NOT(ISNUMBER(Planos!$G229)),N(Planos!$E229)&lt;=0),0,IF(Planos!$G229&gt;EOMONTH(DATE(crono_ano_ref,1,1),0),0,MAX(0,INT((EOMONTH(DATE(crono_ano_ref,1,1),0)-IF(Planos!$G229&gt;=DATE(crono_ano_ref,1,1),Planos!$G229,Planos!$G229+CEILING((DATE(crono_ano_ref,1,1)-Planos!$G229)/Planos!$E229,1)*Planos!$E229))/Planos!$E229)+1)))</f>
      </c>
      <c r="G231" s="44">
        <f>IF(OR(Planos!$A229="",NOT(ISNUMBER(Planos!$G229)),N(Planos!$E229)&lt;=0),0,IF(Planos!$G229&gt;EOMONTH(DATE(crono_ano_ref,2,1),0),0,MAX(0,INT((EOMONTH(DATE(crono_ano_ref,2,1),0)-IF(Planos!$G229&gt;=DATE(crono_ano_ref,2,1),Planos!$G229,Planos!$G229+CEILING((DATE(crono_ano_ref,2,1)-Planos!$G229)/Planos!$E229,1)*Planos!$E229))/Planos!$E229)+1)))</f>
      </c>
      <c r="H231" s="44">
        <f>IF(OR(Planos!$A229="",NOT(ISNUMBER(Planos!$G229)),N(Planos!$E229)&lt;=0),0,IF(Planos!$G229&gt;EOMONTH(DATE(crono_ano_ref,3,1),0),0,MAX(0,INT((EOMONTH(DATE(crono_ano_ref,3,1),0)-IF(Planos!$G229&gt;=DATE(crono_ano_ref,3,1),Planos!$G229,Planos!$G229+CEILING((DATE(crono_ano_ref,3,1)-Planos!$G229)/Planos!$E229,1)*Planos!$E229))/Planos!$E229)+1)))</f>
      </c>
      <c r="I231" s="44">
        <f>IF(OR(Planos!$A229="",NOT(ISNUMBER(Planos!$G229)),N(Planos!$E229)&lt;=0),0,IF(Planos!$G229&gt;EOMONTH(DATE(crono_ano_ref,4,1),0),0,MAX(0,INT((EOMONTH(DATE(crono_ano_ref,4,1),0)-IF(Planos!$G229&gt;=DATE(crono_ano_ref,4,1),Planos!$G229,Planos!$G229+CEILING((DATE(crono_ano_ref,4,1)-Planos!$G229)/Planos!$E229,1)*Planos!$E229))/Planos!$E229)+1)))</f>
      </c>
      <c r="J231" s="44">
        <f>IF(OR(Planos!$A229="",NOT(ISNUMBER(Planos!$G229)),N(Planos!$E229)&lt;=0),0,IF(Planos!$G229&gt;EOMONTH(DATE(crono_ano_ref,5,1),0),0,MAX(0,INT((EOMONTH(DATE(crono_ano_ref,5,1),0)-IF(Planos!$G229&gt;=DATE(crono_ano_ref,5,1),Planos!$G229,Planos!$G229+CEILING((DATE(crono_ano_ref,5,1)-Planos!$G229)/Planos!$E229,1)*Planos!$E229))/Planos!$E229)+1)))</f>
      </c>
      <c r="K231" s="44">
        <f>IF(OR(Planos!$A229="",NOT(ISNUMBER(Planos!$G229)),N(Planos!$E229)&lt;=0),0,IF(Planos!$G229&gt;EOMONTH(DATE(crono_ano_ref,6,1),0),0,MAX(0,INT((EOMONTH(DATE(crono_ano_ref,6,1),0)-IF(Planos!$G229&gt;=DATE(crono_ano_ref,6,1),Planos!$G229,Planos!$G229+CEILING((DATE(crono_ano_ref,6,1)-Planos!$G229)/Planos!$E229,1)*Planos!$E229))/Planos!$E229)+1)))</f>
      </c>
      <c r="L231" s="44">
        <f>IF(OR(Planos!$A229="",NOT(ISNUMBER(Planos!$G229)),N(Planos!$E229)&lt;=0),0,IF(Planos!$G229&gt;EOMONTH(DATE(crono_ano_ref,7,1),0),0,MAX(0,INT((EOMONTH(DATE(crono_ano_ref,7,1),0)-IF(Planos!$G229&gt;=DATE(crono_ano_ref,7,1),Planos!$G229,Planos!$G229+CEILING((DATE(crono_ano_ref,7,1)-Planos!$G229)/Planos!$E229,1)*Planos!$E229))/Planos!$E229)+1)))</f>
      </c>
      <c r="M231" s="44">
        <f>IF(OR(Planos!$A229="",NOT(ISNUMBER(Planos!$G229)),N(Planos!$E229)&lt;=0),0,IF(Planos!$G229&gt;EOMONTH(DATE(crono_ano_ref,8,1),0),0,MAX(0,INT((EOMONTH(DATE(crono_ano_ref,8,1),0)-IF(Planos!$G229&gt;=DATE(crono_ano_ref,8,1),Planos!$G229,Planos!$G229+CEILING((DATE(crono_ano_ref,8,1)-Planos!$G229)/Planos!$E229,1)*Planos!$E229))/Planos!$E229)+1)))</f>
      </c>
      <c r="N231" s="44">
        <f>IF(OR(Planos!$A229="",NOT(ISNUMBER(Planos!$G229)),N(Planos!$E229)&lt;=0),0,IF(Planos!$G229&gt;EOMONTH(DATE(crono_ano_ref,9,1),0),0,MAX(0,INT((EOMONTH(DATE(crono_ano_ref,9,1),0)-IF(Planos!$G229&gt;=DATE(crono_ano_ref,9,1),Planos!$G229,Planos!$G229+CEILING((DATE(crono_ano_ref,9,1)-Planos!$G229)/Planos!$E229,1)*Planos!$E229))/Planos!$E229)+1)))</f>
      </c>
      <c r="O231" s="44">
        <f>IF(OR(Planos!$A229="",NOT(ISNUMBER(Planos!$G229)),N(Planos!$E229)&lt;=0),0,IF(Planos!$G229&gt;EOMONTH(DATE(crono_ano_ref,10,1),0),0,MAX(0,INT((EOMONTH(DATE(crono_ano_ref,10,1),0)-IF(Planos!$G229&gt;=DATE(crono_ano_ref,10,1),Planos!$G229,Planos!$G229+CEILING((DATE(crono_ano_ref,10,1)-Planos!$G229)/Planos!$E229,1)*Planos!$E229))/Planos!$E229)+1)))</f>
      </c>
      <c r="P231" s="44">
        <f>IF(OR(Planos!$A229="",NOT(ISNUMBER(Planos!$G229)),N(Planos!$E229)&lt;=0),0,IF(Planos!$G229&gt;EOMONTH(DATE(crono_ano_ref,11,1),0),0,MAX(0,INT((EOMONTH(DATE(crono_ano_ref,11,1),0)-IF(Planos!$G229&gt;=DATE(crono_ano_ref,11,1),Planos!$G229,Planos!$G229+CEILING((DATE(crono_ano_ref,11,1)-Planos!$G229)/Planos!$E229,1)*Planos!$E229))/Planos!$E229)+1)))</f>
      </c>
      <c r="Q231" s="44">
        <f>IF(OR(Planos!$A229="",NOT(ISNUMBER(Planos!$G229)),N(Planos!$E229)&lt;=0),0,IF(Planos!$G229&gt;EOMONTH(DATE(crono_ano_ref,12,1),0),0,MAX(0,INT((EOMONTH(DATE(crono_ano_ref,12,1),0)-IF(Planos!$G229&gt;=DATE(crono_ano_ref,12,1),Planos!$G229,Planos!$G229+CEILING((DATE(crono_ano_ref,12,1)-Planos!$G229)/Planos!$E229,1)*Planos!$E229))/Planos!$E229)+1)))</f>
      </c>
      <c r="R231" s="44">
        <f>SUM(F231:Q231)</f>
      </c>
    </row>
    <row r="232" spans="1:18" x14ac:dyDescent="0.25">
      <c r="A232" s="24">
        <f>IF(Planos!$A230="","",Planos!A230&amp;"")</f>
      </c>
      <c r="B232" s="41">
        <f>IF(Planos!$A230="","",Planos!B230&amp;"")</f>
      </c>
      <c r="C232" s="24">
        <f>IF(Planos!$A230="","",Planos!C230&amp;"")</f>
      </c>
      <c r="D232" s="42">
        <f>IF(Planos!$A230="","",N(Planos!E230))</f>
      </c>
      <c r="E232" s="43">
        <f>IF(Planos!$A230="","",N(Planos!K230))</f>
      </c>
      <c r="F232" s="44">
        <f>IF(OR(Planos!$A230="",NOT(ISNUMBER(Planos!$G230)),N(Planos!$E230)&lt;=0),0,IF(Planos!$G230&gt;EOMONTH(DATE(crono_ano_ref,1,1),0),0,MAX(0,INT((EOMONTH(DATE(crono_ano_ref,1,1),0)-IF(Planos!$G230&gt;=DATE(crono_ano_ref,1,1),Planos!$G230,Planos!$G230+CEILING((DATE(crono_ano_ref,1,1)-Planos!$G230)/Planos!$E230,1)*Planos!$E230))/Planos!$E230)+1)))</f>
      </c>
      <c r="G232" s="44">
        <f>IF(OR(Planos!$A230="",NOT(ISNUMBER(Planos!$G230)),N(Planos!$E230)&lt;=0),0,IF(Planos!$G230&gt;EOMONTH(DATE(crono_ano_ref,2,1),0),0,MAX(0,INT((EOMONTH(DATE(crono_ano_ref,2,1),0)-IF(Planos!$G230&gt;=DATE(crono_ano_ref,2,1),Planos!$G230,Planos!$G230+CEILING((DATE(crono_ano_ref,2,1)-Planos!$G230)/Planos!$E230,1)*Planos!$E230))/Planos!$E230)+1)))</f>
      </c>
      <c r="H232" s="44">
        <f>IF(OR(Planos!$A230="",NOT(ISNUMBER(Planos!$G230)),N(Planos!$E230)&lt;=0),0,IF(Planos!$G230&gt;EOMONTH(DATE(crono_ano_ref,3,1),0),0,MAX(0,INT((EOMONTH(DATE(crono_ano_ref,3,1),0)-IF(Planos!$G230&gt;=DATE(crono_ano_ref,3,1),Planos!$G230,Planos!$G230+CEILING((DATE(crono_ano_ref,3,1)-Planos!$G230)/Planos!$E230,1)*Planos!$E230))/Planos!$E230)+1)))</f>
      </c>
      <c r="I232" s="44">
        <f>IF(OR(Planos!$A230="",NOT(ISNUMBER(Planos!$G230)),N(Planos!$E230)&lt;=0),0,IF(Planos!$G230&gt;EOMONTH(DATE(crono_ano_ref,4,1),0),0,MAX(0,INT((EOMONTH(DATE(crono_ano_ref,4,1),0)-IF(Planos!$G230&gt;=DATE(crono_ano_ref,4,1),Planos!$G230,Planos!$G230+CEILING((DATE(crono_ano_ref,4,1)-Planos!$G230)/Planos!$E230,1)*Planos!$E230))/Planos!$E230)+1)))</f>
      </c>
      <c r="J232" s="44">
        <f>IF(OR(Planos!$A230="",NOT(ISNUMBER(Planos!$G230)),N(Planos!$E230)&lt;=0),0,IF(Planos!$G230&gt;EOMONTH(DATE(crono_ano_ref,5,1),0),0,MAX(0,INT((EOMONTH(DATE(crono_ano_ref,5,1),0)-IF(Planos!$G230&gt;=DATE(crono_ano_ref,5,1),Planos!$G230,Planos!$G230+CEILING((DATE(crono_ano_ref,5,1)-Planos!$G230)/Planos!$E230,1)*Planos!$E230))/Planos!$E230)+1)))</f>
      </c>
      <c r="K232" s="44">
        <f>IF(OR(Planos!$A230="",NOT(ISNUMBER(Planos!$G230)),N(Planos!$E230)&lt;=0),0,IF(Planos!$G230&gt;EOMONTH(DATE(crono_ano_ref,6,1),0),0,MAX(0,INT((EOMONTH(DATE(crono_ano_ref,6,1),0)-IF(Planos!$G230&gt;=DATE(crono_ano_ref,6,1),Planos!$G230,Planos!$G230+CEILING((DATE(crono_ano_ref,6,1)-Planos!$G230)/Planos!$E230,1)*Planos!$E230))/Planos!$E230)+1)))</f>
      </c>
      <c r="L232" s="44">
        <f>IF(OR(Planos!$A230="",NOT(ISNUMBER(Planos!$G230)),N(Planos!$E230)&lt;=0),0,IF(Planos!$G230&gt;EOMONTH(DATE(crono_ano_ref,7,1),0),0,MAX(0,INT((EOMONTH(DATE(crono_ano_ref,7,1),0)-IF(Planos!$G230&gt;=DATE(crono_ano_ref,7,1),Planos!$G230,Planos!$G230+CEILING((DATE(crono_ano_ref,7,1)-Planos!$G230)/Planos!$E230,1)*Planos!$E230))/Planos!$E230)+1)))</f>
      </c>
      <c r="M232" s="44">
        <f>IF(OR(Planos!$A230="",NOT(ISNUMBER(Planos!$G230)),N(Planos!$E230)&lt;=0),0,IF(Planos!$G230&gt;EOMONTH(DATE(crono_ano_ref,8,1),0),0,MAX(0,INT((EOMONTH(DATE(crono_ano_ref,8,1),0)-IF(Planos!$G230&gt;=DATE(crono_ano_ref,8,1),Planos!$G230,Planos!$G230+CEILING((DATE(crono_ano_ref,8,1)-Planos!$G230)/Planos!$E230,1)*Planos!$E230))/Planos!$E230)+1)))</f>
      </c>
      <c r="N232" s="44">
        <f>IF(OR(Planos!$A230="",NOT(ISNUMBER(Planos!$G230)),N(Planos!$E230)&lt;=0),0,IF(Planos!$G230&gt;EOMONTH(DATE(crono_ano_ref,9,1),0),0,MAX(0,INT((EOMONTH(DATE(crono_ano_ref,9,1),0)-IF(Planos!$G230&gt;=DATE(crono_ano_ref,9,1),Planos!$G230,Planos!$G230+CEILING((DATE(crono_ano_ref,9,1)-Planos!$G230)/Planos!$E230,1)*Planos!$E230))/Planos!$E230)+1)))</f>
      </c>
      <c r="O232" s="44">
        <f>IF(OR(Planos!$A230="",NOT(ISNUMBER(Planos!$G230)),N(Planos!$E230)&lt;=0),0,IF(Planos!$G230&gt;EOMONTH(DATE(crono_ano_ref,10,1),0),0,MAX(0,INT((EOMONTH(DATE(crono_ano_ref,10,1),0)-IF(Planos!$G230&gt;=DATE(crono_ano_ref,10,1),Planos!$G230,Planos!$G230+CEILING((DATE(crono_ano_ref,10,1)-Planos!$G230)/Planos!$E230,1)*Planos!$E230))/Planos!$E230)+1)))</f>
      </c>
      <c r="P232" s="44">
        <f>IF(OR(Planos!$A230="",NOT(ISNUMBER(Planos!$G230)),N(Planos!$E230)&lt;=0),0,IF(Planos!$G230&gt;EOMONTH(DATE(crono_ano_ref,11,1),0),0,MAX(0,INT((EOMONTH(DATE(crono_ano_ref,11,1),0)-IF(Planos!$G230&gt;=DATE(crono_ano_ref,11,1),Planos!$G230,Planos!$G230+CEILING((DATE(crono_ano_ref,11,1)-Planos!$G230)/Planos!$E230,1)*Planos!$E230))/Planos!$E230)+1)))</f>
      </c>
      <c r="Q232" s="44">
        <f>IF(OR(Planos!$A230="",NOT(ISNUMBER(Planos!$G230)),N(Planos!$E230)&lt;=0),0,IF(Planos!$G230&gt;EOMONTH(DATE(crono_ano_ref,12,1),0),0,MAX(0,INT((EOMONTH(DATE(crono_ano_ref,12,1),0)-IF(Planos!$G230&gt;=DATE(crono_ano_ref,12,1),Planos!$G230,Planos!$G230+CEILING((DATE(crono_ano_ref,12,1)-Planos!$G230)/Planos!$E230,1)*Planos!$E230))/Planos!$E230)+1)))</f>
      </c>
      <c r="R232" s="44">
        <f>SUM(F232:Q232)</f>
      </c>
    </row>
    <row r="233" spans="1:18" x14ac:dyDescent="0.25">
      <c r="A233" s="24">
        <f>IF(Planos!$A231="","",Planos!A231&amp;"")</f>
      </c>
      <c r="B233" s="41">
        <f>IF(Planos!$A231="","",Planos!B231&amp;"")</f>
      </c>
      <c r="C233" s="24">
        <f>IF(Planos!$A231="","",Planos!C231&amp;"")</f>
      </c>
      <c r="D233" s="42">
        <f>IF(Planos!$A231="","",N(Planos!E231))</f>
      </c>
      <c r="E233" s="43">
        <f>IF(Planos!$A231="","",N(Planos!K231))</f>
      </c>
      <c r="F233" s="44">
        <f>IF(OR(Planos!$A231="",NOT(ISNUMBER(Planos!$G231)),N(Planos!$E231)&lt;=0),0,IF(Planos!$G231&gt;EOMONTH(DATE(crono_ano_ref,1,1),0),0,MAX(0,INT((EOMONTH(DATE(crono_ano_ref,1,1),0)-IF(Planos!$G231&gt;=DATE(crono_ano_ref,1,1),Planos!$G231,Planos!$G231+CEILING((DATE(crono_ano_ref,1,1)-Planos!$G231)/Planos!$E231,1)*Planos!$E231))/Planos!$E231)+1)))</f>
      </c>
      <c r="G233" s="44">
        <f>IF(OR(Planos!$A231="",NOT(ISNUMBER(Planos!$G231)),N(Planos!$E231)&lt;=0),0,IF(Planos!$G231&gt;EOMONTH(DATE(crono_ano_ref,2,1),0),0,MAX(0,INT((EOMONTH(DATE(crono_ano_ref,2,1),0)-IF(Planos!$G231&gt;=DATE(crono_ano_ref,2,1),Planos!$G231,Planos!$G231+CEILING((DATE(crono_ano_ref,2,1)-Planos!$G231)/Planos!$E231,1)*Planos!$E231))/Planos!$E231)+1)))</f>
      </c>
      <c r="H233" s="44">
        <f>IF(OR(Planos!$A231="",NOT(ISNUMBER(Planos!$G231)),N(Planos!$E231)&lt;=0),0,IF(Planos!$G231&gt;EOMONTH(DATE(crono_ano_ref,3,1),0),0,MAX(0,INT((EOMONTH(DATE(crono_ano_ref,3,1),0)-IF(Planos!$G231&gt;=DATE(crono_ano_ref,3,1),Planos!$G231,Planos!$G231+CEILING((DATE(crono_ano_ref,3,1)-Planos!$G231)/Planos!$E231,1)*Planos!$E231))/Planos!$E231)+1)))</f>
      </c>
      <c r="I233" s="44">
        <f>IF(OR(Planos!$A231="",NOT(ISNUMBER(Planos!$G231)),N(Planos!$E231)&lt;=0),0,IF(Planos!$G231&gt;EOMONTH(DATE(crono_ano_ref,4,1),0),0,MAX(0,INT((EOMONTH(DATE(crono_ano_ref,4,1),0)-IF(Planos!$G231&gt;=DATE(crono_ano_ref,4,1),Planos!$G231,Planos!$G231+CEILING((DATE(crono_ano_ref,4,1)-Planos!$G231)/Planos!$E231,1)*Planos!$E231))/Planos!$E231)+1)))</f>
      </c>
      <c r="J233" s="44">
        <f>IF(OR(Planos!$A231="",NOT(ISNUMBER(Planos!$G231)),N(Planos!$E231)&lt;=0),0,IF(Planos!$G231&gt;EOMONTH(DATE(crono_ano_ref,5,1),0),0,MAX(0,INT((EOMONTH(DATE(crono_ano_ref,5,1),0)-IF(Planos!$G231&gt;=DATE(crono_ano_ref,5,1),Planos!$G231,Planos!$G231+CEILING((DATE(crono_ano_ref,5,1)-Planos!$G231)/Planos!$E231,1)*Planos!$E231))/Planos!$E231)+1)))</f>
      </c>
      <c r="K233" s="44">
        <f>IF(OR(Planos!$A231="",NOT(ISNUMBER(Planos!$G231)),N(Planos!$E231)&lt;=0),0,IF(Planos!$G231&gt;EOMONTH(DATE(crono_ano_ref,6,1),0),0,MAX(0,INT((EOMONTH(DATE(crono_ano_ref,6,1),0)-IF(Planos!$G231&gt;=DATE(crono_ano_ref,6,1),Planos!$G231,Planos!$G231+CEILING((DATE(crono_ano_ref,6,1)-Planos!$G231)/Planos!$E231,1)*Planos!$E231))/Planos!$E231)+1)))</f>
      </c>
      <c r="L233" s="44">
        <f>IF(OR(Planos!$A231="",NOT(ISNUMBER(Planos!$G231)),N(Planos!$E231)&lt;=0),0,IF(Planos!$G231&gt;EOMONTH(DATE(crono_ano_ref,7,1),0),0,MAX(0,INT((EOMONTH(DATE(crono_ano_ref,7,1),0)-IF(Planos!$G231&gt;=DATE(crono_ano_ref,7,1),Planos!$G231,Planos!$G231+CEILING((DATE(crono_ano_ref,7,1)-Planos!$G231)/Planos!$E231,1)*Planos!$E231))/Planos!$E231)+1)))</f>
      </c>
      <c r="M233" s="44">
        <f>IF(OR(Planos!$A231="",NOT(ISNUMBER(Planos!$G231)),N(Planos!$E231)&lt;=0),0,IF(Planos!$G231&gt;EOMONTH(DATE(crono_ano_ref,8,1),0),0,MAX(0,INT((EOMONTH(DATE(crono_ano_ref,8,1),0)-IF(Planos!$G231&gt;=DATE(crono_ano_ref,8,1),Planos!$G231,Planos!$G231+CEILING((DATE(crono_ano_ref,8,1)-Planos!$G231)/Planos!$E231,1)*Planos!$E231))/Planos!$E231)+1)))</f>
      </c>
      <c r="N233" s="44">
        <f>IF(OR(Planos!$A231="",NOT(ISNUMBER(Planos!$G231)),N(Planos!$E231)&lt;=0),0,IF(Planos!$G231&gt;EOMONTH(DATE(crono_ano_ref,9,1),0),0,MAX(0,INT((EOMONTH(DATE(crono_ano_ref,9,1),0)-IF(Planos!$G231&gt;=DATE(crono_ano_ref,9,1),Planos!$G231,Planos!$G231+CEILING((DATE(crono_ano_ref,9,1)-Planos!$G231)/Planos!$E231,1)*Planos!$E231))/Planos!$E231)+1)))</f>
      </c>
      <c r="O233" s="44">
        <f>IF(OR(Planos!$A231="",NOT(ISNUMBER(Planos!$G231)),N(Planos!$E231)&lt;=0),0,IF(Planos!$G231&gt;EOMONTH(DATE(crono_ano_ref,10,1),0),0,MAX(0,INT((EOMONTH(DATE(crono_ano_ref,10,1),0)-IF(Planos!$G231&gt;=DATE(crono_ano_ref,10,1),Planos!$G231,Planos!$G231+CEILING((DATE(crono_ano_ref,10,1)-Planos!$G231)/Planos!$E231,1)*Planos!$E231))/Planos!$E231)+1)))</f>
      </c>
      <c r="P233" s="44">
        <f>IF(OR(Planos!$A231="",NOT(ISNUMBER(Planos!$G231)),N(Planos!$E231)&lt;=0),0,IF(Planos!$G231&gt;EOMONTH(DATE(crono_ano_ref,11,1),0),0,MAX(0,INT((EOMONTH(DATE(crono_ano_ref,11,1),0)-IF(Planos!$G231&gt;=DATE(crono_ano_ref,11,1),Planos!$G231,Planos!$G231+CEILING((DATE(crono_ano_ref,11,1)-Planos!$G231)/Planos!$E231,1)*Planos!$E231))/Planos!$E231)+1)))</f>
      </c>
      <c r="Q233" s="44">
        <f>IF(OR(Planos!$A231="",NOT(ISNUMBER(Planos!$G231)),N(Planos!$E231)&lt;=0),0,IF(Planos!$G231&gt;EOMONTH(DATE(crono_ano_ref,12,1),0),0,MAX(0,INT((EOMONTH(DATE(crono_ano_ref,12,1),0)-IF(Planos!$G231&gt;=DATE(crono_ano_ref,12,1),Planos!$G231,Planos!$G231+CEILING((DATE(crono_ano_ref,12,1)-Planos!$G231)/Planos!$E231,1)*Planos!$E231))/Planos!$E231)+1)))</f>
      </c>
      <c r="R233" s="44">
        <f>SUM(F233:Q233)</f>
      </c>
    </row>
    <row r="234" spans="1:18" x14ac:dyDescent="0.25">
      <c r="A234" s="24">
        <f>IF(Planos!$A232="","",Planos!A232&amp;"")</f>
      </c>
      <c r="B234" s="41">
        <f>IF(Planos!$A232="","",Planos!B232&amp;"")</f>
      </c>
      <c r="C234" s="24">
        <f>IF(Planos!$A232="","",Planos!C232&amp;"")</f>
      </c>
      <c r="D234" s="42">
        <f>IF(Planos!$A232="","",N(Planos!E232))</f>
      </c>
      <c r="E234" s="43">
        <f>IF(Planos!$A232="","",N(Planos!K232))</f>
      </c>
      <c r="F234" s="44">
        <f>IF(OR(Planos!$A232="",NOT(ISNUMBER(Planos!$G232)),N(Planos!$E232)&lt;=0),0,IF(Planos!$G232&gt;EOMONTH(DATE(crono_ano_ref,1,1),0),0,MAX(0,INT((EOMONTH(DATE(crono_ano_ref,1,1),0)-IF(Planos!$G232&gt;=DATE(crono_ano_ref,1,1),Planos!$G232,Planos!$G232+CEILING((DATE(crono_ano_ref,1,1)-Planos!$G232)/Planos!$E232,1)*Planos!$E232))/Planos!$E232)+1)))</f>
      </c>
      <c r="G234" s="44">
        <f>IF(OR(Planos!$A232="",NOT(ISNUMBER(Planos!$G232)),N(Planos!$E232)&lt;=0),0,IF(Planos!$G232&gt;EOMONTH(DATE(crono_ano_ref,2,1),0),0,MAX(0,INT((EOMONTH(DATE(crono_ano_ref,2,1),0)-IF(Planos!$G232&gt;=DATE(crono_ano_ref,2,1),Planos!$G232,Planos!$G232+CEILING((DATE(crono_ano_ref,2,1)-Planos!$G232)/Planos!$E232,1)*Planos!$E232))/Planos!$E232)+1)))</f>
      </c>
      <c r="H234" s="44">
        <f>IF(OR(Planos!$A232="",NOT(ISNUMBER(Planos!$G232)),N(Planos!$E232)&lt;=0),0,IF(Planos!$G232&gt;EOMONTH(DATE(crono_ano_ref,3,1),0),0,MAX(0,INT((EOMONTH(DATE(crono_ano_ref,3,1),0)-IF(Planos!$G232&gt;=DATE(crono_ano_ref,3,1),Planos!$G232,Planos!$G232+CEILING((DATE(crono_ano_ref,3,1)-Planos!$G232)/Planos!$E232,1)*Planos!$E232))/Planos!$E232)+1)))</f>
      </c>
      <c r="I234" s="44">
        <f>IF(OR(Planos!$A232="",NOT(ISNUMBER(Planos!$G232)),N(Planos!$E232)&lt;=0),0,IF(Planos!$G232&gt;EOMONTH(DATE(crono_ano_ref,4,1),0),0,MAX(0,INT((EOMONTH(DATE(crono_ano_ref,4,1),0)-IF(Planos!$G232&gt;=DATE(crono_ano_ref,4,1),Planos!$G232,Planos!$G232+CEILING((DATE(crono_ano_ref,4,1)-Planos!$G232)/Planos!$E232,1)*Planos!$E232))/Planos!$E232)+1)))</f>
      </c>
      <c r="J234" s="44">
        <f>IF(OR(Planos!$A232="",NOT(ISNUMBER(Planos!$G232)),N(Planos!$E232)&lt;=0),0,IF(Planos!$G232&gt;EOMONTH(DATE(crono_ano_ref,5,1),0),0,MAX(0,INT((EOMONTH(DATE(crono_ano_ref,5,1),0)-IF(Planos!$G232&gt;=DATE(crono_ano_ref,5,1),Planos!$G232,Planos!$G232+CEILING((DATE(crono_ano_ref,5,1)-Planos!$G232)/Planos!$E232,1)*Planos!$E232))/Planos!$E232)+1)))</f>
      </c>
      <c r="K234" s="44">
        <f>IF(OR(Planos!$A232="",NOT(ISNUMBER(Planos!$G232)),N(Planos!$E232)&lt;=0),0,IF(Planos!$G232&gt;EOMONTH(DATE(crono_ano_ref,6,1),0),0,MAX(0,INT((EOMONTH(DATE(crono_ano_ref,6,1),0)-IF(Planos!$G232&gt;=DATE(crono_ano_ref,6,1),Planos!$G232,Planos!$G232+CEILING((DATE(crono_ano_ref,6,1)-Planos!$G232)/Planos!$E232,1)*Planos!$E232))/Planos!$E232)+1)))</f>
      </c>
      <c r="L234" s="44">
        <f>IF(OR(Planos!$A232="",NOT(ISNUMBER(Planos!$G232)),N(Planos!$E232)&lt;=0),0,IF(Planos!$G232&gt;EOMONTH(DATE(crono_ano_ref,7,1),0),0,MAX(0,INT((EOMONTH(DATE(crono_ano_ref,7,1),0)-IF(Planos!$G232&gt;=DATE(crono_ano_ref,7,1),Planos!$G232,Planos!$G232+CEILING((DATE(crono_ano_ref,7,1)-Planos!$G232)/Planos!$E232,1)*Planos!$E232))/Planos!$E232)+1)))</f>
      </c>
      <c r="M234" s="44">
        <f>IF(OR(Planos!$A232="",NOT(ISNUMBER(Planos!$G232)),N(Planos!$E232)&lt;=0),0,IF(Planos!$G232&gt;EOMONTH(DATE(crono_ano_ref,8,1),0),0,MAX(0,INT((EOMONTH(DATE(crono_ano_ref,8,1),0)-IF(Planos!$G232&gt;=DATE(crono_ano_ref,8,1),Planos!$G232,Planos!$G232+CEILING((DATE(crono_ano_ref,8,1)-Planos!$G232)/Planos!$E232,1)*Planos!$E232))/Planos!$E232)+1)))</f>
      </c>
      <c r="N234" s="44">
        <f>IF(OR(Planos!$A232="",NOT(ISNUMBER(Planos!$G232)),N(Planos!$E232)&lt;=0),0,IF(Planos!$G232&gt;EOMONTH(DATE(crono_ano_ref,9,1),0),0,MAX(0,INT((EOMONTH(DATE(crono_ano_ref,9,1),0)-IF(Planos!$G232&gt;=DATE(crono_ano_ref,9,1),Planos!$G232,Planos!$G232+CEILING((DATE(crono_ano_ref,9,1)-Planos!$G232)/Planos!$E232,1)*Planos!$E232))/Planos!$E232)+1)))</f>
      </c>
      <c r="O234" s="44">
        <f>IF(OR(Planos!$A232="",NOT(ISNUMBER(Planos!$G232)),N(Planos!$E232)&lt;=0),0,IF(Planos!$G232&gt;EOMONTH(DATE(crono_ano_ref,10,1),0),0,MAX(0,INT((EOMONTH(DATE(crono_ano_ref,10,1),0)-IF(Planos!$G232&gt;=DATE(crono_ano_ref,10,1),Planos!$G232,Planos!$G232+CEILING((DATE(crono_ano_ref,10,1)-Planos!$G232)/Planos!$E232,1)*Planos!$E232))/Planos!$E232)+1)))</f>
      </c>
      <c r="P234" s="44">
        <f>IF(OR(Planos!$A232="",NOT(ISNUMBER(Planos!$G232)),N(Planos!$E232)&lt;=0),0,IF(Planos!$G232&gt;EOMONTH(DATE(crono_ano_ref,11,1),0),0,MAX(0,INT((EOMONTH(DATE(crono_ano_ref,11,1),0)-IF(Planos!$G232&gt;=DATE(crono_ano_ref,11,1),Planos!$G232,Planos!$G232+CEILING((DATE(crono_ano_ref,11,1)-Planos!$G232)/Planos!$E232,1)*Planos!$E232))/Planos!$E232)+1)))</f>
      </c>
      <c r="Q234" s="44">
        <f>IF(OR(Planos!$A232="",NOT(ISNUMBER(Planos!$G232)),N(Planos!$E232)&lt;=0),0,IF(Planos!$G232&gt;EOMONTH(DATE(crono_ano_ref,12,1),0),0,MAX(0,INT((EOMONTH(DATE(crono_ano_ref,12,1),0)-IF(Planos!$G232&gt;=DATE(crono_ano_ref,12,1),Planos!$G232,Planos!$G232+CEILING((DATE(crono_ano_ref,12,1)-Planos!$G232)/Planos!$E232,1)*Planos!$E232))/Planos!$E232)+1)))</f>
      </c>
      <c r="R234" s="44">
        <f>SUM(F234:Q234)</f>
      </c>
    </row>
    <row r="235" spans="1:18" x14ac:dyDescent="0.25">
      <c r="A235" s="24">
        <f>IF(Planos!$A233="","",Planos!A233&amp;"")</f>
      </c>
      <c r="B235" s="41">
        <f>IF(Planos!$A233="","",Planos!B233&amp;"")</f>
      </c>
      <c r="C235" s="24">
        <f>IF(Planos!$A233="","",Planos!C233&amp;"")</f>
      </c>
      <c r="D235" s="42">
        <f>IF(Planos!$A233="","",N(Planos!E233))</f>
      </c>
      <c r="E235" s="43">
        <f>IF(Planos!$A233="","",N(Planos!K233))</f>
      </c>
      <c r="F235" s="44">
        <f>IF(OR(Planos!$A233="",NOT(ISNUMBER(Planos!$G233)),N(Planos!$E233)&lt;=0),0,IF(Planos!$G233&gt;EOMONTH(DATE(crono_ano_ref,1,1),0),0,MAX(0,INT((EOMONTH(DATE(crono_ano_ref,1,1),0)-IF(Planos!$G233&gt;=DATE(crono_ano_ref,1,1),Planos!$G233,Planos!$G233+CEILING((DATE(crono_ano_ref,1,1)-Planos!$G233)/Planos!$E233,1)*Planos!$E233))/Planos!$E233)+1)))</f>
      </c>
      <c r="G235" s="44">
        <f>IF(OR(Planos!$A233="",NOT(ISNUMBER(Planos!$G233)),N(Planos!$E233)&lt;=0),0,IF(Planos!$G233&gt;EOMONTH(DATE(crono_ano_ref,2,1),0),0,MAX(0,INT((EOMONTH(DATE(crono_ano_ref,2,1),0)-IF(Planos!$G233&gt;=DATE(crono_ano_ref,2,1),Planos!$G233,Planos!$G233+CEILING((DATE(crono_ano_ref,2,1)-Planos!$G233)/Planos!$E233,1)*Planos!$E233))/Planos!$E233)+1)))</f>
      </c>
      <c r="H235" s="44">
        <f>IF(OR(Planos!$A233="",NOT(ISNUMBER(Planos!$G233)),N(Planos!$E233)&lt;=0),0,IF(Planos!$G233&gt;EOMONTH(DATE(crono_ano_ref,3,1),0),0,MAX(0,INT((EOMONTH(DATE(crono_ano_ref,3,1),0)-IF(Planos!$G233&gt;=DATE(crono_ano_ref,3,1),Planos!$G233,Planos!$G233+CEILING((DATE(crono_ano_ref,3,1)-Planos!$G233)/Planos!$E233,1)*Planos!$E233))/Planos!$E233)+1)))</f>
      </c>
      <c r="I235" s="44">
        <f>IF(OR(Planos!$A233="",NOT(ISNUMBER(Planos!$G233)),N(Planos!$E233)&lt;=0),0,IF(Planos!$G233&gt;EOMONTH(DATE(crono_ano_ref,4,1),0),0,MAX(0,INT((EOMONTH(DATE(crono_ano_ref,4,1),0)-IF(Planos!$G233&gt;=DATE(crono_ano_ref,4,1),Planos!$G233,Planos!$G233+CEILING((DATE(crono_ano_ref,4,1)-Planos!$G233)/Planos!$E233,1)*Planos!$E233))/Planos!$E233)+1)))</f>
      </c>
      <c r="J235" s="44">
        <f>IF(OR(Planos!$A233="",NOT(ISNUMBER(Planos!$G233)),N(Planos!$E233)&lt;=0),0,IF(Planos!$G233&gt;EOMONTH(DATE(crono_ano_ref,5,1),0),0,MAX(0,INT((EOMONTH(DATE(crono_ano_ref,5,1),0)-IF(Planos!$G233&gt;=DATE(crono_ano_ref,5,1),Planos!$G233,Planos!$G233+CEILING((DATE(crono_ano_ref,5,1)-Planos!$G233)/Planos!$E233,1)*Planos!$E233))/Planos!$E233)+1)))</f>
      </c>
      <c r="K235" s="44">
        <f>IF(OR(Planos!$A233="",NOT(ISNUMBER(Planos!$G233)),N(Planos!$E233)&lt;=0),0,IF(Planos!$G233&gt;EOMONTH(DATE(crono_ano_ref,6,1),0),0,MAX(0,INT((EOMONTH(DATE(crono_ano_ref,6,1),0)-IF(Planos!$G233&gt;=DATE(crono_ano_ref,6,1),Planos!$G233,Planos!$G233+CEILING((DATE(crono_ano_ref,6,1)-Planos!$G233)/Planos!$E233,1)*Planos!$E233))/Planos!$E233)+1)))</f>
      </c>
      <c r="L235" s="44">
        <f>IF(OR(Planos!$A233="",NOT(ISNUMBER(Planos!$G233)),N(Planos!$E233)&lt;=0),0,IF(Planos!$G233&gt;EOMONTH(DATE(crono_ano_ref,7,1),0),0,MAX(0,INT((EOMONTH(DATE(crono_ano_ref,7,1),0)-IF(Planos!$G233&gt;=DATE(crono_ano_ref,7,1),Planos!$G233,Planos!$G233+CEILING((DATE(crono_ano_ref,7,1)-Planos!$G233)/Planos!$E233,1)*Planos!$E233))/Planos!$E233)+1)))</f>
      </c>
      <c r="M235" s="44">
        <f>IF(OR(Planos!$A233="",NOT(ISNUMBER(Planos!$G233)),N(Planos!$E233)&lt;=0),0,IF(Planos!$G233&gt;EOMONTH(DATE(crono_ano_ref,8,1),0),0,MAX(0,INT((EOMONTH(DATE(crono_ano_ref,8,1),0)-IF(Planos!$G233&gt;=DATE(crono_ano_ref,8,1),Planos!$G233,Planos!$G233+CEILING((DATE(crono_ano_ref,8,1)-Planos!$G233)/Planos!$E233,1)*Planos!$E233))/Planos!$E233)+1)))</f>
      </c>
      <c r="N235" s="44">
        <f>IF(OR(Planos!$A233="",NOT(ISNUMBER(Planos!$G233)),N(Planos!$E233)&lt;=0),0,IF(Planos!$G233&gt;EOMONTH(DATE(crono_ano_ref,9,1),0),0,MAX(0,INT((EOMONTH(DATE(crono_ano_ref,9,1),0)-IF(Planos!$G233&gt;=DATE(crono_ano_ref,9,1),Planos!$G233,Planos!$G233+CEILING((DATE(crono_ano_ref,9,1)-Planos!$G233)/Planos!$E233,1)*Planos!$E233))/Planos!$E233)+1)))</f>
      </c>
      <c r="O235" s="44">
        <f>IF(OR(Planos!$A233="",NOT(ISNUMBER(Planos!$G233)),N(Planos!$E233)&lt;=0),0,IF(Planos!$G233&gt;EOMONTH(DATE(crono_ano_ref,10,1),0),0,MAX(0,INT((EOMONTH(DATE(crono_ano_ref,10,1),0)-IF(Planos!$G233&gt;=DATE(crono_ano_ref,10,1),Planos!$G233,Planos!$G233+CEILING((DATE(crono_ano_ref,10,1)-Planos!$G233)/Planos!$E233,1)*Planos!$E233))/Planos!$E233)+1)))</f>
      </c>
      <c r="P235" s="44">
        <f>IF(OR(Planos!$A233="",NOT(ISNUMBER(Planos!$G233)),N(Planos!$E233)&lt;=0),0,IF(Planos!$G233&gt;EOMONTH(DATE(crono_ano_ref,11,1),0),0,MAX(0,INT((EOMONTH(DATE(crono_ano_ref,11,1),0)-IF(Planos!$G233&gt;=DATE(crono_ano_ref,11,1),Planos!$G233,Planos!$G233+CEILING((DATE(crono_ano_ref,11,1)-Planos!$G233)/Planos!$E233,1)*Planos!$E233))/Planos!$E233)+1)))</f>
      </c>
      <c r="Q235" s="44">
        <f>IF(OR(Planos!$A233="",NOT(ISNUMBER(Planos!$G233)),N(Planos!$E233)&lt;=0),0,IF(Planos!$G233&gt;EOMONTH(DATE(crono_ano_ref,12,1),0),0,MAX(0,INT((EOMONTH(DATE(crono_ano_ref,12,1),0)-IF(Planos!$G233&gt;=DATE(crono_ano_ref,12,1),Planos!$G233,Planos!$G233+CEILING((DATE(crono_ano_ref,12,1)-Planos!$G233)/Planos!$E233,1)*Planos!$E233))/Planos!$E233)+1)))</f>
      </c>
      <c r="R235" s="44">
        <f>SUM(F235:Q235)</f>
      </c>
    </row>
    <row r="236" spans="1:18" x14ac:dyDescent="0.25">
      <c r="A236" s="24">
        <f>IF(Planos!$A234="","",Planos!A234&amp;"")</f>
      </c>
      <c r="B236" s="41">
        <f>IF(Planos!$A234="","",Planos!B234&amp;"")</f>
      </c>
      <c r="C236" s="24">
        <f>IF(Planos!$A234="","",Planos!C234&amp;"")</f>
      </c>
      <c r="D236" s="42">
        <f>IF(Planos!$A234="","",N(Planos!E234))</f>
      </c>
      <c r="E236" s="43">
        <f>IF(Planos!$A234="","",N(Planos!K234))</f>
      </c>
      <c r="F236" s="44">
        <f>IF(OR(Planos!$A234="",NOT(ISNUMBER(Planos!$G234)),N(Planos!$E234)&lt;=0),0,IF(Planos!$G234&gt;EOMONTH(DATE(crono_ano_ref,1,1),0),0,MAX(0,INT((EOMONTH(DATE(crono_ano_ref,1,1),0)-IF(Planos!$G234&gt;=DATE(crono_ano_ref,1,1),Planos!$G234,Planos!$G234+CEILING((DATE(crono_ano_ref,1,1)-Planos!$G234)/Planos!$E234,1)*Planos!$E234))/Planos!$E234)+1)))</f>
      </c>
      <c r="G236" s="44">
        <f>IF(OR(Planos!$A234="",NOT(ISNUMBER(Planos!$G234)),N(Planos!$E234)&lt;=0),0,IF(Planos!$G234&gt;EOMONTH(DATE(crono_ano_ref,2,1),0),0,MAX(0,INT((EOMONTH(DATE(crono_ano_ref,2,1),0)-IF(Planos!$G234&gt;=DATE(crono_ano_ref,2,1),Planos!$G234,Planos!$G234+CEILING((DATE(crono_ano_ref,2,1)-Planos!$G234)/Planos!$E234,1)*Planos!$E234))/Planos!$E234)+1)))</f>
      </c>
      <c r="H236" s="44">
        <f>IF(OR(Planos!$A234="",NOT(ISNUMBER(Planos!$G234)),N(Planos!$E234)&lt;=0),0,IF(Planos!$G234&gt;EOMONTH(DATE(crono_ano_ref,3,1),0),0,MAX(0,INT((EOMONTH(DATE(crono_ano_ref,3,1),0)-IF(Planos!$G234&gt;=DATE(crono_ano_ref,3,1),Planos!$G234,Planos!$G234+CEILING((DATE(crono_ano_ref,3,1)-Planos!$G234)/Planos!$E234,1)*Planos!$E234))/Planos!$E234)+1)))</f>
      </c>
      <c r="I236" s="44">
        <f>IF(OR(Planos!$A234="",NOT(ISNUMBER(Planos!$G234)),N(Planos!$E234)&lt;=0),0,IF(Planos!$G234&gt;EOMONTH(DATE(crono_ano_ref,4,1),0),0,MAX(0,INT((EOMONTH(DATE(crono_ano_ref,4,1),0)-IF(Planos!$G234&gt;=DATE(crono_ano_ref,4,1),Planos!$G234,Planos!$G234+CEILING((DATE(crono_ano_ref,4,1)-Planos!$G234)/Planos!$E234,1)*Planos!$E234))/Planos!$E234)+1)))</f>
      </c>
      <c r="J236" s="44">
        <f>IF(OR(Planos!$A234="",NOT(ISNUMBER(Planos!$G234)),N(Planos!$E234)&lt;=0),0,IF(Planos!$G234&gt;EOMONTH(DATE(crono_ano_ref,5,1),0),0,MAX(0,INT((EOMONTH(DATE(crono_ano_ref,5,1),0)-IF(Planos!$G234&gt;=DATE(crono_ano_ref,5,1),Planos!$G234,Planos!$G234+CEILING((DATE(crono_ano_ref,5,1)-Planos!$G234)/Planos!$E234,1)*Planos!$E234))/Planos!$E234)+1)))</f>
      </c>
      <c r="K236" s="44">
        <f>IF(OR(Planos!$A234="",NOT(ISNUMBER(Planos!$G234)),N(Planos!$E234)&lt;=0),0,IF(Planos!$G234&gt;EOMONTH(DATE(crono_ano_ref,6,1),0),0,MAX(0,INT((EOMONTH(DATE(crono_ano_ref,6,1),0)-IF(Planos!$G234&gt;=DATE(crono_ano_ref,6,1),Planos!$G234,Planos!$G234+CEILING((DATE(crono_ano_ref,6,1)-Planos!$G234)/Planos!$E234,1)*Planos!$E234))/Planos!$E234)+1)))</f>
      </c>
      <c r="L236" s="44">
        <f>IF(OR(Planos!$A234="",NOT(ISNUMBER(Planos!$G234)),N(Planos!$E234)&lt;=0),0,IF(Planos!$G234&gt;EOMONTH(DATE(crono_ano_ref,7,1),0),0,MAX(0,INT((EOMONTH(DATE(crono_ano_ref,7,1),0)-IF(Planos!$G234&gt;=DATE(crono_ano_ref,7,1),Planos!$G234,Planos!$G234+CEILING((DATE(crono_ano_ref,7,1)-Planos!$G234)/Planos!$E234,1)*Planos!$E234))/Planos!$E234)+1)))</f>
      </c>
      <c r="M236" s="44">
        <f>IF(OR(Planos!$A234="",NOT(ISNUMBER(Planos!$G234)),N(Planos!$E234)&lt;=0),0,IF(Planos!$G234&gt;EOMONTH(DATE(crono_ano_ref,8,1),0),0,MAX(0,INT((EOMONTH(DATE(crono_ano_ref,8,1),0)-IF(Planos!$G234&gt;=DATE(crono_ano_ref,8,1),Planos!$G234,Planos!$G234+CEILING((DATE(crono_ano_ref,8,1)-Planos!$G234)/Planos!$E234,1)*Planos!$E234))/Planos!$E234)+1)))</f>
      </c>
      <c r="N236" s="44">
        <f>IF(OR(Planos!$A234="",NOT(ISNUMBER(Planos!$G234)),N(Planos!$E234)&lt;=0),0,IF(Planos!$G234&gt;EOMONTH(DATE(crono_ano_ref,9,1),0),0,MAX(0,INT((EOMONTH(DATE(crono_ano_ref,9,1),0)-IF(Planos!$G234&gt;=DATE(crono_ano_ref,9,1),Planos!$G234,Planos!$G234+CEILING((DATE(crono_ano_ref,9,1)-Planos!$G234)/Planos!$E234,1)*Planos!$E234))/Planos!$E234)+1)))</f>
      </c>
      <c r="O236" s="44">
        <f>IF(OR(Planos!$A234="",NOT(ISNUMBER(Planos!$G234)),N(Planos!$E234)&lt;=0),0,IF(Planos!$G234&gt;EOMONTH(DATE(crono_ano_ref,10,1),0),0,MAX(0,INT((EOMONTH(DATE(crono_ano_ref,10,1),0)-IF(Planos!$G234&gt;=DATE(crono_ano_ref,10,1),Planos!$G234,Planos!$G234+CEILING((DATE(crono_ano_ref,10,1)-Planos!$G234)/Planos!$E234,1)*Planos!$E234))/Planos!$E234)+1)))</f>
      </c>
      <c r="P236" s="44">
        <f>IF(OR(Planos!$A234="",NOT(ISNUMBER(Planos!$G234)),N(Planos!$E234)&lt;=0),0,IF(Planos!$G234&gt;EOMONTH(DATE(crono_ano_ref,11,1),0),0,MAX(0,INT((EOMONTH(DATE(crono_ano_ref,11,1),0)-IF(Planos!$G234&gt;=DATE(crono_ano_ref,11,1),Planos!$G234,Planos!$G234+CEILING((DATE(crono_ano_ref,11,1)-Planos!$G234)/Planos!$E234,1)*Planos!$E234))/Planos!$E234)+1)))</f>
      </c>
      <c r="Q236" s="44">
        <f>IF(OR(Planos!$A234="",NOT(ISNUMBER(Planos!$G234)),N(Planos!$E234)&lt;=0),0,IF(Planos!$G234&gt;EOMONTH(DATE(crono_ano_ref,12,1),0),0,MAX(0,INT((EOMONTH(DATE(crono_ano_ref,12,1),0)-IF(Planos!$G234&gt;=DATE(crono_ano_ref,12,1),Planos!$G234,Planos!$G234+CEILING((DATE(crono_ano_ref,12,1)-Planos!$G234)/Planos!$E234,1)*Planos!$E234))/Planos!$E234)+1)))</f>
      </c>
      <c r="R236" s="44">
        <f>SUM(F236:Q236)</f>
      </c>
    </row>
    <row r="237" spans="1:18" x14ac:dyDescent="0.25">
      <c r="A237" s="24">
        <f>IF(Planos!$A235="","",Planos!A235&amp;"")</f>
      </c>
      <c r="B237" s="41">
        <f>IF(Planos!$A235="","",Planos!B235&amp;"")</f>
      </c>
      <c r="C237" s="24">
        <f>IF(Planos!$A235="","",Planos!C235&amp;"")</f>
      </c>
      <c r="D237" s="42">
        <f>IF(Planos!$A235="","",N(Planos!E235))</f>
      </c>
      <c r="E237" s="43">
        <f>IF(Planos!$A235="","",N(Planos!K235))</f>
      </c>
      <c r="F237" s="44">
        <f>IF(OR(Planos!$A235="",NOT(ISNUMBER(Planos!$G235)),N(Planos!$E235)&lt;=0),0,IF(Planos!$G235&gt;EOMONTH(DATE(crono_ano_ref,1,1),0),0,MAX(0,INT((EOMONTH(DATE(crono_ano_ref,1,1),0)-IF(Planos!$G235&gt;=DATE(crono_ano_ref,1,1),Planos!$G235,Planos!$G235+CEILING((DATE(crono_ano_ref,1,1)-Planos!$G235)/Planos!$E235,1)*Planos!$E235))/Planos!$E235)+1)))</f>
      </c>
      <c r="G237" s="44">
        <f>IF(OR(Planos!$A235="",NOT(ISNUMBER(Planos!$G235)),N(Planos!$E235)&lt;=0),0,IF(Planos!$G235&gt;EOMONTH(DATE(crono_ano_ref,2,1),0),0,MAX(0,INT((EOMONTH(DATE(crono_ano_ref,2,1),0)-IF(Planos!$G235&gt;=DATE(crono_ano_ref,2,1),Planos!$G235,Planos!$G235+CEILING((DATE(crono_ano_ref,2,1)-Planos!$G235)/Planos!$E235,1)*Planos!$E235))/Planos!$E235)+1)))</f>
      </c>
      <c r="H237" s="44">
        <f>IF(OR(Planos!$A235="",NOT(ISNUMBER(Planos!$G235)),N(Planos!$E235)&lt;=0),0,IF(Planos!$G235&gt;EOMONTH(DATE(crono_ano_ref,3,1),0),0,MAX(0,INT((EOMONTH(DATE(crono_ano_ref,3,1),0)-IF(Planos!$G235&gt;=DATE(crono_ano_ref,3,1),Planos!$G235,Planos!$G235+CEILING((DATE(crono_ano_ref,3,1)-Planos!$G235)/Planos!$E235,1)*Planos!$E235))/Planos!$E235)+1)))</f>
      </c>
      <c r="I237" s="44">
        <f>IF(OR(Planos!$A235="",NOT(ISNUMBER(Planos!$G235)),N(Planos!$E235)&lt;=0),0,IF(Planos!$G235&gt;EOMONTH(DATE(crono_ano_ref,4,1),0),0,MAX(0,INT((EOMONTH(DATE(crono_ano_ref,4,1),0)-IF(Planos!$G235&gt;=DATE(crono_ano_ref,4,1),Planos!$G235,Planos!$G235+CEILING((DATE(crono_ano_ref,4,1)-Planos!$G235)/Planos!$E235,1)*Planos!$E235))/Planos!$E235)+1)))</f>
      </c>
      <c r="J237" s="44">
        <f>IF(OR(Planos!$A235="",NOT(ISNUMBER(Planos!$G235)),N(Planos!$E235)&lt;=0),0,IF(Planos!$G235&gt;EOMONTH(DATE(crono_ano_ref,5,1),0),0,MAX(0,INT((EOMONTH(DATE(crono_ano_ref,5,1),0)-IF(Planos!$G235&gt;=DATE(crono_ano_ref,5,1),Planos!$G235,Planos!$G235+CEILING((DATE(crono_ano_ref,5,1)-Planos!$G235)/Planos!$E235,1)*Planos!$E235))/Planos!$E235)+1)))</f>
      </c>
      <c r="K237" s="44">
        <f>IF(OR(Planos!$A235="",NOT(ISNUMBER(Planos!$G235)),N(Planos!$E235)&lt;=0),0,IF(Planos!$G235&gt;EOMONTH(DATE(crono_ano_ref,6,1),0),0,MAX(0,INT((EOMONTH(DATE(crono_ano_ref,6,1),0)-IF(Planos!$G235&gt;=DATE(crono_ano_ref,6,1),Planos!$G235,Planos!$G235+CEILING((DATE(crono_ano_ref,6,1)-Planos!$G235)/Planos!$E235,1)*Planos!$E235))/Planos!$E235)+1)))</f>
      </c>
      <c r="L237" s="44">
        <f>IF(OR(Planos!$A235="",NOT(ISNUMBER(Planos!$G235)),N(Planos!$E235)&lt;=0),0,IF(Planos!$G235&gt;EOMONTH(DATE(crono_ano_ref,7,1),0),0,MAX(0,INT((EOMONTH(DATE(crono_ano_ref,7,1),0)-IF(Planos!$G235&gt;=DATE(crono_ano_ref,7,1),Planos!$G235,Planos!$G235+CEILING((DATE(crono_ano_ref,7,1)-Planos!$G235)/Planos!$E235,1)*Planos!$E235))/Planos!$E235)+1)))</f>
      </c>
      <c r="M237" s="44">
        <f>IF(OR(Planos!$A235="",NOT(ISNUMBER(Planos!$G235)),N(Planos!$E235)&lt;=0),0,IF(Planos!$G235&gt;EOMONTH(DATE(crono_ano_ref,8,1),0),0,MAX(0,INT((EOMONTH(DATE(crono_ano_ref,8,1),0)-IF(Planos!$G235&gt;=DATE(crono_ano_ref,8,1),Planos!$G235,Planos!$G235+CEILING((DATE(crono_ano_ref,8,1)-Planos!$G235)/Planos!$E235,1)*Planos!$E235))/Planos!$E235)+1)))</f>
      </c>
      <c r="N237" s="44">
        <f>IF(OR(Planos!$A235="",NOT(ISNUMBER(Planos!$G235)),N(Planos!$E235)&lt;=0),0,IF(Planos!$G235&gt;EOMONTH(DATE(crono_ano_ref,9,1),0),0,MAX(0,INT((EOMONTH(DATE(crono_ano_ref,9,1),0)-IF(Planos!$G235&gt;=DATE(crono_ano_ref,9,1),Planos!$G235,Planos!$G235+CEILING((DATE(crono_ano_ref,9,1)-Planos!$G235)/Planos!$E235,1)*Planos!$E235))/Planos!$E235)+1)))</f>
      </c>
      <c r="O237" s="44">
        <f>IF(OR(Planos!$A235="",NOT(ISNUMBER(Planos!$G235)),N(Planos!$E235)&lt;=0),0,IF(Planos!$G235&gt;EOMONTH(DATE(crono_ano_ref,10,1),0),0,MAX(0,INT((EOMONTH(DATE(crono_ano_ref,10,1),0)-IF(Planos!$G235&gt;=DATE(crono_ano_ref,10,1),Planos!$G235,Planos!$G235+CEILING((DATE(crono_ano_ref,10,1)-Planos!$G235)/Planos!$E235,1)*Planos!$E235))/Planos!$E235)+1)))</f>
      </c>
      <c r="P237" s="44">
        <f>IF(OR(Planos!$A235="",NOT(ISNUMBER(Planos!$G235)),N(Planos!$E235)&lt;=0),0,IF(Planos!$G235&gt;EOMONTH(DATE(crono_ano_ref,11,1),0),0,MAX(0,INT((EOMONTH(DATE(crono_ano_ref,11,1),0)-IF(Planos!$G235&gt;=DATE(crono_ano_ref,11,1),Planos!$G235,Planos!$G235+CEILING((DATE(crono_ano_ref,11,1)-Planos!$G235)/Planos!$E235,1)*Planos!$E235))/Planos!$E235)+1)))</f>
      </c>
      <c r="Q237" s="44">
        <f>IF(OR(Planos!$A235="",NOT(ISNUMBER(Planos!$G235)),N(Planos!$E235)&lt;=0),0,IF(Planos!$G235&gt;EOMONTH(DATE(crono_ano_ref,12,1),0),0,MAX(0,INT((EOMONTH(DATE(crono_ano_ref,12,1),0)-IF(Planos!$G235&gt;=DATE(crono_ano_ref,12,1),Planos!$G235,Planos!$G235+CEILING((DATE(crono_ano_ref,12,1)-Planos!$G235)/Planos!$E235,1)*Planos!$E235))/Planos!$E235)+1)))</f>
      </c>
      <c r="R237" s="44">
        <f>SUM(F237:Q237)</f>
      </c>
    </row>
    <row r="238" spans="1:18" x14ac:dyDescent="0.25">
      <c r="A238" s="24">
        <f>IF(Planos!$A236="","",Planos!A236&amp;"")</f>
      </c>
      <c r="B238" s="41">
        <f>IF(Planos!$A236="","",Planos!B236&amp;"")</f>
      </c>
      <c r="C238" s="24">
        <f>IF(Planos!$A236="","",Planos!C236&amp;"")</f>
      </c>
      <c r="D238" s="42">
        <f>IF(Planos!$A236="","",N(Planos!E236))</f>
      </c>
      <c r="E238" s="43">
        <f>IF(Planos!$A236="","",N(Planos!K236))</f>
      </c>
      <c r="F238" s="44">
        <f>IF(OR(Planos!$A236="",NOT(ISNUMBER(Planos!$G236)),N(Planos!$E236)&lt;=0),0,IF(Planos!$G236&gt;EOMONTH(DATE(crono_ano_ref,1,1),0),0,MAX(0,INT((EOMONTH(DATE(crono_ano_ref,1,1),0)-IF(Planos!$G236&gt;=DATE(crono_ano_ref,1,1),Planos!$G236,Planos!$G236+CEILING((DATE(crono_ano_ref,1,1)-Planos!$G236)/Planos!$E236,1)*Planos!$E236))/Planos!$E236)+1)))</f>
      </c>
      <c r="G238" s="44">
        <f>IF(OR(Planos!$A236="",NOT(ISNUMBER(Planos!$G236)),N(Planos!$E236)&lt;=0),0,IF(Planos!$G236&gt;EOMONTH(DATE(crono_ano_ref,2,1),0),0,MAX(0,INT((EOMONTH(DATE(crono_ano_ref,2,1),0)-IF(Planos!$G236&gt;=DATE(crono_ano_ref,2,1),Planos!$G236,Planos!$G236+CEILING((DATE(crono_ano_ref,2,1)-Planos!$G236)/Planos!$E236,1)*Planos!$E236))/Planos!$E236)+1)))</f>
      </c>
      <c r="H238" s="44">
        <f>IF(OR(Planos!$A236="",NOT(ISNUMBER(Planos!$G236)),N(Planos!$E236)&lt;=0),0,IF(Planos!$G236&gt;EOMONTH(DATE(crono_ano_ref,3,1),0),0,MAX(0,INT((EOMONTH(DATE(crono_ano_ref,3,1),0)-IF(Planos!$G236&gt;=DATE(crono_ano_ref,3,1),Planos!$G236,Planos!$G236+CEILING((DATE(crono_ano_ref,3,1)-Planos!$G236)/Planos!$E236,1)*Planos!$E236))/Planos!$E236)+1)))</f>
      </c>
      <c r="I238" s="44">
        <f>IF(OR(Planos!$A236="",NOT(ISNUMBER(Planos!$G236)),N(Planos!$E236)&lt;=0),0,IF(Planos!$G236&gt;EOMONTH(DATE(crono_ano_ref,4,1),0),0,MAX(0,INT((EOMONTH(DATE(crono_ano_ref,4,1),0)-IF(Planos!$G236&gt;=DATE(crono_ano_ref,4,1),Planos!$G236,Planos!$G236+CEILING((DATE(crono_ano_ref,4,1)-Planos!$G236)/Planos!$E236,1)*Planos!$E236))/Planos!$E236)+1)))</f>
      </c>
      <c r="J238" s="44">
        <f>IF(OR(Planos!$A236="",NOT(ISNUMBER(Planos!$G236)),N(Planos!$E236)&lt;=0),0,IF(Planos!$G236&gt;EOMONTH(DATE(crono_ano_ref,5,1),0),0,MAX(0,INT((EOMONTH(DATE(crono_ano_ref,5,1),0)-IF(Planos!$G236&gt;=DATE(crono_ano_ref,5,1),Planos!$G236,Planos!$G236+CEILING((DATE(crono_ano_ref,5,1)-Planos!$G236)/Planos!$E236,1)*Planos!$E236))/Planos!$E236)+1)))</f>
      </c>
      <c r="K238" s="44">
        <f>IF(OR(Planos!$A236="",NOT(ISNUMBER(Planos!$G236)),N(Planos!$E236)&lt;=0),0,IF(Planos!$G236&gt;EOMONTH(DATE(crono_ano_ref,6,1),0),0,MAX(0,INT((EOMONTH(DATE(crono_ano_ref,6,1),0)-IF(Planos!$G236&gt;=DATE(crono_ano_ref,6,1),Planos!$G236,Planos!$G236+CEILING((DATE(crono_ano_ref,6,1)-Planos!$G236)/Planos!$E236,1)*Planos!$E236))/Planos!$E236)+1)))</f>
      </c>
      <c r="L238" s="44">
        <f>IF(OR(Planos!$A236="",NOT(ISNUMBER(Planos!$G236)),N(Planos!$E236)&lt;=0),0,IF(Planos!$G236&gt;EOMONTH(DATE(crono_ano_ref,7,1),0),0,MAX(0,INT((EOMONTH(DATE(crono_ano_ref,7,1),0)-IF(Planos!$G236&gt;=DATE(crono_ano_ref,7,1),Planos!$G236,Planos!$G236+CEILING((DATE(crono_ano_ref,7,1)-Planos!$G236)/Planos!$E236,1)*Planos!$E236))/Planos!$E236)+1)))</f>
      </c>
      <c r="M238" s="44">
        <f>IF(OR(Planos!$A236="",NOT(ISNUMBER(Planos!$G236)),N(Planos!$E236)&lt;=0),0,IF(Planos!$G236&gt;EOMONTH(DATE(crono_ano_ref,8,1),0),0,MAX(0,INT((EOMONTH(DATE(crono_ano_ref,8,1),0)-IF(Planos!$G236&gt;=DATE(crono_ano_ref,8,1),Planos!$G236,Planos!$G236+CEILING((DATE(crono_ano_ref,8,1)-Planos!$G236)/Planos!$E236,1)*Planos!$E236))/Planos!$E236)+1)))</f>
      </c>
      <c r="N238" s="44">
        <f>IF(OR(Planos!$A236="",NOT(ISNUMBER(Planos!$G236)),N(Planos!$E236)&lt;=0),0,IF(Planos!$G236&gt;EOMONTH(DATE(crono_ano_ref,9,1),0),0,MAX(0,INT((EOMONTH(DATE(crono_ano_ref,9,1),0)-IF(Planos!$G236&gt;=DATE(crono_ano_ref,9,1),Planos!$G236,Planos!$G236+CEILING((DATE(crono_ano_ref,9,1)-Planos!$G236)/Planos!$E236,1)*Planos!$E236))/Planos!$E236)+1)))</f>
      </c>
      <c r="O238" s="44">
        <f>IF(OR(Planos!$A236="",NOT(ISNUMBER(Planos!$G236)),N(Planos!$E236)&lt;=0),0,IF(Planos!$G236&gt;EOMONTH(DATE(crono_ano_ref,10,1),0),0,MAX(0,INT((EOMONTH(DATE(crono_ano_ref,10,1),0)-IF(Planos!$G236&gt;=DATE(crono_ano_ref,10,1),Planos!$G236,Planos!$G236+CEILING((DATE(crono_ano_ref,10,1)-Planos!$G236)/Planos!$E236,1)*Planos!$E236))/Planos!$E236)+1)))</f>
      </c>
      <c r="P238" s="44">
        <f>IF(OR(Planos!$A236="",NOT(ISNUMBER(Planos!$G236)),N(Planos!$E236)&lt;=0),0,IF(Planos!$G236&gt;EOMONTH(DATE(crono_ano_ref,11,1),0),0,MAX(0,INT((EOMONTH(DATE(crono_ano_ref,11,1),0)-IF(Planos!$G236&gt;=DATE(crono_ano_ref,11,1),Planos!$G236,Planos!$G236+CEILING((DATE(crono_ano_ref,11,1)-Planos!$G236)/Planos!$E236,1)*Planos!$E236))/Planos!$E236)+1)))</f>
      </c>
      <c r="Q238" s="44">
        <f>IF(OR(Planos!$A236="",NOT(ISNUMBER(Planos!$G236)),N(Planos!$E236)&lt;=0),0,IF(Planos!$G236&gt;EOMONTH(DATE(crono_ano_ref,12,1),0),0,MAX(0,INT((EOMONTH(DATE(crono_ano_ref,12,1),0)-IF(Planos!$G236&gt;=DATE(crono_ano_ref,12,1),Planos!$G236,Planos!$G236+CEILING((DATE(crono_ano_ref,12,1)-Planos!$G236)/Planos!$E236,1)*Planos!$E236))/Planos!$E236)+1)))</f>
      </c>
      <c r="R238" s="44">
        <f>SUM(F238:Q238)</f>
      </c>
    </row>
    <row r="239" spans="1:18" x14ac:dyDescent="0.25">
      <c r="A239" s="24">
        <f>IF(Planos!$A237="","",Planos!A237&amp;"")</f>
      </c>
      <c r="B239" s="41">
        <f>IF(Planos!$A237="","",Planos!B237&amp;"")</f>
      </c>
      <c r="C239" s="24">
        <f>IF(Planos!$A237="","",Planos!C237&amp;"")</f>
      </c>
      <c r="D239" s="42">
        <f>IF(Planos!$A237="","",N(Planos!E237))</f>
      </c>
      <c r="E239" s="43">
        <f>IF(Planos!$A237="","",N(Planos!K237))</f>
      </c>
      <c r="F239" s="44">
        <f>IF(OR(Planos!$A237="",NOT(ISNUMBER(Planos!$G237)),N(Planos!$E237)&lt;=0),0,IF(Planos!$G237&gt;EOMONTH(DATE(crono_ano_ref,1,1),0),0,MAX(0,INT((EOMONTH(DATE(crono_ano_ref,1,1),0)-IF(Planos!$G237&gt;=DATE(crono_ano_ref,1,1),Planos!$G237,Planos!$G237+CEILING((DATE(crono_ano_ref,1,1)-Planos!$G237)/Planos!$E237,1)*Planos!$E237))/Planos!$E237)+1)))</f>
      </c>
      <c r="G239" s="44">
        <f>IF(OR(Planos!$A237="",NOT(ISNUMBER(Planos!$G237)),N(Planos!$E237)&lt;=0),0,IF(Planos!$G237&gt;EOMONTH(DATE(crono_ano_ref,2,1),0),0,MAX(0,INT((EOMONTH(DATE(crono_ano_ref,2,1),0)-IF(Planos!$G237&gt;=DATE(crono_ano_ref,2,1),Planos!$G237,Planos!$G237+CEILING((DATE(crono_ano_ref,2,1)-Planos!$G237)/Planos!$E237,1)*Planos!$E237))/Planos!$E237)+1)))</f>
      </c>
      <c r="H239" s="44">
        <f>IF(OR(Planos!$A237="",NOT(ISNUMBER(Planos!$G237)),N(Planos!$E237)&lt;=0),0,IF(Planos!$G237&gt;EOMONTH(DATE(crono_ano_ref,3,1),0),0,MAX(0,INT((EOMONTH(DATE(crono_ano_ref,3,1),0)-IF(Planos!$G237&gt;=DATE(crono_ano_ref,3,1),Planos!$G237,Planos!$G237+CEILING((DATE(crono_ano_ref,3,1)-Planos!$G237)/Planos!$E237,1)*Planos!$E237))/Planos!$E237)+1)))</f>
      </c>
      <c r="I239" s="44">
        <f>IF(OR(Planos!$A237="",NOT(ISNUMBER(Planos!$G237)),N(Planos!$E237)&lt;=0),0,IF(Planos!$G237&gt;EOMONTH(DATE(crono_ano_ref,4,1),0),0,MAX(0,INT((EOMONTH(DATE(crono_ano_ref,4,1),0)-IF(Planos!$G237&gt;=DATE(crono_ano_ref,4,1),Planos!$G237,Planos!$G237+CEILING((DATE(crono_ano_ref,4,1)-Planos!$G237)/Planos!$E237,1)*Planos!$E237))/Planos!$E237)+1)))</f>
      </c>
      <c r="J239" s="44">
        <f>IF(OR(Planos!$A237="",NOT(ISNUMBER(Planos!$G237)),N(Planos!$E237)&lt;=0),0,IF(Planos!$G237&gt;EOMONTH(DATE(crono_ano_ref,5,1),0),0,MAX(0,INT((EOMONTH(DATE(crono_ano_ref,5,1),0)-IF(Planos!$G237&gt;=DATE(crono_ano_ref,5,1),Planos!$G237,Planos!$G237+CEILING((DATE(crono_ano_ref,5,1)-Planos!$G237)/Planos!$E237,1)*Planos!$E237))/Planos!$E237)+1)))</f>
      </c>
      <c r="K239" s="44">
        <f>IF(OR(Planos!$A237="",NOT(ISNUMBER(Planos!$G237)),N(Planos!$E237)&lt;=0),0,IF(Planos!$G237&gt;EOMONTH(DATE(crono_ano_ref,6,1),0),0,MAX(0,INT((EOMONTH(DATE(crono_ano_ref,6,1),0)-IF(Planos!$G237&gt;=DATE(crono_ano_ref,6,1),Planos!$G237,Planos!$G237+CEILING((DATE(crono_ano_ref,6,1)-Planos!$G237)/Planos!$E237,1)*Planos!$E237))/Planos!$E237)+1)))</f>
      </c>
      <c r="L239" s="44">
        <f>IF(OR(Planos!$A237="",NOT(ISNUMBER(Planos!$G237)),N(Planos!$E237)&lt;=0),0,IF(Planos!$G237&gt;EOMONTH(DATE(crono_ano_ref,7,1),0),0,MAX(0,INT((EOMONTH(DATE(crono_ano_ref,7,1),0)-IF(Planos!$G237&gt;=DATE(crono_ano_ref,7,1),Planos!$G237,Planos!$G237+CEILING((DATE(crono_ano_ref,7,1)-Planos!$G237)/Planos!$E237,1)*Planos!$E237))/Planos!$E237)+1)))</f>
      </c>
      <c r="M239" s="44">
        <f>IF(OR(Planos!$A237="",NOT(ISNUMBER(Planos!$G237)),N(Planos!$E237)&lt;=0),0,IF(Planos!$G237&gt;EOMONTH(DATE(crono_ano_ref,8,1),0),0,MAX(0,INT((EOMONTH(DATE(crono_ano_ref,8,1),0)-IF(Planos!$G237&gt;=DATE(crono_ano_ref,8,1),Planos!$G237,Planos!$G237+CEILING((DATE(crono_ano_ref,8,1)-Planos!$G237)/Planos!$E237,1)*Planos!$E237))/Planos!$E237)+1)))</f>
      </c>
      <c r="N239" s="44">
        <f>IF(OR(Planos!$A237="",NOT(ISNUMBER(Planos!$G237)),N(Planos!$E237)&lt;=0),0,IF(Planos!$G237&gt;EOMONTH(DATE(crono_ano_ref,9,1),0),0,MAX(0,INT((EOMONTH(DATE(crono_ano_ref,9,1),0)-IF(Planos!$G237&gt;=DATE(crono_ano_ref,9,1),Planos!$G237,Planos!$G237+CEILING((DATE(crono_ano_ref,9,1)-Planos!$G237)/Planos!$E237,1)*Planos!$E237))/Planos!$E237)+1)))</f>
      </c>
      <c r="O239" s="44">
        <f>IF(OR(Planos!$A237="",NOT(ISNUMBER(Planos!$G237)),N(Planos!$E237)&lt;=0),0,IF(Planos!$G237&gt;EOMONTH(DATE(crono_ano_ref,10,1),0),0,MAX(0,INT((EOMONTH(DATE(crono_ano_ref,10,1),0)-IF(Planos!$G237&gt;=DATE(crono_ano_ref,10,1),Planos!$G237,Planos!$G237+CEILING((DATE(crono_ano_ref,10,1)-Planos!$G237)/Planos!$E237,1)*Planos!$E237))/Planos!$E237)+1)))</f>
      </c>
      <c r="P239" s="44">
        <f>IF(OR(Planos!$A237="",NOT(ISNUMBER(Planos!$G237)),N(Planos!$E237)&lt;=0),0,IF(Planos!$G237&gt;EOMONTH(DATE(crono_ano_ref,11,1),0),0,MAX(0,INT((EOMONTH(DATE(crono_ano_ref,11,1),0)-IF(Planos!$G237&gt;=DATE(crono_ano_ref,11,1),Planos!$G237,Planos!$G237+CEILING((DATE(crono_ano_ref,11,1)-Planos!$G237)/Planos!$E237,1)*Planos!$E237))/Planos!$E237)+1)))</f>
      </c>
      <c r="Q239" s="44">
        <f>IF(OR(Planos!$A237="",NOT(ISNUMBER(Planos!$G237)),N(Planos!$E237)&lt;=0),0,IF(Planos!$G237&gt;EOMONTH(DATE(crono_ano_ref,12,1),0),0,MAX(0,INT((EOMONTH(DATE(crono_ano_ref,12,1),0)-IF(Planos!$G237&gt;=DATE(crono_ano_ref,12,1),Planos!$G237,Planos!$G237+CEILING((DATE(crono_ano_ref,12,1)-Planos!$G237)/Planos!$E237,1)*Planos!$E237))/Planos!$E237)+1)))</f>
      </c>
      <c r="R239" s="44">
        <f>SUM(F239:Q239)</f>
      </c>
    </row>
    <row r="240" spans="1:18" x14ac:dyDescent="0.25">
      <c r="A240" s="24">
        <f>IF(Planos!$A238="","",Planos!A238&amp;"")</f>
      </c>
      <c r="B240" s="41">
        <f>IF(Planos!$A238="","",Planos!B238&amp;"")</f>
      </c>
      <c r="C240" s="24">
        <f>IF(Planos!$A238="","",Planos!C238&amp;"")</f>
      </c>
      <c r="D240" s="42">
        <f>IF(Planos!$A238="","",N(Planos!E238))</f>
      </c>
      <c r="E240" s="43">
        <f>IF(Planos!$A238="","",N(Planos!K238))</f>
      </c>
      <c r="F240" s="44">
        <f>IF(OR(Planos!$A238="",NOT(ISNUMBER(Planos!$G238)),N(Planos!$E238)&lt;=0),0,IF(Planos!$G238&gt;EOMONTH(DATE(crono_ano_ref,1,1),0),0,MAX(0,INT((EOMONTH(DATE(crono_ano_ref,1,1),0)-IF(Planos!$G238&gt;=DATE(crono_ano_ref,1,1),Planos!$G238,Planos!$G238+CEILING((DATE(crono_ano_ref,1,1)-Planos!$G238)/Planos!$E238,1)*Planos!$E238))/Planos!$E238)+1)))</f>
      </c>
      <c r="G240" s="44">
        <f>IF(OR(Planos!$A238="",NOT(ISNUMBER(Planos!$G238)),N(Planos!$E238)&lt;=0),0,IF(Planos!$G238&gt;EOMONTH(DATE(crono_ano_ref,2,1),0),0,MAX(0,INT((EOMONTH(DATE(crono_ano_ref,2,1),0)-IF(Planos!$G238&gt;=DATE(crono_ano_ref,2,1),Planos!$G238,Planos!$G238+CEILING((DATE(crono_ano_ref,2,1)-Planos!$G238)/Planos!$E238,1)*Planos!$E238))/Planos!$E238)+1)))</f>
      </c>
      <c r="H240" s="44">
        <f>IF(OR(Planos!$A238="",NOT(ISNUMBER(Planos!$G238)),N(Planos!$E238)&lt;=0),0,IF(Planos!$G238&gt;EOMONTH(DATE(crono_ano_ref,3,1),0),0,MAX(0,INT((EOMONTH(DATE(crono_ano_ref,3,1),0)-IF(Planos!$G238&gt;=DATE(crono_ano_ref,3,1),Planos!$G238,Planos!$G238+CEILING((DATE(crono_ano_ref,3,1)-Planos!$G238)/Planos!$E238,1)*Planos!$E238))/Planos!$E238)+1)))</f>
      </c>
      <c r="I240" s="44">
        <f>IF(OR(Planos!$A238="",NOT(ISNUMBER(Planos!$G238)),N(Planos!$E238)&lt;=0),0,IF(Planos!$G238&gt;EOMONTH(DATE(crono_ano_ref,4,1),0),0,MAX(0,INT((EOMONTH(DATE(crono_ano_ref,4,1),0)-IF(Planos!$G238&gt;=DATE(crono_ano_ref,4,1),Planos!$G238,Planos!$G238+CEILING((DATE(crono_ano_ref,4,1)-Planos!$G238)/Planos!$E238,1)*Planos!$E238))/Planos!$E238)+1)))</f>
      </c>
      <c r="J240" s="44">
        <f>IF(OR(Planos!$A238="",NOT(ISNUMBER(Planos!$G238)),N(Planos!$E238)&lt;=0),0,IF(Planos!$G238&gt;EOMONTH(DATE(crono_ano_ref,5,1),0),0,MAX(0,INT((EOMONTH(DATE(crono_ano_ref,5,1),0)-IF(Planos!$G238&gt;=DATE(crono_ano_ref,5,1),Planos!$G238,Planos!$G238+CEILING((DATE(crono_ano_ref,5,1)-Planos!$G238)/Planos!$E238,1)*Planos!$E238))/Planos!$E238)+1)))</f>
      </c>
      <c r="K240" s="44">
        <f>IF(OR(Planos!$A238="",NOT(ISNUMBER(Planos!$G238)),N(Planos!$E238)&lt;=0),0,IF(Planos!$G238&gt;EOMONTH(DATE(crono_ano_ref,6,1),0),0,MAX(0,INT((EOMONTH(DATE(crono_ano_ref,6,1),0)-IF(Planos!$G238&gt;=DATE(crono_ano_ref,6,1),Planos!$G238,Planos!$G238+CEILING((DATE(crono_ano_ref,6,1)-Planos!$G238)/Planos!$E238,1)*Planos!$E238))/Planos!$E238)+1)))</f>
      </c>
      <c r="L240" s="44">
        <f>IF(OR(Planos!$A238="",NOT(ISNUMBER(Planos!$G238)),N(Planos!$E238)&lt;=0),0,IF(Planos!$G238&gt;EOMONTH(DATE(crono_ano_ref,7,1),0),0,MAX(0,INT((EOMONTH(DATE(crono_ano_ref,7,1),0)-IF(Planos!$G238&gt;=DATE(crono_ano_ref,7,1),Planos!$G238,Planos!$G238+CEILING((DATE(crono_ano_ref,7,1)-Planos!$G238)/Planos!$E238,1)*Planos!$E238))/Planos!$E238)+1)))</f>
      </c>
      <c r="M240" s="44">
        <f>IF(OR(Planos!$A238="",NOT(ISNUMBER(Planos!$G238)),N(Planos!$E238)&lt;=0),0,IF(Planos!$G238&gt;EOMONTH(DATE(crono_ano_ref,8,1),0),0,MAX(0,INT((EOMONTH(DATE(crono_ano_ref,8,1),0)-IF(Planos!$G238&gt;=DATE(crono_ano_ref,8,1),Planos!$G238,Planos!$G238+CEILING((DATE(crono_ano_ref,8,1)-Planos!$G238)/Planos!$E238,1)*Planos!$E238))/Planos!$E238)+1)))</f>
      </c>
      <c r="N240" s="44">
        <f>IF(OR(Planos!$A238="",NOT(ISNUMBER(Planos!$G238)),N(Planos!$E238)&lt;=0),0,IF(Planos!$G238&gt;EOMONTH(DATE(crono_ano_ref,9,1),0),0,MAX(0,INT((EOMONTH(DATE(crono_ano_ref,9,1),0)-IF(Planos!$G238&gt;=DATE(crono_ano_ref,9,1),Planos!$G238,Planos!$G238+CEILING((DATE(crono_ano_ref,9,1)-Planos!$G238)/Planos!$E238,1)*Planos!$E238))/Planos!$E238)+1)))</f>
      </c>
      <c r="O240" s="44">
        <f>IF(OR(Planos!$A238="",NOT(ISNUMBER(Planos!$G238)),N(Planos!$E238)&lt;=0),0,IF(Planos!$G238&gt;EOMONTH(DATE(crono_ano_ref,10,1),0),0,MAX(0,INT((EOMONTH(DATE(crono_ano_ref,10,1),0)-IF(Planos!$G238&gt;=DATE(crono_ano_ref,10,1),Planos!$G238,Planos!$G238+CEILING((DATE(crono_ano_ref,10,1)-Planos!$G238)/Planos!$E238,1)*Planos!$E238))/Planos!$E238)+1)))</f>
      </c>
      <c r="P240" s="44">
        <f>IF(OR(Planos!$A238="",NOT(ISNUMBER(Planos!$G238)),N(Planos!$E238)&lt;=0),0,IF(Planos!$G238&gt;EOMONTH(DATE(crono_ano_ref,11,1),0),0,MAX(0,INT((EOMONTH(DATE(crono_ano_ref,11,1),0)-IF(Planos!$G238&gt;=DATE(crono_ano_ref,11,1),Planos!$G238,Planos!$G238+CEILING((DATE(crono_ano_ref,11,1)-Planos!$G238)/Planos!$E238,1)*Planos!$E238))/Planos!$E238)+1)))</f>
      </c>
      <c r="Q240" s="44">
        <f>IF(OR(Planos!$A238="",NOT(ISNUMBER(Planos!$G238)),N(Planos!$E238)&lt;=0),0,IF(Planos!$G238&gt;EOMONTH(DATE(crono_ano_ref,12,1),0),0,MAX(0,INT((EOMONTH(DATE(crono_ano_ref,12,1),0)-IF(Planos!$G238&gt;=DATE(crono_ano_ref,12,1),Planos!$G238,Planos!$G238+CEILING((DATE(crono_ano_ref,12,1)-Planos!$G238)/Planos!$E238,1)*Planos!$E238))/Planos!$E238)+1)))</f>
      </c>
      <c r="R240" s="44">
        <f>SUM(F240:Q240)</f>
      </c>
    </row>
    <row r="241" spans="1:18" x14ac:dyDescent="0.25">
      <c r="A241" s="24">
        <f>IF(Planos!$A239="","",Planos!A239&amp;"")</f>
      </c>
      <c r="B241" s="41">
        <f>IF(Planos!$A239="","",Planos!B239&amp;"")</f>
      </c>
      <c r="C241" s="24">
        <f>IF(Planos!$A239="","",Planos!C239&amp;"")</f>
      </c>
      <c r="D241" s="42">
        <f>IF(Planos!$A239="","",N(Planos!E239))</f>
      </c>
      <c r="E241" s="43">
        <f>IF(Planos!$A239="","",N(Planos!K239))</f>
      </c>
      <c r="F241" s="44">
        <f>IF(OR(Planos!$A239="",NOT(ISNUMBER(Planos!$G239)),N(Planos!$E239)&lt;=0),0,IF(Planos!$G239&gt;EOMONTH(DATE(crono_ano_ref,1,1),0),0,MAX(0,INT((EOMONTH(DATE(crono_ano_ref,1,1),0)-IF(Planos!$G239&gt;=DATE(crono_ano_ref,1,1),Planos!$G239,Planos!$G239+CEILING((DATE(crono_ano_ref,1,1)-Planos!$G239)/Planos!$E239,1)*Planos!$E239))/Planos!$E239)+1)))</f>
      </c>
      <c r="G241" s="44">
        <f>IF(OR(Planos!$A239="",NOT(ISNUMBER(Planos!$G239)),N(Planos!$E239)&lt;=0),0,IF(Planos!$G239&gt;EOMONTH(DATE(crono_ano_ref,2,1),0),0,MAX(0,INT((EOMONTH(DATE(crono_ano_ref,2,1),0)-IF(Planos!$G239&gt;=DATE(crono_ano_ref,2,1),Planos!$G239,Planos!$G239+CEILING((DATE(crono_ano_ref,2,1)-Planos!$G239)/Planos!$E239,1)*Planos!$E239))/Planos!$E239)+1)))</f>
      </c>
      <c r="H241" s="44">
        <f>IF(OR(Planos!$A239="",NOT(ISNUMBER(Planos!$G239)),N(Planos!$E239)&lt;=0),0,IF(Planos!$G239&gt;EOMONTH(DATE(crono_ano_ref,3,1),0),0,MAX(0,INT((EOMONTH(DATE(crono_ano_ref,3,1),0)-IF(Planos!$G239&gt;=DATE(crono_ano_ref,3,1),Planos!$G239,Planos!$G239+CEILING((DATE(crono_ano_ref,3,1)-Planos!$G239)/Planos!$E239,1)*Planos!$E239))/Planos!$E239)+1)))</f>
      </c>
      <c r="I241" s="44">
        <f>IF(OR(Planos!$A239="",NOT(ISNUMBER(Planos!$G239)),N(Planos!$E239)&lt;=0),0,IF(Planos!$G239&gt;EOMONTH(DATE(crono_ano_ref,4,1),0),0,MAX(0,INT((EOMONTH(DATE(crono_ano_ref,4,1),0)-IF(Planos!$G239&gt;=DATE(crono_ano_ref,4,1),Planos!$G239,Planos!$G239+CEILING((DATE(crono_ano_ref,4,1)-Planos!$G239)/Planos!$E239,1)*Planos!$E239))/Planos!$E239)+1)))</f>
      </c>
      <c r="J241" s="44">
        <f>IF(OR(Planos!$A239="",NOT(ISNUMBER(Planos!$G239)),N(Planos!$E239)&lt;=0),0,IF(Planos!$G239&gt;EOMONTH(DATE(crono_ano_ref,5,1),0),0,MAX(0,INT((EOMONTH(DATE(crono_ano_ref,5,1),0)-IF(Planos!$G239&gt;=DATE(crono_ano_ref,5,1),Planos!$G239,Planos!$G239+CEILING((DATE(crono_ano_ref,5,1)-Planos!$G239)/Planos!$E239,1)*Planos!$E239))/Planos!$E239)+1)))</f>
      </c>
      <c r="K241" s="44">
        <f>IF(OR(Planos!$A239="",NOT(ISNUMBER(Planos!$G239)),N(Planos!$E239)&lt;=0),0,IF(Planos!$G239&gt;EOMONTH(DATE(crono_ano_ref,6,1),0),0,MAX(0,INT((EOMONTH(DATE(crono_ano_ref,6,1),0)-IF(Planos!$G239&gt;=DATE(crono_ano_ref,6,1),Planos!$G239,Planos!$G239+CEILING((DATE(crono_ano_ref,6,1)-Planos!$G239)/Planos!$E239,1)*Planos!$E239))/Planos!$E239)+1)))</f>
      </c>
      <c r="L241" s="44">
        <f>IF(OR(Planos!$A239="",NOT(ISNUMBER(Planos!$G239)),N(Planos!$E239)&lt;=0),0,IF(Planos!$G239&gt;EOMONTH(DATE(crono_ano_ref,7,1),0),0,MAX(0,INT((EOMONTH(DATE(crono_ano_ref,7,1),0)-IF(Planos!$G239&gt;=DATE(crono_ano_ref,7,1),Planos!$G239,Planos!$G239+CEILING((DATE(crono_ano_ref,7,1)-Planos!$G239)/Planos!$E239,1)*Planos!$E239))/Planos!$E239)+1)))</f>
      </c>
      <c r="M241" s="44">
        <f>IF(OR(Planos!$A239="",NOT(ISNUMBER(Planos!$G239)),N(Planos!$E239)&lt;=0),0,IF(Planos!$G239&gt;EOMONTH(DATE(crono_ano_ref,8,1),0),0,MAX(0,INT((EOMONTH(DATE(crono_ano_ref,8,1),0)-IF(Planos!$G239&gt;=DATE(crono_ano_ref,8,1),Planos!$G239,Planos!$G239+CEILING((DATE(crono_ano_ref,8,1)-Planos!$G239)/Planos!$E239,1)*Planos!$E239))/Planos!$E239)+1)))</f>
      </c>
      <c r="N241" s="44">
        <f>IF(OR(Planos!$A239="",NOT(ISNUMBER(Planos!$G239)),N(Planos!$E239)&lt;=0),0,IF(Planos!$G239&gt;EOMONTH(DATE(crono_ano_ref,9,1),0),0,MAX(0,INT((EOMONTH(DATE(crono_ano_ref,9,1),0)-IF(Planos!$G239&gt;=DATE(crono_ano_ref,9,1),Planos!$G239,Planos!$G239+CEILING((DATE(crono_ano_ref,9,1)-Planos!$G239)/Planos!$E239,1)*Planos!$E239))/Planos!$E239)+1)))</f>
      </c>
      <c r="O241" s="44">
        <f>IF(OR(Planos!$A239="",NOT(ISNUMBER(Planos!$G239)),N(Planos!$E239)&lt;=0),0,IF(Planos!$G239&gt;EOMONTH(DATE(crono_ano_ref,10,1),0),0,MAX(0,INT((EOMONTH(DATE(crono_ano_ref,10,1),0)-IF(Planos!$G239&gt;=DATE(crono_ano_ref,10,1),Planos!$G239,Planos!$G239+CEILING((DATE(crono_ano_ref,10,1)-Planos!$G239)/Planos!$E239,1)*Planos!$E239))/Planos!$E239)+1)))</f>
      </c>
      <c r="P241" s="44">
        <f>IF(OR(Planos!$A239="",NOT(ISNUMBER(Planos!$G239)),N(Planos!$E239)&lt;=0),0,IF(Planos!$G239&gt;EOMONTH(DATE(crono_ano_ref,11,1),0),0,MAX(0,INT((EOMONTH(DATE(crono_ano_ref,11,1),0)-IF(Planos!$G239&gt;=DATE(crono_ano_ref,11,1),Planos!$G239,Planos!$G239+CEILING((DATE(crono_ano_ref,11,1)-Planos!$G239)/Planos!$E239,1)*Planos!$E239))/Planos!$E239)+1)))</f>
      </c>
      <c r="Q241" s="44">
        <f>IF(OR(Planos!$A239="",NOT(ISNUMBER(Planos!$G239)),N(Planos!$E239)&lt;=0),0,IF(Planos!$G239&gt;EOMONTH(DATE(crono_ano_ref,12,1),0),0,MAX(0,INT((EOMONTH(DATE(crono_ano_ref,12,1),0)-IF(Planos!$G239&gt;=DATE(crono_ano_ref,12,1),Planos!$G239,Planos!$G239+CEILING((DATE(crono_ano_ref,12,1)-Planos!$G239)/Planos!$E239,1)*Planos!$E239))/Planos!$E239)+1)))</f>
      </c>
      <c r="R241" s="44">
        <f>SUM(F241:Q241)</f>
      </c>
    </row>
    <row r="242" spans="1:18" x14ac:dyDescent="0.25">
      <c r="A242" s="24">
        <f>IF(Planos!$A240="","",Planos!A240&amp;"")</f>
      </c>
      <c r="B242" s="41">
        <f>IF(Planos!$A240="","",Planos!B240&amp;"")</f>
      </c>
      <c r="C242" s="24">
        <f>IF(Planos!$A240="","",Planos!C240&amp;"")</f>
      </c>
      <c r="D242" s="42">
        <f>IF(Planos!$A240="","",N(Planos!E240))</f>
      </c>
      <c r="E242" s="43">
        <f>IF(Planos!$A240="","",N(Planos!K240))</f>
      </c>
      <c r="F242" s="44">
        <f>IF(OR(Planos!$A240="",NOT(ISNUMBER(Planos!$G240)),N(Planos!$E240)&lt;=0),0,IF(Planos!$G240&gt;EOMONTH(DATE(crono_ano_ref,1,1),0),0,MAX(0,INT((EOMONTH(DATE(crono_ano_ref,1,1),0)-IF(Planos!$G240&gt;=DATE(crono_ano_ref,1,1),Planos!$G240,Planos!$G240+CEILING((DATE(crono_ano_ref,1,1)-Planos!$G240)/Planos!$E240,1)*Planos!$E240))/Planos!$E240)+1)))</f>
      </c>
      <c r="G242" s="44">
        <f>IF(OR(Planos!$A240="",NOT(ISNUMBER(Planos!$G240)),N(Planos!$E240)&lt;=0),0,IF(Planos!$G240&gt;EOMONTH(DATE(crono_ano_ref,2,1),0),0,MAX(0,INT((EOMONTH(DATE(crono_ano_ref,2,1),0)-IF(Planos!$G240&gt;=DATE(crono_ano_ref,2,1),Planos!$G240,Planos!$G240+CEILING((DATE(crono_ano_ref,2,1)-Planos!$G240)/Planos!$E240,1)*Planos!$E240))/Planos!$E240)+1)))</f>
      </c>
      <c r="H242" s="44">
        <f>IF(OR(Planos!$A240="",NOT(ISNUMBER(Planos!$G240)),N(Planos!$E240)&lt;=0),0,IF(Planos!$G240&gt;EOMONTH(DATE(crono_ano_ref,3,1),0),0,MAX(0,INT((EOMONTH(DATE(crono_ano_ref,3,1),0)-IF(Planos!$G240&gt;=DATE(crono_ano_ref,3,1),Planos!$G240,Planos!$G240+CEILING((DATE(crono_ano_ref,3,1)-Planos!$G240)/Planos!$E240,1)*Planos!$E240))/Planos!$E240)+1)))</f>
      </c>
      <c r="I242" s="44">
        <f>IF(OR(Planos!$A240="",NOT(ISNUMBER(Planos!$G240)),N(Planos!$E240)&lt;=0),0,IF(Planos!$G240&gt;EOMONTH(DATE(crono_ano_ref,4,1),0),0,MAX(0,INT((EOMONTH(DATE(crono_ano_ref,4,1),0)-IF(Planos!$G240&gt;=DATE(crono_ano_ref,4,1),Planos!$G240,Planos!$G240+CEILING((DATE(crono_ano_ref,4,1)-Planos!$G240)/Planos!$E240,1)*Planos!$E240))/Planos!$E240)+1)))</f>
      </c>
      <c r="J242" s="44">
        <f>IF(OR(Planos!$A240="",NOT(ISNUMBER(Planos!$G240)),N(Planos!$E240)&lt;=0),0,IF(Planos!$G240&gt;EOMONTH(DATE(crono_ano_ref,5,1),0),0,MAX(0,INT((EOMONTH(DATE(crono_ano_ref,5,1),0)-IF(Planos!$G240&gt;=DATE(crono_ano_ref,5,1),Planos!$G240,Planos!$G240+CEILING((DATE(crono_ano_ref,5,1)-Planos!$G240)/Planos!$E240,1)*Planos!$E240))/Planos!$E240)+1)))</f>
      </c>
      <c r="K242" s="44">
        <f>IF(OR(Planos!$A240="",NOT(ISNUMBER(Planos!$G240)),N(Planos!$E240)&lt;=0),0,IF(Planos!$G240&gt;EOMONTH(DATE(crono_ano_ref,6,1),0),0,MAX(0,INT((EOMONTH(DATE(crono_ano_ref,6,1),0)-IF(Planos!$G240&gt;=DATE(crono_ano_ref,6,1),Planos!$G240,Planos!$G240+CEILING((DATE(crono_ano_ref,6,1)-Planos!$G240)/Planos!$E240,1)*Planos!$E240))/Planos!$E240)+1)))</f>
      </c>
      <c r="L242" s="44">
        <f>IF(OR(Planos!$A240="",NOT(ISNUMBER(Planos!$G240)),N(Planos!$E240)&lt;=0),0,IF(Planos!$G240&gt;EOMONTH(DATE(crono_ano_ref,7,1),0),0,MAX(0,INT((EOMONTH(DATE(crono_ano_ref,7,1),0)-IF(Planos!$G240&gt;=DATE(crono_ano_ref,7,1),Planos!$G240,Planos!$G240+CEILING((DATE(crono_ano_ref,7,1)-Planos!$G240)/Planos!$E240,1)*Planos!$E240))/Planos!$E240)+1)))</f>
      </c>
      <c r="M242" s="44">
        <f>IF(OR(Planos!$A240="",NOT(ISNUMBER(Planos!$G240)),N(Planos!$E240)&lt;=0),0,IF(Planos!$G240&gt;EOMONTH(DATE(crono_ano_ref,8,1),0),0,MAX(0,INT((EOMONTH(DATE(crono_ano_ref,8,1),0)-IF(Planos!$G240&gt;=DATE(crono_ano_ref,8,1),Planos!$G240,Planos!$G240+CEILING((DATE(crono_ano_ref,8,1)-Planos!$G240)/Planos!$E240,1)*Planos!$E240))/Planos!$E240)+1)))</f>
      </c>
      <c r="N242" s="44">
        <f>IF(OR(Planos!$A240="",NOT(ISNUMBER(Planos!$G240)),N(Planos!$E240)&lt;=0),0,IF(Planos!$G240&gt;EOMONTH(DATE(crono_ano_ref,9,1),0),0,MAX(0,INT((EOMONTH(DATE(crono_ano_ref,9,1),0)-IF(Planos!$G240&gt;=DATE(crono_ano_ref,9,1),Planos!$G240,Planos!$G240+CEILING((DATE(crono_ano_ref,9,1)-Planos!$G240)/Planos!$E240,1)*Planos!$E240))/Planos!$E240)+1)))</f>
      </c>
      <c r="O242" s="44">
        <f>IF(OR(Planos!$A240="",NOT(ISNUMBER(Planos!$G240)),N(Planos!$E240)&lt;=0),0,IF(Planos!$G240&gt;EOMONTH(DATE(crono_ano_ref,10,1),0),0,MAX(0,INT((EOMONTH(DATE(crono_ano_ref,10,1),0)-IF(Planos!$G240&gt;=DATE(crono_ano_ref,10,1),Planos!$G240,Planos!$G240+CEILING((DATE(crono_ano_ref,10,1)-Planos!$G240)/Planos!$E240,1)*Planos!$E240))/Planos!$E240)+1)))</f>
      </c>
      <c r="P242" s="44">
        <f>IF(OR(Planos!$A240="",NOT(ISNUMBER(Planos!$G240)),N(Planos!$E240)&lt;=0),0,IF(Planos!$G240&gt;EOMONTH(DATE(crono_ano_ref,11,1),0),0,MAX(0,INT((EOMONTH(DATE(crono_ano_ref,11,1),0)-IF(Planos!$G240&gt;=DATE(crono_ano_ref,11,1),Planos!$G240,Planos!$G240+CEILING((DATE(crono_ano_ref,11,1)-Planos!$G240)/Planos!$E240,1)*Planos!$E240))/Planos!$E240)+1)))</f>
      </c>
      <c r="Q242" s="44">
        <f>IF(OR(Planos!$A240="",NOT(ISNUMBER(Planos!$G240)),N(Planos!$E240)&lt;=0),0,IF(Planos!$G240&gt;EOMONTH(DATE(crono_ano_ref,12,1),0),0,MAX(0,INT((EOMONTH(DATE(crono_ano_ref,12,1),0)-IF(Planos!$G240&gt;=DATE(crono_ano_ref,12,1),Planos!$G240,Planos!$G240+CEILING((DATE(crono_ano_ref,12,1)-Planos!$G240)/Planos!$E240,1)*Planos!$E240))/Planos!$E240)+1)))</f>
      </c>
      <c r="R242" s="44">
        <f>SUM(F242:Q242)</f>
      </c>
    </row>
    <row r="243" spans="1:18" x14ac:dyDescent="0.25">
      <c r="A243" s="24">
        <f>IF(Planos!$A241="","",Planos!A241&amp;"")</f>
      </c>
      <c r="B243" s="41">
        <f>IF(Planos!$A241="","",Planos!B241&amp;"")</f>
      </c>
      <c r="C243" s="24">
        <f>IF(Planos!$A241="","",Planos!C241&amp;"")</f>
      </c>
      <c r="D243" s="42">
        <f>IF(Planos!$A241="","",N(Planos!E241))</f>
      </c>
      <c r="E243" s="43">
        <f>IF(Planos!$A241="","",N(Planos!K241))</f>
      </c>
      <c r="F243" s="44">
        <f>IF(OR(Planos!$A241="",NOT(ISNUMBER(Planos!$G241)),N(Planos!$E241)&lt;=0),0,IF(Planos!$G241&gt;EOMONTH(DATE(crono_ano_ref,1,1),0),0,MAX(0,INT((EOMONTH(DATE(crono_ano_ref,1,1),0)-IF(Planos!$G241&gt;=DATE(crono_ano_ref,1,1),Planos!$G241,Planos!$G241+CEILING((DATE(crono_ano_ref,1,1)-Planos!$G241)/Planos!$E241,1)*Planos!$E241))/Planos!$E241)+1)))</f>
      </c>
      <c r="G243" s="44">
        <f>IF(OR(Planos!$A241="",NOT(ISNUMBER(Planos!$G241)),N(Planos!$E241)&lt;=0),0,IF(Planos!$G241&gt;EOMONTH(DATE(crono_ano_ref,2,1),0),0,MAX(0,INT((EOMONTH(DATE(crono_ano_ref,2,1),0)-IF(Planos!$G241&gt;=DATE(crono_ano_ref,2,1),Planos!$G241,Planos!$G241+CEILING((DATE(crono_ano_ref,2,1)-Planos!$G241)/Planos!$E241,1)*Planos!$E241))/Planos!$E241)+1)))</f>
      </c>
      <c r="H243" s="44">
        <f>IF(OR(Planos!$A241="",NOT(ISNUMBER(Planos!$G241)),N(Planos!$E241)&lt;=0),0,IF(Planos!$G241&gt;EOMONTH(DATE(crono_ano_ref,3,1),0),0,MAX(0,INT((EOMONTH(DATE(crono_ano_ref,3,1),0)-IF(Planos!$G241&gt;=DATE(crono_ano_ref,3,1),Planos!$G241,Planos!$G241+CEILING((DATE(crono_ano_ref,3,1)-Planos!$G241)/Planos!$E241,1)*Planos!$E241))/Planos!$E241)+1)))</f>
      </c>
      <c r="I243" s="44">
        <f>IF(OR(Planos!$A241="",NOT(ISNUMBER(Planos!$G241)),N(Planos!$E241)&lt;=0),0,IF(Planos!$G241&gt;EOMONTH(DATE(crono_ano_ref,4,1),0),0,MAX(0,INT((EOMONTH(DATE(crono_ano_ref,4,1),0)-IF(Planos!$G241&gt;=DATE(crono_ano_ref,4,1),Planos!$G241,Planos!$G241+CEILING((DATE(crono_ano_ref,4,1)-Planos!$G241)/Planos!$E241,1)*Planos!$E241))/Planos!$E241)+1)))</f>
      </c>
      <c r="J243" s="44">
        <f>IF(OR(Planos!$A241="",NOT(ISNUMBER(Planos!$G241)),N(Planos!$E241)&lt;=0),0,IF(Planos!$G241&gt;EOMONTH(DATE(crono_ano_ref,5,1),0),0,MAX(0,INT((EOMONTH(DATE(crono_ano_ref,5,1),0)-IF(Planos!$G241&gt;=DATE(crono_ano_ref,5,1),Planos!$G241,Planos!$G241+CEILING((DATE(crono_ano_ref,5,1)-Planos!$G241)/Planos!$E241,1)*Planos!$E241))/Planos!$E241)+1)))</f>
      </c>
      <c r="K243" s="44">
        <f>IF(OR(Planos!$A241="",NOT(ISNUMBER(Planos!$G241)),N(Planos!$E241)&lt;=0),0,IF(Planos!$G241&gt;EOMONTH(DATE(crono_ano_ref,6,1),0),0,MAX(0,INT((EOMONTH(DATE(crono_ano_ref,6,1),0)-IF(Planos!$G241&gt;=DATE(crono_ano_ref,6,1),Planos!$G241,Planos!$G241+CEILING((DATE(crono_ano_ref,6,1)-Planos!$G241)/Planos!$E241,1)*Planos!$E241))/Planos!$E241)+1)))</f>
      </c>
      <c r="L243" s="44">
        <f>IF(OR(Planos!$A241="",NOT(ISNUMBER(Planos!$G241)),N(Planos!$E241)&lt;=0),0,IF(Planos!$G241&gt;EOMONTH(DATE(crono_ano_ref,7,1),0),0,MAX(0,INT((EOMONTH(DATE(crono_ano_ref,7,1),0)-IF(Planos!$G241&gt;=DATE(crono_ano_ref,7,1),Planos!$G241,Planos!$G241+CEILING((DATE(crono_ano_ref,7,1)-Planos!$G241)/Planos!$E241,1)*Planos!$E241))/Planos!$E241)+1)))</f>
      </c>
      <c r="M243" s="44">
        <f>IF(OR(Planos!$A241="",NOT(ISNUMBER(Planos!$G241)),N(Planos!$E241)&lt;=0),0,IF(Planos!$G241&gt;EOMONTH(DATE(crono_ano_ref,8,1),0),0,MAX(0,INT((EOMONTH(DATE(crono_ano_ref,8,1),0)-IF(Planos!$G241&gt;=DATE(crono_ano_ref,8,1),Planos!$G241,Planos!$G241+CEILING((DATE(crono_ano_ref,8,1)-Planos!$G241)/Planos!$E241,1)*Planos!$E241))/Planos!$E241)+1)))</f>
      </c>
      <c r="N243" s="44">
        <f>IF(OR(Planos!$A241="",NOT(ISNUMBER(Planos!$G241)),N(Planos!$E241)&lt;=0),0,IF(Planos!$G241&gt;EOMONTH(DATE(crono_ano_ref,9,1),0),0,MAX(0,INT((EOMONTH(DATE(crono_ano_ref,9,1),0)-IF(Planos!$G241&gt;=DATE(crono_ano_ref,9,1),Planos!$G241,Planos!$G241+CEILING((DATE(crono_ano_ref,9,1)-Planos!$G241)/Planos!$E241,1)*Planos!$E241))/Planos!$E241)+1)))</f>
      </c>
      <c r="O243" s="44">
        <f>IF(OR(Planos!$A241="",NOT(ISNUMBER(Planos!$G241)),N(Planos!$E241)&lt;=0),0,IF(Planos!$G241&gt;EOMONTH(DATE(crono_ano_ref,10,1),0),0,MAX(0,INT((EOMONTH(DATE(crono_ano_ref,10,1),0)-IF(Planos!$G241&gt;=DATE(crono_ano_ref,10,1),Planos!$G241,Planos!$G241+CEILING((DATE(crono_ano_ref,10,1)-Planos!$G241)/Planos!$E241,1)*Planos!$E241))/Planos!$E241)+1)))</f>
      </c>
      <c r="P243" s="44">
        <f>IF(OR(Planos!$A241="",NOT(ISNUMBER(Planos!$G241)),N(Planos!$E241)&lt;=0),0,IF(Planos!$G241&gt;EOMONTH(DATE(crono_ano_ref,11,1),0),0,MAX(0,INT((EOMONTH(DATE(crono_ano_ref,11,1),0)-IF(Planos!$G241&gt;=DATE(crono_ano_ref,11,1),Planos!$G241,Planos!$G241+CEILING((DATE(crono_ano_ref,11,1)-Planos!$G241)/Planos!$E241,1)*Planos!$E241))/Planos!$E241)+1)))</f>
      </c>
      <c r="Q243" s="44">
        <f>IF(OR(Planos!$A241="",NOT(ISNUMBER(Planos!$G241)),N(Planos!$E241)&lt;=0),0,IF(Planos!$G241&gt;EOMONTH(DATE(crono_ano_ref,12,1),0),0,MAX(0,INT((EOMONTH(DATE(crono_ano_ref,12,1),0)-IF(Planos!$G241&gt;=DATE(crono_ano_ref,12,1),Planos!$G241,Planos!$G241+CEILING((DATE(crono_ano_ref,12,1)-Planos!$G241)/Planos!$E241,1)*Planos!$E241))/Planos!$E241)+1)))</f>
      </c>
      <c r="R243" s="44">
        <f>SUM(F243:Q243)</f>
      </c>
    </row>
    <row r="244" spans="1:18" x14ac:dyDescent="0.25">
      <c r="A244" s="24">
        <f>IF(Planos!$A242="","",Planos!A242&amp;"")</f>
      </c>
      <c r="B244" s="41">
        <f>IF(Planos!$A242="","",Planos!B242&amp;"")</f>
      </c>
      <c r="C244" s="24">
        <f>IF(Planos!$A242="","",Planos!C242&amp;"")</f>
      </c>
      <c r="D244" s="42">
        <f>IF(Planos!$A242="","",N(Planos!E242))</f>
      </c>
      <c r="E244" s="43">
        <f>IF(Planos!$A242="","",N(Planos!K242))</f>
      </c>
      <c r="F244" s="44">
        <f>IF(OR(Planos!$A242="",NOT(ISNUMBER(Planos!$G242)),N(Planos!$E242)&lt;=0),0,IF(Planos!$G242&gt;EOMONTH(DATE(crono_ano_ref,1,1),0),0,MAX(0,INT((EOMONTH(DATE(crono_ano_ref,1,1),0)-IF(Planos!$G242&gt;=DATE(crono_ano_ref,1,1),Planos!$G242,Planos!$G242+CEILING((DATE(crono_ano_ref,1,1)-Planos!$G242)/Planos!$E242,1)*Planos!$E242))/Planos!$E242)+1)))</f>
      </c>
      <c r="G244" s="44">
        <f>IF(OR(Planos!$A242="",NOT(ISNUMBER(Planos!$G242)),N(Planos!$E242)&lt;=0),0,IF(Planos!$G242&gt;EOMONTH(DATE(crono_ano_ref,2,1),0),0,MAX(0,INT((EOMONTH(DATE(crono_ano_ref,2,1),0)-IF(Planos!$G242&gt;=DATE(crono_ano_ref,2,1),Planos!$G242,Planos!$G242+CEILING((DATE(crono_ano_ref,2,1)-Planos!$G242)/Planos!$E242,1)*Planos!$E242))/Planos!$E242)+1)))</f>
      </c>
      <c r="H244" s="44">
        <f>IF(OR(Planos!$A242="",NOT(ISNUMBER(Planos!$G242)),N(Planos!$E242)&lt;=0),0,IF(Planos!$G242&gt;EOMONTH(DATE(crono_ano_ref,3,1),0),0,MAX(0,INT((EOMONTH(DATE(crono_ano_ref,3,1),0)-IF(Planos!$G242&gt;=DATE(crono_ano_ref,3,1),Planos!$G242,Planos!$G242+CEILING((DATE(crono_ano_ref,3,1)-Planos!$G242)/Planos!$E242,1)*Planos!$E242))/Planos!$E242)+1)))</f>
      </c>
      <c r="I244" s="44">
        <f>IF(OR(Planos!$A242="",NOT(ISNUMBER(Planos!$G242)),N(Planos!$E242)&lt;=0),0,IF(Planos!$G242&gt;EOMONTH(DATE(crono_ano_ref,4,1),0),0,MAX(0,INT((EOMONTH(DATE(crono_ano_ref,4,1),0)-IF(Planos!$G242&gt;=DATE(crono_ano_ref,4,1),Planos!$G242,Planos!$G242+CEILING((DATE(crono_ano_ref,4,1)-Planos!$G242)/Planos!$E242,1)*Planos!$E242))/Planos!$E242)+1)))</f>
      </c>
      <c r="J244" s="44">
        <f>IF(OR(Planos!$A242="",NOT(ISNUMBER(Planos!$G242)),N(Planos!$E242)&lt;=0),0,IF(Planos!$G242&gt;EOMONTH(DATE(crono_ano_ref,5,1),0),0,MAX(0,INT((EOMONTH(DATE(crono_ano_ref,5,1),0)-IF(Planos!$G242&gt;=DATE(crono_ano_ref,5,1),Planos!$G242,Planos!$G242+CEILING((DATE(crono_ano_ref,5,1)-Planos!$G242)/Planos!$E242,1)*Planos!$E242))/Planos!$E242)+1)))</f>
      </c>
      <c r="K244" s="44">
        <f>IF(OR(Planos!$A242="",NOT(ISNUMBER(Planos!$G242)),N(Planos!$E242)&lt;=0),0,IF(Planos!$G242&gt;EOMONTH(DATE(crono_ano_ref,6,1),0),0,MAX(0,INT((EOMONTH(DATE(crono_ano_ref,6,1),0)-IF(Planos!$G242&gt;=DATE(crono_ano_ref,6,1),Planos!$G242,Planos!$G242+CEILING((DATE(crono_ano_ref,6,1)-Planos!$G242)/Planos!$E242,1)*Planos!$E242))/Planos!$E242)+1)))</f>
      </c>
      <c r="L244" s="44">
        <f>IF(OR(Planos!$A242="",NOT(ISNUMBER(Planos!$G242)),N(Planos!$E242)&lt;=0),0,IF(Planos!$G242&gt;EOMONTH(DATE(crono_ano_ref,7,1),0),0,MAX(0,INT((EOMONTH(DATE(crono_ano_ref,7,1),0)-IF(Planos!$G242&gt;=DATE(crono_ano_ref,7,1),Planos!$G242,Planos!$G242+CEILING((DATE(crono_ano_ref,7,1)-Planos!$G242)/Planos!$E242,1)*Planos!$E242))/Planos!$E242)+1)))</f>
      </c>
      <c r="M244" s="44">
        <f>IF(OR(Planos!$A242="",NOT(ISNUMBER(Planos!$G242)),N(Planos!$E242)&lt;=0),0,IF(Planos!$G242&gt;EOMONTH(DATE(crono_ano_ref,8,1),0),0,MAX(0,INT((EOMONTH(DATE(crono_ano_ref,8,1),0)-IF(Planos!$G242&gt;=DATE(crono_ano_ref,8,1),Planos!$G242,Planos!$G242+CEILING((DATE(crono_ano_ref,8,1)-Planos!$G242)/Planos!$E242,1)*Planos!$E242))/Planos!$E242)+1)))</f>
      </c>
      <c r="N244" s="44">
        <f>IF(OR(Planos!$A242="",NOT(ISNUMBER(Planos!$G242)),N(Planos!$E242)&lt;=0),0,IF(Planos!$G242&gt;EOMONTH(DATE(crono_ano_ref,9,1),0),0,MAX(0,INT((EOMONTH(DATE(crono_ano_ref,9,1),0)-IF(Planos!$G242&gt;=DATE(crono_ano_ref,9,1),Planos!$G242,Planos!$G242+CEILING((DATE(crono_ano_ref,9,1)-Planos!$G242)/Planos!$E242,1)*Planos!$E242))/Planos!$E242)+1)))</f>
      </c>
      <c r="O244" s="44">
        <f>IF(OR(Planos!$A242="",NOT(ISNUMBER(Planos!$G242)),N(Planos!$E242)&lt;=0),0,IF(Planos!$G242&gt;EOMONTH(DATE(crono_ano_ref,10,1),0),0,MAX(0,INT((EOMONTH(DATE(crono_ano_ref,10,1),0)-IF(Planos!$G242&gt;=DATE(crono_ano_ref,10,1),Planos!$G242,Planos!$G242+CEILING((DATE(crono_ano_ref,10,1)-Planos!$G242)/Planos!$E242,1)*Planos!$E242))/Planos!$E242)+1)))</f>
      </c>
      <c r="P244" s="44">
        <f>IF(OR(Planos!$A242="",NOT(ISNUMBER(Planos!$G242)),N(Planos!$E242)&lt;=0),0,IF(Planos!$G242&gt;EOMONTH(DATE(crono_ano_ref,11,1),0),0,MAX(0,INT((EOMONTH(DATE(crono_ano_ref,11,1),0)-IF(Planos!$G242&gt;=DATE(crono_ano_ref,11,1),Planos!$G242,Planos!$G242+CEILING((DATE(crono_ano_ref,11,1)-Planos!$G242)/Planos!$E242,1)*Planos!$E242))/Planos!$E242)+1)))</f>
      </c>
      <c r="Q244" s="44">
        <f>IF(OR(Planos!$A242="",NOT(ISNUMBER(Planos!$G242)),N(Planos!$E242)&lt;=0),0,IF(Planos!$G242&gt;EOMONTH(DATE(crono_ano_ref,12,1),0),0,MAX(0,INT((EOMONTH(DATE(crono_ano_ref,12,1),0)-IF(Planos!$G242&gt;=DATE(crono_ano_ref,12,1),Planos!$G242,Planos!$G242+CEILING((DATE(crono_ano_ref,12,1)-Planos!$G242)/Planos!$E242,1)*Planos!$E242))/Planos!$E242)+1)))</f>
      </c>
      <c r="R244" s="44">
        <f>SUM(F244:Q244)</f>
      </c>
    </row>
    <row r="245" spans="1:18" x14ac:dyDescent="0.25">
      <c r="A245" s="24">
        <f>IF(Planos!$A243="","",Planos!A243&amp;"")</f>
      </c>
      <c r="B245" s="41">
        <f>IF(Planos!$A243="","",Planos!B243&amp;"")</f>
      </c>
      <c r="C245" s="24">
        <f>IF(Planos!$A243="","",Planos!C243&amp;"")</f>
      </c>
      <c r="D245" s="42">
        <f>IF(Planos!$A243="","",N(Planos!E243))</f>
      </c>
      <c r="E245" s="43">
        <f>IF(Planos!$A243="","",N(Planos!K243))</f>
      </c>
      <c r="F245" s="44">
        <f>IF(OR(Planos!$A243="",NOT(ISNUMBER(Planos!$G243)),N(Planos!$E243)&lt;=0),0,IF(Planos!$G243&gt;EOMONTH(DATE(crono_ano_ref,1,1),0),0,MAX(0,INT((EOMONTH(DATE(crono_ano_ref,1,1),0)-IF(Planos!$G243&gt;=DATE(crono_ano_ref,1,1),Planos!$G243,Planos!$G243+CEILING((DATE(crono_ano_ref,1,1)-Planos!$G243)/Planos!$E243,1)*Planos!$E243))/Planos!$E243)+1)))</f>
      </c>
      <c r="G245" s="44">
        <f>IF(OR(Planos!$A243="",NOT(ISNUMBER(Planos!$G243)),N(Planos!$E243)&lt;=0),0,IF(Planos!$G243&gt;EOMONTH(DATE(crono_ano_ref,2,1),0),0,MAX(0,INT((EOMONTH(DATE(crono_ano_ref,2,1),0)-IF(Planos!$G243&gt;=DATE(crono_ano_ref,2,1),Planos!$G243,Planos!$G243+CEILING((DATE(crono_ano_ref,2,1)-Planos!$G243)/Planos!$E243,1)*Planos!$E243))/Planos!$E243)+1)))</f>
      </c>
      <c r="H245" s="44">
        <f>IF(OR(Planos!$A243="",NOT(ISNUMBER(Planos!$G243)),N(Planos!$E243)&lt;=0),0,IF(Planos!$G243&gt;EOMONTH(DATE(crono_ano_ref,3,1),0),0,MAX(0,INT((EOMONTH(DATE(crono_ano_ref,3,1),0)-IF(Planos!$G243&gt;=DATE(crono_ano_ref,3,1),Planos!$G243,Planos!$G243+CEILING((DATE(crono_ano_ref,3,1)-Planos!$G243)/Planos!$E243,1)*Planos!$E243))/Planos!$E243)+1)))</f>
      </c>
      <c r="I245" s="44">
        <f>IF(OR(Planos!$A243="",NOT(ISNUMBER(Planos!$G243)),N(Planos!$E243)&lt;=0),0,IF(Planos!$G243&gt;EOMONTH(DATE(crono_ano_ref,4,1),0),0,MAX(0,INT((EOMONTH(DATE(crono_ano_ref,4,1),0)-IF(Planos!$G243&gt;=DATE(crono_ano_ref,4,1),Planos!$G243,Planos!$G243+CEILING((DATE(crono_ano_ref,4,1)-Planos!$G243)/Planos!$E243,1)*Planos!$E243))/Planos!$E243)+1)))</f>
      </c>
      <c r="J245" s="44">
        <f>IF(OR(Planos!$A243="",NOT(ISNUMBER(Planos!$G243)),N(Planos!$E243)&lt;=0),0,IF(Planos!$G243&gt;EOMONTH(DATE(crono_ano_ref,5,1),0),0,MAX(0,INT((EOMONTH(DATE(crono_ano_ref,5,1),0)-IF(Planos!$G243&gt;=DATE(crono_ano_ref,5,1),Planos!$G243,Planos!$G243+CEILING((DATE(crono_ano_ref,5,1)-Planos!$G243)/Planos!$E243,1)*Planos!$E243))/Planos!$E243)+1)))</f>
      </c>
      <c r="K245" s="44">
        <f>IF(OR(Planos!$A243="",NOT(ISNUMBER(Planos!$G243)),N(Planos!$E243)&lt;=0),0,IF(Planos!$G243&gt;EOMONTH(DATE(crono_ano_ref,6,1),0),0,MAX(0,INT((EOMONTH(DATE(crono_ano_ref,6,1),0)-IF(Planos!$G243&gt;=DATE(crono_ano_ref,6,1),Planos!$G243,Planos!$G243+CEILING((DATE(crono_ano_ref,6,1)-Planos!$G243)/Planos!$E243,1)*Planos!$E243))/Planos!$E243)+1)))</f>
      </c>
      <c r="L245" s="44">
        <f>IF(OR(Planos!$A243="",NOT(ISNUMBER(Planos!$G243)),N(Planos!$E243)&lt;=0),0,IF(Planos!$G243&gt;EOMONTH(DATE(crono_ano_ref,7,1),0),0,MAX(0,INT((EOMONTH(DATE(crono_ano_ref,7,1),0)-IF(Planos!$G243&gt;=DATE(crono_ano_ref,7,1),Planos!$G243,Planos!$G243+CEILING((DATE(crono_ano_ref,7,1)-Planos!$G243)/Planos!$E243,1)*Planos!$E243))/Planos!$E243)+1)))</f>
      </c>
      <c r="M245" s="44">
        <f>IF(OR(Planos!$A243="",NOT(ISNUMBER(Planos!$G243)),N(Planos!$E243)&lt;=0),0,IF(Planos!$G243&gt;EOMONTH(DATE(crono_ano_ref,8,1),0),0,MAX(0,INT((EOMONTH(DATE(crono_ano_ref,8,1),0)-IF(Planos!$G243&gt;=DATE(crono_ano_ref,8,1),Planos!$G243,Planos!$G243+CEILING((DATE(crono_ano_ref,8,1)-Planos!$G243)/Planos!$E243,1)*Planos!$E243))/Planos!$E243)+1)))</f>
      </c>
      <c r="N245" s="44">
        <f>IF(OR(Planos!$A243="",NOT(ISNUMBER(Planos!$G243)),N(Planos!$E243)&lt;=0),0,IF(Planos!$G243&gt;EOMONTH(DATE(crono_ano_ref,9,1),0),0,MAX(0,INT((EOMONTH(DATE(crono_ano_ref,9,1),0)-IF(Planos!$G243&gt;=DATE(crono_ano_ref,9,1),Planos!$G243,Planos!$G243+CEILING((DATE(crono_ano_ref,9,1)-Planos!$G243)/Planos!$E243,1)*Planos!$E243))/Planos!$E243)+1)))</f>
      </c>
      <c r="O245" s="44">
        <f>IF(OR(Planos!$A243="",NOT(ISNUMBER(Planos!$G243)),N(Planos!$E243)&lt;=0),0,IF(Planos!$G243&gt;EOMONTH(DATE(crono_ano_ref,10,1),0),0,MAX(0,INT((EOMONTH(DATE(crono_ano_ref,10,1),0)-IF(Planos!$G243&gt;=DATE(crono_ano_ref,10,1),Planos!$G243,Planos!$G243+CEILING((DATE(crono_ano_ref,10,1)-Planos!$G243)/Planos!$E243,1)*Planos!$E243))/Planos!$E243)+1)))</f>
      </c>
      <c r="P245" s="44">
        <f>IF(OR(Planos!$A243="",NOT(ISNUMBER(Planos!$G243)),N(Planos!$E243)&lt;=0),0,IF(Planos!$G243&gt;EOMONTH(DATE(crono_ano_ref,11,1),0),0,MAX(0,INT((EOMONTH(DATE(crono_ano_ref,11,1),0)-IF(Planos!$G243&gt;=DATE(crono_ano_ref,11,1),Planos!$G243,Planos!$G243+CEILING((DATE(crono_ano_ref,11,1)-Planos!$G243)/Planos!$E243,1)*Planos!$E243))/Planos!$E243)+1)))</f>
      </c>
      <c r="Q245" s="44">
        <f>IF(OR(Planos!$A243="",NOT(ISNUMBER(Planos!$G243)),N(Planos!$E243)&lt;=0),0,IF(Planos!$G243&gt;EOMONTH(DATE(crono_ano_ref,12,1),0),0,MAX(0,INT((EOMONTH(DATE(crono_ano_ref,12,1),0)-IF(Planos!$G243&gt;=DATE(crono_ano_ref,12,1),Planos!$G243,Planos!$G243+CEILING((DATE(crono_ano_ref,12,1)-Planos!$G243)/Planos!$E243,1)*Planos!$E243))/Planos!$E243)+1)))</f>
      </c>
      <c r="R245" s="44">
        <f>SUM(F245:Q245)</f>
      </c>
    </row>
    <row r="246" spans="1:18" x14ac:dyDescent="0.25">
      <c r="A246" s="24">
        <f>IF(Planos!$A244="","",Planos!A244&amp;"")</f>
      </c>
      <c r="B246" s="41">
        <f>IF(Planos!$A244="","",Planos!B244&amp;"")</f>
      </c>
      <c r="C246" s="24">
        <f>IF(Planos!$A244="","",Planos!C244&amp;"")</f>
      </c>
      <c r="D246" s="42">
        <f>IF(Planos!$A244="","",N(Planos!E244))</f>
      </c>
      <c r="E246" s="43">
        <f>IF(Planos!$A244="","",N(Planos!K244))</f>
      </c>
      <c r="F246" s="44">
        <f>IF(OR(Planos!$A244="",NOT(ISNUMBER(Planos!$G244)),N(Planos!$E244)&lt;=0),0,IF(Planos!$G244&gt;EOMONTH(DATE(crono_ano_ref,1,1),0),0,MAX(0,INT((EOMONTH(DATE(crono_ano_ref,1,1),0)-IF(Planos!$G244&gt;=DATE(crono_ano_ref,1,1),Planos!$G244,Planos!$G244+CEILING((DATE(crono_ano_ref,1,1)-Planos!$G244)/Planos!$E244,1)*Planos!$E244))/Planos!$E244)+1)))</f>
      </c>
      <c r="G246" s="44">
        <f>IF(OR(Planos!$A244="",NOT(ISNUMBER(Planos!$G244)),N(Planos!$E244)&lt;=0),0,IF(Planos!$G244&gt;EOMONTH(DATE(crono_ano_ref,2,1),0),0,MAX(0,INT((EOMONTH(DATE(crono_ano_ref,2,1),0)-IF(Planos!$G244&gt;=DATE(crono_ano_ref,2,1),Planos!$G244,Planos!$G244+CEILING((DATE(crono_ano_ref,2,1)-Planos!$G244)/Planos!$E244,1)*Planos!$E244))/Planos!$E244)+1)))</f>
      </c>
      <c r="H246" s="44">
        <f>IF(OR(Planos!$A244="",NOT(ISNUMBER(Planos!$G244)),N(Planos!$E244)&lt;=0),0,IF(Planos!$G244&gt;EOMONTH(DATE(crono_ano_ref,3,1),0),0,MAX(0,INT((EOMONTH(DATE(crono_ano_ref,3,1),0)-IF(Planos!$G244&gt;=DATE(crono_ano_ref,3,1),Planos!$G244,Planos!$G244+CEILING((DATE(crono_ano_ref,3,1)-Planos!$G244)/Planos!$E244,1)*Planos!$E244))/Planos!$E244)+1)))</f>
      </c>
      <c r="I246" s="44">
        <f>IF(OR(Planos!$A244="",NOT(ISNUMBER(Planos!$G244)),N(Planos!$E244)&lt;=0),0,IF(Planos!$G244&gt;EOMONTH(DATE(crono_ano_ref,4,1),0),0,MAX(0,INT((EOMONTH(DATE(crono_ano_ref,4,1),0)-IF(Planos!$G244&gt;=DATE(crono_ano_ref,4,1),Planos!$G244,Planos!$G244+CEILING((DATE(crono_ano_ref,4,1)-Planos!$G244)/Planos!$E244,1)*Planos!$E244))/Planos!$E244)+1)))</f>
      </c>
      <c r="J246" s="44">
        <f>IF(OR(Planos!$A244="",NOT(ISNUMBER(Planos!$G244)),N(Planos!$E244)&lt;=0),0,IF(Planos!$G244&gt;EOMONTH(DATE(crono_ano_ref,5,1),0),0,MAX(0,INT((EOMONTH(DATE(crono_ano_ref,5,1),0)-IF(Planos!$G244&gt;=DATE(crono_ano_ref,5,1),Planos!$G244,Planos!$G244+CEILING((DATE(crono_ano_ref,5,1)-Planos!$G244)/Planos!$E244,1)*Planos!$E244))/Planos!$E244)+1)))</f>
      </c>
      <c r="K246" s="44">
        <f>IF(OR(Planos!$A244="",NOT(ISNUMBER(Planos!$G244)),N(Planos!$E244)&lt;=0),0,IF(Planos!$G244&gt;EOMONTH(DATE(crono_ano_ref,6,1),0),0,MAX(0,INT((EOMONTH(DATE(crono_ano_ref,6,1),0)-IF(Planos!$G244&gt;=DATE(crono_ano_ref,6,1),Planos!$G244,Planos!$G244+CEILING((DATE(crono_ano_ref,6,1)-Planos!$G244)/Planos!$E244,1)*Planos!$E244))/Planos!$E244)+1)))</f>
      </c>
      <c r="L246" s="44">
        <f>IF(OR(Planos!$A244="",NOT(ISNUMBER(Planos!$G244)),N(Planos!$E244)&lt;=0),0,IF(Planos!$G244&gt;EOMONTH(DATE(crono_ano_ref,7,1),0),0,MAX(0,INT((EOMONTH(DATE(crono_ano_ref,7,1),0)-IF(Planos!$G244&gt;=DATE(crono_ano_ref,7,1),Planos!$G244,Planos!$G244+CEILING((DATE(crono_ano_ref,7,1)-Planos!$G244)/Planos!$E244,1)*Planos!$E244))/Planos!$E244)+1)))</f>
      </c>
      <c r="M246" s="44">
        <f>IF(OR(Planos!$A244="",NOT(ISNUMBER(Planos!$G244)),N(Planos!$E244)&lt;=0),0,IF(Planos!$G244&gt;EOMONTH(DATE(crono_ano_ref,8,1),0),0,MAX(0,INT((EOMONTH(DATE(crono_ano_ref,8,1),0)-IF(Planos!$G244&gt;=DATE(crono_ano_ref,8,1),Planos!$G244,Planos!$G244+CEILING((DATE(crono_ano_ref,8,1)-Planos!$G244)/Planos!$E244,1)*Planos!$E244))/Planos!$E244)+1)))</f>
      </c>
      <c r="N246" s="44">
        <f>IF(OR(Planos!$A244="",NOT(ISNUMBER(Planos!$G244)),N(Planos!$E244)&lt;=0),0,IF(Planos!$G244&gt;EOMONTH(DATE(crono_ano_ref,9,1),0),0,MAX(0,INT((EOMONTH(DATE(crono_ano_ref,9,1),0)-IF(Planos!$G244&gt;=DATE(crono_ano_ref,9,1),Planos!$G244,Planos!$G244+CEILING((DATE(crono_ano_ref,9,1)-Planos!$G244)/Planos!$E244,1)*Planos!$E244))/Planos!$E244)+1)))</f>
      </c>
      <c r="O246" s="44">
        <f>IF(OR(Planos!$A244="",NOT(ISNUMBER(Planos!$G244)),N(Planos!$E244)&lt;=0),0,IF(Planos!$G244&gt;EOMONTH(DATE(crono_ano_ref,10,1),0),0,MAX(0,INT((EOMONTH(DATE(crono_ano_ref,10,1),0)-IF(Planos!$G244&gt;=DATE(crono_ano_ref,10,1),Planos!$G244,Planos!$G244+CEILING((DATE(crono_ano_ref,10,1)-Planos!$G244)/Planos!$E244,1)*Planos!$E244))/Planos!$E244)+1)))</f>
      </c>
      <c r="P246" s="44">
        <f>IF(OR(Planos!$A244="",NOT(ISNUMBER(Planos!$G244)),N(Planos!$E244)&lt;=0),0,IF(Planos!$G244&gt;EOMONTH(DATE(crono_ano_ref,11,1),0),0,MAX(0,INT((EOMONTH(DATE(crono_ano_ref,11,1),0)-IF(Planos!$G244&gt;=DATE(crono_ano_ref,11,1),Planos!$G244,Planos!$G244+CEILING((DATE(crono_ano_ref,11,1)-Planos!$G244)/Planos!$E244,1)*Planos!$E244))/Planos!$E244)+1)))</f>
      </c>
      <c r="Q246" s="44">
        <f>IF(OR(Planos!$A244="",NOT(ISNUMBER(Planos!$G244)),N(Planos!$E244)&lt;=0),0,IF(Planos!$G244&gt;EOMONTH(DATE(crono_ano_ref,12,1),0),0,MAX(0,INT((EOMONTH(DATE(crono_ano_ref,12,1),0)-IF(Planos!$G244&gt;=DATE(crono_ano_ref,12,1),Planos!$G244,Planos!$G244+CEILING((DATE(crono_ano_ref,12,1)-Planos!$G244)/Planos!$E244,1)*Planos!$E244))/Planos!$E244)+1)))</f>
      </c>
      <c r="R246" s="44">
        <f>SUM(F246:Q246)</f>
      </c>
    </row>
    <row r="247" spans="1:18" x14ac:dyDescent="0.25">
      <c r="A247" s="24">
        <f>IF(Planos!$A245="","",Planos!A245&amp;"")</f>
      </c>
      <c r="B247" s="41">
        <f>IF(Planos!$A245="","",Planos!B245&amp;"")</f>
      </c>
      <c r="C247" s="24">
        <f>IF(Planos!$A245="","",Planos!C245&amp;"")</f>
      </c>
      <c r="D247" s="42">
        <f>IF(Planos!$A245="","",N(Planos!E245))</f>
      </c>
      <c r="E247" s="43">
        <f>IF(Planos!$A245="","",N(Planos!K245))</f>
      </c>
      <c r="F247" s="44">
        <f>IF(OR(Planos!$A245="",NOT(ISNUMBER(Planos!$G245)),N(Planos!$E245)&lt;=0),0,IF(Planos!$G245&gt;EOMONTH(DATE(crono_ano_ref,1,1),0),0,MAX(0,INT((EOMONTH(DATE(crono_ano_ref,1,1),0)-IF(Planos!$G245&gt;=DATE(crono_ano_ref,1,1),Planos!$G245,Planos!$G245+CEILING((DATE(crono_ano_ref,1,1)-Planos!$G245)/Planos!$E245,1)*Planos!$E245))/Planos!$E245)+1)))</f>
      </c>
      <c r="G247" s="44">
        <f>IF(OR(Planos!$A245="",NOT(ISNUMBER(Planos!$G245)),N(Planos!$E245)&lt;=0),0,IF(Planos!$G245&gt;EOMONTH(DATE(crono_ano_ref,2,1),0),0,MAX(0,INT((EOMONTH(DATE(crono_ano_ref,2,1),0)-IF(Planos!$G245&gt;=DATE(crono_ano_ref,2,1),Planos!$G245,Planos!$G245+CEILING((DATE(crono_ano_ref,2,1)-Planos!$G245)/Planos!$E245,1)*Planos!$E245))/Planos!$E245)+1)))</f>
      </c>
      <c r="H247" s="44">
        <f>IF(OR(Planos!$A245="",NOT(ISNUMBER(Planos!$G245)),N(Planos!$E245)&lt;=0),0,IF(Planos!$G245&gt;EOMONTH(DATE(crono_ano_ref,3,1),0),0,MAX(0,INT((EOMONTH(DATE(crono_ano_ref,3,1),0)-IF(Planos!$G245&gt;=DATE(crono_ano_ref,3,1),Planos!$G245,Planos!$G245+CEILING((DATE(crono_ano_ref,3,1)-Planos!$G245)/Planos!$E245,1)*Planos!$E245))/Planos!$E245)+1)))</f>
      </c>
      <c r="I247" s="44">
        <f>IF(OR(Planos!$A245="",NOT(ISNUMBER(Planos!$G245)),N(Planos!$E245)&lt;=0),0,IF(Planos!$G245&gt;EOMONTH(DATE(crono_ano_ref,4,1),0),0,MAX(0,INT((EOMONTH(DATE(crono_ano_ref,4,1),0)-IF(Planos!$G245&gt;=DATE(crono_ano_ref,4,1),Planos!$G245,Planos!$G245+CEILING((DATE(crono_ano_ref,4,1)-Planos!$G245)/Planos!$E245,1)*Planos!$E245))/Planos!$E245)+1)))</f>
      </c>
      <c r="J247" s="44">
        <f>IF(OR(Planos!$A245="",NOT(ISNUMBER(Planos!$G245)),N(Planos!$E245)&lt;=0),0,IF(Planos!$G245&gt;EOMONTH(DATE(crono_ano_ref,5,1),0),0,MAX(0,INT((EOMONTH(DATE(crono_ano_ref,5,1),0)-IF(Planos!$G245&gt;=DATE(crono_ano_ref,5,1),Planos!$G245,Planos!$G245+CEILING((DATE(crono_ano_ref,5,1)-Planos!$G245)/Planos!$E245,1)*Planos!$E245))/Planos!$E245)+1)))</f>
      </c>
      <c r="K247" s="44">
        <f>IF(OR(Planos!$A245="",NOT(ISNUMBER(Planos!$G245)),N(Planos!$E245)&lt;=0),0,IF(Planos!$G245&gt;EOMONTH(DATE(crono_ano_ref,6,1),0),0,MAX(0,INT((EOMONTH(DATE(crono_ano_ref,6,1),0)-IF(Planos!$G245&gt;=DATE(crono_ano_ref,6,1),Planos!$G245,Planos!$G245+CEILING((DATE(crono_ano_ref,6,1)-Planos!$G245)/Planos!$E245,1)*Planos!$E245))/Planos!$E245)+1)))</f>
      </c>
      <c r="L247" s="44">
        <f>IF(OR(Planos!$A245="",NOT(ISNUMBER(Planos!$G245)),N(Planos!$E245)&lt;=0),0,IF(Planos!$G245&gt;EOMONTH(DATE(crono_ano_ref,7,1),0),0,MAX(0,INT((EOMONTH(DATE(crono_ano_ref,7,1),0)-IF(Planos!$G245&gt;=DATE(crono_ano_ref,7,1),Planos!$G245,Planos!$G245+CEILING((DATE(crono_ano_ref,7,1)-Planos!$G245)/Planos!$E245,1)*Planos!$E245))/Planos!$E245)+1)))</f>
      </c>
      <c r="M247" s="44">
        <f>IF(OR(Planos!$A245="",NOT(ISNUMBER(Planos!$G245)),N(Planos!$E245)&lt;=0),0,IF(Planos!$G245&gt;EOMONTH(DATE(crono_ano_ref,8,1),0),0,MAX(0,INT((EOMONTH(DATE(crono_ano_ref,8,1),0)-IF(Planos!$G245&gt;=DATE(crono_ano_ref,8,1),Planos!$G245,Planos!$G245+CEILING((DATE(crono_ano_ref,8,1)-Planos!$G245)/Planos!$E245,1)*Planos!$E245))/Planos!$E245)+1)))</f>
      </c>
      <c r="N247" s="44">
        <f>IF(OR(Planos!$A245="",NOT(ISNUMBER(Planos!$G245)),N(Planos!$E245)&lt;=0),0,IF(Planos!$G245&gt;EOMONTH(DATE(crono_ano_ref,9,1),0),0,MAX(0,INT((EOMONTH(DATE(crono_ano_ref,9,1),0)-IF(Planos!$G245&gt;=DATE(crono_ano_ref,9,1),Planos!$G245,Planos!$G245+CEILING((DATE(crono_ano_ref,9,1)-Planos!$G245)/Planos!$E245,1)*Planos!$E245))/Planos!$E245)+1)))</f>
      </c>
      <c r="O247" s="44">
        <f>IF(OR(Planos!$A245="",NOT(ISNUMBER(Planos!$G245)),N(Planos!$E245)&lt;=0),0,IF(Planos!$G245&gt;EOMONTH(DATE(crono_ano_ref,10,1),0),0,MAX(0,INT((EOMONTH(DATE(crono_ano_ref,10,1),0)-IF(Planos!$G245&gt;=DATE(crono_ano_ref,10,1),Planos!$G245,Planos!$G245+CEILING((DATE(crono_ano_ref,10,1)-Planos!$G245)/Planos!$E245,1)*Planos!$E245))/Planos!$E245)+1)))</f>
      </c>
      <c r="P247" s="44">
        <f>IF(OR(Planos!$A245="",NOT(ISNUMBER(Planos!$G245)),N(Planos!$E245)&lt;=0),0,IF(Planos!$G245&gt;EOMONTH(DATE(crono_ano_ref,11,1),0),0,MAX(0,INT((EOMONTH(DATE(crono_ano_ref,11,1),0)-IF(Planos!$G245&gt;=DATE(crono_ano_ref,11,1),Planos!$G245,Planos!$G245+CEILING((DATE(crono_ano_ref,11,1)-Planos!$G245)/Planos!$E245,1)*Planos!$E245))/Planos!$E245)+1)))</f>
      </c>
      <c r="Q247" s="44">
        <f>IF(OR(Planos!$A245="",NOT(ISNUMBER(Planos!$G245)),N(Planos!$E245)&lt;=0),0,IF(Planos!$G245&gt;EOMONTH(DATE(crono_ano_ref,12,1),0),0,MAX(0,INT((EOMONTH(DATE(crono_ano_ref,12,1),0)-IF(Planos!$G245&gt;=DATE(crono_ano_ref,12,1),Planos!$G245,Planos!$G245+CEILING((DATE(crono_ano_ref,12,1)-Planos!$G245)/Planos!$E245,1)*Planos!$E245))/Planos!$E245)+1)))</f>
      </c>
      <c r="R247" s="44">
        <f>SUM(F247:Q247)</f>
      </c>
    </row>
    <row r="248" spans="1:18" x14ac:dyDescent="0.25">
      <c r="A248" s="24">
        <f>IF(Planos!$A246="","",Planos!A246&amp;"")</f>
      </c>
      <c r="B248" s="41">
        <f>IF(Planos!$A246="","",Planos!B246&amp;"")</f>
      </c>
      <c r="C248" s="24">
        <f>IF(Planos!$A246="","",Planos!C246&amp;"")</f>
      </c>
      <c r="D248" s="42">
        <f>IF(Planos!$A246="","",N(Planos!E246))</f>
      </c>
      <c r="E248" s="43">
        <f>IF(Planos!$A246="","",N(Planos!K246))</f>
      </c>
      <c r="F248" s="44">
        <f>IF(OR(Planos!$A246="",NOT(ISNUMBER(Planos!$G246)),N(Planos!$E246)&lt;=0),0,IF(Planos!$G246&gt;EOMONTH(DATE(crono_ano_ref,1,1),0),0,MAX(0,INT((EOMONTH(DATE(crono_ano_ref,1,1),0)-IF(Planos!$G246&gt;=DATE(crono_ano_ref,1,1),Planos!$G246,Planos!$G246+CEILING((DATE(crono_ano_ref,1,1)-Planos!$G246)/Planos!$E246,1)*Planos!$E246))/Planos!$E246)+1)))</f>
      </c>
      <c r="G248" s="44">
        <f>IF(OR(Planos!$A246="",NOT(ISNUMBER(Planos!$G246)),N(Planos!$E246)&lt;=0),0,IF(Planos!$G246&gt;EOMONTH(DATE(crono_ano_ref,2,1),0),0,MAX(0,INT((EOMONTH(DATE(crono_ano_ref,2,1),0)-IF(Planos!$G246&gt;=DATE(crono_ano_ref,2,1),Planos!$G246,Planos!$G246+CEILING((DATE(crono_ano_ref,2,1)-Planos!$G246)/Planos!$E246,1)*Planos!$E246))/Planos!$E246)+1)))</f>
      </c>
      <c r="H248" s="44">
        <f>IF(OR(Planos!$A246="",NOT(ISNUMBER(Planos!$G246)),N(Planos!$E246)&lt;=0),0,IF(Planos!$G246&gt;EOMONTH(DATE(crono_ano_ref,3,1),0),0,MAX(0,INT((EOMONTH(DATE(crono_ano_ref,3,1),0)-IF(Planos!$G246&gt;=DATE(crono_ano_ref,3,1),Planos!$G246,Planos!$G246+CEILING((DATE(crono_ano_ref,3,1)-Planos!$G246)/Planos!$E246,1)*Planos!$E246))/Planos!$E246)+1)))</f>
      </c>
      <c r="I248" s="44">
        <f>IF(OR(Planos!$A246="",NOT(ISNUMBER(Planos!$G246)),N(Planos!$E246)&lt;=0),0,IF(Planos!$G246&gt;EOMONTH(DATE(crono_ano_ref,4,1),0),0,MAX(0,INT((EOMONTH(DATE(crono_ano_ref,4,1),0)-IF(Planos!$G246&gt;=DATE(crono_ano_ref,4,1),Planos!$G246,Planos!$G246+CEILING((DATE(crono_ano_ref,4,1)-Planos!$G246)/Planos!$E246,1)*Planos!$E246))/Planos!$E246)+1)))</f>
      </c>
      <c r="J248" s="44">
        <f>IF(OR(Planos!$A246="",NOT(ISNUMBER(Planos!$G246)),N(Planos!$E246)&lt;=0),0,IF(Planos!$G246&gt;EOMONTH(DATE(crono_ano_ref,5,1),0),0,MAX(0,INT((EOMONTH(DATE(crono_ano_ref,5,1),0)-IF(Planos!$G246&gt;=DATE(crono_ano_ref,5,1),Planos!$G246,Planos!$G246+CEILING((DATE(crono_ano_ref,5,1)-Planos!$G246)/Planos!$E246,1)*Planos!$E246))/Planos!$E246)+1)))</f>
      </c>
      <c r="K248" s="44">
        <f>IF(OR(Planos!$A246="",NOT(ISNUMBER(Planos!$G246)),N(Planos!$E246)&lt;=0),0,IF(Planos!$G246&gt;EOMONTH(DATE(crono_ano_ref,6,1),0),0,MAX(0,INT((EOMONTH(DATE(crono_ano_ref,6,1),0)-IF(Planos!$G246&gt;=DATE(crono_ano_ref,6,1),Planos!$G246,Planos!$G246+CEILING((DATE(crono_ano_ref,6,1)-Planos!$G246)/Planos!$E246,1)*Planos!$E246))/Planos!$E246)+1)))</f>
      </c>
      <c r="L248" s="44">
        <f>IF(OR(Planos!$A246="",NOT(ISNUMBER(Planos!$G246)),N(Planos!$E246)&lt;=0),0,IF(Planos!$G246&gt;EOMONTH(DATE(crono_ano_ref,7,1),0),0,MAX(0,INT((EOMONTH(DATE(crono_ano_ref,7,1),0)-IF(Planos!$G246&gt;=DATE(crono_ano_ref,7,1),Planos!$G246,Planos!$G246+CEILING((DATE(crono_ano_ref,7,1)-Planos!$G246)/Planos!$E246,1)*Planos!$E246))/Planos!$E246)+1)))</f>
      </c>
      <c r="M248" s="44">
        <f>IF(OR(Planos!$A246="",NOT(ISNUMBER(Planos!$G246)),N(Planos!$E246)&lt;=0),0,IF(Planos!$G246&gt;EOMONTH(DATE(crono_ano_ref,8,1),0),0,MAX(0,INT((EOMONTH(DATE(crono_ano_ref,8,1),0)-IF(Planos!$G246&gt;=DATE(crono_ano_ref,8,1),Planos!$G246,Planos!$G246+CEILING((DATE(crono_ano_ref,8,1)-Planos!$G246)/Planos!$E246,1)*Planos!$E246))/Planos!$E246)+1)))</f>
      </c>
      <c r="N248" s="44">
        <f>IF(OR(Planos!$A246="",NOT(ISNUMBER(Planos!$G246)),N(Planos!$E246)&lt;=0),0,IF(Planos!$G246&gt;EOMONTH(DATE(crono_ano_ref,9,1),0),0,MAX(0,INT((EOMONTH(DATE(crono_ano_ref,9,1),0)-IF(Planos!$G246&gt;=DATE(crono_ano_ref,9,1),Planos!$G246,Planos!$G246+CEILING((DATE(crono_ano_ref,9,1)-Planos!$G246)/Planos!$E246,1)*Planos!$E246))/Planos!$E246)+1)))</f>
      </c>
      <c r="O248" s="44">
        <f>IF(OR(Planos!$A246="",NOT(ISNUMBER(Planos!$G246)),N(Planos!$E246)&lt;=0),0,IF(Planos!$G246&gt;EOMONTH(DATE(crono_ano_ref,10,1),0),0,MAX(0,INT((EOMONTH(DATE(crono_ano_ref,10,1),0)-IF(Planos!$G246&gt;=DATE(crono_ano_ref,10,1),Planos!$G246,Planos!$G246+CEILING((DATE(crono_ano_ref,10,1)-Planos!$G246)/Planos!$E246,1)*Planos!$E246))/Planos!$E246)+1)))</f>
      </c>
      <c r="P248" s="44">
        <f>IF(OR(Planos!$A246="",NOT(ISNUMBER(Planos!$G246)),N(Planos!$E246)&lt;=0),0,IF(Planos!$G246&gt;EOMONTH(DATE(crono_ano_ref,11,1),0),0,MAX(0,INT((EOMONTH(DATE(crono_ano_ref,11,1),0)-IF(Planos!$G246&gt;=DATE(crono_ano_ref,11,1),Planos!$G246,Planos!$G246+CEILING((DATE(crono_ano_ref,11,1)-Planos!$G246)/Planos!$E246,1)*Planos!$E246))/Planos!$E246)+1)))</f>
      </c>
      <c r="Q248" s="44">
        <f>IF(OR(Planos!$A246="",NOT(ISNUMBER(Planos!$G246)),N(Planos!$E246)&lt;=0),0,IF(Planos!$G246&gt;EOMONTH(DATE(crono_ano_ref,12,1),0),0,MAX(0,INT((EOMONTH(DATE(crono_ano_ref,12,1),0)-IF(Planos!$G246&gt;=DATE(crono_ano_ref,12,1),Planos!$G246,Planos!$G246+CEILING((DATE(crono_ano_ref,12,1)-Planos!$G246)/Planos!$E246,1)*Planos!$E246))/Planos!$E246)+1)))</f>
      </c>
      <c r="R248" s="44">
        <f>SUM(F248:Q248)</f>
      </c>
    </row>
    <row r="249" spans="1:18" x14ac:dyDescent="0.25">
      <c r="A249" s="24">
        <f>IF(Planos!$A247="","",Planos!A247&amp;"")</f>
      </c>
      <c r="B249" s="41">
        <f>IF(Planos!$A247="","",Planos!B247&amp;"")</f>
      </c>
      <c r="C249" s="24">
        <f>IF(Planos!$A247="","",Planos!C247&amp;"")</f>
      </c>
      <c r="D249" s="42">
        <f>IF(Planos!$A247="","",N(Planos!E247))</f>
      </c>
      <c r="E249" s="43">
        <f>IF(Planos!$A247="","",N(Planos!K247))</f>
      </c>
      <c r="F249" s="44">
        <f>IF(OR(Planos!$A247="",NOT(ISNUMBER(Planos!$G247)),N(Planos!$E247)&lt;=0),0,IF(Planos!$G247&gt;EOMONTH(DATE(crono_ano_ref,1,1),0),0,MAX(0,INT((EOMONTH(DATE(crono_ano_ref,1,1),0)-IF(Planos!$G247&gt;=DATE(crono_ano_ref,1,1),Planos!$G247,Planos!$G247+CEILING((DATE(crono_ano_ref,1,1)-Planos!$G247)/Planos!$E247,1)*Planos!$E247))/Planos!$E247)+1)))</f>
      </c>
      <c r="G249" s="44">
        <f>IF(OR(Planos!$A247="",NOT(ISNUMBER(Planos!$G247)),N(Planos!$E247)&lt;=0),0,IF(Planos!$G247&gt;EOMONTH(DATE(crono_ano_ref,2,1),0),0,MAX(0,INT((EOMONTH(DATE(crono_ano_ref,2,1),0)-IF(Planos!$G247&gt;=DATE(crono_ano_ref,2,1),Planos!$G247,Planos!$G247+CEILING((DATE(crono_ano_ref,2,1)-Planos!$G247)/Planos!$E247,1)*Planos!$E247))/Planos!$E247)+1)))</f>
      </c>
      <c r="H249" s="44">
        <f>IF(OR(Planos!$A247="",NOT(ISNUMBER(Planos!$G247)),N(Planos!$E247)&lt;=0),0,IF(Planos!$G247&gt;EOMONTH(DATE(crono_ano_ref,3,1),0),0,MAX(0,INT((EOMONTH(DATE(crono_ano_ref,3,1),0)-IF(Planos!$G247&gt;=DATE(crono_ano_ref,3,1),Planos!$G247,Planos!$G247+CEILING((DATE(crono_ano_ref,3,1)-Planos!$G247)/Planos!$E247,1)*Planos!$E247))/Planos!$E247)+1)))</f>
      </c>
      <c r="I249" s="44">
        <f>IF(OR(Planos!$A247="",NOT(ISNUMBER(Planos!$G247)),N(Planos!$E247)&lt;=0),0,IF(Planos!$G247&gt;EOMONTH(DATE(crono_ano_ref,4,1),0),0,MAX(0,INT((EOMONTH(DATE(crono_ano_ref,4,1),0)-IF(Planos!$G247&gt;=DATE(crono_ano_ref,4,1),Planos!$G247,Planos!$G247+CEILING((DATE(crono_ano_ref,4,1)-Planos!$G247)/Planos!$E247,1)*Planos!$E247))/Planos!$E247)+1)))</f>
      </c>
      <c r="J249" s="44">
        <f>IF(OR(Planos!$A247="",NOT(ISNUMBER(Planos!$G247)),N(Planos!$E247)&lt;=0),0,IF(Planos!$G247&gt;EOMONTH(DATE(crono_ano_ref,5,1),0),0,MAX(0,INT((EOMONTH(DATE(crono_ano_ref,5,1),0)-IF(Planos!$G247&gt;=DATE(crono_ano_ref,5,1),Planos!$G247,Planos!$G247+CEILING((DATE(crono_ano_ref,5,1)-Planos!$G247)/Planos!$E247,1)*Planos!$E247))/Planos!$E247)+1)))</f>
      </c>
      <c r="K249" s="44">
        <f>IF(OR(Planos!$A247="",NOT(ISNUMBER(Planos!$G247)),N(Planos!$E247)&lt;=0),0,IF(Planos!$G247&gt;EOMONTH(DATE(crono_ano_ref,6,1),0),0,MAX(0,INT((EOMONTH(DATE(crono_ano_ref,6,1),0)-IF(Planos!$G247&gt;=DATE(crono_ano_ref,6,1),Planos!$G247,Planos!$G247+CEILING((DATE(crono_ano_ref,6,1)-Planos!$G247)/Planos!$E247,1)*Planos!$E247))/Planos!$E247)+1)))</f>
      </c>
      <c r="L249" s="44">
        <f>IF(OR(Planos!$A247="",NOT(ISNUMBER(Planos!$G247)),N(Planos!$E247)&lt;=0),0,IF(Planos!$G247&gt;EOMONTH(DATE(crono_ano_ref,7,1),0),0,MAX(0,INT((EOMONTH(DATE(crono_ano_ref,7,1),0)-IF(Planos!$G247&gt;=DATE(crono_ano_ref,7,1),Planos!$G247,Planos!$G247+CEILING((DATE(crono_ano_ref,7,1)-Planos!$G247)/Planos!$E247,1)*Planos!$E247))/Planos!$E247)+1)))</f>
      </c>
      <c r="M249" s="44">
        <f>IF(OR(Planos!$A247="",NOT(ISNUMBER(Planos!$G247)),N(Planos!$E247)&lt;=0),0,IF(Planos!$G247&gt;EOMONTH(DATE(crono_ano_ref,8,1),0),0,MAX(0,INT((EOMONTH(DATE(crono_ano_ref,8,1),0)-IF(Planos!$G247&gt;=DATE(crono_ano_ref,8,1),Planos!$G247,Planos!$G247+CEILING((DATE(crono_ano_ref,8,1)-Planos!$G247)/Planos!$E247,1)*Planos!$E247))/Planos!$E247)+1)))</f>
      </c>
      <c r="N249" s="44">
        <f>IF(OR(Planos!$A247="",NOT(ISNUMBER(Planos!$G247)),N(Planos!$E247)&lt;=0),0,IF(Planos!$G247&gt;EOMONTH(DATE(crono_ano_ref,9,1),0),0,MAX(0,INT((EOMONTH(DATE(crono_ano_ref,9,1),0)-IF(Planos!$G247&gt;=DATE(crono_ano_ref,9,1),Planos!$G247,Planos!$G247+CEILING((DATE(crono_ano_ref,9,1)-Planos!$G247)/Planos!$E247,1)*Planos!$E247))/Planos!$E247)+1)))</f>
      </c>
      <c r="O249" s="44">
        <f>IF(OR(Planos!$A247="",NOT(ISNUMBER(Planos!$G247)),N(Planos!$E247)&lt;=0),0,IF(Planos!$G247&gt;EOMONTH(DATE(crono_ano_ref,10,1),0),0,MAX(0,INT((EOMONTH(DATE(crono_ano_ref,10,1),0)-IF(Planos!$G247&gt;=DATE(crono_ano_ref,10,1),Planos!$G247,Planos!$G247+CEILING((DATE(crono_ano_ref,10,1)-Planos!$G247)/Planos!$E247,1)*Planos!$E247))/Planos!$E247)+1)))</f>
      </c>
      <c r="P249" s="44">
        <f>IF(OR(Planos!$A247="",NOT(ISNUMBER(Planos!$G247)),N(Planos!$E247)&lt;=0),0,IF(Planos!$G247&gt;EOMONTH(DATE(crono_ano_ref,11,1),0),0,MAX(0,INT((EOMONTH(DATE(crono_ano_ref,11,1),0)-IF(Planos!$G247&gt;=DATE(crono_ano_ref,11,1),Planos!$G247,Planos!$G247+CEILING((DATE(crono_ano_ref,11,1)-Planos!$G247)/Planos!$E247,1)*Planos!$E247))/Planos!$E247)+1)))</f>
      </c>
      <c r="Q249" s="44">
        <f>IF(OR(Planos!$A247="",NOT(ISNUMBER(Planos!$G247)),N(Planos!$E247)&lt;=0),0,IF(Planos!$G247&gt;EOMONTH(DATE(crono_ano_ref,12,1),0),0,MAX(0,INT((EOMONTH(DATE(crono_ano_ref,12,1),0)-IF(Planos!$G247&gt;=DATE(crono_ano_ref,12,1),Planos!$G247,Planos!$G247+CEILING((DATE(crono_ano_ref,12,1)-Planos!$G247)/Planos!$E247,1)*Planos!$E247))/Planos!$E247)+1)))</f>
      </c>
      <c r="R249" s="44">
        <f>SUM(F249:Q249)</f>
      </c>
    </row>
    <row r="250" spans="1:18" x14ac:dyDescent="0.25">
      <c r="A250" s="24">
        <f>IF(Planos!$A248="","",Planos!A248&amp;"")</f>
      </c>
      <c r="B250" s="41">
        <f>IF(Planos!$A248="","",Planos!B248&amp;"")</f>
      </c>
      <c r="C250" s="24">
        <f>IF(Planos!$A248="","",Planos!C248&amp;"")</f>
      </c>
      <c r="D250" s="42">
        <f>IF(Planos!$A248="","",N(Planos!E248))</f>
      </c>
      <c r="E250" s="43">
        <f>IF(Planos!$A248="","",N(Planos!K248))</f>
      </c>
      <c r="F250" s="44">
        <f>IF(OR(Planos!$A248="",NOT(ISNUMBER(Planos!$G248)),N(Planos!$E248)&lt;=0),0,IF(Planos!$G248&gt;EOMONTH(DATE(crono_ano_ref,1,1),0),0,MAX(0,INT((EOMONTH(DATE(crono_ano_ref,1,1),0)-IF(Planos!$G248&gt;=DATE(crono_ano_ref,1,1),Planos!$G248,Planos!$G248+CEILING((DATE(crono_ano_ref,1,1)-Planos!$G248)/Planos!$E248,1)*Planos!$E248))/Planos!$E248)+1)))</f>
      </c>
      <c r="G250" s="44">
        <f>IF(OR(Planos!$A248="",NOT(ISNUMBER(Planos!$G248)),N(Planos!$E248)&lt;=0),0,IF(Planos!$G248&gt;EOMONTH(DATE(crono_ano_ref,2,1),0),0,MAX(0,INT((EOMONTH(DATE(crono_ano_ref,2,1),0)-IF(Planos!$G248&gt;=DATE(crono_ano_ref,2,1),Planos!$G248,Planos!$G248+CEILING((DATE(crono_ano_ref,2,1)-Planos!$G248)/Planos!$E248,1)*Planos!$E248))/Planos!$E248)+1)))</f>
      </c>
      <c r="H250" s="44">
        <f>IF(OR(Planos!$A248="",NOT(ISNUMBER(Planos!$G248)),N(Planos!$E248)&lt;=0),0,IF(Planos!$G248&gt;EOMONTH(DATE(crono_ano_ref,3,1),0),0,MAX(0,INT((EOMONTH(DATE(crono_ano_ref,3,1),0)-IF(Planos!$G248&gt;=DATE(crono_ano_ref,3,1),Planos!$G248,Planos!$G248+CEILING((DATE(crono_ano_ref,3,1)-Planos!$G248)/Planos!$E248,1)*Planos!$E248))/Planos!$E248)+1)))</f>
      </c>
      <c r="I250" s="44">
        <f>IF(OR(Planos!$A248="",NOT(ISNUMBER(Planos!$G248)),N(Planos!$E248)&lt;=0),0,IF(Planos!$G248&gt;EOMONTH(DATE(crono_ano_ref,4,1),0),0,MAX(0,INT((EOMONTH(DATE(crono_ano_ref,4,1),0)-IF(Planos!$G248&gt;=DATE(crono_ano_ref,4,1),Planos!$G248,Planos!$G248+CEILING((DATE(crono_ano_ref,4,1)-Planos!$G248)/Planos!$E248,1)*Planos!$E248))/Planos!$E248)+1)))</f>
      </c>
      <c r="J250" s="44">
        <f>IF(OR(Planos!$A248="",NOT(ISNUMBER(Planos!$G248)),N(Planos!$E248)&lt;=0),0,IF(Planos!$G248&gt;EOMONTH(DATE(crono_ano_ref,5,1),0),0,MAX(0,INT((EOMONTH(DATE(crono_ano_ref,5,1),0)-IF(Planos!$G248&gt;=DATE(crono_ano_ref,5,1),Planos!$G248,Planos!$G248+CEILING((DATE(crono_ano_ref,5,1)-Planos!$G248)/Planos!$E248,1)*Planos!$E248))/Planos!$E248)+1)))</f>
      </c>
      <c r="K250" s="44">
        <f>IF(OR(Planos!$A248="",NOT(ISNUMBER(Planos!$G248)),N(Planos!$E248)&lt;=0),0,IF(Planos!$G248&gt;EOMONTH(DATE(crono_ano_ref,6,1),0),0,MAX(0,INT((EOMONTH(DATE(crono_ano_ref,6,1),0)-IF(Planos!$G248&gt;=DATE(crono_ano_ref,6,1),Planos!$G248,Planos!$G248+CEILING((DATE(crono_ano_ref,6,1)-Planos!$G248)/Planos!$E248,1)*Planos!$E248))/Planos!$E248)+1)))</f>
      </c>
      <c r="L250" s="44">
        <f>IF(OR(Planos!$A248="",NOT(ISNUMBER(Planos!$G248)),N(Planos!$E248)&lt;=0),0,IF(Planos!$G248&gt;EOMONTH(DATE(crono_ano_ref,7,1),0),0,MAX(0,INT((EOMONTH(DATE(crono_ano_ref,7,1),0)-IF(Planos!$G248&gt;=DATE(crono_ano_ref,7,1),Planos!$G248,Planos!$G248+CEILING((DATE(crono_ano_ref,7,1)-Planos!$G248)/Planos!$E248,1)*Planos!$E248))/Planos!$E248)+1)))</f>
      </c>
      <c r="M250" s="44">
        <f>IF(OR(Planos!$A248="",NOT(ISNUMBER(Planos!$G248)),N(Planos!$E248)&lt;=0),0,IF(Planos!$G248&gt;EOMONTH(DATE(crono_ano_ref,8,1),0),0,MAX(0,INT((EOMONTH(DATE(crono_ano_ref,8,1),0)-IF(Planos!$G248&gt;=DATE(crono_ano_ref,8,1),Planos!$G248,Planos!$G248+CEILING((DATE(crono_ano_ref,8,1)-Planos!$G248)/Planos!$E248,1)*Planos!$E248))/Planos!$E248)+1)))</f>
      </c>
      <c r="N250" s="44">
        <f>IF(OR(Planos!$A248="",NOT(ISNUMBER(Planos!$G248)),N(Planos!$E248)&lt;=0),0,IF(Planos!$G248&gt;EOMONTH(DATE(crono_ano_ref,9,1),0),0,MAX(0,INT((EOMONTH(DATE(crono_ano_ref,9,1),0)-IF(Planos!$G248&gt;=DATE(crono_ano_ref,9,1),Planos!$G248,Planos!$G248+CEILING((DATE(crono_ano_ref,9,1)-Planos!$G248)/Planos!$E248,1)*Planos!$E248))/Planos!$E248)+1)))</f>
      </c>
      <c r="O250" s="44">
        <f>IF(OR(Planos!$A248="",NOT(ISNUMBER(Planos!$G248)),N(Planos!$E248)&lt;=0),0,IF(Planos!$G248&gt;EOMONTH(DATE(crono_ano_ref,10,1),0),0,MAX(0,INT((EOMONTH(DATE(crono_ano_ref,10,1),0)-IF(Planos!$G248&gt;=DATE(crono_ano_ref,10,1),Planos!$G248,Planos!$G248+CEILING((DATE(crono_ano_ref,10,1)-Planos!$G248)/Planos!$E248,1)*Planos!$E248))/Planos!$E248)+1)))</f>
      </c>
      <c r="P250" s="44">
        <f>IF(OR(Planos!$A248="",NOT(ISNUMBER(Planos!$G248)),N(Planos!$E248)&lt;=0),0,IF(Planos!$G248&gt;EOMONTH(DATE(crono_ano_ref,11,1),0),0,MAX(0,INT((EOMONTH(DATE(crono_ano_ref,11,1),0)-IF(Planos!$G248&gt;=DATE(crono_ano_ref,11,1),Planos!$G248,Planos!$G248+CEILING((DATE(crono_ano_ref,11,1)-Planos!$G248)/Planos!$E248,1)*Planos!$E248))/Planos!$E248)+1)))</f>
      </c>
      <c r="Q250" s="44">
        <f>IF(OR(Planos!$A248="",NOT(ISNUMBER(Planos!$G248)),N(Planos!$E248)&lt;=0),0,IF(Planos!$G248&gt;EOMONTH(DATE(crono_ano_ref,12,1),0),0,MAX(0,INT((EOMONTH(DATE(crono_ano_ref,12,1),0)-IF(Planos!$G248&gt;=DATE(crono_ano_ref,12,1),Planos!$G248,Planos!$G248+CEILING((DATE(crono_ano_ref,12,1)-Planos!$G248)/Planos!$E248,1)*Planos!$E248))/Planos!$E248)+1)))</f>
      </c>
      <c r="R250" s="44">
        <f>SUM(F250:Q250)</f>
      </c>
    </row>
    <row r="251" spans="1:18" x14ac:dyDescent="0.25">
      <c r="A251" s="24">
        <f>IF(Planos!$A249="","",Planos!A249&amp;"")</f>
      </c>
      <c r="B251" s="41">
        <f>IF(Planos!$A249="","",Planos!B249&amp;"")</f>
      </c>
      <c r="C251" s="24">
        <f>IF(Planos!$A249="","",Planos!C249&amp;"")</f>
      </c>
      <c r="D251" s="42">
        <f>IF(Planos!$A249="","",N(Planos!E249))</f>
      </c>
      <c r="E251" s="43">
        <f>IF(Planos!$A249="","",N(Planos!K249))</f>
      </c>
      <c r="F251" s="44">
        <f>IF(OR(Planos!$A249="",NOT(ISNUMBER(Planos!$G249)),N(Planos!$E249)&lt;=0),0,IF(Planos!$G249&gt;EOMONTH(DATE(crono_ano_ref,1,1),0),0,MAX(0,INT((EOMONTH(DATE(crono_ano_ref,1,1),0)-IF(Planos!$G249&gt;=DATE(crono_ano_ref,1,1),Planos!$G249,Planos!$G249+CEILING((DATE(crono_ano_ref,1,1)-Planos!$G249)/Planos!$E249,1)*Planos!$E249))/Planos!$E249)+1)))</f>
      </c>
      <c r="G251" s="44">
        <f>IF(OR(Planos!$A249="",NOT(ISNUMBER(Planos!$G249)),N(Planos!$E249)&lt;=0),0,IF(Planos!$G249&gt;EOMONTH(DATE(crono_ano_ref,2,1),0),0,MAX(0,INT((EOMONTH(DATE(crono_ano_ref,2,1),0)-IF(Planos!$G249&gt;=DATE(crono_ano_ref,2,1),Planos!$G249,Planos!$G249+CEILING((DATE(crono_ano_ref,2,1)-Planos!$G249)/Planos!$E249,1)*Planos!$E249))/Planos!$E249)+1)))</f>
      </c>
      <c r="H251" s="44">
        <f>IF(OR(Planos!$A249="",NOT(ISNUMBER(Planos!$G249)),N(Planos!$E249)&lt;=0),0,IF(Planos!$G249&gt;EOMONTH(DATE(crono_ano_ref,3,1),0),0,MAX(0,INT((EOMONTH(DATE(crono_ano_ref,3,1),0)-IF(Planos!$G249&gt;=DATE(crono_ano_ref,3,1),Planos!$G249,Planos!$G249+CEILING((DATE(crono_ano_ref,3,1)-Planos!$G249)/Planos!$E249,1)*Planos!$E249))/Planos!$E249)+1)))</f>
      </c>
      <c r="I251" s="44">
        <f>IF(OR(Planos!$A249="",NOT(ISNUMBER(Planos!$G249)),N(Planos!$E249)&lt;=0),0,IF(Planos!$G249&gt;EOMONTH(DATE(crono_ano_ref,4,1),0),0,MAX(0,INT((EOMONTH(DATE(crono_ano_ref,4,1),0)-IF(Planos!$G249&gt;=DATE(crono_ano_ref,4,1),Planos!$G249,Planos!$G249+CEILING((DATE(crono_ano_ref,4,1)-Planos!$G249)/Planos!$E249,1)*Planos!$E249))/Planos!$E249)+1)))</f>
      </c>
      <c r="J251" s="44">
        <f>IF(OR(Planos!$A249="",NOT(ISNUMBER(Planos!$G249)),N(Planos!$E249)&lt;=0),0,IF(Planos!$G249&gt;EOMONTH(DATE(crono_ano_ref,5,1),0),0,MAX(0,INT((EOMONTH(DATE(crono_ano_ref,5,1),0)-IF(Planos!$G249&gt;=DATE(crono_ano_ref,5,1),Planos!$G249,Planos!$G249+CEILING((DATE(crono_ano_ref,5,1)-Planos!$G249)/Planos!$E249,1)*Planos!$E249))/Planos!$E249)+1)))</f>
      </c>
      <c r="K251" s="44">
        <f>IF(OR(Planos!$A249="",NOT(ISNUMBER(Planos!$G249)),N(Planos!$E249)&lt;=0),0,IF(Planos!$G249&gt;EOMONTH(DATE(crono_ano_ref,6,1),0),0,MAX(0,INT((EOMONTH(DATE(crono_ano_ref,6,1),0)-IF(Planos!$G249&gt;=DATE(crono_ano_ref,6,1),Planos!$G249,Planos!$G249+CEILING((DATE(crono_ano_ref,6,1)-Planos!$G249)/Planos!$E249,1)*Planos!$E249))/Planos!$E249)+1)))</f>
      </c>
      <c r="L251" s="44">
        <f>IF(OR(Planos!$A249="",NOT(ISNUMBER(Planos!$G249)),N(Planos!$E249)&lt;=0),0,IF(Planos!$G249&gt;EOMONTH(DATE(crono_ano_ref,7,1),0),0,MAX(0,INT((EOMONTH(DATE(crono_ano_ref,7,1),0)-IF(Planos!$G249&gt;=DATE(crono_ano_ref,7,1),Planos!$G249,Planos!$G249+CEILING((DATE(crono_ano_ref,7,1)-Planos!$G249)/Planos!$E249,1)*Planos!$E249))/Planos!$E249)+1)))</f>
      </c>
      <c r="M251" s="44">
        <f>IF(OR(Planos!$A249="",NOT(ISNUMBER(Planos!$G249)),N(Planos!$E249)&lt;=0),0,IF(Planos!$G249&gt;EOMONTH(DATE(crono_ano_ref,8,1),0),0,MAX(0,INT((EOMONTH(DATE(crono_ano_ref,8,1),0)-IF(Planos!$G249&gt;=DATE(crono_ano_ref,8,1),Planos!$G249,Planos!$G249+CEILING((DATE(crono_ano_ref,8,1)-Planos!$G249)/Planos!$E249,1)*Planos!$E249))/Planos!$E249)+1)))</f>
      </c>
      <c r="N251" s="44">
        <f>IF(OR(Planos!$A249="",NOT(ISNUMBER(Planos!$G249)),N(Planos!$E249)&lt;=0),0,IF(Planos!$G249&gt;EOMONTH(DATE(crono_ano_ref,9,1),0),0,MAX(0,INT((EOMONTH(DATE(crono_ano_ref,9,1),0)-IF(Planos!$G249&gt;=DATE(crono_ano_ref,9,1),Planos!$G249,Planos!$G249+CEILING((DATE(crono_ano_ref,9,1)-Planos!$G249)/Planos!$E249,1)*Planos!$E249))/Planos!$E249)+1)))</f>
      </c>
      <c r="O251" s="44">
        <f>IF(OR(Planos!$A249="",NOT(ISNUMBER(Planos!$G249)),N(Planos!$E249)&lt;=0),0,IF(Planos!$G249&gt;EOMONTH(DATE(crono_ano_ref,10,1),0),0,MAX(0,INT((EOMONTH(DATE(crono_ano_ref,10,1),0)-IF(Planos!$G249&gt;=DATE(crono_ano_ref,10,1),Planos!$G249,Planos!$G249+CEILING((DATE(crono_ano_ref,10,1)-Planos!$G249)/Planos!$E249,1)*Planos!$E249))/Planos!$E249)+1)))</f>
      </c>
      <c r="P251" s="44">
        <f>IF(OR(Planos!$A249="",NOT(ISNUMBER(Planos!$G249)),N(Planos!$E249)&lt;=0),0,IF(Planos!$G249&gt;EOMONTH(DATE(crono_ano_ref,11,1),0),0,MAX(0,INT((EOMONTH(DATE(crono_ano_ref,11,1),0)-IF(Planos!$G249&gt;=DATE(crono_ano_ref,11,1),Planos!$G249,Planos!$G249+CEILING((DATE(crono_ano_ref,11,1)-Planos!$G249)/Planos!$E249,1)*Planos!$E249))/Planos!$E249)+1)))</f>
      </c>
      <c r="Q251" s="44">
        <f>IF(OR(Planos!$A249="",NOT(ISNUMBER(Planos!$G249)),N(Planos!$E249)&lt;=0),0,IF(Planos!$G249&gt;EOMONTH(DATE(crono_ano_ref,12,1),0),0,MAX(0,INT((EOMONTH(DATE(crono_ano_ref,12,1),0)-IF(Planos!$G249&gt;=DATE(crono_ano_ref,12,1),Planos!$G249,Planos!$G249+CEILING((DATE(crono_ano_ref,12,1)-Planos!$G249)/Planos!$E249,1)*Planos!$E249))/Planos!$E249)+1)))</f>
      </c>
      <c r="R251" s="44">
        <f>SUM(F251:Q251)</f>
      </c>
    </row>
    <row r="252" spans="1:18" x14ac:dyDescent="0.25">
      <c r="A252" s="24">
        <f>IF(Planos!$A250="","",Planos!A250&amp;"")</f>
      </c>
      <c r="B252" s="41">
        <f>IF(Planos!$A250="","",Planos!B250&amp;"")</f>
      </c>
      <c r="C252" s="24">
        <f>IF(Planos!$A250="","",Planos!C250&amp;"")</f>
      </c>
      <c r="D252" s="42">
        <f>IF(Planos!$A250="","",N(Planos!E250))</f>
      </c>
      <c r="E252" s="43">
        <f>IF(Planos!$A250="","",N(Planos!K250))</f>
      </c>
      <c r="F252" s="44">
        <f>IF(OR(Planos!$A250="",NOT(ISNUMBER(Planos!$G250)),N(Planos!$E250)&lt;=0),0,IF(Planos!$G250&gt;EOMONTH(DATE(crono_ano_ref,1,1),0),0,MAX(0,INT((EOMONTH(DATE(crono_ano_ref,1,1),0)-IF(Planos!$G250&gt;=DATE(crono_ano_ref,1,1),Planos!$G250,Planos!$G250+CEILING((DATE(crono_ano_ref,1,1)-Planos!$G250)/Planos!$E250,1)*Planos!$E250))/Planos!$E250)+1)))</f>
      </c>
      <c r="G252" s="44">
        <f>IF(OR(Planos!$A250="",NOT(ISNUMBER(Planos!$G250)),N(Planos!$E250)&lt;=0),0,IF(Planos!$G250&gt;EOMONTH(DATE(crono_ano_ref,2,1),0),0,MAX(0,INT((EOMONTH(DATE(crono_ano_ref,2,1),0)-IF(Planos!$G250&gt;=DATE(crono_ano_ref,2,1),Planos!$G250,Planos!$G250+CEILING((DATE(crono_ano_ref,2,1)-Planos!$G250)/Planos!$E250,1)*Planos!$E250))/Planos!$E250)+1)))</f>
      </c>
      <c r="H252" s="44">
        <f>IF(OR(Planos!$A250="",NOT(ISNUMBER(Planos!$G250)),N(Planos!$E250)&lt;=0),0,IF(Planos!$G250&gt;EOMONTH(DATE(crono_ano_ref,3,1),0),0,MAX(0,INT((EOMONTH(DATE(crono_ano_ref,3,1),0)-IF(Planos!$G250&gt;=DATE(crono_ano_ref,3,1),Planos!$G250,Planos!$G250+CEILING((DATE(crono_ano_ref,3,1)-Planos!$G250)/Planos!$E250,1)*Planos!$E250))/Planos!$E250)+1)))</f>
      </c>
      <c r="I252" s="44">
        <f>IF(OR(Planos!$A250="",NOT(ISNUMBER(Planos!$G250)),N(Planos!$E250)&lt;=0),0,IF(Planos!$G250&gt;EOMONTH(DATE(crono_ano_ref,4,1),0),0,MAX(0,INT((EOMONTH(DATE(crono_ano_ref,4,1),0)-IF(Planos!$G250&gt;=DATE(crono_ano_ref,4,1),Planos!$G250,Planos!$G250+CEILING((DATE(crono_ano_ref,4,1)-Planos!$G250)/Planos!$E250,1)*Planos!$E250))/Planos!$E250)+1)))</f>
      </c>
      <c r="J252" s="44">
        <f>IF(OR(Planos!$A250="",NOT(ISNUMBER(Planos!$G250)),N(Planos!$E250)&lt;=0),0,IF(Planos!$G250&gt;EOMONTH(DATE(crono_ano_ref,5,1),0),0,MAX(0,INT((EOMONTH(DATE(crono_ano_ref,5,1),0)-IF(Planos!$G250&gt;=DATE(crono_ano_ref,5,1),Planos!$G250,Planos!$G250+CEILING((DATE(crono_ano_ref,5,1)-Planos!$G250)/Planos!$E250,1)*Planos!$E250))/Planos!$E250)+1)))</f>
      </c>
      <c r="K252" s="44">
        <f>IF(OR(Planos!$A250="",NOT(ISNUMBER(Planos!$G250)),N(Planos!$E250)&lt;=0),0,IF(Planos!$G250&gt;EOMONTH(DATE(crono_ano_ref,6,1),0),0,MAX(0,INT((EOMONTH(DATE(crono_ano_ref,6,1),0)-IF(Planos!$G250&gt;=DATE(crono_ano_ref,6,1),Planos!$G250,Planos!$G250+CEILING((DATE(crono_ano_ref,6,1)-Planos!$G250)/Planos!$E250,1)*Planos!$E250))/Planos!$E250)+1)))</f>
      </c>
      <c r="L252" s="44">
        <f>IF(OR(Planos!$A250="",NOT(ISNUMBER(Planos!$G250)),N(Planos!$E250)&lt;=0),0,IF(Planos!$G250&gt;EOMONTH(DATE(crono_ano_ref,7,1),0),0,MAX(0,INT((EOMONTH(DATE(crono_ano_ref,7,1),0)-IF(Planos!$G250&gt;=DATE(crono_ano_ref,7,1),Planos!$G250,Planos!$G250+CEILING((DATE(crono_ano_ref,7,1)-Planos!$G250)/Planos!$E250,1)*Planos!$E250))/Planos!$E250)+1)))</f>
      </c>
      <c r="M252" s="44">
        <f>IF(OR(Planos!$A250="",NOT(ISNUMBER(Planos!$G250)),N(Planos!$E250)&lt;=0),0,IF(Planos!$G250&gt;EOMONTH(DATE(crono_ano_ref,8,1),0),0,MAX(0,INT((EOMONTH(DATE(crono_ano_ref,8,1),0)-IF(Planos!$G250&gt;=DATE(crono_ano_ref,8,1),Planos!$G250,Planos!$G250+CEILING((DATE(crono_ano_ref,8,1)-Planos!$G250)/Planos!$E250,1)*Planos!$E250))/Planos!$E250)+1)))</f>
      </c>
      <c r="N252" s="44">
        <f>IF(OR(Planos!$A250="",NOT(ISNUMBER(Planos!$G250)),N(Planos!$E250)&lt;=0),0,IF(Planos!$G250&gt;EOMONTH(DATE(crono_ano_ref,9,1),0),0,MAX(0,INT((EOMONTH(DATE(crono_ano_ref,9,1),0)-IF(Planos!$G250&gt;=DATE(crono_ano_ref,9,1),Planos!$G250,Planos!$G250+CEILING((DATE(crono_ano_ref,9,1)-Planos!$G250)/Planos!$E250,1)*Planos!$E250))/Planos!$E250)+1)))</f>
      </c>
      <c r="O252" s="44">
        <f>IF(OR(Planos!$A250="",NOT(ISNUMBER(Planos!$G250)),N(Planos!$E250)&lt;=0),0,IF(Planos!$G250&gt;EOMONTH(DATE(crono_ano_ref,10,1),0),0,MAX(0,INT((EOMONTH(DATE(crono_ano_ref,10,1),0)-IF(Planos!$G250&gt;=DATE(crono_ano_ref,10,1),Planos!$G250,Planos!$G250+CEILING((DATE(crono_ano_ref,10,1)-Planos!$G250)/Planos!$E250,1)*Planos!$E250))/Planos!$E250)+1)))</f>
      </c>
      <c r="P252" s="44">
        <f>IF(OR(Planos!$A250="",NOT(ISNUMBER(Planos!$G250)),N(Planos!$E250)&lt;=0),0,IF(Planos!$G250&gt;EOMONTH(DATE(crono_ano_ref,11,1),0),0,MAX(0,INT((EOMONTH(DATE(crono_ano_ref,11,1),0)-IF(Planos!$G250&gt;=DATE(crono_ano_ref,11,1),Planos!$G250,Planos!$G250+CEILING((DATE(crono_ano_ref,11,1)-Planos!$G250)/Planos!$E250,1)*Planos!$E250))/Planos!$E250)+1)))</f>
      </c>
      <c r="Q252" s="44">
        <f>IF(OR(Planos!$A250="",NOT(ISNUMBER(Planos!$G250)),N(Planos!$E250)&lt;=0),0,IF(Planos!$G250&gt;EOMONTH(DATE(crono_ano_ref,12,1),0),0,MAX(0,INT((EOMONTH(DATE(crono_ano_ref,12,1),0)-IF(Planos!$G250&gt;=DATE(crono_ano_ref,12,1),Planos!$G250,Planos!$G250+CEILING((DATE(crono_ano_ref,12,1)-Planos!$G250)/Planos!$E250,1)*Planos!$E250))/Planos!$E250)+1)))</f>
      </c>
      <c r="R252" s="44">
        <f>SUM(F252:Q252)</f>
      </c>
    </row>
    <row r="253" spans="1:18" x14ac:dyDescent="0.25">
      <c r="A253" s="24">
        <f>IF(Planos!$A251="","",Planos!A251&amp;"")</f>
      </c>
      <c r="B253" s="41">
        <f>IF(Planos!$A251="","",Planos!B251&amp;"")</f>
      </c>
      <c r="C253" s="24">
        <f>IF(Planos!$A251="","",Planos!C251&amp;"")</f>
      </c>
      <c r="D253" s="42">
        <f>IF(Planos!$A251="","",N(Planos!E251))</f>
      </c>
      <c r="E253" s="43">
        <f>IF(Planos!$A251="","",N(Planos!K251))</f>
      </c>
      <c r="F253" s="44">
        <f>IF(OR(Planos!$A251="",NOT(ISNUMBER(Planos!$G251)),N(Planos!$E251)&lt;=0),0,IF(Planos!$G251&gt;EOMONTH(DATE(crono_ano_ref,1,1),0),0,MAX(0,INT((EOMONTH(DATE(crono_ano_ref,1,1),0)-IF(Planos!$G251&gt;=DATE(crono_ano_ref,1,1),Planos!$G251,Planos!$G251+CEILING((DATE(crono_ano_ref,1,1)-Planos!$G251)/Planos!$E251,1)*Planos!$E251))/Planos!$E251)+1)))</f>
      </c>
      <c r="G253" s="44">
        <f>IF(OR(Planos!$A251="",NOT(ISNUMBER(Planos!$G251)),N(Planos!$E251)&lt;=0),0,IF(Planos!$G251&gt;EOMONTH(DATE(crono_ano_ref,2,1),0),0,MAX(0,INT((EOMONTH(DATE(crono_ano_ref,2,1),0)-IF(Planos!$G251&gt;=DATE(crono_ano_ref,2,1),Planos!$G251,Planos!$G251+CEILING((DATE(crono_ano_ref,2,1)-Planos!$G251)/Planos!$E251,1)*Planos!$E251))/Planos!$E251)+1)))</f>
      </c>
      <c r="H253" s="44">
        <f>IF(OR(Planos!$A251="",NOT(ISNUMBER(Planos!$G251)),N(Planos!$E251)&lt;=0),0,IF(Planos!$G251&gt;EOMONTH(DATE(crono_ano_ref,3,1),0),0,MAX(0,INT((EOMONTH(DATE(crono_ano_ref,3,1),0)-IF(Planos!$G251&gt;=DATE(crono_ano_ref,3,1),Planos!$G251,Planos!$G251+CEILING((DATE(crono_ano_ref,3,1)-Planos!$G251)/Planos!$E251,1)*Planos!$E251))/Planos!$E251)+1)))</f>
      </c>
      <c r="I253" s="44">
        <f>IF(OR(Planos!$A251="",NOT(ISNUMBER(Planos!$G251)),N(Planos!$E251)&lt;=0),0,IF(Planos!$G251&gt;EOMONTH(DATE(crono_ano_ref,4,1),0),0,MAX(0,INT((EOMONTH(DATE(crono_ano_ref,4,1),0)-IF(Planos!$G251&gt;=DATE(crono_ano_ref,4,1),Planos!$G251,Planos!$G251+CEILING((DATE(crono_ano_ref,4,1)-Planos!$G251)/Planos!$E251,1)*Planos!$E251))/Planos!$E251)+1)))</f>
      </c>
      <c r="J253" s="44">
        <f>IF(OR(Planos!$A251="",NOT(ISNUMBER(Planos!$G251)),N(Planos!$E251)&lt;=0),0,IF(Planos!$G251&gt;EOMONTH(DATE(crono_ano_ref,5,1),0),0,MAX(0,INT((EOMONTH(DATE(crono_ano_ref,5,1),0)-IF(Planos!$G251&gt;=DATE(crono_ano_ref,5,1),Planos!$G251,Planos!$G251+CEILING((DATE(crono_ano_ref,5,1)-Planos!$G251)/Planos!$E251,1)*Planos!$E251))/Planos!$E251)+1)))</f>
      </c>
      <c r="K253" s="44">
        <f>IF(OR(Planos!$A251="",NOT(ISNUMBER(Planos!$G251)),N(Planos!$E251)&lt;=0),0,IF(Planos!$G251&gt;EOMONTH(DATE(crono_ano_ref,6,1),0),0,MAX(0,INT((EOMONTH(DATE(crono_ano_ref,6,1),0)-IF(Planos!$G251&gt;=DATE(crono_ano_ref,6,1),Planos!$G251,Planos!$G251+CEILING((DATE(crono_ano_ref,6,1)-Planos!$G251)/Planos!$E251,1)*Planos!$E251))/Planos!$E251)+1)))</f>
      </c>
      <c r="L253" s="44">
        <f>IF(OR(Planos!$A251="",NOT(ISNUMBER(Planos!$G251)),N(Planos!$E251)&lt;=0),0,IF(Planos!$G251&gt;EOMONTH(DATE(crono_ano_ref,7,1),0),0,MAX(0,INT((EOMONTH(DATE(crono_ano_ref,7,1),0)-IF(Planos!$G251&gt;=DATE(crono_ano_ref,7,1),Planos!$G251,Planos!$G251+CEILING((DATE(crono_ano_ref,7,1)-Planos!$G251)/Planos!$E251,1)*Planos!$E251))/Planos!$E251)+1)))</f>
      </c>
      <c r="M253" s="44">
        <f>IF(OR(Planos!$A251="",NOT(ISNUMBER(Planos!$G251)),N(Planos!$E251)&lt;=0),0,IF(Planos!$G251&gt;EOMONTH(DATE(crono_ano_ref,8,1),0),0,MAX(0,INT((EOMONTH(DATE(crono_ano_ref,8,1),0)-IF(Planos!$G251&gt;=DATE(crono_ano_ref,8,1),Planos!$G251,Planos!$G251+CEILING((DATE(crono_ano_ref,8,1)-Planos!$G251)/Planos!$E251,1)*Planos!$E251))/Planos!$E251)+1)))</f>
      </c>
      <c r="N253" s="44">
        <f>IF(OR(Planos!$A251="",NOT(ISNUMBER(Planos!$G251)),N(Planos!$E251)&lt;=0),0,IF(Planos!$G251&gt;EOMONTH(DATE(crono_ano_ref,9,1),0),0,MAX(0,INT((EOMONTH(DATE(crono_ano_ref,9,1),0)-IF(Planos!$G251&gt;=DATE(crono_ano_ref,9,1),Planos!$G251,Planos!$G251+CEILING((DATE(crono_ano_ref,9,1)-Planos!$G251)/Planos!$E251,1)*Planos!$E251))/Planos!$E251)+1)))</f>
      </c>
      <c r="O253" s="44">
        <f>IF(OR(Planos!$A251="",NOT(ISNUMBER(Planos!$G251)),N(Planos!$E251)&lt;=0),0,IF(Planos!$G251&gt;EOMONTH(DATE(crono_ano_ref,10,1),0),0,MAX(0,INT((EOMONTH(DATE(crono_ano_ref,10,1),0)-IF(Planos!$G251&gt;=DATE(crono_ano_ref,10,1),Planos!$G251,Planos!$G251+CEILING((DATE(crono_ano_ref,10,1)-Planos!$G251)/Planos!$E251,1)*Planos!$E251))/Planos!$E251)+1)))</f>
      </c>
      <c r="P253" s="44">
        <f>IF(OR(Planos!$A251="",NOT(ISNUMBER(Planos!$G251)),N(Planos!$E251)&lt;=0),0,IF(Planos!$G251&gt;EOMONTH(DATE(crono_ano_ref,11,1),0),0,MAX(0,INT((EOMONTH(DATE(crono_ano_ref,11,1),0)-IF(Planos!$G251&gt;=DATE(crono_ano_ref,11,1),Planos!$G251,Planos!$G251+CEILING((DATE(crono_ano_ref,11,1)-Planos!$G251)/Planos!$E251,1)*Planos!$E251))/Planos!$E251)+1)))</f>
      </c>
      <c r="Q253" s="44">
        <f>IF(OR(Planos!$A251="",NOT(ISNUMBER(Planos!$G251)),N(Planos!$E251)&lt;=0),0,IF(Planos!$G251&gt;EOMONTH(DATE(crono_ano_ref,12,1),0),0,MAX(0,INT((EOMONTH(DATE(crono_ano_ref,12,1),0)-IF(Planos!$G251&gt;=DATE(crono_ano_ref,12,1),Planos!$G251,Planos!$G251+CEILING((DATE(crono_ano_ref,12,1)-Planos!$G251)/Planos!$E251,1)*Planos!$E251))/Planos!$E251)+1)))</f>
      </c>
      <c r="R253" s="44">
        <f>SUM(F253:Q253)</f>
      </c>
    </row>
    <row r="254" spans="1:18" x14ac:dyDescent="0.25">
      <c r="A254" s="24">
        <f>IF(Planos!$A252="","",Planos!A252&amp;"")</f>
      </c>
      <c r="B254" s="41">
        <f>IF(Planos!$A252="","",Planos!B252&amp;"")</f>
      </c>
      <c r="C254" s="24">
        <f>IF(Planos!$A252="","",Planos!C252&amp;"")</f>
      </c>
      <c r="D254" s="42">
        <f>IF(Planos!$A252="","",N(Planos!E252))</f>
      </c>
      <c r="E254" s="43">
        <f>IF(Planos!$A252="","",N(Planos!K252))</f>
      </c>
      <c r="F254" s="44">
        <f>IF(OR(Planos!$A252="",NOT(ISNUMBER(Planos!$G252)),N(Planos!$E252)&lt;=0),0,IF(Planos!$G252&gt;EOMONTH(DATE(crono_ano_ref,1,1),0),0,MAX(0,INT((EOMONTH(DATE(crono_ano_ref,1,1),0)-IF(Planos!$G252&gt;=DATE(crono_ano_ref,1,1),Planos!$G252,Planos!$G252+CEILING((DATE(crono_ano_ref,1,1)-Planos!$G252)/Planos!$E252,1)*Planos!$E252))/Planos!$E252)+1)))</f>
      </c>
      <c r="G254" s="44">
        <f>IF(OR(Planos!$A252="",NOT(ISNUMBER(Planos!$G252)),N(Planos!$E252)&lt;=0),0,IF(Planos!$G252&gt;EOMONTH(DATE(crono_ano_ref,2,1),0),0,MAX(0,INT((EOMONTH(DATE(crono_ano_ref,2,1),0)-IF(Planos!$G252&gt;=DATE(crono_ano_ref,2,1),Planos!$G252,Planos!$G252+CEILING((DATE(crono_ano_ref,2,1)-Planos!$G252)/Planos!$E252,1)*Planos!$E252))/Planos!$E252)+1)))</f>
      </c>
      <c r="H254" s="44">
        <f>IF(OR(Planos!$A252="",NOT(ISNUMBER(Planos!$G252)),N(Planos!$E252)&lt;=0),0,IF(Planos!$G252&gt;EOMONTH(DATE(crono_ano_ref,3,1),0),0,MAX(0,INT((EOMONTH(DATE(crono_ano_ref,3,1),0)-IF(Planos!$G252&gt;=DATE(crono_ano_ref,3,1),Planos!$G252,Planos!$G252+CEILING((DATE(crono_ano_ref,3,1)-Planos!$G252)/Planos!$E252,1)*Planos!$E252))/Planos!$E252)+1)))</f>
      </c>
      <c r="I254" s="44">
        <f>IF(OR(Planos!$A252="",NOT(ISNUMBER(Planos!$G252)),N(Planos!$E252)&lt;=0),0,IF(Planos!$G252&gt;EOMONTH(DATE(crono_ano_ref,4,1),0),0,MAX(0,INT((EOMONTH(DATE(crono_ano_ref,4,1),0)-IF(Planos!$G252&gt;=DATE(crono_ano_ref,4,1),Planos!$G252,Planos!$G252+CEILING((DATE(crono_ano_ref,4,1)-Planos!$G252)/Planos!$E252,1)*Planos!$E252))/Planos!$E252)+1)))</f>
      </c>
      <c r="J254" s="44">
        <f>IF(OR(Planos!$A252="",NOT(ISNUMBER(Planos!$G252)),N(Planos!$E252)&lt;=0),0,IF(Planos!$G252&gt;EOMONTH(DATE(crono_ano_ref,5,1),0),0,MAX(0,INT((EOMONTH(DATE(crono_ano_ref,5,1),0)-IF(Planos!$G252&gt;=DATE(crono_ano_ref,5,1),Planos!$G252,Planos!$G252+CEILING((DATE(crono_ano_ref,5,1)-Planos!$G252)/Planos!$E252,1)*Planos!$E252))/Planos!$E252)+1)))</f>
      </c>
      <c r="K254" s="44">
        <f>IF(OR(Planos!$A252="",NOT(ISNUMBER(Planos!$G252)),N(Planos!$E252)&lt;=0),0,IF(Planos!$G252&gt;EOMONTH(DATE(crono_ano_ref,6,1),0),0,MAX(0,INT((EOMONTH(DATE(crono_ano_ref,6,1),0)-IF(Planos!$G252&gt;=DATE(crono_ano_ref,6,1),Planos!$G252,Planos!$G252+CEILING((DATE(crono_ano_ref,6,1)-Planos!$G252)/Planos!$E252,1)*Planos!$E252))/Planos!$E252)+1)))</f>
      </c>
      <c r="L254" s="44">
        <f>IF(OR(Planos!$A252="",NOT(ISNUMBER(Planos!$G252)),N(Planos!$E252)&lt;=0),0,IF(Planos!$G252&gt;EOMONTH(DATE(crono_ano_ref,7,1),0),0,MAX(0,INT((EOMONTH(DATE(crono_ano_ref,7,1),0)-IF(Planos!$G252&gt;=DATE(crono_ano_ref,7,1),Planos!$G252,Planos!$G252+CEILING((DATE(crono_ano_ref,7,1)-Planos!$G252)/Planos!$E252,1)*Planos!$E252))/Planos!$E252)+1)))</f>
      </c>
      <c r="M254" s="44">
        <f>IF(OR(Planos!$A252="",NOT(ISNUMBER(Planos!$G252)),N(Planos!$E252)&lt;=0),0,IF(Planos!$G252&gt;EOMONTH(DATE(crono_ano_ref,8,1),0),0,MAX(0,INT((EOMONTH(DATE(crono_ano_ref,8,1),0)-IF(Planos!$G252&gt;=DATE(crono_ano_ref,8,1),Planos!$G252,Planos!$G252+CEILING((DATE(crono_ano_ref,8,1)-Planos!$G252)/Planos!$E252,1)*Planos!$E252))/Planos!$E252)+1)))</f>
      </c>
      <c r="N254" s="44">
        <f>IF(OR(Planos!$A252="",NOT(ISNUMBER(Planos!$G252)),N(Planos!$E252)&lt;=0),0,IF(Planos!$G252&gt;EOMONTH(DATE(crono_ano_ref,9,1),0),0,MAX(0,INT((EOMONTH(DATE(crono_ano_ref,9,1),0)-IF(Planos!$G252&gt;=DATE(crono_ano_ref,9,1),Planos!$G252,Planos!$G252+CEILING((DATE(crono_ano_ref,9,1)-Planos!$G252)/Planos!$E252,1)*Planos!$E252))/Planos!$E252)+1)))</f>
      </c>
      <c r="O254" s="44">
        <f>IF(OR(Planos!$A252="",NOT(ISNUMBER(Planos!$G252)),N(Planos!$E252)&lt;=0),0,IF(Planos!$G252&gt;EOMONTH(DATE(crono_ano_ref,10,1),0),0,MAX(0,INT((EOMONTH(DATE(crono_ano_ref,10,1),0)-IF(Planos!$G252&gt;=DATE(crono_ano_ref,10,1),Planos!$G252,Planos!$G252+CEILING((DATE(crono_ano_ref,10,1)-Planos!$G252)/Planos!$E252,1)*Planos!$E252))/Planos!$E252)+1)))</f>
      </c>
      <c r="P254" s="44">
        <f>IF(OR(Planos!$A252="",NOT(ISNUMBER(Planos!$G252)),N(Planos!$E252)&lt;=0),0,IF(Planos!$G252&gt;EOMONTH(DATE(crono_ano_ref,11,1),0),0,MAX(0,INT((EOMONTH(DATE(crono_ano_ref,11,1),0)-IF(Planos!$G252&gt;=DATE(crono_ano_ref,11,1),Planos!$G252,Planos!$G252+CEILING((DATE(crono_ano_ref,11,1)-Planos!$G252)/Planos!$E252,1)*Planos!$E252))/Planos!$E252)+1)))</f>
      </c>
      <c r="Q254" s="44">
        <f>IF(OR(Planos!$A252="",NOT(ISNUMBER(Planos!$G252)),N(Planos!$E252)&lt;=0),0,IF(Planos!$G252&gt;EOMONTH(DATE(crono_ano_ref,12,1),0),0,MAX(0,INT((EOMONTH(DATE(crono_ano_ref,12,1),0)-IF(Planos!$G252&gt;=DATE(crono_ano_ref,12,1),Planos!$G252,Planos!$G252+CEILING((DATE(crono_ano_ref,12,1)-Planos!$G252)/Planos!$E252,1)*Planos!$E252))/Planos!$E252)+1)))</f>
      </c>
      <c r="R254" s="44">
        <f>SUM(F254:Q254)</f>
      </c>
    </row>
    <row r="255" spans="1:18" x14ac:dyDescent="0.25">
      <c r="A255" s="24">
        <f>IF(Planos!$A253="","",Planos!A253&amp;"")</f>
      </c>
      <c r="B255" s="41">
        <f>IF(Planos!$A253="","",Planos!B253&amp;"")</f>
      </c>
      <c r="C255" s="24">
        <f>IF(Planos!$A253="","",Planos!C253&amp;"")</f>
      </c>
      <c r="D255" s="42">
        <f>IF(Planos!$A253="","",N(Planos!E253))</f>
      </c>
      <c r="E255" s="43">
        <f>IF(Planos!$A253="","",N(Planos!K253))</f>
      </c>
      <c r="F255" s="44">
        <f>IF(OR(Planos!$A253="",NOT(ISNUMBER(Planos!$G253)),N(Planos!$E253)&lt;=0),0,IF(Planos!$G253&gt;EOMONTH(DATE(crono_ano_ref,1,1),0),0,MAX(0,INT((EOMONTH(DATE(crono_ano_ref,1,1),0)-IF(Planos!$G253&gt;=DATE(crono_ano_ref,1,1),Planos!$G253,Planos!$G253+CEILING((DATE(crono_ano_ref,1,1)-Planos!$G253)/Planos!$E253,1)*Planos!$E253))/Planos!$E253)+1)))</f>
      </c>
      <c r="G255" s="44">
        <f>IF(OR(Planos!$A253="",NOT(ISNUMBER(Planos!$G253)),N(Planos!$E253)&lt;=0),0,IF(Planos!$G253&gt;EOMONTH(DATE(crono_ano_ref,2,1),0),0,MAX(0,INT((EOMONTH(DATE(crono_ano_ref,2,1),0)-IF(Planos!$G253&gt;=DATE(crono_ano_ref,2,1),Planos!$G253,Planos!$G253+CEILING((DATE(crono_ano_ref,2,1)-Planos!$G253)/Planos!$E253,1)*Planos!$E253))/Planos!$E253)+1)))</f>
      </c>
      <c r="H255" s="44">
        <f>IF(OR(Planos!$A253="",NOT(ISNUMBER(Planos!$G253)),N(Planos!$E253)&lt;=0),0,IF(Planos!$G253&gt;EOMONTH(DATE(crono_ano_ref,3,1),0),0,MAX(0,INT((EOMONTH(DATE(crono_ano_ref,3,1),0)-IF(Planos!$G253&gt;=DATE(crono_ano_ref,3,1),Planos!$G253,Planos!$G253+CEILING((DATE(crono_ano_ref,3,1)-Planos!$G253)/Planos!$E253,1)*Planos!$E253))/Planos!$E253)+1)))</f>
      </c>
      <c r="I255" s="44">
        <f>IF(OR(Planos!$A253="",NOT(ISNUMBER(Planos!$G253)),N(Planos!$E253)&lt;=0),0,IF(Planos!$G253&gt;EOMONTH(DATE(crono_ano_ref,4,1),0),0,MAX(0,INT((EOMONTH(DATE(crono_ano_ref,4,1),0)-IF(Planos!$G253&gt;=DATE(crono_ano_ref,4,1),Planos!$G253,Planos!$G253+CEILING((DATE(crono_ano_ref,4,1)-Planos!$G253)/Planos!$E253,1)*Planos!$E253))/Planos!$E253)+1)))</f>
      </c>
      <c r="J255" s="44">
        <f>IF(OR(Planos!$A253="",NOT(ISNUMBER(Planos!$G253)),N(Planos!$E253)&lt;=0),0,IF(Planos!$G253&gt;EOMONTH(DATE(crono_ano_ref,5,1),0),0,MAX(0,INT((EOMONTH(DATE(crono_ano_ref,5,1),0)-IF(Planos!$G253&gt;=DATE(crono_ano_ref,5,1),Planos!$G253,Planos!$G253+CEILING((DATE(crono_ano_ref,5,1)-Planos!$G253)/Planos!$E253,1)*Planos!$E253))/Planos!$E253)+1)))</f>
      </c>
      <c r="K255" s="44">
        <f>IF(OR(Planos!$A253="",NOT(ISNUMBER(Planos!$G253)),N(Planos!$E253)&lt;=0),0,IF(Planos!$G253&gt;EOMONTH(DATE(crono_ano_ref,6,1),0),0,MAX(0,INT((EOMONTH(DATE(crono_ano_ref,6,1),0)-IF(Planos!$G253&gt;=DATE(crono_ano_ref,6,1),Planos!$G253,Planos!$G253+CEILING((DATE(crono_ano_ref,6,1)-Planos!$G253)/Planos!$E253,1)*Planos!$E253))/Planos!$E253)+1)))</f>
      </c>
      <c r="L255" s="44">
        <f>IF(OR(Planos!$A253="",NOT(ISNUMBER(Planos!$G253)),N(Planos!$E253)&lt;=0),0,IF(Planos!$G253&gt;EOMONTH(DATE(crono_ano_ref,7,1),0),0,MAX(0,INT((EOMONTH(DATE(crono_ano_ref,7,1),0)-IF(Planos!$G253&gt;=DATE(crono_ano_ref,7,1),Planos!$G253,Planos!$G253+CEILING((DATE(crono_ano_ref,7,1)-Planos!$G253)/Planos!$E253,1)*Planos!$E253))/Planos!$E253)+1)))</f>
      </c>
      <c r="M255" s="44">
        <f>IF(OR(Planos!$A253="",NOT(ISNUMBER(Planos!$G253)),N(Planos!$E253)&lt;=0),0,IF(Planos!$G253&gt;EOMONTH(DATE(crono_ano_ref,8,1),0),0,MAX(0,INT((EOMONTH(DATE(crono_ano_ref,8,1),0)-IF(Planos!$G253&gt;=DATE(crono_ano_ref,8,1),Planos!$G253,Planos!$G253+CEILING((DATE(crono_ano_ref,8,1)-Planos!$G253)/Planos!$E253,1)*Planos!$E253))/Planos!$E253)+1)))</f>
      </c>
      <c r="N255" s="44">
        <f>IF(OR(Planos!$A253="",NOT(ISNUMBER(Planos!$G253)),N(Planos!$E253)&lt;=0),0,IF(Planos!$G253&gt;EOMONTH(DATE(crono_ano_ref,9,1),0),0,MAX(0,INT((EOMONTH(DATE(crono_ano_ref,9,1),0)-IF(Planos!$G253&gt;=DATE(crono_ano_ref,9,1),Planos!$G253,Planos!$G253+CEILING((DATE(crono_ano_ref,9,1)-Planos!$G253)/Planos!$E253,1)*Planos!$E253))/Planos!$E253)+1)))</f>
      </c>
      <c r="O255" s="44">
        <f>IF(OR(Planos!$A253="",NOT(ISNUMBER(Planos!$G253)),N(Planos!$E253)&lt;=0),0,IF(Planos!$G253&gt;EOMONTH(DATE(crono_ano_ref,10,1),0),0,MAX(0,INT((EOMONTH(DATE(crono_ano_ref,10,1),0)-IF(Planos!$G253&gt;=DATE(crono_ano_ref,10,1),Planos!$G253,Planos!$G253+CEILING((DATE(crono_ano_ref,10,1)-Planos!$G253)/Planos!$E253,1)*Planos!$E253))/Planos!$E253)+1)))</f>
      </c>
      <c r="P255" s="44">
        <f>IF(OR(Planos!$A253="",NOT(ISNUMBER(Planos!$G253)),N(Planos!$E253)&lt;=0),0,IF(Planos!$G253&gt;EOMONTH(DATE(crono_ano_ref,11,1),0),0,MAX(0,INT((EOMONTH(DATE(crono_ano_ref,11,1),0)-IF(Planos!$G253&gt;=DATE(crono_ano_ref,11,1),Planos!$G253,Planos!$G253+CEILING((DATE(crono_ano_ref,11,1)-Planos!$G253)/Planos!$E253,1)*Planos!$E253))/Planos!$E253)+1)))</f>
      </c>
      <c r="Q255" s="44">
        <f>IF(OR(Planos!$A253="",NOT(ISNUMBER(Planos!$G253)),N(Planos!$E253)&lt;=0),0,IF(Planos!$G253&gt;EOMONTH(DATE(crono_ano_ref,12,1),0),0,MAX(0,INT((EOMONTH(DATE(crono_ano_ref,12,1),0)-IF(Planos!$G253&gt;=DATE(crono_ano_ref,12,1),Planos!$G253,Planos!$G253+CEILING((DATE(crono_ano_ref,12,1)-Planos!$G253)/Planos!$E253,1)*Planos!$E253))/Planos!$E253)+1)))</f>
      </c>
      <c r="R255" s="44">
        <f>SUM(F255:Q255)</f>
      </c>
    </row>
    <row r="256" spans="1:18" x14ac:dyDescent="0.25">
      <c r="A256" s="24">
        <f>IF(Planos!$A254="","",Planos!A254&amp;"")</f>
      </c>
      <c r="B256" s="41">
        <f>IF(Planos!$A254="","",Planos!B254&amp;"")</f>
      </c>
      <c r="C256" s="24">
        <f>IF(Planos!$A254="","",Planos!C254&amp;"")</f>
      </c>
      <c r="D256" s="42">
        <f>IF(Planos!$A254="","",N(Planos!E254))</f>
      </c>
      <c r="E256" s="43">
        <f>IF(Planos!$A254="","",N(Planos!K254))</f>
      </c>
      <c r="F256" s="44">
        <f>IF(OR(Planos!$A254="",NOT(ISNUMBER(Planos!$G254)),N(Planos!$E254)&lt;=0),0,IF(Planos!$G254&gt;EOMONTH(DATE(crono_ano_ref,1,1),0),0,MAX(0,INT((EOMONTH(DATE(crono_ano_ref,1,1),0)-IF(Planos!$G254&gt;=DATE(crono_ano_ref,1,1),Planos!$G254,Planos!$G254+CEILING((DATE(crono_ano_ref,1,1)-Planos!$G254)/Planos!$E254,1)*Planos!$E254))/Planos!$E254)+1)))</f>
      </c>
      <c r="G256" s="44">
        <f>IF(OR(Planos!$A254="",NOT(ISNUMBER(Planos!$G254)),N(Planos!$E254)&lt;=0),0,IF(Planos!$G254&gt;EOMONTH(DATE(crono_ano_ref,2,1),0),0,MAX(0,INT((EOMONTH(DATE(crono_ano_ref,2,1),0)-IF(Planos!$G254&gt;=DATE(crono_ano_ref,2,1),Planos!$G254,Planos!$G254+CEILING((DATE(crono_ano_ref,2,1)-Planos!$G254)/Planos!$E254,1)*Planos!$E254))/Planos!$E254)+1)))</f>
      </c>
      <c r="H256" s="44">
        <f>IF(OR(Planos!$A254="",NOT(ISNUMBER(Planos!$G254)),N(Planos!$E254)&lt;=0),0,IF(Planos!$G254&gt;EOMONTH(DATE(crono_ano_ref,3,1),0),0,MAX(0,INT((EOMONTH(DATE(crono_ano_ref,3,1),0)-IF(Planos!$G254&gt;=DATE(crono_ano_ref,3,1),Planos!$G254,Planos!$G254+CEILING((DATE(crono_ano_ref,3,1)-Planos!$G254)/Planos!$E254,1)*Planos!$E254))/Planos!$E254)+1)))</f>
      </c>
      <c r="I256" s="44">
        <f>IF(OR(Planos!$A254="",NOT(ISNUMBER(Planos!$G254)),N(Planos!$E254)&lt;=0),0,IF(Planos!$G254&gt;EOMONTH(DATE(crono_ano_ref,4,1),0),0,MAX(0,INT((EOMONTH(DATE(crono_ano_ref,4,1),0)-IF(Planos!$G254&gt;=DATE(crono_ano_ref,4,1),Planos!$G254,Planos!$G254+CEILING((DATE(crono_ano_ref,4,1)-Planos!$G254)/Planos!$E254,1)*Planos!$E254))/Planos!$E254)+1)))</f>
      </c>
      <c r="J256" s="44">
        <f>IF(OR(Planos!$A254="",NOT(ISNUMBER(Planos!$G254)),N(Planos!$E254)&lt;=0),0,IF(Planos!$G254&gt;EOMONTH(DATE(crono_ano_ref,5,1),0),0,MAX(0,INT((EOMONTH(DATE(crono_ano_ref,5,1),0)-IF(Planos!$G254&gt;=DATE(crono_ano_ref,5,1),Planos!$G254,Planos!$G254+CEILING((DATE(crono_ano_ref,5,1)-Planos!$G254)/Planos!$E254,1)*Planos!$E254))/Planos!$E254)+1)))</f>
      </c>
      <c r="K256" s="44">
        <f>IF(OR(Planos!$A254="",NOT(ISNUMBER(Planos!$G254)),N(Planos!$E254)&lt;=0),0,IF(Planos!$G254&gt;EOMONTH(DATE(crono_ano_ref,6,1),0),0,MAX(0,INT((EOMONTH(DATE(crono_ano_ref,6,1),0)-IF(Planos!$G254&gt;=DATE(crono_ano_ref,6,1),Planos!$G254,Planos!$G254+CEILING((DATE(crono_ano_ref,6,1)-Planos!$G254)/Planos!$E254,1)*Planos!$E254))/Planos!$E254)+1)))</f>
      </c>
      <c r="L256" s="44">
        <f>IF(OR(Planos!$A254="",NOT(ISNUMBER(Planos!$G254)),N(Planos!$E254)&lt;=0),0,IF(Planos!$G254&gt;EOMONTH(DATE(crono_ano_ref,7,1),0),0,MAX(0,INT((EOMONTH(DATE(crono_ano_ref,7,1),0)-IF(Planos!$G254&gt;=DATE(crono_ano_ref,7,1),Planos!$G254,Planos!$G254+CEILING((DATE(crono_ano_ref,7,1)-Planos!$G254)/Planos!$E254,1)*Planos!$E254))/Planos!$E254)+1)))</f>
      </c>
      <c r="M256" s="44">
        <f>IF(OR(Planos!$A254="",NOT(ISNUMBER(Planos!$G254)),N(Planos!$E254)&lt;=0),0,IF(Planos!$G254&gt;EOMONTH(DATE(crono_ano_ref,8,1),0),0,MAX(0,INT((EOMONTH(DATE(crono_ano_ref,8,1),0)-IF(Planos!$G254&gt;=DATE(crono_ano_ref,8,1),Planos!$G254,Planos!$G254+CEILING((DATE(crono_ano_ref,8,1)-Planos!$G254)/Planos!$E254,1)*Planos!$E254))/Planos!$E254)+1)))</f>
      </c>
      <c r="N256" s="44">
        <f>IF(OR(Planos!$A254="",NOT(ISNUMBER(Planos!$G254)),N(Planos!$E254)&lt;=0),0,IF(Planos!$G254&gt;EOMONTH(DATE(crono_ano_ref,9,1),0),0,MAX(0,INT((EOMONTH(DATE(crono_ano_ref,9,1),0)-IF(Planos!$G254&gt;=DATE(crono_ano_ref,9,1),Planos!$G254,Planos!$G254+CEILING((DATE(crono_ano_ref,9,1)-Planos!$G254)/Planos!$E254,1)*Planos!$E254))/Planos!$E254)+1)))</f>
      </c>
      <c r="O256" s="44">
        <f>IF(OR(Planos!$A254="",NOT(ISNUMBER(Planos!$G254)),N(Planos!$E254)&lt;=0),0,IF(Planos!$G254&gt;EOMONTH(DATE(crono_ano_ref,10,1),0),0,MAX(0,INT((EOMONTH(DATE(crono_ano_ref,10,1),0)-IF(Planos!$G254&gt;=DATE(crono_ano_ref,10,1),Planos!$G254,Planos!$G254+CEILING((DATE(crono_ano_ref,10,1)-Planos!$G254)/Planos!$E254,1)*Planos!$E254))/Planos!$E254)+1)))</f>
      </c>
      <c r="P256" s="44">
        <f>IF(OR(Planos!$A254="",NOT(ISNUMBER(Planos!$G254)),N(Planos!$E254)&lt;=0),0,IF(Planos!$G254&gt;EOMONTH(DATE(crono_ano_ref,11,1),0),0,MAX(0,INT((EOMONTH(DATE(crono_ano_ref,11,1),0)-IF(Planos!$G254&gt;=DATE(crono_ano_ref,11,1),Planos!$G254,Planos!$G254+CEILING((DATE(crono_ano_ref,11,1)-Planos!$G254)/Planos!$E254,1)*Planos!$E254))/Planos!$E254)+1)))</f>
      </c>
      <c r="Q256" s="44">
        <f>IF(OR(Planos!$A254="",NOT(ISNUMBER(Planos!$G254)),N(Planos!$E254)&lt;=0),0,IF(Planos!$G254&gt;EOMONTH(DATE(crono_ano_ref,12,1),0),0,MAX(0,INT((EOMONTH(DATE(crono_ano_ref,12,1),0)-IF(Planos!$G254&gt;=DATE(crono_ano_ref,12,1),Planos!$G254,Planos!$G254+CEILING((DATE(crono_ano_ref,12,1)-Planos!$G254)/Planos!$E254,1)*Planos!$E254))/Planos!$E254)+1)))</f>
      </c>
      <c r="R256" s="44">
        <f>SUM(F256:Q256)</f>
      </c>
    </row>
    <row r="257" spans="1:18" x14ac:dyDescent="0.25">
      <c r="A257" s="24">
        <f>IF(Planos!$A255="","",Planos!A255&amp;"")</f>
      </c>
      <c r="B257" s="41">
        <f>IF(Planos!$A255="","",Planos!B255&amp;"")</f>
      </c>
      <c r="C257" s="24">
        <f>IF(Planos!$A255="","",Planos!C255&amp;"")</f>
      </c>
      <c r="D257" s="42">
        <f>IF(Planos!$A255="","",N(Planos!E255))</f>
      </c>
      <c r="E257" s="43">
        <f>IF(Planos!$A255="","",N(Planos!K255))</f>
      </c>
      <c r="F257" s="44">
        <f>IF(OR(Planos!$A255="",NOT(ISNUMBER(Planos!$G255)),N(Planos!$E255)&lt;=0),0,IF(Planos!$G255&gt;EOMONTH(DATE(crono_ano_ref,1,1),0),0,MAX(0,INT((EOMONTH(DATE(crono_ano_ref,1,1),0)-IF(Planos!$G255&gt;=DATE(crono_ano_ref,1,1),Planos!$G255,Planos!$G255+CEILING((DATE(crono_ano_ref,1,1)-Planos!$G255)/Planos!$E255,1)*Planos!$E255))/Planos!$E255)+1)))</f>
      </c>
      <c r="G257" s="44">
        <f>IF(OR(Planos!$A255="",NOT(ISNUMBER(Planos!$G255)),N(Planos!$E255)&lt;=0),0,IF(Planos!$G255&gt;EOMONTH(DATE(crono_ano_ref,2,1),0),0,MAX(0,INT((EOMONTH(DATE(crono_ano_ref,2,1),0)-IF(Planos!$G255&gt;=DATE(crono_ano_ref,2,1),Planos!$G255,Planos!$G255+CEILING((DATE(crono_ano_ref,2,1)-Planos!$G255)/Planos!$E255,1)*Planos!$E255))/Planos!$E255)+1)))</f>
      </c>
      <c r="H257" s="44">
        <f>IF(OR(Planos!$A255="",NOT(ISNUMBER(Planos!$G255)),N(Planos!$E255)&lt;=0),0,IF(Planos!$G255&gt;EOMONTH(DATE(crono_ano_ref,3,1),0),0,MAX(0,INT((EOMONTH(DATE(crono_ano_ref,3,1),0)-IF(Planos!$G255&gt;=DATE(crono_ano_ref,3,1),Planos!$G255,Planos!$G255+CEILING((DATE(crono_ano_ref,3,1)-Planos!$G255)/Planos!$E255,1)*Planos!$E255))/Planos!$E255)+1)))</f>
      </c>
      <c r="I257" s="44">
        <f>IF(OR(Planos!$A255="",NOT(ISNUMBER(Planos!$G255)),N(Planos!$E255)&lt;=0),0,IF(Planos!$G255&gt;EOMONTH(DATE(crono_ano_ref,4,1),0),0,MAX(0,INT((EOMONTH(DATE(crono_ano_ref,4,1),0)-IF(Planos!$G255&gt;=DATE(crono_ano_ref,4,1),Planos!$G255,Planos!$G255+CEILING((DATE(crono_ano_ref,4,1)-Planos!$G255)/Planos!$E255,1)*Planos!$E255))/Planos!$E255)+1)))</f>
      </c>
      <c r="J257" s="44">
        <f>IF(OR(Planos!$A255="",NOT(ISNUMBER(Planos!$G255)),N(Planos!$E255)&lt;=0),0,IF(Planos!$G255&gt;EOMONTH(DATE(crono_ano_ref,5,1),0),0,MAX(0,INT((EOMONTH(DATE(crono_ano_ref,5,1),0)-IF(Planos!$G255&gt;=DATE(crono_ano_ref,5,1),Planos!$G255,Planos!$G255+CEILING((DATE(crono_ano_ref,5,1)-Planos!$G255)/Planos!$E255,1)*Planos!$E255))/Planos!$E255)+1)))</f>
      </c>
      <c r="K257" s="44">
        <f>IF(OR(Planos!$A255="",NOT(ISNUMBER(Planos!$G255)),N(Planos!$E255)&lt;=0),0,IF(Planos!$G255&gt;EOMONTH(DATE(crono_ano_ref,6,1),0),0,MAX(0,INT((EOMONTH(DATE(crono_ano_ref,6,1),0)-IF(Planos!$G255&gt;=DATE(crono_ano_ref,6,1),Planos!$G255,Planos!$G255+CEILING((DATE(crono_ano_ref,6,1)-Planos!$G255)/Planos!$E255,1)*Planos!$E255))/Planos!$E255)+1)))</f>
      </c>
      <c r="L257" s="44">
        <f>IF(OR(Planos!$A255="",NOT(ISNUMBER(Planos!$G255)),N(Planos!$E255)&lt;=0),0,IF(Planos!$G255&gt;EOMONTH(DATE(crono_ano_ref,7,1),0),0,MAX(0,INT((EOMONTH(DATE(crono_ano_ref,7,1),0)-IF(Planos!$G255&gt;=DATE(crono_ano_ref,7,1),Planos!$G255,Planos!$G255+CEILING((DATE(crono_ano_ref,7,1)-Planos!$G255)/Planos!$E255,1)*Planos!$E255))/Planos!$E255)+1)))</f>
      </c>
      <c r="M257" s="44">
        <f>IF(OR(Planos!$A255="",NOT(ISNUMBER(Planos!$G255)),N(Planos!$E255)&lt;=0),0,IF(Planos!$G255&gt;EOMONTH(DATE(crono_ano_ref,8,1),0),0,MAX(0,INT((EOMONTH(DATE(crono_ano_ref,8,1),0)-IF(Planos!$G255&gt;=DATE(crono_ano_ref,8,1),Planos!$G255,Planos!$G255+CEILING((DATE(crono_ano_ref,8,1)-Planos!$G255)/Planos!$E255,1)*Planos!$E255))/Planos!$E255)+1)))</f>
      </c>
      <c r="N257" s="44">
        <f>IF(OR(Planos!$A255="",NOT(ISNUMBER(Planos!$G255)),N(Planos!$E255)&lt;=0),0,IF(Planos!$G255&gt;EOMONTH(DATE(crono_ano_ref,9,1),0),0,MAX(0,INT((EOMONTH(DATE(crono_ano_ref,9,1),0)-IF(Planos!$G255&gt;=DATE(crono_ano_ref,9,1),Planos!$G255,Planos!$G255+CEILING((DATE(crono_ano_ref,9,1)-Planos!$G255)/Planos!$E255,1)*Planos!$E255))/Planos!$E255)+1)))</f>
      </c>
      <c r="O257" s="44">
        <f>IF(OR(Planos!$A255="",NOT(ISNUMBER(Planos!$G255)),N(Planos!$E255)&lt;=0),0,IF(Planos!$G255&gt;EOMONTH(DATE(crono_ano_ref,10,1),0),0,MAX(0,INT((EOMONTH(DATE(crono_ano_ref,10,1),0)-IF(Planos!$G255&gt;=DATE(crono_ano_ref,10,1),Planos!$G255,Planos!$G255+CEILING((DATE(crono_ano_ref,10,1)-Planos!$G255)/Planos!$E255,1)*Planos!$E255))/Planos!$E255)+1)))</f>
      </c>
      <c r="P257" s="44">
        <f>IF(OR(Planos!$A255="",NOT(ISNUMBER(Planos!$G255)),N(Planos!$E255)&lt;=0),0,IF(Planos!$G255&gt;EOMONTH(DATE(crono_ano_ref,11,1),0),0,MAX(0,INT((EOMONTH(DATE(crono_ano_ref,11,1),0)-IF(Planos!$G255&gt;=DATE(crono_ano_ref,11,1),Planos!$G255,Planos!$G255+CEILING((DATE(crono_ano_ref,11,1)-Planos!$G255)/Planos!$E255,1)*Planos!$E255))/Planos!$E255)+1)))</f>
      </c>
      <c r="Q257" s="44">
        <f>IF(OR(Planos!$A255="",NOT(ISNUMBER(Planos!$G255)),N(Planos!$E255)&lt;=0),0,IF(Planos!$G255&gt;EOMONTH(DATE(crono_ano_ref,12,1),0),0,MAX(0,INT((EOMONTH(DATE(crono_ano_ref,12,1),0)-IF(Planos!$G255&gt;=DATE(crono_ano_ref,12,1),Planos!$G255,Planos!$G255+CEILING((DATE(crono_ano_ref,12,1)-Planos!$G255)/Planos!$E255,1)*Planos!$E255))/Planos!$E255)+1)))</f>
      </c>
      <c r="R257" s="44">
        <f>SUM(F257:Q257)</f>
      </c>
    </row>
    <row r="258" spans="1:18" x14ac:dyDescent="0.25">
      <c r="A258" s="24">
        <f>IF(Planos!$A256="","",Planos!A256&amp;"")</f>
      </c>
      <c r="B258" s="41">
        <f>IF(Planos!$A256="","",Planos!B256&amp;"")</f>
      </c>
      <c r="C258" s="24">
        <f>IF(Planos!$A256="","",Planos!C256&amp;"")</f>
      </c>
      <c r="D258" s="42">
        <f>IF(Planos!$A256="","",N(Planos!E256))</f>
      </c>
      <c r="E258" s="43">
        <f>IF(Planos!$A256="","",N(Planos!K256))</f>
      </c>
      <c r="F258" s="44">
        <f>IF(OR(Planos!$A256="",NOT(ISNUMBER(Planos!$G256)),N(Planos!$E256)&lt;=0),0,IF(Planos!$G256&gt;EOMONTH(DATE(crono_ano_ref,1,1),0),0,MAX(0,INT((EOMONTH(DATE(crono_ano_ref,1,1),0)-IF(Planos!$G256&gt;=DATE(crono_ano_ref,1,1),Planos!$G256,Planos!$G256+CEILING((DATE(crono_ano_ref,1,1)-Planos!$G256)/Planos!$E256,1)*Planos!$E256))/Planos!$E256)+1)))</f>
      </c>
      <c r="G258" s="44">
        <f>IF(OR(Planos!$A256="",NOT(ISNUMBER(Planos!$G256)),N(Planos!$E256)&lt;=0),0,IF(Planos!$G256&gt;EOMONTH(DATE(crono_ano_ref,2,1),0),0,MAX(0,INT((EOMONTH(DATE(crono_ano_ref,2,1),0)-IF(Planos!$G256&gt;=DATE(crono_ano_ref,2,1),Planos!$G256,Planos!$G256+CEILING((DATE(crono_ano_ref,2,1)-Planos!$G256)/Planos!$E256,1)*Planos!$E256))/Planos!$E256)+1)))</f>
      </c>
      <c r="H258" s="44">
        <f>IF(OR(Planos!$A256="",NOT(ISNUMBER(Planos!$G256)),N(Planos!$E256)&lt;=0),0,IF(Planos!$G256&gt;EOMONTH(DATE(crono_ano_ref,3,1),0),0,MAX(0,INT((EOMONTH(DATE(crono_ano_ref,3,1),0)-IF(Planos!$G256&gt;=DATE(crono_ano_ref,3,1),Planos!$G256,Planos!$G256+CEILING((DATE(crono_ano_ref,3,1)-Planos!$G256)/Planos!$E256,1)*Planos!$E256))/Planos!$E256)+1)))</f>
      </c>
      <c r="I258" s="44">
        <f>IF(OR(Planos!$A256="",NOT(ISNUMBER(Planos!$G256)),N(Planos!$E256)&lt;=0),0,IF(Planos!$G256&gt;EOMONTH(DATE(crono_ano_ref,4,1),0),0,MAX(0,INT((EOMONTH(DATE(crono_ano_ref,4,1),0)-IF(Planos!$G256&gt;=DATE(crono_ano_ref,4,1),Planos!$G256,Planos!$G256+CEILING((DATE(crono_ano_ref,4,1)-Planos!$G256)/Planos!$E256,1)*Planos!$E256))/Planos!$E256)+1)))</f>
      </c>
      <c r="J258" s="44">
        <f>IF(OR(Planos!$A256="",NOT(ISNUMBER(Planos!$G256)),N(Planos!$E256)&lt;=0),0,IF(Planos!$G256&gt;EOMONTH(DATE(crono_ano_ref,5,1),0),0,MAX(0,INT((EOMONTH(DATE(crono_ano_ref,5,1),0)-IF(Planos!$G256&gt;=DATE(crono_ano_ref,5,1),Planos!$G256,Planos!$G256+CEILING((DATE(crono_ano_ref,5,1)-Planos!$G256)/Planos!$E256,1)*Planos!$E256))/Planos!$E256)+1)))</f>
      </c>
      <c r="K258" s="44">
        <f>IF(OR(Planos!$A256="",NOT(ISNUMBER(Planos!$G256)),N(Planos!$E256)&lt;=0),0,IF(Planos!$G256&gt;EOMONTH(DATE(crono_ano_ref,6,1),0),0,MAX(0,INT((EOMONTH(DATE(crono_ano_ref,6,1),0)-IF(Planos!$G256&gt;=DATE(crono_ano_ref,6,1),Planos!$G256,Planos!$G256+CEILING((DATE(crono_ano_ref,6,1)-Planos!$G256)/Planos!$E256,1)*Planos!$E256))/Planos!$E256)+1)))</f>
      </c>
      <c r="L258" s="44">
        <f>IF(OR(Planos!$A256="",NOT(ISNUMBER(Planos!$G256)),N(Planos!$E256)&lt;=0),0,IF(Planos!$G256&gt;EOMONTH(DATE(crono_ano_ref,7,1),0),0,MAX(0,INT((EOMONTH(DATE(crono_ano_ref,7,1),0)-IF(Planos!$G256&gt;=DATE(crono_ano_ref,7,1),Planos!$G256,Planos!$G256+CEILING((DATE(crono_ano_ref,7,1)-Planos!$G256)/Planos!$E256,1)*Planos!$E256))/Planos!$E256)+1)))</f>
      </c>
      <c r="M258" s="44">
        <f>IF(OR(Planos!$A256="",NOT(ISNUMBER(Planos!$G256)),N(Planos!$E256)&lt;=0),0,IF(Planos!$G256&gt;EOMONTH(DATE(crono_ano_ref,8,1),0),0,MAX(0,INT((EOMONTH(DATE(crono_ano_ref,8,1),0)-IF(Planos!$G256&gt;=DATE(crono_ano_ref,8,1),Planos!$G256,Planos!$G256+CEILING((DATE(crono_ano_ref,8,1)-Planos!$G256)/Planos!$E256,1)*Planos!$E256))/Planos!$E256)+1)))</f>
      </c>
      <c r="N258" s="44">
        <f>IF(OR(Planos!$A256="",NOT(ISNUMBER(Planos!$G256)),N(Planos!$E256)&lt;=0),0,IF(Planos!$G256&gt;EOMONTH(DATE(crono_ano_ref,9,1),0),0,MAX(0,INT((EOMONTH(DATE(crono_ano_ref,9,1),0)-IF(Planos!$G256&gt;=DATE(crono_ano_ref,9,1),Planos!$G256,Planos!$G256+CEILING((DATE(crono_ano_ref,9,1)-Planos!$G256)/Planos!$E256,1)*Planos!$E256))/Planos!$E256)+1)))</f>
      </c>
      <c r="O258" s="44">
        <f>IF(OR(Planos!$A256="",NOT(ISNUMBER(Planos!$G256)),N(Planos!$E256)&lt;=0),0,IF(Planos!$G256&gt;EOMONTH(DATE(crono_ano_ref,10,1),0),0,MAX(0,INT((EOMONTH(DATE(crono_ano_ref,10,1),0)-IF(Planos!$G256&gt;=DATE(crono_ano_ref,10,1),Planos!$G256,Planos!$G256+CEILING((DATE(crono_ano_ref,10,1)-Planos!$G256)/Planos!$E256,1)*Planos!$E256))/Planos!$E256)+1)))</f>
      </c>
      <c r="P258" s="44">
        <f>IF(OR(Planos!$A256="",NOT(ISNUMBER(Planos!$G256)),N(Planos!$E256)&lt;=0),0,IF(Planos!$G256&gt;EOMONTH(DATE(crono_ano_ref,11,1),0),0,MAX(0,INT((EOMONTH(DATE(crono_ano_ref,11,1),0)-IF(Planos!$G256&gt;=DATE(crono_ano_ref,11,1),Planos!$G256,Planos!$G256+CEILING((DATE(crono_ano_ref,11,1)-Planos!$G256)/Planos!$E256,1)*Planos!$E256))/Planos!$E256)+1)))</f>
      </c>
      <c r="Q258" s="44">
        <f>IF(OR(Planos!$A256="",NOT(ISNUMBER(Planos!$G256)),N(Planos!$E256)&lt;=0),0,IF(Planos!$G256&gt;EOMONTH(DATE(crono_ano_ref,12,1),0),0,MAX(0,INT((EOMONTH(DATE(crono_ano_ref,12,1),0)-IF(Planos!$G256&gt;=DATE(crono_ano_ref,12,1),Planos!$G256,Planos!$G256+CEILING((DATE(crono_ano_ref,12,1)-Planos!$G256)/Planos!$E256,1)*Planos!$E256))/Planos!$E256)+1)))</f>
      </c>
      <c r="R258" s="44">
        <f>SUM(F258:Q258)</f>
      </c>
    </row>
    <row r="259" spans="1:18" x14ac:dyDescent="0.25">
      <c r="A259" s="24">
        <f>IF(Planos!$A257="","",Planos!A257&amp;"")</f>
      </c>
      <c r="B259" s="41">
        <f>IF(Planos!$A257="","",Planos!B257&amp;"")</f>
      </c>
      <c r="C259" s="24">
        <f>IF(Planos!$A257="","",Planos!C257&amp;"")</f>
      </c>
      <c r="D259" s="42">
        <f>IF(Planos!$A257="","",N(Planos!E257))</f>
      </c>
      <c r="E259" s="43">
        <f>IF(Planos!$A257="","",N(Planos!K257))</f>
      </c>
      <c r="F259" s="44">
        <f>IF(OR(Planos!$A257="",NOT(ISNUMBER(Planos!$G257)),N(Planos!$E257)&lt;=0),0,IF(Planos!$G257&gt;EOMONTH(DATE(crono_ano_ref,1,1),0),0,MAX(0,INT((EOMONTH(DATE(crono_ano_ref,1,1),0)-IF(Planos!$G257&gt;=DATE(crono_ano_ref,1,1),Planos!$G257,Planos!$G257+CEILING((DATE(crono_ano_ref,1,1)-Planos!$G257)/Planos!$E257,1)*Planos!$E257))/Planos!$E257)+1)))</f>
      </c>
      <c r="G259" s="44">
        <f>IF(OR(Planos!$A257="",NOT(ISNUMBER(Planos!$G257)),N(Planos!$E257)&lt;=0),0,IF(Planos!$G257&gt;EOMONTH(DATE(crono_ano_ref,2,1),0),0,MAX(0,INT((EOMONTH(DATE(crono_ano_ref,2,1),0)-IF(Planos!$G257&gt;=DATE(crono_ano_ref,2,1),Planos!$G257,Planos!$G257+CEILING((DATE(crono_ano_ref,2,1)-Planos!$G257)/Planos!$E257,1)*Planos!$E257))/Planos!$E257)+1)))</f>
      </c>
      <c r="H259" s="44">
        <f>IF(OR(Planos!$A257="",NOT(ISNUMBER(Planos!$G257)),N(Planos!$E257)&lt;=0),0,IF(Planos!$G257&gt;EOMONTH(DATE(crono_ano_ref,3,1),0),0,MAX(0,INT((EOMONTH(DATE(crono_ano_ref,3,1),0)-IF(Planos!$G257&gt;=DATE(crono_ano_ref,3,1),Planos!$G257,Planos!$G257+CEILING((DATE(crono_ano_ref,3,1)-Planos!$G257)/Planos!$E257,1)*Planos!$E257))/Planos!$E257)+1)))</f>
      </c>
      <c r="I259" s="44">
        <f>IF(OR(Planos!$A257="",NOT(ISNUMBER(Planos!$G257)),N(Planos!$E257)&lt;=0),0,IF(Planos!$G257&gt;EOMONTH(DATE(crono_ano_ref,4,1),0),0,MAX(0,INT((EOMONTH(DATE(crono_ano_ref,4,1),0)-IF(Planos!$G257&gt;=DATE(crono_ano_ref,4,1),Planos!$G257,Planos!$G257+CEILING((DATE(crono_ano_ref,4,1)-Planos!$G257)/Planos!$E257,1)*Planos!$E257))/Planos!$E257)+1)))</f>
      </c>
      <c r="J259" s="44">
        <f>IF(OR(Planos!$A257="",NOT(ISNUMBER(Planos!$G257)),N(Planos!$E257)&lt;=0),0,IF(Planos!$G257&gt;EOMONTH(DATE(crono_ano_ref,5,1),0),0,MAX(0,INT((EOMONTH(DATE(crono_ano_ref,5,1),0)-IF(Planos!$G257&gt;=DATE(crono_ano_ref,5,1),Planos!$G257,Planos!$G257+CEILING((DATE(crono_ano_ref,5,1)-Planos!$G257)/Planos!$E257,1)*Planos!$E257))/Planos!$E257)+1)))</f>
      </c>
      <c r="K259" s="44">
        <f>IF(OR(Planos!$A257="",NOT(ISNUMBER(Planos!$G257)),N(Planos!$E257)&lt;=0),0,IF(Planos!$G257&gt;EOMONTH(DATE(crono_ano_ref,6,1),0),0,MAX(0,INT((EOMONTH(DATE(crono_ano_ref,6,1),0)-IF(Planos!$G257&gt;=DATE(crono_ano_ref,6,1),Planos!$G257,Planos!$G257+CEILING((DATE(crono_ano_ref,6,1)-Planos!$G257)/Planos!$E257,1)*Planos!$E257))/Planos!$E257)+1)))</f>
      </c>
      <c r="L259" s="44">
        <f>IF(OR(Planos!$A257="",NOT(ISNUMBER(Planos!$G257)),N(Planos!$E257)&lt;=0),0,IF(Planos!$G257&gt;EOMONTH(DATE(crono_ano_ref,7,1),0),0,MAX(0,INT((EOMONTH(DATE(crono_ano_ref,7,1),0)-IF(Planos!$G257&gt;=DATE(crono_ano_ref,7,1),Planos!$G257,Planos!$G257+CEILING((DATE(crono_ano_ref,7,1)-Planos!$G257)/Planos!$E257,1)*Planos!$E257))/Planos!$E257)+1)))</f>
      </c>
      <c r="M259" s="44">
        <f>IF(OR(Planos!$A257="",NOT(ISNUMBER(Planos!$G257)),N(Planos!$E257)&lt;=0),0,IF(Planos!$G257&gt;EOMONTH(DATE(crono_ano_ref,8,1),0),0,MAX(0,INT((EOMONTH(DATE(crono_ano_ref,8,1),0)-IF(Planos!$G257&gt;=DATE(crono_ano_ref,8,1),Planos!$G257,Planos!$G257+CEILING((DATE(crono_ano_ref,8,1)-Planos!$G257)/Planos!$E257,1)*Planos!$E257))/Planos!$E257)+1)))</f>
      </c>
      <c r="N259" s="44">
        <f>IF(OR(Planos!$A257="",NOT(ISNUMBER(Planos!$G257)),N(Planos!$E257)&lt;=0),0,IF(Planos!$G257&gt;EOMONTH(DATE(crono_ano_ref,9,1),0),0,MAX(0,INT((EOMONTH(DATE(crono_ano_ref,9,1),0)-IF(Planos!$G257&gt;=DATE(crono_ano_ref,9,1),Planos!$G257,Planos!$G257+CEILING((DATE(crono_ano_ref,9,1)-Planos!$G257)/Planos!$E257,1)*Planos!$E257))/Planos!$E257)+1)))</f>
      </c>
      <c r="O259" s="44">
        <f>IF(OR(Planos!$A257="",NOT(ISNUMBER(Planos!$G257)),N(Planos!$E257)&lt;=0),0,IF(Planos!$G257&gt;EOMONTH(DATE(crono_ano_ref,10,1),0),0,MAX(0,INT((EOMONTH(DATE(crono_ano_ref,10,1),0)-IF(Planos!$G257&gt;=DATE(crono_ano_ref,10,1),Planos!$G257,Planos!$G257+CEILING((DATE(crono_ano_ref,10,1)-Planos!$G257)/Planos!$E257,1)*Planos!$E257))/Planos!$E257)+1)))</f>
      </c>
      <c r="P259" s="44">
        <f>IF(OR(Planos!$A257="",NOT(ISNUMBER(Planos!$G257)),N(Planos!$E257)&lt;=0),0,IF(Planos!$G257&gt;EOMONTH(DATE(crono_ano_ref,11,1),0),0,MAX(0,INT((EOMONTH(DATE(crono_ano_ref,11,1),0)-IF(Planos!$G257&gt;=DATE(crono_ano_ref,11,1),Planos!$G257,Planos!$G257+CEILING((DATE(crono_ano_ref,11,1)-Planos!$G257)/Planos!$E257,1)*Planos!$E257))/Planos!$E257)+1)))</f>
      </c>
      <c r="Q259" s="44">
        <f>IF(OR(Planos!$A257="",NOT(ISNUMBER(Planos!$G257)),N(Planos!$E257)&lt;=0),0,IF(Planos!$G257&gt;EOMONTH(DATE(crono_ano_ref,12,1),0),0,MAX(0,INT((EOMONTH(DATE(crono_ano_ref,12,1),0)-IF(Planos!$G257&gt;=DATE(crono_ano_ref,12,1),Planos!$G257,Planos!$G257+CEILING((DATE(crono_ano_ref,12,1)-Planos!$G257)/Planos!$E257,1)*Planos!$E257))/Planos!$E257)+1)))</f>
      </c>
      <c r="R259" s="44">
        <f>SUM(F259:Q259)</f>
      </c>
    </row>
    <row r="260" spans="1:18" x14ac:dyDescent="0.25">
      <c r="A260" s="24">
        <f>IF(Planos!$A258="","",Planos!A258&amp;"")</f>
      </c>
      <c r="B260" s="41">
        <f>IF(Planos!$A258="","",Planos!B258&amp;"")</f>
      </c>
      <c r="C260" s="24">
        <f>IF(Planos!$A258="","",Planos!C258&amp;"")</f>
      </c>
      <c r="D260" s="42">
        <f>IF(Planos!$A258="","",N(Planos!E258))</f>
      </c>
      <c r="E260" s="43">
        <f>IF(Planos!$A258="","",N(Planos!K258))</f>
      </c>
      <c r="F260" s="44">
        <f>IF(OR(Planos!$A258="",NOT(ISNUMBER(Planos!$G258)),N(Planos!$E258)&lt;=0),0,IF(Planos!$G258&gt;EOMONTH(DATE(crono_ano_ref,1,1),0),0,MAX(0,INT((EOMONTH(DATE(crono_ano_ref,1,1),0)-IF(Planos!$G258&gt;=DATE(crono_ano_ref,1,1),Planos!$G258,Planos!$G258+CEILING((DATE(crono_ano_ref,1,1)-Planos!$G258)/Planos!$E258,1)*Planos!$E258))/Planos!$E258)+1)))</f>
      </c>
      <c r="G260" s="44">
        <f>IF(OR(Planos!$A258="",NOT(ISNUMBER(Planos!$G258)),N(Planos!$E258)&lt;=0),0,IF(Planos!$G258&gt;EOMONTH(DATE(crono_ano_ref,2,1),0),0,MAX(0,INT((EOMONTH(DATE(crono_ano_ref,2,1),0)-IF(Planos!$G258&gt;=DATE(crono_ano_ref,2,1),Planos!$G258,Planos!$G258+CEILING((DATE(crono_ano_ref,2,1)-Planos!$G258)/Planos!$E258,1)*Planos!$E258))/Planos!$E258)+1)))</f>
      </c>
      <c r="H260" s="44">
        <f>IF(OR(Planos!$A258="",NOT(ISNUMBER(Planos!$G258)),N(Planos!$E258)&lt;=0),0,IF(Planos!$G258&gt;EOMONTH(DATE(crono_ano_ref,3,1),0),0,MAX(0,INT((EOMONTH(DATE(crono_ano_ref,3,1),0)-IF(Planos!$G258&gt;=DATE(crono_ano_ref,3,1),Planos!$G258,Planos!$G258+CEILING((DATE(crono_ano_ref,3,1)-Planos!$G258)/Planos!$E258,1)*Planos!$E258))/Planos!$E258)+1)))</f>
      </c>
      <c r="I260" s="44">
        <f>IF(OR(Planos!$A258="",NOT(ISNUMBER(Planos!$G258)),N(Planos!$E258)&lt;=0),0,IF(Planos!$G258&gt;EOMONTH(DATE(crono_ano_ref,4,1),0),0,MAX(0,INT((EOMONTH(DATE(crono_ano_ref,4,1),0)-IF(Planos!$G258&gt;=DATE(crono_ano_ref,4,1),Planos!$G258,Planos!$G258+CEILING((DATE(crono_ano_ref,4,1)-Planos!$G258)/Planos!$E258,1)*Planos!$E258))/Planos!$E258)+1)))</f>
      </c>
      <c r="J260" s="44">
        <f>IF(OR(Planos!$A258="",NOT(ISNUMBER(Planos!$G258)),N(Planos!$E258)&lt;=0),0,IF(Planos!$G258&gt;EOMONTH(DATE(crono_ano_ref,5,1),0),0,MAX(0,INT((EOMONTH(DATE(crono_ano_ref,5,1),0)-IF(Planos!$G258&gt;=DATE(crono_ano_ref,5,1),Planos!$G258,Planos!$G258+CEILING((DATE(crono_ano_ref,5,1)-Planos!$G258)/Planos!$E258,1)*Planos!$E258))/Planos!$E258)+1)))</f>
      </c>
      <c r="K260" s="44">
        <f>IF(OR(Planos!$A258="",NOT(ISNUMBER(Planos!$G258)),N(Planos!$E258)&lt;=0),0,IF(Planos!$G258&gt;EOMONTH(DATE(crono_ano_ref,6,1),0),0,MAX(0,INT((EOMONTH(DATE(crono_ano_ref,6,1),0)-IF(Planos!$G258&gt;=DATE(crono_ano_ref,6,1),Planos!$G258,Planos!$G258+CEILING((DATE(crono_ano_ref,6,1)-Planos!$G258)/Planos!$E258,1)*Planos!$E258))/Planos!$E258)+1)))</f>
      </c>
      <c r="L260" s="44">
        <f>IF(OR(Planos!$A258="",NOT(ISNUMBER(Planos!$G258)),N(Planos!$E258)&lt;=0),0,IF(Planos!$G258&gt;EOMONTH(DATE(crono_ano_ref,7,1),0),0,MAX(0,INT((EOMONTH(DATE(crono_ano_ref,7,1),0)-IF(Planos!$G258&gt;=DATE(crono_ano_ref,7,1),Planos!$G258,Planos!$G258+CEILING((DATE(crono_ano_ref,7,1)-Planos!$G258)/Planos!$E258,1)*Planos!$E258))/Planos!$E258)+1)))</f>
      </c>
      <c r="M260" s="44">
        <f>IF(OR(Planos!$A258="",NOT(ISNUMBER(Planos!$G258)),N(Planos!$E258)&lt;=0),0,IF(Planos!$G258&gt;EOMONTH(DATE(crono_ano_ref,8,1),0),0,MAX(0,INT((EOMONTH(DATE(crono_ano_ref,8,1),0)-IF(Planos!$G258&gt;=DATE(crono_ano_ref,8,1),Planos!$G258,Planos!$G258+CEILING((DATE(crono_ano_ref,8,1)-Planos!$G258)/Planos!$E258,1)*Planos!$E258))/Planos!$E258)+1)))</f>
      </c>
      <c r="N260" s="44">
        <f>IF(OR(Planos!$A258="",NOT(ISNUMBER(Planos!$G258)),N(Planos!$E258)&lt;=0),0,IF(Planos!$G258&gt;EOMONTH(DATE(crono_ano_ref,9,1),0),0,MAX(0,INT((EOMONTH(DATE(crono_ano_ref,9,1),0)-IF(Planos!$G258&gt;=DATE(crono_ano_ref,9,1),Planos!$G258,Planos!$G258+CEILING((DATE(crono_ano_ref,9,1)-Planos!$G258)/Planos!$E258,1)*Planos!$E258))/Planos!$E258)+1)))</f>
      </c>
      <c r="O260" s="44">
        <f>IF(OR(Planos!$A258="",NOT(ISNUMBER(Planos!$G258)),N(Planos!$E258)&lt;=0),0,IF(Planos!$G258&gt;EOMONTH(DATE(crono_ano_ref,10,1),0),0,MAX(0,INT((EOMONTH(DATE(crono_ano_ref,10,1),0)-IF(Planos!$G258&gt;=DATE(crono_ano_ref,10,1),Planos!$G258,Planos!$G258+CEILING((DATE(crono_ano_ref,10,1)-Planos!$G258)/Planos!$E258,1)*Planos!$E258))/Planos!$E258)+1)))</f>
      </c>
      <c r="P260" s="44">
        <f>IF(OR(Planos!$A258="",NOT(ISNUMBER(Planos!$G258)),N(Planos!$E258)&lt;=0),0,IF(Planos!$G258&gt;EOMONTH(DATE(crono_ano_ref,11,1),0),0,MAX(0,INT((EOMONTH(DATE(crono_ano_ref,11,1),0)-IF(Planos!$G258&gt;=DATE(crono_ano_ref,11,1),Planos!$G258,Planos!$G258+CEILING((DATE(crono_ano_ref,11,1)-Planos!$G258)/Planos!$E258,1)*Planos!$E258))/Planos!$E258)+1)))</f>
      </c>
      <c r="Q260" s="44">
        <f>IF(OR(Planos!$A258="",NOT(ISNUMBER(Planos!$G258)),N(Planos!$E258)&lt;=0),0,IF(Planos!$G258&gt;EOMONTH(DATE(crono_ano_ref,12,1),0),0,MAX(0,INT((EOMONTH(DATE(crono_ano_ref,12,1),0)-IF(Planos!$G258&gt;=DATE(crono_ano_ref,12,1),Planos!$G258,Planos!$G258+CEILING((DATE(crono_ano_ref,12,1)-Planos!$G258)/Planos!$E258,1)*Planos!$E258))/Planos!$E258)+1)))</f>
      </c>
      <c r="R260" s="44">
        <f>SUM(F260:Q260)</f>
      </c>
    </row>
    <row r="261" spans="1:18" x14ac:dyDescent="0.25">
      <c r="A261" s="24">
        <f>IF(Planos!$A259="","",Planos!A259&amp;"")</f>
      </c>
      <c r="B261" s="41">
        <f>IF(Planos!$A259="","",Planos!B259&amp;"")</f>
      </c>
      <c r="C261" s="24">
        <f>IF(Planos!$A259="","",Planos!C259&amp;"")</f>
      </c>
      <c r="D261" s="42">
        <f>IF(Planos!$A259="","",N(Planos!E259))</f>
      </c>
      <c r="E261" s="43">
        <f>IF(Planos!$A259="","",N(Planos!K259))</f>
      </c>
      <c r="F261" s="44">
        <f>IF(OR(Planos!$A259="",NOT(ISNUMBER(Planos!$G259)),N(Planos!$E259)&lt;=0),0,IF(Planos!$G259&gt;EOMONTH(DATE(crono_ano_ref,1,1),0),0,MAX(0,INT((EOMONTH(DATE(crono_ano_ref,1,1),0)-IF(Planos!$G259&gt;=DATE(crono_ano_ref,1,1),Planos!$G259,Planos!$G259+CEILING((DATE(crono_ano_ref,1,1)-Planos!$G259)/Planos!$E259,1)*Planos!$E259))/Planos!$E259)+1)))</f>
      </c>
      <c r="G261" s="44">
        <f>IF(OR(Planos!$A259="",NOT(ISNUMBER(Planos!$G259)),N(Planos!$E259)&lt;=0),0,IF(Planos!$G259&gt;EOMONTH(DATE(crono_ano_ref,2,1),0),0,MAX(0,INT((EOMONTH(DATE(crono_ano_ref,2,1),0)-IF(Planos!$G259&gt;=DATE(crono_ano_ref,2,1),Planos!$G259,Planos!$G259+CEILING((DATE(crono_ano_ref,2,1)-Planos!$G259)/Planos!$E259,1)*Planos!$E259))/Planos!$E259)+1)))</f>
      </c>
      <c r="H261" s="44">
        <f>IF(OR(Planos!$A259="",NOT(ISNUMBER(Planos!$G259)),N(Planos!$E259)&lt;=0),0,IF(Planos!$G259&gt;EOMONTH(DATE(crono_ano_ref,3,1),0),0,MAX(0,INT((EOMONTH(DATE(crono_ano_ref,3,1),0)-IF(Planos!$G259&gt;=DATE(crono_ano_ref,3,1),Planos!$G259,Planos!$G259+CEILING((DATE(crono_ano_ref,3,1)-Planos!$G259)/Planos!$E259,1)*Planos!$E259))/Planos!$E259)+1)))</f>
      </c>
      <c r="I261" s="44">
        <f>IF(OR(Planos!$A259="",NOT(ISNUMBER(Planos!$G259)),N(Planos!$E259)&lt;=0),0,IF(Planos!$G259&gt;EOMONTH(DATE(crono_ano_ref,4,1),0),0,MAX(0,INT((EOMONTH(DATE(crono_ano_ref,4,1),0)-IF(Planos!$G259&gt;=DATE(crono_ano_ref,4,1),Planos!$G259,Planos!$G259+CEILING((DATE(crono_ano_ref,4,1)-Planos!$G259)/Planos!$E259,1)*Planos!$E259))/Planos!$E259)+1)))</f>
      </c>
      <c r="J261" s="44">
        <f>IF(OR(Planos!$A259="",NOT(ISNUMBER(Planos!$G259)),N(Planos!$E259)&lt;=0),0,IF(Planos!$G259&gt;EOMONTH(DATE(crono_ano_ref,5,1),0),0,MAX(0,INT((EOMONTH(DATE(crono_ano_ref,5,1),0)-IF(Planos!$G259&gt;=DATE(crono_ano_ref,5,1),Planos!$G259,Planos!$G259+CEILING((DATE(crono_ano_ref,5,1)-Planos!$G259)/Planos!$E259,1)*Planos!$E259))/Planos!$E259)+1)))</f>
      </c>
      <c r="K261" s="44">
        <f>IF(OR(Planos!$A259="",NOT(ISNUMBER(Planos!$G259)),N(Planos!$E259)&lt;=0),0,IF(Planos!$G259&gt;EOMONTH(DATE(crono_ano_ref,6,1),0),0,MAX(0,INT((EOMONTH(DATE(crono_ano_ref,6,1),0)-IF(Planos!$G259&gt;=DATE(crono_ano_ref,6,1),Planos!$G259,Planos!$G259+CEILING((DATE(crono_ano_ref,6,1)-Planos!$G259)/Planos!$E259,1)*Planos!$E259))/Planos!$E259)+1)))</f>
      </c>
      <c r="L261" s="44">
        <f>IF(OR(Planos!$A259="",NOT(ISNUMBER(Planos!$G259)),N(Planos!$E259)&lt;=0),0,IF(Planos!$G259&gt;EOMONTH(DATE(crono_ano_ref,7,1),0),0,MAX(0,INT((EOMONTH(DATE(crono_ano_ref,7,1),0)-IF(Planos!$G259&gt;=DATE(crono_ano_ref,7,1),Planos!$G259,Planos!$G259+CEILING((DATE(crono_ano_ref,7,1)-Planos!$G259)/Planos!$E259,1)*Planos!$E259))/Planos!$E259)+1)))</f>
      </c>
      <c r="M261" s="44">
        <f>IF(OR(Planos!$A259="",NOT(ISNUMBER(Planos!$G259)),N(Planos!$E259)&lt;=0),0,IF(Planos!$G259&gt;EOMONTH(DATE(crono_ano_ref,8,1),0),0,MAX(0,INT((EOMONTH(DATE(crono_ano_ref,8,1),0)-IF(Planos!$G259&gt;=DATE(crono_ano_ref,8,1),Planos!$G259,Planos!$G259+CEILING((DATE(crono_ano_ref,8,1)-Planos!$G259)/Planos!$E259,1)*Planos!$E259))/Planos!$E259)+1)))</f>
      </c>
      <c r="N261" s="44">
        <f>IF(OR(Planos!$A259="",NOT(ISNUMBER(Planos!$G259)),N(Planos!$E259)&lt;=0),0,IF(Planos!$G259&gt;EOMONTH(DATE(crono_ano_ref,9,1),0),0,MAX(0,INT((EOMONTH(DATE(crono_ano_ref,9,1),0)-IF(Planos!$G259&gt;=DATE(crono_ano_ref,9,1),Planos!$G259,Planos!$G259+CEILING((DATE(crono_ano_ref,9,1)-Planos!$G259)/Planos!$E259,1)*Planos!$E259))/Planos!$E259)+1)))</f>
      </c>
      <c r="O261" s="44">
        <f>IF(OR(Planos!$A259="",NOT(ISNUMBER(Planos!$G259)),N(Planos!$E259)&lt;=0),0,IF(Planos!$G259&gt;EOMONTH(DATE(crono_ano_ref,10,1),0),0,MAX(0,INT((EOMONTH(DATE(crono_ano_ref,10,1),0)-IF(Planos!$G259&gt;=DATE(crono_ano_ref,10,1),Planos!$G259,Planos!$G259+CEILING((DATE(crono_ano_ref,10,1)-Planos!$G259)/Planos!$E259,1)*Planos!$E259))/Planos!$E259)+1)))</f>
      </c>
      <c r="P261" s="44">
        <f>IF(OR(Planos!$A259="",NOT(ISNUMBER(Planos!$G259)),N(Planos!$E259)&lt;=0),0,IF(Planos!$G259&gt;EOMONTH(DATE(crono_ano_ref,11,1),0),0,MAX(0,INT((EOMONTH(DATE(crono_ano_ref,11,1),0)-IF(Planos!$G259&gt;=DATE(crono_ano_ref,11,1),Planos!$G259,Planos!$G259+CEILING((DATE(crono_ano_ref,11,1)-Planos!$G259)/Planos!$E259,1)*Planos!$E259))/Planos!$E259)+1)))</f>
      </c>
      <c r="Q261" s="44">
        <f>IF(OR(Planos!$A259="",NOT(ISNUMBER(Planos!$G259)),N(Planos!$E259)&lt;=0),0,IF(Planos!$G259&gt;EOMONTH(DATE(crono_ano_ref,12,1),0),0,MAX(0,INT((EOMONTH(DATE(crono_ano_ref,12,1),0)-IF(Planos!$G259&gt;=DATE(crono_ano_ref,12,1),Planos!$G259,Planos!$G259+CEILING((DATE(crono_ano_ref,12,1)-Planos!$G259)/Planos!$E259,1)*Planos!$E259))/Planos!$E259)+1)))</f>
      </c>
      <c r="R261" s="44">
        <f>SUM(F261:Q261)</f>
      </c>
    </row>
    <row r="262" spans="1:18" x14ac:dyDescent="0.25">
      <c r="A262" s="24">
        <f>IF(Planos!$A260="","",Planos!A260&amp;"")</f>
      </c>
      <c r="B262" s="41">
        <f>IF(Planos!$A260="","",Planos!B260&amp;"")</f>
      </c>
      <c r="C262" s="24">
        <f>IF(Planos!$A260="","",Planos!C260&amp;"")</f>
      </c>
      <c r="D262" s="42">
        <f>IF(Planos!$A260="","",N(Planos!E260))</f>
      </c>
      <c r="E262" s="43">
        <f>IF(Planos!$A260="","",N(Planos!K260))</f>
      </c>
      <c r="F262" s="44">
        <f>IF(OR(Planos!$A260="",NOT(ISNUMBER(Planos!$G260)),N(Planos!$E260)&lt;=0),0,IF(Planos!$G260&gt;EOMONTH(DATE(crono_ano_ref,1,1),0),0,MAX(0,INT((EOMONTH(DATE(crono_ano_ref,1,1),0)-IF(Planos!$G260&gt;=DATE(crono_ano_ref,1,1),Planos!$G260,Planos!$G260+CEILING((DATE(crono_ano_ref,1,1)-Planos!$G260)/Planos!$E260,1)*Planos!$E260))/Planos!$E260)+1)))</f>
      </c>
      <c r="G262" s="44">
        <f>IF(OR(Planos!$A260="",NOT(ISNUMBER(Planos!$G260)),N(Planos!$E260)&lt;=0),0,IF(Planos!$G260&gt;EOMONTH(DATE(crono_ano_ref,2,1),0),0,MAX(0,INT((EOMONTH(DATE(crono_ano_ref,2,1),0)-IF(Planos!$G260&gt;=DATE(crono_ano_ref,2,1),Planos!$G260,Planos!$G260+CEILING((DATE(crono_ano_ref,2,1)-Planos!$G260)/Planos!$E260,1)*Planos!$E260))/Planos!$E260)+1)))</f>
      </c>
      <c r="H262" s="44">
        <f>IF(OR(Planos!$A260="",NOT(ISNUMBER(Planos!$G260)),N(Planos!$E260)&lt;=0),0,IF(Planos!$G260&gt;EOMONTH(DATE(crono_ano_ref,3,1),0),0,MAX(0,INT((EOMONTH(DATE(crono_ano_ref,3,1),0)-IF(Planos!$G260&gt;=DATE(crono_ano_ref,3,1),Planos!$G260,Planos!$G260+CEILING((DATE(crono_ano_ref,3,1)-Planos!$G260)/Planos!$E260,1)*Planos!$E260))/Planos!$E260)+1)))</f>
      </c>
      <c r="I262" s="44">
        <f>IF(OR(Planos!$A260="",NOT(ISNUMBER(Planos!$G260)),N(Planos!$E260)&lt;=0),0,IF(Planos!$G260&gt;EOMONTH(DATE(crono_ano_ref,4,1),0),0,MAX(0,INT((EOMONTH(DATE(crono_ano_ref,4,1),0)-IF(Planos!$G260&gt;=DATE(crono_ano_ref,4,1),Planos!$G260,Planos!$G260+CEILING((DATE(crono_ano_ref,4,1)-Planos!$G260)/Planos!$E260,1)*Planos!$E260))/Planos!$E260)+1)))</f>
      </c>
      <c r="J262" s="44">
        <f>IF(OR(Planos!$A260="",NOT(ISNUMBER(Planos!$G260)),N(Planos!$E260)&lt;=0),0,IF(Planos!$G260&gt;EOMONTH(DATE(crono_ano_ref,5,1),0),0,MAX(0,INT((EOMONTH(DATE(crono_ano_ref,5,1),0)-IF(Planos!$G260&gt;=DATE(crono_ano_ref,5,1),Planos!$G260,Planos!$G260+CEILING((DATE(crono_ano_ref,5,1)-Planos!$G260)/Planos!$E260,1)*Planos!$E260))/Planos!$E260)+1)))</f>
      </c>
      <c r="K262" s="44">
        <f>IF(OR(Planos!$A260="",NOT(ISNUMBER(Planos!$G260)),N(Planos!$E260)&lt;=0),0,IF(Planos!$G260&gt;EOMONTH(DATE(crono_ano_ref,6,1),0),0,MAX(0,INT((EOMONTH(DATE(crono_ano_ref,6,1),0)-IF(Planos!$G260&gt;=DATE(crono_ano_ref,6,1),Planos!$G260,Planos!$G260+CEILING((DATE(crono_ano_ref,6,1)-Planos!$G260)/Planos!$E260,1)*Planos!$E260))/Planos!$E260)+1)))</f>
      </c>
      <c r="L262" s="44">
        <f>IF(OR(Planos!$A260="",NOT(ISNUMBER(Planos!$G260)),N(Planos!$E260)&lt;=0),0,IF(Planos!$G260&gt;EOMONTH(DATE(crono_ano_ref,7,1),0),0,MAX(0,INT((EOMONTH(DATE(crono_ano_ref,7,1),0)-IF(Planos!$G260&gt;=DATE(crono_ano_ref,7,1),Planos!$G260,Planos!$G260+CEILING((DATE(crono_ano_ref,7,1)-Planos!$G260)/Planos!$E260,1)*Planos!$E260))/Planos!$E260)+1)))</f>
      </c>
      <c r="M262" s="44">
        <f>IF(OR(Planos!$A260="",NOT(ISNUMBER(Planos!$G260)),N(Planos!$E260)&lt;=0),0,IF(Planos!$G260&gt;EOMONTH(DATE(crono_ano_ref,8,1),0),0,MAX(0,INT((EOMONTH(DATE(crono_ano_ref,8,1),0)-IF(Planos!$G260&gt;=DATE(crono_ano_ref,8,1),Planos!$G260,Planos!$G260+CEILING((DATE(crono_ano_ref,8,1)-Planos!$G260)/Planos!$E260,1)*Planos!$E260))/Planos!$E260)+1)))</f>
      </c>
      <c r="N262" s="44">
        <f>IF(OR(Planos!$A260="",NOT(ISNUMBER(Planos!$G260)),N(Planos!$E260)&lt;=0),0,IF(Planos!$G260&gt;EOMONTH(DATE(crono_ano_ref,9,1),0),0,MAX(0,INT((EOMONTH(DATE(crono_ano_ref,9,1),0)-IF(Planos!$G260&gt;=DATE(crono_ano_ref,9,1),Planos!$G260,Planos!$G260+CEILING((DATE(crono_ano_ref,9,1)-Planos!$G260)/Planos!$E260,1)*Planos!$E260))/Planos!$E260)+1)))</f>
      </c>
      <c r="O262" s="44">
        <f>IF(OR(Planos!$A260="",NOT(ISNUMBER(Planos!$G260)),N(Planos!$E260)&lt;=0),0,IF(Planos!$G260&gt;EOMONTH(DATE(crono_ano_ref,10,1),0),0,MAX(0,INT((EOMONTH(DATE(crono_ano_ref,10,1),0)-IF(Planos!$G260&gt;=DATE(crono_ano_ref,10,1),Planos!$G260,Planos!$G260+CEILING((DATE(crono_ano_ref,10,1)-Planos!$G260)/Planos!$E260,1)*Planos!$E260))/Planos!$E260)+1)))</f>
      </c>
      <c r="P262" s="44">
        <f>IF(OR(Planos!$A260="",NOT(ISNUMBER(Planos!$G260)),N(Planos!$E260)&lt;=0),0,IF(Planos!$G260&gt;EOMONTH(DATE(crono_ano_ref,11,1),0),0,MAX(0,INT((EOMONTH(DATE(crono_ano_ref,11,1),0)-IF(Planos!$G260&gt;=DATE(crono_ano_ref,11,1),Planos!$G260,Planos!$G260+CEILING((DATE(crono_ano_ref,11,1)-Planos!$G260)/Planos!$E260,1)*Planos!$E260))/Planos!$E260)+1)))</f>
      </c>
      <c r="Q262" s="44">
        <f>IF(OR(Planos!$A260="",NOT(ISNUMBER(Planos!$G260)),N(Planos!$E260)&lt;=0),0,IF(Planos!$G260&gt;EOMONTH(DATE(crono_ano_ref,12,1),0),0,MAX(0,INT((EOMONTH(DATE(crono_ano_ref,12,1),0)-IF(Planos!$G260&gt;=DATE(crono_ano_ref,12,1),Planos!$G260,Planos!$G260+CEILING((DATE(crono_ano_ref,12,1)-Planos!$G260)/Planos!$E260,1)*Planos!$E260))/Planos!$E260)+1)))</f>
      </c>
      <c r="R262" s="44">
        <f>SUM(F262:Q262)</f>
      </c>
    </row>
    <row r="263" spans="1:18" x14ac:dyDescent="0.25">
      <c r="A263" s="24">
        <f>IF(Planos!$A261="","",Planos!A261&amp;"")</f>
      </c>
      <c r="B263" s="41">
        <f>IF(Planos!$A261="","",Planos!B261&amp;"")</f>
      </c>
      <c r="C263" s="24">
        <f>IF(Planos!$A261="","",Planos!C261&amp;"")</f>
      </c>
      <c r="D263" s="42">
        <f>IF(Planos!$A261="","",N(Planos!E261))</f>
      </c>
      <c r="E263" s="43">
        <f>IF(Planos!$A261="","",N(Planos!K261))</f>
      </c>
      <c r="F263" s="44">
        <f>IF(OR(Planos!$A261="",NOT(ISNUMBER(Planos!$G261)),N(Planos!$E261)&lt;=0),0,IF(Planos!$G261&gt;EOMONTH(DATE(crono_ano_ref,1,1),0),0,MAX(0,INT((EOMONTH(DATE(crono_ano_ref,1,1),0)-IF(Planos!$G261&gt;=DATE(crono_ano_ref,1,1),Planos!$G261,Planos!$G261+CEILING((DATE(crono_ano_ref,1,1)-Planos!$G261)/Planos!$E261,1)*Planos!$E261))/Planos!$E261)+1)))</f>
      </c>
      <c r="G263" s="44">
        <f>IF(OR(Planos!$A261="",NOT(ISNUMBER(Planos!$G261)),N(Planos!$E261)&lt;=0),0,IF(Planos!$G261&gt;EOMONTH(DATE(crono_ano_ref,2,1),0),0,MAX(0,INT((EOMONTH(DATE(crono_ano_ref,2,1),0)-IF(Planos!$G261&gt;=DATE(crono_ano_ref,2,1),Planos!$G261,Planos!$G261+CEILING((DATE(crono_ano_ref,2,1)-Planos!$G261)/Planos!$E261,1)*Planos!$E261))/Planos!$E261)+1)))</f>
      </c>
      <c r="H263" s="44">
        <f>IF(OR(Planos!$A261="",NOT(ISNUMBER(Planos!$G261)),N(Planos!$E261)&lt;=0),0,IF(Planos!$G261&gt;EOMONTH(DATE(crono_ano_ref,3,1),0),0,MAX(0,INT((EOMONTH(DATE(crono_ano_ref,3,1),0)-IF(Planos!$G261&gt;=DATE(crono_ano_ref,3,1),Planos!$G261,Planos!$G261+CEILING((DATE(crono_ano_ref,3,1)-Planos!$G261)/Planos!$E261,1)*Planos!$E261))/Planos!$E261)+1)))</f>
      </c>
      <c r="I263" s="44">
        <f>IF(OR(Planos!$A261="",NOT(ISNUMBER(Planos!$G261)),N(Planos!$E261)&lt;=0),0,IF(Planos!$G261&gt;EOMONTH(DATE(crono_ano_ref,4,1),0),0,MAX(0,INT((EOMONTH(DATE(crono_ano_ref,4,1),0)-IF(Planos!$G261&gt;=DATE(crono_ano_ref,4,1),Planos!$G261,Planos!$G261+CEILING((DATE(crono_ano_ref,4,1)-Planos!$G261)/Planos!$E261,1)*Planos!$E261))/Planos!$E261)+1)))</f>
      </c>
      <c r="J263" s="44">
        <f>IF(OR(Planos!$A261="",NOT(ISNUMBER(Planos!$G261)),N(Planos!$E261)&lt;=0),0,IF(Planos!$G261&gt;EOMONTH(DATE(crono_ano_ref,5,1),0),0,MAX(0,INT((EOMONTH(DATE(crono_ano_ref,5,1),0)-IF(Planos!$G261&gt;=DATE(crono_ano_ref,5,1),Planos!$G261,Planos!$G261+CEILING((DATE(crono_ano_ref,5,1)-Planos!$G261)/Planos!$E261,1)*Planos!$E261))/Planos!$E261)+1)))</f>
      </c>
      <c r="K263" s="44">
        <f>IF(OR(Planos!$A261="",NOT(ISNUMBER(Planos!$G261)),N(Planos!$E261)&lt;=0),0,IF(Planos!$G261&gt;EOMONTH(DATE(crono_ano_ref,6,1),0),0,MAX(0,INT((EOMONTH(DATE(crono_ano_ref,6,1),0)-IF(Planos!$G261&gt;=DATE(crono_ano_ref,6,1),Planos!$G261,Planos!$G261+CEILING((DATE(crono_ano_ref,6,1)-Planos!$G261)/Planos!$E261,1)*Planos!$E261))/Planos!$E261)+1)))</f>
      </c>
      <c r="L263" s="44">
        <f>IF(OR(Planos!$A261="",NOT(ISNUMBER(Planos!$G261)),N(Planos!$E261)&lt;=0),0,IF(Planos!$G261&gt;EOMONTH(DATE(crono_ano_ref,7,1),0),0,MAX(0,INT((EOMONTH(DATE(crono_ano_ref,7,1),0)-IF(Planos!$G261&gt;=DATE(crono_ano_ref,7,1),Planos!$G261,Planos!$G261+CEILING((DATE(crono_ano_ref,7,1)-Planos!$G261)/Planos!$E261,1)*Planos!$E261))/Planos!$E261)+1)))</f>
      </c>
      <c r="M263" s="44">
        <f>IF(OR(Planos!$A261="",NOT(ISNUMBER(Planos!$G261)),N(Planos!$E261)&lt;=0),0,IF(Planos!$G261&gt;EOMONTH(DATE(crono_ano_ref,8,1),0),0,MAX(0,INT((EOMONTH(DATE(crono_ano_ref,8,1),0)-IF(Planos!$G261&gt;=DATE(crono_ano_ref,8,1),Planos!$G261,Planos!$G261+CEILING((DATE(crono_ano_ref,8,1)-Planos!$G261)/Planos!$E261,1)*Planos!$E261))/Planos!$E261)+1)))</f>
      </c>
      <c r="N263" s="44">
        <f>IF(OR(Planos!$A261="",NOT(ISNUMBER(Planos!$G261)),N(Planos!$E261)&lt;=0),0,IF(Planos!$G261&gt;EOMONTH(DATE(crono_ano_ref,9,1),0),0,MAX(0,INT((EOMONTH(DATE(crono_ano_ref,9,1),0)-IF(Planos!$G261&gt;=DATE(crono_ano_ref,9,1),Planos!$G261,Planos!$G261+CEILING((DATE(crono_ano_ref,9,1)-Planos!$G261)/Planos!$E261,1)*Planos!$E261))/Planos!$E261)+1)))</f>
      </c>
      <c r="O263" s="44">
        <f>IF(OR(Planos!$A261="",NOT(ISNUMBER(Planos!$G261)),N(Planos!$E261)&lt;=0),0,IF(Planos!$G261&gt;EOMONTH(DATE(crono_ano_ref,10,1),0),0,MAX(0,INT((EOMONTH(DATE(crono_ano_ref,10,1),0)-IF(Planos!$G261&gt;=DATE(crono_ano_ref,10,1),Planos!$G261,Planos!$G261+CEILING((DATE(crono_ano_ref,10,1)-Planos!$G261)/Planos!$E261,1)*Planos!$E261))/Planos!$E261)+1)))</f>
      </c>
      <c r="P263" s="44">
        <f>IF(OR(Planos!$A261="",NOT(ISNUMBER(Planos!$G261)),N(Planos!$E261)&lt;=0),0,IF(Planos!$G261&gt;EOMONTH(DATE(crono_ano_ref,11,1),0),0,MAX(0,INT((EOMONTH(DATE(crono_ano_ref,11,1),0)-IF(Planos!$G261&gt;=DATE(crono_ano_ref,11,1),Planos!$G261,Planos!$G261+CEILING((DATE(crono_ano_ref,11,1)-Planos!$G261)/Planos!$E261,1)*Planos!$E261))/Planos!$E261)+1)))</f>
      </c>
      <c r="Q263" s="44">
        <f>IF(OR(Planos!$A261="",NOT(ISNUMBER(Planos!$G261)),N(Planos!$E261)&lt;=0),0,IF(Planos!$G261&gt;EOMONTH(DATE(crono_ano_ref,12,1),0),0,MAX(0,INT((EOMONTH(DATE(crono_ano_ref,12,1),0)-IF(Planos!$G261&gt;=DATE(crono_ano_ref,12,1),Planos!$G261,Planos!$G261+CEILING((DATE(crono_ano_ref,12,1)-Planos!$G261)/Planos!$E261,1)*Planos!$E261))/Planos!$E261)+1)))</f>
      </c>
      <c r="R263" s="44">
        <f>SUM(F263:Q263)</f>
      </c>
    </row>
    <row r="264" spans="1:18" x14ac:dyDescent="0.25">
      <c r="A264" s="24">
        <f>IF(Planos!$A262="","",Planos!A262&amp;"")</f>
      </c>
      <c r="B264" s="41">
        <f>IF(Planos!$A262="","",Planos!B262&amp;"")</f>
      </c>
      <c r="C264" s="24">
        <f>IF(Planos!$A262="","",Planos!C262&amp;"")</f>
      </c>
      <c r="D264" s="42">
        <f>IF(Planos!$A262="","",N(Planos!E262))</f>
      </c>
      <c r="E264" s="43">
        <f>IF(Planos!$A262="","",N(Planos!K262))</f>
      </c>
      <c r="F264" s="44">
        <f>IF(OR(Planos!$A262="",NOT(ISNUMBER(Planos!$G262)),N(Planos!$E262)&lt;=0),0,IF(Planos!$G262&gt;EOMONTH(DATE(crono_ano_ref,1,1),0),0,MAX(0,INT((EOMONTH(DATE(crono_ano_ref,1,1),0)-IF(Planos!$G262&gt;=DATE(crono_ano_ref,1,1),Planos!$G262,Planos!$G262+CEILING((DATE(crono_ano_ref,1,1)-Planos!$G262)/Planos!$E262,1)*Planos!$E262))/Planos!$E262)+1)))</f>
      </c>
      <c r="G264" s="44">
        <f>IF(OR(Planos!$A262="",NOT(ISNUMBER(Planos!$G262)),N(Planos!$E262)&lt;=0),0,IF(Planos!$G262&gt;EOMONTH(DATE(crono_ano_ref,2,1),0),0,MAX(0,INT((EOMONTH(DATE(crono_ano_ref,2,1),0)-IF(Planos!$G262&gt;=DATE(crono_ano_ref,2,1),Planos!$G262,Planos!$G262+CEILING((DATE(crono_ano_ref,2,1)-Planos!$G262)/Planos!$E262,1)*Planos!$E262))/Planos!$E262)+1)))</f>
      </c>
      <c r="H264" s="44">
        <f>IF(OR(Planos!$A262="",NOT(ISNUMBER(Planos!$G262)),N(Planos!$E262)&lt;=0),0,IF(Planos!$G262&gt;EOMONTH(DATE(crono_ano_ref,3,1),0),0,MAX(0,INT((EOMONTH(DATE(crono_ano_ref,3,1),0)-IF(Planos!$G262&gt;=DATE(crono_ano_ref,3,1),Planos!$G262,Planos!$G262+CEILING((DATE(crono_ano_ref,3,1)-Planos!$G262)/Planos!$E262,1)*Planos!$E262))/Planos!$E262)+1)))</f>
      </c>
      <c r="I264" s="44">
        <f>IF(OR(Planos!$A262="",NOT(ISNUMBER(Planos!$G262)),N(Planos!$E262)&lt;=0),0,IF(Planos!$G262&gt;EOMONTH(DATE(crono_ano_ref,4,1),0),0,MAX(0,INT((EOMONTH(DATE(crono_ano_ref,4,1),0)-IF(Planos!$G262&gt;=DATE(crono_ano_ref,4,1),Planos!$G262,Planos!$G262+CEILING((DATE(crono_ano_ref,4,1)-Planos!$G262)/Planos!$E262,1)*Planos!$E262))/Planos!$E262)+1)))</f>
      </c>
      <c r="J264" s="44">
        <f>IF(OR(Planos!$A262="",NOT(ISNUMBER(Planos!$G262)),N(Planos!$E262)&lt;=0),0,IF(Planos!$G262&gt;EOMONTH(DATE(crono_ano_ref,5,1),0),0,MAX(0,INT((EOMONTH(DATE(crono_ano_ref,5,1),0)-IF(Planos!$G262&gt;=DATE(crono_ano_ref,5,1),Planos!$G262,Planos!$G262+CEILING((DATE(crono_ano_ref,5,1)-Planos!$G262)/Planos!$E262,1)*Planos!$E262))/Planos!$E262)+1)))</f>
      </c>
      <c r="K264" s="44">
        <f>IF(OR(Planos!$A262="",NOT(ISNUMBER(Planos!$G262)),N(Planos!$E262)&lt;=0),0,IF(Planos!$G262&gt;EOMONTH(DATE(crono_ano_ref,6,1),0),0,MAX(0,INT((EOMONTH(DATE(crono_ano_ref,6,1),0)-IF(Planos!$G262&gt;=DATE(crono_ano_ref,6,1),Planos!$G262,Planos!$G262+CEILING((DATE(crono_ano_ref,6,1)-Planos!$G262)/Planos!$E262,1)*Planos!$E262))/Planos!$E262)+1)))</f>
      </c>
      <c r="L264" s="44">
        <f>IF(OR(Planos!$A262="",NOT(ISNUMBER(Planos!$G262)),N(Planos!$E262)&lt;=0),0,IF(Planos!$G262&gt;EOMONTH(DATE(crono_ano_ref,7,1),0),0,MAX(0,INT((EOMONTH(DATE(crono_ano_ref,7,1),0)-IF(Planos!$G262&gt;=DATE(crono_ano_ref,7,1),Planos!$G262,Planos!$G262+CEILING((DATE(crono_ano_ref,7,1)-Planos!$G262)/Planos!$E262,1)*Planos!$E262))/Planos!$E262)+1)))</f>
      </c>
      <c r="M264" s="44">
        <f>IF(OR(Planos!$A262="",NOT(ISNUMBER(Planos!$G262)),N(Planos!$E262)&lt;=0),0,IF(Planos!$G262&gt;EOMONTH(DATE(crono_ano_ref,8,1),0),0,MAX(0,INT((EOMONTH(DATE(crono_ano_ref,8,1),0)-IF(Planos!$G262&gt;=DATE(crono_ano_ref,8,1),Planos!$G262,Planos!$G262+CEILING((DATE(crono_ano_ref,8,1)-Planos!$G262)/Planos!$E262,1)*Planos!$E262))/Planos!$E262)+1)))</f>
      </c>
      <c r="N264" s="44">
        <f>IF(OR(Planos!$A262="",NOT(ISNUMBER(Planos!$G262)),N(Planos!$E262)&lt;=0),0,IF(Planos!$G262&gt;EOMONTH(DATE(crono_ano_ref,9,1),0),0,MAX(0,INT((EOMONTH(DATE(crono_ano_ref,9,1),0)-IF(Planos!$G262&gt;=DATE(crono_ano_ref,9,1),Planos!$G262,Planos!$G262+CEILING((DATE(crono_ano_ref,9,1)-Planos!$G262)/Planos!$E262,1)*Planos!$E262))/Planos!$E262)+1)))</f>
      </c>
      <c r="O264" s="44">
        <f>IF(OR(Planos!$A262="",NOT(ISNUMBER(Planos!$G262)),N(Planos!$E262)&lt;=0),0,IF(Planos!$G262&gt;EOMONTH(DATE(crono_ano_ref,10,1),0),0,MAX(0,INT((EOMONTH(DATE(crono_ano_ref,10,1),0)-IF(Planos!$G262&gt;=DATE(crono_ano_ref,10,1),Planos!$G262,Planos!$G262+CEILING((DATE(crono_ano_ref,10,1)-Planos!$G262)/Planos!$E262,1)*Planos!$E262))/Planos!$E262)+1)))</f>
      </c>
      <c r="P264" s="44">
        <f>IF(OR(Planos!$A262="",NOT(ISNUMBER(Planos!$G262)),N(Planos!$E262)&lt;=0),0,IF(Planos!$G262&gt;EOMONTH(DATE(crono_ano_ref,11,1),0),0,MAX(0,INT((EOMONTH(DATE(crono_ano_ref,11,1),0)-IF(Planos!$G262&gt;=DATE(crono_ano_ref,11,1),Planos!$G262,Planos!$G262+CEILING((DATE(crono_ano_ref,11,1)-Planos!$G262)/Planos!$E262,1)*Planos!$E262))/Planos!$E262)+1)))</f>
      </c>
      <c r="Q264" s="44">
        <f>IF(OR(Planos!$A262="",NOT(ISNUMBER(Planos!$G262)),N(Planos!$E262)&lt;=0),0,IF(Planos!$G262&gt;EOMONTH(DATE(crono_ano_ref,12,1),0),0,MAX(0,INT((EOMONTH(DATE(crono_ano_ref,12,1),0)-IF(Planos!$G262&gt;=DATE(crono_ano_ref,12,1),Planos!$G262,Planos!$G262+CEILING((DATE(crono_ano_ref,12,1)-Planos!$G262)/Planos!$E262,1)*Planos!$E262))/Planos!$E262)+1)))</f>
      </c>
      <c r="R264" s="44">
        <f>SUM(F264:Q264)</f>
      </c>
    </row>
    <row r="265" spans="1:18" x14ac:dyDescent="0.25">
      <c r="A265" s="24">
        <f>IF(Planos!$A263="","",Planos!A263&amp;"")</f>
      </c>
      <c r="B265" s="41">
        <f>IF(Planos!$A263="","",Planos!B263&amp;"")</f>
      </c>
      <c r="C265" s="24">
        <f>IF(Planos!$A263="","",Planos!C263&amp;"")</f>
      </c>
      <c r="D265" s="42">
        <f>IF(Planos!$A263="","",N(Planos!E263))</f>
      </c>
      <c r="E265" s="43">
        <f>IF(Planos!$A263="","",N(Planos!K263))</f>
      </c>
      <c r="F265" s="44">
        <f>IF(OR(Planos!$A263="",NOT(ISNUMBER(Planos!$G263)),N(Planos!$E263)&lt;=0),0,IF(Planos!$G263&gt;EOMONTH(DATE(crono_ano_ref,1,1),0),0,MAX(0,INT((EOMONTH(DATE(crono_ano_ref,1,1),0)-IF(Planos!$G263&gt;=DATE(crono_ano_ref,1,1),Planos!$G263,Planos!$G263+CEILING((DATE(crono_ano_ref,1,1)-Planos!$G263)/Planos!$E263,1)*Planos!$E263))/Planos!$E263)+1)))</f>
      </c>
      <c r="G265" s="44">
        <f>IF(OR(Planos!$A263="",NOT(ISNUMBER(Planos!$G263)),N(Planos!$E263)&lt;=0),0,IF(Planos!$G263&gt;EOMONTH(DATE(crono_ano_ref,2,1),0),0,MAX(0,INT((EOMONTH(DATE(crono_ano_ref,2,1),0)-IF(Planos!$G263&gt;=DATE(crono_ano_ref,2,1),Planos!$G263,Planos!$G263+CEILING((DATE(crono_ano_ref,2,1)-Planos!$G263)/Planos!$E263,1)*Planos!$E263))/Planos!$E263)+1)))</f>
      </c>
      <c r="H265" s="44">
        <f>IF(OR(Planos!$A263="",NOT(ISNUMBER(Planos!$G263)),N(Planos!$E263)&lt;=0),0,IF(Planos!$G263&gt;EOMONTH(DATE(crono_ano_ref,3,1),0),0,MAX(0,INT((EOMONTH(DATE(crono_ano_ref,3,1),0)-IF(Planos!$G263&gt;=DATE(crono_ano_ref,3,1),Planos!$G263,Planos!$G263+CEILING((DATE(crono_ano_ref,3,1)-Planos!$G263)/Planos!$E263,1)*Planos!$E263))/Planos!$E263)+1)))</f>
      </c>
      <c r="I265" s="44">
        <f>IF(OR(Planos!$A263="",NOT(ISNUMBER(Planos!$G263)),N(Planos!$E263)&lt;=0),0,IF(Planos!$G263&gt;EOMONTH(DATE(crono_ano_ref,4,1),0),0,MAX(0,INT((EOMONTH(DATE(crono_ano_ref,4,1),0)-IF(Planos!$G263&gt;=DATE(crono_ano_ref,4,1),Planos!$G263,Planos!$G263+CEILING((DATE(crono_ano_ref,4,1)-Planos!$G263)/Planos!$E263,1)*Planos!$E263))/Planos!$E263)+1)))</f>
      </c>
      <c r="J265" s="44">
        <f>IF(OR(Planos!$A263="",NOT(ISNUMBER(Planos!$G263)),N(Planos!$E263)&lt;=0),0,IF(Planos!$G263&gt;EOMONTH(DATE(crono_ano_ref,5,1),0),0,MAX(0,INT((EOMONTH(DATE(crono_ano_ref,5,1),0)-IF(Planos!$G263&gt;=DATE(crono_ano_ref,5,1),Planos!$G263,Planos!$G263+CEILING((DATE(crono_ano_ref,5,1)-Planos!$G263)/Planos!$E263,1)*Planos!$E263))/Planos!$E263)+1)))</f>
      </c>
      <c r="K265" s="44">
        <f>IF(OR(Planos!$A263="",NOT(ISNUMBER(Planos!$G263)),N(Planos!$E263)&lt;=0),0,IF(Planos!$G263&gt;EOMONTH(DATE(crono_ano_ref,6,1),0),0,MAX(0,INT((EOMONTH(DATE(crono_ano_ref,6,1),0)-IF(Planos!$G263&gt;=DATE(crono_ano_ref,6,1),Planos!$G263,Planos!$G263+CEILING((DATE(crono_ano_ref,6,1)-Planos!$G263)/Planos!$E263,1)*Planos!$E263))/Planos!$E263)+1)))</f>
      </c>
      <c r="L265" s="44">
        <f>IF(OR(Planos!$A263="",NOT(ISNUMBER(Planos!$G263)),N(Planos!$E263)&lt;=0),0,IF(Planos!$G263&gt;EOMONTH(DATE(crono_ano_ref,7,1),0),0,MAX(0,INT((EOMONTH(DATE(crono_ano_ref,7,1),0)-IF(Planos!$G263&gt;=DATE(crono_ano_ref,7,1),Planos!$G263,Planos!$G263+CEILING((DATE(crono_ano_ref,7,1)-Planos!$G263)/Planos!$E263,1)*Planos!$E263))/Planos!$E263)+1)))</f>
      </c>
      <c r="M265" s="44">
        <f>IF(OR(Planos!$A263="",NOT(ISNUMBER(Planos!$G263)),N(Planos!$E263)&lt;=0),0,IF(Planos!$G263&gt;EOMONTH(DATE(crono_ano_ref,8,1),0),0,MAX(0,INT((EOMONTH(DATE(crono_ano_ref,8,1),0)-IF(Planos!$G263&gt;=DATE(crono_ano_ref,8,1),Planos!$G263,Planos!$G263+CEILING((DATE(crono_ano_ref,8,1)-Planos!$G263)/Planos!$E263,1)*Planos!$E263))/Planos!$E263)+1)))</f>
      </c>
      <c r="N265" s="44">
        <f>IF(OR(Planos!$A263="",NOT(ISNUMBER(Planos!$G263)),N(Planos!$E263)&lt;=0),0,IF(Planos!$G263&gt;EOMONTH(DATE(crono_ano_ref,9,1),0),0,MAX(0,INT((EOMONTH(DATE(crono_ano_ref,9,1),0)-IF(Planos!$G263&gt;=DATE(crono_ano_ref,9,1),Planos!$G263,Planos!$G263+CEILING((DATE(crono_ano_ref,9,1)-Planos!$G263)/Planos!$E263,1)*Planos!$E263))/Planos!$E263)+1)))</f>
      </c>
      <c r="O265" s="44">
        <f>IF(OR(Planos!$A263="",NOT(ISNUMBER(Planos!$G263)),N(Planos!$E263)&lt;=0),0,IF(Planos!$G263&gt;EOMONTH(DATE(crono_ano_ref,10,1),0),0,MAX(0,INT((EOMONTH(DATE(crono_ano_ref,10,1),0)-IF(Planos!$G263&gt;=DATE(crono_ano_ref,10,1),Planos!$G263,Planos!$G263+CEILING((DATE(crono_ano_ref,10,1)-Planos!$G263)/Planos!$E263,1)*Planos!$E263))/Planos!$E263)+1)))</f>
      </c>
      <c r="P265" s="44">
        <f>IF(OR(Planos!$A263="",NOT(ISNUMBER(Planos!$G263)),N(Planos!$E263)&lt;=0),0,IF(Planos!$G263&gt;EOMONTH(DATE(crono_ano_ref,11,1),0),0,MAX(0,INT((EOMONTH(DATE(crono_ano_ref,11,1),0)-IF(Planos!$G263&gt;=DATE(crono_ano_ref,11,1),Planos!$G263,Planos!$G263+CEILING((DATE(crono_ano_ref,11,1)-Planos!$G263)/Planos!$E263,1)*Planos!$E263))/Planos!$E263)+1)))</f>
      </c>
      <c r="Q265" s="44">
        <f>IF(OR(Planos!$A263="",NOT(ISNUMBER(Planos!$G263)),N(Planos!$E263)&lt;=0),0,IF(Planos!$G263&gt;EOMONTH(DATE(crono_ano_ref,12,1),0),0,MAX(0,INT((EOMONTH(DATE(crono_ano_ref,12,1),0)-IF(Planos!$G263&gt;=DATE(crono_ano_ref,12,1),Planos!$G263,Planos!$G263+CEILING((DATE(crono_ano_ref,12,1)-Planos!$G263)/Planos!$E263,1)*Planos!$E263))/Planos!$E263)+1)))</f>
      </c>
      <c r="R265" s="44">
        <f>SUM(F265:Q265)</f>
      </c>
    </row>
    <row r="266" spans="1:18" x14ac:dyDescent="0.25">
      <c r="A266" s="24">
        <f>IF(Planos!$A264="","",Planos!A264&amp;"")</f>
      </c>
      <c r="B266" s="41">
        <f>IF(Planos!$A264="","",Planos!B264&amp;"")</f>
      </c>
      <c r="C266" s="24">
        <f>IF(Planos!$A264="","",Planos!C264&amp;"")</f>
      </c>
      <c r="D266" s="42">
        <f>IF(Planos!$A264="","",N(Planos!E264))</f>
      </c>
      <c r="E266" s="43">
        <f>IF(Planos!$A264="","",N(Planos!K264))</f>
      </c>
      <c r="F266" s="44">
        <f>IF(OR(Planos!$A264="",NOT(ISNUMBER(Planos!$G264)),N(Planos!$E264)&lt;=0),0,IF(Planos!$G264&gt;EOMONTH(DATE(crono_ano_ref,1,1),0),0,MAX(0,INT((EOMONTH(DATE(crono_ano_ref,1,1),0)-IF(Planos!$G264&gt;=DATE(crono_ano_ref,1,1),Planos!$G264,Planos!$G264+CEILING((DATE(crono_ano_ref,1,1)-Planos!$G264)/Planos!$E264,1)*Planos!$E264))/Planos!$E264)+1)))</f>
      </c>
      <c r="G266" s="44">
        <f>IF(OR(Planos!$A264="",NOT(ISNUMBER(Planos!$G264)),N(Planos!$E264)&lt;=0),0,IF(Planos!$G264&gt;EOMONTH(DATE(crono_ano_ref,2,1),0),0,MAX(0,INT((EOMONTH(DATE(crono_ano_ref,2,1),0)-IF(Planos!$G264&gt;=DATE(crono_ano_ref,2,1),Planos!$G264,Planos!$G264+CEILING((DATE(crono_ano_ref,2,1)-Planos!$G264)/Planos!$E264,1)*Planos!$E264))/Planos!$E264)+1)))</f>
      </c>
      <c r="H266" s="44">
        <f>IF(OR(Planos!$A264="",NOT(ISNUMBER(Planos!$G264)),N(Planos!$E264)&lt;=0),0,IF(Planos!$G264&gt;EOMONTH(DATE(crono_ano_ref,3,1),0),0,MAX(0,INT((EOMONTH(DATE(crono_ano_ref,3,1),0)-IF(Planos!$G264&gt;=DATE(crono_ano_ref,3,1),Planos!$G264,Planos!$G264+CEILING((DATE(crono_ano_ref,3,1)-Planos!$G264)/Planos!$E264,1)*Planos!$E264))/Planos!$E264)+1)))</f>
      </c>
      <c r="I266" s="44">
        <f>IF(OR(Planos!$A264="",NOT(ISNUMBER(Planos!$G264)),N(Planos!$E264)&lt;=0),0,IF(Planos!$G264&gt;EOMONTH(DATE(crono_ano_ref,4,1),0),0,MAX(0,INT((EOMONTH(DATE(crono_ano_ref,4,1),0)-IF(Planos!$G264&gt;=DATE(crono_ano_ref,4,1),Planos!$G264,Planos!$G264+CEILING((DATE(crono_ano_ref,4,1)-Planos!$G264)/Planos!$E264,1)*Planos!$E264))/Planos!$E264)+1)))</f>
      </c>
      <c r="J266" s="44">
        <f>IF(OR(Planos!$A264="",NOT(ISNUMBER(Planos!$G264)),N(Planos!$E264)&lt;=0),0,IF(Planos!$G264&gt;EOMONTH(DATE(crono_ano_ref,5,1),0),0,MAX(0,INT((EOMONTH(DATE(crono_ano_ref,5,1),0)-IF(Planos!$G264&gt;=DATE(crono_ano_ref,5,1),Planos!$G264,Planos!$G264+CEILING((DATE(crono_ano_ref,5,1)-Planos!$G264)/Planos!$E264,1)*Planos!$E264))/Planos!$E264)+1)))</f>
      </c>
      <c r="K266" s="44">
        <f>IF(OR(Planos!$A264="",NOT(ISNUMBER(Planos!$G264)),N(Planos!$E264)&lt;=0),0,IF(Planos!$G264&gt;EOMONTH(DATE(crono_ano_ref,6,1),0),0,MAX(0,INT((EOMONTH(DATE(crono_ano_ref,6,1),0)-IF(Planos!$G264&gt;=DATE(crono_ano_ref,6,1),Planos!$G264,Planos!$G264+CEILING((DATE(crono_ano_ref,6,1)-Planos!$G264)/Planos!$E264,1)*Planos!$E264))/Planos!$E264)+1)))</f>
      </c>
      <c r="L266" s="44">
        <f>IF(OR(Planos!$A264="",NOT(ISNUMBER(Planos!$G264)),N(Planos!$E264)&lt;=0),0,IF(Planos!$G264&gt;EOMONTH(DATE(crono_ano_ref,7,1),0),0,MAX(0,INT((EOMONTH(DATE(crono_ano_ref,7,1),0)-IF(Planos!$G264&gt;=DATE(crono_ano_ref,7,1),Planos!$G264,Planos!$G264+CEILING((DATE(crono_ano_ref,7,1)-Planos!$G264)/Planos!$E264,1)*Planos!$E264))/Planos!$E264)+1)))</f>
      </c>
      <c r="M266" s="44">
        <f>IF(OR(Planos!$A264="",NOT(ISNUMBER(Planos!$G264)),N(Planos!$E264)&lt;=0),0,IF(Planos!$G264&gt;EOMONTH(DATE(crono_ano_ref,8,1),0),0,MAX(0,INT((EOMONTH(DATE(crono_ano_ref,8,1),0)-IF(Planos!$G264&gt;=DATE(crono_ano_ref,8,1),Planos!$G264,Planos!$G264+CEILING((DATE(crono_ano_ref,8,1)-Planos!$G264)/Planos!$E264,1)*Planos!$E264))/Planos!$E264)+1)))</f>
      </c>
      <c r="N266" s="44">
        <f>IF(OR(Planos!$A264="",NOT(ISNUMBER(Planos!$G264)),N(Planos!$E264)&lt;=0),0,IF(Planos!$G264&gt;EOMONTH(DATE(crono_ano_ref,9,1),0),0,MAX(0,INT((EOMONTH(DATE(crono_ano_ref,9,1),0)-IF(Planos!$G264&gt;=DATE(crono_ano_ref,9,1),Planos!$G264,Planos!$G264+CEILING((DATE(crono_ano_ref,9,1)-Planos!$G264)/Planos!$E264,1)*Planos!$E264))/Planos!$E264)+1)))</f>
      </c>
      <c r="O266" s="44">
        <f>IF(OR(Planos!$A264="",NOT(ISNUMBER(Planos!$G264)),N(Planos!$E264)&lt;=0),0,IF(Planos!$G264&gt;EOMONTH(DATE(crono_ano_ref,10,1),0),0,MAX(0,INT((EOMONTH(DATE(crono_ano_ref,10,1),0)-IF(Planos!$G264&gt;=DATE(crono_ano_ref,10,1),Planos!$G264,Planos!$G264+CEILING((DATE(crono_ano_ref,10,1)-Planos!$G264)/Planos!$E264,1)*Planos!$E264))/Planos!$E264)+1)))</f>
      </c>
      <c r="P266" s="44">
        <f>IF(OR(Planos!$A264="",NOT(ISNUMBER(Planos!$G264)),N(Planos!$E264)&lt;=0),0,IF(Planos!$G264&gt;EOMONTH(DATE(crono_ano_ref,11,1),0),0,MAX(0,INT((EOMONTH(DATE(crono_ano_ref,11,1),0)-IF(Planos!$G264&gt;=DATE(crono_ano_ref,11,1),Planos!$G264,Planos!$G264+CEILING((DATE(crono_ano_ref,11,1)-Planos!$G264)/Planos!$E264,1)*Planos!$E264))/Planos!$E264)+1)))</f>
      </c>
      <c r="Q266" s="44">
        <f>IF(OR(Planos!$A264="",NOT(ISNUMBER(Planos!$G264)),N(Planos!$E264)&lt;=0),0,IF(Planos!$G264&gt;EOMONTH(DATE(crono_ano_ref,12,1),0),0,MAX(0,INT((EOMONTH(DATE(crono_ano_ref,12,1),0)-IF(Planos!$G264&gt;=DATE(crono_ano_ref,12,1),Planos!$G264,Planos!$G264+CEILING((DATE(crono_ano_ref,12,1)-Planos!$G264)/Planos!$E264,1)*Planos!$E264))/Planos!$E264)+1)))</f>
      </c>
      <c r="R266" s="44">
        <f>SUM(F266:Q266)</f>
      </c>
    </row>
    <row r="267" spans="1:18" x14ac:dyDescent="0.25">
      <c r="A267" s="24">
        <f>IF(Planos!$A265="","",Planos!A265&amp;"")</f>
      </c>
      <c r="B267" s="41">
        <f>IF(Planos!$A265="","",Planos!B265&amp;"")</f>
      </c>
      <c r="C267" s="24">
        <f>IF(Planos!$A265="","",Planos!C265&amp;"")</f>
      </c>
      <c r="D267" s="42">
        <f>IF(Planos!$A265="","",N(Planos!E265))</f>
      </c>
      <c r="E267" s="43">
        <f>IF(Planos!$A265="","",N(Planos!K265))</f>
      </c>
      <c r="F267" s="44">
        <f>IF(OR(Planos!$A265="",NOT(ISNUMBER(Planos!$G265)),N(Planos!$E265)&lt;=0),0,IF(Planos!$G265&gt;EOMONTH(DATE(crono_ano_ref,1,1),0),0,MAX(0,INT((EOMONTH(DATE(crono_ano_ref,1,1),0)-IF(Planos!$G265&gt;=DATE(crono_ano_ref,1,1),Planos!$G265,Planos!$G265+CEILING((DATE(crono_ano_ref,1,1)-Planos!$G265)/Planos!$E265,1)*Planos!$E265))/Planos!$E265)+1)))</f>
      </c>
      <c r="G267" s="44">
        <f>IF(OR(Planos!$A265="",NOT(ISNUMBER(Planos!$G265)),N(Planos!$E265)&lt;=0),0,IF(Planos!$G265&gt;EOMONTH(DATE(crono_ano_ref,2,1),0),0,MAX(0,INT((EOMONTH(DATE(crono_ano_ref,2,1),0)-IF(Planos!$G265&gt;=DATE(crono_ano_ref,2,1),Planos!$G265,Planos!$G265+CEILING((DATE(crono_ano_ref,2,1)-Planos!$G265)/Planos!$E265,1)*Planos!$E265))/Planos!$E265)+1)))</f>
      </c>
      <c r="H267" s="44">
        <f>IF(OR(Planos!$A265="",NOT(ISNUMBER(Planos!$G265)),N(Planos!$E265)&lt;=0),0,IF(Planos!$G265&gt;EOMONTH(DATE(crono_ano_ref,3,1),0),0,MAX(0,INT((EOMONTH(DATE(crono_ano_ref,3,1),0)-IF(Planos!$G265&gt;=DATE(crono_ano_ref,3,1),Planos!$G265,Planos!$G265+CEILING((DATE(crono_ano_ref,3,1)-Planos!$G265)/Planos!$E265,1)*Planos!$E265))/Planos!$E265)+1)))</f>
      </c>
      <c r="I267" s="44">
        <f>IF(OR(Planos!$A265="",NOT(ISNUMBER(Planos!$G265)),N(Planos!$E265)&lt;=0),0,IF(Planos!$G265&gt;EOMONTH(DATE(crono_ano_ref,4,1),0),0,MAX(0,INT((EOMONTH(DATE(crono_ano_ref,4,1),0)-IF(Planos!$G265&gt;=DATE(crono_ano_ref,4,1),Planos!$G265,Planos!$G265+CEILING((DATE(crono_ano_ref,4,1)-Planos!$G265)/Planos!$E265,1)*Planos!$E265))/Planos!$E265)+1)))</f>
      </c>
      <c r="J267" s="44">
        <f>IF(OR(Planos!$A265="",NOT(ISNUMBER(Planos!$G265)),N(Planos!$E265)&lt;=0),0,IF(Planos!$G265&gt;EOMONTH(DATE(crono_ano_ref,5,1),0),0,MAX(0,INT((EOMONTH(DATE(crono_ano_ref,5,1),0)-IF(Planos!$G265&gt;=DATE(crono_ano_ref,5,1),Planos!$G265,Planos!$G265+CEILING((DATE(crono_ano_ref,5,1)-Planos!$G265)/Planos!$E265,1)*Planos!$E265))/Planos!$E265)+1)))</f>
      </c>
      <c r="K267" s="44">
        <f>IF(OR(Planos!$A265="",NOT(ISNUMBER(Planos!$G265)),N(Planos!$E265)&lt;=0),0,IF(Planos!$G265&gt;EOMONTH(DATE(crono_ano_ref,6,1),0),0,MAX(0,INT((EOMONTH(DATE(crono_ano_ref,6,1),0)-IF(Planos!$G265&gt;=DATE(crono_ano_ref,6,1),Planos!$G265,Planos!$G265+CEILING((DATE(crono_ano_ref,6,1)-Planos!$G265)/Planos!$E265,1)*Planos!$E265))/Planos!$E265)+1)))</f>
      </c>
      <c r="L267" s="44">
        <f>IF(OR(Planos!$A265="",NOT(ISNUMBER(Planos!$G265)),N(Planos!$E265)&lt;=0),0,IF(Planos!$G265&gt;EOMONTH(DATE(crono_ano_ref,7,1),0),0,MAX(0,INT((EOMONTH(DATE(crono_ano_ref,7,1),0)-IF(Planos!$G265&gt;=DATE(crono_ano_ref,7,1),Planos!$G265,Planos!$G265+CEILING((DATE(crono_ano_ref,7,1)-Planos!$G265)/Planos!$E265,1)*Planos!$E265))/Planos!$E265)+1)))</f>
      </c>
      <c r="M267" s="44">
        <f>IF(OR(Planos!$A265="",NOT(ISNUMBER(Planos!$G265)),N(Planos!$E265)&lt;=0),0,IF(Planos!$G265&gt;EOMONTH(DATE(crono_ano_ref,8,1),0),0,MAX(0,INT((EOMONTH(DATE(crono_ano_ref,8,1),0)-IF(Planos!$G265&gt;=DATE(crono_ano_ref,8,1),Planos!$G265,Planos!$G265+CEILING((DATE(crono_ano_ref,8,1)-Planos!$G265)/Planos!$E265,1)*Planos!$E265))/Planos!$E265)+1)))</f>
      </c>
      <c r="N267" s="44">
        <f>IF(OR(Planos!$A265="",NOT(ISNUMBER(Planos!$G265)),N(Planos!$E265)&lt;=0),0,IF(Planos!$G265&gt;EOMONTH(DATE(crono_ano_ref,9,1),0),0,MAX(0,INT((EOMONTH(DATE(crono_ano_ref,9,1),0)-IF(Planos!$G265&gt;=DATE(crono_ano_ref,9,1),Planos!$G265,Planos!$G265+CEILING((DATE(crono_ano_ref,9,1)-Planos!$G265)/Planos!$E265,1)*Planos!$E265))/Planos!$E265)+1)))</f>
      </c>
      <c r="O267" s="44">
        <f>IF(OR(Planos!$A265="",NOT(ISNUMBER(Planos!$G265)),N(Planos!$E265)&lt;=0),0,IF(Planos!$G265&gt;EOMONTH(DATE(crono_ano_ref,10,1),0),0,MAX(0,INT((EOMONTH(DATE(crono_ano_ref,10,1),0)-IF(Planos!$G265&gt;=DATE(crono_ano_ref,10,1),Planos!$G265,Planos!$G265+CEILING((DATE(crono_ano_ref,10,1)-Planos!$G265)/Planos!$E265,1)*Planos!$E265))/Planos!$E265)+1)))</f>
      </c>
      <c r="P267" s="44">
        <f>IF(OR(Planos!$A265="",NOT(ISNUMBER(Planos!$G265)),N(Planos!$E265)&lt;=0),0,IF(Planos!$G265&gt;EOMONTH(DATE(crono_ano_ref,11,1),0),0,MAX(0,INT((EOMONTH(DATE(crono_ano_ref,11,1),0)-IF(Planos!$G265&gt;=DATE(crono_ano_ref,11,1),Planos!$G265,Planos!$G265+CEILING((DATE(crono_ano_ref,11,1)-Planos!$G265)/Planos!$E265,1)*Planos!$E265))/Planos!$E265)+1)))</f>
      </c>
      <c r="Q267" s="44">
        <f>IF(OR(Planos!$A265="",NOT(ISNUMBER(Planos!$G265)),N(Planos!$E265)&lt;=0),0,IF(Planos!$G265&gt;EOMONTH(DATE(crono_ano_ref,12,1),0),0,MAX(0,INT((EOMONTH(DATE(crono_ano_ref,12,1),0)-IF(Planos!$G265&gt;=DATE(crono_ano_ref,12,1),Planos!$G265,Planos!$G265+CEILING((DATE(crono_ano_ref,12,1)-Planos!$G265)/Planos!$E265,1)*Planos!$E265))/Planos!$E265)+1)))</f>
      </c>
      <c r="R267" s="44">
        <f>SUM(F267:Q267)</f>
      </c>
    </row>
    <row r="268" spans="1:18" x14ac:dyDescent="0.25">
      <c r="A268" s="24">
        <f>IF(Planos!$A266="","",Planos!A266&amp;"")</f>
      </c>
      <c r="B268" s="41">
        <f>IF(Planos!$A266="","",Planos!B266&amp;"")</f>
      </c>
      <c r="C268" s="24">
        <f>IF(Planos!$A266="","",Planos!C266&amp;"")</f>
      </c>
      <c r="D268" s="42">
        <f>IF(Planos!$A266="","",N(Planos!E266))</f>
      </c>
      <c r="E268" s="43">
        <f>IF(Planos!$A266="","",N(Planos!K266))</f>
      </c>
      <c r="F268" s="44">
        <f>IF(OR(Planos!$A266="",NOT(ISNUMBER(Planos!$G266)),N(Planos!$E266)&lt;=0),0,IF(Planos!$G266&gt;EOMONTH(DATE(crono_ano_ref,1,1),0),0,MAX(0,INT((EOMONTH(DATE(crono_ano_ref,1,1),0)-IF(Planos!$G266&gt;=DATE(crono_ano_ref,1,1),Planos!$G266,Planos!$G266+CEILING((DATE(crono_ano_ref,1,1)-Planos!$G266)/Planos!$E266,1)*Planos!$E266))/Planos!$E266)+1)))</f>
      </c>
      <c r="G268" s="44">
        <f>IF(OR(Planos!$A266="",NOT(ISNUMBER(Planos!$G266)),N(Planos!$E266)&lt;=0),0,IF(Planos!$G266&gt;EOMONTH(DATE(crono_ano_ref,2,1),0),0,MAX(0,INT((EOMONTH(DATE(crono_ano_ref,2,1),0)-IF(Planos!$G266&gt;=DATE(crono_ano_ref,2,1),Planos!$G266,Planos!$G266+CEILING((DATE(crono_ano_ref,2,1)-Planos!$G266)/Planos!$E266,1)*Planos!$E266))/Planos!$E266)+1)))</f>
      </c>
      <c r="H268" s="44">
        <f>IF(OR(Planos!$A266="",NOT(ISNUMBER(Planos!$G266)),N(Planos!$E266)&lt;=0),0,IF(Planos!$G266&gt;EOMONTH(DATE(crono_ano_ref,3,1),0),0,MAX(0,INT((EOMONTH(DATE(crono_ano_ref,3,1),0)-IF(Planos!$G266&gt;=DATE(crono_ano_ref,3,1),Planos!$G266,Planos!$G266+CEILING((DATE(crono_ano_ref,3,1)-Planos!$G266)/Planos!$E266,1)*Planos!$E266))/Planos!$E266)+1)))</f>
      </c>
      <c r="I268" s="44">
        <f>IF(OR(Planos!$A266="",NOT(ISNUMBER(Planos!$G266)),N(Planos!$E266)&lt;=0),0,IF(Planos!$G266&gt;EOMONTH(DATE(crono_ano_ref,4,1),0),0,MAX(0,INT((EOMONTH(DATE(crono_ano_ref,4,1),0)-IF(Planos!$G266&gt;=DATE(crono_ano_ref,4,1),Planos!$G266,Planos!$G266+CEILING((DATE(crono_ano_ref,4,1)-Planos!$G266)/Planos!$E266,1)*Planos!$E266))/Planos!$E266)+1)))</f>
      </c>
      <c r="J268" s="44">
        <f>IF(OR(Planos!$A266="",NOT(ISNUMBER(Planos!$G266)),N(Planos!$E266)&lt;=0),0,IF(Planos!$G266&gt;EOMONTH(DATE(crono_ano_ref,5,1),0),0,MAX(0,INT((EOMONTH(DATE(crono_ano_ref,5,1),0)-IF(Planos!$G266&gt;=DATE(crono_ano_ref,5,1),Planos!$G266,Planos!$G266+CEILING((DATE(crono_ano_ref,5,1)-Planos!$G266)/Planos!$E266,1)*Planos!$E266))/Planos!$E266)+1)))</f>
      </c>
      <c r="K268" s="44">
        <f>IF(OR(Planos!$A266="",NOT(ISNUMBER(Planos!$G266)),N(Planos!$E266)&lt;=0),0,IF(Planos!$G266&gt;EOMONTH(DATE(crono_ano_ref,6,1),0),0,MAX(0,INT((EOMONTH(DATE(crono_ano_ref,6,1),0)-IF(Planos!$G266&gt;=DATE(crono_ano_ref,6,1),Planos!$G266,Planos!$G266+CEILING((DATE(crono_ano_ref,6,1)-Planos!$G266)/Planos!$E266,1)*Planos!$E266))/Planos!$E266)+1)))</f>
      </c>
      <c r="L268" s="44">
        <f>IF(OR(Planos!$A266="",NOT(ISNUMBER(Planos!$G266)),N(Planos!$E266)&lt;=0),0,IF(Planos!$G266&gt;EOMONTH(DATE(crono_ano_ref,7,1),0),0,MAX(0,INT((EOMONTH(DATE(crono_ano_ref,7,1),0)-IF(Planos!$G266&gt;=DATE(crono_ano_ref,7,1),Planos!$G266,Planos!$G266+CEILING((DATE(crono_ano_ref,7,1)-Planos!$G266)/Planos!$E266,1)*Planos!$E266))/Planos!$E266)+1)))</f>
      </c>
      <c r="M268" s="44">
        <f>IF(OR(Planos!$A266="",NOT(ISNUMBER(Planos!$G266)),N(Planos!$E266)&lt;=0),0,IF(Planos!$G266&gt;EOMONTH(DATE(crono_ano_ref,8,1),0),0,MAX(0,INT((EOMONTH(DATE(crono_ano_ref,8,1),0)-IF(Planos!$G266&gt;=DATE(crono_ano_ref,8,1),Planos!$G266,Planos!$G266+CEILING((DATE(crono_ano_ref,8,1)-Planos!$G266)/Planos!$E266,1)*Planos!$E266))/Planos!$E266)+1)))</f>
      </c>
      <c r="N268" s="44">
        <f>IF(OR(Planos!$A266="",NOT(ISNUMBER(Planos!$G266)),N(Planos!$E266)&lt;=0),0,IF(Planos!$G266&gt;EOMONTH(DATE(crono_ano_ref,9,1),0),0,MAX(0,INT((EOMONTH(DATE(crono_ano_ref,9,1),0)-IF(Planos!$G266&gt;=DATE(crono_ano_ref,9,1),Planos!$G266,Planos!$G266+CEILING((DATE(crono_ano_ref,9,1)-Planos!$G266)/Planos!$E266,1)*Planos!$E266))/Planos!$E266)+1)))</f>
      </c>
      <c r="O268" s="44">
        <f>IF(OR(Planos!$A266="",NOT(ISNUMBER(Planos!$G266)),N(Planos!$E266)&lt;=0),0,IF(Planos!$G266&gt;EOMONTH(DATE(crono_ano_ref,10,1),0),0,MAX(0,INT((EOMONTH(DATE(crono_ano_ref,10,1),0)-IF(Planos!$G266&gt;=DATE(crono_ano_ref,10,1),Planos!$G266,Planos!$G266+CEILING((DATE(crono_ano_ref,10,1)-Planos!$G266)/Planos!$E266,1)*Planos!$E266))/Planos!$E266)+1)))</f>
      </c>
      <c r="P268" s="44">
        <f>IF(OR(Planos!$A266="",NOT(ISNUMBER(Planos!$G266)),N(Planos!$E266)&lt;=0),0,IF(Planos!$G266&gt;EOMONTH(DATE(crono_ano_ref,11,1),0),0,MAX(0,INT((EOMONTH(DATE(crono_ano_ref,11,1),0)-IF(Planos!$G266&gt;=DATE(crono_ano_ref,11,1),Planos!$G266,Planos!$G266+CEILING((DATE(crono_ano_ref,11,1)-Planos!$G266)/Planos!$E266,1)*Planos!$E266))/Planos!$E266)+1)))</f>
      </c>
      <c r="Q268" s="44">
        <f>IF(OR(Planos!$A266="",NOT(ISNUMBER(Planos!$G266)),N(Planos!$E266)&lt;=0),0,IF(Planos!$G266&gt;EOMONTH(DATE(crono_ano_ref,12,1),0),0,MAX(0,INT((EOMONTH(DATE(crono_ano_ref,12,1),0)-IF(Planos!$G266&gt;=DATE(crono_ano_ref,12,1),Planos!$G266,Planos!$G266+CEILING((DATE(crono_ano_ref,12,1)-Planos!$G266)/Planos!$E266,1)*Planos!$E266))/Planos!$E266)+1)))</f>
      </c>
      <c r="R268" s="44">
        <f>SUM(F268:Q268)</f>
      </c>
    </row>
    <row r="269" spans="1:18" x14ac:dyDescent="0.25">
      <c r="A269" s="24">
        <f>IF(Planos!$A267="","",Planos!A267&amp;"")</f>
      </c>
      <c r="B269" s="41">
        <f>IF(Planos!$A267="","",Planos!B267&amp;"")</f>
      </c>
      <c r="C269" s="24">
        <f>IF(Planos!$A267="","",Planos!C267&amp;"")</f>
      </c>
      <c r="D269" s="42">
        <f>IF(Planos!$A267="","",N(Planos!E267))</f>
      </c>
      <c r="E269" s="43">
        <f>IF(Planos!$A267="","",N(Planos!K267))</f>
      </c>
      <c r="F269" s="44">
        <f>IF(OR(Planos!$A267="",NOT(ISNUMBER(Planos!$G267)),N(Planos!$E267)&lt;=0),0,IF(Planos!$G267&gt;EOMONTH(DATE(crono_ano_ref,1,1),0),0,MAX(0,INT((EOMONTH(DATE(crono_ano_ref,1,1),0)-IF(Planos!$G267&gt;=DATE(crono_ano_ref,1,1),Planos!$G267,Planos!$G267+CEILING((DATE(crono_ano_ref,1,1)-Planos!$G267)/Planos!$E267,1)*Planos!$E267))/Planos!$E267)+1)))</f>
      </c>
      <c r="G269" s="44">
        <f>IF(OR(Planos!$A267="",NOT(ISNUMBER(Planos!$G267)),N(Planos!$E267)&lt;=0),0,IF(Planos!$G267&gt;EOMONTH(DATE(crono_ano_ref,2,1),0),0,MAX(0,INT((EOMONTH(DATE(crono_ano_ref,2,1),0)-IF(Planos!$G267&gt;=DATE(crono_ano_ref,2,1),Planos!$G267,Planos!$G267+CEILING((DATE(crono_ano_ref,2,1)-Planos!$G267)/Planos!$E267,1)*Planos!$E267))/Planos!$E267)+1)))</f>
      </c>
      <c r="H269" s="44">
        <f>IF(OR(Planos!$A267="",NOT(ISNUMBER(Planos!$G267)),N(Planos!$E267)&lt;=0),0,IF(Planos!$G267&gt;EOMONTH(DATE(crono_ano_ref,3,1),0),0,MAX(0,INT((EOMONTH(DATE(crono_ano_ref,3,1),0)-IF(Planos!$G267&gt;=DATE(crono_ano_ref,3,1),Planos!$G267,Planos!$G267+CEILING((DATE(crono_ano_ref,3,1)-Planos!$G267)/Planos!$E267,1)*Planos!$E267))/Planos!$E267)+1)))</f>
      </c>
      <c r="I269" s="44">
        <f>IF(OR(Planos!$A267="",NOT(ISNUMBER(Planos!$G267)),N(Planos!$E267)&lt;=0),0,IF(Planos!$G267&gt;EOMONTH(DATE(crono_ano_ref,4,1),0),0,MAX(0,INT((EOMONTH(DATE(crono_ano_ref,4,1),0)-IF(Planos!$G267&gt;=DATE(crono_ano_ref,4,1),Planos!$G267,Planos!$G267+CEILING((DATE(crono_ano_ref,4,1)-Planos!$G267)/Planos!$E267,1)*Planos!$E267))/Planos!$E267)+1)))</f>
      </c>
      <c r="J269" s="44">
        <f>IF(OR(Planos!$A267="",NOT(ISNUMBER(Planos!$G267)),N(Planos!$E267)&lt;=0),0,IF(Planos!$G267&gt;EOMONTH(DATE(crono_ano_ref,5,1),0),0,MAX(0,INT((EOMONTH(DATE(crono_ano_ref,5,1),0)-IF(Planos!$G267&gt;=DATE(crono_ano_ref,5,1),Planos!$G267,Planos!$G267+CEILING((DATE(crono_ano_ref,5,1)-Planos!$G267)/Planos!$E267,1)*Planos!$E267))/Planos!$E267)+1)))</f>
      </c>
      <c r="K269" s="44">
        <f>IF(OR(Planos!$A267="",NOT(ISNUMBER(Planos!$G267)),N(Planos!$E267)&lt;=0),0,IF(Planos!$G267&gt;EOMONTH(DATE(crono_ano_ref,6,1),0),0,MAX(0,INT((EOMONTH(DATE(crono_ano_ref,6,1),0)-IF(Planos!$G267&gt;=DATE(crono_ano_ref,6,1),Planos!$G267,Planos!$G267+CEILING((DATE(crono_ano_ref,6,1)-Planos!$G267)/Planos!$E267,1)*Planos!$E267))/Planos!$E267)+1)))</f>
      </c>
      <c r="L269" s="44">
        <f>IF(OR(Planos!$A267="",NOT(ISNUMBER(Planos!$G267)),N(Planos!$E267)&lt;=0),0,IF(Planos!$G267&gt;EOMONTH(DATE(crono_ano_ref,7,1),0),0,MAX(0,INT((EOMONTH(DATE(crono_ano_ref,7,1),0)-IF(Planos!$G267&gt;=DATE(crono_ano_ref,7,1),Planos!$G267,Planos!$G267+CEILING((DATE(crono_ano_ref,7,1)-Planos!$G267)/Planos!$E267,1)*Planos!$E267))/Planos!$E267)+1)))</f>
      </c>
      <c r="M269" s="44">
        <f>IF(OR(Planos!$A267="",NOT(ISNUMBER(Planos!$G267)),N(Planos!$E267)&lt;=0),0,IF(Planos!$G267&gt;EOMONTH(DATE(crono_ano_ref,8,1),0),0,MAX(0,INT((EOMONTH(DATE(crono_ano_ref,8,1),0)-IF(Planos!$G267&gt;=DATE(crono_ano_ref,8,1),Planos!$G267,Planos!$G267+CEILING((DATE(crono_ano_ref,8,1)-Planos!$G267)/Planos!$E267,1)*Planos!$E267))/Planos!$E267)+1)))</f>
      </c>
      <c r="N269" s="44">
        <f>IF(OR(Planos!$A267="",NOT(ISNUMBER(Planos!$G267)),N(Planos!$E267)&lt;=0),0,IF(Planos!$G267&gt;EOMONTH(DATE(crono_ano_ref,9,1),0),0,MAX(0,INT((EOMONTH(DATE(crono_ano_ref,9,1),0)-IF(Planos!$G267&gt;=DATE(crono_ano_ref,9,1),Planos!$G267,Planos!$G267+CEILING((DATE(crono_ano_ref,9,1)-Planos!$G267)/Planos!$E267,1)*Planos!$E267))/Planos!$E267)+1)))</f>
      </c>
      <c r="O269" s="44">
        <f>IF(OR(Planos!$A267="",NOT(ISNUMBER(Planos!$G267)),N(Planos!$E267)&lt;=0),0,IF(Planos!$G267&gt;EOMONTH(DATE(crono_ano_ref,10,1),0),0,MAX(0,INT((EOMONTH(DATE(crono_ano_ref,10,1),0)-IF(Planos!$G267&gt;=DATE(crono_ano_ref,10,1),Planos!$G267,Planos!$G267+CEILING((DATE(crono_ano_ref,10,1)-Planos!$G267)/Planos!$E267,1)*Planos!$E267))/Planos!$E267)+1)))</f>
      </c>
      <c r="P269" s="44">
        <f>IF(OR(Planos!$A267="",NOT(ISNUMBER(Planos!$G267)),N(Planos!$E267)&lt;=0),0,IF(Planos!$G267&gt;EOMONTH(DATE(crono_ano_ref,11,1),0),0,MAX(0,INT((EOMONTH(DATE(crono_ano_ref,11,1),0)-IF(Planos!$G267&gt;=DATE(crono_ano_ref,11,1),Planos!$G267,Planos!$G267+CEILING((DATE(crono_ano_ref,11,1)-Planos!$G267)/Planos!$E267,1)*Planos!$E267))/Planos!$E267)+1)))</f>
      </c>
      <c r="Q269" s="44">
        <f>IF(OR(Planos!$A267="",NOT(ISNUMBER(Planos!$G267)),N(Planos!$E267)&lt;=0),0,IF(Planos!$G267&gt;EOMONTH(DATE(crono_ano_ref,12,1),0),0,MAX(0,INT((EOMONTH(DATE(crono_ano_ref,12,1),0)-IF(Planos!$G267&gt;=DATE(crono_ano_ref,12,1),Planos!$G267,Planos!$G267+CEILING((DATE(crono_ano_ref,12,1)-Planos!$G267)/Planos!$E267,1)*Planos!$E267))/Planos!$E267)+1)))</f>
      </c>
      <c r="R269" s="44">
        <f>SUM(F269:Q269)</f>
      </c>
    </row>
    <row r="270" spans="1:18" x14ac:dyDescent="0.25">
      <c r="A270" s="24">
        <f>IF(Planos!$A268="","",Planos!A268&amp;"")</f>
      </c>
      <c r="B270" s="41">
        <f>IF(Planos!$A268="","",Planos!B268&amp;"")</f>
      </c>
      <c r="C270" s="24">
        <f>IF(Planos!$A268="","",Planos!C268&amp;"")</f>
      </c>
      <c r="D270" s="42">
        <f>IF(Planos!$A268="","",N(Planos!E268))</f>
      </c>
      <c r="E270" s="43">
        <f>IF(Planos!$A268="","",N(Planos!K268))</f>
      </c>
      <c r="F270" s="44">
        <f>IF(OR(Planos!$A268="",NOT(ISNUMBER(Planos!$G268)),N(Planos!$E268)&lt;=0),0,IF(Planos!$G268&gt;EOMONTH(DATE(crono_ano_ref,1,1),0),0,MAX(0,INT((EOMONTH(DATE(crono_ano_ref,1,1),0)-IF(Planos!$G268&gt;=DATE(crono_ano_ref,1,1),Planos!$G268,Planos!$G268+CEILING((DATE(crono_ano_ref,1,1)-Planos!$G268)/Planos!$E268,1)*Planos!$E268))/Planos!$E268)+1)))</f>
      </c>
      <c r="G270" s="44">
        <f>IF(OR(Planos!$A268="",NOT(ISNUMBER(Planos!$G268)),N(Planos!$E268)&lt;=0),0,IF(Planos!$G268&gt;EOMONTH(DATE(crono_ano_ref,2,1),0),0,MAX(0,INT((EOMONTH(DATE(crono_ano_ref,2,1),0)-IF(Planos!$G268&gt;=DATE(crono_ano_ref,2,1),Planos!$G268,Planos!$G268+CEILING((DATE(crono_ano_ref,2,1)-Planos!$G268)/Planos!$E268,1)*Planos!$E268))/Planos!$E268)+1)))</f>
      </c>
      <c r="H270" s="44">
        <f>IF(OR(Planos!$A268="",NOT(ISNUMBER(Planos!$G268)),N(Planos!$E268)&lt;=0),0,IF(Planos!$G268&gt;EOMONTH(DATE(crono_ano_ref,3,1),0),0,MAX(0,INT((EOMONTH(DATE(crono_ano_ref,3,1),0)-IF(Planos!$G268&gt;=DATE(crono_ano_ref,3,1),Planos!$G268,Planos!$G268+CEILING((DATE(crono_ano_ref,3,1)-Planos!$G268)/Planos!$E268,1)*Planos!$E268))/Planos!$E268)+1)))</f>
      </c>
      <c r="I270" s="44">
        <f>IF(OR(Planos!$A268="",NOT(ISNUMBER(Planos!$G268)),N(Planos!$E268)&lt;=0),0,IF(Planos!$G268&gt;EOMONTH(DATE(crono_ano_ref,4,1),0),0,MAX(0,INT((EOMONTH(DATE(crono_ano_ref,4,1),0)-IF(Planos!$G268&gt;=DATE(crono_ano_ref,4,1),Planos!$G268,Planos!$G268+CEILING((DATE(crono_ano_ref,4,1)-Planos!$G268)/Planos!$E268,1)*Planos!$E268))/Planos!$E268)+1)))</f>
      </c>
      <c r="J270" s="44">
        <f>IF(OR(Planos!$A268="",NOT(ISNUMBER(Planos!$G268)),N(Planos!$E268)&lt;=0),0,IF(Planos!$G268&gt;EOMONTH(DATE(crono_ano_ref,5,1),0),0,MAX(0,INT((EOMONTH(DATE(crono_ano_ref,5,1),0)-IF(Planos!$G268&gt;=DATE(crono_ano_ref,5,1),Planos!$G268,Planos!$G268+CEILING((DATE(crono_ano_ref,5,1)-Planos!$G268)/Planos!$E268,1)*Planos!$E268))/Planos!$E268)+1)))</f>
      </c>
      <c r="K270" s="44">
        <f>IF(OR(Planos!$A268="",NOT(ISNUMBER(Planos!$G268)),N(Planos!$E268)&lt;=0),0,IF(Planos!$G268&gt;EOMONTH(DATE(crono_ano_ref,6,1),0),0,MAX(0,INT((EOMONTH(DATE(crono_ano_ref,6,1),0)-IF(Planos!$G268&gt;=DATE(crono_ano_ref,6,1),Planos!$G268,Planos!$G268+CEILING((DATE(crono_ano_ref,6,1)-Planos!$G268)/Planos!$E268,1)*Planos!$E268))/Planos!$E268)+1)))</f>
      </c>
      <c r="L270" s="44">
        <f>IF(OR(Planos!$A268="",NOT(ISNUMBER(Planos!$G268)),N(Planos!$E268)&lt;=0),0,IF(Planos!$G268&gt;EOMONTH(DATE(crono_ano_ref,7,1),0),0,MAX(0,INT((EOMONTH(DATE(crono_ano_ref,7,1),0)-IF(Planos!$G268&gt;=DATE(crono_ano_ref,7,1),Planos!$G268,Planos!$G268+CEILING((DATE(crono_ano_ref,7,1)-Planos!$G268)/Planos!$E268,1)*Planos!$E268))/Planos!$E268)+1)))</f>
      </c>
      <c r="M270" s="44">
        <f>IF(OR(Planos!$A268="",NOT(ISNUMBER(Planos!$G268)),N(Planos!$E268)&lt;=0),0,IF(Planos!$G268&gt;EOMONTH(DATE(crono_ano_ref,8,1),0),0,MAX(0,INT((EOMONTH(DATE(crono_ano_ref,8,1),0)-IF(Planos!$G268&gt;=DATE(crono_ano_ref,8,1),Planos!$G268,Planos!$G268+CEILING((DATE(crono_ano_ref,8,1)-Planos!$G268)/Planos!$E268,1)*Planos!$E268))/Planos!$E268)+1)))</f>
      </c>
      <c r="N270" s="44">
        <f>IF(OR(Planos!$A268="",NOT(ISNUMBER(Planos!$G268)),N(Planos!$E268)&lt;=0),0,IF(Planos!$G268&gt;EOMONTH(DATE(crono_ano_ref,9,1),0),0,MAX(0,INT((EOMONTH(DATE(crono_ano_ref,9,1),0)-IF(Planos!$G268&gt;=DATE(crono_ano_ref,9,1),Planos!$G268,Planos!$G268+CEILING((DATE(crono_ano_ref,9,1)-Planos!$G268)/Planos!$E268,1)*Planos!$E268))/Planos!$E268)+1)))</f>
      </c>
      <c r="O270" s="44">
        <f>IF(OR(Planos!$A268="",NOT(ISNUMBER(Planos!$G268)),N(Planos!$E268)&lt;=0),0,IF(Planos!$G268&gt;EOMONTH(DATE(crono_ano_ref,10,1),0),0,MAX(0,INT((EOMONTH(DATE(crono_ano_ref,10,1),0)-IF(Planos!$G268&gt;=DATE(crono_ano_ref,10,1),Planos!$G268,Planos!$G268+CEILING((DATE(crono_ano_ref,10,1)-Planos!$G268)/Planos!$E268,1)*Planos!$E268))/Planos!$E268)+1)))</f>
      </c>
      <c r="P270" s="44">
        <f>IF(OR(Planos!$A268="",NOT(ISNUMBER(Planos!$G268)),N(Planos!$E268)&lt;=0),0,IF(Planos!$G268&gt;EOMONTH(DATE(crono_ano_ref,11,1),0),0,MAX(0,INT((EOMONTH(DATE(crono_ano_ref,11,1),0)-IF(Planos!$G268&gt;=DATE(crono_ano_ref,11,1),Planos!$G268,Planos!$G268+CEILING((DATE(crono_ano_ref,11,1)-Planos!$G268)/Planos!$E268,1)*Planos!$E268))/Planos!$E268)+1)))</f>
      </c>
      <c r="Q270" s="44">
        <f>IF(OR(Planos!$A268="",NOT(ISNUMBER(Planos!$G268)),N(Planos!$E268)&lt;=0),0,IF(Planos!$G268&gt;EOMONTH(DATE(crono_ano_ref,12,1),0),0,MAX(0,INT((EOMONTH(DATE(crono_ano_ref,12,1),0)-IF(Planos!$G268&gt;=DATE(crono_ano_ref,12,1),Planos!$G268,Planos!$G268+CEILING((DATE(crono_ano_ref,12,1)-Planos!$G268)/Planos!$E268,1)*Planos!$E268))/Planos!$E268)+1)))</f>
      </c>
      <c r="R270" s="44">
        <f>SUM(F270:Q270)</f>
      </c>
    </row>
    <row r="271" spans="1:18" x14ac:dyDescent="0.25">
      <c r="A271" s="24">
        <f>IF(Planos!$A269="","",Planos!A269&amp;"")</f>
      </c>
      <c r="B271" s="41">
        <f>IF(Planos!$A269="","",Planos!B269&amp;"")</f>
      </c>
      <c r="C271" s="24">
        <f>IF(Planos!$A269="","",Planos!C269&amp;"")</f>
      </c>
      <c r="D271" s="42">
        <f>IF(Planos!$A269="","",N(Planos!E269))</f>
      </c>
      <c r="E271" s="43">
        <f>IF(Planos!$A269="","",N(Planos!K269))</f>
      </c>
      <c r="F271" s="44">
        <f>IF(OR(Planos!$A269="",NOT(ISNUMBER(Planos!$G269)),N(Planos!$E269)&lt;=0),0,IF(Planos!$G269&gt;EOMONTH(DATE(crono_ano_ref,1,1),0),0,MAX(0,INT((EOMONTH(DATE(crono_ano_ref,1,1),0)-IF(Planos!$G269&gt;=DATE(crono_ano_ref,1,1),Planos!$G269,Planos!$G269+CEILING((DATE(crono_ano_ref,1,1)-Planos!$G269)/Planos!$E269,1)*Planos!$E269))/Planos!$E269)+1)))</f>
      </c>
      <c r="G271" s="44">
        <f>IF(OR(Planos!$A269="",NOT(ISNUMBER(Planos!$G269)),N(Planos!$E269)&lt;=0),0,IF(Planos!$G269&gt;EOMONTH(DATE(crono_ano_ref,2,1),0),0,MAX(0,INT((EOMONTH(DATE(crono_ano_ref,2,1),0)-IF(Planos!$G269&gt;=DATE(crono_ano_ref,2,1),Planos!$G269,Planos!$G269+CEILING((DATE(crono_ano_ref,2,1)-Planos!$G269)/Planos!$E269,1)*Planos!$E269))/Planos!$E269)+1)))</f>
      </c>
      <c r="H271" s="44">
        <f>IF(OR(Planos!$A269="",NOT(ISNUMBER(Planos!$G269)),N(Planos!$E269)&lt;=0),0,IF(Planos!$G269&gt;EOMONTH(DATE(crono_ano_ref,3,1),0),0,MAX(0,INT((EOMONTH(DATE(crono_ano_ref,3,1),0)-IF(Planos!$G269&gt;=DATE(crono_ano_ref,3,1),Planos!$G269,Planos!$G269+CEILING((DATE(crono_ano_ref,3,1)-Planos!$G269)/Planos!$E269,1)*Planos!$E269))/Planos!$E269)+1)))</f>
      </c>
      <c r="I271" s="44">
        <f>IF(OR(Planos!$A269="",NOT(ISNUMBER(Planos!$G269)),N(Planos!$E269)&lt;=0),0,IF(Planos!$G269&gt;EOMONTH(DATE(crono_ano_ref,4,1),0),0,MAX(0,INT((EOMONTH(DATE(crono_ano_ref,4,1),0)-IF(Planos!$G269&gt;=DATE(crono_ano_ref,4,1),Planos!$G269,Planos!$G269+CEILING((DATE(crono_ano_ref,4,1)-Planos!$G269)/Planos!$E269,1)*Planos!$E269))/Planos!$E269)+1)))</f>
      </c>
      <c r="J271" s="44">
        <f>IF(OR(Planos!$A269="",NOT(ISNUMBER(Planos!$G269)),N(Planos!$E269)&lt;=0),0,IF(Planos!$G269&gt;EOMONTH(DATE(crono_ano_ref,5,1),0),0,MAX(0,INT((EOMONTH(DATE(crono_ano_ref,5,1),0)-IF(Planos!$G269&gt;=DATE(crono_ano_ref,5,1),Planos!$G269,Planos!$G269+CEILING((DATE(crono_ano_ref,5,1)-Planos!$G269)/Planos!$E269,1)*Planos!$E269))/Planos!$E269)+1)))</f>
      </c>
      <c r="K271" s="44">
        <f>IF(OR(Planos!$A269="",NOT(ISNUMBER(Planos!$G269)),N(Planos!$E269)&lt;=0),0,IF(Planos!$G269&gt;EOMONTH(DATE(crono_ano_ref,6,1),0),0,MAX(0,INT((EOMONTH(DATE(crono_ano_ref,6,1),0)-IF(Planos!$G269&gt;=DATE(crono_ano_ref,6,1),Planos!$G269,Planos!$G269+CEILING((DATE(crono_ano_ref,6,1)-Planos!$G269)/Planos!$E269,1)*Planos!$E269))/Planos!$E269)+1)))</f>
      </c>
      <c r="L271" s="44">
        <f>IF(OR(Planos!$A269="",NOT(ISNUMBER(Planos!$G269)),N(Planos!$E269)&lt;=0),0,IF(Planos!$G269&gt;EOMONTH(DATE(crono_ano_ref,7,1),0),0,MAX(0,INT((EOMONTH(DATE(crono_ano_ref,7,1),0)-IF(Planos!$G269&gt;=DATE(crono_ano_ref,7,1),Planos!$G269,Planos!$G269+CEILING((DATE(crono_ano_ref,7,1)-Planos!$G269)/Planos!$E269,1)*Planos!$E269))/Planos!$E269)+1)))</f>
      </c>
      <c r="M271" s="44">
        <f>IF(OR(Planos!$A269="",NOT(ISNUMBER(Planos!$G269)),N(Planos!$E269)&lt;=0),0,IF(Planos!$G269&gt;EOMONTH(DATE(crono_ano_ref,8,1),0),0,MAX(0,INT((EOMONTH(DATE(crono_ano_ref,8,1),0)-IF(Planos!$G269&gt;=DATE(crono_ano_ref,8,1),Planos!$G269,Planos!$G269+CEILING((DATE(crono_ano_ref,8,1)-Planos!$G269)/Planos!$E269,1)*Planos!$E269))/Planos!$E269)+1)))</f>
      </c>
      <c r="N271" s="44">
        <f>IF(OR(Planos!$A269="",NOT(ISNUMBER(Planos!$G269)),N(Planos!$E269)&lt;=0),0,IF(Planos!$G269&gt;EOMONTH(DATE(crono_ano_ref,9,1),0),0,MAX(0,INT((EOMONTH(DATE(crono_ano_ref,9,1),0)-IF(Planos!$G269&gt;=DATE(crono_ano_ref,9,1),Planos!$G269,Planos!$G269+CEILING((DATE(crono_ano_ref,9,1)-Planos!$G269)/Planos!$E269,1)*Planos!$E269))/Planos!$E269)+1)))</f>
      </c>
      <c r="O271" s="44">
        <f>IF(OR(Planos!$A269="",NOT(ISNUMBER(Planos!$G269)),N(Planos!$E269)&lt;=0),0,IF(Planos!$G269&gt;EOMONTH(DATE(crono_ano_ref,10,1),0),0,MAX(0,INT((EOMONTH(DATE(crono_ano_ref,10,1),0)-IF(Planos!$G269&gt;=DATE(crono_ano_ref,10,1),Planos!$G269,Planos!$G269+CEILING((DATE(crono_ano_ref,10,1)-Planos!$G269)/Planos!$E269,1)*Planos!$E269))/Planos!$E269)+1)))</f>
      </c>
      <c r="P271" s="44">
        <f>IF(OR(Planos!$A269="",NOT(ISNUMBER(Planos!$G269)),N(Planos!$E269)&lt;=0),0,IF(Planos!$G269&gt;EOMONTH(DATE(crono_ano_ref,11,1),0),0,MAX(0,INT((EOMONTH(DATE(crono_ano_ref,11,1),0)-IF(Planos!$G269&gt;=DATE(crono_ano_ref,11,1),Planos!$G269,Planos!$G269+CEILING((DATE(crono_ano_ref,11,1)-Planos!$G269)/Planos!$E269,1)*Planos!$E269))/Planos!$E269)+1)))</f>
      </c>
      <c r="Q271" s="44">
        <f>IF(OR(Planos!$A269="",NOT(ISNUMBER(Planos!$G269)),N(Planos!$E269)&lt;=0),0,IF(Planos!$G269&gt;EOMONTH(DATE(crono_ano_ref,12,1),0),0,MAX(0,INT((EOMONTH(DATE(crono_ano_ref,12,1),0)-IF(Planos!$G269&gt;=DATE(crono_ano_ref,12,1),Planos!$G269,Planos!$G269+CEILING((DATE(crono_ano_ref,12,1)-Planos!$G269)/Planos!$E269,1)*Planos!$E269))/Planos!$E269)+1)))</f>
      </c>
      <c r="R271" s="44">
        <f>SUM(F271:Q271)</f>
      </c>
    </row>
    <row r="272" spans="1:18" x14ac:dyDescent="0.25">
      <c r="A272" s="24">
        <f>IF(Planos!$A270="","",Planos!A270&amp;"")</f>
      </c>
      <c r="B272" s="41">
        <f>IF(Planos!$A270="","",Planos!B270&amp;"")</f>
      </c>
      <c r="C272" s="24">
        <f>IF(Planos!$A270="","",Planos!C270&amp;"")</f>
      </c>
      <c r="D272" s="42">
        <f>IF(Planos!$A270="","",N(Planos!E270))</f>
      </c>
      <c r="E272" s="43">
        <f>IF(Planos!$A270="","",N(Planos!K270))</f>
      </c>
      <c r="F272" s="44">
        <f>IF(OR(Planos!$A270="",NOT(ISNUMBER(Planos!$G270)),N(Planos!$E270)&lt;=0),0,IF(Planos!$G270&gt;EOMONTH(DATE(crono_ano_ref,1,1),0),0,MAX(0,INT((EOMONTH(DATE(crono_ano_ref,1,1),0)-IF(Planos!$G270&gt;=DATE(crono_ano_ref,1,1),Planos!$G270,Planos!$G270+CEILING((DATE(crono_ano_ref,1,1)-Planos!$G270)/Planos!$E270,1)*Planos!$E270))/Planos!$E270)+1)))</f>
      </c>
      <c r="G272" s="44">
        <f>IF(OR(Planos!$A270="",NOT(ISNUMBER(Planos!$G270)),N(Planos!$E270)&lt;=0),0,IF(Planos!$G270&gt;EOMONTH(DATE(crono_ano_ref,2,1),0),0,MAX(0,INT((EOMONTH(DATE(crono_ano_ref,2,1),0)-IF(Planos!$G270&gt;=DATE(crono_ano_ref,2,1),Planos!$G270,Planos!$G270+CEILING((DATE(crono_ano_ref,2,1)-Planos!$G270)/Planos!$E270,1)*Planos!$E270))/Planos!$E270)+1)))</f>
      </c>
      <c r="H272" s="44">
        <f>IF(OR(Planos!$A270="",NOT(ISNUMBER(Planos!$G270)),N(Planos!$E270)&lt;=0),0,IF(Planos!$G270&gt;EOMONTH(DATE(crono_ano_ref,3,1),0),0,MAX(0,INT((EOMONTH(DATE(crono_ano_ref,3,1),0)-IF(Planos!$G270&gt;=DATE(crono_ano_ref,3,1),Planos!$G270,Planos!$G270+CEILING((DATE(crono_ano_ref,3,1)-Planos!$G270)/Planos!$E270,1)*Planos!$E270))/Planos!$E270)+1)))</f>
      </c>
      <c r="I272" s="44">
        <f>IF(OR(Planos!$A270="",NOT(ISNUMBER(Planos!$G270)),N(Planos!$E270)&lt;=0),0,IF(Planos!$G270&gt;EOMONTH(DATE(crono_ano_ref,4,1),0),0,MAX(0,INT((EOMONTH(DATE(crono_ano_ref,4,1),0)-IF(Planos!$G270&gt;=DATE(crono_ano_ref,4,1),Planos!$G270,Planos!$G270+CEILING((DATE(crono_ano_ref,4,1)-Planos!$G270)/Planos!$E270,1)*Planos!$E270))/Planos!$E270)+1)))</f>
      </c>
      <c r="J272" s="44">
        <f>IF(OR(Planos!$A270="",NOT(ISNUMBER(Planos!$G270)),N(Planos!$E270)&lt;=0),0,IF(Planos!$G270&gt;EOMONTH(DATE(crono_ano_ref,5,1),0),0,MAX(0,INT((EOMONTH(DATE(crono_ano_ref,5,1),0)-IF(Planos!$G270&gt;=DATE(crono_ano_ref,5,1),Planos!$G270,Planos!$G270+CEILING((DATE(crono_ano_ref,5,1)-Planos!$G270)/Planos!$E270,1)*Planos!$E270))/Planos!$E270)+1)))</f>
      </c>
      <c r="K272" s="44">
        <f>IF(OR(Planos!$A270="",NOT(ISNUMBER(Planos!$G270)),N(Planos!$E270)&lt;=0),0,IF(Planos!$G270&gt;EOMONTH(DATE(crono_ano_ref,6,1),0),0,MAX(0,INT((EOMONTH(DATE(crono_ano_ref,6,1),0)-IF(Planos!$G270&gt;=DATE(crono_ano_ref,6,1),Planos!$G270,Planos!$G270+CEILING((DATE(crono_ano_ref,6,1)-Planos!$G270)/Planos!$E270,1)*Planos!$E270))/Planos!$E270)+1)))</f>
      </c>
      <c r="L272" s="44">
        <f>IF(OR(Planos!$A270="",NOT(ISNUMBER(Planos!$G270)),N(Planos!$E270)&lt;=0),0,IF(Planos!$G270&gt;EOMONTH(DATE(crono_ano_ref,7,1),0),0,MAX(0,INT((EOMONTH(DATE(crono_ano_ref,7,1),0)-IF(Planos!$G270&gt;=DATE(crono_ano_ref,7,1),Planos!$G270,Planos!$G270+CEILING((DATE(crono_ano_ref,7,1)-Planos!$G270)/Planos!$E270,1)*Planos!$E270))/Planos!$E270)+1)))</f>
      </c>
      <c r="M272" s="44">
        <f>IF(OR(Planos!$A270="",NOT(ISNUMBER(Planos!$G270)),N(Planos!$E270)&lt;=0),0,IF(Planos!$G270&gt;EOMONTH(DATE(crono_ano_ref,8,1),0),0,MAX(0,INT((EOMONTH(DATE(crono_ano_ref,8,1),0)-IF(Planos!$G270&gt;=DATE(crono_ano_ref,8,1),Planos!$G270,Planos!$G270+CEILING((DATE(crono_ano_ref,8,1)-Planos!$G270)/Planos!$E270,1)*Planos!$E270))/Planos!$E270)+1)))</f>
      </c>
      <c r="N272" s="44">
        <f>IF(OR(Planos!$A270="",NOT(ISNUMBER(Planos!$G270)),N(Planos!$E270)&lt;=0),0,IF(Planos!$G270&gt;EOMONTH(DATE(crono_ano_ref,9,1),0),0,MAX(0,INT((EOMONTH(DATE(crono_ano_ref,9,1),0)-IF(Planos!$G270&gt;=DATE(crono_ano_ref,9,1),Planos!$G270,Planos!$G270+CEILING((DATE(crono_ano_ref,9,1)-Planos!$G270)/Planos!$E270,1)*Planos!$E270))/Planos!$E270)+1)))</f>
      </c>
      <c r="O272" s="44">
        <f>IF(OR(Planos!$A270="",NOT(ISNUMBER(Planos!$G270)),N(Planos!$E270)&lt;=0),0,IF(Planos!$G270&gt;EOMONTH(DATE(crono_ano_ref,10,1),0),0,MAX(0,INT((EOMONTH(DATE(crono_ano_ref,10,1),0)-IF(Planos!$G270&gt;=DATE(crono_ano_ref,10,1),Planos!$G270,Planos!$G270+CEILING((DATE(crono_ano_ref,10,1)-Planos!$G270)/Planos!$E270,1)*Planos!$E270))/Planos!$E270)+1)))</f>
      </c>
      <c r="P272" s="44">
        <f>IF(OR(Planos!$A270="",NOT(ISNUMBER(Planos!$G270)),N(Planos!$E270)&lt;=0),0,IF(Planos!$G270&gt;EOMONTH(DATE(crono_ano_ref,11,1),0),0,MAX(0,INT((EOMONTH(DATE(crono_ano_ref,11,1),0)-IF(Planos!$G270&gt;=DATE(crono_ano_ref,11,1),Planos!$G270,Planos!$G270+CEILING((DATE(crono_ano_ref,11,1)-Planos!$G270)/Planos!$E270,1)*Planos!$E270))/Planos!$E270)+1)))</f>
      </c>
      <c r="Q272" s="44">
        <f>IF(OR(Planos!$A270="",NOT(ISNUMBER(Planos!$G270)),N(Planos!$E270)&lt;=0),0,IF(Planos!$G270&gt;EOMONTH(DATE(crono_ano_ref,12,1),0),0,MAX(0,INT((EOMONTH(DATE(crono_ano_ref,12,1),0)-IF(Planos!$G270&gt;=DATE(crono_ano_ref,12,1),Planos!$G270,Planos!$G270+CEILING((DATE(crono_ano_ref,12,1)-Planos!$G270)/Planos!$E270,1)*Planos!$E270))/Planos!$E270)+1)))</f>
      </c>
      <c r="R272" s="44">
        <f>SUM(F272:Q272)</f>
      </c>
    </row>
    <row r="273" spans="1:18" x14ac:dyDescent="0.25">
      <c r="A273" s="24">
        <f>IF(Planos!$A271="","",Planos!A271&amp;"")</f>
      </c>
      <c r="B273" s="41">
        <f>IF(Planos!$A271="","",Planos!B271&amp;"")</f>
      </c>
      <c r="C273" s="24">
        <f>IF(Planos!$A271="","",Planos!C271&amp;"")</f>
      </c>
      <c r="D273" s="42">
        <f>IF(Planos!$A271="","",N(Planos!E271))</f>
      </c>
      <c r="E273" s="43">
        <f>IF(Planos!$A271="","",N(Planos!K271))</f>
      </c>
      <c r="F273" s="44">
        <f>IF(OR(Planos!$A271="",NOT(ISNUMBER(Planos!$G271)),N(Planos!$E271)&lt;=0),0,IF(Planos!$G271&gt;EOMONTH(DATE(crono_ano_ref,1,1),0),0,MAX(0,INT((EOMONTH(DATE(crono_ano_ref,1,1),0)-IF(Planos!$G271&gt;=DATE(crono_ano_ref,1,1),Planos!$G271,Planos!$G271+CEILING((DATE(crono_ano_ref,1,1)-Planos!$G271)/Planos!$E271,1)*Planos!$E271))/Planos!$E271)+1)))</f>
      </c>
      <c r="G273" s="44">
        <f>IF(OR(Planos!$A271="",NOT(ISNUMBER(Planos!$G271)),N(Planos!$E271)&lt;=0),0,IF(Planos!$G271&gt;EOMONTH(DATE(crono_ano_ref,2,1),0),0,MAX(0,INT((EOMONTH(DATE(crono_ano_ref,2,1),0)-IF(Planos!$G271&gt;=DATE(crono_ano_ref,2,1),Planos!$G271,Planos!$G271+CEILING((DATE(crono_ano_ref,2,1)-Planos!$G271)/Planos!$E271,1)*Planos!$E271))/Planos!$E271)+1)))</f>
      </c>
      <c r="H273" s="44">
        <f>IF(OR(Planos!$A271="",NOT(ISNUMBER(Planos!$G271)),N(Planos!$E271)&lt;=0),0,IF(Planos!$G271&gt;EOMONTH(DATE(crono_ano_ref,3,1),0),0,MAX(0,INT((EOMONTH(DATE(crono_ano_ref,3,1),0)-IF(Planos!$G271&gt;=DATE(crono_ano_ref,3,1),Planos!$G271,Planos!$G271+CEILING((DATE(crono_ano_ref,3,1)-Planos!$G271)/Planos!$E271,1)*Planos!$E271))/Planos!$E271)+1)))</f>
      </c>
      <c r="I273" s="44">
        <f>IF(OR(Planos!$A271="",NOT(ISNUMBER(Planos!$G271)),N(Planos!$E271)&lt;=0),0,IF(Planos!$G271&gt;EOMONTH(DATE(crono_ano_ref,4,1),0),0,MAX(0,INT((EOMONTH(DATE(crono_ano_ref,4,1),0)-IF(Planos!$G271&gt;=DATE(crono_ano_ref,4,1),Planos!$G271,Planos!$G271+CEILING((DATE(crono_ano_ref,4,1)-Planos!$G271)/Planos!$E271,1)*Planos!$E271))/Planos!$E271)+1)))</f>
      </c>
      <c r="J273" s="44">
        <f>IF(OR(Planos!$A271="",NOT(ISNUMBER(Planos!$G271)),N(Planos!$E271)&lt;=0),0,IF(Planos!$G271&gt;EOMONTH(DATE(crono_ano_ref,5,1),0),0,MAX(0,INT((EOMONTH(DATE(crono_ano_ref,5,1),0)-IF(Planos!$G271&gt;=DATE(crono_ano_ref,5,1),Planos!$G271,Planos!$G271+CEILING((DATE(crono_ano_ref,5,1)-Planos!$G271)/Planos!$E271,1)*Planos!$E271))/Planos!$E271)+1)))</f>
      </c>
      <c r="K273" s="44">
        <f>IF(OR(Planos!$A271="",NOT(ISNUMBER(Planos!$G271)),N(Planos!$E271)&lt;=0),0,IF(Planos!$G271&gt;EOMONTH(DATE(crono_ano_ref,6,1),0),0,MAX(0,INT((EOMONTH(DATE(crono_ano_ref,6,1),0)-IF(Planos!$G271&gt;=DATE(crono_ano_ref,6,1),Planos!$G271,Planos!$G271+CEILING((DATE(crono_ano_ref,6,1)-Planos!$G271)/Planos!$E271,1)*Planos!$E271))/Planos!$E271)+1)))</f>
      </c>
      <c r="L273" s="44">
        <f>IF(OR(Planos!$A271="",NOT(ISNUMBER(Planos!$G271)),N(Planos!$E271)&lt;=0),0,IF(Planos!$G271&gt;EOMONTH(DATE(crono_ano_ref,7,1),0),0,MAX(0,INT((EOMONTH(DATE(crono_ano_ref,7,1),0)-IF(Planos!$G271&gt;=DATE(crono_ano_ref,7,1),Planos!$G271,Planos!$G271+CEILING((DATE(crono_ano_ref,7,1)-Planos!$G271)/Planos!$E271,1)*Planos!$E271))/Planos!$E271)+1)))</f>
      </c>
      <c r="M273" s="44">
        <f>IF(OR(Planos!$A271="",NOT(ISNUMBER(Planos!$G271)),N(Planos!$E271)&lt;=0),0,IF(Planos!$G271&gt;EOMONTH(DATE(crono_ano_ref,8,1),0),0,MAX(0,INT((EOMONTH(DATE(crono_ano_ref,8,1),0)-IF(Planos!$G271&gt;=DATE(crono_ano_ref,8,1),Planos!$G271,Planos!$G271+CEILING((DATE(crono_ano_ref,8,1)-Planos!$G271)/Planos!$E271,1)*Planos!$E271))/Planos!$E271)+1)))</f>
      </c>
      <c r="N273" s="44">
        <f>IF(OR(Planos!$A271="",NOT(ISNUMBER(Planos!$G271)),N(Planos!$E271)&lt;=0),0,IF(Planos!$G271&gt;EOMONTH(DATE(crono_ano_ref,9,1),0),0,MAX(0,INT((EOMONTH(DATE(crono_ano_ref,9,1),0)-IF(Planos!$G271&gt;=DATE(crono_ano_ref,9,1),Planos!$G271,Planos!$G271+CEILING((DATE(crono_ano_ref,9,1)-Planos!$G271)/Planos!$E271,1)*Planos!$E271))/Planos!$E271)+1)))</f>
      </c>
      <c r="O273" s="44">
        <f>IF(OR(Planos!$A271="",NOT(ISNUMBER(Planos!$G271)),N(Planos!$E271)&lt;=0),0,IF(Planos!$G271&gt;EOMONTH(DATE(crono_ano_ref,10,1),0),0,MAX(0,INT((EOMONTH(DATE(crono_ano_ref,10,1),0)-IF(Planos!$G271&gt;=DATE(crono_ano_ref,10,1),Planos!$G271,Planos!$G271+CEILING((DATE(crono_ano_ref,10,1)-Planos!$G271)/Planos!$E271,1)*Planos!$E271))/Planos!$E271)+1)))</f>
      </c>
      <c r="P273" s="44">
        <f>IF(OR(Planos!$A271="",NOT(ISNUMBER(Planos!$G271)),N(Planos!$E271)&lt;=0),0,IF(Planos!$G271&gt;EOMONTH(DATE(crono_ano_ref,11,1),0),0,MAX(0,INT((EOMONTH(DATE(crono_ano_ref,11,1),0)-IF(Planos!$G271&gt;=DATE(crono_ano_ref,11,1),Planos!$G271,Planos!$G271+CEILING((DATE(crono_ano_ref,11,1)-Planos!$G271)/Planos!$E271,1)*Planos!$E271))/Planos!$E271)+1)))</f>
      </c>
      <c r="Q273" s="44">
        <f>IF(OR(Planos!$A271="",NOT(ISNUMBER(Planos!$G271)),N(Planos!$E271)&lt;=0),0,IF(Planos!$G271&gt;EOMONTH(DATE(crono_ano_ref,12,1),0),0,MAX(0,INT((EOMONTH(DATE(crono_ano_ref,12,1),0)-IF(Planos!$G271&gt;=DATE(crono_ano_ref,12,1),Planos!$G271,Planos!$G271+CEILING((DATE(crono_ano_ref,12,1)-Planos!$G271)/Planos!$E271,1)*Planos!$E271))/Planos!$E271)+1)))</f>
      </c>
      <c r="R273" s="44">
        <f>SUM(F273:Q273)</f>
      </c>
    </row>
    <row r="274" spans="1:18" x14ac:dyDescent="0.25">
      <c r="A274" s="24">
        <f>IF(Planos!$A272="","",Planos!A272&amp;"")</f>
      </c>
      <c r="B274" s="41">
        <f>IF(Planos!$A272="","",Planos!B272&amp;"")</f>
      </c>
      <c r="C274" s="24">
        <f>IF(Planos!$A272="","",Planos!C272&amp;"")</f>
      </c>
      <c r="D274" s="42">
        <f>IF(Planos!$A272="","",N(Planos!E272))</f>
      </c>
      <c r="E274" s="43">
        <f>IF(Planos!$A272="","",N(Planos!K272))</f>
      </c>
      <c r="F274" s="44">
        <f>IF(OR(Planos!$A272="",NOT(ISNUMBER(Planos!$G272)),N(Planos!$E272)&lt;=0),0,IF(Planos!$G272&gt;EOMONTH(DATE(crono_ano_ref,1,1),0),0,MAX(0,INT((EOMONTH(DATE(crono_ano_ref,1,1),0)-IF(Planos!$G272&gt;=DATE(crono_ano_ref,1,1),Planos!$G272,Planos!$G272+CEILING((DATE(crono_ano_ref,1,1)-Planos!$G272)/Planos!$E272,1)*Planos!$E272))/Planos!$E272)+1)))</f>
      </c>
      <c r="G274" s="44">
        <f>IF(OR(Planos!$A272="",NOT(ISNUMBER(Planos!$G272)),N(Planos!$E272)&lt;=0),0,IF(Planos!$G272&gt;EOMONTH(DATE(crono_ano_ref,2,1),0),0,MAX(0,INT((EOMONTH(DATE(crono_ano_ref,2,1),0)-IF(Planos!$G272&gt;=DATE(crono_ano_ref,2,1),Planos!$G272,Planos!$G272+CEILING((DATE(crono_ano_ref,2,1)-Planos!$G272)/Planos!$E272,1)*Planos!$E272))/Planos!$E272)+1)))</f>
      </c>
      <c r="H274" s="44">
        <f>IF(OR(Planos!$A272="",NOT(ISNUMBER(Planos!$G272)),N(Planos!$E272)&lt;=0),0,IF(Planos!$G272&gt;EOMONTH(DATE(crono_ano_ref,3,1),0),0,MAX(0,INT((EOMONTH(DATE(crono_ano_ref,3,1),0)-IF(Planos!$G272&gt;=DATE(crono_ano_ref,3,1),Planos!$G272,Planos!$G272+CEILING((DATE(crono_ano_ref,3,1)-Planos!$G272)/Planos!$E272,1)*Planos!$E272))/Planos!$E272)+1)))</f>
      </c>
      <c r="I274" s="44">
        <f>IF(OR(Planos!$A272="",NOT(ISNUMBER(Planos!$G272)),N(Planos!$E272)&lt;=0),0,IF(Planos!$G272&gt;EOMONTH(DATE(crono_ano_ref,4,1),0),0,MAX(0,INT((EOMONTH(DATE(crono_ano_ref,4,1),0)-IF(Planos!$G272&gt;=DATE(crono_ano_ref,4,1),Planos!$G272,Planos!$G272+CEILING((DATE(crono_ano_ref,4,1)-Planos!$G272)/Planos!$E272,1)*Planos!$E272))/Planos!$E272)+1)))</f>
      </c>
      <c r="J274" s="44">
        <f>IF(OR(Planos!$A272="",NOT(ISNUMBER(Planos!$G272)),N(Planos!$E272)&lt;=0),0,IF(Planos!$G272&gt;EOMONTH(DATE(crono_ano_ref,5,1),0),0,MAX(0,INT((EOMONTH(DATE(crono_ano_ref,5,1),0)-IF(Planos!$G272&gt;=DATE(crono_ano_ref,5,1),Planos!$G272,Planos!$G272+CEILING((DATE(crono_ano_ref,5,1)-Planos!$G272)/Planos!$E272,1)*Planos!$E272))/Planos!$E272)+1)))</f>
      </c>
      <c r="K274" s="44">
        <f>IF(OR(Planos!$A272="",NOT(ISNUMBER(Planos!$G272)),N(Planos!$E272)&lt;=0),0,IF(Planos!$G272&gt;EOMONTH(DATE(crono_ano_ref,6,1),0),0,MAX(0,INT((EOMONTH(DATE(crono_ano_ref,6,1),0)-IF(Planos!$G272&gt;=DATE(crono_ano_ref,6,1),Planos!$G272,Planos!$G272+CEILING((DATE(crono_ano_ref,6,1)-Planos!$G272)/Planos!$E272,1)*Planos!$E272))/Planos!$E272)+1)))</f>
      </c>
      <c r="L274" s="44">
        <f>IF(OR(Planos!$A272="",NOT(ISNUMBER(Planos!$G272)),N(Planos!$E272)&lt;=0),0,IF(Planos!$G272&gt;EOMONTH(DATE(crono_ano_ref,7,1),0),0,MAX(0,INT((EOMONTH(DATE(crono_ano_ref,7,1),0)-IF(Planos!$G272&gt;=DATE(crono_ano_ref,7,1),Planos!$G272,Planos!$G272+CEILING((DATE(crono_ano_ref,7,1)-Planos!$G272)/Planos!$E272,1)*Planos!$E272))/Planos!$E272)+1)))</f>
      </c>
      <c r="M274" s="44">
        <f>IF(OR(Planos!$A272="",NOT(ISNUMBER(Planos!$G272)),N(Planos!$E272)&lt;=0),0,IF(Planos!$G272&gt;EOMONTH(DATE(crono_ano_ref,8,1),0),0,MAX(0,INT((EOMONTH(DATE(crono_ano_ref,8,1),0)-IF(Planos!$G272&gt;=DATE(crono_ano_ref,8,1),Planos!$G272,Planos!$G272+CEILING((DATE(crono_ano_ref,8,1)-Planos!$G272)/Planos!$E272,1)*Planos!$E272))/Planos!$E272)+1)))</f>
      </c>
      <c r="N274" s="44">
        <f>IF(OR(Planos!$A272="",NOT(ISNUMBER(Planos!$G272)),N(Planos!$E272)&lt;=0),0,IF(Planos!$G272&gt;EOMONTH(DATE(crono_ano_ref,9,1),0),0,MAX(0,INT((EOMONTH(DATE(crono_ano_ref,9,1),0)-IF(Planos!$G272&gt;=DATE(crono_ano_ref,9,1),Planos!$G272,Planos!$G272+CEILING((DATE(crono_ano_ref,9,1)-Planos!$G272)/Planos!$E272,1)*Planos!$E272))/Planos!$E272)+1)))</f>
      </c>
      <c r="O274" s="44">
        <f>IF(OR(Planos!$A272="",NOT(ISNUMBER(Planos!$G272)),N(Planos!$E272)&lt;=0),0,IF(Planos!$G272&gt;EOMONTH(DATE(crono_ano_ref,10,1),0),0,MAX(0,INT((EOMONTH(DATE(crono_ano_ref,10,1),0)-IF(Planos!$G272&gt;=DATE(crono_ano_ref,10,1),Planos!$G272,Planos!$G272+CEILING((DATE(crono_ano_ref,10,1)-Planos!$G272)/Planos!$E272,1)*Planos!$E272))/Planos!$E272)+1)))</f>
      </c>
      <c r="P274" s="44">
        <f>IF(OR(Planos!$A272="",NOT(ISNUMBER(Planos!$G272)),N(Planos!$E272)&lt;=0),0,IF(Planos!$G272&gt;EOMONTH(DATE(crono_ano_ref,11,1),0),0,MAX(0,INT((EOMONTH(DATE(crono_ano_ref,11,1),0)-IF(Planos!$G272&gt;=DATE(crono_ano_ref,11,1),Planos!$G272,Planos!$G272+CEILING((DATE(crono_ano_ref,11,1)-Planos!$G272)/Planos!$E272,1)*Planos!$E272))/Planos!$E272)+1)))</f>
      </c>
      <c r="Q274" s="44">
        <f>IF(OR(Planos!$A272="",NOT(ISNUMBER(Planos!$G272)),N(Planos!$E272)&lt;=0),0,IF(Planos!$G272&gt;EOMONTH(DATE(crono_ano_ref,12,1),0),0,MAX(0,INT((EOMONTH(DATE(crono_ano_ref,12,1),0)-IF(Planos!$G272&gt;=DATE(crono_ano_ref,12,1),Planos!$G272,Planos!$G272+CEILING((DATE(crono_ano_ref,12,1)-Planos!$G272)/Planos!$E272,1)*Planos!$E272))/Planos!$E272)+1)))</f>
      </c>
      <c r="R274" s="44">
        <f>SUM(F274:Q274)</f>
      </c>
    </row>
    <row r="275" spans="1:18" x14ac:dyDescent="0.25">
      <c r="A275" s="24">
        <f>IF(Planos!$A273="","",Planos!A273&amp;"")</f>
      </c>
      <c r="B275" s="41">
        <f>IF(Planos!$A273="","",Planos!B273&amp;"")</f>
      </c>
      <c r="C275" s="24">
        <f>IF(Planos!$A273="","",Planos!C273&amp;"")</f>
      </c>
      <c r="D275" s="42">
        <f>IF(Planos!$A273="","",N(Planos!E273))</f>
      </c>
      <c r="E275" s="43">
        <f>IF(Planos!$A273="","",N(Planos!K273))</f>
      </c>
      <c r="F275" s="44">
        <f>IF(OR(Planos!$A273="",NOT(ISNUMBER(Planos!$G273)),N(Planos!$E273)&lt;=0),0,IF(Planos!$G273&gt;EOMONTH(DATE(crono_ano_ref,1,1),0),0,MAX(0,INT((EOMONTH(DATE(crono_ano_ref,1,1),0)-IF(Planos!$G273&gt;=DATE(crono_ano_ref,1,1),Planos!$G273,Planos!$G273+CEILING((DATE(crono_ano_ref,1,1)-Planos!$G273)/Planos!$E273,1)*Planos!$E273))/Planos!$E273)+1)))</f>
      </c>
      <c r="G275" s="44">
        <f>IF(OR(Planos!$A273="",NOT(ISNUMBER(Planos!$G273)),N(Planos!$E273)&lt;=0),0,IF(Planos!$G273&gt;EOMONTH(DATE(crono_ano_ref,2,1),0),0,MAX(0,INT((EOMONTH(DATE(crono_ano_ref,2,1),0)-IF(Planos!$G273&gt;=DATE(crono_ano_ref,2,1),Planos!$G273,Planos!$G273+CEILING((DATE(crono_ano_ref,2,1)-Planos!$G273)/Planos!$E273,1)*Planos!$E273))/Planos!$E273)+1)))</f>
      </c>
      <c r="H275" s="44">
        <f>IF(OR(Planos!$A273="",NOT(ISNUMBER(Planos!$G273)),N(Planos!$E273)&lt;=0),0,IF(Planos!$G273&gt;EOMONTH(DATE(crono_ano_ref,3,1),0),0,MAX(0,INT((EOMONTH(DATE(crono_ano_ref,3,1),0)-IF(Planos!$G273&gt;=DATE(crono_ano_ref,3,1),Planos!$G273,Planos!$G273+CEILING((DATE(crono_ano_ref,3,1)-Planos!$G273)/Planos!$E273,1)*Planos!$E273))/Planos!$E273)+1)))</f>
      </c>
      <c r="I275" s="44">
        <f>IF(OR(Planos!$A273="",NOT(ISNUMBER(Planos!$G273)),N(Planos!$E273)&lt;=0),0,IF(Planos!$G273&gt;EOMONTH(DATE(crono_ano_ref,4,1),0),0,MAX(0,INT((EOMONTH(DATE(crono_ano_ref,4,1),0)-IF(Planos!$G273&gt;=DATE(crono_ano_ref,4,1),Planos!$G273,Planos!$G273+CEILING((DATE(crono_ano_ref,4,1)-Planos!$G273)/Planos!$E273,1)*Planos!$E273))/Planos!$E273)+1)))</f>
      </c>
      <c r="J275" s="44">
        <f>IF(OR(Planos!$A273="",NOT(ISNUMBER(Planos!$G273)),N(Planos!$E273)&lt;=0),0,IF(Planos!$G273&gt;EOMONTH(DATE(crono_ano_ref,5,1),0),0,MAX(0,INT((EOMONTH(DATE(crono_ano_ref,5,1),0)-IF(Planos!$G273&gt;=DATE(crono_ano_ref,5,1),Planos!$G273,Planos!$G273+CEILING((DATE(crono_ano_ref,5,1)-Planos!$G273)/Planos!$E273,1)*Planos!$E273))/Planos!$E273)+1)))</f>
      </c>
      <c r="K275" s="44">
        <f>IF(OR(Planos!$A273="",NOT(ISNUMBER(Planos!$G273)),N(Planos!$E273)&lt;=0),0,IF(Planos!$G273&gt;EOMONTH(DATE(crono_ano_ref,6,1),0),0,MAX(0,INT((EOMONTH(DATE(crono_ano_ref,6,1),0)-IF(Planos!$G273&gt;=DATE(crono_ano_ref,6,1),Planos!$G273,Planos!$G273+CEILING((DATE(crono_ano_ref,6,1)-Planos!$G273)/Planos!$E273,1)*Planos!$E273))/Planos!$E273)+1)))</f>
      </c>
      <c r="L275" s="44">
        <f>IF(OR(Planos!$A273="",NOT(ISNUMBER(Planos!$G273)),N(Planos!$E273)&lt;=0),0,IF(Planos!$G273&gt;EOMONTH(DATE(crono_ano_ref,7,1),0),0,MAX(0,INT((EOMONTH(DATE(crono_ano_ref,7,1),0)-IF(Planos!$G273&gt;=DATE(crono_ano_ref,7,1),Planos!$G273,Planos!$G273+CEILING((DATE(crono_ano_ref,7,1)-Planos!$G273)/Planos!$E273,1)*Planos!$E273))/Planos!$E273)+1)))</f>
      </c>
      <c r="M275" s="44">
        <f>IF(OR(Planos!$A273="",NOT(ISNUMBER(Planos!$G273)),N(Planos!$E273)&lt;=0),0,IF(Planos!$G273&gt;EOMONTH(DATE(crono_ano_ref,8,1),0),0,MAX(0,INT((EOMONTH(DATE(crono_ano_ref,8,1),0)-IF(Planos!$G273&gt;=DATE(crono_ano_ref,8,1),Planos!$G273,Planos!$G273+CEILING((DATE(crono_ano_ref,8,1)-Planos!$G273)/Planos!$E273,1)*Planos!$E273))/Planos!$E273)+1)))</f>
      </c>
      <c r="N275" s="44">
        <f>IF(OR(Planos!$A273="",NOT(ISNUMBER(Planos!$G273)),N(Planos!$E273)&lt;=0),0,IF(Planos!$G273&gt;EOMONTH(DATE(crono_ano_ref,9,1),0),0,MAX(0,INT((EOMONTH(DATE(crono_ano_ref,9,1),0)-IF(Planos!$G273&gt;=DATE(crono_ano_ref,9,1),Planos!$G273,Planos!$G273+CEILING((DATE(crono_ano_ref,9,1)-Planos!$G273)/Planos!$E273,1)*Planos!$E273))/Planos!$E273)+1)))</f>
      </c>
      <c r="O275" s="44">
        <f>IF(OR(Planos!$A273="",NOT(ISNUMBER(Planos!$G273)),N(Planos!$E273)&lt;=0),0,IF(Planos!$G273&gt;EOMONTH(DATE(crono_ano_ref,10,1),0),0,MAX(0,INT((EOMONTH(DATE(crono_ano_ref,10,1),0)-IF(Planos!$G273&gt;=DATE(crono_ano_ref,10,1),Planos!$G273,Planos!$G273+CEILING((DATE(crono_ano_ref,10,1)-Planos!$G273)/Planos!$E273,1)*Planos!$E273))/Planos!$E273)+1)))</f>
      </c>
      <c r="P275" s="44">
        <f>IF(OR(Planos!$A273="",NOT(ISNUMBER(Planos!$G273)),N(Planos!$E273)&lt;=0),0,IF(Planos!$G273&gt;EOMONTH(DATE(crono_ano_ref,11,1),0),0,MAX(0,INT((EOMONTH(DATE(crono_ano_ref,11,1),0)-IF(Planos!$G273&gt;=DATE(crono_ano_ref,11,1),Planos!$G273,Planos!$G273+CEILING((DATE(crono_ano_ref,11,1)-Planos!$G273)/Planos!$E273,1)*Planos!$E273))/Planos!$E273)+1)))</f>
      </c>
      <c r="Q275" s="44">
        <f>IF(OR(Planos!$A273="",NOT(ISNUMBER(Planos!$G273)),N(Planos!$E273)&lt;=0),0,IF(Planos!$G273&gt;EOMONTH(DATE(crono_ano_ref,12,1),0),0,MAX(0,INT((EOMONTH(DATE(crono_ano_ref,12,1),0)-IF(Planos!$G273&gt;=DATE(crono_ano_ref,12,1),Planos!$G273,Planos!$G273+CEILING((DATE(crono_ano_ref,12,1)-Planos!$G273)/Planos!$E273,1)*Planos!$E273))/Planos!$E273)+1)))</f>
      </c>
      <c r="R275" s="44">
        <f>SUM(F275:Q275)</f>
      </c>
    </row>
    <row r="276" spans="1:18" x14ac:dyDescent="0.25">
      <c r="A276" s="24">
        <f>IF(Planos!$A274="","",Planos!A274&amp;"")</f>
      </c>
      <c r="B276" s="41">
        <f>IF(Planos!$A274="","",Planos!B274&amp;"")</f>
      </c>
      <c r="C276" s="24">
        <f>IF(Planos!$A274="","",Planos!C274&amp;"")</f>
      </c>
      <c r="D276" s="42">
        <f>IF(Planos!$A274="","",N(Planos!E274))</f>
      </c>
      <c r="E276" s="43">
        <f>IF(Planos!$A274="","",N(Planos!K274))</f>
      </c>
      <c r="F276" s="44">
        <f>IF(OR(Planos!$A274="",NOT(ISNUMBER(Planos!$G274)),N(Planos!$E274)&lt;=0),0,IF(Planos!$G274&gt;EOMONTH(DATE(crono_ano_ref,1,1),0),0,MAX(0,INT((EOMONTH(DATE(crono_ano_ref,1,1),0)-IF(Planos!$G274&gt;=DATE(crono_ano_ref,1,1),Planos!$G274,Planos!$G274+CEILING((DATE(crono_ano_ref,1,1)-Planos!$G274)/Planos!$E274,1)*Planos!$E274))/Planos!$E274)+1)))</f>
      </c>
      <c r="G276" s="44">
        <f>IF(OR(Planos!$A274="",NOT(ISNUMBER(Planos!$G274)),N(Planos!$E274)&lt;=0),0,IF(Planos!$G274&gt;EOMONTH(DATE(crono_ano_ref,2,1),0),0,MAX(0,INT((EOMONTH(DATE(crono_ano_ref,2,1),0)-IF(Planos!$G274&gt;=DATE(crono_ano_ref,2,1),Planos!$G274,Planos!$G274+CEILING((DATE(crono_ano_ref,2,1)-Planos!$G274)/Planos!$E274,1)*Planos!$E274))/Planos!$E274)+1)))</f>
      </c>
      <c r="H276" s="44">
        <f>IF(OR(Planos!$A274="",NOT(ISNUMBER(Planos!$G274)),N(Planos!$E274)&lt;=0),0,IF(Planos!$G274&gt;EOMONTH(DATE(crono_ano_ref,3,1),0),0,MAX(0,INT((EOMONTH(DATE(crono_ano_ref,3,1),0)-IF(Planos!$G274&gt;=DATE(crono_ano_ref,3,1),Planos!$G274,Planos!$G274+CEILING((DATE(crono_ano_ref,3,1)-Planos!$G274)/Planos!$E274,1)*Planos!$E274))/Planos!$E274)+1)))</f>
      </c>
      <c r="I276" s="44">
        <f>IF(OR(Planos!$A274="",NOT(ISNUMBER(Planos!$G274)),N(Planos!$E274)&lt;=0),0,IF(Planos!$G274&gt;EOMONTH(DATE(crono_ano_ref,4,1),0),0,MAX(0,INT((EOMONTH(DATE(crono_ano_ref,4,1),0)-IF(Planos!$G274&gt;=DATE(crono_ano_ref,4,1),Planos!$G274,Planos!$G274+CEILING((DATE(crono_ano_ref,4,1)-Planos!$G274)/Planos!$E274,1)*Planos!$E274))/Planos!$E274)+1)))</f>
      </c>
      <c r="J276" s="44">
        <f>IF(OR(Planos!$A274="",NOT(ISNUMBER(Planos!$G274)),N(Planos!$E274)&lt;=0),0,IF(Planos!$G274&gt;EOMONTH(DATE(crono_ano_ref,5,1),0),0,MAX(0,INT((EOMONTH(DATE(crono_ano_ref,5,1),0)-IF(Planos!$G274&gt;=DATE(crono_ano_ref,5,1),Planos!$G274,Planos!$G274+CEILING((DATE(crono_ano_ref,5,1)-Planos!$G274)/Planos!$E274,1)*Planos!$E274))/Planos!$E274)+1)))</f>
      </c>
      <c r="K276" s="44">
        <f>IF(OR(Planos!$A274="",NOT(ISNUMBER(Planos!$G274)),N(Planos!$E274)&lt;=0),0,IF(Planos!$G274&gt;EOMONTH(DATE(crono_ano_ref,6,1),0),0,MAX(0,INT((EOMONTH(DATE(crono_ano_ref,6,1),0)-IF(Planos!$G274&gt;=DATE(crono_ano_ref,6,1),Planos!$G274,Planos!$G274+CEILING((DATE(crono_ano_ref,6,1)-Planos!$G274)/Planos!$E274,1)*Planos!$E274))/Planos!$E274)+1)))</f>
      </c>
      <c r="L276" s="44">
        <f>IF(OR(Planos!$A274="",NOT(ISNUMBER(Planos!$G274)),N(Planos!$E274)&lt;=0),0,IF(Planos!$G274&gt;EOMONTH(DATE(crono_ano_ref,7,1),0),0,MAX(0,INT((EOMONTH(DATE(crono_ano_ref,7,1),0)-IF(Planos!$G274&gt;=DATE(crono_ano_ref,7,1),Planos!$G274,Planos!$G274+CEILING((DATE(crono_ano_ref,7,1)-Planos!$G274)/Planos!$E274,1)*Planos!$E274))/Planos!$E274)+1)))</f>
      </c>
      <c r="M276" s="44">
        <f>IF(OR(Planos!$A274="",NOT(ISNUMBER(Planos!$G274)),N(Planos!$E274)&lt;=0),0,IF(Planos!$G274&gt;EOMONTH(DATE(crono_ano_ref,8,1),0),0,MAX(0,INT((EOMONTH(DATE(crono_ano_ref,8,1),0)-IF(Planos!$G274&gt;=DATE(crono_ano_ref,8,1),Planos!$G274,Planos!$G274+CEILING((DATE(crono_ano_ref,8,1)-Planos!$G274)/Planos!$E274,1)*Planos!$E274))/Planos!$E274)+1)))</f>
      </c>
      <c r="N276" s="44">
        <f>IF(OR(Planos!$A274="",NOT(ISNUMBER(Planos!$G274)),N(Planos!$E274)&lt;=0),0,IF(Planos!$G274&gt;EOMONTH(DATE(crono_ano_ref,9,1),0),0,MAX(0,INT((EOMONTH(DATE(crono_ano_ref,9,1),0)-IF(Planos!$G274&gt;=DATE(crono_ano_ref,9,1),Planos!$G274,Planos!$G274+CEILING((DATE(crono_ano_ref,9,1)-Planos!$G274)/Planos!$E274,1)*Planos!$E274))/Planos!$E274)+1)))</f>
      </c>
      <c r="O276" s="44">
        <f>IF(OR(Planos!$A274="",NOT(ISNUMBER(Planos!$G274)),N(Planos!$E274)&lt;=0),0,IF(Planos!$G274&gt;EOMONTH(DATE(crono_ano_ref,10,1),0),0,MAX(0,INT((EOMONTH(DATE(crono_ano_ref,10,1),0)-IF(Planos!$G274&gt;=DATE(crono_ano_ref,10,1),Planos!$G274,Planos!$G274+CEILING((DATE(crono_ano_ref,10,1)-Planos!$G274)/Planos!$E274,1)*Planos!$E274))/Planos!$E274)+1)))</f>
      </c>
      <c r="P276" s="44">
        <f>IF(OR(Planos!$A274="",NOT(ISNUMBER(Planos!$G274)),N(Planos!$E274)&lt;=0),0,IF(Planos!$G274&gt;EOMONTH(DATE(crono_ano_ref,11,1),0),0,MAX(0,INT((EOMONTH(DATE(crono_ano_ref,11,1),0)-IF(Planos!$G274&gt;=DATE(crono_ano_ref,11,1),Planos!$G274,Planos!$G274+CEILING((DATE(crono_ano_ref,11,1)-Planos!$G274)/Planos!$E274,1)*Planos!$E274))/Planos!$E274)+1)))</f>
      </c>
      <c r="Q276" s="44">
        <f>IF(OR(Planos!$A274="",NOT(ISNUMBER(Planos!$G274)),N(Planos!$E274)&lt;=0),0,IF(Planos!$G274&gt;EOMONTH(DATE(crono_ano_ref,12,1),0),0,MAX(0,INT((EOMONTH(DATE(crono_ano_ref,12,1),0)-IF(Planos!$G274&gt;=DATE(crono_ano_ref,12,1),Planos!$G274,Planos!$G274+CEILING((DATE(crono_ano_ref,12,1)-Planos!$G274)/Planos!$E274,1)*Planos!$E274))/Planos!$E274)+1)))</f>
      </c>
      <c r="R276" s="44">
        <f>SUM(F276:Q276)</f>
      </c>
    </row>
    <row r="277" spans="1:18" x14ac:dyDescent="0.25">
      <c r="A277" s="24">
        <f>IF(Planos!$A275="","",Planos!A275&amp;"")</f>
      </c>
      <c r="B277" s="41">
        <f>IF(Planos!$A275="","",Planos!B275&amp;"")</f>
      </c>
      <c r="C277" s="24">
        <f>IF(Planos!$A275="","",Planos!C275&amp;"")</f>
      </c>
      <c r="D277" s="42">
        <f>IF(Planos!$A275="","",N(Planos!E275))</f>
      </c>
      <c r="E277" s="43">
        <f>IF(Planos!$A275="","",N(Planos!K275))</f>
      </c>
      <c r="F277" s="44">
        <f>IF(OR(Planos!$A275="",NOT(ISNUMBER(Planos!$G275)),N(Planos!$E275)&lt;=0),0,IF(Planos!$G275&gt;EOMONTH(DATE(crono_ano_ref,1,1),0),0,MAX(0,INT((EOMONTH(DATE(crono_ano_ref,1,1),0)-IF(Planos!$G275&gt;=DATE(crono_ano_ref,1,1),Planos!$G275,Planos!$G275+CEILING((DATE(crono_ano_ref,1,1)-Planos!$G275)/Planos!$E275,1)*Planos!$E275))/Planos!$E275)+1)))</f>
      </c>
      <c r="G277" s="44">
        <f>IF(OR(Planos!$A275="",NOT(ISNUMBER(Planos!$G275)),N(Planos!$E275)&lt;=0),0,IF(Planos!$G275&gt;EOMONTH(DATE(crono_ano_ref,2,1),0),0,MAX(0,INT((EOMONTH(DATE(crono_ano_ref,2,1),0)-IF(Planos!$G275&gt;=DATE(crono_ano_ref,2,1),Planos!$G275,Planos!$G275+CEILING((DATE(crono_ano_ref,2,1)-Planos!$G275)/Planos!$E275,1)*Planos!$E275))/Planos!$E275)+1)))</f>
      </c>
      <c r="H277" s="44">
        <f>IF(OR(Planos!$A275="",NOT(ISNUMBER(Planos!$G275)),N(Planos!$E275)&lt;=0),0,IF(Planos!$G275&gt;EOMONTH(DATE(crono_ano_ref,3,1),0),0,MAX(0,INT((EOMONTH(DATE(crono_ano_ref,3,1),0)-IF(Planos!$G275&gt;=DATE(crono_ano_ref,3,1),Planos!$G275,Planos!$G275+CEILING((DATE(crono_ano_ref,3,1)-Planos!$G275)/Planos!$E275,1)*Planos!$E275))/Planos!$E275)+1)))</f>
      </c>
      <c r="I277" s="44">
        <f>IF(OR(Planos!$A275="",NOT(ISNUMBER(Planos!$G275)),N(Planos!$E275)&lt;=0),0,IF(Planos!$G275&gt;EOMONTH(DATE(crono_ano_ref,4,1),0),0,MAX(0,INT((EOMONTH(DATE(crono_ano_ref,4,1),0)-IF(Planos!$G275&gt;=DATE(crono_ano_ref,4,1),Planos!$G275,Planos!$G275+CEILING((DATE(crono_ano_ref,4,1)-Planos!$G275)/Planos!$E275,1)*Planos!$E275))/Planos!$E275)+1)))</f>
      </c>
      <c r="J277" s="44">
        <f>IF(OR(Planos!$A275="",NOT(ISNUMBER(Planos!$G275)),N(Planos!$E275)&lt;=0),0,IF(Planos!$G275&gt;EOMONTH(DATE(crono_ano_ref,5,1),0),0,MAX(0,INT((EOMONTH(DATE(crono_ano_ref,5,1),0)-IF(Planos!$G275&gt;=DATE(crono_ano_ref,5,1),Planos!$G275,Planos!$G275+CEILING((DATE(crono_ano_ref,5,1)-Planos!$G275)/Planos!$E275,1)*Planos!$E275))/Planos!$E275)+1)))</f>
      </c>
      <c r="K277" s="44">
        <f>IF(OR(Planos!$A275="",NOT(ISNUMBER(Planos!$G275)),N(Planos!$E275)&lt;=0),0,IF(Planos!$G275&gt;EOMONTH(DATE(crono_ano_ref,6,1),0),0,MAX(0,INT((EOMONTH(DATE(crono_ano_ref,6,1),0)-IF(Planos!$G275&gt;=DATE(crono_ano_ref,6,1),Planos!$G275,Planos!$G275+CEILING((DATE(crono_ano_ref,6,1)-Planos!$G275)/Planos!$E275,1)*Planos!$E275))/Planos!$E275)+1)))</f>
      </c>
      <c r="L277" s="44">
        <f>IF(OR(Planos!$A275="",NOT(ISNUMBER(Planos!$G275)),N(Planos!$E275)&lt;=0),0,IF(Planos!$G275&gt;EOMONTH(DATE(crono_ano_ref,7,1),0),0,MAX(0,INT((EOMONTH(DATE(crono_ano_ref,7,1),0)-IF(Planos!$G275&gt;=DATE(crono_ano_ref,7,1),Planos!$G275,Planos!$G275+CEILING((DATE(crono_ano_ref,7,1)-Planos!$G275)/Planos!$E275,1)*Planos!$E275))/Planos!$E275)+1)))</f>
      </c>
      <c r="M277" s="44">
        <f>IF(OR(Planos!$A275="",NOT(ISNUMBER(Planos!$G275)),N(Planos!$E275)&lt;=0),0,IF(Planos!$G275&gt;EOMONTH(DATE(crono_ano_ref,8,1),0),0,MAX(0,INT((EOMONTH(DATE(crono_ano_ref,8,1),0)-IF(Planos!$G275&gt;=DATE(crono_ano_ref,8,1),Planos!$G275,Planos!$G275+CEILING((DATE(crono_ano_ref,8,1)-Planos!$G275)/Planos!$E275,1)*Planos!$E275))/Planos!$E275)+1)))</f>
      </c>
      <c r="N277" s="44">
        <f>IF(OR(Planos!$A275="",NOT(ISNUMBER(Planos!$G275)),N(Planos!$E275)&lt;=0),0,IF(Planos!$G275&gt;EOMONTH(DATE(crono_ano_ref,9,1),0),0,MAX(0,INT((EOMONTH(DATE(crono_ano_ref,9,1),0)-IF(Planos!$G275&gt;=DATE(crono_ano_ref,9,1),Planos!$G275,Planos!$G275+CEILING((DATE(crono_ano_ref,9,1)-Planos!$G275)/Planos!$E275,1)*Planos!$E275))/Planos!$E275)+1)))</f>
      </c>
      <c r="O277" s="44">
        <f>IF(OR(Planos!$A275="",NOT(ISNUMBER(Planos!$G275)),N(Planos!$E275)&lt;=0),0,IF(Planos!$G275&gt;EOMONTH(DATE(crono_ano_ref,10,1),0),0,MAX(0,INT((EOMONTH(DATE(crono_ano_ref,10,1),0)-IF(Planos!$G275&gt;=DATE(crono_ano_ref,10,1),Planos!$G275,Planos!$G275+CEILING((DATE(crono_ano_ref,10,1)-Planos!$G275)/Planos!$E275,1)*Planos!$E275))/Planos!$E275)+1)))</f>
      </c>
      <c r="P277" s="44">
        <f>IF(OR(Planos!$A275="",NOT(ISNUMBER(Planos!$G275)),N(Planos!$E275)&lt;=0),0,IF(Planos!$G275&gt;EOMONTH(DATE(crono_ano_ref,11,1),0),0,MAX(0,INT((EOMONTH(DATE(crono_ano_ref,11,1),0)-IF(Planos!$G275&gt;=DATE(crono_ano_ref,11,1),Planos!$G275,Planos!$G275+CEILING((DATE(crono_ano_ref,11,1)-Planos!$G275)/Planos!$E275,1)*Planos!$E275))/Planos!$E275)+1)))</f>
      </c>
      <c r="Q277" s="44">
        <f>IF(OR(Planos!$A275="",NOT(ISNUMBER(Planos!$G275)),N(Planos!$E275)&lt;=0),0,IF(Planos!$G275&gt;EOMONTH(DATE(crono_ano_ref,12,1),0),0,MAX(0,INT((EOMONTH(DATE(crono_ano_ref,12,1),0)-IF(Planos!$G275&gt;=DATE(crono_ano_ref,12,1),Planos!$G275,Planos!$G275+CEILING((DATE(crono_ano_ref,12,1)-Planos!$G275)/Planos!$E275,1)*Planos!$E275))/Planos!$E275)+1)))</f>
      </c>
      <c r="R277" s="44">
        <f>SUM(F277:Q277)</f>
      </c>
    </row>
    <row r="278" spans="1:18" x14ac:dyDescent="0.25">
      <c r="A278" s="24">
        <f>IF(Planos!$A276="","",Planos!A276&amp;"")</f>
      </c>
      <c r="B278" s="41">
        <f>IF(Planos!$A276="","",Planos!B276&amp;"")</f>
      </c>
      <c r="C278" s="24">
        <f>IF(Planos!$A276="","",Planos!C276&amp;"")</f>
      </c>
      <c r="D278" s="42">
        <f>IF(Planos!$A276="","",N(Planos!E276))</f>
      </c>
      <c r="E278" s="43">
        <f>IF(Planos!$A276="","",N(Planos!K276))</f>
      </c>
      <c r="F278" s="44">
        <f>IF(OR(Planos!$A276="",NOT(ISNUMBER(Planos!$G276)),N(Planos!$E276)&lt;=0),0,IF(Planos!$G276&gt;EOMONTH(DATE(crono_ano_ref,1,1),0),0,MAX(0,INT((EOMONTH(DATE(crono_ano_ref,1,1),0)-IF(Planos!$G276&gt;=DATE(crono_ano_ref,1,1),Planos!$G276,Planos!$G276+CEILING((DATE(crono_ano_ref,1,1)-Planos!$G276)/Planos!$E276,1)*Planos!$E276))/Planos!$E276)+1)))</f>
      </c>
      <c r="G278" s="44">
        <f>IF(OR(Planos!$A276="",NOT(ISNUMBER(Planos!$G276)),N(Planos!$E276)&lt;=0),0,IF(Planos!$G276&gt;EOMONTH(DATE(crono_ano_ref,2,1),0),0,MAX(0,INT((EOMONTH(DATE(crono_ano_ref,2,1),0)-IF(Planos!$G276&gt;=DATE(crono_ano_ref,2,1),Planos!$G276,Planos!$G276+CEILING((DATE(crono_ano_ref,2,1)-Planos!$G276)/Planos!$E276,1)*Planos!$E276))/Planos!$E276)+1)))</f>
      </c>
      <c r="H278" s="44">
        <f>IF(OR(Planos!$A276="",NOT(ISNUMBER(Planos!$G276)),N(Planos!$E276)&lt;=0),0,IF(Planos!$G276&gt;EOMONTH(DATE(crono_ano_ref,3,1),0),0,MAX(0,INT((EOMONTH(DATE(crono_ano_ref,3,1),0)-IF(Planos!$G276&gt;=DATE(crono_ano_ref,3,1),Planos!$G276,Planos!$G276+CEILING((DATE(crono_ano_ref,3,1)-Planos!$G276)/Planos!$E276,1)*Planos!$E276))/Planos!$E276)+1)))</f>
      </c>
      <c r="I278" s="44">
        <f>IF(OR(Planos!$A276="",NOT(ISNUMBER(Planos!$G276)),N(Planos!$E276)&lt;=0),0,IF(Planos!$G276&gt;EOMONTH(DATE(crono_ano_ref,4,1),0),0,MAX(0,INT((EOMONTH(DATE(crono_ano_ref,4,1),0)-IF(Planos!$G276&gt;=DATE(crono_ano_ref,4,1),Planos!$G276,Planos!$G276+CEILING((DATE(crono_ano_ref,4,1)-Planos!$G276)/Planos!$E276,1)*Planos!$E276))/Planos!$E276)+1)))</f>
      </c>
      <c r="J278" s="44">
        <f>IF(OR(Planos!$A276="",NOT(ISNUMBER(Planos!$G276)),N(Planos!$E276)&lt;=0),0,IF(Planos!$G276&gt;EOMONTH(DATE(crono_ano_ref,5,1),0),0,MAX(0,INT((EOMONTH(DATE(crono_ano_ref,5,1),0)-IF(Planos!$G276&gt;=DATE(crono_ano_ref,5,1),Planos!$G276,Planos!$G276+CEILING((DATE(crono_ano_ref,5,1)-Planos!$G276)/Planos!$E276,1)*Planos!$E276))/Planos!$E276)+1)))</f>
      </c>
      <c r="K278" s="44">
        <f>IF(OR(Planos!$A276="",NOT(ISNUMBER(Planos!$G276)),N(Planos!$E276)&lt;=0),0,IF(Planos!$G276&gt;EOMONTH(DATE(crono_ano_ref,6,1),0),0,MAX(0,INT((EOMONTH(DATE(crono_ano_ref,6,1),0)-IF(Planos!$G276&gt;=DATE(crono_ano_ref,6,1),Planos!$G276,Planos!$G276+CEILING((DATE(crono_ano_ref,6,1)-Planos!$G276)/Planos!$E276,1)*Planos!$E276))/Planos!$E276)+1)))</f>
      </c>
      <c r="L278" s="44">
        <f>IF(OR(Planos!$A276="",NOT(ISNUMBER(Planos!$G276)),N(Planos!$E276)&lt;=0),0,IF(Planos!$G276&gt;EOMONTH(DATE(crono_ano_ref,7,1),0),0,MAX(0,INT((EOMONTH(DATE(crono_ano_ref,7,1),0)-IF(Planos!$G276&gt;=DATE(crono_ano_ref,7,1),Planos!$G276,Planos!$G276+CEILING((DATE(crono_ano_ref,7,1)-Planos!$G276)/Planos!$E276,1)*Planos!$E276))/Planos!$E276)+1)))</f>
      </c>
      <c r="M278" s="44">
        <f>IF(OR(Planos!$A276="",NOT(ISNUMBER(Planos!$G276)),N(Planos!$E276)&lt;=0),0,IF(Planos!$G276&gt;EOMONTH(DATE(crono_ano_ref,8,1),0),0,MAX(0,INT((EOMONTH(DATE(crono_ano_ref,8,1),0)-IF(Planos!$G276&gt;=DATE(crono_ano_ref,8,1),Planos!$G276,Planos!$G276+CEILING((DATE(crono_ano_ref,8,1)-Planos!$G276)/Planos!$E276,1)*Planos!$E276))/Planos!$E276)+1)))</f>
      </c>
      <c r="N278" s="44">
        <f>IF(OR(Planos!$A276="",NOT(ISNUMBER(Planos!$G276)),N(Planos!$E276)&lt;=0),0,IF(Planos!$G276&gt;EOMONTH(DATE(crono_ano_ref,9,1),0),0,MAX(0,INT((EOMONTH(DATE(crono_ano_ref,9,1),0)-IF(Planos!$G276&gt;=DATE(crono_ano_ref,9,1),Planos!$G276,Planos!$G276+CEILING((DATE(crono_ano_ref,9,1)-Planos!$G276)/Planos!$E276,1)*Planos!$E276))/Planos!$E276)+1)))</f>
      </c>
      <c r="O278" s="44">
        <f>IF(OR(Planos!$A276="",NOT(ISNUMBER(Planos!$G276)),N(Planos!$E276)&lt;=0),0,IF(Planos!$G276&gt;EOMONTH(DATE(crono_ano_ref,10,1),0),0,MAX(0,INT((EOMONTH(DATE(crono_ano_ref,10,1),0)-IF(Planos!$G276&gt;=DATE(crono_ano_ref,10,1),Planos!$G276,Planos!$G276+CEILING((DATE(crono_ano_ref,10,1)-Planos!$G276)/Planos!$E276,1)*Planos!$E276))/Planos!$E276)+1)))</f>
      </c>
      <c r="P278" s="44">
        <f>IF(OR(Planos!$A276="",NOT(ISNUMBER(Planos!$G276)),N(Planos!$E276)&lt;=0),0,IF(Planos!$G276&gt;EOMONTH(DATE(crono_ano_ref,11,1),0),0,MAX(0,INT((EOMONTH(DATE(crono_ano_ref,11,1),0)-IF(Planos!$G276&gt;=DATE(crono_ano_ref,11,1),Planos!$G276,Planos!$G276+CEILING((DATE(crono_ano_ref,11,1)-Planos!$G276)/Planos!$E276,1)*Planos!$E276))/Planos!$E276)+1)))</f>
      </c>
      <c r="Q278" s="44">
        <f>IF(OR(Planos!$A276="",NOT(ISNUMBER(Planos!$G276)),N(Planos!$E276)&lt;=0),0,IF(Planos!$G276&gt;EOMONTH(DATE(crono_ano_ref,12,1),0),0,MAX(0,INT((EOMONTH(DATE(crono_ano_ref,12,1),0)-IF(Planos!$G276&gt;=DATE(crono_ano_ref,12,1),Planos!$G276,Planos!$G276+CEILING((DATE(crono_ano_ref,12,1)-Planos!$G276)/Planos!$E276,1)*Planos!$E276))/Planos!$E276)+1)))</f>
      </c>
      <c r="R278" s="44">
        <f>SUM(F278:Q278)</f>
      </c>
    </row>
    <row r="279" spans="1:18" x14ac:dyDescent="0.25">
      <c r="A279" s="24">
        <f>IF(Planos!$A277="","",Planos!A277&amp;"")</f>
      </c>
      <c r="B279" s="41">
        <f>IF(Planos!$A277="","",Planos!B277&amp;"")</f>
      </c>
      <c r="C279" s="24">
        <f>IF(Planos!$A277="","",Planos!C277&amp;"")</f>
      </c>
      <c r="D279" s="42">
        <f>IF(Planos!$A277="","",N(Planos!E277))</f>
      </c>
      <c r="E279" s="43">
        <f>IF(Planos!$A277="","",N(Planos!K277))</f>
      </c>
      <c r="F279" s="44">
        <f>IF(OR(Planos!$A277="",NOT(ISNUMBER(Planos!$G277)),N(Planos!$E277)&lt;=0),0,IF(Planos!$G277&gt;EOMONTH(DATE(crono_ano_ref,1,1),0),0,MAX(0,INT((EOMONTH(DATE(crono_ano_ref,1,1),0)-IF(Planos!$G277&gt;=DATE(crono_ano_ref,1,1),Planos!$G277,Planos!$G277+CEILING((DATE(crono_ano_ref,1,1)-Planos!$G277)/Planos!$E277,1)*Planos!$E277))/Planos!$E277)+1)))</f>
      </c>
      <c r="G279" s="44">
        <f>IF(OR(Planos!$A277="",NOT(ISNUMBER(Planos!$G277)),N(Planos!$E277)&lt;=0),0,IF(Planos!$G277&gt;EOMONTH(DATE(crono_ano_ref,2,1),0),0,MAX(0,INT((EOMONTH(DATE(crono_ano_ref,2,1),0)-IF(Planos!$G277&gt;=DATE(crono_ano_ref,2,1),Planos!$G277,Planos!$G277+CEILING((DATE(crono_ano_ref,2,1)-Planos!$G277)/Planos!$E277,1)*Planos!$E277))/Planos!$E277)+1)))</f>
      </c>
      <c r="H279" s="44">
        <f>IF(OR(Planos!$A277="",NOT(ISNUMBER(Planos!$G277)),N(Planos!$E277)&lt;=0),0,IF(Planos!$G277&gt;EOMONTH(DATE(crono_ano_ref,3,1),0),0,MAX(0,INT((EOMONTH(DATE(crono_ano_ref,3,1),0)-IF(Planos!$G277&gt;=DATE(crono_ano_ref,3,1),Planos!$G277,Planos!$G277+CEILING((DATE(crono_ano_ref,3,1)-Planos!$G277)/Planos!$E277,1)*Planos!$E277))/Planos!$E277)+1)))</f>
      </c>
      <c r="I279" s="44">
        <f>IF(OR(Planos!$A277="",NOT(ISNUMBER(Planos!$G277)),N(Planos!$E277)&lt;=0),0,IF(Planos!$G277&gt;EOMONTH(DATE(crono_ano_ref,4,1),0),0,MAX(0,INT((EOMONTH(DATE(crono_ano_ref,4,1),0)-IF(Planos!$G277&gt;=DATE(crono_ano_ref,4,1),Planos!$G277,Planos!$G277+CEILING((DATE(crono_ano_ref,4,1)-Planos!$G277)/Planos!$E277,1)*Planos!$E277))/Planos!$E277)+1)))</f>
      </c>
      <c r="J279" s="44">
        <f>IF(OR(Planos!$A277="",NOT(ISNUMBER(Planos!$G277)),N(Planos!$E277)&lt;=0),0,IF(Planos!$G277&gt;EOMONTH(DATE(crono_ano_ref,5,1),0),0,MAX(0,INT((EOMONTH(DATE(crono_ano_ref,5,1),0)-IF(Planos!$G277&gt;=DATE(crono_ano_ref,5,1),Planos!$G277,Planos!$G277+CEILING((DATE(crono_ano_ref,5,1)-Planos!$G277)/Planos!$E277,1)*Planos!$E277))/Planos!$E277)+1)))</f>
      </c>
      <c r="K279" s="44">
        <f>IF(OR(Planos!$A277="",NOT(ISNUMBER(Planos!$G277)),N(Planos!$E277)&lt;=0),0,IF(Planos!$G277&gt;EOMONTH(DATE(crono_ano_ref,6,1),0),0,MAX(0,INT((EOMONTH(DATE(crono_ano_ref,6,1),0)-IF(Planos!$G277&gt;=DATE(crono_ano_ref,6,1),Planos!$G277,Planos!$G277+CEILING((DATE(crono_ano_ref,6,1)-Planos!$G277)/Planos!$E277,1)*Planos!$E277))/Planos!$E277)+1)))</f>
      </c>
      <c r="L279" s="44">
        <f>IF(OR(Planos!$A277="",NOT(ISNUMBER(Planos!$G277)),N(Planos!$E277)&lt;=0),0,IF(Planos!$G277&gt;EOMONTH(DATE(crono_ano_ref,7,1),0),0,MAX(0,INT((EOMONTH(DATE(crono_ano_ref,7,1),0)-IF(Planos!$G277&gt;=DATE(crono_ano_ref,7,1),Planos!$G277,Planos!$G277+CEILING((DATE(crono_ano_ref,7,1)-Planos!$G277)/Planos!$E277,1)*Planos!$E277))/Planos!$E277)+1)))</f>
      </c>
      <c r="M279" s="44">
        <f>IF(OR(Planos!$A277="",NOT(ISNUMBER(Planos!$G277)),N(Planos!$E277)&lt;=0),0,IF(Planos!$G277&gt;EOMONTH(DATE(crono_ano_ref,8,1),0),0,MAX(0,INT((EOMONTH(DATE(crono_ano_ref,8,1),0)-IF(Planos!$G277&gt;=DATE(crono_ano_ref,8,1),Planos!$G277,Planos!$G277+CEILING((DATE(crono_ano_ref,8,1)-Planos!$G277)/Planos!$E277,1)*Planos!$E277))/Planos!$E277)+1)))</f>
      </c>
      <c r="N279" s="44">
        <f>IF(OR(Planos!$A277="",NOT(ISNUMBER(Planos!$G277)),N(Planos!$E277)&lt;=0),0,IF(Planos!$G277&gt;EOMONTH(DATE(crono_ano_ref,9,1),0),0,MAX(0,INT((EOMONTH(DATE(crono_ano_ref,9,1),0)-IF(Planos!$G277&gt;=DATE(crono_ano_ref,9,1),Planos!$G277,Planos!$G277+CEILING((DATE(crono_ano_ref,9,1)-Planos!$G277)/Planos!$E277,1)*Planos!$E277))/Planos!$E277)+1)))</f>
      </c>
      <c r="O279" s="44">
        <f>IF(OR(Planos!$A277="",NOT(ISNUMBER(Planos!$G277)),N(Planos!$E277)&lt;=0),0,IF(Planos!$G277&gt;EOMONTH(DATE(crono_ano_ref,10,1),0),0,MAX(0,INT((EOMONTH(DATE(crono_ano_ref,10,1),0)-IF(Planos!$G277&gt;=DATE(crono_ano_ref,10,1),Planos!$G277,Planos!$G277+CEILING((DATE(crono_ano_ref,10,1)-Planos!$G277)/Planos!$E277,1)*Planos!$E277))/Planos!$E277)+1)))</f>
      </c>
      <c r="P279" s="44">
        <f>IF(OR(Planos!$A277="",NOT(ISNUMBER(Planos!$G277)),N(Planos!$E277)&lt;=0),0,IF(Planos!$G277&gt;EOMONTH(DATE(crono_ano_ref,11,1),0),0,MAX(0,INT((EOMONTH(DATE(crono_ano_ref,11,1),0)-IF(Planos!$G277&gt;=DATE(crono_ano_ref,11,1),Planos!$G277,Planos!$G277+CEILING((DATE(crono_ano_ref,11,1)-Planos!$G277)/Planos!$E277,1)*Planos!$E277))/Planos!$E277)+1)))</f>
      </c>
      <c r="Q279" s="44">
        <f>IF(OR(Planos!$A277="",NOT(ISNUMBER(Planos!$G277)),N(Planos!$E277)&lt;=0),0,IF(Planos!$G277&gt;EOMONTH(DATE(crono_ano_ref,12,1),0),0,MAX(0,INT((EOMONTH(DATE(crono_ano_ref,12,1),0)-IF(Planos!$G277&gt;=DATE(crono_ano_ref,12,1),Planos!$G277,Planos!$G277+CEILING((DATE(crono_ano_ref,12,1)-Planos!$G277)/Planos!$E277,1)*Planos!$E277))/Planos!$E277)+1)))</f>
      </c>
      <c r="R279" s="44">
        <f>SUM(F279:Q279)</f>
      </c>
    </row>
    <row r="280" spans="1:18" x14ac:dyDescent="0.25">
      <c r="A280" s="24">
        <f>IF(Planos!$A278="","",Planos!A278&amp;"")</f>
      </c>
      <c r="B280" s="41">
        <f>IF(Planos!$A278="","",Planos!B278&amp;"")</f>
      </c>
      <c r="C280" s="24">
        <f>IF(Planos!$A278="","",Planos!C278&amp;"")</f>
      </c>
      <c r="D280" s="42">
        <f>IF(Planos!$A278="","",N(Planos!E278))</f>
      </c>
      <c r="E280" s="43">
        <f>IF(Planos!$A278="","",N(Planos!K278))</f>
      </c>
      <c r="F280" s="44">
        <f>IF(OR(Planos!$A278="",NOT(ISNUMBER(Planos!$G278)),N(Planos!$E278)&lt;=0),0,IF(Planos!$G278&gt;EOMONTH(DATE(crono_ano_ref,1,1),0),0,MAX(0,INT((EOMONTH(DATE(crono_ano_ref,1,1),0)-IF(Planos!$G278&gt;=DATE(crono_ano_ref,1,1),Planos!$G278,Planos!$G278+CEILING((DATE(crono_ano_ref,1,1)-Planos!$G278)/Planos!$E278,1)*Planos!$E278))/Planos!$E278)+1)))</f>
      </c>
      <c r="G280" s="44">
        <f>IF(OR(Planos!$A278="",NOT(ISNUMBER(Planos!$G278)),N(Planos!$E278)&lt;=0),0,IF(Planos!$G278&gt;EOMONTH(DATE(crono_ano_ref,2,1),0),0,MAX(0,INT((EOMONTH(DATE(crono_ano_ref,2,1),0)-IF(Planos!$G278&gt;=DATE(crono_ano_ref,2,1),Planos!$G278,Planos!$G278+CEILING((DATE(crono_ano_ref,2,1)-Planos!$G278)/Planos!$E278,1)*Planos!$E278))/Planos!$E278)+1)))</f>
      </c>
      <c r="H280" s="44">
        <f>IF(OR(Planos!$A278="",NOT(ISNUMBER(Planos!$G278)),N(Planos!$E278)&lt;=0),0,IF(Planos!$G278&gt;EOMONTH(DATE(crono_ano_ref,3,1),0),0,MAX(0,INT((EOMONTH(DATE(crono_ano_ref,3,1),0)-IF(Planos!$G278&gt;=DATE(crono_ano_ref,3,1),Planos!$G278,Planos!$G278+CEILING((DATE(crono_ano_ref,3,1)-Planos!$G278)/Planos!$E278,1)*Planos!$E278))/Planos!$E278)+1)))</f>
      </c>
      <c r="I280" s="44">
        <f>IF(OR(Planos!$A278="",NOT(ISNUMBER(Planos!$G278)),N(Planos!$E278)&lt;=0),0,IF(Planos!$G278&gt;EOMONTH(DATE(crono_ano_ref,4,1),0),0,MAX(0,INT((EOMONTH(DATE(crono_ano_ref,4,1),0)-IF(Planos!$G278&gt;=DATE(crono_ano_ref,4,1),Planos!$G278,Planos!$G278+CEILING((DATE(crono_ano_ref,4,1)-Planos!$G278)/Planos!$E278,1)*Planos!$E278))/Planos!$E278)+1)))</f>
      </c>
      <c r="J280" s="44">
        <f>IF(OR(Planos!$A278="",NOT(ISNUMBER(Planos!$G278)),N(Planos!$E278)&lt;=0),0,IF(Planos!$G278&gt;EOMONTH(DATE(crono_ano_ref,5,1),0),0,MAX(0,INT((EOMONTH(DATE(crono_ano_ref,5,1),0)-IF(Planos!$G278&gt;=DATE(crono_ano_ref,5,1),Planos!$G278,Planos!$G278+CEILING((DATE(crono_ano_ref,5,1)-Planos!$G278)/Planos!$E278,1)*Planos!$E278))/Planos!$E278)+1)))</f>
      </c>
      <c r="K280" s="44">
        <f>IF(OR(Planos!$A278="",NOT(ISNUMBER(Planos!$G278)),N(Planos!$E278)&lt;=0),0,IF(Planos!$G278&gt;EOMONTH(DATE(crono_ano_ref,6,1),0),0,MAX(0,INT((EOMONTH(DATE(crono_ano_ref,6,1),0)-IF(Planos!$G278&gt;=DATE(crono_ano_ref,6,1),Planos!$G278,Planos!$G278+CEILING((DATE(crono_ano_ref,6,1)-Planos!$G278)/Planos!$E278,1)*Planos!$E278))/Planos!$E278)+1)))</f>
      </c>
      <c r="L280" s="44">
        <f>IF(OR(Planos!$A278="",NOT(ISNUMBER(Planos!$G278)),N(Planos!$E278)&lt;=0),0,IF(Planos!$G278&gt;EOMONTH(DATE(crono_ano_ref,7,1),0),0,MAX(0,INT((EOMONTH(DATE(crono_ano_ref,7,1),0)-IF(Planos!$G278&gt;=DATE(crono_ano_ref,7,1),Planos!$G278,Planos!$G278+CEILING((DATE(crono_ano_ref,7,1)-Planos!$G278)/Planos!$E278,1)*Planos!$E278))/Planos!$E278)+1)))</f>
      </c>
      <c r="M280" s="44">
        <f>IF(OR(Planos!$A278="",NOT(ISNUMBER(Planos!$G278)),N(Planos!$E278)&lt;=0),0,IF(Planos!$G278&gt;EOMONTH(DATE(crono_ano_ref,8,1),0),0,MAX(0,INT((EOMONTH(DATE(crono_ano_ref,8,1),0)-IF(Planos!$G278&gt;=DATE(crono_ano_ref,8,1),Planos!$G278,Planos!$G278+CEILING((DATE(crono_ano_ref,8,1)-Planos!$G278)/Planos!$E278,1)*Planos!$E278))/Planos!$E278)+1)))</f>
      </c>
      <c r="N280" s="44">
        <f>IF(OR(Planos!$A278="",NOT(ISNUMBER(Planos!$G278)),N(Planos!$E278)&lt;=0),0,IF(Planos!$G278&gt;EOMONTH(DATE(crono_ano_ref,9,1),0),0,MAX(0,INT((EOMONTH(DATE(crono_ano_ref,9,1),0)-IF(Planos!$G278&gt;=DATE(crono_ano_ref,9,1),Planos!$G278,Planos!$G278+CEILING((DATE(crono_ano_ref,9,1)-Planos!$G278)/Planos!$E278,1)*Planos!$E278))/Planos!$E278)+1)))</f>
      </c>
      <c r="O280" s="44">
        <f>IF(OR(Planos!$A278="",NOT(ISNUMBER(Planos!$G278)),N(Planos!$E278)&lt;=0),0,IF(Planos!$G278&gt;EOMONTH(DATE(crono_ano_ref,10,1),0),0,MAX(0,INT((EOMONTH(DATE(crono_ano_ref,10,1),0)-IF(Planos!$G278&gt;=DATE(crono_ano_ref,10,1),Planos!$G278,Planos!$G278+CEILING((DATE(crono_ano_ref,10,1)-Planos!$G278)/Planos!$E278,1)*Planos!$E278))/Planos!$E278)+1)))</f>
      </c>
      <c r="P280" s="44">
        <f>IF(OR(Planos!$A278="",NOT(ISNUMBER(Planos!$G278)),N(Planos!$E278)&lt;=0),0,IF(Planos!$G278&gt;EOMONTH(DATE(crono_ano_ref,11,1),0),0,MAX(0,INT((EOMONTH(DATE(crono_ano_ref,11,1),0)-IF(Planos!$G278&gt;=DATE(crono_ano_ref,11,1),Planos!$G278,Planos!$G278+CEILING((DATE(crono_ano_ref,11,1)-Planos!$G278)/Planos!$E278,1)*Planos!$E278))/Planos!$E278)+1)))</f>
      </c>
      <c r="Q280" s="44">
        <f>IF(OR(Planos!$A278="",NOT(ISNUMBER(Planos!$G278)),N(Planos!$E278)&lt;=0),0,IF(Planos!$G278&gt;EOMONTH(DATE(crono_ano_ref,12,1),0),0,MAX(0,INT((EOMONTH(DATE(crono_ano_ref,12,1),0)-IF(Planos!$G278&gt;=DATE(crono_ano_ref,12,1),Planos!$G278,Planos!$G278+CEILING((DATE(crono_ano_ref,12,1)-Planos!$G278)/Planos!$E278,1)*Planos!$E278))/Planos!$E278)+1)))</f>
      </c>
      <c r="R280" s="44">
        <f>SUM(F280:Q280)</f>
      </c>
    </row>
    <row r="281" spans="1:18" x14ac:dyDescent="0.25">
      <c r="A281" s="24">
        <f>IF(Planos!$A279="","",Planos!A279&amp;"")</f>
      </c>
      <c r="B281" s="41">
        <f>IF(Planos!$A279="","",Planos!B279&amp;"")</f>
      </c>
      <c r="C281" s="24">
        <f>IF(Planos!$A279="","",Planos!C279&amp;"")</f>
      </c>
      <c r="D281" s="42">
        <f>IF(Planos!$A279="","",N(Planos!E279))</f>
      </c>
      <c r="E281" s="43">
        <f>IF(Planos!$A279="","",N(Planos!K279))</f>
      </c>
      <c r="F281" s="44">
        <f>IF(OR(Planos!$A279="",NOT(ISNUMBER(Planos!$G279)),N(Planos!$E279)&lt;=0),0,IF(Planos!$G279&gt;EOMONTH(DATE(crono_ano_ref,1,1),0),0,MAX(0,INT((EOMONTH(DATE(crono_ano_ref,1,1),0)-IF(Planos!$G279&gt;=DATE(crono_ano_ref,1,1),Planos!$G279,Planos!$G279+CEILING((DATE(crono_ano_ref,1,1)-Planos!$G279)/Planos!$E279,1)*Planos!$E279))/Planos!$E279)+1)))</f>
      </c>
      <c r="G281" s="44">
        <f>IF(OR(Planos!$A279="",NOT(ISNUMBER(Planos!$G279)),N(Planos!$E279)&lt;=0),0,IF(Planos!$G279&gt;EOMONTH(DATE(crono_ano_ref,2,1),0),0,MAX(0,INT((EOMONTH(DATE(crono_ano_ref,2,1),0)-IF(Planos!$G279&gt;=DATE(crono_ano_ref,2,1),Planos!$G279,Planos!$G279+CEILING((DATE(crono_ano_ref,2,1)-Planos!$G279)/Planos!$E279,1)*Planos!$E279))/Planos!$E279)+1)))</f>
      </c>
      <c r="H281" s="44">
        <f>IF(OR(Planos!$A279="",NOT(ISNUMBER(Planos!$G279)),N(Planos!$E279)&lt;=0),0,IF(Planos!$G279&gt;EOMONTH(DATE(crono_ano_ref,3,1),0),0,MAX(0,INT((EOMONTH(DATE(crono_ano_ref,3,1),0)-IF(Planos!$G279&gt;=DATE(crono_ano_ref,3,1),Planos!$G279,Planos!$G279+CEILING((DATE(crono_ano_ref,3,1)-Planos!$G279)/Planos!$E279,1)*Planos!$E279))/Planos!$E279)+1)))</f>
      </c>
      <c r="I281" s="44">
        <f>IF(OR(Planos!$A279="",NOT(ISNUMBER(Planos!$G279)),N(Planos!$E279)&lt;=0),0,IF(Planos!$G279&gt;EOMONTH(DATE(crono_ano_ref,4,1),0),0,MAX(0,INT((EOMONTH(DATE(crono_ano_ref,4,1),0)-IF(Planos!$G279&gt;=DATE(crono_ano_ref,4,1),Planos!$G279,Planos!$G279+CEILING((DATE(crono_ano_ref,4,1)-Planos!$G279)/Planos!$E279,1)*Planos!$E279))/Planos!$E279)+1)))</f>
      </c>
      <c r="J281" s="44">
        <f>IF(OR(Planos!$A279="",NOT(ISNUMBER(Planos!$G279)),N(Planos!$E279)&lt;=0),0,IF(Planos!$G279&gt;EOMONTH(DATE(crono_ano_ref,5,1),0),0,MAX(0,INT((EOMONTH(DATE(crono_ano_ref,5,1),0)-IF(Planos!$G279&gt;=DATE(crono_ano_ref,5,1),Planos!$G279,Planos!$G279+CEILING((DATE(crono_ano_ref,5,1)-Planos!$G279)/Planos!$E279,1)*Planos!$E279))/Planos!$E279)+1)))</f>
      </c>
      <c r="K281" s="44">
        <f>IF(OR(Planos!$A279="",NOT(ISNUMBER(Planos!$G279)),N(Planos!$E279)&lt;=0),0,IF(Planos!$G279&gt;EOMONTH(DATE(crono_ano_ref,6,1),0),0,MAX(0,INT((EOMONTH(DATE(crono_ano_ref,6,1),0)-IF(Planos!$G279&gt;=DATE(crono_ano_ref,6,1),Planos!$G279,Planos!$G279+CEILING((DATE(crono_ano_ref,6,1)-Planos!$G279)/Planos!$E279,1)*Planos!$E279))/Planos!$E279)+1)))</f>
      </c>
      <c r="L281" s="44">
        <f>IF(OR(Planos!$A279="",NOT(ISNUMBER(Planos!$G279)),N(Planos!$E279)&lt;=0),0,IF(Planos!$G279&gt;EOMONTH(DATE(crono_ano_ref,7,1),0),0,MAX(0,INT((EOMONTH(DATE(crono_ano_ref,7,1),0)-IF(Planos!$G279&gt;=DATE(crono_ano_ref,7,1),Planos!$G279,Planos!$G279+CEILING((DATE(crono_ano_ref,7,1)-Planos!$G279)/Planos!$E279,1)*Planos!$E279))/Planos!$E279)+1)))</f>
      </c>
      <c r="M281" s="44">
        <f>IF(OR(Planos!$A279="",NOT(ISNUMBER(Planos!$G279)),N(Planos!$E279)&lt;=0),0,IF(Planos!$G279&gt;EOMONTH(DATE(crono_ano_ref,8,1),0),0,MAX(0,INT((EOMONTH(DATE(crono_ano_ref,8,1),0)-IF(Planos!$G279&gt;=DATE(crono_ano_ref,8,1),Planos!$G279,Planos!$G279+CEILING((DATE(crono_ano_ref,8,1)-Planos!$G279)/Planos!$E279,1)*Planos!$E279))/Planos!$E279)+1)))</f>
      </c>
      <c r="N281" s="44">
        <f>IF(OR(Planos!$A279="",NOT(ISNUMBER(Planos!$G279)),N(Planos!$E279)&lt;=0),0,IF(Planos!$G279&gt;EOMONTH(DATE(crono_ano_ref,9,1),0),0,MAX(0,INT((EOMONTH(DATE(crono_ano_ref,9,1),0)-IF(Planos!$G279&gt;=DATE(crono_ano_ref,9,1),Planos!$G279,Planos!$G279+CEILING((DATE(crono_ano_ref,9,1)-Planos!$G279)/Planos!$E279,1)*Planos!$E279))/Planos!$E279)+1)))</f>
      </c>
      <c r="O281" s="44">
        <f>IF(OR(Planos!$A279="",NOT(ISNUMBER(Planos!$G279)),N(Planos!$E279)&lt;=0),0,IF(Planos!$G279&gt;EOMONTH(DATE(crono_ano_ref,10,1),0),0,MAX(0,INT((EOMONTH(DATE(crono_ano_ref,10,1),0)-IF(Planos!$G279&gt;=DATE(crono_ano_ref,10,1),Planos!$G279,Planos!$G279+CEILING((DATE(crono_ano_ref,10,1)-Planos!$G279)/Planos!$E279,1)*Planos!$E279))/Planos!$E279)+1)))</f>
      </c>
      <c r="P281" s="44">
        <f>IF(OR(Planos!$A279="",NOT(ISNUMBER(Planos!$G279)),N(Planos!$E279)&lt;=0),0,IF(Planos!$G279&gt;EOMONTH(DATE(crono_ano_ref,11,1),0),0,MAX(0,INT((EOMONTH(DATE(crono_ano_ref,11,1),0)-IF(Planos!$G279&gt;=DATE(crono_ano_ref,11,1),Planos!$G279,Planos!$G279+CEILING((DATE(crono_ano_ref,11,1)-Planos!$G279)/Planos!$E279,1)*Planos!$E279))/Planos!$E279)+1)))</f>
      </c>
      <c r="Q281" s="44">
        <f>IF(OR(Planos!$A279="",NOT(ISNUMBER(Planos!$G279)),N(Planos!$E279)&lt;=0),0,IF(Planos!$G279&gt;EOMONTH(DATE(crono_ano_ref,12,1),0),0,MAX(0,INT((EOMONTH(DATE(crono_ano_ref,12,1),0)-IF(Planos!$G279&gt;=DATE(crono_ano_ref,12,1),Planos!$G279,Planos!$G279+CEILING((DATE(crono_ano_ref,12,1)-Planos!$G279)/Planos!$E279,1)*Planos!$E279))/Planos!$E279)+1)))</f>
      </c>
      <c r="R281" s="44">
        <f>SUM(F281:Q281)</f>
      </c>
    </row>
    <row r="282" spans="1:18" x14ac:dyDescent="0.25">
      <c r="A282" s="24">
        <f>IF(Planos!$A280="","",Planos!A280&amp;"")</f>
      </c>
      <c r="B282" s="41">
        <f>IF(Planos!$A280="","",Planos!B280&amp;"")</f>
      </c>
      <c r="C282" s="24">
        <f>IF(Planos!$A280="","",Planos!C280&amp;"")</f>
      </c>
      <c r="D282" s="42">
        <f>IF(Planos!$A280="","",N(Planos!E280))</f>
      </c>
      <c r="E282" s="43">
        <f>IF(Planos!$A280="","",N(Planos!K280))</f>
      </c>
      <c r="F282" s="44">
        <f>IF(OR(Planos!$A280="",NOT(ISNUMBER(Planos!$G280)),N(Planos!$E280)&lt;=0),0,IF(Planos!$G280&gt;EOMONTH(DATE(crono_ano_ref,1,1),0),0,MAX(0,INT((EOMONTH(DATE(crono_ano_ref,1,1),0)-IF(Planos!$G280&gt;=DATE(crono_ano_ref,1,1),Planos!$G280,Planos!$G280+CEILING((DATE(crono_ano_ref,1,1)-Planos!$G280)/Planos!$E280,1)*Planos!$E280))/Planos!$E280)+1)))</f>
      </c>
      <c r="G282" s="44">
        <f>IF(OR(Planos!$A280="",NOT(ISNUMBER(Planos!$G280)),N(Planos!$E280)&lt;=0),0,IF(Planos!$G280&gt;EOMONTH(DATE(crono_ano_ref,2,1),0),0,MAX(0,INT((EOMONTH(DATE(crono_ano_ref,2,1),0)-IF(Planos!$G280&gt;=DATE(crono_ano_ref,2,1),Planos!$G280,Planos!$G280+CEILING((DATE(crono_ano_ref,2,1)-Planos!$G280)/Planos!$E280,1)*Planos!$E280))/Planos!$E280)+1)))</f>
      </c>
      <c r="H282" s="44">
        <f>IF(OR(Planos!$A280="",NOT(ISNUMBER(Planos!$G280)),N(Planos!$E280)&lt;=0),0,IF(Planos!$G280&gt;EOMONTH(DATE(crono_ano_ref,3,1),0),0,MAX(0,INT((EOMONTH(DATE(crono_ano_ref,3,1),0)-IF(Planos!$G280&gt;=DATE(crono_ano_ref,3,1),Planos!$G280,Planos!$G280+CEILING((DATE(crono_ano_ref,3,1)-Planos!$G280)/Planos!$E280,1)*Planos!$E280))/Planos!$E280)+1)))</f>
      </c>
      <c r="I282" s="44">
        <f>IF(OR(Planos!$A280="",NOT(ISNUMBER(Planos!$G280)),N(Planos!$E280)&lt;=0),0,IF(Planos!$G280&gt;EOMONTH(DATE(crono_ano_ref,4,1),0),0,MAX(0,INT((EOMONTH(DATE(crono_ano_ref,4,1),0)-IF(Planos!$G280&gt;=DATE(crono_ano_ref,4,1),Planos!$G280,Planos!$G280+CEILING((DATE(crono_ano_ref,4,1)-Planos!$G280)/Planos!$E280,1)*Planos!$E280))/Planos!$E280)+1)))</f>
      </c>
      <c r="J282" s="44">
        <f>IF(OR(Planos!$A280="",NOT(ISNUMBER(Planos!$G280)),N(Planos!$E280)&lt;=0),0,IF(Planos!$G280&gt;EOMONTH(DATE(crono_ano_ref,5,1),0),0,MAX(0,INT((EOMONTH(DATE(crono_ano_ref,5,1),0)-IF(Planos!$G280&gt;=DATE(crono_ano_ref,5,1),Planos!$G280,Planos!$G280+CEILING((DATE(crono_ano_ref,5,1)-Planos!$G280)/Planos!$E280,1)*Planos!$E280))/Planos!$E280)+1)))</f>
      </c>
      <c r="K282" s="44">
        <f>IF(OR(Planos!$A280="",NOT(ISNUMBER(Planos!$G280)),N(Planos!$E280)&lt;=0),0,IF(Planos!$G280&gt;EOMONTH(DATE(crono_ano_ref,6,1),0),0,MAX(0,INT((EOMONTH(DATE(crono_ano_ref,6,1),0)-IF(Planos!$G280&gt;=DATE(crono_ano_ref,6,1),Planos!$G280,Planos!$G280+CEILING((DATE(crono_ano_ref,6,1)-Planos!$G280)/Planos!$E280,1)*Planos!$E280))/Planos!$E280)+1)))</f>
      </c>
      <c r="L282" s="44">
        <f>IF(OR(Planos!$A280="",NOT(ISNUMBER(Planos!$G280)),N(Planos!$E280)&lt;=0),0,IF(Planos!$G280&gt;EOMONTH(DATE(crono_ano_ref,7,1),0),0,MAX(0,INT((EOMONTH(DATE(crono_ano_ref,7,1),0)-IF(Planos!$G280&gt;=DATE(crono_ano_ref,7,1),Planos!$G280,Planos!$G280+CEILING((DATE(crono_ano_ref,7,1)-Planos!$G280)/Planos!$E280,1)*Planos!$E280))/Planos!$E280)+1)))</f>
      </c>
      <c r="M282" s="44">
        <f>IF(OR(Planos!$A280="",NOT(ISNUMBER(Planos!$G280)),N(Planos!$E280)&lt;=0),0,IF(Planos!$G280&gt;EOMONTH(DATE(crono_ano_ref,8,1),0),0,MAX(0,INT((EOMONTH(DATE(crono_ano_ref,8,1),0)-IF(Planos!$G280&gt;=DATE(crono_ano_ref,8,1),Planos!$G280,Planos!$G280+CEILING((DATE(crono_ano_ref,8,1)-Planos!$G280)/Planos!$E280,1)*Planos!$E280))/Planos!$E280)+1)))</f>
      </c>
      <c r="N282" s="44">
        <f>IF(OR(Planos!$A280="",NOT(ISNUMBER(Planos!$G280)),N(Planos!$E280)&lt;=0),0,IF(Planos!$G280&gt;EOMONTH(DATE(crono_ano_ref,9,1),0),0,MAX(0,INT((EOMONTH(DATE(crono_ano_ref,9,1),0)-IF(Planos!$G280&gt;=DATE(crono_ano_ref,9,1),Planos!$G280,Planos!$G280+CEILING((DATE(crono_ano_ref,9,1)-Planos!$G280)/Planos!$E280,1)*Planos!$E280))/Planos!$E280)+1)))</f>
      </c>
      <c r="O282" s="44">
        <f>IF(OR(Planos!$A280="",NOT(ISNUMBER(Planos!$G280)),N(Planos!$E280)&lt;=0),0,IF(Planos!$G280&gt;EOMONTH(DATE(crono_ano_ref,10,1),0),0,MAX(0,INT((EOMONTH(DATE(crono_ano_ref,10,1),0)-IF(Planos!$G280&gt;=DATE(crono_ano_ref,10,1),Planos!$G280,Planos!$G280+CEILING((DATE(crono_ano_ref,10,1)-Planos!$G280)/Planos!$E280,1)*Planos!$E280))/Planos!$E280)+1)))</f>
      </c>
      <c r="P282" s="44">
        <f>IF(OR(Planos!$A280="",NOT(ISNUMBER(Planos!$G280)),N(Planos!$E280)&lt;=0),0,IF(Planos!$G280&gt;EOMONTH(DATE(crono_ano_ref,11,1),0),0,MAX(0,INT((EOMONTH(DATE(crono_ano_ref,11,1),0)-IF(Planos!$G280&gt;=DATE(crono_ano_ref,11,1),Planos!$G280,Planos!$G280+CEILING((DATE(crono_ano_ref,11,1)-Planos!$G280)/Planos!$E280,1)*Planos!$E280))/Planos!$E280)+1)))</f>
      </c>
      <c r="Q282" s="44">
        <f>IF(OR(Planos!$A280="",NOT(ISNUMBER(Planos!$G280)),N(Planos!$E280)&lt;=0),0,IF(Planos!$G280&gt;EOMONTH(DATE(crono_ano_ref,12,1),0),0,MAX(0,INT((EOMONTH(DATE(crono_ano_ref,12,1),0)-IF(Planos!$G280&gt;=DATE(crono_ano_ref,12,1),Planos!$G280,Planos!$G280+CEILING((DATE(crono_ano_ref,12,1)-Planos!$G280)/Planos!$E280,1)*Planos!$E280))/Planos!$E280)+1)))</f>
      </c>
      <c r="R282" s="44">
        <f>SUM(F282:Q282)</f>
      </c>
    </row>
    <row r="283" spans="1:18" x14ac:dyDescent="0.25">
      <c r="A283" s="24">
        <f>IF(Planos!$A281="","",Planos!A281&amp;"")</f>
      </c>
      <c r="B283" s="41">
        <f>IF(Planos!$A281="","",Planos!B281&amp;"")</f>
      </c>
      <c r="C283" s="24">
        <f>IF(Planos!$A281="","",Planos!C281&amp;"")</f>
      </c>
      <c r="D283" s="42">
        <f>IF(Planos!$A281="","",N(Planos!E281))</f>
      </c>
      <c r="E283" s="43">
        <f>IF(Planos!$A281="","",N(Planos!K281))</f>
      </c>
      <c r="F283" s="44">
        <f>IF(OR(Planos!$A281="",NOT(ISNUMBER(Planos!$G281)),N(Planos!$E281)&lt;=0),0,IF(Planos!$G281&gt;EOMONTH(DATE(crono_ano_ref,1,1),0),0,MAX(0,INT((EOMONTH(DATE(crono_ano_ref,1,1),0)-IF(Planos!$G281&gt;=DATE(crono_ano_ref,1,1),Planos!$G281,Planos!$G281+CEILING((DATE(crono_ano_ref,1,1)-Planos!$G281)/Planos!$E281,1)*Planos!$E281))/Planos!$E281)+1)))</f>
      </c>
      <c r="G283" s="44">
        <f>IF(OR(Planos!$A281="",NOT(ISNUMBER(Planos!$G281)),N(Planos!$E281)&lt;=0),0,IF(Planos!$G281&gt;EOMONTH(DATE(crono_ano_ref,2,1),0),0,MAX(0,INT((EOMONTH(DATE(crono_ano_ref,2,1),0)-IF(Planos!$G281&gt;=DATE(crono_ano_ref,2,1),Planos!$G281,Planos!$G281+CEILING((DATE(crono_ano_ref,2,1)-Planos!$G281)/Planos!$E281,1)*Planos!$E281))/Planos!$E281)+1)))</f>
      </c>
      <c r="H283" s="44">
        <f>IF(OR(Planos!$A281="",NOT(ISNUMBER(Planos!$G281)),N(Planos!$E281)&lt;=0),0,IF(Planos!$G281&gt;EOMONTH(DATE(crono_ano_ref,3,1),0),0,MAX(0,INT((EOMONTH(DATE(crono_ano_ref,3,1),0)-IF(Planos!$G281&gt;=DATE(crono_ano_ref,3,1),Planos!$G281,Planos!$G281+CEILING((DATE(crono_ano_ref,3,1)-Planos!$G281)/Planos!$E281,1)*Planos!$E281))/Planos!$E281)+1)))</f>
      </c>
      <c r="I283" s="44">
        <f>IF(OR(Planos!$A281="",NOT(ISNUMBER(Planos!$G281)),N(Planos!$E281)&lt;=0),0,IF(Planos!$G281&gt;EOMONTH(DATE(crono_ano_ref,4,1),0),0,MAX(0,INT((EOMONTH(DATE(crono_ano_ref,4,1),0)-IF(Planos!$G281&gt;=DATE(crono_ano_ref,4,1),Planos!$G281,Planos!$G281+CEILING((DATE(crono_ano_ref,4,1)-Planos!$G281)/Planos!$E281,1)*Planos!$E281))/Planos!$E281)+1)))</f>
      </c>
      <c r="J283" s="44">
        <f>IF(OR(Planos!$A281="",NOT(ISNUMBER(Planos!$G281)),N(Planos!$E281)&lt;=0),0,IF(Planos!$G281&gt;EOMONTH(DATE(crono_ano_ref,5,1),0),0,MAX(0,INT((EOMONTH(DATE(crono_ano_ref,5,1),0)-IF(Planos!$G281&gt;=DATE(crono_ano_ref,5,1),Planos!$G281,Planos!$G281+CEILING((DATE(crono_ano_ref,5,1)-Planos!$G281)/Planos!$E281,1)*Planos!$E281))/Planos!$E281)+1)))</f>
      </c>
      <c r="K283" s="44">
        <f>IF(OR(Planos!$A281="",NOT(ISNUMBER(Planos!$G281)),N(Planos!$E281)&lt;=0),0,IF(Planos!$G281&gt;EOMONTH(DATE(crono_ano_ref,6,1),0),0,MAX(0,INT((EOMONTH(DATE(crono_ano_ref,6,1),0)-IF(Planos!$G281&gt;=DATE(crono_ano_ref,6,1),Planos!$G281,Planos!$G281+CEILING((DATE(crono_ano_ref,6,1)-Planos!$G281)/Planos!$E281,1)*Planos!$E281))/Planos!$E281)+1)))</f>
      </c>
      <c r="L283" s="44">
        <f>IF(OR(Planos!$A281="",NOT(ISNUMBER(Planos!$G281)),N(Planos!$E281)&lt;=0),0,IF(Planos!$G281&gt;EOMONTH(DATE(crono_ano_ref,7,1),0),0,MAX(0,INT((EOMONTH(DATE(crono_ano_ref,7,1),0)-IF(Planos!$G281&gt;=DATE(crono_ano_ref,7,1),Planos!$G281,Planos!$G281+CEILING((DATE(crono_ano_ref,7,1)-Planos!$G281)/Planos!$E281,1)*Planos!$E281))/Planos!$E281)+1)))</f>
      </c>
      <c r="M283" s="44">
        <f>IF(OR(Planos!$A281="",NOT(ISNUMBER(Planos!$G281)),N(Planos!$E281)&lt;=0),0,IF(Planos!$G281&gt;EOMONTH(DATE(crono_ano_ref,8,1),0),0,MAX(0,INT((EOMONTH(DATE(crono_ano_ref,8,1),0)-IF(Planos!$G281&gt;=DATE(crono_ano_ref,8,1),Planos!$G281,Planos!$G281+CEILING((DATE(crono_ano_ref,8,1)-Planos!$G281)/Planos!$E281,1)*Planos!$E281))/Planos!$E281)+1)))</f>
      </c>
      <c r="N283" s="44">
        <f>IF(OR(Planos!$A281="",NOT(ISNUMBER(Planos!$G281)),N(Planos!$E281)&lt;=0),0,IF(Planos!$G281&gt;EOMONTH(DATE(crono_ano_ref,9,1),0),0,MAX(0,INT((EOMONTH(DATE(crono_ano_ref,9,1),0)-IF(Planos!$G281&gt;=DATE(crono_ano_ref,9,1),Planos!$G281,Planos!$G281+CEILING((DATE(crono_ano_ref,9,1)-Planos!$G281)/Planos!$E281,1)*Planos!$E281))/Planos!$E281)+1)))</f>
      </c>
      <c r="O283" s="44">
        <f>IF(OR(Planos!$A281="",NOT(ISNUMBER(Planos!$G281)),N(Planos!$E281)&lt;=0),0,IF(Planos!$G281&gt;EOMONTH(DATE(crono_ano_ref,10,1),0),0,MAX(0,INT((EOMONTH(DATE(crono_ano_ref,10,1),0)-IF(Planos!$G281&gt;=DATE(crono_ano_ref,10,1),Planos!$G281,Planos!$G281+CEILING((DATE(crono_ano_ref,10,1)-Planos!$G281)/Planos!$E281,1)*Planos!$E281))/Planos!$E281)+1)))</f>
      </c>
      <c r="P283" s="44">
        <f>IF(OR(Planos!$A281="",NOT(ISNUMBER(Planos!$G281)),N(Planos!$E281)&lt;=0),0,IF(Planos!$G281&gt;EOMONTH(DATE(crono_ano_ref,11,1),0),0,MAX(0,INT((EOMONTH(DATE(crono_ano_ref,11,1),0)-IF(Planos!$G281&gt;=DATE(crono_ano_ref,11,1),Planos!$G281,Planos!$G281+CEILING((DATE(crono_ano_ref,11,1)-Planos!$G281)/Planos!$E281,1)*Planos!$E281))/Planos!$E281)+1)))</f>
      </c>
      <c r="Q283" s="44">
        <f>IF(OR(Planos!$A281="",NOT(ISNUMBER(Planos!$G281)),N(Planos!$E281)&lt;=0),0,IF(Planos!$G281&gt;EOMONTH(DATE(crono_ano_ref,12,1),0),0,MAX(0,INT((EOMONTH(DATE(crono_ano_ref,12,1),0)-IF(Planos!$G281&gt;=DATE(crono_ano_ref,12,1),Planos!$G281,Planos!$G281+CEILING((DATE(crono_ano_ref,12,1)-Planos!$G281)/Planos!$E281,1)*Planos!$E281))/Planos!$E281)+1)))</f>
      </c>
      <c r="R283" s="44">
        <f>SUM(F283:Q283)</f>
      </c>
    </row>
    <row r="284" spans="1:18" x14ac:dyDescent="0.25">
      <c r="A284" s="24">
        <f>IF(Planos!$A282="","",Planos!A282&amp;"")</f>
      </c>
      <c r="B284" s="41">
        <f>IF(Planos!$A282="","",Planos!B282&amp;"")</f>
      </c>
      <c r="C284" s="24">
        <f>IF(Planos!$A282="","",Planos!C282&amp;"")</f>
      </c>
      <c r="D284" s="42">
        <f>IF(Planos!$A282="","",N(Planos!E282))</f>
      </c>
      <c r="E284" s="43">
        <f>IF(Planos!$A282="","",N(Planos!K282))</f>
      </c>
      <c r="F284" s="44">
        <f>IF(OR(Planos!$A282="",NOT(ISNUMBER(Planos!$G282)),N(Planos!$E282)&lt;=0),0,IF(Planos!$G282&gt;EOMONTH(DATE(crono_ano_ref,1,1),0),0,MAX(0,INT((EOMONTH(DATE(crono_ano_ref,1,1),0)-IF(Planos!$G282&gt;=DATE(crono_ano_ref,1,1),Planos!$G282,Planos!$G282+CEILING((DATE(crono_ano_ref,1,1)-Planos!$G282)/Planos!$E282,1)*Planos!$E282))/Planos!$E282)+1)))</f>
      </c>
      <c r="G284" s="44">
        <f>IF(OR(Planos!$A282="",NOT(ISNUMBER(Planos!$G282)),N(Planos!$E282)&lt;=0),0,IF(Planos!$G282&gt;EOMONTH(DATE(crono_ano_ref,2,1),0),0,MAX(0,INT((EOMONTH(DATE(crono_ano_ref,2,1),0)-IF(Planos!$G282&gt;=DATE(crono_ano_ref,2,1),Planos!$G282,Planos!$G282+CEILING((DATE(crono_ano_ref,2,1)-Planos!$G282)/Planos!$E282,1)*Planos!$E282))/Planos!$E282)+1)))</f>
      </c>
      <c r="H284" s="44">
        <f>IF(OR(Planos!$A282="",NOT(ISNUMBER(Planos!$G282)),N(Planos!$E282)&lt;=0),0,IF(Planos!$G282&gt;EOMONTH(DATE(crono_ano_ref,3,1),0),0,MAX(0,INT((EOMONTH(DATE(crono_ano_ref,3,1),0)-IF(Planos!$G282&gt;=DATE(crono_ano_ref,3,1),Planos!$G282,Planos!$G282+CEILING((DATE(crono_ano_ref,3,1)-Planos!$G282)/Planos!$E282,1)*Planos!$E282))/Planos!$E282)+1)))</f>
      </c>
      <c r="I284" s="44">
        <f>IF(OR(Planos!$A282="",NOT(ISNUMBER(Planos!$G282)),N(Planos!$E282)&lt;=0),0,IF(Planos!$G282&gt;EOMONTH(DATE(crono_ano_ref,4,1),0),0,MAX(0,INT((EOMONTH(DATE(crono_ano_ref,4,1),0)-IF(Planos!$G282&gt;=DATE(crono_ano_ref,4,1),Planos!$G282,Planos!$G282+CEILING((DATE(crono_ano_ref,4,1)-Planos!$G282)/Planos!$E282,1)*Planos!$E282))/Planos!$E282)+1)))</f>
      </c>
      <c r="J284" s="44">
        <f>IF(OR(Planos!$A282="",NOT(ISNUMBER(Planos!$G282)),N(Planos!$E282)&lt;=0),0,IF(Planos!$G282&gt;EOMONTH(DATE(crono_ano_ref,5,1),0),0,MAX(0,INT((EOMONTH(DATE(crono_ano_ref,5,1),0)-IF(Planos!$G282&gt;=DATE(crono_ano_ref,5,1),Planos!$G282,Planos!$G282+CEILING((DATE(crono_ano_ref,5,1)-Planos!$G282)/Planos!$E282,1)*Planos!$E282))/Planos!$E282)+1)))</f>
      </c>
      <c r="K284" s="44">
        <f>IF(OR(Planos!$A282="",NOT(ISNUMBER(Planos!$G282)),N(Planos!$E282)&lt;=0),0,IF(Planos!$G282&gt;EOMONTH(DATE(crono_ano_ref,6,1),0),0,MAX(0,INT((EOMONTH(DATE(crono_ano_ref,6,1),0)-IF(Planos!$G282&gt;=DATE(crono_ano_ref,6,1),Planos!$G282,Planos!$G282+CEILING((DATE(crono_ano_ref,6,1)-Planos!$G282)/Planos!$E282,1)*Planos!$E282))/Planos!$E282)+1)))</f>
      </c>
      <c r="L284" s="44">
        <f>IF(OR(Planos!$A282="",NOT(ISNUMBER(Planos!$G282)),N(Planos!$E282)&lt;=0),0,IF(Planos!$G282&gt;EOMONTH(DATE(crono_ano_ref,7,1),0),0,MAX(0,INT((EOMONTH(DATE(crono_ano_ref,7,1),0)-IF(Planos!$G282&gt;=DATE(crono_ano_ref,7,1),Planos!$G282,Planos!$G282+CEILING((DATE(crono_ano_ref,7,1)-Planos!$G282)/Planos!$E282,1)*Planos!$E282))/Planos!$E282)+1)))</f>
      </c>
      <c r="M284" s="44">
        <f>IF(OR(Planos!$A282="",NOT(ISNUMBER(Planos!$G282)),N(Planos!$E282)&lt;=0),0,IF(Planos!$G282&gt;EOMONTH(DATE(crono_ano_ref,8,1),0),0,MAX(0,INT((EOMONTH(DATE(crono_ano_ref,8,1),0)-IF(Planos!$G282&gt;=DATE(crono_ano_ref,8,1),Planos!$G282,Planos!$G282+CEILING((DATE(crono_ano_ref,8,1)-Planos!$G282)/Planos!$E282,1)*Planos!$E282))/Planos!$E282)+1)))</f>
      </c>
      <c r="N284" s="44">
        <f>IF(OR(Planos!$A282="",NOT(ISNUMBER(Planos!$G282)),N(Planos!$E282)&lt;=0),0,IF(Planos!$G282&gt;EOMONTH(DATE(crono_ano_ref,9,1),0),0,MAX(0,INT((EOMONTH(DATE(crono_ano_ref,9,1),0)-IF(Planos!$G282&gt;=DATE(crono_ano_ref,9,1),Planos!$G282,Planos!$G282+CEILING((DATE(crono_ano_ref,9,1)-Planos!$G282)/Planos!$E282,1)*Planos!$E282))/Planos!$E282)+1)))</f>
      </c>
      <c r="O284" s="44">
        <f>IF(OR(Planos!$A282="",NOT(ISNUMBER(Planos!$G282)),N(Planos!$E282)&lt;=0),0,IF(Planos!$G282&gt;EOMONTH(DATE(crono_ano_ref,10,1),0),0,MAX(0,INT((EOMONTH(DATE(crono_ano_ref,10,1),0)-IF(Planos!$G282&gt;=DATE(crono_ano_ref,10,1),Planos!$G282,Planos!$G282+CEILING((DATE(crono_ano_ref,10,1)-Planos!$G282)/Planos!$E282,1)*Planos!$E282))/Planos!$E282)+1)))</f>
      </c>
      <c r="P284" s="44">
        <f>IF(OR(Planos!$A282="",NOT(ISNUMBER(Planos!$G282)),N(Planos!$E282)&lt;=0),0,IF(Planos!$G282&gt;EOMONTH(DATE(crono_ano_ref,11,1),0),0,MAX(0,INT((EOMONTH(DATE(crono_ano_ref,11,1),0)-IF(Planos!$G282&gt;=DATE(crono_ano_ref,11,1),Planos!$G282,Planos!$G282+CEILING((DATE(crono_ano_ref,11,1)-Planos!$G282)/Planos!$E282,1)*Planos!$E282))/Planos!$E282)+1)))</f>
      </c>
      <c r="Q284" s="44">
        <f>IF(OR(Planos!$A282="",NOT(ISNUMBER(Planos!$G282)),N(Planos!$E282)&lt;=0),0,IF(Planos!$G282&gt;EOMONTH(DATE(crono_ano_ref,12,1),0),0,MAX(0,INT((EOMONTH(DATE(crono_ano_ref,12,1),0)-IF(Planos!$G282&gt;=DATE(crono_ano_ref,12,1),Planos!$G282,Planos!$G282+CEILING((DATE(crono_ano_ref,12,1)-Planos!$G282)/Planos!$E282,1)*Planos!$E282))/Planos!$E282)+1)))</f>
      </c>
      <c r="R284" s="44">
        <f>SUM(F284:Q284)</f>
      </c>
    </row>
    <row r="285" spans="1:18" x14ac:dyDescent="0.25">
      <c r="A285" s="24">
        <f>IF(Planos!$A283="","",Planos!A283&amp;"")</f>
      </c>
      <c r="B285" s="41">
        <f>IF(Planos!$A283="","",Planos!B283&amp;"")</f>
      </c>
      <c r="C285" s="24">
        <f>IF(Planos!$A283="","",Planos!C283&amp;"")</f>
      </c>
      <c r="D285" s="42">
        <f>IF(Planos!$A283="","",N(Planos!E283))</f>
      </c>
      <c r="E285" s="43">
        <f>IF(Planos!$A283="","",N(Planos!K283))</f>
      </c>
      <c r="F285" s="44">
        <f>IF(OR(Planos!$A283="",NOT(ISNUMBER(Planos!$G283)),N(Planos!$E283)&lt;=0),0,IF(Planos!$G283&gt;EOMONTH(DATE(crono_ano_ref,1,1),0),0,MAX(0,INT((EOMONTH(DATE(crono_ano_ref,1,1),0)-IF(Planos!$G283&gt;=DATE(crono_ano_ref,1,1),Planos!$G283,Planos!$G283+CEILING((DATE(crono_ano_ref,1,1)-Planos!$G283)/Planos!$E283,1)*Planos!$E283))/Planos!$E283)+1)))</f>
      </c>
      <c r="G285" s="44">
        <f>IF(OR(Planos!$A283="",NOT(ISNUMBER(Planos!$G283)),N(Planos!$E283)&lt;=0),0,IF(Planos!$G283&gt;EOMONTH(DATE(crono_ano_ref,2,1),0),0,MAX(0,INT((EOMONTH(DATE(crono_ano_ref,2,1),0)-IF(Planos!$G283&gt;=DATE(crono_ano_ref,2,1),Planos!$G283,Planos!$G283+CEILING((DATE(crono_ano_ref,2,1)-Planos!$G283)/Planos!$E283,1)*Planos!$E283))/Planos!$E283)+1)))</f>
      </c>
      <c r="H285" s="44">
        <f>IF(OR(Planos!$A283="",NOT(ISNUMBER(Planos!$G283)),N(Planos!$E283)&lt;=0),0,IF(Planos!$G283&gt;EOMONTH(DATE(crono_ano_ref,3,1),0),0,MAX(0,INT((EOMONTH(DATE(crono_ano_ref,3,1),0)-IF(Planos!$G283&gt;=DATE(crono_ano_ref,3,1),Planos!$G283,Planos!$G283+CEILING((DATE(crono_ano_ref,3,1)-Planos!$G283)/Planos!$E283,1)*Planos!$E283))/Planos!$E283)+1)))</f>
      </c>
      <c r="I285" s="44">
        <f>IF(OR(Planos!$A283="",NOT(ISNUMBER(Planos!$G283)),N(Planos!$E283)&lt;=0),0,IF(Planos!$G283&gt;EOMONTH(DATE(crono_ano_ref,4,1),0),0,MAX(0,INT((EOMONTH(DATE(crono_ano_ref,4,1),0)-IF(Planos!$G283&gt;=DATE(crono_ano_ref,4,1),Planos!$G283,Planos!$G283+CEILING((DATE(crono_ano_ref,4,1)-Planos!$G283)/Planos!$E283,1)*Planos!$E283))/Planos!$E283)+1)))</f>
      </c>
      <c r="J285" s="44">
        <f>IF(OR(Planos!$A283="",NOT(ISNUMBER(Planos!$G283)),N(Planos!$E283)&lt;=0),0,IF(Planos!$G283&gt;EOMONTH(DATE(crono_ano_ref,5,1),0),0,MAX(0,INT((EOMONTH(DATE(crono_ano_ref,5,1),0)-IF(Planos!$G283&gt;=DATE(crono_ano_ref,5,1),Planos!$G283,Planos!$G283+CEILING((DATE(crono_ano_ref,5,1)-Planos!$G283)/Planos!$E283,1)*Planos!$E283))/Planos!$E283)+1)))</f>
      </c>
      <c r="K285" s="44">
        <f>IF(OR(Planos!$A283="",NOT(ISNUMBER(Planos!$G283)),N(Planos!$E283)&lt;=0),0,IF(Planos!$G283&gt;EOMONTH(DATE(crono_ano_ref,6,1),0),0,MAX(0,INT((EOMONTH(DATE(crono_ano_ref,6,1),0)-IF(Planos!$G283&gt;=DATE(crono_ano_ref,6,1),Planos!$G283,Planos!$G283+CEILING((DATE(crono_ano_ref,6,1)-Planos!$G283)/Planos!$E283,1)*Planos!$E283))/Planos!$E283)+1)))</f>
      </c>
      <c r="L285" s="44">
        <f>IF(OR(Planos!$A283="",NOT(ISNUMBER(Planos!$G283)),N(Planos!$E283)&lt;=0),0,IF(Planos!$G283&gt;EOMONTH(DATE(crono_ano_ref,7,1),0),0,MAX(0,INT((EOMONTH(DATE(crono_ano_ref,7,1),0)-IF(Planos!$G283&gt;=DATE(crono_ano_ref,7,1),Planos!$G283,Planos!$G283+CEILING((DATE(crono_ano_ref,7,1)-Planos!$G283)/Planos!$E283,1)*Planos!$E283))/Planos!$E283)+1)))</f>
      </c>
      <c r="M285" s="44">
        <f>IF(OR(Planos!$A283="",NOT(ISNUMBER(Planos!$G283)),N(Planos!$E283)&lt;=0),0,IF(Planos!$G283&gt;EOMONTH(DATE(crono_ano_ref,8,1),0),0,MAX(0,INT((EOMONTH(DATE(crono_ano_ref,8,1),0)-IF(Planos!$G283&gt;=DATE(crono_ano_ref,8,1),Planos!$G283,Planos!$G283+CEILING((DATE(crono_ano_ref,8,1)-Planos!$G283)/Planos!$E283,1)*Planos!$E283))/Planos!$E283)+1)))</f>
      </c>
      <c r="N285" s="44">
        <f>IF(OR(Planos!$A283="",NOT(ISNUMBER(Planos!$G283)),N(Planos!$E283)&lt;=0),0,IF(Planos!$G283&gt;EOMONTH(DATE(crono_ano_ref,9,1),0),0,MAX(0,INT((EOMONTH(DATE(crono_ano_ref,9,1),0)-IF(Planos!$G283&gt;=DATE(crono_ano_ref,9,1),Planos!$G283,Planos!$G283+CEILING((DATE(crono_ano_ref,9,1)-Planos!$G283)/Planos!$E283,1)*Planos!$E283))/Planos!$E283)+1)))</f>
      </c>
      <c r="O285" s="44">
        <f>IF(OR(Planos!$A283="",NOT(ISNUMBER(Planos!$G283)),N(Planos!$E283)&lt;=0),0,IF(Planos!$G283&gt;EOMONTH(DATE(crono_ano_ref,10,1),0),0,MAX(0,INT((EOMONTH(DATE(crono_ano_ref,10,1),0)-IF(Planos!$G283&gt;=DATE(crono_ano_ref,10,1),Planos!$G283,Planos!$G283+CEILING((DATE(crono_ano_ref,10,1)-Planos!$G283)/Planos!$E283,1)*Planos!$E283))/Planos!$E283)+1)))</f>
      </c>
      <c r="P285" s="44">
        <f>IF(OR(Planos!$A283="",NOT(ISNUMBER(Planos!$G283)),N(Planos!$E283)&lt;=0),0,IF(Planos!$G283&gt;EOMONTH(DATE(crono_ano_ref,11,1),0),0,MAX(0,INT((EOMONTH(DATE(crono_ano_ref,11,1),0)-IF(Planos!$G283&gt;=DATE(crono_ano_ref,11,1),Planos!$G283,Planos!$G283+CEILING((DATE(crono_ano_ref,11,1)-Planos!$G283)/Planos!$E283,1)*Planos!$E283))/Planos!$E283)+1)))</f>
      </c>
      <c r="Q285" s="44">
        <f>IF(OR(Planos!$A283="",NOT(ISNUMBER(Planos!$G283)),N(Planos!$E283)&lt;=0),0,IF(Planos!$G283&gt;EOMONTH(DATE(crono_ano_ref,12,1),0),0,MAX(0,INT((EOMONTH(DATE(crono_ano_ref,12,1),0)-IF(Planos!$G283&gt;=DATE(crono_ano_ref,12,1),Planos!$G283,Planos!$G283+CEILING((DATE(crono_ano_ref,12,1)-Planos!$G283)/Planos!$E283,1)*Planos!$E283))/Planos!$E283)+1)))</f>
      </c>
      <c r="R285" s="44">
        <f>SUM(F285:Q285)</f>
      </c>
    </row>
    <row r="286" spans="1:18" x14ac:dyDescent="0.25">
      <c r="A286" s="24">
        <f>IF(Planos!$A284="","",Planos!A284&amp;"")</f>
      </c>
      <c r="B286" s="41">
        <f>IF(Planos!$A284="","",Planos!B284&amp;"")</f>
      </c>
      <c r="C286" s="24">
        <f>IF(Planos!$A284="","",Planos!C284&amp;"")</f>
      </c>
      <c r="D286" s="42">
        <f>IF(Planos!$A284="","",N(Planos!E284))</f>
      </c>
      <c r="E286" s="43">
        <f>IF(Planos!$A284="","",N(Planos!K284))</f>
      </c>
      <c r="F286" s="44">
        <f>IF(OR(Planos!$A284="",NOT(ISNUMBER(Planos!$G284)),N(Planos!$E284)&lt;=0),0,IF(Planos!$G284&gt;EOMONTH(DATE(crono_ano_ref,1,1),0),0,MAX(0,INT((EOMONTH(DATE(crono_ano_ref,1,1),0)-IF(Planos!$G284&gt;=DATE(crono_ano_ref,1,1),Planos!$G284,Planos!$G284+CEILING((DATE(crono_ano_ref,1,1)-Planos!$G284)/Planos!$E284,1)*Planos!$E284))/Planos!$E284)+1)))</f>
      </c>
      <c r="G286" s="44">
        <f>IF(OR(Planos!$A284="",NOT(ISNUMBER(Planos!$G284)),N(Planos!$E284)&lt;=0),0,IF(Planos!$G284&gt;EOMONTH(DATE(crono_ano_ref,2,1),0),0,MAX(0,INT((EOMONTH(DATE(crono_ano_ref,2,1),0)-IF(Planos!$G284&gt;=DATE(crono_ano_ref,2,1),Planos!$G284,Planos!$G284+CEILING((DATE(crono_ano_ref,2,1)-Planos!$G284)/Planos!$E284,1)*Planos!$E284))/Planos!$E284)+1)))</f>
      </c>
      <c r="H286" s="44">
        <f>IF(OR(Planos!$A284="",NOT(ISNUMBER(Planos!$G284)),N(Planos!$E284)&lt;=0),0,IF(Planos!$G284&gt;EOMONTH(DATE(crono_ano_ref,3,1),0),0,MAX(0,INT((EOMONTH(DATE(crono_ano_ref,3,1),0)-IF(Planos!$G284&gt;=DATE(crono_ano_ref,3,1),Planos!$G284,Planos!$G284+CEILING((DATE(crono_ano_ref,3,1)-Planos!$G284)/Planos!$E284,1)*Planos!$E284))/Planos!$E284)+1)))</f>
      </c>
      <c r="I286" s="44">
        <f>IF(OR(Planos!$A284="",NOT(ISNUMBER(Planos!$G284)),N(Planos!$E284)&lt;=0),0,IF(Planos!$G284&gt;EOMONTH(DATE(crono_ano_ref,4,1),0),0,MAX(0,INT((EOMONTH(DATE(crono_ano_ref,4,1),0)-IF(Planos!$G284&gt;=DATE(crono_ano_ref,4,1),Planos!$G284,Planos!$G284+CEILING((DATE(crono_ano_ref,4,1)-Planos!$G284)/Planos!$E284,1)*Planos!$E284))/Planos!$E284)+1)))</f>
      </c>
      <c r="J286" s="44">
        <f>IF(OR(Planos!$A284="",NOT(ISNUMBER(Planos!$G284)),N(Planos!$E284)&lt;=0),0,IF(Planos!$G284&gt;EOMONTH(DATE(crono_ano_ref,5,1),0),0,MAX(0,INT((EOMONTH(DATE(crono_ano_ref,5,1),0)-IF(Planos!$G284&gt;=DATE(crono_ano_ref,5,1),Planos!$G284,Planos!$G284+CEILING((DATE(crono_ano_ref,5,1)-Planos!$G284)/Planos!$E284,1)*Planos!$E284))/Planos!$E284)+1)))</f>
      </c>
      <c r="K286" s="44">
        <f>IF(OR(Planos!$A284="",NOT(ISNUMBER(Planos!$G284)),N(Planos!$E284)&lt;=0),0,IF(Planos!$G284&gt;EOMONTH(DATE(crono_ano_ref,6,1),0),0,MAX(0,INT((EOMONTH(DATE(crono_ano_ref,6,1),0)-IF(Planos!$G284&gt;=DATE(crono_ano_ref,6,1),Planos!$G284,Planos!$G284+CEILING((DATE(crono_ano_ref,6,1)-Planos!$G284)/Planos!$E284,1)*Planos!$E284))/Planos!$E284)+1)))</f>
      </c>
      <c r="L286" s="44">
        <f>IF(OR(Planos!$A284="",NOT(ISNUMBER(Planos!$G284)),N(Planos!$E284)&lt;=0),0,IF(Planos!$G284&gt;EOMONTH(DATE(crono_ano_ref,7,1),0),0,MAX(0,INT((EOMONTH(DATE(crono_ano_ref,7,1),0)-IF(Planos!$G284&gt;=DATE(crono_ano_ref,7,1),Planos!$G284,Planos!$G284+CEILING((DATE(crono_ano_ref,7,1)-Planos!$G284)/Planos!$E284,1)*Planos!$E284))/Planos!$E284)+1)))</f>
      </c>
      <c r="M286" s="44">
        <f>IF(OR(Planos!$A284="",NOT(ISNUMBER(Planos!$G284)),N(Planos!$E284)&lt;=0),0,IF(Planos!$G284&gt;EOMONTH(DATE(crono_ano_ref,8,1),0),0,MAX(0,INT((EOMONTH(DATE(crono_ano_ref,8,1),0)-IF(Planos!$G284&gt;=DATE(crono_ano_ref,8,1),Planos!$G284,Planos!$G284+CEILING((DATE(crono_ano_ref,8,1)-Planos!$G284)/Planos!$E284,1)*Planos!$E284))/Planos!$E284)+1)))</f>
      </c>
      <c r="N286" s="44">
        <f>IF(OR(Planos!$A284="",NOT(ISNUMBER(Planos!$G284)),N(Planos!$E284)&lt;=0),0,IF(Planos!$G284&gt;EOMONTH(DATE(crono_ano_ref,9,1),0),0,MAX(0,INT((EOMONTH(DATE(crono_ano_ref,9,1),0)-IF(Planos!$G284&gt;=DATE(crono_ano_ref,9,1),Planos!$G284,Planos!$G284+CEILING((DATE(crono_ano_ref,9,1)-Planos!$G284)/Planos!$E284,1)*Planos!$E284))/Planos!$E284)+1)))</f>
      </c>
      <c r="O286" s="44">
        <f>IF(OR(Planos!$A284="",NOT(ISNUMBER(Planos!$G284)),N(Planos!$E284)&lt;=0),0,IF(Planos!$G284&gt;EOMONTH(DATE(crono_ano_ref,10,1),0),0,MAX(0,INT((EOMONTH(DATE(crono_ano_ref,10,1),0)-IF(Planos!$G284&gt;=DATE(crono_ano_ref,10,1),Planos!$G284,Planos!$G284+CEILING((DATE(crono_ano_ref,10,1)-Planos!$G284)/Planos!$E284,1)*Planos!$E284))/Planos!$E284)+1)))</f>
      </c>
      <c r="P286" s="44">
        <f>IF(OR(Planos!$A284="",NOT(ISNUMBER(Planos!$G284)),N(Planos!$E284)&lt;=0),0,IF(Planos!$G284&gt;EOMONTH(DATE(crono_ano_ref,11,1),0),0,MAX(0,INT((EOMONTH(DATE(crono_ano_ref,11,1),0)-IF(Planos!$G284&gt;=DATE(crono_ano_ref,11,1),Planos!$G284,Planos!$G284+CEILING((DATE(crono_ano_ref,11,1)-Planos!$G284)/Planos!$E284,1)*Planos!$E284))/Planos!$E284)+1)))</f>
      </c>
      <c r="Q286" s="44">
        <f>IF(OR(Planos!$A284="",NOT(ISNUMBER(Planos!$G284)),N(Planos!$E284)&lt;=0),0,IF(Planos!$G284&gt;EOMONTH(DATE(crono_ano_ref,12,1),0),0,MAX(0,INT((EOMONTH(DATE(crono_ano_ref,12,1),0)-IF(Planos!$G284&gt;=DATE(crono_ano_ref,12,1),Planos!$G284,Planos!$G284+CEILING((DATE(crono_ano_ref,12,1)-Planos!$G284)/Planos!$E284,1)*Planos!$E284))/Planos!$E284)+1)))</f>
      </c>
      <c r="R286" s="44">
        <f>SUM(F286:Q286)</f>
      </c>
    </row>
    <row r="287" spans="1:18" x14ac:dyDescent="0.25">
      <c r="A287" s="24">
        <f>IF(Planos!$A285="","",Planos!A285&amp;"")</f>
      </c>
      <c r="B287" s="41">
        <f>IF(Planos!$A285="","",Planos!B285&amp;"")</f>
      </c>
      <c r="C287" s="24">
        <f>IF(Planos!$A285="","",Planos!C285&amp;"")</f>
      </c>
      <c r="D287" s="42">
        <f>IF(Planos!$A285="","",N(Planos!E285))</f>
      </c>
      <c r="E287" s="43">
        <f>IF(Planos!$A285="","",N(Planos!K285))</f>
      </c>
      <c r="F287" s="44">
        <f>IF(OR(Planos!$A285="",NOT(ISNUMBER(Planos!$G285)),N(Planos!$E285)&lt;=0),0,IF(Planos!$G285&gt;EOMONTH(DATE(crono_ano_ref,1,1),0),0,MAX(0,INT((EOMONTH(DATE(crono_ano_ref,1,1),0)-IF(Planos!$G285&gt;=DATE(crono_ano_ref,1,1),Planos!$G285,Planos!$G285+CEILING((DATE(crono_ano_ref,1,1)-Planos!$G285)/Planos!$E285,1)*Planos!$E285))/Planos!$E285)+1)))</f>
      </c>
      <c r="G287" s="44">
        <f>IF(OR(Planos!$A285="",NOT(ISNUMBER(Planos!$G285)),N(Planos!$E285)&lt;=0),0,IF(Planos!$G285&gt;EOMONTH(DATE(crono_ano_ref,2,1),0),0,MAX(0,INT((EOMONTH(DATE(crono_ano_ref,2,1),0)-IF(Planos!$G285&gt;=DATE(crono_ano_ref,2,1),Planos!$G285,Planos!$G285+CEILING((DATE(crono_ano_ref,2,1)-Planos!$G285)/Planos!$E285,1)*Planos!$E285))/Planos!$E285)+1)))</f>
      </c>
      <c r="H287" s="44">
        <f>IF(OR(Planos!$A285="",NOT(ISNUMBER(Planos!$G285)),N(Planos!$E285)&lt;=0),0,IF(Planos!$G285&gt;EOMONTH(DATE(crono_ano_ref,3,1),0),0,MAX(0,INT((EOMONTH(DATE(crono_ano_ref,3,1),0)-IF(Planos!$G285&gt;=DATE(crono_ano_ref,3,1),Planos!$G285,Planos!$G285+CEILING((DATE(crono_ano_ref,3,1)-Planos!$G285)/Planos!$E285,1)*Planos!$E285))/Planos!$E285)+1)))</f>
      </c>
      <c r="I287" s="44">
        <f>IF(OR(Planos!$A285="",NOT(ISNUMBER(Planos!$G285)),N(Planos!$E285)&lt;=0),0,IF(Planos!$G285&gt;EOMONTH(DATE(crono_ano_ref,4,1),0),0,MAX(0,INT((EOMONTH(DATE(crono_ano_ref,4,1),0)-IF(Planos!$G285&gt;=DATE(crono_ano_ref,4,1),Planos!$G285,Planos!$G285+CEILING((DATE(crono_ano_ref,4,1)-Planos!$G285)/Planos!$E285,1)*Planos!$E285))/Planos!$E285)+1)))</f>
      </c>
      <c r="J287" s="44">
        <f>IF(OR(Planos!$A285="",NOT(ISNUMBER(Planos!$G285)),N(Planos!$E285)&lt;=0),0,IF(Planos!$G285&gt;EOMONTH(DATE(crono_ano_ref,5,1),0),0,MAX(0,INT((EOMONTH(DATE(crono_ano_ref,5,1),0)-IF(Planos!$G285&gt;=DATE(crono_ano_ref,5,1),Planos!$G285,Planos!$G285+CEILING((DATE(crono_ano_ref,5,1)-Planos!$G285)/Planos!$E285,1)*Planos!$E285))/Planos!$E285)+1)))</f>
      </c>
      <c r="K287" s="44">
        <f>IF(OR(Planos!$A285="",NOT(ISNUMBER(Planos!$G285)),N(Planos!$E285)&lt;=0),0,IF(Planos!$G285&gt;EOMONTH(DATE(crono_ano_ref,6,1),0),0,MAX(0,INT((EOMONTH(DATE(crono_ano_ref,6,1),0)-IF(Planos!$G285&gt;=DATE(crono_ano_ref,6,1),Planos!$G285,Planos!$G285+CEILING((DATE(crono_ano_ref,6,1)-Planos!$G285)/Planos!$E285,1)*Planos!$E285))/Planos!$E285)+1)))</f>
      </c>
      <c r="L287" s="44">
        <f>IF(OR(Planos!$A285="",NOT(ISNUMBER(Planos!$G285)),N(Planos!$E285)&lt;=0),0,IF(Planos!$G285&gt;EOMONTH(DATE(crono_ano_ref,7,1),0),0,MAX(0,INT((EOMONTH(DATE(crono_ano_ref,7,1),0)-IF(Planos!$G285&gt;=DATE(crono_ano_ref,7,1),Planos!$G285,Planos!$G285+CEILING((DATE(crono_ano_ref,7,1)-Planos!$G285)/Planos!$E285,1)*Planos!$E285))/Planos!$E285)+1)))</f>
      </c>
      <c r="M287" s="44">
        <f>IF(OR(Planos!$A285="",NOT(ISNUMBER(Planos!$G285)),N(Planos!$E285)&lt;=0),0,IF(Planos!$G285&gt;EOMONTH(DATE(crono_ano_ref,8,1),0),0,MAX(0,INT((EOMONTH(DATE(crono_ano_ref,8,1),0)-IF(Planos!$G285&gt;=DATE(crono_ano_ref,8,1),Planos!$G285,Planos!$G285+CEILING((DATE(crono_ano_ref,8,1)-Planos!$G285)/Planos!$E285,1)*Planos!$E285))/Planos!$E285)+1)))</f>
      </c>
      <c r="N287" s="44">
        <f>IF(OR(Planos!$A285="",NOT(ISNUMBER(Planos!$G285)),N(Planos!$E285)&lt;=0),0,IF(Planos!$G285&gt;EOMONTH(DATE(crono_ano_ref,9,1),0),0,MAX(0,INT((EOMONTH(DATE(crono_ano_ref,9,1),0)-IF(Planos!$G285&gt;=DATE(crono_ano_ref,9,1),Planos!$G285,Planos!$G285+CEILING((DATE(crono_ano_ref,9,1)-Planos!$G285)/Planos!$E285,1)*Planos!$E285))/Planos!$E285)+1)))</f>
      </c>
      <c r="O287" s="44">
        <f>IF(OR(Planos!$A285="",NOT(ISNUMBER(Planos!$G285)),N(Planos!$E285)&lt;=0),0,IF(Planos!$G285&gt;EOMONTH(DATE(crono_ano_ref,10,1),0),0,MAX(0,INT((EOMONTH(DATE(crono_ano_ref,10,1),0)-IF(Planos!$G285&gt;=DATE(crono_ano_ref,10,1),Planos!$G285,Planos!$G285+CEILING((DATE(crono_ano_ref,10,1)-Planos!$G285)/Planos!$E285,1)*Planos!$E285))/Planos!$E285)+1)))</f>
      </c>
      <c r="P287" s="44">
        <f>IF(OR(Planos!$A285="",NOT(ISNUMBER(Planos!$G285)),N(Planos!$E285)&lt;=0),0,IF(Planos!$G285&gt;EOMONTH(DATE(crono_ano_ref,11,1),0),0,MAX(0,INT((EOMONTH(DATE(crono_ano_ref,11,1),0)-IF(Planos!$G285&gt;=DATE(crono_ano_ref,11,1),Planos!$G285,Planos!$G285+CEILING((DATE(crono_ano_ref,11,1)-Planos!$G285)/Planos!$E285,1)*Planos!$E285))/Planos!$E285)+1)))</f>
      </c>
      <c r="Q287" s="44">
        <f>IF(OR(Planos!$A285="",NOT(ISNUMBER(Planos!$G285)),N(Planos!$E285)&lt;=0),0,IF(Planos!$G285&gt;EOMONTH(DATE(crono_ano_ref,12,1),0),0,MAX(0,INT((EOMONTH(DATE(crono_ano_ref,12,1),0)-IF(Planos!$G285&gt;=DATE(crono_ano_ref,12,1),Planos!$G285,Planos!$G285+CEILING((DATE(crono_ano_ref,12,1)-Planos!$G285)/Planos!$E285,1)*Planos!$E285))/Planos!$E285)+1)))</f>
      </c>
      <c r="R287" s="44">
        <f>SUM(F287:Q287)</f>
      </c>
    </row>
    <row r="288" spans="1:18" x14ac:dyDescent="0.25">
      <c r="A288" s="24">
        <f>IF(Planos!$A286="","",Planos!A286&amp;"")</f>
      </c>
      <c r="B288" s="41">
        <f>IF(Planos!$A286="","",Planos!B286&amp;"")</f>
      </c>
      <c r="C288" s="24">
        <f>IF(Planos!$A286="","",Planos!C286&amp;"")</f>
      </c>
      <c r="D288" s="42">
        <f>IF(Planos!$A286="","",N(Planos!E286))</f>
      </c>
      <c r="E288" s="43">
        <f>IF(Planos!$A286="","",N(Planos!K286))</f>
      </c>
      <c r="F288" s="44">
        <f>IF(OR(Planos!$A286="",NOT(ISNUMBER(Planos!$G286)),N(Planos!$E286)&lt;=0),0,IF(Planos!$G286&gt;EOMONTH(DATE(crono_ano_ref,1,1),0),0,MAX(0,INT((EOMONTH(DATE(crono_ano_ref,1,1),0)-IF(Planos!$G286&gt;=DATE(crono_ano_ref,1,1),Planos!$G286,Planos!$G286+CEILING((DATE(crono_ano_ref,1,1)-Planos!$G286)/Planos!$E286,1)*Planos!$E286))/Planos!$E286)+1)))</f>
      </c>
      <c r="G288" s="44">
        <f>IF(OR(Planos!$A286="",NOT(ISNUMBER(Planos!$G286)),N(Planos!$E286)&lt;=0),0,IF(Planos!$G286&gt;EOMONTH(DATE(crono_ano_ref,2,1),0),0,MAX(0,INT((EOMONTH(DATE(crono_ano_ref,2,1),0)-IF(Planos!$G286&gt;=DATE(crono_ano_ref,2,1),Planos!$G286,Planos!$G286+CEILING((DATE(crono_ano_ref,2,1)-Planos!$G286)/Planos!$E286,1)*Planos!$E286))/Planos!$E286)+1)))</f>
      </c>
      <c r="H288" s="44">
        <f>IF(OR(Planos!$A286="",NOT(ISNUMBER(Planos!$G286)),N(Planos!$E286)&lt;=0),0,IF(Planos!$G286&gt;EOMONTH(DATE(crono_ano_ref,3,1),0),0,MAX(0,INT((EOMONTH(DATE(crono_ano_ref,3,1),0)-IF(Planos!$G286&gt;=DATE(crono_ano_ref,3,1),Planos!$G286,Planos!$G286+CEILING((DATE(crono_ano_ref,3,1)-Planos!$G286)/Planos!$E286,1)*Planos!$E286))/Planos!$E286)+1)))</f>
      </c>
      <c r="I288" s="44">
        <f>IF(OR(Planos!$A286="",NOT(ISNUMBER(Planos!$G286)),N(Planos!$E286)&lt;=0),0,IF(Planos!$G286&gt;EOMONTH(DATE(crono_ano_ref,4,1),0),0,MAX(0,INT((EOMONTH(DATE(crono_ano_ref,4,1),0)-IF(Planos!$G286&gt;=DATE(crono_ano_ref,4,1),Planos!$G286,Planos!$G286+CEILING((DATE(crono_ano_ref,4,1)-Planos!$G286)/Planos!$E286,1)*Planos!$E286))/Planos!$E286)+1)))</f>
      </c>
      <c r="J288" s="44">
        <f>IF(OR(Planos!$A286="",NOT(ISNUMBER(Planos!$G286)),N(Planos!$E286)&lt;=0),0,IF(Planos!$G286&gt;EOMONTH(DATE(crono_ano_ref,5,1),0),0,MAX(0,INT((EOMONTH(DATE(crono_ano_ref,5,1),0)-IF(Planos!$G286&gt;=DATE(crono_ano_ref,5,1),Planos!$G286,Planos!$G286+CEILING((DATE(crono_ano_ref,5,1)-Planos!$G286)/Planos!$E286,1)*Planos!$E286))/Planos!$E286)+1)))</f>
      </c>
      <c r="K288" s="44">
        <f>IF(OR(Planos!$A286="",NOT(ISNUMBER(Planos!$G286)),N(Planos!$E286)&lt;=0),0,IF(Planos!$G286&gt;EOMONTH(DATE(crono_ano_ref,6,1),0),0,MAX(0,INT((EOMONTH(DATE(crono_ano_ref,6,1),0)-IF(Planos!$G286&gt;=DATE(crono_ano_ref,6,1),Planos!$G286,Planos!$G286+CEILING((DATE(crono_ano_ref,6,1)-Planos!$G286)/Planos!$E286,1)*Planos!$E286))/Planos!$E286)+1)))</f>
      </c>
      <c r="L288" s="44">
        <f>IF(OR(Planos!$A286="",NOT(ISNUMBER(Planos!$G286)),N(Planos!$E286)&lt;=0),0,IF(Planos!$G286&gt;EOMONTH(DATE(crono_ano_ref,7,1),0),0,MAX(0,INT((EOMONTH(DATE(crono_ano_ref,7,1),0)-IF(Planos!$G286&gt;=DATE(crono_ano_ref,7,1),Planos!$G286,Planos!$G286+CEILING((DATE(crono_ano_ref,7,1)-Planos!$G286)/Planos!$E286,1)*Planos!$E286))/Planos!$E286)+1)))</f>
      </c>
      <c r="M288" s="44">
        <f>IF(OR(Planos!$A286="",NOT(ISNUMBER(Planos!$G286)),N(Planos!$E286)&lt;=0),0,IF(Planos!$G286&gt;EOMONTH(DATE(crono_ano_ref,8,1),0),0,MAX(0,INT((EOMONTH(DATE(crono_ano_ref,8,1),0)-IF(Planos!$G286&gt;=DATE(crono_ano_ref,8,1),Planos!$G286,Planos!$G286+CEILING((DATE(crono_ano_ref,8,1)-Planos!$G286)/Planos!$E286,1)*Planos!$E286))/Planos!$E286)+1)))</f>
      </c>
      <c r="N288" s="44">
        <f>IF(OR(Planos!$A286="",NOT(ISNUMBER(Planos!$G286)),N(Planos!$E286)&lt;=0),0,IF(Planos!$G286&gt;EOMONTH(DATE(crono_ano_ref,9,1),0),0,MAX(0,INT((EOMONTH(DATE(crono_ano_ref,9,1),0)-IF(Planos!$G286&gt;=DATE(crono_ano_ref,9,1),Planos!$G286,Planos!$G286+CEILING((DATE(crono_ano_ref,9,1)-Planos!$G286)/Planos!$E286,1)*Planos!$E286))/Planos!$E286)+1)))</f>
      </c>
      <c r="O288" s="44">
        <f>IF(OR(Planos!$A286="",NOT(ISNUMBER(Planos!$G286)),N(Planos!$E286)&lt;=0),0,IF(Planos!$G286&gt;EOMONTH(DATE(crono_ano_ref,10,1),0),0,MAX(0,INT((EOMONTH(DATE(crono_ano_ref,10,1),0)-IF(Planos!$G286&gt;=DATE(crono_ano_ref,10,1),Planos!$G286,Planos!$G286+CEILING((DATE(crono_ano_ref,10,1)-Planos!$G286)/Planos!$E286,1)*Planos!$E286))/Planos!$E286)+1)))</f>
      </c>
      <c r="P288" s="44">
        <f>IF(OR(Planos!$A286="",NOT(ISNUMBER(Planos!$G286)),N(Planos!$E286)&lt;=0),0,IF(Planos!$G286&gt;EOMONTH(DATE(crono_ano_ref,11,1),0),0,MAX(0,INT((EOMONTH(DATE(crono_ano_ref,11,1),0)-IF(Planos!$G286&gt;=DATE(crono_ano_ref,11,1),Planos!$G286,Planos!$G286+CEILING((DATE(crono_ano_ref,11,1)-Planos!$G286)/Planos!$E286,1)*Planos!$E286))/Planos!$E286)+1)))</f>
      </c>
      <c r="Q288" s="44">
        <f>IF(OR(Planos!$A286="",NOT(ISNUMBER(Planos!$G286)),N(Planos!$E286)&lt;=0),0,IF(Planos!$G286&gt;EOMONTH(DATE(crono_ano_ref,12,1),0),0,MAX(0,INT((EOMONTH(DATE(crono_ano_ref,12,1),0)-IF(Planos!$G286&gt;=DATE(crono_ano_ref,12,1),Planos!$G286,Planos!$G286+CEILING((DATE(crono_ano_ref,12,1)-Planos!$G286)/Planos!$E286,1)*Planos!$E286))/Planos!$E286)+1)))</f>
      </c>
      <c r="R288" s="44">
        <f>SUM(F288:Q288)</f>
      </c>
    </row>
    <row r="289" spans="1:18" x14ac:dyDescent="0.25">
      <c r="A289" s="24">
        <f>IF(Planos!$A287="","",Planos!A287&amp;"")</f>
      </c>
      <c r="B289" s="41">
        <f>IF(Planos!$A287="","",Planos!B287&amp;"")</f>
      </c>
      <c r="C289" s="24">
        <f>IF(Planos!$A287="","",Planos!C287&amp;"")</f>
      </c>
      <c r="D289" s="42">
        <f>IF(Planos!$A287="","",N(Planos!E287))</f>
      </c>
      <c r="E289" s="43">
        <f>IF(Planos!$A287="","",N(Planos!K287))</f>
      </c>
      <c r="F289" s="44">
        <f>IF(OR(Planos!$A287="",NOT(ISNUMBER(Planos!$G287)),N(Planos!$E287)&lt;=0),0,IF(Planos!$G287&gt;EOMONTH(DATE(crono_ano_ref,1,1),0),0,MAX(0,INT((EOMONTH(DATE(crono_ano_ref,1,1),0)-IF(Planos!$G287&gt;=DATE(crono_ano_ref,1,1),Planos!$G287,Planos!$G287+CEILING((DATE(crono_ano_ref,1,1)-Planos!$G287)/Planos!$E287,1)*Planos!$E287))/Planos!$E287)+1)))</f>
      </c>
      <c r="G289" s="44">
        <f>IF(OR(Planos!$A287="",NOT(ISNUMBER(Planos!$G287)),N(Planos!$E287)&lt;=0),0,IF(Planos!$G287&gt;EOMONTH(DATE(crono_ano_ref,2,1),0),0,MAX(0,INT((EOMONTH(DATE(crono_ano_ref,2,1),0)-IF(Planos!$G287&gt;=DATE(crono_ano_ref,2,1),Planos!$G287,Planos!$G287+CEILING((DATE(crono_ano_ref,2,1)-Planos!$G287)/Planos!$E287,1)*Planos!$E287))/Planos!$E287)+1)))</f>
      </c>
      <c r="H289" s="44">
        <f>IF(OR(Planos!$A287="",NOT(ISNUMBER(Planos!$G287)),N(Planos!$E287)&lt;=0),0,IF(Planos!$G287&gt;EOMONTH(DATE(crono_ano_ref,3,1),0),0,MAX(0,INT((EOMONTH(DATE(crono_ano_ref,3,1),0)-IF(Planos!$G287&gt;=DATE(crono_ano_ref,3,1),Planos!$G287,Planos!$G287+CEILING((DATE(crono_ano_ref,3,1)-Planos!$G287)/Planos!$E287,1)*Planos!$E287))/Planos!$E287)+1)))</f>
      </c>
      <c r="I289" s="44">
        <f>IF(OR(Planos!$A287="",NOT(ISNUMBER(Planos!$G287)),N(Planos!$E287)&lt;=0),0,IF(Planos!$G287&gt;EOMONTH(DATE(crono_ano_ref,4,1),0),0,MAX(0,INT((EOMONTH(DATE(crono_ano_ref,4,1),0)-IF(Planos!$G287&gt;=DATE(crono_ano_ref,4,1),Planos!$G287,Planos!$G287+CEILING((DATE(crono_ano_ref,4,1)-Planos!$G287)/Planos!$E287,1)*Planos!$E287))/Planos!$E287)+1)))</f>
      </c>
      <c r="J289" s="44">
        <f>IF(OR(Planos!$A287="",NOT(ISNUMBER(Planos!$G287)),N(Planos!$E287)&lt;=0),0,IF(Planos!$G287&gt;EOMONTH(DATE(crono_ano_ref,5,1),0),0,MAX(0,INT((EOMONTH(DATE(crono_ano_ref,5,1),0)-IF(Planos!$G287&gt;=DATE(crono_ano_ref,5,1),Planos!$G287,Planos!$G287+CEILING((DATE(crono_ano_ref,5,1)-Planos!$G287)/Planos!$E287,1)*Planos!$E287))/Planos!$E287)+1)))</f>
      </c>
      <c r="K289" s="44">
        <f>IF(OR(Planos!$A287="",NOT(ISNUMBER(Planos!$G287)),N(Planos!$E287)&lt;=0),0,IF(Planos!$G287&gt;EOMONTH(DATE(crono_ano_ref,6,1),0),0,MAX(0,INT((EOMONTH(DATE(crono_ano_ref,6,1),0)-IF(Planos!$G287&gt;=DATE(crono_ano_ref,6,1),Planos!$G287,Planos!$G287+CEILING((DATE(crono_ano_ref,6,1)-Planos!$G287)/Planos!$E287,1)*Planos!$E287))/Planos!$E287)+1)))</f>
      </c>
      <c r="L289" s="44">
        <f>IF(OR(Planos!$A287="",NOT(ISNUMBER(Planos!$G287)),N(Planos!$E287)&lt;=0),0,IF(Planos!$G287&gt;EOMONTH(DATE(crono_ano_ref,7,1),0),0,MAX(0,INT((EOMONTH(DATE(crono_ano_ref,7,1),0)-IF(Planos!$G287&gt;=DATE(crono_ano_ref,7,1),Planos!$G287,Planos!$G287+CEILING((DATE(crono_ano_ref,7,1)-Planos!$G287)/Planos!$E287,1)*Planos!$E287))/Planos!$E287)+1)))</f>
      </c>
      <c r="M289" s="44">
        <f>IF(OR(Planos!$A287="",NOT(ISNUMBER(Planos!$G287)),N(Planos!$E287)&lt;=0),0,IF(Planos!$G287&gt;EOMONTH(DATE(crono_ano_ref,8,1),0),0,MAX(0,INT((EOMONTH(DATE(crono_ano_ref,8,1),0)-IF(Planos!$G287&gt;=DATE(crono_ano_ref,8,1),Planos!$G287,Planos!$G287+CEILING((DATE(crono_ano_ref,8,1)-Planos!$G287)/Planos!$E287,1)*Planos!$E287))/Planos!$E287)+1)))</f>
      </c>
      <c r="N289" s="44">
        <f>IF(OR(Planos!$A287="",NOT(ISNUMBER(Planos!$G287)),N(Planos!$E287)&lt;=0),0,IF(Planos!$G287&gt;EOMONTH(DATE(crono_ano_ref,9,1),0),0,MAX(0,INT((EOMONTH(DATE(crono_ano_ref,9,1),0)-IF(Planos!$G287&gt;=DATE(crono_ano_ref,9,1),Planos!$G287,Planos!$G287+CEILING((DATE(crono_ano_ref,9,1)-Planos!$G287)/Planos!$E287,1)*Planos!$E287))/Planos!$E287)+1)))</f>
      </c>
      <c r="O289" s="44">
        <f>IF(OR(Planos!$A287="",NOT(ISNUMBER(Planos!$G287)),N(Planos!$E287)&lt;=0),0,IF(Planos!$G287&gt;EOMONTH(DATE(crono_ano_ref,10,1),0),0,MAX(0,INT((EOMONTH(DATE(crono_ano_ref,10,1),0)-IF(Planos!$G287&gt;=DATE(crono_ano_ref,10,1),Planos!$G287,Planos!$G287+CEILING((DATE(crono_ano_ref,10,1)-Planos!$G287)/Planos!$E287,1)*Planos!$E287))/Planos!$E287)+1)))</f>
      </c>
      <c r="P289" s="44">
        <f>IF(OR(Planos!$A287="",NOT(ISNUMBER(Planos!$G287)),N(Planos!$E287)&lt;=0),0,IF(Planos!$G287&gt;EOMONTH(DATE(crono_ano_ref,11,1),0),0,MAX(0,INT((EOMONTH(DATE(crono_ano_ref,11,1),0)-IF(Planos!$G287&gt;=DATE(crono_ano_ref,11,1),Planos!$G287,Planos!$G287+CEILING((DATE(crono_ano_ref,11,1)-Planos!$G287)/Planos!$E287,1)*Planos!$E287))/Planos!$E287)+1)))</f>
      </c>
      <c r="Q289" s="44">
        <f>IF(OR(Planos!$A287="",NOT(ISNUMBER(Planos!$G287)),N(Planos!$E287)&lt;=0),0,IF(Planos!$G287&gt;EOMONTH(DATE(crono_ano_ref,12,1),0),0,MAX(0,INT((EOMONTH(DATE(crono_ano_ref,12,1),0)-IF(Planos!$G287&gt;=DATE(crono_ano_ref,12,1),Planos!$G287,Planos!$G287+CEILING((DATE(crono_ano_ref,12,1)-Planos!$G287)/Planos!$E287,1)*Planos!$E287))/Planos!$E287)+1)))</f>
      </c>
      <c r="R289" s="44">
        <f>SUM(F289:Q289)</f>
      </c>
    </row>
    <row r="290" spans="1:18" x14ac:dyDescent="0.25">
      <c r="A290" s="24">
        <f>IF(Planos!$A288="","",Planos!A288&amp;"")</f>
      </c>
      <c r="B290" s="41">
        <f>IF(Planos!$A288="","",Planos!B288&amp;"")</f>
      </c>
      <c r="C290" s="24">
        <f>IF(Planos!$A288="","",Planos!C288&amp;"")</f>
      </c>
      <c r="D290" s="42">
        <f>IF(Planos!$A288="","",N(Planos!E288))</f>
      </c>
      <c r="E290" s="43">
        <f>IF(Planos!$A288="","",N(Planos!K288))</f>
      </c>
      <c r="F290" s="44">
        <f>IF(OR(Planos!$A288="",NOT(ISNUMBER(Planos!$G288)),N(Planos!$E288)&lt;=0),0,IF(Planos!$G288&gt;EOMONTH(DATE(crono_ano_ref,1,1),0),0,MAX(0,INT((EOMONTH(DATE(crono_ano_ref,1,1),0)-IF(Planos!$G288&gt;=DATE(crono_ano_ref,1,1),Planos!$G288,Planos!$G288+CEILING((DATE(crono_ano_ref,1,1)-Planos!$G288)/Planos!$E288,1)*Planos!$E288))/Planos!$E288)+1)))</f>
      </c>
      <c r="G290" s="44">
        <f>IF(OR(Planos!$A288="",NOT(ISNUMBER(Planos!$G288)),N(Planos!$E288)&lt;=0),0,IF(Planos!$G288&gt;EOMONTH(DATE(crono_ano_ref,2,1),0),0,MAX(0,INT((EOMONTH(DATE(crono_ano_ref,2,1),0)-IF(Planos!$G288&gt;=DATE(crono_ano_ref,2,1),Planos!$G288,Planos!$G288+CEILING((DATE(crono_ano_ref,2,1)-Planos!$G288)/Planos!$E288,1)*Planos!$E288))/Planos!$E288)+1)))</f>
      </c>
      <c r="H290" s="44">
        <f>IF(OR(Planos!$A288="",NOT(ISNUMBER(Planos!$G288)),N(Planos!$E288)&lt;=0),0,IF(Planos!$G288&gt;EOMONTH(DATE(crono_ano_ref,3,1),0),0,MAX(0,INT((EOMONTH(DATE(crono_ano_ref,3,1),0)-IF(Planos!$G288&gt;=DATE(crono_ano_ref,3,1),Planos!$G288,Planos!$G288+CEILING((DATE(crono_ano_ref,3,1)-Planos!$G288)/Planos!$E288,1)*Planos!$E288))/Planos!$E288)+1)))</f>
      </c>
      <c r="I290" s="44">
        <f>IF(OR(Planos!$A288="",NOT(ISNUMBER(Planos!$G288)),N(Planos!$E288)&lt;=0),0,IF(Planos!$G288&gt;EOMONTH(DATE(crono_ano_ref,4,1),0),0,MAX(0,INT((EOMONTH(DATE(crono_ano_ref,4,1),0)-IF(Planos!$G288&gt;=DATE(crono_ano_ref,4,1),Planos!$G288,Planos!$G288+CEILING((DATE(crono_ano_ref,4,1)-Planos!$G288)/Planos!$E288,1)*Planos!$E288))/Planos!$E288)+1)))</f>
      </c>
      <c r="J290" s="44">
        <f>IF(OR(Planos!$A288="",NOT(ISNUMBER(Planos!$G288)),N(Planos!$E288)&lt;=0),0,IF(Planos!$G288&gt;EOMONTH(DATE(crono_ano_ref,5,1),0),0,MAX(0,INT((EOMONTH(DATE(crono_ano_ref,5,1),0)-IF(Planos!$G288&gt;=DATE(crono_ano_ref,5,1),Planos!$G288,Planos!$G288+CEILING((DATE(crono_ano_ref,5,1)-Planos!$G288)/Planos!$E288,1)*Planos!$E288))/Planos!$E288)+1)))</f>
      </c>
      <c r="K290" s="44">
        <f>IF(OR(Planos!$A288="",NOT(ISNUMBER(Planos!$G288)),N(Planos!$E288)&lt;=0),0,IF(Planos!$G288&gt;EOMONTH(DATE(crono_ano_ref,6,1),0),0,MAX(0,INT((EOMONTH(DATE(crono_ano_ref,6,1),0)-IF(Planos!$G288&gt;=DATE(crono_ano_ref,6,1),Planos!$G288,Planos!$G288+CEILING((DATE(crono_ano_ref,6,1)-Planos!$G288)/Planos!$E288,1)*Planos!$E288))/Planos!$E288)+1)))</f>
      </c>
      <c r="L290" s="44">
        <f>IF(OR(Planos!$A288="",NOT(ISNUMBER(Planos!$G288)),N(Planos!$E288)&lt;=0),0,IF(Planos!$G288&gt;EOMONTH(DATE(crono_ano_ref,7,1),0),0,MAX(0,INT((EOMONTH(DATE(crono_ano_ref,7,1),0)-IF(Planos!$G288&gt;=DATE(crono_ano_ref,7,1),Planos!$G288,Planos!$G288+CEILING((DATE(crono_ano_ref,7,1)-Planos!$G288)/Planos!$E288,1)*Planos!$E288))/Planos!$E288)+1)))</f>
      </c>
      <c r="M290" s="44">
        <f>IF(OR(Planos!$A288="",NOT(ISNUMBER(Planos!$G288)),N(Planos!$E288)&lt;=0),0,IF(Planos!$G288&gt;EOMONTH(DATE(crono_ano_ref,8,1),0),0,MAX(0,INT((EOMONTH(DATE(crono_ano_ref,8,1),0)-IF(Planos!$G288&gt;=DATE(crono_ano_ref,8,1),Planos!$G288,Planos!$G288+CEILING((DATE(crono_ano_ref,8,1)-Planos!$G288)/Planos!$E288,1)*Planos!$E288))/Planos!$E288)+1)))</f>
      </c>
      <c r="N290" s="44">
        <f>IF(OR(Planos!$A288="",NOT(ISNUMBER(Planos!$G288)),N(Planos!$E288)&lt;=0),0,IF(Planos!$G288&gt;EOMONTH(DATE(crono_ano_ref,9,1),0),0,MAX(0,INT((EOMONTH(DATE(crono_ano_ref,9,1),0)-IF(Planos!$G288&gt;=DATE(crono_ano_ref,9,1),Planos!$G288,Planos!$G288+CEILING((DATE(crono_ano_ref,9,1)-Planos!$G288)/Planos!$E288,1)*Planos!$E288))/Planos!$E288)+1)))</f>
      </c>
      <c r="O290" s="44">
        <f>IF(OR(Planos!$A288="",NOT(ISNUMBER(Planos!$G288)),N(Planos!$E288)&lt;=0),0,IF(Planos!$G288&gt;EOMONTH(DATE(crono_ano_ref,10,1),0),0,MAX(0,INT((EOMONTH(DATE(crono_ano_ref,10,1),0)-IF(Planos!$G288&gt;=DATE(crono_ano_ref,10,1),Planos!$G288,Planos!$G288+CEILING((DATE(crono_ano_ref,10,1)-Planos!$G288)/Planos!$E288,1)*Planos!$E288))/Planos!$E288)+1)))</f>
      </c>
      <c r="P290" s="44">
        <f>IF(OR(Planos!$A288="",NOT(ISNUMBER(Planos!$G288)),N(Planos!$E288)&lt;=0),0,IF(Planos!$G288&gt;EOMONTH(DATE(crono_ano_ref,11,1),0),0,MAX(0,INT((EOMONTH(DATE(crono_ano_ref,11,1),0)-IF(Planos!$G288&gt;=DATE(crono_ano_ref,11,1),Planos!$G288,Planos!$G288+CEILING((DATE(crono_ano_ref,11,1)-Planos!$G288)/Planos!$E288,1)*Planos!$E288))/Planos!$E288)+1)))</f>
      </c>
      <c r="Q290" s="44">
        <f>IF(OR(Planos!$A288="",NOT(ISNUMBER(Planos!$G288)),N(Planos!$E288)&lt;=0),0,IF(Planos!$G288&gt;EOMONTH(DATE(crono_ano_ref,12,1),0),0,MAX(0,INT((EOMONTH(DATE(crono_ano_ref,12,1),0)-IF(Planos!$G288&gt;=DATE(crono_ano_ref,12,1),Planos!$G288,Planos!$G288+CEILING((DATE(crono_ano_ref,12,1)-Planos!$G288)/Planos!$E288,1)*Planos!$E288))/Planos!$E288)+1)))</f>
      </c>
      <c r="R290" s="44">
        <f>SUM(F290:Q290)</f>
      </c>
    </row>
    <row r="291" spans="1:18" x14ac:dyDescent="0.25">
      <c r="A291" s="24">
        <f>IF(Planos!$A289="","",Planos!A289&amp;"")</f>
      </c>
      <c r="B291" s="41">
        <f>IF(Planos!$A289="","",Planos!B289&amp;"")</f>
      </c>
      <c r="C291" s="24">
        <f>IF(Planos!$A289="","",Planos!C289&amp;"")</f>
      </c>
      <c r="D291" s="42">
        <f>IF(Planos!$A289="","",N(Planos!E289))</f>
      </c>
      <c r="E291" s="43">
        <f>IF(Planos!$A289="","",N(Planos!K289))</f>
      </c>
      <c r="F291" s="44">
        <f>IF(OR(Planos!$A289="",NOT(ISNUMBER(Planos!$G289)),N(Planos!$E289)&lt;=0),0,IF(Planos!$G289&gt;EOMONTH(DATE(crono_ano_ref,1,1),0),0,MAX(0,INT((EOMONTH(DATE(crono_ano_ref,1,1),0)-IF(Planos!$G289&gt;=DATE(crono_ano_ref,1,1),Planos!$G289,Planos!$G289+CEILING((DATE(crono_ano_ref,1,1)-Planos!$G289)/Planos!$E289,1)*Planos!$E289))/Planos!$E289)+1)))</f>
      </c>
      <c r="G291" s="44">
        <f>IF(OR(Planos!$A289="",NOT(ISNUMBER(Planos!$G289)),N(Planos!$E289)&lt;=0),0,IF(Planos!$G289&gt;EOMONTH(DATE(crono_ano_ref,2,1),0),0,MAX(0,INT((EOMONTH(DATE(crono_ano_ref,2,1),0)-IF(Planos!$G289&gt;=DATE(crono_ano_ref,2,1),Planos!$G289,Planos!$G289+CEILING((DATE(crono_ano_ref,2,1)-Planos!$G289)/Planos!$E289,1)*Planos!$E289))/Planos!$E289)+1)))</f>
      </c>
      <c r="H291" s="44">
        <f>IF(OR(Planos!$A289="",NOT(ISNUMBER(Planos!$G289)),N(Planos!$E289)&lt;=0),0,IF(Planos!$G289&gt;EOMONTH(DATE(crono_ano_ref,3,1),0),0,MAX(0,INT((EOMONTH(DATE(crono_ano_ref,3,1),0)-IF(Planos!$G289&gt;=DATE(crono_ano_ref,3,1),Planos!$G289,Planos!$G289+CEILING((DATE(crono_ano_ref,3,1)-Planos!$G289)/Planos!$E289,1)*Planos!$E289))/Planos!$E289)+1)))</f>
      </c>
      <c r="I291" s="44">
        <f>IF(OR(Planos!$A289="",NOT(ISNUMBER(Planos!$G289)),N(Planos!$E289)&lt;=0),0,IF(Planos!$G289&gt;EOMONTH(DATE(crono_ano_ref,4,1),0),0,MAX(0,INT((EOMONTH(DATE(crono_ano_ref,4,1),0)-IF(Planos!$G289&gt;=DATE(crono_ano_ref,4,1),Planos!$G289,Planos!$G289+CEILING((DATE(crono_ano_ref,4,1)-Planos!$G289)/Planos!$E289,1)*Planos!$E289))/Planos!$E289)+1)))</f>
      </c>
      <c r="J291" s="44">
        <f>IF(OR(Planos!$A289="",NOT(ISNUMBER(Planos!$G289)),N(Planos!$E289)&lt;=0),0,IF(Planos!$G289&gt;EOMONTH(DATE(crono_ano_ref,5,1),0),0,MAX(0,INT((EOMONTH(DATE(crono_ano_ref,5,1),0)-IF(Planos!$G289&gt;=DATE(crono_ano_ref,5,1),Planos!$G289,Planos!$G289+CEILING((DATE(crono_ano_ref,5,1)-Planos!$G289)/Planos!$E289,1)*Planos!$E289))/Planos!$E289)+1)))</f>
      </c>
      <c r="K291" s="44">
        <f>IF(OR(Planos!$A289="",NOT(ISNUMBER(Planos!$G289)),N(Planos!$E289)&lt;=0),0,IF(Planos!$G289&gt;EOMONTH(DATE(crono_ano_ref,6,1),0),0,MAX(0,INT((EOMONTH(DATE(crono_ano_ref,6,1),0)-IF(Planos!$G289&gt;=DATE(crono_ano_ref,6,1),Planos!$G289,Planos!$G289+CEILING((DATE(crono_ano_ref,6,1)-Planos!$G289)/Planos!$E289,1)*Planos!$E289))/Planos!$E289)+1)))</f>
      </c>
      <c r="L291" s="44">
        <f>IF(OR(Planos!$A289="",NOT(ISNUMBER(Planos!$G289)),N(Planos!$E289)&lt;=0),0,IF(Planos!$G289&gt;EOMONTH(DATE(crono_ano_ref,7,1),0),0,MAX(0,INT((EOMONTH(DATE(crono_ano_ref,7,1),0)-IF(Planos!$G289&gt;=DATE(crono_ano_ref,7,1),Planos!$G289,Planos!$G289+CEILING((DATE(crono_ano_ref,7,1)-Planos!$G289)/Planos!$E289,1)*Planos!$E289))/Planos!$E289)+1)))</f>
      </c>
      <c r="M291" s="44">
        <f>IF(OR(Planos!$A289="",NOT(ISNUMBER(Planos!$G289)),N(Planos!$E289)&lt;=0),0,IF(Planos!$G289&gt;EOMONTH(DATE(crono_ano_ref,8,1),0),0,MAX(0,INT((EOMONTH(DATE(crono_ano_ref,8,1),0)-IF(Planos!$G289&gt;=DATE(crono_ano_ref,8,1),Planos!$G289,Planos!$G289+CEILING((DATE(crono_ano_ref,8,1)-Planos!$G289)/Planos!$E289,1)*Planos!$E289))/Planos!$E289)+1)))</f>
      </c>
      <c r="N291" s="44">
        <f>IF(OR(Planos!$A289="",NOT(ISNUMBER(Planos!$G289)),N(Planos!$E289)&lt;=0),0,IF(Planos!$G289&gt;EOMONTH(DATE(crono_ano_ref,9,1),0),0,MAX(0,INT((EOMONTH(DATE(crono_ano_ref,9,1),0)-IF(Planos!$G289&gt;=DATE(crono_ano_ref,9,1),Planos!$G289,Planos!$G289+CEILING((DATE(crono_ano_ref,9,1)-Planos!$G289)/Planos!$E289,1)*Planos!$E289))/Planos!$E289)+1)))</f>
      </c>
      <c r="O291" s="44">
        <f>IF(OR(Planos!$A289="",NOT(ISNUMBER(Planos!$G289)),N(Planos!$E289)&lt;=0),0,IF(Planos!$G289&gt;EOMONTH(DATE(crono_ano_ref,10,1),0),0,MAX(0,INT((EOMONTH(DATE(crono_ano_ref,10,1),0)-IF(Planos!$G289&gt;=DATE(crono_ano_ref,10,1),Planos!$G289,Planos!$G289+CEILING((DATE(crono_ano_ref,10,1)-Planos!$G289)/Planos!$E289,1)*Planos!$E289))/Planos!$E289)+1)))</f>
      </c>
      <c r="P291" s="44">
        <f>IF(OR(Planos!$A289="",NOT(ISNUMBER(Planos!$G289)),N(Planos!$E289)&lt;=0),0,IF(Planos!$G289&gt;EOMONTH(DATE(crono_ano_ref,11,1),0),0,MAX(0,INT((EOMONTH(DATE(crono_ano_ref,11,1),0)-IF(Planos!$G289&gt;=DATE(crono_ano_ref,11,1),Planos!$G289,Planos!$G289+CEILING((DATE(crono_ano_ref,11,1)-Planos!$G289)/Planos!$E289,1)*Planos!$E289))/Planos!$E289)+1)))</f>
      </c>
      <c r="Q291" s="44">
        <f>IF(OR(Planos!$A289="",NOT(ISNUMBER(Planos!$G289)),N(Planos!$E289)&lt;=0),0,IF(Planos!$G289&gt;EOMONTH(DATE(crono_ano_ref,12,1),0),0,MAX(0,INT((EOMONTH(DATE(crono_ano_ref,12,1),0)-IF(Planos!$G289&gt;=DATE(crono_ano_ref,12,1),Planos!$G289,Planos!$G289+CEILING((DATE(crono_ano_ref,12,1)-Planos!$G289)/Planos!$E289,1)*Planos!$E289))/Planos!$E289)+1)))</f>
      </c>
      <c r="R291" s="44">
        <f>SUM(F291:Q291)</f>
      </c>
    </row>
    <row r="292" spans="1:18" x14ac:dyDescent="0.25">
      <c r="A292" s="24">
        <f>IF(Planos!$A290="","",Planos!A290&amp;"")</f>
      </c>
      <c r="B292" s="41">
        <f>IF(Planos!$A290="","",Planos!B290&amp;"")</f>
      </c>
      <c r="C292" s="24">
        <f>IF(Planos!$A290="","",Planos!C290&amp;"")</f>
      </c>
      <c r="D292" s="42">
        <f>IF(Planos!$A290="","",N(Planos!E290))</f>
      </c>
      <c r="E292" s="43">
        <f>IF(Planos!$A290="","",N(Planos!K290))</f>
      </c>
      <c r="F292" s="44">
        <f>IF(OR(Planos!$A290="",NOT(ISNUMBER(Planos!$G290)),N(Planos!$E290)&lt;=0),0,IF(Planos!$G290&gt;EOMONTH(DATE(crono_ano_ref,1,1),0),0,MAX(0,INT((EOMONTH(DATE(crono_ano_ref,1,1),0)-IF(Planos!$G290&gt;=DATE(crono_ano_ref,1,1),Planos!$G290,Planos!$G290+CEILING((DATE(crono_ano_ref,1,1)-Planos!$G290)/Planos!$E290,1)*Planos!$E290))/Planos!$E290)+1)))</f>
      </c>
      <c r="G292" s="44">
        <f>IF(OR(Planos!$A290="",NOT(ISNUMBER(Planos!$G290)),N(Planos!$E290)&lt;=0),0,IF(Planos!$G290&gt;EOMONTH(DATE(crono_ano_ref,2,1),0),0,MAX(0,INT((EOMONTH(DATE(crono_ano_ref,2,1),0)-IF(Planos!$G290&gt;=DATE(crono_ano_ref,2,1),Planos!$G290,Planos!$G290+CEILING((DATE(crono_ano_ref,2,1)-Planos!$G290)/Planos!$E290,1)*Planos!$E290))/Planos!$E290)+1)))</f>
      </c>
      <c r="H292" s="44">
        <f>IF(OR(Planos!$A290="",NOT(ISNUMBER(Planos!$G290)),N(Planos!$E290)&lt;=0),0,IF(Planos!$G290&gt;EOMONTH(DATE(crono_ano_ref,3,1),0),0,MAX(0,INT((EOMONTH(DATE(crono_ano_ref,3,1),0)-IF(Planos!$G290&gt;=DATE(crono_ano_ref,3,1),Planos!$G290,Planos!$G290+CEILING((DATE(crono_ano_ref,3,1)-Planos!$G290)/Planos!$E290,1)*Planos!$E290))/Planos!$E290)+1)))</f>
      </c>
      <c r="I292" s="44">
        <f>IF(OR(Planos!$A290="",NOT(ISNUMBER(Planos!$G290)),N(Planos!$E290)&lt;=0),0,IF(Planos!$G290&gt;EOMONTH(DATE(crono_ano_ref,4,1),0),0,MAX(0,INT((EOMONTH(DATE(crono_ano_ref,4,1),0)-IF(Planos!$G290&gt;=DATE(crono_ano_ref,4,1),Planos!$G290,Planos!$G290+CEILING((DATE(crono_ano_ref,4,1)-Planos!$G290)/Planos!$E290,1)*Planos!$E290))/Planos!$E290)+1)))</f>
      </c>
      <c r="J292" s="44">
        <f>IF(OR(Planos!$A290="",NOT(ISNUMBER(Planos!$G290)),N(Planos!$E290)&lt;=0),0,IF(Planos!$G290&gt;EOMONTH(DATE(crono_ano_ref,5,1),0),0,MAX(0,INT((EOMONTH(DATE(crono_ano_ref,5,1),0)-IF(Planos!$G290&gt;=DATE(crono_ano_ref,5,1),Planos!$G290,Planos!$G290+CEILING((DATE(crono_ano_ref,5,1)-Planos!$G290)/Planos!$E290,1)*Planos!$E290))/Planos!$E290)+1)))</f>
      </c>
      <c r="K292" s="44">
        <f>IF(OR(Planos!$A290="",NOT(ISNUMBER(Planos!$G290)),N(Planos!$E290)&lt;=0),0,IF(Planos!$G290&gt;EOMONTH(DATE(crono_ano_ref,6,1),0),0,MAX(0,INT((EOMONTH(DATE(crono_ano_ref,6,1),0)-IF(Planos!$G290&gt;=DATE(crono_ano_ref,6,1),Planos!$G290,Planos!$G290+CEILING((DATE(crono_ano_ref,6,1)-Planos!$G290)/Planos!$E290,1)*Planos!$E290))/Planos!$E290)+1)))</f>
      </c>
      <c r="L292" s="44">
        <f>IF(OR(Planos!$A290="",NOT(ISNUMBER(Planos!$G290)),N(Planos!$E290)&lt;=0),0,IF(Planos!$G290&gt;EOMONTH(DATE(crono_ano_ref,7,1),0),0,MAX(0,INT((EOMONTH(DATE(crono_ano_ref,7,1),0)-IF(Planos!$G290&gt;=DATE(crono_ano_ref,7,1),Planos!$G290,Planos!$G290+CEILING((DATE(crono_ano_ref,7,1)-Planos!$G290)/Planos!$E290,1)*Planos!$E290))/Planos!$E290)+1)))</f>
      </c>
      <c r="M292" s="44">
        <f>IF(OR(Planos!$A290="",NOT(ISNUMBER(Planos!$G290)),N(Planos!$E290)&lt;=0),0,IF(Planos!$G290&gt;EOMONTH(DATE(crono_ano_ref,8,1),0),0,MAX(0,INT((EOMONTH(DATE(crono_ano_ref,8,1),0)-IF(Planos!$G290&gt;=DATE(crono_ano_ref,8,1),Planos!$G290,Planos!$G290+CEILING((DATE(crono_ano_ref,8,1)-Planos!$G290)/Planos!$E290,1)*Planos!$E290))/Planos!$E290)+1)))</f>
      </c>
      <c r="N292" s="44">
        <f>IF(OR(Planos!$A290="",NOT(ISNUMBER(Planos!$G290)),N(Planos!$E290)&lt;=0),0,IF(Planos!$G290&gt;EOMONTH(DATE(crono_ano_ref,9,1),0),0,MAX(0,INT((EOMONTH(DATE(crono_ano_ref,9,1),0)-IF(Planos!$G290&gt;=DATE(crono_ano_ref,9,1),Planos!$G290,Planos!$G290+CEILING((DATE(crono_ano_ref,9,1)-Planos!$G290)/Planos!$E290,1)*Planos!$E290))/Planos!$E290)+1)))</f>
      </c>
      <c r="O292" s="44">
        <f>IF(OR(Planos!$A290="",NOT(ISNUMBER(Planos!$G290)),N(Planos!$E290)&lt;=0),0,IF(Planos!$G290&gt;EOMONTH(DATE(crono_ano_ref,10,1),0),0,MAX(0,INT((EOMONTH(DATE(crono_ano_ref,10,1),0)-IF(Planos!$G290&gt;=DATE(crono_ano_ref,10,1),Planos!$G290,Planos!$G290+CEILING((DATE(crono_ano_ref,10,1)-Planos!$G290)/Planos!$E290,1)*Planos!$E290))/Planos!$E290)+1)))</f>
      </c>
      <c r="P292" s="44">
        <f>IF(OR(Planos!$A290="",NOT(ISNUMBER(Planos!$G290)),N(Planos!$E290)&lt;=0),0,IF(Planos!$G290&gt;EOMONTH(DATE(crono_ano_ref,11,1),0),0,MAX(0,INT((EOMONTH(DATE(crono_ano_ref,11,1),0)-IF(Planos!$G290&gt;=DATE(crono_ano_ref,11,1),Planos!$G290,Planos!$G290+CEILING((DATE(crono_ano_ref,11,1)-Planos!$G290)/Planos!$E290,1)*Planos!$E290))/Planos!$E290)+1)))</f>
      </c>
      <c r="Q292" s="44">
        <f>IF(OR(Planos!$A290="",NOT(ISNUMBER(Planos!$G290)),N(Planos!$E290)&lt;=0),0,IF(Planos!$G290&gt;EOMONTH(DATE(crono_ano_ref,12,1),0),0,MAX(0,INT((EOMONTH(DATE(crono_ano_ref,12,1),0)-IF(Planos!$G290&gt;=DATE(crono_ano_ref,12,1),Planos!$G290,Planos!$G290+CEILING((DATE(crono_ano_ref,12,1)-Planos!$G290)/Planos!$E290,1)*Planos!$E290))/Planos!$E290)+1)))</f>
      </c>
      <c r="R292" s="44">
        <f>SUM(F292:Q292)</f>
      </c>
    </row>
    <row r="293" spans="1:18" x14ac:dyDescent="0.25">
      <c r="A293" s="24">
        <f>IF(Planos!$A291="","",Planos!A291&amp;"")</f>
      </c>
      <c r="B293" s="41">
        <f>IF(Planos!$A291="","",Planos!B291&amp;"")</f>
      </c>
      <c r="C293" s="24">
        <f>IF(Planos!$A291="","",Planos!C291&amp;"")</f>
      </c>
      <c r="D293" s="42">
        <f>IF(Planos!$A291="","",N(Planos!E291))</f>
      </c>
      <c r="E293" s="43">
        <f>IF(Planos!$A291="","",N(Planos!K291))</f>
      </c>
      <c r="F293" s="44">
        <f>IF(OR(Planos!$A291="",NOT(ISNUMBER(Planos!$G291)),N(Planos!$E291)&lt;=0),0,IF(Planos!$G291&gt;EOMONTH(DATE(crono_ano_ref,1,1),0),0,MAX(0,INT((EOMONTH(DATE(crono_ano_ref,1,1),0)-IF(Planos!$G291&gt;=DATE(crono_ano_ref,1,1),Planos!$G291,Planos!$G291+CEILING((DATE(crono_ano_ref,1,1)-Planos!$G291)/Planos!$E291,1)*Planos!$E291))/Planos!$E291)+1)))</f>
      </c>
      <c r="G293" s="44">
        <f>IF(OR(Planos!$A291="",NOT(ISNUMBER(Planos!$G291)),N(Planos!$E291)&lt;=0),0,IF(Planos!$G291&gt;EOMONTH(DATE(crono_ano_ref,2,1),0),0,MAX(0,INT((EOMONTH(DATE(crono_ano_ref,2,1),0)-IF(Planos!$G291&gt;=DATE(crono_ano_ref,2,1),Planos!$G291,Planos!$G291+CEILING((DATE(crono_ano_ref,2,1)-Planos!$G291)/Planos!$E291,1)*Planos!$E291))/Planos!$E291)+1)))</f>
      </c>
      <c r="H293" s="44">
        <f>IF(OR(Planos!$A291="",NOT(ISNUMBER(Planos!$G291)),N(Planos!$E291)&lt;=0),0,IF(Planos!$G291&gt;EOMONTH(DATE(crono_ano_ref,3,1),0),0,MAX(0,INT((EOMONTH(DATE(crono_ano_ref,3,1),0)-IF(Planos!$G291&gt;=DATE(crono_ano_ref,3,1),Planos!$G291,Planos!$G291+CEILING((DATE(crono_ano_ref,3,1)-Planos!$G291)/Planos!$E291,1)*Planos!$E291))/Planos!$E291)+1)))</f>
      </c>
      <c r="I293" s="44">
        <f>IF(OR(Planos!$A291="",NOT(ISNUMBER(Planos!$G291)),N(Planos!$E291)&lt;=0),0,IF(Planos!$G291&gt;EOMONTH(DATE(crono_ano_ref,4,1),0),0,MAX(0,INT((EOMONTH(DATE(crono_ano_ref,4,1),0)-IF(Planos!$G291&gt;=DATE(crono_ano_ref,4,1),Planos!$G291,Planos!$G291+CEILING((DATE(crono_ano_ref,4,1)-Planos!$G291)/Planos!$E291,1)*Planos!$E291))/Planos!$E291)+1)))</f>
      </c>
      <c r="J293" s="44">
        <f>IF(OR(Planos!$A291="",NOT(ISNUMBER(Planos!$G291)),N(Planos!$E291)&lt;=0),0,IF(Planos!$G291&gt;EOMONTH(DATE(crono_ano_ref,5,1),0),0,MAX(0,INT((EOMONTH(DATE(crono_ano_ref,5,1),0)-IF(Planos!$G291&gt;=DATE(crono_ano_ref,5,1),Planos!$G291,Planos!$G291+CEILING((DATE(crono_ano_ref,5,1)-Planos!$G291)/Planos!$E291,1)*Planos!$E291))/Planos!$E291)+1)))</f>
      </c>
      <c r="K293" s="44">
        <f>IF(OR(Planos!$A291="",NOT(ISNUMBER(Planos!$G291)),N(Planos!$E291)&lt;=0),0,IF(Planos!$G291&gt;EOMONTH(DATE(crono_ano_ref,6,1),0),0,MAX(0,INT((EOMONTH(DATE(crono_ano_ref,6,1),0)-IF(Planos!$G291&gt;=DATE(crono_ano_ref,6,1),Planos!$G291,Planos!$G291+CEILING((DATE(crono_ano_ref,6,1)-Planos!$G291)/Planos!$E291,1)*Planos!$E291))/Planos!$E291)+1)))</f>
      </c>
      <c r="L293" s="44">
        <f>IF(OR(Planos!$A291="",NOT(ISNUMBER(Planos!$G291)),N(Planos!$E291)&lt;=0),0,IF(Planos!$G291&gt;EOMONTH(DATE(crono_ano_ref,7,1),0),0,MAX(0,INT((EOMONTH(DATE(crono_ano_ref,7,1),0)-IF(Planos!$G291&gt;=DATE(crono_ano_ref,7,1),Planos!$G291,Planos!$G291+CEILING((DATE(crono_ano_ref,7,1)-Planos!$G291)/Planos!$E291,1)*Planos!$E291))/Planos!$E291)+1)))</f>
      </c>
      <c r="M293" s="44">
        <f>IF(OR(Planos!$A291="",NOT(ISNUMBER(Planos!$G291)),N(Planos!$E291)&lt;=0),0,IF(Planos!$G291&gt;EOMONTH(DATE(crono_ano_ref,8,1),0),0,MAX(0,INT((EOMONTH(DATE(crono_ano_ref,8,1),0)-IF(Planos!$G291&gt;=DATE(crono_ano_ref,8,1),Planos!$G291,Planos!$G291+CEILING((DATE(crono_ano_ref,8,1)-Planos!$G291)/Planos!$E291,1)*Planos!$E291))/Planos!$E291)+1)))</f>
      </c>
      <c r="N293" s="44">
        <f>IF(OR(Planos!$A291="",NOT(ISNUMBER(Planos!$G291)),N(Planos!$E291)&lt;=0),0,IF(Planos!$G291&gt;EOMONTH(DATE(crono_ano_ref,9,1),0),0,MAX(0,INT((EOMONTH(DATE(crono_ano_ref,9,1),0)-IF(Planos!$G291&gt;=DATE(crono_ano_ref,9,1),Planos!$G291,Planos!$G291+CEILING((DATE(crono_ano_ref,9,1)-Planos!$G291)/Planos!$E291,1)*Planos!$E291))/Planos!$E291)+1)))</f>
      </c>
      <c r="O293" s="44">
        <f>IF(OR(Planos!$A291="",NOT(ISNUMBER(Planos!$G291)),N(Planos!$E291)&lt;=0),0,IF(Planos!$G291&gt;EOMONTH(DATE(crono_ano_ref,10,1),0),0,MAX(0,INT((EOMONTH(DATE(crono_ano_ref,10,1),0)-IF(Planos!$G291&gt;=DATE(crono_ano_ref,10,1),Planos!$G291,Planos!$G291+CEILING((DATE(crono_ano_ref,10,1)-Planos!$G291)/Planos!$E291,1)*Planos!$E291))/Planos!$E291)+1)))</f>
      </c>
      <c r="P293" s="44">
        <f>IF(OR(Planos!$A291="",NOT(ISNUMBER(Planos!$G291)),N(Planos!$E291)&lt;=0),0,IF(Planos!$G291&gt;EOMONTH(DATE(crono_ano_ref,11,1),0),0,MAX(0,INT((EOMONTH(DATE(crono_ano_ref,11,1),0)-IF(Planos!$G291&gt;=DATE(crono_ano_ref,11,1),Planos!$G291,Planos!$G291+CEILING((DATE(crono_ano_ref,11,1)-Planos!$G291)/Planos!$E291,1)*Planos!$E291))/Planos!$E291)+1)))</f>
      </c>
      <c r="Q293" s="44">
        <f>IF(OR(Planos!$A291="",NOT(ISNUMBER(Planos!$G291)),N(Planos!$E291)&lt;=0),0,IF(Planos!$G291&gt;EOMONTH(DATE(crono_ano_ref,12,1),0),0,MAX(0,INT((EOMONTH(DATE(crono_ano_ref,12,1),0)-IF(Planos!$G291&gt;=DATE(crono_ano_ref,12,1),Planos!$G291,Planos!$G291+CEILING((DATE(crono_ano_ref,12,1)-Planos!$G291)/Planos!$E291,1)*Planos!$E291))/Planos!$E291)+1)))</f>
      </c>
      <c r="R293" s="44">
        <f>SUM(F293:Q293)</f>
      </c>
    </row>
    <row r="294" spans="1:18" x14ac:dyDescent="0.25">
      <c r="A294" s="24">
        <f>IF(Planos!$A292="","",Planos!A292&amp;"")</f>
      </c>
      <c r="B294" s="41">
        <f>IF(Planos!$A292="","",Planos!B292&amp;"")</f>
      </c>
      <c r="C294" s="24">
        <f>IF(Planos!$A292="","",Planos!C292&amp;"")</f>
      </c>
      <c r="D294" s="42">
        <f>IF(Planos!$A292="","",N(Planos!E292))</f>
      </c>
      <c r="E294" s="43">
        <f>IF(Planos!$A292="","",N(Planos!K292))</f>
      </c>
      <c r="F294" s="44">
        <f>IF(OR(Planos!$A292="",NOT(ISNUMBER(Planos!$G292)),N(Planos!$E292)&lt;=0),0,IF(Planos!$G292&gt;EOMONTH(DATE(crono_ano_ref,1,1),0),0,MAX(0,INT((EOMONTH(DATE(crono_ano_ref,1,1),0)-IF(Planos!$G292&gt;=DATE(crono_ano_ref,1,1),Planos!$G292,Planos!$G292+CEILING((DATE(crono_ano_ref,1,1)-Planos!$G292)/Planos!$E292,1)*Planos!$E292))/Planos!$E292)+1)))</f>
      </c>
      <c r="G294" s="44">
        <f>IF(OR(Planos!$A292="",NOT(ISNUMBER(Planos!$G292)),N(Planos!$E292)&lt;=0),0,IF(Planos!$G292&gt;EOMONTH(DATE(crono_ano_ref,2,1),0),0,MAX(0,INT((EOMONTH(DATE(crono_ano_ref,2,1),0)-IF(Planos!$G292&gt;=DATE(crono_ano_ref,2,1),Planos!$G292,Planos!$G292+CEILING((DATE(crono_ano_ref,2,1)-Planos!$G292)/Planos!$E292,1)*Planos!$E292))/Planos!$E292)+1)))</f>
      </c>
      <c r="H294" s="44">
        <f>IF(OR(Planos!$A292="",NOT(ISNUMBER(Planos!$G292)),N(Planos!$E292)&lt;=0),0,IF(Planos!$G292&gt;EOMONTH(DATE(crono_ano_ref,3,1),0),0,MAX(0,INT((EOMONTH(DATE(crono_ano_ref,3,1),0)-IF(Planos!$G292&gt;=DATE(crono_ano_ref,3,1),Planos!$G292,Planos!$G292+CEILING((DATE(crono_ano_ref,3,1)-Planos!$G292)/Planos!$E292,1)*Planos!$E292))/Planos!$E292)+1)))</f>
      </c>
      <c r="I294" s="44">
        <f>IF(OR(Planos!$A292="",NOT(ISNUMBER(Planos!$G292)),N(Planos!$E292)&lt;=0),0,IF(Planos!$G292&gt;EOMONTH(DATE(crono_ano_ref,4,1),0),0,MAX(0,INT((EOMONTH(DATE(crono_ano_ref,4,1),0)-IF(Planos!$G292&gt;=DATE(crono_ano_ref,4,1),Planos!$G292,Planos!$G292+CEILING((DATE(crono_ano_ref,4,1)-Planos!$G292)/Planos!$E292,1)*Planos!$E292))/Planos!$E292)+1)))</f>
      </c>
      <c r="J294" s="44">
        <f>IF(OR(Planos!$A292="",NOT(ISNUMBER(Planos!$G292)),N(Planos!$E292)&lt;=0),0,IF(Planos!$G292&gt;EOMONTH(DATE(crono_ano_ref,5,1),0),0,MAX(0,INT((EOMONTH(DATE(crono_ano_ref,5,1),0)-IF(Planos!$G292&gt;=DATE(crono_ano_ref,5,1),Planos!$G292,Planos!$G292+CEILING((DATE(crono_ano_ref,5,1)-Planos!$G292)/Planos!$E292,1)*Planos!$E292))/Planos!$E292)+1)))</f>
      </c>
      <c r="K294" s="44">
        <f>IF(OR(Planos!$A292="",NOT(ISNUMBER(Planos!$G292)),N(Planos!$E292)&lt;=0),0,IF(Planos!$G292&gt;EOMONTH(DATE(crono_ano_ref,6,1),0),0,MAX(0,INT((EOMONTH(DATE(crono_ano_ref,6,1),0)-IF(Planos!$G292&gt;=DATE(crono_ano_ref,6,1),Planos!$G292,Planos!$G292+CEILING((DATE(crono_ano_ref,6,1)-Planos!$G292)/Planos!$E292,1)*Planos!$E292))/Planos!$E292)+1)))</f>
      </c>
      <c r="L294" s="44">
        <f>IF(OR(Planos!$A292="",NOT(ISNUMBER(Planos!$G292)),N(Planos!$E292)&lt;=0),0,IF(Planos!$G292&gt;EOMONTH(DATE(crono_ano_ref,7,1),0),0,MAX(0,INT((EOMONTH(DATE(crono_ano_ref,7,1),0)-IF(Planos!$G292&gt;=DATE(crono_ano_ref,7,1),Planos!$G292,Planos!$G292+CEILING((DATE(crono_ano_ref,7,1)-Planos!$G292)/Planos!$E292,1)*Planos!$E292))/Planos!$E292)+1)))</f>
      </c>
      <c r="M294" s="44">
        <f>IF(OR(Planos!$A292="",NOT(ISNUMBER(Planos!$G292)),N(Planos!$E292)&lt;=0),0,IF(Planos!$G292&gt;EOMONTH(DATE(crono_ano_ref,8,1),0),0,MAX(0,INT((EOMONTH(DATE(crono_ano_ref,8,1),0)-IF(Planos!$G292&gt;=DATE(crono_ano_ref,8,1),Planos!$G292,Planos!$G292+CEILING((DATE(crono_ano_ref,8,1)-Planos!$G292)/Planos!$E292,1)*Planos!$E292))/Planos!$E292)+1)))</f>
      </c>
      <c r="N294" s="44">
        <f>IF(OR(Planos!$A292="",NOT(ISNUMBER(Planos!$G292)),N(Planos!$E292)&lt;=0),0,IF(Planos!$G292&gt;EOMONTH(DATE(crono_ano_ref,9,1),0),0,MAX(0,INT((EOMONTH(DATE(crono_ano_ref,9,1),0)-IF(Planos!$G292&gt;=DATE(crono_ano_ref,9,1),Planos!$G292,Planos!$G292+CEILING((DATE(crono_ano_ref,9,1)-Planos!$G292)/Planos!$E292,1)*Planos!$E292))/Planos!$E292)+1)))</f>
      </c>
      <c r="O294" s="44">
        <f>IF(OR(Planos!$A292="",NOT(ISNUMBER(Planos!$G292)),N(Planos!$E292)&lt;=0),0,IF(Planos!$G292&gt;EOMONTH(DATE(crono_ano_ref,10,1),0),0,MAX(0,INT((EOMONTH(DATE(crono_ano_ref,10,1),0)-IF(Planos!$G292&gt;=DATE(crono_ano_ref,10,1),Planos!$G292,Planos!$G292+CEILING((DATE(crono_ano_ref,10,1)-Planos!$G292)/Planos!$E292,1)*Planos!$E292))/Planos!$E292)+1)))</f>
      </c>
      <c r="P294" s="44">
        <f>IF(OR(Planos!$A292="",NOT(ISNUMBER(Planos!$G292)),N(Planos!$E292)&lt;=0),0,IF(Planos!$G292&gt;EOMONTH(DATE(crono_ano_ref,11,1),0),0,MAX(0,INT((EOMONTH(DATE(crono_ano_ref,11,1),0)-IF(Planos!$G292&gt;=DATE(crono_ano_ref,11,1),Planos!$G292,Planos!$G292+CEILING((DATE(crono_ano_ref,11,1)-Planos!$G292)/Planos!$E292,1)*Planos!$E292))/Planos!$E292)+1)))</f>
      </c>
      <c r="Q294" s="44">
        <f>IF(OR(Planos!$A292="",NOT(ISNUMBER(Planos!$G292)),N(Planos!$E292)&lt;=0),0,IF(Planos!$G292&gt;EOMONTH(DATE(crono_ano_ref,12,1),0),0,MAX(0,INT((EOMONTH(DATE(crono_ano_ref,12,1),0)-IF(Planos!$G292&gt;=DATE(crono_ano_ref,12,1),Planos!$G292,Planos!$G292+CEILING((DATE(crono_ano_ref,12,1)-Planos!$G292)/Planos!$E292,1)*Planos!$E292))/Planos!$E292)+1)))</f>
      </c>
      <c r="R294" s="44">
        <f>SUM(F294:Q294)</f>
      </c>
    </row>
    <row r="295" spans="1:18" x14ac:dyDescent="0.25">
      <c r="A295" s="24">
        <f>IF(Planos!$A293="","",Planos!A293&amp;"")</f>
      </c>
      <c r="B295" s="41">
        <f>IF(Planos!$A293="","",Planos!B293&amp;"")</f>
      </c>
      <c r="C295" s="24">
        <f>IF(Planos!$A293="","",Planos!C293&amp;"")</f>
      </c>
      <c r="D295" s="42">
        <f>IF(Planos!$A293="","",N(Planos!E293))</f>
      </c>
      <c r="E295" s="43">
        <f>IF(Planos!$A293="","",N(Planos!K293))</f>
      </c>
      <c r="F295" s="44">
        <f>IF(OR(Planos!$A293="",NOT(ISNUMBER(Planos!$G293)),N(Planos!$E293)&lt;=0),0,IF(Planos!$G293&gt;EOMONTH(DATE(crono_ano_ref,1,1),0),0,MAX(0,INT((EOMONTH(DATE(crono_ano_ref,1,1),0)-IF(Planos!$G293&gt;=DATE(crono_ano_ref,1,1),Planos!$G293,Planos!$G293+CEILING((DATE(crono_ano_ref,1,1)-Planos!$G293)/Planos!$E293,1)*Planos!$E293))/Planos!$E293)+1)))</f>
      </c>
      <c r="G295" s="44">
        <f>IF(OR(Planos!$A293="",NOT(ISNUMBER(Planos!$G293)),N(Planos!$E293)&lt;=0),0,IF(Planos!$G293&gt;EOMONTH(DATE(crono_ano_ref,2,1),0),0,MAX(0,INT((EOMONTH(DATE(crono_ano_ref,2,1),0)-IF(Planos!$G293&gt;=DATE(crono_ano_ref,2,1),Planos!$G293,Planos!$G293+CEILING((DATE(crono_ano_ref,2,1)-Planos!$G293)/Planos!$E293,1)*Planos!$E293))/Planos!$E293)+1)))</f>
      </c>
      <c r="H295" s="44">
        <f>IF(OR(Planos!$A293="",NOT(ISNUMBER(Planos!$G293)),N(Planos!$E293)&lt;=0),0,IF(Planos!$G293&gt;EOMONTH(DATE(crono_ano_ref,3,1),0),0,MAX(0,INT((EOMONTH(DATE(crono_ano_ref,3,1),0)-IF(Planos!$G293&gt;=DATE(crono_ano_ref,3,1),Planos!$G293,Planos!$G293+CEILING((DATE(crono_ano_ref,3,1)-Planos!$G293)/Planos!$E293,1)*Planos!$E293))/Planos!$E293)+1)))</f>
      </c>
      <c r="I295" s="44">
        <f>IF(OR(Planos!$A293="",NOT(ISNUMBER(Planos!$G293)),N(Planos!$E293)&lt;=0),0,IF(Planos!$G293&gt;EOMONTH(DATE(crono_ano_ref,4,1),0),0,MAX(0,INT((EOMONTH(DATE(crono_ano_ref,4,1),0)-IF(Planos!$G293&gt;=DATE(crono_ano_ref,4,1),Planos!$G293,Planos!$G293+CEILING((DATE(crono_ano_ref,4,1)-Planos!$G293)/Planos!$E293,1)*Planos!$E293))/Planos!$E293)+1)))</f>
      </c>
      <c r="J295" s="44">
        <f>IF(OR(Planos!$A293="",NOT(ISNUMBER(Planos!$G293)),N(Planos!$E293)&lt;=0),0,IF(Planos!$G293&gt;EOMONTH(DATE(crono_ano_ref,5,1),0),0,MAX(0,INT((EOMONTH(DATE(crono_ano_ref,5,1),0)-IF(Planos!$G293&gt;=DATE(crono_ano_ref,5,1),Planos!$G293,Planos!$G293+CEILING((DATE(crono_ano_ref,5,1)-Planos!$G293)/Planos!$E293,1)*Planos!$E293))/Planos!$E293)+1)))</f>
      </c>
      <c r="K295" s="44">
        <f>IF(OR(Planos!$A293="",NOT(ISNUMBER(Planos!$G293)),N(Planos!$E293)&lt;=0),0,IF(Planos!$G293&gt;EOMONTH(DATE(crono_ano_ref,6,1),0),0,MAX(0,INT((EOMONTH(DATE(crono_ano_ref,6,1),0)-IF(Planos!$G293&gt;=DATE(crono_ano_ref,6,1),Planos!$G293,Planos!$G293+CEILING((DATE(crono_ano_ref,6,1)-Planos!$G293)/Planos!$E293,1)*Planos!$E293))/Planos!$E293)+1)))</f>
      </c>
      <c r="L295" s="44">
        <f>IF(OR(Planos!$A293="",NOT(ISNUMBER(Planos!$G293)),N(Planos!$E293)&lt;=0),0,IF(Planos!$G293&gt;EOMONTH(DATE(crono_ano_ref,7,1),0),0,MAX(0,INT((EOMONTH(DATE(crono_ano_ref,7,1),0)-IF(Planos!$G293&gt;=DATE(crono_ano_ref,7,1),Planos!$G293,Planos!$G293+CEILING((DATE(crono_ano_ref,7,1)-Planos!$G293)/Planos!$E293,1)*Planos!$E293))/Planos!$E293)+1)))</f>
      </c>
      <c r="M295" s="44">
        <f>IF(OR(Planos!$A293="",NOT(ISNUMBER(Planos!$G293)),N(Planos!$E293)&lt;=0),0,IF(Planos!$G293&gt;EOMONTH(DATE(crono_ano_ref,8,1),0),0,MAX(0,INT((EOMONTH(DATE(crono_ano_ref,8,1),0)-IF(Planos!$G293&gt;=DATE(crono_ano_ref,8,1),Planos!$G293,Planos!$G293+CEILING((DATE(crono_ano_ref,8,1)-Planos!$G293)/Planos!$E293,1)*Planos!$E293))/Planos!$E293)+1)))</f>
      </c>
      <c r="N295" s="44">
        <f>IF(OR(Planos!$A293="",NOT(ISNUMBER(Planos!$G293)),N(Planos!$E293)&lt;=0),0,IF(Planos!$G293&gt;EOMONTH(DATE(crono_ano_ref,9,1),0),0,MAX(0,INT((EOMONTH(DATE(crono_ano_ref,9,1),0)-IF(Planos!$G293&gt;=DATE(crono_ano_ref,9,1),Planos!$G293,Planos!$G293+CEILING((DATE(crono_ano_ref,9,1)-Planos!$G293)/Planos!$E293,1)*Planos!$E293))/Planos!$E293)+1)))</f>
      </c>
      <c r="O295" s="44">
        <f>IF(OR(Planos!$A293="",NOT(ISNUMBER(Planos!$G293)),N(Planos!$E293)&lt;=0),0,IF(Planos!$G293&gt;EOMONTH(DATE(crono_ano_ref,10,1),0),0,MAX(0,INT((EOMONTH(DATE(crono_ano_ref,10,1),0)-IF(Planos!$G293&gt;=DATE(crono_ano_ref,10,1),Planos!$G293,Planos!$G293+CEILING((DATE(crono_ano_ref,10,1)-Planos!$G293)/Planos!$E293,1)*Planos!$E293))/Planos!$E293)+1)))</f>
      </c>
      <c r="P295" s="44">
        <f>IF(OR(Planos!$A293="",NOT(ISNUMBER(Planos!$G293)),N(Planos!$E293)&lt;=0),0,IF(Planos!$G293&gt;EOMONTH(DATE(crono_ano_ref,11,1),0),0,MAX(0,INT((EOMONTH(DATE(crono_ano_ref,11,1),0)-IF(Planos!$G293&gt;=DATE(crono_ano_ref,11,1),Planos!$G293,Planos!$G293+CEILING((DATE(crono_ano_ref,11,1)-Planos!$G293)/Planos!$E293,1)*Planos!$E293))/Planos!$E293)+1)))</f>
      </c>
      <c r="Q295" s="44">
        <f>IF(OR(Planos!$A293="",NOT(ISNUMBER(Planos!$G293)),N(Planos!$E293)&lt;=0),0,IF(Planos!$G293&gt;EOMONTH(DATE(crono_ano_ref,12,1),0),0,MAX(0,INT((EOMONTH(DATE(crono_ano_ref,12,1),0)-IF(Planos!$G293&gt;=DATE(crono_ano_ref,12,1),Planos!$G293,Planos!$G293+CEILING((DATE(crono_ano_ref,12,1)-Planos!$G293)/Planos!$E293,1)*Planos!$E293))/Planos!$E293)+1)))</f>
      </c>
      <c r="R295" s="44">
        <f>SUM(F295:Q295)</f>
      </c>
    </row>
    <row r="296" spans="1:18" x14ac:dyDescent="0.25">
      <c r="A296" s="24">
        <f>IF(Planos!$A294="","",Planos!A294&amp;"")</f>
      </c>
      <c r="B296" s="41">
        <f>IF(Planos!$A294="","",Planos!B294&amp;"")</f>
      </c>
      <c r="C296" s="24">
        <f>IF(Planos!$A294="","",Planos!C294&amp;"")</f>
      </c>
      <c r="D296" s="42">
        <f>IF(Planos!$A294="","",N(Planos!E294))</f>
      </c>
      <c r="E296" s="43">
        <f>IF(Planos!$A294="","",N(Planos!K294))</f>
      </c>
      <c r="F296" s="44">
        <f>IF(OR(Planos!$A294="",NOT(ISNUMBER(Planos!$G294)),N(Planos!$E294)&lt;=0),0,IF(Planos!$G294&gt;EOMONTH(DATE(crono_ano_ref,1,1),0),0,MAX(0,INT((EOMONTH(DATE(crono_ano_ref,1,1),0)-IF(Planos!$G294&gt;=DATE(crono_ano_ref,1,1),Planos!$G294,Planos!$G294+CEILING((DATE(crono_ano_ref,1,1)-Planos!$G294)/Planos!$E294,1)*Planos!$E294))/Planos!$E294)+1)))</f>
      </c>
      <c r="G296" s="44">
        <f>IF(OR(Planos!$A294="",NOT(ISNUMBER(Planos!$G294)),N(Planos!$E294)&lt;=0),0,IF(Planos!$G294&gt;EOMONTH(DATE(crono_ano_ref,2,1),0),0,MAX(0,INT((EOMONTH(DATE(crono_ano_ref,2,1),0)-IF(Planos!$G294&gt;=DATE(crono_ano_ref,2,1),Planos!$G294,Planos!$G294+CEILING((DATE(crono_ano_ref,2,1)-Planos!$G294)/Planos!$E294,1)*Planos!$E294))/Planos!$E294)+1)))</f>
      </c>
      <c r="H296" s="44">
        <f>IF(OR(Planos!$A294="",NOT(ISNUMBER(Planos!$G294)),N(Planos!$E294)&lt;=0),0,IF(Planos!$G294&gt;EOMONTH(DATE(crono_ano_ref,3,1),0),0,MAX(0,INT((EOMONTH(DATE(crono_ano_ref,3,1),0)-IF(Planos!$G294&gt;=DATE(crono_ano_ref,3,1),Planos!$G294,Planos!$G294+CEILING((DATE(crono_ano_ref,3,1)-Planos!$G294)/Planos!$E294,1)*Planos!$E294))/Planos!$E294)+1)))</f>
      </c>
      <c r="I296" s="44">
        <f>IF(OR(Planos!$A294="",NOT(ISNUMBER(Planos!$G294)),N(Planos!$E294)&lt;=0),0,IF(Planos!$G294&gt;EOMONTH(DATE(crono_ano_ref,4,1),0),0,MAX(0,INT((EOMONTH(DATE(crono_ano_ref,4,1),0)-IF(Planos!$G294&gt;=DATE(crono_ano_ref,4,1),Planos!$G294,Planos!$G294+CEILING((DATE(crono_ano_ref,4,1)-Planos!$G294)/Planos!$E294,1)*Planos!$E294))/Planos!$E294)+1)))</f>
      </c>
      <c r="J296" s="44">
        <f>IF(OR(Planos!$A294="",NOT(ISNUMBER(Planos!$G294)),N(Planos!$E294)&lt;=0),0,IF(Planos!$G294&gt;EOMONTH(DATE(crono_ano_ref,5,1),0),0,MAX(0,INT((EOMONTH(DATE(crono_ano_ref,5,1),0)-IF(Planos!$G294&gt;=DATE(crono_ano_ref,5,1),Planos!$G294,Planos!$G294+CEILING((DATE(crono_ano_ref,5,1)-Planos!$G294)/Planos!$E294,1)*Planos!$E294))/Planos!$E294)+1)))</f>
      </c>
      <c r="K296" s="44">
        <f>IF(OR(Planos!$A294="",NOT(ISNUMBER(Planos!$G294)),N(Planos!$E294)&lt;=0),0,IF(Planos!$G294&gt;EOMONTH(DATE(crono_ano_ref,6,1),0),0,MAX(0,INT((EOMONTH(DATE(crono_ano_ref,6,1),0)-IF(Planos!$G294&gt;=DATE(crono_ano_ref,6,1),Planos!$G294,Planos!$G294+CEILING((DATE(crono_ano_ref,6,1)-Planos!$G294)/Planos!$E294,1)*Planos!$E294))/Planos!$E294)+1)))</f>
      </c>
      <c r="L296" s="44">
        <f>IF(OR(Planos!$A294="",NOT(ISNUMBER(Planos!$G294)),N(Planos!$E294)&lt;=0),0,IF(Planos!$G294&gt;EOMONTH(DATE(crono_ano_ref,7,1),0),0,MAX(0,INT((EOMONTH(DATE(crono_ano_ref,7,1),0)-IF(Planos!$G294&gt;=DATE(crono_ano_ref,7,1),Planos!$G294,Planos!$G294+CEILING((DATE(crono_ano_ref,7,1)-Planos!$G294)/Planos!$E294,1)*Planos!$E294))/Planos!$E294)+1)))</f>
      </c>
      <c r="M296" s="44">
        <f>IF(OR(Planos!$A294="",NOT(ISNUMBER(Planos!$G294)),N(Planos!$E294)&lt;=0),0,IF(Planos!$G294&gt;EOMONTH(DATE(crono_ano_ref,8,1),0),0,MAX(0,INT((EOMONTH(DATE(crono_ano_ref,8,1),0)-IF(Planos!$G294&gt;=DATE(crono_ano_ref,8,1),Planos!$G294,Planos!$G294+CEILING((DATE(crono_ano_ref,8,1)-Planos!$G294)/Planos!$E294,1)*Planos!$E294))/Planos!$E294)+1)))</f>
      </c>
      <c r="N296" s="44">
        <f>IF(OR(Planos!$A294="",NOT(ISNUMBER(Planos!$G294)),N(Planos!$E294)&lt;=0),0,IF(Planos!$G294&gt;EOMONTH(DATE(crono_ano_ref,9,1),0),0,MAX(0,INT((EOMONTH(DATE(crono_ano_ref,9,1),0)-IF(Planos!$G294&gt;=DATE(crono_ano_ref,9,1),Planos!$G294,Planos!$G294+CEILING((DATE(crono_ano_ref,9,1)-Planos!$G294)/Planos!$E294,1)*Planos!$E294))/Planos!$E294)+1)))</f>
      </c>
      <c r="O296" s="44">
        <f>IF(OR(Planos!$A294="",NOT(ISNUMBER(Planos!$G294)),N(Planos!$E294)&lt;=0),0,IF(Planos!$G294&gt;EOMONTH(DATE(crono_ano_ref,10,1),0),0,MAX(0,INT((EOMONTH(DATE(crono_ano_ref,10,1),0)-IF(Planos!$G294&gt;=DATE(crono_ano_ref,10,1),Planos!$G294,Planos!$G294+CEILING((DATE(crono_ano_ref,10,1)-Planos!$G294)/Planos!$E294,1)*Planos!$E294))/Planos!$E294)+1)))</f>
      </c>
      <c r="P296" s="44">
        <f>IF(OR(Planos!$A294="",NOT(ISNUMBER(Planos!$G294)),N(Planos!$E294)&lt;=0),0,IF(Planos!$G294&gt;EOMONTH(DATE(crono_ano_ref,11,1),0),0,MAX(0,INT((EOMONTH(DATE(crono_ano_ref,11,1),0)-IF(Planos!$G294&gt;=DATE(crono_ano_ref,11,1),Planos!$G294,Planos!$G294+CEILING((DATE(crono_ano_ref,11,1)-Planos!$G294)/Planos!$E294,1)*Planos!$E294))/Planos!$E294)+1)))</f>
      </c>
      <c r="Q296" s="44">
        <f>IF(OR(Planos!$A294="",NOT(ISNUMBER(Planos!$G294)),N(Planos!$E294)&lt;=0),0,IF(Planos!$G294&gt;EOMONTH(DATE(crono_ano_ref,12,1),0),0,MAX(0,INT((EOMONTH(DATE(crono_ano_ref,12,1),0)-IF(Planos!$G294&gt;=DATE(crono_ano_ref,12,1),Planos!$G294,Planos!$G294+CEILING((DATE(crono_ano_ref,12,1)-Planos!$G294)/Planos!$E294,1)*Planos!$E294))/Planos!$E294)+1)))</f>
      </c>
      <c r="R296" s="44">
        <f>SUM(F296:Q296)</f>
      </c>
    </row>
    <row r="297" spans="1:18" x14ac:dyDescent="0.25">
      <c r="A297" s="24">
        <f>IF(Planos!$A295="","",Planos!A295&amp;"")</f>
      </c>
      <c r="B297" s="41">
        <f>IF(Planos!$A295="","",Planos!B295&amp;"")</f>
      </c>
      <c r="C297" s="24">
        <f>IF(Planos!$A295="","",Planos!C295&amp;"")</f>
      </c>
      <c r="D297" s="42">
        <f>IF(Planos!$A295="","",N(Planos!E295))</f>
      </c>
      <c r="E297" s="43">
        <f>IF(Planos!$A295="","",N(Planos!K295))</f>
      </c>
      <c r="F297" s="44">
        <f>IF(OR(Planos!$A295="",NOT(ISNUMBER(Planos!$G295)),N(Planos!$E295)&lt;=0),0,IF(Planos!$G295&gt;EOMONTH(DATE(crono_ano_ref,1,1),0),0,MAX(0,INT((EOMONTH(DATE(crono_ano_ref,1,1),0)-IF(Planos!$G295&gt;=DATE(crono_ano_ref,1,1),Planos!$G295,Planos!$G295+CEILING((DATE(crono_ano_ref,1,1)-Planos!$G295)/Planos!$E295,1)*Planos!$E295))/Planos!$E295)+1)))</f>
      </c>
      <c r="G297" s="44">
        <f>IF(OR(Planos!$A295="",NOT(ISNUMBER(Planos!$G295)),N(Planos!$E295)&lt;=0),0,IF(Planos!$G295&gt;EOMONTH(DATE(crono_ano_ref,2,1),0),0,MAX(0,INT((EOMONTH(DATE(crono_ano_ref,2,1),0)-IF(Planos!$G295&gt;=DATE(crono_ano_ref,2,1),Planos!$G295,Planos!$G295+CEILING((DATE(crono_ano_ref,2,1)-Planos!$G295)/Planos!$E295,1)*Planos!$E295))/Planos!$E295)+1)))</f>
      </c>
      <c r="H297" s="44">
        <f>IF(OR(Planos!$A295="",NOT(ISNUMBER(Planos!$G295)),N(Planos!$E295)&lt;=0),0,IF(Planos!$G295&gt;EOMONTH(DATE(crono_ano_ref,3,1),0),0,MAX(0,INT((EOMONTH(DATE(crono_ano_ref,3,1),0)-IF(Planos!$G295&gt;=DATE(crono_ano_ref,3,1),Planos!$G295,Planos!$G295+CEILING((DATE(crono_ano_ref,3,1)-Planos!$G295)/Planos!$E295,1)*Planos!$E295))/Planos!$E295)+1)))</f>
      </c>
      <c r="I297" s="44">
        <f>IF(OR(Planos!$A295="",NOT(ISNUMBER(Planos!$G295)),N(Planos!$E295)&lt;=0),0,IF(Planos!$G295&gt;EOMONTH(DATE(crono_ano_ref,4,1),0),0,MAX(0,INT((EOMONTH(DATE(crono_ano_ref,4,1),0)-IF(Planos!$G295&gt;=DATE(crono_ano_ref,4,1),Planos!$G295,Planos!$G295+CEILING((DATE(crono_ano_ref,4,1)-Planos!$G295)/Planos!$E295,1)*Planos!$E295))/Planos!$E295)+1)))</f>
      </c>
      <c r="J297" s="44">
        <f>IF(OR(Planos!$A295="",NOT(ISNUMBER(Planos!$G295)),N(Planos!$E295)&lt;=0),0,IF(Planos!$G295&gt;EOMONTH(DATE(crono_ano_ref,5,1),0),0,MAX(0,INT((EOMONTH(DATE(crono_ano_ref,5,1),0)-IF(Planos!$G295&gt;=DATE(crono_ano_ref,5,1),Planos!$G295,Planos!$G295+CEILING((DATE(crono_ano_ref,5,1)-Planos!$G295)/Planos!$E295,1)*Planos!$E295))/Planos!$E295)+1)))</f>
      </c>
      <c r="K297" s="44">
        <f>IF(OR(Planos!$A295="",NOT(ISNUMBER(Planos!$G295)),N(Planos!$E295)&lt;=0),0,IF(Planos!$G295&gt;EOMONTH(DATE(crono_ano_ref,6,1),0),0,MAX(0,INT((EOMONTH(DATE(crono_ano_ref,6,1),0)-IF(Planos!$G295&gt;=DATE(crono_ano_ref,6,1),Planos!$G295,Planos!$G295+CEILING((DATE(crono_ano_ref,6,1)-Planos!$G295)/Planos!$E295,1)*Planos!$E295))/Planos!$E295)+1)))</f>
      </c>
      <c r="L297" s="44">
        <f>IF(OR(Planos!$A295="",NOT(ISNUMBER(Planos!$G295)),N(Planos!$E295)&lt;=0),0,IF(Planos!$G295&gt;EOMONTH(DATE(crono_ano_ref,7,1),0),0,MAX(0,INT((EOMONTH(DATE(crono_ano_ref,7,1),0)-IF(Planos!$G295&gt;=DATE(crono_ano_ref,7,1),Planos!$G295,Planos!$G295+CEILING((DATE(crono_ano_ref,7,1)-Planos!$G295)/Planos!$E295,1)*Planos!$E295))/Planos!$E295)+1)))</f>
      </c>
      <c r="M297" s="44">
        <f>IF(OR(Planos!$A295="",NOT(ISNUMBER(Planos!$G295)),N(Planos!$E295)&lt;=0),0,IF(Planos!$G295&gt;EOMONTH(DATE(crono_ano_ref,8,1),0),0,MAX(0,INT((EOMONTH(DATE(crono_ano_ref,8,1),0)-IF(Planos!$G295&gt;=DATE(crono_ano_ref,8,1),Planos!$G295,Planos!$G295+CEILING((DATE(crono_ano_ref,8,1)-Planos!$G295)/Planos!$E295,1)*Planos!$E295))/Planos!$E295)+1)))</f>
      </c>
      <c r="N297" s="44">
        <f>IF(OR(Planos!$A295="",NOT(ISNUMBER(Planos!$G295)),N(Planos!$E295)&lt;=0),0,IF(Planos!$G295&gt;EOMONTH(DATE(crono_ano_ref,9,1),0),0,MAX(0,INT((EOMONTH(DATE(crono_ano_ref,9,1),0)-IF(Planos!$G295&gt;=DATE(crono_ano_ref,9,1),Planos!$G295,Planos!$G295+CEILING((DATE(crono_ano_ref,9,1)-Planos!$G295)/Planos!$E295,1)*Planos!$E295))/Planos!$E295)+1)))</f>
      </c>
      <c r="O297" s="44">
        <f>IF(OR(Planos!$A295="",NOT(ISNUMBER(Planos!$G295)),N(Planos!$E295)&lt;=0),0,IF(Planos!$G295&gt;EOMONTH(DATE(crono_ano_ref,10,1),0),0,MAX(0,INT((EOMONTH(DATE(crono_ano_ref,10,1),0)-IF(Planos!$G295&gt;=DATE(crono_ano_ref,10,1),Planos!$G295,Planos!$G295+CEILING((DATE(crono_ano_ref,10,1)-Planos!$G295)/Planos!$E295,1)*Planos!$E295))/Planos!$E295)+1)))</f>
      </c>
      <c r="P297" s="44">
        <f>IF(OR(Planos!$A295="",NOT(ISNUMBER(Planos!$G295)),N(Planos!$E295)&lt;=0),0,IF(Planos!$G295&gt;EOMONTH(DATE(crono_ano_ref,11,1),0),0,MAX(0,INT((EOMONTH(DATE(crono_ano_ref,11,1),0)-IF(Planos!$G295&gt;=DATE(crono_ano_ref,11,1),Planos!$G295,Planos!$G295+CEILING((DATE(crono_ano_ref,11,1)-Planos!$G295)/Planos!$E295,1)*Planos!$E295))/Planos!$E295)+1)))</f>
      </c>
      <c r="Q297" s="44">
        <f>IF(OR(Planos!$A295="",NOT(ISNUMBER(Planos!$G295)),N(Planos!$E295)&lt;=0),0,IF(Planos!$G295&gt;EOMONTH(DATE(crono_ano_ref,12,1),0),0,MAX(0,INT((EOMONTH(DATE(crono_ano_ref,12,1),0)-IF(Planos!$G295&gt;=DATE(crono_ano_ref,12,1),Planos!$G295,Planos!$G295+CEILING((DATE(crono_ano_ref,12,1)-Planos!$G295)/Planos!$E295,1)*Planos!$E295))/Planos!$E295)+1)))</f>
      </c>
      <c r="R297" s="44">
        <f>SUM(F297:Q297)</f>
      </c>
    </row>
    <row r="298" spans="1:18" x14ac:dyDescent="0.25">
      <c r="A298" s="24">
        <f>IF(Planos!$A296="","",Planos!A296&amp;"")</f>
      </c>
      <c r="B298" s="41">
        <f>IF(Planos!$A296="","",Planos!B296&amp;"")</f>
      </c>
      <c r="C298" s="24">
        <f>IF(Planos!$A296="","",Planos!C296&amp;"")</f>
      </c>
      <c r="D298" s="42">
        <f>IF(Planos!$A296="","",N(Planos!E296))</f>
      </c>
      <c r="E298" s="43">
        <f>IF(Planos!$A296="","",N(Planos!K296))</f>
      </c>
      <c r="F298" s="44">
        <f>IF(OR(Planos!$A296="",NOT(ISNUMBER(Planos!$G296)),N(Planos!$E296)&lt;=0),0,IF(Planos!$G296&gt;EOMONTH(DATE(crono_ano_ref,1,1),0),0,MAX(0,INT((EOMONTH(DATE(crono_ano_ref,1,1),0)-IF(Planos!$G296&gt;=DATE(crono_ano_ref,1,1),Planos!$G296,Planos!$G296+CEILING((DATE(crono_ano_ref,1,1)-Planos!$G296)/Planos!$E296,1)*Planos!$E296))/Planos!$E296)+1)))</f>
      </c>
      <c r="G298" s="44">
        <f>IF(OR(Planos!$A296="",NOT(ISNUMBER(Planos!$G296)),N(Planos!$E296)&lt;=0),0,IF(Planos!$G296&gt;EOMONTH(DATE(crono_ano_ref,2,1),0),0,MAX(0,INT((EOMONTH(DATE(crono_ano_ref,2,1),0)-IF(Planos!$G296&gt;=DATE(crono_ano_ref,2,1),Planos!$G296,Planos!$G296+CEILING((DATE(crono_ano_ref,2,1)-Planos!$G296)/Planos!$E296,1)*Planos!$E296))/Planos!$E296)+1)))</f>
      </c>
      <c r="H298" s="44">
        <f>IF(OR(Planos!$A296="",NOT(ISNUMBER(Planos!$G296)),N(Planos!$E296)&lt;=0),0,IF(Planos!$G296&gt;EOMONTH(DATE(crono_ano_ref,3,1),0),0,MAX(0,INT((EOMONTH(DATE(crono_ano_ref,3,1),0)-IF(Planos!$G296&gt;=DATE(crono_ano_ref,3,1),Planos!$G296,Planos!$G296+CEILING((DATE(crono_ano_ref,3,1)-Planos!$G296)/Planos!$E296,1)*Planos!$E296))/Planos!$E296)+1)))</f>
      </c>
      <c r="I298" s="44">
        <f>IF(OR(Planos!$A296="",NOT(ISNUMBER(Planos!$G296)),N(Planos!$E296)&lt;=0),0,IF(Planos!$G296&gt;EOMONTH(DATE(crono_ano_ref,4,1),0),0,MAX(0,INT((EOMONTH(DATE(crono_ano_ref,4,1),0)-IF(Planos!$G296&gt;=DATE(crono_ano_ref,4,1),Planos!$G296,Planos!$G296+CEILING((DATE(crono_ano_ref,4,1)-Planos!$G296)/Planos!$E296,1)*Planos!$E296))/Planos!$E296)+1)))</f>
      </c>
      <c r="J298" s="44">
        <f>IF(OR(Planos!$A296="",NOT(ISNUMBER(Planos!$G296)),N(Planos!$E296)&lt;=0),0,IF(Planos!$G296&gt;EOMONTH(DATE(crono_ano_ref,5,1),0),0,MAX(0,INT((EOMONTH(DATE(crono_ano_ref,5,1),0)-IF(Planos!$G296&gt;=DATE(crono_ano_ref,5,1),Planos!$G296,Planos!$G296+CEILING((DATE(crono_ano_ref,5,1)-Planos!$G296)/Planos!$E296,1)*Planos!$E296))/Planos!$E296)+1)))</f>
      </c>
      <c r="K298" s="44">
        <f>IF(OR(Planos!$A296="",NOT(ISNUMBER(Planos!$G296)),N(Planos!$E296)&lt;=0),0,IF(Planos!$G296&gt;EOMONTH(DATE(crono_ano_ref,6,1),0),0,MAX(0,INT((EOMONTH(DATE(crono_ano_ref,6,1),0)-IF(Planos!$G296&gt;=DATE(crono_ano_ref,6,1),Planos!$G296,Planos!$G296+CEILING((DATE(crono_ano_ref,6,1)-Planos!$G296)/Planos!$E296,1)*Planos!$E296))/Planos!$E296)+1)))</f>
      </c>
      <c r="L298" s="44">
        <f>IF(OR(Planos!$A296="",NOT(ISNUMBER(Planos!$G296)),N(Planos!$E296)&lt;=0),0,IF(Planos!$G296&gt;EOMONTH(DATE(crono_ano_ref,7,1),0),0,MAX(0,INT((EOMONTH(DATE(crono_ano_ref,7,1),0)-IF(Planos!$G296&gt;=DATE(crono_ano_ref,7,1),Planos!$G296,Planos!$G296+CEILING((DATE(crono_ano_ref,7,1)-Planos!$G296)/Planos!$E296,1)*Planos!$E296))/Planos!$E296)+1)))</f>
      </c>
      <c r="M298" s="44">
        <f>IF(OR(Planos!$A296="",NOT(ISNUMBER(Planos!$G296)),N(Planos!$E296)&lt;=0),0,IF(Planos!$G296&gt;EOMONTH(DATE(crono_ano_ref,8,1),0),0,MAX(0,INT((EOMONTH(DATE(crono_ano_ref,8,1),0)-IF(Planos!$G296&gt;=DATE(crono_ano_ref,8,1),Planos!$G296,Planos!$G296+CEILING((DATE(crono_ano_ref,8,1)-Planos!$G296)/Planos!$E296,1)*Planos!$E296))/Planos!$E296)+1)))</f>
      </c>
      <c r="N298" s="44">
        <f>IF(OR(Planos!$A296="",NOT(ISNUMBER(Planos!$G296)),N(Planos!$E296)&lt;=0),0,IF(Planos!$G296&gt;EOMONTH(DATE(crono_ano_ref,9,1),0),0,MAX(0,INT((EOMONTH(DATE(crono_ano_ref,9,1),0)-IF(Planos!$G296&gt;=DATE(crono_ano_ref,9,1),Planos!$G296,Planos!$G296+CEILING((DATE(crono_ano_ref,9,1)-Planos!$G296)/Planos!$E296,1)*Planos!$E296))/Planos!$E296)+1)))</f>
      </c>
      <c r="O298" s="44">
        <f>IF(OR(Planos!$A296="",NOT(ISNUMBER(Planos!$G296)),N(Planos!$E296)&lt;=0),0,IF(Planos!$G296&gt;EOMONTH(DATE(crono_ano_ref,10,1),0),0,MAX(0,INT((EOMONTH(DATE(crono_ano_ref,10,1),0)-IF(Planos!$G296&gt;=DATE(crono_ano_ref,10,1),Planos!$G296,Planos!$G296+CEILING((DATE(crono_ano_ref,10,1)-Planos!$G296)/Planos!$E296,1)*Planos!$E296))/Planos!$E296)+1)))</f>
      </c>
      <c r="P298" s="44">
        <f>IF(OR(Planos!$A296="",NOT(ISNUMBER(Planos!$G296)),N(Planos!$E296)&lt;=0),0,IF(Planos!$G296&gt;EOMONTH(DATE(crono_ano_ref,11,1),0),0,MAX(0,INT((EOMONTH(DATE(crono_ano_ref,11,1),0)-IF(Planos!$G296&gt;=DATE(crono_ano_ref,11,1),Planos!$G296,Planos!$G296+CEILING((DATE(crono_ano_ref,11,1)-Planos!$G296)/Planos!$E296,1)*Planos!$E296))/Planos!$E296)+1)))</f>
      </c>
      <c r="Q298" s="44">
        <f>IF(OR(Planos!$A296="",NOT(ISNUMBER(Planos!$G296)),N(Planos!$E296)&lt;=0),0,IF(Planos!$G296&gt;EOMONTH(DATE(crono_ano_ref,12,1),0),0,MAX(0,INT((EOMONTH(DATE(crono_ano_ref,12,1),0)-IF(Planos!$G296&gt;=DATE(crono_ano_ref,12,1),Planos!$G296,Planos!$G296+CEILING((DATE(crono_ano_ref,12,1)-Planos!$G296)/Planos!$E296,1)*Planos!$E296))/Planos!$E296)+1)))</f>
      </c>
      <c r="R298" s="44">
        <f>SUM(F298:Q298)</f>
      </c>
    </row>
    <row r="299" spans="1:18" x14ac:dyDescent="0.25">
      <c r="A299" s="24">
        <f>IF(Planos!$A297="","",Planos!A297&amp;"")</f>
      </c>
      <c r="B299" s="41">
        <f>IF(Planos!$A297="","",Planos!B297&amp;"")</f>
      </c>
      <c r="C299" s="24">
        <f>IF(Planos!$A297="","",Planos!C297&amp;"")</f>
      </c>
      <c r="D299" s="42">
        <f>IF(Planos!$A297="","",N(Planos!E297))</f>
      </c>
      <c r="E299" s="43">
        <f>IF(Planos!$A297="","",N(Planos!K297))</f>
      </c>
      <c r="F299" s="44">
        <f>IF(OR(Planos!$A297="",NOT(ISNUMBER(Planos!$G297)),N(Planos!$E297)&lt;=0),0,IF(Planos!$G297&gt;EOMONTH(DATE(crono_ano_ref,1,1),0),0,MAX(0,INT((EOMONTH(DATE(crono_ano_ref,1,1),0)-IF(Planos!$G297&gt;=DATE(crono_ano_ref,1,1),Planos!$G297,Planos!$G297+CEILING((DATE(crono_ano_ref,1,1)-Planos!$G297)/Planos!$E297,1)*Planos!$E297))/Planos!$E297)+1)))</f>
      </c>
      <c r="G299" s="44">
        <f>IF(OR(Planos!$A297="",NOT(ISNUMBER(Planos!$G297)),N(Planos!$E297)&lt;=0),0,IF(Planos!$G297&gt;EOMONTH(DATE(crono_ano_ref,2,1),0),0,MAX(0,INT((EOMONTH(DATE(crono_ano_ref,2,1),0)-IF(Planos!$G297&gt;=DATE(crono_ano_ref,2,1),Planos!$G297,Planos!$G297+CEILING((DATE(crono_ano_ref,2,1)-Planos!$G297)/Planos!$E297,1)*Planos!$E297))/Planos!$E297)+1)))</f>
      </c>
      <c r="H299" s="44">
        <f>IF(OR(Planos!$A297="",NOT(ISNUMBER(Planos!$G297)),N(Planos!$E297)&lt;=0),0,IF(Planos!$G297&gt;EOMONTH(DATE(crono_ano_ref,3,1),0),0,MAX(0,INT((EOMONTH(DATE(crono_ano_ref,3,1),0)-IF(Planos!$G297&gt;=DATE(crono_ano_ref,3,1),Planos!$G297,Planos!$G297+CEILING((DATE(crono_ano_ref,3,1)-Planos!$G297)/Planos!$E297,1)*Planos!$E297))/Planos!$E297)+1)))</f>
      </c>
      <c r="I299" s="44">
        <f>IF(OR(Planos!$A297="",NOT(ISNUMBER(Planos!$G297)),N(Planos!$E297)&lt;=0),0,IF(Planos!$G297&gt;EOMONTH(DATE(crono_ano_ref,4,1),0),0,MAX(0,INT((EOMONTH(DATE(crono_ano_ref,4,1),0)-IF(Planos!$G297&gt;=DATE(crono_ano_ref,4,1),Planos!$G297,Planos!$G297+CEILING((DATE(crono_ano_ref,4,1)-Planos!$G297)/Planos!$E297,1)*Planos!$E297))/Planos!$E297)+1)))</f>
      </c>
      <c r="J299" s="44">
        <f>IF(OR(Planos!$A297="",NOT(ISNUMBER(Planos!$G297)),N(Planos!$E297)&lt;=0),0,IF(Planos!$G297&gt;EOMONTH(DATE(crono_ano_ref,5,1),0),0,MAX(0,INT((EOMONTH(DATE(crono_ano_ref,5,1),0)-IF(Planos!$G297&gt;=DATE(crono_ano_ref,5,1),Planos!$G297,Planos!$G297+CEILING((DATE(crono_ano_ref,5,1)-Planos!$G297)/Planos!$E297,1)*Planos!$E297))/Planos!$E297)+1)))</f>
      </c>
      <c r="K299" s="44">
        <f>IF(OR(Planos!$A297="",NOT(ISNUMBER(Planos!$G297)),N(Planos!$E297)&lt;=0),0,IF(Planos!$G297&gt;EOMONTH(DATE(crono_ano_ref,6,1),0),0,MAX(0,INT((EOMONTH(DATE(crono_ano_ref,6,1),0)-IF(Planos!$G297&gt;=DATE(crono_ano_ref,6,1),Planos!$G297,Planos!$G297+CEILING((DATE(crono_ano_ref,6,1)-Planos!$G297)/Planos!$E297,1)*Planos!$E297))/Planos!$E297)+1)))</f>
      </c>
      <c r="L299" s="44">
        <f>IF(OR(Planos!$A297="",NOT(ISNUMBER(Planos!$G297)),N(Planos!$E297)&lt;=0),0,IF(Planos!$G297&gt;EOMONTH(DATE(crono_ano_ref,7,1),0),0,MAX(0,INT((EOMONTH(DATE(crono_ano_ref,7,1),0)-IF(Planos!$G297&gt;=DATE(crono_ano_ref,7,1),Planos!$G297,Planos!$G297+CEILING((DATE(crono_ano_ref,7,1)-Planos!$G297)/Planos!$E297,1)*Planos!$E297))/Planos!$E297)+1)))</f>
      </c>
      <c r="M299" s="44">
        <f>IF(OR(Planos!$A297="",NOT(ISNUMBER(Planos!$G297)),N(Planos!$E297)&lt;=0),0,IF(Planos!$G297&gt;EOMONTH(DATE(crono_ano_ref,8,1),0),0,MAX(0,INT((EOMONTH(DATE(crono_ano_ref,8,1),0)-IF(Planos!$G297&gt;=DATE(crono_ano_ref,8,1),Planos!$G297,Planos!$G297+CEILING((DATE(crono_ano_ref,8,1)-Planos!$G297)/Planos!$E297,1)*Planos!$E297))/Planos!$E297)+1)))</f>
      </c>
      <c r="N299" s="44">
        <f>IF(OR(Planos!$A297="",NOT(ISNUMBER(Planos!$G297)),N(Planos!$E297)&lt;=0),0,IF(Planos!$G297&gt;EOMONTH(DATE(crono_ano_ref,9,1),0),0,MAX(0,INT((EOMONTH(DATE(crono_ano_ref,9,1),0)-IF(Planos!$G297&gt;=DATE(crono_ano_ref,9,1),Planos!$G297,Planos!$G297+CEILING((DATE(crono_ano_ref,9,1)-Planos!$G297)/Planos!$E297,1)*Planos!$E297))/Planos!$E297)+1)))</f>
      </c>
      <c r="O299" s="44">
        <f>IF(OR(Planos!$A297="",NOT(ISNUMBER(Planos!$G297)),N(Planos!$E297)&lt;=0),0,IF(Planos!$G297&gt;EOMONTH(DATE(crono_ano_ref,10,1),0),0,MAX(0,INT((EOMONTH(DATE(crono_ano_ref,10,1),0)-IF(Planos!$G297&gt;=DATE(crono_ano_ref,10,1),Planos!$G297,Planos!$G297+CEILING((DATE(crono_ano_ref,10,1)-Planos!$G297)/Planos!$E297,1)*Planos!$E297))/Planos!$E297)+1)))</f>
      </c>
      <c r="P299" s="44">
        <f>IF(OR(Planos!$A297="",NOT(ISNUMBER(Planos!$G297)),N(Planos!$E297)&lt;=0),0,IF(Planos!$G297&gt;EOMONTH(DATE(crono_ano_ref,11,1),0),0,MAX(0,INT((EOMONTH(DATE(crono_ano_ref,11,1),0)-IF(Planos!$G297&gt;=DATE(crono_ano_ref,11,1),Planos!$G297,Planos!$G297+CEILING((DATE(crono_ano_ref,11,1)-Planos!$G297)/Planos!$E297,1)*Planos!$E297))/Planos!$E297)+1)))</f>
      </c>
      <c r="Q299" s="44">
        <f>IF(OR(Planos!$A297="",NOT(ISNUMBER(Planos!$G297)),N(Planos!$E297)&lt;=0),0,IF(Planos!$G297&gt;EOMONTH(DATE(crono_ano_ref,12,1),0),0,MAX(0,INT((EOMONTH(DATE(crono_ano_ref,12,1),0)-IF(Planos!$G297&gt;=DATE(crono_ano_ref,12,1),Planos!$G297,Planos!$G297+CEILING((DATE(crono_ano_ref,12,1)-Planos!$G297)/Planos!$E297,1)*Planos!$E297))/Planos!$E297)+1)))</f>
      </c>
      <c r="R299" s="44">
        <f>SUM(F299:Q299)</f>
      </c>
    </row>
    <row r="300" spans="1:18" x14ac:dyDescent="0.25">
      <c r="A300" s="24">
        <f>IF(Planos!$A298="","",Planos!A298&amp;"")</f>
      </c>
      <c r="B300" s="41">
        <f>IF(Planos!$A298="","",Planos!B298&amp;"")</f>
      </c>
      <c r="C300" s="24">
        <f>IF(Planos!$A298="","",Planos!C298&amp;"")</f>
      </c>
      <c r="D300" s="42">
        <f>IF(Planos!$A298="","",N(Planos!E298))</f>
      </c>
      <c r="E300" s="43">
        <f>IF(Planos!$A298="","",N(Planos!K298))</f>
      </c>
      <c r="F300" s="44">
        <f>IF(OR(Planos!$A298="",NOT(ISNUMBER(Planos!$G298)),N(Planos!$E298)&lt;=0),0,IF(Planos!$G298&gt;EOMONTH(DATE(crono_ano_ref,1,1),0),0,MAX(0,INT((EOMONTH(DATE(crono_ano_ref,1,1),0)-IF(Planos!$G298&gt;=DATE(crono_ano_ref,1,1),Planos!$G298,Planos!$G298+CEILING((DATE(crono_ano_ref,1,1)-Planos!$G298)/Planos!$E298,1)*Planos!$E298))/Planos!$E298)+1)))</f>
      </c>
      <c r="G300" s="44">
        <f>IF(OR(Planos!$A298="",NOT(ISNUMBER(Planos!$G298)),N(Planos!$E298)&lt;=0),0,IF(Planos!$G298&gt;EOMONTH(DATE(crono_ano_ref,2,1),0),0,MAX(0,INT((EOMONTH(DATE(crono_ano_ref,2,1),0)-IF(Planos!$G298&gt;=DATE(crono_ano_ref,2,1),Planos!$G298,Planos!$G298+CEILING((DATE(crono_ano_ref,2,1)-Planos!$G298)/Planos!$E298,1)*Planos!$E298))/Planos!$E298)+1)))</f>
      </c>
      <c r="H300" s="44">
        <f>IF(OR(Planos!$A298="",NOT(ISNUMBER(Planos!$G298)),N(Planos!$E298)&lt;=0),0,IF(Planos!$G298&gt;EOMONTH(DATE(crono_ano_ref,3,1),0),0,MAX(0,INT((EOMONTH(DATE(crono_ano_ref,3,1),0)-IF(Planos!$G298&gt;=DATE(crono_ano_ref,3,1),Planos!$G298,Planos!$G298+CEILING((DATE(crono_ano_ref,3,1)-Planos!$G298)/Planos!$E298,1)*Planos!$E298))/Planos!$E298)+1)))</f>
      </c>
      <c r="I300" s="44">
        <f>IF(OR(Planos!$A298="",NOT(ISNUMBER(Planos!$G298)),N(Planos!$E298)&lt;=0),0,IF(Planos!$G298&gt;EOMONTH(DATE(crono_ano_ref,4,1),0),0,MAX(0,INT((EOMONTH(DATE(crono_ano_ref,4,1),0)-IF(Planos!$G298&gt;=DATE(crono_ano_ref,4,1),Planos!$G298,Planos!$G298+CEILING((DATE(crono_ano_ref,4,1)-Planos!$G298)/Planos!$E298,1)*Planos!$E298))/Planos!$E298)+1)))</f>
      </c>
      <c r="J300" s="44">
        <f>IF(OR(Planos!$A298="",NOT(ISNUMBER(Planos!$G298)),N(Planos!$E298)&lt;=0),0,IF(Planos!$G298&gt;EOMONTH(DATE(crono_ano_ref,5,1),0),0,MAX(0,INT((EOMONTH(DATE(crono_ano_ref,5,1),0)-IF(Planos!$G298&gt;=DATE(crono_ano_ref,5,1),Planos!$G298,Planos!$G298+CEILING((DATE(crono_ano_ref,5,1)-Planos!$G298)/Planos!$E298,1)*Planos!$E298))/Planos!$E298)+1)))</f>
      </c>
      <c r="K300" s="44">
        <f>IF(OR(Planos!$A298="",NOT(ISNUMBER(Planos!$G298)),N(Planos!$E298)&lt;=0),0,IF(Planos!$G298&gt;EOMONTH(DATE(crono_ano_ref,6,1),0),0,MAX(0,INT((EOMONTH(DATE(crono_ano_ref,6,1),0)-IF(Planos!$G298&gt;=DATE(crono_ano_ref,6,1),Planos!$G298,Planos!$G298+CEILING((DATE(crono_ano_ref,6,1)-Planos!$G298)/Planos!$E298,1)*Planos!$E298))/Planos!$E298)+1)))</f>
      </c>
      <c r="L300" s="44">
        <f>IF(OR(Planos!$A298="",NOT(ISNUMBER(Planos!$G298)),N(Planos!$E298)&lt;=0),0,IF(Planos!$G298&gt;EOMONTH(DATE(crono_ano_ref,7,1),0),0,MAX(0,INT((EOMONTH(DATE(crono_ano_ref,7,1),0)-IF(Planos!$G298&gt;=DATE(crono_ano_ref,7,1),Planos!$G298,Planos!$G298+CEILING((DATE(crono_ano_ref,7,1)-Planos!$G298)/Planos!$E298,1)*Planos!$E298))/Planos!$E298)+1)))</f>
      </c>
      <c r="M300" s="44">
        <f>IF(OR(Planos!$A298="",NOT(ISNUMBER(Planos!$G298)),N(Planos!$E298)&lt;=0),0,IF(Planos!$G298&gt;EOMONTH(DATE(crono_ano_ref,8,1),0),0,MAX(0,INT((EOMONTH(DATE(crono_ano_ref,8,1),0)-IF(Planos!$G298&gt;=DATE(crono_ano_ref,8,1),Planos!$G298,Planos!$G298+CEILING((DATE(crono_ano_ref,8,1)-Planos!$G298)/Planos!$E298,1)*Planos!$E298))/Planos!$E298)+1)))</f>
      </c>
      <c r="N300" s="44">
        <f>IF(OR(Planos!$A298="",NOT(ISNUMBER(Planos!$G298)),N(Planos!$E298)&lt;=0),0,IF(Planos!$G298&gt;EOMONTH(DATE(crono_ano_ref,9,1),0),0,MAX(0,INT((EOMONTH(DATE(crono_ano_ref,9,1),0)-IF(Planos!$G298&gt;=DATE(crono_ano_ref,9,1),Planos!$G298,Planos!$G298+CEILING((DATE(crono_ano_ref,9,1)-Planos!$G298)/Planos!$E298,1)*Planos!$E298))/Planos!$E298)+1)))</f>
      </c>
      <c r="O300" s="44">
        <f>IF(OR(Planos!$A298="",NOT(ISNUMBER(Planos!$G298)),N(Planos!$E298)&lt;=0),0,IF(Planos!$G298&gt;EOMONTH(DATE(crono_ano_ref,10,1),0),0,MAX(0,INT((EOMONTH(DATE(crono_ano_ref,10,1),0)-IF(Planos!$G298&gt;=DATE(crono_ano_ref,10,1),Planos!$G298,Planos!$G298+CEILING((DATE(crono_ano_ref,10,1)-Planos!$G298)/Planos!$E298,1)*Planos!$E298))/Planos!$E298)+1)))</f>
      </c>
      <c r="P300" s="44">
        <f>IF(OR(Planos!$A298="",NOT(ISNUMBER(Planos!$G298)),N(Planos!$E298)&lt;=0),0,IF(Planos!$G298&gt;EOMONTH(DATE(crono_ano_ref,11,1),0),0,MAX(0,INT((EOMONTH(DATE(crono_ano_ref,11,1),0)-IF(Planos!$G298&gt;=DATE(crono_ano_ref,11,1),Planos!$G298,Planos!$G298+CEILING((DATE(crono_ano_ref,11,1)-Planos!$G298)/Planos!$E298,1)*Planos!$E298))/Planos!$E298)+1)))</f>
      </c>
      <c r="Q300" s="44">
        <f>IF(OR(Planos!$A298="",NOT(ISNUMBER(Planos!$G298)),N(Planos!$E298)&lt;=0),0,IF(Planos!$G298&gt;EOMONTH(DATE(crono_ano_ref,12,1),0),0,MAX(0,INT((EOMONTH(DATE(crono_ano_ref,12,1),0)-IF(Planos!$G298&gt;=DATE(crono_ano_ref,12,1),Planos!$G298,Planos!$G298+CEILING((DATE(crono_ano_ref,12,1)-Planos!$G298)/Planos!$E298,1)*Planos!$E298))/Planos!$E298)+1)))</f>
      </c>
      <c r="R300" s="44">
        <f>SUM(F300:Q300)</f>
      </c>
    </row>
    <row r="301" spans="1:18" x14ac:dyDescent="0.25">
      <c r="A301" s="24">
        <f>IF(Planos!$A299="","",Planos!A299&amp;"")</f>
      </c>
      <c r="B301" s="41">
        <f>IF(Planos!$A299="","",Planos!B299&amp;"")</f>
      </c>
      <c r="C301" s="24">
        <f>IF(Planos!$A299="","",Planos!C299&amp;"")</f>
      </c>
      <c r="D301" s="42">
        <f>IF(Planos!$A299="","",N(Planos!E299))</f>
      </c>
      <c r="E301" s="43">
        <f>IF(Planos!$A299="","",N(Planos!K299))</f>
      </c>
      <c r="F301" s="44">
        <f>IF(OR(Planos!$A299="",NOT(ISNUMBER(Planos!$G299)),N(Planos!$E299)&lt;=0),0,IF(Planos!$G299&gt;EOMONTH(DATE(crono_ano_ref,1,1),0),0,MAX(0,INT((EOMONTH(DATE(crono_ano_ref,1,1),0)-IF(Planos!$G299&gt;=DATE(crono_ano_ref,1,1),Planos!$G299,Planos!$G299+CEILING((DATE(crono_ano_ref,1,1)-Planos!$G299)/Planos!$E299,1)*Planos!$E299))/Planos!$E299)+1)))</f>
      </c>
      <c r="G301" s="44">
        <f>IF(OR(Planos!$A299="",NOT(ISNUMBER(Planos!$G299)),N(Planos!$E299)&lt;=0),0,IF(Planos!$G299&gt;EOMONTH(DATE(crono_ano_ref,2,1),0),0,MAX(0,INT((EOMONTH(DATE(crono_ano_ref,2,1),0)-IF(Planos!$G299&gt;=DATE(crono_ano_ref,2,1),Planos!$G299,Planos!$G299+CEILING((DATE(crono_ano_ref,2,1)-Planos!$G299)/Planos!$E299,1)*Planos!$E299))/Planos!$E299)+1)))</f>
      </c>
      <c r="H301" s="44">
        <f>IF(OR(Planos!$A299="",NOT(ISNUMBER(Planos!$G299)),N(Planos!$E299)&lt;=0),0,IF(Planos!$G299&gt;EOMONTH(DATE(crono_ano_ref,3,1),0),0,MAX(0,INT((EOMONTH(DATE(crono_ano_ref,3,1),0)-IF(Planos!$G299&gt;=DATE(crono_ano_ref,3,1),Planos!$G299,Planos!$G299+CEILING((DATE(crono_ano_ref,3,1)-Planos!$G299)/Planos!$E299,1)*Planos!$E299))/Planos!$E299)+1)))</f>
      </c>
      <c r="I301" s="44">
        <f>IF(OR(Planos!$A299="",NOT(ISNUMBER(Planos!$G299)),N(Planos!$E299)&lt;=0),0,IF(Planos!$G299&gt;EOMONTH(DATE(crono_ano_ref,4,1),0),0,MAX(0,INT((EOMONTH(DATE(crono_ano_ref,4,1),0)-IF(Planos!$G299&gt;=DATE(crono_ano_ref,4,1),Planos!$G299,Planos!$G299+CEILING((DATE(crono_ano_ref,4,1)-Planos!$G299)/Planos!$E299,1)*Planos!$E299))/Planos!$E299)+1)))</f>
      </c>
      <c r="J301" s="44">
        <f>IF(OR(Planos!$A299="",NOT(ISNUMBER(Planos!$G299)),N(Planos!$E299)&lt;=0),0,IF(Planos!$G299&gt;EOMONTH(DATE(crono_ano_ref,5,1),0),0,MAX(0,INT((EOMONTH(DATE(crono_ano_ref,5,1),0)-IF(Planos!$G299&gt;=DATE(crono_ano_ref,5,1),Planos!$G299,Planos!$G299+CEILING((DATE(crono_ano_ref,5,1)-Planos!$G299)/Planos!$E299,1)*Planos!$E299))/Planos!$E299)+1)))</f>
      </c>
      <c r="K301" s="44">
        <f>IF(OR(Planos!$A299="",NOT(ISNUMBER(Planos!$G299)),N(Planos!$E299)&lt;=0),0,IF(Planos!$G299&gt;EOMONTH(DATE(crono_ano_ref,6,1),0),0,MAX(0,INT((EOMONTH(DATE(crono_ano_ref,6,1),0)-IF(Planos!$G299&gt;=DATE(crono_ano_ref,6,1),Planos!$G299,Planos!$G299+CEILING((DATE(crono_ano_ref,6,1)-Planos!$G299)/Planos!$E299,1)*Planos!$E299))/Planos!$E299)+1)))</f>
      </c>
      <c r="L301" s="44">
        <f>IF(OR(Planos!$A299="",NOT(ISNUMBER(Planos!$G299)),N(Planos!$E299)&lt;=0),0,IF(Planos!$G299&gt;EOMONTH(DATE(crono_ano_ref,7,1),0),0,MAX(0,INT((EOMONTH(DATE(crono_ano_ref,7,1),0)-IF(Planos!$G299&gt;=DATE(crono_ano_ref,7,1),Planos!$G299,Planos!$G299+CEILING((DATE(crono_ano_ref,7,1)-Planos!$G299)/Planos!$E299,1)*Planos!$E299))/Planos!$E299)+1)))</f>
      </c>
      <c r="M301" s="44">
        <f>IF(OR(Planos!$A299="",NOT(ISNUMBER(Planos!$G299)),N(Planos!$E299)&lt;=0),0,IF(Planos!$G299&gt;EOMONTH(DATE(crono_ano_ref,8,1),0),0,MAX(0,INT((EOMONTH(DATE(crono_ano_ref,8,1),0)-IF(Planos!$G299&gt;=DATE(crono_ano_ref,8,1),Planos!$G299,Planos!$G299+CEILING((DATE(crono_ano_ref,8,1)-Planos!$G299)/Planos!$E299,1)*Planos!$E299))/Planos!$E299)+1)))</f>
      </c>
      <c r="N301" s="44">
        <f>IF(OR(Planos!$A299="",NOT(ISNUMBER(Planos!$G299)),N(Planos!$E299)&lt;=0),0,IF(Planos!$G299&gt;EOMONTH(DATE(crono_ano_ref,9,1),0),0,MAX(0,INT((EOMONTH(DATE(crono_ano_ref,9,1),0)-IF(Planos!$G299&gt;=DATE(crono_ano_ref,9,1),Planos!$G299,Planos!$G299+CEILING((DATE(crono_ano_ref,9,1)-Planos!$G299)/Planos!$E299,1)*Planos!$E299))/Planos!$E299)+1)))</f>
      </c>
      <c r="O301" s="44">
        <f>IF(OR(Planos!$A299="",NOT(ISNUMBER(Planos!$G299)),N(Planos!$E299)&lt;=0),0,IF(Planos!$G299&gt;EOMONTH(DATE(crono_ano_ref,10,1),0),0,MAX(0,INT((EOMONTH(DATE(crono_ano_ref,10,1),0)-IF(Planos!$G299&gt;=DATE(crono_ano_ref,10,1),Planos!$G299,Planos!$G299+CEILING((DATE(crono_ano_ref,10,1)-Planos!$G299)/Planos!$E299,1)*Planos!$E299))/Planos!$E299)+1)))</f>
      </c>
      <c r="P301" s="44">
        <f>IF(OR(Planos!$A299="",NOT(ISNUMBER(Planos!$G299)),N(Planos!$E299)&lt;=0),0,IF(Planos!$G299&gt;EOMONTH(DATE(crono_ano_ref,11,1),0),0,MAX(0,INT((EOMONTH(DATE(crono_ano_ref,11,1),0)-IF(Planos!$G299&gt;=DATE(crono_ano_ref,11,1),Planos!$G299,Planos!$G299+CEILING((DATE(crono_ano_ref,11,1)-Planos!$G299)/Planos!$E299,1)*Planos!$E299))/Planos!$E299)+1)))</f>
      </c>
      <c r="Q301" s="44">
        <f>IF(OR(Planos!$A299="",NOT(ISNUMBER(Planos!$G299)),N(Planos!$E299)&lt;=0),0,IF(Planos!$G299&gt;EOMONTH(DATE(crono_ano_ref,12,1),0),0,MAX(0,INT((EOMONTH(DATE(crono_ano_ref,12,1),0)-IF(Planos!$G299&gt;=DATE(crono_ano_ref,12,1),Planos!$G299,Planos!$G299+CEILING((DATE(crono_ano_ref,12,1)-Planos!$G299)/Planos!$E299,1)*Planos!$E299))/Planos!$E299)+1)))</f>
      </c>
      <c r="R301" s="44">
        <f>SUM(F301:Q301)</f>
      </c>
    </row>
    <row r="302" spans="1:18" x14ac:dyDescent="0.25">
      <c r="A302" s="24">
        <f>IF(Planos!$A300="","",Planos!A300&amp;"")</f>
      </c>
      <c r="B302" s="41">
        <f>IF(Planos!$A300="","",Planos!B300&amp;"")</f>
      </c>
      <c r="C302" s="24">
        <f>IF(Planos!$A300="","",Planos!C300&amp;"")</f>
      </c>
      <c r="D302" s="42">
        <f>IF(Planos!$A300="","",N(Planos!E300))</f>
      </c>
      <c r="E302" s="43">
        <f>IF(Planos!$A300="","",N(Planos!K300))</f>
      </c>
      <c r="F302" s="44">
        <f>IF(OR(Planos!$A300="",NOT(ISNUMBER(Planos!$G300)),N(Planos!$E300)&lt;=0),0,IF(Planos!$G300&gt;EOMONTH(DATE(crono_ano_ref,1,1),0),0,MAX(0,INT((EOMONTH(DATE(crono_ano_ref,1,1),0)-IF(Planos!$G300&gt;=DATE(crono_ano_ref,1,1),Planos!$G300,Planos!$G300+CEILING((DATE(crono_ano_ref,1,1)-Planos!$G300)/Planos!$E300,1)*Planos!$E300))/Planos!$E300)+1)))</f>
      </c>
      <c r="G302" s="44">
        <f>IF(OR(Planos!$A300="",NOT(ISNUMBER(Planos!$G300)),N(Planos!$E300)&lt;=0),0,IF(Planos!$G300&gt;EOMONTH(DATE(crono_ano_ref,2,1),0),0,MAX(0,INT((EOMONTH(DATE(crono_ano_ref,2,1),0)-IF(Planos!$G300&gt;=DATE(crono_ano_ref,2,1),Planos!$G300,Planos!$G300+CEILING((DATE(crono_ano_ref,2,1)-Planos!$G300)/Planos!$E300,1)*Planos!$E300))/Planos!$E300)+1)))</f>
      </c>
      <c r="H302" s="44">
        <f>IF(OR(Planos!$A300="",NOT(ISNUMBER(Planos!$G300)),N(Planos!$E300)&lt;=0),0,IF(Planos!$G300&gt;EOMONTH(DATE(crono_ano_ref,3,1),0),0,MAX(0,INT((EOMONTH(DATE(crono_ano_ref,3,1),0)-IF(Planos!$G300&gt;=DATE(crono_ano_ref,3,1),Planos!$G300,Planos!$G300+CEILING((DATE(crono_ano_ref,3,1)-Planos!$G300)/Planos!$E300,1)*Planos!$E300))/Planos!$E300)+1)))</f>
      </c>
      <c r="I302" s="44">
        <f>IF(OR(Planos!$A300="",NOT(ISNUMBER(Planos!$G300)),N(Planos!$E300)&lt;=0),0,IF(Planos!$G300&gt;EOMONTH(DATE(crono_ano_ref,4,1),0),0,MAX(0,INT((EOMONTH(DATE(crono_ano_ref,4,1),0)-IF(Planos!$G300&gt;=DATE(crono_ano_ref,4,1),Planos!$G300,Planos!$G300+CEILING((DATE(crono_ano_ref,4,1)-Planos!$G300)/Planos!$E300,1)*Planos!$E300))/Planos!$E300)+1)))</f>
      </c>
      <c r="J302" s="44">
        <f>IF(OR(Planos!$A300="",NOT(ISNUMBER(Planos!$G300)),N(Planos!$E300)&lt;=0),0,IF(Planos!$G300&gt;EOMONTH(DATE(crono_ano_ref,5,1),0),0,MAX(0,INT((EOMONTH(DATE(crono_ano_ref,5,1),0)-IF(Planos!$G300&gt;=DATE(crono_ano_ref,5,1),Planos!$G300,Planos!$G300+CEILING((DATE(crono_ano_ref,5,1)-Planos!$G300)/Planos!$E300,1)*Planos!$E300))/Planos!$E300)+1)))</f>
      </c>
      <c r="K302" s="44">
        <f>IF(OR(Planos!$A300="",NOT(ISNUMBER(Planos!$G300)),N(Planos!$E300)&lt;=0),0,IF(Planos!$G300&gt;EOMONTH(DATE(crono_ano_ref,6,1),0),0,MAX(0,INT((EOMONTH(DATE(crono_ano_ref,6,1),0)-IF(Planos!$G300&gt;=DATE(crono_ano_ref,6,1),Planos!$G300,Planos!$G300+CEILING((DATE(crono_ano_ref,6,1)-Planos!$G300)/Planos!$E300,1)*Planos!$E300))/Planos!$E300)+1)))</f>
      </c>
      <c r="L302" s="44">
        <f>IF(OR(Planos!$A300="",NOT(ISNUMBER(Planos!$G300)),N(Planos!$E300)&lt;=0),0,IF(Planos!$G300&gt;EOMONTH(DATE(crono_ano_ref,7,1),0),0,MAX(0,INT((EOMONTH(DATE(crono_ano_ref,7,1),0)-IF(Planos!$G300&gt;=DATE(crono_ano_ref,7,1),Planos!$G300,Planos!$G300+CEILING((DATE(crono_ano_ref,7,1)-Planos!$G300)/Planos!$E300,1)*Planos!$E300))/Planos!$E300)+1)))</f>
      </c>
      <c r="M302" s="44">
        <f>IF(OR(Planos!$A300="",NOT(ISNUMBER(Planos!$G300)),N(Planos!$E300)&lt;=0),0,IF(Planos!$G300&gt;EOMONTH(DATE(crono_ano_ref,8,1),0),0,MAX(0,INT((EOMONTH(DATE(crono_ano_ref,8,1),0)-IF(Planos!$G300&gt;=DATE(crono_ano_ref,8,1),Planos!$G300,Planos!$G300+CEILING((DATE(crono_ano_ref,8,1)-Planos!$G300)/Planos!$E300,1)*Planos!$E300))/Planos!$E300)+1)))</f>
      </c>
      <c r="N302" s="44">
        <f>IF(OR(Planos!$A300="",NOT(ISNUMBER(Planos!$G300)),N(Planos!$E300)&lt;=0),0,IF(Planos!$G300&gt;EOMONTH(DATE(crono_ano_ref,9,1),0),0,MAX(0,INT((EOMONTH(DATE(crono_ano_ref,9,1),0)-IF(Planos!$G300&gt;=DATE(crono_ano_ref,9,1),Planos!$G300,Planos!$G300+CEILING((DATE(crono_ano_ref,9,1)-Planos!$G300)/Planos!$E300,1)*Planos!$E300))/Planos!$E300)+1)))</f>
      </c>
      <c r="O302" s="44">
        <f>IF(OR(Planos!$A300="",NOT(ISNUMBER(Planos!$G300)),N(Planos!$E300)&lt;=0),0,IF(Planos!$G300&gt;EOMONTH(DATE(crono_ano_ref,10,1),0),0,MAX(0,INT((EOMONTH(DATE(crono_ano_ref,10,1),0)-IF(Planos!$G300&gt;=DATE(crono_ano_ref,10,1),Planos!$G300,Planos!$G300+CEILING((DATE(crono_ano_ref,10,1)-Planos!$G300)/Planos!$E300,1)*Planos!$E300))/Planos!$E300)+1)))</f>
      </c>
      <c r="P302" s="44">
        <f>IF(OR(Planos!$A300="",NOT(ISNUMBER(Planos!$G300)),N(Planos!$E300)&lt;=0),0,IF(Planos!$G300&gt;EOMONTH(DATE(crono_ano_ref,11,1),0),0,MAX(0,INT((EOMONTH(DATE(crono_ano_ref,11,1),0)-IF(Planos!$G300&gt;=DATE(crono_ano_ref,11,1),Planos!$G300,Planos!$G300+CEILING((DATE(crono_ano_ref,11,1)-Planos!$G300)/Planos!$E300,1)*Planos!$E300))/Planos!$E300)+1)))</f>
      </c>
      <c r="Q302" s="44">
        <f>IF(OR(Planos!$A300="",NOT(ISNUMBER(Planos!$G300)),N(Planos!$E300)&lt;=0),0,IF(Planos!$G300&gt;EOMONTH(DATE(crono_ano_ref,12,1),0),0,MAX(0,INT((EOMONTH(DATE(crono_ano_ref,12,1),0)-IF(Planos!$G300&gt;=DATE(crono_ano_ref,12,1),Planos!$G300,Planos!$G300+CEILING((DATE(crono_ano_ref,12,1)-Planos!$G300)/Planos!$E300,1)*Planos!$E300))/Planos!$E300)+1)))</f>
      </c>
      <c r="R302" s="44">
        <f>SUM(F302:Q302)</f>
      </c>
    </row>
    <row r="303" spans="1:18" x14ac:dyDescent="0.25">
      <c r="A303" s="24">
        <f>IF(Planos!$A301="","",Planos!A301&amp;"")</f>
      </c>
      <c r="B303" s="41">
        <f>IF(Planos!$A301="","",Planos!B301&amp;"")</f>
      </c>
      <c r="C303" s="24">
        <f>IF(Planos!$A301="","",Planos!C301&amp;"")</f>
      </c>
      <c r="D303" s="42">
        <f>IF(Planos!$A301="","",N(Planos!E301))</f>
      </c>
      <c r="E303" s="43">
        <f>IF(Planos!$A301="","",N(Planos!K301))</f>
      </c>
      <c r="F303" s="44">
        <f>IF(OR(Planos!$A301="",NOT(ISNUMBER(Planos!$G301)),N(Planos!$E301)&lt;=0),0,IF(Planos!$G301&gt;EOMONTH(DATE(crono_ano_ref,1,1),0),0,MAX(0,INT((EOMONTH(DATE(crono_ano_ref,1,1),0)-IF(Planos!$G301&gt;=DATE(crono_ano_ref,1,1),Planos!$G301,Planos!$G301+CEILING((DATE(crono_ano_ref,1,1)-Planos!$G301)/Planos!$E301,1)*Planos!$E301))/Planos!$E301)+1)))</f>
      </c>
      <c r="G303" s="44">
        <f>IF(OR(Planos!$A301="",NOT(ISNUMBER(Planos!$G301)),N(Planos!$E301)&lt;=0),0,IF(Planos!$G301&gt;EOMONTH(DATE(crono_ano_ref,2,1),0),0,MAX(0,INT((EOMONTH(DATE(crono_ano_ref,2,1),0)-IF(Planos!$G301&gt;=DATE(crono_ano_ref,2,1),Planos!$G301,Planos!$G301+CEILING((DATE(crono_ano_ref,2,1)-Planos!$G301)/Planos!$E301,1)*Planos!$E301))/Planos!$E301)+1)))</f>
      </c>
      <c r="H303" s="44">
        <f>IF(OR(Planos!$A301="",NOT(ISNUMBER(Planos!$G301)),N(Planos!$E301)&lt;=0),0,IF(Planos!$G301&gt;EOMONTH(DATE(crono_ano_ref,3,1),0),0,MAX(0,INT((EOMONTH(DATE(crono_ano_ref,3,1),0)-IF(Planos!$G301&gt;=DATE(crono_ano_ref,3,1),Planos!$G301,Planos!$G301+CEILING((DATE(crono_ano_ref,3,1)-Planos!$G301)/Planos!$E301,1)*Planos!$E301))/Planos!$E301)+1)))</f>
      </c>
      <c r="I303" s="44">
        <f>IF(OR(Planos!$A301="",NOT(ISNUMBER(Planos!$G301)),N(Planos!$E301)&lt;=0),0,IF(Planos!$G301&gt;EOMONTH(DATE(crono_ano_ref,4,1),0),0,MAX(0,INT((EOMONTH(DATE(crono_ano_ref,4,1),0)-IF(Planos!$G301&gt;=DATE(crono_ano_ref,4,1),Planos!$G301,Planos!$G301+CEILING((DATE(crono_ano_ref,4,1)-Planos!$G301)/Planos!$E301,1)*Planos!$E301))/Planos!$E301)+1)))</f>
      </c>
      <c r="J303" s="44">
        <f>IF(OR(Planos!$A301="",NOT(ISNUMBER(Planos!$G301)),N(Planos!$E301)&lt;=0),0,IF(Planos!$G301&gt;EOMONTH(DATE(crono_ano_ref,5,1),0),0,MAX(0,INT((EOMONTH(DATE(crono_ano_ref,5,1),0)-IF(Planos!$G301&gt;=DATE(crono_ano_ref,5,1),Planos!$G301,Planos!$G301+CEILING((DATE(crono_ano_ref,5,1)-Planos!$G301)/Planos!$E301,1)*Planos!$E301))/Planos!$E301)+1)))</f>
      </c>
      <c r="K303" s="44">
        <f>IF(OR(Planos!$A301="",NOT(ISNUMBER(Planos!$G301)),N(Planos!$E301)&lt;=0),0,IF(Planos!$G301&gt;EOMONTH(DATE(crono_ano_ref,6,1),0),0,MAX(0,INT((EOMONTH(DATE(crono_ano_ref,6,1),0)-IF(Planos!$G301&gt;=DATE(crono_ano_ref,6,1),Planos!$G301,Planos!$G301+CEILING((DATE(crono_ano_ref,6,1)-Planos!$G301)/Planos!$E301,1)*Planos!$E301))/Planos!$E301)+1)))</f>
      </c>
      <c r="L303" s="44">
        <f>IF(OR(Planos!$A301="",NOT(ISNUMBER(Planos!$G301)),N(Planos!$E301)&lt;=0),0,IF(Planos!$G301&gt;EOMONTH(DATE(crono_ano_ref,7,1),0),0,MAX(0,INT((EOMONTH(DATE(crono_ano_ref,7,1),0)-IF(Planos!$G301&gt;=DATE(crono_ano_ref,7,1),Planos!$G301,Planos!$G301+CEILING((DATE(crono_ano_ref,7,1)-Planos!$G301)/Planos!$E301,1)*Planos!$E301))/Planos!$E301)+1)))</f>
      </c>
      <c r="M303" s="44">
        <f>IF(OR(Planos!$A301="",NOT(ISNUMBER(Planos!$G301)),N(Planos!$E301)&lt;=0),0,IF(Planos!$G301&gt;EOMONTH(DATE(crono_ano_ref,8,1),0),0,MAX(0,INT((EOMONTH(DATE(crono_ano_ref,8,1),0)-IF(Planos!$G301&gt;=DATE(crono_ano_ref,8,1),Planos!$G301,Planos!$G301+CEILING((DATE(crono_ano_ref,8,1)-Planos!$G301)/Planos!$E301,1)*Planos!$E301))/Planos!$E301)+1)))</f>
      </c>
      <c r="N303" s="44">
        <f>IF(OR(Planos!$A301="",NOT(ISNUMBER(Planos!$G301)),N(Planos!$E301)&lt;=0),0,IF(Planos!$G301&gt;EOMONTH(DATE(crono_ano_ref,9,1),0),0,MAX(0,INT((EOMONTH(DATE(crono_ano_ref,9,1),0)-IF(Planos!$G301&gt;=DATE(crono_ano_ref,9,1),Planos!$G301,Planos!$G301+CEILING((DATE(crono_ano_ref,9,1)-Planos!$G301)/Planos!$E301,1)*Planos!$E301))/Planos!$E301)+1)))</f>
      </c>
      <c r="O303" s="44">
        <f>IF(OR(Planos!$A301="",NOT(ISNUMBER(Planos!$G301)),N(Planos!$E301)&lt;=0),0,IF(Planos!$G301&gt;EOMONTH(DATE(crono_ano_ref,10,1),0),0,MAX(0,INT((EOMONTH(DATE(crono_ano_ref,10,1),0)-IF(Planos!$G301&gt;=DATE(crono_ano_ref,10,1),Planos!$G301,Planos!$G301+CEILING((DATE(crono_ano_ref,10,1)-Planos!$G301)/Planos!$E301,1)*Planos!$E301))/Planos!$E301)+1)))</f>
      </c>
      <c r="P303" s="44">
        <f>IF(OR(Planos!$A301="",NOT(ISNUMBER(Planos!$G301)),N(Planos!$E301)&lt;=0),0,IF(Planos!$G301&gt;EOMONTH(DATE(crono_ano_ref,11,1),0),0,MAX(0,INT((EOMONTH(DATE(crono_ano_ref,11,1),0)-IF(Planos!$G301&gt;=DATE(crono_ano_ref,11,1),Planos!$G301,Planos!$G301+CEILING((DATE(crono_ano_ref,11,1)-Planos!$G301)/Planos!$E301,1)*Planos!$E301))/Planos!$E301)+1)))</f>
      </c>
      <c r="Q303" s="44">
        <f>IF(OR(Planos!$A301="",NOT(ISNUMBER(Planos!$G301)),N(Planos!$E301)&lt;=0),0,IF(Planos!$G301&gt;EOMONTH(DATE(crono_ano_ref,12,1),0),0,MAX(0,INT((EOMONTH(DATE(crono_ano_ref,12,1),0)-IF(Planos!$G301&gt;=DATE(crono_ano_ref,12,1),Planos!$G301,Planos!$G301+CEILING((DATE(crono_ano_ref,12,1)-Planos!$G301)/Planos!$E301,1)*Planos!$E301))/Planos!$E301)+1)))</f>
      </c>
      <c r="R303" s="44">
        <f>SUM(F303:Q303)</f>
      </c>
    </row>
    <row r="304" spans="1:18" x14ac:dyDescent="0.25">
      <c r="A304" s="24">
        <f>IF(Planos!$A302="","",Planos!A302&amp;"")</f>
      </c>
      <c r="B304" s="41">
        <f>IF(Planos!$A302="","",Planos!B302&amp;"")</f>
      </c>
      <c r="C304" s="24">
        <f>IF(Planos!$A302="","",Planos!C302&amp;"")</f>
      </c>
      <c r="D304" s="42">
        <f>IF(Planos!$A302="","",N(Planos!E302))</f>
      </c>
      <c r="E304" s="43">
        <f>IF(Planos!$A302="","",N(Planos!K302))</f>
      </c>
      <c r="F304" s="44">
        <f>IF(OR(Planos!$A302="",NOT(ISNUMBER(Planos!$G302)),N(Planos!$E302)&lt;=0),0,IF(Planos!$G302&gt;EOMONTH(DATE(crono_ano_ref,1,1),0),0,MAX(0,INT((EOMONTH(DATE(crono_ano_ref,1,1),0)-IF(Planos!$G302&gt;=DATE(crono_ano_ref,1,1),Planos!$G302,Planos!$G302+CEILING((DATE(crono_ano_ref,1,1)-Planos!$G302)/Planos!$E302,1)*Planos!$E302))/Planos!$E302)+1)))</f>
      </c>
      <c r="G304" s="44">
        <f>IF(OR(Planos!$A302="",NOT(ISNUMBER(Planos!$G302)),N(Planos!$E302)&lt;=0),0,IF(Planos!$G302&gt;EOMONTH(DATE(crono_ano_ref,2,1),0),0,MAX(0,INT((EOMONTH(DATE(crono_ano_ref,2,1),0)-IF(Planos!$G302&gt;=DATE(crono_ano_ref,2,1),Planos!$G302,Planos!$G302+CEILING((DATE(crono_ano_ref,2,1)-Planos!$G302)/Planos!$E302,1)*Planos!$E302))/Planos!$E302)+1)))</f>
      </c>
      <c r="H304" s="44">
        <f>IF(OR(Planos!$A302="",NOT(ISNUMBER(Planos!$G302)),N(Planos!$E302)&lt;=0),0,IF(Planos!$G302&gt;EOMONTH(DATE(crono_ano_ref,3,1),0),0,MAX(0,INT((EOMONTH(DATE(crono_ano_ref,3,1),0)-IF(Planos!$G302&gt;=DATE(crono_ano_ref,3,1),Planos!$G302,Planos!$G302+CEILING((DATE(crono_ano_ref,3,1)-Planos!$G302)/Planos!$E302,1)*Planos!$E302))/Planos!$E302)+1)))</f>
      </c>
      <c r="I304" s="44">
        <f>IF(OR(Planos!$A302="",NOT(ISNUMBER(Planos!$G302)),N(Planos!$E302)&lt;=0),0,IF(Planos!$G302&gt;EOMONTH(DATE(crono_ano_ref,4,1),0),0,MAX(0,INT((EOMONTH(DATE(crono_ano_ref,4,1),0)-IF(Planos!$G302&gt;=DATE(crono_ano_ref,4,1),Planos!$G302,Planos!$G302+CEILING((DATE(crono_ano_ref,4,1)-Planos!$G302)/Planos!$E302,1)*Planos!$E302))/Planos!$E302)+1)))</f>
      </c>
      <c r="J304" s="44">
        <f>IF(OR(Planos!$A302="",NOT(ISNUMBER(Planos!$G302)),N(Planos!$E302)&lt;=0),0,IF(Planos!$G302&gt;EOMONTH(DATE(crono_ano_ref,5,1),0),0,MAX(0,INT((EOMONTH(DATE(crono_ano_ref,5,1),0)-IF(Planos!$G302&gt;=DATE(crono_ano_ref,5,1),Planos!$G302,Planos!$G302+CEILING((DATE(crono_ano_ref,5,1)-Planos!$G302)/Planos!$E302,1)*Planos!$E302))/Planos!$E302)+1)))</f>
      </c>
      <c r="K304" s="44">
        <f>IF(OR(Planos!$A302="",NOT(ISNUMBER(Planos!$G302)),N(Planos!$E302)&lt;=0),0,IF(Planos!$G302&gt;EOMONTH(DATE(crono_ano_ref,6,1),0),0,MAX(0,INT((EOMONTH(DATE(crono_ano_ref,6,1),0)-IF(Planos!$G302&gt;=DATE(crono_ano_ref,6,1),Planos!$G302,Planos!$G302+CEILING((DATE(crono_ano_ref,6,1)-Planos!$G302)/Planos!$E302,1)*Planos!$E302))/Planos!$E302)+1)))</f>
      </c>
      <c r="L304" s="44">
        <f>IF(OR(Planos!$A302="",NOT(ISNUMBER(Planos!$G302)),N(Planos!$E302)&lt;=0),0,IF(Planos!$G302&gt;EOMONTH(DATE(crono_ano_ref,7,1),0),0,MAX(0,INT((EOMONTH(DATE(crono_ano_ref,7,1),0)-IF(Planos!$G302&gt;=DATE(crono_ano_ref,7,1),Planos!$G302,Planos!$G302+CEILING((DATE(crono_ano_ref,7,1)-Planos!$G302)/Planos!$E302,1)*Planos!$E302))/Planos!$E302)+1)))</f>
      </c>
      <c r="M304" s="44">
        <f>IF(OR(Planos!$A302="",NOT(ISNUMBER(Planos!$G302)),N(Planos!$E302)&lt;=0),0,IF(Planos!$G302&gt;EOMONTH(DATE(crono_ano_ref,8,1),0),0,MAX(0,INT((EOMONTH(DATE(crono_ano_ref,8,1),0)-IF(Planos!$G302&gt;=DATE(crono_ano_ref,8,1),Planos!$G302,Planos!$G302+CEILING((DATE(crono_ano_ref,8,1)-Planos!$G302)/Planos!$E302,1)*Planos!$E302))/Planos!$E302)+1)))</f>
      </c>
      <c r="N304" s="44">
        <f>IF(OR(Planos!$A302="",NOT(ISNUMBER(Planos!$G302)),N(Planos!$E302)&lt;=0),0,IF(Planos!$G302&gt;EOMONTH(DATE(crono_ano_ref,9,1),0),0,MAX(0,INT((EOMONTH(DATE(crono_ano_ref,9,1),0)-IF(Planos!$G302&gt;=DATE(crono_ano_ref,9,1),Planos!$G302,Planos!$G302+CEILING((DATE(crono_ano_ref,9,1)-Planos!$G302)/Planos!$E302,1)*Planos!$E302))/Planos!$E302)+1)))</f>
      </c>
      <c r="O304" s="44">
        <f>IF(OR(Planos!$A302="",NOT(ISNUMBER(Planos!$G302)),N(Planos!$E302)&lt;=0),0,IF(Planos!$G302&gt;EOMONTH(DATE(crono_ano_ref,10,1),0),0,MAX(0,INT((EOMONTH(DATE(crono_ano_ref,10,1),0)-IF(Planos!$G302&gt;=DATE(crono_ano_ref,10,1),Planos!$G302,Planos!$G302+CEILING((DATE(crono_ano_ref,10,1)-Planos!$G302)/Planos!$E302,1)*Planos!$E302))/Planos!$E302)+1)))</f>
      </c>
      <c r="P304" s="44">
        <f>IF(OR(Planos!$A302="",NOT(ISNUMBER(Planos!$G302)),N(Planos!$E302)&lt;=0),0,IF(Planos!$G302&gt;EOMONTH(DATE(crono_ano_ref,11,1),0),0,MAX(0,INT((EOMONTH(DATE(crono_ano_ref,11,1),0)-IF(Planos!$G302&gt;=DATE(crono_ano_ref,11,1),Planos!$G302,Planos!$G302+CEILING((DATE(crono_ano_ref,11,1)-Planos!$G302)/Planos!$E302,1)*Planos!$E302))/Planos!$E302)+1)))</f>
      </c>
      <c r="Q304" s="44">
        <f>IF(OR(Planos!$A302="",NOT(ISNUMBER(Planos!$G302)),N(Planos!$E302)&lt;=0),0,IF(Planos!$G302&gt;EOMONTH(DATE(crono_ano_ref,12,1),0),0,MAX(0,INT((EOMONTH(DATE(crono_ano_ref,12,1),0)-IF(Planos!$G302&gt;=DATE(crono_ano_ref,12,1),Planos!$G302,Planos!$G302+CEILING((DATE(crono_ano_ref,12,1)-Planos!$G302)/Planos!$E302,1)*Planos!$E302))/Planos!$E302)+1)))</f>
      </c>
      <c r="R304" s="44">
        <f>SUM(F304:Q304)</f>
      </c>
    </row>
    <row r="305" spans="1:18" x14ac:dyDescent="0.25">
      <c r="A305" s="24">
        <f>IF(Planos!$A303="","",Planos!A303&amp;"")</f>
      </c>
      <c r="B305" s="41">
        <f>IF(Planos!$A303="","",Planos!B303&amp;"")</f>
      </c>
      <c r="C305" s="24">
        <f>IF(Planos!$A303="","",Planos!C303&amp;"")</f>
      </c>
      <c r="D305" s="42">
        <f>IF(Planos!$A303="","",N(Planos!E303))</f>
      </c>
      <c r="E305" s="43">
        <f>IF(Planos!$A303="","",N(Planos!K303))</f>
      </c>
      <c r="F305" s="44">
        <f>IF(OR(Planos!$A303="",NOT(ISNUMBER(Planos!$G303)),N(Planos!$E303)&lt;=0),0,IF(Planos!$G303&gt;EOMONTH(DATE(crono_ano_ref,1,1),0),0,MAX(0,INT((EOMONTH(DATE(crono_ano_ref,1,1),0)-IF(Planos!$G303&gt;=DATE(crono_ano_ref,1,1),Planos!$G303,Planos!$G303+CEILING((DATE(crono_ano_ref,1,1)-Planos!$G303)/Planos!$E303,1)*Planos!$E303))/Planos!$E303)+1)))</f>
      </c>
      <c r="G305" s="44">
        <f>IF(OR(Planos!$A303="",NOT(ISNUMBER(Planos!$G303)),N(Planos!$E303)&lt;=0),0,IF(Planos!$G303&gt;EOMONTH(DATE(crono_ano_ref,2,1),0),0,MAX(0,INT((EOMONTH(DATE(crono_ano_ref,2,1),0)-IF(Planos!$G303&gt;=DATE(crono_ano_ref,2,1),Planos!$G303,Planos!$G303+CEILING((DATE(crono_ano_ref,2,1)-Planos!$G303)/Planos!$E303,1)*Planos!$E303))/Planos!$E303)+1)))</f>
      </c>
      <c r="H305" s="44">
        <f>IF(OR(Planos!$A303="",NOT(ISNUMBER(Planos!$G303)),N(Planos!$E303)&lt;=0),0,IF(Planos!$G303&gt;EOMONTH(DATE(crono_ano_ref,3,1),0),0,MAX(0,INT((EOMONTH(DATE(crono_ano_ref,3,1),0)-IF(Planos!$G303&gt;=DATE(crono_ano_ref,3,1),Planos!$G303,Planos!$G303+CEILING((DATE(crono_ano_ref,3,1)-Planos!$G303)/Planos!$E303,1)*Planos!$E303))/Planos!$E303)+1)))</f>
      </c>
      <c r="I305" s="44">
        <f>IF(OR(Planos!$A303="",NOT(ISNUMBER(Planos!$G303)),N(Planos!$E303)&lt;=0),0,IF(Planos!$G303&gt;EOMONTH(DATE(crono_ano_ref,4,1),0),0,MAX(0,INT((EOMONTH(DATE(crono_ano_ref,4,1),0)-IF(Planos!$G303&gt;=DATE(crono_ano_ref,4,1),Planos!$G303,Planos!$G303+CEILING((DATE(crono_ano_ref,4,1)-Planos!$G303)/Planos!$E303,1)*Planos!$E303))/Planos!$E303)+1)))</f>
      </c>
      <c r="J305" s="44">
        <f>IF(OR(Planos!$A303="",NOT(ISNUMBER(Planos!$G303)),N(Planos!$E303)&lt;=0),0,IF(Planos!$G303&gt;EOMONTH(DATE(crono_ano_ref,5,1),0),0,MAX(0,INT((EOMONTH(DATE(crono_ano_ref,5,1),0)-IF(Planos!$G303&gt;=DATE(crono_ano_ref,5,1),Planos!$G303,Planos!$G303+CEILING((DATE(crono_ano_ref,5,1)-Planos!$G303)/Planos!$E303,1)*Planos!$E303))/Planos!$E303)+1)))</f>
      </c>
      <c r="K305" s="44">
        <f>IF(OR(Planos!$A303="",NOT(ISNUMBER(Planos!$G303)),N(Planos!$E303)&lt;=0),0,IF(Planos!$G303&gt;EOMONTH(DATE(crono_ano_ref,6,1),0),0,MAX(0,INT((EOMONTH(DATE(crono_ano_ref,6,1),0)-IF(Planos!$G303&gt;=DATE(crono_ano_ref,6,1),Planos!$G303,Planos!$G303+CEILING((DATE(crono_ano_ref,6,1)-Planos!$G303)/Planos!$E303,1)*Planos!$E303))/Planos!$E303)+1)))</f>
      </c>
      <c r="L305" s="44">
        <f>IF(OR(Planos!$A303="",NOT(ISNUMBER(Planos!$G303)),N(Planos!$E303)&lt;=0),0,IF(Planos!$G303&gt;EOMONTH(DATE(crono_ano_ref,7,1),0),0,MAX(0,INT((EOMONTH(DATE(crono_ano_ref,7,1),0)-IF(Planos!$G303&gt;=DATE(crono_ano_ref,7,1),Planos!$G303,Planos!$G303+CEILING((DATE(crono_ano_ref,7,1)-Planos!$G303)/Planos!$E303,1)*Planos!$E303))/Planos!$E303)+1)))</f>
      </c>
      <c r="M305" s="44">
        <f>IF(OR(Planos!$A303="",NOT(ISNUMBER(Planos!$G303)),N(Planos!$E303)&lt;=0),0,IF(Planos!$G303&gt;EOMONTH(DATE(crono_ano_ref,8,1),0),0,MAX(0,INT((EOMONTH(DATE(crono_ano_ref,8,1),0)-IF(Planos!$G303&gt;=DATE(crono_ano_ref,8,1),Planos!$G303,Planos!$G303+CEILING((DATE(crono_ano_ref,8,1)-Planos!$G303)/Planos!$E303,1)*Planos!$E303))/Planos!$E303)+1)))</f>
      </c>
      <c r="N305" s="44">
        <f>IF(OR(Planos!$A303="",NOT(ISNUMBER(Planos!$G303)),N(Planos!$E303)&lt;=0),0,IF(Planos!$G303&gt;EOMONTH(DATE(crono_ano_ref,9,1),0),0,MAX(0,INT((EOMONTH(DATE(crono_ano_ref,9,1),0)-IF(Planos!$G303&gt;=DATE(crono_ano_ref,9,1),Planos!$G303,Planos!$G303+CEILING((DATE(crono_ano_ref,9,1)-Planos!$G303)/Planos!$E303,1)*Planos!$E303))/Planos!$E303)+1)))</f>
      </c>
      <c r="O305" s="44">
        <f>IF(OR(Planos!$A303="",NOT(ISNUMBER(Planos!$G303)),N(Planos!$E303)&lt;=0),0,IF(Planos!$G303&gt;EOMONTH(DATE(crono_ano_ref,10,1),0),0,MAX(0,INT((EOMONTH(DATE(crono_ano_ref,10,1),0)-IF(Planos!$G303&gt;=DATE(crono_ano_ref,10,1),Planos!$G303,Planos!$G303+CEILING((DATE(crono_ano_ref,10,1)-Planos!$G303)/Planos!$E303,1)*Planos!$E303))/Planos!$E303)+1)))</f>
      </c>
      <c r="P305" s="44">
        <f>IF(OR(Planos!$A303="",NOT(ISNUMBER(Planos!$G303)),N(Planos!$E303)&lt;=0),0,IF(Planos!$G303&gt;EOMONTH(DATE(crono_ano_ref,11,1),0),0,MAX(0,INT((EOMONTH(DATE(crono_ano_ref,11,1),0)-IF(Planos!$G303&gt;=DATE(crono_ano_ref,11,1),Planos!$G303,Planos!$G303+CEILING((DATE(crono_ano_ref,11,1)-Planos!$G303)/Planos!$E303,1)*Planos!$E303))/Planos!$E303)+1)))</f>
      </c>
      <c r="Q305" s="44">
        <f>IF(OR(Planos!$A303="",NOT(ISNUMBER(Planos!$G303)),N(Planos!$E303)&lt;=0),0,IF(Planos!$G303&gt;EOMONTH(DATE(crono_ano_ref,12,1),0),0,MAX(0,INT((EOMONTH(DATE(crono_ano_ref,12,1),0)-IF(Planos!$G303&gt;=DATE(crono_ano_ref,12,1),Planos!$G303,Planos!$G303+CEILING((DATE(crono_ano_ref,12,1)-Planos!$G303)/Planos!$E303,1)*Planos!$E303))/Planos!$E303)+1)))</f>
      </c>
      <c r="R305" s="44">
        <f>SUM(F305:Q305)</f>
      </c>
    </row>
  </sheetData>
  <sheetProtection sheet="1" formatColumns="0" formatRows="0" autoFilter="0"/>
  <mergeCells count="4">
    <mergeCell ref="A1:B2"/>
    <mergeCell ref="C1:Q2"/>
    <mergeCell ref="A4:E4"/>
    <mergeCell ref="A5:E5"/>
  </mergeCells>
  <conditionalFormatting sqref="F6:Q305">
    <cfRule type="expression" dxfId="22" priority="1">
      <formula>F6&gt;0</formula>
    </cfRule>
  </conditionalFormatting>
  <conditionalFormatting sqref="A6:C305">
    <cfRule type="expression" dxfId="23" priority="2">
      <formula>INDEX(pl_situacao,ROW()-5)="Vencido"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0" customWidth="1"/>
    <col min="2" max="2" width="3" customWidth="1"/>
    <col min="3" max="3" width="20" customWidth="1"/>
    <col min="4" max="4" width="3" customWidth="1"/>
    <col min="5" max="5" width="18" customWidth="1"/>
  </cols>
  <sheetData>
    <row r="1" ht="36" customHeight="1" spans="1:5" x14ac:dyDescent="0.25">
      <c r="A1" s="1"/>
      <c r="B1" s="1"/>
      <c r="C1" s="2" t="s">
        <v>104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83</v>
      </c>
      <c r="C3" s="8" t="s">
        <v>105</v>
      </c>
      <c r="E3" s="8" t="s">
        <v>106</v>
      </c>
    </row>
    <row r="4" spans="1:5" x14ac:dyDescent="0.25">
      <c r="A4" s="28"/>
      <c r="C4" s="28" t="s">
        <v>107</v>
      </c>
      <c r="E4" s="28" t="s">
        <v>108</v>
      </c>
    </row>
    <row r="5" spans="1:5" x14ac:dyDescent="0.25">
      <c r="A5" s="28"/>
      <c r="C5" s="28" t="s">
        <v>109</v>
      </c>
      <c r="E5" s="28" t="s">
        <v>110</v>
      </c>
    </row>
    <row r="6" spans="1:5" x14ac:dyDescent="0.25">
      <c r="A6" s="28"/>
      <c r="C6" s="28" t="s">
        <v>111</v>
      </c>
      <c r="E6" s="28" t="s">
        <v>112</v>
      </c>
    </row>
    <row r="7" spans="1:5" x14ac:dyDescent="0.25">
      <c r="A7" s="28"/>
      <c r="C7" s="28" t="s">
        <v>113</v>
      </c>
      <c r="E7" s="28" t="s">
        <v>114</v>
      </c>
    </row>
    <row r="8" spans="1:5" x14ac:dyDescent="0.25">
      <c r="A8" s="28"/>
      <c r="C8" s="28"/>
      <c r="E8" s="28"/>
    </row>
    <row r="9" spans="1:5" x14ac:dyDescent="0.25">
      <c r="A9" s="28"/>
      <c r="C9" s="28"/>
      <c r="E9" s="28"/>
    </row>
    <row r="10" spans="1:5" x14ac:dyDescent="0.25">
      <c r="A10" s="28"/>
      <c r="C10" s="28"/>
      <c r="E10" s="28"/>
    </row>
    <row r="11" spans="1:5" x14ac:dyDescent="0.25">
      <c r="A11" s="28"/>
      <c r="C11" s="28"/>
      <c r="E11" s="28"/>
    </row>
    <row r="12" spans="1:5" x14ac:dyDescent="0.25">
      <c r="A12" s="28"/>
      <c r="C12" s="28"/>
      <c r="E12" s="28"/>
    </row>
    <row r="13" spans="1:5" x14ac:dyDescent="0.25">
      <c r="A13" s="28"/>
      <c r="C13" s="28"/>
      <c r="E13" s="28"/>
    </row>
    <row r="14" spans="1:5" x14ac:dyDescent="0.25">
      <c r="A14" s="28"/>
      <c r="C14" s="28"/>
      <c r="E14" s="28"/>
    </row>
    <row r="15" spans="1:5" x14ac:dyDescent="0.25">
      <c r="A15" s="28"/>
      <c r="C15" s="28"/>
      <c r="E15" s="28"/>
    </row>
    <row r="16" spans="1:5" x14ac:dyDescent="0.25">
      <c r="A16" s="28"/>
      <c r="C16" s="28"/>
      <c r="E16" s="28"/>
    </row>
    <row r="17" spans="1:5" x14ac:dyDescent="0.25">
      <c r="A17" s="28"/>
      <c r="C17" s="28"/>
      <c r="E17" s="28"/>
    </row>
    <row r="18" spans="1:5" x14ac:dyDescent="0.25">
      <c r="A18" s="28"/>
      <c r="C18" s="28"/>
      <c r="E18" s="28"/>
    </row>
    <row r="19" spans="1:5" x14ac:dyDescent="0.25">
      <c r="A19" s="28"/>
      <c r="C19" s="28"/>
      <c r="E19" s="28"/>
    </row>
    <row r="20" spans="1:5" x14ac:dyDescent="0.25">
      <c r="A20" s="28"/>
      <c r="C20" s="28"/>
      <c r="E20" s="28"/>
    </row>
    <row r="21" spans="1:5" x14ac:dyDescent="0.25">
      <c r="A21" s="28"/>
      <c r="C21" s="28"/>
      <c r="E21" s="28"/>
    </row>
    <row r="22" spans="1:5" x14ac:dyDescent="0.25">
      <c r="A22" s="28"/>
      <c r="C22" s="28"/>
      <c r="E22" s="28"/>
    </row>
    <row r="23" spans="1:5" x14ac:dyDescent="0.25">
      <c r="A23" s="28"/>
      <c r="C23" s="28"/>
      <c r="E23" s="28"/>
    </row>
    <row r="24" spans="1:5" x14ac:dyDescent="0.25">
      <c r="A24" s="28"/>
      <c r="C24" s="28"/>
      <c r="E24" s="28"/>
    </row>
    <row r="25" spans="1:5" x14ac:dyDescent="0.25">
      <c r="A25" s="28"/>
      <c r="C25" s="28"/>
      <c r="E25" s="28"/>
    </row>
    <row r="26" spans="1:5" x14ac:dyDescent="0.25">
      <c r="A26" s="28"/>
      <c r="C26" s="28"/>
      <c r="E26" s="28"/>
    </row>
    <row r="27" spans="1:5" x14ac:dyDescent="0.25">
      <c r="A27" s="28"/>
      <c r="C27" s="28"/>
      <c r="E27" s="28"/>
    </row>
    <row r="28" spans="1:5" x14ac:dyDescent="0.25">
      <c r="A28" s="28"/>
      <c r="C28" s="28"/>
      <c r="E28" s="28"/>
    </row>
    <row r="29" spans="1:5" x14ac:dyDescent="0.25">
      <c r="A29" s="28"/>
      <c r="C29" s="28"/>
      <c r="E29" s="28"/>
    </row>
    <row r="30" spans="1:5" x14ac:dyDescent="0.25">
      <c r="A30" s="28"/>
      <c r="C30" s="28"/>
      <c r="E30" s="28"/>
    </row>
    <row r="31" spans="1:5" x14ac:dyDescent="0.25">
      <c r="A31" s="28"/>
      <c r="C31" s="28"/>
      <c r="E31" s="28"/>
    </row>
    <row r="32" spans="1:5" x14ac:dyDescent="0.25">
      <c r="A32" s="28"/>
      <c r="C32" s="28"/>
      <c r="E32" s="28"/>
    </row>
    <row r="33" spans="1:5" x14ac:dyDescent="0.25">
      <c r="A33" s="28"/>
      <c r="C33" s="28"/>
      <c r="E33" s="28"/>
    </row>
  </sheetData>
  <sheetProtection sheet="1" formatColumns="0" formatRows="0" autoFilter="0"/>
  <mergeCells count="2">
    <mergeCell ref="A1:B2"/>
    <mergeCell ref="C1:D2"/>
  </mergeCells>
  <conditionalFormatting sqref="A4:A33">
    <cfRule type="expression" dxfId="24" priority="1">
      <formula>AND(A4&lt;&gt;"",COUNTIF(A$4:A$33,A4)&gt;1)</formula>
    </cfRule>
  </conditionalFormatting>
  <conditionalFormatting sqref="C4:C33">
    <cfRule type="expression" dxfId="25" priority="1">
      <formula>AND(C4&lt;&gt;"",COUNTIF(C$4:C$33,C4)&gt;1)</formula>
    </cfRule>
  </conditionalFormatting>
  <conditionalFormatting sqref="E4:E33">
    <cfRule type="expression" dxfId="26" priority="1">
      <formula>AND(E4&lt;&gt;"",COUNTIF(E$4:E$33,E4)&gt;1)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115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116</v>
      </c>
      <c r="B3" s="8" t="s">
        <v>117</v>
      </c>
      <c r="C3" s="8" t="s">
        <v>118</v>
      </c>
      <c r="D3" s="8" t="s">
        <v>119</v>
      </c>
      <c r="E3" s="8" t="s">
        <v>120</v>
      </c>
    </row>
    <row r="4" ht="26" customHeight="1" spans="1:5" x14ac:dyDescent="0.25">
      <c r="A4" s="45" t="s">
        <v>121</v>
      </c>
      <c r="B4" s="34">
        <v>46321</v>
      </c>
      <c r="C4" s="33" t="s">
        <v>122</v>
      </c>
      <c r="D4" s="28"/>
      <c r="E4" s="28"/>
    </row>
    <row r="5" spans="1:5" x14ac:dyDescent="0.25">
      <c r="A5" s="45"/>
      <c r="B5" s="34"/>
      <c r="C5" s="33"/>
      <c r="D5" s="28"/>
      <c r="E5" s="28"/>
    </row>
    <row r="6" spans="1:5" x14ac:dyDescent="0.25">
      <c r="A6" s="45"/>
      <c r="B6" s="34"/>
      <c r="C6" s="33"/>
      <c r="D6" s="28"/>
      <c r="E6" s="28"/>
    </row>
    <row r="7" spans="1:5" x14ac:dyDescent="0.25">
      <c r="A7" s="45"/>
      <c r="B7" s="34"/>
      <c r="C7" s="33"/>
      <c r="D7" s="28"/>
      <c r="E7" s="28"/>
    </row>
    <row r="8" spans="1:5" x14ac:dyDescent="0.25">
      <c r="A8" s="45"/>
      <c r="B8" s="34"/>
      <c r="C8" s="33"/>
      <c r="D8" s="28"/>
      <c r="E8" s="28"/>
    </row>
    <row r="9" spans="1:5" x14ac:dyDescent="0.25">
      <c r="A9" s="45"/>
      <c r="B9" s="34"/>
      <c r="C9" s="33"/>
      <c r="D9" s="28"/>
      <c r="E9" s="28"/>
    </row>
    <row r="10" spans="1:5" x14ac:dyDescent="0.25">
      <c r="A10" s="45"/>
      <c r="B10" s="34"/>
      <c r="C10" s="33"/>
      <c r="D10" s="28"/>
      <c r="E10" s="28"/>
    </row>
    <row r="11" spans="1:5" x14ac:dyDescent="0.25">
      <c r="A11" s="45"/>
      <c r="B11" s="34"/>
      <c r="C11" s="33"/>
      <c r="D11" s="28"/>
      <c r="E11" s="28"/>
    </row>
    <row r="12" spans="1:5" x14ac:dyDescent="0.25">
      <c r="A12" s="45"/>
      <c r="B12" s="34"/>
      <c r="C12" s="33"/>
      <c r="D12" s="28"/>
      <c r="E12" s="28"/>
    </row>
    <row r="13" spans="1:5" x14ac:dyDescent="0.25">
      <c r="A13" s="45"/>
      <c r="B13" s="34"/>
      <c r="C13" s="33"/>
      <c r="D13" s="28"/>
      <c r="E13" s="28"/>
    </row>
    <row r="14" spans="1:5" x14ac:dyDescent="0.25">
      <c r="A14" s="45"/>
      <c r="B14" s="34"/>
      <c r="C14" s="33"/>
      <c r="D14" s="28"/>
      <c r="E14" s="28"/>
    </row>
    <row r="15" spans="1:5" x14ac:dyDescent="0.25">
      <c r="A15" s="45"/>
      <c r="B15" s="34"/>
      <c r="C15" s="33"/>
      <c r="D15" s="28"/>
      <c r="E15" s="28"/>
    </row>
    <row r="16" spans="1:5" x14ac:dyDescent="0.25">
      <c r="A16" s="45"/>
      <c r="B16" s="34"/>
      <c r="C16" s="33"/>
      <c r="D16" s="28"/>
      <c r="E16" s="28"/>
    </row>
    <row r="17" spans="1:5" x14ac:dyDescent="0.25">
      <c r="A17" s="45"/>
      <c r="B17" s="34"/>
      <c r="C17" s="33"/>
      <c r="D17" s="28"/>
      <c r="E17" s="28"/>
    </row>
    <row r="18" spans="1:5" x14ac:dyDescent="0.25">
      <c r="A18" s="45"/>
      <c r="B18" s="34"/>
      <c r="C18" s="33"/>
      <c r="D18" s="28"/>
      <c r="E18" s="28"/>
    </row>
    <row r="19" spans="1:5" x14ac:dyDescent="0.25">
      <c r="A19" s="45"/>
      <c r="B19" s="34"/>
      <c r="C19" s="33"/>
      <c r="D19" s="28"/>
      <c r="E19" s="28"/>
    </row>
    <row r="20" spans="1:5" x14ac:dyDescent="0.25">
      <c r="A20" s="45"/>
      <c r="B20" s="34"/>
      <c r="C20" s="33"/>
      <c r="D20" s="28"/>
      <c r="E20" s="28"/>
    </row>
    <row r="21" spans="1:5" x14ac:dyDescent="0.25">
      <c r="A21" s="45"/>
      <c r="B21" s="34"/>
      <c r="C21" s="33"/>
      <c r="D21" s="28"/>
      <c r="E21" s="28"/>
    </row>
    <row r="22" spans="1:5" x14ac:dyDescent="0.25">
      <c r="A22" s="45"/>
      <c r="B22" s="34"/>
      <c r="C22" s="33"/>
      <c r="D22" s="28"/>
      <c r="E22" s="28"/>
    </row>
    <row r="23" spans="1:5" x14ac:dyDescent="0.25">
      <c r="A23" s="45"/>
      <c r="B23" s="34"/>
      <c r="C23" s="33"/>
      <c r="D23" s="28"/>
      <c r="E23" s="28"/>
    </row>
    <row r="24" spans="1:5" x14ac:dyDescent="0.25">
      <c r="A24" s="45"/>
      <c r="B24" s="34"/>
      <c r="C24" s="33"/>
      <c r="D24" s="28"/>
      <c r="E24" s="28"/>
    </row>
    <row r="25" spans="1:5" x14ac:dyDescent="0.25">
      <c r="A25" s="45"/>
      <c r="B25" s="34"/>
      <c r="C25" s="33"/>
      <c r="D25" s="28"/>
      <c r="E25" s="28"/>
    </row>
    <row r="26" spans="1:5" x14ac:dyDescent="0.25">
      <c r="A26" s="45"/>
      <c r="B26" s="34"/>
      <c r="C26" s="33"/>
      <c r="D26" s="28"/>
      <c r="E26" s="28"/>
    </row>
    <row r="27" spans="1:5" x14ac:dyDescent="0.25">
      <c r="A27" s="45"/>
      <c r="B27" s="34"/>
      <c r="C27" s="33"/>
      <c r="D27" s="28"/>
      <c r="E27" s="28"/>
    </row>
    <row r="28" spans="1:5" x14ac:dyDescent="0.25">
      <c r="A28" s="45"/>
      <c r="B28" s="34"/>
      <c r="C28" s="33"/>
      <c r="D28" s="28"/>
      <c r="E28" s="28"/>
    </row>
    <row r="29" spans="1:5" x14ac:dyDescent="0.25">
      <c r="A29" s="45"/>
      <c r="B29" s="34"/>
      <c r="C29" s="33"/>
      <c r="D29" s="28"/>
      <c r="E29" s="28"/>
    </row>
    <row r="30" spans="1:5" x14ac:dyDescent="0.25">
      <c r="A30" s="45"/>
      <c r="B30" s="34"/>
      <c r="C30" s="33"/>
      <c r="D30" s="28"/>
      <c r="E30" s="28"/>
    </row>
    <row r="31" spans="1:5" x14ac:dyDescent="0.25">
      <c r="A31" s="45"/>
      <c r="B31" s="34"/>
      <c r="C31" s="33"/>
      <c r="D31" s="28"/>
      <c r="E31" s="28"/>
    </row>
    <row r="32" spans="1:5" x14ac:dyDescent="0.25">
      <c r="A32" s="45"/>
      <c r="B32" s="34"/>
      <c r="C32" s="33"/>
      <c r="D32" s="28"/>
      <c r="E32" s="28"/>
    </row>
    <row r="33" spans="1:5" x14ac:dyDescent="0.25">
      <c r="A33" s="45"/>
      <c r="B33" s="34"/>
      <c r="C33" s="33"/>
      <c r="D33" s="28"/>
      <c r="E33" s="28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20" customHeight="1" spans="1:6" x14ac:dyDescent="0.25">
      <c r="A21" s="9" t="s">
        <v>22</v>
      </c>
      <c r="B21" s="9"/>
      <c r="C21" s="15"/>
      <c r="D21" s="15"/>
      <c r="E21" s="11" t="s">
        <v>23</v>
      </c>
      <c r="F21" s="11"/>
    </row>
    <row r="22" ht="20" customHeight="1" spans="1:6" x14ac:dyDescent="0.25">
      <c r="A22" s="9" t="s">
        <v>24</v>
      </c>
      <c r="B22" s="9"/>
      <c r="C22" s="16">
        <f>IF(ISNUMBER(crono_ano),crono_ano,YEAR(TODAY()))</f>
      </c>
      <c r="D22" s="16"/>
      <c r="E22" s="11" t="s">
        <v>25</v>
      </c>
      <c r="F22" s="11"/>
    </row>
    <row r="23" ht="8" customHeight="1" x14ac:dyDescent="0.25"/>
    <row r="24" ht="20" customHeight="1" spans="1:6" x14ac:dyDescent="0.25">
      <c r="A24" s="5" t="s">
        <v>26</v>
      </c>
      <c r="B24" s="5"/>
      <c r="C24" s="5"/>
      <c r="D24" s="5"/>
      <c r="E24" s="5"/>
      <c r="F24" s="5"/>
    </row>
    <row r="25" ht="22" customHeight="1" spans="1:6" x14ac:dyDescent="0.25">
      <c r="A25" s="8" t="s">
        <v>27</v>
      </c>
      <c r="B25" s="8" t="s">
        <v>28</v>
      </c>
      <c r="C25" s="8" t="s">
        <v>29</v>
      </c>
      <c r="D25" s="8" t="s">
        <v>30</v>
      </c>
      <c r="E25" s="8"/>
      <c r="F25" s="8"/>
    </row>
    <row r="26" ht="20" customHeight="1" spans="1:6" x14ac:dyDescent="0.25">
      <c r="A26" s="9" t="s">
        <v>31</v>
      </c>
      <c r="B26" s="17">
        <f>COUNTA(at_codigo)</f>
      </c>
      <c r="C26" s="17">
        <f>COUNTIF(at_conferencia,"ERRO*")</f>
      </c>
      <c r="D26" s="18">
        <f>IF(COUNTA(Ativos!$A$204:$A$2203)&gt;0,"ATENÇÃO: há dados além da linha 203; estenda fórmulas e nomes","OK")</f>
      </c>
      <c r="E26" s="18"/>
      <c r="F26" s="18"/>
    </row>
    <row r="27" ht="20" customHeight="1" spans="1:6" x14ac:dyDescent="0.25">
      <c r="A27" s="9" t="s">
        <v>32</v>
      </c>
      <c r="B27" s="17">
        <f>COUNTA(pl_plano)</f>
      </c>
      <c r="C27" s="17">
        <f>COUNTIF(pl_conferencia,"ERRO*")</f>
      </c>
      <c r="D27" s="18">
        <f>IF(COUNTA(Planos!$A$304:$A$2303)&gt;0,"ATENÇÃO: há dados além da linha 303; estenda fórmulas e nomes","OK")</f>
      </c>
      <c r="E27" s="18"/>
      <c r="F27" s="18"/>
    </row>
    <row r="28" ht="8" customHeight="1" x14ac:dyDescent="0.25"/>
    <row r="29" ht="20" customHeight="1" spans="1:6" x14ac:dyDescent="0.25">
      <c r="A29" s="5" t="s">
        <v>33</v>
      </c>
      <c r="B29" s="5"/>
      <c r="C29" s="5"/>
      <c r="D29" s="5"/>
      <c r="E29" s="5"/>
      <c r="F29" s="5"/>
    </row>
    <row r="30" ht="20" customHeight="1" spans="1:6" x14ac:dyDescent="0.25">
      <c r="A30" s="19" t="s">
        <v>34</v>
      </c>
      <c r="B30" s="11" t="s">
        <v>35</v>
      </c>
      <c r="C30" s="11"/>
      <c r="D30" s="11"/>
      <c r="E30" s="11"/>
      <c r="F30" s="11"/>
    </row>
    <row r="31" ht="20" customHeight="1" spans="1:6" x14ac:dyDescent="0.25">
      <c r="A31" s="19" t="s">
        <v>31</v>
      </c>
      <c r="B31" s="11" t="s">
        <v>36</v>
      </c>
      <c r="C31" s="11"/>
      <c r="D31" s="11"/>
      <c r="E31" s="11"/>
      <c r="F31" s="11"/>
    </row>
    <row r="32" ht="20" customHeight="1" spans="1:6" x14ac:dyDescent="0.25">
      <c r="A32" s="19" t="s">
        <v>32</v>
      </c>
      <c r="B32" s="11" t="s">
        <v>37</v>
      </c>
      <c r="C32" s="11"/>
      <c r="D32" s="11"/>
      <c r="E32" s="11"/>
      <c r="F32" s="11"/>
    </row>
    <row r="33" ht="20" customHeight="1" spans="1:6" x14ac:dyDescent="0.25">
      <c r="A33" s="19" t="s">
        <v>38</v>
      </c>
      <c r="B33" s="11" t="s">
        <v>39</v>
      </c>
      <c r="C33" s="11"/>
      <c r="D33" s="11"/>
      <c r="E33" s="11"/>
      <c r="F33" s="11"/>
    </row>
    <row r="34" ht="20" customHeight="1" spans="1:6" x14ac:dyDescent="0.25">
      <c r="A34" s="19" t="s">
        <v>40</v>
      </c>
      <c r="B34" s="11" t="s">
        <v>41</v>
      </c>
      <c r="C34" s="11"/>
      <c r="D34" s="11"/>
      <c r="E34" s="11"/>
      <c r="F34" s="11"/>
    </row>
    <row r="35" ht="20" customHeight="1" spans="1:6" x14ac:dyDescent="0.25">
      <c r="A35" s="19" t="s">
        <v>42</v>
      </c>
      <c r="B35" s="11" t="s">
        <v>43</v>
      </c>
      <c r="C35" s="11"/>
      <c r="D35" s="11"/>
      <c r="E35" s="11"/>
      <c r="F35" s="11"/>
    </row>
    <row r="36" ht="8" customHeight="1" x14ac:dyDescent="0.25"/>
    <row r="37" ht="24" customHeight="1" spans="1:6" x14ac:dyDescent="0.25">
      <c r="A37" s="7" t="s">
        <v>44</v>
      </c>
      <c r="B37" s="7"/>
      <c r="C37" s="7"/>
      <c r="D37" s="7"/>
      <c r="E37" s="7"/>
      <c r="F37" s="7"/>
    </row>
  </sheetData>
  <sheetProtection sheet="1" formatColumns="0" formatRows="0" autoFilter="0"/>
  <mergeCells count="47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4:F24"/>
    <mergeCell ref="D25:F25"/>
    <mergeCell ref="D26:F26"/>
    <mergeCell ref="D27:F27"/>
    <mergeCell ref="A29:F29"/>
    <mergeCell ref="B30:F30"/>
    <mergeCell ref="B31:F31"/>
    <mergeCell ref="B32:F32"/>
    <mergeCell ref="B33:F33"/>
    <mergeCell ref="B34:F34"/>
    <mergeCell ref="B35:F35"/>
    <mergeCell ref="A37:F37"/>
  </mergeCells>
  <conditionalFormatting sqref="C26:C27">
    <cfRule type="expression" dxfId="0" priority="1">
      <formula>N(C26)&gt;0</formula>
    </cfRule>
  </conditionalFormatting>
  <conditionalFormatting sqref="D26:D27">
    <cfRule type="expression" dxfId="1" priority="1">
      <formula>OR(LEFT(D26,4)="ERRO",LEFT(D26,7)="ATENÇÃO")</formula>
    </cfRule>
    <cfRule type="expression" dxfId="2" priority="2">
      <formula>OR(LEFT(D26,8)="Pendente",LEFT(D26,9)="Verificar",LEFT(D26,9)="Duplicada",LEFT(D26,7)="Tarefa ",LEFT(D26,13)="Fora do plano",LEFT(D26,8)="Previsão",LEFT(D26,11)="Sem vínculo",LEFT(D26,14)="Não verificado",LEFT(D26,7)="Informe",LEFT(D26,9)="A definir")</formula>
    </cfRule>
    <cfRule type="expression" dxfId="3" priority="3">
      <formula>OR(D26="OK",LEFT(D26,4)="Nada",LEFT(D26,3)="OK:")</formula>
    </cfRule>
  </conditionalFormatting>
  <dataValidations count="2">
    <dataValidation type="date" allowBlank="1" showErrorMessage="1" errorStyle="stop" errorTitle="Data inválida" error="Digite uma data válida no formato dd/mm/aaaa." sqref="C20">
      <formula1>32874</formula1>
      <formula2>73050</formula2>
    </dataValidation>
    <dataValidation type="whole" allowBlank="1" showErrorMessage="1" errorStyle="stop" errorTitle="Valor inválido" error="Ano com 4 dígitos." sqref="C21">
      <formula1>2000</formula1>
      <formula2>2100</formula2>
    </dataValidation>
  </dataValidations>
  <hyperlinks>
    <hyperlink ref="A30" r:id="rId1" location="#'Painel'!A1"/>
    <hyperlink ref="A31" r:id="rId2" location="#'Ativos'!A1"/>
    <hyperlink ref="A32" r:id="rId3" location="#'Planos'!A1"/>
    <hyperlink ref="A33" r:id="rId4" location="#'Cronograma Anual'!A1"/>
    <hyperlink ref="A34" r:id="rId5" location="#'Listas'!A1"/>
    <hyperlink ref="A35" r:id="rId6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Painel</vt:lpstr>
      <vt:lpstr>Ativos</vt:lpstr>
      <vt:lpstr>Planos</vt:lpstr>
      <vt:lpstr>Cronograma Anual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PCMD-K01 · Controle de ativos e preventiva</dc:title>
  <dc:subject>PCM Direto</dc:subject>
  <dc:description/>
  <cp:keywords>PCMD-K01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