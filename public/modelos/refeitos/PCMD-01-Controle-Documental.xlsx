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Mestra" state="visible" r:id="rId4"/>
    <sheet sheetId="2" name="Revisões" state="visible" r:id="rId5"/>
    <sheet sheetId="3" name="Cadastros" state="visible" r:id="rId6"/>
    <sheet sheetId="4" name="Config" state="visible" r:id="rId7"/>
    <sheet sheetId="5" name="Listas" state="visible" r:id="rId8"/>
  </sheets>
  <definedNames>
    <definedName name="lm_codigo">'Lista Mestra'!$A$4:$A$103</definedName>
    <definedName name="cad_org_nome">Cadastros!$B$7</definedName>
    <definedName name="cad_referencial">Cadastros!$B$8</definedName>
    <definedName name="cad_prefixo">Cadastros!$B$9</definedName>
    <definedName name="cad_elaborador_padrao">Cadastros!$B$10</definedName>
    <definedName name="cad_aprovador_padrao">Cadastros!$B$11</definedName>
    <definedName name="cad_meta_disponibilidade">Cadastros!$B$12</definedName>
    <definedName name="cad_pessoa_nome">Cadastros!$A$16:$A$35</definedName>
    <definedName name="cad_req_referencia">Cadastros!$A$39:$A$68</definedName>
    <definedName name="cfg_elaborado">Config!$C$15</definedName>
    <definedName name="cfg_aprovado">Config!$C$16</definedName>
    <definedName name="cfg_revisao">Config!$C$17</definedName>
    <definedName name="cfg_data_revisao">Config!$C$18</definedName>
    <definedName name="pcmd_origem">Config!$C$19</definedName>
    <definedName name="pcmd_emissao">Config!$C$20</definedName>
    <definedName name="lst_tipo_documento">Listas!$A$4:$A$13</definedName>
    <definedName name="lst_situacao_documento">Listas!$C$4:$C$13</definedName>
    <definedName name="lst_sim_nao">Listas!$E$4:$E$13</definedName>
    <definedName name="lst_status_requisito">Listas!$G$4:$G$13</definedName>
    <definedName name="_xlnm.Print_Area" localSheetId="0">'Lista Mestra'!$A1:$K103</definedName>
    <definedName name="_xlnm.Print_Titles" localSheetId="0">'Lista Mestra'!$1:$3</definedName>
    <definedName name="_xlnm.Print_Area" localSheetId="1">'Revisões'!$A1:$E103</definedName>
    <definedName name="_xlnm.Print_Titles" localSheetId="1">'Revisões'!$1:$3</definedName>
    <definedName name="_xlnm.Print_Area" localSheetId="2">'Cadastros'!$A1:$G68</definedName>
    <definedName name="_xlnm.Print_Titles" localSheetId="2">'Cadastros'!$1:$2</definedName>
    <definedName name="_xlnm.Print_Area" localSheetId="3">'Config'!$A1:$F29</definedName>
    <definedName name="_xlnm.Print_Titles" localSheetId="3">'Config'!$1:$3</definedName>
    <definedName name="_xlnm.Print_Area" localSheetId="4">'Listas'!$A1:$G13</definedName>
    <definedName name="_xlnm.Print_Titles" localSheetId="4">'Listas'!$1:$3</definedName>
  </definedNames>
  <calcPr calcId="171027" fullCalcOnLoad="1"/>
</workbook>
</file>

<file path=xl/sharedStrings.xml><?xml version="1.0" encoding="utf-8"?>
<sst xmlns="http://schemas.openxmlformats.org/spreadsheetml/2006/main" count="258" uniqueCount="140">
  <si>
    <r>
      <rPr>
        <b/>
        <color rgb="FF0B2A5B"/>
        <sz val="16"/>
        <rFont val="Arial"/>
      </rPr>
      <t>Lista mestra de documentos</t>
    </r>
    <r>
      <rPr>
        <color rgb="FF4A5668"/>
        <sz val="8.5"/>
        <rFont val="Arial"/>
      </rPr>
      <t xml:space="preserve">
Atualize revisão, data e situação de cada documento a cada mudança.</t>
    </r>
  </si>
  <si>
    <t>Código</t>
  </si>
  <si>
    <t>Título</t>
  </si>
  <si>
    <t>Tipo</t>
  </si>
  <si>
    <t>Revisão</t>
  </si>
  <si>
    <t>Data da revisão</t>
  </si>
  <si>
    <t>Elaborador</t>
  </si>
  <si>
    <t>Aprovador</t>
  </si>
  <si>
    <t>Próxima revisão</t>
  </si>
  <si>
    <t>Situação</t>
  </si>
  <si>
    <t>Conferência</t>
  </si>
  <si>
    <t>Observação</t>
  </si>
  <si>
    <t>PCMD-01</t>
  </si>
  <si>
    <t>Controle documental</t>
  </si>
  <si>
    <t>Planilha (XLSX)</t>
  </si>
  <si>
    <t>00</t>
  </si>
  <si>
    <t>Em elaboração</t>
  </si>
  <si>
    <t>PCMD-02</t>
  </si>
  <si>
    <t>Ativos e criticidade</t>
  </si>
  <si>
    <t>PCMD-03</t>
  </si>
  <si>
    <t>Plano mestre de manutenção</t>
  </si>
  <si>
    <t>PCMD-04</t>
  </si>
  <si>
    <t>Cronograma e acompanhamento mensal</t>
  </si>
  <si>
    <t>PCMD-05</t>
  </si>
  <si>
    <t>Ficha de falha</t>
  </si>
  <si>
    <t>PCMD-06</t>
  </si>
  <si>
    <t>Peças críticas</t>
  </si>
  <si>
    <t>PCMD-07</t>
  </si>
  <si>
    <t>Indicadores mensais</t>
  </si>
  <si>
    <t>PCMD-08</t>
  </si>
  <si>
    <t>Ação corretiva</t>
  </si>
  <si>
    <t>PCMD-W1</t>
  </si>
  <si>
    <t>Manual de gestão de ativos</t>
  </si>
  <si>
    <t>Manual (DOCX)</t>
  </si>
  <si>
    <t>PCMD-W2</t>
  </si>
  <si>
    <t>Manual de estratégia de manutenção</t>
  </si>
  <si>
    <t>PCMD-K01</t>
  </si>
  <si>
    <t>Controle de ativos e preventiva</t>
  </si>
  <si>
    <t>PCMD-K02</t>
  </si>
  <si>
    <t>Sistema de ordens de serviço</t>
  </si>
  <si>
    <t>PCMD-K03</t>
  </si>
  <si>
    <t>Kit de 3 checklists de manutenção</t>
  </si>
  <si>
    <t>PCMD-K04</t>
  </si>
  <si>
    <t>Controle de estoque e almoxarifado</t>
  </si>
  <si>
    <t>PCMD-K05</t>
  </si>
  <si>
    <t>Controle de pedidos de compra</t>
  </si>
  <si>
    <t>PCMD-K06</t>
  </si>
  <si>
    <t>Dashboard de KPIs de manutenção</t>
  </si>
  <si>
    <t>PCMD-K07</t>
  </si>
  <si>
    <t>Plano de ação 5W2H</t>
  </si>
  <si>
    <t>PCMD-K08</t>
  </si>
  <si>
    <t>Kit de documentos para auditoria</t>
  </si>
  <si>
    <t>PCMD-K09</t>
  </si>
  <si>
    <t>CMMS completo</t>
  </si>
  <si>
    <r>
      <rPr>
        <b/>
        <color rgb="FF0B2A5B"/>
        <sz val="16"/>
        <rFont val="Arial"/>
      </rPr>
      <t>Histórico de revisões</t>
    </r>
    <r>
      <rPr>
        <color rgb="FF4A5668"/>
        <sz val="8.5"/>
        <rFont val="Arial"/>
      </rPr>
      <t xml:space="preserve">
Uma linha por revisão de qualquer documento PCMD.</t>
    </r>
  </si>
  <si>
    <t>Documento</t>
  </si>
  <si>
    <t>Data</t>
  </si>
  <si>
    <t>Descrição da mudança</t>
  </si>
  <si>
    <t>Responsável</t>
  </si>
  <si>
    <t>Emissão no padrão PCM Direto (PCMD-Modelo-Padrão): layout, cores, fontes e conferências revisados.</t>
  </si>
  <si>
    <r>
      <rPr>
        <b/>
        <color rgb="FF0B2A5B"/>
        <sz val="16"/>
        <rFont val="Arial"/>
      </rPr>
      <t>Cadastros</t>
    </r>
    <r>
      <rPr>
        <color rgb="FF4A5668"/>
        <sz val="8.5"/>
        <rFont val="Arial"/>
      </rPr>
      <t xml:space="preserve">
Organização, pessoas e referências usadas pelos documentos PCMD.</t>
    </r>
  </si>
  <si>
    <t>1. ORGANIZAÇÃO</t>
  </si>
  <si>
    <t>Campo</t>
  </si>
  <si>
    <t>Valor</t>
  </si>
  <si>
    <t>Automático</t>
  </si>
  <si>
    <t>Orientação</t>
  </si>
  <si>
    <t>Nome da organização</t>
  </si>
  <si>
    <t>Ex.: Indústria Exemplo. Aparece nos manuais PCMD-W1 e PCMD-W2.</t>
  </si>
  <si>
    <t>Referencial</t>
  </si>
  <si>
    <t>GERAL (sem norma)</t>
  </si>
  <si>
    <t>Padrão: GERAL (sem norma). Não cite norma sem fonte oficial, versão e data (bloco 3).</t>
  </si>
  <si>
    <t>Prefixo dos documentos</t>
  </si>
  <si>
    <t>PCMD</t>
  </si>
  <si>
    <t>Padrão: PCMD.</t>
  </si>
  <si>
    <t>Elaborador padrão</t>
  </si>
  <si>
    <t>Nome do bloco 2 (Pessoas e funções).</t>
  </si>
  <si>
    <t>Aprovador padrão</t>
  </si>
  <si>
    <t>Só informe após aprovação efetiva.</t>
  </si>
  <si>
    <t>Meta de disponibilidade (%)</t>
  </si>
  <si>
    <t>Entre 0% e 100%. Usada como referência no PCMD-07.</t>
  </si>
  <si>
    <t>2. PESSOAS E FUNÇÕES</t>
  </si>
  <si>
    <t>Nome</t>
  </si>
  <si>
    <t>Função</t>
  </si>
  <si>
    <t>Especialidade</t>
  </si>
  <si>
    <t>Ativa</t>
  </si>
  <si>
    <t>3. REQUISITOS E REFERÊNCIAS</t>
  </si>
  <si>
    <t>Referência</t>
  </si>
  <si>
    <t>Versão</t>
  </si>
  <si>
    <t>Fonte oficial (HTTPS)</t>
  </si>
  <si>
    <t>Status</t>
  </si>
  <si>
    <r>
      <rPr>
        <b/>
        <color rgb="FF0B2A5B"/>
        <sz val="16"/>
        <rFont val="Arial"/>
      </rPr>
      <t>Controle documental</t>
    </r>
    <r>
      <rPr>
        <color rgb="FF4A5668"/>
        <sz val="8.5"/>
        <rFont val="Arial"/>
      </rPr>
      <t xml:space="preserve">
Como usar, parâmetros do documento e conferências gerais.</t>
    </r>
  </si>
  <si>
    <t>Abas deste arquivo</t>
  </si>
  <si>
    <t>→ Lista Mestra</t>
  </si>
  <si>
    <t>→ Revisões</t>
  </si>
  <si>
    <t>→ Cadastros</t>
  </si>
  <si>
    <t>→ Listas</t>
  </si>
  <si>
    <t>1. COMO USAR</t>
  </si>
  <si>
    <t>1) Em Cadastros, preencha a organização e cadastre as pessoas (nome, função, especialidade e se está ativa).</t>
  </si>
  <si>
    <t>2) Ainda em Cadastros, registre as referências usadas. Elas começam como Não verificado; Verificado exige versão, data e fonte HTTPS.</t>
  </si>
  <si>
    <t>3) Mantenha a Lista Mestra e as Revisões a cada mudança. A revisão do PCMD-01 na Lista Mestra aparece no cabeçalho de todas as abas.</t>
  </si>
  <si>
    <t>Azul-claro: preencher. Cinza: automático (fórmula protegida, não digite). ERRO em vermelho e Pendente em amarelo pedem ação; OK em verde.</t>
  </si>
  <si>
    <t>2. PARÂMETROS DO DOCUMENTO</t>
  </si>
  <si>
    <t>Parâmetro</t>
  </si>
  <si>
    <t>Elaborado por</t>
  </si>
  <si>
    <t>Nome de quem preparou o documento.</t>
  </si>
  <si>
    <t>Aprovado por (só após aprovação)</t>
  </si>
  <si>
    <t>Preencha somente após a aprovação efetiva.</t>
  </si>
  <si>
    <t>Revisão atual (automática)</t>
  </si>
  <si>
    <t>Última linha preenchida em Revisões.</t>
  </si>
  <si>
    <t>Data da revisão (automática)</t>
  </si>
  <si>
    <t>Data da mesma linha da revisão atual.</t>
  </si>
  <si>
    <t>Origem dos dados</t>
  </si>
  <si>
    <t>Ex.: preenchimento manual, exportação do sistema.</t>
  </si>
  <si>
    <t>Data de emissão</t>
  </si>
  <si>
    <t>Data em que este arquivo foi emitido.</t>
  </si>
  <si>
    <t>3. CONFERÊNCIAS</t>
  </si>
  <si>
    <t>Aba / verificação</t>
  </si>
  <si>
    <t>Linhas preenchidas</t>
  </si>
  <si>
    <t>Linhas com ERRO</t>
  </si>
  <si>
    <t>Capacidade / resultado</t>
  </si>
  <si>
    <t>Lista Mestra</t>
  </si>
  <si>
    <t>Pessoas</t>
  </si>
  <si>
    <t>Requisitos</t>
  </si>
  <si>
    <t>Revisões</t>
  </si>
  <si>
    <t>PCMD-01 · Modelo 2.0.0 · PCM Direto · Thiago Oliveira Lima · pcmdireto@gmail.com · Licença MIT · Sem macros, vínculos externos ou envio de dados.</t>
  </si>
  <si>
    <r>
      <rPr>
        <b/>
        <color rgb="FF0B2A5B"/>
        <sz val="16"/>
        <rFont val="Arial"/>
      </rPr>
      <t>Listas</t>
    </r>
    <r>
      <rPr>
        <color rgb="FF4A5668"/>
        <sz val="8.5"/>
        <rFont val="Arial"/>
      </rPr>
      <t xml:space="preserve">
Itens das listas suspensas. Inclua novos itens nas linhas vazias de cada bloco.</t>
    </r>
  </si>
  <si>
    <t>Tipo de documento</t>
  </si>
  <si>
    <t>Situação do documento</t>
  </si>
  <si>
    <t>Sim/Não</t>
  </si>
  <si>
    <t>Status de requisito</t>
  </si>
  <si>
    <t>Sim</t>
  </si>
  <si>
    <t>Não verificado</t>
  </si>
  <si>
    <t>Em revisão</t>
  </si>
  <si>
    <t>Não</t>
  </si>
  <si>
    <t>Verificado</t>
  </si>
  <si>
    <t>Procedimento</t>
  </si>
  <si>
    <t>Aprovado</t>
  </si>
  <si>
    <t>Formulário</t>
  </si>
  <si>
    <t>Obsoleto</t>
  </si>
  <si>
    <t>Outro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</si>
</sst>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%"/>
  </numFmts>
  <fonts count="12" x14ac:knownFonts="1">
    <font>
      <color theme="1"/>
      <family val="2"/>
      <scheme val="minor"/>
      <sz val="11"/>
      <name val="Calibri"/>
    </font>
    <font>
      <b/>
      <color rgb="FF0B2A5B"/>
      <sz val="16"/>
      <name val="Arial"/>
    </font>
    <font>
      <b/>
      <color rgb="FF0B2A5B"/>
      <sz val="10"/>
      <name val="Arial"/>
    </font>
    <font>
      <color rgb="FF4A5668"/>
      <sz val="8"/>
      <name val="Arial"/>
    </font>
    <font>
      <b/>
      <color rgb="FFFFFFFF"/>
      <sz val="9"/>
      <name val="Arial"/>
    </font>
    <font>
      <b/>
      <color rgb="FF0E1726"/>
      <sz val="9"/>
      <name val="Arial"/>
    </font>
    <font>
      <color rgb="FF0E1726"/>
      <sz val="9"/>
      <name val="Arial"/>
    </font>
    <font>
      <color rgb="FF4A5668"/>
      <sz val="9"/>
      <name val="Arial"/>
    </font>
    <font>
      <b/>
      <color rgb="FFFFFFFF"/>
      <sz val="10"/>
      <name val="Arial"/>
    </font>
    <font>
      <b/>
      <color rgb="FF0B2A5B"/>
      <sz val="9"/>
      <name val="Arial"/>
    </font>
    <font>
      <color rgb="FF4A5668"/>
      <sz val="8.5"/>
      <name val="Arial"/>
    </font>
    <font>
      <u/>
      <color rgb="FF0B2A5B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A5B"/>
      </patternFill>
    </fill>
    <fill>
      <patternFill patternType="solid">
        <fgColor rgb="FFF4F6F9"/>
      </patternFill>
    </fill>
    <fill>
      <patternFill patternType="solid">
        <fgColor rgb="FFEEF2F8"/>
      </patternFill>
    </fill>
  </fills>
  <borders count="6">
    <border>
      <left/>
      <right/>
      <top/>
      <bottom/>
      <diagonal/>
    </border>
    <border>
      <left style="thin">
        <color rgb="FF0B2A5B"/>
      </left>
      <right/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/>
      <bottom style="medium">
        <color rgb="FFE2701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bottom" shrinkToFit="1"/>
    </xf>
    <xf numFmtId="0" fontId="3" fillId="0" borderId="3" xfId="0" applyFont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center" wrapText="1"/>
    </xf>
    <xf numFmtId="49" fontId="5" fillId="0" borderId="5" xfId="0" applyNumberFormat="1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left" vertical="center" indent="1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164" fontId="6" fillId="0" borderId="5" xfId="0" applyNumberFormat="1" applyFont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 applyProtection="1">
      <alignment horizontal="left" vertical="center" indent="1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8" fillId="2" borderId="4" xfId="0" applyFont="1" applyFill="1" applyBorder="1" applyAlignment="1">
      <alignment horizontal="left" vertical="center" indent="1"/>
    </xf>
    <xf numFmtId="0" fontId="6" fillId="3" borderId="5" xfId="0" applyFont="1" applyFill="1" applyBorder="1" applyAlignment="1">
      <alignment vertical="center" wrapText="1" indent="1"/>
    </xf>
    <xf numFmtId="49" fontId="9" fillId="4" borderId="5" xfId="0" applyNumberFormat="1" applyFont="1" applyFill="1" applyBorder="1" applyAlignment="1" applyProtection="1">
      <alignment vertical="center" wrapText="1" indent="1"/>
      <protection locked="0"/>
    </xf>
    <xf numFmtId="0" fontId="7" fillId="3" borderId="5" xfId="0" applyFont="1" applyFill="1" applyBorder="1" applyAlignment="1">
      <alignment vertical="center" wrapText="1" indent="1"/>
    </xf>
    <xf numFmtId="0" fontId="10" fillId="0" borderId="5" xfId="0" applyFont="1" applyBorder="1" applyAlignment="1">
      <alignment vertical="center" wrapText="1" indent="1"/>
    </xf>
    <xf numFmtId="165" fontId="9" fillId="4" borderId="5" xfId="0" applyNumberFormat="1" applyFont="1" applyFill="1" applyBorder="1" applyAlignment="1" applyProtection="1">
      <alignment vertical="center" wrapText="1" indent="1"/>
      <protection locked="0"/>
    </xf>
    <xf numFmtId="165" fontId="7" fillId="3" borderId="5" xfId="0" applyNumberFormat="1" applyFont="1" applyFill="1" applyBorder="1" applyAlignment="1">
      <alignment vertical="center" wrapText="1" indent="1"/>
    </xf>
    <xf numFmtId="0" fontId="7" fillId="3" borderId="5" xfId="0" applyFont="1" applyFill="1" applyBorder="1" applyAlignment="1">
      <alignment horizontal="left" vertical="center" indent="1"/>
    </xf>
    <xf numFmtId="0" fontId="9" fillId="3" borderId="5" xfId="0" applyFont="1" applyFill="1" applyBorder="1" applyAlignment="1">
      <alignment vertical="center" wrapText="1" indent="1"/>
    </xf>
    <xf numFmtId="0" fontId="11" fillId="0" borderId="5" xfId="0" applyFont="1" applyBorder="1" applyAlignment="1">
      <alignment vertical="center" wrapText="1" indent="1"/>
    </xf>
    <xf numFmtId="0" fontId="6" fillId="0" borderId="0" xfId="0" applyFont="1" applyAlignment="1">
      <alignment vertical="center" wrapText="1" indent="1"/>
    </xf>
    <xf numFmtId="0" fontId="3" fillId="0" borderId="0" xfId="0" applyFont="1" applyAlignment="1">
      <alignment vertical="center" wrapText="1" indent="1"/>
    </xf>
    <xf numFmtId="49" fontId="9" fillId="4" borderId="5" xfId="0" applyNumberFormat="1" applyFont="1" applyFill="1" applyBorder="1" applyAlignment="1" applyProtection="1">
      <alignment horizontal="left" vertical="center" wrapText="1" indent="1"/>
      <protection locked="0"/>
    </xf>
    <xf numFmtId="49" fontId="7" fillId="3" borderId="5" xfId="0" applyNumberFormat="1" applyFont="1" applyFill="1" applyBorder="1" applyAlignment="1">
      <alignment horizontal="left" vertical="center" wrapText="1" indent="1"/>
    </xf>
    <xf numFmtId="164" fontId="7" fillId="3" borderId="5" xfId="0" applyNumberFormat="1" applyFont="1" applyFill="1" applyBorder="1" applyAlignment="1">
      <alignment horizontal="left" vertical="center" wrapText="1" indent="1"/>
    </xf>
    <xf numFmtId="164" fontId="9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5" xfId="0" applyFont="1" applyFill="1" applyBorder="1" applyAlignment="1">
      <alignment horizontal="center" vertical="center" wrapText="1" indent="1"/>
    </xf>
    <xf numFmtId="0" fontId="6" fillId="0" borderId="5" xfId="0" applyFont="1" applyBorder="1" applyAlignment="1" applyProtection="1">
      <alignment horizontal="left" vertical="center" indent="1"/>
    </xf>
  </cellXfs>
  <cellStyles count="1">
    <cellStyle name="Normal" xfId="0" builtinId="0"/>
  </cellStyles>
  <dxfs count="24">
    <dxf>
      <font>
        <b/>
        <color rgb="FF1E7A4C"/>
      </font>
      <fill>
        <patternFill patternType="solid">
          <bgColor rgb="FFE6F4EC"/>
        </patternFill>
      </fill>
    </dxf>
    <dxf>
      <font>
        <color rgb="FF4A5668"/>
      </font>
      <fill>
        <patternFill patternType="solid">
          <bgColor rgb="FFF4F6F9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color rgb="FF4A5668"/>
      </font>
      <fill>
        <patternFill patternType="solid">
          <bgColor rgb="FFF4F6F9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94791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13592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121395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92093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11098</xdr:colOff>
      <xdr:row>0</xdr:row>
      <xdr:rowOff>165000</xdr:rowOff>
    </xdr:from>
    <xdr:ext cx="1743075" cy="5048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Lista Mestra&apos;!A1" TargetMode="External"/><Relationship Id="rId2" Type="http://schemas.openxmlformats.org/officeDocument/2006/relationships/hyperlink" Target="#&apos;Revis&#245;es&apos;!A1" TargetMode="External"/><Relationship Id="rId3" Type="http://schemas.openxmlformats.org/officeDocument/2006/relationships/hyperlink" Target="#&apos;Cadastros&apos;!A1" TargetMode="External"/><Relationship Id="rId4" Type="http://schemas.openxmlformats.org/officeDocument/2006/relationships/hyperlink" Target="#&apos;Listas&apos;!A1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3"/>
  <sheetViews>
    <sheetView workbookViewId="0" showGridLines="0" zoomScale="100" zoomScaleNormal="100">
      <pane xSplit="2" ySplit="3" topLeftCell="C4" activePane="bottomRight" state="frozen"/>
      <selection pane="bottomRight" activeCell="C4" sqref="C4"/>
    </sheetView>
  </sheetViews>
  <sheetFormatPr defaultRowHeight="15" outlineLevelRow="0" outlineLevelCol="0" x14ac:dyDescent="55"/>
  <cols>
    <col min="1" max="1" width="13" customWidth="1"/>
    <col min="2" max="2" width="34" customWidth="1"/>
    <col min="3" max="3" width="16" customWidth="1"/>
    <col min="5" max="5" width="13" customWidth="1"/>
    <col min="6" max="7" width="20" customWidth="1"/>
    <col min="8" max="8" width="13" customWidth="1"/>
    <col min="9" max="9" width="15" customWidth="1"/>
    <col min="10" max="10" width="38" customWidth="1"/>
    <col min="11" max="11" width="26" customWidth="1"/>
  </cols>
  <sheetData>
    <row r="1" ht="36" customHeight="1" spans="1:1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1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4">
        <f>"Elaborado: "&amp;IF(cfg_elaborado="","A definir",cfg_elaborado)&amp;CHAR(10)&amp;"Aprovado: "&amp;IF(cfg_aprovado="","A definir",cfg_aprovado)</f>
      </c>
    </row>
    <row r="3" ht="30" customHeight="1" spans="1:1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</row>
    <row r="4" spans="1:11" x14ac:dyDescent="0.25">
      <c r="A4" s="6" t="s">
        <v>12</v>
      </c>
      <c r="B4" s="7" t="s">
        <v>13</v>
      </c>
      <c r="C4" s="8" t="s">
        <v>14</v>
      </c>
      <c r="D4" s="9" t="s">
        <v>15</v>
      </c>
      <c r="E4" s="10">
        <v>46321</v>
      </c>
      <c r="F4" s="7"/>
      <c r="G4" s="7"/>
      <c r="H4" s="10"/>
      <c r="I4" s="8" t="s">
        <v>16</v>
      </c>
      <c r="J4" s="11">
        <f t="shared" ref="J4:J103" si="0">IF(A4="","",IF(COUNTIF($A$4:$A$103,A4)&gt;1,"ERRO: código repetido",IF(AND(ISNUMBER(E4),ISNUMBER(H4),H4&lt;E4),"ERRO: próxima revisão anterior à data da revisão",IF(AND(I4="Aprovado",G4=""),"Verificar: Aprovado sem aprovador",IF(AND(G4&lt;&gt;"",I4&lt;&gt;"Aprovado",I4&lt;&gt;"Obsoleto"),"Verificar: aprovador sem situação Aprovado",IF(AND(ISNUMBER(H4),H4&lt;TODAY(),I4&lt;&gt;"Obsoleto"),"Verificar: revisão vencida",IF(OR(D4="",NOT(ISNUMBER(E4))),"Pendente: informe revisão e data","OK")))))))</f>
      </c>
      <c r="K4" s="12"/>
    </row>
    <row r="5" spans="1:11" x14ac:dyDescent="0.25">
      <c r="A5" s="6" t="s">
        <v>17</v>
      </c>
      <c r="B5" s="7" t="s">
        <v>18</v>
      </c>
      <c r="C5" s="8" t="s">
        <v>14</v>
      </c>
      <c r="D5" s="9" t="s">
        <v>15</v>
      </c>
      <c r="E5" s="10">
        <v>46321</v>
      </c>
      <c r="F5" s="7"/>
      <c r="G5" s="7"/>
      <c r="H5" s="10"/>
      <c r="I5" s="8" t="s">
        <v>16</v>
      </c>
      <c r="J5" s="11">
        <f t="shared" si="0"/>
      </c>
      <c r="K5" s="12"/>
    </row>
    <row r="6" spans="1:11" x14ac:dyDescent="0.25">
      <c r="A6" s="6" t="s">
        <v>19</v>
      </c>
      <c r="B6" s="7" t="s">
        <v>20</v>
      </c>
      <c r="C6" s="8" t="s">
        <v>14</v>
      </c>
      <c r="D6" s="9" t="s">
        <v>15</v>
      </c>
      <c r="E6" s="10">
        <v>46321</v>
      </c>
      <c r="F6" s="7"/>
      <c r="G6" s="7"/>
      <c r="H6" s="10"/>
      <c r="I6" s="8" t="s">
        <v>16</v>
      </c>
      <c r="J6" s="11">
        <f t="shared" si="0"/>
      </c>
      <c r="K6" s="12"/>
    </row>
    <row r="7" spans="1:11" x14ac:dyDescent="0.25">
      <c r="A7" s="6" t="s">
        <v>21</v>
      </c>
      <c r="B7" s="7" t="s">
        <v>22</v>
      </c>
      <c r="C7" s="8" t="s">
        <v>14</v>
      </c>
      <c r="D7" s="9" t="s">
        <v>15</v>
      </c>
      <c r="E7" s="10">
        <v>46321</v>
      </c>
      <c r="F7" s="7"/>
      <c r="G7" s="7"/>
      <c r="H7" s="10"/>
      <c r="I7" s="8" t="s">
        <v>16</v>
      </c>
      <c r="J7" s="11">
        <f t="shared" si="0"/>
      </c>
      <c r="K7" s="12"/>
    </row>
    <row r="8" spans="1:11" x14ac:dyDescent="0.25">
      <c r="A8" s="6" t="s">
        <v>23</v>
      </c>
      <c r="B8" s="7" t="s">
        <v>24</v>
      </c>
      <c r="C8" s="8" t="s">
        <v>14</v>
      </c>
      <c r="D8" s="9" t="s">
        <v>15</v>
      </c>
      <c r="E8" s="10">
        <v>46321</v>
      </c>
      <c r="F8" s="7"/>
      <c r="G8" s="7"/>
      <c r="H8" s="10"/>
      <c r="I8" s="8" t="s">
        <v>16</v>
      </c>
      <c r="J8" s="11">
        <f t="shared" si="0"/>
      </c>
      <c r="K8" s="12"/>
    </row>
    <row r="9" spans="1:11" x14ac:dyDescent="0.25">
      <c r="A9" s="6" t="s">
        <v>25</v>
      </c>
      <c r="B9" s="7" t="s">
        <v>26</v>
      </c>
      <c r="C9" s="8" t="s">
        <v>14</v>
      </c>
      <c r="D9" s="9" t="s">
        <v>15</v>
      </c>
      <c r="E9" s="10">
        <v>46321</v>
      </c>
      <c r="F9" s="7"/>
      <c r="G9" s="7"/>
      <c r="H9" s="10"/>
      <c r="I9" s="8" t="s">
        <v>16</v>
      </c>
      <c r="J9" s="11">
        <f t="shared" si="0"/>
      </c>
      <c r="K9" s="12"/>
    </row>
    <row r="10" spans="1:11" x14ac:dyDescent="0.25">
      <c r="A10" s="6" t="s">
        <v>27</v>
      </c>
      <c r="B10" s="7" t="s">
        <v>28</v>
      </c>
      <c r="C10" s="8" t="s">
        <v>14</v>
      </c>
      <c r="D10" s="9" t="s">
        <v>15</v>
      </c>
      <c r="E10" s="10">
        <v>46321</v>
      </c>
      <c r="F10" s="7"/>
      <c r="G10" s="7"/>
      <c r="H10" s="10"/>
      <c r="I10" s="8" t="s">
        <v>16</v>
      </c>
      <c r="J10" s="11">
        <f t="shared" si="0"/>
      </c>
      <c r="K10" s="12"/>
    </row>
    <row r="11" spans="1:11" x14ac:dyDescent="0.25">
      <c r="A11" s="6" t="s">
        <v>29</v>
      </c>
      <c r="B11" s="7" t="s">
        <v>30</v>
      </c>
      <c r="C11" s="8" t="s">
        <v>14</v>
      </c>
      <c r="D11" s="9" t="s">
        <v>15</v>
      </c>
      <c r="E11" s="10">
        <v>46321</v>
      </c>
      <c r="F11" s="7"/>
      <c r="G11" s="7"/>
      <c r="H11" s="10"/>
      <c r="I11" s="8" t="s">
        <v>16</v>
      </c>
      <c r="J11" s="11">
        <f t="shared" si="0"/>
      </c>
      <c r="K11" s="12"/>
    </row>
    <row r="12" spans="1:11" x14ac:dyDescent="0.25">
      <c r="A12" s="6" t="s">
        <v>31</v>
      </c>
      <c r="B12" s="7" t="s">
        <v>32</v>
      </c>
      <c r="C12" s="8" t="s">
        <v>33</v>
      </c>
      <c r="D12" s="9" t="s">
        <v>15</v>
      </c>
      <c r="E12" s="10">
        <v>46321</v>
      </c>
      <c r="F12" s="7"/>
      <c r="G12" s="7"/>
      <c r="H12" s="10"/>
      <c r="I12" s="8" t="s">
        <v>16</v>
      </c>
      <c r="J12" s="11">
        <f t="shared" si="0"/>
      </c>
      <c r="K12" s="12"/>
    </row>
    <row r="13" spans="1:11" x14ac:dyDescent="0.25">
      <c r="A13" s="6" t="s">
        <v>34</v>
      </c>
      <c r="B13" s="7" t="s">
        <v>35</v>
      </c>
      <c r="C13" s="8" t="s">
        <v>33</v>
      </c>
      <c r="D13" s="9" t="s">
        <v>15</v>
      </c>
      <c r="E13" s="10">
        <v>46321</v>
      </c>
      <c r="F13" s="7"/>
      <c r="G13" s="7"/>
      <c r="H13" s="10"/>
      <c r="I13" s="8" t="s">
        <v>16</v>
      </c>
      <c r="J13" s="11">
        <f t="shared" si="0"/>
      </c>
      <c r="K13" s="12"/>
    </row>
    <row r="14" spans="1:11" x14ac:dyDescent="0.25">
      <c r="A14" s="6" t="s">
        <v>36</v>
      </c>
      <c r="B14" s="7" t="s">
        <v>37</v>
      </c>
      <c r="C14" s="8" t="s">
        <v>14</v>
      </c>
      <c r="D14" s="9" t="s">
        <v>15</v>
      </c>
      <c r="E14" s="10">
        <v>46321</v>
      </c>
      <c r="F14" s="7"/>
      <c r="G14" s="7"/>
      <c r="H14" s="10"/>
      <c r="I14" s="8" t="s">
        <v>16</v>
      </c>
      <c r="J14" s="11">
        <f t="shared" si="0"/>
      </c>
      <c r="K14" s="12"/>
    </row>
    <row r="15" spans="1:11" x14ac:dyDescent="0.25">
      <c r="A15" s="6" t="s">
        <v>38</v>
      </c>
      <c r="B15" s="7" t="s">
        <v>39</v>
      </c>
      <c r="C15" s="8" t="s">
        <v>14</v>
      </c>
      <c r="D15" s="9" t="s">
        <v>15</v>
      </c>
      <c r="E15" s="10">
        <v>46321</v>
      </c>
      <c r="F15" s="7"/>
      <c r="G15" s="7"/>
      <c r="H15" s="10"/>
      <c r="I15" s="8" t="s">
        <v>16</v>
      </c>
      <c r="J15" s="11">
        <f t="shared" si="0"/>
      </c>
      <c r="K15" s="12"/>
    </row>
    <row r="16" spans="1:11" x14ac:dyDescent="0.25">
      <c r="A16" s="6" t="s">
        <v>40</v>
      </c>
      <c r="B16" s="7" t="s">
        <v>41</v>
      </c>
      <c r="C16" s="8" t="s">
        <v>14</v>
      </c>
      <c r="D16" s="9" t="s">
        <v>15</v>
      </c>
      <c r="E16" s="10">
        <v>46321</v>
      </c>
      <c r="F16" s="7"/>
      <c r="G16" s="7"/>
      <c r="H16" s="10"/>
      <c r="I16" s="8" t="s">
        <v>16</v>
      </c>
      <c r="J16" s="11">
        <f t="shared" si="0"/>
      </c>
      <c r="K16" s="12"/>
    </row>
    <row r="17" spans="1:11" x14ac:dyDescent="0.25">
      <c r="A17" s="6" t="s">
        <v>42</v>
      </c>
      <c r="B17" s="7" t="s">
        <v>43</v>
      </c>
      <c r="C17" s="8" t="s">
        <v>14</v>
      </c>
      <c r="D17" s="9" t="s">
        <v>15</v>
      </c>
      <c r="E17" s="10">
        <v>46321</v>
      </c>
      <c r="F17" s="7"/>
      <c r="G17" s="7"/>
      <c r="H17" s="10"/>
      <c r="I17" s="8" t="s">
        <v>16</v>
      </c>
      <c r="J17" s="11">
        <f t="shared" si="0"/>
      </c>
      <c r="K17" s="12"/>
    </row>
    <row r="18" spans="1:11" x14ac:dyDescent="0.25">
      <c r="A18" s="6" t="s">
        <v>44</v>
      </c>
      <c r="B18" s="7" t="s">
        <v>45</v>
      </c>
      <c r="C18" s="8" t="s">
        <v>14</v>
      </c>
      <c r="D18" s="9" t="s">
        <v>15</v>
      </c>
      <c r="E18" s="10">
        <v>46321</v>
      </c>
      <c r="F18" s="7"/>
      <c r="G18" s="7"/>
      <c r="H18" s="10"/>
      <c r="I18" s="8" t="s">
        <v>16</v>
      </c>
      <c r="J18" s="11">
        <f t="shared" si="0"/>
      </c>
      <c r="K18" s="12"/>
    </row>
    <row r="19" spans="1:11" x14ac:dyDescent="0.25">
      <c r="A19" s="6" t="s">
        <v>46</v>
      </c>
      <c r="B19" s="7" t="s">
        <v>47</v>
      </c>
      <c r="C19" s="8" t="s">
        <v>14</v>
      </c>
      <c r="D19" s="9" t="s">
        <v>15</v>
      </c>
      <c r="E19" s="10">
        <v>46321</v>
      </c>
      <c r="F19" s="7"/>
      <c r="G19" s="7"/>
      <c r="H19" s="10"/>
      <c r="I19" s="8" t="s">
        <v>16</v>
      </c>
      <c r="J19" s="11">
        <f t="shared" si="0"/>
      </c>
      <c r="K19" s="12"/>
    </row>
    <row r="20" spans="1:11" x14ac:dyDescent="0.25">
      <c r="A20" s="6" t="s">
        <v>48</v>
      </c>
      <c r="B20" s="7" t="s">
        <v>49</v>
      </c>
      <c r="C20" s="8" t="s">
        <v>14</v>
      </c>
      <c r="D20" s="9" t="s">
        <v>15</v>
      </c>
      <c r="E20" s="10">
        <v>46321</v>
      </c>
      <c r="F20" s="7"/>
      <c r="G20" s="7"/>
      <c r="H20" s="10"/>
      <c r="I20" s="8" t="s">
        <v>16</v>
      </c>
      <c r="J20" s="11">
        <f t="shared" si="0"/>
      </c>
      <c r="K20" s="12"/>
    </row>
    <row r="21" spans="1:11" x14ac:dyDescent="0.25">
      <c r="A21" s="6" t="s">
        <v>50</v>
      </c>
      <c r="B21" s="7" t="s">
        <v>51</v>
      </c>
      <c r="C21" s="8" t="s">
        <v>14</v>
      </c>
      <c r="D21" s="9" t="s">
        <v>15</v>
      </c>
      <c r="E21" s="10">
        <v>46321</v>
      </c>
      <c r="F21" s="7"/>
      <c r="G21" s="7"/>
      <c r="H21" s="10"/>
      <c r="I21" s="8" t="s">
        <v>16</v>
      </c>
      <c r="J21" s="11">
        <f t="shared" si="0"/>
      </c>
      <c r="K21" s="12"/>
    </row>
    <row r="22" spans="1:11" x14ac:dyDescent="0.25">
      <c r="A22" s="6" t="s">
        <v>52</v>
      </c>
      <c r="B22" s="7" t="s">
        <v>53</v>
      </c>
      <c r="C22" s="8" t="s">
        <v>14</v>
      </c>
      <c r="D22" s="9" t="s">
        <v>15</v>
      </c>
      <c r="E22" s="10">
        <v>46321</v>
      </c>
      <c r="F22" s="7"/>
      <c r="G22" s="7"/>
      <c r="H22" s="10"/>
      <c r="I22" s="8" t="s">
        <v>16</v>
      </c>
      <c r="J22" s="11">
        <f t="shared" si="0"/>
      </c>
      <c r="K22" s="12"/>
    </row>
    <row r="23" spans="1:11" x14ac:dyDescent="0.25">
      <c r="A23" s="6"/>
      <c r="B23" s="7"/>
      <c r="C23" s="8"/>
      <c r="D23" s="9"/>
      <c r="E23" s="10"/>
      <c r="F23" s="7"/>
      <c r="G23" s="7"/>
      <c r="H23" s="10"/>
      <c r="I23" s="8"/>
      <c r="J23" s="11">
        <f t="shared" si="0"/>
      </c>
      <c r="K23" s="12"/>
    </row>
    <row r="24" spans="1:11" x14ac:dyDescent="0.25">
      <c r="A24" s="6"/>
      <c r="B24" s="7"/>
      <c r="C24" s="8"/>
      <c r="D24" s="9"/>
      <c r="E24" s="10"/>
      <c r="F24" s="7"/>
      <c r="G24" s="7"/>
      <c r="H24" s="10"/>
      <c r="I24" s="8"/>
      <c r="J24" s="11">
        <f t="shared" si="0"/>
      </c>
      <c r="K24" s="12"/>
    </row>
    <row r="25" spans="1:11" x14ac:dyDescent="0.25">
      <c r="A25" s="6"/>
      <c r="B25" s="7"/>
      <c r="C25" s="8"/>
      <c r="D25" s="9"/>
      <c r="E25" s="10"/>
      <c r="F25" s="7"/>
      <c r="G25" s="7"/>
      <c r="H25" s="10"/>
      <c r="I25" s="8"/>
      <c r="J25" s="11">
        <f t="shared" si="0"/>
      </c>
      <c r="K25" s="12"/>
    </row>
    <row r="26" spans="1:11" x14ac:dyDescent="0.25">
      <c r="A26" s="6"/>
      <c r="B26" s="7"/>
      <c r="C26" s="8"/>
      <c r="D26" s="9"/>
      <c r="E26" s="10"/>
      <c r="F26" s="7"/>
      <c r="G26" s="7"/>
      <c r="H26" s="10"/>
      <c r="I26" s="8"/>
      <c r="J26" s="11">
        <f t="shared" si="0"/>
      </c>
      <c r="K26" s="12"/>
    </row>
    <row r="27" spans="1:11" x14ac:dyDescent="0.25">
      <c r="A27" s="6"/>
      <c r="B27" s="7"/>
      <c r="C27" s="8"/>
      <c r="D27" s="9"/>
      <c r="E27" s="10"/>
      <c r="F27" s="7"/>
      <c r="G27" s="7"/>
      <c r="H27" s="10"/>
      <c r="I27" s="8"/>
      <c r="J27" s="11">
        <f t="shared" si="0"/>
      </c>
      <c r="K27" s="12"/>
    </row>
    <row r="28" spans="1:11" x14ac:dyDescent="0.25">
      <c r="A28" s="6"/>
      <c r="B28" s="7"/>
      <c r="C28" s="8"/>
      <c r="D28" s="9"/>
      <c r="E28" s="10"/>
      <c r="F28" s="7"/>
      <c r="G28" s="7"/>
      <c r="H28" s="10"/>
      <c r="I28" s="8"/>
      <c r="J28" s="11">
        <f t="shared" si="0"/>
      </c>
      <c r="K28" s="12"/>
    </row>
    <row r="29" spans="1:11" x14ac:dyDescent="0.25">
      <c r="A29" s="6"/>
      <c r="B29" s="7"/>
      <c r="C29" s="8"/>
      <c r="D29" s="9"/>
      <c r="E29" s="10"/>
      <c r="F29" s="7"/>
      <c r="G29" s="7"/>
      <c r="H29" s="10"/>
      <c r="I29" s="8"/>
      <c r="J29" s="11">
        <f t="shared" si="0"/>
      </c>
      <c r="K29" s="12"/>
    </row>
    <row r="30" spans="1:11" x14ac:dyDescent="0.25">
      <c r="A30" s="6"/>
      <c r="B30" s="7"/>
      <c r="C30" s="8"/>
      <c r="D30" s="9"/>
      <c r="E30" s="10"/>
      <c r="F30" s="7"/>
      <c r="G30" s="7"/>
      <c r="H30" s="10"/>
      <c r="I30" s="8"/>
      <c r="J30" s="11">
        <f t="shared" si="0"/>
      </c>
      <c r="K30" s="12"/>
    </row>
    <row r="31" spans="1:11" x14ac:dyDescent="0.25">
      <c r="A31" s="6"/>
      <c r="B31" s="7"/>
      <c r="C31" s="8"/>
      <c r="D31" s="9"/>
      <c r="E31" s="10"/>
      <c r="F31" s="7"/>
      <c r="G31" s="7"/>
      <c r="H31" s="10"/>
      <c r="I31" s="8"/>
      <c r="J31" s="11">
        <f t="shared" si="0"/>
      </c>
      <c r="K31" s="12"/>
    </row>
    <row r="32" spans="1:11" x14ac:dyDescent="0.25">
      <c r="A32" s="6"/>
      <c r="B32" s="7"/>
      <c r="C32" s="8"/>
      <c r="D32" s="9"/>
      <c r="E32" s="10"/>
      <c r="F32" s="7"/>
      <c r="G32" s="7"/>
      <c r="H32" s="10"/>
      <c r="I32" s="8"/>
      <c r="J32" s="11">
        <f t="shared" si="0"/>
      </c>
      <c r="K32" s="12"/>
    </row>
    <row r="33" spans="1:11" x14ac:dyDescent="0.25">
      <c r="A33" s="6"/>
      <c r="B33" s="7"/>
      <c r="C33" s="8"/>
      <c r="D33" s="9"/>
      <c r="E33" s="10"/>
      <c r="F33" s="7"/>
      <c r="G33" s="7"/>
      <c r="H33" s="10"/>
      <c r="I33" s="8"/>
      <c r="J33" s="11">
        <f t="shared" si="0"/>
      </c>
      <c r="K33" s="12"/>
    </row>
    <row r="34" spans="1:11" x14ac:dyDescent="0.25">
      <c r="A34" s="6"/>
      <c r="B34" s="7"/>
      <c r="C34" s="8"/>
      <c r="D34" s="9"/>
      <c r="E34" s="10"/>
      <c r="F34" s="7"/>
      <c r="G34" s="7"/>
      <c r="H34" s="10"/>
      <c r="I34" s="8"/>
      <c r="J34" s="11">
        <f t="shared" si="0"/>
      </c>
      <c r="K34" s="12"/>
    </row>
    <row r="35" spans="1:11" x14ac:dyDescent="0.25">
      <c r="A35" s="6"/>
      <c r="B35" s="7"/>
      <c r="C35" s="8"/>
      <c r="D35" s="9"/>
      <c r="E35" s="10"/>
      <c r="F35" s="7"/>
      <c r="G35" s="7"/>
      <c r="H35" s="10"/>
      <c r="I35" s="8"/>
      <c r="J35" s="11">
        <f t="shared" si="0"/>
      </c>
      <c r="K35" s="12"/>
    </row>
    <row r="36" spans="1:11" x14ac:dyDescent="0.25">
      <c r="A36" s="6"/>
      <c r="B36" s="7"/>
      <c r="C36" s="8"/>
      <c r="D36" s="9"/>
      <c r="E36" s="10"/>
      <c r="F36" s="7"/>
      <c r="G36" s="7"/>
      <c r="H36" s="10"/>
      <c r="I36" s="8"/>
      <c r="J36" s="11">
        <f t="shared" si="0"/>
      </c>
      <c r="K36" s="12"/>
    </row>
    <row r="37" spans="1:11" x14ac:dyDescent="0.25">
      <c r="A37" s="6"/>
      <c r="B37" s="7"/>
      <c r="C37" s="8"/>
      <c r="D37" s="9"/>
      <c r="E37" s="10"/>
      <c r="F37" s="7"/>
      <c r="G37" s="7"/>
      <c r="H37" s="10"/>
      <c r="I37" s="8"/>
      <c r="J37" s="11">
        <f t="shared" si="0"/>
      </c>
      <c r="K37" s="12"/>
    </row>
    <row r="38" spans="1:11" x14ac:dyDescent="0.25">
      <c r="A38" s="6"/>
      <c r="B38" s="7"/>
      <c r="C38" s="8"/>
      <c r="D38" s="9"/>
      <c r="E38" s="10"/>
      <c r="F38" s="7"/>
      <c r="G38" s="7"/>
      <c r="H38" s="10"/>
      <c r="I38" s="8"/>
      <c r="J38" s="11">
        <f t="shared" si="0"/>
      </c>
      <c r="K38" s="12"/>
    </row>
    <row r="39" spans="1:11" x14ac:dyDescent="0.25">
      <c r="A39" s="6"/>
      <c r="B39" s="7"/>
      <c r="C39" s="8"/>
      <c r="D39" s="9"/>
      <c r="E39" s="10"/>
      <c r="F39" s="7"/>
      <c r="G39" s="7"/>
      <c r="H39" s="10"/>
      <c r="I39" s="8"/>
      <c r="J39" s="11">
        <f t="shared" si="0"/>
      </c>
      <c r="K39" s="12"/>
    </row>
    <row r="40" spans="1:11" x14ac:dyDescent="0.25">
      <c r="A40" s="6"/>
      <c r="B40" s="7"/>
      <c r="C40" s="8"/>
      <c r="D40" s="9"/>
      <c r="E40" s="10"/>
      <c r="F40" s="7"/>
      <c r="G40" s="7"/>
      <c r="H40" s="10"/>
      <c r="I40" s="8"/>
      <c r="J40" s="11">
        <f t="shared" si="0"/>
      </c>
      <c r="K40" s="12"/>
    </row>
    <row r="41" spans="1:11" x14ac:dyDescent="0.25">
      <c r="A41" s="6"/>
      <c r="B41" s="7"/>
      <c r="C41" s="8"/>
      <c r="D41" s="9"/>
      <c r="E41" s="10"/>
      <c r="F41" s="7"/>
      <c r="G41" s="7"/>
      <c r="H41" s="10"/>
      <c r="I41" s="8"/>
      <c r="J41" s="11">
        <f t="shared" si="0"/>
      </c>
      <c r="K41" s="12"/>
    </row>
    <row r="42" spans="1:11" x14ac:dyDescent="0.25">
      <c r="A42" s="6"/>
      <c r="B42" s="7"/>
      <c r="C42" s="8"/>
      <c r="D42" s="9"/>
      <c r="E42" s="10"/>
      <c r="F42" s="7"/>
      <c r="G42" s="7"/>
      <c r="H42" s="10"/>
      <c r="I42" s="8"/>
      <c r="J42" s="11">
        <f t="shared" si="0"/>
      </c>
      <c r="K42" s="12"/>
    </row>
    <row r="43" spans="1:11" x14ac:dyDescent="0.25">
      <c r="A43" s="6"/>
      <c r="B43" s="7"/>
      <c r="C43" s="8"/>
      <c r="D43" s="9"/>
      <c r="E43" s="10"/>
      <c r="F43" s="7"/>
      <c r="G43" s="7"/>
      <c r="H43" s="10"/>
      <c r="I43" s="8"/>
      <c r="J43" s="11">
        <f t="shared" si="0"/>
      </c>
      <c r="K43" s="12"/>
    </row>
    <row r="44" spans="1:11" x14ac:dyDescent="0.25">
      <c r="A44" s="6"/>
      <c r="B44" s="7"/>
      <c r="C44" s="8"/>
      <c r="D44" s="9"/>
      <c r="E44" s="10"/>
      <c r="F44" s="7"/>
      <c r="G44" s="7"/>
      <c r="H44" s="10"/>
      <c r="I44" s="8"/>
      <c r="J44" s="11">
        <f t="shared" si="0"/>
      </c>
      <c r="K44" s="12"/>
    </row>
    <row r="45" spans="1:11" x14ac:dyDescent="0.25">
      <c r="A45" s="6"/>
      <c r="B45" s="7"/>
      <c r="C45" s="8"/>
      <c r="D45" s="9"/>
      <c r="E45" s="10"/>
      <c r="F45" s="7"/>
      <c r="G45" s="7"/>
      <c r="H45" s="10"/>
      <c r="I45" s="8"/>
      <c r="J45" s="11">
        <f t="shared" si="0"/>
      </c>
      <c r="K45" s="12"/>
    </row>
    <row r="46" spans="1:11" x14ac:dyDescent="0.25">
      <c r="A46" s="6"/>
      <c r="B46" s="7"/>
      <c r="C46" s="8"/>
      <c r="D46" s="9"/>
      <c r="E46" s="10"/>
      <c r="F46" s="7"/>
      <c r="G46" s="7"/>
      <c r="H46" s="10"/>
      <c r="I46" s="8"/>
      <c r="J46" s="11">
        <f t="shared" si="0"/>
      </c>
      <c r="K46" s="12"/>
    </row>
    <row r="47" spans="1:11" x14ac:dyDescent="0.25">
      <c r="A47" s="6"/>
      <c r="B47" s="7"/>
      <c r="C47" s="8"/>
      <c r="D47" s="9"/>
      <c r="E47" s="10"/>
      <c r="F47" s="7"/>
      <c r="G47" s="7"/>
      <c r="H47" s="10"/>
      <c r="I47" s="8"/>
      <c r="J47" s="11">
        <f t="shared" si="0"/>
      </c>
      <c r="K47" s="12"/>
    </row>
    <row r="48" spans="1:11" x14ac:dyDescent="0.25">
      <c r="A48" s="6"/>
      <c r="B48" s="7"/>
      <c r="C48" s="8"/>
      <c r="D48" s="9"/>
      <c r="E48" s="10"/>
      <c r="F48" s="7"/>
      <c r="G48" s="7"/>
      <c r="H48" s="10"/>
      <c r="I48" s="8"/>
      <c r="J48" s="11">
        <f t="shared" si="0"/>
      </c>
      <c r="K48" s="12"/>
    </row>
    <row r="49" spans="1:11" x14ac:dyDescent="0.25">
      <c r="A49" s="6"/>
      <c r="B49" s="7"/>
      <c r="C49" s="8"/>
      <c r="D49" s="9"/>
      <c r="E49" s="10"/>
      <c r="F49" s="7"/>
      <c r="G49" s="7"/>
      <c r="H49" s="10"/>
      <c r="I49" s="8"/>
      <c r="J49" s="11">
        <f t="shared" si="0"/>
      </c>
      <c r="K49" s="12"/>
    </row>
    <row r="50" spans="1:11" x14ac:dyDescent="0.25">
      <c r="A50" s="6"/>
      <c r="B50" s="7"/>
      <c r="C50" s="8"/>
      <c r="D50" s="9"/>
      <c r="E50" s="10"/>
      <c r="F50" s="7"/>
      <c r="G50" s="7"/>
      <c r="H50" s="10"/>
      <c r="I50" s="8"/>
      <c r="J50" s="11">
        <f t="shared" si="0"/>
      </c>
      <c r="K50" s="12"/>
    </row>
    <row r="51" spans="1:11" x14ac:dyDescent="0.25">
      <c r="A51" s="6"/>
      <c r="B51" s="7"/>
      <c r="C51" s="8"/>
      <c r="D51" s="9"/>
      <c r="E51" s="10"/>
      <c r="F51" s="7"/>
      <c r="G51" s="7"/>
      <c r="H51" s="10"/>
      <c r="I51" s="8"/>
      <c r="J51" s="11">
        <f t="shared" si="0"/>
      </c>
      <c r="K51" s="12"/>
    </row>
    <row r="52" spans="1:11" x14ac:dyDescent="0.25">
      <c r="A52" s="6"/>
      <c r="B52" s="7"/>
      <c r="C52" s="8"/>
      <c r="D52" s="9"/>
      <c r="E52" s="10"/>
      <c r="F52" s="7"/>
      <c r="G52" s="7"/>
      <c r="H52" s="10"/>
      <c r="I52" s="8"/>
      <c r="J52" s="11">
        <f t="shared" si="0"/>
      </c>
      <c r="K52" s="12"/>
    </row>
    <row r="53" spans="1:11" x14ac:dyDescent="0.25">
      <c r="A53" s="6"/>
      <c r="B53" s="7"/>
      <c r="C53" s="8"/>
      <c r="D53" s="9"/>
      <c r="E53" s="10"/>
      <c r="F53" s="7"/>
      <c r="G53" s="7"/>
      <c r="H53" s="10"/>
      <c r="I53" s="8"/>
      <c r="J53" s="11">
        <f t="shared" si="0"/>
      </c>
      <c r="K53" s="12"/>
    </row>
    <row r="54" spans="1:11" x14ac:dyDescent="0.25">
      <c r="A54" s="6"/>
      <c r="B54" s="7"/>
      <c r="C54" s="8"/>
      <c r="D54" s="9"/>
      <c r="E54" s="10"/>
      <c r="F54" s="7"/>
      <c r="G54" s="7"/>
      <c r="H54" s="10"/>
      <c r="I54" s="8"/>
      <c r="J54" s="11">
        <f t="shared" si="0"/>
      </c>
      <c r="K54" s="12"/>
    </row>
    <row r="55" spans="1:11" x14ac:dyDescent="0.25">
      <c r="A55" s="6"/>
      <c r="B55" s="7"/>
      <c r="C55" s="8"/>
      <c r="D55" s="9"/>
      <c r="E55" s="10"/>
      <c r="F55" s="7"/>
      <c r="G55" s="7"/>
      <c r="H55" s="10"/>
      <c r="I55" s="8"/>
      <c r="J55" s="11">
        <f t="shared" si="0"/>
      </c>
      <c r="K55" s="12"/>
    </row>
    <row r="56" spans="1:11" x14ac:dyDescent="0.25">
      <c r="A56" s="6"/>
      <c r="B56" s="7"/>
      <c r="C56" s="8"/>
      <c r="D56" s="9"/>
      <c r="E56" s="10"/>
      <c r="F56" s="7"/>
      <c r="G56" s="7"/>
      <c r="H56" s="10"/>
      <c r="I56" s="8"/>
      <c r="J56" s="11">
        <f t="shared" si="0"/>
      </c>
      <c r="K56" s="12"/>
    </row>
    <row r="57" spans="1:11" x14ac:dyDescent="0.25">
      <c r="A57" s="6"/>
      <c r="B57" s="7"/>
      <c r="C57" s="8"/>
      <c r="D57" s="9"/>
      <c r="E57" s="10"/>
      <c r="F57" s="7"/>
      <c r="G57" s="7"/>
      <c r="H57" s="10"/>
      <c r="I57" s="8"/>
      <c r="J57" s="11">
        <f t="shared" si="0"/>
      </c>
      <c r="K57" s="12"/>
    </row>
    <row r="58" spans="1:11" x14ac:dyDescent="0.25">
      <c r="A58" s="6"/>
      <c r="B58" s="7"/>
      <c r="C58" s="8"/>
      <c r="D58" s="9"/>
      <c r="E58" s="10"/>
      <c r="F58" s="7"/>
      <c r="G58" s="7"/>
      <c r="H58" s="10"/>
      <c r="I58" s="8"/>
      <c r="J58" s="11">
        <f t="shared" si="0"/>
      </c>
      <c r="K58" s="12"/>
    </row>
    <row r="59" spans="1:11" x14ac:dyDescent="0.25">
      <c r="A59" s="6"/>
      <c r="B59" s="7"/>
      <c r="C59" s="8"/>
      <c r="D59" s="9"/>
      <c r="E59" s="10"/>
      <c r="F59" s="7"/>
      <c r="G59" s="7"/>
      <c r="H59" s="10"/>
      <c r="I59" s="8"/>
      <c r="J59" s="11">
        <f t="shared" si="0"/>
      </c>
      <c r="K59" s="12"/>
    </row>
    <row r="60" spans="1:11" x14ac:dyDescent="0.25">
      <c r="A60" s="6"/>
      <c r="B60" s="7"/>
      <c r="C60" s="8"/>
      <c r="D60" s="9"/>
      <c r="E60" s="10"/>
      <c r="F60" s="7"/>
      <c r="G60" s="7"/>
      <c r="H60" s="10"/>
      <c r="I60" s="8"/>
      <c r="J60" s="11">
        <f t="shared" si="0"/>
      </c>
      <c r="K60" s="12"/>
    </row>
    <row r="61" spans="1:11" x14ac:dyDescent="0.25">
      <c r="A61" s="6"/>
      <c r="B61" s="7"/>
      <c r="C61" s="8"/>
      <c r="D61" s="9"/>
      <c r="E61" s="10"/>
      <c r="F61" s="7"/>
      <c r="G61" s="7"/>
      <c r="H61" s="10"/>
      <c r="I61" s="8"/>
      <c r="J61" s="11">
        <f t="shared" si="0"/>
      </c>
      <c r="K61" s="12"/>
    </row>
    <row r="62" spans="1:11" x14ac:dyDescent="0.25">
      <c r="A62" s="6"/>
      <c r="B62" s="7"/>
      <c r="C62" s="8"/>
      <c r="D62" s="9"/>
      <c r="E62" s="10"/>
      <c r="F62" s="7"/>
      <c r="G62" s="7"/>
      <c r="H62" s="10"/>
      <c r="I62" s="8"/>
      <c r="J62" s="11">
        <f t="shared" si="0"/>
      </c>
      <c r="K62" s="12"/>
    </row>
    <row r="63" spans="1:11" x14ac:dyDescent="0.25">
      <c r="A63" s="6"/>
      <c r="B63" s="7"/>
      <c r="C63" s="8"/>
      <c r="D63" s="9"/>
      <c r="E63" s="10"/>
      <c r="F63" s="7"/>
      <c r="G63" s="7"/>
      <c r="H63" s="10"/>
      <c r="I63" s="8"/>
      <c r="J63" s="11">
        <f t="shared" si="0"/>
      </c>
      <c r="K63" s="12"/>
    </row>
    <row r="64" spans="1:11" x14ac:dyDescent="0.25">
      <c r="A64" s="6"/>
      <c r="B64" s="7"/>
      <c r="C64" s="8"/>
      <c r="D64" s="9"/>
      <c r="E64" s="10"/>
      <c r="F64" s="7"/>
      <c r="G64" s="7"/>
      <c r="H64" s="10"/>
      <c r="I64" s="8"/>
      <c r="J64" s="11">
        <f t="shared" si="0"/>
      </c>
      <c r="K64" s="12"/>
    </row>
    <row r="65" spans="1:11" x14ac:dyDescent="0.25">
      <c r="A65" s="6"/>
      <c r="B65" s="7"/>
      <c r="C65" s="8"/>
      <c r="D65" s="9"/>
      <c r="E65" s="10"/>
      <c r="F65" s="7"/>
      <c r="G65" s="7"/>
      <c r="H65" s="10"/>
      <c r="I65" s="8"/>
      <c r="J65" s="11">
        <f t="shared" si="0"/>
      </c>
      <c r="K65" s="12"/>
    </row>
    <row r="66" spans="1:11" x14ac:dyDescent="0.25">
      <c r="A66" s="6"/>
      <c r="B66" s="7"/>
      <c r="C66" s="8"/>
      <c r="D66" s="9"/>
      <c r="E66" s="10"/>
      <c r="F66" s="7"/>
      <c r="G66" s="7"/>
      <c r="H66" s="10"/>
      <c r="I66" s="8"/>
      <c r="J66" s="11">
        <f t="shared" si="0"/>
      </c>
      <c r="K66" s="12"/>
    </row>
    <row r="67" spans="1:11" x14ac:dyDescent="0.25">
      <c r="A67" s="6"/>
      <c r="B67" s="7"/>
      <c r="C67" s="8"/>
      <c r="D67" s="9"/>
      <c r="E67" s="10"/>
      <c r="F67" s="7"/>
      <c r="G67" s="7"/>
      <c r="H67" s="10"/>
      <c r="I67" s="8"/>
      <c r="J67" s="11">
        <f t="shared" si="0"/>
      </c>
      <c r="K67" s="12"/>
    </row>
    <row r="68" spans="1:11" x14ac:dyDescent="0.25">
      <c r="A68" s="6"/>
      <c r="B68" s="7"/>
      <c r="C68" s="8"/>
      <c r="D68" s="9"/>
      <c r="E68" s="10"/>
      <c r="F68" s="7"/>
      <c r="G68" s="7"/>
      <c r="H68" s="10"/>
      <c r="I68" s="8"/>
      <c r="J68" s="11">
        <f t="shared" si="0"/>
      </c>
      <c r="K68" s="12"/>
    </row>
    <row r="69" spans="1:11" x14ac:dyDescent="0.25">
      <c r="A69" s="6"/>
      <c r="B69" s="7"/>
      <c r="C69" s="8"/>
      <c r="D69" s="9"/>
      <c r="E69" s="10"/>
      <c r="F69" s="7"/>
      <c r="G69" s="7"/>
      <c r="H69" s="10"/>
      <c r="I69" s="8"/>
      <c r="J69" s="11">
        <f t="shared" si="0"/>
      </c>
      <c r="K69" s="12"/>
    </row>
    <row r="70" spans="1:11" x14ac:dyDescent="0.25">
      <c r="A70" s="6"/>
      <c r="B70" s="7"/>
      <c r="C70" s="8"/>
      <c r="D70" s="9"/>
      <c r="E70" s="10"/>
      <c r="F70" s="7"/>
      <c r="G70" s="7"/>
      <c r="H70" s="10"/>
      <c r="I70" s="8"/>
      <c r="J70" s="11">
        <f t="shared" si="0"/>
      </c>
      <c r="K70" s="12"/>
    </row>
    <row r="71" spans="1:11" x14ac:dyDescent="0.25">
      <c r="A71" s="6"/>
      <c r="B71" s="7"/>
      <c r="C71" s="8"/>
      <c r="D71" s="9"/>
      <c r="E71" s="10"/>
      <c r="F71" s="7"/>
      <c r="G71" s="7"/>
      <c r="H71" s="10"/>
      <c r="I71" s="8"/>
      <c r="J71" s="11">
        <f t="shared" si="0"/>
      </c>
      <c r="K71" s="12"/>
    </row>
    <row r="72" spans="1:11" x14ac:dyDescent="0.25">
      <c r="A72" s="6"/>
      <c r="B72" s="7"/>
      <c r="C72" s="8"/>
      <c r="D72" s="9"/>
      <c r="E72" s="10"/>
      <c r="F72" s="7"/>
      <c r="G72" s="7"/>
      <c r="H72" s="10"/>
      <c r="I72" s="8"/>
      <c r="J72" s="11">
        <f t="shared" si="0"/>
      </c>
      <c r="K72" s="12"/>
    </row>
    <row r="73" spans="1:11" x14ac:dyDescent="0.25">
      <c r="A73" s="6"/>
      <c r="B73" s="7"/>
      <c r="C73" s="8"/>
      <c r="D73" s="9"/>
      <c r="E73" s="10"/>
      <c r="F73" s="7"/>
      <c r="G73" s="7"/>
      <c r="H73" s="10"/>
      <c r="I73" s="8"/>
      <c r="J73" s="11">
        <f t="shared" si="0"/>
      </c>
      <c r="K73" s="12"/>
    </row>
    <row r="74" spans="1:11" x14ac:dyDescent="0.25">
      <c r="A74" s="6"/>
      <c r="B74" s="7"/>
      <c r="C74" s="8"/>
      <c r="D74" s="9"/>
      <c r="E74" s="10"/>
      <c r="F74" s="7"/>
      <c r="G74" s="7"/>
      <c r="H74" s="10"/>
      <c r="I74" s="8"/>
      <c r="J74" s="11">
        <f t="shared" si="0"/>
      </c>
      <c r="K74" s="12"/>
    </row>
    <row r="75" spans="1:11" x14ac:dyDescent="0.25">
      <c r="A75" s="6"/>
      <c r="B75" s="7"/>
      <c r="C75" s="8"/>
      <c r="D75" s="9"/>
      <c r="E75" s="10"/>
      <c r="F75" s="7"/>
      <c r="G75" s="7"/>
      <c r="H75" s="10"/>
      <c r="I75" s="8"/>
      <c r="J75" s="11">
        <f t="shared" si="0"/>
      </c>
      <c r="K75" s="12"/>
    </row>
    <row r="76" spans="1:11" x14ac:dyDescent="0.25">
      <c r="A76" s="6"/>
      <c r="B76" s="7"/>
      <c r="C76" s="8"/>
      <c r="D76" s="9"/>
      <c r="E76" s="10"/>
      <c r="F76" s="7"/>
      <c r="G76" s="7"/>
      <c r="H76" s="10"/>
      <c r="I76" s="8"/>
      <c r="J76" s="11">
        <f t="shared" si="0"/>
      </c>
      <c r="K76" s="12"/>
    </row>
    <row r="77" spans="1:11" x14ac:dyDescent="0.25">
      <c r="A77" s="6"/>
      <c r="B77" s="7"/>
      <c r="C77" s="8"/>
      <c r="D77" s="9"/>
      <c r="E77" s="10"/>
      <c r="F77" s="7"/>
      <c r="G77" s="7"/>
      <c r="H77" s="10"/>
      <c r="I77" s="8"/>
      <c r="J77" s="11">
        <f t="shared" si="0"/>
      </c>
      <c r="K77" s="12"/>
    </row>
    <row r="78" spans="1:11" x14ac:dyDescent="0.25">
      <c r="A78" s="6"/>
      <c r="B78" s="7"/>
      <c r="C78" s="8"/>
      <c r="D78" s="9"/>
      <c r="E78" s="10"/>
      <c r="F78" s="7"/>
      <c r="G78" s="7"/>
      <c r="H78" s="10"/>
      <c r="I78" s="8"/>
      <c r="J78" s="11">
        <f t="shared" si="0"/>
      </c>
      <c r="K78" s="12"/>
    </row>
    <row r="79" spans="1:11" x14ac:dyDescent="0.25">
      <c r="A79" s="6"/>
      <c r="B79" s="7"/>
      <c r="C79" s="8"/>
      <c r="D79" s="9"/>
      <c r="E79" s="10"/>
      <c r="F79" s="7"/>
      <c r="G79" s="7"/>
      <c r="H79" s="10"/>
      <c r="I79" s="8"/>
      <c r="J79" s="11">
        <f t="shared" si="0"/>
      </c>
      <c r="K79" s="12"/>
    </row>
    <row r="80" spans="1:11" x14ac:dyDescent="0.25">
      <c r="A80" s="6"/>
      <c r="B80" s="7"/>
      <c r="C80" s="8"/>
      <c r="D80" s="9"/>
      <c r="E80" s="10"/>
      <c r="F80" s="7"/>
      <c r="G80" s="7"/>
      <c r="H80" s="10"/>
      <c r="I80" s="8"/>
      <c r="J80" s="11">
        <f t="shared" si="0"/>
      </c>
      <c r="K80" s="12"/>
    </row>
    <row r="81" spans="1:11" x14ac:dyDescent="0.25">
      <c r="A81" s="6"/>
      <c r="B81" s="7"/>
      <c r="C81" s="8"/>
      <c r="D81" s="9"/>
      <c r="E81" s="10"/>
      <c r="F81" s="7"/>
      <c r="G81" s="7"/>
      <c r="H81" s="10"/>
      <c r="I81" s="8"/>
      <c r="J81" s="11">
        <f t="shared" si="0"/>
      </c>
      <c r="K81" s="12"/>
    </row>
    <row r="82" spans="1:11" x14ac:dyDescent="0.25">
      <c r="A82" s="6"/>
      <c r="B82" s="7"/>
      <c r="C82" s="8"/>
      <c r="D82" s="9"/>
      <c r="E82" s="10"/>
      <c r="F82" s="7"/>
      <c r="G82" s="7"/>
      <c r="H82" s="10"/>
      <c r="I82" s="8"/>
      <c r="J82" s="11">
        <f t="shared" si="0"/>
      </c>
      <c r="K82" s="12"/>
    </row>
    <row r="83" spans="1:11" x14ac:dyDescent="0.25">
      <c r="A83" s="6"/>
      <c r="B83" s="7"/>
      <c r="C83" s="8"/>
      <c r="D83" s="9"/>
      <c r="E83" s="10"/>
      <c r="F83" s="7"/>
      <c r="G83" s="7"/>
      <c r="H83" s="10"/>
      <c r="I83" s="8"/>
      <c r="J83" s="11">
        <f t="shared" si="0"/>
      </c>
      <c r="K83" s="12"/>
    </row>
    <row r="84" spans="1:11" x14ac:dyDescent="0.25">
      <c r="A84" s="6"/>
      <c r="B84" s="7"/>
      <c r="C84" s="8"/>
      <c r="D84" s="9"/>
      <c r="E84" s="10"/>
      <c r="F84" s="7"/>
      <c r="G84" s="7"/>
      <c r="H84" s="10"/>
      <c r="I84" s="8"/>
      <c r="J84" s="11">
        <f t="shared" si="0"/>
      </c>
      <c r="K84" s="12"/>
    </row>
    <row r="85" spans="1:11" x14ac:dyDescent="0.25">
      <c r="A85" s="6"/>
      <c r="B85" s="7"/>
      <c r="C85" s="8"/>
      <c r="D85" s="9"/>
      <c r="E85" s="10"/>
      <c r="F85" s="7"/>
      <c r="G85" s="7"/>
      <c r="H85" s="10"/>
      <c r="I85" s="8"/>
      <c r="J85" s="11">
        <f t="shared" si="0"/>
      </c>
      <c r="K85" s="12"/>
    </row>
    <row r="86" spans="1:11" x14ac:dyDescent="0.25">
      <c r="A86" s="6"/>
      <c r="B86" s="7"/>
      <c r="C86" s="8"/>
      <c r="D86" s="9"/>
      <c r="E86" s="10"/>
      <c r="F86" s="7"/>
      <c r="G86" s="7"/>
      <c r="H86" s="10"/>
      <c r="I86" s="8"/>
      <c r="J86" s="11">
        <f t="shared" si="0"/>
      </c>
      <c r="K86" s="12"/>
    </row>
    <row r="87" spans="1:11" x14ac:dyDescent="0.25">
      <c r="A87" s="6"/>
      <c r="B87" s="7"/>
      <c r="C87" s="8"/>
      <c r="D87" s="9"/>
      <c r="E87" s="10"/>
      <c r="F87" s="7"/>
      <c r="G87" s="7"/>
      <c r="H87" s="10"/>
      <c r="I87" s="8"/>
      <c r="J87" s="11">
        <f t="shared" si="0"/>
      </c>
      <c r="K87" s="12"/>
    </row>
    <row r="88" spans="1:11" x14ac:dyDescent="0.25">
      <c r="A88" s="6"/>
      <c r="B88" s="7"/>
      <c r="C88" s="8"/>
      <c r="D88" s="9"/>
      <c r="E88" s="10"/>
      <c r="F88" s="7"/>
      <c r="G88" s="7"/>
      <c r="H88" s="10"/>
      <c r="I88" s="8"/>
      <c r="J88" s="11">
        <f t="shared" si="0"/>
      </c>
      <c r="K88" s="12"/>
    </row>
    <row r="89" spans="1:11" x14ac:dyDescent="0.25">
      <c r="A89" s="6"/>
      <c r="B89" s="7"/>
      <c r="C89" s="8"/>
      <c r="D89" s="9"/>
      <c r="E89" s="10"/>
      <c r="F89" s="7"/>
      <c r="G89" s="7"/>
      <c r="H89" s="10"/>
      <c r="I89" s="8"/>
      <c r="J89" s="11">
        <f t="shared" si="0"/>
      </c>
      <c r="K89" s="12"/>
    </row>
    <row r="90" spans="1:11" x14ac:dyDescent="0.25">
      <c r="A90" s="6"/>
      <c r="B90" s="7"/>
      <c r="C90" s="8"/>
      <c r="D90" s="9"/>
      <c r="E90" s="10"/>
      <c r="F90" s="7"/>
      <c r="G90" s="7"/>
      <c r="H90" s="10"/>
      <c r="I90" s="8"/>
      <c r="J90" s="11">
        <f t="shared" si="0"/>
      </c>
      <c r="K90" s="12"/>
    </row>
    <row r="91" spans="1:11" x14ac:dyDescent="0.25">
      <c r="A91" s="6"/>
      <c r="B91" s="7"/>
      <c r="C91" s="8"/>
      <c r="D91" s="9"/>
      <c r="E91" s="10"/>
      <c r="F91" s="7"/>
      <c r="G91" s="7"/>
      <c r="H91" s="10"/>
      <c r="I91" s="8"/>
      <c r="J91" s="11">
        <f t="shared" si="0"/>
      </c>
      <c r="K91" s="12"/>
    </row>
    <row r="92" spans="1:11" x14ac:dyDescent="0.25">
      <c r="A92" s="6"/>
      <c r="B92" s="7"/>
      <c r="C92" s="8"/>
      <c r="D92" s="9"/>
      <c r="E92" s="10"/>
      <c r="F92" s="7"/>
      <c r="G92" s="7"/>
      <c r="H92" s="10"/>
      <c r="I92" s="8"/>
      <c r="J92" s="11">
        <f t="shared" si="0"/>
      </c>
      <c r="K92" s="12"/>
    </row>
    <row r="93" spans="1:11" x14ac:dyDescent="0.25">
      <c r="A93" s="6"/>
      <c r="B93" s="7"/>
      <c r="C93" s="8"/>
      <c r="D93" s="9"/>
      <c r="E93" s="10"/>
      <c r="F93" s="7"/>
      <c r="G93" s="7"/>
      <c r="H93" s="10"/>
      <c r="I93" s="8"/>
      <c r="J93" s="11">
        <f t="shared" si="0"/>
      </c>
      <c r="K93" s="12"/>
    </row>
    <row r="94" spans="1:11" x14ac:dyDescent="0.25">
      <c r="A94" s="6"/>
      <c r="B94" s="7"/>
      <c r="C94" s="8"/>
      <c r="D94" s="9"/>
      <c r="E94" s="10"/>
      <c r="F94" s="7"/>
      <c r="G94" s="7"/>
      <c r="H94" s="10"/>
      <c r="I94" s="8"/>
      <c r="J94" s="11">
        <f t="shared" si="0"/>
      </c>
      <c r="K94" s="12"/>
    </row>
    <row r="95" spans="1:11" x14ac:dyDescent="0.25">
      <c r="A95" s="6"/>
      <c r="B95" s="7"/>
      <c r="C95" s="8"/>
      <c r="D95" s="9"/>
      <c r="E95" s="10"/>
      <c r="F95" s="7"/>
      <c r="G95" s="7"/>
      <c r="H95" s="10"/>
      <c r="I95" s="8"/>
      <c r="J95" s="11">
        <f t="shared" si="0"/>
      </c>
      <c r="K95" s="12"/>
    </row>
    <row r="96" spans="1:11" x14ac:dyDescent="0.25">
      <c r="A96" s="6"/>
      <c r="B96" s="7"/>
      <c r="C96" s="8"/>
      <c r="D96" s="9"/>
      <c r="E96" s="10"/>
      <c r="F96" s="7"/>
      <c r="G96" s="7"/>
      <c r="H96" s="10"/>
      <c r="I96" s="8"/>
      <c r="J96" s="11">
        <f t="shared" si="0"/>
      </c>
      <c r="K96" s="12"/>
    </row>
    <row r="97" spans="1:11" x14ac:dyDescent="0.25">
      <c r="A97" s="6"/>
      <c r="B97" s="7"/>
      <c r="C97" s="8"/>
      <c r="D97" s="9"/>
      <c r="E97" s="10"/>
      <c r="F97" s="7"/>
      <c r="G97" s="7"/>
      <c r="H97" s="10"/>
      <c r="I97" s="8"/>
      <c r="J97" s="11">
        <f t="shared" si="0"/>
      </c>
      <c r="K97" s="12"/>
    </row>
    <row r="98" spans="1:11" x14ac:dyDescent="0.25">
      <c r="A98" s="6"/>
      <c r="B98" s="7"/>
      <c r="C98" s="8"/>
      <c r="D98" s="9"/>
      <c r="E98" s="10"/>
      <c r="F98" s="7"/>
      <c r="G98" s="7"/>
      <c r="H98" s="10"/>
      <c r="I98" s="8"/>
      <c r="J98" s="11">
        <f t="shared" si="0"/>
      </c>
      <c r="K98" s="12"/>
    </row>
    <row r="99" spans="1:11" x14ac:dyDescent="0.25">
      <c r="A99" s="6"/>
      <c r="B99" s="7"/>
      <c r="C99" s="8"/>
      <c r="D99" s="9"/>
      <c r="E99" s="10"/>
      <c r="F99" s="7"/>
      <c r="G99" s="7"/>
      <c r="H99" s="10"/>
      <c r="I99" s="8"/>
      <c r="J99" s="11">
        <f t="shared" si="0"/>
      </c>
      <c r="K99" s="12"/>
    </row>
    <row r="100" spans="1:11" x14ac:dyDescent="0.25">
      <c r="A100" s="6"/>
      <c r="B100" s="7"/>
      <c r="C100" s="8"/>
      <c r="D100" s="9"/>
      <c r="E100" s="10"/>
      <c r="F100" s="7"/>
      <c r="G100" s="7"/>
      <c r="H100" s="10"/>
      <c r="I100" s="8"/>
      <c r="J100" s="11">
        <f t="shared" si="0"/>
      </c>
      <c r="K100" s="12"/>
    </row>
    <row r="101" spans="1:11" x14ac:dyDescent="0.25">
      <c r="A101" s="6"/>
      <c r="B101" s="7"/>
      <c r="C101" s="8"/>
      <c r="D101" s="9"/>
      <c r="E101" s="10"/>
      <c r="F101" s="7"/>
      <c r="G101" s="7"/>
      <c r="H101" s="10"/>
      <c r="I101" s="8"/>
      <c r="J101" s="11">
        <f t="shared" si="0"/>
      </c>
      <c r="K101" s="12"/>
    </row>
    <row r="102" spans="1:11" x14ac:dyDescent="0.25">
      <c r="A102" s="6"/>
      <c r="B102" s="7"/>
      <c r="C102" s="8"/>
      <c r="D102" s="9"/>
      <c r="E102" s="10"/>
      <c r="F102" s="7"/>
      <c r="G102" s="7"/>
      <c r="H102" s="10"/>
      <c r="I102" s="8"/>
      <c r="J102" s="11">
        <f t="shared" si="0"/>
      </c>
      <c r="K102" s="12"/>
    </row>
    <row r="103" spans="1:11" x14ac:dyDescent="0.25">
      <c r="A103" s="6"/>
      <c r="B103" s="7"/>
      <c r="C103" s="8"/>
      <c r="D103" s="9"/>
      <c r="E103" s="10"/>
      <c r="F103" s="7"/>
      <c r="G103" s="7"/>
      <c r="H103" s="10"/>
      <c r="I103" s="8"/>
      <c r="J103" s="11">
        <f t="shared" si="0"/>
      </c>
      <c r="K103" s="12"/>
    </row>
  </sheetData>
  <sheetProtection sheet="1" formatColumns="0" formatRows="0" autoFilter="0"/>
  <autoFilter ref="A3:K103"/>
  <mergeCells count="2">
    <mergeCell ref="A1:B2"/>
    <mergeCell ref="C1:J2"/>
  </mergeCells>
  <conditionalFormatting sqref="I4:I103">
    <cfRule type="expression" dxfId="0" priority="10">
      <formula>I4="Aprovado"</formula>
    </cfRule>
    <cfRule type="expression" dxfId="1" priority="11">
      <formula>I4="Obsoleto"</formula>
    </cfRule>
    <cfRule type="expression" dxfId="2" priority="12">
      <formula>I4="Em revisão"</formula>
    </cfRule>
  </conditionalFormatting>
  <conditionalFormatting sqref="J4:J103">
    <cfRule type="expression" dxfId="3" priority="1">
      <formula>OR(LEFT(J4,4)="ERRO",LEFT(J4,7)="ATENÇÃO")</formula>
    </cfRule>
    <cfRule type="expression" dxfId="4" priority="2">
      <formula>OR(LEFT(J4,8)="Pendente",LEFT(J4,9)="Verificar",LEFT(J4,9)="Duplicada",LEFT(J4,7)="Tarefa ",LEFT(J4,13)="Fora do plano",LEFT(J4,8)="Previsão",LEFT(J4,11)="Sem vínculo",LEFT(J4,14)="Não verificado",LEFT(J4,7)="Informe",LEFT(J4,9)="A definir")</formula>
    </cfRule>
    <cfRule type="expression" dxfId="5" priority="3">
      <formula>OR(J4="OK",LEFT(J4,4)="Nada",LEFT(J4,3)="OK:")</formula>
    </cfRule>
  </conditionalFormatting>
  <dataValidations count="4">
    <dataValidation type="list" allowBlank="1" showErrorMessage="1" errorStyle="stop" errorTitle="Valor fora da lista" error="Escolha um item da lista suspensa (aba Listas)." sqref="C4:C103">
      <formula1>OFFSET(lst_tipo_documento,0,0,MAX(1,COUNTA(lst_tipo_documento)),1)</formula1>
    </dataValidation>
    <dataValidation type="date" allowBlank="1" showErrorMessage="1" errorStyle="stop" errorTitle="Data inválida" error="Digite uma data válida no formato dd/mm/aaaa." sqref="E4:E103">
      <formula1>32874</formula1>
      <formula2>73050</formula2>
    </dataValidation>
    <dataValidation type="date" allowBlank="1" showErrorMessage="1" errorStyle="stop" errorTitle="Data inválida" error="Digite uma data válida no formato dd/mm/aaaa." sqref="H4:H103">
      <formula1>32874</formula1>
      <formula2>73050</formula2>
    </dataValidation>
    <dataValidation type="list" allowBlank="1" showErrorMessage="1" errorStyle="stop" errorTitle="Valor fora da lista" error="Escolha um item da lista suspensa (aba Listas)." sqref="I4:I103">
      <formula1>OFFSET(lst_situacao_documento,0,0,MAX(1,COUNTA(lst_situacao_documento)),1)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PCMD-01&amp;R&amp;"Arial,Regular"&amp;7&amp;K4A5668Impresso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4" width="56" customWidth="1"/>
    <col min="5" max="5" width="28" customWidth="1"/>
  </cols>
  <sheetData>
    <row r="1" ht="36" customHeight="1" spans="1:5" x14ac:dyDescent="0.25">
      <c r="A1" s="1"/>
      <c r="B1" s="1"/>
      <c r="C1" s="2" t="s">
        <v>54</v>
      </c>
      <c r="D1" s="2"/>
      <c r="E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5" x14ac:dyDescent="0.25">
      <c r="A2" s="1"/>
      <c r="B2" s="1"/>
      <c r="C2" s="2"/>
      <c r="D2" s="2"/>
      <c r="E2" s="4">
        <f>"Elaborado: "&amp;IF(cfg_elaborado="","A definir",cfg_elaborado)&amp;CHAR(10)&amp;"Aprovado: "&amp;IF(cfg_aprovado="","A definir",cfg_aprovado)</f>
      </c>
    </row>
    <row r="3" ht="30" customHeight="1" spans="1:5" x14ac:dyDescent="0.25">
      <c r="A3" s="5" t="s">
        <v>55</v>
      </c>
      <c r="B3" s="5" t="s">
        <v>4</v>
      </c>
      <c r="C3" s="5" t="s">
        <v>56</v>
      </c>
      <c r="D3" s="5" t="s">
        <v>57</v>
      </c>
      <c r="E3" s="5" t="s">
        <v>58</v>
      </c>
    </row>
    <row r="4" ht="26" customHeight="1" spans="1:5" x14ac:dyDescent="0.25">
      <c r="A4" s="9" t="s">
        <v>12</v>
      </c>
      <c r="B4" s="9" t="s">
        <v>15</v>
      </c>
      <c r="C4" s="10">
        <v>46321</v>
      </c>
      <c r="D4" s="12" t="s">
        <v>59</v>
      </c>
      <c r="E4" s="7"/>
    </row>
    <row r="5" spans="1:5" x14ac:dyDescent="0.25">
      <c r="A5" s="9" t="s">
        <v>17</v>
      </c>
      <c r="B5" s="9" t="s">
        <v>15</v>
      </c>
      <c r="C5" s="10">
        <v>46321</v>
      </c>
      <c r="D5" s="12" t="s">
        <v>59</v>
      </c>
      <c r="E5" s="7"/>
    </row>
    <row r="6" spans="1:5" x14ac:dyDescent="0.25">
      <c r="A6" s="9" t="s">
        <v>19</v>
      </c>
      <c r="B6" s="9" t="s">
        <v>15</v>
      </c>
      <c r="C6" s="10">
        <v>46321</v>
      </c>
      <c r="D6" s="12" t="s">
        <v>59</v>
      </c>
      <c r="E6" s="7"/>
    </row>
    <row r="7" spans="1:5" x14ac:dyDescent="0.25">
      <c r="A7" s="9" t="s">
        <v>21</v>
      </c>
      <c r="B7" s="9" t="s">
        <v>15</v>
      </c>
      <c r="C7" s="10">
        <v>46321</v>
      </c>
      <c r="D7" s="12" t="s">
        <v>59</v>
      </c>
      <c r="E7" s="7"/>
    </row>
    <row r="8" spans="1:5" x14ac:dyDescent="0.25">
      <c r="A8" s="9" t="s">
        <v>23</v>
      </c>
      <c r="B8" s="9" t="s">
        <v>15</v>
      </c>
      <c r="C8" s="10">
        <v>46321</v>
      </c>
      <c r="D8" s="12" t="s">
        <v>59</v>
      </c>
      <c r="E8" s="7"/>
    </row>
    <row r="9" spans="1:5" x14ac:dyDescent="0.25">
      <c r="A9" s="9" t="s">
        <v>25</v>
      </c>
      <c r="B9" s="9" t="s">
        <v>15</v>
      </c>
      <c r="C9" s="10">
        <v>46321</v>
      </c>
      <c r="D9" s="12" t="s">
        <v>59</v>
      </c>
      <c r="E9" s="7"/>
    </row>
    <row r="10" spans="1:5" x14ac:dyDescent="0.25">
      <c r="A10" s="9" t="s">
        <v>27</v>
      </c>
      <c r="B10" s="9" t="s">
        <v>15</v>
      </c>
      <c r="C10" s="10">
        <v>46321</v>
      </c>
      <c r="D10" s="12" t="s">
        <v>59</v>
      </c>
      <c r="E10" s="7"/>
    </row>
    <row r="11" spans="1:5" x14ac:dyDescent="0.25">
      <c r="A11" s="9" t="s">
        <v>29</v>
      </c>
      <c r="B11" s="9" t="s">
        <v>15</v>
      </c>
      <c r="C11" s="10">
        <v>46321</v>
      </c>
      <c r="D11" s="12" t="s">
        <v>59</v>
      </c>
      <c r="E11" s="7"/>
    </row>
    <row r="12" spans="1:5" x14ac:dyDescent="0.25">
      <c r="A12" s="9" t="s">
        <v>31</v>
      </c>
      <c r="B12" s="9" t="s">
        <v>15</v>
      </c>
      <c r="C12" s="10">
        <v>46321</v>
      </c>
      <c r="D12" s="12" t="s">
        <v>59</v>
      </c>
      <c r="E12" s="7"/>
    </row>
    <row r="13" spans="1:5" x14ac:dyDescent="0.25">
      <c r="A13" s="9" t="s">
        <v>34</v>
      </c>
      <c r="B13" s="9" t="s">
        <v>15</v>
      </c>
      <c r="C13" s="10">
        <v>46321</v>
      </c>
      <c r="D13" s="12" t="s">
        <v>59</v>
      </c>
      <c r="E13" s="7"/>
    </row>
    <row r="14" spans="1:5" x14ac:dyDescent="0.25">
      <c r="A14" s="9" t="s">
        <v>36</v>
      </c>
      <c r="B14" s="9" t="s">
        <v>15</v>
      </c>
      <c r="C14" s="10">
        <v>46321</v>
      </c>
      <c r="D14" s="12" t="s">
        <v>59</v>
      </c>
      <c r="E14" s="7"/>
    </row>
    <row r="15" spans="1:5" x14ac:dyDescent="0.25">
      <c r="A15" s="9" t="s">
        <v>38</v>
      </c>
      <c r="B15" s="9" t="s">
        <v>15</v>
      </c>
      <c r="C15" s="10">
        <v>46321</v>
      </c>
      <c r="D15" s="12" t="s">
        <v>59</v>
      </c>
      <c r="E15" s="7"/>
    </row>
    <row r="16" spans="1:5" x14ac:dyDescent="0.25">
      <c r="A16" s="9" t="s">
        <v>40</v>
      </c>
      <c r="B16" s="9" t="s">
        <v>15</v>
      </c>
      <c r="C16" s="10">
        <v>46321</v>
      </c>
      <c r="D16" s="12" t="s">
        <v>59</v>
      </c>
      <c r="E16" s="7"/>
    </row>
    <row r="17" spans="1:5" x14ac:dyDescent="0.25">
      <c r="A17" s="9" t="s">
        <v>42</v>
      </c>
      <c r="B17" s="9" t="s">
        <v>15</v>
      </c>
      <c r="C17" s="10">
        <v>46321</v>
      </c>
      <c r="D17" s="12" t="s">
        <v>59</v>
      </c>
      <c r="E17" s="7"/>
    </row>
    <row r="18" spans="1:5" x14ac:dyDescent="0.25">
      <c r="A18" s="9" t="s">
        <v>44</v>
      </c>
      <c r="B18" s="9" t="s">
        <v>15</v>
      </c>
      <c r="C18" s="10">
        <v>46321</v>
      </c>
      <c r="D18" s="12" t="s">
        <v>59</v>
      </c>
      <c r="E18" s="7"/>
    </row>
    <row r="19" spans="1:5" x14ac:dyDescent="0.25">
      <c r="A19" s="9" t="s">
        <v>46</v>
      </c>
      <c r="B19" s="9" t="s">
        <v>15</v>
      </c>
      <c r="C19" s="10">
        <v>46321</v>
      </c>
      <c r="D19" s="12" t="s">
        <v>59</v>
      </c>
      <c r="E19" s="7"/>
    </row>
    <row r="20" spans="1:5" x14ac:dyDescent="0.25">
      <c r="A20" s="9" t="s">
        <v>48</v>
      </c>
      <c r="B20" s="9" t="s">
        <v>15</v>
      </c>
      <c r="C20" s="10">
        <v>46321</v>
      </c>
      <c r="D20" s="12" t="s">
        <v>59</v>
      </c>
      <c r="E20" s="7"/>
    </row>
    <row r="21" spans="1:5" x14ac:dyDescent="0.25">
      <c r="A21" s="9" t="s">
        <v>50</v>
      </c>
      <c r="B21" s="9" t="s">
        <v>15</v>
      </c>
      <c r="C21" s="10">
        <v>46321</v>
      </c>
      <c r="D21" s="12" t="s">
        <v>59</v>
      </c>
      <c r="E21" s="7"/>
    </row>
    <row r="22" spans="1:5" x14ac:dyDescent="0.25">
      <c r="A22" s="9" t="s">
        <v>52</v>
      </c>
      <c r="B22" s="9" t="s">
        <v>15</v>
      </c>
      <c r="C22" s="10">
        <v>46321</v>
      </c>
      <c r="D22" s="12" t="s">
        <v>59</v>
      </c>
      <c r="E22" s="7"/>
    </row>
    <row r="23" spans="1:5" x14ac:dyDescent="0.25">
      <c r="A23" s="9"/>
      <c r="B23" s="9"/>
      <c r="C23" s="10"/>
      <c r="D23" s="12"/>
      <c r="E23" s="7"/>
    </row>
    <row r="24" spans="1:5" x14ac:dyDescent="0.25">
      <c r="A24" s="9"/>
      <c r="B24" s="9"/>
      <c r="C24" s="10"/>
      <c r="D24" s="12"/>
      <c r="E24" s="7"/>
    </row>
    <row r="25" spans="1:5" x14ac:dyDescent="0.25">
      <c r="A25" s="9"/>
      <c r="B25" s="9"/>
      <c r="C25" s="10"/>
      <c r="D25" s="12"/>
      <c r="E25" s="7"/>
    </row>
    <row r="26" spans="1:5" x14ac:dyDescent="0.25">
      <c r="A26" s="9"/>
      <c r="B26" s="9"/>
      <c r="C26" s="10"/>
      <c r="D26" s="12"/>
      <c r="E26" s="7"/>
    </row>
    <row r="27" spans="1:5" x14ac:dyDescent="0.25">
      <c r="A27" s="9"/>
      <c r="B27" s="9"/>
      <c r="C27" s="10"/>
      <c r="D27" s="12"/>
      <c r="E27" s="7"/>
    </row>
    <row r="28" spans="1:5" x14ac:dyDescent="0.25">
      <c r="A28" s="9"/>
      <c r="B28" s="9"/>
      <c r="C28" s="10"/>
      <c r="D28" s="12"/>
      <c r="E28" s="7"/>
    </row>
    <row r="29" spans="1:5" x14ac:dyDescent="0.25">
      <c r="A29" s="9"/>
      <c r="B29" s="9"/>
      <c r="C29" s="10"/>
      <c r="D29" s="12"/>
      <c r="E29" s="7"/>
    </row>
    <row r="30" spans="1:5" x14ac:dyDescent="0.25">
      <c r="A30" s="9"/>
      <c r="B30" s="9"/>
      <c r="C30" s="10"/>
      <c r="D30" s="12"/>
      <c r="E30" s="7"/>
    </row>
    <row r="31" spans="1:5" x14ac:dyDescent="0.25">
      <c r="A31" s="9"/>
      <c r="B31" s="9"/>
      <c r="C31" s="10"/>
      <c r="D31" s="12"/>
      <c r="E31" s="7"/>
    </row>
    <row r="32" spans="1:5" x14ac:dyDescent="0.25">
      <c r="A32" s="9"/>
      <c r="B32" s="9"/>
      <c r="C32" s="10"/>
      <c r="D32" s="12"/>
      <c r="E32" s="7"/>
    </row>
    <row r="33" spans="1:5" x14ac:dyDescent="0.25">
      <c r="A33" s="9"/>
      <c r="B33" s="9"/>
      <c r="C33" s="10"/>
      <c r="D33" s="12"/>
      <c r="E33" s="7"/>
    </row>
    <row r="34" spans="1:5" x14ac:dyDescent="0.25">
      <c r="A34" s="9"/>
      <c r="B34" s="9"/>
      <c r="C34" s="10"/>
      <c r="D34" s="12"/>
      <c r="E34" s="7"/>
    </row>
    <row r="35" spans="1:5" x14ac:dyDescent="0.25">
      <c r="A35" s="9"/>
      <c r="B35" s="9"/>
      <c r="C35" s="10"/>
      <c r="D35" s="12"/>
      <c r="E35" s="7"/>
    </row>
    <row r="36" spans="1:5" x14ac:dyDescent="0.25">
      <c r="A36" s="9"/>
      <c r="B36" s="9"/>
      <c r="C36" s="10"/>
      <c r="D36" s="12"/>
      <c r="E36" s="7"/>
    </row>
    <row r="37" spans="1:5" x14ac:dyDescent="0.25">
      <c r="A37" s="9"/>
      <c r="B37" s="9"/>
      <c r="C37" s="10"/>
      <c r="D37" s="12"/>
      <c r="E37" s="7"/>
    </row>
    <row r="38" spans="1:5" x14ac:dyDescent="0.25">
      <c r="A38" s="9"/>
      <c r="B38" s="9"/>
      <c r="C38" s="10"/>
      <c r="D38" s="12"/>
      <c r="E38" s="7"/>
    </row>
    <row r="39" spans="1:5" x14ac:dyDescent="0.25">
      <c r="A39" s="9"/>
      <c r="B39" s="9"/>
      <c r="C39" s="10"/>
      <c r="D39" s="12"/>
      <c r="E39" s="7"/>
    </row>
    <row r="40" spans="1:5" x14ac:dyDescent="0.25">
      <c r="A40" s="9"/>
      <c r="B40" s="9"/>
      <c r="C40" s="10"/>
      <c r="D40" s="12"/>
      <c r="E40" s="7"/>
    </row>
    <row r="41" spans="1:5" x14ac:dyDescent="0.25">
      <c r="A41" s="9"/>
      <c r="B41" s="9"/>
      <c r="C41" s="10"/>
      <c r="D41" s="12"/>
      <c r="E41" s="7"/>
    </row>
    <row r="42" spans="1:5" x14ac:dyDescent="0.25">
      <c r="A42" s="9"/>
      <c r="B42" s="9"/>
      <c r="C42" s="10"/>
      <c r="D42" s="12"/>
      <c r="E42" s="7"/>
    </row>
    <row r="43" spans="1:5" x14ac:dyDescent="0.25">
      <c r="A43" s="9"/>
      <c r="B43" s="9"/>
      <c r="C43" s="10"/>
      <c r="D43" s="12"/>
      <c r="E43" s="7"/>
    </row>
    <row r="44" spans="1:5" x14ac:dyDescent="0.25">
      <c r="A44" s="9"/>
      <c r="B44" s="9"/>
      <c r="C44" s="10"/>
      <c r="D44" s="12"/>
      <c r="E44" s="7"/>
    </row>
    <row r="45" spans="1:5" x14ac:dyDescent="0.25">
      <c r="A45" s="9"/>
      <c r="B45" s="9"/>
      <c r="C45" s="10"/>
      <c r="D45" s="12"/>
      <c r="E45" s="7"/>
    </row>
    <row r="46" spans="1:5" x14ac:dyDescent="0.25">
      <c r="A46" s="9"/>
      <c r="B46" s="9"/>
      <c r="C46" s="10"/>
      <c r="D46" s="12"/>
      <c r="E46" s="7"/>
    </row>
    <row r="47" spans="1:5" x14ac:dyDescent="0.25">
      <c r="A47" s="9"/>
      <c r="B47" s="9"/>
      <c r="C47" s="10"/>
      <c r="D47" s="12"/>
      <c r="E47" s="7"/>
    </row>
    <row r="48" spans="1:5" x14ac:dyDescent="0.25">
      <c r="A48" s="9"/>
      <c r="B48" s="9"/>
      <c r="C48" s="10"/>
      <c r="D48" s="12"/>
      <c r="E48" s="7"/>
    </row>
    <row r="49" spans="1:5" x14ac:dyDescent="0.25">
      <c r="A49" s="9"/>
      <c r="B49" s="9"/>
      <c r="C49" s="10"/>
      <c r="D49" s="12"/>
      <c r="E49" s="7"/>
    </row>
    <row r="50" spans="1:5" x14ac:dyDescent="0.25">
      <c r="A50" s="9"/>
      <c r="B50" s="9"/>
      <c r="C50" s="10"/>
      <c r="D50" s="12"/>
      <c r="E50" s="7"/>
    </row>
    <row r="51" spans="1:5" x14ac:dyDescent="0.25">
      <c r="A51" s="9"/>
      <c r="B51" s="9"/>
      <c r="C51" s="10"/>
      <c r="D51" s="12"/>
      <c r="E51" s="7"/>
    </row>
    <row r="52" spans="1:5" x14ac:dyDescent="0.25">
      <c r="A52" s="9"/>
      <c r="B52" s="9"/>
      <c r="C52" s="10"/>
      <c r="D52" s="12"/>
      <c r="E52" s="7"/>
    </row>
    <row r="53" spans="1:5" x14ac:dyDescent="0.25">
      <c r="A53" s="9"/>
      <c r="B53" s="9"/>
      <c r="C53" s="10"/>
      <c r="D53" s="12"/>
      <c r="E53" s="7"/>
    </row>
    <row r="54" spans="1:5" x14ac:dyDescent="0.25">
      <c r="A54" s="9"/>
      <c r="B54" s="9"/>
      <c r="C54" s="10"/>
      <c r="D54" s="12"/>
      <c r="E54" s="7"/>
    </row>
    <row r="55" spans="1:5" x14ac:dyDescent="0.25">
      <c r="A55" s="9"/>
      <c r="B55" s="9"/>
      <c r="C55" s="10"/>
      <c r="D55" s="12"/>
      <c r="E55" s="7"/>
    </row>
    <row r="56" spans="1:5" x14ac:dyDescent="0.25">
      <c r="A56" s="9"/>
      <c r="B56" s="9"/>
      <c r="C56" s="10"/>
      <c r="D56" s="12"/>
      <c r="E56" s="7"/>
    </row>
    <row r="57" spans="1:5" x14ac:dyDescent="0.25">
      <c r="A57" s="9"/>
      <c r="B57" s="9"/>
      <c r="C57" s="10"/>
      <c r="D57" s="12"/>
      <c r="E57" s="7"/>
    </row>
    <row r="58" spans="1:5" x14ac:dyDescent="0.25">
      <c r="A58" s="9"/>
      <c r="B58" s="9"/>
      <c r="C58" s="10"/>
      <c r="D58" s="12"/>
      <c r="E58" s="7"/>
    </row>
    <row r="59" spans="1:5" x14ac:dyDescent="0.25">
      <c r="A59" s="9"/>
      <c r="B59" s="9"/>
      <c r="C59" s="10"/>
      <c r="D59" s="12"/>
      <c r="E59" s="7"/>
    </row>
    <row r="60" spans="1:5" x14ac:dyDescent="0.25">
      <c r="A60" s="9"/>
      <c r="B60" s="9"/>
      <c r="C60" s="10"/>
      <c r="D60" s="12"/>
      <c r="E60" s="7"/>
    </row>
    <row r="61" spans="1:5" x14ac:dyDescent="0.25">
      <c r="A61" s="9"/>
      <c r="B61" s="9"/>
      <c r="C61" s="10"/>
      <c r="D61" s="12"/>
      <c r="E61" s="7"/>
    </row>
    <row r="62" spans="1:5" x14ac:dyDescent="0.25">
      <c r="A62" s="9"/>
      <c r="B62" s="9"/>
      <c r="C62" s="10"/>
      <c r="D62" s="12"/>
      <c r="E62" s="7"/>
    </row>
    <row r="63" spans="1:5" x14ac:dyDescent="0.25">
      <c r="A63" s="9"/>
      <c r="B63" s="9"/>
      <c r="C63" s="10"/>
      <c r="D63" s="12"/>
      <c r="E63" s="7"/>
    </row>
    <row r="64" spans="1:5" x14ac:dyDescent="0.25">
      <c r="A64" s="9"/>
      <c r="B64" s="9"/>
      <c r="C64" s="10"/>
      <c r="D64" s="12"/>
      <c r="E64" s="7"/>
    </row>
    <row r="65" spans="1:5" x14ac:dyDescent="0.25">
      <c r="A65" s="9"/>
      <c r="B65" s="9"/>
      <c r="C65" s="10"/>
      <c r="D65" s="12"/>
      <c r="E65" s="7"/>
    </row>
    <row r="66" spans="1:5" x14ac:dyDescent="0.25">
      <c r="A66" s="9"/>
      <c r="B66" s="9"/>
      <c r="C66" s="10"/>
      <c r="D66" s="12"/>
      <c r="E66" s="7"/>
    </row>
    <row r="67" spans="1:5" x14ac:dyDescent="0.25">
      <c r="A67" s="9"/>
      <c r="B67" s="9"/>
      <c r="C67" s="10"/>
      <c r="D67" s="12"/>
      <c r="E67" s="7"/>
    </row>
    <row r="68" spans="1:5" x14ac:dyDescent="0.25">
      <c r="A68" s="9"/>
      <c r="B68" s="9"/>
      <c r="C68" s="10"/>
      <c r="D68" s="12"/>
      <c r="E68" s="7"/>
    </row>
    <row r="69" spans="1:5" x14ac:dyDescent="0.25">
      <c r="A69" s="9"/>
      <c r="B69" s="9"/>
      <c r="C69" s="10"/>
      <c r="D69" s="12"/>
      <c r="E69" s="7"/>
    </row>
    <row r="70" spans="1:5" x14ac:dyDescent="0.25">
      <c r="A70" s="9"/>
      <c r="B70" s="9"/>
      <c r="C70" s="10"/>
      <c r="D70" s="12"/>
      <c r="E70" s="7"/>
    </row>
    <row r="71" spans="1:5" x14ac:dyDescent="0.25">
      <c r="A71" s="9"/>
      <c r="B71" s="9"/>
      <c r="C71" s="10"/>
      <c r="D71" s="12"/>
      <c r="E71" s="7"/>
    </row>
    <row r="72" spans="1:5" x14ac:dyDescent="0.25">
      <c r="A72" s="9"/>
      <c r="B72" s="9"/>
      <c r="C72" s="10"/>
      <c r="D72" s="12"/>
      <c r="E72" s="7"/>
    </row>
    <row r="73" spans="1:5" x14ac:dyDescent="0.25">
      <c r="A73" s="9"/>
      <c r="B73" s="9"/>
      <c r="C73" s="10"/>
      <c r="D73" s="12"/>
      <c r="E73" s="7"/>
    </row>
    <row r="74" spans="1:5" x14ac:dyDescent="0.25">
      <c r="A74" s="9"/>
      <c r="B74" s="9"/>
      <c r="C74" s="10"/>
      <c r="D74" s="12"/>
      <c r="E74" s="7"/>
    </row>
    <row r="75" spans="1:5" x14ac:dyDescent="0.25">
      <c r="A75" s="9"/>
      <c r="B75" s="9"/>
      <c r="C75" s="10"/>
      <c r="D75" s="12"/>
      <c r="E75" s="7"/>
    </row>
    <row r="76" spans="1:5" x14ac:dyDescent="0.25">
      <c r="A76" s="9"/>
      <c r="B76" s="9"/>
      <c r="C76" s="10"/>
      <c r="D76" s="12"/>
      <c r="E76" s="7"/>
    </row>
    <row r="77" spans="1:5" x14ac:dyDescent="0.25">
      <c r="A77" s="9"/>
      <c r="B77" s="9"/>
      <c r="C77" s="10"/>
      <c r="D77" s="12"/>
      <c r="E77" s="7"/>
    </row>
    <row r="78" spans="1:5" x14ac:dyDescent="0.25">
      <c r="A78" s="9"/>
      <c r="B78" s="9"/>
      <c r="C78" s="10"/>
      <c r="D78" s="12"/>
      <c r="E78" s="7"/>
    </row>
    <row r="79" spans="1:5" x14ac:dyDescent="0.25">
      <c r="A79" s="9"/>
      <c r="B79" s="9"/>
      <c r="C79" s="10"/>
      <c r="D79" s="12"/>
      <c r="E79" s="7"/>
    </row>
    <row r="80" spans="1:5" x14ac:dyDescent="0.25">
      <c r="A80" s="9"/>
      <c r="B80" s="9"/>
      <c r="C80" s="10"/>
      <c r="D80" s="12"/>
      <c r="E80" s="7"/>
    </row>
    <row r="81" spans="1:5" x14ac:dyDescent="0.25">
      <c r="A81" s="9"/>
      <c r="B81" s="9"/>
      <c r="C81" s="10"/>
      <c r="D81" s="12"/>
      <c r="E81" s="7"/>
    </row>
    <row r="82" spans="1:5" x14ac:dyDescent="0.25">
      <c r="A82" s="9"/>
      <c r="B82" s="9"/>
      <c r="C82" s="10"/>
      <c r="D82" s="12"/>
      <c r="E82" s="7"/>
    </row>
    <row r="83" spans="1:5" x14ac:dyDescent="0.25">
      <c r="A83" s="9"/>
      <c r="B83" s="9"/>
      <c r="C83" s="10"/>
      <c r="D83" s="12"/>
      <c r="E83" s="7"/>
    </row>
    <row r="84" spans="1:5" x14ac:dyDescent="0.25">
      <c r="A84" s="9"/>
      <c r="B84" s="9"/>
      <c r="C84" s="10"/>
      <c r="D84" s="12"/>
      <c r="E84" s="7"/>
    </row>
    <row r="85" spans="1:5" x14ac:dyDescent="0.25">
      <c r="A85" s="9"/>
      <c r="B85" s="9"/>
      <c r="C85" s="10"/>
      <c r="D85" s="12"/>
      <c r="E85" s="7"/>
    </row>
    <row r="86" spans="1:5" x14ac:dyDescent="0.25">
      <c r="A86" s="9"/>
      <c r="B86" s="9"/>
      <c r="C86" s="10"/>
      <c r="D86" s="12"/>
      <c r="E86" s="7"/>
    </row>
    <row r="87" spans="1:5" x14ac:dyDescent="0.25">
      <c r="A87" s="9"/>
      <c r="B87" s="9"/>
      <c r="C87" s="10"/>
      <c r="D87" s="12"/>
      <c r="E87" s="7"/>
    </row>
    <row r="88" spans="1:5" x14ac:dyDescent="0.25">
      <c r="A88" s="9"/>
      <c r="B88" s="9"/>
      <c r="C88" s="10"/>
      <c r="D88" s="12"/>
      <c r="E88" s="7"/>
    </row>
    <row r="89" spans="1:5" x14ac:dyDescent="0.25">
      <c r="A89" s="9"/>
      <c r="B89" s="9"/>
      <c r="C89" s="10"/>
      <c r="D89" s="12"/>
      <c r="E89" s="7"/>
    </row>
    <row r="90" spans="1:5" x14ac:dyDescent="0.25">
      <c r="A90" s="9"/>
      <c r="B90" s="9"/>
      <c r="C90" s="10"/>
      <c r="D90" s="12"/>
      <c r="E90" s="7"/>
    </row>
    <row r="91" spans="1:5" x14ac:dyDescent="0.25">
      <c r="A91" s="9"/>
      <c r="B91" s="9"/>
      <c r="C91" s="10"/>
      <c r="D91" s="12"/>
      <c r="E91" s="7"/>
    </row>
    <row r="92" spans="1:5" x14ac:dyDescent="0.25">
      <c r="A92" s="9"/>
      <c r="B92" s="9"/>
      <c r="C92" s="10"/>
      <c r="D92" s="12"/>
      <c r="E92" s="7"/>
    </row>
    <row r="93" spans="1:5" x14ac:dyDescent="0.25">
      <c r="A93" s="9"/>
      <c r="B93" s="9"/>
      <c r="C93" s="10"/>
      <c r="D93" s="12"/>
      <c r="E93" s="7"/>
    </row>
    <row r="94" spans="1:5" x14ac:dyDescent="0.25">
      <c r="A94" s="9"/>
      <c r="B94" s="9"/>
      <c r="C94" s="10"/>
      <c r="D94" s="12"/>
      <c r="E94" s="7"/>
    </row>
    <row r="95" spans="1:5" x14ac:dyDescent="0.25">
      <c r="A95" s="9"/>
      <c r="B95" s="9"/>
      <c r="C95" s="10"/>
      <c r="D95" s="12"/>
      <c r="E95" s="7"/>
    </row>
    <row r="96" spans="1:5" x14ac:dyDescent="0.25">
      <c r="A96" s="9"/>
      <c r="B96" s="9"/>
      <c r="C96" s="10"/>
      <c r="D96" s="12"/>
      <c r="E96" s="7"/>
    </row>
    <row r="97" spans="1:5" x14ac:dyDescent="0.25">
      <c r="A97" s="9"/>
      <c r="B97" s="9"/>
      <c r="C97" s="10"/>
      <c r="D97" s="12"/>
      <c r="E97" s="7"/>
    </row>
    <row r="98" spans="1:5" x14ac:dyDescent="0.25">
      <c r="A98" s="9"/>
      <c r="B98" s="9"/>
      <c r="C98" s="10"/>
      <c r="D98" s="12"/>
      <c r="E98" s="7"/>
    </row>
    <row r="99" spans="1:5" x14ac:dyDescent="0.25">
      <c r="A99" s="9"/>
      <c r="B99" s="9"/>
      <c r="C99" s="10"/>
      <c r="D99" s="12"/>
      <c r="E99" s="7"/>
    </row>
    <row r="100" spans="1:5" x14ac:dyDescent="0.25">
      <c r="A100" s="9"/>
      <c r="B100" s="9"/>
      <c r="C100" s="10"/>
      <c r="D100" s="12"/>
      <c r="E100" s="7"/>
    </row>
    <row r="101" spans="1:5" x14ac:dyDescent="0.25">
      <c r="A101" s="9"/>
      <c r="B101" s="9"/>
      <c r="C101" s="10"/>
      <c r="D101" s="12"/>
      <c r="E101" s="7"/>
    </row>
    <row r="102" spans="1:5" x14ac:dyDescent="0.25">
      <c r="A102" s="9"/>
      <c r="B102" s="9"/>
      <c r="C102" s="10"/>
      <c r="D102" s="12"/>
      <c r="E102" s="7"/>
    </row>
    <row r="103" spans="1:5" x14ac:dyDescent="0.25">
      <c r="A103" s="9"/>
      <c r="B103" s="9"/>
      <c r="C103" s="10"/>
      <c r="D103" s="12"/>
      <c r="E103" s="7"/>
    </row>
  </sheetData>
  <sheetProtection sheet="1" formatColumns="0" formatRows="0" autoFilter="0"/>
  <autoFilter ref="A3:E103"/>
  <mergeCells count="2">
    <mergeCell ref="A1:B2"/>
    <mergeCell ref="C1:D2"/>
  </mergeCells>
  <dataValidations count="2">
    <dataValidation type="list" allowBlank="1" showErrorMessage="1" errorTitle="Documento não listado" error="Use um código cadastrado na Lista Mestra." sqref="A4:A103">
      <formula1>OFFSET(lm_codigo,0,0,MAX(1,COUNTA(lm_codigo)),1)</formula1>
    </dataValidation>
    <dataValidation type="date" allowBlank="1" showErrorMessage="1" errorStyle="stop" errorTitle="Data inválida" error="Digite uma data válida no formato dd/mm/aaaa." sqref="C4:C10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PCMD-01&amp;R&amp;"Arial,Regular"&amp;7&amp;K4A5668Impresso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8"/>
  <sheetViews>
    <sheetView workbookViewId="0" showGridLines="0" zoomScale="100" zoomScaleNormal="10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30" customWidth="1"/>
    <col min="2" max="2" width="22" customWidth="1"/>
    <col min="3" max="3" width="24" customWidth="1"/>
    <col min="4" max="4" width="34" customWidth="1"/>
    <col min="5" max="5" width="18" customWidth="1"/>
    <col min="6" max="6" width="34" customWidth="1"/>
    <col min="7" max="7" width="22" customWidth="1"/>
  </cols>
  <sheetData>
    <row r="1" ht="36" customHeight="1" spans="1:7" x14ac:dyDescent="0.25">
      <c r="A1" s="1"/>
      <c r="B1" s="1"/>
      <c r="C1" s="2" t="s">
        <v>60</v>
      </c>
      <c r="D1" s="2"/>
      <c r="E1" s="2"/>
      <c r="F1" s="2"/>
      <c r="G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7" x14ac:dyDescent="0.25">
      <c r="A2" s="1"/>
      <c r="B2" s="1"/>
      <c r="C2" s="2"/>
      <c r="D2" s="2"/>
      <c r="E2" s="2"/>
      <c r="F2" s="2"/>
      <c r="G2" s="4">
        <f>"Elaborado: "&amp;IF(cfg_elaborado="","A definir",cfg_elaborado)&amp;CHAR(10)&amp;"Aprovado: "&amp;IF(cfg_aprovado="","A definir",cfg_aprovado)</f>
      </c>
    </row>
    <row r="3" ht="8" customHeight="1" x14ac:dyDescent="0.25"/>
    <row r="4" ht="8" customHeight="1" x14ac:dyDescent="0.25"/>
    <row r="5" ht="20" customHeight="1" spans="1:7" x14ac:dyDescent="0.25">
      <c r="A5" s="13" t="s">
        <v>61</v>
      </c>
      <c r="B5" s="13"/>
      <c r="C5" s="13"/>
      <c r="D5" s="13"/>
      <c r="E5" s="13"/>
      <c r="F5" s="13"/>
      <c r="G5" s="13"/>
    </row>
    <row r="6" ht="22" customHeight="1" spans="1:7" x14ac:dyDescent="0.25">
      <c r="A6" s="5" t="s">
        <v>62</v>
      </c>
      <c r="B6" s="5" t="s">
        <v>63</v>
      </c>
      <c r="C6" s="5" t="s">
        <v>64</v>
      </c>
      <c r="D6" s="5" t="s">
        <v>65</v>
      </c>
      <c r="E6" s="5"/>
      <c r="F6" s="5"/>
      <c r="G6" s="5"/>
    </row>
    <row r="7" ht="20" customHeight="1" spans="1:7" x14ac:dyDescent="0.25">
      <c r="A7" s="14" t="s">
        <v>66</v>
      </c>
      <c r="B7" s="15"/>
      <c r="C7" s="16"/>
      <c r="D7" s="17" t="s">
        <v>67</v>
      </c>
      <c r="E7" s="17"/>
      <c r="F7" s="17"/>
      <c r="G7" s="17"/>
    </row>
    <row r="8" ht="20" customHeight="1" spans="1:7" x14ac:dyDescent="0.25">
      <c r="A8" s="14" t="s">
        <v>68</v>
      </c>
      <c r="B8" s="15" t="s">
        <v>69</v>
      </c>
      <c r="C8" s="16"/>
      <c r="D8" s="17" t="s">
        <v>70</v>
      </c>
      <c r="E8" s="17"/>
      <c r="F8" s="17"/>
      <c r="G8" s="17"/>
    </row>
    <row r="9" ht="20" customHeight="1" spans="1:7" x14ac:dyDescent="0.25">
      <c r="A9" s="14" t="s">
        <v>71</v>
      </c>
      <c r="B9" s="15" t="s">
        <v>72</v>
      </c>
      <c r="C9" s="16"/>
      <c r="D9" s="17" t="s">
        <v>73</v>
      </c>
      <c r="E9" s="17"/>
      <c r="F9" s="17"/>
      <c r="G9" s="17"/>
    </row>
    <row r="10" ht="20" customHeight="1" spans="1:7" x14ac:dyDescent="0.25">
      <c r="A10" s="14" t="s">
        <v>74</v>
      </c>
      <c r="B10" s="15"/>
      <c r="C10" s="16">
        <f>IF(B10="","",IF(COUNTIF(cad_pessoa_nome,B10)&gt;0,"Cadastrada","Verificar: pessoa não cadastrada"))</f>
      </c>
      <c r="D10" s="17" t="s">
        <v>75</v>
      </c>
      <c r="E10" s="17"/>
      <c r="F10" s="17"/>
      <c r="G10" s="17"/>
    </row>
    <row r="11" ht="20" customHeight="1" spans="1:7" x14ac:dyDescent="0.25">
      <c r="A11" s="14" t="s">
        <v>76</v>
      </c>
      <c r="B11" s="15"/>
      <c r="C11" s="16">
        <f>IF(B11="","A definir (aprovação não registrada)",IF(COUNTIF(cad_pessoa_nome,B11)&gt;0,"Cadastrada","Verificar: pessoa não cadastrada"))</f>
      </c>
      <c r="D11" s="17" t="s">
        <v>77</v>
      </c>
      <c r="E11" s="17"/>
      <c r="F11" s="17"/>
      <c r="G11" s="17"/>
    </row>
    <row r="12" ht="20" customHeight="1" spans="1:7" x14ac:dyDescent="0.25">
      <c r="A12" s="14" t="s">
        <v>78</v>
      </c>
      <c r="B12" s="18"/>
      <c r="C12" s="19">
        <f>IF(B12="","A definir",B12)</f>
      </c>
      <c r="D12" s="17" t="s">
        <v>79</v>
      </c>
      <c r="E12" s="17"/>
      <c r="F12" s="17"/>
      <c r="G12" s="17"/>
    </row>
    <row r="13" ht="8" customHeight="1" x14ac:dyDescent="0.25"/>
    <row r="14" ht="20" customHeight="1" spans="1:7" x14ac:dyDescent="0.25">
      <c r="A14" s="13" t="s">
        <v>80</v>
      </c>
      <c r="B14" s="13"/>
      <c r="C14" s="13"/>
      <c r="D14" s="13"/>
      <c r="E14" s="13"/>
      <c r="F14" s="13"/>
      <c r="G14" s="13"/>
    </row>
    <row r="15" ht="22" customHeight="1" spans="1:7" x14ac:dyDescent="0.25">
      <c r="A15" s="5" t="s">
        <v>81</v>
      </c>
      <c r="B15" s="5" t="s">
        <v>82</v>
      </c>
      <c r="C15" s="5" t="s">
        <v>83</v>
      </c>
      <c r="D15" s="5" t="s">
        <v>84</v>
      </c>
      <c r="E15" s="5" t="s">
        <v>10</v>
      </c>
      <c r="F15" s="5"/>
      <c r="G15" s="5"/>
    </row>
    <row r="16" spans="1:7" x14ac:dyDescent="0.25">
      <c r="A16" s="7"/>
      <c r="B16" s="7"/>
      <c r="C16" s="7"/>
      <c r="D16" s="8"/>
      <c r="E16" s="20">
        <f>IF(A16="","",IF(COUNTIF(cad_pessoa_nome,A16)&gt;1,"ERRO: nome repetido",IF(D16="","Pendente: informe se está ativa","OK")))</f>
      </c>
      <c r="F16" s="20"/>
      <c r="G16" s="20"/>
    </row>
    <row r="17" spans="1:7" x14ac:dyDescent="0.25">
      <c r="A17" s="7"/>
      <c r="B17" s="7"/>
      <c r="C17" s="7"/>
      <c r="D17" s="8"/>
      <c r="E17" s="20">
        <f>IF(A17="","",IF(COUNTIF(cad_pessoa_nome,A17)&gt;1,"ERRO: nome repetido",IF(D17="","Pendente: informe se está ativa","OK")))</f>
      </c>
      <c r="F17" s="20"/>
      <c r="G17" s="20"/>
    </row>
    <row r="18" spans="1:7" x14ac:dyDescent="0.25">
      <c r="A18" s="7"/>
      <c r="B18" s="7"/>
      <c r="C18" s="7"/>
      <c r="D18" s="8"/>
      <c r="E18" s="20">
        <f>IF(A18="","",IF(COUNTIF(cad_pessoa_nome,A18)&gt;1,"ERRO: nome repetido",IF(D18="","Pendente: informe se está ativa","OK")))</f>
      </c>
      <c r="F18" s="20"/>
      <c r="G18" s="20"/>
    </row>
    <row r="19" spans="1:7" x14ac:dyDescent="0.25">
      <c r="A19" s="7"/>
      <c r="B19" s="7"/>
      <c r="C19" s="7"/>
      <c r="D19" s="8"/>
      <c r="E19" s="20">
        <f>IF(A19="","",IF(COUNTIF(cad_pessoa_nome,A19)&gt;1,"ERRO: nome repetido",IF(D19="","Pendente: informe se está ativa","OK")))</f>
      </c>
      <c r="F19" s="20"/>
      <c r="G19" s="20"/>
    </row>
    <row r="20" spans="1:7" x14ac:dyDescent="0.25">
      <c r="A20" s="7"/>
      <c r="B20" s="7"/>
      <c r="C20" s="7"/>
      <c r="D20" s="8"/>
      <c r="E20" s="20">
        <f>IF(A20="","",IF(COUNTIF(cad_pessoa_nome,A20)&gt;1,"ERRO: nome repetido",IF(D20="","Pendente: informe se está ativa","OK")))</f>
      </c>
      <c r="F20" s="20"/>
      <c r="G20" s="20"/>
    </row>
    <row r="21" spans="1:7" x14ac:dyDescent="0.25">
      <c r="A21" s="7"/>
      <c r="B21" s="7"/>
      <c r="C21" s="7"/>
      <c r="D21" s="8"/>
      <c r="E21" s="20">
        <f>IF(A21="","",IF(COUNTIF(cad_pessoa_nome,A21)&gt;1,"ERRO: nome repetido",IF(D21="","Pendente: informe se está ativa","OK")))</f>
      </c>
      <c r="F21" s="20"/>
      <c r="G21" s="20"/>
    </row>
    <row r="22" spans="1:7" x14ac:dyDescent="0.25">
      <c r="A22" s="7"/>
      <c r="B22" s="7"/>
      <c r="C22" s="7"/>
      <c r="D22" s="8"/>
      <c r="E22" s="20">
        <f>IF(A22="","",IF(COUNTIF(cad_pessoa_nome,A22)&gt;1,"ERRO: nome repetido",IF(D22="","Pendente: informe se está ativa","OK")))</f>
      </c>
      <c r="F22" s="20"/>
      <c r="G22" s="20"/>
    </row>
    <row r="23" spans="1:7" x14ac:dyDescent="0.25">
      <c r="A23" s="7"/>
      <c r="B23" s="7"/>
      <c r="C23" s="7"/>
      <c r="D23" s="8"/>
      <c r="E23" s="20">
        <f>IF(A23="","",IF(COUNTIF(cad_pessoa_nome,A23)&gt;1,"ERRO: nome repetido",IF(D23="","Pendente: informe se está ativa","OK")))</f>
      </c>
      <c r="F23" s="20"/>
      <c r="G23" s="20"/>
    </row>
    <row r="24" spans="1:7" x14ac:dyDescent="0.25">
      <c r="A24" s="7"/>
      <c r="B24" s="7"/>
      <c r="C24" s="7"/>
      <c r="D24" s="8"/>
      <c r="E24" s="20">
        <f>IF(A24="","",IF(COUNTIF(cad_pessoa_nome,A24)&gt;1,"ERRO: nome repetido",IF(D24="","Pendente: informe se está ativa","OK")))</f>
      </c>
      <c r="F24" s="20"/>
      <c r="G24" s="20"/>
    </row>
    <row r="25" spans="1:7" x14ac:dyDescent="0.25">
      <c r="A25" s="7"/>
      <c r="B25" s="7"/>
      <c r="C25" s="7"/>
      <c r="D25" s="8"/>
      <c r="E25" s="20">
        <f>IF(A25="","",IF(COUNTIF(cad_pessoa_nome,A25)&gt;1,"ERRO: nome repetido",IF(D25="","Pendente: informe se está ativa","OK")))</f>
      </c>
      <c r="F25" s="20"/>
      <c r="G25" s="20"/>
    </row>
    <row r="26" spans="1:7" x14ac:dyDescent="0.25">
      <c r="A26" s="7"/>
      <c r="B26" s="7"/>
      <c r="C26" s="7"/>
      <c r="D26" s="8"/>
      <c r="E26" s="20">
        <f>IF(A26="","",IF(COUNTIF(cad_pessoa_nome,A26)&gt;1,"ERRO: nome repetido",IF(D26="","Pendente: informe se está ativa","OK")))</f>
      </c>
      <c r="F26" s="20"/>
      <c r="G26" s="20"/>
    </row>
    <row r="27" spans="1:7" x14ac:dyDescent="0.25">
      <c r="A27" s="7"/>
      <c r="B27" s="7"/>
      <c r="C27" s="7"/>
      <c r="D27" s="8"/>
      <c r="E27" s="20">
        <f>IF(A27="","",IF(COUNTIF(cad_pessoa_nome,A27)&gt;1,"ERRO: nome repetido",IF(D27="","Pendente: informe se está ativa","OK")))</f>
      </c>
      <c r="F27" s="20"/>
      <c r="G27" s="20"/>
    </row>
    <row r="28" spans="1:7" x14ac:dyDescent="0.25">
      <c r="A28" s="7"/>
      <c r="B28" s="7"/>
      <c r="C28" s="7"/>
      <c r="D28" s="8"/>
      <c r="E28" s="20">
        <f>IF(A28="","",IF(COUNTIF(cad_pessoa_nome,A28)&gt;1,"ERRO: nome repetido",IF(D28="","Pendente: informe se está ativa","OK")))</f>
      </c>
      <c r="F28" s="20"/>
      <c r="G28" s="20"/>
    </row>
    <row r="29" spans="1:7" x14ac:dyDescent="0.25">
      <c r="A29" s="7"/>
      <c r="B29" s="7"/>
      <c r="C29" s="7"/>
      <c r="D29" s="8"/>
      <c r="E29" s="20">
        <f>IF(A29="","",IF(COUNTIF(cad_pessoa_nome,A29)&gt;1,"ERRO: nome repetido",IF(D29="","Pendente: informe se está ativa","OK")))</f>
      </c>
      <c r="F29" s="20"/>
      <c r="G29" s="20"/>
    </row>
    <row r="30" spans="1:7" x14ac:dyDescent="0.25">
      <c r="A30" s="7"/>
      <c r="B30" s="7"/>
      <c r="C30" s="7"/>
      <c r="D30" s="8"/>
      <c r="E30" s="20">
        <f>IF(A30="","",IF(COUNTIF(cad_pessoa_nome,A30)&gt;1,"ERRO: nome repetido",IF(D30="","Pendente: informe se está ativa","OK")))</f>
      </c>
      <c r="F30" s="20"/>
      <c r="G30" s="20"/>
    </row>
    <row r="31" spans="1:7" x14ac:dyDescent="0.25">
      <c r="A31" s="7"/>
      <c r="B31" s="7"/>
      <c r="C31" s="7"/>
      <c r="D31" s="8"/>
      <c r="E31" s="20">
        <f>IF(A31="","",IF(COUNTIF(cad_pessoa_nome,A31)&gt;1,"ERRO: nome repetido",IF(D31="","Pendente: informe se está ativa","OK")))</f>
      </c>
      <c r="F31" s="20"/>
      <c r="G31" s="20"/>
    </row>
    <row r="32" spans="1:7" x14ac:dyDescent="0.25">
      <c r="A32" s="7"/>
      <c r="B32" s="7"/>
      <c r="C32" s="7"/>
      <c r="D32" s="8"/>
      <c r="E32" s="20">
        <f>IF(A32="","",IF(COUNTIF(cad_pessoa_nome,A32)&gt;1,"ERRO: nome repetido",IF(D32="","Pendente: informe se está ativa","OK")))</f>
      </c>
      <c r="F32" s="20"/>
      <c r="G32" s="20"/>
    </row>
    <row r="33" spans="1:7" x14ac:dyDescent="0.25">
      <c r="A33" s="7"/>
      <c r="B33" s="7"/>
      <c r="C33" s="7"/>
      <c r="D33" s="8"/>
      <c r="E33" s="20">
        <f>IF(A33="","",IF(COUNTIF(cad_pessoa_nome,A33)&gt;1,"ERRO: nome repetido",IF(D33="","Pendente: informe se está ativa","OK")))</f>
      </c>
      <c r="F33" s="20"/>
      <c r="G33" s="20"/>
    </row>
    <row r="34" spans="1:7" x14ac:dyDescent="0.25">
      <c r="A34" s="7"/>
      <c r="B34" s="7"/>
      <c r="C34" s="7"/>
      <c r="D34" s="8"/>
      <c r="E34" s="20">
        <f>IF(A34="","",IF(COUNTIF(cad_pessoa_nome,A34)&gt;1,"ERRO: nome repetido",IF(D34="","Pendente: informe se está ativa","OK")))</f>
      </c>
      <c r="F34" s="20"/>
      <c r="G34" s="20"/>
    </row>
    <row r="35" spans="1:7" x14ac:dyDescent="0.25">
      <c r="A35" s="7"/>
      <c r="B35" s="7"/>
      <c r="C35" s="7"/>
      <c r="D35" s="8"/>
      <c r="E35" s="20">
        <f>IF(A35="","",IF(COUNTIF(cad_pessoa_nome,A35)&gt;1,"ERRO: nome repetido",IF(D35="","Pendente: informe se está ativa","OK")))</f>
      </c>
      <c r="F35" s="20"/>
      <c r="G35" s="20"/>
    </row>
    <row r="36" ht="8" customHeight="1" x14ac:dyDescent="0.25"/>
    <row r="37" ht="20" customHeight="1" spans="1:7" x14ac:dyDescent="0.25">
      <c r="A37" s="13" t="s">
        <v>85</v>
      </c>
      <c r="B37" s="13"/>
      <c r="C37" s="13"/>
      <c r="D37" s="13"/>
      <c r="E37" s="13"/>
      <c r="F37" s="13"/>
      <c r="G37" s="13"/>
    </row>
    <row r="38" ht="22" customHeight="1" spans="1:7" x14ac:dyDescent="0.25">
      <c r="A38" s="5" t="s">
        <v>86</v>
      </c>
      <c r="B38" s="5" t="s">
        <v>87</v>
      </c>
      <c r="C38" s="5" t="s">
        <v>56</v>
      </c>
      <c r="D38" s="5" t="s">
        <v>88</v>
      </c>
      <c r="E38" s="5" t="s">
        <v>89</v>
      </c>
      <c r="F38" s="5" t="s">
        <v>10</v>
      </c>
      <c r="G38" s="5"/>
    </row>
    <row r="39" spans="1:7" x14ac:dyDescent="0.25">
      <c r="A39" s="7"/>
      <c r="B39" s="9"/>
      <c r="C39" s="10"/>
      <c r="D39" s="7"/>
      <c r="E39" s="8"/>
      <c r="F39" s="20">
        <f>IF(A39="","",IF(E39="Verificado",IF(OR(B39="",NOT(ISNUMBER(C39)),LEFT(D39,8)&lt;&gt;"https://"),"ERRO: Verificado exige versão, data e fonte HTTPS","OK: verificado pelo responsável (não certifica conformidade)"),"Não verificado: verificar na fonte oficial"))</f>
      </c>
      <c r="G39" s="20"/>
    </row>
    <row r="40" spans="1:7" x14ac:dyDescent="0.25">
      <c r="A40" s="7"/>
      <c r="B40" s="9"/>
      <c r="C40" s="10"/>
      <c r="D40" s="7"/>
      <c r="E40" s="8"/>
      <c r="F40" s="20">
        <f>IF(A40="","",IF(E40="Verificado",IF(OR(B40="",NOT(ISNUMBER(C40)),LEFT(D40,8)&lt;&gt;"https://"),"ERRO: Verificado exige versão, data e fonte HTTPS","OK: verificado pelo responsável (não certifica conformidade)"),"Não verificado: verificar na fonte oficial"))</f>
      </c>
      <c r="G40" s="20"/>
    </row>
    <row r="41" spans="1:7" x14ac:dyDescent="0.25">
      <c r="A41" s="7"/>
      <c r="B41" s="9"/>
      <c r="C41" s="10"/>
      <c r="D41" s="7"/>
      <c r="E41" s="8"/>
      <c r="F41" s="20">
        <f>IF(A41="","",IF(E41="Verificado",IF(OR(B41="",NOT(ISNUMBER(C41)),LEFT(D41,8)&lt;&gt;"https://"),"ERRO: Verificado exige versão, data e fonte HTTPS","OK: verificado pelo responsável (não certifica conformidade)"),"Não verificado: verificar na fonte oficial"))</f>
      </c>
      <c r="G41" s="20"/>
    </row>
    <row r="42" spans="1:7" x14ac:dyDescent="0.25">
      <c r="A42" s="7"/>
      <c r="B42" s="9"/>
      <c r="C42" s="10"/>
      <c r="D42" s="7"/>
      <c r="E42" s="8"/>
      <c r="F42" s="20">
        <f>IF(A42="","",IF(E42="Verificado",IF(OR(B42="",NOT(ISNUMBER(C42)),LEFT(D42,8)&lt;&gt;"https://"),"ERRO: Verificado exige versão, data e fonte HTTPS","OK: verificado pelo responsável (não certifica conformidade)"),"Não verificado: verificar na fonte oficial"))</f>
      </c>
      <c r="G42" s="20"/>
    </row>
    <row r="43" spans="1:7" x14ac:dyDescent="0.25">
      <c r="A43" s="7"/>
      <c r="B43" s="9"/>
      <c r="C43" s="10"/>
      <c r="D43" s="7"/>
      <c r="E43" s="8"/>
      <c r="F43" s="20">
        <f>IF(A43="","",IF(E43="Verificado",IF(OR(B43="",NOT(ISNUMBER(C43)),LEFT(D43,8)&lt;&gt;"https://"),"ERRO: Verificado exige versão, data e fonte HTTPS","OK: verificado pelo responsável (não certifica conformidade)"),"Não verificado: verificar na fonte oficial"))</f>
      </c>
      <c r="G43" s="20"/>
    </row>
    <row r="44" spans="1:7" x14ac:dyDescent="0.25">
      <c r="A44" s="7"/>
      <c r="B44" s="9"/>
      <c r="C44" s="10"/>
      <c r="D44" s="7"/>
      <c r="E44" s="8"/>
      <c r="F44" s="20">
        <f>IF(A44="","",IF(E44="Verificado",IF(OR(B44="",NOT(ISNUMBER(C44)),LEFT(D44,8)&lt;&gt;"https://"),"ERRO: Verificado exige versão, data e fonte HTTPS","OK: verificado pelo responsável (não certifica conformidade)"),"Não verificado: verificar na fonte oficial"))</f>
      </c>
      <c r="G44" s="20"/>
    </row>
    <row r="45" spans="1:7" x14ac:dyDescent="0.25">
      <c r="A45" s="7"/>
      <c r="B45" s="9"/>
      <c r="C45" s="10"/>
      <c r="D45" s="7"/>
      <c r="E45" s="8"/>
      <c r="F45" s="20">
        <f>IF(A45="","",IF(E45="Verificado",IF(OR(B45="",NOT(ISNUMBER(C45)),LEFT(D45,8)&lt;&gt;"https://"),"ERRO: Verificado exige versão, data e fonte HTTPS","OK: verificado pelo responsável (não certifica conformidade)"),"Não verificado: verificar na fonte oficial"))</f>
      </c>
      <c r="G45" s="20"/>
    </row>
    <row r="46" spans="1:7" x14ac:dyDescent="0.25">
      <c r="A46" s="7"/>
      <c r="B46" s="9"/>
      <c r="C46" s="10"/>
      <c r="D46" s="7"/>
      <c r="E46" s="8"/>
      <c r="F46" s="20">
        <f>IF(A46="","",IF(E46="Verificado",IF(OR(B46="",NOT(ISNUMBER(C46)),LEFT(D46,8)&lt;&gt;"https://"),"ERRO: Verificado exige versão, data e fonte HTTPS","OK: verificado pelo responsável (não certifica conformidade)"),"Não verificado: verificar na fonte oficial"))</f>
      </c>
      <c r="G46" s="20"/>
    </row>
    <row r="47" spans="1:7" x14ac:dyDescent="0.25">
      <c r="A47" s="7"/>
      <c r="B47" s="9"/>
      <c r="C47" s="10"/>
      <c r="D47" s="7"/>
      <c r="E47" s="8"/>
      <c r="F47" s="20">
        <f>IF(A47="","",IF(E47="Verificado",IF(OR(B47="",NOT(ISNUMBER(C47)),LEFT(D47,8)&lt;&gt;"https://"),"ERRO: Verificado exige versão, data e fonte HTTPS","OK: verificado pelo responsável (não certifica conformidade)"),"Não verificado: verificar na fonte oficial"))</f>
      </c>
      <c r="G47" s="20"/>
    </row>
    <row r="48" spans="1:7" x14ac:dyDescent="0.25">
      <c r="A48" s="7"/>
      <c r="B48" s="9"/>
      <c r="C48" s="10"/>
      <c r="D48" s="7"/>
      <c r="E48" s="8"/>
      <c r="F48" s="20">
        <f>IF(A48="","",IF(E48="Verificado",IF(OR(B48="",NOT(ISNUMBER(C48)),LEFT(D48,8)&lt;&gt;"https://"),"ERRO: Verificado exige versão, data e fonte HTTPS","OK: verificado pelo responsável (não certifica conformidade)"),"Não verificado: verificar na fonte oficial"))</f>
      </c>
      <c r="G48" s="20"/>
    </row>
    <row r="49" spans="1:7" x14ac:dyDescent="0.25">
      <c r="A49" s="7"/>
      <c r="B49" s="9"/>
      <c r="C49" s="10"/>
      <c r="D49" s="7"/>
      <c r="E49" s="8"/>
      <c r="F49" s="20">
        <f>IF(A49="","",IF(E49="Verificado",IF(OR(B49="",NOT(ISNUMBER(C49)),LEFT(D49,8)&lt;&gt;"https://"),"ERRO: Verificado exige versão, data e fonte HTTPS","OK: verificado pelo responsável (não certifica conformidade)"),"Não verificado: verificar na fonte oficial"))</f>
      </c>
      <c r="G49" s="20"/>
    </row>
    <row r="50" spans="1:7" x14ac:dyDescent="0.25">
      <c r="A50" s="7"/>
      <c r="B50" s="9"/>
      <c r="C50" s="10"/>
      <c r="D50" s="7"/>
      <c r="E50" s="8"/>
      <c r="F50" s="20">
        <f>IF(A50="","",IF(E50="Verificado",IF(OR(B50="",NOT(ISNUMBER(C50)),LEFT(D50,8)&lt;&gt;"https://"),"ERRO: Verificado exige versão, data e fonte HTTPS","OK: verificado pelo responsável (não certifica conformidade)"),"Não verificado: verificar na fonte oficial"))</f>
      </c>
      <c r="G50" s="20"/>
    </row>
    <row r="51" spans="1:7" x14ac:dyDescent="0.25">
      <c r="A51" s="7"/>
      <c r="B51" s="9"/>
      <c r="C51" s="10"/>
      <c r="D51" s="7"/>
      <c r="E51" s="8"/>
      <c r="F51" s="20">
        <f>IF(A51="","",IF(E51="Verificado",IF(OR(B51="",NOT(ISNUMBER(C51)),LEFT(D51,8)&lt;&gt;"https://"),"ERRO: Verificado exige versão, data e fonte HTTPS","OK: verificado pelo responsável (não certifica conformidade)"),"Não verificado: verificar na fonte oficial"))</f>
      </c>
      <c r="G51" s="20"/>
    </row>
    <row r="52" spans="1:7" x14ac:dyDescent="0.25">
      <c r="A52" s="7"/>
      <c r="B52" s="9"/>
      <c r="C52" s="10"/>
      <c r="D52" s="7"/>
      <c r="E52" s="8"/>
      <c r="F52" s="20">
        <f>IF(A52="","",IF(E52="Verificado",IF(OR(B52="",NOT(ISNUMBER(C52)),LEFT(D52,8)&lt;&gt;"https://"),"ERRO: Verificado exige versão, data e fonte HTTPS","OK: verificado pelo responsável (não certifica conformidade)"),"Não verificado: verificar na fonte oficial"))</f>
      </c>
      <c r="G52" s="20"/>
    </row>
    <row r="53" spans="1:7" x14ac:dyDescent="0.25">
      <c r="A53" s="7"/>
      <c r="B53" s="9"/>
      <c r="C53" s="10"/>
      <c r="D53" s="7"/>
      <c r="E53" s="8"/>
      <c r="F53" s="20">
        <f>IF(A53="","",IF(E53="Verificado",IF(OR(B53="",NOT(ISNUMBER(C53)),LEFT(D53,8)&lt;&gt;"https://"),"ERRO: Verificado exige versão, data e fonte HTTPS","OK: verificado pelo responsável (não certifica conformidade)"),"Não verificado: verificar na fonte oficial"))</f>
      </c>
      <c r="G53" s="20"/>
    </row>
    <row r="54" spans="1:7" x14ac:dyDescent="0.25">
      <c r="A54" s="7"/>
      <c r="B54" s="9"/>
      <c r="C54" s="10"/>
      <c r="D54" s="7"/>
      <c r="E54" s="8"/>
      <c r="F54" s="20">
        <f>IF(A54="","",IF(E54="Verificado",IF(OR(B54="",NOT(ISNUMBER(C54)),LEFT(D54,8)&lt;&gt;"https://"),"ERRO: Verificado exige versão, data e fonte HTTPS","OK: verificado pelo responsável (não certifica conformidade)"),"Não verificado: verificar na fonte oficial"))</f>
      </c>
      <c r="G54" s="20"/>
    </row>
    <row r="55" spans="1:7" x14ac:dyDescent="0.25">
      <c r="A55" s="7"/>
      <c r="B55" s="9"/>
      <c r="C55" s="10"/>
      <c r="D55" s="7"/>
      <c r="E55" s="8"/>
      <c r="F55" s="20">
        <f>IF(A55="","",IF(E55="Verificado",IF(OR(B55="",NOT(ISNUMBER(C55)),LEFT(D55,8)&lt;&gt;"https://"),"ERRO: Verificado exige versão, data e fonte HTTPS","OK: verificado pelo responsável (não certifica conformidade)"),"Não verificado: verificar na fonte oficial"))</f>
      </c>
      <c r="G55" s="20"/>
    </row>
    <row r="56" spans="1:7" x14ac:dyDescent="0.25">
      <c r="A56" s="7"/>
      <c r="B56" s="9"/>
      <c r="C56" s="10"/>
      <c r="D56" s="7"/>
      <c r="E56" s="8"/>
      <c r="F56" s="20">
        <f>IF(A56="","",IF(E56="Verificado",IF(OR(B56="",NOT(ISNUMBER(C56)),LEFT(D56,8)&lt;&gt;"https://"),"ERRO: Verificado exige versão, data e fonte HTTPS","OK: verificado pelo responsável (não certifica conformidade)"),"Não verificado: verificar na fonte oficial"))</f>
      </c>
      <c r="G56" s="20"/>
    </row>
    <row r="57" spans="1:7" x14ac:dyDescent="0.25">
      <c r="A57" s="7"/>
      <c r="B57" s="9"/>
      <c r="C57" s="10"/>
      <c r="D57" s="7"/>
      <c r="E57" s="8"/>
      <c r="F57" s="20">
        <f>IF(A57="","",IF(E57="Verificado",IF(OR(B57="",NOT(ISNUMBER(C57)),LEFT(D57,8)&lt;&gt;"https://"),"ERRO: Verificado exige versão, data e fonte HTTPS","OK: verificado pelo responsável (não certifica conformidade)"),"Não verificado: verificar na fonte oficial"))</f>
      </c>
      <c r="G57" s="20"/>
    </row>
    <row r="58" spans="1:7" x14ac:dyDescent="0.25">
      <c r="A58" s="7"/>
      <c r="B58" s="9"/>
      <c r="C58" s="10"/>
      <c r="D58" s="7"/>
      <c r="E58" s="8"/>
      <c r="F58" s="20">
        <f>IF(A58="","",IF(E58="Verificado",IF(OR(B58="",NOT(ISNUMBER(C58)),LEFT(D58,8)&lt;&gt;"https://"),"ERRO: Verificado exige versão, data e fonte HTTPS","OK: verificado pelo responsável (não certifica conformidade)"),"Não verificado: verificar na fonte oficial"))</f>
      </c>
      <c r="G58" s="20"/>
    </row>
    <row r="59" spans="1:7" x14ac:dyDescent="0.25">
      <c r="A59" s="7"/>
      <c r="B59" s="9"/>
      <c r="C59" s="10"/>
      <c r="D59" s="7"/>
      <c r="E59" s="8"/>
      <c r="F59" s="20">
        <f>IF(A59="","",IF(E59="Verificado",IF(OR(B59="",NOT(ISNUMBER(C59)),LEFT(D59,8)&lt;&gt;"https://"),"ERRO: Verificado exige versão, data e fonte HTTPS","OK: verificado pelo responsável (não certifica conformidade)"),"Não verificado: verificar na fonte oficial"))</f>
      </c>
      <c r="G59" s="20"/>
    </row>
    <row r="60" spans="1:7" x14ac:dyDescent="0.25">
      <c r="A60" s="7"/>
      <c r="B60" s="9"/>
      <c r="C60" s="10"/>
      <c r="D60" s="7"/>
      <c r="E60" s="8"/>
      <c r="F60" s="20">
        <f>IF(A60="","",IF(E60="Verificado",IF(OR(B60="",NOT(ISNUMBER(C60)),LEFT(D60,8)&lt;&gt;"https://"),"ERRO: Verificado exige versão, data e fonte HTTPS","OK: verificado pelo responsável (não certifica conformidade)"),"Não verificado: verificar na fonte oficial"))</f>
      </c>
      <c r="G60" s="20"/>
    </row>
    <row r="61" spans="1:7" x14ac:dyDescent="0.25">
      <c r="A61" s="7"/>
      <c r="B61" s="9"/>
      <c r="C61" s="10"/>
      <c r="D61" s="7"/>
      <c r="E61" s="8"/>
      <c r="F61" s="20">
        <f>IF(A61="","",IF(E61="Verificado",IF(OR(B61="",NOT(ISNUMBER(C61)),LEFT(D61,8)&lt;&gt;"https://"),"ERRO: Verificado exige versão, data e fonte HTTPS","OK: verificado pelo responsável (não certifica conformidade)"),"Não verificado: verificar na fonte oficial"))</f>
      </c>
      <c r="G61" s="20"/>
    </row>
    <row r="62" spans="1:7" x14ac:dyDescent="0.25">
      <c r="A62" s="7"/>
      <c r="B62" s="9"/>
      <c r="C62" s="10"/>
      <c r="D62" s="7"/>
      <c r="E62" s="8"/>
      <c r="F62" s="20">
        <f>IF(A62="","",IF(E62="Verificado",IF(OR(B62="",NOT(ISNUMBER(C62)),LEFT(D62,8)&lt;&gt;"https://"),"ERRO: Verificado exige versão, data e fonte HTTPS","OK: verificado pelo responsável (não certifica conformidade)"),"Não verificado: verificar na fonte oficial"))</f>
      </c>
      <c r="G62" s="20"/>
    </row>
    <row r="63" spans="1:7" x14ac:dyDescent="0.25">
      <c r="A63" s="7"/>
      <c r="B63" s="9"/>
      <c r="C63" s="10"/>
      <c r="D63" s="7"/>
      <c r="E63" s="8"/>
      <c r="F63" s="20">
        <f>IF(A63="","",IF(E63="Verificado",IF(OR(B63="",NOT(ISNUMBER(C63)),LEFT(D63,8)&lt;&gt;"https://"),"ERRO: Verificado exige versão, data e fonte HTTPS","OK: verificado pelo responsável (não certifica conformidade)"),"Não verificado: verificar na fonte oficial"))</f>
      </c>
      <c r="G63" s="20"/>
    </row>
    <row r="64" spans="1:7" x14ac:dyDescent="0.25">
      <c r="A64" s="7"/>
      <c r="B64" s="9"/>
      <c r="C64" s="10"/>
      <c r="D64" s="7"/>
      <c r="E64" s="8"/>
      <c r="F64" s="20">
        <f>IF(A64="","",IF(E64="Verificado",IF(OR(B64="",NOT(ISNUMBER(C64)),LEFT(D64,8)&lt;&gt;"https://"),"ERRO: Verificado exige versão, data e fonte HTTPS","OK: verificado pelo responsável (não certifica conformidade)"),"Não verificado: verificar na fonte oficial"))</f>
      </c>
      <c r="G64" s="20"/>
    </row>
    <row r="65" spans="1:7" x14ac:dyDescent="0.25">
      <c r="A65" s="7"/>
      <c r="B65" s="9"/>
      <c r="C65" s="10"/>
      <c r="D65" s="7"/>
      <c r="E65" s="8"/>
      <c r="F65" s="20">
        <f>IF(A65="","",IF(E65="Verificado",IF(OR(B65="",NOT(ISNUMBER(C65)),LEFT(D65,8)&lt;&gt;"https://"),"ERRO: Verificado exige versão, data e fonte HTTPS","OK: verificado pelo responsável (não certifica conformidade)"),"Não verificado: verificar na fonte oficial"))</f>
      </c>
      <c r="G65" s="20"/>
    </row>
    <row r="66" spans="1:7" x14ac:dyDescent="0.25">
      <c r="A66" s="7"/>
      <c r="B66" s="9"/>
      <c r="C66" s="10"/>
      <c r="D66" s="7"/>
      <c r="E66" s="8"/>
      <c r="F66" s="20">
        <f>IF(A66="","",IF(E66="Verificado",IF(OR(B66="",NOT(ISNUMBER(C66)),LEFT(D66,8)&lt;&gt;"https://"),"ERRO: Verificado exige versão, data e fonte HTTPS","OK: verificado pelo responsável (não certifica conformidade)"),"Não verificado: verificar na fonte oficial"))</f>
      </c>
      <c r="G66" s="20"/>
    </row>
    <row r="67" spans="1:7" x14ac:dyDescent="0.25">
      <c r="A67" s="7"/>
      <c r="B67" s="9"/>
      <c r="C67" s="10"/>
      <c r="D67" s="7"/>
      <c r="E67" s="8"/>
      <c r="F67" s="20">
        <f>IF(A67="","",IF(E67="Verificado",IF(OR(B67="",NOT(ISNUMBER(C67)),LEFT(D67,8)&lt;&gt;"https://"),"ERRO: Verificado exige versão, data e fonte HTTPS","OK: verificado pelo responsável (não certifica conformidade)"),"Não verificado: verificar na fonte oficial"))</f>
      </c>
      <c r="G67" s="20"/>
    </row>
    <row r="68" spans="1:7" x14ac:dyDescent="0.25">
      <c r="A68" s="7"/>
      <c r="B68" s="9"/>
      <c r="C68" s="10"/>
      <c r="D68" s="7"/>
      <c r="E68" s="8"/>
      <c r="F68" s="20">
        <f>IF(A68="","",IF(E68="Verificado",IF(OR(B68="",NOT(ISNUMBER(C68)),LEFT(D68,8)&lt;&gt;"https://"),"ERRO: Verificado exige versão, data e fonte HTTPS","OK: verificado pelo responsável (não certifica conformidade)"),"Não verificado: verificar na fonte oficial"))</f>
      </c>
      <c r="G68" s="20"/>
    </row>
  </sheetData>
  <sheetProtection sheet="1" formatColumns="0" formatRows="0" autoFilter="0"/>
  <mergeCells count="64">
    <mergeCell ref="A1:B2"/>
    <mergeCell ref="C1:F2"/>
    <mergeCell ref="A5:G5"/>
    <mergeCell ref="D6:G6"/>
    <mergeCell ref="D7:G7"/>
    <mergeCell ref="D8:G8"/>
    <mergeCell ref="D9:G9"/>
    <mergeCell ref="D10:G10"/>
    <mergeCell ref="D11:G11"/>
    <mergeCell ref="D12:G12"/>
    <mergeCell ref="A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A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</mergeCells>
  <conditionalFormatting sqref="C10:C12">
    <cfRule type="expression" dxfId="6" priority="1">
      <formula>OR(LEFT(C10,4)="ERRO",LEFT(C10,7)="ATENÇÃO")</formula>
    </cfRule>
    <cfRule type="expression" dxfId="7" priority="2">
      <formula>OR(LEFT(C10,8)="Pendente",LEFT(C10,9)="Verificar",LEFT(C10,9)="Duplicada",LEFT(C10,7)="Tarefa ",LEFT(C10,13)="Fora do plano",LEFT(C10,8)="Previsão",LEFT(C10,11)="Sem vínculo",LEFT(C10,14)="Não verificado",LEFT(C10,7)="Informe",LEFT(C10,9)="A definir")</formula>
    </cfRule>
    <cfRule type="expression" dxfId="8" priority="3">
      <formula>OR(C10="OK",LEFT(C10,4)="Nada",LEFT(C10,3)="OK:")</formula>
    </cfRule>
  </conditionalFormatting>
  <conditionalFormatting sqref="A16:D35">
    <cfRule type="expression" dxfId="9" priority="5">
      <formula>$D16="Não"</formula>
    </cfRule>
  </conditionalFormatting>
  <conditionalFormatting sqref="E16:E35">
    <cfRule type="expression" dxfId="10" priority="1">
      <formula>OR(LEFT(E16,4)="ERRO",LEFT(E16,7)="ATENÇÃO")</formula>
    </cfRule>
    <cfRule type="expression" dxfId="11" priority="2">
      <formula>OR(LEFT(E16,8)="Pendente",LEFT(E16,9)="Verificar",LEFT(E16,9)="Duplicada",LEFT(E16,7)="Tarefa ",LEFT(E16,13)="Fora do plano",LEFT(E16,8)="Previsão",LEFT(E16,11)="Sem vínculo",LEFT(E16,14)="Não verificado",LEFT(E16,7)="Informe",LEFT(E16,9)="A definir")</formula>
    </cfRule>
    <cfRule type="expression" dxfId="12" priority="3">
      <formula>OR(E16="OK",LEFT(E16,4)="Nada",LEFT(E16,3)="OK:")</formula>
    </cfRule>
  </conditionalFormatting>
  <conditionalFormatting sqref="F39:F68">
    <cfRule type="expression" dxfId="13" priority="1">
      <formula>OR(LEFT(F39,4)="ERRO",LEFT(F39,7)="ATENÇÃO")</formula>
    </cfRule>
    <cfRule type="expression" dxfId="14" priority="2">
      <formula>OR(LEFT(F39,8)="Pendente",LEFT(F39,9)="Verificar",LEFT(F39,9)="Duplicada",LEFT(F39,7)="Tarefa ",LEFT(F39,13)="Fora do plano",LEFT(F39,8)="Previsão",LEFT(F39,11)="Sem vínculo",LEFT(F39,14)="Não verificado",LEFT(F39,7)="Informe",LEFT(F39,9)="A definir")</formula>
    </cfRule>
    <cfRule type="expression" dxfId="15" priority="3">
      <formula>OR(F39="OK",LEFT(F39,4)="Nada",LEFT(F39,3)="OK:")</formula>
    </cfRule>
  </conditionalFormatting>
  <dataValidations count="6">
    <dataValidation type="list" allowBlank="1" showErrorMessage="1" errorTitle="Pessoa não cadastrada" error="Cadastre a pessoa no bloco 2 antes de escolher." sqref="B10:B11">
      <formula1>OFFSET(cad_pessoa_nome,0,0,MAX(1,COUNTA(cad_pessoa_nome)),1)</formula1>
    </dataValidation>
    <dataValidation type="decimal" allowBlank="1" showErrorMessage="1" errorTitle="Percentual inválido" error="Informe um percentual entre 0% e 100%." sqref="B12">
      <formula1>0</formula1>
      <formula2>1</formula2>
    </dataValidation>
    <dataValidation type="date" allowBlank="1" showErrorMessage="1" errorTitle="Data inválida" error="Digite uma data válida no formato dd/mm/aaaa." sqref="C39:C68">
      <formula1>32874</formula1>
      <formula2>73050</formula2>
    </dataValidation>
    <dataValidation type="list" allowBlank="1" showErrorMessage="1" errorTitle="Valor inválido" error="Escolha Sim ou Não." sqref="D16:D35">
      <formula1>lst_sim_nao</formula1>
    </dataValidation>
    <dataValidation type="custom" allowBlank="1" showErrorMessage="1" errorTitle="Fonte inválida" error="Informe o endereço oficial começando por https://" sqref="D39:D68">
      <formula1>LEFT(D39,8)="https://"</formula1>
    </dataValidation>
    <dataValidation type="list" allowBlank="1" showErrorMessage="1" errorTitle="Valor inválido" error="Escolha Não verificado ou Verificado." sqref="E39:E68">
      <formula1>lst_status_requisito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PCMD-01&amp;R&amp;"Arial,Regular"&amp;7&amp;K4A5668Impresso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4" customWidth="1"/>
    <col min="4" max="4" width="30" customWidth="1"/>
    <col min="5" max="5" width="4" customWidth="1"/>
    <col min="6" max="6" width="32" customWidth="1"/>
  </cols>
  <sheetData>
    <row r="1" ht="36" customHeight="1" spans="1:6" x14ac:dyDescent="0.25">
      <c r="A1" s="1"/>
      <c r="B1" s="1"/>
      <c r="C1" s="2" t="s">
        <v>90</v>
      </c>
      <c r="D1" s="2"/>
      <c r="E1" s="2"/>
      <c r="F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6" x14ac:dyDescent="0.25">
      <c r="A2" s="1"/>
      <c r="B2" s="1"/>
      <c r="C2" s="2"/>
      <c r="D2" s="2"/>
      <c r="E2" s="2"/>
      <c r="F2" s="4">
        <f>"Elaborado: "&amp;IF(cfg_elaborado="","A definir",cfg_elaborado)&amp;CHAR(10)&amp;"Aprovado: "&amp;IF(cfg_aprovado="","A definir",cfg_aprovado)</f>
      </c>
    </row>
    <row r="3" ht="8" customHeight="1" x14ac:dyDescent="0.25"/>
    <row r="4" ht="18" customHeight="1" spans="1:6" x14ac:dyDescent="0.25">
      <c r="A4" s="21" t="s">
        <v>91</v>
      </c>
      <c r="B4" s="22" t="s">
        <v>92</v>
      </c>
      <c r="C4" s="22"/>
      <c r="D4" s="22" t="s">
        <v>93</v>
      </c>
      <c r="E4" s="22" t="s">
        <v>94</v>
      </c>
      <c r="F4" s="22"/>
    </row>
    <row r="5" ht="18" customHeight="1" spans="1:6" x14ac:dyDescent="0.25">
      <c r="A5" s="21"/>
      <c r="B5" s="22" t="s">
        <v>95</v>
      </c>
      <c r="C5" s="22"/>
      <c r="D5" s="17"/>
      <c r="E5" s="17"/>
      <c r="F5" s="17"/>
    </row>
    <row r="6" ht="8" customHeight="1" x14ac:dyDescent="0.25"/>
    <row r="7" ht="20" customHeight="1" spans="1:6" x14ac:dyDescent="0.25">
      <c r="A7" s="13" t="s">
        <v>96</v>
      </c>
      <c r="B7" s="13"/>
      <c r="C7" s="13"/>
      <c r="D7" s="13"/>
      <c r="E7" s="13"/>
      <c r="F7" s="13"/>
    </row>
    <row r="8" ht="28" customHeight="1" spans="1:6" x14ac:dyDescent="0.25">
      <c r="A8" s="23" t="s">
        <v>97</v>
      </c>
      <c r="B8" s="23"/>
      <c r="C8" s="23"/>
      <c r="D8" s="23"/>
      <c r="E8" s="23"/>
      <c r="F8" s="23"/>
    </row>
    <row r="9" ht="28" customHeight="1" spans="1:6" x14ac:dyDescent="0.25">
      <c r="A9" s="23" t="s">
        <v>98</v>
      </c>
      <c r="B9" s="23"/>
      <c r="C9" s="23"/>
      <c r="D9" s="23"/>
      <c r="E9" s="23"/>
      <c r="F9" s="23"/>
    </row>
    <row r="10" ht="28" customHeight="1" spans="1:6" x14ac:dyDescent="0.25">
      <c r="A10" s="23" t="s">
        <v>99</v>
      </c>
      <c r="B10" s="23"/>
      <c r="C10" s="23"/>
      <c r="D10" s="23"/>
      <c r="E10" s="23"/>
      <c r="F10" s="23"/>
    </row>
    <row r="11" ht="24" customHeight="1" spans="1:6" x14ac:dyDescent="0.25">
      <c r="A11" s="24" t="s">
        <v>100</v>
      </c>
      <c r="B11" s="24"/>
      <c r="C11" s="24"/>
      <c r="D11" s="24"/>
      <c r="E11" s="24"/>
      <c r="F11" s="24"/>
    </row>
    <row r="12" ht="8" customHeight="1" x14ac:dyDescent="0.25"/>
    <row r="13" ht="20" customHeight="1" spans="1:6" x14ac:dyDescent="0.25">
      <c r="A13" s="13" t="s">
        <v>101</v>
      </c>
      <c r="B13" s="13"/>
      <c r="C13" s="13"/>
      <c r="D13" s="13"/>
      <c r="E13" s="13"/>
      <c r="F13" s="13"/>
    </row>
    <row r="14" ht="22" customHeight="1" spans="1:6" x14ac:dyDescent="0.25">
      <c r="A14" s="5" t="s">
        <v>102</v>
      </c>
      <c r="B14" s="5"/>
      <c r="C14" s="5" t="s">
        <v>63</v>
      </c>
      <c r="D14" s="5"/>
      <c r="E14" s="5" t="s">
        <v>65</v>
      </c>
      <c r="F14" s="5"/>
    </row>
    <row r="15" ht="20" customHeight="1" spans="1:6" x14ac:dyDescent="0.25">
      <c r="A15" s="14" t="s">
        <v>103</v>
      </c>
      <c r="B15" s="14"/>
      <c r="C15" s="25"/>
      <c r="D15" s="25"/>
      <c r="E15" s="17" t="s">
        <v>104</v>
      </c>
      <c r="F15" s="17"/>
    </row>
    <row r="16" ht="20" customHeight="1" spans="1:6" x14ac:dyDescent="0.25">
      <c r="A16" s="14" t="s">
        <v>105</v>
      </c>
      <c r="B16" s="14"/>
      <c r="C16" s="25"/>
      <c r="D16" s="25"/>
      <c r="E16" s="17" t="s">
        <v>106</v>
      </c>
      <c r="F16" s="17"/>
    </row>
    <row r="17" ht="20" customHeight="1" spans="1:6" x14ac:dyDescent="0.25">
      <c r="A17" s="14" t="s">
        <v>107</v>
      </c>
      <c r="B17" s="14"/>
      <c r="C17" s="26">
        <f>IFERROR(INDEX('Lista Mestra'!$D$4:$D$103,MATCH("PCMD-01",lm_codigo,0))&amp;"","")</f>
      </c>
      <c r="D17" s="26"/>
      <c r="E17" s="17" t="s">
        <v>108</v>
      </c>
      <c r="F17" s="17"/>
    </row>
    <row r="18" ht="20" customHeight="1" spans="1:6" x14ac:dyDescent="0.25">
      <c r="A18" s="14" t="s">
        <v>109</v>
      </c>
      <c r="B18" s="14"/>
      <c r="C18" s="27">
        <f>IFERROR(1/(1/INDEX('Lista Mestra'!$E$4:$E$103,MATCH("PCMD-01",lm_codigo,0))),"")</f>
      </c>
      <c r="D18" s="27"/>
      <c r="E18" s="17" t="s">
        <v>110</v>
      </c>
      <c r="F18" s="17"/>
    </row>
    <row r="19" ht="20" customHeight="1" spans="1:6" x14ac:dyDescent="0.25">
      <c r="A19" s="14" t="s">
        <v>111</v>
      </c>
      <c r="B19" s="14"/>
      <c r="C19" s="25"/>
      <c r="D19" s="25"/>
      <c r="E19" s="17" t="s">
        <v>112</v>
      </c>
      <c r="F19" s="17"/>
    </row>
    <row r="20" ht="20" customHeight="1" spans="1:6" x14ac:dyDescent="0.25">
      <c r="A20" s="14" t="s">
        <v>113</v>
      </c>
      <c r="B20" s="14"/>
      <c r="C20" s="28"/>
      <c r="D20" s="28"/>
      <c r="E20" s="17" t="s">
        <v>114</v>
      </c>
      <c r="F20" s="17"/>
    </row>
    <row r="21" ht="8" customHeight="1" x14ac:dyDescent="0.25"/>
    <row r="22" ht="20" customHeight="1" spans="1:6" x14ac:dyDescent="0.25">
      <c r="A22" s="13" t="s">
        <v>115</v>
      </c>
      <c r="B22" s="13"/>
      <c r="C22" s="13"/>
      <c r="D22" s="13"/>
      <c r="E22" s="13"/>
      <c r="F22" s="13"/>
    </row>
    <row r="23" ht="22" customHeight="1" spans="1:6" x14ac:dyDescent="0.25">
      <c r="A23" s="5" t="s">
        <v>116</v>
      </c>
      <c r="B23" s="5" t="s">
        <v>117</v>
      </c>
      <c r="C23" s="5" t="s">
        <v>118</v>
      </c>
      <c r="D23" s="5" t="s">
        <v>119</v>
      </c>
      <c r="E23" s="5"/>
      <c r="F23" s="5"/>
    </row>
    <row r="24" ht="20" customHeight="1" spans="1:6" x14ac:dyDescent="0.25">
      <c r="A24" s="14" t="s">
        <v>120</v>
      </c>
      <c r="B24" s="29">
        <f>COUNTA('Lista Mestra'!$A$4:$A$103)</f>
      </c>
      <c r="C24" s="29">
        <f>COUNTIF('Lista Mestra'!$J$4:$J$103,"ERRO*")</f>
      </c>
      <c r="D24" s="16">
        <f>IF(COUNTA('Lista Mestra'!$A$104:$A$2103)&gt;0,"ATENÇÃO: há dados além da linha 103; estenda fórmulas e nomes","OK")</f>
      </c>
      <c r="E24" s="16"/>
      <c r="F24" s="16"/>
    </row>
    <row r="25" ht="20" customHeight="1" spans="1:6" x14ac:dyDescent="0.25">
      <c r="A25" s="14" t="s">
        <v>121</v>
      </c>
      <c r="B25" s="29">
        <f>COUNTA(cad_pessoa_nome)</f>
      </c>
      <c r="C25" s="29">
        <f>COUNTIF('Cadastros'!$E$16:$E$35,"ERRO*")</f>
      </c>
      <c r="D25" s="16">
        <f>IF(COUNTA(cad_pessoa_nome)&gt;=20,"ATENÇÃO: bloco de pessoas cheio; peça a ampliação antes de incluir novos nomes","OK")</f>
      </c>
      <c r="E25" s="16"/>
      <c r="F25" s="16"/>
    </row>
    <row r="26" ht="20" customHeight="1" spans="1:6" x14ac:dyDescent="0.25">
      <c r="A26" s="14" t="s">
        <v>122</v>
      </c>
      <c r="B26" s="29">
        <f>COUNTA(cad_req_referencia)</f>
      </c>
      <c r="C26" s="29">
        <f>COUNTIF('Cadastros'!$F$39:$F$68,"ERRO*")</f>
      </c>
      <c r="D26" s="16">
        <f>IF(COUNTA('Cadastros'!$A$69:$A$2068)&gt;0,"ATENÇÃO: há dados além da linha 68; estenda fórmulas e nomes","OK")</f>
      </c>
      <c r="E26" s="16"/>
      <c r="F26" s="16"/>
    </row>
    <row r="27" ht="20" customHeight="1" spans="1:6" x14ac:dyDescent="0.25">
      <c r="A27" s="14" t="s">
        <v>123</v>
      </c>
      <c r="B27" s="29">
        <f>COUNTA('Revisões'!$A$4:$A$103)</f>
      </c>
      <c r="C27" s="29">
        <f>SUMPRODUCT(('Revisões'!$A$4:$A$103&lt;&gt;"")*(COUNTIF(lm_codigo,'Revisões'!$A$4:$A$103)=0))</f>
      </c>
      <c r="D27" s="16">
        <f>IF(COUNTA('Revisões'!$A$104:$A$2103)&gt;0,"ATENÇÃO: há dados além da linha 103","OK")</f>
      </c>
      <c r="E27" s="16"/>
      <c r="F27" s="16"/>
    </row>
    <row r="28" ht="8" customHeight="1" x14ac:dyDescent="0.25"/>
    <row r="29" ht="24" customHeight="1" spans="1:6" x14ac:dyDescent="0.25">
      <c r="A29" s="24" t="s">
        <v>124</v>
      </c>
      <c r="B29" s="24"/>
      <c r="C29" s="24"/>
      <c r="D29" s="24"/>
      <c r="E29" s="24"/>
      <c r="F29" s="24"/>
    </row>
  </sheetData>
  <sheetProtection sheet="1" formatColumns="0" formatRows="0" autoFilter="0"/>
  <mergeCells count="40">
    <mergeCell ref="A1:B2"/>
    <mergeCell ref="C1:E2"/>
    <mergeCell ref="B4:C4"/>
    <mergeCell ref="E4:F4"/>
    <mergeCell ref="B5:C5"/>
    <mergeCell ref="E5:F5"/>
    <mergeCell ref="A7:F7"/>
    <mergeCell ref="A8:F8"/>
    <mergeCell ref="A9:F9"/>
    <mergeCell ref="A10:F10"/>
    <mergeCell ref="A11:F11"/>
    <mergeCell ref="A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2:F22"/>
    <mergeCell ref="D23:F23"/>
    <mergeCell ref="D24:F24"/>
    <mergeCell ref="D25:F25"/>
    <mergeCell ref="D26:F26"/>
    <mergeCell ref="D27:F27"/>
    <mergeCell ref="A29:F29"/>
  </mergeCells>
  <conditionalFormatting sqref="C24:C27">
    <cfRule type="expression" dxfId="16" priority="1">
      <formula>N(C24)&gt;0</formula>
    </cfRule>
  </conditionalFormatting>
  <conditionalFormatting sqref="D24:D27">
    <cfRule type="expression" dxfId="17" priority="1">
      <formula>OR(LEFT(D24,4)="ERRO",LEFT(D24,7)="ATENÇÃO")</formula>
    </cfRule>
    <cfRule type="expression" dxfId="18" priority="2">
      <formula>OR(LEFT(D24,8)="Pendente",LEFT(D24,9)="Verificar",LEFT(D24,9)="Duplicada",LEFT(D24,7)="Tarefa ",LEFT(D24,13)="Fora do plano",LEFT(D24,8)="Previsão",LEFT(D24,11)="Sem vínculo",LEFT(D24,14)="Não verificado",LEFT(D24,7)="Informe",LEFT(D24,9)="A definir")</formula>
    </cfRule>
    <cfRule type="expression" dxfId="19" priority="3">
      <formula>OR(D24="OK",LEFT(D24,4)="Nada",LEFT(D24,3)="OK:")</formula>
    </cfRule>
  </conditionalFormatting>
  <dataValidations count="1">
    <dataValidation type="date" allowBlank="1" showErrorMessage="1" errorStyle="stop" errorTitle="Data inválida" error="Digite uma data válida no formato dd/mm/aaaa." sqref="C20">
      <formula1>32874</formula1>
      <formula2>73050</formula2>
    </dataValidation>
  </dataValidations>
  <hyperlinks>
    <hyperlink ref="B4" r:id="rId1" location="#'Lista Mestra'!A1"/>
    <hyperlink ref="D4" r:id="rId2" location="#'Revisões'!A1"/>
    <hyperlink ref="E4" r:id="rId3" location="#'Cadastros'!A1"/>
    <hyperlink ref="B5" r:id="rId4" location="#'Listas'!A1"/>
  </hyperlink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PCMD-01&amp;R&amp;"Arial,Regular"&amp;7&amp;K4A5668Impresso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4" customWidth="1"/>
    <col min="2" max="2" width="3" customWidth="1"/>
    <col min="3" max="3" width="24" customWidth="1"/>
    <col min="4" max="4" width="3" customWidth="1"/>
    <col min="5" max="5" width="12" customWidth="1"/>
    <col min="6" max="6" width="3" customWidth="1"/>
    <col min="7" max="7" width="22" customWidth="1"/>
  </cols>
  <sheetData>
    <row r="1" ht="36" customHeight="1" spans="1:7" x14ac:dyDescent="0.25">
      <c r="A1" s="1"/>
      <c r="B1" s="1"/>
      <c r="C1" s="2" t="s">
        <v>125</v>
      </c>
      <c r="D1" s="2"/>
      <c r="E1" s="2"/>
      <c r="F1" s="2"/>
      <c r="G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7" x14ac:dyDescent="0.25">
      <c r="A2" s="1"/>
      <c r="B2" s="1"/>
      <c r="C2" s="2"/>
      <c r="D2" s="2"/>
      <c r="E2" s="2"/>
      <c r="F2" s="2"/>
      <c r="G2" s="4">
        <f>"Elaborado: "&amp;IF(cfg_elaborado="","A definir",cfg_elaborado)&amp;CHAR(10)&amp;"Aprovado: "&amp;IF(cfg_aprovado="","A definir",cfg_aprovado)</f>
      </c>
    </row>
    <row r="3" ht="30" customHeight="1" spans="1:7" x14ac:dyDescent="0.25">
      <c r="A3" s="5" t="s">
        <v>126</v>
      </c>
      <c r="C3" s="5" t="s">
        <v>127</v>
      </c>
      <c r="E3" s="5" t="s">
        <v>128</v>
      </c>
      <c r="G3" s="5" t="s">
        <v>129</v>
      </c>
    </row>
    <row r="4" spans="1:7" x14ac:dyDescent="0.25">
      <c r="A4" s="7" t="s">
        <v>14</v>
      </c>
      <c r="C4" s="7" t="s">
        <v>16</v>
      </c>
      <c r="E4" s="30" t="s">
        <v>130</v>
      </c>
      <c r="G4" s="30" t="s">
        <v>131</v>
      </c>
    </row>
    <row r="5" spans="1:7" x14ac:dyDescent="0.25">
      <c r="A5" s="7" t="s">
        <v>33</v>
      </c>
      <c r="C5" s="7" t="s">
        <v>132</v>
      </c>
      <c r="E5" s="30" t="s">
        <v>133</v>
      </c>
      <c r="G5" s="30" t="s">
        <v>134</v>
      </c>
    </row>
    <row r="6" spans="1:7" x14ac:dyDescent="0.25">
      <c r="A6" s="7" t="s">
        <v>135</v>
      </c>
      <c r="C6" s="7" t="s">
        <v>136</v>
      </c>
      <c r="E6" s="30"/>
      <c r="G6" s="30"/>
    </row>
    <row r="7" spans="1:7" x14ac:dyDescent="0.25">
      <c r="A7" s="7" t="s">
        <v>137</v>
      </c>
      <c r="C7" s="7" t="s">
        <v>138</v>
      </c>
      <c r="E7" s="30"/>
      <c r="G7" s="30"/>
    </row>
    <row r="8" spans="1:7" x14ac:dyDescent="0.25">
      <c r="A8" s="7" t="s">
        <v>139</v>
      </c>
      <c r="C8" s="7"/>
      <c r="E8" s="30"/>
      <c r="G8" s="30"/>
    </row>
    <row r="9" spans="1:7" x14ac:dyDescent="0.25">
      <c r="A9" s="7"/>
      <c r="C9" s="7"/>
      <c r="E9" s="30"/>
      <c r="G9" s="30"/>
    </row>
    <row r="10" spans="1:7" x14ac:dyDescent="0.25">
      <c r="A10" s="7"/>
      <c r="C10" s="7"/>
      <c r="E10" s="30"/>
      <c r="G10" s="30"/>
    </row>
    <row r="11" spans="1:7" x14ac:dyDescent="0.25">
      <c r="A11" s="7"/>
      <c r="C11" s="7"/>
      <c r="E11" s="30"/>
      <c r="G11" s="30"/>
    </row>
    <row r="12" spans="1:7" x14ac:dyDescent="0.25">
      <c r="A12" s="7"/>
      <c r="C12" s="7"/>
      <c r="E12" s="30"/>
      <c r="G12" s="30"/>
    </row>
    <row r="13" spans="1:7" x14ac:dyDescent="0.25">
      <c r="A13" s="7"/>
      <c r="C13" s="7"/>
      <c r="E13" s="30"/>
      <c r="G13" s="30"/>
    </row>
  </sheetData>
  <sheetProtection sheet="1" formatColumns="0" formatRows="0" autoFilter="0"/>
  <mergeCells count="2">
    <mergeCell ref="A1:B2"/>
    <mergeCell ref="C1:F2"/>
  </mergeCells>
  <conditionalFormatting sqref="A4:A13">
    <cfRule type="expression" dxfId="20" priority="1">
      <formula>AND(A4&lt;&gt;"",COUNTIF(A$4:A$13,A4)&gt;1)</formula>
    </cfRule>
  </conditionalFormatting>
  <conditionalFormatting sqref="C4:C13">
    <cfRule type="expression" dxfId="21" priority="1">
      <formula>AND(C4&lt;&gt;"",COUNTIF(C$4:C$13,C4)&gt;1)</formula>
    </cfRule>
  </conditionalFormatting>
  <conditionalFormatting sqref="E4:E13">
    <cfRule type="expression" dxfId="22" priority="1">
      <formula>AND(E4&lt;&gt;"",COUNTIF(E$4:E$13,E4)&gt;1)</formula>
    </cfRule>
  </conditionalFormatting>
  <conditionalFormatting sqref="G4:G13">
    <cfRule type="expression" dxfId="23" priority="1">
      <formula>AND(G4&lt;&gt;"",COUNTIF(G$4:G$13,G4)&gt;1)</formula>
    </cfRule>
  </conditionalFormatting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PCMD-01&amp;R&amp;"Arial,Regular"&amp;7&amp;K4A5668Impresso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Lista Mestra</vt:lpstr>
      <vt:lpstr>Revisões</vt:lpstr>
      <vt:lpstr>Cadastros</vt:lpstr>
      <vt:lpstr>Config</vt:lpstr>
      <vt:lpstr>Listas</vt:lpstr>
    </vt:vector>
  </TitlesOfParts>
  <Company>PCM Direto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 Direto</dc:creator>
  <dc:title>PCMD-01 · Controle documental</dc:title>
  <dc:subject>PCM Direto</dc:subject>
  <dc:description/>
  <cp:keywords>PCMD-01</cp:keywords>
  <cp:category/>
  <cp:lastModifiedBy>PCM Direto</cp:lastModifiedBy>
  <dcterms:created xsi:type="dcterms:W3CDTF">2026-10-26T12:00:00Z</dcterms:created>
  <dcterms:modified xsi:type="dcterms:W3CDTF">2026-10-26T12:00:00Z</dcterms:modified>
</cp:coreProperties>
</file>