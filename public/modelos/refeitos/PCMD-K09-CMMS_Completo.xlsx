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7" name="Instruções" state="visible" r:id="rId4"/>
    <sheet sheetId="1" name="Painel" state="visible" r:id="rId5"/>
    <sheet sheetId="2" name="Ativos" state="visible" r:id="rId6"/>
    <sheet sheetId="3" name="Peças Críticas" state="visible" r:id="rId7"/>
    <sheet sheetId="4" name="FMEA" state="visible" r:id="rId8"/>
    <sheet sheetId="5" name="Planos" state="visible" r:id="rId9"/>
    <sheet sheetId="6" name="Cronograma Anual" state="visible" r:id="rId10"/>
    <sheet sheetId="7" name="Programação" state="visible" r:id="rId11"/>
    <sheet sheetId="8" name="Kanban" state="visible" r:id="rId12"/>
    <sheet sheetId="9" name="Calendário" state="visible" r:id="rId13"/>
    <sheet sheetId="10" name="KPIs por Ativo" state="visible" r:id="rId14"/>
    <sheet sheetId="11" name="Piores Falhas" state="visible" r:id="rId15"/>
    <sheet sheetId="12" name="RCA" state="visible" r:id="rId16"/>
    <sheet sheetId="13" name="Equipe" state="visible" r:id="rId17"/>
    <sheet sheetId="14" name="Apontamento de Produção" state="visible" r:id="rId18"/>
    <sheet sheetId="15" name="Listas" state="visible" r:id="rId19"/>
    <sheet sheetId="16" name="Revisões" state="visible" r:id="rId20"/>
  </sheets>
  <definedNames>
    <definedName name="at_codigo">Ativos!$A$4:$A$203</definedName>
    <definedName name="at_setor">Ativos!$D$4:$D$203</definedName>
    <definedName name="at_conferencia">Ativos!$J$4:$J$203</definedName>
    <definedName name="fm_nivel">FMEA!$J$4:$J$303</definedName>
    <definedName name="fm_conferencia">FMEA!$N$4:$N$303</definedName>
    <definedName name="pl_codigo">Planos!$A$4:$A$203</definedName>
    <definedName name="pl_situacao">Planos!$I$4:$I$203</definedName>
    <definedName name="pl_conferencia">Planos!$L$4:$L$203</definedName>
    <definedName name="os_numero">'Programação'!$A$4:$A$503</definedName>
    <definedName name="os_kanban">'Programação'!$N$4:$N$503</definedName>
    <definedName name="os_conferencia">'Programação'!$O$4:$O$503</definedName>
    <definedName name="os_chave">'Programação'!$P$4:$P$503</definedName>
    <definedName name="os_rank">'Programação'!$Q$4:$Q$503</definedName>
    <definedName name="cal_mes">'Calendário'!$B$4</definedName>
    <definedName name="cal_ano">'Calendário'!$D$4</definedName>
    <definedName name="rca_os">RCA!$A$4:$A$103</definedName>
    <definedName name="rca_conferencia">RCA!$J$4:$J$103</definedName>
    <definedName name="eq_nome">Equipe!$A$6:$A$45</definedName>
    <definedName name="eq_ferias_conf">Equipe!$I$49:$I$108</definedName>
    <definedName name="pr_conferencia">'Apontamento de Produção'!$I$4:$I$503</definedName>
    <definedName name="lst_frequencia">Listas!$A$4:$A$33</definedName>
    <definedName name="lst_frequencia_meses">Listas!$B$4:$B$33</definedName>
    <definedName name="lst_tipo_ativo">Listas!$D$4:$D$33</definedName>
    <definedName name="lst_setor">Listas!$F$4:$F$33</definedName>
    <definedName name="lst_setor_filtro">Listas!$H$4:$H$33</definedName>
    <definedName name="lst_status_ativo">Listas!$J$4:$J$33</definedName>
    <definedName name="lst_tipo_atividade">Listas!$L$4:$L$33</definedName>
    <definedName name="lst_tipo_os">Listas!$N$4:$N$33</definedName>
    <definedName name="lst_status_os">Listas!$P$4:$P$33</definedName>
    <definedName name="lst_turno">Listas!$R$4:$R$33</definedName>
    <definedName name="lst_status_ferias">Listas!$T$4:$T$33</definedName>
    <definedName name="lst_tipo_feriado">Listas!$V$4:$V$33</definedName>
    <definedName name="rv_revisao">'Revisões'!$A$4:$A$33</definedName>
    <definedName name="rv_data">'Revisões'!$B$4:$B$33</definedName>
    <definedName name="cfg_elaborado">'Instruções'!$C$15</definedName>
    <definedName name="cfg_aprovado">'Instruções'!$C$16</definedName>
    <definedName name="cfg_revisao">'Instruções'!$C$17</definedName>
    <definedName name="cfg_data_revisao">'Instruções'!$C$18</definedName>
    <definedName name="pcmd_origem">'Instruções'!$C$19</definedName>
    <definedName name="pcmd_emissao">'Instruções'!$C$20</definedName>
    <definedName name="ano_crono">'Instruções'!$C$21</definedName>
    <definedName name="ano_ref">'Instruções'!$C$22</definedName>
    <definedName name="kanban_setor">'Instruções'!$C$23</definedName>
    <definedName name="_xlnm.Print_Area" localSheetId="0">'Instruções'!$A1:$F50</definedName>
    <definedName name="_xlnm.Print_Titles" localSheetId="0">'Instruções'!$1:$3</definedName>
    <definedName name="_xlnm.Print_Area" localSheetId="1">'Painel'!$A1:$L26</definedName>
    <definedName name="_xlnm.Print_Titles" localSheetId="1">'Painel'!$1:$2</definedName>
    <definedName name="_xlnm.Print_Area" localSheetId="2">'Ativos'!$A1:$J203</definedName>
    <definedName name="_xlnm.Print_Titles" localSheetId="2">'Ativos'!$1:$3</definedName>
    <definedName name="_xlnm.Print_Area" localSheetId="3">'Peças Críticas'!$A1:$I203</definedName>
    <definedName name="_xlnm.Print_Titles" localSheetId="3">'Peças Críticas'!$1:$3</definedName>
    <definedName name="_xlnm.Print_Area" localSheetId="4">'FMEA'!$A1:$N303</definedName>
    <definedName name="_xlnm.Print_Titles" localSheetId="4">'FMEA'!$1:$3</definedName>
    <definedName name="_xlnm.Print_Area" localSheetId="5">'Planos'!$A1:$L203</definedName>
    <definedName name="_xlnm.Print_Titles" localSheetId="5">'Planos'!$1:$3</definedName>
    <definedName name="_xlnm.Print_Area" localSheetId="6">'Cronograma Anual'!$A1:$P204</definedName>
    <definedName name="_xlnm.Print_Titles" localSheetId="6">'Cronograma Anual'!$1:$4</definedName>
    <definedName name="_xlnm.Print_Area" localSheetId="7">'Programação'!$A1:$O503</definedName>
    <definedName name="_xlnm.Print_Titles" localSheetId="7">'Programação'!$1:$3</definedName>
    <definedName name="_xlnm.Print_Area" localSheetId="8">'Kanban'!$A1:$F34</definedName>
    <definedName name="_xlnm.Print_Titles" localSheetId="8">'Kanban'!$1:$3</definedName>
    <definedName name="_xlnm.Print_Area" localSheetId="9">'Calendário'!$A1:$G12</definedName>
    <definedName name="_xlnm.Print_Area" localSheetId="10">'KPIs por Ativo'!$A1:$M63</definedName>
    <definedName name="_xlnm.Print_Titles" localSheetId="10">'KPIs por Ativo'!$1:$3</definedName>
    <definedName name="_xlnm.Print_Area" localSheetId="11">'Piores Falhas'!$A1:$G13</definedName>
    <definedName name="_xlnm.Print_Titles" localSheetId="11">'Piores Falhas'!$1:$3</definedName>
    <definedName name="_xlnm.Print_Area" localSheetId="12">'RCA'!$A1:$K103</definedName>
    <definedName name="_xlnm.Print_Titles" localSheetId="12">'RCA'!$1:$3</definedName>
    <definedName name="_xlnm.Print_Area" localSheetId="13">'Equipe'!$A1:$I151</definedName>
    <definedName name="_xlnm.Print_Area" localSheetId="14">'Apontamento de Produção'!$A1:$I503</definedName>
    <definedName name="_xlnm.Print_Titles" localSheetId="14">'Apontamento de Produção'!$1:$3</definedName>
    <definedName name="_xlnm.Print_Area" localSheetId="15">'Listas'!$A1:$Y33</definedName>
    <definedName name="_xlnm.Print_Titles" localSheetId="15">'Listas'!$1:$3</definedName>
    <definedName name="_xlnm.Print_Area" localSheetId="16">'Revisões'!$A1:$E33</definedName>
    <definedName name="_xlnm.Print_Titles" localSheetId="16">'Revisões'!$1:$3</definedName>
  </definedNames>
  <calcPr calcId="171027" fullCalcOnLoad="1"/>
</workbook>
</file>

<file path=xl/sharedStrings.xml><?xml version="1.0" encoding="utf-8"?>
<sst xmlns="http://schemas.openxmlformats.org/spreadsheetml/2006/main" count="334" uniqueCount="283">
  <si>
    <r>
      <rPr>
        <b/>
        <color rgb="FF0B2A5B"/>
        <sz val="16"/>
        <rFont val="Arial"/>
      </rPr>
      <t>CMMS completo — sistema de gestão de manutenção</t>
    </r>
    <r>
      <rPr>
        <color rgb="FF4A5668"/>
        <sz val="8.5"/>
        <rFont val="Arial"/>
      </rPr>
      <t xml:space="preserve">
Como usar, parâmetros do documento e conferências gerais.</t>
    </r>
  </si>
  <si>
    <t>1. COMO USAR</t>
  </si>
  <si>
    <t>1) Cadastre setores (Listas), Ativos, Peças Críticas, Equipe e os Planos de preventiva. Faça a FMEA dos ativos críticos.</t>
  </si>
  <si>
    <t>2) Na Programação, registre cada OS (preventiva com o código do plano, corretiva com tempo parado e causa). Kanban, Calendário, Cronograma e KPIs se atualizam sozinhos.</t>
  </si>
  <si>
    <t>3) Lance o Apontamento de Produção para o OEE, analise as Piores Falhas na aba RCA e confira férias e feriados contra a agenda de OS.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</si>
  <si>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</si>
  <si>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</si>
  <si>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</si>
  <si>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</si>
  <si>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</si>
  <si>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</si>
  <si>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</si>
  <si>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</si>
  <si>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</si>
  <si>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</si>
  <si>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</si>
  <si>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</si>
  <si>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</si>
  <si>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</si>
  <si>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</si>
  <si>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</si>
  <si>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</si>
  <si>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Ano do cronograma</t>
  </si>
  <si>
    <t>Vazio = ano atual.</t>
  </si>
  <si>
    <t>Ano usado (automático)</t>
  </si>
  <si>
    <t>Ano aplicado no Cronograma Anual.</t>
  </si>
  <si>
    <t>Setor do Kanban</t>
  </si>
  <si>
    <t>Todos</t>
  </si>
  <si>
    <t>Todos ou um setor da aba Listas.</t>
  </si>
  <si>
    <t>3. CONFERÊNCIAS</t>
  </si>
  <si>
    <t>Aba / verificação</t>
  </si>
  <si>
    <t>Linhas preenchidas</t>
  </si>
  <si>
    <t>Linhas com ERRO</t>
  </si>
  <si>
    <t>Capacidade / resultado</t>
  </si>
  <si>
    <t>Ativos e peças</t>
  </si>
  <si>
    <t>FMEA e Planos</t>
  </si>
  <si>
    <t>Programação (OS)</t>
  </si>
  <si>
    <t>RCA, equipe e produção</t>
  </si>
  <si>
    <t>4. ÍNDICE DAS ABAS (clique no nome)</t>
  </si>
  <si>
    <t>Painel</t>
  </si>
  <si>
    <t>Visão geral: ativos, planos vencidos, OS atrasadas, riscos e gráficos.</t>
  </si>
  <si>
    <t>Ativos</t>
  </si>
  <si>
    <t>Módulo 1: cadastro de máquinas.</t>
  </si>
  <si>
    <t>Peças Críticas</t>
  </si>
  <si>
    <t>Módulo 1: peças críticas com curva ABC.</t>
  </si>
  <si>
    <t>FMEA</t>
  </si>
  <si>
    <t>Módulo 2: modos de falha e NPR.</t>
  </si>
  <si>
    <t>Planos</t>
  </si>
  <si>
    <t>Módulo 3: biblioteca de preventivas.</t>
  </si>
  <si>
    <t>Cronograma Anual</t>
  </si>
  <si>
    <t>Plano × mês (✔ executado, ● programado).</t>
  </si>
  <si>
    <t>Programação</t>
  </si>
  <si>
    <t>Módulo 4: programação e execução de OS.</t>
  </si>
  <si>
    <t>Kanban</t>
  </si>
  <si>
    <t>Quadro visual das OS por situação.</t>
  </si>
  <si>
    <t>Calendário</t>
  </si>
  <si>
    <t>OS programadas por dia.</t>
  </si>
  <si>
    <t>KPIs por Ativo</t>
  </si>
  <si>
    <t>Módulo 5: MTBF, MTTR, disponibilidade e OEE.</t>
  </si>
  <si>
    <t>Piores Falhas</t>
  </si>
  <si>
    <t>Módulo 6: 10 corretivas com mais tempo parado.</t>
  </si>
  <si>
    <t>RCA</t>
  </si>
  <si>
    <t>Módulo 6: análises de causa raiz.</t>
  </si>
  <si>
    <t>Equipe</t>
  </si>
  <si>
    <t>Módulo 7: turnos, férias e feriados.</t>
  </si>
  <si>
    <t>Apontamento de Produção</t>
  </si>
  <si>
    <t>Base do OEE.</t>
  </si>
  <si>
    <t>Listas</t>
  </si>
  <si>
    <t>Listas suspensas e escala FMEA.</t>
  </si>
  <si>
    <t>Revisões</t>
  </si>
  <si>
    <t>Histórico de revisões.</t>
  </si>
  <si>
    <t>PCMD-K09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</si>
  <si>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Painel de manutenção — visão geral</t>
    </r>
    <r>
      <rPr>
        <color rgb="FF4A5668"/>
        <sz val="8.5"/>
        <rFont val="Arial"/>
      </rPr>
      <t xml:space="preserve">
Resumo automático dos módulos. Nada para preencher aqui.</t>
    </r>
  </si>
  <si>
    <t>ATIVOS CADASTRADOS</t>
  </si>
  <si>
    <t>PLANOS VENCIDOS</t>
  </si>
  <si>
    <t>OS ATRASADAS</t>
  </si>
  <si>
    <t>RISCOS CRÍTICOS (FMEA)</t>
  </si>
  <si>
    <t>equipamentos no cadastro</t>
  </si>
  <si>
    <t>preventivas com data vencida</t>
  </si>
  <si>
    <t>programadas e não concluídas</t>
  </si>
  <si>
    <t>NPR de 200 ou mais</t>
  </si>
  <si>
    <t>OS POR SITUAÇÃO</t>
  </si>
  <si>
    <t>RISCOS (FMEA) POR NÍVEL</t>
  </si>
  <si>
    <t>DISPONIBILIDADE POR ATIVO</t>
  </si>
  <si>
    <t>DADOS DOS GRÁFICOS (automático, não digite)</t>
  </si>
  <si>
    <t>Situação</t>
  </si>
  <si>
    <t>Nível</t>
  </si>
  <si>
    <t>Ativo</t>
  </si>
  <si>
    <t>Programado</t>
  </si>
  <si>
    <t>Crítico</t>
  </si>
  <si>
    <t>Em andamento</t>
  </si>
  <si>
    <t>Alto</t>
  </si>
  <si>
    <t>Atrasado</t>
  </si>
  <si>
    <t>Médio</t>
  </si>
  <si>
    <t>Concluído</t>
  </si>
  <si>
    <t>Baixo</t>
  </si>
  <si>
    <t>Backlog</t>
  </si>
  <si>
    <r>
      <rPr>
        <b/>
        <color rgb="FF0B2A5B"/>
        <sz val="16"/>
        <rFont val="Arial"/>
      </rPr>
      <t>Módulo 1 — Base de ativos</t>
    </r>
    <r>
      <rPr>
        <color rgb="FF4A5668"/>
        <sz val="8.5"/>
        <rFont val="Arial"/>
      </rPr>
      <t xml:space="preserve">
Cadastro das máquinas. Setor e criticidade alimentam OS, Kanban e KPIs.</t>
    </r>
  </si>
  <si>
    <t>Código do ativo</t>
  </si>
  <si>
    <t>Nome do ativo</t>
  </si>
  <si>
    <t>Tipo</t>
  </si>
  <si>
    <t>Setor / área</t>
  </si>
  <si>
    <t>Criticidade (A/B/C)</t>
  </si>
  <si>
    <t>Data de aquisição</t>
  </si>
  <si>
    <t>Status</t>
  </si>
  <si>
    <t>Fabricante</t>
  </si>
  <si>
    <t>Observações</t>
  </si>
  <si>
    <t>Conferência</t>
  </si>
  <si>
    <r>
      <rPr>
        <b/>
        <color rgb="FF0B2A5B"/>
        <sz val="16"/>
        <rFont val="Arial"/>
      </rPr>
      <t>Módulo 1 — Peças críticas e curva ABC</t>
    </r>
    <r>
      <rPr>
        <color rgb="FF4A5668"/>
        <sz val="8.5"/>
        <rFont val="Arial"/>
      </rPr>
      <t xml:space="preserve">
Valor anual = consumo × custo. Curva ABC: A até 80% do valor acumulado, B até 95%, C o restante.</t>
    </r>
  </si>
  <si>
    <t>Código da peça</t>
  </si>
  <si>
    <t>Descrição</t>
  </si>
  <si>
    <t>Consumo anual (un)</t>
  </si>
  <si>
    <t>Custo unitário</t>
  </si>
  <si>
    <t>Valor anual</t>
  </si>
  <si>
    <t>% acumulado</t>
  </si>
  <si>
    <t>Curva ABC</t>
  </si>
  <si>
    <r>
      <rPr>
        <b/>
        <color rgb="FF0B2A5B"/>
        <sz val="16"/>
        <rFont val="Arial"/>
      </rPr>
      <t>Módulo 2 — Matriz FMEA</t>
    </r>
    <r>
      <rPr>
        <color rgb="FF4A5668"/>
        <sz val="8.5"/>
        <rFont val="Arial"/>
      </rPr>
      <t xml:space="preserve">
NPR = Severidade × Ocorrência × Detecção (1 a 10). Escala de referência na aba Listas.</t>
    </r>
  </si>
  <si>
    <t>Função</t>
  </si>
  <si>
    <t>Modo de falha</t>
  </si>
  <si>
    <t>Efeito da falha</t>
  </si>
  <si>
    <t>Causa potencial</t>
  </si>
  <si>
    <t>Severidade (1-10)</t>
  </si>
  <si>
    <t>Ocorrência (1-10)</t>
  </si>
  <si>
    <t>Detecção (1-10)</t>
  </si>
  <si>
    <t>NPR</t>
  </si>
  <si>
    <t>Nível de risco</t>
  </si>
  <si>
    <t>Ação recomendada</t>
  </si>
  <si>
    <t>Responsável</t>
  </si>
  <si>
    <t>Prazo</t>
  </si>
  <si>
    <r>
      <rPr>
        <b/>
        <color rgb="FF0B2A5B"/>
        <sz val="16"/>
        <rFont val="Arial"/>
      </rPr>
      <t>Módulo 3 — Biblioteca de planos (preventivas)</t>
    </r>
    <r>
      <rPr>
        <color rgb="FF4A5668"/>
        <sz val="8.5"/>
        <rFont val="Arial"/>
      </rPr>
      <t xml:space="preserve">
Próxima execução = última execução + frequência (em meses, aba Listas).</t>
    </r>
  </si>
  <si>
    <t>Código do plano</t>
  </si>
  <si>
    <t>Escopo do serviço</t>
  </si>
  <si>
    <t>Tipo de atividade</t>
  </si>
  <si>
    <t>Frequência</t>
  </si>
  <si>
    <t>Tempo estimado (h)</t>
  </si>
  <si>
    <t>Última execução</t>
  </si>
  <si>
    <t>Próxima execução</t>
  </si>
  <si>
    <r>
      <rPr>
        <b/>
        <color rgb="FF0B2A5B"/>
        <sz val="16"/>
        <rFont val="Arial"/>
      </rPr>
      <t>Cronograma anual de preventivas</t>
    </r>
    <r>
      <rPr>
        <color rgb="FF4A5668"/>
        <sz val="8.5"/>
        <rFont val="Arial"/>
      </rPr>
      <t xml:space="preserve">
✔ = OS preventiva concluída do plano no mês · ● = programado e ainda não executado. Lê Planos e Programação.</t>
    </r>
  </si>
  <si>
    <t>Plano</t>
  </si>
  <si>
    <t>Escopo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</si>
  <si>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</si>
  <si>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</si>
  <si>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</si>
  <si>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</si>
  <si>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</si>
  <si>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</si>
  <si>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</si>
  <si>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</si>
  <si>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</si>
  <si>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</si>
  <si>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</si>
  <si>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</si>
  <si>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 realizado</t>
  </si>
  <si>
    <r>
      <rPr>
        <b/>
        <color rgb="FF0B2A5B"/>
        <sz val="16"/>
        <rFont val="Arial"/>
      </rPr>
      <t>Módulo 4 — Programação e execução de OS</t>
    </r>
    <r>
      <rPr>
        <color rgb="FF4A5668"/>
        <sz val="8.5"/>
        <rFont val="Arial"/>
      </rPr>
      <t xml:space="preserve">
Tela do gestor: programe preventivas e registre corretivas. Alimenta Kanban, Calendário, KPIs e RCA.</t>
    </r>
  </si>
  <si>
    <t>Nº OS</t>
  </si>
  <si>
    <t>Plano (preventiva)</t>
  </si>
  <si>
    <t>Descrição do serviço</t>
  </si>
  <si>
    <t>Data programada</t>
  </si>
  <si>
    <t>Data de execução</t>
  </si>
  <si>
    <t>Tempo parado (h)</t>
  </si>
  <si>
    <t>Técnico responsável</t>
  </si>
  <si>
    <t>Causa (para RCA)</t>
  </si>
  <si>
    <t>Setor (auto)</t>
  </si>
  <si>
    <t>Situação (Kanban)</t>
  </si>
  <si>
    <t>k</t>
  </si>
  <si>
    <t>r</t>
  </si>
  <si>
    <r>
      <rPr>
        <b/>
        <color rgb="FF0B2A5B"/>
        <sz val="16"/>
        <rFont val="Arial"/>
      </rPr>
      <t>Kanban de OS</t>
    </r>
    <r>
      <rPr>
        <color rgb="FF4A5668"/>
        <sz val="8.5"/>
        <rFont val="Arial"/>
      </rPr>
      <t xml:space="preserve">
Lê a aba Programação. Filtre por setor em Instruções › Setor do Kanban.</t>
    </r>
  </si>
  <si>
    <t>#</t>
  </si>
  <si>
    <r>
      <rPr>
        <b/>
        <color rgb="FF0B2A5B"/>
        <sz val="16"/>
        <rFont val="Arial"/>
      </rPr>
      <t>Calendário mensal de OS</t>
    </r>
    <r>
      <rPr>
        <color rgb="FF4A5668"/>
        <sz val="8.5"/>
        <rFont val="Arial"/>
      </rPr>
      <t xml:space="preserve">
OS programadas por dia (data programada). Mude mês e ano abaixo.</t>
    </r>
  </si>
  <si>
    <t>Mês (1 a 12)</t>
  </si>
  <si>
    <t>Ano</t>
  </si>
  <si>
    <t>Segunda</t>
  </si>
  <si>
    <t>Terça</t>
  </si>
  <si>
    <t>Quarta</t>
  </si>
  <si>
    <t>Quinta</t>
  </si>
  <si>
    <t>Sexta</t>
  </si>
  <si>
    <t>Sábado</t>
  </si>
  <si>
    <t>Domingo</t>
  </si>
  <si>
    <r>
      <rPr>
        <b/>
        <color rgb="FF0B2A5B"/>
        <sz val="16"/>
        <rFont val="Arial"/>
      </rPr>
      <t>Módulo 5 — KPIs por ativo (MTBF / MTTR / OEE)</t>
    </r>
    <r>
      <rPr>
        <color rgb="FF4A5668"/>
        <sz val="8.5"/>
        <rFont val="Arial"/>
      </rPr>
      <t xml:space="preserve">
Corretivas da Programação e dados do Apontamento de Produção. Nada é digitado aqui.</t>
    </r>
  </si>
  <si>
    <t>Nº de corretivas</t>
  </si>
  <si>
    <t>MTTR (h)</t>
  </si>
  <si>
    <t>1ª corretiva</t>
  </si>
  <si>
    <t>Última corretiva</t>
  </si>
  <si>
    <t>Intervalo observado (h)</t>
  </si>
  <si>
    <t>Intervalo médio entre falhas (h)</t>
  </si>
  <si>
    <t>Disponib. operacional</t>
  </si>
  <si>
    <t>Performance</t>
  </si>
  <si>
    <t>Qualidade</t>
  </si>
  <si>
    <t>OEE</t>
  </si>
  <si>
    <t>Observação</t>
  </si>
  <si>
    <r>
      <rPr>
        <b/>
        <color rgb="FF0B2A5B"/>
        <sz val="16"/>
        <rFont val="Arial"/>
      </rPr>
      <t>Módulo 6 — 10 piores corretivas</t>
    </r>
    <r>
      <rPr>
        <color rgb="FF4A5668"/>
        <sz val="8.5"/>
        <rFont val="Arial"/>
      </rPr>
      <t xml:space="preserve">
Ranking automático por tempo parado. Registre a análise de cada uma na aba RCA.</t>
    </r>
  </si>
  <si>
    <t>Ranking</t>
  </si>
  <si>
    <t>Descrição da falha</t>
  </si>
  <si>
    <t>Causa registrada</t>
  </si>
  <si>
    <t>RCA registrada?</t>
  </si>
  <si>
    <r>
      <rPr>
        <b/>
        <color rgb="FF0B2A5B"/>
        <sz val="16"/>
        <rFont val="Arial"/>
      </rPr>
      <t>Módulo 6 — Análise de causa raiz (RCA)</t>
    </r>
    <r>
      <rPr>
        <color rgb="FF4A5668"/>
        <sz val="8.5"/>
        <rFont val="Arial"/>
      </rPr>
      <t xml:space="preserve">
Uma linha por análise. Informe o nº da OS; ativo, descrição e tempo vêm da Programação.</t>
    </r>
  </si>
  <si>
    <t>Causa raiz confirmada</t>
  </si>
  <si>
    <t>Ação corretiva implementada</t>
  </si>
  <si>
    <t>Data de verificação</t>
  </si>
  <si>
    <t>Falha recorreu depois?</t>
  </si>
  <si>
    <r>
      <rPr>
        <b/>
        <color rgb="FF0B2A5B"/>
        <sz val="16"/>
        <rFont val="Arial"/>
      </rPr>
      <t>Módulo 7 — Escala de equipe</t>
    </r>
    <r>
      <rPr>
        <color rgb="FF4A5668"/>
        <sz val="8.5"/>
        <rFont val="Arial"/>
      </rPr>
      <t xml:space="preserve">
Equipe por turno, férias (cruzadas com a agenda de OS) e feriados.</t>
    </r>
  </si>
  <si>
    <t>EQUIPE POR TURNO</t>
  </si>
  <si>
    <t>Funcionário</t>
  </si>
  <si>
    <t>Turno</t>
  </si>
  <si>
    <t>Grupo</t>
  </si>
  <si>
    <t>Função / especialidade</t>
  </si>
  <si>
    <t>FÉRIAS E AUSÊNCIAS (cruzadas com a agenda de OS)</t>
  </si>
  <si>
    <t>Turno (auto)</t>
  </si>
  <si>
    <t>Início</t>
  </si>
  <si>
    <t>Dias</t>
  </si>
  <si>
    <t>Fim (auto)</t>
  </si>
  <si>
    <t>OS na agenda do período?</t>
  </si>
  <si>
    <t>FERIADOS</t>
  </si>
  <si>
    <t>Data</t>
  </si>
  <si>
    <t>OS programadas no dia</t>
  </si>
  <si>
    <r>
      <rPr>
        <b/>
        <color rgb="FF0B2A5B"/>
        <sz val="16"/>
        <rFont val="Arial"/>
      </rPr>
      <t>Apontamento de produção — base para OEE</t>
    </r>
    <r>
      <rPr>
        <color rgb="FF4A5668"/>
        <sz val="8.5"/>
        <rFont val="Arial"/>
      </rPr>
      <t xml:space="preserve">
Por ativo e dia. Os KPIs por Ativo calculam disponibilidade operacional, performance, qualidade e OEE.</t>
    </r>
  </si>
  <si>
    <t>Tempo disponível (h)</t>
  </si>
  <si>
    <t>Tempo rodando (h)</t>
  </si>
  <si>
    <t>Produção real (un)</t>
  </si>
  <si>
    <t>Produção teórica máx. (un)</t>
  </si>
  <si>
    <t>Peças boas (un)</t>
  </si>
  <si>
    <t>Peças refugadas (un)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</si>
  <si>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Itens das listas suspensas. Inclua novos itens nas linhas vazias de cada bloco.</t>
    </r>
  </si>
  <si>
    <t>Meses</t>
  </si>
  <si>
    <t>Tipo de ativo</t>
  </si>
  <si>
    <t>Setor</t>
  </si>
  <si>
    <t>Filtro do Kanban (auto)</t>
  </si>
  <si>
    <t>Status do ativo</t>
  </si>
  <si>
    <t>Tipo de OS</t>
  </si>
  <si>
    <t>Status da OS</t>
  </si>
  <si>
    <t>Situação das férias</t>
  </si>
  <si>
    <t>Tipo de feriado</t>
  </si>
  <si>
    <t>Escala FMEA</t>
  </si>
  <si>
    <t>Critério (Severidade / Ocorrência / Detecção)</t>
  </si>
  <si>
    <t>Mensal</t>
  </si>
  <si>
    <t>Injetora</t>
  </si>
  <si>
    <t>Lubrificação</t>
  </si>
  <si>
    <t>Preventiva</t>
  </si>
  <si>
    <t>1º turno</t>
  </si>
  <si>
    <t>A confirmar</t>
  </si>
  <si>
    <t>Nacional</t>
  </si>
  <si>
    <t>Muito baixo — efeito insignificante / falha rara / detecção quase certa</t>
  </si>
  <si>
    <t>Bimestral</t>
  </si>
  <si>
    <t>Sopradora</t>
  </si>
  <si>
    <t>Inativo</t>
  </si>
  <si>
    <t>Inspeção</t>
  </si>
  <si>
    <t>Corretiva</t>
  </si>
  <si>
    <t>2º turno</t>
  </si>
  <si>
    <t>Confirmada</t>
  </si>
  <si>
    <t>Estadual</t>
  </si>
  <si>
    <t>Baixo — impacto pequeno / ocorrência ocasional / boa chance de detecção</t>
  </si>
  <si>
    <t>Trimestral</t>
  </si>
  <si>
    <t>Prensa</t>
  </si>
  <si>
    <t>Em manutenção</t>
  </si>
  <si>
    <t>Troca de peça</t>
  </si>
  <si>
    <t>Preditiva</t>
  </si>
  <si>
    <t>3º turno</t>
  </si>
  <si>
    <t>Municipal</t>
  </si>
  <si>
    <t>Moderado — perda de desempenho / ocorrência periódica / detecção possível</t>
  </si>
  <si>
    <t>Semestral</t>
  </si>
  <si>
    <t>Extrusora</t>
  </si>
  <si>
    <t>Calibração</t>
  </si>
  <si>
    <t>Outros</t>
  </si>
  <si>
    <t>Administrativo</t>
  </si>
  <si>
    <t>Concluída</t>
  </si>
  <si>
    <t>Ponto facultativo</t>
  </si>
  <si>
    <t>Alto — parada de linha / ocorrência frequente / difícil de detectar</t>
  </si>
  <si>
    <t>Anual</t>
  </si>
  <si>
    <t>Compressor</t>
  </si>
  <si>
    <t>Limpeza</t>
  </si>
  <si>
    <t>Crítico — risco de segurança ou parada total / falha certa / não detectável antes</t>
  </si>
  <si>
    <t>Bienal</t>
  </si>
  <si>
    <t>Outro</t>
  </si>
  <si>
    <t>Ajuste</t>
  </si>
  <si>
    <t>Quadrienal</t>
  </si>
  <si>
    <t>Teste funcional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</si>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</sst>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0.0%"/>
    <numFmt numFmtId="166" formatCode="&quot;R$&quot; #,##0.00"/>
    <numFmt numFmtId="167" formatCode="0.0"/>
  </numFmts>
  <fonts count="17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10"/>
      <name val="Arial"/>
    </font>
    <font>
      <color rgb="FF0E1726"/>
      <sz val="9"/>
      <name val="Arial"/>
    </font>
    <font>
      <b/>
      <color rgb="FFFFFFFF"/>
      <sz val="9"/>
      <name val="Arial"/>
    </font>
    <font>
      <b/>
      <color rgb="FF0B2A5B"/>
      <sz val="9"/>
      <name val="Arial"/>
    </font>
    <font>
      <color rgb="FF4A5668"/>
      <sz val="8.5"/>
      <name val="Arial"/>
    </font>
    <font>
      <color rgb="FF4A5668"/>
      <sz val="9"/>
      <name val="Arial"/>
    </font>
    <font>
      <b/>
      <u/>
      <color rgb="FF0B2A5B"/>
      <sz val="9"/>
      <name val="Arial"/>
    </font>
    <font>
      <b/>
      <color rgb="FF4A5668"/>
      <sz val="8"/>
      <name val="Arial"/>
    </font>
    <font>
      <b/>
      <color rgb="FF0B2A5B"/>
      <sz val="20"/>
      <name val="Arial"/>
    </font>
    <font>
      <b/>
      <color rgb="FF0E1726"/>
      <sz val="9"/>
      <name val="Arial"/>
    </font>
    <font>
      <b/>
      <color rgb="FF4A5668"/>
      <sz val="9"/>
      <name val="Arial"/>
    </font>
    <font>
      <b/>
      <color rgb="FF0B2A5B"/>
      <sz val="7"/>
      <name val="Arial"/>
    </font>
    <font>
      <color rgb="FF0E1726"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 indent="1"/>
    </xf>
    <xf numFmtId="49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8" fillId="0" borderId="5" xfId="0" applyFont="1" applyBorder="1" applyAlignment="1">
      <alignment vertical="center" wrapText="1" indent="1"/>
    </xf>
    <xf numFmtId="49" fontId="9" fillId="3" borderId="5" xfId="0" applyNumberFormat="1" applyFont="1" applyFill="1" applyBorder="1" applyAlignment="1">
      <alignment horizontal="left" vertical="center" wrapText="1" indent="1"/>
    </xf>
    <xf numFmtId="164" fontId="9" fillId="3" borderId="5" xfId="0" applyNumberFormat="1" applyFont="1" applyFill="1" applyBorder="1" applyAlignment="1">
      <alignment horizontal="left" vertical="center" wrapText="1" indent="1"/>
    </xf>
    <xf numFmtId="164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1" fontId="7" fillId="4" borderId="5" xfId="0" applyNumberFormat="1" applyFont="1" applyFill="1" applyBorder="1" applyAlignment="1" applyProtection="1">
      <alignment vertical="center" wrapText="1" indent="1"/>
      <protection locked="0"/>
    </xf>
    <xf numFmtId="1" fontId="9" fillId="3" borderId="5" xfId="0" applyNumberFormat="1" applyFont="1" applyFill="1" applyBorder="1" applyAlignment="1">
      <alignment vertical="center" wrapText="1" indent="1"/>
    </xf>
    <xf numFmtId="49" fontId="7" fillId="4" borderId="5" xfId="0" applyNumberFormat="1" applyFont="1" applyFill="1" applyBorder="1" applyAlignment="1" applyProtection="1">
      <alignment vertical="center" wrapText="1" indent="1"/>
      <protection locked="0"/>
    </xf>
    <xf numFmtId="0" fontId="9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vertical="center" wrapText="1" indent="1"/>
    </xf>
    <xf numFmtId="0" fontId="10" fillId="3" borderId="5" xfId="0" applyFont="1" applyFill="1" applyBorder="1" applyAlignment="1">
      <alignment vertical="center" wrapText="1" indent="1"/>
    </xf>
    <xf numFmtId="0" fontId="11" fillId="3" borderId="5" xfId="0" applyFont="1" applyFill="1" applyBorder="1" applyAlignment="1">
      <alignment horizontal="center" vertical="center" wrapText="1" indent="1"/>
    </xf>
    <xf numFmtId="3" fontId="12" fillId="3" borderId="5" xfId="0" applyNumberFormat="1" applyFont="1" applyFill="1" applyBorder="1" applyAlignment="1">
      <alignment horizontal="center" vertical="center" wrapText="1" indent="1"/>
    </xf>
    <xf numFmtId="0" fontId="3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horizontal="left" vertical="center" indent="1"/>
    </xf>
    <xf numFmtId="3" fontId="9" fillId="3" borderId="5" xfId="0" applyNumberFormat="1" applyFont="1" applyFill="1" applyBorder="1" applyAlignment="1">
      <alignment horizontal="center" vertical="center"/>
    </xf>
    <xf numFmtId="165" fontId="9" fillId="3" borderId="5" xfId="0" applyNumberFormat="1" applyFont="1" applyFill="1" applyBorder="1" applyAlignment="1">
      <alignment horizontal="center" vertical="center"/>
    </xf>
    <xf numFmtId="49" fontId="13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1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wrapText="1" indent="1"/>
      <protection locked="0"/>
    </xf>
    <xf numFmtId="0" fontId="9" fillId="3" borderId="5" xfId="0" applyFont="1" applyFill="1" applyBorder="1" applyAlignment="1" applyProtection="1">
      <alignment horizontal="left" vertical="center" indent="1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166" fontId="9" fillId="3" borderId="5" xfId="0" applyNumberFormat="1" applyFont="1" applyFill="1" applyBorder="1" applyAlignment="1" applyProtection="1">
      <alignment horizontal="center" vertical="center"/>
    </xf>
    <xf numFmtId="165" fontId="9" fillId="3" borderId="5" xfId="0" applyNumberFormat="1" applyFont="1" applyFill="1" applyBorder="1" applyAlignment="1" applyProtection="1">
      <alignment horizontal="center" vertical="center"/>
    </xf>
    <xf numFmtId="0" fontId="14" fillId="3" borderId="5" xfId="0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 applyProtection="1">
      <alignment horizontal="center" vertical="center"/>
    </xf>
    <xf numFmtId="167" fontId="5" fillId="0" borderId="5" xfId="0" applyNumberFormat="1" applyFont="1" applyBorder="1" applyAlignment="1" applyProtection="1">
      <alignment horizontal="center" vertical="center"/>
      <protection locked="0"/>
    </xf>
    <xf numFmtId="164" fontId="9" fillId="3" borderId="5" xfId="0" applyNumberFormat="1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>
      <alignment horizontal="right" vertical="center" wrapText="1" indent="1"/>
    </xf>
    <xf numFmtId="0" fontId="15" fillId="3" borderId="5" xfId="0" applyFont="1" applyFill="1" applyBorder="1" applyAlignment="1">
      <alignment horizontal="center" vertical="center"/>
    </xf>
    <xf numFmtId="9" fontId="7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9" fontId="9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 indent="1"/>
    </xf>
    <xf numFmtId="0" fontId="16" fillId="3" borderId="5" xfId="0" applyFont="1" applyFill="1" applyBorder="1" applyAlignment="1">
      <alignment horizontal="left" vertical="top" wrapText="1" indent="1"/>
    </xf>
    <xf numFmtId="0" fontId="7" fillId="4" borderId="5" xfId="0" applyFont="1" applyFill="1" applyBorder="1" applyAlignment="1" applyProtection="1">
      <alignment horizontal="center" vertical="center" wrapText="1" indent="1"/>
      <protection locked="0"/>
    </xf>
    <xf numFmtId="0" fontId="2" fillId="3" borderId="5" xfId="0" applyFont="1" applyFill="1" applyBorder="1" applyAlignment="1">
      <alignment horizontal="left" vertical="top" wrapText="1" indent="1"/>
    </xf>
    <xf numFmtId="167" fontId="9" fillId="3" borderId="5" xfId="0" applyNumberFormat="1" applyFont="1" applyFill="1" applyBorder="1" applyAlignment="1" applyProtection="1">
      <alignment horizontal="center" vertical="center"/>
    </xf>
    <xf numFmtId="165" fontId="14" fillId="3" borderId="5" xfId="0" applyNumberFormat="1" applyFont="1" applyFill="1" applyBorder="1" applyAlignment="1" applyProtection="1">
      <alignment horizontal="center" vertical="center"/>
    </xf>
    <xf numFmtId="167" fontId="9" fillId="3" borderId="5" xfId="0" applyNumberFormat="1" applyFont="1" applyFill="1" applyBorder="1" applyAlignment="1">
      <alignment horizontal="center" vertical="center"/>
    </xf>
    <xf numFmtId="1" fontId="5" fillId="0" borderId="5" xfId="0" applyNumberFormat="1" applyFont="1" applyBorder="1" applyAlignment="1" applyProtection="1">
      <alignment horizontal="center" vertical="center"/>
      <protection locked="0"/>
    </xf>
    <xf numFmtId="164" fontId="9" fillId="3" borderId="5" xfId="0" applyNumberFormat="1" applyFont="1" applyFill="1" applyBorder="1" applyAlignment="1">
      <alignment horizontal="center" vertical="center"/>
    </xf>
    <xf numFmtId="3" fontId="5" fillId="0" borderId="5" xfId="0" applyNumberFormat="1" applyFont="1" applyBorder="1" applyAlignment="1" applyProtection="1">
      <alignment horizontal="center" vertical="center"/>
      <protection locked="0"/>
    </xf>
    <xf numFmtId="3" fontId="9" fillId="3" borderId="5" xfId="0" applyNumberFormat="1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left" vertical="center" indent="1"/>
    </xf>
    <xf numFmtId="0" fontId="5" fillId="0" borderId="5" xfId="0" applyFont="1" applyBorder="1" applyAlignment="1" applyProtection="1">
      <alignment horizontal="center" vertical="center"/>
    </xf>
    <xf numFmtId="49" fontId="5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88"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856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856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85600"/>
      </font>
      <fill>
        <patternFill patternType="solid">
          <bgColor rgb="FFFDF1DC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0B2A5B"/>
      </font>
      <fill>
        <patternFill patternType="solid">
          <bgColor rgb="FFEEF2F8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0B2A5B"/>
      </font>
      <fill>
        <patternFill patternType="solid">
          <bgColor rgb="FFEEF2F8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0B2A5B"/>
      </font>
      <fill>
        <patternFill patternType="solid">
          <bgColor rgb="FFEEF2F8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85600"/>
      </font>
      <fill>
        <patternFill patternType="solid">
          <bgColor rgb="FFFDF1DC"/>
        </patternFill>
      </fill>
    </dxf>
    <dxf>
      <fill>
        <patternFill patternType="solid">
          <bgColor rgb="FFFFFFFF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'Painel'!$A$30:$A$34</c:f>
            </c:strRef>
          </c:cat>
          <c:val>
            <c:numRef>
              <c:f>'Painel'!$C$30:$C$34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doughnutChart>
        <c:varyColors val="1"/>
        <c:ser>
          <c:idx val="0"/>
          <c:order val="0"/>
          <c:tx>
            <c:v>Valor</c:v>
          </c:tx>
          <c:dPt>
            <c:idx val="0"/>
            <c:bubble3D val="0"/>
            <c:spPr>
              <a:solidFill>
                <a:srgbClr val="B42318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E2701F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8FA3BF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1E7A4C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'Painel'!$E$30:$E$33</c:f>
            </c:strRef>
          </c:cat>
          <c:val>
            <c:numRef>
              <c:f>'Painel'!$G$30:$G$33</c:f>
            </c:numRef>
          </c:val>
        </c:ser>
        <c:firstSliceAng val="0"/>
        <c:holeSize val="58"/>
      </c:doughnut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800" b="0">
              <a:solidFill>
                <a:srgbClr val="4A5668"/>
              </a:solidFill>
              <a:latin typeface="Arial"/>
              <a:cs typeface="Arial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'Painel'!$I$30:$I$41</c:f>
            </c:strRef>
          </c:cat>
          <c:val>
            <c:numRef>
              <c:f>'Painel'!$K$30:$K$41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PcmdChart1" Type="http://schemas.openxmlformats.org/officeDocument/2006/relationships/chart" Target="../charts/chart1.xml"/><Relationship Id="rIdPcmdChart2" Type="http://schemas.openxmlformats.org/officeDocument/2006/relationships/chart" Target="../charts/chart2.xml"/><Relationship Id="rIdPcmdChart3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0</xdr:col>
      <xdr:colOff>10810</xdr:colOff>
      <xdr:row>0</xdr:row>
      <xdr:rowOff>180000</xdr:rowOff>
    </xdr:from>
    <xdr:ext cx="1609725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10</xdr:row>
      <xdr:rowOff>38100</xdr:rowOff>
    </xdr:from>
    <xdr:to>
      <xdr:col>4</xdr:col>
      <xdr:colOff>0</xdr:colOff>
      <xdr:row>26</xdr:row>
      <xdr:rowOff>0</xdr:rowOff>
    </xdr:to>
    <xdr:graphicFrame macro="">
      <xdr:nvGraphicFramePr>
        <xdr:cNvPr id="101" name="Gráfico 101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1"/>
        </a:graphicData>
      </a:graphic>
    </xdr:graphicFrame>
    <xdr:clientData/>
  </xdr:twoCellAnchor>
  <xdr:twoCellAnchor editAs="oneCell">
    <xdr:from>
      <xdr:col>4</xdr:col>
      <xdr:colOff>76200</xdr:colOff>
      <xdr:row>10</xdr:row>
      <xdr:rowOff>38100</xdr:rowOff>
    </xdr:from>
    <xdr:to>
      <xdr:col>8</xdr:col>
      <xdr:colOff>0</xdr:colOff>
      <xdr:row>26</xdr:row>
      <xdr:rowOff>0</xdr:rowOff>
    </xdr:to>
    <xdr:graphicFrame macro="">
      <xdr:nvGraphicFramePr>
        <xdr:cNvPr id="102" name="Gráfico 102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2"/>
        </a:graphicData>
      </a:graphic>
    </xdr:graphicFrame>
    <xdr:clientData/>
  </xdr:twoCellAnchor>
  <xdr:twoCellAnchor editAs="oneCell">
    <xdr:from>
      <xdr:col>8</xdr:col>
      <xdr:colOff>76200</xdr:colOff>
      <xdr:row>10</xdr:row>
      <xdr:rowOff>38100</xdr:rowOff>
    </xdr:from>
    <xdr:to>
      <xdr:col>12</xdr:col>
      <xdr:colOff>0</xdr:colOff>
      <xdr:row>26</xdr:row>
      <xdr:rowOff>0</xdr:rowOff>
    </xdr:to>
    <xdr:graphicFrame macro="">
      <xdr:nvGraphicFramePr>
        <xdr:cNvPr id="103" name="Gráfico 103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60674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70112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41797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10786</xdr:colOff>
      <xdr:row>0</xdr:row>
      <xdr:rowOff>187500</xdr:rowOff>
    </xdr:from>
    <xdr:ext cx="154305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10786</xdr:colOff>
      <xdr:row>0</xdr:row>
      <xdr:rowOff>187500</xdr:rowOff>
    </xdr:from>
    <xdr:ext cx="154305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10666</xdr:colOff>
      <xdr:row>0</xdr:row>
      <xdr:rowOff>202500</xdr:rowOff>
    </xdr:from>
    <xdr:ext cx="1409700" cy="409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39574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23247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10786</xdr:colOff>
      <xdr:row>0</xdr:row>
      <xdr:rowOff>202500</xdr:rowOff>
    </xdr:from>
    <xdr:ext cx="1409700" cy="409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75294</xdr:colOff>
      <xdr:row>0</xdr:row>
      <xdr:rowOff>225000</xdr:rowOff>
    </xdr:from>
    <xdr:ext cx="1209675" cy="3524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10666</xdr:colOff>
      <xdr:row>0</xdr:row>
      <xdr:rowOff>202500</xdr:rowOff>
    </xdr:from>
    <xdr:ext cx="1409700" cy="409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52716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10786</xdr:colOff>
      <xdr:row>0</xdr:row>
      <xdr:rowOff>187500</xdr:rowOff>
    </xdr:from>
    <xdr:ext cx="154305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10873</xdr:colOff>
      <xdr:row>0</xdr:row>
      <xdr:rowOff>202500</xdr:rowOff>
    </xdr:from>
    <xdr:ext cx="1409700" cy="409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Painel&apos;!A1" TargetMode="External"/><Relationship Id="rId2" Type="http://schemas.openxmlformats.org/officeDocument/2006/relationships/hyperlink" Target="#&apos;Ativos&apos;!A1" TargetMode="External"/><Relationship Id="rId3" Type="http://schemas.openxmlformats.org/officeDocument/2006/relationships/hyperlink" Target="#&apos;Pe&#231;as Cr&#237;ticas&apos;!A1" TargetMode="External"/><Relationship Id="rId4" Type="http://schemas.openxmlformats.org/officeDocument/2006/relationships/hyperlink" Target="#&apos;FMEA&apos;!A1" TargetMode="External"/><Relationship Id="rId5" Type="http://schemas.openxmlformats.org/officeDocument/2006/relationships/hyperlink" Target="#&apos;Planos&apos;!A1" TargetMode="External"/><Relationship Id="rId6" Type="http://schemas.openxmlformats.org/officeDocument/2006/relationships/hyperlink" Target="#&apos;Cronograma Anual&apos;!A1" TargetMode="External"/><Relationship Id="rId7" Type="http://schemas.openxmlformats.org/officeDocument/2006/relationships/hyperlink" Target="#&apos;Programa&#231;&#227;o&apos;!A1" TargetMode="External"/><Relationship Id="rId8" Type="http://schemas.openxmlformats.org/officeDocument/2006/relationships/hyperlink" Target="#&apos;Kanban&apos;!A1" TargetMode="External"/><Relationship Id="rId9" Type="http://schemas.openxmlformats.org/officeDocument/2006/relationships/hyperlink" Target="#&apos;Calend&#225;rio&apos;!A1" TargetMode="External"/><Relationship Id="rId10" Type="http://schemas.openxmlformats.org/officeDocument/2006/relationships/hyperlink" Target="#&apos;KPIs por Ativo&apos;!A1" TargetMode="External"/><Relationship Id="rId11" Type="http://schemas.openxmlformats.org/officeDocument/2006/relationships/hyperlink" Target="#&apos;Piores Falhas&apos;!A1" TargetMode="External"/><Relationship Id="rId12" Type="http://schemas.openxmlformats.org/officeDocument/2006/relationships/hyperlink" Target="#&apos;RCA&apos;!A1" TargetMode="External"/><Relationship Id="rId13" Type="http://schemas.openxmlformats.org/officeDocument/2006/relationships/hyperlink" Target="#&apos;Equipe&apos;!A1" TargetMode="External"/><Relationship Id="rId14" Type="http://schemas.openxmlformats.org/officeDocument/2006/relationships/hyperlink" Target="#&apos;Apontamento de Produ&#231;&#227;o&apos;!A1" TargetMode="External"/><Relationship Id="rId15" Type="http://schemas.openxmlformats.org/officeDocument/2006/relationships/hyperlink" Target="#&apos;Listas&apos;!A1" TargetMode="External"/><Relationship Id="rId16" Type="http://schemas.openxmlformats.org/officeDocument/2006/relationships/hyperlink" Target="#&apos;Revis&#245;es&apos;!A1" TargetMode="External"/><Relationship Id="rId1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1" width="12.5" customWidth="1"/>
    <col min="12" max="12" width="20" customWidth="1"/>
  </cols>
  <sheetData>
    <row r="1" ht="36" customHeight="1" spans="1:12" x14ac:dyDescent="0.25">
      <c r="A1" s="1"/>
      <c r="B1" s="1"/>
      <c r="C1" s="2" t="s">
        <v>72</v>
      </c>
      <c r="D1" s="2"/>
      <c r="E1" s="2"/>
      <c r="F1" s="2"/>
      <c r="G1" s="2"/>
      <c r="H1" s="2"/>
      <c r="I1" s="2"/>
      <c r="J1" s="2"/>
      <c r="K1" s="2"/>
      <c r="L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2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4">
        <f>"Elaborado: "&amp;IF(cfg_elaborado="","A definir",cfg_elaborado)&amp;CHAR(10)&amp;"Aprovado: "&amp;IF(cfg_aprovado="","A definir",cfg_aprovado)</f>
      </c>
    </row>
    <row r="3" ht="10" customHeight="1" x14ac:dyDescent="0.25"/>
    <row r="4" ht="18" customHeight="1" spans="1:12" x14ac:dyDescent="0.25">
      <c r="A4" s="21" t="s">
        <v>73</v>
      </c>
      <c r="B4" s="21"/>
      <c r="C4" s="21"/>
      <c r="D4" s="21" t="s">
        <v>74</v>
      </c>
      <c r="E4" s="21"/>
      <c r="F4" s="21"/>
      <c r="G4" s="21" t="s">
        <v>75</v>
      </c>
      <c r="H4" s="21"/>
      <c r="I4" s="21"/>
      <c r="J4" s="21" t="s">
        <v>76</v>
      </c>
      <c r="K4" s="21"/>
      <c r="L4" s="21"/>
    </row>
    <row r="5" ht="38" customHeight="1" spans="1:12" x14ac:dyDescent="0.25">
      <c r="A5" s="22">
        <f>COUNTA(at_codigo)</f>
      </c>
      <c r="B5" s="22"/>
      <c r="C5" s="22"/>
      <c r="D5" s="22">
        <f>COUNTIF(pl_situacao,"Vencido")</f>
      </c>
      <c r="E5" s="22"/>
      <c r="F5" s="22"/>
      <c r="G5" s="22">
        <f>COUNTIF(os_kanban,"Atrasado")</f>
      </c>
      <c r="H5" s="22"/>
      <c r="I5" s="22"/>
      <c r="J5" s="22">
        <f>COUNTIF(fm_nivel,"Crítico")</f>
      </c>
      <c r="K5" s="22"/>
      <c r="L5" s="22"/>
    </row>
    <row r="6" ht="18" customHeight="1" spans="1:12" x14ac:dyDescent="0.25">
      <c r="A6" s="23" t="s">
        <v>77</v>
      </c>
      <c r="B6" s="23"/>
      <c r="C6" s="23"/>
      <c r="D6" s="23" t="s">
        <v>78</v>
      </c>
      <c r="E6" s="23"/>
      <c r="F6" s="23"/>
      <c r="G6" s="23" t="s">
        <v>79</v>
      </c>
      <c r="H6" s="23"/>
      <c r="I6" s="23"/>
      <c r="J6" s="23" t="s">
        <v>80</v>
      </c>
      <c r="K6" s="23"/>
      <c r="L6" s="23"/>
    </row>
    <row r="7" ht="8" customHeight="1" x14ac:dyDescent="0.25"/>
    <row r="8" ht="20" customHeight="1" spans="1:12" x14ac:dyDescent="0.25">
      <c r="A8" s="18">
        <f>"Disponibilidade média: "&amp;IFERROR(FIXED(AVERAGE('KPIs por Ativo'!$I$4:$I$63)*100,1)&amp;"%","—")&amp;"   ·   OEE médio: "&amp;IFERROR(FIXED(AVERAGE('KPIs por Ativo'!$L$4:$L$63)*100,1)&amp;"%","—")&amp;"   ·   Planos: "&amp;COUNTA(pl_codigo)&amp;"   ·   OS abertas: "&amp;(COUNTA(os_numero)-COUNTIF(os_kanban,"Concluído"))</f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ht="8" customHeight="1" x14ac:dyDescent="0.25"/>
    <row r="10" ht="20" customHeight="1" spans="1:12" x14ac:dyDescent="0.25">
      <c r="A10" s="5" t="s">
        <v>81</v>
      </c>
      <c r="B10" s="5"/>
      <c r="C10" s="5"/>
      <c r="D10" s="5"/>
      <c r="E10" s="5" t="s">
        <v>82</v>
      </c>
      <c r="F10" s="5"/>
      <c r="G10" s="5"/>
      <c r="H10" s="5"/>
      <c r="I10" s="5" t="s">
        <v>83</v>
      </c>
      <c r="J10" s="5"/>
      <c r="K10" s="5"/>
      <c r="L10" s="5"/>
    </row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8" customHeight="1" x14ac:dyDescent="0.25"/>
    <row r="28" ht="20" customHeight="1" spans="1:12" x14ac:dyDescent="0.25">
      <c r="A28" s="5" t="s">
        <v>84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8" t="s">
        <v>85</v>
      </c>
      <c r="B29" s="8"/>
      <c r="C29" s="8" t="s">
        <v>8</v>
      </c>
      <c r="D29" s="8"/>
      <c r="E29" s="8" t="s">
        <v>86</v>
      </c>
      <c r="F29" s="8"/>
      <c r="G29" s="8" t="s">
        <v>8</v>
      </c>
      <c r="H29" s="8"/>
      <c r="I29" s="8" t="s">
        <v>87</v>
      </c>
      <c r="J29" s="8"/>
      <c r="K29" s="8" t="s">
        <v>8</v>
      </c>
      <c r="L29" s="8"/>
    </row>
    <row r="30" spans="1:12" x14ac:dyDescent="0.25">
      <c r="A30" s="24" t="s">
        <v>88</v>
      </c>
      <c r="B30" s="24"/>
      <c r="C30" s="25">
        <f>COUNTIF(os_kanban,"Programado")</f>
      </c>
      <c r="D30" s="25"/>
      <c r="E30" s="24" t="s">
        <v>89</v>
      </c>
      <c r="F30" s="24"/>
      <c r="G30" s="25">
        <f>COUNTIF(fm_nivel,"Crítico")</f>
      </c>
      <c r="H30" s="25"/>
      <c r="I30" s="24">
        <f>'KPIs por Ativo'!A4&amp;""</f>
      </c>
      <c r="J30" s="24"/>
      <c r="K30" s="26">
        <f>N('KPIs por Ativo'!I4)</f>
      </c>
      <c r="L30" s="26"/>
    </row>
    <row r="31" spans="1:12" x14ac:dyDescent="0.25">
      <c r="A31" s="24" t="s">
        <v>90</v>
      </c>
      <c r="B31" s="24"/>
      <c r="C31" s="25">
        <f>COUNTIF(os_kanban,"Em andamento")</f>
      </c>
      <c r="D31" s="25"/>
      <c r="E31" s="24" t="s">
        <v>91</v>
      </c>
      <c r="F31" s="24"/>
      <c r="G31" s="25">
        <f>COUNTIF(fm_nivel,"Alto")</f>
      </c>
      <c r="H31" s="25"/>
      <c r="I31" s="24">
        <f>'KPIs por Ativo'!A5&amp;""</f>
      </c>
      <c r="J31" s="24"/>
      <c r="K31" s="26">
        <f>N('KPIs por Ativo'!I5)</f>
      </c>
      <c r="L31" s="26"/>
    </row>
    <row r="32" spans="1:12" x14ac:dyDescent="0.25">
      <c r="A32" s="24" t="s">
        <v>92</v>
      </c>
      <c r="B32" s="24"/>
      <c r="C32" s="25">
        <f>COUNTIF(os_kanban,"Atrasado")</f>
      </c>
      <c r="D32" s="25"/>
      <c r="E32" s="24" t="s">
        <v>93</v>
      </c>
      <c r="F32" s="24"/>
      <c r="G32" s="25">
        <f>COUNTIF(fm_nivel,"Médio")</f>
      </c>
      <c r="H32" s="25"/>
      <c r="I32" s="24">
        <f>'KPIs por Ativo'!A6&amp;""</f>
      </c>
      <c r="J32" s="24"/>
      <c r="K32" s="26">
        <f>N('KPIs por Ativo'!I6)</f>
      </c>
      <c r="L32" s="26"/>
    </row>
    <row r="33" spans="1:12" x14ac:dyDescent="0.25">
      <c r="A33" s="24" t="s">
        <v>94</v>
      </c>
      <c r="B33" s="24"/>
      <c r="C33" s="25">
        <f>COUNTIF(os_kanban,"Concluído")</f>
      </c>
      <c r="D33" s="25"/>
      <c r="E33" s="24" t="s">
        <v>95</v>
      </c>
      <c r="F33" s="24"/>
      <c r="G33" s="25">
        <f>COUNTIF(fm_nivel,"Baixo")</f>
      </c>
      <c r="H33" s="25"/>
      <c r="I33" s="24">
        <f>'KPIs por Ativo'!A7&amp;""</f>
      </c>
      <c r="J33" s="24"/>
      <c r="K33" s="26">
        <f>N('KPIs por Ativo'!I7)</f>
      </c>
      <c r="L33" s="26"/>
    </row>
    <row r="34" spans="1:12" x14ac:dyDescent="0.25">
      <c r="A34" s="24" t="s">
        <v>96</v>
      </c>
      <c r="B34" s="24"/>
      <c r="C34" s="25">
        <f>COUNTIF(os_kanban,"Backlog")</f>
      </c>
      <c r="D34" s="25"/>
      <c r="I34" s="24">
        <f>'KPIs por Ativo'!A8&amp;""</f>
      </c>
      <c r="J34" s="24"/>
      <c r="K34" s="26">
        <f>N('KPIs por Ativo'!I8)</f>
      </c>
      <c r="L34" s="26"/>
    </row>
    <row r="35" spans="9:12" x14ac:dyDescent="0.25">
      <c r="I35" s="24">
        <f>'KPIs por Ativo'!A9&amp;""</f>
      </c>
      <c r="J35" s="24"/>
      <c r="K35" s="26">
        <f>N('KPIs por Ativo'!I9)</f>
      </c>
      <c r="L35" s="26"/>
    </row>
    <row r="36" spans="9:12" x14ac:dyDescent="0.25">
      <c r="I36" s="24">
        <f>'KPIs por Ativo'!A10&amp;""</f>
      </c>
      <c r="J36" s="24"/>
      <c r="K36" s="26">
        <f>N('KPIs por Ativo'!I10)</f>
      </c>
      <c r="L36" s="26"/>
    </row>
    <row r="37" spans="9:12" x14ac:dyDescent="0.25">
      <c r="I37" s="24">
        <f>'KPIs por Ativo'!A11&amp;""</f>
      </c>
      <c r="J37" s="24"/>
      <c r="K37" s="26">
        <f>N('KPIs por Ativo'!I11)</f>
      </c>
      <c r="L37" s="26"/>
    </row>
    <row r="38" spans="9:12" x14ac:dyDescent="0.25">
      <c r="I38" s="24">
        <f>'KPIs por Ativo'!A12&amp;""</f>
      </c>
      <c r="J38" s="24"/>
      <c r="K38" s="26">
        <f>N('KPIs por Ativo'!I12)</f>
      </c>
      <c r="L38" s="26"/>
    </row>
    <row r="39" spans="9:12" x14ac:dyDescent="0.25">
      <c r="I39" s="24">
        <f>'KPIs por Ativo'!A13&amp;""</f>
      </c>
      <c r="J39" s="24"/>
      <c r="K39" s="26">
        <f>N('KPIs por Ativo'!I13)</f>
      </c>
      <c r="L39" s="26"/>
    </row>
    <row r="40" spans="9:12" x14ac:dyDescent="0.25">
      <c r="I40" s="24">
        <f>'KPIs por Ativo'!A14&amp;""</f>
      </c>
      <c r="J40" s="24"/>
      <c r="K40" s="26">
        <f>N('KPIs por Ativo'!I14)</f>
      </c>
      <c r="L40" s="26"/>
    </row>
    <row r="41" spans="9:12" x14ac:dyDescent="0.25">
      <c r="I41" s="24">
        <f>'KPIs por Ativo'!A15&amp;""</f>
      </c>
      <c r="J41" s="24"/>
      <c r="K41" s="26">
        <f>N('KPIs por Ativo'!I15)</f>
      </c>
      <c r="L41" s="26"/>
    </row>
  </sheetData>
  <sheetProtection sheet="1" formatColumns="0" formatRows="0" autoFilter="0"/>
  <mergeCells count="43">
    <mergeCell ref="A1:B2"/>
    <mergeCell ref="C1:K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L8"/>
    <mergeCell ref="A10:D10"/>
    <mergeCell ref="E10:H10"/>
    <mergeCell ref="I10:L10"/>
    <mergeCell ref="A28:L28"/>
    <mergeCell ref="A29:B29"/>
    <mergeCell ref="E29:F29"/>
    <mergeCell ref="I29:J29"/>
    <mergeCell ref="A30:B30"/>
    <mergeCell ref="E30:F30"/>
    <mergeCell ref="I30:J30"/>
    <mergeCell ref="A31:B31"/>
    <mergeCell ref="E31:F31"/>
    <mergeCell ref="I31:J31"/>
    <mergeCell ref="A32:B32"/>
    <mergeCell ref="E32:F32"/>
    <mergeCell ref="I32:J32"/>
    <mergeCell ref="A33:B33"/>
    <mergeCell ref="E33:F33"/>
    <mergeCell ref="I33:J33"/>
    <mergeCell ref="A34:B34"/>
    <mergeCell ref="I34:J34"/>
    <mergeCell ref="I35:J35"/>
    <mergeCell ref="I36:J36"/>
    <mergeCell ref="I37:J37"/>
    <mergeCell ref="I38:J38"/>
    <mergeCell ref="I39:J39"/>
    <mergeCell ref="I40:J40"/>
    <mergeCell ref="I41:J41"/>
  </mergeCells>
  <conditionalFormatting sqref="D5">
    <cfRule type="expression" dxfId="4" priority="1">
      <formula>AND(ISNUMBER(D5),D5&gt;0)</formula>
    </cfRule>
  </conditionalFormatting>
  <conditionalFormatting sqref="G5">
    <cfRule type="expression" dxfId="5" priority="1">
      <formula>AND(ISNUMBER(G5),G5&gt;0)</formula>
    </cfRule>
  </conditionalFormatting>
  <conditionalFormatting sqref="J5">
    <cfRule type="expression" dxfId="6" priority="1">
      <formula>AND(ISNUMBER(J5),J5&gt;0)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4" customWidth="1"/>
    <col min="5" max="5" width="11" customWidth="1"/>
    <col min="6" max="6" width="12" customWidth="1"/>
    <col min="7" max="7" width="14" customWidth="1"/>
    <col min="8" max="8" width="18" customWidth="1"/>
    <col min="9" max="10" width="30" customWidth="1"/>
  </cols>
  <sheetData>
    <row r="1" ht="36" customHeight="1" spans="1:10" x14ac:dyDescent="0.25">
      <c r="A1" s="1"/>
      <c r="B1" s="1"/>
      <c r="C1" s="2" t="s">
        <v>97</v>
      </c>
      <c r="D1" s="2"/>
      <c r="E1" s="2"/>
      <c r="F1" s="2"/>
      <c r="G1" s="2"/>
      <c r="H1" s="2"/>
      <c r="I1" s="2"/>
      <c r="J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0" x14ac:dyDescent="0.25">
      <c r="A2" s="1"/>
      <c r="B2" s="1"/>
      <c r="C2" s="2"/>
      <c r="D2" s="2"/>
      <c r="E2" s="2"/>
      <c r="F2" s="2"/>
      <c r="G2" s="2"/>
      <c r="H2" s="2"/>
      <c r="I2" s="2"/>
      <c r="J2" s="4">
        <f>"Elaborado: "&amp;IF(cfg_elaborado="","A definir",cfg_elaborado)&amp;CHAR(10)&amp;"Aprovado: "&amp;IF(cfg_aprovado="","A definir",cfg_aprovado)</f>
      </c>
    </row>
    <row r="3" ht="30" customHeight="1" spans="1:10" x14ac:dyDescent="0.25">
      <c r="A3" s="8" t="s">
        <v>98</v>
      </c>
      <c r="B3" s="8" t="s">
        <v>99</v>
      </c>
      <c r="C3" s="8" t="s">
        <v>100</v>
      </c>
      <c r="D3" s="8" t="s">
        <v>101</v>
      </c>
      <c r="E3" s="8" t="s">
        <v>102</v>
      </c>
      <c r="F3" s="8" t="s">
        <v>103</v>
      </c>
      <c r="G3" s="8" t="s">
        <v>104</v>
      </c>
      <c r="H3" s="8" t="s">
        <v>105</v>
      </c>
      <c r="I3" s="8" t="s">
        <v>106</v>
      </c>
      <c r="J3" s="8" t="s">
        <v>107</v>
      </c>
    </row>
    <row r="4" spans="1:10" x14ac:dyDescent="0.25">
      <c r="A4" s="27"/>
      <c r="B4" s="28"/>
      <c r="C4" s="29"/>
      <c r="D4" s="29"/>
      <c r="E4" s="29"/>
      <c r="F4" s="30"/>
      <c r="G4" s="29"/>
      <c r="H4" s="28"/>
      <c r="I4" s="31"/>
      <c r="J4" s="32">
        <f t="shared" ref="J4:J203" si="0">IF(A4&amp;B4="","",IF(A4="","ERRO: falta o código",IF(COUNTIF(at_codigo,A4)&gt;1,"ERRO: código repetido",IF(OR(D4="",E4=""),"Pendente: setor e criticidade","OK"))))</f>
      </c>
    </row>
    <row r="5" spans="1:10" x14ac:dyDescent="0.25">
      <c r="A5" s="27"/>
      <c r="B5" s="28"/>
      <c r="C5" s="29"/>
      <c r="D5" s="29"/>
      <c r="E5" s="29"/>
      <c r="F5" s="30"/>
      <c r="G5" s="29"/>
      <c r="H5" s="28"/>
      <c r="I5" s="31"/>
      <c r="J5" s="32">
        <f t="shared" si="0"/>
      </c>
    </row>
    <row r="6" spans="1:10" x14ac:dyDescent="0.25">
      <c r="A6" s="27"/>
      <c r="B6" s="28"/>
      <c r="C6" s="29"/>
      <c r="D6" s="29"/>
      <c r="E6" s="29"/>
      <c r="F6" s="30"/>
      <c r="G6" s="29"/>
      <c r="H6" s="28"/>
      <c r="I6" s="31"/>
      <c r="J6" s="32">
        <f t="shared" si="0"/>
      </c>
    </row>
    <row r="7" spans="1:10" x14ac:dyDescent="0.25">
      <c r="A7" s="27"/>
      <c r="B7" s="28"/>
      <c r="C7" s="29"/>
      <c r="D7" s="29"/>
      <c r="E7" s="29"/>
      <c r="F7" s="30"/>
      <c r="G7" s="29"/>
      <c r="H7" s="28"/>
      <c r="I7" s="31"/>
      <c r="J7" s="32">
        <f t="shared" si="0"/>
      </c>
    </row>
    <row r="8" spans="1:10" x14ac:dyDescent="0.25">
      <c r="A8" s="27"/>
      <c r="B8" s="28"/>
      <c r="C8" s="29"/>
      <c r="D8" s="29"/>
      <c r="E8" s="29"/>
      <c r="F8" s="30"/>
      <c r="G8" s="29"/>
      <c r="H8" s="28"/>
      <c r="I8" s="31"/>
      <c r="J8" s="32">
        <f t="shared" si="0"/>
      </c>
    </row>
    <row r="9" spans="1:10" x14ac:dyDescent="0.25">
      <c r="A9" s="27"/>
      <c r="B9" s="28"/>
      <c r="C9" s="29"/>
      <c r="D9" s="29"/>
      <c r="E9" s="29"/>
      <c r="F9" s="30"/>
      <c r="G9" s="29"/>
      <c r="H9" s="28"/>
      <c r="I9" s="31"/>
      <c r="J9" s="32">
        <f t="shared" si="0"/>
      </c>
    </row>
    <row r="10" spans="1:10" x14ac:dyDescent="0.25">
      <c r="A10" s="27"/>
      <c r="B10" s="28"/>
      <c r="C10" s="29"/>
      <c r="D10" s="29"/>
      <c r="E10" s="29"/>
      <c r="F10" s="30"/>
      <c r="G10" s="29"/>
      <c r="H10" s="28"/>
      <c r="I10" s="31"/>
      <c r="J10" s="32">
        <f t="shared" si="0"/>
      </c>
    </row>
    <row r="11" spans="1:10" x14ac:dyDescent="0.25">
      <c r="A11" s="27"/>
      <c r="B11" s="28"/>
      <c r="C11" s="29"/>
      <c r="D11" s="29"/>
      <c r="E11" s="29"/>
      <c r="F11" s="30"/>
      <c r="G11" s="29"/>
      <c r="H11" s="28"/>
      <c r="I11" s="31"/>
      <c r="J11" s="32">
        <f t="shared" si="0"/>
      </c>
    </row>
    <row r="12" spans="1:10" x14ac:dyDescent="0.25">
      <c r="A12" s="27"/>
      <c r="B12" s="28"/>
      <c r="C12" s="29"/>
      <c r="D12" s="29"/>
      <c r="E12" s="29"/>
      <c r="F12" s="30"/>
      <c r="G12" s="29"/>
      <c r="H12" s="28"/>
      <c r="I12" s="31"/>
      <c r="J12" s="32">
        <f t="shared" si="0"/>
      </c>
    </row>
    <row r="13" spans="1:10" x14ac:dyDescent="0.25">
      <c r="A13" s="27"/>
      <c r="B13" s="28"/>
      <c r="C13" s="29"/>
      <c r="D13" s="29"/>
      <c r="E13" s="29"/>
      <c r="F13" s="30"/>
      <c r="G13" s="29"/>
      <c r="H13" s="28"/>
      <c r="I13" s="31"/>
      <c r="J13" s="32">
        <f t="shared" si="0"/>
      </c>
    </row>
    <row r="14" spans="1:10" x14ac:dyDescent="0.25">
      <c r="A14" s="27"/>
      <c r="B14" s="28"/>
      <c r="C14" s="29"/>
      <c r="D14" s="29"/>
      <c r="E14" s="29"/>
      <c r="F14" s="30"/>
      <c r="G14" s="29"/>
      <c r="H14" s="28"/>
      <c r="I14" s="31"/>
      <c r="J14" s="32">
        <f t="shared" si="0"/>
      </c>
    </row>
    <row r="15" spans="1:10" x14ac:dyDescent="0.25">
      <c r="A15" s="27"/>
      <c r="B15" s="28"/>
      <c r="C15" s="29"/>
      <c r="D15" s="29"/>
      <c r="E15" s="29"/>
      <c r="F15" s="30"/>
      <c r="G15" s="29"/>
      <c r="H15" s="28"/>
      <c r="I15" s="31"/>
      <c r="J15" s="32">
        <f t="shared" si="0"/>
      </c>
    </row>
    <row r="16" spans="1:10" x14ac:dyDescent="0.25">
      <c r="A16" s="27"/>
      <c r="B16" s="28"/>
      <c r="C16" s="29"/>
      <c r="D16" s="29"/>
      <c r="E16" s="29"/>
      <c r="F16" s="30"/>
      <c r="G16" s="29"/>
      <c r="H16" s="28"/>
      <c r="I16" s="31"/>
      <c r="J16" s="32">
        <f t="shared" si="0"/>
      </c>
    </row>
    <row r="17" spans="1:10" x14ac:dyDescent="0.25">
      <c r="A17" s="27"/>
      <c r="B17" s="28"/>
      <c r="C17" s="29"/>
      <c r="D17" s="29"/>
      <c r="E17" s="29"/>
      <c r="F17" s="30"/>
      <c r="G17" s="29"/>
      <c r="H17" s="28"/>
      <c r="I17" s="31"/>
      <c r="J17" s="32">
        <f t="shared" si="0"/>
      </c>
    </row>
    <row r="18" spans="1:10" x14ac:dyDescent="0.25">
      <c r="A18" s="27"/>
      <c r="B18" s="28"/>
      <c r="C18" s="29"/>
      <c r="D18" s="29"/>
      <c r="E18" s="29"/>
      <c r="F18" s="30"/>
      <c r="G18" s="29"/>
      <c r="H18" s="28"/>
      <c r="I18" s="31"/>
      <c r="J18" s="32">
        <f t="shared" si="0"/>
      </c>
    </row>
    <row r="19" spans="1:10" x14ac:dyDescent="0.25">
      <c r="A19" s="27"/>
      <c r="B19" s="28"/>
      <c r="C19" s="29"/>
      <c r="D19" s="29"/>
      <c r="E19" s="29"/>
      <c r="F19" s="30"/>
      <c r="G19" s="29"/>
      <c r="H19" s="28"/>
      <c r="I19" s="31"/>
      <c r="J19" s="32">
        <f t="shared" si="0"/>
      </c>
    </row>
    <row r="20" spans="1:10" x14ac:dyDescent="0.25">
      <c r="A20" s="27"/>
      <c r="B20" s="28"/>
      <c r="C20" s="29"/>
      <c r="D20" s="29"/>
      <c r="E20" s="29"/>
      <c r="F20" s="30"/>
      <c r="G20" s="29"/>
      <c r="H20" s="28"/>
      <c r="I20" s="31"/>
      <c r="J20" s="32">
        <f t="shared" si="0"/>
      </c>
    </row>
    <row r="21" spans="1:10" x14ac:dyDescent="0.25">
      <c r="A21" s="27"/>
      <c r="B21" s="28"/>
      <c r="C21" s="29"/>
      <c r="D21" s="29"/>
      <c r="E21" s="29"/>
      <c r="F21" s="30"/>
      <c r="G21" s="29"/>
      <c r="H21" s="28"/>
      <c r="I21" s="31"/>
      <c r="J21" s="32">
        <f t="shared" si="0"/>
      </c>
    </row>
    <row r="22" spans="1:10" x14ac:dyDescent="0.25">
      <c r="A22" s="27"/>
      <c r="B22" s="28"/>
      <c r="C22" s="29"/>
      <c r="D22" s="29"/>
      <c r="E22" s="29"/>
      <c r="F22" s="30"/>
      <c r="G22" s="29"/>
      <c r="H22" s="28"/>
      <c r="I22" s="31"/>
      <c r="J22" s="32">
        <f t="shared" si="0"/>
      </c>
    </row>
    <row r="23" spans="1:10" x14ac:dyDescent="0.25">
      <c r="A23" s="27"/>
      <c r="B23" s="28"/>
      <c r="C23" s="29"/>
      <c r="D23" s="29"/>
      <c r="E23" s="29"/>
      <c r="F23" s="30"/>
      <c r="G23" s="29"/>
      <c r="H23" s="28"/>
      <c r="I23" s="31"/>
      <c r="J23" s="32">
        <f t="shared" si="0"/>
      </c>
    </row>
    <row r="24" spans="1:10" x14ac:dyDescent="0.25">
      <c r="A24" s="27"/>
      <c r="B24" s="28"/>
      <c r="C24" s="29"/>
      <c r="D24" s="29"/>
      <c r="E24" s="29"/>
      <c r="F24" s="30"/>
      <c r="G24" s="29"/>
      <c r="H24" s="28"/>
      <c r="I24" s="31"/>
      <c r="J24" s="32">
        <f t="shared" si="0"/>
      </c>
    </row>
    <row r="25" spans="1:10" x14ac:dyDescent="0.25">
      <c r="A25" s="27"/>
      <c r="B25" s="28"/>
      <c r="C25" s="29"/>
      <c r="D25" s="29"/>
      <c r="E25" s="29"/>
      <c r="F25" s="30"/>
      <c r="G25" s="29"/>
      <c r="H25" s="28"/>
      <c r="I25" s="31"/>
      <c r="J25" s="32">
        <f t="shared" si="0"/>
      </c>
    </row>
    <row r="26" spans="1:10" x14ac:dyDescent="0.25">
      <c r="A26" s="27"/>
      <c r="B26" s="28"/>
      <c r="C26" s="29"/>
      <c r="D26" s="29"/>
      <c r="E26" s="29"/>
      <c r="F26" s="30"/>
      <c r="G26" s="29"/>
      <c r="H26" s="28"/>
      <c r="I26" s="31"/>
      <c r="J26" s="32">
        <f t="shared" si="0"/>
      </c>
    </row>
    <row r="27" spans="1:10" x14ac:dyDescent="0.25">
      <c r="A27" s="27"/>
      <c r="B27" s="28"/>
      <c r="C27" s="29"/>
      <c r="D27" s="29"/>
      <c r="E27" s="29"/>
      <c r="F27" s="30"/>
      <c r="G27" s="29"/>
      <c r="H27" s="28"/>
      <c r="I27" s="31"/>
      <c r="J27" s="32">
        <f t="shared" si="0"/>
      </c>
    </row>
    <row r="28" spans="1:10" x14ac:dyDescent="0.25">
      <c r="A28" s="27"/>
      <c r="B28" s="28"/>
      <c r="C28" s="29"/>
      <c r="D28" s="29"/>
      <c r="E28" s="29"/>
      <c r="F28" s="30"/>
      <c r="G28" s="29"/>
      <c r="H28" s="28"/>
      <c r="I28" s="31"/>
      <c r="J28" s="32">
        <f t="shared" si="0"/>
      </c>
    </row>
    <row r="29" spans="1:10" x14ac:dyDescent="0.25">
      <c r="A29" s="27"/>
      <c r="B29" s="28"/>
      <c r="C29" s="29"/>
      <c r="D29" s="29"/>
      <c r="E29" s="29"/>
      <c r="F29" s="30"/>
      <c r="G29" s="29"/>
      <c r="H29" s="28"/>
      <c r="I29" s="31"/>
      <c r="J29" s="32">
        <f t="shared" si="0"/>
      </c>
    </row>
    <row r="30" spans="1:10" x14ac:dyDescent="0.25">
      <c r="A30" s="27"/>
      <c r="B30" s="28"/>
      <c r="C30" s="29"/>
      <c r="D30" s="29"/>
      <c r="E30" s="29"/>
      <c r="F30" s="30"/>
      <c r="G30" s="29"/>
      <c r="H30" s="28"/>
      <c r="I30" s="31"/>
      <c r="J30" s="32">
        <f t="shared" si="0"/>
      </c>
    </row>
    <row r="31" spans="1:10" x14ac:dyDescent="0.25">
      <c r="A31" s="27"/>
      <c r="B31" s="28"/>
      <c r="C31" s="29"/>
      <c r="D31" s="29"/>
      <c r="E31" s="29"/>
      <c r="F31" s="30"/>
      <c r="G31" s="29"/>
      <c r="H31" s="28"/>
      <c r="I31" s="31"/>
      <c r="J31" s="32">
        <f t="shared" si="0"/>
      </c>
    </row>
    <row r="32" spans="1:10" x14ac:dyDescent="0.25">
      <c r="A32" s="27"/>
      <c r="B32" s="28"/>
      <c r="C32" s="29"/>
      <c r="D32" s="29"/>
      <c r="E32" s="29"/>
      <c r="F32" s="30"/>
      <c r="G32" s="29"/>
      <c r="H32" s="28"/>
      <c r="I32" s="31"/>
      <c r="J32" s="32">
        <f t="shared" si="0"/>
      </c>
    </row>
    <row r="33" spans="1:10" x14ac:dyDescent="0.25">
      <c r="A33" s="27"/>
      <c r="B33" s="28"/>
      <c r="C33" s="29"/>
      <c r="D33" s="29"/>
      <c r="E33" s="29"/>
      <c r="F33" s="30"/>
      <c r="G33" s="29"/>
      <c r="H33" s="28"/>
      <c r="I33" s="31"/>
      <c r="J33" s="32">
        <f t="shared" si="0"/>
      </c>
    </row>
    <row r="34" spans="1:10" x14ac:dyDescent="0.25">
      <c r="A34" s="27"/>
      <c r="B34" s="28"/>
      <c r="C34" s="29"/>
      <c r="D34" s="29"/>
      <c r="E34" s="29"/>
      <c r="F34" s="30"/>
      <c r="G34" s="29"/>
      <c r="H34" s="28"/>
      <c r="I34" s="31"/>
      <c r="J34" s="32">
        <f t="shared" si="0"/>
      </c>
    </row>
    <row r="35" spans="1:10" x14ac:dyDescent="0.25">
      <c r="A35" s="27"/>
      <c r="B35" s="28"/>
      <c r="C35" s="29"/>
      <c r="D35" s="29"/>
      <c r="E35" s="29"/>
      <c r="F35" s="30"/>
      <c r="G35" s="29"/>
      <c r="H35" s="28"/>
      <c r="I35" s="31"/>
      <c r="J35" s="32">
        <f t="shared" si="0"/>
      </c>
    </row>
    <row r="36" spans="1:10" x14ac:dyDescent="0.25">
      <c r="A36" s="27"/>
      <c r="B36" s="28"/>
      <c r="C36" s="29"/>
      <c r="D36" s="29"/>
      <c r="E36" s="29"/>
      <c r="F36" s="30"/>
      <c r="G36" s="29"/>
      <c r="H36" s="28"/>
      <c r="I36" s="31"/>
      <c r="J36" s="32">
        <f t="shared" si="0"/>
      </c>
    </row>
    <row r="37" spans="1:10" x14ac:dyDescent="0.25">
      <c r="A37" s="27"/>
      <c r="B37" s="28"/>
      <c r="C37" s="29"/>
      <c r="D37" s="29"/>
      <c r="E37" s="29"/>
      <c r="F37" s="30"/>
      <c r="G37" s="29"/>
      <c r="H37" s="28"/>
      <c r="I37" s="31"/>
      <c r="J37" s="32">
        <f t="shared" si="0"/>
      </c>
    </row>
    <row r="38" spans="1:10" x14ac:dyDescent="0.25">
      <c r="A38" s="27"/>
      <c r="B38" s="28"/>
      <c r="C38" s="29"/>
      <c r="D38" s="29"/>
      <c r="E38" s="29"/>
      <c r="F38" s="30"/>
      <c r="G38" s="29"/>
      <c r="H38" s="28"/>
      <c r="I38" s="31"/>
      <c r="J38" s="32">
        <f t="shared" si="0"/>
      </c>
    </row>
    <row r="39" spans="1:10" x14ac:dyDescent="0.25">
      <c r="A39" s="27"/>
      <c r="B39" s="28"/>
      <c r="C39" s="29"/>
      <c r="D39" s="29"/>
      <c r="E39" s="29"/>
      <c r="F39" s="30"/>
      <c r="G39" s="29"/>
      <c r="H39" s="28"/>
      <c r="I39" s="31"/>
      <c r="J39" s="32">
        <f t="shared" si="0"/>
      </c>
    </row>
    <row r="40" spans="1:10" x14ac:dyDescent="0.25">
      <c r="A40" s="27"/>
      <c r="B40" s="28"/>
      <c r="C40" s="29"/>
      <c r="D40" s="29"/>
      <c r="E40" s="29"/>
      <c r="F40" s="30"/>
      <c r="G40" s="29"/>
      <c r="H40" s="28"/>
      <c r="I40" s="31"/>
      <c r="J40" s="32">
        <f t="shared" si="0"/>
      </c>
    </row>
    <row r="41" spans="1:10" x14ac:dyDescent="0.25">
      <c r="A41" s="27"/>
      <c r="B41" s="28"/>
      <c r="C41" s="29"/>
      <c r="D41" s="29"/>
      <c r="E41" s="29"/>
      <c r="F41" s="30"/>
      <c r="G41" s="29"/>
      <c r="H41" s="28"/>
      <c r="I41" s="31"/>
      <c r="J41" s="32">
        <f t="shared" si="0"/>
      </c>
    </row>
    <row r="42" spans="1:10" x14ac:dyDescent="0.25">
      <c r="A42" s="27"/>
      <c r="B42" s="28"/>
      <c r="C42" s="29"/>
      <c r="D42" s="29"/>
      <c r="E42" s="29"/>
      <c r="F42" s="30"/>
      <c r="G42" s="29"/>
      <c r="H42" s="28"/>
      <c r="I42" s="31"/>
      <c r="J42" s="32">
        <f t="shared" si="0"/>
      </c>
    </row>
    <row r="43" spans="1:10" x14ac:dyDescent="0.25">
      <c r="A43" s="27"/>
      <c r="B43" s="28"/>
      <c r="C43" s="29"/>
      <c r="D43" s="29"/>
      <c r="E43" s="29"/>
      <c r="F43" s="30"/>
      <c r="G43" s="29"/>
      <c r="H43" s="28"/>
      <c r="I43" s="31"/>
      <c r="J43" s="32">
        <f t="shared" si="0"/>
      </c>
    </row>
    <row r="44" spans="1:10" x14ac:dyDescent="0.25">
      <c r="A44" s="27"/>
      <c r="B44" s="28"/>
      <c r="C44" s="29"/>
      <c r="D44" s="29"/>
      <c r="E44" s="29"/>
      <c r="F44" s="30"/>
      <c r="G44" s="29"/>
      <c r="H44" s="28"/>
      <c r="I44" s="31"/>
      <c r="J44" s="32">
        <f t="shared" si="0"/>
      </c>
    </row>
    <row r="45" spans="1:10" x14ac:dyDescent="0.25">
      <c r="A45" s="27"/>
      <c r="B45" s="28"/>
      <c r="C45" s="29"/>
      <c r="D45" s="29"/>
      <c r="E45" s="29"/>
      <c r="F45" s="30"/>
      <c r="G45" s="29"/>
      <c r="H45" s="28"/>
      <c r="I45" s="31"/>
      <c r="J45" s="32">
        <f t="shared" si="0"/>
      </c>
    </row>
    <row r="46" spans="1:10" x14ac:dyDescent="0.25">
      <c r="A46" s="27"/>
      <c r="B46" s="28"/>
      <c r="C46" s="29"/>
      <c r="D46" s="29"/>
      <c r="E46" s="29"/>
      <c r="F46" s="30"/>
      <c r="G46" s="29"/>
      <c r="H46" s="28"/>
      <c r="I46" s="31"/>
      <c r="J46" s="32">
        <f t="shared" si="0"/>
      </c>
    </row>
    <row r="47" spans="1:10" x14ac:dyDescent="0.25">
      <c r="A47" s="27"/>
      <c r="B47" s="28"/>
      <c r="C47" s="29"/>
      <c r="D47" s="29"/>
      <c r="E47" s="29"/>
      <c r="F47" s="30"/>
      <c r="G47" s="29"/>
      <c r="H47" s="28"/>
      <c r="I47" s="31"/>
      <c r="J47" s="32">
        <f t="shared" si="0"/>
      </c>
    </row>
    <row r="48" spans="1:10" x14ac:dyDescent="0.25">
      <c r="A48" s="27"/>
      <c r="B48" s="28"/>
      <c r="C48" s="29"/>
      <c r="D48" s="29"/>
      <c r="E48" s="29"/>
      <c r="F48" s="30"/>
      <c r="G48" s="29"/>
      <c r="H48" s="28"/>
      <c r="I48" s="31"/>
      <c r="J48" s="32">
        <f t="shared" si="0"/>
      </c>
    </row>
    <row r="49" spans="1:10" x14ac:dyDescent="0.25">
      <c r="A49" s="27"/>
      <c r="B49" s="28"/>
      <c r="C49" s="29"/>
      <c r="D49" s="29"/>
      <c r="E49" s="29"/>
      <c r="F49" s="30"/>
      <c r="G49" s="29"/>
      <c r="H49" s="28"/>
      <c r="I49" s="31"/>
      <c r="J49" s="32">
        <f t="shared" si="0"/>
      </c>
    </row>
    <row r="50" spans="1:10" x14ac:dyDescent="0.25">
      <c r="A50" s="27"/>
      <c r="B50" s="28"/>
      <c r="C50" s="29"/>
      <c r="D50" s="29"/>
      <c r="E50" s="29"/>
      <c r="F50" s="30"/>
      <c r="G50" s="29"/>
      <c r="H50" s="28"/>
      <c r="I50" s="31"/>
      <c r="J50" s="32">
        <f t="shared" si="0"/>
      </c>
    </row>
    <row r="51" spans="1:10" x14ac:dyDescent="0.25">
      <c r="A51" s="27"/>
      <c r="B51" s="28"/>
      <c r="C51" s="29"/>
      <c r="D51" s="29"/>
      <c r="E51" s="29"/>
      <c r="F51" s="30"/>
      <c r="G51" s="29"/>
      <c r="H51" s="28"/>
      <c r="I51" s="31"/>
      <c r="J51" s="32">
        <f t="shared" si="0"/>
      </c>
    </row>
    <row r="52" spans="1:10" x14ac:dyDescent="0.25">
      <c r="A52" s="27"/>
      <c r="B52" s="28"/>
      <c r="C52" s="29"/>
      <c r="D52" s="29"/>
      <c r="E52" s="29"/>
      <c r="F52" s="30"/>
      <c r="G52" s="29"/>
      <c r="H52" s="28"/>
      <c r="I52" s="31"/>
      <c r="J52" s="32">
        <f t="shared" si="0"/>
      </c>
    </row>
    <row r="53" spans="1:10" x14ac:dyDescent="0.25">
      <c r="A53" s="27"/>
      <c r="B53" s="28"/>
      <c r="C53" s="29"/>
      <c r="D53" s="29"/>
      <c r="E53" s="29"/>
      <c r="F53" s="30"/>
      <c r="G53" s="29"/>
      <c r="H53" s="28"/>
      <c r="I53" s="31"/>
      <c r="J53" s="32">
        <f t="shared" si="0"/>
      </c>
    </row>
    <row r="54" spans="1:10" x14ac:dyDescent="0.25">
      <c r="A54" s="27"/>
      <c r="B54" s="28"/>
      <c r="C54" s="29"/>
      <c r="D54" s="29"/>
      <c r="E54" s="29"/>
      <c r="F54" s="30"/>
      <c r="G54" s="29"/>
      <c r="H54" s="28"/>
      <c r="I54" s="31"/>
      <c r="J54" s="32">
        <f t="shared" si="0"/>
      </c>
    </row>
    <row r="55" spans="1:10" x14ac:dyDescent="0.25">
      <c r="A55" s="27"/>
      <c r="B55" s="28"/>
      <c r="C55" s="29"/>
      <c r="D55" s="29"/>
      <c r="E55" s="29"/>
      <c r="F55" s="30"/>
      <c r="G55" s="29"/>
      <c r="H55" s="28"/>
      <c r="I55" s="31"/>
      <c r="J55" s="32">
        <f t="shared" si="0"/>
      </c>
    </row>
    <row r="56" spans="1:10" x14ac:dyDescent="0.25">
      <c r="A56" s="27"/>
      <c r="B56" s="28"/>
      <c r="C56" s="29"/>
      <c r="D56" s="29"/>
      <c r="E56" s="29"/>
      <c r="F56" s="30"/>
      <c r="G56" s="29"/>
      <c r="H56" s="28"/>
      <c r="I56" s="31"/>
      <c r="J56" s="32">
        <f t="shared" si="0"/>
      </c>
    </row>
    <row r="57" spans="1:10" x14ac:dyDescent="0.25">
      <c r="A57" s="27"/>
      <c r="B57" s="28"/>
      <c r="C57" s="29"/>
      <c r="D57" s="29"/>
      <c r="E57" s="29"/>
      <c r="F57" s="30"/>
      <c r="G57" s="29"/>
      <c r="H57" s="28"/>
      <c r="I57" s="31"/>
      <c r="J57" s="32">
        <f t="shared" si="0"/>
      </c>
    </row>
    <row r="58" spans="1:10" x14ac:dyDescent="0.25">
      <c r="A58" s="27"/>
      <c r="B58" s="28"/>
      <c r="C58" s="29"/>
      <c r="D58" s="29"/>
      <c r="E58" s="29"/>
      <c r="F58" s="30"/>
      <c r="G58" s="29"/>
      <c r="H58" s="28"/>
      <c r="I58" s="31"/>
      <c r="J58" s="32">
        <f t="shared" si="0"/>
      </c>
    </row>
    <row r="59" spans="1:10" x14ac:dyDescent="0.25">
      <c r="A59" s="27"/>
      <c r="B59" s="28"/>
      <c r="C59" s="29"/>
      <c r="D59" s="29"/>
      <c r="E59" s="29"/>
      <c r="F59" s="30"/>
      <c r="G59" s="29"/>
      <c r="H59" s="28"/>
      <c r="I59" s="31"/>
      <c r="J59" s="32">
        <f t="shared" si="0"/>
      </c>
    </row>
    <row r="60" spans="1:10" x14ac:dyDescent="0.25">
      <c r="A60" s="27"/>
      <c r="B60" s="28"/>
      <c r="C60" s="29"/>
      <c r="D60" s="29"/>
      <c r="E60" s="29"/>
      <c r="F60" s="30"/>
      <c r="G60" s="29"/>
      <c r="H60" s="28"/>
      <c r="I60" s="31"/>
      <c r="J60" s="32">
        <f t="shared" si="0"/>
      </c>
    </row>
    <row r="61" spans="1:10" x14ac:dyDescent="0.25">
      <c r="A61" s="27"/>
      <c r="B61" s="28"/>
      <c r="C61" s="29"/>
      <c r="D61" s="29"/>
      <c r="E61" s="29"/>
      <c r="F61" s="30"/>
      <c r="G61" s="29"/>
      <c r="H61" s="28"/>
      <c r="I61" s="31"/>
      <c r="J61" s="32">
        <f t="shared" si="0"/>
      </c>
    </row>
    <row r="62" spans="1:10" x14ac:dyDescent="0.25">
      <c r="A62" s="27"/>
      <c r="B62" s="28"/>
      <c r="C62" s="29"/>
      <c r="D62" s="29"/>
      <c r="E62" s="29"/>
      <c r="F62" s="30"/>
      <c r="G62" s="29"/>
      <c r="H62" s="28"/>
      <c r="I62" s="31"/>
      <c r="J62" s="32">
        <f t="shared" si="0"/>
      </c>
    </row>
    <row r="63" spans="1:10" x14ac:dyDescent="0.25">
      <c r="A63" s="27"/>
      <c r="B63" s="28"/>
      <c r="C63" s="29"/>
      <c r="D63" s="29"/>
      <c r="E63" s="29"/>
      <c r="F63" s="30"/>
      <c r="G63" s="29"/>
      <c r="H63" s="28"/>
      <c r="I63" s="31"/>
      <c r="J63" s="32">
        <f t="shared" si="0"/>
      </c>
    </row>
    <row r="64" spans="1:10" x14ac:dyDescent="0.25">
      <c r="A64" s="27"/>
      <c r="B64" s="28"/>
      <c r="C64" s="29"/>
      <c r="D64" s="29"/>
      <c r="E64" s="29"/>
      <c r="F64" s="30"/>
      <c r="G64" s="29"/>
      <c r="H64" s="28"/>
      <c r="I64" s="31"/>
      <c r="J64" s="32">
        <f t="shared" si="0"/>
      </c>
    </row>
    <row r="65" spans="1:10" x14ac:dyDescent="0.25">
      <c r="A65" s="27"/>
      <c r="B65" s="28"/>
      <c r="C65" s="29"/>
      <c r="D65" s="29"/>
      <c r="E65" s="29"/>
      <c r="F65" s="30"/>
      <c r="G65" s="29"/>
      <c r="H65" s="28"/>
      <c r="I65" s="31"/>
      <c r="J65" s="32">
        <f t="shared" si="0"/>
      </c>
    </row>
    <row r="66" spans="1:10" x14ac:dyDescent="0.25">
      <c r="A66" s="27"/>
      <c r="B66" s="28"/>
      <c r="C66" s="29"/>
      <c r="D66" s="29"/>
      <c r="E66" s="29"/>
      <c r="F66" s="30"/>
      <c r="G66" s="29"/>
      <c r="H66" s="28"/>
      <c r="I66" s="31"/>
      <c r="J66" s="32">
        <f t="shared" si="0"/>
      </c>
    </row>
    <row r="67" spans="1:10" x14ac:dyDescent="0.25">
      <c r="A67" s="27"/>
      <c r="B67" s="28"/>
      <c r="C67" s="29"/>
      <c r="D67" s="29"/>
      <c r="E67" s="29"/>
      <c r="F67" s="30"/>
      <c r="G67" s="29"/>
      <c r="H67" s="28"/>
      <c r="I67" s="31"/>
      <c r="J67" s="32">
        <f t="shared" si="0"/>
      </c>
    </row>
    <row r="68" spans="1:10" x14ac:dyDescent="0.25">
      <c r="A68" s="27"/>
      <c r="B68" s="28"/>
      <c r="C68" s="29"/>
      <c r="D68" s="29"/>
      <c r="E68" s="29"/>
      <c r="F68" s="30"/>
      <c r="G68" s="29"/>
      <c r="H68" s="28"/>
      <c r="I68" s="31"/>
      <c r="J68" s="32">
        <f t="shared" si="0"/>
      </c>
    </row>
    <row r="69" spans="1:10" x14ac:dyDescent="0.25">
      <c r="A69" s="27"/>
      <c r="B69" s="28"/>
      <c r="C69" s="29"/>
      <c r="D69" s="29"/>
      <c r="E69" s="29"/>
      <c r="F69" s="30"/>
      <c r="G69" s="29"/>
      <c r="H69" s="28"/>
      <c r="I69" s="31"/>
      <c r="J69" s="32">
        <f t="shared" si="0"/>
      </c>
    </row>
    <row r="70" spans="1:10" x14ac:dyDescent="0.25">
      <c r="A70" s="27"/>
      <c r="B70" s="28"/>
      <c r="C70" s="29"/>
      <c r="D70" s="29"/>
      <c r="E70" s="29"/>
      <c r="F70" s="30"/>
      <c r="G70" s="29"/>
      <c r="H70" s="28"/>
      <c r="I70" s="31"/>
      <c r="J70" s="32">
        <f t="shared" si="0"/>
      </c>
    </row>
    <row r="71" spans="1:10" x14ac:dyDescent="0.25">
      <c r="A71" s="27"/>
      <c r="B71" s="28"/>
      <c r="C71" s="29"/>
      <c r="D71" s="29"/>
      <c r="E71" s="29"/>
      <c r="F71" s="30"/>
      <c r="G71" s="29"/>
      <c r="H71" s="28"/>
      <c r="I71" s="31"/>
      <c r="J71" s="32">
        <f t="shared" si="0"/>
      </c>
    </row>
    <row r="72" spans="1:10" x14ac:dyDescent="0.25">
      <c r="A72" s="27"/>
      <c r="B72" s="28"/>
      <c r="C72" s="29"/>
      <c r="D72" s="29"/>
      <c r="E72" s="29"/>
      <c r="F72" s="30"/>
      <c r="G72" s="29"/>
      <c r="H72" s="28"/>
      <c r="I72" s="31"/>
      <c r="J72" s="32">
        <f t="shared" si="0"/>
      </c>
    </row>
    <row r="73" spans="1:10" x14ac:dyDescent="0.25">
      <c r="A73" s="27"/>
      <c r="B73" s="28"/>
      <c r="C73" s="29"/>
      <c r="D73" s="29"/>
      <c r="E73" s="29"/>
      <c r="F73" s="30"/>
      <c r="G73" s="29"/>
      <c r="H73" s="28"/>
      <c r="I73" s="31"/>
      <c r="J73" s="32">
        <f t="shared" si="0"/>
      </c>
    </row>
    <row r="74" spans="1:10" x14ac:dyDescent="0.25">
      <c r="A74" s="27"/>
      <c r="B74" s="28"/>
      <c r="C74" s="29"/>
      <c r="D74" s="29"/>
      <c r="E74" s="29"/>
      <c r="F74" s="30"/>
      <c r="G74" s="29"/>
      <c r="H74" s="28"/>
      <c r="I74" s="31"/>
      <c r="J74" s="32">
        <f t="shared" si="0"/>
      </c>
    </row>
    <row r="75" spans="1:10" x14ac:dyDescent="0.25">
      <c r="A75" s="27"/>
      <c r="B75" s="28"/>
      <c r="C75" s="29"/>
      <c r="D75" s="29"/>
      <c r="E75" s="29"/>
      <c r="F75" s="30"/>
      <c r="G75" s="29"/>
      <c r="H75" s="28"/>
      <c r="I75" s="31"/>
      <c r="J75" s="32">
        <f t="shared" si="0"/>
      </c>
    </row>
    <row r="76" spans="1:10" x14ac:dyDescent="0.25">
      <c r="A76" s="27"/>
      <c r="B76" s="28"/>
      <c r="C76" s="29"/>
      <c r="D76" s="29"/>
      <c r="E76" s="29"/>
      <c r="F76" s="30"/>
      <c r="G76" s="29"/>
      <c r="H76" s="28"/>
      <c r="I76" s="31"/>
      <c r="J76" s="32">
        <f t="shared" si="0"/>
      </c>
    </row>
    <row r="77" spans="1:10" x14ac:dyDescent="0.25">
      <c r="A77" s="27"/>
      <c r="B77" s="28"/>
      <c r="C77" s="29"/>
      <c r="D77" s="29"/>
      <c r="E77" s="29"/>
      <c r="F77" s="30"/>
      <c r="G77" s="29"/>
      <c r="H77" s="28"/>
      <c r="I77" s="31"/>
      <c r="J77" s="32">
        <f t="shared" si="0"/>
      </c>
    </row>
    <row r="78" spans="1:10" x14ac:dyDescent="0.25">
      <c r="A78" s="27"/>
      <c r="B78" s="28"/>
      <c r="C78" s="29"/>
      <c r="D78" s="29"/>
      <c r="E78" s="29"/>
      <c r="F78" s="30"/>
      <c r="G78" s="29"/>
      <c r="H78" s="28"/>
      <c r="I78" s="31"/>
      <c r="J78" s="32">
        <f t="shared" si="0"/>
      </c>
    </row>
    <row r="79" spans="1:10" x14ac:dyDescent="0.25">
      <c r="A79" s="27"/>
      <c r="B79" s="28"/>
      <c r="C79" s="29"/>
      <c r="D79" s="29"/>
      <c r="E79" s="29"/>
      <c r="F79" s="30"/>
      <c r="G79" s="29"/>
      <c r="H79" s="28"/>
      <c r="I79" s="31"/>
      <c r="J79" s="32">
        <f t="shared" si="0"/>
      </c>
    </row>
    <row r="80" spans="1:10" x14ac:dyDescent="0.25">
      <c r="A80" s="27"/>
      <c r="B80" s="28"/>
      <c r="C80" s="29"/>
      <c r="D80" s="29"/>
      <c r="E80" s="29"/>
      <c r="F80" s="30"/>
      <c r="G80" s="29"/>
      <c r="H80" s="28"/>
      <c r="I80" s="31"/>
      <c r="J80" s="32">
        <f t="shared" si="0"/>
      </c>
    </row>
    <row r="81" spans="1:10" x14ac:dyDescent="0.25">
      <c r="A81" s="27"/>
      <c r="B81" s="28"/>
      <c r="C81" s="29"/>
      <c r="D81" s="29"/>
      <c r="E81" s="29"/>
      <c r="F81" s="30"/>
      <c r="G81" s="29"/>
      <c r="H81" s="28"/>
      <c r="I81" s="31"/>
      <c r="J81" s="32">
        <f t="shared" si="0"/>
      </c>
    </row>
    <row r="82" spans="1:10" x14ac:dyDescent="0.25">
      <c r="A82" s="27"/>
      <c r="B82" s="28"/>
      <c r="C82" s="29"/>
      <c r="D82" s="29"/>
      <c r="E82" s="29"/>
      <c r="F82" s="30"/>
      <c r="G82" s="29"/>
      <c r="H82" s="28"/>
      <c r="I82" s="31"/>
      <c r="J82" s="32">
        <f t="shared" si="0"/>
      </c>
    </row>
    <row r="83" spans="1:10" x14ac:dyDescent="0.25">
      <c r="A83" s="27"/>
      <c r="B83" s="28"/>
      <c r="C83" s="29"/>
      <c r="D83" s="29"/>
      <c r="E83" s="29"/>
      <c r="F83" s="30"/>
      <c r="G83" s="29"/>
      <c r="H83" s="28"/>
      <c r="I83" s="31"/>
      <c r="J83" s="32">
        <f t="shared" si="0"/>
      </c>
    </row>
    <row r="84" spans="1:10" x14ac:dyDescent="0.25">
      <c r="A84" s="27"/>
      <c r="B84" s="28"/>
      <c r="C84" s="29"/>
      <c r="D84" s="29"/>
      <c r="E84" s="29"/>
      <c r="F84" s="30"/>
      <c r="G84" s="29"/>
      <c r="H84" s="28"/>
      <c r="I84" s="31"/>
      <c r="J84" s="32">
        <f t="shared" si="0"/>
      </c>
    </row>
    <row r="85" spans="1:10" x14ac:dyDescent="0.25">
      <c r="A85" s="27"/>
      <c r="B85" s="28"/>
      <c r="C85" s="29"/>
      <c r="D85" s="29"/>
      <c r="E85" s="29"/>
      <c r="F85" s="30"/>
      <c r="G85" s="29"/>
      <c r="H85" s="28"/>
      <c r="I85" s="31"/>
      <c r="J85" s="32">
        <f t="shared" si="0"/>
      </c>
    </row>
    <row r="86" spans="1:10" x14ac:dyDescent="0.25">
      <c r="A86" s="27"/>
      <c r="B86" s="28"/>
      <c r="C86" s="29"/>
      <c r="D86" s="29"/>
      <c r="E86" s="29"/>
      <c r="F86" s="30"/>
      <c r="G86" s="29"/>
      <c r="H86" s="28"/>
      <c r="I86" s="31"/>
      <c r="J86" s="32">
        <f t="shared" si="0"/>
      </c>
    </row>
    <row r="87" spans="1:10" x14ac:dyDescent="0.25">
      <c r="A87" s="27"/>
      <c r="B87" s="28"/>
      <c r="C87" s="29"/>
      <c r="D87" s="29"/>
      <c r="E87" s="29"/>
      <c r="F87" s="30"/>
      <c r="G87" s="29"/>
      <c r="H87" s="28"/>
      <c r="I87" s="31"/>
      <c r="J87" s="32">
        <f t="shared" si="0"/>
      </c>
    </row>
    <row r="88" spans="1:10" x14ac:dyDescent="0.25">
      <c r="A88" s="27"/>
      <c r="B88" s="28"/>
      <c r="C88" s="29"/>
      <c r="D88" s="29"/>
      <c r="E88" s="29"/>
      <c r="F88" s="30"/>
      <c r="G88" s="29"/>
      <c r="H88" s="28"/>
      <c r="I88" s="31"/>
      <c r="J88" s="32">
        <f t="shared" si="0"/>
      </c>
    </row>
    <row r="89" spans="1:10" x14ac:dyDescent="0.25">
      <c r="A89" s="27"/>
      <c r="B89" s="28"/>
      <c r="C89" s="29"/>
      <c r="D89" s="29"/>
      <c r="E89" s="29"/>
      <c r="F89" s="30"/>
      <c r="G89" s="29"/>
      <c r="H89" s="28"/>
      <c r="I89" s="31"/>
      <c r="J89" s="32">
        <f t="shared" si="0"/>
      </c>
    </row>
    <row r="90" spans="1:10" x14ac:dyDescent="0.25">
      <c r="A90" s="27"/>
      <c r="B90" s="28"/>
      <c r="C90" s="29"/>
      <c r="D90" s="29"/>
      <c r="E90" s="29"/>
      <c r="F90" s="30"/>
      <c r="G90" s="29"/>
      <c r="H90" s="28"/>
      <c r="I90" s="31"/>
      <c r="J90" s="32">
        <f t="shared" si="0"/>
      </c>
    </row>
    <row r="91" spans="1:10" x14ac:dyDescent="0.25">
      <c r="A91" s="27"/>
      <c r="B91" s="28"/>
      <c r="C91" s="29"/>
      <c r="D91" s="29"/>
      <c r="E91" s="29"/>
      <c r="F91" s="30"/>
      <c r="G91" s="29"/>
      <c r="H91" s="28"/>
      <c r="I91" s="31"/>
      <c r="J91" s="32">
        <f t="shared" si="0"/>
      </c>
    </row>
    <row r="92" spans="1:10" x14ac:dyDescent="0.25">
      <c r="A92" s="27"/>
      <c r="B92" s="28"/>
      <c r="C92" s="29"/>
      <c r="D92" s="29"/>
      <c r="E92" s="29"/>
      <c r="F92" s="30"/>
      <c r="G92" s="29"/>
      <c r="H92" s="28"/>
      <c r="I92" s="31"/>
      <c r="J92" s="32">
        <f t="shared" si="0"/>
      </c>
    </row>
    <row r="93" spans="1:10" x14ac:dyDescent="0.25">
      <c r="A93" s="27"/>
      <c r="B93" s="28"/>
      <c r="C93" s="29"/>
      <c r="D93" s="29"/>
      <c r="E93" s="29"/>
      <c r="F93" s="30"/>
      <c r="G93" s="29"/>
      <c r="H93" s="28"/>
      <c r="I93" s="31"/>
      <c r="J93" s="32">
        <f t="shared" si="0"/>
      </c>
    </row>
    <row r="94" spans="1:10" x14ac:dyDescent="0.25">
      <c r="A94" s="27"/>
      <c r="B94" s="28"/>
      <c r="C94" s="29"/>
      <c r="D94" s="29"/>
      <c r="E94" s="29"/>
      <c r="F94" s="30"/>
      <c r="G94" s="29"/>
      <c r="H94" s="28"/>
      <c r="I94" s="31"/>
      <c r="J94" s="32">
        <f t="shared" si="0"/>
      </c>
    </row>
    <row r="95" spans="1:10" x14ac:dyDescent="0.25">
      <c r="A95" s="27"/>
      <c r="B95" s="28"/>
      <c r="C95" s="29"/>
      <c r="D95" s="29"/>
      <c r="E95" s="29"/>
      <c r="F95" s="30"/>
      <c r="G95" s="29"/>
      <c r="H95" s="28"/>
      <c r="I95" s="31"/>
      <c r="J95" s="32">
        <f t="shared" si="0"/>
      </c>
    </row>
    <row r="96" spans="1:10" x14ac:dyDescent="0.25">
      <c r="A96" s="27"/>
      <c r="B96" s="28"/>
      <c r="C96" s="29"/>
      <c r="D96" s="29"/>
      <c r="E96" s="29"/>
      <c r="F96" s="30"/>
      <c r="G96" s="29"/>
      <c r="H96" s="28"/>
      <c r="I96" s="31"/>
      <c r="J96" s="32">
        <f t="shared" si="0"/>
      </c>
    </row>
    <row r="97" spans="1:10" x14ac:dyDescent="0.25">
      <c r="A97" s="27"/>
      <c r="B97" s="28"/>
      <c r="C97" s="29"/>
      <c r="D97" s="29"/>
      <c r="E97" s="29"/>
      <c r="F97" s="30"/>
      <c r="G97" s="29"/>
      <c r="H97" s="28"/>
      <c r="I97" s="31"/>
      <c r="J97" s="32">
        <f t="shared" si="0"/>
      </c>
    </row>
    <row r="98" spans="1:10" x14ac:dyDescent="0.25">
      <c r="A98" s="27"/>
      <c r="B98" s="28"/>
      <c r="C98" s="29"/>
      <c r="D98" s="29"/>
      <c r="E98" s="29"/>
      <c r="F98" s="30"/>
      <c r="G98" s="29"/>
      <c r="H98" s="28"/>
      <c r="I98" s="31"/>
      <c r="J98" s="32">
        <f t="shared" si="0"/>
      </c>
    </row>
    <row r="99" spans="1:10" x14ac:dyDescent="0.25">
      <c r="A99" s="27"/>
      <c r="B99" s="28"/>
      <c r="C99" s="29"/>
      <c r="D99" s="29"/>
      <c r="E99" s="29"/>
      <c r="F99" s="30"/>
      <c r="G99" s="29"/>
      <c r="H99" s="28"/>
      <c r="I99" s="31"/>
      <c r="J99" s="32">
        <f t="shared" si="0"/>
      </c>
    </row>
    <row r="100" spans="1:10" x14ac:dyDescent="0.25">
      <c r="A100" s="27"/>
      <c r="B100" s="28"/>
      <c r="C100" s="29"/>
      <c r="D100" s="29"/>
      <c r="E100" s="29"/>
      <c r="F100" s="30"/>
      <c r="G100" s="29"/>
      <c r="H100" s="28"/>
      <c r="I100" s="31"/>
      <c r="J100" s="32">
        <f t="shared" si="0"/>
      </c>
    </row>
    <row r="101" spans="1:10" x14ac:dyDescent="0.25">
      <c r="A101" s="27"/>
      <c r="B101" s="28"/>
      <c r="C101" s="29"/>
      <c r="D101" s="29"/>
      <c r="E101" s="29"/>
      <c r="F101" s="30"/>
      <c r="G101" s="29"/>
      <c r="H101" s="28"/>
      <c r="I101" s="31"/>
      <c r="J101" s="32">
        <f t="shared" si="0"/>
      </c>
    </row>
    <row r="102" spans="1:10" x14ac:dyDescent="0.25">
      <c r="A102" s="27"/>
      <c r="B102" s="28"/>
      <c r="C102" s="29"/>
      <c r="D102" s="29"/>
      <c r="E102" s="29"/>
      <c r="F102" s="30"/>
      <c r="G102" s="29"/>
      <c r="H102" s="28"/>
      <c r="I102" s="31"/>
      <c r="J102" s="32">
        <f t="shared" si="0"/>
      </c>
    </row>
    <row r="103" spans="1:10" x14ac:dyDescent="0.25">
      <c r="A103" s="27"/>
      <c r="B103" s="28"/>
      <c r="C103" s="29"/>
      <c r="D103" s="29"/>
      <c r="E103" s="29"/>
      <c r="F103" s="30"/>
      <c r="G103" s="29"/>
      <c r="H103" s="28"/>
      <c r="I103" s="31"/>
      <c r="J103" s="32">
        <f t="shared" si="0"/>
      </c>
    </row>
    <row r="104" spans="1:10" x14ac:dyDescent="0.25">
      <c r="A104" s="27"/>
      <c r="B104" s="28"/>
      <c r="C104" s="29"/>
      <c r="D104" s="29"/>
      <c r="E104" s="29"/>
      <c r="F104" s="30"/>
      <c r="G104" s="29"/>
      <c r="H104" s="28"/>
      <c r="I104" s="31"/>
      <c r="J104" s="32">
        <f t="shared" si="0"/>
      </c>
    </row>
    <row r="105" spans="1:10" x14ac:dyDescent="0.25">
      <c r="A105" s="27"/>
      <c r="B105" s="28"/>
      <c r="C105" s="29"/>
      <c r="D105" s="29"/>
      <c r="E105" s="29"/>
      <c r="F105" s="30"/>
      <c r="G105" s="29"/>
      <c r="H105" s="28"/>
      <c r="I105" s="31"/>
      <c r="J105" s="32">
        <f t="shared" si="0"/>
      </c>
    </row>
    <row r="106" spans="1:10" x14ac:dyDescent="0.25">
      <c r="A106" s="27"/>
      <c r="B106" s="28"/>
      <c r="C106" s="29"/>
      <c r="D106" s="29"/>
      <c r="E106" s="29"/>
      <c r="F106" s="30"/>
      <c r="G106" s="29"/>
      <c r="H106" s="28"/>
      <c r="I106" s="31"/>
      <c r="J106" s="32">
        <f t="shared" si="0"/>
      </c>
    </row>
    <row r="107" spans="1:10" x14ac:dyDescent="0.25">
      <c r="A107" s="27"/>
      <c r="B107" s="28"/>
      <c r="C107" s="29"/>
      <c r="D107" s="29"/>
      <c r="E107" s="29"/>
      <c r="F107" s="30"/>
      <c r="G107" s="29"/>
      <c r="H107" s="28"/>
      <c r="I107" s="31"/>
      <c r="J107" s="32">
        <f t="shared" si="0"/>
      </c>
    </row>
    <row r="108" spans="1:10" x14ac:dyDescent="0.25">
      <c r="A108" s="27"/>
      <c r="B108" s="28"/>
      <c r="C108" s="29"/>
      <c r="D108" s="29"/>
      <c r="E108" s="29"/>
      <c r="F108" s="30"/>
      <c r="G108" s="29"/>
      <c r="H108" s="28"/>
      <c r="I108" s="31"/>
      <c r="J108" s="32">
        <f t="shared" si="0"/>
      </c>
    </row>
    <row r="109" spans="1:10" x14ac:dyDescent="0.25">
      <c r="A109" s="27"/>
      <c r="B109" s="28"/>
      <c r="C109" s="29"/>
      <c r="D109" s="29"/>
      <c r="E109" s="29"/>
      <c r="F109" s="30"/>
      <c r="G109" s="29"/>
      <c r="H109" s="28"/>
      <c r="I109" s="31"/>
      <c r="J109" s="32">
        <f t="shared" si="0"/>
      </c>
    </row>
    <row r="110" spans="1:10" x14ac:dyDescent="0.25">
      <c r="A110" s="27"/>
      <c r="B110" s="28"/>
      <c r="C110" s="29"/>
      <c r="D110" s="29"/>
      <c r="E110" s="29"/>
      <c r="F110" s="30"/>
      <c r="G110" s="29"/>
      <c r="H110" s="28"/>
      <c r="I110" s="31"/>
      <c r="J110" s="32">
        <f t="shared" si="0"/>
      </c>
    </row>
    <row r="111" spans="1:10" x14ac:dyDescent="0.25">
      <c r="A111" s="27"/>
      <c r="B111" s="28"/>
      <c r="C111" s="29"/>
      <c r="D111" s="29"/>
      <c r="E111" s="29"/>
      <c r="F111" s="30"/>
      <c r="G111" s="29"/>
      <c r="H111" s="28"/>
      <c r="I111" s="31"/>
      <c r="J111" s="32">
        <f t="shared" si="0"/>
      </c>
    </row>
    <row r="112" spans="1:10" x14ac:dyDescent="0.25">
      <c r="A112" s="27"/>
      <c r="B112" s="28"/>
      <c r="C112" s="29"/>
      <c r="D112" s="29"/>
      <c r="E112" s="29"/>
      <c r="F112" s="30"/>
      <c r="G112" s="29"/>
      <c r="H112" s="28"/>
      <c r="I112" s="31"/>
      <c r="J112" s="32">
        <f t="shared" si="0"/>
      </c>
    </row>
    <row r="113" spans="1:10" x14ac:dyDescent="0.25">
      <c r="A113" s="27"/>
      <c r="B113" s="28"/>
      <c r="C113" s="29"/>
      <c r="D113" s="29"/>
      <c r="E113" s="29"/>
      <c r="F113" s="30"/>
      <c r="G113" s="29"/>
      <c r="H113" s="28"/>
      <c r="I113" s="31"/>
      <c r="J113" s="32">
        <f t="shared" si="0"/>
      </c>
    </row>
    <row r="114" spans="1:10" x14ac:dyDescent="0.25">
      <c r="A114" s="27"/>
      <c r="B114" s="28"/>
      <c r="C114" s="29"/>
      <c r="D114" s="29"/>
      <c r="E114" s="29"/>
      <c r="F114" s="30"/>
      <c r="G114" s="29"/>
      <c r="H114" s="28"/>
      <c r="I114" s="31"/>
      <c r="J114" s="32">
        <f t="shared" si="0"/>
      </c>
    </row>
    <row r="115" spans="1:10" x14ac:dyDescent="0.25">
      <c r="A115" s="27"/>
      <c r="B115" s="28"/>
      <c r="C115" s="29"/>
      <c r="D115" s="29"/>
      <c r="E115" s="29"/>
      <c r="F115" s="30"/>
      <c r="G115" s="29"/>
      <c r="H115" s="28"/>
      <c r="I115" s="31"/>
      <c r="J115" s="32">
        <f t="shared" si="0"/>
      </c>
    </row>
    <row r="116" spans="1:10" x14ac:dyDescent="0.25">
      <c r="A116" s="27"/>
      <c r="B116" s="28"/>
      <c r="C116" s="29"/>
      <c r="D116" s="29"/>
      <c r="E116" s="29"/>
      <c r="F116" s="30"/>
      <c r="G116" s="29"/>
      <c r="H116" s="28"/>
      <c r="I116" s="31"/>
      <c r="J116" s="32">
        <f t="shared" si="0"/>
      </c>
    </row>
    <row r="117" spans="1:10" x14ac:dyDescent="0.25">
      <c r="A117" s="27"/>
      <c r="B117" s="28"/>
      <c r="C117" s="29"/>
      <c r="D117" s="29"/>
      <c r="E117" s="29"/>
      <c r="F117" s="30"/>
      <c r="G117" s="29"/>
      <c r="H117" s="28"/>
      <c r="I117" s="31"/>
      <c r="J117" s="32">
        <f t="shared" si="0"/>
      </c>
    </row>
    <row r="118" spans="1:10" x14ac:dyDescent="0.25">
      <c r="A118" s="27"/>
      <c r="B118" s="28"/>
      <c r="C118" s="29"/>
      <c r="D118" s="29"/>
      <c r="E118" s="29"/>
      <c r="F118" s="30"/>
      <c r="G118" s="29"/>
      <c r="H118" s="28"/>
      <c r="I118" s="31"/>
      <c r="J118" s="32">
        <f t="shared" si="0"/>
      </c>
    </row>
    <row r="119" spans="1:10" x14ac:dyDescent="0.25">
      <c r="A119" s="27"/>
      <c r="B119" s="28"/>
      <c r="C119" s="29"/>
      <c r="D119" s="29"/>
      <c r="E119" s="29"/>
      <c r="F119" s="30"/>
      <c r="G119" s="29"/>
      <c r="H119" s="28"/>
      <c r="I119" s="31"/>
      <c r="J119" s="32">
        <f t="shared" si="0"/>
      </c>
    </row>
    <row r="120" spans="1:10" x14ac:dyDescent="0.25">
      <c r="A120" s="27"/>
      <c r="B120" s="28"/>
      <c r="C120" s="29"/>
      <c r="D120" s="29"/>
      <c r="E120" s="29"/>
      <c r="F120" s="30"/>
      <c r="G120" s="29"/>
      <c r="H120" s="28"/>
      <c r="I120" s="31"/>
      <c r="J120" s="32">
        <f t="shared" si="0"/>
      </c>
    </row>
    <row r="121" spans="1:10" x14ac:dyDescent="0.25">
      <c r="A121" s="27"/>
      <c r="B121" s="28"/>
      <c r="C121" s="29"/>
      <c r="D121" s="29"/>
      <c r="E121" s="29"/>
      <c r="F121" s="30"/>
      <c r="G121" s="29"/>
      <c r="H121" s="28"/>
      <c r="I121" s="31"/>
      <c r="J121" s="32">
        <f t="shared" si="0"/>
      </c>
    </row>
    <row r="122" spans="1:10" x14ac:dyDescent="0.25">
      <c r="A122" s="27"/>
      <c r="B122" s="28"/>
      <c r="C122" s="29"/>
      <c r="D122" s="29"/>
      <c r="E122" s="29"/>
      <c r="F122" s="30"/>
      <c r="G122" s="29"/>
      <c r="H122" s="28"/>
      <c r="I122" s="31"/>
      <c r="J122" s="32">
        <f t="shared" si="0"/>
      </c>
    </row>
    <row r="123" spans="1:10" x14ac:dyDescent="0.25">
      <c r="A123" s="27"/>
      <c r="B123" s="28"/>
      <c r="C123" s="29"/>
      <c r="D123" s="29"/>
      <c r="E123" s="29"/>
      <c r="F123" s="30"/>
      <c r="G123" s="29"/>
      <c r="H123" s="28"/>
      <c r="I123" s="31"/>
      <c r="J123" s="32">
        <f t="shared" si="0"/>
      </c>
    </row>
    <row r="124" spans="1:10" x14ac:dyDescent="0.25">
      <c r="A124" s="27"/>
      <c r="B124" s="28"/>
      <c r="C124" s="29"/>
      <c r="D124" s="29"/>
      <c r="E124" s="29"/>
      <c r="F124" s="30"/>
      <c r="G124" s="29"/>
      <c r="H124" s="28"/>
      <c r="I124" s="31"/>
      <c r="J124" s="32">
        <f t="shared" si="0"/>
      </c>
    </row>
    <row r="125" spans="1:10" x14ac:dyDescent="0.25">
      <c r="A125" s="27"/>
      <c r="B125" s="28"/>
      <c r="C125" s="29"/>
      <c r="D125" s="29"/>
      <c r="E125" s="29"/>
      <c r="F125" s="30"/>
      <c r="G125" s="29"/>
      <c r="H125" s="28"/>
      <c r="I125" s="31"/>
      <c r="J125" s="32">
        <f t="shared" si="0"/>
      </c>
    </row>
    <row r="126" spans="1:10" x14ac:dyDescent="0.25">
      <c r="A126" s="27"/>
      <c r="B126" s="28"/>
      <c r="C126" s="29"/>
      <c r="D126" s="29"/>
      <c r="E126" s="29"/>
      <c r="F126" s="30"/>
      <c r="G126" s="29"/>
      <c r="H126" s="28"/>
      <c r="I126" s="31"/>
      <c r="J126" s="32">
        <f t="shared" si="0"/>
      </c>
    </row>
    <row r="127" spans="1:10" x14ac:dyDescent="0.25">
      <c r="A127" s="27"/>
      <c r="B127" s="28"/>
      <c r="C127" s="29"/>
      <c r="D127" s="29"/>
      <c r="E127" s="29"/>
      <c r="F127" s="30"/>
      <c r="G127" s="29"/>
      <c r="H127" s="28"/>
      <c r="I127" s="31"/>
      <c r="J127" s="32">
        <f t="shared" si="0"/>
      </c>
    </row>
    <row r="128" spans="1:10" x14ac:dyDescent="0.25">
      <c r="A128" s="27"/>
      <c r="B128" s="28"/>
      <c r="C128" s="29"/>
      <c r="D128" s="29"/>
      <c r="E128" s="29"/>
      <c r="F128" s="30"/>
      <c r="G128" s="29"/>
      <c r="H128" s="28"/>
      <c r="I128" s="31"/>
      <c r="J128" s="32">
        <f t="shared" si="0"/>
      </c>
    </row>
    <row r="129" spans="1:10" x14ac:dyDescent="0.25">
      <c r="A129" s="27"/>
      <c r="B129" s="28"/>
      <c r="C129" s="29"/>
      <c r="D129" s="29"/>
      <c r="E129" s="29"/>
      <c r="F129" s="30"/>
      <c r="G129" s="29"/>
      <c r="H129" s="28"/>
      <c r="I129" s="31"/>
      <c r="J129" s="32">
        <f t="shared" si="0"/>
      </c>
    </row>
    <row r="130" spans="1:10" x14ac:dyDescent="0.25">
      <c r="A130" s="27"/>
      <c r="B130" s="28"/>
      <c r="C130" s="29"/>
      <c r="D130" s="29"/>
      <c r="E130" s="29"/>
      <c r="F130" s="30"/>
      <c r="G130" s="29"/>
      <c r="H130" s="28"/>
      <c r="I130" s="31"/>
      <c r="J130" s="32">
        <f t="shared" si="0"/>
      </c>
    </row>
    <row r="131" spans="1:10" x14ac:dyDescent="0.25">
      <c r="A131" s="27"/>
      <c r="B131" s="28"/>
      <c r="C131" s="29"/>
      <c r="D131" s="29"/>
      <c r="E131" s="29"/>
      <c r="F131" s="30"/>
      <c r="G131" s="29"/>
      <c r="H131" s="28"/>
      <c r="I131" s="31"/>
      <c r="J131" s="32">
        <f t="shared" si="0"/>
      </c>
    </row>
    <row r="132" spans="1:10" x14ac:dyDescent="0.25">
      <c r="A132" s="27"/>
      <c r="B132" s="28"/>
      <c r="C132" s="29"/>
      <c r="D132" s="29"/>
      <c r="E132" s="29"/>
      <c r="F132" s="30"/>
      <c r="G132" s="29"/>
      <c r="H132" s="28"/>
      <c r="I132" s="31"/>
      <c r="J132" s="32">
        <f t="shared" si="0"/>
      </c>
    </row>
    <row r="133" spans="1:10" x14ac:dyDescent="0.25">
      <c r="A133" s="27"/>
      <c r="B133" s="28"/>
      <c r="C133" s="29"/>
      <c r="D133" s="29"/>
      <c r="E133" s="29"/>
      <c r="F133" s="30"/>
      <c r="G133" s="29"/>
      <c r="H133" s="28"/>
      <c r="I133" s="31"/>
      <c r="J133" s="32">
        <f t="shared" si="0"/>
      </c>
    </row>
    <row r="134" spans="1:10" x14ac:dyDescent="0.25">
      <c r="A134" s="27"/>
      <c r="B134" s="28"/>
      <c r="C134" s="29"/>
      <c r="D134" s="29"/>
      <c r="E134" s="29"/>
      <c r="F134" s="30"/>
      <c r="G134" s="29"/>
      <c r="H134" s="28"/>
      <c r="I134" s="31"/>
      <c r="J134" s="32">
        <f t="shared" si="0"/>
      </c>
    </row>
    <row r="135" spans="1:10" x14ac:dyDescent="0.25">
      <c r="A135" s="27"/>
      <c r="B135" s="28"/>
      <c r="C135" s="29"/>
      <c r="D135" s="29"/>
      <c r="E135" s="29"/>
      <c r="F135" s="30"/>
      <c r="G135" s="29"/>
      <c r="H135" s="28"/>
      <c r="I135" s="31"/>
      <c r="J135" s="32">
        <f t="shared" si="0"/>
      </c>
    </row>
    <row r="136" spans="1:10" x14ac:dyDescent="0.25">
      <c r="A136" s="27"/>
      <c r="B136" s="28"/>
      <c r="C136" s="29"/>
      <c r="D136" s="29"/>
      <c r="E136" s="29"/>
      <c r="F136" s="30"/>
      <c r="G136" s="29"/>
      <c r="H136" s="28"/>
      <c r="I136" s="31"/>
      <c r="J136" s="32">
        <f t="shared" si="0"/>
      </c>
    </row>
    <row r="137" spans="1:10" x14ac:dyDescent="0.25">
      <c r="A137" s="27"/>
      <c r="B137" s="28"/>
      <c r="C137" s="29"/>
      <c r="D137" s="29"/>
      <c r="E137" s="29"/>
      <c r="F137" s="30"/>
      <c r="G137" s="29"/>
      <c r="H137" s="28"/>
      <c r="I137" s="31"/>
      <c r="J137" s="32">
        <f t="shared" si="0"/>
      </c>
    </row>
    <row r="138" spans="1:10" x14ac:dyDescent="0.25">
      <c r="A138" s="27"/>
      <c r="B138" s="28"/>
      <c r="C138" s="29"/>
      <c r="D138" s="29"/>
      <c r="E138" s="29"/>
      <c r="F138" s="30"/>
      <c r="G138" s="29"/>
      <c r="H138" s="28"/>
      <c r="I138" s="31"/>
      <c r="J138" s="32">
        <f t="shared" si="0"/>
      </c>
    </row>
    <row r="139" spans="1:10" x14ac:dyDescent="0.25">
      <c r="A139" s="27"/>
      <c r="B139" s="28"/>
      <c r="C139" s="29"/>
      <c r="D139" s="29"/>
      <c r="E139" s="29"/>
      <c r="F139" s="30"/>
      <c r="G139" s="29"/>
      <c r="H139" s="28"/>
      <c r="I139" s="31"/>
      <c r="J139" s="32">
        <f t="shared" si="0"/>
      </c>
    </row>
    <row r="140" spans="1:10" x14ac:dyDescent="0.25">
      <c r="A140" s="27"/>
      <c r="B140" s="28"/>
      <c r="C140" s="29"/>
      <c r="D140" s="29"/>
      <c r="E140" s="29"/>
      <c r="F140" s="30"/>
      <c r="G140" s="29"/>
      <c r="H140" s="28"/>
      <c r="I140" s="31"/>
      <c r="J140" s="32">
        <f t="shared" si="0"/>
      </c>
    </row>
    <row r="141" spans="1:10" x14ac:dyDescent="0.25">
      <c r="A141" s="27"/>
      <c r="B141" s="28"/>
      <c r="C141" s="29"/>
      <c r="D141" s="29"/>
      <c r="E141" s="29"/>
      <c r="F141" s="30"/>
      <c r="G141" s="29"/>
      <c r="H141" s="28"/>
      <c r="I141" s="31"/>
      <c r="J141" s="32">
        <f t="shared" si="0"/>
      </c>
    </row>
    <row r="142" spans="1:10" x14ac:dyDescent="0.25">
      <c r="A142" s="27"/>
      <c r="B142" s="28"/>
      <c r="C142" s="29"/>
      <c r="D142" s="29"/>
      <c r="E142" s="29"/>
      <c r="F142" s="30"/>
      <c r="G142" s="29"/>
      <c r="H142" s="28"/>
      <c r="I142" s="31"/>
      <c r="J142" s="32">
        <f t="shared" si="0"/>
      </c>
    </row>
    <row r="143" spans="1:10" x14ac:dyDescent="0.25">
      <c r="A143" s="27"/>
      <c r="B143" s="28"/>
      <c r="C143" s="29"/>
      <c r="D143" s="29"/>
      <c r="E143" s="29"/>
      <c r="F143" s="30"/>
      <c r="G143" s="29"/>
      <c r="H143" s="28"/>
      <c r="I143" s="31"/>
      <c r="J143" s="32">
        <f t="shared" si="0"/>
      </c>
    </row>
    <row r="144" spans="1:10" x14ac:dyDescent="0.25">
      <c r="A144" s="27"/>
      <c r="B144" s="28"/>
      <c r="C144" s="29"/>
      <c r="D144" s="29"/>
      <c r="E144" s="29"/>
      <c r="F144" s="30"/>
      <c r="G144" s="29"/>
      <c r="H144" s="28"/>
      <c r="I144" s="31"/>
      <c r="J144" s="32">
        <f t="shared" si="0"/>
      </c>
    </row>
    <row r="145" spans="1:10" x14ac:dyDescent="0.25">
      <c r="A145" s="27"/>
      <c r="B145" s="28"/>
      <c r="C145" s="29"/>
      <c r="D145" s="29"/>
      <c r="E145" s="29"/>
      <c r="F145" s="30"/>
      <c r="G145" s="29"/>
      <c r="H145" s="28"/>
      <c r="I145" s="31"/>
      <c r="J145" s="32">
        <f t="shared" si="0"/>
      </c>
    </row>
    <row r="146" spans="1:10" x14ac:dyDescent="0.25">
      <c r="A146" s="27"/>
      <c r="B146" s="28"/>
      <c r="C146" s="29"/>
      <c r="D146" s="29"/>
      <c r="E146" s="29"/>
      <c r="F146" s="30"/>
      <c r="G146" s="29"/>
      <c r="H146" s="28"/>
      <c r="I146" s="31"/>
      <c r="J146" s="32">
        <f t="shared" si="0"/>
      </c>
    </row>
    <row r="147" spans="1:10" x14ac:dyDescent="0.25">
      <c r="A147" s="27"/>
      <c r="B147" s="28"/>
      <c r="C147" s="29"/>
      <c r="D147" s="29"/>
      <c r="E147" s="29"/>
      <c r="F147" s="30"/>
      <c r="G147" s="29"/>
      <c r="H147" s="28"/>
      <c r="I147" s="31"/>
      <c r="J147" s="32">
        <f t="shared" si="0"/>
      </c>
    </row>
    <row r="148" spans="1:10" x14ac:dyDescent="0.25">
      <c r="A148" s="27"/>
      <c r="B148" s="28"/>
      <c r="C148" s="29"/>
      <c r="D148" s="29"/>
      <c r="E148" s="29"/>
      <c r="F148" s="30"/>
      <c r="G148" s="29"/>
      <c r="H148" s="28"/>
      <c r="I148" s="31"/>
      <c r="J148" s="32">
        <f t="shared" si="0"/>
      </c>
    </row>
    <row r="149" spans="1:10" x14ac:dyDescent="0.25">
      <c r="A149" s="27"/>
      <c r="B149" s="28"/>
      <c r="C149" s="29"/>
      <c r="D149" s="29"/>
      <c r="E149" s="29"/>
      <c r="F149" s="30"/>
      <c r="G149" s="29"/>
      <c r="H149" s="28"/>
      <c r="I149" s="31"/>
      <c r="J149" s="32">
        <f t="shared" si="0"/>
      </c>
    </row>
    <row r="150" spans="1:10" x14ac:dyDescent="0.25">
      <c r="A150" s="27"/>
      <c r="B150" s="28"/>
      <c r="C150" s="29"/>
      <c r="D150" s="29"/>
      <c r="E150" s="29"/>
      <c r="F150" s="30"/>
      <c r="G150" s="29"/>
      <c r="H150" s="28"/>
      <c r="I150" s="31"/>
      <c r="J150" s="32">
        <f t="shared" si="0"/>
      </c>
    </row>
    <row r="151" spans="1:10" x14ac:dyDescent="0.25">
      <c r="A151" s="27"/>
      <c r="B151" s="28"/>
      <c r="C151" s="29"/>
      <c r="D151" s="29"/>
      <c r="E151" s="29"/>
      <c r="F151" s="30"/>
      <c r="G151" s="29"/>
      <c r="H151" s="28"/>
      <c r="I151" s="31"/>
      <c r="J151" s="32">
        <f t="shared" si="0"/>
      </c>
    </row>
    <row r="152" spans="1:10" x14ac:dyDescent="0.25">
      <c r="A152" s="27"/>
      <c r="B152" s="28"/>
      <c r="C152" s="29"/>
      <c r="D152" s="29"/>
      <c r="E152" s="29"/>
      <c r="F152" s="30"/>
      <c r="G152" s="29"/>
      <c r="H152" s="28"/>
      <c r="I152" s="31"/>
      <c r="J152" s="32">
        <f t="shared" si="0"/>
      </c>
    </row>
    <row r="153" spans="1:10" x14ac:dyDescent="0.25">
      <c r="A153" s="27"/>
      <c r="B153" s="28"/>
      <c r="C153" s="29"/>
      <c r="D153" s="29"/>
      <c r="E153" s="29"/>
      <c r="F153" s="30"/>
      <c r="G153" s="29"/>
      <c r="H153" s="28"/>
      <c r="I153" s="31"/>
      <c r="J153" s="32">
        <f t="shared" si="0"/>
      </c>
    </row>
    <row r="154" spans="1:10" x14ac:dyDescent="0.25">
      <c r="A154" s="27"/>
      <c r="B154" s="28"/>
      <c r="C154" s="29"/>
      <c r="D154" s="29"/>
      <c r="E154" s="29"/>
      <c r="F154" s="30"/>
      <c r="G154" s="29"/>
      <c r="H154" s="28"/>
      <c r="I154" s="31"/>
      <c r="J154" s="32">
        <f t="shared" si="0"/>
      </c>
    </row>
    <row r="155" spans="1:10" x14ac:dyDescent="0.25">
      <c r="A155" s="27"/>
      <c r="B155" s="28"/>
      <c r="C155" s="29"/>
      <c r="D155" s="29"/>
      <c r="E155" s="29"/>
      <c r="F155" s="30"/>
      <c r="G155" s="29"/>
      <c r="H155" s="28"/>
      <c r="I155" s="31"/>
      <c r="J155" s="32">
        <f t="shared" si="0"/>
      </c>
    </row>
    <row r="156" spans="1:10" x14ac:dyDescent="0.25">
      <c r="A156" s="27"/>
      <c r="B156" s="28"/>
      <c r="C156" s="29"/>
      <c r="D156" s="29"/>
      <c r="E156" s="29"/>
      <c r="F156" s="30"/>
      <c r="G156" s="29"/>
      <c r="H156" s="28"/>
      <c r="I156" s="31"/>
      <c r="J156" s="32">
        <f t="shared" si="0"/>
      </c>
    </row>
    <row r="157" spans="1:10" x14ac:dyDescent="0.25">
      <c r="A157" s="27"/>
      <c r="B157" s="28"/>
      <c r="C157" s="29"/>
      <c r="D157" s="29"/>
      <c r="E157" s="29"/>
      <c r="F157" s="30"/>
      <c r="G157" s="29"/>
      <c r="H157" s="28"/>
      <c r="I157" s="31"/>
      <c r="J157" s="32">
        <f t="shared" si="0"/>
      </c>
    </row>
    <row r="158" spans="1:10" x14ac:dyDescent="0.25">
      <c r="A158" s="27"/>
      <c r="B158" s="28"/>
      <c r="C158" s="29"/>
      <c r="D158" s="29"/>
      <c r="E158" s="29"/>
      <c r="F158" s="30"/>
      <c r="G158" s="29"/>
      <c r="H158" s="28"/>
      <c r="I158" s="31"/>
      <c r="J158" s="32">
        <f t="shared" si="0"/>
      </c>
    </row>
    <row r="159" spans="1:10" x14ac:dyDescent="0.25">
      <c r="A159" s="27"/>
      <c r="B159" s="28"/>
      <c r="C159" s="29"/>
      <c r="D159" s="29"/>
      <c r="E159" s="29"/>
      <c r="F159" s="30"/>
      <c r="G159" s="29"/>
      <c r="H159" s="28"/>
      <c r="I159" s="31"/>
      <c r="J159" s="32">
        <f t="shared" si="0"/>
      </c>
    </row>
    <row r="160" spans="1:10" x14ac:dyDescent="0.25">
      <c r="A160" s="27"/>
      <c r="B160" s="28"/>
      <c r="C160" s="29"/>
      <c r="D160" s="29"/>
      <c r="E160" s="29"/>
      <c r="F160" s="30"/>
      <c r="G160" s="29"/>
      <c r="H160" s="28"/>
      <c r="I160" s="31"/>
      <c r="J160" s="32">
        <f t="shared" si="0"/>
      </c>
    </row>
    <row r="161" spans="1:10" x14ac:dyDescent="0.25">
      <c r="A161" s="27"/>
      <c r="B161" s="28"/>
      <c r="C161" s="29"/>
      <c r="D161" s="29"/>
      <c r="E161" s="29"/>
      <c r="F161" s="30"/>
      <c r="G161" s="29"/>
      <c r="H161" s="28"/>
      <c r="I161" s="31"/>
      <c r="J161" s="32">
        <f t="shared" si="0"/>
      </c>
    </row>
    <row r="162" spans="1:10" x14ac:dyDescent="0.25">
      <c r="A162" s="27"/>
      <c r="B162" s="28"/>
      <c r="C162" s="29"/>
      <c r="D162" s="29"/>
      <c r="E162" s="29"/>
      <c r="F162" s="30"/>
      <c r="G162" s="29"/>
      <c r="H162" s="28"/>
      <c r="I162" s="31"/>
      <c r="J162" s="32">
        <f t="shared" si="0"/>
      </c>
    </row>
    <row r="163" spans="1:10" x14ac:dyDescent="0.25">
      <c r="A163" s="27"/>
      <c r="B163" s="28"/>
      <c r="C163" s="29"/>
      <c r="D163" s="29"/>
      <c r="E163" s="29"/>
      <c r="F163" s="30"/>
      <c r="G163" s="29"/>
      <c r="H163" s="28"/>
      <c r="I163" s="31"/>
      <c r="J163" s="32">
        <f t="shared" si="0"/>
      </c>
    </row>
    <row r="164" spans="1:10" x14ac:dyDescent="0.25">
      <c r="A164" s="27"/>
      <c r="B164" s="28"/>
      <c r="C164" s="29"/>
      <c r="D164" s="29"/>
      <c r="E164" s="29"/>
      <c r="F164" s="30"/>
      <c r="G164" s="29"/>
      <c r="H164" s="28"/>
      <c r="I164" s="31"/>
      <c r="J164" s="32">
        <f t="shared" si="0"/>
      </c>
    </row>
    <row r="165" spans="1:10" x14ac:dyDescent="0.25">
      <c r="A165" s="27"/>
      <c r="B165" s="28"/>
      <c r="C165" s="29"/>
      <c r="D165" s="29"/>
      <c r="E165" s="29"/>
      <c r="F165" s="30"/>
      <c r="G165" s="29"/>
      <c r="H165" s="28"/>
      <c r="I165" s="31"/>
      <c r="J165" s="32">
        <f t="shared" si="0"/>
      </c>
    </row>
    <row r="166" spans="1:10" x14ac:dyDescent="0.25">
      <c r="A166" s="27"/>
      <c r="B166" s="28"/>
      <c r="C166" s="29"/>
      <c r="D166" s="29"/>
      <c r="E166" s="29"/>
      <c r="F166" s="30"/>
      <c r="G166" s="29"/>
      <c r="H166" s="28"/>
      <c r="I166" s="31"/>
      <c r="J166" s="32">
        <f t="shared" si="0"/>
      </c>
    </row>
    <row r="167" spans="1:10" x14ac:dyDescent="0.25">
      <c r="A167" s="27"/>
      <c r="B167" s="28"/>
      <c r="C167" s="29"/>
      <c r="D167" s="29"/>
      <c r="E167" s="29"/>
      <c r="F167" s="30"/>
      <c r="G167" s="29"/>
      <c r="H167" s="28"/>
      <c r="I167" s="31"/>
      <c r="J167" s="32">
        <f t="shared" si="0"/>
      </c>
    </row>
    <row r="168" spans="1:10" x14ac:dyDescent="0.25">
      <c r="A168" s="27"/>
      <c r="B168" s="28"/>
      <c r="C168" s="29"/>
      <c r="D168" s="29"/>
      <c r="E168" s="29"/>
      <c r="F168" s="30"/>
      <c r="G168" s="29"/>
      <c r="H168" s="28"/>
      <c r="I168" s="31"/>
      <c r="J168" s="32">
        <f t="shared" si="0"/>
      </c>
    </row>
    <row r="169" spans="1:10" x14ac:dyDescent="0.25">
      <c r="A169" s="27"/>
      <c r="B169" s="28"/>
      <c r="C169" s="29"/>
      <c r="D169" s="29"/>
      <c r="E169" s="29"/>
      <c r="F169" s="30"/>
      <c r="G169" s="29"/>
      <c r="H169" s="28"/>
      <c r="I169" s="31"/>
      <c r="J169" s="32">
        <f t="shared" si="0"/>
      </c>
    </row>
    <row r="170" spans="1:10" x14ac:dyDescent="0.25">
      <c r="A170" s="27"/>
      <c r="B170" s="28"/>
      <c r="C170" s="29"/>
      <c r="D170" s="29"/>
      <c r="E170" s="29"/>
      <c r="F170" s="30"/>
      <c r="G170" s="29"/>
      <c r="H170" s="28"/>
      <c r="I170" s="31"/>
      <c r="J170" s="32">
        <f t="shared" si="0"/>
      </c>
    </row>
    <row r="171" spans="1:10" x14ac:dyDescent="0.25">
      <c r="A171" s="27"/>
      <c r="B171" s="28"/>
      <c r="C171" s="29"/>
      <c r="D171" s="29"/>
      <c r="E171" s="29"/>
      <c r="F171" s="30"/>
      <c r="G171" s="29"/>
      <c r="H171" s="28"/>
      <c r="I171" s="31"/>
      <c r="J171" s="32">
        <f t="shared" si="0"/>
      </c>
    </row>
    <row r="172" spans="1:10" x14ac:dyDescent="0.25">
      <c r="A172" s="27"/>
      <c r="B172" s="28"/>
      <c r="C172" s="29"/>
      <c r="D172" s="29"/>
      <c r="E172" s="29"/>
      <c r="F172" s="30"/>
      <c r="G172" s="29"/>
      <c r="H172" s="28"/>
      <c r="I172" s="31"/>
      <c r="J172" s="32">
        <f t="shared" si="0"/>
      </c>
    </row>
    <row r="173" spans="1:10" x14ac:dyDescent="0.25">
      <c r="A173" s="27"/>
      <c r="B173" s="28"/>
      <c r="C173" s="29"/>
      <c r="D173" s="29"/>
      <c r="E173" s="29"/>
      <c r="F173" s="30"/>
      <c r="G173" s="29"/>
      <c r="H173" s="28"/>
      <c r="I173" s="31"/>
      <c r="J173" s="32">
        <f t="shared" si="0"/>
      </c>
    </row>
    <row r="174" spans="1:10" x14ac:dyDescent="0.25">
      <c r="A174" s="27"/>
      <c r="B174" s="28"/>
      <c r="C174" s="29"/>
      <c r="D174" s="29"/>
      <c r="E174" s="29"/>
      <c r="F174" s="30"/>
      <c r="G174" s="29"/>
      <c r="H174" s="28"/>
      <c r="I174" s="31"/>
      <c r="J174" s="32">
        <f t="shared" si="0"/>
      </c>
    </row>
    <row r="175" spans="1:10" x14ac:dyDescent="0.25">
      <c r="A175" s="27"/>
      <c r="B175" s="28"/>
      <c r="C175" s="29"/>
      <c r="D175" s="29"/>
      <c r="E175" s="29"/>
      <c r="F175" s="30"/>
      <c r="G175" s="29"/>
      <c r="H175" s="28"/>
      <c r="I175" s="31"/>
      <c r="J175" s="32">
        <f t="shared" si="0"/>
      </c>
    </row>
    <row r="176" spans="1:10" x14ac:dyDescent="0.25">
      <c r="A176" s="27"/>
      <c r="B176" s="28"/>
      <c r="C176" s="29"/>
      <c r="D176" s="29"/>
      <c r="E176" s="29"/>
      <c r="F176" s="30"/>
      <c r="G176" s="29"/>
      <c r="H176" s="28"/>
      <c r="I176" s="31"/>
      <c r="J176" s="32">
        <f t="shared" si="0"/>
      </c>
    </row>
    <row r="177" spans="1:10" x14ac:dyDescent="0.25">
      <c r="A177" s="27"/>
      <c r="B177" s="28"/>
      <c r="C177" s="29"/>
      <c r="D177" s="29"/>
      <c r="E177" s="29"/>
      <c r="F177" s="30"/>
      <c r="G177" s="29"/>
      <c r="H177" s="28"/>
      <c r="I177" s="31"/>
      <c r="J177" s="32">
        <f t="shared" si="0"/>
      </c>
    </row>
    <row r="178" spans="1:10" x14ac:dyDescent="0.25">
      <c r="A178" s="27"/>
      <c r="B178" s="28"/>
      <c r="C178" s="29"/>
      <c r="D178" s="29"/>
      <c r="E178" s="29"/>
      <c r="F178" s="30"/>
      <c r="G178" s="29"/>
      <c r="H178" s="28"/>
      <c r="I178" s="31"/>
      <c r="J178" s="32">
        <f t="shared" si="0"/>
      </c>
    </row>
    <row r="179" spans="1:10" x14ac:dyDescent="0.25">
      <c r="A179" s="27"/>
      <c r="B179" s="28"/>
      <c r="C179" s="29"/>
      <c r="D179" s="29"/>
      <c r="E179" s="29"/>
      <c r="F179" s="30"/>
      <c r="G179" s="29"/>
      <c r="H179" s="28"/>
      <c r="I179" s="31"/>
      <c r="J179" s="32">
        <f t="shared" si="0"/>
      </c>
    </row>
    <row r="180" spans="1:10" x14ac:dyDescent="0.25">
      <c r="A180" s="27"/>
      <c r="B180" s="28"/>
      <c r="C180" s="29"/>
      <c r="D180" s="29"/>
      <c r="E180" s="29"/>
      <c r="F180" s="30"/>
      <c r="G180" s="29"/>
      <c r="H180" s="28"/>
      <c r="I180" s="31"/>
      <c r="J180" s="32">
        <f t="shared" si="0"/>
      </c>
    </row>
    <row r="181" spans="1:10" x14ac:dyDescent="0.25">
      <c r="A181" s="27"/>
      <c r="B181" s="28"/>
      <c r="C181" s="29"/>
      <c r="D181" s="29"/>
      <c r="E181" s="29"/>
      <c r="F181" s="30"/>
      <c r="G181" s="29"/>
      <c r="H181" s="28"/>
      <c r="I181" s="31"/>
      <c r="J181" s="32">
        <f t="shared" si="0"/>
      </c>
    </row>
    <row r="182" spans="1:10" x14ac:dyDescent="0.25">
      <c r="A182" s="27"/>
      <c r="B182" s="28"/>
      <c r="C182" s="29"/>
      <c r="D182" s="29"/>
      <c r="E182" s="29"/>
      <c r="F182" s="30"/>
      <c r="G182" s="29"/>
      <c r="H182" s="28"/>
      <c r="I182" s="31"/>
      <c r="J182" s="32">
        <f t="shared" si="0"/>
      </c>
    </row>
    <row r="183" spans="1:10" x14ac:dyDescent="0.25">
      <c r="A183" s="27"/>
      <c r="B183" s="28"/>
      <c r="C183" s="29"/>
      <c r="D183" s="29"/>
      <c r="E183" s="29"/>
      <c r="F183" s="30"/>
      <c r="G183" s="29"/>
      <c r="H183" s="28"/>
      <c r="I183" s="31"/>
      <c r="J183" s="32">
        <f t="shared" si="0"/>
      </c>
    </row>
    <row r="184" spans="1:10" x14ac:dyDescent="0.25">
      <c r="A184" s="27"/>
      <c r="B184" s="28"/>
      <c r="C184" s="29"/>
      <c r="D184" s="29"/>
      <c r="E184" s="29"/>
      <c r="F184" s="30"/>
      <c r="G184" s="29"/>
      <c r="H184" s="28"/>
      <c r="I184" s="31"/>
      <c r="J184" s="32">
        <f t="shared" si="0"/>
      </c>
    </row>
    <row r="185" spans="1:10" x14ac:dyDescent="0.25">
      <c r="A185" s="27"/>
      <c r="B185" s="28"/>
      <c r="C185" s="29"/>
      <c r="D185" s="29"/>
      <c r="E185" s="29"/>
      <c r="F185" s="30"/>
      <c r="G185" s="29"/>
      <c r="H185" s="28"/>
      <c r="I185" s="31"/>
      <c r="J185" s="32">
        <f t="shared" si="0"/>
      </c>
    </row>
    <row r="186" spans="1:10" x14ac:dyDescent="0.25">
      <c r="A186" s="27"/>
      <c r="B186" s="28"/>
      <c r="C186" s="29"/>
      <c r="D186" s="29"/>
      <c r="E186" s="29"/>
      <c r="F186" s="30"/>
      <c r="G186" s="29"/>
      <c r="H186" s="28"/>
      <c r="I186" s="31"/>
      <c r="J186" s="32">
        <f t="shared" si="0"/>
      </c>
    </row>
    <row r="187" spans="1:10" x14ac:dyDescent="0.25">
      <c r="A187" s="27"/>
      <c r="B187" s="28"/>
      <c r="C187" s="29"/>
      <c r="D187" s="29"/>
      <c r="E187" s="29"/>
      <c r="F187" s="30"/>
      <c r="G187" s="29"/>
      <c r="H187" s="28"/>
      <c r="I187" s="31"/>
      <c r="J187" s="32">
        <f t="shared" si="0"/>
      </c>
    </row>
    <row r="188" spans="1:10" x14ac:dyDescent="0.25">
      <c r="A188" s="27"/>
      <c r="B188" s="28"/>
      <c r="C188" s="29"/>
      <c r="D188" s="29"/>
      <c r="E188" s="29"/>
      <c r="F188" s="30"/>
      <c r="G188" s="29"/>
      <c r="H188" s="28"/>
      <c r="I188" s="31"/>
      <c r="J188" s="32">
        <f t="shared" si="0"/>
      </c>
    </row>
    <row r="189" spans="1:10" x14ac:dyDescent="0.25">
      <c r="A189" s="27"/>
      <c r="B189" s="28"/>
      <c r="C189" s="29"/>
      <c r="D189" s="29"/>
      <c r="E189" s="29"/>
      <c r="F189" s="30"/>
      <c r="G189" s="29"/>
      <c r="H189" s="28"/>
      <c r="I189" s="31"/>
      <c r="J189" s="32">
        <f t="shared" si="0"/>
      </c>
    </row>
    <row r="190" spans="1:10" x14ac:dyDescent="0.25">
      <c r="A190" s="27"/>
      <c r="B190" s="28"/>
      <c r="C190" s="29"/>
      <c r="D190" s="29"/>
      <c r="E190" s="29"/>
      <c r="F190" s="30"/>
      <c r="G190" s="29"/>
      <c r="H190" s="28"/>
      <c r="I190" s="31"/>
      <c r="J190" s="32">
        <f t="shared" si="0"/>
      </c>
    </row>
    <row r="191" spans="1:10" x14ac:dyDescent="0.25">
      <c r="A191" s="27"/>
      <c r="B191" s="28"/>
      <c r="C191" s="29"/>
      <c r="D191" s="29"/>
      <c r="E191" s="29"/>
      <c r="F191" s="30"/>
      <c r="G191" s="29"/>
      <c r="H191" s="28"/>
      <c r="I191" s="31"/>
      <c r="J191" s="32">
        <f t="shared" si="0"/>
      </c>
    </row>
    <row r="192" spans="1:10" x14ac:dyDescent="0.25">
      <c r="A192" s="27"/>
      <c r="B192" s="28"/>
      <c r="C192" s="29"/>
      <c r="D192" s="29"/>
      <c r="E192" s="29"/>
      <c r="F192" s="30"/>
      <c r="G192" s="29"/>
      <c r="H192" s="28"/>
      <c r="I192" s="31"/>
      <c r="J192" s="32">
        <f t="shared" si="0"/>
      </c>
    </row>
    <row r="193" spans="1:10" x14ac:dyDescent="0.25">
      <c r="A193" s="27"/>
      <c r="B193" s="28"/>
      <c r="C193" s="29"/>
      <c r="D193" s="29"/>
      <c r="E193" s="29"/>
      <c r="F193" s="30"/>
      <c r="G193" s="29"/>
      <c r="H193" s="28"/>
      <c r="I193" s="31"/>
      <c r="J193" s="32">
        <f t="shared" si="0"/>
      </c>
    </row>
    <row r="194" spans="1:10" x14ac:dyDescent="0.25">
      <c r="A194" s="27"/>
      <c r="B194" s="28"/>
      <c r="C194" s="29"/>
      <c r="D194" s="29"/>
      <c r="E194" s="29"/>
      <c r="F194" s="30"/>
      <c r="G194" s="29"/>
      <c r="H194" s="28"/>
      <c r="I194" s="31"/>
      <c r="J194" s="32">
        <f t="shared" si="0"/>
      </c>
    </row>
    <row r="195" spans="1:10" x14ac:dyDescent="0.25">
      <c r="A195" s="27"/>
      <c r="B195" s="28"/>
      <c r="C195" s="29"/>
      <c r="D195" s="29"/>
      <c r="E195" s="29"/>
      <c r="F195" s="30"/>
      <c r="G195" s="29"/>
      <c r="H195" s="28"/>
      <c r="I195" s="31"/>
      <c r="J195" s="32">
        <f t="shared" si="0"/>
      </c>
    </row>
    <row r="196" spans="1:10" x14ac:dyDescent="0.25">
      <c r="A196" s="27"/>
      <c r="B196" s="28"/>
      <c r="C196" s="29"/>
      <c r="D196" s="29"/>
      <c r="E196" s="29"/>
      <c r="F196" s="30"/>
      <c r="G196" s="29"/>
      <c r="H196" s="28"/>
      <c r="I196" s="31"/>
      <c r="J196" s="32">
        <f t="shared" si="0"/>
      </c>
    </row>
    <row r="197" spans="1:10" x14ac:dyDescent="0.25">
      <c r="A197" s="27"/>
      <c r="B197" s="28"/>
      <c r="C197" s="29"/>
      <c r="D197" s="29"/>
      <c r="E197" s="29"/>
      <c r="F197" s="30"/>
      <c r="G197" s="29"/>
      <c r="H197" s="28"/>
      <c r="I197" s="31"/>
      <c r="J197" s="32">
        <f t="shared" si="0"/>
      </c>
    </row>
    <row r="198" spans="1:10" x14ac:dyDescent="0.25">
      <c r="A198" s="27"/>
      <c r="B198" s="28"/>
      <c r="C198" s="29"/>
      <c r="D198" s="29"/>
      <c r="E198" s="29"/>
      <c r="F198" s="30"/>
      <c r="G198" s="29"/>
      <c r="H198" s="28"/>
      <c r="I198" s="31"/>
      <c r="J198" s="32">
        <f t="shared" si="0"/>
      </c>
    </row>
    <row r="199" spans="1:10" x14ac:dyDescent="0.25">
      <c r="A199" s="27"/>
      <c r="B199" s="28"/>
      <c r="C199" s="29"/>
      <c r="D199" s="29"/>
      <c r="E199" s="29"/>
      <c r="F199" s="30"/>
      <c r="G199" s="29"/>
      <c r="H199" s="28"/>
      <c r="I199" s="31"/>
      <c r="J199" s="32">
        <f t="shared" si="0"/>
      </c>
    </row>
    <row r="200" spans="1:10" x14ac:dyDescent="0.25">
      <c r="A200" s="27"/>
      <c r="B200" s="28"/>
      <c r="C200" s="29"/>
      <c r="D200" s="29"/>
      <c r="E200" s="29"/>
      <c r="F200" s="30"/>
      <c r="G200" s="29"/>
      <c r="H200" s="28"/>
      <c r="I200" s="31"/>
      <c r="J200" s="32">
        <f t="shared" si="0"/>
      </c>
    </row>
    <row r="201" spans="1:10" x14ac:dyDescent="0.25">
      <c r="A201" s="27"/>
      <c r="B201" s="28"/>
      <c r="C201" s="29"/>
      <c r="D201" s="29"/>
      <c r="E201" s="29"/>
      <c r="F201" s="30"/>
      <c r="G201" s="29"/>
      <c r="H201" s="28"/>
      <c r="I201" s="31"/>
      <c r="J201" s="32">
        <f t="shared" si="0"/>
      </c>
    </row>
    <row r="202" spans="1:10" x14ac:dyDescent="0.25">
      <c r="A202" s="27"/>
      <c r="B202" s="28"/>
      <c r="C202" s="29"/>
      <c r="D202" s="29"/>
      <c r="E202" s="29"/>
      <c r="F202" s="30"/>
      <c r="G202" s="29"/>
      <c r="H202" s="28"/>
      <c r="I202" s="31"/>
      <c r="J202" s="32">
        <f t="shared" si="0"/>
      </c>
    </row>
    <row r="203" spans="1:10" x14ac:dyDescent="0.25">
      <c r="A203" s="27"/>
      <c r="B203" s="28"/>
      <c r="C203" s="29"/>
      <c r="D203" s="29"/>
      <c r="E203" s="29"/>
      <c r="F203" s="30"/>
      <c r="G203" s="29"/>
      <c r="H203" s="28"/>
      <c r="I203" s="31"/>
      <c r="J203" s="32">
        <f t="shared" si="0"/>
      </c>
    </row>
  </sheetData>
  <sheetProtection sheet="1" formatColumns="0" formatRows="0" autoFilter="0"/>
  <autoFilter ref="A3:J203"/>
  <mergeCells count="2">
    <mergeCell ref="A1:B2"/>
    <mergeCell ref="C1:I2"/>
  </mergeCells>
  <conditionalFormatting sqref="E4:E203">
    <cfRule type="expression" dxfId="7" priority="10">
      <formula>E4="A"</formula>
    </cfRule>
    <cfRule type="expression" dxfId="8" priority="11">
      <formula>E4="B"</formula>
    </cfRule>
    <cfRule type="expression" dxfId="9" priority="12">
      <formula>E4="C"</formula>
    </cfRule>
  </conditionalFormatting>
  <conditionalFormatting sqref="G4:G203">
    <cfRule type="expression" dxfId="10" priority="10">
      <formula>G4="Inativo"</formula>
    </cfRule>
    <cfRule type="expression" dxfId="11" priority="11">
      <formula>G4="Em manutenção"</formula>
    </cfRule>
  </conditionalFormatting>
  <conditionalFormatting sqref="J4:J203">
    <cfRule type="expression" dxfId="12" priority="1">
      <formula>OR(LEFT(J4,4)="ERRO",LEFT(J4,7)="ATENÇÃO")</formula>
    </cfRule>
    <cfRule type="expression" dxfId="13" priority="2">
      <formula>OR(LEFT(J4,8)="Pendente",LEFT(J4,9)="Verificar",LEFT(J4,9)="Duplicada",LEFT(J4,7)="Tarefa ",LEFT(J4,13)="Fora do plano",LEFT(J4,8)="Previsão",LEFT(J4,11)="Sem vínculo",LEFT(J4,14)="Não verificado",LEFT(J4,7)="Informe",LEFT(J4,9)="A definir")</formula>
    </cfRule>
    <cfRule type="expression" dxfId="14" priority="3">
      <formula>OR(J4="OK",LEFT(J4,4)="Nada",LEFT(J4,3)="OK:")</formula>
    </cfRule>
  </conditionalFormatting>
  <dataValidations count="5">
    <dataValidation type="list" allowBlank="1" showErrorMessage="1" errorStyle="stop" errorTitle="Valor fora da lista" error="Escolha um item da lista suspensa (aba Listas)." sqref="C4:C203">
      <formula1>OFFSET(lst_tipo_ativo,0,0,MAX(1,COUNTA(lst_tipo_ativo)),1)</formula1>
    </dataValidation>
    <dataValidation type="list" allowBlank="1" showErrorMessage="1" errorStyle="stop" errorTitle="Valor fora da lista" error="Escolha um item da lista suspensa (aba Listas)." sqref="D4:D203">
      <formula1>OFFSET(lst_setor,0,0,MAX(1,COUNTA(lst_setor)),1)</formula1>
    </dataValidation>
    <dataValidation type="list" allowBlank="1" showErrorMessage="1" errorStyle="stop" errorTitle="Valor fora da lista" error="Escolha A, B ou C." sqref="E4:E203">
      <formula1>"A,B,C"</formula1>
    </dataValidation>
    <dataValidation type="date" allowBlank="1" showErrorMessage="1" errorStyle="stop" errorTitle="Data inválida" error="Digite uma data válida no formato dd/mm/aaaa." sqref="F4:F203">
      <formula1>32874</formula1>
      <formula2>73050</formula2>
    </dataValidation>
    <dataValidation type="list" allowBlank="1" showErrorMessage="1" errorStyle="stop" errorTitle="Valor fora da lista" error="Escolha um item da lista suspensa (aba Listas)." sqref="G4:G203">
      <formula1>OFFSET(lst_status_ativo,0,0,MAX(1,COUNTA(lst_status_ativo)),1)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12" customWidth="1"/>
    <col min="2" max="2" width="30" customWidth="1"/>
    <col min="3" max="4" width="12" customWidth="1"/>
    <col min="5" max="5" width="13" customWidth="1"/>
    <col min="6" max="6" width="14" customWidth="1"/>
    <col min="7" max="7" width="11" customWidth="1"/>
    <col min="9" max="9" width="30" customWidth="1"/>
  </cols>
  <sheetData>
    <row r="1" ht="36" customHeight="1" spans="1:9" x14ac:dyDescent="0.25">
      <c r="A1" s="1"/>
      <c r="B1" s="1"/>
      <c r="C1" s="2" t="s">
        <v>108</v>
      </c>
      <c r="D1" s="2"/>
      <c r="E1" s="2"/>
      <c r="F1" s="2"/>
      <c r="G1" s="2"/>
      <c r="H1" s="2"/>
      <c r="I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9" x14ac:dyDescent="0.25">
      <c r="A2" s="1"/>
      <c r="B2" s="1"/>
      <c r="C2" s="2"/>
      <c r="D2" s="2"/>
      <c r="E2" s="2"/>
      <c r="F2" s="2"/>
      <c r="G2" s="2"/>
      <c r="H2" s="2"/>
      <c r="I2" s="4">
        <f>"Elaborado: "&amp;IF(cfg_elaborado="","A definir",cfg_elaborado)&amp;CHAR(10)&amp;"Aprovado: "&amp;IF(cfg_aprovado="","A definir",cfg_aprovado)</f>
      </c>
    </row>
    <row r="3" ht="34" customHeight="1" spans="1:9" x14ac:dyDescent="0.25">
      <c r="A3" s="8" t="s">
        <v>109</v>
      </c>
      <c r="B3" s="8" t="s">
        <v>110</v>
      </c>
      <c r="C3" s="8" t="s">
        <v>87</v>
      </c>
      <c r="D3" s="8" t="s">
        <v>111</v>
      </c>
      <c r="E3" s="8" t="s">
        <v>112</v>
      </c>
      <c r="F3" s="8" t="s">
        <v>113</v>
      </c>
      <c r="G3" s="8" t="s">
        <v>114</v>
      </c>
      <c r="H3" s="8" t="s">
        <v>115</v>
      </c>
      <c r="I3" s="8" t="s">
        <v>107</v>
      </c>
    </row>
    <row r="4" spans="1:9" x14ac:dyDescent="0.25">
      <c r="A4" s="27"/>
      <c r="B4" s="28"/>
      <c r="C4" s="29"/>
      <c r="D4" s="29"/>
      <c r="E4" s="33"/>
      <c r="F4" s="34">
        <f t="shared" ref="F4:F203" si="0">IF(OR(A4="",NOT(ISNUMBER(D4)),NOT(ISNUMBER(E4))),"",D4*E4)</f>
      </c>
      <c r="G4" s="35">
        <f t="shared" ref="G4:G203" si="1">IF(F4="","",IFERROR(SUMIF($F$4:$F$203,"&gt;="&amp;F4)/SUM($F$4:$F$203),""))</f>
      </c>
      <c r="H4" s="36">
        <f t="shared" ref="H4:H203" si="2">IF(G4="","",IF(G4&lt;=0.8,"A",IF(G4&lt;=0.95,"B","C")))</f>
      </c>
      <c r="I4" s="32">
        <f t="shared" ref="I4:I203" si="3">IF(A4&amp;B4="","",IF(A4="","ERRO: falta o código",IF(COUNTIF($A$4:$A$203,A4)&gt;1,"ERRO: peça repetida",IF(F4="","Pendente: consumo e custo","OK"))))</f>
      </c>
    </row>
    <row r="5" spans="1:9" x14ac:dyDescent="0.25">
      <c r="A5" s="27"/>
      <c r="B5" s="28"/>
      <c r="C5" s="29"/>
      <c r="D5" s="29"/>
      <c r="E5" s="33"/>
      <c r="F5" s="34">
        <f t="shared" si="0"/>
      </c>
      <c r="G5" s="35">
        <f t="shared" si="1"/>
      </c>
      <c r="H5" s="36">
        <f t="shared" si="2"/>
      </c>
      <c r="I5" s="32">
        <f t="shared" si="3"/>
      </c>
    </row>
    <row r="6" spans="1:9" x14ac:dyDescent="0.25">
      <c r="A6" s="27"/>
      <c r="B6" s="28"/>
      <c r="C6" s="29"/>
      <c r="D6" s="29"/>
      <c r="E6" s="33"/>
      <c r="F6" s="34">
        <f t="shared" si="0"/>
      </c>
      <c r="G6" s="35">
        <f t="shared" si="1"/>
      </c>
      <c r="H6" s="36">
        <f t="shared" si="2"/>
      </c>
      <c r="I6" s="32">
        <f t="shared" si="3"/>
      </c>
    </row>
    <row r="7" spans="1:9" x14ac:dyDescent="0.25">
      <c r="A7" s="27"/>
      <c r="B7" s="28"/>
      <c r="C7" s="29"/>
      <c r="D7" s="29"/>
      <c r="E7" s="33"/>
      <c r="F7" s="34">
        <f t="shared" si="0"/>
      </c>
      <c r="G7" s="35">
        <f t="shared" si="1"/>
      </c>
      <c r="H7" s="36">
        <f t="shared" si="2"/>
      </c>
      <c r="I7" s="32">
        <f t="shared" si="3"/>
      </c>
    </row>
    <row r="8" spans="1:9" x14ac:dyDescent="0.25">
      <c r="A8" s="27"/>
      <c r="B8" s="28"/>
      <c r="C8" s="29"/>
      <c r="D8" s="29"/>
      <c r="E8" s="33"/>
      <c r="F8" s="34">
        <f t="shared" si="0"/>
      </c>
      <c r="G8" s="35">
        <f t="shared" si="1"/>
      </c>
      <c r="H8" s="36">
        <f t="shared" si="2"/>
      </c>
      <c r="I8" s="32">
        <f t="shared" si="3"/>
      </c>
    </row>
    <row r="9" spans="1:9" x14ac:dyDescent="0.25">
      <c r="A9" s="27"/>
      <c r="B9" s="28"/>
      <c r="C9" s="29"/>
      <c r="D9" s="29"/>
      <c r="E9" s="33"/>
      <c r="F9" s="34">
        <f t="shared" si="0"/>
      </c>
      <c r="G9" s="35">
        <f t="shared" si="1"/>
      </c>
      <c r="H9" s="36">
        <f t="shared" si="2"/>
      </c>
      <c r="I9" s="32">
        <f t="shared" si="3"/>
      </c>
    </row>
    <row r="10" spans="1:9" x14ac:dyDescent="0.25">
      <c r="A10" s="27"/>
      <c r="B10" s="28"/>
      <c r="C10" s="29"/>
      <c r="D10" s="29"/>
      <c r="E10" s="33"/>
      <c r="F10" s="34">
        <f t="shared" si="0"/>
      </c>
      <c r="G10" s="35">
        <f t="shared" si="1"/>
      </c>
      <c r="H10" s="36">
        <f t="shared" si="2"/>
      </c>
      <c r="I10" s="32">
        <f t="shared" si="3"/>
      </c>
    </row>
    <row r="11" spans="1:9" x14ac:dyDescent="0.25">
      <c r="A11" s="27"/>
      <c r="B11" s="28"/>
      <c r="C11" s="29"/>
      <c r="D11" s="29"/>
      <c r="E11" s="33"/>
      <c r="F11" s="34">
        <f t="shared" si="0"/>
      </c>
      <c r="G11" s="35">
        <f t="shared" si="1"/>
      </c>
      <c r="H11" s="36">
        <f t="shared" si="2"/>
      </c>
      <c r="I11" s="32">
        <f t="shared" si="3"/>
      </c>
    </row>
    <row r="12" spans="1:9" x14ac:dyDescent="0.25">
      <c r="A12" s="27"/>
      <c r="B12" s="28"/>
      <c r="C12" s="29"/>
      <c r="D12" s="29"/>
      <c r="E12" s="33"/>
      <c r="F12" s="34">
        <f t="shared" si="0"/>
      </c>
      <c r="G12" s="35">
        <f t="shared" si="1"/>
      </c>
      <c r="H12" s="36">
        <f t="shared" si="2"/>
      </c>
      <c r="I12" s="32">
        <f t="shared" si="3"/>
      </c>
    </row>
    <row r="13" spans="1:9" x14ac:dyDescent="0.25">
      <c r="A13" s="27"/>
      <c r="B13" s="28"/>
      <c r="C13" s="29"/>
      <c r="D13" s="29"/>
      <c r="E13" s="33"/>
      <c r="F13" s="34">
        <f t="shared" si="0"/>
      </c>
      <c r="G13" s="35">
        <f t="shared" si="1"/>
      </c>
      <c r="H13" s="36">
        <f t="shared" si="2"/>
      </c>
      <c r="I13" s="32">
        <f t="shared" si="3"/>
      </c>
    </row>
    <row r="14" spans="1:9" x14ac:dyDescent="0.25">
      <c r="A14" s="27"/>
      <c r="B14" s="28"/>
      <c r="C14" s="29"/>
      <c r="D14" s="29"/>
      <c r="E14" s="33"/>
      <c r="F14" s="34">
        <f t="shared" si="0"/>
      </c>
      <c r="G14" s="35">
        <f t="shared" si="1"/>
      </c>
      <c r="H14" s="36">
        <f t="shared" si="2"/>
      </c>
      <c r="I14" s="32">
        <f t="shared" si="3"/>
      </c>
    </row>
    <row r="15" spans="1:9" x14ac:dyDescent="0.25">
      <c r="A15" s="27"/>
      <c r="B15" s="28"/>
      <c r="C15" s="29"/>
      <c r="D15" s="29"/>
      <c r="E15" s="33"/>
      <c r="F15" s="34">
        <f t="shared" si="0"/>
      </c>
      <c r="G15" s="35">
        <f t="shared" si="1"/>
      </c>
      <c r="H15" s="36">
        <f t="shared" si="2"/>
      </c>
      <c r="I15" s="32">
        <f t="shared" si="3"/>
      </c>
    </row>
    <row r="16" spans="1:9" x14ac:dyDescent="0.25">
      <c r="A16" s="27"/>
      <c r="B16" s="28"/>
      <c r="C16" s="29"/>
      <c r="D16" s="29"/>
      <c r="E16" s="33"/>
      <c r="F16" s="34">
        <f t="shared" si="0"/>
      </c>
      <c r="G16" s="35">
        <f t="shared" si="1"/>
      </c>
      <c r="H16" s="36">
        <f t="shared" si="2"/>
      </c>
      <c r="I16" s="32">
        <f t="shared" si="3"/>
      </c>
    </row>
    <row r="17" spans="1:9" x14ac:dyDescent="0.25">
      <c r="A17" s="27"/>
      <c r="B17" s="28"/>
      <c r="C17" s="29"/>
      <c r="D17" s="29"/>
      <c r="E17" s="33"/>
      <c r="F17" s="34">
        <f t="shared" si="0"/>
      </c>
      <c r="G17" s="35">
        <f t="shared" si="1"/>
      </c>
      <c r="H17" s="36">
        <f t="shared" si="2"/>
      </c>
      <c r="I17" s="32">
        <f t="shared" si="3"/>
      </c>
    </row>
    <row r="18" spans="1:9" x14ac:dyDescent="0.25">
      <c r="A18" s="27"/>
      <c r="B18" s="28"/>
      <c r="C18" s="29"/>
      <c r="D18" s="29"/>
      <c r="E18" s="33"/>
      <c r="F18" s="34">
        <f t="shared" si="0"/>
      </c>
      <c r="G18" s="35">
        <f t="shared" si="1"/>
      </c>
      <c r="H18" s="36">
        <f t="shared" si="2"/>
      </c>
      <c r="I18" s="32">
        <f t="shared" si="3"/>
      </c>
    </row>
    <row r="19" spans="1:9" x14ac:dyDescent="0.25">
      <c r="A19" s="27"/>
      <c r="B19" s="28"/>
      <c r="C19" s="29"/>
      <c r="D19" s="29"/>
      <c r="E19" s="33"/>
      <c r="F19" s="34">
        <f t="shared" si="0"/>
      </c>
      <c r="G19" s="35">
        <f t="shared" si="1"/>
      </c>
      <c r="H19" s="36">
        <f t="shared" si="2"/>
      </c>
      <c r="I19" s="32">
        <f t="shared" si="3"/>
      </c>
    </row>
    <row r="20" spans="1:9" x14ac:dyDescent="0.25">
      <c r="A20" s="27"/>
      <c r="B20" s="28"/>
      <c r="C20" s="29"/>
      <c r="D20" s="29"/>
      <c r="E20" s="33"/>
      <c r="F20" s="34">
        <f t="shared" si="0"/>
      </c>
      <c r="G20" s="35">
        <f t="shared" si="1"/>
      </c>
      <c r="H20" s="36">
        <f t="shared" si="2"/>
      </c>
      <c r="I20" s="32">
        <f t="shared" si="3"/>
      </c>
    </row>
    <row r="21" spans="1:9" x14ac:dyDescent="0.25">
      <c r="A21" s="27"/>
      <c r="B21" s="28"/>
      <c r="C21" s="29"/>
      <c r="D21" s="29"/>
      <c r="E21" s="33"/>
      <c r="F21" s="34">
        <f t="shared" si="0"/>
      </c>
      <c r="G21" s="35">
        <f t="shared" si="1"/>
      </c>
      <c r="H21" s="36">
        <f t="shared" si="2"/>
      </c>
      <c r="I21" s="32">
        <f t="shared" si="3"/>
      </c>
    </row>
    <row r="22" spans="1:9" x14ac:dyDescent="0.25">
      <c r="A22" s="27"/>
      <c r="B22" s="28"/>
      <c r="C22" s="29"/>
      <c r="D22" s="29"/>
      <c r="E22" s="33"/>
      <c r="F22" s="34">
        <f t="shared" si="0"/>
      </c>
      <c r="G22" s="35">
        <f t="shared" si="1"/>
      </c>
      <c r="H22" s="36">
        <f t="shared" si="2"/>
      </c>
      <c r="I22" s="32">
        <f t="shared" si="3"/>
      </c>
    </row>
    <row r="23" spans="1:9" x14ac:dyDescent="0.25">
      <c r="A23" s="27"/>
      <c r="B23" s="28"/>
      <c r="C23" s="29"/>
      <c r="D23" s="29"/>
      <c r="E23" s="33"/>
      <c r="F23" s="34">
        <f t="shared" si="0"/>
      </c>
      <c r="G23" s="35">
        <f t="shared" si="1"/>
      </c>
      <c r="H23" s="36">
        <f t="shared" si="2"/>
      </c>
      <c r="I23" s="32">
        <f t="shared" si="3"/>
      </c>
    </row>
    <row r="24" spans="1:9" x14ac:dyDescent="0.25">
      <c r="A24" s="27"/>
      <c r="B24" s="28"/>
      <c r="C24" s="29"/>
      <c r="D24" s="29"/>
      <c r="E24" s="33"/>
      <c r="F24" s="34">
        <f t="shared" si="0"/>
      </c>
      <c r="G24" s="35">
        <f t="shared" si="1"/>
      </c>
      <c r="H24" s="36">
        <f t="shared" si="2"/>
      </c>
      <c r="I24" s="32">
        <f t="shared" si="3"/>
      </c>
    </row>
    <row r="25" spans="1:9" x14ac:dyDescent="0.25">
      <c r="A25" s="27"/>
      <c r="B25" s="28"/>
      <c r="C25" s="29"/>
      <c r="D25" s="29"/>
      <c r="E25" s="33"/>
      <c r="F25" s="34">
        <f t="shared" si="0"/>
      </c>
      <c r="G25" s="35">
        <f t="shared" si="1"/>
      </c>
      <c r="H25" s="36">
        <f t="shared" si="2"/>
      </c>
      <c r="I25" s="32">
        <f t="shared" si="3"/>
      </c>
    </row>
    <row r="26" spans="1:9" x14ac:dyDescent="0.25">
      <c r="A26" s="27"/>
      <c r="B26" s="28"/>
      <c r="C26" s="29"/>
      <c r="D26" s="29"/>
      <c r="E26" s="33"/>
      <c r="F26" s="34">
        <f t="shared" si="0"/>
      </c>
      <c r="G26" s="35">
        <f t="shared" si="1"/>
      </c>
      <c r="H26" s="36">
        <f t="shared" si="2"/>
      </c>
      <c r="I26" s="32">
        <f t="shared" si="3"/>
      </c>
    </row>
    <row r="27" spans="1:9" x14ac:dyDescent="0.25">
      <c r="A27" s="27"/>
      <c r="B27" s="28"/>
      <c r="C27" s="29"/>
      <c r="D27" s="29"/>
      <c r="E27" s="33"/>
      <c r="F27" s="34">
        <f t="shared" si="0"/>
      </c>
      <c r="G27" s="35">
        <f t="shared" si="1"/>
      </c>
      <c r="H27" s="36">
        <f t="shared" si="2"/>
      </c>
      <c r="I27" s="32">
        <f t="shared" si="3"/>
      </c>
    </row>
    <row r="28" spans="1:9" x14ac:dyDescent="0.25">
      <c r="A28" s="27"/>
      <c r="B28" s="28"/>
      <c r="C28" s="29"/>
      <c r="D28" s="29"/>
      <c r="E28" s="33"/>
      <c r="F28" s="34">
        <f t="shared" si="0"/>
      </c>
      <c r="G28" s="35">
        <f t="shared" si="1"/>
      </c>
      <c r="H28" s="36">
        <f t="shared" si="2"/>
      </c>
      <c r="I28" s="32">
        <f t="shared" si="3"/>
      </c>
    </row>
    <row r="29" spans="1:9" x14ac:dyDescent="0.25">
      <c r="A29" s="27"/>
      <c r="B29" s="28"/>
      <c r="C29" s="29"/>
      <c r="D29" s="29"/>
      <c r="E29" s="33"/>
      <c r="F29" s="34">
        <f t="shared" si="0"/>
      </c>
      <c r="G29" s="35">
        <f t="shared" si="1"/>
      </c>
      <c r="H29" s="36">
        <f t="shared" si="2"/>
      </c>
      <c r="I29" s="32">
        <f t="shared" si="3"/>
      </c>
    </row>
    <row r="30" spans="1:9" x14ac:dyDescent="0.25">
      <c r="A30" s="27"/>
      <c r="B30" s="28"/>
      <c r="C30" s="29"/>
      <c r="D30" s="29"/>
      <c r="E30" s="33"/>
      <c r="F30" s="34">
        <f t="shared" si="0"/>
      </c>
      <c r="G30" s="35">
        <f t="shared" si="1"/>
      </c>
      <c r="H30" s="36">
        <f t="shared" si="2"/>
      </c>
      <c r="I30" s="32">
        <f t="shared" si="3"/>
      </c>
    </row>
    <row r="31" spans="1:9" x14ac:dyDescent="0.25">
      <c r="A31" s="27"/>
      <c r="B31" s="28"/>
      <c r="C31" s="29"/>
      <c r="D31" s="29"/>
      <c r="E31" s="33"/>
      <c r="F31" s="34">
        <f t="shared" si="0"/>
      </c>
      <c r="G31" s="35">
        <f t="shared" si="1"/>
      </c>
      <c r="H31" s="36">
        <f t="shared" si="2"/>
      </c>
      <c r="I31" s="32">
        <f t="shared" si="3"/>
      </c>
    </row>
    <row r="32" spans="1:9" x14ac:dyDescent="0.25">
      <c r="A32" s="27"/>
      <c r="B32" s="28"/>
      <c r="C32" s="29"/>
      <c r="D32" s="29"/>
      <c r="E32" s="33"/>
      <c r="F32" s="34">
        <f t="shared" si="0"/>
      </c>
      <c r="G32" s="35">
        <f t="shared" si="1"/>
      </c>
      <c r="H32" s="36">
        <f t="shared" si="2"/>
      </c>
      <c r="I32" s="32">
        <f t="shared" si="3"/>
      </c>
    </row>
    <row r="33" spans="1:9" x14ac:dyDescent="0.25">
      <c r="A33" s="27"/>
      <c r="B33" s="28"/>
      <c r="C33" s="29"/>
      <c r="D33" s="29"/>
      <c r="E33" s="33"/>
      <c r="F33" s="34">
        <f t="shared" si="0"/>
      </c>
      <c r="G33" s="35">
        <f t="shared" si="1"/>
      </c>
      <c r="H33" s="36">
        <f t="shared" si="2"/>
      </c>
      <c r="I33" s="32">
        <f t="shared" si="3"/>
      </c>
    </row>
    <row r="34" spans="1:9" x14ac:dyDescent="0.25">
      <c r="A34" s="27"/>
      <c r="B34" s="28"/>
      <c r="C34" s="29"/>
      <c r="D34" s="29"/>
      <c r="E34" s="33"/>
      <c r="F34" s="34">
        <f t="shared" si="0"/>
      </c>
      <c r="G34" s="35">
        <f t="shared" si="1"/>
      </c>
      <c r="H34" s="36">
        <f t="shared" si="2"/>
      </c>
      <c r="I34" s="32">
        <f t="shared" si="3"/>
      </c>
    </row>
    <row r="35" spans="1:9" x14ac:dyDescent="0.25">
      <c r="A35" s="27"/>
      <c r="B35" s="28"/>
      <c r="C35" s="29"/>
      <c r="D35" s="29"/>
      <c r="E35" s="33"/>
      <c r="F35" s="34">
        <f t="shared" si="0"/>
      </c>
      <c r="G35" s="35">
        <f t="shared" si="1"/>
      </c>
      <c r="H35" s="36">
        <f t="shared" si="2"/>
      </c>
      <c r="I35" s="32">
        <f t="shared" si="3"/>
      </c>
    </row>
    <row r="36" spans="1:9" x14ac:dyDescent="0.25">
      <c r="A36" s="27"/>
      <c r="B36" s="28"/>
      <c r="C36" s="29"/>
      <c r="D36" s="29"/>
      <c r="E36" s="33"/>
      <c r="F36" s="34">
        <f t="shared" si="0"/>
      </c>
      <c r="G36" s="35">
        <f t="shared" si="1"/>
      </c>
      <c r="H36" s="36">
        <f t="shared" si="2"/>
      </c>
      <c r="I36" s="32">
        <f t="shared" si="3"/>
      </c>
    </row>
    <row r="37" spans="1:9" x14ac:dyDescent="0.25">
      <c r="A37" s="27"/>
      <c r="B37" s="28"/>
      <c r="C37" s="29"/>
      <c r="D37" s="29"/>
      <c r="E37" s="33"/>
      <c r="F37" s="34">
        <f t="shared" si="0"/>
      </c>
      <c r="G37" s="35">
        <f t="shared" si="1"/>
      </c>
      <c r="H37" s="36">
        <f t="shared" si="2"/>
      </c>
      <c r="I37" s="32">
        <f t="shared" si="3"/>
      </c>
    </row>
    <row r="38" spans="1:9" x14ac:dyDescent="0.25">
      <c r="A38" s="27"/>
      <c r="B38" s="28"/>
      <c r="C38" s="29"/>
      <c r="D38" s="29"/>
      <c r="E38" s="33"/>
      <c r="F38" s="34">
        <f t="shared" si="0"/>
      </c>
      <c r="G38" s="35">
        <f t="shared" si="1"/>
      </c>
      <c r="H38" s="36">
        <f t="shared" si="2"/>
      </c>
      <c r="I38" s="32">
        <f t="shared" si="3"/>
      </c>
    </row>
    <row r="39" spans="1:9" x14ac:dyDescent="0.25">
      <c r="A39" s="27"/>
      <c r="B39" s="28"/>
      <c r="C39" s="29"/>
      <c r="D39" s="29"/>
      <c r="E39" s="33"/>
      <c r="F39" s="34">
        <f t="shared" si="0"/>
      </c>
      <c r="G39" s="35">
        <f t="shared" si="1"/>
      </c>
      <c r="H39" s="36">
        <f t="shared" si="2"/>
      </c>
      <c r="I39" s="32">
        <f t="shared" si="3"/>
      </c>
    </row>
    <row r="40" spans="1:9" x14ac:dyDescent="0.25">
      <c r="A40" s="27"/>
      <c r="B40" s="28"/>
      <c r="C40" s="29"/>
      <c r="D40" s="29"/>
      <c r="E40" s="33"/>
      <c r="F40" s="34">
        <f t="shared" si="0"/>
      </c>
      <c r="G40" s="35">
        <f t="shared" si="1"/>
      </c>
      <c r="H40" s="36">
        <f t="shared" si="2"/>
      </c>
      <c r="I40" s="32">
        <f t="shared" si="3"/>
      </c>
    </row>
    <row r="41" spans="1:9" x14ac:dyDescent="0.25">
      <c r="A41" s="27"/>
      <c r="B41" s="28"/>
      <c r="C41" s="29"/>
      <c r="D41" s="29"/>
      <c r="E41" s="33"/>
      <c r="F41" s="34">
        <f t="shared" si="0"/>
      </c>
      <c r="G41" s="35">
        <f t="shared" si="1"/>
      </c>
      <c r="H41" s="36">
        <f t="shared" si="2"/>
      </c>
      <c r="I41" s="32">
        <f t="shared" si="3"/>
      </c>
    </row>
    <row r="42" spans="1:9" x14ac:dyDescent="0.25">
      <c r="A42" s="27"/>
      <c r="B42" s="28"/>
      <c r="C42" s="29"/>
      <c r="D42" s="29"/>
      <c r="E42" s="33"/>
      <c r="F42" s="34">
        <f t="shared" si="0"/>
      </c>
      <c r="G42" s="35">
        <f t="shared" si="1"/>
      </c>
      <c r="H42" s="36">
        <f t="shared" si="2"/>
      </c>
      <c r="I42" s="32">
        <f t="shared" si="3"/>
      </c>
    </row>
    <row r="43" spans="1:9" x14ac:dyDescent="0.25">
      <c r="A43" s="27"/>
      <c r="B43" s="28"/>
      <c r="C43" s="29"/>
      <c r="D43" s="29"/>
      <c r="E43" s="33"/>
      <c r="F43" s="34">
        <f t="shared" si="0"/>
      </c>
      <c r="G43" s="35">
        <f t="shared" si="1"/>
      </c>
      <c r="H43" s="36">
        <f t="shared" si="2"/>
      </c>
      <c r="I43" s="32">
        <f t="shared" si="3"/>
      </c>
    </row>
    <row r="44" spans="1:9" x14ac:dyDescent="0.25">
      <c r="A44" s="27"/>
      <c r="B44" s="28"/>
      <c r="C44" s="29"/>
      <c r="D44" s="29"/>
      <c r="E44" s="33"/>
      <c r="F44" s="34">
        <f t="shared" si="0"/>
      </c>
      <c r="G44" s="35">
        <f t="shared" si="1"/>
      </c>
      <c r="H44" s="36">
        <f t="shared" si="2"/>
      </c>
      <c r="I44" s="32">
        <f t="shared" si="3"/>
      </c>
    </row>
    <row r="45" spans="1:9" x14ac:dyDescent="0.25">
      <c r="A45" s="27"/>
      <c r="B45" s="28"/>
      <c r="C45" s="29"/>
      <c r="D45" s="29"/>
      <c r="E45" s="33"/>
      <c r="F45" s="34">
        <f t="shared" si="0"/>
      </c>
      <c r="G45" s="35">
        <f t="shared" si="1"/>
      </c>
      <c r="H45" s="36">
        <f t="shared" si="2"/>
      </c>
      <c r="I45" s="32">
        <f t="shared" si="3"/>
      </c>
    </row>
    <row r="46" spans="1:9" x14ac:dyDescent="0.25">
      <c r="A46" s="27"/>
      <c r="B46" s="28"/>
      <c r="C46" s="29"/>
      <c r="D46" s="29"/>
      <c r="E46" s="33"/>
      <c r="F46" s="34">
        <f t="shared" si="0"/>
      </c>
      <c r="G46" s="35">
        <f t="shared" si="1"/>
      </c>
      <c r="H46" s="36">
        <f t="shared" si="2"/>
      </c>
      <c r="I46" s="32">
        <f t="shared" si="3"/>
      </c>
    </row>
    <row r="47" spans="1:9" x14ac:dyDescent="0.25">
      <c r="A47" s="27"/>
      <c r="B47" s="28"/>
      <c r="C47" s="29"/>
      <c r="D47" s="29"/>
      <c r="E47" s="33"/>
      <c r="F47" s="34">
        <f t="shared" si="0"/>
      </c>
      <c r="G47" s="35">
        <f t="shared" si="1"/>
      </c>
      <c r="H47" s="36">
        <f t="shared" si="2"/>
      </c>
      <c r="I47" s="32">
        <f t="shared" si="3"/>
      </c>
    </row>
    <row r="48" spans="1:9" x14ac:dyDescent="0.25">
      <c r="A48" s="27"/>
      <c r="B48" s="28"/>
      <c r="C48" s="29"/>
      <c r="D48" s="29"/>
      <c r="E48" s="33"/>
      <c r="F48" s="34">
        <f t="shared" si="0"/>
      </c>
      <c r="G48" s="35">
        <f t="shared" si="1"/>
      </c>
      <c r="H48" s="36">
        <f t="shared" si="2"/>
      </c>
      <c r="I48" s="32">
        <f t="shared" si="3"/>
      </c>
    </row>
    <row r="49" spans="1:9" x14ac:dyDescent="0.25">
      <c r="A49" s="27"/>
      <c r="B49" s="28"/>
      <c r="C49" s="29"/>
      <c r="D49" s="29"/>
      <c r="E49" s="33"/>
      <c r="F49" s="34">
        <f t="shared" si="0"/>
      </c>
      <c r="G49" s="35">
        <f t="shared" si="1"/>
      </c>
      <c r="H49" s="36">
        <f t="shared" si="2"/>
      </c>
      <c r="I49" s="32">
        <f t="shared" si="3"/>
      </c>
    </row>
    <row r="50" spans="1:9" x14ac:dyDescent="0.25">
      <c r="A50" s="27"/>
      <c r="B50" s="28"/>
      <c r="C50" s="29"/>
      <c r="D50" s="29"/>
      <c r="E50" s="33"/>
      <c r="F50" s="34">
        <f t="shared" si="0"/>
      </c>
      <c r="G50" s="35">
        <f t="shared" si="1"/>
      </c>
      <c r="H50" s="36">
        <f t="shared" si="2"/>
      </c>
      <c r="I50" s="32">
        <f t="shared" si="3"/>
      </c>
    </row>
    <row r="51" spans="1:9" x14ac:dyDescent="0.25">
      <c r="A51" s="27"/>
      <c r="B51" s="28"/>
      <c r="C51" s="29"/>
      <c r="D51" s="29"/>
      <c r="E51" s="33"/>
      <c r="F51" s="34">
        <f t="shared" si="0"/>
      </c>
      <c r="G51" s="35">
        <f t="shared" si="1"/>
      </c>
      <c r="H51" s="36">
        <f t="shared" si="2"/>
      </c>
      <c r="I51" s="32">
        <f t="shared" si="3"/>
      </c>
    </row>
    <row r="52" spans="1:9" x14ac:dyDescent="0.25">
      <c r="A52" s="27"/>
      <c r="B52" s="28"/>
      <c r="C52" s="29"/>
      <c r="D52" s="29"/>
      <c r="E52" s="33"/>
      <c r="F52" s="34">
        <f t="shared" si="0"/>
      </c>
      <c r="G52" s="35">
        <f t="shared" si="1"/>
      </c>
      <c r="H52" s="36">
        <f t="shared" si="2"/>
      </c>
      <c r="I52" s="32">
        <f t="shared" si="3"/>
      </c>
    </row>
    <row r="53" spans="1:9" x14ac:dyDescent="0.25">
      <c r="A53" s="27"/>
      <c r="B53" s="28"/>
      <c r="C53" s="29"/>
      <c r="D53" s="29"/>
      <c r="E53" s="33"/>
      <c r="F53" s="34">
        <f t="shared" si="0"/>
      </c>
      <c r="G53" s="35">
        <f t="shared" si="1"/>
      </c>
      <c r="H53" s="36">
        <f t="shared" si="2"/>
      </c>
      <c r="I53" s="32">
        <f t="shared" si="3"/>
      </c>
    </row>
    <row r="54" spans="1:9" x14ac:dyDescent="0.25">
      <c r="A54" s="27"/>
      <c r="B54" s="28"/>
      <c r="C54" s="29"/>
      <c r="D54" s="29"/>
      <c r="E54" s="33"/>
      <c r="F54" s="34">
        <f t="shared" si="0"/>
      </c>
      <c r="G54" s="35">
        <f t="shared" si="1"/>
      </c>
      <c r="H54" s="36">
        <f t="shared" si="2"/>
      </c>
      <c r="I54" s="32">
        <f t="shared" si="3"/>
      </c>
    </row>
    <row r="55" spans="1:9" x14ac:dyDescent="0.25">
      <c r="A55" s="27"/>
      <c r="B55" s="28"/>
      <c r="C55" s="29"/>
      <c r="D55" s="29"/>
      <c r="E55" s="33"/>
      <c r="F55" s="34">
        <f t="shared" si="0"/>
      </c>
      <c r="G55" s="35">
        <f t="shared" si="1"/>
      </c>
      <c r="H55" s="36">
        <f t="shared" si="2"/>
      </c>
      <c r="I55" s="32">
        <f t="shared" si="3"/>
      </c>
    </row>
    <row r="56" spans="1:9" x14ac:dyDescent="0.25">
      <c r="A56" s="27"/>
      <c r="B56" s="28"/>
      <c r="C56" s="29"/>
      <c r="D56" s="29"/>
      <c r="E56" s="33"/>
      <c r="F56" s="34">
        <f t="shared" si="0"/>
      </c>
      <c r="G56" s="35">
        <f t="shared" si="1"/>
      </c>
      <c r="H56" s="36">
        <f t="shared" si="2"/>
      </c>
      <c r="I56" s="32">
        <f t="shared" si="3"/>
      </c>
    </row>
    <row r="57" spans="1:9" x14ac:dyDescent="0.25">
      <c r="A57" s="27"/>
      <c r="B57" s="28"/>
      <c r="C57" s="29"/>
      <c r="D57" s="29"/>
      <c r="E57" s="33"/>
      <c r="F57" s="34">
        <f t="shared" si="0"/>
      </c>
      <c r="G57" s="35">
        <f t="shared" si="1"/>
      </c>
      <c r="H57" s="36">
        <f t="shared" si="2"/>
      </c>
      <c r="I57" s="32">
        <f t="shared" si="3"/>
      </c>
    </row>
    <row r="58" spans="1:9" x14ac:dyDescent="0.25">
      <c r="A58" s="27"/>
      <c r="B58" s="28"/>
      <c r="C58" s="29"/>
      <c r="D58" s="29"/>
      <c r="E58" s="33"/>
      <c r="F58" s="34">
        <f t="shared" si="0"/>
      </c>
      <c r="G58" s="35">
        <f t="shared" si="1"/>
      </c>
      <c r="H58" s="36">
        <f t="shared" si="2"/>
      </c>
      <c r="I58" s="32">
        <f t="shared" si="3"/>
      </c>
    </row>
    <row r="59" spans="1:9" x14ac:dyDescent="0.25">
      <c r="A59" s="27"/>
      <c r="B59" s="28"/>
      <c r="C59" s="29"/>
      <c r="D59" s="29"/>
      <c r="E59" s="33"/>
      <c r="F59" s="34">
        <f t="shared" si="0"/>
      </c>
      <c r="G59" s="35">
        <f t="shared" si="1"/>
      </c>
      <c r="H59" s="36">
        <f t="shared" si="2"/>
      </c>
      <c r="I59" s="32">
        <f t="shared" si="3"/>
      </c>
    </row>
    <row r="60" spans="1:9" x14ac:dyDescent="0.25">
      <c r="A60" s="27"/>
      <c r="B60" s="28"/>
      <c r="C60" s="29"/>
      <c r="D60" s="29"/>
      <c r="E60" s="33"/>
      <c r="F60" s="34">
        <f t="shared" si="0"/>
      </c>
      <c r="G60" s="35">
        <f t="shared" si="1"/>
      </c>
      <c r="H60" s="36">
        <f t="shared" si="2"/>
      </c>
      <c r="I60" s="32">
        <f t="shared" si="3"/>
      </c>
    </row>
    <row r="61" spans="1:9" x14ac:dyDescent="0.25">
      <c r="A61" s="27"/>
      <c r="B61" s="28"/>
      <c r="C61" s="29"/>
      <c r="D61" s="29"/>
      <c r="E61" s="33"/>
      <c r="F61" s="34">
        <f t="shared" si="0"/>
      </c>
      <c r="G61" s="35">
        <f t="shared" si="1"/>
      </c>
      <c r="H61" s="36">
        <f t="shared" si="2"/>
      </c>
      <c r="I61" s="32">
        <f t="shared" si="3"/>
      </c>
    </row>
    <row r="62" spans="1:9" x14ac:dyDescent="0.25">
      <c r="A62" s="27"/>
      <c r="B62" s="28"/>
      <c r="C62" s="29"/>
      <c r="D62" s="29"/>
      <c r="E62" s="33"/>
      <c r="F62" s="34">
        <f t="shared" si="0"/>
      </c>
      <c r="G62" s="35">
        <f t="shared" si="1"/>
      </c>
      <c r="H62" s="36">
        <f t="shared" si="2"/>
      </c>
      <c r="I62" s="32">
        <f t="shared" si="3"/>
      </c>
    </row>
    <row r="63" spans="1:9" x14ac:dyDescent="0.25">
      <c r="A63" s="27"/>
      <c r="B63" s="28"/>
      <c r="C63" s="29"/>
      <c r="D63" s="29"/>
      <c r="E63" s="33"/>
      <c r="F63" s="34">
        <f t="shared" si="0"/>
      </c>
      <c r="G63" s="35">
        <f t="shared" si="1"/>
      </c>
      <c r="H63" s="36">
        <f t="shared" si="2"/>
      </c>
      <c r="I63" s="32">
        <f t="shared" si="3"/>
      </c>
    </row>
    <row r="64" spans="1:9" x14ac:dyDescent="0.25">
      <c r="A64" s="27"/>
      <c r="B64" s="28"/>
      <c r="C64" s="29"/>
      <c r="D64" s="29"/>
      <c r="E64" s="33"/>
      <c r="F64" s="34">
        <f t="shared" si="0"/>
      </c>
      <c r="G64" s="35">
        <f t="shared" si="1"/>
      </c>
      <c r="H64" s="36">
        <f t="shared" si="2"/>
      </c>
      <c r="I64" s="32">
        <f t="shared" si="3"/>
      </c>
    </row>
    <row r="65" spans="1:9" x14ac:dyDescent="0.25">
      <c r="A65" s="27"/>
      <c r="B65" s="28"/>
      <c r="C65" s="29"/>
      <c r="D65" s="29"/>
      <c r="E65" s="33"/>
      <c r="F65" s="34">
        <f t="shared" si="0"/>
      </c>
      <c r="G65" s="35">
        <f t="shared" si="1"/>
      </c>
      <c r="H65" s="36">
        <f t="shared" si="2"/>
      </c>
      <c r="I65" s="32">
        <f t="shared" si="3"/>
      </c>
    </row>
    <row r="66" spans="1:9" x14ac:dyDescent="0.25">
      <c r="A66" s="27"/>
      <c r="B66" s="28"/>
      <c r="C66" s="29"/>
      <c r="D66" s="29"/>
      <c r="E66" s="33"/>
      <c r="F66" s="34">
        <f t="shared" si="0"/>
      </c>
      <c r="G66" s="35">
        <f t="shared" si="1"/>
      </c>
      <c r="H66" s="36">
        <f t="shared" si="2"/>
      </c>
      <c r="I66" s="32">
        <f t="shared" si="3"/>
      </c>
    </row>
    <row r="67" spans="1:9" x14ac:dyDescent="0.25">
      <c r="A67" s="27"/>
      <c r="B67" s="28"/>
      <c r="C67" s="29"/>
      <c r="D67" s="29"/>
      <c r="E67" s="33"/>
      <c r="F67" s="34">
        <f t="shared" si="0"/>
      </c>
      <c r="G67" s="35">
        <f t="shared" si="1"/>
      </c>
      <c r="H67" s="36">
        <f t="shared" si="2"/>
      </c>
      <c r="I67" s="32">
        <f t="shared" si="3"/>
      </c>
    </row>
    <row r="68" spans="1:9" x14ac:dyDescent="0.25">
      <c r="A68" s="27"/>
      <c r="B68" s="28"/>
      <c r="C68" s="29"/>
      <c r="D68" s="29"/>
      <c r="E68" s="33"/>
      <c r="F68" s="34">
        <f t="shared" si="0"/>
      </c>
      <c r="G68" s="35">
        <f t="shared" si="1"/>
      </c>
      <c r="H68" s="36">
        <f t="shared" si="2"/>
      </c>
      <c r="I68" s="32">
        <f t="shared" si="3"/>
      </c>
    </row>
    <row r="69" spans="1:9" x14ac:dyDescent="0.25">
      <c r="A69" s="27"/>
      <c r="B69" s="28"/>
      <c r="C69" s="29"/>
      <c r="D69" s="29"/>
      <c r="E69" s="33"/>
      <c r="F69" s="34">
        <f t="shared" si="0"/>
      </c>
      <c r="G69" s="35">
        <f t="shared" si="1"/>
      </c>
      <c r="H69" s="36">
        <f t="shared" si="2"/>
      </c>
      <c r="I69" s="32">
        <f t="shared" si="3"/>
      </c>
    </row>
    <row r="70" spans="1:9" x14ac:dyDescent="0.25">
      <c r="A70" s="27"/>
      <c r="B70" s="28"/>
      <c r="C70" s="29"/>
      <c r="D70" s="29"/>
      <c r="E70" s="33"/>
      <c r="F70" s="34">
        <f t="shared" si="0"/>
      </c>
      <c r="G70" s="35">
        <f t="shared" si="1"/>
      </c>
      <c r="H70" s="36">
        <f t="shared" si="2"/>
      </c>
      <c r="I70" s="32">
        <f t="shared" si="3"/>
      </c>
    </row>
    <row r="71" spans="1:9" x14ac:dyDescent="0.25">
      <c r="A71" s="27"/>
      <c r="B71" s="28"/>
      <c r="C71" s="29"/>
      <c r="D71" s="29"/>
      <c r="E71" s="33"/>
      <c r="F71" s="34">
        <f t="shared" si="0"/>
      </c>
      <c r="G71" s="35">
        <f t="shared" si="1"/>
      </c>
      <c r="H71" s="36">
        <f t="shared" si="2"/>
      </c>
      <c r="I71" s="32">
        <f t="shared" si="3"/>
      </c>
    </row>
    <row r="72" spans="1:9" x14ac:dyDescent="0.25">
      <c r="A72" s="27"/>
      <c r="B72" s="28"/>
      <c r="C72" s="29"/>
      <c r="D72" s="29"/>
      <c r="E72" s="33"/>
      <c r="F72" s="34">
        <f t="shared" si="0"/>
      </c>
      <c r="G72" s="35">
        <f t="shared" si="1"/>
      </c>
      <c r="H72" s="36">
        <f t="shared" si="2"/>
      </c>
      <c r="I72" s="32">
        <f t="shared" si="3"/>
      </c>
    </row>
    <row r="73" spans="1:9" x14ac:dyDescent="0.25">
      <c r="A73" s="27"/>
      <c r="B73" s="28"/>
      <c r="C73" s="29"/>
      <c r="D73" s="29"/>
      <c r="E73" s="33"/>
      <c r="F73" s="34">
        <f t="shared" si="0"/>
      </c>
      <c r="G73" s="35">
        <f t="shared" si="1"/>
      </c>
      <c r="H73" s="36">
        <f t="shared" si="2"/>
      </c>
      <c r="I73" s="32">
        <f t="shared" si="3"/>
      </c>
    </row>
    <row r="74" spans="1:9" x14ac:dyDescent="0.25">
      <c r="A74" s="27"/>
      <c r="B74" s="28"/>
      <c r="C74" s="29"/>
      <c r="D74" s="29"/>
      <c r="E74" s="33"/>
      <c r="F74" s="34">
        <f t="shared" si="0"/>
      </c>
      <c r="G74" s="35">
        <f t="shared" si="1"/>
      </c>
      <c r="H74" s="36">
        <f t="shared" si="2"/>
      </c>
      <c r="I74" s="32">
        <f t="shared" si="3"/>
      </c>
    </row>
    <row r="75" spans="1:9" x14ac:dyDescent="0.25">
      <c r="A75" s="27"/>
      <c r="B75" s="28"/>
      <c r="C75" s="29"/>
      <c r="D75" s="29"/>
      <c r="E75" s="33"/>
      <c r="F75" s="34">
        <f t="shared" si="0"/>
      </c>
      <c r="G75" s="35">
        <f t="shared" si="1"/>
      </c>
      <c r="H75" s="36">
        <f t="shared" si="2"/>
      </c>
      <c r="I75" s="32">
        <f t="shared" si="3"/>
      </c>
    </row>
    <row r="76" spans="1:9" x14ac:dyDescent="0.25">
      <c r="A76" s="27"/>
      <c r="B76" s="28"/>
      <c r="C76" s="29"/>
      <c r="D76" s="29"/>
      <c r="E76" s="33"/>
      <c r="F76" s="34">
        <f t="shared" si="0"/>
      </c>
      <c r="G76" s="35">
        <f t="shared" si="1"/>
      </c>
      <c r="H76" s="36">
        <f t="shared" si="2"/>
      </c>
      <c r="I76" s="32">
        <f t="shared" si="3"/>
      </c>
    </row>
    <row r="77" spans="1:9" x14ac:dyDescent="0.25">
      <c r="A77" s="27"/>
      <c r="B77" s="28"/>
      <c r="C77" s="29"/>
      <c r="D77" s="29"/>
      <c r="E77" s="33"/>
      <c r="F77" s="34">
        <f t="shared" si="0"/>
      </c>
      <c r="G77" s="35">
        <f t="shared" si="1"/>
      </c>
      <c r="H77" s="36">
        <f t="shared" si="2"/>
      </c>
      <c r="I77" s="32">
        <f t="shared" si="3"/>
      </c>
    </row>
    <row r="78" spans="1:9" x14ac:dyDescent="0.25">
      <c r="A78" s="27"/>
      <c r="B78" s="28"/>
      <c r="C78" s="29"/>
      <c r="D78" s="29"/>
      <c r="E78" s="33"/>
      <c r="F78" s="34">
        <f t="shared" si="0"/>
      </c>
      <c r="G78" s="35">
        <f t="shared" si="1"/>
      </c>
      <c r="H78" s="36">
        <f t="shared" si="2"/>
      </c>
      <c r="I78" s="32">
        <f t="shared" si="3"/>
      </c>
    </row>
    <row r="79" spans="1:9" x14ac:dyDescent="0.25">
      <c r="A79" s="27"/>
      <c r="B79" s="28"/>
      <c r="C79" s="29"/>
      <c r="D79" s="29"/>
      <c r="E79" s="33"/>
      <c r="F79" s="34">
        <f t="shared" si="0"/>
      </c>
      <c r="G79" s="35">
        <f t="shared" si="1"/>
      </c>
      <c r="H79" s="36">
        <f t="shared" si="2"/>
      </c>
      <c r="I79" s="32">
        <f t="shared" si="3"/>
      </c>
    </row>
    <row r="80" spans="1:9" x14ac:dyDescent="0.25">
      <c r="A80" s="27"/>
      <c r="B80" s="28"/>
      <c r="C80" s="29"/>
      <c r="D80" s="29"/>
      <c r="E80" s="33"/>
      <c r="F80" s="34">
        <f t="shared" si="0"/>
      </c>
      <c r="G80" s="35">
        <f t="shared" si="1"/>
      </c>
      <c r="H80" s="36">
        <f t="shared" si="2"/>
      </c>
      <c r="I80" s="32">
        <f t="shared" si="3"/>
      </c>
    </row>
    <row r="81" spans="1:9" x14ac:dyDescent="0.25">
      <c r="A81" s="27"/>
      <c r="B81" s="28"/>
      <c r="C81" s="29"/>
      <c r="D81" s="29"/>
      <c r="E81" s="33"/>
      <c r="F81" s="34">
        <f t="shared" si="0"/>
      </c>
      <c r="G81" s="35">
        <f t="shared" si="1"/>
      </c>
      <c r="H81" s="36">
        <f t="shared" si="2"/>
      </c>
      <c r="I81" s="32">
        <f t="shared" si="3"/>
      </c>
    </row>
    <row r="82" spans="1:9" x14ac:dyDescent="0.25">
      <c r="A82" s="27"/>
      <c r="B82" s="28"/>
      <c r="C82" s="29"/>
      <c r="D82" s="29"/>
      <c r="E82" s="33"/>
      <c r="F82" s="34">
        <f t="shared" si="0"/>
      </c>
      <c r="G82" s="35">
        <f t="shared" si="1"/>
      </c>
      <c r="H82" s="36">
        <f t="shared" si="2"/>
      </c>
      <c r="I82" s="32">
        <f t="shared" si="3"/>
      </c>
    </row>
    <row r="83" spans="1:9" x14ac:dyDescent="0.25">
      <c r="A83" s="27"/>
      <c r="B83" s="28"/>
      <c r="C83" s="29"/>
      <c r="D83" s="29"/>
      <c r="E83" s="33"/>
      <c r="F83" s="34">
        <f t="shared" si="0"/>
      </c>
      <c r="G83" s="35">
        <f t="shared" si="1"/>
      </c>
      <c r="H83" s="36">
        <f t="shared" si="2"/>
      </c>
      <c r="I83" s="32">
        <f t="shared" si="3"/>
      </c>
    </row>
    <row r="84" spans="1:9" x14ac:dyDescent="0.25">
      <c r="A84" s="27"/>
      <c r="B84" s="28"/>
      <c r="C84" s="29"/>
      <c r="D84" s="29"/>
      <c r="E84" s="33"/>
      <c r="F84" s="34">
        <f t="shared" si="0"/>
      </c>
      <c r="G84" s="35">
        <f t="shared" si="1"/>
      </c>
      <c r="H84" s="36">
        <f t="shared" si="2"/>
      </c>
      <c r="I84" s="32">
        <f t="shared" si="3"/>
      </c>
    </row>
    <row r="85" spans="1:9" x14ac:dyDescent="0.25">
      <c r="A85" s="27"/>
      <c r="B85" s="28"/>
      <c r="C85" s="29"/>
      <c r="D85" s="29"/>
      <c r="E85" s="33"/>
      <c r="F85" s="34">
        <f t="shared" si="0"/>
      </c>
      <c r="G85" s="35">
        <f t="shared" si="1"/>
      </c>
      <c r="H85" s="36">
        <f t="shared" si="2"/>
      </c>
      <c r="I85" s="32">
        <f t="shared" si="3"/>
      </c>
    </row>
    <row r="86" spans="1:9" x14ac:dyDescent="0.25">
      <c r="A86" s="27"/>
      <c r="B86" s="28"/>
      <c r="C86" s="29"/>
      <c r="D86" s="29"/>
      <c r="E86" s="33"/>
      <c r="F86" s="34">
        <f t="shared" si="0"/>
      </c>
      <c r="G86" s="35">
        <f t="shared" si="1"/>
      </c>
      <c r="H86" s="36">
        <f t="shared" si="2"/>
      </c>
      <c r="I86" s="32">
        <f t="shared" si="3"/>
      </c>
    </row>
    <row r="87" spans="1:9" x14ac:dyDescent="0.25">
      <c r="A87" s="27"/>
      <c r="B87" s="28"/>
      <c r="C87" s="29"/>
      <c r="D87" s="29"/>
      <c r="E87" s="33"/>
      <c r="F87" s="34">
        <f t="shared" si="0"/>
      </c>
      <c r="G87" s="35">
        <f t="shared" si="1"/>
      </c>
      <c r="H87" s="36">
        <f t="shared" si="2"/>
      </c>
      <c r="I87" s="32">
        <f t="shared" si="3"/>
      </c>
    </row>
    <row r="88" spans="1:9" x14ac:dyDescent="0.25">
      <c r="A88" s="27"/>
      <c r="B88" s="28"/>
      <c r="C88" s="29"/>
      <c r="D88" s="29"/>
      <c r="E88" s="33"/>
      <c r="F88" s="34">
        <f t="shared" si="0"/>
      </c>
      <c r="G88" s="35">
        <f t="shared" si="1"/>
      </c>
      <c r="H88" s="36">
        <f t="shared" si="2"/>
      </c>
      <c r="I88" s="32">
        <f t="shared" si="3"/>
      </c>
    </row>
    <row r="89" spans="1:9" x14ac:dyDescent="0.25">
      <c r="A89" s="27"/>
      <c r="B89" s="28"/>
      <c r="C89" s="29"/>
      <c r="D89" s="29"/>
      <c r="E89" s="33"/>
      <c r="F89" s="34">
        <f t="shared" si="0"/>
      </c>
      <c r="G89" s="35">
        <f t="shared" si="1"/>
      </c>
      <c r="H89" s="36">
        <f t="shared" si="2"/>
      </c>
      <c r="I89" s="32">
        <f t="shared" si="3"/>
      </c>
    </row>
    <row r="90" spans="1:9" x14ac:dyDescent="0.25">
      <c r="A90" s="27"/>
      <c r="B90" s="28"/>
      <c r="C90" s="29"/>
      <c r="D90" s="29"/>
      <c r="E90" s="33"/>
      <c r="F90" s="34">
        <f t="shared" si="0"/>
      </c>
      <c r="G90" s="35">
        <f t="shared" si="1"/>
      </c>
      <c r="H90" s="36">
        <f t="shared" si="2"/>
      </c>
      <c r="I90" s="32">
        <f t="shared" si="3"/>
      </c>
    </row>
    <row r="91" spans="1:9" x14ac:dyDescent="0.25">
      <c r="A91" s="27"/>
      <c r="B91" s="28"/>
      <c r="C91" s="29"/>
      <c r="D91" s="29"/>
      <c r="E91" s="33"/>
      <c r="F91" s="34">
        <f t="shared" si="0"/>
      </c>
      <c r="G91" s="35">
        <f t="shared" si="1"/>
      </c>
      <c r="H91" s="36">
        <f t="shared" si="2"/>
      </c>
      <c r="I91" s="32">
        <f t="shared" si="3"/>
      </c>
    </row>
    <row r="92" spans="1:9" x14ac:dyDescent="0.25">
      <c r="A92" s="27"/>
      <c r="B92" s="28"/>
      <c r="C92" s="29"/>
      <c r="D92" s="29"/>
      <c r="E92" s="33"/>
      <c r="F92" s="34">
        <f t="shared" si="0"/>
      </c>
      <c r="G92" s="35">
        <f t="shared" si="1"/>
      </c>
      <c r="H92" s="36">
        <f t="shared" si="2"/>
      </c>
      <c r="I92" s="32">
        <f t="shared" si="3"/>
      </c>
    </row>
    <row r="93" spans="1:9" x14ac:dyDescent="0.25">
      <c r="A93" s="27"/>
      <c r="B93" s="28"/>
      <c r="C93" s="29"/>
      <c r="D93" s="29"/>
      <c r="E93" s="33"/>
      <c r="F93" s="34">
        <f t="shared" si="0"/>
      </c>
      <c r="G93" s="35">
        <f t="shared" si="1"/>
      </c>
      <c r="H93" s="36">
        <f t="shared" si="2"/>
      </c>
      <c r="I93" s="32">
        <f t="shared" si="3"/>
      </c>
    </row>
    <row r="94" spans="1:9" x14ac:dyDescent="0.25">
      <c r="A94" s="27"/>
      <c r="B94" s="28"/>
      <c r="C94" s="29"/>
      <c r="D94" s="29"/>
      <c r="E94" s="33"/>
      <c r="F94" s="34">
        <f t="shared" si="0"/>
      </c>
      <c r="G94" s="35">
        <f t="shared" si="1"/>
      </c>
      <c r="H94" s="36">
        <f t="shared" si="2"/>
      </c>
      <c r="I94" s="32">
        <f t="shared" si="3"/>
      </c>
    </row>
    <row r="95" spans="1:9" x14ac:dyDescent="0.25">
      <c r="A95" s="27"/>
      <c r="B95" s="28"/>
      <c r="C95" s="29"/>
      <c r="D95" s="29"/>
      <c r="E95" s="33"/>
      <c r="F95" s="34">
        <f t="shared" si="0"/>
      </c>
      <c r="G95" s="35">
        <f t="shared" si="1"/>
      </c>
      <c r="H95" s="36">
        <f t="shared" si="2"/>
      </c>
      <c r="I95" s="32">
        <f t="shared" si="3"/>
      </c>
    </row>
    <row r="96" spans="1:9" x14ac:dyDescent="0.25">
      <c r="A96" s="27"/>
      <c r="B96" s="28"/>
      <c r="C96" s="29"/>
      <c r="D96" s="29"/>
      <c r="E96" s="33"/>
      <c r="F96" s="34">
        <f t="shared" si="0"/>
      </c>
      <c r="G96" s="35">
        <f t="shared" si="1"/>
      </c>
      <c r="H96" s="36">
        <f t="shared" si="2"/>
      </c>
      <c r="I96" s="32">
        <f t="shared" si="3"/>
      </c>
    </row>
    <row r="97" spans="1:9" x14ac:dyDescent="0.25">
      <c r="A97" s="27"/>
      <c r="B97" s="28"/>
      <c r="C97" s="29"/>
      <c r="D97" s="29"/>
      <c r="E97" s="33"/>
      <c r="F97" s="34">
        <f t="shared" si="0"/>
      </c>
      <c r="G97" s="35">
        <f t="shared" si="1"/>
      </c>
      <c r="H97" s="36">
        <f t="shared" si="2"/>
      </c>
      <c r="I97" s="32">
        <f t="shared" si="3"/>
      </c>
    </row>
    <row r="98" spans="1:9" x14ac:dyDescent="0.25">
      <c r="A98" s="27"/>
      <c r="B98" s="28"/>
      <c r="C98" s="29"/>
      <c r="D98" s="29"/>
      <c r="E98" s="33"/>
      <c r="F98" s="34">
        <f t="shared" si="0"/>
      </c>
      <c r="G98" s="35">
        <f t="shared" si="1"/>
      </c>
      <c r="H98" s="36">
        <f t="shared" si="2"/>
      </c>
      <c r="I98" s="32">
        <f t="shared" si="3"/>
      </c>
    </row>
    <row r="99" spans="1:9" x14ac:dyDescent="0.25">
      <c r="A99" s="27"/>
      <c r="B99" s="28"/>
      <c r="C99" s="29"/>
      <c r="D99" s="29"/>
      <c r="E99" s="33"/>
      <c r="F99" s="34">
        <f t="shared" si="0"/>
      </c>
      <c r="G99" s="35">
        <f t="shared" si="1"/>
      </c>
      <c r="H99" s="36">
        <f t="shared" si="2"/>
      </c>
      <c r="I99" s="32">
        <f t="shared" si="3"/>
      </c>
    </row>
    <row r="100" spans="1:9" x14ac:dyDescent="0.25">
      <c r="A100" s="27"/>
      <c r="B100" s="28"/>
      <c r="C100" s="29"/>
      <c r="D100" s="29"/>
      <c r="E100" s="33"/>
      <c r="F100" s="34">
        <f t="shared" si="0"/>
      </c>
      <c r="G100" s="35">
        <f t="shared" si="1"/>
      </c>
      <c r="H100" s="36">
        <f t="shared" si="2"/>
      </c>
      <c r="I100" s="32">
        <f t="shared" si="3"/>
      </c>
    </row>
    <row r="101" spans="1:9" x14ac:dyDescent="0.25">
      <c r="A101" s="27"/>
      <c r="B101" s="28"/>
      <c r="C101" s="29"/>
      <c r="D101" s="29"/>
      <c r="E101" s="33"/>
      <c r="F101" s="34">
        <f t="shared" si="0"/>
      </c>
      <c r="G101" s="35">
        <f t="shared" si="1"/>
      </c>
      <c r="H101" s="36">
        <f t="shared" si="2"/>
      </c>
      <c r="I101" s="32">
        <f t="shared" si="3"/>
      </c>
    </row>
    <row r="102" spans="1:9" x14ac:dyDescent="0.25">
      <c r="A102" s="27"/>
      <c r="B102" s="28"/>
      <c r="C102" s="29"/>
      <c r="D102" s="29"/>
      <c r="E102" s="33"/>
      <c r="F102" s="34">
        <f t="shared" si="0"/>
      </c>
      <c r="G102" s="35">
        <f t="shared" si="1"/>
      </c>
      <c r="H102" s="36">
        <f t="shared" si="2"/>
      </c>
      <c r="I102" s="32">
        <f t="shared" si="3"/>
      </c>
    </row>
    <row r="103" spans="1:9" x14ac:dyDescent="0.25">
      <c r="A103" s="27"/>
      <c r="B103" s="28"/>
      <c r="C103" s="29"/>
      <c r="D103" s="29"/>
      <c r="E103" s="33"/>
      <c r="F103" s="34">
        <f t="shared" si="0"/>
      </c>
      <c r="G103" s="35">
        <f t="shared" si="1"/>
      </c>
      <c r="H103" s="36">
        <f t="shared" si="2"/>
      </c>
      <c r="I103" s="32">
        <f t="shared" si="3"/>
      </c>
    </row>
    <row r="104" spans="1:9" x14ac:dyDescent="0.25">
      <c r="A104" s="27"/>
      <c r="B104" s="28"/>
      <c r="C104" s="29"/>
      <c r="D104" s="29"/>
      <c r="E104" s="33"/>
      <c r="F104" s="34">
        <f t="shared" si="0"/>
      </c>
      <c r="G104" s="35">
        <f t="shared" si="1"/>
      </c>
      <c r="H104" s="36">
        <f t="shared" si="2"/>
      </c>
      <c r="I104" s="32">
        <f t="shared" si="3"/>
      </c>
    </row>
    <row r="105" spans="1:9" x14ac:dyDescent="0.25">
      <c r="A105" s="27"/>
      <c r="B105" s="28"/>
      <c r="C105" s="29"/>
      <c r="D105" s="29"/>
      <c r="E105" s="33"/>
      <c r="F105" s="34">
        <f t="shared" si="0"/>
      </c>
      <c r="G105" s="35">
        <f t="shared" si="1"/>
      </c>
      <c r="H105" s="36">
        <f t="shared" si="2"/>
      </c>
      <c r="I105" s="32">
        <f t="shared" si="3"/>
      </c>
    </row>
    <row r="106" spans="1:9" x14ac:dyDescent="0.25">
      <c r="A106" s="27"/>
      <c r="B106" s="28"/>
      <c r="C106" s="29"/>
      <c r="D106" s="29"/>
      <c r="E106" s="33"/>
      <c r="F106" s="34">
        <f t="shared" si="0"/>
      </c>
      <c r="G106" s="35">
        <f t="shared" si="1"/>
      </c>
      <c r="H106" s="36">
        <f t="shared" si="2"/>
      </c>
      <c r="I106" s="32">
        <f t="shared" si="3"/>
      </c>
    </row>
    <row r="107" spans="1:9" x14ac:dyDescent="0.25">
      <c r="A107" s="27"/>
      <c r="B107" s="28"/>
      <c r="C107" s="29"/>
      <c r="D107" s="29"/>
      <c r="E107" s="33"/>
      <c r="F107" s="34">
        <f t="shared" si="0"/>
      </c>
      <c r="G107" s="35">
        <f t="shared" si="1"/>
      </c>
      <c r="H107" s="36">
        <f t="shared" si="2"/>
      </c>
      <c r="I107" s="32">
        <f t="shared" si="3"/>
      </c>
    </row>
    <row r="108" spans="1:9" x14ac:dyDescent="0.25">
      <c r="A108" s="27"/>
      <c r="B108" s="28"/>
      <c r="C108" s="29"/>
      <c r="D108" s="29"/>
      <c r="E108" s="33"/>
      <c r="F108" s="34">
        <f t="shared" si="0"/>
      </c>
      <c r="G108" s="35">
        <f t="shared" si="1"/>
      </c>
      <c r="H108" s="36">
        <f t="shared" si="2"/>
      </c>
      <c r="I108" s="32">
        <f t="shared" si="3"/>
      </c>
    </row>
    <row r="109" spans="1:9" x14ac:dyDescent="0.25">
      <c r="A109" s="27"/>
      <c r="B109" s="28"/>
      <c r="C109" s="29"/>
      <c r="D109" s="29"/>
      <c r="E109" s="33"/>
      <c r="F109" s="34">
        <f t="shared" si="0"/>
      </c>
      <c r="G109" s="35">
        <f t="shared" si="1"/>
      </c>
      <c r="H109" s="36">
        <f t="shared" si="2"/>
      </c>
      <c r="I109" s="32">
        <f t="shared" si="3"/>
      </c>
    </row>
    <row r="110" spans="1:9" x14ac:dyDescent="0.25">
      <c r="A110" s="27"/>
      <c r="B110" s="28"/>
      <c r="C110" s="29"/>
      <c r="D110" s="29"/>
      <c r="E110" s="33"/>
      <c r="F110" s="34">
        <f t="shared" si="0"/>
      </c>
      <c r="G110" s="35">
        <f t="shared" si="1"/>
      </c>
      <c r="H110" s="36">
        <f t="shared" si="2"/>
      </c>
      <c r="I110" s="32">
        <f t="shared" si="3"/>
      </c>
    </row>
    <row r="111" spans="1:9" x14ac:dyDescent="0.25">
      <c r="A111" s="27"/>
      <c r="B111" s="28"/>
      <c r="C111" s="29"/>
      <c r="D111" s="29"/>
      <c r="E111" s="33"/>
      <c r="F111" s="34">
        <f t="shared" si="0"/>
      </c>
      <c r="G111" s="35">
        <f t="shared" si="1"/>
      </c>
      <c r="H111" s="36">
        <f t="shared" si="2"/>
      </c>
      <c r="I111" s="32">
        <f t="shared" si="3"/>
      </c>
    </row>
    <row r="112" spans="1:9" x14ac:dyDescent="0.25">
      <c r="A112" s="27"/>
      <c r="B112" s="28"/>
      <c r="C112" s="29"/>
      <c r="D112" s="29"/>
      <c r="E112" s="33"/>
      <c r="F112" s="34">
        <f t="shared" si="0"/>
      </c>
      <c r="G112" s="35">
        <f t="shared" si="1"/>
      </c>
      <c r="H112" s="36">
        <f t="shared" si="2"/>
      </c>
      <c r="I112" s="32">
        <f t="shared" si="3"/>
      </c>
    </row>
    <row r="113" spans="1:9" x14ac:dyDescent="0.25">
      <c r="A113" s="27"/>
      <c r="B113" s="28"/>
      <c r="C113" s="29"/>
      <c r="D113" s="29"/>
      <c r="E113" s="33"/>
      <c r="F113" s="34">
        <f t="shared" si="0"/>
      </c>
      <c r="G113" s="35">
        <f t="shared" si="1"/>
      </c>
      <c r="H113" s="36">
        <f t="shared" si="2"/>
      </c>
      <c r="I113" s="32">
        <f t="shared" si="3"/>
      </c>
    </row>
    <row r="114" spans="1:9" x14ac:dyDescent="0.25">
      <c r="A114" s="27"/>
      <c r="B114" s="28"/>
      <c r="C114" s="29"/>
      <c r="D114" s="29"/>
      <c r="E114" s="33"/>
      <c r="F114" s="34">
        <f t="shared" si="0"/>
      </c>
      <c r="G114" s="35">
        <f t="shared" si="1"/>
      </c>
      <c r="H114" s="36">
        <f t="shared" si="2"/>
      </c>
      <c r="I114" s="32">
        <f t="shared" si="3"/>
      </c>
    </row>
    <row r="115" spans="1:9" x14ac:dyDescent="0.25">
      <c r="A115" s="27"/>
      <c r="B115" s="28"/>
      <c r="C115" s="29"/>
      <c r="D115" s="29"/>
      <c r="E115" s="33"/>
      <c r="F115" s="34">
        <f t="shared" si="0"/>
      </c>
      <c r="G115" s="35">
        <f t="shared" si="1"/>
      </c>
      <c r="H115" s="36">
        <f t="shared" si="2"/>
      </c>
      <c r="I115" s="32">
        <f t="shared" si="3"/>
      </c>
    </row>
    <row r="116" spans="1:9" x14ac:dyDescent="0.25">
      <c r="A116" s="27"/>
      <c r="B116" s="28"/>
      <c r="C116" s="29"/>
      <c r="D116" s="29"/>
      <c r="E116" s="33"/>
      <c r="F116" s="34">
        <f t="shared" si="0"/>
      </c>
      <c r="G116" s="35">
        <f t="shared" si="1"/>
      </c>
      <c r="H116" s="36">
        <f t="shared" si="2"/>
      </c>
      <c r="I116" s="32">
        <f t="shared" si="3"/>
      </c>
    </row>
    <row r="117" spans="1:9" x14ac:dyDescent="0.25">
      <c r="A117" s="27"/>
      <c r="B117" s="28"/>
      <c r="C117" s="29"/>
      <c r="D117" s="29"/>
      <c r="E117" s="33"/>
      <c r="F117" s="34">
        <f t="shared" si="0"/>
      </c>
      <c r="G117" s="35">
        <f t="shared" si="1"/>
      </c>
      <c r="H117" s="36">
        <f t="shared" si="2"/>
      </c>
      <c r="I117" s="32">
        <f t="shared" si="3"/>
      </c>
    </row>
    <row r="118" spans="1:9" x14ac:dyDescent="0.25">
      <c r="A118" s="27"/>
      <c r="B118" s="28"/>
      <c r="C118" s="29"/>
      <c r="D118" s="29"/>
      <c r="E118" s="33"/>
      <c r="F118" s="34">
        <f t="shared" si="0"/>
      </c>
      <c r="G118" s="35">
        <f t="shared" si="1"/>
      </c>
      <c r="H118" s="36">
        <f t="shared" si="2"/>
      </c>
      <c r="I118" s="32">
        <f t="shared" si="3"/>
      </c>
    </row>
    <row r="119" spans="1:9" x14ac:dyDescent="0.25">
      <c r="A119" s="27"/>
      <c r="B119" s="28"/>
      <c r="C119" s="29"/>
      <c r="D119" s="29"/>
      <c r="E119" s="33"/>
      <c r="F119" s="34">
        <f t="shared" si="0"/>
      </c>
      <c r="G119" s="35">
        <f t="shared" si="1"/>
      </c>
      <c r="H119" s="36">
        <f t="shared" si="2"/>
      </c>
      <c r="I119" s="32">
        <f t="shared" si="3"/>
      </c>
    </row>
    <row r="120" spans="1:9" x14ac:dyDescent="0.25">
      <c r="A120" s="27"/>
      <c r="B120" s="28"/>
      <c r="C120" s="29"/>
      <c r="D120" s="29"/>
      <c r="E120" s="33"/>
      <c r="F120" s="34">
        <f t="shared" si="0"/>
      </c>
      <c r="G120" s="35">
        <f t="shared" si="1"/>
      </c>
      <c r="H120" s="36">
        <f t="shared" si="2"/>
      </c>
      <c r="I120" s="32">
        <f t="shared" si="3"/>
      </c>
    </row>
    <row r="121" spans="1:9" x14ac:dyDescent="0.25">
      <c r="A121" s="27"/>
      <c r="B121" s="28"/>
      <c r="C121" s="29"/>
      <c r="D121" s="29"/>
      <c r="E121" s="33"/>
      <c r="F121" s="34">
        <f t="shared" si="0"/>
      </c>
      <c r="G121" s="35">
        <f t="shared" si="1"/>
      </c>
      <c r="H121" s="36">
        <f t="shared" si="2"/>
      </c>
      <c r="I121" s="32">
        <f t="shared" si="3"/>
      </c>
    </row>
    <row r="122" spans="1:9" x14ac:dyDescent="0.25">
      <c r="A122" s="27"/>
      <c r="B122" s="28"/>
      <c r="C122" s="29"/>
      <c r="D122" s="29"/>
      <c r="E122" s="33"/>
      <c r="F122" s="34">
        <f t="shared" si="0"/>
      </c>
      <c r="G122" s="35">
        <f t="shared" si="1"/>
      </c>
      <c r="H122" s="36">
        <f t="shared" si="2"/>
      </c>
      <c r="I122" s="32">
        <f t="shared" si="3"/>
      </c>
    </row>
    <row r="123" spans="1:9" x14ac:dyDescent="0.25">
      <c r="A123" s="27"/>
      <c r="B123" s="28"/>
      <c r="C123" s="29"/>
      <c r="D123" s="29"/>
      <c r="E123" s="33"/>
      <c r="F123" s="34">
        <f t="shared" si="0"/>
      </c>
      <c r="G123" s="35">
        <f t="shared" si="1"/>
      </c>
      <c r="H123" s="36">
        <f t="shared" si="2"/>
      </c>
      <c r="I123" s="32">
        <f t="shared" si="3"/>
      </c>
    </row>
    <row r="124" spans="1:9" x14ac:dyDescent="0.25">
      <c r="A124" s="27"/>
      <c r="B124" s="28"/>
      <c r="C124" s="29"/>
      <c r="D124" s="29"/>
      <c r="E124" s="33"/>
      <c r="F124" s="34">
        <f t="shared" si="0"/>
      </c>
      <c r="G124" s="35">
        <f t="shared" si="1"/>
      </c>
      <c r="H124" s="36">
        <f t="shared" si="2"/>
      </c>
      <c r="I124" s="32">
        <f t="shared" si="3"/>
      </c>
    </row>
    <row r="125" spans="1:9" x14ac:dyDescent="0.25">
      <c r="A125" s="27"/>
      <c r="B125" s="28"/>
      <c r="C125" s="29"/>
      <c r="D125" s="29"/>
      <c r="E125" s="33"/>
      <c r="F125" s="34">
        <f t="shared" si="0"/>
      </c>
      <c r="G125" s="35">
        <f t="shared" si="1"/>
      </c>
      <c r="H125" s="36">
        <f t="shared" si="2"/>
      </c>
      <c r="I125" s="32">
        <f t="shared" si="3"/>
      </c>
    </row>
    <row r="126" spans="1:9" x14ac:dyDescent="0.25">
      <c r="A126" s="27"/>
      <c r="B126" s="28"/>
      <c r="C126" s="29"/>
      <c r="D126" s="29"/>
      <c r="E126" s="33"/>
      <c r="F126" s="34">
        <f t="shared" si="0"/>
      </c>
      <c r="G126" s="35">
        <f t="shared" si="1"/>
      </c>
      <c r="H126" s="36">
        <f t="shared" si="2"/>
      </c>
      <c r="I126" s="32">
        <f t="shared" si="3"/>
      </c>
    </row>
    <row r="127" spans="1:9" x14ac:dyDescent="0.25">
      <c r="A127" s="27"/>
      <c r="B127" s="28"/>
      <c r="C127" s="29"/>
      <c r="D127" s="29"/>
      <c r="E127" s="33"/>
      <c r="F127" s="34">
        <f t="shared" si="0"/>
      </c>
      <c r="G127" s="35">
        <f t="shared" si="1"/>
      </c>
      <c r="H127" s="36">
        <f t="shared" si="2"/>
      </c>
      <c r="I127" s="32">
        <f t="shared" si="3"/>
      </c>
    </row>
    <row r="128" spans="1:9" x14ac:dyDescent="0.25">
      <c r="A128" s="27"/>
      <c r="B128" s="28"/>
      <c r="C128" s="29"/>
      <c r="D128" s="29"/>
      <c r="E128" s="33"/>
      <c r="F128" s="34">
        <f t="shared" si="0"/>
      </c>
      <c r="G128" s="35">
        <f t="shared" si="1"/>
      </c>
      <c r="H128" s="36">
        <f t="shared" si="2"/>
      </c>
      <c r="I128" s="32">
        <f t="shared" si="3"/>
      </c>
    </row>
    <row r="129" spans="1:9" x14ac:dyDescent="0.25">
      <c r="A129" s="27"/>
      <c r="B129" s="28"/>
      <c r="C129" s="29"/>
      <c r="D129" s="29"/>
      <c r="E129" s="33"/>
      <c r="F129" s="34">
        <f t="shared" si="0"/>
      </c>
      <c r="G129" s="35">
        <f t="shared" si="1"/>
      </c>
      <c r="H129" s="36">
        <f t="shared" si="2"/>
      </c>
      <c r="I129" s="32">
        <f t="shared" si="3"/>
      </c>
    </row>
    <row r="130" spans="1:9" x14ac:dyDescent="0.25">
      <c r="A130" s="27"/>
      <c r="B130" s="28"/>
      <c r="C130" s="29"/>
      <c r="D130" s="29"/>
      <c r="E130" s="33"/>
      <c r="F130" s="34">
        <f t="shared" si="0"/>
      </c>
      <c r="G130" s="35">
        <f t="shared" si="1"/>
      </c>
      <c r="H130" s="36">
        <f t="shared" si="2"/>
      </c>
      <c r="I130" s="32">
        <f t="shared" si="3"/>
      </c>
    </row>
    <row r="131" spans="1:9" x14ac:dyDescent="0.25">
      <c r="A131" s="27"/>
      <c r="B131" s="28"/>
      <c r="C131" s="29"/>
      <c r="D131" s="29"/>
      <c r="E131" s="33"/>
      <c r="F131" s="34">
        <f t="shared" si="0"/>
      </c>
      <c r="G131" s="35">
        <f t="shared" si="1"/>
      </c>
      <c r="H131" s="36">
        <f t="shared" si="2"/>
      </c>
      <c r="I131" s="32">
        <f t="shared" si="3"/>
      </c>
    </row>
    <row r="132" spans="1:9" x14ac:dyDescent="0.25">
      <c r="A132" s="27"/>
      <c r="B132" s="28"/>
      <c r="C132" s="29"/>
      <c r="D132" s="29"/>
      <c r="E132" s="33"/>
      <c r="F132" s="34">
        <f t="shared" si="0"/>
      </c>
      <c r="G132" s="35">
        <f t="shared" si="1"/>
      </c>
      <c r="H132" s="36">
        <f t="shared" si="2"/>
      </c>
      <c r="I132" s="32">
        <f t="shared" si="3"/>
      </c>
    </row>
    <row r="133" spans="1:9" x14ac:dyDescent="0.25">
      <c r="A133" s="27"/>
      <c r="B133" s="28"/>
      <c r="C133" s="29"/>
      <c r="D133" s="29"/>
      <c r="E133" s="33"/>
      <c r="F133" s="34">
        <f t="shared" si="0"/>
      </c>
      <c r="G133" s="35">
        <f t="shared" si="1"/>
      </c>
      <c r="H133" s="36">
        <f t="shared" si="2"/>
      </c>
      <c r="I133" s="32">
        <f t="shared" si="3"/>
      </c>
    </row>
    <row r="134" spans="1:9" x14ac:dyDescent="0.25">
      <c r="A134" s="27"/>
      <c r="B134" s="28"/>
      <c r="C134" s="29"/>
      <c r="D134" s="29"/>
      <c r="E134" s="33"/>
      <c r="F134" s="34">
        <f t="shared" si="0"/>
      </c>
      <c r="G134" s="35">
        <f t="shared" si="1"/>
      </c>
      <c r="H134" s="36">
        <f t="shared" si="2"/>
      </c>
      <c r="I134" s="32">
        <f t="shared" si="3"/>
      </c>
    </row>
    <row r="135" spans="1:9" x14ac:dyDescent="0.25">
      <c r="A135" s="27"/>
      <c r="B135" s="28"/>
      <c r="C135" s="29"/>
      <c r="D135" s="29"/>
      <c r="E135" s="33"/>
      <c r="F135" s="34">
        <f t="shared" si="0"/>
      </c>
      <c r="G135" s="35">
        <f t="shared" si="1"/>
      </c>
      <c r="H135" s="36">
        <f t="shared" si="2"/>
      </c>
      <c r="I135" s="32">
        <f t="shared" si="3"/>
      </c>
    </row>
    <row r="136" spans="1:9" x14ac:dyDescent="0.25">
      <c r="A136" s="27"/>
      <c r="B136" s="28"/>
      <c r="C136" s="29"/>
      <c r="D136" s="29"/>
      <c r="E136" s="33"/>
      <c r="F136" s="34">
        <f t="shared" si="0"/>
      </c>
      <c r="G136" s="35">
        <f t="shared" si="1"/>
      </c>
      <c r="H136" s="36">
        <f t="shared" si="2"/>
      </c>
      <c r="I136" s="32">
        <f t="shared" si="3"/>
      </c>
    </row>
    <row r="137" spans="1:9" x14ac:dyDescent="0.25">
      <c r="A137" s="27"/>
      <c r="B137" s="28"/>
      <c r="C137" s="29"/>
      <c r="D137" s="29"/>
      <c r="E137" s="33"/>
      <c r="F137" s="34">
        <f t="shared" si="0"/>
      </c>
      <c r="G137" s="35">
        <f t="shared" si="1"/>
      </c>
      <c r="H137" s="36">
        <f t="shared" si="2"/>
      </c>
      <c r="I137" s="32">
        <f t="shared" si="3"/>
      </c>
    </row>
    <row r="138" spans="1:9" x14ac:dyDescent="0.25">
      <c r="A138" s="27"/>
      <c r="B138" s="28"/>
      <c r="C138" s="29"/>
      <c r="D138" s="29"/>
      <c r="E138" s="33"/>
      <c r="F138" s="34">
        <f t="shared" si="0"/>
      </c>
      <c r="G138" s="35">
        <f t="shared" si="1"/>
      </c>
      <c r="H138" s="36">
        <f t="shared" si="2"/>
      </c>
      <c r="I138" s="32">
        <f t="shared" si="3"/>
      </c>
    </row>
    <row r="139" spans="1:9" x14ac:dyDescent="0.25">
      <c r="A139" s="27"/>
      <c r="B139" s="28"/>
      <c r="C139" s="29"/>
      <c r="D139" s="29"/>
      <c r="E139" s="33"/>
      <c r="F139" s="34">
        <f t="shared" si="0"/>
      </c>
      <c r="G139" s="35">
        <f t="shared" si="1"/>
      </c>
      <c r="H139" s="36">
        <f t="shared" si="2"/>
      </c>
      <c r="I139" s="32">
        <f t="shared" si="3"/>
      </c>
    </row>
    <row r="140" spans="1:9" x14ac:dyDescent="0.25">
      <c r="A140" s="27"/>
      <c r="B140" s="28"/>
      <c r="C140" s="29"/>
      <c r="D140" s="29"/>
      <c r="E140" s="33"/>
      <c r="F140" s="34">
        <f t="shared" si="0"/>
      </c>
      <c r="G140" s="35">
        <f t="shared" si="1"/>
      </c>
      <c r="H140" s="36">
        <f t="shared" si="2"/>
      </c>
      <c r="I140" s="32">
        <f t="shared" si="3"/>
      </c>
    </row>
    <row r="141" spans="1:9" x14ac:dyDescent="0.25">
      <c r="A141" s="27"/>
      <c r="B141" s="28"/>
      <c r="C141" s="29"/>
      <c r="D141" s="29"/>
      <c r="E141" s="33"/>
      <c r="F141" s="34">
        <f t="shared" si="0"/>
      </c>
      <c r="G141" s="35">
        <f t="shared" si="1"/>
      </c>
      <c r="H141" s="36">
        <f t="shared" si="2"/>
      </c>
      <c r="I141" s="32">
        <f t="shared" si="3"/>
      </c>
    </row>
    <row r="142" spans="1:9" x14ac:dyDescent="0.25">
      <c r="A142" s="27"/>
      <c r="B142" s="28"/>
      <c r="C142" s="29"/>
      <c r="D142" s="29"/>
      <c r="E142" s="33"/>
      <c r="F142" s="34">
        <f t="shared" si="0"/>
      </c>
      <c r="G142" s="35">
        <f t="shared" si="1"/>
      </c>
      <c r="H142" s="36">
        <f t="shared" si="2"/>
      </c>
      <c r="I142" s="32">
        <f t="shared" si="3"/>
      </c>
    </row>
    <row r="143" spans="1:9" x14ac:dyDescent="0.25">
      <c r="A143" s="27"/>
      <c r="B143" s="28"/>
      <c r="C143" s="29"/>
      <c r="D143" s="29"/>
      <c r="E143" s="33"/>
      <c r="F143" s="34">
        <f t="shared" si="0"/>
      </c>
      <c r="G143" s="35">
        <f t="shared" si="1"/>
      </c>
      <c r="H143" s="36">
        <f t="shared" si="2"/>
      </c>
      <c r="I143" s="32">
        <f t="shared" si="3"/>
      </c>
    </row>
    <row r="144" spans="1:9" x14ac:dyDescent="0.25">
      <c r="A144" s="27"/>
      <c r="B144" s="28"/>
      <c r="C144" s="29"/>
      <c r="D144" s="29"/>
      <c r="E144" s="33"/>
      <c r="F144" s="34">
        <f t="shared" si="0"/>
      </c>
      <c r="G144" s="35">
        <f t="shared" si="1"/>
      </c>
      <c r="H144" s="36">
        <f t="shared" si="2"/>
      </c>
      <c r="I144" s="32">
        <f t="shared" si="3"/>
      </c>
    </row>
    <row r="145" spans="1:9" x14ac:dyDescent="0.25">
      <c r="A145" s="27"/>
      <c r="B145" s="28"/>
      <c r="C145" s="29"/>
      <c r="D145" s="29"/>
      <c r="E145" s="33"/>
      <c r="F145" s="34">
        <f t="shared" si="0"/>
      </c>
      <c r="G145" s="35">
        <f t="shared" si="1"/>
      </c>
      <c r="H145" s="36">
        <f t="shared" si="2"/>
      </c>
      <c r="I145" s="32">
        <f t="shared" si="3"/>
      </c>
    </row>
    <row r="146" spans="1:9" x14ac:dyDescent="0.25">
      <c r="A146" s="27"/>
      <c r="B146" s="28"/>
      <c r="C146" s="29"/>
      <c r="D146" s="29"/>
      <c r="E146" s="33"/>
      <c r="F146" s="34">
        <f t="shared" si="0"/>
      </c>
      <c r="G146" s="35">
        <f t="shared" si="1"/>
      </c>
      <c r="H146" s="36">
        <f t="shared" si="2"/>
      </c>
      <c r="I146" s="32">
        <f t="shared" si="3"/>
      </c>
    </row>
    <row r="147" spans="1:9" x14ac:dyDescent="0.25">
      <c r="A147" s="27"/>
      <c r="B147" s="28"/>
      <c r="C147" s="29"/>
      <c r="D147" s="29"/>
      <c r="E147" s="33"/>
      <c r="F147" s="34">
        <f t="shared" si="0"/>
      </c>
      <c r="G147" s="35">
        <f t="shared" si="1"/>
      </c>
      <c r="H147" s="36">
        <f t="shared" si="2"/>
      </c>
      <c r="I147" s="32">
        <f t="shared" si="3"/>
      </c>
    </row>
    <row r="148" spans="1:9" x14ac:dyDescent="0.25">
      <c r="A148" s="27"/>
      <c r="B148" s="28"/>
      <c r="C148" s="29"/>
      <c r="D148" s="29"/>
      <c r="E148" s="33"/>
      <c r="F148" s="34">
        <f t="shared" si="0"/>
      </c>
      <c r="G148" s="35">
        <f t="shared" si="1"/>
      </c>
      <c r="H148" s="36">
        <f t="shared" si="2"/>
      </c>
      <c r="I148" s="32">
        <f t="shared" si="3"/>
      </c>
    </row>
    <row r="149" spans="1:9" x14ac:dyDescent="0.25">
      <c r="A149" s="27"/>
      <c r="B149" s="28"/>
      <c r="C149" s="29"/>
      <c r="D149" s="29"/>
      <c r="E149" s="33"/>
      <c r="F149" s="34">
        <f t="shared" si="0"/>
      </c>
      <c r="G149" s="35">
        <f t="shared" si="1"/>
      </c>
      <c r="H149" s="36">
        <f t="shared" si="2"/>
      </c>
      <c r="I149" s="32">
        <f t="shared" si="3"/>
      </c>
    </row>
    <row r="150" spans="1:9" x14ac:dyDescent="0.25">
      <c r="A150" s="27"/>
      <c r="B150" s="28"/>
      <c r="C150" s="29"/>
      <c r="D150" s="29"/>
      <c r="E150" s="33"/>
      <c r="F150" s="34">
        <f t="shared" si="0"/>
      </c>
      <c r="G150" s="35">
        <f t="shared" si="1"/>
      </c>
      <c r="H150" s="36">
        <f t="shared" si="2"/>
      </c>
      <c r="I150" s="32">
        <f t="shared" si="3"/>
      </c>
    </row>
    <row r="151" spans="1:9" x14ac:dyDescent="0.25">
      <c r="A151" s="27"/>
      <c r="B151" s="28"/>
      <c r="C151" s="29"/>
      <c r="D151" s="29"/>
      <c r="E151" s="33"/>
      <c r="F151" s="34">
        <f t="shared" si="0"/>
      </c>
      <c r="G151" s="35">
        <f t="shared" si="1"/>
      </c>
      <c r="H151" s="36">
        <f t="shared" si="2"/>
      </c>
      <c r="I151" s="32">
        <f t="shared" si="3"/>
      </c>
    </row>
    <row r="152" spans="1:9" x14ac:dyDescent="0.25">
      <c r="A152" s="27"/>
      <c r="B152" s="28"/>
      <c r="C152" s="29"/>
      <c r="D152" s="29"/>
      <c r="E152" s="33"/>
      <c r="F152" s="34">
        <f t="shared" si="0"/>
      </c>
      <c r="G152" s="35">
        <f t="shared" si="1"/>
      </c>
      <c r="H152" s="36">
        <f t="shared" si="2"/>
      </c>
      <c r="I152" s="32">
        <f t="shared" si="3"/>
      </c>
    </row>
    <row r="153" spans="1:9" x14ac:dyDescent="0.25">
      <c r="A153" s="27"/>
      <c r="B153" s="28"/>
      <c r="C153" s="29"/>
      <c r="D153" s="29"/>
      <c r="E153" s="33"/>
      <c r="F153" s="34">
        <f t="shared" si="0"/>
      </c>
      <c r="G153" s="35">
        <f t="shared" si="1"/>
      </c>
      <c r="H153" s="36">
        <f t="shared" si="2"/>
      </c>
      <c r="I153" s="32">
        <f t="shared" si="3"/>
      </c>
    </row>
    <row r="154" spans="1:9" x14ac:dyDescent="0.25">
      <c r="A154" s="27"/>
      <c r="B154" s="28"/>
      <c r="C154" s="29"/>
      <c r="D154" s="29"/>
      <c r="E154" s="33"/>
      <c r="F154" s="34">
        <f t="shared" si="0"/>
      </c>
      <c r="G154" s="35">
        <f t="shared" si="1"/>
      </c>
      <c r="H154" s="36">
        <f t="shared" si="2"/>
      </c>
      <c r="I154" s="32">
        <f t="shared" si="3"/>
      </c>
    </row>
    <row r="155" spans="1:9" x14ac:dyDescent="0.25">
      <c r="A155" s="27"/>
      <c r="B155" s="28"/>
      <c r="C155" s="29"/>
      <c r="D155" s="29"/>
      <c r="E155" s="33"/>
      <c r="F155" s="34">
        <f t="shared" si="0"/>
      </c>
      <c r="G155" s="35">
        <f t="shared" si="1"/>
      </c>
      <c r="H155" s="36">
        <f t="shared" si="2"/>
      </c>
      <c r="I155" s="32">
        <f t="shared" si="3"/>
      </c>
    </row>
    <row r="156" spans="1:9" x14ac:dyDescent="0.25">
      <c r="A156" s="27"/>
      <c r="B156" s="28"/>
      <c r="C156" s="29"/>
      <c r="D156" s="29"/>
      <c r="E156" s="33"/>
      <c r="F156" s="34">
        <f t="shared" si="0"/>
      </c>
      <c r="G156" s="35">
        <f t="shared" si="1"/>
      </c>
      <c r="H156" s="36">
        <f t="shared" si="2"/>
      </c>
      <c r="I156" s="32">
        <f t="shared" si="3"/>
      </c>
    </row>
    <row r="157" spans="1:9" x14ac:dyDescent="0.25">
      <c r="A157" s="27"/>
      <c r="B157" s="28"/>
      <c r="C157" s="29"/>
      <c r="D157" s="29"/>
      <c r="E157" s="33"/>
      <c r="F157" s="34">
        <f t="shared" si="0"/>
      </c>
      <c r="G157" s="35">
        <f t="shared" si="1"/>
      </c>
      <c r="H157" s="36">
        <f t="shared" si="2"/>
      </c>
      <c r="I157" s="32">
        <f t="shared" si="3"/>
      </c>
    </row>
    <row r="158" spans="1:9" x14ac:dyDescent="0.25">
      <c r="A158" s="27"/>
      <c r="B158" s="28"/>
      <c r="C158" s="29"/>
      <c r="D158" s="29"/>
      <c r="E158" s="33"/>
      <c r="F158" s="34">
        <f t="shared" si="0"/>
      </c>
      <c r="G158" s="35">
        <f t="shared" si="1"/>
      </c>
      <c r="H158" s="36">
        <f t="shared" si="2"/>
      </c>
      <c r="I158" s="32">
        <f t="shared" si="3"/>
      </c>
    </row>
    <row r="159" spans="1:9" x14ac:dyDescent="0.25">
      <c r="A159" s="27"/>
      <c r="B159" s="28"/>
      <c r="C159" s="29"/>
      <c r="D159" s="29"/>
      <c r="E159" s="33"/>
      <c r="F159" s="34">
        <f t="shared" si="0"/>
      </c>
      <c r="G159" s="35">
        <f t="shared" si="1"/>
      </c>
      <c r="H159" s="36">
        <f t="shared" si="2"/>
      </c>
      <c r="I159" s="32">
        <f t="shared" si="3"/>
      </c>
    </row>
    <row r="160" spans="1:9" x14ac:dyDescent="0.25">
      <c r="A160" s="27"/>
      <c r="B160" s="28"/>
      <c r="C160" s="29"/>
      <c r="D160" s="29"/>
      <c r="E160" s="33"/>
      <c r="F160" s="34">
        <f t="shared" si="0"/>
      </c>
      <c r="G160" s="35">
        <f t="shared" si="1"/>
      </c>
      <c r="H160" s="36">
        <f t="shared" si="2"/>
      </c>
      <c r="I160" s="32">
        <f t="shared" si="3"/>
      </c>
    </row>
    <row r="161" spans="1:9" x14ac:dyDescent="0.25">
      <c r="A161" s="27"/>
      <c r="B161" s="28"/>
      <c r="C161" s="29"/>
      <c r="D161" s="29"/>
      <c r="E161" s="33"/>
      <c r="F161" s="34">
        <f t="shared" si="0"/>
      </c>
      <c r="G161" s="35">
        <f t="shared" si="1"/>
      </c>
      <c r="H161" s="36">
        <f t="shared" si="2"/>
      </c>
      <c r="I161" s="32">
        <f t="shared" si="3"/>
      </c>
    </row>
    <row r="162" spans="1:9" x14ac:dyDescent="0.25">
      <c r="A162" s="27"/>
      <c r="B162" s="28"/>
      <c r="C162" s="29"/>
      <c r="D162" s="29"/>
      <c r="E162" s="33"/>
      <c r="F162" s="34">
        <f t="shared" si="0"/>
      </c>
      <c r="G162" s="35">
        <f t="shared" si="1"/>
      </c>
      <c r="H162" s="36">
        <f t="shared" si="2"/>
      </c>
      <c r="I162" s="32">
        <f t="shared" si="3"/>
      </c>
    </row>
    <row r="163" spans="1:9" x14ac:dyDescent="0.25">
      <c r="A163" s="27"/>
      <c r="B163" s="28"/>
      <c r="C163" s="29"/>
      <c r="D163" s="29"/>
      <c r="E163" s="33"/>
      <c r="F163" s="34">
        <f t="shared" si="0"/>
      </c>
      <c r="G163" s="35">
        <f t="shared" si="1"/>
      </c>
      <c r="H163" s="36">
        <f t="shared" si="2"/>
      </c>
      <c r="I163" s="32">
        <f t="shared" si="3"/>
      </c>
    </row>
    <row r="164" spans="1:9" x14ac:dyDescent="0.25">
      <c r="A164" s="27"/>
      <c r="B164" s="28"/>
      <c r="C164" s="29"/>
      <c r="D164" s="29"/>
      <c r="E164" s="33"/>
      <c r="F164" s="34">
        <f t="shared" si="0"/>
      </c>
      <c r="G164" s="35">
        <f t="shared" si="1"/>
      </c>
      <c r="H164" s="36">
        <f t="shared" si="2"/>
      </c>
      <c r="I164" s="32">
        <f t="shared" si="3"/>
      </c>
    </row>
    <row r="165" spans="1:9" x14ac:dyDescent="0.25">
      <c r="A165" s="27"/>
      <c r="B165" s="28"/>
      <c r="C165" s="29"/>
      <c r="D165" s="29"/>
      <c r="E165" s="33"/>
      <c r="F165" s="34">
        <f t="shared" si="0"/>
      </c>
      <c r="G165" s="35">
        <f t="shared" si="1"/>
      </c>
      <c r="H165" s="36">
        <f t="shared" si="2"/>
      </c>
      <c r="I165" s="32">
        <f t="shared" si="3"/>
      </c>
    </row>
    <row r="166" spans="1:9" x14ac:dyDescent="0.25">
      <c r="A166" s="27"/>
      <c r="B166" s="28"/>
      <c r="C166" s="29"/>
      <c r="D166" s="29"/>
      <c r="E166" s="33"/>
      <c r="F166" s="34">
        <f t="shared" si="0"/>
      </c>
      <c r="G166" s="35">
        <f t="shared" si="1"/>
      </c>
      <c r="H166" s="36">
        <f t="shared" si="2"/>
      </c>
      <c r="I166" s="32">
        <f t="shared" si="3"/>
      </c>
    </row>
    <row r="167" spans="1:9" x14ac:dyDescent="0.25">
      <c r="A167" s="27"/>
      <c r="B167" s="28"/>
      <c r="C167" s="29"/>
      <c r="D167" s="29"/>
      <c r="E167" s="33"/>
      <c r="F167" s="34">
        <f t="shared" si="0"/>
      </c>
      <c r="G167" s="35">
        <f t="shared" si="1"/>
      </c>
      <c r="H167" s="36">
        <f t="shared" si="2"/>
      </c>
      <c r="I167" s="32">
        <f t="shared" si="3"/>
      </c>
    </row>
    <row r="168" spans="1:9" x14ac:dyDescent="0.25">
      <c r="A168" s="27"/>
      <c r="B168" s="28"/>
      <c r="C168" s="29"/>
      <c r="D168" s="29"/>
      <c r="E168" s="33"/>
      <c r="F168" s="34">
        <f t="shared" si="0"/>
      </c>
      <c r="G168" s="35">
        <f t="shared" si="1"/>
      </c>
      <c r="H168" s="36">
        <f t="shared" si="2"/>
      </c>
      <c r="I168" s="32">
        <f t="shared" si="3"/>
      </c>
    </row>
    <row r="169" spans="1:9" x14ac:dyDescent="0.25">
      <c r="A169" s="27"/>
      <c r="B169" s="28"/>
      <c r="C169" s="29"/>
      <c r="D169" s="29"/>
      <c r="E169" s="33"/>
      <c r="F169" s="34">
        <f t="shared" si="0"/>
      </c>
      <c r="G169" s="35">
        <f t="shared" si="1"/>
      </c>
      <c r="H169" s="36">
        <f t="shared" si="2"/>
      </c>
      <c r="I169" s="32">
        <f t="shared" si="3"/>
      </c>
    </row>
    <row r="170" spans="1:9" x14ac:dyDescent="0.25">
      <c r="A170" s="27"/>
      <c r="B170" s="28"/>
      <c r="C170" s="29"/>
      <c r="D170" s="29"/>
      <c r="E170" s="33"/>
      <c r="F170" s="34">
        <f t="shared" si="0"/>
      </c>
      <c r="G170" s="35">
        <f t="shared" si="1"/>
      </c>
      <c r="H170" s="36">
        <f t="shared" si="2"/>
      </c>
      <c r="I170" s="32">
        <f t="shared" si="3"/>
      </c>
    </row>
    <row r="171" spans="1:9" x14ac:dyDescent="0.25">
      <c r="A171" s="27"/>
      <c r="B171" s="28"/>
      <c r="C171" s="29"/>
      <c r="D171" s="29"/>
      <c r="E171" s="33"/>
      <c r="F171" s="34">
        <f t="shared" si="0"/>
      </c>
      <c r="G171" s="35">
        <f t="shared" si="1"/>
      </c>
      <c r="H171" s="36">
        <f t="shared" si="2"/>
      </c>
      <c r="I171" s="32">
        <f t="shared" si="3"/>
      </c>
    </row>
    <row r="172" spans="1:9" x14ac:dyDescent="0.25">
      <c r="A172" s="27"/>
      <c r="B172" s="28"/>
      <c r="C172" s="29"/>
      <c r="D172" s="29"/>
      <c r="E172" s="33"/>
      <c r="F172" s="34">
        <f t="shared" si="0"/>
      </c>
      <c r="G172" s="35">
        <f t="shared" si="1"/>
      </c>
      <c r="H172" s="36">
        <f t="shared" si="2"/>
      </c>
      <c r="I172" s="32">
        <f t="shared" si="3"/>
      </c>
    </row>
    <row r="173" spans="1:9" x14ac:dyDescent="0.25">
      <c r="A173" s="27"/>
      <c r="B173" s="28"/>
      <c r="C173" s="29"/>
      <c r="D173" s="29"/>
      <c r="E173" s="33"/>
      <c r="F173" s="34">
        <f t="shared" si="0"/>
      </c>
      <c r="G173" s="35">
        <f t="shared" si="1"/>
      </c>
      <c r="H173" s="36">
        <f t="shared" si="2"/>
      </c>
      <c r="I173" s="32">
        <f t="shared" si="3"/>
      </c>
    </row>
    <row r="174" spans="1:9" x14ac:dyDescent="0.25">
      <c r="A174" s="27"/>
      <c r="B174" s="28"/>
      <c r="C174" s="29"/>
      <c r="D174" s="29"/>
      <c r="E174" s="33"/>
      <c r="F174" s="34">
        <f t="shared" si="0"/>
      </c>
      <c r="G174" s="35">
        <f t="shared" si="1"/>
      </c>
      <c r="H174" s="36">
        <f t="shared" si="2"/>
      </c>
      <c r="I174" s="32">
        <f t="shared" si="3"/>
      </c>
    </row>
    <row r="175" spans="1:9" x14ac:dyDescent="0.25">
      <c r="A175" s="27"/>
      <c r="B175" s="28"/>
      <c r="C175" s="29"/>
      <c r="D175" s="29"/>
      <c r="E175" s="33"/>
      <c r="F175" s="34">
        <f t="shared" si="0"/>
      </c>
      <c r="G175" s="35">
        <f t="shared" si="1"/>
      </c>
      <c r="H175" s="36">
        <f t="shared" si="2"/>
      </c>
      <c r="I175" s="32">
        <f t="shared" si="3"/>
      </c>
    </row>
    <row r="176" spans="1:9" x14ac:dyDescent="0.25">
      <c r="A176" s="27"/>
      <c r="B176" s="28"/>
      <c r="C176" s="29"/>
      <c r="D176" s="29"/>
      <c r="E176" s="33"/>
      <c r="F176" s="34">
        <f t="shared" si="0"/>
      </c>
      <c r="G176" s="35">
        <f t="shared" si="1"/>
      </c>
      <c r="H176" s="36">
        <f t="shared" si="2"/>
      </c>
      <c r="I176" s="32">
        <f t="shared" si="3"/>
      </c>
    </row>
    <row r="177" spans="1:9" x14ac:dyDescent="0.25">
      <c r="A177" s="27"/>
      <c r="B177" s="28"/>
      <c r="C177" s="29"/>
      <c r="D177" s="29"/>
      <c r="E177" s="33"/>
      <c r="F177" s="34">
        <f t="shared" si="0"/>
      </c>
      <c r="G177" s="35">
        <f t="shared" si="1"/>
      </c>
      <c r="H177" s="36">
        <f t="shared" si="2"/>
      </c>
      <c r="I177" s="32">
        <f t="shared" si="3"/>
      </c>
    </row>
    <row r="178" spans="1:9" x14ac:dyDescent="0.25">
      <c r="A178" s="27"/>
      <c r="B178" s="28"/>
      <c r="C178" s="29"/>
      <c r="D178" s="29"/>
      <c r="E178" s="33"/>
      <c r="F178" s="34">
        <f t="shared" si="0"/>
      </c>
      <c r="G178" s="35">
        <f t="shared" si="1"/>
      </c>
      <c r="H178" s="36">
        <f t="shared" si="2"/>
      </c>
      <c r="I178" s="32">
        <f t="shared" si="3"/>
      </c>
    </row>
    <row r="179" spans="1:9" x14ac:dyDescent="0.25">
      <c r="A179" s="27"/>
      <c r="B179" s="28"/>
      <c r="C179" s="29"/>
      <c r="D179" s="29"/>
      <c r="E179" s="33"/>
      <c r="F179" s="34">
        <f t="shared" si="0"/>
      </c>
      <c r="G179" s="35">
        <f t="shared" si="1"/>
      </c>
      <c r="H179" s="36">
        <f t="shared" si="2"/>
      </c>
      <c r="I179" s="32">
        <f t="shared" si="3"/>
      </c>
    </row>
    <row r="180" spans="1:9" x14ac:dyDescent="0.25">
      <c r="A180" s="27"/>
      <c r="B180" s="28"/>
      <c r="C180" s="29"/>
      <c r="D180" s="29"/>
      <c r="E180" s="33"/>
      <c r="F180" s="34">
        <f t="shared" si="0"/>
      </c>
      <c r="G180" s="35">
        <f t="shared" si="1"/>
      </c>
      <c r="H180" s="36">
        <f t="shared" si="2"/>
      </c>
      <c r="I180" s="32">
        <f t="shared" si="3"/>
      </c>
    </row>
    <row r="181" spans="1:9" x14ac:dyDescent="0.25">
      <c r="A181" s="27"/>
      <c r="B181" s="28"/>
      <c r="C181" s="29"/>
      <c r="D181" s="29"/>
      <c r="E181" s="33"/>
      <c r="F181" s="34">
        <f t="shared" si="0"/>
      </c>
      <c r="G181" s="35">
        <f t="shared" si="1"/>
      </c>
      <c r="H181" s="36">
        <f t="shared" si="2"/>
      </c>
      <c r="I181" s="32">
        <f t="shared" si="3"/>
      </c>
    </row>
    <row r="182" spans="1:9" x14ac:dyDescent="0.25">
      <c r="A182" s="27"/>
      <c r="B182" s="28"/>
      <c r="C182" s="29"/>
      <c r="D182" s="29"/>
      <c r="E182" s="33"/>
      <c r="F182" s="34">
        <f t="shared" si="0"/>
      </c>
      <c r="G182" s="35">
        <f t="shared" si="1"/>
      </c>
      <c r="H182" s="36">
        <f t="shared" si="2"/>
      </c>
      <c r="I182" s="32">
        <f t="shared" si="3"/>
      </c>
    </row>
    <row r="183" spans="1:9" x14ac:dyDescent="0.25">
      <c r="A183" s="27"/>
      <c r="B183" s="28"/>
      <c r="C183" s="29"/>
      <c r="D183" s="29"/>
      <c r="E183" s="33"/>
      <c r="F183" s="34">
        <f t="shared" si="0"/>
      </c>
      <c r="G183" s="35">
        <f t="shared" si="1"/>
      </c>
      <c r="H183" s="36">
        <f t="shared" si="2"/>
      </c>
      <c r="I183" s="32">
        <f t="shared" si="3"/>
      </c>
    </row>
    <row r="184" spans="1:9" x14ac:dyDescent="0.25">
      <c r="A184" s="27"/>
      <c r="B184" s="28"/>
      <c r="C184" s="29"/>
      <c r="D184" s="29"/>
      <c r="E184" s="33"/>
      <c r="F184" s="34">
        <f t="shared" si="0"/>
      </c>
      <c r="G184" s="35">
        <f t="shared" si="1"/>
      </c>
      <c r="H184" s="36">
        <f t="shared" si="2"/>
      </c>
      <c r="I184" s="32">
        <f t="shared" si="3"/>
      </c>
    </row>
    <row r="185" spans="1:9" x14ac:dyDescent="0.25">
      <c r="A185" s="27"/>
      <c r="B185" s="28"/>
      <c r="C185" s="29"/>
      <c r="D185" s="29"/>
      <c r="E185" s="33"/>
      <c r="F185" s="34">
        <f t="shared" si="0"/>
      </c>
      <c r="G185" s="35">
        <f t="shared" si="1"/>
      </c>
      <c r="H185" s="36">
        <f t="shared" si="2"/>
      </c>
      <c r="I185" s="32">
        <f t="shared" si="3"/>
      </c>
    </row>
    <row r="186" spans="1:9" x14ac:dyDescent="0.25">
      <c r="A186" s="27"/>
      <c r="B186" s="28"/>
      <c r="C186" s="29"/>
      <c r="D186" s="29"/>
      <c r="E186" s="33"/>
      <c r="F186" s="34">
        <f t="shared" si="0"/>
      </c>
      <c r="G186" s="35">
        <f t="shared" si="1"/>
      </c>
      <c r="H186" s="36">
        <f t="shared" si="2"/>
      </c>
      <c r="I186" s="32">
        <f t="shared" si="3"/>
      </c>
    </row>
    <row r="187" spans="1:9" x14ac:dyDescent="0.25">
      <c r="A187" s="27"/>
      <c r="B187" s="28"/>
      <c r="C187" s="29"/>
      <c r="D187" s="29"/>
      <c r="E187" s="33"/>
      <c r="F187" s="34">
        <f t="shared" si="0"/>
      </c>
      <c r="G187" s="35">
        <f t="shared" si="1"/>
      </c>
      <c r="H187" s="36">
        <f t="shared" si="2"/>
      </c>
      <c r="I187" s="32">
        <f t="shared" si="3"/>
      </c>
    </row>
    <row r="188" spans="1:9" x14ac:dyDescent="0.25">
      <c r="A188" s="27"/>
      <c r="B188" s="28"/>
      <c r="C188" s="29"/>
      <c r="D188" s="29"/>
      <c r="E188" s="33"/>
      <c r="F188" s="34">
        <f t="shared" si="0"/>
      </c>
      <c r="G188" s="35">
        <f t="shared" si="1"/>
      </c>
      <c r="H188" s="36">
        <f t="shared" si="2"/>
      </c>
      <c r="I188" s="32">
        <f t="shared" si="3"/>
      </c>
    </row>
    <row r="189" spans="1:9" x14ac:dyDescent="0.25">
      <c r="A189" s="27"/>
      <c r="B189" s="28"/>
      <c r="C189" s="29"/>
      <c r="D189" s="29"/>
      <c r="E189" s="33"/>
      <c r="F189" s="34">
        <f t="shared" si="0"/>
      </c>
      <c r="G189" s="35">
        <f t="shared" si="1"/>
      </c>
      <c r="H189" s="36">
        <f t="shared" si="2"/>
      </c>
      <c r="I189" s="32">
        <f t="shared" si="3"/>
      </c>
    </row>
    <row r="190" spans="1:9" x14ac:dyDescent="0.25">
      <c r="A190" s="27"/>
      <c r="B190" s="28"/>
      <c r="C190" s="29"/>
      <c r="D190" s="29"/>
      <c r="E190" s="33"/>
      <c r="F190" s="34">
        <f t="shared" si="0"/>
      </c>
      <c r="G190" s="35">
        <f t="shared" si="1"/>
      </c>
      <c r="H190" s="36">
        <f t="shared" si="2"/>
      </c>
      <c r="I190" s="32">
        <f t="shared" si="3"/>
      </c>
    </row>
    <row r="191" spans="1:9" x14ac:dyDescent="0.25">
      <c r="A191" s="27"/>
      <c r="B191" s="28"/>
      <c r="C191" s="29"/>
      <c r="D191" s="29"/>
      <c r="E191" s="33"/>
      <c r="F191" s="34">
        <f t="shared" si="0"/>
      </c>
      <c r="G191" s="35">
        <f t="shared" si="1"/>
      </c>
      <c r="H191" s="36">
        <f t="shared" si="2"/>
      </c>
      <c r="I191" s="32">
        <f t="shared" si="3"/>
      </c>
    </row>
    <row r="192" spans="1:9" x14ac:dyDescent="0.25">
      <c r="A192" s="27"/>
      <c r="B192" s="28"/>
      <c r="C192" s="29"/>
      <c r="D192" s="29"/>
      <c r="E192" s="33"/>
      <c r="F192" s="34">
        <f t="shared" si="0"/>
      </c>
      <c r="G192" s="35">
        <f t="shared" si="1"/>
      </c>
      <c r="H192" s="36">
        <f t="shared" si="2"/>
      </c>
      <c r="I192" s="32">
        <f t="shared" si="3"/>
      </c>
    </row>
    <row r="193" spans="1:9" x14ac:dyDescent="0.25">
      <c r="A193" s="27"/>
      <c r="B193" s="28"/>
      <c r="C193" s="29"/>
      <c r="D193" s="29"/>
      <c r="E193" s="33"/>
      <c r="F193" s="34">
        <f t="shared" si="0"/>
      </c>
      <c r="G193" s="35">
        <f t="shared" si="1"/>
      </c>
      <c r="H193" s="36">
        <f t="shared" si="2"/>
      </c>
      <c r="I193" s="32">
        <f t="shared" si="3"/>
      </c>
    </row>
    <row r="194" spans="1:9" x14ac:dyDescent="0.25">
      <c r="A194" s="27"/>
      <c r="B194" s="28"/>
      <c r="C194" s="29"/>
      <c r="D194" s="29"/>
      <c r="E194" s="33"/>
      <c r="F194" s="34">
        <f t="shared" si="0"/>
      </c>
      <c r="G194" s="35">
        <f t="shared" si="1"/>
      </c>
      <c r="H194" s="36">
        <f t="shared" si="2"/>
      </c>
      <c r="I194" s="32">
        <f t="shared" si="3"/>
      </c>
    </row>
    <row r="195" spans="1:9" x14ac:dyDescent="0.25">
      <c r="A195" s="27"/>
      <c r="B195" s="28"/>
      <c r="C195" s="29"/>
      <c r="D195" s="29"/>
      <c r="E195" s="33"/>
      <c r="F195" s="34">
        <f t="shared" si="0"/>
      </c>
      <c r="G195" s="35">
        <f t="shared" si="1"/>
      </c>
      <c r="H195" s="36">
        <f t="shared" si="2"/>
      </c>
      <c r="I195" s="32">
        <f t="shared" si="3"/>
      </c>
    </row>
    <row r="196" spans="1:9" x14ac:dyDescent="0.25">
      <c r="A196" s="27"/>
      <c r="B196" s="28"/>
      <c r="C196" s="29"/>
      <c r="D196" s="29"/>
      <c r="E196" s="33"/>
      <c r="F196" s="34">
        <f t="shared" si="0"/>
      </c>
      <c r="G196" s="35">
        <f t="shared" si="1"/>
      </c>
      <c r="H196" s="36">
        <f t="shared" si="2"/>
      </c>
      <c r="I196" s="32">
        <f t="shared" si="3"/>
      </c>
    </row>
    <row r="197" spans="1:9" x14ac:dyDescent="0.25">
      <c r="A197" s="27"/>
      <c r="B197" s="28"/>
      <c r="C197" s="29"/>
      <c r="D197" s="29"/>
      <c r="E197" s="33"/>
      <c r="F197" s="34">
        <f t="shared" si="0"/>
      </c>
      <c r="G197" s="35">
        <f t="shared" si="1"/>
      </c>
      <c r="H197" s="36">
        <f t="shared" si="2"/>
      </c>
      <c r="I197" s="32">
        <f t="shared" si="3"/>
      </c>
    </row>
    <row r="198" spans="1:9" x14ac:dyDescent="0.25">
      <c r="A198" s="27"/>
      <c r="B198" s="28"/>
      <c r="C198" s="29"/>
      <c r="D198" s="29"/>
      <c r="E198" s="33"/>
      <c r="F198" s="34">
        <f t="shared" si="0"/>
      </c>
      <c r="G198" s="35">
        <f t="shared" si="1"/>
      </c>
      <c r="H198" s="36">
        <f t="shared" si="2"/>
      </c>
      <c r="I198" s="32">
        <f t="shared" si="3"/>
      </c>
    </row>
    <row r="199" spans="1:9" x14ac:dyDescent="0.25">
      <c r="A199" s="27"/>
      <c r="B199" s="28"/>
      <c r="C199" s="29"/>
      <c r="D199" s="29"/>
      <c r="E199" s="33"/>
      <c r="F199" s="34">
        <f t="shared" si="0"/>
      </c>
      <c r="G199" s="35">
        <f t="shared" si="1"/>
      </c>
      <c r="H199" s="36">
        <f t="shared" si="2"/>
      </c>
      <c r="I199" s="32">
        <f t="shared" si="3"/>
      </c>
    </row>
    <row r="200" spans="1:9" x14ac:dyDescent="0.25">
      <c r="A200" s="27"/>
      <c r="B200" s="28"/>
      <c r="C200" s="29"/>
      <c r="D200" s="29"/>
      <c r="E200" s="33"/>
      <c r="F200" s="34">
        <f t="shared" si="0"/>
      </c>
      <c r="G200" s="35">
        <f t="shared" si="1"/>
      </c>
      <c r="H200" s="36">
        <f t="shared" si="2"/>
      </c>
      <c r="I200" s="32">
        <f t="shared" si="3"/>
      </c>
    </row>
    <row r="201" spans="1:9" x14ac:dyDescent="0.25">
      <c r="A201" s="27"/>
      <c r="B201" s="28"/>
      <c r="C201" s="29"/>
      <c r="D201" s="29"/>
      <c r="E201" s="33"/>
      <c r="F201" s="34">
        <f t="shared" si="0"/>
      </c>
      <c r="G201" s="35">
        <f t="shared" si="1"/>
      </c>
      <c r="H201" s="36">
        <f t="shared" si="2"/>
      </c>
      <c r="I201" s="32">
        <f t="shared" si="3"/>
      </c>
    </row>
    <row r="202" spans="1:9" x14ac:dyDescent="0.25">
      <c r="A202" s="27"/>
      <c r="B202" s="28"/>
      <c r="C202" s="29"/>
      <c r="D202" s="29"/>
      <c r="E202" s="33"/>
      <c r="F202" s="34">
        <f t="shared" si="0"/>
      </c>
      <c r="G202" s="35">
        <f t="shared" si="1"/>
      </c>
      <c r="H202" s="36">
        <f t="shared" si="2"/>
      </c>
      <c r="I202" s="32">
        <f t="shared" si="3"/>
      </c>
    </row>
    <row r="203" spans="1:9" x14ac:dyDescent="0.25">
      <c r="A203" s="27"/>
      <c r="B203" s="28"/>
      <c r="C203" s="29"/>
      <c r="D203" s="29"/>
      <c r="E203" s="33"/>
      <c r="F203" s="34">
        <f t="shared" si="0"/>
      </c>
      <c r="G203" s="35">
        <f t="shared" si="1"/>
      </c>
      <c r="H203" s="36">
        <f t="shared" si="2"/>
      </c>
      <c r="I203" s="32">
        <f t="shared" si="3"/>
      </c>
    </row>
  </sheetData>
  <sheetProtection sheet="1" formatColumns="0" formatRows="0" autoFilter="0"/>
  <autoFilter ref="A3:I203"/>
  <mergeCells count="2">
    <mergeCell ref="A1:B2"/>
    <mergeCell ref="C1:H2"/>
  </mergeCells>
  <conditionalFormatting sqref="H4:H203">
    <cfRule type="expression" dxfId="15" priority="10">
      <formula>H4="A"</formula>
    </cfRule>
    <cfRule type="expression" dxfId="16" priority="11">
      <formula>H4="B"</formula>
    </cfRule>
    <cfRule type="expression" dxfId="17" priority="12">
      <formula>H4="C"</formula>
    </cfRule>
  </conditionalFormatting>
  <conditionalFormatting sqref="I4:I203">
    <cfRule type="expression" dxfId="18" priority="1">
      <formula>OR(LEFT(I4,4)="ERRO",LEFT(I4,7)="ATENÇÃO")</formula>
    </cfRule>
    <cfRule type="expression" dxfId="19" priority="2">
      <formula>OR(LEFT(I4,8)="Pendente",LEFT(I4,9)="Verificar",LEFT(I4,9)="Duplicada",LEFT(I4,7)="Tarefa ",LEFT(I4,13)="Fora do plano",LEFT(I4,8)="Previsão",LEFT(I4,11)="Sem vínculo",LEFT(I4,14)="Não verificado",LEFT(I4,7)="Informe",LEFT(I4,9)="A definir")</formula>
    </cfRule>
    <cfRule type="expression" dxfId="20" priority="3">
      <formula>OR(I4="OK",LEFT(I4,4)="Nada",LEFT(I4,3)="OK:")</formula>
    </cfRule>
  </conditionalFormatting>
  <dataValidations count="3">
    <dataValidation type="list" allowBlank="1" showErrorMessage="1" errorStyle="stop" errorTitle="Valor fora da lista" error="Escolha um ativo cadastrado." sqref="C4:C203">
      <formula1>OFFSET(at_codigo,0,0,MAX(1,COUNTA(at_codigo)),1)</formula1>
    </dataValidation>
    <dataValidation type="decimal" operator="greaterThanOrEqual" allowBlank="1" showErrorMessage="1" errorStyle="stop" errorTitle="Valor inválido" error="Informe um número maior ou igual a zero." sqref="D4:D203">
      <formula1>0</formula1>
    </dataValidation>
    <dataValidation type="decimal" operator="greaterThanOrEqual" allowBlank="1" showErrorMessage="1" errorStyle="stop" errorTitle="Valor inválido" error="Informe um número maior ou igual a zero." sqref="E4:E203">
      <formula1>0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2" customWidth="1"/>
    <col min="2" max="3" width="24" customWidth="1"/>
    <col min="4" max="4" width="26" customWidth="1"/>
    <col min="5" max="5" width="24" customWidth="1"/>
    <col min="9" max="9" width="8" customWidth="1"/>
    <col min="10" max="10" width="10" customWidth="1"/>
    <col min="11" max="11" width="30" customWidth="1"/>
    <col min="12" max="12" width="16" customWidth="1"/>
    <col min="13" max="13" width="12" customWidth="1"/>
    <col min="14" max="14" width="28" customWidth="1"/>
  </cols>
  <sheetData>
    <row r="1" ht="36" customHeight="1" spans="1:14" x14ac:dyDescent="0.25">
      <c r="A1" s="1"/>
      <c r="B1" s="1"/>
      <c r="C1" s="2" t="s">
        <v>116</v>
      </c>
      <c r="D1" s="2"/>
      <c r="E1" s="2"/>
      <c r="F1" s="2"/>
      <c r="G1" s="2"/>
      <c r="H1" s="2"/>
      <c r="I1" s="2"/>
      <c r="J1" s="2"/>
      <c r="K1" s="2"/>
      <c r="L1" s="2"/>
      <c r="M1" s="2"/>
      <c r="N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4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>
        <f>"Elaborado: "&amp;IF(cfg_elaborado="","A definir",cfg_elaborado)&amp;CHAR(10)&amp;"Aprovado: "&amp;IF(cfg_aprovado="","A definir",cfg_aprovado)</f>
      </c>
    </row>
    <row r="3" ht="34" customHeight="1" spans="1:14" x14ac:dyDescent="0.25">
      <c r="A3" s="8" t="s">
        <v>87</v>
      </c>
      <c r="B3" s="8" t="s">
        <v>117</v>
      </c>
      <c r="C3" s="8" t="s">
        <v>118</v>
      </c>
      <c r="D3" s="8" t="s">
        <v>119</v>
      </c>
      <c r="E3" s="8" t="s">
        <v>120</v>
      </c>
      <c r="F3" s="8" t="s">
        <v>121</v>
      </c>
      <c r="G3" s="8" t="s">
        <v>122</v>
      </c>
      <c r="H3" s="8" t="s">
        <v>123</v>
      </c>
      <c r="I3" s="8" t="s">
        <v>124</v>
      </c>
      <c r="J3" s="8" t="s">
        <v>125</v>
      </c>
      <c r="K3" s="8" t="s">
        <v>126</v>
      </c>
      <c r="L3" s="8" t="s">
        <v>127</v>
      </c>
      <c r="M3" s="8" t="s">
        <v>128</v>
      </c>
      <c r="N3" s="8" t="s">
        <v>107</v>
      </c>
    </row>
    <row r="4" spans="1:14" x14ac:dyDescent="0.25">
      <c r="A4" s="29"/>
      <c r="B4" s="31"/>
      <c r="C4" s="31"/>
      <c r="D4" s="31"/>
      <c r="E4" s="31"/>
      <c r="F4" s="29"/>
      <c r="G4" s="29"/>
      <c r="H4" s="29"/>
      <c r="I4" s="36">
        <f t="shared" ref="I4:I303" si="0">IF(COUNT(F4:H4)&lt;3,"",F4*G4*H4)</f>
      </c>
      <c r="J4" s="37">
        <f t="shared" ref="J4:J303" si="1">IF(I4="","",IF(I4&gt;=200,"Crítico",IF(I4&gt;=100,"Alto",IF(I4&gt;=50,"Médio","Baixo"))))</f>
      </c>
      <c r="K4" s="31"/>
      <c r="L4" s="28"/>
      <c r="M4" s="30"/>
      <c r="N4" s="32">
        <f t="shared" ref="N4:N303" si="2">IF(A4&amp;C4="","",IF(OR(A4="",C4=""),"ERRO: informe ativo e modo de falha",IF(COUNT(F4:H4)&lt;3,"Pendente: dê S, O e D",IF(AND(I4&gt;=100,K4=""),"Pendente: defina a ação para risco Alto/Crítico",IF(AND(K4&lt;&gt;"",OR(L4="",NOT(ISNUMBER(M4)))),"Pendente: responsável e prazo da ação","OK")))))</f>
      </c>
    </row>
    <row r="5" spans="1:14" x14ac:dyDescent="0.25">
      <c r="A5" s="29"/>
      <c r="B5" s="31"/>
      <c r="C5" s="31"/>
      <c r="D5" s="31"/>
      <c r="E5" s="31"/>
      <c r="F5" s="29"/>
      <c r="G5" s="29"/>
      <c r="H5" s="29"/>
      <c r="I5" s="36">
        <f t="shared" si="0"/>
      </c>
      <c r="J5" s="37">
        <f t="shared" si="1"/>
      </c>
      <c r="K5" s="31"/>
      <c r="L5" s="28"/>
      <c r="M5" s="30"/>
      <c r="N5" s="32">
        <f t="shared" si="2"/>
      </c>
    </row>
    <row r="6" spans="1:14" x14ac:dyDescent="0.25">
      <c r="A6" s="29"/>
      <c r="B6" s="31"/>
      <c r="C6" s="31"/>
      <c r="D6" s="31"/>
      <c r="E6" s="31"/>
      <c r="F6" s="29"/>
      <c r="G6" s="29"/>
      <c r="H6" s="29"/>
      <c r="I6" s="36">
        <f t="shared" si="0"/>
      </c>
      <c r="J6" s="37">
        <f t="shared" si="1"/>
      </c>
      <c r="K6" s="31"/>
      <c r="L6" s="28"/>
      <c r="M6" s="30"/>
      <c r="N6" s="32">
        <f t="shared" si="2"/>
      </c>
    </row>
    <row r="7" spans="1:14" x14ac:dyDescent="0.25">
      <c r="A7" s="29"/>
      <c r="B7" s="31"/>
      <c r="C7" s="31"/>
      <c r="D7" s="31"/>
      <c r="E7" s="31"/>
      <c r="F7" s="29"/>
      <c r="G7" s="29"/>
      <c r="H7" s="29"/>
      <c r="I7" s="36">
        <f t="shared" si="0"/>
      </c>
      <c r="J7" s="37">
        <f t="shared" si="1"/>
      </c>
      <c r="K7" s="31"/>
      <c r="L7" s="28"/>
      <c r="M7" s="30"/>
      <c r="N7" s="32">
        <f t="shared" si="2"/>
      </c>
    </row>
    <row r="8" spans="1:14" x14ac:dyDescent="0.25">
      <c r="A8" s="29"/>
      <c r="B8" s="31"/>
      <c r="C8" s="31"/>
      <c r="D8" s="31"/>
      <c r="E8" s="31"/>
      <c r="F8" s="29"/>
      <c r="G8" s="29"/>
      <c r="H8" s="29"/>
      <c r="I8" s="36">
        <f t="shared" si="0"/>
      </c>
      <c r="J8" s="37">
        <f t="shared" si="1"/>
      </c>
      <c r="K8" s="31"/>
      <c r="L8" s="28"/>
      <c r="M8" s="30"/>
      <c r="N8" s="32">
        <f t="shared" si="2"/>
      </c>
    </row>
    <row r="9" spans="1:14" x14ac:dyDescent="0.25">
      <c r="A9" s="29"/>
      <c r="B9" s="31"/>
      <c r="C9" s="31"/>
      <c r="D9" s="31"/>
      <c r="E9" s="31"/>
      <c r="F9" s="29"/>
      <c r="G9" s="29"/>
      <c r="H9" s="29"/>
      <c r="I9" s="36">
        <f t="shared" si="0"/>
      </c>
      <c r="J9" s="37">
        <f t="shared" si="1"/>
      </c>
      <c r="K9" s="31"/>
      <c r="L9" s="28"/>
      <c r="M9" s="30"/>
      <c r="N9" s="32">
        <f t="shared" si="2"/>
      </c>
    </row>
    <row r="10" spans="1:14" x14ac:dyDescent="0.25">
      <c r="A10" s="29"/>
      <c r="B10" s="31"/>
      <c r="C10" s="31"/>
      <c r="D10" s="31"/>
      <c r="E10" s="31"/>
      <c r="F10" s="29"/>
      <c r="G10" s="29"/>
      <c r="H10" s="29"/>
      <c r="I10" s="36">
        <f t="shared" si="0"/>
      </c>
      <c r="J10" s="37">
        <f t="shared" si="1"/>
      </c>
      <c r="K10" s="31"/>
      <c r="L10" s="28"/>
      <c r="M10" s="30"/>
      <c r="N10" s="32">
        <f t="shared" si="2"/>
      </c>
    </row>
    <row r="11" spans="1:14" x14ac:dyDescent="0.25">
      <c r="A11" s="29"/>
      <c r="B11" s="31"/>
      <c r="C11" s="31"/>
      <c r="D11" s="31"/>
      <c r="E11" s="31"/>
      <c r="F11" s="29"/>
      <c r="G11" s="29"/>
      <c r="H11" s="29"/>
      <c r="I11" s="36">
        <f t="shared" si="0"/>
      </c>
      <c r="J11" s="37">
        <f t="shared" si="1"/>
      </c>
      <c r="K11" s="31"/>
      <c r="L11" s="28"/>
      <c r="M11" s="30"/>
      <c r="N11" s="32">
        <f t="shared" si="2"/>
      </c>
    </row>
    <row r="12" spans="1:14" x14ac:dyDescent="0.25">
      <c r="A12" s="29"/>
      <c r="B12" s="31"/>
      <c r="C12" s="31"/>
      <c r="D12" s="31"/>
      <c r="E12" s="31"/>
      <c r="F12" s="29"/>
      <c r="G12" s="29"/>
      <c r="H12" s="29"/>
      <c r="I12" s="36">
        <f t="shared" si="0"/>
      </c>
      <c r="J12" s="37">
        <f t="shared" si="1"/>
      </c>
      <c r="K12" s="31"/>
      <c r="L12" s="28"/>
      <c r="M12" s="30"/>
      <c r="N12" s="32">
        <f t="shared" si="2"/>
      </c>
    </row>
    <row r="13" spans="1:14" x14ac:dyDescent="0.25">
      <c r="A13" s="29"/>
      <c r="B13" s="31"/>
      <c r="C13" s="31"/>
      <c r="D13" s="31"/>
      <c r="E13" s="31"/>
      <c r="F13" s="29"/>
      <c r="G13" s="29"/>
      <c r="H13" s="29"/>
      <c r="I13" s="36">
        <f t="shared" si="0"/>
      </c>
      <c r="J13" s="37">
        <f t="shared" si="1"/>
      </c>
      <c r="K13" s="31"/>
      <c r="L13" s="28"/>
      <c r="M13" s="30"/>
      <c r="N13" s="32">
        <f t="shared" si="2"/>
      </c>
    </row>
    <row r="14" spans="1:14" x14ac:dyDescent="0.25">
      <c r="A14" s="29"/>
      <c r="B14" s="31"/>
      <c r="C14" s="31"/>
      <c r="D14" s="31"/>
      <c r="E14" s="31"/>
      <c r="F14" s="29"/>
      <c r="G14" s="29"/>
      <c r="H14" s="29"/>
      <c r="I14" s="36">
        <f t="shared" si="0"/>
      </c>
      <c r="J14" s="37">
        <f t="shared" si="1"/>
      </c>
      <c r="K14" s="31"/>
      <c r="L14" s="28"/>
      <c r="M14" s="30"/>
      <c r="N14" s="32">
        <f t="shared" si="2"/>
      </c>
    </row>
    <row r="15" spans="1:14" x14ac:dyDescent="0.25">
      <c r="A15" s="29"/>
      <c r="B15" s="31"/>
      <c r="C15" s="31"/>
      <c r="D15" s="31"/>
      <c r="E15" s="31"/>
      <c r="F15" s="29"/>
      <c r="G15" s="29"/>
      <c r="H15" s="29"/>
      <c r="I15" s="36">
        <f t="shared" si="0"/>
      </c>
      <c r="J15" s="37">
        <f t="shared" si="1"/>
      </c>
      <c r="K15" s="31"/>
      <c r="L15" s="28"/>
      <c r="M15" s="30"/>
      <c r="N15" s="32">
        <f t="shared" si="2"/>
      </c>
    </row>
    <row r="16" spans="1:14" x14ac:dyDescent="0.25">
      <c r="A16" s="29"/>
      <c r="B16" s="31"/>
      <c r="C16" s="31"/>
      <c r="D16" s="31"/>
      <c r="E16" s="31"/>
      <c r="F16" s="29"/>
      <c r="G16" s="29"/>
      <c r="H16" s="29"/>
      <c r="I16" s="36">
        <f t="shared" si="0"/>
      </c>
      <c r="J16" s="37">
        <f t="shared" si="1"/>
      </c>
      <c r="K16" s="31"/>
      <c r="L16" s="28"/>
      <c r="M16" s="30"/>
      <c r="N16" s="32">
        <f t="shared" si="2"/>
      </c>
    </row>
    <row r="17" spans="1:14" x14ac:dyDescent="0.25">
      <c r="A17" s="29"/>
      <c r="B17" s="31"/>
      <c r="C17" s="31"/>
      <c r="D17" s="31"/>
      <c r="E17" s="31"/>
      <c r="F17" s="29"/>
      <c r="G17" s="29"/>
      <c r="H17" s="29"/>
      <c r="I17" s="36">
        <f t="shared" si="0"/>
      </c>
      <c r="J17" s="37">
        <f t="shared" si="1"/>
      </c>
      <c r="K17" s="31"/>
      <c r="L17" s="28"/>
      <c r="M17" s="30"/>
      <c r="N17" s="32">
        <f t="shared" si="2"/>
      </c>
    </row>
    <row r="18" spans="1:14" x14ac:dyDescent="0.25">
      <c r="A18" s="29"/>
      <c r="B18" s="31"/>
      <c r="C18" s="31"/>
      <c r="D18" s="31"/>
      <c r="E18" s="31"/>
      <c r="F18" s="29"/>
      <c r="G18" s="29"/>
      <c r="H18" s="29"/>
      <c r="I18" s="36">
        <f t="shared" si="0"/>
      </c>
      <c r="J18" s="37">
        <f t="shared" si="1"/>
      </c>
      <c r="K18" s="31"/>
      <c r="L18" s="28"/>
      <c r="M18" s="30"/>
      <c r="N18" s="32">
        <f t="shared" si="2"/>
      </c>
    </row>
    <row r="19" spans="1:14" x14ac:dyDescent="0.25">
      <c r="A19" s="29"/>
      <c r="B19" s="31"/>
      <c r="C19" s="31"/>
      <c r="D19" s="31"/>
      <c r="E19" s="31"/>
      <c r="F19" s="29"/>
      <c r="G19" s="29"/>
      <c r="H19" s="29"/>
      <c r="I19" s="36">
        <f t="shared" si="0"/>
      </c>
      <c r="J19" s="37">
        <f t="shared" si="1"/>
      </c>
      <c r="K19" s="31"/>
      <c r="L19" s="28"/>
      <c r="M19" s="30"/>
      <c r="N19" s="32">
        <f t="shared" si="2"/>
      </c>
    </row>
    <row r="20" spans="1:14" x14ac:dyDescent="0.25">
      <c r="A20" s="29"/>
      <c r="B20" s="31"/>
      <c r="C20" s="31"/>
      <c r="D20" s="31"/>
      <c r="E20" s="31"/>
      <c r="F20" s="29"/>
      <c r="G20" s="29"/>
      <c r="H20" s="29"/>
      <c r="I20" s="36">
        <f t="shared" si="0"/>
      </c>
      <c r="J20" s="37">
        <f t="shared" si="1"/>
      </c>
      <c r="K20" s="31"/>
      <c r="L20" s="28"/>
      <c r="M20" s="30"/>
      <c r="N20" s="32">
        <f t="shared" si="2"/>
      </c>
    </row>
    <row r="21" spans="1:14" x14ac:dyDescent="0.25">
      <c r="A21" s="29"/>
      <c r="B21" s="31"/>
      <c r="C21" s="31"/>
      <c r="D21" s="31"/>
      <c r="E21" s="31"/>
      <c r="F21" s="29"/>
      <c r="G21" s="29"/>
      <c r="H21" s="29"/>
      <c r="I21" s="36">
        <f t="shared" si="0"/>
      </c>
      <c r="J21" s="37">
        <f t="shared" si="1"/>
      </c>
      <c r="K21" s="31"/>
      <c r="L21" s="28"/>
      <c r="M21" s="30"/>
      <c r="N21" s="32">
        <f t="shared" si="2"/>
      </c>
    </row>
    <row r="22" spans="1:14" x14ac:dyDescent="0.25">
      <c r="A22" s="29"/>
      <c r="B22" s="31"/>
      <c r="C22" s="31"/>
      <c r="D22" s="31"/>
      <c r="E22" s="31"/>
      <c r="F22" s="29"/>
      <c r="G22" s="29"/>
      <c r="H22" s="29"/>
      <c r="I22" s="36">
        <f t="shared" si="0"/>
      </c>
      <c r="J22" s="37">
        <f t="shared" si="1"/>
      </c>
      <c r="K22" s="31"/>
      <c r="L22" s="28"/>
      <c r="M22" s="30"/>
      <c r="N22" s="32">
        <f t="shared" si="2"/>
      </c>
    </row>
    <row r="23" spans="1:14" x14ac:dyDescent="0.25">
      <c r="A23" s="29"/>
      <c r="B23" s="31"/>
      <c r="C23" s="31"/>
      <c r="D23" s="31"/>
      <c r="E23" s="31"/>
      <c r="F23" s="29"/>
      <c r="G23" s="29"/>
      <c r="H23" s="29"/>
      <c r="I23" s="36">
        <f t="shared" si="0"/>
      </c>
      <c r="J23" s="37">
        <f t="shared" si="1"/>
      </c>
      <c r="K23" s="31"/>
      <c r="L23" s="28"/>
      <c r="M23" s="30"/>
      <c r="N23" s="32">
        <f t="shared" si="2"/>
      </c>
    </row>
    <row r="24" spans="1:14" x14ac:dyDescent="0.25">
      <c r="A24" s="29"/>
      <c r="B24" s="31"/>
      <c r="C24" s="31"/>
      <c r="D24" s="31"/>
      <c r="E24" s="31"/>
      <c r="F24" s="29"/>
      <c r="G24" s="29"/>
      <c r="H24" s="29"/>
      <c r="I24" s="36">
        <f t="shared" si="0"/>
      </c>
      <c r="J24" s="37">
        <f t="shared" si="1"/>
      </c>
      <c r="K24" s="31"/>
      <c r="L24" s="28"/>
      <c r="M24" s="30"/>
      <c r="N24" s="32">
        <f t="shared" si="2"/>
      </c>
    </row>
    <row r="25" spans="1:14" x14ac:dyDescent="0.25">
      <c r="A25" s="29"/>
      <c r="B25" s="31"/>
      <c r="C25" s="31"/>
      <c r="D25" s="31"/>
      <c r="E25" s="31"/>
      <c r="F25" s="29"/>
      <c r="G25" s="29"/>
      <c r="H25" s="29"/>
      <c r="I25" s="36">
        <f t="shared" si="0"/>
      </c>
      <c r="J25" s="37">
        <f t="shared" si="1"/>
      </c>
      <c r="K25" s="31"/>
      <c r="L25" s="28"/>
      <c r="M25" s="30"/>
      <c r="N25" s="32">
        <f t="shared" si="2"/>
      </c>
    </row>
    <row r="26" spans="1:14" x14ac:dyDescent="0.25">
      <c r="A26" s="29"/>
      <c r="B26" s="31"/>
      <c r="C26" s="31"/>
      <c r="D26" s="31"/>
      <c r="E26" s="31"/>
      <c r="F26" s="29"/>
      <c r="G26" s="29"/>
      <c r="H26" s="29"/>
      <c r="I26" s="36">
        <f t="shared" si="0"/>
      </c>
      <c r="J26" s="37">
        <f t="shared" si="1"/>
      </c>
      <c r="K26" s="31"/>
      <c r="L26" s="28"/>
      <c r="M26" s="30"/>
      <c r="N26" s="32">
        <f t="shared" si="2"/>
      </c>
    </row>
    <row r="27" spans="1:14" x14ac:dyDescent="0.25">
      <c r="A27" s="29"/>
      <c r="B27" s="31"/>
      <c r="C27" s="31"/>
      <c r="D27" s="31"/>
      <c r="E27" s="31"/>
      <c r="F27" s="29"/>
      <c r="G27" s="29"/>
      <c r="H27" s="29"/>
      <c r="I27" s="36">
        <f t="shared" si="0"/>
      </c>
      <c r="J27" s="37">
        <f t="shared" si="1"/>
      </c>
      <c r="K27" s="31"/>
      <c r="L27" s="28"/>
      <c r="M27" s="30"/>
      <c r="N27" s="32">
        <f t="shared" si="2"/>
      </c>
    </row>
    <row r="28" spans="1:14" x14ac:dyDescent="0.25">
      <c r="A28" s="29"/>
      <c r="B28" s="31"/>
      <c r="C28" s="31"/>
      <c r="D28" s="31"/>
      <c r="E28" s="31"/>
      <c r="F28" s="29"/>
      <c r="G28" s="29"/>
      <c r="H28" s="29"/>
      <c r="I28" s="36">
        <f t="shared" si="0"/>
      </c>
      <c r="J28" s="37">
        <f t="shared" si="1"/>
      </c>
      <c r="K28" s="31"/>
      <c r="L28" s="28"/>
      <c r="M28" s="30"/>
      <c r="N28" s="32">
        <f t="shared" si="2"/>
      </c>
    </row>
    <row r="29" spans="1:14" x14ac:dyDescent="0.25">
      <c r="A29" s="29"/>
      <c r="B29" s="31"/>
      <c r="C29" s="31"/>
      <c r="D29" s="31"/>
      <c r="E29" s="31"/>
      <c r="F29" s="29"/>
      <c r="G29" s="29"/>
      <c r="H29" s="29"/>
      <c r="I29" s="36">
        <f t="shared" si="0"/>
      </c>
      <c r="J29" s="37">
        <f t="shared" si="1"/>
      </c>
      <c r="K29" s="31"/>
      <c r="L29" s="28"/>
      <c r="M29" s="30"/>
      <c r="N29" s="32">
        <f t="shared" si="2"/>
      </c>
    </row>
    <row r="30" spans="1:14" x14ac:dyDescent="0.25">
      <c r="A30" s="29"/>
      <c r="B30" s="31"/>
      <c r="C30" s="31"/>
      <c r="D30" s="31"/>
      <c r="E30" s="31"/>
      <c r="F30" s="29"/>
      <c r="G30" s="29"/>
      <c r="H30" s="29"/>
      <c r="I30" s="36">
        <f t="shared" si="0"/>
      </c>
      <c r="J30" s="37">
        <f t="shared" si="1"/>
      </c>
      <c r="K30" s="31"/>
      <c r="L30" s="28"/>
      <c r="M30" s="30"/>
      <c r="N30" s="32">
        <f t="shared" si="2"/>
      </c>
    </row>
    <row r="31" spans="1:14" x14ac:dyDescent="0.25">
      <c r="A31" s="29"/>
      <c r="B31" s="31"/>
      <c r="C31" s="31"/>
      <c r="D31" s="31"/>
      <c r="E31" s="31"/>
      <c r="F31" s="29"/>
      <c r="G31" s="29"/>
      <c r="H31" s="29"/>
      <c r="I31" s="36">
        <f t="shared" si="0"/>
      </c>
      <c r="J31" s="37">
        <f t="shared" si="1"/>
      </c>
      <c r="K31" s="31"/>
      <c r="L31" s="28"/>
      <c r="M31" s="30"/>
      <c r="N31" s="32">
        <f t="shared" si="2"/>
      </c>
    </row>
    <row r="32" spans="1:14" x14ac:dyDescent="0.25">
      <c r="A32" s="29"/>
      <c r="B32" s="31"/>
      <c r="C32" s="31"/>
      <c r="D32" s="31"/>
      <c r="E32" s="31"/>
      <c r="F32" s="29"/>
      <c r="G32" s="29"/>
      <c r="H32" s="29"/>
      <c r="I32" s="36">
        <f t="shared" si="0"/>
      </c>
      <c r="J32" s="37">
        <f t="shared" si="1"/>
      </c>
      <c r="K32" s="31"/>
      <c r="L32" s="28"/>
      <c r="M32" s="30"/>
      <c r="N32" s="32">
        <f t="shared" si="2"/>
      </c>
    </row>
    <row r="33" spans="1:14" x14ac:dyDescent="0.25">
      <c r="A33" s="29"/>
      <c r="B33" s="31"/>
      <c r="C33" s="31"/>
      <c r="D33" s="31"/>
      <c r="E33" s="31"/>
      <c r="F33" s="29"/>
      <c r="G33" s="29"/>
      <c r="H33" s="29"/>
      <c r="I33" s="36">
        <f t="shared" si="0"/>
      </c>
      <c r="J33" s="37">
        <f t="shared" si="1"/>
      </c>
      <c r="K33" s="31"/>
      <c r="L33" s="28"/>
      <c r="M33" s="30"/>
      <c r="N33" s="32">
        <f t="shared" si="2"/>
      </c>
    </row>
    <row r="34" spans="1:14" x14ac:dyDescent="0.25">
      <c r="A34" s="29"/>
      <c r="B34" s="31"/>
      <c r="C34" s="31"/>
      <c r="D34" s="31"/>
      <c r="E34" s="31"/>
      <c r="F34" s="29"/>
      <c r="G34" s="29"/>
      <c r="H34" s="29"/>
      <c r="I34" s="36">
        <f t="shared" si="0"/>
      </c>
      <c r="J34" s="37">
        <f t="shared" si="1"/>
      </c>
      <c r="K34" s="31"/>
      <c r="L34" s="28"/>
      <c r="M34" s="30"/>
      <c r="N34" s="32">
        <f t="shared" si="2"/>
      </c>
    </row>
    <row r="35" spans="1:14" x14ac:dyDescent="0.25">
      <c r="A35" s="29"/>
      <c r="B35" s="31"/>
      <c r="C35" s="31"/>
      <c r="D35" s="31"/>
      <c r="E35" s="31"/>
      <c r="F35" s="29"/>
      <c r="G35" s="29"/>
      <c r="H35" s="29"/>
      <c r="I35" s="36">
        <f t="shared" si="0"/>
      </c>
      <c r="J35" s="37">
        <f t="shared" si="1"/>
      </c>
      <c r="K35" s="31"/>
      <c r="L35" s="28"/>
      <c r="M35" s="30"/>
      <c r="N35" s="32">
        <f t="shared" si="2"/>
      </c>
    </row>
    <row r="36" spans="1:14" x14ac:dyDescent="0.25">
      <c r="A36" s="29"/>
      <c r="B36" s="31"/>
      <c r="C36" s="31"/>
      <c r="D36" s="31"/>
      <c r="E36" s="31"/>
      <c r="F36" s="29"/>
      <c r="G36" s="29"/>
      <c r="H36" s="29"/>
      <c r="I36" s="36">
        <f t="shared" si="0"/>
      </c>
      <c r="J36" s="37">
        <f t="shared" si="1"/>
      </c>
      <c r="K36" s="31"/>
      <c r="L36" s="28"/>
      <c r="M36" s="30"/>
      <c r="N36" s="32">
        <f t="shared" si="2"/>
      </c>
    </row>
    <row r="37" spans="1:14" x14ac:dyDescent="0.25">
      <c r="A37" s="29"/>
      <c r="B37" s="31"/>
      <c r="C37" s="31"/>
      <c r="D37" s="31"/>
      <c r="E37" s="31"/>
      <c r="F37" s="29"/>
      <c r="G37" s="29"/>
      <c r="H37" s="29"/>
      <c r="I37" s="36">
        <f t="shared" si="0"/>
      </c>
      <c r="J37" s="37">
        <f t="shared" si="1"/>
      </c>
      <c r="K37" s="31"/>
      <c r="L37" s="28"/>
      <c r="M37" s="30"/>
      <c r="N37" s="32">
        <f t="shared" si="2"/>
      </c>
    </row>
    <row r="38" spans="1:14" x14ac:dyDescent="0.25">
      <c r="A38" s="29"/>
      <c r="B38" s="31"/>
      <c r="C38" s="31"/>
      <c r="D38" s="31"/>
      <c r="E38" s="31"/>
      <c r="F38" s="29"/>
      <c r="G38" s="29"/>
      <c r="H38" s="29"/>
      <c r="I38" s="36">
        <f t="shared" si="0"/>
      </c>
      <c r="J38" s="37">
        <f t="shared" si="1"/>
      </c>
      <c r="K38" s="31"/>
      <c r="L38" s="28"/>
      <c r="M38" s="30"/>
      <c r="N38" s="32">
        <f t="shared" si="2"/>
      </c>
    </row>
    <row r="39" spans="1:14" x14ac:dyDescent="0.25">
      <c r="A39" s="29"/>
      <c r="B39" s="31"/>
      <c r="C39" s="31"/>
      <c r="D39" s="31"/>
      <c r="E39" s="31"/>
      <c r="F39" s="29"/>
      <c r="G39" s="29"/>
      <c r="H39" s="29"/>
      <c r="I39" s="36">
        <f t="shared" si="0"/>
      </c>
      <c r="J39" s="37">
        <f t="shared" si="1"/>
      </c>
      <c r="K39" s="31"/>
      <c r="L39" s="28"/>
      <c r="M39" s="30"/>
      <c r="N39" s="32">
        <f t="shared" si="2"/>
      </c>
    </row>
    <row r="40" spans="1:14" x14ac:dyDescent="0.25">
      <c r="A40" s="29"/>
      <c r="B40" s="31"/>
      <c r="C40" s="31"/>
      <c r="D40" s="31"/>
      <c r="E40" s="31"/>
      <c r="F40" s="29"/>
      <c r="G40" s="29"/>
      <c r="H40" s="29"/>
      <c r="I40" s="36">
        <f t="shared" si="0"/>
      </c>
      <c r="J40" s="37">
        <f t="shared" si="1"/>
      </c>
      <c r="K40" s="31"/>
      <c r="L40" s="28"/>
      <c r="M40" s="30"/>
      <c r="N40" s="32">
        <f t="shared" si="2"/>
      </c>
    </row>
    <row r="41" spans="1:14" x14ac:dyDescent="0.25">
      <c r="A41" s="29"/>
      <c r="B41" s="31"/>
      <c r="C41" s="31"/>
      <c r="D41" s="31"/>
      <c r="E41" s="31"/>
      <c r="F41" s="29"/>
      <c r="G41" s="29"/>
      <c r="H41" s="29"/>
      <c r="I41" s="36">
        <f t="shared" si="0"/>
      </c>
      <c r="J41" s="37">
        <f t="shared" si="1"/>
      </c>
      <c r="K41" s="31"/>
      <c r="L41" s="28"/>
      <c r="M41" s="30"/>
      <c r="N41" s="32">
        <f t="shared" si="2"/>
      </c>
    </row>
    <row r="42" spans="1:14" x14ac:dyDescent="0.25">
      <c r="A42" s="29"/>
      <c r="B42" s="31"/>
      <c r="C42" s="31"/>
      <c r="D42" s="31"/>
      <c r="E42" s="31"/>
      <c r="F42" s="29"/>
      <c r="G42" s="29"/>
      <c r="H42" s="29"/>
      <c r="I42" s="36">
        <f t="shared" si="0"/>
      </c>
      <c r="J42" s="37">
        <f t="shared" si="1"/>
      </c>
      <c r="K42" s="31"/>
      <c r="L42" s="28"/>
      <c r="M42" s="30"/>
      <c r="N42" s="32">
        <f t="shared" si="2"/>
      </c>
    </row>
    <row r="43" spans="1:14" x14ac:dyDescent="0.25">
      <c r="A43" s="29"/>
      <c r="B43" s="31"/>
      <c r="C43" s="31"/>
      <c r="D43" s="31"/>
      <c r="E43" s="31"/>
      <c r="F43" s="29"/>
      <c r="G43" s="29"/>
      <c r="H43" s="29"/>
      <c r="I43" s="36">
        <f t="shared" si="0"/>
      </c>
      <c r="J43" s="37">
        <f t="shared" si="1"/>
      </c>
      <c r="K43" s="31"/>
      <c r="L43" s="28"/>
      <c r="M43" s="30"/>
      <c r="N43" s="32">
        <f t="shared" si="2"/>
      </c>
    </row>
    <row r="44" spans="1:14" x14ac:dyDescent="0.25">
      <c r="A44" s="29"/>
      <c r="B44" s="31"/>
      <c r="C44" s="31"/>
      <c r="D44" s="31"/>
      <c r="E44" s="31"/>
      <c r="F44" s="29"/>
      <c r="G44" s="29"/>
      <c r="H44" s="29"/>
      <c r="I44" s="36">
        <f t="shared" si="0"/>
      </c>
      <c r="J44" s="37">
        <f t="shared" si="1"/>
      </c>
      <c r="K44" s="31"/>
      <c r="L44" s="28"/>
      <c r="M44" s="30"/>
      <c r="N44" s="32">
        <f t="shared" si="2"/>
      </c>
    </row>
    <row r="45" spans="1:14" x14ac:dyDescent="0.25">
      <c r="A45" s="29"/>
      <c r="B45" s="31"/>
      <c r="C45" s="31"/>
      <c r="D45" s="31"/>
      <c r="E45" s="31"/>
      <c r="F45" s="29"/>
      <c r="G45" s="29"/>
      <c r="H45" s="29"/>
      <c r="I45" s="36">
        <f t="shared" si="0"/>
      </c>
      <c r="J45" s="37">
        <f t="shared" si="1"/>
      </c>
      <c r="K45" s="31"/>
      <c r="L45" s="28"/>
      <c r="M45" s="30"/>
      <c r="N45" s="32">
        <f t="shared" si="2"/>
      </c>
    </row>
    <row r="46" spans="1:14" x14ac:dyDescent="0.25">
      <c r="A46" s="29"/>
      <c r="B46" s="31"/>
      <c r="C46" s="31"/>
      <c r="D46" s="31"/>
      <c r="E46" s="31"/>
      <c r="F46" s="29"/>
      <c r="G46" s="29"/>
      <c r="H46" s="29"/>
      <c r="I46" s="36">
        <f t="shared" si="0"/>
      </c>
      <c r="J46" s="37">
        <f t="shared" si="1"/>
      </c>
      <c r="K46" s="31"/>
      <c r="L46" s="28"/>
      <c r="M46" s="30"/>
      <c r="N46" s="32">
        <f t="shared" si="2"/>
      </c>
    </row>
    <row r="47" spans="1:14" x14ac:dyDescent="0.25">
      <c r="A47" s="29"/>
      <c r="B47" s="31"/>
      <c r="C47" s="31"/>
      <c r="D47" s="31"/>
      <c r="E47" s="31"/>
      <c r="F47" s="29"/>
      <c r="G47" s="29"/>
      <c r="H47" s="29"/>
      <c r="I47" s="36">
        <f t="shared" si="0"/>
      </c>
      <c r="J47" s="37">
        <f t="shared" si="1"/>
      </c>
      <c r="K47" s="31"/>
      <c r="L47" s="28"/>
      <c r="M47" s="30"/>
      <c r="N47" s="32">
        <f t="shared" si="2"/>
      </c>
    </row>
    <row r="48" spans="1:14" x14ac:dyDescent="0.25">
      <c r="A48" s="29"/>
      <c r="B48" s="31"/>
      <c r="C48" s="31"/>
      <c r="D48" s="31"/>
      <c r="E48" s="31"/>
      <c r="F48" s="29"/>
      <c r="G48" s="29"/>
      <c r="H48" s="29"/>
      <c r="I48" s="36">
        <f t="shared" si="0"/>
      </c>
      <c r="J48" s="37">
        <f t="shared" si="1"/>
      </c>
      <c r="K48" s="31"/>
      <c r="L48" s="28"/>
      <c r="M48" s="30"/>
      <c r="N48" s="32">
        <f t="shared" si="2"/>
      </c>
    </row>
    <row r="49" spans="1:14" x14ac:dyDescent="0.25">
      <c r="A49" s="29"/>
      <c r="B49" s="31"/>
      <c r="C49" s="31"/>
      <c r="D49" s="31"/>
      <c r="E49" s="31"/>
      <c r="F49" s="29"/>
      <c r="G49" s="29"/>
      <c r="H49" s="29"/>
      <c r="I49" s="36">
        <f t="shared" si="0"/>
      </c>
      <c r="J49" s="37">
        <f t="shared" si="1"/>
      </c>
      <c r="K49" s="31"/>
      <c r="L49" s="28"/>
      <c r="M49" s="30"/>
      <c r="N49" s="32">
        <f t="shared" si="2"/>
      </c>
    </row>
    <row r="50" spans="1:14" x14ac:dyDescent="0.25">
      <c r="A50" s="29"/>
      <c r="B50" s="31"/>
      <c r="C50" s="31"/>
      <c r="D50" s="31"/>
      <c r="E50" s="31"/>
      <c r="F50" s="29"/>
      <c r="G50" s="29"/>
      <c r="H50" s="29"/>
      <c r="I50" s="36">
        <f t="shared" si="0"/>
      </c>
      <c r="J50" s="37">
        <f t="shared" si="1"/>
      </c>
      <c r="K50" s="31"/>
      <c r="L50" s="28"/>
      <c r="M50" s="30"/>
      <c r="N50" s="32">
        <f t="shared" si="2"/>
      </c>
    </row>
    <row r="51" spans="1:14" x14ac:dyDescent="0.25">
      <c r="A51" s="29"/>
      <c r="B51" s="31"/>
      <c r="C51" s="31"/>
      <c r="D51" s="31"/>
      <c r="E51" s="31"/>
      <c r="F51" s="29"/>
      <c r="G51" s="29"/>
      <c r="H51" s="29"/>
      <c r="I51" s="36">
        <f t="shared" si="0"/>
      </c>
      <c r="J51" s="37">
        <f t="shared" si="1"/>
      </c>
      <c r="K51" s="31"/>
      <c r="L51" s="28"/>
      <c r="M51" s="30"/>
      <c r="N51" s="32">
        <f t="shared" si="2"/>
      </c>
    </row>
    <row r="52" spans="1:14" x14ac:dyDescent="0.25">
      <c r="A52" s="29"/>
      <c r="B52" s="31"/>
      <c r="C52" s="31"/>
      <c r="D52" s="31"/>
      <c r="E52" s="31"/>
      <c r="F52" s="29"/>
      <c r="G52" s="29"/>
      <c r="H52" s="29"/>
      <c r="I52" s="36">
        <f t="shared" si="0"/>
      </c>
      <c r="J52" s="37">
        <f t="shared" si="1"/>
      </c>
      <c r="K52" s="31"/>
      <c r="L52" s="28"/>
      <c r="M52" s="30"/>
      <c r="N52" s="32">
        <f t="shared" si="2"/>
      </c>
    </row>
    <row r="53" spans="1:14" x14ac:dyDescent="0.25">
      <c r="A53" s="29"/>
      <c r="B53" s="31"/>
      <c r="C53" s="31"/>
      <c r="D53" s="31"/>
      <c r="E53" s="31"/>
      <c r="F53" s="29"/>
      <c r="G53" s="29"/>
      <c r="H53" s="29"/>
      <c r="I53" s="36">
        <f t="shared" si="0"/>
      </c>
      <c r="J53" s="37">
        <f t="shared" si="1"/>
      </c>
      <c r="K53" s="31"/>
      <c r="L53" s="28"/>
      <c r="M53" s="30"/>
      <c r="N53" s="32">
        <f t="shared" si="2"/>
      </c>
    </row>
    <row r="54" spans="1:14" x14ac:dyDescent="0.25">
      <c r="A54" s="29"/>
      <c r="B54" s="31"/>
      <c r="C54" s="31"/>
      <c r="D54" s="31"/>
      <c r="E54" s="31"/>
      <c r="F54" s="29"/>
      <c r="G54" s="29"/>
      <c r="H54" s="29"/>
      <c r="I54" s="36">
        <f t="shared" si="0"/>
      </c>
      <c r="J54" s="37">
        <f t="shared" si="1"/>
      </c>
      <c r="K54" s="31"/>
      <c r="L54" s="28"/>
      <c r="M54" s="30"/>
      <c r="N54" s="32">
        <f t="shared" si="2"/>
      </c>
    </row>
    <row r="55" spans="1:14" x14ac:dyDescent="0.25">
      <c r="A55" s="29"/>
      <c r="B55" s="31"/>
      <c r="C55" s="31"/>
      <c r="D55" s="31"/>
      <c r="E55" s="31"/>
      <c r="F55" s="29"/>
      <c r="G55" s="29"/>
      <c r="H55" s="29"/>
      <c r="I55" s="36">
        <f t="shared" si="0"/>
      </c>
      <c r="J55" s="37">
        <f t="shared" si="1"/>
      </c>
      <c r="K55" s="31"/>
      <c r="L55" s="28"/>
      <c r="M55" s="30"/>
      <c r="N55" s="32">
        <f t="shared" si="2"/>
      </c>
    </row>
    <row r="56" spans="1:14" x14ac:dyDescent="0.25">
      <c r="A56" s="29"/>
      <c r="B56" s="31"/>
      <c r="C56" s="31"/>
      <c r="D56" s="31"/>
      <c r="E56" s="31"/>
      <c r="F56" s="29"/>
      <c r="G56" s="29"/>
      <c r="H56" s="29"/>
      <c r="I56" s="36">
        <f t="shared" si="0"/>
      </c>
      <c r="J56" s="37">
        <f t="shared" si="1"/>
      </c>
      <c r="K56" s="31"/>
      <c r="L56" s="28"/>
      <c r="M56" s="30"/>
      <c r="N56" s="32">
        <f t="shared" si="2"/>
      </c>
    </row>
    <row r="57" spans="1:14" x14ac:dyDescent="0.25">
      <c r="A57" s="29"/>
      <c r="B57" s="31"/>
      <c r="C57" s="31"/>
      <c r="D57" s="31"/>
      <c r="E57" s="31"/>
      <c r="F57" s="29"/>
      <c r="G57" s="29"/>
      <c r="H57" s="29"/>
      <c r="I57" s="36">
        <f t="shared" si="0"/>
      </c>
      <c r="J57" s="37">
        <f t="shared" si="1"/>
      </c>
      <c r="K57" s="31"/>
      <c r="L57" s="28"/>
      <c r="M57" s="30"/>
      <c r="N57" s="32">
        <f t="shared" si="2"/>
      </c>
    </row>
    <row r="58" spans="1:14" x14ac:dyDescent="0.25">
      <c r="A58" s="29"/>
      <c r="B58" s="31"/>
      <c r="C58" s="31"/>
      <c r="D58" s="31"/>
      <c r="E58" s="31"/>
      <c r="F58" s="29"/>
      <c r="G58" s="29"/>
      <c r="H58" s="29"/>
      <c r="I58" s="36">
        <f t="shared" si="0"/>
      </c>
      <c r="J58" s="37">
        <f t="shared" si="1"/>
      </c>
      <c r="K58" s="31"/>
      <c r="L58" s="28"/>
      <c r="M58" s="30"/>
      <c r="N58" s="32">
        <f t="shared" si="2"/>
      </c>
    </row>
    <row r="59" spans="1:14" x14ac:dyDescent="0.25">
      <c r="A59" s="29"/>
      <c r="B59" s="31"/>
      <c r="C59" s="31"/>
      <c r="D59" s="31"/>
      <c r="E59" s="31"/>
      <c r="F59" s="29"/>
      <c r="G59" s="29"/>
      <c r="H59" s="29"/>
      <c r="I59" s="36">
        <f t="shared" si="0"/>
      </c>
      <c r="J59" s="37">
        <f t="shared" si="1"/>
      </c>
      <c r="K59" s="31"/>
      <c r="L59" s="28"/>
      <c r="M59" s="30"/>
      <c r="N59" s="32">
        <f t="shared" si="2"/>
      </c>
    </row>
    <row r="60" spans="1:14" x14ac:dyDescent="0.25">
      <c r="A60" s="29"/>
      <c r="B60" s="31"/>
      <c r="C60" s="31"/>
      <c r="D60" s="31"/>
      <c r="E60" s="31"/>
      <c r="F60" s="29"/>
      <c r="G60" s="29"/>
      <c r="H60" s="29"/>
      <c r="I60" s="36">
        <f t="shared" si="0"/>
      </c>
      <c r="J60" s="37">
        <f t="shared" si="1"/>
      </c>
      <c r="K60" s="31"/>
      <c r="L60" s="28"/>
      <c r="M60" s="30"/>
      <c r="N60" s="32">
        <f t="shared" si="2"/>
      </c>
    </row>
    <row r="61" spans="1:14" x14ac:dyDescent="0.25">
      <c r="A61" s="29"/>
      <c r="B61" s="31"/>
      <c r="C61" s="31"/>
      <c r="D61" s="31"/>
      <c r="E61" s="31"/>
      <c r="F61" s="29"/>
      <c r="G61" s="29"/>
      <c r="H61" s="29"/>
      <c r="I61" s="36">
        <f t="shared" si="0"/>
      </c>
      <c r="J61" s="37">
        <f t="shared" si="1"/>
      </c>
      <c r="K61" s="31"/>
      <c r="L61" s="28"/>
      <c r="M61" s="30"/>
      <c r="N61" s="32">
        <f t="shared" si="2"/>
      </c>
    </row>
    <row r="62" spans="1:14" x14ac:dyDescent="0.25">
      <c r="A62" s="29"/>
      <c r="B62" s="31"/>
      <c r="C62" s="31"/>
      <c r="D62" s="31"/>
      <c r="E62" s="31"/>
      <c r="F62" s="29"/>
      <c r="G62" s="29"/>
      <c r="H62" s="29"/>
      <c r="I62" s="36">
        <f t="shared" si="0"/>
      </c>
      <c r="J62" s="37">
        <f t="shared" si="1"/>
      </c>
      <c r="K62" s="31"/>
      <c r="L62" s="28"/>
      <c r="M62" s="30"/>
      <c r="N62" s="32">
        <f t="shared" si="2"/>
      </c>
    </row>
    <row r="63" spans="1:14" x14ac:dyDescent="0.25">
      <c r="A63" s="29"/>
      <c r="B63" s="31"/>
      <c r="C63" s="31"/>
      <c r="D63" s="31"/>
      <c r="E63" s="31"/>
      <c r="F63" s="29"/>
      <c r="G63" s="29"/>
      <c r="H63" s="29"/>
      <c r="I63" s="36">
        <f t="shared" si="0"/>
      </c>
      <c r="J63" s="37">
        <f t="shared" si="1"/>
      </c>
      <c r="K63" s="31"/>
      <c r="L63" s="28"/>
      <c r="M63" s="30"/>
      <c r="N63" s="32">
        <f t="shared" si="2"/>
      </c>
    </row>
    <row r="64" spans="1:14" x14ac:dyDescent="0.25">
      <c r="A64" s="29"/>
      <c r="B64" s="31"/>
      <c r="C64" s="31"/>
      <c r="D64" s="31"/>
      <c r="E64" s="31"/>
      <c r="F64" s="29"/>
      <c r="G64" s="29"/>
      <c r="H64" s="29"/>
      <c r="I64" s="36">
        <f t="shared" si="0"/>
      </c>
      <c r="J64" s="37">
        <f t="shared" si="1"/>
      </c>
      <c r="K64" s="31"/>
      <c r="L64" s="28"/>
      <c r="M64" s="30"/>
      <c r="N64" s="32">
        <f t="shared" si="2"/>
      </c>
    </row>
    <row r="65" spans="1:14" x14ac:dyDescent="0.25">
      <c r="A65" s="29"/>
      <c r="B65" s="31"/>
      <c r="C65" s="31"/>
      <c r="D65" s="31"/>
      <c r="E65" s="31"/>
      <c r="F65" s="29"/>
      <c r="G65" s="29"/>
      <c r="H65" s="29"/>
      <c r="I65" s="36">
        <f t="shared" si="0"/>
      </c>
      <c r="J65" s="37">
        <f t="shared" si="1"/>
      </c>
      <c r="K65" s="31"/>
      <c r="L65" s="28"/>
      <c r="M65" s="30"/>
      <c r="N65" s="32">
        <f t="shared" si="2"/>
      </c>
    </row>
    <row r="66" spans="1:14" x14ac:dyDescent="0.25">
      <c r="A66" s="29"/>
      <c r="B66" s="31"/>
      <c r="C66" s="31"/>
      <c r="D66" s="31"/>
      <c r="E66" s="31"/>
      <c r="F66" s="29"/>
      <c r="G66" s="29"/>
      <c r="H66" s="29"/>
      <c r="I66" s="36">
        <f t="shared" si="0"/>
      </c>
      <c r="J66" s="37">
        <f t="shared" si="1"/>
      </c>
      <c r="K66" s="31"/>
      <c r="L66" s="28"/>
      <c r="M66" s="30"/>
      <c r="N66" s="32">
        <f t="shared" si="2"/>
      </c>
    </row>
    <row r="67" spans="1:14" x14ac:dyDescent="0.25">
      <c r="A67" s="29"/>
      <c r="B67" s="31"/>
      <c r="C67" s="31"/>
      <c r="D67" s="31"/>
      <c r="E67" s="31"/>
      <c r="F67" s="29"/>
      <c r="G67" s="29"/>
      <c r="H67" s="29"/>
      <c r="I67" s="36">
        <f t="shared" si="0"/>
      </c>
      <c r="J67" s="37">
        <f t="shared" si="1"/>
      </c>
      <c r="K67" s="31"/>
      <c r="L67" s="28"/>
      <c r="M67" s="30"/>
      <c r="N67" s="32">
        <f t="shared" si="2"/>
      </c>
    </row>
    <row r="68" spans="1:14" x14ac:dyDescent="0.25">
      <c r="A68" s="29"/>
      <c r="B68" s="31"/>
      <c r="C68" s="31"/>
      <c r="D68" s="31"/>
      <c r="E68" s="31"/>
      <c r="F68" s="29"/>
      <c r="G68" s="29"/>
      <c r="H68" s="29"/>
      <c r="I68" s="36">
        <f t="shared" si="0"/>
      </c>
      <c r="J68" s="37">
        <f t="shared" si="1"/>
      </c>
      <c r="K68" s="31"/>
      <c r="L68" s="28"/>
      <c r="M68" s="30"/>
      <c r="N68" s="32">
        <f t="shared" si="2"/>
      </c>
    </row>
    <row r="69" spans="1:14" x14ac:dyDescent="0.25">
      <c r="A69" s="29"/>
      <c r="B69" s="31"/>
      <c r="C69" s="31"/>
      <c r="D69" s="31"/>
      <c r="E69" s="31"/>
      <c r="F69" s="29"/>
      <c r="G69" s="29"/>
      <c r="H69" s="29"/>
      <c r="I69" s="36">
        <f t="shared" si="0"/>
      </c>
      <c r="J69" s="37">
        <f t="shared" si="1"/>
      </c>
      <c r="K69" s="31"/>
      <c r="L69" s="28"/>
      <c r="M69" s="30"/>
      <c r="N69" s="32">
        <f t="shared" si="2"/>
      </c>
    </row>
    <row r="70" spans="1:14" x14ac:dyDescent="0.25">
      <c r="A70" s="29"/>
      <c r="B70" s="31"/>
      <c r="C70" s="31"/>
      <c r="D70" s="31"/>
      <c r="E70" s="31"/>
      <c r="F70" s="29"/>
      <c r="G70" s="29"/>
      <c r="H70" s="29"/>
      <c r="I70" s="36">
        <f t="shared" si="0"/>
      </c>
      <c r="J70" s="37">
        <f t="shared" si="1"/>
      </c>
      <c r="K70" s="31"/>
      <c r="L70" s="28"/>
      <c r="M70" s="30"/>
      <c r="N70" s="32">
        <f t="shared" si="2"/>
      </c>
    </row>
    <row r="71" spans="1:14" x14ac:dyDescent="0.25">
      <c r="A71" s="29"/>
      <c r="B71" s="31"/>
      <c r="C71" s="31"/>
      <c r="D71" s="31"/>
      <c r="E71" s="31"/>
      <c r="F71" s="29"/>
      <c r="G71" s="29"/>
      <c r="H71" s="29"/>
      <c r="I71" s="36">
        <f t="shared" si="0"/>
      </c>
      <c r="J71" s="37">
        <f t="shared" si="1"/>
      </c>
      <c r="K71" s="31"/>
      <c r="L71" s="28"/>
      <c r="M71" s="30"/>
      <c r="N71" s="32">
        <f t="shared" si="2"/>
      </c>
    </row>
    <row r="72" spans="1:14" x14ac:dyDescent="0.25">
      <c r="A72" s="29"/>
      <c r="B72" s="31"/>
      <c r="C72" s="31"/>
      <c r="D72" s="31"/>
      <c r="E72" s="31"/>
      <c r="F72" s="29"/>
      <c r="G72" s="29"/>
      <c r="H72" s="29"/>
      <c r="I72" s="36">
        <f t="shared" si="0"/>
      </c>
      <c r="J72" s="37">
        <f t="shared" si="1"/>
      </c>
      <c r="K72" s="31"/>
      <c r="L72" s="28"/>
      <c r="M72" s="30"/>
      <c r="N72" s="32">
        <f t="shared" si="2"/>
      </c>
    </row>
    <row r="73" spans="1:14" x14ac:dyDescent="0.25">
      <c r="A73" s="29"/>
      <c r="B73" s="31"/>
      <c r="C73" s="31"/>
      <c r="D73" s="31"/>
      <c r="E73" s="31"/>
      <c r="F73" s="29"/>
      <c r="G73" s="29"/>
      <c r="H73" s="29"/>
      <c r="I73" s="36">
        <f t="shared" si="0"/>
      </c>
      <c r="J73" s="37">
        <f t="shared" si="1"/>
      </c>
      <c r="K73" s="31"/>
      <c r="L73" s="28"/>
      <c r="M73" s="30"/>
      <c r="N73" s="32">
        <f t="shared" si="2"/>
      </c>
    </row>
    <row r="74" spans="1:14" x14ac:dyDescent="0.25">
      <c r="A74" s="29"/>
      <c r="B74" s="31"/>
      <c r="C74" s="31"/>
      <c r="D74" s="31"/>
      <c r="E74" s="31"/>
      <c r="F74" s="29"/>
      <c r="G74" s="29"/>
      <c r="H74" s="29"/>
      <c r="I74" s="36">
        <f t="shared" si="0"/>
      </c>
      <c r="J74" s="37">
        <f t="shared" si="1"/>
      </c>
      <c r="K74" s="31"/>
      <c r="L74" s="28"/>
      <c r="M74" s="30"/>
      <c r="N74" s="32">
        <f t="shared" si="2"/>
      </c>
    </row>
    <row r="75" spans="1:14" x14ac:dyDescent="0.25">
      <c r="A75" s="29"/>
      <c r="B75" s="31"/>
      <c r="C75" s="31"/>
      <c r="D75" s="31"/>
      <c r="E75" s="31"/>
      <c r="F75" s="29"/>
      <c r="G75" s="29"/>
      <c r="H75" s="29"/>
      <c r="I75" s="36">
        <f t="shared" si="0"/>
      </c>
      <c r="J75" s="37">
        <f t="shared" si="1"/>
      </c>
      <c r="K75" s="31"/>
      <c r="L75" s="28"/>
      <c r="M75" s="30"/>
      <c r="N75" s="32">
        <f t="shared" si="2"/>
      </c>
    </row>
    <row r="76" spans="1:14" x14ac:dyDescent="0.25">
      <c r="A76" s="29"/>
      <c r="B76" s="31"/>
      <c r="C76" s="31"/>
      <c r="D76" s="31"/>
      <c r="E76" s="31"/>
      <c r="F76" s="29"/>
      <c r="G76" s="29"/>
      <c r="H76" s="29"/>
      <c r="I76" s="36">
        <f t="shared" si="0"/>
      </c>
      <c r="J76" s="37">
        <f t="shared" si="1"/>
      </c>
      <c r="K76" s="31"/>
      <c r="L76" s="28"/>
      <c r="M76" s="30"/>
      <c r="N76" s="32">
        <f t="shared" si="2"/>
      </c>
    </row>
    <row r="77" spans="1:14" x14ac:dyDescent="0.25">
      <c r="A77" s="29"/>
      <c r="B77" s="31"/>
      <c r="C77" s="31"/>
      <c r="D77" s="31"/>
      <c r="E77" s="31"/>
      <c r="F77" s="29"/>
      <c r="G77" s="29"/>
      <c r="H77" s="29"/>
      <c r="I77" s="36">
        <f t="shared" si="0"/>
      </c>
      <c r="J77" s="37">
        <f t="shared" si="1"/>
      </c>
      <c r="K77" s="31"/>
      <c r="L77" s="28"/>
      <c r="M77" s="30"/>
      <c r="N77" s="32">
        <f t="shared" si="2"/>
      </c>
    </row>
    <row r="78" spans="1:14" x14ac:dyDescent="0.25">
      <c r="A78" s="29"/>
      <c r="B78" s="31"/>
      <c r="C78" s="31"/>
      <c r="D78" s="31"/>
      <c r="E78" s="31"/>
      <c r="F78" s="29"/>
      <c r="G78" s="29"/>
      <c r="H78" s="29"/>
      <c r="I78" s="36">
        <f t="shared" si="0"/>
      </c>
      <c r="J78" s="37">
        <f t="shared" si="1"/>
      </c>
      <c r="K78" s="31"/>
      <c r="L78" s="28"/>
      <c r="M78" s="30"/>
      <c r="N78" s="32">
        <f t="shared" si="2"/>
      </c>
    </row>
    <row r="79" spans="1:14" x14ac:dyDescent="0.25">
      <c r="A79" s="29"/>
      <c r="B79" s="31"/>
      <c r="C79" s="31"/>
      <c r="D79" s="31"/>
      <c r="E79" s="31"/>
      <c r="F79" s="29"/>
      <c r="G79" s="29"/>
      <c r="H79" s="29"/>
      <c r="I79" s="36">
        <f t="shared" si="0"/>
      </c>
      <c r="J79" s="37">
        <f t="shared" si="1"/>
      </c>
      <c r="K79" s="31"/>
      <c r="L79" s="28"/>
      <c r="M79" s="30"/>
      <c r="N79" s="32">
        <f t="shared" si="2"/>
      </c>
    </row>
    <row r="80" spans="1:14" x14ac:dyDescent="0.25">
      <c r="A80" s="29"/>
      <c r="B80" s="31"/>
      <c r="C80" s="31"/>
      <c r="D80" s="31"/>
      <c r="E80" s="31"/>
      <c r="F80" s="29"/>
      <c r="G80" s="29"/>
      <c r="H80" s="29"/>
      <c r="I80" s="36">
        <f t="shared" si="0"/>
      </c>
      <c r="J80" s="37">
        <f t="shared" si="1"/>
      </c>
      <c r="K80" s="31"/>
      <c r="L80" s="28"/>
      <c r="M80" s="30"/>
      <c r="N80" s="32">
        <f t="shared" si="2"/>
      </c>
    </row>
    <row r="81" spans="1:14" x14ac:dyDescent="0.25">
      <c r="A81" s="29"/>
      <c r="B81" s="31"/>
      <c r="C81" s="31"/>
      <c r="D81" s="31"/>
      <c r="E81" s="31"/>
      <c r="F81" s="29"/>
      <c r="G81" s="29"/>
      <c r="H81" s="29"/>
      <c r="I81" s="36">
        <f t="shared" si="0"/>
      </c>
      <c r="J81" s="37">
        <f t="shared" si="1"/>
      </c>
      <c r="K81" s="31"/>
      <c r="L81" s="28"/>
      <c r="M81" s="30"/>
      <c r="N81" s="32">
        <f t="shared" si="2"/>
      </c>
    </row>
    <row r="82" spans="1:14" x14ac:dyDescent="0.25">
      <c r="A82" s="29"/>
      <c r="B82" s="31"/>
      <c r="C82" s="31"/>
      <c r="D82" s="31"/>
      <c r="E82" s="31"/>
      <c r="F82" s="29"/>
      <c r="G82" s="29"/>
      <c r="H82" s="29"/>
      <c r="I82" s="36">
        <f t="shared" si="0"/>
      </c>
      <c r="J82" s="37">
        <f t="shared" si="1"/>
      </c>
      <c r="K82" s="31"/>
      <c r="L82" s="28"/>
      <c r="M82" s="30"/>
      <c r="N82" s="32">
        <f t="shared" si="2"/>
      </c>
    </row>
    <row r="83" spans="1:14" x14ac:dyDescent="0.25">
      <c r="A83" s="29"/>
      <c r="B83" s="31"/>
      <c r="C83" s="31"/>
      <c r="D83" s="31"/>
      <c r="E83" s="31"/>
      <c r="F83" s="29"/>
      <c r="G83" s="29"/>
      <c r="H83" s="29"/>
      <c r="I83" s="36">
        <f t="shared" si="0"/>
      </c>
      <c r="J83" s="37">
        <f t="shared" si="1"/>
      </c>
      <c r="K83" s="31"/>
      <c r="L83" s="28"/>
      <c r="M83" s="30"/>
      <c r="N83" s="32">
        <f t="shared" si="2"/>
      </c>
    </row>
    <row r="84" spans="1:14" x14ac:dyDescent="0.25">
      <c r="A84" s="29"/>
      <c r="B84" s="31"/>
      <c r="C84" s="31"/>
      <c r="D84" s="31"/>
      <c r="E84" s="31"/>
      <c r="F84" s="29"/>
      <c r="G84" s="29"/>
      <c r="H84" s="29"/>
      <c r="I84" s="36">
        <f t="shared" si="0"/>
      </c>
      <c r="J84" s="37">
        <f t="shared" si="1"/>
      </c>
      <c r="K84" s="31"/>
      <c r="L84" s="28"/>
      <c r="M84" s="30"/>
      <c r="N84" s="32">
        <f t="shared" si="2"/>
      </c>
    </row>
    <row r="85" spans="1:14" x14ac:dyDescent="0.25">
      <c r="A85" s="29"/>
      <c r="B85" s="31"/>
      <c r="C85" s="31"/>
      <c r="D85" s="31"/>
      <c r="E85" s="31"/>
      <c r="F85" s="29"/>
      <c r="G85" s="29"/>
      <c r="H85" s="29"/>
      <c r="I85" s="36">
        <f t="shared" si="0"/>
      </c>
      <c r="J85" s="37">
        <f t="shared" si="1"/>
      </c>
      <c r="K85" s="31"/>
      <c r="L85" s="28"/>
      <c r="M85" s="30"/>
      <c r="N85" s="32">
        <f t="shared" si="2"/>
      </c>
    </row>
    <row r="86" spans="1:14" x14ac:dyDescent="0.25">
      <c r="A86" s="29"/>
      <c r="B86" s="31"/>
      <c r="C86" s="31"/>
      <c r="D86" s="31"/>
      <c r="E86" s="31"/>
      <c r="F86" s="29"/>
      <c r="G86" s="29"/>
      <c r="H86" s="29"/>
      <c r="I86" s="36">
        <f t="shared" si="0"/>
      </c>
      <c r="J86" s="37">
        <f t="shared" si="1"/>
      </c>
      <c r="K86" s="31"/>
      <c r="L86" s="28"/>
      <c r="M86" s="30"/>
      <c r="N86" s="32">
        <f t="shared" si="2"/>
      </c>
    </row>
    <row r="87" spans="1:14" x14ac:dyDescent="0.25">
      <c r="A87" s="29"/>
      <c r="B87" s="31"/>
      <c r="C87" s="31"/>
      <c r="D87" s="31"/>
      <c r="E87" s="31"/>
      <c r="F87" s="29"/>
      <c r="G87" s="29"/>
      <c r="H87" s="29"/>
      <c r="I87" s="36">
        <f t="shared" si="0"/>
      </c>
      <c r="J87" s="37">
        <f t="shared" si="1"/>
      </c>
      <c r="K87" s="31"/>
      <c r="L87" s="28"/>
      <c r="M87" s="30"/>
      <c r="N87" s="32">
        <f t="shared" si="2"/>
      </c>
    </row>
    <row r="88" spans="1:14" x14ac:dyDescent="0.25">
      <c r="A88" s="29"/>
      <c r="B88" s="31"/>
      <c r="C88" s="31"/>
      <c r="D88" s="31"/>
      <c r="E88" s="31"/>
      <c r="F88" s="29"/>
      <c r="G88" s="29"/>
      <c r="H88" s="29"/>
      <c r="I88" s="36">
        <f t="shared" si="0"/>
      </c>
      <c r="J88" s="37">
        <f t="shared" si="1"/>
      </c>
      <c r="K88" s="31"/>
      <c r="L88" s="28"/>
      <c r="M88" s="30"/>
      <c r="N88" s="32">
        <f t="shared" si="2"/>
      </c>
    </row>
    <row r="89" spans="1:14" x14ac:dyDescent="0.25">
      <c r="A89" s="29"/>
      <c r="B89" s="31"/>
      <c r="C89" s="31"/>
      <c r="D89" s="31"/>
      <c r="E89" s="31"/>
      <c r="F89" s="29"/>
      <c r="G89" s="29"/>
      <c r="H89" s="29"/>
      <c r="I89" s="36">
        <f t="shared" si="0"/>
      </c>
      <c r="J89" s="37">
        <f t="shared" si="1"/>
      </c>
      <c r="K89" s="31"/>
      <c r="L89" s="28"/>
      <c r="M89" s="30"/>
      <c r="N89" s="32">
        <f t="shared" si="2"/>
      </c>
    </row>
    <row r="90" spans="1:14" x14ac:dyDescent="0.25">
      <c r="A90" s="29"/>
      <c r="B90" s="31"/>
      <c r="C90" s="31"/>
      <c r="D90" s="31"/>
      <c r="E90" s="31"/>
      <c r="F90" s="29"/>
      <c r="G90" s="29"/>
      <c r="H90" s="29"/>
      <c r="I90" s="36">
        <f t="shared" si="0"/>
      </c>
      <c r="J90" s="37">
        <f t="shared" si="1"/>
      </c>
      <c r="K90" s="31"/>
      <c r="L90" s="28"/>
      <c r="M90" s="30"/>
      <c r="N90" s="32">
        <f t="shared" si="2"/>
      </c>
    </row>
    <row r="91" spans="1:14" x14ac:dyDescent="0.25">
      <c r="A91" s="29"/>
      <c r="B91" s="31"/>
      <c r="C91" s="31"/>
      <c r="D91" s="31"/>
      <c r="E91" s="31"/>
      <c r="F91" s="29"/>
      <c r="G91" s="29"/>
      <c r="H91" s="29"/>
      <c r="I91" s="36">
        <f t="shared" si="0"/>
      </c>
      <c r="J91" s="37">
        <f t="shared" si="1"/>
      </c>
      <c r="K91" s="31"/>
      <c r="L91" s="28"/>
      <c r="M91" s="30"/>
      <c r="N91" s="32">
        <f t="shared" si="2"/>
      </c>
    </row>
    <row r="92" spans="1:14" x14ac:dyDescent="0.25">
      <c r="A92" s="29"/>
      <c r="B92" s="31"/>
      <c r="C92" s="31"/>
      <c r="D92" s="31"/>
      <c r="E92" s="31"/>
      <c r="F92" s="29"/>
      <c r="G92" s="29"/>
      <c r="H92" s="29"/>
      <c r="I92" s="36">
        <f t="shared" si="0"/>
      </c>
      <c r="J92" s="37">
        <f t="shared" si="1"/>
      </c>
      <c r="K92" s="31"/>
      <c r="L92" s="28"/>
      <c r="M92" s="30"/>
      <c r="N92" s="32">
        <f t="shared" si="2"/>
      </c>
    </row>
    <row r="93" spans="1:14" x14ac:dyDescent="0.25">
      <c r="A93" s="29"/>
      <c r="B93" s="31"/>
      <c r="C93" s="31"/>
      <c r="D93" s="31"/>
      <c r="E93" s="31"/>
      <c r="F93" s="29"/>
      <c r="G93" s="29"/>
      <c r="H93" s="29"/>
      <c r="I93" s="36">
        <f t="shared" si="0"/>
      </c>
      <c r="J93" s="37">
        <f t="shared" si="1"/>
      </c>
      <c r="K93" s="31"/>
      <c r="L93" s="28"/>
      <c r="M93" s="30"/>
      <c r="N93" s="32">
        <f t="shared" si="2"/>
      </c>
    </row>
    <row r="94" spans="1:14" x14ac:dyDescent="0.25">
      <c r="A94" s="29"/>
      <c r="B94" s="31"/>
      <c r="C94" s="31"/>
      <c r="D94" s="31"/>
      <c r="E94" s="31"/>
      <c r="F94" s="29"/>
      <c r="G94" s="29"/>
      <c r="H94" s="29"/>
      <c r="I94" s="36">
        <f t="shared" si="0"/>
      </c>
      <c r="J94" s="37">
        <f t="shared" si="1"/>
      </c>
      <c r="K94" s="31"/>
      <c r="L94" s="28"/>
      <c r="M94" s="30"/>
      <c r="N94" s="32">
        <f t="shared" si="2"/>
      </c>
    </row>
    <row r="95" spans="1:14" x14ac:dyDescent="0.25">
      <c r="A95" s="29"/>
      <c r="B95" s="31"/>
      <c r="C95" s="31"/>
      <c r="D95" s="31"/>
      <c r="E95" s="31"/>
      <c r="F95" s="29"/>
      <c r="G95" s="29"/>
      <c r="H95" s="29"/>
      <c r="I95" s="36">
        <f t="shared" si="0"/>
      </c>
      <c r="J95" s="37">
        <f t="shared" si="1"/>
      </c>
      <c r="K95" s="31"/>
      <c r="L95" s="28"/>
      <c r="M95" s="30"/>
      <c r="N95" s="32">
        <f t="shared" si="2"/>
      </c>
    </row>
    <row r="96" spans="1:14" x14ac:dyDescent="0.25">
      <c r="A96" s="29"/>
      <c r="B96" s="31"/>
      <c r="C96" s="31"/>
      <c r="D96" s="31"/>
      <c r="E96" s="31"/>
      <c r="F96" s="29"/>
      <c r="G96" s="29"/>
      <c r="H96" s="29"/>
      <c r="I96" s="36">
        <f t="shared" si="0"/>
      </c>
      <c r="J96" s="37">
        <f t="shared" si="1"/>
      </c>
      <c r="K96" s="31"/>
      <c r="L96" s="28"/>
      <c r="M96" s="30"/>
      <c r="N96" s="32">
        <f t="shared" si="2"/>
      </c>
    </row>
    <row r="97" spans="1:14" x14ac:dyDescent="0.25">
      <c r="A97" s="29"/>
      <c r="B97" s="31"/>
      <c r="C97" s="31"/>
      <c r="D97" s="31"/>
      <c r="E97" s="31"/>
      <c r="F97" s="29"/>
      <c r="G97" s="29"/>
      <c r="H97" s="29"/>
      <c r="I97" s="36">
        <f t="shared" si="0"/>
      </c>
      <c r="J97" s="37">
        <f t="shared" si="1"/>
      </c>
      <c r="K97" s="31"/>
      <c r="L97" s="28"/>
      <c r="M97" s="30"/>
      <c r="N97" s="32">
        <f t="shared" si="2"/>
      </c>
    </row>
    <row r="98" spans="1:14" x14ac:dyDescent="0.25">
      <c r="A98" s="29"/>
      <c r="B98" s="31"/>
      <c r="C98" s="31"/>
      <c r="D98" s="31"/>
      <c r="E98" s="31"/>
      <c r="F98" s="29"/>
      <c r="G98" s="29"/>
      <c r="H98" s="29"/>
      <c r="I98" s="36">
        <f t="shared" si="0"/>
      </c>
      <c r="J98" s="37">
        <f t="shared" si="1"/>
      </c>
      <c r="K98" s="31"/>
      <c r="L98" s="28"/>
      <c r="M98" s="30"/>
      <c r="N98" s="32">
        <f t="shared" si="2"/>
      </c>
    </row>
    <row r="99" spans="1:14" x14ac:dyDescent="0.25">
      <c r="A99" s="29"/>
      <c r="B99" s="31"/>
      <c r="C99" s="31"/>
      <c r="D99" s="31"/>
      <c r="E99" s="31"/>
      <c r="F99" s="29"/>
      <c r="G99" s="29"/>
      <c r="H99" s="29"/>
      <c r="I99" s="36">
        <f t="shared" si="0"/>
      </c>
      <c r="J99" s="37">
        <f t="shared" si="1"/>
      </c>
      <c r="K99" s="31"/>
      <c r="L99" s="28"/>
      <c r="M99" s="30"/>
      <c r="N99" s="32">
        <f t="shared" si="2"/>
      </c>
    </row>
    <row r="100" spans="1:14" x14ac:dyDescent="0.25">
      <c r="A100" s="29"/>
      <c r="B100" s="31"/>
      <c r="C100" s="31"/>
      <c r="D100" s="31"/>
      <c r="E100" s="31"/>
      <c r="F100" s="29"/>
      <c r="G100" s="29"/>
      <c r="H100" s="29"/>
      <c r="I100" s="36">
        <f t="shared" si="0"/>
      </c>
      <c r="J100" s="37">
        <f t="shared" si="1"/>
      </c>
      <c r="K100" s="31"/>
      <c r="L100" s="28"/>
      <c r="M100" s="30"/>
      <c r="N100" s="32">
        <f t="shared" si="2"/>
      </c>
    </row>
    <row r="101" spans="1:14" x14ac:dyDescent="0.25">
      <c r="A101" s="29"/>
      <c r="B101" s="31"/>
      <c r="C101" s="31"/>
      <c r="D101" s="31"/>
      <c r="E101" s="31"/>
      <c r="F101" s="29"/>
      <c r="G101" s="29"/>
      <c r="H101" s="29"/>
      <c r="I101" s="36">
        <f t="shared" si="0"/>
      </c>
      <c r="J101" s="37">
        <f t="shared" si="1"/>
      </c>
      <c r="K101" s="31"/>
      <c r="L101" s="28"/>
      <c r="M101" s="30"/>
      <c r="N101" s="32">
        <f t="shared" si="2"/>
      </c>
    </row>
    <row r="102" spans="1:14" x14ac:dyDescent="0.25">
      <c r="A102" s="29"/>
      <c r="B102" s="31"/>
      <c r="C102" s="31"/>
      <c r="D102" s="31"/>
      <c r="E102" s="31"/>
      <c r="F102" s="29"/>
      <c r="G102" s="29"/>
      <c r="H102" s="29"/>
      <c r="I102" s="36">
        <f t="shared" si="0"/>
      </c>
      <c r="J102" s="37">
        <f t="shared" si="1"/>
      </c>
      <c r="K102" s="31"/>
      <c r="L102" s="28"/>
      <c r="M102" s="30"/>
      <c r="N102" s="32">
        <f t="shared" si="2"/>
      </c>
    </row>
    <row r="103" spans="1:14" x14ac:dyDescent="0.25">
      <c r="A103" s="29"/>
      <c r="B103" s="31"/>
      <c r="C103" s="31"/>
      <c r="D103" s="31"/>
      <c r="E103" s="31"/>
      <c r="F103" s="29"/>
      <c r="G103" s="29"/>
      <c r="H103" s="29"/>
      <c r="I103" s="36">
        <f t="shared" si="0"/>
      </c>
      <c r="J103" s="37">
        <f t="shared" si="1"/>
      </c>
      <c r="K103" s="31"/>
      <c r="L103" s="28"/>
      <c r="M103" s="30"/>
      <c r="N103" s="32">
        <f t="shared" si="2"/>
      </c>
    </row>
    <row r="104" spans="1:14" x14ac:dyDescent="0.25">
      <c r="A104" s="29"/>
      <c r="B104" s="31"/>
      <c r="C104" s="31"/>
      <c r="D104" s="31"/>
      <c r="E104" s="31"/>
      <c r="F104" s="29"/>
      <c r="G104" s="29"/>
      <c r="H104" s="29"/>
      <c r="I104" s="36">
        <f t="shared" si="0"/>
      </c>
      <c r="J104" s="37">
        <f t="shared" si="1"/>
      </c>
      <c r="K104" s="31"/>
      <c r="L104" s="28"/>
      <c r="M104" s="30"/>
      <c r="N104" s="32">
        <f t="shared" si="2"/>
      </c>
    </row>
    <row r="105" spans="1:14" x14ac:dyDescent="0.25">
      <c r="A105" s="29"/>
      <c r="B105" s="31"/>
      <c r="C105" s="31"/>
      <c r="D105" s="31"/>
      <c r="E105" s="31"/>
      <c r="F105" s="29"/>
      <c r="G105" s="29"/>
      <c r="H105" s="29"/>
      <c r="I105" s="36">
        <f t="shared" si="0"/>
      </c>
      <c r="J105" s="37">
        <f t="shared" si="1"/>
      </c>
      <c r="K105" s="31"/>
      <c r="L105" s="28"/>
      <c r="M105" s="30"/>
      <c r="N105" s="32">
        <f t="shared" si="2"/>
      </c>
    </row>
    <row r="106" spans="1:14" x14ac:dyDescent="0.25">
      <c r="A106" s="29"/>
      <c r="B106" s="31"/>
      <c r="C106" s="31"/>
      <c r="D106" s="31"/>
      <c r="E106" s="31"/>
      <c r="F106" s="29"/>
      <c r="G106" s="29"/>
      <c r="H106" s="29"/>
      <c r="I106" s="36">
        <f t="shared" si="0"/>
      </c>
      <c r="J106" s="37">
        <f t="shared" si="1"/>
      </c>
      <c r="K106" s="31"/>
      <c r="L106" s="28"/>
      <c r="M106" s="30"/>
      <c r="N106" s="32">
        <f t="shared" si="2"/>
      </c>
    </row>
    <row r="107" spans="1:14" x14ac:dyDescent="0.25">
      <c r="A107" s="29"/>
      <c r="B107" s="31"/>
      <c r="C107" s="31"/>
      <c r="D107" s="31"/>
      <c r="E107" s="31"/>
      <c r="F107" s="29"/>
      <c r="G107" s="29"/>
      <c r="H107" s="29"/>
      <c r="I107" s="36">
        <f t="shared" si="0"/>
      </c>
      <c r="J107" s="37">
        <f t="shared" si="1"/>
      </c>
      <c r="K107" s="31"/>
      <c r="L107" s="28"/>
      <c r="M107" s="30"/>
      <c r="N107" s="32">
        <f t="shared" si="2"/>
      </c>
    </row>
    <row r="108" spans="1:14" x14ac:dyDescent="0.25">
      <c r="A108" s="29"/>
      <c r="B108" s="31"/>
      <c r="C108" s="31"/>
      <c r="D108" s="31"/>
      <c r="E108" s="31"/>
      <c r="F108" s="29"/>
      <c r="G108" s="29"/>
      <c r="H108" s="29"/>
      <c r="I108" s="36">
        <f t="shared" si="0"/>
      </c>
      <c r="J108" s="37">
        <f t="shared" si="1"/>
      </c>
      <c r="K108" s="31"/>
      <c r="L108" s="28"/>
      <c r="M108" s="30"/>
      <c r="N108" s="32">
        <f t="shared" si="2"/>
      </c>
    </row>
    <row r="109" spans="1:14" x14ac:dyDescent="0.25">
      <c r="A109" s="29"/>
      <c r="B109" s="31"/>
      <c r="C109" s="31"/>
      <c r="D109" s="31"/>
      <c r="E109" s="31"/>
      <c r="F109" s="29"/>
      <c r="G109" s="29"/>
      <c r="H109" s="29"/>
      <c r="I109" s="36">
        <f t="shared" si="0"/>
      </c>
      <c r="J109" s="37">
        <f t="shared" si="1"/>
      </c>
      <c r="K109" s="31"/>
      <c r="L109" s="28"/>
      <c r="M109" s="30"/>
      <c r="N109" s="32">
        <f t="shared" si="2"/>
      </c>
    </row>
    <row r="110" spans="1:14" x14ac:dyDescent="0.25">
      <c r="A110" s="29"/>
      <c r="B110" s="31"/>
      <c r="C110" s="31"/>
      <c r="D110" s="31"/>
      <c r="E110" s="31"/>
      <c r="F110" s="29"/>
      <c r="G110" s="29"/>
      <c r="H110" s="29"/>
      <c r="I110" s="36">
        <f t="shared" si="0"/>
      </c>
      <c r="J110" s="37">
        <f t="shared" si="1"/>
      </c>
      <c r="K110" s="31"/>
      <c r="L110" s="28"/>
      <c r="M110" s="30"/>
      <c r="N110" s="32">
        <f t="shared" si="2"/>
      </c>
    </row>
    <row r="111" spans="1:14" x14ac:dyDescent="0.25">
      <c r="A111" s="29"/>
      <c r="B111" s="31"/>
      <c r="C111" s="31"/>
      <c r="D111" s="31"/>
      <c r="E111" s="31"/>
      <c r="F111" s="29"/>
      <c r="G111" s="29"/>
      <c r="H111" s="29"/>
      <c r="I111" s="36">
        <f t="shared" si="0"/>
      </c>
      <c r="J111" s="37">
        <f t="shared" si="1"/>
      </c>
      <c r="K111" s="31"/>
      <c r="L111" s="28"/>
      <c r="M111" s="30"/>
      <c r="N111" s="32">
        <f t="shared" si="2"/>
      </c>
    </row>
    <row r="112" spans="1:14" x14ac:dyDescent="0.25">
      <c r="A112" s="29"/>
      <c r="B112" s="31"/>
      <c r="C112" s="31"/>
      <c r="D112" s="31"/>
      <c r="E112" s="31"/>
      <c r="F112" s="29"/>
      <c r="G112" s="29"/>
      <c r="H112" s="29"/>
      <c r="I112" s="36">
        <f t="shared" si="0"/>
      </c>
      <c r="J112" s="37">
        <f t="shared" si="1"/>
      </c>
      <c r="K112" s="31"/>
      <c r="L112" s="28"/>
      <c r="M112" s="30"/>
      <c r="N112" s="32">
        <f t="shared" si="2"/>
      </c>
    </row>
    <row r="113" spans="1:14" x14ac:dyDescent="0.25">
      <c r="A113" s="29"/>
      <c r="B113" s="31"/>
      <c r="C113" s="31"/>
      <c r="D113" s="31"/>
      <c r="E113" s="31"/>
      <c r="F113" s="29"/>
      <c r="G113" s="29"/>
      <c r="H113" s="29"/>
      <c r="I113" s="36">
        <f t="shared" si="0"/>
      </c>
      <c r="J113" s="37">
        <f t="shared" si="1"/>
      </c>
      <c r="K113" s="31"/>
      <c r="L113" s="28"/>
      <c r="M113" s="30"/>
      <c r="N113" s="32">
        <f t="shared" si="2"/>
      </c>
    </row>
    <row r="114" spans="1:14" x14ac:dyDescent="0.25">
      <c r="A114" s="29"/>
      <c r="B114" s="31"/>
      <c r="C114" s="31"/>
      <c r="D114" s="31"/>
      <c r="E114" s="31"/>
      <c r="F114" s="29"/>
      <c r="G114" s="29"/>
      <c r="H114" s="29"/>
      <c r="I114" s="36">
        <f t="shared" si="0"/>
      </c>
      <c r="J114" s="37">
        <f t="shared" si="1"/>
      </c>
      <c r="K114" s="31"/>
      <c r="L114" s="28"/>
      <c r="M114" s="30"/>
      <c r="N114" s="32">
        <f t="shared" si="2"/>
      </c>
    </row>
    <row r="115" spans="1:14" x14ac:dyDescent="0.25">
      <c r="A115" s="29"/>
      <c r="B115" s="31"/>
      <c r="C115" s="31"/>
      <c r="D115" s="31"/>
      <c r="E115" s="31"/>
      <c r="F115" s="29"/>
      <c r="G115" s="29"/>
      <c r="H115" s="29"/>
      <c r="I115" s="36">
        <f t="shared" si="0"/>
      </c>
      <c r="J115" s="37">
        <f t="shared" si="1"/>
      </c>
      <c r="K115" s="31"/>
      <c r="L115" s="28"/>
      <c r="M115" s="30"/>
      <c r="N115" s="32">
        <f t="shared" si="2"/>
      </c>
    </row>
    <row r="116" spans="1:14" x14ac:dyDescent="0.25">
      <c r="A116" s="29"/>
      <c r="B116" s="31"/>
      <c r="C116" s="31"/>
      <c r="D116" s="31"/>
      <c r="E116" s="31"/>
      <c r="F116" s="29"/>
      <c r="G116" s="29"/>
      <c r="H116" s="29"/>
      <c r="I116" s="36">
        <f t="shared" si="0"/>
      </c>
      <c r="J116" s="37">
        <f t="shared" si="1"/>
      </c>
      <c r="K116" s="31"/>
      <c r="L116" s="28"/>
      <c r="M116" s="30"/>
      <c r="N116" s="32">
        <f t="shared" si="2"/>
      </c>
    </row>
    <row r="117" spans="1:14" x14ac:dyDescent="0.25">
      <c r="A117" s="29"/>
      <c r="B117" s="31"/>
      <c r="C117" s="31"/>
      <c r="D117" s="31"/>
      <c r="E117" s="31"/>
      <c r="F117" s="29"/>
      <c r="G117" s="29"/>
      <c r="H117" s="29"/>
      <c r="I117" s="36">
        <f t="shared" si="0"/>
      </c>
      <c r="J117" s="37">
        <f t="shared" si="1"/>
      </c>
      <c r="K117" s="31"/>
      <c r="L117" s="28"/>
      <c r="M117" s="30"/>
      <c r="N117" s="32">
        <f t="shared" si="2"/>
      </c>
    </row>
    <row r="118" spans="1:14" x14ac:dyDescent="0.25">
      <c r="A118" s="29"/>
      <c r="B118" s="31"/>
      <c r="C118" s="31"/>
      <c r="D118" s="31"/>
      <c r="E118" s="31"/>
      <c r="F118" s="29"/>
      <c r="G118" s="29"/>
      <c r="H118" s="29"/>
      <c r="I118" s="36">
        <f t="shared" si="0"/>
      </c>
      <c r="J118" s="37">
        <f t="shared" si="1"/>
      </c>
      <c r="K118" s="31"/>
      <c r="L118" s="28"/>
      <c r="M118" s="30"/>
      <c r="N118" s="32">
        <f t="shared" si="2"/>
      </c>
    </row>
    <row r="119" spans="1:14" x14ac:dyDescent="0.25">
      <c r="A119" s="29"/>
      <c r="B119" s="31"/>
      <c r="C119" s="31"/>
      <c r="D119" s="31"/>
      <c r="E119" s="31"/>
      <c r="F119" s="29"/>
      <c r="G119" s="29"/>
      <c r="H119" s="29"/>
      <c r="I119" s="36">
        <f t="shared" si="0"/>
      </c>
      <c r="J119" s="37">
        <f t="shared" si="1"/>
      </c>
      <c r="K119" s="31"/>
      <c r="L119" s="28"/>
      <c r="M119" s="30"/>
      <c r="N119" s="32">
        <f t="shared" si="2"/>
      </c>
    </row>
    <row r="120" spans="1:14" x14ac:dyDescent="0.25">
      <c r="A120" s="29"/>
      <c r="B120" s="31"/>
      <c r="C120" s="31"/>
      <c r="D120" s="31"/>
      <c r="E120" s="31"/>
      <c r="F120" s="29"/>
      <c r="G120" s="29"/>
      <c r="H120" s="29"/>
      <c r="I120" s="36">
        <f t="shared" si="0"/>
      </c>
      <c r="J120" s="37">
        <f t="shared" si="1"/>
      </c>
      <c r="K120" s="31"/>
      <c r="L120" s="28"/>
      <c r="M120" s="30"/>
      <c r="N120" s="32">
        <f t="shared" si="2"/>
      </c>
    </row>
    <row r="121" spans="1:14" x14ac:dyDescent="0.25">
      <c r="A121" s="29"/>
      <c r="B121" s="31"/>
      <c r="C121" s="31"/>
      <c r="D121" s="31"/>
      <c r="E121" s="31"/>
      <c r="F121" s="29"/>
      <c r="G121" s="29"/>
      <c r="H121" s="29"/>
      <c r="I121" s="36">
        <f t="shared" si="0"/>
      </c>
      <c r="J121" s="37">
        <f t="shared" si="1"/>
      </c>
      <c r="K121" s="31"/>
      <c r="L121" s="28"/>
      <c r="M121" s="30"/>
      <c r="N121" s="32">
        <f t="shared" si="2"/>
      </c>
    </row>
    <row r="122" spans="1:14" x14ac:dyDescent="0.25">
      <c r="A122" s="29"/>
      <c r="B122" s="31"/>
      <c r="C122" s="31"/>
      <c r="D122" s="31"/>
      <c r="E122" s="31"/>
      <c r="F122" s="29"/>
      <c r="G122" s="29"/>
      <c r="H122" s="29"/>
      <c r="I122" s="36">
        <f t="shared" si="0"/>
      </c>
      <c r="J122" s="37">
        <f t="shared" si="1"/>
      </c>
      <c r="K122" s="31"/>
      <c r="L122" s="28"/>
      <c r="M122" s="30"/>
      <c r="N122" s="32">
        <f t="shared" si="2"/>
      </c>
    </row>
    <row r="123" spans="1:14" x14ac:dyDescent="0.25">
      <c r="A123" s="29"/>
      <c r="B123" s="31"/>
      <c r="C123" s="31"/>
      <c r="D123" s="31"/>
      <c r="E123" s="31"/>
      <c r="F123" s="29"/>
      <c r="G123" s="29"/>
      <c r="H123" s="29"/>
      <c r="I123" s="36">
        <f t="shared" si="0"/>
      </c>
      <c r="J123" s="37">
        <f t="shared" si="1"/>
      </c>
      <c r="K123" s="31"/>
      <c r="L123" s="28"/>
      <c r="M123" s="30"/>
      <c r="N123" s="32">
        <f t="shared" si="2"/>
      </c>
    </row>
    <row r="124" spans="1:14" x14ac:dyDescent="0.25">
      <c r="A124" s="29"/>
      <c r="B124" s="31"/>
      <c r="C124" s="31"/>
      <c r="D124" s="31"/>
      <c r="E124" s="31"/>
      <c r="F124" s="29"/>
      <c r="G124" s="29"/>
      <c r="H124" s="29"/>
      <c r="I124" s="36">
        <f t="shared" si="0"/>
      </c>
      <c r="J124" s="37">
        <f t="shared" si="1"/>
      </c>
      <c r="K124" s="31"/>
      <c r="L124" s="28"/>
      <c r="M124" s="30"/>
      <c r="N124" s="32">
        <f t="shared" si="2"/>
      </c>
    </row>
    <row r="125" spans="1:14" x14ac:dyDescent="0.25">
      <c r="A125" s="29"/>
      <c r="B125" s="31"/>
      <c r="C125" s="31"/>
      <c r="D125" s="31"/>
      <c r="E125" s="31"/>
      <c r="F125" s="29"/>
      <c r="G125" s="29"/>
      <c r="H125" s="29"/>
      <c r="I125" s="36">
        <f t="shared" si="0"/>
      </c>
      <c r="J125" s="37">
        <f t="shared" si="1"/>
      </c>
      <c r="K125" s="31"/>
      <c r="L125" s="28"/>
      <c r="M125" s="30"/>
      <c r="N125" s="32">
        <f t="shared" si="2"/>
      </c>
    </row>
    <row r="126" spans="1:14" x14ac:dyDescent="0.25">
      <c r="A126" s="29"/>
      <c r="B126" s="31"/>
      <c r="C126" s="31"/>
      <c r="D126" s="31"/>
      <c r="E126" s="31"/>
      <c r="F126" s="29"/>
      <c r="G126" s="29"/>
      <c r="H126" s="29"/>
      <c r="I126" s="36">
        <f t="shared" si="0"/>
      </c>
      <c r="J126" s="37">
        <f t="shared" si="1"/>
      </c>
      <c r="K126" s="31"/>
      <c r="L126" s="28"/>
      <c r="M126" s="30"/>
      <c r="N126" s="32">
        <f t="shared" si="2"/>
      </c>
    </row>
    <row r="127" spans="1:14" x14ac:dyDescent="0.25">
      <c r="A127" s="29"/>
      <c r="B127" s="31"/>
      <c r="C127" s="31"/>
      <c r="D127" s="31"/>
      <c r="E127" s="31"/>
      <c r="F127" s="29"/>
      <c r="G127" s="29"/>
      <c r="H127" s="29"/>
      <c r="I127" s="36">
        <f t="shared" si="0"/>
      </c>
      <c r="J127" s="37">
        <f t="shared" si="1"/>
      </c>
      <c r="K127" s="31"/>
      <c r="L127" s="28"/>
      <c r="M127" s="30"/>
      <c r="N127" s="32">
        <f t="shared" si="2"/>
      </c>
    </row>
    <row r="128" spans="1:14" x14ac:dyDescent="0.25">
      <c r="A128" s="29"/>
      <c r="B128" s="31"/>
      <c r="C128" s="31"/>
      <c r="D128" s="31"/>
      <c r="E128" s="31"/>
      <c r="F128" s="29"/>
      <c r="G128" s="29"/>
      <c r="H128" s="29"/>
      <c r="I128" s="36">
        <f t="shared" si="0"/>
      </c>
      <c r="J128" s="37">
        <f t="shared" si="1"/>
      </c>
      <c r="K128" s="31"/>
      <c r="L128" s="28"/>
      <c r="M128" s="30"/>
      <c r="N128" s="32">
        <f t="shared" si="2"/>
      </c>
    </row>
    <row r="129" spans="1:14" x14ac:dyDescent="0.25">
      <c r="A129" s="29"/>
      <c r="B129" s="31"/>
      <c r="C129" s="31"/>
      <c r="D129" s="31"/>
      <c r="E129" s="31"/>
      <c r="F129" s="29"/>
      <c r="G129" s="29"/>
      <c r="H129" s="29"/>
      <c r="I129" s="36">
        <f t="shared" si="0"/>
      </c>
      <c r="J129" s="37">
        <f t="shared" si="1"/>
      </c>
      <c r="K129" s="31"/>
      <c r="L129" s="28"/>
      <c r="M129" s="30"/>
      <c r="N129" s="32">
        <f t="shared" si="2"/>
      </c>
    </row>
    <row r="130" spans="1:14" x14ac:dyDescent="0.25">
      <c r="A130" s="29"/>
      <c r="B130" s="31"/>
      <c r="C130" s="31"/>
      <c r="D130" s="31"/>
      <c r="E130" s="31"/>
      <c r="F130" s="29"/>
      <c r="G130" s="29"/>
      <c r="H130" s="29"/>
      <c r="I130" s="36">
        <f t="shared" si="0"/>
      </c>
      <c r="J130" s="37">
        <f t="shared" si="1"/>
      </c>
      <c r="K130" s="31"/>
      <c r="L130" s="28"/>
      <c r="M130" s="30"/>
      <c r="N130" s="32">
        <f t="shared" si="2"/>
      </c>
    </row>
    <row r="131" spans="1:14" x14ac:dyDescent="0.25">
      <c r="A131" s="29"/>
      <c r="B131" s="31"/>
      <c r="C131" s="31"/>
      <c r="D131" s="31"/>
      <c r="E131" s="31"/>
      <c r="F131" s="29"/>
      <c r="G131" s="29"/>
      <c r="H131" s="29"/>
      <c r="I131" s="36">
        <f t="shared" si="0"/>
      </c>
      <c r="J131" s="37">
        <f t="shared" si="1"/>
      </c>
      <c r="K131" s="31"/>
      <c r="L131" s="28"/>
      <c r="M131" s="30"/>
      <c r="N131" s="32">
        <f t="shared" si="2"/>
      </c>
    </row>
    <row r="132" spans="1:14" x14ac:dyDescent="0.25">
      <c r="A132" s="29"/>
      <c r="B132" s="31"/>
      <c r="C132" s="31"/>
      <c r="D132" s="31"/>
      <c r="E132" s="31"/>
      <c r="F132" s="29"/>
      <c r="G132" s="29"/>
      <c r="H132" s="29"/>
      <c r="I132" s="36">
        <f t="shared" si="0"/>
      </c>
      <c r="J132" s="37">
        <f t="shared" si="1"/>
      </c>
      <c r="K132" s="31"/>
      <c r="L132" s="28"/>
      <c r="M132" s="30"/>
      <c r="N132" s="32">
        <f t="shared" si="2"/>
      </c>
    </row>
    <row r="133" spans="1:14" x14ac:dyDescent="0.25">
      <c r="A133" s="29"/>
      <c r="B133" s="31"/>
      <c r="C133" s="31"/>
      <c r="D133" s="31"/>
      <c r="E133" s="31"/>
      <c r="F133" s="29"/>
      <c r="G133" s="29"/>
      <c r="H133" s="29"/>
      <c r="I133" s="36">
        <f t="shared" si="0"/>
      </c>
      <c r="J133" s="37">
        <f t="shared" si="1"/>
      </c>
      <c r="K133" s="31"/>
      <c r="L133" s="28"/>
      <c r="M133" s="30"/>
      <c r="N133" s="32">
        <f t="shared" si="2"/>
      </c>
    </row>
    <row r="134" spans="1:14" x14ac:dyDescent="0.25">
      <c r="A134" s="29"/>
      <c r="B134" s="31"/>
      <c r="C134" s="31"/>
      <c r="D134" s="31"/>
      <c r="E134" s="31"/>
      <c r="F134" s="29"/>
      <c r="G134" s="29"/>
      <c r="H134" s="29"/>
      <c r="I134" s="36">
        <f t="shared" si="0"/>
      </c>
      <c r="J134" s="37">
        <f t="shared" si="1"/>
      </c>
      <c r="K134" s="31"/>
      <c r="L134" s="28"/>
      <c r="M134" s="30"/>
      <c r="N134" s="32">
        <f t="shared" si="2"/>
      </c>
    </row>
    <row r="135" spans="1:14" x14ac:dyDescent="0.25">
      <c r="A135" s="29"/>
      <c r="B135" s="31"/>
      <c r="C135" s="31"/>
      <c r="D135" s="31"/>
      <c r="E135" s="31"/>
      <c r="F135" s="29"/>
      <c r="G135" s="29"/>
      <c r="H135" s="29"/>
      <c r="I135" s="36">
        <f t="shared" si="0"/>
      </c>
      <c r="J135" s="37">
        <f t="shared" si="1"/>
      </c>
      <c r="K135" s="31"/>
      <c r="L135" s="28"/>
      <c r="M135" s="30"/>
      <c r="N135" s="32">
        <f t="shared" si="2"/>
      </c>
    </row>
    <row r="136" spans="1:14" x14ac:dyDescent="0.25">
      <c r="A136" s="29"/>
      <c r="B136" s="31"/>
      <c r="C136" s="31"/>
      <c r="D136" s="31"/>
      <c r="E136" s="31"/>
      <c r="F136" s="29"/>
      <c r="G136" s="29"/>
      <c r="H136" s="29"/>
      <c r="I136" s="36">
        <f t="shared" si="0"/>
      </c>
      <c r="J136" s="37">
        <f t="shared" si="1"/>
      </c>
      <c r="K136" s="31"/>
      <c r="L136" s="28"/>
      <c r="M136" s="30"/>
      <c r="N136" s="32">
        <f t="shared" si="2"/>
      </c>
    </row>
    <row r="137" spans="1:14" x14ac:dyDescent="0.25">
      <c r="A137" s="29"/>
      <c r="B137" s="31"/>
      <c r="C137" s="31"/>
      <c r="D137" s="31"/>
      <c r="E137" s="31"/>
      <c r="F137" s="29"/>
      <c r="G137" s="29"/>
      <c r="H137" s="29"/>
      <c r="I137" s="36">
        <f t="shared" si="0"/>
      </c>
      <c r="J137" s="37">
        <f t="shared" si="1"/>
      </c>
      <c r="K137" s="31"/>
      <c r="L137" s="28"/>
      <c r="M137" s="30"/>
      <c r="N137" s="32">
        <f t="shared" si="2"/>
      </c>
    </row>
    <row r="138" spans="1:14" x14ac:dyDescent="0.25">
      <c r="A138" s="29"/>
      <c r="B138" s="31"/>
      <c r="C138" s="31"/>
      <c r="D138" s="31"/>
      <c r="E138" s="31"/>
      <c r="F138" s="29"/>
      <c r="G138" s="29"/>
      <c r="H138" s="29"/>
      <c r="I138" s="36">
        <f t="shared" si="0"/>
      </c>
      <c r="J138" s="37">
        <f t="shared" si="1"/>
      </c>
      <c r="K138" s="31"/>
      <c r="L138" s="28"/>
      <c r="M138" s="30"/>
      <c r="N138" s="32">
        <f t="shared" si="2"/>
      </c>
    </row>
    <row r="139" spans="1:14" x14ac:dyDescent="0.25">
      <c r="A139" s="29"/>
      <c r="B139" s="31"/>
      <c r="C139" s="31"/>
      <c r="D139" s="31"/>
      <c r="E139" s="31"/>
      <c r="F139" s="29"/>
      <c r="G139" s="29"/>
      <c r="H139" s="29"/>
      <c r="I139" s="36">
        <f t="shared" si="0"/>
      </c>
      <c r="J139" s="37">
        <f t="shared" si="1"/>
      </c>
      <c r="K139" s="31"/>
      <c r="L139" s="28"/>
      <c r="M139" s="30"/>
      <c r="N139" s="32">
        <f t="shared" si="2"/>
      </c>
    </row>
    <row r="140" spans="1:14" x14ac:dyDescent="0.25">
      <c r="A140" s="29"/>
      <c r="B140" s="31"/>
      <c r="C140" s="31"/>
      <c r="D140" s="31"/>
      <c r="E140" s="31"/>
      <c r="F140" s="29"/>
      <c r="G140" s="29"/>
      <c r="H140" s="29"/>
      <c r="I140" s="36">
        <f t="shared" si="0"/>
      </c>
      <c r="J140" s="37">
        <f t="shared" si="1"/>
      </c>
      <c r="K140" s="31"/>
      <c r="L140" s="28"/>
      <c r="M140" s="30"/>
      <c r="N140" s="32">
        <f t="shared" si="2"/>
      </c>
    </row>
    <row r="141" spans="1:14" x14ac:dyDescent="0.25">
      <c r="A141" s="29"/>
      <c r="B141" s="31"/>
      <c r="C141" s="31"/>
      <c r="D141" s="31"/>
      <c r="E141" s="31"/>
      <c r="F141" s="29"/>
      <c r="G141" s="29"/>
      <c r="H141" s="29"/>
      <c r="I141" s="36">
        <f t="shared" si="0"/>
      </c>
      <c r="J141" s="37">
        <f t="shared" si="1"/>
      </c>
      <c r="K141" s="31"/>
      <c r="L141" s="28"/>
      <c r="M141" s="30"/>
      <c r="N141" s="32">
        <f t="shared" si="2"/>
      </c>
    </row>
    <row r="142" spans="1:14" x14ac:dyDescent="0.25">
      <c r="A142" s="29"/>
      <c r="B142" s="31"/>
      <c r="C142" s="31"/>
      <c r="D142" s="31"/>
      <c r="E142" s="31"/>
      <c r="F142" s="29"/>
      <c r="G142" s="29"/>
      <c r="H142" s="29"/>
      <c r="I142" s="36">
        <f t="shared" si="0"/>
      </c>
      <c r="J142" s="37">
        <f t="shared" si="1"/>
      </c>
      <c r="K142" s="31"/>
      <c r="L142" s="28"/>
      <c r="M142" s="30"/>
      <c r="N142" s="32">
        <f t="shared" si="2"/>
      </c>
    </row>
    <row r="143" spans="1:14" x14ac:dyDescent="0.25">
      <c r="A143" s="29"/>
      <c r="B143" s="31"/>
      <c r="C143" s="31"/>
      <c r="D143" s="31"/>
      <c r="E143" s="31"/>
      <c r="F143" s="29"/>
      <c r="G143" s="29"/>
      <c r="H143" s="29"/>
      <c r="I143" s="36">
        <f t="shared" si="0"/>
      </c>
      <c r="J143" s="37">
        <f t="shared" si="1"/>
      </c>
      <c r="K143" s="31"/>
      <c r="L143" s="28"/>
      <c r="M143" s="30"/>
      <c r="N143" s="32">
        <f t="shared" si="2"/>
      </c>
    </row>
    <row r="144" spans="1:14" x14ac:dyDescent="0.25">
      <c r="A144" s="29"/>
      <c r="B144" s="31"/>
      <c r="C144" s="31"/>
      <c r="D144" s="31"/>
      <c r="E144" s="31"/>
      <c r="F144" s="29"/>
      <c r="G144" s="29"/>
      <c r="H144" s="29"/>
      <c r="I144" s="36">
        <f t="shared" si="0"/>
      </c>
      <c r="J144" s="37">
        <f t="shared" si="1"/>
      </c>
      <c r="K144" s="31"/>
      <c r="L144" s="28"/>
      <c r="M144" s="30"/>
      <c r="N144" s="32">
        <f t="shared" si="2"/>
      </c>
    </row>
    <row r="145" spans="1:14" x14ac:dyDescent="0.25">
      <c r="A145" s="29"/>
      <c r="B145" s="31"/>
      <c r="C145" s="31"/>
      <c r="D145" s="31"/>
      <c r="E145" s="31"/>
      <c r="F145" s="29"/>
      <c r="G145" s="29"/>
      <c r="H145" s="29"/>
      <c r="I145" s="36">
        <f t="shared" si="0"/>
      </c>
      <c r="J145" s="37">
        <f t="shared" si="1"/>
      </c>
      <c r="K145" s="31"/>
      <c r="L145" s="28"/>
      <c r="M145" s="30"/>
      <c r="N145" s="32">
        <f t="shared" si="2"/>
      </c>
    </row>
    <row r="146" spans="1:14" x14ac:dyDescent="0.25">
      <c r="A146" s="29"/>
      <c r="B146" s="31"/>
      <c r="C146" s="31"/>
      <c r="D146" s="31"/>
      <c r="E146" s="31"/>
      <c r="F146" s="29"/>
      <c r="G146" s="29"/>
      <c r="H146" s="29"/>
      <c r="I146" s="36">
        <f t="shared" si="0"/>
      </c>
      <c r="J146" s="37">
        <f t="shared" si="1"/>
      </c>
      <c r="K146" s="31"/>
      <c r="L146" s="28"/>
      <c r="M146" s="30"/>
      <c r="N146" s="32">
        <f t="shared" si="2"/>
      </c>
    </row>
    <row r="147" spans="1:14" x14ac:dyDescent="0.25">
      <c r="A147" s="29"/>
      <c r="B147" s="31"/>
      <c r="C147" s="31"/>
      <c r="D147" s="31"/>
      <c r="E147" s="31"/>
      <c r="F147" s="29"/>
      <c r="G147" s="29"/>
      <c r="H147" s="29"/>
      <c r="I147" s="36">
        <f t="shared" si="0"/>
      </c>
      <c r="J147" s="37">
        <f t="shared" si="1"/>
      </c>
      <c r="K147" s="31"/>
      <c r="L147" s="28"/>
      <c r="M147" s="30"/>
      <c r="N147" s="32">
        <f t="shared" si="2"/>
      </c>
    </row>
    <row r="148" spans="1:14" x14ac:dyDescent="0.25">
      <c r="A148" s="29"/>
      <c r="B148" s="31"/>
      <c r="C148" s="31"/>
      <c r="D148" s="31"/>
      <c r="E148" s="31"/>
      <c r="F148" s="29"/>
      <c r="G148" s="29"/>
      <c r="H148" s="29"/>
      <c r="I148" s="36">
        <f t="shared" si="0"/>
      </c>
      <c r="J148" s="37">
        <f t="shared" si="1"/>
      </c>
      <c r="K148" s="31"/>
      <c r="L148" s="28"/>
      <c r="M148" s="30"/>
      <c r="N148" s="32">
        <f t="shared" si="2"/>
      </c>
    </row>
    <row r="149" spans="1:14" x14ac:dyDescent="0.25">
      <c r="A149" s="29"/>
      <c r="B149" s="31"/>
      <c r="C149" s="31"/>
      <c r="D149" s="31"/>
      <c r="E149" s="31"/>
      <c r="F149" s="29"/>
      <c r="G149" s="29"/>
      <c r="H149" s="29"/>
      <c r="I149" s="36">
        <f t="shared" si="0"/>
      </c>
      <c r="J149" s="37">
        <f t="shared" si="1"/>
      </c>
      <c r="K149" s="31"/>
      <c r="L149" s="28"/>
      <c r="M149" s="30"/>
      <c r="N149" s="32">
        <f t="shared" si="2"/>
      </c>
    </row>
    <row r="150" spans="1:14" x14ac:dyDescent="0.25">
      <c r="A150" s="29"/>
      <c r="B150" s="31"/>
      <c r="C150" s="31"/>
      <c r="D150" s="31"/>
      <c r="E150" s="31"/>
      <c r="F150" s="29"/>
      <c r="G150" s="29"/>
      <c r="H150" s="29"/>
      <c r="I150" s="36">
        <f t="shared" si="0"/>
      </c>
      <c r="J150" s="37">
        <f t="shared" si="1"/>
      </c>
      <c r="K150" s="31"/>
      <c r="L150" s="28"/>
      <c r="M150" s="30"/>
      <c r="N150" s="32">
        <f t="shared" si="2"/>
      </c>
    </row>
    <row r="151" spans="1:14" x14ac:dyDescent="0.25">
      <c r="A151" s="29"/>
      <c r="B151" s="31"/>
      <c r="C151" s="31"/>
      <c r="D151" s="31"/>
      <c r="E151" s="31"/>
      <c r="F151" s="29"/>
      <c r="G151" s="29"/>
      <c r="H151" s="29"/>
      <c r="I151" s="36">
        <f t="shared" si="0"/>
      </c>
      <c r="J151" s="37">
        <f t="shared" si="1"/>
      </c>
      <c r="K151" s="31"/>
      <c r="L151" s="28"/>
      <c r="M151" s="30"/>
      <c r="N151" s="32">
        <f t="shared" si="2"/>
      </c>
    </row>
    <row r="152" spans="1:14" x14ac:dyDescent="0.25">
      <c r="A152" s="29"/>
      <c r="B152" s="31"/>
      <c r="C152" s="31"/>
      <c r="D152" s="31"/>
      <c r="E152" s="31"/>
      <c r="F152" s="29"/>
      <c r="G152" s="29"/>
      <c r="H152" s="29"/>
      <c r="I152" s="36">
        <f t="shared" si="0"/>
      </c>
      <c r="J152" s="37">
        <f t="shared" si="1"/>
      </c>
      <c r="K152" s="31"/>
      <c r="L152" s="28"/>
      <c r="M152" s="30"/>
      <c r="N152" s="32">
        <f t="shared" si="2"/>
      </c>
    </row>
    <row r="153" spans="1:14" x14ac:dyDescent="0.25">
      <c r="A153" s="29"/>
      <c r="B153" s="31"/>
      <c r="C153" s="31"/>
      <c r="D153" s="31"/>
      <c r="E153" s="31"/>
      <c r="F153" s="29"/>
      <c r="G153" s="29"/>
      <c r="H153" s="29"/>
      <c r="I153" s="36">
        <f t="shared" si="0"/>
      </c>
      <c r="J153" s="37">
        <f t="shared" si="1"/>
      </c>
      <c r="K153" s="31"/>
      <c r="L153" s="28"/>
      <c r="M153" s="30"/>
      <c r="N153" s="32">
        <f t="shared" si="2"/>
      </c>
    </row>
    <row r="154" spans="1:14" x14ac:dyDescent="0.25">
      <c r="A154" s="29"/>
      <c r="B154" s="31"/>
      <c r="C154" s="31"/>
      <c r="D154" s="31"/>
      <c r="E154" s="31"/>
      <c r="F154" s="29"/>
      <c r="G154" s="29"/>
      <c r="H154" s="29"/>
      <c r="I154" s="36">
        <f t="shared" si="0"/>
      </c>
      <c r="J154" s="37">
        <f t="shared" si="1"/>
      </c>
      <c r="K154" s="31"/>
      <c r="L154" s="28"/>
      <c r="M154" s="30"/>
      <c r="N154" s="32">
        <f t="shared" si="2"/>
      </c>
    </row>
    <row r="155" spans="1:14" x14ac:dyDescent="0.25">
      <c r="A155" s="29"/>
      <c r="B155" s="31"/>
      <c r="C155" s="31"/>
      <c r="D155" s="31"/>
      <c r="E155" s="31"/>
      <c r="F155" s="29"/>
      <c r="G155" s="29"/>
      <c r="H155" s="29"/>
      <c r="I155" s="36">
        <f t="shared" si="0"/>
      </c>
      <c r="J155" s="37">
        <f t="shared" si="1"/>
      </c>
      <c r="K155" s="31"/>
      <c r="L155" s="28"/>
      <c r="M155" s="30"/>
      <c r="N155" s="32">
        <f t="shared" si="2"/>
      </c>
    </row>
    <row r="156" spans="1:14" x14ac:dyDescent="0.25">
      <c r="A156" s="29"/>
      <c r="B156" s="31"/>
      <c r="C156" s="31"/>
      <c r="D156" s="31"/>
      <c r="E156" s="31"/>
      <c r="F156" s="29"/>
      <c r="G156" s="29"/>
      <c r="H156" s="29"/>
      <c r="I156" s="36">
        <f t="shared" si="0"/>
      </c>
      <c r="J156" s="37">
        <f t="shared" si="1"/>
      </c>
      <c r="K156" s="31"/>
      <c r="L156" s="28"/>
      <c r="M156" s="30"/>
      <c r="N156" s="32">
        <f t="shared" si="2"/>
      </c>
    </row>
    <row r="157" spans="1:14" x14ac:dyDescent="0.25">
      <c r="A157" s="29"/>
      <c r="B157" s="31"/>
      <c r="C157" s="31"/>
      <c r="D157" s="31"/>
      <c r="E157" s="31"/>
      <c r="F157" s="29"/>
      <c r="G157" s="29"/>
      <c r="H157" s="29"/>
      <c r="I157" s="36">
        <f t="shared" si="0"/>
      </c>
      <c r="J157" s="37">
        <f t="shared" si="1"/>
      </c>
      <c r="K157" s="31"/>
      <c r="L157" s="28"/>
      <c r="M157" s="30"/>
      <c r="N157" s="32">
        <f t="shared" si="2"/>
      </c>
    </row>
    <row r="158" spans="1:14" x14ac:dyDescent="0.25">
      <c r="A158" s="29"/>
      <c r="B158" s="31"/>
      <c r="C158" s="31"/>
      <c r="D158" s="31"/>
      <c r="E158" s="31"/>
      <c r="F158" s="29"/>
      <c r="G158" s="29"/>
      <c r="H158" s="29"/>
      <c r="I158" s="36">
        <f t="shared" si="0"/>
      </c>
      <c r="J158" s="37">
        <f t="shared" si="1"/>
      </c>
      <c r="K158" s="31"/>
      <c r="L158" s="28"/>
      <c r="M158" s="30"/>
      <c r="N158" s="32">
        <f t="shared" si="2"/>
      </c>
    </row>
    <row r="159" spans="1:14" x14ac:dyDescent="0.25">
      <c r="A159" s="29"/>
      <c r="B159" s="31"/>
      <c r="C159" s="31"/>
      <c r="D159" s="31"/>
      <c r="E159" s="31"/>
      <c r="F159" s="29"/>
      <c r="G159" s="29"/>
      <c r="H159" s="29"/>
      <c r="I159" s="36">
        <f t="shared" si="0"/>
      </c>
      <c r="J159" s="37">
        <f t="shared" si="1"/>
      </c>
      <c r="K159" s="31"/>
      <c r="L159" s="28"/>
      <c r="M159" s="30"/>
      <c r="N159" s="32">
        <f t="shared" si="2"/>
      </c>
    </row>
    <row r="160" spans="1:14" x14ac:dyDescent="0.25">
      <c r="A160" s="29"/>
      <c r="B160" s="31"/>
      <c r="C160" s="31"/>
      <c r="D160" s="31"/>
      <c r="E160" s="31"/>
      <c r="F160" s="29"/>
      <c r="G160" s="29"/>
      <c r="H160" s="29"/>
      <c r="I160" s="36">
        <f t="shared" si="0"/>
      </c>
      <c r="J160" s="37">
        <f t="shared" si="1"/>
      </c>
      <c r="K160" s="31"/>
      <c r="L160" s="28"/>
      <c r="M160" s="30"/>
      <c r="N160" s="32">
        <f t="shared" si="2"/>
      </c>
    </row>
    <row r="161" spans="1:14" x14ac:dyDescent="0.25">
      <c r="A161" s="29"/>
      <c r="B161" s="31"/>
      <c r="C161" s="31"/>
      <c r="D161" s="31"/>
      <c r="E161" s="31"/>
      <c r="F161" s="29"/>
      <c r="G161" s="29"/>
      <c r="H161" s="29"/>
      <c r="I161" s="36">
        <f t="shared" si="0"/>
      </c>
      <c r="J161" s="37">
        <f t="shared" si="1"/>
      </c>
      <c r="K161" s="31"/>
      <c r="L161" s="28"/>
      <c r="M161" s="30"/>
      <c r="N161" s="32">
        <f t="shared" si="2"/>
      </c>
    </row>
    <row r="162" spans="1:14" x14ac:dyDescent="0.25">
      <c r="A162" s="29"/>
      <c r="B162" s="31"/>
      <c r="C162" s="31"/>
      <c r="D162" s="31"/>
      <c r="E162" s="31"/>
      <c r="F162" s="29"/>
      <c r="G162" s="29"/>
      <c r="H162" s="29"/>
      <c r="I162" s="36">
        <f t="shared" si="0"/>
      </c>
      <c r="J162" s="37">
        <f t="shared" si="1"/>
      </c>
      <c r="K162" s="31"/>
      <c r="L162" s="28"/>
      <c r="M162" s="30"/>
      <c r="N162" s="32">
        <f t="shared" si="2"/>
      </c>
    </row>
    <row r="163" spans="1:14" x14ac:dyDescent="0.25">
      <c r="A163" s="29"/>
      <c r="B163" s="31"/>
      <c r="C163" s="31"/>
      <c r="D163" s="31"/>
      <c r="E163" s="31"/>
      <c r="F163" s="29"/>
      <c r="G163" s="29"/>
      <c r="H163" s="29"/>
      <c r="I163" s="36">
        <f t="shared" si="0"/>
      </c>
      <c r="J163" s="37">
        <f t="shared" si="1"/>
      </c>
      <c r="K163" s="31"/>
      <c r="L163" s="28"/>
      <c r="M163" s="30"/>
      <c r="N163" s="32">
        <f t="shared" si="2"/>
      </c>
    </row>
    <row r="164" spans="1:14" x14ac:dyDescent="0.25">
      <c r="A164" s="29"/>
      <c r="B164" s="31"/>
      <c r="C164" s="31"/>
      <c r="D164" s="31"/>
      <c r="E164" s="31"/>
      <c r="F164" s="29"/>
      <c r="G164" s="29"/>
      <c r="H164" s="29"/>
      <c r="I164" s="36">
        <f t="shared" si="0"/>
      </c>
      <c r="J164" s="37">
        <f t="shared" si="1"/>
      </c>
      <c r="K164" s="31"/>
      <c r="L164" s="28"/>
      <c r="M164" s="30"/>
      <c r="N164" s="32">
        <f t="shared" si="2"/>
      </c>
    </row>
    <row r="165" spans="1:14" x14ac:dyDescent="0.25">
      <c r="A165" s="29"/>
      <c r="B165" s="31"/>
      <c r="C165" s="31"/>
      <c r="D165" s="31"/>
      <c r="E165" s="31"/>
      <c r="F165" s="29"/>
      <c r="G165" s="29"/>
      <c r="H165" s="29"/>
      <c r="I165" s="36">
        <f t="shared" si="0"/>
      </c>
      <c r="J165" s="37">
        <f t="shared" si="1"/>
      </c>
      <c r="K165" s="31"/>
      <c r="L165" s="28"/>
      <c r="M165" s="30"/>
      <c r="N165" s="32">
        <f t="shared" si="2"/>
      </c>
    </row>
    <row r="166" spans="1:14" x14ac:dyDescent="0.25">
      <c r="A166" s="29"/>
      <c r="B166" s="31"/>
      <c r="C166" s="31"/>
      <c r="D166" s="31"/>
      <c r="E166" s="31"/>
      <c r="F166" s="29"/>
      <c r="G166" s="29"/>
      <c r="H166" s="29"/>
      <c r="I166" s="36">
        <f t="shared" si="0"/>
      </c>
      <c r="J166" s="37">
        <f t="shared" si="1"/>
      </c>
      <c r="K166" s="31"/>
      <c r="L166" s="28"/>
      <c r="M166" s="30"/>
      <c r="N166" s="32">
        <f t="shared" si="2"/>
      </c>
    </row>
    <row r="167" spans="1:14" x14ac:dyDescent="0.25">
      <c r="A167" s="29"/>
      <c r="B167" s="31"/>
      <c r="C167" s="31"/>
      <c r="D167" s="31"/>
      <c r="E167" s="31"/>
      <c r="F167" s="29"/>
      <c r="G167" s="29"/>
      <c r="H167" s="29"/>
      <c r="I167" s="36">
        <f t="shared" si="0"/>
      </c>
      <c r="J167" s="37">
        <f t="shared" si="1"/>
      </c>
      <c r="K167" s="31"/>
      <c r="L167" s="28"/>
      <c r="M167" s="30"/>
      <c r="N167" s="32">
        <f t="shared" si="2"/>
      </c>
    </row>
    <row r="168" spans="1:14" x14ac:dyDescent="0.25">
      <c r="A168" s="29"/>
      <c r="B168" s="31"/>
      <c r="C168" s="31"/>
      <c r="D168" s="31"/>
      <c r="E168" s="31"/>
      <c r="F168" s="29"/>
      <c r="G168" s="29"/>
      <c r="H168" s="29"/>
      <c r="I168" s="36">
        <f t="shared" si="0"/>
      </c>
      <c r="J168" s="37">
        <f t="shared" si="1"/>
      </c>
      <c r="K168" s="31"/>
      <c r="L168" s="28"/>
      <c r="M168" s="30"/>
      <c r="N168" s="32">
        <f t="shared" si="2"/>
      </c>
    </row>
    <row r="169" spans="1:14" x14ac:dyDescent="0.25">
      <c r="A169" s="29"/>
      <c r="B169" s="31"/>
      <c r="C169" s="31"/>
      <c r="D169" s="31"/>
      <c r="E169" s="31"/>
      <c r="F169" s="29"/>
      <c r="G169" s="29"/>
      <c r="H169" s="29"/>
      <c r="I169" s="36">
        <f t="shared" si="0"/>
      </c>
      <c r="J169" s="37">
        <f t="shared" si="1"/>
      </c>
      <c r="K169" s="31"/>
      <c r="L169" s="28"/>
      <c r="M169" s="30"/>
      <c r="N169" s="32">
        <f t="shared" si="2"/>
      </c>
    </row>
    <row r="170" spans="1:14" x14ac:dyDescent="0.25">
      <c r="A170" s="29"/>
      <c r="B170" s="31"/>
      <c r="C170" s="31"/>
      <c r="D170" s="31"/>
      <c r="E170" s="31"/>
      <c r="F170" s="29"/>
      <c r="G170" s="29"/>
      <c r="H170" s="29"/>
      <c r="I170" s="36">
        <f t="shared" si="0"/>
      </c>
      <c r="J170" s="37">
        <f t="shared" si="1"/>
      </c>
      <c r="K170" s="31"/>
      <c r="L170" s="28"/>
      <c r="M170" s="30"/>
      <c r="N170" s="32">
        <f t="shared" si="2"/>
      </c>
    </row>
    <row r="171" spans="1:14" x14ac:dyDescent="0.25">
      <c r="A171" s="29"/>
      <c r="B171" s="31"/>
      <c r="C171" s="31"/>
      <c r="D171" s="31"/>
      <c r="E171" s="31"/>
      <c r="F171" s="29"/>
      <c r="G171" s="29"/>
      <c r="H171" s="29"/>
      <c r="I171" s="36">
        <f t="shared" si="0"/>
      </c>
      <c r="J171" s="37">
        <f t="shared" si="1"/>
      </c>
      <c r="K171" s="31"/>
      <c r="L171" s="28"/>
      <c r="M171" s="30"/>
      <c r="N171" s="32">
        <f t="shared" si="2"/>
      </c>
    </row>
    <row r="172" spans="1:14" x14ac:dyDescent="0.25">
      <c r="A172" s="29"/>
      <c r="B172" s="31"/>
      <c r="C172" s="31"/>
      <c r="D172" s="31"/>
      <c r="E172" s="31"/>
      <c r="F172" s="29"/>
      <c r="G172" s="29"/>
      <c r="H172" s="29"/>
      <c r="I172" s="36">
        <f t="shared" si="0"/>
      </c>
      <c r="J172" s="37">
        <f t="shared" si="1"/>
      </c>
      <c r="K172" s="31"/>
      <c r="L172" s="28"/>
      <c r="M172" s="30"/>
      <c r="N172" s="32">
        <f t="shared" si="2"/>
      </c>
    </row>
    <row r="173" spans="1:14" x14ac:dyDescent="0.25">
      <c r="A173" s="29"/>
      <c r="B173" s="31"/>
      <c r="C173" s="31"/>
      <c r="D173" s="31"/>
      <c r="E173" s="31"/>
      <c r="F173" s="29"/>
      <c r="G173" s="29"/>
      <c r="H173" s="29"/>
      <c r="I173" s="36">
        <f t="shared" si="0"/>
      </c>
      <c r="J173" s="37">
        <f t="shared" si="1"/>
      </c>
      <c r="K173" s="31"/>
      <c r="L173" s="28"/>
      <c r="M173" s="30"/>
      <c r="N173" s="32">
        <f t="shared" si="2"/>
      </c>
    </row>
    <row r="174" spans="1:14" x14ac:dyDescent="0.25">
      <c r="A174" s="29"/>
      <c r="B174" s="31"/>
      <c r="C174" s="31"/>
      <c r="D174" s="31"/>
      <c r="E174" s="31"/>
      <c r="F174" s="29"/>
      <c r="G174" s="29"/>
      <c r="H174" s="29"/>
      <c r="I174" s="36">
        <f t="shared" si="0"/>
      </c>
      <c r="J174" s="37">
        <f t="shared" si="1"/>
      </c>
      <c r="K174" s="31"/>
      <c r="L174" s="28"/>
      <c r="M174" s="30"/>
      <c r="N174" s="32">
        <f t="shared" si="2"/>
      </c>
    </row>
    <row r="175" spans="1:14" x14ac:dyDescent="0.25">
      <c r="A175" s="29"/>
      <c r="B175" s="31"/>
      <c r="C175" s="31"/>
      <c r="D175" s="31"/>
      <c r="E175" s="31"/>
      <c r="F175" s="29"/>
      <c r="G175" s="29"/>
      <c r="H175" s="29"/>
      <c r="I175" s="36">
        <f t="shared" si="0"/>
      </c>
      <c r="J175" s="37">
        <f t="shared" si="1"/>
      </c>
      <c r="K175" s="31"/>
      <c r="L175" s="28"/>
      <c r="M175" s="30"/>
      <c r="N175" s="32">
        <f t="shared" si="2"/>
      </c>
    </row>
    <row r="176" spans="1:14" x14ac:dyDescent="0.25">
      <c r="A176" s="29"/>
      <c r="B176" s="31"/>
      <c r="C176" s="31"/>
      <c r="D176" s="31"/>
      <c r="E176" s="31"/>
      <c r="F176" s="29"/>
      <c r="G176" s="29"/>
      <c r="H176" s="29"/>
      <c r="I176" s="36">
        <f t="shared" si="0"/>
      </c>
      <c r="J176" s="37">
        <f t="shared" si="1"/>
      </c>
      <c r="K176" s="31"/>
      <c r="L176" s="28"/>
      <c r="M176" s="30"/>
      <c r="N176" s="32">
        <f t="shared" si="2"/>
      </c>
    </row>
    <row r="177" spans="1:14" x14ac:dyDescent="0.25">
      <c r="A177" s="29"/>
      <c r="B177" s="31"/>
      <c r="C177" s="31"/>
      <c r="D177" s="31"/>
      <c r="E177" s="31"/>
      <c r="F177" s="29"/>
      <c r="G177" s="29"/>
      <c r="H177" s="29"/>
      <c r="I177" s="36">
        <f t="shared" si="0"/>
      </c>
      <c r="J177" s="37">
        <f t="shared" si="1"/>
      </c>
      <c r="K177" s="31"/>
      <c r="L177" s="28"/>
      <c r="M177" s="30"/>
      <c r="N177" s="32">
        <f t="shared" si="2"/>
      </c>
    </row>
    <row r="178" spans="1:14" x14ac:dyDescent="0.25">
      <c r="A178" s="29"/>
      <c r="B178" s="31"/>
      <c r="C178" s="31"/>
      <c r="D178" s="31"/>
      <c r="E178" s="31"/>
      <c r="F178" s="29"/>
      <c r="G178" s="29"/>
      <c r="H178" s="29"/>
      <c r="I178" s="36">
        <f t="shared" si="0"/>
      </c>
      <c r="J178" s="37">
        <f t="shared" si="1"/>
      </c>
      <c r="K178" s="31"/>
      <c r="L178" s="28"/>
      <c r="M178" s="30"/>
      <c r="N178" s="32">
        <f t="shared" si="2"/>
      </c>
    </row>
    <row r="179" spans="1:14" x14ac:dyDescent="0.25">
      <c r="A179" s="29"/>
      <c r="B179" s="31"/>
      <c r="C179" s="31"/>
      <c r="D179" s="31"/>
      <c r="E179" s="31"/>
      <c r="F179" s="29"/>
      <c r="G179" s="29"/>
      <c r="H179" s="29"/>
      <c r="I179" s="36">
        <f t="shared" si="0"/>
      </c>
      <c r="J179" s="37">
        <f t="shared" si="1"/>
      </c>
      <c r="K179" s="31"/>
      <c r="L179" s="28"/>
      <c r="M179" s="30"/>
      <c r="N179" s="32">
        <f t="shared" si="2"/>
      </c>
    </row>
    <row r="180" spans="1:14" x14ac:dyDescent="0.25">
      <c r="A180" s="29"/>
      <c r="B180" s="31"/>
      <c r="C180" s="31"/>
      <c r="D180" s="31"/>
      <c r="E180" s="31"/>
      <c r="F180" s="29"/>
      <c r="G180" s="29"/>
      <c r="H180" s="29"/>
      <c r="I180" s="36">
        <f t="shared" si="0"/>
      </c>
      <c r="J180" s="37">
        <f t="shared" si="1"/>
      </c>
      <c r="K180" s="31"/>
      <c r="L180" s="28"/>
      <c r="M180" s="30"/>
      <c r="N180" s="32">
        <f t="shared" si="2"/>
      </c>
    </row>
    <row r="181" spans="1:14" x14ac:dyDescent="0.25">
      <c r="A181" s="29"/>
      <c r="B181" s="31"/>
      <c r="C181" s="31"/>
      <c r="D181" s="31"/>
      <c r="E181" s="31"/>
      <c r="F181" s="29"/>
      <c r="G181" s="29"/>
      <c r="H181" s="29"/>
      <c r="I181" s="36">
        <f t="shared" si="0"/>
      </c>
      <c r="J181" s="37">
        <f t="shared" si="1"/>
      </c>
      <c r="K181" s="31"/>
      <c r="L181" s="28"/>
      <c r="M181" s="30"/>
      <c r="N181" s="32">
        <f t="shared" si="2"/>
      </c>
    </row>
    <row r="182" spans="1:14" x14ac:dyDescent="0.25">
      <c r="A182" s="29"/>
      <c r="B182" s="31"/>
      <c r="C182" s="31"/>
      <c r="D182" s="31"/>
      <c r="E182" s="31"/>
      <c r="F182" s="29"/>
      <c r="G182" s="29"/>
      <c r="H182" s="29"/>
      <c r="I182" s="36">
        <f t="shared" si="0"/>
      </c>
      <c r="J182" s="37">
        <f t="shared" si="1"/>
      </c>
      <c r="K182" s="31"/>
      <c r="L182" s="28"/>
      <c r="M182" s="30"/>
      <c r="N182" s="32">
        <f t="shared" si="2"/>
      </c>
    </row>
    <row r="183" spans="1:14" x14ac:dyDescent="0.25">
      <c r="A183" s="29"/>
      <c r="B183" s="31"/>
      <c r="C183" s="31"/>
      <c r="D183" s="31"/>
      <c r="E183" s="31"/>
      <c r="F183" s="29"/>
      <c r="G183" s="29"/>
      <c r="H183" s="29"/>
      <c r="I183" s="36">
        <f t="shared" si="0"/>
      </c>
      <c r="J183" s="37">
        <f t="shared" si="1"/>
      </c>
      <c r="K183" s="31"/>
      <c r="L183" s="28"/>
      <c r="M183" s="30"/>
      <c r="N183" s="32">
        <f t="shared" si="2"/>
      </c>
    </row>
    <row r="184" spans="1:14" x14ac:dyDescent="0.25">
      <c r="A184" s="29"/>
      <c r="B184" s="31"/>
      <c r="C184" s="31"/>
      <c r="D184" s="31"/>
      <c r="E184" s="31"/>
      <c r="F184" s="29"/>
      <c r="G184" s="29"/>
      <c r="H184" s="29"/>
      <c r="I184" s="36">
        <f t="shared" si="0"/>
      </c>
      <c r="J184" s="37">
        <f t="shared" si="1"/>
      </c>
      <c r="K184" s="31"/>
      <c r="L184" s="28"/>
      <c r="M184" s="30"/>
      <c r="N184" s="32">
        <f t="shared" si="2"/>
      </c>
    </row>
    <row r="185" spans="1:14" x14ac:dyDescent="0.25">
      <c r="A185" s="29"/>
      <c r="B185" s="31"/>
      <c r="C185" s="31"/>
      <c r="D185" s="31"/>
      <c r="E185" s="31"/>
      <c r="F185" s="29"/>
      <c r="G185" s="29"/>
      <c r="H185" s="29"/>
      <c r="I185" s="36">
        <f t="shared" si="0"/>
      </c>
      <c r="J185" s="37">
        <f t="shared" si="1"/>
      </c>
      <c r="K185" s="31"/>
      <c r="L185" s="28"/>
      <c r="M185" s="30"/>
      <c r="N185" s="32">
        <f t="shared" si="2"/>
      </c>
    </row>
    <row r="186" spans="1:14" x14ac:dyDescent="0.25">
      <c r="A186" s="29"/>
      <c r="B186" s="31"/>
      <c r="C186" s="31"/>
      <c r="D186" s="31"/>
      <c r="E186" s="31"/>
      <c r="F186" s="29"/>
      <c r="G186" s="29"/>
      <c r="H186" s="29"/>
      <c r="I186" s="36">
        <f t="shared" si="0"/>
      </c>
      <c r="J186" s="37">
        <f t="shared" si="1"/>
      </c>
      <c r="K186" s="31"/>
      <c r="L186" s="28"/>
      <c r="M186" s="30"/>
      <c r="N186" s="32">
        <f t="shared" si="2"/>
      </c>
    </row>
    <row r="187" spans="1:14" x14ac:dyDescent="0.25">
      <c r="A187" s="29"/>
      <c r="B187" s="31"/>
      <c r="C187" s="31"/>
      <c r="D187" s="31"/>
      <c r="E187" s="31"/>
      <c r="F187" s="29"/>
      <c r="G187" s="29"/>
      <c r="H187" s="29"/>
      <c r="I187" s="36">
        <f t="shared" si="0"/>
      </c>
      <c r="J187" s="37">
        <f t="shared" si="1"/>
      </c>
      <c r="K187" s="31"/>
      <c r="L187" s="28"/>
      <c r="M187" s="30"/>
      <c r="N187" s="32">
        <f t="shared" si="2"/>
      </c>
    </row>
    <row r="188" spans="1:14" x14ac:dyDescent="0.25">
      <c r="A188" s="29"/>
      <c r="B188" s="31"/>
      <c r="C188" s="31"/>
      <c r="D188" s="31"/>
      <c r="E188" s="31"/>
      <c r="F188" s="29"/>
      <c r="G188" s="29"/>
      <c r="H188" s="29"/>
      <c r="I188" s="36">
        <f t="shared" si="0"/>
      </c>
      <c r="J188" s="37">
        <f t="shared" si="1"/>
      </c>
      <c r="K188" s="31"/>
      <c r="L188" s="28"/>
      <c r="M188" s="30"/>
      <c r="N188" s="32">
        <f t="shared" si="2"/>
      </c>
    </row>
    <row r="189" spans="1:14" x14ac:dyDescent="0.25">
      <c r="A189" s="29"/>
      <c r="B189" s="31"/>
      <c r="C189" s="31"/>
      <c r="D189" s="31"/>
      <c r="E189" s="31"/>
      <c r="F189" s="29"/>
      <c r="G189" s="29"/>
      <c r="H189" s="29"/>
      <c r="I189" s="36">
        <f t="shared" si="0"/>
      </c>
      <c r="J189" s="37">
        <f t="shared" si="1"/>
      </c>
      <c r="K189" s="31"/>
      <c r="L189" s="28"/>
      <c r="M189" s="30"/>
      <c r="N189" s="32">
        <f t="shared" si="2"/>
      </c>
    </row>
    <row r="190" spans="1:14" x14ac:dyDescent="0.25">
      <c r="A190" s="29"/>
      <c r="B190" s="31"/>
      <c r="C190" s="31"/>
      <c r="D190" s="31"/>
      <c r="E190" s="31"/>
      <c r="F190" s="29"/>
      <c r="G190" s="29"/>
      <c r="H190" s="29"/>
      <c r="I190" s="36">
        <f t="shared" si="0"/>
      </c>
      <c r="J190" s="37">
        <f t="shared" si="1"/>
      </c>
      <c r="K190" s="31"/>
      <c r="L190" s="28"/>
      <c r="M190" s="30"/>
      <c r="N190" s="32">
        <f t="shared" si="2"/>
      </c>
    </row>
    <row r="191" spans="1:14" x14ac:dyDescent="0.25">
      <c r="A191" s="29"/>
      <c r="B191" s="31"/>
      <c r="C191" s="31"/>
      <c r="D191" s="31"/>
      <c r="E191" s="31"/>
      <c r="F191" s="29"/>
      <c r="G191" s="29"/>
      <c r="H191" s="29"/>
      <c r="I191" s="36">
        <f t="shared" si="0"/>
      </c>
      <c r="J191" s="37">
        <f t="shared" si="1"/>
      </c>
      <c r="K191" s="31"/>
      <c r="L191" s="28"/>
      <c r="M191" s="30"/>
      <c r="N191" s="32">
        <f t="shared" si="2"/>
      </c>
    </row>
    <row r="192" spans="1:14" x14ac:dyDescent="0.25">
      <c r="A192" s="29"/>
      <c r="B192" s="31"/>
      <c r="C192" s="31"/>
      <c r="D192" s="31"/>
      <c r="E192" s="31"/>
      <c r="F192" s="29"/>
      <c r="G192" s="29"/>
      <c r="H192" s="29"/>
      <c r="I192" s="36">
        <f t="shared" si="0"/>
      </c>
      <c r="J192" s="37">
        <f t="shared" si="1"/>
      </c>
      <c r="K192" s="31"/>
      <c r="L192" s="28"/>
      <c r="M192" s="30"/>
      <c r="N192" s="32">
        <f t="shared" si="2"/>
      </c>
    </row>
    <row r="193" spans="1:14" x14ac:dyDescent="0.25">
      <c r="A193" s="29"/>
      <c r="B193" s="31"/>
      <c r="C193" s="31"/>
      <c r="D193" s="31"/>
      <c r="E193" s="31"/>
      <c r="F193" s="29"/>
      <c r="G193" s="29"/>
      <c r="H193" s="29"/>
      <c r="I193" s="36">
        <f t="shared" si="0"/>
      </c>
      <c r="J193" s="37">
        <f t="shared" si="1"/>
      </c>
      <c r="K193" s="31"/>
      <c r="L193" s="28"/>
      <c r="M193" s="30"/>
      <c r="N193" s="32">
        <f t="shared" si="2"/>
      </c>
    </row>
    <row r="194" spans="1:14" x14ac:dyDescent="0.25">
      <c r="A194" s="29"/>
      <c r="B194" s="31"/>
      <c r="C194" s="31"/>
      <c r="D194" s="31"/>
      <c r="E194" s="31"/>
      <c r="F194" s="29"/>
      <c r="G194" s="29"/>
      <c r="H194" s="29"/>
      <c r="I194" s="36">
        <f t="shared" si="0"/>
      </c>
      <c r="J194" s="37">
        <f t="shared" si="1"/>
      </c>
      <c r="K194" s="31"/>
      <c r="L194" s="28"/>
      <c r="M194" s="30"/>
      <c r="N194" s="32">
        <f t="shared" si="2"/>
      </c>
    </row>
    <row r="195" spans="1:14" x14ac:dyDescent="0.25">
      <c r="A195" s="29"/>
      <c r="B195" s="31"/>
      <c r="C195" s="31"/>
      <c r="D195" s="31"/>
      <c r="E195" s="31"/>
      <c r="F195" s="29"/>
      <c r="G195" s="29"/>
      <c r="H195" s="29"/>
      <c r="I195" s="36">
        <f t="shared" si="0"/>
      </c>
      <c r="J195" s="37">
        <f t="shared" si="1"/>
      </c>
      <c r="K195" s="31"/>
      <c r="L195" s="28"/>
      <c r="M195" s="30"/>
      <c r="N195" s="32">
        <f t="shared" si="2"/>
      </c>
    </row>
    <row r="196" spans="1:14" x14ac:dyDescent="0.25">
      <c r="A196" s="29"/>
      <c r="B196" s="31"/>
      <c r="C196" s="31"/>
      <c r="D196" s="31"/>
      <c r="E196" s="31"/>
      <c r="F196" s="29"/>
      <c r="G196" s="29"/>
      <c r="H196" s="29"/>
      <c r="I196" s="36">
        <f t="shared" si="0"/>
      </c>
      <c r="J196" s="37">
        <f t="shared" si="1"/>
      </c>
      <c r="K196" s="31"/>
      <c r="L196" s="28"/>
      <c r="M196" s="30"/>
      <c r="N196" s="32">
        <f t="shared" si="2"/>
      </c>
    </row>
    <row r="197" spans="1:14" x14ac:dyDescent="0.25">
      <c r="A197" s="29"/>
      <c r="B197" s="31"/>
      <c r="C197" s="31"/>
      <c r="D197" s="31"/>
      <c r="E197" s="31"/>
      <c r="F197" s="29"/>
      <c r="G197" s="29"/>
      <c r="H197" s="29"/>
      <c r="I197" s="36">
        <f t="shared" si="0"/>
      </c>
      <c r="J197" s="37">
        <f t="shared" si="1"/>
      </c>
      <c r="K197" s="31"/>
      <c r="L197" s="28"/>
      <c r="M197" s="30"/>
      <c r="N197" s="32">
        <f t="shared" si="2"/>
      </c>
    </row>
    <row r="198" spans="1:14" x14ac:dyDescent="0.25">
      <c r="A198" s="29"/>
      <c r="B198" s="31"/>
      <c r="C198" s="31"/>
      <c r="D198" s="31"/>
      <c r="E198" s="31"/>
      <c r="F198" s="29"/>
      <c r="G198" s="29"/>
      <c r="H198" s="29"/>
      <c r="I198" s="36">
        <f t="shared" si="0"/>
      </c>
      <c r="J198" s="37">
        <f t="shared" si="1"/>
      </c>
      <c r="K198" s="31"/>
      <c r="L198" s="28"/>
      <c r="M198" s="30"/>
      <c r="N198" s="32">
        <f t="shared" si="2"/>
      </c>
    </row>
    <row r="199" spans="1:14" x14ac:dyDescent="0.25">
      <c r="A199" s="29"/>
      <c r="B199" s="31"/>
      <c r="C199" s="31"/>
      <c r="D199" s="31"/>
      <c r="E199" s="31"/>
      <c r="F199" s="29"/>
      <c r="G199" s="29"/>
      <c r="H199" s="29"/>
      <c r="I199" s="36">
        <f t="shared" si="0"/>
      </c>
      <c r="J199" s="37">
        <f t="shared" si="1"/>
      </c>
      <c r="K199" s="31"/>
      <c r="L199" s="28"/>
      <c r="M199" s="30"/>
      <c r="N199" s="32">
        <f t="shared" si="2"/>
      </c>
    </row>
    <row r="200" spans="1:14" x14ac:dyDescent="0.25">
      <c r="A200" s="29"/>
      <c r="B200" s="31"/>
      <c r="C200" s="31"/>
      <c r="D200" s="31"/>
      <c r="E200" s="31"/>
      <c r="F200" s="29"/>
      <c r="G200" s="29"/>
      <c r="H200" s="29"/>
      <c r="I200" s="36">
        <f t="shared" si="0"/>
      </c>
      <c r="J200" s="37">
        <f t="shared" si="1"/>
      </c>
      <c r="K200" s="31"/>
      <c r="L200" s="28"/>
      <c r="M200" s="30"/>
      <c r="N200" s="32">
        <f t="shared" si="2"/>
      </c>
    </row>
    <row r="201" spans="1:14" x14ac:dyDescent="0.25">
      <c r="A201" s="29"/>
      <c r="B201" s="31"/>
      <c r="C201" s="31"/>
      <c r="D201" s="31"/>
      <c r="E201" s="31"/>
      <c r="F201" s="29"/>
      <c r="G201" s="29"/>
      <c r="H201" s="29"/>
      <c r="I201" s="36">
        <f t="shared" si="0"/>
      </c>
      <c r="J201" s="37">
        <f t="shared" si="1"/>
      </c>
      <c r="K201" s="31"/>
      <c r="L201" s="28"/>
      <c r="M201" s="30"/>
      <c r="N201" s="32">
        <f t="shared" si="2"/>
      </c>
    </row>
    <row r="202" spans="1:14" x14ac:dyDescent="0.25">
      <c r="A202" s="29"/>
      <c r="B202" s="31"/>
      <c r="C202" s="31"/>
      <c r="D202" s="31"/>
      <c r="E202" s="31"/>
      <c r="F202" s="29"/>
      <c r="G202" s="29"/>
      <c r="H202" s="29"/>
      <c r="I202" s="36">
        <f t="shared" si="0"/>
      </c>
      <c r="J202" s="37">
        <f t="shared" si="1"/>
      </c>
      <c r="K202" s="31"/>
      <c r="L202" s="28"/>
      <c r="M202" s="30"/>
      <c r="N202" s="32">
        <f t="shared" si="2"/>
      </c>
    </row>
    <row r="203" spans="1:14" x14ac:dyDescent="0.25">
      <c r="A203" s="29"/>
      <c r="B203" s="31"/>
      <c r="C203" s="31"/>
      <c r="D203" s="31"/>
      <c r="E203" s="31"/>
      <c r="F203" s="29"/>
      <c r="G203" s="29"/>
      <c r="H203" s="29"/>
      <c r="I203" s="36">
        <f t="shared" si="0"/>
      </c>
      <c r="J203" s="37">
        <f t="shared" si="1"/>
      </c>
      <c r="K203" s="31"/>
      <c r="L203" s="28"/>
      <c r="M203" s="30"/>
      <c r="N203" s="32">
        <f t="shared" si="2"/>
      </c>
    </row>
    <row r="204" spans="1:14" x14ac:dyDescent="0.25">
      <c r="A204" s="29"/>
      <c r="B204" s="31"/>
      <c r="C204" s="31"/>
      <c r="D204" s="31"/>
      <c r="E204" s="31"/>
      <c r="F204" s="29"/>
      <c r="G204" s="29"/>
      <c r="H204" s="29"/>
      <c r="I204" s="36">
        <f t="shared" si="0"/>
      </c>
      <c r="J204" s="37">
        <f t="shared" si="1"/>
      </c>
      <c r="K204" s="31"/>
      <c r="L204" s="28"/>
      <c r="M204" s="30"/>
      <c r="N204" s="32">
        <f t="shared" si="2"/>
      </c>
    </row>
    <row r="205" spans="1:14" x14ac:dyDescent="0.25">
      <c r="A205" s="29"/>
      <c r="B205" s="31"/>
      <c r="C205" s="31"/>
      <c r="D205" s="31"/>
      <c r="E205" s="31"/>
      <c r="F205" s="29"/>
      <c r="G205" s="29"/>
      <c r="H205" s="29"/>
      <c r="I205" s="36">
        <f t="shared" si="0"/>
      </c>
      <c r="J205" s="37">
        <f t="shared" si="1"/>
      </c>
      <c r="K205" s="31"/>
      <c r="L205" s="28"/>
      <c r="M205" s="30"/>
      <c r="N205" s="32">
        <f t="shared" si="2"/>
      </c>
    </row>
    <row r="206" spans="1:14" x14ac:dyDescent="0.25">
      <c r="A206" s="29"/>
      <c r="B206" s="31"/>
      <c r="C206" s="31"/>
      <c r="D206" s="31"/>
      <c r="E206" s="31"/>
      <c r="F206" s="29"/>
      <c r="G206" s="29"/>
      <c r="H206" s="29"/>
      <c r="I206" s="36">
        <f t="shared" si="0"/>
      </c>
      <c r="J206" s="37">
        <f t="shared" si="1"/>
      </c>
      <c r="K206" s="31"/>
      <c r="L206" s="28"/>
      <c r="M206" s="30"/>
      <c r="N206" s="32">
        <f t="shared" si="2"/>
      </c>
    </row>
    <row r="207" spans="1:14" x14ac:dyDescent="0.25">
      <c r="A207" s="29"/>
      <c r="B207" s="31"/>
      <c r="C207" s="31"/>
      <c r="D207" s="31"/>
      <c r="E207" s="31"/>
      <c r="F207" s="29"/>
      <c r="G207" s="29"/>
      <c r="H207" s="29"/>
      <c r="I207" s="36">
        <f t="shared" si="0"/>
      </c>
      <c r="J207" s="37">
        <f t="shared" si="1"/>
      </c>
      <c r="K207" s="31"/>
      <c r="L207" s="28"/>
      <c r="M207" s="30"/>
      <c r="N207" s="32">
        <f t="shared" si="2"/>
      </c>
    </row>
    <row r="208" spans="1:14" x14ac:dyDescent="0.25">
      <c r="A208" s="29"/>
      <c r="B208" s="31"/>
      <c r="C208" s="31"/>
      <c r="D208" s="31"/>
      <c r="E208" s="31"/>
      <c r="F208" s="29"/>
      <c r="G208" s="29"/>
      <c r="H208" s="29"/>
      <c r="I208" s="36">
        <f t="shared" si="0"/>
      </c>
      <c r="J208" s="37">
        <f t="shared" si="1"/>
      </c>
      <c r="K208" s="31"/>
      <c r="L208" s="28"/>
      <c r="M208" s="30"/>
      <c r="N208" s="32">
        <f t="shared" si="2"/>
      </c>
    </row>
    <row r="209" spans="1:14" x14ac:dyDescent="0.25">
      <c r="A209" s="29"/>
      <c r="B209" s="31"/>
      <c r="C209" s="31"/>
      <c r="D209" s="31"/>
      <c r="E209" s="31"/>
      <c r="F209" s="29"/>
      <c r="G209" s="29"/>
      <c r="H209" s="29"/>
      <c r="I209" s="36">
        <f t="shared" si="0"/>
      </c>
      <c r="J209" s="37">
        <f t="shared" si="1"/>
      </c>
      <c r="K209" s="31"/>
      <c r="L209" s="28"/>
      <c r="M209" s="30"/>
      <c r="N209" s="32">
        <f t="shared" si="2"/>
      </c>
    </row>
    <row r="210" spans="1:14" x14ac:dyDescent="0.25">
      <c r="A210" s="29"/>
      <c r="B210" s="31"/>
      <c r="C210" s="31"/>
      <c r="D210" s="31"/>
      <c r="E210" s="31"/>
      <c r="F210" s="29"/>
      <c r="G210" s="29"/>
      <c r="H210" s="29"/>
      <c r="I210" s="36">
        <f t="shared" si="0"/>
      </c>
      <c r="J210" s="37">
        <f t="shared" si="1"/>
      </c>
      <c r="K210" s="31"/>
      <c r="L210" s="28"/>
      <c r="M210" s="30"/>
      <c r="N210" s="32">
        <f t="shared" si="2"/>
      </c>
    </row>
    <row r="211" spans="1:14" x14ac:dyDescent="0.25">
      <c r="A211" s="29"/>
      <c r="B211" s="31"/>
      <c r="C211" s="31"/>
      <c r="D211" s="31"/>
      <c r="E211" s="31"/>
      <c r="F211" s="29"/>
      <c r="G211" s="29"/>
      <c r="H211" s="29"/>
      <c r="I211" s="36">
        <f t="shared" si="0"/>
      </c>
      <c r="J211" s="37">
        <f t="shared" si="1"/>
      </c>
      <c r="K211" s="31"/>
      <c r="L211" s="28"/>
      <c r="M211" s="30"/>
      <c r="N211" s="32">
        <f t="shared" si="2"/>
      </c>
    </row>
    <row r="212" spans="1:14" x14ac:dyDescent="0.25">
      <c r="A212" s="29"/>
      <c r="B212" s="31"/>
      <c r="C212" s="31"/>
      <c r="D212" s="31"/>
      <c r="E212" s="31"/>
      <c r="F212" s="29"/>
      <c r="G212" s="29"/>
      <c r="H212" s="29"/>
      <c r="I212" s="36">
        <f t="shared" si="0"/>
      </c>
      <c r="J212" s="37">
        <f t="shared" si="1"/>
      </c>
      <c r="K212" s="31"/>
      <c r="L212" s="28"/>
      <c r="M212" s="30"/>
      <c r="N212" s="32">
        <f t="shared" si="2"/>
      </c>
    </row>
    <row r="213" spans="1:14" x14ac:dyDescent="0.25">
      <c r="A213" s="29"/>
      <c r="B213" s="31"/>
      <c r="C213" s="31"/>
      <c r="D213" s="31"/>
      <c r="E213" s="31"/>
      <c r="F213" s="29"/>
      <c r="G213" s="29"/>
      <c r="H213" s="29"/>
      <c r="I213" s="36">
        <f t="shared" si="0"/>
      </c>
      <c r="J213" s="37">
        <f t="shared" si="1"/>
      </c>
      <c r="K213" s="31"/>
      <c r="L213" s="28"/>
      <c r="M213" s="30"/>
      <c r="N213" s="32">
        <f t="shared" si="2"/>
      </c>
    </row>
    <row r="214" spans="1:14" x14ac:dyDescent="0.25">
      <c r="A214" s="29"/>
      <c r="B214" s="31"/>
      <c r="C214" s="31"/>
      <c r="D214" s="31"/>
      <c r="E214" s="31"/>
      <c r="F214" s="29"/>
      <c r="G214" s="29"/>
      <c r="H214" s="29"/>
      <c r="I214" s="36">
        <f t="shared" si="0"/>
      </c>
      <c r="J214" s="37">
        <f t="shared" si="1"/>
      </c>
      <c r="K214" s="31"/>
      <c r="L214" s="28"/>
      <c r="M214" s="30"/>
      <c r="N214" s="32">
        <f t="shared" si="2"/>
      </c>
    </row>
    <row r="215" spans="1:14" x14ac:dyDescent="0.25">
      <c r="A215" s="29"/>
      <c r="B215" s="31"/>
      <c r="C215" s="31"/>
      <c r="D215" s="31"/>
      <c r="E215" s="31"/>
      <c r="F215" s="29"/>
      <c r="G215" s="29"/>
      <c r="H215" s="29"/>
      <c r="I215" s="36">
        <f t="shared" si="0"/>
      </c>
      <c r="J215" s="37">
        <f t="shared" si="1"/>
      </c>
      <c r="K215" s="31"/>
      <c r="L215" s="28"/>
      <c r="M215" s="30"/>
      <c r="N215" s="32">
        <f t="shared" si="2"/>
      </c>
    </row>
    <row r="216" spans="1:14" x14ac:dyDescent="0.25">
      <c r="A216" s="29"/>
      <c r="B216" s="31"/>
      <c r="C216" s="31"/>
      <c r="D216" s="31"/>
      <c r="E216" s="31"/>
      <c r="F216" s="29"/>
      <c r="G216" s="29"/>
      <c r="H216" s="29"/>
      <c r="I216" s="36">
        <f t="shared" si="0"/>
      </c>
      <c r="J216" s="37">
        <f t="shared" si="1"/>
      </c>
      <c r="K216" s="31"/>
      <c r="L216" s="28"/>
      <c r="M216" s="30"/>
      <c r="N216" s="32">
        <f t="shared" si="2"/>
      </c>
    </row>
    <row r="217" spans="1:14" x14ac:dyDescent="0.25">
      <c r="A217" s="29"/>
      <c r="B217" s="31"/>
      <c r="C217" s="31"/>
      <c r="D217" s="31"/>
      <c r="E217" s="31"/>
      <c r="F217" s="29"/>
      <c r="G217" s="29"/>
      <c r="H217" s="29"/>
      <c r="I217" s="36">
        <f t="shared" si="0"/>
      </c>
      <c r="J217" s="37">
        <f t="shared" si="1"/>
      </c>
      <c r="K217" s="31"/>
      <c r="L217" s="28"/>
      <c r="M217" s="30"/>
      <c r="N217" s="32">
        <f t="shared" si="2"/>
      </c>
    </row>
    <row r="218" spans="1:14" x14ac:dyDescent="0.25">
      <c r="A218" s="29"/>
      <c r="B218" s="31"/>
      <c r="C218" s="31"/>
      <c r="D218" s="31"/>
      <c r="E218" s="31"/>
      <c r="F218" s="29"/>
      <c r="G218" s="29"/>
      <c r="H218" s="29"/>
      <c r="I218" s="36">
        <f t="shared" si="0"/>
      </c>
      <c r="J218" s="37">
        <f t="shared" si="1"/>
      </c>
      <c r="K218" s="31"/>
      <c r="L218" s="28"/>
      <c r="M218" s="30"/>
      <c r="N218" s="32">
        <f t="shared" si="2"/>
      </c>
    </row>
    <row r="219" spans="1:14" x14ac:dyDescent="0.25">
      <c r="A219" s="29"/>
      <c r="B219" s="31"/>
      <c r="C219" s="31"/>
      <c r="D219" s="31"/>
      <c r="E219" s="31"/>
      <c r="F219" s="29"/>
      <c r="G219" s="29"/>
      <c r="H219" s="29"/>
      <c r="I219" s="36">
        <f t="shared" si="0"/>
      </c>
      <c r="J219" s="37">
        <f t="shared" si="1"/>
      </c>
      <c r="K219" s="31"/>
      <c r="L219" s="28"/>
      <c r="M219" s="30"/>
      <c r="N219" s="32">
        <f t="shared" si="2"/>
      </c>
    </row>
    <row r="220" spans="1:14" x14ac:dyDescent="0.25">
      <c r="A220" s="29"/>
      <c r="B220" s="31"/>
      <c r="C220" s="31"/>
      <c r="D220" s="31"/>
      <c r="E220" s="31"/>
      <c r="F220" s="29"/>
      <c r="G220" s="29"/>
      <c r="H220" s="29"/>
      <c r="I220" s="36">
        <f t="shared" si="0"/>
      </c>
      <c r="J220" s="37">
        <f t="shared" si="1"/>
      </c>
      <c r="K220" s="31"/>
      <c r="L220" s="28"/>
      <c r="M220" s="30"/>
      <c r="N220" s="32">
        <f t="shared" si="2"/>
      </c>
    </row>
    <row r="221" spans="1:14" x14ac:dyDescent="0.25">
      <c r="A221" s="29"/>
      <c r="B221" s="31"/>
      <c r="C221" s="31"/>
      <c r="D221" s="31"/>
      <c r="E221" s="31"/>
      <c r="F221" s="29"/>
      <c r="G221" s="29"/>
      <c r="H221" s="29"/>
      <c r="I221" s="36">
        <f t="shared" si="0"/>
      </c>
      <c r="J221" s="37">
        <f t="shared" si="1"/>
      </c>
      <c r="K221" s="31"/>
      <c r="L221" s="28"/>
      <c r="M221" s="30"/>
      <c r="N221" s="32">
        <f t="shared" si="2"/>
      </c>
    </row>
    <row r="222" spans="1:14" x14ac:dyDescent="0.25">
      <c r="A222" s="29"/>
      <c r="B222" s="31"/>
      <c r="C222" s="31"/>
      <c r="D222" s="31"/>
      <c r="E222" s="31"/>
      <c r="F222" s="29"/>
      <c r="G222" s="29"/>
      <c r="H222" s="29"/>
      <c r="I222" s="36">
        <f t="shared" si="0"/>
      </c>
      <c r="J222" s="37">
        <f t="shared" si="1"/>
      </c>
      <c r="K222" s="31"/>
      <c r="L222" s="28"/>
      <c r="M222" s="30"/>
      <c r="N222" s="32">
        <f t="shared" si="2"/>
      </c>
    </row>
    <row r="223" spans="1:14" x14ac:dyDescent="0.25">
      <c r="A223" s="29"/>
      <c r="B223" s="31"/>
      <c r="C223" s="31"/>
      <c r="D223" s="31"/>
      <c r="E223" s="31"/>
      <c r="F223" s="29"/>
      <c r="G223" s="29"/>
      <c r="H223" s="29"/>
      <c r="I223" s="36">
        <f t="shared" si="0"/>
      </c>
      <c r="J223" s="37">
        <f t="shared" si="1"/>
      </c>
      <c r="K223" s="31"/>
      <c r="L223" s="28"/>
      <c r="M223" s="30"/>
      <c r="N223" s="32">
        <f t="shared" si="2"/>
      </c>
    </row>
    <row r="224" spans="1:14" x14ac:dyDescent="0.25">
      <c r="A224" s="29"/>
      <c r="B224" s="31"/>
      <c r="C224" s="31"/>
      <c r="D224" s="31"/>
      <c r="E224" s="31"/>
      <c r="F224" s="29"/>
      <c r="G224" s="29"/>
      <c r="H224" s="29"/>
      <c r="I224" s="36">
        <f t="shared" si="0"/>
      </c>
      <c r="J224" s="37">
        <f t="shared" si="1"/>
      </c>
      <c r="K224" s="31"/>
      <c r="L224" s="28"/>
      <c r="M224" s="30"/>
      <c r="N224" s="32">
        <f t="shared" si="2"/>
      </c>
    </row>
    <row r="225" spans="1:14" x14ac:dyDescent="0.25">
      <c r="A225" s="29"/>
      <c r="B225" s="31"/>
      <c r="C225" s="31"/>
      <c r="D225" s="31"/>
      <c r="E225" s="31"/>
      <c r="F225" s="29"/>
      <c r="G225" s="29"/>
      <c r="H225" s="29"/>
      <c r="I225" s="36">
        <f t="shared" si="0"/>
      </c>
      <c r="J225" s="37">
        <f t="shared" si="1"/>
      </c>
      <c r="K225" s="31"/>
      <c r="L225" s="28"/>
      <c r="M225" s="30"/>
      <c r="N225" s="32">
        <f t="shared" si="2"/>
      </c>
    </row>
    <row r="226" spans="1:14" x14ac:dyDescent="0.25">
      <c r="A226" s="29"/>
      <c r="B226" s="31"/>
      <c r="C226" s="31"/>
      <c r="D226" s="31"/>
      <c r="E226" s="31"/>
      <c r="F226" s="29"/>
      <c r="G226" s="29"/>
      <c r="H226" s="29"/>
      <c r="I226" s="36">
        <f t="shared" si="0"/>
      </c>
      <c r="J226" s="37">
        <f t="shared" si="1"/>
      </c>
      <c r="K226" s="31"/>
      <c r="L226" s="28"/>
      <c r="M226" s="30"/>
      <c r="N226" s="32">
        <f t="shared" si="2"/>
      </c>
    </row>
    <row r="227" spans="1:14" x14ac:dyDescent="0.25">
      <c r="A227" s="29"/>
      <c r="B227" s="31"/>
      <c r="C227" s="31"/>
      <c r="D227" s="31"/>
      <c r="E227" s="31"/>
      <c r="F227" s="29"/>
      <c r="G227" s="29"/>
      <c r="H227" s="29"/>
      <c r="I227" s="36">
        <f t="shared" si="0"/>
      </c>
      <c r="J227" s="37">
        <f t="shared" si="1"/>
      </c>
      <c r="K227" s="31"/>
      <c r="L227" s="28"/>
      <c r="M227" s="30"/>
      <c r="N227" s="32">
        <f t="shared" si="2"/>
      </c>
    </row>
    <row r="228" spans="1:14" x14ac:dyDescent="0.25">
      <c r="A228" s="29"/>
      <c r="B228" s="31"/>
      <c r="C228" s="31"/>
      <c r="D228" s="31"/>
      <c r="E228" s="31"/>
      <c r="F228" s="29"/>
      <c r="G228" s="29"/>
      <c r="H228" s="29"/>
      <c r="I228" s="36">
        <f t="shared" si="0"/>
      </c>
      <c r="J228" s="37">
        <f t="shared" si="1"/>
      </c>
      <c r="K228" s="31"/>
      <c r="L228" s="28"/>
      <c r="M228" s="30"/>
      <c r="N228" s="32">
        <f t="shared" si="2"/>
      </c>
    </row>
    <row r="229" spans="1:14" x14ac:dyDescent="0.25">
      <c r="A229" s="29"/>
      <c r="B229" s="31"/>
      <c r="C229" s="31"/>
      <c r="D229" s="31"/>
      <c r="E229" s="31"/>
      <c r="F229" s="29"/>
      <c r="G229" s="29"/>
      <c r="H229" s="29"/>
      <c r="I229" s="36">
        <f t="shared" si="0"/>
      </c>
      <c r="J229" s="37">
        <f t="shared" si="1"/>
      </c>
      <c r="K229" s="31"/>
      <c r="L229" s="28"/>
      <c r="M229" s="30"/>
      <c r="N229" s="32">
        <f t="shared" si="2"/>
      </c>
    </row>
    <row r="230" spans="1:14" x14ac:dyDescent="0.25">
      <c r="A230" s="29"/>
      <c r="B230" s="31"/>
      <c r="C230" s="31"/>
      <c r="D230" s="31"/>
      <c r="E230" s="31"/>
      <c r="F230" s="29"/>
      <c r="G230" s="29"/>
      <c r="H230" s="29"/>
      <c r="I230" s="36">
        <f t="shared" si="0"/>
      </c>
      <c r="J230" s="37">
        <f t="shared" si="1"/>
      </c>
      <c r="K230" s="31"/>
      <c r="L230" s="28"/>
      <c r="M230" s="30"/>
      <c r="N230" s="32">
        <f t="shared" si="2"/>
      </c>
    </row>
    <row r="231" spans="1:14" x14ac:dyDescent="0.25">
      <c r="A231" s="29"/>
      <c r="B231" s="31"/>
      <c r="C231" s="31"/>
      <c r="D231" s="31"/>
      <c r="E231" s="31"/>
      <c r="F231" s="29"/>
      <c r="G231" s="29"/>
      <c r="H231" s="29"/>
      <c r="I231" s="36">
        <f t="shared" si="0"/>
      </c>
      <c r="J231" s="37">
        <f t="shared" si="1"/>
      </c>
      <c r="K231" s="31"/>
      <c r="L231" s="28"/>
      <c r="M231" s="30"/>
      <c r="N231" s="32">
        <f t="shared" si="2"/>
      </c>
    </row>
    <row r="232" spans="1:14" x14ac:dyDescent="0.25">
      <c r="A232" s="29"/>
      <c r="B232" s="31"/>
      <c r="C232" s="31"/>
      <c r="D232" s="31"/>
      <c r="E232" s="31"/>
      <c r="F232" s="29"/>
      <c r="G232" s="29"/>
      <c r="H232" s="29"/>
      <c r="I232" s="36">
        <f t="shared" si="0"/>
      </c>
      <c r="J232" s="37">
        <f t="shared" si="1"/>
      </c>
      <c r="K232" s="31"/>
      <c r="L232" s="28"/>
      <c r="M232" s="30"/>
      <c r="N232" s="32">
        <f t="shared" si="2"/>
      </c>
    </row>
    <row r="233" spans="1:14" x14ac:dyDescent="0.25">
      <c r="A233" s="29"/>
      <c r="B233" s="31"/>
      <c r="C233" s="31"/>
      <c r="D233" s="31"/>
      <c r="E233" s="31"/>
      <c r="F233" s="29"/>
      <c r="G233" s="29"/>
      <c r="H233" s="29"/>
      <c r="I233" s="36">
        <f t="shared" si="0"/>
      </c>
      <c r="J233" s="37">
        <f t="shared" si="1"/>
      </c>
      <c r="K233" s="31"/>
      <c r="L233" s="28"/>
      <c r="M233" s="30"/>
      <c r="N233" s="32">
        <f t="shared" si="2"/>
      </c>
    </row>
    <row r="234" spans="1:14" x14ac:dyDescent="0.25">
      <c r="A234" s="29"/>
      <c r="B234" s="31"/>
      <c r="C234" s="31"/>
      <c r="D234" s="31"/>
      <c r="E234" s="31"/>
      <c r="F234" s="29"/>
      <c r="G234" s="29"/>
      <c r="H234" s="29"/>
      <c r="I234" s="36">
        <f t="shared" si="0"/>
      </c>
      <c r="J234" s="37">
        <f t="shared" si="1"/>
      </c>
      <c r="K234" s="31"/>
      <c r="L234" s="28"/>
      <c r="M234" s="30"/>
      <c r="N234" s="32">
        <f t="shared" si="2"/>
      </c>
    </row>
    <row r="235" spans="1:14" x14ac:dyDescent="0.25">
      <c r="A235" s="29"/>
      <c r="B235" s="31"/>
      <c r="C235" s="31"/>
      <c r="D235" s="31"/>
      <c r="E235" s="31"/>
      <c r="F235" s="29"/>
      <c r="G235" s="29"/>
      <c r="H235" s="29"/>
      <c r="I235" s="36">
        <f t="shared" si="0"/>
      </c>
      <c r="J235" s="37">
        <f t="shared" si="1"/>
      </c>
      <c r="K235" s="31"/>
      <c r="L235" s="28"/>
      <c r="M235" s="30"/>
      <c r="N235" s="32">
        <f t="shared" si="2"/>
      </c>
    </row>
    <row r="236" spans="1:14" x14ac:dyDescent="0.25">
      <c r="A236" s="29"/>
      <c r="B236" s="31"/>
      <c r="C236" s="31"/>
      <c r="D236" s="31"/>
      <c r="E236" s="31"/>
      <c r="F236" s="29"/>
      <c r="G236" s="29"/>
      <c r="H236" s="29"/>
      <c r="I236" s="36">
        <f t="shared" si="0"/>
      </c>
      <c r="J236" s="37">
        <f t="shared" si="1"/>
      </c>
      <c r="K236" s="31"/>
      <c r="L236" s="28"/>
      <c r="M236" s="30"/>
      <c r="N236" s="32">
        <f t="shared" si="2"/>
      </c>
    </row>
    <row r="237" spans="1:14" x14ac:dyDescent="0.25">
      <c r="A237" s="29"/>
      <c r="B237" s="31"/>
      <c r="C237" s="31"/>
      <c r="D237" s="31"/>
      <c r="E237" s="31"/>
      <c r="F237" s="29"/>
      <c r="G237" s="29"/>
      <c r="H237" s="29"/>
      <c r="I237" s="36">
        <f t="shared" si="0"/>
      </c>
      <c r="J237" s="37">
        <f t="shared" si="1"/>
      </c>
      <c r="K237" s="31"/>
      <c r="L237" s="28"/>
      <c r="M237" s="30"/>
      <c r="N237" s="32">
        <f t="shared" si="2"/>
      </c>
    </row>
    <row r="238" spans="1:14" x14ac:dyDescent="0.25">
      <c r="A238" s="29"/>
      <c r="B238" s="31"/>
      <c r="C238" s="31"/>
      <c r="D238" s="31"/>
      <c r="E238" s="31"/>
      <c r="F238" s="29"/>
      <c r="G238" s="29"/>
      <c r="H238" s="29"/>
      <c r="I238" s="36">
        <f t="shared" si="0"/>
      </c>
      <c r="J238" s="37">
        <f t="shared" si="1"/>
      </c>
      <c r="K238" s="31"/>
      <c r="L238" s="28"/>
      <c r="M238" s="30"/>
      <c r="N238" s="32">
        <f t="shared" si="2"/>
      </c>
    </row>
    <row r="239" spans="1:14" x14ac:dyDescent="0.25">
      <c r="A239" s="29"/>
      <c r="B239" s="31"/>
      <c r="C239" s="31"/>
      <c r="D239" s="31"/>
      <c r="E239" s="31"/>
      <c r="F239" s="29"/>
      <c r="G239" s="29"/>
      <c r="H239" s="29"/>
      <c r="I239" s="36">
        <f t="shared" si="0"/>
      </c>
      <c r="J239" s="37">
        <f t="shared" si="1"/>
      </c>
      <c r="K239" s="31"/>
      <c r="L239" s="28"/>
      <c r="M239" s="30"/>
      <c r="N239" s="32">
        <f t="shared" si="2"/>
      </c>
    </row>
    <row r="240" spans="1:14" x14ac:dyDescent="0.25">
      <c r="A240" s="29"/>
      <c r="B240" s="31"/>
      <c r="C240" s="31"/>
      <c r="D240" s="31"/>
      <c r="E240" s="31"/>
      <c r="F240" s="29"/>
      <c r="G240" s="29"/>
      <c r="H240" s="29"/>
      <c r="I240" s="36">
        <f t="shared" si="0"/>
      </c>
      <c r="J240" s="37">
        <f t="shared" si="1"/>
      </c>
      <c r="K240" s="31"/>
      <c r="L240" s="28"/>
      <c r="M240" s="30"/>
      <c r="N240" s="32">
        <f t="shared" si="2"/>
      </c>
    </row>
    <row r="241" spans="1:14" x14ac:dyDescent="0.25">
      <c r="A241" s="29"/>
      <c r="B241" s="31"/>
      <c r="C241" s="31"/>
      <c r="D241" s="31"/>
      <c r="E241" s="31"/>
      <c r="F241" s="29"/>
      <c r="G241" s="29"/>
      <c r="H241" s="29"/>
      <c r="I241" s="36">
        <f t="shared" si="0"/>
      </c>
      <c r="J241" s="37">
        <f t="shared" si="1"/>
      </c>
      <c r="K241" s="31"/>
      <c r="L241" s="28"/>
      <c r="M241" s="30"/>
      <c r="N241" s="32">
        <f t="shared" si="2"/>
      </c>
    </row>
    <row r="242" spans="1:14" x14ac:dyDescent="0.25">
      <c r="A242" s="29"/>
      <c r="B242" s="31"/>
      <c r="C242" s="31"/>
      <c r="D242" s="31"/>
      <c r="E242" s="31"/>
      <c r="F242" s="29"/>
      <c r="G242" s="29"/>
      <c r="H242" s="29"/>
      <c r="I242" s="36">
        <f t="shared" si="0"/>
      </c>
      <c r="J242" s="37">
        <f t="shared" si="1"/>
      </c>
      <c r="K242" s="31"/>
      <c r="L242" s="28"/>
      <c r="M242" s="30"/>
      <c r="N242" s="32">
        <f t="shared" si="2"/>
      </c>
    </row>
    <row r="243" spans="1:14" x14ac:dyDescent="0.25">
      <c r="A243" s="29"/>
      <c r="B243" s="31"/>
      <c r="C243" s="31"/>
      <c r="D243" s="31"/>
      <c r="E243" s="31"/>
      <c r="F243" s="29"/>
      <c r="G243" s="29"/>
      <c r="H243" s="29"/>
      <c r="I243" s="36">
        <f t="shared" si="0"/>
      </c>
      <c r="J243" s="37">
        <f t="shared" si="1"/>
      </c>
      <c r="K243" s="31"/>
      <c r="L243" s="28"/>
      <c r="M243" s="30"/>
      <c r="N243" s="32">
        <f t="shared" si="2"/>
      </c>
    </row>
    <row r="244" spans="1:14" x14ac:dyDescent="0.25">
      <c r="A244" s="29"/>
      <c r="B244" s="31"/>
      <c r="C244" s="31"/>
      <c r="D244" s="31"/>
      <c r="E244" s="31"/>
      <c r="F244" s="29"/>
      <c r="G244" s="29"/>
      <c r="H244" s="29"/>
      <c r="I244" s="36">
        <f t="shared" si="0"/>
      </c>
      <c r="J244" s="37">
        <f t="shared" si="1"/>
      </c>
      <c r="K244" s="31"/>
      <c r="L244" s="28"/>
      <c r="M244" s="30"/>
      <c r="N244" s="32">
        <f t="shared" si="2"/>
      </c>
    </row>
    <row r="245" spans="1:14" x14ac:dyDescent="0.25">
      <c r="A245" s="29"/>
      <c r="B245" s="31"/>
      <c r="C245" s="31"/>
      <c r="D245" s="31"/>
      <c r="E245" s="31"/>
      <c r="F245" s="29"/>
      <c r="G245" s="29"/>
      <c r="H245" s="29"/>
      <c r="I245" s="36">
        <f t="shared" si="0"/>
      </c>
      <c r="J245" s="37">
        <f t="shared" si="1"/>
      </c>
      <c r="K245" s="31"/>
      <c r="L245" s="28"/>
      <c r="M245" s="30"/>
      <c r="N245" s="32">
        <f t="shared" si="2"/>
      </c>
    </row>
    <row r="246" spans="1:14" x14ac:dyDescent="0.25">
      <c r="A246" s="29"/>
      <c r="B246" s="31"/>
      <c r="C246" s="31"/>
      <c r="D246" s="31"/>
      <c r="E246" s="31"/>
      <c r="F246" s="29"/>
      <c r="G246" s="29"/>
      <c r="H246" s="29"/>
      <c r="I246" s="36">
        <f t="shared" si="0"/>
      </c>
      <c r="J246" s="37">
        <f t="shared" si="1"/>
      </c>
      <c r="K246" s="31"/>
      <c r="L246" s="28"/>
      <c r="M246" s="30"/>
      <c r="N246" s="32">
        <f t="shared" si="2"/>
      </c>
    </row>
    <row r="247" spans="1:14" x14ac:dyDescent="0.25">
      <c r="A247" s="29"/>
      <c r="B247" s="31"/>
      <c r="C247" s="31"/>
      <c r="D247" s="31"/>
      <c r="E247" s="31"/>
      <c r="F247" s="29"/>
      <c r="G247" s="29"/>
      <c r="H247" s="29"/>
      <c r="I247" s="36">
        <f t="shared" si="0"/>
      </c>
      <c r="J247" s="37">
        <f t="shared" si="1"/>
      </c>
      <c r="K247" s="31"/>
      <c r="L247" s="28"/>
      <c r="M247" s="30"/>
      <c r="N247" s="32">
        <f t="shared" si="2"/>
      </c>
    </row>
    <row r="248" spans="1:14" x14ac:dyDescent="0.25">
      <c r="A248" s="29"/>
      <c r="B248" s="31"/>
      <c r="C248" s="31"/>
      <c r="D248" s="31"/>
      <c r="E248" s="31"/>
      <c r="F248" s="29"/>
      <c r="G248" s="29"/>
      <c r="H248" s="29"/>
      <c r="I248" s="36">
        <f t="shared" si="0"/>
      </c>
      <c r="J248" s="37">
        <f t="shared" si="1"/>
      </c>
      <c r="K248" s="31"/>
      <c r="L248" s="28"/>
      <c r="M248" s="30"/>
      <c r="N248" s="32">
        <f t="shared" si="2"/>
      </c>
    </row>
    <row r="249" spans="1:14" x14ac:dyDescent="0.25">
      <c r="A249" s="29"/>
      <c r="B249" s="31"/>
      <c r="C249" s="31"/>
      <c r="D249" s="31"/>
      <c r="E249" s="31"/>
      <c r="F249" s="29"/>
      <c r="G249" s="29"/>
      <c r="H249" s="29"/>
      <c r="I249" s="36">
        <f t="shared" si="0"/>
      </c>
      <c r="J249" s="37">
        <f t="shared" si="1"/>
      </c>
      <c r="K249" s="31"/>
      <c r="L249" s="28"/>
      <c r="M249" s="30"/>
      <c r="N249" s="32">
        <f t="shared" si="2"/>
      </c>
    </row>
    <row r="250" spans="1:14" x14ac:dyDescent="0.25">
      <c r="A250" s="29"/>
      <c r="B250" s="31"/>
      <c r="C250" s="31"/>
      <c r="D250" s="31"/>
      <c r="E250" s="31"/>
      <c r="F250" s="29"/>
      <c r="G250" s="29"/>
      <c r="H250" s="29"/>
      <c r="I250" s="36">
        <f t="shared" si="0"/>
      </c>
      <c r="J250" s="37">
        <f t="shared" si="1"/>
      </c>
      <c r="K250" s="31"/>
      <c r="L250" s="28"/>
      <c r="M250" s="30"/>
      <c r="N250" s="32">
        <f t="shared" si="2"/>
      </c>
    </row>
    <row r="251" spans="1:14" x14ac:dyDescent="0.25">
      <c r="A251" s="29"/>
      <c r="B251" s="31"/>
      <c r="C251" s="31"/>
      <c r="D251" s="31"/>
      <c r="E251" s="31"/>
      <c r="F251" s="29"/>
      <c r="G251" s="29"/>
      <c r="H251" s="29"/>
      <c r="I251" s="36">
        <f t="shared" si="0"/>
      </c>
      <c r="J251" s="37">
        <f t="shared" si="1"/>
      </c>
      <c r="K251" s="31"/>
      <c r="L251" s="28"/>
      <c r="M251" s="30"/>
      <c r="N251" s="32">
        <f t="shared" si="2"/>
      </c>
    </row>
    <row r="252" spans="1:14" x14ac:dyDescent="0.25">
      <c r="A252" s="29"/>
      <c r="B252" s="31"/>
      <c r="C252" s="31"/>
      <c r="D252" s="31"/>
      <c r="E252" s="31"/>
      <c r="F252" s="29"/>
      <c r="G252" s="29"/>
      <c r="H252" s="29"/>
      <c r="I252" s="36">
        <f t="shared" si="0"/>
      </c>
      <c r="J252" s="37">
        <f t="shared" si="1"/>
      </c>
      <c r="K252" s="31"/>
      <c r="L252" s="28"/>
      <c r="M252" s="30"/>
      <c r="N252" s="32">
        <f t="shared" si="2"/>
      </c>
    </row>
    <row r="253" spans="1:14" x14ac:dyDescent="0.25">
      <c r="A253" s="29"/>
      <c r="B253" s="31"/>
      <c r="C253" s="31"/>
      <c r="D253" s="31"/>
      <c r="E253" s="31"/>
      <c r="F253" s="29"/>
      <c r="G253" s="29"/>
      <c r="H253" s="29"/>
      <c r="I253" s="36">
        <f t="shared" si="0"/>
      </c>
      <c r="J253" s="37">
        <f t="shared" si="1"/>
      </c>
      <c r="K253" s="31"/>
      <c r="L253" s="28"/>
      <c r="M253" s="30"/>
      <c r="N253" s="32">
        <f t="shared" si="2"/>
      </c>
    </row>
    <row r="254" spans="1:14" x14ac:dyDescent="0.25">
      <c r="A254" s="29"/>
      <c r="B254" s="31"/>
      <c r="C254" s="31"/>
      <c r="D254" s="31"/>
      <c r="E254" s="31"/>
      <c r="F254" s="29"/>
      <c r="G254" s="29"/>
      <c r="H254" s="29"/>
      <c r="I254" s="36">
        <f t="shared" si="0"/>
      </c>
      <c r="J254" s="37">
        <f t="shared" si="1"/>
      </c>
      <c r="K254" s="31"/>
      <c r="L254" s="28"/>
      <c r="M254" s="30"/>
      <c r="N254" s="32">
        <f t="shared" si="2"/>
      </c>
    </row>
    <row r="255" spans="1:14" x14ac:dyDescent="0.25">
      <c r="A255" s="29"/>
      <c r="B255" s="31"/>
      <c r="C255" s="31"/>
      <c r="D255" s="31"/>
      <c r="E255" s="31"/>
      <c r="F255" s="29"/>
      <c r="G255" s="29"/>
      <c r="H255" s="29"/>
      <c r="I255" s="36">
        <f t="shared" si="0"/>
      </c>
      <c r="J255" s="37">
        <f t="shared" si="1"/>
      </c>
      <c r="K255" s="31"/>
      <c r="L255" s="28"/>
      <c r="M255" s="30"/>
      <c r="N255" s="32">
        <f t="shared" si="2"/>
      </c>
    </row>
    <row r="256" spans="1:14" x14ac:dyDescent="0.25">
      <c r="A256" s="29"/>
      <c r="B256" s="31"/>
      <c r="C256" s="31"/>
      <c r="D256" s="31"/>
      <c r="E256" s="31"/>
      <c r="F256" s="29"/>
      <c r="G256" s="29"/>
      <c r="H256" s="29"/>
      <c r="I256" s="36">
        <f t="shared" si="0"/>
      </c>
      <c r="J256" s="37">
        <f t="shared" si="1"/>
      </c>
      <c r="K256" s="31"/>
      <c r="L256" s="28"/>
      <c r="M256" s="30"/>
      <c r="N256" s="32">
        <f t="shared" si="2"/>
      </c>
    </row>
    <row r="257" spans="1:14" x14ac:dyDescent="0.25">
      <c r="A257" s="29"/>
      <c r="B257" s="31"/>
      <c r="C257" s="31"/>
      <c r="D257" s="31"/>
      <c r="E257" s="31"/>
      <c r="F257" s="29"/>
      <c r="G257" s="29"/>
      <c r="H257" s="29"/>
      <c r="I257" s="36">
        <f t="shared" si="0"/>
      </c>
      <c r="J257" s="37">
        <f t="shared" si="1"/>
      </c>
      <c r="K257" s="31"/>
      <c r="L257" s="28"/>
      <c r="M257" s="30"/>
      <c r="N257" s="32">
        <f t="shared" si="2"/>
      </c>
    </row>
    <row r="258" spans="1:14" x14ac:dyDescent="0.25">
      <c r="A258" s="29"/>
      <c r="B258" s="31"/>
      <c r="C258" s="31"/>
      <c r="D258" s="31"/>
      <c r="E258" s="31"/>
      <c r="F258" s="29"/>
      <c r="G258" s="29"/>
      <c r="H258" s="29"/>
      <c r="I258" s="36">
        <f t="shared" si="0"/>
      </c>
      <c r="J258" s="37">
        <f t="shared" si="1"/>
      </c>
      <c r="K258" s="31"/>
      <c r="L258" s="28"/>
      <c r="M258" s="30"/>
      <c r="N258" s="32">
        <f t="shared" si="2"/>
      </c>
    </row>
    <row r="259" spans="1:14" x14ac:dyDescent="0.25">
      <c r="A259" s="29"/>
      <c r="B259" s="31"/>
      <c r="C259" s="31"/>
      <c r="D259" s="31"/>
      <c r="E259" s="31"/>
      <c r="F259" s="29"/>
      <c r="G259" s="29"/>
      <c r="H259" s="29"/>
      <c r="I259" s="36">
        <f t="shared" si="0"/>
      </c>
      <c r="J259" s="37">
        <f t="shared" si="1"/>
      </c>
      <c r="K259" s="31"/>
      <c r="L259" s="28"/>
      <c r="M259" s="30"/>
      <c r="N259" s="32">
        <f t="shared" si="2"/>
      </c>
    </row>
    <row r="260" spans="1:14" x14ac:dyDescent="0.25">
      <c r="A260" s="29"/>
      <c r="B260" s="31"/>
      <c r="C260" s="31"/>
      <c r="D260" s="31"/>
      <c r="E260" s="31"/>
      <c r="F260" s="29"/>
      <c r="G260" s="29"/>
      <c r="H260" s="29"/>
      <c r="I260" s="36">
        <f t="shared" si="0"/>
      </c>
      <c r="J260" s="37">
        <f t="shared" si="1"/>
      </c>
      <c r="K260" s="31"/>
      <c r="L260" s="28"/>
      <c r="M260" s="30"/>
      <c r="N260" s="32">
        <f t="shared" si="2"/>
      </c>
    </row>
    <row r="261" spans="1:14" x14ac:dyDescent="0.25">
      <c r="A261" s="29"/>
      <c r="B261" s="31"/>
      <c r="C261" s="31"/>
      <c r="D261" s="31"/>
      <c r="E261" s="31"/>
      <c r="F261" s="29"/>
      <c r="G261" s="29"/>
      <c r="H261" s="29"/>
      <c r="I261" s="36">
        <f t="shared" si="0"/>
      </c>
      <c r="J261" s="37">
        <f t="shared" si="1"/>
      </c>
      <c r="K261" s="31"/>
      <c r="L261" s="28"/>
      <c r="M261" s="30"/>
      <c r="N261" s="32">
        <f t="shared" si="2"/>
      </c>
    </row>
    <row r="262" spans="1:14" x14ac:dyDescent="0.25">
      <c r="A262" s="29"/>
      <c r="B262" s="31"/>
      <c r="C262" s="31"/>
      <c r="D262" s="31"/>
      <c r="E262" s="31"/>
      <c r="F262" s="29"/>
      <c r="G262" s="29"/>
      <c r="H262" s="29"/>
      <c r="I262" s="36">
        <f t="shared" si="0"/>
      </c>
      <c r="J262" s="37">
        <f t="shared" si="1"/>
      </c>
      <c r="K262" s="31"/>
      <c r="L262" s="28"/>
      <c r="M262" s="30"/>
      <c r="N262" s="32">
        <f t="shared" si="2"/>
      </c>
    </row>
    <row r="263" spans="1:14" x14ac:dyDescent="0.25">
      <c r="A263" s="29"/>
      <c r="B263" s="31"/>
      <c r="C263" s="31"/>
      <c r="D263" s="31"/>
      <c r="E263" s="31"/>
      <c r="F263" s="29"/>
      <c r="G263" s="29"/>
      <c r="H263" s="29"/>
      <c r="I263" s="36">
        <f t="shared" si="0"/>
      </c>
      <c r="J263" s="37">
        <f t="shared" si="1"/>
      </c>
      <c r="K263" s="31"/>
      <c r="L263" s="28"/>
      <c r="M263" s="30"/>
      <c r="N263" s="32">
        <f t="shared" si="2"/>
      </c>
    </row>
    <row r="264" spans="1:14" x14ac:dyDescent="0.25">
      <c r="A264" s="29"/>
      <c r="B264" s="31"/>
      <c r="C264" s="31"/>
      <c r="D264" s="31"/>
      <c r="E264" s="31"/>
      <c r="F264" s="29"/>
      <c r="G264" s="29"/>
      <c r="H264" s="29"/>
      <c r="I264" s="36">
        <f t="shared" si="0"/>
      </c>
      <c r="J264" s="37">
        <f t="shared" si="1"/>
      </c>
      <c r="K264" s="31"/>
      <c r="L264" s="28"/>
      <c r="M264" s="30"/>
      <c r="N264" s="32">
        <f t="shared" si="2"/>
      </c>
    </row>
    <row r="265" spans="1:14" x14ac:dyDescent="0.25">
      <c r="A265" s="29"/>
      <c r="B265" s="31"/>
      <c r="C265" s="31"/>
      <c r="D265" s="31"/>
      <c r="E265" s="31"/>
      <c r="F265" s="29"/>
      <c r="G265" s="29"/>
      <c r="H265" s="29"/>
      <c r="I265" s="36">
        <f t="shared" si="0"/>
      </c>
      <c r="J265" s="37">
        <f t="shared" si="1"/>
      </c>
      <c r="K265" s="31"/>
      <c r="L265" s="28"/>
      <c r="M265" s="30"/>
      <c r="N265" s="32">
        <f t="shared" si="2"/>
      </c>
    </row>
    <row r="266" spans="1:14" x14ac:dyDescent="0.25">
      <c r="A266" s="29"/>
      <c r="B266" s="31"/>
      <c r="C266" s="31"/>
      <c r="D266" s="31"/>
      <c r="E266" s="31"/>
      <c r="F266" s="29"/>
      <c r="G266" s="29"/>
      <c r="H266" s="29"/>
      <c r="I266" s="36">
        <f t="shared" si="0"/>
      </c>
      <c r="J266" s="37">
        <f t="shared" si="1"/>
      </c>
      <c r="K266" s="31"/>
      <c r="L266" s="28"/>
      <c r="M266" s="30"/>
      <c r="N266" s="32">
        <f t="shared" si="2"/>
      </c>
    </row>
    <row r="267" spans="1:14" x14ac:dyDescent="0.25">
      <c r="A267" s="29"/>
      <c r="B267" s="31"/>
      <c r="C267" s="31"/>
      <c r="D267" s="31"/>
      <c r="E267" s="31"/>
      <c r="F267" s="29"/>
      <c r="G267" s="29"/>
      <c r="H267" s="29"/>
      <c r="I267" s="36">
        <f t="shared" si="0"/>
      </c>
      <c r="J267" s="37">
        <f t="shared" si="1"/>
      </c>
      <c r="K267" s="31"/>
      <c r="L267" s="28"/>
      <c r="M267" s="30"/>
      <c r="N267" s="32">
        <f t="shared" si="2"/>
      </c>
    </row>
    <row r="268" spans="1:14" x14ac:dyDescent="0.25">
      <c r="A268" s="29"/>
      <c r="B268" s="31"/>
      <c r="C268" s="31"/>
      <c r="D268" s="31"/>
      <c r="E268" s="31"/>
      <c r="F268" s="29"/>
      <c r="G268" s="29"/>
      <c r="H268" s="29"/>
      <c r="I268" s="36">
        <f t="shared" si="0"/>
      </c>
      <c r="J268" s="37">
        <f t="shared" si="1"/>
      </c>
      <c r="K268" s="31"/>
      <c r="L268" s="28"/>
      <c r="M268" s="30"/>
      <c r="N268" s="32">
        <f t="shared" si="2"/>
      </c>
    </row>
    <row r="269" spans="1:14" x14ac:dyDescent="0.25">
      <c r="A269" s="29"/>
      <c r="B269" s="31"/>
      <c r="C269" s="31"/>
      <c r="D269" s="31"/>
      <c r="E269" s="31"/>
      <c r="F269" s="29"/>
      <c r="G269" s="29"/>
      <c r="H269" s="29"/>
      <c r="I269" s="36">
        <f t="shared" si="0"/>
      </c>
      <c r="J269" s="37">
        <f t="shared" si="1"/>
      </c>
      <c r="K269" s="31"/>
      <c r="L269" s="28"/>
      <c r="M269" s="30"/>
      <c r="N269" s="32">
        <f t="shared" si="2"/>
      </c>
    </row>
    <row r="270" spans="1:14" x14ac:dyDescent="0.25">
      <c r="A270" s="29"/>
      <c r="B270" s="31"/>
      <c r="C270" s="31"/>
      <c r="D270" s="31"/>
      <c r="E270" s="31"/>
      <c r="F270" s="29"/>
      <c r="G270" s="29"/>
      <c r="H270" s="29"/>
      <c r="I270" s="36">
        <f t="shared" si="0"/>
      </c>
      <c r="J270" s="37">
        <f t="shared" si="1"/>
      </c>
      <c r="K270" s="31"/>
      <c r="L270" s="28"/>
      <c r="M270" s="30"/>
      <c r="N270" s="32">
        <f t="shared" si="2"/>
      </c>
    </row>
    <row r="271" spans="1:14" x14ac:dyDescent="0.25">
      <c r="A271" s="29"/>
      <c r="B271" s="31"/>
      <c r="C271" s="31"/>
      <c r="D271" s="31"/>
      <c r="E271" s="31"/>
      <c r="F271" s="29"/>
      <c r="G271" s="29"/>
      <c r="H271" s="29"/>
      <c r="I271" s="36">
        <f t="shared" si="0"/>
      </c>
      <c r="J271" s="37">
        <f t="shared" si="1"/>
      </c>
      <c r="K271" s="31"/>
      <c r="L271" s="28"/>
      <c r="M271" s="30"/>
      <c r="N271" s="32">
        <f t="shared" si="2"/>
      </c>
    </row>
    <row r="272" spans="1:14" x14ac:dyDescent="0.25">
      <c r="A272" s="29"/>
      <c r="B272" s="31"/>
      <c r="C272" s="31"/>
      <c r="D272" s="31"/>
      <c r="E272" s="31"/>
      <c r="F272" s="29"/>
      <c r="G272" s="29"/>
      <c r="H272" s="29"/>
      <c r="I272" s="36">
        <f t="shared" si="0"/>
      </c>
      <c r="J272" s="37">
        <f t="shared" si="1"/>
      </c>
      <c r="K272" s="31"/>
      <c r="L272" s="28"/>
      <c r="M272" s="30"/>
      <c r="N272" s="32">
        <f t="shared" si="2"/>
      </c>
    </row>
    <row r="273" spans="1:14" x14ac:dyDescent="0.25">
      <c r="A273" s="29"/>
      <c r="B273" s="31"/>
      <c r="C273" s="31"/>
      <c r="D273" s="31"/>
      <c r="E273" s="31"/>
      <c r="F273" s="29"/>
      <c r="G273" s="29"/>
      <c r="H273" s="29"/>
      <c r="I273" s="36">
        <f t="shared" si="0"/>
      </c>
      <c r="J273" s="37">
        <f t="shared" si="1"/>
      </c>
      <c r="K273" s="31"/>
      <c r="L273" s="28"/>
      <c r="M273" s="30"/>
      <c r="N273" s="32">
        <f t="shared" si="2"/>
      </c>
    </row>
    <row r="274" spans="1:14" x14ac:dyDescent="0.25">
      <c r="A274" s="29"/>
      <c r="B274" s="31"/>
      <c r="C274" s="31"/>
      <c r="D274" s="31"/>
      <c r="E274" s="31"/>
      <c r="F274" s="29"/>
      <c r="G274" s="29"/>
      <c r="H274" s="29"/>
      <c r="I274" s="36">
        <f t="shared" si="0"/>
      </c>
      <c r="J274" s="37">
        <f t="shared" si="1"/>
      </c>
      <c r="K274" s="31"/>
      <c r="L274" s="28"/>
      <c r="M274" s="30"/>
      <c r="N274" s="32">
        <f t="shared" si="2"/>
      </c>
    </row>
    <row r="275" spans="1:14" x14ac:dyDescent="0.25">
      <c r="A275" s="29"/>
      <c r="B275" s="31"/>
      <c r="C275" s="31"/>
      <c r="D275" s="31"/>
      <c r="E275" s="31"/>
      <c r="F275" s="29"/>
      <c r="G275" s="29"/>
      <c r="H275" s="29"/>
      <c r="I275" s="36">
        <f t="shared" si="0"/>
      </c>
      <c r="J275" s="37">
        <f t="shared" si="1"/>
      </c>
      <c r="K275" s="31"/>
      <c r="L275" s="28"/>
      <c r="M275" s="30"/>
      <c r="N275" s="32">
        <f t="shared" si="2"/>
      </c>
    </row>
    <row r="276" spans="1:14" x14ac:dyDescent="0.25">
      <c r="A276" s="29"/>
      <c r="B276" s="31"/>
      <c r="C276" s="31"/>
      <c r="D276" s="31"/>
      <c r="E276" s="31"/>
      <c r="F276" s="29"/>
      <c r="G276" s="29"/>
      <c r="H276" s="29"/>
      <c r="I276" s="36">
        <f t="shared" si="0"/>
      </c>
      <c r="J276" s="37">
        <f t="shared" si="1"/>
      </c>
      <c r="K276" s="31"/>
      <c r="L276" s="28"/>
      <c r="M276" s="30"/>
      <c r="N276" s="32">
        <f t="shared" si="2"/>
      </c>
    </row>
    <row r="277" spans="1:14" x14ac:dyDescent="0.25">
      <c r="A277" s="29"/>
      <c r="B277" s="31"/>
      <c r="C277" s="31"/>
      <c r="D277" s="31"/>
      <c r="E277" s="31"/>
      <c r="F277" s="29"/>
      <c r="G277" s="29"/>
      <c r="H277" s="29"/>
      <c r="I277" s="36">
        <f t="shared" si="0"/>
      </c>
      <c r="J277" s="37">
        <f t="shared" si="1"/>
      </c>
      <c r="K277" s="31"/>
      <c r="L277" s="28"/>
      <c r="M277" s="30"/>
      <c r="N277" s="32">
        <f t="shared" si="2"/>
      </c>
    </row>
    <row r="278" spans="1:14" x14ac:dyDescent="0.25">
      <c r="A278" s="29"/>
      <c r="B278" s="31"/>
      <c r="C278" s="31"/>
      <c r="D278" s="31"/>
      <c r="E278" s="31"/>
      <c r="F278" s="29"/>
      <c r="G278" s="29"/>
      <c r="H278" s="29"/>
      <c r="I278" s="36">
        <f t="shared" si="0"/>
      </c>
      <c r="J278" s="37">
        <f t="shared" si="1"/>
      </c>
      <c r="K278" s="31"/>
      <c r="L278" s="28"/>
      <c r="M278" s="30"/>
      <c r="N278" s="32">
        <f t="shared" si="2"/>
      </c>
    </row>
    <row r="279" spans="1:14" x14ac:dyDescent="0.25">
      <c r="A279" s="29"/>
      <c r="B279" s="31"/>
      <c r="C279" s="31"/>
      <c r="D279" s="31"/>
      <c r="E279" s="31"/>
      <c r="F279" s="29"/>
      <c r="G279" s="29"/>
      <c r="H279" s="29"/>
      <c r="I279" s="36">
        <f t="shared" si="0"/>
      </c>
      <c r="J279" s="37">
        <f t="shared" si="1"/>
      </c>
      <c r="K279" s="31"/>
      <c r="L279" s="28"/>
      <c r="M279" s="30"/>
      <c r="N279" s="32">
        <f t="shared" si="2"/>
      </c>
    </row>
    <row r="280" spans="1:14" x14ac:dyDescent="0.25">
      <c r="A280" s="29"/>
      <c r="B280" s="31"/>
      <c r="C280" s="31"/>
      <c r="D280" s="31"/>
      <c r="E280" s="31"/>
      <c r="F280" s="29"/>
      <c r="G280" s="29"/>
      <c r="H280" s="29"/>
      <c r="I280" s="36">
        <f t="shared" si="0"/>
      </c>
      <c r="J280" s="37">
        <f t="shared" si="1"/>
      </c>
      <c r="K280" s="31"/>
      <c r="L280" s="28"/>
      <c r="M280" s="30"/>
      <c r="N280" s="32">
        <f t="shared" si="2"/>
      </c>
    </row>
    <row r="281" spans="1:14" x14ac:dyDescent="0.25">
      <c r="A281" s="29"/>
      <c r="B281" s="31"/>
      <c r="C281" s="31"/>
      <c r="D281" s="31"/>
      <c r="E281" s="31"/>
      <c r="F281" s="29"/>
      <c r="G281" s="29"/>
      <c r="H281" s="29"/>
      <c r="I281" s="36">
        <f t="shared" si="0"/>
      </c>
      <c r="J281" s="37">
        <f t="shared" si="1"/>
      </c>
      <c r="K281" s="31"/>
      <c r="L281" s="28"/>
      <c r="M281" s="30"/>
      <c r="N281" s="32">
        <f t="shared" si="2"/>
      </c>
    </row>
    <row r="282" spans="1:14" x14ac:dyDescent="0.25">
      <c r="A282" s="29"/>
      <c r="B282" s="31"/>
      <c r="C282" s="31"/>
      <c r="D282" s="31"/>
      <c r="E282" s="31"/>
      <c r="F282" s="29"/>
      <c r="G282" s="29"/>
      <c r="H282" s="29"/>
      <c r="I282" s="36">
        <f t="shared" si="0"/>
      </c>
      <c r="J282" s="37">
        <f t="shared" si="1"/>
      </c>
      <c r="K282" s="31"/>
      <c r="L282" s="28"/>
      <c r="M282" s="30"/>
      <c r="N282" s="32">
        <f t="shared" si="2"/>
      </c>
    </row>
    <row r="283" spans="1:14" x14ac:dyDescent="0.25">
      <c r="A283" s="29"/>
      <c r="B283" s="31"/>
      <c r="C283" s="31"/>
      <c r="D283" s="31"/>
      <c r="E283" s="31"/>
      <c r="F283" s="29"/>
      <c r="G283" s="29"/>
      <c r="H283" s="29"/>
      <c r="I283" s="36">
        <f t="shared" si="0"/>
      </c>
      <c r="J283" s="37">
        <f t="shared" si="1"/>
      </c>
      <c r="K283" s="31"/>
      <c r="L283" s="28"/>
      <c r="M283" s="30"/>
      <c r="N283" s="32">
        <f t="shared" si="2"/>
      </c>
    </row>
    <row r="284" spans="1:14" x14ac:dyDescent="0.25">
      <c r="A284" s="29"/>
      <c r="B284" s="31"/>
      <c r="C284" s="31"/>
      <c r="D284" s="31"/>
      <c r="E284" s="31"/>
      <c r="F284" s="29"/>
      <c r="G284" s="29"/>
      <c r="H284" s="29"/>
      <c r="I284" s="36">
        <f t="shared" si="0"/>
      </c>
      <c r="J284" s="37">
        <f t="shared" si="1"/>
      </c>
      <c r="K284" s="31"/>
      <c r="L284" s="28"/>
      <c r="M284" s="30"/>
      <c r="N284" s="32">
        <f t="shared" si="2"/>
      </c>
    </row>
    <row r="285" spans="1:14" x14ac:dyDescent="0.25">
      <c r="A285" s="29"/>
      <c r="B285" s="31"/>
      <c r="C285" s="31"/>
      <c r="D285" s="31"/>
      <c r="E285" s="31"/>
      <c r="F285" s="29"/>
      <c r="G285" s="29"/>
      <c r="H285" s="29"/>
      <c r="I285" s="36">
        <f t="shared" si="0"/>
      </c>
      <c r="J285" s="37">
        <f t="shared" si="1"/>
      </c>
      <c r="K285" s="31"/>
      <c r="L285" s="28"/>
      <c r="M285" s="30"/>
      <c r="N285" s="32">
        <f t="shared" si="2"/>
      </c>
    </row>
    <row r="286" spans="1:14" x14ac:dyDescent="0.25">
      <c r="A286" s="29"/>
      <c r="B286" s="31"/>
      <c r="C286" s="31"/>
      <c r="D286" s="31"/>
      <c r="E286" s="31"/>
      <c r="F286" s="29"/>
      <c r="G286" s="29"/>
      <c r="H286" s="29"/>
      <c r="I286" s="36">
        <f t="shared" si="0"/>
      </c>
      <c r="J286" s="37">
        <f t="shared" si="1"/>
      </c>
      <c r="K286" s="31"/>
      <c r="L286" s="28"/>
      <c r="M286" s="30"/>
      <c r="N286" s="32">
        <f t="shared" si="2"/>
      </c>
    </row>
    <row r="287" spans="1:14" x14ac:dyDescent="0.25">
      <c r="A287" s="29"/>
      <c r="B287" s="31"/>
      <c r="C287" s="31"/>
      <c r="D287" s="31"/>
      <c r="E287" s="31"/>
      <c r="F287" s="29"/>
      <c r="G287" s="29"/>
      <c r="H287" s="29"/>
      <c r="I287" s="36">
        <f t="shared" si="0"/>
      </c>
      <c r="J287" s="37">
        <f t="shared" si="1"/>
      </c>
      <c r="K287" s="31"/>
      <c r="L287" s="28"/>
      <c r="M287" s="30"/>
      <c r="N287" s="32">
        <f t="shared" si="2"/>
      </c>
    </row>
    <row r="288" spans="1:14" x14ac:dyDescent="0.25">
      <c r="A288" s="29"/>
      <c r="B288" s="31"/>
      <c r="C288" s="31"/>
      <c r="D288" s="31"/>
      <c r="E288" s="31"/>
      <c r="F288" s="29"/>
      <c r="G288" s="29"/>
      <c r="H288" s="29"/>
      <c r="I288" s="36">
        <f t="shared" si="0"/>
      </c>
      <c r="J288" s="37">
        <f t="shared" si="1"/>
      </c>
      <c r="K288" s="31"/>
      <c r="L288" s="28"/>
      <c r="M288" s="30"/>
      <c r="N288" s="32">
        <f t="shared" si="2"/>
      </c>
    </row>
    <row r="289" spans="1:14" x14ac:dyDescent="0.25">
      <c r="A289" s="29"/>
      <c r="B289" s="31"/>
      <c r="C289" s="31"/>
      <c r="D289" s="31"/>
      <c r="E289" s="31"/>
      <c r="F289" s="29"/>
      <c r="G289" s="29"/>
      <c r="H289" s="29"/>
      <c r="I289" s="36">
        <f t="shared" si="0"/>
      </c>
      <c r="J289" s="37">
        <f t="shared" si="1"/>
      </c>
      <c r="K289" s="31"/>
      <c r="L289" s="28"/>
      <c r="M289" s="30"/>
      <c r="N289" s="32">
        <f t="shared" si="2"/>
      </c>
    </row>
    <row r="290" spans="1:14" x14ac:dyDescent="0.25">
      <c r="A290" s="29"/>
      <c r="B290" s="31"/>
      <c r="C290" s="31"/>
      <c r="D290" s="31"/>
      <c r="E290" s="31"/>
      <c r="F290" s="29"/>
      <c r="G290" s="29"/>
      <c r="H290" s="29"/>
      <c r="I290" s="36">
        <f t="shared" si="0"/>
      </c>
      <c r="J290" s="37">
        <f t="shared" si="1"/>
      </c>
      <c r="K290" s="31"/>
      <c r="L290" s="28"/>
      <c r="M290" s="30"/>
      <c r="N290" s="32">
        <f t="shared" si="2"/>
      </c>
    </row>
    <row r="291" spans="1:14" x14ac:dyDescent="0.25">
      <c r="A291" s="29"/>
      <c r="B291" s="31"/>
      <c r="C291" s="31"/>
      <c r="D291" s="31"/>
      <c r="E291" s="31"/>
      <c r="F291" s="29"/>
      <c r="G291" s="29"/>
      <c r="H291" s="29"/>
      <c r="I291" s="36">
        <f t="shared" si="0"/>
      </c>
      <c r="J291" s="37">
        <f t="shared" si="1"/>
      </c>
      <c r="K291" s="31"/>
      <c r="L291" s="28"/>
      <c r="M291" s="30"/>
      <c r="N291" s="32">
        <f t="shared" si="2"/>
      </c>
    </row>
    <row r="292" spans="1:14" x14ac:dyDescent="0.25">
      <c r="A292" s="29"/>
      <c r="B292" s="31"/>
      <c r="C292" s="31"/>
      <c r="D292" s="31"/>
      <c r="E292" s="31"/>
      <c r="F292" s="29"/>
      <c r="G292" s="29"/>
      <c r="H292" s="29"/>
      <c r="I292" s="36">
        <f t="shared" si="0"/>
      </c>
      <c r="J292" s="37">
        <f t="shared" si="1"/>
      </c>
      <c r="K292" s="31"/>
      <c r="L292" s="28"/>
      <c r="M292" s="30"/>
      <c r="N292" s="32">
        <f t="shared" si="2"/>
      </c>
    </row>
    <row r="293" spans="1:14" x14ac:dyDescent="0.25">
      <c r="A293" s="29"/>
      <c r="B293" s="31"/>
      <c r="C293" s="31"/>
      <c r="D293" s="31"/>
      <c r="E293" s="31"/>
      <c r="F293" s="29"/>
      <c r="G293" s="29"/>
      <c r="H293" s="29"/>
      <c r="I293" s="36">
        <f t="shared" si="0"/>
      </c>
      <c r="J293" s="37">
        <f t="shared" si="1"/>
      </c>
      <c r="K293" s="31"/>
      <c r="L293" s="28"/>
      <c r="M293" s="30"/>
      <c r="N293" s="32">
        <f t="shared" si="2"/>
      </c>
    </row>
    <row r="294" spans="1:14" x14ac:dyDescent="0.25">
      <c r="A294" s="29"/>
      <c r="B294" s="31"/>
      <c r="C294" s="31"/>
      <c r="D294" s="31"/>
      <c r="E294" s="31"/>
      <c r="F294" s="29"/>
      <c r="G294" s="29"/>
      <c r="H294" s="29"/>
      <c r="I294" s="36">
        <f t="shared" si="0"/>
      </c>
      <c r="J294" s="37">
        <f t="shared" si="1"/>
      </c>
      <c r="K294" s="31"/>
      <c r="L294" s="28"/>
      <c r="M294" s="30"/>
      <c r="N294" s="32">
        <f t="shared" si="2"/>
      </c>
    </row>
    <row r="295" spans="1:14" x14ac:dyDescent="0.25">
      <c r="A295" s="29"/>
      <c r="B295" s="31"/>
      <c r="C295" s="31"/>
      <c r="D295" s="31"/>
      <c r="E295" s="31"/>
      <c r="F295" s="29"/>
      <c r="G295" s="29"/>
      <c r="H295" s="29"/>
      <c r="I295" s="36">
        <f t="shared" si="0"/>
      </c>
      <c r="J295" s="37">
        <f t="shared" si="1"/>
      </c>
      <c r="K295" s="31"/>
      <c r="L295" s="28"/>
      <c r="M295" s="30"/>
      <c r="N295" s="32">
        <f t="shared" si="2"/>
      </c>
    </row>
    <row r="296" spans="1:14" x14ac:dyDescent="0.25">
      <c r="A296" s="29"/>
      <c r="B296" s="31"/>
      <c r="C296" s="31"/>
      <c r="D296" s="31"/>
      <c r="E296" s="31"/>
      <c r="F296" s="29"/>
      <c r="G296" s="29"/>
      <c r="H296" s="29"/>
      <c r="I296" s="36">
        <f t="shared" si="0"/>
      </c>
      <c r="J296" s="37">
        <f t="shared" si="1"/>
      </c>
      <c r="K296" s="31"/>
      <c r="L296" s="28"/>
      <c r="M296" s="30"/>
      <c r="N296" s="32">
        <f t="shared" si="2"/>
      </c>
    </row>
    <row r="297" spans="1:14" x14ac:dyDescent="0.25">
      <c r="A297" s="29"/>
      <c r="B297" s="31"/>
      <c r="C297" s="31"/>
      <c r="D297" s="31"/>
      <c r="E297" s="31"/>
      <c r="F297" s="29"/>
      <c r="G297" s="29"/>
      <c r="H297" s="29"/>
      <c r="I297" s="36">
        <f t="shared" si="0"/>
      </c>
      <c r="J297" s="37">
        <f t="shared" si="1"/>
      </c>
      <c r="K297" s="31"/>
      <c r="L297" s="28"/>
      <c r="M297" s="30"/>
      <c r="N297" s="32">
        <f t="shared" si="2"/>
      </c>
    </row>
    <row r="298" spans="1:14" x14ac:dyDescent="0.25">
      <c r="A298" s="29"/>
      <c r="B298" s="31"/>
      <c r="C298" s="31"/>
      <c r="D298" s="31"/>
      <c r="E298" s="31"/>
      <c r="F298" s="29"/>
      <c r="G298" s="29"/>
      <c r="H298" s="29"/>
      <c r="I298" s="36">
        <f t="shared" si="0"/>
      </c>
      <c r="J298" s="37">
        <f t="shared" si="1"/>
      </c>
      <c r="K298" s="31"/>
      <c r="L298" s="28"/>
      <c r="M298" s="30"/>
      <c r="N298" s="32">
        <f t="shared" si="2"/>
      </c>
    </row>
    <row r="299" spans="1:14" x14ac:dyDescent="0.25">
      <c r="A299" s="29"/>
      <c r="B299" s="31"/>
      <c r="C299" s="31"/>
      <c r="D299" s="31"/>
      <c r="E299" s="31"/>
      <c r="F299" s="29"/>
      <c r="G299" s="29"/>
      <c r="H299" s="29"/>
      <c r="I299" s="36">
        <f t="shared" si="0"/>
      </c>
      <c r="J299" s="37">
        <f t="shared" si="1"/>
      </c>
      <c r="K299" s="31"/>
      <c r="L299" s="28"/>
      <c r="M299" s="30"/>
      <c r="N299" s="32">
        <f t="shared" si="2"/>
      </c>
    </row>
    <row r="300" spans="1:14" x14ac:dyDescent="0.25">
      <c r="A300" s="29"/>
      <c r="B300" s="31"/>
      <c r="C300" s="31"/>
      <c r="D300" s="31"/>
      <c r="E300" s="31"/>
      <c r="F300" s="29"/>
      <c r="G300" s="29"/>
      <c r="H300" s="29"/>
      <c r="I300" s="36">
        <f t="shared" si="0"/>
      </c>
      <c r="J300" s="37">
        <f t="shared" si="1"/>
      </c>
      <c r="K300" s="31"/>
      <c r="L300" s="28"/>
      <c r="M300" s="30"/>
      <c r="N300" s="32">
        <f t="shared" si="2"/>
      </c>
    </row>
    <row r="301" spans="1:14" x14ac:dyDescent="0.25">
      <c r="A301" s="29"/>
      <c r="B301" s="31"/>
      <c r="C301" s="31"/>
      <c r="D301" s="31"/>
      <c r="E301" s="31"/>
      <c r="F301" s="29"/>
      <c r="G301" s="29"/>
      <c r="H301" s="29"/>
      <c r="I301" s="36">
        <f t="shared" si="0"/>
      </c>
      <c r="J301" s="37">
        <f t="shared" si="1"/>
      </c>
      <c r="K301" s="31"/>
      <c r="L301" s="28"/>
      <c r="M301" s="30"/>
      <c r="N301" s="32">
        <f t="shared" si="2"/>
      </c>
    </row>
    <row r="302" spans="1:14" x14ac:dyDescent="0.25">
      <c r="A302" s="29"/>
      <c r="B302" s="31"/>
      <c r="C302" s="31"/>
      <c r="D302" s="31"/>
      <c r="E302" s="31"/>
      <c r="F302" s="29"/>
      <c r="G302" s="29"/>
      <c r="H302" s="29"/>
      <c r="I302" s="36">
        <f t="shared" si="0"/>
      </c>
      <c r="J302" s="37">
        <f t="shared" si="1"/>
      </c>
      <c r="K302" s="31"/>
      <c r="L302" s="28"/>
      <c r="M302" s="30"/>
      <c r="N302" s="32">
        <f t="shared" si="2"/>
      </c>
    </row>
    <row r="303" spans="1:14" x14ac:dyDescent="0.25">
      <c r="A303" s="29"/>
      <c r="B303" s="31"/>
      <c r="C303" s="31"/>
      <c r="D303" s="31"/>
      <c r="E303" s="31"/>
      <c r="F303" s="29"/>
      <c r="G303" s="29"/>
      <c r="H303" s="29"/>
      <c r="I303" s="36">
        <f t="shared" si="0"/>
      </c>
      <c r="J303" s="37">
        <f t="shared" si="1"/>
      </c>
      <c r="K303" s="31"/>
      <c r="L303" s="28"/>
      <c r="M303" s="30"/>
      <c r="N303" s="32">
        <f t="shared" si="2"/>
      </c>
    </row>
  </sheetData>
  <sheetProtection sheet="1" formatColumns="0" formatRows="0" autoFilter="0"/>
  <autoFilter ref="A3:N303"/>
  <mergeCells count="2">
    <mergeCell ref="A1:B2"/>
    <mergeCell ref="C1:M2"/>
  </mergeCells>
  <conditionalFormatting sqref="J4:J303">
    <cfRule type="expression" dxfId="21" priority="10">
      <formula>J4="Crítico"</formula>
    </cfRule>
    <cfRule type="expression" dxfId="22" priority="11">
      <formula>J4="Alto"</formula>
    </cfRule>
    <cfRule type="expression" dxfId="23" priority="12">
      <formula>J4="Médio"</formula>
    </cfRule>
    <cfRule type="expression" dxfId="24" priority="13">
      <formula>J4="Baixo"</formula>
    </cfRule>
  </conditionalFormatting>
  <conditionalFormatting sqref="N4:N303">
    <cfRule type="expression" dxfId="25" priority="1">
      <formula>OR(LEFT(N4,4)="ERRO",LEFT(N4,7)="ATENÇÃO")</formula>
    </cfRule>
    <cfRule type="expression" dxfId="26" priority="2">
      <formula>OR(LEFT(N4,8)="Pendente",LEFT(N4,9)="Verificar",LEFT(N4,9)="Duplicada",LEFT(N4,7)="Tarefa ",LEFT(N4,13)="Fora do plano",LEFT(N4,8)="Previsão",LEFT(N4,11)="Sem vínculo",LEFT(N4,14)="Não verificado",LEFT(N4,7)="Informe",LEFT(N4,9)="A definir")</formula>
    </cfRule>
    <cfRule type="expression" dxfId="27" priority="3">
      <formula>OR(N4="OK",LEFT(N4,4)="Nada",LEFT(N4,3)="OK:")</formula>
    </cfRule>
  </conditionalFormatting>
  <dataValidations count="5">
    <dataValidation type="list" allowBlank="1" showErrorMessage="1" errorStyle="stop" errorTitle="Valor fora da lista" error="Escolha um item da lista suspensa (aba Listas)." sqref="A4:A303">
      <formula1>OFFSET(at_codigo,0,0,MAX(1,COUNTA(at_codigo)),1)</formula1>
    </dataValidation>
    <dataValidation type="whole" allowBlank="1" showErrorMessage="1" errorStyle="stop" errorTitle="Valor inválido" error="Nota inteira de 1 a 10." sqref="F4:F303">
      <formula1>1</formula1>
      <formula2>10</formula2>
    </dataValidation>
    <dataValidation type="whole" allowBlank="1" showErrorMessage="1" errorStyle="stop" errorTitle="Valor inválido" error="Nota inteira de 1 a 10." sqref="G4:G303">
      <formula1>1</formula1>
      <formula2>10</formula2>
    </dataValidation>
    <dataValidation type="whole" allowBlank="1" showErrorMessage="1" errorStyle="stop" errorTitle="Valor inválido" error="Nota inteira de 1 a 10." sqref="H4:H303">
      <formula1>1</formula1>
      <formula2>10</formula2>
    </dataValidation>
    <dataValidation type="date" allowBlank="1" showErrorMessage="1" errorStyle="stop" errorTitle="Data inválida" error="Digite uma data válida no formato dd/mm/aaaa." sqref="M4:M30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16" customWidth="1"/>
    <col min="5" max="5" width="13" customWidth="1"/>
    <col min="6" max="6" width="10" customWidth="1"/>
    <col min="7" max="8" width="13" customWidth="1"/>
    <col min="9" max="9" width="12" customWidth="1"/>
    <col min="10" max="10" width="18" customWidth="1"/>
    <col min="11" max="11" width="26" customWidth="1"/>
    <col min="12" max="12" width="30" customWidth="1"/>
  </cols>
  <sheetData>
    <row r="1" ht="36" customHeight="1" spans="1:12" x14ac:dyDescent="0.25">
      <c r="A1" s="1"/>
      <c r="B1" s="1"/>
      <c r="C1" s="2" t="s">
        <v>129</v>
      </c>
      <c r="D1" s="2"/>
      <c r="E1" s="2"/>
      <c r="F1" s="2"/>
      <c r="G1" s="2"/>
      <c r="H1" s="2"/>
      <c r="I1" s="2"/>
      <c r="J1" s="2"/>
      <c r="K1" s="2"/>
      <c r="L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2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4">
        <f>"Elaborado: "&amp;IF(cfg_elaborado="","A definir",cfg_elaborado)&amp;CHAR(10)&amp;"Aprovado: "&amp;IF(cfg_aprovado="","A definir",cfg_aprovado)</f>
      </c>
    </row>
    <row r="3" ht="34" customHeight="1" spans="1:12" x14ac:dyDescent="0.25">
      <c r="A3" s="8" t="s">
        <v>130</v>
      </c>
      <c r="B3" s="8" t="s">
        <v>87</v>
      </c>
      <c r="C3" s="8" t="s">
        <v>131</v>
      </c>
      <c r="D3" s="8" t="s">
        <v>132</v>
      </c>
      <c r="E3" s="8" t="s">
        <v>133</v>
      </c>
      <c r="F3" s="8" t="s">
        <v>134</v>
      </c>
      <c r="G3" s="8" t="s">
        <v>135</v>
      </c>
      <c r="H3" s="8" t="s">
        <v>136</v>
      </c>
      <c r="I3" s="8" t="s">
        <v>85</v>
      </c>
      <c r="J3" s="8" t="s">
        <v>127</v>
      </c>
      <c r="K3" s="8" t="s">
        <v>106</v>
      </c>
      <c r="L3" s="8" t="s">
        <v>107</v>
      </c>
    </row>
    <row r="4" spans="1:12" x14ac:dyDescent="0.25">
      <c r="A4" s="27"/>
      <c r="B4" s="29"/>
      <c r="C4" s="31"/>
      <c r="D4" s="28"/>
      <c r="E4" s="29"/>
      <c r="F4" s="38"/>
      <c r="G4" s="30"/>
      <c r="H4" s="39">
        <f t="shared" ref="H4:H203" si="0">IF(OR(NOT(ISNUMBER(G4)),ISNA(MATCH(E4,lst_frequencia,0))),"",EDATE(G4,INDEX(lst_frequencia_meses,MATCH(E4,lst_frequencia,0))))</f>
      </c>
      <c r="I4" s="37">
        <f t="shared" ref="I4:I203" si="1">IF(A4="","",IF(H4="","Sem data",IF(H4&lt;TODAY(),"Vencido",IF(H4-TODAY()&lt;=7,"Programar","Em dia"))))</f>
      </c>
      <c r="J4" s="28"/>
      <c r="K4" s="31"/>
      <c r="L4" s="32">
        <f t="shared" ref="L4:L203" si="2">IF(A4&amp;B4&amp;C4="","",IF(A4="","ERRO: falta o código do plano",IF(COUNTIF(pl_codigo,A4)&gt;1,"ERRO: plano repetido",IF(ISNA(MATCH(B4,at_codigo,0)),"ERRO: ativo não cadastrado",IF(ISNA(MATCH(E4,lst_frequencia,0)),"Pendente: escolha a frequência",IF(NOT(ISNUMBER(G4)),"Pendente: última execução",IF(G4&gt;TODAY(),"ERRO: última execução no futuro","OK")))))))</f>
      </c>
    </row>
    <row r="5" spans="1:12" x14ac:dyDescent="0.25">
      <c r="A5" s="27"/>
      <c r="B5" s="29"/>
      <c r="C5" s="31"/>
      <c r="D5" s="28"/>
      <c r="E5" s="29"/>
      <c r="F5" s="38"/>
      <c r="G5" s="30"/>
      <c r="H5" s="39">
        <f t="shared" si="0"/>
      </c>
      <c r="I5" s="37">
        <f t="shared" si="1"/>
      </c>
      <c r="J5" s="28"/>
      <c r="K5" s="31"/>
      <c r="L5" s="32">
        <f t="shared" si="2"/>
      </c>
    </row>
    <row r="6" spans="1:12" x14ac:dyDescent="0.25">
      <c r="A6" s="27"/>
      <c r="B6" s="29"/>
      <c r="C6" s="31"/>
      <c r="D6" s="28"/>
      <c r="E6" s="29"/>
      <c r="F6" s="38"/>
      <c r="G6" s="30"/>
      <c r="H6" s="39">
        <f t="shared" si="0"/>
      </c>
      <c r="I6" s="37">
        <f t="shared" si="1"/>
      </c>
      <c r="J6" s="28"/>
      <c r="K6" s="31"/>
      <c r="L6" s="32">
        <f t="shared" si="2"/>
      </c>
    </row>
    <row r="7" spans="1:12" x14ac:dyDescent="0.25">
      <c r="A7" s="27"/>
      <c r="B7" s="29"/>
      <c r="C7" s="31"/>
      <c r="D7" s="28"/>
      <c r="E7" s="29"/>
      <c r="F7" s="38"/>
      <c r="G7" s="30"/>
      <c r="H7" s="39">
        <f t="shared" si="0"/>
      </c>
      <c r="I7" s="37">
        <f t="shared" si="1"/>
      </c>
      <c r="J7" s="28"/>
      <c r="K7" s="31"/>
      <c r="L7" s="32">
        <f t="shared" si="2"/>
      </c>
    </row>
    <row r="8" spans="1:12" x14ac:dyDescent="0.25">
      <c r="A8" s="27"/>
      <c r="B8" s="29"/>
      <c r="C8" s="31"/>
      <c r="D8" s="28"/>
      <c r="E8" s="29"/>
      <c r="F8" s="38"/>
      <c r="G8" s="30"/>
      <c r="H8" s="39">
        <f t="shared" si="0"/>
      </c>
      <c r="I8" s="37">
        <f t="shared" si="1"/>
      </c>
      <c r="J8" s="28"/>
      <c r="K8" s="31"/>
      <c r="L8" s="32">
        <f t="shared" si="2"/>
      </c>
    </row>
    <row r="9" spans="1:12" x14ac:dyDescent="0.25">
      <c r="A9" s="27"/>
      <c r="B9" s="29"/>
      <c r="C9" s="31"/>
      <c r="D9" s="28"/>
      <c r="E9" s="29"/>
      <c r="F9" s="38"/>
      <c r="G9" s="30"/>
      <c r="H9" s="39">
        <f t="shared" si="0"/>
      </c>
      <c r="I9" s="37">
        <f t="shared" si="1"/>
      </c>
      <c r="J9" s="28"/>
      <c r="K9" s="31"/>
      <c r="L9" s="32">
        <f t="shared" si="2"/>
      </c>
    </row>
    <row r="10" spans="1:12" x14ac:dyDescent="0.25">
      <c r="A10" s="27"/>
      <c r="B10" s="29"/>
      <c r="C10" s="31"/>
      <c r="D10" s="28"/>
      <c r="E10" s="29"/>
      <c r="F10" s="38"/>
      <c r="G10" s="30"/>
      <c r="H10" s="39">
        <f t="shared" si="0"/>
      </c>
      <c r="I10" s="37">
        <f t="shared" si="1"/>
      </c>
      <c r="J10" s="28"/>
      <c r="K10" s="31"/>
      <c r="L10" s="32">
        <f t="shared" si="2"/>
      </c>
    </row>
    <row r="11" spans="1:12" x14ac:dyDescent="0.25">
      <c r="A11" s="27"/>
      <c r="B11" s="29"/>
      <c r="C11" s="31"/>
      <c r="D11" s="28"/>
      <c r="E11" s="29"/>
      <c r="F11" s="38"/>
      <c r="G11" s="30"/>
      <c r="H11" s="39">
        <f t="shared" si="0"/>
      </c>
      <c r="I11" s="37">
        <f t="shared" si="1"/>
      </c>
      <c r="J11" s="28"/>
      <c r="K11" s="31"/>
      <c r="L11" s="32">
        <f t="shared" si="2"/>
      </c>
    </row>
    <row r="12" spans="1:12" x14ac:dyDescent="0.25">
      <c r="A12" s="27"/>
      <c r="B12" s="29"/>
      <c r="C12" s="31"/>
      <c r="D12" s="28"/>
      <c r="E12" s="29"/>
      <c r="F12" s="38"/>
      <c r="G12" s="30"/>
      <c r="H12" s="39">
        <f t="shared" si="0"/>
      </c>
      <c r="I12" s="37">
        <f t="shared" si="1"/>
      </c>
      <c r="J12" s="28"/>
      <c r="K12" s="31"/>
      <c r="L12" s="32">
        <f t="shared" si="2"/>
      </c>
    </row>
    <row r="13" spans="1:12" x14ac:dyDescent="0.25">
      <c r="A13" s="27"/>
      <c r="B13" s="29"/>
      <c r="C13" s="31"/>
      <c r="D13" s="28"/>
      <c r="E13" s="29"/>
      <c r="F13" s="38"/>
      <c r="G13" s="30"/>
      <c r="H13" s="39">
        <f t="shared" si="0"/>
      </c>
      <c r="I13" s="37">
        <f t="shared" si="1"/>
      </c>
      <c r="J13" s="28"/>
      <c r="K13" s="31"/>
      <c r="L13" s="32">
        <f t="shared" si="2"/>
      </c>
    </row>
    <row r="14" spans="1:12" x14ac:dyDescent="0.25">
      <c r="A14" s="27"/>
      <c r="B14" s="29"/>
      <c r="C14" s="31"/>
      <c r="D14" s="28"/>
      <c r="E14" s="29"/>
      <c r="F14" s="38"/>
      <c r="G14" s="30"/>
      <c r="H14" s="39">
        <f t="shared" si="0"/>
      </c>
      <c r="I14" s="37">
        <f t="shared" si="1"/>
      </c>
      <c r="J14" s="28"/>
      <c r="K14" s="31"/>
      <c r="L14" s="32">
        <f t="shared" si="2"/>
      </c>
    </row>
    <row r="15" spans="1:12" x14ac:dyDescent="0.25">
      <c r="A15" s="27"/>
      <c r="B15" s="29"/>
      <c r="C15" s="31"/>
      <c r="D15" s="28"/>
      <c r="E15" s="29"/>
      <c r="F15" s="38"/>
      <c r="G15" s="30"/>
      <c r="H15" s="39">
        <f t="shared" si="0"/>
      </c>
      <c r="I15" s="37">
        <f t="shared" si="1"/>
      </c>
      <c r="J15" s="28"/>
      <c r="K15" s="31"/>
      <c r="L15" s="32">
        <f t="shared" si="2"/>
      </c>
    </row>
    <row r="16" spans="1:12" x14ac:dyDescent="0.25">
      <c r="A16" s="27"/>
      <c r="B16" s="29"/>
      <c r="C16" s="31"/>
      <c r="D16" s="28"/>
      <c r="E16" s="29"/>
      <c r="F16" s="38"/>
      <c r="G16" s="30"/>
      <c r="H16" s="39">
        <f t="shared" si="0"/>
      </c>
      <c r="I16" s="37">
        <f t="shared" si="1"/>
      </c>
      <c r="J16" s="28"/>
      <c r="K16" s="31"/>
      <c r="L16" s="32">
        <f t="shared" si="2"/>
      </c>
    </row>
    <row r="17" spans="1:12" x14ac:dyDescent="0.25">
      <c r="A17" s="27"/>
      <c r="B17" s="29"/>
      <c r="C17" s="31"/>
      <c r="D17" s="28"/>
      <c r="E17" s="29"/>
      <c r="F17" s="38"/>
      <c r="G17" s="30"/>
      <c r="H17" s="39">
        <f t="shared" si="0"/>
      </c>
      <c r="I17" s="37">
        <f t="shared" si="1"/>
      </c>
      <c r="J17" s="28"/>
      <c r="K17" s="31"/>
      <c r="L17" s="32">
        <f t="shared" si="2"/>
      </c>
    </row>
    <row r="18" spans="1:12" x14ac:dyDescent="0.25">
      <c r="A18" s="27"/>
      <c r="B18" s="29"/>
      <c r="C18" s="31"/>
      <c r="D18" s="28"/>
      <c r="E18" s="29"/>
      <c r="F18" s="38"/>
      <c r="G18" s="30"/>
      <c r="H18" s="39">
        <f t="shared" si="0"/>
      </c>
      <c r="I18" s="37">
        <f t="shared" si="1"/>
      </c>
      <c r="J18" s="28"/>
      <c r="K18" s="31"/>
      <c r="L18" s="32">
        <f t="shared" si="2"/>
      </c>
    </row>
    <row r="19" spans="1:12" x14ac:dyDescent="0.25">
      <c r="A19" s="27"/>
      <c r="B19" s="29"/>
      <c r="C19" s="31"/>
      <c r="D19" s="28"/>
      <c r="E19" s="29"/>
      <c r="F19" s="38"/>
      <c r="G19" s="30"/>
      <c r="H19" s="39">
        <f t="shared" si="0"/>
      </c>
      <c r="I19" s="37">
        <f t="shared" si="1"/>
      </c>
      <c r="J19" s="28"/>
      <c r="K19" s="31"/>
      <c r="L19" s="32">
        <f t="shared" si="2"/>
      </c>
    </row>
    <row r="20" spans="1:12" x14ac:dyDescent="0.25">
      <c r="A20" s="27"/>
      <c r="B20" s="29"/>
      <c r="C20" s="31"/>
      <c r="D20" s="28"/>
      <c r="E20" s="29"/>
      <c r="F20" s="38"/>
      <c r="G20" s="30"/>
      <c r="H20" s="39">
        <f t="shared" si="0"/>
      </c>
      <c r="I20" s="37">
        <f t="shared" si="1"/>
      </c>
      <c r="J20" s="28"/>
      <c r="K20" s="31"/>
      <c r="L20" s="32">
        <f t="shared" si="2"/>
      </c>
    </row>
    <row r="21" spans="1:12" x14ac:dyDescent="0.25">
      <c r="A21" s="27"/>
      <c r="B21" s="29"/>
      <c r="C21" s="31"/>
      <c r="D21" s="28"/>
      <c r="E21" s="29"/>
      <c r="F21" s="38"/>
      <c r="G21" s="30"/>
      <c r="H21" s="39">
        <f t="shared" si="0"/>
      </c>
      <c r="I21" s="37">
        <f t="shared" si="1"/>
      </c>
      <c r="J21" s="28"/>
      <c r="K21" s="31"/>
      <c r="L21" s="32">
        <f t="shared" si="2"/>
      </c>
    </row>
    <row r="22" spans="1:12" x14ac:dyDescent="0.25">
      <c r="A22" s="27"/>
      <c r="B22" s="29"/>
      <c r="C22" s="31"/>
      <c r="D22" s="28"/>
      <c r="E22" s="29"/>
      <c r="F22" s="38"/>
      <c r="G22" s="30"/>
      <c r="H22" s="39">
        <f t="shared" si="0"/>
      </c>
      <c r="I22" s="37">
        <f t="shared" si="1"/>
      </c>
      <c r="J22" s="28"/>
      <c r="K22" s="31"/>
      <c r="L22" s="32">
        <f t="shared" si="2"/>
      </c>
    </row>
    <row r="23" spans="1:12" x14ac:dyDescent="0.25">
      <c r="A23" s="27"/>
      <c r="B23" s="29"/>
      <c r="C23" s="31"/>
      <c r="D23" s="28"/>
      <c r="E23" s="29"/>
      <c r="F23" s="38"/>
      <c r="G23" s="30"/>
      <c r="H23" s="39">
        <f t="shared" si="0"/>
      </c>
      <c r="I23" s="37">
        <f t="shared" si="1"/>
      </c>
      <c r="J23" s="28"/>
      <c r="K23" s="31"/>
      <c r="L23" s="32">
        <f t="shared" si="2"/>
      </c>
    </row>
    <row r="24" spans="1:12" x14ac:dyDescent="0.25">
      <c r="A24" s="27"/>
      <c r="B24" s="29"/>
      <c r="C24" s="31"/>
      <c r="D24" s="28"/>
      <c r="E24" s="29"/>
      <c r="F24" s="38"/>
      <c r="G24" s="30"/>
      <c r="H24" s="39">
        <f t="shared" si="0"/>
      </c>
      <c r="I24" s="37">
        <f t="shared" si="1"/>
      </c>
      <c r="J24" s="28"/>
      <c r="K24" s="31"/>
      <c r="L24" s="32">
        <f t="shared" si="2"/>
      </c>
    </row>
    <row r="25" spans="1:12" x14ac:dyDescent="0.25">
      <c r="A25" s="27"/>
      <c r="B25" s="29"/>
      <c r="C25" s="31"/>
      <c r="D25" s="28"/>
      <c r="E25" s="29"/>
      <c r="F25" s="38"/>
      <c r="G25" s="30"/>
      <c r="H25" s="39">
        <f t="shared" si="0"/>
      </c>
      <c r="I25" s="37">
        <f t="shared" si="1"/>
      </c>
      <c r="J25" s="28"/>
      <c r="K25" s="31"/>
      <c r="L25" s="32">
        <f t="shared" si="2"/>
      </c>
    </row>
    <row r="26" spans="1:12" x14ac:dyDescent="0.25">
      <c r="A26" s="27"/>
      <c r="B26" s="29"/>
      <c r="C26" s="31"/>
      <c r="D26" s="28"/>
      <c r="E26" s="29"/>
      <c r="F26" s="38"/>
      <c r="G26" s="30"/>
      <c r="H26" s="39">
        <f t="shared" si="0"/>
      </c>
      <c r="I26" s="37">
        <f t="shared" si="1"/>
      </c>
      <c r="J26" s="28"/>
      <c r="K26" s="31"/>
      <c r="L26" s="32">
        <f t="shared" si="2"/>
      </c>
    </row>
    <row r="27" spans="1:12" x14ac:dyDescent="0.25">
      <c r="A27" s="27"/>
      <c r="B27" s="29"/>
      <c r="C27" s="31"/>
      <c r="D27" s="28"/>
      <c r="E27" s="29"/>
      <c r="F27" s="38"/>
      <c r="G27" s="30"/>
      <c r="H27" s="39">
        <f t="shared" si="0"/>
      </c>
      <c r="I27" s="37">
        <f t="shared" si="1"/>
      </c>
      <c r="J27" s="28"/>
      <c r="K27" s="31"/>
      <c r="L27" s="32">
        <f t="shared" si="2"/>
      </c>
    </row>
    <row r="28" spans="1:12" x14ac:dyDescent="0.25">
      <c r="A28" s="27"/>
      <c r="B28" s="29"/>
      <c r="C28" s="31"/>
      <c r="D28" s="28"/>
      <c r="E28" s="29"/>
      <c r="F28" s="38"/>
      <c r="G28" s="30"/>
      <c r="H28" s="39">
        <f t="shared" si="0"/>
      </c>
      <c r="I28" s="37">
        <f t="shared" si="1"/>
      </c>
      <c r="J28" s="28"/>
      <c r="K28" s="31"/>
      <c r="L28" s="32">
        <f t="shared" si="2"/>
      </c>
    </row>
    <row r="29" spans="1:12" x14ac:dyDescent="0.25">
      <c r="A29" s="27"/>
      <c r="B29" s="29"/>
      <c r="C29" s="31"/>
      <c r="D29" s="28"/>
      <c r="E29" s="29"/>
      <c r="F29" s="38"/>
      <c r="G29" s="30"/>
      <c r="H29" s="39">
        <f t="shared" si="0"/>
      </c>
      <c r="I29" s="37">
        <f t="shared" si="1"/>
      </c>
      <c r="J29" s="28"/>
      <c r="K29" s="31"/>
      <c r="L29" s="32">
        <f t="shared" si="2"/>
      </c>
    </row>
    <row r="30" spans="1:12" x14ac:dyDescent="0.25">
      <c r="A30" s="27"/>
      <c r="B30" s="29"/>
      <c r="C30" s="31"/>
      <c r="D30" s="28"/>
      <c r="E30" s="29"/>
      <c r="F30" s="38"/>
      <c r="G30" s="30"/>
      <c r="H30" s="39">
        <f t="shared" si="0"/>
      </c>
      <c r="I30" s="37">
        <f t="shared" si="1"/>
      </c>
      <c r="J30" s="28"/>
      <c r="K30" s="31"/>
      <c r="L30" s="32">
        <f t="shared" si="2"/>
      </c>
    </row>
    <row r="31" spans="1:12" x14ac:dyDescent="0.25">
      <c r="A31" s="27"/>
      <c r="B31" s="29"/>
      <c r="C31" s="31"/>
      <c r="D31" s="28"/>
      <c r="E31" s="29"/>
      <c r="F31" s="38"/>
      <c r="G31" s="30"/>
      <c r="H31" s="39">
        <f t="shared" si="0"/>
      </c>
      <c r="I31" s="37">
        <f t="shared" si="1"/>
      </c>
      <c r="J31" s="28"/>
      <c r="K31" s="31"/>
      <c r="L31" s="32">
        <f t="shared" si="2"/>
      </c>
    </row>
    <row r="32" spans="1:12" x14ac:dyDescent="0.25">
      <c r="A32" s="27"/>
      <c r="B32" s="29"/>
      <c r="C32" s="31"/>
      <c r="D32" s="28"/>
      <c r="E32" s="29"/>
      <c r="F32" s="38"/>
      <c r="G32" s="30"/>
      <c r="H32" s="39">
        <f t="shared" si="0"/>
      </c>
      <c r="I32" s="37">
        <f t="shared" si="1"/>
      </c>
      <c r="J32" s="28"/>
      <c r="K32" s="31"/>
      <c r="L32" s="32">
        <f t="shared" si="2"/>
      </c>
    </row>
    <row r="33" spans="1:12" x14ac:dyDescent="0.25">
      <c r="A33" s="27"/>
      <c r="B33" s="29"/>
      <c r="C33" s="31"/>
      <c r="D33" s="28"/>
      <c r="E33" s="29"/>
      <c r="F33" s="38"/>
      <c r="G33" s="30"/>
      <c r="H33" s="39">
        <f t="shared" si="0"/>
      </c>
      <c r="I33" s="37">
        <f t="shared" si="1"/>
      </c>
      <c r="J33" s="28"/>
      <c r="K33" s="31"/>
      <c r="L33" s="32">
        <f t="shared" si="2"/>
      </c>
    </row>
    <row r="34" spans="1:12" x14ac:dyDescent="0.25">
      <c r="A34" s="27"/>
      <c r="B34" s="29"/>
      <c r="C34" s="31"/>
      <c r="D34" s="28"/>
      <c r="E34" s="29"/>
      <c r="F34" s="38"/>
      <c r="G34" s="30"/>
      <c r="H34" s="39">
        <f t="shared" si="0"/>
      </c>
      <c r="I34" s="37">
        <f t="shared" si="1"/>
      </c>
      <c r="J34" s="28"/>
      <c r="K34" s="31"/>
      <c r="L34" s="32">
        <f t="shared" si="2"/>
      </c>
    </row>
    <row r="35" spans="1:12" x14ac:dyDescent="0.25">
      <c r="A35" s="27"/>
      <c r="B35" s="29"/>
      <c r="C35" s="31"/>
      <c r="D35" s="28"/>
      <c r="E35" s="29"/>
      <c r="F35" s="38"/>
      <c r="G35" s="30"/>
      <c r="H35" s="39">
        <f t="shared" si="0"/>
      </c>
      <c r="I35" s="37">
        <f t="shared" si="1"/>
      </c>
      <c r="J35" s="28"/>
      <c r="K35" s="31"/>
      <c r="L35" s="32">
        <f t="shared" si="2"/>
      </c>
    </row>
    <row r="36" spans="1:12" x14ac:dyDescent="0.25">
      <c r="A36" s="27"/>
      <c r="B36" s="29"/>
      <c r="C36" s="31"/>
      <c r="D36" s="28"/>
      <c r="E36" s="29"/>
      <c r="F36" s="38"/>
      <c r="G36" s="30"/>
      <c r="H36" s="39">
        <f t="shared" si="0"/>
      </c>
      <c r="I36" s="37">
        <f t="shared" si="1"/>
      </c>
      <c r="J36" s="28"/>
      <c r="K36" s="31"/>
      <c r="L36" s="32">
        <f t="shared" si="2"/>
      </c>
    </row>
    <row r="37" spans="1:12" x14ac:dyDescent="0.25">
      <c r="A37" s="27"/>
      <c r="B37" s="29"/>
      <c r="C37" s="31"/>
      <c r="D37" s="28"/>
      <c r="E37" s="29"/>
      <c r="F37" s="38"/>
      <c r="G37" s="30"/>
      <c r="H37" s="39">
        <f t="shared" si="0"/>
      </c>
      <c r="I37" s="37">
        <f t="shared" si="1"/>
      </c>
      <c r="J37" s="28"/>
      <c r="K37" s="31"/>
      <c r="L37" s="32">
        <f t="shared" si="2"/>
      </c>
    </row>
    <row r="38" spans="1:12" x14ac:dyDescent="0.25">
      <c r="A38" s="27"/>
      <c r="B38" s="29"/>
      <c r="C38" s="31"/>
      <c r="D38" s="28"/>
      <c r="E38" s="29"/>
      <c r="F38" s="38"/>
      <c r="G38" s="30"/>
      <c r="H38" s="39">
        <f t="shared" si="0"/>
      </c>
      <c r="I38" s="37">
        <f t="shared" si="1"/>
      </c>
      <c r="J38" s="28"/>
      <c r="K38" s="31"/>
      <c r="L38" s="32">
        <f t="shared" si="2"/>
      </c>
    </row>
    <row r="39" spans="1:12" x14ac:dyDescent="0.25">
      <c r="A39" s="27"/>
      <c r="B39" s="29"/>
      <c r="C39" s="31"/>
      <c r="D39" s="28"/>
      <c r="E39" s="29"/>
      <c r="F39" s="38"/>
      <c r="G39" s="30"/>
      <c r="H39" s="39">
        <f t="shared" si="0"/>
      </c>
      <c r="I39" s="37">
        <f t="shared" si="1"/>
      </c>
      <c r="J39" s="28"/>
      <c r="K39" s="31"/>
      <c r="L39" s="32">
        <f t="shared" si="2"/>
      </c>
    </row>
    <row r="40" spans="1:12" x14ac:dyDescent="0.25">
      <c r="A40" s="27"/>
      <c r="B40" s="29"/>
      <c r="C40" s="31"/>
      <c r="D40" s="28"/>
      <c r="E40" s="29"/>
      <c r="F40" s="38"/>
      <c r="G40" s="30"/>
      <c r="H40" s="39">
        <f t="shared" si="0"/>
      </c>
      <c r="I40" s="37">
        <f t="shared" si="1"/>
      </c>
      <c r="J40" s="28"/>
      <c r="K40" s="31"/>
      <c r="L40" s="32">
        <f t="shared" si="2"/>
      </c>
    </row>
    <row r="41" spans="1:12" x14ac:dyDescent="0.25">
      <c r="A41" s="27"/>
      <c r="B41" s="29"/>
      <c r="C41" s="31"/>
      <c r="D41" s="28"/>
      <c r="E41" s="29"/>
      <c r="F41" s="38"/>
      <c r="G41" s="30"/>
      <c r="H41" s="39">
        <f t="shared" si="0"/>
      </c>
      <c r="I41" s="37">
        <f t="shared" si="1"/>
      </c>
      <c r="J41" s="28"/>
      <c r="K41" s="31"/>
      <c r="L41" s="32">
        <f t="shared" si="2"/>
      </c>
    </row>
    <row r="42" spans="1:12" x14ac:dyDescent="0.25">
      <c r="A42" s="27"/>
      <c r="B42" s="29"/>
      <c r="C42" s="31"/>
      <c r="D42" s="28"/>
      <c r="E42" s="29"/>
      <c r="F42" s="38"/>
      <c r="G42" s="30"/>
      <c r="H42" s="39">
        <f t="shared" si="0"/>
      </c>
      <c r="I42" s="37">
        <f t="shared" si="1"/>
      </c>
      <c r="J42" s="28"/>
      <c r="K42" s="31"/>
      <c r="L42" s="32">
        <f t="shared" si="2"/>
      </c>
    </row>
    <row r="43" spans="1:12" x14ac:dyDescent="0.25">
      <c r="A43" s="27"/>
      <c r="B43" s="29"/>
      <c r="C43" s="31"/>
      <c r="D43" s="28"/>
      <c r="E43" s="29"/>
      <c r="F43" s="38"/>
      <c r="G43" s="30"/>
      <c r="H43" s="39">
        <f t="shared" si="0"/>
      </c>
      <c r="I43" s="37">
        <f t="shared" si="1"/>
      </c>
      <c r="J43" s="28"/>
      <c r="K43" s="31"/>
      <c r="L43" s="32">
        <f t="shared" si="2"/>
      </c>
    </row>
    <row r="44" spans="1:12" x14ac:dyDescent="0.25">
      <c r="A44" s="27"/>
      <c r="B44" s="29"/>
      <c r="C44" s="31"/>
      <c r="D44" s="28"/>
      <c r="E44" s="29"/>
      <c r="F44" s="38"/>
      <c r="G44" s="30"/>
      <c r="H44" s="39">
        <f t="shared" si="0"/>
      </c>
      <c r="I44" s="37">
        <f t="shared" si="1"/>
      </c>
      <c r="J44" s="28"/>
      <c r="K44" s="31"/>
      <c r="L44" s="32">
        <f t="shared" si="2"/>
      </c>
    </row>
    <row r="45" spans="1:12" x14ac:dyDescent="0.25">
      <c r="A45" s="27"/>
      <c r="B45" s="29"/>
      <c r="C45" s="31"/>
      <c r="D45" s="28"/>
      <c r="E45" s="29"/>
      <c r="F45" s="38"/>
      <c r="G45" s="30"/>
      <c r="H45" s="39">
        <f t="shared" si="0"/>
      </c>
      <c r="I45" s="37">
        <f t="shared" si="1"/>
      </c>
      <c r="J45" s="28"/>
      <c r="K45" s="31"/>
      <c r="L45" s="32">
        <f t="shared" si="2"/>
      </c>
    </row>
    <row r="46" spans="1:12" x14ac:dyDescent="0.25">
      <c r="A46" s="27"/>
      <c r="B46" s="29"/>
      <c r="C46" s="31"/>
      <c r="D46" s="28"/>
      <c r="E46" s="29"/>
      <c r="F46" s="38"/>
      <c r="G46" s="30"/>
      <c r="H46" s="39">
        <f t="shared" si="0"/>
      </c>
      <c r="I46" s="37">
        <f t="shared" si="1"/>
      </c>
      <c r="J46" s="28"/>
      <c r="K46" s="31"/>
      <c r="L46" s="32">
        <f t="shared" si="2"/>
      </c>
    </row>
    <row r="47" spans="1:12" x14ac:dyDescent="0.25">
      <c r="A47" s="27"/>
      <c r="B47" s="29"/>
      <c r="C47" s="31"/>
      <c r="D47" s="28"/>
      <c r="E47" s="29"/>
      <c r="F47" s="38"/>
      <c r="G47" s="30"/>
      <c r="H47" s="39">
        <f t="shared" si="0"/>
      </c>
      <c r="I47" s="37">
        <f t="shared" si="1"/>
      </c>
      <c r="J47" s="28"/>
      <c r="K47" s="31"/>
      <c r="L47" s="32">
        <f t="shared" si="2"/>
      </c>
    </row>
    <row r="48" spans="1:12" x14ac:dyDescent="0.25">
      <c r="A48" s="27"/>
      <c r="B48" s="29"/>
      <c r="C48" s="31"/>
      <c r="D48" s="28"/>
      <c r="E48" s="29"/>
      <c r="F48" s="38"/>
      <c r="G48" s="30"/>
      <c r="H48" s="39">
        <f t="shared" si="0"/>
      </c>
      <c r="I48" s="37">
        <f t="shared" si="1"/>
      </c>
      <c r="J48" s="28"/>
      <c r="K48" s="31"/>
      <c r="L48" s="32">
        <f t="shared" si="2"/>
      </c>
    </row>
    <row r="49" spans="1:12" x14ac:dyDescent="0.25">
      <c r="A49" s="27"/>
      <c r="B49" s="29"/>
      <c r="C49" s="31"/>
      <c r="D49" s="28"/>
      <c r="E49" s="29"/>
      <c r="F49" s="38"/>
      <c r="G49" s="30"/>
      <c r="H49" s="39">
        <f t="shared" si="0"/>
      </c>
      <c r="I49" s="37">
        <f t="shared" si="1"/>
      </c>
      <c r="J49" s="28"/>
      <c r="K49" s="31"/>
      <c r="L49" s="32">
        <f t="shared" si="2"/>
      </c>
    </row>
    <row r="50" spans="1:12" x14ac:dyDescent="0.25">
      <c r="A50" s="27"/>
      <c r="B50" s="29"/>
      <c r="C50" s="31"/>
      <c r="D50" s="28"/>
      <c r="E50" s="29"/>
      <c r="F50" s="38"/>
      <c r="G50" s="30"/>
      <c r="H50" s="39">
        <f t="shared" si="0"/>
      </c>
      <c r="I50" s="37">
        <f t="shared" si="1"/>
      </c>
      <c r="J50" s="28"/>
      <c r="K50" s="31"/>
      <c r="L50" s="32">
        <f t="shared" si="2"/>
      </c>
    </row>
    <row r="51" spans="1:12" x14ac:dyDescent="0.25">
      <c r="A51" s="27"/>
      <c r="B51" s="29"/>
      <c r="C51" s="31"/>
      <c r="D51" s="28"/>
      <c r="E51" s="29"/>
      <c r="F51" s="38"/>
      <c r="G51" s="30"/>
      <c r="H51" s="39">
        <f t="shared" si="0"/>
      </c>
      <c r="I51" s="37">
        <f t="shared" si="1"/>
      </c>
      <c r="J51" s="28"/>
      <c r="K51" s="31"/>
      <c r="L51" s="32">
        <f t="shared" si="2"/>
      </c>
    </row>
    <row r="52" spans="1:12" x14ac:dyDescent="0.25">
      <c r="A52" s="27"/>
      <c r="B52" s="29"/>
      <c r="C52" s="31"/>
      <c r="D52" s="28"/>
      <c r="E52" s="29"/>
      <c r="F52" s="38"/>
      <c r="G52" s="30"/>
      <c r="H52" s="39">
        <f t="shared" si="0"/>
      </c>
      <c r="I52" s="37">
        <f t="shared" si="1"/>
      </c>
      <c r="J52" s="28"/>
      <c r="K52" s="31"/>
      <c r="L52" s="32">
        <f t="shared" si="2"/>
      </c>
    </row>
    <row r="53" spans="1:12" x14ac:dyDescent="0.25">
      <c r="A53" s="27"/>
      <c r="B53" s="29"/>
      <c r="C53" s="31"/>
      <c r="D53" s="28"/>
      <c r="E53" s="29"/>
      <c r="F53" s="38"/>
      <c r="G53" s="30"/>
      <c r="H53" s="39">
        <f t="shared" si="0"/>
      </c>
      <c r="I53" s="37">
        <f t="shared" si="1"/>
      </c>
      <c r="J53" s="28"/>
      <c r="K53" s="31"/>
      <c r="L53" s="32">
        <f t="shared" si="2"/>
      </c>
    </row>
    <row r="54" spans="1:12" x14ac:dyDescent="0.25">
      <c r="A54" s="27"/>
      <c r="B54" s="29"/>
      <c r="C54" s="31"/>
      <c r="D54" s="28"/>
      <c r="E54" s="29"/>
      <c r="F54" s="38"/>
      <c r="G54" s="30"/>
      <c r="H54" s="39">
        <f t="shared" si="0"/>
      </c>
      <c r="I54" s="37">
        <f t="shared" si="1"/>
      </c>
      <c r="J54" s="28"/>
      <c r="K54" s="31"/>
      <c r="L54" s="32">
        <f t="shared" si="2"/>
      </c>
    </row>
    <row r="55" spans="1:12" x14ac:dyDescent="0.25">
      <c r="A55" s="27"/>
      <c r="B55" s="29"/>
      <c r="C55" s="31"/>
      <c r="D55" s="28"/>
      <c r="E55" s="29"/>
      <c r="F55" s="38"/>
      <c r="G55" s="30"/>
      <c r="H55" s="39">
        <f t="shared" si="0"/>
      </c>
      <c r="I55" s="37">
        <f t="shared" si="1"/>
      </c>
      <c r="J55" s="28"/>
      <c r="K55" s="31"/>
      <c r="L55" s="32">
        <f t="shared" si="2"/>
      </c>
    </row>
    <row r="56" spans="1:12" x14ac:dyDescent="0.25">
      <c r="A56" s="27"/>
      <c r="B56" s="29"/>
      <c r="C56" s="31"/>
      <c r="D56" s="28"/>
      <c r="E56" s="29"/>
      <c r="F56" s="38"/>
      <c r="G56" s="30"/>
      <c r="H56" s="39">
        <f t="shared" si="0"/>
      </c>
      <c r="I56" s="37">
        <f t="shared" si="1"/>
      </c>
      <c r="J56" s="28"/>
      <c r="K56" s="31"/>
      <c r="L56" s="32">
        <f t="shared" si="2"/>
      </c>
    </row>
    <row r="57" spans="1:12" x14ac:dyDescent="0.25">
      <c r="A57" s="27"/>
      <c r="B57" s="29"/>
      <c r="C57" s="31"/>
      <c r="D57" s="28"/>
      <c r="E57" s="29"/>
      <c r="F57" s="38"/>
      <c r="G57" s="30"/>
      <c r="H57" s="39">
        <f t="shared" si="0"/>
      </c>
      <c r="I57" s="37">
        <f t="shared" si="1"/>
      </c>
      <c r="J57" s="28"/>
      <c r="K57" s="31"/>
      <c r="L57" s="32">
        <f t="shared" si="2"/>
      </c>
    </row>
    <row r="58" spans="1:12" x14ac:dyDescent="0.25">
      <c r="A58" s="27"/>
      <c r="B58" s="29"/>
      <c r="C58" s="31"/>
      <c r="D58" s="28"/>
      <c r="E58" s="29"/>
      <c r="F58" s="38"/>
      <c r="G58" s="30"/>
      <c r="H58" s="39">
        <f t="shared" si="0"/>
      </c>
      <c r="I58" s="37">
        <f t="shared" si="1"/>
      </c>
      <c r="J58" s="28"/>
      <c r="K58" s="31"/>
      <c r="L58" s="32">
        <f t="shared" si="2"/>
      </c>
    </row>
    <row r="59" spans="1:12" x14ac:dyDescent="0.25">
      <c r="A59" s="27"/>
      <c r="B59" s="29"/>
      <c r="C59" s="31"/>
      <c r="D59" s="28"/>
      <c r="E59" s="29"/>
      <c r="F59" s="38"/>
      <c r="G59" s="30"/>
      <c r="H59" s="39">
        <f t="shared" si="0"/>
      </c>
      <c r="I59" s="37">
        <f t="shared" si="1"/>
      </c>
      <c r="J59" s="28"/>
      <c r="K59" s="31"/>
      <c r="L59" s="32">
        <f t="shared" si="2"/>
      </c>
    </row>
    <row r="60" spans="1:12" x14ac:dyDescent="0.25">
      <c r="A60" s="27"/>
      <c r="B60" s="29"/>
      <c r="C60" s="31"/>
      <c r="D60" s="28"/>
      <c r="E60" s="29"/>
      <c r="F60" s="38"/>
      <c r="G60" s="30"/>
      <c r="H60" s="39">
        <f t="shared" si="0"/>
      </c>
      <c r="I60" s="37">
        <f t="shared" si="1"/>
      </c>
      <c r="J60" s="28"/>
      <c r="K60" s="31"/>
      <c r="L60" s="32">
        <f t="shared" si="2"/>
      </c>
    </row>
    <row r="61" spans="1:12" x14ac:dyDescent="0.25">
      <c r="A61" s="27"/>
      <c r="B61" s="29"/>
      <c r="C61" s="31"/>
      <c r="D61" s="28"/>
      <c r="E61" s="29"/>
      <c r="F61" s="38"/>
      <c r="G61" s="30"/>
      <c r="H61" s="39">
        <f t="shared" si="0"/>
      </c>
      <c r="I61" s="37">
        <f t="shared" si="1"/>
      </c>
      <c r="J61" s="28"/>
      <c r="K61" s="31"/>
      <c r="L61" s="32">
        <f t="shared" si="2"/>
      </c>
    </row>
    <row r="62" spans="1:12" x14ac:dyDescent="0.25">
      <c r="A62" s="27"/>
      <c r="B62" s="29"/>
      <c r="C62" s="31"/>
      <c r="D62" s="28"/>
      <c r="E62" s="29"/>
      <c r="F62" s="38"/>
      <c r="G62" s="30"/>
      <c r="H62" s="39">
        <f t="shared" si="0"/>
      </c>
      <c r="I62" s="37">
        <f t="shared" si="1"/>
      </c>
      <c r="J62" s="28"/>
      <c r="K62" s="31"/>
      <c r="L62" s="32">
        <f t="shared" si="2"/>
      </c>
    </row>
    <row r="63" spans="1:12" x14ac:dyDescent="0.25">
      <c r="A63" s="27"/>
      <c r="B63" s="29"/>
      <c r="C63" s="31"/>
      <c r="D63" s="28"/>
      <c r="E63" s="29"/>
      <c r="F63" s="38"/>
      <c r="G63" s="30"/>
      <c r="H63" s="39">
        <f t="shared" si="0"/>
      </c>
      <c r="I63" s="37">
        <f t="shared" si="1"/>
      </c>
      <c r="J63" s="28"/>
      <c r="K63" s="31"/>
      <c r="L63" s="32">
        <f t="shared" si="2"/>
      </c>
    </row>
    <row r="64" spans="1:12" x14ac:dyDescent="0.25">
      <c r="A64" s="27"/>
      <c r="B64" s="29"/>
      <c r="C64" s="31"/>
      <c r="D64" s="28"/>
      <c r="E64" s="29"/>
      <c r="F64" s="38"/>
      <c r="G64" s="30"/>
      <c r="H64" s="39">
        <f t="shared" si="0"/>
      </c>
      <c r="I64" s="37">
        <f t="shared" si="1"/>
      </c>
      <c r="J64" s="28"/>
      <c r="K64" s="31"/>
      <c r="L64" s="32">
        <f t="shared" si="2"/>
      </c>
    </row>
    <row r="65" spans="1:12" x14ac:dyDescent="0.25">
      <c r="A65" s="27"/>
      <c r="B65" s="29"/>
      <c r="C65" s="31"/>
      <c r="D65" s="28"/>
      <c r="E65" s="29"/>
      <c r="F65" s="38"/>
      <c r="G65" s="30"/>
      <c r="H65" s="39">
        <f t="shared" si="0"/>
      </c>
      <c r="I65" s="37">
        <f t="shared" si="1"/>
      </c>
      <c r="J65" s="28"/>
      <c r="K65" s="31"/>
      <c r="L65" s="32">
        <f t="shared" si="2"/>
      </c>
    </row>
    <row r="66" spans="1:12" x14ac:dyDescent="0.25">
      <c r="A66" s="27"/>
      <c r="B66" s="29"/>
      <c r="C66" s="31"/>
      <c r="D66" s="28"/>
      <c r="E66" s="29"/>
      <c r="F66" s="38"/>
      <c r="G66" s="30"/>
      <c r="H66" s="39">
        <f t="shared" si="0"/>
      </c>
      <c r="I66" s="37">
        <f t="shared" si="1"/>
      </c>
      <c r="J66" s="28"/>
      <c r="K66" s="31"/>
      <c r="L66" s="32">
        <f t="shared" si="2"/>
      </c>
    </row>
    <row r="67" spans="1:12" x14ac:dyDescent="0.25">
      <c r="A67" s="27"/>
      <c r="B67" s="29"/>
      <c r="C67" s="31"/>
      <c r="D67" s="28"/>
      <c r="E67" s="29"/>
      <c r="F67" s="38"/>
      <c r="G67" s="30"/>
      <c r="H67" s="39">
        <f t="shared" si="0"/>
      </c>
      <c r="I67" s="37">
        <f t="shared" si="1"/>
      </c>
      <c r="J67" s="28"/>
      <c r="K67" s="31"/>
      <c r="L67" s="32">
        <f t="shared" si="2"/>
      </c>
    </row>
    <row r="68" spans="1:12" x14ac:dyDescent="0.25">
      <c r="A68" s="27"/>
      <c r="B68" s="29"/>
      <c r="C68" s="31"/>
      <c r="D68" s="28"/>
      <c r="E68" s="29"/>
      <c r="F68" s="38"/>
      <c r="G68" s="30"/>
      <c r="H68" s="39">
        <f t="shared" si="0"/>
      </c>
      <c r="I68" s="37">
        <f t="shared" si="1"/>
      </c>
      <c r="J68" s="28"/>
      <c r="K68" s="31"/>
      <c r="L68" s="32">
        <f t="shared" si="2"/>
      </c>
    </row>
    <row r="69" spans="1:12" x14ac:dyDescent="0.25">
      <c r="A69" s="27"/>
      <c r="B69" s="29"/>
      <c r="C69" s="31"/>
      <c r="D69" s="28"/>
      <c r="E69" s="29"/>
      <c r="F69" s="38"/>
      <c r="G69" s="30"/>
      <c r="H69" s="39">
        <f t="shared" si="0"/>
      </c>
      <c r="I69" s="37">
        <f t="shared" si="1"/>
      </c>
      <c r="J69" s="28"/>
      <c r="K69" s="31"/>
      <c r="L69" s="32">
        <f t="shared" si="2"/>
      </c>
    </row>
    <row r="70" spans="1:12" x14ac:dyDescent="0.25">
      <c r="A70" s="27"/>
      <c r="B70" s="29"/>
      <c r="C70" s="31"/>
      <c r="D70" s="28"/>
      <c r="E70" s="29"/>
      <c r="F70" s="38"/>
      <c r="G70" s="30"/>
      <c r="H70" s="39">
        <f t="shared" si="0"/>
      </c>
      <c r="I70" s="37">
        <f t="shared" si="1"/>
      </c>
      <c r="J70" s="28"/>
      <c r="K70" s="31"/>
      <c r="L70" s="32">
        <f t="shared" si="2"/>
      </c>
    </row>
    <row r="71" spans="1:12" x14ac:dyDescent="0.25">
      <c r="A71" s="27"/>
      <c r="B71" s="29"/>
      <c r="C71" s="31"/>
      <c r="D71" s="28"/>
      <c r="E71" s="29"/>
      <c r="F71" s="38"/>
      <c r="G71" s="30"/>
      <c r="H71" s="39">
        <f t="shared" si="0"/>
      </c>
      <c r="I71" s="37">
        <f t="shared" si="1"/>
      </c>
      <c r="J71" s="28"/>
      <c r="K71" s="31"/>
      <c r="L71" s="32">
        <f t="shared" si="2"/>
      </c>
    </row>
    <row r="72" spans="1:12" x14ac:dyDescent="0.25">
      <c r="A72" s="27"/>
      <c r="B72" s="29"/>
      <c r="C72" s="31"/>
      <c r="D72" s="28"/>
      <c r="E72" s="29"/>
      <c r="F72" s="38"/>
      <c r="G72" s="30"/>
      <c r="H72" s="39">
        <f t="shared" si="0"/>
      </c>
      <c r="I72" s="37">
        <f t="shared" si="1"/>
      </c>
      <c r="J72" s="28"/>
      <c r="K72" s="31"/>
      <c r="L72" s="32">
        <f t="shared" si="2"/>
      </c>
    </row>
    <row r="73" spans="1:12" x14ac:dyDescent="0.25">
      <c r="A73" s="27"/>
      <c r="B73" s="29"/>
      <c r="C73" s="31"/>
      <c r="D73" s="28"/>
      <c r="E73" s="29"/>
      <c r="F73" s="38"/>
      <c r="G73" s="30"/>
      <c r="H73" s="39">
        <f t="shared" si="0"/>
      </c>
      <c r="I73" s="37">
        <f t="shared" si="1"/>
      </c>
      <c r="J73" s="28"/>
      <c r="K73" s="31"/>
      <c r="L73" s="32">
        <f t="shared" si="2"/>
      </c>
    </row>
    <row r="74" spans="1:12" x14ac:dyDescent="0.25">
      <c r="A74" s="27"/>
      <c r="B74" s="29"/>
      <c r="C74" s="31"/>
      <c r="D74" s="28"/>
      <c r="E74" s="29"/>
      <c r="F74" s="38"/>
      <c r="G74" s="30"/>
      <c r="H74" s="39">
        <f t="shared" si="0"/>
      </c>
      <c r="I74" s="37">
        <f t="shared" si="1"/>
      </c>
      <c r="J74" s="28"/>
      <c r="K74" s="31"/>
      <c r="L74" s="32">
        <f t="shared" si="2"/>
      </c>
    </row>
    <row r="75" spans="1:12" x14ac:dyDescent="0.25">
      <c r="A75" s="27"/>
      <c r="B75" s="29"/>
      <c r="C75" s="31"/>
      <c r="D75" s="28"/>
      <c r="E75" s="29"/>
      <c r="F75" s="38"/>
      <c r="G75" s="30"/>
      <c r="H75" s="39">
        <f t="shared" si="0"/>
      </c>
      <c r="I75" s="37">
        <f t="shared" si="1"/>
      </c>
      <c r="J75" s="28"/>
      <c r="K75" s="31"/>
      <c r="L75" s="32">
        <f t="shared" si="2"/>
      </c>
    </row>
    <row r="76" spans="1:12" x14ac:dyDescent="0.25">
      <c r="A76" s="27"/>
      <c r="B76" s="29"/>
      <c r="C76" s="31"/>
      <c r="D76" s="28"/>
      <c r="E76" s="29"/>
      <c r="F76" s="38"/>
      <c r="G76" s="30"/>
      <c r="H76" s="39">
        <f t="shared" si="0"/>
      </c>
      <c r="I76" s="37">
        <f t="shared" si="1"/>
      </c>
      <c r="J76" s="28"/>
      <c r="K76" s="31"/>
      <c r="L76" s="32">
        <f t="shared" si="2"/>
      </c>
    </row>
    <row r="77" spans="1:12" x14ac:dyDescent="0.25">
      <c r="A77" s="27"/>
      <c r="B77" s="29"/>
      <c r="C77" s="31"/>
      <c r="D77" s="28"/>
      <c r="E77" s="29"/>
      <c r="F77" s="38"/>
      <c r="G77" s="30"/>
      <c r="H77" s="39">
        <f t="shared" si="0"/>
      </c>
      <c r="I77" s="37">
        <f t="shared" si="1"/>
      </c>
      <c r="J77" s="28"/>
      <c r="K77" s="31"/>
      <c r="L77" s="32">
        <f t="shared" si="2"/>
      </c>
    </row>
    <row r="78" spans="1:12" x14ac:dyDescent="0.25">
      <c r="A78" s="27"/>
      <c r="B78" s="29"/>
      <c r="C78" s="31"/>
      <c r="D78" s="28"/>
      <c r="E78" s="29"/>
      <c r="F78" s="38"/>
      <c r="G78" s="30"/>
      <c r="H78" s="39">
        <f t="shared" si="0"/>
      </c>
      <c r="I78" s="37">
        <f t="shared" si="1"/>
      </c>
      <c r="J78" s="28"/>
      <c r="K78" s="31"/>
      <c r="L78" s="32">
        <f t="shared" si="2"/>
      </c>
    </row>
    <row r="79" spans="1:12" x14ac:dyDescent="0.25">
      <c r="A79" s="27"/>
      <c r="B79" s="29"/>
      <c r="C79" s="31"/>
      <c r="D79" s="28"/>
      <c r="E79" s="29"/>
      <c r="F79" s="38"/>
      <c r="G79" s="30"/>
      <c r="H79" s="39">
        <f t="shared" si="0"/>
      </c>
      <c r="I79" s="37">
        <f t="shared" si="1"/>
      </c>
      <c r="J79" s="28"/>
      <c r="K79" s="31"/>
      <c r="L79" s="32">
        <f t="shared" si="2"/>
      </c>
    </row>
    <row r="80" spans="1:12" x14ac:dyDescent="0.25">
      <c r="A80" s="27"/>
      <c r="B80" s="29"/>
      <c r="C80" s="31"/>
      <c r="D80" s="28"/>
      <c r="E80" s="29"/>
      <c r="F80" s="38"/>
      <c r="G80" s="30"/>
      <c r="H80" s="39">
        <f t="shared" si="0"/>
      </c>
      <c r="I80" s="37">
        <f t="shared" si="1"/>
      </c>
      <c r="J80" s="28"/>
      <c r="K80" s="31"/>
      <c r="L80" s="32">
        <f t="shared" si="2"/>
      </c>
    </row>
    <row r="81" spans="1:12" x14ac:dyDescent="0.25">
      <c r="A81" s="27"/>
      <c r="B81" s="29"/>
      <c r="C81" s="31"/>
      <c r="D81" s="28"/>
      <c r="E81" s="29"/>
      <c r="F81" s="38"/>
      <c r="G81" s="30"/>
      <c r="H81" s="39">
        <f t="shared" si="0"/>
      </c>
      <c r="I81" s="37">
        <f t="shared" si="1"/>
      </c>
      <c r="J81" s="28"/>
      <c r="K81" s="31"/>
      <c r="L81" s="32">
        <f t="shared" si="2"/>
      </c>
    </row>
    <row r="82" spans="1:12" x14ac:dyDescent="0.25">
      <c r="A82" s="27"/>
      <c r="B82" s="29"/>
      <c r="C82" s="31"/>
      <c r="D82" s="28"/>
      <c r="E82" s="29"/>
      <c r="F82" s="38"/>
      <c r="G82" s="30"/>
      <c r="H82" s="39">
        <f t="shared" si="0"/>
      </c>
      <c r="I82" s="37">
        <f t="shared" si="1"/>
      </c>
      <c r="J82" s="28"/>
      <c r="K82" s="31"/>
      <c r="L82" s="32">
        <f t="shared" si="2"/>
      </c>
    </row>
    <row r="83" spans="1:12" x14ac:dyDescent="0.25">
      <c r="A83" s="27"/>
      <c r="B83" s="29"/>
      <c r="C83" s="31"/>
      <c r="D83" s="28"/>
      <c r="E83" s="29"/>
      <c r="F83" s="38"/>
      <c r="G83" s="30"/>
      <c r="H83" s="39">
        <f t="shared" si="0"/>
      </c>
      <c r="I83" s="37">
        <f t="shared" si="1"/>
      </c>
      <c r="J83" s="28"/>
      <c r="K83" s="31"/>
      <c r="L83" s="32">
        <f t="shared" si="2"/>
      </c>
    </row>
    <row r="84" spans="1:12" x14ac:dyDescent="0.25">
      <c r="A84" s="27"/>
      <c r="B84" s="29"/>
      <c r="C84" s="31"/>
      <c r="D84" s="28"/>
      <c r="E84" s="29"/>
      <c r="F84" s="38"/>
      <c r="G84" s="30"/>
      <c r="H84" s="39">
        <f t="shared" si="0"/>
      </c>
      <c r="I84" s="37">
        <f t="shared" si="1"/>
      </c>
      <c r="J84" s="28"/>
      <c r="K84" s="31"/>
      <c r="L84" s="32">
        <f t="shared" si="2"/>
      </c>
    </row>
    <row r="85" spans="1:12" x14ac:dyDescent="0.25">
      <c r="A85" s="27"/>
      <c r="B85" s="29"/>
      <c r="C85" s="31"/>
      <c r="D85" s="28"/>
      <c r="E85" s="29"/>
      <c r="F85" s="38"/>
      <c r="G85" s="30"/>
      <c r="H85" s="39">
        <f t="shared" si="0"/>
      </c>
      <c r="I85" s="37">
        <f t="shared" si="1"/>
      </c>
      <c r="J85" s="28"/>
      <c r="K85" s="31"/>
      <c r="L85" s="32">
        <f t="shared" si="2"/>
      </c>
    </row>
    <row r="86" spans="1:12" x14ac:dyDescent="0.25">
      <c r="A86" s="27"/>
      <c r="B86" s="29"/>
      <c r="C86" s="31"/>
      <c r="D86" s="28"/>
      <c r="E86" s="29"/>
      <c r="F86" s="38"/>
      <c r="G86" s="30"/>
      <c r="H86" s="39">
        <f t="shared" si="0"/>
      </c>
      <c r="I86" s="37">
        <f t="shared" si="1"/>
      </c>
      <c r="J86" s="28"/>
      <c r="K86" s="31"/>
      <c r="L86" s="32">
        <f t="shared" si="2"/>
      </c>
    </row>
    <row r="87" spans="1:12" x14ac:dyDescent="0.25">
      <c r="A87" s="27"/>
      <c r="B87" s="29"/>
      <c r="C87" s="31"/>
      <c r="D87" s="28"/>
      <c r="E87" s="29"/>
      <c r="F87" s="38"/>
      <c r="G87" s="30"/>
      <c r="H87" s="39">
        <f t="shared" si="0"/>
      </c>
      <c r="I87" s="37">
        <f t="shared" si="1"/>
      </c>
      <c r="J87" s="28"/>
      <c r="K87" s="31"/>
      <c r="L87" s="32">
        <f t="shared" si="2"/>
      </c>
    </row>
    <row r="88" spans="1:12" x14ac:dyDescent="0.25">
      <c r="A88" s="27"/>
      <c r="B88" s="29"/>
      <c r="C88" s="31"/>
      <c r="D88" s="28"/>
      <c r="E88" s="29"/>
      <c r="F88" s="38"/>
      <c r="G88" s="30"/>
      <c r="H88" s="39">
        <f t="shared" si="0"/>
      </c>
      <c r="I88" s="37">
        <f t="shared" si="1"/>
      </c>
      <c r="J88" s="28"/>
      <c r="K88" s="31"/>
      <c r="L88" s="32">
        <f t="shared" si="2"/>
      </c>
    </row>
    <row r="89" spans="1:12" x14ac:dyDescent="0.25">
      <c r="A89" s="27"/>
      <c r="B89" s="29"/>
      <c r="C89" s="31"/>
      <c r="D89" s="28"/>
      <c r="E89" s="29"/>
      <c r="F89" s="38"/>
      <c r="G89" s="30"/>
      <c r="H89" s="39">
        <f t="shared" si="0"/>
      </c>
      <c r="I89" s="37">
        <f t="shared" si="1"/>
      </c>
      <c r="J89" s="28"/>
      <c r="K89" s="31"/>
      <c r="L89" s="32">
        <f t="shared" si="2"/>
      </c>
    </row>
    <row r="90" spans="1:12" x14ac:dyDescent="0.25">
      <c r="A90" s="27"/>
      <c r="B90" s="29"/>
      <c r="C90" s="31"/>
      <c r="D90" s="28"/>
      <c r="E90" s="29"/>
      <c r="F90" s="38"/>
      <c r="G90" s="30"/>
      <c r="H90" s="39">
        <f t="shared" si="0"/>
      </c>
      <c r="I90" s="37">
        <f t="shared" si="1"/>
      </c>
      <c r="J90" s="28"/>
      <c r="K90" s="31"/>
      <c r="L90" s="32">
        <f t="shared" si="2"/>
      </c>
    </row>
    <row r="91" spans="1:12" x14ac:dyDescent="0.25">
      <c r="A91" s="27"/>
      <c r="B91" s="29"/>
      <c r="C91" s="31"/>
      <c r="D91" s="28"/>
      <c r="E91" s="29"/>
      <c r="F91" s="38"/>
      <c r="G91" s="30"/>
      <c r="H91" s="39">
        <f t="shared" si="0"/>
      </c>
      <c r="I91" s="37">
        <f t="shared" si="1"/>
      </c>
      <c r="J91" s="28"/>
      <c r="K91" s="31"/>
      <c r="L91" s="32">
        <f t="shared" si="2"/>
      </c>
    </row>
    <row r="92" spans="1:12" x14ac:dyDescent="0.25">
      <c r="A92" s="27"/>
      <c r="B92" s="29"/>
      <c r="C92" s="31"/>
      <c r="D92" s="28"/>
      <c r="E92" s="29"/>
      <c r="F92" s="38"/>
      <c r="G92" s="30"/>
      <c r="H92" s="39">
        <f t="shared" si="0"/>
      </c>
      <c r="I92" s="37">
        <f t="shared" si="1"/>
      </c>
      <c r="J92" s="28"/>
      <c r="K92" s="31"/>
      <c r="L92" s="32">
        <f t="shared" si="2"/>
      </c>
    </row>
    <row r="93" spans="1:12" x14ac:dyDescent="0.25">
      <c r="A93" s="27"/>
      <c r="B93" s="29"/>
      <c r="C93" s="31"/>
      <c r="D93" s="28"/>
      <c r="E93" s="29"/>
      <c r="F93" s="38"/>
      <c r="G93" s="30"/>
      <c r="H93" s="39">
        <f t="shared" si="0"/>
      </c>
      <c r="I93" s="37">
        <f t="shared" si="1"/>
      </c>
      <c r="J93" s="28"/>
      <c r="K93" s="31"/>
      <c r="L93" s="32">
        <f t="shared" si="2"/>
      </c>
    </row>
    <row r="94" spans="1:12" x14ac:dyDescent="0.25">
      <c r="A94" s="27"/>
      <c r="B94" s="29"/>
      <c r="C94" s="31"/>
      <c r="D94" s="28"/>
      <c r="E94" s="29"/>
      <c r="F94" s="38"/>
      <c r="G94" s="30"/>
      <c r="H94" s="39">
        <f t="shared" si="0"/>
      </c>
      <c r="I94" s="37">
        <f t="shared" si="1"/>
      </c>
      <c r="J94" s="28"/>
      <c r="K94" s="31"/>
      <c r="L94" s="32">
        <f t="shared" si="2"/>
      </c>
    </row>
    <row r="95" spans="1:12" x14ac:dyDescent="0.25">
      <c r="A95" s="27"/>
      <c r="B95" s="29"/>
      <c r="C95" s="31"/>
      <c r="D95" s="28"/>
      <c r="E95" s="29"/>
      <c r="F95" s="38"/>
      <c r="G95" s="30"/>
      <c r="H95" s="39">
        <f t="shared" si="0"/>
      </c>
      <c r="I95" s="37">
        <f t="shared" si="1"/>
      </c>
      <c r="J95" s="28"/>
      <c r="K95" s="31"/>
      <c r="L95" s="32">
        <f t="shared" si="2"/>
      </c>
    </row>
    <row r="96" spans="1:12" x14ac:dyDescent="0.25">
      <c r="A96" s="27"/>
      <c r="B96" s="29"/>
      <c r="C96" s="31"/>
      <c r="D96" s="28"/>
      <c r="E96" s="29"/>
      <c r="F96" s="38"/>
      <c r="G96" s="30"/>
      <c r="H96" s="39">
        <f t="shared" si="0"/>
      </c>
      <c r="I96" s="37">
        <f t="shared" si="1"/>
      </c>
      <c r="J96" s="28"/>
      <c r="K96" s="31"/>
      <c r="L96" s="32">
        <f t="shared" si="2"/>
      </c>
    </row>
    <row r="97" spans="1:12" x14ac:dyDescent="0.25">
      <c r="A97" s="27"/>
      <c r="B97" s="29"/>
      <c r="C97" s="31"/>
      <c r="D97" s="28"/>
      <c r="E97" s="29"/>
      <c r="F97" s="38"/>
      <c r="G97" s="30"/>
      <c r="H97" s="39">
        <f t="shared" si="0"/>
      </c>
      <c r="I97" s="37">
        <f t="shared" si="1"/>
      </c>
      <c r="J97" s="28"/>
      <c r="K97" s="31"/>
      <c r="L97" s="32">
        <f t="shared" si="2"/>
      </c>
    </row>
    <row r="98" spans="1:12" x14ac:dyDescent="0.25">
      <c r="A98" s="27"/>
      <c r="B98" s="29"/>
      <c r="C98" s="31"/>
      <c r="D98" s="28"/>
      <c r="E98" s="29"/>
      <c r="F98" s="38"/>
      <c r="G98" s="30"/>
      <c r="H98" s="39">
        <f t="shared" si="0"/>
      </c>
      <c r="I98" s="37">
        <f t="shared" si="1"/>
      </c>
      <c r="J98" s="28"/>
      <c r="K98" s="31"/>
      <c r="L98" s="32">
        <f t="shared" si="2"/>
      </c>
    </row>
    <row r="99" spans="1:12" x14ac:dyDescent="0.25">
      <c r="A99" s="27"/>
      <c r="B99" s="29"/>
      <c r="C99" s="31"/>
      <c r="D99" s="28"/>
      <c r="E99" s="29"/>
      <c r="F99" s="38"/>
      <c r="G99" s="30"/>
      <c r="H99" s="39">
        <f t="shared" si="0"/>
      </c>
      <c r="I99" s="37">
        <f t="shared" si="1"/>
      </c>
      <c r="J99" s="28"/>
      <c r="K99" s="31"/>
      <c r="L99" s="32">
        <f t="shared" si="2"/>
      </c>
    </row>
    <row r="100" spans="1:12" x14ac:dyDescent="0.25">
      <c r="A100" s="27"/>
      <c r="B100" s="29"/>
      <c r="C100" s="31"/>
      <c r="D100" s="28"/>
      <c r="E100" s="29"/>
      <c r="F100" s="38"/>
      <c r="G100" s="30"/>
      <c r="H100" s="39">
        <f t="shared" si="0"/>
      </c>
      <c r="I100" s="37">
        <f t="shared" si="1"/>
      </c>
      <c r="J100" s="28"/>
      <c r="K100" s="31"/>
      <c r="L100" s="32">
        <f t="shared" si="2"/>
      </c>
    </row>
    <row r="101" spans="1:12" x14ac:dyDescent="0.25">
      <c r="A101" s="27"/>
      <c r="B101" s="29"/>
      <c r="C101" s="31"/>
      <c r="D101" s="28"/>
      <c r="E101" s="29"/>
      <c r="F101" s="38"/>
      <c r="G101" s="30"/>
      <c r="H101" s="39">
        <f t="shared" si="0"/>
      </c>
      <c r="I101" s="37">
        <f t="shared" si="1"/>
      </c>
      <c r="J101" s="28"/>
      <c r="K101" s="31"/>
      <c r="L101" s="32">
        <f t="shared" si="2"/>
      </c>
    </row>
    <row r="102" spans="1:12" x14ac:dyDescent="0.25">
      <c r="A102" s="27"/>
      <c r="B102" s="29"/>
      <c r="C102" s="31"/>
      <c r="D102" s="28"/>
      <c r="E102" s="29"/>
      <c r="F102" s="38"/>
      <c r="G102" s="30"/>
      <c r="H102" s="39">
        <f t="shared" si="0"/>
      </c>
      <c r="I102" s="37">
        <f t="shared" si="1"/>
      </c>
      <c r="J102" s="28"/>
      <c r="K102" s="31"/>
      <c r="L102" s="32">
        <f t="shared" si="2"/>
      </c>
    </row>
    <row r="103" spans="1:12" x14ac:dyDescent="0.25">
      <c r="A103" s="27"/>
      <c r="B103" s="29"/>
      <c r="C103" s="31"/>
      <c r="D103" s="28"/>
      <c r="E103" s="29"/>
      <c r="F103" s="38"/>
      <c r="G103" s="30"/>
      <c r="H103" s="39">
        <f t="shared" si="0"/>
      </c>
      <c r="I103" s="37">
        <f t="shared" si="1"/>
      </c>
      <c r="J103" s="28"/>
      <c r="K103" s="31"/>
      <c r="L103" s="32">
        <f t="shared" si="2"/>
      </c>
    </row>
    <row r="104" spans="1:12" x14ac:dyDescent="0.25">
      <c r="A104" s="27"/>
      <c r="B104" s="29"/>
      <c r="C104" s="31"/>
      <c r="D104" s="28"/>
      <c r="E104" s="29"/>
      <c r="F104" s="38"/>
      <c r="G104" s="30"/>
      <c r="H104" s="39">
        <f t="shared" si="0"/>
      </c>
      <c r="I104" s="37">
        <f t="shared" si="1"/>
      </c>
      <c r="J104" s="28"/>
      <c r="K104" s="31"/>
      <c r="L104" s="32">
        <f t="shared" si="2"/>
      </c>
    </row>
    <row r="105" spans="1:12" x14ac:dyDescent="0.25">
      <c r="A105" s="27"/>
      <c r="B105" s="29"/>
      <c r="C105" s="31"/>
      <c r="D105" s="28"/>
      <c r="E105" s="29"/>
      <c r="F105" s="38"/>
      <c r="G105" s="30"/>
      <c r="H105" s="39">
        <f t="shared" si="0"/>
      </c>
      <c r="I105" s="37">
        <f t="shared" si="1"/>
      </c>
      <c r="J105" s="28"/>
      <c r="K105" s="31"/>
      <c r="L105" s="32">
        <f t="shared" si="2"/>
      </c>
    </row>
    <row r="106" spans="1:12" x14ac:dyDescent="0.25">
      <c r="A106" s="27"/>
      <c r="B106" s="29"/>
      <c r="C106" s="31"/>
      <c r="D106" s="28"/>
      <c r="E106" s="29"/>
      <c r="F106" s="38"/>
      <c r="G106" s="30"/>
      <c r="H106" s="39">
        <f t="shared" si="0"/>
      </c>
      <c r="I106" s="37">
        <f t="shared" si="1"/>
      </c>
      <c r="J106" s="28"/>
      <c r="K106" s="31"/>
      <c r="L106" s="32">
        <f t="shared" si="2"/>
      </c>
    </row>
    <row r="107" spans="1:12" x14ac:dyDescent="0.25">
      <c r="A107" s="27"/>
      <c r="B107" s="29"/>
      <c r="C107" s="31"/>
      <c r="D107" s="28"/>
      <c r="E107" s="29"/>
      <c r="F107" s="38"/>
      <c r="G107" s="30"/>
      <c r="H107" s="39">
        <f t="shared" si="0"/>
      </c>
      <c r="I107" s="37">
        <f t="shared" si="1"/>
      </c>
      <c r="J107" s="28"/>
      <c r="K107" s="31"/>
      <c r="L107" s="32">
        <f t="shared" si="2"/>
      </c>
    </row>
    <row r="108" spans="1:12" x14ac:dyDescent="0.25">
      <c r="A108" s="27"/>
      <c r="B108" s="29"/>
      <c r="C108" s="31"/>
      <c r="D108" s="28"/>
      <c r="E108" s="29"/>
      <c r="F108" s="38"/>
      <c r="G108" s="30"/>
      <c r="H108" s="39">
        <f t="shared" si="0"/>
      </c>
      <c r="I108" s="37">
        <f t="shared" si="1"/>
      </c>
      <c r="J108" s="28"/>
      <c r="K108" s="31"/>
      <c r="L108" s="32">
        <f t="shared" si="2"/>
      </c>
    </row>
    <row r="109" spans="1:12" x14ac:dyDescent="0.25">
      <c r="A109" s="27"/>
      <c r="B109" s="29"/>
      <c r="C109" s="31"/>
      <c r="D109" s="28"/>
      <c r="E109" s="29"/>
      <c r="F109" s="38"/>
      <c r="G109" s="30"/>
      <c r="H109" s="39">
        <f t="shared" si="0"/>
      </c>
      <c r="I109" s="37">
        <f t="shared" si="1"/>
      </c>
      <c r="J109" s="28"/>
      <c r="K109" s="31"/>
      <c r="L109" s="32">
        <f t="shared" si="2"/>
      </c>
    </row>
    <row r="110" spans="1:12" x14ac:dyDescent="0.25">
      <c r="A110" s="27"/>
      <c r="B110" s="29"/>
      <c r="C110" s="31"/>
      <c r="D110" s="28"/>
      <c r="E110" s="29"/>
      <c r="F110" s="38"/>
      <c r="G110" s="30"/>
      <c r="H110" s="39">
        <f t="shared" si="0"/>
      </c>
      <c r="I110" s="37">
        <f t="shared" si="1"/>
      </c>
      <c r="J110" s="28"/>
      <c r="K110" s="31"/>
      <c r="L110" s="32">
        <f t="shared" si="2"/>
      </c>
    </row>
    <row r="111" spans="1:12" x14ac:dyDescent="0.25">
      <c r="A111" s="27"/>
      <c r="B111" s="29"/>
      <c r="C111" s="31"/>
      <c r="D111" s="28"/>
      <c r="E111" s="29"/>
      <c r="F111" s="38"/>
      <c r="G111" s="30"/>
      <c r="H111" s="39">
        <f t="shared" si="0"/>
      </c>
      <c r="I111" s="37">
        <f t="shared" si="1"/>
      </c>
      <c r="J111" s="28"/>
      <c r="K111" s="31"/>
      <c r="L111" s="32">
        <f t="shared" si="2"/>
      </c>
    </row>
    <row r="112" spans="1:12" x14ac:dyDescent="0.25">
      <c r="A112" s="27"/>
      <c r="B112" s="29"/>
      <c r="C112" s="31"/>
      <c r="D112" s="28"/>
      <c r="E112" s="29"/>
      <c r="F112" s="38"/>
      <c r="G112" s="30"/>
      <c r="H112" s="39">
        <f t="shared" si="0"/>
      </c>
      <c r="I112" s="37">
        <f t="shared" si="1"/>
      </c>
      <c r="J112" s="28"/>
      <c r="K112" s="31"/>
      <c r="L112" s="32">
        <f t="shared" si="2"/>
      </c>
    </row>
    <row r="113" spans="1:12" x14ac:dyDescent="0.25">
      <c r="A113" s="27"/>
      <c r="B113" s="29"/>
      <c r="C113" s="31"/>
      <c r="D113" s="28"/>
      <c r="E113" s="29"/>
      <c r="F113" s="38"/>
      <c r="G113" s="30"/>
      <c r="H113" s="39">
        <f t="shared" si="0"/>
      </c>
      <c r="I113" s="37">
        <f t="shared" si="1"/>
      </c>
      <c r="J113" s="28"/>
      <c r="K113" s="31"/>
      <c r="L113" s="32">
        <f t="shared" si="2"/>
      </c>
    </row>
    <row r="114" spans="1:12" x14ac:dyDescent="0.25">
      <c r="A114" s="27"/>
      <c r="B114" s="29"/>
      <c r="C114" s="31"/>
      <c r="D114" s="28"/>
      <c r="E114" s="29"/>
      <c r="F114" s="38"/>
      <c r="G114" s="30"/>
      <c r="H114" s="39">
        <f t="shared" si="0"/>
      </c>
      <c r="I114" s="37">
        <f t="shared" si="1"/>
      </c>
      <c r="J114" s="28"/>
      <c r="K114" s="31"/>
      <c r="L114" s="32">
        <f t="shared" si="2"/>
      </c>
    </row>
    <row r="115" spans="1:12" x14ac:dyDescent="0.25">
      <c r="A115" s="27"/>
      <c r="B115" s="29"/>
      <c r="C115" s="31"/>
      <c r="D115" s="28"/>
      <c r="E115" s="29"/>
      <c r="F115" s="38"/>
      <c r="G115" s="30"/>
      <c r="H115" s="39">
        <f t="shared" si="0"/>
      </c>
      <c r="I115" s="37">
        <f t="shared" si="1"/>
      </c>
      <c r="J115" s="28"/>
      <c r="K115" s="31"/>
      <c r="L115" s="32">
        <f t="shared" si="2"/>
      </c>
    </row>
    <row r="116" spans="1:12" x14ac:dyDescent="0.25">
      <c r="A116" s="27"/>
      <c r="B116" s="29"/>
      <c r="C116" s="31"/>
      <c r="D116" s="28"/>
      <c r="E116" s="29"/>
      <c r="F116" s="38"/>
      <c r="G116" s="30"/>
      <c r="H116" s="39">
        <f t="shared" si="0"/>
      </c>
      <c r="I116" s="37">
        <f t="shared" si="1"/>
      </c>
      <c r="J116" s="28"/>
      <c r="K116" s="31"/>
      <c r="L116" s="32">
        <f t="shared" si="2"/>
      </c>
    </row>
    <row r="117" spans="1:12" x14ac:dyDescent="0.25">
      <c r="A117" s="27"/>
      <c r="B117" s="29"/>
      <c r="C117" s="31"/>
      <c r="D117" s="28"/>
      <c r="E117" s="29"/>
      <c r="F117" s="38"/>
      <c r="G117" s="30"/>
      <c r="H117" s="39">
        <f t="shared" si="0"/>
      </c>
      <c r="I117" s="37">
        <f t="shared" si="1"/>
      </c>
      <c r="J117" s="28"/>
      <c r="K117" s="31"/>
      <c r="L117" s="32">
        <f t="shared" si="2"/>
      </c>
    </row>
    <row r="118" spans="1:12" x14ac:dyDescent="0.25">
      <c r="A118" s="27"/>
      <c r="B118" s="29"/>
      <c r="C118" s="31"/>
      <c r="D118" s="28"/>
      <c r="E118" s="29"/>
      <c r="F118" s="38"/>
      <c r="G118" s="30"/>
      <c r="H118" s="39">
        <f t="shared" si="0"/>
      </c>
      <c r="I118" s="37">
        <f t="shared" si="1"/>
      </c>
      <c r="J118" s="28"/>
      <c r="K118" s="31"/>
      <c r="L118" s="32">
        <f t="shared" si="2"/>
      </c>
    </row>
    <row r="119" spans="1:12" x14ac:dyDescent="0.25">
      <c r="A119" s="27"/>
      <c r="B119" s="29"/>
      <c r="C119" s="31"/>
      <c r="D119" s="28"/>
      <c r="E119" s="29"/>
      <c r="F119" s="38"/>
      <c r="G119" s="30"/>
      <c r="H119" s="39">
        <f t="shared" si="0"/>
      </c>
      <c r="I119" s="37">
        <f t="shared" si="1"/>
      </c>
      <c r="J119" s="28"/>
      <c r="K119" s="31"/>
      <c r="L119" s="32">
        <f t="shared" si="2"/>
      </c>
    </row>
    <row r="120" spans="1:12" x14ac:dyDescent="0.25">
      <c r="A120" s="27"/>
      <c r="B120" s="29"/>
      <c r="C120" s="31"/>
      <c r="D120" s="28"/>
      <c r="E120" s="29"/>
      <c r="F120" s="38"/>
      <c r="G120" s="30"/>
      <c r="H120" s="39">
        <f t="shared" si="0"/>
      </c>
      <c r="I120" s="37">
        <f t="shared" si="1"/>
      </c>
      <c r="J120" s="28"/>
      <c r="K120" s="31"/>
      <c r="L120" s="32">
        <f t="shared" si="2"/>
      </c>
    </row>
    <row r="121" spans="1:12" x14ac:dyDescent="0.25">
      <c r="A121" s="27"/>
      <c r="B121" s="29"/>
      <c r="C121" s="31"/>
      <c r="D121" s="28"/>
      <c r="E121" s="29"/>
      <c r="F121" s="38"/>
      <c r="G121" s="30"/>
      <c r="H121" s="39">
        <f t="shared" si="0"/>
      </c>
      <c r="I121" s="37">
        <f t="shared" si="1"/>
      </c>
      <c r="J121" s="28"/>
      <c r="K121" s="31"/>
      <c r="L121" s="32">
        <f t="shared" si="2"/>
      </c>
    </row>
    <row r="122" spans="1:12" x14ac:dyDescent="0.25">
      <c r="A122" s="27"/>
      <c r="B122" s="29"/>
      <c r="C122" s="31"/>
      <c r="D122" s="28"/>
      <c r="E122" s="29"/>
      <c r="F122" s="38"/>
      <c r="G122" s="30"/>
      <c r="H122" s="39">
        <f t="shared" si="0"/>
      </c>
      <c r="I122" s="37">
        <f t="shared" si="1"/>
      </c>
      <c r="J122" s="28"/>
      <c r="K122" s="31"/>
      <c r="L122" s="32">
        <f t="shared" si="2"/>
      </c>
    </row>
    <row r="123" spans="1:12" x14ac:dyDescent="0.25">
      <c r="A123" s="27"/>
      <c r="B123" s="29"/>
      <c r="C123" s="31"/>
      <c r="D123" s="28"/>
      <c r="E123" s="29"/>
      <c r="F123" s="38"/>
      <c r="G123" s="30"/>
      <c r="H123" s="39">
        <f t="shared" si="0"/>
      </c>
      <c r="I123" s="37">
        <f t="shared" si="1"/>
      </c>
      <c r="J123" s="28"/>
      <c r="K123" s="31"/>
      <c r="L123" s="32">
        <f t="shared" si="2"/>
      </c>
    </row>
    <row r="124" spans="1:12" x14ac:dyDescent="0.25">
      <c r="A124" s="27"/>
      <c r="B124" s="29"/>
      <c r="C124" s="31"/>
      <c r="D124" s="28"/>
      <c r="E124" s="29"/>
      <c r="F124" s="38"/>
      <c r="G124" s="30"/>
      <c r="H124" s="39">
        <f t="shared" si="0"/>
      </c>
      <c r="I124" s="37">
        <f t="shared" si="1"/>
      </c>
      <c r="J124" s="28"/>
      <c r="K124" s="31"/>
      <c r="L124" s="32">
        <f t="shared" si="2"/>
      </c>
    </row>
    <row r="125" spans="1:12" x14ac:dyDescent="0.25">
      <c r="A125" s="27"/>
      <c r="B125" s="29"/>
      <c r="C125" s="31"/>
      <c r="D125" s="28"/>
      <c r="E125" s="29"/>
      <c r="F125" s="38"/>
      <c r="G125" s="30"/>
      <c r="H125" s="39">
        <f t="shared" si="0"/>
      </c>
      <c r="I125" s="37">
        <f t="shared" si="1"/>
      </c>
      <c r="J125" s="28"/>
      <c r="K125" s="31"/>
      <c r="L125" s="32">
        <f t="shared" si="2"/>
      </c>
    </row>
    <row r="126" spans="1:12" x14ac:dyDescent="0.25">
      <c r="A126" s="27"/>
      <c r="B126" s="29"/>
      <c r="C126" s="31"/>
      <c r="D126" s="28"/>
      <c r="E126" s="29"/>
      <c r="F126" s="38"/>
      <c r="G126" s="30"/>
      <c r="H126" s="39">
        <f t="shared" si="0"/>
      </c>
      <c r="I126" s="37">
        <f t="shared" si="1"/>
      </c>
      <c r="J126" s="28"/>
      <c r="K126" s="31"/>
      <c r="L126" s="32">
        <f t="shared" si="2"/>
      </c>
    </row>
    <row r="127" spans="1:12" x14ac:dyDescent="0.25">
      <c r="A127" s="27"/>
      <c r="B127" s="29"/>
      <c r="C127" s="31"/>
      <c r="D127" s="28"/>
      <c r="E127" s="29"/>
      <c r="F127" s="38"/>
      <c r="G127" s="30"/>
      <c r="H127" s="39">
        <f t="shared" si="0"/>
      </c>
      <c r="I127" s="37">
        <f t="shared" si="1"/>
      </c>
      <c r="J127" s="28"/>
      <c r="K127" s="31"/>
      <c r="L127" s="32">
        <f t="shared" si="2"/>
      </c>
    </row>
    <row r="128" spans="1:12" x14ac:dyDescent="0.25">
      <c r="A128" s="27"/>
      <c r="B128" s="29"/>
      <c r="C128" s="31"/>
      <c r="D128" s="28"/>
      <c r="E128" s="29"/>
      <c r="F128" s="38"/>
      <c r="G128" s="30"/>
      <c r="H128" s="39">
        <f t="shared" si="0"/>
      </c>
      <c r="I128" s="37">
        <f t="shared" si="1"/>
      </c>
      <c r="J128" s="28"/>
      <c r="K128" s="31"/>
      <c r="L128" s="32">
        <f t="shared" si="2"/>
      </c>
    </row>
    <row r="129" spans="1:12" x14ac:dyDescent="0.25">
      <c r="A129" s="27"/>
      <c r="B129" s="29"/>
      <c r="C129" s="31"/>
      <c r="D129" s="28"/>
      <c r="E129" s="29"/>
      <c r="F129" s="38"/>
      <c r="G129" s="30"/>
      <c r="H129" s="39">
        <f t="shared" si="0"/>
      </c>
      <c r="I129" s="37">
        <f t="shared" si="1"/>
      </c>
      <c r="J129" s="28"/>
      <c r="K129" s="31"/>
      <c r="L129" s="32">
        <f t="shared" si="2"/>
      </c>
    </row>
    <row r="130" spans="1:12" x14ac:dyDescent="0.25">
      <c r="A130" s="27"/>
      <c r="B130" s="29"/>
      <c r="C130" s="31"/>
      <c r="D130" s="28"/>
      <c r="E130" s="29"/>
      <c r="F130" s="38"/>
      <c r="G130" s="30"/>
      <c r="H130" s="39">
        <f t="shared" si="0"/>
      </c>
      <c r="I130" s="37">
        <f t="shared" si="1"/>
      </c>
      <c r="J130" s="28"/>
      <c r="K130" s="31"/>
      <c r="L130" s="32">
        <f t="shared" si="2"/>
      </c>
    </row>
    <row r="131" spans="1:12" x14ac:dyDescent="0.25">
      <c r="A131" s="27"/>
      <c r="B131" s="29"/>
      <c r="C131" s="31"/>
      <c r="D131" s="28"/>
      <c r="E131" s="29"/>
      <c r="F131" s="38"/>
      <c r="G131" s="30"/>
      <c r="H131" s="39">
        <f t="shared" si="0"/>
      </c>
      <c r="I131" s="37">
        <f t="shared" si="1"/>
      </c>
      <c r="J131" s="28"/>
      <c r="K131" s="31"/>
      <c r="L131" s="32">
        <f t="shared" si="2"/>
      </c>
    </row>
    <row r="132" spans="1:12" x14ac:dyDescent="0.25">
      <c r="A132" s="27"/>
      <c r="B132" s="29"/>
      <c r="C132" s="31"/>
      <c r="D132" s="28"/>
      <c r="E132" s="29"/>
      <c r="F132" s="38"/>
      <c r="G132" s="30"/>
      <c r="H132" s="39">
        <f t="shared" si="0"/>
      </c>
      <c r="I132" s="37">
        <f t="shared" si="1"/>
      </c>
      <c r="J132" s="28"/>
      <c r="K132" s="31"/>
      <c r="L132" s="32">
        <f t="shared" si="2"/>
      </c>
    </row>
    <row r="133" spans="1:12" x14ac:dyDescent="0.25">
      <c r="A133" s="27"/>
      <c r="B133" s="29"/>
      <c r="C133" s="31"/>
      <c r="D133" s="28"/>
      <c r="E133" s="29"/>
      <c r="F133" s="38"/>
      <c r="G133" s="30"/>
      <c r="H133" s="39">
        <f t="shared" si="0"/>
      </c>
      <c r="I133" s="37">
        <f t="shared" si="1"/>
      </c>
      <c r="J133" s="28"/>
      <c r="K133" s="31"/>
      <c r="L133" s="32">
        <f t="shared" si="2"/>
      </c>
    </row>
    <row r="134" spans="1:12" x14ac:dyDescent="0.25">
      <c r="A134" s="27"/>
      <c r="B134" s="29"/>
      <c r="C134" s="31"/>
      <c r="D134" s="28"/>
      <c r="E134" s="29"/>
      <c r="F134" s="38"/>
      <c r="G134" s="30"/>
      <c r="H134" s="39">
        <f t="shared" si="0"/>
      </c>
      <c r="I134" s="37">
        <f t="shared" si="1"/>
      </c>
      <c r="J134" s="28"/>
      <c r="K134" s="31"/>
      <c r="L134" s="32">
        <f t="shared" si="2"/>
      </c>
    </row>
    <row r="135" spans="1:12" x14ac:dyDescent="0.25">
      <c r="A135" s="27"/>
      <c r="B135" s="29"/>
      <c r="C135" s="31"/>
      <c r="D135" s="28"/>
      <c r="E135" s="29"/>
      <c r="F135" s="38"/>
      <c r="G135" s="30"/>
      <c r="H135" s="39">
        <f t="shared" si="0"/>
      </c>
      <c r="I135" s="37">
        <f t="shared" si="1"/>
      </c>
      <c r="J135" s="28"/>
      <c r="K135" s="31"/>
      <c r="L135" s="32">
        <f t="shared" si="2"/>
      </c>
    </row>
    <row r="136" spans="1:12" x14ac:dyDescent="0.25">
      <c r="A136" s="27"/>
      <c r="B136" s="29"/>
      <c r="C136" s="31"/>
      <c r="D136" s="28"/>
      <c r="E136" s="29"/>
      <c r="F136" s="38"/>
      <c r="G136" s="30"/>
      <c r="H136" s="39">
        <f t="shared" si="0"/>
      </c>
      <c r="I136" s="37">
        <f t="shared" si="1"/>
      </c>
      <c r="J136" s="28"/>
      <c r="K136" s="31"/>
      <c r="L136" s="32">
        <f t="shared" si="2"/>
      </c>
    </row>
    <row r="137" spans="1:12" x14ac:dyDescent="0.25">
      <c r="A137" s="27"/>
      <c r="B137" s="29"/>
      <c r="C137" s="31"/>
      <c r="D137" s="28"/>
      <c r="E137" s="29"/>
      <c r="F137" s="38"/>
      <c r="G137" s="30"/>
      <c r="H137" s="39">
        <f t="shared" si="0"/>
      </c>
      <c r="I137" s="37">
        <f t="shared" si="1"/>
      </c>
      <c r="J137" s="28"/>
      <c r="K137" s="31"/>
      <c r="L137" s="32">
        <f t="shared" si="2"/>
      </c>
    </row>
    <row r="138" spans="1:12" x14ac:dyDescent="0.25">
      <c r="A138" s="27"/>
      <c r="B138" s="29"/>
      <c r="C138" s="31"/>
      <c r="D138" s="28"/>
      <c r="E138" s="29"/>
      <c r="F138" s="38"/>
      <c r="G138" s="30"/>
      <c r="H138" s="39">
        <f t="shared" si="0"/>
      </c>
      <c r="I138" s="37">
        <f t="shared" si="1"/>
      </c>
      <c r="J138" s="28"/>
      <c r="K138" s="31"/>
      <c r="L138" s="32">
        <f t="shared" si="2"/>
      </c>
    </row>
    <row r="139" spans="1:12" x14ac:dyDescent="0.25">
      <c r="A139" s="27"/>
      <c r="B139" s="29"/>
      <c r="C139" s="31"/>
      <c r="D139" s="28"/>
      <c r="E139" s="29"/>
      <c r="F139" s="38"/>
      <c r="G139" s="30"/>
      <c r="H139" s="39">
        <f t="shared" si="0"/>
      </c>
      <c r="I139" s="37">
        <f t="shared" si="1"/>
      </c>
      <c r="J139" s="28"/>
      <c r="K139" s="31"/>
      <c r="L139" s="32">
        <f t="shared" si="2"/>
      </c>
    </row>
    <row r="140" spans="1:12" x14ac:dyDescent="0.25">
      <c r="A140" s="27"/>
      <c r="B140" s="29"/>
      <c r="C140" s="31"/>
      <c r="D140" s="28"/>
      <c r="E140" s="29"/>
      <c r="F140" s="38"/>
      <c r="G140" s="30"/>
      <c r="H140" s="39">
        <f t="shared" si="0"/>
      </c>
      <c r="I140" s="37">
        <f t="shared" si="1"/>
      </c>
      <c r="J140" s="28"/>
      <c r="K140" s="31"/>
      <c r="L140" s="32">
        <f t="shared" si="2"/>
      </c>
    </row>
    <row r="141" spans="1:12" x14ac:dyDescent="0.25">
      <c r="A141" s="27"/>
      <c r="B141" s="29"/>
      <c r="C141" s="31"/>
      <c r="D141" s="28"/>
      <c r="E141" s="29"/>
      <c r="F141" s="38"/>
      <c r="G141" s="30"/>
      <c r="H141" s="39">
        <f t="shared" si="0"/>
      </c>
      <c r="I141" s="37">
        <f t="shared" si="1"/>
      </c>
      <c r="J141" s="28"/>
      <c r="K141" s="31"/>
      <c r="L141" s="32">
        <f t="shared" si="2"/>
      </c>
    </row>
    <row r="142" spans="1:12" x14ac:dyDescent="0.25">
      <c r="A142" s="27"/>
      <c r="B142" s="29"/>
      <c r="C142" s="31"/>
      <c r="D142" s="28"/>
      <c r="E142" s="29"/>
      <c r="F142" s="38"/>
      <c r="G142" s="30"/>
      <c r="H142" s="39">
        <f t="shared" si="0"/>
      </c>
      <c r="I142" s="37">
        <f t="shared" si="1"/>
      </c>
      <c r="J142" s="28"/>
      <c r="K142" s="31"/>
      <c r="L142" s="32">
        <f t="shared" si="2"/>
      </c>
    </row>
    <row r="143" spans="1:12" x14ac:dyDescent="0.25">
      <c r="A143" s="27"/>
      <c r="B143" s="29"/>
      <c r="C143" s="31"/>
      <c r="D143" s="28"/>
      <c r="E143" s="29"/>
      <c r="F143" s="38"/>
      <c r="G143" s="30"/>
      <c r="H143" s="39">
        <f t="shared" si="0"/>
      </c>
      <c r="I143" s="37">
        <f t="shared" si="1"/>
      </c>
      <c r="J143" s="28"/>
      <c r="K143" s="31"/>
      <c r="L143" s="32">
        <f t="shared" si="2"/>
      </c>
    </row>
    <row r="144" spans="1:12" x14ac:dyDescent="0.25">
      <c r="A144" s="27"/>
      <c r="B144" s="29"/>
      <c r="C144" s="31"/>
      <c r="D144" s="28"/>
      <c r="E144" s="29"/>
      <c r="F144" s="38"/>
      <c r="G144" s="30"/>
      <c r="H144" s="39">
        <f t="shared" si="0"/>
      </c>
      <c r="I144" s="37">
        <f t="shared" si="1"/>
      </c>
      <c r="J144" s="28"/>
      <c r="K144" s="31"/>
      <c r="L144" s="32">
        <f t="shared" si="2"/>
      </c>
    </row>
    <row r="145" spans="1:12" x14ac:dyDescent="0.25">
      <c r="A145" s="27"/>
      <c r="B145" s="29"/>
      <c r="C145" s="31"/>
      <c r="D145" s="28"/>
      <c r="E145" s="29"/>
      <c r="F145" s="38"/>
      <c r="G145" s="30"/>
      <c r="H145" s="39">
        <f t="shared" si="0"/>
      </c>
      <c r="I145" s="37">
        <f t="shared" si="1"/>
      </c>
      <c r="J145" s="28"/>
      <c r="K145" s="31"/>
      <c r="L145" s="32">
        <f t="shared" si="2"/>
      </c>
    </row>
    <row r="146" spans="1:12" x14ac:dyDescent="0.25">
      <c r="A146" s="27"/>
      <c r="B146" s="29"/>
      <c r="C146" s="31"/>
      <c r="D146" s="28"/>
      <c r="E146" s="29"/>
      <c r="F146" s="38"/>
      <c r="G146" s="30"/>
      <c r="H146" s="39">
        <f t="shared" si="0"/>
      </c>
      <c r="I146" s="37">
        <f t="shared" si="1"/>
      </c>
      <c r="J146" s="28"/>
      <c r="K146" s="31"/>
      <c r="L146" s="32">
        <f t="shared" si="2"/>
      </c>
    </row>
    <row r="147" spans="1:12" x14ac:dyDescent="0.25">
      <c r="A147" s="27"/>
      <c r="B147" s="29"/>
      <c r="C147" s="31"/>
      <c r="D147" s="28"/>
      <c r="E147" s="29"/>
      <c r="F147" s="38"/>
      <c r="G147" s="30"/>
      <c r="H147" s="39">
        <f t="shared" si="0"/>
      </c>
      <c r="I147" s="37">
        <f t="shared" si="1"/>
      </c>
      <c r="J147" s="28"/>
      <c r="K147" s="31"/>
      <c r="L147" s="32">
        <f t="shared" si="2"/>
      </c>
    </row>
    <row r="148" spans="1:12" x14ac:dyDescent="0.25">
      <c r="A148" s="27"/>
      <c r="B148" s="29"/>
      <c r="C148" s="31"/>
      <c r="D148" s="28"/>
      <c r="E148" s="29"/>
      <c r="F148" s="38"/>
      <c r="G148" s="30"/>
      <c r="H148" s="39">
        <f t="shared" si="0"/>
      </c>
      <c r="I148" s="37">
        <f t="shared" si="1"/>
      </c>
      <c r="J148" s="28"/>
      <c r="K148" s="31"/>
      <c r="L148" s="32">
        <f t="shared" si="2"/>
      </c>
    </row>
    <row r="149" spans="1:12" x14ac:dyDescent="0.25">
      <c r="A149" s="27"/>
      <c r="B149" s="29"/>
      <c r="C149" s="31"/>
      <c r="D149" s="28"/>
      <c r="E149" s="29"/>
      <c r="F149" s="38"/>
      <c r="G149" s="30"/>
      <c r="H149" s="39">
        <f t="shared" si="0"/>
      </c>
      <c r="I149" s="37">
        <f t="shared" si="1"/>
      </c>
      <c r="J149" s="28"/>
      <c r="K149" s="31"/>
      <c r="L149" s="32">
        <f t="shared" si="2"/>
      </c>
    </row>
    <row r="150" spans="1:12" x14ac:dyDescent="0.25">
      <c r="A150" s="27"/>
      <c r="B150" s="29"/>
      <c r="C150" s="31"/>
      <c r="D150" s="28"/>
      <c r="E150" s="29"/>
      <c r="F150" s="38"/>
      <c r="G150" s="30"/>
      <c r="H150" s="39">
        <f t="shared" si="0"/>
      </c>
      <c r="I150" s="37">
        <f t="shared" si="1"/>
      </c>
      <c r="J150" s="28"/>
      <c r="K150" s="31"/>
      <c r="L150" s="32">
        <f t="shared" si="2"/>
      </c>
    </row>
    <row r="151" spans="1:12" x14ac:dyDescent="0.25">
      <c r="A151" s="27"/>
      <c r="B151" s="29"/>
      <c r="C151" s="31"/>
      <c r="D151" s="28"/>
      <c r="E151" s="29"/>
      <c r="F151" s="38"/>
      <c r="G151" s="30"/>
      <c r="H151" s="39">
        <f t="shared" si="0"/>
      </c>
      <c r="I151" s="37">
        <f t="shared" si="1"/>
      </c>
      <c r="J151" s="28"/>
      <c r="K151" s="31"/>
      <c r="L151" s="32">
        <f t="shared" si="2"/>
      </c>
    </row>
    <row r="152" spans="1:12" x14ac:dyDescent="0.25">
      <c r="A152" s="27"/>
      <c r="B152" s="29"/>
      <c r="C152" s="31"/>
      <c r="D152" s="28"/>
      <c r="E152" s="29"/>
      <c r="F152" s="38"/>
      <c r="G152" s="30"/>
      <c r="H152" s="39">
        <f t="shared" si="0"/>
      </c>
      <c r="I152" s="37">
        <f t="shared" si="1"/>
      </c>
      <c r="J152" s="28"/>
      <c r="K152" s="31"/>
      <c r="L152" s="32">
        <f t="shared" si="2"/>
      </c>
    </row>
    <row r="153" spans="1:12" x14ac:dyDescent="0.25">
      <c r="A153" s="27"/>
      <c r="B153" s="29"/>
      <c r="C153" s="31"/>
      <c r="D153" s="28"/>
      <c r="E153" s="29"/>
      <c r="F153" s="38"/>
      <c r="G153" s="30"/>
      <c r="H153" s="39">
        <f t="shared" si="0"/>
      </c>
      <c r="I153" s="37">
        <f t="shared" si="1"/>
      </c>
      <c r="J153" s="28"/>
      <c r="K153" s="31"/>
      <c r="L153" s="32">
        <f t="shared" si="2"/>
      </c>
    </row>
    <row r="154" spans="1:12" x14ac:dyDescent="0.25">
      <c r="A154" s="27"/>
      <c r="B154" s="29"/>
      <c r="C154" s="31"/>
      <c r="D154" s="28"/>
      <c r="E154" s="29"/>
      <c r="F154" s="38"/>
      <c r="G154" s="30"/>
      <c r="H154" s="39">
        <f t="shared" si="0"/>
      </c>
      <c r="I154" s="37">
        <f t="shared" si="1"/>
      </c>
      <c r="J154" s="28"/>
      <c r="K154" s="31"/>
      <c r="L154" s="32">
        <f t="shared" si="2"/>
      </c>
    </row>
    <row r="155" spans="1:12" x14ac:dyDescent="0.25">
      <c r="A155" s="27"/>
      <c r="B155" s="29"/>
      <c r="C155" s="31"/>
      <c r="D155" s="28"/>
      <c r="E155" s="29"/>
      <c r="F155" s="38"/>
      <c r="G155" s="30"/>
      <c r="H155" s="39">
        <f t="shared" si="0"/>
      </c>
      <c r="I155" s="37">
        <f t="shared" si="1"/>
      </c>
      <c r="J155" s="28"/>
      <c r="K155" s="31"/>
      <c r="L155" s="32">
        <f t="shared" si="2"/>
      </c>
    </row>
    <row r="156" spans="1:12" x14ac:dyDescent="0.25">
      <c r="A156" s="27"/>
      <c r="B156" s="29"/>
      <c r="C156" s="31"/>
      <c r="D156" s="28"/>
      <c r="E156" s="29"/>
      <c r="F156" s="38"/>
      <c r="G156" s="30"/>
      <c r="H156" s="39">
        <f t="shared" si="0"/>
      </c>
      <c r="I156" s="37">
        <f t="shared" si="1"/>
      </c>
      <c r="J156" s="28"/>
      <c r="K156" s="31"/>
      <c r="L156" s="32">
        <f t="shared" si="2"/>
      </c>
    </row>
    <row r="157" spans="1:12" x14ac:dyDescent="0.25">
      <c r="A157" s="27"/>
      <c r="B157" s="29"/>
      <c r="C157" s="31"/>
      <c r="D157" s="28"/>
      <c r="E157" s="29"/>
      <c r="F157" s="38"/>
      <c r="G157" s="30"/>
      <c r="H157" s="39">
        <f t="shared" si="0"/>
      </c>
      <c r="I157" s="37">
        <f t="shared" si="1"/>
      </c>
      <c r="J157" s="28"/>
      <c r="K157" s="31"/>
      <c r="L157" s="32">
        <f t="shared" si="2"/>
      </c>
    </row>
    <row r="158" spans="1:12" x14ac:dyDescent="0.25">
      <c r="A158" s="27"/>
      <c r="B158" s="29"/>
      <c r="C158" s="31"/>
      <c r="D158" s="28"/>
      <c r="E158" s="29"/>
      <c r="F158" s="38"/>
      <c r="G158" s="30"/>
      <c r="H158" s="39">
        <f t="shared" si="0"/>
      </c>
      <c r="I158" s="37">
        <f t="shared" si="1"/>
      </c>
      <c r="J158" s="28"/>
      <c r="K158" s="31"/>
      <c r="L158" s="32">
        <f t="shared" si="2"/>
      </c>
    </row>
    <row r="159" spans="1:12" x14ac:dyDescent="0.25">
      <c r="A159" s="27"/>
      <c r="B159" s="29"/>
      <c r="C159" s="31"/>
      <c r="D159" s="28"/>
      <c r="E159" s="29"/>
      <c r="F159" s="38"/>
      <c r="G159" s="30"/>
      <c r="H159" s="39">
        <f t="shared" si="0"/>
      </c>
      <c r="I159" s="37">
        <f t="shared" si="1"/>
      </c>
      <c r="J159" s="28"/>
      <c r="K159" s="31"/>
      <c r="L159" s="32">
        <f t="shared" si="2"/>
      </c>
    </row>
    <row r="160" spans="1:12" x14ac:dyDescent="0.25">
      <c r="A160" s="27"/>
      <c r="B160" s="29"/>
      <c r="C160" s="31"/>
      <c r="D160" s="28"/>
      <c r="E160" s="29"/>
      <c r="F160" s="38"/>
      <c r="G160" s="30"/>
      <c r="H160" s="39">
        <f t="shared" si="0"/>
      </c>
      <c r="I160" s="37">
        <f t="shared" si="1"/>
      </c>
      <c r="J160" s="28"/>
      <c r="K160" s="31"/>
      <c r="L160" s="32">
        <f t="shared" si="2"/>
      </c>
    </row>
    <row r="161" spans="1:12" x14ac:dyDescent="0.25">
      <c r="A161" s="27"/>
      <c r="B161" s="29"/>
      <c r="C161" s="31"/>
      <c r="D161" s="28"/>
      <c r="E161" s="29"/>
      <c r="F161" s="38"/>
      <c r="G161" s="30"/>
      <c r="H161" s="39">
        <f t="shared" si="0"/>
      </c>
      <c r="I161" s="37">
        <f t="shared" si="1"/>
      </c>
      <c r="J161" s="28"/>
      <c r="K161" s="31"/>
      <c r="L161" s="32">
        <f t="shared" si="2"/>
      </c>
    </row>
    <row r="162" spans="1:12" x14ac:dyDescent="0.25">
      <c r="A162" s="27"/>
      <c r="B162" s="29"/>
      <c r="C162" s="31"/>
      <c r="D162" s="28"/>
      <c r="E162" s="29"/>
      <c r="F162" s="38"/>
      <c r="G162" s="30"/>
      <c r="H162" s="39">
        <f t="shared" si="0"/>
      </c>
      <c r="I162" s="37">
        <f t="shared" si="1"/>
      </c>
      <c r="J162" s="28"/>
      <c r="K162" s="31"/>
      <c r="L162" s="32">
        <f t="shared" si="2"/>
      </c>
    </row>
    <row r="163" spans="1:12" x14ac:dyDescent="0.25">
      <c r="A163" s="27"/>
      <c r="B163" s="29"/>
      <c r="C163" s="31"/>
      <c r="D163" s="28"/>
      <c r="E163" s="29"/>
      <c r="F163" s="38"/>
      <c r="G163" s="30"/>
      <c r="H163" s="39">
        <f t="shared" si="0"/>
      </c>
      <c r="I163" s="37">
        <f t="shared" si="1"/>
      </c>
      <c r="J163" s="28"/>
      <c r="K163" s="31"/>
      <c r="L163" s="32">
        <f t="shared" si="2"/>
      </c>
    </row>
    <row r="164" spans="1:12" x14ac:dyDescent="0.25">
      <c r="A164" s="27"/>
      <c r="B164" s="29"/>
      <c r="C164" s="31"/>
      <c r="D164" s="28"/>
      <c r="E164" s="29"/>
      <c r="F164" s="38"/>
      <c r="G164" s="30"/>
      <c r="H164" s="39">
        <f t="shared" si="0"/>
      </c>
      <c r="I164" s="37">
        <f t="shared" si="1"/>
      </c>
      <c r="J164" s="28"/>
      <c r="K164" s="31"/>
      <c r="L164" s="32">
        <f t="shared" si="2"/>
      </c>
    </row>
    <row r="165" spans="1:12" x14ac:dyDescent="0.25">
      <c r="A165" s="27"/>
      <c r="B165" s="29"/>
      <c r="C165" s="31"/>
      <c r="D165" s="28"/>
      <c r="E165" s="29"/>
      <c r="F165" s="38"/>
      <c r="G165" s="30"/>
      <c r="H165" s="39">
        <f t="shared" si="0"/>
      </c>
      <c r="I165" s="37">
        <f t="shared" si="1"/>
      </c>
      <c r="J165" s="28"/>
      <c r="K165" s="31"/>
      <c r="L165" s="32">
        <f t="shared" si="2"/>
      </c>
    </row>
    <row r="166" spans="1:12" x14ac:dyDescent="0.25">
      <c r="A166" s="27"/>
      <c r="B166" s="29"/>
      <c r="C166" s="31"/>
      <c r="D166" s="28"/>
      <c r="E166" s="29"/>
      <c r="F166" s="38"/>
      <c r="G166" s="30"/>
      <c r="H166" s="39">
        <f t="shared" si="0"/>
      </c>
      <c r="I166" s="37">
        <f t="shared" si="1"/>
      </c>
      <c r="J166" s="28"/>
      <c r="K166" s="31"/>
      <c r="L166" s="32">
        <f t="shared" si="2"/>
      </c>
    </row>
    <row r="167" spans="1:12" x14ac:dyDescent="0.25">
      <c r="A167" s="27"/>
      <c r="B167" s="29"/>
      <c r="C167" s="31"/>
      <c r="D167" s="28"/>
      <c r="E167" s="29"/>
      <c r="F167" s="38"/>
      <c r="G167" s="30"/>
      <c r="H167" s="39">
        <f t="shared" si="0"/>
      </c>
      <c r="I167" s="37">
        <f t="shared" si="1"/>
      </c>
      <c r="J167" s="28"/>
      <c r="K167" s="31"/>
      <c r="L167" s="32">
        <f t="shared" si="2"/>
      </c>
    </row>
    <row r="168" spans="1:12" x14ac:dyDescent="0.25">
      <c r="A168" s="27"/>
      <c r="B168" s="29"/>
      <c r="C168" s="31"/>
      <c r="D168" s="28"/>
      <c r="E168" s="29"/>
      <c r="F168" s="38"/>
      <c r="G168" s="30"/>
      <c r="H168" s="39">
        <f t="shared" si="0"/>
      </c>
      <c r="I168" s="37">
        <f t="shared" si="1"/>
      </c>
      <c r="J168" s="28"/>
      <c r="K168" s="31"/>
      <c r="L168" s="32">
        <f t="shared" si="2"/>
      </c>
    </row>
    <row r="169" spans="1:12" x14ac:dyDescent="0.25">
      <c r="A169" s="27"/>
      <c r="B169" s="29"/>
      <c r="C169" s="31"/>
      <c r="D169" s="28"/>
      <c r="E169" s="29"/>
      <c r="F169" s="38"/>
      <c r="G169" s="30"/>
      <c r="H169" s="39">
        <f t="shared" si="0"/>
      </c>
      <c r="I169" s="37">
        <f t="shared" si="1"/>
      </c>
      <c r="J169" s="28"/>
      <c r="K169" s="31"/>
      <c r="L169" s="32">
        <f t="shared" si="2"/>
      </c>
    </row>
    <row r="170" spans="1:12" x14ac:dyDescent="0.25">
      <c r="A170" s="27"/>
      <c r="B170" s="29"/>
      <c r="C170" s="31"/>
      <c r="D170" s="28"/>
      <c r="E170" s="29"/>
      <c r="F170" s="38"/>
      <c r="G170" s="30"/>
      <c r="H170" s="39">
        <f t="shared" si="0"/>
      </c>
      <c r="I170" s="37">
        <f t="shared" si="1"/>
      </c>
      <c r="J170" s="28"/>
      <c r="K170" s="31"/>
      <c r="L170" s="32">
        <f t="shared" si="2"/>
      </c>
    </row>
    <row r="171" spans="1:12" x14ac:dyDescent="0.25">
      <c r="A171" s="27"/>
      <c r="B171" s="29"/>
      <c r="C171" s="31"/>
      <c r="D171" s="28"/>
      <c r="E171" s="29"/>
      <c r="F171" s="38"/>
      <c r="G171" s="30"/>
      <c r="H171" s="39">
        <f t="shared" si="0"/>
      </c>
      <c r="I171" s="37">
        <f t="shared" si="1"/>
      </c>
      <c r="J171" s="28"/>
      <c r="K171" s="31"/>
      <c r="L171" s="32">
        <f t="shared" si="2"/>
      </c>
    </row>
    <row r="172" spans="1:12" x14ac:dyDescent="0.25">
      <c r="A172" s="27"/>
      <c r="B172" s="29"/>
      <c r="C172" s="31"/>
      <c r="D172" s="28"/>
      <c r="E172" s="29"/>
      <c r="F172" s="38"/>
      <c r="G172" s="30"/>
      <c r="H172" s="39">
        <f t="shared" si="0"/>
      </c>
      <c r="I172" s="37">
        <f t="shared" si="1"/>
      </c>
      <c r="J172" s="28"/>
      <c r="K172" s="31"/>
      <c r="L172" s="32">
        <f t="shared" si="2"/>
      </c>
    </row>
    <row r="173" spans="1:12" x14ac:dyDescent="0.25">
      <c r="A173" s="27"/>
      <c r="B173" s="29"/>
      <c r="C173" s="31"/>
      <c r="D173" s="28"/>
      <c r="E173" s="29"/>
      <c r="F173" s="38"/>
      <c r="G173" s="30"/>
      <c r="H173" s="39">
        <f t="shared" si="0"/>
      </c>
      <c r="I173" s="37">
        <f t="shared" si="1"/>
      </c>
      <c r="J173" s="28"/>
      <c r="K173" s="31"/>
      <c r="L173" s="32">
        <f t="shared" si="2"/>
      </c>
    </row>
    <row r="174" spans="1:12" x14ac:dyDescent="0.25">
      <c r="A174" s="27"/>
      <c r="B174" s="29"/>
      <c r="C174" s="31"/>
      <c r="D174" s="28"/>
      <c r="E174" s="29"/>
      <c r="F174" s="38"/>
      <c r="G174" s="30"/>
      <c r="H174" s="39">
        <f t="shared" si="0"/>
      </c>
      <c r="I174" s="37">
        <f t="shared" si="1"/>
      </c>
      <c r="J174" s="28"/>
      <c r="K174" s="31"/>
      <c r="L174" s="32">
        <f t="shared" si="2"/>
      </c>
    </row>
    <row r="175" spans="1:12" x14ac:dyDescent="0.25">
      <c r="A175" s="27"/>
      <c r="B175" s="29"/>
      <c r="C175" s="31"/>
      <c r="D175" s="28"/>
      <c r="E175" s="29"/>
      <c r="F175" s="38"/>
      <c r="G175" s="30"/>
      <c r="H175" s="39">
        <f t="shared" si="0"/>
      </c>
      <c r="I175" s="37">
        <f t="shared" si="1"/>
      </c>
      <c r="J175" s="28"/>
      <c r="K175" s="31"/>
      <c r="L175" s="32">
        <f t="shared" si="2"/>
      </c>
    </row>
    <row r="176" spans="1:12" x14ac:dyDescent="0.25">
      <c r="A176" s="27"/>
      <c r="B176" s="29"/>
      <c r="C176" s="31"/>
      <c r="D176" s="28"/>
      <c r="E176" s="29"/>
      <c r="F176" s="38"/>
      <c r="G176" s="30"/>
      <c r="H176" s="39">
        <f t="shared" si="0"/>
      </c>
      <c r="I176" s="37">
        <f t="shared" si="1"/>
      </c>
      <c r="J176" s="28"/>
      <c r="K176" s="31"/>
      <c r="L176" s="32">
        <f t="shared" si="2"/>
      </c>
    </row>
    <row r="177" spans="1:12" x14ac:dyDescent="0.25">
      <c r="A177" s="27"/>
      <c r="B177" s="29"/>
      <c r="C177" s="31"/>
      <c r="D177" s="28"/>
      <c r="E177" s="29"/>
      <c r="F177" s="38"/>
      <c r="G177" s="30"/>
      <c r="H177" s="39">
        <f t="shared" si="0"/>
      </c>
      <c r="I177" s="37">
        <f t="shared" si="1"/>
      </c>
      <c r="J177" s="28"/>
      <c r="K177" s="31"/>
      <c r="L177" s="32">
        <f t="shared" si="2"/>
      </c>
    </row>
    <row r="178" spans="1:12" x14ac:dyDescent="0.25">
      <c r="A178" s="27"/>
      <c r="B178" s="29"/>
      <c r="C178" s="31"/>
      <c r="D178" s="28"/>
      <c r="E178" s="29"/>
      <c r="F178" s="38"/>
      <c r="G178" s="30"/>
      <c r="H178" s="39">
        <f t="shared" si="0"/>
      </c>
      <c r="I178" s="37">
        <f t="shared" si="1"/>
      </c>
      <c r="J178" s="28"/>
      <c r="K178" s="31"/>
      <c r="L178" s="32">
        <f t="shared" si="2"/>
      </c>
    </row>
    <row r="179" spans="1:12" x14ac:dyDescent="0.25">
      <c r="A179" s="27"/>
      <c r="B179" s="29"/>
      <c r="C179" s="31"/>
      <c r="D179" s="28"/>
      <c r="E179" s="29"/>
      <c r="F179" s="38"/>
      <c r="G179" s="30"/>
      <c r="H179" s="39">
        <f t="shared" si="0"/>
      </c>
      <c r="I179" s="37">
        <f t="shared" si="1"/>
      </c>
      <c r="J179" s="28"/>
      <c r="K179" s="31"/>
      <c r="L179" s="32">
        <f t="shared" si="2"/>
      </c>
    </row>
    <row r="180" spans="1:12" x14ac:dyDescent="0.25">
      <c r="A180" s="27"/>
      <c r="B180" s="29"/>
      <c r="C180" s="31"/>
      <c r="D180" s="28"/>
      <c r="E180" s="29"/>
      <c r="F180" s="38"/>
      <c r="G180" s="30"/>
      <c r="H180" s="39">
        <f t="shared" si="0"/>
      </c>
      <c r="I180" s="37">
        <f t="shared" si="1"/>
      </c>
      <c r="J180" s="28"/>
      <c r="K180" s="31"/>
      <c r="L180" s="32">
        <f t="shared" si="2"/>
      </c>
    </row>
    <row r="181" spans="1:12" x14ac:dyDescent="0.25">
      <c r="A181" s="27"/>
      <c r="B181" s="29"/>
      <c r="C181" s="31"/>
      <c r="D181" s="28"/>
      <c r="E181" s="29"/>
      <c r="F181" s="38"/>
      <c r="G181" s="30"/>
      <c r="H181" s="39">
        <f t="shared" si="0"/>
      </c>
      <c r="I181" s="37">
        <f t="shared" si="1"/>
      </c>
      <c r="J181" s="28"/>
      <c r="K181" s="31"/>
      <c r="L181" s="32">
        <f t="shared" si="2"/>
      </c>
    </row>
    <row r="182" spans="1:12" x14ac:dyDescent="0.25">
      <c r="A182" s="27"/>
      <c r="B182" s="29"/>
      <c r="C182" s="31"/>
      <c r="D182" s="28"/>
      <c r="E182" s="29"/>
      <c r="F182" s="38"/>
      <c r="G182" s="30"/>
      <c r="H182" s="39">
        <f t="shared" si="0"/>
      </c>
      <c r="I182" s="37">
        <f t="shared" si="1"/>
      </c>
      <c r="J182" s="28"/>
      <c r="K182" s="31"/>
      <c r="L182" s="32">
        <f t="shared" si="2"/>
      </c>
    </row>
    <row r="183" spans="1:12" x14ac:dyDescent="0.25">
      <c r="A183" s="27"/>
      <c r="B183" s="29"/>
      <c r="C183" s="31"/>
      <c r="D183" s="28"/>
      <c r="E183" s="29"/>
      <c r="F183" s="38"/>
      <c r="G183" s="30"/>
      <c r="H183" s="39">
        <f t="shared" si="0"/>
      </c>
      <c r="I183" s="37">
        <f t="shared" si="1"/>
      </c>
      <c r="J183" s="28"/>
      <c r="K183" s="31"/>
      <c r="L183" s="32">
        <f t="shared" si="2"/>
      </c>
    </row>
    <row r="184" spans="1:12" x14ac:dyDescent="0.25">
      <c r="A184" s="27"/>
      <c r="B184" s="29"/>
      <c r="C184" s="31"/>
      <c r="D184" s="28"/>
      <c r="E184" s="29"/>
      <c r="F184" s="38"/>
      <c r="G184" s="30"/>
      <c r="H184" s="39">
        <f t="shared" si="0"/>
      </c>
      <c r="I184" s="37">
        <f t="shared" si="1"/>
      </c>
      <c r="J184" s="28"/>
      <c r="K184" s="31"/>
      <c r="L184" s="32">
        <f t="shared" si="2"/>
      </c>
    </row>
    <row r="185" spans="1:12" x14ac:dyDescent="0.25">
      <c r="A185" s="27"/>
      <c r="B185" s="29"/>
      <c r="C185" s="31"/>
      <c r="D185" s="28"/>
      <c r="E185" s="29"/>
      <c r="F185" s="38"/>
      <c r="G185" s="30"/>
      <c r="H185" s="39">
        <f t="shared" si="0"/>
      </c>
      <c r="I185" s="37">
        <f t="shared" si="1"/>
      </c>
      <c r="J185" s="28"/>
      <c r="K185" s="31"/>
      <c r="L185" s="32">
        <f t="shared" si="2"/>
      </c>
    </row>
    <row r="186" spans="1:12" x14ac:dyDescent="0.25">
      <c r="A186" s="27"/>
      <c r="B186" s="29"/>
      <c r="C186" s="31"/>
      <c r="D186" s="28"/>
      <c r="E186" s="29"/>
      <c r="F186" s="38"/>
      <c r="G186" s="30"/>
      <c r="H186" s="39">
        <f t="shared" si="0"/>
      </c>
      <c r="I186" s="37">
        <f t="shared" si="1"/>
      </c>
      <c r="J186" s="28"/>
      <c r="K186" s="31"/>
      <c r="L186" s="32">
        <f t="shared" si="2"/>
      </c>
    </row>
    <row r="187" spans="1:12" x14ac:dyDescent="0.25">
      <c r="A187" s="27"/>
      <c r="B187" s="29"/>
      <c r="C187" s="31"/>
      <c r="D187" s="28"/>
      <c r="E187" s="29"/>
      <c r="F187" s="38"/>
      <c r="G187" s="30"/>
      <c r="H187" s="39">
        <f t="shared" si="0"/>
      </c>
      <c r="I187" s="37">
        <f t="shared" si="1"/>
      </c>
      <c r="J187" s="28"/>
      <c r="K187" s="31"/>
      <c r="L187" s="32">
        <f t="shared" si="2"/>
      </c>
    </row>
    <row r="188" spans="1:12" x14ac:dyDescent="0.25">
      <c r="A188" s="27"/>
      <c r="B188" s="29"/>
      <c r="C188" s="31"/>
      <c r="D188" s="28"/>
      <c r="E188" s="29"/>
      <c r="F188" s="38"/>
      <c r="G188" s="30"/>
      <c r="H188" s="39">
        <f t="shared" si="0"/>
      </c>
      <c r="I188" s="37">
        <f t="shared" si="1"/>
      </c>
      <c r="J188" s="28"/>
      <c r="K188" s="31"/>
      <c r="L188" s="32">
        <f t="shared" si="2"/>
      </c>
    </row>
    <row r="189" spans="1:12" x14ac:dyDescent="0.25">
      <c r="A189" s="27"/>
      <c r="B189" s="29"/>
      <c r="C189" s="31"/>
      <c r="D189" s="28"/>
      <c r="E189" s="29"/>
      <c r="F189" s="38"/>
      <c r="G189" s="30"/>
      <c r="H189" s="39">
        <f t="shared" si="0"/>
      </c>
      <c r="I189" s="37">
        <f t="shared" si="1"/>
      </c>
      <c r="J189" s="28"/>
      <c r="K189" s="31"/>
      <c r="L189" s="32">
        <f t="shared" si="2"/>
      </c>
    </row>
    <row r="190" spans="1:12" x14ac:dyDescent="0.25">
      <c r="A190" s="27"/>
      <c r="B190" s="29"/>
      <c r="C190" s="31"/>
      <c r="D190" s="28"/>
      <c r="E190" s="29"/>
      <c r="F190" s="38"/>
      <c r="G190" s="30"/>
      <c r="H190" s="39">
        <f t="shared" si="0"/>
      </c>
      <c r="I190" s="37">
        <f t="shared" si="1"/>
      </c>
      <c r="J190" s="28"/>
      <c r="K190" s="31"/>
      <c r="L190" s="32">
        <f t="shared" si="2"/>
      </c>
    </row>
    <row r="191" spans="1:12" x14ac:dyDescent="0.25">
      <c r="A191" s="27"/>
      <c r="B191" s="29"/>
      <c r="C191" s="31"/>
      <c r="D191" s="28"/>
      <c r="E191" s="29"/>
      <c r="F191" s="38"/>
      <c r="G191" s="30"/>
      <c r="H191" s="39">
        <f t="shared" si="0"/>
      </c>
      <c r="I191" s="37">
        <f t="shared" si="1"/>
      </c>
      <c r="J191" s="28"/>
      <c r="K191" s="31"/>
      <c r="L191" s="32">
        <f t="shared" si="2"/>
      </c>
    </row>
    <row r="192" spans="1:12" x14ac:dyDescent="0.25">
      <c r="A192" s="27"/>
      <c r="B192" s="29"/>
      <c r="C192" s="31"/>
      <c r="D192" s="28"/>
      <c r="E192" s="29"/>
      <c r="F192" s="38"/>
      <c r="G192" s="30"/>
      <c r="H192" s="39">
        <f t="shared" si="0"/>
      </c>
      <c r="I192" s="37">
        <f t="shared" si="1"/>
      </c>
      <c r="J192" s="28"/>
      <c r="K192" s="31"/>
      <c r="L192" s="32">
        <f t="shared" si="2"/>
      </c>
    </row>
    <row r="193" spans="1:12" x14ac:dyDescent="0.25">
      <c r="A193" s="27"/>
      <c r="B193" s="29"/>
      <c r="C193" s="31"/>
      <c r="D193" s="28"/>
      <c r="E193" s="29"/>
      <c r="F193" s="38"/>
      <c r="G193" s="30"/>
      <c r="H193" s="39">
        <f t="shared" si="0"/>
      </c>
      <c r="I193" s="37">
        <f t="shared" si="1"/>
      </c>
      <c r="J193" s="28"/>
      <c r="K193" s="31"/>
      <c r="L193" s="32">
        <f t="shared" si="2"/>
      </c>
    </row>
    <row r="194" spans="1:12" x14ac:dyDescent="0.25">
      <c r="A194" s="27"/>
      <c r="B194" s="29"/>
      <c r="C194" s="31"/>
      <c r="D194" s="28"/>
      <c r="E194" s="29"/>
      <c r="F194" s="38"/>
      <c r="G194" s="30"/>
      <c r="H194" s="39">
        <f t="shared" si="0"/>
      </c>
      <c r="I194" s="37">
        <f t="shared" si="1"/>
      </c>
      <c r="J194" s="28"/>
      <c r="K194" s="31"/>
      <c r="L194" s="32">
        <f t="shared" si="2"/>
      </c>
    </row>
    <row r="195" spans="1:12" x14ac:dyDescent="0.25">
      <c r="A195" s="27"/>
      <c r="B195" s="29"/>
      <c r="C195" s="31"/>
      <c r="D195" s="28"/>
      <c r="E195" s="29"/>
      <c r="F195" s="38"/>
      <c r="G195" s="30"/>
      <c r="H195" s="39">
        <f t="shared" si="0"/>
      </c>
      <c r="I195" s="37">
        <f t="shared" si="1"/>
      </c>
      <c r="J195" s="28"/>
      <c r="K195" s="31"/>
      <c r="L195" s="32">
        <f t="shared" si="2"/>
      </c>
    </row>
    <row r="196" spans="1:12" x14ac:dyDescent="0.25">
      <c r="A196" s="27"/>
      <c r="B196" s="29"/>
      <c r="C196" s="31"/>
      <c r="D196" s="28"/>
      <c r="E196" s="29"/>
      <c r="F196" s="38"/>
      <c r="G196" s="30"/>
      <c r="H196" s="39">
        <f t="shared" si="0"/>
      </c>
      <c r="I196" s="37">
        <f t="shared" si="1"/>
      </c>
      <c r="J196" s="28"/>
      <c r="K196" s="31"/>
      <c r="L196" s="32">
        <f t="shared" si="2"/>
      </c>
    </row>
    <row r="197" spans="1:12" x14ac:dyDescent="0.25">
      <c r="A197" s="27"/>
      <c r="B197" s="29"/>
      <c r="C197" s="31"/>
      <c r="D197" s="28"/>
      <c r="E197" s="29"/>
      <c r="F197" s="38"/>
      <c r="G197" s="30"/>
      <c r="H197" s="39">
        <f t="shared" si="0"/>
      </c>
      <c r="I197" s="37">
        <f t="shared" si="1"/>
      </c>
      <c r="J197" s="28"/>
      <c r="K197" s="31"/>
      <c r="L197" s="32">
        <f t="shared" si="2"/>
      </c>
    </row>
    <row r="198" spans="1:12" x14ac:dyDescent="0.25">
      <c r="A198" s="27"/>
      <c r="B198" s="29"/>
      <c r="C198" s="31"/>
      <c r="D198" s="28"/>
      <c r="E198" s="29"/>
      <c r="F198" s="38"/>
      <c r="G198" s="30"/>
      <c r="H198" s="39">
        <f t="shared" si="0"/>
      </c>
      <c r="I198" s="37">
        <f t="shared" si="1"/>
      </c>
      <c r="J198" s="28"/>
      <c r="K198" s="31"/>
      <c r="L198" s="32">
        <f t="shared" si="2"/>
      </c>
    </row>
    <row r="199" spans="1:12" x14ac:dyDescent="0.25">
      <c r="A199" s="27"/>
      <c r="B199" s="29"/>
      <c r="C199" s="31"/>
      <c r="D199" s="28"/>
      <c r="E199" s="29"/>
      <c r="F199" s="38"/>
      <c r="G199" s="30"/>
      <c r="H199" s="39">
        <f t="shared" si="0"/>
      </c>
      <c r="I199" s="37">
        <f t="shared" si="1"/>
      </c>
      <c r="J199" s="28"/>
      <c r="K199" s="31"/>
      <c r="L199" s="32">
        <f t="shared" si="2"/>
      </c>
    </row>
    <row r="200" spans="1:12" x14ac:dyDescent="0.25">
      <c r="A200" s="27"/>
      <c r="B200" s="29"/>
      <c r="C200" s="31"/>
      <c r="D200" s="28"/>
      <c r="E200" s="29"/>
      <c r="F200" s="38"/>
      <c r="G200" s="30"/>
      <c r="H200" s="39">
        <f t="shared" si="0"/>
      </c>
      <c r="I200" s="37">
        <f t="shared" si="1"/>
      </c>
      <c r="J200" s="28"/>
      <c r="K200" s="31"/>
      <c r="L200" s="32">
        <f t="shared" si="2"/>
      </c>
    </row>
    <row r="201" spans="1:12" x14ac:dyDescent="0.25">
      <c r="A201" s="27"/>
      <c r="B201" s="29"/>
      <c r="C201" s="31"/>
      <c r="D201" s="28"/>
      <c r="E201" s="29"/>
      <c r="F201" s="38"/>
      <c r="G201" s="30"/>
      <c r="H201" s="39">
        <f t="shared" si="0"/>
      </c>
      <c r="I201" s="37">
        <f t="shared" si="1"/>
      </c>
      <c r="J201" s="28"/>
      <c r="K201" s="31"/>
      <c r="L201" s="32">
        <f t="shared" si="2"/>
      </c>
    </row>
    <row r="202" spans="1:12" x14ac:dyDescent="0.25">
      <c r="A202" s="27"/>
      <c r="B202" s="29"/>
      <c r="C202" s="31"/>
      <c r="D202" s="28"/>
      <c r="E202" s="29"/>
      <c r="F202" s="38"/>
      <c r="G202" s="30"/>
      <c r="H202" s="39">
        <f t="shared" si="0"/>
      </c>
      <c r="I202" s="37">
        <f t="shared" si="1"/>
      </c>
      <c r="J202" s="28"/>
      <c r="K202" s="31"/>
      <c r="L202" s="32">
        <f t="shared" si="2"/>
      </c>
    </row>
    <row r="203" spans="1:12" x14ac:dyDescent="0.25">
      <c r="A203" s="27"/>
      <c r="B203" s="29"/>
      <c r="C203" s="31"/>
      <c r="D203" s="28"/>
      <c r="E203" s="29"/>
      <c r="F203" s="38"/>
      <c r="G203" s="30"/>
      <c r="H203" s="39">
        <f t="shared" si="0"/>
      </c>
      <c r="I203" s="37">
        <f t="shared" si="1"/>
      </c>
      <c r="J203" s="28"/>
      <c r="K203" s="31"/>
      <c r="L203" s="32">
        <f t="shared" si="2"/>
      </c>
    </row>
  </sheetData>
  <sheetProtection sheet="1" formatColumns="0" formatRows="0" autoFilter="0"/>
  <autoFilter ref="A3:L203"/>
  <mergeCells count="2">
    <mergeCell ref="A1:B2"/>
    <mergeCell ref="C1:K2"/>
  </mergeCells>
  <conditionalFormatting sqref="I4:I203">
    <cfRule type="expression" dxfId="28" priority="10">
      <formula>I4="Vencido"</formula>
    </cfRule>
    <cfRule type="expression" dxfId="29" priority="11">
      <formula>I4="Programar"</formula>
    </cfRule>
    <cfRule type="expression" dxfId="30" priority="12">
      <formula>I4="Em dia"</formula>
    </cfRule>
    <cfRule type="expression" dxfId="31" priority="13">
      <formula>I4="Sem data"</formula>
    </cfRule>
  </conditionalFormatting>
  <conditionalFormatting sqref="L4:L203">
    <cfRule type="expression" dxfId="32" priority="1">
      <formula>OR(LEFT(L4,4)="ERRO",LEFT(L4,7)="ATENÇÃO")</formula>
    </cfRule>
    <cfRule type="expression" dxfId="33" priority="2">
      <formula>OR(LEFT(L4,8)="Pendente",LEFT(L4,9)="Verificar",LEFT(L4,9)="Duplicada",LEFT(L4,7)="Tarefa ",LEFT(L4,13)="Fora do plano",LEFT(L4,8)="Previsão",LEFT(L4,11)="Sem vínculo",LEFT(L4,14)="Não verificado",LEFT(L4,7)="Informe",LEFT(L4,9)="A definir")</formula>
    </cfRule>
    <cfRule type="expression" dxfId="34" priority="3">
      <formula>OR(L4="OK",LEFT(L4,4)="Nada",LEFT(L4,3)="OK:")</formula>
    </cfRule>
  </conditionalFormatting>
  <dataValidations count="5">
    <dataValidation type="list" allowBlank="1" showErrorMessage="1" errorStyle="stop" errorTitle="Valor fora da lista" error="Escolha um item da lista suspensa (aba Listas)." sqref="B4:B203">
      <formula1>OFFSET(at_codigo,0,0,MAX(1,COUNTA(at_codigo)),1)</formula1>
    </dataValidation>
    <dataValidation type="list" allowBlank="1" showErrorMessage="1" errorStyle="stop" errorTitle="Valor fora da lista" error="Escolha um item da lista suspensa (aba Listas)." sqref="D4:D203">
      <formula1>OFFSET(lst_tipo_atividade,0,0,MAX(1,COUNTA(lst_tipo_atividade)),1)</formula1>
    </dataValidation>
    <dataValidation type="list" allowBlank="1" showErrorMessage="1" errorStyle="stop" errorTitle="Valor fora da lista" error="Escolha um item da lista suspensa (aba Listas)." sqref="E4:E203">
      <formula1>OFFSET(lst_frequencia,0,0,MAX(1,COUNTA(lst_frequencia)),1)</formula1>
    </dataValidation>
    <dataValidation type="decimal" operator="greaterThanOrEqual" allowBlank="1" showErrorMessage="1" errorStyle="stop" errorTitle="Valor inválido" error="Informe um número maior ou igual a zero." sqref="F4:F203">
      <formula1>0</formula1>
    </dataValidation>
    <dataValidation type="date" allowBlank="1" showErrorMessage="1" errorStyle="stop" errorTitle="Data inválida" error="Digite uma data válida no formato dd/mm/aaaa." sqref="G4:G20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4"/>
  <sheetViews>
    <sheetView workbookViewId="0" showGridLines="0" zoomScale="100" zoomScaleNormal="100">
      <pane xSplit="3" ySplit="4" topLeftCell="D5" activePane="bottomRight" state="frozen"/>
      <selection pane="bottomRight" activeCell="D5" sqref="D5"/>
    </sheetView>
  </sheetViews>
  <sheetFormatPr defaultRowHeight="15" outlineLevelRow="0" outlineLevelCol="0" x14ac:dyDescent="55"/>
  <cols>
    <col min="1" max="2" width="12" customWidth="1"/>
    <col min="3" max="3" width="34" customWidth="1"/>
    <col min="4" max="15" width="5.5" customWidth="1"/>
    <col min="16" max="16" width="11" customWidth="1"/>
  </cols>
  <sheetData>
    <row r="1" ht="36" customHeight="1" spans="1:16" x14ac:dyDescent="0.25">
      <c r="A1" s="1"/>
      <c r="B1" s="1"/>
      <c r="C1" s="2" t="s">
        <v>137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6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>
        <f>"Elaborado: "&amp;IF(cfg_elaborado="","A definir",cfg_elaborado)&amp;CHAR(10)&amp;"Aprovado: "&amp;IF(cfg_aprovado="","A definir",cfg_aprovado)</f>
      </c>
    </row>
    <row r="3" ht="24" customHeight="1" spans="1:16" x14ac:dyDescent="0.25">
      <c r="A3" s="8" t="s">
        <v>138</v>
      </c>
      <c r="B3" s="8" t="s">
        <v>87</v>
      </c>
      <c r="C3" s="8" t="s">
        <v>139</v>
      </c>
      <c r="D3" s="8" t="s">
        <v>140</v>
      </c>
      <c r="E3" s="8" t="s">
        <v>141</v>
      </c>
      <c r="F3" s="8" t="s">
        <v>142</v>
      </c>
      <c r="G3" s="8" t="s">
        <v>143</v>
      </c>
      <c r="H3" s="8" t="s">
        <v>144</v>
      </c>
      <c r="I3" s="8" t="s">
        <v>145</v>
      </c>
      <c r="J3" s="8" t="s">
        <v>146</v>
      </c>
      <c r="K3" s="8" t="s">
        <v>147</v>
      </c>
      <c r="L3" s="8" t="s">
        <v>148</v>
      </c>
      <c r="M3" s="8" t="s">
        <v>149</v>
      </c>
      <c r="N3" s="8" t="s">
        <v>150</v>
      </c>
      <c r="O3" s="8" t="s">
        <v>151</v>
      </c>
      <c r="P3" s="8" t="s">
        <v>152</v>
      </c>
    </row>
    <row r="4" spans="1:16" x14ac:dyDescent="0.25">
      <c r="A4" s="40">
        <f>"Programadas (●) e executadas (✔) · ano "&amp;ano_ref</f>
      </c>
      <c r="B4" s="40"/>
      <c r="C4" s="40"/>
      <c r="D4" s="41">
        <f>COUNTIF(D5:D204,"●")&amp;"/"&amp;COUNTIF(D5:D204,"✔")</f>
      </c>
      <c r="E4" s="41">
        <f>COUNTIF(E5:E204,"●")&amp;"/"&amp;COUNTIF(E5:E204,"✔")</f>
      </c>
      <c r="F4" s="41">
        <f>COUNTIF(F5:F204,"●")&amp;"/"&amp;COUNTIF(F5:F204,"✔")</f>
      </c>
      <c r="G4" s="41">
        <f>COUNTIF(G5:G204,"●")&amp;"/"&amp;COUNTIF(G5:G204,"✔")</f>
      </c>
      <c r="H4" s="41">
        <f>COUNTIF(H5:H204,"●")&amp;"/"&amp;COUNTIF(H5:H204,"✔")</f>
      </c>
      <c r="I4" s="41">
        <f>COUNTIF(I5:I204,"●")&amp;"/"&amp;COUNTIF(I5:I204,"✔")</f>
      </c>
      <c r="J4" s="41">
        <f>COUNTIF(J5:J204,"●")&amp;"/"&amp;COUNTIF(J5:J204,"✔")</f>
      </c>
      <c r="K4" s="41">
        <f>COUNTIF(K5:K204,"●")&amp;"/"&amp;COUNTIF(K5:K204,"✔")</f>
      </c>
      <c r="L4" s="41">
        <f>COUNTIF(L5:L204,"●")&amp;"/"&amp;COUNTIF(L5:L204,"✔")</f>
      </c>
      <c r="M4" s="41">
        <f>COUNTIF(M5:M204,"●")&amp;"/"&amp;COUNTIF(M5:M204,"✔")</f>
      </c>
      <c r="N4" s="41">
        <f>COUNTIF(N5:N204,"●")&amp;"/"&amp;COUNTIF(N5:N204,"✔")</f>
      </c>
      <c r="O4" s="41">
        <f>COUNTIF(O5:O204,"●")&amp;"/"&amp;COUNTIF(O5:O204,"✔")</f>
      </c>
      <c r="P4" s="42">
        <f>IFERROR(COUNTIF(D5:O204,"✔")/(COUNTIF(D5:O204,"✔")+COUNTIF(D5:O204,"●")),"")</f>
      </c>
    </row>
    <row r="5" spans="1:16" x14ac:dyDescent="0.25">
      <c r="A5" s="43">
        <f>IF(Planos!$A4&lt;&gt;"",Planos!A4&amp;"","")</f>
      </c>
      <c r="B5" s="43">
        <f>IF(Planos!$A4&lt;&gt;"",Planos!B4&amp;"","")</f>
      </c>
      <c r="C5" s="24">
        <f>IF(Planos!$A4&lt;&gt;"",Planos!C4&amp;"","")</f>
      </c>
      <c r="D5" s="43">
        <f>IF(NOT(Planos!$A4&lt;&gt;""),"",IF(COUNTIFS(Programação!$B$4:$B$503,Planos!$A4,Programação!$I$4:$I$503,"Concluído",Programação!$G$4:$G$503,"&gt;="&amp;DATE(ano_ref,1,1),Programação!$G$4:$G$503,"&lt;="&amp;EOMONTH(DATE(ano_ref,1,1),0))&gt;0,"✔",IF(AND(ISNUMBER(Planos!$G4),IFERROR(INDEX(lst_frequencia_meses,MATCH(Planos!$E4,lst_frequencia,0)),0)&gt;0,(ano_ref*12+1)-(YEAR(Planos!$G4)*12+MONTH(Planos!$G4))&gt;0,MOD((ano_ref*12+1)-(YEAR(Planos!$G4)*12+MONTH(Planos!$G4)),MAX(1,IFERROR(INDEX(lst_frequencia_meses,MATCH(Planos!$E4,lst_frequencia,0)),0)))=0),"●","")))</f>
      </c>
      <c r="E5" s="43">
        <f>IF(NOT(Planos!$A4&lt;&gt;""),"",IF(COUNTIFS(Programação!$B$4:$B$503,Planos!$A4,Programação!$I$4:$I$503,"Concluído",Programação!$G$4:$G$503,"&gt;="&amp;DATE(ano_ref,2,1),Programação!$G$4:$G$503,"&lt;="&amp;EOMONTH(DATE(ano_ref,2,1),0))&gt;0,"✔",IF(AND(ISNUMBER(Planos!$G4),IFERROR(INDEX(lst_frequencia_meses,MATCH(Planos!$E4,lst_frequencia,0)),0)&gt;0,(ano_ref*12+2)-(YEAR(Planos!$G4)*12+MONTH(Planos!$G4))&gt;0,MOD((ano_ref*12+2)-(YEAR(Planos!$G4)*12+MONTH(Planos!$G4)),MAX(1,IFERROR(INDEX(lst_frequencia_meses,MATCH(Planos!$E4,lst_frequencia,0)),0)))=0),"●","")))</f>
      </c>
      <c r="F5" s="43">
        <f>IF(NOT(Planos!$A4&lt;&gt;""),"",IF(COUNTIFS(Programação!$B$4:$B$503,Planos!$A4,Programação!$I$4:$I$503,"Concluído",Programação!$G$4:$G$503,"&gt;="&amp;DATE(ano_ref,3,1),Programação!$G$4:$G$503,"&lt;="&amp;EOMONTH(DATE(ano_ref,3,1),0))&gt;0,"✔",IF(AND(ISNUMBER(Planos!$G4),IFERROR(INDEX(lst_frequencia_meses,MATCH(Planos!$E4,lst_frequencia,0)),0)&gt;0,(ano_ref*12+3)-(YEAR(Planos!$G4)*12+MONTH(Planos!$G4))&gt;0,MOD((ano_ref*12+3)-(YEAR(Planos!$G4)*12+MONTH(Planos!$G4)),MAX(1,IFERROR(INDEX(lst_frequencia_meses,MATCH(Planos!$E4,lst_frequencia,0)),0)))=0),"●","")))</f>
      </c>
      <c r="G5" s="43">
        <f>IF(NOT(Planos!$A4&lt;&gt;""),"",IF(COUNTIFS(Programação!$B$4:$B$503,Planos!$A4,Programação!$I$4:$I$503,"Concluído",Programação!$G$4:$G$503,"&gt;="&amp;DATE(ano_ref,4,1),Programação!$G$4:$G$503,"&lt;="&amp;EOMONTH(DATE(ano_ref,4,1),0))&gt;0,"✔",IF(AND(ISNUMBER(Planos!$G4),IFERROR(INDEX(lst_frequencia_meses,MATCH(Planos!$E4,lst_frequencia,0)),0)&gt;0,(ano_ref*12+4)-(YEAR(Planos!$G4)*12+MONTH(Planos!$G4))&gt;0,MOD((ano_ref*12+4)-(YEAR(Planos!$G4)*12+MONTH(Planos!$G4)),MAX(1,IFERROR(INDEX(lst_frequencia_meses,MATCH(Planos!$E4,lst_frequencia,0)),0)))=0),"●","")))</f>
      </c>
      <c r="H5" s="43">
        <f>IF(NOT(Planos!$A4&lt;&gt;""),"",IF(COUNTIFS(Programação!$B$4:$B$503,Planos!$A4,Programação!$I$4:$I$503,"Concluído",Programação!$G$4:$G$503,"&gt;="&amp;DATE(ano_ref,5,1),Programação!$G$4:$G$503,"&lt;="&amp;EOMONTH(DATE(ano_ref,5,1),0))&gt;0,"✔",IF(AND(ISNUMBER(Planos!$G4),IFERROR(INDEX(lst_frequencia_meses,MATCH(Planos!$E4,lst_frequencia,0)),0)&gt;0,(ano_ref*12+5)-(YEAR(Planos!$G4)*12+MONTH(Planos!$G4))&gt;0,MOD((ano_ref*12+5)-(YEAR(Planos!$G4)*12+MONTH(Planos!$G4)),MAX(1,IFERROR(INDEX(lst_frequencia_meses,MATCH(Planos!$E4,lst_frequencia,0)),0)))=0),"●","")))</f>
      </c>
      <c r="I5" s="43">
        <f>IF(NOT(Planos!$A4&lt;&gt;""),"",IF(COUNTIFS(Programação!$B$4:$B$503,Planos!$A4,Programação!$I$4:$I$503,"Concluído",Programação!$G$4:$G$503,"&gt;="&amp;DATE(ano_ref,6,1),Programação!$G$4:$G$503,"&lt;="&amp;EOMONTH(DATE(ano_ref,6,1),0))&gt;0,"✔",IF(AND(ISNUMBER(Planos!$G4),IFERROR(INDEX(lst_frequencia_meses,MATCH(Planos!$E4,lst_frequencia,0)),0)&gt;0,(ano_ref*12+6)-(YEAR(Planos!$G4)*12+MONTH(Planos!$G4))&gt;0,MOD((ano_ref*12+6)-(YEAR(Planos!$G4)*12+MONTH(Planos!$G4)),MAX(1,IFERROR(INDEX(lst_frequencia_meses,MATCH(Planos!$E4,lst_frequencia,0)),0)))=0),"●","")))</f>
      </c>
      <c r="J5" s="43">
        <f>IF(NOT(Planos!$A4&lt;&gt;""),"",IF(COUNTIFS(Programação!$B$4:$B$503,Planos!$A4,Programação!$I$4:$I$503,"Concluído",Programação!$G$4:$G$503,"&gt;="&amp;DATE(ano_ref,7,1),Programação!$G$4:$G$503,"&lt;="&amp;EOMONTH(DATE(ano_ref,7,1),0))&gt;0,"✔",IF(AND(ISNUMBER(Planos!$G4),IFERROR(INDEX(lst_frequencia_meses,MATCH(Planos!$E4,lst_frequencia,0)),0)&gt;0,(ano_ref*12+7)-(YEAR(Planos!$G4)*12+MONTH(Planos!$G4))&gt;0,MOD((ano_ref*12+7)-(YEAR(Planos!$G4)*12+MONTH(Planos!$G4)),MAX(1,IFERROR(INDEX(lst_frequencia_meses,MATCH(Planos!$E4,lst_frequencia,0)),0)))=0),"●","")))</f>
      </c>
      <c r="K5" s="43">
        <f>IF(NOT(Planos!$A4&lt;&gt;""),"",IF(COUNTIFS(Programação!$B$4:$B$503,Planos!$A4,Programação!$I$4:$I$503,"Concluído",Programação!$G$4:$G$503,"&gt;="&amp;DATE(ano_ref,8,1),Programação!$G$4:$G$503,"&lt;="&amp;EOMONTH(DATE(ano_ref,8,1),0))&gt;0,"✔",IF(AND(ISNUMBER(Planos!$G4),IFERROR(INDEX(lst_frequencia_meses,MATCH(Planos!$E4,lst_frequencia,0)),0)&gt;0,(ano_ref*12+8)-(YEAR(Planos!$G4)*12+MONTH(Planos!$G4))&gt;0,MOD((ano_ref*12+8)-(YEAR(Planos!$G4)*12+MONTH(Planos!$G4)),MAX(1,IFERROR(INDEX(lst_frequencia_meses,MATCH(Planos!$E4,lst_frequencia,0)),0)))=0),"●","")))</f>
      </c>
      <c r="L5" s="43">
        <f>IF(NOT(Planos!$A4&lt;&gt;""),"",IF(COUNTIFS(Programação!$B$4:$B$503,Planos!$A4,Programação!$I$4:$I$503,"Concluído",Programação!$G$4:$G$503,"&gt;="&amp;DATE(ano_ref,9,1),Programação!$G$4:$G$503,"&lt;="&amp;EOMONTH(DATE(ano_ref,9,1),0))&gt;0,"✔",IF(AND(ISNUMBER(Planos!$G4),IFERROR(INDEX(lst_frequencia_meses,MATCH(Planos!$E4,lst_frequencia,0)),0)&gt;0,(ano_ref*12+9)-(YEAR(Planos!$G4)*12+MONTH(Planos!$G4))&gt;0,MOD((ano_ref*12+9)-(YEAR(Planos!$G4)*12+MONTH(Planos!$G4)),MAX(1,IFERROR(INDEX(lst_frequencia_meses,MATCH(Planos!$E4,lst_frequencia,0)),0)))=0),"●","")))</f>
      </c>
      <c r="M5" s="43">
        <f>IF(NOT(Planos!$A4&lt;&gt;""),"",IF(COUNTIFS(Programação!$B$4:$B$503,Planos!$A4,Programação!$I$4:$I$503,"Concluído",Programação!$G$4:$G$503,"&gt;="&amp;DATE(ano_ref,10,1),Programação!$G$4:$G$503,"&lt;="&amp;EOMONTH(DATE(ano_ref,10,1),0))&gt;0,"✔",IF(AND(ISNUMBER(Planos!$G4),IFERROR(INDEX(lst_frequencia_meses,MATCH(Planos!$E4,lst_frequencia,0)),0)&gt;0,(ano_ref*12+10)-(YEAR(Planos!$G4)*12+MONTH(Planos!$G4))&gt;0,MOD((ano_ref*12+10)-(YEAR(Planos!$G4)*12+MONTH(Planos!$G4)),MAX(1,IFERROR(INDEX(lst_frequencia_meses,MATCH(Planos!$E4,lst_frequencia,0)),0)))=0),"●","")))</f>
      </c>
      <c r="N5" s="43">
        <f>IF(NOT(Planos!$A4&lt;&gt;""),"",IF(COUNTIFS(Programação!$B$4:$B$503,Planos!$A4,Programação!$I$4:$I$503,"Concluído",Programação!$G$4:$G$503,"&gt;="&amp;DATE(ano_ref,11,1),Programação!$G$4:$G$503,"&lt;="&amp;EOMONTH(DATE(ano_ref,11,1),0))&gt;0,"✔",IF(AND(ISNUMBER(Planos!$G4),IFERROR(INDEX(lst_frequencia_meses,MATCH(Planos!$E4,lst_frequencia,0)),0)&gt;0,(ano_ref*12+11)-(YEAR(Planos!$G4)*12+MONTH(Planos!$G4))&gt;0,MOD((ano_ref*12+11)-(YEAR(Planos!$G4)*12+MONTH(Planos!$G4)),MAX(1,IFERROR(INDEX(lst_frequencia_meses,MATCH(Planos!$E4,lst_frequencia,0)),0)))=0),"●","")))</f>
      </c>
      <c r="O5" s="43">
        <f>IF(NOT(Planos!$A4&lt;&gt;""),"",IF(COUNTIFS(Programação!$B$4:$B$503,Planos!$A4,Programação!$I$4:$I$503,"Concluído",Programação!$G$4:$G$503,"&gt;="&amp;DATE(ano_ref,12,1),Programação!$G$4:$G$503,"&lt;="&amp;EOMONTH(DATE(ano_ref,12,1),0))&gt;0,"✔",IF(AND(ISNUMBER(Planos!$G4),IFERROR(INDEX(lst_frequencia_meses,MATCH(Planos!$E4,lst_frequencia,0)),0)&gt;0,(ano_ref*12+12)-(YEAR(Planos!$G4)*12+MONTH(Planos!$G4))&gt;0,MOD((ano_ref*12+12)-(YEAR(Planos!$G4)*12+MONTH(Planos!$G4)),MAX(1,IFERROR(INDEX(lst_frequencia_meses,MATCH(Planos!$E4,lst_frequencia,0)),0)))=0),"●","")))</f>
      </c>
      <c r="P5" s="44">
        <f>IF(COUNTIF(D5:O5,"✔")+COUNTIF(D5:O5,"●")=0,"",COUNTIF(D5:O5,"✔")/(COUNTIF(D5:O5,"✔")+COUNTIF(D5:O5,"●")))</f>
      </c>
    </row>
    <row r="6" spans="1:16" x14ac:dyDescent="0.25">
      <c r="A6" s="43">
        <f>IF(Planos!$A5&lt;&gt;"",Planos!A5&amp;"","")</f>
      </c>
      <c r="B6" s="43">
        <f>IF(Planos!$A5&lt;&gt;"",Planos!B5&amp;"","")</f>
      </c>
      <c r="C6" s="24">
        <f>IF(Planos!$A5&lt;&gt;"",Planos!C5&amp;"","")</f>
      </c>
      <c r="D6" s="43">
        <f>IF(NOT(Planos!$A5&lt;&gt;""),"",IF(COUNTIFS(Programação!$B$4:$B$503,Planos!$A5,Programação!$I$4:$I$503,"Concluído",Programação!$G$4:$G$503,"&gt;="&amp;DATE(ano_ref,1,1),Programação!$G$4:$G$503,"&lt;="&amp;EOMONTH(DATE(ano_ref,1,1),0))&gt;0,"✔",IF(AND(ISNUMBER(Planos!$G5),IFERROR(INDEX(lst_frequencia_meses,MATCH(Planos!$E5,lst_frequencia,0)),0)&gt;0,(ano_ref*12+1)-(YEAR(Planos!$G5)*12+MONTH(Planos!$G5))&gt;0,MOD((ano_ref*12+1)-(YEAR(Planos!$G5)*12+MONTH(Planos!$G5)),MAX(1,IFERROR(INDEX(lst_frequencia_meses,MATCH(Planos!$E5,lst_frequencia,0)),0)))=0),"●","")))</f>
      </c>
      <c r="E6" s="43">
        <f>IF(NOT(Planos!$A5&lt;&gt;""),"",IF(COUNTIFS(Programação!$B$4:$B$503,Planos!$A5,Programação!$I$4:$I$503,"Concluído",Programação!$G$4:$G$503,"&gt;="&amp;DATE(ano_ref,2,1),Programação!$G$4:$G$503,"&lt;="&amp;EOMONTH(DATE(ano_ref,2,1),0))&gt;0,"✔",IF(AND(ISNUMBER(Planos!$G5),IFERROR(INDEX(lst_frequencia_meses,MATCH(Planos!$E5,lst_frequencia,0)),0)&gt;0,(ano_ref*12+2)-(YEAR(Planos!$G5)*12+MONTH(Planos!$G5))&gt;0,MOD((ano_ref*12+2)-(YEAR(Planos!$G5)*12+MONTH(Planos!$G5)),MAX(1,IFERROR(INDEX(lst_frequencia_meses,MATCH(Planos!$E5,lst_frequencia,0)),0)))=0),"●","")))</f>
      </c>
      <c r="F6" s="43">
        <f>IF(NOT(Planos!$A5&lt;&gt;""),"",IF(COUNTIFS(Programação!$B$4:$B$503,Planos!$A5,Programação!$I$4:$I$503,"Concluído",Programação!$G$4:$G$503,"&gt;="&amp;DATE(ano_ref,3,1),Programação!$G$4:$G$503,"&lt;="&amp;EOMONTH(DATE(ano_ref,3,1),0))&gt;0,"✔",IF(AND(ISNUMBER(Planos!$G5),IFERROR(INDEX(lst_frequencia_meses,MATCH(Planos!$E5,lst_frequencia,0)),0)&gt;0,(ano_ref*12+3)-(YEAR(Planos!$G5)*12+MONTH(Planos!$G5))&gt;0,MOD((ano_ref*12+3)-(YEAR(Planos!$G5)*12+MONTH(Planos!$G5)),MAX(1,IFERROR(INDEX(lst_frequencia_meses,MATCH(Planos!$E5,lst_frequencia,0)),0)))=0),"●","")))</f>
      </c>
      <c r="G6" s="43">
        <f>IF(NOT(Planos!$A5&lt;&gt;""),"",IF(COUNTIFS(Programação!$B$4:$B$503,Planos!$A5,Programação!$I$4:$I$503,"Concluído",Programação!$G$4:$G$503,"&gt;="&amp;DATE(ano_ref,4,1),Programação!$G$4:$G$503,"&lt;="&amp;EOMONTH(DATE(ano_ref,4,1),0))&gt;0,"✔",IF(AND(ISNUMBER(Planos!$G5),IFERROR(INDEX(lst_frequencia_meses,MATCH(Planos!$E5,lst_frequencia,0)),0)&gt;0,(ano_ref*12+4)-(YEAR(Planos!$G5)*12+MONTH(Planos!$G5))&gt;0,MOD((ano_ref*12+4)-(YEAR(Planos!$G5)*12+MONTH(Planos!$G5)),MAX(1,IFERROR(INDEX(lst_frequencia_meses,MATCH(Planos!$E5,lst_frequencia,0)),0)))=0),"●","")))</f>
      </c>
      <c r="H6" s="43">
        <f>IF(NOT(Planos!$A5&lt;&gt;""),"",IF(COUNTIFS(Programação!$B$4:$B$503,Planos!$A5,Programação!$I$4:$I$503,"Concluído",Programação!$G$4:$G$503,"&gt;="&amp;DATE(ano_ref,5,1),Programação!$G$4:$G$503,"&lt;="&amp;EOMONTH(DATE(ano_ref,5,1),0))&gt;0,"✔",IF(AND(ISNUMBER(Planos!$G5),IFERROR(INDEX(lst_frequencia_meses,MATCH(Planos!$E5,lst_frequencia,0)),0)&gt;0,(ano_ref*12+5)-(YEAR(Planos!$G5)*12+MONTH(Planos!$G5))&gt;0,MOD((ano_ref*12+5)-(YEAR(Planos!$G5)*12+MONTH(Planos!$G5)),MAX(1,IFERROR(INDEX(lst_frequencia_meses,MATCH(Planos!$E5,lst_frequencia,0)),0)))=0),"●","")))</f>
      </c>
      <c r="I6" s="43">
        <f>IF(NOT(Planos!$A5&lt;&gt;""),"",IF(COUNTIFS(Programação!$B$4:$B$503,Planos!$A5,Programação!$I$4:$I$503,"Concluído",Programação!$G$4:$G$503,"&gt;="&amp;DATE(ano_ref,6,1),Programação!$G$4:$G$503,"&lt;="&amp;EOMONTH(DATE(ano_ref,6,1),0))&gt;0,"✔",IF(AND(ISNUMBER(Planos!$G5),IFERROR(INDEX(lst_frequencia_meses,MATCH(Planos!$E5,lst_frequencia,0)),0)&gt;0,(ano_ref*12+6)-(YEAR(Planos!$G5)*12+MONTH(Planos!$G5))&gt;0,MOD((ano_ref*12+6)-(YEAR(Planos!$G5)*12+MONTH(Planos!$G5)),MAX(1,IFERROR(INDEX(lst_frequencia_meses,MATCH(Planos!$E5,lst_frequencia,0)),0)))=0),"●","")))</f>
      </c>
      <c r="J6" s="43">
        <f>IF(NOT(Planos!$A5&lt;&gt;""),"",IF(COUNTIFS(Programação!$B$4:$B$503,Planos!$A5,Programação!$I$4:$I$503,"Concluído",Programação!$G$4:$G$503,"&gt;="&amp;DATE(ano_ref,7,1),Programação!$G$4:$G$503,"&lt;="&amp;EOMONTH(DATE(ano_ref,7,1),0))&gt;0,"✔",IF(AND(ISNUMBER(Planos!$G5),IFERROR(INDEX(lst_frequencia_meses,MATCH(Planos!$E5,lst_frequencia,0)),0)&gt;0,(ano_ref*12+7)-(YEAR(Planos!$G5)*12+MONTH(Planos!$G5))&gt;0,MOD((ano_ref*12+7)-(YEAR(Planos!$G5)*12+MONTH(Planos!$G5)),MAX(1,IFERROR(INDEX(lst_frequencia_meses,MATCH(Planos!$E5,lst_frequencia,0)),0)))=0),"●","")))</f>
      </c>
      <c r="K6" s="43">
        <f>IF(NOT(Planos!$A5&lt;&gt;""),"",IF(COUNTIFS(Programação!$B$4:$B$503,Planos!$A5,Programação!$I$4:$I$503,"Concluído",Programação!$G$4:$G$503,"&gt;="&amp;DATE(ano_ref,8,1),Programação!$G$4:$G$503,"&lt;="&amp;EOMONTH(DATE(ano_ref,8,1),0))&gt;0,"✔",IF(AND(ISNUMBER(Planos!$G5),IFERROR(INDEX(lst_frequencia_meses,MATCH(Planos!$E5,lst_frequencia,0)),0)&gt;0,(ano_ref*12+8)-(YEAR(Planos!$G5)*12+MONTH(Planos!$G5))&gt;0,MOD((ano_ref*12+8)-(YEAR(Planos!$G5)*12+MONTH(Planos!$G5)),MAX(1,IFERROR(INDEX(lst_frequencia_meses,MATCH(Planos!$E5,lst_frequencia,0)),0)))=0),"●","")))</f>
      </c>
      <c r="L6" s="43">
        <f>IF(NOT(Planos!$A5&lt;&gt;""),"",IF(COUNTIFS(Programação!$B$4:$B$503,Planos!$A5,Programação!$I$4:$I$503,"Concluído",Programação!$G$4:$G$503,"&gt;="&amp;DATE(ano_ref,9,1),Programação!$G$4:$G$503,"&lt;="&amp;EOMONTH(DATE(ano_ref,9,1),0))&gt;0,"✔",IF(AND(ISNUMBER(Planos!$G5),IFERROR(INDEX(lst_frequencia_meses,MATCH(Planos!$E5,lst_frequencia,0)),0)&gt;0,(ano_ref*12+9)-(YEAR(Planos!$G5)*12+MONTH(Planos!$G5))&gt;0,MOD((ano_ref*12+9)-(YEAR(Planos!$G5)*12+MONTH(Planos!$G5)),MAX(1,IFERROR(INDEX(lst_frequencia_meses,MATCH(Planos!$E5,lst_frequencia,0)),0)))=0),"●","")))</f>
      </c>
      <c r="M6" s="43">
        <f>IF(NOT(Planos!$A5&lt;&gt;""),"",IF(COUNTIFS(Programação!$B$4:$B$503,Planos!$A5,Programação!$I$4:$I$503,"Concluído",Programação!$G$4:$G$503,"&gt;="&amp;DATE(ano_ref,10,1),Programação!$G$4:$G$503,"&lt;="&amp;EOMONTH(DATE(ano_ref,10,1),0))&gt;0,"✔",IF(AND(ISNUMBER(Planos!$G5),IFERROR(INDEX(lst_frequencia_meses,MATCH(Planos!$E5,lst_frequencia,0)),0)&gt;0,(ano_ref*12+10)-(YEAR(Planos!$G5)*12+MONTH(Planos!$G5))&gt;0,MOD((ano_ref*12+10)-(YEAR(Planos!$G5)*12+MONTH(Planos!$G5)),MAX(1,IFERROR(INDEX(lst_frequencia_meses,MATCH(Planos!$E5,lst_frequencia,0)),0)))=0),"●","")))</f>
      </c>
      <c r="N6" s="43">
        <f>IF(NOT(Planos!$A5&lt;&gt;""),"",IF(COUNTIFS(Programação!$B$4:$B$503,Planos!$A5,Programação!$I$4:$I$503,"Concluído",Programação!$G$4:$G$503,"&gt;="&amp;DATE(ano_ref,11,1),Programação!$G$4:$G$503,"&lt;="&amp;EOMONTH(DATE(ano_ref,11,1),0))&gt;0,"✔",IF(AND(ISNUMBER(Planos!$G5),IFERROR(INDEX(lst_frequencia_meses,MATCH(Planos!$E5,lst_frequencia,0)),0)&gt;0,(ano_ref*12+11)-(YEAR(Planos!$G5)*12+MONTH(Planos!$G5))&gt;0,MOD((ano_ref*12+11)-(YEAR(Planos!$G5)*12+MONTH(Planos!$G5)),MAX(1,IFERROR(INDEX(lst_frequencia_meses,MATCH(Planos!$E5,lst_frequencia,0)),0)))=0),"●","")))</f>
      </c>
      <c r="O6" s="43">
        <f>IF(NOT(Planos!$A5&lt;&gt;""),"",IF(COUNTIFS(Programação!$B$4:$B$503,Planos!$A5,Programação!$I$4:$I$503,"Concluído",Programação!$G$4:$G$503,"&gt;="&amp;DATE(ano_ref,12,1),Programação!$G$4:$G$503,"&lt;="&amp;EOMONTH(DATE(ano_ref,12,1),0))&gt;0,"✔",IF(AND(ISNUMBER(Planos!$G5),IFERROR(INDEX(lst_frequencia_meses,MATCH(Planos!$E5,lst_frequencia,0)),0)&gt;0,(ano_ref*12+12)-(YEAR(Planos!$G5)*12+MONTH(Planos!$G5))&gt;0,MOD((ano_ref*12+12)-(YEAR(Planos!$G5)*12+MONTH(Planos!$G5)),MAX(1,IFERROR(INDEX(lst_frequencia_meses,MATCH(Planos!$E5,lst_frequencia,0)),0)))=0),"●","")))</f>
      </c>
      <c r="P6" s="44">
        <f>IF(COUNTIF(D6:O6,"✔")+COUNTIF(D6:O6,"●")=0,"",COUNTIF(D6:O6,"✔")/(COUNTIF(D6:O6,"✔")+COUNTIF(D6:O6,"●")))</f>
      </c>
    </row>
    <row r="7" spans="1:16" x14ac:dyDescent="0.25">
      <c r="A7" s="43">
        <f>IF(Planos!$A6&lt;&gt;"",Planos!A6&amp;"","")</f>
      </c>
      <c r="B7" s="43">
        <f>IF(Planos!$A6&lt;&gt;"",Planos!B6&amp;"","")</f>
      </c>
      <c r="C7" s="24">
        <f>IF(Planos!$A6&lt;&gt;"",Planos!C6&amp;"","")</f>
      </c>
      <c r="D7" s="43">
        <f>IF(NOT(Planos!$A6&lt;&gt;""),"",IF(COUNTIFS(Programação!$B$4:$B$503,Planos!$A6,Programação!$I$4:$I$503,"Concluído",Programação!$G$4:$G$503,"&gt;="&amp;DATE(ano_ref,1,1),Programação!$G$4:$G$503,"&lt;="&amp;EOMONTH(DATE(ano_ref,1,1),0))&gt;0,"✔",IF(AND(ISNUMBER(Planos!$G6),IFERROR(INDEX(lst_frequencia_meses,MATCH(Planos!$E6,lst_frequencia,0)),0)&gt;0,(ano_ref*12+1)-(YEAR(Planos!$G6)*12+MONTH(Planos!$G6))&gt;0,MOD((ano_ref*12+1)-(YEAR(Planos!$G6)*12+MONTH(Planos!$G6)),MAX(1,IFERROR(INDEX(lst_frequencia_meses,MATCH(Planos!$E6,lst_frequencia,0)),0)))=0),"●","")))</f>
      </c>
      <c r="E7" s="43">
        <f>IF(NOT(Planos!$A6&lt;&gt;""),"",IF(COUNTIFS(Programação!$B$4:$B$503,Planos!$A6,Programação!$I$4:$I$503,"Concluído",Programação!$G$4:$G$503,"&gt;="&amp;DATE(ano_ref,2,1),Programação!$G$4:$G$503,"&lt;="&amp;EOMONTH(DATE(ano_ref,2,1),0))&gt;0,"✔",IF(AND(ISNUMBER(Planos!$G6),IFERROR(INDEX(lst_frequencia_meses,MATCH(Planos!$E6,lst_frequencia,0)),0)&gt;0,(ano_ref*12+2)-(YEAR(Planos!$G6)*12+MONTH(Planos!$G6))&gt;0,MOD((ano_ref*12+2)-(YEAR(Planos!$G6)*12+MONTH(Planos!$G6)),MAX(1,IFERROR(INDEX(lst_frequencia_meses,MATCH(Planos!$E6,lst_frequencia,0)),0)))=0),"●","")))</f>
      </c>
      <c r="F7" s="43">
        <f>IF(NOT(Planos!$A6&lt;&gt;""),"",IF(COUNTIFS(Programação!$B$4:$B$503,Planos!$A6,Programação!$I$4:$I$503,"Concluído",Programação!$G$4:$G$503,"&gt;="&amp;DATE(ano_ref,3,1),Programação!$G$4:$G$503,"&lt;="&amp;EOMONTH(DATE(ano_ref,3,1),0))&gt;0,"✔",IF(AND(ISNUMBER(Planos!$G6),IFERROR(INDEX(lst_frequencia_meses,MATCH(Planos!$E6,lst_frequencia,0)),0)&gt;0,(ano_ref*12+3)-(YEAR(Planos!$G6)*12+MONTH(Planos!$G6))&gt;0,MOD((ano_ref*12+3)-(YEAR(Planos!$G6)*12+MONTH(Planos!$G6)),MAX(1,IFERROR(INDEX(lst_frequencia_meses,MATCH(Planos!$E6,lst_frequencia,0)),0)))=0),"●","")))</f>
      </c>
      <c r="G7" s="43">
        <f>IF(NOT(Planos!$A6&lt;&gt;""),"",IF(COUNTIFS(Programação!$B$4:$B$503,Planos!$A6,Programação!$I$4:$I$503,"Concluído",Programação!$G$4:$G$503,"&gt;="&amp;DATE(ano_ref,4,1),Programação!$G$4:$G$503,"&lt;="&amp;EOMONTH(DATE(ano_ref,4,1),0))&gt;0,"✔",IF(AND(ISNUMBER(Planos!$G6),IFERROR(INDEX(lst_frequencia_meses,MATCH(Planos!$E6,lst_frequencia,0)),0)&gt;0,(ano_ref*12+4)-(YEAR(Planos!$G6)*12+MONTH(Planos!$G6))&gt;0,MOD((ano_ref*12+4)-(YEAR(Planos!$G6)*12+MONTH(Planos!$G6)),MAX(1,IFERROR(INDEX(lst_frequencia_meses,MATCH(Planos!$E6,lst_frequencia,0)),0)))=0),"●","")))</f>
      </c>
      <c r="H7" s="43">
        <f>IF(NOT(Planos!$A6&lt;&gt;""),"",IF(COUNTIFS(Programação!$B$4:$B$503,Planos!$A6,Programação!$I$4:$I$503,"Concluído",Programação!$G$4:$G$503,"&gt;="&amp;DATE(ano_ref,5,1),Programação!$G$4:$G$503,"&lt;="&amp;EOMONTH(DATE(ano_ref,5,1),0))&gt;0,"✔",IF(AND(ISNUMBER(Planos!$G6),IFERROR(INDEX(lst_frequencia_meses,MATCH(Planos!$E6,lst_frequencia,0)),0)&gt;0,(ano_ref*12+5)-(YEAR(Planos!$G6)*12+MONTH(Planos!$G6))&gt;0,MOD((ano_ref*12+5)-(YEAR(Planos!$G6)*12+MONTH(Planos!$G6)),MAX(1,IFERROR(INDEX(lst_frequencia_meses,MATCH(Planos!$E6,lst_frequencia,0)),0)))=0),"●","")))</f>
      </c>
      <c r="I7" s="43">
        <f>IF(NOT(Planos!$A6&lt;&gt;""),"",IF(COUNTIFS(Programação!$B$4:$B$503,Planos!$A6,Programação!$I$4:$I$503,"Concluído",Programação!$G$4:$G$503,"&gt;="&amp;DATE(ano_ref,6,1),Programação!$G$4:$G$503,"&lt;="&amp;EOMONTH(DATE(ano_ref,6,1),0))&gt;0,"✔",IF(AND(ISNUMBER(Planos!$G6),IFERROR(INDEX(lst_frequencia_meses,MATCH(Planos!$E6,lst_frequencia,0)),0)&gt;0,(ano_ref*12+6)-(YEAR(Planos!$G6)*12+MONTH(Planos!$G6))&gt;0,MOD((ano_ref*12+6)-(YEAR(Planos!$G6)*12+MONTH(Planos!$G6)),MAX(1,IFERROR(INDEX(lst_frequencia_meses,MATCH(Planos!$E6,lst_frequencia,0)),0)))=0),"●","")))</f>
      </c>
      <c r="J7" s="43">
        <f>IF(NOT(Planos!$A6&lt;&gt;""),"",IF(COUNTIFS(Programação!$B$4:$B$503,Planos!$A6,Programação!$I$4:$I$503,"Concluído",Programação!$G$4:$G$503,"&gt;="&amp;DATE(ano_ref,7,1),Programação!$G$4:$G$503,"&lt;="&amp;EOMONTH(DATE(ano_ref,7,1),0))&gt;0,"✔",IF(AND(ISNUMBER(Planos!$G6),IFERROR(INDEX(lst_frequencia_meses,MATCH(Planos!$E6,lst_frequencia,0)),0)&gt;0,(ano_ref*12+7)-(YEAR(Planos!$G6)*12+MONTH(Planos!$G6))&gt;0,MOD((ano_ref*12+7)-(YEAR(Planos!$G6)*12+MONTH(Planos!$G6)),MAX(1,IFERROR(INDEX(lst_frequencia_meses,MATCH(Planos!$E6,lst_frequencia,0)),0)))=0),"●","")))</f>
      </c>
      <c r="K7" s="43">
        <f>IF(NOT(Planos!$A6&lt;&gt;""),"",IF(COUNTIFS(Programação!$B$4:$B$503,Planos!$A6,Programação!$I$4:$I$503,"Concluído",Programação!$G$4:$G$503,"&gt;="&amp;DATE(ano_ref,8,1),Programação!$G$4:$G$503,"&lt;="&amp;EOMONTH(DATE(ano_ref,8,1),0))&gt;0,"✔",IF(AND(ISNUMBER(Planos!$G6),IFERROR(INDEX(lst_frequencia_meses,MATCH(Planos!$E6,lst_frequencia,0)),0)&gt;0,(ano_ref*12+8)-(YEAR(Planos!$G6)*12+MONTH(Planos!$G6))&gt;0,MOD((ano_ref*12+8)-(YEAR(Planos!$G6)*12+MONTH(Planos!$G6)),MAX(1,IFERROR(INDEX(lst_frequencia_meses,MATCH(Planos!$E6,lst_frequencia,0)),0)))=0),"●","")))</f>
      </c>
      <c r="L7" s="43">
        <f>IF(NOT(Planos!$A6&lt;&gt;""),"",IF(COUNTIFS(Programação!$B$4:$B$503,Planos!$A6,Programação!$I$4:$I$503,"Concluído",Programação!$G$4:$G$503,"&gt;="&amp;DATE(ano_ref,9,1),Programação!$G$4:$G$503,"&lt;="&amp;EOMONTH(DATE(ano_ref,9,1),0))&gt;0,"✔",IF(AND(ISNUMBER(Planos!$G6),IFERROR(INDEX(lst_frequencia_meses,MATCH(Planos!$E6,lst_frequencia,0)),0)&gt;0,(ano_ref*12+9)-(YEAR(Planos!$G6)*12+MONTH(Planos!$G6))&gt;0,MOD((ano_ref*12+9)-(YEAR(Planos!$G6)*12+MONTH(Planos!$G6)),MAX(1,IFERROR(INDEX(lst_frequencia_meses,MATCH(Planos!$E6,lst_frequencia,0)),0)))=0),"●","")))</f>
      </c>
      <c r="M7" s="43">
        <f>IF(NOT(Planos!$A6&lt;&gt;""),"",IF(COUNTIFS(Programação!$B$4:$B$503,Planos!$A6,Programação!$I$4:$I$503,"Concluído",Programação!$G$4:$G$503,"&gt;="&amp;DATE(ano_ref,10,1),Programação!$G$4:$G$503,"&lt;="&amp;EOMONTH(DATE(ano_ref,10,1),0))&gt;0,"✔",IF(AND(ISNUMBER(Planos!$G6),IFERROR(INDEX(lst_frequencia_meses,MATCH(Planos!$E6,lst_frequencia,0)),0)&gt;0,(ano_ref*12+10)-(YEAR(Planos!$G6)*12+MONTH(Planos!$G6))&gt;0,MOD((ano_ref*12+10)-(YEAR(Planos!$G6)*12+MONTH(Planos!$G6)),MAX(1,IFERROR(INDEX(lst_frequencia_meses,MATCH(Planos!$E6,lst_frequencia,0)),0)))=0),"●","")))</f>
      </c>
      <c r="N7" s="43">
        <f>IF(NOT(Planos!$A6&lt;&gt;""),"",IF(COUNTIFS(Programação!$B$4:$B$503,Planos!$A6,Programação!$I$4:$I$503,"Concluído",Programação!$G$4:$G$503,"&gt;="&amp;DATE(ano_ref,11,1),Programação!$G$4:$G$503,"&lt;="&amp;EOMONTH(DATE(ano_ref,11,1),0))&gt;0,"✔",IF(AND(ISNUMBER(Planos!$G6),IFERROR(INDEX(lst_frequencia_meses,MATCH(Planos!$E6,lst_frequencia,0)),0)&gt;0,(ano_ref*12+11)-(YEAR(Planos!$G6)*12+MONTH(Planos!$G6))&gt;0,MOD((ano_ref*12+11)-(YEAR(Planos!$G6)*12+MONTH(Planos!$G6)),MAX(1,IFERROR(INDEX(lst_frequencia_meses,MATCH(Planos!$E6,lst_frequencia,0)),0)))=0),"●","")))</f>
      </c>
      <c r="O7" s="43">
        <f>IF(NOT(Planos!$A6&lt;&gt;""),"",IF(COUNTIFS(Programação!$B$4:$B$503,Planos!$A6,Programação!$I$4:$I$503,"Concluído",Programação!$G$4:$G$503,"&gt;="&amp;DATE(ano_ref,12,1),Programação!$G$4:$G$503,"&lt;="&amp;EOMONTH(DATE(ano_ref,12,1),0))&gt;0,"✔",IF(AND(ISNUMBER(Planos!$G6),IFERROR(INDEX(lst_frequencia_meses,MATCH(Planos!$E6,lst_frequencia,0)),0)&gt;0,(ano_ref*12+12)-(YEAR(Planos!$G6)*12+MONTH(Planos!$G6))&gt;0,MOD((ano_ref*12+12)-(YEAR(Planos!$G6)*12+MONTH(Planos!$G6)),MAX(1,IFERROR(INDEX(lst_frequencia_meses,MATCH(Planos!$E6,lst_frequencia,0)),0)))=0),"●","")))</f>
      </c>
      <c r="P7" s="44">
        <f>IF(COUNTIF(D7:O7,"✔")+COUNTIF(D7:O7,"●")=0,"",COUNTIF(D7:O7,"✔")/(COUNTIF(D7:O7,"✔")+COUNTIF(D7:O7,"●")))</f>
      </c>
    </row>
    <row r="8" spans="1:16" x14ac:dyDescent="0.25">
      <c r="A8" s="43">
        <f>IF(Planos!$A7&lt;&gt;"",Planos!A7&amp;"","")</f>
      </c>
      <c r="B8" s="43">
        <f>IF(Planos!$A7&lt;&gt;"",Planos!B7&amp;"","")</f>
      </c>
      <c r="C8" s="24">
        <f>IF(Planos!$A7&lt;&gt;"",Planos!C7&amp;"","")</f>
      </c>
      <c r="D8" s="43">
        <f>IF(NOT(Planos!$A7&lt;&gt;""),"",IF(COUNTIFS(Programação!$B$4:$B$503,Planos!$A7,Programação!$I$4:$I$503,"Concluído",Programação!$G$4:$G$503,"&gt;="&amp;DATE(ano_ref,1,1),Programação!$G$4:$G$503,"&lt;="&amp;EOMONTH(DATE(ano_ref,1,1),0))&gt;0,"✔",IF(AND(ISNUMBER(Planos!$G7),IFERROR(INDEX(lst_frequencia_meses,MATCH(Planos!$E7,lst_frequencia,0)),0)&gt;0,(ano_ref*12+1)-(YEAR(Planos!$G7)*12+MONTH(Planos!$G7))&gt;0,MOD((ano_ref*12+1)-(YEAR(Planos!$G7)*12+MONTH(Planos!$G7)),MAX(1,IFERROR(INDEX(lst_frequencia_meses,MATCH(Planos!$E7,lst_frequencia,0)),0)))=0),"●","")))</f>
      </c>
      <c r="E8" s="43">
        <f>IF(NOT(Planos!$A7&lt;&gt;""),"",IF(COUNTIFS(Programação!$B$4:$B$503,Planos!$A7,Programação!$I$4:$I$503,"Concluído",Programação!$G$4:$G$503,"&gt;="&amp;DATE(ano_ref,2,1),Programação!$G$4:$G$503,"&lt;="&amp;EOMONTH(DATE(ano_ref,2,1),0))&gt;0,"✔",IF(AND(ISNUMBER(Planos!$G7),IFERROR(INDEX(lst_frequencia_meses,MATCH(Planos!$E7,lst_frequencia,0)),0)&gt;0,(ano_ref*12+2)-(YEAR(Planos!$G7)*12+MONTH(Planos!$G7))&gt;0,MOD((ano_ref*12+2)-(YEAR(Planos!$G7)*12+MONTH(Planos!$G7)),MAX(1,IFERROR(INDEX(lst_frequencia_meses,MATCH(Planos!$E7,lst_frequencia,0)),0)))=0),"●","")))</f>
      </c>
      <c r="F8" s="43">
        <f>IF(NOT(Planos!$A7&lt;&gt;""),"",IF(COUNTIFS(Programação!$B$4:$B$503,Planos!$A7,Programação!$I$4:$I$503,"Concluído",Programação!$G$4:$G$503,"&gt;="&amp;DATE(ano_ref,3,1),Programação!$G$4:$G$503,"&lt;="&amp;EOMONTH(DATE(ano_ref,3,1),0))&gt;0,"✔",IF(AND(ISNUMBER(Planos!$G7),IFERROR(INDEX(lst_frequencia_meses,MATCH(Planos!$E7,lst_frequencia,0)),0)&gt;0,(ano_ref*12+3)-(YEAR(Planos!$G7)*12+MONTH(Planos!$G7))&gt;0,MOD((ano_ref*12+3)-(YEAR(Planos!$G7)*12+MONTH(Planos!$G7)),MAX(1,IFERROR(INDEX(lst_frequencia_meses,MATCH(Planos!$E7,lst_frequencia,0)),0)))=0),"●","")))</f>
      </c>
      <c r="G8" s="43">
        <f>IF(NOT(Planos!$A7&lt;&gt;""),"",IF(COUNTIFS(Programação!$B$4:$B$503,Planos!$A7,Programação!$I$4:$I$503,"Concluído",Programação!$G$4:$G$503,"&gt;="&amp;DATE(ano_ref,4,1),Programação!$G$4:$G$503,"&lt;="&amp;EOMONTH(DATE(ano_ref,4,1),0))&gt;0,"✔",IF(AND(ISNUMBER(Planos!$G7),IFERROR(INDEX(lst_frequencia_meses,MATCH(Planos!$E7,lst_frequencia,0)),0)&gt;0,(ano_ref*12+4)-(YEAR(Planos!$G7)*12+MONTH(Planos!$G7))&gt;0,MOD((ano_ref*12+4)-(YEAR(Planos!$G7)*12+MONTH(Planos!$G7)),MAX(1,IFERROR(INDEX(lst_frequencia_meses,MATCH(Planos!$E7,lst_frequencia,0)),0)))=0),"●","")))</f>
      </c>
      <c r="H8" s="43">
        <f>IF(NOT(Planos!$A7&lt;&gt;""),"",IF(COUNTIFS(Programação!$B$4:$B$503,Planos!$A7,Programação!$I$4:$I$503,"Concluído",Programação!$G$4:$G$503,"&gt;="&amp;DATE(ano_ref,5,1),Programação!$G$4:$G$503,"&lt;="&amp;EOMONTH(DATE(ano_ref,5,1),0))&gt;0,"✔",IF(AND(ISNUMBER(Planos!$G7),IFERROR(INDEX(lst_frequencia_meses,MATCH(Planos!$E7,lst_frequencia,0)),0)&gt;0,(ano_ref*12+5)-(YEAR(Planos!$G7)*12+MONTH(Planos!$G7))&gt;0,MOD((ano_ref*12+5)-(YEAR(Planos!$G7)*12+MONTH(Planos!$G7)),MAX(1,IFERROR(INDEX(lst_frequencia_meses,MATCH(Planos!$E7,lst_frequencia,0)),0)))=0),"●","")))</f>
      </c>
      <c r="I8" s="43">
        <f>IF(NOT(Planos!$A7&lt;&gt;""),"",IF(COUNTIFS(Programação!$B$4:$B$503,Planos!$A7,Programação!$I$4:$I$503,"Concluído",Programação!$G$4:$G$503,"&gt;="&amp;DATE(ano_ref,6,1),Programação!$G$4:$G$503,"&lt;="&amp;EOMONTH(DATE(ano_ref,6,1),0))&gt;0,"✔",IF(AND(ISNUMBER(Planos!$G7),IFERROR(INDEX(lst_frequencia_meses,MATCH(Planos!$E7,lst_frequencia,0)),0)&gt;0,(ano_ref*12+6)-(YEAR(Planos!$G7)*12+MONTH(Planos!$G7))&gt;0,MOD((ano_ref*12+6)-(YEAR(Planos!$G7)*12+MONTH(Planos!$G7)),MAX(1,IFERROR(INDEX(lst_frequencia_meses,MATCH(Planos!$E7,lst_frequencia,0)),0)))=0),"●","")))</f>
      </c>
      <c r="J8" s="43">
        <f>IF(NOT(Planos!$A7&lt;&gt;""),"",IF(COUNTIFS(Programação!$B$4:$B$503,Planos!$A7,Programação!$I$4:$I$503,"Concluído",Programação!$G$4:$G$503,"&gt;="&amp;DATE(ano_ref,7,1),Programação!$G$4:$G$503,"&lt;="&amp;EOMONTH(DATE(ano_ref,7,1),0))&gt;0,"✔",IF(AND(ISNUMBER(Planos!$G7),IFERROR(INDEX(lst_frequencia_meses,MATCH(Planos!$E7,lst_frequencia,0)),0)&gt;0,(ano_ref*12+7)-(YEAR(Planos!$G7)*12+MONTH(Planos!$G7))&gt;0,MOD((ano_ref*12+7)-(YEAR(Planos!$G7)*12+MONTH(Planos!$G7)),MAX(1,IFERROR(INDEX(lst_frequencia_meses,MATCH(Planos!$E7,lst_frequencia,0)),0)))=0),"●","")))</f>
      </c>
      <c r="K8" s="43">
        <f>IF(NOT(Planos!$A7&lt;&gt;""),"",IF(COUNTIFS(Programação!$B$4:$B$503,Planos!$A7,Programação!$I$4:$I$503,"Concluído",Programação!$G$4:$G$503,"&gt;="&amp;DATE(ano_ref,8,1),Programação!$G$4:$G$503,"&lt;="&amp;EOMONTH(DATE(ano_ref,8,1),0))&gt;0,"✔",IF(AND(ISNUMBER(Planos!$G7),IFERROR(INDEX(lst_frequencia_meses,MATCH(Planos!$E7,lst_frequencia,0)),0)&gt;0,(ano_ref*12+8)-(YEAR(Planos!$G7)*12+MONTH(Planos!$G7))&gt;0,MOD((ano_ref*12+8)-(YEAR(Planos!$G7)*12+MONTH(Planos!$G7)),MAX(1,IFERROR(INDEX(lst_frequencia_meses,MATCH(Planos!$E7,lst_frequencia,0)),0)))=0),"●","")))</f>
      </c>
      <c r="L8" s="43">
        <f>IF(NOT(Planos!$A7&lt;&gt;""),"",IF(COUNTIFS(Programação!$B$4:$B$503,Planos!$A7,Programação!$I$4:$I$503,"Concluído",Programação!$G$4:$G$503,"&gt;="&amp;DATE(ano_ref,9,1),Programação!$G$4:$G$503,"&lt;="&amp;EOMONTH(DATE(ano_ref,9,1),0))&gt;0,"✔",IF(AND(ISNUMBER(Planos!$G7),IFERROR(INDEX(lst_frequencia_meses,MATCH(Planos!$E7,lst_frequencia,0)),0)&gt;0,(ano_ref*12+9)-(YEAR(Planos!$G7)*12+MONTH(Planos!$G7))&gt;0,MOD((ano_ref*12+9)-(YEAR(Planos!$G7)*12+MONTH(Planos!$G7)),MAX(1,IFERROR(INDEX(lst_frequencia_meses,MATCH(Planos!$E7,lst_frequencia,0)),0)))=0),"●","")))</f>
      </c>
      <c r="M8" s="43">
        <f>IF(NOT(Planos!$A7&lt;&gt;""),"",IF(COUNTIFS(Programação!$B$4:$B$503,Planos!$A7,Programação!$I$4:$I$503,"Concluído",Programação!$G$4:$G$503,"&gt;="&amp;DATE(ano_ref,10,1),Programação!$G$4:$G$503,"&lt;="&amp;EOMONTH(DATE(ano_ref,10,1),0))&gt;0,"✔",IF(AND(ISNUMBER(Planos!$G7),IFERROR(INDEX(lst_frequencia_meses,MATCH(Planos!$E7,lst_frequencia,0)),0)&gt;0,(ano_ref*12+10)-(YEAR(Planos!$G7)*12+MONTH(Planos!$G7))&gt;0,MOD((ano_ref*12+10)-(YEAR(Planos!$G7)*12+MONTH(Planos!$G7)),MAX(1,IFERROR(INDEX(lst_frequencia_meses,MATCH(Planos!$E7,lst_frequencia,0)),0)))=0),"●","")))</f>
      </c>
      <c r="N8" s="43">
        <f>IF(NOT(Planos!$A7&lt;&gt;""),"",IF(COUNTIFS(Programação!$B$4:$B$503,Planos!$A7,Programação!$I$4:$I$503,"Concluído",Programação!$G$4:$G$503,"&gt;="&amp;DATE(ano_ref,11,1),Programação!$G$4:$G$503,"&lt;="&amp;EOMONTH(DATE(ano_ref,11,1),0))&gt;0,"✔",IF(AND(ISNUMBER(Planos!$G7),IFERROR(INDEX(lst_frequencia_meses,MATCH(Planos!$E7,lst_frequencia,0)),0)&gt;0,(ano_ref*12+11)-(YEAR(Planos!$G7)*12+MONTH(Planos!$G7))&gt;0,MOD((ano_ref*12+11)-(YEAR(Planos!$G7)*12+MONTH(Planos!$G7)),MAX(1,IFERROR(INDEX(lst_frequencia_meses,MATCH(Planos!$E7,lst_frequencia,0)),0)))=0),"●","")))</f>
      </c>
      <c r="O8" s="43">
        <f>IF(NOT(Planos!$A7&lt;&gt;""),"",IF(COUNTIFS(Programação!$B$4:$B$503,Planos!$A7,Programação!$I$4:$I$503,"Concluído",Programação!$G$4:$G$503,"&gt;="&amp;DATE(ano_ref,12,1),Programação!$G$4:$G$503,"&lt;="&amp;EOMONTH(DATE(ano_ref,12,1),0))&gt;0,"✔",IF(AND(ISNUMBER(Planos!$G7),IFERROR(INDEX(lst_frequencia_meses,MATCH(Planos!$E7,lst_frequencia,0)),0)&gt;0,(ano_ref*12+12)-(YEAR(Planos!$G7)*12+MONTH(Planos!$G7))&gt;0,MOD((ano_ref*12+12)-(YEAR(Planos!$G7)*12+MONTH(Planos!$G7)),MAX(1,IFERROR(INDEX(lst_frequencia_meses,MATCH(Planos!$E7,lst_frequencia,0)),0)))=0),"●","")))</f>
      </c>
      <c r="P8" s="44">
        <f>IF(COUNTIF(D8:O8,"✔")+COUNTIF(D8:O8,"●")=0,"",COUNTIF(D8:O8,"✔")/(COUNTIF(D8:O8,"✔")+COUNTIF(D8:O8,"●")))</f>
      </c>
    </row>
    <row r="9" spans="1:16" x14ac:dyDescent="0.25">
      <c r="A9" s="43">
        <f>IF(Planos!$A8&lt;&gt;"",Planos!A8&amp;"","")</f>
      </c>
      <c r="B9" s="43">
        <f>IF(Planos!$A8&lt;&gt;"",Planos!B8&amp;"","")</f>
      </c>
      <c r="C9" s="24">
        <f>IF(Planos!$A8&lt;&gt;"",Planos!C8&amp;"","")</f>
      </c>
      <c r="D9" s="43">
        <f>IF(NOT(Planos!$A8&lt;&gt;""),"",IF(COUNTIFS(Programação!$B$4:$B$503,Planos!$A8,Programação!$I$4:$I$503,"Concluído",Programação!$G$4:$G$503,"&gt;="&amp;DATE(ano_ref,1,1),Programação!$G$4:$G$503,"&lt;="&amp;EOMONTH(DATE(ano_ref,1,1),0))&gt;0,"✔",IF(AND(ISNUMBER(Planos!$G8),IFERROR(INDEX(lst_frequencia_meses,MATCH(Planos!$E8,lst_frequencia,0)),0)&gt;0,(ano_ref*12+1)-(YEAR(Planos!$G8)*12+MONTH(Planos!$G8))&gt;0,MOD((ano_ref*12+1)-(YEAR(Planos!$G8)*12+MONTH(Planos!$G8)),MAX(1,IFERROR(INDEX(lst_frequencia_meses,MATCH(Planos!$E8,lst_frequencia,0)),0)))=0),"●","")))</f>
      </c>
      <c r="E9" s="43">
        <f>IF(NOT(Planos!$A8&lt;&gt;""),"",IF(COUNTIFS(Programação!$B$4:$B$503,Planos!$A8,Programação!$I$4:$I$503,"Concluído",Programação!$G$4:$G$503,"&gt;="&amp;DATE(ano_ref,2,1),Programação!$G$4:$G$503,"&lt;="&amp;EOMONTH(DATE(ano_ref,2,1),0))&gt;0,"✔",IF(AND(ISNUMBER(Planos!$G8),IFERROR(INDEX(lst_frequencia_meses,MATCH(Planos!$E8,lst_frequencia,0)),0)&gt;0,(ano_ref*12+2)-(YEAR(Planos!$G8)*12+MONTH(Planos!$G8))&gt;0,MOD((ano_ref*12+2)-(YEAR(Planos!$G8)*12+MONTH(Planos!$G8)),MAX(1,IFERROR(INDEX(lst_frequencia_meses,MATCH(Planos!$E8,lst_frequencia,0)),0)))=0),"●","")))</f>
      </c>
      <c r="F9" s="43">
        <f>IF(NOT(Planos!$A8&lt;&gt;""),"",IF(COUNTIFS(Programação!$B$4:$B$503,Planos!$A8,Programação!$I$4:$I$503,"Concluído",Programação!$G$4:$G$503,"&gt;="&amp;DATE(ano_ref,3,1),Programação!$G$4:$G$503,"&lt;="&amp;EOMONTH(DATE(ano_ref,3,1),0))&gt;0,"✔",IF(AND(ISNUMBER(Planos!$G8),IFERROR(INDEX(lst_frequencia_meses,MATCH(Planos!$E8,lst_frequencia,0)),0)&gt;0,(ano_ref*12+3)-(YEAR(Planos!$G8)*12+MONTH(Planos!$G8))&gt;0,MOD((ano_ref*12+3)-(YEAR(Planos!$G8)*12+MONTH(Planos!$G8)),MAX(1,IFERROR(INDEX(lst_frequencia_meses,MATCH(Planos!$E8,lst_frequencia,0)),0)))=0),"●","")))</f>
      </c>
      <c r="G9" s="43">
        <f>IF(NOT(Planos!$A8&lt;&gt;""),"",IF(COUNTIFS(Programação!$B$4:$B$503,Planos!$A8,Programação!$I$4:$I$503,"Concluído",Programação!$G$4:$G$503,"&gt;="&amp;DATE(ano_ref,4,1),Programação!$G$4:$G$503,"&lt;="&amp;EOMONTH(DATE(ano_ref,4,1),0))&gt;0,"✔",IF(AND(ISNUMBER(Planos!$G8),IFERROR(INDEX(lst_frequencia_meses,MATCH(Planos!$E8,lst_frequencia,0)),0)&gt;0,(ano_ref*12+4)-(YEAR(Planos!$G8)*12+MONTH(Planos!$G8))&gt;0,MOD((ano_ref*12+4)-(YEAR(Planos!$G8)*12+MONTH(Planos!$G8)),MAX(1,IFERROR(INDEX(lst_frequencia_meses,MATCH(Planos!$E8,lst_frequencia,0)),0)))=0),"●","")))</f>
      </c>
      <c r="H9" s="43">
        <f>IF(NOT(Planos!$A8&lt;&gt;""),"",IF(COUNTIFS(Programação!$B$4:$B$503,Planos!$A8,Programação!$I$4:$I$503,"Concluído",Programação!$G$4:$G$503,"&gt;="&amp;DATE(ano_ref,5,1),Programação!$G$4:$G$503,"&lt;="&amp;EOMONTH(DATE(ano_ref,5,1),0))&gt;0,"✔",IF(AND(ISNUMBER(Planos!$G8),IFERROR(INDEX(lst_frequencia_meses,MATCH(Planos!$E8,lst_frequencia,0)),0)&gt;0,(ano_ref*12+5)-(YEAR(Planos!$G8)*12+MONTH(Planos!$G8))&gt;0,MOD((ano_ref*12+5)-(YEAR(Planos!$G8)*12+MONTH(Planos!$G8)),MAX(1,IFERROR(INDEX(lst_frequencia_meses,MATCH(Planos!$E8,lst_frequencia,0)),0)))=0),"●","")))</f>
      </c>
      <c r="I9" s="43">
        <f>IF(NOT(Planos!$A8&lt;&gt;""),"",IF(COUNTIFS(Programação!$B$4:$B$503,Planos!$A8,Programação!$I$4:$I$503,"Concluído",Programação!$G$4:$G$503,"&gt;="&amp;DATE(ano_ref,6,1),Programação!$G$4:$G$503,"&lt;="&amp;EOMONTH(DATE(ano_ref,6,1),0))&gt;0,"✔",IF(AND(ISNUMBER(Planos!$G8),IFERROR(INDEX(lst_frequencia_meses,MATCH(Planos!$E8,lst_frequencia,0)),0)&gt;0,(ano_ref*12+6)-(YEAR(Planos!$G8)*12+MONTH(Planos!$G8))&gt;0,MOD((ano_ref*12+6)-(YEAR(Planos!$G8)*12+MONTH(Planos!$G8)),MAX(1,IFERROR(INDEX(lst_frequencia_meses,MATCH(Planos!$E8,lst_frequencia,0)),0)))=0),"●","")))</f>
      </c>
      <c r="J9" s="43">
        <f>IF(NOT(Planos!$A8&lt;&gt;""),"",IF(COUNTIFS(Programação!$B$4:$B$503,Planos!$A8,Programação!$I$4:$I$503,"Concluído",Programação!$G$4:$G$503,"&gt;="&amp;DATE(ano_ref,7,1),Programação!$G$4:$G$503,"&lt;="&amp;EOMONTH(DATE(ano_ref,7,1),0))&gt;0,"✔",IF(AND(ISNUMBER(Planos!$G8),IFERROR(INDEX(lst_frequencia_meses,MATCH(Planos!$E8,lst_frequencia,0)),0)&gt;0,(ano_ref*12+7)-(YEAR(Planos!$G8)*12+MONTH(Planos!$G8))&gt;0,MOD((ano_ref*12+7)-(YEAR(Planos!$G8)*12+MONTH(Planos!$G8)),MAX(1,IFERROR(INDEX(lst_frequencia_meses,MATCH(Planos!$E8,lst_frequencia,0)),0)))=0),"●","")))</f>
      </c>
      <c r="K9" s="43">
        <f>IF(NOT(Planos!$A8&lt;&gt;""),"",IF(COUNTIFS(Programação!$B$4:$B$503,Planos!$A8,Programação!$I$4:$I$503,"Concluído",Programação!$G$4:$G$503,"&gt;="&amp;DATE(ano_ref,8,1),Programação!$G$4:$G$503,"&lt;="&amp;EOMONTH(DATE(ano_ref,8,1),0))&gt;0,"✔",IF(AND(ISNUMBER(Planos!$G8),IFERROR(INDEX(lst_frequencia_meses,MATCH(Planos!$E8,lst_frequencia,0)),0)&gt;0,(ano_ref*12+8)-(YEAR(Planos!$G8)*12+MONTH(Planos!$G8))&gt;0,MOD((ano_ref*12+8)-(YEAR(Planos!$G8)*12+MONTH(Planos!$G8)),MAX(1,IFERROR(INDEX(lst_frequencia_meses,MATCH(Planos!$E8,lst_frequencia,0)),0)))=0),"●","")))</f>
      </c>
      <c r="L9" s="43">
        <f>IF(NOT(Planos!$A8&lt;&gt;""),"",IF(COUNTIFS(Programação!$B$4:$B$503,Planos!$A8,Programação!$I$4:$I$503,"Concluído",Programação!$G$4:$G$503,"&gt;="&amp;DATE(ano_ref,9,1),Programação!$G$4:$G$503,"&lt;="&amp;EOMONTH(DATE(ano_ref,9,1),0))&gt;0,"✔",IF(AND(ISNUMBER(Planos!$G8),IFERROR(INDEX(lst_frequencia_meses,MATCH(Planos!$E8,lst_frequencia,0)),0)&gt;0,(ano_ref*12+9)-(YEAR(Planos!$G8)*12+MONTH(Planos!$G8))&gt;0,MOD((ano_ref*12+9)-(YEAR(Planos!$G8)*12+MONTH(Planos!$G8)),MAX(1,IFERROR(INDEX(lst_frequencia_meses,MATCH(Planos!$E8,lst_frequencia,0)),0)))=0),"●","")))</f>
      </c>
      <c r="M9" s="43">
        <f>IF(NOT(Planos!$A8&lt;&gt;""),"",IF(COUNTIFS(Programação!$B$4:$B$503,Planos!$A8,Programação!$I$4:$I$503,"Concluído",Programação!$G$4:$G$503,"&gt;="&amp;DATE(ano_ref,10,1),Programação!$G$4:$G$503,"&lt;="&amp;EOMONTH(DATE(ano_ref,10,1),0))&gt;0,"✔",IF(AND(ISNUMBER(Planos!$G8),IFERROR(INDEX(lst_frequencia_meses,MATCH(Planos!$E8,lst_frequencia,0)),0)&gt;0,(ano_ref*12+10)-(YEAR(Planos!$G8)*12+MONTH(Planos!$G8))&gt;0,MOD((ano_ref*12+10)-(YEAR(Planos!$G8)*12+MONTH(Planos!$G8)),MAX(1,IFERROR(INDEX(lst_frequencia_meses,MATCH(Planos!$E8,lst_frequencia,0)),0)))=0),"●","")))</f>
      </c>
      <c r="N9" s="43">
        <f>IF(NOT(Planos!$A8&lt;&gt;""),"",IF(COUNTIFS(Programação!$B$4:$B$503,Planos!$A8,Programação!$I$4:$I$503,"Concluído",Programação!$G$4:$G$503,"&gt;="&amp;DATE(ano_ref,11,1),Programação!$G$4:$G$503,"&lt;="&amp;EOMONTH(DATE(ano_ref,11,1),0))&gt;0,"✔",IF(AND(ISNUMBER(Planos!$G8),IFERROR(INDEX(lst_frequencia_meses,MATCH(Planos!$E8,lst_frequencia,0)),0)&gt;0,(ano_ref*12+11)-(YEAR(Planos!$G8)*12+MONTH(Planos!$G8))&gt;0,MOD((ano_ref*12+11)-(YEAR(Planos!$G8)*12+MONTH(Planos!$G8)),MAX(1,IFERROR(INDEX(lst_frequencia_meses,MATCH(Planos!$E8,lst_frequencia,0)),0)))=0),"●","")))</f>
      </c>
      <c r="O9" s="43">
        <f>IF(NOT(Planos!$A8&lt;&gt;""),"",IF(COUNTIFS(Programação!$B$4:$B$503,Planos!$A8,Programação!$I$4:$I$503,"Concluído",Programação!$G$4:$G$503,"&gt;="&amp;DATE(ano_ref,12,1),Programação!$G$4:$G$503,"&lt;="&amp;EOMONTH(DATE(ano_ref,12,1),0))&gt;0,"✔",IF(AND(ISNUMBER(Planos!$G8),IFERROR(INDEX(lst_frequencia_meses,MATCH(Planos!$E8,lst_frequencia,0)),0)&gt;0,(ano_ref*12+12)-(YEAR(Planos!$G8)*12+MONTH(Planos!$G8))&gt;0,MOD((ano_ref*12+12)-(YEAR(Planos!$G8)*12+MONTH(Planos!$G8)),MAX(1,IFERROR(INDEX(lst_frequencia_meses,MATCH(Planos!$E8,lst_frequencia,0)),0)))=0),"●","")))</f>
      </c>
      <c r="P9" s="44">
        <f>IF(COUNTIF(D9:O9,"✔")+COUNTIF(D9:O9,"●")=0,"",COUNTIF(D9:O9,"✔")/(COUNTIF(D9:O9,"✔")+COUNTIF(D9:O9,"●")))</f>
      </c>
    </row>
    <row r="10" spans="1:16" x14ac:dyDescent="0.25">
      <c r="A10" s="43">
        <f>IF(Planos!$A9&lt;&gt;"",Planos!A9&amp;"","")</f>
      </c>
      <c r="B10" s="43">
        <f>IF(Planos!$A9&lt;&gt;"",Planos!B9&amp;"","")</f>
      </c>
      <c r="C10" s="24">
        <f>IF(Planos!$A9&lt;&gt;"",Planos!C9&amp;"","")</f>
      </c>
      <c r="D10" s="43">
        <f>IF(NOT(Planos!$A9&lt;&gt;""),"",IF(COUNTIFS(Programação!$B$4:$B$503,Planos!$A9,Programação!$I$4:$I$503,"Concluído",Programação!$G$4:$G$503,"&gt;="&amp;DATE(ano_ref,1,1),Programação!$G$4:$G$503,"&lt;="&amp;EOMONTH(DATE(ano_ref,1,1),0))&gt;0,"✔",IF(AND(ISNUMBER(Planos!$G9),IFERROR(INDEX(lst_frequencia_meses,MATCH(Planos!$E9,lst_frequencia,0)),0)&gt;0,(ano_ref*12+1)-(YEAR(Planos!$G9)*12+MONTH(Planos!$G9))&gt;0,MOD((ano_ref*12+1)-(YEAR(Planos!$G9)*12+MONTH(Planos!$G9)),MAX(1,IFERROR(INDEX(lst_frequencia_meses,MATCH(Planos!$E9,lst_frequencia,0)),0)))=0),"●","")))</f>
      </c>
      <c r="E10" s="43">
        <f>IF(NOT(Planos!$A9&lt;&gt;""),"",IF(COUNTIFS(Programação!$B$4:$B$503,Planos!$A9,Programação!$I$4:$I$503,"Concluído",Programação!$G$4:$G$503,"&gt;="&amp;DATE(ano_ref,2,1),Programação!$G$4:$G$503,"&lt;="&amp;EOMONTH(DATE(ano_ref,2,1),0))&gt;0,"✔",IF(AND(ISNUMBER(Planos!$G9),IFERROR(INDEX(lst_frequencia_meses,MATCH(Planos!$E9,lst_frequencia,0)),0)&gt;0,(ano_ref*12+2)-(YEAR(Planos!$G9)*12+MONTH(Planos!$G9))&gt;0,MOD((ano_ref*12+2)-(YEAR(Planos!$G9)*12+MONTH(Planos!$G9)),MAX(1,IFERROR(INDEX(lst_frequencia_meses,MATCH(Planos!$E9,lst_frequencia,0)),0)))=0),"●","")))</f>
      </c>
      <c r="F10" s="43">
        <f>IF(NOT(Planos!$A9&lt;&gt;""),"",IF(COUNTIFS(Programação!$B$4:$B$503,Planos!$A9,Programação!$I$4:$I$503,"Concluído",Programação!$G$4:$G$503,"&gt;="&amp;DATE(ano_ref,3,1),Programação!$G$4:$G$503,"&lt;="&amp;EOMONTH(DATE(ano_ref,3,1),0))&gt;0,"✔",IF(AND(ISNUMBER(Planos!$G9),IFERROR(INDEX(lst_frequencia_meses,MATCH(Planos!$E9,lst_frequencia,0)),0)&gt;0,(ano_ref*12+3)-(YEAR(Planos!$G9)*12+MONTH(Planos!$G9))&gt;0,MOD((ano_ref*12+3)-(YEAR(Planos!$G9)*12+MONTH(Planos!$G9)),MAX(1,IFERROR(INDEX(lst_frequencia_meses,MATCH(Planos!$E9,lst_frequencia,0)),0)))=0),"●","")))</f>
      </c>
      <c r="G10" s="43">
        <f>IF(NOT(Planos!$A9&lt;&gt;""),"",IF(COUNTIFS(Programação!$B$4:$B$503,Planos!$A9,Programação!$I$4:$I$503,"Concluído",Programação!$G$4:$G$503,"&gt;="&amp;DATE(ano_ref,4,1),Programação!$G$4:$G$503,"&lt;="&amp;EOMONTH(DATE(ano_ref,4,1),0))&gt;0,"✔",IF(AND(ISNUMBER(Planos!$G9),IFERROR(INDEX(lst_frequencia_meses,MATCH(Planos!$E9,lst_frequencia,0)),0)&gt;0,(ano_ref*12+4)-(YEAR(Planos!$G9)*12+MONTH(Planos!$G9))&gt;0,MOD((ano_ref*12+4)-(YEAR(Planos!$G9)*12+MONTH(Planos!$G9)),MAX(1,IFERROR(INDEX(lst_frequencia_meses,MATCH(Planos!$E9,lst_frequencia,0)),0)))=0),"●","")))</f>
      </c>
      <c r="H10" s="43">
        <f>IF(NOT(Planos!$A9&lt;&gt;""),"",IF(COUNTIFS(Programação!$B$4:$B$503,Planos!$A9,Programação!$I$4:$I$503,"Concluído",Programação!$G$4:$G$503,"&gt;="&amp;DATE(ano_ref,5,1),Programação!$G$4:$G$503,"&lt;="&amp;EOMONTH(DATE(ano_ref,5,1),0))&gt;0,"✔",IF(AND(ISNUMBER(Planos!$G9),IFERROR(INDEX(lst_frequencia_meses,MATCH(Planos!$E9,lst_frequencia,0)),0)&gt;0,(ano_ref*12+5)-(YEAR(Planos!$G9)*12+MONTH(Planos!$G9))&gt;0,MOD((ano_ref*12+5)-(YEAR(Planos!$G9)*12+MONTH(Planos!$G9)),MAX(1,IFERROR(INDEX(lst_frequencia_meses,MATCH(Planos!$E9,lst_frequencia,0)),0)))=0),"●","")))</f>
      </c>
      <c r="I10" s="43">
        <f>IF(NOT(Planos!$A9&lt;&gt;""),"",IF(COUNTIFS(Programação!$B$4:$B$503,Planos!$A9,Programação!$I$4:$I$503,"Concluído",Programação!$G$4:$G$503,"&gt;="&amp;DATE(ano_ref,6,1),Programação!$G$4:$G$503,"&lt;="&amp;EOMONTH(DATE(ano_ref,6,1),0))&gt;0,"✔",IF(AND(ISNUMBER(Planos!$G9),IFERROR(INDEX(lst_frequencia_meses,MATCH(Planos!$E9,lst_frequencia,0)),0)&gt;0,(ano_ref*12+6)-(YEAR(Planos!$G9)*12+MONTH(Planos!$G9))&gt;0,MOD((ano_ref*12+6)-(YEAR(Planos!$G9)*12+MONTH(Planos!$G9)),MAX(1,IFERROR(INDEX(lst_frequencia_meses,MATCH(Planos!$E9,lst_frequencia,0)),0)))=0),"●","")))</f>
      </c>
      <c r="J10" s="43">
        <f>IF(NOT(Planos!$A9&lt;&gt;""),"",IF(COUNTIFS(Programação!$B$4:$B$503,Planos!$A9,Programação!$I$4:$I$503,"Concluído",Programação!$G$4:$G$503,"&gt;="&amp;DATE(ano_ref,7,1),Programação!$G$4:$G$503,"&lt;="&amp;EOMONTH(DATE(ano_ref,7,1),0))&gt;0,"✔",IF(AND(ISNUMBER(Planos!$G9),IFERROR(INDEX(lst_frequencia_meses,MATCH(Planos!$E9,lst_frequencia,0)),0)&gt;0,(ano_ref*12+7)-(YEAR(Planos!$G9)*12+MONTH(Planos!$G9))&gt;0,MOD((ano_ref*12+7)-(YEAR(Planos!$G9)*12+MONTH(Planos!$G9)),MAX(1,IFERROR(INDEX(lst_frequencia_meses,MATCH(Planos!$E9,lst_frequencia,0)),0)))=0),"●","")))</f>
      </c>
      <c r="K10" s="43">
        <f>IF(NOT(Planos!$A9&lt;&gt;""),"",IF(COUNTIFS(Programação!$B$4:$B$503,Planos!$A9,Programação!$I$4:$I$503,"Concluído",Programação!$G$4:$G$503,"&gt;="&amp;DATE(ano_ref,8,1),Programação!$G$4:$G$503,"&lt;="&amp;EOMONTH(DATE(ano_ref,8,1),0))&gt;0,"✔",IF(AND(ISNUMBER(Planos!$G9),IFERROR(INDEX(lst_frequencia_meses,MATCH(Planos!$E9,lst_frequencia,0)),0)&gt;0,(ano_ref*12+8)-(YEAR(Planos!$G9)*12+MONTH(Planos!$G9))&gt;0,MOD((ano_ref*12+8)-(YEAR(Planos!$G9)*12+MONTH(Planos!$G9)),MAX(1,IFERROR(INDEX(lst_frequencia_meses,MATCH(Planos!$E9,lst_frequencia,0)),0)))=0),"●","")))</f>
      </c>
      <c r="L10" s="43">
        <f>IF(NOT(Planos!$A9&lt;&gt;""),"",IF(COUNTIFS(Programação!$B$4:$B$503,Planos!$A9,Programação!$I$4:$I$503,"Concluído",Programação!$G$4:$G$503,"&gt;="&amp;DATE(ano_ref,9,1),Programação!$G$4:$G$503,"&lt;="&amp;EOMONTH(DATE(ano_ref,9,1),0))&gt;0,"✔",IF(AND(ISNUMBER(Planos!$G9),IFERROR(INDEX(lst_frequencia_meses,MATCH(Planos!$E9,lst_frequencia,0)),0)&gt;0,(ano_ref*12+9)-(YEAR(Planos!$G9)*12+MONTH(Planos!$G9))&gt;0,MOD((ano_ref*12+9)-(YEAR(Planos!$G9)*12+MONTH(Planos!$G9)),MAX(1,IFERROR(INDEX(lst_frequencia_meses,MATCH(Planos!$E9,lst_frequencia,0)),0)))=0),"●","")))</f>
      </c>
      <c r="M10" s="43">
        <f>IF(NOT(Planos!$A9&lt;&gt;""),"",IF(COUNTIFS(Programação!$B$4:$B$503,Planos!$A9,Programação!$I$4:$I$503,"Concluído",Programação!$G$4:$G$503,"&gt;="&amp;DATE(ano_ref,10,1),Programação!$G$4:$G$503,"&lt;="&amp;EOMONTH(DATE(ano_ref,10,1),0))&gt;0,"✔",IF(AND(ISNUMBER(Planos!$G9),IFERROR(INDEX(lst_frequencia_meses,MATCH(Planos!$E9,lst_frequencia,0)),0)&gt;0,(ano_ref*12+10)-(YEAR(Planos!$G9)*12+MONTH(Planos!$G9))&gt;0,MOD((ano_ref*12+10)-(YEAR(Planos!$G9)*12+MONTH(Planos!$G9)),MAX(1,IFERROR(INDEX(lst_frequencia_meses,MATCH(Planos!$E9,lst_frequencia,0)),0)))=0),"●","")))</f>
      </c>
      <c r="N10" s="43">
        <f>IF(NOT(Planos!$A9&lt;&gt;""),"",IF(COUNTIFS(Programação!$B$4:$B$503,Planos!$A9,Programação!$I$4:$I$503,"Concluído",Programação!$G$4:$G$503,"&gt;="&amp;DATE(ano_ref,11,1),Programação!$G$4:$G$503,"&lt;="&amp;EOMONTH(DATE(ano_ref,11,1),0))&gt;0,"✔",IF(AND(ISNUMBER(Planos!$G9),IFERROR(INDEX(lst_frequencia_meses,MATCH(Planos!$E9,lst_frequencia,0)),0)&gt;0,(ano_ref*12+11)-(YEAR(Planos!$G9)*12+MONTH(Planos!$G9))&gt;0,MOD((ano_ref*12+11)-(YEAR(Planos!$G9)*12+MONTH(Planos!$G9)),MAX(1,IFERROR(INDEX(lst_frequencia_meses,MATCH(Planos!$E9,lst_frequencia,0)),0)))=0),"●","")))</f>
      </c>
      <c r="O10" s="43">
        <f>IF(NOT(Planos!$A9&lt;&gt;""),"",IF(COUNTIFS(Programação!$B$4:$B$503,Planos!$A9,Programação!$I$4:$I$503,"Concluído",Programação!$G$4:$G$503,"&gt;="&amp;DATE(ano_ref,12,1),Programação!$G$4:$G$503,"&lt;="&amp;EOMONTH(DATE(ano_ref,12,1),0))&gt;0,"✔",IF(AND(ISNUMBER(Planos!$G9),IFERROR(INDEX(lst_frequencia_meses,MATCH(Planos!$E9,lst_frequencia,0)),0)&gt;0,(ano_ref*12+12)-(YEAR(Planos!$G9)*12+MONTH(Planos!$G9))&gt;0,MOD((ano_ref*12+12)-(YEAR(Planos!$G9)*12+MONTH(Planos!$G9)),MAX(1,IFERROR(INDEX(lst_frequencia_meses,MATCH(Planos!$E9,lst_frequencia,0)),0)))=0),"●","")))</f>
      </c>
      <c r="P10" s="44">
        <f>IF(COUNTIF(D10:O10,"✔")+COUNTIF(D10:O10,"●")=0,"",COUNTIF(D10:O10,"✔")/(COUNTIF(D10:O10,"✔")+COUNTIF(D10:O10,"●")))</f>
      </c>
    </row>
    <row r="11" spans="1:16" x14ac:dyDescent="0.25">
      <c r="A11" s="43">
        <f>IF(Planos!$A10&lt;&gt;"",Planos!A10&amp;"","")</f>
      </c>
      <c r="B11" s="43">
        <f>IF(Planos!$A10&lt;&gt;"",Planos!B10&amp;"","")</f>
      </c>
      <c r="C11" s="24">
        <f>IF(Planos!$A10&lt;&gt;"",Planos!C10&amp;"","")</f>
      </c>
      <c r="D11" s="43">
        <f>IF(NOT(Planos!$A10&lt;&gt;""),"",IF(COUNTIFS(Programação!$B$4:$B$503,Planos!$A10,Programação!$I$4:$I$503,"Concluído",Programação!$G$4:$G$503,"&gt;="&amp;DATE(ano_ref,1,1),Programação!$G$4:$G$503,"&lt;="&amp;EOMONTH(DATE(ano_ref,1,1),0))&gt;0,"✔",IF(AND(ISNUMBER(Planos!$G10),IFERROR(INDEX(lst_frequencia_meses,MATCH(Planos!$E10,lst_frequencia,0)),0)&gt;0,(ano_ref*12+1)-(YEAR(Planos!$G10)*12+MONTH(Planos!$G10))&gt;0,MOD((ano_ref*12+1)-(YEAR(Planos!$G10)*12+MONTH(Planos!$G10)),MAX(1,IFERROR(INDEX(lst_frequencia_meses,MATCH(Planos!$E10,lst_frequencia,0)),0)))=0),"●","")))</f>
      </c>
      <c r="E11" s="43">
        <f>IF(NOT(Planos!$A10&lt;&gt;""),"",IF(COUNTIFS(Programação!$B$4:$B$503,Planos!$A10,Programação!$I$4:$I$503,"Concluído",Programação!$G$4:$G$503,"&gt;="&amp;DATE(ano_ref,2,1),Programação!$G$4:$G$503,"&lt;="&amp;EOMONTH(DATE(ano_ref,2,1),0))&gt;0,"✔",IF(AND(ISNUMBER(Planos!$G10),IFERROR(INDEX(lst_frequencia_meses,MATCH(Planos!$E10,lst_frequencia,0)),0)&gt;0,(ano_ref*12+2)-(YEAR(Planos!$G10)*12+MONTH(Planos!$G10))&gt;0,MOD((ano_ref*12+2)-(YEAR(Planos!$G10)*12+MONTH(Planos!$G10)),MAX(1,IFERROR(INDEX(lst_frequencia_meses,MATCH(Planos!$E10,lst_frequencia,0)),0)))=0),"●","")))</f>
      </c>
      <c r="F11" s="43">
        <f>IF(NOT(Planos!$A10&lt;&gt;""),"",IF(COUNTIFS(Programação!$B$4:$B$503,Planos!$A10,Programação!$I$4:$I$503,"Concluído",Programação!$G$4:$G$503,"&gt;="&amp;DATE(ano_ref,3,1),Programação!$G$4:$G$503,"&lt;="&amp;EOMONTH(DATE(ano_ref,3,1),0))&gt;0,"✔",IF(AND(ISNUMBER(Planos!$G10),IFERROR(INDEX(lst_frequencia_meses,MATCH(Planos!$E10,lst_frequencia,0)),0)&gt;0,(ano_ref*12+3)-(YEAR(Planos!$G10)*12+MONTH(Planos!$G10))&gt;0,MOD((ano_ref*12+3)-(YEAR(Planos!$G10)*12+MONTH(Planos!$G10)),MAX(1,IFERROR(INDEX(lst_frequencia_meses,MATCH(Planos!$E10,lst_frequencia,0)),0)))=0),"●","")))</f>
      </c>
      <c r="G11" s="43">
        <f>IF(NOT(Planos!$A10&lt;&gt;""),"",IF(COUNTIFS(Programação!$B$4:$B$503,Planos!$A10,Programação!$I$4:$I$503,"Concluído",Programação!$G$4:$G$503,"&gt;="&amp;DATE(ano_ref,4,1),Programação!$G$4:$G$503,"&lt;="&amp;EOMONTH(DATE(ano_ref,4,1),0))&gt;0,"✔",IF(AND(ISNUMBER(Planos!$G10),IFERROR(INDEX(lst_frequencia_meses,MATCH(Planos!$E10,lst_frequencia,0)),0)&gt;0,(ano_ref*12+4)-(YEAR(Planos!$G10)*12+MONTH(Planos!$G10))&gt;0,MOD((ano_ref*12+4)-(YEAR(Planos!$G10)*12+MONTH(Planos!$G10)),MAX(1,IFERROR(INDEX(lst_frequencia_meses,MATCH(Planos!$E10,lst_frequencia,0)),0)))=0),"●","")))</f>
      </c>
      <c r="H11" s="43">
        <f>IF(NOT(Planos!$A10&lt;&gt;""),"",IF(COUNTIFS(Programação!$B$4:$B$503,Planos!$A10,Programação!$I$4:$I$503,"Concluído",Programação!$G$4:$G$503,"&gt;="&amp;DATE(ano_ref,5,1),Programação!$G$4:$G$503,"&lt;="&amp;EOMONTH(DATE(ano_ref,5,1),0))&gt;0,"✔",IF(AND(ISNUMBER(Planos!$G10),IFERROR(INDEX(lst_frequencia_meses,MATCH(Planos!$E10,lst_frequencia,0)),0)&gt;0,(ano_ref*12+5)-(YEAR(Planos!$G10)*12+MONTH(Planos!$G10))&gt;0,MOD((ano_ref*12+5)-(YEAR(Planos!$G10)*12+MONTH(Planos!$G10)),MAX(1,IFERROR(INDEX(lst_frequencia_meses,MATCH(Planos!$E10,lst_frequencia,0)),0)))=0),"●","")))</f>
      </c>
      <c r="I11" s="43">
        <f>IF(NOT(Planos!$A10&lt;&gt;""),"",IF(COUNTIFS(Programação!$B$4:$B$503,Planos!$A10,Programação!$I$4:$I$503,"Concluído",Programação!$G$4:$G$503,"&gt;="&amp;DATE(ano_ref,6,1),Programação!$G$4:$G$503,"&lt;="&amp;EOMONTH(DATE(ano_ref,6,1),0))&gt;0,"✔",IF(AND(ISNUMBER(Planos!$G10),IFERROR(INDEX(lst_frequencia_meses,MATCH(Planos!$E10,lst_frequencia,0)),0)&gt;0,(ano_ref*12+6)-(YEAR(Planos!$G10)*12+MONTH(Planos!$G10))&gt;0,MOD((ano_ref*12+6)-(YEAR(Planos!$G10)*12+MONTH(Planos!$G10)),MAX(1,IFERROR(INDEX(lst_frequencia_meses,MATCH(Planos!$E10,lst_frequencia,0)),0)))=0),"●","")))</f>
      </c>
      <c r="J11" s="43">
        <f>IF(NOT(Planos!$A10&lt;&gt;""),"",IF(COUNTIFS(Programação!$B$4:$B$503,Planos!$A10,Programação!$I$4:$I$503,"Concluído",Programação!$G$4:$G$503,"&gt;="&amp;DATE(ano_ref,7,1),Programação!$G$4:$G$503,"&lt;="&amp;EOMONTH(DATE(ano_ref,7,1),0))&gt;0,"✔",IF(AND(ISNUMBER(Planos!$G10),IFERROR(INDEX(lst_frequencia_meses,MATCH(Planos!$E10,lst_frequencia,0)),0)&gt;0,(ano_ref*12+7)-(YEAR(Planos!$G10)*12+MONTH(Planos!$G10))&gt;0,MOD((ano_ref*12+7)-(YEAR(Planos!$G10)*12+MONTH(Planos!$G10)),MAX(1,IFERROR(INDEX(lst_frequencia_meses,MATCH(Planos!$E10,lst_frequencia,0)),0)))=0),"●","")))</f>
      </c>
      <c r="K11" s="43">
        <f>IF(NOT(Planos!$A10&lt;&gt;""),"",IF(COUNTIFS(Programação!$B$4:$B$503,Planos!$A10,Programação!$I$4:$I$503,"Concluído",Programação!$G$4:$G$503,"&gt;="&amp;DATE(ano_ref,8,1),Programação!$G$4:$G$503,"&lt;="&amp;EOMONTH(DATE(ano_ref,8,1),0))&gt;0,"✔",IF(AND(ISNUMBER(Planos!$G10),IFERROR(INDEX(lst_frequencia_meses,MATCH(Planos!$E10,lst_frequencia,0)),0)&gt;0,(ano_ref*12+8)-(YEAR(Planos!$G10)*12+MONTH(Planos!$G10))&gt;0,MOD((ano_ref*12+8)-(YEAR(Planos!$G10)*12+MONTH(Planos!$G10)),MAX(1,IFERROR(INDEX(lst_frequencia_meses,MATCH(Planos!$E10,lst_frequencia,0)),0)))=0),"●","")))</f>
      </c>
      <c r="L11" s="43">
        <f>IF(NOT(Planos!$A10&lt;&gt;""),"",IF(COUNTIFS(Programação!$B$4:$B$503,Planos!$A10,Programação!$I$4:$I$503,"Concluído",Programação!$G$4:$G$503,"&gt;="&amp;DATE(ano_ref,9,1),Programação!$G$4:$G$503,"&lt;="&amp;EOMONTH(DATE(ano_ref,9,1),0))&gt;0,"✔",IF(AND(ISNUMBER(Planos!$G10),IFERROR(INDEX(lst_frequencia_meses,MATCH(Planos!$E10,lst_frequencia,0)),0)&gt;0,(ano_ref*12+9)-(YEAR(Planos!$G10)*12+MONTH(Planos!$G10))&gt;0,MOD((ano_ref*12+9)-(YEAR(Planos!$G10)*12+MONTH(Planos!$G10)),MAX(1,IFERROR(INDEX(lst_frequencia_meses,MATCH(Planos!$E10,lst_frequencia,0)),0)))=0),"●","")))</f>
      </c>
      <c r="M11" s="43">
        <f>IF(NOT(Planos!$A10&lt;&gt;""),"",IF(COUNTIFS(Programação!$B$4:$B$503,Planos!$A10,Programação!$I$4:$I$503,"Concluído",Programação!$G$4:$G$503,"&gt;="&amp;DATE(ano_ref,10,1),Programação!$G$4:$G$503,"&lt;="&amp;EOMONTH(DATE(ano_ref,10,1),0))&gt;0,"✔",IF(AND(ISNUMBER(Planos!$G10),IFERROR(INDEX(lst_frequencia_meses,MATCH(Planos!$E10,lst_frequencia,0)),0)&gt;0,(ano_ref*12+10)-(YEAR(Planos!$G10)*12+MONTH(Planos!$G10))&gt;0,MOD((ano_ref*12+10)-(YEAR(Planos!$G10)*12+MONTH(Planos!$G10)),MAX(1,IFERROR(INDEX(lst_frequencia_meses,MATCH(Planos!$E10,lst_frequencia,0)),0)))=0),"●","")))</f>
      </c>
      <c r="N11" s="43">
        <f>IF(NOT(Planos!$A10&lt;&gt;""),"",IF(COUNTIFS(Programação!$B$4:$B$503,Planos!$A10,Programação!$I$4:$I$503,"Concluído",Programação!$G$4:$G$503,"&gt;="&amp;DATE(ano_ref,11,1),Programação!$G$4:$G$503,"&lt;="&amp;EOMONTH(DATE(ano_ref,11,1),0))&gt;0,"✔",IF(AND(ISNUMBER(Planos!$G10),IFERROR(INDEX(lst_frequencia_meses,MATCH(Planos!$E10,lst_frequencia,0)),0)&gt;0,(ano_ref*12+11)-(YEAR(Planos!$G10)*12+MONTH(Planos!$G10))&gt;0,MOD((ano_ref*12+11)-(YEAR(Planos!$G10)*12+MONTH(Planos!$G10)),MAX(1,IFERROR(INDEX(lst_frequencia_meses,MATCH(Planos!$E10,lst_frequencia,0)),0)))=0),"●","")))</f>
      </c>
      <c r="O11" s="43">
        <f>IF(NOT(Planos!$A10&lt;&gt;""),"",IF(COUNTIFS(Programação!$B$4:$B$503,Planos!$A10,Programação!$I$4:$I$503,"Concluído",Programação!$G$4:$G$503,"&gt;="&amp;DATE(ano_ref,12,1),Programação!$G$4:$G$503,"&lt;="&amp;EOMONTH(DATE(ano_ref,12,1),0))&gt;0,"✔",IF(AND(ISNUMBER(Planos!$G10),IFERROR(INDEX(lst_frequencia_meses,MATCH(Planos!$E10,lst_frequencia,0)),0)&gt;0,(ano_ref*12+12)-(YEAR(Planos!$G10)*12+MONTH(Planos!$G10))&gt;0,MOD((ano_ref*12+12)-(YEAR(Planos!$G10)*12+MONTH(Planos!$G10)),MAX(1,IFERROR(INDEX(lst_frequencia_meses,MATCH(Planos!$E10,lst_frequencia,0)),0)))=0),"●","")))</f>
      </c>
      <c r="P11" s="44">
        <f>IF(COUNTIF(D11:O11,"✔")+COUNTIF(D11:O11,"●")=0,"",COUNTIF(D11:O11,"✔")/(COUNTIF(D11:O11,"✔")+COUNTIF(D11:O11,"●")))</f>
      </c>
    </row>
    <row r="12" spans="1:16" x14ac:dyDescent="0.25">
      <c r="A12" s="43">
        <f>IF(Planos!$A11&lt;&gt;"",Planos!A11&amp;"","")</f>
      </c>
      <c r="B12" s="43">
        <f>IF(Planos!$A11&lt;&gt;"",Planos!B11&amp;"","")</f>
      </c>
      <c r="C12" s="24">
        <f>IF(Planos!$A11&lt;&gt;"",Planos!C11&amp;"","")</f>
      </c>
      <c r="D12" s="43">
        <f>IF(NOT(Planos!$A11&lt;&gt;""),"",IF(COUNTIFS(Programação!$B$4:$B$503,Planos!$A11,Programação!$I$4:$I$503,"Concluído",Programação!$G$4:$G$503,"&gt;="&amp;DATE(ano_ref,1,1),Programação!$G$4:$G$503,"&lt;="&amp;EOMONTH(DATE(ano_ref,1,1),0))&gt;0,"✔",IF(AND(ISNUMBER(Planos!$G11),IFERROR(INDEX(lst_frequencia_meses,MATCH(Planos!$E11,lst_frequencia,0)),0)&gt;0,(ano_ref*12+1)-(YEAR(Planos!$G11)*12+MONTH(Planos!$G11))&gt;0,MOD((ano_ref*12+1)-(YEAR(Planos!$G11)*12+MONTH(Planos!$G11)),MAX(1,IFERROR(INDEX(lst_frequencia_meses,MATCH(Planos!$E11,lst_frequencia,0)),0)))=0),"●","")))</f>
      </c>
      <c r="E12" s="43">
        <f>IF(NOT(Planos!$A11&lt;&gt;""),"",IF(COUNTIFS(Programação!$B$4:$B$503,Planos!$A11,Programação!$I$4:$I$503,"Concluído",Programação!$G$4:$G$503,"&gt;="&amp;DATE(ano_ref,2,1),Programação!$G$4:$G$503,"&lt;="&amp;EOMONTH(DATE(ano_ref,2,1),0))&gt;0,"✔",IF(AND(ISNUMBER(Planos!$G11),IFERROR(INDEX(lst_frequencia_meses,MATCH(Planos!$E11,lst_frequencia,0)),0)&gt;0,(ano_ref*12+2)-(YEAR(Planos!$G11)*12+MONTH(Planos!$G11))&gt;0,MOD((ano_ref*12+2)-(YEAR(Planos!$G11)*12+MONTH(Planos!$G11)),MAX(1,IFERROR(INDEX(lst_frequencia_meses,MATCH(Planos!$E11,lst_frequencia,0)),0)))=0),"●","")))</f>
      </c>
      <c r="F12" s="43">
        <f>IF(NOT(Planos!$A11&lt;&gt;""),"",IF(COUNTIFS(Programação!$B$4:$B$503,Planos!$A11,Programação!$I$4:$I$503,"Concluído",Programação!$G$4:$G$503,"&gt;="&amp;DATE(ano_ref,3,1),Programação!$G$4:$G$503,"&lt;="&amp;EOMONTH(DATE(ano_ref,3,1),0))&gt;0,"✔",IF(AND(ISNUMBER(Planos!$G11),IFERROR(INDEX(lst_frequencia_meses,MATCH(Planos!$E11,lst_frequencia,0)),0)&gt;0,(ano_ref*12+3)-(YEAR(Planos!$G11)*12+MONTH(Planos!$G11))&gt;0,MOD((ano_ref*12+3)-(YEAR(Planos!$G11)*12+MONTH(Planos!$G11)),MAX(1,IFERROR(INDEX(lst_frequencia_meses,MATCH(Planos!$E11,lst_frequencia,0)),0)))=0),"●","")))</f>
      </c>
      <c r="G12" s="43">
        <f>IF(NOT(Planos!$A11&lt;&gt;""),"",IF(COUNTIFS(Programação!$B$4:$B$503,Planos!$A11,Programação!$I$4:$I$503,"Concluído",Programação!$G$4:$G$503,"&gt;="&amp;DATE(ano_ref,4,1),Programação!$G$4:$G$503,"&lt;="&amp;EOMONTH(DATE(ano_ref,4,1),0))&gt;0,"✔",IF(AND(ISNUMBER(Planos!$G11),IFERROR(INDEX(lst_frequencia_meses,MATCH(Planos!$E11,lst_frequencia,0)),0)&gt;0,(ano_ref*12+4)-(YEAR(Planos!$G11)*12+MONTH(Planos!$G11))&gt;0,MOD((ano_ref*12+4)-(YEAR(Planos!$G11)*12+MONTH(Planos!$G11)),MAX(1,IFERROR(INDEX(lst_frequencia_meses,MATCH(Planos!$E11,lst_frequencia,0)),0)))=0),"●","")))</f>
      </c>
      <c r="H12" s="43">
        <f>IF(NOT(Planos!$A11&lt;&gt;""),"",IF(COUNTIFS(Programação!$B$4:$B$503,Planos!$A11,Programação!$I$4:$I$503,"Concluído",Programação!$G$4:$G$503,"&gt;="&amp;DATE(ano_ref,5,1),Programação!$G$4:$G$503,"&lt;="&amp;EOMONTH(DATE(ano_ref,5,1),0))&gt;0,"✔",IF(AND(ISNUMBER(Planos!$G11),IFERROR(INDEX(lst_frequencia_meses,MATCH(Planos!$E11,lst_frequencia,0)),0)&gt;0,(ano_ref*12+5)-(YEAR(Planos!$G11)*12+MONTH(Planos!$G11))&gt;0,MOD((ano_ref*12+5)-(YEAR(Planos!$G11)*12+MONTH(Planos!$G11)),MAX(1,IFERROR(INDEX(lst_frequencia_meses,MATCH(Planos!$E11,lst_frequencia,0)),0)))=0),"●","")))</f>
      </c>
      <c r="I12" s="43">
        <f>IF(NOT(Planos!$A11&lt;&gt;""),"",IF(COUNTIFS(Programação!$B$4:$B$503,Planos!$A11,Programação!$I$4:$I$503,"Concluído",Programação!$G$4:$G$503,"&gt;="&amp;DATE(ano_ref,6,1),Programação!$G$4:$G$503,"&lt;="&amp;EOMONTH(DATE(ano_ref,6,1),0))&gt;0,"✔",IF(AND(ISNUMBER(Planos!$G11),IFERROR(INDEX(lst_frequencia_meses,MATCH(Planos!$E11,lst_frequencia,0)),0)&gt;0,(ano_ref*12+6)-(YEAR(Planos!$G11)*12+MONTH(Planos!$G11))&gt;0,MOD((ano_ref*12+6)-(YEAR(Planos!$G11)*12+MONTH(Planos!$G11)),MAX(1,IFERROR(INDEX(lst_frequencia_meses,MATCH(Planos!$E11,lst_frequencia,0)),0)))=0),"●","")))</f>
      </c>
      <c r="J12" s="43">
        <f>IF(NOT(Planos!$A11&lt;&gt;""),"",IF(COUNTIFS(Programação!$B$4:$B$503,Planos!$A11,Programação!$I$4:$I$503,"Concluído",Programação!$G$4:$G$503,"&gt;="&amp;DATE(ano_ref,7,1),Programação!$G$4:$G$503,"&lt;="&amp;EOMONTH(DATE(ano_ref,7,1),0))&gt;0,"✔",IF(AND(ISNUMBER(Planos!$G11),IFERROR(INDEX(lst_frequencia_meses,MATCH(Planos!$E11,lst_frequencia,0)),0)&gt;0,(ano_ref*12+7)-(YEAR(Planos!$G11)*12+MONTH(Planos!$G11))&gt;0,MOD((ano_ref*12+7)-(YEAR(Planos!$G11)*12+MONTH(Planos!$G11)),MAX(1,IFERROR(INDEX(lst_frequencia_meses,MATCH(Planos!$E11,lst_frequencia,0)),0)))=0),"●","")))</f>
      </c>
      <c r="K12" s="43">
        <f>IF(NOT(Planos!$A11&lt;&gt;""),"",IF(COUNTIFS(Programação!$B$4:$B$503,Planos!$A11,Programação!$I$4:$I$503,"Concluído",Programação!$G$4:$G$503,"&gt;="&amp;DATE(ano_ref,8,1),Programação!$G$4:$G$503,"&lt;="&amp;EOMONTH(DATE(ano_ref,8,1),0))&gt;0,"✔",IF(AND(ISNUMBER(Planos!$G11),IFERROR(INDEX(lst_frequencia_meses,MATCH(Planos!$E11,lst_frequencia,0)),0)&gt;0,(ano_ref*12+8)-(YEAR(Planos!$G11)*12+MONTH(Planos!$G11))&gt;0,MOD((ano_ref*12+8)-(YEAR(Planos!$G11)*12+MONTH(Planos!$G11)),MAX(1,IFERROR(INDEX(lst_frequencia_meses,MATCH(Planos!$E11,lst_frequencia,0)),0)))=0),"●","")))</f>
      </c>
      <c r="L12" s="43">
        <f>IF(NOT(Planos!$A11&lt;&gt;""),"",IF(COUNTIFS(Programação!$B$4:$B$503,Planos!$A11,Programação!$I$4:$I$503,"Concluído",Programação!$G$4:$G$503,"&gt;="&amp;DATE(ano_ref,9,1),Programação!$G$4:$G$503,"&lt;="&amp;EOMONTH(DATE(ano_ref,9,1),0))&gt;0,"✔",IF(AND(ISNUMBER(Planos!$G11),IFERROR(INDEX(lst_frequencia_meses,MATCH(Planos!$E11,lst_frequencia,0)),0)&gt;0,(ano_ref*12+9)-(YEAR(Planos!$G11)*12+MONTH(Planos!$G11))&gt;0,MOD((ano_ref*12+9)-(YEAR(Planos!$G11)*12+MONTH(Planos!$G11)),MAX(1,IFERROR(INDEX(lst_frequencia_meses,MATCH(Planos!$E11,lst_frequencia,0)),0)))=0),"●","")))</f>
      </c>
      <c r="M12" s="43">
        <f>IF(NOT(Planos!$A11&lt;&gt;""),"",IF(COUNTIFS(Programação!$B$4:$B$503,Planos!$A11,Programação!$I$4:$I$503,"Concluído",Programação!$G$4:$G$503,"&gt;="&amp;DATE(ano_ref,10,1),Programação!$G$4:$G$503,"&lt;="&amp;EOMONTH(DATE(ano_ref,10,1),0))&gt;0,"✔",IF(AND(ISNUMBER(Planos!$G11),IFERROR(INDEX(lst_frequencia_meses,MATCH(Planos!$E11,lst_frequencia,0)),0)&gt;0,(ano_ref*12+10)-(YEAR(Planos!$G11)*12+MONTH(Planos!$G11))&gt;0,MOD((ano_ref*12+10)-(YEAR(Planos!$G11)*12+MONTH(Planos!$G11)),MAX(1,IFERROR(INDEX(lst_frequencia_meses,MATCH(Planos!$E11,lst_frequencia,0)),0)))=0),"●","")))</f>
      </c>
      <c r="N12" s="43">
        <f>IF(NOT(Planos!$A11&lt;&gt;""),"",IF(COUNTIFS(Programação!$B$4:$B$503,Planos!$A11,Programação!$I$4:$I$503,"Concluído",Programação!$G$4:$G$503,"&gt;="&amp;DATE(ano_ref,11,1),Programação!$G$4:$G$503,"&lt;="&amp;EOMONTH(DATE(ano_ref,11,1),0))&gt;0,"✔",IF(AND(ISNUMBER(Planos!$G11),IFERROR(INDEX(lst_frequencia_meses,MATCH(Planos!$E11,lst_frequencia,0)),0)&gt;0,(ano_ref*12+11)-(YEAR(Planos!$G11)*12+MONTH(Planos!$G11))&gt;0,MOD((ano_ref*12+11)-(YEAR(Planos!$G11)*12+MONTH(Planos!$G11)),MAX(1,IFERROR(INDEX(lst_frequencia_meses,MATCH(Planos!$E11,lst_frequencia,0)),0)))=0),"●","")))</f>
      </c>
      <c r="O12" s="43">
        <f>IF(NOT(Planos!$A11&lt;&gt;""),"",IF(COUNTIFS(Programação!$B$4:$B$503,Planos!$A11,Programação!$I$4:$I$503,"Concluído",Programação!$G$4:$G$503,"&gt;="&amp;DATE(ano_ref,12,1),Programação!$G$4:$G$503,"&lt;="&amp;EOMONTH(DATE(ano_ref,12,1),0))&gt;0,"✔",IF(AND(ISNUMBER(Planos!$G11),IFERROR(INDEX(lst_frequencia_meses,MATCH(Planos!$E11,lst_frequencia,0)),0)&gt;0,(ano_ref*12+12)-(YEAR(Planos!$G11)*12+MONTH(Planos!$G11))&gt;0,MOD((ano_ref*12+12)-(YEAR(Planos!$G11)*12+MONTH(Planos!$G11)),MAX(1,IFERROR(INDEX(lst_frequencia_meses,MATCH(Planos!$E11,lst_frequencia,0)),0)))=0),"●","")))</f>
      </c>
      <c r="P12" s="44">
        <f>IF(COUNTIF(D12:O12,"✔")+COUNTIF(D12:O12,"●")=0,"",COUNTIF(D12:O12,"✔")/(COUNTIF(D12:O12,"✔")+COUNTIF(D12:O12,"●")))</f>
      </c>
    </row>
    <row r="13" spans="1:16" x14ac:dyDescent="0.25">
      <c r="A13" s="43">
        <f>IF(Planos!$A12&lt;&gt;"",Planos!A12&amp;"","")</f>
      </c>
      <c r="B13" s="43">
        <f>IF(Planos!$A12&lt;&gt;"",Planos!B12&amp;"","")</f>
      </c>
      <c r="C13" s="24">
        <f>IF(Planos!$A12&lt;&gt;"",Planos!C12&amp;"","")</f>
      </c>
      <c r="D13" s="43">
        <f>IF(NOT(Planos!$A12&lt;&gt;""),"",IF(COUNTIFS(Programação!$B$4:$B$503,Planos!$A12,Programação!$I$4:$I$503,"Concluído",Programação!$G$4:$G$503,"&gt;="&amp;DATE(ano_ref,1,1),Programação!$G$4:$G$503,"&lt;="&amp;EOMONTH(DATE(ano_ref,1,1),0))&gt;0,"✔",IF(AND(ISNUMBER(Planos!$G12),IFERROR(INDEX(lst_frequencia_meses,MATCH(Planos!$E12,lst_frequencia,0)),0)&gt;0,(ano_ref*12+1)-(YEAR(Planos!$G12)*12+MONTH(Planos!$G12))&gt;0,MOD((ano_ref*12+1)-(YEAR(Planos!$G12)*12+MONTH(Planos!$G12)),MAX(1,IFERROR(INDEX(lst_frequencia_meses,MATCH(Planos!$E12,lst_frequencia,0)),0)))=0),"●","")))</f>
      </c>
      <c r="E13" s="43">
        <f>IF(NOT(Planos!$A12&lt;&gt;""),"",IF(COUNTIFS(Programação!$B$4:$B$503,Planos!$A12,Programação!$I$4:$I$503,"Concluído",Programação!$G$4:$G$503,"&gt;="&amp;DATE(ano_ref,2,1),Programação!$G$4:$G$503,"&lt;="&amp;EOMONTH(DATE(ano_ref,2,1),0))&gt;0,"✔",IF(AND(ISNUMBER(Planos!$G12),IFERROR(INDEX(lst_frequencia_meses,MATCH(Planos!$E12,lst_frequencia,0)),0)&gt;0,(ano_ref*12+2)-(YEAR(Planos!$G12)*12+MONTH(Planos!$G12))&gt;0,MOD((ano_ref*12+2)-(YEAR(Planos!$G12)*12+MONTH(Planos!$G12)),MAX(1,IFERROR(INDEX(lst_frequencia_meses,MATCH(Planos!$E12,lst_frequencia,0)),0)))=0),"●","")))</f>
      </c>
      <c r="F13" s="43">
        <f>IF(NOT(Planos!$A12&lt;&gt;""),"",IF(COUNTIFS(Programação!$B$4:$B$503,Planos!$A12,Programação!$I$4:$I$503,"Concluído",Programação!$G$4:$G$503,"&gt;="&amp;DATE(ano_ref,3,1),Programação!$G$4:$G$503,"&lt;="&amp;EOMONTH(DATE(ano_ref,3,1),0))&gt;0,"✔",IF(AND(ISNUMBER(Planos!$G12),IFERROR(INDEX(lst_frequencia_meses,MATCH(Planos!$E12,lst_frequencia,0)),0)&gt;0,(ano_ref*12+3)-(YEAR(Planos!$G12)*12+MONTH(Planos!$G12))&gt;0,MOD((ano_ref*12+3)-(YEAR(Planos!$G12)*12+MONTH(Planos!$G12)),MAX(1,IFERROR(INDEX(lst_frequencia_meses,MATCH(Planos!$E12,lst_frequencia,0)),0)))=0),"●","")))</f>
      </c>
      <c r="G13" s="43">
        <f>IF(NOT(Planos!$A12&lt;&gt;""),"",IF(COUNTIFS(Programação!$B$4:$B$503,Planos!$A12,Programação!$I$4:$I$503,"Concluído",Programação!$G$4:$G$503,"&gt;="&amp;DATE(ano_ref,4,1),Programação!$G$4:$G$503,"&lt;="&amp;EOMONTH(DATE(ano_ref,4,1),0))&gt;0,"✔",IF(AND(ISNUMBER(Planos!$G12),IFERROR(INDEX(lst_frequencia_meses,MATCH(Planos!$E12,lst_frequencia,0)),0)&gt;0,(ano_ref*12+4)-(YEAR(Planos!$G12)*12+MONTH(Planos!$G12))&gt;0,MOD((ano_ref*12+4)-(YEAR(Planos!$G12)*12+MONTH(Planos!$G12)),MAX(1,IFERROR(INDEX(lst_frequencia_meses,MATCH(Planos!$E12,lst_frequencia,0)),0)))=0),"●","")))</f>
      </c>
      <c r="H13" s="43">
        <f>IF(NOT(Planos!$A12&lt;&gt;""),"",IF(COUNTIFS(Programação!$B$4:$B$503,Planos!$A12,Programação!$I$4:$I$503,"Concluído",Programação!$G$4:$G$503,"&gt;="&amp;DATE(ano_ref,5,1),Programação!$G$4:$G$503,"&lt;="&amp;EOMONTH(DATE(ano_ref,5,1),0))&gt;0,"✔",IF(AND(ISNUMBER(Planos!$G12),IFERROR(INDEX(lst_frequencia_meses,MATCH(Planos!$E12,lst_frequencia,0)),0)&gt;0,(ano_ref*12+5)-(YEAR(Planos!$G12)*12+MONTH(Planos!$G12))&gt;0,MOD((ano_ref*12+5)-(YEAR(Planos!$G12)*12+MONTH(Planos!$G12)),MAX(1,IFERROR(INDEX(lst_frequencia_meses,MATCH(Planos!$E12,lst_frequencia,0)),0)))=0),"●","")))</f>
      </c>
      <c r="I13" s="43">
        <f>IF(NOT(Planos!$A12&lt;&gt;""),"",IF(COUNTIFS(Programação!$B$4:$B$503,Planos!$A12,Programação!$I$4:$I$503,"Concluído",Programação!$G$4:$G$503,"&gt;="&amp;DATE(ano_ref,6,1),Programação!$G$4:$G$503,"&lt;="&amp;EOMONTH(DATE(ano_ref,6,1),0))&gt;0,"✔",IF(AND(ISNUMBER(Planos!$G12),IFERROR(INDEX(lst_frequencia_meses,MATCH(Planos!$E12,lst_frequencia,0)),0)&gt;0,(ano_ref*12+6)-(YEAR(Planos!$G12)*12+MONTH(Planos!$G12))&gt;0,MOD((ano_ref*12+6)-(YEAR(Planos!$G12)*12+MONTH(Planos!$G12)),MAX(1,IFERROR(INDEX(lst_frequencia_meses,MATCH(Planos!$E12,lst_frequencia,0)),0)))=0),"●","")))</f>
      </c>
      <c r="J13" s="43">
        <f>IF(NOT(Planos!$A12&lt;&gt;""),"",IF(COUNTIFS(Programação!$B$4:$B$503,Planos!$A12,Programação!$I$4:$I$503,"Concluído",Programação!$G$4:$G$503,"&gt;="&amp;DATE(ano_ref,7,1),Programação!$G$4:$G$503,"&lt;="&amp;EOMONTH(DATE(ano_ref,7,1),0))&gt;0,"✔",IF(AND(ISNUMBER(Planos!$G12),IFERROR(INDEX(lst_frequencia_meses,MATCH(Planos!$E12,lst_frequencia,0)),0)&gt;0,(ano_ref*12+7)-(YEAR(Planos!$G12)*12+MONTH(Planos!$G12))&gt;0,MOD((ano_ref*12+7)-(YEAR(Planos!$G12)*12+MONTH(Planos!$G12)),MAX(1,IFERROR(INDEX(lst_frequencia_meses,MATCH(Planos!$E12,lst_frequencia,0)),0)))=0),"●","")))</f>
      </c>
      <c r="K13" s="43">
        <f>IF(NOT(Planos!$A12&lt;&gt;""),"",IF(COUNTIFS(Programação!$B$4:$B$503,Planos!$A12,Programação!$I$4:$I$503,"Concluído",Programação!$G$4:$G$503,"&gt;="&amp;DATE(ano_ref,8,1),Programação!$G$4:$G$503,"&lt;="&amp;EOMONTH(DATE(ano_ref,8,1),0))&gt;0,"✔",IF(AND(ISNUMBER(Planos!$G12),IFERROR(INDEX(lst_frequencia_meses,MATCH(Planos!$E12,lst_frequencia,0)),0)&gt;0,(ano_ref*12+8)-(YEAR(Planos!$G12)*12+MONTH(Planos!$G12))&gt;0,MOD((ano_ref*12+8)-(YEAR(Planos!$G12)*12+MONTH(Planos!$G12)),MAX(1,IFERROR(INDEX(lst_frequencia_meses,MATCH(Planos!$E12,lst_frequencia,0)),0)))=0),"●","")))</f>
      </c>
      <c r="L13" s="43">
        <f>IF(NOT(Planos!$A12&lt;&gt;""),"",IF(COUNTIFS(Programação!$B$4:$B$503,Planos!$A12,Programação!$I$4:$I$503,"Concluído",Programação!$G$4:$G$503,"&gt;="&amp;DATE(ano_ref,9,1),Programação!$G$4:$G$503,"&lt;="&amp;EOMONTH(DATE(ano_ref,9,1),0))&gt;0,"✔",IF(AND(ISNUMBER(Planos!$G12),IFERROR(INDEX(lst_frequencia_meses,MATCH(Planos!$E12,lst_frequencia,0)),0)&gt;0,(ano_ref*12+9)-(YEAR(Planos!$G12)*12+MONTH(Planos!$G12))&gt;0,MOD((ano_ref*12+9)-(YEAR(Planos!$G12)*12+MONTH(Planos!$G12)),MAX(1,IFERROR(INDEX(lst_frequencia_meses,MATCH(Planos!$E12,lst_frequencia,0)),0)))=0),"●","")))</f>
      </c>
      <c r="M13" s="43">
        <f>IF(NOT(Planos!$A12&lt;&gt;""),"",IF(COUNTIFS(Programação!$B$4:$B$503,Planos!$A12,Programação!$I$4:$I$503,"Concluído",Programação!$G$4:$G$503,"&gt;="&amp;DATE(ano_ref,10,1),Programação!$G$4:$G$503,"&lt;="&amp;EOMONTH(DATE(ano_ref,10,1),0))&gt;0,"✔",IF(AND(ISNUMBER(Planos!$G12),IFERROR(INDEX(lst_frequencia_meses,MATCH(Planos!$E12,lst_frequencia,0)),0)&gt;0,(ano_ref*12+10)-(YEAR(Planos!$G12)*12+MONTH(Planos!$G12))&gt;0,MOD((ano_ref*12+10)-(YEAR(Planos!$G12)*12+MONTH(Planos!$G12)),MAX(1,IFERROR(INDEX(lst_frequencia_meses,MATCH(Planos!$E12,lst_frequencia,0)),0)))=0),"●","")))</f>
      </c>
      <c r="N13" s="43">
        <f>IF(NOT(Planos!$A12&lt;&gt;""),"",IF(COUNTIFS(Programação!$B$4:$B$503,Planos!$A12,Programação!$I$4:$I$503,"Concluído",Programação!$G$4:$G$503,"&gt;="&amp;DATE(ano_ref,11,1),Programação!$G$4:$G$503,"&lt;="&amp;EOMONTH(DATE(ano_ref,11,1),0))&gt;0,"✔",IF(AND(ISNUMBER(Planos!$G12),IFERROR(INDEX(lst_frequencia_meses,MATCH(Planos!$E12,lst_frequencia,0)),0)&gt;0,(ano_ref*12+11)-(YEAR(Planos!$G12)*12+MONTH(Planos!$G12))&gt;0,MOD((ano_ref*12+11)-(YEAR(Planos!$G12)*12+MONTH(Planos!$G12)),MAX(1,IFERROR(INDEX(lst_frequencia_meses,MATCH(Planos!$E12,lst_frequencia,0)),0)))=0),"●","")))</f>
      </c>
      <c r="O13" s="43">
        <f>IF(NOT(Planos!$A12&lt;&gt;""),"",IF(COUNTIFS(Programação!$B$4:$B$503,Planos!$A12,Programação!$I$4:$I$503,"Concluído",Programação!$G$4:$G$503,"&gt;="&amp;DATE(ano_ref,12,1),Programação!$G$4:$G$503,"&lt;="&amp;EOMONTH(DATE(ano_ref,12,1),0))&gt;0,"✔",IF(AND(ISNUMBER(Planos!$G12),IFERROR(INDEX(lst_frequencia_meses,MATCH(Planos!$E12,lst_frequencia,0)),0)&gt;0,(ano_ref*12+12)-(YEAR(Planos!$G12)*12+MONTH(Planos!$G12))&gt;0,MOD((ano_ref*12+12)-(YEAR(Planos!$G12)*12+MONTH(Planos!$G12)),MAX(1,IFERROR(INDEX(lst_frequencia_meses,MATCH(Planos!$E12,lst_frequencia,0)),0)))=0),"●","")))</f>
      </c>
      <c r="P13" s="44">
        <f>IF(COUNTIF(D13:O13,"✔")+COUNTIF(D13:O13,"●")=0,"",COUNTIF(D13:O13,"✔")/(COUNTIF(D13:O13,"✔")+COUNTIF(D13:O13,"●")))</f>
      </c>
    </row>
    <row r="14" spans="1:16" x14ac:dyDescent="0.25">
      <c r="A14" s="43">
        <f>IF(Planos!$A13&lt;&gt;"",Planos!A13&amp;"","")</f>
      </c>
      <c r="B14" s="43">
        <f>IF(Planos!$A13&lt;&gt;"",Planos!B13&amp;"","")</f>
      </c>
      <c r="C14" s="24">
        <f>IF(Planos!$A13&lt;&gt;"",Planos!C13&amp;"","")</f>
      </c>
      <c r="D14" s="43">
        <f>IF(NOT(Planos!$A13&lt;&gt;""),"",IF(COUNTIFS(Programação!$B$4:$B$503,Planos!$A13,Programação!$I$4:$I$503,"Concluído",Programação!$G$4:$G$503,"&gt;="&amp;DATE(ano_ref,1,1),Programação!$G$4:$G$503,"&lt;="&amp;EOMONTH(DATE(ano_ref,1,1),0))&gt;0,"✔",IF(AND(ISNUMBER(Planos!$G13),IFERROR(INDEX(lst_frequencia_meses,MATCH(Planos!$E13,lst_frequencia,0)),0)&gt;0,(ano_ref*12+1)-(YEAR(Planos!$G13)*12+MONTH(Planos!$G13))&gt;0,MOD((ano_ref*12+1)-(YEAR(Planos!$G13)*12+MONTH(Planos!$G13)),MAX(1,IFERROR(INDEX(lst_frequencia_meses,MATCH(Planos!$E13,lst_frequencia,0)),0)))=0),"●","")))</f>
      </c>
      <c r="E14" s="43">
        <f>IF(NOT(Planos!$A13&lt;&gt;""),"",IF(COUNTIFS(Programação!$B$4:$B$503,Planos!$A13,Programação!$I$4:$I$503,"Concluído",Programação!$G$4:$G$503,"&gt;="&amp;DATE(ano_ref,2,1),Programação!$G$4:$G$503,"&lt;="&amp;EOMONTH(DATE(ano_ref,2,1),0))&gt;0,"✔",IF(AND(ISNUMBER(Planos!$G13),IFERROR(INDEX(lst_frequencia_meses,MATCH(Planos!$E13,lst_frequencia,0)),0)&gt;0,(ano_ref*12+2)-(YEAR(Planos!$G13)*12+MONTH(Planos!$G13))&gt;0,MOD((ano_ref*12+2)-(YEAR(Planos!$G13)*12+MONTH(Planos!$G13)),MAX(1,IFERROR(INDEX(lst_frequencia_meses,MATCH(Planos!$E13,lst_frequencia,0)),0)))=0),"●","")))</f>
      </c>
      <c r="F14" s="43">
        <f>IF(NOT(Planos!$A13&lt;&gt;""),"",IF(COUNTIFS(Programação!$B$4:$B$503,Planos!$A13,Programação!$I$4:$I$503,"Concluído",Programação!$G$4:$G$503,"&gt;="&amp;DATE(ano_ref,3,1),Programação!$G$4:$G$503,"&lt;="&amp;EOMONTH(DATE(ano_ref,3,1),0))&gt;0,"✔",IF(AND(ISNUMBER(Planos!$G13),IFERROR(INDEX(lst_frequencia_meses,MATCH(Planos!$E13,lst_frequencia,0)),0)&gt;0,(ano_ref*12+3)-(YEAR(Planos!$G13)*12+MONTH(Planos!$G13))&gt;0,MOD((ano_ref*12+3)-(YEAR(Planos!$G13)*12+MONTH(Planos!$G13)),MAX(1,IFERROR(INDEX(lst_frequencia_meses,MATCH(Planos!$E13,lst_frequencia,0)),0)))=0),"●","")))</f>
      </c>
      <c r="G14" s="43">
        <f>IF(NOT(Planos!$A13&lt;&gt;""),"",IF(COUNTIFS(Programação!$B$4:$B$503,Planos!$A13,Programação!$I$4:$I$503,"Concluído",Programação!$G$4:$G$503,"&gt;="&amp;DATE(ano_ref,4,1),Programação!$G$4:$G$503,"&lt;="&amp;EOMONTH(DATE(ano_ref,4,1),0))&gt;0,"✔",IF(AND(ISNUMBER(Planos!$G13),IFERROR(INDEX(lst_frequencia_meses,MATCH(Planos!$E13,lst_frequencia,0)),0)&gt;0,(ano_ref*12+4)-(YEAR(Planos!$G13)*12+MONTH(Planos!$G13))&gt;0,MOD((ano_ref*12+4)-(YEAR(Planos!$G13)*12+MONTH(Planos!$G13)),MAX(1,IFERROR(INDEX(lst_frequencia_meses,MATCH(Planos!$E13,lst_frequencia,0)),0)))=0),"●","")))</f>
      </c>
      <c r="H14" s="43">
        <f>IF(NOT(Planos!$A13&lt;&gt;""),"",IF(COUNTIFS(Programação!$B$4:$B$503,Planos!$A13,Programação!$I$4:$I$503,"Concluído",Programação!$G$4:$G$503,"&gt;="&amp;DATE(ano_ref,5,1),Programação!$G$4:$G$503,"&lt;="&amp;EOMONTH(DATE(ano_ref,5,1),0))&gt;0,"✔",IF(AND(ISNUMBER(Planos!$G13),IFERROR(INDEX(lst_frequencia_meses,MATCH(Planos!$E13,lst_frequencia,0)),0)&gt;0,(ano_ref*12+5)-(YEAR(Planos!$G13)*12+MONTH(Planos!$G13))&gt;0,MOD((ano_ref*12+5)-(YEAR(Planos!$G13)*12+MONTH(Planos!$G13)),MAX(1,IFERROR(INDEX(lst_frequencia_meses,MATCH(Planos!$E13,lst_frequencia,0)),0)))=0),"●","")))</f>
      </c>
      <c r="I14" s="43">
        <f>IF(NOT(Planos!$A13&lt;&gt;""),"",IF(COUNTIFS(Programação!$B$4:$B$503,Planos!$A13,Programação!$I$4:$I$503,"Concluído",Programação!$G$4:$G$503,"&gt;="&amp;DATE(ano_ref,6,1),Programação!$G$4:$G$503,"&lt;="&amp;EOMONTH(DATE(ano_ref,6,1),0))&gt;0,"✔",IF(AND(ISNUMBER(Planos!$G13),IFERROR(INDEX(lst_frequencia_meses,MATCH(Planos!$E13,lst_frequencia,0)),0)&gt;0,(ano_ref*12+6)-(YEAR(Planos!$G13)*12+MONTH(Planos!$G13))&gt;0,MOD((ano_ref*12+6)-(YEAR(Planos!$G13)*12+MONTH(Planos!$G13)),MAX(1,IFERROR(INDEX(lst_frequencia_meses,MATCH(Planos!$E13,lst_frequencia,0)),0)))=0),"●","")))</f>
      </c>
      <c r="J14" s="43">
        <f>IF(NOT(Planos!$A13&lt;&gt;""),"",IF(COUNTIFS(Programação!$B$4:$B$503,Planos!$A13,Programação!$I$4:$I$503,"Concluído",Programação!$G$4:$G$503,"&gt;="&amp;DATE(ano_ref,7,1),Programação!$G$4:$G$503,"&lt;="&amp;EOMONTH(DATE(ano_ref,7,1),0))&gt;0,"✔",IF(AND(ISNUMBER(Planos!$G13),IFERROR(INDEX(lst_frequencia_meses,MATCH(Planos!$E13,lst_frequencia,0)),0)&gt;0,(ano_ref*12+7)-(YEAR(Planos!$G13)*12+MONTH(Planos!$G13))&gt;0,MOD((ano_ref*12+7)-(YEAR(Planos!$G13)*12+MONTH(Planos!$G13)),MAX(1,IFERROR(INDEX(lst_frequencia_meses,MATCH(Planos!$E13,lst_frequencia,0)),0)))=0),"●","")))</f>
      </c>
      <c r="K14" s="43">
        <f>IF(NOT(Planos!$A13&lt;&gt;""),"",IF(COUNTIFS(Programação!$B$4:$B$503,Planos!$A13,Programação!$I$4:$I$503,"Concluído",Programação!$G$4:$G$503,"&gt;="&amp;DATE(ano_ref,8,1),Programação!$G$4:$G$503,"&lt;="&amp;EOMONTH(DATE(ano_ref,8,1),0))&gt;0,"✔",IF(AND(ISNUMBER(Planos!$G13),IFERROR(INDEX(lst_frequencia_meses,MATCH(Planos!$E13,lst_frequencia,0)),0)&gt;0,(ano_ref*12+8)-(YEAR(Planos!$G13)*12+MONTH(Planos!$G13))&gt;0,MOD((ano_ref*12+8)-(YEAR(Planos!$G13)*12+MONTH(Planos!$G13)),MAX(1,IFERROR(INDEX(lst_frequencia_meses,MATCH(Planos!$E13,lst_frequencia,0)),0)))=0),"●","")))</f>
      </c>
      <c r="L14" s="43">
        <f>IF(NOT(Planos!$A13&lt;&gt;""),"",IF(COUNTIFS(Programação!$B$4:$B$503,Planos!$A13,Programação!$I$4:$I$503,"Concluído",Programação!$G$4:$G$503,"&gt;="&amp;DATE(ano_ref,9,1),Programação!$G$4:$G$503,"&lt;="&amp;EOMONTH(DATE(ano_ref,9,1),0))&gt;0,"✔",IF(AND(ISNUMBER(Planos!$G13),IFERROR(INDEX(lst_frequencia_meses,MATCH(Planos!$E13,lst_frequencia,0)),0)&gt;0,(ano_ref*12+9)-(YEAR(Planos!$G13)*12+MONTH(Planos!$G13))&gt;0,MOD((ano_ref*12+9)-(YEAR(Planos!$G13)*12+MONTH(Planos!$G13)),MAX(1,IFERROR(INDEX(lst_frequencia_meses,MATCH(Planos!$E13,lst_frequencia,0)),0)))=0),"●","")))</f>
      </c>
      <c r="M14" s="43">
        <f>IF(NOT(Planos!$A13&lt;&gt;""),"",IF(COUNTIFS(Programação!$B$4:$B$503,Planos!$A13,Programação!$I$4:$I$503,"Concluído",Programação!$G$4:$G$503,"&gt;="&amp;DATE(ano_ref,10,1),Programação!$G$4:$G$503,"&lt;="&amp;EOMONTH(DATE(ano_ref,10,1),0))&gt;0,"✔",IF(AND(ISNUMBER(Planos!$G13),IFERROR(INDEX(lst_frequencia_meses,MATCH(Planos!$E13,lst_frequencia,0)),0)&gt;0,(ano_ref*12+10)-(YEAR(Planos!$G13)*12+MONTH(Planos!$G13))&gt;0,MOD((ano_ref*12+10)-(YEAR(Planos!$G13)*12+MONTH(Planos!$G13)),MAX(1,IFERROR(INDEX(lst_frequencia_meses,MATCH(Planos!$E13,lst_frequencia,0)),0)))=0),"●","")))</f>
      </c>
      <c r="N14" s="43">
        <f>IF(NOT(Planos!$A13&lt;&gt;""),"",IF(COUNTIFS(Programação!$B$4:$B$503,Planos!$A13,Programação!$I$4:$I$503,"Concluído",Programação!$G$4:$G$503,"&gt;="&amp;DATE(ano_ref,11,1),Programação!$G$4:$G$503,"&lt;="&amp;EOMONTH(DATE(ano_ref,11,1),0))&gt;0,"✔",IF(AND(ISNUMBER(Planos!$G13),IFERROR(INDEX(lst_frequencia_meses,MATCH(Planos!$E13,lst_frequencia,0)),0)&gt;0,(ano_ref*12+11)-(YEAR(Planos!$G13)*12+MONTH(Planos!$G13))&gt;0,MOD((ano_ref*12+11)-(YEAR(Planos!$G13)*12+MONTH(Planos!$G13)),MAX(1,IFERROR(INDEX(lst_frequencia_meses,MATCH(Planos!$E13,lst_frequencia,0)),0)))=0),"●","")))</f>
      </c>
      <c r="O14" s="43">
        <f>IF(NOT(Planos!$A13&lt;&gt;""),"",IF(COUNTIFS(Programação!$B$4:$B$503,Planos!$A13,Programação!$I$4:$I$503,"Concluído",Programação!$G$4:$G$503,"&gt;="&amp;DATE(ano_ref,12,1),Programação!$G$4:$G$503,"&lt;="&amp;EOMONTH(DATE(ano_ref,12,1),0))&gt;0,"✔",IF(AND(ISNUMBER(Planos!$G13),IFERROR(INDEX(lst_frequencia_meses,MATCH(Planos!$E13,lst_frequencia,0)),0)&gt;0,(ano_ref*12+12)-(YEAR(Planos!$G13)*12+MONTH(Planos!$G13))&gt;0,MOD((ano_ref*12+12)-(YEAR(Planos!$G13)*12+MONTH(Planos!$G13)),MAX(1,IFERROR(INDEX(lst_frequencia_meses,MATCH(Planos!$E13,lst_frequencia,0)),0)))=0),"●","")))</f>
      </c>
      <c r="P14" s="44">
        <f>IF(COUNTIF(D14:O14,"✔")+COUNTIF(D14:O14,"●")=0,"",COUNTIF(D14:O14,"✔")/(COUNTIF(D14:O14,"✔")+COUNTIF(D14:O14,"●")))</f>
      </c>
    </row>
    <row r="15" spans="1:16" x14ac:dyDescent="0.25">
      <c r="A15" s="43">
        <f>IF(Planos!$A14&lt;&gt;"",Planos!A14&amp;"","")</f>
      </c>
      <c r="B15" s="43">
        <f>IF(Planos!$A14&lt;&gt;"",Planos!B14&amp;"","")</f>
      </c>
      <c r="C15" s="24">
        <f>IF(Planos!$A14&lt;&gt;"",Planos!C14&amp;"","")</f>
      </c>
      <c r="D15" s="43">
        <f>IF(NOT(Planos!$A14&lt;&gt;""),"",IF(COUNTIFS(Programação!$B$4:$B$503,Planos!$A14,Programação!$I$4:$I$503,"Concluído",Programação!$G$4:$G$503,"&gt;="&amp;DATE(ano_ref,1,1),Programação!$G$4:$G$503,"&lt;="&amp;EOMONTH(DATE(ano_ref,1,1),0))&gt;0,"✔",IF(AND(ISNUMBER(Planos!$G14),IFERROR(INDEX(lst_frequencia_meses,MATCH(Planos!$E14,lst_frequencia,0)),0)&gt;0,(ano_ref*12+1)-(YEAR(Planos!$G14)*12+MONTH(Planos!$G14))&gt;0,MOD((ano_ref*12+1)-(YEAR(Planos!$G14)*12+MONTH(Planos!$G14)),MAX(1,IFERROR(INDEX(lst_frequencia_meses,MATCH(Planos!$E14,lst_frequencia,0)),0)))=0),"●","")))</f>
      </c>
      <c r="E15" s="43">
        <f>IF(NOT(Planos!$A14&lt;&gt;""),"",IF(COUNTIFS(Programação!$B$4:$B$503,Planos!$A14,Programação!$I$4:$I$503,"Concluído",Programação!$G$4:$G$503,"&gt;="&amp;DATE(ano_ref,2,1),Programação!$G$4:$G$503,"&lt;="&amp;EOMONTH(DATE(ano_ref,2,1),0))&gt;0,"✔",IF(AND(ISNUMBER(Planos!$G14),IFERROR(INDEX(lst_frequencia_meses,MATCH(Planos!$E14,lst_frequencia,0)),0)&gt;0,(ano_ref*12+2)-(YEAR(Planos!$G14)*12+MONTH(Planos!$G14))&gt;0,MOD((ano_ref*12+2)-(YEAR(Planos!$G14)*12+MONTH(Planos!$G14)),MAX(1,IFERROR(INDEX(lst_frequencia_meses,MATCH(Planos!$E14,lst_frequencia,0)),0)))=0),"●","")))</f>
      </c>
      <c r="F15" s="43">
        <f>IF(NOT(Planos!$A14&lt;&gt;""),"",IF(COUNTIFS(Programação!$B$4:$B$503,Planos!$A14,Programação!$I$4:$I$503,"Concluído",Programação!$G$4:$G$503,"&gt;="&amp;DATE(ano_ref,3,1),Programação!$G$4:$G$503,"&lt;="&amp;EOMONTH(DATE(ano_ref,3,1),0))&gt;0,"✔",IF(AND(ISNUMBER(Planos!$G14),IFERROR(INDEX(lst_frequencia_meses,MATCH(Planos!$E14,lst_frequencia,0)),0)&gt;0,(ano_ref*12+3)-(YEAR(Planos!$G14)*12+MONTH(Planos!$G14))&gt;0,MOD((ano_ref*12+3)-(YEAR(Planos!$G14)*12+MONTH(Planos!$G14)),MAX(1,IFERROR(INDEX(lst_frequencia_meses,MATCH(Planos!$E14,lst_frequencia,0)),0)))=0),"●","")))</f>
      </c>
      <c r="G15" s="43">
        <f>IF(NOT(Planos!$A14&lt;&gt;""),"",IF(COUNTIFS(Programação!$B$4:$B$503,Planos!$A14,Programação!$I$4:$I$503,"Concluído",Programação!$G$4:$G$503,"&gt;="&amp;DATE(ano_ref,4,1),Programação!$G$4:$G$503,"&lt;="&amp;EOMONTH(DATE(ano_ref,4,1),0))&gt;0,"✔",IF(AND(ISNUMBER(Planos!$G14),IFERROR(INDEX(lst_frequencia_meses,MATCH(Planos!$E14,lst_frequencia,0)),0)&gt;0,(ano_ref*12+4)-(YEAR(Planos!$G14)*12+MONTH(Planos!$G14))&gt;0,MOD((ano_ref*12+4)-(YEAR(Planos!$G14)*12+MONTH(Planos!$G14)),MAX(1,IFERROR(INDEX(lst_frequencia_meses,MATCH(Planos!$E14,lst_frequencia,0)),0)))=0),"●","")))</f>
      </c>
      <c r="H15" s="43">
        <f>IF(NOT(Planos!$A14&lt;&gt;""),"",IF(COUNTIFS(Programação!$B$4:$B$503,Planos!$A14,Programação!$I$4:$I$503,"Concluído",Programação!$G$4:$G$503,"&gt;="&amp;DATE(ano_ref,5,1),Programação!$G$4:$G$503,"&lt;="&amp;EOMONTH(DATE(ano_ref,5,1),0))&gt;0,"✔",IF(AND(ISNUMBER(Planos!$G14),IFERROR(INDEX(lst_frequencia_meses,MATCH(Planos!$E14,lst_frequencia,0)),0)&gt;0,(ano_ref*12+5)-(YEAR(Planos!$G14)*12+MONTH(Planos!$G14))&gt;0,MOD((ano_ref*12+5)-(YEAR(Planos!$G14)*12+MONTH(Planos!$G14)),MAX(1,IFERROR(INDEX(lst_frequencia_meses,MATCH(Planos!$E14,lst_frequencia,0)),0)))=0),"●","")))</f>
      </c>
      <c r="I15" s="43">
        <f>IF(NOT(Planos!$A14&lt;&gt;""),"",IF(COUNTIFS(Programação!$B$4:$B$503,Planos!$A14,Programação!$I$4:$I$503,"Concluído",Programação!$G$4:$G$503,"&gt;="&amp;DATE(ano_ref,6,1),Programação!$G$4:$G$503,"&lt;="&amp;EOMONTH(DATE(ano_ref,6,1),0))&gt;0,"✔",IF(AND(ISNUMBER(Planos!$G14),IFERROR(INDEX(lst_frequencia_meses,MATCH(Planos!$E14,lst_frequencia,0)),0)&gt;0,(ano_ref*12+6)-(YEAR(Planos!$G14)*12+MONTH(Planos!$G14))&gt;0,MOD((ano_ref*12+6)-(YEAR(Planos!$G14)*12+MONTH(Planos!$G14)),MAX(1,IFERROR(INDEX(lst_frequencia_meses,MATCH(Planos!$E14,lst_frequencia,0)),0)))=0),"●","")))</f>
      </c>
      <c r="J15" s="43">
        <f>IF(NOT(Planos!$A14&lt;&gt;""),"",IF(COUNTIFS(Programação!$B$4:$B$503,Planos!$A14,Programação!$I$4:$I$503,"Concluído",Programação!$G$4:$G$503,"&gt;="&amp;DATE(ano_ref,7,1),Programação!$G$4:$G$503,"&lt;="&amp;EOMONTH(DATE(ano_ref,7,1),0))&gt;0,"✔",IF(AND(ISNUMBER(Planos!$G14),IFERROR(INDEX(lst_frequencia_meses,MATCH(Planos!$E14,lst_frequencia,0)),0)&gt;0,(ano_ref*12+7)-(YEAR(Planos!$G14)*12+MONTH(Planos!$G14))&gt;0,MOD((ano_ref*12+7)-(YEAR(Planos!$G14)*12+MONTH(Planos!$G14)),MAX(1,IFERROR(INDEX(lst_frequencia_meses,MATCH(Planos!$E14,lst_frequencia,0)),0)))=0),"●","")))</f>
      </c>
      <c r="K15" s="43">
        <f>IF(NOT(Planos!$A14&lt;&gt;""),"",IF(COUNTIFS(Programação!$B$4:$B$503,Planos!$A14,Programação!$I$4:$I$503,"Concluído",Programação!$G$4:$G$503,"&gt;="&amp;DATE(ano_ref,8,1),Programação!$G$4:$G$503,"&lt;="&amp;EOMONTH(DATE(ano_ref,8,1),0))&gt;0,"✔",IF(AND(ISNUMBER(Planos!$G14),IFERROR(INDEX(lst_frequencia_meses,MATCH(Planos!$E14,lst_frequencia,0)),0)&gt;0,(ano_ref*12+8)-(YEAR(Planos!$G14)*12+MONTH(Planos!$G14))&gt;0,MOD((ano_ref*12+8)-(YEAR(Planos!$G14)*12+MONTH(Planos!$G14)),MAX(1,IFERROR(INDEX(lst_frequencia_meses,MATCH(Planos!$E14,lst_frequencia,0)),0)))=0),"●","")))</f>
      </c>
      <c r="L15" s="43">
        <f>IF(NOT(Planos!$A14&lt;&gt;""),"",IF(COUNTIFS(Programação!$B$4:$B$503,Planos!$A14,Programação!$I$4:$I$503,"Concluído",Programação!$G$4:$G$503,"&gt;="&amp;DATE(ano_ref,9,1),Programação!$G$4:$G$503,"&lt;="&amp;EOMONTH(DATE(ano_ref,9,1),0))&gt;0,"✔",IF(AND(ISNUMBER(Planos!$G14),IFERROR(INDEX(lst_frequencia_meses,MATCH(Planos!$E14,lst_frequencia,0)),0)&gt;0,(ano_ref*12+9)-(YEAR(Planos!$G14)*12+MONTH(Planos!$G14))&gt;0,MOD((ano_ref*12+9)-(YEAR(Planos!$G14)*12+MONTH(Planos!$G14)),MAX(1,IFERROR(INDEX(lst_frequencia_meses,MATCH(Planos!$E14,lst_frequencia,0)),0)))=0),"●","")))</f>
      </c>
      <c r="M15" s="43">
        <f>IF(NOT(Planos!$A14&lt;&gt;""),"",IF(COUNTIFS(Programação!$B$4:$B$503,Planos!$A14,Programação!$I$4:$I$503,"Concluído",Programação!$G$4:$G$503,"&gt;="&amp;DATE(ano_ref,10,1),Programação!$G$4:$G$503,"&lt;="&amp;EOMONTH(DATE(ano_ref,10,1),0))&gt;0,"✔",IF(AND(ISNUMBER(Planos!$G14),IFERROR(INDEX(lst_frequencia_meses,MATCH(Planos!$E14,lst_frequencia,0)),0)&gt;0,(ano_ref*12+10)-(YEAR(Planos!$G14)*12+MONTH(Planos!$G14))&gt;0,MOD((ano_ref*12+10)-(YEAR(Planos!$G14)*12+MONTH(Planos!$G14)),MAX(1,IFERROR(INDEX(lst_frequencia_meses,MATCH(Planos!$E14,lst_frequencia,0)),0)))=0),"●","")))</f>
      </c>
      <c r="N15" s="43">
        <f>IF(NOT(Planos!$A14&lt;&gt;""),"",IF(COUNTIFS(Programação!$B$4:$B$503,Planos!$A14,Programação!$I$4:$I$503,"Concluído",Programação!$G$4:$G$503,"&gt;="&amp;DATE(ano_ref,11,1),Programação!$G$4:$G$503,"&lt;="&amp;EOMONTH(DATE(ano_ref,11,1),0))&gt;0,"✔",IF(AND(ISNUMBER(Planos!$G14),IFERROR(INDEX(lst_frequencia_meses,MATCH(Planos!$E14,lst_frequencia,0)),0)&gt;0,(ano_ref*12+11)-(YEAR(Planos!$G14)*12+MONTH(Planos!$G14))&gt;0,MOD((ano_ref*12+11)-(YEAR(Planos!$G14)*12+MONTH(Planos!$G14)),MAX(1,IFERROR(INDEX(lst_frequencia_meses,MATCH(Planos!$E14,lst_frequencia,0)),0)))=0),"●","")))</f>
      </c>
      <c r="O15" s="43">
        <f>IF(NOT(Planos!$A14&lt;&gt;""),"",IF(COUNTIFS(Programação!$B$4:$B$503,Planos!$A14,Programação!$I$4:$I$503,"Concluído",Programação!$G$4:$G$503,"&gt;="&amp;DATE(ano_ref,12,1),Programação!$G$4:$G$503,"&lt;="&amp;EOMONTH(DATE(ano_ref,12,1),0))&gt;0,"✔",IF(AND(ISNUMBER(Planos!$G14),IFERROR(INDEX(lst_frequencia_meses,MATCH(Planos!$E14,lst_frequencia,0)),0)&gt;0,(ano_ref*12+12)-(YEAR(Planos!$G14)*12+MONTH(Planos!$G14))&gt;0,MOD((ano_ref*12+12)-(YEAR(Planos!$G14)*12+MONTH(Planos!$G14)),MAX(1,IFERROR(INDEX(lst_frequencia_meses,MATCH(Planos!$E14,lst_frequencia,0)),0)))=0),"●","")))</f>
      </c>
      <c r="P15" s="44">
        <f>IF(COUNTIF(D15:O15,"✔")+COUNTIF(D15:O15,"●")=0,"",COUNTIF(D15:O15,"✔")/(COUNTIF(D15:O15,"✔")+COUNTIF(D15:O15,"●")))</f>
      </c>
    </row>
    <row r="16" spans="1:16" x14ac:dyDescent="0.25">
      <c r="A16" s="43">
        <f>IF(Planos!$A15&lt;&gt;"",Planos!A15&amp;"","")</f>
      </c>
      <c r="B16" s="43">
        <f>IF(Planos!$A15&lt;&gt;"",Planos!B15&amp;"","")</f>
      </c>
      <c r="C16" s="24">
        <f>IF(Planos!$A15&lt;&gt;"",Planos!C15&amp;"","")</f>
      </c>
      <c r="D16" s="43">
        <f>IF(NOT(Planos!$A15&lt;&gt;""),"",IF(COUNTIFS(Programação!$B$4:$B$503,Planos!$A15,Programação!$I$4:$I$503,"Concluído",Programação!$G$4:$G$503,"&gt;="&amp;DATE(ano_ref,1,1),Programação!$G$4:$G$503,"&lt;="&amp;EOMONTH(DATE(ano_ref,1,1),0))&gt;0,"✔",IF(AND(ISNUMBER(Planos!$G15),IFERROR(INDEX(lst_frequencia_meses,MATCH(Planos!$E15,lst_frequencia,0)),0)&gt;0,(ano_ref*12+1)-(YEAR(Planos!$G15)*12+MONTH(Planos!$G15))&gt;0,MOD((ano_ref*12+1)-(YEAR(Planos!$G15)*12+MONTH(Planos!$G15)),MAX(1,IFERROR(INDEX(lst_frequencia_meses,MATCH(Planos!$E15,lst_frequencia,0)),0)))=0),"●","")))</f>
      </c>
      <c r="E16" s="43">
        <f>IF(NOT(Planos!$A15&lt;&gt;""),"",IF(COUNTIFS(Programação!$B$4:$B$503,Planos!$A15,Programação!$I$4:$I$503,"Concluído",Programação!$G$4:$G$503,"&gt;="&amp;DATE(ano_ref,2,1),Programação!$G$4:$G$503,"&lt;="&amp;EOMONTH(DATE(ano_ref,2,1),0))&gt;0,"✔",IF(AND(ISNUMBER(Planos!$G15),IFERROR(INDEX(lst_frequencia_meses,MATCH(Planos!$E15,lst_frequencia,0)),0)&gt;0,(ano_ref*12+2)-(YEAR(Planos!$G15)*12+MONTH(Planos!$G15))&gt;0,MOD((ano_ref*12+2)-(YEAR(Planos!$G15)*12+MONTH(Planos!$G15)),MAX(1,IFERROR(INDEX(lst_frequencia_meses,MATCH(Planos!$E15,lst_frequencia,0)),0)))=0),"●","")))</f>
      </c>
      <c r="F16" s="43">
        <f>IF(NOT(Planos!$A15&lt;&gt;""),"",IF(COUNTIFS(Programação!$B$4:$B$503,Planos!$A15,Programação!$I$4:$I$503,"Concluído",Programação!$G$4:$G$503,"&gt;="&amp;DATE(ano_ref,3,1),Programação!$G$4:$G$503,"&lt;="&amp;EOMONTH(DATE(ano_ref,3,1),0))&gt;0,"✔",IF(AND(ISNUMBER(Planos!$G15),IFERROR(INDEX(lst_frequencia_meses,MATCH(Planos!$E15,lst_frequencia,0)),0)&gt;0,(ano_ref*12+3)-(YEAR(Planos!$G15)*12+MONTH(Planos!$G15))&gt;0,MOD((ano_ref*12+3)-(YEAR(Planos!$G15)*12+MONTH(Planos!$G15)),MAX(1,IFERROR(INDEX(lst_frequencia_meses,MATCH(Planos!$E15,lst_frequencia,0)),0)))=0),"●","")))</f>
      </c>
      <c r="G16" s="43">
        <f>IF(NOT(Planos!$A15&lt;&gt;""),"",IF(COUNTIFS(Programação!$B$4:$B$503,Planos!$A15,Programação!$I$4:$I$503,"Concluído",Programação!$G$4:$G$503,"&gt;="&amp;DATE(ano_ref,4,1),Programação!$G$4:$G$503,"&lt;="&amp;EOMONTH(DATE(ano_ref,4,1),0))&gt;0,"✔",IF(AND(ISNUMBER(Planos!$G15),IFERROR(INDEX(lst_frequencia_meses,MATCH(Planos!$E15,lst_frequencia,0)),0)&gt;0,(ano_ref*12+4)-(YEAR(Planos!$G15)*12+MONTH(Planos!$G15))&gt;0,MOD((ano_ref*12+4)-(YEAR(Planos!$G15)*12+MONTH(Planos!$G15)),MAX(1,IFERROR(INDEX(lst_frequencia_meses,MATCH(Planos!$E15,lst_frequencia,0)),0)))=0),"●","")))</f>
      </c>
      <c r="H16" s="43">
        <f>IF(NOT(Planos!$A15&lt;&gt;""),"",IF(COUNTIFS(Programação!$B$4:$B$503,Planos!$A15,Programação!$I$4:$I$503,"Concluído",Programação!$G$4:$G$503,"&gt;="&amp;DATE(ano_ref,5,1),Programação!$G$4:$G$503,"&lt;="&amp;EOMONTH(DATE(ano_ref,5,1),0))&gt;0,"✔",IF(AND(ISNUMBER(Planos!$G15),IFERROR(INDEX(lst_frequencia_meses,MATCH(Planos!$E15,lst_frequencia,0)),0)&gt;0,(ano_ref*12+5)-(YEAR(Planos!$G15)*12+MONTH(Planos!$G15))&gt;0,MOD((ano_ref*12+5)-(YEAR(Planos!$G15)*12+MONTH(Planos!$G15)),MAX(1,IFERROR(INDEX(lst_frequencia_meses,MATCH(Planos!$E15,lst_frequencia,0)),0)))=0),"●","")))</f>
      </c>
      <c r="I16" s="43">
        <f>IF(NOT(Planos!$A15&lt;&gt;""),"",IF(COUNTIFS(Programação!$B$4:$B$503,Planos!$A15,Programação!$I$4:$I$503,"Concluído",Programação!$G$4:$G$503,"&gt;="&amp;DATE(ano_ref,6,1),Programação!$G$4:$G$503,"&lt;="&amp;EOMONTH(DATE(ano_ref,6,1),0))&gt;0,"✔",IF(AND(ISNUMBER(Planos!$G15),IFERROR(INDEX(lst_frequencia_meses,MATCH(Planos!$E15,lst_frequencia,0)),0)&gt;0,(ano_ref*12+6)-(YEAR(Planos!$G15)*12+MONTH(Planos!$G15))&gt;0,MOD((ano_ref*12+6)-(YEAR(Planos!$G15)*12+MONTH(Planos!$G15)),MAX(1,IFERROR(INDEX(lst_frequencia_meses,MATCH(Planos!$E15,lst_frequencia,0)),0)))=0),"●","")))</f>
      </c>
      <c r="J16" s="43">
        <f>IF(NOT(Planos!$A15&lt;&gt;""),"",IF(COUNTIFS(Programação!$B$4:$B$503,Planos!$A15,Programação!$I$4:$I$503,"Concluído",Programação!$G$4:$G$503,"&gt;="&amp;DATE(ano_ref,7,1),Programação!$G$4:$G$503,"&lt;="&amp;EOMONTH(DATE(ano_ref,7,1),0))&gt;0,"✔",IF(AND(ISNUMBER(Planos!$G15),IFERROR(INDEX(lst_frequencia_meses,MATCH(Planos!$E15,lst_frequencia,0)),0)&gt;0,(ano_ref*12+7)-(YEAR(Planos!$G15)*12+MONTH(Planos!$G15))&gt;0,MOD((ano_ref*12+7)-(YEAR(Planos!$G15)*12+MONTH(Planos!$G15)),MAX(1,IFERROR(INDEX(lst_frequencia_meses,MATCH(Planos!$E15,lst_frequencia,0)),0)))=0),"●","")))</f>
      </c>
      <c r="K16" s="43">
        <f>IF(NOT(Planos!$A15&lt;&gt;""),"",IF(COUNTIFS(Programação!$B$4:$B$503,Planos!$A15,Programação!$I$4:$I$503,"Concluído",Programação!$G$4:$G$503,"&gt;="&amp;DATE(ano_ref,8,1),Programação!$G$4:$G$503,"&lt;="&amp;EOMONTH(DATE(ano_ref,8,1),0))&gt;0,"✔",IF(AND(ISNUMBER(Planos!$G15),IFERROR(INDEX(lst_frequencia_meses,MATCH(Planos!$E15,lst_frequencia,0)),0)&gt;0,(ano_ref*12+8)-(YEAR(Planos!$G15)*12+MONTH(Planos!$G15))&gt;0,MOD((ano_ref*12+8)-(YEAR(Planos!$G15)*12+MONTH(Planos!$G15)),MAX(1,IFERROR(INDEX(lst_frequencia_meses,MATCH(Planos!$E15,lst_frequencia,0)),0)))=0),"●","")))</f>
      </c>
      <c r="L16" s="43">
        <f>IF(NOT(Planos!$A15&lt;&gt;""),"",IF(COUNTIFS(Programação!$B$4:$B$503,Planos!$A15,Programação!$I$4:$I$503,"Concluído",Programação!$G$4:$G$503,"&gt;="&amp;DATE(ano_ref,9,1),Programação!$G$4:$G$503,"&lt;="&amp;EOMONTH(DATE(ano_ref,9,1),0))&gt;0,"✔",IF(AND(ISNUMBER(Planos!$G15),IFERROR(INDEX(lst_frequencia_meses,MATCH(Planos!$E15,lst_frequencia,0)),0)&gt;0,(ano_ref*12+9)-(YEAR(Planos!$G15)*12+MONTH(Planos!$G15))&gt;0,MOD((ano_ref*12+9)-(YEAR(Planos!$G15)*12+MONTH(Planos!$G15)),MAX(1,IFERROR(INDEX(lst_frequencia_meses,MATCH(Planos!$E15,lst_frequencia,0)),0)))=0),"●","")))</f>
      </c>
      <c r="M16" s="43">
        <f>IF(NOT(Planos!$A15&lt;&gt;""),"",IF(COUNTIFS(Programação!$B$4:$B$503,Planos!$A15,Programação!$I$4:$I$503,"Concluído",Programação!$G$4:$G$503,"&gt;="&amp;DATE(ano_ref,10,1),Programação!$G$4:$G$503,"&lt;="&amp;EOMONTH(DATE(ano_ref,10,1),0))&gt;0,"✔",IF(AND(ISNUMBER(Planos!$G15),IFERROR(INDEX(lst_frequencia_meses,MATCH(Planos!$E15,lst_frequencia,0)),0)&gt;0,(ano_ref*12+10)-(YEAR(Planos!$G15)*12+MONTH(Planos!$G15))&gt;0,MOD((ano_ref*12+10)-(YEAR(Planos!$G15)*12+MONTH(Planos!$G15)),MAX(1,IFERROR(INDEX(lst_frequencia_meses,MATCH(Planos!$E15,lst_frequencia,0)),0)))=0),"●","")))</f>
      </c>
      <c r="N16" s="43">
        <f>IF(NOT(Planos!$A15&lt;&gt;""),"",IF(COUNTIFS(Programação!$B$4:$B$503,Planos!$A15,Programação!$I$4:$I$503,"Concluído",Programação!$G$4:$G$503,"&gt;="&amp;DATE(ano_ref,11,1),Programação!$G$4:$G$503,"&lt;="&amp;EOMONTH(DATE(ano_ref,11,1),0))&gt;0,"✔",IF(AND(ISNUMBER(Planos!$G15),IFERROR(INDEX(lst_frequencia_meses,MATCH(Planos!$E15,lst_frequencia,0)),0)&gt;0,(ano_ref*12+11)-(YEAR(Planos!$G15)*12+MONTH(Planos!$G15))&gt;0,MOD((ano_ref*12+11)-(YEAR(Planos!$G15)*12+MONTH(Planos!$G15)),MAX(1,IFERROR(INDEX(lst_frequencia_meses,MATCH(Planos!$E15,lst_frequencia,0)),0)))=0),"●","")))</f>
      </c>
      <c r="O16" s="43">
        <f>IF(NOT(Planos!$A15&lt;&gt;""),"",IF(COUNTIFS(Programação!$B$4:$B$503,Planos!$A15,Programação!$I$4:$I$503,"Concluído",Programação!$G$4:$G$503,"&gt;="&amp;DATE(ano_ref,12,1),Programação!$G$4:$G$503,"&lt;="&amp;EOMONTH(DATE(ano_ref,12,1),0))&gt;0,"✔",IF(AND(ISNUMBER(Planos!$G15),IFERROR(INDEX(lst_frequencia_meses,MATCH(Planos!$E15,lst_frequencia,0)),0)&gt;0,(ano_ref*12+12)-(YEAR(Planos!$G15)*12+MONTH(Planos!$G15))&gt;0,MOD((ano_ref*12+12)-(YEAR(Planos!$G15)*12+MONTH(Planos!$G15)),MAX(1,IFERROR(INDEX(lst_frequencia_meses,MATCH(Planos!$E15,lst_frequencia,0)),0)))=0),"●","")))</f>
      </c>
      <c r="P16" s="44">
        <f>IF(COUNTIF(D16:O16,"✔")+COUNTIF(D16:O16,"●")=0,"",COUNTIF(D16:O16,"✔")/(COUNTIF(D16:O16,"✔")+COUNTIF(D16:O16,"●")))</f>
      </c>
    </row>
    <row r="17" spans="1:16" x14ac:dyDescent="0.25">
      <c r="A17" s="43">
        <f>IF(Planos!$A16&lt;&gt;"",Planos!A16&amp;"","")</f>
      </c>
      <c r="B17" s="43">
        <f>IF(Planos!$A16&lt;&gt;"",Planos!B16&amp;"","")</f>
      </c>
      <c r="C17" s="24">
        <f>IF(Planos!$A16&lt;&gt;"",Planos!C16&amp;"","")</f>
      </c>
      <c r="D17" s="43">
        <f>IF(NOT(Planos!$A16&lt;&gt;""),"",IF(COUNTIFS(Programação!$B$4:$B$503,Planos!$A16,Programação!$I$4:$I$503,"Concluído",Programação!$G$4:$G$503,"&gt;="&amp;DATE(ano_ref,1,1),Programação!$G$4:$G$503,"&lt;="&amp;EOMONTH(DATE(ano_ref,1,1),0))&gt;0,"✔",IF(AND(ISNUMBER(Planos!$G16),IFERROR(INDEX(lst_frequencia_meses,MATCH(Planos!$E16,lst_frequencia,0)),0)&gt;0,(ano_ref*12+1)-(YEAR(Planos!$G16)*12+MONTH(Planos!$G16))&gt;0,MOD((ano_ref*12+1)-(YEAR(Planos!$G16)*12+MONTH(Planos!$G16)),MAX(1,IFERROR(INDEX(lst_frequencia_meses,MATCH(Planos!$E16,lst_frequencia,0)),0)))=0),"●","")))</f>
      </c>
      <c r="E17" s="43">
        <f>IF(NOT(Planos!$A16&lt;&gt;""),"",IF(COUNTIFS(Programação!$B$4:$B$503,Planos!$A16,Programação!$I$4:$I$503,"Concluído",Programação!$G$4:$G$503,"&gt;="&amp;DATE(ano_ref,2,1),Programação!$G$4:$G$503,"&lt;="&amp;EOMONTH(DATE(ano_ref,2,1),0))&gt;0,"✔",IF(AND(ISNUMBER(Planos!$G16),IFERROR(INDEX(lst_frequencia_meses,MATCH(Planos!$E16,lst_frequencia,0)),0)&gt;0,(ano_ref*12+2)-(YEAR(Planos!$G16)*12+MONTH(Planos!$G16))&gt;0,MOD((ano_ref*12+2)-(YEAR(Planos!$G16)*12+MONTH(Planos!$G16)),MAX(1,IFERROR(INDEX(lst_frequencia_meses,MATCH(Planos!$E16,lst_frequencia,0)),0)))=0),"●","")))</f>
      </c>
      <c r="F17" s="43">
        <f>IF(NOT(Planos!$A16&lt;&gt;""),"",IF(COUNTIFS(Programação!$B$4:$B$503,Planos!$A16,Programação!$I$4:$I$503,"Concluído",Programação!$G$4:$G$503,"&gt;="&amp;DATE(ano_ref,3,1),Programação!$G$4:$G$503,"&lt;="&amp;EOMONTH(DATE(ano_ref,3,1),0))&gt;0,"✔",IF(AND(ISNUMBER(Planos!$G16),IFERROR(INDEX(lst_frequencia_meses,MATCH(Planos!$E16,lst_frequencia,0)),0)&gt;0,(ano_ref*12+3)-(YEAR(Planos!$G16)*12+MONTH(Planos!$G16))&gt;0,MOD((ano_ref*12+3)-(YEAR(Planos!$G16)*12+MONTH(Planos!$G16)),MAX(1,IFERROR(INDEX(lst_frequencia_meses,MATCH(Planos!$E16,lst_frequencia,0)),0)))=0),"●","")))</f>
      </c>
      <c r="G17" s="43">
        <f>IF(NOT(Planos!$A16&lt;&gt;""),"",IF(COUNTIFS(Programação!$B$4:$B$503,Planos!$A16,Programação!$I$4:$I$503,"Concluído",Programação!$G$4:$G$503,"&gt;="&amp;DATE(ano_ref,4,1),Programação!$G$4:$G$503,"&lt;="&amp;EOMONTH(DATE(ano_ref,4,1),0))&gt;0,"✔",IF(AND(ISNUMBER(Planos!$G16),IFERROR(INDEX(lst_frequencia_meses,MATCH(Planos!$E16,lst_frequencia,0)),0)&gt;0,(ano_ref*12+4)-(YEAR(Planos!$G16)*12+MONTH(Planos!$G16))&gt;0,MOD((ano_ref*12+4)-(YEAR(Planos!$G16)*12+MONTH(Planos!$G16)),MAX(1,IFERROR(INDEX(lst_frequencia_meses,MATCH(Planos!$E16,lst_frequencia,0)),0)))=0),"●","")))</f>
      </c>
      <c r="H17" s="43">
        <f>IF(NOT(Planos!$A16&lt;&gt;""),"",IF(COUNTIFS(Programação!$B$4:$B$503,Planos!$A16,Programação!$I$4:$I$503,"Concluído",Programação!$G$4:$G$503,"&gt;="&amp;DATE(ano_ref,5,1),Programação!$G$4:$G$503,"&lt;="&amp;EOMONTH(DATE(ano_ref,5,1),0))&gt;0,"✔",IF(AND(ISNUMBER(Planos!$G16),IFERROR(INDEX(lst_frequencia_meses,MATCH(Planos!$E16,lst_frequencia,0)),0)&gt;0,(ano_ref*12+5)-(YEAR(Planos!$G16)*12+MONTH(Planos!$G16))&gt;0,MOD((ano_ref*12+5)-(YEAR(Planos!$G16)*12+MONTH(Planos!$G16)),MAX(1,IFERROR(INDEX(lst_frequencia_meses,MATCH(Planos!$E16,lst_frequencia,0)),0)))=0),"●","")))</f>
      </c>
      <c r="I17" s="43">
        <f>IF(NOT(Planos!$A16&lt;&gt;""),"",IF(COUNTIFS(Programação!$B$4:$B$503,Planos!$A16,Programação!$I$4:$I$503,"Concluído",Programação!$G$4:$G$503,"&gt;="&amp;DATE(ano_ref,6,1),Programação!$G$4:$G$503,"&lt;="&amp;EOMONTH(DATE(ano_ref,6,1),0))&gt;0,"✔",IF(AND(ISNUMBER(Planos!$G16),IFERROR(INDEX(lst_frequencia_meses,MATCH(Planos!$E16,lst_frequencia,0)),0)&gt;0,(ano_ref*12+6)-(YEAR(Planos!$G16)*12+MONTH(Planos!$G16))&gt;0,MOD((ano_ref*12+6)-(YEAR(Planos!$G16)*12+MONTH(Planos!$G16)),MAX(1,IFERROR(INDEX(lst_frequencia_meses,MATCH(Planos!$E16,lst_frequencia,0)),0)))=0),"●","")))</f>
      </c>
      <c r="J17" s="43">
        <f>IF(NOT(Planos!$A16&lt;&gt;""),"",IF(COUNTIFS(Programação!$B$4:$B$503,Planos!$A16,Programação!$I$4:$I$503,"Concluído",Programação!$G$4:$G$503,"&gt;="&amp;DATE(ano_ref,7,1),Programação!$G$4:$G$503,"&lt;="&amp;EOMONTH(DATE(ano_ref,7,1),0))&gt;0,"✔",IF(AND(ISNUMBER(Planos!$G16),IFERROR(INDEX(lst_frequencia_meses,MATCH(Planos!$E16,lst_frequencia,0)),0)&gt;0,(ano_ref*12+7)-(YEAR(Planos!$G16)*12+MONTH(Planos!$G16))&gt;0,MOD((ano_ref*12+7)-(YEAR(Planos!$G16)*12+MONTH(Planos!$G16)),MAX(1,IFERROR(INDEX(lst_frequencia_meses,MATCH(Planos!$E16,lst_frequencia,0)),0)))=0),"●","")))</f>
      </c>
      <c r="K17" s="43">
        <f>IF(NOT(Planos!$A16&lt;&gt;""),"",IF(COUNTIFS(Programação!$B$4:$B$503,Planos!$A16,Programação!$I$4:$I$503,"Concluído",Programação!$G$4:$G$503,"&gt;="&amp;DATE(ano_ref,8,1),Programação!$G$4:$G$503,"&lt;="&amp;EOMONTH(DATE(ano_ref,8,1),0))&gt;0,"✔",IF(AND(ISNUMBER(Planos!$G16),IFERROR(INDEX(lst_frequencia_meses,MATCH(Planos!$E16,lst_frequencia,0)),0)&gt;0,(ano_ref*12+8)-(YEAR(Planos!$G16)*12+MONTH(Planos!$G16))&gt;0,MOD((ano_ref*12+8)-(YEAR(Planos!$G16)*12+MONTH(Planos!$G16)),MAX(1,IFERROR(INDEX(lst_frequencia_meses,MATCH(Planos!$E16,lst_frequencia,0)),0)))=0),"●","")))</f>
      </c>
      <c r="L17" s="43">
        <f>IF(NOT(Planos!$A16&lt;&gt;""),"",IF(COUNTIFS(Programação!$B$4:$B$503,Planos!$A16,Programação!$I$4:$I$503,"Concluído",Programação!$G$4:$G$503,"&gt;="&amp;DATE(ano_ref,9,1),Programação!$G$4:$G$503,"&lt;="&amp;EOMONTH(DATE(ano_ref,9,1),0))&gt;0,"✔",IF(AND(ISNUMBER(Planos!$G16),IFERROR(INDEX(lst_frequencia_meses,MATCH(Planos!$E16,lst_frequencia,0)),0)&gt;0,(ano_ref*12+9)-(YEAR(Planos!$G16)*12+MONTH(Planos!$G16))&gt;0,MOD((ano_ref*12+9)-(YEAR(Planos!$G16)*12+MONTH(Planos!$G16)),MAX(1,IFERROR(INDEX(lst_frequencia_meses,MATCH(Planos!$E16,lst_frequencia,0)),0)))=0),"●","")))</f>
      </c>
      <c r="M17" s="43">
        <f>IF(NOT(Planos!$A16&lt;&gt;""),"",IF(COUNTIFS(Programação!$B$4:$B$503,Planos!$A16,Programação!$I$4:$I$503,"Concluído",Programação!$G$4:$G$503,"&gt;="&amp;DATE(ano_ref,10,1),Programação!$G$4:$G$503,"&lt;="&amp;EOMONTH(DATE(ano_ref,10,1),0))&gt;0,"✔",IF(AND(ISNUMBER(Planos!$G16),IFERROR(INDEX(lst_frequencia_meses,MATCH(Planos!$E16,lst_frequencia,0)),0)&gt;0,(ano_ref*12+10)-(YEAR(Planos!$G16)*12+MONTH(Planos!$G16))&gt;0,MOD((ano_ref*12+10)-(YEAR(Planos!$G16)*12+MONTH(Planos!$G16)),MAX(1,IFERROR(INDEX(lst_frequencia_meses,MATCH(Planos!$E16,lst_frequencia,0)),0)))=0),"●","")))</f>
      </c>
      <c r="N17" s="43">
        <f>IF(NOT(Planos!$A16&lt;&gt;""),"",IF(COUNTIFS(Programação!$B$4:$B$503,Planos!$A16,Programação!$I$4:$I$503,"Concluído",Programação!$G$4:$G$503,"&gt;="&amp;DATE(ano_ref,11,1),Programação!$G$4:$G$503,"&lt;="&amp;EOMONTH(DATE(ano_ref,11,1),0))&gt;0,"✔",IF(AND(ISNUMBER(Planos!$G16),IFERROR(INDEX(lst_frequencia_meses,MATCH(Planos!$E16,lst_frequencia,0)),0)&gt;0,(ano_ref*12+11)-(YEAR(Planos!$G16)*12+MONTH(Planos!$G16))&gt;0,MOD((ano_ref*12+11)-(YEAR(Planos!$G16)*12+MONTH(Planos!$G16)),MAX(1,IFERROR(INDEX(lst_frequencia_meses,MATCH(Planos!$E16,lst_frequencia,0)),0)))=0),"●","")))</f>
      </c>
      <c r="O17" s="43">
        <f>IF(NOT(Planos!$A16&lt;&gt;""),"",IF(COUNTIFS(Programação!$B$4:$B$503,Planos!$A16,Programação!$I$4:$I$503,"Concluído",Programação!$G$4:$G$503,"&gt;="&amp;DATE(ano_ref,12,1),Programação!$G$4:$G$503,"&lt;="&amp;EOMONTH(DATE(ano_ref,12,1),0))&gt;0,"✔",IF(AND(ISNUMBER(Planos!$G16),IFERROR(INDEX(lst_frequencia_meses,MATCH(Planos!$E16,lst_frequencia,0)),0)&gt;0,(ano_ref*12+12)-(YEAR(Planos!$G16)*12+MONTH(Planos!$G16))&gt;0,MOD((ano_ref*12+12)-(YEAR(Planos!$G16)*12+MONTH(Planos!$G16)),MAX(1,IFERROR(INDEX(lst_frequencia_meses,MATCH(Planos!$E16,lst_frequencia,0)),0)))=0),"●","")))</f>
      </c>
      <c r="P17" s="44">
        <f>IF(COUNTIF(D17:O17,"✔")+COUNTIF(D17:O17,"●")=0,"",COUNTIF(D17:O17,"✔")/(COUNTIF(D17:O17,"✔")+COUNTIF(D17:O17,"●")))</f>
      </c>
    </row>
    <row r="18" spans="1:16" x14ac:dyDescent="0.25">
      <c r="A18" s="43">
        <f>IF(Planos!$A17&lt;&gt;"",Planos!A17&amp;"","")</f>
      </c>
      <c r="B18" s="43">
        <f>IF(Planos!$A17&lt;&gt;"",Planos!B17&amp;"","")</f>
      </c>
      <c r="C18" s="24">
        <f>IF(Planos!$A17&lt;&gt;"",Planos!C17&amp;"","")</f>
      </c>
      <c r="D18" s="43">
        <f>IF(NOT(Planos!$A17&lt;&gt;""),"",IF(COUNTIFS(Programação!$B$4:$B$503,Planos!$A17,Programação!$I$4:$I$503,"Concluído",Programação!$G$4:$G$503,"&gt;="&amp;DATE(ano_ref,1,1),Programação!$G$4:$G$503,"&lt;="&amp;EOMONTH(DATE(ano_ref,1,1),0))&gt;0,"✔",IF(AND(ISNUMBER(Planos!$G17),IFERROR(INDEX(lst_frequencia_meses,MATCH(Planos!$E17,lst_frequencia,0)),0)&gt;0,(ano_ref*12+1)-(YEAR(Planos!$G17)*12+MONTH(Planos!$G17))&gt;0,MOD((ano_ref*12+1)-(YEAR(Planos!$G17)*12+MONTH(Planos!$G17)),MAX(1,IFERROR(INDEX(lst_frequencia_meses,MATCH(Planos!$E17,lst_frequencia,0)),0)))=0),"●","")))</f>
      </c>
      <c r="E18" s="43">
        <f>IF(NOT(Planos!$A17&lt;&gt;""),"",IF(COUNTIFS(Programação!$B$4:$B$503,Planos!$A17,Programação!$I$4:$I$503,"Concluído",Programação!$G$4:$G$503,"&gt;="&amp;DATE(ano_ref,2,1),Programação!$G$4:$G$503,"&lt;="&amp;EOMONTH(DATE(ano_ref,2,1),0))&gt;0,"✔",IF(AND(ISNUMBER(Planos!$G17),IFERROR(INDEX(lst_frequencia_meses,MATCH(Planos!$E17,lst_frequencia,0)),0)&gt;0,(ano_ref*12+2)-(YEAR(Planos!$G17)*12+MONTH(Planos!$G17))&gt;0,MOD((ano_ref*12+2)-(YEAR(Planos!$G17)*12+MONTH(Planos!$G17)),MAX(1,IFERROR(INDEX(lst_frequencia_meses,MATCH(Planos!$E17,lst_frequencia,0)),0)))=0),"●","")))</f>
      </c>
      <c r="F18" s="43">
        <f>IF(NOT(Planos!$A17&lt;&gt;""),"",IF(COUNTIFS(Programação!$B$4:$B$503,Planos!$A17,Programação!$I$4:$I$503,"Concluído",Programação!$G$4:$G$503,"&gt;="&amp;DATE(ano_ref,3,1),Programação!$G$4:$G$503,"&lt;="&amp;EOMONTH(DATE(ano_ref,3,1),0))&gt;0,"✔",IF(AND(ISNUMBER(Planos!$G17),IFERROR(INDEX(lst_frequencia_meses,MATCH(Planos!$E17,lst_frequencia,0)),0)&gt;0,(ano_ref*12+3)-(YEAR(Planos!$G17)*12+MONTH(Planos!$G17))&gt;0,MOD((ano_ref*12+3)-(YEAR(Planos!$G17)*12+MONTH(Planos!$G17)),MAX(1,IFERROR(INDEX(lst_frequencia_meses,MATCH(Planos!$E17,lst_frequencia,0)),0)))=0),"●","")))</f>
      </c>
      <c r="G18" s="43">
        <f>IF(NOT(Planos!$A17&lt;&gt;""),"",IF(COUNTIFS(Programação!$B$4:$B$503,Planos!$A17,Programação!$I$4:$I$503,"Concluído",Programação!$G$4:$G$503,"&gt;="&amp;DATE(ano_ref,4,1),Programação!$G$4:$G$503,"&lt;="&amp;EOMONTH(DATE(ano_ref,4,1),0))&gt;0,"✔",IF(AND(ISNUMBER(Planos!$G17),IFERROR(INDEX(lst_frequencia_meses,MATCH(Planos!$E17,lst_frequencia,0)),0)&gt;0,(ano_ref*12+4)-(YEAR(Planos!$G17)*12+MONTH(Planos!$G17))&gt;0,MOD((ano_ref*12+4)-(YEAR(Planos!$G17)*12+MONTH(Planos!$G17)),MAX(1,IFERROR(INDEX(lst_frequencia_meses,MATCH(Planos!$E17,lst_frequencia,0)),0)))=0),"●","")))</f>
      </c>
      <c r="H18" s="43">
        <f>IF(NOT(Planos!$A17&lt;&gt;""),"",IF(COUNTIFS(Programação!$B$4:$B$503,Planos!$A17,Programação!$I$4:$I$503,"Concluído",Programação!$G$4:$G$503,"&gt;="&amp;DATE(ano_ref,5,1),Programação!$G$4:$G$503,"&lt;="&amp;EOMONTH(DATE(ano_ref,5,1),0))&gt;0,"✔",IF(AND(ISNUMBER(Planos!$G17),IFERROR(INDEX(lst_frequencia_meses,MATCH(Planos!$E17,lst_frequencia,0)),0)&gt;0,(ano_ref*12+5)-(YEAR(Planos!$G17)*12+MONTH(Planos!$G17))&gt;0,MOD((ano_ref*12+5)-(YEAR(Planos!$G17)*12+MONTH(Planos!$G17)),MAX(1,IFERROR(INDEX(lst_frequencia_meses,MATCH(Planos!$E17,lst_frequencia,0)),0)))=0),"●","")))</f>
      </c>
      <c r="I18" s="43">
        <f>IF(NOT(Planos!$A17&lt;&gt;""),"",IF(COUNTIFS(Programação!$B$4:$B$503,Planos!$A17,Programação!$I$4:$I$503,"Concluído",Programação!$G$4:$G$503,"&gt;="&amp;DATE(ano_ref,6,1),Programação!$G$4:$G$503,"&lt;="&amp;EOMONTH(DATE(ano_ref,6,1),0))&gt;0,"✔",IF(AND(ISNUMBER(Planos!$G17),IFERROR(INDEX(lst_frequencia_meses,MATCH(Planos!$E17,lst_frequencia,0)),0)&gt;0,(ano_ref*12+6)-(YEAR(Planos!$G17)*12+MONTH(Planos!$G17))&gt;0,MOD((ano_ref*12+6)-(YEAR(Planos!$G17)*12+MONTH(Planos!$G17)),MAX(1,IFERROR(INDEX(lst_frequencia_meses,MATCH(Planos!$E17,lst_frequencia,0)),0)))=0),"●","")))</f>
      </c>
      <c r="J18" s="43">
        <f>IF(NOT(Planos!$A17&lt;&gt;""),"",IF(COUNTIFS(Programação!$B$4:$B$503,Planos!$A17,Programação!$I$4:$I$503,"Concluído",Programação!$G$4:$G$503,"&gt;="&amp;DATE(ano_ref,7,1),Programação!$G$4:$G$503,"&lt;="&amp;EOMONTH(DATE(ano_ref,7,1),0))&gt;0,"✔",IF(AND(ISNUMBER(Planos!$G17),IFERROR(INDEX(lst_frequencia_meses,MATCH(Planos!$E17,lst_frequencia,0)),0)&gt;0,(ano_ref*12+7)-(YEAR(Planos!$G17)*12+MONTH(Planos!$G17))&gt;0,MOD((ano_ref*12+7)-(YEAR(Planos!$G17)*12+MONTH(Planos!$G17)),MAX(1,IFERROR(INDEX(lst_frequencia_meses,MATCH(Planos!$E17,lst_frequencia,0)),0)))=0),"●","")))</f>
      </c>
      <c r="K18" s="43">
        <f>IF(NOT(Planos!$A17&lt;&gt;""),"",IF(COUNTIFS(Programação!$B$4:$B$503,Planos!$A17,Programação!$I$4:$I$503,"Concluído",Programação!$G$4:$G$503,"&gt;="&amp;DATE(ano_ref,8,1),Programação!$G$4:$G$503,"&lt;="&amp;EOMONTH(DATE(ano_ref,8,1),0))&gt;0,"✔",IF(AND(ISNUMBER(Planos!$G17),IFERROR(INDEX(lst_frequencia_meses,MATCH(Planos!$E17,lst_frequencia,0)),0)&gt;0,(ano_ref*12+8)-(YEAR(Planos!$G17)*12+MONTH(Planos!$G17))&gt;0,MOD((ano_ref*12+8)-(YEAR(Planos!$G17)*12+MONTH(Planos!$G17)),MAX(1,IFERROR(INDEX(lst_frequencia_meses,MATCH(Planos!$E17,lst_frequencia,0)),0)))=0),"●","")))</f>
      </c>
      <c r="L18" s="43">
        <f>IF(NOT(Planos!$A17&lt;&gt;""),"",IF(COUNTIFS(Programação!$B$4:$B$503,Planos!$A17,Programação!$I$4:$I$503,"Concluído",Programação!$G$4:$G$503,"&gt;="&amp;DATE(ano_ref,9,1),Programação!$G$4:$G$503,"&lt;="&amp;EOMONTH(DATE(ano_ref,9,1),0))&gt;0,"✔",IF(AND(ISNUMBER(Planos!$G17),IFERROR(INDEX(lst_frequencia_meses,MATCH(Planos!$E17,lst_frequencia,0)),0)&gt;0,(ano_ref*12+9)-(YEAR(Planos!$G17)*12+MONTH(Planos!$G17))&gt;0,MOD((ano_ref*12+9)-(YEAR(Planos!$G17)*12+MONTH(Planos!$G17)),MAX(1,IFERROR(INDEX(lst_frequencia_meses,MATCH(Planos!$E17,lst_frequencia,0)),0)))=0),"●","")))</f>
      </c>
      <c r="M18" s="43">
        <f>IF(NOT(Planos!$A17&lt;&gt;""),"",IF(COUNTIFS(Programação!$B$4:$B$503,Planos!$A17,Programação!$I$4:$I$503,"Concluído",Programação!$G$4:$G$503,"&gt;="&amp;DATE(ano_ref,10,1),Programação!$G$4:$G$503,"&lt;="&amp;EOMONTH(DATE(ano_ref,10,1),0))&gt;0,"✔",IF(AND(ISNUMBER(Planos!$G17),IFERROR(INDEX(lst_frequencia_meses,MATCH(Planos!$E17,lst_frequencia,0)),0)&gt;0,(ano_ref*12+10)-(YEAR(Planos!$G17)*12+MONTH(Planos!$G17))&gt;0,MOD((ano_ref*12+10)-(YEAR(Planos!$G17)*12+MONTH(Planos!$G17)),MAX(1,IFERROR(INDEX(lst_frequencia_meses,MATCH(Planos!$E17,lst_frequencia,0)),0)))=0),"●","")))</f>
      </c>
      <c r="N18" s="43">
        <f>IF(NOT(Planos!$A17&lt;&gt;""),"",IF(COUNTIFS(Programação!$B$4:$B$503,Planos!$A17,Programação!$I$4:$I$503,"Concluído",Programação!$G$4:$G$503,"&gt;="&amp;DATE(ano_ref,11,1),Programação!$G$4:$G$503,"&lt;="&amp;EOMONTH(DATE(ano_ref,11,1),0))&gt;0,"✔",IF(AND(ISNUMBER(Planos!$G17),IFERROR(INDEX(lst_frequencia_meses,MATCH(Planos!$E17,lst_frequencia,0)),0)&gt;0,(ano_ref*12+11)-(YEAR(Planos!$G17)*12+MONTH(Planos!$G17))&gt;0,MOD((ano_ref*12+11)-(YEAR(Planos!$G17)*12+MONTH(Planos!$G17)),MAX(1,IFERROR(INDEX(lst_frequencia_meses,MATCH(Planos!$E17,lst_frequencia,0)),0)))=0),"●","")))</f>
      </c>
      <c r="O18" s="43">
        <f>IF(NOT(Planos!$A17&lt;&gt;""),"",IF(COUNTIFS(Programação!$B$4:$B$503,Planos!$A17,Programação!$I$4:$I$503,"Concluído",Programação!$G$4:$G$503,"&gt;="&amp;DATE(ano_ref,12,1),Programação!$G$4:$G$503,"&lt;="&amp;EOMONTH(DATE(ano_ref,12,1),0))&gt;0,"✔",IF(AND(ISNUMBER(Planos!$G17),IFERROR(INDEX(lst_frequencia_meses,MATCH(Planos!$E17,lst_frequencia,0)),0)&gt;0,(ano_ref*12+12)-(YEAR(Planos!$G17)*12+MONTH(Planos!$G17))&gt;0,MOD((ano_ref*12+12)-(YEAR(Planos!$G17)*12+MONTH(Planos!$G17)),MAX(1,IFERROR(INDEX(lst_frequencia_meses,MATCH(Planos!$E17,lst_frequencia,0)),0)))=0),"●","")))</f>
      </c>
      <c r="P18" s="44">
        <f>IF(COUNTIF(D18:O18,"✔")+COUNTIF(D18:O18,"●")=0,"",COUNTIF(D18:O18,"✔")/(COUNTIF(D18:O18,"✔")+COUNTIF(D18:O18,"●")))</f>
      </c>
    </row>
    <row r="19" spans="1:16" x14ac:dyDescent="0.25">
      <c r="A19" s="43">
        <f>IF(Planos!$A18&lt;&gt;"",Planos!A18&amp;"","")</f>
      </c>
      <c r="B19" s="43">
        <f>IF(Planos!$A18&lt;&gt;"",Planos!B18&amp;"","")</f>
      </c>
      <c r="C19" s="24">
        <f>IF(Planos!$A18&lt;&gt;"",Planos!C18&amp;"","")</f>
      </c>
      <c r="D19" s="43">
        <f>IF(NOT(Planos!$A18&lt;&gt;""),"",IF(COUNTIFS(Programação!$B$4:$B$503,Planos!$A18,Programação!$I$4:$I$503,"Concluído",Programação!$G$4:$G$503,"&gt;="&amp;DATE(ano_ref,1,1),Programação!$G$4:$G$503,"&lt;="&amp;EOMONTH(DATE(ano_ref,1,1),0))&gt;0,"✔",IF(AND(ISNUMBER(Planos!$G18),IFERROR(INDEX(lst_frequencia_meses,MATCH(Planos!$E18,lst_frequencia,0)),0)&gt;0,(ano_ref*12+1)-(YEAR(Planos!$G18)*12+MONTH(Planos!$G18))&gt;0,MOD((ano_ref*12+1)-(YEAR(Planos!$G18)*12+MONTH(Planos!$G18)),MAX(1,IFERROR(INDEX(lst_frequencia_meses,MATCH(Planos!$E18,lst_frequencia,0)),0)))=0),"●","")))</f>
      </c>
      <c r="E19" s="43">
        <f>IF(NOT(Planos!$A18&lt;&gt;""),"",IF(COUNTIFS(Programação!$B$4:$B$503,Planos!$A18,Programação!$I$4:$I$503,"Concluído",Programação!$G$4:$G$503,"&gt;="&amp;DATE(ano_ref,2,1),Programação!$G$4:$G$503,"&lt;="&amp;EOMONTH(DATE(ano_ref,2,1),0))&gt;0,"✔",IF(AND(ISNUMBER(Planos!$G18),IFERROR(INDEX(lst_frequencia_meses,MATCH(Planos!$E18,lst_frequencia,0)),0)&gt;0,(ano_ref*12+2)-(YEAR(Planos!$G18)*12+MONTH(Planos!$G18))&gt;0,MOD((ano_ref*12+2)-(YEAR(Planos!$G18)*12+MONTH(Planos!$G18)),MAX(1,IFERROR(INDEX(lst_frequencia_meses,MATCH(Planos!$E18,lst_frequencia,0)),0)))=0),"●","")))</f>
      </c>
      <c r="F19" s="43">
        <f>IF(NOT(Planos!$A18&lt;&gt;""),"",IF(COUNTIFS(Programação!$B$4:$B$503,Planos!$A18,Programação!$I$4:$I$503,"Concluído",Programação!$G$4:$G$503,"&gt;="&amp;DATE(ano_ref,3,1),Programação!$G$4:$G$503,"&lt;="&amp;EOMONTH(DATE(ano_ref,3,1),0))&gt;0,"✔",IF(AND(ISNUMBER(Planos!$G18),IFERROR(INDEX(lst_frequencia_meses,MATCH(Planos!$E18,lst_frequencia,0)),0)&gt;0,(ano_ref*12+3)-(YEAR(Planos!$G18)*12+MONTH(Planos!$G18))&gt;0,MOD((ano_ref*12+3)-(YEAR(Planos!$G18)*12+MONTH(Planos!$G18)),MAX(1,IFERROR(INDEX(lst_frequencia_meses,MATCH(Planos!$E18,lst_frequencia,0)),0)))=0),"●","")))</f>
      </c>
      <c r="G19" s="43">
        <f>IF(NOT(Planos!$A18&lt;&gt;""),"",IF(COUNTIFS(Programação!$B$4:$B$503,Planos!$A18,Programação!$I$4:$I$503,"Concluído",Programação!$G$4:$G$503,"&gt;="&amp;DATE(ano_ref,4,1),Programação!$G$4:$G$503,"&lt;="&amp;EOMONTH(DATE(ano_ref,4,1),0))&gt;0,"✔",IF(AND(ISNUMBER(Planos!$G18),IFERROR(INDEX(lst_frequencia_meses,MATCH(Planos!$E18,lst_frequencia,0)),0)&gt;0,(ano_ref*12+4)-(YEAR(Planos!$G18)*12+MONTH(Planos!$G18))&gt;0,MOD((ano_ref*12+4)-(YEAR(Planos!$G18)*12+MONTH(Planos!$G18)),MAX(1,IFERROR(INDEX(lst_frequencia_meses,MATCH(Planos!$E18,lst_frequencia,0)),0)))=0),"●","")))</f>
      </c>
      <c r="H19" s="43">
        <f>IF(NOT(Planos!$A18&lt;&gt;""),"",IF(COUNTIFS(Programação!$B$4:$B$503,Planos!$A18,Programação!$I$4:$I$503,"Concluído",Programação!$G$4:$G$503,"&gt;="&amp;DATE(ano_ref,5,1),Programação!$G$4:$G$503,"&lt;="&amp;EOMONTH(DATE(ano_ref,5,1),0))&gt;0,"✔",IF(AND(ISNUMBER(Planos!$G18),IFERROR(INDEX(lst_frequencia_meses,MATCH(Planos!$E18,lst_frequencia,0)),0)&gt;0,(ano_ref*12+5)-(YEAR(Planos!$G18)*12+MONTH(Planos!$G18))&gt;0,MOD((ano_ref*12+5)-(YEAR(Planos!$G18)*12+MONTH(Planos!$G18)),MAX(1,IFERROR(INDEX(lst_frequencia_meses,MATCH(Planos!$E18,lst_frequencia,0)),0)))=0),"●","")))</f>
      </c>
      <c r="I19" s="43">
        <f>IF(NOT(Planos!$A18&lt;&gt;""),"",IF(COUNTIFS(Programação!$B$4:$B$503,Planos!$A18,Programação!$I$4:$I$503,"Concluído",Programação!$G$4:$G$503,"&gt;="&amp;DATE(ano_ref,6,1),Programação!$G$4:$G$503,"&lt;="&amp;EOMONTH(DATE(ano_ref,6,1),0))&gt;0,"✔",IF(AND(ISNUMBER(Planos!$G18),IFERROR(INDEX(lst_frequencia_meses,MATCH(Planos!$E18,lst_frequencia,0)),0)&gt;0,(ano_ref*12+6)-(YEAR(Planos!$G18)*12+MONTH(Planos!$G18))&gt;0,MOD((ano_ref*12+6)-(YEAR(Planos!$G18)*12+MONTH(Planos!$G18)),MAX(1,IFERROR(INDEX(lst_frequencia_meses,MATCH(Planos!$E18,lst_frequencia,0)),0)))=0),"●","")))</f>
      </c>
      <c r="J19" s="43">
        <f>IF(NOT(Planos!$A18&lt;&gt;""),"",IF(COUNTIFS(Programação!$B$4:$B$503,Planos!$A18,Programação!$I$4:$I$503,"Concluído",Programação!$G$4:$G$503,"&gt;="&amp;DATE(ano_ref,7,1),Programação!$G$4:$G$503,"&lt;="&amp;EOMONTH(DATE(ano_ref,7,1),0))&gt;0,"✔",IF(AND(ISNUMBER(Planos!$G18),IFERROR(INDEX(lst_frequencia_meses,MATCH(Planos!$E18,lst_frequencia,0)),0)&gt;0,(ano_ref*12+7)-(YEAR(Planos!$G18)*12+MONTH(Planos!$G18))&gt;0,MOD((ano_ref*12+7)-(YEAR(Planos!$G18)*12+MONTH(Planos!$G18)),MAX(1,IFERROR(INDEX(lst_frequencia_meses,MATCH(Planos!$E18,lst_frequencia,0)),0)))=0),"●","")))</f>
      </c>
      <c r="K19" s="43">
        <f>IF(NOT(Planos!$A18&lt;&gt;""),"",IF(COUNTIFS(Programação!$B$4:$B$503,Planos!$A18,Programação!$I$4:$I$503,"Concluído",Programação!$G$4:$G$503,"&gt;="&amp;DATE(ano_ref,8,1),Programação!$G$4:$G$503,"&lt;="&amp;EOMONTH(DATE(ano_ref,8,1),0))&gt;0,"✔",IF(AND(ISNUMBER(Planos!$G18),IFERROR(INDEX(lst_frequencia_meses,MATCH(Planos!$E18,lst_frequencia,0)),0)&gt;0,(ano_ref*12+8)-(YEAR(Planos!$G18)*12+MONTH(Planos!$G18))&gt;0,MOD((ano_ref*12+8)-(YEAR(Planos!$G18)*12+MONTH(Planos!$G18)),MAX(1,IFERROR(INDEX(lst_frequencia_meses,MATCH(Planos!$E18,lst_frequencia,0)),0)))=0),"●","")))</f>
      </c>
      <c r="L19" s="43">
        <f>IF(NOT(Planos!$A18&lt;&gt;""),"",IF(COUNTIFS(Programação!$B$4:$B$503,Planos!$A18,Programação!$I$4:$I$503,"Concluído",Programação!$G$4:$G$503,"&gt;="&amp;DATE(ano_ref,9,1),Programação!$G$4:$G$503,"&lt;="&amp;EOMONTH(DATE(ano_ref,9,1),0))&gt;0,"✔",IF(AND(ISNUMBER(Planos!$G18),IFERROR(INDEX(lst_frequencia_meses,MATCH(Planos!$E18,lst_frequencia,0)),0)&gt;0,(ano_ref*12+9)-(YEAR(Planos!$G18)*12+MONTH(Planos!$G18))&gt;0,MOD((ano_ref*12+9)-(YEAR(Planos!$G18)*12+MONTH(Planos!$G18)),MAX(1,IFERROR(INDEX(lst_frequencia_meses,MATCH(Planos!$E18,lst_frequencia,0)),0)))=0),"●","")))</f>
      </c>
      <c r="M19" s="43">
        <f>IF(NOT(Planos!$A18&lt;&gt;""),"",IF(COUNTIFS(Programação!$B$4:$B$503,Planos!$A18,Programação!$I$4:$I$503,"Concluído",Programação!$G$4:$G$503,"&gt;="&amp;DATE(ano_ref,10,1),Programação!$G$4:$G$503,"&lt;="&amp;EOMONTH(DATE(ano_ref,10,1),0))&gt;0,"✔",IF(AND(ISNUMBER(Planos!$G18),IFERROR(INDEX(lst_frequencia_meses,MATCH(Planos!$E18,lst_frequencia,0)),0)&gt;0,(ano_ref*12+10)-(YEAR(Planos!$G18)*12+MONTH(Planos!$G18))&gt;0,MOD((ano_ref*12+10)-(YEAR(Planos!$G18)*12+MONTH(Planos!$G18)),MAX(1,IFERROR(INDEX(lst_frequencia_meses,MATCH(Planos!$E18,lst_frequencia,0)),0)))=0),"●","")))</f>
      </c>
      <c r="N19" s="43">
        <f>IF(NOT(Planos!$A18&lt;&gt;""),"",IF(COUNTIFS(Programação!$B$4:$B$503,Planos!$A18,Programação!$I$4:$I$503,"Concluído",Programação!$G$4:$G$503,"&gt;="&amp;DATE(ano_ref,11,1),Programação!$G$4:$G$503,"&lt;="&amp;EOMONTH(DATE(ano_ref,11,1),0))&gt;0,"✔",IF(AND(ISNUMBER(Planos!$G18),IFERROR(INDEX(lst_frequencia_meses,MATCH(Planos!$E18,lst_frequencia,0)),0)&gt;0,(ano_ref*12+11)-(YEAR(Planos!$G18)*12+MONTH(Planos!$G18))&gt;0,MOD((ano_ref*12+11)-(YEAR(Planos!$G18)*12+MONTH(Planos!$G18)),MAX(1,IFERROR(INDEX(lst_frequencia_meses,MATCH(Planos!$E18,lst_frequencia,0)),0)))=0),"●","")))</f>
      </c>
      <c r="O19" s="43">
        <f>IF(NOT(Planos!$A18&lt;&gt;""),"",IF(COUNTIFS(Programação!$B$4:$B$503,Planos!$A18,Programação!$I$4:$I$503,"Concluído",Programação!$G$4:$G$503,"&gt;="&amp;DATE(ano_ref,12,1),Programação!$G$4:$G$503,"&lt;="&amp;EOMONTH(DATE(ano_ref,12,1),0))&gt;0,"✔",IF(AND(ISNUMBER(Planos!$G18),IFERROR(INDEX(lst_frequencia_meses,MATCH(Planos!$E18,lst_frequencia,0)),0)&gt;0,(ano_ref*12+12)-(YEAR(Planos!$G18)*12+MONTH(Planos!$G18))&gt;0,MOD((ano_ref*12+12)-(YEAR(Planos!$G18)*12+MONTH(Planos!$G18)),MAX(1,IFERROR(INDEX(lst_frequencia_meses,MATCH(Planos!$E18,lst_frequencia,0)),0)))=0),"●","")))</f>
      </c>
      <c r="P19" s="44">
        <f>IF(COUNTIF(D19:O19,"✔")+COUNTIF(D19:O19,"●")=0,"",COUNTIF(D19:O19,"✔")/(COUNTIF(D19:O19,"✔")+COUNTIF(D19:O19,"●")))</f>
      </c>
    </row>
    <row r="20" spans="1:16" x14ac:dyDescent="0.25">
      <c r="A20" s="43">
        <f>IF(Planos!$A19&lt;&gt;"",Planos!A19&amp;"","")</f>
      </c>
      <c r="B20" s="43">
        <f>IF(Planos!$A19&lt;&gt;"",Planos!B19&amp;"","")</f>
      </c>
      <c r="C20" s="24">
        <f>IF(Planos!$A19&lt;&gt;"",Planos!C19&amp;"","")</f>
      </c>
      <c r="D20" s="43">
        <f>IF(NOT(Planos!$A19&lt;&gt;""),"",IF(COUNTIFS(Programação!$B$4:$B$503,Planos!$A19,Programação!$I$4:$I$503,"Concluído",Programação!$G$4:$G$503,"&gt;="&amp;DATE(ano_ref,1,1),Programação!$G$4:$G$503,"&lt;="&amp;EOMONTH(DATE(ano_ref,1,1),0))&gt;0,"✔",IF(AND(ISNUMBER(Planos!$G19),IFERROR(INDEX(lst_frequencia_meses,MATCH(Planos!$E19,lst_frequencia,0)),0)&gt;0,(ano_ref*12+1)-(YEAR(Planos!$G19)*12+MONTH(Planos!$G19))&gt;0,MOD((ano_ref*12+1)-(YEAR(Planos!$G19)*12+MONTH(Planos!$G19)),MAX(1,IFERROR(INDEX(lst_frequencia_meses,MATCH(Planos!$E19,lst_frequencia,0)),0)))=0),"●","")))</f>
      </c>
      <c r="E20" s="43">
        <f>IF(NOT(Planos!$A19&lt;&gt;""),"",IF(COUNTIFS(Programação!$B$4:$B$503,Planos!$A19,Programação!$I$4:$I$503,"Concluído",Programação!$G$4:$G$503,"&gt;="&amp;DATE(ano_ref,2,1),Programação!$G$4:$G$503,"&lt;="&amp;EOMONTH(DATE(ano_ref,2,1),0))&gt;0,"✔",IF(AND(ISNUMBER(Planos!$G19),IFERROR(INDEX(lst_frequencia_meses,MATCH(Planos!$E19,lst_frequencia,0)),0)&gt;0,(ano_ref*12+2)-(YEAR(Planos!$G19)*12+MONTH(Planos!$G19))&gt;0,MOD((ano_ref*12+2)-(YEAR(Planos!$G19)*12+MONTH(Planos!$G19)),MAX(1,IFERROR(INDEX(lst_frequencia_meses,MATCH(Planos!$E19,lst_frequencia,0)),0)))=0),"●","")))</f>
      </c>
      <c r="F20" s="43">
        <f>IF(NOT(Planos!$A19&lt;&gt;""),"",IF(COUNTIFS(Programação!$B$4:$B$503,Planos!$A19,Programação!$I$4:$I$503,"Concluído",Programação!$G$4:$G$503,"&gt;="&amp;DATE(ano_ref,3,1),Programação!$G$4:$G$503,"&lt;="&amp;EOMONTH(DATE(ano_ref,3,1),0))&gt;0,"✔",IF(AND(ISNUMBER(Planos!$G19),IFERROR(INDEX(lst_frequencia_meses,MATCH(Planos!$E19,lst_frequencia,0)),0)&gt;0,(ano_ref*12+3)-(YEAR(Planos!$G19)*12+MONTH(Planos!$G19))&gt;0,MOD((ano_ref*12+3)-(YEAR(Planos!$G19)*12+MONTH(Planos!$G19)),MAX(1,IFERROR(INDEX(lst_frequencia_meses,MATCH(Planos!$E19,lst_frequencia,0)),0)))=0),"●","")))</f>
      </c>
      <c r="G20" s="43">
        <f>IF(NOT(Planos!$A19&lt;&gt;""),"",IF(COUNTIFS(Programação!$B$4:$B$503,Planos!$A19,Programação!$I$4:$I$503,"Concluído",Programação!$G$4:$G$503,"&gt;="&amp;DATE(ano_ref,4,1),Programação!$G$4:$G$503,"&lt;="&amp;EOMONTH(DATE(ano_ref,4,1),0))&gt;0,"✔",IF(AND(ISNUMBER(Planos!$G19),IFERROR(INDEX(lst_frequencia_meses,MATCH(Planos!$E19,lst_frequencia,0)),0)&gt;0,(ano_ref*12+4)-(YEAR(Planos!$G19)*12+MONTH(Planos!$G19))&gt;0,MOD((ano_ref*12+4)-(YEAR(Planos!$G19)*12+MONTH(Planos!$G19)),MAX(1,IFERROR(INDEX(lst_frequencia_meses,MATCH(Planos!$E19,lst_frequencia,0)),0)))=0),"●","")))</f>
      </c>
      <c r="H20" s="43">
        <f>IF(NOT(Planos!$A19&lt;&gt;""),"",IF(COUNTIFS(Programação!$B$4:$B$503,Planos!$A19,Programação!$I$4:$I$503,"Concluído",Programação!$G$4:$G$503,"&gt;="&amp;DATE(ano_ref,5,1),Programação!$G$4:$G$503,"&lt;="&amp;EOMONTH(DATE(ano_ref,5,1),0))&gt;0,"✔",IF(AND(ISNUMBER(Planos!$G19),IFERROR(INDEX(lst_frequencia_meses,MATCH(Planos!$E19,lst_frequencia,0)),0)&gt;0,(ano_ref*12+5)-(YEAR(Planos!$G19)*12+MONTH(Planos!$G19))&gt;0,MOD((ano_ref*12+5)-(YEAR(Planos!$G19)*12+MONTH(Planos!$G19)),MAX(1,IFERROR(INDEX(lst_frequencia_meses,MATCH(Planos!$E19,lst_frequencia,0)),0)))=0),"●","")))</f>
      </c>
      <c r="I20" s="43">
        <f>IF(NOT(Planos!$A19&lt;&gt;""),"",IF(COUNTIFS(Programação!$B$4:$B$503,Planos!$A19,Programação!$I$4:$I$503,"Concluído",Programação!$G$4:$G$503,"&gt;="&amp;DATE(ano_ref,6,1),Programação!$G$4:$G$503,"&lt;="&amp;EOMONTH(DATE(ano_ref,6,1),0))&gt;0,"✔",IF(AND(ISNUMBER(Planos!$G19),IFERROR(INDEX(lst_frequencia_meses,MATCH(Planos!$E19,lst_frequencia,0)),0)&gt;0,(ano_ref*12+6)-(YEAR(Planos!$G19)*12+MONTH(Planos!$G19))&gt;0,MOD((ano_ref*12+6)-(YEAR(Planos!$G19)*12+MONTH(Planos!$G19)),MAX(1,IFERROR(INDEX(lst_frequencia_meses,MATCH(Planos!$E19,lst_frequencia,0)),0)))=0),"●","")))</f>
      </c>
      <c r="J20" s="43">
        <f>IF(NOT(Planos!$A19&lt;&gt;""),"",IF(COUNTIFS(Programação!$B$4:$B$503,Planos!$A19,Programação!$I$4:$I$503,"Concluído",Programação!$G$4:$G$503,"&gt;="&amp;DATE(ano_ref,7,1),Programação!$G$4:$G$503,"&lt;="&amp;EOMONTH(DATE(ano_ref,7,1),0))&gt;0,"✔",IF(AND(ISNUMBER(Planos!$G19),IFERROR(INDEX(lst_frequencia_meses,MATCH(Planos!$E19,lst_frequencia,0)),0)&gt;0,(ano_ref*12+7)-(YEAR(Planos!$G19)*12+MONTH(Planos!$G19))&gt;0,MOD((ano_ref*12+7)-(YEAR(Planos!$G19)*12+MONTH(Planos!$G19)),MAX(1,IFERROR(INDEX(lst_frequencia_meses,MATCH(Planos!$E19,lst_frequencia,0)),0)))=0),"●","")))</f>
      </c>
      <c r="K20" s="43">
        <f>IF(NOT(Planos!$A19&lt;&gt;""),"",IF(COUNTIFS(Programação!$B$4:$B$503,Planos!$A19,Programação!$I$4:$I$503,"Concluído",Programação!$G$4:$G$503,"&gt;="&amp;DATE(ano_ref,8,1),Programação!$G$4:$G$503,"&lt;="&amp;EOMONTH(DATE(ano_ref,8,1),0))&gt;0,"✔",IF(AND(ISNUMBER(Planos!$G19),IFERROR(INDEX(lst_frequencia_meses,MATCH(Planos!$E19,lst_frequencia,0)),0)&gt;0,(ano_ref*12+8)-(YEAR(Planos!$G19)*12+MONTH(Planos!$G19))&gt;0,MOD((ano_ref*12+8)-(YEAR(Planos!$G19)*12+MONTH(Planos!$G19)),MAX(1,IFERROR(INDEX(lst_frequencia_meses,MATCH(Planos!$E19,lst_frequencia,0)),0)))=0),"●","")))</f>
      </c>
      <c r="L20" s="43">
        <f>IF(NOT(Planos!$A19&lt;&gt;""),"",IF(COUNTIFS(Programação!$B$4:$B$503,Planos!$A19,Programação!$I$4:$I$503,"Concluído",Programação!$G$4:$G$503,"&gt;="&amp;DATE(ano_ref,9,1),Programação!$G$4:$G$503,"&lt;="&amp;EOMONTH(DATE(ano_ref,9,1),0))&gt;0,"✔",IF(AND(ISNUMBER(Planos!$G19),IFERROR(INDEX(lst_frequencia_meses,MATCH(Planos!$E19,lst_frequencia,0)),0)&gt;0,(ano_ref*12+9)-(YEAR(Planos!$G19)*12+MONTH(Planos!$G19))&gt;0,MOD((ano_ref*12+9)-(YEAR(Planos!$G19)*12+MONTH(Planos!$G19)),MAX(1,IFERROR(INDEX(lst_frequencia_meses,MATCH(Planos!$E19,lst_frequencia,0)),0)))=0),"●","")))</f>
      </c>
      <c r="M20" s="43">
        <f>IF(NOT(Planos!$A19&lt;&gt;""),"",IF(COUNTIFS(Programação!$B$4:$B$503,Planos!$A19,Programação!$I$4:$I$503,"Concluído",Programação!$G$4:$G$503,"&gt;="&amp;DATE(ano_ref,10,1),Programação!$G$4:$G$503,"&lt;="&amp;EOMONTH(DATE(ano_ref,10,1),0))&gt;0,"✔",IF(AND(ISNUMBER(Planos!$G19),IFERROR(INDEX(lst_frequencia_meses,MATCH(Planos!$E19,lst_frequencia,0)),0)&gt;0,(ano_ref*12+10)-(YEAR(Planos!$G19)*12+MONTH(Planos!$G19))&gt;0,MOD((ano_ref*12+10)-(YEAR(Planos!$G19)*12+MONTH(Planos!$G19)),MAX(1,IFERROR(INDEX(lst_frequencia_meses,MATCH(Planos!$E19,lst_frequencia,0)),0)))=0),"●","")))</f>
      </c>
      <c r="N20" s="43">
        <f>IF(NOT(Planos!$A19&lt;&gt;""),"",IF(COUNTIFS(Programação!$B$4:$B$503,Planos!$A19,Programação!$I$4:$I$503,"Concluído",Programação!$G$4:$G$503,"&gt;="&amp;DATE(ano_ref,11,1),Programação!$G$4:$G$503,"&lt;="&amp;EOMONTH(DATE(ano_ref,11,1),0))&gt;0,"✔",IF(AND(ISNUMBER(Planos!$G19),IFERROR(INDEX(lst_frequencia_meses,MATCH(Planos!$E19,lst_frequencia,0)),0)&gt;0,(ano_ref*12+11)-(YEAR(Planos!$G19)*12+MONTH(Planos!$G19))&gt;0,MOD((ano_ref*12+11)-(YEAR(Planos!$G19)*12+MONTH(Planos!$G19)),MAX(1,IFERROR(INDEX(lst_frequencia_meses,MATCH(Planos!$E19,lst_frequencia,0)),0)))=0),"●","")))</f>
      </c>
      <c r="O20" s="43">
        <f>IF(NOT(Planos!$A19&lt;&gt;""),"",IF(COUNTIFS(Programação!$B$4:$B$503,Planos!$A19,Programação!$I$4:$I$503,"Concluído",Programação!$G$4:$G$503,"&gt;="&amp;DATE(ano_ref,12,1),Programação!$G$4:$G$503,"&lt;="&amp;EOMONTH(DATE(ano_ref,12,1),0))&gt;0,"✔",IF(AND(ISNUMBER(Planos!$G19),IFERROR(INDEX(lst_frequencia_meses,MATCH(Planos!$E19,lst_frequencia,0)),0)&gt;0,(ano_ref*12+12)-(YEAR(Planos!$G19)*12+MONTH(Planos!$G19))&gt;0,MOD((ano_ref*12+12)-(YEAR(Planos!$G19)*12+MONTH(Planos!$G19)),MAX(1,IFERROR(INDEX(lst_frequencia_meses,MATCH(Planos!$E19,lst_frequencia,0)),0)))=0),"●","")))</f>
      </c>
      <c r="P20" s="44">
        <f>IF(COUNTIF(D20:O20,"✔")+COUNTIF(D20:O20,"●")=0,"",COUNTIF(D20:O20,"✔")/(COUNTIF(D20:O20,"✔")+COUNTIF(D20:O20,"●")))</f>
      </c>
    </row>
    <row r="21" spans="1:16" x14ac:dyDescent="0.25">
      <c r="A21" s="43">
        <f>IF(Planos!$A20&lt;&gt;"",Planos!A20&amp;"","")</f>
      </c>
      <c r="B21" s="43">
        <f>IF(Planos!$A20&lt;&gt;"",Planos!B20&amp;"","")</f>
      </c>
      <c r="C21" s="24">
        <f>IF(Planos!$A20&lt;&gt;"",Planos!C20&amp;"","")</f>
      </c>
      <c r="D21" s="43">
        <f>IF(NOT(Planos!$A20&lt;&gt;""),"",IF(COUNTIFS(Programação!$B$4:$B$503,Planos!$A20,Programação!$I$4:$I$503,"Concluído",Programação!$G$4:$G$503,"&gt;="&amp;DATE(ano_ref,1,1),Programação!$G$4:$G$503,"&lt;="&amp;EOMONTH(DATE(ano_ref,1,1),0))&gt;0,"✔",IF(AND(ISNUMBER(Planos!$G20),IFERROR(INDEX(lst_frequencia_meses,MATCH(Planos!$E20,lst_frequencia,0)),0)&gt;0,(ano_ref*12+1)-(YEAR(Planos!$G20)*12+MONTH(Planos!$G20))&gt;0,MOD((ano_ref*12+1)-(YEAR(Planos!$G20)*12+MONTH(Planos!$G20)),MAX(1,IFERROR(INDEX(lst_frequencia_meses,MATCH(Planos!$E20,lst_frequencia,0)),0)))=0),"●","")))</f>
      </c>
      <c r="E21" s="43">
        <f>IF(NOT(Planos!$A20&lt;&gt;""),"",IF(COUNTIFS(Programação!$B$4:$B$503,Planos!$A20,Programação!$I$4:$I$503,"Concluído",Programação!$G$4:$G$503,"&gt;="&amp;DATE(ano_ref,2,1),Programação!$G$4:$G$503,"&lt;="&amp;EOMONTH(DATE(ano_ref,2,1),0))&gt;0,"✔",IF(AND(ISNUMBER(Planos!$G20),IFERROR(INDEX(lst_frequencia_meses,MATCH(Planos!$E20,lst_frequencia,0)),0)&gt;0,(ano_ref*12+2)-(YEAR(Planos!$G20)*12+MONTH(Planos!$G20))&gt;0,MOD((ano_ref*12+2)-(YEAR(Planos!$G20)*12+MONTH(Planos!$G20)),MAX(1,IFERROR(INDEX(lst_frequencia_meses,MATCH(Planos!$E20,lst_frequencia,0)),0)))=0),"●","")))</f>
      </c>
      <c r="F21" s="43">
        <f>IF(NOT(Planos!$A20&lt;&gt;""),"",IF(COUNTIFS(Programação!$B$4:$B$503,Planos!$A20,Programação!$I$4:$I$503,"Concluído",Programação!$G$4:$G$503,"&gt;="&amp;DATE(ano_ref,3,1),Programação!$G$4:$G$503,"&lt;="&amp;EOMONTH(DATE(ano_ref,3,1),0))&gt;0,"✔",IF(AND(ISNUMBER(Planos!$G20),IFERROR(INDEX(lst_frequencia_meses,MATCH(Planos!$E20,lst_frequencia,0)),0)&gt;0,(ano_ref*12+3)-(YEAR(Planos!$G20)*12+MONTH(Planos!$G20))&gt;0,MOD((ano_ref*12+3)-(YEAR(Planos!$G20)*12+MONTH(Planos!$G20)),MAX(1,IFERROR(INDEX(lst_frequencia_meses,MATCH(Planos!$E20,lst_frequencia,0)),0)))=0),"●","")))</f>
      </c>
      <c r="G21" s="43">
        <f>IF(NOT(Planos!$A20&lt;&gt;""),"",IF(COUNTIFS(Programação!$B$4:$B$503,Planos!$A20,Programação!$I$4:$I$503,"Concluído",Programação!$G$4:$G$503,"&gt;="&amp;DATE(ano_ref,4,1),Programação!$G$4:$G$503,"&lt;="&amp;EOMONTH(DATE(ano_ref,4,1),0))&gt;0,"✔",IF(AND(ISNUMBER(Planos!$G20),IFERROR(INDEX(lst_frequencia_meses,MATCH(Planos!$E20,lst_frequencia,0)),0)&gt;0,(ano_ref*12+4)-(YEAR(Planos!$G20)*12+MONTH(Planos!$G20))&gt;0,MOD((ano_ref*12+4)-(YEAR(Planos!$G20)*12+MONTH(Planos!$G20)),MAX(1,IFERROR(INDEX(lst_frequencia_meses,MATCH(Planos!$E20,lst_frequencia,0)),0)))=0),"●","")))</f>
      </c>
      <c r="H21" s="43">
        <f>IF(NOT(Planos!$A20&lt;&gt;""),"",IF(COUNTIFS(Programação!$B$4:$B$503,Planos!$A20,Programação!$I$4:$I$503,"Concluído",Programação!$G$4:$G$503,"&gt;="&amp;DATE(ano_ref,5,1),Programação!$G$4:$G$503,"&lt;="&amp;EOMONTH(DATE(ano_ref,5,1),0))&gt;0,"✔",IF(AND(ISNUMBER(Planos!$G20),IFERROR(INDEX(lst_frequencia_meses,MATCH(Planos!$E20,lst_frequencia,0)),0)&gt;0,(ano_ref*12+5)-(YEAR(Planos!$G20)*12+MONTH(Planos!$G20))&gt;0,MOD((ano_ref*12+5)-(YEAR(Planos!$G20)*12+MONTH(Planos!$G20)),MAX(1,IFERROR(INDEX(lst_frequencia_meses,MATCH(Planos!$E20,lst_frequencia,0)),0)))=0),"●","")))</f>
      </c>
      <c r="I21" s="43">
        <f>IF(NOT(Planos!$A20&lt;&gt;""),"",IF(COUNTIFS(Programação!$B$4:$B$503,Planos!$A20,Programação!$I$4:$I$503,"Concluído",Programação!$G$4:$G$503,"&gt;="&amp;DATE(ano_ref,6,1),Programação!$G$4:$G$503,"&lt;="&amp;EOMONTH(DATE(ano_ref,6,1),0))&gt;0,"✔",IF(AND(ISNUMBER(Planos!$G20),IFERROR(INDEX(lst_frequencia_meses,MATCH(Planos!$E20,lst_frequencia,0)),0)&gt;0,(ano_ref*12+6)-(YEAR(Planos!$G20)*12+MONTH(Planos!$G20))&gt;0,MOD((ano_ref*12+6)-(YEAR(Planos!$G20)*12+MONTH(Planos!$G20)),MAX(1,IFERROR(INDEX(lst_frequencia_meses,MATCH(Planos!$E20,lst_frequencia,0)),0)))=0),"●","")))</f>
      </c>
      <c r="J21" s="43">
        <f>IF(NOT(Planos!$A20&lt;&gt;""),"",IF(COUNTIFS(Programação!$B$4:$B$503,Planos!$A20,Programação!$I$4:$I$503,"Concluído",Programação!$G$4:$G$503,"&gt;="&amp;DATE(ano_ref,7,1),Programação!$G$4:$G$503,"&lt;="&amp;EOMONTH(DATE(ano_ref,7,1),0))&gt;0,"✔",IF(AND(ISNUMBER(Planos!$G20),IFERROR(INDEX(lst_frequencia_meses,MATCH(Planos!$E20,lst_frequencia,0)),0)&gt;0,(ano_ref*12+7)-(YEAR(Planos!$G20)*12+MONTH(Planos!$G20))&gt;0,MOD((ano_ref*12+7)-(YEAR(Planos!$G20)*12+MONTH(Planos!$G20)),MAX(1,IFERROR(INDEX(lst_frequencia_meses,MATCH(Planos!$E20,lst_frequencia,0)),0)))=0),"●","")))</f>
      </c>
      <c r="K21" s="43">
        <f>IF(NOT(Planos!$A20&lt;&gt;""),"",IF(COUNTIFS(Programação!$B$4:$B$503,Planos!$A20,Programação!$I$4:$I$503,"Concluído",Programação!$G$4:$G$503,"&gt;="&amp;DATE(ano_ref,8,1),Programação!$G$4:$G$503,"&lt;="&amp;EOMONTH(DATE(ano_ref,8,1),0))&gt;0,"✔",IF(AND(ISNUMBER(Planos!$G20),IFERROR(INDEX(lst_frequencia_meses,MATCH(Planos!$E20,lst_frequencia,0)),0)&gt;0,(ano_ref*12+8)-(YEAR(Planos!$G20)*12+MONTH(Planos!$G20))&gt;0,MOD((ano_ref*12+8)-(YEAR(Planos!$G20)*12+MONTH(Planos!$G20)),MAX(1,IFERROR(INDEX(lst_frequencia_meses,MATCH(Planos!$E20,lst_frequencia,0)),0)))=0),"●","")))</f>
      </c>
      <c r="L21" s="43">
        <f>IF(NOT(Planos!$A20&lt;&gt;""),"",IF(COUNTIFS(Programação!$B$4:$B$503,Planos!$A20,Programação!$I$4:$I$503,"Concluído",Programação!$G$4:$G$503,"&gt;="&amp;DATE(ano_ref,9,1),Programação!$G$4:$G$503,"&lt;="&amp;EOMONTH(DATE(ano_ref,9,1),0))&gt;0,"✔",IF(AND(ISNUMBER(Planos!$G20),IFERROR(INDEX(lst_frequencia_meses,MATCH(Planos!$E20,lst_frequencia,0)),0)&gt;0,(ano_ref*12+9)-(YEAR(Planos!$G20)*12+MONTH(Planos!$G20))&gt;0,MOD((ano_ref*12+9)-(YEAR(Planos!$G20)*12+MONTH(Planos!$G20)),MAX(1,IFERROR(INDEX(lst_frequencia_meses,MATCH(Planos!$E20,lst_frequencia,0)),0)))=0),"●","")))</f>
      </c>
      <c r="M21" s="43">
        <f>IF(NOT(Planos!$A20&lt;&gt;""),"",IF(COUNTIFS(Programação!$B$4:$B$503,Planos!$A20,Programação!$I$4:$I$503,"Concluído",Programação!$G$4:$G$503,"&gt;="&amp;DATE(ano_ref,10,1),Programação!$G$4:$G$503,"&lt;="&amp;EOMONTH(DATE(ano_ref,10,1),0))&gt;0,"✔",IF(AND(ISNUMBER(Planos!$G20),IFERROR(INDEX(lst_frequencia_meses,MATCH(Planos!$E20,lst_frequencia,0)),0)&gt;0,(ano_ref*12+10)-(YEAR(Planos!$G20)*12+MONTH(Planos!$G20))&gt;0,MOD((ano_ref*12+10)-(YEAR(Planos!$G20)*12+MONTH(Planos!$G20)),MAX(1,IFERROR(INDEX(lst_frequencia_meses,MATCH(Planos!$E20,lst_frequencia,0)),0)))=0),"●","")))</f>
      </c>
      <c r="N21" s="43">
        <f>IF(NOT(Planos!$A20&lt;&gt;""),"",IF(COUNTIFS(Programação!$B$4:$B$503,Planos!$A20,Programação!$I$4:$I$503,"Concluído",Programação!$G$4:$G$503,"&gt;="&amp;DATE(ano_ref,11,1),Programação!$G$4:$G$503,"&lt;="&amp;EOMONTH(DATE(ano_ref,11,1),0))&gt;0,"✔",IF(AND(ISNUMBER(Planos!$G20),IFERROR(INDEX(lst_frequencia_meses,MATCH(Planos!$E20,lst_frequencia,0)),0)&gt;0,(ano_ref*12+11)-(YEAR(Planos!$G20)*12+MONTH(Planos!$G20))&gt;0,MOD((ano_ref*12+11)-(YEAR(Planos!$G20)*12+MONTH(Planos!$G20)),MAX(1,IFERROR(INDEX(lst_frequencia_meses,MATCH(Planos!$E20,lst_frequencia,0)),0)))=0),"●","")))</f>
      </c>
      <c r="O21" s="43">
        <f>IF(NOT(Planos!$A20&lt;&gt;""),"",IF(COUNTIFS(Programação!$B$4:$B$503,Planos!$A20,Programação!$I$4:$I$503,"Concluído",Programação!$G$4:$G$503,"&gt;="&amp;DATE(ano_ref,12,1),Programação!$G$4:$G$503,"&lt;="&amp;EOMONTH(DATE(ano_ref,12,1),0))&gt;0,"✔",IF(AND(ISNUMBER(Planos!$G20),IFERROR(INDEX(lst_frequencia_meses,MATCH(Planos!$E20,lst_frequencia,0)),0)&gt;0,(ano_ref*12+12)-(YEAR(Planos!$G20)*12+MONTH(Planos!$G20))&gt;0,MOD((ano_ref*12+12)-(YEAR(Planos!$G20)*12+MONTH(Planos!$G20)),MAX(1,IFERROR(INDEX(lst_frequencia_meses,MATCH(Planos!$E20,lst_frequencia,0)),0)))=0),"●","")))</f>
      </c>
      <c r="P21" s="44">
        <f>IF(COUNTIF(D21:O21,"✔")+COUNTIF(D21:O21,"●")=0,"",COUNTIF(D21:O21,"✔")/(COUNTIF(D21:O21,"✔")+COUNTIF(D21:O21,"●")))</f>
      </c>
    </row>
    <row r="22" spans="1:16" x14ac:dyDescent="0.25">
      <c r="A22" s="43">
        <f>IF(Planos!$A21&lt;&gt;"",Planos!A21&amp;"","")</f>
      </c>
      <c r="B22" s="43">
        <f>IF(Planos!$A21&lt;&gt;"",Planos!B21&amp;"","")</f>
      </c>
      <c r="C22" s="24">
        <f>IF(Planos!$A21&lt;&gt;"",Planos!C21&amp;"","")</f>
      </c>
      <c r="D22" s="43">
        <f>IF(NOT(Planos!$A21&lt;&gt;""),"",IF(COUNTIFS(Programação!$B$4:$B$503,Planos!$A21,Programação!$I$4:$I$503,"Concluído",Programação!$G$4:$G$503,"&gt;="&amp;DATE(ano_ref,1,1),Programação!$G$4:$G$503,"&lt;="&amp;EOMONTH(DATE(ano_ref,1,1),0))&gt;0,"✔",IF(AND(ISNUMBER(Planos!$G21),IFERROR(INDEX(lst_frequencia_meses,MATCH(Planos!$E21,lst_frequencia,0)),0)&gt;0,(ano_ref*12+1)-(YEAR(Planos!$G21)*12+MONTH(Planos!$G21))&gt;0,MOD((ano_ref*12+1)-(YEAR(Planos!$G21)*12+MONTH(Planos!$G21)),MAX(1,IFERROR(INDEX(lst_frequencia_meses,MATCH(Planos!$E21,lst_frequencia,0)),0)))=0),"●","")))</f>
      </c>
      <c r="E22" s="43">
        <f>IF(NOT(Planos!$A21&lt;&gt;""),"",IF(COUNTIFS(Programação!$B$4:$B$503,Planos!$A21,Programação!$I$4:$I$503,"Concluído",Programação!$G$4:$G$503,"&gt;="&amp;DATE(ano_ref,2,1),Programação!$G$4:$G$503,"&lt;="&amp;EOMONTH(DATE(ano_ref,2,1),0))&gt;0,"✔",IF(AND(ISNUMBER(Planos!$G21),IFERROR(INDEX(lst_frequencia_meses,MATCH(Planos!$E21,lst_frequencia,0)),0)&gt;0,(ano_ref*12+2)-(YEAR(Planos!$G21)*12+MONTH(Planos!$G21))&gt;0,MOD((ano_ref*12+2)-(YEAR(Planos!$G21)*12+MONTH(Planos!$G21)),MAX(1,IFERROR(INDEX(lst_frequencia_meses,MATCH(Planos!$E21,lst_frequencia,0)),0)))=0),"●","")))</f>
      </c>
      <c r="F22" s="43">
        <f>IF(NOT(Planos!$A21&lt;&gt;""),"",IF(COUNTIFS(Programação!$B$4:$B$503,Planos!$A21,Programação!$I$4:$I$503,"Concluído",Programação!$G$4:$G$503,"&gt;="&amp;DATE(ano_ref,3,1),Programação!$G$4:$G$503,"&lt;="&amp;EOMONTH(DATE(ano_ref,3,1),0))&gt;0,"✔",IF(AND(ISNUMBER(Planos!$G21),IFERROR(INDEX(lst_frequencia_meses,MATCH(Planos!$E21,lst_frequencia,0)),0)&gt;0,(ano_ref*12+3)-(YEAR(Planos!$G21)*12+MONTH(Planos!$G21))&gt;0,MOD((ano_ref*12+3)-(YEAR(Planos!$G21)*12+MONTH(Planos!$G21)),MAX(1,IFERROR(INDEX(lst_frequencia_meses,MATCH(Planos!$E21,lst_frequencia,0)),0)))=0),"●","")))</f>
      </c>
      <c r="G22" s="43">
        <f>IF(NOT(Planos!$A21&lt;&gt;""),"",IF(COUNTIFS(Programação!$B$4:$B$503,Planos!$A21,Programação!$I$4:$I$503,"Concluído",Programação!$G$4:$G$503,"&gt;="&amp;DATE(ano_ref,4,1),Programação!$G$4:$G$503,"&lt;="&amp;EOMONTH(DATE(ano_ref,4,1),0))&gt;0,"✔",IF(AND(ISNUMBER(Planos!$G21),IFERROR(INDEX(lst_frequencia_meses,MATCH(Planos!$E21,lst_frequencia,0)),0)&gt;0,(ano_ref*12+4)-(YEAR(Planos!$G21)*12+MONTH(Planos!$G21))&gt;0,MOD((ano_ref*12+4)-(YEAR(Planos!$G21)*12+MONTH(Planos!$G21)),MAX(1,IFERROR(INDEX(lst_frequencia_meses,MATCH(Planos!$E21,lst_frequencia,0)),0)))=0),"●","")))</f>
      </c>
      <c r="H22" s="43">
        <f>IF(NOT(Planos!$A21&lt;&gt;""),"",IF(COUNTIFS(Programação!$B$4:$B$503,Planos!$A21,Programação!$I$4:$I$503,"Concluído",Programação!$G$4:$G$503,"&gt;="&amp;DATE(ano_ref,5,1),Programação!$G$4:$G$503,"&lt;="&amp;EOMONTH(DATE(ano_ref,5,1),0))&gt;0,"✔",IF(AND(ISNUMBER(Planos!$G21),IFERROR(INDEX(lst_frequencia_meses,MATCH(Planos!$E21,lst_frequencia,0)),0)&gt;0,(ano_ref*12+5)-(YEAR(Planos!$G21)*12+MONTH(Planos!$G21))&gt;0,MOD((ano_ref*12+5)-(YEAR(Planos!$G21)*12+MONTH(Planos!$G21)),MAX(1,IFERROR(INDEX(lst_frequencia_meses,MATCH(Planos!$E21,lst_frequencia,0)),0)))=0),"●","")))</f>
      </c>
      <c r="I22" s="43">
        <f>IF(NOT(Planos!$A21&lt;&gt;""),"",IF(COUNTIFS(Programação!$B$4:$B$503,Planos!$A21,Programação!$I$4:$I$503,"Concluído",Programação!$G$4:$G$503,"&gt;="&amp;DATE(ano_ref,6,1),Programação!$G$4:$G$503,"&lt;="&amp;EOMONTH(DATE(ano_ref,6,1),0))&gt;0,"✔",IF(AND(ISNUMBER(Planos!$G21),IFERROR(INDEX(lst_frequencia_meses,MATCH(Planos!$E21,lst_frequencia,0)),0)&gt;0,(ano_ref*12+6)-(YEAR(Planos!$G21)*12+MONTH(Planos!$G21))&gt;0,MOD((ano_ref*12+6)-(YEAR(Planos!$G21)*12+MONTH(Planos!$G21)),MAX(1,IFERROR(INDEX(lst_frequencia_meses,MATCH(Planos!$E21,lst_frequencia,0)),0)))=0),"●","")))</f>
      </c>
      <c r="J22" s="43">
        <f>IF(NOT(Planos!$A21&lt;&gt;""),"",IF(COUNTIFS(Programação!$B$4:$B$503,Planos!$A21,Programação!$I$4:$I$503,"Concluído",Programação!$G$4:$G$503,"&gt;="&amp;DATE(ano_ref,7,1),Programação!$G$4:$G$503,"&lt;="&amp;EOMONTH(DATE(ano_ref,7,1),0))&gt;0,"✔",IF(AND(ISNUMBER(Planos!$G21),IFERROR(INDEX(lst_frequencia_meses,MATCH(Planos!$E21,lst_frequencia,0)),0)&gt;0,(ano_ref*12+7)-(YEAR(Planos!$G21)*12+MONTH(Planos!$G21))&gt;0,MOD((ano_ref*12+7)-(YEAR(Planos!$G21)*12+MONTH(Planos!$G21)),MAX(1,IFERROR(INDEX(lst_frequencia_meses,MATCH(Planos!$E21,lst_frequencia,0)),0)))=0),"●","")))</f>
      </c>
      <c r="K22" s="43">
        <f>IF(NOT(Planos!$A21&lt;&gt;""),"",IF(COUNTIFS(Programação!$B$4:$B$503,Planos!$A21,Programação!$I$4:$I$503,"Concluído",Programação!$G$4:$G$503,"&gt;="&amp;DATE(ano_ref,8,1),Programação!$G$4:$G$503,"&lt;="&amp;EOMONTH(DATE(ano_ref,8,1),0))&gt;0,"✔",IF(AND(ISNUMBER(Planos!$G21),IFERROR(INDEX(lst_frequencia_meses,MATCH(Planos!$E21,lst_frequencia,0)),0)&gt;0,(ano_ref*12+8)-(YEAR(Planos!$G21)*12+MONTH(Planos!$G21))&gt;0,MOD((ano_ref*12+8)-(YEAR(Planos!$G21)*12+MONTH(Planos!$G21)),MAX(1,IFERROR(INDEX(lst_frequencia_meses,MATCH(Planos!$E21,lst_frequencia,0)),0)))=0),"●","")))</f>
      </c>
      <c r="L22" s="43">
        <f>IF(NOT(Planos!$A21&lt;&gt;""),"",IF(COUNTIFS(Programação!$B$4:$B$503,Planos!$A21,Programação!$I$4:$I$503,"Concluído",Programação!$G$4:$G$503,"&gt;="&amp;DATE(ano_ref,9,1),Programação!$G$4:$G$503,"&lt;="&amp;EOMONTH(DATE(ano_ref,9,1),0))&gt;0,"✔",IF(AND(ISNUMBER(Planos!$G21),IFERROR(INDEX(lst_frequencia_meses,MATCH(Planos!$E21,lst_frequencia,0)),0)&gt;0,(ano_ref*12+9)-(YEAR(Planos!$G21)*12+MONTH(Planos!$G21))&gt;0,MOD((ano_ref*12+9)-(YEAR(Planos!$G21)*12+MONTH(Planos!$G21)),MAX(1,IFERROR(INDEX(lst_frequencia_meses,MATCH(Planos!$E21,lst_frequencia,0)),0)))=0),"●","")))</f>
      </c>
      <c r="M22" s="43">
        <f>IF(NOT(Planos!$A21&lt;&gt;""),"",IF(COUNTIFS(Programação!$B$4:$B$503,Planos!$A21,Programação!$I$4:$I$503,"Concluído",Programação!$G$4:$G$503,"&gt;="&amp;DATE(ano_ref,10,1),Programação!$G$4:$G$503,"&lt;="&amp;EOMONTH(DATE(ano_ref,10,1),0))&gt;0,"✔",IF(AND(ISNUMBER(Planos!$G21),IFERROR(INDEX(lst_frequencia_meses,MATCH(Planos!$E21,lst_frequencia,0)),0)&gt;0,(ano_ref*12+10)-(YEAR(Planos!$G21)*12+MONTH(Planos!$G21))&gt;0,MOD((ano_ref*12+10)-(YEAR(Planos!$G21)*12+MONTH(Planos!$G21)),MAX(1,IFERROR(INDEX(lst_frequencia_meses,MATCH(Planos!$E21,lst_frequencia,0)),0)))=0),"●","")))</f>
      </c>
      <c r="N22" s="43">
        <f>IF(NOT(Planos!$A21&lt;&gt;""),"",IF(COUNTIFS(Programação!$B$4:$B$503,Planos!$A21,Programação!$I$4:$I$503,"Concluído",Programação!$G$4:$G$503,"&gt;="&amp;DATE(ano_ref,11,1),Programação!$G$4:$G$503,"&lt;="&amp;EOMONTH(DATE(ano_ref,11,1),0))&gt;0,"✔",IF(AND(ISNUMBER(Planos!$G21),IFERROR(INDEX(lst_frequencia_meses,MATCH(Planos!$E21,lst_frequencia,0)),0)&gt;0,(ano_ref*12+11)-(YEAR(Planos!$G21)*12+MONTH(Planos!$G21))&gt;0,MOD((ano_ref*12+11)-(YEAR(Planos!$G21)*12+MONTH(Planos!$G21)),MAX(1,IFERROR(INDEX(lst_frequencia_meses,MATCH(Planos!$E21,lst_frequencia,0)),0)))=0),"●","")))</f>
      </c>
      <c r="O22" s="43">
        <f>IF(NOT(Planos!$A21&lt;&gt;""),"",IF(COUNTIFS(Programação!$B$4:$B$503,Planos!$A21,Programação!$I$4:$I$503,"Concluído",Programação!$G$4:$G$503,"&gt;="&amp;DATE(ano_ref,12,1),Programação!$G$4:$G$503,"&lt;="&amp;EOMONTH(DATE(ano_ref,12,1),0))&gt;0,"✔",IF(AND(ISNUMBER(Planos!$G21),IFERROR(INDEX(lst_frequencia_meses,MATCH(Planos!$E21,lst_frequencia,0)),0)&gt;0,(ano_ref*12+12)-(YEAR(Planos!$G21)*12+MONTH(Planos!$G21))&gt;0,MOD((ano_ref*12+12)-(YEAR(Planos!$G21)*12+MONTH(Planos!$G21)),MAX(1,IFERROR(INDEX(lst_frequencia_meses,MATCH(Planos!$E21,lst_frequencia,0)),0)))=0),"●","")))</f>
      </c>
      <c r="P22" s="44">
        <f>IF(COUNTIF(D22:O22,"✔")+COUNTIF(D22:O22,"●")=0,"",COUNTIF(D22:O22,"✔")/(COUNTIF(D22:O22,"✔")+COUNTIF(D22:O22,"●")))</f>
      </c>
    </row>
    <row r="23" spans="1:16" x14ac:dyDescent="0.25">
      <c r="A23" s="43">
        <f>IF(Planos!$A22&lt;&gt;"",Planos!A22&amp;"","")</f>
      </c>
      <c r="B23" s="43">
        <f>IF(Planos!$A22&lt;&gt;"",Planos!B22&amp;"","")</f>
      </c>
      <c r="C23" s="24">
        <f>IF(Planos!$A22&lt;&gt;"",Planos!C22&amp;"","")</f>
      </c>
      <c r="D23" s="43">
        <f>IF(NOT(Planos!$A22&lt;&gt;""),"",IF(COUNTIFS(Programação!$B$4:$B$503,Planos!$A22,Programação!$I$4:$I$503,"Concluído",Programação!$G$4:$G$503,"&gt;="&amp;DATE(ano_ref,1,1),Programação!$G$4:$G$503,"&lt;="&amp;EOMONTH(DATE(ano_ref,1,1),0))&gt;0,"✔",IF(AND(ISNUMBER(Planos!$G22),IFERROR(INDEX(lst_frequencia_meses,MATCH(Planos!$E22,lst_frequencia,0)),0)&gt;0,(ano_ref*12+1)-(YEAR(Planos!$G22)*12+MONTH(Planos!$G22))&gt;0,MOD((ano_ref*12+1)-(YEAR(Planos!$G22)*12+MONTH(Planos!$G22)),MAX(1,IFERROR(INDEX(lst_frequencia_meses,MATCH(Planos!$E22,lst_frequencia,0)),0)))=0),"●","")))</f>
      </c>
      <c r="E23" s="43">
        <f>IF(NOT(Planos!$A22&lt;&gt;""),"",IF(COUNTIFS(Programação!$B$4:$B$503,Planos!$A22,Programação!$I$4:$I$503,"Concluído",Programação!$G$4:$G$503,"&gt;="&amp;DATE(ano_ref,2,1),Programação!$G$4:$G$503,"&lt;="&amp;EOMONTH(DATE(ano_ref,2,1),0))&gt;0,"✔",IF(AND(ISNUMBER(Planos!$G22),IFERROR(INDEX(lst_frequencia_meses,MATCH(Planos!$E22,lst_frequencia,0)),0)&gt;0,(ano_ref*12+2)-(YEAR(Planos!$G22)*12+MONTH(Planos!$G22))&gt;0,MOD((ano_ref*12+2)-(YEAR(Planos!$G22)*12+MONTH(Planos!$G22)),MAX(1,IFERROR(INDEX(lst_frequencia_meses,MATCH(Planos!$E22,lst_frequencia,0)),0)))=0),"●","")))</f>
      </c>
      <c r="F23" s="43">
        <f>IF(NOT(Planos!$A22&lt;&gt;""),"",IF(COUNTIFS(Programação!$B$4:$B$503,Planos!$A22,Programação!$I$4:$I$503,"Concluído",Programação!$G$4:$G$503,"&gt;="&amp;DATE(ano_ref,3,1),Programação!$G$4:$G$503,"&lt;="&amp;EOMONTH(DATE(ano_ref,3,1),0))&gt;0,"✔",IF(AND(ISNUMBER(Planos!$G22),IFERROR(INDEX(lst_frequencia_meses,MATCH(Planos!$E22,lst_frequencia,0)),0)&gt;0,(ano_ref*12+3)-(YEAR(Planos!$G22)*12+MONTH(Planos!$G22))&gt;0,MOD((ano_ref*12+3)-(YEAR(Planos!$G22)*12+MONTH(Planos!$G22)),MAX(1,IFERROR(INDEX(lst_frequencia_meses,MATCH(Planos!$E22,lst_frequencia,0)),0)))=0),"●","")))</f>
      </c>
      <c r="G23" s="43">
        <f>IF(NOT(Planos!$A22&lt;&gt;""),"",IF(COUNTIFS(Programação!$B$4:$B$503,Planos!$A22,Programação!$I$4:$I$503,"Concluído",Programação!$G$4:$G$503,"&gt;="&amp;DATE(ano_ref,4,1),Programação!$G$4:$G$503,"&lt;="&amp;EOMONTH(DATE(ano_ref,4,1),0))&gt;0,"✔",IF(AND(ISNUMBER(Planos!$G22),IFERROR(INDEX(lst_frequencia_meses,MATCH(Planos!$E22,lst_frequencia,0)),0)&gt;0,(ano_ref*12+4)-(YEAR(Planos!$G22)*12+MONTH(Planos!$G22))&gt;0,MOD((ano_ref*12+4)-(YEAR(Planos!$G22)*12+MONTH(Planos!$G22)),MAX(1,IFERROR(INDEX(lst_frequencia_meses,MATCH(Planos!$E22,lst_frequencia,0)),0)))=0),"●","")))</f>
      </c>
      <c r="H23" s="43">
        <f>IF(NOT(Planos!$A22&lt;&gt;""),"",IF(COUNTIFS(Programação!$B$4:$B$503,Planos!$A22,Programação!$I$4:$I$503,"Concluído",Programação!$G$4:$G$503,"&gt;="&amp;DATE(ano_ref,5,1),Programação!$G$4:$G$503,"&lt;="&amp;EOMONTH(DATE(ano_ref,5,1),0))&gt;0,"✔",IF(AND(ISNUMBER(Planos!$G22),IFERROR(INDEX(lst_frequencia_meses,MATCH(Planos!$E22,lst_frequencia,0)),0)&gt;0,(ano_ref*12+5)-(YEAR(Planos!$G22)*12+MONTH(Planos!$G22))&gt;0,MOD((ano_ref*12+5)-(YEAR(Planos!$G22)*12+MONTH(Planos!$G22)),MAX(1,IFERROR(INDEX(lst_frequencia_meses,MATCH(Planos!$E22,lst_frequencia,0)),0)))=0),"●","")))</f>
      </c>
      <c r="I23" s="43">
        <f>IF(NOT(Planos!$A22&lt;&gt;""),"",IF(COUNTIFS(Programação!$B$4:$B$503,Planos!$A22,Programação!$I$4:$I$503,"Concluído",Programação!$G$4:$G$503,"&gt;="&amp;DATE(ano_ref,6,1),Programação!$G$4:$G$503,"&lt;="&amp;EOMONTH(DATE(ano_ref,6,1),0))&gt;0,"✔",IF(AND(ISNUMBER(Planos!$G22),IFERROR(INDEX(lst_frequencia_meses,MATCH(Planos!$E22,lst_frequencia,0)),0)&gt;0,(ano_ref*12+6)-(YEAR(Planos!$G22)*12+MONTH(Planos!$G22))&gt;0,MOD((ano_ref*12+6)-(YEAR(Planos!$G22)*12+MONTH(Planos!$G22)),MAX(1,IFERROR(INDEX(lst_frequencia_meses,MATCH(Planos!$E22,lst_frequencia,0)),0)))=0),"●","")))</f>
      </c>
      <c r="J23" s="43">
        <f>IF(NOT(Planos!$A22&lt;&gt;""),"",IF(COUNTIFS(Programação!$B$4:$B$503,Planos!$A22,Programação!$I$4:$I$503,"Concluído",Programação!$G$4:$G$503,"&gt;="&amp;DATE(ano_ref,7,1),Programação!$G$4:$G$503,"&lt;="&amp;EOMONTH(DATE(ano_ref,7,1),0))&gt;0,"✔",IF(AND(ISNUMBER(Planos!$G22),IFERROR(INDEX(lst_frequencia_meses,MATCH(Planos!$E22,lst_frequencia,0)),0)&gt;0,(ano_ref*12+7)-(YEAR(Planos!$G22)*12+MONTH(Planos!$G22))&gt;0,MOD((ano_ref*12+7)-(YEAR(Planos!$G22)*12+MONTH(Planos!$G22)),MAX(1,IFERROR(INDEX(lst_frequencia_meses,MATCH(Planos!$E22,lst_frequencia,0)),0)))=0),"●","")))</f>
      </c>
      <c r="K23" s="43">
        <f>IF(NOT(Planos!$A22&lt;&gt;""),"",IF(COUNTIFS(Programação!$B$4:$B$503,Planos!$A22,Programação!$I$4:$I$503,"Concluído",Programação!$G$4:$G$503,"&gt;="&amp;DATE(ano_ref,8,1),Programação!$G$4:$G$503,"&lt;="&amp;EOMONTH(DATE(ano_ref,8,1),0))&gt;0,"✔",IF(AND(ISNUMBER(Planos!$G22),IFERROR(INDEX(lst_frequencia_meses,MATCH(Planos!$E22,lst_frequencia,0)),0)&gt;0,(ano_ref*12+8)-(YEAR(Planos!$G22)*12+MONTH(Planos!$G22))&gt;0,MOD((ano_ref*12+8)-(YEAR(Planos!$G22)*12+MONTH(Planos!$G22)),MAX(1,IFERROR(INDEX(lst_frequencia_meses,MATCH(Planos!$E22,lst_frequencia,0)),0)))=0),"●","")))</f>
      </c>
      <c r="L23" s="43">
        <f>IF(NOT(Planos!$A22&lt;&gt;""),"",IF(COUNTIFS(Programação!$B$4:$B$503,Planos!$A22,Programação!$I$4:$I$503,"Concluído",Programação!$G$4:$G$503,"&gt;="&amp;DATE(ano_ref,9,1),Programação!$G$4:$G$503,"&lt;="&amp;EOMONTH(DATE(ano_ref,9,1),0))&gt;0,"✔",IF(AND(ISNUMBER(Planos!$G22),IFERROR(INDEX(lst_frequencia_meses,MATCH(Planos!$E22,lst_frequencia,0)),0)&gt;0,(ano_ref*12+9)-(YEAR(Planos!$G22)*12+MONTH(Planos!$G22))&gt;0,MOD((ano_ref*12+9)-(YEAR(Planos!$G22)*12+MONTH(Planos!$G22)),MAX(1,IFERROR(INDEX(lst_frequencia_meses,MATCH(Planos!$E22,lst_frequencia,0)),0)))=0),"●","")))</f>
      </c>
      <c r="M23" s="43">
        <f>IF(NOT(Planos!$A22&lt;&gt;""),"",IF(COUNTIFS(Programação!$B$4:$B$503,Planos!$A22,Programação!$I$4:$I$503,"Concluído",Programação!$G$4:$G$503,"&gt;="&amp;DATE(ano_ref,10,1),Programação!$G$4:$G$503,"&lt;="&amp;EOMONTH(DATE(ano_ref,10,1),0))&gt;0,"✔",IF(AND(ISNUMBER(Planos!$G22),IFERROR(INDEX(lst_frequencia_meses,MATCH(Planos!$E22,lst_frequencia,0)),0)&gt;0,(ano_ref*12+10)-(YEAR(Planos!$G22)*12+MONTH(Planos!$G22))&gt;0,MOD((ano_ref*12+10)-(YEAR(Planos!$G22)*12+MONTH(Planos!$G22)),MAX(1,IFERROR(INDEX(lst_frequencia_meses,MATCH(Planos!$E22,lst_frequencia,0)),0)))=0),"●","")))</f>
      </c>
      <c r="N23" s="43">
        <f>IF(NOT(Planos!$A22&lt;&gt;""),"",IF(COUNTIFS(Programação!$B$4:$B$503,Planos!$A22,Programação!$I$4:$I$503,"Concluído",Programação!$G$4:$G$503,"&gt;="&amp;DATE(ano_ref,11,1),Programação!$G$4:$G$503,"&lt;="&amp;EOMONTH(DATE(ano_ref,11,1),0))&gt;0,"✔",IF(AND(ISNUMBER(Planos!$G22),IFERROR(INDEX(lst_frequencia_meses,MATCH(Planos!$E22,lst_frequencia,0)),0)&gt;0,(ano_ref*12+11)-(YEAR(Planos!$G22)*12+MONTH(Planos!$G22))&gt;0,MOD((ano_ref*12+11)-(YEAR(Planos!$G22)*12+MONTH(Planos!$G22)),MAX(1,IFERROR(INDEX(lst_frequencia_meses,MATCH(Planos!$E22,lst_frequencia,0)),0)))=0),"●","")))</f>
      </c>
      <c r="O23" s="43">
        <f>IF(NOT(Planos!$A22&lt;&gt;""),"",IF(COUNTIFS(Programação!$B$4:$B$503,Planos!$A22,Programação!$I$4:$I$503,"Concluído",Programação!$G$4:$G$503,"&gt;="&amp;DATE(ano_ref,12,1),Programação!$G$4:$G$503,"&lt;="&amp;EOMONTH(DATE(ano_ref,12,1),0))&gt;0,"✔",IF(AND(ISNUMBER(Planos!$G22),IFERROR(INDEX(lst_frequencia_meses,MATCH(Planos!$E22,lst_frequencia,0)),0)&gt;0,(ano_ref*12+12)-(YEAR(Planos!$G22)*12+MONTH(Planos!$G22))&gt;0,MOD((ano_ref*12+12)-(YEAR(Planos!$G22)*12+MONTH(Planos!$G22)),MAX(1,IFERROR(INDEX(lst_frequencia_meses,MATCH(Planos!$E22,lst_frequencia,0)),0)))=0),"●","")))</f>
      </c>
      <c r="P23" s="44">
        <f>IF(COUNTIF(D23:O23,"✔")+COUNTIF(D23:O23,"●")=0,"",COUNTIF(D23:O23,"✔")/(COUNTIF(D23:O23,"✔")+COUNTIF(D23:O23,"●")))</f>
      </c>
    </row>
    <row r="24" spans="1:16" x14ac:dyDescent="0.25">
      <c r="A24" s="43">
        <f>IF(Planos!$A23&lt;&gt;"",Planos!A23&amp;"","")</f>
      </c>
      <c r="B24" s="43">
        <f>IF(Planos!$A23&lt;&gt;"",Planos!B23&amp;"","")</f>
      </c>
      <c r="C24" s="24">
        <f>IF(Planos!$A23&lt;&gt;"",Planos!C23&amp;"","")</f>
      </c>
      <c r="D24" s="43">
        <f>IF(NOT(Planos!$A23&lt;&gt;""),"",IF(COUNTIFS(Programação!$B$4:$B$503,Planos!$A23,Programação!$I$4:$I$503,"Concluído",Programação!$G$4:$G$503,"&gt;="&amp;DATE(ano_ref,1,1),Programação!$G$4:$G$503,"&lt;="&amp;EOMONTH(DATE(ano_ref,1,1),0))&gt;0,"✔",IF(AND(ISNUMBER(Planos!$G23),IFERROR(INDEX(lst_frequencia_meses,MATCH(Planos!$E23,lst_frequencia,0)),0)&gt;0,(ano_ref*12+1)-(YEAR(Planos!$G23)*12+MONTH(Planos!$G23))&gt;0,MOD((ano_ref*12+1)-(YEAR(Planos!$G23)*12+MONTH(Planos!$G23)),MAX(1,IFERROR(INDEX(lst_frequencia_meses,MATCH(Planos!$E23,lst_frequencia,0)),0)))=0),"●","")))</f>
      </c>
      <c r="E24" s="43">
        <f>IF(NOT(Planos!$A23&lt;&gt;""),"",IF(COUNTIFS(Programação!$B$4:$B$503,Planos!$A23,Programação!$I$4:$I$503,"Concluído",Programação!$G$4:$G$503,"&gt;="&amp;DATE(ano_ref,2,1),Programação!$G$4:$G$503,"&lt;="&amp;EOMONTH(DATE(ano_ref,2,1),0))&gt;0,"✔",IF(AND(ISNUMBER(Planos!$G23),IFERROR(INDEX(lst_frequencia_meses,MATCH(Planos!$E23,lst_frequencia,0)),0)&gt;0,(ano_ref*12+2)-(YEAR(Planos!$G23)*12+MONTH(Planos!$G23))&gt;0,MOD((ano_ref*12+2)-(YEAR(Planos!$G23)*12+MONTH(Planos!$G23)),MAX(1,IFERROR(INDEX(lst_frequencia_meses,MATCH(Planos!$E23,lst_frequencia,0)),0)))=0),"●","")))</f>
      </c>
      <c r="F24" s="43">
        <f>IF(NOT(Planos!$A23&lt;&gt;""),"",IF(COUNTIFS(Programação!$B$4:$B$503,Planos!$A23,Programação!$I$4:$I$503,"Concluído",Programação!$G$4:$G$503,"&gt;="&amp;DATE(ano_ref,3,1),Programação!$G$4:$G$503,"&lt;="&amp;EOMONTH(DATE(ano_ref,3,1),0))&gt;0,"✔",IF(AND(ISNUMBER(Planos!$G23),IFERROR(INDEX(lst_frequencia_meses,MATCH(Planos!$E23,lst_frequencia,0)),0)&gt;0,(ano_ref*12+3)-(YEAR(Planos!$G23)*12+MONTH(Planos!$G23))&gt;0,MOD((ano_ref*12+3)-(YEAR(Planos!$G23)*12+MONTH(Planos!$G23)),MAX(1,IFERROR(INDEX(lst_frequencia_meses,MATCH(Planos!$E23,lst_frequencia,0)),0)))=0),"●","")))</f>
      </c>
      <c r="G24" s="43">
        <f>IF(NOT(Planos!$A23&lt;&gt;""),"",IF(COUNTIFS(Programação!$B$4:$B$503,Planos!$A23,Programação!$I$4:$I$503,"Concluído",Programação!$G$4:$G$503,"&gt;="&amp;DATE(ano_ref,4,1),Programação!$G$4:$G$503,"&lt;="&amp;EOMONTH(DATE(ano_ref,4,1),0))&gt;0,"✔",IF(AND(ISNUMBER(Planos!$G23),IFERROR(INDEX(lst_frequencia_meses,MATCH(Planos!$E23,lst_frequencia,0)),0)&gt;0,(ano_ref*12+4)-(YEAR(Planos!$G23)*12+MONTH(Planos!$G23))&gt;0,MOD((ano_ref*12+4)-(YEAR(Planos!$G23)*12+MONTH(Planos!$G23)),MAX(1,IFERROR(INDEX(lst_frequencia_meses,MATCH(Planos!$E23,lst_frequencia,0)),0)))=0),"●","")))</f>
      </c>
      <c r="H24" s="43">
        <f>IF(NOT(Planos!$A23&lt;&gt;""),"",IF(COUNTIFS(Programação!$B$4:$B$503,Planos!$A23,Programação!$I$4:$I$503,"Concluído",Programação!$G$4:$G$503,"&gt;="&amp;DATE(ano_ref,5,1),Programação!$G$4:$G$503,"&lt;="&amp;EOMONTH(DATE(ano_ref,5,1),0))&gt;0,"✔",IF(AND(ISNUMBER(Planos!$G23),IFERROR(INDEX(lst_frequencia_meses,MATCH(Planos!$E23,lst_frequencia,0)),0)&gt;0,(ano_ref*12+5)-(YEAR(Planos!$G23)*12+MONTH(Planos!$G23))&gt;0,MOD((ano_ref*12+5)-(YEAR(Planos!$G23)*12+MONTH(Planos!$G23)),MAX(1,IFERROR(INDEX(lst_frequencia_meses,MATCH(Planos!$E23,lst_frequencia,0)),0)))=0),"●","")))</f>
      </c>
      <c r="I24" s="43">
        <f>IF(NOT(Planos!$A23&lt;&gt;""),"",IF(COUNTIFS(Programação!$B$4:$B$503,Planos!$A23,Programação!$I$4:$I$503,"Concluído",Programação!$G$4:$G$503,"&gt;="&amp;DATE(ano_ref,6,1),Programação!$G$4:$G$503,"&lt;="&amp;EOMONTH(DATE(ano_ref,6,1),0))&gt;0,"✔",IF(AND(ISNUMBER(Planos!$G23),IFERROR(INDEX(lst_frequencia_meses,MATCH(Planos!$E23,lst_frequencia,0)),0)&gt;0,(ano_ref*12+6)-(YEAR(Planos!$G23)*12+MONTH(Planos!$G23))&gt;0,MOD((ano_ref*12+6)-(YEAR(Planos!$G23)*12+MONTH(Planos!$G23)),MAX(1,IFERROR(INDEX(lst_frequencia_meses,MATCH(Planos!$E23,lst_frequencia,0)),0)))=0),"●","")))</f>
      </c>
      <c r="J24" s="43">
        <f>IF(NOT(Planos!$A23&lt;&gt;""),"",IF(COUNTIFS(Programação!$B$4:$B$503,Planos!$A23,Programação!$I$4:$I$503,"Concluído",Programação!$G$4:$G$503,"&gt;="&amp;DATE(ano_ref,7,1),Programação!$G$4:$G$503,"&lt;="&amp;EOMONTH(DATE(ano_ref,7,1),0))&gt;0,"✔",IF(AND(ISNUMBER(Planos!$G23),IFERROR(INDEX(lst_frequencia_meses,MATCH(Planos!$E23,lst_frequencia,0)),0)&gt;0,(ano_ref*12+7)-(YEAR(Planos!$G23)*12+MONTH(Planos!$G23))&gt;0,MOD((ano_ref*12+7)-(YEAR(Planos!$G23)*12+MONTH(Planos!$G23)),MAX(1,IFERROR(INDEX(lst_frequencia_meses,MATCH(Planos!$E23,lst_frequencia,0)),0)))=0),"●","")))</f>
      </c>
      <c r="K24" s="43">
        <f>IF(NOT(Planos!$A23&lt;&gt;""),"",IF(COUNTIFS(Programação!$B$4:$B$503,Planos!$A23,Programação!$I$4:$I$503,"Concluído",Programação!$G$4:$G$503,"&gt;="&amp;DATE(ano_ref,8,1),Programação!$G$4:$G$503,"&lt;="&amp;EOMONTH(DATE(ano_ref,8,1),0))&gt;0,"✔",IF(AND(ISNUMBER(Planos!$G23),IFERROR(INDEX(lst_frequencia_meses,MATCH(Planos!$E23,lst_frequencia,0)),0)&gt;0,(ano_ref*12+8)-(YEAR(Planos!$G23)*12+MONTH(Planos!$G23))&gt;0,MOD((ano_ref*12+8)-(YEAR(Planos!$G23)*12+MONTH(Planos!$G23)),MAX(1,IFERROR(INDEX(lst_frequencia_meses,MATCH(Planos!$E23,lst_frequencia,0)),0)))=0),"●","")))</f>
      </c>
      <c r="L24" s="43">
        <f>IF(NOT(Planos!$A23&lt;&gt;""),"",IF(COUNTIFS(Programação!$B$4:$B$503,Planos!$A23,Programação!$I$4:$I$503,"Concluído",Programação!$G$4:$G$503,"&gt;="&amp;DATE(ano_ref,9,1),Programação!$G$4:$G$503,"&lt;="&amp;EOMONTH(DATE(ano_ref,9,1),0))&gt;0,"✔",IF(AND(ISNUMBER(Planos!$G23),IFERROR(INDEX(lst_frequencia_meses,MATCH(Planos!$E23,lst_frequencia,0)),0)&gt;0,(ano_ref*12+9)-(YEAR(Planos!$G23)*12+MONTH(Planos!$G23))&gt;0,MOD((ano_ref*12+9)-(YEAR(Planos!$G23)*12+MONTH(Planos!$G23)),MAX(1,IFERROR(INDEX(lst_frequencia_meses,MATCH(Planos!$E23,lst_frequencia,0)),0)))=0),"●","")))</f>
      </c>
      <c r="M24" s="43">
        <f>IF(NOT(Planos!$A23&lt;&gt;""),"",IF(COUNTIFS(Programação!$B$4:$B$503,Planos!$A23,Programação!$I$4:$I$503,"Concluído",Programação!$G$4:$G$503,"&gt;="&amp;DATE(ano_ref,10,1),Programação!$G$4:$G$503,"&lt;="&amp;EOMONTH(DATE(ano_ref,10,1),0))&gt;0,"✔",IF(AND(ISNUMBER(Planos!$G23),IFERROR(INDEX(lst_frequencia_meses,MATCH(Planos!$E23,lst_frequencia,0)),0)&gt;0,(ano_ref*12+10)-(YEAR(Planos!$G23)*12+MONTH(Planos!$G23))&gt;0,MOD((ano_ref*12+10)-(YEAR(Planos!$G23)*12+MONTH(Planos!$G23)),MAX(1,IFERROR(INDEX(lst_frequencia_meses,MATCH(Planos!$E23,lst_frequencia,0)),0)))=0),"●","")))</f>
      </c>
      <c r="N24" s="43">
        <f>IF(NOT(Planos!$A23&lt;&gt;""),"",IF(COUNTIFS(Programação!$B$4:$B$503,Planos!$A23,Programação!$I$4:$I$503,"Concluído",Programação!$G$4:$G$503,"&gt;="&amp;DATE(ano_ref,11,1),Programação!$G$4:$G$503,"&lt;="&amp;EOMONTH(DATE(ano_ref,11,1),0))&gt;0,"✔",IF(AND(ISNUMBER(Planos!$G23),IFERROR(INDEX(lst_frequencia_meses,MATCH(Planos!$E23,lst_frequencia,0)),0)&gt;0,(ano_ref*12+11)-(YEAR(Planos!$G23)*12+MONTH(Planos!$G23))&gt;0,MOD((ano_ref*12+11)-(YEAR(Planos!$G23)*12+MONTH(Planos!$G23)),MAX(1,IFERROR(INDEX(lst_frequencia_meses,MATCH(Planos!$E23,lst_frequencia,0)),0)))=0),"●","")))</f>
      </c>
      <c r="O24" s="43">
        <f>IF(NOT(Planos!$A23&lt;&gt;""),"",IF(COUNTIFS(Programação!$B$4:$B$503,Planos!$A23,Programação!$I$4:$I$503,"Concluído",Programação!$G$4:$G$503,"&gt;="&amp;DATE(ano_ref,12,1),Programação!$G$4:$G$503,"&lt;="&amp;EOMONTH(DATE(ano_ref,12,1),0))&gt;0,"✔",IF(AND(ISNUMBER(Planos!$G23),IFERROR(INDEX(lst_frequencia_meses,MATCH(Planos!$E23,lst_frequencia,0)),0)&gt;0,(ano_ref*12+12)-(YEAR(Planos!$G23)*12+MONTH(Planos!$G23))&gt;0,MOD((ano_ref*12+12)-(YEAR(Planos!$G23)*12+MONTH(Planos!$G23)),MAX(1,IFERROR(INDEX(lst_frequencia_meses,MATCH(Planos!$E23,lst_frequencia,0)),0)))=0),"●","")))</f>
      </c>
      <c r="P24" s="44">
        <f>IF(COUNTIF(D24:O24,"✔")+COUNTIF(D24:O24,"●")=0,"",COUNTIF(D24:O24,"✔")/(COUNTIF(D24:O24,"✔")+COUNTIF(D24:O24,"●")))</f>
      </c>
    </row>
    <row r="25" spans="1:16" x14ac:dyDescent="0.25">
      <c r="A25" s="43">
        <f>IF(Planos!$A24&lt;&gt;"",Planos!A24&amp;"","")</f>
      </c>
      <c r="B25" s="43">
        <f>IF(Planos!$A24&lt;&gt;"",Planos!B24&amp;"","")</f>
      </c>
      <c r="C25" s="24">
        <f>IF(Planos!$A24&lt;&gt;"",Planos!C24&amp;"","")</f>
      </c>
      <c r="D25" s="43">
        <f>IF(NOT(Planos!$A24&lt;&gt;""),"",IF(COUNTIFS(Programação!$B$4:$B$503,Planos!$A24,Programação!$I$4:$I$503,"Concluído",Programação!$G$4:$G$503,"&gt;="&amp;DATE(ano_ref,1,1),Programação!$G$4:$G$503,"&lt;="&amp;EOMONTH(DATE(ano_ref,1,1),0))&gt;0,"✔",IF(AND(ISNUMBER(Planos!$G24),IFERROR(INDEX(lst_frequencia_meses,MATCH(Planos!$E24,lst_frequencia,0)),0)&gt;0,(ano_ref*12+1)-(YEAR(Planos!$G24)*12+MONTH(Planos!$G24))&gt;0,MOD((ano_ref*12+1)-(YEAR(Planos!$G24)*12+MONTH(Planos!$G24)),MAX(1,IFERROR(INDEX(lst_frequencia_meses,MATCH(Planos!$E24,lst_frequencia,0)),0)))=0),"●","")))</f>
      </c>
      <c r="E25" s="43">
        <f>IF(NOT(Planos!$A24&lt;&gt;""),"",IF(COUNTIFS(Programação!$B$4:$B$503,Planos!$A24,Programação!$I$4:$I$503,"Concluído",Programação!$G$4:$G$503,"&gt;="&amp;DATE(ano_ref,2,1),Programação!$G$4:$G$503,"&lt;="&amp;EOMONTH(DATE(ano_ref,2,1),0))&gt;0,"✔",IF(AND(ISNUMBER(Planos!$G24),IFERROR(INDEX(lst_frequencia_meses,MATCH(Planos!$E24,lst_frequencia,0)),0)&gt;0,(ano_ref*12+2)-(YEAR(Planos!$G24)*12+MONTH(Planos!$G24))&gt;0,MOD((ano_ref*12+2)-(YEAR(Planos!$G24)*12+MONTH(Planos!$G24)),MAX(1,IFERROR(INDEX(lst_frequencia_meses,MATCH(Planos!$E24,lst_frequencia,0)),0)))=0),"●","")))</f>
      </c>
      <c r="F25" s="43">
        <f>IF(NOT(Planos!$A24&lt;&gt;""),"",IF(COUNTIFS(Programação!$B$4:$B$503,Planos!$A24,Programação!$I$4:$I$503,"Concluído",Programação!$G$4:$G$503,"&gt;="&amp;DATE(ano_ref,3,1),Programação!$G$4:$G$503,"&lt;="&amp;EOMONTH(DATE(ano_ref,3,1),0))&gt;0,"✔",IF(AND(ISNUMBER(Planos!$G24),IFERROR(INDEX(lst_frequencia_meses,MATCH(Planos!$E24,lst_frequencia,0)),0)&gt;0,(ano_ref*12+3)-(YEAR(Planos!$G24)*12+MONTH(Planos!$G24))&gt;0,MOD((ano_ref*12+3)-(YEAR(Planos!$G24)*12+MONTH(Planos!$G24)),MAX(1,IFERROR(INDEX(lst_frequencia_meses,MATCH(Planos!$E24,lst_frequencia,0)),0)))=0),"●","")))</f>
      </c>
      <c r="G25" s="43">
        <f>IF(NOT(Planos!$A24&lt;&gt;""),"",IF(COUNTIFS(Programação!$B$4:$B$503,Planos!$A24,Programação!$I$4:$I$503,"Concluído",Programação!$G$4:$G$503,"&gt;="&amp;DATE(ano_ref,4,1),Programação!$G$4:$G$503,"&lt;="&amp;EOMONTH(DATE(ano_ref,4,1),0))&gt;0,"✔",IF(AND(ISNUMBER(Planos!$G24),IFERROR(INDEX(lst_frequencia_meses,MATCH(Planos!$E24,lst_frequencia,0)),0)&gt;0,(ano_ref*12+4)-(YEAR(Planos!$G24)*12+MONTH(Planos!$G24))&gt;0,MOD((ano_ref*12+4)-(YEAR(Planos!$G24)*12+MONTH(Planos!$G24)),MAX(1,IFERROR(INDEX(lst_frequencia_meses,MATCH(Planos!$E24,lst_frequencia,0)),0)))=0),"●","")))</f>
      </c>
      <c r="H25" s="43">
        <f>IF(NOT(Planos!$A24&lt;&gt;""),"",IF(COUNTIFS(Programação!$B$4:$B$503,Planos!$A24,Programação!$I$4:$I$503,"Concluído",Programação!$G$4:$G$503,"&gt;="&amp;DATE(ano_ref,5,1),Programação!$G$4:$G$503,"&lt;="&amp;EOMONTH(DATE(ano_ref,5,1),0))&gt;0,"✔",IF(AND(ISNUMBER(Planos!$G24),IFERROR(INDEX(lst_frequencia_meses,MATCH(Planos!$E24,lst_frequencia,0)),0)&gt;0,(ano_ref*12+5)-(YEAR(Planos!$G24)*12+MONTH(Planos!$G24))&gt;0,MOD((ano_ref*12+5)-(YEAR(Planos!$G24)*12+MONTH(Planos!$G24)),MAX(1,IFERROR(INDEX(lst_frequencia_meses,MATCH(Planos!$E24,lst_frequencia,0)),0)))=0),"●","")))</f>
      </c>
      <c r="I25" s="43">
        <f>IF(NOT(Planos!$A24&lt;&gt;""),"",IF(COUNTIFS(Programação!$B$4:$B$503,Planos!$A24,Programação!$I$4:$I$503,"Concluído",Programação!$G$4:$G$503,"&gt;="&amp;DATE(ano_ref,6,1),Programação!$G$4:$G$503,"&lt;="&amp;EOMONTH(DATE(ano_ref,6,1),0))&gt;0,"✔",IF(AND(ISNUMBER(Planos!$G24),IFERROR(INDEX(lst_frequencia_meses,MATCH(Planos!$E24,lst_frequencia,0)),0)&gt;0,(ano_ref*12+6)-(YEAR(Planos!$G24)*12+MONTH(Planos!$G24))&gt;0,MOD((ano_ref*12+6)-(YEAR(Planos!$G24)*12+MONTH(Planos!$G24)),MAX(1,IFERROR(INDEX(lst_frequencia_meses,MATCH(Planos!$E24,lst_frequencia,0)),0)))=0),"●","")))</f>
      </c>
      <c r="J25" s="43">
        <f>IF(NOT(Planos!$A24&lt;&gt;""),"",IF(COUNTIFS(Programação!$B$4:$B$503,Planos!$A24,Programação!$I$4:$I$503,"Concluído",Programação!$G$4:$G$503,"&gt;="&amp;DATE(ano_ref,7,1),Programação!$G$4:$G$503,"&lt;="&amp;EOMONTH(DATE(ano_ref,7,1),0))&gt;0,"✔",IF(AND(ISNUMBER(Planos!$G24),IFERROR(INDEX(lst_frequencia_meses,MATCH(Planos!$E24,lst_frequencia,0)),0)&gt;0,(ano_ref*12+7)-(YEAR(Planos!$G24)*12+MONTH(Planos!$G24))&gt;0,MOD((ano_ref*12+7)-(YEAR(Planos!$G24)*12+MONTH(Planos!$G24)),MAX(1,IFERROR(INDEX(lst_frequencia_meses,MATCH(Planos!$E24,lst_frequencia,0)),0)))=0),"●","")))</f>
      </c>
      <c r="K25" s="43">
        <f>IF(NOT(Planos!$A24&lt;&gt;""),"",IF(COUNTIFS(Programação!$B$4:$B$503,Planos!$A24,Programação!$I$4:$I$503,"Concluído",Programação!$G$4:$G$503,"&gt;="&amp;DATE(ano_ref,8,1),Programação!$G$4:$G$503,"&lt;="&amp;EOMONTH(DATE(ano_ref,8,1),0))&gt;0,"✔",IF(AND(ISNUMBER(Planos!$G24),IFERROR(INDEX(lst_frequencia_meses,MATCH(Planos!$E24,lst_frequencia,0)),0)&gt;0,(ano_ref*12+8)-(YEAR(Planos!$G24)*12+MONTH(Planos!$G24))&gt;0,MOD((ano_ref*12+8)-(YEAR(Planos!$G24)*12+MONTH(Planos!$G24)),MAX(1,IFERROR(INDEX(lst_frequencia_meses,MATCH(Planos!$E24,lst_frequencia,0)),0)))=0),"●","")))</f>
      </c>
      <c r="L25" s="43">
        <f>IF(NOT(Planos!$A24&lt;&gt;""),"",IF(COUNTIFS(Programação!$B$4:$B$503,Planos!$A24,Programação!$I$4:$I$503,"Concluído",Programação!$G$4:$G$503,"&gt;="&amp;DATE(ano_ref,9,1),Programação!$G$4:$G$503,"&lt;="&amp;EOMONTH(DATE(ano_ref,9,1),0))&gt;0,"✔",IF(AND(ISNUMBER(Planos!$G24),IFERROR(INDEX(lst_frequencia_meses,MATCH(Planos!$E24,lst_frequencia,0)),0)&gt;0,(ano_ref*12+9)-(YEAR(Planos!$G24)*12+MONTH(Planos!$G24))&gt;0,MOD((ano_ref*12+9)-(YEAR(Planos!$G24)*12+MONTH(Planos!$G24)),MAX(1,IFERROR(INDEX(lst_frequencia_meses,MATCH(Planos!$E24,lst_frequencia,0)),0)))=0),"●","")))</f>
      </c>
      <c r="M25" s="43">
        <f>IF(NOT(Planos!$A24&lt;&gt;""),"",IF(COUNTIFS(Programação!$B$4:$B$503,Planos!$A24,Programação!$I$4:$I$503,"Concluído",Programação!$G$4:$G$503,"&gt;="&amp;DATE(ano_ref,10,1),Programação!$G$4:$G$503,"&lt;="&amp;EOMONTH(DATE(ano_ref,10,1),0))&gt;0,"✔",IF(AND(ISNUMBER(Planos!$G24),IFERROR(INDEX(lst_frequencia_meses,MATCH(Planos!$E24,lst_frequencia,0)),0)&gt;0,(ano_ref*12+10)-(YEAR(Planos!$G24)*12+MONTH(Planos!$G24))&gt;0,MOD((ano_ref*12+10)-(YEAR(Planos!$G24)*12+MONTH(Planos!$G24)),MAX(1,IFERROR(INDEX(lst_frequencia_meses,MATCH(Planos!$E24,lst_frequencia,0)),0)))=0),"●","")))</f>
      </c>
      <c r="N25" s="43">
        <f>IF(NOT(Planos!$A24&lt;&gt;""),"",IF(COUNTIFS(Programação!$B$4:$B$503,Planos!$A24,Programação!$I$4:$I$503,"Concluído",Programação!$G$4:$G$503,"&gt;="&amp;DATE(ano_ref,11,1),Programação!$G$4:$G$503,"&lt;="&amp;EOMONTH(DATE(ano_ref,11,1),0))&gt;0,"✔",IF(AND(ISNUMBER(Planos!$G24),IFERROR(INDEX(lst_frequencia_meses,MATCH(Planos!$E24,lst_frequencia,0)),0)&gt;0,(ano_ref*12+11)-(YEAR(Planos!$G24)*12+MONTH(Planos!$G24))&gt;0,MOD((ano_ref*12+11)-(YEAR(Planos!$G24)*12+MONTH(Planos!$G24)),MAX(1,IFERROR(INDEX(lst_frequencia_meses,MATCH(Planos!$E24,lst_frequencia,0)),0)))=0),"●","")))</f>
      </c>
      <c r="O25" s="43">
        <f>IF(NOT(Planos!$A24&lt;&gt;""),"",IF(COUNTIFS(Programação!$B$4:$B$503,Planos!$A24,Programação!$I$4:$I$503,"Concluído",Programação!$G$4:$G$503,"&gt;="&amp;DATE(ano_ref,12,1),Programação!$G$4:$G$503,"&lt;="&amp;EOMONTH(DATE(ano_ref,12,1),0))&gt;0,"✔",IF(AND(ISNUMBER(Planos!$G24),IFERROR(INDEX(lst_frequencia_meses,MATCH(Planos!$E24,lst_frequencia,0)),0)&gt;0,(ano_ref*12+12)-(YEAR(Planos!$G24)*12+MONTH(Planos!$G24))&gt;0,MOD((ano_ref*12+12)-(YEAR(Planos!$G24)*12+MONTH(Planos!$G24)),MAX(1,IFERROR(INDEX(lst_frequencia_meses,MATCH(Planos!$E24,lst_frequencia,0)),0)))=0),"●","")))</f>
      </c>
      <c r="P25" s="44">
        <f>IF(COUNTIF(D25:O25,"✔")+COUNTIF(D25:O25,"●")=0,"",COUNTIF(D25:O25,"✔")/(COUNTIF(D25:O25,"✔")+COUNTIF(D25:O25,"●")))</f>
      </c>
    </row>
    <row r="26" spans="1:16" x14ac:dyDescent="0.25">
      <c r="A26" s="43">
        <f>IF(Planos!$A25&lt;&gt;"",Planos!A25&amp;"","")</f>
      </c>
      <c r="B26" s="43">
        <f>IF(Planos!$A25&lt;&gt;"",Planos!B25&amp;"","")</f>
      </c>
      <c r="C26" s="24">
        <f>IF(Planos!$A25&lt;&gt;"",Planos!C25&amp;"","")</f>
      </c>
      <c r="D26" s="43">
        <f>IF(NOT(Planos!$A25&lt;&gt;""),"",IF(COUNTIFS(Programação!$B$4:$B$503,Planos!$A25,Programação!$I$4:$I$503,"Concluído",Programação!$G$4:$G$503,"&gt;="&amp;DATE(ano_ref,1,1),Programação!$G$4:$G$503,"&lt;="&amp;EOMONTH(DATE(ano_ref,1,1),0))&gt;0,"✔",IF(AND(ISNUMBER(Planos!$G25),IFERROR(INDEX(lst_frequencia_meses,MATCH(Planos!$E25,lst_frequencia,0)),0)&gt;0,(ano_ref*12+1)-(YEAR(Planos!$G25)*12+MONTH(Planos!$G25))&gt;0,MOD((ano_ref*12+1)-(YEAR(Planos!$G25)*12+MONTH(Planos!$G25)),MAX(1,IFERROR(INDEX(lst_frequencia_meses,MATCH(Planos!$E25,lst_frequencia,0)),0)))=0),"●","")))</f>
      </c>
      <c r="E26" s="43">
        <f>IF(NOT(Planos!$A25&lt;&gt;""),"",IF(COUNTIFS(Programação!$B$4:$B$503,Planos!$A25,Programação!$I$4:$I$503,"Concluído",Programação!$G$4:$G$503,"&gt;="&amp;DATE(ano_ref,2,1),Programação!$G$4:$G$503,"&lt;="&amp;EOMONTH(DATE(ano_ref,2,1),0))&gt;0,"✔",IF(AND(ISNUMBER(Planos!$G25),IFERROR(INDEX(lst_frequencia_meses,MATCH(Planos!$E25,lst_frequencia,0)),0)&gt;0,(ano_ref*12+2)-(YEAR(Planos!$G25)*12+MONTH(Planos!$G25))&gt;0,MOD((ano_ref*12+2)-(YEAR(Planos!$G25)*12+MONTH(Planos!$G25)),MAX(1,IFERROR(INDEX(lst_frequencia_meses,MATCH(Planos!$E25,lst_frequencia,0)),0)))=0),"●","")))</f>
      </c>
      <c r="F26" s="43">
        <f>IF(NOT(Planos!$A25&lt;&gt;""),"",IF(COUNTIFS(Programação!$B$4:$B$503,Planos!$A25,Programação!$I$4:$I$503,"Concluído",Programação!$G$4:$G$503,"&gt;="&amp;DATE(ano_ref,3,1),Programação!$G$4:$G$503,"&lt;="&amp;EOMONTH(DATE(ano_ref,3,1),0))&gt;0,"✔",IF(AND(ISNUMBER(Planos!$G25),IFERROR(INDEX(lst_frequencia_meses,MATCH(Planos!$E25,lst_frequencia,0)),0)&gt;0,(ano_ref*12+3)-(YEAR(Planos!$G25)*12+MONTH(Planos!$G25))&gt;0,MOD((ano_ref*12+3)-(YEAR(Planos!$G25)*12+MONTH(Planos!$G25)),MAX(1,IFERROR(INDEX(lst_frequencia_meses,MATCH(Planos!$E25,lst_frequencia,0)),0)))=0),"●","")))</f>
      </c>
      <c r="G26" s="43">
        <f>IF(NOT(Planos!$A25&lt;&gt;""),"",IF(COUNTIFS(Programação!$B$4:$B$503,Planos!$A25,Programação!$I$4:$I$503,"Concluído",Programação!$G$4:$G$503,"&gt;="&amp;DATE(ano_ref,4,1),Programação!$G$4:$G$503,"&lt;="&amp;EOMONTH(DATE(ano_ref,4,1),0))&gt;0,"✔",IF(AND(ISNUMBER(Planos!$G25),IFERROR(INDEX(lst_frequencia_meses,MATCH(Planos!$E25,lst_frequencia,0)),0)&gt;0,(ano_ref*12+4)-(YEAR(Planos!$G25)*12+MONTH(Planos!$G25))&gt;0,MOD((ano_ref*12+4)-(YEAR(Planos!$G25)*12+MONTH(Planos!$G25)),MAX(1,IFERROR(INDEX(lst_frequencia_meses,MATCH(Planos!$E25,lst_frequencia,0)),0)))=0),"●","")))</f>
      </c>
      <c r="H26" s="43">
        <f>IF(NOT(Planos!$A25&lt;&gt;""),"",IF(COUNTIFS(Programação!$B$4:$B$503,Planos!$A25,Programação!$I$4:$I$503,"Concluído",Programação!$G$4:$G$503,"&gt;="&amp;DATE(ano_ref,5,1),Programação!$G$4:$G$503,"&lt;="&amp;EOMONTH(DATE(ano_ref,5,1),0))&gt;0,"✔",IF(AND(ISNUMBER(Planos!$G25),IFERROR(INDEX(lst_frequencia_meses,MATCH(Planos!$E25,lst_frequencia,0)),0)&gt;0,(ano_ref*12+5)-(YEAR(Planos!$G25)*12+MONTH(Planos!$G25))&gt;0,MOD((ano_ref*12+5)-(YEAR(Planos!$G25)*12+MONTH(Planos!$G25)),MAX(1,IFERROR(INDEX(lst_frequencia_meses,MATCH(Planos!$E25,lst_frequencia,0)),0)))=0),"●","")))</f>
      </c>
      <c r="I26" s="43">
        <f>IF(NOT(Planos!$A25&lt;&gt;""),"",IF(COUNTIFS(Programação!$B$4:$B$503,Planos!$A25,Programação!$I$4:$I$503,"Concluído",Programação!$G$4:$G$503,"&gt;="&amp;DATE(ano_ref,6,1),Programação!$G$4:$G$503,"&lt;="&amp;EOMONTH(DATE(ano_ref,6,1),0))&gt;0,"✔",IF(AND(ISNUMBER(Planos!$G25),IFERROR(INDEX(lst_frequencia_meses,MATCH(Planos!$E25,lst_frequencia,0)),0)&gt;0,(ano_ref*12+6)-(YEAR(Planos!$G25)*12+MONTH(Planos!$G25))&gt;0,MOD((ano_ref*12+6)-(YEAR(Planos!$G25)*12+MONTH(Planos!$G25)),MAX(1,IFERROR(INDEX(lst_frequencia_meses,MATCH(Planos!$E25,lst_frequencia,0)),0)))=0),"●","")))</f>
      </c>
      <c r="J26" s="43">
        <f>IF(NOT(Planos!$A25&lt;&gt;""),"",IF(COUNTIFS(Programação!$B$4:$B$503,Planos!$A25,Programação!$I$4:$I$503,"Concluído",Programação!$G$4:$G$503,"&gt;="&amp;DATE(ano_ref,7,1),Programação!$G$4:$G$503,"&lt;="&amp;EOMONTH(DATE(ano_ref,7,1),0))&gt;0,"✔",IF(AND(ISNUMBER(Planos!$G25),IFERROR(INDEX(lst_frequencia_meses,MATCH(Planos!$E25,lst_frequencia,0)),0)&gt;0,(ano_ref*12+7)-(YEAR(Planos!$G25)*12+MONTH(Planos!$G25))&gt;0,MOD((ano_ref*12+7)-(YEAR(Planos!$G25)*12+MONTH(Planos!$G25)),MAX(1,IFERROR(INDEX(lst_frequencia_meses,MATCH(Planos!$E25,lst_frequencia,0)),0)))=0),"●","")))</f>
      </c>
      <c r="K26" s="43">
        <f>IF(NOT(Planos!$A25&lt;&gt;""),"",IF(COUNTIFS(Programação!$B$4:$B$503,Planos!$A25,Programação!$I$4:$I$503,"Concluído",Programação!$G$4:$G$503,"&gt;="&amp;DATE(ano_ref,8,1),Programação!$G$4:$G$503,"&lt;="&amp;EOMONTH(DATE(ano_ref,8,1),0))&gt;0,"✔",IF(AND(ISNUMBER(Planos!$G25),IFERROR(INDEX(lst_frequencia_meses,MATCH(Planos!$E25,lst_frequencia,0)),0)&gt;0,(ano_ref*12+8)-(YEAR(Planos!$G25)*12+MONTH(Planos!$G25))&gt;0,MOD((ano_ref*12+8)-(YEAR(Planos!$G25)*12+MONTH(Planos!$G25)),MAX(1,IFERROR(INDEX(lst_frequencia_meses,MATCH(Planos!$E25,lst_frequencia,0)),0)))=0),"●","")))</f>
      </c>
      <c r="L26" s="43">
        <f>IF(NOT(Planos!$A25&lt;&gt;""),"",IF(COUNTIFS(Programação!$B$4:$B$503,Planos!$A25,Programação!$I$4:$I$503,"Concluído",Programação!$G$4:$G$503,"&gt;="&amp;DATE(ano_ref,9,1),Programação!$G$4:$G$503,"&lt;="&amp;EOMONTH(DATE(ano_ref,9,1),0))&gt;0,"✔",IF(AND(ISNUMBER(Planos!$G25),IFERROR(INDEX(lst_frequencia_meses,MATCH(Planos!$E25,lst_frequencia,0)),0)&gt;0,(ano_ref*12+9)-(YEAR(Planos!$G25)*12+MONTH(Planos!$G25))&gt;0,MOD((ano_ref*12+9)-(YEAR(Planos!$G25)*12+MONTH(Planos!$G25)),MAX(1,IFERROR(INDEX(lst_frequencia_meses,MATCH(Planos!$E25,lst_frequencia,0)),0)))=0),"●","")))</f>
      </c>
      <c r="M26" s="43">
        <f>IF(NOT(Planos!$A25&lt;&gt;""),"",IF(COUNTIFS(Programação!$B$4:$B$503,Planos!$A25,Programação!$I$4:$I$503,"Concluído",Programação!$G$4:$G$503,"&gt;="&amp;DATE(ano_ref,10,1),Programação!$G$4:$G$503,"&lt;="&amp;EOMONTH(DATE(ano_ref,10,1),0))&gt;0,"✔",IF(AND(ISNUMBER(Planos!$G25),IFERROR(INDEX(lst_frequencia_meses,MATCH(Planos!$E25,lst_frequencia,0)),0)&gt;0,(ano_ref*12+10)-(YEAR(Planos!$G25)*12+MONTH(Planos!$G25))&gt;0,MOD((ano_ref*12+10)-(YEAR(Planos!$G25)*12+MONTH(Planos!$G25)),MAX(1,IFERROR(INDEX(lst_frequencia_meses,MATCH(Planos!$E25,lst_frequencia,0)),0)))=0),"●","")))</f>
      </c>
      <c r="N26" s="43">
        <f>IF(NOT(Planos!$A25&lt;&gt;""),"",IF(COUNTIFS(Programação!$B$4:$B$503,Planos!$A25,Programação!$I$4:$I$503,"Concluído",Programação!$G$4:$G$503,"&gt;="&amp;DATE(ano_ref,11,1),Programação!$G$4:$G$503,"&lt;="&amp;EOMONTH(DATE(ano_ref,11,1),0))&gt;0,"✔",IF(AND(ISNUMBER(Planos!$G25),IFERROR(INDEX(lst_frequencia_meses,MATCH(Planos!$E25,lst_frequencia,0)),0)&gt;0,(ano_ref*12+11)-(YEAR(Planos!$G25)*12+MONTH(Planos!$G25))&gt;0,MOD((ano_ref*12+11)-(YEAR(Planos!$G25)*12+MONTH(Planos!$G25)),MAX(1,IFERROR(INDEX(lst_frequencia_meses,MATCH(Planos!$E25,lst_frequencia,0)),0)))=0),"●","")))</f>
      </c>
      <c r="O26" s="43">
        <f>IF(NOT(Planos!$A25&lt;&gt;""),"",IF(COUNTIFS(Programação!$B$4:$B$503,Planos!$A25,Programação!$I$4:$I$503,"Concluído",Programação!$G$4:$G$503,"&gt;="&amp;DATE(ano_ref,12,1),Programação!$G$4:$G$503,"&lt;="&amp;EOMONTH(DATE(ano_ref,12,1),0))&gt;0,"✔",IF(AND(ISNUMBER(Planos!$G25),IFERROR(INDEX(lst_frequencia_meses,MATCH(Planos!$E25,lst_frequencia,0)),0)&gt;0,(ano_ref*12+12)-(YEAR(Planos!$G25)*12+MONTH(Planos!$G25))&gt;0,MOD((ano_ref*12+12)-(YEAR(Planos!$G25)*12+MONTH(Planos!$G25)),MAX(1,IFERROR(INDEX(lst_frequencia_meses,MATCH(Planos!$E25,lst_frequencia,0)),0)))=0),"●","")))</f>
      </c>
      <c r="P26" s="44">
        <f>IF(COUNTIF(D26:O26,"✔")+COUNTIF(D26:O26,"●")=0,"",COUNTIF(D26:O26,"✔")/(COUNTIF(D26:O26,"✔")+COUNTIF(D26:O26,"●")))</f>
      </c>
    </row>
    <row r="27" spans="1:16" x14ac:dyDescent="0.25">
      <c r="A27" s="43">
        <f>IF(Planos!$A26&lt;&gt;"",Planos!A26&amp;"","")</f>
      </c>
      <c r="B27" s="43">
        <f>IF(Planos!$A26&lt;&gt;"",Planos!B26&amp;"","")</f>
      </c>
      <c r="C27" s="24">
        <f>IF(Planos!$A26&lt;&gt;"",Planos!C26&amp;"","")</f>
      </c>
      <c r="D27" s="43">
        <f>IF(NOT(Planos!$A26&lt;&gt;""),"",IF(COUNTIFS(Programação!$B$4:$B$503,Planos!$A26,Programação!$I$4:$I$503,"Concluído",Programação!$G$4:$G$503,"&gt;="&amp;DATE(ano_ref,1,1),Programação!$G$4:$G$503,"&lt;="&amp;EOMONTH(DATE(ano_ref,1,1),0))&gt;0,"✔",IF(AND(ISNUMBER(Planos!$G26),IFERROR(INDEX(lst_frequencia_meses,MATCH(Planos!$E26,lst_frequencia,0)),0)&gt;0,(ano_ref*12+1)-(YEAR(Planos!$G26)*12+MONTH(Planos!$G26))&gt;0,MOD((ano_ref*12+1)-(YEAR(Planos!$G26)*12+MONTH(Planos!$G26)),MAX(1,IFERROR(INDEX(lst_frequencia_meses,MATCH(Planos!$E26,lst_frequencia,0)),0)))=0),"●","")))</f>
      </c>
      <c r="E27" s="43">
        <f>IF(NOT(Planos!$A26&lt;&gt;""),"",IF(COUNTIFS(Programação!$B$4:$B$503,Planos!$A26,Programação!$I$4:$I$503,"Concluído",Programação!$G$4:$G$503,"&gt;="&amp;DATE(ano_ref,2,1),Programação!$G$4:$G$503,"&lt;="&amp;EOMONTH(DATE(ano_ref,2,1),0))&gt;0,"✔",IF(AND(ISNUMBER(Planos!$G26),IFERROR(INDEX(lst_frequencia_meses,MATCH(Planos!$E26,lst_frequencia,0)),0)&gt;0,(ano_ref*12+2)-(YEAR(Planos!$G26)*12+MONTH(Planos!$G26))&gt;0,MOD((ano_ref*12+2)-(YEAR(Planos!$G26)*12+MONTH(Planos!$G26)),MAX(1,IFERROR(INDEX(lst_frequencia_meses,MATCH(Planos!$E26,lst_frequencia,0)),0)))=0),"●","")))</f>
      </c>
      <c r="F27" s="43">
        <f>IF(NOT(Planos!$A26&lt;&gt;""),"",IF(COUNTIFS(Programação!$B$4:$B$503,Planos!$A26,Programação!$I$4:$I$503,"Concluído",Programação!$G$4:$G$503,"&gt;="&amp;DATE(ano_ref,3,1),Programação!$G$4:$G$503,"&lt;="&amp;EOMONTH(DATE(ano_ref,3,1),0))&gt;0,"✔",IF(AND(ISNUMBER(Planos!$G26),IFERROR(INDEX(lst_frequencia_meses,MATCH(Planos!$E26,lst_frequencia,0)),0)&gt;0,(ano_ref*12+3)-(YEAR(Planos!$G26)*12+MONTH(Planos!$G26))&gt;0,MOD((ano_ref*12+3)-(YEAR(Planos!$G26)*12+MONTH(Planos!$G26)),MAX(1,IFERROR(INDEX(lst_frequencia_meses,MATCH(Planos!$E26,lst_frequencia,0)),0)))=0),"●","")))</f>
      </c>
      <c r="G27" s="43">
        <f>IF(NOT(Planos!$A26&lt;&gt;""),"",IF(COUNTIFS(Programação!$B$4:$B$503,Planos!$A26,Programação!$I$4:$I$503,"Concluído",Programação!$G$4:$G$503,"&gt;="&amp;DATE(ano_ref,4,1),Programação!$G$4:$G$503,"&lt;="&amp;EOMONTH(DATE(ano_ref,4,1),0))&gt;0,"✔",IF(AND(ISNUMBER(Planos!$G26),IFERROR(INDEX(lst_frequencia_meses,MATCH(Planos!$E26,lst_frequencia,0)),0)&gt;0,(ano_ref*12+4)-(YEAR(Planos!$G26)*12+MONTH(Planos!$G26))&gt;0,MOD((ano_ref*12+4)-(YEAR(Planos!$G26)*12+MONTH(Planos!$G26)),MAX(1,IFERROR(INDEX(lst_frequencia_meses,MATCH(Planos!$E26,lst_frequencia,0)),0)))=0),"●","")))</f>
      </c>
      <c r="H27" s="43">
        <f>IF(NOT(Planos!$A26&lt;&gt;""),"",IF(COUNTIFS(Programação!$B$4:$B$503,Planos!$A26,Programação!$I$4:$I$503,"Concluído",Programação!$G$4:$G$503,"&gt;="&amp;DATE(ano_ref,5,1),Programação!$G$4:$G$503,"&lt;="&amp;EOMONTH(DATE(ano_ref,5,1),0))&gt;0,"✔",IF(AND(ISNUMBER(Planos!$G26),IFERROR(INDEX(lst_frequencia_meses,MATCH(Planos!$E26,lst_frequencia,0)),0)&gt;0,(ano_ref*12+5)-(YEAR(Planos!$G26)*12+MONTH(Planos!$G26))&gt;0,MOD((ano_ref*12+5)-(YEAR(Planos!$G26)*12+MONTH(Planos!$G26)),MAX(1,IFERROR(INDEX(lst_frequencia_meses,MATCH(Planos!$E26,lst_frequencia,0)),0)))=0),"●","")))</f>
      </c>
      <c r="I27" s="43">
        <f>IF(NOT(Planos!$A26&lt;&gt;""),"",IF(COUNTIFS(Programação!$B$4:$B$503,Planos!$A26,Programação!$I$4:$I$503,"Concluído",Programação!$G$4:$G$503,"&gt;="&amp;DATE(ano_ref,6,1),Programação!$G$4:$G$503,"&lt;="&amp;EOMONTH(DATE(ano_ref,6,1),0))&gt;0,"✔",IF(AND(ISNUMBER(Planos!$G26),IFERROR(INDEX(lst_frequencia_meses,MATCH(Planos!$E26,lst_frequencia,0)),0)&gt;0,(ano_ref*12+6)-(YEAR(Planos!$G26)*12+MONTH(Planos!$G26))&gt;0,MOD((ano_ref*12+6)-(YEAR(Planos!$G26)*12+MONTH(Planos!$G26)),MAX(1,IFERROR(INDEX(lst_frequencia_meses,MATCH(Planos!$E26,lst_frequencia,0)),0)))=0),"●","")))</f>
      </c>
      <c r="J27" s="43">
        <f>IF(NOT(Planos!$A26&lt;&gt;""),"",IF(COUNTIFS(Programação!$B$4:$B$503,Planos!$A26,Programação!$I$4:$I$503,"Concluído",Programação!$G$4:$G$503,"&gt;="&amp;DATE(ano_ref,7,1),Programação!$G$4:$G$503,"&lt;="&amp;EOMONTH(DATE(ano_ref,7,1),0))&gt;0,"✔",IF(AND(ISNUMBER(Planos!$G26),IFERROR(INDEX(lst_frequencia_meses,MATCH(Planos!$E26,lst_frequencia,0)),0)&gt;0,(ano_ref*12+7)-(YEAR(Planos!$G26)*12+MONTH(Planos!$G26))&gt;0,MOD((ano_ref*12+7)-(YEAR(Planos!$G26)*12+MONTH(Planos!$G26)),MAX(1,IFERROR(INDEX(lst_frequencia_meses,MATCH(Planos!$E26,lst_frequencia,0)),0)))=0),"●","")))</f>
      </c>
      <c r="K27" s="43">
        <f>IF(NOT(Planos!$A26&lt;&gt;""),"",IF(COUNTIFS(Programação!$B$4:$B$503,Planos!$A26,Programação!$I$4:$I$503,"Concluído",Programação!$G$4:$G$503,"&gt;="&amp;DATE(ano_ref,8,1),Programação!$G$4:$G$503,"&lt;="&amp;EOMONTH(DATE(ano_ref,8,1),0))&gt;0,"✔",IF(AND(ISNUMBER(Planos!$G26),IFERROR(INDEX(lst_frequencia_meses,MATCH(Planos!$E26,lst_frequencia,0)),0)&gt;0,(ano_ref*12+8)-(YEAR(Planos!$G26)*12+MONTH(Planos!$G26))&gt;0,MOD((ano_ref*12+8)-(YEAR(Planos!$G26)*12+MONTH(Planos!$G26)),MAX(1,IFERROR(INDEX(lst_frequencia_meses,MATCH(Planos!$E26,lst_frequencia,0)),0)))=0),"●","")))</f>
      </c>
      <c r="L27" s="43">
        <f>IF(NOT(Planos!$A26&lt;&gt;""),"",IF(COUNTIFS(Programação!$B$4:$B$503,Planos!$A26,Programação!$I$4:$I$503,"Concluído",Programação!$G$4:$G$503,"&gt;="&amp;DATE(ano_ref,9,1),Programação!$G$4:$G$503,"&lt;="&amp;EOMONTH(DATE(ano_ref,9,1),0))&gt;0,"✔",IF(AND(ISNUMBER(Planos!$G26),IFERROR(INDEX(lst_frequencia_meses,MATCH(Planos!$E26,lst_frequencia,0)),0)&gt;0,(ano_ref*12+9)-(YEAR(Planos!$G26)*12+MONTH(Planos!$G26))&gt;0,MOD((ano_ref*12+9)-(YEAR(Planos!$G26)*12+MONTH(Planos!$G26)),MAX(1,IFERROR(INDEX(lst_frequencia_meses,MATCH(Planos!$E26,lst_frequencia,0)),0)))=0),"●","")))</f>
      </c>
      <c r="M27" s="43">
        <f>IF(NOT(Planos!$A26&lt;&gt;""),"",IF(COUNTIFS(Programação!$B$4:$B$503,Planos!$A26,Programação!$I$4:$I$503,"Concluído",Programação!$G$4:$G$503,"&gt;="&amp;DATE(ano_ref,10,1),Programação!$G$4:$G$503,"&lt;="&amp;EOMONTH(DATE(ano_ref,10,1),0))&gt;0,"✔",IF(AND(ISNUMBER(Planos!$G26),IFERROR(INDEX(lst_frequencia_meses,MATCH(Planos!$E26,lst_frequencia,0)),0)&gt;0,(ano_ref*12+10)-(YEAR(Planos!$G26)*12+MONTH(Planos!$G26))&gt;0,MOD((ano_ref*12+10)-(YEAR(Planos!$G26)*12+MONTH(Planos!$G26)),MAX(1,IFERROR(INDEX(lst_frequencia_meses,MATCH(Planos!$E26,lst_frequencia,0)),0)))=0),"●","")))</f>
      </c>
      <c r="N27" s="43">
        <f>IF(NOT(Planos!$A26&lt;&gt;""),"",IF(COUNTIFS(Programação!$B$4:$B$503,Planos!$A26,Programação!$I$4:$I$503,"Concluído",Programação!$G$4:$G$503,"&gt;="&amp;DATE(ano_ref,11,1),Programação!$G$4:$G$503,"&lt;="&amp;EOMONTH(DATE(ano_ref,11,1),0))&gt;0,"✔",IF(AND(ISNUMBER(Planos!$G26),IFERROR(INDEX(lst_frequencia_meses,MATCH(Planos!$E26,lst_frequencia,0)),0)&gt;0,(ano_ref*12+11)-(YEAR(Planos!$G26)*12+MONTH(Planos!$G26))&gt;0,MOD((ano_ref*12+11)-(YEAR(Planos!$G26)*12+MONTH(Planos!$G26)),MAX(1,IFERROR(INDEX(lst_frequencia_meses,MATCH(Planos!$E26,lst_frequencia,0)),0)))=0),"●","")))</f>
      </c>
      <c r="O27" s="43">
        <f>IF(NOT(Planos!$A26&lt;&gt;""),"",IF(COUNTIFS(Programação!$B$4:$B$503,Planos!$A26,Programação!$I$4:$I$503,"Concluído",Programação!$G$4:$G$503,"&gt;="&amp;DATE(ano_ref,12,1),Programação!$G$4:$G$503,"&lt;="&amp;EOMONTH(DATE(ano_ref,12,1),0))&gt;0,"✔",IF(AND(ISNUMBER(Planos!$G26),IFERROR(INDEX(lst_frequencia_meses,MATCH(Planos!$E26,lst_frequencia,0)),0)&gt;0,(ano_ref*12+12)-(YEAR(Planos!$G26)*12+MONTH(Planos!$G26))&gt;0,MOD((ano_ref*12+12)-(YEAR(Planos!$G26)*12+MONTH(Planos!$G26)),MAX(1,IFERROR(INDEX(lst_frequencia_meses,MATCH(Planos!$E26,lst_frequencia,0)),0)))=0),"●","")))</f>
      </c>
      <c r="P27" s="44">
        <f>IF(COUNTIF(D27:O27,"✔")+COUNTIF(D27:O27,"●")=0,"",COUNTIF(D27:O27,"✔")/(COUNTIF(D27:O27,"✔")+COUNTIF(D27:O27,"●")))</f>
      </c>
    </row>
    <row r="28" spans="1:16" x14ac:dyDescent="0.25">
      <c r="A28" s="43">
        <f>IF(Planos!$A27&lt;&gt;"",Planos!A27&amp;"","")</f>
      </c>
      <c r="B28" s="43">
        <f>IF(Planos!$A27&lt;&gt;"",Planos!B27&amp;"","")</f>
      </c>
      <c r="C28" s="24">
        <f>IF(Planos!$A27&lt;&gt;"",Planos!C27&amp;"","")</f>
      </c>
      <c r="D28" s="43">
        <f>IF(NOT(Planos!$A27&lt;&gt;""),"",IF(COUNTIFS(Programação!$B$4:$B$503,Planos!$A27,Programação!$I$4:$I$503,"Concluído",Programação!$G$4:$G$503,"&gt;="&amp;DATE(ano_ref,1,1),Programação!$G$4:$G$503,"&lt;="&amp;EOMONTH(DATE(ano_ref,1,1),0))&gt;0,"✔",IF(AND(ISNUMBER(Planos!$G27),IFERROR(INDEX(lst_frequencia_meses,MATCH(Planos!$E27,lst_frequencia,0)),0)&gt;0,(ano_ref*12+1)-(YEAR(Planos!$G27)*12+MONTH(Planos!$G27))&gt;0,MOD((ano_ref*12+1)-(YEAR(Planos!$G27)*12+MONTH(Planos!$G27)),MAX(1,IFERROR(INDEX(lst_frequencia_meses,MATCH(Planos!$E27,lst_frequencia,0)),0)))=0),"●","")))</f>
      </c>
      <c r="E28" s="43">
        <f>IF(NOT(Planos!$A27&lt;&gt;""),"",IF(COUNTIFS(Programação!$B$4:$B$503,Planos!$A27,Programação!$I$4:$I$503,"Concluído",Programação!$G$4:$G$503,"&gt;="&amp;DATE(ano_ref,2,1),Programação!$G$4:$G$503,"&lt;="&amp;EOMONTH(DATE(ano_ref,2,1),0))&gt;0,"✔",IF(AND(ISNUMBER(Planos!$G27),IFERROR(INDEX(lst_frequencia_meses,MATCH(Planos!$E27,lst_frequencia,0)),0)&gt;0,(ano_ref*12+2)-(YEAR(Planos!$G27)*12+MONTH(Planos!$G27))&gt;0,MOD((ano_ref*12+2)-(YEAR(Planos!$G27)*12+MONTH(Planos!$G27)),MAX(1,IFERROR(INDEX(lst_frequencia_meses,MATCH(Planos!$E27,lst_frequencia,0)),0)))=0),"●","")))</f>
      </c>
      <c r="F28" s="43">
        <f>IF(NOT(Planos!$A27&lt;&gt;""),"",IF(COUNTIFS(Programação!$B$4:$B$503,Planos!$A27,Programação!$I$4:$I$503,"Concluído",Programação!$G$4:$G$503,"&gt;="&amp;DATE(ano_ref,3,1),Programação!$G$4:$G$503,"&lt;="&amp;EOMONTH(DATE(ano_ref,3,1),0))&gt;0,"✔",IF(AND(ISNUMBER(Planos!$G27),IFERROR(INDEX(lst_frequencia_meses,MATCH(Planos!$E27,lst_frequencia,0)),0)&gt;0,(ano_ref*12+3)-(YEAR(Planos!$G27)*12+MONTH(Planos!$G27))&gt;0,MOD((ano_ref*12+3)-(YEAR(Planos!$G27)*12+MONTH(Planos!$G27)),MAX(1,IFERROR(INDEX(lst_frequencia_meses,MATCH(Planos!$E27,lst_frequencia,0)),0)))=0),"●","")))</f>
      </c>
      <c r="G28" s="43">
        <f>IF(NOT(Planos!$A27&lt;&gt;""),"",IF(COUNTIFS(Programação!$B$4:$B$503,Planos!$A27,Programação!$I$4:$I$503,"Concluído",Programação!$G$4:$G$503,"&gt;="&amp;DATE(ano_ref,4,1),Programação!$G$4:$G$503,"&lt;="&amp;EOMONTH(DATE(ano_ref,4,1),0))&gt;0,"✔",IF(AND(ISNUMBER(Planos!$G27),IFERROR(INDEX(lst_frequencia_meses,MATCH(Planos!$E27,lst_frequencia,0)),0)&gt;0,(ano_ref*12+4)-(YEAR(Planos!$G27)*12+MONTH(Planos!$G27))&gt;0,MOD((ano_ref*12+4)-(YEAR(Planos!$G27)*12+MONTH(Planos!$G27)),MAX(1,IFERROR(INDEX(lst_frequencia_meses,MATCH(Planos!$E27,lst_frequencia,0)),0)))=0),"●","")))</f>
      </c>
      <c r="H28" s="43">
        <f>IF(NOT(Planos!$A27&lt;&gt;""),"",IF(COUNTIFS(Programação!$B$4:$B$503,Planos!$A27,Programação!$I$4:$I$503,"Concluído",Programação!$G$4:$G$503,"&gt;="&amp;DATE(ano_ref,5,1),Programação!$G$4:$G$503,"&lt;="&amp;EOMONTH(DATE(ano_ref,5,1),0))&gt;0,"✔",IF(AND(ISNUMBER(Planos!$G27),IFERROR(INDEX(lst_frequencia_meses,MATCH(Planos!$E27,lst_frequencia,0)),0)&gt;0,(ano_ref*12+5)-(YEAR(Planos!$G27)*12+MONTH(Planos!$G27))&gt;0,MOD((ano_ref*12+5)-(YEAR(Planos!$G27)*12+MONTH(Planos!$G27)),MAX(1,IFERROR(INDEX(lst_frequencia_meses,MATCH(Planos!$E27,lst_frequencia,0)),0)))=0),"●","")))</f>
      </c>
      <c r="I28" s="43">
        <f>IF(NOT(Planos!$A27&lt;&gt;""),"",IF(COUNTIFS(Programação!$B$4:$B$503,Planos!$A27,Programação!$I$4:$I$503,"Concluído",Programação!$G$4:$G$503,"&gt;="&amp;DATE(ano_ref,6,1),Programação!$G$4:$G$503,"&lt;="&amp;EOMONTH(DATE(ano_ref,6,1),0))&gt;0,"✔",IF(AND(ISNUMBER(Planos!$G27),IFERROR(INDEX(lst_frequencia_meses,MATCH(Planos!$E27,lst_frequencia,0)),0)&gt;0,(ano_ref*12+6)-(YEAR(Planos!$G27)*12+MONTH(Planos!$G27))&gt;0,MOD((ano_ref*12+6)-(YEAR(Planos!$G27)*12+MONTH(Planos!$G27)),MAX(1,IFERROR(INDEX(lst_frequencia_meses,MATCH(Planos!$E27,lst_frequencia,0)),0)))=0),"●","")))</f>
      </c>
      <c r="J28" s="43">
        <f>IF(NOT(Planos!$A27&lt;&gt;""),"",IF(COUNTIFS(Programação!$B$4:$B$503,Planos!$A27,Programação!$I$4:$I$503,"Concluído",Programação!$G$4:$G$503,"&gt;="&amp;DATE(ano_ref,7,1),Programação!$G$4:$G$503,"&lt;="&amp;EOMONTH(DATE(ano_ref,7,1),0))&gt;0,"✔",IF(AND(ISNUMBER(Planos!$G27),IFERROR(INDEX(lst_frequencia_meses,MATCH(Planos!$E27,lst_frequencia,0)),0)&gt;0,(ano_ref*12+7)-(YEAR(Planos!$G27)*12+MONTH(Planos!$G27))&gt;0,MOD((ano_ref*12+7)-(YEAR(Planos!$G27)*12+MONTH(Planos!$G27)),MAX(1,IFERROR(INDEX(lst_frequencia_meses,MATCH(Planos!$E27,lst_frequencia,0)),0)))=0),"●","")))</f>
      </c>
      <c r="K28" s="43">
        <f>IF(NOT(Planos!$A27&lt;&gt;""),"",IF(COUNTIFS(Programação!$B$4:$B$503,Planos!$A27,Programação!$I$4:$I$503,"Concluído",Programação!$G$4:$G$503,"&gt;="&amp;DATE(ano_ref,8,1),Programação!$G$4:$G$503,"&lt;="&amp;EOMONTH(DATE(ano_ref,8,1),0))&gt;0,"✔",IF(AND(ISNUMBER(Planos!$G27),IFERROR(INDEX(lst_frequencia_meses,MATCH(Planos!$E27,lst_frequencia,0)),0)&gt;0,(ano_ref*12+8)-(YEAR(Planos!$G27)*12+MONTH(Planos!$G27))&gt;0,MOD((ano_ref*12+8)-(YEAR(Planos!$G27)*12+MONTH(Planos!$G27)),MAX(1,IFERROR(INDEX(lst_frequencia_meses,MATCH(Planos!$E27,lst_frequencia,0)),0)))=0),"●","")))</f>
      </c>
      <c r="L28" s="43">
        <f>IF(NOT(Planos!$A27&lt;&gt;""),"",IF(COUNTIFS(Programação!$B$4:$B$503,Planos!$A27,Programação!$I$4:$I$503,"Concluído",Programação!$G$4:$G$503,"&gt;="&amp;DATE(ano_ref,9,1),Programação!$G$4:$G$503,"&lt;="&amp;EOMONTH(DATE(ano_ref,9,1),0))&gt;0,"✔",IF(AND(ISNUMBER(Planos!$G27),IFERROR(INDEX(lst_frequencia_meses,MATCH(Planos!$E27,lst_frequencia,0)),0)&gt;0,(ano_ref*12+9)-(YEAR(Planos!$G27)*12+MONTH(Planos!$G27))&gt;0,MOD((ano_ref*12+9)-(YEAR(Planos!$G27)*12+MONTH(Planos!$G27)),MAX(1,IFERROR(INDEX(lst_frequencia_meses,MATCH(Planos!$E27,lst_frequencia,0)),0)))=0),"●","")))</f>
      </c>
      <c r="M28" s="43">
        <f>IF(NOT(Planos!$A27&lt;&gt;""),"",IF(COUNTIFS(Programação!$B$4:$B$503,Planos!$A27,Programação!$I$4:$I$503,"Concluído",Programação!$G$4:$G$503,"&gt;="&amp;DATE(ano_ref,10,1),Programação!$G$4:$G$503,"&lt;="&amp;EOMONTH(DATE(ano_ref,10,1),0))&gt;0,"✔",IF(AND(ISNUMBER(Planos!$G27),IFERROR(INDEX(lst_frequencia_meses,MATCH(Planos!$E27,lst_frequencia,0)),0)&gt;0,(ano_ref*12+10)-(YEAR(Planos!$G27)*12+MONTH(Planos!$G27))&gt;0,MOD((ano_ref*12+10)-(YEAR(Planos!$G27)*12+MONTH(Planos!$G27)),MAX(1,IFERROR(INDEX(lst_frequencia_meses,MATCH(Planos!$E27,lst_frequencia,0)),0)))=0),"●","")))</f>
      </c>
      <c r="N28" s="43">
        <f>IF(NOT(Planos!$A27&lt;&gt;""),"",IF(COUNTIFS(Programação!$B$4:$B$503,Planos!$A27,Programação!$I$4:$I$503,"Concluído",Programação!$G$4:$G$503,"&gt;="&amp;DATE(ano_ref,11,1),Programação!$G$4:$G$503,"&lt;="&amp;EOMONTH(DATE(ano_ref,11,1),0))&gt;0,"✔",IF(AND(ISNUMBER(Planos!$G27),IFERROR(INDEX(lst_frequencia_meses,MATCH(Planos!$E27,lst_frequencia,0)),0)&gt;0,(ano_ref*12+11)-(YEAR(Planos!$G27)*12+MONTH(Planos!$G27))&gt;0,MOD((ano_ref*12+11)-(YEAR(Planos!$G27)*12+MONTH(Planos!$G27)),MAX(1,IFERROR(INDEX(lst_frequencia_meses,MATCH(Planos!$E27,lst_frequencia,0)),0)))=0),"●","")))</f>
      </c>
      <c r="O28" s="43">
        <f>IF(NOT(Planos!$A27&lt;&gt;""),"",IF(COUNTIFS(Programação!$B$4:$B$503,Planos!$A27,Programação!$I$4:$I$503,"Concluído",Programação!$G$4:$G$503,"&gt;="&amp;DATE(ano_ref,12,1),Programação!$G$4:$G$503,"&lt;="&amp;EOMONTH(DATE(ano_ref,12,1),0))&gt;0,"✔",IF(AND(ISNUMBER(Planos!$G27),IFERROR(INDEX(lst_frequencia_meses,MATCH(Planos!$E27,lst_frequencia,0)),0)&gt;0,(ano_ref*12+12)-(YEAR(Planos!$G27)*12+MONTH(Planos!$G27))&gt;0,MOD((ano_ref*12+12)-(YEAR(Planos!$G27)*12+MONTH(Planos!$G27)),MAX(1,IFERROR(INDEX(lst_frequencia_meses,MATCH(Planos!$E27,lst_frequencia,0)),0)))=0),"●","")))</f>
      </c>
      <c r="P28" s="44">
        <f>IF(COUNTIF(D28:O28,"✔")+COUNTIF(D28:O28,"●")=0,"",COUNTIF(D28:O28,"✔")/(COUNTIF(D28:O28,"✔")+COUNTIF(D28:O28,"●")))</f>
      </c>
    </row>
    <row r="29" spans="1:16" x14ac:dyDescent="0.25">
      <c r="A29" s="43">
        <f>IF(Planos!$A28&lt;&gt;"",Planos!A28&amp;"","")</f>
      </c>
      <c r="B29" s="43">
        <f>IF(Planos!$A28&lt;&gt;"",Planos!B28&amp;"","")</f>
      </c>
      <c r="C29" s="24">
        <f>IF(Planos!$A28&lt;&gt;"",Planos!C28&amp;"","")</f>
      </c>
      <c r="D29" s="43">
        <f>IF(NOT(Planos!$A28&lt;&gt;""),"",IF(COUNTIFS(Programação!$B$4:$B$503,Planos!$A28,Programação!$I$4:$I$503,"Concluído",Programação!$G$4:$G$503,"&gt;="&amp;DATE(ano_ref,1,1),Programação!$G$4:$G$503,"&lt;="&amp;EOMONTH(DATE(ano_ref,1,1),0))&gt;0,"✔",IF(AND(ISNUMBER(Planos!$G28),IFERROR(INDEX(lst_frequencia_meses,MATCH(Planos!$E28,lst_frequencia,0)),0)&gt;0,(ano_ref*12+1)-(YEAR(Planos!$G28)*12+MONTH(Planos!$G28))&gt;0,MOD((ano_ref*12+1)-(YEAR(Planos!$G28)*12+MONTH(Planos!$G28)),MAX(1,IFERROR(INDEX(lst_frequencia_meses,MATCH(Planos!$E28,lst_frequencia,0)),0)))=0),"●","")))</f>
      </c>
      <c r="E29" s="43">
        <f>IF(NOT(Planos!$A28&lt;&gt;""),"",IF(COUNTIFS(Programação!$B$4:$B$503,Planos!$A28,Programação!$I$4:$I$503,"Concluído",Programação!$G$4:$G$503,"&gt;="&amp;DATE(ano_ref,2,1),Programação!$G$4:$G$503,"&lt;="&amp;EOMONTH(DATE(ano_ref,2,1),0))&gt;0,"✔",IF(AND(ISNUMBER(Planos!$G28),IFERROR(INDEX(lst_frequencia_meses,MATCH(Planos!$E28,lst_frequencia,0)),0)&gt;0,(ano_ref*12+2)-(YEAR(Planos!$G28)*12+MONTH(Planos!$G28))&gt;0,MOD((ano_ref*12+2)-(YEAR(Planos!$G28)*12+MONTH(Planos!$G28)),MAX(1,IFERROR(INDEX(lst_frequencia_meses,MATCH(Planos!$E28,lst_frequencia,0)),0)))=0),"●","")))</f>
      </c>
      <c r="F29" s="43">
        <f>IF(NOT(Planos!$A28&lt;&gt;""),"",IF(COUNTIFS(Programação!$B$4:$B$503,Planos!$A28,Programação!$I$4:$I$503,"Concluído",Programação!$G$4:$G$503,"&gt;="&amp;DATE(ano_ref,3,1),Programação!$G$4:$G$503,"&lt;="&amp;EOMONTH(DATE(ano_ref,3,1),0))&gt;0,"✔",IF(AND(ISNUMBER(Planos!$G28),IFERROR(INDEX(lst_frequencia_meses,MATCH(Planos!$E28,lst_frequencia,0)),0)&gt;0,(ano_ref*12+3)-(YEAR(Planos!$G28)*12+MONTH(Planos!$G28))&gt;0,MOD((ano_ref*12+3)-(YEAR(Planos!$G28)*12+MONTH(Planos!$G28)),MAX(1,IFERROR(INDEX(lst_frequencia_meses,MATCH(Planos!$E28,lst_frequencia,0)),0)))=0),"●","")))</f>
      </c>
      <c r="G29" s="43">
        <f>IF(NOT(Planos!$A28&lt;&gt;""),"",IF(COUNTIFS(Programação!$B$4:$B$503,Planos!$A28,Programação!$I$4:$I$503,"Concluído",Programação!$G$4:$G$503,"&gt;="&amp;DATE(ano_ref,4,1),Programação!$G$4:$G$503,"&lt;="&amp;EOMONTH(DATE(ano_ref,4,1),0))&gt;0,"✔",IF(AND(ISNUMBER(Planos!$G28),IFERROR(INDEX(lst_frequencia_meses,MATCH(Planos!$E28,lst_frequencia,0)),0)&gt;0,(ano_ref*12+4)-(YEAR(Planos!$G28)*12+MONTH(Planos!$G28))&gt;0,MOD((ano_ref*12+4)-(YEAR(Planos!$G28)*12+MONTH(Planos!$G28)),MAX(1,IFERROR(INDEX(lst_frequencia_meses,MATCH(Planos!$E28,lst_frequencia,0)),0)))=0),"●","")))</f>
      </c>
      <c r="H29" s="43">
        <f>IF(NOT(Planos!$A28&lt;&gt;""),"",IF(COUNTIFS(Programação!$B$4:$B$503,Planos!$A28,Programação!$I$4:$I$503,"Concluído",Programação!$G$4:$G$503,"&gt;="&amp;DATE(ano_ref,5,1),Programação!$G$4:$G$503,"&lt;="&amp;EOMONTH(DATE(ano_ref,5,1),0))&gt;0,"✔",IF(AND(ISNUMBER(Planos!$G28),IFERROR(INDEX(lst_frequencia_meses,MATCH(Planos!$E28,lst_frequencia,0)),0)&gt;0,(ano_ref*12+5)-(YEAR(Planos!$G28)*12+MONTH(Planos!$G28))&gt;0,MOD((ano_ref*12+5)-(YEAR(Planos!$G28)*12+MONTH(Planos!$G28)),MAX(1,IFERROR(INDEX(lst_frequencia_meses,MATCH(Planos!$E28,lst_frequencia,0)),0)))=0),"●","")))</f>
      </c>
      <c r="I29" s="43">
        <f>IF(NOT(Planos!$A28&lt;&gt;""),"",IF(COUNTIFS(Programação!$B$4:$B$503,Planos!$A28,Programação!$I$4:$I$503,"Concluído",Programação!$G$4:$G$503,"&gt;="&amp;DATE(ano_ref,6,1),Programação!$G$4:$G$503,"&lt;="&amp;EOMONTH(DATE(ano_ref,6,1),0))&gt;0,"✔",IF(AND(ISNUMBER(Planos!$G28),IFERROR(INDEX(lst_frequencia_meses,MATCH(Planos!$E28,lst_frequencia,0)),0)&gt;0,(ano_ref*12+6)-(YEAR(Planos!$G28)*12+MONTH(Planos!$G28))&gt;0,MOD((ano_ref*12+6)-(YEAR(Planos!$G28)*12+MONTH(Planos!$G28)),MAX(1,IFERROR(INDEX(lst_frequencia_meses,MATCH(Planos!$E28,lst_frequencia,0)),0)))=0),"●","")))</f>
      </c>
      <c r="J29" s="43">
        <f>IF(NOT(Planos!$A28&lt;&gt;""),"",IF(COUNTIFS(Programação!$B$4:$B$503,Planos!$A28,Programação!$I$4:$I$503,"Concluído",Programação!$G$4:$G$503,"&gt;="&amp;DATE(ano_ref,7,1),Programação!$G$4:$G$503,"&lt;="&amp;EOMONTH(DATE(ano_ref,7,1),0))&gt;0,"✔",IF(AND(ISNUMBER(Planos!$G28),IFERROR(INDEX(lst_frequencia_meses,MATCH(Planos!$E28,lst_frequencia,0)),0)&gt;0,(ano_ref*12+7)-(YEAR(Planos!$G28)*12+MONTH(Planos!$G28))&gt;0,MOD((ano_ref*12+7)-(YEAR(Planos!$G28)*12+MONTH(Planos!$G28)),MAX(1,IFERROR(INDEX(lst_frequencia_meses,MATCH(Planos!$E28,lst_frequencia,0)),0)))=0),"●","")))</f>
      </c>
      <c r="K29" s="43">
        <f>IF(NOT(Planos!$A28&lt;&gt;""),"",IF(COUNTIFS(Programação!$B$4:$B$503,Planos!$A28,Programação!$I$4:$I$503,"Concluído",Programação!$G$4:$G$503,"&gt;="&amp;DATE(ano_ref,8,1),Programação!$G$4:$G$503,"&lt;="&amp;EOMONTH(DATE(ano_ref,8,1),0))&gt;0,"✔",IF(AND(ISNUMBER(Planos!$G28),IFERROR(INDEX(lst_frequencia_meses,MATCH(Planos!$E28,lst_frequencia,0)),0)&gt;0,(ano_ref*12+8)-(YEAR(Planos!$G28)*12+MONTH(Planos!$G28))&gt;0,MOD((ano_ref*12+8)-(YEAR(Planos!$G28)*12+MONTH(Planos!$G28)),MAX(1,IFERROR(INDEX(lst_frequencia_meses,MATCH(Planos!$E28,lst_frequencia,0)),0)))=0),"●","")))</f>
      </c>
      <c r="L29" s="43">
        <f>IF(NOT(Planos!$A28&lt;&gt;""),"",IF(COUNTIFS(Programação!$B$4:$B$503,Planos!$A28,Programação!$I$4:$I$503,"Concluído",Programação!$G$4:$G$503,"&gt;="&amp;DATE(ano_ref,9,1),Programação!$G$4:$G$503,"&lt;="&amp;EOMONTH(DATE(ano_ref,9,1),0))&gt;0,"✔",IF(AND(ISNUMBER(Planos!$G28),IFERROR(INDEX(lst_frequencia_meses,MATCH(Planos!$E28,lst_frequencia,0)),0)&gt;0,(ano_ref*12+9)-(YEAR(Planos!$G28)*12+MONTH(Planos!$G28))&gt;0,MOD((ano_ref*12+9)-(YEAR(Planos!$G28)*12+MONTH(Planos!$G28)),MAX(1,IFERROR(INDEX(lst_frequencia_meses,MATCH(Planos!$E28,lst_frequencia,0)),0)))=0),"●","")))</f>
      </c>
      <c r="M29" s="43">
        <f>IF(NOT(Planos!$A28&lt;&gt;""),"",IF(COUNTIFS(Programação!$B$4:$B$503,Planos!$A28,Programação!$I$4:$I$503,"Concluído",Programação!$G$4:$G$503,"&gt;="&amp;DATE(ano_ref,10,1),Programação!$G$4:$G$503,"&lt;="&amp;EOMONTH(DATE(ano_ref,10,1),0))&gt;0,"✔",IF(AND(ISNUMBER(Planos!$G28),IFERROR(INDEX(lst_frequencia_meses,MATCH(Planos!$E28,lst_frequencia,0)),0)&gt;0,(ano_ref*12+10)-(YEAR(Planos!$G28)*12+MONTH(Planos!$G28))&gt;0,MOD((ano_ref*12+10)-(YEAR(Planos!$G28)*12+MONTH(Planos!$G28)),MAX(1,IFERROR(INDEX(lst_frequencia_meses,MATCH(Planos!$E28,lst_frequencia,0)),0)))=0),"●","")))</f>
      </c>
      <c r="N29" s="43">
        <f>IF(NOT(Planos!$A28&lt;&gt;""),"",IF(COUNTIFS(Programação!$B$4:$B$503,Planos!$A28,Programação!$I$4:$I$503,"Concluído",Programação!$G$4:$G$503,"&gt;="&amp;DATE(ano_ref,11,1),Programação!$G$4:$G$503,"&lt;="&amp;EOMONTH(DATE(ano_ref,11,1),0))&gt;0,"✔",IF(AND(ISNUMBER(Planos!$G28),IFERROR(INDEX(lst_frequencia_meses,MATCH(Planos!$E28,lst_frequencia,0)),0)&gt;0,(ano_ref*12+11)-(YEAR(Planos!$G28)*12+MONTH(Planos!$G28))&gt;0,MOD((ano_ref*12+11)-(YEAR(Planos!$G28)*12+MONTH(Planos!$G28)),MAX(1,IFERROR(INDEX(lst_frequencia_meses,MATCH(Planos!$E28,lst_frequencia,0)),0)))=0),"●","")))</f>
      </c>
      <c r="O29" s="43">
        <f>IF(NOT(Planos!$A28&lt;&gt;""),"",IF(COUNTIFS(Programação!$B$4:$B$503,Planos!$A28,Programação!$I$4:$I$503,"Concluído",Programação!$G$4:$G$503,"&gt;="&amp;DATE(ano_ref,12,1),Programação!$G$4:$G$503,"&lt;="&amp;EOMONTH(DATE(ano_ref,12,1),0))&gt;0,"✔",IF(AND(ISNUMBER(Planos!$G28),IFERROR(INDEX(lst_frequencia_meses,MATCH(Planos!$E28,lst_frequencia,0)),0)&gt;0,(ano_ref*12+12)-(YEAR(Planos!$G28)*12+MONTH(Planos!$G28))&gt;0,MOD((ano_ref*12+12)-(YEAR(Planos!$G28)*12+MONTH(Planos!$G28)),MAX(1,IFERROR(INDEX(lst_frequencia_meses,MATCH(Planos!$E28,lst_frequencia,0)),0)))=0),"●","")))</f>
      </c>
      <c r="P29" s="44">
        <f>IF(COUNTIF(D29:O29,"✔")+COUNTIF(D29:O29,"●")=0,"",COUNTIF(D29:O29,"✔")/(COUNTIF(D29:O29,"✔")+COUNTIF(D29:O29,"●")))</f>
      </c>
    </row>
    <row r="30" spans="1:16" x14ac:dyDescent="0.25">
      <c r="A30" s="43">
        <f>IF(Planos!$A29&lt;&gt;"",Planos!A29&amp;"","")</f>
      </c>
      <c r="B30" s="43">
        <f>IF(Planos!$A29&lt;&gt;"",Planos!B29&amp;"","")</f>
      </c>
      <c r="C30" s="24">
        <f>IF(Planos!$A29&lt;&gt;"",Planos!C29&amp;"","")</f>
      </c>
      <c r="D30" s="43">
        <f>IF(NOT(Planos!$A29&lt;&gt;""),"",IF(COUNTIFS(Programação!$B$4:$B$503,Planos!$A29,Programação!$I$4:$I$503,"Concluído",Programação!$G$4:$G$503,"&gt;="&amp;DATE(ano_ref,1,1),Programação!$G$4:$G$503,"&lt;="&amp;EOMONTH(DATE(ano_ref,1,1),0))&gt;0,"✔",IF(AND(ISNUMBER(Planos!$G29),IFERROR(INDEX(lst_frequencia_meses,MATCH(Planos!$E29,lst_frequencia,0)),0)&gt;0,(ano_ref*12+1)-(YEAR(Planos!$G29)*12+MONTH(Planos!$G29))&gt;0,MOD((ano_ref*12+1)-(YEAR(Planos!$G29)*12+MONTH(Planos!$G29)),MAX(1,IFERROR(INDEX(lst_frequencia_meses,MATCH(Planos!$E29,lst_frequencia,0)),0)))=0),"●","")))</f>
      </c>
      <c r="E30" s="43">
        <f>IF(NOT(Planos!$A29&lt;&gt;""),"",IF(COUNTIFS(Programação!$B$4:$B$503,Planos!$A29,Programação!$I$4:$I$503,"Concluído",Programação!$G$4:$G$503,"&gt;="&amp;DATE(ano_ref,2,1),Programação!$G$4:$G$503,"&lt;="&amp;EOMONTH(DATE(ano_ref,2,1),0))&gt;0,"✔",IF(AND(ISNUMBER(Planos!$G29),IFERROR(INDEX(lst_frequencia_meses,MATCH(Planos!$E29,lst_frequencia,0)),0)&gt;0,(ano_ref*12+2)-(YEAR(Planos!$G29)*12+MONTH(Planos!$G29))&gt;0,MOD((ano_ref*12+2)-(YEAR(Planos!$G29)*12+MONTH(Planos!$G29)),MAX(1,IFERROR(INDEX(lst_frequencia_meses,MATCH(Planos!$E29,lst_frequencia,0)),0)))=0),"●","")))</f>
      </c>
      <c r="F30" s="43">
        <f>IF(NOT(Planos!$A29&lt;&gt;""),"",IF(COUNTIFS(Programação!$B$4:$B$503,Planos!$A29,Programação!$I$4:$I$503,"Concluído",Programação!$G$4:$G$503,"&gt;="&amp;DATE(ano_ref,3,1),Programação!$G$4:$G$503,"&lt;="&amp;EOMONTH(DATE(ano_ref,3,1),0))&gt;0,"✔",IF(AND(ISNUMBER(Planos!$G29),IFERROR(INDEX(lst_frequencia_meses,MATCH(Planos!$E29,lst_frequencia,0)),0)&gt;0,(ano_ref*12+3)-(YEAR(Planos!$G29)*12+MONTH(Planos!$G29))&gt;0,MOD((ano_ref*12+3)-(YEAR(Planos!$G29)*12+MONTH(Planos!$G29)),MAX(1,IFERROR(INDEX(lst_frequencia_meses,MATCH(Planos!$E29,lst_frequencia,0)),0)))=0),"●","")))</f>
      </c>
      <c r="G30" s="43">
        <f>IF(NOT(Planos!$A29&lt;&gt;""),"",IF(COUNTIFS(Programação!$B$4:$B$503,Planos!$A29,Programação!$I$4:$I$503,"Concluído",Programação!$G$4:$G$503,"&gt;="&amp;DATE(ano_ref,4,1),Programação!$G$4:$G$503,"&lt;="&amp;EOMONTH(DATE(ano_ref,4,1),0))&gt;0,"✔",IF(AND(ISNUMBER(Planos!$G29),IFERROR(INDEX(lst_frequencia_meses,MATCH(Planos!$E29,lst_frequencia,0)),0)&gt;0,(ano_ref*12+4)-(YEAR(Planos!$G29)*12+MONTH(Planos!$G29))&gt;0,MOD((ano_ref*12+4)-(YEAR(Planos!$G29)*12+MONTH(Planos!$G29)),MAX(1,IFERROR(INDEX(lst_frequencia_meses,MATCH(Planos!$E29,lst_frequencia,0)),0)))=0),"●","")))</f>
      </c>
      <c r="H30" s="43">
        <f>IF(NOT(Planos!$A29&lt;&gt;""),"",IF(COUNTIFS(Programação!$B$4:$B$503,Planos!$A29,Programação!$I$4:$I$503,"Concluído",Programação!$G$4:$G$503,"&gt;="&amp;DATE(ano_ref,5,1),Programação!$G$4:$G$503,"&lt;="&amp;EOMONTH(DATE(ano_ref,5,1),0))&gt;0,"✔",IF(AND(ISNUMBER(Planos!$G29),IFERROR(INDEX(lst_frequencia_meses,MATCH(Planos!$E29,lst_frequencia,0)),0)&gt;0,(ano_ref*12+5)-(YEAR(Planos!$G29)*12+MONTH(Planos!$G29))&gt;0,MOD((ano_ref*12+5)-(YEAR(Planos!$G29)*12+MONTH(Planos!$G29)),MAX(1,IFERROR(INDEX(lst_frequencia_meses,MATCH(Planos!$E29,lst_frequencia,0)),0)))=0),"●","")))</f>
      </c>
      <c r="I30" s="43">
        <f>IF(NOT(Planos!$A29&lt;&gt;""),"",IF(COUNTIFS(Programação!$B$4:$B$503,Planos!$A29,Programação!$I$4:$I$503,"Concluído",Programação!$G$4:$G$503,"&gt;="&amp;DATE(ano_ref,6,1),Programação!$G$4:$G$503,"&lt;="&amp;EOMONTH(DATE(ano_ref,6,1),0))&gt;0,"✔",IF(AND(ISNUMBER(Planos!$G29),IFERROR(INDEX(lst_frequencia_meses,MATCH(Planos!$E29,lst_frequencia,0)),0)&gt;0,(ano_ref*12+6)-(YEAR(Planos!$G29)*12+MONTH(Planos!$G29))&gt;0,MOD((ano_ref*12+6)-(YEAR(Planos!$G29)*12+MONTH(Planos!$G29)),MAX(1,IFERROR(INDEX(lst_frequencia_meses,MATCH(Planos!$E29,lst_frequencia,0)),0)))=0),"●","")))</f>
      </c>
      <c r="J30" s="43">
        <f>IF(NOT(Planos!$A29&lt;&gt;""),"",IF(COUNTIFS(Programação!$B$4:$B$503,Planos!$A29,Programação!$I$4:$I$503,"Concluído",Programação!$G$4:$G$503,"&gt;="&amp;DATE(ano_ref,7,1),Programação!$G$4:$G$503,"&lt;="&amp;EOMONTH(DATE(ano_ref,7,1),0))&gt;0,"✔",IF(AND(ISNUMBER(Planos!$G29),IFERROR(INDEX(lst_frequencia_meses,MATCH(Planos!$E29,lst_frequencia,0)),0)&gt;0,(ano_ref*12+7)-(YEAR(Planos!$G29)*12+MONTH(Planos!$G29))&gt;0,MOD((ano_ref*12+7)-(YEAR(Planos!$G29)*12+MONTH(Planos!$G29)),MAX(1,IFERROR(INDEX(lst_frequencia_meses,MATCH(Planos!$E29,lst_frequencia,0)),0)))=0),"●","")))</f>
      </c>
      <c r="K30" s="43">
        <f>IF(NOT(Planos!$A29&lt;&gt;""),"",IF(COUNTIFS(Programação!$B$4:$B$503,Planos!$A29,Programação!$I$4:$I$503,"Concluído",Programação!$G$4:$G$503,"&gt;="&amp;DATE(ano_ref,8,1),Programação!$G$4:$G$503,"&lt;="&amp;EOMONTH(DATE(ano_ref,8,1),0))&gt;0,"✔",IF(AND(ISNUMBER(Planos!$G29),IFERROR(INDEX(lst_frequencia_meses,MATCH(Planos!$E29,lst_frequencia,0)),0)&gt;0,(ano_ref*12+8)-(YEAR(Planos!$G29)*12+MONTH(Planos!$G29))&gt;0,MOD((ano_ref*12+8)-(YEAR(Planos!$G29)*12+MONTH(Planos!$G29)),MAX(1,IFERROR(INDEX(lst_frequencia_meses,MATCH(Planos!$E29,lst_frequencia,0)),0)))=0),"●","")))</f>
      </c>
      <c r="L30" s="43">
        <f>IF(NOT(Planos!$A29&lt;&gt;""),"",IF(COUNTIFS(Programação!$B$4:$B$503,Planos!$A29,Programação!$I$4:$I$503,"Concluído",Programação!$G$4:$G$503,"&gt;="&amp;DATE(ano_ref,9,1),Programação!$G$4:$G$503,"&lt;="&amp;EOMONTH(DATE(ano_ref,9,1),0))&gt;0,"✔",IF(AND(ISNUMBER(Planos!$G29),IFERROR(INDEX(lst_frequencia_meses,MATCH(Planos!$E29,lst_frequencia,0)),0)&gt;0,(ano_ref*12+9)-(YEAR(Planos!$G29)*12+MONTH(Planos!$G29))&gt;0,MOD((ano_ref*12+9)-(YEAR(Planos!$G29)*12+MONTH(Planos!$G29)),MAX(1,IFERROR(INDEX(lst_frequencia_meses,MATCH(Planos!$E29,lst_frequencia,0)),0)))=0),"●","")))</f>
      </c>
      <c r="M30" s="43">
        <f>IF(NOT(Planos!$A29&lt;&gt;""),"",IF(COUNTIFS(Programação!$B$4:$B$503,Planos!$A29,Programação!$I$4:$I$503,"Concluído",Programação!$G$4:$G$503,"&gt;="&amp;DATE(ano_ref,10,1),Programação!$G$4:$G$503,"&lt;="&amp;EOMONTH(DATE(ano_ref,10,1),0))&gt;0,"✔",IF(AND(ISNUMBER(Planos!$G29),IFERROR(INDEX(lst_frequencia_meses,MATCH(Planos!$E29,lst_frequencia,0)),0)&gt;0,(ano_ref*12+10)-(YEAR(Planos!$G29)*12+MONTH(Planos!$G29))&gt;0,MOD((ano_ref*12+10)-(YEAR(Planos!$G29)*12+MONTH(Planos!$G29)),MAX(1,IFERROR(INDEX(lst_frequencia_meses,MATCH(Planos!$E29,lst_frequencia,0)),0)))=0),"●","")))</f>
      </c>
      <c r="N30" s="43">
        <f>IF(NOT(Planos!$A29&lt;&gt;""),"",IF(COUNTIFS(Programação!$B$4:$B$503,Planos!$A29,Programação!$I$4:$I$503,"Concluído",Programação!$G$4:$G$503,"&gt;="&amp;DATE(ano_ref,11,1),Programação!$G$4:$G$503,"&lt;="&amp;EOMONTH(DATE(ano_ref,11,1),0))&gt;0,"✔",IF(AND(ISNUMBER(Planos!$G29),IFERROR(INDEX(lst_frequencia_meses,MATCH(Planos!$E29,lst_frequencia,0)),0)&gt;0,(ano_ref*12+11)-(YEAR(Planos!$G29)*12+MONTH(Planos!$G29))&gt;0,MOD((ano_ref*12+11)-(YEAR(Planos!$G29)*12+MONTH(Planos!$G29)),MAX(1,IFERROR(INDEX(lst_frequencia_meses,MATCH(Planos!$E29,lst_frequencia,0)),0)))=0),"●","")))</f>
      </c>
      <c r="O30" s="43">
        <f>IF(NOT(Planos!$A29&lt;&gt;""),"",IF(COUNTIFS(Programação!$B$4:$B$503,Planos!$A29,Programação!$I$4:$I$503,"Concluído",Programação!$G$4:$G$503,"&gt;="&amp;DATE(ano_ref,12,1),Programação!$G$4:$G$503,"&lt;="&amp;EOMONTH(DATE(ano_ref,12,1),0))&gt;0,"✔",IF(AND(ISNUMBER(Planos!$G29),IFERROR(INDEX(lst_frequencia_meses,MATCH(Planos!$E29,lst_frequencia,0)),0)&gt;0,(ano_ref*12+12)-(YEAR(Planos!$G29)*12+MONTH(Planos!$G29))&gt;0,MOD((ano_ref*12+12)-(YEAR(Planos!$G29)*12+MONTH(Planos!$G29)),MAX(1,IFERROR(INDEX(lst_frequencia_meses,MATCH(Planos!$E29,lst_frequencia,0)),0)))=0),"●","")))</f>
      </c>
      <c r="P30" s="44">
        <f>IF(COUNTIF(D30:O30,"✔")+COUNTIF(D30:O30,"●")=0,"",COUNTIF(D30:O30,"✔")/(COUNTIF(D30:O30,"✔")+COUNTIF(D30:O30,"●")))</f>
      </c>
    </row>
    <row r="31" spans="1:16" x14ac:dyDescent="0.25">
      <c r="A31" s="43">
        <f>IF(Planos!$A30&lt;&gt;"",Planos!A30&amp;"","")</f>
      </c>
      <c r="B31" s="43">
        <f>IF(Planos!$A30&lt;&gt;"",Planos!B30&amp;"","")</f>
      </c>
      <c r="C31" s="24">
        <f>IF(Planos!$A30&lt;&gt;"",Planos!C30&amp;"","")</f>
      </c>
      <c r="D31" s="43">
        <f>IF(NOT(Planos!$A30&lt;&gt;""),"",IF(COUNTIFS(Programação!$B$4:$B$503,Planos!$A30,Programação!$I$4:$I$503,"Concluído",Programação!$G$4:$G$503,"&gt;="&amp;DATE(ano_ref,1,1),Programação!$G$4:$G$503,"&lt;="&amp;EOMONTH(DATE(ano_ref,1,1),0))&gt;0,"✔",IF(AND(ISNUMBER(Planos!$G30),IFERROR(INDEX(lst_frequencia_meses,MATCH(Planos!$E30,lst_frequencia,0)),0)&gt;0,(ano_ref*12+1)-(YEAR(Planos!$G30)*12+MONTH(Planos!$G30))&gt;0,MOD((ano_ref*12+1)-(YEAR(Planos!$G30)*12+MONTH(Planos!$G30)),MAX(1,IFERROR(INDEX(lst_frequencia_meses,MATCH(Planos!$E30,lst_frequencia,0)),0)))=0),"●","")))</f>
      </c>
      <c r="E31" s="43">
        <f>IF(NOT(Planos!$A30&lt;&gt;""),"",IF(COUNTIFS(Programação!$B$4:$B$503,Planos!$A30,Programação!$I$4:$I$503,"Concluído",Programação!$G$4:$G$503,"&gt;="&amp;DATE(ano_ref,2,1),Programação!$G$4:$G$503,"&lt;="&amp;EOMONTH(DATE(ano_ref,2,1),0))&gt;0,"✔",IF(AND(ISNUMBER(Planos!$G30),IFERROR(INDEX(lst_frequencia_meses,MATCH(Planos!$E30,lst_frequencia,0)),0)&gt;0,(ano_ref*12+2)-(YEAR(Planos!$G30)*12+MONTH(Planos!$G30))&gt;0,MOD((ano_ref*12+2)-(YEAR(Planos!$G30)*12+MONTH(Planos!$G30)),MAX(1,IFERROR(INDEX(lst_frequencia_meses,MATCH(Planos!$E30,lst_frequencia,0)),0)))=0),"●","")))</f>
      </c>
      <c r="F31" s="43">
        <f>IF(NOT(Planos!$A30&lt;&gt;""),"",IF(COUNTIFS(Programação!$B$4:$B$503,Planos!$A30,Programação!$I$4:$I$503,"Concluído",Programação!$G$4:$G$503,"&gt;="&amp;DATE(ano_ref,3,1),Programação!$G$4:$G$503,"&lt;="&amp;EOMONTH(DATE(ano_ref,3,1),0))&gt;0,"✔",IF(AND(ISNUMBER(Planos!$G30),IFERROR(INDEX(lst_frequencia_meses,MATCH(Planos!$E30,lst_frequencia,0)),0)&gt;0,(ano_ref*12+3)-(YEAR(Planos!$G30)*12+MONTH(Planos!$G30))&gt;0,MOD((ano_ref*12+3)-(YEAR(Planos!$G30)*12+MONTH(Planos!$G30)),MAX(1,IFERROR(INDEX(lst_frequencia_meses,MATCH(Planos!$E30,lst_frequencia,0)),0)))=0),"●","")))</f>
      </c>
      <c r="G31" s="43">
        <f>IF(NOT(Planos!$A30&lt;&gt;""),"",IF(COUNTIFS(Programação!$B$4:$B$503,Planos!$A30,Programação!$I$4:$I$503,"Concluído",Programação!$G$4:$G$503,"&gt;="&amp;DATE(ano_ref,4,1),Programação!$G$4:$G$503,"&lt;="&amp;EOMONTH(DATE(ano_ref,4,1),0))&gt;0,"✔",IF(AND(ISNUMBER(Planos!$G30),IFERROR(INDEX(lst_frequencia_meses,MATCH(Planos!$E30,lst_frequencia,0)),0)&gt;0,(ano_ref*12+4)-(YEAR(Planos!$G30)*12+MONTH(Planos!$G30))&gt;0,MOD((ano_ref*12+4)-(YEAR(Planos!$G30)*12+MONTH(Planos!$G30)),MAX(1,IFERROR(INDEX(lst_frequencia_meses,MATCH(Planos!$E30,lst_frequencia,0)),0)))=0),"●","")))</f>
      </c>
      <c r="H31" s="43">
        <f>IF(NOT(Planos!$A30&lt;&gt;""),"",IF(COUNTIFS(Programação!$B$4:$B$503,Planos!$A30,Programação!$I$4:$I$503,"Concluído",Programação!$G$4:$G$503,"&gt;="&amp;DATE(ano_ref,5,1),Programação!$G$4:$G$503,"&lt;="&amp;EOMONTH(DATE(ano_ref,5,1),0))&gt;0,"✔",IF(AND(ISNUMBER(Planos!$G30),IFERROR(INDEX(lst_frequencia_meses,MATCH(Planos!$E30,lst_frequencia,0)),0)&gt;0,(ano_ref*12+5)-(YEAR(Planos!$G30)*12+MONTH(Planos!$G30))&gt;0,MOD((ano_ref*12+5)-(YEAR(Planos!$G30)*12+MONTH(Planos!$G30)),MAX(1,IFERROR(INDEX(lst_frequencia_meses,MATCH(Planos!$E30,lst_frequencia,0)),0)))=0),"●","")))</f>
      </c>
      <c r="I31" s="43">
        <f>IF(NOT(Planos!$A30&lt;&gt;""),"",IF(COUNTIFS(Programação!$B$4:$B$503,Planos!$A30,Programação!$I$4:$I$503,"Concluído",Programação!$G$4:$G$503,"&gt;="&amp;DATE(ano_ref,6,1),Programação!$G$4:$G$503,"&lt;="&amp;EOMONTH(DATE(ano_ref,6,1),0))&gt;0,"✔",IF(AND(ISNUMBER(Planos!$G30),IFERROR(INDEX(lst_frequencia_meses,MATCH(Planos!$E30,lst_frequencia,0)),0)&gt;0,(ano_ref*12+6)-(YEAR(Planos!$G30)*12+MONTH(Planos!$G30))&gt;0,MOD((ano_ref*12+6)-(YEAR(Planos!$G30)*12+MONTH(Planos!$G30)),MAX(1,IFERROR(INDEX(lst_frequencia_meses,MATCH(Planos!$E30,lst_frequencia,0)),0)))=0),"●","")))</f>
      </c>
      <c r="J31" s="43">
        <f>IF(NOT(Planos!$A30&lt;&gt;""),"",IF(COUNTIFS(Programação!$B$4:$B$503,Planos!$A30,Programação!$I$4:$I$503,"Concluído",Programação!$G$4:$G$503,"&gt;="&amp;DATE(ano_ref,7,1),Programação!$G$4:$G$503,"&lt;="&amp;EOMONTH(DATE(ano_ref,7,1),0))&gt;0,"✔",IF(AND(ISNUMBER(Planos!$G30),IFERROR(INDEX(lst_frequencia_meses,MATCH(Planos!$E30,lst_frequencia,0)),0)&gt;0,(ano_ref*12+7)-(YEAR(Planos!$G30)*12+MONTH(Planos!$G30))&gt;0,MOD((ano_ref*12+7)-(YEAR(Planos!$G30)*12+MONTH(Planos!$G30)),MAX(1,IFERROR(INDEX(lst_frequencia_meses,MATCH(Planos!$E30,lst_frequencia,0)),0)))=0),"●","")))</f>
      </c>
      <c r="K31" s="43">
        <f>IF(NOT(Planos!$A30&lt;&gt;""),"",IF(COUNTIFS(Programação!$B$4:$B$503,Planos!$A30,Programação!$I$4:$I$503,"Concluído",Programação!$G$4:$G$503,"&gt;="&amp;DATE(ano_ref,8,1),Programação!$G$4:$G$503,"&lt;="&amp;EOMONTH(DATE(ano_ref,8,1),0))&gt;0,"✔",IF(AND(ISNUMBER(Planos!$G30),IFERROR(INDEX(lst_frequencia_meses,MATCH(Planos!$E30,lst_frequencia,0)),0)&gt;0,(ano_ref*12+8)-(YEAR(Planos!$G30)*12+MONTH(Planos!$G30))&gt;0,MOD((ano_ref*12+8)-(YEAR(Planos!$G30)*12+MONTH(Planos!$G30)),MAX(1,IFERROR(INDEX(lst_frequencia_meses,MATCH(Planos!$E30,lst_frequencia,0)),0)))=0),"●","")))</f>
      </c>
      <c r="L31" s="43">
        <f>IF(NOT(Planos!$A30&lt;&gt;""),"",IF(COUNTIFS(Programação!$B$4:$B$503,Planos!$A30,Programação!$I$4:$I$503,"Concluído",Programação!$G$4:$G$503,"&gt;="&amp;DATE(ano_ref,9,1),Programação!$G$4:$G$503,"&lt;="&amp;EOMONTH(DATE(ano_ref,9,1),0))&gt;0,"✔",IF(AND(ISNUMBER(Planos!$G30),IFERROR(INDEX(lst_frequencia_meses,MATCH(Planos!$E30,lst_frequencia,0)),0)&gt;0,(ano_ref*12+9)-(YEAR(Planos!$G30)*12+MONTH(Planos!$G30))&gt;0,MOD((ano_ref*12+9)-(YEAR(Planos!$G30)*12+MONTH(Planos!$G30)),MAX(1,IFERROR(INDEX(lst_frequencia_meses,MATCH(Planos!$E30,lst_frequencia,0)),0)))=0),"●","")))</f>
      </c>
      <c r="M31" s="43">
        <f>IF(NOT(Planos!$A30&lt;&gt;""),"",IF(COUNTIFS(Programação!$B$4:$B$503,Planos!$A30,Programação!$I$4:$I$503,"Concluído",Programação!$G$4:$G$503,"&gt;="&amp;DATE(ano_ref,10,1),Programação!$G$4:$G$503,"&lt;="&amp;EOMONTH(DATE(ano_ref,10,1),0))&gt;0,"✔",IF(AND(ISNUMBER(Planos!$G30),IFERROR(INDEX(lst_frequencia_meses,MATCH(Planos!$E30,lst_frequencia,0)),0)&gt;0,(ano_ref*12+10)-(YEAR(Planos!$G30)*12+MONTH(Planos!$G30))&gt;0,MOD((ano_ref*12+10)-(YEAR(Planos!$G30)*12+MONTH(Planos!$G30)),MAX(1,IFERROR(INDEX(lst_frequencia_meses,MATCH(Planos!$E30,lst_frequencia,0)),0)))=0),"●","")))</f>
      </c>
      <c r="N31" s="43">
        <f>IF(NOT(Planos!$A30&lt;&gt;""),"",IF(COUNTIFS(Programação!$B$4:$B$503,Planos!$A30,Programação!$I$4:$I$503,"Concluído",Programação!$G$4:$G$503,"&gt;="&amp;DATE(ano_ref,11,1),Programação!$G$4:$G$503,"&lt;="&amp;EOMONTH(DATE(ano_ref,11,1),0))&gt;0,"✔",IF(AND(ISNUMBER(Planos!$G30),IFERROR(INDEX(lst_frequencia_meses,MATCH(Planos!$E30,lst_frequencia,0)),0)&gt;0,(ano_ref*12+11)-(YEAR(Planos!$G30)*12+MONTH(Planos!$G30))&gt;0,MOD((ano_ref*12+11)-(YEAR(Planos!$G30)*12+MONTH(Planos!$G30)),MAX(1,IFERROR(INDEX(lst_frequencia_meses,MATCH(Planos!$E30,lst_frequencia,0)),0)))=0),"●","")))</f>
      </c>
      <c r="O31" s="43">
        <f>IF(NOT(Planos!$A30&lt;&gt;""),"",IF(COUNTIFS(Programação!$B$4:$B$503,Planos!$A30,Programação!$I$4:$I$503,"Concluído",Programação!$G$4:$G$503,"&gt;="&amp;DATE(ano_ref,12,1),Programação!$G$4:$G$503,"&lt;="&amp;EOMONTH(DATE(ano_ref,12,1),0))&gt;0,"✔",IF(AND(ISNUMBER(Planos!$G30),IFERROR(INDEX(lst_frequencia_meses,MATCH(Planos!$E30,lst_frequencia,0)),0)&gt;0,(ano_ref*12+12)-(YEAR(Planos!$G30)*12+MONTH(Planos!$G30))&gt;0,MOD((ano_ref*12+12)-(YEAR(Planos!$G30)*12+MONTH(Planos!$G30)),MAX(1,IFERROR(INDEX(lst_frequencia_meses,MATCH(Planos!$E30,lst_frequencia,0)),0)))=0),"●","")))</f>
      </c>
      <c r="P31" s="44">
        <f>IF(COUNTIF(D31:O31,"✔")+COUNTIF(D31:O31,"●")=0,"",COUNTIF(D31:O31,"✔")/(COUNTIF(D31:O31,"✔")+COUNTIF(D31:O31,"●")))</f>
      </c>
    </row>
    <row r="32" spans="1:16" x14ac:dyDescent="0.25">
      <c r="A32" s="43">
        <f>IF(Planos!$A31&lt;&gt;"",Planos!A31&amp;"","")</f>
      </c>
      <c r="B32" s="43">
        <f>IF(Planos!$A31&lt;&gt;"",Planos!B31&amp;"","")</f>
      </c>
      <c r="C32" s="24">
        <f>IF(Planos!$A31&lt;&gt;"",Planos!C31&amp;"","")</f>
      </c>
      <c r="D32" s="43">
        <f>IF(NOT(Planos!$A31&lt;&gt;""),"",IF(COUNTIFS(Programação!$B$4:$B$503,Planos!$A31,Programação!$I$4:$I$503,"Concluído",Programação!$G$4:$G$503,"&gt;="&amp;DATE(ano_ref,1,1),Programação!$G$4:$G$503,"&lt;="&amp;EOMONTH(DATE(ano_ref,1,1),0))&gt;0,"✔",IF(AND(ISNUMBER(Planos!$G31),IFERROR(INDEX(lst_frequencia_meses,MATCH(Planos!$E31,lst_frequencia,0)),0)&gt;0,(ano_ref*12+1)-(YEAR(Planos!$G31)*12+MONTH(Planos!$G31))&gt;0,MOD((ano_ref*12+1)-(YEAR(Planos!$G31)*12+MONTH(Planos!$G31)),MAX(1,IFERROR(INDEX(lst_frequencia_meses,MATCH(Planos!$E31,lst_frequencia,0)),0)))=0),"●","")))</f>
      </c>
      <c r="E32" s="43">
        <f>IF(NOT(Planos!$A31&lt;&gt;""),"",IF(COUNTIFS(Programação!$B$4:$B$503,Planos!$A31,Programação!$I$4:$I$503,"Concluído",Programação!$G$4:$G$503,"&gt;="&amp;DATE(ano_ref,2,1),Programação!$G$4:$G$503,"&lt;="&amp;EOMONTH(DATE(ano_ref,2,1),0))&gt;0,"✔",IF(AND(ISNUMBER(Planos!$G31),IFERROR(INDEX(lst_frequencia_meses,MATCH(Planos!$E31,lst_frequencia,0)),0)&gt;0,(ano_ref*12+2)-(YEAR(Planos!$G31)*12+MONTH(Planos!$G31))&gt;0,MOD((ano_ref*12+2)-(YEAR(Planos!$G31)*12+MONTH(Planos!$G31)),MAX(1,IFERROR(INDEX(lst_frequencia_meses,MATCH(Planos!$E31,lst_frequencia,0)),0)))=0),"●","")))</f>
      </c>
      <c r="F32" s="43">
        <f>IF(NOT(Planos!$A31&lt;&gt;""),"",IF(COUNTIFS(Programação!$B$4:$B$503,Planos!$A31,Programação!$I$4:$I$503,"Concluído",Programação!$G$4:$G$503,"&gt;="&amp;DATE(ano_ref,3,1),Programação!$G$4:$G$503,"&lt;="&amp;EOMONTH(DATE(ano_ref,3,1),0))&gt;0,"✔",IF(AND(ISNUMBER(Planos!$G31),IFERROR(INDEX(lst_frequencia_meses,MATCH(Planos!$E31,lst_frequencia,0)),0)&gt;0,(ano_ref*12+3)-(YEAR(Planos!$G31)*12+MONTH(Planos!$G31))&gt;0,MOD((ano_ref*12+3)-(YEAR(Planos!$G31)*12+MONTH(Planos!$G31)),MAX(1,IFERROR(INDEX(lst_frequencia_meses,MATCH(Planos!$E31,lst_frequencia,0)),0)))=0),"●","")))</f>
      </c>
      <c r="G32" s="43">
        <f>IF(NOT(Planos!$A31&lt;&gt;""),"",IF(COUNTIFS(Programação!$B$4:$B$503,Planos!$A31,Programação!$I$4:$I$503,"Concluído",Programação!$G$4:$G$503,"&gt;="&amp;DATE(ano_ref,4,1),Programação!$G$4:$G$503,"&lt;="&amp;EOMONTH(DATE(ano_ref,4,1),0))&gt;0,"✔",IF(AND(ISNUMBER(Planos!$G31),IFERROR(INDEX(lst_frequencia_meses,MATCH(Planos!$E31,lst_frequencia,0)),0)&gt;0,(ano_ref*12+4)-(YEAR(Planos!$G31)*12+MONTH(Planos!$G31))&gt;0,MOD((ano_ref*12+4)-(YEAR(Planos!$G31)*12+MONTH(Planos!$G31)),MAX(1,IFERROR(INDEX(lst_frequencia_meses,MATCH(Planos!$E31,lst_frequencia,0)),0)))=0),"●","")))</f>
      </c>
      <c r="H32" s="43">
        <f>IF(NOT(Planos!$A31&lt;&gt;""),"",IF(COUNTIFS(Programação!$B$4:$B$503,Planos!$A31,Programação!$I$4:$I$503,"Concluído",Programação!$G$4:$G$503,"&gt;="&amp;DATE(ano_ref,5,1),Programação!$G$4:$G$503,"&lt;="&amp;EOMONTH(DATE(ano_ref,5,1),0))&gt;0,"✔",IF(AND(ISNUMBER(Planos!$G31),IFERROR(INDEX(lst_frequencia_meses,MATCH(Planos!$E31,lst_frequencia,0)),0)&gt;0,(ano_ref*12+5)-(YEAR(Planos!$G31)*12+MONTH(Planos!$G31))&gt;0,MOD((ano_ref*12+5)-(YEAR(Planos!$G31)*12+MONTH(Planos!$G31)),MAX(1,IFERROR(INDEX(lst_frequencia_meses,MATCH(Planos!$E31,lst_frequencia,0)),0)))=0),"●","")))</f>
      </c>
      <c r="I32" s="43">
        <f>IF(NOT(Planos!$A31&lt;&gt;""),"",IF(COUNTIFS(Programação!$B$4:$B$503,Planos!$A31,Programação!$I$4:$I$503,"Concluído",Programação!$G$4:$G$503,"&gt;="&amp;DATE(ano_ref,6,1),Programação!$G$4:$G$503,"&lt;="&amp;EOMONTH(DATE(ano_ref,6,1),0))&gt;0,"✔",IF(AND(ISNUMBER(Planos!$G31),IFERROR(INDEX(lst_frequencia_meses,MATCH(Planos!$E31,lst_frequencia,0)),0)&gt;0,(ano_ref*12+6)-(YEAR(Planos!$G31)*12+MONTH(Planos!$G31))&gt;0,MOD((ano_ref*12+6)-(YEAR(Planos!$G31)*12+MONTH(Planos!$G31)),MAX(1,IFERROR(INDEX(lst_frequencia_meses,MATCH(Planos!$E31,lst_frequencia,0)),0)))=0),"●","")))</f>
      </c>
      <c r="J32" s="43">
        <f>IF(NOT(Planos!$A31&lt;&gt;""),"",IF(COUNTIFS(Programação!$B$4:$B$503,Planos!$A31,Programação!$I$4:$I$503,"Concluído",Programação!$G$4:$G$503,"&gt;="&amp;DATE(ano_ref,7,1),Programação!$G$4:$G$503,"&lt;="&amp;EOMONTH(DATE(ano_ref,7,1),0))&gt;0,"✔",IF(AND(ISNUMBER(Planos!$G31),IFERROR(INDEX(lst_frequencia_meses,MATCH(Planos!$E31,lst_frequencia,0)),0)&gt;0,(ano_ref*12+7)-(YEAR(Planos!$G31)*12+MONTH(Planos!$G31))&gt;0,MOD((ano_ref*12+7)-(YEAR(Planos!$G31)*12+MONTH(Planos!$G31)),MAX(1,IFERROR(INDEX(lst_frequencia_meses,MATCH(Planos!$E31,lst_frequencia,0)),0)))=0),"●","")))</f>
      </c>
      <c r="K32" s="43">
        <f>IF(NOT(Planos!$A31&lt;&gt;""),"",IF(COUNTIFS(Programação!$B$4:$B$503,Planos!$A31,Programação!$I$4:$I$503,"Concluído",Programação!$G$4:$G$503,"&gt;="&amp;DATE(ano_ref,8,1),Programação!$G$4:$G$503,"&lt;="&amp;EOMONTH(DATE(ano_ref,8,1),0))&gt;0,"✔",IF(AND(ISNUMBER(Planos!$G31),IFERROR(INDEX(lst_frequencia_meses,MATCH(Planos!$E31,lst_frequencia,0)),0)&gt;0,(ano_ref*12+8)-(YEAR(Planos!$G31)*12+MONTH(Planos!$G31))&gt;0,MOD((ano_ref*12+8)-(YEAR(Planos!$G31)*12+MONTH(Planos!$G31)),MAX(1,IFERROR(INDEX(lst_frequencia_meses,MATCH(Planos!$E31,lst_frequencia,0)),0)))=0),"●","")))</f>
      </c>
      <c r="L32" s="43">
        <f>IF(NOT(Planos!$A31&lt;&gt;""),"",IF(COUNTIFS(Programação!$B$4:$B$503,Planos!$A31,Programação!$I$4:$I$503,"Concluído",Programação!$G$4:$G$503,"&gt;="&amp;DATE(ano_ref,9,1),Programação!$G$4:$G$503,"&lt;="&amp;EOMONTH(DATE(ano_ref,9,1),0))&gt;0,"✔",IF(AND(ISNUMBER(Planos!$G31),IFERROR(INDEX(lst_frequencia_meses,MATCH(Planos!$E31,lst_frequencia,0)),0)&gt;0,(ano_ref*12+9)-(YEAR(Planos!$G31)*12+MONTH(Planos!$G31))&gt;0,MOD((ano_ref*12+9)-(YEAR(Planos!$G31)*12+MONTH(Planos!$G31)),MAX(1,IFERROR(INDEX(lst_frequencia_meses,MATCH(Planos!$E31,lst_frequencia,0)),0)))=0),"●","")))</f>
      </c>
      <c r="M32" s="43">
        <f>IF(NOT(Planos!$A31&lt;&gt;""),"",IF(COUNTIFS(Programação!$B$4:$B$503,Planos!$A31,Programação!$I$4:$I$503,"Concluído",Programação!$G$4:$G$503,"&gt;="&amp;DATE(ano_ref,10,1),Programação!$G$4:$G$503,"&lt;="&amp;EOMONTH(DATE(ano_ref,10,1),0))&gt;0,"✔",IF(AND(ISNUMBER(Planos!$G31),IFERROR(INDEX(lst_frequencia_meses,MATCH(Planos!$E31,lst_frequencia,0)),0)&gt;0,(ano_ref*12+10)-(YEAR(Planos!$G31)*12+MONTH(Planos!$G31))&gt;0,MOD((ano_ref*12+10)-(YEAR(Planos!$G31)*12+MONTH(Planos!$G31)),MAX(1,IFERROR(INDEX(lst_frequencia_meses,MATCH(Planos!$E31,lst_frequencia,0)),0)))=0),"●","")))</f>
      </c>
      <c r="N32" s="43">
        <f>IF(NOT(Planos!$A31&lt;&gt;""),"",IF(COUNTIFS(Programação!$B$4:$B$503,Planos!$A31,Programação!$I$4:$I$503,"Concluído",Programação!$G$4:$G$503,"&gt;="&amp;DATE(ano_ref,11,1),Programação!$G$4:$G$503,"&lt;="&amp;EOMONTH(DATE(ano_ref,11,1),0))&gt;0,"✔",IF(AND(ISNUMBER(Planos!$G31),IFERROR(INDEX(lst_frequencia_meses,MATCH(Planos!$E31,lst_frequencia,0)),0)&gt;0,(ano_ref*12+11)-(YEAR(Planos!$G31)*12+MONTH(Planos!$G31))&gt;0,MOD((ano_ref*12+11)-(YEAR(Planos!$G31)*12+MONTH(Planos!$G31)),MAX(1,IFERROR(INDEX(lst_frequencia_meses,MATCH(Planos!$E31,lst_frequencia,0)),0)))=0),"●","")))</f>
      </c>
      <c r="O32" s="43">
        <f>IF(NOT(Planos!$A31&lt;&gt;""),"",IF(COUNTIFS(Programação!$B$4:$B$503,Planos!$A31,Programação!$I$4:$I$503,"Concluído",Programação!$G$4:$G$503,"&gt;="&amp;DATE(ano_ref,12,1),Programação!$G$4:$G$503,"&lt;="&amp;EOMONTH(DATE(ano_ref,12,1),0))&gt;0,"✔",IF(AND(ISNUMBER(Planos!$G31),IFERROR(INDEX(lst_frequencia_meses,MATCH(Planos!$E31,lst_frequencia,0)),0)&gt;0,(ano_ref*12+12)-(YEAR(Planos!$G31)*12+MONTH(Planos!$G31))&gt;0,MOD((ano_ref*12+12)-(YEAR(Planos!$G31)*12+MONTH(Planos!$G31)),MAX(1,IFERROR(INDEX(lst_frequencia_meses,MATCH(Planos!$E31,lst_frequencia,0)),0)))=0),"●","")))</f>
      </c>
      <c r="P32" s="44">
        <f>IF(COUNTIF(D32:O32,"✔")+COUNTIF(D32:O32,"●")=0,"",COUNTIF(D32:O32,"✔")/(COUNTIF(D32:O32,"✔")+COUNTIF(D32:O32,"●")))</f>
      </c>
    </row>
    <row r="33" spans="1:16" x14ac:dyDescent="0.25">
      <c r="A33" s="43">
        <f>IF(Planos!$A32&lt;&gt;"",Planos!A32&amp;"","")</f>
      </c>
      <c r="B33" s="43">
        <f>IF(Planos!$A32&lt;&gt;"",Planos!B32&amp;"","")</f>
      </c>
      <c r="C33" s="24">
        <f>IF(Planos!$A32&lt;&gt;"",Planos!C32&amp;"","")</f>
      </c>
      <c r="D33" s="43">
        <f>IF(NOT(Planos!$A32&lt;&gt;""),"",IF(COUNTIFS(Programação!$B$4:$B$503,Planos!$A32,Programação!$I$4:$I$503,"Concluído",Programação!$G$4:$G$503,"&gt;="&amp;DATE(ano_ref,1,1),Programação!$G$4:$G$503,"&lt;="&amp;EOMONTH(DATE(ano_ref,1,1),0))&gt;0,"✔",IF(AND(ISNUMBER(Planos!$G32),IFERROR(INDEX(lst_frequencia_meses,MATCH(Planos!$E32,lst_frequencia,0)),0)&gt;0,(ano_ref*12+1)-(YEAR(Planos!$G32)*12+MONTH(Planos!$G32))&gt;0,MOD((ano_ref*12+1)-(YEAR(Planos!$G32)*12+MONTH(Planos!$G32)),MAX(1,IFERROR(INDEX(lst_frequencia_meses,MATCH(Planos!$E32,lst_frequencia,0)),0)))=0),"●","")))</f>
      </c>
      <c r="E33" s="43">
        <f>IF(NOT(Planos!$A32&lt;&gt;""),"",IF(COUNTIFS(Programação!$B$4:$B$503,Planos!$A32,Programação!$I$4:$I$503,"Concluído",Programação!$G$4:$G$503,"&gt;="&amp;DATE(ano_ref,2,1),Programação!$G$4:$G$503,"&lt;="&amp;EOMONTH(DATE(ano_ref,2,1),0))&gt;0,"✔",IF(AND(ISNUMBER(Planos!$G32),IFERROR(INDEX(lst_frequencia_meses,MATCH(Planos!$E32,lst_frequencia,0)),0)&gt;0,(ano_ref*12+2)-(YEAR(Planos!$G32)*12+MONTH(Planos!$G32))&gt;0,MOD((ano_ref*12+2)-(YEAR(Planos!$G32)*12+MONTH(Planos!$G32)),MAX(1,IFERROR(INDEX(lst_frequencia_meses,MATCH(Planos!$E32,lst_frequencia,0)),0)))=0),"●","")))</f>
      </c>
      <c r="F33" s="43">
        <f>IF(NOT(Planos!$A32&lt;&gt;""),"",IF(COUNTIFS(Programação!$B$4:$B$503,Planos!$A32,Programação!$I$4:$I$503,"Concluído",Programação!$G$4:$G$503,"&gt;="&amp;DATE(ano_ref,3,1),Programação!$G$4:$G$503,"&lt;="&amp;EOMONTH(DATE(ano_ref,3,1),0))&gt;0,"✔",IF(AND(ISNUMBER(Planos!$G32),IFERROR(INDEX(lst_frequencia_meses,MATCH(Planos!$E32,lst_frequencia,0)),0)&gt;0,(ano_ref*12+3)-(YEAR(Planos!$G32)*12+MONTH(Planos!$G32))&gt;0,MOD((ano_ref*12+3)-(YEAR(Planos!$G32)*12+MONTH(Planos!$G32)),MAX(1,IFERROR(INDEX(lst_frequencia_meses,MATCH(Planos!$E32,lst_frequencia,0)),0)))=0),"●","")))</f>
      </c>
      <c r="G33" s="43">
        <f>IF(NOT(Planos!$A32&lt;&gt;""),"",IF(COUNTIFS(Programação!$B$4:$B$503,Planos!$A32,Programação!$I$4:$I$503,"Concluído",Programação!$G$4:$G$503,"&gt;="&amp;DATE(ano_ref,4,1),Programação!$G$4:$G$503,"&lt;="&amp;EOMONTH(DATE(ano_ref,4,1),0))&gt;0,"✔",IF(AND(ISNUMBER(Planos!$G32),IFERROR(INDEX(lst_frequencia_meses,MATCH(Planos!$E32,lst_frequencia,0)),0)&gt;0,(ano_ref*12+4)-(YEAR(Planos!$G32)*12+MONTH(Planos!$G32))&gt;0,MOD((ano_ref*12+4)-(YEAR(Planos!$G32)*12+MONTH(Planos!$G32)),MAX(1,IFERROR(INDEX(lst_frequencia_meses,MATCH(Planos!$E32,lst_frequencia,0)),0)))=0),"●","")))</f>
      </c>
      <c r="H33" s="43">
        <f>IF(NOT(Planos!$A32&lt;&gt;""),"",IF(COUNTIFS(Programação!$B$4:$B$503,Planos!$A32,Programação!$I$4:$I$503,"Concluído",Programação!$G$4:$G$503,"&gt;="&amp;DATE(ano_ref,5,1),Programação!$G$4:$G$503,"&lt;="&amp;EOMONTH(DATE(ano_ref,5,1),0))&gt;0,"✔",IF(AND(ISNUMBER(Planos!$G32),IFERROR(INDEX(lst_frequencia_meses,MATCH(Planos!$E32,lst_frequencia,0)),0)&gt;0,(ano_ref*12+5)-(YEAR(Planos!$G32)*12+MONTH(Planos!$G32))&gt;0,MOD((ano_ref*12+5)-(YEAR(Planos!$G32)*12+MONTH(Planos!$G32)),MAX(1,IFERROR(INDEX(lst_frequencia_meses,MATCH(Planos!$E32,lst_frequencia,0)),0)))=0),"●","")))</f>
      </c>
      <c r="I33" s="43">
        <f>IF(NOT(Planos!$A32&lt;&gt;""),"",IF(COUNTIFS(Programação!$B$4:$B$503,Planos!$A32,Programação!$I$4:$I$503,"Concluído",Programação!$G$4:$G$503,"&gt;="&amp;DATE(ano_ref,6,1),Programação!$G$4:$G$503,"&lt;="&amp;EOMONTH(DATE(ano_ref,6,1),0))&gt;0,"✔",IF(AND(ISNUMBER(Planos!$G32),IFERROR(INDEX(lst_frequencia_meses,MATCH(Planos!$E32,lst_frequencia,0)),0)&gt;0,(ano_ref*12+6)-(YEAR(Planos!$G32)*12+MONTH(Planos!$G32))&gt;0,MOD((ano_ref*12+6)-(YEAR(Planos!$G32)*12+MONTH(Planos!$G32)),MAX(1,IFERROR(INDEX(lst_frequencia_meses,MATCH(Planos!$E32,lst_frequencia,0)),0)))=0),"●","")))</f>
      </c>
      <c r="J33" s="43">
        <f>IF(NOT(Planos!$A32&lt;&gt;""),"",IF(COUNTIFS(Programação!$B$4:$B$503,Planos!$A32,Programação!$I$4:$I$503,"Concluído",Programação!$G$4:$G$503,"&gt;="&amp;DATE(ano_ref,7,1),Programação!$G$4:$G$503,"&lt;="&amp;EOMONTH(DATE(ano_ref,7,1),0))&gt;0,"✔",IF(AND(ISNUMBER(Planos!$G32),IFERROR(INDEX(lst_frequencia_meses,MATCH(Planos!$E32,lst_frequencia,0)),0)&gt;0,(ano_ref*12+7)-(YEAR(Planos!$G32)*12+MONTH(Planos!$G32))&gt;0,MOD((ano_ref*12+7)-(YEAR(Planos!$G32)*12+MONTH(Planos!$G32)),MAX(1,IFERROR(INDEX(lst_frequencia_meses,MATCH(Planos!$E32,lst_frequencia,0)),0)))=0),"●","")))</f>
      </c>
      <c r="K33" s="43">
        <f>IF(NOT(Planos!$A32&lt;&gt;""),"",IF(COUNTIFS(Programação!$B$4:$B$503,Planos!$A32,Programação!$I$4:$I$503,"Concluído",Programação!$G$4:$G$503,"&gt;="&amp;DATE(ano_ref,8,1),Programação!$G$4:$G$503,"&lt;="&amp;EOMONTH(DATE(ano_ref,8,1),0))&gt;0,"✔",IF(AND(ISNUMBER(Planos!$G32),IFERROR(INDEX(lst_frequencia_meses,MATCH(Planos!$E32,lst_frequencia,0)),0)&gt;0,(ano_ref*12+8)-(YEAR(Planos!$G32)*12+MONTH(Planos!$G32))&gt;0,MOD((ano_ref*12+8)-(YEAR(Planos!$G32)*12+MONTH(Planos!$G32)),MAX(1,IFERROR(INDEX(lst_frequencia_meses,MATCH(Planos!$E32,lst_frequencia,0)),0)))=0),"●","")))</f>
      </c>
      <c r="L33" s="43">
        <f>IF(NOT(Planos!$A32&lt;&gt;""),"",IF(COUNTIFS(Programação!$B$4:$B$503,Planos!$A32,Programação!$I$4:$I$503,"Concluído",Programação!$G$4:$G$503,"&gt;="&amp;DATE(ano_ref,9,1),Programação!$G$4:$G$503,"&lt;="&amp;EOMONTH(DATE(ano_ref,9,1),0))&gt;0,"✔",IF(AND(ISNUMBER(Planos!$G32),IFERROR(INDEX(lst_frequencia_meses,MATCH(Planos!$E32,lst_frequencia,0)),0)&gt;0,(ano_ref*12+9)-(YEAR(Planos!$G32)*12+MONTH(Planos!$G32))&gt;0,MOD((ano_ref*12+9)-(YEAR(Planos!$G32)*12+MONTH(Planos!$G32)),MAX(1,IFERROR(INDEX(lst_frequencia_meses,MATCH(Planos!$E32,lst_frequencia,0)),0)))=0),"●","")))</f>
      </c>
      <c r="M33" s="43">
        <f>IF(NOT(Planos!$A32&lt;&gt;""),"",IF(COUNTIFS(Programação!$B$4:$B$503,Planos!$A32,Programação!$I$4:$I$503,"Concluído",Programação!$G$4:$G$503,"&gt;="&amp;DATE(ano_ref,10,1),Programação!$G$4:$G$503,"&lt;="&amp;EOMONTH(DATE(ano_ref,10,1),0))&gt;0,"✔",IF(AND(ISNUMBER(Planos!$G32),IFERROR(INDEX(lst_frequencia_meses,MATCH(Planos!$E32,lst_frequencia,0)),0)&gt;0,(ano_ref*12+10)-(YEAR(Planos!$G32)*12+MONTH(Planos!$G32))&gt;0,MOD((ano_ref*12+10)-(YEAR(Planos!$G32)*12+MONTH(Planos!$G32)),MAX(1,IFERROR(INDEX(lst_frequencia_meses,MATCH(Planos!$E32,lst_frequencia,0)),0)))=0),"●","")))</f>
      </c>
      <c r="N33" s="43">
        <f>IF(NOT(Planos!$A32&lt;&gt;""),"",IF(COUNTIFS(Programação!$B$4:$B$503,Planos!$A32,Programação!$I$4:$I$503,"Concluído",Programação!$G$4:$G$503,"&gt;="&amp;DATE(ano_ref,11,1),Programação!$G$4:$G$503,"&lt;="&amp;EOMONTH(DATE(ano_ref,11,1),0))&gt;0,"✔",IF(AND(ISNUMBER(Planos!$G32),IFERROR(INDEX(lst_frequencia_meses,MATCH(Planos!$E32,lst_frequencia,0)),0)&gt;0,(ano_ref*12+11)-(YEAR(Planos!$G32)*12+MONTH(Planos!$G32))&gt;0,MOD((ano_ref*12+11)-(YEAR(Planos!$G32)*12+MONTH(Planos!$G32)),MAX(1,IFERROR(INDEX(lst_frequencia_meses,MATCH(Planos!$E32,lst_frequencia,0)),0)))=0),"●","")))</f>
      </c>
      <c r="O33" s="43">
        <f>IF(NOT(Planos!$A32&lt;&gt;""),"",IF(COUNTIFS(Programação!$B$4:$B$503,Planos!$A32,Programação!$I$4:$I$503,"Concluído",Programação!$G$4:$G$503,"&gt;="&amp;DATE(ano_ref,12,1),Programação!$G$4:$G$503,"&lt;="&amp;EOMONTH(DATE(ano_ref,12,1),0))&gt;0,"✔",IF(AND(ISNUMBER(Planos!$G32),IFERROR(INDEX(lst_frequencia_meses,MATCH(Planos!$E32,lst_frequencia,0)),0)&gt;0,(ano_ref*12+12)-(YEAR(Planos!$G32)*12+MONTH(Planos!$G32))&gt;0,MOD((ano_ref*12+12)-(YEAR(Planos!$G32)*12+MONTH(Planos!$G32)),MAX(1,IFERROR(INDEX(lst_frequencia_meses,MATCH(Planos!$E32,lst_frequencia,0)),0)))=0),"●","")))</f>
      </c>
      <c r="P33" s="44">
        <f>IF(COUNTIF(D33:O33,"✔")+COUNTIF(D33:O33,"●")=0,"",COUNTIF(D33:O33,"✔")/(COUNTIF(D33:O33,"✔")+COUNTIF(D33:O33,"●")))</f>
      </c>
    </row>
    <row r="34" spans="1:16" x14ac:dyDescent="0.25">
      <c r="A34" s="43">
        <f>IF(Planos!$A33&lt;&gt;"",Planos!A33&amp;"","")</f>
      </c>
      <c r="B34" s="43">
        <f>IF(Planos!$A33&lt;&gt;"",Planos!B33&amp;"","")</f>
      </c>
      <c r="C34" s="24">
        <f>IF(Planos!$A33&lt;&gt;"",Planos!C33&amp;"","")</f>
      </c>
      <c r="D34" s="43">
        <f>IF(NOT(Planos!$A33&lt;&gt;""),"",IF(COUNTIFS(Programação!$B$4:$B$503,Planos!$A33,Programação!$I$4:$I$503,"Concluído",Programação!$G$4:$G$503,"&gt;="&amp;DATE(ano_ref,1,1),Programação!$G$4:$G$503,"&lt;="&amp;EOMONTH(DATE(ano_ref,1,1),0))&gt;0,"✔",IF(AND(ISNUMBER(Planos!$G33),IFERROR(INDEX(lst_frequencia_meses,MATCH(Planos!$E33,lst_frequencia,0)),0)&gt;0,(ano_ref*12+1)-(YEAR(Planos!$G33)*12+MONTH(Planos!$G33))&gt;0,MOD((ano_ref*12+1)-(YEAR(Planos!$G33)*12+MONTH(Planos!$G33)),MAX(1,IFERROR(INDEX(lst_frequencia_meses,MATCH(Planos!$E33,lst_frequencia,0)),0)))=0),"●","")))</f>
      </c>
      <c r="E34" s="43">
        <f>IF(NOT(Planos!$A33&lt;&gt;""),"",IF(COUNTIFS(Programação!$B$4:$B$503,Planos!$A33,Programação!$I$4:$I$503,"Concluído",Programação!$G$4:$G$503,"&gt;="&amp;DATE(ano_ref,2,1),Programação!$G$4:$G$503,"&lt;="&amp;EOMONTH(DATE(ano_ref,2,1),0))&gt;0,"✔",IF(AND(ISNUMBER(Planos!$G33),IFERROR(INDEX(lst_frequencia_meses,MATCH(Planos!$E33,lst_frequencia,0)),0)&gt;0,(ano_ref*12+2)-(YEAR(Planos!$G33)*12+MONTH(Planos!$G33))&gt;0,MOD((ano_ref*12+2)-(YEAR(Planos!$G33)*12+MONTH(Planos!$G33)),MAX(1,IFERROR(INDEX(lst_frequencia_meses,MATCH(Planos!$E33,lst_frequencia,0)),0)))=0),"●","")))</f>
      </c>
      <c r="F34" s="43">
        <f>IF(NOT(Planos!$A33&lt;&gt;""),"",IF(COUNTIFS(Programação!$B$4:$B$503,Planos!$A33,Programação!$I$4:$I$503,"Concluído",Programação!$G$4:$G$503,"&gt;="&amp;DATE(ano_ref,3,1),Programação!$G$4:$G$503,"&lt;="&amp;EOMONTH(DATE(ano_ref,3,1),0))&gt;0,"✔",IF(AND(ISNUMBER(Planos!$G33),IFERROR(INDEX(lst_frequencia_meses,MATCH(Planos!$E33,lst_frequencia,0)),0)&gt;0,(ano_ref*12+3)-(YEAR(Planos!$G33)*12+MONTH(Planos!$G33))&gt;0,MOD((ano_ref*12+3)-(YEAR(Planos!$G33)*12+MONTH(Planos!$G33)),MAX(1,IFERROR(INDEX(lst_frequencia_meses,MATCH(Planos!$E33,lst_frequencia,0)),0)))=0),"●","")))</f>
      </c>
      <c r="G34" s="43">
        <f>IF(NOT(Planos!$A33&lt;&gt;""),"",IF(COUNTIFS(Programação!$B$4:$B$503,Planos!$A33,Programação!$I$4:$I$503,"Concluído",Programação!$G$4:$G$503,"&gt;="&amp;DATE(ano_ref,4,1),Programação!$G$4:$G$503,"&lt;="&amp;EOMONTH(DATE(ano_ref,4,1),0))&gt;0,"✔",IF(AND(ISNUMBER(Planos!$G33),IFERROR(INDEX(lst_frequencia_meses,MATCH(Planos!$E33,lst_frequencia,0)),0)&gt;0,(ano_ref*12+4)-(YEAR(Planos!$G33)*12+MONTH(Planos!$G33))&gt;0,MOD((ano_ref*12+4)-(YEAR(Planos!$G33)*12+MONTH(Planos!$G33)),MAX(1,IFERROR(INDEX(lst_frequencia_meses,MATCH(Planos!$E33,lst_frequencia,0)),0)))=0),"●","")))</f>
      </c>
      <c r="H34" s="43">
        <f>IF(NOT(Planos!$A33&lt;&gt;""),"",IF(COUNTIFS(Programação!$B$4:$B$503,Planos!$A33,Programação!$I$4:$I$503,"Concluído",Programação!$G$4:$G$503,"&gt;="&amp;DATE(ano_ref,5,1),Programação!$G$4:$G$503,"&lt;="&amp;EOMONTH(DATE(ano_ref,5,1),0))&gt;0,"✔",IF(AND(ISNUMBER(Planos!$G33),IFERROR(INDEX(lst_frequencia_meses,MATCH(Planos!$E33,lst_frequencia,0)),0)&gt;0,(ano_ref*12+5)-(YEAR(Planos!$G33)*12+MONTH(Planos!$G33))&gt;0,MOD((ano_ref*12+5)-(YEAR(Planos!$G33)*12+MONTH(Planos!$G33)),MAX(1,IFERROR(INDEX(lst_frequencia_meses,MATCH(Planos!$E33,lst_frequencia,0)),0)))=0),"●","")))</f>
      </c>
      <c r="I34" s="43">
        <f>IF(NOT(Planos!$A33&lt;&gt;""),"",IF(COUNTIFS(Programação!$B$4:$B$503,Planos!$A33,Programação!$I$4:$I$503,"Concluído",Programação!$G$4:$G$503,"&gt;="&amp;DATE(ano_ref,6,1),Programação!$G$4:$G$503,"&lt;="&amp;EOMONTH(DATE(ano_ref,6,1),0))&gt;0,"✔",IF(AND(ISNUMBER(Planos!$G33),IFERROR(INDEX(lst_frequencia_meses,MATCH(Planos!$E33,lst_frequencia,0)),0)&gt;0,(ano_ref*12+6)-(YEAR(Planos!$G33)*12+MONTH(Planos!$G33))&gt;0,MOD((ano_ref*12+6)-(YEAR(Planos!$G33)*12+MONTH(Planos!$G33)),MAX(1,IFERROR(INDEX(lst_frequencia_meses,MATCH(Planos!$E33,lst_frequencia,0)),0)))=0),"●","")))</f>
      </c>
      <c r="J34" s="43">
        <f>IF(NOT(Planos!$A33&lt;&gt;""),"",IF(COUNTIFS(Programação!$B$4:$B$503,Planos!$A33,Programação!$I$4:$I$503,"Concluído",Programação!$G$4:$G$503,"&gt;="&amp;DATE(ano_ref,7,1),Programação!$G$4:$G$503,"&lt;="&amp;EOMONTH(DATE(ano_ref,7,1),0))&gt;0,"✔",IF(AND(ISNUMBER(Planos!$G33),IFERROR(INDEX(lst_frequencia_meses,MATCH(Planos!$E33,lst_frequencia,0)),0)&gt;0,(ano_ref*12+7)-(YEAR(Planos!$G33)*12+MONTH(Planos!$G33))&gt;0,MOD((ano_ref*12+7)-(YEAR(Planos!$G33)*12+MONTH(Planos!$G33)),MAX(1,IFERROR(INDEX(lst_frequencia_meses,MATCH(Planos!$E33,lst_frequencia,0)),0)))=0),"●","")))</f>
      </c>
      <c r="K34" s="43">
        <f>IF(NOT(Planos!$A33&lt;&gt;""),"",IF(COUNTIFS(Programação!$B$4:$B$503,Planos!$A33,Programação!$I$4:$I$503,"Concluído",Programação!$G$4:$G$503,"&gt;="&amp;DATE(ano_ref,8,1),Programação!$G$4:$G$503,"&lt;="&amp;EOMONTH(DATE(ano_ref,8,1),0))&gt;0,"✔",IF(AND(ISNUMBER(Planos!$G33),IFERROR(INDEX(lst_frequencia_meses,MATCH(Planos!$E33,lst_frequencia,0)),0)&gt;0,(ano_ref*12+8)-(YEAR(Planos!$G33)*12+MONTH(Planos!$G33))&gt;0,MOD((ano_ref*12+8)-(YEAR(Planos!$G33)*12+MONTH(Planos!$G33)),MAX(1,IFERROR(INDEX(lst_frequencia_meses,MATCH(Planos!$E33,lst_frequencia,0)),0)))=0),"●","")))</f>
      </c>
      <c r="L34" s="43">
        <f>IF(NOT(Planos!$A33&lt;&gt;""),"",IF(COUNTIFS(Programação!$B$4:$B$503,Planos!$A33,Programação!$I$4:$I$503,"Concluído",Programação!$G$4:$G$503,"&gt;="&amp;DATE(ano_ref,9,1),Programação!$G$4:$G$503,"&lt;="&amp;EOMONTH(DATE(ano_ref,9,1),0))&gt;0,"✔",IF(AND(ISNUMBER(Planos!$G33),IFERROR(INDEX(lst_frequencia_meses,MATCH(Planos!$E33,lst_frequencia,0)),0)&gt;0,(ano_ref*12+9)-(YEAR(Planos!$G33)*12+MONTH(Planos!$G33))&gt;0,MOD((ano_ref*12+9)-(YEAR(Planos!$G33)*12+MONTH(Planos!$G33)),MAX(1,IFERROR(INDEX(lst_frequencia_meses,MATCH(Planos!$E33,lst_frequencia,0)),0)))=0),"●","")))</f>
      </c>
      <c r="M34" s="43">
        <f>IF(NOT(Planos!$A33&lt;&gt;""),"",IF(COUNTIFS(Programação!$B$4:$B$503,Planos!$A33,Programação!$I$4:$I$503,"Concluído",Programação!$G$4:$G$503,"&gt;="&amp;DATE(ano_ref,10,1),Programação!$G$4:$G$503,"&lt;="&amp;EOMONTH(DATE(ano_ref,10,1),0))&gt;0,"✔",IF(AND(ISNUMBER(Planos!$G33),IFERROR(INDEX(lst_frequencia_meses,MATCH(Planos!$E33,lst_frequencia,0)),0)&gt;0,(ano_ref*12+10)-(YEAR(Planos!$G33)*12+MONTH(Planos!$G33))&gt;0,MOD((ano_ref*12+10)-(YEAR(Planos!$G33)*12+MONTH(Planos!$G33)),MAX(1,IFERROR(INDEX(lst_frequencia_meses,MATCH(Planos!$E33,lst_frequencia,0)),0)))=0),"●","")))</f>
      </c>
      <c r="N34" s="43">
        <f>IF(NOT(Planos!$A33&lt;&gt;""),"",IF(COUNTIFS(Programação!$B$4:$B$503,Planos!$A33,Programação!$I$4:$I$503,"Concluído",Programação!$G$4:$G$503,"&gt;="&amp;DATE(ano_ref,11,1),Programação!$G$4:$G$503,"&lt;="&amp;EOMONTH(DATE(ano_ref,11,1),0))&gt;0,"✔",IF(AND(ISNUMBER(Planos!$G33),IFERROR(INDEX(lst_frequencia_meses,MATCH(Planos!$E33,lst_frequencia,0)),0)&gt;0,(ano_ref*12+11)-(YEAR(Planos!$G33)*12+MONTH(Planos!$G33))&gt;0,MOD((ano_ref*12+11)-(YEAR(Planos!$G33)*12+MONTH(Planos!$G33)),MAX(1,IFERROR(INDEX(lst_frequencia_meses,MATCH(Planos!$E33,lst_frequencia,0)),0)))=0),"●","")))</f>
      </c>
      <c r="O34" s="43">
        <f>IF(NOT(Planos!$A33&lt;&gt;""),"",IF(COUNTIFS(Programação!$B$4:$B$503,Planos!$A33,Programação!$I$4:$I$503,"Concluído",Programação!$G$4:$G$503,"&gt;="&amp;DATE(ano_ref,12,1),Programação!$G$4:$G$503,"&lt;="&amp;EOMONTH(DATE(ano_ref,12,1),0))&gt;0,"✔",IF(AND(ISNUMBER(Planos!$G33),IFERROR(INDEX(lst_frequencia_meses,MATCH(Planos!$E33,lst_frequencia,0)),0)&gt;0,(ano_ref*12+12)-(YEAR(Planos!$G33)*12+MONTH(Planos!$G33))&gt;0,MOD((ano_ref*12+12)-(YEAR(Planos!$G33)*12+MONTH(Planos!$G33)),MAX(1,IFERROR(INDEX(lst_frequencia_meses,MATCH(Planos!$E33,lst_frequencia,0)),0)))=0),"●","")))</f>
      </c>
      <c r="P34" s="44">
        <f>IF(COUNTIF(D34:O34,"✔")+COUNTIF(D34:O34,"●")=0,"",COUNTIF(D34:O34,"✔")/(COUNTIF(D34:O34,"✔")+COUNTIF(D34:O34,"●")))</f>
      </c>
    </row>
    <row r="35" spans="1:16" x14ac:dyDescent="0.25">
      <c r="A35" s="43">
        <f>IF(Planos!$A34&lt;&gt;"",Planos!A34&amp;"","")</f>
      </c>
      <c r="B35" s="43">
        <f>IF(Planos!$A34&lt;&gt;"",Planos!B34&amp;"","")</f>
      </c>
      <c r="C35" s="24">
        <f>IF(Planos!$A34&lt;&gt;"",Planos!C34&amp;"","")</f>
      </c>
      <c r="D35" s="43">
        <f>IF(NOT(Planos!$A34&lt;&gt;""),"",IF(COUNTIFS(Programação!$B$4:$B$503,Planos!$A34,Programação!$I$4:$I$503,"Concluído",Programação!$G$4:$G$503,"&gt;="&amp;DATE(ano_ref,1,1),Programação!$G$4:$G$503,"&lt;="&amp;EOMONTH(DATE(ano_ref,1,1),0))&gt;0,"✔",IF(AND(ISNUMBER(Planos!$G34),IFERROR(INDEX(lst_frequencia_meses,MATCH(Planos!$E34,lst_frequencia,0)),0)&gt;0,(ano_ref*12+1)-(YEAR(Planos!$G34)*12+MONTH(Planos!$G34))&gt;0,MOD((ano_ref*12+1)-(YEAR(Planos!$G34)*12+MONTH(Planos!$G34)),MAX(1,IFERROR(INDEX(lst_frequencia_meses,MATCH(Planos!$E34,lst_frequencia,0)),0)))=0),"●","")))</f>
      </c>
      <c r="E35" s="43">
        <f>IF(NOT(Planos!$A34&lt;&gt;""),"",IF(COUNTIFS(Programação!$B$4:$B$503,Planos!$A34,Programação!$I$4:$I$503,"Concluído",Programação!$G$4:$G$503,"&gt;="&amp;DATE(ano_ref,2,1),Programação!$G$4:$G$503,"&lt;="&amp;EOMONTH(DATE(ano_ref,2,1),0))&gt;0,"✔",IF(AND(ISNUMBER(Planos!$G34),IFERROR(INDEX(lst_frequencia_meses,MATCH(Planos!$E34,lst_frequencia,0)),0)&gt;0,(ano_ref*12+2)-(YEAR(Planos!$G34)*12+MONTH(Planos!$G34))&gt;0,MOD((ano_ref*12+2)-(YEAR(Planos!$G34)*12+MONTH(Planos!$G34)),MAX(1,IFERROR(INDEX(lst_frequencia_meses,MATCH(Planos!$E34,lst_frequencia,0)),0)))=0),"●","")))</f>
      </c>
      <c r="F35" s="43">
        <f>IF(NOT(Planos!$A34&lt;&gt;""),"",IF(COUNTIFS(Programação!$B$4:$B$503,Planos!$A34,Programação!$I$4:$I$503,"Concluído",Programação!$G$4:$G$503,"&gt;="&amp;DATE(ano_ref,3,1),Programação!$G$4:$G$503,"&lt;="&amp;EOMONTH(DATE(ano_ref,3,1),0))&gt;0,"✔",IF(AND(ISNUMBER(Planos!$G34),IFERROR(INDEX(lst_frequencia_meses,MATCH(Planos!$E34,lst_frequencia,0)),0)&gt;0,(ano_ref*12+3)-(YEAR(Planos!$G34)*12+MONTH(Planos!$G34))&gt;0,MOD((ano_ref*12+3)-(YEAR(Planos!$G34)*12+MONTH(Planos!$G34)),MAX(1,IFERROR(INDEX(lst_frequencia_meses,MATCH(Planos!$E34,lst_frequencia,0)),0)))=0),"●","")))</f>
      </c>
      <c r="G35" s="43">
        <f>IF(NOT(Planos!$A34&lt;&gt;""),"",IF(COUNTIFS(Programação!$B$4:$B$503,Planos!$A34,Programação!$I$4:$I$503,"Concluído",Programação!$G$4:$G$503,"&gt;="&amp;DATE(ano_ref,4,1),Programação!$G$4:$G$503,"&lt;="&amp;EOMONTH(DATE(ano_ref,4,1),0))&gt;0,"✔",IF(AND(ISNUMBER(Planos!$G34),IFERROR(INDEX(lst_frequencia_meses,MATCH(Planos!$E34,lst_frequencia,0)),0)&gt;0,(ano_ref*12+4)-(YEAR(Planos!$G34)*12+MONTH(Planos!$G34))&gt;0,MOD((ano_ref*12+4)-(YEAR(Planos!$G34)*12+MONTH(Planos!$G34)),MAX(1,IFERROR(INDEX(lst_frequencia_meses,MATCH(Planos!$E34,lst_frequencia,0)),0)))=0),"●","")))</f>
      </c>
      <c r="H35" s="43">
        <f>IF(NOT(Planos!$A34&lt;&gt;""),"",IF(COUNTIFS(Programação!$B$4:$B$503,Planos!$A34,Programação!$I$4:$I$503,"Concluído",Programação!$G$4:$G$503,"&gt;="&amp;DATE(ano_ref,5,1),Programação!$G$4:$G$503,"&lt;="&amp;EOMONTH(DATE(ano_ref,5,1),0))&gt;0,"✔",IF(AND(ISNUMBER(Planos!$G34),IFERROR(INDEX(lst_frequencia_meses,MATCH(Planos!$E34,lst_frequencia,0)),0)&gt;0,(ano_ref*12+5)-(YEAR(Planos!$G34)*12+MONTH(Planos!$G34))&gt;0,MOD((ano_ref*12+5)-(YEAR(Planos!$G34)*12+MONTH(Planos!$G34)),MAX(1,IFERROR(INDEX(lst_frequencia_meses,MATCH(Planos!$E34,lst_frequencia,0)),0)))=0),"●","")))</f>
      </c>
      <c r="I35" s="43">
        <f>IF(NOT(Planos!$A34&lt;&gt;""),"",IF(COUNTIFS(Programação!$B$4:$B$503,Planos!$A34,Programação!$I$4:$I$503,"Concluído",Programação!$G$4:$G$503,"&gt;="&amp;DATE(ano_ref,6,1),Programação!$G$4:$G$503,"&lt;="&amp;EOMONTH(DATE(ano_ref,6,1),0))&gt;0,"✔",IF(AND(ISNUMBER(Planos!$G34),IFERROR(INDEX(lst_frequencia_meses,MATCH(Planos!$E34,lst_frequencia,0)),0)&gt;0,(ano_ref*12+6)-(YEAR(Planos!$G34)*12+MONTH(Planos!$G34))&gt;0,MOD((ano_ref*12+6)-(YEAR(Planos!$G34)*12+MONTH(Planos!$G34)),MAX(1,IFERROR(INDEX(lst_frequencia_meses,MATCH(Planos!$E34,lst_frequencia,0)),0)))=0),"●","")))</f>
      </c>
      <c r="J35" s="43">
        <f>IF(NOT(Planos!$A34&lt;&gt;""),"",IF(COUNTIFS(Programação!$B$4:$B$503,Planos!$A34,Programação!$I$4:$I$503,"Concluído",Programação!$G$4:$G$503,"&gt;="&amp;DATE(ano_ref,7,1),Programação!$G$4:$G$503,"&lt;="&amp;EOMONTH(DATE(ano_ref,7,1),0))&gt;0,"✔",IF(AND(ISNUMBER(Planos!$G34),IFERROR(INDEX(lst_frequencia_meses,MATCH(Planos!$E34,lst_frequencia,0)),0)&gt;0,(ano_ref*12+7)-(YEAR(Planos!$G34)*12+MONTH(Planos!$G34))&gt;0,MOD((ano_ref*12+7)-(YEAR(Planos!$G34)*12+MONTH(Planos!$G34)),MAX(1,IFERROR(INDEX(lst_frequencia_meses,MATCH(Planos!$E34,lst_frequencia,0)),0)))=0),"●","")))</f>
      </c>
      <c r="K35" s="43">
        <f>IF(NOT(Planos!$A34&lt;&gt;""),"",IF(COUNTIFS(Programação!$B$4:$B$503,Planos!$A34,Programação!$I$4:$I$503,"Concluído",Programação!$G$4:$G$503,"&gt;="&amp;DATE(ano_ref,8,1),Programação!$G$4:$G$503,"&lt;="&amp;EOMONTH(DATE(ano_ref,8,1),0))&gt;0,"✔",IF(AND(ISNUMBER(Planos!$G34),IFERROR(INDEX(lst_frequencia_meses,MATCH(Planos!$E34,lst_frequencia,0)),0)&gt;0,(ano_ref*12+8)-(YEAR(Planos!$G34)*12+MONTH(Planos!$G34))&gt;0,MOD((ano_ref*12+8)-(YEAR(Planos!$G34)*12+MONTH(Planos!$G34)),MAX(1,IFERROR(INDEX(lst_frequencia_meses,MATCH(Planos!$E34,lst_frequencia,0)),0)))=0),"●","")))</f>
      </c>
      <c r="L35" s="43">
        <f>IF(NOT(Planos!$A34&lt;&gt;""),"",IF(COUNTIFS(Programação!$B$4:$B$503,Planos!$A34,Programação!$I$4:$I$503,"Concluído",Programação!$G$4:$G$503,"&gt;="&amp;DATE(ano_ref,9,1),Programação!$G$4:$G$503,"&lt;="&amp;EOMONTH(DATE(ano_ref,9,1),0))&gt;0,"✔",IF(AND(ISNUMBER(Planos!$G34),IFERROR(INDEX(lst_frequencia_meses,MATCH(Planos!$E34,lst_frequencia,0)),0)&gt;0,(ano_ref*12+9)-(YEAR(Planos!$G34)*12+MONTH(Planos!$G34))&gt;0,MOD((ano_ref*12+9)-(YEAR(Planos!$G34)*12+MONTH(Planos!$G34)),MAX(1,IFERROR(INDEX(lst_frequencia_meses,MATCH(Planos!$E34,lst_frequencia,0)),0)))=0),"●","")))</f>
      </c>
      <c r="M35" s="43">
        <f>IF(NOT(Planos!$A34&lt;&gt;""),"",IF(COUNTIFS(Programação!$B$4:$B$503,Planos!$A34,Programação!$I$4:$I$503,"Concluído",Programação!$G$4:$G$503,"&gt;="&amp;DATE(ano_ref,10,1),Programação!$G$4:$G$503,"&lt;="&amp;EOMONTH(DATE(ano_ref,10,1),0))&gt;0,"✔",IF(AND(ISNUMBER(Planos!$G34),IFERROR(INDEX(lst_frequencia_meses,MATCH(Planos!$E34,lst_frequencia,0)),0)&gt;0,(ano_ref*12+10)-(YEAR(Planos!$G34)*12+MONTH(Planos!$G34))&gt;0,MOD((ano_ref*12+10)-(YEAR(Planos!$G34)*12+MONTH(Planos!$G34)),MAX(1,IFERROR(INDEX(lst_frequencia_meses,MATCH(Planos!$E34,lst_frequencia,0)),0)))=0),"●","")))</f>
      </c>
      <c r="N35" s="43">
        <f>IF(NOT(Planos!$A34&lt;&gt;""),"",IF(COUNTIFS(Programação!$B$4:$B$503,Planos!$A34,Programação!$I$4:$I$503,"Concluído",Programação!$G$4:$G$503,"&gt;="&amp;DATE(ano_ref,11,1),Programação!$G$4:$G$503,"&lt;="&amp;EOMONTH(DATE(ano_ref,11,1),0))&gt;0,"✔",IF(AND(ISNUMBER(Planos!$G34),IFERROR(INDEX(lst_frequencia_meses,MATCH(Planos!$E34,lst_frequencia,0)),0)&gt;0,(ano_ref*12+11)-(YEAR(Planos!$G34)*12+MONTH(Planos!$G34))&gt;0,MOD((ano_ref*12+11)-(YEAR(Planos!$G34)*12+MONTH(Planos!$G34)),MAX(1,IFERROR(INDEX(lst_frequencia_meses,MATCH(Planos!$E34,lst_frequencia,0)),0)))=0),"●","")))</f>
      </c>
      <c r="O35" s="43">
        <f>IF(NOT(Planos!$A34&lt;&gt;""),"",IF(COUNTIFS(Programação!$B$4:$B$503,Planos!$A34,Programação!$I$4:$I$503,"Concluído",Programação!$G$4:$G$503,"&gt;="&amp;DATE(ano_ref,12,1),Programação!$G$4:$G$503,"&lt;="&amp;EOMONTH(DATE(ano_ref,12,1),0))&gt;0,"✔",IF(AND(ISNUMBER(Planos!$G34),IFERROR(INDEX(lst_frequencia_meses,MATCH(Planos!$E34,lst_frequencia,0)),0)&gt;0,(ano_ref*12+12)-(YEAR(Planos!$G34)*12+MONTH(Planos!$G34))&gt;0,MOD((ano_ref*12+12)-(YEAR(Planos!$G34)*12+MONTH(Planos!$G34)),MAX(1,IFERROR(INDEX(lst_frequencia_meses,MATCH(Planos!$E34,lst_frequencia,0)),0)))=0),"●","")))</f>
      </c>
      <c r="P35" s="44">
        <f>IF(COUNTIF(D35:O35,"✔")+COUNTIF(D35:O35,"●")=0,"",COUNTIF(D35:O35,"✔")/(COUNTIF(D35:O35,"✔")+COUNTIF(D35:O35,"●")))</f>
      </c>
    </row>
    <row r="36" spans="1:16" x14ac:dyDescent="0.25">
      <c r="A36" s="43">
        <f>IF(Planos!$A35&lt;&gt;"",Planos!A35&amp;"","")</f>
      </c>
      <c r="B36" s="43">
        <f>IF(Planos!$A35&lt;&gt;"",Planos!B35&amp;"","")</f>
      </c>
      <c r="C36" s="24">
        <f>IF(Planos!$A35&lt;&gt;"",Planos!C35&amp;"","")</f>
      </c>
      <c r="D36" s="43">
        <f>IF(NOT(Planos!$A35&lt;&gt;""),"",IF(COUNTIFS(Programação!$B$4:$B$503,Planos!$A35,Programação!$I$4:$I$503,"Concluído",Programação!$G$4:$G$503,"&gt;="&amp;DATE(ano_ref,1,1),Programação!$G$4:$G$503,"&lt;="&amp;EOMONTH(DATE(ano_ref,1,1),0))&gt;0,"✔",IF(AND(ISNUMBER(Planos!$G35),IFERROR(INDEX(lst_frequencia_meses,MATCH(Planos!$E35,lst_frequencia,0)),0)&gt;0,(ano_ref*12+1)-(YEAR(Planos!$G35)*12+MONTH(Planos!$G35))&gt;0,MOD((ano_ref*12+1)-(YEAR(Planos!$G35)*12+MONTH(Planos!$G35)),MAX(1,IFERROR(INDEX(lst_frequencia_meses,MATCH(Planos!$E35,lst_frequencia,0)),0)))=0),"●","")))</f>
      </c>
      <c r="E36" s="43">
        <f>IF(NOT(Planos!$A35&lt;&gt;""),"",IF(COUNTIFS(Programação!$B$4:$B$503,Planos!$A35,Programação!$I$4:$I$503,"Concluído",Programação!$G$4:$G$503,"&gt;="&amp;DATE(ano_ref,2,1),Programação!$G$4:$G$503,"&lt;="&amp;EOMONTH(DATE(ano_ref,2,1),0))&gt;0,"✔",IF(AND(ISNUMBER(Planos!$G35),IFERROR(INDEX(lst_frequencia_meses,MATCH(Planos!$E35,lst_frequencia,0)),0)&gt;0,(ano_ref*12+2)-(YEAR(Planos!$G35)*12+MONTH(Planos!$G35))&gt;0,MOD((ano_ref*12+2)-(YEAR(Planos!$G35)*12+MONTH(Planos!$G35)),MAX(1,IFERROR(INDEX(lst_frequencia_meses,MATCH(Planos!$E35,lst_frequencia,0)),0)))=0),"●","")))</f>
      </c>
      <c r="F36" s="43">
        <f>IF(NOT(Planos!$A35&lt;&gt;""),"",IF(COUNTIFS(Programação!$B$4:$B$503,Planos!$A35,Programação!$I$4:$I$503,"Concluído",Programação!$G$4:$G$503,"&gt;="&amp;DATE(ano_ref,3,1),Programação!$G$4:$G$503,"&lt;="&amp;EOMONTH(DATE(ano_ref,3,1),0))&gt;0,"✔",IF(AND(ISNUMBER(Planos!$G35),IFERROR(INDEX(lst_frequencia_meses,MATCH(Planos!$E35,lst_frequencia,0)),0)&gt;0,(ano_ref*12+3)-(YEAR(Planos!$G35)*12+MONTH(Planos!$G35))&gt;0,MOD((ano_ref*12+3)-(YEAR(Planos!$G35)*12+MONTH(Planos!$G35)),MAX(1,IFERROR(INDEX(lst_frequencia_meses,MATCH(Planos!$E35,lst_frequencia,0)),0)))=0),"●","")))</f>
      </c>
      <c r="G36" s="43">
        <f>IF(NOT(Planos!$A35&lt;&gt;""),"",IF(COUNTIFS(Programação!$B$4:$B$503,Planos!$A35,Programação!$I$4:$I$503,"Concluído",Programação!$G$4:$G$503,"&gt;="&amp;DATE(ano_ref,4,1),Programação!$G$4:$G$503,"&lt;="&amp;EOMONTH(DATE(ano_ref,4,1),0))&gt;0,"✔",IF(AND(ISNUMBER(Planos!$G35),IFERROR(INDEX(lst_frequencia_meses,MATCH(Planos!$E35,lst_frequencia,0)),0)&gt;0,(ano_ref*12+4)-(YEAR(Planos!$G35)*12+MONTH(Planos!$G35))&gt;0,MOD((ano_ref*12+4)-(YEAR(Planos!$G35)*12+MONTH(Planos!$G35)),MAX(1,IFERROR(INDEX(lst_frequencia_meses,MATCH(Planos!$E35,lst_frequencia,0)),0)))=0),"●","")))</f>
      </c>
      <c r="H36" s="43">
        <f>IF(NOT(Planos!$A35&lt;&gt;""),"",IF(COUNTIFS(Programação!$B$4:$B$503,Planos!$A35,Programação!$I$4:$I$503,"Concluído",Programação!$G$4:$G$503,"&gt;="&amp;DATE(ano_ref,5,1),Programação!$G$4:$G$503,"&lt;="&amp;EOMONTH(DATE(ano_ref,5,1),0))&gt;0,"✔",IF(AND(ISNUMBER(Planos!$G35),IFERROR(INDEX(lst_frequencia_meses,MATCH(Planos!$E35,lst_frequencia,0)),0)&gt;0,(ano_ref*12+5)-(YEAR(Planos!$G35)*12+MONTH(Planos!$G35))&gt;0,MOD((ano_ref*12+5)-(YEAR(Planos!$G35)*12+MONTH(Planos!$G35)),MAX(1,IFERROR(INDEX(lst_frequencia_meses,MATCH(Planos!$E35,lst_frequencia,0)),0)))=0),"●","")))</f>
      </c>
      <c r="I36" s="43">
        <f>IF(NOT(Planos!$A35&lt;&gt;""),"",IF(COUNTIFS(Programação!$B$4:$B$503,Planos!$A35,Programação!$I$4:$I$503,"Concluído",Programação!$G$4:$G$503,"&gt;="&amp;DATE(ano_ref,6,1),Programação!$G$4:$G$503,"&lt;="&amp;EOMONTH(DATE(ano_ref,6,1),0))&gt;0,"✔",IF(AND(ISNUMBER(Planos!$G35),IFERROR(INDEX(lst_frequencia_meses,MATCH(Planos!$E35,lst_frequencia,0)),0)&gt;0,(ano_ref*12+6)-(YEAR(Planos!$G35)*12+MONTH(Planos!$G35))&gt;0,MOD((ano_ref*12+6)-(YEAR(Planos!$G35)*12+MONTH(Planos!$G35)),MAX(1,IFERROR(INDEX(lst_frequencia_meses,MATCH(Planos!$E35,lst_frequencia,0)),0)))=0),"●","")))</f>
      </c>
      <c r="J36" s="43">
        <f>IF(NOT(Planos!$A35&lt;&gt;""),"",IF(COUNTIFS(Programação!$B$4:$B$503,Planos!$A35,Programação!$I$4:$I$503,"Concluído",Programação!$G$4:$G$503,"&gt;="&amp;DATE(ano_ref,7,1),Programação!$G$4:$G$503,"&lt;="&amp;EOMONTH(DATE(ano_ref,7,1),0))&gt;0,"✔",IF(AND(ISNUMBER(Planos!$G35),IFERROR(INDEX(lst_frequencia_meses,MATCH(Planos!$E35,lst_frequencia,0)),0)&gt;0,(ano_ref*12+7)-(YEAR(Planos!$G35)*12+MONTH(Planos!$G35))&gt;0,MOD((ano_ref*12+7)-(YEAR(Planos!$G35)*12+MONTH(Planos!$G35)),MAX(1,IFERROR(INDEX(lst_frequencia_meses,MATCH(Planos!$E35,lst_frequencia,0)),0)))=0),"●","")))</f>
      </c>
      <c r="K36" s="43">
        <f>IF(NOT(Planos!$A35&lt;&gt;""),"",IF(COUNTIFS(Programação!$B$4:$B$503,Planos!$A35,Programação!$I$4:$I$503,"Concluído",Programação!$G$4:$G$503,"&gt;="&amp;DATE(ano_ref,8,1),Programação!$G$4:$G$503,"&lt;="&amp;EOMONTH(DATE(ano_ref,8,1),0))&gt;0,"✔",IF(AND(ISNUMBER(Planos!$G35),IFERROR(INDEX(lst_frequencia_meses,MATCH(Planos!$E35,lst_frequencia,0)),0)&gt;0,(ano_ref*12+8)-(YEAR(Planos!$G35)*12+MONTH(Planos!$G35))&gt;0,MOD((ano_ref*12+8)-(YEAR(Planos!$G35)*12+MONTH(Planos!$G35)),MAX(1,IFERROR(INDEX(lst_frequencia_meses,MATCH(Planos!$E35,lst_frequencia,0)),0)))=0),"●","")))</f>
      </c>
      <c r="L36" s="43">
        <f>IF(NOT(Planos!$A35&lt;&gt;""),"",IF(COUNTIFS(Programação!$B$4:$B$503,Planos!$A35,Programação!$I$4:$I$503,"Concluído",Programação!$G$4:$G$503,"&gt;="&amp;DATE(ano_ref,9,1),Programação!$G$4:$G$503,"&lt;="&amp;EOMONTH(DATE(ano_ref,9,1),0))&gt;0,"✔",IF(AND(ISNUMBER(Planos!$G35),IFERROR(INDEX(lst_frequencia_meses,MATCH(Planos!$E35,lst_frequencia,0)),0)&gt;0,(ano_ref*12+9)-(YEAR(Planos!$G35)*12+MONTH(Planos!$G35))&gt;0,MOD((ano_ref*12+9)-(YEAR(Planos!$G35)*12+MONTH(Planos!$G35)),MAX(1,IFERROR(INDEX(lst_frequencia_meses,MATCH(Planos!$E35,lst_frequencia,0)),0)))=0),"●","")))</f>
      </c>
      <c r="M36" s="43">
        <f>IF(NOT(Planos!$A35&lt;&gt;""),"",IF(COUNTIFS(Programação!$B$4:$B$503,Planos!$A35,Programação!$I$4:$I$503,"Concluído",Programação!$G$4:$G$503,"&gt;="&amp;DATE(ano_ref,10,1),Programação!$G$4:$G$503,"&lt;="&amp;EOMONTH(DATE(ano_ref,10,1),0))&gt;0,"✔",IF(AND(ISNUMBER(Planos!$G35),IFERROR(INDEX(lst_frequencia_meses,MATCH(Planos!$E35,lst_frequencia,0)),0)&gt;0,(ano_ref*12+10)-(YEAR(Planos!$G35)*12+MONTH(Planos!$G35))&gt;0,MOD((ano_ref*12+10)-(YEAR(Planos!$G35)*12+MONTH(Planos!$G35)),MAX(1,IFERROR(INDEX(lst_frequencia_meses,MATCH(Planos!$E35,lst_frequencia,0)),0)))=0),"●","")))</f>
      </c>
      <c r="N36" s="43">
        <f>IF(NOT(Planos!$A35&lt;&gt;""),"",IF(COUNTIFS(Programação!$B$4:$B$503,Planos!$A35,Programação!$I$4:$I$503,"Concluído",Programação!$G$4:$G$503,"&gt;="&amp;DATE(ano_ref,11,1),Programação!$G$4:$G$503,"&lt;="&amp;EOMONTH(DATE(ano_ref,11,1),0))&gt;0,"✔",IF(AND(ISNUMBER(Planos!$G35),IFERROR(INDEX(lst_frequencia_meses,MATCH(Planos!$E35,lst_frequencia,0)),0)&gt;0,(ano_ref*12+11)-(YEAR(Planos!$G35)*12+MONTH(Planos!$G35))&gt;0,MOD((ano_ref*12+11)-(YEAR(Planos!$G35)*12+MONTH(Planos!$G35)),MAX(1,IFERROR(INDEX(lst_frequencia_meses,MATCH(Planos!$E35,lst_frequencia,0)),0)))=0),"●","")))</f>
      </c>
      <c r="O36" s="43">
        <f>IF(NOT(Planos!$A35&lt;&gt;""),"",IF(COUNTIFS(Programação!$B$4:$B$503,Planos!$A35,Programação!$I$4:$I$503,"Concluído",Programação!$G$4:$G$503,"&gt;="&amp;DATE(ano_ref,12,1),Programação!$G$4:$G$503,"&lt;="&amp;EOMONTH(DATE(ano_ref,12,1),0))&gt;0,"✔",IF(AND(ISNUMBER(Planos!$G35),IFERROR(INDEX(lst_frequencia_meses,MATCH(Planos!$E35,lst_frequencia,0)),0)&gt;0,(ano_ref*12+12)-(YEAR(Planos!$G35)*12+MONTH(Planos!$G35))&gt;0,MOD((ano_ref*12+12)-(YEAR(Planos!$G35)*12+MONTH(Planos!$G35)),MAX(1,IFERROR(INDEX(lst_frequencia_meses,MATCH(Planos!$E35,lst_frequencia,0)),0)))=0),"●","")))</f>
      </c>
      <c r="P36" s="44">
        <f>IF(COUNTIF(D36:O36,"✔")+COUNTIF(D36:O36,"●")=0,"",COUNTIF(D36:O36,"✔")/(COUNTIF(D36:O36,"✔")+COUNTIF(D36:O36,"●")))</f>
      </c>
    </row>
    <row r="37" spans="1:16" x14ac:dyDescent="0.25">
      <c r="A37" s="43">
        <f>IF(Planos!$A36&lt;&gt;"",Planos!A36&amp;"","")</f>
      </c>
      <c r="B37" s="43">
        <f>IF(Planos!$A36&lt;&gt;"",Planos!B36&amp;"","")</f>
      </c>
      <c r="C37" s="24">
        <f>IF(Planos!$A36&lt;&gt;"",Planos!C36&amp;"","")</f>
      </c>
      <c r="D37" s="43">
        <f>IF(NOT(Planos!$A36&lt;&gt;""),"",IF(COUNTIFS(Programação!$B$4:$B$503,Planos!$A36,Programação!$I$4:$I$503,"Concluído",Programação!$G$4:$G$503,"&gt;="&amp;DATE(ano_ref,1,1),Programação!$G$4:$G$503,"&lt;="&amp;EOMONTH(DATE(ano_ref,1,1),0))&gt;0,"✔",IF(AND(ISNUMBER(Planos!$G36),IFERROR(INDEX(lst_frequencia_meses,MATCH(Planos!$E36,lst_frequencia,0)),0)&gt;0,(ano_ref*12+1)-(YEAR(Planos!$G36)*12+MONTH(Planos!$G36))&gt;0,MOD((ano_ref*12+1)-(YEAR(Planos!$G36)*12+MONTH(Planos!$G36)),MAX(1,IFERROR(INDEX(lst_frequencia_meses,MATCH(Planos!$E36,lst_frequencia,0)),0)))=0),"●","")))</f>
      </c>
      <c r="E37" s="43">
        <f>IF(NOT(Planos!$A36&lt;&gt;""),"",IF(COUNTIFS(Programação!$B$4:$B$503,Planos!$A36,Programação!$I$4:$I$503,"Concluído",Programação!$G$4:$G$503,"&gt;="&amp;DATE(ano_ref,2,1),Programação!$G$4:$G$503,"&lt;="&amp;EOMONTH(DATE(ano_ref,2,1),0))&gt;0,"✔",IF(AND(ISNUMBER(Planos!$G36),IFERROR(INDEX(lst_frequencia_meses,MATCH(Planos!$E36,lst_frequencia,0)),0)&gt;0,(ano_ref*12+2)-(YEAR(Planos!$G36)*12+MONTH(Planos!$G36))&gt;0,MOD((ano_ref*12+2)-(YEAR(Planos!$G36)*12+MONTH(Planos!$G36)),MAX(1,IFERROR(INDEX(lst_frequencia_meses,MATCH(Planos!$E36,lst_frequencia,0)),0)))=0),"●","")))</f>
      </c>
      <c r="F37" s="43">
        <f>IF(NOT(Planos!$A36&lt;&gt;""),"",IF(COUNTIFS(Programação!$B$4:$B$503,Planos!$A36,Programação!$I$4:$I$503,"Concluído",Programação!$G$4:$G$503,"&gt;="&amp;DATE(ano_ref,3,1),Programação!$G$4:$G$503,"&lt;="&amp;EOMONTH(DATE(ano_ref,3,1),0))&gt;0,"✔",IF(AND(ISNUMBER(Planos!$G36),IFERROR(INDEX(lst_frequencia_meses,MATCH(Planos!$E36,lst_frequencia,0)),0)&gt;0,(ano_ref*12+3)-(YEAR(Planos!$G36)*12+MONTH(Planos!$G36))&gt;0,MOD((ano_ref*12+3)-(YEAR(Planos!$G36)*12+MONTH(Planos!$G36)),MAX(1,IFERROR(INDEX(lst_frequencia_meses,MATCH(Planos!$E36,lst_frequencia,0)),0)))=0),"●","")))</f>
      </c>
      <c r="G37" s="43">
        <f>IF(NOT(Planos!$A36&lt;&gt;""),"",IF(COUNTIFS(Programação!$B$4:$B$503,Planos!$A36,Programação!$I$4:$I$503,"Concluído",Programação!$G$4:$G$503,"&gt;="&amp;DATE(ano_ref,4,1),Programação!$G$4:$G$503,"&lt;="&amp;EOMONTH(DATE(ano_ref,4,1),0))&gt;0,"✔",IF(AND(ISNUMBER(Planos!$G36),IFERROR(INDEX(lst_frequencia_meses,MATCH(Planos!$E36,lst_frequencia,0)),0)&gt;0,(ano_ref*12+4)-(YEAR(Planos!$G36)*12+MONTH(Planos!$G36))&gt;0,MOD((ano_ref*12+4)-(YEAR(Planos!$G36)*12+MONTH(Planos!$G36)),MAX(1,IFERROR(INDEX(lst_frequencia_meses,MATCH(Planos!$E36,lst_frequencia,0)),0)))=0),"●","")))</f>
      </c>
      <c r="H37" s="43">
        <f>IF(NOT(Planos!$A36&lt;&gt;""),"",IF(COUNTIFS(Programação!$B$4:$B$503,Planos!$A36,Programação!$I$4:$I$503,"Concluído",Programação!$G$4:$G$503,"&gt;="&amp;DATE(ano_ref,5,1),Programação!$G$4:$G$503,"&lt;="&amp;EOMONTH(DATE(ano_ref,5,1),0))&gt;0,"✔",IF(AND(ISNUMBER(Planos!$G36),IFERROR(INDEX(lst_frequencia_meses,MATCH(Planos!$E36,lst_frequencia,0)),0)&gt;0,(ano_ref*12+5)-(YEAR(Planos!$G36)*12+MONTH(Planos!$G36))&gt;0,MOD((ano_ref*12+5)-(YEAR(Planos!$G36)*12+MONTH(Planos!$G36)),MAX(1,IFERROR(INDEX(lst_frequencia_meses,MATCH(Planos!$E36,lst_frequencia,0)),0)))=0),"●","")))</f>
      </c>
      <c r="I37" s="43">
        <f>IF(NOT(Planos!$A36&lt;&gt;""),"",IF(COUNTIFS(Programação!$B$4:$B$503,Planos!$A36,Programação!$I$4:$I$503,"Concluído",Programação!$G$4:$G$503,"&gt;="&amp;DATE(ano_ref,6,1),Programação!$G$4:$G$503,"&lt;="&amp;EOMONTH(DATE(ano_ref,6,1),0))&gt;0,"✔",IF(AND(ISNUMBER(Planos!$G36),IFERROR(INDEX(lst_frequencia_meses,MATCH(Planos!$E36,lst_frequencia,0)),0)&gt;0,(ano_ref*12+6)-(YEAR(Planos!$G36)*12+MONTH(Planos!$G36))&gt;0,MOD((ano_ref*12+6)-(YEAR(Planos!$G36)*12+MONTH(Planos!$G36)),MAX(1,IFERROR(INDEX(lst_frequencia_meses,MATCH(Planos!$E36,lst_frequencia,0)),0)))=0),"●","")))</f>
      </c>
      <c r="J37" s="43">
        <f>IF(NOT(Planos!$A36&lt;&gt;""),"",IF(COUNTIFS(Programação!$B$4:$B$503,Planos!$A36,Programação!$I$4:$I$503,"Concluído",Programação!$G$4:$G$503,"&gt;="&amp;DATE(ano_ref,7,1),Programação!$G$4:$G$503,"&lt;="&amp;EOMONTH(DATE(ano_ref,7,1),0))&gt;0,"✔",IF(AND(ISNUMBER(Planos!$G36),IFERROR(INDEX(lst_frequencia_meses,MATCH(Planos!$E36,lst_frequencia,0)),0)&gt;0,(ano_ref*12+7)-(YEAR(Planos!$G36)*12+MONTH(Planos!$G36))&gt;0,MOD((ano_ref*12+7)-(YEAR(Planos!$G36)*12+MONTH(Planos!$G36)),MAX(1,IFERROR(INDEX(lst_frequencia_meses,MATCH(Planos!$E36,lst_frequencia,0)),0)))=0),"●","")))</f>
      </c>
      <c r="K37" s="43">
        <f>IF(NOT(Planos!$A36&lt;&gt;""),"",IF(COUNTIFS(Programação!$B$4:$B$503,Planos!$A36,Programação!$I$4:$I$503,"Concluído",Programação!$G$4:$G$503,"&gt;="&amp;DATE(ano_ref,8,1),Programação!$G$4:$G$503,"&lt;="&amp;EOMONTH(DATE(ano_ref,8,1),0))&gt;0,"✔",IF(AND(ISNUMBER(Planos!$G36),IFERROR(INDEX(lst_frequencia_meses,MATCH(Planos!$E36,lst_frequencia,0)),0)&gt;0,(ano_ref*12+8)-(YEAR(Planos!$G36)*12+MONTH(Planos!$G36))&gt;0,MOD((ano_ref*12+8)-(YEAR(Planos!$G36)*12+MONTH(Planos!$G36)),MAX(1,IFERROR(INDEX(lst_frequencia_meses,MATCH(Planos!$E36,lst_frequencia,0)),0)))=0),"●","")))</f>
      </c>
      <c r="L37" s="43">
        <f>IF(NOT(Planos!$A36&lt;&gt;""),"",IF(COUNTIFS(Programação!$B$4:$B$503,Planos!$A36,Programação!$I$4:$I$503,"Concluído",Programação!$G$4:$G$503,"&gt;="&amp;DATE(ano_ref,9,1),Programação!$G$4:$G$503,"&lt;="&amp;EOMONTH(DATE(ano_ref,9,1),0))&gt;0,"✔",IF(AND(ISNUMBER(Planos!$G36),IFERROR(INDEX(lst_frequencia_meses,MATCH(Planos!$E36,lst_frequencia,0)),0)&gt;0,(ano_ref*12+9)-(YEAR(Planos!$G36)*12+MONTH(Planos!$G36))&gt;0,MOD((ano_ref*12+9)-(YEAR(Planos!$G36)*12+MONTH(Planos!$G36)),MAX(1,IFERROR(INDEX(lst_frequencia_meses,MATCH(Planos!$E36,lst_frequencia,0)),0)))=0),"●","")))</f>
      </c>
      <c r="M37" s="43">
        <f>IF(NOT(Planos!$A36&lt;&gt;""),"",IF(COUNTIFS(Programação!$B$4:$B$503,Planos!$A36,Programação!$I$4:$I$503,"Concluído",Programação!$G$4:$G$503,"&gt;="&amp;DATE(ano_ref,10,1),Programação!$G$4:$G$503,"&lt;="&amp;EOMONTH(DATE(ano_ref,10,1),0))&gt;0,"✔",IF(AND(ISNUMBER(Planos!$G36),IFERROR(INDEX(lst_frequencia_meses,MATCH(Planos!$E36,lst_frequencia,0)),0)&gt;0,(ano_ref*12+10)-(YEAR(Planos!$G36)*12+MONTH(Planos!$G36))&gt;0,MOD((ano_ref*12+10)-(YEAR(Planos!$G36)*12+MONTH(Planos!$G36)),MAX(1,IFERROR(INDEX(lst_frequencia_meses,MATCH(Planos!$E36,lst_frequencia,0)),0)))=0),"●","")))</f>
      </c>
      <c r="N37" s="43">
        <f>IF(NOT(Planos!$A36&lt;&gt;""),"",IF(COUNTIFS(Programação!$B$4:$B$503,Planos!$A36,Programação!$I$4:$I$503,"Concluído",Programação!$G$4:$G$503,"&gt;="&amp;DATE(ano_ref,11,1),Programação!$G$4:$G$503,"&lt;="&amp;EOMONTH(DATE(ano_ref,11,1),0))&gt;0,"✔",IF(AND(ISNUMBER(Planos!$G36),IFERROR(INDEX(lst_frequencia_meses,MATCH(Planos!$E36,lst_frequencia,0)),0)&gt;0,(ano_ref*12+11)-(YEAR(Planos!$G36)*12+MONTH(Planos!$G36))&gt;0,MOD((ano_ref*12+11)-(YEAR(Planos!$G36)*12+MONTH(Planos!$G36)),MAX(1,IFERROR(INDEX(lst_frequencia_meses,MATCH(Planos!$E36,lst_frequencia,0)),0)))=0),"●","")))</f>
      </c>
      <c r="O37" s="43">
        <f>IF(NOT(Planos!$A36&lt;&gt;""),"",IF(COUNTIFS(Programação!$B$4:$B$503,Planos!$A36,Programação!$I$4:$I$503,"Concluído",Programação!$G$4:$G$503,"&gt;="&amp;DATE(ano_ref,12,1),Programação!$G$4:$G$503,"&lt;="&amp;EOMONTH(DATE(ano_ref,12,1),0))&gt;0,"✔",IF(AND(ISNUMBER(Planos!$G36),IFERROR(INDEX(lst_frequencia_meses,MATCH(Planos!$E36,lst_frequencia,0)),0)&gt;0,(ano_ref*12+12)-(YEAR(Planos!$G36)*12+MONTH(Planos!$G36))&gt;0,MOD((ano_ref*12+12)-(YEAR(Planos!$G36)*12+MONTH(Planos!$G36)),MAX(1,IFERROR(INDEX(lst_frequencia_meses,MATCH(Planos!$E36,lst_frequencia,0)),0)))=0),"●","")))</f>
      </c>
      <c r="P37" s="44">
        <f>IF(COUNTIF(D37:O37,"✔")+COUNTIF(D37:O37,"●")=0,"",COUNTIF(D37:O37,"✔")/(COUNTIF(D37:O37,"✔")+COUNTIF(D37:O37,"●")))</f>
      </c>
    </row>
    <row r="38" spans="1:16" x14ac:dyDescent="0.25">
      <c r="A38" s="43">
        <f>IF(Planos!$A37&lt;&gt;"",Planos!A37&amp;"","")</f>
      </c>
      <c r="B38" s="43">
        <f>IF(Planos!$A37&lt;&gt;"",Planos!B37&amp;"","")</f>
      </c>
      <c r="C38" s="24">
        <f>IF(Planos!$A37&lt;&gt;"",Planos!C37&amp;"","")</f>
      </c>
      <c r="D38" s="43">
        <f>IF(NOT(Planos!$A37&lt;&gt;""),"",IF(COUNTIFS(Programação!$B$4:$B$503,Planos!$A37,Programação!$I$4:$I$503,"Concluído",Programação!$G$4:$G$503,"&gt;="&amp;DATE(ano_ref,1,1),Programação!$G$4:$G$503,"&lt;="&amp;EOMONTH(DATE(ano_ref,1,1),0))&gt;0,"✔",IF(AND(ISNUMBER(Planos!$G37),IFERROR(INDEX(lst_frequencia_meses,MATCH(Planos!$E37,lst_frequencia,0)),0)&gt;0,(ano_ref*12+1)-(YEAR(Planos!$G37)*12+MONTH(Planos!$G37))&gt;0,MOD((ano_ref*12+1)-(YEAR(Planos!$G37)*12+MONTH(Planos!$G37)),MAX(1,IFERROR(INDEX(lst_frequencia_meses,MATCH(Planos!$E37,lst_frequencia,0)),0)))=0),"●","")))</f>
      </c>
      <c r="E38" s="43">
        <f>IF(NOT(Planos!$A37&lt;&gt;""),"",IF(COUNTIFS(Programação!$B$4:$B$503,Planos!$A37,Programação!$I$4:$I$503,"Concluído",Programação!$G$4:$G$503,"&gt;="&amp;DATE(ano_ref,2,1),Programação!$G$4:$G$503,"&lt;="&amp;EOMONTH(DATE(ano_ref,2,1),0))&gt;0,"✔",IF(AND(ISNUMBER(Planos!$G37),IFERROR(INDEX(lst_frequencia_meses,MATCH(Planos!$E37,lst_frequencia,0)),0)&gt;0,(ano_ref*12+2)-(YEAR(Planos!$G37)*12+MONTH(Planos!$G37))&gt;0,MOD((ano_ref*12+2)-(YEAR(Planos!$G37)*12+MONTH(Planos!$G37)),MAX(1,IFERROR(INDEX(lst_frequencia_meses,MATCH(Planos!$E37,lst_frequencia,0)),0)))=0),"●","")))</f>
      </c>
      <c r="F38" s="43">
        <f>IF(NOT(Planos!$A37&lt;&gt;""),"",IF(COUNTIFS(Programação!$B$4:$B$503,Planos!$A37,Programação!$I$4:$I$503,"Concluído",Programação!$G$4:$G$503,"&gt;="&amp;DATE(ano_ref,3,1),Programação!$G$4:$G$503,"&lt;="&amp;EOMONTH(DATE(ano_ref,3,1),0))&gt;0,"✔",IF(AND(ISNUMBER(Planos!$G37),IFERROR(INDEX(lst_frequencia_meses,MATCH(Planos!$E37,lst_frequencia,0)),0)&gt;0,(ano_ref*12+3)-(YEAR(Planos!$G37)*12+MONTH(Planos!$G37))&gt;0,MOD((ano_ref*12+3)-(YEAR(Planos!$G37)*12+MONTH(Planos!$G37)),MAX(1,IFERROR(INDEX(lst_frequencia_meses,MATCH(Planos!$E37,lst_frequencia,0)),0)))=0),"●","")))</f>
      </c>
      <c r="G38" s="43">
        <f>IF(NOT(Planos!$A37&lt;&gt;""),"",IF(COUNTIFS(Programação!$B$4:$B$503,Planos!$A37,Programação!$I$4:$I$503,"Concluído",Programação!$G$4:$G$503,"&gt;="&amp;DATE(ano_ref,4,1),Programação!$G$4:$G$503,"&lt;="&amp;EOMONTH(DATE(ano_ref,4,1),0))&gt;0,"✔",IF(AND(ISNUMBER(Planos!$G37),IFERROR(INDEX(lst_frequencia_meses,MATCH(Planos!$E37,lst_frequencia,0)),0)&gt;0,(ano_ref*12+4)-(YEAR(Planos!$G37)*12+MONTH(Planos!$G37))&gt;0,MOD((ano_ref*12+4)-(YEAR(Planos!$G37)*12+MONTH(Planos!$G37)),MAX(1,IFERROR(INDEX(lst_frequencia_meses,MATCH(Planos!$E37,lst_frequencia,0)),0)))=0),"●","")))</f>
      </c>
      <c r="H38" s="43">
        <f>IF(NOT(Planos!$A37&lt;&gt;""),"",IF(COUNTIFS(Programação!$B$4:$B$503,Planos!$A37,Programação!$I$4:$I$503,"Concluído",Programação!$G$4:$G$503,"&gt;="&amp;DATE(ano_ref,5,1),Programação!$G$4:$G$503,"&lt;="&amp;EOMONTH(DATE(ano_ref,5,1),0))&gt;0,"✔",IF(AND(ISNUMBER(Planos!$G37),IFERROR(INDEX(lst_frequencia_meses,MATCH(Planos!$E37,lst_frequencia,0)),0)&gt;0,(ano_ref*12+5)-(YEAR(Planos!$G37)*12+MONTH(Planos!$G37))&gt;0,MOD((ano_ref*12+5)-(YEAR(Planos!$G37)*12+MONTH(Planos!$G37)),MAX(1,IFERROR(INDEX(lst_frequencia_meses,MATCH(Planos!$E37,lst_frequencia,0)),0)))=0),"●","")))</f>
      </c>
      <c r="I38" s="43">
        <f>IF(NOT(Planos!$A37&lt;&gt;""),"",IF(COUNTIFS(Programação!$B$4:$B$503,Planos!$A37,Programação!$I$4:$I$503,"Concluído",Programação!$G$4:$G$503,"&gt;="&amp;DATE(ano_ref,6,1),Programação!$G$4:$G$503,"&lt;="&amp;EOMONTH(DATE(ano_ref,6,1),0))&gt;0,"✔",IF(AND(ISNUMBER(Planos!$G37),IFERROR(INDEX(lst_frequencia_meses,MATCH(Planos!$E37,lst_frequencia,0)),0)&gt;0,(ano_ref*12+6)-(YEAR(Planos!$G37)*12+MONTH(Planos!$G37))&gt;0,MOD((ano_ref*12+6)-(YEAR(Planos!$G37)*12+MONTH(Planos!$G37)),MAX(1,IFERROR(INDEX(lst_frequencia_meses,MATCH(Planos!$E37,lst_frequencia,0)),0)))=0),"●","")))</f>
      </c>
      <c r="J38" s="43">
        <f>IF(NOT(Planos!$A37&lt;&gt;""),"",IF(COUNTIFS(Programação!$B$4:$B$503,Planos!$A37,Programação!$I$4:$I$503,"Concluído",Programação!$G$4:$G$503,"&gt;="&amp;DATE(ano_ref,7,1),Programação!$G$4:$G$503,"&lt;="&amp;EOMONTH(DATE(ano_ref,7,1),0))&gt;0,"✔",IF(AND(ISNUMBER(Planos!$G37),IFERROR(INDEX(lst_frequencia_meses,MATCH(Planos!$E37,lst_frequencia,0)),0)&gt;0,(ano_ref*12+7)-(YEAR(Planos!$G37)*12+MONTH(Planos!$G37))&gt;0,MOD((ano_ref*12+7)-(YEAR(Planos!$G37)*12+MONTH(Planos!$G37)),MAX(1,IFERROR(INDEX(lst_frequencia_meses,MATCH(Planos!$E37,lst_frequencia,0)),0)))=0),"●","")))</f>
      </c>
      <c r="K38" s="43">
        <f>IF(NOT(Planos!$A37&lt;&gt;""),"",IF(COUNTIFS(Programação!$B$4:$B$503,Planos!$A37,Programação!$I$4:$I$503,"Concluído",Programação!$G$4:$G$503,"&gt;="&amp;DATE(ano_ref,8,1),Programação!$G$4:$G$503,"&lt;="&amp;EOMONTH(DATE(ano_ref,8,1),0))&gt;0,"✔",IF(AND(ISNUMBER(Planos!$G37),IFERROR(INDEX(lst_frequencia_meses,MATCH(Planos!$E37,lst_frequencia,0)),0)&gt;0,(ano_ref*12+8)-(YEAR(Planos!$G37)*12+MONTH(Planos!$G37))&gt;0,MOD((ano_ref*12+8)-(YEAR(Planos!$G37)*12+MONTH(Planos!$G37)),MAX(1,IFERROR(INDEX(lst_frequencia_meses,MATCH(Planos!$E37,lst_frequencia,0)),0)))=0),"●","")))</f>
      </c>
      <c r="L38" s="43">
        <f>IF(NOT(Planos!$A37&lt;&gt;""),"",IF(COUNTIFS(Programação!$B$4:$B$503,Planos!$A37,Programação!$I$4:$I$503,"Concluído",Programação!$G$4:$G$503,"&gt;="&amp;DATE(ano_ref,9,1),Programação!$G$4:$G$503,"&lt;="&amp;EOMONTH(DATE(ano_ref,9,1),0))&gt;0,"✔",IF(AND(ISNUMBER(Planos!$G37),IFERROR(INDEX(lst_frequencia_meses,MATCH(Planos!$E37,lst_frequencia,0)),0)&gt;0,(ano_ref*12+9)-(YEAR(Planos!$G37)*12+MONTH(Planos!$G37))&gt;0,MOD((ano_ref*12+9)-(YEAR(Planos!$G37)*12+MONTH(Planos!$G37)),MAX(1,IFERROR(INDEX(lst_frequencia_meses,MATCH(Planos!$E37,lst_frequencia,0)),0)))=0),"●","")))</f>
      </c>
      <c r="M38" s="43">
        <f>IF(NOT(Planos!$A37&lt;&gt;""),"",IF(COUNTIFS(Programação!$B$4:$B$503,Planos!$A37,Programação!$I$4:$I$503,"Concluído",Programação!$G$4:$G$503,"&gt;="&amp;DATE(ano_ref,10,1),Programação!$G$4:$G$503,"&lt;="&amp;EOMONTH(DATE(ano_ref,10,1),0))&gt;0,"✔",IF(AND(ISNUMBER(Planos!$G37),IFERROR(INDEX(lst_frequencia_meses,MATCH(Planos!$E37,lst_frequencia,0)),0)&gt;0,(ano_ref*12+10)-(YEAR(Planos!$G37)*12+MONTH(Planos!$G37))&gt;0,MOD((ano_ref*12+10)-(YEAR(Planos!$G37)*12+MONTH(Planos!$G37)),MAX(1,IFERROR(INDEX(lst_frequencia_meses,MATCH(Planos!$E37,lst_frequencia,0)),0)))=0),"●","")))</f>
      </c>
      <c r="N38" s="43">
        <f>IF(NOT(Planos!$A37&lt;&gt;""),"",IF(COUNTIFS(Programação!$B$4:$B$503,Planos!$A37,Programação!$I$4:$I$503,"Concluído",Programação!$G$4:$G$503,"&gt;="&amp;DATE(ano_ref,11,1),Programação!$G$4:$G$503,"&lt;="&amp;EOMONTH(DATE(ano_ref,11,1),0))&gt;0,"✔",IF(AND(ISNUMBER(Planos!$G37),IFERROR(INDEX(lst_frequencia_meses,MATCH(Planos!$E37,lst_frequencia,0)),0)&gt;0,(ano_ref*12+11)-(YEAR(Planos!$G37)*12+MONTH(Planos!$G37))&gt;0,MOD((ano_ref*12+11)-(YEAR(Planos!$G37)*12+MONTH(Planos!$G37)),MAX(1,IFERROR(INDEX(lst_frequencia_meses,MATCH(Planos!$E37,lst_frequencia,0)),0)))=0),"●","")))</f>
      </c>
      <c r="O38" s="43">
        <f>IF(NOT(Planos!$A37&lt;&gt;""),"",IF(COUNTIFS(Programação!$B$4:$B$503,Planos!$A37,Programação!$I$4:$I$503,"Concluído",Programação!$G$4:$G$503,"&gt;="&amp;DATE(ano_ref,12,1),Programação!$G$4:$G$503,"&lt;="&amp;EOMONTH(DATE(ano_ref,12,1),0))&gt;0,"✔",IF(AND(ISNUMBER(Planos!$G37),IFERROR(INDEX(lst_frequencia_meses,MATCH(Planos!$E37,lst_frequencia,0)),0)&gt;0,(ano_ref*12+12)-(YEAR(Planos!$G37)*12+MONTH(Planos!$G37))&gt;0,MOD((ano_ref*12+12)-(YEAR(Planos!$G37)*12+MONTH(Planos!$G37)),MAX(1,IFERROR(INDEX(lst_frequencia_meses,MATCH(Planos!$E37,lst_frequencia,0)),0)))=0),"●","")))</f>
      </c>
      <c r="P38" s="44">
        <f>IF(COUNTIF(D38:O38,"✔")+COUNTIF(D38:O38,"●")=0,"",COUNTIF(D38:O38,"✔")/(COUNTIF(D38:O38,"✔")+COUNTIF(D38:O38,"●")))</f>
      </c>
    </row>
    <row r="39" spans="1:16" x14ac:dyDescent="0.25">
      <c r="A39" s="43">
        <f>IF(Planos!$A38&lt;&gt;"",Planos!A38&amp;"","")</f>
      </c>
      <c r="B39" s="43">
        <f>IF(Planos!$A38&lt;&gt;"",Planos!B38&amp;"","")</f>
      </c>
      <c r="C39" s="24">
        <f>IF(Planos!$A38&lt;&gt;"",Planos!C38&amp;"","")</f>
      </c>
      <c r="D39" s="43">
        <f>IF(NOT(Planos!$A38&lt;&gt;""),"",IF(COUNTIFS(Programação!$B$4:$B$503,Planos!$A38,Programação!$I$4:$I$503,"Concluído",Programação!$G$4:$G$503,"&gt;="&amp;DATE(ano_ref,1,1),Programação!$G$4:$G$503,"&lt;="&amp;EOMONTH(DATE(ano_ref,1,1),0))&gt;0,"✔",IF(AND(ISNUMBER(Planos!$G38),IFERROR(INDEX(lst_frequencia_meses,MATCH(Planos!$E38,lst_frequencia,0)),0)&gt;0,(ano_ref*12+1)-(YEAR(Planos!$G38)*12+MONTH(Planos!$G38))&gt;0,MOD((ano_ref*12+1)-(YEAR(Planos!$G38)*12+MONTH(Planos!$G38)),MAX(1,IFERROR(INDEX(lst_frequencia_meses,MATCH(Planos!$E38,lst_frequencia,0)),0)))=0),"●","")))</f>
      </c>
      <c r="E39" s="43">
        <f>IF(NOT(Planos!$A38&lt;&gt;""),"",IF(COUNTIFS(Programação!$B$4:$B$503,Planos!$A38,Programação!$I$4:$I$503,"Concluído",Programação!$G$4:$G$503,"&gt;="&amp;DATE(ano_ref,2,1),Programação!$G$4:$G$503,"&lt;="&amp;EOMONTH(DATE(ano_ref,2,1),0))&gt;0,"✔",IF(AND(ISNUMBER(Planos!$G38),IFERROR(INDEX(lst_frequencia_meses,MATCH(Planos!$E38,lst_frequencia,0)),0)&gt;0,(ano_ref*12+2)-(YEAR(Planos!$G38)*12+MONTH(Planos!$G38))&gt;0,MOD((ano_ref*12+2)-(YEAR(Planos!$G38)*12+MONTH(Planos!$G38)),MAX(1,IFERROR(INDEX(lst_frequencia_meses,MATCH(Planos!$E38,lst_frequencia,0)),0)))=0),"●","")))</f>
      </c>
      <c r="F39" s="43">
        <f>IF(NOT(Planos!$A38&lt;&gt;""),"",IF(COUNTIFS(Programação!$B$4:$B$503,Planos!$A38,Programação!$I$4:$I$503,"Concluído",Programação!$G$4:$G$503,"&gt;="&amp;DATE(ano_ref,3,1),Programação!$G$4:$G$503,"&lt;="&amp;EOMONTH(DATE(ano_ref,3,1),0))&gt;0,"✔",IF(AND(ISNUMBER(Planos!$G38),IFERROR(INDEX(lst_frequencia_meses,MATCH(Planos!$E38,lst_frequencia,0)),0)&gt;0,(ano_ref*12+3)-(YEAR(Planos!$G38)*12+MONTH(Planos!$G38))&gt;0,MOD((ano_ref*12+3)-(YEAR(Planos!$G38)*12+MONTH(Planos!$G38)),MAX(1,IFERROR(INDEX(lst_frequencia_meses,MATCH(Planos!$E38,lst_frequencia,0)),0)))=0),"●","")))</f>
      </c>
      <c r="G39" s="43">
        <f>IF(NOT(Planos!$A38&lt;&gt;""),"",IF(COUNTIFS(Programação!$B$4:$B$503,Planos!$A38,Programação!$I$4:$I$503,"Concluído",Programação!$G$4:$G$503,"&gt;="&amp;DATE(ano_ref,4,1),Programação!$G$4:$G$503,"&lt;="&amp;EOMONTH(DATE(ano_ref,4,1),0))&gt;0,"✔",IF(AND(ISNUMBER(Planos!$G38),IFERROR(INDEX(lst_frequencia_meses,MATCH(Planos!$E38,lst_frequencia,0)),0)&gt;0,(ano_ref*12+4)-(YEAR(Planos!$G38)*12+MONTH(Planos!$G38))&gt;0,MOD((ano_ref*12+4)-(YEAR(Planos!$G38)*12+MONTH(Planos!$G38)),MAX(1,IFERROR(INDEX(lst_frequencia_meses,MATCH(Planos!$E38,lst_frequencia,0)),0)))=0),"●","")))</f>
      </c>
      <c r="H39" s="43">
        <f>IF(NOT(Planos!$A38&lt;&gt;""),"",IF(COUNTIFS(Programação!$B$4:$B$503,Planos!$A38,Programação!$I$4:$I$503,"Concluído",Programação!$G$4:$G$503,"&gt;="&amp;DATE(ano_ref,5,1),Programação!$G$4:$G$503,"&lt;="&amp;EOMONTH(DATE(ano_ref,5,1),0))&gt;0,"✔",IF(AND(ISNUMBER(Planos!$G38),IFERROR(INDEX(lst_frequencia_meses,MATCH(Planos!$E38,lst_frequencia,0)),0)&gt;0,(ano_ref*12+5)-(YEAR(Planos!$G38)*12+MONTH(Planos!$G38))&gt;0,MOD((ano_ref*12+5)-(YEAR(Planos!$G38)*12+MONTH(Planos!$G38)),MAX(1,IFERROR(INDEX(lst_frequencia_meses,MATCH(Planos!$E38,lst_frequencia,0)),0)))=0),"●","")))</f>
      </c>
      <c r="I39" s="43">
        <f>IF(NOT(Planos!$A38&lt;&gt;""),"",IF(COUNTIFS(Programação!$B$4:$B$503,Planos!$A38,Programação!$I$4:$I$503,"Concluído",Programação!$G$4:$G$503,"&gt;="&amp;DATE(ano_ref,6,1),Programação!$G$4:$G$503,"&lt;="&amp;EOMONTH(DATE(ano_ref,6,1),0))&gt;0,"✔",IF(AND(ISNUMBER(Planos!$G38),IFERROR(INDEX(lst_frequencia_meses,MATCH(Planos!$E38,lst_frequencia,0)),0)&gt;0,(ano_ref*12+6)-(YEAR(Planos!$G38)*12+MONTH(Planos!$G38))&gt;0,MOD((ano_ref*12+6)-(YEAR(Planos!$G38)*12+MONTH(Planos!$G38)),MAX(1,IFERROR(INDEX(lst_frequencia_meses,MATCH(Planos!$E38,lst_frequencia,0)),0)))=0),"●","")))</f>
      </c>
      <c r="J39" s="43">
        <f>IF(NOT(Planos!$A38&lt;&gt;""),"",IF(COUNTIFS(Programação!$B$4:$B$503,Planos!$A38,Programação!$I$4:$I$503,"Concluído",Programação!$G$4:$G$503,"&gt;="&amp;DATE(ano_ref,7,1),Programação!$G$4:$G$503,"&lt;="&amp;EOMONTH(DATE(ano_ref,7,1),0))&gt;0,"✔",IF(AND(ISNUMBER(Planos!$G38),IFERROR(INDEX(lst_frequencia_meses,MATCH(Planos!$E38,lst_frequencia,0)),0)&gt;0,(ano_ref*12+7)-(YEAR(Planos!$G38)*12+MONTH(Planos!$G38))&gt;0,MOD((ano_ref*12+7)-(YEAR(Planos!$G38)*12+MONTH(Planos!$G38)),MAX(1,IFERROR(INDEX(lst_frequencia_meses,MATCH(Planos!$E38,lst_frequencia,0)),0)))=0),"●","")))</f>
      </c>
      <c r="K39" s="43">
        <f>IF(NOT(Planos!$A38&lt;&gt;""),"",IF(COUNTIFS(Programação!$B$4:$B$503,Planos!$A38,Programação!$I$4:$I$503,"Concluído",Programação!$G$4:$G$503,"&gt;="&amp;DATE(ano_ref,8,1),Programação!$G$4:$G$503,"&lt;="&amp;EOMONTH(DATE(ano_ref,8,1),0))&gt;0,"✔",IF(AND(ISNUMBER(Planos!$G38),IFERROR(INDEX(lst_frequencia_meses,MATCH(Planos!$E38,lst_frequencia,0)),0)&gt;0,(ano_ref*12+8)-(YEAR(Planos!$G38)*12+MONTH(Planos!$G38))&gt;0,MOD((ano_ref*12+8)-(YEAR(Planos!$G38)*12+MONTH(Planos!$G38)),MAX(1,IFERROR(INDEX(lst_frequencia_meses,MATCH(Planos!$E38,lst_frequencia,0)),0)))=0),"●","")))</f>
      </c>
      <c r="L39" s="43">
        <f>IF(NOT(Planos!$A38&lt;&gt;""),"",IF(COUNTIFS(Programação!$B$4:$B$503,Planos!$A38,Programação!$I$4:$I$503,"Concluído",Programação!$G$4:$G$503,"&gt;="&amp;DATE(ano_ref,9,1),Programação!$G$4:$G$503,"&lt;="&amp;EOMONTH(DATE(ano_ref,9,1),0))&gt;0,"✔",IF(AND(ISNUMBER(Planos!$G38),IFERROR(INDEX(lst_frequencia_meses,MATCH(Planos!$E38,lst_frequencia,0)),0)&gt;0,(ano_ref*12+9)-(YEAR(Planos!$G38)*12+MONTH(Planos!$G38))&gt;0,MOD((ano_ref*12+9)-(YEAR(Planos!$G38)*12+MONTH(Planos!$G38)),MAX(1,IFERROR(INDEX(lst_frequencia_meses,MATCH(Planos!$E38,lst_frequencia,0)),0)))=0),"●","")))</f>
      </c>
      <c r="M39" s="43">
        <f>IF(NOT(Planos!$A38&lt;&gt;""),"",IF(COUNTIFS(Programação!$B$4:$B$503,Planos!$A38,Programação!$I$4:$I$503,"Concluído",Programação!$G$4:$G$503,"&gt;="&amp;DATE(ano_ref,10,1),Programação!$G$4:$G$503,"&lt;="&amp;EOMONTH(DATE(ano_ref,10,1),0))&gt;0,"✔",IF(AND(ISNUMBER(Planos!$G38),IFERROR(INDEX(lst_frequencia_meses,MATCH(Planos!$E38,lst_frequencia,0)),0)&gt;0,(ano_ref*12+10)-(YEAR(Planos!$G38)*12+MONTH(Planos!$G38))&gt;0,MOD((ano_ref*12+10)-(YEAR(Planos!$G38)*12+MONTH(Planos!$G38)),MAX(1,IFERROR(INDEX(lst_frequencia_meses,MATCH(Planos!$E38,lst_frequencia,0)),0)))=0),"●","")))</f>
      </c>
      <c r="N39" s="43">
        <f>IF(NOT(Planos!$A38&lt;&gt;""),"",IF(COUNTIFS(Programação!$B$4:$B$503,Planos!$A38,Programação!$I$4:$I$503,"Concluído",Programação!$G$4:$G$503,"&gt;="&amp;DATE(ano_ref,11,1),Programação!$G$4:$G$503,"&lt;="&amp;EOMONTH(DATE(ano_ref,11,1),0))&gt;0,"✔",IF(AND(ISNUMBER(Planos!$G38),IFERROR(INDEX(lst_frequencia_meses,MATCH(Planos!$E38,lst_frequencia,0)),0)&gt;0,(ano_ref*12+11)-(YEAR(Planos!$G38)*12+MONTH(Planos!$G38))&gt;0,MOD((ano_ref*12+11)-(YEAR(Planos!$G38)*12+MONTH(Planos!$G38)),MAX(1,IFERROR(INDEX(lst_frequencia_meses,MATCH(Planos!$E38,lst_frequencia,0)),0)))=0),"●","")))</f>
      </c>
      <c r="O39" s="43">
        <f>IF(NOT(Planos!$A38&lt;&gt;""),"",IF(COUNTIFS(Programação!$B$4:$B$503,Planos!$A38,Programação!$I$4:$I$503,"Concluído",Programação!$G$4:$G$503,"&gt;="&amp;DATE(ano_ref,12,1),Programação!$G$4:$G$503,"&lt;="&amp;EOMONTH(DATE(ano_ref,12,1),0))&gt;0,"✔",IF(AND(ISNUMBER(Planos!$G38),IFERROR(INDEX(lst_frequencia_meses,MATCH(Planos!$E38,lst_frequencia,0)),0)&gt;0,(ano_ref*12+12)-(YEAR(Planos!$G38)*12+MONTH(Planos!$G38))&gt;0,MOD((ano_ref*12+12)-(YEAR(Planos!$G38)*12+MONTH(Planos!$G38)),MAX(1,IFERROR(INDEX(lst_frequencia_meses,MATCH(Planos!$E38,lst_frequencia,0)),0)))=0),"●","")))</f>
      </c>
      <c r="P39" s="44">
        <f>IF(COUNTIF(D39:O39,"✔")+COUNTIF(D39:O39,"●")=0,"",COUNTIF(D39:O39,"✔")/(COUNTIF(D39:O39,"✔")+COUNTIF(D39:O39,"●")))</f>
      </c>
    </row>
    <row r="40" spans="1:16" x14ac:dyDescent="0.25">
      <c r="A40" s="43">
        <f>IF(Planos!$A39&lt;&gt;"",Planos!A39&amp;"","")</f>
      </c>
      <c r="B40" s="43">
        <f>IF(Planos!$A39&lt;&gt;"",Planos!B39&amp;"","")</f>
      </c>
      <c r="C40" s="24">
        <f>IF(Planos!$A39&lt;&gt;"",Planos!C39&amp;"","")</f>
      </c>
      <c r="D40" s="43">
        <f>IF(NOT(Planos!$A39&lt;&gt;""),"",IF(COUNTIFS(Programação!$B$4:$B$503,Planos!$A39,Programação!$I$4:$I$503,"Concluído",Programação!$G$4:$G$503,"&gt;="&amp;DATE(ano_ref,1,1),Programação!$G$4:$G$503,"&lt;="&amp;EOMONTH(DATE(ano_ref,1,1),0))&gt;0,"✔",IF(AND(ISNUMBER(Planos!$G39),IFERROR(INDEX(lst_frequencia_meses,MATCH(Planos!$E39,lst_frequencia,0)),0)&gt;0,(ano_ref*12+1)-(YEAR(Planos!$G39)*12+MONTH(Planos!$G39))&gt;0,MOD((ano_ref*12+1)-(YEAR(Planos!$G39)*12+MONTH(Planos!$G39)),MAX(1,IFERROR(INDEX(lst_frequencia_meses,MATCH(Planos!$E39,lst_frequencia,0)),0)))=0),"●","")))</f>
      </c>
      <c r="E40" s="43">
        <f>IF(NOT(Planos!$A39&lt;&gt;""),"",IF(COUNTIFS(Programação!$B$4:$B$503,Planos!$A39,Programação!$I$4:$I$503,"Concluído",Programação!$G$4:$G$503,"&gt;="&amp;DATE(ano_ref,2,1),Programação!$G$4:$G$503,"&lt;="&amp;EOMONTH(DATE(ano_ref,2,1),0))&gt;0,"✔",IF(AND(ISNUMBER(Planos!$G39),IFERROR(INDEX(lst_frequencia_meses,MATCH(Planos!$E39,lst_frequencia,0)),0)&gt;0,(ano_ref*12+2)-(YEAR(Planos!$G39)*12+MONTH(Planos!$G39))&gt;0,MOD((ano_ref*12+2)-(YEAR(Planos!$G39)*12+MONTH(Planos!$G39)),MAX(1,IFERROR(INDEX(lst_frequencia_meses,MATCH(Planos!$E39,lst_frequencia,0)),0)))=0),"●","")))</f>
      </c>
      <c r="F40" s="43">
        <f>IF(NOT(Planos!$A39&lt;&gt;""),"",IF(COUNTIFS(Programação!$B$4:$B$503,Planos!$A39,Programação!$I$4:$I$503,"Concluído",Programação!$G$4:$G$503,"&gt;="&amp;DATE(ano_ref,3,1),Programação!$G$4:$G$503,"&lt;="&amp;EOMONTH(DATE(ano_ref,3,1),0))&gt;0,"✔",IF(AND(ISNUMBER(Planos!$G39),IFERROR(INDEX(lst_frequencia_meses,MATCH(Planos!$E39,lst_frequencia,0)),0)&gt;0,(ano_ref*12+3)-(YEAR(Planos!$G39)*12+MONTH(Planos!$G39))&gt;0,MOD((ano_ref*12+3)-(YEAR(Planos!$G39)*12+MONTH(Planos!$G39)),MAX(1,IFERROR(INDEX(lst_frequencia_meses,MATCH(Planos!$E39,lst_frequencia,0)),0)))=0),"●","")))</f>
      </c>
      <c r="G40" s="43">
        <f>IF(NOT(Planos!$A39&lt;&gt;""),"",IF(COUNTIFS(Programação!$B$4:$B$503,Planos!$A39,Programação!$I$4:$I$503,"Concluído",Programação!$G$4:$G$503,"&gt;="&amp;DATE(ano_ref,4,1),Programação!$G$4:$G$503,"&lt;="&amp;EOMONTH(DATE(ano_ref,4,1),0))&gt;0,"✔",IF(AND(ISNUMBER(Planos!$G39),IFERROR(INDEX(lst_frequencia_meses,MATCH(Planos!$E39,lst_frequencia,0)),0)&gt;0,(ano_ref*12+4)-(YEAR(Planos!$G39)*12+MONTH(Planos!$G39))&gt;0,MOD((ano_ref*12+4)-(YEAR(Planos!$G39)*12+MONTH(Planos!$G39)),MAX(1,IFERROR(INDEX(lst_frequencia_meses,MATCH(Planos!$E39,lst_frequencia,0)),0)))=0),"●","")))</f>
      </c>
      <c r="H40" s="43">
        <f>IF(NOT(Planos!$A39&lt;&gt;""),"",IF(COUNTIFS(Programação!$B$4:$B$503,Planos!$A39,Programação!$I$4:$I$503,"Concluído",Programação!$G$4:$G$503,"&gt;="&amp;DATE(ano_ref,5,1),Programação!$G$4:$G$503,"&lt;="&amp;EOMONTH(DATE(ano_ref,5,1),0))&gt;0,"✔",IF(AND(ISNUMBER(Planos!$G39),IFERROR(INDEX(lst_frequencia_meses,MATCH(Planos!$E39,lst_frequencia,0)),0)&gt;0,(ano_ref*12+5)-(YEAR(Planos!$G39)*12+MONTH(Planos!$G39))&gt;0,MOD((ano_ref*12+5)-(YEAR(Planos!$G39)*12+MONTH(Planos!$G39)),MAX(1,IFERROR(INDEX(lst_frequencia_meses,MATCH(Planos!$E39,lst_frequencia,0)),0)))=0),"●","")))</f>
      </c>
      <c r="I40" s="43">
        <f>IF(NOT(Planos!$A39&lt;&gt;""),"",IF(COUNTIFS(Programação!$B$4:$B$503,Planos!$A39,Programação!$I$4:$I$503,"Concluído",Programação!$G$4:$G$503,"&gt;="&amp;DATE(ano_ref,6,1),Programação!$G$4:$G$503,"&lt;="&amp;EOMONTH(DATE(ano_ref,6,1),0))&gt;0,"✔",IF(AND(ISNUMBER(Planos!$G39),IFERROR(INDEX(lst_frequencia_meses,MATCH(Planos!$E39,lst_frequencia,0)),0)&gt;0,(ano_ref*12+6)-(YEAR(Planos!$G39)*12+MONTH(Planos!$G39))&gt;0,MOD((ano_ref*12+6)-(YEAR(Planos!$G39)*12+MONTH(Planos!$G39)),MAX(1,IFERROR(INDEX(lst_frequencia_meses,MATCH(Planos!$E39,lst_frequencia,0)),0)))=0),"●","")))</f>
      </c>
      <c r="J40" s="43">
        <f>IF(NOT(Planos!$A39&lt;&gt;""),"",IF(COUNTIFS(Programação!$B$4:$B$503,Planos!$A39,Programação!$I$4:$I$503,"Concluído",Programação!$G$4:$G$503,"&gt;="&amp;DATE(ano_ref,7,1),Programação!$G$4:$G$503,"&lt;="&amp;EOMONTH(DATE(ano_ref,7,1),0))&gt;0,"✔",IF(AND(ISNUMBER(Planos!$G39),IFERROR(INDEX(lst_frequencia_meses,MATCH(Planos!$E39,lst_frequencia,0)),0)&gt;0,(ano_ref*12+7)-(YEAR(Planos!$G39)*12+MONTH(Planos!$G39))&gt;0,MOD((ano_ref*12+7)-(YEAR(Planos!$G39)*12+MONTH(Planos!$G39)),MAX(1,IFERROR(INDEX(lst_frequencia_meses,MATCH(Planos!$E39,lst_frequencia,0)),0)))=0),"●","")))</f>
      </c>
      <c r="K40" s="43">
        <f>IF(NOT(Planos!$A39&lt;&gt;""),"",IF(COUNTIFS(Programação!$B$4:$B$503,Planos!$A39,Programação!$I$4:$I$503,"Concluído",Programação!$G$4:$G$503,"&gt;="&amp;DATE(ano_ref,8,1),Programação!$G$4:$G$503,"&lt;="&amp;EOMONTH(DATE(ano_ref,8,1),0))&gt;0,"✔",IF(AND(ISNUMBER(Planos!$G39),IFERROR(INDEX(lst_frequencia_meses,MATCH(Planos!$E39,lst_frequencia,0)),0)&gt;0,(ano_ref*12+8)-(YEAR(Planos!$G39)*12+MONTH(Planos!$G39))&gt;0,MOD((ano_ref*12+8)-(YEAR(Planos!$G39)*12+MONTH(Planos!$G39)),MAX(1,IFERROR(INDEX(lst_frequencia_meses,MATCH(Planos!$E39,lst_frequencia,0)),0)))=0),"●","")))</f>
      </c>
      <c r="L40" s="43">
        <f>IF(NOT(Planos!$A39&lt;&gt;""),"",IF(COUNTIFS(Programação!$B$4:$B$503,Planos!$A39,Programação!$I$4:$I$503,"Concluído",Programação!$G$4:$G$503,"&gt;="&amp;DATE(ano_ref,9,1),Programação!$G$4:$G$503,"&lt;="&amp;EOMONTH(DATE(ano_ref,9,1),0))&gt;0,"✔",IF(AND(ISNUMBER(Planos!$G39),IFERROR(INDEX(lst_frequencia_meses,MATCH(Planos!$E39,lst_frequencia,0)),0)&gt;0,(ano_ref*12+9)-(YEAR(Planos!$G39)*12+MONTH(Planos!$G39))&gt;0,MOD((ano_ref*12+9)-(YEAR(Planos!$G39)*12+MONTH(Planos!$G39)),MAX(1,IFERROR(INDEX(lst_frequencia_meses,MATCH(Planos!$E39,lst_frequencia,0)),0)))=0),"●","")))</f>
      </c>
      <c r="M40" s="43">
        <f>IF(NOT(Planos!$A39&lt;&gt;""),"",IF(COUNTIFS(Programação!$B$4:$B$503,Planos!$A39,Programação!$I$4:$I$503,"Concluído",Programação!$G$4:$G$503,"&gt;="&amp;DATE(ano_ref,10,1),Programação!$G$4:$G$503,"&lt;="&amp;EOMONTH(DATE(ano_ref,10,1),0))&gt;0,"✔",IF(AND(ISNUMBER(Planos!$G39),IFERROR(INDEX(lst_frequencia_meses,MATCH(Planos!$E39,lst_frequencia,0)),0)&gt;0,(ano_ref*12+10)-(YEAR(Planos!$G39)*12+MONTH(Planos!$G39))&gt;0,MOD((ano_ref*12+10)-(YEAR(Planos!$G39)*12+MONTH(Planos!$G39)),MAX(1,IFERROR(INDEX(lst_frequencia_meses,MATCH(Planos!$E39,lst_frequencia,0)),0)))=0),"●","")))</f>
      </c>
      <c r="N40" s="43">
        <f>IF(NOT(Planos!$A39&lt;&gt;""),"",IF(COUNTIFS(Programação!$B$4:$B$503,Planos!$A39,Programação!$I$4:$I$503,"Concluído",Programação!$G$4:$G$503,"&gt;="&amp;DATE(ano_ref,11,1),Programação!$G$4:$G$503,"&lt;="&amp;EOMONTH(DATE(ano_ref,11,1),0))&gt;0,"✔",IF(AND(ISNUMBER(Planos!$G39),IFERROR(INDEX(lst_frequencia_meses,MATCH(Planos!$E39,lst_frequencia,0)),0)&gt;0,(ano_ref*12+11)-(YEAR(Planos!$G39)*12+MONTH(Planos!$G39))&gt;0,MOD((ano_ref*12+11)-(YEAR(Planos!$G39)*12+MONTH(Planos!$G39)),MAX(1,IFERROR(INDEX(lst_frequencia_meses,MATCH(Planos!$E39,lst_frequencia,0)),0)))=0),"●","")))</f>
      </c>
      <c r="O40" s="43">
        <f>IF(NOT(Planos!$A39&lt;&gt;""),"",IF(COUNTIFS(Programação!$B$4:$B$503,Planos!$A39,Programação!$I$4:$I$503,"Concluído",Programação!$G$4:$G$503,"&gt;="&amp;DATE(ano_ref,12,1),Programação!$G$4:$G$503,"&lt;="&amp;EOMONTH(DATE(ano_ref,12,1),0))&gt;0,"✔",IF(AND(ISNUMBER(Planos!$G39),IFERROR(INDEX(lst_frequencia_meses,MATCH(Planos!$E39,lst_frequencia,0)),0)&gt;0,(ano_ref*12+12)-(YEAR(Planos!$G39)*12+MONTH(Planos!$G39))&gt;0,MOD((ano_ref*12+12)-(YEAR(Planos!$G39)*12+MONTH(Planos!$G39)),MAX(1,IFERROR(INDEX(lst_frequencia_meses,MATCH(Planos!$E39,lst_frequencia,0)),0)))=0),"●","")))</f>
      </c>
      <c r="P40" s="44">
        <f>IF(COUNTIF(D40:O40,"✔")+COUNTIF(D40:O40,"●")=0,"",COUNTIF(D40:O40,"✔")/(COUNTIF(D40:O40,"✔")+COUNTIF(D40:O40,"●")))</f>
      </c>
    </row>
    <row r="41" spans="1:16" x14ac:dyDescent="0.25">
      <c r="A41" s="43">
        <f>IF(Planos!$A40&lt;&gt;"",Planos!A40&amp;"","")</f>
      </c>
      <c r="B41" s="43">
        <f>IF(Planos!$A40&lt;&gt;"",Planos!B40&amp;"","")</f>
      </c>
      <c r="C41" s="24">
        <f>IF(Planos!$A40&lt;&gt;"",Planos!C40&amp;"","")</f>
      </c>
      <c r="D41" s="43">
        <f>IF(NOT(Planos!$A40&lt;&gt;""),"",IF(COUNTIFS(Programação!$B$4:$B$503,Planos!$A40,Programação!$I$4:$I$503,"Concluído",Programação!$G$4:$G$503,"&gt;="&amp;DATE(ano_ref,1,1),Programação!$G$4:$G$503,"&lt;="&amp;EOMONTH(DATE(ano_ref,1,1),0))&gt;0,"✔",IF(AND(ISNUMBER(Planos!$G40),IFERROR(INDEX(lst_frequencia_meses,MATCH(Planos!$E40,lst_frequencia,0)),0)&gt;0,(ano_ref*12+1)-(YEAR(Planos!$G40)*12+MONTH(Planos!$G40))&gt;0,MOD((ano_ref*12+1)-(YEAR(Planos!$G40)*12+MONTH(Planos!$G40)),MAX(1,IFERROR(INDEX(lst_frequencia_meses,MATCH(Planos!$E40,lst_frequencia,0)),0)))=0),"●","")))</f>
      </c>
      <c r="E41" s="43">
        <f>IF(NOT(Planos!$A40&lt;&gt;""),"",IF(COUNTIFS(Programação!$B$4:$B$503,Planos!$A40,Programação!$I$4:$I$503,"Concluído",Programação!$G$4:$G$503,"&gt;="&amp;DATE(ano_ref,2,1),Programação!$G$4:$G$503,"&lt;="&amp;EOMONTH(DATE(ano_ref,2,1),0))&gt;0,"✔",IF(AND(ISNUMBER(Planos!$G40),IFERROR(INDEX(lst_frequencia_meses,MATCH(Planos!$E40,lst_frequencia,0)),0)&gt;0,(ano_ref*12+2)-(YEAR(Planos!$G40)*12+MONTH(Planos!$G40))&gt;0,MOD((ano_ref*12+2)-(YEAR(Planos!$G40)*12+MONTH(Planos!$G40)),MAX(1,IFERROR(INDEX(lst_frequencia_meses,MATCH(Planos!$E40,lst_frequencia,0)),0)))=0),"●","")))</f>
      </c>
      <c r="F41" s="43">
        <f>IF(NOT(Planos!$A40&lt;&gt;""),"",IF(COUNTIFS(Programação!$B$4:$B$503,Planos!$A40,Programação!$I$4:$I$503,"Concluído",Programação!$G$4:$G$503,"&gt;="&amp;DATE(ano_ref,3,1),Programação!$G$4:$G$503,"&lt;="&amp;EOMONTH(DATE(ano_ref,3,1),0))&gt;0,"✔",IF(AND(ISNUMBER(Planos!$G40),IFERROR(INDEX(lst_frequencia_meses,MATCH(Planos!$E40,lst_frequencia,0)),0)&gt;0,(ano_ref*12+3)-(YEAR(Planos!$G40)*12+MONTH(Planos!$G40))&gt;0,MOD((ano_ref*12+3)-(YEAR(Planos!$G40)*12+MONTH(Planos!$G40)),MAX(1,IFERROR(INDEX(lst_frequencia_meses,MATCH(Planos!$E40,lst_frequencia,0)),0)))=0),"●","")))</f>
      </c>
      <c r="G41" s="43">
        <f>IF(NOT(Planos!$A40&lt;&gt;""),"",IF(COUNTIFS(Programação!$B$4:$B$503,Planos!$A40,Programação!$I$4:$I$503,"Concluído",Programação!$G$4:$G$503,"&gt;="&amp;DATE(ano_ref,4,1),Programação!$G$4:$G$503,"&lt;="&amp;EOMONTH(DATE(ano_ref,4,1),0))&gt;0,"✔",IF(AND(ISNUMBER(Planos!$G40),IFERROR(INDEX(lst_frequencia_meses,MATCH(Planos!$E40,lst_frequencia,0)),0)&gt;0,(ano_ref*12+4)-(YEAR(Planos!$G40)*12+MONTH(Planos!$G40))&gt;0,MOD((ano_ref*12+4)-(YEAR(Planos!$G40)*12+MONTH(Planos!$G40)),MAX(1,IFERROR(INDEX(lst_frequencia_meses,MATCH(Planos!$E40,lst_frequencia,0)),0)))=0),"●","")))</f>
      </c>
      <c r="H41" s="43">
        <f>IF(NOT(Planos!$A40&lt;&gt;""),"",IF(COUNTIFS(Programação!$B$4:$B$503,Planos!$A40,Programação!$I$4:$I$503,"Concluído",Programação!$G$4:$G$503,"&gt;="&amp;DATE(ano_ref,5,1),Programação!$G$4:$G$503,"&lt;="&amp;EOMONTH(DATE(ano_ref,5,1),0))&gt;0,"✔",IF(AND(ISNUMBER(Planos!$G40),IFERROR(INDEX(lst_frequencia_meses,MATCH(Planos!$E40,lst_frequencia,0)),0)&gt;0,(ano_ref*12+5)-(YEAR(Planos!$G40)*12+MONTH(Planos!$G40))&gt;0,MOD((ano_ref*12+5)-(YEAR(Planos!$G40)*12+MONTH(Planos!$G40)),MAX(1,IFERROR(INDEX(lst_frequencia_meses,MATCH(Planos!$E40,lst_frequencia,0)),0)))=0),"●","")))</f>
      </c>
      <c r="I41" s="43">
        <f>IF(NOT(Planos!$A40&lt;&gt;""),"",IF(COUNTIFS(Programação!$B$4:$B$503,Planos!$A40,Programação!$I$4:$I$503,"Concluído",Programação!$G$4:$G$503,"&gt;="&amp;DATE(ano_ref,6,1),Programação!$G$4:$G$503,"&lt;="&amp;EOMONTH(DATE(ano_ref,6,1),0))&gt;0,"✔",IF(AND(ISNUMBER(Planos!$G40),IFERROR(INDEX(lst_frequencia_meses,MATCH(Planos!$E40,lst_frequencia,0)),0)&gt;0,(ano_ref*12+6)-(YEAR(Planos!$G40)*12+MONTH(Planos!$G40))&gt;0,MOD((ano_ref*12+6)-(YEAR(Planos!$G40)*12+MONTH(Planos!$G40)),MAX(1,IFERROR(INDEX(lst_frequencia_meses,MATCH(Planos!$E40,lst_frequencia,0)),0)))=0),"●","")))</f>
      </c>
      <c r="J41" s="43">
        <f>IF(NOT(Planos!$A40&lt;&gt;""),"",IF(COUNTIFS(Programação!$B$4:$B$503,Planos!$A40,Programação!$I$4:$I$503,"Concluído",Programação!$G$4:$G$503,"&gt;="&amp;DATE(ano_ref,7,1),Programação!$G$4:$G$503,"&lt;="&amp;EOMONTH(DATE(ano_ref,7,1),0))&gt;0,"✔",IF(AND(ISNUMBER(Planos!$G40),IFERROR(INDEX(lst_frequencia_meses,MATCH(Planos!$E40,lst_frequencia,0)),0)&gt;0,(ano_ref*12+7)-(YEAR(Planos!$G40)*12+MONTH(Planos!$G40))&gt;0,MOD((ano_ref*12+7)-(YEAR(Planos!$G40)*12+MONTH(Planos!$G40)),MAX(1,IFERROR(INDEX(lst_frequencia_meses,MATCH(Planos!$E40,lst_frequencia,0)),0)))=0),"●","")))</f>
      </c>
      <c r="K41" s="43">
        <f>IF(NOT(Planos!$A40&lt;&gt;""),"",IF(COUNTIFS(Programação!$B$4:$B$503,Planos!$A40,Programação!$I$4:$I$503,"Concluído",Programação!$G$4:$G$503,"&gt;="&amp;DATE(ano_ref,8,1),Programação!$G$4:$G$503,"&lt;="&amp;EOMONTH(DATE(ano_ref,8,1),0))&gt;0,"✔",IF(AND(ISNUMBER(Planos!$G40),IFERROR(INDEX(lst_frequencia_meses,MATCH(Planos!$E40,lst_frequencia,0)),0)&gt;0,(ano_ref*12+8)-(YEAR(Planos!$G40)*12+MONTH(Planos!$G40))&gt;0,MOD((ano_ref*12+8)-(YEAR(Planos!$G40)*12+MONTH(Planos!$G40)),MAX(1,IFERROR(INDEX(lst_frequencia_meses,MATCH(Planos!$E40,lst_frequencia,0)),0)))=0),"●","")))</f>
      </c>
      <c r="L41" s="43">
        <f>IF(NOT(Planos!$A40&lt;&gt;""),"",IF(COUNTIFS(Programação!$B$4:$B$503,Planos!$A40,Programação!$I$4:$I$503,"Concluído",Programação!$G$4:$G$503,"&gt;="&amp;DATE(ano_ref,9,1),Programação!$G$4:$G$503,"&lt;="&amp;EOMONTH(DATE(ano_ref,9,1),0))&gt;0,"✔",IF(AND(ISNUMBER(Planos!$G40),IFERROR(INDEX(lst_frequencia_meses,MATCH(Planos!$E40,lst_frequencia,0)),0)&gt;0,(ano_ref*12+9)-(YEAR(Planos!$G40)*12+MONTH(Planos!$G40))&gt;0,MOD((ano_ref*12+9)-(YEAR(Planos!$G40)*12+MONTH(Planos!$G40)),MAX(1,IFERROR(INDEX(lst_frequencia_meses,MATCH(Planos!$E40,lst_frequencia,0)),0)))=0),"●","")))</f>
      </c>
      <c r="M41" s="43">
        <f>IF(NOT(Planos!$A40&lt;&gt;""),"",IF(COUNTIFS(Programação!$B$4:$B$503,Planos!$A40,Programação!$I$4:$I$503,"Concluído",Programação!$G$4:$G$503,"&gt;="&amp;DATE(ano_ref,10,1),Programação!$G$4:$G$503,"&lt;="&amp;EOMONTH(DATE(ano_ref,10,1),0))&gt;0,"✔",IF(AND(ISNUMBER(Planos!$G40),IFERROR(INDEX(lst_frequencia_meses,MATCH(Planos!$E40,lst_frequencia,0)),0)&gt;0,(ano_ref*12+10)-(YEAR(Planos!$G40)*12+MONTH(Planos!$G40))&gt;0,MOD((ano_ref*12+10)-(YEAR(Planos!$G40)*12+MONTH(Planos!$G40)),MAX(1,IFERROR(INDEX(lst_frequencia_meses,MATCH(Planos!$E40,lst_frequencia,0)),0)))=0),"●","")))</f>
      </c>
      <c r="N41" s="43">
        <f>IF(NOT(Planos!$A40&lt;&gt;""),"",IF(COUNTIFS(Programação!$B$4:$B$503,Planos!$A40,Programação!$I$4:$I$503,"Concluído",Programação!$G$4:$G$503,"&gt;="&amp;DATE(ano_ref,11,1),Programação!$G$4:$G$503,"&lt;="&amp;EOMONTH(DATE(ano_ref,11,1),0))&gt;0,"✔",IF(AND(ISNUMBER(Planos!$G40),IFERROR(INDEX(lst_frequencia_meses,MATCH(Planos!$E40,lst_frequencia,0)),0)&gt;0,(ano_ref*12+11)-(YEAR(Planos!$G40)*12+MONTH(Planos!$G40))&gt;0,MOD((ano_ref*12+11)-(YEAR(Planos!$G40)*12+MONTH(Planos!$G40)),MAX(1,IFERROR(INDEX(lst_frequencia_meses,MATCH(Planos!$E40,lst_frequencia,0)),0)))=0),"●","")))</f>
      </c>
      <c r="O41" s="43">
        <f>IF(NOT(Planos!$A40&lt;&gt;""),"",IF(COUNTIFS(Programação!$B$4:$B$503,Planos!$A40,Programação!$I$4:$I$503,"Concluído",Programação!$G$4:$G$503,"&gt;="&amp;DATE(ano_ref,12,1),Programação!$G$4:$G$503,"&lt;="&amp;EOMONTH(DATE(ano_ref,12,1),0))&gt;0,"✔",IF(AND(ISNUMBER(Planos!$G40),IFERROR(INDEX(lst_frequencia_meses,MATCH(Planos!$E40,lst_frequencia,0)),0)&gt;0,(ano_ref*12+12)-(YEAR(Planos!$G40)*12+MONTH(Planos!$G40))&gt;0,MOD((ano_ref*12+12)-(YEAR(Planos!$G40)*12+MONTH(Planos!$G40)),MAX(1,IFERROR(INDEX(lst_frequencia_meses,MATCH(Planos!$E40,lst_frequencia,0)),0)))=0),"●","")))</f>
      </c>
      <c r="P41" s="44">
        <f>IF(COUNTIF(D41:O41,"✔")+COUNTIF(D41:O41,"●")=0,"",COUNTIF(D41:O41,"✔")/(COUNTIF(D41:O41,"✔")+COUNTIF(D41:O41,"●")))</f>
      </c>
    </row>
    <row r="42" spans="1:16" x14ac:dyDescent="0.25">
      <c r="A42" s="43">
        <f>IF(Planos!$A41&lt;&gt;"",Planos!A41&amp;"","")</f>
      </c>
      <c r="B42" s="43">
        <f>IF(Planos!$A41&lt;&gt;"",Planos!B41&amp;"","")</f>
      </c>
      <c r="C42" s="24">
        <f>IF(Planos!$A41&lt;&gt;"",Planos!C41&amp;"","")</f>
      </c>
      <c r="D42" s="43">
        <f>IF(NOT(Planos!$A41&lt;&gt;""),"",IF(COUNTIFS(Programação!$B$4:$B$503,Planos!$A41,Programação!$I$4:$I$503,"Concluído",Programação!$G$4:$G$503,"&gt;="&amp;DATE(ano_ref,1,1),Programação!$G$4:$G$503,"&lt;="&amp;EOMONTH(DATE(ano_ref,1,1),0))&gt;0,"✔",IF(AND(ISNUMBER(Planos!$G41),IFERROR(INDEX(lst_frequencia_meses,MATCH(Planos!$E41,lst_frequencia,0)),0)&gt;0,(ano_ref*12+1)-(YEAR(Planos!$G41)*12+MONTH(Planos!$G41))&gt;0,MOD((ano_ref*12+1)-(YEAR(Planos!$G41)*12+MONTH(Planos!$G41)),MAX(1,IFERROR(INDEX(lst_frequencia_meses,MATCH(Planos!$E41,lst_frequencia,0)),0)))=0),"●","")))</f>
      </c>
      <c r="E42" s="43">
        <f>IF(NOT(Planos!$A41&lt;&gt;""),"",IF(COUNTIFS(Programação!$B$4:$B$503,Planos!$A41,Programação!$I$4:$I$503,"Concluído",Programação!$G$4:$G$503,"&gt;="&amp;DATE(ano_ref,2,1),Programação!$G$4:$G$503,"&lt;="&amp;EOMONTH(DATE(ano_ref,2,1),0))&gt;0,"✔",IF(AND(ISNUMBER(Planos!$G41),IFERROR(INDEX(lst_frequencia_meses,MATCH(Planos!$E41,lst_frequencia,0)),0)&gt;0,(ano_ref*12+2)-(YEAR(Planos!$G41)*12+MONTH(Planos!$G41))&gt;0,MOD((ano_ref*12+2)-(YEAR(Planos!$G41)*12+MONTH(Planos!$G41)),MAX(1,IFERROR(INDEX(lst_frequencia_meses,MATCH(Planos!$E41,lst_frequencia,0)),0)))=0),"●","")))</f>
      </c>
      <c r="F42" s="43">
        <f>IF(NOT(Planos!$A41&lt;&gt;""),"",IF(COUNTIFS(Programação!$B$4:$B$503,Planos!$A41,Programação!$I$4:$I$503,"Concluído",Programação!$G$4:$G$503,"&gt;="&amp;DATE(ano_ref,3,1),Programação!$G$4:$G$503,"&lt;="&amp;EOMONTH(DATE(ano_ref,3,1),0))&gt;0,"✔",IF(AND(ISNUMBER(Planos!$G41),IFERROR(INDEX(lst_frequencia_meses,MATCH(Planos!$E41,lst_frequencia,0)),0)&gt;0,(ano_ref*12+3)-(YEAR(Planos!$G41)*12+MONTH(Planos!$G41))&gt;0,MOD((ano_ref*12+3)-(YEAR(Planos!$G41)*12+MONTH(Planos!$G41)),MAX(1,IFERROR(INDEX(lst_frequencia_meses,MATCH(Planos!$E41,lst_frequencia,0)),0)))=0),"●","")))</f>
      </c>
      <c r="G42" s="43">
        <f>IF(NOT(Planos!$A41&lt;&gt;""),"",IF(COUNTIFS(Programação!$B$4:$B$503,Planos!$A41,Programação!$I$4:$I$503,"Concluído",Programação!$G$4:$G$503,"&gt;="&amp;DATE(ano_ref,4,1),Programação!$G$4:$G$503,"&lt;="&amp;EOMONTH(DATE(ano_ref,4,1),0))&gt;0,"✔",IF(AND(ISNUMBER(Planos!$G41),IFERROR(INDEX(lst_frequencia_meses,MATCH(Planos!$E41,lst_frequencia,0)),0)&gt;0,(ano_ref*12+4)-(YEAR(Planos!$G41)*12+MONTH(Planos!$G41))&gt;0,MOD((ano_ref*12+4)-(YEAR(Planos!$G41)*12+MONTH(Planos!$G41)),MAX(1,IFERROR(INDEX(lst_frequencia_meses,MATCH(Planos!$E41,lst_frequencia,0)),0)))=0),"●","")))</f>
      </c>
      <c r="H42" s="43">
        <f>IF(NOT(Planos!$A41&lt;&gt;""),"",IF(COUNTIFS(Programação!$B$4:$B$503,Planos!$A41,Programação!$I$4:$I$503,"Concluído",Programação!$G$4:$G$503,"&gt;="&amp;DATE(ano_ref,5,1),Programação!$G$4:$G$503,"&lt;="&amp;EOMONTH(DATE(ano_ref,5,1),0))&gt;0,"✔",IF(AND(ISNUMBER(Planos!$G41),IFERROR(INDEX(lst_frequencia_meses,MATCH(Planos!$E41,lst_frequencia,0)),0)&gt;0,(ano_ref*12+5)-(YEAR(Planos!$G41)*12+MONTH(Planos!$G41))&gt;0,MOD((ano_ref*12+5)-(YEAR(Planos!$G41)*12+MONTH(Planos!$G41)),MAX(1,IFERROR(INDEX(lst_frequencia_meses,MATCH(Planos!$E41,lst_frequencia,0)),0)))=0),"●","")))</f>
      </c>
      <c r="I42" s="43">
        <f>IF(NOT(Planos!$A41&lt;&gt;""),"",IF(COUNTIFS(Programação!$B$4:$B$503,Planos!$A41,Programação!$I$4:$I$503,"Concluído",Programação!$G$4:$G$503,"&gt;="&amp;DATE(ano_ref,6,1),Programação!$G$4:$G$503,"&lt;="&amp;EOMONTH(DATE(ano_ref,6,1),0))&gt;0,"✔",IF(AND(ISNUMBER(Planos!$G41),IFERROR(INDEX(lst_frequencia_meses,MATCH(Planos!$E41,lst_frequencia,0)),0)&gt;0,(ano_ref*12+6)-(YEAR(Planos!$G41)*12+MONTH(Planos!$G41))&gt;0,MOD((ano_ref*12+6)-(YEAR(Planos!$G41)*12+MONTH(Planos!$G41)),MAX(1,IFERROR(INDEX(lst_frequencia_meses,MATCH(Planos!$E41,lst_frequencia,0)),0)))=0),"●","")))</f>
      </c>
      <c r="J42" s="43">
        <f>IF(NOT(Planos!$A41&lt;&gt;""),"",IF(COUNTIFS(Programação!$B$4:$B$503,Planos!$A41,Programação!$I$4:$I$503,"Concluído",Programação!$G$4:$G$503,"&gt;="&amp;DATE(ano_ref,7,1),Programação!$G$4:$G$503,"&lt;="&amp;EOMONTH(DATE(ano_ref,7,1),0))&gt;0,"✔",IF(AND(ISNUMBER(Planos!$G41),IFERROR(INDEX(lst_frequencia_meses,MATCH(Planos!$E41,lst_frequencia,0)),0)&gt;0,(ano_ref*12+7)-(YEAR(Planos!$G41)*12+MONTH(Planos!$G41))&gt;0,MOD((ano_ref*12+7)-(YEAR(Planos!$G41)*12+MONTH(Planos!$G41)),MAX(1,IFERROR(INDEX(lst_frequencia_meses,MATCH(Planos!$E41,lst_frequencia,0)),0)))=0),"●","")))</f>
      </c>
      <c r="K42" s="43">
        <f>IF(NOT(Planos!$A41&lt;&gt;""),"",IF(COUNTIFS(Programação!$B$4:$B$503,Planos!$A41,Programação!$I$4:$I$503,"Concluído",Programação!$G$4:$G$503,"&gt;="&amp;DATE(ano_ref,8,1),Programação!$G$4:$G$503,"&lt;="&amp;EOMONTH(DATE(ano_ref,8,1),0))&gt;0,"✔",IF(AND(ISNUMBER(Planos!$G41),IFERROR(INDEX(lst_frequencia_meses,MATCH(Planos!$E41,lst_frequencia,0)),0)&gt;0,(ano_ref*12+8)-(YEAR(Planos!$G41)*12+MONTH(Planos!$G41))&gt;0,MOD((ano_ref*12+8)-(YEAR(Planos!$G41)*12+MONTH(Planos!$G41)),MAX(1,IFERROR(INDEX(lst_frequencia_meses,MATCH(Planos!$E41,lst_frequencia,0)),0)))=0),"●","")))</f>
      </c>
      <c r="L42" s="43">
        <f>IF(NOT(Planos!$A41&lt;&gt;""),"",IF(COUNTIFS(Programação!$B$4:$B$503,Planos!$A41,Programação!$I$4:$I$503,"Concluído",Programação!$G$4:$G$503,"&gt;="&amp;DATE(ano_ref,9,1),Programação!$G$4:$G$503,"&lt;="&amp;EOMONTH(DATE(ano_ref,9,1),0))&gt;0,"✔",IF(AND(ISNUMBER(Planos!$G41),IFERROR(INDEX(lst_frequencia_meses,MATCH(Planos!$E41,lst_frequencia,0)),0)&gt;0,(ano_ref*12+9)-(YEAR(Planos!$G41)*12+MONTH(Planos!$G41))&gt;0,MOD((ano_ref*12+9)-(YEAR(Planos!$G41)*12+MONTH(Planos!$G41)),MAX(1,IFERROR(INDEX(lst_frequencia_meses,MATCH(Planos!$E41,lst_frequencia,0)),0)))=0),"●","")))</f>
      </c>
      <c r="M42" s="43">
        <f>IF(NOT(Planos!$A41&lt;&gt;""),"",IF(COUNTIFS(Programação!$B$4:$B$503,Planos!$A41,Programação!$I$4:$I$503,"Concluído",Programação!$G$4:$G$503,"&gt;="&amp;DATE(ano_ref,10,1),Programação!$G$4:$G$503,"&lt;="&amp;EOMONTH(DATE(ano_ref,10,1),0))&gt;0,"✔",IF(AND(ISNUMBER(Planos!$G41),IFERROR(INDEX(lst_frequencia_meses,MATCH(Planos!$E41,lst_frequencia,0)),0)&gt;0,(ano_ref*12+10)-(YEAR(Planos!$G41)*12+MONTH(Planos!$G41))&gt;0,MOD((ano_ref*12+10)-(YEAR(Planos!$G41)*12+MONTH(Planos!$G41)),MAX(1,IFERROR(INDEX(lst_frequencia_meses,MATCH(Planos!$E41,lst_frequencia,0)),0)))=0),"●","")))</f>
      </c>
      <c r="N42" s="43">
        <f>IF(NOT(Planos!$A41&lt;&gt;""),"",IF(COUNTIFS(Programação!$B$4:$B$503,Planos!$A41,Programação!$I$4:$I$503,"Concluído",Programação!$G$4:$G$503,"&gt;="&amp;DATE(ano_ref,11,1),Programação!$G$4:$G$503,"&lt;="&amp;EOMONTH(DATE(ano_ref,11,1),0))&gt;0,"✔",IF(AND(ISNUMBER(Planos!$G41),IFERROR(INDEX(lst_frequencia_meses,MATCH(Planos!$E41,lst_frequencia,0)),0)&gt;0,(ano_ref*12+11)-(YEAR(Planos!$G41)*12+MONTH(Planos!$G41))&gt;0,MOD((ano_ref*12+11)-(YEAR(Planos!$G41)*12+MONTH(Planos!$G41)),MAX(1,IFERROR(INDEX(lst_frequencia_meses,MATCH(Planos!$E41,lst_frequencia,0)),0)))=0),"●","")))</f>
      </c>
      <c r="O42" s="43">
        <f>IF(NOT(Planos!$A41&lt;&gt;""),"",IF(COUNTIFS(Programação!$B$4:$B$503,Planos!$A41,Programação!$I$4:$I$503,"Concluído",Programação!$G$4:$G$503,"&gt;="&amp;DATE(ano_ref,12,1),Programação!$G$4:$G$503,"&lt;="&amp;EOMONTH(DATE(ano_ref,12,1),0))&gt;0,"✔",IF(AND(ISNUMBER(Planos!$G41),IFERROR(INDEX(lst_frequencia_meses,MATCH(Planos!$E41,lst_frequencia,0)),0)&gt;0,(ano_ref*12+12)-(YEAR(Planos!$G41)*12+MONTH(Planos!$G41))&gt;0,MOD((ano_ref*12+12)-(YEAR(Planos!$G41)*12+MONTH(Planos!$G41)),MAX(1,IFERROR(INDEX(lst_frequencia_meses,MATCH(Planos!$E41,lst_frequencia,0)),0)))=0),"●","")))</f>
      </c>
      <c r="P42" s="44">
        <f>IF(COUNTIF(D42:O42,"✔")+COUNTIF(D42:O42,"●")=0,"",COUNTIF(D42:O42,"✔")/(COUNTIF(D42:O42,"✔")+COUNTIF(D42:O42,"●")))</f>
      </c>
    </row>
    <row r="43" spans="1:16" x14ac:dyDescent="0.25">
      <c r="A43" s="43">
        <f>IF(Planos!$A42&lt;&gt;"",Planos!A42&amp;"","")</f>
      </c>
      <c r="B43" s="43">
        <f>IF(Planos!$A42&lt;&gt;"",Planos!B42&amp;"","")</f>
      </c>
      <c r="C43" s="24">
        <f>IF(Planos!$A42&lt;&gt;"",Planos!C42&amp;"","")</f>
      </c>
      <c r="D43" s="43">
        <f>IF(NOT(Planos!$A42&lt;&gt;""),"",IF(COUNTIFS(Programação!$B$4:$B$503,Planos!$A42,Programação!$I$4:$I$503,"Concluído",Programação!$G$4:$G$503,"&gt;="&amp;DATE(ano_ref,1,1),Programação!$G$4:$G$503,"&lt;="&amp;EOMONTH(DATE(ano_ref,1,1),0))&gt;0,"✔",IF(AND(ISNUMBER(Planos!$G42),IFERROR(INDEX(lst_frequencia_meses,MATCH(Planos!$E42,lst_frequencia,0)),0)&gt;0,(ano_ref*12+1)-(YEAR(Planos!$G42)*12+MONTH(Planos!$G42))&gt;0,MOD((ano_ref*12+1)-(YEAR(Planos!$G42)*12+MONTH(Planos!$G42)),MAX(1,IFERROR(INDEX(lst_frequencia_meses,MATCH(Planos!$E42,lst_frequencia,0)),0)))=0),"●","")))</f>
      </c>
      <c r="E43" s="43">
        <f>IF(NOT(Planos!$A42&lt;&gt;""),"",IF(COUNTIFS(Programação!$B$4:$B$503,Planos!$A42,Programação!$I$4:$I$503,"Concluído",Programação!$G$4:$G$503,"&gt;="&amp;DATE(ano_ref,2,1),Programação!$G$4:$G$503,"&lt;="&amp;EOMONTH(DATE(ano_ref,2,1),0))&gt;0,"✔",IF(AND(ISNUMBER(Planos!$G42),IFERROR(INDEX(lst_frequencia_meses,MATCH(Planos!$E42,lst_frequencia,0)),0)&gt;0,(ano_ref*12+2)-(YEAR(Planos!$G42)*12+MONTH(Planos!$G42))&gt;0,MOD((ano_ref*12+2)-(YEAR(Planos!$G42)*12+MONTH(Planos!$G42)),MAX(1,IFERROR(INDEX(lst_frequencia_meses,MATCH(Planos!$E42,lst_frequencia,0)),0)))=0),"●","")))</f>
      </c>
      <c r="F43" s="43">
        <f>IF(NOT(Planos!$A42&lt;&gt;""),"",IF(COUNTIFS(Programação!$B$4:$B$503,Planos!$A42,Programação!$I$4:$I$503,"Concluído",Programação!$G$4:$G$503,"&gt;="&amp;DATE(ano_ref,3,1),Programação!$G$4:$G$503,"&lt;="&amp;EOMONTH(DATE(ano_ref,3,1),0))&gt;0,"✔",IF(AND(ISNUMBER(Planos!$G42),IFERROR(INDEX(lst_frequencia_meses,MATCH(Planos!$E42,lst_frequencia,0)),0)&gt;0,(ano_ref*12+3)-(YEAR(Planos!$G42)*12+MONTH(Planos!$G42))&gt;0,MOD((ano_ref*12+3)-(YEAR(Planos!$G42)*12+MONTH(Planos!$G42)),MAX(1,IFERROR(INDEX(lst_frequencia_meses,MATCH(Planos!$E42,lst_frequencia,0)),0)))=0),"●","")))</f>
      </c>
      <c r="G43" s="43">
        <f>IF(NOT(Planos!$A42&lt;&gt;""),"",IF(COUNTIFS(Programação!$B$4:$B$503,Planos!$A42,Programação!$I$4:$I$503,"Concluído",Programação!$G$4:$G$503,"&gt;="&amp;DATE(ano_ref,4,1),Programação!$G$4:$G$503,"&lt;="&amp;EOMONTH(DATE(ano_ref,4,1),0))&gt;0,"✔",IF(AND(ISNUMBER(Planos!$G42),IFERROR(INDEX(lst_frequencia_meses,MATCH(Planos!$E42,lst_frequencia,0)),0)&gt;0,(ano_ref*12+4)-(YEAR(Planos!$G42)*12+MONTH(Planos!$G42))&gt;0,MOD((ano_ref*12+4)-(YEAR(Planos!$G42)*12+MONTH(Planos!$G42)),MAX(1,IFERROR(INDEX(lst_frequencia_meses,MATCH(Planos!$E42,lst_frequencia,0)),0)))=0),"●","")))</f>
      </c>
      <c r="H43" s="43">
        <f>IF(NOT(Planos!$A42&lt;&gt;""),"",IF(COUNTIFS(Programação!$B$4:$B$503,Planos!$A42,Programação!$I$4:$I$503,"Concluído",Programação!$G$4:$G$503,"&gt;="&amp;DATE(ano_ref,5,1),Programação!$G$4:$G$503,"&lt;="&amp;EOMONTH(DATE(ano_ref,5,1),0))&gt;0,"✔",IF(AND(ISNUMBER(Planos!$G42),IFERROR(INDEX(lst_frequencia_meses,MATCH(Planos!$E42,lst_frequencia,0)),0)&gt;0,(ano_ref*12+5)-(YEAR(Planos!$G42)*12+MONTH(Planos!$G42))&gt;0,MOD((ano_ref*12+5)-(YEAR(Planos!$G42)*12+MONTH(Planos!$G42)),MAX(1,IFERROR(INDEX(lst_frequencia_meses,MATCH(Planos!$E42,lst_frequencia,0)),0)))=0),"●","")))</f>
      </c>
      <c r="I43" s="43">
        <f>IF(NOT(Planos!$A42&lt;&gt;""),"",IF(COUNTIFS(Programação!$B$4:$B$503,Planos!$A42,Programação!$I$4:$I$503,"Concluído",Programação!$G$4:$G$503,"&gt;="&amp;DATE(ano_ref,6,1),Programação!$G$4:$G$503,"&lt;="&amp;EOMONTH(DATE(ano_ref,6,1),0))&gt;0,"✔",IF(AND(ISNUMBER(Planos!$G42),IFERROR(INDEX(lst_frequencia_meses,MATCH(Planos!$E42,lst_frequencia,0)),0)&gt;0,(ano_ref*12+6)-(YEAR(Planos!$G42)*12+MONTH(Planos!$G42))&gt;0,MOD((ano_ref*12+6)-(YEAR(Planos!$G42)*12+MONTH(Planos!$G42)),MAX(1,IFERROR(INDEX(lst_frequencia_meses,MATCH(Planos!$E42,lst_frequencia,0)),0)))=0),"●","")))</f>
      </c>
      <c r="J43" s="43">
        <f>IF(NOT(Planos!$A42&lt;&gt;""),"",IF(COUNTIFS(Programação!$B$4:$B$503,Planos!$A42,Programação!$I$4:$I$503,"Concluído",Programação!$G$4:$G$503,"&gt;="&amp;DATE(ano_ref,7,1),Programação!$G$4:$G$503,"&lt;="&amp;EOMONTH(DATE(ano_ref,7,1),0))&gt;0,"✔",IF(AND(ISNUMBER(Planos!$G42),IFERROR(INDEX(lst_frequencia_meses,MATCH(Planos!$E42,lst_frequencia,0)),0)&gt;0,(ano_ref*12+7)-(YEAR(Planos!$G42)*12+MONTH(Planos!$G42))&gt;0,MOD((ano_ref*12+7)-(YEAR(Planos!$G42)*12+MONTH(Planos!$G42)),MAX(1,IFERROR(INDEX(lst_frequencia_meses,MATCH(Planos!$E42,lst_frequencia,0)),0)))=0),"●","")))</f>
      </c>
      <c r="K43" s="43">
        <f>IF(NOT(Planos!$A42&lt;&gt;""),"",IF(COUNTIFS(Programação!$B$4:$B$503,Planos!$A42,Programação!$I$4:$I$503,"Concluído",Programação!$G$4:$G$503,"&gt;="&amp;DATE(ano_ref,8,1),Programação!$G$4:$G$503,"&lt;="&amp;EOMONTH(DATE(ano_ref,8,1),0))&gt;0,"✔",IF(AND(ISNUMBER(Planos!$G42),IFERROR(INDEX(lst_frequencia_meses,MATCH(Planos!$E42,lst_frequencia,0)),0)&gt;0,(ano_ref*12+8)-(YEAR(Planos!$G42)*12+MONTH(Planos!$G42))&gt;0,MOD((ano_ref*12+8)-(YEAR(Planos!$G42)*12+MONTH(Planos!$G42)),MAX(1,IFERROR(INDEX(lst_frequencia_meses,MATCH(Planos!$E42,lst_frequencia,0)),0)))=0),"●","")))</f>
      </c>
      <c r="L43" s="43">
        <f>IF(NOT(Planos!$A42&lt;&gt;""),"",IF(COUNTIFS(Programação!$B$4:$B$503,Planos!$A42,Programação!$I$4:$I$503,"Concluído",Programação!$G$4:$G$503,"&gt;="&amp;DATE(ano_ref,9,1),Programação!$G$4:$G$503,"&lt;="&amp;EOMONTH(DATE(ano_ref,9,1),0))&gt;0,"✔",IF(AND(ISNUMBER(Planos!$G42),IFERROR(INDEX(lst_frequencia_meses,MATCH(Planos!$E42,lst_frequencia,0)),0)&gt;0,(ano_ref*12+9)-(YEAR(Planos!$G42)*12+MONTH(Planos!$G42))&gt;0,MOD((ano_ref*12+9)-(YEAR(Planos!$G42)*12+MONTH(Planos!$G42)),MAX(1,IFERROR(INDEX(lst_frequencia_meses,MATCH(Planos!$E42,lst_frequencia,0)),0)))=0),"●","")))</f>
      </c>
      <c r="M43" s="43">
        <f>IF(NOT(Planos!$A42&lt;&gt;""),"",IF(COUNTIFS(Programação!$B$4:$B$503,Planos!$A42,Programação!$I$4:$I$503,"Concluído",Programação!$G$4:$G$503,"&gt;="&amp;DATE(ano_ref,10,1),Programação!$G$4:$G$503,"&lt;="&amp;EOMONTH(DATE(ano_ref,10,1),0))&gt;0,"✔",IF(AND(ISNUMBER(Planos!$G42),IFERROR(INDEX(lst_frequencia_meses,MATCH(Planos!$E42,lst_frequencia,0)),0)&gt;0,(ano_ref*12+10)-(YEAR(Planos!$G42)*12+MONTH(Planos!$G42))&gt;0,MOD((ano_ref*12+10)-(YEAR(Planos!$G42)*12+MONTH(Planos!$G42)),MAX(1,IFERROR(INDEX(lst_frequencia_meses,MATCH(Planos!$E42,lst_frequencia,0)),0)))=0),"●","")))</f>
      </c>
      <c r="N43" s="43">
        <f>IF(NOT(Planos!$A42&lt;&gt;""),"",IF(COUNTIFS(Programação!$B$4:$B$503,Planos!$A42,Programação!$I$4:$I$503,"Concluído",Programação!$G$4:$G$503,"&gt;="&amp;DATE(ano_ref,11,1),Programação!$G$4:$G$503,"&lt;="&amp;EOMONTH(DATE(ano_ref,11,1),0))&gt;0,"✔",IF(AND(ISNUMBER(Planos!$G42),IFERROR(INDEX(lst_frequencia_meses,MATCH(Planos!$E42,lst_frequencia,0)),0)&gt;0,(ano_ref*12+11)-(YEAR(Planos!$G42)*12+MONTH(Planos!$G42))&gt;0,MOD((ano_ref*12+11)-(YEAR(Planos!$G42)*12+MONTH(Planos!$G42)),MAX(1,IFERROR(INDEX(lst_frequencia_meses,MATCH(Planos!$E42,lst_frequencia,0)),0)))=0),"●","")))</f>
      </c>
      <c r="O43" s="43">
        <f>IF(NOT(Planos!$A42&lt;&gt;""),"",IF(COUNTIFS(Programação!$B$4:$B$503,Planos!$A42,Programação!$I$4:$I$503,"Concluído",Programação!$G$4:$G$503,"&gt;="&amp;DATE(ano_ref,12,1),Programação!$G$4:$G$503,"&lt;="&amp;EOMONTH(DATE(ano_ref,12,1),0))&gt;0,"✔",IF(AND(ISNUMBER(Planos!$G42),IFERROR(INDEX(lst_frequencia_meses,MATCH(Planos!$E42,lst_frequencia,0)),0)&gt;0,(ano_ref*12+12)-(YEAR(Planos!$G42)*12+MONTH(Planos!$G42))&gt;0,MOD((ano_ref*12+12)-(YEAR(Planos!$G42)*12+MONTH(Planos!$G42)),MAX(1,IFERROR(INDEX(lst_frequencia_meses,MATCH(Planos!$E42,lst_frequencia,0)),0)))=0),"●","")))</f>
      </c>
      <c r="P43" s="44">
        <f>IF(COUNTIF(D43:O43,"✔")+COUNTIF(D43:O43,"●")=0,"",COUNTIF(D43:O43,"✔")/(COUNTIF(D43:O43,"✔")+COUNTIF(D43:O43,"●")))</f>
      </c>
    </row>
    <row r="44" spans="1:16" x14ac:dyDescent="0.25">
      <c r="A44" s="43">
        <f>IF(Planos!$A43&lt;&gt;"",Planos!A43&amp;"","")</f>
      </c>
      <c r="B44" s="43">
        <f>IF(Planos!$A43&lt;&gt;"",Planos!B43&amp;"","")</f>
      </c>
      <c r="C44" s="24">
        <f>IF(Planos!$A43&lt;&gt;"",Planos!C43&amp;"","")</f>
      </c>
      <c r="D44" s="43">
        <f>IF(NOT(Planos!$A43&lt;&gt;""),"",IF(COUNTIFS(Programação!$B$4:$B$503,Planos!$A43,Programação!$I$4:$I$503,"Concluído",Programação!$G$4:$G$503,"&gt;="&amp;DATE(ano_ref,1,1),Programação!$G$4:$G$503,"&lt;="&amp;EOMONTH(DATE(ano_ref,1,1),0))&gt;0,"✔",IF(AND(ISNUMBER(Planos!$G43),IFERROR(INDEX(lst_frequencia_meses,MATCH(Planos!$E43,lst_frequencia,0)),0)&gt;0,(ano_ref*12+1)-(YEAR(Planos!$G43)*12+MONTH(Planos!$G43))&gt;0,MOD((ano_ref*12+1)-(YEAR(Planos!$G43)*12+MONTH(Planos!$G43)),MAX(1,IFERROR(INDEX(lst_frequencia_meses,MATCH(Planos!$E43,lst_frequencia,0)),0)))=0),"●","")))</f>
      </c>
      <c r="E44" s="43">
        <f>IF(NOT(Planos!$A43&lt;&gt;""),"",IF(COUNTIFS(Programação!$B$4:$B$503,Planos!$A43,Programação!$I$4:$I$503,"Concluído",Programação!$G$4:$G$503,"&gt;="&amp;DATE(ano_ref,2,1),Programação!$G$4:$G$503,"&lt;="&amp;EOMONTH(DATE(ano_ref,2,1),0))&gt;0,"✔",IF(AND(ISNUMBER(Planos!$G43),IFERROR(INDEX(lst_frequencia_meses,MATCH(Planos!$E43,lst_frequencia,0)),0)&gt;0,(ano_ref*12+2)-(YEAR(Planos!$G43)*12+MONTH(Planos!$G43))&gt;0,MOD((ano_ref*12+2)-(YEAR(Planos!$G43)*12+MONTH(Planos!$G43)),MAX(1,IFERROR(INDEX(lst_frequencia_meses,MATCH(Planos!$E43,lst_frequencia,0)),0)))=0),"●","")))</f>
      </c>
      <c r="F44" s="43">
        <f>IF(NOT(Planos!$A43&lt;&gt;""),"",IF(COUNTIFS(Programação!$B$4:$B$503,Planos!$A43,Programação!$I$4:$I$503,"Concluído",Programação!$G$4:$G$503,"&gt;="&amp;DATE(ano_ref,3,1),Programação!$G$4:$G$503,"&lt;="&amp;EOMONTH(DATE(ano_ref,3,1),0))&gt;0,"✔",IF(AND(ISNUMBER(Planos!$G43),IFERROR(INDEX(lst_frequencia_meses,MATCH(Planos!$E43,lst_frequencia,0)),0)&gt;0,(ano_ref*12+3)-(YEAR(Planos!$G43)*12+MONTH(Planos!$G43))&gt;0,MOD((ano_ref*12+3)-(YEAR(Planos!$G43)*12+MONTH(Planos!$G43)),MAX(1,IFERROR(INDEX(lst_frequencia_meses,MATCH(Planos!$E43,lst_frequencia,0)),0)))=0),"●","")))</f>
      </c>
      <c r="G44" s="43">
        <f>IF(NOT(Planos!$A43&lt;&gt;""),"",IF(COUNTIFS(Programação!$B$4:$B$503,Planos!$A43,Programação!$I$4:$I$503,"Concluído",Programação!$G$4:$G$503,"&gt;="&amp;DATE(ano_ref,4,1),Programação!$G$4:$G$503,"&lt;="&amp;EOMONTH(DATE(ano_ref,4,1),0))&gt;0,"✔",IF(AND(ISNUMBER(Planos!$G43),IFERROR(INDEX(lst_frequencia_meses,MATCH(Planos!$E43,lst_frequencia,0)),0)&gt;0,(ano_ref*12+4)-(YEAR(Planos!$G43)*12+MONTH(Planos!$G43))&gt;0,MOD((ano_ref*12+4)-(YEAR(Planos!$G43)*12+MONTH(Planos!$G43)),MAX(1,IFERROR(INDEX(lst_frequencia_meses,MATCH(Planos!$E43,lst_frequencia,0)),0)))=0),"●","")))</f>
      </c>
      <c r="H44" s="43">
        <f>IF(NOT(Planos!$A43&lt;&gt;""),"",IF(COUNTIFS(Programação!$B$4:$B$503,Planos!$A43,Programação!$I$4:$I$503,"Concluído",Programação!$G$4:$G$503,"&gt;="&amp;DATE(ano_ref,5,1),Programação!$G$4:$G$503,"&lt;="&amp;EOMONTH(DATE(ano_ref,5,1),0))&gt;0,"✔",IF(AND(ISNUMBER(Planos!$G43),IFERROR(INDEX(lst_frequencia_meses,MATCH(Planos!$E43,lst_frequencia,0)),0)&gt;0,(ano_ref*12+5)-(YEAR(Planos!$G43)*12+MONTH(Planos!$G43))&gt;0,MOD((ano_ref*12+5)-(YEAR(Planos!$G43)*12+MONTH(Planos!$G43)),MAX(1,IFERROR(INDEX(lst_frequencia_meses,MATCH(Planos!$E43,lst_frequencia,0)),0)))=0),"●","")))</f>
      </c>
      <c r="I44" s="43">
        <f>IF(NOT(Planos!$A43&lt;&gt;""),"",IF(COUNTIFS(Programação!$B$4:$B$503,Planos!$A43,Programação!$I$4:$I$503,"Concluído",Programação!$G$4:$G$503,"&gt;="&amp;DATE(ano_ref,6,1),Programação!$G$4:$G$503,"&lt;="&amp;EOMONTH(DATE(ano_ref,6,1),0))&gt;0,"✔",IF(AND(ISNUMBER(Planos!$G43),IFERROR(INDEX(lst_frequencia_meses,MATCH(Planos!$E43,lst_frequencia,0)),0)&gt;0,(ano_ref*12+6)-(YEAR(Planos!$G43)*12+MONTH(Planos!$G43))&gt;0,MOD((ano_ref*12+6)-(YEAR(Planos!$G43)*12+MONTH(Planos!$G43)),MAX(1,IFERROR(INDEX(lst_frequencia_meses,MATCH(Planos!$E43,lst_frequencia,0)),0)))=0),"●","")))</f>
      </c>
      <c r="J44" s="43">
        <f>IF(NOT(Planos!$A43&lt;&gt;""),"",IF(COUNTIFS(Programação!$B$4:$B$503,Planos!$A43,Programação!$I$4:$I$503,"Concluído",Programação!$G$4:$G$503,"&gt;="&amp;DATE(ano_ref,7,1),Programação!$G$4:$G$503,"&lt;="&amp;EOMONTH(DATE(ano_ref,7,1),0))&gt;0,"✔",IF(AND(ISNUMBER(Planos!$G43),IFERROR(INDEX(lst_frequencia_meses,MATCH(Planos!$E43,lst_frequencia,0)),0)&gt;0,(ano_ref*12+7)-(YEAR(Planos!$G43)*12+MONTH(Planos!$G43))&gt;0,MOD((ano_ref*12+7)-(YEAR(Planos!$G43)*12+MONTH(Planos!$G43)),MAX(1,IFERROR(INDEX(lst_frequencia_meses,MATCH(Planos!$E43,lst_frequencia,0)),0)))=0),"●","")))</f>
      </c>
      <c r="K44" s="43">
        <f>IF(NOT(Planos!$A43&lt;&gt;""),"",IF(COUNTIFS(Programação!$B$4:$B$503,Planos!$A43,Programação!$I$4:$I$503,"Concluído",Programação!$G$4:$G$503,"&gt;="&amp;DATE(ano_ref,8,1),Programação!$G$4:$G$503,"&lt;="&amp;EOMONTH(DATE(ano_ref,8,1),0))&gt;0,"✔",IF(AND(ISNUMBER(Planos!$G43),IFERROR(INDEX(lst_frequencia_meses,MATCH(Planos!$E43,lst_frequencia,0)),0)&gt;0,(ano_ref*12+8)-(YEAR(Planos!$G43)*12+MONTH(Planos!$G43))&gt;0,MOD((ano_ref*12+8)-(YEAR(Planos!$G43)*12+MONTH(Planos!$G43)),MAX(1,IFERROR(INDEX(lst_frequencia_meses,MATCH(Planos!$E43,lst_frequencia,0)),0)))=0),"●","")))</f>
      </c>
      <c r="L44" s="43">
        <f>IF(NOT(Planos!$A43&lt;&gt;""),"",IF(COUNTIFS(Programação!$B$4:$B$503,Planos!$A43,Programação!$I$4:$I$503,"Concluído",Programação!$G$4:$G$503,"&gt;="&amp;DATE(ano_ref,9,1),Programação!$G$4:$G$503,"&lt;="&amp;EOMONTH(DATE(ano_ref,9,1),0))&gt;0,"✔",IF(AND(ISNUMBER(Planos!$G43),IFERROR(INDEX(lst_frequencia_meses,MATCH(Planos!$E43,lst_frequencia,0)),0)&gt;0,(ano_ref*12+9)-(YEAR(Planos!$G43)*12+MONTH(Planos!$G43))&gt;0,MOD((ano_ref*12+9)-(YEAR(Planos!$G43)*12+MONTH(Planos!$G43)),MAX(1,IFERROR(INDEX(lst_frequencia_meses,MATCH(Planos!$E43,lst_frequencia,0)),0)))=0),"●","")))</f>
      </c>
      <c r="M44" s="43">
        <f>IF(NOT(Planos!$A43&lt;&gt;""),"",IF(COUNTIFS(Programação!$B$4:$B$503,Planos!$A43,Programação!$I$4:$I$503,"Concluído",Programação!$G$4:$G$503,"&gt;="&amp;DATE(ano_ref,10,1),Programação!$G$4:$G$503,"&lt;="&amp;EOMONTH(DATE(ano_ref,10,1),0))&gt;0,"✔",IF(AND(ISNUMBER(Planos!$G43),IFERROR(INDEX(lst_frequencia_meses,MATCH(Planos!$E43,lst_frequencia,0)),0)&gt;0,(ano_ref*12+10)-(YEAR(Planos!$G43)*12+MONTH(Planos!$G43))&gt;0,MOD((ano_ref*12+10)-(YEAR(Planos!$G43)*12+MONTH(Planos!$G43)),MAX(1,IFERROR(INDEX(lst_frequencia_meses,MATCH(Planos!$E43,lst_frequencia,0)),0)))=0),"●","")))</f>
      </c>
      <c r="N44" s="43">
        <f>IF(NOT(Planos!$A43&lt;&gt;""),"",IF(COUNTIFS(Programação!$B$4:$B$503,Planos!$A43,Programação!$I$4:$I$503,"Concluído",Programação!$G$4:$G$503,"&gt;="&amp;DATE(ano_ref,11,1),Programação!$G$4:$G$503,"&lt;="&amp;EOMONTH(DATE(ano_ref,11,1),0))&gt;0,"✔",IF(AND(ISNUMBER(Planos!$G43),IFERROR(INDEX(lst_frequencia_meses,MATCH(Planos!$E43,lst_frequencia,0)),0)&gt;0,(ano_ref*12+11)-(YEAR(Planos!$G43)*12+MONTH(Planos!$G43))&gt;0,MOD((ano_ref*12+11)-(YEAR(Planos!$G43)*12+MONTH(Planos!$G43)),MAX(1,IFERROR(INDEX(lst_frequencia_meses,MATCH(Planos!$E43,lst_frequencia,0)),0)))=0),"●","")))</f>
      </c>
      <c r="O44" s="43">
        <f>IF(NOT(Planos!$A43&lt;&gt;""),"",IF(COUNTIFS(Programação!$B$4:$B$503,Planos!$A43,Programação!$I$4:$I$503,"Concluído",Programação!$G$4:$G$503,"&gt;="&amp;DATE(ano_ref,12,1),Programação!$G$4:$G$503,"&lt;="&amp;EOMONTH(DATE(ano_ref,12,1),0))&gt;0,"✔",IF(AND(ISNUMBER(Planos!$G43),IFERROR(INDEX(lst_frequencia_meses,MATCH(Planos!$E43,lst_frequencia,0)),0)&gt;0,(ano_ref*12+12)-(YEAR(Planos!$G43)*12+MONTH(Planos!$G43))&gt;0,MOD((ano_ref*12+12)-(YEAR(Planos!$G43)*12+MONTH(Planos!$G43)),MAX(1,IFERROR(INDEX(lst_frequencia_meses,MATCH(Planos!$E43,lst_frequencia,0)),0)))=0),"●","")))</f>
      </c>
      <c r="P44" s="44">
        <f>IF(COUNTIF(D44:O44,"✔")+COUNTIF(D44:O44,"●")=0,"",COUNTIF(D44:O44,"✔")/(COUNTIF(D44:O44,"✔")+COUNTIF(D44:O44,"●")))</f>
      </c>
    </row>
    <row r="45" spans="1:16" x14ac:dyDescent="0.25">
      <c r="A45" s="43">
        <f>IF(Planos!$A44&lt;&gt;"",Planos!A44&amp;"","")</f>
      </c>
      <c r="B45" s="43">
        <f>IF(Planos!$A44&lt;&gt;"",Planos!B44&amp;"","")</f>
      </c>
      <c r="C45" s="24">
        <f>IF(Planos!$A44&lt;&gt;"",Planos!C44&amp;"","")</f>
      </c>
      <c r="D45" s="43">
        <f>IF(NOT(Planos!$A44&lt;&gt;""),"",IF(COUNTIFS(Programação!$B$4:$B$503,Planos!$A44,Programação!$I$4:$I$503,"Concluído",Programação!$G$4:$G$503,"&gt;="&amp;DATE(ano_ref,1,1),Programação!$G$4:$G$503,"&lt;="&amp;EOMONTH(DATE(ano_ref,1,1),0))&gt;0,"✔",IF(AND(ISNUMBER(Planos!$G44),IFERROR(INDEX(lst_frequencia_meses,MATCH(Planos!$E44,lst_frequencia,0)),0)&gt;0,(ano_ref*12+1)-(YEAR(Planos!$G44)*12+MONTH(Planos!$G44))&gt;0,MOD((ano_ref*12+1)-(YEAR(Planos!$G44)*12+MONTH(Planos!$G44)),MAX(1,IFERROR(INDEX(lst_frequencia_meses,MATCH(Planos!$E44,lst_frequencia,0)),0)))=0),"●","")))</f>
      </c>
      <c r="E45" s="43">
        <f>IF(NOT(Planos!$A44&lt;&gt;""),"",IF(COUNTIFS(Programação!$B$4:$B$503,Planos!$A44,Programação!$I$4:$I$503,"Concluído",Programação!$G$4:$G$503,"&gt;="&amp;DATE(ano_ref,2,1),Programação!$G$4:$G$503,"&lt;="&amp;EOMONTH(DATE(ano_ref,2,1),0))&gt;0,"✔",IF(AND(ISNUMBER(Planos!$G44),IFERROR(INDEX(lst_frequencia_meses,MATCH(Planos!$E44,lst_frequencia,0)),0)&gt;0,(ano_ref*12+2)-(YEAR(Planos!$G44)*12+MONTH(Planos!$G44))&gt;0,MOD((ano_ref*12+2)-(YEAR(Planos!$G44)*12+MONTH(Planos!$G44)),MAX(1,IFERROR(INDEX(lst_frequencia_meses,MATCH(Planos!$E44,lst_frequencia,0)),0)))=0),"●","")))</f>
      </c>
      <c r="F45" s="43">
        <f>IF(NOT(Planos!$A44&lt;&gt;""),"",IF(COUNTIFS(Programação!$B$4:$B$503,Planos!$A44,Programação!$I$4:$I$503,"Concluído",Programação!$G$4:$G$503,"&gt;="&amp;DATE(ano_ref,3,1),Programação!$G$4:$G$503,"&lt;="&amp;EOMONTH(DATE(ano_ref,3,1),0))&gt;0,"✔",IF(AND(ISNUMBER(Planos!$G44),IFERROR(INDEX(lst_frequencia_meses,MATCH(Planos!$E44,lst_frequencia,0)),0)&gt;0,(ano_ref*12+3)-(YEAR(Planos!$G44)*12+MONTH(Planos!$G44))&gt;0,MOD((ano_ref*12+3)-(YEAR(Planos!$G44)*12+MONTH(Planos!$G44)),MAX(1,IFERROR(INDEX(lst_frequencia_meses,MATCH(Planos!$E44,lst_frequencia,0)),0)))=0),"●","")))</f>
      </c>
      <c r="G45" s="43">
        <f>IF(NOT(Planos!$A44&lt;&gt;""),"",IF(COUNTIFS(Programação!$B$4:$B$503,Planos!$A44,Programação!$I$4:$I$503,"Concluído",Programação!$G$4:$G$503,"&gt;="&amp;DATE(ano_ref,4,1),Programação!$G$4:$G$503,"&lt;="&amp;EOMONTH(DATE(ano_ref,4,1),0))&gt;0,"✔",IF(AND(ISNUMBER(Planos!$G44),IFERROR(INDEX(lst_frequencia_meses,MATCH(Planos!$E44,lst_frequencia,0)),0)&gt;0,(ano_ref*12+4)-(YEAR(Planos!$G44)*12+MONTH(Planos!$G44))&gt;0,MOD((ano_ref*12+4)-(YEAR(Planos!$G44)*12+MONTH(Planos!$G44)),MAX(1,IFERROR(INDEX(lst_frequencia_meses,MATCH(Planos!$E44,lst_frequencia,0)),0)))=0),"●","")))</f>
      </c>
      <c r="H45" s="43">
        <f>IF(NOT(Planos!$A44&lt;&gt;""),"",IF(COUNTIFS(Programação!$B$4:$B$503,Planos!$A44,Programação!$I$4:$I$503,"Concluído",Programação!$G$4:$G$503,"&gt;="&amp;DATE(ano_ref,5,1),Programação!$G$4:$G$503,"&lt;="&amp;EOMONTH(DATE(ano_ref,5,1),0))&gt;0,"✔",IF(AND(ISNUMBER(Planos!$G44),IFERROR(INDEX(lst_frequencia_meses,MATCH(Planos!$E44,lst_frequencia,0)),0)&gt;0,(ano_ref*12+5)-(YEAR(Planos!$G44)*12+MONTH(Planos!$G44))&gt;0,MOD((ano_ref*12+5)-(YEAR(Planos!$G44)*12+MONTH(Planos!$G44)),MAX(1,IFERROR(INDEX(lst_frequencia_meses,MATCH(Planos!$E44,lst_frequencia,0)),0)))=0),"●","")))</f>
      </c>
      <c r="I45" s="43">
        <f>IF(NOT(Planos!$A44&lt;&gt;""),"",IF(COUNTIFS(Programação!$B$4:$B$503,Planos!$A44,Programação!$I$4:$I$503,"Concluído",Programação!$G$4:$G$503,"&gt;="&amp;DATE(ano_ref,6,1),Programação!$G$4:$G$503,"&lt;="&amp;EOMONTH(DATE(ano_ref,6,1),0))&gt;0,"✔",IF(AND(ISNUMBER(Planos!$G44),IFERROR(INDEX(lst_frequencia_meses,MATCH(Planos!$E44,lst_frequencia,0)),0)&gt;0,(ano_ref*12+6)-(YEAR(Planos!$G44)*12+MONTH(Planos!$G44))&gt;0,MOD((ano_ref*12+6)-(YEAR(Planos!$G44)*12+MONTH(Planos!$G44)),MAX(1,IFERROR(INDEX(lst_frequencia_meses,MATCH(Planos!$E44,lst_frequencia,0)),0)))=0),"●","")))</f>
      </c>
      <c r="J45" s="43">
        <f>IF(NOT(Planos!$A44&lt;&gt;""),"",IF(COUNTIFS(Programação!$B$4:$B$503,Planos!$A44,Programação!$I$4:$I$503,"Concluído",Programação!$G$4:$G$503,"&gt;="&amp;DATE(ano_ref,7,1),Programação!$G$4:$G$503,"&lt;="&amp;EOMONTH(DATE(ano_ref,7,1),0))&gt;0,"✔",IF(AND(ISNUMBER(Planos!$G44),IFERROR(INDEX(lst_frequencia_meses,MATCH(Planos!$E44,lst_frequencia,0)),0)&gt;0,(ano_ref*12+7)-(YEAR(Planos!$G44)*12+MONTH(Planos!$G44))&gt;0,MOD((ano_ref*12+7)-(YEAR(Planos!$G44)*12+MONTH(Planos!$G44)),MAX(1,IFERROR(INDEX(lst_frequencia_meses,MATCH(Planos!$E44,lst_frequencia,0)),0)))=0),"●","")))</f>
      </c>
      <c r="K45" s="43">
        <f>IF(NOT(Planos!$A44&lt;&gt;""),"",IF(COUNTIFS(Programação!$B$4:$B$503,Planos!$A44,Programação!$I$4:$I$503,"Concluído",Programação!$G$4:$G$503,"&gt;="&amp;DATE(ano_ref,8,1),Programação!$G$4:$G$503,"&lt;="&amp;EOMONTH(DATE(ano_ref,8,1),0))&gt;0,"✔",IF(AND(ISNUMBER(Planos!$G44),IFERROR(INDEX(lst_frequencia_meses,MATCH(Planos!$E44,lst_frequencia,0)),0)&gt;0,(ano_ref*12+8)-(YEAR(Planos!$G44)*12+MONTH(Planos!$G44))&gt;0,MOD((ano_ref*12+8)-(YEAR(Planos!$G44)*12+MONTH(Planos!$G44)),MAX(1,IFERROR(INDEX(lst_frequencia_meses,MATCH(Planos!$E44,lst_frequencia,0)),0)))=0),"●","")))</f>
      </c>
      <c r="L45" s="43">
        <f>IF(NOT(Planos!$A44&lt;&gt;""),"",IF(COUNTIFS(Programação!$B$4:$B$503,Planos!$A44,Programação!$I$4:$I$503,"Concluído",Programação!$G$4:$G$503,"&gt;="&amp;DATE(ano_ref,9,1),Programação!$G$4:$G$503,"&lt;="&amp;EOMONTH(DATE(ano_ref,9,1),0))&gt;0,"✔",IF(AND(ISNUMBER(Planos!$G44),IFERROR(INDEX(lst_frequencia_meses,MATCH(Planos!$E44,lst_frequencia,0)),0)&gt;0,(ano_ref*12+9)-(YEAR(Planos!$G44)*12+MONTH(Planos!$G44))&gt;0,MOD((ano_ref*12+9)-(YEAR(Planos!$G44)*12+MONTH(Planos!$G44)),MAX(1,IFERROR(INDEX(lst_frequencia_meses,MATCH(Planos!$E44,lst_frequencia,0)),0)))=0),"●","")))</f>
      </c>
      <c r="M45" s="43">
        <f>IF(NOT(Planos!$A44&lt;&gt;""),"",IF(COUNTIFS(Programação!$B$4:$B$503,Planos!$A44,Programação!$I$4:$I$503,"Concluído",Programação!$G$4:$G$503,"&gt;="&amp;DATE(ano_ref,10,1),Programação!$G$4:$G$503,"&lt;="&amp;EOMONTH(DATE(ano_ref,10,1),0))&gt;0,"✔",IF(AND(ISNUMBER(Planos!$G44),IFERROR(INDEX(lst_frequencia_meses,MATCH(Planos!$E44,lst_frequencia,0)),0)&gt;0,(ano_ref*12+10)-(YEAR(Planos!$G44)*12+MONTH(Planos!$G44))&gt;0,MOD((ano_ref*12+10)-(YEAR(Planos!$G44)*12+MONTH(Planos!$G44)),MAX(1,IFERROR(INDEX(lst_frequencia_meses,MATCH(Planos!$E44,lst_frequencia,0)),0)))=0),"●","")))</f>
      </c>
      <c r="N45" s="43">
        <f>IF(NOT(Planos!$A44&lt;&gt;""),"",IF(COUNTIFS(Programação!$B$4:$B$503,Planos!$A44,Programação!$I$4:$I$503,"Concluído",Programação!$G$4:$G$503,"&gt;="&amp;DATE(ano_ref,11,1),Programação!$G$4:$G$503,"&lt;="&amp;EOMONTH(DATE(ano_ref,11,1),0))&gt;0,"✔",IF(AND(ISNUMBER(Planos!$G44),IFERROR(INDEX(lst_frequencia_meses,MATCH(Planos!$E44,lst_frequencia,0)),0)&gt;0,(ano_ref*12+11)-(YEAR(Planos!$G44)*12+MONTH(Planos!$G44))&gt;0,MOD((ano_ref*12+11)-(YEAR(Planos!$G44)*12+MONTH(Planos!$G44)),MAX(1,IFERROR(INDEX(lst_frequencia_meses,MATCH(Planos!$E44,lst_frequencia,0)),0)))=0),"●","")))</f>
      </c>
      <c r="O45" s="43">
        <f>IF(NOT(Planos!$A44&lt;&gt;""),"",IF(COUNTIFS(Programação!$B$4:$B$503,Planos!$A44,Programação!$I$4:$I$503,"Concluído",Programação!$G$4:$G$503,"&gt;="&amp;DATE(ano_ref,12,1),Programação!$G$4:$G$503,"&lt;="&amp;EOMONTH(DATE(ano_ref,12,1),0))&gt;0,"✔",IF(AND(ISNUMBER(Planos!$G44),IFERROR(INDEX(lst_frequencia_meses,MATCH(Planos!$E44,lst_frequencia,0)),0)&gt;0,(ano_ref*12+12)-(YEAR(Planos!$G44)*12+MONTH(Planos!$G44))&gt;0,MOD((ano_ref*12+12)-(YEAR(Planos!$G44)*12+MONTH(Planos!$G44)),MAX(1,IFERROR(INDEX(lst_frequencia_meses,MATCH(Planos!$E44,lst_frequencia,0)),0)))=0),"●","")))</f>
      </c>
      <c r="P45" s="44">
        <f>IF(COUNTIF(D45:O45,"✔")+COUNTIF(D45:O45,"●")=0,"",COUNTIF(D45:O45,"✔")/(COUNTIF(D45:O45,"✔")+COUNTIF(D45:O45,"●")))</f>
      </c>
    </row>
    <row r="46" spans="1:16" x14ac:dyDescent="0.25">
      <c r="A46" s="43">
        <f>IF(Planos!$A45&lt;&gt;"",Planos!A45&amp;"","")</f>
      </c>
      <c r="B46" s="43">
        <f>IF(Planos!$A45&lt;&gt;"",Planos!B45&amp;"","")</f>
      </c>
      <c r="C46" s="24">
        <f>IF(Planos!$A45&lt;&gt;"",Planos!C45&amp;"","")</f>
      </c>
      <c r="D46" s="43">
        <f>IF(NOT(Planos!$A45&lt;&gt;""),"",IF(COUNTIFS(Programação!$B$4:$B$503,Planos!$A45,Programação!$I$4:$I$503,"Concluído",Programação!$G$4:$G$503,"&gt;="&amp;DATE(ano_ref,1,1),Programação!$G$4:$G$503,"&lt;="&amp;EOMONTH(DATE(ano_ref,1,1),0))&gt;0,"✔",IF(AND(ISNUMBER(Planos!$G45),IFERROR(INDEX(lst_frequencia_meses,MATCH(Planos!$E45,lst_frequencia,0)),0)&gt;0,(ano_ref*12+1)-(YEAR(Planos!$G45)*12+MONTH(Planos!$G45))&gt;0,MOD((ano_ref*12+1)-(YEAR(Planos!$G45)*12+MONTH(Planos!$G45)),MAX(1,IFERROR(INDEX(lst_frequencia_meses,MATCH(Planos!$E45,lst_frequencia,0)),0)))=0),"●","")))</f>
      </c>
      <c r="E46" s="43">
        <f>IF(NOT(Planos!$A45&lt;&gt;""),"",IF(COUNTIFS(Programação!$B$4:$B$503,Planos!$A45,Programação!$I$4:$I$503,"Concluído",Programação!$G$4:$G$503,"&gt;="&amp;DATE(ano_ref,2,1),Programação!$G$4:$G$503,"&lt;="&amp;EOMONTH(DATE(ano_ref,2,1),0))&gt;0,"✔",IF(AND(ISNUMBER(Planos!$G45),IFERROR(INDEX(lst_frequencia_meses,MATCH(Planos!$E45,lst_frequencia,0)),0)&gt;0,(ano_ref*12+2)-(YEAR(Planos!$G45)*12+MONTH(Planos!$G45))&gt;0,MOD((ano_ref*12+2)-(YEAR(Planos!$G45)*12+MONTH(Planos!$G45)),MAX(1,IFERROR(INDEX(lst_frequencia_meses,MATCH(Planos!$E45,lst_frequencia,0)),0)))=0),"●","")))</f>
      </c>
      <c r="F46" s="43">
        <f>IF(NOT(Planos!$A45&lt;&gt;""),"",IF(COUNTIFS(Programação!$B$4:$B$503,Planos!$A45,Programação!$I$4:$I$503,"Concluído",Programação!$G$4:$G$503,"&gt;="&amp;DATE(ano_ref,3,1),Programação!$G$4:$G$503,"&lt;="&amp;EOMONTH(DATE(ano_ref,3,1),0))&gt;0,"✔",IF(AND(ISNUMBER(Planos!$G45),IFERROR(INDEX(lst_frequencia_meses,MATCH(Planos!$E45,lst_frequencia,0)),0)&gt;0,(ano_ref*12+3)-(YEAR(Planos!$G45)*12+MONTH(Planos!$G45))&gt;0,MOD((ano_ref*12+3)-(YEAR(Planos!$G45)*12+MONTH(Planos!$G45)),MAX(1,IFERROR(INDEX(lst_frequencia_meses,MATCH(Planos!$E45,lst_frequencia,0)),0)))=0),"●","")))</f>
      </c>
      <c r="G46" s="43">
        <f>IF(NOT(Planos!$A45&lt;&gt;""),"",IF(COUNTIFS(Programação!$B$4:$B$503,Planos!$A45,Programação!$I$4:$I$503,"Concluído",Programação!$G$4:$G$503,"&gt;="&amp;DATE(ano_ref,4,1),Programação!$G$4:$G$503,"&lt;="&amp;EOMONTH(DATE(ano_ref,4,1),0))&gt;0,"✔",IF(AND(ISNUMBER(Planos!$G45),IFERROR(INDEX(lst_frequencia_meses,MATCH(Planos!$E45,lst_frequencia,0)),0)&gt;0,(ano_ref*12+4)-(YEAR(Planos!$G45)*12+MONTH(Planos!$G45))&gt;0,MOD((ano_ref*12+4)-(YEAR(Planos!$G45)*12+MONTH(Planos!$G45)),MAX(1,IFERROR(INDEX(lst_frequencia_meses,MATCH(Planos!$E45,lst_frequencia,0)),0)))=0),"●","")))</f>
      </c>
      <c r="H46" s="43">
        <f>IF(NOT(Planos!$A45&lt;&gt;""),"",IF(COUNTIFS(Programação!$B$4:$B$503,Planos!$A45,Programação!$I$4:$I$503,"Concluído",Programação!$G$4:$G$503,"&gt;="&amp;DATE(ano_ref,5,1),Programação!$G$4:$G$503,"&lt;="&amp;EOMONTH(DATE(ano_ref,5,1),0))&gt;0,"✔",IF(AND(ISNUMBER(Planos!$G45),IFERROR(INDEX(lst_frequencia_meses,MATCH(Planos!$E45,lst_frequencia,0)),0)&gt;0,(ano_ref*12+5)-(YEAR(Planos!$G45)*12+MONTH(Planos!$G45))&gt;0,MOD((ano_ref*12+5)-(YEAR(Planos!$G45)*12+MONTH(Planos!$G45)),MAX(1,IFERROR(INDEX(lst_frequencia_meses,MATCH(Planos!$E45,lst_frequencia,0)),0)))=0),"●","")))</f>
      </c>
      <c r="I46" s="43">
        <f>IF(NOT(Planos!$A45&lt;&gt;""),"",IF(COUNTIFS(Programação!$B$4:$B$503,Planos!$A45,Programação!$I$4:$I$503,"Concluído",Programação!$G$4:$G$503,"&gt;="&amp;DATE(ano_ref,6,1),Programação!$G$4:$G$503,"&lt;="&amp;EOMONTH(DATE(ano_ref,6,1),0))&gt;0,"✔",IF(AND(ISNUMBER(Planos!$G45),IFERROR(INDEX(lst_frequencia_meses,MATCH(Planos!$E45,lst_frequencia,0)),0)&gt;0,(ano_ref*12+6)-(YEAR(Planos!$G45)*12+MONTH(Planos!$G45))&gt;0,MOD((ano_ref*12+6)-(YEAR(Planos!$G45)*12+MONTH(Planos!$G45)),MAX(1,IFERROR(INDEX(lst_frequencia_meses,MATCH(Planos!$E45,lst_frequencia,0)),0)))=0),"●","")))</f>
      </c>
      <c r="J46" s="43">
        <f>IF(NOT(Planos!$A45&lt;&gt;""),"",IF(COUNTIFS(Programação!$B$4:$B$503,Planos!$A45,Programação!$I$4:$I$503,"Concluído",Programação!$G$4:$G$503,"&gt;="&amp;DATE(ano_ref,7,1),Programação!$G$4:$G$503,"&lt;="&amp;EOMONTH(DATE(ano_ref,7,1),0))&gt;0,"✔",IF(AND(ISNUMBER(Planos!$G45),IFERROR(INDEX(lst_frequencia_meses,MATCH(Planos!$E45,lst_frequencia,0)),0)&gt;0,(ano_ref*12+7)-(YEAR(Planos!$G45)*12+MONTH(Planos!$G45))&gt;0,MOD((ano_ref*12+7)-(YEAR(Planos!$G45)*12+MONTH(Planos!$G45)),MAX(1,IFERROR(INDEX(lst_frequencia_meses,MATCH(Planos!$E45,lst_frequencia,0)),0)))=0),"●","")))</f>
      </c>
      <c r="K46" s="43">
        <f>IF(NOT(Planos!$A45&lt;&gt;""),"",IF(COUNTIFS(Programação!$B$4:$B$503,Planos!$A45,Programação!$I$4:$I$503,"Concluído",Programação!$G$4:$G$503,"&gt;="&amp;DATE(ano_ref,8,1),Programação!$G$4:$G$503,"&lt;="&amp;EOMONTH(DATE(ano_ref,8,1),0))&gt;0,"✔",IF(AND(ISNUMBER(Planos!$G45),IFERROR(INDEX(lst_frequencia_meses,MATCH(Planos!$E45,lst_frequencia,0)),0)&gt;0,(ano_ref*12+8)-(YEAR(Planos!$G45)*12+MONTH(Planos!$G45))&gt;0,MOD((ano_ref*12+8)-(YEAR(Planos!$G45)*12+MONTH(Planos!$G45)),MAX(1,IFERROR(INDEX(lst_frequencia_meses,MATCH(Planos!$E45,lst_frequencia,0)),0)))=0),"●","")))</f>
      </c>
      <c r="L46" s="43">
        <f>IF(NOT(Planos!$A45&lt;&gt;""),"",IF(COUNTIFS(Programação!$B$4:$B$503,Planos!$A45,Programação!$I$4:$I$503,"Concluído",Programação!$G$4:$G$503,"&gt;="&amp;DATE(ano_ref,9,1),Programação!$G$4:$G$503,"&lt;="&amp;EOMONTH(DATE(ano_ref,9,1),0))&gt;0,"✔",IF(AND(ISNUMBER(Planos!$G45),IFERROR(INDEX(lst_frequencia_meses,MATCH(Planos!$E45,lst_frequencia,0)),0)&gt;0,(ano_ref*12+9)-(YEAR(Planos!$G45)*12+MONTH(Planos!$G45))&gt;0,MOD((ano_ref*12+9)-(YEAR(Planos!$G45)*12+MONTH(Planos!$G45)),MAX(1,IFERROR(INDEX(lst_frequencia_meses,MATCH(Planos!$E45,lst_frequencia,0)),0)))=0),"●","")))</f>
      </c>
      <c r="M46" s="43">
        <f>IF(NOT(Planos!$A45&lt;&gt;""),"",IF(COUNTIFS(Programação!$B$4:$B$503,Planos!$A45,Programação!$I$4:$I$503,"Concluído",Programação!$G$4:$G$503,"&gt;="&amp;DATE(ano_ref,10,1),Programação!$G$4:$G$503,"&lt;="&amp;EOMONTH(DATE(ano_ref,10,1),0))&gt;0,"✔",IF(AND(ISNUMBER(Planos!$G45),IFERROR(INDEX(lst_frequencia_meses,MATCH(Planos!$E45,lst_frequencia,0)),0)&gt;0,(ano_ref*12+10)-(YEAR(Planos!$G45)*12+MONTH(Planos!$G45))&gt;0,MOD((ano_ref*12+10)-(YEAR(Planos!$G45)*12+MONTH(Planos!$G45)),MAX(1,IFERROR(INDEX(lst_frequencia_meses,MATCH(Planos!$E45,lst_frequencia,0)),0)))=0),"●","")))</f>
      </c>
      <c r="N46" s="43">
        <f>IF(NOT(Planos!$A45&lt;&gt;""),"",IF(COUNTIFS(Programação!$B$4:$B$503,Planos!$A45,Programação!$I$4:$I$503,"Concluído",Programação!$G$4:$G$503,"&gt;="&amp;DATE(ano_ref,11,1),Programação!$G$4:$G$503,"&lt;="&amp;EOMONTH(DATE(ano_ref,11,1),0))&gt;0,"✔",IF(AND(ISNUMBER(Planos!$G45),IFERROR(INDEX(lst_frequencia_meses,MATCH(Planos!$E45,lst_frequencia,0)),0)&gt;0,(ano_ref*12+11)-(YEAR(Planos!$G45)*12+MONTH(Planos!$G45))&gt;0,MOD((ano_ref*12+11)-(YEAR(Planos!$G45)*12+MONTH(Planos!$G45)),MAX(1,IFERROR(INDEX(lst_frequencia_meses,MATCH(Planos!$E45,lst_frequencia,0)),0)))=0),"●","")))</f>
      </c>
      <c r="O46" s="43">
        <f>IF(NOT(Planos!$A45&lt;&gt;""),"",IF(COUNTIFS(Programação!$B$4:$B$503,Planos!$A45,Programação!$I$4:$I$503,"Concluído",Programação!$G$4:$G$503,"&gt;="&amp;DATE(ano_ref,12,1),Programação!$G$4:$G$503,"&lt;="&amp;EOMONTH(DATE(ano_ref,12,1),0))&gt;0,"✔",IF(AND(ISNUMBER(Planos!$G45),IFERROR(INDEX(lst_frequencia_meses,MATCH(Planos!$E45,lst_frequencia,0)),0)&gt;0,(ano_ref*12+12)-(YEAR(Planos!$G45)*12+MONTH(Planos!$G45))&gt;0,MOD((ano_ref*12+12)-(YEAR(Planos!$G45)*12+MONTH(Planos!$G45)),MAX(1,IFERROR(INDEX(lst_frequencia_meses,MATCH(Planos!$E45,lst_frequencia,0)),0)))=0),"●","")))</f>
      </c>
      <c r="P46" s="44">
        <f>IF(COUNTIF(D46:O46,"✔")+COUNTIF(D46:O46,"●")=0,"",COUNTIF(D46:O46,"✔")/(COUNTIF(D46:O46,"✔")+COUNTIF(D46:O46,"●")))</f>
      </c>
    </row>
    <row r="47" spans="1:16" x14ac:dyDescent="0.25">
      <c r="A47" s="43">
        <f>IF(Planos!$A46&lt;&gt;"",Planos!A46&amp;"","")</f>
      </c>
      <c r="B47" s="43">
        <f>IF(Planos!$A46&lt;&gt;"",Planos!B46&amp;"","")</f>
      </c>
      <c r="C47" s="24">
        <f>IF(Planos!$A46&lt;&gt;"",Planos!C46&amp;"","")</f>
      </c>
      <c r="D47" s="43">
        <f>IF(NOT(Planos!$A46&lt;&gt;""),"",IF(COUNTIFS(Programação!$B$4:$B$503,Planos!$A46,Programação!$I$4:$I$503,"Concluído",Programação!$G$4:$G$503,"&gt;="&amp;DATE(ano_ref,1,1),Programação!$G$4:$G$503,"&lt;="&amp;EOMONTH(DATE(ano_ref,1,1),0))&gt;0,"✔",IF(AND(ISNUMBER(Planos!$G46),IFERROR(INDEX(lst_frequencia_meses,MATCH(Planos!$E46,lst_frequencia,0)),0)&gt;0,(ano_ref*12+1)-(YEAR(Planos!$G46)*12+MONTH(Planos!$G46))&gt;0,MOD((ano_ref*12+1)-(YEAR(Planos!$G46)*12+MONTH(Planos!$G46)),MAX(1,IFERROR(INDEX(lst_frequencia_meses,MATCH(Planos!$E46,lst_frequencia,0)),0)))=0),"●","")))</f>
      </c>
      <c r="E47" s="43">
        <f>IF(NOT(Planos!$A46&lt;&gt;""),"",IF(COUNTIFS(Programação!$B$4:$B$503,Planos!$A46,Programação!$I$4:$I$503,"Concluído",Programação!$G$4:$G$503,"&gt;="&amp;DATE(ano_ref,2,1),Programação!$G$4:$G$503,"&lt;="&amp;EOMONTH(DATE(ano_ref,2,1),0))&gt;0,"✔",IF(AND(ISNUMBER(Planos!$G46),IFERROR(INDEX(lst_frequencia_meses,MATCH(Planos!$E46,lst_frequencia,0)),0)&gt;0,(ano_ref*12+2)-(YEAR(Planos!$G46)*12+MONTH(Planos!$G46))&gt;0,MOD((ano_ref*12+2)-(YEAR(Planos!$G46)*12+MONTH(Planos!$G46)),MAX(1,IFERROR(INDEX(lst_frequencia_meses,MATCH(Planos!$E46,lst_frequencia,0)),0)))=0),"●","")))</f>
      </c>
      <c r="F47" s="43">
        <f>IF(NOT(Planos!$A46&lt;&gt;""),"",IF(COUNTIFS(Programação!$B$4:$B$503,Planos!$A46,Programação!$I$4:$I$503,"Concluído",Programação!$G$4:$G$503,"&gt;="&amp;DATE(ano_ref,3,1),Programação!$G$4:$G$503,"&lt;="&amp;EOMONTH(DATE(ano_ref,3,1),0))&gt;0,"✔",IF(AND(ISNUMBER(Planos!$G46),IFERROR(INDEX(lst_frequencia_meses,MATCH(Planos!$E46,lst_frequencia,0)),0)&gt;0,(ano_ref*12+3)-(YEAR(Planos!$G46)*12+MONTH(Planos!$G46))&gt;0,MOD((ano_ref*12+3)-(YEAR(Planos!$G46)*12+MONTH(Planos!$G46)),MAX(1,IFERROR(INDEX(lst_frequencia_meses,MATCH(Planos!$E46,lst_frequencia,0)),0)))=0),"●","")))</f>
      </c>
      <c r="G47" s="43">
        <f>IF(NOT(Planos!$A46&lt;&gt;""),"",IF(COUNTIFS(Programação!$B$4:$B$503,Planos!$A46,Programação!$I$4:$I$503,"Concluído",Programação!$G$4:$G$503,"&gt;="&amp;DATE(ano_ref,4,1),Programação!$G$4:$G$503,"&lt;="&amp;EOMONTH(DATE(ano_ref,4,1),0))&gt;0,"✔",IF(AND(ISNUMBER(Planos!$G46),IFERROR(INDEX(lst_frequencia_meses,MATCH(Planos!$E46,lst_frequencia,0)),0)&gt;0,(ano_ref*12+4)-(YEAR(Planos!$G46)*12+MONTH(Planos!$G46))&gt;0,MOD((ano_ref*12+4)-(YEAR(Planos!$G46)*12+MONTH(Planos!$G46)),MAX(1,IFERROR(INDEX(lst_frequencia_meses,MATCH(Planos!$E46,lst_frequencia,0)),0)))=0),"●","")))</f>
      </c>
      <c r="H47" s="43">
        <f>IF(NOT(Planos!$A46&lt;&gt;""),"",IF(COUNTIFS(Programação!$B$4:$B$503,Planos!$A46,Programação!$I$4:$I$503,"Concluído",Programação!$G$4:$G$503,"&gt;="&amp;DATE(ano_ref,5,1),Programação!$G$4:$G$503,"&lt;="&amp;EOMONTH(DATE(ano_ref,5,1),0))&gt;0,"✔",IF(AND(ISNUMBER(Planos!$G46),IFERROR(INDEX(lst_frequencia_meses,MATCH(Planos!$E46,lst_frequencia,0)),0)&gt;0,(ano_ref*12+5)-(YEAR(Planos!$G46)*12+MONTH(Planos!$G46))&gt;0,MOD((ano_ref*12+5)-(YEAR(Planos!$G46)*12+MONTH(Planos!$G46)),MAX(1,IFERROR(INDEX(lst_frequencia_meses,MATCH(Planos!$E46,lst_frequencia,0)),0)))=0),"●","")))</f>
      </c>
      <c r="I47" s="43">
        <f>IF(NOT(Planos!$A46&lt;&gt;""),"",IF(COUNTIFS(Programação!$B$4:$B$503,Planos!$A46,Programação!$I$4:$I$503,"Concluído",Programação!$G$4:$G$503,"&gt;="&amp;DATE(ano_ref,6,1),Programação!$G$4:$G$503,"&lt;="&amp;EOMONTH(DATE(ano_ref,6,1),0))&gt;0,"✔",IF(AND(ISNUMBER(Planos!$G46),IFERROR(INDEX(lst_frequencia_meses,MATCH(Planos!$E46,lst_frequencia,0)),0)&gt;0,(ano_ref*12+6)-(YEAR(Planos!$G46)*12+MONTH(Planos!$G46))&gt;0,MOD((ano_ref*12+6)-(YEAR(Planos!$G46)*12+MONTH(Planos!$G46)),MAX(1,IFERROR(INDEX(lst_frequencia_meses,MATCH(Planos!$E46,lst_frequencia,0)),0)))=0),"●","")))</f>
      </c>
      <c r="J47" s="43">
        <f>IF(NOT(Planos!$A46&lt;&gt;""),"",IF(COUNTIFS(Programação!$B$4:$B$503,Planos!$A46,Programação!$I$4:$I$503,"Concluído",Programação!$G$4:$G$503,"&gt;="&amp;DATE(ano_ref,7,1),Programação!$G$4:$G$503,"&lt;="&amp;EOMONTH(DATE(ano_ref,7,1),0))&gt;0,"✔",IF(AND(ISNUMBER(Planos!$G46),IFERROR(INDEX(lst_frequencia_meses,MATCH(Planos!$E46,lst_frequencia,0)),0)&gt;0,(ano_ref*12+7)-(YEAR(Planos!$G46)*12+MONTH(Planos!$G46))&gt;0,MOD((ano_ref*12+7)-(YEAR(Planos!$G46)*12+MONTH(Planos!$G46)),MAX(1,IFERROR(INDEX(lst_frequencia_meses,MATCH(Planos!$E46,lst_frequencia,0)),0)))=0),"●","")))</f>
      </c>
      <c r="K47" s="43">
        <f>IF(NOT(Planos!$A46&lt;&gt;""),"",IF(COUNTIFS(Programação!$B$4:$B$503,Planos!$A46,Programação!$I$4:$I$503,"Concluído",Programação!$G$4:$G$503,"&gt;="&amp;DATE(ano_ref,8,1),Programação!$G$4:$G$503,"&lt;="&amp;EOMONTH(DATE(ano_ref,8,1),0))&gt;0,"✔",IF(AND(ISNUMBER(Planos!$G46),IFERROR(INDEX(lst_frequencia_meses,MATCH(Planos!$E46,lst_frequencia,0)),0)&gt;0,(ano_ref*12+8)-(YEAR(Planos!$G46)*12+MONTH(Planos!$G46))&gt;0,MOD((ano_ref*12+8)-(YEAR(Planos!$G46)*12+MONTH(Planos!$G46)),MAX(1,IFERROR(INDEX(lst_frequencia_meses,MATCH(Planos!$E46,lst_frequencia,0)),0)))=0),"●","")))</f>
      </c>
      <c r="L47" s="43">
        <f>IF(NOT(Planos!$A46&lt;&gt;""),"",IF(COUNTIFS(Programação!$B$4:$B$503,Planos!$A46,Programação!$I$4:$I$503,"Concluído",Programação!$G$4:$G$503,"&gt;="&amp;DATE(ano_ref,9,1),Programação!$G$4:$G$503,"&lt;="&amp;EOMONTH(DATE(ano_ref,9,1),0))&gt;0,"✔",IF(AND(ISNUMBER(Planos!$G46),IFERROR(INDEX(lst_frequencia_meses,MATCH(Planos!$E46,lst_frequencia,0)),0)&gt;0,(ano_ref*12+9)-(YEAR(Planos!$G46)*12+MONTH(Planos!$G46))&gt;0,MOD((ano_ref*12+9)-(YEAR(Planos!$G46)*12+MONTH(Planos!$G46)),MAX(1,IFERROR(INDEX(lst_frequencia_meses,MATCH(Planos!$E46,lst_frequencia,0)),0)))=0),"●","")))</f>
      </c>
      <c r="M47" s="43">
        <f>IF(NOT(Planos!$A46&lt;&gt;""),"",IF(COUNTIFS(Programação!$B$4:$B$503,Planos!$A46,Programação!$I$4:$I$503,"Concluído",Programação!$G$4:$G$503,"&gt;="&amp;DATE(ano_ref,10,1),Programação!$G$4:$G$503,"&lt;="&amp;EOMONTH(DATE(ano_ref,10,1),0))&gt;0,"✔",IF(AND(ISNUMBER(Planos!$G46),IFERROR(INDEX(lst_frequencia_meses,MATCH(Planos!$E46,lst_frequencia,0)),0)&gt;0,(ano_ref*12+10)-(YEAR(Planos!$G46)*12+MONTH(Planos!$G46))&gt;0,MOD((ano_ref*12+10)-(YEAR(Planos!$G46)*12+MONTH(Planos!$G46)),MAX(1,IFERROR(INDEX(lst_frequencia_meses,MATCH(Planos!$E46,lst_frequencia,0)),0)))=0),"●","")))</f>
      </c>
      <c r="N47" s="43">
        <f>IF(NOT(Planos!$A46&lt;&gt;""),"",IF(COUNTIFS(Programação!$B$4:$B$503,Planos!$A46,Programação!$I$4:$I$503,"Concluído",Programação!$G$4:$G$503,"&gt;="&amp;DATE(ano_ref,11,1),Programação!$G$4:$G$503,"&lt;="&amp;EOMONTH(DATE(ano_ref,11,1),0))&gt;0,"✔",IF(AND(ISNUMBER(Planos!$G46),IFERROR(INDEX(lst_frequencia_meses,MATCH(Planos!$E46,lst_frequencia,0)),0)&gt;0,(ano_ref*12+11)-(YEAR(Planos!$G46)*12+MONTH(Planos!$G46))&gt;0,MOD((ano_ref*12+11)-(YEAR(Planos!$G46)*12+MONTH(Planos!$G46)),MAX(1,IFERROR(INDEX(lst_frequencia_meses,MATCH(Planos!$E46,lst_frequencia,0)),0)))=0),"●","")))</f>
      </c>
      <c r="O47" s="43">
        <f>IF(NOT(Planos!$A46&lt;&gt;""),"",IF(COUNTIFS(Programação!$B$4:$B$503,Planos!$A46,Programação!$I$4:$I$503,"Concluído",Programação!$G$4:$G$503,"&gt;="&amp;DATE(ano_ref,12,1),Programação!$G$4:$G$503,"&lt;="&amp;EOMONTH(DATE(ano_ref,12,1),0))&gt;0,"✔",IF(AND(ISNUMBER(Planos!$G46),IFERROR(INDEX(lst_frequencia_meses,MATCH(Planos!$E46,lst_frequencia,0)),0)&gt;0,(ano_ref*12+12)-(YEAR(Planos!$G46)*12+MONTH(Planos!$G46))&gt;0,MOD((ano_ref*12+12)-(YEAR(Planos!$G46)*12+MONTH(Planos!$G46)),MAX(1,IFERROR(INDEX(lst_frequencia_meses,MATCH(Planos!$E46,lst_frequencia,0)),0)))=0),"●","")))</f>
      </c>
      <c r="P47" s="44">
        <f>IF(COUNTIF(D47:O47,"✔")+COUNTIF(D47:O47,"●")=0,"",COUNTIF(D47:O47,"✔")/(COUNTIF(D47:O47,"✔")+COUNTIF(D47:O47,"●")))</f>
      </c>
    </row>
    <row r="48" spans="1:16" x14ac:dyDescent="0.25">
      <c r="A48" s="43">
        <f>IF(Planos!$A47&lt;&gt;"",Planos!A47&amp;"","")</f>
      </c>
      <c r="B48" s="43">
        <f>IF(Planos!$A47&lt;&gt;"",Planos!B47&amp;"","")</f>
      </c>
      <c r="C48" s="24">
        <f>IF(Planos!$A47&lt;&gt;"",Planos!C47&amp;"","")</f>
      </c>
      <c r="D48" s="43">
        <f>IF(NOT(Planos!$A47&lt;&gt;""),"",IF(COUNTIFS(Programação!$B$4:$B$503,Planos!$A47,Programação!$I$4:$I$503,"Concluído",Programação!$G$4:$G$503,"&gt;="&amp;DATE(ano_ref,1,1),Programação!$G$4:$G$503,"&lt;="&amp;EOMONTH(DATE(ano_ref,1,1),0))&gt;0,"✔",IF(AND(ISNUMBER(Planos!$G47),IFERROR(INDEX(lst_frequencia_meses,MATCH(Planos!$E47,lst_frequencia,0)),0)&gt;0,(ano_ref*12+1)-(YEAR(Planos!$G47)*12+MONTH(Planos!$G47))&gt;0,MOD((ano_ref*12+1)-(YEAR(Planos!$G47)*12+MONTH(Planos!$G47)),MAX(1,IFERROR(INDEX(lst_frequencia_meses,MATCH(Planos!$E47,lst_frequencia,0)),0)))=0),"●","")))</f>
      </c>
      <c r="E48" s="43">
        <f>IF(NOT(Planos!$A47&lt;&gt;""),"",IF(COUNTIFS(Programação!$B$4:$B$503,Planos!$A47,Programação!$I$4:$I$503,"Concluído",Programação!$G$4:$G$503,"&gt;="&amp;DATE(ano_ref,2,1),Programação!$G$4:$G$503,"&lt;="&amp;EOMONTH(DATE(ano_ref,2,1),0))&gt;0,"✔",IF(AND(ISNUMBER(Planos!$G47),IFERROR(INDEX(lst_frequencia_meses,MATCH(Planos!$E47,lst_frequencia,0)),0)&gt;0,(ano_ref*12+2)-(YEAR(Planos!$G47)*12+MONTH(Planos!$G47))&gt;0,MOD((ano_ref*12+2)-(YEAR(Planos!$G47)*12+MONTH(Planos!$G47)),MAX(1,IFERROR(INDEX(lst_frequencia_meses,MATCH(Planos!$E47,lst_frequencia,0)),0)))=0),"●","")))</f>
      </c>
      <c r="F48" s="43">
        <f>IF(NOT(Planos!$A47&lt;&gt;""),"",IF(COUNTIFS(Programação!$B$4:$B$503,Planos!$A47,Programação!$I$4:$I$503,"Concluído",Programação!$G$4:$G$503,"&gt;="&amp;DATE(ano_ref,3,1),Programação!$G$4:$G$503,"&lt;="&amp;EOMONTH(DATE(ano_ref,3,1),0))&gt;0,"✔",IF(AND(ISNUMBER(Planos!$G47),IFERROR(INDEX(lst_frequencia_meses,MATCH(Planos!$E47,lst_frequencia,0)),0)&gt;0,(ano_ref*12+3)-(YEAR(Planos!$G47)*12+MONTH(Planos!$G47))&gt;0,MOD((ano_ref*12+3)-(YEAR(Planos!$G47)*12+MONTH(Planos!$G47)),MAX(1,IFERROR(INDEX(lst_frequencia_meses,MATCH(Planos!$E47,lst_frequencia,0)),0)))=0),"●","")))</f>
      </c>
      <c r="G48" s="43">
        <f>IF(NOT(Planos!$A47&lt;&gt;""),"",IF(COUNTIFS(Programação!$B$4:$B$503,Planos!$A47,Programação!$I$4:$I$503,"Concluído",Programação!$G$4:$G$503,"&gt;="&amp;DATE(ano_ref,4,1),Programação!$G$4:$G$503,"&lt;="&amp;EOMONTH(DATE(ano_ref,4,1),0))&gt;0,"✔",IF(AND(ISNUMBER(Planos!$G47),IFERROR(INDEX(lst_frequencia_meses,MATCH(Planos!$E47,lst_frequencia,0)),0)&gt;0,(ano_ref*12+4)-(YEAR(Planos!$G47)*12+MONTH(Planos!$G47))&gt;0,MOD((ano_ref*12+4)-(YEAR(Planos!$G47)*12+MONTH(Planos!$G47)),MAX(1,IFERROR(INDEX(lst_frequencia_meses,MATCH(Planos!$E47,lst_frequencia,0)),0)))=0),"●","")))</f>
      </c>
      <c r="H48" s="43">
        <f>IF(NOT(Planos!$A47&lt;&gt;""),"",IF(COUNTIFS(Programação!$B$4:$B$503,Planos!$A47,Programação!$I$4:$I$503,"Concluído",Programação!$G$4:$G$503,"&gt;="&amp;DATE(ano_ref,5,1),Programação!$G$4:$G$503,"&lt;="&amp;EOMONTH(DATE(ano_ref,5,1),0))&gt;0,"✔",IF(AND(ISNUMBER(Planos!$G47),IFERROR(INDEX(lst_frequencia_meses,MATCH(Planos!$E47,lst_frequencia,0)),0)&gt;0,(ano_ref*12+5)-(YEAR(Planos!$G47)*12+MONTH(Planos!$G47))&gt;0,MOD((ano_ref*12+5)-(YEAR(Planos!$G47)*12+MONTH(Planos!$G47)),MAX(1,IFERROR(INDEX(lst_frequencia_meses,MATCH(Planos!$E47,lst_frequencia,0)),0)))=0),"●","")))</f>
      </c>
      <c r="I48" s="43">
        <f>IF(NOT(Planos!$A47&lt;&gt;""),"",IF(COUNTIFS(Programação!$B$4:$B$503,Planos!$A47,Programação!$I$4:$I$503,"Concluído",Programação!$G$4:$G$503,"&gt;="&amp;DATE(ano_ref,6,1),Programação!$G$4:$G$503,"&lt;="&amp;EOMONTH(DATE(ano_ref,6,1),0))&gt;0,"✔",IF(AND(ISNUMBER(Planos!$G47),IFERROR(INDEX(lst_frequencia_meses,MATCH(Planos!$E47,lst_frequencia,0)),0)&gt;0,(ano_ref*12+6)-(YEAR(Planos!$G47)*12+MONTH(Planos!$G47))&gt;0,MOD((ano_ref*12+6)-(YEAR(Planos!$G47)*12+MONTH(Planos!$G47)),MAX(1,IFERROR(INDEX(lst_frequencia_meses,MATCH(Planos!$E47,lst_frequencia,0)),0)))=0),"●","")))</f>
      </c>
      <c r="J48" s="43">
        <f>IF(NOT(Planos!$A47&lt;&gt;""),"",IF(COUNTIFS(Programação!$B$4:$B$503,Planos!$A47,Programação!$I$4:$I$503,"Concluído",Programação!$G$4:$G$503,"&gt;="&amp;DATE(ano_ref,7,1),Programação!$G$4:$G$503,"&lt;="&amp;EOMONTH(DATE(ano_ref,7,1),0))&gt;0,"✔",IF(AND(ISNUMBER(Planos!$G47),IFERROR(INDEX(lst_frequencia_meses,MATCH(Planos!$E47,lst_frequencia,0)),0)&gt;0,(ano_ref*12+7)-(YEAR(Planos!$G47)*12+MONTH(Planos!$G47))&gt;0,MOD((ano_ref*12+7)-(YEAR(Planos!$G47)*12+MONTH(Planos!$G47)),MAX(1,IFERROR(INDEX(lst_frequencia_meses,MATCH(Planos!$E47,lst_frequencia,0)),0)))=0),"●","")))</f>
      </c>
      <c r="K48" s="43">
        <f>IF(NOT(Planos!$A47&lt;&gt;""),"",IF(COUNTIFS(Programação!$B$4:$B$503,Planos!$A47,Programação!$I$4:$I$503,"Concluído",Programação!$G$4:$G$503,"&gt;="&amp;DATE(ano_ref,8,1),Programação!$G$4:$G$503,"&lt;="&amp;EOMONTH(DATE(ano_ref,8,1),0))&gt;0,"✔",IF(AND(ISNUMBER(Planos!$G47),IFERROR(INDEX(lst_frequencia_meses,MATCH(Planos!$E47,lst_frequencia,0)),0)&gt;0,(ano_ref*12+8)-(YEAR(Planos!$G47)*12+MONTH(Planos!$G47))&gt;0,MOD((ano_ref*12+8)-(YEAR(Planos!$G47)*12+MONTH(Planos!$G47)),MAX(1,IFERROR(INDEX(lst_frequencia_meses,MATCH(Planos!$E47,lst_frequencia,0)),0)))=0),"●","")))</f>
      </c>
      <c r="L48" s="43">
        <f>IF(NOT(Planos!$A47&lt;&gt;""),"",IF(COUNTIFS(Programação!$B$4:$B$503,Planos!$A47,Programação!$I$4:$I$503,"Concluído",Programação!$G$4:$G$503,"&gt;="&amp;DATE(ano_ref,9,1),Programação!$G$4:$G$503,"&lt;="&amp;EOMONTH(DATE(ano_ref,9,1),0))&gt;0,"✔",IF(AND(ISNUMBER(Planos!$G47),IFERROR(INDEX(lst_frequencia_meses,MATCH(Planos!$E47,lst_frequencia,0)),0)&gt;0,(ano_ref*12+9)-(YEAR(Planos!$G47)*12+MONTH(Planos!$G47))&gt;0,MOD((ano_ref*12+9)-(YEAR(Planos!$G47)*12+MONTH(Planos!$G47)),MAX(1,IFERROR(INDEX(lst_frequencia_meses,MATCH(Planos!$E47,lst_frequencia,0)),0)))=0),"●","")))</f>
      </c>
      <c r="M48" s="43">
        <f>IF(NOT(Planos!$A47&lt;&gt;""),"",IF(COUNTIFS(Programação!$B$4:$B$503,Planos!$A47,Programação!$I$4:$I$503,"Concluído",Programação!$G$4:$G$503,"&gt;="&amp;DATE(ano_ref,10,1),Programação!$G$4:$G$503,"&lt;="&amp;EOMONTH(DATE(ano_ref,10,1),0))&gt;0,"✔",IF(AND(ISNUMBER(Planos!$G47),IFERROR(INDEX(lst_frequencia_meses,MATCH(Planos!$E47,lst_frequencia,0)),0)&gt;0,(ano_ref*12+10)-(YEAR(Planos!$G47)*12+MONTH(Planos!$G47))&gt;0,MOD((ano_ref*12+10)-(YEAR(Planos!$G47)*12+MONTH(Planos!$G47)),MAX(1,IFERROR(INDEX(lst_frequencia_meses,MATCH(Planos!$E47,lst_frequencia,0)),0)))=0),"●","")))</f>
      </c>
      <c r="N48" s="43">
        <f>IF(NOT(Planos!$A47&lt;&gt;""),"",IF(COUNTIFS(Programação!$B$4:$B$503,Planos!$A47,Programação!$I$4:$I$503,"Concluído",Programação!$G$4:$G$503,"&gt;="&amp;DATE(ano_ref,11,1),Programação!$G$4:$G$503,"&lt;="&amp;EOMONTH(DATE(ano_ref,11,1),0))&gt;0,"✔",IF(AND(ISNUMBER(Planos!$G47),IFERROR(INDEX(lst_frequencia_meses,MATCH(Planos!$E47,lst_frequencia,0)),0)&gt;0,(ano_ref*12+11)-(YEAR(Planos!$G47)*12+MONTH(Planos!$G47))&gt;0,MOD((ano_ref*12+11)-(YEAR(Planos!$G47)*12+MONTH(Planos!$G47)),MAX(1,IFERROR(INDEX(lst_frequencia_meses,MATCH(Planos!$E47,lst_frequencia,0)),0)))=0),"●","")))</f>
      </c>
      <c r="O48" s="43">
        <f>IF(NOT(Planos!$A47&lt;&gt;""),"",IF(COUNTIFS(Programação!$B$4:$B$503,Planos!$A47,Programação!$I$4:$I$503,"Concluído",Programação!$G$4:$G$503,"&gt;="&amp;DATE(ano_ref,12,1),Programação!$G$4:$G$503,"&lt;="&amp;EOMONTH(DATE(ano_ref,12,1),0))&gt;0,"✔",IF(AND(ISNUMBER(Planos!$G47),IFERROR(INDEX(lst_frequencia_meses,MATCH(Planos!$E47,lst_frequencia,0)),0)&gt;0,(ano_ref*12+12)-(YEAR(Planos!$G47)*12+MONTH(Planos!$G47))&gt;0,MOD((ano_ref*12+12)-(YEAR(Planos!$G47)*12+MONTH(Planos!$G47)),MAX(1,IFERROR(INDEX(lst_frequencia_meses,MATCH(Planos!$E47,lst_frequencia,0)),0)))=0),"●","")))</f>
      </c>
      <c r="P48" s="44">
        <f>IF(COUNTIF(D48:O48,"✔")+COUNTIF(D48:O48,"●")=0,"",COUNTIF(D48:O48,"✔")/(COUNTIF(D48:O48,"✔")+COUNTIF(D48:O48,"●")))</f>
      </c>
    </row>
    <row r="49" spans="1:16" x14ac:dyDescent="0.25">
      <c r="A49" s="43">
        <f>IF(Planos!$A48&lt;&gt;"",Planos!A48&amp;"","")</f>
      </c>
      <c r="B49" s="43">
        <f>IF(Planos!$A48&lt;&gt;"",Planos!B48&amp;"","")</f>
      </c>
      <c r="C49" s="24">
        <f>IF(Planos!$A48&lt;&gt;"",Planos!C48&amp;"","")</f>
      </c>
      <c r="D49" s="43">
        <f>IF(NOT(Planos!$A48&lt;&gt;""),"",IF(COUNTIFS(Programação!$B$4:$B$503,Planos!$A48,Programação!$I$4:$I$503,"Concluído",Programação!$G$4:$G$503,"&gt;="&amp;DATE(ano_ref,1,1),Programação!$G$4:$G$503,"&lt;="&amp;EOMONTH(DATE(ano_ref,1,1),0))&gt;0,"✔",IF(AND(ISNUMBER(Planos!$G48),IFERROR(INDEX(lst_frequencia_meses,MATCH(Planos!$E48,lst_frequencia,0)),0)&gt;0,(ano_ref*12+1)-(YEAR(Planos!$G48)*12+MONTH(Planos!$G48))&gt;0,MOD((ano_ref*12+1)-(YEAR(Planos!$G48)*12+MONTH(Planos!$G48)),MAX(1,IFERROR(INDEX(lst_frequencia_meses,MATCH(Planos!$E48,lst_frequencia,0)),0)))=0),"●","")))</f>
      </c>
      <c r="E49" s="43">
        <f>IF(NOT(Planos!$A48&lt;&gt;""),"",IF(COUNTIFS(Programação!$B$4:$B$503,Planos!$A48,Programação!$I$4:$I$503,"Concluído",Programação!$G$4:$G$503,"&gt;="&amp;DATE(ano_ref,2,1),Programação!$G$4:$G$503,"&lt;="&amp;EOMONTH(DATE(ano_ref,2,1),0))&gt;0,"✔",IF(AND(ISNUMBER(Planos!$G48),IFERROR(INDEX(lst_frequencia_meses,MATCH(Planos!$E48,lst_frequencia,0)),0)&gt;0,(ano_ref*12+2)-(YEAR(Planos!$G48)*12+MONTH(Planos!$G48))&gt;0,MOD((ano_ref*12+2)-(YEAR(Planos!$G48)*12+MONTH(Planos!$G48)),MAX(1,IFERROR(INDEX(lst_frequencia_meses,MATCH(Planos!$E48,lst_frequencia,0)),0)))=0),"●","")))</f>
      </c>
      <c r="F49" s="43">
        <f>IF(NOT(Planos!$A48&lt;&gt;""),"",IF(COUNTIFS(Programação!$B$4:$B$503,Planos!$A48,Programação!$I$4:$I$503,"Concluído",Programação!$G$4:$G$503,"&gt;="&amp;DATE(ano_ref,3,1),Programação!$G$4:$G$503,"&lt;="&amp;EOMONTH(DATE(ano_ref,3,1),0))&gt;0,"✔",IF(AND(ISNUMBER(Planos!$G48),IFERROR(INDEX(lst_frequencia_meses,MATCH(Planos!$E48,lst_frequencia,0)),0)&gt;0,(ano_ref*12+3)-(YEAR(Planos!$G48)*12+MONTH(Planos!$G48))&gt;0,MOD((ano_ref*12+3)-(YEAR(Planos!$G48)*12+MONTH(Planos!$G48)),MAX(1,IFERROR(INDEX(lst_frequencia_meses,MATCH(Planos!$E48,lst_frequencia,0)),0)))=0),"●","")))</f>
      </c>
      <c r="G49" s="43">
        <f>IF(NOT(Planos!$A48&lt;&gt;""),"",IF(COUNTIFS(Programação!$B$4:$B$503,Planos!$A48,Programação!$I$4:$I$503,"Concluído",Programação!$G$4:$G$503,"&gt;="&amp;DATE(ano_ref,4,1),Programação!$G$4:$G$503,"&lt;="&amp;EOMONTH(DATE(ano_ref,4,1),0))&gt;0,"✔",IF(AND(ISNUMBER(Planos!$G48),IFERROR(INDEX(lst_frequencia_meses,MATCH(Planos!$E48,lst_frequencia,0)),0)&gt;0,(ano_ref*12+4)-(YEAR(Planos!$G48)*12+MONTH(Planos!$G48))&gt;0,MOD((ano_ref*12+4)-(YEAR(Planos!$G48)*12+MONTH(Planos!$G48)),MAX(1,IFERROR(INDEX(lst_frequencia_meses,MATCH(Planos!$E48,lst_frequencia,0)),0)))=0),"●","")))</f>
      </c>
      <c r="H49" s="43">
        <f>IF(NOT(Planos!$A48&lt;&gt;""),"",IF(COUNTIFS(Programação!$B$4:$B$503,Planos!$A48,Programação!$I$4:$I$503,"Concluído",Programação!$G$4:$G$503,"&gt;="&amp;DATE(ano_ref,5,1),Programação!$G$4:$G$503,"&lt;="&amp;EOMONTH(DATE(ano_ref,5,1),0))&gt;0,"✔",IF(AND(ISNUMBER(Planos!$G48),IFERROR(INDEX(lst_frequencia_meses,MATCH(Planos!$E48,lst_frequencia,0)),0)&gt;0,(ano_ref*12+5)-(YEAR(Planos!$G48)*12+MONTH(Planos!$G48))&gt;0,MOD((ano_ref*12+5)-(YEAR(Planos!$G48)*12+MONTH(Planos!$G48)),MAX(1,IFERROR(INDEX(lst_frequencia_meses,MATCH(Planos!$E48,lst_frequencia,0)),0)))=0),"●","")))</f>
      </c>
      <c r="I49" s="43">
        <f>IF(NOT(Planos!$A48&lt;&gt;""),"",IF(COUNTIFS(Programação!$B$4:$B$503,Planos!$A48,Programação!$I$4:$I$503,"Concluído",Programação!$G$4:$G$503,"&gt;="&amp;DATE(ano_ref,6,1),Programação!$G$4:$G$503,"&lt;="&amp;EOMONTH(DATE(ano_ref,6,1),0))&gt;0,"✔",IF(AND(ISNUMBER(Planos!$G48),IFERROR(INDEX(lst_frequencia_meses,MATCH(Planos!$E48,lst_frequencia,0)),0)&gt;0,(ano_ref*12+6)-(YEAR(Planos!$G48)*12+MONTH(Planos!$G48))&gt;0,MOD((ano_ref*12+6)-(YEAR(Planos!$G48)*12+MONTH(Planos!$G48)),MAX(1,IFERROR(INDEX(lst_frequencia_meses,MATCH(Planos!$E48,lst_frequencia,0)),0)))=0),"●","")))</f>
      </c>
      <c r="J49" s="43">
        <f>IF(NOT(Planos!$A48&lt;&gt;""),"",IF(COUNTIFS(Programação!$B$4:$B$503,Planos!$A48,Programação!$I$4:$I$503,"Concluído",Programação!$G$4:$G$503,"&gt;="&amp;DATE(ano_ref,7,1),Programação!$G$4:$G$503,"&lt;="&amp;EOMONTH(DATE(ano_ref,7,1),0))&gt;0,"✔",IF(AND(ISNUMBER(Planos!$G48),IFERROR(INDEX(lst_frequencia_meses,MATCH(Planos!$E48,lst_frequencia,0)),0)&gt;0,(ano_ref*12+7)-(YEAR(Planos!$G48)*12+MONTH(Planos!$G48))&gt;0,MOD((ano_ref*12+7)-(YEAR(Planos!$G48)*12+MONTH(Planos!$G48)),MAX(1,IFERROR(INDEX(lst_frequencia_meses,MATCH(Planos!$E48,lst_frequencia,0)),0)))=0),"●","")))</f>
      </c>
      <c r="K49" s="43">
        <f>IF(NOT(Planos!$A48&lt;&gt;""),"",IF(COUNTIFS(Programação!$B$4:$B$503,Planos!$A48,Programação!$I$4:$I$503,"Concluído",Programação!$G$4:$G$503,"&gt;="&amp;DATE(ano_ref,8,1),Programação!$G$4:$G$503,"&lt;="&amp;EOMONTH(DATE(ano_ref,8,1),0))&gt;0,"✔",IF(AND(ISNUMBER(Planos!$G48),IFERROR(INDEX(lst_frequencia_meses,MATCH(Planos!$E48,lst_frequencia,0)),0)&gt;0,(ano_ref*12+8)-(YEAR(Planos!$G48)*12+MONTH(Planos!$G48))&gt;0,MOD((ano_ref*12+8)-(YEAR(Planos!$G48)*12+MONTH(Planos!$G48)),MAX(1,IFERROR(INDEX(lst_frequencia_meses,MATCH(Planos!$E48,lst_frequencia,0)),0)))=0),"●","")))</f>
      </c>
      <c r="L49" s="43">
        <f>IF(NOT(Planos!$A48&lt;&gt;""),"",IF(COUNTIFS(Programação!$B$4:$B$503,Planos!$A48,Programação!$I$4:$I$503,"Concluído",Programação!$G$4:$G$503,"&gt;="&amp;DATE(ano_ref,9,1),Programação!$G$4:$G$503,"&lt;="&amp;EOMONTH(DATE(ano_ref,9,1),0))&gt;0,"✔",IF(AND(ISNUMBER(Planos!$G48),IFERROR(INDEX(lst_frequencia_meses,MATCH(Planos!$E48,lst_frequencia,0)),0)&gt;0,(ano_ref*12+9)-(YEAR(Planos!$G48)*12+MONTH(Planos!$G48))&gt;0,MOD((ano_ref*12+9)-(YEAR(Planos!$G48)*12+MONTH(Planos!$G48)),MAX(1,IFERROR(INDEX(lst_frequencia_meses,MATCH(Planos!$E48,lst_frequencia,0)),0)))=0),"●","")))</f>
      </c>
      <c r="M49" s="43">
        <f>IF(NOT(Planos!$A48&lt;&gt;""),"",IF(COUNTIFS(Programação!$B$4:$B$503,Planos!$A48,Programação!$I$4:$I$503,"Concluído",Programação!$G$4:$G$503,"&gt;="&amp;DATE(ano_ref,10,1),Programação!$G$4:$G$503,"&lt;="&amp;EOMONTH(DATE(ano_ref,10,1),0))&gt;0,"✔",IF(AND(ISNUMBER(Planos!$G48),IFERROR(INDEX(lst_frequencia_meses,MATCH(Planos!$E48,lst_frequencia,0)),0)&gt;0,(ano_ref*12+10)-(YEAR(Planos!$G48)*12+MONTH(Planos!$G48))&gt;0,MOD((ano_ref*12+10)-(YEAR(Planos!$G48)*12+MONTH(Planos!$G48)),MAX(1,IFERROR(INDEX(lst_frequencia_meses,MATCH(Planos!$E48,lst_frequencia,0)),0)))=0),"●","")))</f>
      </c>
      <c r="N49" s="43">
        <f>IF(NOT(Planos!$A48&lt;&gt;""),"",IF(COUNTIFS(Programação!$B$4:$B$503,Planos!$A48,Programação!$I$4:$I$503,"Concluído",Programação!$G$4:$G$503,"&gt;="&amp;DATE(ano_ref,11,1),Programação!$G$4:$G$503,"&lt;="&amp;EOMONTH(DATE(ano_ref,11,1),0))&gt;0,"✔",IF(AND(ISNUMBER(Planos!$G48),IFERROR(INDEX(lst_frequencia_meses,MATCH(Planos!$E48,lst_frequencia,0)),0)&gt;0,(ano_ref*12+11)-(YEAR(Planos!$G48)*12+MONTH(Planos!$G48))&gt;0,MOD((ano_ref*12+11)-(YEAR(Planos!$G48)*12+MONTH(Planos!$G48)),MAX(1,IFERROR(INDEX(lst_frequencia_meses,MATCH(Planos!$E48,lst_frequencia,0)),0)))=0),"●","")))</f>
      </c>
      <c r="O49" s="43">
        <f>IF(NOT(Planos!$A48&lt;&gt;""),"",IF(COUNTIFS(Programação!$B$4:$B$503,Planos!$A48,Programação!$I$4:$I$503,"Concluído",Programação!$G$4:$G$503,"&gt;="&amp;DATE(ano_ref,12,1),Programação!$G$4:$G$503,"&lt;="&amp;EOMONTH(DATE(ano_ref,12,1),0))&gt;0,"✔",IF(AND(ISNUMBER(Planos!$G48),IFERROR(INDEX(lst_frequencia_meses,MATCH(Planos!$E48,lst_frequencia,0)),0)&gt;0,(ano_ref*12+12)-(YEAR(Planos!$G48)*12+MONTH(Planos!$G48))&gt;0,MOD((ano_ref*12+12)-(YEAR(Planos!$G48)*12+MONTH(Planos!$G48)),MAX(1,IFERROR(INDEX(lst_frequencia_meses,MATCH(Planos!$E48,lst_frequencia,0)),0)))=0),"●","")))</f>
      </c>
      <c r="P49" s="44">
        <f>IF(COUNTIF(D49:O49,"✔")+COUNTIF(D49:O49,"●")=0,"",COUNTIF(D49:O49,"✔")/(COUNTIF(D49:O49,"✔")+COUNTIF(D49:O49,"●")))</f>
      </c>
    </row>
    <row r="50" spans="1:16" x14ac:dyDescent="0.25">
      <c r="A50" s="43">
        <f>IF(Planos!$A49&lt;&gt;"",Planos!A49&amp;"","")</f>
      </c>
      <c r="B50" s="43">
        <f>IF(Planos!$A49&lt;&gt;"",Planos!B49&amp;"","")</f>
      </c>
      <c r="C50" s="24">
        <f>IF(Planos!$A49&lt;&gt;"",Planos!C49&amp;"","")</f>
      </c>
      <c r="D50" s="43">
        <f>IF(NOT(Planos!$A49&lt;&gt;""),"",IF(COUNTIFS(Programação!$B$4:$B$503,Planos!$A49,Programação!$I$4:$I$503,"Concluído",Programação!$G$4:$G$503,"&gt;="&amp;DATE(ano_ref,1,1),Programação!$G$4:$G$503,"&lt;="&amp;EOMONTH(DATE(ano_ref,1,1),0))&gt;0,"✔",IF(AND(ISNUMBER(Planos!$G49),IFERROR(INDEX(lst_frequencia_meses,MATCH(Planos!$E49,lst_frequencia,0)),0)&gt;0,(ano_ref*12+1)-(YEAR(Planos!$G49)*12+MONTH(Planos!$G49))&gt;0,MOD((ano_ref*12+1)-(YEAR(Planos!$G49)*12+MONTH(Planos!$G49)),MAX(1,IFERROR(INDEX(lst_frequencia_meses,MATCH(Planos!$E49,lst_frequencia,0)),0)))=0),"●","")))</f>
      </c>
      <c r="E50" s="43">
        <f>IF(NOT(Planos!$A49&lt;&gt;""),"",IF(COUNTIFS(Programação!$B$4:$B$503,Planos!$A49,Programação!$I$4:$I$503,"Concluído",Programação!$G$4:$G$503,"&gt;="&amp;DATE(ano_ref,2,1),Programação!$G$4:$G$503,"&lt;="&amp;EOMONTH(DATE(ano_ref,2,1),0))&gt;0,"✔",IF(AND(ISNUMBER(Planos!$G49),IFERROR(INDEX(lst_frequencia_meses,MATCH(Planos!$E49,lst_frequencia,0)),0)&gt;0,(ano_ref*12+2)-(YEAR(Planos!$G49)*12+MONTH(Planos!$G49))&gt;0,MOD((ano_ref*12+2)-(YEAR(Planos!$G49)*12+MONTH(Planos!$G49)),MAX(1,IFERROR(INDEX(lst_frequencia_meses,MATCH(Planos!$E49,lst_frequencia,0)),0)))=0),"●","")))</f>
      </c>
      <c r="F50" s="43">
        <f>IF(NOT(Planos!$A49&lt;&gt;""),"",IF(COUNTIFS(Programação!$B$4:$B$503,Planos!$A49,Programação!$I$4:$I$503,"Concluído",Programação!$G$4:$G$503,"&gt;="&amp;DATE(ano_ref,3,1),Programação!$G$4:$G$503,"&lt;="&amp;EOMONTH(DATE(ano_ref,3,1),0))&gt;0,"✔",IF(AND(ISNUMBER(Planos!$G49),IFERROR(INDEX(lst_frequencia_meses,MATCH(Planos!$E49,lst_frequencia,0)),0)&gt;0,(ano_ref*12+3)-(YEAR(Planos!$G49)*12+MONTH(Planos!$G49))&gt;0,MOD((ano_ref*12+3)-(YEAR(Planos!$G49)*12+MONTH(Planos!$G49)),MAX(1,IFERROR(INDEX(lst_frequencia_meses,MATCH(Planos!$E49,lst_frequencia,0)),0)))=0),"●","")))</f>
      </c>
      <c r="G50" s="43">
        <f>IF(NOT(Planos!$A49&lt;&gt;""),"",IF(COUNTIFS(Programação!$B$4:$B$503,Planos!$A49,Programação!$I$4:$I$503,"Concluído",Programação!$G$4:$G$503,"&gt;="&amp;DATE(ano_ref,4,1),Programação!$G$4:$G$503,"&lt;="&amp;EOMONTH(DATE(ano_ref,4,1),0))&gt;0,"✔",IF(AND(ISNUMBER(Planos!$G49),IFERROR(INDEX(lst_frequencia_meses,MATCH(Planos!$E49,lst_frequencia,0)),0)&gt;0,(ano_ref*12+4)-(YEAR(Planos!$G49)*12+MONTH(Planos!$G49))&gt;0,MOD((ano_ref*12+4)-(YEAR(Planos!$G49)*12+MONTH(Planos!$G49)),MAX(1,IFERROR(INDEX(lst_frequencia_meses,MATCH(Planos!$E49,lst_frequencia,0)),0)))=0),"●","")))</f>
      </c>
      <c r="H50" s="43">
        <f>IF(NOT(Planos!$A49&lt;&gt;""),"",IF(COUNTIFS(Programação!$B$4:$B$503,Planos!$A49,Programação!$I$4:$I$503,"Concluído",Programação!$G$4:$G$503,"&gt;="&amp;DATE(ano_ref,5,1),Programação!$G$4:$G$503,"&lt;="&amp;EOMONTH(DATE(ano_ref,5,1),0))&gt;0,"✔",IF(AND(ISNUMBER(Planos!$G49),IFERROR(INDEX(lst_frequencia_meses,MATCH(Planos!$E49,lst_frequencia,0)),0)&gt;0,(ano_ref*12+5)-(YEAR(Planos!$G49)*12+MONTH(Planos!$G49))&gt;0,MOD((ano_ref*12+5)-(YEAR(Planos!$G49)*12+MONTH(Planos!$G49)),MAX(1,IFERROR(INDEX(lst_frequencia_meses,MATCH(Planos!$E49,lst_frequencia,0)),0)))=0),"●","")))</f>
      </c>
      <c r="I50" s="43">
        <f>IF(NOT(Planos!$A49&lt;&gt;""),"",IF(COUNTIFS(Programação!$B$4:$B$503,Planos!$A49,Programação!$I$4:$I$503,"Concluído",Programação!$G$4:$G$503,"&gt;="&amp;DATE(ano_ref,6,1),Programação!$G$4:$G$503,"&lt;="&amp;EOMONTH(DATE(ano_ref,6,1),0))&gt;0,"✔",IF(AND(ISNUMBER(Planos!$G49),IFERROR(INDEX(lst_frequencia_meses,MATCH(Planos!$E49,lst_frequencia,0)),0)&gt;0,(ano_ref*12+6)-(YEAR(Planos!$G49)*12+MONTH(Planos!$G49))&gt;0,MOD((ano_ref*12+6)-(YEAR(Planos!$G49)*12+MONTH(Planos!$G49)),MAX(1,IFERROR(INDEX(lst_frequencia_meses,MATCH(Planos!$E49,lst_frequencia,0)),0)))=0),"●","")))</f>
      </c>
      <c r="J50" s="43">
        <f>IF(NOT(Planos!$A49&lt;&gt;""),"",IF(COUNTIFS(Programação!$B$4:$B$503,Planos!$A49,Programação!$I$4:$I$503,"Concluído",Programação!$G$4:$G$503,"&gt;="&amp;DATE(ano_ref,7,1),Programação!$G$4:$G$503,"&lt;="&amp;EOMONTH(DATE(ano_ref,7,1),0))&gt;0,"✔",IF(AND(ISNUMBER(Planos!$G49),IFERROR(INDEX(lst_frequencia_meses,MATCH(Planos!$E49,lst_frequencia,0)),0)&gt;0,(ano_ref*12+7)-(YEAR(Planos!$G49)*12+MONTH(Planos!$G49))&gt;0,MOD((ano_ref*12+7)-(YEAR(Planos!$G49)*12+MONTH(Planos!$G49)),MAX(1,IFERROR(INDEX(lst_frequencia_meses,MATCH(Planos!$E49,lst_frequencia,0)),0)))=0),"●","")))</f>
      </c>
      <c r="K50" s="43">
        <f>IF(NOT(Planos!$A49&lt;&gt;""),"",IF(COUNTIFS(Programação!$B$4:$B$503,Planos!$A49,Programação!$I$4:$I$503,"Concluído",Programação!$G$4:$G$503,"&gt;="&amp;DATE(ano_ref,8,1),Programação!$G$4:$G$503,"&lt;="&amp;EOMONTH(DATE(ano_ref,8,1),0))&gt;0,"✔",IF(AND(ISNUMBER(Planos!$G49),IFERROR(INDEX(lst_frequencia_meses,MATCH(Planos!$E49,lst_frequencia,0)),0)&gt;0,(ano_ref*12+8)-(YEAR(Planos!$G49)*12+MONTH(Planos!$G49))&gt;0,MOD((ano_ref*12+8)-(YEAR(Planos!$G49)*12+MONTH(Planos!$G49)),MAX(1,IFERROR(INDEX(lst_frequencia_meses,MATCH(Planos!$E49,lst_frequencia,0)),0)))=0),"●","")))</f>
      </c>
      <c r="L50" s="43">
        <f>IF(NOT(Planos!$A49&lt;&gt;""),"",IF(COUNTIFS(Programação!$B$4:$B$503,Planos!$A49,Programação!$I$4:$I$503,"Concluído",Programação!$G$4:$G$503,"&gt;="&amp;DATE(ano_ref,9,1),Programação!$G$4:$G$503,"&lt;="&amp;EOMONTH(DATE(ano_ref,9,1),0))&gt;0,"✔",IF(AND(ISNUMBER(Planos!$G49),IFERROR(INDEX(lst_frequencia_meses,MATCH(Planos!$E49,lst_frequencia,0)),0)&gt;0,(ano_ref*12+9)-(YEAR(Planos!$G49)*12+MONTH(Planos!$G49))&gt;0,MOD((ano_ref*12+9)-(YEAR(Planos!$G49)*12+MONTH(Planos!$G49)),MAX(1,IFERROR(INDEX(lst_frequencia_meses,MATCH(Planos!$E49,lst_frequencia,0)),0)))=0),"●","")))</f>
      </c>
      <c r="M50" s="43">
        <f>IF(NOT(Planos!$A49&lt;&gt;""),"",IF(COUNTIFS(Programação!$B$4:$B$503,Planos!$A49,Programação!$I$4:$I$503,"Concluído",Programação!$G$4:$G$503,"&gt;="&amp;DATE(ano_ref,10,1),Programação!$G$4:$G$503,"&lt;="&amp;EOMONTH(DATE(ano_ref,10,1),0))&gt;0,"✔",IF(AND(ISNUMBER(Planos!$G49),IFERROR(INDEX(lst_frequencia_meses,MATCH(Planos!$E49,lst_frequencia,0)),0)&gt;0,(ano_ref*12+10)-(YEAR(Planos!$G49)*12+MONTH(Planos!$G49))&gt;0,MOD((ano_ref*12+10)-(YEAR(Planos!$G49)*12+MONTH(Planos!$G49)),MAX(1,IFERROR(INDEX(lst_frequencia_meses,MATCH(Planos!$E49,lst_frequencia,0)),0)))=0),"●","")))</f>
      </c>
      <c r="N50" s="43">
        <f>IF(NOT(Planos!$A49&lt;&gt;""),"",IF(COUNTIFS(Programação!$B$4:$B$503,Planos!$A49,Programação!$I$4:$I$503,"Concluído",Programação!$G$4:$G$503,"&gt;="&amp;DATE(ano_ref,11,1),Programação!$G$4:$G$503,"&lt;="&amp;EOMONTH(DATE(ano_ref,11,1),0))&gt;0,"✔",IF(AND(ISNUMBER(Planos!$G49),IFERROR(INDEX(lst_frequencia_meses,MATCH(Planos!$E49,lst_frequencia,0)),0)&gt;0,(ano_ref*12+11)-(YEAR(Planos!$G49)*12+MONTH(Planos!$G49))&gt;0,MOD((ano_ref*12+11)-(YEAR(Planos!$G49)*12+MONTH(Planos!$G49)),MAX(1,IFERROR(INDEX(lst_frequencia_meses,MATCH(Planos!$E49,lst_frequencia,0)),0)))=0),"●","")))</f>
      </c>
      <c r="O50" s="43">
        <f>IF(NOT(Planos!$A49&lt;&gt;""),"",IF(COUNTIFS(Programação!$B$4:$B$503,Planos!$A49,Programação!$I$4:$I$503,"Concluído",Programação!$G$4:$G$503,"&gt;="&amp;DATE(ano_ref,12,1),Programação!$G$4:$G$503,"&lt;="&amp;EOMONTH(DATE(ano_ref,12,1),0))&gt;0,"✔",IF(AND(ISNUMBER(Planos!$G49),IFERROR(INDEX(lst_frequencia_meses,MATCH(Planos!$E49,lst_frequencia,0)),0)&gt;0,(ano_ref*12+12)-(YEAR(Planos!$G49)*12+MONTH(Planos!$G49))&gt;0,MOD((ano_ref*12+12)-(YEAR(Planos!$G49)*12+MONTH(Planos!$G49)),MAX(1,IFERROR(INDEX(lst_frequencia_meses,MATCH(Planos!$E49,lst_frequencia,0)),0)))=0),"●","")))</f>
      </c>
      <c r="P50" s="44">
        <f>IF(COUNTIF(D50:O50,"✔")+COUNTIF(D50:O50,"●")=0,"",COUNTIF(D50:O50,"✔")/(COUNTIF(D50:O50,"✔")+COUNTIF(D50:O50,"●")))</f>
      </c>
    </row>
    <row r="51" spans="1:16" x14ac:dyDescent="0.25">
      <c r="A51" s="43">
        <f>IF(Planos!$A50&lt;&gt;"",Planos!A50&amp;"","")</f>
      </c>
      <c r="B51" s="43">
        <f>IF(Planos!$A50&lt;&gt;"",Planos!B50&amp;"","")</f>
      </c>
      <c r="C51" s="24">
        <f>IF(Planos!$A50&lt;&gt;"",Planos!C50&amp;"","")</f>
      </c>
      <c r="D51" s="43">
        <f>IF(NOT(Planos!$A50&lt;&gt;""),"",IF(COUNTIFS(Programação!$B$4:$B$503,Planos!$A50,Programação!$I$4:$I$503,"Concluído",Programação!$G$4:$G$503,"&gt;="&amp;DATE(ano_ref,1,1),Programação!$G$4:$G$503,"&lt;="&amp;EOMONTH(DATE(ano_ref,1,1),0))&gt;0,"✔",IF(AND(ISNUMBER(Planos!$G50),IFERROR(INDEX(lst_frequencia_meses,MATCH(Planos!$E50,lst_frequencia,0)),0)&gt;0,(ano_ref*12+1)-(YEAR(Planos!$G50)*12+MONTH(Planos!$G50))&gt;0,MOD((ano_ref*12+1)-(YEAR(Planos!$G50)*12+MONTH(Planos!$G50)),MAX(1,IFERROR(INDEX(lst_frequencia_meses,MATCH(Planos!$E50,lst_frequencia,0)),0)))=0),"●","")))</f>
      </c>
      <c r="E51" s="43">
        <f>IF(NOT(Planos!$A50&lt;&gt;""),"",IF(COUNTIFS(Programação!$B$4:$B$503,Planos!$A50,Programação!$I$4:$I$503,"Concluído",Programação!$G$4:$G$503,"&gt;="&amp;DATE(ano_ref,2,1),Programação!$G$4:$G$503,"&lt;="&amp;EOMONTH(DATE(ano_ref,2,1),0))&gt;0,"✔",IF(AND(ISNUMBER(Planos!$G50),IFERROR(INDEX(lst_frequencia_meses,MATCH(Planos!$E50,lst_frequencia,0)),0)&gt;0,(ano_ref*12+2)-(YEAR(Planos!$G50)*12+MONTH(Planos!$G50))&gt;0,MOD((ano_ref*12+2)-(YEAR(Planos!$G50)*12+MONTH(Planos!$G50)),MAX(1,IFERROR(INDEX(lst_frequencia_meses,MATCH(Planos!$E50,lst_frequencia,0)),0)))=0),"●","")))</f>
      </c>
      <c r="F51" s="43">
        <f>IF(NOT(Planos!$A50&lt;&gt;""),"",IF(COUNTIFS(Programação!$B$4:$B$503,Planos!$A50,Programação!$I$4:$I$503,"Concluído",Programação!$G$4:$G$503,"&gt;="&amp;DATE(ano_ref,3,1),Programação!$G$4:$G$503,"&lt;="&amp;EOMONTH(DATE(ano_ref,3,1),0))&gt;0,"✔",IF(AND(ISNUMBER(Planos!$G50),IFERROR(INDEX(lst_frequencia_meses,MATCH(Planos!$E50,lst_frequencia,0)),0)&gt;0,(ano_ref*12+3)-(YEAR(Planos!$G50)*12+MONTH(Planos!$G50))&gt;0,MOD((ano_ref*12+3)-(YEAR(Planos!$G50)*12+MONTH(Planos!$G50)),MAX(1,IFERROR(INDEX(lst_frequencia_meses,MATCH(Planos!$E50,lst_frequencia,0)),0)))=0),"●","")))</f>
      </c>
      <c r="G51" s="43">
        <f>IF(NOT(Planos!$A50&lt;&gt;""),"",IF(COUNTIFS(Programação!$B$4:$B$503,Planos!$A50,Programação!$I$4:$I$503,"Concluído",Programação!$G$4:$G$503,"&gt;="&amp;DATE(ano_ref,4,1),Programação!$G$4:$G$503,"&lt;="&amp;EOMONTH(DATE(ano_ref,4,1),0))&gt;0,"✔",IF(AND(ISNUMBER(Planos!$G50),IFERROR(INDEX(lst_frequencia_meses,MATCH(Planos!$E50,lst_frequencia,0)),0)&gt;0,(ano_ref*12+4)-(YEAR(Planos!$G50)*12+MONTH(Planos!$G50))&gt;0,MOD((ano_ref*12+4)-(YEAR(Planos!$G50)*12+MONTH(Planos!$G50)),MAX(1,IFERROR(INDEX(lst_frequencia_meses,MATCH(Planos!$E50,lst_frequencia,0)),0)))=0),"●","")))</f>
      </c>
      <c r="H51" s="43">
        <f>IF(NOT(Planos!$A50&lt;&gt;""),"",IF(COUNTIFS(Programação!$B$4:$B$503,Planos!$A50,Programação!$I$4:$I$503,"Concluído",Programação!$G$4:$G$503,"&gt;="&amp;DATE(ano_ref,5,1),Programação!$G$4:$G$503,"&lt;="&amp;EOMONTH(DATE(ano_ref,5,1),0))&gt;0,"✔",IF(AND(ISNUMBER(Planos!$G50),IFERROR(INDEX(lst_frequencia_meses,MATCH(Planos!$E50,lst_frequencia,0)),0)&gt;0,(ano_ref*12+5)-(YEAR(Planos!$G50)*12+MONTH(Planos!$G50))&gt;0,MOD((ano_ref*12+5)-(YEAR(Planos!$G50)*12+MONTH(Planos!$G50)),MAX(1,IFERROR(INDEX(lst_frequencia_meses,MATCH(Planos!$E50,lst_frequencia,0)),0)))=0),"●","")))</f>
      </c>
      <c r="I51" s="43">
        <f>IF(NOT(Planos!$A50&lt;&gt;""),"",IF(COUNTIFS(Programação!$B$4:$B$503,Planos!$A50,Programação!$I$4:$I$503,"Concluído",Programação!$G$4:$G$503,"&gt;="&amp;DATE(ano_ref,6,1),Programação!$G$4:$G$503,"&lt;="&amp;EOMONTH(DATE(ano_ref,6,1),0))&gt;0,"✔",IF(AND(ISNUMBER(Planos!$G50),IFERROR(INDEX(lst_frequencia_meses,MATCH(Planos!$E50,lst_frequencia,0)),0)&gt;0,(ano_ref*12+6)-(YEAR(Planos!$G50)*12+MONTH(Planos!$G50))&gt;0,MOD((ano_ref*12+6)-(YEAR(Planos!$G50)*12+MONTH(Planos!$G50)),MAX(1,IFERROR(INDEX(lst_frequencia_meses,MATCH(Planos!$E50,lst_frequencia,0)),0)))=0),"●","")))</f>
      </c>
      <c r="J51" s="43">
        <f>IF(NOT(Planos!$A50&lt;&gt;""),"",IF(COUNTIFS(Programação!$B$4:$B$503,Planos!$A50,Programação!$I$4:$I$503,"Concluído",Programação!$G$4:$G$503,"&gt;="&amp;DATE(ano_ref,7,1),Programação!$G$4:$G$503,"&lt;="&amp;EOMONTH(DATE(ano_ref,7,1),0))&gt;0,"✔",IF(AND(ISNUMBER(Planos!$G50),IFERROR(INDEX(lst_frequencia_meses,MATCH(Planos!$E50,lst_frequencia,0)),0)&gt;0,(ano_ref*12+7)-(YEAR(Planos!$G50)*12+MONTH(Planos!$G50))&gt;0,MOD((ano_ref*12+7)-(YEAR(Planos!$G50)*12+MONTH(Planos!$G50)),MAX(1,IFERROR(INDEX(lst_frequencia_meses,MATCH(Planos!$E50,lst_frequencia,0)),0)))=0),"●","")))</f>
      </c>
      <c r="K51" s="43">
        <f>IF(NOT(Planos!$A50&lt;&gt;""),"",IF(COUNTIFS(Programação!$B$4:$B$503,Planos!$A50,Programação!$I$4:$I$503,"Concluído",Programação!$G$4:$G$503,"&gt;="&amp;DATE(ano_ref,8,1),Programação!$G$4:$G$503,"&lt;="&amp;EOMONTH(DATE(ano_ref,8,1),0))&gt;0,"✔",IF(AND(ISNUMBER(Planos!$G50),IFERROR(INDEX(lst_frequencia_meses,MATCH(Planos!$E50,lst_frequencia,0)),0)&gt;0,(ano_ref*12+8)-(YEAR(Planos!$G50)*12+MONTH(Planos!$G50))&gt;0,MOD((ano_ref*12+8)-(YEAR(Planos!$G50)*12+MONTH(Planos!$G50)),MAX(1,IFERROR(INDEX(lst_frequencia_meses,MATCH(Planos!$E50,lst_frequencia,0)),0)))=0),"●","")))</f>
      </c>
      <c r="L51" s="43">
        <f>IF(NOT(Planos!$A50&lt;&gt;""),"",IF(COUNTIFS(Programação!$B$4:$B$503,Planos!$A50,Programação!$I$4:$I$503,"Concluído",Programação!$G$4:$G$503,"&gt;="&amp;DATE(ano_ref,9,1),Programação!$G$4:$G$503,"&lt;="&amp;EOMONTH(DATE(ano_ref,9,1),0))&gt;0,"✔",IF(AND(ISNUMBER(Planos!$G50),IFERROR(INDEX(lst_frequencia_meses,MATCH(Planos!$E50,lst_frequencia,0)),0)&gt;0,(ano_ref*12+9)-(YEAR(Planos!$G50)*12+MONTH(Planos!$G50))&gt;0,MOD((ano_ref*12+9)-(YEAR(Planos!$G50)*12+MONTH(Planos!$G50)),MAX(1,IFERROR(INDEX(lst_frequencia_meses,MATCH(Planos!$E50,lst_frequencia,0)),0)))=0),"●","")))</f>
      </c>
      <c r="M51" s="43">
        <f>IF(NOT(Planos!$A50&lt;&gt;""),"",IF(COUNTIFS(Programação!$B$4:$B$503,Planos!$A50,Programação!$I$4:$I$503,"Concluído",Programação!$G$4:$G$503,"&gt;="&amp;DATE(ano_ref,10,1),Programação!$G$4:$G$503,"&lt;="&amp;EOMONTH(DATE(ano_ref,10,1),0))&gt;0,"✔",IF(AND(ISNUMBER(Planos!$G50),IFERROR(INDEX(lst_frequencia_meses,MATCH(Planos!$E50,lst_frequencia,0)),0)&gt;0,(ano_ref*12+10)-(YEAR(Planos!$G50)*12+MONTH(Planos!$G50))&gt;0,MOD((ano_ref*12+10)-(YEAR(Planos!$G50)*12+MONTH(Planos!$G50)),MAX(1,IFERROR(INDEX(lst_frequencia_meses,MATCH(Planos!$E50,lst_frequencia,0)),0)))=0),"●","")))</f>
      </c>
      <c r="N51" s="43">
        <f>IF(NOT(Planos!$A50&lt;&gt;""),"",IF(COUNTIFS(Programação!$B$4:$B$503,Planos!$A50,Programação!$I$4:$I$503,"Concluído",Programação!$G$4:$G$503,"&gt;="&amp;DATE(ano_ref,11,1),Programação!$G$4:$G$503,"&lt;="&amp;EOMONTH(DATE(ano_ref,11,1),0))&gt;0,"✔",IF(AND(ISNUMBER(Planos!$G50),IFERROR(INDEX(lst_frequencia_meses,MATCH(Planos!$E50,lst_frequencia,0)),0)&gt;0,(ano_ref*12+11)-(YEAR(Planos!$G50)*12+MONTH(Planos!$G50))&gt;0,MOD((ano_ref*12+11)-(YEAR(Planos!$G50)*12+MONTH(Planos!$G50)),MAX(1,IFERROR(INDEX(lst_frequencia_meses,MATCH(Planos!$E50,lst_frequencia,0)),0)))=0),"●","")))</f>
      </c>
      <c r="O51" s="43">
        <f>IF(NOT(Planos!$A50&lt;&gt;""),"",IF(COUNTIFS(Programação!$B$4:$B$503,Planos!$A50,Programação!$I$4:$I$503,"Concluído",Programação!$G$4:$G$503,"&gt;="&amp;DATE(ano_ref,12,1),Programação!$G$4:$G$503,"&lt;="&amp;EOMONTH(DATE(ano_ref,12,1),0))&gt;0,"✔",IF(AND(ISNUMBER(Planos!$G50),IFERROR(INDEX(lst_frequencia_meses,MATCH(Planos!$E50,lst_frequencia,0)),0)&gt;0,(ano_ref*12+12)-(YEAR(Planos!$G50)*12+MONTH(Planos!$G50))&gt;0,MOD((ano_ref*12+12)-(YEAR(Planos!$G50)*12+MONTH(Planos!$G50)),MAX(1,IFERROR(INDEX(lst_frequencia_meses,MATCH(Planos!$E50,lst_frequencia,0)),0)))=0),"●","")))</f>
      </c>
      <c r="P51" s="44">
        <f>IF(COUNTIF(D51:O51,"✔")+COUNTIF(D51:O51,"●")=0,"",COUNTIF(D51:O51,"✔")/(COUNTIF(D51:O51,"✔")+COUNTIF(D51:O51,"●")))</f>
      </c>
    </row>
    <row r="52" spans="1:16" x14ac:dyDescent="0.25">
      <c r="A52" s="43">
        <f>IF(Planos!$A51&lt;&gt;"",Planos!A51&amp;"","")</f>
      </c>
      <c r="B52" s="43">
        <f>IF(Planos!$A51&lt;&gt;"",Planos!B51&amp;"","")</f>
      </c>
      <c r="C52" s="24">
        <f>IF(Planos!$A51&lt;&gt;"",Planos!C51&amp;"","")</f>
      </c>
      <c r="D52" s="43">
        <f>IF(NOT(Planos!$A51&lt;&gt;""),"",IF(COUNTIFS(Programação!$B$4:$B$503,Planos!$A51,Programação!$I$4:$I$503,"Concluído",Programação!$G$4:$G$503,"&gt;="&amp;DATE(ano_ref,1,1),Programação!$G$4:$G$503,"&lt;="&amp;EOMONTH(DATE(ano_ref,1,1),0))&gt;0,"✔",IF(AND(ISNUMBER(Planos!$G51),IFERROR(INDEX(lst_frequencia_meses,MATCH(Planos!$E51,lst_frequencia,0)),0)&gt;0,(ano_ref*12+1)-(YEAR(Planos!$G51)*12+MONTH(Planos!$G51))&gt;0,MOD((ano_ref*12+1)-(YEAR(Planos!$G51)*12+MONTH(Planos!$G51)),MAX(1,IFERROR(INDEX(lst_frequencia_meses,MATCH(Planos!$E51,lst_frequencia,0)),0)))=0),"●","")))</f>
      </c>
      <c r="E52" s="43">
        <f>IF(NOT(Planos!$A51&lt;&gt;""),"",IF(COUNTIFS(Programação!$B$4:$B$503,Planos!$A51,Programação!$I$4:$I$503,"Concluído",Programação!$G$4:$G$503,"&gt;="&amp;DATE(ano_ref,2,1),Programação!$G$4:$G$503,"&lt;="&amp;EOMONTH(DATE(ano_ref,2,1),0))&gt;0,"✔",IF(AND(ISNUMBER(Planos!$G51),IFERROR(INDEX(lst_frequencia_meses,MATCH(Planos!$E51,lst_frequencia,0)),0)&gt;0,(ano_ref*12+2)-(YEAR(Planos!$G51)*12+MONTH(Planos!$G51))&gt;0,MOD((ano_ref*12+2)-(YEAR(Planos!$G51)*12+MONTH(Planos!$G51)),MAX(1,IFERROR(INDEX(lst_frequencia_meses,MATCH(Planos!$E51,lst_frequencia,0)),0)))=0),"●","")))</f>
      </c>
      <c r="F52" s="43">
        <f>IF(NOT(Planos!$A51&lt;&gt;""),"",IF(COUNTIFS(Programação!$B$4:$B$503,Planos!$A51,Programação!$I$4:$I$503,"Concluído",Programação!$G$4:$G$503,"&gt;="&amp;DATE(ano_ref,3,1),Programação!$G$4:$G$503,"&lt;="&amp;EOMONTH(DATE(ano_ref,3,1),0))&gt;0,"✔",IF(AND(ISNUMBER(Planos!$G51),IFERROR(INDEX(lst_frequencia_meses,MATCH(Planos!$E51,lst_frequencia,0)),0)&gt;0,(ano_ref*12+3)-(YEAR(Planos!$G51)*12+MONTH(Planos!$G51))&gt;0,MOD((ano_ref*12+3)-(YEAR(Planos!$G51)*12+MONTH(Planos!$G51)),MAX(1,IFERROR(INDEX(lst_frequencia_meses,MATCH(Planos!$E51,lst_frequencia,0)),0)))=0),"●","")))</f>
      </c>
      <c r="G52" s="43">
        <f>IF(NOT(Planos!$A51&lt;&gt;""),"",IF(COUNTIFS(Programação!$B$4:$B$503,Planos!$A51,Programação!$I$4:$I$503,"Concluído",Programação!$G$4:$G$503,"&gt;="&amp;DATE(ano_ref,4,1),Programação!$G$4:$G$503,"&lt;="&amp;EOMONTH(DATE(ano_ref,4,1),0))&gt;0,"✔",IF(AND(ISNUMBER(Planos!$G51),IFERROR(INDEX(lst_frequencia_meses,MATCH(Planos!$E51,lst_frequencia,0)),0)&gt;0,(ano_ref*12+4)-(YEAR(Planos!$G51)*12+MONTH(Planos!$G51))&gt;0,MOD((ano_ref*12+4)-(YEAR(Planos!$G51)*12+MONTH(Planos!$G51)),MAX(1,IFERROR(INDEX(lst_frequencia_meses,MATCH(Planos!$E51,lst_frequencia,0)),0)))=0),"●","")))</f>
      </c>
      <c r="H52" s="43">
        <f>IF(NOT(Planos!$A51&lt;&gt;""),"",IF(COUNTIFS(Programação!$B$4:$B$503,Planos!$A51,Programação!$I$4:$I$503,"Concluído",Programação!$G$4:$G$503,"&gt;="&amp;DATE(ano_ref,5,1),Programação!$G$4:$G$503,"&lt;="&amp;EOMONTH(DATE(ano_ref,5,1),0))&gt;0,"✔",IF(AND(ISNUMBER(Planos!$G51),IFERROR(INDEX(lst_frequencia_meses,MATCH(Planos!$E51,lst_frequencia,0)),0)&gt;0,(ano_ref*12+5)-(YEAR(Planos!$G51)*12+MONTH(Planos!$G51))&gt;0,MOD((ano_ref*12+5)-(YEAR(Planos!$G51)*12+MONTH(Planos!$G51)),MAX(1,IFERROR(INDEX(lst_frequencia_meses,MATCH(Planos!$E51,lst_frequencia,0)),0)))=0),"●","")))</f>
      </c>
      <c r="I52" s="43">
        <f>IF(NOT(Planos!$A51&lt;&gt;""),"",IF(COUNTIFS(Programação!$B$4:$B$503,Planos!$A51,Programação!$I$4:$I$503,"Concluído",Programação!$G$4:$G$503,"&gt;="&amp;DATE(ano_ref,6,1),Programação!$G$4:$G$503,"&lt;="&amp;EOMONTH(DATE(ano_ref,6,1),0))&gt;0,"✔",IF(AND(ISNUMBER(Planos!$G51),IFERROR(INDEX(lst_frequencia_meses,MATCH(Planos!$E51,lst_frequencia,0)),0)&gt;0,(ano_ref*12+6)-(YEAR(Planos!$G51)*12+MONTH(Planos!$G51))&gt;0,MOD((ano_ref*12+6)-(YEAR(Planos!$G51)*12+MONTH(Planos!$G51)),MAX(1,IFERROR(INDEX(lst_frequencia_meses,MATCH(Planos!$E51,lst_frequencia,0)),0)))=0),"●","")))</f>
      </c>
      <c r="J52" s="43">
        <f>IF(NOT(Planos!$A51&lt;&gt;""),"",IF(COUNTIFS(Programação!$B$4:$B$503,Planos!$A51,Programação!$I$4:$I$503,"Concluído",Programação!$G$4:$G$503,"&gt;="&amp;DATE(ano_ref,7,1),Programação!$G$4:$G$503,"&lt;="&amp;EOMONTH(DATE(ano_ref,7,1),0))&gt;0,"✔",IF(AND(ISNUMBER(Planos!$G51),IFERROR(INDEX(lst_frequencia_meses,MATCH(Planos!$E51,lst_frequencia,0)),0)&gt;0,(ano_ref*12+7)-(YEAR(Planos!$G51)*12+MONTH(Planos!$G51))&gt;0,MOD((ano_ref*12+7)-(YEAR(Planos!$G51)*12+MONTH(Planos!$G51)),MAX(1,IFERROR(INDEX(lst_frequencia_meses,MATCH(Planos!$E51,lst_frequencia,0)),0)))=0),"●","")))</f>
      </c>
      <c r="K52" s="43">
        <f>IF(NOT(Planos!$A51&lt;&gt;""),"",IF(COUNTIFS(Programação!$B$4:$B$503,Planos!$A51,Programação!$I$4:$I$503,"Concluído",Programação!$G$4:$G$503,"&gt;="&amp;DATE(ano_ref,8,1),Programação!$G$4:$G$503,"&lt;="&amp;EOMONTH(DATE(ano_ref,8,1),0))&gt;0,"✔",IF(AND(ISNUMBER(Planos!$G51),IFERROR(INDEX(lst_frequencia_meses,MATCH(Planos!$E51,lst_frequencia,0)),0)&gt;0,(ano_ref*12+8)-(YEAR(Planos!$G51)*12+MONTH(Planos!$G51))&gt;0,MOD((ano_ref*12+8)-(YEAR(Planos!$G51)*12+MONTH(Planos!$G51)),MAX(1,IFERROR(INDEX(lst_frequencia_meses,MATCH(Planos!$E51,lst_frequencia,0)),0)))=0),"●","")))</f>
      </c>
      <c r="L52" s="43">
        <f>IF(NOT(Planos!$A51&lt;&gt;""),"",IF(COUNTIFS(Programação!$B$4:$B$503,Planos!$A51,Programação!$I$4:$I$503,"Concluído",Programação!$G$4:$G$503,"&gt;="&amp;DATE(ano_ref,9,1),Programação!$G$4:$G$503,"&lt;="&amp;EOMONTH(DATE(ano_ref,9,1),0))&gt;0,"✔",IF(AND(ISNUMBER(Planos!$G51),IFERROR(INDEX(lst_frequencia_meses,MATCH(Planos!$E51,lst_frequencia,0)),0)&gt;0,(ano_ref*12+9)-(YEAR(Planos!$G51)*12+MONTH(Planos!$G51))&gt;0,MOD((ano_ref*12+9)-(YEAR(Planos!$G51)*12+MONTH(Planos!$G51)),MAX(1,IFERROR(INDEX(lst_frequencia_meses,MATCH(Planos!$E51,lst_frequencia,0)),0)))=0),"●","")))</f>
      </c>
      <c r="M52" s="43">
        <f>IF(NOT(Planos!$A51&lt;&gt;""),"",IF(COUNTIFS(Programação!$B$4:$B$503,Planos!$A51,Programação!$I$4:$I$503,"Concluído",Programação!$G$4:$G$503,"&gt;="&amp;DATE(ano_ref,10,1),Programação!$G$4:$G$503,"&lt;="&amp;EOMONTH(DATE(ano_ref,10,1),0))&gt;0,"✔",IF(AND(ISNUMBER(Planos!$G51),IFERROR(INDEX(lst_frequencia_meses,MATCH(Planos!$E51,lst_frequencia,0)),0)&gt;0,(ano_ref*12+10)-(YEAR(Planos!$G51)*12+MONTH(Planos!$G51))&gt;0,MOD((ano_ref*12+10)-(YEAR(Planos!$G51)*12+MONTH(Planos!$G51)),MAX(1,IFERROR(INDEX(lst_frequencia_meses,MATCH(Planos!$E51,lst_frequencia,0)),0)))=0),"●","")))</f>
      </c>
      <c r="N52" s="43">
        <f>IF(NOT(Planos!$A51&lt;&gt;""),"",IF(COUNTIFS(Programação!$B$4:$B$503,Planos!$A51,Programação!$I$4:$I$503,"Concluído",Programação!$G$4:$G$503,"&gt;="&amp;DATE(ano_ref,11,1),Programação!$G$4:$G$503,"&lt;="&amp;EOMONTH(DATE(ano_ref,11,1),0))&gt;0,"✔",IF(AND(ISNUMBER(Planos!$G51),IFERROR(INDEX(lst_frequencia_meses,MATCH(Planos!$E51,lst_frequencia,0)),0)&gt;0,(ano_ref*12+11)-(YEAR(Planos!$G51)*12+MONTH(Planos!$G51))&gt;0,MOD((ano_ref*12+11)-(YEAR(Planos!$G51)*12+MONTH(Planos!$G51)),MAX(1,IFERROR(INDEX(lst_frequencia_meses,MATCH(Planos!$E51,lst_frequencia,0)),0)))=0),"●","")))</f>
      </c>
      <c r="O52" s="43">
        <f>IF(NOT(Planos!$A51&lt;&gt;""),"",IF(COUNTIFS(Programação!$B$4:$B$503,Planos!$A51,Programação!$I$4:$I$503,"Concluído",Programação!$G$4:$G$503,"&gt;="&amp;DATE(ano_ref,12,1),Programação!$G$4:$G$503,"&lt;="&amp;EOMONTH(DATE(ano_ref,12,1),0))&gt;0,"✔",IF(AND(ISNUMBER(Planos!$G51),IFERROR(INDEX(lst_frequencia_meses,MATCH(Planos!$E51,lst_frequencia,0)),0)&gt;0,(ano_ref*12+12)-(YEAR(Planos!$G51)*12+MONTH(Planos!$G51))&gt;0,MOD((ano_ref*12+12)-(YEAR(Planos!$G51)*12+MONTH(Planos!$G51)),MAX(1,IFERROR(INDEX(lst_frequencia_meses,MATCH(Planos!$E51,lst_frequencia,0)),0)))=0),"●","")))</f>
      </c>
      <c r="P52" s="44">
        <f>IF(COUNTIF(D52:O52,"✔")+COUNTIF(D52:O52,"●")=0,"",COUNTIF(D52:O52,"✔")/(COUNTIF(D52:O52,"✔")+COUNTIF(D52:O52,"●")))</f>
      </c>
    </row>
    <row r="53" spans="1:16" x14ac:dyDescent="0.25">
      <c r="A53" s="43">
        <f>IF(Planos!$A52&lt;&gt;"",Planos!A52&amp;"","")</f>
      </c>
      <c r="B53" s="43">
        <f>IF(Planos!$A52&lt;&gt;"",Planos!B52&amp;"","")</f>
      </c>
      <c r="C53" s="24">
        <f>IF(Planos!$A52&lt;&gt;"",Planos!C52&amp;"","")</f>
      </c>
      <c r="D53" s="43">
        <f>IF(NOT(Planos!$A52&lt;&gt;""),"",IF(COUNTIFS(Programação!$B$4:$B$503,Planos!$A52,Programação!$I$4:$I$503,"Concluído",Programação!$G$4:$G$503,"&gt;="&amp;DATE(ano_ref,1,1),Programação!$G$4:$G$503,"&lt;="&amp;EOMONTH(DATE(ano_ref,1,1),0))&gt;0,"✔",IF(AND(ISNUMBER(Planos!$G52),IFERROR(INDEX(lst_frequencia_meses,MATCH(Planos!$E52,lst_frequencia,0)),0)&gt;0,(ano_ref*12+1)-(YEAR(Planos!$G52)*12+MONTH(Planos!$G52))&gt;0,MOD((ano_ref*12+1)-(YEAR(Planos!$G52)*12+MONTH(Planos!$G52)),MAX(1,IFERROR(INDEX(lst_frequencia_meses,MATCH(Planos!$E52,lst_frequencia,0)),0)))=0),"●","")))</f>
      </c>
      <c r="E53" s="43">
        <f>IF(NOT(Planos!$A52&lt;&gt;""),"",IF(COUNTIFS(Programação!$B$4:$B$503,Planos!$A52,Programação!$I$4:$I$503,"Concluído",Programação!$G$4:$G$503,"&gt;="&amp;DATE(ano_ref,2,1),Programação!$G$4:$G$503,"&lt;="&amp;EOMONTH(DATE(ano_ref,2,1),0))&gt;0,"✔",IF(AND(ISNUMBER(Planos!$G52),IFERROR(INDEX(lst_frequencia_meses,MATCH(Planos!$E52,lst_frequencia,0)),0)&gt;0,(ano_ref*12+2)-(YEAR(Planos!$G52)*12+MONTH(Planos!$G52))&gt;0,MOD((ano_ref*12+2)-(YEAR(Planos!$G52)*12+MONTH(Planos!$G52)),MAX(1,IFERROR(INDEX(lst_frequencia_meses,MATCH(Planos!$E52,lst_frequencia,0)),0)))=0),"●","")))</f>
      </c>
      <c r="F53" s="43">
        <f>IF(NOT(Planos!$A52&lt;&gt;""),"",IF(COUNTIFS(Programação!$B$4:$B$503,Planos!$A52,Programação!$I$4:$I$503,"Concluído",Programação!$G$4:$G$503,"&gt;="&amp;DATE(ano_ref,3,1),Programação!$G$4:$G$503,"&lt;="&amp;EOMONTH(DATE(ano_ref,3,1),0))&gt;0,"✔",IF(AND(ISNUMBER(Planos!$G52),IFERROR(INDEX(lst_frequencia_meses,MATCH(Planos!$E52,lst_frequencia,0)),0)&gt;0,(ano_ref*12+3)-(YEAR(Planos!$G52)*12+MONTH(Planos!$G52))&gt;0,MOD((ano_ref*12+3)-(YEAR(Planos!$G52)*12+MONTH(Planos!$G52)),MAX(1,IFERROR(INDEX(lst_frequencia_meses,MATCH(Planos!$E52,lst_frequencia,0)),0)))=0),"●","")))</f>
      </c>
      <c r="G53" s="43">
        <f>IF(NOT(Planos!$A52&lt;&gt;""),"",IF(COUNTIFS(Programação!$B$4:$B$503,Planos!$A52,Programação!$I$4:$I$503,"Concluído",Programação!$G$4:$G$503,"&gt;="&amp;DATE(ano_ref,4,1),Programação!$G$4:$G$503,"&lt;="&amp;EOMONTH(DATE(ano_ref,4,1),0))&gt;0,"✔",IF(AND(ISNUMBER(Planos!$G52),IFERROR(INDEX(lst_frequencia_meses,MATCH(Planos!$E52,lst_frequencia,0)),0)&gt;0,(ano_ref*12+4)-(YEAR(Planos!$G52)*12+MONTH(Planos!$G52))&gt;0,MOD((ano_ref*12+4)-(YEAR(Planos!$G52)*12+MONTH(Planos!$G52)),MAX(1,IFERROR(INDEX(lst_frequencia_meses,MATCH(Planos!$E52,lst_frequencia,0)),0)))=0),"●","")))</f>
      </c>
      <c r="H53" s="43">
        <f>IF(NOT(Planos!$A52&lt;&gt;""),"",IF(COUNTIFS(Programação!$B$4:$B$503,Planos!$A52,Programação!$I$4:$I$503,"Concluído",Programação!$G$4:$G$503,"&gt;="&amp;DATE(ano_ref,5,1),Programação!$G$4:$G$503,"&lt;="&amp;EOMONTH(DATE(ano_ref,5,1),0))&gt;0,"✔",IF(AND(ISNUMBER(Planos!$G52),IFERROR(INDEX(lst_frequencia_meses,MATCH(Planos!$E52,lst_frequencia,0)),0)&gt;0,(ano_ref*12+5)-(YEAR(Planos!$G52)*12+MONTH(Planos!$G52))&gt;0,MOD((ano_ref*12+5)-(YEAR(Planos!$G52)*12+MONTH(Planos!$G52)),MAX(1,IFERROR(INDEX(lst_frequencia_meses,MATCH(Planos!$E52,lst_frequencia,0)),0)))=0),"●","")))</f>
      </c>
      <c r="I53" s="43">
        <f>IF(NOT(Planos!$A52&lt;&gt;""),"",IF(COUNTIFS(Programação!$B$4:$B$503,Planos!$A52,Programação!$I$4:$I$503,"Concluído",Programação!$G$4:$G$503,"&gt;="&amp;DATE(ano_ref,6,1),Programação!$G$4:$G$503,"&lt;="&amp;EOMONTH(DATE(ano_ref,6,1),0))&gt;0,"✔",IF(AND(ISNUMBER(Planos!$G52),IFERROR(INDEX(lst_frequencia_meses,MATCH(Planos!$E52,lst_frequencia,0)),0)&gt;0,(ano_ref*12+6)-(YEAR(Planos!$G52)*12+MONTH(Planos!$G52))&gt;0,MOD((ano_ref*12+6)-(YEAR(Planos!$G52)*12+MONTH(Planos!$G52)),MAX(1,IFERROR(INDEX(lst_frequencia_meses,MATCH(Planos!$E52,lst_frequencia,0)),0)))=0),"●","")))</f>
      </c>
      <c r="J53" s="43">
        <f>IF(NOT(Planos!$A52&lt;&gt;""),"",IF(COUNTIFS(Programação!$B$4:$B$503,Planos!$A52,Programação!$I$4:$I$503,"Concluído",Programação!$G$4:$G$503,"&gt;="&amp;DATE(ano_ref,7,1),Programação!$G$4:$G$503,"&lt;="&amp;EOMONTH(DATE(ano_ref,7,1),0))&gt;0,"✔",IF(AND(ISNUMBER(Planos!$G52),IFERROR(INDEX(lst_frequencia_meses,MATCH(Planos!$E52,lst_frequencia,0)),0)&gt;0,(ano_ref*12+7)-(YEAR(Planos!$G52)*12+MONTH(Planos!$G52))&gt;0,MOD((ano_ref*12+7)-(YEAR(Planos!$G52)*12+MONTH(Planos!$G52)),MAX(1,IFERROR(INDEX(lst_frequencia_meses,MATCH(Planos!$E52,lst_frequencia,0)),0)))=0),"●","")))</f>
      </c>
      <c r="K53" s="43">
        <f>IF(NOT(Planos!$A52&lt;&gt;""),"",IF(COUNTIFS(Programação!$B$4:$B$503,Planos!$A52,Programação!$I$4:$I$503,"Concluído",Programação!$G$4:$G$503,"&gt;="&amp;DATE(ano_ref,8,1),Programação!$G$4:$G$503,"&lt;="&amp;EOMONTH(DATE(ano_ref,8,1),0))&gt;0,"✔",IF(AND(ISNUMBER(Planos!$G52),IFERROR(INDEX(lst_frequencia_meses,MATCH(Planos!$E52,lst_frequencia,0)),0)&gt;0,(ano_ref*12+8)-(YEAR(Planos!$G52)*12+MONTH(Planos!$G52))&gt;0,MOD((ano_ref*12+8)-(YEAR(Planos!$G52)*12+MONTH(Planos!$G52)),MAX(1,IFERROR(INDEX(lst_frequencia_meses,MATCH(Planos!$E52,lst_frequencia,0)),0)))=0),"●","")))</f>
      </c>
      <c r="L53" s="43">
        <f>IF(NOT(Planos!$A52&lt;&gt;""),"",IF(COUNTIFS(Programação!$B$4:$B$503,Planos!$A52,Programação!$I$4:$I$503,"Concluído",Programação!$G$4:$G$503,"&gt;="&amp;DATE(ano_ref,9,1),Programação!$G$4:$G$503,"&lt;="&amp;EOMONTH(DATE(ano_ref,9,1),0))&gt;0,"✔",IF(AND(ISNUMBER(Planos!$G52),IFERROR(INDEX(lst_frequencia_meses,MATCH(Planos!$E52,lst_frequencia,0)),0)&gt;0,(ano_ref*12+9)-(YEAR(Planos!$G52)*12+MONTH(Planos!$G52))&gt;0,MOD((ano_ref*12+9)-(YEAR(Planos!$G52)*12+MONTH(Planos!$G52)),MAX(1,IFERROR(INDEX(lst_frequencia_meses,MATCH(Planos!$E52,lst_frequencia,0)),0)))=0),"●","")))</f>
      </c>
      <c r="M53" s="43">
        <f>IF(NOT(Planos!$A52&lt;&gt;""),"",IF(COUNTIFS(Programação!$B$4:$B$503,Planos!$A52,Programação!$I$4:$I$503,"Concluído",Programação!$G$4:$G$503,"&gt;="&amp;DATE(ano_ref,10,1),Programação!$G$4:$G$503,"&lt;="&amp;EOMONTH(DATE(ano_ref,10,1),0))&gt;0,"✔",IF(AND(ISNUMBER(Planos!$G52),IFERROR(INDEX(lst_frequencia_meses,MATCH(Planos!$E52,lst_frequencia,0)),0)&gt;0,(ano_ref*12+10)-(YEAR(Planos!$G52)*12+MONTH(Planos!$G52))&gt;0,MOD((ano_ref*12+10)-(YEAR(Planos!$G52)*12+MONTH(Planos!$G52)),MAX(1,IFERROR(INDEX(lst_frequencia_meses,MATCH(Planos!$E52,lst_frequencia,0)),0)))=0),"●","")))</f>
      </c>
      <c r="N53" s="43">
        <f>IF(NOT(Planos!$A52&lt;&gt;""),"",IF(COUNTIFS(Programação!$B$4:$B$503,Planos!$A52,Programação!$I$4:$I$503,"Concluído",Programação!$G$4:$G$503,"&gt;="&amp;DATE(ano_ref,11,1),Programação!$G$4:$G$503,"&lt;="&amp;EOMONTH(DATE(ano_ref,11,1),0))&gt;0,"✔",IF(AND(ISNUMBER(Planos!$G52),IFERROR(INDEX(lst_frequencia_meses,MATCH(Planos!$E52,lst_frequencia,0)),0)&gt;0,(ano_ref*12+11)-(YEAR(Planos!$G52)*12+MONTH(Planos!$G52))&gt;0,MOD((ano_ref*12+11)-(YEAR(Planos!$G52)*12+MONTH(Planos!$G52)),MAX(1,IFERROR(INDEX(lst_frequencia_meses,MATCH(Planos!$E52,lst_frequencia,0)),0)))=0),"●","")))</f>
      </c>
      <c r="O53" s="43">
        <f>IF(NOT(Planos!$A52&lt;&gt;""),"",IF(COUNTIFS(Programação!$B$4:$B$503,Planos!$A52,Programação!$I$4:$I$503,"Concluído",Programação!$G$4:$G$503,"&gt;="&amp;DATE(ano_ref,12,1),Programação!$G$4:$G$503,"&lt;="&amp;EOMONTH(DATE(ano_ref,12,1),0))&gt;0,"✔",IF(AND(ISNUMBER(Planos!$G52),IFERROR(INDEX(lst_frequencia_meses,MATCH(Planos!$E52,lst_frequencia,0)),0)&gt;0,(ano_ref*12+12)-(YEAR(Planos!$G52)*12+MONTH(Planos!$G52))&gt;0,MOD((ano_ref*12+12)-(YEAR(Planos!$G52)*12+MONTH(Planos!$G52)),MAX(1,IFERROR(INDEX(lst_frequencia_meses,MATCH(Planos!$E52,lst_frequencia,0)),0)))=0),"●","")))</f>
      </c>
      <c r="P53" s="44">
        <f>IF(COUNTIF(D53:O53,"✔")+COUNTIF(D53:O53,"●")=0,"",COUNTIF(D53:O53,"✔")/(COUNTIF(D53:O53,"✔")+COUNTIF(D53:O53,"●")))</f>
      </c>
    </row>
    <row r="54" spans="1:16" x14ac:dyDescent="0.25">
      <c r="A54" s="43">
        <f>IF(Planos!$A53&lt;&gt;"",Planos!A53&amp;"","")</f>
      </c>
      <c r="B54" s="43">
        <f>IF(Planos!$A53&lt;&gt;"",Planos!B53&amp;"","")</f>
      </c>
      <c r="C54" s="24">
        <f>IF(Planos!$A53&lt;&gt;"",Planos!C53&amp;"","")</f>
      </c>
      <c r="D54" s="43">
        <f>IF(NOT(Planos!$A53&lt;&gt;""),"",IF(COUNTIFS(Programação!$B$4:$B$503,Planos!$A53,Programação!$I$4:$I$503,"Concluído",Programação!$G$4:$G$503,"&gt;="&amp;DATE(ano_ref,1,1),Programação!$G$4:$G$503,"&lt;="&amp;EOMONTH(DATE(ano_ref,1,1),0))&gt;0,"✔",IF(AND(ISNUMBER(Planos!$G53),IFERROR(INDEX(lst_frequencia_meses,MATCH(Planos!$E53,lst_frequencia,0)),0)&gt;0,(ano_ref*12+1)-(YEAR(Planos!$G53)*12+MONTH(Planos!$G53))&gt;0,MOD((ano_ref*12+1)-(YEAR(Planos!$G53)*12+MONTH(Planos!$G53)),MAX(1,IFERROR(INDEX(lst_frequencia_meses,MATCH(Planos!$E53,lst_frequencia,0)),0)))=0),"●","")))</f>
      </c>
      <c r="E54" s="43">
        <f>IF(NOT(Planos!$A53&lt;&gt;""),"",IF(COUNTIFS(Programação!$B$4:$B$503,Planos!$A53,Programação!$I$4:$I$503,"Concluído",Programação!$G$4:$G$503,"&gt;="&amp;DATE(ano_ref,2,1),Programação!$G$4:$G$503,"&lt;="&amp;EOMONTH(DATE(ano_ref,2,1),0))&gt;0,"✔",IF(AND(ISNUMBER(Planos!$G53),IFERROR(INDEX(lst_frequencia_meses,MATCH(Planos!$E53,lst_frequencia,0)),0)&gt;0,(ano_ref*12+2)-(YEAR(Planos!$G53)*12+MONTH(Planos!$G53))&gt;0,MOD((ano_ref*12+2)-(YEAR(Planos!$G53)*12+MONTH(Planos!$G53)),MAX(1,IFERROR(INDEX(lst_frequencia_meses,MATCH(Planos!$E53,lst_frequencia,0)),0)))=0),"●","")))</f>
      </c>
      <c r="F54" s="43">
        <f>IF(NOT(Planos!$A53&lt;&gt;""),"",IF(COUNTIFS(Programação!$B$4:$B$503,Planos!$A53,Programação!$I$4:$I$503,"Concluído",Programação!$G$4:$G$503,"&gt;="&amp;DATE(ano_ref,3,1),Programação!$G$4:$G$503,"&lt;="&amp;EOMONTH(DATE(ano_ref,3,1),0))&gt;0,"✔",IF(AND(ISNUMBER(Planos!$G53),IFERROR(INDEX(lst_frequencia_meses,MATCH(Planos!$E53,lst_frequencia,0)),0)&gt;0,(ano_ref*12+3)-(YEAR(Planos!$G53)*12+MONTH(Planos!$G53))&gt;0,MOD((ano_ref*12+3)-(YEAR(Planos!$G53)*12+MONTH(Planos!$G53)),MAX(1,IFERROR(INDEX(lst_frequencia_meses,MATCH(Planos!$E53,lst_frequencia,0)),0)))=0),"●","")))</f>
      </c>
      <c r="G54" s="43">
        <f>IF(NOT(Planos!$A53&lt;&gt;""),"",IF(COUNTIFS(Programação!$B$4:$B$503,Planos!$A53,Programação!$I$4:$I$503,"Concluído",Programação!$G$4:$G$503,"&gt;="&amp;DATE(ano_ref,4,1),Programação!$G$4:$G$503,"&lt;="&amp;EOMONTH(DATE(ano_ref,4,1),0))&gt;0,"✔",IF(AND(ISNUMBER(Planos!$G53),IFERROR(INDEX(lst_frequencia_meses,MATCH(Planos!$E53,lst_frequencia,0)),0)&gt;0,(ano_ref*12+4)-(YEAR(Planos!$G53)*12+MONTH(Planos!$G53))&gt;0,MOD((ano_ref*12+4)-(YEAR(Planos!$G53)*12+MONTH(Planos!$G53)),MAX(1,IFERROR(INDEX(lst_frequencia_meses,MATCH(Planos!$E53,lst_frequencia,0)),0)))=0),"●","")))</f>
      </c>
      <c r="H54" s="43">
        <f>IF(NOT(Planos!$A53&lt;&gt;""),"",IF(COUNTIFS(Programação!$B$4:$B$503,Planos!$A53,Programação!$I$4:$I$503,"Concluído",Programação!$G$4:$G$503,"&gt;="&amp;DATE(ano_ref,5,1),Programação!$G$4:$G$503,"&lt;="&amp;EOMONTH(DATE(ano_ref,5,1),0))&gt;0,"✔",IF(AND(ISNUMBER(Planos!$G53),IFERROR(INDEX(lst_frequencia_meses,MATCH(Planos!$E53,lst_frequencia,0)),0)&gt;0,(ano_ref*12+5)-(YEAR(Planos!$G53)*12+MONTH(Planos!$G53))&gt;0,MOD((ano_ref*12+5)-(YEAR(Planos!$G53)*12+MONTH(Planos!$G53)),MAX(1,IFERROR(INDEX(lst_frequencia_meses,MATCH(Planos!$E53,lst_frequencia,0)),0)))=0),"●","")))</f>
      </c>
      <c r="I54" s="43">
        <f>IF(NOT(Planos!$A53&lt;&gt;""),"",IF(COUNTIFS(Programação!$B$4:$B$503,Planos!$A53,Programação!$I$4:$I$503,"Concluído",Programação!$G$4:$G$503,"&gt;="&amp;DATE(ano_ref,6,1),Programação!$G$4:$G$503,"&lt;="&amp;EOMONTH(DATE(ano_ref,6,1),0))&gt;0,"✔",IF(AND(ISNUMBER(Planos!$G53),IFERROR(INDEX(lst_frequencia_meses,MATCH(Planos!$E53,lst_frequencia,0)),0)&gt;0,(ano_ref*12+6)-(YEAR(Planos!$G53)*12+MONTH(Planos!$G53))&gt;0,MOD((ano_ref*12+6)-(YEAR(Planos!$G53)*12+MONTH(Planos!$G53)),MAX(1,IFERROR(INDEX(lst_frequencia_meses,MATCH(Planos!$E53,lst_frequencia,0)),0)))=0),"●","")))</f>
      </c>
      <c r="J54" s="43">
        <f>IF(NOT(Planos!$A53&lt;&gt;""),"",IF(COUNTIFS(Programação!$B$4:$B$503,Planos!$A53,Programação!$I$4:$I$503,"Concluído",Programação!$G$4:$G$503,"&gt;="&amp;DATE(ano_ref,7,1),Programação!$G$4:$G$503,"&lt;="&amp;EOMONTH(DATE(ano_ref,7,1),0))&gt;0,"✔",IF(AND(ISNUMBER(Planos!$G53),IFERROR(INDEX(lst_frequencia_meses,MATCH(Planos!$E53,lst_frequencia,0)),0)&gt;0,(ano_ref*12+7)-(YEAR(Planos!$G53)*12+MONTH(Planos!$G53))&gt;0,MOD((ano_ref*12+7)-(YEAR(Planos!$G53)*12+MONTH(Planos!$G53)),MAX(1,IFERROR(INDEX(lst_frequencia_meses,MATCH(Planos!$E53,lst_frequencia,0)),0)))=0),"●","")))</f>
      </c>
      <c r="K54" s="43">
        <f>IF(NOT(Planos!$A53&lt;&gt;""),"",IF(COUNTIFS(Programação!$B$4:$B$503,Planos!$A53,Programação!$I$4:$I$503,"Concluído",Programação!$G$4:$G$503,"&gt;="&amp;DATE(ano_ref,8,1),Programação!$G$4:$G$503,"&lt;="&amp;EOMONTH(DATE(ano_ref,8,1),0))&gt;0,"✔",IF(AND(ISNUMBER(Planos!$G53),IFERROR(INDEX(lst_frequencia_meses,MATCH(Planos!$E53,lst_frequencia,0)),0)&gt;0,(ano_ref*12+8)-(YEAR(Planos!$G53)*12+MONTH(Planos!$G53))&gt;0,MOD((ano_ref*12+8)-(YEAR(Planos!$G53)*12+MONTH(Planos!$G53)),MAX(1,IFERROR(INDEX(lst_frequencia_meses,MATCH(Planos!$E53,lst_frequencia,0)),0)))=0),"●","")))</f>
      </c>
      <c r="L54" s="43">
        <f>IF(NOT(Planos!$A53&lt;&gt;""),"",IF(COUNTIFS(Programação!$B$4:$B$503,Planos!$A53,Programação!$I$4:$I$503,"Concluído",Programação!$G$4:$G$503,"&gt;="&amp;DATE(ano_ref,9,1),Programação!$G$4:$G$503,"&lt;="&amp;EOMONTH(DATE(ano_ref,9,1),0))&gt;0,"✔",IF(AND(ISNUMBER(Planos!$G53),IFERROR(INDEX(lst_frequencia_meses,MATCH(Planos!$E53,lst_frequencia,0)),0)&gt;0,(ano_ref*12+9)-(YEAR(Planos!$G53)*12+MONTH(Planos!$G53))&gt;0,MOD((ano_ref*12+9)-(YEAR(Planos!$G53)*12+MONTH(Planos!$G53)),MAX(1,IFERROR(INDEX(lst_frequencia_meses,MATCH(Planos!$E53,lst_frequencia,0)),0)))=0),"●","")))</f>
      </c>
      <c r="M54" s="43">
        <f>IF(NOT(Planos!$A53&lt;&gt;""),"",IF(COUNTIFS(Programação!$B$4:$B$503,Planos!$A53,Programação!$I$4:$I$503,"Concluído",Programação!$G$4:$G$503,"&gt;="&amp;DATE(ano_ref,10,1),Programação!$G$4:$G$503,"&lt;="&amp;EOMONTH(DATE(ano_ref,10,1),0))&gt;0,"✔",IF(AND(ISNUMBER(Planos!$G53),IFERROR(INDEX(lst_frequencia_meses,MATCH(Planos!$E53,lst_frequencia,0)),0)&gt;0,(ano_ref*12+10)-(YEAR(Planos!$G53)*12+MONTH(Planos!$G53))&gt;0,MOD((ano_ref*12+10)-(YEAR(Planos!$G53)*12+MONTH(Planos!$G53)),MAX(1,IFERROR(INDEX(lst_frequencia_meses,MATCH(Planos!$E53,lst_frequencia,0)),0)))=0),"●","")))</f>
      </c>
      <c r="N54" s="43">
        <f>IF(NOT(Planos!$A53&lt;&gt;""),"",IF(COUNTIFS(Programação!$B$4:$B$503,Planos!$A53,Programação!$I$4:$I$503,"Concluído",Programação!$G$4:$G$503,"&gt;="&amp;DATE(ano_ref,11,1),Programação!$G$4:$G$503,"&lt;="&amp;EOMONTH(DATE(ano_ref,11,1),0))&gt;0,"✔",IF(AND(ISNUMBER(Planos!$G53),IFERROR(INDEX(lst_frequencia_meses,MATCH(Planos!$E53,lst_frequencia,0)),0)&gt;0,(ano_ref*12+11)-(YEAR(Planos!$G53)*12+MONTH(Planos!$G53))&gt;0,MOD((ano_ref*12+11)-(YEAR(Planos!$G53)*12+MONTH(Planos!$G53)),MAX(1,IFERROR(INDEX(lst_frequencia_meses,MATCH(Planos!$E53,lst_frequencia,0)),0)))=0),"●","")))</f>
      </c>
      <c r="O54" s="43">
        <f>IF(NOT(Planos!$A53&lt;&gt;""),"",IF(COUNTIFS(Programação!$B$4:$B$503,Planos!$A53,Programação!$I$4:$I$503,"Concluído",Programação!$G$4:$G$503,"&gt;="&amp;DATE(ano_ref,12,1),Programação!$G$4:$G$503,"&lt;="&amp;EOMONTH(DATE(ano_ref,12,1),0))&gt;0,"✔",IF(AND(ISNUMBER(Planos!$G53),IFERROR(INDEX(lst_frequencia_meses,MATCH(Planos!$E53,lst_frequencia,0)),0)&gt;0,(ano_ref*12+12)-(YEAR(Planos!$G53)*12+MONTH(Planos!$G53))&gt;0,MOD((ano_ref*12+12)-(YEAR(Planos!$G53)*12+MONTH(Planos!$G53)),MAX(1,IFERROR(INDEX(lst_frequencia_meses,MATCH(Planos!$E53,lst_frequencia,0)),0)))=0),"●","")))</f>
      </c>
      <c r="P54" s="44">
        <f>IF(COUNTIF(D54:O54,"✔")+COUNTIF(D54:O54,"●")=0,"",COUNTIF(D54:O54,"✔")/(COUNTIF(D54:O54,"✔")+COUNTIF(D54:O54,"●")))</f>
      </c>
    </row>
    <row r="55" spans="1:16" x14ac:dyDescent="0.25">
      <c r="A55" s="43">
        <f>IF(Planos!$A54&lt;&gt;"",Planos!A54&amp;"","")</f>
      </c>
      <c r="B55" s="43">
        <f>IF(Planos!$A54&lt;&gt;"",Planos!B54&amp;"","")</f>
      </c>
      <c r="C55" s="24">
        <f>IF(Planos!$A54&lt;&gt;"",Planos!C54&amp;"","")</f>
      </c>
      <c r="D55" s="43">
        <f>IF(NOT(Planos!$A54&lt;&gt;""),"",IF(COUNTIFS(Programação!$B$4:$B$503,Planos!$A54,Programação!$I$4:$I$503,"Concluído",Programação!$G$4:$G$503,"&gt;="&amp;DATE(ano_ref,1,1),Programação!$G$4:$G$503,"&lt;="&amp;EOMONTH(DATE(ano_ref,1,1),0))&gt;0,"✔",IF(AND(ISNUMBER(Planos!$G54),IFERROR(INDEX(lst_frequencia_meses,MATCH(Planos!$E54,lst_frequencia,0)),0)&gt;0,(ano_ref*12+1)-(YEAR(Planos!$G54)*12+MONTH(Planos!$G54))&gt;0,MOD((ano_ref*12+1)-(YEAR(Planos!$G54)*12+MONTH(Planos!$G54)),MAX(1,IFERROR(INDEX(lst_frequencia_meses,MATCH(Planos!$E54,lst_frequencia,0)),0)))=0),"●","")))</f>
      </c>
      <c r="E55" s="43">
        <f>IF(NOT(Planos!$A54&lt;&gt;""),"",IF(COUNTIFS(Programação!$B$4:$B$503,Planos!$A54,Programação!$I$4:$I$503,"Concluído",Programação!$G$4:$G$503,"&gt;="&amp;DATE(ano_ref,2,1),Programação!$G$4:$G$503,"&lt;="&amp;EOMONTH(DATE(ano_ref,2,1),0))&gt;0,"✔",IF(AND(ISNUMBER(Planos!$G54),IFERROR(INDEX(lst_frequencia_meses,MATCH(Planos!$E54,lst_frequencia,0)),0)&gt;0,(ano_ref*12+2)-(YEAR(Planos!$G54)*12+MONTH(Planos!$G54))&gt;0,MOD((ano_ref*12+2)-(YEAR(Planos!$G54)*12+MONTH(Planos!$G54)),MAX(1,IFERROR(INDEX(lst_frequencia_meses,MATCH(Planos!$E54,lst_frequencia,0)),0)))=0),"●","")))</f>
      </c>
      <c r="F55" s="43">
        <f>IF(NOT(Planos!$A54&lt;&gt;""),"",IF(COUNTIFS(Programação!$B$4:$B$503,Planos!$A54,Programação!$I$4:$I$503,"Concluído",Programação!$G$4:$G$503,"&gt;="&amp;DATE(ano_ref,3,1),Programação!$G$4:$G$503,"&lt;="&amp;EOMONTH(DATE(ano_ref,3,1),0))&gt;0,"✔",IF(AND(ISNUMBER(Planos!$G54),IFERROR(INDEX(lst_frequencia_meses,MATCH(Planos!$E54,lst_frequencia,0)),0)&gt;0,(ano_ref*12+3)-(YEAR(Planos!$G54)*12+MONTH(Planos!$G54))&gt;0,MOD((ano_ref*12+3)-(YEAR(Planos!$G54)*12+MONTH(Planos!$G54)),MAX(1,IFERROR(INDEX(lst_frequencia_meses,MATCH(Planos!$E54,lst_frequencia,0)),0)))=0),"●","")))</f>
      </c>
      <c r="G55" s="43">
        <f>IF(NOT(Planos!$A54&lt;&gt;""),"",IF(COUNTIFS(Programação!$B$4:$B$503,Planos!$A54,Programação!$I$4:$I$503,"Concluído",Programação!$G$4:$G$503,"&gt;="&amp;DATE(ano_ref,4,1),Programação!$G$4:$G$503,"&lt;="&amp;EOMONTH(DATE(ano_ref,4,1),0))&gt;0,"✔",IF(AND(ISNUMBER(Planos!$G54),IFERROR(INDEX(lst_frequencia_meses,MATCH(Planos!$E54,lst_frequencia,0)),0)&gt;0,(ano_ref*12+4)-(YEAR(Planos!$G54)*12+MONTH(Planos!$G54))&gt;0,MOD((ano_ref*12+4)-(YEAR(Planos!$G54)*12+MONTH(Planos!$G54)),MAX(1,IFERROR(INDEX(lst_frequencia_meses,MATCH(Planos!$E54,lst_frequencia,0)),0)))=0),"●","")))</f>
      </c>
      <c r="H55" s="43">
        <f>IF(NOT(Planos!$A54&lt;&gt;""),"",IF(COUNTIFS(Programação!$B$4:$B$503,Planos!$A54,Programação!$I$4:$I$503,"Concluído",Programação!$G$4:$G$503,"&gt;="&amp;DATE(ano_ref,5,1),Programação!$G$4:$G$503,"&lt;="&amp;EOMONTH(DATE(ano_ref,5,1),0))&gt;0,"✔",IF(AND(ISNUMBER(Planos!$G54),IFERROR(INDEX(lst_frequencia_meses,MATCH(Planos!$E54,lst_frequencia,0)),0)&gt;0,(ano_ref*12+5)-(YEAR(Planos!$G54)*12+MONTH(Planos!$G54))&gt;0,MOD((ano_ref*12+5)-(YEAR(Planos!$G54)*12+MONTH(Planos!$G54)),MAX(1,IFERROR(INDEX(lst_frequencia_meses,MATCH(Planos!$E54,lst_frequencia,0)),0)))=0),"●","")))</f>
      </c>
      <c r="I55" s="43">
        <f>IF(NOT(Planos!$A54&lt;&gt;""),"",IF(COUNTIFS(Programação!$B$4:$B$503,Planos!$A54,Programação!$I$4:$I$503,"Concluído",Programação!$G$4:$G$503,"&gt;="&amp;DATE(ano_ref,6,1),Programação!$G$4:$G$503,"&lt;="&amp;EOMONTH(DATE(ano_ref,6,1),0))&gt;0,"✔",IF(AND(ISNUMBER(Planos!$G54),IFERROR(INDEX(lst_frequencia_meses,MATCH(Planos!$E54,lst_frequencia,0)),0)&gt;0,(ano_ref*12+6)-(YEAR(Planos!$G54)*12+MONTH(Planos!$G54))&gt;0,MOD((ano_ref*12+6)-(YEAR(Planos!$G54)*12+MONTH(Planos!$G54)),MAX(1,IFERROR(INDEX(lst_frequencia_meses,MATCH(Planos!$E54,lst_frequencia,0)),0)))=0),"●","")))</f>
      </c>
      <c r="J55" s="43">
        <f>IF(NOT(Planos!$A54&lt;&gt;""),"",IF(COUNTIFS(Programação!$B$4:$B$503,Planos!$A54,Programação!$I$4:$I$503,"Concluído",Programação!$G$4:$G$503,"&gt;="&amp;DATE(ano_ref,7,1),Programação!$G$4:$G$503,"&lt;="&amp;EOMONTH(DATE(ano_ref,7,1),0))&gt;0,"✔",IF(AND(ISNUMBER(Planos!$G54),IFERROR(INDEX(lst_frequencia_meses,MATCH(Planos!$E54,lst_frequencia,0)),0)&gt;0,(ano_ref*12+7)-(YEAR(Planos!$G54)*12+MONTH(Planos!$G54))&gt;0,MOD((ano_ref*12+7)-(YEAR(Planos!$G54)*12+MONTH(Planos!$G54)),MAX(1,IFERROR(INDEX(lst_frequencia_meses,MATCH(Planos!$E54,lst_frequencia,0)),0)))=0),"●","")))</f>
      </c>
      <c r="K55" s="43">
        <f>IF(NOT(Planos!$A54&lt;&gt;""),"",IF(COUNTIFS(Programação!$B$4:$B$503,Planos!$A54,Programação!$I$4:$I$503,"Concluído",Programação!$G$4:$G$503,"&gt;="&amp;DATE(ano_ref,8,1),Programação!$G$4:$G$503,"&lt;="&amp;EOMONTH(DATE(ano_ref,8,1),0))&gt;0,"✔",IF(AND(ISNUMBER(Planos!$G54),IFERROR(INDEX(lst_frequencia_meses,MATCH(Planos!$E54,lst_frequencia,0)),0)&gt;0,(ano_ref*12+8)-(YEAR(Planos!$G54)*12+MONTH(Planos!$G54))&gt;0,MOD((ano_ref*12+8)-(YEAR(Planos!$G54)*12+MONTH(Planos!$G54)),MAX(1,IFERROR(INDEX(lst_frequencia_meses,MATCH(Planos!$E54,lst_frequencia,0)),0)))=0),"●","")))</f>
      </c>
      <c r="L55" s="43">
        <f>IF(NOT(Planos!$A54&lt;&gt;""),"",IF(COUNTIFS(Programação!$B$4:$B$503,Planos!$A54,Programação!$I$4:$I$503,"Concluído",Programação!$G$4:$G$503,"&gt;="&amp;DATE(ano_ref,9,1),Programação!$G$4:$G$503,"&lt;="&amp;EOMONTH(DATE(ano_ref,9,1),0))&gt;0,"✔",IF(AND(ISNUMBER(Planos!$G54),IFERROR(INDEX(lst_frequencia_meses,MATCH(Planos!$E54,lst_frequencia,0)),0)&gt;0,(ano_ref*12+9)-(YEAR(Planos!$G54)*12+MONTH(Planos!$G54))&gt;0,MOD((ano_ref*12+9)-(YEAR(Planos!$G54)*12+MONTH(Planos!$G54)),MAX(1,IFERROR(INDEX(lst_frequencia_meses,MATCH(Planos!$E54,lst_frequencia,0)),0)))=0),"●","")))</f>
      </c>
      <c r="M55" s="43">
        <f>IF(NOT(Planos!$A54&lt;&gt;""),"",IF(COUNTIFS(Programação!$B$4:$B$503,Planos!$A54,Programação!$I$4:$I$503,"Concluído",Programação!$G$4:$G$503,"&gt;="&amp;DATE(ano_ref,10,1),Programação!$G$4:$G$503,"&lt;="&amp;EOMONTH(DATE(ano_ref,10,1),0))&gt;0,"✔",IF(AND(ISNUMBER(Planos!$G54),IFERROR(INDEX(lst_frequencia_meses,MATCH(Planos!$E54,lst_frequencia,0)),0)&gt;0,(ano_ref*12+10)-(YEAR(Planos!$G54)*12+MONTH(Planos!$G54))&gt;0,MOD((ano_ref*12+10)-(YEAR(Planos!$G54)*12+MONTH(Planos!$G54)),MAX(1,IFERROR(INDEX(lst_frequencia_meses,MATCH(Planos!$E54,lst_frequencia,0)),0)))=0),"●","")))</f>
      </c>
      <c r="N55" s="43">
        <f>IF(NOT(Planos!$A54&lt;&gt;""),"",IF(COUNTIFS(Programação!$B$4:$B$503,Planos!$A54,Programação!$I$4:$I$503,"Concluído",Programação!$G$4:$G$503,"&gt;="&amp;DATE(ano_ref,11,1),Programação!$G$4:$G$503,"&lt;="&amp;EOMONTH(DATE(ano_ref,11,1),0))&gt;0,"✔",IF(AND(ISNUMBER(Planos!$G54),IFERROR(INDEX(lst_frequencia_meses,MATCH(Planos!$E54,lst_frequencia,0)),0)&gt;0,(ano_ref*12+11)-(YEAR(Planos!$G54)*12+MONTH(Planos!$G54))&gt;0,MOD((ano_ref*12+11)-(YEAR(Planos!$G54)*12+MONTH(Planos!$G54)),MAX(1,IFERROR(INDEX(lst_frequencia_meses,MATCH(Planos!$E54,lst_frequencia,0)),0)))=0),"●","")))</f>
      </c>
      <c r="O55" s="43">
        <f>IF(NOT(Planos!$A54&lt;&gt;""),"",IF(COUNTIFS(Programação!$B$4:$B$503,Planos!$A54,Programação!$I$4:$I$503,"Concluído",Programação!$G$4:$G$503,"&gt;="&amp;DATE(ano_ref,12,1),Programação!$G$4:$G$503,"&lt;="&amp;EOMONTH(DATE(ano_ref,12,1),0))&gt;0,"✔",IF(AND(ISNUMBER(Planos!$G54),IFERROR(INDEX(lst_frequencia_meses,MATCH(Planos!$E54,lst_frequencia,0)),0)&gt;0,(ano_ref*12+12)-(YEAR(Planos!$G54)*12+MONTH(Planos!$G54))&gt;0,MOD((ano_ref*12+12)-(YEAR(Planos!$G54)*12+MONTH(Planos!$G54)),MAX(1,IFERROR(INDEX(lst_frequencia_meses,MATCH(Planos!$E54,lst_frequencia,0)),0)))=0),"●","")))</f>
      </c>
      <c r="P55" s="44">
        <f>IF(COUNTIF(D55:O55,"✔")+COUNTIF(D55:O55,"●")=0,"",COUNTIF(D55:O55,"✔")/(COUNTIF(D55:O55,"✔")+COUNTIF(D55:O55,"●")))</f>
      </c>
    </row>
    <row r="56" spans="1:16" x14ac:dyDescent="0.25">
      <c r="A56" s="43">
        <f>IF(Planos!$A55&lt;&gt;"",Planos!A55&amp;"","")</f>
      </c>
      <c r="B56" s="43">
        <f>IF(Planos!$A55&lt;&gt;"",Planos!B55&amp;"","")</f>
      </c>
      <c r="C56" s="24">
        <f>IF(Planos!$A55&lt;&gt;"",Planos!C55&amp;"","")</f>
      </c>
      <c r="D56" s="43">
        <f>IF(NOT(Planos!$A55&lt;&gt;""),"",IF(COUNTIFS(Programação!$B$4:$B$503,Planos!$A55,Programação!$I$4:$I$503,"Concluído",Programação!$G$4:$G$503,"&gt;="&amp;DATE(ano_ref,1,1),Programação!$G$4:$G$503,"&lt;="&amp;EOMONTH(DATE(ano_ref,1,1),0))&gt;0,"✔",IF(AND(ISNUMBER(Planos!$G55),IFERROR(INDEX(lst_frequencia_meses,MATCH(Planos!$E55,lst_frequencia,0)),0)&gt;0,(ano_ref*12+1)-(YEAR(Planos!$G55)*12+MONTH(Planos!$G55))&gt;0,MOD((ano_ref*12+1)-(YEAR(Planos!$G55)*12+MONTH(Planos!$G55)),MAX(1,IFERROR(INDEX(lst_frequencia_meses,MATCH(Planos!$E55,lst_frequencia,0)),0)))=0),"●","")))</f>
      </c>
      <c r="E56" s="43">
        <f>IF(NOT(Planos!$A55&lt;&gt;""),"",IF(COUNTIFS(Programação!$B$4:$B$503,Planos!$A55,Programação!$I$4:$I$503,"Concluído",Programação!$G$4:$G$503,"&gt;="&amp;DATE(ano_ref,2,1),Programação!$G$4:$G$503,"&lt;="&amp;EOMONTH(DATE(ano_ref,2,1),0))&gt;0,"✔",IF(AND(ISNUMBER(Planos!$G55),IFERROR(INDEX(lst_frequencia_meses,MATCH(Planos!$E55,lst_frequencia,0)),0)&gt;0,(ano_ref*12+2)-(YEAR(Planos!$G55)*12+MONTH(Planos!$G55))&gt;0,MOD((ano_ref*12+2)-(YEAR(Planos!$G55)*12+MONTH(Planos!$G55)),MAX(1,IFERROR(INDEX(lst_frequencia_meses,MATCH(Planos!$E55,lst_frequencia,0)),0)))=0),"●","")))</f>
      </c>
      <c r="F56" s="43">
        <f>IF(NOT(Planos!$A55&lt;&gt;""),"",IF(COUNTIFS(Programação!$B$4:$B$503,Planos!$A55,Programação!$I$4:$I$503,"Concluído",Programação!$G$4:$G$503,"&gt;="&amp;DATE(ano_ref,3,1),Programação!$G$4:$G$503,"&lt;="&amp;EOMONTH(DATE(ano_ref,3,1),0))&gt;0,"✔",IF(AND(ISNUMBER(Planos!$G55),IFERROR(INDEX(lst_frequencia_meses,MATCH(Planos!$E55,lst_frequencia,0)),0)&gt;0,(ano_ref*12+3)-(YEAR(Planos!$G55)*12+MONTH(Planos!$G55))&gt;0,MOD((ano_ref*12+3)-(YEAR(Planos!$G55)*12+MONTH(Planos!$G55)),MAX(1,IFERROR(INDEX(lst_frequencia_meses,MATCH(Planos!$E55,lst_frequencia,0)),0)))=0),"●","")))</f>
      </c>
      <c r="G56" s="43">
        <f>IF(NOT(Planos!$A55&lt;&gt;""),"",IF(COUNTIFS(Programação!$B$4:$B$503,Planos!$A55,Programação!$I$4:$I$503,"Concluído",Programação!$G$4:$G$503,"&gt;="&amp;DATE(ano_ref,4,1),Programação!$G$4:$G$503,"&lt;="&amp;EOMONTH(DATE(ano_ref,4,1),0))&gt;0,"✔",IF(AND(ISNUMBER(Planos!$G55),IFERROR(INDEX(lst_frequencia_meses,MATCH(Planos!$E55,lst_frequencia,0)),0)&gt;0,(ano_ref*12+4)-(YEAR(Planos!$G55)*12+MONTH(Planos!$G55))&gt;0,MOD((ano_ref*12+4)-(YEAR(Planos!$G55)*12+MONTH(Planos!$G55)),MAX(1,IFERROR(INDEX(lst_frequencia_meses,MATCH(Planos!$E55,lst_frequencia,0)),0)))=0),"●","")))</f>
      </c>
      <c r="H56" s="43">
        <f>IF(NOT(Planos!$A55&lt;&gt;""),"",IF(COUNTIFS(Programação!$B$4:$B$503,Planos!$A55,Programação!$I$4:$I$503,"Concluído",Programação!$G$4:$G$503,"&gt;="&amp;DATE(ano_ref,5,1),Programação!$G$4:$G$503,"&lt;="&amp;EOMONTH(DATE(ano_ref,5,1),0))&gt;0,"✔",IF(AND(ISNUMBER(Planos!$G55),IFERROR(INDEX(lst_frequencia_meses,MATCH(Planos!$E55,lst_frequencia,0)),0)&gt;0,(ano_ref*12+5)-(YEAR(Planos!$G55)*12+MONTH(Planos!$G55))&gt;0,MOD((ano_ref*12+5)-(YEAR(Planos!$G55)*12+MONTH(Planos!$G55)),MAX(1,IFERROR(INDEX(lst_frequencia_meses,MATCH(Planos!$E55,lst_frequencia,0)),0)))=0),"●","")))</f>
      </c>
      <c r="I56" s="43">
        <f>IF(NOT(Planos!$A55&lt;&gt;""),"",IF(COUNTIFS(Programação!$B$4:$B$503,Planos!$A55,Programação!$I$4:$I$503,"Concluído",Programação!$G$4:$G$503,"&gt;="&amp;DATE(ano_ref,6,1),Programação!$G$4:$G$503,"&lt;="&amp;EOMONTH(DATE(ano_ref,6,1),0))&gt;0,"✔",IF(AND(ISNUMBER(Planos!$G55),IFERROR(INDEX(lst_frequencia_meses,MATCH(Planos!$E55,lst_frequencia,0)),0)&gt;0,(ano_ref*12+6)-(YEAR(Planos!$G55)*12+MONTH(Planos!$G55))&gt;0,MOD((ano_ref*12+6)-(YEAR(Planos!$G55)*12+MONTH(Planos!$G55)),MAX(1,IFERROR(INDEX(lst_frequencia_meses,MATCH(Planos!$E55,lst_frequencia,0)),0)))=0),"●","")))</f>
      </c>
      <c r="J56" s="43">
        <f>IF(NOT(Planos!$A55&lt;&gt;""),"",IF(COUNTIFS(Programação!$B$4:$B$503,Planos!$A55,Programação!$I$4:$I$503,"Concluído",Programação!$G$4:$G$503,"&gt;="&amp;DATE(ano_ref,7,1),Programação!$G$4:$G$503,"&lt;="&amp;EOMONTH(DATE(ano_ref,7,1),0))&gt;0,"✔",IF(AND(ISNUMBER(Planos!$G55),IFERROR(INDEX(lst_frequencia_meses,MATCH(Planos!$E55,lst_frequencia,0)),0)&gt;0,(ano_ref*12+7)-(YEAR(Planos!$G55)*12+MONTH(Planos!$G55))&gt;0,MOD((ano_ref*12+7)-(YEAR(Planos!$G55)*12+MONTH(Planos!$G55)),MAX(1,IFERROR(INDEX(lst_frequencia_meses,MATCH(Planos!$E55,lst_frequencia,0)),0)))=0),"●","")))</f>
      </c>
      <c r="K56" s="43">
        <f>IF(NOT(Planos!$A55&lt;&gt;""),"",IF(COUNTIFS(Programação!$B$4:$B$503,Planos!$A55,Programação!$I$4:$I$503,"Concluído",Programação!$G$4:$G$503,"&gt;="&amp;DATE(ano_ref,8,1),Programação!$G$4:$G$503,"&lt;="&amp;EOMONTH(DATE(ano_ref,8,1),0))&gt;0,"✔",IF(AND(ISNUMBER(Planos!$G55),IFERROR(INDEX(lst_frequencia_meses,MATCH(Planos!$E55,lst_frequencia,0)),0)&gt;0,(ano_ref*12+8)-(YEAR(Planos!$G55)*12+MONTH(Planos!$G55))&gt;0,MOD((ano_ref*12+8)-(YEAR(Planos!$G55)*12+MONTH(Planos!$G55)),MAX(1,IFERROR(INDEX(lst_frequencia_meses,MATCH(Planos!$E55,lst_frequencia,0)),0)))=0),"●","")))</f>
      </c>
      <c r="L56" s="43">
        <f>IF(NOT(Planos!$A55&lt;&gt;""),"",IF(COUNTIFS(Programação!$B$4:$B$503,Planos!$A55,Programação!$I$4:$I$503,"Concluído",Programação!$G$4:$G$503,"&gt;="&amp;DATE(ano_ref,9,1),Programação!$G$4:$G$503,"&lt;="&amp;EOMONTH(DATE(ano_ref,9,1),0))&gt;0,"✔",IF(AND(ISNUMBER(Planos!$G55),IFERROR(INDEX(lst_frequencia_meses,MATCH(Planos!$E55,lst_frequencia,0)),0)&gt;0,(ano_ref*12+9)-(YEAR(Planos!$G55)*12+MONTH(Planos!$G55))&gt;0,MOD((ano_ref*12+9)-(YEAR(Planos!$G55)*12+MONTH(Planos!$G55)),MAX(1,IFERROR(INDEX(lst_frequencia_meses,MATCH(Planos!$E55,lst_frequencia,0)),0)))=0),"●","")))</f>
      </c>
      <c r="M56" s="43">
        <f>IF(NOT(Planos!$A55&lt;&gt;""),"",IF(COUNTIFS(Programação!$B$4:$B$503,Planos!$A55,Programação!$I$4:$I$503,"Concluído",Programação!$G$4:$G$503,"&gt;="&amp;DATE(ano_ref,10,1),Programação!$G$4:$G$503,"&lt;="&amp;EOMONTH(DATE(ano_ref,10,1),0))&gt;0,"✔",IF(AND(ISNUMBER(Planos!$G55),IFERROR(INDEX(lst_frequencia_meses,MATCH(Planos!$E55,lst_frequencia,0)),0)&gt;0,(ano_ref*12+10)-(YEAR(Planos!$G55)*12+MONTH(Planos!$G55))&gt;0,MOD((ano_ref*12+10)-(YEAR(Planos!$G55)*12+MONTH(Planos!$G55)),MAX(1,IFERROR(INDEX(lst_frequencia_meses,MATCH(Planos!$E55,lst_frequencia,0)),0)))=0),"●","")))</f>
      </c>
      <c r="N56" s="43">
        <f>IF(NOT(Planos!$A55&lt;&gt;""),"",IF(COUNTIFS(Programação!$B$4:$B$503,Planos!$A55,Programação!$I$4:$I$503,"Concluído",Programação!$G$4:$G$503,"&gt;="&amp;DATE(ano_ref,11,1),Programação!$G$4:$G$503,"&lt;="&amp;EOMONTH(DATE(ano_ref,11,1),0))&gt;0,"✔",IF(AND(ISNUMBER(Planos!$G55),IFERROR(INDEX(lst_frequencia_meses,MATCH(Planos!$E55,lst_frequencia,0)),0)&gt;0,(ano_ref*12+11)-(YEAR(Planos!$G55)*12+MONTH(Planos!$G55))&gt;0,MOD((ano_ref*12+11)-(YEAR(Planos!$G55)*12+MONTH(Planos!$G55)),MAX(1,IFERROR(INDEX(lst_frequencia_meses,MATCH(Planos!$E55,lst_frequencia,0)),0)))=0),"●","")))</f>
      </c>
      <c r="O56" s="43">
        <f>IF(NOT(Planos!$A55&lt;&gt;""),"",IF(COUNTIFS(Programação!$B$4:$B$503,Planos!$A55,Programação!$I$4:$I$503,"Concluído",Programação!$G$4:$G$503,"&gt;="&amp;DATE(ano_ref,12,1),Programação!$G$4:$G$503,"&lt;="&amp;EOMONTH(DATE(ano_ref,12,1),0))&gt;0,"✔",IF(AND(ISNUMBER(Planos!$G55),IFERROR(INDEX(lst_frequencia_meses,MATCH(Planos!$E55,lst_frequencia,0)),0)&gt;0,(ano_ref*12+12)-(YEAR(Planos!$G55)*12+MONTH(Planos!$G55))&gt;0,MOD((ano_ref*12+12)-(YEAR(Planos!$G55)*12+MONTH(Planos!$G55)),MAX(1,IFERROR(INDEX(lst_frequencia_meses,MATCH(Planos!$E55,lst_frequencia,0)),0)))=0),"●","")))</f>
      </c>
      <c r="P56" s="44">
        <f>IF(COUNTIF(D56:O56,"✔")+COUNTIF(D56:O56,"●")=0,"",COUNTIF(D56:O56,"✔")/(COUNTIF(D56:O56,"✔")+COUNTIF(D56:O56,"●")))</f>
      </c>
    </row>
    <row r="57" spans="1:16" x14ac:dyDescent="0.25">
      <c r="A57" s="43">
        <f>IF(Planos!$A56&lt;&gt;"",Planos!A56&amp;"","")</f>
      </c>
      <c r="B57" s="43">
        <f>IF(Planos!$A56&lt;&gt;"",Planos!B56&amp;"","")</f>
      </c>
      <c r="C57" s="24">
        <f>IF(Planos!$A56&lt;&gt;"",Planos!C56&amp;"","")</f>
      </c>
      <c r="D57" s="43">
        <f>IF(NOT(Planos!$A56&lt;&gt;""),"",IF(COUNTIFS(Programação!$B$4:$B$503,Planos!$A56,Programação!$I$4:$I$503,"Concluído",Programação!$G$4:$G$503,"&gt;="&amp;DATE(ano_ref,1,1),Programação!$G$4:$G$503,"&lt;="&amp;EOMONTH(DATE(ano_ref,1,1),0))&gt;0,"✔",IF(AND(ISNUMBER(Planos!$G56),IFERROR(INDEX(lst_frequencia_meses,MATCH(Planos!$E56,lst_frequencia,0)),0)&gt;0,(ano_ref*12+1)-(YEAR(Planos!$G56)*12+MONTH(Planos!$G56))&gt;0,MOD((ano_ref*12+1)-(YEAR(Planos!$G56)*12+MONTH(Planos!$G56)),MAX(1,IFERROR(INDEX(lst_frequencia_meses,MATCH(Planos!$E56,lst_frequencia,0)),0)))=0),"●","")))</f>
      </c>
      <c r="E57" s="43">
        <f>IF(NOT(Planos!$A56&lt;&gt;""),"",IF(COUNTIFS(Programação!$B$4:$B$503,Planos!$A56,Programação!$I$4:$I$503,"Concluído",Programação!$G$4:$G$503,"&gt;="&amp;DATE(ano_ref,2,1),Programação!$G$4:$G$503,"&lt;="&amp;EOMONTH(DATE(ano_ref,2,1),0))&gt;0,"✔",IF(AND(ISNUMBER(Planos!$G56),IFERROR(INDEX(lst_frequencia_meses,MATCH(Planos!$E56,lst_frequencia,0)),0)&gt;0,(ano_ref*12+2)-(YEAR(Planos!$G56)*12+MONTH(Planos!$G56))&gt;0,MOD((ano_ref*12+2)-(YEAR(Planos!$G56)*12+MONTH(Planos!$G56)),MAX(1,IFERROR(INDEX(lst_frequencia_meses,MATCH(Planos!$E56,lst_frequencia,0)),0)))=0),"●","")))</f>
      </c>
      <c r="F57" s="43">
        <f>IF(NOT(Planos!$A56&lt;&gt;""),"",IF(COUNTIFS(Programação!$B$4:$B$503,Planos!$A56,Programação!$I$4:$I$503,"Concluído",Programação!$G$4:$G$503,"&gt;="&amp;DATE(ano_ref,3,1),Programação!$G$4:$G$503,"&lt;="&amp;EOMONTH(DATE(ano_ref,3,1),0))&gt;0,"✔",IF(AND(ISNUMBER(Planos!$G56),IFERROR(INDEX(lst_frequencia_meses,MATCH(Planos!$E56,lst_frequencia,0)),0)&gt;0,(ano_ref*12+3)-(YEAR(Planos!$G56)*12+MONTH(Planos!$G56))&gt;0,MOD((ano_ref*12+3)-(YEAR(Planos!$G56)*12+MONTH(Planos!$G56)),MAX(1,IFERROR(INDEX(lst_frequencia_meses,MATCH(Planos!$E56,lst_frequencia,0)),0)))=0),"●","")))</f>
      </c>
      <c r="G57" s="43">
        <f>IF(NOT(Planos!$A56&lt;&gt;""),"",IF(COUNTIFS(Programação!$B$4:$B$503,Planos!$A56,Programação!$I$4:$I$503,"Concluído",Programação!$G$4:$G$503,"&gt;="&amp;DATE(ano_ref,4,1),Programação!$G$4:$G$503,"&lt;="&amp;EOMONTH(DATE(ano_ref,4,1),0))&gt;0,"✔",IF(AND(ISNUMBER(Planos!$G56),IFERROR(INDEX(lst_frequencia_meses,MATCH(Planos!$E56,lst_frequencia,0)),0)&gt;0,(ano_ref*12+4)-(YEAR(Planos!$G56)*12+MONTH(Planos!$G56))&gt;0,MOD((ano_ref*12+4)-(YEAR(Planos!$G56)*12+MONTH(Planos!$G56)),MAX(1,IFERROR(INDEX(lst_frequencia_meses,MATCH(Planos!$E56,lst_frequencia,0)),0)))=0),"●","")))</f>
      </c>
      <c r="H57" s="43">
        <f>IF(NOT(Planos!$A56&lt;&gt;""),"",IF(COUNTIFS(Programação!$B$4:$B$503,Planos!$A56,Programação!$I$4:$I$503,"Concluído",Programação!$G$4:$G$503,"&gt;="&amp;DATE(ano_ref,5,1),Programação!$G$4:$G$503,"&lt;="&amp;EOMONTH(DATE(ano_ref,5,1),0))&gt;0,"✔",IF(AND(ISNUMBER(Planos!$G56),IFERROR(INDEX(lst_frequencia_meses,MATCH(Planos!$E56,lst_frequencia,0)),0)&gt;0,(ano_ref*12+5)-(YEAR(Planos!$G56)*12+MONTH(Planos!$G56))&gt;0,MOD((ano_ref*12+5)-(YEAR(Planos!$G56)*12+MONTH(Planos!$G56)),MAX(1,IFERROR(INDEX(lst_frequencia_meses,MATCH(Planos!$E56,lst_frequencia,0)),0)))=0),"●","")))</f>
      </c>
      <c r="I57" s="43">
        <f>IF(NOT(Planos!$A56&lt;&gt;""),"",IF(COUNTIFS(Programação!$B$4:$B$503,Planos!$A56,Programação!$I$4:$I$503,"Concluído",Programação!$G$4:$G$503,"&gt;="&amp;DATE(ano_ref,6,1),Programação!$G$4:$G$503,"&lt;="&amp;EOMONTH(DATE(ano_ref,6,1),0))&gt;0,"✔",IF(AND(ISNUMBER(Planos!$G56),IFERROR(INDEX(lst_frequencia_meses,MATCH(Planos!$E56,lst_frequencia,0)),0)&gt;0,(ano_ref*12+6)-(YEAR(Planos!$G56)*12+MONTH(Planos!$G56))&gt;0,MOD((ano_ref*12+6)-(YEAR(Planos!$G56)*12+MONTH(Planos!$G56)),MAX(1,IFERROR(INDEX(lst_frequencia_meses,MATCH(Planos!$E56,lst_frequencia,0)),0)))=0),"●","")))</f>
      </c>
      <c r="J57" s="43">
        <f>IF(NOT(Planos!$A56&lt;&gt;""),"",IF(COUNTIFS(Programação!$B$4:$B$503,Planos!$A56,Programação!$I$4:$I$503,"Concluído",Programação!$G$4:$G$503,"&gt;="&amp;DATE(ano_ref,7,1),Programação!$G$4:$G$503,"&lt;="&amp;EOMONTH(DATE(ano_ref,7,1),0))&gt;0,"✔",IF(AND(ISNUMBER(Planos!$G56),IFERROR(INDEX(lst_frequencia_meses,MATCH(Planos!$E56,lst_frequencia,0)),0)&gt;0,(ano_ref*12+7)-(YEAR(Planos!$G56)*12+MONTH(Planos!$G56))&gt;0,MOD((ano_ref*12+7)-(YEAR(Planos!$G56)*12+MONTH(Planos!$G56)),MAX(1,IFERROR(INDEX(lst_frequencia_meses,MATCH(Planos!$E56,lst_frequencia,0)),0)))=0),"●","")))</f>
      </c>
      <c r="K57" s="43">
        <f>IF(NOT(Planos!$A56&lt;&gt;""),"",IF(COUNTIFS(Programação!$B$4:$B$503,Planos!$A56,Programação!$I$4:$I$503,"Concluído",Programação!$G$4:$G$503,"&gt;="&amp;DATE(ano_ref,8,1),Programação!$G$4:$G$503,"&lt;="&amp;EOMONTH(DATE(ano_ref,8,1),0))&gt;0,"✔",IF(AND(ISNUMBER(Planos!$G56),IFERROR(INDEX(lst_frequencia_meses,MATCH(Planos!$E56,lst_frequencia,0)),0)&gt;0,(ano_ref*12+8)-(YEAR(Planos!$G56)*12+MONTH(Planos!$G56))&gt;0,MOD((ano_ref*12+8)-(YEAR(Planos!$G56)*12+MONTH(Planos!$G56)),MAX(1,IFERROR(INDEX(lst_frequencia_meses,MATCH(Planos!$E56,lst_frequencia,0)),0)))=0),"●","")))</f>
      </c>
      <c r="L57" s="43">
        <f>IF(NOT(Planos!$A56&lt;&gt;""),"",IF(COUNTIFS(Programação!$B$4:$B$503,Planos!$A56,Programação!$I$4:$I$503,"Concluído",Programação!$G$4:$G$503,"&gt;="&amp;DATE(ano_ref,9,1),Programação!$G$4:$G$503,"&lt;="&amp;EOMONTH(DATE(ano_ref,9,1),0))&gt;0,"✔",IF(AND(ISNUMBER(Planos!$G56),IFERROR(INDEX(lst_frequencia_meses,MATCH(Planos!$E56,lst_frequencia,0)),0)&gt;0,(ano_ref*12+9)-(YEAR(Planos!$G56)*12+MONTH(Planos!$G56))&gt;0,MOD((ano_ref*12+9)-(YEAR(Planos!$G56)*12+MONTH(Planos!$G56)),MAX(1,IFERROR(INDEX(lst_frequencia_meses,MATCH(Planos!$E56,lst_frequencia,0)),0)))=0),"●","")))</f>
      </c>
      <c r="M57" s="43">
        <f>IF(NOT(Planos!$A56&lt;&gt;""),"",IF(COUNTIFS(Programação!$B$4:$B$503,Planos!$A56,Programação!$I$4:$I$503,"Concluído",Programação!$G$4:$G$503,"&gt;="&amp;DATE(ano_ref,10,1),Programação!$G$4:$G$503,"&lt;="&amp;EOMONTH(DATE(ano_ref,10,1),0))&gt;0,"✔",IF(AND(ISNUMBER(Planos!$G56),IFERROR(INDEX(lst_frequencia_meses,MATCH(Planos!$E56,lst_frequencia,0)),0)&gt;0,(ano_ref*12+10)-(YEAR(Planos!$G56)*12+MONTH(Planos!$G56))&gt;0,MOD((ano_ref*12+10)-(YEAR(Planos!$G56)*12+MONTH(Planos!$G56)),MAX(1,IFERROR(INDEX(lst_frequencia_meses,MATCH(Planos!$E56,lst_frequencia,0)),0)))=0),"●","")))</f>
      </c>
      <c r="N57" s="43">
        <f>IF(NOT(Planos!$A56&lt;&gt;""),"",IF(COUNTIFS(Programação!$B$4:$B$503,Planos!$A56,Programação!$I$4:$I$503,"Concluído",Programação!$G$4:$G$503,"&gt;="&amp;DATE(ano_ref,11,1),Programação!$G$4:$G$503,"&lt;="&amp;EOMONTH(DATE(ano_ref,11,1),0))&gt;0,"✔",IF(AND(ISNUMBER(Planos!$G56),IFERROR(INDEX(lst_frequencia_meses,MATCH(Planos!$E56,lst_frequencia,0)),0)&gt;0,(ano_ref*12+11)-(YEAR(Planos!$G56)*12+MONTH(Planos!$G56))&gt;0,MOD((ano_ref*12+11)-(YEAR(Planos!$G56)*12+MONTH(Planos!$G56)),MAX(1,IFERROR(INDEX(lst_frequencia_meses,MATCH(Planos!$E56,lst_frequencia,0)),0)))=0),"●","")))</f>
      </c>
      <c r="O57" s="43">
        <f>IF(NOT(Planos!$A56&lt;&gt;""),"",IF(COUNTIFS(Programação!$B$4:$B$503,Planos!$A56,Programação!$I$4:$I$503,"Concluído",Programação!$G$4:$G$503,"&gt;="&amp;DATE(ano_ref,12,1),Programação!$G$4:$G$503,"&lt;="&amp;EOMONTH(DATE(ano_ref,12,1),0))&gt;0,"✔",IF(AND(ISNUMBER(Planos!$G56),IFERROR(INDEX(lst_frequencia_meses,MATCH(Planos!$E56,lst_frequencia,0)),0)&gt;0,(ano_ref*12+12)-(YEAR(Planos!$G56)*12+MONTH(Planos!$G56))&gt;0,MOD((ano_ref*12+12)-(YEAR(Planos!$G56)*12+MONTH(Planos!$G56)),MAX(1,IFERROR(INDEX(lst_frequencia_meses,MATCH(Planos!$E56,lst_frequencia,0)),0)))=0),"●","")))</f>
      </c>
      <c r="P57" s="44">
        <f>IF(COUNTIF(D57:O57,"✔")+COUNTIF(D57:O57,"●")=0,"",COUNTIF(D57:O57,"✔")/(COUNTIF(D57:O57,"✔")+COUNTIF(D57:O57,"●")))</f>
      </c>
    </row>
    <row r="58" spans="1:16" x14ac:dyDescent="0.25">
      <c r="A58" s="43">
        <f>IF(Planos!$A57&lt;&gt;"",Planos!A57&amp;"","")</f>
      </c>
      <c r="B58" s="43">
        <f>IF(Planos!$A57&lt;&gt;"",Planos!B57&amp;"","")</f>
      </c>
      <c r="C58" s="24">
        <f>IF(Planos!$A57&lt;&gt;"",Planos!C57&amp;"","")</f>
      </c>
      <c r="D58" s="43">
        <f>IF(NOT(Planos!$A57&lt;&gt;""),"",IF(COUNTIFS(Programação!$B$4:$B$503,Planos!$A57,Programação!$I$4:$I$503,"Concluído",Programação!$G$4:$G$503,"&gt;="&amp;DATE(ano_ref,1,1),Programação!$G$4:$G$503,"&lt;="&amp;EOMONTH(DATE(ano_ref,1,1),0))&gt;0,"✔",IF(AND(ISNUMBER(Planos!$G57),IFERROR(INDEX(lst_frequencia_meses,MATCH(Planos!$E57,lst_frequencia,0)),0)&gt;0,(ano_ref*12+1)-(YEAR(Planos!$G57)*12+MONTH(Planos!$G57))&gt;0,MOD((ano_ref*12+1)-(YEAR(Planos!$G57)*12+MONTH(Planos!$G57)),MAX(1,IFERROR(INDEX(lst_frequencia_meses,MATCH(Planos!$E57,lst_frequencia,0)),0)))=0),"●","")))</f>
      </c>
      <c r="E58" s="43">
        <f>IF(NOT(Planos!$A57&lt;&gt;""),"",IF(COUNTIFS(Programação!$B$4:$B$503,Planos!$A57,Programação!$I$4:$I$503,"Concluído",Programação!$G$4:$G$503,"&gt;="&amp;DATE(ano_ref,2,1),Programação!$G$4:$G$503,"&lt;="&amp;EOMONTH(DATE(ano_ref,2,1),0))&gt;0,"✔",IF(AND(ISNUMBER(Planos!$G57),IFERROR(INDEX(lst_frequencia_meses,MATCH(Planos!$E57,lst_frequencia,0)),0)&gt;0,(ano_ref*12+2)-(YEAR(Planos!$G57)*12+MONTH(Planos!$G57))&gt;0,MOD((ano_ref*12+2)-(YEAR(Planos!$G57)*12+MONTH(Planos!$G57)),MAX(1,IFERROR(INDEX(lst_frequencia_meses,MATCH(Planos!$E57,lst_frequencia,0)),0)))=0),"●","")))</f>
      </c>
      <c r="F58" s="43">
        <f>IF(NOT(Planos!$A57&lt;&gt;""),"",IF(COUNTIFS(Programação!$B$4:$B$503,Planos!$A57,Programação!$I$4:$I$503,"Concluído",Programação!$G$4:$G$503,"&gt;="&amp;DATE(ano_ref,3,1),Programação!$G$4:$G$503,"&lt;="&amp;EOMONTH(DATE(ano_ref,3,1),0))&gt;0,"✔",IF(AND(ISNUMBER(Planos!$G57),IFERROR(INDEX(lst_frequencia_meses,MATCH(Planos!$E57,lst_frequencia,0)),0)&gt;0,(ano_ref*12+3)-(YEAR(Planos!$G57)*12+MONTH(Planos!$G57))&gt;0,MOD((ano_ref*12+3)-(YEAR(Planos!$G57)*12+MONTH(Planos!$G57)),MAX(1,IFERROR(INDEX(lst_frequencia_meses,MATCH(Planos!$E57,lst_frequencia,0)),0)))=0),"●","")))</f>
      </c>
      <c r="G58" s="43">
        <f>IF(NOT(Planos!$A57&lt;&gt;""),"",IF(COUNTIFS(Programação!$B$4:$B$503,Planos!$A57,Programação!$I$4:$I$503,"Concluído",Programação!$G$4:$G$503,"&gt;="&amp;DATE(ano_ref,4,1),Programação!$G$4:$G$503,"&lt;="&amp;EOMONTH(DATE(ano_ref,4,1),0))&gt;0,"✔",IF(AND(ISNUMBER(Planos!$G57),IFERROR(INDEX(lst_frequencia_meses,MATCH(Planos!$E57,lst_frequencia,0)),0)&gt;0,(ano_ref*12+4)-(YEAR(Planos!$G57)*12+MONTH(Planos!$G57))&gt;0,MOD((ano_ref*12+4)-(YEAR(Planos!$G57)*12+MONTH(Planos!$G57)),MAX(1,IFERROR(INDEX(lst_frequencia_meses,MATCH(Planos!$E57,lst_frequencia,0)),0)))=0),"●","")))</f>
      </c>
      <c r="H58" s="43">
        <f>IF(NOT(Planos!$A57&lt;&gt;""),"",IF(COUNTIFS(Programação!$B$4:$B$503,Planos!$A57,Programação!$I$4:$I$503,"Concluído",Programação!$G$4:$G$503,"&gt;="&amp;DATE(ano_ref,5,1),Programação!$G$4:$G$503,"&lt;="&amp;EOMONTH(DATE(ano_ref,5,1),0))&gt;0,"✔",IF(AND(ISNUMBER(Planos!$G57),IFERROR(INDEX(lst_frequencia_meses,MATCH(Planos!$E57,lst_frequencia,0)),0)&gt;0,(ano_ref*12+5)-(YEAR(Planos!$G57)*12+MONTH(Planos!$G57))&gt;0,MOD((ano_ref*12+5)-(YEAR(Planos!$G57)*12+MONTH(Planos!$G57)),MAX(1,IFERROR(INDEX(lst_frequencia_meses,MATCH(Planos!$E57,lst_frequencia,0)),0)))=0),"●","")))</f>
      </c>
      <c r="I58" s="43">
        <f>IF(NOT(Planos!$A57&lt;&gt;""),"",IF(COUNTIFS(Programação!$B$4:$B$503,Planos!$A57,Programação!$I$4:$I$503,"Concluído",Programação!$G$4:$G$503,"&gt;="&amp;DATE(ano_ref,6,1),Programação!$G$4:$G$503,"&lt;="&amp;EOMONTH(DATE(ano_ref,6,1),0))&gt;0,"✔",IF(AND(ISNUMBER(Planos!$G57),IFERROR(INDEX(lst_frequencia_meses,MATCH(Planos!$E57,lst_frequencia,0)),0)&gt;0,(ano_ref*12+6)-(YEAR(Planos!$G57)*12+MONTH(Planos!$G57))&gt;0,MOD((ano_ref*12+6)-(YEAR(Planos!$G57)*12+MONTH(Planos!$G57)),MAX(1,IFERROR(INDEX(lst_frequencia_meses,MATCH(Planos!$E57,lst_frequencia,0)),0)))=0),"●","")))</f>
      </c>
      <c r="J58" s="43">
        <f>IF(NOT(Planos!$A57&lt;&gt;""),"",IF(COUNTIFS(Programação!$B$4:$B$503,Planos!$A57,Programação!$I$4:$I$503,"Concluído",Programação!$G$4:$G$503,"&gt;="&amp;DATE(ano_ref,7,1),Programação!$G$4:$G$503,"&lt;="&amp;EOMONTH(DATE(ano_ref,7,1),0))&gt;0,"✔",IF(AND(ISNUMBER(Planos!$G57),IFERROR(INDEX(lst_frequencia_meses,MATCH(Planos!$E57,lst_frequencia,0)),0)&gt;0,(ano_ref*12+7)-(YEAR(Planos!$G57)*12+MONTH(Planos!$G57))&gt;0,MOD((ano_ref*12+7)-(YEAR(Planos!$G57)*12+MONTH(Planos!$G57)),MAX(1,IFERROR(INDEX(lst_frequencia_meses,MATCH(Planos!$E57,lst_frequencia,0)),0)))=0),"●","")))</f>
      </c>
      <c r="K58" s="43">
        <f>IF(NOT(Planos!$A57&lt;&gt;""),"",IF(COUNTIFS(Programação!$B$4:$B$503,Planos!$A57,Programação!$I$4:$I$503,"Concluído",Programação!$G$4:$G$503,"&gt;="&amp;DATE(ano_ref,8,1),Programação!$G$4:$G$503,"&lt;="&amp;EOMONTH(DATE(ano_ref,8,1),0))&gt;0,"✔",IF(AND(ISNUMBER(Planos!$G57),IFERROR(INDEX(lst_frequencia_meses,MATCH(Planos!$E57,lst_frequencia,0)),0)&gt;0,(ano_ref*12+8)-(YEAR(Planos!$G57)*12+MONTH(Planos!$G57))&gt;0,MOD((ano_ref*12+8)-(YEAR(Planos!$G57)*12+MONTH(Planos!$G57)),MAX(1,IFERROR(INDEX(lst_frequencia_meses,MATCH(Planos!$E57,lst_frequencia,0)),0)))=0),"●","")))</f>
      </c>
      <c r="L58" s="43">
        <f>IF(NOT(Planos!$A57&lt;&gt;""),"",IF(COUNTIFS(Programação!$B$4:$B$503,Planos!$A57,Programação!$I$4:$I$503,"Concluído",Programação!$G$4:$G$503,"&gt;="&amp;DATE(ano_ref,9,1),Programação!$G$4:$G$503,"&lt;="&amp;EOMONTH(DATE(ano_ref,9,1),0))&gt;0,"✔",IF(AND(ISNUMBER(Planos!$G57),IFERROR(INDEX(lst_frequencia_meses,MATCH(Planos!$E57,lst_frequencia,0)),0)&gt;0,(ano_ref*12+9)-(YEAR(Planos!$G57)*12+MONTH(Planos!$G57))&gt;0,MOD((ano_ref*12+9)-(YEAR(Planos!$G57)*12+MONTH(Planos!$G57)),MAX(1,IFERROR(INDEX(lst_frequencia_meses,MATCH(Planos!$E57,lst_frequencia,0)),0)))=0),"●","")))</f>
      </c>
      <c r="M58" s="43">
        <f>IF(NOT(Planos!$A57&lt;&gt;""),"",IF(COUNTIFS(Programação!$B$4:$B$503,Planos!$A57,Programação!$I$4:$I$503,"Concluído",Programação!$G$4:$G$503,"&gt;="&amp;DATE(ano_ref,10,1),Programação!$G$4:$G$503,"&lt;="&amp;EOMONTH(DATE(ano_ref,10,1),0))&gt;0,"✔",IF(AND(ISNUMBER(Planos!$G57),IFERROR(INDEX(lst_frequencia_meses,MATCH(Planos!$E57,lst_frequencia,0)),0)&gt;0,(ano_ref*12+10)-(YEAR(Planos!$G57)*12+MONTH(Planos!$G57))&gt;0,MOD((ano_ref*12+10)-(YEAR(Planos!$G57)*12+MONTH(Planos!$G57)),MAX(1,IFERROR(INDEX(lst_frequencia_meses,MATCH(Planos!$E57,lst_frequencia,0)),0)))=0),"●","")))</f>
      </c>
      <c r="N58" s="43">
        <f>IF(NOT(Planos!$A57&lt;&gt;""),"",IF(COUNTIFS(Programação!$B$4:$B$503,Planos!$A57,Programação!$I$4:$I$503,"Concluído",Programação!$G$4:$G$503,"&gt;="&amp;DATE(ano_ref,11,1),Programação!$G$4:$G$503,"&lt;="&amp;EOMONTH(DATE(ano_ref,11,1),0))&gt;0,"✔",IF(AND(ISNUMBER(Planos!$G57),IFERROR(INDEX(lst_frequencia_meses,MATCH(Planos!$E57,lst_frequencia,0)),0)&gt;0,(ano_ref*12+11)-(YEAR(Planos!$G57)*12+MONTH(Planos!$G57))&gt;0,MOD((ano_ref*12+11)-(YEAR(Planos!$G57)*12+MONTH(Planos!$G57)),MAX(1,IFERROR(INDEX(lst_frequencia_meses,MATCH(Planos!$E57,lst_frequencia,0)),0)))=0),"●","")))</f>
      </c>
      <c r="O58" s="43">
        <f>IF(NOT(Planos!$A57&lt;&gt;""),"",IF(COUNTIFS(Programação!$B$4:$B$503,Planos!$A57,Programação!$I$4:$I$503,"Concluído",Programação!$G$4:$G$503,"&gt;="&amp;DATE(ano_ref,12,1),Programação!$G$4:$G$503,"&lt;="&amp;EOMONTH(DATE(ano_ref,12,1),0))&gt;0,"✔",IF(AND(ISNUMBER(Planos!$G57),IFERROR(INDEX(lst_frequencia_meses,MATCH(Planos!$E57,lst_frequencia,0)),0)&gt;0,(ano_ref*12+12)-(YEAR(Planos!$G57)*12+MONTH(Planos!$G57))&gt;0,MOD((ano_ref*12+12)-(YEAR(Planos!$G57)*12+MONTH(Planos!$G57)),MAX(1,IFERROR(INDEX(lst_frequencia_meses,MATCH(Planos!$E57,lst_frequencia,0)),0)))=0),"●","")))</f>
      </c>
      <c r="P58" s="44">
        <f>IF(COUNTIF(D58:O58,"✔")+COUNTIF(D58:O58,"●")=0,"",COUNTIF(D58:O58,"✔")/(COUNTIF(D58:O58,"✔")+COUNTIF(D58:O58,"●")))</f>
      </c>
    </row>
    <row r="59" spans="1:16" x14ac:dyDescent="0.25">
      <c r="A59" s="43">
        <f>IF(Planos!$A58&lt;&gt;"",Planos!A58&amp;"","")</f>
      </c>
      <c r="B59" s="43">
        <f>IF(Planos!$A58&lt;&gt;"",Planos!B58&amp;"","")</f>
      </c>
      <c r="C59" s="24">
        <f>IF(Planos!$A58&lt;&gt;"",Planos!C58&amp;"","")</f>
      </c>
      <c r="D59" s="43">
        <f>IF(NOT(Planos!$A58&lt;&gt;""),"",IF(COUNTIFS(Programação!$B$4:$B$503,Planos!$A58,Programação!$I$4:$I$503,"Concluído",Programação!$G$4:$G$503,"&gt;="&amp;DATE(ano_ref,1,1),Programação!$G$4:$G$503,"&lt;="&amp;EOMONTH(DATE(ano_ref,1,1),0))&gt;0,"✔",IF(AND(ISNUMBER(Planos!$G58),IFERROR(INDEX(lst_frequencia_meses,MATCH(Planos!$E58,lst_frequencia,0)),0)&gt;0,(ano_ref*12+1)-(YEAR(Planos!$G58)*12+MONTH(Planos!$G58))&gt;0,MOD((ano_ref*12+1)-(YEAR(Planos!$G58)*12+MONTH(Planos!$G58)),MAX(1,IFERROR(INDEX(lst_frequencia_meses,MATCH(Planos!$E58,lst_frequencia,0)),0)))=0),"●","")))</f>
      </c>
      <c r="E59" s="43">
        <f>IF(NOT(Planos!$A58&lt;&gt;""),"",IF(COUNTIFS(Programação!$B$4:$B$503,Planos!$A58,Programação!$I$4:$I$503,"Concluído",Programação!$G$4:$G$503,"&gt;="&amp;DATE(ano_ref,2,1),Programação!$G$4:$G$503,"&lt;="&amp;EOMONTH(DATE(ano_ref,2,1),0))&gt;0,"✔",IF(AND(ISNUMBER(Planos!$G58),IFERROR(INDEX(lst_frequencia_meses,MATCH(Planos!$E58,lst_frequencia,0)),0)&gt;0,(ano_ref*12+2)-(YEAR(Planos!$G58)*12+MONTH(Planos!$G58))&gt;0,MOD((ano_ref*12+2)-(YEAR(Planos!$G58)*12+MONTH(Planos!$G58)),MAX(1,IFERROR(INDEX(lst_frequencia_meses,MATCH(Planos!$E58,lst_frequencia,0)),0)))=0),"●","")))</f>
      </c>
      <c r="F59" s="43">
        <f>IF(NOT(Planos!$A58&lt;&gt;""),"",IF(COUNTIFS(Programação!$B$4:$B$503,Planos!$A58,Programação!$I$4:$I$503,"Concluído",Programação!$G$4:$G$503,"&gt;="&amp;DATE(ano_ref,3,1),Programação!$G$4:$G$503,"&lt;="&amp;EOMONTH(DATE(ano_ref,3,1),0))&gt;0,"✔",IF(AND(ISNUMBER(Planos!$G58),IFERROR(INDEX(lst_frequencia_meses,MATCH(Planos!$E58,lst_frequencia,0)),0)&gt;0,(ano_ref*12+3)-(YEAR(Planos!$G58)*12+MONTH(Planos!$G58))&gt;0,MOD((ano_ref*12+3)-(YEAR(Planos!$G58)*12+MONTH(Planos!$G58)),MAX(1,IFERROR(INDEX(lst_frequencia_meses,MATCH(Planos!$E58,lst_frequencia,0)),0)))=0),"●","")))</f>
      </c>
      <c r="G59" s="43">
        <f>IF(NOT(Planos!$A58&lt;&gt;""),"",IF(COUNTIFS(Programação!$B$4:$B$503,Planos!$A58,Programação!$I$4:$I$503,"Concluído",Programação!$G$4:$G$503,"&gt;="&amp;DATE(ano_ref,4,1),Programação!$G$4:$G$503,"&lt;="&amp;EOMONTH(DATE(ano_ref,4,1),0))&gt;0,"✔",IF(AND(ISNUMBER(Planos!$G58),IFERROR(INDEX(lst_frequencia_meses,MATCH(Planos!$E58,lst_frequencia,0)),0)&gt;0,(ano_ref*12+4)-(YEAR(Planos!$G58)*12+MONTH(Planos!$G58))&gt;0,MOD((ano_ref*12+4)-(YEAR(Planos!$G58)*12+MONTH(Planos!$G58)),MAX(1,IFERROR(INDEX(lst_frequencia_meses,MATCH(Planos!$E58,lst_frequencia,0)),0)))=0),"●","")))</f>
      </c>
      <c r="H59" s="43">
        <f>IF(NOT(Planos!$A58&lt;&gt;""),"",IF(COUNTIFS(Programação!$B$4:$B$503,Planos!$A58,Programação!$I$4:$I$503,"Concluído",Programação!$G$4:$G$503,"&gt;="&amp;DATE(ano_ref,5,1),Programação!$G$4:$G$503,"&lt;="&amp;EOMONTH(DATE(ano_ref,5,1),0))&gt;0,"✔",IF(AND(ISNUMBER(Planos!$G58),IFERROR(INDEX(lst_frequencia_meses,MATCH(Planos!$E58,lst_frequencia,0)),0)&gt;0,(ano_ref*12+5)-(YEAR(Planos!$G58)*12+MONTH(Planos!$G58))&gt;0,MOD((ano_ref*12+5)-(YEAR(Planos!$G58)*12+MONTH(Planos!$G58)),MAX(1,IFERROR(INDEX(lst_frequencia_meses,MATCH(Planos!$E58,lst_frequencia,0)),0)))=0),"●","")))</f>
      </c>
      <c r="I59" s="43">
        <f>IF(NOT(Planos!$A58&lt;&gt;""),"",IF(COUNTIFS(Programação!$B$4:$B$503,Planos!$A58,Programação!$I$4:$I$503,"Concluído",Programação!$G$4:$G$503,"&gt;="&amp;DATE(ano_ref,6,1),Programação!$G$4:$G$503,"&lt;="&amp;EOMONTH(DATE(ano_ref,6,1),0))&gt;0,"✔",IF(AND(ISNUMBER(Planos!$G58),IFERROR(INDEX(lst_frequencia_meses,MATCH(Planos!$E58,lst_frequencia,0)),0)&gt;0,(ano_ref*12+6)-(YEAR(Planos!$G58)*12+MONTH(Planos!$G58))&gt;0,MOD((ano_ref*12+6)-(YEAR(Planos!$G58)*12+MONTH(Planos!$G58)),MAX(1,IFERROR(INDEX(lst_frequencia_meses,MATCH(Planos!$E58,lst_frequencia,0)),0)))=0),"●","")))</f>
      </c>
      <c r="J59" s="43">
        <f>IF(NOT(Planos!$A58&lt;&gt;""),"",IF(COUNTIFS(Programação!$B$4:$B$503,Planos!$A58,Programação!$I$4:$I$503,"Concluído",Programação!$G$4:$G$503,"&gt;="&amp;DATE(ano_ref,7,1),Programação!$G$4:$G$503,"&lt;="&amp;EOMONTH(DATE(ano_ref,7,1),0))&gt;0,"✔",IF(AND(ISNUMBER(Planos!$G58),IFERROR(INDEX(lst_frequencia_meses,MATCH(Planos!$E58,lst_frequencia,0)),0)&gt;0,(ano_ref*12+7)-(YEAR(Planos!$G58)*12+MONTH(Planos!$G58))&gt;0,MOD((ano_ref*12+7)-(YEAR(Planos!$G58)*12+MONTH(Planos!$G58)),MAX(1,IFERROR(INDEX(lst_frequencia_meses,MATCH(Planos!$E58,lst_frequencia,0)),0)))=0),"●","")))</f>
      </c>
      <c r="K59" s="43">
        <f>IF(NOT(Planos!$A58&lt;&gt;""),"",IF(COUNTIFS(Programação!$B$4:$B$503,Planos!$A58,Programação!$I$4:$I$503,"Concluído",Programação!$G$4:$G$503,"&gt;="&amp;DATE(ano_ref,8,1),Programação!$G$4:$G$503,"&lt;="&amp;EOMONTH(DATE(ano_ref,8,1),0))&gt;0,"✔",IF(AND(ISNUMBER(Planos!$G58),IFERROR(INDEX(lst_frequencia_meses,MATCH(Planos!$E58,lst_frequencia,0)),0)&gt;0,(ano_ref*12+8)-(YEAR(Planos!$G58)*12+MONTH(Planos!$G58))&gt;0,MOD((ano_ref*12+8)-(YEAR(Planos!$G58)*12+MONTH(Planos!$G58)),MAX(1,IFERROR(INDEX(lst_frequencia_meses,MATCH(Planos!$E58,lst_frequencia,0)),0)))=0),"●","")))</f>
      </c>
      <c r="L59" s="43">
        <f>IF(NOT(Planos!$A58&lt;&gt;""),"",IF(COUNTIFS(Programação!$B$4:$B$503,Planos!$A58,Programação!$I$4:$I$503,"Concluído",Programação!$G$4:$G$503,"&gt;="&amp;DATE(ano_ref,9,1),Programação!$G$4:$G$503,"&lt;="&amp;EOMONTH(DATE(ano_ref,9,1),0))&gt;0,"✔",IF(AND(ISNUMBER(Planos!$G58),IFERROR(INDEX(lst_frequencia_meses,MATCH(Planos!$E58,lst_frequencia,0)),0)&gt;0,(ano_ref*12+9)-(YEAR(Planos!$G58)*12+MONTH(Planos!$G58))&gt;0,MOD((ano_ref*12+9)-(YEAR(Planos!$G58)*12+MONTH(Planos!$G58)),MAX(1,IFERROR(INDEX(lst_frequencia_meses,MATCH(Planos!$E58,lst_frequencia,0)),0)))=0),"●","")))</f>
      </c>
      <c r="M59" s="43">
        <f>IF(NOT(Planos!$A58&lt;&gt;""),"",IF(COUNTIFS(Programação!$B$4:$B$503,Planos!$A58,Programação!$I$4:$I$503,"Concluído",Programação!$G$4:$G$503,"&gt;="&amp;DATE(ano_ref,10,1),Programação!$G$4:$G$503,"&lt;="&amp;EOMONTH(DATE(ano_ref,10,1),0))&gt;0,"✔",IF(AND(ISNUMBER(Planos!$G58),IFERROR(INDEX(lst_frequencia_meses,MATCH(Planos!$E58,lst_frequencia,0)),0)&gt;0,(ano_ref*12+10)-(YEAR(Planos!$G58)*12+MONTH(Planos!$G58))&gt;0,MOD((ano_ref*12+10)-(YEAR(Planos!$G58)*12+MONTH(Planos!$G58)),MAX(1,IFERROR(INDEX(lst_frequencia_meses,MATCH(Planos!$E58,lst_frequencia,0)),0)))=0),"●","")))</f>
      </c>
      <c r="N59" s="43">
        <f>IF(NOT(Planos!$A58&lt;&gt;""),"",IF(COUNTIFS(Programação!$B$4:$B$503,Planos!$A58,Programação!$I$4:$I$503,"Concluído",Programação!$G$4:$G$503,"&gt;="&amp;DATE(ano_ref,11,1),Programação!$G$4:$G$503,"&lt;="&amp;EOMONTH(DATE(ano_ref,11,1),0))&gt;0,"✔",IF(AND(ISNUMBER(Planos!$G58),IFERROR(INDEX(lst_frequencia_meses,MATCH(Planos!$E58,lst_frequencia,0)),0)&gt;0,(ano_ref*12+11)-(YEAR(Planos!$G58)*12+MONTH(Planos!$G58))&gt;0,MOD((ano_ref*12+11)-(YEAR(Planos!$G58)*12+MONTH(Planos!$G58)),MAX(1,IFERROR(INDEX(lst_frequencia_meses,MATCH(Planos!$E58,lst_frequencia,0)),0)))=0),"●","")))</f>
      </c>
      <c r="O59" s="43">
        <f>IF(NOT(Planos!$A58&lt;&gt;""),"",IF(COUNTIFS(Programação!$B$4:$B$503,Planos!$A58,Programação!$I$4:$I$503,"Concluído",Programação!$G$4:$G$503,"&gt;="&amp;DATE(ano_ref,12,1),Programação!$G$4:$G$503,"&lt;="&amp;EOMONTH(DATE(ano_ref,12,1),0))&gt;0,"✔",IF(AND(ISNUMBER(Planos!$G58),IFERROR(INDEX(lst_frequencia_meses,MATCH(Planos!$E58,lst_frequencia,0)),0)&gt;0,(ano_ref*12+12)-(YEAR(Planos!$G58)*12+MONTH(Planos!$G58))&gt;0,MOD((ano_ref*12+12)-(YEAR(Planos!$G58)*12+MONTH(Planos!$G58)),MAX(1,IFERROR(INDEX(lst_frequencia_meses,MATCH(Planos!$E58,lst_frequencia,0)),0)))=0),"●","")))</f>
      </c>
      <c r="P59" s="44">
        <f>IF(COUNTIF(D59:O59,"✔")+COUNTIF(D59:O59,"●")=0,"",COUNTIF(D59:O59,"✔")/(COUNTIF(D59:O59,"✔")+COUNTIF(D59:O59,"●")))</f>
      </c>
    </row>
    <row r="60" spans="1:16" x14ac:dyDescent="0.25">
      <c r="A60" s="43">
        <f>IF(Planos!$A59&lt;&gt;"",Planos!A59&amp;"","")</f>
      </c>
      <c r="B60" s="43">
        <f>IF(Planos!$A59&lt;&gt;"",Planos!B59&amp;"","")</f>
      </c>
      <c r="C60" s="24">
        <f>IF(Planos!$A59&lt;&gt;"",Planos!C59&amp;"","")</f>
      </c>
      <c r="D60" s="43">
        <f>IF(NOT(Planos!$A59&lt;&gt;""),"",IF(COUNTIFS(Programação!$B$4:$B$503,Planos!$A59,Programação!$I$4:$I$503,"Concluído",Programação!$G$4:$G$503,"&gt;="&amp;DATE(ano_ref,1,1),Programação!$G$4:$G$503,"&lt;="&amp;EOMONTH(DATE(ano_ref,1,1),0))&gt;0,"✔",IF(AND(ISNUMBER(Planos!$G59),IFERROR(INDEX(lst_frequencia_meses,MATCH(Planos!$E59,lst_frequencia,0)),0)&gt;0,(ano_ref*12+1)-(YEAR(Planos!$G59)*12+MONTH(Planos!$G59))&gt;0,MOD((ano_ref*12+1)-(YEAR(Planos!$G59)*12+MONTH(Planos!$G59)),MAX(1,IFERROR(INDEX(lst_frequencia_meses,MATCH(Planos!$E59,lst_frequencia,0)),0)))=0),"●","")))</f>
      </c>
      <c r="E60" s="43">
        <f>IF(NOT(Planos!$A59&lt;&gt;""),"",IF(COUNTIFS(Programação!$B$4:$B$503,Planos!$A59,Programação!$I$4:$I$503,"Concluído",Programação!$G$4:$G$503,"&gt;="&amp;DATE(ano_ref,2,1),Programação!$G$4:$G$503,"&lt;="&amp;EOMONTH(DATE(ano_ref,2,1),0))&gt;0,"✔",IF(AND(ISNUMBER(Planos!$G59),IFERROR(INDEX(lst_frequencia_meses,MATCH(Planos!$E59,lst_frequencia,0)),0)&gt;0,(ano_ref*12+2)-(YEAR(Planos!$G59)*12+MONTH(Planos!$G59))&gt;0,MOD((ano_ref*12+2)-(YEAR(Planos!$G59)*12+MONTH(Planos!$G59)),MAX(1,IFERROR(INDEX(lst_frequencia_meses,MATCH(Planos!$E59,lst_frequencia,0)),0)))=0),"●","")))</f>
      </c>
      <c r="F60" s="43">
        <f>IF(NOT(Planos!$A59&lt;&gt;""),"",IF(COUNTIFS(Programação!$B$4:$B$503,Planos!$A59,Programação!$I$4:$I$503,"Concluído",Programação!$G$4:$G$503,"&gt;="&amp;DATE(ano_ref,3,1),Programação!$G$4:$G$503,"&lt;="&amp;EOMONTH(DATE(ano_ref,3,1),0))&gt;0,"✔",IF(AND(ISNUMBER(Planos!$G59),IFERROR(INDEX(lst_frequencia_meses,MATCH(Planos!$E59,lst_frequencia,0)),0)&gt;0,(ano_ref*12+3)-(YEAR(Planos!$G59)*12+MONTH(Planos!$G59))&gt;0,MOD((ano_ref*12+3)-(YEAR(Planos!$G59)*12+MONTH(Planos!$G59)),MAX(1,IFERROR(INDEX(lst_frequencia_meses,MATCH(Planos!$E59,lst_frequencia,0)),0)))=0),"●","")))</f>
      </c>
      <c r="G60" s="43">
        <f>IF(NOT(Planos!$A59&lt;&gt;""),"",IF(COUNTIFS(Programação!$B$4:$B$503,Planos!$A59,Programação!$I$4:$I$503,"Concluído",Programação!$G$4:$G$503,"&gt;="&amp;DATE(ano_ref,4,1),Programação!$G$4:$G$503,"&lt;="&amp;EOMONTH(DATE(ano_ref,4,1),0))&gt;0,"✔",IF(AND(ISNUMBER(Planos!$G59),IFERROR(INDEX(lst_frequencia_meses,MATCH(Planos!$E59,lst_frequencia,0)),0)&gt;0,(ano_ref*12+4)-(YEAR(Planos!$G59)*12+MONTH(Planos!$G59))&gt;0,MOD((ano_ref*12+4)-(YEAR(Planos!$G59)*12+MONTH(Planos!$G59)),MAX(1,IFERROR(INDEX(lst_frequencia_meses,MATCH(Planos!$E59,lst_frequencia,0)),0)))=0),"●","")))</f>
      </c>
      <c r="H60" s="43">
        <f>IF(NOT(Planos!$A59&lt;&gt;""),"",IF(COUNTIFS(Programação!$B$4:$B$503,Planos!$A59,Programação!$I$4:$I$503,"Concluído",Programação!$G$4:$G$503,"&gt;="&amp;DATE(ano_ref,5,1),Programação!$G$4:$G$503,"&lt;="&amp;EOMONTH(DATE(ano_ref,5,1),0))&gt;0,"✔",IF(AND(ISNUMBER(Planos!$G59),IFERROR(INDEX(lst_frequencia_meses,MATCH(Planos!$E59,lst_frequencia,0)),0)&gt;0,(ano_ref*12+5)-(YEAR(Planos!$G59)*12+MONTH(Planos!$G59))&gt;0,MOD((ano_ref*12+5)-(YEAR(Planos!$G59)*12+MONTH(Planos!$G59)),MAX(1,IFERROR(INDEX(lst_frequencia_meses,MATCH(Planos!$E59,lst_frequencia,0)),0)))=0),"●","")))</f>
      </c>
      <c r="I60" s="43">
        <f>IF(NOT(Planos!$A59&lt;&gt;""),"",IF(COUNTIFS(Programação!$B$4:$B$503,Planos!$A59,Programação!$I$4:$I$503,"Concluído",Programação!$G$4:$G$503,"&gt;="&amp;DATE(ano_ref,6,1),Programação!$G$4:$G$503,"&lt;="&amp;EOMONTH(DATE(ano_ref,6,1),0))&gt;0,"✔",IF(AND(ISNUMBER(Planos!$G59),IFERROR(INDEX(lst_frequencia_meses,MATCH(Planos!$E59,lst_frequencia,0)),0)&gt;0,(ano_ref*12+6)-(YEAR(Planos!$G59)*12+MONTH(Planos!$G59))&gt;0,MOD((ano_ref*12+6)-(YEAR(Planos!$G59)*12+MONTH(Planos!$G59)),MAX(1,IFERROR(INDEX(lst_frequencia_meses,MATCH(Planos!$E59,lst_frequencia,0)),0)))=0),"●","")))</f>
      </c>
      <c r="J60" s="43">
        <f>IF(NOT(Planos!$A59&lt;&gt;""),"",IF(COUNTIFS(Programação!$B$4:$B$503,Planos!$A59,Programação!$I$4:$I$503,"Concluído",Programação!$G$4:$G$503,"&gt;="&amp;DATE(ano_ref,7,1),Programação!$G$4:$G$503,"&lt;="&amp;EOMONTH(DATE(ano_ref,7,1),0))&gt;0,"✔",IF(AND(ISNUMBER(Planos!$G59),IFERROR(INDEX(lst_frequencia_meses,MATCH(Planos!$E59,lst_frequencia,0)),0)&gt;0,(ano_ref*12+7)-(YEAR(Planos!$G59)*12+MONTH(Planos!$G59))&gt;0,MOD((ano_ref*12+7)-(YEAR(Planos!$G59)*12+MONTH(Planos!$G59)),MAX(1,IFERROR(INDEX(lst_frequencia_meses,MATCH(Planos!$E59,lst_frequencia,0)),0)))=0),"●","")))</f>
      </c>
      <c r="K60" s="43">
        <f>IF(NOT(Planos!$A59&lt;&gt;""),"",IF(COUNTIFS(Programação!$B$4:$B$503,Planos!$A59,Programação!$I$4:$I$503,"Concluído",Programação!$G$4:$G$503,"&gt;="&amp;DATE(ano_ref,8,1),Programação!$G$4:$G$503,"&lt;="&amp;EOMONTH(DATE(ano_ref,8,1),0))&gt;0,"✔",IF(AND(ISNUMBER(Planos!$G59),IFERROR(INDEX(lst_frequencia_meses,MATCH(Planos!$E59,lst_frequencia,0)),0)&gt;0,(ano_ref*12+8)-(YEAR(Planos!$G59)*12+MONTH(Planos!$G59))&gt;0,MOD((ano_ref*12+8)-(YEAR(Planos!$G59)*12+MONTH(Planos!$G59)),MAX(1,IFERROR(INDEX(lst_frequencia_meses,MATCH(Planos!$E59,lst_frequencia,0)),0)))=0),"●","")))</f>
      </c>
      <c r="L60" s="43">
        <f>IF(NOT(Planos!$A59&lt;&gt;""),"",IF(COUNTIFS(Programação!$B$4:$B$503,Planos!$A59,Programação!$I$4:$I$503,"Concluído",Programação!$G$4:$G$503,"&gt;="&amp;DATE(ano_ref,9,1),Programação!$G$4:$G$503,"&lt;="&amp;EOMONTH(DATE(ano_ref,9,1),0))&gt;0,"✔",IF(AND(ISNUMBER(Planos!$G59),IFERROR(INDEX(lst_frequencia_meses,MATCH(Planos!$E59,lst_frequencia,0)),0)&gt;0,(ano_ref*12+9)-(YEAR(Planos!$G59)*12+MONTH(Planos!$G59))&gt;0,MOD((ano_ref*12+9)-(YEAR(Planos!$G59)*12+MONTH(Planos!$G59)),MAX(1,IFERROR(INDEX(lst_frequencia_meses,MATCH(Planos!$E59,lst_frequencia,0)),0)))=0),"●","")))</f>
      </c>
      <c r="M60" s="43">
        <f>IF(NOT(Planos!$A59&lt;&gt;""),"",IF(COUNTIFS(Programação!$B$4:$B$503,Planos!$A59,Programação!$I$4:$I$503,"Concluído",Programação!$G$4:$G$503,"&gt;="&amp;DATE(ano_ref,10,1),Programação!$G$4:$G$503,"&lt;="&amp;EOMONTH(DATE(ano_ref,10,1),0))&gt;0,"✔",IF(AND(ISNUMBER(Planos!$G59),IFERROR(INDEX(lst_frequencia_meses,MATCH(Planos!$E59,lst_frequencia,0)),0)&gt;0,(ano_ref*12+10)-(YEAR(Planos!$G59)*12+MONTH(Planos!$G59))&gt;0,MOD((ano_ref*12+10)-(YEAR(Planos!$G59)*12+MONTH(Planos!$G59)),MAX(1,IFERROR(INDEX(lst_frequencia_meses,MATCH(Planos!$E59,lst_frequencia,0)),0)))=0),"●","")))</f>
      </c>
      <c r="N60" s="43">
        <f>IF(NOT(Planos!$A59&lt;&gt;""),"",IF(COUNTIFS(Programação!$B$4:$B$503,Planos!$A59,Programação!$I$4:$I$503,"Concluído",Programação!$G$4:$G$503,"&gt;="&amp;DATE(ano_ref,11,1),Programação!$G$4:$G$503,"&lt;="&amp;EOMONTH(DATE(ano_ref,11,1),0))&gt;0,"✔",IF(AND(ISNUMBER(Planos!$G59),IFERROR(INDEX(lst_frequencia_meses,MATCH(Planos!$E59,lst_frequencia,0)),0)&gt;0,(ano_ref*12+11)-(YEAR(Planos!$G59)*12+MONTH(Planos!$G59))&gt;0,MOD((ano_ref*12+11)-(YEAR(Planos!$G59)*12+MONTH(Planos!$G59)),MAX(1,IFERROR(INDEX(lst_frequencia_meses,MATCH(Planos!$E59,lst_frequencia,0)),0)))=0),"●","")))</f>
      </c>
      <c r="O60" s="43">
        <f>IF(NOT(Planos!$A59&lt;&gt;""),"",IF(COUNTIFS(Programação!$B$4:$B$503,Planos!$A59,Programação!$I$4:$I$503,"Concluído",Programação!$G$4:$G$503,"&gt;="&amp;DATE(ano_ref,12,1),Programação!$G$4:$G$503,"&lt;="&amp;EOMONTH(DATE(ano_ref,12,1),0))&gt;0,"✔",IF(AND(ISNUMBER(Planos!$G59),IFERROR(INDEX(lst_frequencia_meses,MATCH(Planos!$E59,lst_frequencia,0)),0)&gt;0,(ano_ref*12+12)-(YEAR(Planos!$G59)*12+MONTH(Planos!$G59))&gt;0,MOD((ano_ref*12+12)-(YEAR(Planos!$G59)*12+MONTH(Planos!$G59)),MAX(1,IFERROR(INDEX(lst_frequencia_meses,MATCH(Planos!$E59,lst_frequencia,0)),0)))=0),"●","")))</f>
      </c>
      <c r="P60" s="44">
        <f>IF(COUNTIF(D60:O60,"✔")+COUNTIF(D60:O60,"●")=0,"",COUNTIF(D60:O60,"✔")/(COUNTIF(D60:O60,"✔")+COUNTIF(D60:O60,"●")))</f>
      </c>
    </row>
    <row r="61" spans="1:16" x14ac:dyDescent="0.25">
      <c r="A61" s="43">
        <f>IF(Planos!$A60&lt;&gt;"",Planos!A60&amp;"","")</f>
      </c>
      <c r="B61" s="43">
        <f>IF(Planos!$A60&lt;&gt;"",Planos!B60&amp;"","")</f>
      </c>
      <c r="C61" s="24">
        <f>IF(Planos!$A60&lt;&gt;"",Planos!C60&amp;"","")</f>
      </c>
      <c r="D61" s="43">
        <f>IF(NOT(Planos!$A60&lt;&gt;""),"",IF(COUNTIFS(Programação!$B$4:$B$503,Planos!$A60,Programação!$I$4:$I$503,"Concluído",Programação!$G$4:$G$503,"&gt;="&amp;DATE(ano_ref,1,1),Programação!$G$4:$G$503,"&lt;="&amp;EOMONTH(DATE(ano_ref,1,1),0))&gt;0,"✔",IF(AND(ISNUMBER(Planos!$G60),IFERROR(INDEX(lst_frequencia_meses,MATCH(Planos!$E60,lst_frequencia,0)),0)&gt;0,(ano_ref*12+1)-(YEAR(Planos!$G60)*12+MONTH(Planos!$G60))&gt;0,MOD((ano_ref*12+1)-(YEAR(Planos!$G60)*12+MONTH(Planos!$G60)),MAX(1,IFERROR(INDEX(lst_frequencia_meses,MATCH(Planos!$E60,lst_frequencia,0)),0)))=0),"●","")))</f>
      </c>
      <c r="E61" s="43">
        <f>IF(NOT(Planos!$A60&lt;&gt;""),"",IF(COUNTIFS(Programação!$B$4:$B$503,Planos!$A60,Programação!$I$4:$I$503,"Concluído",Programação!$G$4:$G$503,"&gt;="&amp;DATE(ano_ref,2,1),Programação!$G$4:$G$503,"&lt;="&amp;EOMONTH(DATE(ano_ref,2,1),0))&gt;0,"✔",IF(AND(ISNUMBER(Planos!$G60),IFERROR(INDEX(lst_frequencia_meses,MATCH(Planos!$E60,lst_frequencia,0)),0)&gt;0,(ano_ref*12+2)-(YEAR(Planos!$G60)*12+MONTH(Planos!$G60))&gt;0,MOD((ano_ref*12+2)-(YEAR(Planos!$G60)*12+MONTH(Planos!$G60)),MAX(1,IFERROR(INDEX(lst_frequencia_meses,MATCH(Planos!$E60,lst_frequencia,0)),0)))=0),"●","")))</f>
      </c>
      <c r="F61" s="43">
        <f>IF(NOT(Planos!$A60&lt;&gt;""),"",IF(COUNTIFS(Programação!$B$4:$B$503,Planos!$A60,Programação!$I$4:$I$503,"Concluído",Programação!$G$4:$G$503,"&gt;="&amp;DATE(ano_ref,3,1),Programação!$G$4:$G$503,"&lt;="&amp;EOMONTH(DATE(ano_ref,3,1),0))&gt;0,"✔",IF(AND(ISNUMBER(Planos!$G60),IFERROR(INDEX(lst_frequencia_meses,MATCH(Planos!$E60,lst_frequencia,0)),0)&gt;0,(ano_ref*12+3)-(YEAR(Planos!$G60)*12+MONTH(Planos!$G60))&gt;0,MOD((ano_ref*12+3)-(YEAR(Planos!$G60)*12+MONTH(Planos!$G60)),MAX(1,IFERROR(INDEX(lst_frequencia_meses,MATCH(Planos!$E60,lst_frequencia,0)),0)))=0),"●","")))</f>
      </c>
      <c r="G61" s="43">
        <f>IF(NOT(Planos!$A60&lt;&gt;""),"",IF(COUNTIFS(Programação!$B$4:$B$503,Planos!$A60,Programação!$I$4:$I$503,"Concluído",Programação!$G$4:$G$503,"&gt;="&amp;DATE(ano_ref,4,1),Programação!$G$4:$G$503,"&lt;="&amp;EOMONTH(DATE(ano_ref,4,1),0))&gt;0,"✔",IF(AND(ISNUMBER(Planos!$G60),IFERROR(INDEX(lst_frequencia_meses,MATCH(Planos!$E60,lst_frequencia,0)),0)&gt;0,(ano_ref*12+4)-(YEAR(Planos!$G60)*12+MONTH(Planos!$G60))&gt;0,MOD((ano_ref*12+4)-(YEAR(Planos!$G60)*12+MONTH(Planos!$G60)),MAX(1,IFERROR(INDEX(lst_frequencia_meses,MATCH(Planos!$E60,lst_frequencia,0)),0)))=0),"●","")))</f>
      </c>
      <c r="H61" s="43">
        <f>IF(NOT(Planos!$A60&lt;&gt;""),"",IF(COUNTIFS(Programação!$B$4:$B$503,Planos!$A60,Programação!$I$4:$I$503,"Concluído",Programação!$G$4:$G$503,"&gt;="&amp;DATE(ano_ref,5,1),Programação!$G$4:$G$503,"&lt;="&amp;EOMONTH(DATE(ano_ref,5,1),0))&gt;0,"✔",IF(AND(ISNUMBER(Planos!$G60),IFERROR(INDEX(lst_frequencia_meses,MATCH(Planos!$E60,lst_frequencia,0)),0)&gt;0,(ano_ref*12+5)-(YEAR(Planos!$G60)*12+MONTH(Planos!$G60))&gt;0,MOD((ano_ref*12+5)-(YEAR(Planos!$G60)*12+MONTH(Planos!$G60)),MAX(1,IFERROR(INDEX(lst_frequencia_meses,MATCH(Planos!$E60,lst_frequencia,0)),0)))=0),"●","")))</f>
      </c>
      <c r="I61" s="43">
        <f>IF(NOT(Planos!$A60&lt;&gt;""),"",IF(COUNTIFS(Programação!$B$4:$B$503,Planos!$A60,Programação!$I$4:$I$503,"Concluído",Programação!$G$4:$G$503,"&gt;="&amp;DATE(ano_ref,6,1),Programação!$G$4:$G$503,"&lt;="&amp;EOMONTH(DATE(ano_ref,6,1),0))&gt;0,"✔",IF(AND(ISNUMBER(Planos!$G60),IFERROR(INDEX(lst_frequencia_meses,MATCH(Planos!$E60,lst_frequencia,0)),0)&gt;0,(ano_ref*12+6)-(YEAR(Planos!$G60)*12+MONTH(Planos!$G60))&gt;0,MOD((ano_ref*12+6)-(YEAR(Planos!$G60)*12+MONTH(Planos!$G60)),MAX(1,IFERROR(INDEX(lst_frequencia_meses,MATCH(Planos!$E60,lst_frequencia,0)),0)))=0),"●","")))</f>
      </c>
      <c r="J61" s="43">
        <f>IF(NOT(Planos!$A60&lt;&gt;""),"",IF(COUNTIFS(Programação!$B$4:$B$503,Planos!$A60,Programação!$I$4:$I$503,"Concluído",Programação!$G$4:$G$503,"&gt;="&amp;DATE(ano_ref,7,1),Programação!$G$4:$G$503,"&lt;="&amp;EOMONTH(DATE(ano_ref,7,1),0))&gt;0,"✔",IF(AND(ISNUMBER(Planos!$G60),IFERROR(INDEX(lst_frequencia_meses,MATCH(Planos!$E60,lst_frequencia,0)),0)&gt;0,(ano_ref*12+7)-(YEAR(Planos!$G60)*12+MONTH(Planos!$G60))&gt;0,MOD((ano_ref*12+7)-(YEAR(Planos!$G60)*12+MONTH(Planos!$G60)),MAX(1,IFERROR(INDEX(lst_frequencia_meses,MATCH(Planos!$E60,lst_frequencia,0)),0)))=0),"●","")))</f>
      </c>
      <c r="K61" s="43">
        <f>IF(NOT(Planos!$A60&lt;&gt;""),"",IF(COUNTIFS(Programação!$B$4:$B$503,Planos!$A60,Programação!$I$4:$I$503,"Concluído",Programação!$G$4:$G$503,"&gt;="&amp;DATE(ano_ref,8,1),Programação!$G$4:$G$503,"&lt;="&amp;EOMONTH(DATE(ano_ref,8,1),0))&gt;0,"✔",IF(AND(ISNUMBER(Planos!$G60),IFERROR(INDEX(lst_frequencia_meses,MATCH(Planos!$E60,lst_frequencia,0)),0)&gt;0,(ano_ref*12+8)-(YEAR(Planos!$G60)*12+MONTH(Planos!$G60))&gt;0,MOD((ano_ref*12+8)-(YEAR(Planos!$G60)*12+MONTH(Planos!$G60)),MAX(1,IFERROR(INDEX(lst_frequencia_meses,MATCH(Planos!$E60,lst_frequencia,0)),0)))=0),"●","")))</f>
      </c>
      <c r="L61" s="43">
        <f>IF(NOT(Planos!$A60&lt;&gt;""),"",IF(COUNTIFS(Programação!$B$4:$B$503,Planos!$A60,Programação!$I$4:$I$503,"Concluído",Programação!$G$4:$G$503,"&gt;="&amp;DATE(ano_ref,9,1),Programação!$G$4:$G$503,"&lt;="&amp;EOMONTH(DATE(ano_ref,9,1),0))&gt;0,"✔",IF(AND(ISNUMBER(Planos!$G60),IFERROR(INDEX(lst_frequencia_meses,MATCH(Planos!$E60,lst_frequencia,0)),0)&gt;0,(ano_ref*12+9)-(YEAR(Planos!$G60)*12+MONTH(Planos!$G60))&gt;0,MOD((ano_ref*12+9)-(YEAR(Planos!$G60)*12+MONTH(Planos!$G60)),MAX(1,IFERROR(INDEX(lst_frequencia_meses,MATCH(Planos!$E60,lst_frequencia,0)),0)))=0),"●","")))</f>
      </c>
      <c r="M61" s="43">
        <f>IF(NOT(Planos!$A60&lt;&gt;""),"",IF(COUNTIFS(Programação!$B$4:$B$503,Planos!$A60,Programação!$I$4:$I$503,"Concluído",Programação!$G$4:$G$503,"&gt;="&amp;DATE(ano_ref,10,1),Programação!$G$4:$G$503,"&lt;="&amp;EOMONTH(DATE(ano_ref,10,1),0))&gt;0,"✔",IF(AND(ISNUMBER(Planos!$G60),IFERROR(INDEX(lst_frequencia_meses,MATCH(Planos!$E60,lst_frequencia,0)),0)&gt;0,(ano_ref*12+10)-(YEAR(Planos!$G60)*12+MONTH(Planos!$G60))&gt;0,MOD((ano_ref*12+10)-(YEAR(Planos!$G60)*12+MONTH(Planos!$G60)),MAX(1,IFERROR(INDEX(lst_frequencia_meses,MATCH(Planos!$E60,lst_frequencia,0)),0)))=0),"●","")))</f>
      </c>
      <c r="N61" s="43">
        <f>IF(NOT(Planos!$A60&lt;&gt;""),"",IF(COUNTIFS(Programação!$B$4:$B$503,Planos!$A60,Programação!$I$4:$I$503,"Concluído",Programação!$G$4:$G$503,"&gt;="&amp;DATE(ano_ref,11,1),Programação!$G$4:$G$503,"&lt;="&amp;EOMONTH(DATE(ano_ref,11,1),0))&gt;0,"✔",IF(AND(ISNUMBER(Planos!$G60),IFERROR(INDEX(lst_frequencia_meses,MATCH(Planos!$E60,lst_frequencia,0)),0)&gt;0,(ano_ref*12+11)-(YEAR(Planos!$G60)*12+MONTH(Planos!$G60))&gt;0,MOD((ano_ref*12+11)-(YEAR(Planos!$G60)*12+MONTH(Planos!$G60)),MAX(1,IFERROR(INDEX(lst_frequencia_meses,MATCH(Planos!$E60,lst_frequencia,0)),0)))=0),"●","")))</f>
      </c>
      <c r="O61" s="43">
        <f>IF(NOT(Planos!$A60&lt;&gt;""),"",IF(COUNTIFS(Programação!$B$4:$B$503,Planos!$A60,Programação!$I$4:$I$503,"Concluído",Programação!$G$4:$G$503,"&gt;="&amp;DATE(ano_ref,12,1),Programação!$G$4:$G$503,"&lt;="&amp;EOMONTH(DATE(ano_ref,12,1),0))&gt;0,"✔",IF(AND(ISNUMBER(Planos!$G60),IFERROR(INDEX(lst_frequencia_meses,MATCH(Planos!$E60,lst_frequencia,0)),0)&gt;0,(ano_ref*12+12)-(YEAR(Planos!$G60)*12+MONTH(Planos!$G60))&gt;0,MOD((ano_ref*12+12)-(YEAR(Planos!$G60)*12+MONTH(Planos!$G60)),MAX(1,IFERROR(INDEX(lst_frequencia_meses,MATCH(Planos!$E60,lst_frequencia,0)),0)))=0),"●","")))</f>
      </c>
      <c r="P61" s="44">
        <f>IF(COUNTIF(D61:O61,"✔")+COUNTIF(D61:O61,"●")=0,"",COUNTIF(D61:O61,"✔")/(COUNTIF(D61:O61,"✔")+COUNTIF(D61:O61,"●")))</f>
      </c>
    </row>
    <row r="62" spans="1:16" x14ac:dyDescent="0.25">
      <c r="A62" s="43">
        <f>IF(Planos!$A61&lt;&gt;"",Planos!A61&amp;"","")</f>
      </c>
      <c r="B62" s="43">
        <f>IF(Planos!$A61&lt;&gt;"",Planos!B61&amp;"","")</f>
      </c>
      <c r="C62" s="24">
        <f>IF(Planos!$A61&lt;&gt;"",Planos!C61&amp;"","")</f>
      </c>
      <c r="D62" s="43">
        <f>IF(NOT(Planos!$A61&lt;&gt;""),"",IF(COUNTIFS(Programação!$B$4:$B$503,Planos!$A61,Programação!$I$4:$I$503,"Concluído",Programação!$G$4:$G$503,"&gt;="&amp;DATE(ano_ref,1,1),Programação!$G$4:$G$503,"&lt;="&amp;EOMONTH(DATE(ano_ref,1,1),0))&gt;0,"✔",IF(AND(ISNUMBER(Planos!$G61),IFERROR(INDEX(lst_frequencia_meses,MATCH(Planos!$E61,lst_frequencia,0)),0)&gt;0,(ano_ref*12+1)-(YEAR(Planos!$G61)*12+MONTH(Planos!$G61))&gt;0,MOD((ano_ref*12+1)-(YEAR(Planos!$G61)*12+MONTH(Planos!$G61)),MAX(1,IFERROR(INDEX(lst_frequencia_meses,MATCH(Planos!$E61,lst_frequencia,0)),0)))=0),"●","")))</f>
      </c>
      <c r="E62" s="43">
        <f>IF(NOT(Planos!$A61&lt;&gt;""),"",IF(COUNTIFS(Programação!$B$4:$B$503,Planos!$A61,Programação!$I$4:$I$503,"Concluído",Programação!$G$4:$G$503,"&gt;="&amp;DATE(ano_ref,2,1),Programação!$G$4:$G$503,"&lt;="&amp;EOMONTH(DATE(ano_ref,2,1),0))&gt;0,"✔",IF(AND(ISNUMBER(Planos!$G61),IFERROR(INDEX(lst_frequencia_meses,MATCH(Planos!$E61,lst_frequencia,0)),0)&gt;0,(ano_ref*12+2)-(YEAR(Planos!$G61)*12+MONTH(Planos!$G61))&gt;0,MOD((ano_ref*12+2)-(YEAR(Planos!$G61)*12+MONTH(Planos!$G61)),MAX(1,IFERROR(INDEX(lst_frequencia_meses,MATCH(Planos!$E61,lst_frequencia,0)),0)))=0),"●","")))</f>
      </c>
      <c r="F62" s="43">
        <f>IF(NOT(Planos!$A61&lt;&gt;""),"",IF(COUNTIFS(Programação!$B$4:$B$503,Planos!$A61,Programação!$I$4:$I$503,"Concluído",Programação!$G$4:$G$503,"&gt;="&amp;DATE(ano_ref,3,1),Programação!$G$4:$G$503,"&lt;="&amp;EOMONTH(DATE(ano_ref,3,1),0))&gt;0,"✔",IF(AND(ISNUMBER(Planos!$G61),IFERROR(INDEX(lst_frequencia_meses,MATCH(Planos!$E61,lst_frequencia,0)),0)&gt;0,(ano_ref*12+3)-(YEAR(Planos!$G61)*12+MONTH(Planos!$G61))&gt;0,MOD((ano_ref*12+3)-(YEAR(Planos!$G61)*12+MONTH(Planos!$G61)),MAX(1,IFERROR(INDEX(lst_frequencia_meses,MATCH(Planos!$E61,lst_frequencia,0)),0)))=0),"●","")))</f>
      </c>
      <c r="G62" s="43">
        <f>IF(NOT(Planos!$A61&lt;&gt;""),"",IF(COUNTIFS(Programação!$B$4:$B$503,Planos!$A61,Programação!$I$4:$I$503,"Concluído",Programação!$G$4:$G$503,"&gt;="&amp;DATE(ano_ref,4,1),Programação!$G$4:$G$503,"&lt;="&amp;EOMONTH(DATE(ano_ref,4,1),0))&gt;0,"✔",IF(AND(ISNUMBER(Planos!$G61),IFERROR(INDEX(lst_frequencia_meses,MATCH(Planos!$E61,lst_frequencia,0)),0)&gt;0,(ano_ref*12+4)-(YEAR(Planos!$G61)*12+MONTH(Planos!$G61))&gt;0,MOD((ano_ref*12+4)-(YEAR(Planos!$G61)*12+MONTH(Planos!$G61)),MAX(1,IFERROR(INDEX(lst_frequencia_meses,MATCH(Planos!$E61,lst_frequencia,0)),0)))=0),"●","")))</f>
      </c>
      <c r="H62" s="43">
        <f>IF(NOT(Planos!$A61&lt;&gt;""),"",IF(COUNTIFS(Programação!$B$4:$B$503,Planos!$A61,Programação!$I$4:$I$503,"Concluído",Programação!$G$4:$G$503,"&gt;="&amp;DATE(ano_ref,5,1),Programação!$G$4:$G$503,"&lt;="&amp;EOMONTH(DATE(ano_ref,5,1),0))&gt;0,"✔",IF(AND(ISNUMBER(Planos!$G61),IFERROR(INDEX(lst_frequencia_meses,MATCH(Planos!$E61,lst_frequencia,0)),0)&gt;0,(ano_ref*12+5)-(YEAR(Planos!$G61)*12+MONTH(Planos!$G61))&gt;0,MOD((ano_ref*12+5)-(YEAR(Planos!$G61)*12+MONTH(Planos!$G61)),MAX(1,IFERROR(INDEX(lst_frequencia_meses,MATCH(Planos!$E61,lst_frequencia,0)),0)))=0),"●","")))</f>
      </c>
      <c r="I62" s="43">
        <f>IF(NOT(Planos!$A61&lt;&gt;""),"",IF(COUNTIFS(Programação!$B$4:$B$503,Planos!$A61,Programação!$I$4:$I$503,"Concluído",Programação!$G$4:$G$503,"&gt;="&amp;DATE(ano_ref,6,1),Programação!$G$4:$G$503,"&lt;="&amp;EOMONTH(DATE(ano_ref,6,1),0))&gt;0,"✔",IF(AND(ISNUMBER(Planos!$G61),IFERROR(INDEX(lst_frequencia_meses,MATCH(Planos!$E61,lst_frequencia,0)),0)&gt;0,(ano_ref*12+6)-(YEAR(Planos!$G61)*12+MONTH(Planos!$G61))&gt;0,MOD((ano_ref*12+6)-(YEAR(Planos!$G61)*12+MONTH(Planos!$G61)),MAX(1,IFERROR(INDEX(lst_frequencia_meses,MATCH(Planos!$E61,lst_frequencia,0)),0)))=0),"●","")))</f>
      </c>
      <c r="J62" s="43">
        <f>IF(NOT(Planos!$A61&lt;&gt;""),"",IF(COUNTIFS(Programação!$B$4:$B$503,Planos!$A61,Programação!$I$4:$I$503,"Concluído",Programação!$G$4:$G$503,"&gt;="&amp;DATE(ano_ref,7,1),Programação!$G$4:$G$503,"&lt;="&amp;EOMONTH(DATE(ano_ref,7,1),0))&gt;0,"✔",IF(AND(ISNUMBER(Planos!$G61),IFERROR(INDEX(lst_frequencia_meses,MATCH(Planos!$E61,lst_frequencia,0)),0)&gt;0,(ano_ref*12+7)-(YEAR(Planos!$G61)*12+MONTH(Planos!$G61))&gt;0,MOD((ano_ref*12+7)-(YEAR(Planos!$G61)*12+MONTH(Planos!$G61)),MAX(1,IFERROR(INDEX(lst_frequencia_meses,MATCH(Planos!$E61,lst_frequencia,0)),0)))=0),"●","")))</f>
      </c>
      <c r="K62" s="43">
        <f>IF(NOT(Planos!$A61&lt;&gt;""),"",IF(COUNTIFS(Programação!$B$4:$B$503,Planos!$A61,Programação!$I$4:$I$503,"Concluído",Programação!$G$4:$G$503,"&gt;="&amp;DATE(ano_ref,8,1),Programação!$G$4:$G$503,"&lt;="&amp;EOMONTH(DATE(ano_ref,8,1),0))&gt;0,"✔",IF(AND(ISNUMBER(Planos!$G61),IFERROR(INDEX(lst_frequencia_meses,MATCH(Planos!$E61,lst_frequencia,0)),0)&gt;0,(ano_ref*12+8)-(YEAR(Planos!$G61)*12+MONTH(Planos!$G61))&gt;0,MOD((ano_ref*12+8)-(YEAR(Planos!$G61)*12+MONTH(Planos!$G61)),MAX(1,IFERROR(INDEX(lst_frequencia_meses,MATCH(Planos!$E61,lst_frequencia,0)),0)))=0),"●","")))</f>
      </c>
      <c r="L62" s="43">
        <f>IF(NOT(Planos!$A61&lt;&gt;""),"",IF(COUNTIFS(Programação!$B$4:$B$503,Planos!$A61,Programação!$I$4:$I$503,"Concluído",Programação!$G$4:$G$503,"&gt;="&amp;DATE(ano_ref,9,1),Programação!$G$4:$G$503,"&lt;="&amp;EOMONTH(DATE(ano_ref,9,1),0))&gt;0,"✔",IF(AND(ISNUMBER(Planos!$G61),IFERROR(INDEX(lst_frequencia_meses,MATCH(Planos!$E61,lst_frequencia,0)),0)&gt;0,(ano_ref*12+9)-(YEAR(Planos!$G61)*12+MONTH(Planos!$G61))&gt;0,MOD((ano_ref*12+9)-(YEAR(Planos!$G61)*12+MONTH(Planos!$G61)),MAX(1,IFERROR(INDEX(lst_frequencia_meses,MATCH(Planos!$E61,lst_frequencia,0)),0)))=0),"●","")))</f>
      </c>
      <c r="M62" s="43">
        <f>IF(NOT(Planos!$A61&lt;&gt;""),"",IF(COUNTIFS(Programação!$B$4:$B$503,Planos!$A61,Programação!$I$4:$I$503,"Concluído",Programação!$G$4:$G$503,"&gt;="&amp;DATE(ano_ref,10,1),Programação!$G$4:$G$503,"&lt;="&amp;EOMONTH(DATE(ano_ref,10,1),0))&gt;0,"✔",IF(AND(ISNUMBER(Planos!$G61),IFERROR(INDEX(lst_frequencia_meses,MATCH(Planos!$E61,lst_frequencia,0)),0)&gt;0,(ano_ref*12+10)-(YEAR(Planos!$G61)*12+MONTH(Planos!$G61))&gt;0,MOD((ano_ref*12+10)-(YEAR(Planos!$G61)*12+MONTH(Planos!$G61)),MAX(1,IFERROR(INDEX(lst_frequencia_meses,MATCH(Planos!$E61,lst_frequencia,0)),0)))=0),"●","")))</f>
      </c>
      <c r="N62" s="43">
        <f>IF(NOT(Planos!$A61&lt;&gt;""),"",IF(COUNTIFS(Programação!$B$4:$B$503,Planos!$A61,Programação!$I$4:$I$503,"Concluído",Programação!$G$4:$G$503,"&gt;="&amp;DATE(ano_ref,11,1),Programação!$G$4:$G$503,"&lt;="&amp;EOMONTH(DATE(ano_ref,11,1),0))&gt;0,"✔",IF(AND(ISNUMBER(Planos!$G61),IFERROR(INDEX(lst_frequencia_meses,MATCH(Planos!$E61,lst_frequencia,0)),0)&gt;0,(ano_ref*12+11)-(YEAR(Planos!$G61)*12+MONTH(Planos!$G61))&gt;0,MOD((ano_ref*12+11)-(YEAR(Planos!$G61)*12+MONTH(Planos!$G61)),MAX(1,IFERROR(INDEX(lst_frequencia_meses,MATCH(Planos!$E61,lst_frequencia,0)),0)))=0),"●","")))</f>
      </c>
      <c r="O62" s="43">
        <f>IF(NOT(Planos!$A61&lt;&gt;""),"",IF(COUNTIFS(Programação!$B$4:$B$503,Planos!$A61,Programação!$I$4:$I$503,"Concluído",Programação!$G$4:$G$503,"&gt;="&amp;DATE(ano_ref,12,1),Programação!$G$4:$G$503,"&lt;="&amp;EOMONTH(DATE(ano_ref,12,1),0))&gt;0,"✔",IF(AND(ISNUMBER(Planos!$G61),IFERROR(INDEX(lst_frequencia_meses,MATCH(Planos!$E61,lst_frequencia,0)),0)&gt;0,(ano_ref*12+12)-(YEAR(Planos!$G61)*12+MONTH(Planos!$G61))&gt;0,MOD((ano_ref*12+12)-(YEAR(Planos!$G61)*12+MONTH(Planos!$G61)),MAX(1,IFERROR(INDEX(lst_frequencia_meses,MATCH(Planos!$E61,lst_frequencia,0)),0)))=0),"●","")))</f>
      </c>
      <c r="P62" s="44">
        <f>IF(COUNTIF(D62:O62,"✔")+COUNTIF(D62:O62,"●")=0,"",COUNTIF(D62:O62,"✔")/(COUNTIF(D62:O62,"✔")+COUNTIF(D62:O62,"●")))</f>
      </c>
    </row>
    <row r="63" spans="1:16" x14ac:dyDescent="0.25">
      <c r="A63" s="43">
        <f>IF(Planos!$A62&lt;&gt;"",Planos!A62&amp;"","")</f>
      </c>
      <c r="B63" s="43">
        <f>IF(Planos!$A62&lt;&gt;"",Planos!B62&amp;"","")</f>
      </c>
      <c r="C63" s="24">
        <f>IF(Planos!$A62&lt;&gt;"",Planos!C62&amp;"","")</f>
      </c>
      <c r="D63" s="43">
        <f>IF(NOT(Planos!$A62&lt;&gt;""),"",IF(COUNTIFS(Programação!$B$4:$B$503,Planos!$A62,Programação!$I$4:$I$503,"Concluído",Programação!$G$4:$G$503,"&gt;="&amp;DATE(ano_ref,1,1),Programação!$G$4:$G$503,"&lt;="&amp;EOMONTH(DATE(ano_ref,1,1),0))&gt;0,"✔",IF(AND(ISNUMBER(Planos!$G62),IFERROR(INDEX(lst_frequencia_meses,MATCH(Planos!$E62,lst_frequencia,0)),0)&gt;0,(ano_ref*12+1)-(YEAR(Planos!$G62)*12+MONTH(Planos!$G62))&gt;0,MOD((ano_ref*12+1)-(YEAR(Planos!$G62)*12+MONTH(Planos!$G62)),MAX(1,IFERROR(INDEX(lst_frequencia_meses,MATCH(Planos!$E62,lst_frequencia,0)),0)))=0),"●","")))</f>
      </c>
      <c r="E63" s="43">
        <f>IF(NOT(Planos!$A62&lt;&gt;""),"",IF(COUNTIFS(Programação!$B$4:$B$503,Planos!$A62,Programação!$I$4:$I$503,"Concluído",Programação!$G$4:$G$503,"&gt;="&amp;DATE(ano_ref,2,1),Programação!$G$4:$G$503,"&lt;="&amp;EOMONTH(DATE(ano_ref,2,1),0))&gt;0,"✔",IF(AND(ISNUMBER(Planos!$G62),IFERROR(INDEX(lst_frequencia_meses,MATCH(Planos!$E62,lst_frequencia,0)),0)&gt;0,(ano_ref*12+2)-(YEAR(Planos!$G62)*12+MONTH(Planos!$G62))&gt;0,MOD((ano_ref*12+2)-(YEAR(Planos!$G62)*12+MONTH(Planos!$G62)),MAX(1,IFERROR(INDEX(lst_frequencia_meses,MATCH(Planos!$E62,lst_frequencia,0)),0)))=0),"●","")))</f>
      </c>
      <c r="F63" s="43">
        <f>IF(NOT(Planos!$A62&lt;&gt;""),"",IF(COUNTIFS(Programação!$B$4:$B$503,Planos!$A62,Programação!$I$4:$I$503,"Concluído",Programação!$G$4:$G$503,"&gt;="&amp;DATE(ano_ref,3,1),Programação!$G$4:$G$503,"&lt;="&amp;EOMONTH(DATE(ano_ref,3,1),0))&gt;0,"✔",IF(AND(ISNUMBER(Planos!$G62),IFERROR(INDEX(lst_frequencia_meses,MATCH(Planos!$E62,lst_frequencia,0)),0)&gt;0,(ano_ref*12+3)-(YEAR(Planos!$G62)*12+MONTH(Planos!$G62))&gt;0,MOD((ano_ref*12+3)-(YEAR(Planos!$G62)*12+MONTH(Planos!$G62)),MAX(1,IFERROR(INDEX(lst_frequencia_meses,MATCH(Planos!$E62,lst_frequencia,0)),0)))=0),"●","")))</f>
      </c>
      <c r="G63" s="43">
        <f>IF(NOT(Planos!$A62&lt;&gt;""),"",IF(COUNTIFS(Programação!$B$4:$B$503,Planos!$A62,Programação!$I$4:$I$503,"Concluído",Programação!$G$4:$G$503,"&gt;="&amp;DATE(ano_ref,4,1),Programação!$G$4:$G$503,"&lt;="&amp;EOMONTH(DATE(ano_ref,4,1),0))&gt;0,"✔",IF(AND(ISNUMBER(Planos!$G62),IFERROR(INDEX(lst_frequencia_meses,MATCH(Planos!$E62,lst_frequencia,0)),0)&gt;0,(ano_ref*12+4)-(YEAR(Planos!$G62)*12+MONTH(Planos!$G62))&gt;0,MOD((ano_ref*12+4)-(YEAR(Planos!$G62)*12+MONTH(Planos!$G62)),MAX(1,IFERROR(INDEX(lst_frequencia_meses,MATCH(Planos!$E62,lst_frequencia,0)),0)))=0),"●","")))</f>
      </c>
      <c r="H63" s="43">
        <f>IF(NOT(Planos!$A62&lt;&gt;""),"",IF(COUNTIFS(Programação!$B$4:$B$503,Planos!$A62,Programação!$I$4:$I$503,"Concluído",Programação!$G$4:$G$503,"&gt;="&amp;DATE(ano_ref,5,1),Programação!$G$4:$G$503,"&lt;="&amp;EOMONTH(DATE(ano_ref,5,1),0))&gt;0,"✔",IF(AND(ISNUMBER(Planos!$G62),IFERROR(INDEX(lst_frequencia_meses,MATCH(Planos!$E62,lst_frequencia,0)),0)&gt;0,(ano_ref*12+5)-(YEAR(Planos!$G62)*12+MONTH(Planos!$G62))&gt;0,MOD((ano_ref*12+5)-(YEAR(Planos!$G62)*12+MONTH(Planos!$G62)),MAX(1,IFERROR(INDEX(lst_frequencia_meses,MATCH(Planos!$E62,lst_frequencia,0)),0)))=0),"●","")))</f>
      </c>
      <c r="I63" s="43">
        <f>IF(NOT(Planos!$A62&lt;&gt;""),"",IF(COUNTIFS(Programação!$B$4:$B$503,Planos!$A62,Programação!$I$4:$I$503,"Concluído",Programação!$G$4:$G$503,"&gt;="&amp;DATE(ano_ref,6,1),Programação!$G$4:$G$503,"&lt;="&amp;EOMONTH(DATE(ano_ref,6,1),0))&gt;0,"✔",IF(AND(ISNUMBER(Planos!$G62),IFERROR(INDEX(lst_frequencia_meses,MATCH(Planos!$E62,lst_frequencia,0)),0)&gt;0,(ano_ref*12+6)-(YEAR(Planos!$G62)*12+MONTH(Planos!$G62))&gt;0,MOD((ano_ref*12+6)-(YEAR(Planos!$G62)*12+MONTH(Planos!$G62)),MAX(1,IFERROR(INDEX(lst_frequencia_meses,MATCH(Planos!$E62,lst_frequencia,0)),0)))=0),"●","")))</f>
      </c>
      <c r="J63" s="43">
        <f>IF(NOT(Planos!$A62&lt;&gt;""),"",IF(COUNTIFS(Programação!$B$4:$B$503,Planos!$A62,Programação!$I$4:$I$503,"Concluído",Programação!$G$4:$G$503,"&gt;="&amp;DATE(ano_ref,7,1),Programação!$G$4:$G$503,"&lt;="&amp;EOMONTH(DATE(ano_ref,7,1),0))&gt;0,"✔",IF(AND(ISNUMBER(Planos!$G62),IFERROR(INDEX(lst_frequencia_meses,MATCH(Planos!$E62,lst_frequencia,0)),0)&gt;0,(ano_ref*12+7)-(YEAR(Planos!$G62)*12+MONTH(Planos!$G62))&gt;0,MOD((ano_ref*12+7)-(YEAR(Planos!$G62)*12+MONTH(Planos!$G62)),MAX(1,IFERROR(INDEX(lst_frequencia_meses,MATCH(Planos!$E62,lst_frequencia,0)),0)))=0),"●","")))</f>
      </c>
      <c r="K63" s="43">
        <f>IF(NOT(Planos!$A62&lt;&gt;""),"",IF(COUNTIFS(Programação!$B$4:$B$503,Planos!$A62,Programação!$I$4:$I$503,"Concluído",Programação!$G$4:$G$503,"&gt;="&amp;DATE(ano_ref,8,1),Programação!$G$4:$G$503,"&lt;="&amp;EOMONTH(DATE(ano_ref,8,1),0))&gt;0,"✔",IF(AND(ISNUMBER(Planos!$G62),IFERROR(INDEX(lst_frequencia_meses,MATCH(Planos!$E62,lst_frequencia,0)),0)&gt;0,(ano_ref*12+8)-(YEAR(Planos!$G62)*12+MONTH(Planos!$G62))&gt;0,MOD((ano_ref*12+8)-(YEAR(Planos!$G62)*12+MONTH(Planos!$G62)),MAX(1,IFERROR(INDEX(lst_frequencia_meses,MATCH(Planos!$E62,lst_frequencia,0)),0)))=0),"●","")))</f>
      </c>
      <c r="L63" s="43">
        <f>IF(NOT(Planos!$A62&lt;&gt;""),"",IF(COUNTIFS(Programação!$B$4:$B$503,Planos!$A62,Programação!$I$4:$I$503,"Concluído",Programação!$G$4:$G$503,"&gt;="&amp;DATE(ano_ref,9,1),Programação!$G$4:$G$503,"&lt;="&amp;EOMONTH(DATE(ano_ref,9,1),0))&gt;0,"✔",IF(AND(ISNUMBER(Planos!$G62),IFERROR(INDEX(lst_frequencia_meses,MATCH(Planos!$E62,lst_frequencia,0)),0)&gt;0,(ano_ref*12+9)-(YEAR(Planos!$G62)*12+MONTH(Planos!$G62))&gt;0,MOD((ano_ref*12+9)-(YEAR(Planos!$G62)*12+MONTH(Planos!$G62)),MAX(1,IFERROR(INDEX(lst_frequencia_meses,MATCH(Planos!$E62,lst_frequencia,0)),0)))=0),"●","")))</f>
      </c>
      <c r="M63" s="43">
        <f>IF(NOT(Planos!$A62&lt;&gt;""),"",IF(COUNTIFS(Programação!$B$4:$B$503,Planos!$A62,Programação!$I$4:$I$503,"Concluído",Programação!$G$4:$G$503,"&gt;="&amp;DATE(ano_ref,10,1),Programação!$G$4:$G$503,"&lt;="&amp;EOMONTH(DATE(ano_ref,10,1),0))&gt;0,"✔",IF(AND(ISNUMBER(Planos!$G62),IFERROR(INDEX(lst_frequencia_meses,MATCH(Planos!$E62,lst_frequencia,0)),0)&gt;0,(ano_ref*12+10)-(YEAR(Planos!$G62)*12+MONTH(Planos!$G62))&gt;0,MOD((ano_ref*12+10)-(YEAR(Planos!$G62)*12+MONTH(Planos!$G62)),MAX(1,IFERROR(INDEX(lst_frequencia_meses,MATCH(Planos!$E62,lst_frequencia,0)),0)))=0),"●","")))</f>
      </c>
      <c r="N63" s="43">
        <f>IF(NOT(Planos!$A62&lt;&gt;""),"",IF(COUNTIFS(Programação!$B$4:$B$503,Planos!$A62,Programação!$I$4:$I$503,"Concluído",Programação!$G$4:$G$503,"&gt;="&amp;DATE(ano_ref,11,1),Programação!$G$4:$G$503,"&lt;="&amp;EOMONTH(DATE(ano_ref,11,1),0))&gt;0,"✔",IF(AND(ISNUMBER(Planos!$G62),IFERROR(INDEX(lst_frequencia_meses,MATCH(Planos!$E62,lst_frequencia,0)),0)&gt;0,(ano_ref*12+11)-(YEAR(Planos!$G62)*12+MONTH(Planos!$G62))&gt;0,MOD((ano_ref*12+11)-(YEAR(Planos!$G62)*12+MONTH(Planos!$G62)),MAX(1,IFERROR(INDEX(lst_frequencia_meses,MATCH(Planos!$E62,lst_frequencia,0)),0)))=0),"●","")))</f>
      </c>
      <c r="O63" s="43">
        <f>IF(NOT(Planos!$A62&lt;&gt;""),"",IF(COUNTIFS(Programação!$B$4:$B$503,Planos!$A62,Programação!$I$4:$I$503,"Concluído",Programação!$G$4:$G$503,"&gt;="&amp;DATE(ano_ref,12,1),Programação!$G$4:$G$503,"&lt;="&amp;EOMONTH(DATE(ano_ref,12,1),0))&gt;0,"✔",IF(AND(ISNUMBER(Planos!$G62),IFERROR(INDEX(lst_frequencia_meses,MATCH(Planos!$E62,lst_frequencia,0)),0)&gt;0,(ano_ref*12+12)-(YEAR(Planos!$G62)*12+MONTH(Planos!$G62))&gt;0,MOD((ano_ref*12+12)-(YEAR(Planos!$G62)*12+MONTH(Planos!$G62)),MAX(1,IFERROR(INDEX(lst_frequencia_meses,MATCH(Planos!$E62,lst_frequencia,0)),0)))=0),"●","")))</f>
      </c>
      <c r="P63" s="44">
        <f>IF(COUNTIF(D63:O63,"✔")+COUNTIF(D63:O63,"●")=0,"",COUNTIF(D63:O63,"✔")/(COUNTIF(D63:O63,"✔")+COUNTIF(D63:O63,"●")))</f>
      </c>
    </row>
    <row r="64" spans="1:16" x14ac:dyDescent="0.25">
      <c r="A64" s="43">
        <f>IF(Planos!$A63&lt;&gt;"",Planos!A63&amp;"","")</f>
      </c>
      <c r="B64" s="43">
        <f>IF(Planos!$A63&lt;&gt;"",Planos!B63&amp;"","")</f>
      </c>
      <c r="C64" s="24">
        <f>IF(Planos!$A63&lt;&gt;"",Planos!C63&amp;"","")</f>
      </c>
      <c r="D64" s="43">
        <f>IF(NOT(Planos!$A63&lt;&gt;""),"",IF(COUNTIFS(Programação!$B$4:$B$503,Planos!$A63,Programação!$I$4:$I$503,"Concluído",Programação!$G$4:$G$503,"&gt;="&amp;DATE(ano_ref,1,1),Programação!$G$4:$G$503,"&lt;="&amp;EOMONTH(DATE(ano_ref,1,1),0))&gt;0,"✔",IF(AND(ISNUMBER(Planos!$G63),IFERROR(INDEX(lst_frequencia_meses,MATCH(Planos!$E63,lst_frequencia,0)),0)&gt;0,(ano_ref*12+1)-(YEAR(Planos!$G63)*12+MONTH(Planos!$G63))&gt;0,MOD((ano_ref*12+1)-(YEAR(Planos!$G63)*12+MONTH(Planos!$G63)),MAX(1,IFERROR(INDEX(lst_frequencia_meses,MATCH(Planos!$E63,lst_frequencia,0)),0)))=0),"●","")))</f>
      </c>
      <c r="E64" s="43">
        <f>IF(NOT(Planos!$A63&lt;&gt;""),"",IF(COUNTIFS(Programação!$B$4:$B$503,Planos!$A63,Programação!$I$4:$I$503,"Concluído",Programação!$G$4:$G$503,"&gt;="&amp;DATE(ano_ref,2,1),Programação!$G$4:$G$503,"&lt;="&amp;EOMONTH(DATE(ano_ref,2,1),0))&gt;0,"✔",IF(AND(ISNUMBER(Planos!$G63),IFERROR(INDEX(lst_frequencia_meses,MATCH(Planos!$E63,lst_frequencia,0)),0)&gt;0,(ano_ref*12+2)-(YEAR(Planos!$G63)*12+MONTH(Planos!$G63))&gt;0,MOD((ano_ref*12+2)-(YEAR(Planos!$G63)*12+MONTH(Planos!$G63)),MAX(1,IFERROR(INDEX(lst_frequencia_meses,MATCH(Planos!$E63,lst_frequencia,0)),0)))=0),"●","")))</f>
      </c>
      <c r="F64" s="43">
        <f>IF(NOT(Planos!$A63&lt;&gt;""),"",IF(COUNTIFS(Programação!$B$4:$B$503,Planos!$A63,Programação!$I$4:$I$503,"Concluído",Programação!$G$4:$G$503,"&gt;="&amp;DATE(ano_ref,3,1),Programação!$G$4:$G$503,"&lt;="&amp;EOMONTH(DATE(ano_ref,3,1),0))&gt;0,"✔",IF(AND(ISNUMBER(Planos!$G63),IFERROR(INDEX(lst_frequencia_meses,MATCH(Planos!$E63,lst_frequencia,0)),0)&gt;0,(ano_ref*12+3)-(YEAR(Planos!$G63)*12+MONTH(Planos!$G63))&gt;0,MOD((ano_ref*12+3)-(YEAR(Planos!$G63)*12+MONTH(Planos!$G63)),MAX(1,IFERROR(INDEX(lst_frequencia_meses,MATCH(Planos!$E63,lst_frequencia,0)),0)))=0),"●","")))</f>
      </c>
      <c r="G64" s="43">
        <f>IF(NOT(Planos!$A63&lt;&gt;""),"",IF(COUNTIFS(Programação!$B$4:$B$503,Planos!$A63,Programação!$I$4:$I$503,"Concluído",Programação!$G$4:$G$503,"&gt;="&amp;DATE(ano_ref,4,1),Programação!$G$4:$G$503,"&lt;="&amp;EOMONTH(DATE(ano_ref,4,1),0))&gt;0,"✔",IF(AND(ISNUMBER(Planos!$G63),IFERROR(INDEX(lst_frequencia_meses,MATCH(Planos!$E63,lst_frequencia,0)),0)&gt;0,(ano_ref*12+4)-(YEAR(Planos!$G63)*12+MONTH(Planos!$G63))&gt;0,MOD((ano_ref*12+4)-(YEAR(Planos!$G63)*12+MONTH(Planos!$G63)),MAX(1,IFERROR(INDEX(lst_frequencia_meses,MATCH(Planos!$E63,lst_frequencia,0)),0)))=0),"●","")))</f>
      </c>
      <c r="H64" s="43">
        <f>IF(NOT(Planos!$A63&lt;&gt;""),"",IF(COUNTIFS(Programação!$B$4:$B$503,Planos!$A63,Programação!$I$4:$I$503,"Concluído",Programação!$G$4:$G$503,"&gt;="&amp;DATE(ano_ref,5,1),Programação!$G$4:$G$503,"&lt;="&amp;EOMONTH(DATE(ano_ref,5,1),0))&gt;0,"✔",IF(AND(ISNUMBER(Planos!$G63),IFERROR(INDEX(lst_frequencia_meses,MATCH(Planos!$E63,lst_frequencia,0)),0)&gt;0,(ano_ref*12+5)-(YEAR(Planos!$G63)*12+MONTH(Planos!$G63))&gt;0,MOD((ano_ref*12+5)-(YEAR(Planos!$G63)*12+MONTH(Planos!$G63)),MAX(1,IFERROR(INDEX(lst_frequencia_meses,MATCH(Planos!$E63,lst_frequencia,0)),0)))=0),"●","")))</f>
      </c>
      <c r="I64" s="43">
        <f>IF(NOT(Planos!$A63&lt;&gt;""),"",IF(COUNTIFS(Programação!$B$4:$B$503,Planos!$A63,Programação!$I$4:$I$503,"Concluído",Programação!$G$4:$G$503,"&gt;="&amp;DATE(ano_ref,6,1),Programação!$G$4:$G$503,"&lt;="&amp;EOMONTH(DATE(ano_ref,6,1),0))&gt;0,"✔",IF(AND(ISNUMBER(Planos!$G63),IFERROR(INDEX(lst_frequencia_meses,MATCH(Planos!$E63,lst_frequencia,0)),0)&gt;0,(ano_ref*12+6)-(YEAR(Planos!$G63)*12+MONTH(Planos!$G63))&gt;0,MOD((ano_ref*12+6)-(YEAR(Planos!$G63)*12+MONTH(Planos!$G63)),MAX(1,IFERROR(INDEX(lst_frequencia_meses,MATCH(Planos!$E63,lst_frequencia,0)),0)))=0),"●","")))</f>
      </c>
      <c r="J64" s="43">
        <f>IF(NOT(Planos!$A63&lt;&gt;""),"",IF(COUNTIFS(Programação!$B$4:$B$503,Planos!$A63,Programação!$I$4:$I$503,"Concluído",Programação!$G$4:$G$503,"&gt;="&amp;DATE(ano_ref,7,1),Programação!$G$4:$G$503,"&lt;="&amp;EOMONTH(DATE(ano_ref,7,1),0))&gt;0,"✔",IF(AND(ISNUMBER(Planos!$G63),IFERROR(INDEX(lst_frequencia_meses,MATCH(Planos!$E63,lst_frequencia,0)),0)&gt;0,(ano_ref*12+7)-(YEAR(Planos!$G63)*12+MONTH(Planos!$G63))&gt;0,MOD((ano_ref*12+7)-(YEAR(Planos!$G63)*12+MONTH(Planos!$G63)),MAX(1,IFERROR(INDEX(lst_frequencia_meses,MATCH(Planos!$E63,lst_frequencia,0)),0)))=0),"●","")))</f>
      </c>
      <c r="K64" s="43">
        <f>IF(NOT(Planos!$A63&lt;&gt;""),"",IF(COUNTIFS(Programação!$B$4:$B$503,Planos!$A63,Programação!$I$4:$I$503,"Concluído",Programação!$G$4:$G$503,"&gt;="&amp;DATE(ano_ref,8,1),Programação!$G$4:$G$503,"&lt;="&amp;EOMONTH(DATE(ano_ref,8,1),0))&gt;0,"✔",IF(AND(ISNUMBER(Planos!$G63),IFERROR(INDEX(lst_frequencia_meses,MATCH(Planos!$E63,lst_frequencia,0)),0)&gt;0,(ano_ref*12+8)-(YEAR(Planos!$G63)*12+MONTH(Planos!$G63))&gt;0,MOD((ano_ref*12+8)-(YEAR(Planos!$G63)*12+MONTH(Planos!$G63)),MAX(1,IFERROR(INDEX(lst_frequencia_meses,MATCH(Planos!$E63,lst_frequencia,0)),0)))=0),"●","")))</f>
      </c>
      <c r="L64" s="43">
        <f>IF(NOT(Planos!$A63&lt;&gt;""),"",IF(COUNTIFS(Programação!$B$4:$B$503,Planos!$A63,Programação!$I$4:$I$503,"Concluído",Programação!$G$4:$G$503,"&gt;="&amp;DATE(ano_ref,9,1),Programação!$G$4:$G$503,"&lt;="&amp;EOMONTH(DATE(ano_ref,9,1),0))&gt;0,"✔",IF(AND(ISNUMBER(Planos!$G63),IFERROR(INDEX(lst_frequencia_meses,MATCH(Planos!$E63,lst_frequencia,0)),0)&gt;0,(ano_ref*12+9)-(YEAR(Planos!$G63)*12+MONTH(Planos!$G63))&gt;0,MOD((ano_ref*12+9)-(YEAR(Planos!$G63)*12+MONTH(Planos!$G63)),MAX(1,IFERROR(INDEX(lst_frequencia_meses,MATCH(Planos!$E63,lst_frequencia,0)),0)))=0),"●","")))</f>
      </c>
      <c r="M64" s="43">
        <f>IF(NOT(Planos!$A63&lt;&gt;""),"",IF(COUNTIFS(Programação!$B$4:$B$503,Planos!$A63,Programação!$I$4:$I$503,"Concluído",Programação!$G$4:$G$503,"&gt;="&amp;DATE(ano_ref,10,1),Programação!$G$4:$G$503,"&lt;="&amp;EOMONTH(DATE(ano_ref,10,1),0))&gt;0,"✔",IF(AND(ISNUMBER(Planos!$G63),IFERROR(INDEX(lst_frequencia_meses,MATCH(Planos!$E63,lst_frequencia,0)),0)&gt;0,(ano_ref*12+10)-(YEAR(Planos!$G63)*12+MONTH(Planos!$G63))&gt;0,MOD((ano_ref*12+10)-(YEAR(Planos!$G63)*12+MONTH(Planos!$G63)),MAX(1,IFERROR(INDEX(lst_frequencia_meses,MATCH(Planos!$E63,lst_frequencia,0)),0)))=0),"●","")))</f>
      </c>
      <c r="N64" s="43">
        <f>IF(NOT(Planos!$A63&lt;&gt;""),"",IF(COUNTIFS(Programação!$B$4:$B$503,Planos!$A63,Programação!$I$4:$I$503,"Concluído",Programação!$G$4:$G$503,"&gt;="&amp;DATE(ano_ref,11,1),Programação!$G$4:$G$503,"&lt;="&amp;EOMONTH(DATE(ano_ref,11,1),0))&gt;0,"✔",IF(AND(ISNUMBER(Planos!$G63),IFERROR(INDEX(lst_frequencia_meses,MATCH(Planos!$E63,lst_frequencia,0)),0)&gt;0,(ano_ref*12+11)-(YEAR(Planos!$G63)*12+MONTH(Planos!$G63))&gt;0,MOD((ano_ref*12+11)-(YEAR(Planos!$G63)*12+MONTH(Planos!$G63)),MAX(1,IFERROR(INDEX(lst_frequencia_meses,MATCH(Planos!$E63,lst_frequencia,0)),0)))=0),"●","")))</f>
      </c>
      <c r="O64" s="43">
        <f>IF(NOT(Planos!$A63&lt;&gt;""),"",IF(COUNTIFS(Programação!$B$4:$B$503,Planos!$A63,Programação!$I$4:$I$503,"Concluído",Programação!$G$4:$G$503,"&gt;="&amp;DATE(ano_ref,12,1),Programação!$G$4:$G$503,"&lt;="&amp;EOMONTH(DATE(ano_ref,12,1),0))&gt;0,"✔",IF(AND(ISNUMBER(Planos!$G63),IFERROR(INDEX(lst_frequencia_meses,MATCH(Planos!$E63,lst_frequencia,0)),0)&gt;0,(ano_ref*12+12)-(YEAR(Planos!$G63)*12+MONTH(Planos!$G63))&gt;0,MOD((ano_ref*12+12)-(YEAR(Planos!$G63)*12+MONTH(Planos!$G63)),MAX(1,IFERROR(INDEX(lst_frequencia_meses,MATCH(Planos!$E63,lst_frequencia,0)),0)))=0),"●","")))</f>
      </c>
      <c r="P64" s="44">
        <f>IF(COUNTIF(D64:O64,"✔")+COUNTIF(D64:O64,"●")=0,"",COUNTIF(D64:O64,"✔")/(COUNTIF(D64:O64,"✔")+COUNTIF(D64:O64,"●")))</f>
      </c>
    </row>
    <row r="65" spans="1:16" x14ac:dyDescent="0.25">
      <c r="A65" s="43">
        <f>IF(Planos!$A64&lt;&gt;"",Planos!A64&amp;"","")</f>
      </c>
      <c r="B65" s="43">
        <f>IF(Planos!$A64&lt;&gt;"",Planos!B64&amp;"","")</f>
      </c>
      <c r="C65" s="24">
        <f>IF(Planos!$A64&lt;&gt;"",Planos!C64&amp;"","")</f>
      </c>
      <c r="D65" s="43">
        <f>IF(NOT(Planos!$A64&lt;&gt;""),"",IF(COUNTIFS(Programação!$B$4:$B$503,Planos!$A64,Programação!$I$4:$I$503,"Concluído",Programação!$G$4:$G$503,"&gt;="&amp;DATE(ano_ref,1,1),Programação!$G$4:$G$503,"&lt;="&amp;EOMONTH(DATE(ano_ref,1,1),0))&gt;0,"✔",IF(AND(ISNUMBER(Planos!$G64),IFERROR(INDEX(lst_frequencia_meses,MATCH(Planos!$E64,lst_frequencia,0)),0)&gt;0,(ano_ref*12+1)-(YEAR(Planos!$G64)*12+MONTH(Planos!$G64))&gt;0,MOD((ano_ref*12+1)-(YEAR(Planos!$G64)*12+MONTH(Planos!$G64)),MAX(1,IFERROR(INDEX(lst_frequencia_meses,MATCH(Planos!$E64,lst_frequencia,0)),0)))=0),"●","")))</f>
      </c>
      <c r="E65" s="43">
        <f>IF(NOT(Planos!$A64&lt;&gt;""),"",IF(COUNTIFS(Programação!$B$4:$B$503,Planos!$A64,Programação!$I$4:$I$503,"Concluído",Programação!$G$4:$G$503,"&gt;="&amp;DATE(ano_ref,2,1),Programação!$G$4:$G$503,"&lt;="&amp;EOMONTH(DATE(ano_ref,2,1),0))&gt;0,"✔",IF(AND(ISNUMBER(Planos!$G64),IFERROR(INDEX(lst_frequencia_meses,MATCH(Planos!$E64,lst_frequencia,0)),0)&gt;0,(ano_ref*12+2)-(YEAR(Planos!$G64)*12+MONTH(Planos!$G64))&gt;0,MOD((ano_ref*12+2)-(YEAR(Planos!$G64)*12+MONTH(Planos!$G64)),MAX(1,IFERROR(INDEX(lst_frequencia_meses,MATCH(Planos!$E64,lst_frequencia,0)),0)))=0),"●","")))</f>
      </c>
      <c r="F65" s="43">
        <f>IF(NOT(Planos!$A64&lt;&gt;""),"",IF(COUNTIFS(Programação!$B$4:$B$503,Planos!$A64,Programação!$I$4:$I$503,"Concluído",Programação!$G$4:$G$503,"&gt;="&amp;DATE(ano_ref,3,1),Programação!$G$4:$G$503,"&lt;="&amp;EOMONTH(DATE(ano_ref,3,1),0))&gt;0,"✔",IF(AND(ISNUMBER(Planos!$G64),IFERROR(INDEX(lst_frequencia_meses,MATCH(Planos!$E64,lst_frequencia,0)),0)&gt;0,(ano_ref*12+3)-(YEAR(Planos!$G64)*12+MONTH(Planos!$G64))&gt;0,MOD((ano_ref*12+3)-(YEAR(Planos!$G64)*12+MONTH(Planos!$G64)),MAX(1,IFERROR(INDEX(lst_frequencia_meses,MATCH(Planos!$E64,lst_frequencia,0)),0)))=0),"●","")))</f>
      </c>
      <c r="G65" s="43">
        <f>IF(NOT(Planos!$A64&lt;&gt;""),"",IF(COUNTIFS(Programação!$B$4:$B$503,Planos!$A64,Programação!$I$4:$I$503,"Concluído",Programação!$G$4:$G$503,"&gt;="&amp;DATE(ano_ref,4,1),Programação!$G$4:$G$503,"&lt;="&amp;EOMONTH(DATE(ano_ref,4,1),0))&gt;0,"✔",IF(AND(ISNUMBER(Planos!$G64),IFERROR(INDEX(lst_frequencia_meses,MATCH(Planos!$E64,lst_frequencia,0)),0)&gt;0,(ano_ref*12+4)-(YEAR(Planos!$G64)*12+MONTH(Planos!$G64))&gt;0,MOD((ano_ref*12+4)-(YEAR(Planos!$G64)*12+MONTH(Planos!$G64)),MAX(1,IFERROR(INDEX(lst_frequencia_meses,MATCH(Planos!$E64,lst_frequencia,0)),0)))=0),"●","")))</f>
      </c>
      <c r="H65" s="43">
        <f>IF(NOT(Planos!$A64&lt;&gt;""),"",IF(COUNTIFS(Programação!$B$4:$B$503,Planos!$A64,Programação!$I$4:$I$503,"Concluído",Programação!$G$4:$G$503,"&gt;="&amp;DATE(ano_ref,5,1),Programação!$G$4:$G$503,"&lt;="&amp;EOMONTH(DATE(ano_ref,5,1),0))&gt;0,"✔",IF(AND(ISNUMBER(Planos!$G64),IFERROR(INDEX(lst_frequencia_meses,MATCH(Planos!$E64,lst_frequencia,0)),0)&gt;0,(ano_ref*12+5)-(YEAR(Planos!$G64)*12+MONTH(Planos!$G64))&gt;0,MOD((ano_ref*12+5)-(YEAR(Planos!$G64)*12+MONTH(Planos!$G64)),MAX(1,IFERROR(INDEX(lst_frequencia_meses,MATCH(Planos!$E64,lst_frequencia,0)),0)))=0),"●","")))</f>
      </c>
      <c r="I65" s="43">
        <f>IF(NOT(Planos!$A64&lt;&gt;""),"",IF(COUNTIFS(Programação!$B$4:$B$503,Planos!$A64,Programação!$I$4:$I$503,"Concluído",Programação!$G$4:$G$503,"&gt;="&amp;DATE(ano_ref,6,1),Programação!$G$4:$G$503,"&lt;="&amp;EOMONTH(DATE(ano_ref,6,1),0))&gt;0,"✔",IF(AND(ISNUMBER(Planos!$G64),IFERROR(INDEX(lst_frequencia_meses,MATCH(Planos!$E64,lst_frequencia,0)),0)&gt;0,(ano_ref*12+6)-(YEAR(Planos!$G64)*12+MONTH(Planos!$G64))&gt;0,MOD((ano_ref*12+6)-(YEAR(Planos!$G64)*12+MONTH(Planos!$G64)),MAX(1,IFERROR(INDEX(lst_frequencia_meses,MATCH(Planos!$E64,lst_frequencia,0)),0)))=0),"●","")))</f>
      </c>
      <c r="J65" s="43">
        <f>IF(NOT(Planos!$A64&lt;&gt;""),"",IF(COUNTIFS(Programação!$B$4:$B$503,Planos!$A64,Programação!$I$4:$I$503,"Concluído",Programação!$G$4:$G$503,"&gt;="&amp;DATE(ano_ref,7,1),Programação!$G$4:$G$503,"&lt;="&amp;EOMONTH(DATE(ano_ref,7,1),0))&gt;0,"✔",IF(AND(ISNUMBER(Planos!$G64),IFERROR(INDEX(lst_frequencia_meses,MATCH(Planos!$E64,lst_frequencia,0)),0)&gt;0,(ano_ref*12+7)-(YEAR(Planos!$G64)*12+MONTH(Planos!$G64))&gt;0,MOD((ano_ref*12+7)-(YEAR(Planos!$G64)*12+MONTH(Planos!$G64)),MAX(1,IFERROR(INDEX(lst_frequencia_meses,MATCH(Planos!$E64,lst_frequencia,0)),0)))=0),"●","")))</f>
      </c>
      <c r="K65" s="43">
        <f>IF(NOT(Planos!$A64&lt;&gt;""),"",IF(COUNTIFS(Programação!$B$4:$B$503,Planos!$A64,Programação!$I$4:$I$503,"Concluído",Programação!$G$4:$G$503,"&gt;="&amp;DATE(ano_ref,8,1),Programação!$G$4:$G$503,"&lt;="&amp;EOMONTH(DATE(ano_ref,8,1),0))&gt;0,"✔",IF(AND(ISNUMBER(Planos!$G64),IFERROR(INDEX(lst_frequencia_meses,MATCH(Planos!$E64,lst_frequencia,0)),0)&gt;0,(ano_ref*12+8)-(YEAR(Planos!$G64)*12+MONTH(Planos!$G64))&gt;0,MOD((ano_ref*12+8)-(YEAR(Planos!$G64)*12+MONTH(Planos!$G64)),MAX(1,IFERROR(INDEX(lst_frequencia_meses,MATCH(Planos!$E64,lst_frequencia,0)),0)))=0),"●","")))</f>
      </c>
      <c r="L65" s="43">
        <f>IF(NOT(Planos!$A64&lt;&gt;""),"",IF(COUNTIFS(Programação!$B$4:$B$503,Planos!$A64,Programação!$I$4:$I$503,"Concluído",Programação!$G$4:$G$503,"&gt;="&amp;DATE(ano_ref,9,1),Programação!$G$4:$G$503,"&lt;="&amp;EOMONTH(DATE(ano_ref,9,1),0))&gt;0,"✔",IF(AND(ISNUMBER(Planos!$G64),IFERROR(INDEX(lst_frequencia_meses,MATCH(Planos!$E64,lst_frequencia,0)),0)&gt;0,(ano_ref*12+9)-(YEAR(Planos!$G64)*12+MONTH(Planos!$G64))&gt;0,MOD((ano_ref*12+9)-(YEAR(Planos!$G64)*12+MONTH(Planos!$G64)),MAX(1,IFERROR(INDEX(lst_frequencia_meses,MATCH(Planos!$E64,lst_frequencia,0)),0)))=0),"●","")))</f>
      </c>
      <c r="M65" s="43">
        <f>IF(NOT(Planos!$A64&lt;&gt;""),"",IF(COUNTIFS(Programação!$B$4:$B$503,Planos!$A64,Programação!$I$4:$I$503,"Concluído",Programação!$G$4:$G$503,"&gt;="&amp;DATE(ano_ref,10,1),Programação!$G$4:$G$503,"&lt;="&amp;EOMONTH(DATE(ano_ref,10,1),0))&gt;0,"✔",IF(AND(ISNUMBER(Planos!$G64),IFERROR(INDEX(lst_frequencia_meses,MATCH(Planos!$E64,lst_frequencia,0)),0)&gt;0,(ano_ref*12+10)-(YEAR(Planos!$G64)*12+MONTH(Planos!$G64))&gt;0,MOD((ano_ref*12+10)-(YEAR(Planos!$G64)*12+MONTH(Planos!$G64)),MAX(1,IFERROR(INDEX(lst_frequencia_meses,MATCH(Planos!$E64,lst_frequencia,0)),0)))=0),"●","")))</f>
      </c>
      <c r="N65" s="43">
        <f>IF(NOT(Planos!$A64&lt;&gt;""),"",IF(COUNTIFS(Programação!$B$4:$B$503,Planos!$A64,Programação!$I$4:$I$503,"Concluído",Programação!$G$4:$G$503,"&gt;="&amp;DATE(ano_ref,11,1),Programação!$G$4:$G$503,"&lt;="&amp;EOMONTH(DATE(ano_ref,11,1),0))&gt;0,"✔",IF(AND(ISNUMBER(Planos!$G64),IFERROR(INDEX(lst_frequencia_meses,MATCH(Planos!$E64,lst_frequencia,0)),0)&gt;0,(ano_ref*12+11)-(YEAR(Planos!$G64)*12+MONTH(Planos!$G64))&gt;0,MOD((ano_ref*12+11)-(YEAR(Planos!$G64)*12+MONTH(Planos!$G64)),MAX(1,IFERROR(INDEX(lst_frequencia_meses,MATCH(Planos!$E64,lst_frequencia,0)),0)))=0),"●","")))</f>
      </c>
      <c r="O65" s="43">
        <f>IF(NOT(Planos!$A64&lt;&gt;""),"",IF(COUNTIFS(Programação!$B$4:$B$503,Planos!$A64,Programação!$I$4:$I$503,"Concluído",Programação!$G$4:$G$503,"&gt;="&amp;DATE(ano_ref,12,1),Programação!$G$4:$G$503,"&lt;="&amp;EOMONTH(DATE(ano_ref,12,1),0))&gt;0,"✔",IF(AND(ISNUMBER(Planos!$G64),IFERROR(INDEX(lst_frequencia_meses,MATCH(Planos!$E64,lst_frequencia,0)),0)&gt;0,(ano_ref*12+12)-(YEAR(Planos!$G64)*12+MONTH(Planos!$G64))&gt;0,MOD((ano_ref*12+12)-(YEAR(Planos!$G64)*12+MONTH(Planos!$G64)),MAX(1,IFERROR(INDEX(lst_frequencia_meses,MATCH(Planos!$E64,lst_frequencia,0)),0)))=0),"●","")))</f>
      </c>
      <c r="P65" s="44">
        <f>IF(COUNTIF(D65:O65,"✔")+COUNTIF(D65:O65,"●")=0,"",COUNTIF(D65:O65,"✔")/(COUNTIF(D65:O65,"✔")+COUNTIF(D65:O65,"●")))</f>
      </c>
    </row>
    <row r="66" spans="1:16" x14ac:dyDescent="0.25">
      <c r="A66" s="43">
        <f>IF(Planos!$A65&lt;&gt;"",Planos!A65&amp;"","")</f>
      </c>
      <c r="B66" s="43">
        <f>IF(Planos!$A65&lt;&gt;"",Planos!B65&amp;"","")</f>
      </c>
      <c r="C66" s="24">
        <f>IF(Planos!$A65&lt;&gt;"",Planos!C65&amp;"","")</f>
      </c>
      <c r="D66" s="43">
        <f>IF(NOT(Planos!$A65&lt;&gt;""),"",IF(COUNTIFS(Programação!$B$4:$B$503,Planos!$A65,Programação!$I$4:$I$503,"Concluído",Programação!$G$4:$G$503,"&gt;="&amp;DATE(ano_ref,1,1),Programação!$G$4:$G$503,"&lt;="&amp;EOMONTH(DATE(ano_ref,1,1),0))&gt;0,"✔",IF(AND(ISNUMBER(Planos!$G65),IFERROR(INDEX(lst_frequencia_meses,MATCH(Planos!$E65,lst_frequencia,0)),0)&gt;0,(ano_ref*12+1)-(YEAR(Planos!$G65)*12+MONTH(Planos!$G65))&gt;0,MOD((ano_ref*12+1)-(YEAR(Planos!$G65)*12+MONTH(Planos!$G65)),MAX(1,IFERROR(INDEX(lst_frequencia_meses,MATCH(Planos!$E65,lst_frequencia,0)),0)))=0),"●","")))</f>
      </c>
      <c r="E66" s="43">
        <f>IF(NOT(Planos!$A65&lt;&gt;""),"",IF(COUNTIFS(Programação!$B$4:$B$503,Planos!$A65,Programação!$I$4:$I$503,"Concluído",Programação!$G$4:$G$503,"&gt;="&amp;DATE(ano_ref,2,1),Programação!$G$4:$G$503,"&lt;="&amp;EOMONTH(DATE(ano_ref,2,1),0))&gt;0,"✔",IF(AND(ISNUMBER(Planos!$G65),IFERROR(INDEX(lst_frequencia_meses,MATCH(Planos!$E65,lst_frequencia,0)),0)&gt;0,(ano_ref*12+2)-(YEAR(Planos!$G65)*12+MONTH(Planos!$G65))&gt;0,MOD((ano_ref*12+2)-(YEAR(Planos!$G65)*12+MONTH(Planos!$G65)),MAX(1,IFERROR(INDEX(lst_frequencia_meses,MATCH(Planos!$E65,lst_frequencia,0)),0)))=0),"●","")))</f>
      </c>
      <c r="F66" s="43">
        <f>IF(NOT(Planos!$A65&lt;&gt;""),"",IF(COUNTIFS(Programação!$B$4:$B$503,Planos!$A65,Programação!$I$4:$I$503,"Concluído",Programação!$G$4:$G$503,"&gt;="&amp;DATE(ano_ref,3,1),Programação!$G$4:$G$503,"&lt;="&amp;EOMONTH(DATE(ano_ref,3,1),0))&gt;0,"✔",IF(AND(ISNUMBER(Planos!$G65),IFERROR(INDEX(lst_frequencia_meses,MATCH(Planos!$E65,lst_frequencia,0)),0)&gt;0,(ano_ref*12+3)-(YEAR(Planos!$G65)*12+MONTH(Planos!$G65))&gt;0,MOD((ano_ref*12+3)-(YEAR(Planos!$G65)*12+MONTH(Planos!$G65)),MAX(1,IFERROR(INDEX(lst_frequencia_meses,MATCH(Planos!$E65,lst_frequencia,0)),0)))=0),"●","")))</f>
      </c>
      <c r="G66" s="43">
        <f>IF(NOT(Planos!$A65&lt;&gt;""),"",IF(COUNTIFS(Programação!$B$4:$B$503,Planos!$A65,Programação!$I$4:$I$503,"Concluído",Programação!$G$4:$G$503,"&gt;="&amp;DATE(ano_ref,4,1),Programação!$G$4:$G$503,"&lt;="&amp;EOMONTH(DATE(ano_ref,4,1),0))&gt;0,"✔",IF(AND(ISNUMBER(Planos!$G65),IFERROR(INDEX(lst_frequencia_meses,MATCH(Planos!$E65,lst_frequencia,0)),0)&gt;0,(ano_ref*12+4)-(YEAR(Planos!$G65)*12+MONTH(Planos!$G65))&gt;0,MOD((ano_ref*12+4)-(YEAR(Planos!$G65)*12+MONTH(Planos!$G65)),MAX(1,IFERROR(INDEX(lst_frequencia_meses,MATCH(Planos!$E65,lst_frequencia,0)),0)))=0),"●","")))</f>
      </c>
      <c r="H66" s="43">
        <f>IF(NOT(Planos!$A65&lt;&gt;""),"",IF(COUNTIFS(Programação!$B$4:$B$503,Planos!$A65,Programação!$I$4:$I$503,"Concluído",Programação!$G$4:$G$503,"&gt;="&amp;DATE(ano_ref,5,1),Programação!$G$4:$G$503,"&lt;="&amp;EOMONTH(DATE(ano_ref,5,1),0))&gt;0,"✔",IF(AND(ISNUMBER(Planos!$G65),IFERROR(INDEX(lst_frequencia_meses,MATCH(Planos!$E65,lst_frequencia,0)),0)&gt;0,(ano_ref*12+5)-(YEAR(Planos!$G65)*12+MONTH(Planos!$G65))&gt;0,MOD((ano_ref*12+5)-(YEAR(Planos!$G65)*12+MONTH(Planos!$G65)),MAX(1,IFERROR(INDEX(lst_frequencia_meses,MATCH(Planos!$E65,lst_frequencia,0)),0)))=0),"●","")))</f>
      </c>
      <c r="I66" s="43">
        <f>IF(NOT(Planos!$A65&lt;&gt;""),"",IF(COUNTIFS(Programação!$B$4:$B$503,Planos!$A65,Programação!$I$4:$I$503,"Concluído",Programação!$G$4:$G$503,"&gt;="&amp;DATE(ano_ref,6,1),Programação!$G$4:$G$503,"&lt;="&amp;EOMONTH(DATE(ano_ref,6,1),0))&gt;0,"✔",IF(AND(ISNUMBER(Planos!$G65),IFERROR(INDEX(lst_frequencia_meses,MATCH(Planos!$E65,lst_frequencia,0)),0)&gt;0,(ano_ref*12+6)-(YEAR(Planos!$G65)*12+MONTH(Planos!$G65))&gt;0,MOD((ano_ref*12+6)-(YEAR(Planos!$G65)*12+MONTH(Planos!$G65)),MAX(1,IFERROR(INDEX(lst_frequencia_meses,MATCH(Planos!$E65,lst_frequencia,0)),0)))=0),"●","")))</f>
      </c>
      <c r="J66" s="43">
        <f>IF(NOT(Planos!$A65&lt;&gt;""),"",IF(COUNTIFS(Programação!$B$4:$B$503,Planos!$A65,Programação!$I$4:$I$503,"Concluído",Programação!$G$4:$G$503,"&gt;="&amp;DATE(ano_ref,7,1),Programação!$G$4:$G$503,"&lt;="&amp;EOMONTH(DATE(ano_ref,7,1),0))&gt;0,"✔",IF(AND(ISNUMBER(Planos!$G65),IFERROR(INDEX(lst_frequencia_meses,MATCH(Planos!$E65,lst_frequencia,0)),0)&gt;0,(ano_ref*12+7)-(YEAR(Planos!$G65)*12+MONTH(Planos!$G65))&gt;0,MOD((ano_ref*12+7)-(YEAR(Planos!$G65)*12+MONTH(Planos!$G65)),MAX(1,IFERROR(INDEX(lst_frequencia_meses,MATCH(Planos!$E65,lst_frequencia,0)),0)))=0),"●","")))</f>
      </c>
      <c r="K66" s="43">
        <f>IF(NOT(Planos!$A65&lt;&gt;""),"",IF(COUNTIFS(Programação!$B$4:$B$503,Planos!$A65,Programação!$I$4:$I$503,"Concluído",Programação!$G$4:$G$503,"&gt;="&amp;DATE(ano_ref,8,1),Programação!$G$4:$G$503,"&lt;="&amp;EOMONTH(DATE(ano_ref,8,1),0))&gt;0,"✔",IF(AND(ISNUMBER(Planos!$G65),IFERROR(INDEX(lst_frequencia_meses,MATCH(Planos!$E65,lst_frequencia,0)),0)&gt;0,(ano_ref*12+8)-(YEAR(Planos!$G65)*12+MONTH(Planos!$G65))&gt;0,MOD((ano_ref*12+8)-(YEAR(Planos!$G65)*12+MONTH(Planos!$G65)),MAX(1,IFERROR(INDEX(lst_frequencia_meses,MATCH(Planos!$E65,lst_frequencia,0)),0)))=0),"●","")))</f>
      </c>
      <c r="L66" s="43">
        <f>IF(NOT(Planos!$A65&lt;&gt;""),"",IF(COUNTIFS(Programação!$B$4:$B$503,Planos!$A65,Programação!$I$4:$I$503,"Concluído",Programação!$G$4:$G$503,"&gt;="&amp;DATE(ano_ref,9,1),Programação!$G$4:$G$503,"&lt;="&amp;EOMONTH(DATE(ano_ref,9,1),0))&gt;0,"✔",IF(AND(ISNUMBER(Planos!$G65),IFERROR(INDEX(lst_frequencia_meses,MATCH(Planos!$E65,lst_frequencia,0)),0)&gt;0,(ano_ref*12+9)-(YEAR(Planos!$G65)*12+MONTH(Planos!$G65))&gt;0,MOD((ano_ref*12+9)-(YEAR(Planos!$G65)*12+MONTH(Planos!$G65)),MAX(1,IFERROR(INDEX(lst_frequencia_meses,MATCH(Planos!$E65,lst_frequencia,0)),0)))=0),"●","")))</f>
      </c>
      <c r="M66" s="43">
        <f>IF(NOT(Planos!$A65&lt;&gt;""),"",IF(COUNTIFS(Programação!$B$4:$B$503,Planos!$A65,Programação!$I$4:$I$503,"Concluído",Programação!$G$4:$G$503,"&gt;="&amp;DATE(ano_ref,10,1),Programação!$G$4:$G$503,"&lt;="&amp;EOMONTH(DATE(ano_ref,10,1),0))&gt;0,"✔",IF(AND(ISNUMBER(Planos!$G65),IFERROR(INDEX(lst_frequencia_meses,MATCH(Planos!$E65,lst_frequencia,0)),0)&gt;0,(ano_ref*12+10)-(YEAR(Planos!$G65)*12+MONTH(Planos!$G65))&gt;0,MOD((ano_ref*12+10)-(YEAR(Planos!$G65)*12+MONTH(Planos!$G65)),MAX(1,IFERROR(INDEX(lst_frequencia_meses,MATCH(Planos!$E65,lst_frequencia,0)),0)))=0),"●","")))</f>
      </c>
      <c r="N66" s="43">
        <f>IF(NOT(Planos!$A65&lt;&gt;""),"",IF(COUNTIFS(Programação!$B$4:$B$503,Planos!$A65,Programação!$I$4:$I$503,"Concluído",Programação!$G$4:$G$503,"&gt;="&amp;DATE(ano_ref,11,1),Programação!$G$4:$G$503,"&lt;="&amp;EOMONTH(DATE(ano_ref,11,1),0))&gt;0,"✔",IF(AND(ISNUMBER(Planos!$G65),IFERROR(INDEX(lst_frequencia_meses,MATCH(Planos!$E65,lst_frequencia,0)),0)&gt;0,(ano_ref*12+11)-(YEAR(Planos!$G65)*12+MONTH(Planos!$G65))&gt;0,MOD((ano_ref*12+11)-(YEAR(Planos!$G65)*12+MONTH(Planos!$G65)),MAX(1,IFERROR(INDEX(lst_frequencia_meses,MATCH(Planos!$E65,lst_frequencia,0)),0)))=0),"●","")))</f>
      </c>
      <c r="O66" s="43">
        <f>IF(NOT(Planos!$A65&lt;&gt;""),"",IF(COUNTIFS(Programação!$B$4:$B$503,Planos!$A65,Programação!$I$4:$I$503,"Concluído",Programação!$G$4:$G$503,"&gt;="&amp;DATE(ano_ref,12,1),Programação!$G$4:$G$503,"&lt;="&amp;EOMONTH(DATE(ano_ref,12,1),0))&gt;0,"✔",IF(AND(ISNUMBER(Planos!$G65),IFERROR(INDEX(lst_frequencia_meses,MATCH(Planos!$E65,lst_frequencia,0)),0)&gt;0,(ano_ref*12+12)-(YEAR(Planos!$G65)*12+MONTH(Planos!$G65))&gt;0,MOD((ano_ref*12+12)-(YEAR(Planos!$G65)*12+MONTH(Planos!$G65)),MAX(1,IFERROR(INDEX(lst_frequencia_meses,MATCH(Planos!$E65,lst_frequencia,0)),0)))=0),"●","")))</f>
      </c>
      <c r="P66" s="44">
        <f>IF(COUNTIF(D66:O66,"✔")+COUNTIF(D66:O66,"●")=0,"",COUNTIF(D66:O66,"✔")/(COUNTIF(D66:O66,"✔")+COUNTIF(D66:O66,"●")))</f>
      </c>
    </row>
    <row r="67" spans="1:16" x14ac:dyDescent="0.25">
      <c r="A67" s="43">
        <f>IF(Planos!$A66&lt;&gt;"",Planos!A66&amp;"","")</f>
      </c>
      <c r="B67" s="43">
        <f>IF(Planos!$A66&lt;&gt;"",Planos!B66&amp;"","")</f>
      </c>
      <c r="C67" s="24">
        <f>IF(Planos!$A66&lt;&gt;"",Planos!C66&amp;"","")</f>
      </c>
      <c r="D67" s="43">
        <f>IF(NOT(Planos!$A66&lt;&gt;""),"",IF(COUNTIFS(Programação!$B$4:$B$503,Planos!$A66,Programação!$I$4:$I$503,"Concluído",Programação!$G$4:$G$503,"&gt;="&amp;DATE(ano_ref,1,1),Programação!$G$4:$G$503,"&lt;="&amp;EOMONTH(DATE(ano_ref,1,1),0))&gt;0,"✔",IF(AND(ISNUMBER(Planos!$G66),IFERROR(INDEX(lst_frequencia_meses,MATCH(Planos!$E66,lst_frequencia,0)),0)&gt;0,(ano_ref*12+1)-(YEAR(Planos!$G66)*12+MONTH(Planos!$G66))&gt;0,MOD((ano_ref*12+1)-(YEAR(Planos!$G66)*12+MONTH(Planos!$G66)),MAX(1,IFERROR(INDEX(lst_frequencia_meses,MATCH(Planos!$E66,lst_frequencia,0)),0)))=0),"●","")))</f>
      </c>
      <c r="E67" s="43">
        <f>IF(NOT(Planos!$A66&lt;&gt;""),"",IF(COUNTIFS(Programação!$B$4:$B$503,Planos!$A66,Programação!$I$4:$I$503,"Concluído",Programação!$G$4:$G$503,"&gt;="&amp;DATE(ano_ref,2,1),Programação!$G$4:$G$503,"&lt;="&amp;EOMONTH(DATE(ano_ref,2,1),0))&gt;0,"✔",IF(AND(ISNUMBER(Planos!$G66),IFERROR(INDEX(lst_frequencia_meses,MATCH(Planos!$E66,lst_frequencia,0)),0)&gt;0,(ano_ref*12+2)-(YEAR(Planos!$G66)*12+MONTH(Planos!$G66))&gt;0,MOD((ano_ref*12+2)-(YEAR(Planos!$G66)*12+MONTH(Planos!$G66)),MAX(1,IFERROR(INDEX(lst_frequencia_meses,MATCH(Planos!$E66,lst_frequencia,0)),0)))=0),"●","")))</f>
      </c>
      <c r="F67" s="43">
        <f>IF(NOT(Planos!$A66&lt;&gt;""),"",IF(COUNTIFS(Programação!$B$4:$B$503,Planos!$A66,Programação!$I$4:$I$503,"Concluído",Programação!$G$4:$G$503,"&gt;="&amp;DATE(ano_ref,3,1),Programação!$G$4:$G$503,"&lt;="&amp;EOMONTH(DATE(ano_ref,3,1),0))&gt;0,"✔",IF(AND(ISNUMBER(Planos!$G66),IFERROR(INDEX(lst_frequencia_meses,MATCH(Planos!$E66,lst_frequencia,0)),0)&gt;0,(ano_ref*12+3)-(YEAR(Planos!$G66)*12+MONTH(Planos!$G66))&gt;0,MOD((ano_ref*12+3)-(YEAR(Planos!$G66)*12+MONTH(Planos!$G66)),MAX(1,IFERROR(INDEX(lst_frequencia_meses,MATCH(Planos!$E66,lst_frequencia,0)),0)))=0),"●","")))</f>
      </c>
      <c r="G67" s="43">
        <f>IF(NOT(Planos!$A66&lt;&gt;""),"",IF(COUNTIFS(Programação!$B$4:$B$503,Planos!$A66,Programação!$I$4:$I$503,"Concluído",Programação!$G$4:$G$503,"&gt;="&amp;DATE(ano_ref,4,1),Programação!$G$4:$G$503,"&lt;="&amp;EOMONTH(DATE(ano_ref,4,1),0))&gt;0,"✔",IF(AND(ISNUMBER(Planos!$G66),IFERROR(INDEX(lst_frequencia_meses,MATCH(Planos!$E66,lst_frequencia,0)),0)&gt;0,(ano_ref*12+4)-(YEAR(Planos!$G66)*12+MONTH(Planos!$G66))&gt;0,MOD((ano_ref*12+4)-(YEAR(Planos!$G66)*12+MONTH(Planos!$G66)),MAX(1,IFERROR(INDEX(lst_frequencia_meses,MATCH(Planos!$E66,lst_frequencia,0)),0)))=0),"●","")))</f>
      </c>
      <c r="H67" s="43">
        <f>IF(NOT(Planos!$A66&lt;&gt;""),"",IF(COUNTIFS(Programação!$B$4:$B$503,Planos!$A66,Programação!$I$4:$I$503,"Concluído",Programação!$G$4:$G$503,"&gt;="&amp;DATE(ano_ref,5,1),Programação!$G$4:$G$503,"&lt;="&amp;EOMONTH(DATE(ano_ref,5,1),0))&gt;0,"✔",IF(AND(ISNUMBER(Planos!$G66),IFERROR(INDEX(lst_frequencia_meses,MATCH(Planos!$E66,lst_frequencia,0)),0)&gt;0,(ano_ref*12+5)-(YEAR(Planos!$G66)*12+MONTH(Planos!$G66))&gt;0,MOD((ano_ref*12+5)-(YEAR(Planos!$G66)*12+MONTH(Planos!$G66)),MAX(1,IFERROR(INDEX(lst_frequencia_meses,MATCH(Planos!$E66,lst_frequencia,0)),0)))=0),"●","")))</f>
      </c>
      <c r="I67" s="43">
        <f>IF(NOT(Planos!$A66&lt;&gt;""),"",IF(COUNTIFS(Programação!$B$4:$B$503,Planos!$A66,Programação!$I$4:$I$503,"Concluído",Programação!$G$4:$G$503,"&gt;="&amp;DATE(ano_ref,6,1),Programação!$G$4:$G$503,"&lt;="&amp;EOMONTH(DATE(ano_ref,6,1),0))&gt;0,"✔",IF(AND(ISNUMBER(Planos!$G66),IFERROR(INDEX(lst_frequencia_meses,MATCH(Planos!$E66,lst_frequencia,0)),0)&gt;0,(ano_ref*12+6)-(YEAR(Planos!$G66)*12+MONTH(Planos!$G66))&gt;0,MOD((ano_ref*12+6)-(YEAR(Planos!$G66)*12+MONTH(Planos!$G66)),MAX(1,IFERROR(INDEX(lst_frequencia_meses,MATCH(Planos!$E66,lst_frequencia,0)),0)))=0),"●","")))</f>
      </c>
      <c r="J67" s="43">
        <f>IF(NOT(Planos!$A66&lt;&gt;""),"",IF(COUNTIFS(Programação!$B$4:$B$503,Planos!$A66,Programação!$I$4:$I$503,"Concluído",Programação!$G$4:$G$503,"&gt;="&amp;DATE(ano_ref,7,1),Programação!$G$4:$G$503,"&lt;="&amp;EOMONTH(DATE(ano_ref,7,1),0))&gt;0,"✔",IF(AND(ISNUMBER(Planos!$G66),IFERROR(INDEX(lst_frequencia_meses,MATCH(Planos!$E66,lst_frequencia,0)),0)&gt;0,(ano_ref*12+7)-(YEAR(Planos!$G66)*12+MONTH(Planos!$G66))&gt;0,MOD((ano_ref*12+7)-(YEAR(Planos!$G66)*12+MONTH(Planos!$G66)),MAX(1,IFERROR(INDEX(lst_frequencia_meses,MATCH(Planos!$E66,lst_frequencia,0)),0)))=0),"●","")))</f>
      </c>
      <c r="K67" s="43">
        <f>IF(NOT(Planos!$A66&lt;&gt;""),"",IF(COUNTIFS(Programação!$B$4:$B$503,Planos!$A66,Programação!$I$4:$I$503,"Concluído",Programação!$G$4:$G$503,"&gt;="&amp;DATE(ano_ref,8,1),Programação!$G$4:$G$503,"&lt;="&amp;EOMONTH(DATE(ano_ref,8,1),0))&gt;0,"✔",IF(AND(ISNUMBER(Planos!$G66),IFERROR(INDEX(lst_frequencia_meses,MATCH(Planos!$E66,lst_frequencia,0)),0)&gt;0,(ano_ref*12+8)-(YEAR(Planos!$G66)*12+MONTH(Planos!$G66))&gt;0,MOD((ano_ref*12+8)-(YEAR(Planos!$G66)*12+MONTH(Planos!$G66)),MAX(1,IFERROR(INDEX(lst_frequencia_meses,MATCH(Planos!$E66,lst_frequencia,0)),0)))=0),"●","")))</f>
      </c>
      <c r="L67" s="43">
        <f>IF(NOT(Planos!$A66&lt;&gt;""),"",IF(COUNTIFS(Programação!$B$4:$B$503,Planos!$A66,Programação!$I$4:$I$503,"Concluído",Programação!$G$4:$G$503,"&gt;="&amp;DATE(ano_ref,9,1),Programação!$G$4:$G$503,"&lt;="&amp;EOMONTH(DATE(ano_ref,9,1),0))&gt;0,"✔",IF(AND(ISNUMBER(Planos!$G66),IFERROR(INDEX(lst_frequencia_meses,MATCH(Planos!$E66,lst_frequencia,0)),0)&gt;0,(ano_ref*12+9)-(YEAR(Planos!$G66)*12+MONTH(Planos!$G66))&gt;0,MOD((ano_ref*12+9)-(YEAR(Planos!$G66)*12+MONTH(Planos!$G66)),MAX(1,IFERROR(INDEX(lst_frequencia_meses,MATCH(Planos!$E66,lst_frequencia,0)),0)))=0),"●","")))</f>
      </c>
      <c r="M67" s="43">
        <f>IF(NOT(Planos!$A66&lt;&gt;""),"",IF(COUNTIFS(Programação!$B$4:$B$503,Planos!$A66,Programação!$I$4:$I$503,"Concluído",Programação!$G$4:$G$503,"&gt;="&amp;DATE(ano_ref,10,1),Programação!$G$4:$G$503,"&lt;="&amp;EOMONTH(DATE(ano_ref,10,1),0))&gt;0,"✔",IF(AND(ISNUMBER(Planos!$G66),IFERROR(INDEX(lst_frequencia_meses,MATCH(Planos!$E66,lst_frequencia,0)),0)&gt;0,(ano_ref*12+10)-(YEAR(Planos!$G66)*12+MONTH(Planos!$G66))&gt;0,MOD((ano_ref*12+10)-(YEAR(Planos!$G66)*12+MONTH(Planos!$G66)),MAX(1,IFERROR(INDEX(lst_frequencia_meses,MATCH(Planos!$E66,lst_frequencia,0)),0)))=0),"●","")))</f>
      </c>
      <c r="N67" s="43">
        <f>IF(NOT(Planos!$A66&lt;&gt;""),"",IF(COUNTIFS(Programação!$B$4:$B$503,Planos!$A66,Programação!$I$4:$I$503,"Concluído",Programação!$G$4:$G$503,"&gt;="&amp;DATE(ano_ref,11,1),Programação!$G$4:$G$503,"&lt;="&amp;EOMONTH(DATE(ano_ref,11,1),0))&gt;0,"✔",IF(AND(ISNUMBER(Planos!$G66),IFERROR(INDEX(lst_frequencia_meses,MATCH(Planos!$E66,lst_frequencia,0)),0)&gt;0,(ano_ref*12+11)-(YEAR(Planos!$G66)*12+MONTH(Planos!$G66))&gt;0,MOD((ano_ref*12+11)-(YEAR(Planos!$G66)*12+MONTH(Planos!$G66)),MAX(1,IFERROR(INDEX(lst_frequencia_meses,MATCH(Planos!$E66,lst_frequencia,0)),0)))=0),"●","")))</f>
      </c>
      <c r="O67" s="43">
        <f>IF(NOT(Planos!$A66&lt;&gt;""),"",IF(COUNTIFS(Programação!$B$4:$B$503,Planos!$A66,Programação!$I$4:$I$503,"Concluído",Programação!$G$4:$G$503,"&gt;="&amp;DATE(ano_ref,12,1),Programação!$G$4:$G$503,"&lt;="&amp;EOMONTH(DATE(ano_ref,12,1),0))&gt;0,"✔",IF(AND(ISNUMBER(Planos!$G66),IFERROR(INDEX(lst_frequencia_meses,MATCH(Planos!$E66,lst_frequencia,0)),0)&gt;0,(ano_ref*12+12)-(YEAR(Planos!$G66)*12+MONTH(Planos!$G66))&gt;0,MOD((ano_ref*12+12)-(YEAR(Planos!$G66)*12+MONTH(Planos!$G66)),MAX(1,IFERROR(INDEX(lst_frequencia_meses,MATCH(Planos!$E66,lst_frequencia,0)),0)))=0),"●","")))</f>
      </c>
      <c r="P67" s="44">
        <f>IF(COUNTIF(D67:O67,"✔")+COUNTIF(D67:O67,"●")=0,"",COUNTIF(D67:O67,"✔")/(COUNTIF(D67:O67,"✔")+COUNTIF(D67:O67,"●")))</f>
      </c>
    </row>
    <row r="68" spans="1:16" x14ac:dyDescent="0.25">
      <c r="A68" s="43">
        <f>IF(Planos!$A67&lt;&gt;"",Planos!A67&amp;"","")</f>
      </c>
      <c r="B68" s="43">
        <f>IF(Planos!$A67&lt;&gt;"",Planos!B67&amp;"","")</f>
      </c>
      <c r="C68" s="24">
        <f>IF(Planos!$A67&lt;&gt;"",Planos!C67&amp;"","")</f>
      </c>
      <c r="D68" s="43">
        <f>IF(NOT(Planos!$A67&lt;&gt;""),"",IF(COUNTIFS(Programação!$B$4:$B$503,Planos!$A67,Programação!$I$4:$I$503,"Concluído",Programação!$G$4:$G$503,"&gt;="&amp;DATE(ano_ref,1,1),Programação!$G$4:$G$503,"&lt;="&amp;EOMONTH(DATE(ano_ref,1,1),0))&gt;0,"✔",IF(AND(ISNUMBER(Planos!$G67),IFERROR(INDEX(lst_frequencia_meses,MATCH(Planos!$E67,lst_frequencia,0)),0)&gt;0,(ano_ref*12+1)-(YEAR(Planos!$G67)*12+MONTH(Planos!$G67))&gt;0,MOD((ano_ref*12+1)-(YEAR(Planos!$G67)*12+MONTH(Planos!$G67)),MAX(1,IFERROR(INDEX(lst_frequencia_meses,MATCH(Planos!$E67,lst_frequencia,0)),0)))=0),"●","")))</f>
      </c>
      <c r="E68" s="43">
        <f>IF(NOT(Planos!$A67&lt;&gt;""),"",IF(COUNTIFS(Programação!$B$4:$B$503,Planos!$A67,Programação!$I$4:$I$503,"Concluído",Programação!$G$4:$G$503,"&gt;="&amp;DATE(ano_ref,2,1),Programação!$G$4:$G$503,"&lt;="&amp;EOMONTH(DATE(ano_ref,2,1),0))&gt;0,"✔",IF(AND(ISNUMBER(Planos!$G67),IFERROR(INDEX(lst_frequencia_meses,MATCH(Planos!$E67,lst_frequencia,0)),0)&gt;0,(ano_ref*12+2)-(YEAR(Planos!$G67)*12+MONTH(Planos!$G67))&gt;0,MOD((ano_ref*12+2)-(YEAR(Planos!$G67)*12+MONTH(Planos!$G67)),MAX(1,IFERROR(INDEX(lst_frequencia_meses,MATCH(Planos!$E67,lst_frequencia,0)),0)))=0),"●","")))</f>
      </c>
      <c r="F68" s="43">
        <f>IF(NOT(Planos!$A67&lt;&gt;""),"",IF(COUNTIFS(Programação!$B$4:$B$503,Planos!$A67,Programação!$I$4:$I$503,"Concluído",Programação!$G$4:$G$503,"&gt;="&amp;DATE(ano_ref,3,1),Programação!$G$4:$G$503,"&lt;="&amp;EOMONTH(DATE(ano_ref,3,1),0))&gt;0,"✔",IF(AND(ISNUMBER(Planos!$G67),IFERROR(INDEX(lst_frequencia_meses,MATCH(Planos!$E67,lst_frequencia,0)),0)&gt;0,(ano_ref*12+3)-(YEAR(Planos!$G67)*12+MONTH(Planos!$G67))&gt;0,MOD((ano_ref*12+3)-(YEAR(Planos!$G67)*12+MONTH(Planos!$G67)),MAX(1,IFERROR(INDEX(lst_frequencia_meses,MATCH(Planos!$E67,lst_frequencia,0)),0)))=0),"●","")))</f>
      </c>
      <c r="G68" s="43">
        <f>IF(NOT(Planos!$A67&lt;&gt;""),"",IF(COUNTIFS(Programação!$B$4:$B$503,Planos!$A67,Programação!$I$4:$I$503,"Concluído",Programação!$G$4:$G$503,"&gt;="&amp;DATE(ano_ref,4,1),Programação!$G$4:$G$503,"&lt;="&amp;EOMONTH(DATE(ano_ref,4,1),0))&gt;0,"✔",IF(AND(ISNUMBER(Planos!$G67),IFERROR(INDEX(lst_frequencia_meses,MATCH(Planos!$E67,lst_frequencia,0)),0)&gt;0,(ano_ref*12+4)-(YEAR(Planos!$G67)*12+MONTH(Planos!$G67))&gt;0,MOD((ano_ref*12+4)-(YEAR(Planos!$G67)*12+MONTH(Planos!$G67)),MAX(1,IFERROR(INDEX(lst_frequencia_meses,MATCH(Planos!$E67,lst_frequencia,0)),0)))=0),"●","")))</f>
      </c>
      <c r="H68" s="43">
        <f>IF(NOT(Planos!$A67&lt;&gt;""),"",IF(COUNTIFS(Programação!$B$4:$B$503,Planos!$A67,Programação!$I$4:$I$503,"Concluído",Programação!$G$4:$G$503,"&gt;="&amp;DATE(ano_ref,5,1),Programação!$G$4:$G$503,"&lt;="&amp;EOMONTH(DATE(ano_ref,5,1),0))&gt;0,"✔",IF(AND(ISNUMBER(Planos!$G67),IFERROR(INDEX(lst_frequencia_meses,MATCH(Planos!$E67,lst_frequencia,0)),0)&gt;0,(ano_ref*12+5)-(YEAR(Planos!$G67)*12+MONTH(Planos!$G67))&gt;0,MOD((ano_ref*12+5)-(YEAR(Planos!$G67)*12+MONTH(Planos!$G67)),MAX(1,IFERROR(INDEX(lst_frequencia_meses,MATCH(Planos!$E67,lst_frequencia,0)),0)))=0),"●","")))</f>
      </c>
      <c r="I68" s="43">
        <f>IF(NOT(Planos!$A67&lt;&gt;""),"",IF(COUNTIFS(Programação!$B$4:$B$503,Planos!$A67,Programação!$I$4:$I$503,"Concluído",Programação!$G$4:$G$503,"&gt;="&amp;DATE(ano_ref,6,1),Programação!$G$4:$G$503,"&lt;="&amp;EOMONTH(DATE(ano_ref,6,1),0))&gt;0,"✔",IF(AND(ISNUMBER(Planos!$G67),IFERROR(INDEX(lst_frequencia_meses,MATCH(Planos!$E67,lst_frequencia,0)),0)&gt;0,(ano_ref*12+6)-(YEAR(Planos!$G67)*12+MONTH(Planos!$G67))&gt;0,MOD((ano_ref*12+6)-(YEAR(Planos!$G67)*12+MONTH(Planos!$G67)),MAX(1,IFERROR(INDEX(lst_frequencia_meses,MATCH(Planos!$E67,lst_frequencia,0)),0)))=0),"●","")))</f>
      </c>
      <c r="J68" s="43">
        <f>IF(NOT(Planos!$A67&lt;&gt;""),"",IF(COUNTIFS(Programação!$B$4:$B$503,Planos!$A67,Programação!$I$4:$I$503,"Concluído",Programação!$G$4:$G$503,"&gt;="&amp;DATE(ano_ref,7,1),Programação!$G$4:$G$503,"&lt;="&amp;EOMONTH(DATE(ano_ref,7,1),0))&gt;0,"✔",IF(AND(ISNUMBER(Planos!$G67),IFERROR(INDEX(lst_frequencia_meses,MATCH(Planos!$E67,lst_frequencia,0)),0)&gt;0,(ano_ref*12+7)-(YEAR(Planos!$G67)*12+MONTH(Planos!$G67))&gt;0,MOD((ano_ref*12+7)-(YEAR(Planos!$G67)*12+MONTH(Planos!$G67)),MAX(1,IFERROR(INDEX(lst_frequencia_meses,MATCH(Planos!$E67,lst_frequencia,0)),0)))=0),"●","")))</f>
      </c>
      <c r="K68" s="43">
        <f>IF(NOT(Planos!$A67&lt;&gt;""),"",IF(COUNTIFS(Programação!$B$4:$B$503,Planos!$A67,Programação!$I$4:$I$503,"Concluído",Programação!$G$4:$G$503,"&gt;="&amp;DATE(ano_ref,8,1),Programação!$G$4:$G$503,"&lt;="&amp;EOMONTH(DATE(ano_ref,8,1),0))&gt;0,"✔",IF(AND(ISNUMBER(Planos!$G67),IFERROR(INDEX(lst_frequencia_meses,MATCH(Planos!$E67,lst_frequencia,0)),0)&gt;0,(ano_ref*12+8)-(YEAR(Planos!$G67)*12+MONTH(Planos!$G67))&gt;0,MOD((ano_ref*12+8)-(YEAR(Planos!$G67)*12+MONTH(Planos!$G67)),MAX(1,IFERROR(INDEX(lst_frequencia_meses,MATCH(Planos!$E67,lst_frequencia,0)),0)))=0),"●","")))</f>
      </c>
      <c r="L68" s="43">
        <f>IF(NOT(Planos!$A67&lt;&gt;""),"",IF(COUNTIFS(Programação!$B$4:$B$503,Planos!$A67,Programação!$I$4:$I$503,"Concluído",Programação!$G$4:$G$503,"&gt;="&amp;DATE(ano_ref,9,1),Programação!$G$4:$G$503,"&lt;="&amp;EOMONTH(DATE(ano_ref,9,1),0))&gt;0,"✔",IF(AND(ISNUMBER(Planos!$G67),IFERROR(INDEX(lst_frequencia_meses,MATCH(Planos!$E67,lst_frequencia,0)),0)&gt;0,(ano_ref*12+9)-(YEAR(Planos!$G67)*12+MONTH(Planos!$G67))&gt;0,MOD((ano_ref*12+9)-(YEAR(Planos!$G67)*12+MONTH(Planos!$G67)),MAX(1,IFERROR(INDEX(lst_frequencia_meses,MATCH(Planos!$E67,lst_frequencia,0)),0)))=0),"●","")))</f>
      </c>
      <c r="M68" s="43">
        <f>IF(NOT(Planos!$A67&lt;&gt;""),"",IF(COUNTIFS(Programação!$B$4:$B$503,Planos!$A67,Programação!$I$4:$I$503,"Concluído",Programação!$G$4:$G$503,"&gt;="&amp;DATE(ano_ref,10,1),Programação!$G$4:$G$503,"&lt;="&amp;EOMONTH(DATE(ano_ref,10,1),0))&gt;0,"✔",IF(AND(ISNUMBER(Planos!$G67),IFERROR(INDEX(lst_frequencia_meses,MATCH(Planos!$E67,lst_frequencia,0)),0)&gt;0,(ano_ref*12+10)-(YEAR(Planos!$G67)*12+MONTH(Planos!$G67))&gt;0,MOD((ano_ref*12+10)-(YEAR(Planos!$G67)*12+MONTH(Planos!$G67)),MAX(1,IFERROR(INDEX(lst_frequencia_meses,MATCH(Planos!$E67,lst_frequencia,0)),0)))=0),"●","")))</f>
      </c>
      <c r="N68" s="43">
        <f>IF(NOT(Planos!$A67&lt;&gt;""),"",IF(COUNTIFS(Programação!$B$4:$B$503,Planos!$A67,Programação!$I$4:$I$503,"Concluído",Programação!$G$4:$G$503,"&gt;="&amp;DATE(ano_ref,11,1),Programação!$G$4:$G$503,"&lt;="&amp;EOMONTH(DATE(ano_ref,11,1),0))&gt;0,"✔",IF(AND(ISNUMBER(Planos!$G67),IFERROR(INDEX(lst_frequencia_meses,MATCH(Planos!$E67,lst_frequencia,0)),0)&gt;0,(ano_ref*12+11)-(YEAR(Planos!$G67)*12+MONTH(Planos!$G67))&gt;0,MOD((ano_ref*12+11)-(YEAR(Planos!$G67)*12+MONTH(Planos!$G67)),MAX(1,IFERROR(INDEX(lst_frequencia_meses,MATCH(Planos!$E67,lst_frequencia,0)),0)))=0),"●","")))</f>
      </c>
      <c r="O68" s="43">
        <f>IF(NOT(Planos!$A67&lt;&gt;""),"",IF(COUNTIFS(Programação!$B$4:$B$503,Planos!$A67,Programação!$I$4:$I$503,"Concluído",Programação!$G$4:$G$503,"&gt;="&amp;DATE(ano_ref,12,1),Programação!$G$4:$G$503,"&lt;="&amp;EOMONTH(DATE(ano_ref,12,1),0))&gt;0,"✔",IF(AND(ISNUMBER(Planos!$G67),IFERROR(INDEX(lst_frequencia_meses,MATCH(Planos!$E67,lst_frequencia,0)),0)&gt;0,(ano_ref*12+12)-(YEAR(Planos!$G67)*12+MONTH(Planos!$G67))&gt;0,MOD((ano_ref*12+12)-(YEAR(Planos!$G67)*12+MONTH(Planos!$G67)),MAX(1,IFERROR(INDEX(lst_frequencia_meses,MATCH(Planos!$E67,lst_frequencia,0)),0)))=0),"●","")))</f>
      </c>
      <c r="P68" s="44">
        <f>IF(COUNTIF(D68:O68,"✔")+COUNTIF(D68:O68,"●")=0,"",COUNTIF(D68:O68,"✔")/(COUNTIF(D68:O68,"✔")+COUNTIF(D68:O68,"●")))</f>
      </c>
    </row>
    <row r="69" spans="1:16" x14ac:dyDescent="0.25">
      <c r="A69" s="43">
        <f>IF(Planos!$A68&lt;&gt;"",Planos!A68&amp;"","")</f>
      </c>
      <c r="B69" s="43">
        <f>IF(Planos!$A68&lt;&gt;"",Planos!B68&amp;"","")</f>
      </c>
      <c r="C69" s="24">
        <f>IF(Planos!$A68&lt;&gt;"",Planos!C68&amp;"","")</f>
      </c>
      <c r="D69" s="43">
        <f>IF(NOT(Planos!$A68&lt;&gt;""),"",IF(COUNTIFS(Programação!$B$4:$B$503,Planos!$A68,Programação!$I$4:$I$503,"Concluído",Programação!$G$4:$G$503,"&gt;="&amp;DATE(ano_ref,1,1),Programação!$G$4:$G$503,"&lt;="&amp;EOMONTH(DATE(ano_ref,1,1),0))&gt;0,"✔",IF(AND(ISNUMBER(Planos!$G68),IFERROR(INDEX(lst_frequencia_meses,MATCH(Planos!$E68,lst_frequencia,0)),0)&gt;0,(ano_ref*12+1)-(YEAR(Planos!$G68)*12+MONTH(Planos!$G68))&gt;0,MOD((ano_ref*12+1)-(YEAR(Planos!$G68)*12+MONTH(Planos!$G68)),MAX(1,IFERROR(INDEX(lst_frequencia_meses,MATCH(Planos!$E68,lst_frequencia,0)),0)))=0),"●","")))</f>
      </c>
      <c r="E69" s="43">
        <f>IF(NOT(Planos!$A68&lt;&gt;""),"",IF(COUNTIFS(Programação!$B$4:$B$503,Planos!$A68,Programação!$I$4:$I$503,"Concluído",Programação!$G$4:$G$503,"&gt;="&amp;DATE(ano_ref,2,1),Programação!$G$4:$G$503,"&lt;="&amp;EOMONTH(DATE(ano_ref,2,1),0))&gt;0,"✔",IF(AND(ISNUMBER(Planos!$G68),IFERROR(INDEX(lst_frequencia_meses,MATCH(Planos!$E68,lst_frequencia,0)),0)&gt;0,(ano_ref*12+2)-(YEAR(Planos!$G68)*12+MONTH(Planos!$G68))&gt;0,MOD((ano_ref*12+2)-(YEAR(Planos!$G68)*12+MONTH(Planos!$G68)),MAX(1,IFERROR(INDEX(lst_frequencia_meses,MATCH(Planos!$E68,lst_frequencia,0)),0)))=0),"●","")))</f>
      </c>
      <c r="F69" s="43">
        <f>IF(NOT(Planos!$A68&lt;&gt;""),"",IF(COUNTIFS(Programação!$B$4:$B$503,Planos!$A68,Programação!$I$4:$I$503,"Concluído",Programação!$G$4:$G$503,"&gt;="&amp;DATE(ano_ref,3,1),Programação!$G$4:$G$503,"&lt;="&amp;EOMONTH(DATE(ano_ref,3,1),0))&gt;0,"✔",IF(AND(ISNUMBER(Planos!$G68),IFERROR(INDEX(lst_frequencia_meses,MATCH(Planos!$E68,lst_frequencia,0)),0)&gt;0,(ano_ref*12+3)-(YEAR(Planos!$G68)*12+MONTH(Planos!$G68))&gt;0,MOD((ano_ref*12+3)-(YEAR(Planos!$G68)*12+MONTH(Planos!$G68)),MAX(1,IFERROR(INDEX(lst_frequencia_meses,MATCH(Planos!$E68,lst_frequencia,0)),0)))=0),"●","")))</f>
      </c>
      <c r="G69" s="43">
        <f>IF(NOT(Planos!$A68&lt;&gt;""),"",IF(COUNTIFS(Programação!$B$4:$B$503,Planos!$A68,Programação!$I$4:$I$503,"Concluído",Programação!$G$4:$G$503,"&gt;="&amp;DATE(ano_ref,4,1),Programação!$G$4:$G$503,"&lt;="&amp;EOMONTH(DATE(ano_ref,4,1),0))&gt;0,"✔",IF(AND(ISNUMBER(Planos!$G68),IFERROR(INDEX(lst_frequencia_meses,MATCH(Planos!$E68,lst_frequencia,0)),0)&gt;0,(ano_ref*12+4)-(YEAR(Planos!$G68)*12+MONTH(Planos!$G68))&gt;0,MOD((ano_ref*12+4)-(YEAR(Planos!$G68)*12+MONTH(Planos!$G68)),MAX(1,IFERROR(INDEX(lst_frequencia_meses,MATCH(Planos!$E68,lst_frequencia,0)),0)))=0),"●","")))</f>
      </c>
      <c r="H69" s="43">
        <f>IF(NOT(Planos!$A68&lt;&gt;""),"",IF(COUNTIFS(Programação!$B$4:$B$503,Planos!$A68,Programação!$I$4:$I$503,"Concluído",Programação!$G$4:$G$503,"&gt;="&amp;DATE(ano_ref,5,1),Programação!$G$4:$G$503,"&lt;="&amp;EOMONTH(DATE(ano_ref,5,1),0))&gt;0,"✔",IF(AND(ISNUMBER(Planos!$G68),IFERROR(INDEX(lst_frequencia_meses,MATCH(Planos!$E68,lst_frequencia,0)),0)&gt;0,(ano_ref*12+5)-(YEAR(Planos!$G68)*12+MONTH(Planos!$G68))&gt;0,MOD((ano_ref*12+5)-(YEAR(Planos!$G68)*12+MONTH(Planos!$G68)),MAX(1,IFERROR(INDEX(lst_frequencia_meses,MATCH(Planos!$E68,lst_frequencia,0)),0)))=0),"●","")))</f>
      </c>
      <c r="I69" s="43">
        <f>IF(NOT(Planos!$A68&lt;&gt;""),"",IF(COUNTIFS(Programação!$B$4:$B$503,Planos!$A68,Programação!$I$4:$I$503,"Concluído",Programação!$G$4:$G$503,"&gt;="&amp;DATE(ano_ref,6,1),Programação!$G$4:$G$503,"&lt;="&amp;EOMONTH(DATE(ano_ref,6,1),0))&gt;0,"✔",IF(AND(ISNUMBER(Planos!$G68),IFERROR(INDEX(lst_frequencia_meses,MATCH(Planos!$E68,lst_frequencia,0)),0)&gt;0,(ano_ref*12+6)-(YEAR(Planos!$G68)*12+MONTH(Planos!$G68))&gt;0,MOD((ano_ref*12+6)-(YEAR(Planos!$G68)*12+MONTH(Planos!$G68)),MAX(1,IFERROR(INDEX(lst_frequencia_meses,MATCH(Planos!$E68,lst_frequencia,0)),0)))=0),"●","")))</f>
      </c>
      <c r="J69" s="43">
        <f>IF(NOT(Planos!$A68&lt;&gt;""),"",IF(COUNTIFS(Programação!$B$4:$B$503,Planos!$A68,Programação!$I$4:$I$503,"Concluído",Programação!$G$4:$G$503,"&gt;="&amp;DATE(ano_ref,7,1),Programação!$G$4:$G$503,"&lt;="&amp;EOMONTH(DATE(ano_ref,7,1),0))&gt;0,"✔",IF(AND(ISNUMBER(Planos!$G68),IFERROR(INDEX(lst_frequencia_meses,MATCH(Planos!$E68,lst_frequencia,0)),0)&gt;0,(ano_ref*12+7)-(YEAR(Planos!$G68)*12+MONTH(Planos!$G68))&gt;0,MOD((ano_ref*12+7)-(YEAR(Planos!$G68)*12+MONTH(Planos!$G68)),MAX(1,IFERROR(INDEX(lst_frequencia_meses,MATCH(Planos!$E68,lst_frequencia,0)),0)))=0),"●","")))</f>
      </c>
      <c r="K69" s="43">
        <f>IF(NOT(Planos!$A68&lt;&gt;""),"",IF(COUNTIFS(Programação!$B$4:$B$503,Planos!$A68,Programação!$I$4:$I$503,"Concluído",Programação!$G$4:$G$503,"&gt;="&amp;DATE(ano_ref,8,1),Programação!$G$4:$G$503,"&lt;="&amp;EOMONTH(DATE(ano_ref,8,1),0))&gt;0,"✔",IF(AND(ISNUMBER(Planos!$G68),IFERROR(INDEX(lst_frequencia_meses,MATCH(Planos!$E68,lst_frequencia,0)),0)&gt;0,(ano_ref*12+8)-(YEAR(Planos!$G68)*12+MONTH(Planos!$G68))&gt;0,MOD((ano_ref*12+8)-(YEAR(Planos!$G68)*12+MONTH(Planos!$G68)),MAX(1,IFERROR(INDEX(lst_frequencia_meses,MATCH(Planos!$E68,lst_frequencia,0)),0)))=0),"●","")))</f>
      </c>
      <c r="L69" s="43">
        <f>IF(NOT(Planos!$A68&lt;&gt;""),"",IF(COUNTIFS(Programação!$B$4:$B$503,Planos!$A68,Programação!$I$4:$I$503,"Concluído",Programação!$G$4:$G$503,"&gt;="&amp;DATE(ano_ref,9,1),Programação!$G$4:$G$503,"&lt;="&amp;EOMONTH(DATE(ano_ref,9,1),0))&gt;0,"✔",IF(AND(ISNUMBER(Planos!$G68),IFERROR(INDEX(lst_frequencia_meses,MATCH(Planos!$E68,lst_frequencia,0)),0)&gt;0,(ano_ref*12+9)-(YEAR(Planos!$G68)*12+MONTH(Planos!$G68))&gt;0,MOD((ano_ref*12+9)-(YEAR(Planos!$G68)*12+MONTH(Planos!$G68)),MAX(1,IFERROR(INDEX(lst_frequencia_meses,MATCH(Planos!$E68,lst_frequencia,0)),0)))=0),"●","")))</f>
      </c>
      <c r="M69" s="43">
        <f>IF(NOT(Planos!$A68&lt;&gt;""),"",IF(COUNTIFS(Programação!$B$4:$B$503,Planos!$A68,Programação!$I$4:$I$503,"Concluído",Programação!$G$4:$G$503,"&gt;="&amp;DATE(ano_ref,10,1),Programação!$G$4:$G$503,"&lt;="&amp;EOMONTH(DATE(ano_ref,10,1),0))&gt;0,"✔",IF(AND(ISNUMBER(Planos!$G68),IFERROR(INDEX(lst_frequencia_meses,MATCH(Planos!$E68,lst_frequencia,0)),0)&gt;0,(ano_ref*12+10)-(YEAR(Planos!$G68)*12+MONTH(Planos!$G68))&gt;0,MOD((ano_ref*12+10)-(YEAR(Planos!$G68)*12+MONTH(Planos!$G68)),MAX(1,IFERROR(INDEX(lst_frequencia_meses,MATCH(Planos!$E68,lst_frequencia,0)),0)))=0),"●","")))</f>
      </c>
      <c r="N69" s="43">
        <f>IF(NOT(Planos!$A68&lt;&gt;""),"",IF(COUNTIFS(Programação!$B$4:$B$503,Planos!$A68,Programação!$I$4:$I$503,"Concluído",Programação!$G$4:$G$503,"&gt;="&amp;DATE(ano_ref,11,1),Programação!$G$4:$G$503,"&lt;="&amp;EOMONTH(DATE(ano_ref,11,1),0))&gt;0,"✔",IF(AND(ISNUMBER(Planos!$G68),IFERROR(INDEX(lst_frequencia_meses,MATCH(Planos!$E68,lst_frequencia,0)),0)&gt;0,(ano_ref*12+11)-(YEAR(Planos!$G68)*12+MONTH(Planos!$G68))&gt;0,MOD((ano_ref*12+11)-(YEAR(Planos!$G68)*12+MONTH(Planos!$G68)),MAX(1,IFERROR(INDEX(lst_frequencia_meses,MATCH(Planos!$E68,lst_frequencia,0)),0)))=0),"●","")))</f>
      </c>
      <c r="O69" s="43">
        <f>IF(NOT(Planos!$A68&lt;&gt;""),"",IF(COUNTIFS(Programação!$B$4:$B$503,Planos!$A68,Programação!$I$4:$I$503,"Concluído",Programação!$G$4:$G$503,"&gt;="&amp;DATE(ano_ref,12,1),Programação!$G$4:$G$503,"&lt;="&amp;EOMONTH(DATE(ano_ref,12,1),0))&gt;0,"✔",IF(AND(ISNUMBER(Planos!$G68),IFERROR(INDEX(lst_frequencia_meses,MATCH(Planos!$E68,lst_frequencia,0)),0)&gt;0,(ano_ref*12+12)-(YEAR(Planos!$G68)*12+MONTH(Planos!$G68))&gt;0,MOD((ano_ref*12+12)-(YEAR(Planos!$G68)*12+MONTH(Planos!$G68)),MAX(1,IFERROR(INDEX(lst_frequencia_meses,MATCH(Planos!$E68,lst_frequencia,0)),0)))=0),"●","")))</f>
      </c>
      <c r="P69" s="44">
        <f>IF(COUNTIF(D69:O69,"✔")+COUNTIF(D69:O69,"●")=0,"",COUNTIF(D69:O69,"✔")/(COUNTIF(D69:O69,"✔")+COUNTIF(D69:O69,"●")))</f>
      </c>
    </row>
    <row r="70" spans="1:16" x14ac:dyDescent="0.25">
      <c r="A70" s="43">
        <f>IF(Planos!$A69&lt;&gt;"",Planos!A69&amp;"","")</f>
      </c>
      <c r="B70" s="43">
        <f>IF(Planos!$A69&lt;&gt;"",Planos!B69&amp;"","")</f>
      </c>
      <c r="C70" s="24">
        <f>IF(Planos!$A69&lt;&gt;"",Planos!C69&amp;"","")</f>
      </c>
      <c r="D70" s="43">
        <f>IF(NOT(Planos!$A69&lt;&gt;""),"",IF(COUNTIFS(Programação!$B$4:$B$503,Planos!$A69,Programação!$I$4:$I$503,"Concluído",Programação!$G$4:$G$503,"&gt;="&amp;DATE(ano_ref,1,1),Programação!$G$4:$G$503,"&lt;="&amp;EOMONTH(DATE(ano_ref,1,1),0))&gt;0,"✔",IF(AND(ISNUMBER(Planos!$G69),IFERROR(INDEX(lst_frequencia_meses,MATCH(Planos!$E69,lst_frequencia,0)),0)&gt;0,(ano_ref*12+1)-(YEAR(Planos!$G69)*12+MONTH(Planos!$G69))&gt;0,MOD((ano_ref*12+1)-(YEAR(Planos!$G69)*12+MONTH(Planos!$G69)),MAX(1,IFERROR(INDEX(lst_frequencia_meses,MATCH(Planos!$E69,lst_frequencia,0)),0)))=0),"●","")))</f>
      </c>
      <c r="E70" s="43">
        <f>IF(NOT(Planos!$A69&lt;&gt;""),"",IF(COUNTIFS(Programação!$B$4:$B$503,Planos!$A69,Programação!$I$4:$I$503,"Concluído",Programação!$G$4:$G$503,"&gt;="&amp;DATE(ano_ref,2,1),Programação!$G$4:$G$503,"&lt;="&amp;EOMONTH(DATE(ano_ref,2,1),0))&gt;0,"✔",IF(AND(ISNUMBER(Planos!$G69),IFERROR(INDEX(lst_frequencia_meses,MATCH(Planos!$E69,lst_frequencia,0)),0)&gt;0,(ano_ref*12+2)-(YEAR(Planos!$G69)*12+MONTH(Planos!$G69))&gt;0,MOD((ano_ref*12+2)-(YEAR(Planos!$G69)*12+MONTH(Planos!$G69)),MAX(1,IFERROR(INDEX(lst_frequencia_meses,MATCH(Planos!$E69,lst_frequencia,0)),0)))=0),"●","")))</f>
      </c>
      <c r="F70" s="43">
        <f>IF(NOT(Planos!$A69&lt;&gt;""),"",IF(COUNTIFS(Programação!$B$4:$B$503,Planos!$A69,Programação!$I$4:$I$503,"Concluído",Programação!$G$4:$G$503,"&gt;="&amp;DATE(ano_ref,3,1),Programação!$G$4:$G$503,"&lt;="&amp;EOMONTH(DATE(ano_ref,3,1),0))&gt;0,"✔",IF(AND(ISNUMBER(Planos!$G69),IFERROR(INDEX(lst_frequencia_meses,MATCH(Planos!$E69,lst_frequencia,0)),0)&gt;0,(ano_ref*12+3)-(YEAR(Planos!$G69)*12+MONTH(Planos!$G69))&gt;0,MOD((ano_ref*12+3)-(YEAR(Planos!$G69)*12+MONTH(Planos!$G69)),MAX(1,IFERROR(INDEX(lst_frequencia_meses,MATCH(Planos!$E69,lst_frequencia,0)),0)))=0),"●","")))</f>
      </c>
      <c r="G70" s="43">
        <f>IF(NOT(Planos!$A69&lt;&gt;""),"",IF(COUNTIFS(Programação!$B$4:$B$503,Planos!$A69,Programação!$I$4:$I$503,"Concluído",Programação!$G$4:$G$503,"&gt;="&amp;DATE(ano_ref,4,1),Programação!$G$4:$G$503,"&lt;="&amp;EOMONTH(DATE(ano_ref,4,1),0))&gt;0,"✔",IF(AND(ISNUMBER(Planos!$G69),IFERROR(INDEX(lst_frequencia_meses,MATCH(Planos!$E69,lst_frequencia,0)),0)&gt;0,(ano_ref*12+4)-(YEAR(Planos!$G69)*12+MONTH(Planos!$G69))&gt;0,MOD((ano_ref*12+4)-(YEAR(Planos!$G69)*12+MONTH(Planos!$G69)),MAX(1,IFERROR(INDEX(lst_frequencia_meses,MATCH(Planos!$E69,lst_frequencia,0)),0)))=0),"●","")))</f>
      </c>
      <c r="H70" s="43">
        <f>IF(NOT(Planos!$A69&lt;&gt;""),"",IF(COUNTIFS(Programação!$B$4:$B$503,Planos!$A69,Programação!$I$4:$I$503,"Concluído",Programação!$G$4:$G$503,"&gt;="&amp;DATE(ano_ref,5,1),Programação!$G$4:$G$503,"&lt;="&amp;EOMONTH(DATE(ano_ref,5,1),0))&gt;0,"✔",IF(AND(ISNUMBER(Planos!$G69),IFERROR(INDEX(lst_frequencia_meses,MATCH(Planos!$E69,lst_frequencia,0)),0)&gt;0,(ano_ref*12+5)-(YEAR(Planos!$G69)*12+MONTH(Planos!$G69))&gt;0,MOD((ano_ref*12+5)-(YEAR(Planos!$G69)*12+MONTH(Planos!$G69)),MAX(1,IFERROR(INDEX(lst_frequencia_meses,MATCH(Planos!$E69,lst_frequencia,0)),0)))=0),"●","")))</f>
      </c>
      <c r="I70" s="43">
        <f>IF(NOT(Planos!$A69&lt;&gt;""),"",IF(COUNTIFS(Programação!$B$4:$B$503,Planos!$A69,Programação!$I$4:$I$503,"Concluído",Programação!$G$4:$G$503,"&gt;="&amp;DATE(ano_ref,6,1),Programação!$G$4:$G$503,"&lt;="&amp;EOMONTH(DATE(ano_ref,6,1),0))&gt;0,"✔",IF(AND(ISNUMBER(Planos!$G69),IFERROR(INDEX(lst_frequencia_meses,MATCH(Planos!$E69,lst_frequencia,0)),0)&gt;0,(ano_ref*12+6)-(YEAR(Planos!$G69)*12+MONTH(Planos!$G69))&gt;0,MOD((ano_ref*12+6)-(YEAR(Planos!$G69)*12+MONTH(Planos!$G69)),MAX(1,IFERROR(INDEX(lst_frequencia_meses,MATCH(Planos!$E69,lst_frequencia,0)),0)))=0),"●","")))</f>
      </c>
      <c r="J70" s="43">
        <f>IF(NOT(Planos!$A69&lt;&gt;""),"",IF(COUNTIFS(Programação!$B$4:$B$503,Planos!$A69,Programação!$I$4:$I$503,"Concluído",Programação!$G$4:$G$503,"&gt;="&amp;DATE(ano_ref,7,1),Programação!$G$4:$G$503,"&lt;="&amp;EOMONTH(DATE(ano_ref,7,1),0))&gt;0,"✔",IF(AND(ISNUMBER(Planos!$G69),IFERROR(INDEX(lst_frequencia_meses,MATCH(Planos!$E69,lst_frequencia,0)),0)&gt;0,(ano_ref*12+7)-(YEAR(Planos!$G69)*12+MONTH(Planos!$G69))&gt;0,MOD((ano_ref*12+7)-(YEAR(Planos!$G69)*12+MONTH(Planos!$G69)),MAX(1,IFERROR(INDEX(lst_frequencia_meses,MATCH(Planos!$E69,lst_frequencia,0)),0)))=0),"●","")))</f>
      </c>
      <c r="K70" s="43">
        <f>IF(NOT(Planos!$A69&lt;&gt;""),"",IF(COUNTIFS(Programação!$B$4:$B$503,Planos!$A69,Programação!$I$4:$I$503,"Concluído",Programação!$G$4:$G$503,"&gt;="&amp;DATE(ano_ref,8,1),Programação!$G$4:$G$503,"&lt;="&amp;EOMONTH(DATE(ano_ref,8,1),0))&gt;0,"✔",IF(AND(ISNUMBER(Planos!$G69),IFERROR(INDEX(lst_frequencia_meses,MATCH(Planos!$E69,lst_frequencia,0)),0)&gt;0,(ano_ref*12+8)-(YEAR(Planos!$G69)*12+MONTH(Planos!$G69))&gt;0,MOD((ano_ref*12+8)-(YEAR(Planos!$G69)*12+MONTH(Planos!$G69)),MAX(1,IFERROR(INDEX(lst_frequencia_meses,MATCH(Planos!$E69,lst_frequencia,0)),0)))=0),"●","")))</f>
      </c>
      <c r="L70" s="43">
        <f>IF(NOT(Planos!$A69&lt;&gt;""),"",IF(COUNTIFS(Programação!$B$4:$B$503,Planos!$A69,Programação!$I$4:$I$503,"Concluído",Programação!$G$4:$G$503,"&gt;="&amp;DATE(ano_ref,9,1),Programação!$G$4:$G$503,"&lt;="&amp;EOMONTH(DATE(ano_ref,9,1),0))&gt;0,"✔",IF(AND(ISNUMBER(Planos!$G69),IFERROR(INDEX(lst_frequencia_meses,MATCH(Planos!$E69,lst_frequencia,0)),0)&gt;0,(ano_ref*12+9)-(YEAR(Planos!$G69)*12+MONTH(Planos!$G69))&gt;0,MOD((ano_ref*12+9)-(YEAR(Planos!$G69)*12+MONTH(Planos!$G69)),MAX(1,IFERROR(INDEX(lst_frequencia_meses,MATCH(Planos!$E69,lst_frequencia,0)),0)))=0),"●","")))</f>
      </c>
      <c r="M70" s="43">
        <f>IF(NOT(Planos!$A69&lt;&gt;""),"",IF(COUNTIFS(Programação!$B$4:$B$503,Planos!$A69,Programação!$I$4:$I$503,"Concluído",Programação!$G$4:$G$503,"&gt;="&amp;DATE(ano_ref,10,1),Programação!$G$4:$G$503,"&lt;="&amp;EOMONTH(DATE(ano_ref,10,1),0))&gt;0,"✔",IF(AND(ISNUMBER(Planos!$G69),IFERROR(INDEX(lst_frequencia_meses,MATCH(Planos!$E69,lst_frequencia,0)),0)&gt;0,(ano_ref*12+10)-(YEAR(Planos!$G69)*12+MONTH(Planos!$G69))&gt;0,MOD((ano_ref*12+10)-(YEAR(Planos!$G69)*12+MONTH(Planos!$G69)),MAX(1,IFERROR(INDEX(lst_frequencia_meses,MATCH(Planos!$E69,lst_frequencia,0)),0)))=0),"●","")))</f>
      </c>
      <c r="N70" s="43">
        <f>IF(NOT(Planos!$A69&lt;&gt;""),"",IF(COUNTIFS(Programação!$B$4:$B$503,Planos!$A69,Programação!$I$4:$I$503,"Concluído",Programação!$G$4:$G$503,"&gt;="&amp;DATE(ano_ref,11,1),Programação!$G$4:$G$503,"&lt;="&amp;EOMONTH(DATE(ano_ref,11,1),0))&gt;0,"✔",IF(AND(ISNUMBER(Planos!$G69),IFERROR(INDEX(lst_frequencia_meses,MATCH(Planos!$E69,lst_frequencia,0)),0)&gt;0,(ano_ref*12+11)-(YEAR(Planos!$G69)*12+MONTH(Planos!$G69))&gt;0,MOD((ano_ref*12+11)-(YEAR(Planos!$G69)*12+MONTH(Planos!$G69)),MAX(1,IFERROR(INDEX(lst_frequencia_meses,MATCH(Planos!$E69,lst_frequencia,0)),0)))=0),"●","")))</f>
      </c>
      <c r="O70" s="43">
        <f>IF(NOT(Planos!$A69&lt;&gt;""),"",IF(COUNTIFS(Programação!$B$4:$B$503,Planos!$A69,Programação!$I$4:$I$503,"Concluído",Programação!$G$4:$G$503,"&gt;="&amp;DATE(ano_ref,12,1),Programação!$G$4:$G$503,"&lt;="&amp;EOMONTH(DATE(ano_ref,12,1),0))&gt;0,"✔",IF(AND(ISNUMBER(Planos!$G69),IFERROR(INDEX(lst_frequencia_meses,MATCH(Planos!$E69,lst_frequencia,0)),0)&gt;0,(ano_ref*12+12)-(YEAR(Planos!$G69)*12+MONTH(Planos!$G69))&gt;0,MOD((ano_ref*12+12)-(YEAR(Planos!$G69)*12+MONTH(Planos!$G69)),MAX(1,IFERROR(INDEX(lst_frequencia_meses,MATCH(Planos!$E69,lst_frequencia,0)),0)))=0),"●","")))</f>
      </c>
      <c r="P70" s="44">
        <f>IF(COUNTIF(D70:O70,"✔")+COUNTIF(D70:O70,"●")=0,"",COUNTIF(D70:O70,"✔")/(COUNTIF(D70:O70,"✔")+COUNTIF(D70:O70,"●")))</f>
      </c>
    </row>
    <row r="71" spans="1:16" x14ac:dyDescent="0.25">
      <c r="A71" s="43">
        <f>IF(Planos!$A70&lt;&gt;"",Planos!A70&amp;"","")</f>
      </c>
      <c r="B71" s="43">
        <f>IF(Planos!$A70&lt;&gt;"",Planos!B70&amp;"","")</f>
      </c>
      <c r="C71" s="24">
        <f>IF(Planos!$A70&lt;&gt;"",Planos!C70&amp;"","")</f>
      </c>
      <c r="D71" s="43">
        <f>IF(NOT(Planos!$A70&lt;&gt;""),"",IF(COUNTIFS(Programação!$B$4:$B$503,Planos!$A70,Programação!$I$4:$I$503,"Concluído",Programação!$G$4:$G$503,"&gt;="&amp;DATE(ano_ref,1,1),Programação!$G$4:$G$503,"&lt;="&amp;EOMONTH(DATE(ano_ref,1,1),0))&gt;0,"✔",IF(AND(ISNUMBER(Planos!$G70),IFERROR(INDEX(lst_frequencia_meses,MATCH(Planos!$E70,lst_frequencia,0)),0)&gt;0,(ano_ref*12+1)-(YEAR(Planos!$G70)*12+MONTH(Planos!$G70))&gt;0,MOD((ano_ref*12+1)-(YEAR(Planos!$G70)*12+MONTH(Planos!$G70)),MAX(1,IFERROR(INDEX(lst_frequencia_meses,MATCH(Planos!$E70,lst_frequencia,0)),0)))=0),"●","")))</f>
      </c>
      <c r="E71" s="43">
        <f>IF(NOT(Planos!$A70&lt;&gt;""),"",IF(COUNTIFS(Programação!$B$4:$B$503,Planos!$A70,Programação!$I$4:$I$503,"Concluído",Programação!$G$4:$G$503,"&gt;="&amp;DATE(ano_ref,2,1),Programação!$G$4:$G$503,"&lt;="&amp;EOMONTH(DATE(ano_ref,2,1),0))&gt;0,"✔",IF(AND(ISNUMBER(Planos!$G70),IFERROR(INDEX(lst_frequencia_meses,MATCH(Planos!$E70,lst_frequencia,0)),0)&gt;0,(ano_ref*12+2)-(YEAR(Planos!$G70)*12+MONTH(Planos!$G70))&gt;0,MOD((ano_ref*12+2)-(YEAR(Planos!$G70)*12+MONTH(Planos!$G70)),MAX(1,IFERROR(INDEX(lst_frequencia_meses,MATCH(Planos!$E70,lst_frequencia,0)),0)))=0),"●","")))</f>
      </c>
      <c r="F71" s="43">
        <f>IF(NOT(Planos!$A70&lt;&gt;""),"",IF(COUNTIFS(Programação!$B$4:$B$503,Planos!$A70,Programação!$I$4:$I$503,"Concluído",Programação!$G$4:$G$503,"&gt;="&amp;DATE(ano_ref,3,1),Programação!$G$4:$G$503,"&lt;="&amp;EOMONTH(DATE(ano_ref,3,1),0))&gt;0,"✔",IF(AND(ISNUMBER(Planos!$G70),IFERROR(INDEX(lst_frequencia_meses,MATCH(Planos!$E70,lst_frequencia,0)),0)&gt;0,(ano_ref*12+3)-(YEAR(Planos!$G70)*12+MONTH(Planos!$G70))&gt;0,MOD((ano_ref*12+3)-(YEAR(Planos!$G70)*12+MONTH(Planos!$G70)),MAX(1,IFERROR(INDEX(lst_frequencia_meses,MATCH(Planos!$E70,lst_frequencia,0)),0)))=0),"●","")))</f>
      </c>
      <c r="G71" s="43">
        <f>IF(NOT(Planos!$A70&lt;&gt;""),"",IF(COUNTIFS(Programação!$B$4:$B$503,Planos!$A70,Programação!$I$4:$I$503,"Concluído",Programação!$G$4:$G$503,"&gt;="&amp;DATE(ano_ref,4,1),Programação!$G$4:$G$503,"&lt;="&amp;EOMONTH(DATE(ano_ref,4,1),0))&gt;0,"✔",IF(AND(ISNUMBER(Planos!$G70),IFERROR(INDEX(lst_frequencia_meses,MATCH(Planos!$E70,lst_frequencia,0)),0)&gt;0,(ano_ref*12+4)-(YEAR(Planos!$G70)*12+MONTH(Planos!$G70))&gt;0,MOD((ano_ref*12+4)-(YEAR(Planos!$G70)*12+MONTH(Planos!$G70)),MAX(1,IFERROR(INDEX(lst_frequencia_meses,MATCH(Planos!$E70,lst_frequencia,0)),0)))=0),"●","")))</f>
      </c>
      <c r="H71" s="43">
        <f>IF(NOT(Planos!$A70&lt;&gt;""),"",IF(COUNTIFS(Programação!$B$4:$B$503,Planos!$A70,Programação!$I$4:$I$503,"Concluído",Programação!$G$4:$G$503,"&gt;="&amp;DATE(ano_ref,5,1),Programação!$G$4:$G$503,"&lt;="&amp;EOMONTH(DATE(ano_ref,5,1),0))&gt;0,"✔",IF(AND(ISNUMBER(Planos!$G70),IFERROR(INDEX(lst_frequencia_meses,MATCH(Planos!$E70,lst_frequencia,0)),0)&gt;0,(ano_ref*12+5)-(YEAR(Planos!$G70)*12+MONTH(Planos!$G70))&gt;0,MOD((ano_ref*12+5)-(YEAR(Planos!$G70)*12+MONTH(Planos!$G70)),MAX(1,IFERROR(INDEX(lst_frequencia_meses,MATCH(Planos!$E70,lst_frequencia,0)),0)))=0),"●","")))</f>
      </c>
      <c r="I71" s="43">
        <f>IF(NOT(Planos!$A70&lt;&gt;""),"",IF(COUNTIFS(Programação!$B$4:$B$503,Planos!$A70,Programação!$I$4:$I$503,"Concluído",Programação!$G$4:$G$503,"&gt;="&amp;DATE(ano_ref,6,1),Programação!$G$4:$G$503,"&lt;="&amp;EOMONTH(DATE(ano_ref,6,1),0))&gt;0,"✔",IF(AND(ISNUMBER(Planos!$G70),IFERROR(INDEX(lst_frequencia_meses,MATCH(Planos!$E70,lst_frequencia,0)),0)&gt;0,(ano_ref*12+6)-(YEAR(Planos!$G70)*12+MONTH(Planos!$G70))&gt;0,MOD((ano_ref*12+6)-(YEAR(Planos!$G70)*12+MONTH(Planos!$G70)),MAX(1,IFERROR(INDEX(lst_frequencia_meses,MATCH(Planos!$E70,lst_frequencia,0)),0)))=0),"●","")))</f>
      </c>
      <c r="J71" s="43">
        <f>IF(NOT(Planos!$A70&lt;&gt;""),"",IF(COUNTIFS(Programação!$B$4:$B$503,Planos!$A70,Programação!$I$4:$I$503,"Concluído",Programação!$G$4:$G$503,"&gt;="&amp;DATE(ano_ref,7,1),Programação!$G$4:$G$503,"&lt;="&amp;EOMONTH(DATE(ano_ref,7,1),0))&gt;0,"✔",IF(AND(ISNUMBER(Planos!$G70),IFERROR(INDEX(lst_frequencia_meses,MATCH(Planos!$E70,lst_frequencia,0)),0)&gt;0,(ano_ref*12+7)-(YEAR(Planos!$G70)*12+MONTH(Planos!$G70))&gt;0,MOD((ano_ref*12+7)-(YEAR(Planos!$G70)*12+MONTH(Planos!$G70)),MAX(1,IFERROR(INDEX(lst_frequencia_meses,MATCH(Planos!$E70,lst_frequencia,0)),0)))=0),"●","")))</f>
      </c>
      <c r="K71" s="43">
        <f>IF(NOT(Planos!$A70&lt;&gt;""),"",IF(COUNTIFS(Programação!$B$4:$B$503,Planos!$A70,Programação!$I$4:$I$503,"Concluído",Programação!$G$4:$G$503,"&gt;="&amp;DATE(ano_ref,8,1),Programação!$G$4:$G$503,"&lt;="&amp;EOMONTH(DATE(ano_ref,8,1),0))&gt;0,"✔",IF(AND(ISNUMBER(Planos!$G70),IFERROR(INDEX(lst_frequencia_meses,MATCH(Planos!$E70,lst_frequencia,0)),0)&gt;0,(ano_ref*12+8)-(YEAR(Planos!$G70)*12+MONTH(Planos!$G70))&gt;0,MOD((ano_ref*12+8)-(YEAR(Planos!$G70)*12+MONTH(Planos!$G70)),MAX(1,IFERROR(INDEX(lst_frequencia_meses,MATCH(Planos!$E70,lst_frequencia,0)),0)))=0),"●","")))</f>
      </c>
      <c r="L71" s="43">
        <f>IF(NOT(Planos!$A70&lt;&gt;""),"",IF(COUNTIFS(Programação!$B$4:$B$503,Planos!$A70,Programação!$I$4:$I$503,"Concluído",Programação!$G$4:$G$503,"&gt;="&amp;DATE(ano_ref,9,1),Programação!$G$4:$G$503,"&lt;="&amp;EOMONTH(DATE(ano_ref,9,1),0))&gt;0,"✔",IF(AND(ISNUMBER(Planos!$G70),IFERROR(INDEX(lst_frequencia_meses,MATCH(Planos!$E70,lst_frequencia,0)),0)&gt;0,(ano_ref*12+9)-(YEAR(Planos!$G70)*12+MONTH(Planos!$G70))&gt;0,MOD((ano_ref*12+9)-(YEAR(Planos!$G70)*12+MONTH(Planos!$G70)),MAX(1,IFERROR(INDEX(lst_frequencia_meses,MATCH(Planos!$E70,lst_frequencia,0)),0)))=0),"●","")))</f>
      </c>
      <c r="M71" s="43">
        <f>IF(NOT(Planos!$A70&lt;&gt;""),"",IF(COUNTIFS(Programação!$B$4:$B$503,Planos!$A70,Programação!$I$4:$I$503,"Concluído",Programação!$G$4:$G$503,"&gt;="&amp;DATE(ano_ref,10,1),Programação!$G$4:$G$503,"&lt;="&amp;EOMONTH(DATE(ano_ref,10,1),0))&gt;0,"✔",IF(AND(ISNUMBER(Planos!$G70),IFERROR(INDEX(lst_frequencia_meses,MATCH(Planos!$E70,lst_frequencia,0)),0)&gt;0,(ano_ref*12+10)-(YEAR(Planos!$G70)*12+MONTH(Planos!$G70))&gt;0,MOD((ano_ref*12+10)-(YEAR(Planos!$G70)*12+MONTH(Planos!$G70)),MAX(1,IFERROR(INDEX(lst_frequencia_meses,MATCH(Planos!$E70,lst_frequencia,0)),0)))=0),"●","")))</f>
      </c>
      <c r="N71" s="43">
        <f>IF(NOT(Planos!$A70&lt;&gt;""),"",IF(COUNTIFS(Programação!$B$4:$B$503,Planos!$A70,Programação!$I$4:$I$503,"Concluído",Programação!$G$4:$G$503,"&gt;="&amp;DATE(ano_ref,11,1),Programação!$G$4:$G$503,"&lt;="&amp;EOMONTH(DATE(ano_ref,11,1),0))&gt;0,"✔",IF(AND(ISNUMBER(Planos!$G70),IFERROR(INDEX(lst_frequencia_meses,MATCH(Planos!$E70,lst_frequencia,0)),0)&gt;0,(ano_ref*12+11)-(YEAR(Planos!$G70)*12+MONTH(Planos!$G70))&gt;0,MOD((ano_ref*12+11)-(YEAR(Planos!$G70)*12+MONTH(Planos!$G70)),MAX(1,IFERROR(INDEX(lst_frequencia_meses,MATCH(Planos!$E70,lst_frequencia,0)),0)))=0),"●","")))</f>
      </c>
      <c r="O71" s="43">
        <f>IF(NOT(Planos!$A70&lt;&gt;""),"",IF(COUNTIFS(Programação!$B$4:$B$503,Planos!$A70,Programação!$I$4:$I$503,"Concluído",Programação!$G$4:$G$503,"&gt;="&amp;DATE(ano_ref,12,1),Programação!$G$4:$G$503,"&lt;="&amp;EOMONTH(DATE(ano_ref,12,1),0))&gt;0,"✔",IF(AND(ISNUMBER(Planos!$G70),IFERROR(INDEX(lst_frequencia_meses,MATCH(Planos!$E70,lst_frequencia,0)),0)&gt;0,(ano_ref*12+12)-(YEAR(Planos!$G70)*12+MONTH(Planos!$G70))&gt;0,MOD((ano_ref*12+12)-(YEAR(Planos!$G70)*12+MONTH(Planos!$G70)),MAX(1,IFERROR(INDEX(lst_frequencia_meses,MATCH(Planos!$E70,lst_frequencia,0)),0)))=0),"●","")))</f>
      </c>
      <c r="P71" s="44">
        <f>IF(COUNTIF(D71:O71,"✔")+COUNTIF(D71:O71,"●")=0,"",COUNTIF(D71:O71,"✔")/(COUNTIF(D71:O71,"✔")+COUNTIF(D71:O71,"●")))</f>
      </c>
    </row>
    <row r="72" spans="1:16" x14ac:dyDescent="0.25">
      <c r="A72" s="43">
        <f>IF(Planos!$A71&lt;&gt;"",Planos!A71&amp;"","")</f>
      </c>
      <c r="B72" s="43">
        <f>IF(Planos!$A71&lt;&gt;"",Planos!B71&amp;"","")</f>
      </c>
      <c r="C72" s="24">
        <f>IF(Planos!$A71&lt;&gt;"",Planos!C71&amp;"","")</f>
      </c>
      <c r="D72" s="43">
        <f>IF(NOT(Planos!$A71&lt;&gt;""),"",IF(COUNTIFS(Programação!$B$4:$B$503,Planos!$A71,Programação!$I$4:$I$503,"Concluído",Programação!$G$4:$G$503,"&gt;="&amp;DATE(ano_ref,1,1),Programação!$G$4:$G$503,"&lt;="&amp;EOMONTH(DATE(ano_ref,1,1),0))&gt;0,"✔",IF(AND(ISNUMBER(Planos!$G71),IFERROR(INDEX(lst_frequencia_meses,MATCH(Planos!$E71,lst_frequencia,0)),0)&gt;0,(ano_ref*12+1)-(YEAR(Planos!$G71)*12+MONTH(Planos!$G71))&gt;0,MOD((ano_ref*12+1)-(YEAR(Planos!$G71)*12+MONTH(Planos!$G71)),MAX(1,IFERROR(INDEX(lst_frequencia_meses,MATCH(Planos!$E71,lst_frequencia,0)),0)))=0),"●","")))</f>
      </c>
      <c r="E72" s="43">
        <f>IF(NOT(Planos!$A71&lt;&gt;""),"",IF(COUNTIFS(Programação!$B$4:$B$503,Planos!$A71,Programação!$I$4:$I$503,"Concluído",Programação!$G$4:$G$503,"&gt;="&amp;DATE(ano_ref,2,1),Programação!$G$4:$G$503,"&lt;="&amp;EOMONTH(DATE(ano_ref,2,1),0))&gt;0,"✔",IF(AND(ISNUMBER(Planos!$G71),IFERROR(INDEX(lst_frequencia_meses,MATCH(Planos!$E71,lst_frequencia,0)),0)&gt;0,(ano_ref*12+2)-(YEAR(Planos!$G71)*12+MONTH(Planos!$G71))&gt;0,MOD((ano_ref*12+2)-(YEAR(Planos!$G71)*12+MONTH(Planos!$G71)),MAX(1,IFERROR(INDEX(lst_frequencia_meses,MATCH(Planos!$E71,lst_frequencia,0)),0)))=0),"●","")))</f>
      </c>
      <c r="F72" s="43">
        <f>IF(NOT(Planos!$A71&lt;&gt;""),"",IF(COUNTIFS(Programação!$B$4:$B$503,Planos!$A71,Programação!$I$4:$I$503,"Concluído",Programação!$G$4:$G$503,"&gt;="&amp;DATE(ano_ref,3,1),Programação!$G$4:$G$503,"&lt;="&amp;EOMONTH(DATE(ano_ref,3,1),0))&gt;0,"✔",IF(AND(ISNUMBER(Planos!$G71),IFERROR(INDEX(lst_frequencia_meses,MATCH(Planos!$E71,lst_frequencia,0)),0)&gt;0,(ano_ref*12+3)-(YEAR(Planos!$G71)*12+MONTH(Planos!$G71))&gt;0,MOD((ano_ref*12+3)-(YEAR(Planos!$G71)*12+MONTH(Planos!$G71)),MAX(1,IFERROR(INDEX(lst_frequencia_meses,MATCH(Planos!$E71,lst_frequencia,0)),0)))=0),"●","")))</f>
      </c>
      <c r="G72" s="43">
        <f>IF(NOT(Planos!$A71&lt;&gt;""),"",IF(COUNTIFS(Programação!$B$4:$B$503,Planos!$A71,Programação!$I$4:$I$503,"Concluído",Programação!$G$4:$G$503,"&gt;="&amp;DATE(ano_ref,4,1),Programação!$G$4:$G$503,"&lt;="&amp;EOMONTH(DATE(ano_ref,4,1),0))&gt;0,"✔",IF(AND(ISNUMBER(Planos!$G71),IFERROR(INDEX(lst_frequencia_meses,MATCH(Planos!$E71,lst_frequencia,0)),0)&gt;0,(ano_ref*12+4)-(YEAR(Planos!$G71)*12+MONTH(Planos!$G71))&gt;0,MOD((ano_ref*12+4)-(YEAR(Planos!$G71)*12+MONTH(Planos!$G71)),MAX(1,IFERROR(INDEX(lst_frequencia_meses,MATCH(Planos!$E71,lst_frequencia,0)),0)))=0),"●","")))</f>
      </c>
      <c r="H72" s="43">
        <f>IF(NOT(Planos!$A71&lt;&gt;""),"",IF(COUNTIFS(Programação!$B$4:$B$503,Planos!$A71,Programação!$I$4:$I$503,"Concluído",Programação!$G$4:$G$503,"&gt;="&amp;DATE(ano_ref,5,1),Programação!$G$4:$G$503,"&lt;="&amp;EOMONTH(DATE(ano_ref,5,1),0))&gt;0,"✔",IF(AND(ISNUMBER(Planos!$G71),IFERROR(INDEX(lst_frequencia_meses,MATCH(Planos!$E71,lst_frequencia,0)),0)&gt;0,(ano_ref*12+5)-(YEAR(Planos!$G71)*12+MONTH(Planos!$G71))&gt;0,MOD((ano_ref*12+5)-(YEAR(Planos!$G71)*12+MONTH(Planos!$G71)),MAX(1,IFERROR(INDEX(lst_frequencia_meses,MATCH(Planos!$E71,lst_frequencia,0)),0)))=0),"●","")))</f>
      </c>
      <c r="I72" s="43">
        <f>IF(NOT(Planos!$A71&lt;&gt;""),"",IF(COUNTIFS(Programação!$B$4:$B$503,Planos!$A71,Programação!$I$4:$I$503,"Concluído",Programação!$G$4:$G$503,"&gt;="&amp;DATE(ano_ref,6,1),Programação!$G$4:$G$503,"&lt;="&amp;EOMONTH(DATE(ano_ref,6,1),0))&gt;0,"✔",IF(AND(ISNUMBER(Planos!$G71),IFERROR(INDEX(lst_frequencia_meses,MATCH(Planos!$E71,lst_frequencia,0)),0)&gt;0,(ano_ref*12+6)-(YEAR(Planos!$G71)*12+MONTH(Planos!$G71))&gt;0,MOD((ano_ref*12+6)-(YEAR(Planos!$G71)*12+MONTH(Planos!$G71)),MAX(1,IFERROR(INDEX(lst_frequencia_meses,MATCH(Planos!$E71,lst_frequencia,0)),0)))=0),"●","")))</f>
      </c>
      <c r="J72" s="43">
        <f>IF(NOT(Planos!$A71&lt;&gt;""),"",IF(COUNTIFS(Programação!$B$4:$B$503,Planos!$A71,Programação!$I$4:$I$503,"Concluído",Programação!$G$4:$G$503,"&gt;="&amp;DATE(ano_ref,7,1),Programação!$G$4:$G$503,"&lt;="&amp;EOMONTH(DATE(ano_ref,7,1),0))&gt;0,"✔",IF(AND(ISNUMBER(Planos!$G71),IFERROR(INDEX(lst_frequencia_meses,MATCH(Planos!$E71,lst_frequencia,0)),0)&gt;0,(ano_ref*12+7)-(YEAR(Planos!$G71)*12+MONTH(Planos!$G71))&gt;0,MOD((ano_ref*12+7)-(YEAR(Planos!$G71)*12+MONTH(Planos!$G71)),MAX(1,IFERROR(INDEX(lst_frequencia_meses,MATCH(Planos!$E71,lst_frequencia,0)),0)))=0),"●","")))</f>
      </c>
      <c r="K72" s="43">
        <f>IF(NOT(Planos!$A71&lt;&gt;""),"",IF(COUNTIFS(Programação!$B$4:$B$503,Planos!$A71,Programação!$I$4:$I$503,"Concluído",Programação!$G$4:$G$503,"&gt;="&amp;DATE(ano_ref,8,1),Programação!$G$4:$G$503,"&lt;="&amp;EOMONTH(DATE(ano_ref,8,1),0))&gt;0,"✔",IF(AND(ISNUMBER(Planos!$G71),IFERROR(INDEX(lst_frequencia_meses,MATCH(Planos!$E71,lst_frequencia,0)),0)&gt;0,(ano_ref*12+8)-(YEAR(Planos!$G71)*12+MONTH(Planos!$G71))&gt;0,MOD((ano_ref*12+8)-(YEAR(Planos!$G71)*12+MONTH(Planos!$G71)),MAX(1,IFERROR(INDEX(lst_frequencia_meses,MATCH(Planos!$E71,lst_frequencia,0)),0)))=0),"●","")))</f>
      </c>
      <c r="L72" s="43">
        <f>IF(NOT(Planos!$A71&lt;&gt;""),"",IF(COUNTIFS(Programação!$B$4:$B$503,Planos!$A71,Programação!$I$4:$I$503,"Concluído",Programação!$G$4:$G$503,"&gt;="&amp;DATE(ano_ref,9,1),Programação!$G$4:$G$503,"&lt;="&amp;EOMONTH(DATE(ano_ref,9,1),0))&gt;0,"✔",IF(AND(ISNUMBER(Planos!$G71),IFERROR(INDEX(lst_frequencia_meses,MATCH(Planos!$E71,lst_frequencia,0)),0)&gt;0,(ano_ref*12+9)-(YEAR(Planos!$G71)*12+MONTH(Planos!$G71))&gt;0,MOD((ano_ref*12+9)-(YEAR(Planos!$G71)*12+MONTH(Planos!$G71)),MAX(1,IFERROR(INDEX(lst_frequencia_meses,MATCH(Planos!$E71,lst_frequencia,0)),0)))=0),"●","")))</f>
      </c>
      <c r="M72" s="43">
        <f>IF(NOT(Planos!$A71&lt;&gt;""),"",IF(COUNTIFS(Programação!$B$4:$B$503,Planos!$A71,Programação!$I$4:$I$503,"Concluído",Programação!$G$4:$G$503,"&gt;="&amp;DATE(ano_ref,10,1),Programação!$G$4:$G$503,"&lt;="&amp;EOMONTH(DATE(ano_ref,10,1),0))&gt;0,"✔",IF(AND(ISNUMBER(Planos!$G71),IFERROR(INDEX(lst_frequencia_meses,MATCH(Planos!$E71,lst_frequencia,0)),0)&gt;0,(ano_ref*12+10)-(YEAR(Planos!$G71)*12+MONTH(Planos!$G71))&gt;0,MOD((ano_ref*12+10)-(YEAR(Planos!$G71)*12+MONTH(Planos!$G71)),MAX(1,IFERROR(INDEX(lst_frequencia_meses,MATCH(Planos!$E71,lst_frequencia,0)),0)))=0),"●","")))</f>
      </c>
      <c r="N72" s="43">
        <f>IF(NOT(Planos!$A71&lt;&gt;""),"",IF(COUNTIFS(Programação!$B$4:$B$503,Planos!$A71,Programação!$I$4:$I$503,"Concluído",Programação!$G$4:$G$503,"&gt;="&amp;DATE(ano_ref,11,1),Programação!$G$4:$G$503,"&lt;="&amp;EOMONTH(DATE(ano_ref,11,1),0))&gt;0,"✔",IF(AND(ISNUMBER(Planos!$G71),IFERROR(INDEX(lst_frequencia_meses,MATCH(Planos!$E71,lst_frequencia,0)),0)&gt;0,(ano_ref*12+11)-(YEAR(Planos!$G71)*12+MONTH(Planos!$G71))&gt;0,MOD((ano_ref*12+11)-(YEAR(Planos!$G71)*12+MONTH(Planos!$G71)),MAX(1,IFERROR(INDEX(lst_frequencia_meses,MATCH(Planos!$E71,lst_frequencia,0)),0)))=0),"●","")))</f>
      </c>
      <c r="O72" s="43">
        <f>IF(NOT(Planos!$A71&lt;&gt;""),"",IF(COUNTIFS(Programação!$B$4:$B$503,Planos!$A71,Programação!$I$4:$I$503,"Concluído",Programação!$G$4:$G$503,"&gt;="&amp;DATE(ano_ref,12,1),Programação!$G$4:$G$503,"&lt;="&amp;EOMONTH(DATE(ano_ref,12,1),0))&gt;0,"✔",IF(AND(ISNUMBER(Planos!$G71),IFERROR(INDEX(lst_frequencia_meses,MATCH(Planos!$E71,lst_frequencia,0)),0)&gt;0,(ano_ref*12+12)-(YEAR(Planos!$G71)*12+MONTH(Planos!$G71))&gt;0,MOD((ano_ref*12+12)-(YEAR(Planos!$G71)*12+MONTH(Planos!$G71)),MAX(1,IFERROR(INDEX(lst_frequencia_meses,MATCH(Planos!$E71,lst_frequencia,0)),0)))=0),"●","")))</f>
      </c>
      <c r="P72" s="44">
        <f>IF(COUNTIF(D72:O72,"✔")+COUNTIF(D72:O72,"●")=0,"",COUNTIF(D72:O72,"✔")/(COUNTIF(D72:O72,"✔")+COUNTIF(D72:O72,"●")))</f>
      </c>
    </row>
    <row r="73" spans="1:16" x14ac:dyDescent="0.25">
      <c r="A73" s="43">
        <f>IF(Planos!$A72&lt;&gt;"",Planos!A72&amp;"","")</f>
      </c>
      <c r="B73" s="43">
        <f>IF(Planos!$A72&lt;&gt;"",Planos!B72&amp;"","")</f>
      </c>
      <c r="C73" s="24">
        <f>IF(Planos!$A72&lt;&gt;"",Planos!C72&amp;"","")</f>
      </c>
      <c r="D73" s="43">
        <f>IF(NOT(Planos!$A72&lt;&gt;""),"",IF(COUNTIFS(Programação!$B$4:$B$503,Planos!$A72,Programação!$I$4:$I$503,"Concluído",Programação!$G$4:$G$503,"&gt;="&amp;DATE(ano_ref,1,1),Programação!$G$4:$G$503,"&lt;="&amp;EOMONTH(DATE(ano_ref,1,1),0))&gt;0,"✔",IF(AND(ISNUMBER(Planos!$G72),IFERROR(INDEX(lst_frequencia_meses,MATCH(Planos!$E72,lst_frequencia,0)),0)&gt;0,(ano_ref*12+1)-(YEAR(Planos!$G72)*12+MONTH(Planos!$G72))&gt;0,MOD((ano_ref*12+1)-(YEAR(Planos!$G72)*12+MONTH(Planos!$G72)),MAX(1,IFERROR(INDEX(lst_frequencia_meses,MATCH(Planos!$E72,lst_frequencia,0)),0)))=0),"●","")))</f>
      </c>
      <c r="E73" s="43">
        <f>IF(NOT(Planos!$A72&lt;&gt;""),"",IF(COUNTIFS(Programação!$B$4:$B$503,Planos!$A72,Programação!$I$4:$I$503,"Concluído",Programação!$G$4:$G$503,"&gt;="&amp;DATE(ano_ref,2,1),Programação!$G$4:$G$503,"&lt;="&amp;EOMONTH(DATE(ano_ref,2,1),0))&gt;0,"✔",IF(AND(ISNUMBER(Planos!$G72),IFERROR(INDEX(lst_frequencia_meses,MATCH(Planos!$E72,lst_frequencia,0)),0)&gt;0,(ano_ref*12+2)-(YEAR(Planos!$G72)*12+MONTH(Planos!$G72))&gt;0,MOD((ano_ref*12+2)-(YEAR(Planos!$G72)*12+MONTH(Planos!$G72)),MAX(1,IFERROR(INDEX(lst_frequencia_meses,MATCH(Planos!$E72,lst_frequencia,0)),0)))=0),"●","")))</f>
      </c>
      <c r="F73" s="43">
        <f>IF(NOT(Planos!$A72&lt;&gt;""),"",IF(COUNTIFS(Programação!$B$4:$B$503,Planos!$A72,Programação!$I$4:$I$503,"Concluído",Programação!$G$4:$G$503,"&gt;="&amp;DATE(ano_ref,3,1),Programação!$G$4:$G$503,"&lt;="&amp;EOMONTH(DATE(ano_ref,3,1),0))&gt;0,"✔",IF(AND(ISNUMBER(Planos!$G72),IFERROR(INDEX(lst_frequencia_meses,MATCH(Planos!$E72,lst_frequencia,0)),0)&gt;0,(ano_ref*12+3)-(YEAR(Planos!$G72)*12+MONTH(Planos!$G72))&gt;0,MOD((ano_ref*12+3)-(YEAR(Planos!$G72)*12+MONTH(Planos!$G72)),MAX(1,IFERROR(INDEX(lst_frequencia_meses,MATCH(Planos!$E72,lst_frequencia,0)),0)))=0),"●","")))</f>
      </c>
      <c r="G73" s="43">
        <f>IF(NOT(Planos!$A72&lt;&gt;""),"",IF(COUNTIFS(Programação!$B$4:$B$503,Planos!$A72,Programação!$I$4:$I$503,"Concluído",Programação!$G$4:$G$503,"&gt;="&amp;DATE(ano_ref,4,1),Programação!$G$4:$G$503,"&lt;="&amp;EOMONTH(DATE(ano_ref,4,1),0))&gt;0,"✔",IF(AND(ISNUMBER(Planos!$G72),IFERROR(INDEX(lst_frequencia_meses,MATCH(Planos!$E72,lst_frequencia,0)),0)&gt;0,(ano_ref*12+4)-(YEAR(Planos!$G72)*12+MONTH(Planos!$G72))&gt;0,MOD((ano_ref*12+4)-(YEAR(Planos!$G72)*12+MONTH(Planos!$G72)),MAX(1,IFERROR(INDEX(lst_frequencia_meses,MATCH(Planos!$E72,lst_frequencia,0)),0)))=0),"●","")))</f>
      </c>
      <c r="H73" s="43">
        <f>IF(NOT(Planos!$A72&lt;&gt;""),"",IF(COUNTIFS(Programação!$B$4:$B$503,Planos!$A72,Programação!$I$4:$I$503,"Concluído",Programação!$G$4:$G$503,"&gt;="&amp;DATE(ano_ref,5,1),Programação!$G$4:$G$503,"&lt;="&amp;EOMONTH(DATE(ano_ref,5,1),0))&gt;0,"✔",IF(AND(ISNUMBER(Planos!$G72),IFERROR(INDEX(lst_frequencia_meses,MATCH(Planos!$E72,lst_frequencia,0)),0)&gt;0,(ano_ref*12+5)-(YEAR(Planos!$G72)*12+MONTH(Planos!$G72))&gt;0,MOD((ano_ref*12+5)-(YEAR(Planos!$G72)*12+MONTH(Planos!$G72)),MAX(1,IFERROR(INDEX(lst_frequencia_meses,MATCH(Planos!$E72,lst_frequencia,0)),0)))=0),"●","")))</f>
      </c>
      <c r="I73" s="43">
        <f>IF(NOT(Planos!$A72&lt;&gt;""),"",IF(COUNTIFS(Programação!$B$4:$B$503,Planos!$A72,Programação!$I$4:$I$503,"Concluído",Programação!$G$4:$G$503,"&gt;="&amp;DATE(ano_ref,6,1),Programação!$G$4:$G$503,"&lt;="&amp;EOMONTH(DATE(ano_ref,6,1),0))&gt;0,"✔",IF(AND(ISNUMBER(Planos!$G72),IFERROR(INDEX(lst_frequencia_meses,MATCH(Planos!$E72,lst_frequencia,0)),0)&gt;0,(ano_ref*12+6)-(YEAR(Planos!$G72)*12+MONTH(Planos!$G72))&gt;0,MOD((ano_ref*12+6)-(YEAR(Planos!$G72)*12+MONTH(Planos!$G72)),MAX(1,IFERROR(INDEX(lst_frequencia_meses,MATCH(Planos!$E72,lst_frequencia,0)),0)))=0),"●","")))</f>
      </c>
      <c r="J73" s="43">
        <f>IF(NOT(Planos!$A72&lt;&gt;""),"",IF(COUNTIFS(Programação!$B$4:$B$503,Planos!$A72,Programação!$I$4:$I$503,"Concluído",Programação!$G$4:$G$503,"&gt;="&amp;DATE(ano_ref,7,1),Programação!$G$4:$G$503,"&lt;="&amp;EOMONTH(DATE(ano_ref,7,1),0))&gt;0,"✔",IF(AND(ISNUMBER(Planos!$G72),IFERROR(INDEX(lst_frequencia_meses,MATCH(Planos!$E72,lst_frequencia,0)),0)&gt;0,(ano_ref*12+7)-(YEAR(Planos!$G72)*12+MONTH(Planos!$G72))&gt;0,MOD((ano_ref*12+7)-(YEAR(Planos!$G72)*12+MONTH(Planos!$G72)),MAX(1,IFERROR(INDEX(lst_frequencia_meses,MATCH(Planos!$E72,lst_frequencia,0)),0)))=0),"●","")))</f>
      </c>
      <c r="K73" s="43">
        <f>IF(NOT(Planos!$A72&lt;&gt;""),"",IF(COUNTIFS(Programação!$B$4:$B$503,Planos!$A72,Programação!$I$4:$I$503,"Concluído",Programação!$G$4:$G$503,"&gt;="&amp;DATE(ano_ref,8,1),Programação!$G$4:$G$503,"&lt;="&amp;EOMONTH(DATE(ano_ref,8,1),0))&gt;0,"✔",IF(AND(ISNUMBER(Planos!$G72),IFERROR(INDEX(lst_frequencia_meses,MATCH(Planos!$E72,lst_frequencia,0)),0)&gt;0,(ano_ref*12+8)-(YEAR(Planos!$G72)*12+MONTH(Planos!$G72))&gt;0,MOD((ano_ref*12+8)-(YEAR(Planos!$G72)*12+MONTH(Planos!$G72)),MAX(1,IFERROR(INDEX(lst_frequencia_meses,MATCH(Planos!$E72,lst_frequencia,0)),0)))=0),"●","")))</f>
      </c>
      <c r="L73" s="43">
        <f>IF(NOT(Planos!$A72&lt;&gt;""),"",IF(COUNTIFS(Programação!$B$4:$B$503,Planos!$A72,Programação!$I$4:$I$503,"Concluído",Programação!$G$4:$G$503,"&gt;="&amp;DATE(ano_ref,9,1),Programação!$G$4:$G$503,"&lt;="&amp;EOMONTH(DATE(ano_ref,9,1),0))&gt;0,"✔",IF(AND(ISNUMBER(Planos!$G72),IFERROR(INDEX(lst_frequencia_meses,MATCH(Planos!$E72,lst_frequencia,0)),0)&gt;0,(ano_ref*12+9)-(YEAR(Planos!$G72)*12+MONTH(Planos!$G72))&gt;0,MOD((ano_ref*12+9)-(YEAR(Planos!$G72)*12+MONTH(Planos!$G72)),MAX(1,IFERROR(INDEX(lst_frequencia_meses,MATCH(Planos!$E72,lst_frequencia,0)),0)))=0),"●","")))</f>
      </c>
      <c r="M73" s="43">
        <f>IF(NOT(Planos!$A72&lt;&gt;""),"",IF(COUNTIFS(Programação!$B$4:$B$503,Planos!$A72,Programação!$I$4:$I$503,"Concluído",Programação!$G$4:$G$503,"&gt;="&amp;DATE(ano_ref,10,1),Programação!$G$4:$G$503,"&lt;="&amp;EOMONTH(DATE(ano_ref,10,1),0))&gt;0,"✔",IF(AND(ISNUMBER(Planos!$G72),IFERROR(INDEX(lst_frequencia_meses,MATCH(Planos!$E72,lst_frequencia,0)),0)&gt;0,(ano_ref*12+10)-(YEAR(Planos!$G72)*12+MONTH(Planos!$G72))&gt;0,MOD((ano_ref*12+10)-(YEAR(Planos!$G72)*12+MONTH(Planos!$G72)),MAX(1,IFERROR(INDEX(lst_frequencia_meses,MATCH(Planos!$E72,lst_frequencia,0)),0)))=0),"●","")))</f>
      </c>
      <c r="N73" s="43">
        <f>IF(NOT(Planos!$A72&lt;&gt;""),"",IF(COUNTIFS(Programação!$B$4:$B$503,Planos!$A72,Programação!$I$4:$I$503,"Concluído",Programação!$G$4:$G$503,"&gt;="&amp;DATE(ano_ref,11,1),Programação!$G$4:$G$503,"&lt;="&amp;EOMONTH(DATE(ano_ref,11,1),0))&gt;0,"✔",IF(AND(ISNUMBER(Planos!$G72),IFERROR(INDEX(lst_frequencia_meses,MATCH(Planos!$E72,lst_frequencia,0)),0)&gt;0,(ano_ref*12+11)-(YEAR(Planos!$G72)*12+MONTH(Planos!$G72))&gt;0,MOD((ano_ref*12+11)-(YEAR(Planos!$G72)*12+MONTH(Planos!$G72)),MAX(1,IFERROR(INDEX(lst_frequencia_meses,MATCH(Planos!$E72,lst_frequencia,0)),0)))=0),"●","")))</f>
      </c>
      <c r="O73" s="43">
        <f>IF(NOT(Planos!$A72&lt;&gt;""),"",IF(COUNTIFS(Programação!$B$4:$B$503,Planos!$A72,Programação!$I$4:$I$503,"Concluído",Programação!$G$4:$G$503,"&gt;="&amp;DATE(ano_ref,12,1),Programação!$G$4:$G$503,"&lt;="&amp;EOMONTH(DATE(ano_ref,12,1),0))&gt;0,"✔",IF(AND(ISNUMBER(Planos!$G72),IFERROR(INDEX(lst_frequencia_meses,MATCH(Planos!$E72,lst_frequencia,0)),0)&gt;0,(ano_ref*12+12)-(YEAR(Planos!$G72)*12+MONTH(Planos!$G72))&gt;0,MOD((ano_ref*12+12)-(YEAR(Planos!$G72)*12+MONTH(Planos!$G72)),MAX(1,IFERROR(INDEX(lst_frequencia_meses,MATCH(Planos!$E72,lst_frequencia,0)),0)))=0),"●","")))</f>
      </c>
      <c r="P73" s="44">
        <f>IF(COUNTIF(D73:O73,"✔")+COUNTIF(D73:O73,"●")=0,"",COUNTIF(D73:O73,"✔")/(COUNTIF(D73:O73,"✔")+COUNTIF(D73:O73,"●")))</f>
      </c>
    </row>
    <row r="74" spans="1:16" x14ac:dyDescent="0.25">
      <c r="A74" s="43">
        <f>IF(Planos!$A73&lt;&gt;"",Planos!A73&amp;"","")</f>
      </c>
      <c r="B74" s="43">
        <f>IF(Planos!$A73&lt;&gt;"",Planos!B73&amp;"","")</f>
      </c>
      <c r="C74" s="24">
        <f>IF(Planos!$A73&lt;&gt;"",Planos!C73&amp;"","")</f>
      </c>
      <c r="D74" s="43">
        <f>IF(NOT(Planos!$A73&lt;&gt;""),"",IF(COUNTIFS(Programação!$B$4:$B$503,Planos!$A73,Programação!$I$4:$I$503,"Concluído",Programação!$G$4:$G$503,"&gt;="&amp;DATE(ano_ref,1,1),Programação!$G$4:$G$503,"&lt;="&amp;EOMONTH(DATE(ano_ref,1,1),0))&gt;0,"✔",IF(AND(ISNUMBER(Planos!$G73),IFERROR(INDEX(lst_frequencia_meses,MATCH(Planos!$E73,lst_frequencia,0)),0)&gt;0,(ano_ref*12+1)-(YEAR(Planos!$G73)*12+MONTH(Planos!$G73))&gt;0,MOD((ano_ref*12+1)-(YEAR(Planos!$G73)*12+MONTH(Planos!$G73)),MAX(1,IFERROR(INDEX(lst_frequencia_meses,MATCH(Planos!$E73,lst_frequencia,0)),0)))=0),"●","")))</f>
      </c>
      <c r="E74" s="43">
        <f>IF(NOT(Planos!$A73&lt;&gt;""),"",IF(COUNTIFS(Programação!$B$4:$B$503,Planos!$A73,Programação!$I$4:$I$503,"Concluído",Programação!$G$4:$G$503,"&gt;="&amp;DATE(ano_ref,2,1),Programação!$G$4:$G$503,"&lt;="&amp;EOMONTH(DATE(ano_ref,2,1),0))&gt;0,"✔",IF(AND(ISNUMBER(Planos!$G73),IFERROR(INDEX(lst_frequencia_meses,MATCH(Planos!$E73,lst_frequencia,0)),0)&gt;0,(ano_ref*12+2)-(YEAR(Planos!$G73)*12+MONTH(Planos!$G73))&gt;0,MOD((ano_ref*12+2)-(YEAR(Planos!$G73)*12+MONTH(Planos!$G73)),MAX(1,IFERROR(INDEX(lst_frequencia_meses,MATCH(Planos!$E73,lst_frequencia,0)),0)))=0),"●","")))</f>
      </c>
      <c r="F74" s="43">
        <f>IF(NOT(Planos!$A73&lt;&gt;""),"",IF(COUNTIFS(Programação!$B$4:$B$503,Planos!$A73,Programação!$I$4:$I$503,"Concluído",Programação!$G$4:$G$503,"&gt;="&amp;DATE(ano_ref,3,1),Programação!$G$4:$G$503,"&lt;="&amp;EOMONTH(DATE(ano_ref,3,1),0))&gt;0,"✔",IF(AND(ISNUMBER(Planos!$G73),IFERROR(INDEX(lst_frequencia_meses,MATCH(Planos!$E73,lst_frequencia,0)),0)&gt;0,(ano_ref*12+3)-(YEAR(Planos!$G73)*12+MONTH(Planos!$G73))&gt;0,MOD((ano_ref*12+3)-(YEAR(Planos!$G73)*12+MONTH(Planos!$G73)),MAX(1,IFERROR(INDEX(lst_frequencia_meses,MATCH(Planos!$E73,lst_frequencia,0)),0)))=0),"●","")))</f>
      </c>
      <c r="G74" s="43">
        <f>IF(NOT(Planos!$A73&lt;&gt;""),"",IF(COUNTIFS(Programação!$B$4:$B$503,Planos!$A73,Programação!$I$4:$I$503,"Concluído",Programação!$G$4:$G$503,"&gt;="&amp;DATE(ano_ref,4,1),Programação!$G$4:$G$503,"&lt;="&amp;EOMONTH(DATE(ano_ref,4,1),0))&gt;0,"✔",IF(AND(ISNUMBER(Planos!$G73),IFERROR(INDEX(lst_frequencia_meses,MATCH(Planos!$E73,lst_frequencia,0)),0)&gt;0,(ano_ref*12+4)-(YEAR(Planos!$G73)*12+MONTH(Planos!$G73))&gt;0,MOD((ano_ref*12+4)-(YEAR(Planos!$G73)*12+MONTH(Planos!$G73)),MAX(1,IFERROR(INDEX(lst_frequencia_meses,MATCH(Planos!$E73,lst_frequencia,0)),0)))=0),"●","")))</f>
      </c>
      <c r="H74" s="43">
        <f>IF(NOT(Planos!$A73&lt;&gt;""),"",IF(COUNTIFS(Programação!$B$4:$B$503,Planos!$A73,Programação!$I$4:$I$503,"Concluído",Programação!$G$4:$G$503,"&gt;="&amp;DATE(ano_ref,5,1),Programação!$G$4:$G$503,"&lt;="&amp;EOMONTH(DATE(ano_ref,5,1),0))&gt;0,"✔",IF(AND(ISNUMBER(Planos!$G73),IFERROR(INDEX(lst_frequencia_meses,MATCH(Planos!$E73,lst_frequencia,0)),0)&gt;0,(ano_ref*12+5)-(YEAR(Planos!$G73)*12+MONTH(Planos!$G73))&gt;0,MOD((ano_ref*12+5)-(YEAR(Planos!$G73)*12+MONTH(Planos!$G73)),MAX(1,IFERROR(INDEX(lst_frequencia_meses,MATCH(Planos!$E73,lst_frequencia,0)),0)))=0),"●","")))</f>
      </c>
      <c r="I74" s="43">
        <f>IF(NOT(Planos!$A73&lt;&gt;""),"",IF(COUNTIFS(Programação!$B$4:$B$503,Planos!$A73,Programação!$I$4:$I$503,"Concluído",Programação!$G$4:$G$503,"&gt;="&amp;DATE(ano_ref,6,1),Programação!$G$4:$G$503,"&lt;="&amp;EOMONTH(DATE(ano_ref,6,1),0))&gt;0,"✔",IF(AND(ISNUMBER(Planos!$G73),IFERROR(INDEX(lst_frequencia_meses,MATCH(Planos!$E73,lst_frequencia,0)),0)&gt;0,(ano_ref*12+6)-(YEAR(Planos!$G73)*12+MONTH(Planos!$G73))&gt;0,MOD((ano_ref*12+6)-(YEAR(Planos!$G73)*12+MONTH(Planos!$G73)),MAX(1,IFERROR(INDEX(lst_frequencia_meses,MATCH(Planos!$E73,lst_frequencia,0)),0)))=0),"●","")))</f>
      </c>
      <c r="J74" s="43">
        <f>IF(NOT(Planos!$A73&lt;&gt;""),"",IF(COUNTIFS(Programação!$B$4:$B$503,Planos!$A73,Programação!$I$4:$I$503,"Concluído",Programação!$G$4:$G$503,"&gt;="&amp;DATE(ano_ref,7,1),Programação!$G$4:$G$503,"&lt;="&amp;EOMONTH(DATE(ano_ref,7,1),0))&gt;0,"✔",IF(AND(ISNUMBER(Planos!$G73),IFERROR(INDEX(lst_frequencia_meses,MATCH(Planos!$E73,lst_frequencia,0)),0)&gt;0,(ano_ref*12+7)-(YEAR(Planos!$G73)*12+MONTH(Planos!$G73))&gt;0,MOD((ano_ref*12+7)-(YEAR(Planos!$G73)*12+MONTH(Planos!$G73)),MAX(1,IFERROR(INDEX(lst_frequencia_meses,MATCH(Planos!$E73,lst_frequencia,0)),0)))=0),"●","")))</f>
      </c>
      <c r="K74" s="43">
        <f>IF(NOT(Planos!$A73&lt;&gt;""),"",IF(COUNTIFS(Programação!$B$4:$B$503,Planos!$A73,Programação!$I$4:$I$503,"Concluído",Programação!$G$4:$G$503,"&gt;="&amp;DATE(ano_ref,8,1),Programação!$G$4:$G$503,"&lt;="&amp;EOMONTH(DATE(ano_ref,8,1),0))&gt;0,"✔",IF(AND(ISNUMBER(Planos!$G73),IFERROR(INDEX(lst_frequencia_meses,MATCH(Planos!$E73,lst_frequencia,0)),0)&gt;0,(ano_ref*12+8)-(YEAR(Planos!$G73)*12+MONTH(Planos!$G73))&gt;0,MOD((ano_ref*12+8)-(YEAR(Planos!$G73)*12+MONTH(Planos!$G73)),MAX(1,IFERROR(INDEX(lst_frequencia_meses,MATCH(Planos!$E73,lst_frequencia,0)),0)))=0),"●","")))</f>
      </c>
      <c r="L74" s="43">
        <f>IF(NOT(Planos!$A73&lt;&gt;""),"",IF(COUNTIFS(Programação!$B$4:$B$503,Planos!$A73,Programação!$I$4:$I$503,"Concluído",Programação!$G$4:$G$503,"&gt;="&amp;DATE(ano_ref,9,1),Programação!$G$4:$G$503,"&lt;="&amp;EOMONTH(DATE(ano_ref,9,1),0))&gt;0,"✔",IF(AND(ISNUMBER(Planos!$G73),IFERROR(INDEX(lst_frequencia_meses,MATCH(Planos!$E73,lst_frequencia,0)),0)&gt;0,(ano_ref*12+9)-(YEAR(Planos!$G73)*12+MONTH(Planos!$G73))&gt;0,MOD((ano_ref*12+9)-(YEAR(Planos!$G73)*12+MONTH(Planos!$G73)),MAX(1,IFERROR(INDEX(lst_frequencia_meses,MATCH(Planos!$E73,lst_frequencia,0)),0)))=0),"●","")))</f>
      </c>
      <c r="M74" s="43">
        <f>IF(NOT(Planos!$A73&lt;&gt;""),"",IF(COUNTIFS(Programação!$B$4:$B$503,Planos!$A73,Programação!$I$4:$I$503,"Concluído",Programação!$G$4:$G$503,"&gt;="&amp;DATE(ano_ref,10,1),Programação!$G$4:$G$503,"&lt;="&amp;EOMONTH(DATE(ano_ref,10,1),0))&gt;0,"✔",IF(AND(ISNUMBER(Planos!$G73),IFERROR(INDEX(lst_frequencia_meses,MATCH(Planos!$E73,lst_frequencia,0)),0)&gt;0,(ano_ref*12+10)-(YEAR(Planos!$G73)*12+MONTH(Planos!$G73))&gt;0,MOD((ano_ref*12+10)-(YEAR(Planos!$G73)*12+MONTH(Planos!$G73)),MAX(1,IFERROR(INDEX(lst_frequencia_meses,MATCH(Planos!$E73,lst_frequencia,0)),0)))=0),"●","")))</f>
      </c>
      <c r="N74" s="43">
        <f>IF(NOT(Planos!$A73&lt;&gt;""),"",IF(COUNTIFS(Programação!$B$4:$B$503,Planos!$A73,Programação!$I$4:$I$503,"Concluído",Programação!$G$4:$G$503,"&gt;="&amp;DATE(ano_ref,11,1),Programação!$G$4:$G$503,"&lt;="&amp;EOMONTH(DATE(ano_ref,11,1),0))&gt;0,"✔",IF(AND(ISNUMBER(Planos!$G73),IFERROR(INDEX(lst_frequencia_meses,MATCH(Planos!$E73,lst_frequencia,0)),0)&gt;0,(ano_ref*12+11)-(YEAR(Planos!$G73)*12+MONTH(Planos!$G73))&gt;0,MOD((ano_ref*12+11)-(YEAR(Planos!$G73)*12+MONTH(Planos!$G73)),MAX(1,IFERROR(INDEX(lst_frequencia_meses,MATCH(Planos!$E73,lst_frequencia,0)),0)))=0),"●","")))</f>
      </c>
      <c r="O74" s="43">
        <f>IF(NOT(Planos!$A73&lt;&gt;""),"",IF(COUNTIFS(Programação!$B$4:$B$503,Planos!$A73,Programação!$I$4:$I$503,"Concluído",Programação!$G$4:$G$503,"&gt;="&amp;DATE(ano_ref,12,1),Programação!$G$4:$G$503,"&lt;="&amp;EOMONTH(DATE(ano_ref,12,1),0))&gt;0,"✔",IF(AND(ISNUMBER(Planos!$G73),IFERROR(INDEX(lst_frequencia_meses,MATCH(Planos!$E73,lst_frequencia,0)),0)&gt;0,(ano_ref*12+12)-(YEAR(Planos!$G73)*12+MONTH(Planos!$G73))&gt;0,MOD((ano_ref*12+12)-(YEAR(Planos!$G73)*12+MONTH(Planos!$G73)),MAX(1,IFERROR(INDEX(lst_frequencia_meses,MATCH(Planos!$E73,lst_frequencia,0)),0)))=0),"●","")))</f>
      </c>
      <c r="P74" s="44">
        <f>IF(COUNTIF(D74:O74,"✔")+COUNTIF(D74:O74,"●")=0,"",COUNTIF(D74:O74,"✔")/(COUNTIF(D74:O74,"✔")+COUNTIF(D74:O74,"●")))</f>
      </c>
    </row>
    <row r="75" spans="1:16" x14ac:dyDescent="0.25">
      <c r="A75" s="43">
        <f>IF(Planos!$A74&lt;&gt;"",Planos!A74&amp;"","")</f>
      </c>
      <c r="B75" s="43">
        <f>IF(Planos!$A74&lt;&gt;"",Planos!B74&amp;"","")</f>
      </c>
      <c r="C75" s="24">
        <f>IF(Planos!$A74&lt;&gt;"",Planos!C74&amp;"","")</f>
      </c>
      <c r="D75" s="43">
        <f>IF(NOT(Planos!$A74&lt;&gt;""),"",IF(COUNTIFS(Programação!$B$4:$B$503,Planos!$A74,Programação!$I$4:$I$503,"Concluído",Programação!$G$4:$G$503,"&gt;="&amp;DATE(ano_ref,1,1),Programação!$G$4:$G$503,"&lt;="&amp;EOMONTH(DATE(ano_ref,1,1),0))&gt;0,"✔",IF(AND(ISNUMBER(Planos!$G74),IFERROR(INDEX(lst_frequencia_meses,MATCH(Planos!$E74,lst_frequencia,0)),0)&gt;0,(ano_ref*12+1)-(YEAR(Planos!$G74)*12+MONTH(Planos!$G74))&gt;0,MOD((ano_ref*12+1)-(YEAR(Planos!$G74)*12+MONTH(Planos!$G74)),MAX(1,IFERROR(INDEX(lst_frequencia_meses,MATCH(Planos!$E74,lst_frequencia,0)),0)))=0),"●","")))</f>
      </c>
      <c r="E75" s="43">
        <f>IF(NOT(Planos!$A74&lt;&gt;""),"",IF(COUNTIFS(Programação!$B$4:$B$503,Planos!$A74,Programação!$I$4:$I$503,"Concluído",Programação!$G$4:$G$503,"&gt;="&amp;DATE(ano_ref,2,1),Programação!$G$4:$G$503,"&lt;="&amp;EOMONTH(DATE(ano_ref,2,1),0))&gt;0,"✔",IF(AND(ISNUMBER(Planos!$G74),IFERROR(INDEX(lst_frequencia_meses,MATCH(Planos!$E74,lst_frequencia,0)),0)&gt;0,(ano_ref*12+2)-(YEAR(Planos!$G74)*12+MONTH(Planos!$G74))&gt;0,MOD((ano_ref*12+2)-(YEAR(Planos!$G74)*12+MONTH(Planos!$G74)),MAX(1,IFERROR(INDEX(lst_frequencia_meses,MATCH(Planos!$E74,lst_frequencia,0)),0)))=0),"●","")))</f>
      </c>
      <c r="F75" s="43">
        <f>IF(NOT(Planos!$A74&lt;&gt;""),"",IF(COUNTIFS(Programação!$B$4:$B$503,Planos!$A74,Programação!$I$4:$I$503,"Concluído",Programação!$G$4:$G$503,"&gt;="&amp;DATE(ano_ref,3,1),Programação!$G$4:$G$503,"&lt;="&amp;EOMONTH(DATE(ano_ref,3,1),0))&gt;0,"✔",IF(AND(ISNUMBER(Planos!$G74),IFERROR(INDEX(lst_frequencia_meses,MATCH(Planos!$E74,lst_frequencia,0)),0)&gt;0,(ano_ref*12+3)-(YEAR(Planos!$G74)*12+MONTH(Planos!$G74))&gt;0,MOD((ano_ref*12+3)-(YEAR(Planos!$G74)*12+MONTH(Planos!$G74)),MAX(1,IFERROR(INDEX(lst_frequencia_meses,MATCH(Planos!$E74,lst_frequencia,0)),0)))=0),"●","")))</f>
      </c>
      <c r="G75" s="43">
        <f>IF(NOT(Planos!$A74&lt;&gt;""),"",IF(COUNTIFS(Programação!$B$4:$B$503,Planos!$A74,Programação!$I$4:$I$503,"Concluído",Programação!$G$4:$G$503,"&gt;="&amp;DATE(ano_ref,4,1),Programação!$G$4:$G$503,"&lt;="&amp;EOMONTH(DATE(ano_ref,4,1),0))&gt;0,"✔",IF(AND(ISNUMBER(Planos!$G74),IFERROR(INDEX(lst_frequencia_meses,MATCH(Planos!$E74,lst_frequencia,0)),0)&gt;0,(ano_ref*12+4)-(YEAR(Planos!$G74)*12+MONTH(Planos!$G74))&gt;0,MOD((ano_ref*12+4)-(YEAR(Planos!$G74)*12+MONTH(Planos!$G74)),MAX(1,IFERROR(INDEX(lst_frequencia_meses,MATCH(Planos!$E74,lst_frequencia,0)),0)))=0),"●","")))</f>
      </c>
      <c r="H75" s="43">
        <f>IF(NOT(Planos!$A74&lt;&gt;""),"",IF(COUNTIFS(Programação!$B$4:$B$503,Planos!$A74,Programação!$I$4:$I$503,"Concluído",Programação!$G$4:$G$503,"&gt;="&amp;DATE(ano_ref,5,1),Programação!$G$4:$G$503,"&lt;="&amp;EOMONTH(DATE(ano_ref,5,1),0))&gt;0,"✔",IF(AND(ISNUMBER(Planos!$G74),IFERROR(INDEX(lst_frequencia_meses,MATCH(Planos!$E74,lst_frequencia,0)),0)&gt;0,(ano_ref*12+5)-(YEAR(Planos!$G74)*12+MONTH(Planos!$G74))&gt;0,MOD((ano_ref*12+5)-(YEAR(Planos!$G74)*12+MONTH(Planos!$G74)),MAX(1,IFERROR(INDEX(lst_frequencia_meses,MATCH(Planos!$E74,lst_frequencia,0)),0)))=0),"●","")))</f>
      </c>
      <c r="I75" s="43">
        <f>IF(NOT(Planos!$A74&lt;&gt;""),"",IF(COUNTIFS(Programação!$B$4:$B$503,Planos!$A74,Programação!$I$4:$I$503,"Concluído",Programação!$G$4:$G$503,"&gt;="&amp;DATE(ano_ref,6,1),Programação!$G$4:$G$503,"&lt;="&amp;EOMONTH(DATE(ano_ref,6,1),0))&gt;0,"✔",IF(AND(ISNUMBER(Planos!$G74),IFERROR(INDEX(lst_frequencia_meses,MATCH(Planos!$E74,lst_frequencia,0)),0)&gt;0,(ano_ref*12+6)-(YEAR(Planos!$G74)*12+MONTH(Planos!$G74))&gt;0,MOD((ano_ref*12+6)-(YEAR(Planos!$G74)*12+MONTH(Planos!$G74)),MAX(1,IFERROR(INDEX(lst_frequencia_meses,MATCH(Planos!$E74,lst_frequencia,0)),0)))=0),"●","")))</f>
      </c>
      <c r="J75" s="43">
        <f>IF(NOT(Planos!$A74&lt;&gt;""),"",IF(COUNTIFS(Programação!$B$4:$B$503,Planos!$A74,Programação!$I$4:$I$503,"Concluído",Programação!$G$4:$G$503,"&gt;="&amp;DATE(ano_ref,7,1),Programação!$G$4:$G$503,"&lt;="&amp;EOMONTH(DATE(ano_ref,7,1),0))&gt;0,"✔",IF(AND(ISNUMBER(Planos!$G74),IFERROR(INDEX(lst_frequencia_meses,MATCH(Planos!$E74,lst_frequencia,0)),0)&gt;0,(ano_ref*12+7)-(YEAR(Planos!$G74)*12+MONTH(Planos!$G74))&gt;0,MOD((ano_ref*12+7)-(YEAR(Planos!$G74)*12+MONTH(Planos!$G74)),MAX(1,IFERROR(INDEX(lst_frequencia_meses,MATCH(Planos!$E74,lst_frequencia,0)),0)))=0),"●","")))</f>
      </c>
      <c r="K75" s="43">
        <f>IF(NOT(Planos!$A74&lt;&gt;""),"",IF(COUNTIFS(Programação!$B$4:$B$503,Planos!$A74,Programação!$I$4:$I$503,"Concluído",Programação!$G$4:$G$503,"&gt;="&amp;DATE(ano_ref,8,1),Programação!$G$4:$G$503,"&lt;="&amp;EOMONTH(DATE(ano_ref,8,1),0))&gt;0,"✔",IF(AND(ISNUMBER(Planos!$G74),IFERROR(INDEX(lst_frequencia_meses,MATCH(Planos!$E74,lst_frequencia,0)),0)&gt;0,(ano_ref*12+8)-(YEAR(Planos!$G74)*12+MONTH(Planos!$G74))&gt;0,MOD((ano_ref*12+8)-(YEAR(Planos!$G74)*12+MONTH(Planos!$G74)),MAX(1,IFERROR(INDEX(lst_frequencia_meses,MATCH(Planos!$E74,lst_frequencia,0)),0)))=0),"●","")))</f>
      </c>
      <c r="L75" s="43">
        <f>IF(NOT(Planos!$A74&lt;&gt;""),"",IF(COUNTIFS(Programação!$B$4:$B$503,Planos!$A74,Programação!$I$4:$I$503,"Concluído",Programação!$G$4:$G$503,"&gt;="&amp;DATE(ano_ref,9,1),Programação!$G$4:$G$503,"&lt;="&amp;EOMONTH(DATE(ano_ref,9,1),0))&gt;0,"✔",IF(AND(ISNUMBER(Planos!$G74),IFERROR(INDEX(lst_frequencia_meses,MATCH(Planos!$E74,lst_frequencia,0)),0)&gt;0,(ano_ref*12+9)-(YEAR(Planos!$G74)*12+MONTH(Planos!$G74))&gt;0,MOD((ano_ref*12+9)-(YEAR(Planos!$G74)*12+MONTH(Planos!$G74)),MAX(1,IFERROR(INDEX(lst_frequencia_meses,MATCH(Planos!$E74,lst_frequencia,0)),0)))=0),"●","")))</f>
      </c>
      <c r="M75" s="43">
        <f>IF(NOT(Planos!$A74&lt;&gt;""),"",IF(COUNTIFS(Programação!$B$4:$B$503,Planos!$A74,Programação!$I$4:$I$503,"Concluído",Programação!$G$4:$G$503,"&gt;="&amp;DATE(ano_ref,10,1),Programação!$G$4:$G$503,"&lt;="&amp;EOMONTH(DATE(ano_ref,10,1),0))&gt;0,"✔",IF(AND(ISNUMBER(Planos!$G74),IFERROR(INDEX(lst_frequencia_meses,MATCH(Planos!$E74,lst_frequencia,0)),0)&gt;0,(ano_ref*12+10)-(YEAR(Planos!$G74)*12+MONTH(Planos!$G74))&gt;0,MOD((ano_ref*12+10)-(YEAR(Planos!$G74)*12+MONTH(Planos!$G74)),MAX(1,IFERROR(INDEX(lst_frequencia_meses,MATCH(Planos!$E74,lst_frequencia,0)),0)))=0),"●","")))</f>
      </c>
      <c r="N75" s="43">
        <f>IF(NOT(Planos!$A74&lt;&gt;""),"",IF(COUNTIFS(Programação!$B$4:$B$503,Planos!$A74,Programação!$I$4:$I$503,"Concluído",Programação!$G$4:$G$503,"&gt;="&amp;DATE(ano_ref,11,1),Programação!$G$4:$G$503,"&lt;="&amp;EOMONTH(DATE(ano_ref,11,1),0))&gt;0,"✔",IF(AND(ISNUMBER(Planos!$G74),IFERROR(INDEX(lst_frequencia_meses,MATCH(Planos!$E74,lst_frequencia,0)),0)&gt;0,(ano_ref*12+11)-(YEAR(Planos!$G74)*12+MONTH(Planos!$G74))&gt;0,MOD((ano_ref*12+11)-(YEAR(Planos!$G74)*12+MONTH(Planos!$G74)),MAX(1,IFERROR(INDEX(lst_frequencia_meses,MATCH(Planos!$E74,lst_frequencia,0)),0)))=0),"●","")))</f>
      </c>
      <c r="O75" s="43">
        <f>IF(NOT(Planos!$A74&lt;&gt;""),"",IF(COUNTIFS(Programação!$B$4:$B$503,Planos!$A74,Programação!$I$4:$I$503,"Concluído",Programação!$G$4:$G$503,"&gt;="&amp;DATE(ano_ref,12,1),Programação!$G$4:$G$503,"&lt;="&amp;EOMONTH(DATE(ano_ref,12,1),0))&gt;0,"✔",IF(AND(ISNUMBER(Planos!$G74),IFERROR(INDEX(lst_frequencia_meses,MATCH(Planos!$E74,lst_frequencia,0)),0)&gt;0,(ano_ref*12+12)-(YEAR(Planos!$G74)*12+MONTH(Planos!$G74))&gt;0,MOD((ano_ref*12+12)-(YEAR(Planos!$G74)*12+MONTH(Planos!$G74)),MAX(1,IFERROR(INDEX(lst_frequencia_meses,MATCH(Planos!$E74,lst_frequencia,0)),0)))=0),"●","")))</f>
      </c>
      <c r="P75" s="44">
        <f>IF(COUNTIF(D75:O75,"✔")+COUNTIF(D75:O75,"●")=0,"",COUNTIF(D75:O75,"✔")/(COUNTIF(D75:O75,"✔")+COUNTIF(D75:O75,"●")))</f>
      </c>
    </row>
    <row r="76" spans="1:16" x14ac:dyDescent="0.25">
      <c r="A76" s="43">
        <f>IF(Planos!$A75&lt;&gt;"",Planos!A75&amp;"","")</f>
      </c>
      <c r="B76" s="43">
        <f>IF(Planos!$A75&lt;&gt;"",Planos!B75&amp;"","")</f>
      </c>
      <c r="C76" s="24">
        <f>IF(Planos!$A75&lt;&gt;"",Planos!C75&amp;"","")</f>
      </c>
      <c r="D76" s="43">
        <f>IF(NOT(Planos!$A75&lt;&gt;""),"",IF(COUNTIFS(Programação!$B$4:$B$503,Planos!$A75,Programação!$I$4:$I$503,"Concluído",Programação!$G$4:$G$503,"&gt;="&amp;DATE(ano_ref,1,1),Programação!$G$4:$G$503,"&lt;="&amp;EOMONTH(DATE(ano_ref,1,1),0))&gt;0,"✔",IF(AND(ISNUMBER(Planos!$G75),IFERROR(INDEX(lst_frequencia_meses,MATCH(Planos!$E75,lst_frequencia,0)),0)&gt;0,(ano_ref*12+1)-(YEAR(Planos!$G75)*12+MONTH(Planos!$G75))&gt;0,MOD((ano_ref*12+1)-(YEAR(Planos!$G75)*12+MONTH(Planos!$G75)),MAX(1,IFERROR(INDEX(lst_frequencia_meses,MATCH(Planos!$E75,lst_frequencia,0)),0)))=0),"●","")))</f>
      </c>
      <c r="E76" s="43">
        <f>IF(NOT(Planos!$A75&lt;&gt;""),"",IF(COUNTIFS(Programação!$B$4:$B$503,Planos!$A75,Programação!$I$4:$I$503,"Concluído",Programação!$G$4:$G$503,"&gt;="&amp;DATE(ano_ref,2,1),Programação!$G$4:$G$503,"&lt;="&amp;EOMONTH(DATE(ano_ref,2,1),0))&gt;0,"✔",IF(AND(ISNUMBER(Planos!$G75),IFERROR(INDEX(lst_frequencia_meses,MATCH(Planos!$E75,lst_frequencia,0)),0)&gt;0,(ano_ref*12+2)-(YEAR(Planos!$G75)*12+MONTH(Planos!$G75))&gt;0,MOD((ano_ref*12+2)-(YEAR(Planos!$G75)*12+MONTH(Planos!$G75)),MAX(1,IFERROR(INDEX(lst_frequencia_meses,MATCH(Planos!$E75,lst_frequencia,0)),0)))=0),"●","")))</f>
      </c>
      <c r="F76" s="43">
        <f>IF(NOT(Planos!$A75&lt;&gt;""),"",IF(COUNTIFS(Programação!$B$4:$B$503,Planos!$A75,Programação!$I$4:$I$503,"Concluído",Programação!$G$4:$G$503,"&gt;="&amp;DATE(ano_ref,3,1),Programação!$G$4:$G$503,"&lt;="&amp;EOMONTH(DATE(ano_ref,3,1),0))&gt;0,"✔",IF(AND(ISNUMBER(Planos!$G75),IFERROR(INDEX(lst_frequencia_meses,MATCH(Planos!$E75,lst_frequencia,0)),0)&gt;0,(ano_ref*12+3)-(YEAR(Planos!$G75)*12+MONTH(Planos!$G75))&gt;0,MOD((ano_ref*12+3)-(YEAR(Planos!$G75)*12+MONTH(Planos!$G75)),MAX(1,IFERROR(INDEX(lst_frequencia_meses,MATCH(Planos!$E75,lst_frequencia,0)),0)))=0),"●","")))</f>
      </c>
      <c r="G76" s="43">
        <f>IF(NOT(Planos!$A75&lt;&gt;""),"",IF(COUNTIFS(Programação!$B$4:$B$503,Planos!$A75,Programação!$I$4:$I$503,"Concluído",Programação!$G$4:$G$503,"&gt;="&amp;DATE(ano_ref,4,1),Programação!$G$4:$G$503,"&lt;="&amp;EOMONTH(DATE(ano_ref,4,1),0))&gt;0,"✔",IF(AND(ISNUMBER(Planos!$G75),IFERROR(INDEX(lst_frequencia_meses,MATCH(Planos!$E75,lst_frequencia,0)),0)&gt;0,(ano_ref*12+4)-(YEAR(Planos!$G75)*12+MONTH(Planos!$G75))&gt;0,MOD((ano_ref*12+4)-(YEAR(Planos!$G75)*12+MONTH(Planos!$G75)),MAX(1,IFERROR(INDEX(lst_frequencia_meses,MATCH(Planos!$E75,lst_frequencia,0)),0)))=0),"●","")))</f>
      </c>
      <c r="H76" s="43">
        <f>IF(NOT(Planos!$A75&lt;&gt;""),"",IF(COUNTIFS(Programação!$B$4:$B$503,Planos!$A75,Programação!$I$4:$I$503,"Concluído",Programação!$G$4:$G$503,"&gt;="&amp;DATE(ano_ref,5,1),Programação!$G$4:$G$503,"&lt;="&amp;EOMONTH(DATE(ano_ref,5,1),0))&gt;0,"✔",IF(AND(ISNUMBER(Planos!$G75),IFERROR(INDEX(lst_frequencia_meses,MATCH(Planos!$E75,lst_frequencia,0)),0)&gt;0,(ano_ref*12+5)-(YEAR(Planos!$G75)*12+MONTH(Planos!$G75))&gt;0,MOD((ano_ref*12+5)-(YEAR(Planos!$G75)*12+MONTH(Planos!$G75)),MAX(1,IFERROR(INDEX(lst_frequencia_meses,MATCH(Planos!$E75,lst_frequencia,0)),0)))=0),"●","")))</f>
      </c>
      <c r="I76" s="43">
        <f>IF(NOT(Planos!$A75&lt;&gt;""),"",IF(COUNTIFS(Programação!$B$4:$B$503,Planos!$A75,Programação!$I$4:$I$503,"Concluído",Programação!$G$4:$G$503,"&gt;="&amp;DATE(ano_ref,6,1),Programação!$G$4:$G$503,"&lt;="&amp;EOMONTH(DATE(ano_ref,6,1),0))&gt;0,"✔",IF(AND(ISNUMBER(Planos!$G75),IFERROR(INDEX(lst_frequencia_meses,MATCH(Planos!$E75,lst_frequencia,0)),0)&gt;0,(ano_ref*12+6)-(YEAR(Planos!$G75)*12+MONTH(Planos!$G75))&gt;0,MOD((ano_ref*12+6)-(YEAR(Planos!$G75)*12+MONTH(Planos!$G75)),MAX(1,IFERROR(INDEX(lst_frequencia_meses,MATCH(Planos!$E75,lst_frequencia,0)),0)))=0),"●","")))</f>
      </c>
      <c r="J76" s="43">
        <f>IF(NOT(Planos!$A75&lt;&gt;""),"",IF(COUNTIFS(Programação!$B$4:$B$503,Planos!$A75,Programação!$I$4:$I$503,"Concluído",Programação!$G$4:$G$503,"&gt;="&amp;DATE(ano_ref,7,1),Programação!$G$4:$G$503,"&lt;="&amp;EOMONTH(DATE(ano_ref,7,1),0))&gt;0,"✔",IF(AND(ISNUMBER(Planos!$G75),IFERROR(INDEX(lst_frequencia_meses,MATCH(Planos!$E75,lst_frequencia,0)),0)&gt;0,(ano_ref*12+7)-(YEAR(Planos!$G75)*12+MONTH(Planos!$G75))&gt;0,MOD((ano_ref*12+7)-(YEAR(Planos!$G75)*12+MONTH(Planos!$G75)),MAX(1,IFERROR(INDEX(lst_frequencia_meses,MATCH(Planos!$E75,lst_frequencia,0)),0)))=0),"●","")))</f>
      </c>
      <c r="K76" s="43">
        <f>IF(NOT(Planos!$A75&lt;&gt;""),"",IF(COUNTIFS(Programação!$B$4:$B$503,Planos!$A75,Programação!$I$4:$I$503,"Concluído",Programação!$G$4:$G$503,"&gt;="&amp;DATE(ano_ref,8,1),Programação!$G$4:$G$503,"&lt;="&amp;EOMONTH(DATE(ano_ref,8,1),0))&gt;0,"✔",IF(AND(ISNUMBER(Planos!$G75),IFERROR(INDEX(lst_frequencia_meses,MATCH(Planos!$E75,lst_frequencia,0)),0)&gt;0,(ano_ref*12+8)-(YEAR(Planos!$G75)*12+MONTH(Planos!$G75))&gt;0,MOD((ano_ref*12+8)-(YEAR(Planos!$G75)*12+MONTH(Planos!$G75)),MAX(1,IFERROR(INDEX(lst_frequencia_meses,MATCH(Planos!$E75,lst_frequencia,0)),0)))=0),"●","")))</f>
      </c>
      <c r="L76" s="43">
        <f>IF(NOT(Planos!$A75&lt;&gt;""),"",IF(COUNTIFS(Programação!$B$4:$B$503,Planos!$A75,Programação!$I$4:$I$503,"Concluído",Programação!$G$4:$G$503,"&gt;="&amp;DATE(ano_ref,9,1),Programação!$G$4:$G$503,"&lt;="&amp;EOMONTH(DATE(ano_ref,9,1),0))&gt;0,"✔",IF(AND(ISNUMBER(Planos!$G75),IFERROR(INDEX(lst_frequencia_meses,MATCH(Planos!$E75,lst_frequencia,0)),0)&gt;0,(ano_ref*12+9)-(YEAR(Planos!$G75)*12+MONTH(Planos!$G75))&gt;0,MOD((ano_ref*12+9)-(YEAR(Planos!$G75)*12+MONTH(Planos!$G75)),MAX(1,IFERROR(INDEX(lst_frequencia_meses,MATCH(Planos!$E75,lst_frequencia,0)),0)))=0),"●","")))</f>
      </c>
      <c r="M76" s="43">
        <f>IF(NOT(Planos!$A75&lt;&gt;""),"",IF(COUNTIFS(Programação!$B$4:$B$503,Planos!$A75,Programação!$I$4:$I$503,"Concluído",Programação!$G$4:$G$503,"&gt;="&amp;DATE(ano_ref,10,1),Programação!$G$4:$G$503,"&lt;="&amp;EOMONTH(DATE(ano_ref,10,1),0))&gt;0,"✔",IF(AND(ISNUMBER(Planos!$G75),IFERROR(INDEX(lst_frequencia_meses,MATCH(Planos!$E75,lst_frequencia,0)),0)&gt;0,(ano_ref*12+10)-(YEAR(Planos!$G75)*12+MONTH(Planos!$G75))&gt;0,MOD((ano_ref*12+10)-(YEAR(Planos!$G75)*12+MONTH(Planos!$G75)),MAX(1,IFERROR(INDEX(lst_frequencia_meses,MATCH(Planos!$E75,lst_frequencia,0)),0)))=0),"●","")))</f>
      </c>
      <c r="N76" s="43">
        <f>IF(NOT(Planos!$A75&lt;&gt;""),"",IF(COUNTIFS(Programação!$B$4:$B$503,Planos!$A75,Programação!$I$4:$I$503,"Concluído",Programação!$G$4:$G$503,"&gt;="&amp;DATE(ano_ref,11,1),Programação!$G$4:$G$503,"&lt;="&amp;EOMONTH(DATE(ano_ref,11,1),0))&gt;0,"✔",IF(AND(ISNUMBER(Planos!$G75),IFERROR(INDEX(lst_frequencia_meses,MATCH(Planos!$E75,lst_frequencia,0)),0)&gt;0,(ano_ref*12+11)-(YEAR(Planos!$G75)*12+MONTH(Planos!$G75))&gt;0,MOD((ano_ref*12+11)-(YEAR(Planos!$G75)*12+MONTH(Planos!$G75)),MAX(1,IFERROR(INDEX(lst_frequencia_meses,MATCH(Planos!$E75,lst_frequencia,0)),0)))=0),"●","")))</f>
      </c>
      <c r="O76" s="43">
        <f>IF(NOT(Planos!$A75&lt;&gt;""),"",IF(COUNTIFS(Programação!$B$4:$B$503,Planos!$A75,Programação!$I$4:$I$503,"Concluído",Programação!$G$4:$G$503,"&gt;="&amp;DATE(ano_ref,12,1),Programação!$G$4:$G$503,"&lt;="&amp;EOMONTH(DATE(ano_ref,12,1),0))&gt;0,"✔",IF(AND(ISNUMBER(Planos!$G75),IFERROR(INDEX(lst_frequencia_meses,MATCH(Planos!$E75,lst_frequencia,0)),0)&gt;0,(ano_ref*12+12)-(YEAR(Planos!$G75)*12+MONTH(Planos!$G75))&gt;0,MOD((ano_ref*12+12)-(YEAR(Planos!$G75)*12+MONTH(Planos!$G75)),MAX(1,IFERROR(INDEX(lst_frequencia_meses,MATCH(Planos!$E75,lst_frequencia,0)),0)))=0),"●","")))</f>
      </c>
      <c r="P76" s="44">
        <f>IF(COUNTIF(D76:O76,"✔")+COUNTIF(D76:O76,"●")=0,"",COUNTIF(D76:O76,"✔")/(COUNTIF(D76:O76,"✔")+COUNTIF(D76:O76,"●")))</f>
      </c>
    </row>
    <row r="77" spans="1:16" x14ac:dyDescent="0.25">
      <c r="A77" s="43">
        <f>IF(Planos!$A76&lt;&gt;"",Planos!A76&amp;"","")</f>
      </c>
      <c r="B77" s="43">
        <f>IF(Planos!$A76&lt;&gt;"",Planos!B76&amp;"","")</f>
      </c>
      <c r="C77" s="24">
        <f>IF(Planos!$A76&lt;&gt;"",Planos!C76&amp;"","")</f>
      </c>
      <c r="D77" s="43">
        <f>IF(NOT(Planos!$A76&lt;&gt;""),"",IF(COUNTIFS(Programação!$B$4:$B$503,Planos!$A76,Programação!$I$4:$I$503,"Concluído",Programação!$G$4:$G$503,"&gt;="&amp;DATE(ano_ref,1,1),Programação!$G$4:$G$503,"&lt;="&amp;EOMONTH(DATE(ano_ref,1,1),0))&gt;0,"✔",IF(AND(ISNUMBER(Planos!$G76),IFERROR(INDEX(lst_frequencia_meses,MATCH(Planos!$E76,lst_frequencia,0)),0)&gt;0,(ano_ref*12+1)-(YEAR(Planos!$G76)*12+MONTH(Planos!$G76))&gt;0,MOD((ano_ref*12+1)-(YEAR(Planos!$G76)*12+MONTH(Planos!$G76)),MAX(1,IFERROR(INDEX(lst_frequencia_meses,MATCH(Planos!$E76,lst_frequencia,0)),0)))=0),"●","")))</f>
      </c>
      <c r="E77" s="43">
        <f>IF(NOT(Planos!$A76&lt;&gt;""),"",IF(COUNTIFS(Programação!$B$4:$B$503,Planos!$A76,Programação!$I$4:$I$503,"Concluído",Programação!$G$4:$G$503,"&gt;="&amp;DATE(ano_ref,2,1),Programação!$G$4:$G$503,"&lt;="&amp;EOMONTH(DATE(ano_ref,2,1),0))&gt;0,"✔",IF(AND(ISNUMBER(Planos!$G76),IFERROR(INDEX(lst_frequencia_meses,MATCH(Planos!$E76,lst_frequencia,0)),0)&gt;0,(ano_ref*12+2)-(YEAR(Planos!$G76)*12+MONTH(Planos!$G76))&gt;0,MOD((ano_ref*12+2)-(YEAR(Planos!$G76)*12+MONTH(Planos!$G76)),MAX(1,IFERROR(INDEX(lst_frequencia_meses,MATCH(Planos!$E76,lst_frequencia,0)),0)))=0),"●","")))</f>
      </c>
      <c r="F77" s="43">
        <f>IF(NOT(Planos!$A76&lt;&gt;""),"",IF(COUNTIFS(Programação!$B$4:$B$503,Planos!$A76,Programação!$I$4:$I$503,"Concluído",Programação!$G$4:$G$503,"&gt;="&amp;DATE(ano_ref,3,1),Programação!$G$4:$G$503,"&lt;="&amp;EOMONTH(DATE(ano_ref,3,1),0))&gt;0,"✔",IF(AND(ISNUMBER(Planos!$G76),IFERROR(INDEX(lst_frequencia_meses,MATCH(Planos!$E76,lst_frequencia,0)),0)&gt;0,(ano_ref*12+3)-(YEAR(Planos!$G76)*12+MONTH(Planos!$G76))&gt;0,MOD((ano_ref*12+3)-(YEAR(Planos!$G76)*12+MONTH(Planos!$G76)),MAX(1,IFERROR(INDEX(lst_frequencia_meses,MATCH(Planos!$E76,lst_frequencia,0)),0)))=0),"●","")))</f>
      </c>
      <c r="G77" s="43">
        <f>IF(NOT(Planos!$A76&lt;&gt;""),"",IF(COUNTIFS(Programação!$B$4:$B$503,Planos!$A76,Programação!$I$4:$I$503,"Concluído",Programação!$G$4:$G$503,"&gt;="&amp;DATE(ano_ref,4,1),Programação!$G$4:$G$503,"&lt;="&amp;EOMONTH(DATE(ano_ref,4,1),0))&gt;0,"✔",IF(AND(ISNUMBER(Planos!$G76),IFERROR(INDEX(lst_frequencia_meses,MATCH(Planos!$E76,lst_frequencia,0)),0)&gt;0,(ano_ref*12+4)-(YEAR(Planos!$G76)*12+MONTH(Planos!$G76))&gt;0,MOD((ano_ref*12+4)-(YEAR(Planos!$G76)*12+MONTH(Planos!$G76)),MAX(1,IFERROR(INDEX(lst_frequencia_meses,MATCH(Planos!$E76,lst_frequencia,0)),0)))=0),"●","")))</f>
      </c>
      <c r="H77" s="43">
        <f>IF(NOT(Planos!$A76&lt;&gt;""),"",IF(COUNTIFS(Programação!$B$4:$B$503,Planos!$A76,Programação!$I$4:$I$503,"Concluído",Programação!$G$4:$G$503,"&gt;="&amp;DATE(ano_ref,5,1),Programação!$G$4:$G$503,"&lt;="&amp;EOMONTH(DATE(ano_ref,5,1),0))&gt;0,"✔",IF(AND(ISNUMBER(Planos!$G76),IFERROR(INDEX(lst_frequencia_meses,MATCH(Planos!$E76,lst_frequencia,0)),0)&gt;0,(ano_ref*12+5)-(YEAR(Planos!$G76)*12+MONTH(Planos!$G76))&gt;0,MOD((ano_ref*12+5)-(YEAR(Planos!$G76)*12+MONTH(Planos!$G76)),MAX(1,IFERROR(INDEX(lst_frequencia_meses,MATCH(Planos!$E76,lst_frequencia,0)),0)))=0),"●","")))</f>
      </c>
      <c r="I77" s="43">
        <f>IF(NOT(Planos!$A76&lt;&gt;""),"",IF(COUNTIFS(Programação!$B$4:$B$503,Planos!$A76,Programação!$I$4:$I$503,"Concluído",Programação!$G$4:$G$503,"&gt;="&amp;DATE(ano_ref,6,1),Programação!$G$4:$G$503,"&lt;="&amp;EOMONTH(DATE(ano_ref,6,1),0))&gt;0,"✔",IF(AND(ISNUMBER(Planos!$G76),IFERROR(INDEX(lst_frequencia_meses,MATCH(Planos!$E76,lst_frequencia,0)),0)&gt;0,(ano_ref*12+6)-(YEAR(Planos!$G76)*12+MONTH(Planos!$G76))&gt;0,MOD((ano_ref*12+6)-(YEAR(Planos!$G76)*12+MONTH(Planos!$G76)),MAX(1,IFERROR(INDEX(lst_frequencia_meses,MATCH(Planos!$E76,lst_frequencia,0)),0)))=0),"●","")))</f>
      </c>
      <c r="J77" s="43">
        <f>IF(NOT(Planos!$A76&lt;&gt;""),"",IF(COUNTIFS(Programação!$B$4:$B$503,Planos!$A76,Programação!$I$4:$I$503,"Concluído",Programação!$G$4:$G$503,"&gt;="&amp;DATE(ano_ref,7,1),Programação!$G$4:$G$503,"&lt;="&amp;EOMONTH(DATE(ano_ref,7,1),0))&gt;0,"✔",IF(AND(ISNUMBER(Planos!$G76),IFERROR(INDEX(lst_frequencia_meses,MATCH(Planos!$E76,lst_frequencia,0)),0)&gt;0,(ano_ref*12+7)-(YEAR(Planos!$G76)*12+MONTH(Planos!$G76))&gt;0,MOD((ano_ref*12+7)-(YEAR(Planos!$G76)*12+MONTH(Planos!$G76)),MAX(1,IFERROR(INDEX(lst_frequencia_meses,MATCH(Planos!$E76,lst_frequencia,0)),0)))=0),"●","")))</f>
      </c>
      <c r="K77" s="43">
        <f>IF(NOT(Planos!$A76&lt;&gt;""),"",IF(COUNTIFS(Programação!$B$4:$B$503,Planos!$A76,Programação!$I$4:$I$503,"Concluído",Programação!$G$4:$G$503,"&gt;="&amp;DATE(ano_ref,8,1),Programação!$G$4:$G$503,"&lt;="&amp;EOMONTH(DATE(ano_ref,8,1),0))&gt;0,"✔",IF(AND(ISNUMBER(Planos!$G76),IFERROR(INDEX(lst_frequencia_meses,MATCH(Planos!$E76,lst_frequencia,0)),0)&gt;0,(ano_ref*12+8)-(YEAR(Planos!$G76)*12+MONTH(Planos!$G76))&gt;0,MOD((ano_ref*12+8)-(YEAR(Planos!$G76)*12+MONTH(Planos!$G76)),MAX(1,IFERROR(INDEX(lst_frequencia_meses,MATCH(Planos!$E76,lst_frequencia,0)),0)))=0),"●","")))</f>
      </c>
      <c r="L77" s="43">
        <f>IF(NOT(Planos!$A76&lt;&gt;""),"",IF(COUNTIFS(Programação!$B$4:$B$503,Planos!$A76,Programação!$I$4:$I$503,"Concluído",Programação!$G$4:$G$503,"&gt;="&amp;DATE(ano_ref,9,1),Programação!$G$4:$G$503,"&lt;="&amp;EOMONTH(DATE(ano_ref,9,1),0))&gt;0,"✔",IF(AND(ISNUMBER(Planos!$G76),IFERROR(INDEX(lst_frequencia_meses,MATCH(Planos!$E76,lst_frequencia,0)),0)&gt;0,(ano_ref*12+9)-(YEAR(Planos!$G76)*12+MONTH(Planos!$G76))&gt;0,MOD((ano_ref*12+9)-(YEAR(Planos!$G76)*12+MONTH(Planos!$G76)),MAX(1,IFERROR(INDEX(lst_frequencia_meses,MATCH(Planos!$E76,lst_frequencia,0)),0)))=0),"●","")))</f>
      </c>
      <c r="M77" s="43">
        <f>IF(NOT(Planos!$A76&lt;&gt;""),"",IF(COUNTIFS(Programação!$B$4:$B$503,Planos!$A76,Programação!$I$4:$I$503,"Concluído",Programação!$G$4:$G$503,"&gt;="&amp;DATE(ano_ref,10,1),Programação!$G$4:$G$503,"&lt;="&amp;EOMONTH(DATE(ano_ref,10,1),0))&gt;0,"✔",IF(AND(ISNUMBER(Planos!$G76),IFERROR(INDEX(lst_frequencia_meses,MATCH(Planos!$E76,lst_frequencia,0)),0)&gt;0,(ano_ref*12+10)-(YEAR(Planos!$G76)*12+MONTH(Planos!$G76))&gt;0,MOD((ano_ref*12+10)-(YEAR(Planos!$G76)*12+MONTH(Planos!$G76)),MAX(1,IFERROR(INDEX(lst_frequencia_meses,MATCH(Planos!$E76,lst_frequencia,0)),0)))=0),"●","")))</f>
      </c>
      <c r="N77" s="43">
        <f>IF(NOT(Planos!$A76&lt;&gt;""),"",IF(COUNTIFS(Programação!$B$4:$B$503,Planos!$A76,Programação!$I$4:$I$503,"Concluído",Programação!$G$4:$G$503,"&gt;="&amp;DATE(ano_ref,11,1),Programação!$G$4:$G$503,"&lt;="&amp;EOMONTH(DATE(ano_ref,11,1),0))&gt;0,"✔",IF(AND(ISNUMBER(Planos!$G76),IFERROR(INDEX(lst_frequencia_meses,MATCH(Planos!$E76,lst_frequencia,0)),0)&gt;0,(ano_ref*12+11)-(YEAR(Planos!$G76)*12+MONTH(Planos!$G76))&gt;0,MOD((ano_ref*12+11)-(YEAR(Planos!$G76)*12+MONTH(Planos!$G76)),MAX(1,IFERROR(INDEX(lst_frequencia_meses,MATCH(Planos!$E76,lst_frequencia,0)),0)))=0),"●","")))</f>
      </c>
      <c r="O77" s="43">
        <f>IF(NOT(Planos!$A76&lt;&gt;""),"",IF(COUNTIFS(Programação!$B$4:$B$503,Planos!$A76,Programação!$I$4:$I$503,"Concluído",Programação!$G$4:$G$503,"&gt;="&amp;DATE(ano_ref,12,1),Programação!$G$4:$G$503,"&lt;="&amp;EOMONTH(DATE(ano_ref,12,1),0))&gt;0,"✔",IF(AND(ISNUMBER(Planos!$G76),IFERROR(INDEX(lst_frequencia_meses,MATCH(Planos!$E76,lst_frequencia,0)),0)&gt;0,(ano_ref*12+12)-(YEAR(Planos!$G76)*12+MONTH(Planos!$G76))&gt;0,MOD((ano_ref*12+12)-(YEAR(Planos!$G76)*12+MONTH(Planos!$G76)),MAX(1,IFERROR(INDEX(lst_frequencia_meses,MATCH(Planos!$E76,lst_frequencia,0)),0)))=0),"●","")))</f>
      </c>
      <c r="P77" s="44">
        <f>IF(COUNTIF(D77:O77,"✔")+COUNTIF(D77:O77,"●")=0,"",COUNTIF(D77:O77,"✔")/(COUNTIF(D77:O77,"✔")+COUNTIF(D77:O77,"●")))</f>
      </c>
    </row>
    <row r="78" spans="1:16" x14ac:dyDescent="0.25">
      <c r="A78" s="43">
        <f>IF(Planos!$A77&lt;&gt;"",Planos!A77&amp;"","")</f>
      </c>
      <c r="B78" s="43">
        <f>IF(Planos!$A77&lt;&gt;"",Planos!B77&amp;"","")</f>
      </c>
      <c r="C78" s="24">
        <f>IF(Planos!$A77&lt;&gt;"",Planos!C77&amp;"","")</f>
      </c>
      <c r="D78" s="43">
        <f>IF(NOT(Planos!$A77&lt;&gt;""),"",IF(COUNTIFS(Programação!$B$4:$B$503,Planos!$A77,Programação!$I$4:$I$503,"Concluído",Programação!$G$4:$G$503,"&gt;="&amp;DATE(ano_ref,1,1),Programação!$G$4:$G$503,"&lt;="&amp;EOMONTH(DATE(ano_ref,1,1),0))&gt;0,"✔",IF(AND(ISNUMBER(Planos!$G77),IFERROR(INDEX(lst_frequencia_meses,MATCH(Planos!$E77,lst_frequencia,0)),0)&gt;0,(ano_ref*12+1)-(YEAR(Planos!$G77)*12+MONTH(Planos!$G77))&gt;0,MOD((ano_ref*12+1)-(YEAR(Planos!$G77)*12+MONTH(Planos!$G77)),MAX(1,IFERROR(INDEX(lst_frequencia_meses,MATCH(Planos!$E77,lst_frequencia,0)),0)))=0),"●","")))</f>
      </c>
      <c r="E78" s="43">
        <f>IF(NOT(Planos!$A77&lt;&gt;""),"",IF(COUNTIFS(Programação!$B$4:$B$503,Planos!$A77,Programação!$I$4:$I$503,"Concluído",Programação!$G$4:$G$503,"&gt;="&amp;DATE(ano_ref,2,1),Programação!$G$4:$G$503,"&lt;="&amp;EOMONTH(DATE(ano_ref,2,1),0))&gt;0,"✔",IF(AND(ISNUMBER(Planos!$G77),IFERROR(INDEX(lst_frequencia_meses,MATCH(Planos!$E77,lst_frequencia,0)),0)&gt;0,(ano_ref*12+2)-(YEAR(Planos!$G77)*12+MONTH(Planos!$G77))&gt;0,MOD((ano_ref*12+2)-(YEAR(Planos!$G77)*12+MONTH(Planos!$G77)),MAX(1,IFERROR(INDEX(lst_frequencia_meses,MATCH(Planos!$E77,lst_frequencia,0)),0)))=0),"●","")))</f>
      </c>
      <c r="F78" s="43">
        <f>IF(NOT(Planos!$A77&lt;&gt;""),"",IF(COUNTIFS(Programação!$B$4:$B$503,Planos!$A77,Programação!$I$4:$I$503,"Concluído",Programação!$G$4:$G$503,"&gt;="&amp;DATE(ano_ref,3,1),Programação!$G$4:$G$503,"&lt;="&amp;EOMONTH(DATE(ano_ref,3,1),0))&gt;0,"✔",IF(AND(ISNUMBER(Planos!$G77),IFERROR(INDEX(lst_frequencia_meses,MATCH(Planos!$E77,lst_frequencia,0)),0)&gt;0,(ano_ref*12+3)-(YEAR(Planos!$G77)*12+MONTH(Planos!$G77))&gt;0,MOD((ano_ref*12+3)-(YEAR(Planos!$G77)*12+MONTH(Planos!$G77)),MAX(1,IFERROR(INDEX(lst_frequencia_meses,MATCH(Planos!$E77,lst_frequencia,0)),0)))=0),"●","")))</f>
      </c>
      <c r="G78" s="43">
        <f>IF(NOT(Planos!$A77&lt;&gt;""),"",IF(COUNTIFS(Programação!$B$4:$B$503,Planos!$A77,Programação!$I$4:$I$503,"Concluído",Programação!$G$4:$G$503,"&gt;="&amp;DATE(ano_ref,4,1),Programação!$G$4:$G$503,"&lt;="&amp;EOMONTH(DATE(ano_ref,4,1),0))&gt;0,"✔",IF(AND(ISNUMBER(Planos!$G77),IFERROR(INDEX(lst_frequencia_meses,MATCH(Planos!$E77,lst_frequencia,0)),0)&gt;0,(ano_ref*12+4)-(YEAR(Planos!$G77)*12+MONTH(Planos!$G77))&gt;0,MOD((ano_ref*12+4)-(YEAR(Planos!$G77)*12+MONTH(Planos!$G77)),MAX(1,IFERROR(INDEX(lst_frequencia_meses,MATCH(Planos!$E77,lst_frequencia,0)),0)))=0),"●","")))</f>
      </c>
      <c r="H78" s="43">
        <f>IF(NOT(Planos!$A77&lt;&gt;""),"",IF(COUNTIFS(Programação!$B$4:$B$503,Planos!$A77,Programação!$I$4:$I$503,"Concluído",Programação!$G$4:$G$503,"&gt;="&amp;DATE(ano_ref,5,1),Programação!$G$4:$G$503,"&lt;="&amp;EOMONTH(DATE(ano_ref,5,1),0))&gt;0,"✔",IF(AND(ISNUMBER(Planos!$G77),IFERROR(INDEX(lst_frequencia_meses,MATCH(Planos!$E77,lst_frequencia,0)),0)&gt;0,(ano_ref*12+5)-(YEAR(Planos!$G77)*12+MONTH(Planos!$G77))&gt;0,MOD((ano_ref*12+5)-(YEAR(Planos!$G77)*12+MONTH(Planos!$G77)),MAX(1,IFERROR(INDEX(lst_frequencia_meses,MATCH(Planos!$E77,lst_frequencia,0)),0)))=0),"●","")))</f>
      </c>
      <c r="I78" s="43">
        <f>IF(NOT(Planos!$A77&lt;&gt;""),"",IF(COUNTIFS(Programação!$B$4:$B$503,Planos!$A77,Programação!$I$4:$I$503,"Concluído",Programação!$G$4:$G$503,"&gt;="&amp;DATE(ano_ref,6,1),Programação!$G$4:$G$503,"&lt;="&amp;EOMONTH(DATE(ano_ref,6,1),0))&gt;0,"✔",IF(AND(ISNUMBER(Planos!$G77),IFERROR(INDEX(lst_frequencia_meses,MATCH(Planos!$E77,lst_frequencia,0)),0)&gt;0,(ano_ref*12+6)-(YEAR(Planos!$G77)*12+MONTH(Planos!$G77))&gt;0,MOD((ano_ref*12+6)-(YEAR(Planos!$G77)*12+MONTH(Planos!$G77)),MAX(1,IFERROR(INDEX(lst_frequencia_meses,MATCH(Planos!$E77,lst_frequencia,0)),0)))=0),"●","")))</f>
      </c>
      <c r="J78" s="43">
        <f>IF(NOT(Planos!$A77&lt;&gt;""),"",IF(COUNTIFS(Programação!$B$4:$B$503,Planos!$A77,Programação!$I$4:$I$503,"Concluído",Programação!$G$4:$G$503,"&gt;="&amp;DATE(ano_ref,7,1),Programação!$G$4:$G$503,"&lt;="&amp;EOMONTH(DATE(ano_ref,7,1),0))&gt;0,"✔",IF(AND(ISNUMBER(Planos!$G77),IFERROR(INDEX(lst_frequencia_meses,MATCH(Planos!$E77,lst_frequencia,0)),0)&gt;0,(ano_ref*12+7)-(YEAR(Planos!$G77)*12+MONTH(Planos!$G77))&gt;0,MOD((ano_ref*12+7)-(YEAR(Planos!$G77)*12+MONTH(Planos!$G77)),MAX(1,IFERROR(INDEX(lst_frequencia_meses,MATCH(Planos!$E77,lst_frequencia,0)),0)))=0),"●","")))</f>
      </c>
      <c r="K78" s="43">
        <f>IF(NOT(Planos!$A77&lt;&gt;""),"",IF(COUNTIFS(Programação!$B$4:$B$503,Planos!$A77,Programação!$I$4:$I$503,"Concluído",Programação!$G$4:$G$503,"&gt;="&amp;DATE(ano_ref,8,1),Programação!$G$4:$G$503,"&lt;="&amp;EOMONTH(DATE(ano_ref,8,1),0))&gt;0,"✔",IF(AND(ISNUMBER(Planos!$G77),IFERROR(INDEX(lst_frequencia_meses,MATCH(Planos!$E77,lst_frequencia,0)),0)&gt;0,(ano_ref*12+8)-(YEAR(Planos!$G77)*12+MONTH(Planos!$G77))&gt;0,MOD((ano_ref*12+8)-(YEAR(Planos!$G77)*12+MONTH(Planos!$G77)),MAX(1,IFERROR(INDEX(lst_frequencia_meses,MATCH(Planos!$E77,lst_frequencia,0)),0)))=0),"●","")))</f>
      </c>
      <c r="L78" s="43">
        <f>IF(NOT(Planos!$A77&lt;&gt;""),"",IF(COUNTIFS(Programação!$B$4:$B$503,Planos!$A77,Programação!$I$4:$I$503,"Concluído",Programação!$G$4:$G$503,"&gt;="&amp;DATE(ano_ref,9,1),Programação!$G$4:$G$503,"&lt;="&amp;EOMONTH(DATE(ano_ref,9,1),0))&gt;0,"✔",IF(AND(ISNUMBER(Planos!$G77),IFERROR(INDEX(lst_frequencia_meses,MATCH(Planos!$E77,lst_frequencia,0)),0)&gt;0,(ano_ref*12+9)-(YEAR(Planos!$G77)*12+MONTH(Planos!$G77))&gt;0,MOD((ano_ref*12+9)-(YEAR(Planos!$G77)*12+MONTH(Planos!$G77)),MAX(1,IFERROR(INDEX(lst_frequencia_meses,MATCH(Planos!$E77,lst_frequencia,0)),0)))=0),"●","")))</f>
      </c>
      <c r="M78" s="43">
        <f>IF(NOT(Planos!$A77&lt;&gt;""),"",IF(COUNTIFS(Programação!$B$4:$B$503,Planos!$A77,Programação!$I$4:$I$503,"Concluído",Programação!$G$4:$G$503,"&gt;="&amp;DATE(ano_ref,10,1),Programação!$G$4:$G$503,"&lt;="&amp;EOMONTH(DATE(ano_ref,10,1),0))&gt;0,"✔",IF(AND(ISNUMBER(Planos!$G77),IFERROR(INDEX(lst_frequencia_meses,MATCH(Planos!$E77,lst_frequencia,0)),0)&gt;0,(ano_ref*12+10)-(YEAR(Planos!$G77)*12+MONTH(Planos!$G77))&gt;0,MOD((ano_ref*12+10)-(YEAR(Planos!$G77)*12+MONTH(Planos!$G77)),MAX(1,IFERROR(INDEX(lst_frequencia_meses,MATCH(Planos!$E77,lst_frequencia,0)),0)))=0),"●","")))</f>
      </c>
      <c r="N78" s="43">
        <f>IF(NOT(Planos!$A77&lt;&gt;""),"",IF(COUNTIFS(Programação!$B$4:$B$503,Planos!$A77,Programação!$I$4:$I$503,"Concluído",Programação!$G$4:$G$503,"&gt;="&amp;DATE(ano_ref,11,1),Programação!$G$4:$G$503,"&lt;="&amp;EOMONTH(DATE(ano_ref,11,1),0))&gt;0,"✔",IF(AND(ISNUMBER(Planos!$G77),IFERROR(INDEX(lst_frequencia_meses,MATCH(Planos!$E77,lst_frequencia,0)),0)&gt;0,(ano_ref*12+11)-(YEAR(Planos!$G77)*12+MONTH(Planos!$G77))&gt;0,MOD((ano_ref*12+11)-(YEAR(Planos!$G77)*12+MONTH(Planos!$G77)),MAX(1,IFERROR(INDEX(lst_frequencia_meses,MATCH(Planos!$E77,lst_frequencia,0)),0)))=0),"●","")))</f>
      </c>
      <c r="O78" s="43">
        <f>IF(NOT(Planos!$A77&lt;&gt;""),"",IF(COUNTIFS(Programação!$B$4:$B$503,Planos!$A77,Programação!$I$4:$I$503,"Concluído",Programação!$G$4:$G$503,"&gt;="&amp;DATE(ano_ref,12,1),Programação!$G$4:$G$503,"&lt;="&amp;EOMONTH(DATE(ano_ref,12,1),0))&gt;0,"✔",IF(AND(ISNUMBER(Planos!$G77),IFERROR(INDEX(lst_frequencia_meses,MATCH(Planos!$E77,lst_frequencia,0)),0)&gt;0,(ano_ref*12+12)-(YEAR(Planos!$G77)*12+MONTH(Planos!$G77))&gt;0,MOD((ano_ref*12+12)-(YEAR(Planos!$G77)*12+MONTH(Planos!$G77)),MAX(1,IFERROR(INDEX(lst_frequencia_meses,MATCH(Planos!$E77,lst_frequencia,0)),0)))=0),"●","")))</f>
      </c>
      <c r="P78" s="44">
        <f>IF(COUNTIF(D78:O78,"✔")+COUNTIF(D78:O78,"●")=0,"",COUNTIF(D78:O78,"✔")/(COUNTIF(D78:O78,"✔")+COUNTIF(D78:O78,"●")))</f>
      </c>
    </row>
    <row r="79" spans="1:16" x14ac:dyDescent="0.25">
      <c r="A79" s="43">
        <f>IF(Planos!$A78&lt;&gt;"",Planos!A78&amp;"","")</f>
      </c>
      <c r="B79" s="43">
        <f>IF(Planos!$A78&lt;&gt;"",Planos!B78&amp;"","")</f>
      </c>
      <c r="C79" s="24">
        <f>IF(Planos!$A78&lt;&gt;"",Planos!C78&amp;"","")</f>
      </c>
      <c r="D79" s="43">
        <f>IF(NOT(Planos!$A78&lt;&gt;""),"",IF(COUNTIFS(Programação!$B$4:$B$503,Planos!$A78,Programação!$I$4:$I$503,"Concluído",Programação!$G$4:$G$503,"&gt;="&amp;DATE(ano_ref,1,1),Programação!$G$4:$G$503,"&lt;="&amp;EOMONTH(DATE(ano_ref,1,1),0))&gt;0,"✔",IF(AND(ISNUMBER(Planos!$G78),IFERROR(INDEX(lst_frequencia_meses,MATCH(Planos!$E78,lst_frequencia,0)),0)&gt;0,(ano_ref*12+1)-(YEAR(Planos!$G78)*12+MONTH(Planos!$G78))&gt;0,MOD((ano_ref*12+1)-(YEAR(Planos!$G78)*12+MONTH(Planos!$G78)),MAX(1,IFERROR(INDEX(lst_frequencia_meses,MATCH(Planos!$E78,lst_frequencia,0)),0)))=0),"●","")))</f>
      </c>
      <c r="E79" s="43">
        <f>IF(NOT(Planos!$A78&lt;&gt;""),"",IF(COUNTIFS(Programação!$B$4:$B$503,Planos!$A78,Programação!$I$4:$I$503,"Concluído",Programação!$G$4:$G$503,"&gt;="&amp;DATE(ano_ref,2,1),Programação!$G$4:$G$503,"&lt;="&amp;EOMONTH(DATE(ano_ref,2,1),0))&gt;0,"✔",IF(AND(ISNUMBER(Planos!$G78),IFERROR(INDEX(lst_frequencia_meses,MATCH(Planos!$E78,lst_frequencia,0)),0)&gt;0,(ano_ref*12+2)-(YEAR(Planos!$G78)*12+MONTH(Planos!$G78))&gt;0,MOD((ano_ref*12+2)-(YEAR(Planos!$G78)*12+MONTH(Planos!$G78)),MAX(1,IFERROR(INDEX(lst_frequencia_meses,MATCH(Planos!$E78,lst_frequencia,0)),0)))=0),"●","")))</f>
      </c>
      <c r="F79" s="43">
        <f>IF(NOT(Planos!$A78&lt;&gt;""),"",IF(COUNTIFS(Programação!$B$4:$B$503,Planos!$A78,Programação!$I$4:$I$503,"Concluído",Programação!$G$4:$G$503,"&gt;="&amp;DATE(ano_ref,3,1),Programação!$G$4:$G$503,"&lt;="&amp;EOMONTH(DATE(ano_ref,3,1),0))&gt;0,"✔",IF(AND(ISNUMBER(Planos!$G78),IFERROR(INDEX(lst_frequencia_meses,MATCH(Planos!$E78,lst_frequencia,0)),0)&gt;0,(ano_ref*12+3)-(YEAR(Planos!$G78)*12+MONTH(Planos!$G78))&gt;0,MOD((ano_ref*12+3)-(YEAR(Planos!$G78)*12+MONTH(Planos!$G78)),MAX(1,IFERROR(INDEX(lst_frequencia_meses,MATCH(Planos!$E78,lst_frequencia,0)),0)))=0),"●","")))</f>
      </c>
      <c r="G79" s="43">
        <f>IF(NOT(Planos!$A78&lt;&gt;""),"",IF(COUNTIFS(Programação!$B$4:$B$503,Planos!$A78,Programação!$I$4:$I$503,"Concluído",Programação!$G$4:$G$503,"&gt;="&amp;DATE(ano_ref,4,1),Programação!$G$4:$G$503,"&lt;="&amp;EOMONTH(DATE(ano_ref,4,1),0))&gt;0,"✔",IF(AND(ISNUMBER(Planos!$G78),IFERROR(INDEX(lst_frequencia_meses,MATCH(Planos!$E78,lst_frequencia,0)),0)&gt;0,(ano_ref*12+4)-(YEAR(Planos!$G78)*12+MONTH(Planos!$G78))&gt;0,MOD((ano_ref*12+4)-(YEAR(Planos!$G78)*12+MONTH(Planos!$G78)),MAX(1,IFERROR(INDEX(lst_frequencia_meses,MATCH(Planos!$E78,lst_frequencia,0)),0)))=0),"●","")))</f>
      </c>
      <c r="H79" s="43">
        <f>IF(NOT(Planos!$A78&lt;&gt;""),"",IF(COUNTIFS(Programação!$B$4:$B$503,Planos!$A78,Programação!$I$4:$I$503,"Concluído",Programação!$G$4:$G$503,"&gt;="&amp;DATE(ano_ref,5,1),Programação!$G$4:$G$503,"&lt;="&amp;EOMONTH(DATE(ano_ref,5,1),0))&gt;0,"✔",IF(AND(ISNUMBER(Planos!$G78),IFERROR(INDEX(lst_frequencia_meses,MATCH(Planos!$E78,lst_frequencia,0)),0)&gt;0,(ano_ref*12+5)-(YEAR(Planos!$G78)*12+MONTH(Planos!$G78))&gt;0,MOD((ano_ref*12+5)-(YEAR(Planos!$G78)*12+MONTH(Planos!$G78)),MAX(1,IFERROR(INDEX(lst_frequencia_meses,MATCH(Planos!$E78,lst_frequencia,0)),0)))=0),"●","")))</f>
      </c>
      <c r="I79" s="43">
        <f>IF(NOT(Planos!$A78&lt;&gt;""),"",IF(COUNTIFS(Programação!$B$4:$B$503,Planos!$A78,Programação!$I$4:$I$503,"Concluído",Programação!$G$4:$G$503,"&gt;="&amp;DATE(ano_ref,6,1),Programação!$G$4:$G$503,"&lt;="&amp;EOMONTH(DATE(ano_ref,6,1),0))&gt;0,"✔",IF(AND(ISNUMBER(Planos!$G78),IFERROR(INDEX(lst_frequencia_meses,MATCH(Planos!$E78,lst_frequencia,0)),0)&gt;0,(ano_ref*12+6)-(YEAR(Planos!$G78)*12+MONTH(Planos!$G78))&gt;0,MOD((ano_ref*12+6)-(YEAR(Planos!$G78)*12+MONTH(Planos!$G78)),MAX(1,IFERROR(INDEX(lst_frequencia_meses,MATCH(Planos!$E78,lst_frequencia,0)),0)))=0),"●","")))</f>
      </c>
      <c r="J79" s="43">
        <f>IF(NOT(Planos!$A78&lt;&gt;""),"",IF(COUNTIFS(Programação!$B$4:$B$503,Planos!$A78,Programação!$I$4:$I$503,"Concluído",Programação!$G$4:$G$503,"&gt;="&amp;DATE(ano_ref,7,1),Programação!$G$4:$G$503,"&lt;="&amp;EOMONTH(DATE(ano_ref,7,1),0))&gt;0,"✔",IF(AND(ISNUMBER(Planos!$G78),IFERROR(INDEX(lst_frequencia_meses,MATCH(Planos!$E78,lst_frequencia,0)),0)&gt;0,(ano_ref*12+7)-(YEAR(Planos!$G78)*12+MONTH(Planos!$G78))&gt;0,MOD((ano_ref*12+7)-(YEAR(Planos!$G78)*12+MONTH(Planos!$G78)),MAX(1,IFERROR(INDEX(lst_frequencia_meses,MATCH(Planos!$E78,lst_frequencia,0)),0)))=0),"●","")))</f>
      </c>
      <c r="K79" s="43">
        <f>IF(NOT(Planos!$A78&lt;&gt;""),"",IF(COUNTIFS(Programação!$B$4:$B$503,Planos!$A78,Programação!$I$4:$I$503,"Concluído",Programação!$G$4:$G$503,"&gt;="&amp;DATE(ano_ref,8,1),Programação!$G$4:$G$503,"&lt;="&amp;EOMONTH(DATE(ano_ref,8,1),0))&gt;0,"✔",IF(AND(ISNUMBER(Planos!$G78),IFERROR(INDEX(lst_frequencia_meses,MATCH(Planos!$E78,lst_frequencia,0)),0)&gt;0,(ano_ref*12+8)-(YEAR(Planos!$G78)*12+MONTH(Planos!$G78))&gt;0,MOD((ano_ref*12+8)-(YEAR(Planos!$G78)*12+MONTH(Planos!$G78)),MAX(1,IFERROR(INDEX(lst_frequencia_meses,MATCH(Planos!$E78,lst_frequencia,0)),0)))=0),"●","")))</f>
      </c>
      <c r="L79" s="43">
        <f>IF(NOT(Planos!$A78&lt;&gt;""),"",IF(COUNTIFS(Programação!$B$4:$B$503,Planos!$A78,Programação!$I$4:$I$503,"Concluído",Programação!$G$4:$G$503,"&gt;="&amp;DATE(ano_ref,9,1),Programação!$G$4:$G$503,"&lt;="&amp;EOMONTH(DATE(ano_ref,9,1),0))&gt;0,"✔",IF(AND(ISNUMBER(Planos!$G78),IFERROR(INDEX(lst_frequencia_meses,MATCH(Planos!$E78,lst_frequencia,0)),0)&gt;0,(ano_ref*12+9)-(YEAR(Planos!$G78)*12+MONTH(Planos!$G78))&gt;0,MOD((ano_ref*12+9)-(YEAR(Planos!$G78)*12+MONTH(Planos!$G78)),MAX(1,IFERROR(INDEX(lst_frequencia_meses,MATCH(Planos!$E78,lst_frequencia,0)),0)))=0),"●","")))</f>
      </c>
      <c r="M79" s="43">
        <f>IF(NOT(Planos!$A78&lt;&gt;""),"",IF(COUNTIFS(Programação!$B$4:$B$503,Planos!$A78,Programação!$I$4:$I$503,"Concluído",Programação!$G$4:$G$503,"&gt;="&amp;DATE(ano_ref,10,1),Programação!$G$4:$G$503,"&lt;="&amp;EOMONTH(DATE(ano_ref,10,1),0))&gt;0,"✔",IF(AND(ISNUMBER(Planos!$G78),IFERROR(INDEX(lst_frequencia_meses,MATCH(Planos!$E78,lst_frequencia,0)),0)&gt;0,(ano_ref*12+10)-(YEAR(Planos!$G78)*12+MONTH(Planos!$G78))&gt;0,MOD((ano_ref*12+10)-(YEAR(Planos!$G78)*12+MONTH(Planos!$G78)),MAX(1,IFERROR(INDEX(lst_frequencia_meses,MATCH(Planos!$E78,lst_frequencia,0)),0)))=0),"●","")))</f>
      </c>
      <c r="N79" s="43">
        <f>IF(NOT(Planos!$A78&lt;&gt;""),"",IF(COUNTIFS(Programação!$B$4:$B$503,Planos!$A78,Programação!$I$4:$I$503,"Concluído",Programação!$G$4:$G$503,"&gt;="&amp;DATE(ano_ref,11,1),Programação!$G$4:$G$503,"&lt;="&amp;EOMONTH(DATE(ano_ref,11,1),0))&gt;0,"✔",IF(AND(ISNUMBER(Planos!$G78),IFERROR(INDEX(lst_frequencia_meses,MATCH(Planos!$E78,lst_frequencia,0)),0)&gt;0,(ano_ref*12+11)-(YEAR(Planos!$G78)*12+MONTH(Planos!$G78))&gt;0,MOD((ano_ref*12+11)-(YEAR(Planos!$G78)*12+MONTH(Planos!$G78)),MAX(1,IFERROR(INDEX(lst_frequencia_meses,MATCH(Planos!$E78,lst_frequencia,0)),0)))=0),"●","")))</f>
      </c>
      <c r="O79" s="43">
        <f>IF(NOT(Planos!$A78&lt;&gt;""),"",IF(COUNTIFS(Programação!$B$4:$B$503,Planos!$A78,Programação!$I$4:$I$503,"Concluído",Programação!$G$4:$G$503,"&gt;="&amp;DATE(ano_ref,12,1),Programação!$G$4:$G$503,"&lt;="&amp;EOMONTH(DATE(ano_ref,12,1),0))&gt;0,"✔",IF(AND(ISNUMBER(Planos!$G78),IFERROR(INDEX(lst_frequencia_meses,MATCH(Planos!$E78,lst_frequencia,0)),0)&gt;0,(ano_ref*12+12)-(YEAR(Planos!$G78)*12+MONTH(Planos!$G78))&gt;0,MOD((ano_ref*12+12)-(YEAR(Planos!$G78)*12+MONTH(Planos!$G78)),MAX(1,IFERROR(INDEX(lst_frequencia_meses,MATCH(Planos!$E78,lst_frequencia,0)),0)))=0),"●","")))</f>
      </c>
      <c r="P79" s="44">
        <f>IF(COUNTIF(D79:O79,"✔")+COUNTIF(D79:O79,"●")=0,"",COUNTIF(D79:O79,"✔")/(COUNTIF(D79:O79,"✔")+COUNTIF(D79:O79,"●")))</f>
      </c>
    </row>
    <row r="80" spans="1:16" x14ac:dyDescent="0.25">
      <c r="A80" s="43">
        <f>IF(Planos!$A79&lt;&gt;"",Planos!A79&amp;"","")</f>
      </c>
      <c r="B80" s="43">
        <f>IF(Planos!$A79&lt;&gt;"",Planos!B79&amp;"","")</f>
      </c>
      <c r="C80" s="24">
        <f>IF(Planos!$A79&lt;&gt;"",Planos!C79&amp;"","")</f>
      </c>
      <c r="D80" s="43">
        <f>IF(NOT(Planos!$A79&lt;&gt;""),"",IF(COUNTIFS(Programação!$B$4:$B$503,Planos!$A79,Programação!$I$4:$I$503,"Concluído",Programação!$G$4:$G$503,"&gt;="&amp;DATE(ano_ref,1,1),Programação!$G$4:$G$503,"&lt;="&amp;EOMONTH(DATE(ano_ref,1,1),0))&gt;0,"✔",IF(AND(ISNUMBER(Planos!$G79),IFERROR(INDEX(lst_frequencia_meses,MATCH(Planos!$E79,lst_frequencia,0)),0)&gt;0,(ano_ref*12+1)-(YEAR(Planos!$G79)*12+MONTH(Planos!$G79))&gt;0,MOD((ano_ref*12+1)-(YEAR(Planos!$G79)*12+MONTH(Planos!$G79)),MAX(1,IFERROR(INDEX(lst_frequencia_meses,MATCH(Planos!$E79,lst_frequencia,0)),0)))=0),"●","")))</f>
      </c>
      <c r="E80" s="43">
        <f>IF(NOT(Planos!$A79&lt;&gt;""),"",IF(COUNTIFS(Programação!$B$4:$B$503,Planos!$A79,Programação!$I$4:$I$503,"Concluído",Programação!$G$4:$G$503,"&gt;="&amp;DATE(ano_ref,2,1),Programação!$G$4:$G$503,"&lt;="&amp;EOMONTH(DATE(ano_ref,2,1),0))&gt;0,"✔",IF(AND(ISNUMBER(Planos!$G79),IFERROR(INDEX(lst_frequencia_meses,MATCH(Planos!$E79,lst_frequencia,0)),0)&gt;0,(ano_ref*12+2)-(YEAR(Planos!$G79)*12+MONTH(Planos!$G79))&gt;0,MOD((ano_ref*12+2)-(YEAR(Planos!$G79)*12+MONTH(Planos!$G79)),MAX(1,IFERROR(INDEX(lst_frequencia_meses,MATCH(Planos!$E79,lst_frequencia,0)),0)))=0),"●","")))</f>
      </c>
      <c r="F80" s="43">
        <f>IF(NOT(Planos!$A79&lt;&gt;""),"",IF(COUNTIFS(Programação!$B$4:$B$503,Planos!$A79,Programação!$I$4:$I$503,"Concluído",Programação!$G$4:$G$503,"&gt;="&amp;DATE(ano_ref,3,1),Programação!$G$4:$G$503,"&lt;="&amp;EOMONTH(DATE(ano_ref,3,1),0))&gt;0,"✔",IF(AND(ISNUMBER(Planos!$G79),IFERROR(INDEX(lst_frequencia_meses,MATCH(Planos!$E79,lst_frequencia,0)),0)&gt;0,(ano_ref*12+3)-(YEAR(Planos!$G79)*12+MONTH(Planos!$G79))&gt;0,MOD((ano_ref*12+3)-(YEAR(Planos!$G79)*12+MONTH(Planos!$G79)),MAX(1,IFERROR(INDEX(lst_frequencia_meses,MATCH(Planos!$E79,lst_frequencia,0)),0)))=0),"●","")))</f>
      </c>
      <c r="G80" s="43">
        <f>IF(NOT(Planos!$A79&lt;&gt;""),"",IF(COUNTIFS(Programação!$B$4:$B$503,Planos!$A79,Programação!$I$4:$I$503,"Concluído",Programação!$G$4:$G$503,"&gt;="&amp;DATE(ano_ref,4,1),Programação!$G$4:$G$503,"&lt;="&amp;EOMONTH(DATE(ano_ref,4,1),0))&gt;0,"✔",IF(AND(ISNUMBER(Planos!$G79),IFERROR(INDEX(lst_frequencia_meses,MATCH(Planos!$E79,lst_frequencia,0)),0)&gt;0,(ano_ref*12+4)-(YEAR(Planos!$G79)*12+MONTH(Planos!$G79))&gt;0,MOD((ano_ref*12+4)-(YEAR(Planos!$G79)*12+MONTH(Planos!$G79)),MAX(1,IFERROR(INDEX(lst_frequencia_meses,MATCH(Planos!$E79,lst_frequencia,0)),0)))=0),"●","")))</f>
      </c>
      <c r="H80" s="43">
        <f>IF(NOT(Planos!$A79&lt;&gt;""),"",IF(COUNTIFS(Programação!$B$4:$B$503,Planos!$A79,Programação!$I$4:$I$503,"Concluído",Programação!$G$4:$G$503,"&gt;="&amp;DATE(ano_ref,5,1),Programação!$G$4:$G$503,"&lt;="&amp;EOMONTH(DATE(ano_ref,5,1),0))&gt;0,"✔",IF(AND(ISNUMBER(Planos!$G79),IFERROR(INDEX(lst_frequencia_meses,MATCH(Planos!$E79,lst_frequencia,0)),0)&gt;0,(ano_ref*12+5)-(YEAR(Planos!$G79)*12+MONTH(Planos!$G79))&gt;0,MOD((ano_ref*12+5)-(YEAR(Planos!$G79)*12+MONTH(Planos!$G79)),MAX(1,IFERROR(INDEX(lst_frequencia_meses,MATCH(Planos!$E79,lst_frequencia,0)),0)))=0),"●","")))</f>
      </c>
      <c r="I80" s="43">
        <f>IF(NOT(Planos!$A79&lt;&gt;""),"",IF(COUNTIFS(Programação!$B$4:$B$503,Planos!$A79,Programação!$I$4:$I$503,"Concluído",Programação!$G$4:$G$503,"&gt;="&amp;DATE(ano_ref,6,1),Programação!$G$4:$G$503,"&lt;="&amp;EOMONTH(DATE(ano_ref,6,1),0))&gt;0,"✔",IF(AND(ISNUMBER(Planos!$G79),IFERROR(INDEX(lst_frequencia_meses,MATCH(Planos!$E79,lst_frequencia,0)),0)&gt;0,(ano_ref*12+6)-(YEAR(Planos!$G79)*12+MONTH(Planos!$G79))&gt;0,MOD((ano_ref*12+6)-(YEAR(Planos!$G79)*12+MONTH(Planos!$G79)),MAX(1,IFERROR(INDEX(lst_frequencia_meses,MATCH(Planos!$E79,lst_frequencia,0)),0)))=0),"●","")))</f>
      </c>
      <c r="J80" s="43">
        <f>IF(NOT(Planos!$A79&lt;&gt;""),"",IF(COUNTIFS(Programação!$B$4:$B$503,Planos!$A79,Programação!$I$4:$I$503,"Concluído",Programação!$G$4:$G$503,"&gt;="&amp;DATE(ano_ref,7,1),Programação!$G$4:$G$503,"&lt;="&amp;EOMONTH(DATE(ano_ref,7,1),0))&gt;0,"✔",IF(AND(ISNUMBER(Planos!$G79),IFERROR(INDEX(lst_frequencia_meses,MATCH(Planos!$E79,lst_frequencia,0)),0)&gt;0,(ano_ref*12+7)-(YEAR(Planos!$G79)*12+MONTH(Planos!$G79))&gt;0,MOD((ano_ref*12+7)-(YEAR(Planos!$G79)*12+MONTH(Planos!$G79)),MAX(1,IFERROR(INDEX(lst_frequencia_meses,MATCH(Planos!$E79,lst_frequencia,0)),0)))=0),"●","")))</f>
      </c>
      <c r="K80" s="43">
        <f>IF(NOT(Planos!$A79&lt;&gt;""),"",IF(COUNTIFS(Programação!$B$4:$B$503,Planos!$A79,Programação!$I$4:$I$503,"Concluído",Programação!$G$4:$G$503,"&gt;="&amp;DATE(ano_ref,8,1),Programação!$G$4:$G$503,"&lt;="&amp;EOMONTH(DATE(ano_ref,8,1),0))&gt;0,"✔",IF(AND(ISNUMBER(Planos!$G79),IFERROR(INDEX(lst_frequencia_meses,MATCH(Planos!$E79,lst_frequencia,0)),0)&gt;0,(ano_ref*12+8)-(YEAR(Planos!$G79)*12+MONTH(Planos!$G79))&gt;0,MOD((ano_ref*12+8)-(YEAR(Planos!$G79)*12+MONTH(Planos!$G79)),MAX(1,IFERROR(INDEX(lst_frequencia_meses,MATCH(Planos!$E79,lst_frequencia,0)),0)))=0),"●","")))</f>
      </c>
      <c r="L80" s="43">
        <f>IF(NOT(Planos!$A79&lt;&gt;""),"",IF(COUNTIFS(Programação!$B$4:$B$503,Planos!$A79,Programação!$I$4:$I$503,"Concluído",Programação!$G$4:$G$503,"&gt;="&amp;DATE(ano_ref,9,1),Programação!$G$4:$G$503,"&lt;="&amp;EOMONTH(DATE(ano_ref,9,1),0))&gt;0,"✔",IF(AND(ISNUMBER(Planos!$G79),IFERROR(INDEX(lst_frequencia_meses,MATCH(Planos!$E79,lst_frequencia,0)),0)&gt;0,(ano_ref*12+9)-(YEAR(Planos!$G79)*12+MONTH(Planos!$G79))&gt;0,MOD((ano_ref*12+9)-(YEAR(Planos!$G79)*12+MONTH(Planos!$G79)),MAX(1,IFERROR(INDEX(lst_frequencia_meses,MATCH(Planos!$E79,lst_frequencia,0)),0)))=0),"●","")))</f>
      </c>
      <c r="M80" s="43">
        <f>IF(NOT(Planos!$A79&lt;&gt;""),"",IF(COUNTIFS(Programação!$B$4:$B$503,Planos!$A79,Programação!$I$4:$I$503,"Concluído",Programação!$G$4:$G$503,"&gt;="&amp;DATE(ano_ref,10,1),Programação!$G$4:$G$503,"&lt;="&amp;EOMONTH(DATE(ano_ref,10,1),0))&gt;0,"✔",IF(AND(ISNUMBER(Planos!$G79),IFERROR(INDEX(lst_frequencia_meses,MATCH(Planos!$E79,lst_frequencia,0)),0)&gt;0,(ano_ref*12+10)-(YEAR(Planos!$G79)*12+MONTH(Planos!$G79))&gt;0,MOD((ano_ref*12+10)-(YEAR(Planos!$G79)*12+MONTH(Planos!$G79)),MAX(1,IFERROR(INDEX(lst_frequencia_meses,MATCH(Planos!$E79,lst_frequencia,0)),0)))=0),"●","")))</f>
      </c>
      <c r="N80" s="43">
        <f>IF(NOT(Planos!$A79&lt;&gt;""),"",IF(COUNTIFS(Programação!$B$4:$B$503,Planos!$A79,Programação!$I$4:$I$503,"Concluído",Programação!$G$4:$G$503,"&gt;="&amp;DATE(ano_ref,11,1),Programação!$G$4:$G$503,"&lt;="&amp;EOMONTH(DATE(ano_ref,11,1),0))&gt;0,"✔",IF(AND(ISNUMBER(Planos!$G79),IFERROR(INDEX(lst_frequencia_meses,MATCH(Planos!$E79,lst_frequencia,0)),0)&gt;0,(ano_ref*12+11)-(YEAR(Planos!$G79)*12+MONTH(Planos!$G79))&gt;0,MOD((ano_ref*12+11)-(YEAR(Planos!$G79)*12+MONTH(Planos!$G79)),MAX(1,IFERROR(INDEX(lst_frequencia_meses,MATCH(Planos!$E79,lst_frequencia,0)),0)))=0),"●","")))</f>
      </c>
      <c r="O80" s="43">
        <f>IF(NOT(Planos!$A79&lt;&gt;""),"",IF(COUNTIFS(Programação!$B$4:$B$503,Planos!$A79,Programação!$I$4:$I$503,"Concluído",Programação!$G$4:$G$503,"&gt;="&amp;DATE(ano_ref,12,1),Programação!$G$4:$G$503,"&lt;="&amp;EOMONTH(DATE(ano_ref,12,1),0))&gt;0,"✔",IF(AND(ISNUMBER(Planos!$G79),IFERROR(INDEX(lst_frequencia_meses,MATCH(Planos!$E79,lst_frequencia,0)),0)&gt;0,(ano_ref*12+12)-(YEAR(Planos!$G79)*12+MONTH(Planos!$G79))&gt;0,MOD((ano_ref*12+12)-(YEAR(Planos!$G79)*12+MONTH(Planos!$G79)),MAX(1,IFERROR(INDEX(lst_frequencia_meses,MATCH(Planos!$E79,lst_frequencia,0)),0)))=0),"●","")))</f>
      </c>
      <c r="P80" s="44">
        <f>IF(COUNTIF(D80:O80,"✔")+COUNTIF(D80:O80,"●")=0,"",COUNTIF(D80:O80,"✔")/(COUNTIF(D80:O80,"✔")+COUNTIF(D80:O80,"●")))</f>
      </c>
    </row>
    <row r="81" spans="1:16" x14ac:dyDescent="0.25">
      <c r="A81" s="43">
        <f>IF(Planos!$A80&lt;&gt;"",Planos!A80&amp;"","")</f>
      </c>
      <c r="B81" s="43">
        <f>IF(Planos!$A80&lt;&gt;"",Planos!B80&amp;"","")</f>
      </c>
      <c r="C81" s="24">
        <f>IF(Planos!$A80&lt;&gt;"",Planos!C80&amp;"","")</f>
      </c>
      <c r="D81" s="43">
        <f>IF(NOT(Planos!$A80&lt;&gt;""),"",IF(COUNTIFS(Programação!$B$4:$B$503,Planos!$A80,Programação!$I$4:$I$503,"Concluído",Programação!$G$4:$G$503,"&gt;="&amp;DATE(ano_ref,1,1),Programação!$G$4:$G$503,"&lt;="&amp;EOMONTH(DATE(ano_ref,1,1),0))&gt;0,"✔",IF(AND(ISNUMBER(Planos!$G80),IFERROR(INDEX(lst_frequencia_meses,MATCH(Planos!$E80,lst_frequencia,0)),0)&gt;0,(ano_ref*12+1)-(YEAR(Planos!$G80)*12+MONTH(Planos!$G80))&gt;0,MOD((ano_ref*12+1)-(YEAR(Planos!$G80)*12+MONTH(Planos!$G80)),MAX(1,IFERROR(INDEX(lst_frequencia_meses,MATCH(Planos!$E80,lst_frequencia,0)),0)))=0),"●","")))</f>
      </c>
      <c r="E81" s="43">
        <f>IF(NOT(Planos!$A80&lt;&gt;""),"",IF(COUNTIFS(Programação!$B$4:$B$503,Planos!$A80,Programação!$I$4:$I$503,"Concluído",Programação!$G$4:$G$503,"&gt;="&amp;DATE(ano_ref,2,1),Programação!$G$4:$G$503,"&lt;="&amp;EOMONTH(DATE(ano_ref,2,1),0))&gt;0,"✔",IF(AND(ISNUMBER(Planos!$G80),IFERROR(INDEX(lst_frequencia_meses,MATCH(Planos!$E80,lst_frequencia,0)),0)&gt;0,(ano_ref*12+2)-(YEAR(Planos!$G80)*12+MONTH(Planos!$G80))&gt;0,MOD((ano_ref*12+2)-(YEAR(Planos!$G80)*12+MONTH(Planos!$G80)),MAX(1,IFERROR(INDEX(lst_frequencia_meses,MATCH(Planos!$E80,lst_frequencia,0)),0)))=0),"●","")))</f>
      </c>
      <c r="F81" s="43">
        <f>IF(NOT(Planos!$A80&lt;&gt;""),"",IF(COUNTIFS(Programação!$B$4:$B$503,Planos!$A80,Programação!$I$4:$I$503,"Concluído",Programação!$G$4:$G$503,"&gt;="&amp;DATE(ano_ref,3,1),Programação!$G$4:$G$503,"&lt;="&amp;EOMONTH(DATE(ano_ref,3,1),0))&gt;0,"✔",IF(AND(ISNUMBER(Planos!$G80),IFERROR(INDEX(lst_frequencia_meses,MATCH(Planos!$E80,lst_frequencia,0)),0)&gt;0,(ano_ref*12+3)-(YEAR(Planos!$G80)*12+MONTH(Planos!$G80))&gt;0,MOD((ano_ref*12+3)-(YEAR(Planos!$G80)*12+MONTH(Planos!$G80)),MAX(1,IFERROR(INDEX(lst_frequencia_meses,MATCH(Planos!$E80,lst_frequencia,0)),0)))=0),"●","")))</f>
      </c>
      <c r="G81" s="43">
        <f>IF(NOT(Planos!$A80&lt;&gt;""),"",IF(COUNTIFS(Programação!$B$4:$B$503,Planos!$A80,Programação!$I$4:$I$503,"Concluído",Programação!$G$4:$G$503,"&gt;="&amp;DATE(ano_ref,4,1),Programação!$G$4:$G$503,"&lt;="&amp;EOMONTH(DATE(ano_ref,4,1),0))&gt;0,"✔",IF(AND(ISNUMBER(Planos!$G80),IFERROR(INDEX(lst_frequencia_meses,MATCH(Planos!$E80,lst_frequencia,0)),0)&gt;0,(ano_ref*12+4)-(YEAR(Planos!$G80)*12+MONTH(Planos!$G80))&gt;0,MOD((ano_ref*12+4)-(YEAR(Planos!$G80)*12+MONTH(Planos!$G80)),MAX(1,IFERROR(INDEX(lst_frequencia_meses,MATCH(Planos!$E80,lst_frequencia,0)),0)))=0),"●","")))</f>
      </c>
      <c r="H81" s="43">
        <f>IF(NOT(Planos!$A80&lt;&gt;""),"",IF(COUNTIFS(Programação!$B$4:$B$503,Planos!$A80,Programação!$I$4:$I$503,"Concluído",Programação!$G$4:$G$503,"&gt;="&amp;DATE(ano_ref,5,1),Programação!$G$4:$G$503,"&lt;="&amp;EOMONTH(DATE(ano_ref,5,1),0))&gt;0,"✔",IF(AND(ISNUMBER(Planos!$G80),IFERROR(INDEX(lst_frequencia_meses,MATCH(Planos!$E80,lst_frequencia,0)),0)&gt;0,(ano_ref*12+5)-(YEAR(Planos!$G80)*12+MONTH(Planos!$G80))&gt;0,MOD((ano_ref*12+5)-(YEAR(Planos!$G80)*12+MONTH(Planos!$G80)),MAX(1,IFERROR(INDEX(lst_frequencia_meses,MATCH(Planos!$E80,lst_frequencia,0)),0)))=0),"●","")))</f>
      </c>
      <c r="I81" s="43">
        <f>IF(NOT(Planos!$A80&lt;&gt;""),"",IF(COUNTIFS(Programação!$B$4:$B$503,Planos!$A80,Programação!$I$4:$I$503,"Concluído",Programação!$G$4:$G$503,"&gt;="&amp;DATE(ano_ref,6,1),Programação!$G$4:$G$503,"&lt;="&amp;EOMONTH(DATE(ano_ref,6,1),0))&gt;0,"✔",IF(AND(ISNUMBER(Planos!$G80),IFERROR(INDEX(lst_frequencia_meses,MATCH(Planos!$E80,lst_frequencia,0)),0)&gt;0,(ano_ref*12+6)-(YEAR(Planos!$G80)*12+MONTH(Planos!$G80))&gt;0,MOD((ano_ref*12+6)-(YEAR(Planos!$G80)*12+MONTH(Planos!$G80)),MAX(1,IFERROR(INDEX(lst_frequencia_meses,MATCH(Planos!$E80,lst_frequencia,0)),0)))=0),"●","")))</f>
      </c>
      <c r="J81" s="43">
        <f>IF(NOT(Planos!$A80&lt;&gt;""),"",IF(COUNTIFS(Programação!$B$4:$B$503,Planos!$A80,Programação!$I$4:$I$503,"Concluído",Programação!$G$4:$G$503,"&gt;="&amp;DATE(ano_ref,7,1),Programação!$G$4:$G$503,"&lt;="&amp;EOMONTH(DATE(ano_ref,7,1),0))&gt;0,"✔",IF(AND(ISNUMBER(Planos!$G80),IFERROR(INDEX(lst_frequencia_meses,MATCH(Planos!$E80,lst_frequencia,0)),0)&gt;0,(ano_ref*12+7)-(YEAR(Planos!$G80)*12+MONTH(Planos!$G80))&gt;0,MOD((ano_ref*12+7)-(YEAR(Planos!$G80)*12+MONTH(Planos!$G80)),MAX(1,IFERROR(INDEX(lst_frequencia_meses,MATCH(Planos!$E80,lst_frequencia,0)),0)))=0),"●","")))</f>
      </c>
      <c r="K81" s="43">
        <f>IF(NOT(Planos!$A80&lt;&gt;""),"",IF(COUNTIFS(Programação!$B$4:$B$503,Planos!$A80,Programação!$I$4:$I$503,"Concluído",Programação!$G$4:$G$503,"&gt;="&amp;DATE(ano_ref,8,1),Programação!$G$4:$G$503,"&lt;="&amp;EOMONTH(DATE(ano_ref,8,1),0))&gt;0,"✔",IF(AND(ISNUMBER(Planos!$G80),IFERROR(INDEX(lst_frequencia_meses,MATCH(Planos!$E80,lst_frequencia,0)),0)&gt;0,(ano_ref*12+8)-(YEAR(Planos!$G80)*12+MONTH(Planos!$G80))&gt;0,MOD((ano_ref*12+8)-(YEAR(Planos!$G80)*12+MONTH(Planos!$G80)),MAX(1,IFERROR(INDEX(lst_frequencia_meses,MATCH(Planos!$E80,lst_frequencia,0)),0)))=0),"●","")))</f>
      </c>
      <c r="L81" s="43">
        <f>IF(NOT(Planos!$A80&lt;&gt;""),"",IF(COUNTIFS(Programação!$B$4:$B$503,Planos!$A80,Programação!$I$4:$I$503,"Concluído",Programação!$G$4:$G$503,"&gt;="&amp;DATE(ano_ref,9,1),Programação!$G$4:$G$503,"&lt;="&amp;EOMONTH(DATE(ano_ref,9,1),0))&gt;0,"✔",IF(AND(ISNUMBER(Planos!$G80),IFERROR(INDEX(lst_frequencia_meses,MATCH(Planos!$E80,lst_frequencia,0)),0)&gt;0,(ano_ref*12+9)-(YEAR(Planos!$G80)*12+MONTH(Planos!$G80))&gt;0,MOD((ano_ref*12+9)-(YEAR(Planos!$G80)*12+MONTH(Planos!$G80)),MAX(1,IFERROR(INDEX(lst_frequencia_meses,MATCH(Planos!$E80,lst_frequencia,0)),0)))=0),"●","")))</f>
      </c>
      <c r="M81" s="43">
        <f>IF(NOT(Planos!$A80&lt;&gt;""),"",IF(COUNTIFS(Programação!$B$4:$B$503,Planos!$A80,Programação!$I$4:$I$503,"Concluído",Programação!$G$4:$G$503,"&gt;="&amp;DATE(ano_ref,10,1),Programação!$G$4:$G$503,"&lt;="&amp;EOMONTH(DATE(ano_ref,10,1),0))&gt;0,"✔",IF(AND(ISNUMBER(Planos!$G80),IFERROR(INDEX(lst_frequencia_meses,MATCH(Planos!$E80,lst_frequencia,0)),0)&gt;0,(ano_ref*12+10)-(YEAR(Planos!$G80)*12+MONTH(Planos!$G80))&gt;0,MOD((ano_ref*12+10)-(YEAR(Planos!$G80)*12+MONTH(Planos!$G80)),MAX(1,IFERROR(INDEX(lst_frequencia_meses,MATCH(Planos!$E80,lst_frequencia,0)),0)))=0),"●","")))</f>
      </c>
      <c r="N81" s="43">
        <f>IF(NOT(Planos!$A80&lt;&gt;""),"",IF(COUNTIFS(Programação!$B$4:$B$503,Planos!$A80,Programação!$I$4:$I$503,"Concluído",Programação!$G$4:$G$503,"&gt;="&amp;DATE(ano_ref,11,1),Programação!$G$4:$G$503,"&lt;="&amp;EOMONTH(DATE(ano_ref,11,1),0))&gt;0,"✔",IF(AND(ISNUMBER(Planos!$G80),IFERROR(INDEX(lst_frequencia_meses,MATCH(Planos!$E80,lst_frequencia,0)),0)&gt;0,(ano_ref*12+11)-(YEAR(Planos!$G80)*12+MONTH(Planos!$G80))&gt;0,MOD((ano_ref*12+11)-(YEAR(Planos!$G80)*12+MONTH(Planos!$G80)),MAX(1,IFERROR(INDEX(lst_frequencia_meses,MATCH(Planos!$E80,lst_frequencia,0)),0)))=0),"●","")))</f>
      </c>
      <c r="O81" s="43">
        <f>IF(NOT(Planos!$A80&lt;&gt;""),"",IF(COUNTIFS(Programação!$B$4:$B$503,Planos!$A80,Programação!$I$4:$I$503,"Concluído",Programação!$G$4:$G$503,"&gt;="&amp;DATE(ano_ref,12,1),Programação!$G$4:$G$503,"&lt;="&amp;EOMONTH(DATE(ano_ref,12,1),0))&gt;0,"✔",IF(AND(ISNUMBER(Planos!$G80),IFERROR(INDEX(lst_frequencia_meses,MATCH(Planos!$E80,lst_frequencia,0)),0)&gt;0,(ano_ref*12+12)-(YEAR(Planos!$G80)*12+MONTH(Planos!$G80))&gt;0,MOD((ano_ref*12+12)-(YEAR(Planos!$G80)*12+MONTH(Planos!$G80)),MAX(1,IFERROR(INDEX(lst_frequencia_meses,MATCH(Planos!$E80,lst_frequencia,0)),0)))=0),"●","")))</f>
      </c>
      <c r="P81" s="44">
        <f>IF(COUNTIF(D81:O81,"✔")+COUNTIF(D81:O81,"●")=0,"",COUNTIF(D81:O81,"✔")/(COUNTIF(D81:O81,"✔")+COUNTIF(D81:O81,"●")))</f>
      </c>
    </row>
    <row r="82" spans="1:16" x14ac:dyDescent="0.25">
      <c r="A82" s="43">
        <f>IF(Planos!$A81&lt;&gt;"",Planos!A81&amp;"","")</f>
      </c>
      <c r="B82" s="43">
        <f>IF(Planos!$A81&lt;&gt;"",Planos!B81&amp;"","")</f>
      </c>
      <c r="C82" s="24">
        <f>IF(Planos!$A81&lt;&gt;"",Planos!C81&amp;"","")</f>
      </c>
      <c r="D82" s="43">
        <f>IF(NOT(Planos!$A81&lt;&gt;""),"",IF(COUNTIFS(Programação!$B$4:$B$503,Planos!$A81,Programação!$I$4:$I$503,"Concluído",Programação!$G$4:$G$503,"&gt;="&amp;DATE(ano_ref,1,1),Programação!$G$4:$G$503,"&lt;="&amp;EOMONTH(DATE(ano_ref,1,1),0))&gt;0,"✔",IF(AND(ISNUMBER(Planos!$G81),IFERROR(INDEX(lst_frequencia_meses,MATCH(Planos!$E81,lst_frequencia,0)),0)&gt;0,(ano_ref*12+1)-(YEAR(Planos!$G81)*12+MONTH(Planos!$G81))&gt;0,MOD((ano_ref*12+1)-(YEAR(Planos!$G81)*12+MONTH(Planos!$G81)),MAX(1,IFERROR(INDEX(lst_frequencia_meses,MATCH(Planos!$E81,lst_frequencia,0)),0)))=0),"●","")))</f>
      </c>
      <c r="E82" s="43">
        <f>IF(NOT(Planos!$A81&lt;&gt;""),"",IF(COUNTIFS(Programação!$B$4:$B$503,Planos!$A81,Programação!$I$4:$I$503,"Concluído",Programação!$G$4:$G$503,"&gt;="&amp;DATE(ano_ref,2,1),Programação!$G$4:$G$503,"&lt;="&amp;EOMONTH(DATE(ano_ref,2,1),0))&gt;0,"✔",IF(AND(ISNUMBER(Planos!$G81),IFERROR(INDEX(lst_frequencia_meses,MATCH(Planos!$E81,lst_frequencia,0)),0)&gt;0,(ano_ref*12+2)-(YEAR(Planos!$G81)*12+MONTH(Planos!$G81))&gt;0,MOD((ano_ref*12+2)-(YEAR(Planos!$G81)*12+MONTH(Planos!$G81)),MAX(1,IFERROR(INDEX(lst_frequencia_meses,MATCH(Planos!$E81,lst_frequencia,0)),0)))=0),"●","")))</f>
      </c>
      <c r="F82" s="43">
        <f>IF(NOT(Planos!$A81&lt;&gt;""),"",IF(COUNTIFS(Programação!$B$4:$B$503,Planos!$A81,Programação!$I$4:$I$503,"Concluído",Programação!$G$4:$G$503,"&gt;="&amp;DATE(ano_ref,3,1),Programação!$G$4:$G$503,"&lt;="&amp;EOMONTH(DATE(ano_ref,3,1),0))&gt;0,"✔",IF(AND(ISNUMBER(Planos!$G81),IFERROR(INDEX(lst_frequencia_meses,MATCH(Planos!$E81,lst_frequencia,0)),0)&gt;0,(ano_ref*12+3)-(YEAR(Planos!$G81)*12+MONTH(Planos!$G81))&gt;0,MOD((ano_ref*12+3)-(YEAR(Planos!$G81)*12+MONTH(Planos!$G81)),MAX(1,IFERROR(INDEX(lst_frequencia_meses,MATCH(Planos!$E81,lst_frequencia,0)),0)))=0),"●","")))</f>
      </c>
      <c r="G82" s="43">
        <f>IF(NOT(Planos!$A81&lt;&gt;""),"",IF(COUNTIFS(Programação!$B$4:$B$503,Planos!$A81,Programação!$I$4:$I$503,"Concluído",Programação!$G$4:$G$503,"&gt;="&amp;DATE(ano_ref,4,1),Programação!$G$4:$G$503,"&lt;="&amp;EOMONTH(DATE(ano_ref,4,1),0))&gt;0,"✔",IF(AND(ISNUMBER(Planos!$G81),IFERROR(INDEX(lst_frequencia_meses,MATCH(Planos!$E81,lst_frequencia,0)),0)&gt;0,(ano_ref*12+4)-(YEAR(Planos!$G81)*12+MONTH(Planos!$G81))&gt;0,MOD((ano_ref*12+4)-(YEAR(Planos!$G81)*12+MONTH(Planos!$G81)),MAX(1,IFERROR(INDEX(lst_frequencia_meses,MATCH(Planos!$E81,lst_frequencia,0)),0)))=0),"●","")))</f>
      </c>
      <c r="H82" s="43">
        <f>IF(NOT(Planos!$A81&lt;&gt;""),"",IF(COUNTIFS(Programação!$B$4:$B$503,Planos!$A81,Programação!$I$4:$I$503,"Concluído",Programação!$G$4:$G$503,"&gt;="&amp;DATE(ano_ref,5,1),Programação!$G$4:$G$503,"&lt;="&amp;EOMONTH(DATE(ano_ref,5,1),0))&gt;0,"✔",IF(AND(ISNUMBER(Planos!$G81),IFERROR(INDEX(lst_frequencia_meses,MATCH(Planos!$E81,lst_frequencia,0)),0)&gt;0,(ano_ref*12+5)-(YEAR(Planos!$G81)*12+MONTH(Planos!$G81))&gt;0,MOD((ano_ref*12+5)-(YEAR(Planos!$G81)*12+MONTH(Planos!$G81)),MAX(1,IFERROR(INDEX(lst_frequencia_meses,MATCH(Planos!$E81,lst_frequencia,0)),0)))=0),"●","")))</f>
      </c>
      <c r="I82" s="43">
        <f>IF(NOT(Planos!$A81&lt;&gt;""),"",IF(COUNTIFS(Programação!$B$4:$B$503,Planos!$A81,Programação!$I$4:$I$503,"Concluído",Programação!$G$4:$G$503,"&gt;="&amp;DATE(ano_ref,6,1),Programação!$G$4:$G$503,"&lt;="&amp;EOMONTH(DATE(ano_ref,6,1),0))&gt;0,"✔",IF(AND(ISNUMBER(Planos!$G81),IFERROR(INDEX(lst_frequencia_meses,MATCH(Planos!$E81,lst_frequencia,0)),0)&gt;0,(ano_ref*12+6)-(YEAR(Planos!$G81)*12+MONTH(Planos!$G81))&gt;0,MOD((ano_ref*12+6)-(YEAR(Planos!$G81)*12+MONTH(Planos!$G81)),MAX(1,IFERROR(INDEX(lst_frequencia_meses,MATCH(Planos!$E81,lst_frequencia,0)),0)))=0),"●","")))</f>
      </c>
      <c r="J82" s="43">
        <f>IF(NOT(Planos!$A81&lt;&gt;""),"",IF(COUNTIFS(Programação!$B$4:$B$503,Planos!$A81,Programação!$I$4:$I$503,"Concluído",Programação!$G$4:$G$503,"&gt;="&amp;DATE(ano_ref,7,1),Programação!$G$4:$G$503,"&lt;="&amp;EOMONTH(DATE(ano_ref,7,1),0))&gt;0,"✔",IF(AND(ISNUMBER(Planos!$G81),IFERROR(INDEX(lst_frequencia_meses,MATCH(Planos!$E81,lst_frequencia,0)),0)&gt;0,(ano_ref*12+7)-(YEAR(Planos!$G81)*12+MONTH(Planos!$G81))&gt;0,MOD((ano_ref*12+7)-(YEAR(Planos!$G81)*12+MONTH(Planos!$G81)),MAX(1,IFERROR(INDEX(lst_frequencia_meses,MATCH(Planos!$E81,lst_frequencia,0)),0)))=0),"●","")))</f>
      </c>
      <c r="K82" s="43">
        <f>IF(NOT(Planos!$A81&lt;&gt;""),"",IF(COUNTIFS(Programação!$B$4:$B$503,Planos!$A81,Programação!$I$4:$I$503,"Concluído",Programação!$G$4:$G$503,"&gt;="&amp;DATE(ano_ref,8,1),Programação!$G$4:$G$503,"&lt;="&amp;EOMONTH(DATE(ano_ref,8,1),0))&gt;0,"✔",IF(AND(ISNUMBER(Planos!$G81),IFERROR(INDEX(lst_frequencia_meses,MATCH(Planos!$E81,lst_frequencia,0)),0)&gt;0,(ano_ref*12+8)-(YEAR(Planos!$G81)*12+MONTH(Planos!$G81))&gt;0,MOD((ano_ref*12+8)-(YEAR(Planos!$G81)*12+MONTH(Planos!$G81)),MAX(1,IFERROR(INDEX(lst_frequencia_meses,MATCH(Planos!$E81,lst_frequencia,0)),0)))=0),"●","")))</f>
      </c>
      <c r="L82" s="43">
        <f>IF(NOT(Planos!$A81&lt;&gt;""),"",IF(COUNTIFS(Programação!$B$4:$B$503,Planos!$A81,Programação!$I$4:$I$503,"Concluído",Programação!$G$4:$G$503,"&gt;="&amp;DATE(ano_ref,9,1),Programação!$G$4:$G$503,"&lt;="&amp;EOMONTH(DATE(ano_ref,9,1),0))&gt;0,"✔",IF(AND(ISNUMBER(Planos!$G81),IFERROR(INDEX(lst_frequencia_meses,MATCH(Planos!$E81,lst_frequencia,0)),0)&gt;0,(ano_ref*12+9)-(YEAR(Planos!$G81)*12+MONTH(Planos!$G81))&gt;0,MOD((ano_ref*12+9)-(YEAR(Planos!$G81)*12+MONTH(Planos!$G81)),MAX(1,IFERROR(INDEX(lst_frequencia_meses,MATCH(Planos!$E81,lst_frequencia,0)),0)))=0),"●","")))</f>
      </c>
      <c r="M82" s="43">
        <f>IF(NOT(Planos!$A81&lt;&gt;""),"",IF(COUNTIFS(Programação!$B$4:$B$503,Planos!$A81,Programação!$I$4:$I$503,"Concluído",Programação!$G$4:$G$503,"&gt;="&amp;DATE(ano_ref,10,1),Programação!$G$4:$G$503,"&lt;="&amp;EOMONTH(DATE(ano_ref,10,1),0))&gt;0,"✔",IF(AND(ISNUMBER(Planos!$G81),IFERROR(INDEX(lst_frequencia_meses,MATCH(Planos!$E81,lst_frequencia,0)),0)&gt;0,(ano_ref*12+10)-(YEAR(Planos!$G81)*12+MONTH(Planos!$G81))&gt;0,MOD((ano_ref*12+10)-(YEAR(Planos!$G81)*12+MONTH(Planos!$G81)),MAX(1,IFERROR(INDEX(lst_frequencia_meses,MATCH(Planos!$E81,lst_frequencia,0)),0)))=0),"●","")))</f>
      </c>
      <c r="N82" s="43">
        <f>IF(NOT(Planos!$A81&lt;&gt;""),"",IF(COUNTIFS(Programação!$B$4:$B$503,Planos!$A81,Programação!$I$4:$I$503,"Concluído",Programação!$G$4:$G$503,"&gt;="&amp;DATE(ano_ref,11,1),Programação!$G$4:$G$503,"&lt;="&amp;EOMONTH(DATE(ano_ref,11,1),0))&gt;0,"✔",IF(AND(ISNUMBER(Planos!$G81),IFERROR(INDEX(lst_frequencia_meses,MATCH(Planos!$E81,lst_frequencia,0)),0)&gt;0,(ano_ref*12+11)-(YEAR(Planos!$G81)*12+MONTH(Planos!$G81))&gt;0,MOD((ano_ref*12+11)-(YEAR(Planos!$G81)*12+MONTH(Planos!$G81)),MAX(1,IFERROR(INDEX(lst_frequencia_meses,MATCH(Planos!$E81,lst_frequencia,0)),0)))=0),"●","")))</f>
      </c>
      <c r="O82" s="43">
        <f>IF(NOT(Planos!$A81&lt;&gt;""),"",IF(COUNTIFS(Programação!$B$4:$B$503,Planos!$A81,Programação!$I$4:$I$503,"Concluído",Programação!$G$4:$G$503,"&gt;="&amp;DATE(ano_ref,12,1),Programação!$G$4:$G$503,"&lt;="&amp;EOMONTH(DATE(ano_ref,12,1),0))&gt;0,"✔",IF(AND(ISNUMBER(Planos!$G81),IFERROR(INDEX(lst_frequencia_meses,MATCH(Planos!$E81,lst_frequencia,0)),0)&gt;0,(ano_ref*12+12)-(YEAR(Planos!$G81)*12+MONTH(Planos!$G81))&gt;0,MOD((ano_ref*12+12)-(YEAR(Planos!$G81)*12+MONTH(Planos!$G81)),MAX(1,IFERROR(INDEX(lst_frequencia_meses,MATCH(Planos!$E81,lst_frequencia,0)),0)))=0),"●","")))</f>
      </c>
      <c r="P82" s="44">
        <f>IF(COUNTIF(D82:O82,"✔")+COUNTIF(D82:O82,"●")=0,"",COUNTIF(D82:O82,"✔")/(COUNTIF(D82:O82,"✔")+COUNTIF(D82:O82,"●")))</f>
      </c>
    </row>
    <row r="83" spans="1:16" x14ac:dyDescent="0.25">
      <c r="A83" s="43">
        <f>IF(Planos!$A82&lt;&gt;"",Planos!A82&amp;"","")</f>
      </c>
      <c r="B83" s="43">
        <f>IF(Planos!$A82&lt;&gt;"",Planos!B82&amp;"","")</f>
      </c>
      <c r="C83" s="24">
        <f>IF(Planos!$A82&lt;&gt;"",Planos!C82&amp;"","")</f>
      </c>
      <c r="D83" s="43">
        <f>IF(NOT(Planos!$A82&lt;&gt;""),"",IF(COUNTIFS(Programação!$B$4:$B$503,Planos!$A82,Programação!$I$4:$I$503,"Concluído",Programação!$G$4:$G$503,"&gt;="&amp;DATE(ano_ref,1,1),Programação!$G$4:$G$503,"&lt;="&amp;EOMONTH(DATE(ano_ref,1,1),0))&gt;0,"✔",IF(AND(ISNUMBER(Planos!$G82),IFERROR(INDEX(lst_frequencia_meses,MATCH(Planos!$E82,lst_frequencia,0)),0)&gt;0,(ano_ref*12+1)-(YEAR(Planos!$G82)*12+MONTH(Planos!$G82))&gt;0,MOD((ano_ref*12+1)-(YEAR(Planos!$G82)*12+MONTH(Planos!$G82)),MAX(1,IFERROR(INDEX(lst_frequencia_meses,MATCH(Planos!$E82,lst_frequencia,0)),0)))=0),"●","")))</f>
      </c>
      <c r="E83" s="43">
        <f>IF(NOT(Planos!$A82&lt;&gt;""),"",IF(COUNTIFS(Programação!$B$4:$B$503,Planos!$A82,Programação!$I$4:$I$503,"Concluído",Programação!$G$4:$G$503,"&gt;="&amp;DATE(ano_ref,2,1),Programação!$G$4:$G$503,"&lt;="&amp;EOMONTH(DATE(ano_ref,2,1),0))&gt;0,"✔",IF(AND(ISNUMBER(Planos!$G82),IFERROR(INDEX(lst_frequencia_meses,MATCH(Planos!$E82,lst_frequencia,0)),0)&gt;0,(ano_ref*12+2)-(YEAR(Planos!$G82)*12+MONTH(Planos!$G82))&gt;0,MOD((ano_ref*12+2)-(YEAR(Planos!$G82)*12+MONTH(Planos!$G82)),MAX(1,IFERROR(INDEX(lst_frequencia_meses,MATCH(Planos!$E82,lst_frequencia,0)),0)))=0),"●","")))</f>
      </c>
      <c r="F83" s="43">
        <f>IF(NOT(Planos!$A82&lt;&gt;""),"",IF(COUNTIFS(Programação!$B$4:$B$503,Planos!$A82,Programação!$I$4:$I$503,"Concluído",Programação!$G$4:$G$503,"&gt;="&amp;DATE(ano_ref,3,1),Programação!$G$4:$G$503,"&lt;="&amp;EOMONTH(DATE(ano_ref,3,1),0))&gt;0,"✔",IF(AND(ISNUMBER(Planos!$G82),IFERROR(INDEX(lst_frequencia_meses,MATCH(Planos!$E82,lst_frequencia,0)),0)&gt;0,(ano_ref*12+3)-(YEAR(Planos!$G82)*12+MONTH(Planos!$G82))&gt;0,MOD((ano_ref*12+3)-(YEAR(Planos!$G82)*12+MONTH(Planos!$G82)),MAX(1,IFERROR(INDEX(lst_frequencia_meses,MATCH(Planos!$E82,lst_frequencia,0)),0)))=0),"●","")))</f>
      </c>
      <c r="G83" s="43">
        <f>IF(NOT(Planos!$A82&lt;&gt;""),"",IF(COUNTIFS(Programação!$B$4:$B$503,Planos!$A82,Programação!$I$4:$I$503,"Concluído",Programação!$G$4:$G$503,"&gt;="&amp;DATE(ano_ref,4,1),Programação!$G$4:$G$503,"&lt;="&amp;EOMONTH(DATE(ano_ref,4,1),0))&gt;0,"✔",IF(AND(ISNUMBER(Planos!$G82),IFERROR(INDEX(lst_frequencia_meses,MATCH(Planos!$E82,lst_frequencia,0)),0)&gt;0,(ano_ref*12+4)-(YEAR(Planos!$G82)*12+MONTH(Planos!$G82))&gt;0,MOD((ano_ref*12+4)-(YEAR(Planos!$G82)*12+MONTH(Planos!$G82)),MAX(1,IFERROR(INDEX(lst_frequencia_meses,MATCH(Planos!$E82,lst_frequencia,0)),0)))=0),"●","")))</f>
      </c>
      <c r="H83" s="43">
        <f>IF(NOT(Planos!$A82&lt;&gt;""),"",IF(COUNTIFS(Programação!$B$4:$B$503,Planos!$A82,Programação!$I$4:$I$503,"Concluído",Programação!$G$4:$G$503,"&gt;="&amp;DATE(ano_ref,5,1),Programação!$G$4:$G$503,"&lt;="&amp;EOMONTH(DATE(ano_ref,5,1),0))&gt;0,"✔",IF(AND(ISNUMBER(Planos!$G82),IFERROR(INDEX(lst_frequencia_meses,MATCH(Planos!$E82,lst_frequencia,0)),0)&gt;0,(ano_ref*12+5)-(YEAR(Planos!$G82)*12+MONTH(Planos!$G82))&gt;0,MOD((ano_ref*12+5)-(YEAR(Planos!$G82)*12+MONTH(Planos!$G82)),MAX(1,IFERROR(INDEX(lst_frequencia_meses,MATCH(Planos!$E82,lst_frequencia,0)),0)))=0),"●","")))</f>
      </c>
      <c r="I83" s="43">
        <f>IF(NOT(Planos!$A82&lt;&gt;""),"",IF(COUNTIFS(Programação!$B$4:$B$503,Planos!$A82,Programação!$I$4:$I$503,"Concluído",Programação!$G$4:$G$503,"&gt;="&amp;DATE(ano_ref,6,1),Programação!$G$4:$G$503,"&lt;="&amp;EOMONTH(DATE(ano_ref,6,1),0))&gt;0,"✔",IF(AND(ISNUMBER(Planos!$G82),IFERROR(INDEX(lst_frequencia_meses,MATCH(Planos!$E82,lst_frequencia,0)),0)&gt;0,(ano_ref*12+6)-(YEAR(Planos!$G82)*12+MONTH(Planos!$G82))&gt;0,MOD((ano_ref*12+6)-(YEAR(Planos!$G82)*12+MONTH(Planos!$G82)),MAX(1,IFERROR(INDEX(lst_frequencia_meses,MATCH(Planos!$E82,lst_frequencia,0)),0)))=0),"●","")))</f>
      </c>
      <c r="J83" s="43">
        <f>IF(NOT(Planos!$A82&lt;&gt;""),"",IF(COUNTIFS(Programação!$B$4:$B$503,Planos!$A82,Programação!$I$4:$I$503,"Concluído",Programação!$G$4:$G$503,"&gt;="&amp;DATE(ano_ref,7,1),Programação!$G$4:$G$503,"&lt;="&amp;EOMONTH(DATE(ano_ref,7,1),0))&gt;0,"✔",IF(AND(ISNUMBER(Planos!$G82),IFERROR(INDEX(lst_frequencia_meses,MATCH(Planos!$E82,lst_frequencia,0)),0)&gt;0,(ano_ref*12+7)-(YEAR(Planos!$G82)*12+MONTH(Planos!$G82))&gt;0,MOD((ano_ref*12+7)-(YEAR(Planos!$G82)*12+MONTH(Planos!$G82)),MAX(1,IFERROR(INDEX(lst_frequencia_meses,MATCH(Planos!$E82,lst_frequencia,0)),0)))=0),"●","")))</f>
      </c>
      <c r="K83" s="43">
        <f>IF(NOT(Planos!$A82&lt;&gt;""),"",IF(COUNTIFS(Programação!$B$4:$B$503,Planos!$A82,Programação!$I$4:$I$503,"Concluído",Programação!$G$4:$G$503,"&gt;="&amp;DATE(ano_ref,8,1),Programação!$G$4:$G$503,"&lt;="&amp;EOMONTH(DATE(ano_ref,8,1),0))&gt;0,"✔",IF(AND(ISNUMBER(Planos!$G82),IFERROR(INDEX(lst_frequencia_meses,MATCH(Planos!$E82,lst_frequencia,0)),0)&gt;0,(ano_ref*12+8)-(YEAR(Planos!$G82)*12+MONTH(Planos!$G82))&gt;0,MOD((ano_ref*12+8)-(YEAR(Planos!$G82)*12+MONTH(Planos!$G82)),MAX(1,IFERROR(INDEX(lst_frequencia_meses,MATCH(Planos!$E82,lst_frequencia,0)),0)))=0),"●","")))</f>
      </c>
      <c r="L83" s="43">
        <f>IF(NOT(Planos!$A82&lt;&gt;""),"",IF(COUNTIFS(Programação!$B$4:$B$503,Planos!$A82,Programação!$I$4:$I$503,"Concluído",Programação!$G$4:$G$503,"&gt;="&amp;DATE(ano_ref,9,1),Programação!$G$4:$G$503,"&lt;="&amp;EOMONTH(DATE(ano_ref,9,1),0))&gt;0,"✔",IF(AND(ISNUMBER(Planos!$G82),IFERROR(INDEX(lst_frequencia_meses,MATCH(Planos!$E82,lst_frequencia,0)),0)&gt;0,(ano_ref*12+9)-(YEAR(Planos!$G82)*12+MONTH(Planos!$G82))&gt;0,MOD((ano_ref*12+9)-(YEAR(Planos!$G82)*12+MONTH(Planos!$G82)),MAX(1,IFERROR(INDEX(lst_frequencia_meses,MATCH(Planos!$E82,lst_frequencia,0)),0)))=0),"●","")))</f>
      </c>
      <c r="M83" s="43">
        <f>IF(NOT(Planos!$A82&lt;&gt;""),"",IF(COUNTIFS(Programação!$B$4:$B$503,Planos!$A82,Programação!$I$4:$I$503,"Concluído",Programação!$G$4:$G$503,"&gt;="&amp;DATE(ano_ref,10,1),Programação!$G$4:$G$503,"&lt;="&amp;EOMONTH(DATE(ano_ref,10,1),0))&gt;0,"✔",IF(AND(ISNUMBER(Planos!$G82),IFERROR(INDEX(lst_frequencia_meses,MATCH(Planos!$E82,lst_frequencia,0)),0)&gt;0,(ano_ref*12+10)-(YEAR(Planos!$G82)*12+MONTH(Planos!$G82))&gt;0,MOD((ano_ref*12+10)-(YEAR(Planos!$G82)*12+MONTH(Planos!$G82)),MAX(1,IFERROR(INDEX(lst_frequencia_meses,MATCH(Planos!$E82,lst_frequencia,0)),0)))=0),"●","")))</f>
      </c>
      <c r="N83" s="43">
        <f>IF(NOT(Planos!$A82&lt;&gt;""),"",IF(COUNTIFS(Programação!$B$4:$B$503,Planos!$A82,Programação!$I$4:$I$503,"Concluído",Programação!$G$4:$G$503,"&gt;="&amp;DATE(ano_ref,11,1),Programação!$G$4:$G$503,"&lt;="&amp;EOMONTH(DATE(ano_ref,11,1),0))&gt;0,"✔",IF(AND(ISNUMBER(Planos!$G82),IFERROR(INDEX(lst_frequencia_meses,MATCH(Planos!$E82,lst_frequencia,0)),0)&gt;0,(ano_ref*12+11)-(YEAR(Planos!$G82)*12+MONTH(Planos!$G82))&gt;0,MOD((ano_ref*12+11)-(YEAR(Planos!$G82)*12+MONTH(Planos!$G82)),MAX(1,IFERROR(INDEX(lst_frequencia_meses,MATCH(Planos!$E82,lst_frequencia,0)),0)))=0),"●","")))</f>
      </c>
      <c r="O83" s="43">
        <f>IF(NOT(Planos!$A82&lt;&gt;""),"",IF(COUNTIFS(Programação!$B$4:$B$503,Planos!$A82,Programação!$I$4:$I$503,"Concluído",Programação!$G$4:$G$503,"&gt;="&amp;DATE(ano_ref,12,1),Programação!$G$4:$G$503,"&lt;="&amp;EOMONTH(DATE(ano_ref,12,1),0))&gt;0,"✔",IF(AND(ISNUMBER(Planos!$G82),IFERROR(INDEX(lst_frequencia_meses,MATCH(Planos!$E82,lst_frequencia,0)),0)&gt;0,(ano_ref*12+12)-(YEAR(Planos!$G82)*12+MONTH(Planos!$G82))&gt;0,MOD((ano_ref*12+12)-(YEAR(Planos!$G82)*12+MONTH(Planos!$G82)),MAX(1,IFERROR(INDEX(lst_frequencia_meses,MATCH(Planos!$E82,lst_frequencia,0)),0)))=0),"●","")))</f>
      </c>
      <c r="P83" s="44">
        <f>IF(COUNTIF(D83:O83,"✔")+COUNTIF(D83:O83,"●")=0,"",COUNTIF(D83:O83,"✔")/(COUNTIF(D83:O83,"✔")+COUNTIF(D83:O83,"●")))</f>
      </c>
    </row>
    <row r="84" spans="1:16" x14ac:dyDescent="0.25">
      <c r="A84" s="43">
        <f>IF(Planos!$A83&lt;&gt;"",Planos!A83&amp;"","")</f>
      </c>
      <c r="B84" s="43">
        <f>IF(Planos!$A83&lt;&gt;"",Planos!B83&amp;"","")</f>
      </c>
      <c r="C84" s="24">
        <f>IF(Planos!$A83&lt;&gt;"",Planos!C83&amp;"","")</f>
      </c>
      <c r="D84" s="43">
        <f>IF(NOT(Planos!$A83&lt;&gt;""),"",IF(COUNTIFS(Programação!$B$4:$B$503,Planos!$A83,Programação!$I$4:$I$503,"Concluído",Programação!$G$4:$G$503,"&gt;="&amp;DATE(ano_ref,1,1),Programação!$G$4:$G$503,"&lt;="&amp;EOMONTH(DATE(ano_ref,1,1),0))&gt;0,"✔",IF(AND(ISNUMBER(Planos!$G83),IFERROR(INDEX(lst_frequencia_meses,MATCH(Planos!$E83,lst_frequencia,0)),0)&gt;0,(ano_ref*12+1)-(YEAR(Planos!$G83)*12+MONTH(Planos!$G83))&gt;0,MOD((ano_ref*12+1)-(YEAR(Planos!$G83)*12+MONTH(Planos!$G83)),MAX(1,IFERROR(INDEX(lst_frequencia_meses,MATCH(Planos!$E83,lst_frequencia,0)),0)))=0),"●","")))</f>
      </c>
      <c r="E84" s="43">
        <f>IF(NOT(Planos!$A83&lt;&gt;""),"",IF(COUNTIFS(Programação!$B$4:$B$503,Planos!$A83,Programação!$I$4:$I$503,"Concluído",Programação!$G$4:$G$503,"&gt;="&amp;DATE(ano_ref,2,1),Programação!$G$4:$G$503,"&lt;="&amp;EOMONTH(DATE(ano_ref,2,1),0))&gt;0,"✔",IF(AND(ISNUMBER(Planos!$G83),IFERROR(INDEX(lst_frequencia_meses,MATCH(Planos!$E83,lst_frequencia,0)),0)&gt;0,(ano_ref*12+2)-(YEAR(Planos!$G83)*12+MONTH(Planos!$G83))&gt;0,MOD((ano_ref*12+2)-(YEAR(Planos!$G83)*12+MONTH(Planos!$G83)),MAX(1,IFERROR(INDEX(lst_frequencia_meses,MATCH(Planos!$E83,lst_frequencia,0)),0)))=0),"●","")))</f>
      </c>
      <c r="F84" s="43">
        <f>IF(NOT(Planos!$A83&lt;&gt;""),"",IF(COUNTIFS(Programação!$B$4:$B$503,Planos!$A83,Programação!$I$4:$I$503,"Concluído",Programação!$G$4:$G$503,"&gt;="&amp;DATE(ano_ref,3,1),Programação!$G$4:$G$503,"&lt;="&amp;EOMONTH(DATE(ano_ref,3,1),0))&gt;0,"✔",IF(AND(ISNUMBER(Planos!$G83),IFERROR(INDEX(lst_frequencia_meses,MATCH(Planos!$E83,lst_frequencia,0)),0)&gt;0,(ano_ref*12+3)-(YEAR(Planos!$G83)*12+MONTH(Planos!$G83))&gt;0,MOD((ano_ref*12+3)-(YEAR(Planos!$G83)*12+MONTH(Planos!$G83)),MAX(1,IFERROR(INDEX(lst_frequencia_meses,MATCH(Planos!$E83,lst_frequencia,0)),0)))=0),"●","")))</f>
      </c>
      <c r="G84" s="43">
        <f>IF(NOT(Planos!$A83&lt;&gt;""),"",IF(COUNTIFS(Programação!$B$4:$B$503,Planos!$A83,Programação!$I$4:$I$503,"Concluído",Programação!$G$4:$G$503,"&gt;="&amp;DATE(ano_ref,4,1),Programação!$G$4:$G$503,"&lt;="&amp;EOMONTH(DATE(ano_ref,4,1),0))&gt;0,"✔",IF(AND(ISNUMBER(Planos!$G83),IFERROR(INDEX(lst_frequencia_meses,MATCH(Planos!$E83,lst_frequencia,0)),0)&gt;0,(ano_ref*12+4)-(YEAR(Planos!$G83)*12+MONTH(Planos!$G83))&gt;0,MOD((ano_ref*12+4)-(YEAR(Planos!$G83)*12+MONTH(Planos!$G83)),MAX(1,IFERROR(INDEX(lst_frequencia_meses,MATCH(Planos!$E83,lst_frequencia,0)),0)))=0),"●","")))</f>
      </c>
      <c r="H84" s="43">
        <f>IF(NOT(Planos!$A83&lt;&gt;""),"",IF(COUNTIFS(Programação!$B$4:$B$503,Planos!$A83,Programação!$I$4:$I$503,"Concluído",Programação!$G$4:$G$503,"&gt;="&amp;DATE(ano_ref,5,1),Programação!$G$4:$G$503,"&lt;="&amp;EOMONTH(DATE(ano_ref,5,1),0))&gt;0,"✔",IF(AND(ISNUMBER(Planos!$G83),IFERROR(INDEX(lst_frequencia_meses,MATCH(Planos!$E83,lst_frequencia,0)),0)&gt;0,(ano_ref*12+5)-(YEAR(Planos!$G83)*12+MONTH(Planos!$G83))&gt;0,MOD((ano_ref*12+5)-(YEAR(Planos!$G83)*12+MONTH(Planos!$G83)),MAX(1,IFERROR(INDEX(lst_frequencia_meses,MATCH(Planos!$E83,lst_frequencia,0)),0)))=0),"●","")))</f>
      </c>
      <c r="I84" s="43">
        <f>IF(NOT(Planos!$A83&lt;&gt;""),"",IF(COUNTIFS(Programação!$B$4:$B$503,Planos!$A83,Programação!$I$4:$I$503,"Concluído",Programação!$G$4:$G$503,"&gt;="&amp;DATE(ano_ref,6,1),Programação!$G$4:$G$503,"&lt;="&amp;EOMONTH(DATE(ano_ref,6,1),0))&gt;0,"✔",IF(AND(ISNUMBER(Planos!$G83),IFERROR(INDEX(lst_frequencia_meses,MATCH(Planos!$E83,lst_frequencia,0)),0)&gt;0,(ano_ref*12+6)-(YEAR(Planos!$G83)*12+MONTH(Planos!$G83))&gt;0,MOD((ano_ref*12+6)-(YEAR(Planos!$G83)*12+MONTH(Planos!$G83)),MAX(1,IFERROR(INDEX(lst_frequencia_meses,MATCH(Planos!$E83,lst_frequencia,0)),0)))=0),"●","")))</f>
      </c>
      <c r="J84" s="43">
        <f>IF(NOT(Planos!$A83&lt;&gt;""),"",IF(COUNTIFS(Programação!$B$4:$B$503,Planos!$A83,Programação!$I$4:$I$503,"Concluído",Programação!$G$4:$G$503,"&gt;="&amp;DATE(ano_ref,7,1),Programação!$G$4:$G$503,"&lt;="&amp;EOMONTH(DATE(ano_ref,7,1),0))&gt;0,"✔",IF(AND(ISNUMBER(Planos!$G83),IFERROR(INDEX(lst_frequencia_meses,MATCH(Planos!$E83,lst_frequencia,0)),0)&gt;0,(ano_ref*12+7)-(YEAR(Planos!$G83)*12+MONTH(Planos!$G83))&gt;0,MOD((ano_ref*12+7)-(YEAR(Planos!$G83)*12+MONTH(Planos!$G83)),MAX(1,IFERROR(INDEX(lst_frequencia_meses,MATCH(Planos!$E83,lst_frequencia,0)),0)))=0),"●","")))</f>
      </c>
      <c r="K84" s="43">
        <f>IF(NOT(Planos!$A83&lt;&gt;""),"",IF(COUNTIFS(Programação!$B$4:$B$503,Planos!$A83,Programação!$I$4:$I$503,"Concluído",Programação!$G$4:$G$503,"&gt;="&amp;DATE(ano_ref,8,1),Programação!$G$4:$G$503,"&lt;="&amp;EOMONTH(DATE(ano_ref,8,1),0))&gt;0,"✔",IF(AND(ISNUMBER(Planos!$G83),IFERROR(INDEX(lst_frequencia_meses,MATCH(Planos!$E83,lst_frequencia,0)),0)&gt;0,(ano_ref*12+8)-(YEAR(Planos!$G83)*12+MONTH(Planos!$G83))&gt;0,MOD((ano_ref*12+8)-(YEAR(Planos!$G83)*12+MONTH(Planos!$G83)),MAX(1,IFERROR(INDEX(lst_frequencia_meses,MATCH(Planos!$E83,lst_frequencia,0)),0)))=0),"●","")))</f>
      </c>
      <c r="L84" s="43">
        <f>IF(NOT(Planos!$A83&lt;&gt;""),"",IF(COUNTIFS(Programação!$B$4:$B$503,Planos!$A83,Programação!$I$4:$I$503,"Concluído",Programação!$G$4:$G$503,"&gt;="&amp;DATE(ano_ref,9,1),Programação!$G$4:$G$503,"&lt;="&amp;EOMONTH(DATE(ano_ref,9,1),0))&gt;0,"✔",IF(AND(ISNUMBER(Planos!$G83),IFERROR(INDEX(lst_frequencia_meses,MATCH(Planos!$E83,lst_frequencia,0)),0)&gt;0,(ano_ref*12+9)-(YEAR(Planos!$G83)*12+MONTH(Planos!$G83))&gt;0,MOD((ano_ref*12+9)-(YEAR(Planos!$G83)*12+MONTH(Planos!$G83)),MAX(1,IFERROR(INDEX(lst_frequencia_meses,MATCH(Planos!$E83,lst_frequencia,0)),0)))=0),"●","")))</f>
      </c>
      <c r="M84" s="43">
        <f>IF(NOT(Planos!$A83&lt;&gt;""),"",IF(COUNTIFS(Programação!$B$4:$B$503,Planos!$A83,Programação!$I$4:$I$503,"Concluído",Programação!$G$4:$G$503,"&gt;="&amp;DATE(ano_ref,10,1),Programação!$G$4:$G$503,"&lt;="&amp;EOMONTH(DATE(ano_ref,10,1),0))&gt;0,"✔",IF(AND(ISNUMBER(Planos!$G83),IFERROR(INDEX(lst_frequencia_meses,MATCH(Planos!$E83,lst_frequencia,0)),0)&gt;0,(ano_ref*12+10)-(YEAR(Planos!$G83)*12+MONTH(Planos!$G83))&gt;0,MOD((ano_ref*12+10)-(YEAR(Planos!$G83)*12+MONTH(Planos!$G83)),MAX(1,IFERROR(INDEX(lst_frequencia_meses,MATCH(Planos!$E83,lst_frequencia,0)),0)))=0),"●","")))</f>
      </c>
      <c r="N84" s="43">
        <f>IF(NOT(Planos!$A83&lt;&gt;""),"",IF(COUNTIFS(Programação!$B$4:$B$503,Planos!$A83,Programação!$I$4:$I$503,"Concluído",Programação!$G$4:$G$503,"&gt;="&amp;DATE(ano_ref,11,1),Programação!$G$4:$G$503,"&lt;="&amp;EOMONTH(DATE(ano_ref,11,1),0))&gt;0,"✔",IF(AND(ISNUMBER(Planos!$G83),IFERROR(INDEX(lst_frequencia_meses,MATCH(Planos!$E83,lst_frequencia,0)),0)&gt;0,(ano_ref*12+11)-(YEAR(Planos!$G83)*12+MONTH(Planos!$G83))&gt;0,MOD((ano_ref*12+11)-(YEAR(Planos!$G83)*12+MONTH(Planos!$G83)),MAX(1,IFERROR(INDEX(lst_frequencia_meses,MATCH(Planos!$E83,lst_frequencia,0)),0)))=0),"●","")))</f>
      </c>
      <c r="O84" s="43">
        <f>IF(NOT(Planos!$A83&lt;&gt;""),"",IF(COUNTIFS(Programação!$B$4:$B$503,Planos!$A83,Programação!$I$4:$I$503,"Concluído",Programação!$G$4:$G$503,"&gt;="&amp;DATE(ano_ref,12,1),Programação!$G$4:$G$503,"&lt;="&amp;EOMONTH(DATE(ano_ref,12,1),0))&gt;0,"✔",IF(AND(ISNUMBER(Planos!$G83),IFERROR(INDEX(lst_frequencia_meses,MATCH(Planos!$E83,lst_frequencia,0)),0)&gt;0,(ano_ref*12+12)-(YEAR(Planos!$G83)*12+MONTH(Planos!$G83))&gt;0,MOD((ano_ref*12+12)-(YEAR(Planos!$G83)*12+MONTH(Planos!$G83)),MAX(1,IFERROR(INDEX(lst_frequencia_meses,MATCH(Planos!$E83,lst_frequencia,0)),0)))=0),"●","")))</f>
      </c>
      <c r="P84" s="44">
        <f>IF(COUNTIF(D84:O84,"✔")+COUNTIF(D84:O84,"●")=0,"",COUNTIF(D84:O84,"✔")/(COUNTIF(D84:O84,"✔")+COUNTIF(D84:O84,"●")))</f>
      </c>
    </row>
    <row r="85" spans="1:16" x14ac:dyDescent="0.25">
      <c r="A85" s="43">
        <f>IF(Planos!$A84&lt;&gt;"",Planos!A84&amp;"","")</f>
      </c>
      <c r="B85" s="43">
        <f>IF(Planos!$A84&lt;&gt;"",Planos!B84&amp;"","")</f>
      </c>
      <c r="C85" s="24">
        <f>IF(Planos!$A84&lt;&gt;"",Planos!C84&amp;"","")</f>
      </c>
      <c r="D85" s="43">
        <f>IF(NOT(Planos!$A84&lt;&gt;""),"",IF(COUNTIFS(Programação!$B$4:$B$503,Planos!$A84,Programação!$I$4:$I$503,"Concluído",Programação!$G$4:$G$503,"&gt;="&amp;DATE(ano_ref,1,1),Programação!$G$4:$G$503,"&lt;="&amp;EOMONTH(DATE(ano_ref,1,1),0))&gt;0,"✔",IF(AND(ISNUMBER(Planos!$G84),IFERROR(INDEX(lst_frequencia_meses,MATCH(Planos!$E84,lst_frequencia,0)),0)&gt;0,(ano_ref*12+1)-(YEAR(Planos!$G84)*12+MONTH(Planos!$G84))&gt;0,MOD((ano_ref*12+1)-(YEAR(Planos!$G84)*12+MONTH(Planos!$G84)),MAX(1,IFERROR(INDEX(lst_frequencia_meses,MATCH(Planos!$E84,lst_frequencia,0)),0)))=0),"●","")))</f>
      </c>
      <c r="E85" s="43">
        <f>IF(NOT(Planos!$A84&lt;&gt;""),"",IF(COUNTIFS(Programação!$B$4:$B$503,Planos!$A84,Programação!$I$4:$I$503,"Concluído",Programação!$G$4:$G$503,"&gt;="&amp;DATE(ano_ref,2,1),Programação!$G$4:$G$503,"&lt;="&amp;EOMONTH(DATE(ano_ref,2,1),0))&gt;0,"✔",IF(AND(ISNUMBER(Planos!$G84),IFERROR(INDEX(lst_frequencia_meses,MATCH(Planos!$E84,lst_frequencia,0)),0)&gt;0,(ano_ref*12+2)-(YEAR(Planos!$G84)*12+MONTH(Planos!$G84))&gt;0,MOD((ano_ref*12+2)-(YEAR(Planos!$G84)*12+MONTH(Planos!$G84)),MAX(1,IFERROR(INDEX(lst_frequencia_meses,MATCH(Planos!$E84,lst_frequencia,0)),0)))=0),"●","")))</f>
      </c>
      <c r="F85" s="43">
        <f>IF(NOT(Planos!$A84&lt;&gt;""),"",IF(COUNTIFS(Programação!$B$4:$B$503,Planos!$A84,Programação!$I$4:$I$503,"Concluído",Programação!$G$4:$G$503,"&gt;="&amp;DATE(ano_ref,3,1),Programação!$G$4:$G$503,"&lt;="&amp;EOMONTH(DATE(ano_ref,3,1),0))&gt;0,"✔",IF(AND(ISNUMBER(Planos!$G84),IFERROR(INDEX(lst_frequencia_meses,MATCH(Planos!$E84,lst_frequencia,0)),0)&gt;0,(ano_ref*12+3)-(YEAR(Planos!$G84)*12+MONTH(Planos!$G84))&gt;0,MOD((ano_ref*12+3)-(YEAR(Planos!$G84)*12+MONTH(Planos!$G84)),MAX(1,IFERROR(INDEX(lst_frequencia_meses,MATCH(Planos!$E84,lst_frequencia,0)),0)))=0),"●","")))</f>
      </c>
      <c r="G85" s="43">
        <f>IF(NOT(Planos!$A84&lt;&gt;""),"",IF(COUNTIFS(Programação!$B$4:$B$503,Planos!$A84,Programação!$I$4:$I$503,"Concluído",Programação!$G$4:$G$503,"&gt;="&amp;DATE(ano_ref,4,1),Programação!$G$4:$G$503,"&lt;="&amp;EOMONTH(DATE(ano_ref,4,1),0))&gt;0,"✔",IF(AND(ISNUMBER(Planos!$G84),IFERROR(INDEX(lst_frequencia_meses,MATCH(Planos!$E84,lst_frequencia,0)),0)&gt;0,(ano_ref*12+4)-(YEAR(Planos!$G84)*12+MONTH(Planos!$G84))&gt;0,MOD((ano_ref*12+4)-(YEAR(Planos!$G84)*12+MONTH(Planos!$G84)),MAX(1,IFERROR(INDEX(lst_frequencia_meses,MATCH(Planos!$E84,lst_frequencia,0)),0)))=0),"●","")))</f>
      </c>
      <c r="H85" s="43">
        <f>IF(NOT(Planos!$A84&lt;&gt;""),"",IF(COUNTIFS(Programação!$B$4:$B$503,Planos!$A84,Programação!$I$4:$I$503,"Concluído",Programação!$G$4:$G$503,"&gt;="&amp;DATE(ano_ref,5,1),Programação!$G$4:$G$503,"&lt;="&amp;EOMONTH(DATE(ano_ref,5,1),0))&gt;0,"✔",IF(AND(ISNUMBER(Planos!$G84),IFERROR(INDEX(lst_frequencia_meses,MATCH(Planos!$E84,lst_frequencia,0)),0)&gt;0,(ano_ref*12+5)-(YEAR(Planos!$G84)*12+MONTH(Planos!$G84))&gt;0,MOD((ano_ref*12+5)-(YEAR(Planos!$G84)*12+MONTH(Planos!$G84)),MAX(1,IFERROR(INDEX(lst_frequencia_meses,MATCH(Planos!$E84,lst_frequencia,0)),0)))=0),"●","")))</f>
      </c>
      <c r="I85" s="43">
        <f>IF(NOT(Planos!$A84&lt;&gt;""),"",IF(COUNTIFS(Programação!$B$4:$B$503,Planos!$A84,Programação!$I$4:$I$503,"Concluído",Programação!$G$4:$G$503,"&gt;="&amp;DATE(ano_ref,6,1),Programação!$G$4:$G$503,"&lt;="&amp;EOMONTH(DATE(ano_ref,6,1),0))&gt;0,"✔",IF(AND(ISNUMBER(Planos!$G84),IFERROR(INDEX(lst_frequencia_meses,MATCH(Planos!$E84,lst_frequencia,0)),0)&gt;0,(ano_ref*12+6)-(YEAR(Planos!$G84)*12+MONTH(Planos!$G84))&gt;0,MOD((ano_ref*12+6)-(YEAR(Planos!$G84)*12+MONTH(Planos!$G84)),MAX(1,IFERROR(INDEX(lst_frequencia_meses,MATCH(Planos!$E84,lst_frequencia,0)),0)))=0),"●","")))</f>
      </c>
      <c r="J85" s="43">
        <f>IF(NOT(Planos!$A84&lt;&gt;""),"",IF(COUNTIFS(Programação!$B$4:$B$503,Planos!$A84,Programação!$I$4:$I$503,"Concluído",Programação!$G$4:$G$503,"&gt;="&amp;DATE(ano_ref,7,1),Programação!$G$4:$G$503,"&lt;="&amp;EOMONTH(DATE(ano_ref,7,1),0))&gt;0,"✔",IF(AND(ISNUMBER(Planos!$G84),IFERROR(INDEX(lst_frequencia_meses,MATCH(Planos!$E84,lst_frequencia,0)),0)&gt;0,(ano_ref*12+7)-(YEAR(Planos!$G84)*12+MONTH(Planos!$G84))&gt;0,MOD((ano_ref*12+7)-(YEAR(Planos!$G84)*12+MONTH(Planos!$G84)),MAX(1,IFERROR(INDEX(lst_frequencia_meses,MATCH(Planos!$E84,lst_frequencia,0)),0)))=0),"●","")))</f>
      </c>
      <c r="K85" s="43">
        <f>IF(NOT(Planos!$A84&lt;&gt;""),"",IF(COUNTIFS(Programação!$B$4:$B$503,Planos!$A84,Programação!$I$4:$I$503,"Concluído",Programação!$G$4:$G$503,"&gt;="&amp;DATE(ano_ref,8,1),Programação!$G$4:$G$503,"&lt;="&amp;EOMONTH(DATE(ano_ref,8,1),0))&gt;0,"✔",IF(AND(ISNUMBER(Planos!$G84),IFERROR(INDEX(lst_frequencia_meses,MATCH(Planos!$E84,lst_frequencia,0)),0)&gt;0,(ano_ref*12+8)-(YEAR(Planos!$G84)*12+MONTH(Planos!$G84))&gt;0,MOD((ano_ref*12+8)-(YEAR(Planos!$G84)*12+MONTH(Planos!$G84)),MAX(1,IFERROR(INDEX(lst_frequencia_meses,MATCH(Planos!$E84,lst_frequencia,0)),0)))=0),"●","")))</f>
      </c>
      <c r="L85" s="43">
        <f>IF(NOT(Planos!$A84&lt;&gt;""),"",IF(COUNTIFS(Programação!$B$4:$B$503,Planos!$A84,Programação!$I$4:$I$503,"Concluído",Programação!$G$4:$G$503,"&gt;="&amp;DATE(ano_ref,9,1),Programação!$G$4:$G$503,"&lt;="&amp;EOMONTH(DATE(ano_ref,9,1),0))&gt;0,"✔",IF(AND(ISNUMBER(Planos!$G84),IFERROR(INDEX(lst_frequencia_meses,MATCH(Planos!$E84,lst_frequencia,0)),0)&gt;0,(ano_ref*12+9)-(YEAR(Planos!$G84)*12+MONTH(Planos!$G84))&gt;0,MOD((ano_ref*12+9)-(YEAR(Planos!$G84)*12+MONTH(Planos!$G84)),MAX(1,IFERROR(INDEX(lst_frequencia_meses,MATCH(Planos!$E84,lst_frequencia,0)),0)))=0),"●","")))</f>
      </c>
      <c r="M85" s="43">
        <f>IF(NOT(Planos!$A84&lt;&gt;""),"",IF(COUNTIFS(Programação!$B$4:$B$503,Planos!$A84,Programação!$I$4:$I$503,"Concluído",Programação!$G$4:$G$503,"&gt;="&amp;DATE(ano_ref,10,1),Programação!$G$4:$G$503,"&lt;="&amp;EOMONTH(DATE(ano_ref,10,1),0))&gt;0,"✔",IF(AND(ISNUMBER(Planos!$G84),IFERROR(INDEX(lst_frequencia_meses,MATCH(Planos!$E84,lst_frequencia,0)),0)&gt;0,(ano_ref*12+10)-(YEAR(Planos!$G84)*12+MONTH(Planos!$G84))&gt;0,MOD((ano_ref*12+10)-(YEAR(Planos!$G84)*12+MONTH(Planos!$G84)),MAX(1,IFERROR(INDEX(lst_frequencia_meses,MATCH(Planos!$E84,lst_frequencia,0)),0)))=0),"●","")))</f>
      </c>
      <c r="N85" s="43">
        <f>IF(NOT(Planos!$A84&lt;&gt;""),"",IF(COUNTIFS(Programação!$B$4:$B$503,Planos!$A84,Programação!$I$4:$I$503,"Concluído",Programação!$G$4:$G$503,"&gt;="&amp;DATE(ano_ref,11,1),Programação!$G$4:$G$503,"&lt;="&amp;EOMONTH(DATE(ano_ref,11,1),0))&gt;0,"✔",IF(AND(ISNUMBER(Planos!$G84),IFERROR(INDEX(lst_frequencia_meses,MATCH(Planos!$E84,lst_frequencia,0)),0)&gt;0,(ano_ref*12+11)-(YEAR(Planos!$G84)*12+MONTH(Planos!$G84))&gt;0,MOD((ano_ref*12+11)-(YEAR(Planos!$G84)*12+MONTH(Planos!$G84)),MAX(1,IFERROR(INDEX(lst_frequencia_meses,MATCH(Planos!$E84,lst_frequencia,0)),0)))=0),"●","")))</f>
      </c>
      <c r="O85" s="43">
        <f>IF(NOT(Planos!$A84&lt;&gt;""),"",IF(COUNTIFS(Programação!$B$4:$B$503,Planos!$A84,Programação!$I$4:$I$503,"Concluído",Programação!$G$4:$G$503,"&gt;="&amp;DATE(ano_ref,12,1),Programação!$G$4:$G$503,"&lt;="&amp;EOMONTH(DATE(ano_ref,12,1),0))&gt;0,"✔",IF(AND(ISNUMBER(Planos!$G84),IFERROR(INDEX(lst_frequencia_meses,MATCH(Planos!$E84,lst_frequencia,0)),0)&gt;0,(ano_ref*12+12)-(YEAR(Planos!$G84)*12+MONTH(Planos!$G84))&gt;0,MOD((ano_ref*12+12)-(YEAR(Planos!$G84)*12+MONTH(Planos!$G84)),MAX(1,IFERROR(INDEX(lst_frequencia_meses,MATCH(Planos!$E84,lst_frequencia,0)),0)))=0),"●","")))</f>
      </c>
      <c r="P85" s="44">
        <f>IF(COUNTIF(D85:O85,"✔")+COUNTIF(D85:O85,"●")=0,"",COUNTIF(D85:O85,"✔")/(COUNTIF(D85:O85,"✔")+COUNTIF(D85:O85,"●")))</f>
      </c>
    </row>
    <row r="86" spans="1:16" x14ac:dyDescent="0.25">
      <c r="A86" s="43">
        <f>IF(Planos!$A85&lt;&gt;"",Planos!A85&amp;"","")</f>
      </c>
      <c r="B86" s="43">
        <f>IF(Planos!$A85&lt;&gt;"",Planos!B85&amp;"","")</f>
      </c>
      <c r="C86" s="24">
        <f>IF(Planos!$A85&lt;&gt;"",Planos!C85&amp;"","")</f>
      </c>
      <c r="D86" s="43">
        <f>IF(NOT(Planos!$A85&lt;&gt;""),"",IF(COUNTIFS(Programação!$B$4:$B$503,Planos!$A85,Programação!$I$4:$I$503,"Concluído",Programação!$G$4:$G$503,"&gt;="&amp;DATE(ano_ref,1,1),Programação!$G$4:$G$503,"&lt;="&amp;EOMONTH(DATE(ano_ref,1,1),0))&gt;0,"✔",IF(AND(ISNUMBER(Planos!$G85),IFERROR(INDEX(lst_frequencia_meses,MATCH(Planos!$E85,lst_frequencia,0)),0)&gt;0,(ano_ref*12+1)-(YEAR(Planos!$G85)*12+MONTH(Planos!$G85))&gt;0,MOD((ano_ref*12+1)-(YEAR(Planos!$G85)*12+MONTH(Planos!$G85)),MAX(1,IFERROR(INDEX(lst_frequencia_meses,MATCH(Planos!$E85,lst_frequencia,0)),0)))=0),"●","")))</f>
      </c>
      <c r="E86" s="43">
        <f>IF(NOT(Planos!$A85&lt;&gt;""),"",IF(COUNTIFS(Programação!$B$4:$B$503,Planos!$A85,Programação!$I$4:$I$503,"Concluído",Programação!$G$4:$G$503,"&gt;="&amp;DATE(ano_ref,2,1),Programação!$G$4:$G$503,"&lt;="&amp;EOMONTH(DATE(ano_ref,2,1),0))&gt;0,"✔",IF(AND(ISNUMBER(Planos!$G85),IFERROR(INDEX(lst_frequencia_meses,MATCH(Planos!$E85,lst_frequencia,0)),0)&gt;0,(ano_ref*12+2)-(YEAR(Planos!$G85)*12+MONTH(Planos!$G85))&gt;0,MOD((ano_ref*12+2)-(YEAR(Planos!$G85)*12+MONTH(Planos!$G85)),MAX(1,IFERROR(INDEX(lst_frequencia_meses,MATCH(Planos!$E85,lst_frequencia,0)),0)))=0),"●","")))</f>
      </c>
      <c r="F86" s="43">
        <f>IF(NOT(Planos!$A85&lt;&gt;""),"",IF(COUNTIFS(Programação!$B$4:$B$503,Planos!$A85,Programação!$I$4:$I$503,"Concluído",Programação!$G$4:$G$503,"&gt;="&amp;DATE(ano_ref,3,1),Programação!$G$4:$G$503,"&lt;="&amp;EOMONTH(DATE(ano_ref,3,1),0))&gt;0,"✔",IF(AND(ISNUMBER(Planos!$G85),IFERROR(INDEX(lst_frequencia_meses,MATCH(Planos!$E85,lst_frequencia,0)),0)&gt;0,(ano_ref*12+3)-(YEAR(Planos!$G85)*12+MONTH(Planos!$G85))&gt;0,MOD((ano_ref*12+3)-(YEAR(Planos!$G85)*12+MONTH(Planos!$G85)),MAX(1,IFERROR(INDEX(lst_frequencia_meses,MATCH(Planos!$E85,lst_frequencia,0)),0)))=0),"●","")))</f>
      </c>
      <c r="G86" s="43">
        <f>IF(NOT(Planos!$A85&lt;&gt;""),"",IF(COUNTIFS(Programação!$B$4:$B$503,Planos!$A85,Programação!$I$4:$I$503,"Concluído",Programação!$G$4:$G$503,"&gt;="&amp;DATE(ano_ref,4,1),Programação!$G$4:$G$503,"&lt;="&amp;EOMONTH(DATE(ano_ref,4,1),0))&gt;0,"✔",IF(AND(ISNUMBER(Planos!$G85),IFERROR(INDEX(lst_frequencia_meses,MATCH(Planos!$E85,lst_frequencia,0)),0)&gt;0,(ano_ref*12+4)-(YEAR(Planos!$G85)*12+MONTH(Planos!$G85))&gt;0,MOD((ano_ref*12+4)-(YEAR(Planos!$G85)*12+MONTH(Planos!$G85)),MAX(1,IFERROR(INDEX(lst_frequencia_meses,MATCH(Planos!$E85,lst_frequencia,0)),0)))=0),"●","")))</f>
      </c>
      <c r="H86" s="43">
        <f>IF(NOT(Planos!$A85&lt;&gt;""),"",IF(COUNTIFS(Programação!$B$4:$B$503,Planos!$A85,Programação!$I$4:$I$503,"Concluído",Programação!$G$4:$G$503,"&gt;="&amp;DATE(ano_ref,5,1),Programação!$G$4:$G$503,"&lt;="&amp;EOMONTH(DATE(ano_ref,5,1),0))&gt;0,"✔",IF(AND(ISNUMBER(Planos!$G85),IFERROR(INDEX(lst_frequencia_meses,MATCH(Planos!$E85,lst_frequencia,0)),0)&gt;0,(ano_ref*12+5)-(YEAR(Planos!$G85)*12+MONTH(Planos!$G85))&gt;0,MOD((ano_ref*12+5)-(YEAR(Planos!$G85)*12+MONTH(Planos!$G85)),MAX(1,IFERROR(INDEX(lst_frequencia_meses,MATCH(Planos!$E85,lst_frequencia,0)),0)))=0),"●","")))</f>
      </c>
      <c r="I86" s="43">
        <f>IF(NOT(Planos!$A85&lt;&gt;""),"",IF(COUNTIFS(Programação!$B$4:$B$503,Planos!$A85,Programação!$I$4:$I$503,"Concluído",Programação!$G$4:$G$503,"&gt;="&amp;DATE(ano_ref,6,1),Programação!$G$4:$G$503,"&lt;="&amp;EOMONTH(DATE(ano_ref,6,1),0))&gt;0,"✔",IF(AND(ISNUMBER(Planos!$G85),IFERROR(INDEX(lst_frequencia_meses,MATCH(Planos!$E85,lst_frequencia,0)),0)&gt;0,(ano_ref*12+6)-(YEAR(Planos!$G85)*12+MONTH(Planos!$G85))&gt;0,MOD((ano_ref*12+6)-(YEAR(Planos!$G85)*12+MONTH(Planos!$G85)),MAX(1,IFERROR(INDEX(lst_frequencia_meses,MATCH(Planos!$E85,lst_frequencia,0)),0)))=0),"●","")))</f>
      </c>
      <c r="J86" s="43">
        <f>IF(NOT(Planos!$A85&lt;&gt;""),"",IF(COUNTIFS(Programação!$B$4:$B$503,Planos!$A85,Programação!$I$4:$I$503,"Concluído",Programação!$G$4:$G$503,"&gt;="&amp;DATE(ano_ref,7,1),Programação!$G$4:$G$503,"&lt;="&amp;EOMONTH(DATE(ano_ref,7,1),0))&gt;0,"✔",IF(AND(ISNUMBER(Planos!$G85),IFERROR(INDEX(lst_frequencia_meses,MATCH(Planos!$E85,lst_frequencia,0)),0)&gt;0,(ano_ref*12+7)-(YEAR(Planos!$G85)*12+MONTH(Planos!$G85))&gt;0,MOD((ano_ref*12+7)-(YEAR(Planos!$G85)*12+MONTH(Planos!$G85)),MAX(1,IFERROR(INDEX(lst_frequencia_meses,MATCH(Planos!$E85,lst_frequencia,0)),0)))=0),"●","")))</f>
      </c>
      <c r="K86" s="43">
        <f>IF(NOT(Planos!$A85&lt;&gt;""),"",IF(COUNTIFS(Programação!$B$4:$B$503,Planos!$A85,Programação!$I$4:$I$503,"Concluído",Programação!$G$4:$G$503,"&gt;="&amp;DATE(ano_ref,8,1),Programação!$G$4:$G$503,"&lt;="&amp;EOMONTH(DATE(ano_ref,8,1),0))&gt;0,"✔",IF(AND(ISNUMBER(Planos!$G85),IFERROR(INDEX(lst_frequencia_meses,MATCH(Planos!$E85,lst_frequencia,0)),0)&gt;0,(ano_ref*12+8)-(YEAR(Planos!$G85)*12+MONTH(Planos!$G85))&gt;0,MOD((ano_ref*12+8)-(YEAR(Planos!$G85)*12+MONTH(Planos!$G85)),MAX(1,IFERROR(INDEX(lst_frequencia_meses,MATCH(Planos!$E85,lst_frequencia,0)),0)))=0),"●","")))</f>
      </c>
      <c r="L86" s="43">
        <f>IF(NOT(Planos!$A85&lt;&gt;""),"",IF(COUNTIFS(Programação!$B$4:$B$503,Planos!$A85,Programação!$I$4:$I$503,"Concluído",Programação!$G$4:$G$503,"&gt;="&amp;DATE(ano_ref,9,1),Programação!$G$4:$G$503,"&lt;="&amp;EOMONTH(DATE(ano_ref,9,1),0))&gt;0,"✔",IF(AND(ISNUMBER(Planos!$G85),IFERROR(INDEX(lst_frequencia_meses,MATCH(Planos!$E85,lst_frequencia,0)),0)&gt;0,(ano_ref*12+9)-(YEAR(Planos!$G85)*12+MONTH(Planos!$G85))&gt;0,MOD((ano_ref*12+9)-(YEAR(Planos!$G85)*12+MONTH(Planos!$G85)),MAX(1,IFERROR(INDEX(lst_frequencia_meses,MATCH(Planos!$E85,lst_frequencia,0)),0)))=0),"●","")))</f>
      </c>
      <c r="M86" s="43">
        <f>IF(NOT(Planos!$A85&lt;&gt;""),"",IF(COUNTIFS(Programação!$B$4:$B$503,Planos!$A85,Programação!$I$4:$I$503,"Concluído",Programação!$G$4:$G$503,"&gt;="&amp;DATE(ano_ref,10,1),Programação!$G$4:$G$503,"&lt;="&amp;EOMONTH(DATE(ano_ref,10,1),0))&gt;0,"✔",IF(AND(ISNUMBER(Planos!$G85),IFERROR(INDEX(lst_frequencia_meses,MATCH(Planos!$E85,lst_frequencia,0)),0)&gt;0,(ano_ref*12+10)-(YEAR(Planos!$G85)*12+MONTH(Planos!$G85))&gt;0,MOD((ano_ref*12+10)-(YEAR(Planos!$G85)*12+MONTH(Planos!$G85)),MAX(1,IFERROR(INDEX(lst_frequencia_meses,MATCH(Planos!$E85,lst_frequencia,0)),0)))=0),"●","")))</f>
      </c>
      <c r="N86" s="43">
        <f>IF(NOT(Planos!$A85&lt;&gt;""),"",IF(COUNTIFS(Programação!$B$4:$B$503,Planos!$A85,Programação!$I$4:$I$503,"Concluído",Programação!$G$4:$G$503,"&gt;="&amp;DATE(ano_ref,11,1),Programação!$G$4:$G$503,"&lt;="&amp;EOMONTH(DATE(ano_ref,11,1),0))&gt;0,"✔",IF(AND(ISNUMBER(Planos!$G85),IFERROR(INDEX(lst_frequencia_meses,MATCH(Planos!$E85,lst_frequencia,0)),0)&gt;0,(ano_ref*12+11)-(YEAR(Planos!$G85)*12+MONTH(Planos!$G85))&gt;0,MOD((ano_ref*12+11)-(YEAR(Planos!$G85)*12+MONTH(Planos!$G85)),MAX(1,IFERROR(INDEX(lst_frequencia_meses,MATCH(Planos!$E85,lst_frequencia,0)),0)))=0),"●","")))</f>
      </c>
      <c r="O86" s="43">
        <f>IF(NOT(Planos!$A85&lt;&gt;""),"",IF(COUNTIFS(Programação!$B$4:$B$503,Planos!$A85,Programação!$I$4:$I$503,"Concluído",Programação!$G$4:$G$503,"&gt;="&amp;DATE(ano_ref,12,1),Programação!$G$4:$G$503,"&lt;="&amp;EOMONTH(DATE(ano_ref,12,1),0))&gt;0,"✔",IF(AND(ISNUMBER(Planos!$G85),IFERROR(INDEX(lst_frequencia_meses,MATCH(Planos!$E85,lst_frequencia,0)),0)&gt;0,(ano_ref*12+12)-(YEAR(Planos!$G85)*12+MONTH(Planos!$G85))&gt;0,MOD((ano_ref*12+12)-(YEAR(Planos!$G85)*12+MONTH(Planos!$G85)),MAX(1,IFERROR(INDEX(lst_frequencia_meses,MATCH(Planos!$E85,lst_frequencia,0)),0)))=0),"●","")))</f>
      </c>
      <c r="P86" s="44">
        <f>IF(COUNTIF(D86:O86,"✔")+COUNTIF(D86:O86,"●")=0,"",COUNTIF(D86:O86,"✔")/(COUNTIF(D86:O86,"✔")+COUNTIF(D86:O86,"●")))</f>
      </c>
    </row>
    <row r="87" spans="1:16" x14ac:dyDescent="0.25">
      <c r="A87" s="43">
        <f>IF(Planos!$A86&lt;&gt;"",Planos!A86&amp;"","")</f>
      </c>
      <c r="B87" s="43">
        <f>IF(Planos!$A86&lt;&gt;"",Planos!B86&amp;"","")</f>
      </c>
      <c r="C87" s="24">
        <f>IF(Planos!$A86&lt;&gt;"",Planos!C86&amp;"","")</f>
      </c>
      <c r="D87" s="43">
        <f>IF(NOT(Planos!$A86&lt;&gt;""),"",IF(COUNTIFS(Programação!$B$4:$B$503,Planos!$A86,Programação!$I$4:$I$503,"Concluído",Programação!$G$4:$G$503,"&gt;="&amp;DATE(ano_ref,1,1),Programação!$G$4:$G$503,"&lt;="&amp;EOMONTH(DATE(ano_ref,1,1),0))&gt;0,"✔",IF(AND(ISNUMBER(Planos!$G86),IFERROR(INDEX(lst_frequencia_meses,MATCH(Planos!$E86,lst_frequencia,0)),0)&gt;0,(ano_ref*12+1)-(YEAR(Planos!$G86)*12+MONTH(Planos!$G86))&gt;0,MOD((ano_ref*12+1)-(YEAR(Planos!$G86)*12+MONTH(Planos!$G86)),MAX(1,IFERROR(INDEX(lst_frequencia_meses,MATCH(Planos!$E86,lst_frequencia,0)),0)))=0),"●","")))</f>
      </c>
      <c r="E87" s="43">
        <f>IF(NOT(Planos!$A86&lt;&gt;""),"",IF(COUNTIFS(Programação!$B$4:$B$503,Planos!$A86,Programação!$I$4:$I$503,"Concluído",Programação!$G$4:$G$503,"&gt;="&amp;DATE(ano_ref,2,1),Programação!$G$4:$G$503,"&lt;="&amp;EOMONTH(DATE(ano_ref,2,1),0))&gt;0,"✔",IF(AND(ISNUMBER(Planos!$G86),IFERROR(INDEX(lst_frequencia_meses,MATCH(Planos!$E86,lst_frequencia,0)),0)&gt;0,(ano_ref*12+2)-(YEAR(Planos!$G86)*12+MONTH(Planos!$G86))&gt;0,MOD((ano_ref*12+2)-(YEAR(Planos!$G86)*12+MONTH(Planos!$G86)),MAX(1,IFERROR(INDEX(lst_frequencia_meses,MATCH(Planos!$E86,lst_frequencia,0)),0)))=0),"●","")))</f>
      </c>
      <c r="F87" s="43">
        <f>IF(NOT(Planos!$A86&lt;&gt;""),"",IF(COUNTIFS(Programação!$B$4:$B$503,Planos!$A86,Programação!$I$4:$I$503,"Concluído",Programação!$G$4:$G$503,"&gt;="&amp;DATE(ano_ref,3,1),Programação!$G$4:$G$503,"&lt;="&amp;EOMONTH(DATE(ano_ref,3,1),0))&gt;0,"✔",IF(AND(ISNUMBER(Planos!$G86),IFERROR(INDEX(lst_frequencia_meses,MATCH(Planos!$E86,lst_frequencia,0)),0)&gt;0,(ano_ref*12+3)-(YEAR(Planos!$G86)*12+MONTH(Planos!$G86))&gt;0,MOD((ano_ref*12+3)-(YEAR(Planos!$G86)*12+MONTH(Planos!$G86)),MAX(1,IFERROR(INDEX(lst_frequencia_meses,MATCH(Planos!$E86,lst_frequencia,0)),0)))=0),"●","")))</f>
      </c>
      <c r="G87" s="43">
        <f>IF(NOT(Planos!$A86&lt;&gt;""),"",IF(COUNTIFS(Programação!$B$4:$B$503,Planos!$A86,Programação!$I$4:$I$503,"Concluído",Programação!$G$4:$G$503,"&gt;="&amp;DATE(ano_ref,4,1),Programação!$G$4:$G$503,"&lt;="&amp;EOMONTH(DATE(ano_ref,4,1),0))&gt;0,"✔",IF(AND(ISNUMBER(Planos!$G86),IFERROR(INDEX(lst_frequencia_meses,MATCH(Planos!$E86,lst_frequencia,0)),0)&gt;0,(ano_ref*12+4)-(YEAR(Planos!$G86)*12+MONTH(Planos!$G86))&gt;0,MOD((ano_ref*12+4)-(YEAR(Planos!$G86)*12+MONTH(Planos!$G86)),MAX(1,IFERROR(INDEX(lst_frequencia_meses,MATCH(Planos!$E86,lst_frequencia,0)),0)))=0),"●","")))</f>
      </c>
      <c r="H87" s="43">
        <f>IF(NOT(Planos!$A86&lt;&gt;""),"",IF(COUNTIFS(Programação!$B$4:$B$503,Planos!$A86,Programação!$I$4:$I$503,"Concluído",Programação!$G$4:$G$503,"&gt;="&amp;DATE(ano_ref,5,1),Programação!$G$4:$G$503,"&lt;="&amp;EOMONTH(DATE(ano_ref,5,1),0))&gt;0,"✔",IF(AND(ISNUMBER(Planos!$G86),IFERROR(INDEX(lst_frequencia_meses,MATCH(Planos!$E86,lst_frequencia,0)),0)&gt;0,(ano_ref*12+5)-(YEAR(Planos!$G86)*12+MONTH(Planos!$G86))&gt;0,MOD((ano_ref*12+5)-(YEAR(Planos!$G86)*12+MONTH(Planos!$G86)),MAX(1,IFERROR(INDEX(lst_frequencia_meses,MATCH(Planos!$E86,lst_frequencia,0)),0)))=0),"●","")))</f>
      </c>
      <c r="I87" s="43">
        <f>IF(NOT(Planos!$A86&lt;&gt;""),"",IF(COUNTIFS(Programação!$B$4:$B$503,Planos!$A86,Programação!$I$4:$I$503,"Concluído",Programação!$G$4:$G$503,"&gt;="&amp;DATE(ano_ref,6,1),Programação!$G$4:$G$503,"&lt;="&amp;EOMONTH(DATE(ano_ref,6,1),0))&gt;0,"✔",IF(AND(ISNUMBER(Planos!$G86),IFERROR(INDEX(lst_frequencia_meses,MATCH(Planos!$E86,lst_frequencia,0)),0)&gt;0,(ano_ref*12+6)-(YEAR(Planos!$G86)*12+MONTH(Planos!$G86))&gt;0,MOD((ano_ref*12+6)-(YEAR(Planos!$G86)*12+MONTH(Planos!$G86)),MAX(1,IFERROR(INDEX(lst_frequencia_meses,MATCH(Planos!$E86,lst_frequencia,0)),0)))=0),"●","")))</f>
      </c>
      <c r="J87" s="43">
        <f>IF(NOT(Planos!$A86&lt;&gt;""),"",IF(COUNTIFS(Programação!$B$4:$B$503,Planos!$A86,Programação!$I$4:$I$503,"Concluído",Programação!$G$4:$G$503,"&gt;="&amp;DATE(ano_ref,7,1),Programação!$G$4:$G$503,"&lt;="&amp;EOMONTH(DATE(ano_ref,7,1),0))&gt;0,"✔",IF(AND(ISNUMBER(Planos!$G86),IFERROR(INDEX(lst_frequencia_meses,MATCH(Planos!$E86,lst_frequencia,0)),0)&gt;0,(ano_ref*12+7)-(YEAR(Planos!$G86)*12+MONTH(Planos!$G86))&gt;0,MOD((ano_ref*12+7)-(YEAR(Planos!$G86)*12+MONTH(Planos!$G86)),MAX(1,IFERROR(INDEX(lst_frequencia_meses,MATCH(Planos!$E86,lst_frequencia,0)),0)))=0),"●","")))</f>
      </c>
      <c r="K87" s="43">
        <f>IF(NOT(Planos!$A86&lt;&gt;""),"",IF(COUNTIFS(Programação!$B$4:$B$503,Planos!$A86,Programação!$I$4:$I$503,"Concluído",Programação!$G$4:$G$503,"&gt;="&amp;DATE(ano_ref,8,1),Programação!$G$4:$G$503,"&lt;="&amp;EOMONTH(DATE(ano_ref,8,1),0))&gt;0,"✔",IF(AND(ISNUMBER(Planos!$G86),IFERROR(INDEX(lst_frequencia_meses,MATCH(Planos!$E86,lst_frequencia,0)),0)&gt;0,(ano_ref*12+8)-(YEAR(Planos!$G86)*12+MONTH(Planos!$G86))&gt;0,MOD((ano_ref*12+8)-(YEAR(Planos!$G86)*12+MONTH(Planos!$G86)),MAX(1,IFERROR(INDEX(lst_frequencia_meses,MATCH(Planos!$E86,lst_frequencia,0)),0)))=0),"●","")))</f>
      </c>
      <c r="L87" s="43">
        <f>IF(NOT(Planos!$A86&lt;&gt;""),"",IF(COUNTIFS(Programação!$B$4:$B$503,Planos!$A86,Programação!$I$4:$I$503,"Concluído",Programação!$G$4:$G$503,"&gt;="&amp;DATE(ano_ref,9,1),Programação!$G$4:$G$503,"&lt;="&amp;EOMONTH(DATE(ano_ref,9,1),0))&gt;0,"✔",IF(AND(ISNUMBER(Planos!$G86),IFERROR(INDEX(lst_frequencia_meses,MATCH(Planos!$E86,lst_frequencia,0)),0)&gt;0,(ano_ref*12+9)-(YEAR(Planos!$G86)*12+MONTH(Planos!$G86))&gt;0,MOD((ano_ref*12+9)-(YEAR(Planos!$G86)*12+MONTH(Planos!$G86)),MAX(1,IFERROR(INDEX(lst_frequencia_meses,MATCH(Planos!$E86,lst_frequencia,0)),0)))=0),"●","")))</f>
      </c>
      <c r="M87" s="43">
        <f>IF(NOT(Planos!$A86&lt;&gt;""),"",IF(COUNTIFS(Programação!$B$4:$B$503,Planos!$A86,Programação!$I$4:$I$503,"Concluído",Programação!$G$4:$G$503,"&gt;="&amp;DATE(ano_ref,10,1),Programação!$G$4:$G$503,"&lt;="&amp;EOMONTH(DATE(ano_ref,10,1),0))&gt;0,"✔",IF(AND(ISNUMBER(Planos!$G86),IFERROR(INDEX(lst_frequencia_meses,MATCH(Planos!$E86,lst_frequencia,0)),0)&gt;0,(ano_ref*12+10)-(YEAR(Planos!$G86)*12+MONTH(Planos!$G86))&gt;0,MOD((ano_ref*12+10)-(YEAR(Planos!$G86)*12+MONTH(Planos!$G86)),MAX(1,IFERROR(INDEX(lst_frequencia_meses,MATCH(Planos!$E86,lst_frequencia,0)),0)))=0),"●","")))</f>
      </c>
      <c r="N87" s="43">
        <f>IF(NOT(Planos!$A86&lt;&gt;""),"",IF(COUNTIFS(Programação!$B$4:$B$503,Planos!$A86,Programação!$I$4:$I$503,"Concluído",Programação!$G$4:$G$503,"&gt;="&amp;DATE(ano_ref,11,1),Programação!$G$4:$G$503,"&lt;="&amp;EOMONTH(DATE(ano_ref,11,1),0))&gt;0,"✔",IF(AND(ISNUMBER(Planos!$G86),IFERROR(INDEX(lst_frequencia_meses,MATCH(Planos!$E86,lst_frequencia,0)),0)&gt;0,(ano_ref*12+11)-(YEAR(Planos!$G86)*12+MONTH(Planos!$G86))&gt;0,MOD((ano_ref*12+11)-(YEAR(Planos!$G86)*12+MONTH(Planos!$G86)),MAX(1,IFERROR(INDEX(lst_frequencia_meses,MATCH(Planos!$E86,lst_frequencia,0)),0)))=0),"●","")))</f>
      </c>
      <c r="O87" s="43">
        <f>IF(NOT(Planos!$A86&lt;&gt;""),"",IF(COUNTIFS(Programação!$B$4:$B$503,Planos!$A86,Programação!$I$4:$I$503,"Concluído",Programação!$G$4:$G$503,"&gt;="&amp;DATE(ano_ref,12,1),Programação!$G$4:$G$503,"&lt;="&amp;EOMONTH(DATE(ano_ref,12,1),0))&gt;0,"✔",IF(AND(ISNUMBER(Planos!$G86),IFERROR(INDEX(lst_frequencia_meses,MATCH(Planos!$E86,lst_frequencia,0)),0)&gt;0,(ano_ref*12+12)-(YEAR(Planos!$G86)*12+MONTH(Planos!$G86))&gt;0,MOD((ano_ref*12+12)-(YEAR(Planos!$G86)*12+MONTH(Planos!$G86)),MAX(1,IFERROR(INDEX(lst_frequencia_meses,MATCH(Planos!$E86,lst_frequencia,0)),0)))=0),"●","")))</f>
      </c>
      <c r="P87" s="44">
        <f>IF(COUNTIF(D87:O87,"✔")+COUNTIF(D87:O87,"●")=0,"",COUNTIF(D87:O87,"✔")/(COUNTIF(D87:O87,"✔")+COUNTIF(D87:O87,"●")))</f>
      </c>
    </row>
    <row r="88" spans="1:16" x14ac:dyDescent="0.25">
      <c r="A88" s="43">
        <f>IF(Planos!$A87&lt;&gt;"",Planos!A87&amp;"","")</f>
      </c>
      <c r="B88" s="43">
        <f>IF(Planos!$A87&lt;&gt;"",Planos!B87&amp;"","")</f>
      </c>
      <c r="C88" s="24">
        <f>IF(Planos!$A87&lt;&gt;"",Planos!C87&amp;"","")</f>
      </c>
      <c r="D88" s="43">
        <f>IF(NOT(Planos!$A87&lt;&gt;""),"",IF(COUNTIFS(Programação!$B$4:$B$503,Planos!$A87,Programação!$I$4:$I$503,"Concluído",Programação!$G$4:$G$503,"&gt;="&amp;DATE(ano_ref,1,1),Programação!$G$4:$G$503,"&lt;="&amp;EOMONTH(DATE(ano_ref,1,1),0))&gt;0,"✔",IF(AND(ISNUMBER(Planos!$G87),IFERROR(INDEX(lst_frequencia_meses,MATCH(Planos!$E87,lst_frequencia,0)),0)&gt;0,(ano_ref*12+1)-(YEAR(Planos!$G87)*12+MONTH(Planos!$G87))&gt;0,MOD((ano_ref*12+1)-(YEAR(Planos!$G87)*12+MONTH(Planos!$G87)),MAX(1,IFERROR(INDEX(lst_frequencia_meses,MATCH(Planos!$E87,lst_frequencia,0)),0)))=0),"●","")))</f>
      </c>
      <c r="E88" s="43">
        <f>IF(NOT(Planos!$A87&lt;&gt;""),"",IF(COUNTIFS(Programação!$B$4:$B$503,Planos!$A87,Programação!$I$4:$I$503,"Concluído",Programação!$G$4:$G$503,"&gt;="&amp;DATE(ano_ref,2,1),Programação!$G$4:$G$503,"&lt;="&amp;EOMONTH(DATE(ano_ref,2,1),0))&gt;0,"✔",IF(AND(ISNUMBER(Planos!$G87),IFERROR(INDEX(lst_frequencia_meses,MATCH(Planos!$E87,lst_frequencia,0)),0)&gt;0,(ano_ref*12+2)-(YEAR(Planos!$G87)*12+MONTH(Planos!$G87))&gt;0,MOD((ano_ref*12+2)-(YEAR(Planos!$G87)*12+MONTH(Planos!$G87)),MAX(1,IFERROR(INDEX(lst_frequencia_meses,MATCH(Planos!$E87,lst_frequencia,0)),0)))=0),"●","")))</f>
      </c>
      <c r="F88" s="43">
        <f>IF(NOT(Planos!$A87&lt;&gt;""),"",IF(COUNTIFS(Programação!$B$4:$B$503,Planos!$A87,Programação!$I$4:$I$503,"Concluído",Programação!$G$4:$G$503,"&gt;="&amp;DATE(ano_ref,3,1),Programação!$G$4:$G$503,"&lt;="&amp;EOMONTH(DATE(ano_ref,3,1),0))&gt;0,"✔",IF(AND(ISNUMBER(Planos!$G87),IFERROR(INDEX(lst_frequencia_meses,MATCH(Planos!$E87,lst_frequencia,0)),0)&gt;0,(ano_ref*12+3)-(YEAR(Planos!$G87)*12+MONTH(Planos!$G87))&gt;0,MOD((ano_ref*12+3)-(YEAR(Planos!$G87)*12+MONTH(Planos!$G87)),MAX(1,IFERROR(INDEX(lst_frequencia_meses,MATCH(Planos!$E87,lst_frequencia,0)),0)))=0),"●","")))</f>
      </c>
      <c r="G88" s="43">
        <f>IF(NOT(Planos!$A87&lt;&gt;""),"",IF(COUNTIFS(Programação!$B$4:$B$503,Planos!$A87,Programação!$I$4:$I$503,"Concluído",Programação!$G$4:$G$503,"&gt;="&amp;DATE(ano_ref,4,1),Programação!$G$4:$G$503,"&lt;="&amp;EOMONTH(DATE(ano_ref,4,1),0))&gt;0,"✔",IF(AND(ISNUMBER(Planos!$G87),IFERROR(INDEX(lst_frequencia_meses,MATCH(Planos!$E87,lst_frequencia,0)),0)&gt;0,(ano_ref*12+4)-(YEAR(Planos!$G87)*12+MONTH(Planos!$G87))&gt;0,MOD((ano_ref*12+4)-(YEAR(Planos!$G87)*12+MONTH(Planos!$G87)),MAX(1,IFERROR(INDEX(lst_frequencia_meses,MATCH(Planos!$E87,lst_frequencia,0)),0)))=0),"●","")))</f>
      </c>
      <c r="H88" s="43">
        <f>IF(NOT(Planos!$A87&lt;&gt;""),"",IF(COUNTIFS(Programação!$B$4:$B$503,Planos!$A87,Programação!$I$4:$I$503,"Concluído",Programação!$G$4:$G$503,"&gt;="&amp;DATE(ano_ref,5,1),Programação!$G$4:$G$503,"&lt;="&amp;EOMONTH(DATE(ano_ref,5,1),0))&gt;0,"✔",IF(AND(ISNUMBER(Planos!$G87),IFERROR(INDEX(lst_frequencia_meses,MATCH(Planos!$E87,lst_frequencia,0)),0)&gt;0,(ano_ref*12+5)-(YEAR(Planos!$G87)*12+MONTH(Planos!$G87))&gt;0,MOD((ano_ref*12+5)-(YEAR(Planos!$G87)*12+MONTH(Planos!$G87)),MAX(1,IFERROR(INDEX(lst_frequencia_meses,MATCH(Planos!$E87,lst_frequencia,0)),0)))=0),"●","")))</f>
      </c>
      <c r="I88" s="43">
        <f>IF(NOT(Planos!$A87&lt;&gt;""),"",IF(COUNTIFS(Programação!$B$4:$B$503,Planos!$A87,Programação!$I$4:$I$503,"Concluído",Programação!$G$4:$G$503,"&gt;="&amp;DATE(ano_ref,6,1),Programação!$G$4:$G$503,"&lt;="&amp;EOMONTH(DATE(ano_ref,6,1),0))&gt;0,"✔",IF(AND(ISNUMBER(Planos!$G87),IFERROR(INDEX(lst_frequencia_meses,MATCH(Planos!$E87,lst_frequencia,0)),0)&gt;0,(ano_ref*12+6)-(YEAR(Planos!$G87)*12+MONTH(Planos!$G87))&gt;0,MOD((ano_ref*12+6)-(YEAR(Planos!$G87)*12+MONTH(Planos!$G87)),MAX(1,IFERROR(INDEX(lst_frequencia_meses,MATCH(Planos!$E87,lst_frequencia,0)),0)))=0),"●","")))</f>
      </c>
      <c r="J88" s="43">
        <f>IF(NOT(Planos!$A87&lt;&gt;""),"",IF(COUNTIFS(Programação!$B$4:$B$503,Planos!$A87,Programação!$I$4:$I$503,"Concluído",Programação!$G$4:$G$503,"&gt;="&amp;DATE(ano_ref,7,1),Programação!$G$4:$G$503,"&lt;="&amp;EOMONTH(DATE(ano_ref,7,1),0))&gt;0,"✔",IF(AND(ISNUMBER(Planos!$G87),IFERROR(INDEX(lst_frequencia_meses,MATCH(Planos!$E87,lst_frequencia,0)),0)&gt;0,(ano_ref*12+7)-(YEAR(Planos!$G87)*12+MONTH(Planos!$G87))&gt;0,MOD((ano_ref*12+7)-(YEAR(Planos!$G87)*12+MONTH(Planos!$G87)),MAX(1,IFERROR(INDEX(lst_frequencia_meses,MATCH(Planos!$E87,lst_frequencia,0)),0)))=0),"●","")))</f>
      </c>
      <c r="K88" s="43">
        <f>IF(NOT(Planos!$A87&lt;&gt;""),"",IF(COUNTIFS(Programação!$B$4:$B$503,Planos!$A87,Programação!$I$4:$I$503,"Concluído",Programação!$G$4:$G$503,"&gt;="&amp;DATE(ano_ref,8,1),Programação!$G$4:$G$503,"&lt;="&amp;EOMONTH(DATE(ano_ref,8,1),0))&gt;0,"✔",IF(AND(ISNUMBER(Planos!$G87),IFERROR(INDEX(lst_frequencia_meses,MATCH(Planos!$E87,lst_frequencia,0)),0)&gt;0,(ano_ref*12+8)-(YEAR(Planos!$G87)*12+MONTH(Planos!$G87))&gt;0,MOD((ano_ref*12+8)-(YEAR(Planos!$G87)*12+MONTH(Planos!$G87)),MAX(1,IFERROR(INDEX(lst_frequencia_meses,MATCH(Planos!$E87,lst_frequencia,0)),0)))=0),"●","")))</f>
      </c>
      <c r="L88" s="43">
        <f>IF(NOT(Planos!$A87&lt;&gt;""),"",IF(COUNTIFS(Programação!$B$4:$B$503,Planos!$A87,Programação!$I$4:$I$503,"Concluído",Programação!$G$4:$G$503,"&gt;="&amp;DATE(ano_ref,9,1),Programação!$G$4:$G$503,"&lt;="&amp;EOMONTH(DATE(ano_ref,9,1),0))&gt;0,"✔",IF(AND(ISNUMBER(Planos!$G87),IFERROR(INDEX(lst_frequencia_meses,MATCH(Planos!$E87,lst_frequencia,0)),0)&gt;0,(ano_ref*12+9)-(YEAR(Planos!$G87)*12+MONTH(Planos!$G87))&gt;0,MOD((ano_ref*12+9)-(YEAR(Planos!$G87)*12+MONTH(Planos!$G87)),MAX(1,IFERROR(INDEX(lst_frequencia_meses,MATCH(Planos!$E87,lst_frequencia,0)),0)))=0),"●","")))</f>
      </c>
      <c r="M88" s="43">
        <f>IF(NOT(Planos!$A87&lt;&gt;""),"",IF(COUNTIFS(Programação!$B$4:$B$503,Planos!$A87,Programação!$I$4:$I$503,"Concluído",Programação!$G$4:$G$503,"&gt;="&amp;DATE(ano_ref,10,1),Programação!$G$4:$G$503,"&lt;="&amp;EOMONTH(DATE(ano_ref,10,1),0))&gt;0,"✔",IF(AND(ISNUMBER(Planos!$G87),IFERROR(INDEX(lst_frequencia_meses,MATCH(Planos!$E87,lst_frequencia,0)),0)&gt;0,(ano_ref*12+10)-(YEAR(Planos!$G87)*12+MONTH(Planos!$G87))&gt;0,MOD((ano_ref*12+10)-(YEAR(Planos!$G87)*12+MONTH(Planos!$G87)),MAX(1,IFERROR(INDEX(lst_frequencia_meses,MATCH(Planos!$E87,lst_frequencia,0)),0)))=0),"●","")))</f>
      </c>
      <c r="N88" s="43">
        <f>IF(NOT(Planos!$A87&lt;&gt;""),"",IF(COUNTIFS(Programação!$B$4:$B$503,Planos!$A87,Programação!$I$4:$I$503,"Concluído",Programação!$G$4:$G$503,"&gt;="&amp;DATE(ano_ref,11,1),Programação!$G$4:$G$503,"&lt;="&amp;EOMONTH(DATE(ano_ref,11,1),0))&gt;0,"✔",IF(AND(ISNUMBER(Planos!$G87),IFERROR(INDEX(lst_frequencia_meses,MATCH(Planos!$E87,lst_frequencia,0)),0)&gt;0,(ano_ref*12+11)-(YEAR(Planos!$G87)*12+MONTH(Planos!$G87))&gt;0,MOD((ano_ref*12+11)-(YEAR(Planos!$G87)*12+MONTH(Planos!$G87)),MAX(1,IFERROR(INDEX(lst_frequencia_meses,MATCH(Planos!$E87,lst_frequencia,0)),0)))=0),"●","")))</f>
      </c>
      <c r="O88" s="43">
        <f>IF(NOT(Planos!$A87&lt;&gt;""),"",IF(COUNTIFS(Programação!$B$4:$B$503,Planos!$A87,Programação!$I$4:$I$503,"Concluído",Programação!$G$4:$G$503,"&gt;="&amp;DATE(ano_ref,12,1),Programação!$G$4:$G$503,"&lt;="&amp;EOMONTH(DATE(ano_ref,12,1),0))&gt;0,"✔",IF(AND(ISNUMBER(Planos!$G87),IFERROR(INDEX(lst_frequencia_meses,MATCH(Planos!$E87,lst_frequencia,0)),0)&gt;0,(ano_ref*12+12)-(YEAR(Planos!$G87)*12+MONTH(Planos!$G87))&gt;0,MOD((ano_ref*12+12)-(YEAR(Planos!$G87)*12+MONTH(Planos!$G87)),MAX(1,IFERROR(INDEX(lst_frequencia_meses,MATCH(Planos!$E87,lst_frequencia,0)),0)))=0),"●","")))</f>
      </c>
      <c r="P88" s="44">
        <f>IF(COUNTIF(D88:O88,"✔")+COUNTIF(D88:O88,"●")=0,"",COUNTIF(D88:O88,"✔")/(COUNTIF(D88:O88,"✔")+COUNTIF(D88:O88,"●")))</f>
      </c>
    </row>
    <row r="89" spans="1:16" x14ac:dyDescent="0.25">
      <c r="A89" s="43">
        <f>IF(Planos!$A88&lt;&gt;"",Planos!A88&amp;"","")</f>
      </c>
      <c r="B89" s="43">
        <f>IF(Planos!$A88&lt;&gt;"",Planos!B88&amp;"","")</f>
      </c>
      <c r="C89" s="24">
        <f>IF(Planos!$A88&lt;&gt;"",Planos!C88&amp;"","")</f>
      </c>
      <c r="D89" s="43">
        <f>IF(NOT(Planos!$A88&lt;&gt;""),"",IF(COUNTIFS(Programação!$B$4:$B$503,Planos!$A88,Programação!$I$4:$I$503,"Concluído",Programação!$G$4:$G$503,"&gt;="&amp;DATE(ano_ref,1,1),Programação!$G$4:$G$503,"&lt;="&amp;EOMONTH(DATE(ano_ref,1,1),0))&gt;0,"✔",IF(AND(ISNUMBER(Planos!$G88),IFERROR(INDEX(lst_frequencia_meses,MATCH(Planos!$E88,lst_frequencia,0)),0)&gt;0,(ano_ref*12+1)-(YEAR(Planos!$G88)*12+MONTH(Planos!$G88))&gt;0,MOD((ano_ref*12+1)-(YEAR(Planos!$G88)*12+MONTH(Planos!$G88)),MAX(1,IFERROR(INDEX(lst_frequencia_meses,MATCH(Planos!$E88,lst_frequencia,0)),0)))=0),"●","")))</f>
      </c>
      <c r="E89" s="43">
        <f>IF(NOT(Planos!$A88&lt;&gt;""),"",IF(COUNTIFS(Programação!$B$4:$B$503,Planos!$A88,Programação!$I$4:$I$503,"Concluído",Programação!$G$4:$G$503,"&gt;="&amp;DATE(ano_ref,2,1),Programação!$G$4:$G$503,"&lt;="&amp;EOMONTH(DATE(ano_ref,2,1),0))&gt;0,"✔",IF(AND(ISNUMBER(Planos!$G88),IFERROR(INDEX(lst_frequencia_meses,MATCH(Planos!$E88,lst_frequencia,0)),0)&gt;0,(ano_ref*12+2)-(YEAR(Planos!$G88)*12+MONTH(Planos!$G88))&gt;0,MOD((ano_ref*12+2)-(YEAR(Planos!$G88)*12+MONTH(Planos!$G88)),MAX(1,IFERROR(INDEX(lst_frequencia_meses,MATCH(Planos!$E88,lst_frequencia,0)),0)))=0),"●","")))</f>
      </c>
      <c r="F89" s="43">
        <f>IF(NOT(Planos!$A88&lt;&gt;""),"",IF(COUNTIFS(Programação!$B$4:$B$503,Planos!$A88,Programação!$I$4:$I$503,"Concluído",Programação!$G$4:$G$503,"&gt;="&amp;DATE(ano_ref,3,1),Programação!$G$4:$G$503,"&lt;="&amp;EOMONTH(DATE(ano_ref,3,1),0))&gt;0,"✔",IF(AND(ISNUMBER(Planos!$G88),IFERROR(INDEX(lst_frequencia_meses,MATCH(Planos!$E88,lst_frequencia,0)),0)&gt;0,(ano_ref*12+3)-(YEAR(Planos!$G88)*12+MONTH(Planos!$G88))&gt;0,MOD((ano_ref*12+3)-(YEAR(Planos!$G88)*12+MONTH(Planos!$G88)),MAX(1,IFERROR(INDEX(lst_frequencia_meses,MATCH(Planos!$E88,lst_frequencia,0)),0)))=0),"●","")))</f>
      </c>
      <c r="G89" s="43">
        <f>IF(NOT(Planos!$A88&lt;&gt;""),"",IF(COUNTIFS(Programação!$B$4:$B$503,Planos!$A88,Programação!$I$4:$I$503,"Concluído",Programação!$G$4:$G$503,"&gt;="&amp;DATE(ano_ref,4,1),Programação!$G$4:$G$503,"&lt;="&amp;EOMONTH(DATE(ano_ref,4,1),0))&gt;0,"✔",IF(AND(ISNUMBER(Planos!$G88),IFERROR(INDEX(lst_frequencia_meses,MATCH(Planos!$E88,lst_frequencia,0)),0)&gt;0,(ano_ref*12+4)-(YEAR(Planos!$G88)*12+MONTH(Planos!$G88))&gt;0,MOD((ano_ref*12+4)-(YEAR(Planos!$G88)*12+MONTH(Planos!$G88)),MAX(1,IFERROR(INDEX(lst_frequencia_meses,MATCH(Planos!$E88,lst_frequencia,0)),0)))=0),"●","")))</f>
      </c>
      <c r="H89" s="43">
        <f>IF(NOT(Planos!$A88&lt;&gt;""),"",IF(COUNTIFS(Programação!$B$4:$B$503,Planos!$A88,Programação!$I$4:$I$503,"Concluído",Programação!$G$4:$G$503,"&gt;="&amp;DATE(ano_ref,5,1),Programação!$G$4:$G$503,"&lt;="&amp;EOMONTH(DATE(ano_ref,5,1),0))&gt;0,"✔",IF(AND(ISNUMBER(Planos!$G88),IFERROR(INDEX(lst_frequencia_meses,MATCH(Planos!$E88,lst_frequencia,0)),0)&gt;0,(ano_ref*12+5)-(YEAR(Planos!$G88)*12+MONTH(Planos!$G88))&gt;0,MOD((ano_ref*12+5)-(YEAR(Planos!$G88)*12+MONTH(Planos!$G88)),MAX(1,IFERROR(INDEX(lst_frequencia_meses,MATCH(Planos!$E88,lst_frequencia,0)),0)))=0),"●","")))</f>
      </c>
      <c r="I89" s="43">
        <f>IF(NOT(Planos!$A88&lt;&gt;""),"",IF(COUNTIFS(Programação!$B$4:$B$503,Planos!$A88,Programação!$I$4:$I$503,"Concluído",Programação!$G$4:$G$503,"&gt;="&amp;DATE(ano_ref,6,1),Programação!$G$4:$G$503,"&lt;="&amp;EOMONTH(DATE(ano_ref,6,1),0))&gt;0,"✔",IF(AND(ISNUMBER(Planos!$G88),IFERROR(INDEX(lst_frequencia_meses,MATCH(Planos!$E88,lst_frequencia,0)),0)&gt;0,(ano_ref*12+6)-(YEAR(Planos!$G88)*12+MONTH(Planos!$G88))&gt;0,MOD((ano_ref*12+6)-(YEAR(Planos!$G88)*12+MONTH(Planos!$G88)),MAX(1,IFERROR(INDEX(lst_frequencia_meses,MATCH(Planos!$E88,lst_frequencia,0)),0)))=0),"●","")))</f>
      </c>
      <c r="J89" s="43">
        <f>IF(NOT(Planos!$A88&lt;&gt;""),"",IF(COUNTIFS(Programação!$B$4:$B$503,Planos!$A88,Programação!$I$4:$I$503,"Concluído",Programação!$G$4:$G$503,"&gt;="&amp;DATE(ano_ref,7,1),Programação!$G$4:$G$503,"&lt;="&amp;EOMONTH(DATE(ano_ref,7,1),0))&gt;0,"✔",IF(AND(ISNUMBER(Planos!$G88),IFERROR(INDEX(lst_frequencia_meses,MATCH(Planos!$E88,lst_frequencia,0)),0)&gt;0,(ano_ref*12+7)-(YEAR(Planos!$G88)*12+MONTH(Planos!$G88))&gt;0,MOD((ano_ref*12+7)-(YEAR(Planos!$G88)*12+MONTH(Planos!$G88)),MAX(1,IFERROR(INDEX(lst_frequencia_meses,MATCH(Planos!$E88,lst_frequencia,0)),0)))=0),"●","")))</f>
      </c>
      <c r="K89" s="43">
        <f>IF(NOT(Planos!$A88&lt;&gt;""),"",IF(COUNTIFS(Programação!$B$4:$B$503,Planos!$A88,Programação!$I$4:$I$503,"Concluído",Programação!$G$4:$G$503,"&gt;="&amp;DATE(ano_ref,8,1),Programação!$G$4:$G$503,"&lt;="&amp;EOMONTH(DATE(ano_ref,8,1),0))&gt;0,"✔",IF(AND(ISNUMBER(Planos!$G88),IFERROR(INDEX(lst_frequencia_meses,MATCH(Planos!$E88,lst_frequencia,0)),0)&gt;0,(ano_ref*12+8)-(YEAR(Planos!$G88)*12+MONTH(Planos!$G88))&gt;0,MOD((ano_ref*12+8)-(YEAR(Planos!$G88)*12+MONTH(Planos!$G88)),MAX(1,IFERROR(INDEX(lst_frequencia_meses,MATCH(Planos!$E88,lst_frequencia,0)),0)))=0),"●","")))</f>
      </c>
      <c r="L89" s="43">
        <f>IF(NOT(Planos!$A88&lt;&gt;""),"",IF(COUNTIFS(Programação!$B$4:$B$503,Planos!$A88,Programação!$I$4:$I$503,"Concluído",Programação!$G$4:$G$503,"&gt;="&amp;DATE(ano_ref,9,1),Programação!$G$4:$G$503,"&lt;="&amp;EOMONTH(DATE(ano_ref,9,1),0))&gt;0,"✔",IF(AND(ISNUMBER(Planos!$G88),IFERROR(INDEX(lst_frequencia_meses,MATCH(Planos!$E88,lst_frequencia,0)),0)&gt;0,(ano_ref*12+9)-(YEAR(Planos!$G88)*12+MONTH(Planos!$G88))&gt;0,MOD((ano_ref*12+9)-(YEAR(Planos!$G88)*12+MONTH(Planos!$G88)),MAX(1,IFERROR(INDEX(lst_frequencia_meses,MATCH(Planos!$E88,lst_frequencia,0)),0)))=0),"●","")))</f>
      </c>
      <c r="M89" s="43">
        <f>IF(NOT(Planos!$A88&lt;&gt;""),"",IF(COUNTIFS(Programação!$B$4:$B$503,Planos!$A88,Programação!$I$4:$I$503,"Concluído",Programação!$G$4:$G$503,"&gt;="&amp;DATE(ano_ref,10,1),Programação!$G$4:$G$503,"&lt;="&amp;EOMONTH(DATE(ano_ref,10,1),0))&gt;0,"✔",IF(AND(ISNUMBER(Planos!$G88),IFERROR(INDEX(lst_frequencia_meses,MATCH(Planos!$E88,lst_frequencia,0)),0)&gt;0,(ano_ref*12+10)-(YEAR(Planos!$G88)*12+MONTH(Planos!$G88))&gt;0,MOD((ano_ref*12+10)-(YEAR(Planos!$G88)*12+MONTH(Planos!$G88)),MAX(1,IFERROR(INDEX(lst_frequencia_meses,MATCH(Planos!$E88,lst_frequencia,0)),0)))=0),"●","")))</f>
      </c>
      <c r="N89" s="43">
        <f>IF(NOT(Planos!$A88&lt;&gt;""),"",IF(COUNTIFS(Programação!$B$4:$B$503,Planos!$A88,Programação!$I$4:$I$503,"Concluído",Programação!$G$4:$G$503,"&gt;="&amp;DATE(ano_ref,11,1),Programação!$G$4:$G$503,"&lt;="&amp;EOMONTH(DATE(ano_ref,11,1),0))&gt;0,"✔",IF(AND(ISNUMBER(Planos!$G88),IFERROR(INDEX(lst_frequencia_meses,MATCH(Planos!$E88,lst_frequencia,0)),0)&gt;0,(ano_ref*12+11)-(YEAR(Planos!$G88)*12+MONTH(Planos!$G88))&gt;0,MOD((ano_ref*12+11)-(YEAR(Planos!$G88)*12+MONTH(Planos!$G88)),MAX(1,IFERROR(INDEX(lst_frequencia_meses,MATCH(Planos!$E88,lst_frequencia,0)),0)))=0),"●","")))</f>
      </c>
      <c r="O89" s="43">
        <f>IF(NOT(Planos!$A88&lt;&gt;""),"",IF(COUNTIFS(Programação!$B$4:$B$503,Planos!$A88,Programação!$I$4:$I$503,"Concluído",Programação!$G$4:$G$503,"&gt;="&amp;DATE(ano_ref,12,1),Programação!$G$4:$G$503,"&lt;="&amp;EOMONTH(DATE(ano_ref,12,1),0))&gt;0,"✔",IF(AND(ISNUMBER(Planos!$G88),IFERROR(INDEX(lst_frequencia_meses,MATCH(Planos!$E88,lst_frequencia,0)),0)&gt;0,(ano_ref*12+12)-(YEAR(Planos!$G88)*12+MONTH(Planos!$G88))&gt;0,MOD((ano_ref*12+12)-(YEAR(Planos!$G88)*12+MONTH(Planos!$G88)),MAX(1,IFERROR(INDEX(lst_frequencia_meses,MATCH(Planos!$E88,lst_frequencia,0)),0)))=0),"●","")))</f>
      </c>
      <c r="P89" s="44">
        <f>IF(COUNTIF(D89:O89,"✔")+COUNTIF(D89:O89,"●")=0,"",COUNTIF(D89:O89,"✔")/(COUNTIF(D89:O89,"✔")+COUNTIF(D89:O89,"●")))</f>
      </c>
    </row>
    <row r="90" spans="1:16" x14ac:dyDescent="0.25">
      <c r="A90" s="43">
        <f>IF(Planos!$A89&lt;&gt;"",Planos!A89&amp;"","")</f>
      </c>
      <c r="B90" s="43">
        <f>IF(Planos!$A89&lt;&gt;"",Planos!B89&amp;"","")</f>
      </c>
      <c r="C90" s="24">
        <f>IF(Planos!$A89&lt;&gt;"",Planos!C89&amp;"","")</f>
      </c>
      <c r="D90" s="43">
        <f>IF(NOT(Planos!$A89&lt;&gt;""),"",IF(COUNTIFS(Programação!$B$4:$B$503,Planos!$A89,Programação!$I$4:$I$503,"Concluído",Programação!$G$4:$G$503,"&gt;="&amp;DATE(ano_ref,1,1),Programação!$G$4:$G$503,"&lt;="&amp;EOMONTH(DATE(ano_ref,1,1),0))&gt;0,"✔",IF(AND(ISNUMBER(Planos!$G89),IFERROR(INDEX(lst_frequencia_meses,MATCH(Planos!$E89,lst_frequencia,0)),0)&gt;0,(ano_ref*12+1)-(YEAR(Planos!$G89)*12+MONTH(Planos!$G89))&gt;0,MOD((ano_ref*12+1)-(YEAR(Planos!$G89)*12+MONTH(Planos!$G89)),MAX(1,IFERROR(INDEX(lst_frequencia_meses,MATCH(Planos!$E89,lst_frequencia,0)),0)))=0),"●","")))</f>
      </c>
      <c r="E90" s="43">
        <f>IF(NOT(Planos!$A89&lt;&gt;""),"",IF(COUNTIFS(Programação!$B$4:$B$503,Planos!$A89,Programação!$I$4:$I$503,"Concluído",Programação!$G$4:$G$503,"&gt;="&amp;DATE(ano_ref,2,1),Programação!$G$4:$G$503,"&lt;="&amp;EOMONTH(DATE(ano_ref,2,1),0))&gt;0,"✔",IF(AND(ISNUMBER(Planos!$G89),IFERROR(INDEX(lst_frequencia_meses,MATCH(Planos!$E89,lst_frequencia,0)),0)&gt;0,(ano_ref*12+2)-(YEAR(Planos!$G89)*12+MONTH(Planos!$G89))&gt;0,MOD((ano_ref*12+2)-(YEAR(Planos!$G89)*12+MONTH(Planos!$G89)),MAX(1,IFERROR(INDEX(lst_frequencia_meses,MATCH(Planos!$E89,lst_frequencia,0)),0)))=0),"●","")))</f>
      </c>
      <c r="F90" s="43">
        <f>IF(NOT(Planos!$A89&lt;&gt;""),"",IF(COUNTIFS(Programação!$B$4:$B$503,Planos!$A89,Programação!$I$4:$I$503,"Concluído",Programação!$G$4:$G$503,"&gt;="&amp;DATE(ano_ref,3,1),Programação!$G$4:$G$503,"&lt;="&amp;EOMONTH(DATE(ano_ref,3,1),0))&gt;0,"✔",IF(AND(ISNUMBER(Planos!$G89),IFERROR(INDEX(lst_frequencia_meses,MATCH(Planos!$E89,lst_frequencia,0)),0)&gt;0,(ano_ref*12+3)-(YEAR(Planos!$G89)*12+MONTH(Planos!$G89))&gt;0,MOD((ano_ref*12+3)-(YEAR(Planos!$G89)*12+MONTH(Planos!$G89)),MAX(1,IFERROR(INDEX(lst_frequencia_meses,MATCH(Planos!$E89,lst_frequencia,0)),0)))=0),"●","")))</f>
      </c>
      <c r="G90" s="43">
        <f>IF(NOT(Planos!$A89&lt;&gt;""),"",IF(COUNTIFS(Programação!$B$4:$B$503,Planos!$A89,Programação!$I$4:$I$503,"Concluído",Programação!$G$4:$G$503,"&gt;="&amp;DATE(ano_ref,4,1),Programação!$G$4:$G$503,"&lt;="&amp;EOMONTH(DATE(ano_ref,4,1),0))&gt;0,"✔",IF(AND(ISNUMBER(Planos!$G89),IFERROR(INDEX(lst_frequencia_meses,MATCH(Planos!$E89,lst_frequencia,0)),0)&gt;0,(ano_ref*12+4)-(YEAR(Planos!$G89)*12+MONTH(Planos!$G89))&gt;0,MOD((ano_ref*12+4)-(YEAR(Planos!$G89)*12+MONTH(Planos!$G89)),MAX(1,IFERROR(INDEX(lst_frequencia_meses,MATCH(Planos!$E89,lst_frequencia,0)),0)))=0),"●","")))</f>
      </c>
      <c r="H90" s="43">
        <f>IF(NOT(Planos!$A89&lt;&gt;""),"",IF(COUNTIFS(Programação!$B$4:$B$503,Planos!$A89,Programação!$I$4:$I$503,"Concluído",Programação!$G$4:$G$503,"&gt;="&amp;DATE(ano_ref,5,1),Programação!$G$4:$G$503,"&lt;="&amp;EOMONTH(DATE(ano_ref,5,1),0))&gt;0,"✔",IF(AND(ISNUMBER(Planos!$G89),IFERROR(INDEX(lst_frequencia_meses,MATCH(Planos!$E89,lst_frequencia,0)),0)&gt;0,(ano_ref*12+5)-(YEAR(Planos!$G89)*12+MONTH(Planos!$G89))&gt;0,MOD((ano_ref*12+5)-(YEAR(Planos!$G89)*12+MONTH(Planos!$G89)),MAX(1,IFERROR(INDEX(lst_frequencia_meses,MATCH(Planos!$E89,lst_frequencia,0)),0)))=0),"●","")))</f>
      </c>
      <c r="I90" s="43">
        <f>IF(NOT(Planos!$A89&lt;&gt;""),"",IF(COUNTIFS(Programação!$B$4:$B$503,Planos!$A89,Programação!$I$4:$I$503,"Concluído",Programação!$G$4:$G$503,"&gt;="&amp;DATE(ano_ref,6,1),Programação!$G$4:$G$503,"&lt;="&amp;EOMONTH(DATE(ano_ref,6,1),0))&gt;0,"✔",IF(AND(ISNUMBER(Planos!$G89),IFERROR(INDEX(lst_frequencia_meses,MATCH(Planos!$E89,lst_frequencia,0)),0)&gt;0,(ano_ref*12+6)-(YEAR(Planos!$G89)*12+MONTH(Planos!$G89))&gt;0,MOD((ano_ref*12+6)-(YEAR(Planos!$G89)*12+MONTH(Planos!$G89)),MAX(1,IFERROR(INDEX(lst_frequencia_meses,MATCH(Planos!$E89,lst_frequencia,0)),0)))=0),"●","")))</f>
      </c>
      <c r="J90" s="43">
        <f>IF(NOT(Planos!$A89&lt;&gt;""),"",IF(COUNTIFS(Programação!$B$4:$B$503,Planos!$A89,Programação!$I$4:$I$503,"Concluído",Programação!$G$4:$G$503,"&gt;="&amp;DATE(ano_ref,7,1),Programação!$G$4:$G$503,"&lt;="&amp;EOMONTH(DATE(ano_ref,7,1),0))&gt;0,"✔",IF(AND(ISNUMBER(Planos!$G89),IFERROR(INDEX(lst_frequencia_meses,MATCH(Planos!$E89,lst_frequencia,0)),0)&gt;0,(ano_ref*12+7)-(YEAR(Planos!$G89)*12+MONTH(Planos!$G89))&gt;0,MOD((ano_ref*12+7)-(YEAR(Planos!$G89)*12+MONTH(Planos!$G89)),MAX(1,IFERROR(INDEX(lst_frequencia_meses,MATCH(Planos!$E89,lst_frequencia,0)),0)))=0),"●","")))</f>
      </c>
      <c r="K90" s="43">
        <f>IF(NOT(Planos!$A89&lt;&gt;""),"",IF(COUNTIFS(Programação!$B$4:$B$503,Planos!$A89,Programação!$I$4:$I$503,"Concluído",Programação!$G$4:$G$503,"&gt;="&amp;DATE(ano_ref,8,1),Programação!$G$4:$G$503,"&lt;="&amp;EOMONTH(DATE(ano_ref,8,1),0))&gt;0,"✔",IF(AND(ISNUMBER(Planos!$G89),IFERROR(INDEX(lst_frequencia_meses,MATCH(Planos!$E89,lst_frequencia,0)),0)&gt;0,(ano_ref*12+8)-(YEAR(Planos!$G89)*12+MONTH(Planos!$G89))&gt;0,MOD((ano_ref*12+8)-(YEAR(Planos!$G89)*12+MONTH(Planos!$G89)),MAX(1,IFERROR(INDEX(lst_frequencia_meses,MATCH(Planos!$E89,lst_frequencia,0)),0)))=0),"●","")))</f>
      </c>
      <c r="L90" s="43">
        <f>IF(NOT(Planos!$A89&lt;&gt;""),"",IF(COUNTIFS(Programação!$B$4:$B$503,Planos!$A89,Programação!$I$4:$I$503,"Concluído",Programação!$G$4:$G$503,"&gt;="&amp;DATE(ano_ref,9,1),Programação!$G$4:$G$503,"&lt;="&amp;EOMONTH(DATE(ano_ref,9,1),0))&gt;0,"✔",IF(AND(ISNUMBER(Planos!$G89),IFERROR(INDEX(lst_frequencia_meses,MATCH(Planos!$E89,lst_frequencia,0)),0)&gt;0,(ano_ref*12+9)-(YEAR(Planos!$G89)*12+MONTH(Planos!$G89))&gt;0,MOD((ano_ref*12+9)-(YEAR(Planos!$G89)*12+MONTH(Planos!$G89)),MAX(1,IFERROR(INDEX(lst_frequencia_meses,MATCH(Planos!$E89,lst_frequencia,0)),0)))=0),"●","")))</f>
      </c>
      <c r="M90" s="43">
        <f>IF(NOT(Planos!$A89&lt;&gt;""),"",IF(COUNTIFS(Programação!$B$4:$B$503,Planos!$A89,Programação!$I$4:$I$503,"Concluído",Programação!$G$4:$G$503,"&gt;="&amp;DATE(ano_ref,10,1),Programação!$G$4:$G$503,"&lt;="&amp;EOMONTH(DATE(ano_ref,10,1),0))&gt;0,"✔",IF(AND(ISNUMBER(Planos!$G89),IFERROR(INDEX(lst_frequencia_meses,MATCH(Planos!$E89,lst_frequencia,0)),0)&gt;0,(ano_ref*12+10)-(YEAR(Planos!$G89)*12+MONTH(Planos!$G89))&gt;0,MOD((ano_ref*12+10)-(YEAR(Planos!$G89)*12+MONTH(Planos!$G89)),MAX(1,IFERROR(INDEX(lst_frequencia_meses,MATCH(Planos!$E89,lst_frequencia,0)),0)))=0),"●","")))</f>
      </c>
      <c r="N90" s="43">
        <f>IF(NOT(Planos!$A89&lt;&gt;""),"",IF(COUNTIFS(Programação!$B$4:$B$503,Planos!$A89,Programação!$I$4:$I$503,"Concluído",Programação!$G$4:$G$503,"&gt;="&amp;DATE(ano_ref,11,1),Programação!$G$4:$G$503,"&lt;="&amp;EOMONTH(DATE(ano_ref,11,1),0))&gt;0,"✔",IF(AND(ISNUMBER(Planos!$G89),IFERROR(INDEX(lst_frequencia_meses,MATCH(Planos!$E89,lst_frequencia,0)),0)&gt;0,(ano_ref*12+11)-(YEAR(Planos!$G89)*12+MONTH(Planos!$G89))&gt;0,MOD((ano_ref*12+11)-(YEAR(Planos!$G89)*12+MONTH(Planos!$G89)),MAX(1,IFERROR(INDEX(lst_frequencia_meses,MATCH(Planos!$E89,lst_frequencia,0)),0)))=0),"●","")))</f>
      </c>
      <c r="O90" s="43">
        <f>IF(NOT(Planos!$A89&lt;&gt;""),"",IF(COUNTIFS(Programação!$B$4:$B$503,Planos!$A89,Programação!$I$4:$I$503,"Concluído",Programação!$G$4:$G$503,"&gt;="&amp;DATE(ano_ref,12,1),Programação!$G$4:$G$503,"&lt;="&amp;EOMONTH(DATE(ano_ref,12,1),0))&gt;0,"✔",IF(AND(ISNUMBER(Planos!$G89),IFERROR(INDEX(lst_frequencia_meses,MATCH(Planos!$E89,lst_frequencia,0)),0)&gt;0,(ano_ref*12+12)-(YEAR(Planos!$G89)*12+MONTH(Planos!$G89))&gt;0,MOD((ano_ref*12+12)-(YEAR(Planos!$G89)*12+MONTH(Planos!$G89)),MAX(1,IFERROR(INDEX(lst_frequencia_meses,MATCH(Planos!$E89,lst_frequencia,0)),0)))=0),"●","")))</f>
      </c>
      <c r="P90" s="44">
        <f>IF(COUNTIF(D90:O90,"✔")+COUNTIF(D90:O90,"●")=0,"",COUNTIF(D90:O90,"✔")/(COUNTIF(D90:O90,"✔")+COUNTIF(D90:O90,"●")))</f>
      </c>
    </row>
    <row r="91" spans="1:16" x14ac:dyDescent="0.25">
      <c r="A91" s="43">
        <f>IF(Planos!$A90&lt;&gt;"",Planos!A90&amp;"","")</f>
      </c>
      <c r="B91" s="43">
        <f>IF(Planos!$A90&lt;&gt;"",Planos!B90&amp;"","")</f>
      </c>
      <c r="C91" s="24">
        <f>IF(Planos!$A90&lt;&gt;"",Planos!C90&amp;"","")</f>
      </c>
      <c r="D91" s="43">
        <f>IF(NOT(Planos!$A90&lt;&gt;""),"",IF(COUNTIFS(Programação!$B$4:$B$503,Planos!$A90,Programação!$I$4:$I$503,"Concluído",Programação!$G$4:$G$503,"&gt;="&amp;DATE(ano_ref,1,1),Programação!$G$4:$G$503,"&lt;="&amp;EOMONTH(DATE(ano_ref,1,1),0))&gt;0,"✔",IF(AND(ISNUMBER(Planos!$G90),IFERROR(INDEX(lst_frequencia_meses,MATCH(Planos!$E90,lst_frequencia,0)),0)&gt;0,(ano_ref*12+1)-(YEAR(Planos!$G90)*12+MONTH(Planos!$G90))&gt;0,MOD((ano_ref*12+1)-(YEAR(Planos!$G90)*12+MONTH(Planos!$G90)),MAX(1,IFERROR(INDEX(lst_frequencia_meses,MATCH(Planos!$E90,lst_frequencia,0)),0)))=0),"●","")))</f>
      </c>
      <c r="E91" s="43">
        <f>IF(NOT(Planos!$A90&lt;&gt;""),"",IF(COUNTIFS(Programação!$B$4:$B$503,Planos!$A90,Programação!$I$4:$I$503,"Concluído",Programação!$G$4:$G$503,"&gt;="&amp;DATE(ano_ref,2,1),Programação!$G$4:$G$503,"&lt;="&amp;EOMONTH(DATE(ano_ref,2,1),0))&gt;0,"✔",IF(AND(ISNUMBER(Planos!$G90),IFERROR(INDEX(lst_frequencia_meses,MATCH(Planos!$E90,lst_frequencia,0)),0)&gt;0,(ano_ref*12+2)-(YEAR(Planos!$G90)*12+MONTH(Planos!$G90))&gt;0,MOD((ano_ref*12+2)-(YEAR(Planos!$G90)*12+MONTH(Planos!$G90)),MAX(1,IFERROR(INDEX(lst_frequencia_meses,MATCH(Planos!$E90,lst_frequencia,0)),0)))=0),"●","")))</f>
      </c>
      <c r="F91" s="43">
        <f>IF(NOT(Planos!$A90&lt;&gt;""),"",IF(COUNTIFS(Programação!$B$4:$B$503,Planos!$A90,Programação!$I$4:$I$503,"Concluído",Programação!$G$4:$G$503,"&gt;="&amp;DATE(ano_ref,3,1),Programação!$G$4:$G$503,"&lt;="&amp;EOMONTH(DATE(ano_ref,3,1),0))&gt;0,"✔",IF(AND(ISNUMBER(Planos!$G90),IFERROR(INDEX(lst_frequencia_meses,MATCH(Planos!$E90,lst_frequencia,0)),0)&gt;0,(ano_ref*12+3)-(YEAR(Planos!$G90)*12+MONTH(Planos!$G90))&gt;0,MOD((ano_ref*12+3)-(YEAR(Planos!$G90)*12+MONTH(Planos!$G90)),MAX(1,IFERROR(INDEX(lst_frequencia_meses,MATCH(Planos!$E90,lst_frequencia,0)),0)))=0),"●","")))</f>
      </c>
      <c r="G91" s="43">
        <f>IF(NOT(Planos!$A90&lt;&gt;""),"",IF(COUNTIFS(Programação!$B$4:$B$503,Planos!$A90,Programação!$I$4:$I$503,"Concluído",Programação!$G$4:$G$503,"&gt;="&amp;DATE(ano_ref,4,1),Programação!$G$4:$G$503,"&lt;="&amp;EOMONTH(DATE(ano_ref,4,1),0))&gt;0,"✔",IF(AND(ISNUMBER(Planos!$G90),IFERROR(INDEX(lst_frequencia_meses,MATCH(Planos!$E90,lst_frequencia,0)),0)&gt;0,(ano_ref*12+4)-(YEAR(Planos!$G90)*12+MONTH(Planos!$G90))&gt;0,MOD((ano_ref*12+4)-(YEAR(Planos!$G90)*12+MONTH(Planos!$G90)),MAX(1,IFERROR(INDEX(lst_frequencia_meses,MATCH(Planos!$E90,lst_frequencia,0)),0)))=0),"●","")))</f>
      </c>
      <c r="H91" s="43">
        <f>IF(NOT(Planos!$A90&lt;&gt;""),"",IF(COUNTIFS(Programação!$B$4:$B$503,Planos!$A90,Programação!$I$4:$I$503,"Concluído",Programação!$G$4:$G$503,"&gt;="&amp;DATE(ano_ref,5,1),Programação!$G$4:$G$503,"&lt;="&amp;EOMONTH(DATE(ano_ref,5,1),0))&gt;0,"✔",IF(AND(ISNUMBER(Planos!$G90),IFERROR(INDEX(lst_frequencia_meses,MATCH(Planos!$E90,lst_frequencia,0)),0)&gt;0,(ano_ref*12+5)-(YEAR(Planos!$G90)*12+MONTH(Planos!$G90))&gt;0,MOD((ano_ref*12+5)-(YEAR(Planos!$G90)*12+MONTH(Planos!$G90)),MAX(1,IFERROR(INDEX(lst_frequencia_meses,MATCH(Planos!$E90,lst_frequencia,0)),0)))=0),"●","")))</f>
      </c>
      <c r="I91" s="43">
        <f>IF(NOT(Planos!$A90&lt;&gt;""),"",IF(COUNTIFS(Programação!$B$4:$B$503,Planos!$A90,Programação!$I$4:$I$503,"Concluído",Programação!$G$4:$G$503,"&gt;="&amp;DATE(ano_ref,6,1),Programação!$G$4:$G$503,"&lt;="&amp;EOMONTH(DATE(ano_ref,6,1),0))&gt;0,"✔",IF(AND(ISNUMBER(Planos!$G90),IFERROR(INDEX(lst_frequencia_meses,MATCH(Planos!$E90,lst_frequencia,0)),0)&gt;0,(ano_ref*12+6)-(YEAR(Planos!$G90)*12+MONTH(Planos!$G90))&gt;0,MOD((ano_ref*12+6)-(YEAR(Planos!$G90)*12+MONTH(Planos!$G90)),MAX(1,IFERROR(INDEX(lst_frequencia_meses,MATCH(Planos!$E90,lst_frequencia,0)),0)))=0),"●","")))</f>
      </c>
      <c r="J91" s="43">
        <f>IF(NOT(Planos!$A90&lt;&gt;""),"",IF(COUNTIFS(Programação!$B$4:$B$503,Planos!$A90,Programação!$I$4:$I$503,"Concluído",Programação!$G$4:$G$503,"&gt;="&amp;DATE(ano_ref,7,1),Programação!$G$4:$G$503,"&lt;="&amp;EOMONTH(DATE(ano_ref,7,1),0))&gt;0,"✔",IF(AND(ISNUMBER(Planos!$G90),IFERROR(INDEX(lst_frequencia_meses,MATCH(Planos!$E90,lst_frequencia,0)),0)&gt;0,(ano_ref*12+7)-(YEAR(Planos!$G90)*12+MONTH(Planos!$G90))&gt;0,MOD((ano_ref*12+7)-(YEAR(Planos!$G90)*12+MONTH(Planos!$G90)),MAX(1,IFERROR(INDEX(lst_frequencia_meses,MATCH(Planos!$E90,lst_frequencia,0)),0)))=0),"●","")))</f>
      </c>
      <c r="K91" s="43">
        <f>IF(NOT(Planos!$A90&lt;&gt;""),"",IF(COUNTIFS(Programação!$B$4:$B$503,Planos!$A90,Programação!$I$4:$I$503,"Concluído",Programação!$G$4:$G$503,"&gt;="&amp;DATE(ano_ref,8,1),Programação!$G$4:$G$503,"&lt;="&amp;EOMONTH(DATE(ano_ref,8,1),0))&gt;0,"✔",IF(AND(ISNUMBER(Planos!$G90),IFERROR(INDEX(lst_frequencia_meses,MATCH(Planos!$E90,lst_frequencia,0)),0)&gt;0,(ano_ref*12+8)-(YEAR(Planos!$G90)*12+MONTH(Planos!$G90))&gt;0,MOD((ano_ref*12+8)-(YEAR(Planos!$G90)*12+MONTH(Planos!$G90)),MAX(1,IFERROR(INDEX(lst_frequencia_meses,MATCH(Planos!$E90,lst_frequencia,0)),0)))=0),"●","")))</f>
      </c>
      <c r="L91" s="43">
        <f>IF(NOT(Planos!$A90&lt;&gt;""),"",IF(COUNTIFS(Programação!$B$4:$B$503,Planos!$A90,Programação!$I$4:$I$503,"Concluído",Programação!$G$4:$G$503,"&gt;="&amp;DATE(ano_ref,9,1),Programação!$G$4:$G$503,"&lt;="&amp;EOMONTH(DATE(ano_ref,9,1),0))&gt;0,"✔",IF(AND(ISNUMBER(Planos!$G90),IFERROR(INDEX(lst_frequencia_meses,MATCH(Planos!$E90,lst_frequencia,0)),0)&gt;0,(ano_ref*12+9)-(YEAR(Planos!$G90)*12+MONTH(Planos!$G90))&gt;0,MOD((ano_ref*12+9)-(YEAR(Planos!$G90)*12+MONTH(Planos!$G90)),MAX(1,IFERROR(INDEX(lst_frequencia_meses,MATCH(Planos!$E90,lst_frequencia,0)),0)))=0),"●","")))</f>
      </c>
      <c r="M91" s="43">
        <f>IF(NOT(Planos!$A90&lt;&gt;""),"",IF(COUNTIFS(Programação!$B$4:$B$503,Planos!$A90,Programação!$I$4:$I$503,"Concluído",Programação!$G$4:$G$503,"&gt;="&amp;DATE(ano_ref,10,1),Programação!$G$4:$G$503,"&lt;="&amp;EOMONTH(DATE(ano_ref,10,1),0))&gt;0,"✔",IF(AND(ISNUMBER(Planos!$G90),IFERROR(INDEX(lst_frequencia_meses,MATCH(Planos!$E90,lst_frequencia,0)),0)&gt;0,(ano_ref*12+10)-(YEAR(Planos!$G90)*12+MONTH(Planos!$G90))&gt;0,MOD((ano_ref*12+10)-(YEAR(Planos!$G90)*12+MONTH(Planos!$G90)),MAX(1,IFERROR(INDEX(lst_frequencia_meses,MATCH(Planos!$E90,lst_frequencia,0)),0)))=0),"●","")))</f>
      </c>
      <c r="N91" s="43">
        <f>IF(NOT(Planos!$A90&lt;&gt;""),"",IF(COUNTIFS(Programação!$B$4:$B$503,Planos!$A90,Programação!$I$4:$I$503,"Concluído",Programação!$G$4:$G$503,"&gt;="&amp;DATE(ano_ref,11,1),Programação!$G$4:$G$503,"&lt;="&amp;EOMONTH(DATE(ano_ref,11,1),0))&gt;0,"✔",IF(AND(ISNUMBER(Planos!$G90),IFERROR(INDEX(lst_frequencia_meses,MATCH(Planos!$E90,lst_frequencia,0)),0)&gt;0,(ano_ref*12+11)-(YEAR(Planos!$G90)*12+MONTH(Planos!$G90))&gt;0,MOD((ano_ref*12+11)-(YEAR(Planos!$G90)*12+MONTH(Planos!$G90)),MAX(1,IFERROR(INDEX(lst_frequencia_meses,MATCH(Planos!$E90,lst_frequencia,0)),0)))=0),"●","")))</f>
      </c>
      <c r="O91" s="43">
        <f>IF(NOT(Planos!$A90&lt;&gt;""),"",IF(COUNTIFS(Programação!$B$4:$B$503,Planos!$A90,Programação!$I$4:$I$503,"Concluído",Programação!$G$4:$G$503,"&gt;="&amp;DATE(ano_ref,12,1),Programação!$G$4:$G$503,"&lt;="&amp;EOMONTH(DATE(ano_ref,12,1),0))&gt;0,"✔",IF(AND(ISNUMBER(Planos!$G90),IFERROR(INDEX(lst_frequencia_meses,MATCH(Planos!$E90,lst_frequencia,0)),0)&gt;0,(ano_ref*12+12)-(YEAR(Planos!$G90)*12+MONTH(Planos!$G90))&gt;0,MOD((ano_ref*12+12)-(YEAR(Planos!$G90)*12+MONTH(Planos!$G90)),MAX(1,IFERROR(INDEX(lst_frequencia_meses,MATCH(Planos!$E90,lst_frequencia,0)),0)))=0),"●","")))</f>
      </c>
      <c r="P91" s="44">
        <f>IF(COUNTIF(D91:O91,"✔")+COUNTIF(D91:O91,"●")=0,"",COUNTIF(D91:O91,"✔")/(COUNTIF(D91:O91,"✔")+COUNTIF(D91:O91,"●")))</f>
      </c>
    </row>
    <row r="92" spans="1:16" x14ac:dyDescent="0.25">
      <c r="A92" s="43">
        <f>IF(Planos!$A91&lt;&gt;"",Planos!A91&amp;"","")</f>
      </c>
      <c r="B92" s="43">
        <f>IF(Planos!$A91&lt;&gt;"",Planos!B91&amp;"","")</f>
      </c>
      <c r="C92" s="24">
        <f>IF(Planos!$A91&lt;&gt;"",Planos!C91&amp;"","")</f>
      </c>
      <c r="D92" s="43">
        <f>IF(NOT(Planos!$A91&lt;&gt;""),"",IF(COUNTIFS(Programação!$B$4:$B$503,Planos!$A91,Programação!$I$4:$I$503,"Concluído",Programação!$G$4:$G$503,"&gt;="&amp;DATE(ano_ref,1,1),Programação!$G$4:$G$503,"&lt;="&amp;EOMONTH(DATE(ano_ref,1,1),0))&gt;0,"✔",IF(AND(ISNUMBER(Planos!$G91),IFERROR(INDEX(lst_frequencia_meses,MATCH(Planos!$E91,lst_frequencia,0)),0)&gt;0,(ano_ref*12+1)-(YEAR(Planos!$G91)*12+MONTH(Planos!$G91))&gt;0,MOD((ano_ref*12+1)-(YEAR(Planos!$G91)*12+MONTH(Planos!$G91)),MAX(1,IFERROR(INDEX(lst_frequencia_meses,MATCH(Planos!$E91,lst_frequencia,0)),0)))=0),"●","")))</f>
      </c>
      <c r="E92" s="43">
        <f>IF(NOT(Planos!$A91&lt;&gt;""),"",IF(COUNTIFS(Programação!$B$4:$B$503,Planos!$A91,Programação!$I$4:$I$503,"Concluído",Programação!$G$4:$G$503,"&gt;="&amp;DATE(ano_ref,2,1),Programação!$G$4:$G$503,"&lt;="&amp;EOMONTH(DATE(ano_ref,2,1),0))&gt;0,"✔",IF(AND(ISNUMBER(Planos!$G91),IFERROR(INDEX(lst_frequencia_meses,MATCH(Planos!$E91,lst_frequencia,0)),0)&gt;0,(ano_ref*12+2)-(YEAR(Planos!$G91)*12+MONTH(Planos!$G91))&gt;0,MOD((ano_ref*12+2)-(YEAR(Planos!$G91)*12+MONTH(Planos!$G91)),MAX(1,IFERROR(INDEX(lst_frequencia_meses,MATCH(Planos!$E91,lst_frequencia,0)),0)))=0),"●","")))</f>
      </c>
      <c r="F92" s="43">
        <f>IF(NOT(Planos!$A91&lt;&gt;""),"",IF(COUNTIFS(Programação!$B$4:$B$503,Planos!$A91,Programação!$I$4:$I$503,"Concluído",Programação!$G$4:$G$503,"&gt;="&amp;DATE(ano_ref,3,1),Programação!$G$4:$G$503,"&lt;="&amp;EOMONTH(DATE(ano_ref,3,1),0))&gt;0,"✔",IF(AND(ISNUMBER(Planos!$G91),IFERROR(INDEX(lst_frequencia_meses,MATCH(Planos!$E91,lst_frequencia,0)),0)&gt;0,(ano_ref*12+3)-(YEAR(Planos!$G91)*12+MONTH(Planos!$G91))&gt;0,MOD((ano_ref*12+3)-(YEAR(Planos!$G91)*12+MONTH(Planos!$G91)),MAX(1,IFERROR(INDEX(lst_frequencia_meses,MATCH(Planos!$E91,lst_frequencia,0)),0)))=0),"●","")))</f>
      </c>
      <c r="G92" s="43">
        <f>IF(NOT(Planos!$A91&lt;&gt;""),"",IF(COUNTIFS(Programação!$B$4:$B$503,Planos!$A91,Programação!$I$4:$I$503,"Concluído",Programação!$G$4:$G$503,"&gt;="&amp;DATE(ano_ref,4,1),Programação!$G$4:$G$503,"&lt;="&amp;EOMONTH(DATE(ano_ref,4,1),0))&gt;0,"✔",IF(AND(ISNUMBER(Planos!$G91),IFERROR(INDEX(lst_frequencia_meses,MATCH(Planos!$E91,lst_frequencia,0)),0)&gt;0,(ano_ref*12+4)-(YEAR(Planos!$G91)*12+MONTH(Planos!$G91))&gt;0,MOD((ano_ref*12+4)-(YEAR(Planos!$G91)*12+MONTH(Planos!$G91)),MAX(1,IFERROR(INDEX(lst_frequencia_meses,MATCH(Planos!$E91,lst_frequencia,0)),0)))=0),"●","")))</f>
      </c>
      <c r="H92" s="43">
        <f>IF(NOT(Planos!$A91&lt;&gt;""),"",IF(COUNTIFS(Programação!$B$4:$B$503,Planos!$A91,Programação!$I$4:$I$503,"Concluído",Programação!$G$4:$G$503,"&gt;="&amp;DATE(ano_ref,5,1),Programação!$G$4:$G$503,"&lt;="&amp;EOMONTH(DATE(ano_ref,5,1),0))&gt;0,"✔",IF(AND(ISNUMBER(Planos!$G91),IFERROR(INDEX(lst_frequencia_meses,MATCH(Planos!$E91,lst_frequencia,0)),0)&gt;0,(ano_ref*12+5)-(YEAR(Planos!$G91)*12+MONTH(Planos!$G91))&gt;0,MOD((ano_ref*12+5)-(YEAR(Planos!$G91)*12+MONTH(Planos!$G91)),MAX(1,IFERROR(INDEX(lst_frequencia_meses,MATCH(Planos!$E91,lst_frequencia,0)),0)))=0),"●","")))</f>
      </c>
      <c r="I92" s="43">
        <f>IF(NOT(Planos!$A91&lt;&gt;""),"",IF(COUNTIFS(Programação!$B$4:$B$503,Planos!$A91,Programação!$I$4:$I$503,"Concluído",Programação!$G$4:$G$503,"&gt;="&amp;DATE(ano_ref,6,1),Programação!$G$4:$G$503,"&lt;="&amp;EOMONTH(DATE(ano_ref,6,1),0))&gt;0,"✔",IF(AND(ISNUMBER(Planos!$G91),IFERROR(INDEX(lst_frequencia_meses,MATCH(Planos!$E91,lst_frequencia,0)),0)&gt;0,(ano_ref*12+6)-(YEAR(Planos!$G91)*12+MONTH(Planos!$G91))&gt;0,MOD((ano_ref*12+6)-(YEAR(Planos!$G91)*12+MONTH(Planos!$G91)),MAX(1,IFERROR(INDEX(lst_frequencia_meses,MATCH(Planos!$E91,lst_frequencia,0)),0)))=0),"●","")))</f>
      </c>
      <c r="J92" s="43">
        <f>IF(NOT(Planos!$A91&lt;&gt;""),"",IF(COUNTIFS(Programação!$B$4:$B$503,Planos!$A91,Programação!$I$4:$I$503,"Concluído",Programação!$G$4:$G$503,"&gt;="&amp;DATE(ano_ref,7,1),Programação!$G$4:$G$503,"&lt;="&amp;EOMONTH(DATE(ano_ref,7,1),0))&gt;0,"✔",IF(AND(ISNUMBER(Planos!$G91),IFERROR(INDEX(lst_frequencia_meses,MATCH(Planos!$E91,lst_frequencia,0)),0)&gt;0,(ano_ref*12+7)-(YEAR(Planos!$G91)*12+MONTH(Planos!$G91))&gt;0,MOD((ano_ref*12+7)-(YEAR(Planos!$G91)*12+MONTH(Planos!$G91)),MAX(1,IFERROR(INDEX(lst_frequencia_meses,MATCH(Planos!$E91,lst_frequencia,0)),0)))=0),"●","")))</f>
      </c>
      <c r="K92" s="43">
        <f>IF(NOT(Planos!$A91&lt;&gt;""),"",IF(COUNTIFS(Programação!$B$4:$B$503,Planos!$A91,Programação!$I$4:$I$503,"Concluído",Programação!$G$4:$G$503,"&gt;="&amp;DATE(ano_ref,8,1),Programação!$G$4:$G$503,"&lt;="&amp;EOMONTH(DATE(ano_ref,8,1),0))&gt;0,"✔",IF(AND(ISNUMBER(Planos!$G91),IFERROR(INDEX(lst_frequencia_meses,MATCH(Planos!$E91,lst_frequencia,0)),0)&gt;0,(ano_ref*12+8)-(YEAR(Planos!$G91)*12+MONTH(Planos!$G91))&gt;0,MOD((ano_ref*12+8)-(YEAR(Planos!$G91)*12+MONTH(Planos!$G91)),MAX(1,IFERROR(INDEX(lst_frequencia_meses,MATCH(Planos!$E91,lst_frequencia,0)),0)))=0),"●","")))</f>
      </c>
      <c r="L92" s="43">
        <f>IF(NOT(Planos!$A91&lt;&gt;""),"",IF(COUNTIFS(Programação!$B$4:$B$503,Planos!$A91,Programação!$I$4:$I$503,"Concluído",Programação!$G$4:$G$503,"&gt;="&amp;DATE(ano_ref,9,1),Programação!$G$4:$G$503,"&lt;="&amp;EOMONTH(DATE(ano_ref,9,1),0))&gt;0,"✔",IF(AND(ISNUMBER(Planos!$G91),IFERROR(INDEX(lst_frequencia_meses,MATCH(Planos!$E91,lst_frequencia,0)),0)&gt;0,(ano_ref*12+9)-(YEAR(Planos!$G91)*12+MONTH(Planos!$G91))&gt;0,MOD((ano_ref*12+9)-(YEAR(Planos!$G91)*12+MONTH(Planos!$G91)),MAX(1,IFERROR(INDEX(lst_frequencia_meses,MATCH(Planos!$E91,lst_frequencia,0)),0)))=0),"●","")))</f>
      </c>
      <c r="M92" s="43">
        <f>IF(NOT(Planos!$A91&lt;&gt;""),"",IF(COUNTIFS(Programação!$B$4:$B$503,Planos!$A91,Programação!$I$4:$I$503,"Concluído",Programação!$G$4:$G$503,"&gt;="&amp;DATE(ano_ref,10,1),Programação!$G$4:$G$503,"&lt;="&amp;EOMONTH(DATE(ano_ref,10,1),0))&gt;0,"✔",IF(AND(ISNUMBER(Planos!$G91),IFERROR(INDEX(lst_frequencia_meses,MATCH(Planos!$E91,lst_frequencia,0)),0)&gt;0,(ano_ref*12+10)-(YEAR(Planos!$G91)*12+MONTH(Planos!$G91))&gt;0,MOD((ano_ref*12+10)-(YEAR(Planos!$G91)*12+MONTH(Planos!$G91)),MAX(1,IFERROR(INDEX(lst_frequencia_meses,MATCH(Planos!$E91,lst_frequencia,0)),0)))=0),"●","")))</f>
      </c>
      <c r="N92" s="43">
        <f>IF(NOT(Planos!$A91&lt;&gt;""),"",IF(COUNTIFS(Programação!$B$4:$B$503,Planos!$A91,Programação!$I$4:$I$503,"Concluído",Programação!$G$4:$G$503,"&gt;="&amp;DATE(ano_ref,11,1),Programação!$G$4:$G$503,"&lt;="&amp;EOMONTH(DATE(ano_ref,11,1),0))&gt;0,"✔",IF(AND(ISNUMBER(Planos!$G91),IFERROR(INDEX(lst_frequencia_meses,MATCH(Planos!$E91,lst_frequencia,0)),0)&gt;0,(ano_ref*12+11)-(YEAR(Planos!$G91)*12+MONTH(Planos!$G91))&gt;0,MOD((ano_ref*12+11)-(YEAR(Planos!$G91)*12+MONTH(Planos!$G91)),MAX(1,IFERROR(INDEX(lst_frequencia_meses,MATCH(Planos!$E91,lst_frequencia,0)),0)))=0),"●","")))</f>
      </c>
      <c r="O92" s="43">
        <f>IF(NOT(Planos!$A91&lt;&gt;""),"",IF(COUNTIFS(Programação!$B$4:$B$503,Planos!$A91,Programação!$I$4:$I$503,"Concluído",Programação!$G$4:$G$503,"&gt;="&amp;DATE(ano_ref,12,1),Programação!$G$4:$G$503,"&lt;="&amp;EOMONTH(DATE(ano_ref,12,1),0))&gt;0,"✔",IF(AND(ISNUMBER(Planos!$G91),IFERROR(INDEX(lst_frequencia_meses,MATCH(Planos!$E91,lst_frequencia,0)),0)&gt;0,(ano_ref*12+12)-(YEAR(Planos!$G91)*12+MONTH(Planos!$G91))&gt;0,MOD((ano_ref*12+12)-(YEAR(Planos!$G91)*12+MONTH(Planos!$G91)),MAX(1,IFERROR(INDEX(lst_frequencia_meses,MATCH(Planos!$E91,lst_frequencia,0)),0)))=0),"●","")))</f>
      </c>
      <c r="P92" s="44">
        <f>IF(COUNTIF(D92:O92,"✔")+COUNTIF(D92:O92,"●")=0,"",COUNTIF(D92:O92,"✔")/(COUNTIF(D92:O92,"✔")+COUNTIF(D92:O92,"●")))</f>
      </c>
    </row>
    <row r="93" spans="1:16" x14ac:dyDescent="0.25">
      <c r="A93" s="43">
        <f>IF(Planos!$A92&lt;&gt;"",Planos!A92&amp;"","")</f>
      </c>
      <c r="B93" s="43">
        <f>IF(Planos!$A92&lt;&gt;"",Planos!B92&amp;"","")</f>
      </c>
      <c r="C93" s="24">
        <f>IF(Planos!$A92&lt;&gt;"",Planos!C92&amp;"","")</f>
      </c>
      <c r="D93" s="43">
        <f>IF(NOT(Planos!$A92&lt;&gt;""),"",IF(COUNTIFS(Programação!$B$4:$B$503,Planos!$A92,Programação!$I$4:$I$503,"Concluído",Programação!$G$4:$G$503,"&gt;="&amp;DATE(ano_ref,1,1),Programação!$G$4:$G$503,"&lt;="&amp;EOMONTH(DATE(ano_ref,1,1),0))&gt;0,"✔",IF(AND(ISNUMBER(Planos!$G92),IFERROR(INDEX(lst_frequencia_meses,MATCH(Planos!$E92,lst_frequencia,0)),0)&gt;0,(ano_ref*12+1)-(YEAR(Planos!$G92)*12+MONTH(Planos!$G92))&gt;0,MOD((ano_ref*12+1)-(YEAR(Planos!$G92)*12+MONTH(Planos!$G92)),MAX(1,IFERROR(INDEX(lst_frequencia_meses,MATCH(Planos!$E92,lst_frequencia,0)),0)))=0),"●","")))</f>
      </c>
      <c r="E93" s="43">
        <f>IF(NOT(Planos!$A92&lt;&gt;""),"",IF(COUNTIFS(Programação!$B$4:$B$503,Planos!$A92,Programação!$I$4:$I$503,"Concluído",Programação!$G$4:$G$503,"&gt;="&amp;DATE(ano_ref,2,1),Programação!$G$4:$G$503,"&lt;="&amp;EOMONTH(DATE(ano_ref,2,1),0))&gt;0,"✔",IF(AND(ISNUMBER(Planos!$G92),IFERROR(INDEX(lst_frequencia_meses,MATCH(Planos!$E92,lst_frequencia,0)),0)&gt;0,(ano_ref*12+2)-(YEAR(Planos!$G92)*12+MONTH(Planos!$G92))&gt;0,MOD((ano_ref*12+2)-(YEAR(Planos!$G92)*12+MONTH(Planos!$G92)),MAX(1,IFERROR(INDEX(lst_frequencia_meses,MATCH(Planos!$E92,lst_frequencia,0)),0)))=0),"●","")))</f>
      </c>
      <c r="F93" s="43">
        <f>IF(NOT(Planos!$A92&lt;&gt;""),"",IF(COUNTIFS(Programação!$B$4:$B$503,Planos!$A92,Programação!$I$4:$I$503,"Concluído",Programação!$G$4:$G$503,"&gt;="&amp;DATE(ano_ref,3,1),Programação!$G$4:$G$503,"&lt;="&amp;EOMONTH(DATE(ano_ref,3,1),0))&gt;0,"✔",IF(AND(ISNUMBER(Planos!$G92),IFERROR(INDEX(lst_frequencia_meses,MATCH(Planos!$E92,lst_frequencia,0)),0)&gt;0,(ano_ref*12+3)-(YEAR(Planos!$G92)*12+MONTH(Planos!$G92))&gt;0,MOD((ano_ref*12+3)-(YEAR(Planos!$G92)*12+MONTH(Planos!$G92)),MAX(1,IFERROR(INDEX(lst_frequencia_meses,MATCH(Planos!$E92,lst_frequencia,0)),0)))=0),"●","")))</f>
      </c>
      <c r="G93" s="43">
        <f>IF(NOT(Planos!$A92&lt;&gt;""),"",IF(COUNTIFS(Programação!$B$4:$B$503,Planos!$A92,Programação!$I$4:$I$503,"Concluído",Programação!$G$4:$G$503,"&gt;="&amp;DATE(ano_ref,4,1),Programação!$G$4:$G$503,"&lt;="&amp;EOMONTH(DATE(ano_ref,4,1),0))&gt;0,"✔",IF(AND(ISNUMBER(Planos!$G92),IFERROR(INDEX(lst_frequencia_meses,MATCH(Planos!$E92,lst_frequencia,0)),0)&gt;0,(ano_ref*12+4)-(YEAR(Planos!$G92)*12+MONTH(Planos!$G92))&gt;0,MOD((ano_ref*12+4)-(YEAR(Planos!$G92)*12+MONTH(Planos!$G92)),MAX(1,IFERROR(INDEX(lst_frequencia_meses,MATCH(Planos!$E92,lst_frequencia,0)),0)))=0),"●","")))</f>
      </c>
      <c r="H93" s="43">
        <f>IF(NOT(Planos!$A92&lt;&gt;""),"",IF(COUNTIFS(Programação!$B$4:$B$503,Planos!$A92,Programação!$I$4:$I$503,"Concluído",Programação!$G$4:$G$503,"&gt;="&amp;DATE(ano_ref,5,1),Programação!$G$4:$G$503,"&lt;="&amp;EOMONTH(DATE(ano_ref,5,1),0))&gt;0,"✔",IF(AND(ISNUMBER(Planos!$G92),IFERROR(INDEX(lst_frequencia_meses,MATCH(Planos!$E92,lst_frequencia,0)),0)&gt;0,(ano_ref*12+5)-(YEAR(Planos!$G92)*12+MONTH(Planos!$G92))&gt;0,MOD((ano_ref*12+5)-(YEAR(Planos!$G92)*12+MONTH(Planos!$G92)),MAX(1,IFERROR(INDEX(lst_frequencia_meses,MATCH(Planos!$E92,lst_frequencia,0)),0)))=0),"●","")))</f>
      </c>
      <c r="I93" s="43">
        <f>IF(NOT(Planos!$A92&lt;&gt;""),"",IF(COUNTIFS(Programação!$B$4:$B$503,Planos!$A92,Programação!$I$4:$I$503,"Concluído",Programação!$G$4:$G$503,"&gt;="&amp;DATE(ano_ref,6,1),Programação!$G$4:$G$503,"&lt;="&amp;EOMONTH(DATE(ano_ref,6,1),0))&gt;0,"✔",IF(AND(ISNUMBER(Planos!$G92),IFERROR(INDEX(lst_frequencia_meses,MATCH(Planos!$E92,lst_frequencia,0)),0)&gt;0,(ano_ref*12+6)-(YEAR(Planos!$G92)*12+MONTH(Planos!$G92))&gt;0,MOD((ano_ref*12+6)-(YEAR(Planos!$G92)*12+MONTH(Planos!$G92)),MAX(1,IFERROR(INDEX(lst_frequencia_meses,MATCH(Planos!$E92,lst_frequencia,0)),0)))=0),"●","")))</f>
      </c>
      <c r="J93" s="43">
        <f>IF(NOT(Planos!$A92&lt;&gt;""),"",IF(COUNTIFS(Programação!$B$4:$B$503,Planos!$A92,Programação!$I$4:$I$503,"Concluído",Programação!$G$4:$G$503,"&gt;="&amp;DATE(ano_ref,7,1),Programação!$G$4:$G$503,"&lt;="&amp;EOMONTH(DATE(ano_ref,7,1),0))&gt;0,"✔",IF(AND(ISNUMBER(Planos!$G92),IFERROR(INDEX(lst_frequencia_meses,MATCH(Planos!$E92,lst_frequencia,0)),0)&gt;0,(ano_ref*12+7)-(YEAR(Planos!$G92)*12+MONTH(Planos!$G92))&gt;0,MOD((ano_ref*12+7)-(YEAR(Planos!$G92)*12+MONTH(Planos!$G92)),MAX(1,IFERROR(INDEX(lst_frequencia_meses,MATCH(Planos!$E92,lst_frequencia,0)),0)))=0),"●","")))</f>
      </c>
      <c r="K93" s="43">
        <f>IF(NOT(Planos!$A92&lt;&gt;""),"",IF(COUNTIFS(Programação!$B$4:$B$503,Planos!$A92,Programação!$I$4:$I$503,"Concluído",Programação!$G$4:$G$503,"&gt;="&amp;DATE(ano_ref,8,1),Programação!$G$4:$G$503,"&lt;="&amp;EOMONTH(DATE(ano_ref,8,1),0))&gt;0,"✔",IF(AND(ISNUMBER(Planos!$G92),IFERROR(INDEX(lst_frequencia_meses,MATCH(Planos!$E92,lst_frequencia,0)),0)&gt;0,(ano_ref*12+8)-(YEAR(Planos!$G92)*12+MONTH(Planos!$G92))&gt;0,MOD((ano_ref*12+8)-(YEAR(Planos!$G92)*12+MONTH(Planos!$G92)),MAX(1,IFERROR(INDEX(lst_frequencia_meses,MATCH(Planos!$E92,lst_frequencia,0)),0)))=0),"●","")))</f>
      </c>
      <c r="L93" s="43">
        <f>IF(NOT(Planos!$A92&lt;&gt;""),"",IF(COUNTIFS(Programação!$B$4:$B$503,Planos!$A92,Programação!$I$4:$I$503,"Concluído",Programação!$G$4:$G$503,"&gt;="&amp;DATE(ano_ref,9,1),Programação!$G$4:$G$503,"&lt;="&amp;EOMONTH(DATE(ano_ref,9,1),0))&gt;0,"✔",IF(AND(ISNUMBER(Planos!$G92),IFERROR(INDEX(lst_frequencia_meses,MATCH(Planos!$E92,lst_frequencia,0)),0)&gt;0,(ano_ref*12+9)-(YEAR(Planos!$G92)*12+MONTH(Planos!$G92))&gt;0,MOD((ano_ref*12+9)-(YEAR(Planos!$G92)*12+MONTH(Planos!$G92)),MAX(1,IFERROR(INDEX(lst_frequencia_meses,MATCH(Planos!$E92,lst_frequencia,0)),0)))=0),"●","")))</f>
      </c>
      <c r="M93" s="43">
        <f>IF(NOT(Planos!$A92&lt;&gt;""),"",IF(COUNTIFS(Programação!$B$4:$B$503,Planos!$A92,Programação!$I$4:$I$503,"Concluído",Programação!$G$4:$G$503,"&gt;="&amp;DATE(ano_ref,10,1),Programação!$G$4:$G$503,"&lt;="&amp;EOMONTH(DATE(ano_ref,10,1),0))&gt;0,"✔",IF(AND(ISNUMBER(Planos!$G92),IFERROR(INDEX(lst_frequencia_meses,MATCH(Planos!$E92,lst_frequencia,0)),0)&gt;0,(ano_ref*12+10)-(YEAR(Planos!$G92)*12+MONTH(Planos!$G92))&gt;0,MOD((ano_ref*12+10)-(YEAR(Planos!$G92)*12+MONTH(Planos!$G92)),MAX(1,IFERROR(INDEX(lst_frequencia_meses,MATCH(Planos!$E92,lst_frequencia,0)),0)))=0),"●","")))</f>
      </c>
      <c r="N93" s="43">
        <f>IF(NOT(Planos!$A92&lt;&gt;""),"",IF(COUNTIFS(Programação!$B$4:$B$503,Planos!$A92,Programação!$I$4:$I$503,"Concluído",Programação!$G$4:$G$503,"&gt;="&amp;DATE(ano_ref,11,1),Programação!$G$4:$G$503,"&lt;="&amp;EOMONTH(DATE(ano_ref,11,1),0))&gt;0,"✔",IF(AND(ISNUMBER(Planos!$G92),IFERROR(INDEX(lst_frequencia_meses,MATCH(Planos!$E92,lst_frequencia,0)),0)&gt;0,(ano_ref*12+11)-(YEAR(Planos!$G92)*12+MONTH(Planos!$G92))&gt;0,MOD((ano_ref*12+11)-(YEAR(Planos!$G92)*12+MONTH(Planos!$G92)),MAX(1,IFERROR(INDEX(lst_frequencia_meses,MATCH(Planos!$E92,lst_frequencia,0)),0)))=0),"●","")))</f>
      </c>
      <c r="O93" s="43">
        <f>IF(NOT(Planos!$A92&lt;&gt;""),"",IF(COUNTIFS(Programação!$B$4:$B$503,Planos!$A92,Programação!$I$4:$I$503,"Concluído",Programação!$G$4:$G$503,"&gt;="&amp;DATE(ano_ref,12,1),Programação!$G$4:$G$503,"&lt;="&amp;EOMONTH(DATE(ano_ref,12,1),0))&gt;0,"✔",IF(AND(ISNUMBER(Planos!$G92),IFERROR(INDEX(lst_frequencia_meses,MATCH(Planos!$E92,lst_frequencia,0)),0)&gt;0,(ano_ref*12+12)-(YEAR(Planos!$G92)*12+MONTH(Planos!$G92))&gt;0,MOD((ano_ref*12+12)-(YEAR(Planos!$G92)*12+MONTH(Planos!$G92)),MAX(1,IFERROR(INDEX(lst_frequencia_meses,MATCH(Planos!$E92,lst_frequencia,0)),0)))=0),"●","")))</f>
      </c>
      <c r="P93" s="44">
        <f>IF(COUNTIF(D93:O93,"✔")+COUNTIF(D93:O93,"●")=0,"",COUNTIF(D93:O93,"✔")/(COUNTIF(D93:O93,"✔")+COUNTIF(D93:O93,"●")))</f>
      </c>
    </row>
    <row r="94" spans="1:16" x14ac:dyDescent="0.25">
      <c r="A94" s="43">
        <f>IF(Planos!$A93&lt;&gt;"",Planos!A93&amp;"","")</f>
      </c>
      <c r="B94" s="43">
        <f>IF(Planos!$A93&lt;&gt;"",Planos!B93&amp;"","")</f>
      </c>
      <c r="C94" s="24">
        <f>IF(Planos!$A93&lt;&gt;"",Planos!C93&amp;"","")</f>
      </c>
      <c r="D94" s="43">
        <f>IF(NOT(Planos!$A93&lt;&gt;""),"",IF(COUNTIFS(Programação!$B$4:$B$503,Planos!$A93,Programação!$I$4:$I$503,"Concluído",Programação!$G$4:$G$503,"&gt;="&amp;DATE(ano_ref,1,1),Programação!$G$4:$G$503,"&lt;="&amp;EOMONTH(DATE(ano_ref,1,1),0))&gt;0,"✔",IF(AND(ISNUMBER(Planos!$G93),IFERROR(INDEX(lst_frequencia_meses,MATCH(Planos!$E93,lst_frequencia,0)),0)&gt;0,(ano_ref*12+1)-(YEAR(Planos!$G93)*12+MONTH(Planos!$G93))&gt;0,MOD((ano_ref*12+1)-(YEAR(Planos!$G93)*12+MONTH(Planos!$G93)),MAX(1,IFERROR(INDEX(lst_frequencia_meses,MATCH(Planos!$E93,lst_frequencia,0)),0)))=0),"●","")))</f>
      </c>
      <c r="E94" s="43">
        <f>IF(NOT(Planos!$A93&lt;&gt;""),"",IF(COUNTIFS(Programação!$B$4:$B$503,Planos!$A93,Programação!$I$4:$I$503,"Concluído",Programação!$G$4:$G$503,"&gt;="&amp;DATE(ano_ref,2,1),Programação!$G$4:$G$503,"&lt;="&amp;EOMONTH(DATE(ano_ref,2,1),0))&gt;0,"✔",IF(AND(ISNUMBER(Planos!$G93),IFERROR(INDEX(lst_frequencia_meses,MATCH(Planos!$E93,lst_frequencia,0)),0)&gt;0,(ano_ref*12+2)-(YEAR(Planos!$G93)*12+MONTH(Planos!$G93))&gt;0,MOD((ano_ref*12+2)-(YEAR(Planos!$G93)*12+MONTH(Planos!$G93)),MAX(1,IFERROR(INDEX(lst_frequencia_meses,MATCH(Planos!$E93,lst_frequencia,0)),0)))=0),"●","")))</f>
      </c>
      <c r="F94" s="43">
        <f>IF(NOT(Planos!$A93&lt;&gt;""),"",IF(COUNTIFS(Programação!$B$4:$B$503,Planos!$A93,Programação!$I$4:$I$503,"Concluído",Programação!$G$4:$G$503,"&gt;="&amp;DATE(ano_ref,3,1),Programação!$G$4:$G$503,"&lt;="&amp;EOMONTH(DATE(ano_ref,3,1),0))&gt;0,"✔",IF(AND(ISNUMBER(Planos!$G93),IFERROR(INDEX(lst_frequencia_meses,MATCH(Planos!$E93,lst_frequencia,0)),0)&gt;0,(ano_ref*12+3)-(YEAR(Planos!$G93)*12+MONTH(Planos!$G93))&gt;0,MOD((ano_ref*12+3)-(YEAR(Planos!$G93)*12+MONTH(Planos!$G93)),MAX(1,IFERROR(INDEX(lst_frequencia_meses,MATCH(Planos!$E93,lst_frequencia,0)),0)))=0),"●","")))</f>
      </c>
      <c r="G94" s="43">
        <f>IF(NOT(Planos!$A93&lt;&gt;""),"",IF(COUNTIFS(Programação!$B$4:$B$503,Planos!$A93,Programação!$I$4:$I$503,"Concluído",Programação!$G$4:$G$503,"&gt;="&amp;DATE(ano_ref,4,1),Programação!$G$4:$G$503,"&lt;="&amp;EOMONTH(DATE(ano_ref,4,1),0))&gt;0,"✔",IF(AND(ISNUMBER(Planos!$G93),IFERROR(INDEX(lst_frequencia_meses,MATCH(Planos!$E93,lst_frequencia,0)),0)&gt;0,(ano_ref*12+4)-(YEAR(Planos!$G93)*12+MONTH(Planos!$G93))&gt;0,MOD((ano_ref*12+4)-(YEAR(Planos!$G93)*12+MONTH(Planos!$G93)),MAX(1,IFERROR(INDEX(lst_frequencia_meses,MATCH(Planos!$E93,lst_frequencia,0)),0)))=0),"●","")))</f>
      </c>
      <c r="H94" s="43">
        <f>IF(NOT(Planos!$A93&lt;&gt;""),"",IF(COUNTIFS(Programação!$B$4:$B$503,Planos!$A93,Programação!$I$4:$I$503,"Concluído",Programação!$G$4:$G$503,"&gt;="&amp;DATE(ano_ref,5,1),Programação!$G$4:$G$503,"&lt;="&amp;EOMONTH(DATE(ano_ref,5,1),0))&gt;0,"✔",IF(AND(ISNUMBER(Planos!$G93),IFERROR(INDEX(lst_frequencia_meses,MATCH(Planos!$E93,lst_frequencia,0)),0)&gt;0,(ano_ref*12+5)-(YEAR(Planos!$G93)*12+MONTH(Planos!$G93))&gt;0,MOD((ano_ref*12+5)-(YEAR(Planos!$G93)*12+MONTH(Planos!$G93)),MAX(1,IFERROR(INDEX(lst_frequencia_meses,MATCH(Planos!$E93,lst_frequencia,0)),0)))=0),"●","")))</f>
      </c>
      <c r="I94" s="43">
        <f>IF(NOT(Planos!$A93&lt;&gt;""),"",IF(COUNTIFS(Programação!$B$4:$B$503,Planos!$A93,Programação!$I$4:$I$503,"Concluído",Programação!$G$4:$G$503,"&gt;="&amp;DATE(ano_ref,6,1),Programação!$G$4:$G$503,"&lt;="&amp;EOMONTH(DATE(ano_ref,6,1),0))&gt;0,"✔",IF(AND(ISNUMBER(Planos!$G93),IFERROR(INDEX(lst_frequencia_meses,MATCH(Planos!$E93,lst_frequencia,0)),0)&gt;0,(ano_ref*12+6)-(YEAR(Planos!$G93)*12+MONTH(Planos!$G93))&gt;0,MOD((ano_ref*12+6)-(YEAR(Planos!$G93)*12+MONTH(Planos!$G93)),MAX(1,IFERROR(INDEX(lst_frequencia_meses,MATCH(Planos!$E93,lst_frequencia,0)),0)))=0),"●","")))</f>
      </c>
      <c r="J94" s="43">
        <f>IF(NOT(Planos!$A93&lt;&gt;""),"",IF(COUNTIFS(Programação!$B$4:$B$503,Planos!$A93,Programação!$I$4:$I$503,"Concluído",Programação!$G$4:$G$503,"&gt;="&amp;DATE(ano_ref,7,1),Programação!$G$4:$G$503,"&lt;="&amp;EOMONTH(DATE(ano_ref,7,1),0))&gt;0,"✔",IF(AND(ISNUMBER(Planos!$G93),IFERROR(INDEX(lst_frequencia_meses,MATCH(Planos!$E93,lst_frequencia,0)),0)&gt;0,(ano_ref*12+7)-(YEAR(Planos!$G93)*12+MONTH(Planos!$G93))&gt;0,MOD((ano_ref*12+7)-(YEAR(Planos!$G93)*12+MONTH(Planos!$G93)),MAX(1,IFERROR(INDEX(lst_frequencia_meses,MATCH(Planos!$E93,lst_frequencia,0)),0)))=0),"●","")))</f>
      </c>
      <c r="K94" s="43">
        <f>IF(NOT(Planos!$A93&lt;&gt;""),"",IF(COUNTIFS(Programação!$B$4:$B$503,Planos!$A93,Programação!$I$4:$I$503,"Concluído",Programação!$G$4:$G$503,"&gt;="&amp;DATE(ano_ref,8,1),Programação!$G$4:$G$503,"&lt;="&amp;EOMONTH(DATE(ano_ref,8,1),0))&gt;0,"✔",IF(AND(ISNUMBER(Planos!$G93),IFERROR(INDEX(lst_frequencia_meses,MATCH(Planos!$E93,lst_frequencia,0)),0)&gt;0,(ano_ref*12+8)-(YEAR(Planos!$G93)*12+MONTH(Planos!$G93))&gt;0,MOD((ano_ref*12+8)-(YEAR(Planos!$G93)*12+MONTH(Planos!$G93)),MAX(1,IFERROR(INDEX(lst_frequencia_meses,MATCH(Planos!$E93,lst_frequencia,0)),0)))=0),"●","")))</f>
      </c>
      <c r="L94" s="43">
        <f>IF(NOT(Planos!$A93&lt;&gt;""),"",IF(COUNTIFS(Programação!$B$4:$B$503,Planos!$A93,Programação!$I$4:$I$503,"Concluído",Programação!$G$4:$G$503,"&gt;="&amp;DATE(ano_ref,9,1),Programação!$G$4:$G$503,"&lt;="&amp;EOMONTH(DATE(ano_ref,9,1),0))&gt;0,"✔",IF(AND(ISNUMBER(Planos!$G93),IFERROR(INDEX(lst_frequencia_meses,MATCH(Planos!$E93,lst_frequencia,0)),0)&gt;0,(ano_ref*12+9)-(YEAR(Planos!$G93)*12+MONTH(Planos!$G93))&gt;0,MOD((ano_ref*12+9)-(YEAR(Planos!$G93)*12+MONTH(Planos!$G93)),MAX(1,IFERROR(INDEX(lst_frequencia_meses,MATCH(Planos!$E93,lst_frequencia,0)),0)))=0),"●","")))</f>
      </c>
      <c r="M94" s="43">
        <f>IF(NOT(Planos!$A93&lt;&gt;""),"",IF(COUNTIFS(Programação!$B$4:$B$503,Planos!$A93,Programação!$I$4:$I$503,"Concluído",Programação!$G$4:$G$503,"&gt;="&amp;DATE(ano_ref,10,1),Programação!$G$4:$G$503,"&lt;="&amp;EOMONTH(DATE(ano_ref,10,1),0))&gt;0,"✔",IF(AND(ISNUMBER(Planos!$G93),IFERROR(INDEX(lst_frequencia_meses,MATCH(Planos!$E93,lst_frequencia,0)),0)&gt;0,(ano_ref*12+10)-(YEAR(Planos!$G93)*12+MONTH(Planos!$G93))&gt;0,MOD((ano_ref*12+10)-(YEAR(Planos!$G93)*12+MONTH(Planos!$G93)),MAX(1,IFERROR(INDEX(lst_frequencia_meses,MATCH(Planos!$E93,lst_frequencia,0)),0)))=0),"●","")))</f>
      </c>
      <c r="N94" s="43">
        <f>IF(NOT(Planos!$A93&lt;&gt;""),"",IF(COUNTIFS(Programação!$B$4:$B$503,Planos!$A93,Programação!$I$4:$I$503,"Concluído",Programação!$G$4:$G$503,"&gt;="&amp;DATE(ano_ref,11,1),Programação!$G$4:$G$503,"&lt;="&amp;EOMONTH(DATE(ano_ref,11,1),0))&gt;0,"✔",IF(AND(ISNUMBER(Planos!$G93),IFERROR(INDEX(lst_frequencia_meses,MATCH(Planos!$E93,lst_frequencia,0)),0)&gt;0,(ano_ref*12+11)-(YEAR(Planos!$G93)*12+MONTH(Planos!$G93))&gt;0,MOD((ano_ref*12+11)-(YEAR(Planos!$G93)*12+MONTH(Planos!$G93)),MAX(1,IFERROR(INDEX(lst_frequencia_meses,MATCH(Planos!$E93,lst_frequencia,0)),0)))=0),"●","")))</f>
      </c>
      <c r="O94" s="43">
        <f>IF(NOT(Planos!$A93&lt;&gt;""),"",IF(COUNTIFS(Programação!$B$4:$B$503,Planos!$A93,Programação!$I$4:$I$503,"Concluído",Programação!$G$4:$G$503,"&gt;="&amp;DATE(ano_ref,12,1),Programação!$G$4:$G$503,"&lt;="&amp;EOMONTH(DATE(ano_ref,12,1),0))&gt;0,"✔",IF(AND(ISNUMBER(Planos!$G93),IFERROR(INDEX(lst_frequencia_meses,MATCH(Planos!$E93,lst_frequencia,0)),0)&gt;0,(ano_ref*12+12)-(YEAR(Planos!$G93)*12+MONTH(Planos!$G93))&gt;0,MOD((ano_ref*12+12)-(YEAR(Planos!$G93)*12+MONTH(Planos!$G93)),MAX(1,IFERROR(INDEX(lst_frequencia_meses,MATCH(Planos!$E93,lst_frequencia,0)),0)))=0),"●","")))</f>
      </c>
      <c r="P94" s="44">
        <f>IF(COUNTIF(D94:O94,"✔")+COUNTIF(D94:O94,"●")=0,"",COUNTIF(D94:O94,"✔")/(COUNTIF(D94:O94,"✔")+COUNTIF(D94:O94,"●")))</f>
      </c>
    </row>
    <row r="95" spans="1:16" x14ac:dyDescent="0.25">
      <c r="A95" s="43">
        <f>IF(Planos!$A94&lt;&gt;"",Planos!A94&amp;"","")</f>
      </c>
      <c r="B95" s="43">
        <f>IF(Planos!$A94&lt;&gt;"",Planos!B94&amp;"","")</f>
      </c>
      <c r="C95" s="24">
        <f>IF(Planos!$A94&lt;&gt;"",Planos!C94&amp;"","")</f>
      </c>
      <c r="D95" s="43">
        <f>IF(NOT(Planos!$A94&lt;&gt;""),"",IF(COUNTIFS(Programação!$B$4:$B$503,Planos!$A94,Programação!$I$4:$I$503,"Concluído",Programação!$G$4:$G$503,"&gt;="&amp;DATE(ano_ref,1,1),Programação!$G$4:$G$503,"&lt;="&amp;EOMONTH(DATE(ano_ref,1,1),0))&gt;0,"✔",IF(AND(ISNUMBER(Planos!$G94),IFERROR(INDEX(lst_frequencia_meses,MATCH(Planos!$E94,lst_frequencia,0)),0)&gt;0,(ano_ref*12+1)-(YEAR(Planos!$G94)*12+MONTH(Planos!$G94))&gt;0,MOD((ano_ref*12+1)-(YEAR(Planos!$G94)*12+MONTH(Planos!$G94)),MAX(1,IFERROR(INDEX(lst_frequencia_meses,MATCH(Planos!$E94,lst_frequencia,0)),0)))=0),"●","")))</f>
      </c>
      <c r="E95" s="43">
        <f>IF(NOT(Planos!$A94&lt;&gt;""),"",IF(COUNTIFS(Programação!$B$4:$B$503,Planos!$A94,Programação!$I$4:$I$503,"Concluído",Programação!$G$4:$G$503,"&gt;="&amp;DATE(ano_ref,2,1),Programação!$G$4:$G$503,"&lt;="&amp;EOMONTH(DATE(ano_ref,2,1),0))&gt;0,"✔",IF(AND(ISNUMBER(Planos!$G94),IFERROR(INDEX(lst_frequencia_meses,MATCH(Planos!$E94,lst_frequencia,0)),0)&gt;0,(ano_ref*12+2)-(YEAR(Planos!$G94)*12+MONTH(Planos!$G94))&gt;0,MOD((ano_ref*12+2)-(YEAR(Planos!$G94)*12+MONTH(Planos!$G94)),MAX(1,IFERROR(INDEX(lst_frequencia_meses,MATCH(Planos!$E94,lst_frequencia,0)),0)))=0),"●","")))</f>
      </c>
      <c r="F95" s="43">
        <f>IF(NOT(Planos!$A94&lt;&gt;""),"",IF(COUNTIFS(Programação!$B$4:$B$503,Planos!$A94,Programação!$I$4:$I$503,"Concluído",Programação!$G$4:$G$503,"&gt;="&amp;DATE(ano_ref,3,1),Programação!$G$4:$G$503,"&lt;="&amp;EOMONTH(DATE(ano_ref,3,1),0))&gt;0,"✔",IF(AND(ISNUMBER(Planos!$G94),IFERROR(INDEX(lst_frequencia_meses,MATCH(Planos!$E94,lst_frequencia,0)),0)&gt;0,(ano_ref*12+3)-(YEAR(Planos!$G94)*12+MONTH(Planos!$G94))&gt;0,MOD((ano_ref*12+3)-(YEAR(Planos!$G94)*12+MONTH(Planos!$G94)),MAX(1,IFERROR(INDEX(lst_frequencia_meses,MATCH(Planos!$E94,lst_frequencia,0)),0)))=0),"●","")))</f>
      </c>
      <c r="G95" s="43">
        <f>IF(NOT(Planos!$A94&lt;&gt;""),"",IF(COUNTIFS(Programação!$B$4:$B$503,Planos!$A94,Programação!$I$4:$I$503,"Concluído",Programação!$G$4:$G$503,"&gt;="&amp;DATE(ano_ref,4,1),Programação!$G$4:$G$503,"&lt;="&amp;EOMONTH(DATE(ano_ref,4,1),0))&gt;0,"✔",IF(AND(ISNUMBER(Planos!$G94),IFERROR(INDEX(lst_frequencia_meses,MATCH(Planos!$E94,lst_frequencia,0)),0)&gt;0,(ano_ref*12+4)-(YEAR(Planos!$G94)*12+MONTH(Planos!$G94))&gt;0,MOD((ano_ref*12+4)-(YEAR(Planos!$G94)*12+MONTH(Planos!$G94)),MAX(1,IFERROR(INDEX(lst_frequencia_meses,MATCH(Planos!$E94,lst_frequencia,0)),0)))=0),"●","")))</f>
      </c>
      <c r="H95" s="43">
        <f>IF(NOT(Planos!$A94&lt;&gt;""),"",IF(COUNTIFS(Programação!$B$4:$B$503,Planos!$A94,Programação!$I$4:$I$503,"Concluído",Programação!$G$4:$G$503,"&gt;="&amp;DATE(ano_ref,5,1),Programação!$G$4:$G$503,"&lt;="&amp;EOMONTH(DATE(ano_ref,5,1),0))&gt;0,"✔",IF(AND(ISNUMBER(Planos!$G94),IFERROR(INDEX(lst_frequencia_meses,MATCH(Planos!$E94,lst_frequencia,0)),0)&gt;0,(ano_ref*12+5)-(YEAR(Planos!$G94)*12+MONTH(Planos!$G94))&gt;0,MOD((ano_ref*12+5)-(YEAR(Planos!$G94)*12+MONTH(Planos!$G94)),MAX(1,IFERROR(INDEX(lst_frequencia_meses,MATCH(Planos!$E94,lst_frequencia,0)),0)))=0),"●","")))</f>
      </c>
      <c r="I95" s="43">
        <f>IF(NOT(Planos!$A94&lt;&gt;""),"",IF(COUNTIFS(Programação!$B$4:$B$503,Planos!$A94,Programação!$I$4:$I$503,"Concluído",Programação!$G$4:$G$503,"&gt;="&amp;DATE(ano_ref,6,1),Programação!$G$4:$G$503,"&lt;="&amp;EOMONTH(DATE(ano_ref,6,1),0))&gt;0,"✔",IF(AND(ISNUMBER(Planos!$G94),IFERROR(INDEX(lst_frequencia_meses,MATCH(Planos!$E94,lst_frequencia,0)),0)&gt;0,(ano_ref*12+6)-(YEAR(Planos!$G94)*12+MONTH(Planos!$G94))&gt;0,MOD((ano_ref*12+6)-(YEAR(Planos!$G94)*12+MONTH(Planos!$G94)),MAX(1,IFERROR(INDEX(lst_frequencia_meses,MATCH(Planos!$E94,lst_frequencia,0)),0)))=0),"●","")))</f>
      </c>
      <c r="J95" s="43">
        <f>IF(NOT(Planos!$A94&lt;&gt;""),"",IF(COUNTIFS(Programação!$B$4:$B$503,Planos!$A94,Programação!$I$4:$I$503,"Concluído",Programação!$G$4:$G$503,"&gt;="&amp;DATE(ano_ref,7,1),Programação!$G$4:$G$503,"&lt;="&amp;EOMONTH(DATE(ano_ref,7,1),0))&gt;0,"✔",IF(AND(ISNUMBER(Planos!$G94),IFERROR(INDEX(lst_frequencia_meses,MATCH(Planos!$E94,lst_frequencia,0)),0)&gt;0,(ano_ref*12+7)-(YEAR(Planos!$G94)*12+MONTH(Planos!$G94))&gt;0,MOD((ano_ref*12+7)-(YEAR(Planos!$G94)*12+MONTH(Planos!$G94)),MAX(1,IFERROR(INDEX(lst_frequencia_meses,MATCH(Planos!$E94,lst_frequencia,0)),0)))=0),"●","")))</f>
      </c>
      <c r="K95" s="43">
        <f>IF(NOT(Planos!$A94&lt;&gt;""),"",IF(COUNTIFS(Programação!$B$4:$B$503,Planos!$A94,Programação!$I$4:$I$503,"Concluído",Programação!$G$4:$G$503,"&gt;="&amp;DATE(ano_ref,8,1),Programação!$G$4:$G$503,"&lt;="&amp;EOMONTH(DATE(ano_ref,8,1),0))&gt;0,"✔",IF(AND(ISNUMBER(Planos!$G94),IFERROR(INDEX(lst_frequencia_meses,MATCH(Planos!$E94,lst_frequencia,0)),0)&gt;0,(ano_ref*12+8)-(YEAR(Planos!$G94)*12+MONTH(Planos!$G94))&gt;0,MOD((ano_ref*12+8)-(YEAR(Planos!$G94)*12+MONTH(Planos!$G94)),MAX(1,IFERROR(INDEX(lst_frequencia_meses,MATCH(Planos!$E94,lst_frequencia,0)),0)))=0),"●","")))</f>
      </c>
      <c r="L95" s="43">
        <f>IF(NOT(Planos!$A94&lt;&gt;""),"",IF(COUNTIFS(Programação!$B$4:$B$503,Planos!$A94,Programação!$I$4:$I$503,"Concluído",Programação!$G$4:$G$503,"&gt;="&amp;DATE(ano_ref,9,1),Programação!$G$4:$G$503,"&lt;="&amp;EOMONTH(DATE(ano_ref,9,1),0))&gt;0,"✔",IF(AND(ISNUMBER(Planos!$G94),IFERROR(INDEX(lst_frequencia_meses,MATCH(Planos!$E94,lst_frequencia,0)),0)&gt;0,(ano_ref*12+9)-(YEAR(Planos!$G94)*12+MONTH(Planos!$G94))&gt;0,MOD((ano_ref*12+9)-(YEAR(Planos!$G94)*12+MONTH(Planos!$G94)),MAX(1,IFERROR(INDEX(lst_frequencia_meses,MATCH(Planos!$E94,lst_frequencia,0)),0)))=0),"●","")))</f>
      </c>
      <c r="M95" s="43">
        <f>IF(NOT(Planos!$A94&lt;&gt;""),"",IF(COUNTIFS(Programação!$B$4:$B$503,Planos!$A94,Programação!$I$4:$I$503,"Concluído",Programação!$G$4:$G$503,"&gt;="&amp;DATE(ano_ref,10,1),Programação!$G$4:$G$503,"&lt;="&amp;EOMONTH(DATE(ano_ref,10,1),0))&gt;0,"✔",IF(AND(ISNUMBER(Planos!$G94),IFERROR(INDEX(lst_frequencia_meses,MATCH(Planos!$E94,lst_frequencia,0)),0)&gt;0,(ano_ref*12+10)-(YEAR(Planos!$G94)*12+MONTH(Planos!$G94))&gt;0,MOD((ano_ref*12+10)-(YEAR(Planos!$G94)*12+MONTH(Planos!$G94)),MAX(1,IFERROR(INDEX(lst_frequencia_meses,MATCH(Planos!$E94,lst_frequencia,0)),0)))=0),"●","")))</f>
      </c>
      <c r="N95" s="43">
        <f>IF(NOT(Planos!$A94&lt;&gt;""),"",IF(COUNTIFS(Programação!$B$4:$B$503,Planos!$A94,Programação!$I$4:$I$503,"Concluído",Programação!$G$4:$G$503,"&gt;="&amp;DATE(ano_ref,11,1),Programação!$G$4:$G$503,"&lt;="&amp;EOMONTH(DATE(ano_ref,11,1),0))&gt;0,"✔",IF(AND(ISNUMBER(Planos!$G94),IFERROR(INDEX(lst_frequencia_meses,MATCH(Planos!$E94,lst_frequencia,0)),0)&gt;0,(ano_ref*12+11)-(YEAR(Planos!$G94)*12+MONTH(Planos!$G94))&gt;0,MOD((ano_ref*12+11)-(YEAR(Planos!$G94)*12+MONTH(Planos!$G94)),MAX(1,IFERROR(INDEX(lst_frequencia_meses,MATCH(Planos!$E94,lst_frequencia,0)),0)))=0),"●","")))</f>
      </c>
      <c r="O95" s="43">
        <f>IF(NOT(Planos!$A94&lt;&gt;""),"",IF(COUNTIFS(Programação!$B$4:$B$503,Planos!$A94,Programação!$I$4:$I$503,"Concluído",Programação!$G$4:$G$503,"&gt;="&amp;DATE(ano_ref,12,1),Programação!$G$4:$G$503,"&lt;="&amp;EOMONTH(DATE(ano_ref,12,1),0))&gt;0,"✔",IF(AND(ISNUMBER(Planos!$G94),IFERROR(INDEX(lst_frequencia_meses,MATCH(Planos!$E94,lst_frequencia,0)),0)&gt;0,(ano_ref*12+12)-(YEAR(Planos!$G94)*12+MONTH(Planos!$G94))&gt;0,MOD((ano_ref*12+12)-(YEAR(Planos!$G94)*12+MONTH(Planos!$G94)),MAX(1,IFERROR(INDEX(lst_frequencia_meses,MATCH(Planos!$E94,lst_frequencia,0)),0)))=0),"●","")))</f>
      </c>
      <c r="P95" s="44">
        <f>IF(COUNTIF(D95:O95,"✔")+COUNTIF(D95:O95,"●")=0,"",COUNTIF(D95:O95,"✔")/(COUNTIF(D95:O95,"✔")+COUNTIF(D95:O95,"●")))</f>
      </c>
    </row>
    <row r="96" spans="1:16" x14ac:dyDescent="0.25">
      <c r="A96" s="43">
        <f>IF(Planos!$A95&lt;&gt;"",Planos!A95&amp;"","")</f>
      </c>
      <c r="B96" s="43">
        <f>IF(Planos!$A95&lt;&gt;"",Planos!B95&amp;"","")</f>
      </c>
      <c r="C96" s="24">
        <f>IF(Planos!$A95&lt;&gt;"",Planos!C95&amp;"","")</f>
      </c>
      <c r="D96" s="43">
        <f>IF(NOT(Planos!$A95&lt;&gt;""),"",IF(COUNTIFS(Programação!$B$4:$B$503,Planos!$A95,Programação!$I$4:$I$503,"Concluído",Programação!$G$4:$G$503,"&gt;="&amp;DATE(ano_ref,1,1),Programação!$G$4:$G$503,"&lt;="&amp;EOMONTH(DATE(ano_ref,1,1),0))&gt;0,"✔",IF(AND(ISNUMBER(Planos!$G95),IFERROR(INDEX(lst_frequencia_meses,MATCH(Planos!$E95,lst_frequencia,0)),0)&gt;0,(ano_ref*12+1)-(YEAR(Planos!$G95)*12+MONTH(Planos!$G95))&gt;0,MOD((ano_ref*12+1)-(YEAR(Planos!$G95)*12+MONTH(Planos!$G95)),MAX(1,IFERROR(INDEX(lst_frequencia_meses,MATCH(Planos!$E95,lst_frequencia,0)),0)))=0),"●","")))</f>
      </c>
      <c r="E96" s="43">
        <f>IF(NOT(Planos!$A95&lt;&gt;""),"",IF(COUNTIFS(Programação!$B$4:$B$503,Planos!$A95,Programação!$I$4:$I$503,"Concluído",Programação!$G$4:$G$503,"&gt;="&amp;DATE(ano_ref,2,1),Programação!$G$4:$G$503,"&lt;="&amp;EOMONTH(DATE(ano_ref,2,1),0))&gt;0,"✔",IF(AND(ISNUMBER(Planos!$G95),IFERROR(INDEX(lst_frequencia_meses,MATCH(Planos!$E95,lst_frequencia,0)),0)&gt;0,(ano_ref*12+2)-(YEAR(Planos!$G95)*12+MONTH(Planos!$G95))&gt;0,MOD((ano_ref*12+2)-(YEAR(Planos!$G95)*12+MONTH(Planos!$G95)),MAX(1,IFERROR(INDEX(lst_frequencia_meses,MATCH(Planos!$E95,lst_frequencia,0)),0)))=0),"●","")))</f>
      </c>
      <c r="F96" s="43">
        <f>IF(NOT(Planos!$A95&lt;&gt;""),"",IF(COUNTIFS(Programação!$B$4:$B$503,Planos!$A95,Programação!$I$4:$I$503,"Concluído",Programação!$G$4:$G$503,"&gt;="&amp;DATE(ano_ref,3,1),Programação!$G$4:$G$503,"&lt;="&amp;EOMONTH(DATE(ano_ref,3,1),0))&gt;0,"✔",IF(AND(ISNUMBER(Planos!$G95),IFERROR(INDEX(lst_frequencia_meses,MATCH(Planos!$E95,lst_frequencia,0)),0)&gt;0,(ano_ref*12+3)-(YEAR(Planos!$G95)*12+MONTH(Planos!$G95))&gt;0,MOD((ano_ref*12+3)-(YEAR(Planos!$G95)*12+MONTH(Planos!$G95)),MAX(1,IFERROR(INDEX(lst_frequencia_meses,MATCH(Planos!$E95,lst_frequencia,0)),0)))=0),"●","")))</f>
      </c>
      <c r="G96" s="43">
        <f>IF(NOT(Planos!$A95&lt;&gt;""),"",IF(COUNTIFS(Programação!$B$4:$B$503,Planos!$A95,Programação!$I$4:$I$503,"Concluído",Programação!$G$4:$G$503,"&gt;="&amp;DATE(ano_ref,4,1),Programação!$G$4:$G$503,"&lt;="&amp;EOMONTH(DATE(ano_ref,4,1),0))&gt;0,"✔",IF(AND(ISNUMBER(Planos!$G95),IFERROR(INDEX(lst_frequencia_meses,MATCH(Planos!$E95,lst_frequencia,0)),0)&gt;0,(ano_ref*12+4)-(YEAR(Planos!$G95)*12+MONTH(Planos!$G95))&gt;0,MOD((ano_ref*12+4)-(YEAR(Planos!$G95)*12+MONTH(Planos!$G95)),MAX(1,IFERROR(INDEX(lst_frequencia_meses,MATCH(Planos!$E95,lst_frequencia,0)),0)))=0),"●","")))</f>
      </c>
      <c r="H96" s="43">
        <f>IF(NOT(Planos!$A95&lt;&gt;""),"",IF(COUNTIFS(Programação!$B$4:$B$503,Planos!$A95,Programação!$I$4:$I$503,"Concluído",Programação!$G$4:$G$503,"&gt;="&amp;DATE(ano_ref,5,1),Programação!$G$4:$G$503,"&lt;="&amp;EOMONTH(DATE(ano_ref,5,1),0))&gt;0,"✔",IF(AND(ISNUMBER(Planos!$G95),IFERROR(INDEX(lst_frequencia_meses,MATCH(Planos!$E95,lst_frequencia,0)),0)&gt;0,(ano_ref*12+5)-(YEAR(Planos!$G95)*12+MONTH(Planos!$G95))&gt;0,MOD((ano_ref*12+5)-(YEAR(Planos!$G95)*12+MONTH(Planos!$G95)),MAX(1,IFERROR(INDEX(lst_frequencia_meses,MATCH(Planos!$E95,lst_frequencia,0)),0)))=0),"●","")))</f>
      </c>
      <c r="I96" s="43">
        <f>IF(NOT(Planos!$A95&lt;&gt;""),"",IF(COUNTIFS(Programação!$B$4:$B$503,Planos!$A95,Programação!$I$4:$I$503,"Concluído",Programação!$G$4:$G$503,"&gt;="&amp;DATE(ano_ref,6,1),Programação!$G$4:$G$503,"&lt;="&amp;EOMONTH(DATE(ano_ref,6,1),0))&gt;0,"✔",IF(AND(ISNUMBER(Planos!$G95),IFERROR(INDEX(lst_frequencia_meses,MATCH(Planos!$E95,lst_frequencia,0)),0)&gt;0,(ano_ref*12+6)-(YEAR(Planos!$G95)*12+MONTH(Planos!$G95))&gt;0,MOD((ano_ref*12+6)-(YEAR(Planos!$G95)*12+MONTH(Planos!$G95)),MAX(1,IFERROR(INDEX(lst_frequencia_meses,MATCH(Planos!$E95,lst_frequencia,0)),0)))=0),"●","")))</f>
      </c>
      <c r="J96" s="43">
        <f>IF(NOT(Planos!$A95&lt;&gt;""),"",IF(COUNTIFS(Programação!$B$4:$B$503,Planos!$A95,Programação!$I$4:$I$503,"Concluído",Programação!$G$4:$G$503,"&gt;="&amp;DATE(ano_ref,7,1),Programação!$G$4:$G$503,"&lt;="&amp;EOMONTH(DATE(ano_ref,7,1),0))&gt;0,"✔",IF(AND(ISNUMBER(Planos!$G95),IFERROR(INDEX(lst_frequencia_meses,MATCH(Planos!$E95,lst_frequencia,0)),0)&gt;0,(ano_ref*12+7)-(YEAR(Planos!$G95)*12+MONTH(Planos!$G95))&gt;0,MOD((ano_ref*12+7)-(YEAR(Planos!$G95)*12+MONTH(Planos!$G95)),MAX(1,IFERROR(INDEX(lst_frequencia_meses,MATCH(Planos!$E95,lst_frequencia,0)),0)))=0),"●","")))</f>
      </c>
      <c r="K96" s="43">
        <f>IF(NOT(Planos!$A95&lt;&gt;""),"",IF(COUNTIFS(Programação!$B$4:$B$503,Planos!$A95,Programação!$I$4:$I$503,"Concluído",Programação!$G$4:$G$503,"&gt;="&amp;DATE(ano_ref,8,1),Programação!$G$4:$G$503,"&lt;="&amp;EOMONTH(DATE(ano_ref,8,1),0))&gt;0,"✔",IF(AND(ISNUMBER(Planos!$G95),IFERROR(INDEX(lst_frequencia_meses,MATCH(Planos!$E95,lst_frequencia,0)),0)&gt;0,(ano_ref*12+8)-(YEAR(Planos!$G95)*12+MONTH(Planos!$G95))&gt;0,MOD((ano_ref*12+8)-(YEAR(Planos!$G95)*12+MONTH(Planos!$G95)),MAX(1,IFERROR(INDEX(lst_frequencia_meses,MATCH(Planos!$E95,lst_frequencia,0)),0)))=0),"●","")))</f>
      </c>
      <c r="L96" s="43">
        <f>IF(NOT(Planos!$A95&lt;&gt;""),"",IF(COUNTIFS(Programação!$B$4:$B$503,Planos!$A95,Programação!$I$4:$I$503,"Concluído",Programação!$G$4:$G$503,"&gt;="&amp;DATE(ano_ref,9,1),Programação!$G$4:$G$503,"&lt;="&amp;EOMONTH(DATE(ano_ref,9,1),0))&gt;0,"✔",IF(AND(ISNUMBER(Planos!$G95),IFERROR(INDEX(lst_frequencia_meses,MATCH(Planos!$E95,lst_frequencia,0)),0)&gt;0,(ano_ref*12+9)-(YEAR(Planos!$G95)*12+MONTH(Planos!$G95))&gt;0,MOD((ano_ref*12+9)-(YEAR(Planos!$G95)*12+MONTH(Planos!$G95)),MAX(1,IFERROR(INDEX(lst_frequencia_meses,MATCH(Planos!$E95,lst_frequencia,0)),0)))=0),"●","")))</f>
      </c>
      <c r="M96" s="43">
        <f>IF(NOT(Planos!$A95&lt;&gt;""),"",IF(COUNTIFS(Programação!$B$4:$B$503,Planos!$A95,Programação!$I$4:$I$503,"Concluído",Programação!$G$4:$G$503,"&gt;="&amp;DATE(ano_ref,10,1),Programação!$G$4:$G$503,"&lt;="&amp;EOMONTH(DATE(ano_ref,10,1),0))&gt;0,"✔",IF(AND(ISNUMBER(Planos!$G95),IFERROR(INDEX(lst_frequencia_meses,MATCH(Planos!$E95,lst_frequencia,0)),0)&gt;0,(ano_ref*12+10)-(YEAR(Planos!$G95)*12+MONTH(Planos!$G95))&gt;0,MOD((ano_ref*12+10)-(YEAR(Planos!$G95)*12+MONTH(Planos!$G95)),MAX(1,IFERROR(INDEX(lst_frequencia_meses,MATCH(Planos!$E95,lst_frequencia,0)),0)))=0),"●","")))</f>
      </c>
      <c r="N96" s="43">
        <f>IF(NOT(Planos!$A95&lt;&gt;""),"",IF(COUNTIFS(Programação!$B$4:$B$503,Planos!$A95,Programação!$I$4:$I$503,"Concluído",Programação!$G$4:$G$503,"&gt;="&amp;DATE(ano_ref,11,1),Programação!$G$4:$G$503,"&lt;="&amp;EOMONTH(DATE(ano_ref,11,1),0))&gt;0,"✔",IF(AND(ISNUMBER(Planos!$G95),IFERROR(INDEX(lst_frequencia_meses,MATCH(Planos!$E95,lst_frequencia,0)),0)&gt;0,(ano_ref*12+11)-(YEAR(Planos!$G95)*12+MONTH(Planos!$G95))&gt;0,MOD((ano_ref*12+11)-(YEAR(Planos!$G95)*12+MONTH(Planos!$G95)),MAX(1,IFERROR(INDEX(lst_frequencia_meses,MATCH(Planos!$E95,lst_frequencia,0)),0)))=0),"●","")))</f>
      </c>
      <c r="O96" s="43">
        <f>IF(NOT(Planos!$A95&lt;&gt;""),"",IF(COUNTIFS(Programação!$B$4:$B$503,Planos!$A95,Programação!$I$4:$I$503,"Concluído",Programação!$G$4:$G$503,"&gt;="&amp;DATE(ano_ref,12,1),Programação!$G$4:$G$503,"&lt;="&amp;EOMONTH(DATE(ano_ref,12,1),0))&gt;0,"✔",IF(AND(ISNUMBER(Planos!$G95),IFERROR(INDEX(lst_frequencia_meses,MATCH(Planos!$E95,lst_frequencia,0)),0)&gt;0,(ano_ref*12+12)-(YEAR(Planos!$G95)*12+MONTH(Planos!$G95))&gt;0,MOD((ano_ref*12+12)-(YEAR(Planos!$G95)*12+MONTH(Planos!$G95)),MAX(1,IFERROR(INDEX(lst_frequencia_meses,MATCH(Planos!$E95,lst_frequencia,0)),0)))=0),"●","")))</f>
      </c>
      <c r="P96" s="44">
        <f>IF(COUNTIF(D96:O96,"✔")+COUNTIF(D96:O96,"●")=0,"",COUNTIF(D96:O96,"✔")/(COUNTIF(D96:O96,"✔")+COUNTIF(D96:O96,"●")))</f>
      </c>
    </row>
    <row r="97" spans="1:16" x14ac:dyDescent="0.25">
      <c r="A97" s="43">
        <f>IF(Planos!$A96&lt;&gt;"",Planos!A96&amp;"","")</f>
      </c>
      <c r="B97" s="43">
        <f>IF(Planos!$A96&lt;&gt;"",Planos!B96&amp;"","")</f>
      </c>
      <c r="C97" s="24">
        <f>IF(Planos!$A96&lt;&gt;"",Planos!C96&amp;"","")</f>
      </c>
      <c r="D97" s="43">
        <f>IF(NOT(Planos!$A96&lt;&gt;""),"",IF(COUNTIFS(Programação!$B$4:$B$503,Planos!$A96,Programação!$I$4:$I$503,"Concluído",Programação!$G$4:$G$503,"&gt;="&amp;DATE(ano_ref,1,1),Programação!$G$4:$G$503,"&lt;="&amp;EOMONTH(DATE(ano_ref,1,1),0))&gt;0,"✔",IF(AND(ISNUMBER(Planos!$G96),IFERROR(INDEX(lst_frequencia_meses,MATCH(Planos!$E96,lst_frequencia,0)),0)&gt;0,(ano_ref*12+1)-(YEAR(Planos!$G96)*12+MONTH(Planos!$G96))&gt;0,MOD((ano_ref*12+1)-(YEAR(Planos!$G96)*12+MONTH(Planos!$G96)),MAX(1,IFERROR(INDEX(lst_frequencia_meses,MATCH(Planos!$E96,lst_frequencia,0)),0)))=0),"●","")))</f>
      </c>
      <c r="E97" s="43">
        <f>IF(NOT(Planos!$A96&lt;&gt;""),"",IF(COUNTIFS(Programação!$B$4:$B$503,Planos!$A96,Programação!$I$4:$I$503,"Concluído",Programação!$G$4:$G$503,"&gt;="&amp;DATE(ano_ref,2,1),Programação!$G$4:$G$503,"&lt;="&amp;EOMONTH(DATE(ano_ref,2,1),0))&gt;0,"✔",IF(AND(ISNUMBER(Planos!$G96),IFERROR(INDEX(lst_frequencia_meses,MATCH(Planos!$E96,lst_frequencia,0)),0)&gt;0,(ano_ref*12+2)-(YEAR(Planos!$G96)*12+MONTH(Planos!$G96))&gt;0,MOD((ano_ref*12+2)-(YEAR(Planos!$G96)*12+MONTH(Planos!$G96)),MAX(1,IFERROR(INDEX(lst_frequencia_meses,MATCH(Planos!$E96,lst_frequencia,0)),0)))=0),"●","")))</f>
      </c>
      <c r="F97" s="43">
        <f>IF(NOT(Planos!$A96&lt;&gt;""),"",IF(COUNTIFS(Programação!$B$4:$B$503,Planos!$A96,Programação!$I$4:$I$503,"Concluído",Programação!$G$4:$G$503,"&gt;="&amp;DATE(ano_ref,3,1),Programação!$G$4:$G$503,"&lt;="&amp;EOMONTH(DATE(ano_ref,3,1),0))&gt;0,"✔",IF(AND(ISNUMBER(Planos!$G96),IFERROR(INDEX(lst_frequencia_meses,MATCH(Planos!$E96,lst_frequencia,0)),0)&gt;0,(ano_ref*12+3)-(YEAR(Planos!$G96)*12+MONTH(Planos!$G96))&gt;0,MOD((ano_ref*12+3)-(YEAR(Planos!$G96)*12+MONTH(Planos!$G96)),MAX(1,IFERROR(INDEX(lst_frequencia_meses,MATCH(Planos!$E96,lst_frequencia,0)),0)))=0),"●","")))</f>
      </c>
      <c r="G97" s="43">
        <f>IF(NOT(Planos!$A96&lt;&gt;""),"",IF(COUNTIFS(Programação!$B$4:$B$503,Planos!$A96,Programação!$I$4:$I$503,"Concluído",Programação!$G$4:$G$503,"&gt;="&amp;DATE(ano_ref,4,1),Programação!$G$4:$G$503,"&lt;="&amp;EOMONTH(DATE(ano_ref,4,1),0))&gt;0,"✔",IF(AND(ISNUMBER(Planos!$G96),IFERROR(INDEX(lst_frequencia_meses,MATCH(Planos!$E96,lst_frequencia,0)),0)&gt;0,(ano_ref*12+4)-(YEAR(Planos!$G96)*12+MONTH(Planos!$G96))&gt;0,MOD((ano_ref*12+4)-(YEAR(Planos!$G96)*12+MONTH(Planos!$G96)),MAX(1,IFERROR(INDEX(lst_frequencia_meses,MATCH(Planos!$E96,lst_frequencia,0)),0)))=0),"●","")))</f>
      </c>
      <c r="H97" s="43">
        <f>IF(NOT(Planos!$A96&lt;&gt;""),"",IF(COUNTIFS(Programação!$B$4:$B$503,Planos!$A96,Programação!$I$4:$I$503,"Concluído",Programação!$G$4:$G$503,"&gt;="&amp;DATE(ano_ref,5,1),Programação!$G$4:$G$503,"&lt;="&amp;EOMONTH(DATE(ano_ref,5,1),0))&gt;0,"✔",IF(AND(ISNUMBER(Planos!$G96),IFERROR(INDEX(lst_frequencia_meses,MATCH(Planos!$E96,lst_frequencia,0)),0)&gt;0,(ano_ref*12+5)-(YEAR(Planos!$G96)*12+MONTH(Planos!$G96))&gt;0,MOD((ano_ref*12+5)-(YEAR(Planos!$G96)*12+MONTH(Planos!$G96)),MAX(1,IFERROR(INDEX(lst_frequencia_meses,MATCH(Planos!$E96,lst_frequencia,0)),0)))=0),"●","")))</f>
      </c>
      <c r="I97" s="43">
        <f>IF(NOT(Planos!$A96&lt;&gt;""),"",IF(COUNTIFS(Programação!$B$4:$B$503,Planos!$A96,Programação!$I$4:$I$503,"Concluído",Programação!$G$4:$G$503,"&gt;="&amp;DATE(ano_ref,6,1),Programação!$G$4:$G$503,"&lt;="&amp;EOMONTH(DATE(ano_ref,6,1),0))&gt;0,"✔",IF(AND(ISNUMBER(Planos!$G96),IFERROR(INDEX(lst_frequencia_meses,MATCH(Planos!$E96,lst_frequencia,0)),0)&gt;0,(ano_ref*12+6)-(YEAR(Planos!$G96)*12+MONTH(Planos!$G96))&gt;0,MOD((ano_ref*12+6)-(YEAR(Planos!$G96)*12+MONTH(Planos!$G96)),MAX(1,IFERROR(INDEX(lst_frequencia_meses,MATCH(Planos!$E96,lst_frequencia,0)),0)))=0),"●","")))</f>
      </c>
      <c r="J97" s="43">
        <f>IF(NOT(Planos!$A96&lt;&gt;""),"",IF(COUNTIFS(Programação!$B$4:$B$503,Planos!$A96,Programação!$I$4:$I$503,"Concluído",Programação!$G$4:$G$503,"&gt;="&amp;DATE(ano_ref,7,1),Programação!$G$4:$G$503,"&lt;="&amp;EOMONTH(DATE(ano_ref,7,1),0))&gt;0,"✔",IF(AND(ISNUMBER(Planos!$G96),IFERROR(INDEX(lst_frequencia_meses,MATCH(Planos!$E96,lst_frequencia,0)),0)&gt;0,(ano_ref*12+7)-(YEAR(Planos!$G96)*12+MONTH(Planos!$G96))&gt;0,MOD((ano_ref*12+7)-(YEAR(Planos!$G96)*12+MONTH(Planos!$G96)),MAX(1,IFERROR(INDEX(lst_frequencia_meses,MATCH(Planos!$E96,lst_frequencia,0)),0)))=0),"●","")))</f>
      </c>
      <c r="K97" s="43">
        <f>IF(NOT(Planos!$A96&lt;&gt;""),"",IF(COUNTIFS(Programação!$B$4:$B$503,Planos!$A96,Programação!$I$4:$I$503,"Concluído",Programação!$G$4:$G$503,"&gt;="&amp;DATE(ano_ref,8,1),Programação!$G$4:$G$503,"&lt;="&amp;EOMONTH(DATE(ano_ref,8,1),0))&gt;0,"✔",IF(AND(ISNUMBER(Planos!$G96),IFERROR(INDEX(lst_frequencia_meses,MATCH(Planos!$E96,lst_frequencia,0)),0)&gt;0,(ano_ref*12+8)-(YEAR(Planos!$G96)*12+MONTH(Planos!$G96))&gt;0,MOD((ano_ref*12+8)-(YEAR(Planos!$G96)*12+MONTH(Planos!$G96)),MAX(1,IFERROR(INDEX(lst_frequencia_meses,MATCH(Planos!$E96,lst_frequencia,0)),0)))=0),"●","")))</f>
      </c>
      <c r="L97" s="43">
        <f>IF(NOT(Planos!$A96&lt;&gt;""),"",IF(COUNTIFS(Programação!$B$4:$B$503,Planos!$A96,Programação!$I$4:$I$503,"Concluído",Programação!$G$4:$G$503,"&gt;="&amp;DATE(ano_ref,9,1),Programação!$G$4:$G$503,"&lt;="&amp;EOMONTH(DATE(ano_ref,9,1),0))&gt;0,"✔",IF(AND(ISNUMBER(Planos!$G96),IFERROR(INDEX(lst_frequencia_meses,MATCH(Planos!$E96,lst_frequencia,0)),0)&gt;0,(ano_ref*12+9)-(YEAR(Planos!$G96)*12+MONTH(Planos!$G96))&gt;0,MOD((ano_ref*12+9)-(YEAR(Planos!$G96)*12+MONTH(Planos!$G96)),MAX(1,IFERROR(INDEX(lst_frequencia_meses,MATCH(Planos!$E96,lst_frequencia,0)),0)))=0),"●","")))</f>
      </c>
      <c r="M97" s="43">
        <f>IF(NOT(Planos!$A96&lt;&gt;""),"",IF(COUNTIFS(Programação!$B$4:$B$503,Planos!$A96,Programação!$I$4:$I$503,"Concluído",Programação!$G$4:$G$503,"&gt;="&amp;DATE(ano_ref,10,1),Programação!$G$4:$G$503,"&lt;="&amp;EOMONTH(DATE(ano_ref,10,1),0))&gt;0,"✔",IF(AND(ISNUMBER(Planos!$G96),IFERROR(INDEX(lst_frequencia_meses,MATCH(Planos!$E96,lst_frequencia,0)),0)&gt;0,(ano_ref*12+10)-(YEAR(Planos!$G96)*12+MONTH(Planos!$G96))&gt;0,MOD((ano_ref*12+10)-(YEAR(Planos!$G96)*12+MONTH(Planos!$G96)),MAX(1,IFERROR(INDEX(lst_frequencia_meses,MATCH(Planos!$E96,lst_frequencia,0)),0)))=0),"●","")))</f>
      </c>
      <c r="N97" s="43">
        <f>IF(NOT(Planos!$A96&lt;&gt;""),"",IF(COUNTIFS(Programação!$B$4:$B$503,Planos!$A96,Programação!$I$4:$I$503,"Concluído",Programação!$G$4:$G$503,"&gt;="&amp;DATE(ano_ref,11,1),Programação!$G$4:$G$503,"&lt;="&amp;EOMONTH(DATE(ano_ref,11,1),0))&gt;0,"✔",IF(AND(ISNUMBER(Planos!$G96),IFERROR(INDEX(lst_frequencia_meses,MATCH(Planos!$E96,lst_frequencia,0)),0)&gt;0,(ano_ref*12+11)-(YEAR(Planos!$G96)*12+MONTH(Planos!$G96))&gt;0,MOD((ano_ref*12+11)-(YEAR(Planos!$G96)*12+MONTH(Planos!$G96)),MAX(1,IFERROR(INDEX(lst_frequencia_meses,MATCH(Planos!$E96,lst_frequencia,0)),0)))=0),"●","")))</f>
      </c>
      <c r="O97" s="43">
        <f>IF(NOT(Planos!$A96&lt;&gt;""),"",IF(COUNTIFS(Programação!$B$4:$B$503,Planos!$A96,Programação!$I$4:$I$503,"Concluído",Programação!$G$4:$G$503,"&gt;="&amp;DATE(ano_ref,12,1),Programação!$G$4:$G$503,"&lt;="&amp;EOMONTH(DATE(ano_ref,12,1),0))&gt;0,"✔",IF(AND(ISNUMBER(Planos!$G96),IFERROR(INDEX(lst_frequencia_meses,MATCH(Planos!$E96,lst_frequencia,0)),0)&gt;0,(ano_ref*12+12)-(YEAR(Planos!$G96)*12+MONTH(Planos!$G96))&gt;0,MOD((ano_ref*12+12)-(YEAR(Planos!$G96)*12+MONTH(Planos!$G96)),MAX(1,IFERROR(INDEX(lst_frequencia_meses,MATCH(Planos!$E96,lst_frequencia,0)),0)))=0),"●","")))</f>
      </c>
      <c r="P97" s="44">
        <f>IF(COUNTIF(D97:O97,"✔")+COUNTIF(D97:O97,"●")=0,"",COUNTIF(D97:O97,"✔")/(COUNTIF(D97:O97,"✔")+COUNTIF(D97:O97,"●")))</f>
      </c>
    </row>
    <row r="98" spans="1:16" x14ac:dyDescent="0.25">
      <c r="A98" s="43">
        <f>IF(Planos!$A97&lt;&gt;"",Planos!A97&amp;"","")</f>
      </c>
      <c r="B98" s="43">
        <f>IF(Planos!$A97&lt;&gt;"",Planos!B97&amp;"","")</f>
      </c>
      <c r="C98" s="24">
        <f>IF(Planos!$A97&lt;&gt;"",Planos!C97&amp;"","")</f>
      </c>
      <c r="D98" s="43">
        <f>IF(NOT(Planos!$A97&lt;&gt;""),"",IF(COUNTIFS(Programação!$B$4:$B$503,Planos!$A97,Programação!$I$4:$I$503,"Concluído",Programação!$G$4:$G$503,"&gt;="&amp;DATE(ano_ref,1,1),Programação!$G$4:$G$503,"&lt;="&amp;EOMONTH(DATE(ano_ref,1,1),0))&gt;0,"✔",IF(AND(ISNUMBER(Planos!$G97),IFERROR(INDEX(lst_frequencia_meses,MATCH(Planos!$E97,lst_frequencia,0)),0)&gt;0,(ano_ref*12+1)-(YEAR(Planos!$G97)*12+MONTH(Planos!$G97))&gt;0,MOD((ano_ref*12+1)-(YEAR(Planos!$G97)*12+MONTH(Planos!$G97)),MAX(1,IFERROR(INDEX(lst_frequencia_meses,MATCH(Planos!$E97,lst_frequencia,0)),0)))=0),"●","")))</f>
      </c>
      <c r="E98" s="43">
        <f>IF(NOT(Planos!$A97&lt;&gt;""),"",IF(COUNTIFS(Programação!$B$4:$B$503,Planos!$A97,Programação!$I$4:$I$503,"Concluído",Programação!$G$4:$G$503,"&gt;="&amp;DATE(ano_ref,2,1),Programação!$G$4:$G$503,"&lt;="&amp;EOMONTH(DATE(ano_ref,2,1),0))&gt;0,"✔",IF(AND(ISNUMBER(Planos!$G97),IFERROR(INDEX(lst_frequencia_meses,MATCH(Planos!$E97,lst_frequencia,0)),0)&gt;0,(ano_ref*12+2)-(YEAR(Planos!$G97)*12+MONTH(Planos!$G97))&gt;0,MOD((ano_ref*12+2)-(YEAR(Planos!$G97)*12+MONTH(Planos!$G97)),MAX(1,IFERROR(INDEX(lst_frequencia_meses,MATCH(Planos!$E97,lst_frequencia,0)),0)))=0),"●","")))</f>
      </c>
      <c r="F98" s="43">
        <f>IF(NOT(Planos!$A97&lt;&gt;""),"",IF(COUNTIFS(Programação!$B$4:$B$503,Planos!$A97,Programação!$I$4:$I$503,"Concluído",Programação!$G$4:$G$503,"&gt;="&amp;DATE(ano_ref,3,1),Programação!$G$4:$G$503,"&lt;="&amp;EOMONTH(DATE(ano_ref,3,1),0))&gt;0,"✔",IF(AND(ISNUMBER(Planos!$G97),IFERROR(INDEX(lst_frequencia_meses,MATCH(Planos!$E97,lst_frequencia,0)),0)&gt;0,(ano_ref*12+3)-(YEAR(Planos!$G97)*12+MONTH(Planos!$G97))&gt;0,MOD((ano_ref*12+3)-(YEAR(Planos!$G97)*12+MONTH(Planos!$G97)),MAX(1,IFERROR(INDEX(lst_frequencia_meses,MATCH(Planos!$E97,lst_frequencia,0)),0)))=0),"●","")))</f>
      </c>
      <c r="G98" s="43">
        <f>IF(NOT(Planos!$A97&lt;&gt;""),"",IF(COUNTIFS(Programação!$B$4:$B$503,Planos!$A97,Programação!$I$4:$I$503,"Concluído",Programação!$G$4:$G$503,"&gt;="&amp;DATE(ano_ref,4,1),Programação!$G$4:$G$503,"&lt;="&amp;EOMONTH(DATE(ano_ref,4,1),0))&gt;0,"✔",IF(AND(ISNUMBER(Planos!$G97),IFERROR(INDEX(lst_frequencia_meses,MATCH(Planos!$E97,lst_frequencia,0)),0)&gt;0,(ano_ref*12+4)-(YEAR(Planos!$G97)*12+MONTH(Planos!$G97))&gt;0,MOD((ano_ref*12+4)-(YEAR(Planos!$G97)*12+MONTH(Planos!$G97)),MAX(1,IFERROR(INDEX(lst_frequencia_meses,MATCH(Planos!$E97,lst_frequencia,0)),0)))=0),"●","")))</f>
      </c>
      <c r="H98" s="43">
        <f>IF(NOT(Planos!$A97&lt;&gt;""),"",IF(COUNTIFS(Programação!$B$4:$B$503,Planos!$A97,Programação!$I$4:$I$503,"Concluído",Programação!$G$4:$G$503,"&gt;="&amp;DATE(ano_ref,5,1),Programação!$G$4:$G$503,"&lt;="&amp;EOMONTH(DATE(ano_ref,5,1),0))&gt;0,"✔",IF(AND(ISNUMBER(Planos!$G97),IFERROR(INDEX(lst_frequencia_meses,MATCH(Planos!$E97,lst_frequencia,0)),0)&gt;0,(ano_ref*12+5)-(YEAR(Planos!$G97)*12+MONTH(Planos!$G97))&gt;0,MOD((ano_ref*12+5)-(YEAR(Planos!$G97)*12+MONTH(Planos!$G97)),MAX(1,IFERROR(INDEX(lst_frequencia_meses,MATCH(Planos!$E97,lst_frequencia,0)),0)))=0),"●","")))</f>
      </c>
      <c r="I98" s="43">
        <f>IF(NOT(Planos!$A97&lt;&gt;""),"",IF(COUNTIFS(Programação!$B$4:$B$503,Planos!$A97,Programação!$I$4:$I$503,"Concluído",Programação!$G$4:$G$503,"&gt;="&amp;DATE(ano_ref,6,1),Programação!$G$4:$G$503,"&lt;="&amp;EOMONTH(DATE(ano_ref,6,1),0))&gt;0,"✔",IF(AND(ISNUMBER(Planos!$G97),IFERROR(INDEX(lst_frequencia_meses,MATCH(Planos!$E97,lst_frequencia,0)),0)&gt;0,(ano_ref*12+6)-(YEAR(Planos!$G97)*12+MONTH(Planos!$G97))&gt;0,MOD((ano_ref*12+6)-(YEAR(Planos!$G97)*12+MONTH(Planos!$G97)),MAX(1,IFERROR(INDEX(lst_frequencia_meses,MATCH(Planos!$E97,lst_frequencia,0)),0)))=0),"●","")))</f>
      </c>
      <c r="J98" s="43">
        <f>IF(NOT(Planos!$A97&lt;&gt;""),"",IF(COUNTIFS(Programação!$B$4:$B$503,Planos!$A97,Programação!$I$4:$I$503,"Concluído",Programação!$G$4:$G$503,"&gt;="&amp;DATE(ano_ref,7,1),Programação!$G$4:$G$503,"&lt;="&amp;EOMONTH(DATE(ano_ref,7,1),0))&gt;0,"✔",IF(AND(ISNUMBER(Planos!$G97),IFERROR(INDEX(lst_frequencia_meses,MATCH(Planos!$E97,lst_frequencia,0)),0)&gt;0,(ano_ref*12+7)-(YEAR(Planos!$G97)*12+MONTH(Planos!$G97))&gt;0,MOD((ano_ref*12+7)-(YEAR(Planos!$G97)*12+MONTH(Planos!$G97)),MAX(1,IFERROR(INDEX(lst_frequencia_meses,MATCH(Planos!$E97,lst_frequencia,0)),0)))=0),"●","")))</f>
      </c>
      <c r="K98" s="43">
        <f>IF(NOT(Planos!$A97&lt;&gt;""),"",IF(COUNTIFS(Programação!$B$4:$B$503,Planos!$A97,Programação!$I$4:$I$503,"Concluído",Programação!$G$4:$G$503,"&gt;="&amp;DATE(ano_ref,8,1),Programação!$G$4:$G$503,"&lt;="&amp;EOMONTH(DATE(ano_ref,8,1),0))&gt;0,"✔",IF(AND(ISNUMBER(Planos!$G97),IFERROR(INDEX(lst_frequencia_meses,MATCH(Planos!$E97,lst_frequencia,0)),0)&gt;0,(ano_ref*12+8)-(YEAR(Planos!$G97)*12+MONTH(Planos!$G97))&gt;0,MOD((ano_ref*12+8)-(YEAR(Planos!$G97)*12+MONTH(Planos!$G97)),MAX(1,IFERROR(INDEX(lst_frequencia_meses,MATCH(Planos!$E97,lst_frequencia,0)),0)))=0),"●","")))</f>
      </c>
      <c r="L98" s="43">
        <f>IF(NOT(Planos!$A97&lt;&gt;""),"",IF(COUNTIFS(Programação!$B$4:$B$503,Planos!$A97,Programação!$I$4:$I$503,"Concluído",Programação!$G$4:$G$503,"&gt;="&amp;DATE(ano_ref,9,1),Programação!$G$4:$G$503,"&lt;="&amp;EOMONTH(DATE(ano_ref,9,1),0))&gt;0,"✔",IF(AND(ISNUMBER(Planos!$G97),IFERROR(INDEX(lst_frequencia_meses,MATCH(Planos!$E97,lst_frequencia,0)),0)&gt;0,(ano_ref*12+9)-(YEAR(Planos!$G97)*12+MONTH(Planos!$G97))&gt;0,MOD((ano_ref*12+9)-(YEAR(Planos!$G97)*12+MONTH(Planos!$G97)),MAX(1,IFERROR(INDEX(lst_frequencia_meses,MATCH(Planos!$E97,lst_frequencia,0)),0)))=0),"●","")))</f>
      </c>
      <c r="M98" s="43">
        <f>IF(NOT(Planos!$A97&lt;&gt;""),"",IF(COUNTIFS(Programação!$B$4:$B$503,Planos!$A97,Programação!$I$4:$I$503,"Concluído",Programação!$G$4:$G$503,"&gt;="&amp;DATE(ano_ref,10,1),Programação!$G$4:$G$503,"&lt;="&amp;EOMONTH(DATE(ano_ref,10,1),0))&gt;0,"✔",IF(AND(ISNUMBER(Planos!$G97),IFERROR(INDEX(lst_frequencia_meses,MATCH(Planos!$E97,lst_frequencia,0)),0)&gt;0,(ano_ref*12+10)-(YEAR(Planos!$G97)*12+MONTH(Planos!$G97))&gt;0,MOD((ano_ref*12+10)-(YEAR(Planos!$G97)*12+MONTH(Planos!$G97)),MAX(1,IFERROR(INDEX(lst_frequencia_meses,MATCH(Planos!$E97,lst_frequencia,0)),0)))=0),"●","")))</f>
      </c>
      <c r="N98" s="43">
        <f>IF(NOT(Planos!$A97&lt;&gt;""),"",IF(COUNTIFS(Programação!$B$4:$B$503,Planos!$A97,Programação!$I$4:$I$503,"Concluído",Programação!$G$4:$G$503,"&gt;="&amp;DATE(ano_ref,11,1),Programação!$G$4:$G$503,"&lt;="&amp;EOMONTH(DATE(ano_ref,11,1),0))&gt;0,"✔",IF(AND(ISNUMBER(Planos!$G97),IFERROR(INDEX(lst_frequencia_meses,MATCH(Planos!$E97,lst_frequencia,0)),0)&gt;0,(ano_ref*12+11)-(YEAR(Planos!$G97)*12+MONTH(Planos!$G97))&gt;0,MOD((ano_ref*12+11)-(YEAR(Planos!$G97)*12+MONTH(Planos!$G97)),MAX(1,IFERROR(INDEX(lst_frequencia_meses,MATCH(Planos!$E97,lst_frequencia,0)),0)))=0),"●","")))</f>
      </c>
      <c r="O98" s="43">
        <f>IF(NOT(Planos!$A97&lt;&gt;""),"",IF(COUNTIFS(Programação!$B$4:$B$503,Planos!$A97,Programação!$I$4:$I$503,"Concluído",Programação!$G$4:$G$503,"&gt;="&amp;DATE(ano_ref,12,1),Programação!$G$4:$G$503,"&lt;="&amp;EOMONTH(DATE(ano_ref,12,1),0))&gt;0,"✔",IF(AND(ISNUMBER(Planos!$G97),IFERROR(INDEX(lst_frequencia_meses,MATCH(Planos!$E97,lst_frequencia,0)),0)&gt;0,(ano_ref*12+12)-(YEAR(Planos!$G97)*12+MONTH(Planos!$G97))&gt;0,MOD((ano_ref*12+12)-(YEAR(Planos!$G97)*12+MONTH(Planos!$G97)),MAX(1,IFERROR(INDEX(lst_frequencia_meses,MATCH(Planos!$E97,lst_frequencia,0)),0)))=0),"●","")))</f>
      </c>
      <c r="P98" s="44">
        <f>IF(COUNTIF(D98:O98,"✔")+COUNTIF(D98:O98,"●")=0,"",COUNTIF(D98:O98,"✔")/(COUNTIF(D98:O98,"✔")+COUNTIF(D98:O98,"●")))</f>
      </c>
    </row>
    <row r="99" spans="1:16" x14ac:dyDescent="0.25">
      <c r="A99" s="43">
        <f>IF(Planos!$A98&lt;&gt;"",Planos!A98&amp;"","")</f>
      </c>
      <c r="B99" s="43">
        <f>IF(Planos!$A98&lt;&gt;"",Planos!B98&amp;"","")</f>
      </c>
      <c r="C99" s="24">
        <f>IF(Planos!$A98&lt;&gt;"",Planos!C98&amp;"","")</f>
      </c>
      <c r="D99" s="43">
        <f>IF(NOT(Planos!$A98&lt;&gt;""),"",IF(COUNTIFS(Programação!$B$4:$B$503,Planos!$A98,Programação!$I$4:$I$503,"Concluído",Programação!$G$4:$G$503,"&gt;="&amp;DATE(ano_ref,1,1),Programação!$G$4:$G$503,"&lt;="&amp;EOMONTH(DATE(ano_ref,1,1),0))&gt;0,"✔",IF(AND(ISNUMBER(Planos!$G98),IFERROR(INDEX(lst_frequencia_meses,MATCH(Planos!$E98,lst_frequencia,0)),0)&gt;0,(ano_ref*12+1)-(YEAR(Planos!$G98)*12+MONTH(Planos!$G98))&gt;0,MOD((ano_ref*12+1)-(YEAR(Planos!$G98)*12+MONTH(Planos!$G98)),MAX(1,IFERROR(INDEX(lst_frequencia_meses,MATCH(Planos!$E98,lst_frequencia,0)),0)))=0),"●","")))</f>
      </c>
      <c r="E99" s="43">
        <f>IF(NOT(Planos!$A98&lt;&gt;""),"",IF(COUNTIFS(Programação!$B$4:$B$503,Planos!$A98,Programação!$I$4:$I$503,"Concluído",Programação!$G$4:$G$503,"&gt;="&amp;DATE(ano_ref,2,1),Programação!$G$4:$G$503,"&lt;="&amp;EOMONTH(DATE(ano_ref,2,1),0))&gt;0,"✔",IF(AND(ISNUMBER(Planos!$G98),IFERROR(INDEX(lst_frequencia_meses,MATCH(Planos!$E98,lst_frequencia,0)),0)&gt;0,(ano_ref*12+2)-(YEAR(Planos!$G98)*12+MONTH(Planos!$G98))&gt;0,MOD((ano_ref*12+2)-(YEAR(Planos!$G98)*12+MONTH(Planos!$G98)),MAX(1,IFERROR(INDEX(lst_frequencia_meses,MATCH(Planos!$E98,lst_frequencia,0)),0)))=0),"●","")))</f>
      </c>
      <c r="F99" s="43">
        <f>IF(NOT(Planos!$A98&lt;&gt;""),"",IF(COUNTIFS(Programação!$B$4:$B$503,Planos!$A98,Programação!$I$4:$I$503,"Concluído",Programação!$G$4:$G$503,"&gt;="&amp;DATE(ano_ref,3,1),Programação!$G$4:$G$503,"&lt;="&amp;EOMONTH(DATE(ano_ref,3,1),0))&gt;0,"✔",IF(AND(ISNUMBER(Planos!$G98),IFERROR(INDEX(lst_frequencia_meses,MATCH(Planos!$E98,lst_frequencia,0)),0)&gt;0,(ano_ref*12+3)-(YEAR(Planos!$G98)*12+MONTH(Planos!$G98))&gt;0,MOD((ano_ref*12+3)-(YEAR(Planos!$G98)*12+MONTH(Planos!$G98)),MAX(1,IFERROR(INDEX(lst_frequencia_meses,MATCH(Planos!$E98,lst_frequencia,0)),0)))=0),"●","")))</f>
      </c>
      <c r="G99" s="43">
        <f>IF(NOT(Planos!$A98&lt;&gt;""),"",IF(COUNTIFS(Programação!$B$4:$B$503,Planos!$A98,Programação!$I$4:$I$503,"Concluído",Programação!$G$4:$G$503,"&gt;="&amp;DATE(ano_ref,4,1),Programação!$G$4:$G$503,"&lt;="&amp;EOMONTH(DATE(ano_ref,4,1),0))&gt;0,"✔",IF(AND(ISNUMBER(Planos!$G98),IFERROR(INDEX(lst_frequencia_meses,MATCH(Planos!$E98,lst_frequencia,0)),0)&gt;0,(ano_ref*12+4)-(YEAR(Planos!$G98)*12+MONTH(Planos!$G98))&gt;0,MOD((ano_ref*12+4)-(YEAR(Planos!$G98)*12+MONTH(Planos!$G98)),MAX(1,IFERROR(INDEX(lst_frequencia_meses,MATCH(Planos!$E98,lst_frequencia,0)),0)))=0),"●","")))</f>
      </c>
      <c r="H99" s="43">
        <f>IF(NOT(Planos!$A98&lt;&gt;""),"",IF(COUNTIFS(Programação!$B$4:$B$503,Planos!$A98,Programação!$I$4:$I$503,"Concluído",Programação!$G$4:$G$503,"&gt;="&amp;DATE(ano_ref,5,1),Programação!$G$4:$G$503,"&lt;="&amp;EOMONTH(DATE(ano_ref,5,1),0))&gt;0,"✔",IF(AND(ISNUMBER(Planos!$G98),IFERROR(INDEX(lst_frequencia_meses,MATCH(Planos!$E98,lst_frequencia,0)),0)&gt;0,(ano_ref*12+5)-(YEAR(Planos!$G98)*12+MONTH(Planos!$G98))&gt;0,MOD((ano_ref*12+5)-(YEAR(Planos!$G98)*12+MONTH(Planos!$G98)),MAX(1,IFERROR(INDEX(lst_frequencia_meses,MATCH(Planos!$E98,lst_frequencia,0)),0)))=0),"●","")))</f>
      </c>
      <c r="I99" s="43">
        <f>IF(NOT(Planos!$A98&lt;&gt;""),"",IF(COUNTIFS(Programação!$B$4:$B$503,Planos!$A98,Programação!$I$4:$I$503,"Concluído",Programação!$G$4:$G$503,"&gt;="&amp;DATE(ano_ref,6,1),Programação!$G$4:$G$503,"&lt;="&amp;EOMONTH(DATE(ano_ref,6,1),0))&gt;0,"✔",IF(AND(ISNUMBER(Planos!$G98),IFERROR(INDEX(lst_frequencia_meses,MATCH(Planos!$E98,lst_frequencia,0)),0)&gt;0,(ano_ref*12+6)-(YEAR(Planos!$G98)*12+MONTH(Planos!$G98))&gt;0,MOD((ano_ref*12+6)-(YEAR(Planos!$G98)*12+MONTH(Planos!$G98)),MAX(1,IFERROR(INDEX(lst_frequencia_meses,MATCH(Planos!$E98,lst_frequencia,0)),0)))=0),"●","")))</f>
      </c>
      <c r="J99" s="43">
        <f>IF(NOT(Planos!$A98&lt;&gt;""),"",IF(COUNTIFS(Programação!$B$4:$B$503,Planos!$A98,Programação!$I$4:$I$503,"Concluído",Programação!$G$4:$G$503,"&gt;="&amp;DATE(ano_ref,7,1),Programação!$G$4:$G$503,"&lt;="&amp;EOMONTH(DATE(ano_ref,7,1),0))&gt;0,"✔",IF(AND(ISNUMBER(Planos!$G98),IFERROR(INDEX(lst_frequencia_meses,MATCH(Planos!$E98,lst_frequencia,0)),0)&gt;0,(ano_ref*12+7)-(YEAR(Planos!$G98)*12+MONTH(Planos!$G98))&gt;0,MOD((ano_ref*12+7)-(YEAR(Planos!$G98)*12+MONTH(Planos!$G98)),MAX(1,IFERROR(INDEX(lst_frequencia_meses,MATCH(Planos!$E98,lst_frequencia,0)),0)))=0),"●","")))</f>
      </c>
      <c r="K99" s="43">
        <f>IF(NOT(Planos!$A98&lt;&gt;""),"",IF(COUNTIFS(Programação!$B$4:$B$503,Planos!$A98,Programação!$I$4:$I$503,"Concluído",Programação!$G$4:$G$503,"&gt;="&amp;DATE(ano_ref,8,1),Programação!$G$4:$G$503,"&lt;="&amp;EOMONTH(DATE(ano_ref,8,1),0))&gt;0,"✔",IF(AND(ISNUMBER(Planos!$G98),IFERROR(INDEX(lst_frequencia_meses,MATCH(Planos!$E98,lst_frequencia,0)),0)&gt;0,(ano_ref*12+8)-(YEAR(Planos!$G98)*12+MONTH(Planos!$G98))&gt;0,MOD((ano_ref*12+8)-(YEAR(Planos!$G98)*12+MONTH(Planos!$G98)),MAX(1,IFERROR(INDEX(lst_frequencia_meses,MATCH(Planos!$E98,lst_frequencia,0)),0)))=0),"●","")))</f>
      </c>
      <c r="L99" s="43">
        <f>IF(NOT(Planos!$A98&lt;&gt;""),"",IF(COUNTIFS(Programação!$B$4:$B$503,Planos!$A98,Programação!$I$4:$I$503,"Concluído",Programação!$G$4:$G$503,"&gt;="&amp;DATE(ano_ref,9,1),Programação!$G$4:$G$503,"&lt;="&amp;EOMONTH(DATE(ano_ref,9,1),0))&gt;0,"✔",IF(AND(ISNUMBER(Planos!$G98),IFERROR(INDEX(lst_frequencia_meses,MATCH(Planos!$E98,lst_frequencia,0)),0)&gt;0,(ano_ref*12+9)-(YEAR(Planos!$G98)*12+MONTH(Planos!$G98))&gt;0,MOD((ano_ref*12+9)-(YEAR(Planos!$G98)*12+MONTH(Planos!$G98)),MAX(1,IFERROR(INDEX(lst_frequencia_meses,MATCH(Planos!$E98,lst_frequencia,0)),0)))=0),"●","")))</f>
      </c>
      <c r="M99" s="43">
        <f>IF(NOT(Planos!$A98&lt;&gt;""),"",IF(COUNTIFS(Programação!$B$4:$B$503,Planos!$A98,Programação!$I$4:$I$503,"Concluído",Programação!$G$4:$G$503,"&gt;="&amp;DATE(ano_ref,10,1),Programação!$G$4:$G$503,"&lt;="&amp;EOMONTH(DATE(ano_ref,10,1),0))&gt;0,"✔",IF(AND(ISNUMBER(Planos!$G98),IFERROR(INDEX(lst_frequencia_meses,MATCH(Planos!$E98,lst_frequencia,0)),0)&gt;0,(ano_ref*12+10)-(YEAR(Planos!$G98)*12+MONTH(Planos!$G98))&gt;0,MOD((ano_ref*12+10)-(YEAR(Planos!$G98)*12+MONTH(Planos!$G98)),MAX(1,IFERROR(INDEX(lst_frequencia_meses,MATCH(Planos!$E98,lst_frequencia,0)),0)))=0),"●","")))</f>
      </c>
      <c r="N99" s="43">
        <f>IF(NOT(Planos!$A98&lt;&gt;""),"",IF(COUNTIFS(Programação!$B$4:$B$503,Planos!$A98,Programação!$I$4:$I$503,"Concluído",Programação!$G$4:$G$503,"&gt;="&amp;DATE(ano_ref,11,1),Programação!$G$4:$G$503,"&lt;="&amp;EOMONTH(DATE(ano_ref,11,1),0))&gt;0,"✔",IF(AND(ISNUMBER(Planos!$G98),IFERROR(INDEX(lst_frequencia_meses,MATCH(Planos!$E98,lst_frequencia,0)),0)&gt;0,(ano_ref*12+11)-(YEAR(Planos!$G98)*12+MONTH(Planos!$G98))&gt;0,MOD((ano_ref*12+11)-(YEAR(Planos!$G98)*12+MONTH(Planos!$G98)),MAX(1,IFERROR(INDEX(lst_frequencia_meses,MATCH(Planos!$E98,lst_frequencia,0)),0)))=0),"●","")))</f>
      </c>
      <c r="O99" s="43">
        <f>IF(NOT(Planos!$A98&lt;&gt;""),"",IF(COUNTIFS(Programação!$B$4:$B$503,Planos!$A98,Programação!$I$4:$I$503,"Concluído",Programação!$G$4:$G$503,"&gt;="&amp;DATE(ano_ref,12,1),Programação!$G$4:$G$503,"&lt;="&amp;EOMONTH(DATE(ano_ref,12,1),0))&gt;0,"✔",IF(AND(ISNUMBER(Planos!$G98),IFERROR(INDEX(lst_frequencia_meses,MATCH(Planos!$E98,lst_frequencia,0)),0)&gt;0,(ano_ref*12+12)-(YEAR(Planos!$G98)*12+MONTH(Planos!$G98))&gt;0,MOD((ano_ref*12+12)-(YEAR(Planos!$G98)*12+MONTH(Planos!$G98)),MAX(1,IFERROR(INDEX(lst_frequencia_meses,MATCH(Planos!$E98,lst_frequencia,0)),0)))=0),"●","")))</f>
      </c>
      <c r="P99" s="44">
        <f>IF(COUNTIF(D99:O99,"✔")+COUNTIF(D99:O99,"●")=0,"",COUNTIF(D99:O99,"✔")/(COUNTIF(D99:O99,"✔")+COUNTIF(D99:O99,"●")))</f>
      </c>
    </row>
    <row r="100" spans="1:16" x14ac:dyDescent="0.25">
      <c r="A100" s="43">
        <f>IF(Planos!$A99&lt;&gt;"",Planos!A99&amp;"","")</f>
      </c>
      <c r="B100" s="43">
        <f>IF(Planos!$A99&lt;&gt;"",Planos!B99&amp;"","")</f>
      </c>
      <c r="C100" s="24">
        <f>IF(Planos!$A99&lt;&gt;"",Planos!C99&amp;"","")</f>
      </c>
      <c r="D100" s="43">
        <f>IF(NOT(Planos!$A99&lt;&gt;""),"",IF(COUNTIFS(Programação!$B$4:$B$503,Planos!$A99,Programação!$I$4:$I$503,"Concluído",Programação!$G$4:$G$503,"&gt;="&amp;DATE(ano_ref,1,1),Programação!$G$4:$G$503,"&lt;="&amp;EOMONTH(DATE(ano_ref,1,1),0))&gt;0,"✔",IF(AND(ISNUMBER(Planos!$G99),IFERROR(INDEX(lst_frequencia_meses,MATCH(Planos!$E99,lst_frequencia,0)),0)&gt;0,(ano_ref*12+1)-(YEAR(Planos!$G99)*12+MONTH(Planos!$G99))&gt;0,MOD((ano_ref*12+1)-(YEAR(Planos!$G99)*12+MONTH(Planos!$G99)),MAX(1,IFERROR(INDEX(lst_frequencia_meses,MATCH(Planos!$E99,lst_frequencia,0)),0)))=0),"●","")))</f>
      </c>
      <c r="E100" s="43">
        <f>IF(NOT(Planos!$A99&lt;&gt;""),"",IF(COUNTIFS(Programação!$B$4:$B$503,Planos!$A99,Programação!$I$4:$I$503,"Concluído",Programação!$G$4:$G$503,"&gt;="&amp;DATE(ano_ref,2,1),Programação!$G$4:$G$503,"&lt;="&amp;EOMONTH(DATE(ano_ref,2,1),0))&gt;0,"✔",IF(AND(ISNUMBER(Planos!$G99),IFERROR(INDEX(lst_frequencia_meses,MATCH(Planos!$E99,lst_frequencia,0)),0)&gt;0,(ano_ref*12+2)-(YEAR(Planos!$G99)*12+MONTH(Planos!$G99))&gt;0,MOD((ano_ref*12+2)-(YEAR(Planos!$G99)*12+MONTH(Planos!$G99)),MAX(1,IFERROR(INDEX(lst_frequencia_meses,MATCH(Planos!$E99,lst_frequencia,0)),0)))=0),"●","")))</f>
      </c>
      <c r="F100" s="43">
        <f>IF(NOT(Planos!$A99&lt;&gt;""),"",IF(COUNTIFS(Programação!$B$4:$B$503,Planos!$A99,Programação!$I$4:$I$503,"Concluído",Programação!$G$4:$G$503,"&gt;="&amp;DATE(ano_ref,3,1),Programação!$G$4:$G$503,"&lt;="&amp;EOMONTH(DATE(ano_ref,3,1),0))&gt;0,"✔",IF(AND(ISNUMBER(Planos!$G99),IFERROR(INDEX(lst_frequencia_meses,MATCH(Planos!$E99,lst_frequencia,0)),0)&gt;0,(ano_ref*12+3)-(YEAR(Planos!$G99)*12+MONTH(Planos!$G99))&gt;0,MOD((ano_ref*12+3)-(YEAR(Planos!$G99)*12+MONTH(Planos!$G99)),MAX(1,IFERROR(INDEX(lst_frequencia_meses,MATCH(Planos!$E99,lst_frequencia,0)),0)))=0),"●","")))</f>
      </c>
      <c r="G100" s="43">
        <f>IF(NOT(Planos!$A99&lt;&gt;""),"",IF(COUNTIFS(Programação!$B$4:$B$503,Planos!$A99,Programação!$I$4:$I$503,"Concluído",Programação!$G$4:$G$503,"&gt;="&amp;DATE(ano_ref,4,1),Programação!$G$4:$G$503,"&lt;="&amp;EOMONTH(DATE(ano_ref,4,1),0))&gt;0,"✔",IF(AND(ISNUMBER(Planos!$G99),IFERROR(INDEX(lst_frequencia_meses,MATCH(Planos!$E99,lst_frequencia,0)),0)&gt;0,(ano_ref*12+4)-(YEAR(Planos!$G99)*12+MONTH(Planos!$G99))&gt;0,MOD((ano_ref*12+4)-(YEAR(Planos!$G99)*12+MONTH(Planos!$G99)),MAX(1,IFERROR(INDEX(lst_frequencia_meses,MATCH(Planos!$E99,lst_frequencia,0)),0)))=0),"●","")))</f>
      </c>
      <c r="H100" s="43">
        <f>IF(NOT(Planos!$A99&lt;&gt;""),"",IF(COUNTIFS(Programação!$B$4:$B$503,Planos!$A99,Programação!$I$4:$I$503,"Concluído",Programação!$G$4:$G$503,"&gt;="&amp;DATE(ano_ref,5,1),Programação!$G$4:$G$503,"&lt;="&amp;EOMONTH(DATE(ano_ref,5,1),0))&gt;0,"✔",IF(AND(ISNUMBER(Planos!$G99),IFERROR(INDEX(lst_frequencia_meses,MATCH(Planos!$E99,lst_frequencia,0)),0)&gt;0,(ano_ref*12+5)-(YEAR(Planos!$G99)*12+MONTH(Planos!$G99))&gt;0,MOD((ano_ref*12+5)-(YEAR(Planos!$G99)*12+MONTH(Planos!$G99)),MAX(1,IFERROR(INDEX(lst_frequencia_meses,MATCH(Planos!$E99,lst_frequencia,0)),0)))=0),"●","")))</f>
      </c>
      <c r="I100" s="43">
        <f>IF(NOT(Planos!$A99&lt;&gt;""),"",IF(COUNTIFS(Programação!$B$4:$B$503,Planos!$A99,Programação!$I$4:$I$503,"Concluído",Programação!$G$4:$G$503,"&gt;="&amp;DATE(ano_ref,6,1),Programação!$G$4:$G$503,"&lt;="&amp;EOMONTH(DATE(ano_ref,6,1),0))&gt;0,"✔",IF(AND(ISNUMBER(Planos!$G99),IFERROR(INDEX(lst_frequencia_meses,MATCH(Planos!$E99,lst_frequencia,0)),0)&gt;0,(ano_ref*12+6)-(YEAR(Planos!$G99)*12+MONTH(Planos!$G99))&gt;0,MOD((ano_ref*12+6)-(YEAR(Planos!$G99)*12+MONTH(Planos!$G99)),MAX(1,IFERROR(INDEX(lst_frequencia_meses,MATCH(Planos!$E99,lst_frequencia,0)),0)))=0),"●","")))</f>
      </c>
      <c r="J100" s="43">
        <f>IF(NOT(Planos!$A99&lt;&gt;""),"",IF(COUNTIFS(Programação!$B$4:$B$503,Planos!$A99,Programação!$I$4:$I$503,"Concluído",Programação!$G$4:$G$503,"&gt;="&amp;DATE(ano_ref,7,1),Programação!$G$4:$G$503,"&lt;="&amp;EOMONTH(DATE(ano_ref,7,1),0))&gt;0,"✔",IF(AND(ISNUMBER(Planos!$G99),IFERROR(INDEX(lst_frequencia_meses,MATCH(Planos!$E99,lst_frequencia,0)),0)&gt;0,(ano_ref*12+7)-(YEAR(Planos!$G99)*12+MONTH(Planos!$G99))&gt;0,MOD((ano_ref*12+7)-(YEAR(Planos!$G99)*12+MONTH(Planos!$G99)),MAX(1,IFERROR(INDEX(lst_frequencia_meses,MATCH(Planos!$E99,lst_frequencia,0)),0)))=0),"●","")))</f>
      </c>
      <c r="K100" s="43">
        <f>IF(NOT(Planos!$A99&lt;&gt;""),"",IF(COUNTIFS(Programação!$B$4:$B$503,Planos!$A99,Programação!$I$4:$I$503,"Concluído",Programação!$G$4:$G$503,"&gt;="&amp;DATE(ano_ref,8,1),Programação!$G$4:$G$503,"&lt;="&amp;EOMONTH(DATE(ano_ref,8,1),0))&gt;0,"✔",IF(AND(ISNUMBER(Planos!$G99),IFERROR(INDEX(lst_frequencia_meses,MATCH(Planos!$E99,lst_frequencia,0)),0)&gt;0,(ano_ref*12+8)-(YEAR(Planos!$G99)*12+MONTH(Planos!$G99))&gt;0,MOD((ano_ref*12+8)-(YEAR(Planos!$G99)*12+MONTH(Planos!$G99)),MAX(1,IFERROR(INDEX(lst_frequencia_meses,MATCH(Planos!$E99,lst_frequencia,0)),0)))=0),"●","")))</f>
      </c>
      <c r="L100" s="43">
        <f>IF(NOT(Planos!$A99&lt;&gt;""),"",IF(COUNTIFS(Programação!$B$4:$B$503,Planos!$A99,Programação!$I$4:$I$503,"Concluído",Programação!$G$4:$G$503,"&gt;="&amp;DATE(ano_ref,9,1),Programação!$G$4:$G$503,"&lt;="&amp;EOMONTH(DATE(ano_ref,9,1),0))&gt;0,"✔",IF(AND(ISNUMBER(Planos!$G99),IFERROR(INDEX(lst_frequencia_meses,MATCH(Planos!$E99,lst_frequencia,0)),0)&gt;0,(ano_ref*12+9)-(YEAR(Planos!$G99)*12+MONTH(Planos!$G99))&gt;0,MOD((ano_ref*12+9)-(YEAR(Planos!$G99)*12+MONTH(Planos!$G99)),MAX(1,IFERROR(INDEX(lst_frequencia_meses,MATCH(Planos!$E99,lst_frequencia,0)),0)))=0),"●","")))</f>
      </c>
      <c r="M100" s="43">
        <f>IF(NOT(Planos!$A99&lt;&gt;""),"",IF(COUNTIFS(Programação!$B$4:$B$503,Planos!$A99,Programação!$I$4:$I$503,"Concluído",Programação!$G$4:$G$503,"&gt;="&amp;DATE(ano_ref,10,1),Programação!$G$4:$G$503,"&lt;="&amp;EOMONTH(DATE(ano_ref,10,1),0))&gt;0,"✔",IF(AND(ISNUMBER(Planos!$G99),IFERROR(INDEX(lst_frequencia_meses,MATCH(Planos!$E99,lst_frequencia,0)),0)&gt;0,(ano_ref*12+10)-(YEAR(Planos!$G99)*12+MONTH(Planos!$G99))&gt;0,MOD((ano_ref*12+10)-(YEAR(Planos!$G99)*12+MONTH(Planos!$G99)),MAX(1,IFERROR(INDEX(lst_frequencia_meses,MATCH(Planos!$E99,lst_frequencia,0)),0)))=0),"●","")))</f>
      </c>
      <c r="N100" s="43">
        <f>IF(NOT(Planos!$A99&lt;&gt;""),"",IF(COUNTIFS(Programação!$B$4:$B$503,Planos!$A99,Programação!$I$4:$I$503,"Concluído",Programação!$G$4:$G$503,"&gt;="&amp;DATE(ano_ref,11,1),Programação!$G$4:$G$503,"&lt;="&amp;EOMONTH(DATE(ano_ref,11,1),0))&gt;0,"✔",IF(AND(ISNUMBER(Planos!$G99),IFERROR(INDEX(lst_frequencia_meses,MATCH(Planos!$E99,lst_frequencia,0)),0)&gt;0,(ano_ref*12+11)-(YEAR(Planos!$G99)*12+MONTH(Planos!$G99))&gt;0,MOD((ano_ref*12+11)-(YEAR(Planos!$G99)*12+MONTH(Planos!$G99)),MAX(1,IFERROR(INDEX(lst_frequencia_meses,MATCH(Planos!$E99,lst_frequencia,0)),0)))=0),"●","")))</f>
      </c>
      <c r="O100" s="43">
        <f>IF(NOT(Planos!$A99&lt;&gt;""),"",IF(COUNTIFS(Programação!$B$4:$B$503,Planos!$A99,Programação!$I$4:$I$503,"Concluído",Programação!$G$4:$G$503,"&gt;="&amp;DATE(ano_ref,12,1),Programação!$G$4:$G$503,"&lt;="&amp;EOMONTH(DATE(ano_ref,12,1),0))&gt;0,"✔",IF(AND(ISNUMBER(Planos!$G99),IFERROR(INDEX(lst_frequencia_meses,MATCH(Planos!$E99,lst_frequencia,0)),0)&gt;0,(ano_ref*12+12)-(YEAR(Planos!$G99)*12+MONTH(Planos!$G99))&gt;0,MOD((ano_ref*12+12)-(YEAR(Planos!$G99)*12+MONTH(Planos!$G99)),MAX(1,IFERROR(INDEX(lst_frequencia_meses,MATCH(Planos!$E99,lst_frequencia,0)),0)))=0),"●","")))</f>
      </c>
      <c r="P100" s="44">
        <f>IF(COUNTIF(D100:O100,"✔")+COUNTIF(D100:O100,"●")=0,"",COUNTIF(D100:O100,"✔")/(COUNTIF(D100:O100,"✔")+COUNTIF(D100:O100,"●")))</f>
      </c>
    </row>
    <row r="101" spans="1:16" x14ac:dyDescent="0.25">
      <c r="A101" s="43">
        <f>IF(Planos!$A100&lt;&gt;"",Planos!A100&amp;"","")</f>
      </c>
      <c r="B101" s="43">
        <f>IF(Planos!$A100&lt;&gt;"",Planos!B100&amp;"","")</f>
      </c>
      <c r="C101" s="24">
        <f>IF(Planos!$A100&lt;&gt;"",Planos!C100&amp;"","")</f>
      </c>
      <c r="D101" s="43">
        <f>IF(NOT(Planos!$A100&lt;&gt;""),"",IF(COUNTIFS(Programação!$B$4:$B$503,Planos!$A100,Programação!$I$4:$I$503,"Concluído",Programação!$G$4:$G$503,"&gt;="&amp;DATE(ano_ref,1,1),Programação!$G$4:$G$503,"&lt;="&amp;EOMONTH(DATE(ano_ref,1,1),0))&gt;0,"✔",IF(AND(ISNUMBER(Planos!$G100),IFERROR(INDEX(lst_frequencia_meses,MATCH(Planos!$E100,lst_frequencia,0)),0)&gt;0,(ano_ref*12+1)-(YEAR(Planos!$G100)*12+MONTH(Planos!$G100))&gt;0,MOD((ano_ref*12+1)-(YEAR(Planos!$G100)*12+MONTH(Planos!$G100)),MAX(1,IFERROR(INDEX(lst_frequencia_meses,MATCH(Planos!$E100,lst_frequencia,0)),0)))=0),"●","")))</f>
      </c>
      <c r="E101" s="43">
        <f>IF(NOT(Planos!$A100&lt;&gt;""),"",IF(COUNTIFS(Programação!$B$4:$B$503,Planos!$A100,Programação!$I$4:$I$503,"Concluído",Programação!$G$4:$G$503,"&gt;="&amp;DATE(ano_ref,2,1),Programação!$G$4:$G$503,"&lt;="&amp;EOMONTH(DATE(ano_ref,2,1),0))&gt;0,"✔",IF(AND(ISNUMBER(Planos!$G100),IFERROR(INDEX(lst_frequencia_meses,MATCH(Planos!$E100,lst_frequencia,0)),0)&gt;0,(ano_ref*12+2)-(YEAR(Planos!$G100)*12+MONTH(Planos!$G100))&gt;0,MOD((ano_ref*12+2)-(YEAR(Planos!$G100)*12+MONTH(Planos!$G100)),MAX(1,IFERROR(INDEX(lst_frequencia_meses,MATCH(Planos!$E100,lst_frequencia,0)),0)))=0),"●","")))</f>
      </c>
      <c r="F101" s="43">
        <f>IF(NOT(Planos!$A100&lt;&gt;""),"",IF(COUNTIFS(Programação!$B$4:$B$503,Planos!$A100,Programação!$I$4:$I$503,"Concluído",Programação!$G$4:$G$503,"&gt;="&amp;DATE(ano_ref,3,1),Programação!$G$4:$G$503,"&lt;="&amp;EOMONTH(DATE(ano_ref,3,1),0))&gt;0,"✔",IF(AND(ISNUMBER(Planos!$G100),IFERROR(INDEX(lst_frequencia_meses,MATCH(Planos!$E100,lst_frequencia,0)),0)&gt;0,(ano_ref*12+3)-(YEAR(Planos!$G100)*12+MONTH(Planos!$G100))&gt;0,MOD((ano_ref*12+3)-(YEAR(Planos!$G100)*12+MONTH(Planos!$G100)),MAX(1,IFERROR(INDEX(lst_frequencia_meses,MATCH(Planos!$E100,lst_frequencia,0)),0)))=0),"●","")))</f>
      </c>
      <c r="G101" s="43">
        <f>IF(NOT(Planos!$A100&lt;&gt;""),"",IF(COUNTIFS(Programação!$B$4:$B$503,Planos!$A100,Programação!$I$4:$I$503,"Concluído",Programação!$G$4:$G$503,"&gt;="&amp;DATE(ano_ref,4,1),Programação!$G$4:$G$503,"&lt;="&amp;EOMONTH(DATE(ano_ref,4,1),0))&gt;0,"✔",IF(AND(ISNUMBER(Planos!$G100),IFERROR(INDEX(lst_frequencia_meses,MATCH(Planos!$E100,lst_frequencia,0)),0)&gt;0,(ano_ref*12+4)-(YEAR(Planos!$G100)*12+MONTH(Planos!$G100))&gt;0,MOD((ano_ref*12+4)-(YEAR(Planos!$G100)*12+MONTH(Planos!$G100)),MAX(1,IFERROR(INDEX(lst_frequencia_meses,MATCH(Planos!$E100,lst_frequencia,0)),0)))=0),"●","")))</f>
      </c>
      <c r="H101" s="43">
        <f>IF(NOT(Planos!$A100&lt;&gt;""),"",IF(COUNTIFS(Programação!$B$4:$B$503,Planos!$A100,Programação!$I$4:$I$503,"Concluído",Programação!$G$4:$G$503,"&gt;="&amp;DATE(ano_ref,5,1),Programação!$G$4:$G$503,"&lt;="&amp;EOMONTH(DATE(ano_ref,5,1),0))&gt;0,"✔",IF(AND(ISNUMBER(Planos!$G100),IFERROR(INDEX(lst_frequencia_meses,MATCH(Planos!$E100,lst_frequencia,0)),0)&gt;0,(ano_ref*12+5)-(YEAR(Planos!$G100)*12+MONTH(Planos!$G100))&gt;0,MOD((ano_ref*12+5)-(YEAR(Planos!$G100)*12+MONTH(Planos!$G100)),MAX(1,IFERROR(INDEX(lst_frequencia_meses,MATCH(Planos!$E100,lst_frequencia,0)),0)))=0),"●","")))</f>
      </c>
      <c r="I101" s="43">
        <f>IF(NOT(Planos!$A100&lt;&gt;""),"",IF(COUNTIFS(Programação!$B$4:$B$503,Planos!$A100,Programação!$I$4:$I$503,"Concluído",Programação!$G$4:$G$503,"&gt;="&amp;DATE(ano_ref,6,1),Programação!$G$4:$G$503,"&lt;="&amp;EOMONTH(DATE(ano_ref,6,1),0))&gt;0,"✔",IF(AND(ISNUMBER(Planos!$G100),IFERROR(INDEX(lst_frequencia_meses,MATCH(Planos!$E100,lst_frequencia,0)),0)&gt;0,(ano_ref*12+6)-(YEAR(Planos!$G100)*12+MONTH(Planos!$G100))&gt;0,MOD((ano_ref*12+6)-(YEAR(Planos!$G100)*12+MONTH(Planos!$G100)),MAX(1,IFERROR(INDEX(lst_frequencia_meses,MATCH(Planos!$E100,lst_frequencia,0)),0)))=0),"●","")))</f>
      </c>
      <c r="J101" s="43">
        <f>IF(NOT(Planos!$A100&lt;&gt;""),"",IF(COUNTIFS(Programação!$B$4:$B$503,Planos!$A100,Programação!$I$4:$I$503,"Concluído",Programação!$G$4:$G$503,"&gt;="&amp;DATE(ano_ref,7,1),Programação!$G$4:$G$503,"&lt;="&amp;EOMONTH(DATE(ano_ref,7,1),0))&gt;0,"✔",IF(AND(ISNUMBER(Planos!$G100),IFERROR(INDEX(lst_frequencia_meses,MATCH(Planos!$E100,lst_frequencia,0)),0)&gt;0,(ano_ref*12+7)-(YEAR(Planos!$G100)*12+MONTH(Planos!$G100))&gt;0,MOD((ano_ref*12+7)-(YEAR(Planos!$G100)*12+MONTH(Planos!$G100)),MAX(1,IFERROR(INDEX(lst_frequencia_meses,MATCH(Planos!$E100,lst_frequencia,0)),0)))=0),"●","")))</f>
      </c>
      <c r="K101" s="43">
        <f>IF(NOT(Planos!$A100&lt;&gt;""),"",IF(COUNTIFS(Programação!$B$4:$B$503,Planos!$A100,Programação!$I$4:$I$503,"Concluído",Programação!$G$4:$G$503,"&gt;="&amp;DATE(ano_ref,8,1),Programação!$G$4:$G$503,"&lt;="&amp;EOMONTH(DATE(ano_ref,8,1),0))&gt;0,"✔",IF(AND(ISNUMBER(Planos!$G100),IFERROR(INDEX(lst_frequencia_meses,MATCH(Planos!$E100,lst_frequencia,0)),0)&gt;0,(ano_ref*12+8)-(YEAR(Planos!$G100)*12+MONTH(Planos!$G100))&gt;0,MOD((ano_ref*12+8)-(YEAR(Planos!$G100)*12+MONTH(Planos!$G100)),MAX(1,IFERROR(INDEX(lst_frequencia_meses,MATCH(Planos!$E100,lst_frequencia,0)),0)))=0),"●","")))</f>
      </c>
      <c r="L101" s="43">
        <f>IF(NOT(Planos!$A100&lt;&gt;""),"",IF(COUNTIFS(Programação!$B$4:$B$503,Planos!$A100,Programação!$I$4:$I$503,"Concluído",Programação!$G$4:$G$503,"&gt;="&amp;DATE(ano_ref,9,1),Programação!$G$4:$G$503,"&lt;="&amp;EOMONTH(DATE(ano_ref,9,1),0))&gt;0,"✔",IF(AND(ISNUMBER(Planos!$G100),IFERROR(INDEX(lst_frequencia_meses,MATCH(Planos!$E100,lst_frequencia,0)),0)&gt;0,(ano_ref*12+9)-(YEAR(Planos!$G100)*12+MONTH(Planos!$G100))&gt;0,MOD((ano_ref*12+9)-(YEAR(Planos!$G100)*12+MONTH(Planos!$G100)),MAX(1,IFERROR(INDEX(lst_frequencia_meses,MATCH(Planos!$E100,lst_frequencia,0)),0)))=0),"●","")))</f>
      </c>
      <c r="M101" s="43">
        <f>IF(NOT(Planos!$A100&lt;&gt;""),"",IF(COUNTIFS(Programação!$B$4:$B$503,Planos!$A100,Programação!$I$4:$I$503,"Concluído",Programação!$G$4:$G$503,"&gt;="&amp;DATE(ano_ref,10,1),Programação!$G$4:$G$503,"&lt;="&amp;EOMONTH(DATE(ano_ref,10,1),0))&gt;0,"✔",IF(AND(ISNUMBER(Planos!$G100),IFERROR(INDEX(lst_frequencia_meses,MATCH(Planos!$E100,lst_frequencia,0)),0)&gt;0,(ano_ref*12+10)-(YEAR(Planos!$G100)*12+MONTH(Planos!$G100))&gt;0,MOD((ano_ref*12+10)-(YEAR(Planos!$G100)*12+MONTH(Planos!$G100)),MAX(1,IFERROR(INDEX(lst_frequencia_meses,MATCH(Planos!$E100,lst_frequencia,0)),0)))=0),"●","")))</f>
      </c>
      <c r="N101" s="43">
        <f>IF(NOT(Planos!$A100&lt;&gt;""),"",IF(COUNTIFS(Programação!$B$4:$B$503,Planos!$A100,Programação!$I$4:$I$503,"Concluído",Programação!$G$4:$G$503,"&gt;="&amp;DATE(ano_ref,11,1),Programação!$G$4:$G$503,"&lt;="&amp;EOMONTH(DATE(ano_ref,11,1),0))&gt;0,"✔",IF(AND(ISNUMBER(Planos!$G100),IFERROR(INDEX(lst_frequencia_meses,MATCH(Planos!$E100,lst_frequencia,0)),0)&gt;0,(ano_ref*12+11)-(YEAR(Planos!$G100)*12+MONTH(Planos!$G100))&gt;0,MOD((ano_ref*12+11)-(YEAR(Planos!$G100)*12+MONTH(Planos!$G100)),MAX(1,IFERROR(INDEX(lst_frequencia_meses,MATCH(Planos!$E100,lst_frequencia,0)),0)))=0),"●","")))</f>
      </c>
      <c r="O101" s="43">
        <f>IF(NOT(Planos!$A100&lt;&gt;""),"",IF(COUNTIFS(Programação!$B$4:$B$503,Planos!$A100,Programação!$I$4:$I$503,"Concluído",Programação!$G$4:$G$503,"&gt;="&amp;DATE(ano_ref,12,1),Programação!$G$4:$G$503,"&lt;="&amp;EOMONTH(DATE(ano_ref,12,1),0))&gt;0,"✔",IF(AND(ISNUMBER(Planos!$G100),IFERROR(INDEX(lst_frequencia_meses,MATCH(Planos!$E100,lst_frequencia,0)),0)&gt;0,(ano_ref*12+12)-(YEAR(Planos!$G100)*12+MONTH(Planos!$G100))&gt;0,MOD((ano_ref*12+12)-(YEAR(Planos!$G100)*12+MONTH(Planos!$G100)),MAX(1,IFERROR(INDEX(lst_frequencia_meses,MATCH(Planos!$E100,lst_frequencia,0)),0)))=0),"●","")))</f>
      </c>
      <c r="P101" s="44">
        <f>IF(COUNTIF(D101:O101,"✔")+COUNTIF(D101:O101,"●")=0,"",COUNTIF(D101:O101,"✔")/(COUNTIF(D101:O101,"✔")+COUNTIF(D101:O101,"●")))</f>
      </c>
    </row>
    <row r="102" spans="1:16" x14ac:dyDescent="0.25">
      <c r="A102" s="43">
        <f>IF(Planos!$A101&lt;&gt;"",Planos!A101&amp;"","")</f>
      </c>
      <c r="B102" s="43">
        <f>IF(Planos!$A101&lt;&gt;"",Planos!B101&amp;"","")</f>
      </c>
      <c r="C102" s="24">
        <f>IF(Planos!$A101&lt;&gt;"",Planos!C101&amp;"","")</f>
      </c>
      <c r="D102" s="43">
        <f>IF(NOT(Planos!$A101&lt;&gt;""),"",IF(COUNTIFS(Programação!$B$4:$B$503,Planos!$A101,Programação!$I$4:$I$503,"Concluído",Programação!$G$4:$G$503,"&gt;="&amp;DATE(ano_ref,1,1),Programação!$G$4:$G$503,"&lt;="&amp;EOMONTH(DATE(ano_ref,1,1),0))&gt;0,"✔",IF(AND(ISNUMBER(Planos!$G101),IFERROR(INDEX(lst_frequencia_meses,MATCH(Planos!$E101,lst_frequencia,0)),0)&gt;0,(ano_ref*12+1)-(YEAR(Planos!$G101)*12+MONTH(Planos!$G101))&gt;0,MOD((ano_ref*12+1)-(YEAR(Planos!$G101)*12+MONTH(Planos!$G101)),MAX(1,IFERROR(INDEX(lst_frequencia_meses,MATCH(Planos!$E101,lst_frequencia,0)),0)))=0),"●","")))</f>
      </c>
      <c r="E102" s="43">
        <f>IF(NOT(Planos!$A101&lt;&gt;""),"",IF(COUNTIFS(Programação!$B$4:$B$503,Planos!$A101,Programação!$I$4:$I$503,"Concluído",Programação!$G$4:$G$503,"&gt;="&amp;DATE(ano_ref,2,1),Programação!$G$4:$G$503,"&lt;="&amp;EOMONTH(DATE(ano_ref,2,1),0))&gt;0,"✔",IF(AND(ISNUMBER(Planos!$G101),IFERROR(INDEX(lst_frequencia_meses,MATCH(Planos!$E101,lst_frequencia,0)),0)&gt;0,(ano_ref*12+2)-(YEAR(Planos!$G101)*12+MONTH(Planos!$G101))&gt;0,MOD((ano_ref*12+2)-(YEAR(Planos!$G101)*12+MONTH(Planos!$G101)),MAX(1,IFERROR(INDEX(lst_frequencia_meses,MATCH(Planos!$E101,lst_frequencia,0)),0)))=0),"●","")))</f>
      </c>
      <c r="F102" s="43">
        <f>IF(NOT(Planos!$A101&lt;&gt;""),"",IF(COUNTIFS(Programação!$B$4:$B$503,Planos!$A101,Programação!$I$4:$I$503,"Concluído",Programação!$G$4:$G$503,"&gt;="&amp;DATE(ano_ref,3,1),Programação!$G$4:$G$503,"&lt;="&amp;EOMONTH(DATE(ano_ref,3,1),0))&gt;0,"✔",IF(AND(ISNUMBER(Planos!$G101),IFERROR(INDEX(lst_frequencia_meses,MATCH(Planos!$E101,lst_frequencia,0)),0)&gt;0,(ano_ref*12+3)-(YEAR(Planos!$G101)*12+MONTH(Planos!$G101))&gt;0,MOD((ano_ref*12+3)-(YEAR(Planos!$G101)*12+MONTH(Planos!$G101)),MAX(1,IFERROR(INDEX(lst_frequencia_meses,MATCH(Planos!$E101,lst_frequencia,0)),0)))=0),"●","")))</f>
      </c>
      <c r="G102" s="43">
        <f>IF(NOT(Planos!$A101&lt;&gt;""),"",IF(COUNTIFS(Programação!$B$4:$B$503,Planos!$A101,Programação!$I$4:$I$503,"Concluído",Programação!$G$4:$G$503,"&gt;="&amp;DATE(ano_ref,4,1),Programação!$G$4:$G$503,"&lt;="&amp;EOMONTH(DATE(ano_ref,4,1),0))&gt;0,"✔",IF(AND(ISNUMBER(Planos!$G101),IFERROR(INDEX(lst_frequencia_meses,MATCH(Planos!$E101,lst_frequencia,0)),0)&gt;0,(ano_ref*12+4)-(YEAR(Planos!$G101)*12+MONTH(Planos!$G101))&gt;0,MOD((ano_ref*12+4)-(YEAR(Planos!$G101)*12+MONTH(Planos!$G101)),MAX(1,IFERROR(INDEX(lst_frequencia_meses,MATCH(Planos!$E101,lst_frequencia,0)),0)))=0),"●","")))</f>
      </c>
      <c r="H102" s="43">
        <f>IF(NOT(Planos!$A101&lt;&gt;""),"",IF(COUNTIFS(Programação!$B$4:$B$503,Planos!$A101,Programação!$I$4:$I$503,"Concluído",Programação!$G$4:$G$503,"&gt;="&amp;DATE(ano_ref,5,1),Programação!$G$4:$G$503,"&lt;="&amp;EOMONTH(DATE(ano_ref,5,1),0))&gt;0,"✔",IF(AND(ISNUMBER(Planos!$G101),IFERROR(INDEX(lst_frequencia_meses,MATCH(Planos!$E101,lst_frequencia,0)),0)&gt;0,(ano_ref*12+5)-(YEAR(Planos!$G101)*12+MONTH(Planos!$G101))&gt;0,MOD((ano_ref*12+5)-(YEAR(Planos!$G101)*12+MONTH(Planos!$G101)),MAX(1,IFERROR(INDEX(lst_frequencia_meses,MATCH(Planos!$E101,lst_frequencia,0)),0)))=0),"●","")))</f>
      </c>
      <c r="I102" s="43">
        <f>IF(NOT(Planos!$A101&lt;&gt;""),"",IF(COUNTIFS(Programação!$B$4:$B$503,Planos!$A101,Programação!$I$4:$I$503,"Concluído",Programação!$G$4:$G$503,"&gt;="&amp;DATE(ano_ref,6,1),Programação!$G$4:$G$503,"&lt;="&amp;EOMONTH(DATE(ano_ref,6,1),0))&gt;0,"✔",IF(AND(ISNUMBER(Planos!$G101),IFERROR(INDEX(lst_frequencia_meses,MATCH(Planos!$E101,lst_frequencia,0)),0)&gt;0,(ano_ref*12+6)-(YEAR(Planos!$G101)*12+MONTH(Planos!$G101))&gt;0,MOD((ano_ref*12+6)-(YEAR(Planos!$G101)*12+MONTH(Planos!$G101)),MAX(1,IFERROR(INDEX(lst_frequencia_meses,MATCH(Planos!$E101,lst_frequencia,0)),0)))=0),"●","")))</f>
      </c>
      <c r="J102" s="43">
        <f>IF(NOT(Planos!$A101&lt;&gt;""),"",IF(COUNTIFS(Programação!$B$4:$B$503,Planos!$A101,Programação!$I$4:$I$503,"Concluído",Programação!$G$4:$G$503,"&gt;="&amp;DATE(ano_ref,7,1),Programação!$G$4:$G$503,"&lt;="&amp;EOMONTH(DATE(ano_ref,7,1),0))&gt;0,"✔",IF(AND(ISNUMBER(Planos!$G101),IFERROR(INDEX(lst_frequencia_meses,MATCH(Planos!$E101,lst_frequencia,0)),0)&gt;0,(ano_ref*12+7)-(YEAR(Planos!$G101)*12+MONTH(Planos!$G101))&gt;0,MOD((ano_ref*12+7)-(YEAR(Planos!$G101)*12+MONTH(Planos!$G101)),MAX(1,IFERROR(INDEX(lst_frequencia_meses,MATCH(Planos!$E101,lst_frequencia,0)),0)))=0),"●","")))</f>
      </c>
      <c r="K102" s="43">
        <f>IF(NOT(Planos!$A101&lt;&gt;""),"",IF(COUNTIFS(Programação!$B$4:$B$503,Planos!$A101,Programação!$I$4:$I$503,"Concluído",Programação!$G$4:$G$503,"&gt;="&amp;DATE(ano_ref,8,1),Programação!$G$4:$G$503,"&lt;="&amp;EOMONTH(DATE(ano_ref,8,1),0))&gt;0,"✔",IF(AND(ISNUMBER(Planos!$G101),IFERROR(INDEX(lst_frequencia_meses,MATCH(Planos!$E101,lst_frequencia,0)),0)&gt;0,(ano_ref*12+8)-(YEAR(Planos!$G101)*12+MONTH(Planos!$G101))&gt;0,MOD((ano_ref*12+8)-(YEAR(Planos!$G101)*12+MONTH(Planos!$G101)),MAX(1,IFERROR(INDEX(lst_frequencia_meses,MATCH(Planos!$E101,lst_frequencia,0)),0)))=0),"●","")))</f>
      </c>
      <c r="L102" s="43">
        <f>IF(NOT(Planos!$A101&lt;&gt;""),"",IF(COUNTIFS(Programação!$B$4:$B$503,Planos!$A101,Programação!$I$4:$I$503,"Concluído",Programação!$G$4:$G$503,"&gt;="&amp;DATE(ano_ref,9,1),Programação!$G$4:$G$503,"&lt;="&amp;EOMONTH(DATE(ano_ref,9,1),0))&gt;0,"✔",IF(AND(ISNUMBER(Planos!$G101),IFERROR(INDEX(lst_frequencia_meses,MATCH(Planos!$E101,lst_frequencia,0)),0)&gt;0,(ano_ref*12+9)-(YEAR(Planos!$G101)*12+MONTH(Planos!$G101))&gt;0,MOD((ano_ref*12+9)-(YEAR(Planos!$G101)*12+MONTH(Planos!$G101)),MAX(1,IFERROR(INDEX(lst_frequencia_meses,MATCH(Planos!$E101,lst_frequencia,0)),0)))=0),"●","")))</f>
      </c>
      <c r="M102" s="43">
        <f>IF(NOT(Planos!$A101&lt;&gt;""),"",IF(COUNTIFS(Programação!$B$4:$B$503,Planos!$A101,Programação!$I$4:$I$503,"Concluído",Programação!$G$4:$G$503,"&gt;="&amp;DATE(ano_ref,10,1),Programação!$G$4:$G$503,"&lt;="&amp;EOMONTH(DATE(ano_ref,10,1),0))&gt;0,"✔",IF(AND(ISNUMBER(Planos!$G101),IFERROR(INDEX(lst_frequencia_meses,MATCH(Planos!$E101,lst_frequencia,0)),0)&gt;0,(ano_ref*12+10)-(YEAR(Planos!$G101)*12+MONTH(Planos!$G101))&gt;0,MOD((ano_ref*12+10)-(YEAR(Planos!$G101)*12+MONTH(Planos!$G101)),MAX(1,IFERROR(INDEX(lst_frequencia_meses,MATCH(Planos!$E101,lst_frequencia,0)),0)))=0),"●","")))</f>
      </c>
      <c r="N102" s="43">
        <f>IF(NOT(Planos!$A101&lt;&gt;""),"",IF(COUNTIFS(Programação!$B$4:$B$503,Planos!$A101,Programação!$I$4:$I$503,"Concluído",Programação!$G$4:$G$503,"&gt;="&amp;DATE(ano_ref,11,1),Programação!$G$4:$G$503,"&lt;="&amp;EOMONTH(DATE(ano_ref,11,1),0))&gt;0,"✔",IF(AND(ISNUMBER(Planos!$G101),IFERROR(INDEX(lst_frequencia_meses,MATCH(Planos!$E101,lst_frequencia,0)),0)&gt;0,(ano_ref*12+11)-(YEAR(Planos!$G101)*12+MONTH(Planos!$G101))&gt;0,MOD((ano_ref*12+11)-(YEAR(Planos!$G101)*12+MONTH(Planos!$G101)),MAX(1,IFERROR(INDEX(lst_frequencia_meses,MATCH(Planos!$E101,lst_frequencia,0)),0)))=0),"●","")))</f>
      </c>
      <c r="O102" s="43">
        <f>IF(NOT(Planos!$A101&lt;&gt;""),"",IF(COUNTIFS(Programação!$B$4:$B$503,Planos!$A101,Programação!$I$4:$I$503,"Concluído",Programação!$G$4:$G$503,"&gt;="&amp;DATE(ano_ref,12,1),Programação!$G$4:$G$503,"&lt;="&amp;EOMONTH(DATE(ano_ref,12,1),0))&gt;0,"✔",IF(AND(ISNUMBER(Planos!$G101),IFERROR(INDEX(lst_frequencia_meses,MATCH(Planos!$E101,lst_frequencia,0)),0)&gt;0,(ano_ref*12+12)-(YEAR(Planos!$G101)*12+MONTH(Planos!$G101))&gt;0,MOD((ano_ref*12+12)-(YEAR(Planos!$G101)*12+MONTH(Planos!$G101)),MAX(1,IFERROR(INDEX(lst_frequencia_meses,MATCH(Planos!$E101,lst_frequencia,0)),0)))=0),"●","")))</f>
      </c>
      <c r="P102" s="44">
        <f>IF(COUNTIF(D102:O102,"✔")+COUNTIF(D102:O102,"●")=0,"",COUNTIF(D102:O102,"✔")/(COUNTIF(D102:O102,"✔")+COUNTIF(D102:O102,"●")))</f>
      </c>
    </row>
    <row r="103" spans="1:16" x14ac:dyDescent="0.25">
      <c r="A103" s="43">
        <f>IF(Planos!$A102&lt;&gt;"",Planos!A102&amp;"","")</f>
      </c>
      <c r="B103" s="43">
        <f>IF(Planos!$A102&lt;&gt;"",Planos!B102&amp;"","")</f>
      </c>
      <c r="C103" s="24">
        <f>IF(Planos!$A102&lt;&gt;"",Planos!C102&amp;"","")</f>
      </c>
      <c r="D103" s="43">
        <f>IF(NOT(Planos!$A102&lt;&gt;""),"",IF(COUNTIFS(Programação!$B$4:$B$503,Planos!$A102,Programação!$I$4:$I$503,"Concluído",Programação!$G$4:$G$503,"&gt;="&amp;DATE(ano_ref,1,1),Programação!$G$4:$G$503,"&lt;="&amp;EOMONTH(DATE(ano_ref,1,1),0))&gt;0,"✔",IF(AND(ISNUMBER(Planos!$G102),IFERROR(INDEX(lst_frequencia_meses,MATCH(Planos!$E102,lst_frequencia,0)),0)&gt;0,(ano_ref*12+1)-(YEAR(Planos!$G102)*12+MONTH(Planos!$G102))&gt;0,MOD((ano_ref*12+1)-(YEAR(Planos!$G102)*12+MONTH(Planos!$G102)),MAX(1,IFERROR(INDEX(lst_frequencia_meses,MATCH(Planos!$E102,lst_frequencia,0)),0)))=0),"●","")))</f>
      </c>
      <c r="E103" s="43">
        <f>IF(NOT(Planos!$A102&lt;&gt;""),"",IF(COUNTIFS(Programação!$B$4:$B$503,Planos!$A102,Programação!$I$4:$I$503,"Concluído",Programação!$G$4:$G$503,"&gt;="&amp;DATE(ano_ref,2,1),Programação!$G$4:$G$503,"&lt;="&amp;EOMONTH(DATE(ano_ref,2,1),0))&gt;0,"✔",IF(AND(ISNUMBER(Planos!$G102),IFERROR(INDEX(lst_frequencia_meses,MATCH(Planos!$E102,lst_frequencia,0)),0)&gt;0,(ano_ref*12+2)-(YEAR(Planos!$G102)*12+MONTH(Planos!$G102))&gt;0,MOD((ano_ref*12+2)-(YEAR(Planos!$G102)*12+MONTH(Planos!$G102)),MAX(1,IFERROR(INDEX(lst_frequencia_meses,MATCH(Planos!$E102,lst_frequencia,0)),0)))=0),"●","")))</f>
      </c>
      <c r="F103" s="43">
        <f>IF(NOT(Planos!$A102&lt;&gt;""),"",IF(COUNTIFS(Programação!$B$4:$B$503,Planos!$A102,Programação!$I$4:$I$503,"Concluído",Programação!$G$4:$G$503,"&gt;="&amp;DATE(ano_ref,3,1),Programação!$G$4:$G$503,"&lt;="&amp;EOMONTH(DATE(ano_ref,3,1),0))&gt;0,"✔",IF(AND(ISNUMBER(Planos!$G102),IFERROR(INDEX(lst_frequencia_meses,MATCH(Planos!$E102,lst_frequencia,0)),0)&gt;0,(ano_ref*12+3)-(YEAR(Planos!$G102)*12+MONTH(Planos!$G102))&gt;0,MOD((ano_ref*12+3)-(YEAR(Planos!$G102)*12+MONTH(Planos!$G102)),MAX(1,IFERROR(INDEX(lst_frequencia_meses,MATCH(Planos!$E102,lst_frequencia,0)),0)))=0),"●","")))</f>
      </c>
      <c r="G103" s="43">
        <f>IF(NOT(Planos!$A102&lt;&gt;""),"",IF(COUNTIFS(Programação!$B$4:$B$503,Planos!$A102,Programação!$I$4:$I$503,"Concluído",Programação!$G$4:$G$503,"&gt;="&amp;DATE(ano_ref,4,1),Programação!$G$4:$G$503,"&lt;="&amp;EOMONTH(DATE(ano_ref,4,1),0))&gt;0,"✔",IF(AND(ISNUMBER(Planos!$G102),IFERROR(INDEX(lst_frequencia_meses,MATCH(Planos!$E102,lst_frequencia,0)),0)&gt;0,(ano_ref*12+4)-(YEAR(Planos!$G102)*12+MONTH(Planos!$G102))&gt;0,MOD((ano_ref*12+4)-(YEAR(Planos!$G102)*12+MONTH(Planos!$G102)),MAX(1,IFERROR(INDEX(lst_frequencia_meses,MATCH(Planos!$E102,lst_frequencia,0)),0)))=0),"●","")))</f>
      </c>
      <c r="H103" s="43">
        <f>IF(NOT(Planos!$A102&lt;&gt;""),"",IF(COUNTIFS(Programação!$B$4:$B$503,Planos!$A102,Programação!$I$4:$I$503,"Concluído",Programação!$G$4:$G$503,"&gt;="&amp;DATE(ano_ref,5,1),Programação!$G$4:$G$503,"&lt;="&amp;EOMONTH(DATE(ano_ref,5,1),0))&gt;0,"✔",IF(AND(ISNUMBER(Planos!$G102),IFERROR(INDEX(lst_frequencia_meses,MATCH(Planos!$E102,lst_frequencia,0)),0)&gt;0,(ano_ref*12+5)-(YEAR(Planos!$G102)*12+MONTH(Planos!$G102))&gt;0,MOD((ano_ref*12+5)-(YEAR(Planos!$G102)*12+MONTH(Planos!$G102)),MAX(1,IFERROR(INDEX(lst_frequencia_meses,MATCH(Planos!$E102,lst_frequencia,0)),0)))=0),"●","")))</f>
      </c>
      <c r="I103" s="43">
        <f>IF(NOT(Planos!$A102&lt;&gt;""),"",IF(COUNTIFS(Programação!$B$4:$B$503,Planos!$A102,Programação!$I$4:$I$503,"Concluído",Programação!$G$4:$G$503,"&gt;="&amp;DATE(ano_ref,6,1),Programação!$G$4:$G$503,"&lt;="&amp;EOMONTH(DATE(ano_ref,6,1),0))&gt;0,"✔",IF(AND(ISNUMBER(Planos!$G102),IFERROR(INDEX(lst_frequencia_meses,MATCH(Planos!$E102,lst_frequencia,0)),0)&gt;0,(ano_ref*12+6)-(YEAR(Planos!$G102)*12+MONTH(Planos!$G102))&gt;0,MOD((ano_ref*12+6)-(YEAR(Planos!$G102)*12+MONTH(Planos!$G102)),MAX(1,IFERROR(INDEX(lst_frequencia_meses,MATCH(Planos!$E102,lst_frequencia,0)),0)))=0),"●","")))</f>
      </c>
      <c r="J103" s="43">
        <f>IF(NOT(Planos!$A102&lt;&gt;""),"",IF(COUNTIFS(Programação!$B$4:$B$503,Planos!$A102,Programação!$I$4:$I$503,"Concluído",Programação!$G$4:$G$503,"&gt;="&amp;DATE(ano_ref,7,1),Programação!$G$4:$G$503,"&lt;="&amp;EOMONTH(DATE(ano_ref,7,1),0))&gt;0,"✔",IF(AND(ISNUMBER(Planos!$G102),IFERROR(INDEX(lst_frequencia_meses,MATCH(Planos!$E102,lst_frequencia,0)),0)&gt;0,(ano_ref*12+7)-(YEAR(Planos!$G102)*12+MONTH(Planos!$G102))&gt;0,MOD((ano_ref*12+7)-(YEAR(Planos!$G102)*12+MONTH(Planos!$G102)),MAX(1,IFERROR(INDEX(lst_frequencia_meses,MATCH(Planos!$E102,lst_frequencia,0)),0)))=0),"●","")))</f>
      </c>
      <c r="K103" s="43">
        <f>IF(NOT(Planos!$A102&lt;&gt;""),"",IF(COUNTIFS(Programação!$B$4:$B$503,Planos!$A102,Programação!$I$4:$I$503,"Concluído",Programação!$G$4:$G$503,"&gt;="&amp;DATE(ano_ref,8,1),Programação!$G$4:$G$503,"&lt;="&amp;EOMONTH(DATE(ano_ref,8,1),0))&gt;0,"✔",IF(AND(ISNUMBER(Planos!$G102),IFERROR(INDEX(lst_frequencia_meses,MATCH(Planos!$E102,lst_frequencia,0)),0)&gt;0,(ano_ref*12+8)-(YEAR(Planos!$G102)*12+MONTH(Planos!$G102))&gt;0,MOD((ano_ref*12+8)-(YEAR(Planos!$G102)*12+MONTH(Planos!$G102)),MAX(1,IFERROR(INDEX(lst_frequencia_meses,MATCH(Planos!$E102,lst_frequencia,0)),0)))=0),"●","")))</f>
      </c>
      <c r="L103" s="43">
        <f>IF(NOT(Planos!$A102&lt;&gt;""),"",IF(COUNTIFS(Programação!$B$4:$B$503,Planos!$A102,Programação!$I$4:$I$503,"Concluído",Programação!$G$4:$G$503,"&gt;="&amp;DATE(ano_ref,9,1),Programação!$G$4:$G$503,"&lt;="&amp;EOMONTH(DATE(ano_ref,9,1),0))&gt;0,"✔",IF(AND(ISNUMBER(Planos!$G102),IFERROR(INDEX(lst_frequencia_meses,MATCH(Planos!$E102,lst_frequencia,0)),0)&gt;0,(ano_ref*12+9)-(YEAR(Planos!$G102)*12+MONTH(Planos!$G102))&gt;0,MOD((ano_ref*12+9)-(YEAR(Planos!$G102)*12+MONTH(Planos!$G102)),MAX(1,IFERROR(INDEX(lst_frequencia_meses,MATCH(Planos!$E102,lst_frequencia,0)),0)))=0),"●","")))</f>
      </c>
      <c r="M103" s="43">
        <f>IF(NOT(Planos!$A102&lt;&gt;""),"",IF(COUNTIFS(Programação!$B$4:$B$503,Planos!$A102,Programação!$I$4:$I$503,"Concluído",Programação!$G$4:$G$503,"&gt;="&amp;DATE(ano_ref,10,1),Programação!$G$4:$G$503,"&lt;="&amp;EOMONTH(DATE(ano_ref,10,1),0))&gt;0,"✔",IF(AND(ISNUMBER(Planos!$G102),IFERROR(INDEX(lst_frequencia_meses,MATCH(Planos!$E102,lst_frequencia,0)),0)&gt;0,(ano_ref*12+10)-(YEAR(Planos!$G102)*12+MONTH(Planos!$G102))&gt;0,MOD((ano_ref*12+10)-(YEAR(Planos!$G102)*12+MONTH(Planos!$G102)),MAX(1,IFERROR(INDEX(lst_frequencia_meses,MATCH(Planos!$E102,lst_frequencia,0)),0)))=0),"●","")))</f>
      </c>
      <c r="N103" s="43">
        <f>IF(NOT(Planos!$A102&lt;&gt;""),"",IF(COUNTIFS(Programação!$B$4:$B$503,Planos!$A102,Programação!$I$4:$I$503,"Concluído",Programação!$G$4:$G$503,"&gt;="&amp;DATE(ano_ref,11,1),Programação!$G$4:$G$503,"&lt;="&amp;EOMONTH(DATE(ano_ref,11,1),0))&gt;0,"✔",IF(AND(ISNUMBER(Planos!$G102),IFERROR(INDEX(lst_frequencia_meses,MATCH(Planos!$E102,lst_frequencia,0)),0)&gt;0,(ano_ref*12+11)-(YEAR(Planos!$G102)*12+MONTH(Planos!$G102))&gt;0,MOD((ano_ref*12+11)-(YEAR(Planos!$G102)*12+MONTH(Planos!$G102)),MAX(1,IFERROR(INDEX(lst_frequencia_meses,MATCH(Planos!$E102,lst_frequencia,0)),0)))=0),"●","")))</f>
      </c>
      <c r="O103" s="43">
        <f>IF(NOT(Planos!$A102&lt;&gt;""),"",IF(COUNTIFS(Programação!$B$4:$B$503,Planos!$A102,Programação!$I$4:$I$503,"Concluído",Programação!$G$4:$G$503,"&gt;="&amp;DATE(ano_ref,12,1),Programação!$G$4:$G$503,"&lt;="&amp;EOMONTH(DATE(ano_ref,12,1),0))&gt;0,"✔",IF(AND(ISNUMBER(Planos!$G102),IFERROR(INDEX(lst_frequencia_meses,MATCH(Planos!$E102,lst_frequencia,0)),0)&gt;0,(ano_ref*12+12)-(YEAR(Planos!$G102)*12+MONTH(Planos!$G102))&gt;0,MOD((ano_ref*12+12)-(YEAR(Planos!$G102)*12+MONTH(Planos!$G102)),MAX(1,IFERROR(INDEX(lst_frequencia_meses,MATCH(Planos!$E102,lst_frequencia,0)),0)))=0),"●","")))</f>
      </c>
      <c r="P103" s="44">
        <f>IF(COUNTIF(D103:O103,"✔")+COUNTIF(D103:O103,"●")=0,"",COUNTIF(D103:O103,"✔")/(COUNTIF(D103:O103,"✔")+COUNTIF(D103:O103,"●")))</f>
      </c>
    </row>
    <row r="104" spans="1:16" x14ac:dyDescent="0.25">
      <c r="A104" s="43">
        <f>IF(Planos!$A103&lt;&gt;"",Planos!A103&amp;"","")</f>
      </c>
      <c r="B104" s="43">
        <f>IF(Planos!$A103&lt;&gt;"",Planos!B103&amp;"","")</f>
      </c>
      <c r="C104" s="24">
        <f>IF(Planos!$A103&lt;&gt;"",Planos!C103&amp;"","")</f>
      </c>
      <c r="D104" s="43">
        <f>IF(NOT(Planos!$A103&lt;&gt;""),"",IF(COUNTIFS(Programação!$B$4:$B$503,Planos!$A103,Programação!$I$4:$I$503,"Concluído",Programação!$G$4:$G$503,"&gt;="&amp;DATE(ano_ref,1,1),Programação!$G$4:$G$503,"&lt;="&amp;EOMONTH(DATE(ano_ref,1,1),0))&gt;0,"✔",IF(AND(ISNUMBER(Planos!$G103),IFERROR(INDEX(lst_frequencia_meses,MATCH(Planos!$E103,lst_frequencia,0)),0)&gt;0,(ano_ref*12+1)-(YEAR(Planos!$G103)*12+MONTH(Planos!$G103))&gt;0,MOD((ano_ref*12+1)-(YEAR(Planos!$G103)*12+MONTH(Planos!$G103)),MAX(1,IFERROR(INDEX(lst_frequencia_meses,MATCH(Planos!$E103,lst_frequencia,0)),0)))=0),"●","")))</f>
      </c>
      <c r="E104" s="43">
        <f>IF(NOT(Planos!$A103&lt;&gt;""),"",IF(COUNTIFS(Programação!$B$4:$B$503,Planos!$A103,Programação!$I$4:$I$503,"Concluído",Programação!$G$4:$G$503,"&gt;="&amp;DATE(ano_ref,2,1),Programação!$G$4:$G$503,"&lt;="&amp;EOMONTH(DATE(ano_ref,2,1),0))&gt;0,"✔",IF(AND(ISNUMBER(Planos!$G103),IFERROR(INDEX(lst_frequencia_meses,MATCH(Planos!$E103,lst_frequencia,0)),0)&gt;0,(ano_ref*12+2)-(YEAR(Planos!$G103)*12+MONTH(Planos!$G103))&gt;0,MOD((ano_ref*12+2)-(YEAR(Planos!$G103)*12+MONTH(Planos!$G103)),MAX(1,IFERROR(INDEX(lst_frequencia_meses,MATCH(Planos!$E103,lst_frequencia,0)),0)))=0),"●","")))</f>
      </c>
      <c r="F104" s="43">
        <f>IF(NOT(Planos!$A103&lt;&gt;""),"",IF(COUNTIFS(Programação!$B$4:$B$503,Planos!$A103,Programação!$I$4:$I$503,"Concluído",Programação!$G$4:$G$503,"&gt;="&amp;DATE(ano_ref,3,1),Programação!$G$4:$G$503,"&lt;="&amp;EOMONTH(DATE(ano_ref,3,1),0))&gt;0,"✔",IF(AND(ISNUMBER(Planos!$G103),IFERROR(INDEX(lst_frequencia_meses,MATCH(Planos!$E103,lst_frequencia,0)),0)&gt;0,(ano_ref*12+3)-(YEAR(Planos!$G103)*12+MONTH(Planos!$G103))&gt;0,MOD((ano_ref*12+3)-(YEAR(Planos!$G103)*12+MONTH(Planos!$G103)),MAX(1,IFERROR(INDEX(lst_frequencia_meses,MATCH(Planos!$E103,lst_frequencia,0)),0)))=0),"●","")))</f>
      </c>
      <c r="G104" s="43">
        <f>IF(NOT(Planos!$A103&lt;&gt;""),"",IF(COUNTIFS(Programação!$B$4:$B$503,Planos!$A103,Programação!$I$4:$I$503,"Concluído",Programação!$G$4:$G$503,"&gt;="&amp;DATE(ano_ref,4,1),Programação!$G$4:$G$503,"&lt;="&amp;EOMONTH(DATE(ano_ref,4,1),0))&gt;0,"✔",IF(AND(ISNUMBER(Planos!$G103),IFERROR(INDEX(lst_frequencia_meses,MATCH(Planos!$E103,lst_frequencia,0)),0)&gt;0,(ano_ref*12+4)-(YEAR(Planos!$G103)*12+MONTH(Planos!$G103))&gt;0,MOD((ano_ref*12+4)-(YEAR(Planos!$G103)*12+MONTH(Planos!$G103)),MAX(1,IFERROR(INDEX(lst_frequencia_meses,MATCH(Planos!$E103,lst_frequencia,0)),0)))=0),"●","")))</f>
      </c>
      <c r="H104" s="43">
        <f>IF(NOT(Planos!$A103&lt;&gt;""),"",IF(COUNTIFS(Programação!$B$4:$B$503,Planos!$A103,Programação!$I$4:$I$503,"Concluído",Programação!$G$4:$G$503,"&gt;="&amp;DATE(ano_ref,5,1),Programação!$G$4:$G$503,"&lt;="&amp;EOMONTH(DATE(ano_ref,5,1),0))&gt;0,"✔",IF(AND(ISNUMBER(Planos!$G103),IFERROR(INDEX(lst_frequencia_meses,MATCH(Planos!$E103,lst_frequencia,0)),0)&gt;0,(ano_ref*12+5)-(YEAR(Planos!$G103)*12+MONTH(Planos!$G103))&gt;0,MOD((ano_ref*12+5)-(YEAR(Planos!$G103)*12+MONTH(Planos!$G103)),MAX(1,IFERROR(INDEX(lst_frequencia_meses,MATCH(Planos!$E103,lst_frequencia,0)),0)))=0),"●","")))</f>
      </c>
      <c r="I104" s="43">
        <f>IF(NOT(Planos!$A103&lt;&gt;""),"",IF(COUNTIFS(Programação!$B$4:$B$503,Planos!$A103,Programação!$I$4:$I$503,"Concluído",Programação!$G$4:$G$503,"&gt;="&amp;DATE(ano_ref,6,1),Programação!$G$4:$G$503,"&lt;="&amp;EOMONTH(DATE(ano_ref,6,1),0))&gt;0,"✔",IF(AND(ISNUMBER(Planos!$G103),IFERROR(INDEX(lst_frequencia_meses,MATCH(Planos!$E103,lst_frequencia,0)),0)&gt;0,(ano_ref*12+6)-(YEAR(Planos!$G103)*12+MONTH(Planos!$G103))&gt;0,MOD((ano_ref*12+6)-(YEAR(Planos!$G103)*12+MONTH(Planos!$G103)),MAX(1,IFERROR(INDEX(lst_frequencia_meses,MATCH(Planos!$E103,lst_frequencia,0)),0)))=0),"●","")))</f>
      </c>
      <c r="J104" s="43">
        <f>IF(NOT(Planos!$A103&lt;&gt;""),"",IF(COUNTIFS(Programação!$B$4:$B$503,Planos!$A103,Programação!$I$4:$I$503,"Concluído",Programação!$G$4:$G$503,"&gt;="&amp;DATE(ano_ref,7,1),Programação!$G$4:$G$503,"&lt;="&amp;EOMONTH(DATE(ano_ref,7,1),0))&gt;0,"✔",IF(AND(ISNUMBER(Planos!$G103),IFERROR(INDEX(lst_frequencia_meses,MATCH(Planos!$E103,lst_frequencia,0)),0)&gt;0,(ano_ref*12+7)-(YEAR(Planos!$G103)*12+MONTH(Planos!$G103))&gt;0,MOD((ano_ref*12+7)-(YEAR(Planos!$G103)*12+MONTH(Planos!$G103)),MAX(1,IFERROR(INDEX(lst_frequencia_meses,MATCH(Planos!$E103,lst_frequencia,0)),0)))=0),"●","")))</f>
      </c>
      <c r="K104" s="43">
        <f>IF(NOT(Planos!$A103&lt;&gt;""),"",IF(COUNTIFS(Programação!$B$4:$B$503,Planos!$A103,Programação!$I$4:$I$503,"Concluído",Programação!$G$4:$G$503,"&gt;="&amp;DATE(ano_ref,8,1),Programação!$G$4:$G$503,"&lt;="&amp;EOMONTH(DATE(ano_ref,8,1),0))&gt;0,"✔",IF(AND(ISNUMBER(Planos!$G103),IFERROR(INDEX(lst_frequencia_meses,MATCH(Planos!$E103,lst_frequencia,0)),0)&gt;0,(ano_ref*12+8)-(YEAR(Planos!$G103)*12+MONTH(Planos!$G103))&gt;0,MOD((ano_ref*12+8)-(YEAR(Planos!$G103)*12+MONTH(Planos!$G103)),MAX(1,IFERROR(INDEX(lst_frequencia_meses,MATCH(Planos!$E103,lst_frequencia,0)),0)))=0),"●","")))</f>
      </c>
      <c r="L104" s="43">
        <f>IF(NOT(Planos!$A103&lt;&gt;""),"",IF(COUNTIFS(Programação!$B$4:$B$503,Planos!$A103,Programação!$I$4:$I$503,"Concluído",Programação!$G$4:$G$503,"&gt;="&amp;DATE(ano_ref,9,1),Programação!$G$4:$G$503,"&lt;="&amp;EOMONTH(DATE(ano_ref,9,1),0))&gt;0,"✔",IF(AND(ISNUMBER(Planos!$G103),IFERROR(INDEX(lst_frequencia_meses,MATCH(Planos!$E103,lst_frequencia,0)),0)&gt;0,(ano_ref*12+9)-(YEAR(Planos!$G103)*12+MONTH(Planos!$G103))&gt;0,MOD((ano_ref*12+9)-(YEAR(Planos!$G103)*12+MONTH(Planos!$G103)),MAX(1,IFERROR(INDEX(lst_frequencia_meses,MATCH(Planos!$E103,lst_frequencia,0)),0)))=0),"●","")))</f>
      </c>
      <c r="M104" s="43">
        <f>IF(NOT(Planos!$A103&lt;&gt;""),"",IF(COUNTIFS(Programação!$B$4:$B$503,Planos!$A103,Programação!$I$4:$I$503,"Concluído",Programação!$G$4:$G$503,"&gt;="&amp;DATE(ano_ref,10,1),Programação!$G$4:$G$503,"&lt;="&amp;EOMONTH(DATE(ano_ref,10,1),0))&gt;0,"✔",IF(AND(ISNUMBER(Planos!$G103),IFERROR(INDEX(lst_frequencia_meses,MATCH(Planos!$E103,lst_frequencia,0)),0)&gt;0,(ano_ref*12+10)-(YEAR(Planos!$G103)*12+MONTH(Planos!$G103))&gt;0,MOD((ano_ref*12+10)-(YEAR(Planos!$G103)*12+MONTH(Planos!$G103)),MAX(1,IFERROR(INDEX(lst_frequencia_meses,MATCH(Planos!$E103,lst_frequencia,0)),0)))=0),"●","")))</f>
      </c>
      <c r="N104" s="43">
        <f>IF(NOT(Planos!$A103&lt;&gt;""),"",IF(COUNTIFS(Programação!$B$4:$B$503,Planos!$A103,Programação!$I$4:$I$503,"Concluído",Programação!$G$4:$G$503,"&gt;="&amp;DATE(ano_ref,11,1),Programação!$G$4:$G$503,"&lt;="&amp;EOMONTH(DATE(ano_ref,11,1),0))&gt;0,"✔",IF(AND(ISNUMBER(Planos!$G103),IFERROR(INDEX(lst_frequencia_meses,MATCH(Planos!$E103,lst_frequencia,0)),0)&gt;0,(ano_ref*12+11)-(YEAR(Planos!$G103)*12+MONTH(Planos!$G103))&gt;0,MOD((ano_ref*12+11)-(YEAR(Planos!$G103)*12+MONTH(Planos!$G103)),MAX(1,IFERROR(INDEX(lst_frequencia_meses,MATCH(Planos!$E103,lst_frequencia,0)),0)))=0),"●","")))</f>
      </c>
      <c r="O104" s="43">
        <f>IF(NOT(Planos!$A103&lt;&gt;""),"",IF(COUNTIFS(Programação!$B$4:$B$503,Planos!$A103,Programação!$I$4:$I$503,"Concluído",Programação!$G$4:$G$503,"&gt;="&amp;DATE(ano_ref,12,1),Programação!$G$4:$G$503,"&lt;="&amp;EOMONTH(DATE(ano_ref,12,1),0))&gt;0,"✔",IF(AND(ISNUMBER(Planos!$G103),IFERROR(INDEX(lst_frequencia_meses,MATCH(Planos!$E103,lst_frequencia,0)),0)&gt;0,(ano_ref*12+12)-(YEAR(Planos!$G103)*12+MONTH(Planos!$G103))&gt;0,MOD((ano_ref*12+12)-(YEAR(Planos!$G103)*12+MONTH(Planos!$G103)),MAX(1,IFERROR(INDEX(lst_frequencia_meses,MATCH(Planos!$E103,lst_frequencia,0)),0)))=0),"●","")))</f>
      </c>
      <c r="P104" s="44">
        <f>IF(COUNTIF(D104:O104,"✔")+COUNTIF(D104:O104,"●")=0,"",COUNTIF(D104:O104,"✔")/(COUNTIF(D104:O104,"✔")+COUNTIF(D104:O104,"●")))</f>
      </c>
    </row>
    <row r="105" spans="1:16" x14ac:dyDescent="0.25">
      <c r="A105" s="43">
        <f>IF(Planos!$A104&lt;&gt;"",Planos!A104&amp;"","")</f>
      </c>
      <c r="B105" s="43">
        <f>IF(Planos!$A104&lt;&gt;"",Planos!B104&amp;"","")</f>
      </c>
      <c r="C105" s="24">
        <f>IF(Planos!$A104&lt;&gt;"",Planos!C104&amp;"","")</f>
      </c>
      <c r="D105" s="43">
        <f>IF(NOT(Planos!$A104&lt;&gt;""),"",IF(COUNTIFS(Programação!$B$4:$B$503,Planos!$A104,Programação!$I$4:$I$503,"Concluído",Programação!$G$4:$G$503,"&gt;="&amp;DATE(ano_ref,1,1),Programação!$G$4:$G$503,"&lt;="&amp;EOMONTH(DATE(ano_ref,1,1),0))&gt;0,"✔",IF(AND(ISNUMBER(Planos!$G104),IFERROR(INDEX(lst_frequencia_meses,MATCH(Planos!$E104,lst_frequencia,0)),0)&gt;0,(ano_ref*12+1)-(YEAR(Planos!$G104)*12+MONTH(Planos!$G104))&gt;0,MOD((ano_ref*12+1)-(YEAR(Planos!$G104)*12+MONTH(Planos!$G104)),MAX(1,IFERROR(INDEX(lst_frequencia_meses,MATCH(Planos!$E104,lst_frequencia,0)),0)))=0),"●","")))</f>
      </c>
      <c r="E105" s="43">
        <f>IF(NOT(Planos!$A104&lt;&gt;""),"",IF(COUNTIFS(Programação!$B$4:$B$503,Planos!$A104,Programação!$I$4:$I$503,"Concluído",Programação!$G$4:$G$503,"&gt;="&amp;DATE(ano_ref,2,1),Programação!$G$4:$G$503,"&lt;="&amp;EOMONTH(DATE(ano_ref,2,1),0))&gt;0,"✔",IF(AND(ISNUMBER(Planos!$G104),IFERROR(INDEX(lst_frequencia_meses,MATCH(Planos!$E104,lst_frequencia,0)),0)&gt;0,(ano_ref*12+2)-(YEAR(Planos!$G104)*12+MONTH(Planos!$G104))&gt;0,MOD((ano_ref*12+2)-(YEAR(Planos!$G104)*12+MONTH(Planos!$G104)),MAX(1,IFERROR(INDEX(lst_frequencia_meses,MATCH(Planos!$E104,lst_frequencia,0)),0)))=0),"●","")))</f>
      </c>
      <c r="F105" s="43">
        <f>IF(NOT(Planos!$A104&lt;&gt;""),"",IF(COUNTIFS(Programação!$B$4:$B$503,Planos!$A104,Programação!$I$4:$I$503,"Concluído",Programação!$G$4:$G$503,"&gt;="&amp;DATE(ano_ref,3,1),Programação!$G$4:$G$503,"&lt;="&amp;EOMONTH(DATE(ano_ref,3,1),0))&gt;0,"✔",IF(AND(ISNUMBER(Planos!$G104),IFERROR(INDEX(lst_frequencia_meses,MATCH(Planos!$E104,lst_frequencia,0)),0)&gt;0,(ano_ref*12+3)-(YEAR(Planos!$G104)*12+MONTH(Planos!$G104))&gt;0,MOD((ano_ref*12+3)-(YEAR(Planos!$G104)*12+MONTH(Planos!$G104)),MAX(1,IFERROR(INDEX(lst_frequencia_meses,MATCH(Planos!$E104,lst_frequencia,0)),0)))=0),"●","")))</f>
      </c>
      <c r="G105" s="43">
        <f>IF(NOT(Planos!$A104&lt;&gt;""),"",IF(COUNTIFS(Programação!$B$4:$B$503,Planos!$A104,Programação!$I$4:$I$503,"Concluído",Programação!$G$4:$G$503,"&gt;="&amp;DATE(ano_ref,4,1),Programação!$G$4:$G$503,"&lt;="&amp;EOMONTH(DATE(ano_ref,4,1),0))&gt;0,"✔",IF(AND(ISNUMBER(Planos!$G104),IFERROR(INDEX(lst_frequencia_meses,MATCH(Planos!$E104,lst_frequencia,0)),0)&gt;0,(ano_ref*12+4)-(YEAR(Planos!$G104)*12+MONTH(Planos!$G104))&gt;0,MOD((ano_ref*12+4)-(YEAR(Planos!$G104)*12+MONTH(Planos!$G104)),MAX(1,IFERROR(INDEX(lst_frequencia_meses,MATCH(Planos!$E104,lst_frequencia,0)),0)))=0),"●","")))</f>
      </c>
      <c r="H105" s="43">
        <f>IF(NOT(Planos!$A104&lt;&gt;""),"",IF(COUNTIFS(Programação!$B$4:$B$503,Planos!$A104,Programação!$I$4:$I$503,"Concluído",Programação!$G$4:$G$503,"&gt;="&amp;DATE(ano_ref,5,1),Programação!$G$4:$G$503,"&lt;="&amp;EOMONTH(DATE(ano_ref,5,1),0))&gt;0,"✔",IF(AND(ISNUMBER(Planos!$G104),IFERROR(INDEX(lst_frequencia_meses,MATCH(Planos!$E104,lst_frequencia,0)),0)&gt;0,(ano_ref*12+5)-(YEAR(Planos!$G104)*12+MONTH(Planos!$G104))&gt;0,MOD((ano_ref*12+5)-(YEAR(Planos!$G104)*12+MONTH(Planos!$G104)),MAX(1,IFERROR(INDEX(lst_frequencia_meses,MATCH(Planos!$E104,lst_frequencia,0)),0)))=0),"●","")))</f>
      </c>
      <c r="I105" s="43">
        <f>IF(NOT(Planos!$A104&lt;&gt;""),"",IF(COUNTIFS(Programação!$B$4:$B$503,Planos!$A104,Programação!$I$4:$I$503,"Concluído",Programação!$G$4:$G$503,"&gt;="&amp;DATE(ano_ref,6,1),Programação!$G$4:$G$503,"&lt;="&amp;EOMONTH(DATE(ano_ref,6,1),0))&gt;0,"✔",IF(AND(ISNUMBER(Planos!$G104),IFERROR(INDEX(lst_frequencia_meses,MATCH(Planos!$E104,lst_frequencia,0)),0)&gt;0,(ano_ref*12+6)-(YEAR(Planos!$G104)*12+MONTH(Planos!$G104))&gt;0,MOD((ano_ref*12+6)-(YEAR(Planos!$G104)*12+MONTH(Planos!$G104)),MAX(1,IFERROR(INDEX(lst_frequencia_meses,MATCH(Planos!$E104,lst_frequencia,0)),0)))=0),"●","")))</f>
      </c>
      <c r="J105" s="43">
        <f>IF(NOT(Planos!$A104&lt;&gt;""),"",IF(COUNTIFS(Programação!$B$4:$B$503,Planos!$A104,Programação!$I$4:$I$503,"Concluído",Programação!$G$4:$G$503,"&gt;="&amp;DATE(ano_ref,7,1),Programação!$G$4:$G$503,"&lt;="&amp;EOMONTH(DATE(ano_ref,7,1),0))&gt;0,"✔",IF(AND(ISNUMBER(Planos!$G104),IFERROR(INDEX(lst_frequencia_meses,MATCH(Planos!$E104,lst_frequencia,0)),0)&gt;0,(ano_ref*12+7)-(YEAR(Planos!$G104)*12+MONTH(Planos!$G104))&gt;0,MOD((ano_ref*12+7)-(YEAR(Planos!$G104)*12+MONTH(Planos!$G104)),MAX(1,IFERROR(INDEX(lst_frequencia_meses,MATCH(Planos!$E104,lst_frequencia,0)),0)))=0),"●","")))</f>
      </c>
      <c r="K105" s="43">
        <f>IF(NOT(Planos!$A104&lt;&gt;""),"",IF(COUNTIFS(Programação!$B$4:$B$503,Planos!$A104,Programação!$I$4:$I$503,"Concluído",Programação!$G$4:$G$503,"&gt;="&amp;DATE(ano_ref,8,1),Programação!$G$4:$G$503,"&lt;="&amp;EOMONTH(DATE(ano_ref,8,1),0))&gt;0,"✔",IF(AND(ISNUMBER(Planos!$G104),IFERROR(INDEX(lst_frequencia_meses,MATCH(Planos!$E104,lst_frequencia,0)),0)&gt;0,(ano_ref*12+8)-(YEAR(Planos!$G104)*12+MONTH(Planos!$G104))&gt;0,MOD((ano_ref*12+8)-(YEAR(Planos!$G104)*12+MONTH(Planos!$G104)),MAX(1,IFERROR(INDEX(lst_frequencia_meses,MATCH(Planos!$E104,lst_frequencia,0)),0)))=0),"●","")))</f>
      </c>
      <c r="L105" s="43">
        <f>IF(NOT(Planos!$A104&lt;&gt;""),"",IF(COUNTIFS(Programação!$B$4:$B$503,Planos!$A104,Programação!$I$4:$I$503,"Concluído",Programação!$G$4:$G$503,"&gt;="&amp;DATE(ano_ref,9,1),Programação!$G$4:$G$503,"&lt;="&amp;EOMONTH(DATE(ano_ref,9,1),0))&gt;0,"✔",IF(AND(ISNUMBER(Planos!$G104),IFERROR(INDEX(lst_frequencia_meses,MATCH(Planos!$E104,lst_frequencia,0)),0)&gt;0,(ano_ref*12+9)-(YEAR(Planos!$G104)*12+MONTH(Planos!$G104))&gt;0,MOD((ano_ref*12+9)-(YEAR(Planos!$G104)*12+MONTH(Planos!$G104)),MAX(1,IFERROR(INDEX(lst_frequencia_meses,MATCH(Planos!$E104,lst_frequencia,0)),0)))=0),"●","")))</f>
      </c>
      <c r="M105" s="43">
        <f>IF(NOT(Planos!$A104&lt;&gt;""),"",IF(COUNTIFS(Programação!$B$4:$B$503,Planos!$A104,Programação!$I$4:$I$503,"Concluído",Programação!$G$4:$G$503,"&gt;="&amp;DATE(ano_ref,10,1),Programação!$G$4:$G$503,"&lt;="&amp;EOMONTH(DATE(ano_ref,10,1),0))&gt;0,"✔",IF(AND(ISNUMBER(Planos!$G104),IFERROR(INDEX(lst_frequencia_meses,MATCH(Planos!$E104,lst_frequencia,0)),0)&gt;0,(ano_ref*12+10)-(YEAR(Planos!$G104)*12+MONTH(Planos!$G104))&gt;0,MOD((ano_ref*12+10)-(YEAR(Planos!$G104)*12+MONTH(Planos!$G104)),MAX(1,IFERROR(INDEX(lst_frequencia_meses,MATCH(Planos!$E104,lst_frequencia,0)),0)))=0),"●","")))</f>
      </c>
      <c r="N105" s="43">
        <f>IF(NOT(Planos!$A104&lt;&gt;""),"",IF(COUNTIFS(Programação!$B$4:$B$503,Planos!$A104,Programação!$I$4:$I$503,"Concluído",Programação!$G$4:$G$503,"&gt;="&amp;DATE(ano_ref,11,1),Programação!$G$4:$G$503,"&lt;="&amp;EOMONTH(DATE(ano_ref,11,1),0))&gt;0,"✔",IF(AND(ISNUMBER(Planos!$G104),IFERROR(INDEX(lst_frequencia_meses,MATCH(Planos!$E104,lst_frequencia,0)),0)&gt;0,(ano_ref*12+11)-(YEAR(Planos!$G104)*12+MONTH(Planos!$G104))&gt;0,MOD((ano_ref*12+11)-(YEAR(Planos!$G104)*12+MONTH(Planos!$G104)),MAX(1,IFERROR(INDEX(lst_frequencia_meses,MATCH(Planos!$E104,lst_frequencia,0)),0)))=0),"●","")))</f>
      </c>
      <c r="O105" s="43">
        <f>IF(NOT(Planos!$A104&lt;&gt;""),"",IF(COUNTIFS(Programação!$B$4:$B$503,Planos!$A104,Programação!$I$4:$I$503,"Concluído",Programação!$G$4:$G$503,"&gt;="&amp;DATE(ano_ref,12,1),Programação!$G$4:$G$503,"&lt;="&amp;EOMONTH(DATE(ano_ref,12,1),0))&gt;0,"✔",IF(AND(ISNUMBER(Planos!$G104),IFERROR(INDEX(lst_frequencia_meses,MATCH(Planos!$E104,lst_frequencia,0)),0)&gt;0,(ano_ref*12+12)-(YEAR(Planos!$G104)*12+MONTH(Planos!$G104))&gt;0,MOD((ano_ref*12+12)-(YEAR(Planos!$G104)*12+MONTH(Planos!$G104)),MAX(1,IFERROR(INDEX(lst_frequencia_meses,MATCH(Planos!$E104,lst_frequencia,0)),0)))=0),"●","")))</f>
      </c>
      <c r="P105" s="44">
        <f>IF(COUNTIF(D105:O105,"✔")+COUNTIF(D105:O105,"●")=0,"",COUNTIF(D105:O105,"✔")/(COUNTIF(D105:O105,"✔")+COUNTIF(D105:O105,"●")))</f>
      </c>
    </row>
    <row r="106" spans="1:16" x14ac:dyDescent="0.25">
      <c r="A106" s="43">
        <f>IF(Planos!$A105&lt;&gt;"",Planos!A105&amp;"","")</f>
      </c>
      <c r="B106" s="43">
        <f>IF(Planos!$A105&lt;&gt;"",Planos!B105&amp;"","")</f>
      </c>
      <c r="C106" s="24">
        <f>IF(Planos!$A105&lt;&gt;"",Planos!C105&amp;"","")</f>
      </c>
      <c r="D106" s="43">
        <f>IF(NOT(Planos!$A105&lt;&gt;""),"",IF(COUNTIFS(Programação!$B$4:$B$503,Planos!$A105,Programação!$I$4:$I$503,"Concluído",Programação!$G$4:$G$503,"&gt;="&amp;DATE(ano_ref,1,1),Programação!$G$4:$G$503,"&lt;="&amp;EOMONTH(DATE(ano_ref,1,1),0))&gt;0,"✔",IF(AND(ISNUMBER(Planos!$G105),IFERROR(INDEX(lst_frequencia_meses,MATCH(Planos!$E105,lst_frequencia,0)),0)&gt;0,(ano_ref*12+1)-(YEAR(Planos!$G105)*12+MONTH(Planos!$G105))&gt;0,MOD((ano_ref*12+1)-(YEAR(Planos!$G105)*12+MONTH(Planos!$G105)),MAX(1,IFERROR(INDEX(lst_frequencia_meses,MATCH(Planos!$E105,lst_frequencia,0)),0)))=0),"●","")))</f>
      </c>
      <c r="E106" s="43">
        <f>IF(NOT(Planos!$A105&lt;&gt;""),"",IF(COUNTIFS(Programação!$B$4:$B$503,Planos!$A105,Programação!$I$4:$I$503,"Concluído",Programação!$G$4:$G$503,"&gt;="&amp;DATE(ano_ref,2,1),Programação!$G$4:$G$503,"&lt;="&amp;EOMONTH(DATE(ano_ref,2,1),0))&gt;0,"✔",IF(AND(ISNUMBER(Planos!$G105),IFERROR(INDEX(lst_frequencia_meses,MATCH(Planos!$E105,lst_frequencia,0)),0)&gt;0,(ano_ref*12+2)-(YEAR(Planos!$G105)*12+MONTH(Planos!$G105))&gt;0,MOD((ano_ref*12+2)-(YEAR(Planos!$G105)*12+MONTH(Planos!$G105)),MAX(1,IFERROR(INDEX(lst_frequencia_meses,MATCH(Planos!$E105,lst_frequencia,0)),0)))=0),"●","")))</f>
      </c>
      <c r="F106" s="43">
        <f>IF(NOT(Planos!$A105&lt;&gt;""),"",IF(COUNTIFS(Programação!$B$4:$B$503,Planos!$A105,Programação!$I$4:$I$503,"Concluído",Programação!$G$4:$G$503,"&gt;="&amp;DATE(ano_ref,3,1),Programação!$G$4:$G$503,"&lt;="&amp;EOMONTH(DATE(ano_ref,3,1),0))&gt;0,"✔",IF(AND(ISNUMBER(Planos!$G105),IFERROR(INDEX(lst_frequencia_meses,MATCH(Planos!$E105,lst_frequencia,0)),0)&gt;0,(ano_ref*12+3)-(YEAR(Planos!$G105)*12+MONTH(Planos!$G105))&gt;0,MOD((ano_ref*12+3)-(YEAR(Planos!$G105)*12+MONTH(Planos!$G105)),MAX(1,IFERROR(INDEX(lst_frequencia_meses,MATCH(Planos!$E105,lst_frequencia,0)),0)))=0),"●","")))</f>
      </c>
      <c r="G106" s="43">
        <f>IF(NOT(Planos!$A105&lt;&gt;""),"",IF(COUNTIFS(Programação!$B$4:$B$503,Planos!$A105,Programação!$I$4:$I$503,"Concluído",Programação!$G$4:$G$503,"&gt;="&amp;DATE(ano_ref,4,1),Programação!$G$4:$G$503,"&lt;="&amp;EOMONTH(DATE(ano_ref,4,1),0))&gt;0,"✔",IF(AND(ISNUMBER(Planos!$G105),IFERROR(INDEX(lst_frequencia_meses,MATCH(Planos!$E105,lst_frequencia,0)),0)&gt;0,(ano_ref*12+4)-(YEAR(Planos!$G105)*12+MONTH(Planos!$G105))&gt;0,MOD((ano_ref*12+4)-(YEAR(Planos!$G105)*12+MONTH(Planos!$G105)),MAX(1,IFERROR(INDEX(lst_frequencia_meses,MATCH(Planos!$E105,lst_frequencia,0)),0)))=0),"●","")))</f>
      </c>
      <c r="H106" s="43">
        <f>IF(NOT(Planos!$A105&lt;&gt;""),"",IF(COUNTIFS(Programação!$B$4:$B$503,Planos!$A105,Programação!$I$4:$I$503,"Concluído",Programação!$G$4:$G$503,"&gt;="&amp;DATE(ano_ref,5,1),Programação!$G$4:$G$503,"&lt;="&amp;EOMONTH(DATE(ano_ref,5,1),0))&gt;0,"✔",IF(AND(ISNUMBER(Planos!$G105),IFERROR(INDEX(lst_frequencia_meses,MATCH(Planos!$E105,lst_frequencia,0)),0)&gt;0,(ano_ref*12+5)-(YEAR(Planos!$G105)*12+MONTH(Planos!$G105))&gt;0,MOD((ano_ref*12+5)-(YEAR(Planos!$G105)*12+MONTH(Planos!$G105)),MAX(1,IFERROR(INDEX(lst_frequencia_meses,MATCH(Planos!$E105,lst_frequencia,0)),0)))=0),"●","")))</f>
      </c>
      <c r="I106" s="43">
        <f>IF(NOT(Planos!$A105&lt;&gt;""),"",IF(COUNTIFS(Programação!$B$4:$B$503,Planos!$A105,Programação!$I$4:$I$503,"Concluído",Programação!$G$4:$G$503,"&gt;="&amp;DATE(ano_ref,6,1),Programação!$G$4:$G$503,"&lt;="&amp;EOMONTH(DATE(ano_ref,6,1),0))&gt;0,"✔",IF(AND(ISNUMBER(Planos!$G105),IFERROR(INDEX(lst_frequencia_meses,MATCH(Planos!$E105,lst_frequencia,0)),0)&gt;0,(ano_ref*12+6)-(YEAR(Planos!$G105)*12+MONTH(Planos!$G105))&gt;0,MOD((ano_ref*12+6)-(YEAR(Planos!$G105)*12+MONTH(Planos!$G105)),MAX(1,IFERROR(INDEX(lst_frequencia_meses,MATCH(Planos!$E105,lst_frequencia,0)),0)))=0),"●","")))</f>
      </c>
      <c r="J106" s="43">
        <f>IF(NOT(Planos!$A105&lt;&gt;""),"",IF(COUNTIFS(Programação!$B$4:$B$503,Planos!$A105,Programação!$I$4:$I$503,"Concluído",Programação!$G$4:$G$503,"&gt;="&amp;DATE(ano_ref,7,1),Programação!$G$4:$G$503,"&lt;="&amp;EOMONTH(DATE(ano_ref,7,1),0))&gt;0,"✔",IF(AND(ISNUMBER(Planos!$G105),IFERROR(INDEX(lst_frequencia_meses,MATCH(Planos!$E105,lst_frequencia,0)),0)&gt;0,(ano_ref*12+7)-(YEAR(Planos!$G105)*12+MONTH(Planos!$G105))&gt;0,MOD((ano_ref*12+7)-(YEAR(Planos!$G105)*12+MONTH(Planos!$G105)),MAX(1,IFERROR(INDEX(lst_frequencia_meses,MATCH(Planos!$E105,lst_frequencia,0)),0)))=0),"●","")))</f>
      </c>
      <c r="K106" s="43">
        <f>IF(NOT(Planos!$A105&lt;&gt;""),"",IF(COUNTIFS(Programação!$B$4:$B$503,Planos!$A105,Programação!$I$4:$I$503,"Concluído",Programação!$G$4:$G$503,"&gt;="&amp;DATE(ano_ref,8,1),Programação!$G$4:$G$503,"&lt;="&amp;EOMONTH(DATE(ano_ref,8,1),0))&gt;0,"✔",IF(AND(ISNUMBER(Planos!$G105),IFERROR(INDEX(lst_frequencia_meses,MATCH(Planos!$E105,lst_frequencia,0)),0)&gt;0,(ano_ref*12+8)-(YEAR(Planos!$G105)*12+MONTH(Planos!$G105))&gt;0,MOD((ano_ref*12+8)-(YEAR(Planos!$G105)*12+MONTH(Planos!$G105)),MAX(1,IFERROR(INDEX(lst_frequencia_meses,MATCH(Planos!$E105,lst_frequencia,0)),0)))=0),"●","")))</f>
      </c>
      <c r="L106" s="43">
        <f>IF(NOT(Planos!$A105&lt;&gt;""),"",IF(COUNTIFS(Programação!$B$4:$B$503,Planos!$A105,Programação!$I$4:$I$503,"Concluído",Programação!$G$4:$G$503,"&gt;="&amp;DATE(ano_ref,9,1),Programação!$G$4:$G$503,"&lt;="&amp;EOMONTH(DATE(ano_ref,9,1),0))&gt;0,"✔",IF(AND(ISNUMBER(Planos!$G105),IFERROR(INDEX(lst_frequencia_meses,MATCH(Planos!$E105,lst_frequencia,0)),0)&gt;0,(ano_ref*12+9)-(YEAR(Planos!$G105)*12+MONTH(Planos!$G105))&gt;0,MOD((ano_ref*12+9)-(YEAR(Planos!$G105)*12+MONTH(Planos!$G105)),MAX(1,IFERROR(INDEX(lst_frequencia_meses,MATCH(Planos!$E105,lst_frequencia,0)),0)))=0),"●","")))</f>
      </c>
      <c r="M106" s="43">
        <f>IF(NOT(Planos!$A105&lt;&gt;""),"",IF(COUNTIFS(Programação!$B$4:$B$503,Planos!$A105,Programação!$I$4:$I$503,"Concluído",Programação!$G$4:$G$503,"&gt;="&amp;DATE(ano_ref,10,1),Programação!$G$4:$G$503,"&lt;="&amp;EOMONTH(DATE(ano_ref,10,1),0))&gt;0,"✔",IF(AND(ISNUMBER(Planos!$G105),IFERROR(INDEX(lst_frequencia_meses,MATCH(Planos!$E105,lst_frequencia,0)),0)&gt;0,(ano_ref*12+10)-(YEAR(Planos!$G105)*12+MONTH(Planos!$G105))&gt;0,MOD((ano_ref*12+10)-(YEAR(Planos!$G105)*12+MONTH(Planos!$G105)),MAX(1,IFERROR(INDEX(lst_frequencia_meses,MATCH(Planos!$E105,lst_frequencia,0)),0)))=0),"●","")))</f>
      </c>
      <c r="N106" s="43">
        <f>IF(NOT(Planos!$A105&lt;&gt;""),"",IF(COUNTIFS(Programação!$B$4:$B$503,Planos!$A105,Programação!$I$4:$I$503,"Concluído",Programação!$G$4:$G$503,"&gt;="&amp;DATE(ano_ref,11,1),Programação!$G$4:$G$503,"&lt;="&amp;EOMONTH(DATE(ano_ref,11,1),0))&gt;0,"✔",IF(AND(ISNUMBER(Planos!$G105),IFERROR(INDEX(lst_frequencia_meses,MATCH(Planos!$E105,lst_frequencia,0)),0)&gt;0,(ano_ref*12+11)-(YEAR(Planos!$G105)*12+MONTH(Planos!$G105))&gt;0,MOD((ano_ref*12+11)-(YEAR(Planos!$G105)*12+MONTH(Planos!$G105)),MAX(1,IFERROR(INDEX(lst_frequencia_meses,MATCH(Planos!$E105,lst_frequencia,0)),0)))=0),"●","")))</f>
      </c>
      <c r="O106" s="43">
        <f>IF(NOT(Planos!$A105&lt;&gt;""),"",IF(COUNTIFS(Programação!$B$4:$B$503,Planos!$A105,Programação!$I$4:$I$503,"Concluído",Programação!$G$4:$G$503,"&gt;="&amp;DATE(ano_ref,12,1),Programação!$G$4:$G$503,"&lt;="&amp;EOMONTH(DATE(ano_ref,12,1),0))&gt;0,"✔",IF(AND(ISNUMBER(Planos!$G105),IFERROR(INDEX(lst_frequencia_meses,MATCH(Planos!$E105,lst_frequencia,0)),0)&gt;0,(ano_ref*12+12)-(YEAR(Planos!$G105)*12+MONTH(Planos!$G105))&gt;0,MOD((ano_ref*12+12)-(YEAR(Planos!$G105)*12+MONTH(Planos!$G105)),MAX(1,IFERROR(INDEX(lst_frequencia_meses,MATCH(Planos!$E105,lst_frequencia,0)),0)))=0),"●","")))</f>
      </c>
      <c r="P106" s="44">
        <f>IF(COUNTIF(D106:O106,"✔")+COUNTIF(D106:O106,"●")=0,"",COUNTIF(D106:O106,"✔")/(COUNTIF(D106:O106,"✔")+COUNTIF(D106:O106,"●")))</f>
      </c>
    </row>
    <row r="107" spans="1:16" x14ac:dyDescent="0.25">
      <c r="A107" s="43">
        <f>IF(Planos!$A106&lt;&gt;"",Planos!A106&amp;"","")</f>
      </c>
      <c r="B107" s="43">
        <f>IF(Planos!$A106&lt;&gt;"",Planos!B106&amp;"","")</f>
      </c>
      <c r="C107" s="24">
        <f>IF(Planos!$A106&lt;&gt;"",Planos!C106&amp;"","")</f>
      </c>
      <c r="D107" s="43">
        <f>IF(NOT(Planos!$A106&lt;&gt;""),"",IF(COUNTIFS(Programação!$B$4:$B$503,Planos!$A106,Programação!$I$4:$I$503,"Concluído",Programação!$G$4:$G$503,"&gt;="&amp;DATE(ano_ref,1,1),Programação!$G$4:$G$503,"&lt;="&amp;EOMONTH(DATE(ano_ref,1,1),0))&gt;0,"✔",IF(AND(ISNUMBER(Planos!$G106),IFERROR(INDEX(lst_frequencia_meses,MATCH(Planos!$E106,lst_frequencia,0)),0)&gt;0,(ano_ref*12+1)-(YEAR(Planos!$G106)*12+MONTH(Planos!$G106))&gt;0,MOD((ano_ref*12+1)-(YEAR(Planos!$G106)*12+MONTH(Planos!$G106)),MAX(1,IFERROR(INDEX(lst_frequencia_meses,MATCH(Planos!$E106,lst_frequencia,0)),0)))=0),"●","")))</f>
      </c>
      <c r="E107" s="43">
        <f>IF(NOT(Planos!$A106&lt;&gt;""),"",IF(COUNTIFS(Programação!$B$4:$B$503,Planos!$A106,Programação!$I$4:$I$503,"Concluído",Programação!$G$4:$G$503,"&gt;="&amp;DATE(ano_ref,2,1),Programação!$G$4:$G$503,"&lt;="&amp;EOMONTH(DATE(ano_ref,2,1),0))&gt;0,"✔",IF(AND(ISNUMBER(Planos!$G106),IFERROR(INDEX(lst_frequencia_meses,MATCH(Planos!$E106,lst_frequencia,0)),0)&gt;0,(ano_ref*12+2)-(YEAR(Planos!$G106)*12+MONTH(Planos!$G106))&gt;0,MOD((ano_ref*12+2)-(YEAR(Planos!$G106)*12+MONTH(Planos!$G106)),MAX(1,IFERROR(INDEX(lst_frequencia_meses,MATCH(Planos!$E106,lst_frequencia,0)),0)))=0),"●","")))</f>
      </c>
      <c r="F107" s="43">
        <f>IF(NOT(Planos!$A106&lt;&gt;""),"",IF(COUNTIFS(Programação!$B$4:$B$503,Planos!$A106,Programação!$I$4:$I$503,"Concluído",Programação!$G$4:$G$503,"&gt;="&amp;DATE(ano_ref,3,1),Programação!$G$4:$G$503,"&lt;="&amp;EOMONTH(DATE(ano_ref,3,1),0))&gt;0,"✔",IF(AND(ISNUMBER(Planos!$G106),IFERROR(INDEX(lst_frequencia_meses,MATCH(Planos!$E106,lst_frequencia,0)),0)&gt;0,(ano_ref*12+3)-(YEAR(Planos!$G106)*12+MONTH(Planos!$G106))&gt;0,MOD((ano_ref*12+3)-(YEAR(Planos!$G106)*12+MONTH(Planos!$G106)),MAX(1,IFERROR(INDEX(lst_frequencia_meses,MATCH(Planos!$E106,lst_frequencia,0)),0)))=0),"●","")))</f>
      </c>
      <c r="G107" s="43">
        <f>IF(NOT(Planos!$A106&lt;&gt;""),"",IF(COUNTIFS(Programação!$B$4:$B$503,Planos!$A106,Programação!$I$4:$I$503,"Concluído",Programação!$G$4:$G$503,"&gt;="&amp;DATE(ano_ref,4,1),Programação!$G$4:$G$503,"&lt;="&amp;EOMONTH(DATE(ano_ref,4,1),0))&gt;0,"✔",IF(AND(ISNUMBER(Planos!$G106),IFERROR(INDEX(lst_frequencia_meses,MATCH(Planos!$E106,lst_frequencia,0)),0)&gt;0,(ano_ref*12+4)-(YEAR(Planos!$G106)*12+MONTH(Planos!$G106))&gt;0,MOD((ano_ref*12+4)-(YEAR(Planos!$G106)*12+MONTH(Planos!$G106)),MAX(1,IFERROR(INDEX(lst_frequencia_meses,MATCH(Planos!$E106,lst_frequencia,0)),0)))=0),"●","")))</f>
      </c>
      <c r="H107" s="43">
        <f>IF(NOT(Planos!$A106&lt;&gt;""),"",IF(COUNTIFS(Programação!$B$4:$B$503,Planos!$A106,Programação!$I$4:$I$503,"Concluído",Programação!$G$4:$G$503,"&gt;="&amp;DATE(ano_ref,5,1),Programação!$G$4:$G$503,"&lt;="&amp;EOMONTH(DATE(ano_ref,5,1),0))&gt;0,"✔",IF(AND(ISNUMBER(Planos!$G106),IFERROR(INDEX(lst_frequencia_meses,MATCH(Planos!$E106,lst_frequencia,0)),0)&gt;0,(ano_ref*12+5)-(YEAR(Planos!$G106)*12+MONTH(Planos!$G106))&gt;0,MOD((ano_ref*12+5)-(YEAR(Planos!$G106)*12+MONTH(Planos!$G106)),MAX(1,IFERROR(INDEX(lst_frequencia_meses,MATCH(Planos!$E106,lst_frequencia,0)),0)))=0),"●","")))</f>
      </c>
      <c r="I107" s="43">
        <f>IF(NOT(Planos!$A106&lt;&gt;""),"",IF(COUNTIFS(Programação!$B$4:$B$503,Planos!$A106,Programação!$I$4:$I$503,"Concluído",Programação!$G$4:$G$503,"&gt;="&amp;DATE(ano_ref,6,1),Programação!$G$4:$G$503,"&lt;="&amp;EOMONTH(DATE(ano_ref,6,1),0))&gt;0,"✔",IF(AND(ISNUMBER(Planos!$G106),IFERROR(INDEX(lst_frequencia_meses,MATCH(Planos!$E106,lst_frequencia,0)),0)&gt;0,(ano_ref*12+6)-(YEAR(Planos!$G106)*12+MONTH(Planos!$G106))&gt;0,MOD((ano_ref*12+6)-(YEAR(Planos!$G106)*12+MONTH(Planos!$G106)),MAX(1,IFERROR(INDEX(lst_frequencia_meses,MATCH(Planos!$E106,lst_frequencia,0)),0)))=0),"●","")))</f>
      </c>
      <c r="J107" s="43">
        <f>IF(NOT(Planos!$A106&lt;&gt;""),"",IF(COUNTIFS(Programação!$B$4:$B$503,Planos!$A106,Programação!$I$4:$I$503,"Concluído",Programação!$G$4:$G$503,"&gt;="&amp;DATE(ano_ref,7,1),Programação!$G$4:$G$503,"&lt;="&amp;EOMONTH(DATE(ano_ref,7,1),0))&gt;0,"✔",IF(AND(ISNUMBER(Planos!$G106),IFERROR(INDEX(lst_frequencia_meses,MATCH(Planos!$E106,lst_frequencia,0)),0)&gt;0,(ano_ref*12+7)-(YEAR(Planos!$G106)*12+MONTH(Planos!$G106))&gt;0,MOD((ano_ref*12+7)-(YEAR(Planos!$G106)*12+MONTH(Planos!$G106)),MAX(1,IFERROR(INDEX(lst_frequencia_meses,MATCH(Planos!$E106,lst_frequencia,0)),0)))=0),"●","")))</f>
      </c>
      <c r="K107" s="43">
        <f>IF(NOT(Planos!$A106&lt;&gt;""),"",IF(COUNTIFS(Programação!$B$4:$B$503,Planos!$A106,Programação!$I$4:$I$503,"Concluído",Programação!$G$4:$G$503,"&gt;="&amp;DATE(ano_ref,8,1),Programação!$G$4:$G$503,"&lt;="&amp;EOMONTH(DATE(ano_ref,8,1),0))&gt;0,"✔",IF(AND(ISNUMBER(Planos!$G106),IFERROR(INDEX(lst_frequencia_meses,MATCH(Planos!$E106,lst_frequencia,0)),0)&gt;0,(ano_ref*12+8)-(YEAR(Planos!$G106)*12+MONTH(Planos!$G106))&gt;0,MOD((ano_ref*12+8)-(YEAR(Planos!$G106)*12+MONTH(Planos!$G106)),MAX(1,IFERROR(INDEX(lst_frequencia_meses,MATCH(Planos!$E106,lst_frequencia,0)),0)))=0),"●","")))</f>
      </c>
      <c r="L107" s="43">
        <f>IF(NOT(Planos!$A106&lt;&gt;""),"",IF(COUNTIFS(Programação!$B$4:$B$503,Planos!$A106,Programação!$I$4:$I$503,"Concluído",Programação!$G$4:$G$503,"&gt;="&amp;DATE(ano_ref,9,1),Programação!$G$4:$G$503,"&lt;="&amp;EOMONTH(DATE(ano_ref,9,1),0))&gt;0,"✔",IF(AND(ISNUMBER(Planos!$G106),IFERROR(INDEX(lst_frequencia_meses,MATCH(Planos!$E106,lst_frequencia,0)),0)&gt;0,(ano_ref*12+9)-(YEAR(Planos!$G106)*12+MONTH(Planos!$G106))&gt;0,MOD((ano_ref*12+9)-(YEAR(Planos!$G106)*12+MONTH(Planos!$G106)),MAX(1,IFERROR(INDEX(lst_frequencia_meses,MATCH(Planos!$E106,lst_frequencia,0)),0)))=0),"●","")))</f>
      </c>
      <c r="M107" s="43">
        <f>IF(NOT(Planos!$A106&lt;&gt;""),"",IF(COUNTIFS(Programação!$B$4:$B$503,Planos!$A106,Programação!$I$4:$I$503,"Concluído",Programação!$G$4:$G$503,"&gt;="&amp;DATE(ano_ref,10,1),Programação!$G$4:$G$503,"&lt;="&amp;EOMONTH(DATE(ano_ref,10,1),0))&gt;0,"✔",IF(AND(ISNUMBER(Planos!$G106),IFERROR(INDEX(lst_frequencia_meses,MATCH(Planos!$E106,lst_frequencia,0)),0)&gt;0,(ano_ref*12+10)-(YEAR(Planos!$G106)*12+MONTH(Planos!$G106))&gt;0,MOD((ano_ref*12+10)-(YEAR(Planos!$G106)*12+MONTH(Planos!$G106)),MAX(1,IFERROR(INDEX(lst_frequencia_meses,MATCH(Planos!$E106,lst_frequencia,0)),0)))=0),"●","")))</f>
      </c>
      <c r="N107" s="43">
        <f>IF(NOT(Planos!$A106&lt;&gt;""),"",IF(COUNTIFS(Programação!$B$4:$B$503,Planos!$A106,Programação!$I$4:$I$503,"Concluído",Programação!$G$4:$G$503,"&gt;="&amp;DATE(ano_ref,11,1),Programação!$G$4:$G$503,"&lt;="&amp;EOMONTH(DATE(ano_ref,11,1),0))&gt;0,"✔",IF(AND(ISNUMBER(Planos!$G106),IFERROR(INDEX(lst_frequencia_meses,MATCH(Planos!$E106,lst_frequencia,0)),0)&gt;0,(ano_ref*12+11)-(YEAR(Planos!$G106)*12+MONTH(Planos!$G106))&gt;0,MOD((ano_ref*12+11)-(YEAR(Planos!$G106)*12+MONTH(Planos!$G106)),MAX(1,IFERROR(INDEX(lst_frequencia_meses,MATCH(Planos!$E106,lst_frequencia,0)),0)))=0),"●","")))</f>
      </c>
      <c r="O107" s="43">
        <f>IF(NOT(Planos!$A106&lt;&gt;""),"",IF(COUNTIFS(Programação!$B$4:$B$503,Planos!$A106,Programação!$I$4:$I$503,"Concluído",Programação!$G$4:$G$503,"&gt;="&amp;DATE(ano_ref,12,1),Programação!$G$4:$G$503,"&lt;="&amp;EOMONTH(DATE(ano_ref,12,1),0))&gt;0,"✔",IF(AND(ISNUMBER(Planos!$G106),IFERROR(INDEX(lst_frequencia_meses,MATCH(Planos!$E106,lst_frequencia,0)),0)&gt;0,(ano_ref*12+12)-(YEAR(Planos!$G106)*12+MONTH(Planos!$G106))&gt;0,MOD((ano_ref*12+12)-(YEAR(Planos!$G106)*12+MONTH(Planos!$G106)),MAX(1,IFERROR(INDEX(lst_frequencia_meses,MATCH(Planos!$E106,lst_frequencia,0)),0)))=0),"●","")))</f>
      </c>
      <c r="P107" s="44">
        <f>IF(COUNTIF(D107:O107,"✔")+COUNTIF(D107:O107,"●")=0,"",COUNTIF(D107:O107,"✔")/(COUNTIF(D107:O107,"✔")+COUNTIF(D107:O107,"●")))</f>
      </c>
    </row>
    <row r="108" spans="1:16" x14ac:dyDescent="0.25">
      <c r="A108" s="43">
        <f>IF(Planos!$A107&lt;&gt;"",Planos!A107&amp;"","")</f>
      </c>
      <c r="B108" s="43">
        <f>IF(Planos!$A107&lt;&gt;"",Planos!B107&amp;"","")</f>
      </c>
      <c r="C108" s="24">
        <f>IF(Planos!$A107&lt;&gt;"",Planos!C107&amp;"","")</f>
      </c>
      <c r="D108" s="43">
        <f>IF(NOT(Planos!$A107&lt;&gt;""),"",IF(COUNTIFS(Programação!$B$4:$B$503,Planos!$A107,Programação!$I$4:$I$503,"Concluído",Programação!$G$4:$G$503,"&gt;="&amp;DATE(ano_ref,1,1),Programação!$G$4:$G$503,"&lt;="&amp;EOMONTH(DATE(ano_ref,1,1),0))&gt;0,"✔",IF(AND(ISNUMBER(Planos!$G107),IFERROR(INDEX(lst_frequencia_meses,MATCH(Planos!$E107,lst_frequencia,0)),0)&gt;0,(ano_ref*12+1)-(YEAR(Planos!$G107)*12+MONTH(Planos!$G107))&gt;0,MOD((ano_ref*12+1)-(YEAR(Planos!$G107)*12+MONTH(Planos!$G107)),MAX(1,IFERROR(INDEX(lst_frequencia_meses,MATCH(Planos!$E107,lst_frequencia,0)),0)))=0),"●","")))</f>
      </c>
      <c r="E108" s="43">
        <f>IF(NOT(Planos!$A107&lt;&gt;""),"",IF(COUNTIFS(Programação!$B$4:$B$503,Planos!$A107,Programação!$I$4:$I$503,"Concluído",Programação!$G$4:$G$503,"&gt;="&amp;DATE(ano_ref,2,1),Programação!$G$4:$G$503,"&lt;="&amp;EOMONTH(DATE(ano_ref,2,1),0))&gt;0,"✔",IF(AND(ISNUMBER(Planos!$G107),IFERROR(INDEX(lst_frequencia_meses,MATCH(Planos!$E107,lst_frequencia,0)),0)&gt;0,(ano_ref*12+2)-(YEAR(Planos!$G107)*12+MONTH(Planos!$G107))&gt;0,MOD((ano_ref*12+2)-(YEAR(Planos!$G107)*12+MONTH(Planos!$G107)),MAX(1,IFERROR(INDEX(lst_frequencia_meses,MATCH(Planos!$E107,lst_frequencia,0)),0)))=0),"●","")))</f>
      </c>
      <c r="F108" s="43">
        <f>IF(NOT(Planos!$A107&lt;&gt;""),"",IF(COUNTIFS(Programação!$B$4:$B$503,Planos!$A107,Programação!$I$4:$I$503,"Concluído",Programação!$G$4:$G$503,"&gt;="&amp;DATE(ano_ref,3,1),Programação!$G$4:$G$503,"&lt;="&amp;EOMONTH(DATE(ano_ref,3,1),0))&gt;0,"✔",IF(AND(ISNUMBER(Planos!$G107),IFERROR(INDEX(lst_frequencia_meses,MATCH(Planos!$E107,lst_frequencia,0)),0)&gt;0,(ano_ref*12+3)-(YEAR(Planos!$G107)*12+MONTH(Planos!$G107))&gt;0,MOD((ano_ref*12+3)-(YEAR(Planos!$G107)*12+MONTH(Planos!$G107)),MAX(1,IFERROR(INDEX(lst_frequencia_meses,MATCH(Planos!$E107,lst_frequencia,0)),0)))=0),"●","")))</f>
      </c>
      <c r="G108" s="43">
        <f>IF(NOT(Planos!$A107&lt;&gt;""),"",IF(COUNTIFS(Programação!$B$4:$B$503,Planos!$A107,Programação!$I$4:$I$503,"Concluído",Programação!$G$4:$G$503,"&gt;="&amp;DATE(ano_ref,4,1),Programação!$G$4:$G$503,"&lt;="&amp;EOMONTH(DATE(ano_ref,4,1),0))&gt;0,"✔",IF(AND(ISNUMBER(Planos!$G107),IFERROR(INDEX(lst_frequencia_meses,MATCH(Planos!$E107,lst_frequencia,0)),0)&gt;0,(ano_ref*12+4)-(YEAR(Planos!$G107)*12+MONTH(Planos!$G107))&gt;0,MOD((ano_ref*12+4)-(YEAR(Planos!$G107)*12+MONTH(Planos!$G107)),MAX(1,IFERROR(INDEX(lst_frequencia_meses,MATCH(Planos!$E107,lst_frequencia,0)),0)))=0),"●","")))</f>
      </c>
      <c r="H108" s="43">
        <f>IF(NOT(Planos!$A107&lt;&gt;""),"",IF(COUNTIFS(Programação!$B$4:$B$503,Planos!$A107,Programação!$I$4:$I$503,"Concluído",Programação!$G$4:$G$503,"&gt;="&amp;DATE(ano_ref,5,1),Programação!$G$4:$G$503,"&lt;="&amp;EOMONTH(DATE(ano_ref,5,1),0))&gt;0,"✔",IF(AND(ISNUMBER(Planos!$G107),IFERROR(INDEX(lst_frequencia_meses,MATCH(Planos!$E107,lst_frequencia,0)),0)&gt;0,(ano_ref*12+5)-(YEAR(Planos!$G107)*12+MONTH(Planos!$G107))&gt;0,MOD((ano_ref*12+5)-(YEAR(Planos!$G107)*12+MONTH(Planos!$G107)),MAX(1,IFERROR(INDEX(lst_frequencia_meses,MATCH(Planos!$E107,lst_frequencia,0)),0)))=0),"●","")))</f>
      </c>
      <c r="I108" s="43">
        <f>IF(NOT(Planos!$A107&lt;&gt;""),"",IF(COUNTIFS(Programação!$B$4:$B$503,Planos!$A107,Programação!$I$4:$I$503,"Concluído",Programação!$G$4:$G$503,"&gt;="&amp;DATE(ano_ref,6,1),Programação!$G$4:$G$503,"&lt;="&amp;EOMONTH(DATE(ano_ref,6,1),0))&gt;0,"✔",IF(AND(ISNUMBER(Planos!$G107),IFERROR(INDEX(lst_frequencia_meses,MATCH(Planos!$E107,lst_frequencia,0)),0)&gt;0,(ano_ref*12+6)-(YEAR(Planos!$G107)*12+MONTH(Planos!$G107))&gt;0,MOD((ano_ref*12+6)-(YEAR(Planos!$G107)*12+MONTH(Planos!$G107)),MAX(1,IFERROR(INDEX(lst_frequencia_meses,MATCH(Planos!$E107,lst_frequencia,0)),0)))=0),"●","")))</f>
      </c>
      <c r="J108" s="43">
        <f>IF(NOT(Planos!$A107&lt;&gt;""),"",IF(COUNTIFS(Programação!$B$4:$B$503,Planos!$A107,Programação!$I$4:$I$503,"Concluído",Programação!$G$4:$G$503,"&gt;="&amp;DATE(ano_ref,7,1),Programação!$G$4:$G$503,"&lt;="&amp;EOMONTH(DATE(ano_ref,7,1),0))&gt;0,"✔",IF(AND(ISNUMBER(Planos!$G107),IFERROR(INDEX(lst_frequencia_meses,MATCH(Planos!$E107,lst_frequencia,0)),0)&gt;0,(ano_ref*12+7)-(YEAR(Planos!$G107)*12+MONTH(Planos!$G107))&gt;0,MOD((ano_ref*12+7)-(YEAR(Planos!$G107)*12+MONTH(Planos!$G107)),MAX(1,IFERROR(INDEX(lst_frequencia_meses,MATCH(Planos!$E107,lst_frequencia,0)),0)))=0),"●","")))</f>
      </c>
      <c r="K108" s="43">
        <f>IF(NOT(Planos!$A107&lt;&gt;""),"",IF(COUNTIFS(Programação!$B$4:$B$503,Planos!$A107,Programação!$I$4:$I$503,"Concluído",Programação!$G$4:$G$503,"&gt;="&amp;DATE(ano_ref,8,1),Programação!$G$4:$G$503,"&lt;="&amp;EOMONTH(DATE(ano_ref,8,1),0))&gt;0,"✔",IF(AND(ISNUMBER(Planos!$G107),IFERROR(INDEX(lst_frequencia_meses,MATCH(Planos!$E107,lst_frequencia,0)),0)&gt;0,(ano_ref*12+8)-(YEAR(Planos!$G107)*12+MONTH(Planos!$G107))&gt;0,MOD((ano_ref*12+8)-(YEAR(Planos!$G107)*12+MONTH(Planos!$G107)),MAX(1,IFERROR(INDEX(lst_frequencia_meses,MATCH(Planos!$E107,lst_frequencia,0)),0)))=0),"●","")))</f>
      </c>
      <c r="L108" s="43">
        <f>IF(NOT(Planos!$A107&lt;&gt;""),"",IF(COUNTIFS(Programação!$B$4:$B$503,Planos!$A107,Programação!$I$4:$I$503,"Concluído",Programação!$G$4:$G$503,"&gt;="&amp;DATE(ano_ref,9,1),Programação!$G$4:$G$503,"&lt;="&amp;EOMONTH(DATE(ano_ref,9,1),0))&gt;0,"✔",IF(AND(ISNUMBER(Planos!$G107),IFERROR(INDEX(lst_frequencia_meses,MATCH(Planos!$E107,lst_frequencia,0)),0)&gt;0,(ano_ref*12+9)-(YEAR(Planos!$G107)*12+MONTH(Planos!$G107))&gt;0,MOD((ano_ref*12+9)-(YEAR(Planos!$G107)*12+MONTH(Planos!$G107)),MAX(1,IFERROR(INDEX(lst_frequencia_meses,MATCH(Planos!$E107,lst_frequencia,0)),0)))=0),"●","")))</f>
      </c>
      <c r="M108" s="43">
        <f>IF(NOT(Planos!$A107&lt;&gt;""),"",IF(COUNTIFS(Programação!$B$4:$B$503,Planos!$A107,Programação!$I$4:$I$503,"Concluído",Programação!$G$4:$G$503,"&gt;="&amp;DATE(ano_ref,10,1),Programação!$G$4:$G$503,"&lt;="&amp;EOMONTH(DATE(ano_ref,10,1),0))&gt;0,"✔",IF(AND(ISNUMBER(Planos!$G107),IFERROR(INDEX(lst_frequencia_meses,MATCH(Planos!$E107,lst_frequencia,0)),0)&gt;0,(ano_ref*12+10)-(YEAR(Planos!$G107)*12+MONTH(Planos!$G107))&gt;0,MOD((ano_ref*12+10)-(YEAR(Planos!$G107)*12+MONTH(Planos!$G107)),MAX(1,IFERROR(INDEX(lst_frequencia_meses,MATCH(Planos!$E107,lst_frequencia,0)),0)))=0),"●","")))</f>
      </c>
      <c r="N108" s="43">
        <f>IF(NOT(Planos!$A107&lt;&gt;""),"",IF(COUNTIFS(Programação!$B$4:$B$503,Planos!$A107,Programação!$I$4:$I$503,"Concluído",Programação!$G$4:$G$503,"&gt;="&amp;DATE(ano_ref,11,1),Programação!$G$4:$G$503,"&lt;="&amp;EOMONTH(DATE(ano_ref,11,1),0))&gt;0,"✔",IF(AND(ISNUMBER(Planos!$G107),IFERROR(INDEX(lst_frequencia_meses,MATCH(Planos!$E107,lst_frequencia,0)),0)&gt;0,(ano_ref*12+11)-(YEAR(Planos!$G107)*12+MONTH(Planos!$G107))&gt;0,MOD((ano_ref*12+11)-(YEAR(Planos!$G107)*12+MONTH(Planos!$G107)),MAX(1,IFERROR(INDEX(lst_frequencia_meses,MATCH(Planos!$E107,lst_frequencia,0)),0)))=0),"●","")))</f>
      </c>
      <c r="O108" s="43">
        <f>IF(NOT(Planos!$A107&lt;&gt;""),"",IF(COUNTIFS(Programação!$B$4:$B$503,Planos!$A107,Programação!$I$4:$I$503,"Concluído",Programação!$G$4:$G$503,"&gt;="&amp;DATE(ano_ref,12,1),Programação!$G$4:$G$503,"&lt;="&amp;EOMONTH(DATE(ano_ref,12,1),0))&gt;0,"✔",IF(AND(ISNUMBER(Planos!$G107),IFERROR(INDEX(lst_frequencia_meses,MATCH(Planos!$E107,lst_frequencia,0)),0)&gt;0,(ano_ref*12+12)-(YEAR(Planos!$G107)*12+MONTH(Planos!$G107))&gt;0,MOD((ano_ref*12+12)-(YEAR(Planos!$G107)*12+MONTH(Planos!$G107)),MAX(1,IFERROR(INDEX(lst_frequencia_meses,MATCH(Planos!$E107,lst_frequencia,0)),0)))=0),"●","")))</f>
      </c>
      <c r="P108" s="44">
        <f>IF(COUNTIF(D108:O108,"✔")+COUNTIF(D108:O108,"●")=0,"",COUNTIF(D108:O108,"✔")/(COUNTIF(D108:O108,"✔")+COUNTIF(D108:O108,"●")))</f>
      </c>
    </row>
    <row r="109" spans="1:16" x14ac:dyDescent="0.25">
      <c r="A109" s="43">
        <f>IF(Planos!$A108&lt;&gt;"",Planos!A108&amp;"","")</f>
      </c>
      <c r="B109" s="43">
        <f>IF(Planos!$A108&lt;&gt;"",Planos!B108&amp;"","")</f>
      </c>
      <c r="C109" s="24">
        <f>IF(Planos!$A108&lt;&gt;"",Planos!C108&amp;"","")</f>
      </c>
      <c r="D109" s="43">
        <f>IF(NOT(Planos!$A108&lt;&gt;""),"",IF(COUNTIFS(Programação!$B$4:$B$503,Planos!$A108,Programação!$I$4:$I$503,"Concluído",Programação!$G$4:$G$503,"&gt;="&amp;DATE(ano_ref,1,1),Programação!$G$4:$G$503,"&lt;="&amp;EOMONTH(DATE(ano_ref,1,1),0))&gt;0,"✔",IF(AND(ISNUMBER(Planos!$G108),IFERROR(INDEX(lst_frequencia_meses,MATCH(Planos!$E108,lst_frequencia,0)),0)&gt;0,(ano_ref*12+1)-(YEAR(Planos!$G108)*12+MONTH(Planos!$G108))&gt;0,MOD((ano_ref*12+1)-(YEAR(Planos!$G108)*12+MONTH(Planos!$G108)),MAX(1,IFERROR(INDEX(lst_frequencia_meses,MATCH(Planos!$E108,lst_frequencia,0)),0)))=0),"●","")))</f>
      </c>
      <c r="E109" s="43">
        <f>IF(NOT(Planos!$A108&lt;&gt;""),"",IF(COUNTIFS(Programação!$B$4:$B$503,Planos!$A108,Programação!$I$4:$I$503,"Concluído",Programação!$G$4:$G$503,"&gt;="&amp;DATE(ano_ref,2,1),Programação!$G$4:$G$503,"&lt;="&amp;EOMONTH(DATE(ano_ref,2,1),0))&gt;0,"✔",IF(AND(ISNUMBER(Planos!$G108),IFERROR(INDEX(lst_frequencia_meses,MATCH(Planos!$E108,lst_frequencia,0)),0)&gt;0,(ano_ref*12+2)-(YEAR(Planos!$G108)*12+MONTH(Planos!$G108))&gt;0,MOD((ano_ref*12+2)-(YEAR(Planos!$G108)*12+MONTH(Planos!$G108)),MAX(1,IFERROR(INDEX(lst_frequencia_meses,MATCH(Planos!$E108,lst_frequencia,0)),0)))=0),"●","")))</f>
      </c>
      <c r="F109" s="43">
        <f>IF(NOT(Planos!$A108&lt;&gt;""),"",IF(COUNTIFS(Programação!$B$4:$B$503,Planos!$A108,Programação!$I$4:$I$503,"Concluído",Programação!$G$4:$G$503,"&gt;="&amp;DATE(ano_ref,3,1),Programação!$G$4:$G$503,"&lt;="&amp;EOMONTH(DATE(ano_ref,3,1),0))&gt;0,"✔",IF(AND(ISNUMBER(Planos!$G108),IFERROR(INDEX(lst_frequencia_meses,MATCH(Planos!$E108,lst_frequencia,0)),0)&gt;0,(ano_ref*12+3)-(YEAR(Planos!$G108)*12+MONTH(Planos!$G108))&gt;0,MOD((ano_ref*12+3)-(YEAR(Planos!$G108)*12+MONTH(Planos!$G108)),MAX(1,IFERROR(INDEX(lst_frequencia_meses,MATCH(Planos!$E108,lst_frequencia,0)),0)))=0),"●","")))</f>
      </c>
      <c r="G109" s="43">
        <f>IF(NOT(Planos!$A108&lt;&gt;""),"",IF(COUNTIFS(Programação!$B$4:$B$503,Planos!$A108,Programação!$I$4:$I$503,"Concluído",Programação!$G$4:$G$503,"&gt;="&amp;DATE(ano_ref,4,1),Programação!$G$4:$G$503,"&lt;="&amp;EOMONTH(DATE(ano_ref,4,1),0))&gt;0,"✔",IF(AND(ISNUMBER(Planos!$G108),IFERROR(INDEX(lst_frequencia_meses,MATCH(Planos!$E108,lst_frequencia,0)),0)&gt;0,(ano_ref*12+4)-(YEAR(Planos!$G108)*12+MONTH(Planos!$G108))&gt;0,MOD((ano_ref*12+4)-(YEAR(Planos!$G108)*12+MONTH(Planos!$G108)),MAX(1,IFERROR(INDEX(lst_frequencia_meses,MATCH(Planos!$E108,lst_frequencia,0)),0)))=0),"●","")))</f>
      </c>
      <c r="H109" s="43">
        <f>IF(NOT(Planos!$A108&lt;&gt;""),"",IF(COUNTIFS(Programação!$B$4:$B$503,Planos!$A108,Programação!$I$4:$I$503,"Concluído",Programação!$G$4:$G$503,"&gt;="&amp;DATE(ano_ref,5,1),Programação!$G$4:$G$503,"&lt;="&amp;EOMONTH(DATE(ano_ref,5,1),0))&gt;0,"✔",IF(AND(ISNUMBER(Planos!$G108),IFERROR(INDEX(lst_frequencia_meses,MATCH(Planos!$E108,lst_frequencia,0)),0)&gt;0,(ano_ref*12+5)-(YEAR(Planos!$G108)*12+MONTH(Planos!$G108))&gt;0,MOD((ano_ref*12+5)-(YEAR(Planos!$G108)*12+MONTH(Planos!$G108)),MAX(1,IFERROR(INDEX(lst_frequencia_meses,MATCH(Planos!$E108,lst_frequencia,0)),0)))=0),"●","")))</f>
      </c>
      <c r="I109" s="43">
        <f>IF(NOT(Planos!$A108&lt;&gt;""),"",IF(COUNTIFS(Programação!$B$4:$B$503,Planos!$A108,Programação!$I$4:$I$503,"Concluído",Programação!$G$4:$G$503,"&gt;="&amp;DATE(ano_ref,6,1),Programação!$G$4:$G$503,"&lt;="&amp;EOMONTH(DATE(ano_ref,6,1),0))&gt;0,"✔",IF(AND(ISNUMBER(Planos!$G108),IFERROR(INDEX(lst_frequencia_meses,MATCH(Planos!$E108,lst_frequencia,0)),0)&gt;0,(ano_ref*12+6)-(YEAR(Planos!$G108)*12+MONTH(Planos!$G108))&gt;0,MOD((ano_ref*12+6)-(YEAR(Planos!$G108)*12+MONTH(Planos!$G108)),MAX(1,IFERROR(INDEX(lst_frequencia_meses,MATCH(Planos!$E108,lst_frequencia,0)),0)))=0),"●","")))</f>
      </c>
      <c r="J109" s="43">
        <f>IF(NOT(Planos!$A108&lt;&gt;""),"",IF(COUNTIFS(Programação!$B$4:$B$503,Planos!$A108,Programação!$I$4:$I$503,"Concluído",Programação!$G$4:$G$503,"&gt;="&amp;DATE(ano_ref,7,1),Programação!$G$4:$G$503,"&lt;="&amp;EOMONTH(DATE(ano_ref,7,1),0))&gt;0,"✔",IF(AND(ISNUMBER(Planos!$G108),IFERROR(INDEX(lst_frequencia_meses,MATCH(Planos!$E108,lst_frequencia,0)),0)&gt;0,(ano_ref*12+7)-(YEAR(Planos!$G108)*12+MONTH(Planos!$G108))&gt;0,MOD((ano_ref*12+7)-(YEAR(Planos!$G108)*12+MONTH(Planos!$G108)),MAX(1,IFERROR(INDEX(lst_frequencia_meses,MATCH(Planos!$E108,lst_frequencia,0)),0)))=0),"●","")))</f>
      </c>
      <c r="K109" s="43">
        <f>IF(NOT(Planos!$A108&lt;&gt;""),"",IF(COUNTIFS(Programação!$B$4:$B$503,Planos!$A108,Programação!$I$4:$I$503,"Concluído",Programação!$G$4:$G$503,"&gt;="&amp;DATE(ano_ref,8,1),Programação!$G$4:$G$503,"&lt;="&amp;EOMONTH(DATE(ano_ref,8,1),0))&gt;0,"✔",IF(AND(ISNUMBER(Planos!$G108),IFERROR(INDEX(lst_frequencia_meses,MATCH(Planos!$E108,lst_frequencia,0)),0)&gt;0,(ano_ref*12+8)-(YEAR(Planos!$G108)*12+MONTH(Planos!$G108))&gt;0,MOD((ano_ref*12+8)-(YEAR(Planos!$G108)*12+MONTH(Planos!$G108)),MAX(1,IFERROR(INDEX(lst_frequencia_meses,MATCH(Planos!$E108,lst_frequencia,0)),0)))=0),"●","")))</f>
      </c>
      <c r="L109" s="43">
        <f>IF(NOT(Planos!$A108&lt;&gt;""),"",IF(COUNTIFS(Programação!$B$4:$B$503,Planos!$A108,Programação!$I$4:$I$503,"Concluído",Programação!$G$4:$G$503,"&gt;="&amp;DATE(ano_ref,9,1),Programação!$G$4:$G$503,"&lt;="&amp;EOMONTH(DATE(ano_ref,9,1),0))&gt;0,"✔",IF(AND(ISNUMBER(Planos!$G108),IFERROR(INDEX(lst_frequencia_meses,MATCH(Planos!$E108,lst_frequencia,0)),0)&gt;0,(ano_ref*12+9)-(YEAR(Planos!$G108)*12+MONTH(Planos!$G108))&gt;0,MOD((ano_ref*12+9)-(YEAR(Planos!$G108)*12+MONTH(Planos!$G108)),MAX(1,IFERROR(INDEX(lst_frequencia_meses,MATCH(Planos!$E108,lst_frequencia,0)),0)))=0),"●","")))</f>
      </c>
      <c r="M109" s="43">
        <f>IF(NOT(Planos!$A108&lt;&gt;""),"",IF(COUNTIFS(Programação!$B$4:$B$503,Planos!$A108,Programação!$I$4:$I$503,"Concluído",Programação!$G$4:$G$503,"&gt;="&amp;DATE(ano_ref,10,1),Programação!$G$4:$G$503,"&lt;="&amp;EOMONTH(DATE(ano_ref,10,1),0))&gt;0,"✔",IF(AND(ISNUMBER(Planos!$G108),IFERROR(INDEX(lst_frequencia_meses,MATCH(Planos!$E108,lst_frequencia,0)),0)&gt;0,(ano_ref*12+10)-(YEAR(Planos!$G108)*12+MONTH(Planos!$G108))&gt;0,MOD((ano_ref*12+10)-(YEAR(Planos!$G108)*12+MONTH(Planos!$G108)),MAX(1,IFERROR(INDEX(lst_frequencia_meses,MATCH(Planos!$E108,lst_frequencia,0)),0)))=0),"●","")))</f>
      </c>
      <c r="N109" s="43">
        <f>IF(NOT(Planos!$A108&lt;&gt;""),"",IF(COUNTIFS(Programação!$B$4:$B$503,Planos!$A108,Programação!$I$4:$I$503,"Concluído",Programação!$G$4:$G$503,"&gt;="&amp;DATE(ano_ref,11,1),Programação!$G$4:$G$503,"&lt;="&amp;EOMONTH(DATE(ano_ref,11,1),0))&gt;0,"✔",IF(AND(ISNUMBER(Planos!$G108),IFERROR(INDEX(lst_frequencia_meses,MATCH(Planos!$E108,lst_frequencia,0)),0)&gt;0,(ano_ref*12+11)-(YEAR(Planos!$G108)*12+MONTH(Planos!$G108))&gt;0,MOD((ano_ref*12+11)-(YEAR(Planos!$G108)*12+MONTH(Planos!$G108)),MAX(1,IFERROR(INDEX(lst_frequencia_meses,MATCH(Planos!$E108,lst_frequencia,0)),0)))=0),"●","")))</f>
      </c>
      <c r="O109" s="43">
        <f>IF(NOT(Planos!$A108&lt;&gt;""),"",IF(COUNTIFS(Programação!$B$4:$B$503,Planos!$A108,Programação!$I$4:$I$503,"Concluído",Programação!$G$4:$G$503,"&gt;="&amp;DATE(ano_ref,12,1),Programação!$G$4:$G$503,"&lt;="&amp;EOMONTH(DATE(ano_ref,12,1),0))&gt;0,"✔",IF(AND(ISNUMBER(Planos!$G108),IFERROR(INDEX(lst_frequencia_meses,MATCH(Planos!$E108,lst_frequencia,0)),0)&gt;0,(ano_ref*12+12)-(YEAR(Planos!$G108)*12+MONTH(Planos!$G108))&gt;0,MOD((ano_ref*12+12)-(YEAR(Planos!$G108)*12+MONTH(Planos!$G108)),MAX(1,IFERROR(INDEX(lst_frequencia_meses,MATCH(Planos!$E108,lst_frequencia,0)),0)))=0),"●","")))</f>
      </c>
      <c r="P109" s="44">
        <f>IF(COUNTIF(D109:O109,"✔")+COUNTIF(D109:O109,"●")=0,"",COUNTIF(D109:O109,"✔")/(COUNTIF(D109:O109,"✔")+COUNTIF(D109:O109,"●")))</f>
      </c>
    </row>
    <row r="110" spans="1:16" x14ac:dyDescent="0.25">
      <c r="A110" s="43">
        <f>IF(Planos!$A109&lt;&gt;"",Planos!A109&amp;"","")</f>
      </c>
      <c r="B110" s="43">
        <f>IF(Planos!$A109&lt;&gt;"",Planos!B109&amp;"","")</f>
      </c>
      <c r="C110" s="24">
        <f>IF(Planos!$A109&lt;&gt;"",Planos!C109&amp;"","")</f>
      </c>
      <c r="D110" s="43">
        <f>IF(NOT(Planos!$A109&lt;&gt;""),"",IF(COUNTIFS(Programação!$B$4:$B$503,Planos!$A109,Programação!$I$4:$I$503,"Concluído",Programação!$G$4:$G$503,"&gt;="&amp;DATE(ano_ref,1,1),Programação!$G$4:$G$503,"&lt;="&amp;EOMONTH(DATE(ano_ref,1,1),0))&gt;0,"✔",IF(AND(ISNUMBER(Planos!$G109),IFERROR(INDEX(lst_frequencia_meses,MATCH(Planos!$E109,lst_frequencia,0)),0)&gt;0,(ano_ref*12+1)-(YEAR(Planos!$G109)*12+MONTH(Planos!$G109))&gt;0,MOD((ano_ref*12+1)-(YEAR(Planos!$G109)*12+MONTH(Planos!$G109)),MAX(1,IFERROR(INDEX(lst_frequencia_meses,MATCH(Planos!$E109,lst_frequencia,0)),0)))=0),"●","")))</f>
      </c>
      <c r="E110" s="43">
        <f>IF(NOT(Planos!$A109&lt;&gt;""),"",IF(COUNTIFS(Programação!$B$4:$B$503,Planos!$A109,Programação!$I$4:$I$503,"Concluído",Programação!$G$4:$G$503,"&gt;="&amp;DATE(ano_ref,2,1),Programação!$G$4:$G$503,"&lt;="&amp;EOMONTH(DATE(ano_ref,2,1),0))&gt;0,"✔",IF(AND(ISNUMBER(Planos!$G109),IFERROR(INDEX(lst_frequencia_meses,MATCH(Planos!$E109,lst_frequencia,0)),0)&gt;0,(ano_ref*12+2)-(YEAR(Planos!$G109)*12+MONTH(Planos!$G109))&gt;0,MOD((ano_ref*12+2)-(YEAR(Planos!$G109)*12+MONTH(Planos!$G109)),MAX(1,IFERROR(INDEX(lst_frequencia_meses,MATCH(Planos!$E109,lst_frequencia,0)),0)))=0),"●","")))</f>
      </c>
      <c r="F110" s="43">
        <f>IF(NOT(Planos!$A109&lt;&gt;""),"",IF(COUNTIFS(Programação!$B$4:$B$503,Planos!$A109,Programação!$I$4:$I$503,"Concluído",Programação!$G$4:$G$503,"&gt;="&amp;DATE(ano_ref,3,1),Programação!$G$4:$G$503,"&lt;="&amp;EOMONTH(DATE(ano_ref,3,1),0))&gt;0,"✔",IF(AND(ISNUMBER(Planos!$G109),IFERROR(INDEX(lst_frequencia_meses,MATCH(Planos!$E109,lst_frequencia,0)),0)&gt;0,(ano_ref*12+3)-(YEAR(Planos!$G109)*12+MONTH(Planos!$G109))&gt;0,MOD((ano_ref*12+3)-(YEAR(Planos!$G109)*12+MONTH(Planos!$G109)),MAX(1,IFERROR(INDEX(lst_frequencia_meses,MATCH(Planos!$E109,lst_frequencia,0)),0)))=0),"●","")))</f>
      </c>
      <c r="G110" s="43">
        <f>IF(NOT(Planos!$A109&lt;&gt;""),"",IF(COUNTIFS(Programação!$B$4:$B$503,Planos!$A109,Programação!$I$4:$I$503,"Concluído",Programação!$G$4:$G$503,"&gt;="&amp;DATE(ano_ref,4,1),Programação!$G$4:$G$503,"&lt;="&amp;EOMONTH(DATE(ano_ref,4,1),0))&gt;0,"✔",IF(AND(ISNUMBER(Planos!$G109),IFERROR(INDEX(lst_frequencia_meses,MATCH(Planos!$E109,lst_frequencia,0)),0)&gt;0,(ano_ref*12+4)-(YEAR(Planos!$G109)*12+MONTH(Planos!$G109))&gt;0,MOD((ano_ref*12+4)-(YEAR(Planos!$G109)*12+MONTH(Planos!$G109)),MAX(1,IFERROR(INDEX(lst_frequencia_meses,MATCH(Planos!$E109,lst_frequencia,0)),0)))=0),"●","")))</f>
      </c>
      <c r="H110" s="43">
        <f>IF(NOT(Planos!$A109&lt;&gt;""),"",IF(COUNTIFS(Programação!$B$4:$B$503,Planos!$A109,Programação!$I$4:$I$503,"Concluído",Programação!$G$4:$G$503,"&gt;="&amp;DATE(ano_ref,5,1),Programação!$G$4:$G$503,"&lt;="&amp;EOMONTH(DATE(ano_ref,5,1),0))&gt;0,"✔",IF(AND(ISNUMBER(Planos!$G109),IFERROR(INDEX(lst_frequencia_meses,MATCH(Planos!$E109,lst_frequencia,0)),0)&gt;0,(ano_ref*12+5)-(YEAR(Planos!$G109)*12+MONTH(Planos!$G109))&gt;0,MOD((ano_ref*12+5)-(YEAR(Planos!$G109)*12+MONTH(Planos!$G109)),MAX(1,IFERROR(INDEX(lst_frequencia_meses,MATCH(Planos!$E109,lst_frequencia,0)),0)))=0),"●","")))</f>
      </c>
      <c r="I110" s="43">
        <f>IF(NOT(Planos!$A109&lt;&gt;""),"",IF(COUNTIFS(Programação!$B$4:$B$503,Planos!$A109,Programação!$I$4:$I$503,"Concluído",Programação!$G$4:$G$503,"&gt;="&amp;DATE(ano_ref,6,1),Programação!$G$4:$G$503,"&lt;="&amp;EOMONTH(DATE(ano_ref,6,1),0))&gt;0,"✔",IF(AND(ISNUMBER(Planos!$G109),IFERROR(INDEX(lst_frequencia_meses,MATCH(Planos!$E109,lst_frequencia,0)),0)&gt;0,(ano_ref*12+6)-(YEAR(Planos!$G109)*12+MONTH(Planos!$G109))&gt;0,MOD((ano_ref*12+6)-(YEAR(Planos!$G109)*12+MONTH(Planos!$G109)),MAX(1,IFERROR(INDEX(lst_frequencia_meses,MATCH(Planos!$E109,lst_frequencia,0)),0)))=0),"●","")))</f>
      </c>
      <c r="J110" s="43">
        <f>IF(NOT(Planos!$A109&lt;&gt;""),"",IF(COUNTIFS(Programação!$B$4:$B$503,Planos!$A109,Programação!$I$4:$I$503,"Concluído",Programação!$G$4:$G$503,"&gt;="&amp;DATE(ano_ref,7,1),Programação!$G$4:$G$503,"&lt;="&amp;EOMONTH(DATE(ano_ref,7,1),0))&gt;0,"✔",IF(AND(ISNUMBER(Planos!$G109),IFERROR(INDEX(lst_frequencia_meses,MATCH(Planos!$E109,lst_frequencia,0)),0)&gt;0,(ano_ref*12+7)-(YEAR(Planos!$G109)*12+MONTH(Planos!$G109))&gt;0,MOD((ano_ref*12+7)-(YEAR(Planos!$G109)*12+MONTH(Planos!$G109)),MAX(1,IFERROR(INDEX(lst_frequencia_meses,MATCH(Planos!$E109,lst_frequencia,0)),0)))=0),"●","")))</f>
      </c>
      <c r="K110" s="43">
        <f>IF(NOT(Planos!$A109&lt;&gt;""),"",IF(COUNTIFS(Programação!$B$4:$B$503,Planos!$A109,Programação!$I$4:$I$503,"Concluído",Programação!$G$4:$G$503,"&gt;="&amp;DATE(ano_ref,8,1),Programação!$G$4:$G$503,"&lt;="&amp;EOMONTH(DATE(ano_ref,8,1),0))&gt;0,"✔",IF(AND(ISNUMBER(Planos!$G109),IFERROR(INDEX(lst_frequencia_meses,MATCH(Planos!$E109,lst_frequencia,0)),0)&gt;0,(ano_ref*12+8)-(YEAR(Planos!$G109)*12+MONTH(Planos!$G109))&gt;0,MOD((ano_ref*12+8)-(YEAR(Planos!$G109)*12+MONTH(Planos!$G109)),MAX(1,IFERROR(INDEX(lst_frequencia_meses,MATCH(Planos!$E109,lst_frequencia,0)),0)))=0),"●","")))</f>
      </c>
      <c r="L110" s="43">
        <f>IF(NOT(Planos!$A109&lt;&gt;""),"",IF(COUNTIFS(Programação!$B$4:$B$503,Planos!$A109,Programação!$I$4:$I$503,"Concluído",Programação!$G$4:$G$503,"&gt;="&amp;DATE(ano_ref,9,1),Programação!$G$4:$G$503,"&lt;="&amp;EOMONTH(DATE(ano_ref,9,1),0))&gt;0,"✔",IF(AND(ISNUMBER(Planos!$G109),IFERROR(INDEX(lst_frequencia_meses,MATCH(Planos!$E109,lst_frequencia,0)),0)&gt;0,(ano_ref*12+9)-(YEAR(Planos!$G109)*12+MONTH(Planos!$G109))&gt;0,MOD((ano_ref*12+9)-(YEAR(Planos!$G109)*12+MONTH(Planos!$G109)),MAX(1,IFERROR(INDEX(lst_frequencia_meses,MATCH(Planos!$E109,lst_frequencia,0)),0)))=0),"●","")))</f>
      </c>
      <c r="M110" s="43">
        <f>IF(NOT(Planos!$A109&lt;&gt;""),"",IF(COUNTIFS(Programação!$B$4:$B$503,Planos!$A109,Programação!$I$4:$I$503,"Concluído",Programação!$G$4:$G$503,"&gt;="&amp;DATE(ano_ref,10,1),Programação!$G$4:$G$503,"&lt;="&amp;EOMONTH(DATE(ano_ref,10,1),0))&gt;0,"✔",IF(AND(ISNUMBER(Planos!$G109),IFERROR(INDEX(lst_frequencia_meses,MATCH(Planos!$E109,lst_frequencia,0)),0)&gt;0,(ano_ref*12+10)-(YEAR(Planos!$G109)*12+MONTH(Planos!$G109))&gt;0,MOD((ano_ref*12+10)-(YEAR(Planos!$G109)*12+MONTH(Planos!$G109)),MAX(1,IFERROR(INDEX(lst_frequencia_meses,MATCH(Planos!$E109,lst_frequencia,0)),0)))=0),"●","")))</f>
      </c>
      <c r="N110" s="43">
        <f>IF(NOT(Planos!$A109&lt;&gt;""),"",IF(COUNTIFS(Programação!$B$4:$B$503,Planos!$A109,Programação!$I$4:$I$503,"Concluído",Programação!$G$4:$G$503,"&gt;="&amp;DATE(ano_ref,11,1),Programação!$G$4:$G$503,"&lt;="&amp;EOMONTH(DATE(ano_ref,11,1),0))&gt;0,"✔",IF(AND(ISNUMBER(Planos!$G109),IFERROR(INDEX(lst_frequencia_meses,MATCH(Planos!$E109,lst_frequencia,0)),0)&gt;0,(ano_ref*12+11)-(YEAR(Planos!$G109)*12+MONTH(Planos!$G109))&gt;0,MOD((ano_ref*12+11)-(YEAR(Planos!$G109)*12+MONTH(Planos!$G109)),MAX(1,IFERROR(INDEX(lst_frequencia_meses,MATCH(Planos!$E109,lst_frequencia,0)),0)))=0),"●","")))</f>
      </c>
      <c r="O110" s="43">
        <f>IF(NOT(Planos!$A109&lt;&gt;""),"",IF(COUNTIFS(Programação!$B$4:$B$503,Planos!$A109,Programação!$I$4:$I$503,"Concluído",Programação!$G$4:$G$503,"&gt;="&amp;DATE(ano_ref,12,1),Programação!$G$4:$G$503,"&lt;="&amp;EOMONTH(DATE(ano_ref,12,1),0))&gt;0,"✔",IF(AND(ISNUMBER(Planos!$G109),IFERROR(INDEX(lst_frequencia_meses,MATCH(Planos!$E109,lst_frequencia,0)),0)&gt;0,(ano_ref*12+12)-(YEAR(Planos!$G109)*12+MONTH(Planos!$G109))&gt;0,MOD((ano_ref*12+12)-(YEAR(Planos!$G109)*12+MONTH(Planos!$G109)),MAX(1,IFERROR(INDEX(lst_frequencia_meses,MATCH(Planos!$E109,lst_frequencia,0)),0)))=0),"●","")))</f>
      </c>
      <c r="P110" s="44">
        <f>IF(COUNTIF(D110:O110,"✔")+COUNTIF(D110:O110,"●")=0,"",COUNTIF(D110:O110,"✔")/(COUNTIF(D110:O110,"✔")+COUNTIF(D110:O110,"●")))</f>
      </c>
    </row>
    <row r="111" spans="1:16" x14ac:dyDescent="0.25">
      <c r="A111" s="43">
        <f>IF(Planos!$A110&lt;&gt;"",Planos!A110&amp;"","")</f>
      </c>
      <c r="B111" s="43">
        <f>IF(Planos!$A110&lt;&gt;"",Planos!B110&amp;"","")</f>
      </c>
      <c r="C111" s="24">
        <f>IF(Planos!$A110&lt;&gt;"",Planos!C110&amp;"","")</f>
      </c>
      <c r="D111" s="43">
        <f>IF(NOT(Planos!$A110&lt;&gt;""),"",IF(COUNTIFS(Programação!$B$4:$B$503,Planos!$A110,Programação!$I$4:$I$503,"Concluído",Programação!$G$4:$G$503,"&gt;="&amp;DATE(ano_ref,1,1),Programação!$G$4:$G$503,"&lt;="&amp;EOMONTH(DATE(ano_ref,1,1),0))&gt;0,"✔",IF(AND(ISNUMBER(Planos!$G110),IFERROR(INDEX(lst_frequencia_meses,MATCH(Planos!$E110,lst_frequencia,0)),0)&gt;0,(ano_ref*12+1)-(YEAR(Planos!$G110)*12+MONTH(Planos!$G110))&gt;0,MOD((ano_ref*12+1)-(YEAR(Planos!$G110)*12+MONTH(Planos!$G110)),MAX(1,IFERROR(INDEX(lst_frequencia_meses,MATCH(Planos!$E110,lst_frequencia,0)),0)))=0),"●","")))</f>
      </c>
      <c r="E111" s="43">
        <f>IF(NOT(Planos!$A110&lt;&gt;""),"",IF(COUNTIFS(Programação!$B$4:$B$503,Planos!$A110,Programação!$I$4:$I$503,"Concluído",Programação!$G$4:$G$503,"&gt;="&amp;DATE(ano_ref,2,1),Programação!$G$4:$G$503,"&lt;="&amp;EOMONTH(DATE(ano_ref,2,1),0))&gt;0,"✔",IF(AND(ISNUMBER(Planos!$G110),IFERROR(INDEX(lst_frequencia_meses,MATCH(Planos!$E110,lst_frequencia,0)),0)&gt;0,(ano_ref*12+2)-(YEAR(Planos!$G110)*12+MONTH(Planos!$G110))&gt;0,MOD((ano_ref*12+2)-(YEAR(Planos!$G110)*12+MONTH(Planos!$G110)),MAX(1,IFERROR(INDEX(lst_frequencia_meses,MATCH(Planos!$E110,lst_frequencia,0)),0)))=0),"●","")))</f>
      </c>
      <c r="F111" s="43">
        <f>IF(NOT(Planos!$A110&lt;&gt;""),"",IF(COUNTIFS(Programação!$B$4:$B$503,Planos!$A110,Programação!$I$4:$I$503,"Concluído",Programação!$G$4:$G$503,"&gt;="&amp;DATE(ano_ref,3,1),Programação!$G$4:$G$503,"&lt;="&amp;EOMONTH(DATE(ano_ref,3,1),0))&gt;0,"✔",IF(AND(ISNUMBER(Planos!$G110),IFERROR(INDEX(lst_frequencia_meses,MATCH(Planos!$E110,lst_frequencia,0)),0)&gt;0,(ano_ref*12+3)-(YEAR(Planos!$G110)*12+MONTH(Planos!$G110))&gt;0,MOD((ano_ref*12+3)-(YEAR(Planos!$G110)*12+MONTH(Planos!$G110)),MAX(1,IFERROR(INDEX(lst_frequencia_meses,MATCH(Planos!$E110,lst_frequencia,0)),0)))=0),"●","")))</f>
      </c>
      <c r="G111" s="43">
        <f>IF(NOT(Planos!$A110&lt;&gt;""),"",IF(COUNTIFS(Programação!$B$4:$B$503,Planos!$A110,Programação!$I$4:$I$503,"Concluído",Programação!$G$4:$G$503,"&gt;="&amp;DATE(ano_ref,4,1),Programação!$G$4:$G$503,"&lt;="&amp;EOMONTH(DATE(ano_ref,4,1),0))&gt;0,"✔",IF(AND(ISNUMBER(Planos!$G110),IFERROR(INDEX(lst_frequencia_meses,MATCH(Planos!$E110,lst_frequencia,0)),0)&gt;0,(ano_ref*12+4)-(YEAR(Planos!$G110)*12+MONTH(Planos!$G110))&gt;0,MOD((ano_ref*12+4)-(YEAR(Planos!$G110)*12+MONTH(Planos!$G110)),MAX(1,IFERROR(INDEX(lst_frequencia_meses,MATCH(Planos!$E110,lst_frequencia,0)),0)))=0),"●","")))</f>
      </c>
      <c r="H111" s="43">
        <f>IF(NOT(Planos!$A110&lt;&gt;""),"",IF(COUNTIFS(Programação!$B$4:$B$503,Planos!$A110,Programação!$I$4:$I$503,"Concluído",Programação!$G$4:$G$503,"&gt;="&amp;DATE(ano_ref,5,1),Programação!$G$4:$G$503,"&lt;="&amp;EOMONTH(DATE(ano_ref,5,1),0))&gt;0,"✔",IF(AND(ISNUMBER(Planos!$G110),IFERROR(INDEX(lst_frequencia_meses,MATCH(Planos!$E110,lst_frequencia,0)),0)&gt;0,(ano_ref*12+5)-(YEAR(Planos!$G110)*12+MONTH(Planos!$G110))&gt;0,MOD((ano_ref*12+5)-(YEAR(Planos!$G110)*12+MONTH(Planos!$G110)),MAX(1,IFERROR(INDEX(lst_frequencia_meses,MATCH(Planos!$E110,lst_frequencia,0)),0)))=0),"●","")))</f>
      </c>
      <c r="I111" s="43">
        <f>IF(NOT(Planos!$A110&lt;&gt;""),"",IF(COUNTIFS(Programação!$B$4:$B$503,Planos!$A110,Programação!$I$4:$I$503,"Concluído",Programação!$G$4:$G$503,"&gt;="&amp;DATE(ano_ref,6,1),Programação!$G$4:$G$503,"&lt;="&amp;EOMONTH(DATE(ano_ref,6,1),0))&gt;0,"✔",IF(AND(ISNUMBER(Planos!$G110),IFERROR(INDEX(lst_frequencia_meses,MATCH(Planos!$E110,lst_frequencia,0)),0)&gt;0,(ano_ref*12+6)-(YEAR(Planos!$G110)*12+MONTH(Planos!$G110))&gt;0,MOD((ano_ref*12+6)-(YEAR(Planos!$G110)*12+MONTH(Planos!$G110)),MAX(1,IFERROR(INDEX(lst_frequencia_meses,MATCH(Planos!$E110,lst_frequencia,0)),0)))=0),"●","")))</f>
      </c>
      <c r="J111" s="43">
        <f>IF(NOT(Planos!$A110&lt;&gt;""),"",IF(COUNTIFS(Programação!$B$4:$B$503,Planos!$A110,Programação!$I$4:$I$503,"Concluído",Programação!$G$4:$G$503,"&gt;="&amp;DATE(ano_ref,7,1),Programação!$G$4:$G$503,"&lt;="&amp;EOMONTH(DATE(ano_ref,7,1),0))&gt;0,"✔",IF(AND(ISNUMBER(Planos!$G110),IFERROR(INDEX(lst_frequencia_meses,MATCH(Planos!$E110,lst_frequencia,0)),0)&gt;0,(ano_ref*12+7)-(YEAR(Planos!$G110)*12+MONTH(Planos!$G110))&gt;0,MOD((ano_ref*12+7)-(YEAR(Planos!$G110)*12+MONTH(Planos!$G110)),MAX(1,IFERROR(INDEX(lst_frequencia_meses,MATCH(Planos!$E110,lst_frequencia,0)),0)))=0),"●","")))</f>
      </c>
      <c r="K111" s="43">
        <f>IF(NOT(Planos!$A110&lt;&gt;""),"",IF(COUNTIFS(Programação!$B$4:$B$503,Planos!$A110,Programação!$I$4:$I$503,"Concluído",Programação!$G$4:$G$503,"&gt;="&amp;DATE(ano_ref,8,1),Programação!$G$4:$G$503,"&lt;="&amp;EOMONTH(DATE(ano_ref,8,1),0))&gt;0,"✔",IF(AND(ISNUMBER(Planos!$G110),IFERROR(INDEX(lst_frequencia_meses,MATCH(Planos!$E110,lst_frequencia,0)),0)&gt;0,(ano_ref*12+8)-(YEAR(Planos!$G110)*12+MONTH(Planos!$G110))&gt;0,MOD((ano_ref*12+8)-(YEAR(Planos!$G110)*12+MONTH(Planos!$G110)),MAX(1,IFERROR(INDEX(lst_frequencia_meses,MATCH(Planos!$E110,lst_frequencia,0)),0)))=0),"●","")))</f>
      </c>
      <c r="L111" s="43">
        <f>IF(NOT(Planos!$A110&lt;&gt;""),"",IF(COUNTIFS(Programação!$B$4:$B$503,Planos!$A110,Programação!$I$4:$I$503,"Concluído",Programação!$G$4:$G$503,"&gt;="&amp;DATE(ano_ref,9,1),Programação!$G$4:$G$503,"&lt;="&amp;EOMONTH(DATE(ano_ref,9,1),0))&gt;0,"✔",IF(AND(ISNUMBER(Planos!$G110),IFERROR(INDEX(lst_frequencia_meses,MATCH(Planos!$E110,lst_frequencia,0)),0)&gt;0,(ano_ref*12+9)-(YEAR(Planos!$G110)*12+MONTH(Planos!$G110))&gt;0,MOD((ano_ref*12+9)-(YEAR(Planos!$G110)*12+MONTH(Planos!$G110)),MAX(1,IFERROR(INDEX(lst_frequencia_meses,MATCH(Planos!$E110,lst_frequencia,0)),0)))=0),"●","")))</f>
      </c>
      <c r="M111" s="43">
        <f>IF(NOT(Planos!$A110&lt;&gt;""),"",IF(COUNTIFS(Programação!$B$4:$B$503,Planos!$A110,Programação!$I$4:$I$503,"Concluído",Programação!$G$4:$G$503,"&gt;="&amp;DATE(ano_ref,10,1),Programação!$G$4:$G$503,"&lt;="&amp;EOMONTH(DATE(ano_ref,10,1),0))&gt;0,"✔",IF(AND(ISNUMBER(Planos!$G110),IFERROR(INDEX(lst_frequencia_meses,MATCH(Planos!$E110,lst_frequencia,0)),0)&gt;0,(ano_ref*12+10)-(YEAR(Planos!$G110)*12+MONTH(Planos!$G110))&gt;0,MOD((ano_ref*12+10)-(YEAR(Planos!$G110)*12+MONTH(Planos!$G110)),MAX(1,IFERROR(INDEX(lst_frequencia_meses,MATCH(Planos!$E110,lst_frequencia,0)),0)))=0),"●","")))</f>
      </c>
      <c r="N111" s="43">
        <f>IF(NOT(Planos!$A110&lt;&gt;""),"",IF(COUNTIFS(Programação!$B$4:$B$503,Planos!$A110,Programação!$I$4:$I$503,"Concluído",Programação!$G$4:$G$503,"&gt;="&amp;DATE(ano_ref,11,1),Programação!$G$4:$G$503,"&lt;="&amp;EOMONTH(DATE(ano_ref,11,1),0))&gt;0,"✔",IF(AND(ISNUMBER(Planos!$G110),IFERROR(INDEX(lst_frequencia_meses,MATCH(Planos!$E110,lst_frequencia,0)),0)&gt;0,(ano_ref*12+11)-(YEAR(Planos!$G110)*12+MONTH(Planos!$G110))&gt;0,MOD((ano_ref*12+11)-(YEAR(Planos!$G110)*12+MONTH(Planos!$G110)),MAX(1,IFERROR(INDEX(lst_frequencia_meses,MATCH(Planos!$E110,lst_frequencia,0)),0)))=0),"●","")))</f>
      </c>
      <c r="O111" s="43">
        <f>IF(NOT(Planos!$A110&lt;&gt;""),"",IF(COUNTIFS(Programação!$B$4:$B$503,Planos!$A110,Programação!$I$4:$I$503,"Concluído",Programação!$G$4:$G$503,"&gt;="&amp;DATE(ano_ref,12,1),Programação!$G$4:$G$503,"&lt;="&amp;EOMONTH(DATE(ano_ref,12,1),0))&gt;0,"✔",IF(AND(ISNUMBER(Planos!$G110),IFERROR(INDEX(lst_frequencia_meses,MATCH(Planos!$E110,lst_frequencia,0)),0)&gt;0,(ano_ref*12+12)-(YEAR(Planos!$G110)*12+MONTH(Planos!$G110))&gt;0,MOD((ano_ref*12+12)-(YEAR(Planos!$G110)*12+MONTH(Planos!$G110)),MAX(1,IFERROR(INDEX(lst_frequencia_meses,MATCH(Planos!$E110,lst_frequencia,0)),0)))=0),"●","")))</f>
      </c>
      <c r="P111" s="44">
        <f>IF(COUNTIF(D111:O111,"✔")+COUNTIF(D111:O111,"●")=0,"",COUNTIF(D111:O111,"✔")/(COUNTIF(D111:O111,"✔")+COUNTIF(D111:O111,"●")))</f>
      </c>
    </row>
    <row r="112" spans="1:16" x14ac:dyDescent="0.25">
      <c r="A112" s="43">
        <f>IF(Planos!$A111&lt;&gt;"",Planos!A111&amp;"","")</f>
      </c>
      <c r="B112" s="43">
        <f>IF(Planos!$A111&lt;&gt;"",Planos!B111&amp;"","")</f>
      </c>
      <c r="C112" s="24">
        <f>IF(Planos!$A111&lt;&gt;"",Planos!C111&amp;"","")</f>
      </c>
      <c r="D112" s="43">
        <f>IF(NOT(Planos!$A111&lt;&gt;""),"",IF(COUNTIFS(Programação!$B$4:$B$503,Planos!$A111,Programação!$I$4:$I$503,"Concluído",Programação!$G$4:$G$503,"&gt;="&amp;DATE(ano_ref,1,1),Programação!$G$4:$G$503,"&lt;="&amp;EOMONTH(DATE(ano_ref,1,1),0))&gt;0,"✔",IF(AND(ISNUMBER(Planos!$G111),IFERROR(INDEX(lst_frequencia_meses,MATCH(Planos!$E111,lst_frequencia,0)),0)&gt;0,(ano_ref*12+1)-(YEAR(Planos!$G111)*12+MONTH(Planos!$G111))&gt;0,MOD((ano_ref*12+1)-(YEAR(Planos!$G111)*12+MONTH(Planos!$G111)),MAX(1,IFERROR(INDEX(lst_frequencia_meses,MATCH(Planos!$E111,lst_frequencia,0)),0)))=0),"●","")))</f>
      </c>
      <c r="E112" s="43">
        <f>IF(NOT(Planos!$A111&lt;&gt;""),"",IF(COUNTIFS(Programação!$B$4:$B$503,Planos!$A111,Programação!$I$4:$I$503,"Concluído",Programação!$G$4:$G$503,"&gt;="&amp;DATE(ano_ref,2,1),Programação!$G$4:$G$503,"&lt;="&amp;EOMONTH(DATE(ano_ref,2,1),0))&gt;0,"✔",IF(AND(ISNUMBER(Planos!$G111),IFERROR(INDEX(lst_frequencia_meses,MATCH(Planos!$E111,lst_frequencia,0)),0)&gt;0,(ano_ref*12+2)-(YEAR(Planos!$G111)*12+MONTH(Planos!$G111))&gt;0,MOD((ano_ref*12+2)-(YEAR(Planos!$G111)*12+MONTH(Planos!$G111)),MAX(1,IFERROR(INDEX(lst_frequencia_meses,MATCH(Planos!$E111,lst_frequencia,0)),0)))=0),"●","")))</f>
      </c>
      <c r="F112" s="43">
        <f>IF(NOT(Planos!$A111&lt;&gt;""),"",IF(COUNTIFS(Programação!$B$4:$B$503,Planos!$A111,Programação!$I$4:$I$503,"Concluído",Programação!$G$4:$G$503,"&gt;="&amp;DATE(ano_ref,3,1),Programação!$G$4:$G$503,"&lt;="&amp;EOMONTH(DATE(ano_ref,3,1),0))&gt;0,"✔",IF(AND(ISNUMBER(Planos!$G111),IFERROR(INDEX(lst_frequencia_meses,MATCH(Planos!$E111,lst_frequencia,0)),0)&gt;0,(ano_ref*12+3)-(YEAR(Planos!$G111)*12+MONTH(Planos!$G111))&gt;0,MOD((ano_ref*12+3)-(YEAR(Planos!$G111)*12+MONTH(Planos!$G111)),MAX(1,IFERROR(INDEX(lst_frequencia_meses,MATCH(Planos!$E111,lst_frequencia,0)),0)))=0),"●","")))</f>
      </c>
      <c r="G112" s="43">
        <f>IF(NOT(Planos!$A111&lt;&gt;""),"",IF(COUNTIFS(Programação!$B$4:$B$503,Planos!$A111,Programação!$I$4:$I$503,"Concluído",Programação!$G$4:$G$503,"&gt;="&amp;DATE(ano_ref,4,1),Programação!$G$4:$G$503,"&lt;="&amp;EOMONTH(DATE(ano_ref,4,1),0))&gt;0,"✔",IF(AND(ISNUMBER(Planos!$G111),IFERROR(INDEX(lst_frequencia_meses,MATCH(Planos!$E111,lst_frequencia,0)),0)&gt;0,(ano_ref*12+4)-(YEAR(Planos!$G111)*12+MONTH(Planos!$G111))&gt;0,MOD((ano_ref*12+4)-(YEAR(Planos!$G111)*12+MONTH(Planos!$G111)),MAX(1,IFERROR(INDEX(lst_frequencia_meses,MATCH(Planos!$E111,lst_frequencia,0)),0)))=0),"●","")))</f>
      </c>
      <c r="H112" s="43">
        <f>IF(NOT(Planos!$A111&lt;&gt;""),"",IF(COUNTIFS(Programação!$B$4:$B$503,Planos!$A111,Programação!$I$4:$I$503,"Concluído",Programação!$G$4:$G$503,"&gt;="&amp;DATE(ano_ref,5,1),Programação!$G$4:$G$503,"&lt;="&amp;EOMONTH(DATE(ano_ref,5,1),0))&gt;0,"✔",IF(AND(ISNUMBER(Planos!$G111),IFERROR(INDEX(lst_frequencia_meses,MATCH(Planos!$E111,lst_frequencia,0)),0)&gt;0,(ano_ref*12+5)-(YEAR(Planos!$G111)*12+MONTH(Planos!$G111))&gt;0,MOD((ano_ref*12+5)-(YEAR(Planos!$G111)*12+MONTH(Planos!$G111)),MAX(1,IFERROR(INDEX(lst_frequencia_meses,MATCH(Planos!$E111,lst_frequencia,0)),0)))=0),"●","")))</f>
      </c>
      <c r="I112" s="43">
        <f>IF(NOT(Planos!$A111&lt;&gt;""),"",IF(COUNTIFS(Programação!$B$4:$B$503,Planos!$A111,Programação!$I$4:$I$503,"Concluído",Programação!$G$4:$G$503,"&gt;="&amp;DATE(ano_ref,6,1),Programação!$G$4:$G$503,"&lt;="&amp;EOMONTH(DATE(ano_ref,6,1),0))&gt;0,"✔",IF(AND(ISNUMBER(Planos!$G111),IFERROR(INDEX(lst_frequencia_meses,MATCH(Planos!$E111,lst_frequencia,0)),0)&gt;0,(ano_ref*12+6)-(YEAR(Planos!$G111)*12+MONTH(Planos!$G111))&gt;0,MOD((ano_ref*12+6)-(YEAR(Planos!$G111)*12+MONTH(Planos!$G111)),MAX(1,IFERROR(INDEX(lst_frequencia_meses,MATCH(Planos!$E111,lst_frequencia,0)),0)))=0),"●","")))</f>
      </c>
      <c r="J112" s="43">
        <f>IF(NOT(Planos!$A111&lt;&gt;""),"",IF(COUNTIFS(Programação!$B$4:$B$503,Planos!$A111,Programação!$I$4:$I$503,"Concluído",Programação!$G$4:$G$503,"&gt;="&amp;DATE(ano_ref,7,1),Programação!$G$4:$G$503,"&lt;="&amp;EOMONTH(DATE(ano_ref,7,1),0))&gt;0,"✔",IF(AND(ISNUMBER(Planos!$G111),IFERROR(INDEX(lst_frequencia_meses,MATCH(Planos!$E111,lst_frequencia,0)),0)&gt;0,(ano_ref*12+7)-(YEAR(Planos!$G111)*12+MONTH(Planos!$G111))&gt;0,MOD((ano_ref*12+7)-(YEAR(Planos!$G111)*12+MONTH(Planos!$G111)),MAX(1,IFERROR(INDEX(lst_frequencia_meses,MATCH(Planos!$E111,lst_frequencia,0)),0)))=0),"●","")))</f>
      </c>
      <c r="K112" s="43">
        <f>IF(NOT(Planos!$A111&lt;&gt;""),"",IF(COUNTIFS(Programação!$B$4:$B$503,Planos!$A111,Programação!$I$4:$I$503,"Concluído",Programação!$G$4:$G$503,"&gt;="&amp;DATE(ano_ref,8,1),Programação!$G$4:$G$503,"&lt;="&amp;EOMONTH(DATE(ano_ref,8,1),0))&gt;0,"✔",IF(AND(ISNUMBER(Planos!$G111),IFERROR(INDEX(lst_frequencia_meses,MATCH(Planos!$E111,lst_frequencia,0)),0)&gt;0,(ano_ref*12+8)-(YEAR(Planos!$G111)*12+MONTH(Planos!$G111))&gt;0,MOD((ano_ref*12+8)-(YEAR(Planos!$G111)*12+MONTH(Planos!$G111)),MAX(1,IFERROR(INDEX(lst_frequencia_meses,MATCH(Planos!$E111,lst_frequencia,0)),0)))=0),"●","")))</f>
      </c>
      <c r="L112" s="43">
        <f>IF(NOT(Planos!$A111&lt;&gt;""),"",IF(COUNTIFS(Programação!$B$4:$B$503,Planos!$A111,Programação!$I$4:$I$503,"Concluído",Programação!$G$4:$G$503,"&gt;="&amp;DATE(ano_ref,9,1),Programação!$G$4:$G$503,"&lt;="&amp;EOMONTH(DATE(ano_ref,9,1),0))&gt;0,"✔",IF(AND(ISNUMBER(Planos!$G111),IFERROR(INDEX(lst_frequencia_meses,MATCH(Planos!$E111,lst_frequencia,0)),0)&gt;0,(ano_ref*12+9)-(YEAR(Planos!$G111)*12+MONTH(Planos!$G111))&gt;0,MOD((ano_ref*12+9)-(YEAR(Planos!$G111)*12+MONTH(Planos!$G111)),MAX(1,IFERROR(INDEX(lst_frequencia_meses,MATCH(Planos!$E111,lst_frequencia,0)),0)))=0),"●","")))</f>
      </c>
      <c r="M112" s="43">
        <f>IF(NOT(Planos!$A111&lt;&gt;""),"",IF(COUNTIFS(Programação!$B$4:$B$503,Planos!$A111,Programação!$I$4:$I$503,"Concluído",Programação!$G$4:$G$503,"&gt;="&amp;DATE(ano_ref,10,1),Programação!$G$4:$G$503,"&lt;="&amp;EOMONTH(DATE(ano_ref,10,1),0))&gt;0,"✔",IF(AND(ISNUMBER(Planos!$G111),IFERROR(INDEX(lst_frequencia_meses,MATCH(Planos!$E111,lst_frequencia,0)),0)&gt;0,(ano_ref*12+10)-(YEAR(Planos!$G111)*12+MONTH(Planos!$G111))&gt;0,MOD((ano_ref*12+10)-(YEAR(Planos!$G111)*12+MONTH(Planos!$G111)),MAX(1,IFERROR(INDEX(lst_frequencia_meses,MATCH(Planos!$E111,lst_frequencia,0)),0)))=0),"●","")))</f>
      </c>
      <c r="N112" s="43">
        <f>IF(NOT(Planos!$A111&lt;&gt;""),"",IF(COUNTIFS(Programação!$B$4:$B$503,Planos!$A111,Programação!$I$4:$I$503,"Concluído",Programação!$G$4:$G$503,"&gt;="&amp;DATE(ano_ref,11,1),Programação!$G$4:$G$503,"&lt;="&amp;EOMONTH(DATE(ano_ref,11,1),0))&gt;0,"✔",IF(AND(ISNUMBER(Planos!$G111),IFERROR(INDEX(lst_frequencia_meses,MATCH(Planos!$E111,lst_frequencia,0)),0)&gt;0,(ano_ref*12+11)-(YEAR(Planos!$G111)*12+MONTH(Planos!$G111))&gt;0,MOD((ano_ref*12+11)-(YEAR(Planos!$G111)*12+MONTH(Planos!$G111)),MAX(1,IFERROR(INDEX(lst_frequencia_meses,MATCH(Planos!$E111,lst_frequencia,0)),0)))=0),"●","")))</f>
      </c>
      <c r="O112" s="43">
        <f>IF(NOT(Planos!$A111&lt;&gt;""),"",IF(COUNTIFS(Programação!$B$4:$B$503,Planos!$A111,Programação!$I$4:$I$503,"Concluído",Programação!$G$4:$G$503,"&gt;="&amp;DATE(ano_ref,12,1),Programação!$G$4:$G$503,"&lt;="&amp;EOMONTH(DATE(ano_ref,12,1),0))&gt;0,"✔",IF(AND(ISNUMBER(Planos!$G111),IFERROR(INDEX(lst_frequencia_meses,MATCH(Planos!$E111,lst_frequencia,0)),0)&gt;0,(ano_ref*12+12)-(YEAR(Planos!$G111)*12+MONTH(Planos!$G111))&gt;0,MOD((ano_ref*12+12)-(YEAR(Planos!$G111)*12+MONTH(Planos!$G111)),MAX(1,IFERROR(INDEX(lst_frequencia_meses,MATCH(Planos!$E111,lst_frequencia,0)),0)))=0),"●","")))</f>
      </c>
      <c r="P112" s="44">
        <f>IF(COUNTIF(D112:O112,"✔")+COUNTIF(D112:O112,"●")=0,"",COUNTIF(D112:O112,"✔")/(COUNTIF(D112:O112,"✔")+COUNTIF(D112:O112,"●")))</f>
      </c>
    </row>
    <row r="113" spans="1:16" x14ac:dyDescent="0.25">
      <c r="A113" s="43">
        <f>IF(Planos!$A112&lt;&gt;"",Planos!A112&amp;"","")</f>
      </c>
      <c r="B113" s="43">
        <f>IF(Planos!$A112&lt;&gt;"",Planos!B112&amp;"","")</f>
      </c>
      <c r="C113" s="24">
        <f>IF(Planos!$A112&lt;&gt;"",Planos!C112&amp;"","")</f>
      </c>
      <c r="D113" s="43">
        <f>IF(NOT(Planos!$A112&lt;&gt;""),"",IF(COUNTIFS(Programação!$B$4:$B$503,Planos!$A112,Programação!$I$4:$I$503,"Concluído",Programação!$G$4:$G$503,"&gt;="&amp;DATE(ano_ref,1,1),Programação!$G$4:$G$503,"&lt;="&amp;EOMONTH(DATE(ano_ref,1,1),0))&gt;0,"✔",IF(AND(ISNUMBER(Planos!$G112),IFERROR(INDEX(lst_frequencia_meses,MATCH(Planos!$E112,lst_frequencia,0)),0)&gt;0,(ano_ref*12+1)-(YEAR(Planos!$G112)*12+MONTH(Planos!$G112))&gt;0,MOD((ano_ref*12+1)-(YEAR(Planos!$G112)*12+MONTH(Planos!$G112)),MAX(1,IFERROR(INDEX(lst_frequencia_meses,MATCH(Planos!$E112,lst_frequencia,0)),0)))=0),"●","")))</f>
      </c>
      <c r="E113" s="43">
        <f>IF(NOT(Planos!$A112&lt;&gt;""),"",IF(COUNTIFS(Programação!$B$4:$B$503,Planos!$A112,Programação!$I$4:$I$503,"Concluído",Programação!$G$4:$G$503,"&gt;="&amp;DATE(ano_ref,2,1),Programação!$G$4:$G$503,"&lt;="&amp;EOMONTH(DATE(ano_ref,2,1),0))&gt;0,"✔",IF(AND(ISNUMBER(Planos!$G112),IFERROR(INDEX(lst_frequencia_meses,MATCH(Planos!$E112,lst_frequencia,0)),0)&gt;0,(ano_ref*12+2)-(YEAR(Planos!$G112)*12+MONTH(Planos!$G112))&gt;0,MOD((ano_ref*12+2)-(YEAR(Planos!$G112)*12+MONTH(Planos!$G112)),MAX(1,IFERROR(INDEX(lst_frequencia_meses,MATCH(Planos!$E112,lst_frequencia,0)),0)))=0),"●","")))</f>
      </c>
      <c r="F113" s="43">
        <f>IF(NOT(Planos!$A112&lt;&gt;""),"",IF(COUNTIFS(Programação!$B$4:$B$503,Planos!$A112,Programação!$I$4:$I$503,"Concluído",Programação!$G$4:$G$503,"&gt;="&amp;DATE(ano_ref,3,1),Programação!$G$4:$G$503,"&lt;="&amp;EOMONTH(DATE(ano_ref,3,1),0))&gt;0,"✔",IF(AND(ISNUMBER(Planos!$G112),IFERROR(INDEX(lst_frequencia_meses,MATCH(Planos!$E112,lst_frequencia,0)),0)&gt;0,(ano_ref*12+3)-(YEAR(Planos!$G112)*12+MONTH(Planos!$G112))&gt;0,MOD((ano_ref*12+3)-(YEAR(Planos!$G112)*12+MONTH(Planos!$G112)),MAX(1,IFERROR(INDEX(lst_frequencia_meses,MATCH(Planos!$E112,lst_frequencia,0)),0)))=0),"●","")))</f>
      </c>
      <c r="G113" s="43">
        <f>IF(NOT(Planos!$A112&lt;&gt;""),"",IF(COUNTIFS(Programação!$B$4:$B$503,Planos!$A112,Programação!$I$4:$I$503,"Concluído",Programação!$G$4:$G$503,"&gt;="&amp;DATE(ano_ref,4,1),Programação!$G$4:$G$503,"&lt;="&amp;EOMONTH(DATE(ano_ref,4,1),0))&gt;0,"✔",IF(AND(ISNUMBER(Planos!$G112),IFERROR(INDEX(lst_frequencia_meses,MATCH(Planos!$E112,lst_frequencia,0)),0)&gt;0,(ano_ref*12+4)-(YEAR(Planos!$G112)*12+MONTH(Planos!$G112))&gt;0,MOD((ano_ref*12+4)-(YEAR(Planos!$G112)*12+MONTH(Planos!$G112)),MAX(1,IFERROR(INDEX(lst_frequencia_meses,MATCH(Planos!$E112,lst_frequencia,0)),0)))=0),"●","")))</f>
      </c>
      <c r="H113" s="43">
        <f>IF(NOT(Planos!$A112&lt;&gt;""),"",IF(COUNTIFS(Programação!$B$4:$B$503,Planos!$A112,Programação!$I$4:$I$503,"Concluído",Programação!$G$4:$G$503,"&gt;="&amp;DATE(ano_ref,5,1),Programação!$G$4:$G$503,"&lt;="&amp;EOMONTH(DATE(ano_ref,5,1),0))&gt;0,"✔",IF(AND(ISNUMBER(Planos!$G112),IFERROR(INDEX(lst_frequencia_meses,MATCH(Planos!$E112,lst_frequencia,0)),0)&gt;0,(ano_ref*12+5)-(YEAR(Planos!$G112)*12+MONTH(Planos!$G112))&gt;0,MOD((ano_ref*12+5)-(YEAR(Planos!$G112)*12+MONTH(Planos!$G112)),MAX(1,IFERROR(INDEX(lst_frequencia_meses,MATCH(Planos!$E112,lst_frequencia,0)),0)))=0),"●","")))</f>
      </c>
      <c r="I113" s="43">
        <f>IF(NOT(Planos!$A112&lt;&gt;""),"",IF(COUNTIFS(Programação!$B$4:$B$503,Planos!$A112,Programação!$I$4:$I$503,"Concluído",Programação!$G$4:$G$503,"&gt;="&amp;DATE(ano_ref,6,1),Programação!$G$4:$G$503,"&lt;="&amp;EOMONTH(DATE(ano_ref,6,1),0))&gt;0,"✔",IF(AND(ISNUMBER(Planos!$G112),IFERROR(INDEX(lst_frequencia_meses,MATCH(Planos!$E112,lst_frequencia,0)),0)&gt;0,(ano_ref*12+6)-(YEAR(Planos!$G112)*12+MONTH(Planos!$G112))&gt;0,MOD((ano_ref*12+6)-(YEAR(Planos!$G112)*12+MONTH(Planos!$G112)),MAX(1,IFERROR(INDEX(lst_frequencia_meses,MATCH(Planos!$E112,lst_frequencia,0)),0)))=0),"●","")))</f>
      </c>
      <c r="J113" s="43">
        <f>IF(NOT(Planos!$A112&lt;&gt;""),"",IF(COUNTIFS(Programação!$B$4:$B$503,Planos!$A112,Programação!$I$4:$I$503,"Concluído",Programação!$G$4:$G$503,"&gt;="&amp;DATE(ano_ref,7,1),Programação!$G$4:$G$503,"&lt;="&amp;EOMONTH(DATE(ano_ref,7,1),0))&gt;0,"✔",IF(AND(ISNUMBER(Planos!$G112),IFERROR(INDEX(lst_frequencia_meses,MATCH(Planos!$E112,lst_frequencia,0)),0)&gt;0,(ano_ref*12+7)-(YEAR(Planos!$G112)*12+MONTH(Planos!$G112))&gt;0,MOD((ano_ref*12+7)-(YEAR(Planos!$G112)*12+MONTH(Planos!$G112)),MAX(1,IFERROR(INDEX(lst_frequencia_meses,MATCH(Planos!$E112,lst_frequencia,0)),0)))=0),"●","")))</f>
      </c>
      <c r="K113" s="43">
        <f>IF(NOT(Planos!$A112&lt;&gt;""),"",IF(COUNTIFS(Programação!$B$4:$B$503,Planos!$A112,Programação!$I$4:$I$503,"Concluído",Programação!$G$4:$G$503,"&gt;="&amp;DATE(ano_ref,8,1),Programação!$G$4:$G$503,"&lt;="&amp;EOMONTH(DATE(ano_ref,8,1),0))&gt;0,"✔",IF(AND(ISNUMBER(Planos!$G112),IFERROR(INDEX(lst_frequencia_meses,MATCH(Planos!$E112,lst_frequencia,0)),0)&gt;0,(ano_ref*12+8)-(YEAR(Planos!$G112)*12+MONTH(Planos!$G112))&gt;0,MOD((ano_ref*12+8)-(YEAR(Planos!$G112)*12+MONTH(Planos!$G112)),MAX(1,IFERROR(INDEX(lst_frequencia_meses,MATCH(Planos!$E112,lst_frequencia,0)),0)))=0),"●","")))</f>
      </c>
      <c r="L113" s="43">
        <f>IF(NOT(Planos!$A112&lt;&gt;""),"",IF(COUNTIFS(Programação!$B$4:$B$503,Planos!$A112,Programação!$I$4:$I$503,"Concluído",Programação!$G$4:$G$503,"&gt;="&amp;DATE(ano_ref,9,1),Programação!$G$4:$G$503,"&lt;="&amp;EOMONTH(DATE(ano_ref,9,1),0))&gt;0,"✔",IF(AND(ISNUMBER(Planos!$G112),IFERROR(INDEX(lst_frequencia_meses,MATCH(Planos!$E112,lst_frequencia,0)),0)&gt;0,(ano_ref*12+9)-(YEAR(Planos!$G112)*12+MONTH(Planos!$G112))&gt;0,MOD((ano_ref*12+9)-(YEAR(Planos!$G112)*12+MONTH(Planos!$G112)),MAX(1,IFERROR(INDEX(lst_frequencia_meses,MATCH(Planos!$E112,lst_frequencia,0)),0)))=0),"●","")))</f>
      </c>
      <c r="M113" s="43">
        <f>IF(NOT(Planos!$A112&lt;&gt;""),"",IF(COUNTIFS(Programação!$B$4:$B$503,Planos!$A112,Programação!$I$4:$I$503,"Concluído",Programação!$G$4:$G$503,"&gt;="&amp;DATE(ano_ref,10,1),Programação!$G$4:$G$503,"&lt;="&amp;EOMONTH(DATE(ano_ref,10,1),0))&gt;0,"✔",IF(AND(ISNUMBER(Planos!$G112),IFERROR(INDEX(lst_frequencia_meses,MATCH(Planos!$E112,lst_frequencia,0)),0)&gt;0,(ano_ref*12+10)-(YEAR(Planos!$G112)*12+MONTH(Planos!$G112))&gt;0,MOD((ano_ref*12+10)-(YEAR(Planos!$G112)*12+MONTH(Planos!$G112)),MAX(1,IFERROR(INDEX(lst_frequencia_meses,MATCH(Planos!$E112,lst_frequencia,0)),0)))=0),"●","")))</f>
      </c>
      <c r="N113" s="43">
        <f>IF(NOT(Planos!$A112&lt;&gt;""),"",IF(COUNTIFS(Programação!$B$4:$B$503,Planos!$A112,Programação!$I$4:$I$503,"Concluído",Programação!$G$4:$G$503,"&gt;="&amp;DATE(ano_ref,11,1),Programação!$G$4:$G$503,"&lt;="&amp;EOMONTH(DATE(ano_ref,11,1),0))&gt;0,"✔",IF(AND(ISNUMBER(Planos!$G112),IFERROR(INDEX(lst_frequencia_meses,MATCH(Planos!$E112,lst_frequencia,0)),0)&gt;0,(ano_ref*12+11)-(YEAR(Planos!$G112)*12+MONTH(Planos!$G112))&gt;0,MOD((ano_ref*12+11)-(YEAR(Planos!$G112)*12+MONTH(Planos!$G112)),MAX(1,IFERROR(INDEX(lst_frequencia_meses,MATCH(Planos!$E112,lst_frequencia,0)),0)))=0),"●","")))</f>
      </c>
      <c r="O113" s="43">
        <f>IF(NOT(Planos!$A112&lt;&gt;""),"",IF(COUNTIFS(Programação!$B$4:$B$503,Planos!$A112,Programação!$I$4:$I$503,"Concluído",Programação!$G$4:$G$503,"&gt;="&amp;DATE(ano_ref,12,1),Programação!$G$4:$G$503,"&lt;="&amp;EOMONTH(DATE(ano_ref,12,1),0))&gt;0,"✔",IF(AND(ISNUMBER(Planos!$G112),IFERROR(INDEX(lst_frequencia_meses,MATCH(Planos!$E112,lst_frequencia,0)),0)&gt;0,(ano_ref*12+12)-(YEAR(Planos!$G112)*12+MONTH(Planos!$G112))&gt;0,MOD((ano_ref*12+12)-(YEAR(Planos!$G112)*12+MONTH(Planos!$G112)),MAX(1,IFERROR(INDEX(lst_frequencia_meses,MATCH(Planos!$E112,lst_frequencia,0)),0)))=0),"●","")))</f>
      </c>
      <c r="P113" s="44">
        <f>IF(COUNTIF(D113:O113,"✔")+COUNTIF(D113:O113,"●")=0,"",COUNTIF(D113:O113,"✔")/(COUNTIF(D113:O113,"✔")+COUNTIF(D113:O113,"●")))</f>
      </c>
    </row>
    <row r="114" spans="1:16" x14ac:dyDescent="0.25">
      <c r="A114" s="43">
        <f>IF(Planos!$A113&lt;&gt;"",Planos!A113&amp;"","")</f>
      </c>
      <c r="B114" s="43">
        <f>IF(Planos!$A113&lt;&gt;"",Planos!B113&amp;"","")</f>
      </c>
      <c r="C114" s="24">
        <f>IF(Planos!$A113&lt;&gt;"",Planos!C113&amp;"","")</f>
      </c>
      <c r="D114" s="43">
        <f>IF(NOT(Planos!$A113&lt;&gt;""),"",IF(COUNTIFS(Programação!$B$4:$B$503,Planos!$A113,Programação!$I$4:$I$503,"Concluído",Programação!$G$4:$G$503,"&gt;="&amp;DATE(ano_ref,1,1),Programação!$G$4:$G$503,"&lt;="&amp;EOMONTH(DATE(ano_ref,1,1),0))&gt;0,"✔",IF(AND(ISNUMBER(Planos!$G113),IFERROR(INDEX(lst_frequencia_meses,MATCH(Planos!$E113,lst_frequencia,0)),0)&gt;0,(ano_ref*12+1)-(YEAR(Planos!$G113)*12+MONTH(Planos!$G113))&gt;0,MOD((ano_ref*12+1)-(YEAR(Planos!$G113)*12+MONTH(Planos!$G113)),MAX(1,IFERROR(INDEX(lst_frequencia_meses,MATCH(Planos!$E113,lst_frequencia,0)),0)))=0),"●","")))</f>
      </c>
      <c r="E114" s="43">
        <f>IF(NOT(Planos!$A113&lt;&gt;""),"",IF(COUNTIFS(Programação!$B$4:$B$503,Planos!$A113,Programação!$I$4:$I$503,"Concluído",Programação!$G$4:$G$503,"&gt;="&amp;DATE(ano_ref,2,1),Programação!$G$4:$G$503,"&lt;="&amp;EOMONTH(DATE(ano_ref,2,1),0))&gt;0,"✔",IF(AND(ISNUMBER(Planos!$G113),IFERROR(INDEX(lst_frequencia_meses,MATCH(Planos!$E113,lst_frequencia,0)),0)&gt;0,(ano_ref*12+2)-(YEAR(Planos!$G113)*12+MONTH(Planos!$G113))&gt;0,MOD((ano_ref*12+2)-(YEAR(Planos!$G113)*12+MONTH(Planos!$G113)),MAX(1,IFERROR(INDEX(lst_frequencia_meses,MATCH(Planos!$E113,lst_frequencia,0)),0)))=0),"●","")))</f>
      </c>
      <c r="F114" s="43">
        <f>IF(NOT(Planos!$A113&lt;&gt;""),"",IF(COUNTIFS(Programação!$B$4:$B$503,Planos!$A113,Programação!$I$4:$I$503,"Concluído",Programação!$G$4:$G$503,"&gt;="&amp;DATE(ano_ref,3,1),Programação!$G$4:$G$503,"&lt;="&amp;EOMONTH(DATE(ano_ref,3,1),0))&gt;0,"✔",IF(AND(ISNUMBER(Planos!$G113),IFERROR(INDEX(lst_frequencia_meses,MATCH(Planos!$E113,lst_frequencia,0)),0)&gt;0,(ano_ref*12+3)-(YEAR(Planos!$G113)*12+MONTH(Planos!$G113))&gt;0,MOD((ano_ref*12+3)-(YEAR(Planos!$G113)*12+MONTH(Planos!$G113)),MAX(1,IFERROR(INDEX(lst_frequencia_meses,MATCH(Planos!$E113,lst_frequencia,0)),0)))=0),"●","")))</f>
      </c>
      <c r="G114" s="43">
        <f>IF(NOT(Planos!$A113&lt;&gt;""),"",IF(COUNTIFS(Programação!$B$4:$B$503,Planos!$A113,Programação!$I$4:$I$503,"Concluído",Programação!$G$4:$G$503,"&gt;="&amp;DATE(ano_ref,4,1),Programação!$G$4:$G$503,"&lt;="&amp;EOMONTH(DATE(ano_ref,4,1),0))&gt;0,"✔",IF(AND(ISNUMBER(Planos!$G113),IFERROR(INDEX(lst_frequencia_meses,MATCH(Planos!$E113,lst_frequencia,0)),0)&gt;0,(ano_ref*12+4)-(YEAR(Planos!$G113)*12+MONTH(Planos!$G113))&gt;0,MOD((ano_ref*12+4)-(YEAR(Planos!$G113)*12+MONTH(Planos!$G113)),MAX(1,IFERROR(INDEX(lst_frequencia_meses,MATCH(Planos!$E113,lst_frequencia,0)),0)))=0),"●","")))</f>
      </c>
      <c r="H114" s="43">
        <f>IF(NOT(Planos!$A113&lt;&gt;""),"",IF(COUNTIFS(Programação!$B$4:$B$503,Planos!$A113,Programação!$I$4:$I$503,"Concluído",Programação!$G$4:$G$503,"&gt;="&amp;DATE(ano_ref,5,1),Programação!$G$4:$G$503,"&lt;="&amp;EOMONTH(DATE(ano_ref,5,1),0))&gt;0,"✔",IF(AND(ISNUMBER(Planos!$G113),IFERROR(INDEX(lst_frequencia_meses,MATCH(Planos!$E113,lst_frequencia,0)),0)&gt;0,(ano_ref*12+5)-(YEAR(Planos!$G113)*12+MONTH(Planos!$G113))&gt;0,MOD((ano_ref*12+5)-(YEAR(Planos!$G113)*12+MONTH(Planos!$G113)),MAX(1,IFERROR(INDEX(lst_frequencia_meses,MATCH(Planos!$E113,lst_frequencia,0)),0)))=0),"●","")))</f>
      </c>
      <c r="I114" s="43">
        <f>IF(NOT(Planos!$A113&lt;&gt;""),"",IF(COUNTIFS(Programação!$B$4:$B$503,Planos!$A113,Programação!$I$4:$I$503,"Concluído",Programação!$G$4:$G$503,"&gt;="&amp;DATE(ano_ref,6,1),Programação!$G$4:$G$503,"&lt;="&amp;EOMONTH(DATE(ano_ref,6,1),0))&gt;0,"✔",IF(AND(ISNUMBER(Planos!$G113),IFERROR(INDEX(lst_frequencia_meses,MATCH(Planos!$E113,lst_frequencia,0)),0)&gt;0,(ano_ref*12+6)-(YEAR(Planos!$G113)*12+MONTH(Planos!$G113))&gt;0,MOD((ano_ref*12+6)-(YEAR(Planos!$G113)*12+MONTH(Planos!$G113)),MAX(1,IFERROR(INDEX(lst_frequencia_meses,MATCH(Planos!$E113,lst_frequencia,0)),0)))=0),"●","")))</f>
      </c>
      <c r="J114" s="43">
        <f>IF(NOT(Planos!$A113&lt;&gt;""),"",IF(COUNTIFS(Programação!$B$4:$B$503,Planos!$A113,Programação!$I$4:$I$503,"Concluído",Programação!$G$4:$G$503,"&gt;="&amp;DATE(ano_ref,7,1),Programação!$G$4:$G$503,"&lt;="&amp;EOMONTH(DATE(ano_ref,7,1),0))&gt;0,"✔",IF(AND(ISNUMBER(Planos!$G113),IFERROR(INDEX(lst_frequencia_meses,MATCH(Planos!$E113,lst_frequencia,0)),0)&gt;0,(ano_ref*12+7)-(YEAR(Planos!$G113)*12+MONTH(Planos!$G113))&gt;0,MOD((ano_ref*12+7)-(YEAR(Planos!$G113)*12+MONTH(Planos!$G113)),MAX(1,IFERROR(INDEX(lst_frequencia_meses,MATCH(Planos!$E113,lst_frequencia,0)),0)))=0),"●","")))</f>
      </c>
      <c r="K114" s="43">
        <f>IF(NOT(Planos!$A113&lt;&gt;""),"",IF(COUNTIFS(Programação!$B$4:$B$503,Planos!$A113,Programação!$I$4:$I$503,"Concluído",Programação!$G$4:$G$503,"&gt;="&amp;DATE(ano_ref,8,1),Programação!$G$4:$G$503,"&lt;="&amp;EOMONTH(DATE(ano_ref,8,1),0))&gt;0,"✔",IF(AND(ISNUMBER(Planos!$G113),IFERROR(INDEX(lst_frequencia_meses,MATCH(Planos!$E113,lst_frequencia,0)),0)&gt;0,(ano_ref*12+8)-(YEAR(Planos!$G113)*12+MONTH(Planos!$G113))&gt;0,MOD((ano_ref*12+8)-(YEAR(Planos!$G113)*12+MONTH(Planos!$G113)),MAX(1,IFERROR(INDEX(lst_frequencia_meses,MATCH(Planos!$E113,lst_frequencia,0)),0)))=0),"●","")))</f>
      </c>
      <c r="L114" s="43">
        <f>IF(NOT(Planos!$A113&lt;&gt;""),"",IF(COUNTIFS(Programação!$B$4:$B$503,Planos!$A113,Programação!$I$4:$I$503,"Concluído",Programação!$G$4:$G$503,"&gt;="&amp;DATE(ano_ref,9,1),Programação!$G$4:$G$503,"&lt;="&amp;EOMONTH(DATE(ano_ref,9,1),0))&gt;0,"✔",IF(AND(ISNUMBER(Planos!$G113),IFERROR(INDEX(lst_frequencia_meses,MATCH(Planos!$E113,lst_frequencia,0)),0)&gt;0,(ano_ref*12+9)-(YEAR(Planos!$G113)*12+MONTH(Planos!$G113))&gt;0,MOD((ano_ref*12+9)-(YEAR(Planos!$G113)*12+MONTH(Planos!$G113)),MAX(1,IFERROR(INDEX(lst_frequencia_meses,MATCH(Planos!$E113,lst_frequencia,0)),0)))=0),"●","")))</f>
      </c>
      <c r="M114" s="43">
        <f>IF(NOT(Planos!$A113&lt;&gt;""),"",IF(COUNTIFS(Programação!$B$4:$B$503,Planos!$A113,Programação!$I$4:$I$503,"Concluído",Programação!$G$4:$G$503,"&gt;="&amp;DATE(ano_ref,10,1),Programação!$G$4:$G$503,"&lt;="&amp;EOMONTH(DATE(ano_ref,10,1),0))&gt;0,"✔",IF(AND(ISNUMBER(Planos!$G113),IFERROR(INDEX(lst_frequencia_meses,MATCH(Planos!$E113,lst_frequencia,0)),0)&gt;0,(ano_ref*12+10)-(YEAR(Planos!$G113)*12+MONTH(Planos!$G113))&gt;0,MOD((ano_ref*12+10)-(YEAR(Planos!$G113)*12+MONTH(Planos!$G113)),MAX(1,IFERROR(INDEX(lst_frequencia_meses,MATCH(Planos!$E113,lst_frequencia,0)),0)))=0),"●","")))</f>
      </c>
      <c r="N114" s="43">
        <f>IF(NOT(Planos!$A113&lt;&gt;""),"",IF(COUNTIFS(Programação!$B$4:$B$503,Planos!$A113,Programação!$I$4:$I$503,"Concluído",Programação!$G$4:$G$503,"&gt;="&amp;DATE(ano_ref,11,1),Programação!$G$4:$G$503,"&lt;="&amp;EOMONTH(DATE(ano_ref,11,1),0))&gt;0,"✔",IF(AND(ISNUMBER(Planos!$G113),IFERROR(INDEX(lst_frequencia_meses,MATCH(Planos!$E113,lst_frequencia,0)),0)&gt;0,(ano_ref*12+11)-(YEAR(Planos!$G113)*12+MONTH(Planos!$G113))&gt;0,MOD((ano_ref*12+11)-(YEAR(Planos!$G113)*12+MONTH(Planos!$G113)),MAX(1,IFERROR(INDEX(lst_frequencia_meses,MATCH(Planos!$E113,lst_frequencia,0)),0)))=0),"●","")))</f>
      </c>
      <c r="O114" s="43">
        <f>IF(NOT(Planos!$A113&lt;&gt;""),"",IF(COUNTIFS(Programação!$B$4:$B$503,Planos!$A113,Programação!$I$4:$I$503,"Concluído",Programação!$G$4:$G$503,"&gt;="&amp;DATE(ano_ref,12,1),Programação!$G$4:$G$503,"&lt;="&amp;EOMONTH(DATE(ano_ref,12,1),0))&gt;0,"✔",IF(AND(ISNUMBER(Planos!$G113),IFERROR(INDEX(lst_frequencia_meses,MATCH(Planos!$E113,lst_frequencia,0)),0)&gt;0,(ano_ref*12+12)-(YEAR(Planos!$G113)*12+MONTH(Planos!$G113))&gt;0,MOD((ano_ref*12+12)-(YEAR(Planos!$G113)*12+MONTH(Planos!$G113)),MAX(1,IFERROR(INDEX(lst_frequencia_meses,MATCH(Planos!$E113,lst_frequencia,0)),0)))=0),"●","")))</f>
      </c>
      <c r="P114" s="44">
        <f>IF(COUNTIF(D114:O114,"✔")+COUNTIF(D114:O114,"●")=0,"",COUNTIF(D114:O114,"✔")/(COUNTIF(D114:O114,"✔")+COUNTIF(D114:O114,"●")))</f>
      </c>
    </row>
    <row r="115" spans="1:16" x14ac:dyDescent="0.25">
      <c r="A115" s="43">
        <f>IF(Planos!$A114&lt;&gt;"",Planos!A114&amp;"","")</f>
      </c>
      <c r="B115" s="43">
        <f>IF(Planos!$A114&lt;&gt;"",Planos!B114&amp;"","")</f>
      </c>
      <c r="C115" s="24">
        <f>IF(Planos!$A114&lt;&gt;"",Planos!C114&amp;"","")</f>
      </c>
      <c r="D115" s="43">
        <f>IF(NOT(Planos!$A114&lt;&gt;""),"",IF(COUNTIFS(Programação!$B$4:$B$503,Planos!$A114,Programação!$I$4:$I$503,"Concluído",Programação!$G$4:$G$503,"&gt;="&amp;DATE(ano_ref,1,1),Programação!$G$4:$G$503,"&lt;="&amp;EOMONTH(DATE(ano_ref,1,1),0))&gt;0,"✔",IF(AND(ISNUMBER(Planos!$G114),IFERROR(INDEX(lst_frequencia_meses,MATCH(Planos!$E114,lst_frequencia,0)),0)&gt;0,(ano_ref*12+1)-(YEAR(Planos!$G114)*12+MONTH(Planos!$G114))&gt;0,MOD((ano_ref*12+1)-(YEAR(Planos!$G114)*12+MONTH(Planos!$G114)),MAX(1,IFERROR(INDEX(lst_frequencia_meses,MATCH(Planos!$E114,lst_frequencia,0)),0)))=0),"●","")))</f>
      </c>
      <c r="E115" s="43">
        <f>IF(NOT(Planos!$A114&lt;&gt;""),"",IF(COUNTIFS(Programação!$B$4:$B$503,Planos!$A114,Programação!$I$4:$I$503,"Concluído",Programação!$G$4:$G$503,"&gt;="&amp;DATE(ano_ref,2,1),Programação!$G$4:$G$503,"&lt;="&amp;EOMONTH(DATE(ano_ref,2,1),0))&gt;0,"✔",IF(AND(ISNUMBER(Planos!$G114),IFERROR(INDEX(lst_frequencia_meses,MATCH(Planos!$E114,lst_frequencia,0)),0)&gt;0,(ano_ref*12+2)-(YEAR(Planos!$G114)*12+MONTH(Planos!$G114))&gt;0,MOD((ano_ref*12+2)-(YEAR(Planos!$G114)*12+MONTH(Planos!$G114)),MAX(1,IFERROR(INDEX(lst_frequencia_meses,MATCH(Planos!$E114,lst_frequencia,0)),0)))=0),"●","")))</f>
      </c>
      <c r="F115" s="43">
        <f>IF(NOT(Planos!$A114&lt;&gt;""),"",IF(COUNTIFS(Programação!$B$4:$B$503,Planos!$A114,Programação!$I$4:$I$503,"Concluído",Programação!$G$4:$G$503,"&gt;="&amp;DATE(ano_ref,3,1),Programação!$G$4:$G$503,"&lt;="&amp;EOMONTH(DATE(ano_ref,3,1),0))&gt;0,"✔",IF(AND(ISNUMBER(Planos!$G114),IFERROR(INDEX(lst_frequencia_meses,MATCH(Planos!$E114,lst_frequencia,0)),0)&gt;0,(ano_ref*12+3)-(YEAR(Planos!$G114)*12+MONTH(Planos!$G114))&gt;0,MOD((ano_ref*12+3)-(YEAR(Planos!$G114)*12+MONTH(Planos!$G114)),MAX(1,IFERROR(INDEX(lst_frequencia_meses,MATCH(Planos!$E114,lst_frequencia,0)),0)))=0),"●","")))</f>
      </c>
      <c r="G115" s="43">
        <f>IF(NOT(Planos!$A114&lt;&gt;""),"",IF(COUNTIFS(Programação!$B$4:$B$503,Planos!$A114,Programação!$I$4:$I$503,"Concluído",Programação!$G$4:$G$503,"&gt;="&amp;DATE(ano_ref,4,1),Programação!$G$4:$G$503,"&lt;="&amp;EOMONTH(DATE(ano_ref,4,1),0))&gt;0,"✔",IF(AND(ISNUMBER(Planos!$G114),IFERROR(INDEX(lst_frequencia_meses,MATCH(Planos!$E114,lst_frequencia,0)),0)&gt;0,(ano_ref*12+4)-(YEAR(Planos!$G114)*12+MONTH(Planos!$G114))&gt;0,MOD((ano_ref*12+4)-(YEAR(Planos!$G114)*12+MONTH(Planos!$G114)),MAX(1,IFERROR(INDEX(lst_frequencia_meses,MATCH(Planos!$E114,lst_frequencia,0)),0)))=0),"●","")))</f>
      </c>
      <c r="H115" s="43">
        <f>IF(NOT(Planos!$A114&lt;&gt;""),"",IF(COUNTIFS(Programação!$B$4:$B$503,Planos!$A114,Programação!$I$4:$I$503,"Concluído",Programação!$G$4:$G$503,"&gt;="&amp;DATE(ano_ref,5,1),Programação!$G$4:$G$503,"&lt;="&amp;EOMONTH(DATE(ano_ref,5,1),0))&gt;0,"✔",IF(AND(ISNUMBER(Planos!$G114),IFERROR(INDEX(lst_frequencia_meses,MATCH(Planos!$E114,lst_frequencia,0)),0)&gt;0,(ano_ref*12+5)-(YEAR(Planos!$G114)*12+MONTH(Planos!$G114))&gt;0,MOD((ano_ref*12+5)-(YEAR(Planos!$G114)*12+MONTH(Planos!$G114)),MAX(1,IFERROR(INDEX(lst_frequencia_meses,MATCH(Planos!$E114,lst_frequencia,0)),0)))=0),"●","")))</f>
      </c>
      <c r="I115" s="43">
        <f>IF(NOT(Planos!$A114&lt;&gt;""),"",IF(COUNTIFS(Programação!$B$4:$B$503,Planos!$A114,Programação!$I$4:$I$503,"Concluído",Programação!$G$4:$G$503,"&gt;="&amp;DATE(ano_ref,6,1),Programação!$G$4:$G$503,"&lt;="&amp;EOMONTH(DATE(ano_ref,6,1),0))&gt;0,"✔",IF(AND(ISNUMBER(Planos!$G114),IFERROR(INDEX(lst_frequencia_meses,MATCH(Planos!$E114,lst_frequencia,0)),0)&gt;0,(ano_ref*12+6)-(YEAR(Planos!$G114)*12+MONTH(Planos!$G114))&gt;0,MOD((ano_ref*12+6)-(YEAR(Planos!$G114)*12+MONTH(Planos!$G114)),MAX(1,IFERROR(INDEX(lst_frequencia_meses,MATCH(Planos!$E114,lst_frequencia,0)),0)))=0),"●","")))</f>
      </c>
      <c r="J115" s="43">
        <f>IF(NOT(Planos!$A114&lt;&gt;""),"",IF(COUNTIFS(Programação!$B$4:$B$503,Planos!$A114,Programação!$I$4:$I$503,"Concluído",Programação!$G$4:$G$503,"&gt;="&amp;DATE(ano_ref,7,1),Programação!$G$4:$G$503,"&lt;="&amp;EOMONTH(DATE(ano_ref,7,1),0))&gt;0,"✔",IF(AND(ISNUMBER(Planos!$G114),IFERROR(INDEX(lst_frequencia_meses,MATCH(Planos!$E114,lst_frequencia,0)),0)&gt;0,(ano_ref*12+7)-(YEAR(Planos!$G114)*12+MONTH(Planos!$G114))&gt;0,MOD((ano_ref*12+7)-(YEAR(Planos!$G114)*12+MONTH(Planos!$G114)),MAX(1,IFERROR(INDEX(lst_frequencia_meses,MATCH(Planos!$E114,lst_frequencia,0)),0)))=0),"●","")))</f>
      </c>
      <c r="K115" s="43">
        <f>IF(NOT(Planos!$A114&lt;&gt;""),"",IF(COUNTIFS(Programação!$B$4:$B$503,Planos!$A114,Programação!$I$4:$I$503,"Concluído",Programação!$G$4:$G$503,"&gt;="&amp;DATE(ano_ref,8,1),Programação!$G$4:$G$503,"&lt;="&amp;EOMONTH(DATE(ano_ref,8,1),0))&gt;0,"✔",IF(AND(ISNUMBER(Planos!$G114),IFERROR(INDEX(lst_frequencia_meses,MATCH(Planos!$E114,lst_frequencia,0)),0)&gt;0,(ano_ref*12+8)-(YEAR(Planos!$G114)*12+MONTH(Planos!$G114))&gt;0,MOD((ano_ref*12+8)-(YEAR(Planos!$G114)*12+MONTH(Planos!$G114)),MAX(1,IFERROR(INDEX(lst_frequencia_meses,MATCH(Planos!$E114,lst_frequencia,0)),0)))=0),"●","")))</f>
      </c>
      <c r="L115" s="43">
        <f>IF(NOT(Planos!$A114&lt;&gt;""),"",IF(COUNTIFS(Programação!$B$4:$B$503,Planos!$A114,Programação!$I$4:$I$503,"Concluído",Programação!$G$4:$G$503,"&gt;="&amp;DATE(ano_ref,9,1),Programação!$G$4:$G$503,"&lt;="&amp;EOMONTH(DATE(ano_ref,9,1),0))&gt;0,"✔",IF(AND(ISNUMBER(Planos!$G114),IFERROR(INDEX(lst_frequencia_meses,MATCH(Planos!$E114,lst_frequencia,0)),0)&gt;0,(ano_ref*12+9)-(YEAR(Planos!$G114)*12+MONTH(Planos!$G114))&gt;0,MOD((ano_ref*12+9)-(YEAR(Planos!$G114)*12+MONTH(Planos!$G114)),MAX(1,IFERROR(INDEX(lst_frequencia_meses,MATCH(Planos!$E114,lst_frequencia,0)),0)))=0),"●","")))</f>
      </c>
      <c r="M115" s="43">
        <f>IF(NOT(Planos!$A114&lt;&gt;""),"",IF(COUNTIFS(Programação!$B$4:$B$503,Planos!$A114,Programação!$I$4:$I$503,"Concluído",Programação!$G$4:$G$503,"&gt;="&amp;DATE(ano_ref,10,1),Programação!$G$4:$G$503,"&lt;="&amp;EOMONTH(DATE(ano_ref,10,1),0))&gt;0,"✔",IF(AND(ISNUMBER(Planos!$G114),IFERROR(INDEX(lst_frequencia_meses,MATCH(Planos!$E114,lst_frequencia,0)),0)&gt;0,(ano_ref*12+10)-(YEAR(Planos!$G114)*12+MONTH(Planos!$G114))&gt;0,MOD((ano_ref*12+10)-(YEAR(Planos!$G114)*12+MONTH(Planos!$G114)),MAX(1,IFERROR(INDEX(lst_frequencia_meses,MATCH(Planos!$E114,lst_frequencia,0)),0)))=0),"●","")))</f>
      </c>
      <c r="N115" s="43">
        <f>IF(NOT(Planos!$A114&lt;&gt;""),"",IF(COUNTIFS(Programação!$B$4:$B$503,Planos!$A114,Programação!$I$4:$I$503,"Concluído",Programação!$G$4:$G$503,"&gt;="&amp;DATE(ano_ref,11,1),Programação!$G$4:$G$503,"&lt;="&amp;EOMONTH(DATE(ano_ref,11,1),0))&gt;0,"✔",IF(AND(ISNUMBER(Planos!$G114),IFERROR(INDEX(lst_frequencia_meses,MATCH(Planos!$E114,lst_frequencia,0)),0)&gt;0,(ano_ref*12+11)-(YEAR(Planos!$G114)*12+MONTH(Planos!$G114))&gt;0,MOD((ano_ref*12+11)-(YEAR(Planos!$G114)*12+MONTH(Planos!$G114)),MAX(1,IFERROR(INDEX(lst_frequencia_meses,MATCH(Planos!$E114,lst_frequencia,0)),0)))=0),"●","")))</f>
      </c>
      <c r="O115" s="43">
        <f>IF(NOT(Planos!$A114&lt;&gt;""),"",IF(COUNTIFS(Programação!$B$4:$B$503,Planos!$A114,Programação!$I$4:$I$503,"Concluído",Programação!$G$4:$G$503,"&gt;="&amp;DATE(ano_ref,12,1),Programação!$G$4:$G$503,"&lt;="&amp;EOMONTH(DATE(ano_ref,12,1),0))&gt;0,"✔",IF(AND(ISNUMBER(Planos!$G114),IFERROR(INDEX(lst_frequencia_meses,MATCH(Planos!$E114,lst_frequencia,0)),0)&gt;0,(ano_ref*12+12)-(YEAR(Planos!$G114)*12+MONTH(Planos!$G114))&gt;0,MOD((ano_ref*12+12)-(YEAR(Planos!$G114)*12+MONTH(Planos!$G114)),MAX(1,IFERROR(INDEX(lst_frequencia_meses,MATCH(Planos!$E114,lst_frequencia,0)),0)))=0),"●","")))</f>
      </c>
      <c r="P115" s="44">
        <f>IF(COUNTIF(D115:O115,"✔")+COUNTIF(D115:O115,"●")=0,"",COUNTIF(D115:O115,"✔")/(COUNTIF(D115:O115,"✔")+COUNTIF(D115:O115,"●")))</f>
      </c>
    </row>
    <row r="116" spans="1:16" x14ac:dyDescent="0.25">
      <c r="A116" s="43">
        <f>IF(Planos!$A115&lt;&gt;"",Planos!A115&amp;"","")</f>
      </c>
      <c r="B116" s="43">
        <f>IF(Planos!$A115&lt;&gt;"",Planos!B115&amp;"","")</f>
      </c>
      <c r="C116" s="24">
        <f>IF(Planos!$A115&lt;&gt;"",Planos!C115&amp;"","")</f>
      </c>
      <c r="D116" s="43">
        <f>IF(NOT(Planos!$A115&lt;&gt;""),"",IF(COUNTIFS(Programação!$B$4:$B$503,Planos!$A115,Programação!$I$4:$I$503,"Concluído",Programação!$G$4:$G$503,"&gt;="&amp;DATE(ano_ref,1,1),Programação!$G$4:$G$503,"&lt;="&amp;EOMONTH(DATE(ano_ref,1,1),0))&gt;0,"✔",IF(AND(ISNUMBER(Planos!$G115),IFERROR(INDEX(lst_frequencia_meses,MATCH(Planos!$E115,lst_frequencia,0)),0)&gt;0,(ano_ref*12+1)-(YEAR(Planos!$G115)*12+MONTH(Planos!$G115))&gt;0,MOD((ano_ref*12+1)-(YEAR(Planos!$G115)*12+MONTH(Planos!$G115)),MAX(1,IFERROR(INDEX(lst_frequencia_meses,MATCH(Planos!$E115,lst_frequencia,0)),0)))=0),"●","")))</f>
      </c>
      <c r="E116" s="43">
        <f>IF(NOT(Planos!$A115&lt;&gt;""),"",IF(COUNTIFS(Programação!$B$4:$B$503,Planos!$A115,Programação!$I$4:$I$503,"Concluído",Programação!$G$4:$G$503,"&gt;="&amp;DATE(ano_ref,2,1),Programação!$G$4:$G$503,"&lt;="&amp;EOMONTH(DATE(ano_ref,2,1),0))&gt;0,"✔",IF(AND(ISNUMBER(Planos!$G115),IFERROR(INDEX(lst_frequencia_meses,MATCH(Planos!$E115,lst_frequencia,0)),0)&gt;0,(ano_ref*12+2)-(YEAR(Planos!$G115)*12+MONTH(Planos!$G115))&gt;0,MOD((ano_ref*12+2)-(YEAR(Planos!$G115)*12+MONTH(Planos!$G115)),MAX(1,IFERROR(INDEX(lst_frequencia_meses,MATCH(Planos!$E115,lst_frequencia,0)),0)))=0),"●","")))</f>
      </c>
      <c r="F116" s="43">
        <f>IF(NOT(Planos!$A115&lt;&gt;""),"",IF(COUNTIFS(Programação!$B$4:$B$503,Planos!$A115,Programação!$I$4:$I$503,"Concluído",Programação!$G$4:$G$503,"&gt;="&amp;DATE(ano_ref,3,1),Programação!$G$4:$G$503,"&lt;="&amp;EOMONTH(DATE(ano_ref,3,1),0))&gt;0,"✔",IF(AND(ISNUMBER(Planos!$G115),IFERROR(INDEX(lst_frequencia_meses,MATCH(Planos!$E115,lst_frequencia,0)),0)&gt;0,(ano_ref*12+3)-(YEAR(Planos!$G115)*12+MONTH(Planos!$G115))&gt;0,MOD((ano_ref*12+3)-(YEAR(Planos!$G115)*12+MONTH(Planos!$G115)),MAX(1,IFERROR(INDEX(lst_frequencia_meses,MATCH(Planos!$E115,lst_frequencia,0)),0)))=0),"●","")))</f>
      </c>
      <c r="G116" s="43">
        <f>IF(NOT(Planos!$A115&lt;&gt;""),"",IF(COUNTIFS(Programação!$B$4:$B$503,Planos!$A115,Programação!$I$4:$I$503,"Concluído",Programação!$G$4:$G$503,"&gt;="&amp;DATE(ano_ref,4,1),Programação!$G$4:$G$503,"&lt;="&amp;EOMONTH(DATE(ano_ref,4,1),0))&gt;0,"✔",IF(AND(ISNUMBER(Planos!$G115),IFERROR(INDEX(lst_frequencia_meses,MATCH(Planos!$E115,lst_frequencia,0)),0)&gt;0,(ano_ref*12+4)-(YEAR(Planos!$G115)*12+MONTH(Planos!$G115))&gt;0,MOD((ano_ref*12+4)-(YEAR(Planos!$G115)*12+MONTH(Planos!$G115)),MAX(1,IFERROR(INDEX(lst_frequencia_meses,MATCH(Planos!$E115,lst_frequencia,0)),0)))=0),"●","")))</f>
      </c>
      <c r="H116" s="43">
        <f>IF(NOT(Planos!$A115&lt;&gt;""),"",IF(COUNTIFS(Programação!$B$4:$B$503,Planos!$A115,Programação!$I$4:$I$503,"Concluído",Programação!$G$4:$G$503,"&gt;="&amp;DATE(ano_ref,5,1),Programação!$G$4:$G$503,"&lt;="&amp;EOMONTH(DATE(ano_ref,5,1),0))&gt;0,"✔",IF(AND(ISNUMBER(Planos!$G115),IFERROR(INDEX(lst_frequencia_meses,MATCH(Planos!$E115,lst_frequencia,0)),0)&gt;0,(ano_ref*12+5)-(YEAR(Planos!$G115)*12+MONTH(Planos!$G115))&gt;0,MOD((ano_ref*12+5)-(YEAR(Planos!$G115)*12+MONTH(Planos!$G115)),MAX(1,IFERROR(INDEX(lst_frequencia_meses,MATCH(Planos!$E115,lst_frequencia,0)),0)))=0),"●","")))</f>
      </c>
      <c r="I116" s="43">
        <f>IF(NOT(Planos!$A115&lt;&gt;""),"",IF(COUNTIFS(Programação!$B$4:$B$503,Planos!$A115,Programação!$I$4:$I$503,"Concluído",Programação!$G$4:$G$503,"&gt;="&amp;DATE(ano_ref,6,1),Programação!$G$4:$G$503,"&lt;="&amp;EOMONTH(DATE(ano_ref,6,1),0))&gt;0,"✔",IF(AND(ISNUMBER(Planos!$G115),IFERROR(INDEX(lst_frequencia_meses,MATCH(Planos!$E115,lst_frequencia,0)),0)&gt;0,(ano_ref*12+6)-(YEAR(Planos!$G115)*12+MONTH(Planos!$G115))&gt;0,MOD((ano_ref*12+6)-(YEAR(Planos!$G115)*12+MONTH(Planos!$G115)),MAX(1,IFERROR(INDEX(lst_frequencia_meses,MATCH(Planos!$E115,lst_frequencia,0)),0)))=0),"●","")))</f>
      </c>
      <c r="J116" s="43">
        <f>IF(NOT(Planos!$A115&lt;&gt;""),"",IF(COUNTIFS(Programação!$B$4:$B$503,Planos!$A115,Programação!$I$4:$I$503,"Concluído",Programação!$G$4:$G$503,"&gt;="&amp;DATE(ano_ref,7,1),Programação!$G$4:$G$503,"&lt;="&amp;EOMONTH(DATE(ano_ref,7,1),0))&gt;0,"✔",IF(AND(ISNUMBER(Planos!$G115),IFERROR(INDEX(lst_frequencia_meses,MATCH(Planos!$E115,lst_frequencia,0)),0)&gt;0,(ano_ref*12+7)-(YEAR(Planos!$G115)*12+MONTH(Planos!$G115))&gt;0,MOD((ano_ref*12+7)-(YEAR(Planos!$G115)*12+MONTH(Planos!$G115)),MAX(1,IFERROR(INDEX(lst_frequencia_meses,MATCH(Planos!$E115,lst_frequencia,0)),0)))=0),"●","")))</f>
      </c>
      <c r="K116" s="43">
        <f>IF(NOT(Planos!$A115&lt;&gt;""),"",IF(COUNTIFS(Programação!$B$4:$B$503,Planos!$A115,Programação!$I$4:$I$503,"Concluído",Programação!$G$4:$G$503,"&gt;="&amp;DATE(ano_ref,8,1),Programação!$G$4:$G$503,"&lt;="&amp;EOMONTH(DATE(ano_ref,8,1),0))&gt;0,"✔",IF(AND(ISNUMBER(Planos!$G115),IFERROR(INDEX(lst_frequencia_meses,MATCH(Planos!$E115,lst_frequencia,0)),0)&gt;0,(ano_ref*12+8)-(YEAR(Planos!$G115)*12+MONTH(Planos!$G115))&gt;0,MOD((ano_ref*12+8)-(YEAR(Planos!$G115)*12+MONTH(Planos!$G115)),MAX(1,IFERROR(INDEX(lst_frequencia_meses,MATCH(Planos!$E115,lst_frequencia,0)),0)))=0),"●","")))</f>
      </c>
      <c r="L116" s="43">
        <f>IF(NOT(Planos!$A115&lt;&gt;""),"",IF(COUNTIFS(Programação!$B$4:$B$503,Planos!$A115,Programação!$I$4:$I$503,"Concluído",Programação!$G$4:$G$503,"&gt;="&amp;DATE(ano_ref,9,1),Programação!$G$4:$G$503,"&lt;="&amp;EOMONTH(DATE(ano_ref,9,1),0))&gt;0,"✔",IF(AND(ISNUMBER(Planos!$G115),IFERROR(INDEX(lst_frequencia_meses,MATCH(Planos!$E115,lst_frequencia,0)),0)&gt;0,(ano_ref*12+9)-(YEAR(Planos!$G115)*12+MONTH(Planos!$G115))&gt;0,MOD((ano_ref*12+9)-(YEAR(Planos!$G115)*12+MONTH(Planos!$G115)),MAX(1,IFERROR(INDEX(lst_frequencia_meses,MATCH(Planos!$E115,lst_frequencia,0)),0)))=0),"●","")))</f>
      </c>
      <c r="M116" s="43">
        <f>IF(NOT(Planos!$A115&lt;&gt;""),"",IF(COUNTIFS(Programação!$B$4:$B$503,Planos!$A115,Programação!$I$4:$I$503,"Concluído",Programação!$G$4:$G$503,"&gt;="&amp;DATE(ano_ref,10,1),Programação!$G$4:$G$503,"&lt;="&amp;EOMONTH(DATE(ano_ref,10,1),0))&gt;0,"✔",IF(AND(ISNUMBER(Planos!$G115),IFERROR(INDEX(lst_frequencia_meses,MATCH(Planos!$E115,lst_frequencia,0)),0)&gt;0,(ano_ref*12+10)-(YEAR(Planos!$G115)*12+MONTH(Planos!$G115))&gt;0,MOD((ano_ref*12+10)-(YEAR(Planos!$G115)*12+MONTH(Planos!$G115)),MAX(1,IFERROR(INDEX(lst_frequencia_meses,MATCH(Planos!$E115,lst_frequencia,0)),0)))=0),"●","")))</f>
      </c>
      <c r="N116" s="43">
        <f>IF(NOT(Planos!$A115&lt;&gt;""),"",IF(COUNTIFS(Programação!$B$4:$B$503,Planos!$A115,Programação!$I$4:$I$503,"Concluído",Programação!$G$4:$G$503,"&gt;="&amp;DATE(ano_ref,11,1),Programação!$G$4:$G$503,"&lt;="&amp;EOMONTH(DATE(ano_ref,11,1),0))&gt;0,"✔",IF(AND(ISNUMBER(Planos!$G115),IFERROR(INDEX(lst_frequencia_meses,MATCH(Planos!$E115,lst_frequencia,0)),0)&gt;0,(ano_ref*12+11)-(YEAR(Planos!$G115)*12+MONTH(Planos!$G115))&gt;0,MOD((ano_ref*12+11)-(YEAR(Planos!$G115)*12+MONTH(Planos!$G115)),MAX(1,IFERROR(INDEX(lst_frequencia_meses,MATCH(Planos!$E115,lst_frequencia,0)),0)))=0),"●","")))</f>
      </c>
      <c r="O116" s="43">
        <f>IF(NOT(Planos!$A115&lt;&gt;""),"",IF(COUNTIFS(Programação!$B$4:$B$503,Planos!$A115,Programação!$I$4:$I$503,"Concluído",Programação!$G$4:$G$503,"&gt;="&amp;DATE(ano_ref,12,1),Programação!$G$4:$G$503,"&lt;="&amp;EOMONTH(DATE(ano_ref,12,1),0))&gt;0,"✔",IF(AND(ISNUMBER(Planos!$G115),IFERROR(INDEX(lst_frequencia_meses,MATCH(Planos!$E115,lst_frequencia,0)),0)&gt;0,(ano_ref*12+12)-(YEAR(Planos!$G115)*12+MONTH(Planos!$G115))&gt;0,MOD((ano_ref*12+12)-(YEAR(Planos!$G115)*12+MONTH(Planos!$G115)),MAX(1,IFERROR(INDEX(lst_frequencia_meses,MATCH(Planos!$E115,lst_frequencia,0)),0)))=0),"●","")))</f>
      </c>
      <c r="P116" s="44">
        <f>IF(COUNTIF(D116:O116,"✔")+COUNTIF(D116:O116,"●")=0,"",COUNTIF(D116:O116,"✔")/(COUNTIF(D116:O116,"✔")+COUNTIF(D116:O116,"●")))</f>
      </c>
    </row>
    <row r="117" spans="1:16" x14ac:dyDescent="0.25">
      <c r="A117" s="43">
        <f>IF(Planos!$A116&lt;&gt;"",Planos!A116&amp;"","")</f>
      </c>
      <c r="B117" s="43">
        <f>IF(Planos!$A116&lt;&gt;"",Planos!B116&amp;"","")</f>
      </c>
      <c r="C117" s="24">
        <f>IF(Planos!$A116&lt;&gt;"",Planos!C116&amp;"","")</f>
      </c>
      <c r="D117" s="43">
        <f>IF(NOT(Planos!$A116&lt;&gt;""),"",IF(COUNTIFS(Programação!$B$4:$B$503,Planos!$A116,Programação!$I$4:$I$503,"Concluído",Programação!$G$4:$G$503,"&gt;="&amp;DATE(ano_ref,1,1),Programação!$G$4:$G$503,"&lt;="&amp;EOMONTH(DATE(ano_ref,1,1),0))&gt;0,"✔",IF(AND(ISNUMBER(Planos!$G116),IFERROR(INDEX(lst_frequencia_meses,MATCH(Planos!$E116,lst_frequencia,0)),0)&gt;0,(ano_ref*12+1)-(YEAR(Planos!$G116)*12+MONTH(Planos!$G116))&gt;0,MOD((ano_ref*12+1)-(YEAR(Planos!$G116)*12+MONTH(Planos!$G116)),MAX(1,IFERROR(INDEX(lst_frequencia_meses,MATCH(Planos!$E116,lst_frequencia,0)),0)))=0),"●","")))</f>
      </c>
      <c r="E117" s="43">
        <f>IF(NOT(Planos!$A116&lt;&gt;""),"",IF(COUNTIFS(Programação!$B$4:$B$503,Planos!$A116,Programação!$I$4:$I$503,"Concluído",Programação!$G$4:$G$503,"&gt;="&amp;DATE(ano_ref,2,1),Programação!$G$4:$G$503,"&lt;="&amp;EOMONTH(DATE(ano_ref,2,1),0))&gt;0,"✔",IF(AND(ISNUMBER(Planos!$G116),IFERROR(INDEX(lst_frequencia_meses,MATCH(Planos!$E116,lst_frequencia,0)),0)&gt;0,(ano_ref*12+2)-(YEAR(Planos!$G116)*12+MONTH(Planos!$G116))&gt;0,MOD((ano_ref*12+2)-(YEAR(Planos!$G116)*12+MONTH(Planos!$G116)),MAX(1,IFERROR(INDEX(lst_frequencia_meses,MATCH(Planos!$E116,lst_frequencia,0)),0)))=0),"●","")))</f>
      </c>
      <c r="F117" s="43">
        <f>IF(NOT(Planos!$A116&lt;&gt;""),"",IF(COUNTIFS(Programação!$B$4:$B$503,Planos!$A116,Programação!$I$4:$I$503,"Concluído",Programação!$G$4:$G$503,"&gt;="&amp;DATE(ano_ref,3,1),Programação!$G$4:$G$503,"&lt;="&amp;EOMONTH(DATE(ano_ref,3,1),0))&gt;0,"✔",IF(AND(ISNUMBER(Planos!$G116),IFERROR(INDEX(lst_frequencia_meses,MATCH(Planos!$E116,lst_frequencia,0)),0)&gt;0,(ano_ref*12+3)-(YEAR(Planos!$G116)*12+MONTH(Planos!$G116))&gt;0,MOD((ano_ref*12+3)-(YEAR(Planos!$G116)*12+MONTH(Planos!$G116)),MAX(1,IFERROR(INDEX(lst_frequencia_meses,MATCH(Planos!$E116,lst_frequencia,0)),0)))=0),"●","")))</f>
      </c>
      <c r="G117" s="43">
        <f>IF(NOT(Planos!$A116&lt;&gt;""),"",IF(COUNTIFS(Programação!$B$4:$B$503,Planos!$A116,Programação!$I$4:$I$503,"Concluído",Programação!$G$4:$G$503,"&gt;="&amp;DATE(ano_ref,4,1),Programação!$G$4:$G$503,"&lt;="&amp;EOMONTH(DATE(ano_ref,4,1),0))&gt;0,"✔",IF(AND(ISNUMBER(Planos!$G116),IFERROR(INDEX(lst_frequencia_meses,MATCH(Planos!$E116,lst_frequencia,0)),0)&gt;0,(ano_ref*12+4)-(YEAR(Planos!$G116)*12+MONTH(Planos!$G116))&gt;0,MOD((ano_ref*12+4)-(YEAR(Planos!$G116)*12+MONTH(Planos!$G116)),MAX(1,IFERROR(INDEX(lst_frequencia_meses,MATCH(Planos!$E116,lst_frequencia,0)),0)))=0),"●","")))</f>
      </c>
      <c r="H117" s="43">
        <f>IF(NOT(Planos!$A116&lt;&gt;""),"",IF(COUNTIFS(Programação!$B$4:$B$503,Planos!$A116,Programação!$I$4:$I$503,"Concluído",Programação!$G$4:$G$503,"&gt;="&amp;DATE(ano_ref,5,1),Programação!$G$4:$G$503,"&lt;="&amp;EOMONTH(DATE(ano_ref,5,1),0))&gt;0,"✔",IF(AND(ISNUMBER(Planos!$G116),IFERROR(INDEX(lst_frequencia_meses,MATCH(Planos!$E116,lst_frequencia,0)),0)&gt;0,(ano_ref*12+5)-(YEAR(Planos!$G116)*12+MONTH(Planos!$G116))&gt;0,MOD((ano_ref*12+5)-(YEAR(Planos!$G116)*12+MONTH(Planos!$G116)),MAX(1,IFERROR(INDEX(lst_frequencia_meses,MATCH(Planos!$E116,lst_frequencia,0)),0)))=0),"●","")))</f>
      </c>
      <c r="I117" s="43">
        <f>IF(NOT(Planos!$A116&lt;&gt;""),"",IF(COUNTIFS(Programação!$B$4:$B$503,Planos!$A116,Programação!$I$4:$I$503,"Concluído",Programação!$G$4:$G$503,"&gt;="&amp;DATE(ano_ref,6,1),Programação!$G$4:$G$503,"&lt;="&amp;EOMONTH(DATE(ano_ref,6,1),0))&gt;0,"✔",IF(AND(ISNUMBER(Planos!$G116),IFERROR(INDEX(lst_frequencia_meses,MATCH(Planos!$E116,lst_frequencia,0)),0)&gt;0,(ano_ref*12+6)-(YEAR(Planos!$G116)*12+MONTH(Planos!$G116))&gt;0,MOD((ano_ref*12+6)-(YEAR(Planos!$G116)*12+MONTH(Planos!$G116)),MAX(1,IFERROR(INDEX(lst_frequencia_meses,MATCH(Planos!$E116,lst_frequencia,0)),0)))=0),"●","")))</f>
      </c>
      <c r="J117" s="43">
        <f>IF(NOT(Planos!$A116&lt;&gt;""),"",IF(COUNTIFS(Programação!$B$4:$B$503,Planos!$A116,Programação!$I$4:$I$503,"Concluído",Programação!$G$4:$G$503,"&gt;="&amp;DATE(ano_ref,7,1),Programação!$G$4:$G$503,"&lt;="&amp;EOMONTH(DATE(ano_ref,7,1),0))&gt;0,"✔",IF(AND(ISNUMBER(Planos!$G116),IFERROR(INDEX(lst_frequencia_meses,MATCH(Planos!$E116,lst_frequencia,0)),0)&gt;0,(ano_ref*12+7)-(YEAR(Planos!$G116)*12+MONTH(Planos!$G116))&gt;0,MOD((ano_ref*12+7)-(YEAR(Planos!$G116)*12+MONTH(Planos!$G116)),MAX(1,IFERROR(INDEX(lst_frequencia_meses,MATCH(Planos!$E116,lst_frequencia,0)),0)))=0),"●","")))</f>
      </c>
      <c r="K117" s="43">
        <f>IF(NOT(Planos!$A116&lt;&gt;""),"",IF(COUNTIFS(Programação!$B$4:$B$503,Planos!$A116,Programação!$I$4:$I$503,"Concluído",Programação!$G$4:$G$503,"&gt;="&amp;DATE(ano_ref,8,1),Programação!$G$4:$G$503,"&lt;="&amp;EOMONTH(DATE(ano_ref,8,1),0))&gt;0,"✔",IF(AND(ISNUMBER(Planos!$G116),IFERROR(INDEX(lst_frequencia_meses,MATCH(Planos!$E116,lst_frequencia,0)),0)&gt;0,(ano_ref*12+8)-(YEAR(Planos!$G116)*12+MONTH(Planos!$G116))&gt;0,MOD((ano_ref*12+8)-(YEAR(Planos!$G116)*12+MONTH(Planos!$G116)),MAX(1,IFERROR(INDEX(lst_frequencia_meses,MATCH(Planos!$E116,lst_frequencia,0)),0)))=0),"●","")))</f>
      </c>
      <c r="L117" s="43">
        <f>IF(NOT(Planos!$A116&lt;&gt;""),"",IF(COUNTIFS(Programação!$B$4:$B$503,Planos!$A116,Programação!$I$4:$I$503,"Concluído",Programação!$G$4:$G$503,"&gt;="&amp;DATE(ano_ref,9,1),Programação!$G$4:$G$503,"&lt;="&amp;EOMONTH(DATE(ano_ref,9,1),0))&gt;0,"✔",IF(AND(ISNUMBER(Planos!$G116),IFERROR(INDEX(lst_frequencia_meses,MATCH(Planos!$E116,lst_frequencia,0)),0)&gt;0,(ano_ref*12+9)-(YEAR(Planos!$G116)*12+MONTH(Planos!$G116))&gt;0,MOD((ano_ref*12+9)-(YEAR(Planos!$G116)*12+MONTH(Planos!$G116)),MAX(1,IFERROR(INDEX(lst_frequencia_meses,MATCH(Planos!$E116,lst_frequencia,0)),0)))=0),"●","")))</f>
      </c>
      <c r="M117" s="43">
        <f>IF(NOT(Planos!$A116&lt;&gt;""),"",IF(COUNTIFS(Programação!$B$4:$B$503,Planos!$A116,Programação!$I$4:$I$503,"Concluído",Programação!$G$4:$G$503,"&gt;="&amp;DATE(ano_ref,10,1),Programação!$G$4:$G$503,"&lt;="&amp;EOMONTH(DATE(ano_ref,10,1),0))&gt;0,"✔",IF(AND(ISNUMBER(Planos!$G116),IFERROR(INDEX(lst_frequencia_meses,MATCH(Planos!$E116,lst_frequencia,0)),0)&gt;0,(ano_ref*12+10)-(YEAR(Planos!$G116)*12+MONTH(Planos!$G116))&gt;0,MOD((ano_ref*12+10)-(YEAR(Planos!$G116)*12+MONTH(Planos!$G116)),MAX(1,IFERROR(INDEX(lst_frequencia_meses,MATCH(Planos!$E116,lst_frequencia,0)),0)))=0),"●","")))</f>
      </c>
      <c r="N117" s="43">
        <f>IF(NOT(Planos!$A116&lt;&gt;""),"",IF(COUNTIFS(Programação!$B$4:$B$503,Planos!$A116,Programação!$I$4:$I$503,"Concluído",Programação!$G$4:$G$503,"&gt;="&amp;DATE(ano_ref,11,1),Programação!$G$4:$G$503,"&lt;="&amp;EOMONTH(DATE(ano_ref,11,1),0))&gt;0,"✔",IF(AND(ISNUMBER(Planos!$G116),IFERROR(INDEX(lst_frequencia_meses,MATCH(Planos!$E116,lst_frequencia,0)),0)&gt;0,(ano_ref*12+11)-(YEAR(Planos!$G116)*12+MONTH(Planos!$G116))&gt;0,MOD((ano_ref*12+11)-(YEAR(Planos!$G116)*12+MONTH(Planos!$G116)),MAX(1,IFERROR(INDEX(lst_frequencia_meses,MATCH(Planos!$E116,lst_frequencia,0)),0)))=0),"●","")))</f>
      </c>
      <c r="O117" s="43">
        <f>IF(NOT(Planos!$A116&lt;&gt;""),"",IF(COUNTIFS(Programação!$B$4:$B$503,Planos!$A116,Programação!$I$4:$I$503,"Concluído",Programação!$G$4:$G$503,"&gt;="&amp;DATE(ano_ref,12,1),Programação!$G$4:$G$503,"&lt;="&amp;EOMONTH(DATE(ano_ref,12,1),0))&gt;0,"✔",IF(AND(ISNUMBER(Planos!$G116),IFERROR(INDEX(lst_frequencia_meses,MATCH(Planos!$E116,lst_frequencia,0)),0)&gt;0,(ano_ref*12+12)-(YEAR(Planos!$G116)*12+MONTH(Planos!$G116))&gt;0,MOD((ano_ref*12+12)-(YEAR(Planos!$G116)*12+MONTH(Planos!$G116)),MAX(1,IFERROR(INDEX(lst_frequencia_meses,MATCH(Planos!$E116,lst_frequencia,0)),0)))=0),"●","")))</f>
      </c>
      <c r="P117" s="44">
        <f>IF(COUNTIF(D117:O117,"✔")+COUNTIF(D117:O117,"●")=0,"",COUNTIF(D117:O117,"✔")/(COUNTIF(D117:O117,"✔")+COUNTIF(D117:O117,"●")))</f>
      </c>
    </row>
    <row r="118" spans="1:16" x14ac:dyDescent="0.25">
      <c r="A118" s="43">
        <f>IF(Planos!$A117&lt;&gt;"",Planos!A117&amp;"","")</f>
      </c>
      <c r="B118" s="43">
        <f>IF(Planos!$A117&lt;&gt;"",Planos!B117&amp;"","")</f>
      </c>
      <c r="C118" s="24">
        <f>IF(Planos!$A117&lt;&gt;"",Planos!C117&amp;"","")</f>
      </c>
      <c r="D118" s="43">
        <f>IF(NOT(Planos!$A117&lt;&gt;""),"",IF(COUNTIFS(Programação!$B$4:$B$503,Planos!$A117,Programação!$I$4:$I$503,"Concluído",Programação!$G$4:$G$503,"&gt;="&amp;DATE(ano_ref,1,1),Programação!$G$4:$G$503,"&lt;="&amp;EOMONTH(DATE(ano_ref,1,1),0))&gt;0,"✔",IF(AND(ISNUMBER(Planos!$G117),IFERROR(INDEX(lst_frequencia_meses,MATCH(Planos!$E117,lst_frequencia,0)),0)&gt;0,(ano_ref*12+1)-(YEAR(Planos!$G117)*12+MONTH(Planos!$G117))&gt;0,MOD((ano_ref*12+1)-(YEAR(Planos!$G117)*12+MONTH(Planos!$G117)),MAX(1,IFERROR(INDEX(lst_frequencia_meses,MATCH(Planos!$E117,lst_frequencia,0)),0)))=0),"●","")))</f>
      </c>
      <c r="E118" s="43">
        <f>IF(NOT(Planos!$A117&lt;&gt;""),"",IF(COUNTIFS(Programação!$B$4:$B$503,Planos!$A117,Programação!$I$4:$I$503,"Concluído",Programação!$G$4:$G$503,"&gt;="&amp;DATE(ano_ref,2,1),Programação!$G$4:$G$503,"&lt;="&amp;EOMONTH(DATE(ano_ref,2,1),0))&gt;0,"✔",IF(AND(ISNUMBER(Planos!$G117),IFERROR(INDEX(lst_frequencia_meses,MATCH(Planos!$E117,lst_frequencia,0)),0)&gt;0,(ano_ref*12+2)-(YEAR(Planos!$G117)*12+MONTH(Planos!$G117))&gt;0,MOD((ano_ref*12+2)-(YEAR(Planos!$G117)*12+MONTH(Planos!$G117)),MAX(1,IFERROR(INDEX(lst_frequencia_meses,MATCH(Planos!$E117,lst_frequencia,0)),0)))=0),"●","")))</f>
      </c>
      <c r="F118" s="43">
        <f>IF(NOT(Planos!$A117&lt;&gt;""),"",IF(COUNTIFS(Programação!$B$4:$B$503,Planos!$A117,Programação!$I$4:$I$503,"Concluído",Programação!$G$4:$G$503,"&gt;="&amp;DATE(ano_ref,3,1),Programação!$G$4:$G$503,"&lt;="&amp;EOMONTH(DATE(ano_ref,3,1),0))&gt;0,"✔",IF(AND(ISNUMBER(Planos!$G117),IFERROR(INDEX(lst_frequencia_meses,MATCH(Planos!$E117,lst_frequencia,0)),0)&gt;0,(ano_ref*12+3)-(YEAR(Planos!$G117)*12+MONTH(Planos!$G117))&gt;0,MOD((ano_ref*12+3)-(YEAR(Planos!$G117)*12+MONTH(Planos!$G117)),MAX(1,IFERROR(INDEX(lst_frequencia_meses,MATCH(Planos!$E117,lst_frequencia,0)),0)))=0),"●","")))</f>
      </c>
      <c r="G118" s="43">
        <f>IF(NOT(Planos!$A117&lt;&gt;""),"",IF(COUNTIFS(Programação!$B$4:$B$503,Planos!$A117,Programação!$I$4:$I$503,"Concluído",Programação!$G$4:$G$503,"&gt;="&amp;DATE(ano_ref,4,1),Programação!$G$4:$G$503,"&lt;="&amp;EOMONTH(DATE(ano_ref,4,1),0))&gt;0,"✔",IF(AND(ISNUMBER(Planos!$G117),IFERROR(INDEX(lst_frequencia_meses,MATCH(Planos!$E117,lst_frequencia,0)),0)&gt;0,(ano_ref*12+4)-(YEAR(Planos!$G117)*12+MONTH(Planos!$G117))&gt;0,MOD((ano_ref*12+4)-(YEAR(Planos!$G117)*12+MONTH(Planos!$G117)),MAX(1,IFERROR(INDEX(lst_frequencia_meses,MATCH(Planos!$E117,lst_frequencia,0)),0)))=0),"●","")))</f>
      </c>
      <c r="H118" s="43">
        <f>IF(NOT(Planos!$A117&lt;&gt;""),"",IF(COUNTIFS(Programação!$B$4:$B$503,Planos!$A117,Programação!$I$4:$I$503,"Concluído",Programação!$G$4:$G$503,"&gt;="&amp;DATE(ano_ref,5,1),Programação!$G$4:$G$503,"&lt;="&amp;EOMONTH(DATE(ano_ref,5,1),0))&gt;0,"✔",IF(AND(ISNUMBER(Planos!$G117),IFERROR(INDEX(lst_frequencia_meses,MATCH(Planos!$E117,lst_frequencia,0)),0)&gt;0,(ano_ref*12+5)-(YEAR(Planos!$G117)*12+MONTH(Planos!$G117))&gt;0,MOD((ano_ref*12+5)-(YEAR(Planos!$G117)*12+MONTH(Planos!$G117)),MAX(1,IFERROR(INDEX(lst_frequencia_meses,MATCH(Planos!$E117,lst_frequencia,0)),0)))=0),"●","")))</f>
      </c>
      <c r="I118" s="43">
        <f>IF(NOT(Planos!$A117&lt;&gt;""),"",IF(COUNTIFS(Programação!$B$4:$B$503,Planos!$A117,Programação!$I$4:$I$503,"Concluído",Programação!$G$4:$G$503,"&gt;="&amp;DATE(ano_ref,6,1),Programação!$G$4:$G$503,"&lt;="&amp;EOMONTH(DATE(ano_ref,6,1),0))&gt;0,"✔",IF(AND(ISNUMBER(Planos!$G117),IFERROR(INDEX(lst_frequencia_meses,MATCH(Planos!$E117,lst_frequencia,0)),0)&gt;0,(ano_ref*12+6)-(YEAR(Planos!$G117)*12+MONTH(Planos!$G117))&gt;0,MOD((ano_ref*12+6)-(YEAR(Planos!$G117)*12+MONTH(Planos!$G117)),MAX(1,IFERROR(INDEX(lst_frequencia_meses,MATCH(Planos!$E117,lst_frequencia,0)),0)))=0),"●","")))</f>
      </c>
      <c r="J118" s="43">
        <f>IF(NOT(Planos!$A117&lt;&gt;""),"",IF(COUNTIFS(Programação!$B$4:$B$503,Planos!$A117,Programação!$I$4:$I$503,"Concluído",Programação!$G$4:$G$503,"&gt;="&amp;DATE(ano_ref,7,1),Programação!$G$4:$G$503,"&lt;="&amp;EOMONTH(DATE(ano_ref,7,1),0))&gt;0,"✔",IF(AND(ISNUMBER(Planos!$G117),IFERROR(INDEX(lst_frequencia_meses,MATCH(Planos!$E117,lst_frequencia,0)),0)&gt;0,(ano_ref*12+7)-(YEAR(Planos!$G117)*12+MONTH(Planos!$G117))&gt;0,MOD((ano_ref*12+7)-(YEAR(Planos!$G117)*12+MONTH(Planos!$G117)),MAX(1,IFERROR(INDEX(lst_frequencia_meses,MATCH(Planos!$E117,lst_frequencia,0)),0)))=0),"●","")))</f>
      </c>
      <c r="K118" s="43">
        <f>IF(NOT(Planos!$A117&lt;&gt;""),"",IF(COUNTIFS(Programação!$B$4:$B$503,Planos!$A117,Programação!$I$4:$I$503,"Concluído",Programação!$G$4:$G$503,"&gt;="&amp;DATE(ano_ref,8,1),Programação!$G$4:$G$503,"&lt;="&amp;EOMONTH(DATE(ano_ref,8,1),0))&gt;0,"✔",IF(AND(ISNUMBER(Planos!$G117),IFERROR(INDEX(lst_frequencia_meses,MATCH(Planos!$E117,lst_frequencia,0)),0)&gt;0,(ano_ref*12+8)-(YEAR(Planos!$G117)*12+MONTH(Planos!$G117))&gt;0,MOD((ano_ref*12+8)-(YEAR(Planos!$G117)*12+MONTH(Planos!$G117)),MAX(1,IFERROR(INDEX(lst_frequencia_meses,MATCH(Planos!$E117,lst_frequencia,0)),0)))=0),"●","")))</f>
      </c>
      <c r="L118" s="43">
        <f>IF(NOT(Planos!$A117&lt;&gt;""),"",IF(COUNTIFS(Programação!$B$4:$B$503,Planos!$A117,Programação!$I$4:$I$503,"Concluído",Programação!$G$4:$G$503,"&gt;="&amp;DATE(ano_ref,9,1),Programação!$G$4:$G$503,"&lt;="&amp;EOMONTH(DATE(ano_ref,9,1),0))&gt;0,"✔",IF(AND(ISNUMBER(Planos!$G117),IFERROR(INDEX(lst_frequencia_meses,MATCH(Planos!$E117,lst_frequencia,0)),0)&gt;0,(ano_ref*12+9)-(YEAR(Planos!$G117)*12+MONTH(Planos!$G117))&gt;0,MOD((ano_ref*12+9)-(YEAR(Planos!$G117)*12+MONTH(Planos!$G117)),MAX(1,IFERROR(INDEX(lst_frequencia_meses,MATCH(Planos!$E117,lst_frequencia,0)),0)))=0),"●","")))</f>
      </c>
      <c r="M118" s="43">
        <f>IF(NOT(Planos!$A117&lt;&gt;""),"",IF(COUNTIFS(Programação!$B$4:$B$503,Planos!$A117,Programação!$I$4:$I$503,"Concluído",Programação!$G$4:$G$503,"&gt;="&amp;DATE(ano_ref,10,1),Programação!$G$4:$G$503,"&lt;="&amp;EOMONTH(DATE(ano_ref,10,1),0))&gt;0,"✔",IF(AND(ISNUMBER(Planos!$G117),IFERROR(INDEX(lst_frequencia_meses,MATCH(Planos!$E117,lst_frequencia,0)),0)&gt;0,(ano_ref*12+10)-(YEAR(Planos!$G117)*12+MONTH(Planos!$G117))&gt;0,MOD((ano_ref*12+10)-(YEAR(Planos!$G117)*12+MONTH(Planos!$G117)),MAX(1,IFERROR(INDEX(lst_frequencia_meses,MATCH(Planos!$E117,lst_frequencia,0)),0)))=0),"●","")))</f>
      </c>
      <c r="N118" s="43">
        <f>IF(NOT(Planos!$A117&lt;&gt;""),"",IF(COUNTIFS(Programação!$B$4:$B$503,Planos!$A117,Programação!$I$4:$I$503,"Concluído",Programação!$G$4:$G$503,"&gt;="&amp;DATE(ano_ref,11,1),Programação!$G$4:$G$503,"&lt;="&amp;EOMONTH(DATE(ano_ref,11,1),0))&gt;0,"✔",IF(AND(ISNUMBER(Planos!$G117),IFERROR(INDEX(lst_frequencia_meses,MATCH(Planos!$E117,lst_frequencia,0)),0)&gt;0,(ano_ref*12+11)-(YEAR(Planos!$G117)*12+MONTH(Planos!$G117))&gt;0,MOD((ano_ref*12+11)-(YEAR(Planos!$G117)*12+MONTH(Planos!$G117)),MAX(1,IFERROR(INDEX(lst_frequencia_meses,MATCH(Planos!$E117,lst_frequencia,0)),0)))=0),"●","")))</f>
      </c>
      <c r="O118" s="43">
        <f>IF(NOT(Planos!$A117&lt;&gt;""),"",IF(COUNTIFS(Programação!$B$4:$B$503,Planos!$A117,Programação!$I$4:$I$503,"Concluído",Programação!$G$4:$G$503,"&gt;="&amp;DATE(ano_ref,12,1),Programação!$G$4:$G$503,"&lt;="&amp;EOMONTH(DATE(ano_ref,12,1),0))&gt;0,"✔",IF(AND(ISNUMBER(Planos!$G117),IFERROR(INDEX(lst_frequencia_meses,MATCH(Planos!$E117,lst_frequencia,0)),0)&gt;0,(ano_ref*12+12)-(YEAR(Planos!$G117)*12+MONTH(Planos!$G117))&gt;0,MOD((ano_ref*12+12)-(YEAR(Planos!$G117)*12+MONTH(Planos!$G117)),MAX(1,IFERROR(INDEX(lst_frequencia_meses,MATCH(Planos!$E117,lst_frequencia,0)),0)))=0),"●","")))</f>
      </c>
      <c r="P118" s="44">
        <f>IF(COUNTIF(D118:O118,"✔")+COUNTIF(D118:O118,"●")=0,"",COUNTIF(D118:O118,"✔")/(COUNTIF(D118:O118,"✔")+COUNTIF(D118:O118,"●")))</f>
      </c>
    </row>
    <row r="119" spans="1:16" x14ac:dyDescent="0.25">
      <c r="A119" s="43">
        <f>IF(Planos!$A118&lt;&gt;"",Planos!A118&amp;"","")</f>
      </c>
      <c r="B119" s="43">
        <f>IF(Planos!$A118&lt;&gt;"",Planos!B118&amp;"","")</f>
      </c>
      <c r="C119" s="24">
        <f>IF(Planos!$A118&lt;&gt;"",Planos!C118&amp;"","")</f>
      </c>
      <c r="D119" s="43">
        <f>IF(NOT(Planos!$A118&lt;&gt;""),"",IF(COUNTIFS(Programação!$B$4:$B$503,Planos!$A118,Programação!$I$4:$I$503,"Concluído",Programação!$G$4:$G$503,"&gt;="&amp;DATE(ano_ref,1,1),Programação!$G$4:$G$503,"&lt;="&amp;EOMONTH(DATE(ano_ref,1,1),0))&gt;0,"✔",IF(AND(ISNUMBER(Planos!$G118),IFERROR(INDEX(lst_frequencia_meses,MATCH(Planos!$E118,lst_frequencia,0)),0)&gt;0,(ano_ref*12+1)-(YEAR(Planos!$G118)*12+MONTH(Planos!$G118))&gt;0,MOD((ano_ref*12+1)-(YEAR(Planos!$G118)*12+MONTH(Planos!$G118)),MAX(1,IFERROR(INDEX(lst_frequencia_meses,MATCH(Planos!$E118,lst_frequencia,0)),0)))=0),"●","")))</f>
      </c>
      <c r="E119" s="43">
        <f>IF(NOT(Planos!$A118&lt;&gt;""),"",IF(COUNTIFS(Programação!$B$4:$B$503,Planos!$A118,Programação!$I$4:$I$503,"Concluído",Programação!$G$4:$G$503,"&gt;="&amp;DATE(ano_ref,2,1),Programação!$G$4:$G$503,"&lt;="&amp;EOMONTH(DATE(ano_ref,2,1),0))&gt;0,"✔",IF(AND(ISNUMBER(Planos!$G118),IFERROR(INDEX(lst_frequencia_meses,MATCH(Planos!$E118,lst_frequencia,0)),0)&gt;0,(ano_ref*12+2)-(YEAR(Planos!$G118)*12+MONTH(Planos!$G118))&gt;0,MOD((ano_ref*12+2)-(YEAR(Planos!$G118)*12+MONTH(Planos!$G118)),MAX(1,IFERROR(INDEX(lst_frequencia_meses,MATCH(Planos!$E118,lst_frequencia,0)),0)))=0),"●","")))</f>
      </c>
      <c r="F119" s="43">
        <f>IF(NOT(Planos!$A118&lt;&gt;""),"",IF(COUNTIFS(Programação!$B$4:$B$503,Planos!$A118,Programação!$I$4:$I$503,"Concluído",Programação!$G$4:$G$503,"&gt;="&amp;DATE(ano_ref,3,1),Programação!$G$4:$G$503,"&lt;="&amp;EOMONTH(DATE(ano_ref,3,1),0))&gt;0,"✔",IF(AND(ISNUMBER(Planos!$G118),IFERROR(INDEX(lst_frequencia_meses,MATCH(Planos!$E118,lst_frequencia,0)),0)&gt;0,(ano_ref*12+3)-(YEAR(Planos!$G118)*12+MONTH(Planos!$G118))&gt;0,MOD((ano_ref*12+3)-(YEAR(Planos!$G118)*12+MONTH(Planos!$G118)),MAX(1,IFERROR(INDEX(lst_frequencia_meses,MATCH(Planos!$E118,lst_frequencia,0)),0)))=0),"●","")))</f>
      </c>
      <c r="G119" s="43">
        <f>IF(NOT(Planos!$A118&lt;&gt;""),"",IF(COUNTIFS(Programação!$B$4:$B$503,Planos!$A118,Programação!$I$4:$I$503,"Concluído",Programação!$G$4:$G$503,"&gt;="&amp;DATE(ano_ref,4,1),Programação!$G$4:$G$503,"&lt;="&amp;EOMONTH(DATE(ano_ref,4,1),0))&gt;0,"✔",IF(AND(ISNUMBER(Planos!$G118),IFERROR(INDEX(lst_frequencia_meses,MATCH(Planos!$E118,lst_frequencia,0)),0)&gt;0,(ano_ref*12+4)-(YEAR(Planos!$G118)*12+MONTH(Planos!$G118))&gt;0,MOD((ano_ref*12+4)-(YEAR(Planos!$G118)*12+MONTH(Planos!$G118)),MAX(1,IFERROR(INDEX(lst_frequencia_meses,MATCH(Planos!$E118,lst_frequencia,0)),0)))=0),"●","")))</f>
      </c>
      <c r="H119" s="43">
        <f>IF(NOT(Planos!$A118&lt;&gt;""),"",IF(COUNTIFS(Programação!$B$4:$B$503,Planos!$A118,Programação!$I$4:$I$503,"Concluído",Programação!$G$4:$G$503,"&gt;="&amp;DATE(ano_ref,5,1),Programação!$G$4:$G$503,"&lt;="&amp;EOMONTH(DATE(ano_ref,5,1),0))&gt;0,"✔",IF(AND(ISNUMBER(Planos!$G118),IFERROR(INDEX(lst_frequencia_meses,MATCH(Planos!$E118,lst_frequencia,0)),0)&gt;0,(ano_ref*12+5)-(YEAR(Planos!$G118)*12+MONTH(Planos!$G118))&gt;0,MOD((ano_ref*12+5)-(YEAR(Planos!$G118)*12+MONTH(Planos!$G118)),MAX(1,IFERROR(INDEX(lst_frequencia_meses,MATCH(Planos!$E118,lst_frequencia,0)),0)))=0),"●","")))</f>
      </c>
      <c r="I119" s="43">
        <f>IF(NOT(Planos!$A118&lt;&gt;""),"",IF(COUNTIFS(Programação!$B$4:$B$503,Planos!$A118,Programação!$I$4:$I$503,"Concluído",Programação!$G$4:$G$503,"&gt;="&amp;DATE(ano_ref,6,1),Programação!$G$4:$G$503,"&lt;="&amp;EOMONTH(DATE(ano_ref,6,1),0))&gt;0,"✔",IF(AND(ISNUMBER(Planos!$G118),IFERROR(INDEX(lst_frequencia_meses,MATCH(Planos!$E118,lst_frequencia,0)),0)&gt;0,(ano_ref*12+6)-(YEAR(Planos!$G118)*12+MONTH(Planos!$G118))&gt;0,MOD((ano_ref*12+6)-(YEAR(Planos!$G118)*12+MONTH(Planos!$G118)),MAX(1,IFERROR(INDEX(lst_frequencia_meses,MATCH(Planos!$E118,lst_frequencia,0)),0)))=0),"●","")))</f>
      </c>
      <c r="J119" s="43">
        <f>IF(NOT(Planos!$A118&lt;&gt;""),"",IF(COUNTIFS(Programação!$B$4:$B$503,Planos!$A118,Programação!$I$4:$I$503,"Concluído",Programação!$G$4:$G$503,"&gt;="&amp;DATE(ano_ref,7,1),Programação!$G$4:$G$503,"&lt;="&amp;EOMONTH(DATE(ano_ref,7,1),0))&gt;0,"✔",IF(AND(ISNUMBER(Planos!$G118),IFERROR(INDEX(lst_frequencia_meses,MATCH(Planos!$E118,lst_frequencia,0)),0)&gt;0,(ano_ref*12+7)-(YEAR(Planos!$G118)*12+MONTH(Planos!$G118))&gt;0,MOD((ano_ref*12+7)-(YEAR(Planos!$G118)*12+MONTH(Planos!$G118)),MAX(1,IFERROR(INDEX(lst_frequencia_meses,MATCH(Planos!$E118,lst_frequencia,0)),0)))=0),"●","")))</f>
      </c>
      <c r="K119" s="43">
        <f>IF(NOT(Planos!$A118&lt;&gt;""),"",IF(COUNTIFS(Programação!$B$4:$B$503,Planos!$A118,Programação!$I$4:$I$503,"Concluído",Programação!$G$4:$G$503,"&gt;="&amp;DATE(ano_ref,8,1),Programação!$G$4:$G$503,"&lt;="&amp;EOMONTH(DATE(ano_ref,8,1),0))&gt;0,"✔",IF(AND(ISNUMBER(Planos!$G118),IFERROR(INDEX(lst_frequencia_meses,MATCH(Planos!$E118,lst_frequencia,0)),0)&gt;0,(ano_ref*12+8)-(YEAR(Planos!$G118)*12+MONTH(Planos!$G118))&gt;0,MOD((ano_ref*12+8)-(YEAR(Planos!$G118)*12+MONTH(Planos!$G118)),MAX(1,IFERROR(INDEX(lst_frequencia_meses,MATCH(Planos!$E118,lst_frequencia,0)),0)))=0),"●","")))</f>
      </c>
      <c r="L119" s="43">
        <f>IF(NOT(Planos!$A118&lt;&gt;""),"",IF(COUNTIFS(Programação!$B$4:$B$503,Planos!$A118,Programação!$I$4:$I$503,"Concluído",Programação!$G$4:$G$503,"&gt;="&amp;DATE(ano_ref,9,1),Programação!$G$4:$G$503,"&lt;="&amp;EOMONTH(DATE(ano_ref,9,1),0))&gt;0,"✔",IF(AND(ISNUMBER(Planos!$G118),IFERROR(INDEX(lst_frequencia_meses,MATCH(Planos!$E118,lst_frequencia,0)),0)&gt;0,(ano_ref*12+9)-(YEAR(Planos!$G118)*12+MONTH(Planos!$G118))&gt;0,MOD((ano_ref*12+9)-(YEAR(Planos!$G118)*12+MONTH(Planos!$G118)),MAX(1,IFERROR(INDEX(lst_frequencia_meses,MATCH(Planos!$E118,lst_frequencia,0)),0)))=0),"●","")))</f>
      </c>
      <c r="M119" s="43">
        <f>IF(NOT(Planos!$A118&lt;&gt;""),"",IF(COUNTIFS(Programação!$B$4:$B$503,Planos!$A118,Programação!$I$4:$I$503,"Concluído",Programação!$G$4:$G$503,"&gt;="&amp;DATE(ano_ref,10,1),Programação!$G$4:$G$503,"&lt;="&amp;EOMONTH(DATE(ano_ref,10,1),0))&gt;0,"✔",IF(AND(ISNUMBER(Planos!$G118),IFERROR(INDEX(lst_frequencia_meses,MATCH(Planos!$E118,lst_frequencia,0)),0)&gt;0,(ano_ref*12+10)-(YEAR(Planos!$G118)*12+MONTH(Planos!$G118))&gt;0,MOD((ano_ref*12+10)-(YEAR(Planos!$G118)*12+MONTH(Planos!$G118)),MAX(1,IFERROR(INDEX(lst_frequencia_meses,MATCH(Planos!$E118,lst_frequencia,0)),0)))=0),"●","")))</f>
      </c>
      <c r="N119" s="43">
        <f>IF(NOT(Planos!$A118&lt;&gt;""),"",IF(COUNTIFS(Programação!$B$4:$B$503,Planos!$A118,Programação!$I$4:$I$503,"Concluído",Programação!$G$4:$G$503,"&gt;="&amp;DATE(ano_ref,11,1),Programação!$G$4:$G$503,"&lt;="&amp;EOMONTH(DATE(ano_ref,11,1),0))&gt;0,"✔",IF(AND(ISNUMBER(Planos!$G118),IFERROR(INDEX(lst_frequencia_meses,MATCH(Planos!$E118,lst_frequencia,0)),0)&gt;0,(ano_ref*12+11)-(YEAR(Planos!$G118)*12+MONTH(Planos!$G118))&gt;0,MOD((ano_ref*12+11)-(YEAR(Planos!$G118)*12+MONTH(Planos!$G118)),MAX(1,IFERROR(INDEX(lst_frequencia_meses,MATCH(Planos!$E118,lst_frequencia,0)),0)))=0),"●","")))</f>
      </c>
      <c r="O119" s="43">
        <f>IF(NOT(Planos!$A118&lt;&gt;""),"",IF(COUNTIFS(Programação!$B$4:$B$503,Planos!$A118,Programação!$I$4:$I$503,"Concluído",Programação!$G$4:$G$503,"&gt;="&amp;DATE(ano_ref,12,1),Programação!$G$4:$G$503,"&lt;="&amp;EOMONTH(DATE(ano_ref,12,1),0))&gt;0,"✔",IF(AND(ISNUMBER(Planos!$G118),IFERROR(INDEX(lst_frequencia_meses,MATCH(Planos!$E118,lst_frequencia,0)),0)&gt;0,(ano_ref*12+12)-(YEAR(Planos!$G118)*12+MONTH(Planos!$G118))&gt;0,MOD((ano_ref*12+12)-(YEAR(Planos!$G118)*12+MONTH(Planos!$G118)),MAX(1,IFERROR(INDEX(lst_frequencia_meses,MATCH(Planos!$E118,lst_frequencia,0)),0)))=0),"●","")))</f>
      </c>
      <c r="P119" s="44">
        <f>IF(COUNTIF(D119:O119,"✔")+COUNTIF(D119:O119,"●")=0,"",COUNTIF(D119:O119,"✔")/(COUNTIF(D119:O119,"✔")+COUNTIF(D119:O119,"●")))</f>
      </c>
    </row>
    <row r="120" spans="1:16" x14ac:dyDescent="0.25">
      <c r="A120" s="43">
        <f>IF(Planos!$A119&lt;&gt;"",Planos!A119&amp;"","")</f>
      </c>
      <c r="B120" s="43">
        <f>IF(Planos!$A119&lt;&gt;"",Planos!B119&amp;"","")</f>
      </c>
      <c r="C120" s="24">
        <f>IF(Planos!$A119&lt;&gt;"",Planos!C119&amp;"","")</f>
      </c>
      <c r="D120" s="43">
        <f>IF(NOT(Planos!$A119&lt;&gt;""),"",IF(COUNTIFS(Programação!$B$4:$B$503,Planos!$A119,Programação!$I$4:$I$503,"Concluído",Programação!$G$4:$G$503,"&gt;="&amp;DATE(ano_ref,1,1),Programação!$G$4:$G$503,"&lt;="&amp;EOMONTH(DATE(ano_ref,1,1),0))&gt;0,"✔",IF(AND(ISNUMBER(Planos!$G119),IFERROR(INDEX(lst_frequencia_meses,MATCH(Planos!$E119,lst_frequencia,0)),0)&gt;0,(ano_ref*12+1)-(YEAR(Planos!$G119)*12+MONTH(Planos!$G119))&gt;0,MOD((ano_ref*12+1)-(YEAR(Planos!$G119)*12+MONTH(Planos!$G119)),MAX(1,IFERROR(INDEX(lst_frequencia_meses,MATCH(Planos!$E119,lst_frequencia,0)),0)))=0),"●","")))</f>
      </c>
      <c r="E120" s="43">
        <f>IF(NOT(Planos!$A119&lt;&gt;""),"",IF(COUNTIFS(Programação!$B$4:$B$503,Planos!$A119,Programação!$I$4:$I$503,"Concluído",Programação!$G$4:$G$503,"&gt;="&amp;DATE(ano_ref,2,1),Programação!$G$4:$G$503,"&lt;="&amp;EOMONTH(DATE(ano_ref,2,1),0))&gt;0,"✔",IF(AND(ISNUMBER(Planos!$G119),IFERROR(INDEX(lst_frequencia_meses,MATCH(Planos!$E119,lst_frequencia,0)),0)&gt;0,(ano_ref*12+2)-(YEAR(Planos!$G119)*12+MONTH(Planos!$G119))&gt;0,MOD((ano_ref*12+2)-(YEAR(Planos!$G119)*12+MONTH(Planos!$G119)),MAX(1,IFERROR(INDEX(lst_frequencia_meses,MATCH(Planos!$E119,lst_frequencia,0)),0)))=0),"●","")))</f>
      </c>
      <c r="F120" s="43">
        <f>IF(NOT(Planos!$A119&lt;&gt;""),"",IF(COUNTIFS(Programação!$B$4:$B$503,Planos!$A119,Programação!$I$4:$I$503,"Concluído",Programação!$G$4:$G$503,"&gt;="&amp;DATE(ano_ref,3,1),Programação!$G$4:$G$503,"&lt;="&amp;EOMONTH(DATE(ano_ref,3,1),0))&gt;0,"✔",IF(AND(ISNUMBER(Planos!$G119),IFERROR(INDEX(lst_frequencia_meses,MATCH(Planos!$E119,lst_frequencia,0)),0)&gt;0,(ano_ref*12+3)-(YEAR(Planos!$G119)*12+MONTH(Planos!$G119))&gt;0,MOD((ano_ref*12+3)-(YEAR(Planos!$G119)*12+MONTH(Planos!$G119)),MAX(1,IFERROR(INDEX(lst_frequencia_meses,MATCH(Planos!$E119,lst_frequencia,0)),0)))=0),"●","")))</f>
      </c>
      <c r="G120" s="43">
        <f>IF(NOT(Planos!$A119&lt;&gt;""),"",IF(COUNTIFS(Programação!$B$4:$B$503,Planos!$A119,Programação!$I$4:$I$503,"Concluído",Programação!$G$4:$G$503,"&gt;="&amp;DATE(ano_ref,4,1),Programação!$G$4:$G$503,"&lt;="&amp;EOMONTH(DATE(ano_ref,4,1),0))&gt;0,"✔",IF(AND(ISNUMBER(Planos!$G119),IFERROR(INDEX(lst_frequencia_meses,MATCH(Planos!$E119,lst_frequencia,0)),0)&gt;0,(ano_ref*12+4)-(YEAR(Planos!$G119)*12+MONTH(Planos!$G119))&gt;0,MOD((ano_ref*12+4)-(YEAR(Planos!$G119)*12+MONTH(Planos!$G119)),MAX(1,IFERROR(INDEX(lst_frequencia_meses,MATCH(Planos!$E119,lst_frequencia,0)),0)))=0),"●","")))</f>
      </c>
      <c r="H120" s="43">
        <f>IF(NOT(Planos!$A119&lt;&gt;""),"",IF(COUNTIFS(Programação!$B$4:$B$503,Planos!$A119,Programação!$I$4:$I$503,"Concluído",Programação!$G$4:$G$503,"&gt;="&amp;DATE(ano_ref,5,1),Programação!$G$4:$G$503,"&lt;="&amp;EOMONTH(DATE(ano_ref,5,1),0))&gt;0,"✔",IF(AND(ISNUMBER(Planos!$G119),IFERROR(INDEX(lst_frequencia_meses,MATCH(Planos!$E119,lst_frequencia,0)),0)&gt;0,(ano_ref*12+5)-(YEAR(Planos!$G119)*12+MONTH(Planos!$G119))&gt;0,MOD((ano_ref*12+5)-(YEAR(Planos!$G119)*12+MONTH(Planos!$G119)),MAX(1,IFERROR(INDEX(lst_frequencia_meses,MATCH(Planos!$E119,lst_frequencia,0)),0)))=0),"●","")))</f>
      </c>
      <c r="I120" s="43">
        <f>IF(NOT(Planos!$A119&lt;&gt;""),"",IF(COUNTIFS(Programação!$B$4:$B$503,Planos!$A119,Programação!$I$4:$I$503,"Concluído",Programação!$G$4:$G$503,"&gt;="&amp;DATE(ano_ref,6,1),Programação!$G$4:$G$503,"&lt;="&amp;EOMONTH(DATE(ano_ref,6,1),0))&gt;0,"✔",IF(AND(ISNUMBER(Planos!$G119),IFERROR(INDEX(lst_frequencia_meses,MATCH(Planos!$E119,lst_frequencia,0)),0)&gt;0,(ano_ref*12+6)-(YEAR(Planos!$G119)*12+MONTH(Planos!$G119))&gt;0,MOD((ano_ref*12+6)-(YEAR(Planos!$G119)*12+MONTH(Planos!$G119)),MAX(1,IFERROR(INDEX(lst_frequencia_meses,MATCH(Planos!$E119,lst_frequencia,0)),0)))=0),"●","")))</f>
      </c>
      <c r="J120" s="43">
        <f>IF(NOT(Planos!$A119&lt;&gt;""),"",IF(COUNTIFS(Programação!$B$4:$B$503,Planos!$A119,Programação!$I$4:$I$503,"Concluído",Programação!$G$4:$G$503,"&gt;="&amp;DATE(ano_ref,7,1),Programação!$G$4:$G$503,"&lt;="&amp;EOMONTH(DATE(ano_ref,7,1),0))&gt;0,"✔",IF(AND(ISNUMBER(Planos!$G119),IFERROR(INDEX(lst_frequencia_meses,MATCH(Planos!$E119,lst_frequencia,0)),0)&gt;0,(ano_ref*12+7)-(YEAR(Planos!$G119)*12+MONTH(Planos!$G119))&gt;0,MOD((ano_ref*12+7)-(YEAR(Planos!$G119)*12+MONTH(Planos!$G119)),MAX(1,IFERROR(INDEX(lst_frequencia_meses,MATCH(Planos!$E119,lst_frequencia,0)),0)))=0),"●","")))</f>
      </c>
      <c r="K120" s="43">
        <f>IF(NOT(Planos!$A119&lt;&gt;""),"",IF(COUNTIFS(Programação!$B$4:$B$503,Planos!$A119,Programação!$I$4:$I$503,"Concluído",Programação!$G$4:$G$503,"&gt;="&amp;DATE(ano_ref,8,1),Programação!$G$4:$G$503,"&lt;="&amp;EOMONTH(DATE(ano_ref,8,1),0))&gt;0,"✔",IF(AND(ISNUMBER(Planos!$G119),IFERROR(INDEX(lst_frequencia_meses,MATCH(Planos!$E119,lst_frequencia,0)),0)&gt;0,(ano_ref*12+8)-(YEAR(Planos!$G119)*12+MONTH(Planos!$G119))&gt;0,MOD((ano_ref*12+8)-(YEAR(Planos!$G119)*12+MONTH(Planos!$G119)),MAX(1,IFERROR(INDEX(lst_frequencia_meses,MATCH(Planos!$E119,lst_frequencia,0)),0)))=0),"●","")))</f>
      </c>
      <c r="L120" s="43">
        <f>IF(NOT(Planos!$A119&lt;&gt;""),"",IF(COUNTIFS(Programação!$B$4:$B$503,Planos!$A119,Programação!$I$4:$I$503,"Concluído",Programação!$G$4:$G$503,"&gt;="&amp;DATE(ano_ref,9,1),Programação!$G$4:$G$503,"&lt;="&amp;EOMONTH(DATE(ano_ref,9,1),0))&gt;0,"✔",IF(AND(ISNUMBER(Planos!$G119),IFERROR(INDEX(lst_frequencia_meses,MATCH(Planos!$E119,lst_frequencia,0)),0)&gt;0,(ano_ref*12+9)-(YEAR(Planos!$G119)*12+MONTH(Planos!$G119))&gt;0,MOD((ano_ref*12+9)-(YEAR(Planos!$G119)*12+MONTH(Planos!$G119)),MAX(1,IFERROR(INDEX(lst_frequencia_meses,MATCH(Planos!$E119,lst_frequencia,0)),0)))=0),"●","")))</f>
      </c>
      <c r="M120" s="43">
        <f>IF(NOT(Planos!$A119&lt;&gt;""),"",IF(COUNTIFS(Programação!$B$4:$B$503,Planos!$A119,Programação!$I$4:$I$503,"Concluído",Programação!$G$4:$G$503,"&gt;="&amp;DATE(ano_ref,10,1),Programação!$G$4:$G$503,"&lt;="&amp;EOMONTH(DATE(ano_ref,10,1),0))&gt;0,"✔",IF(AND(ISNUMBER(Planos!$G119),IFERROR(INDEX(lst_frequencia_meses,MATCH(Planos!$E119,lst_frequencia,0)),0)&gt;0,(ano_ref*12+10)-(YEAR(Planos!$G119)*12+MONTH(Planos!$G119))&gt;0,MOD((ano_ref*12+10)-(YEAR(Planos!$G119)*12+MONTH(Planos!$G119)),MAX(1,IFERROR(INDEX(lst_frequencia_meses,MATCH(Planos!$E119,lst_frequencia,0)),0)))=0),"●","")))</f>
      </c>
      <c r="N120" s="43">
        <f>IF(NOT(Planos!$A119&lt;&gt;""),"",IF(COUNTIFS(Programação!$B$4:$B$503,Planos!$A119,Programação!$I$4:$I$503,"Concluído",Programação!$G$4:$G$503,"&gt;="&amp;DATE(ano_ref,11,1),Programação!$G$4:$G$503,"&lt;="&amp;EOMONTH(DATE(ano_ref,11,1),0))&gt;0,"✔",IF(AND(ISNUMBER(Planos!$G119),IFERROR(INDEX(lst_frequencia_meses,MATCH(Planos!$E119,lst_frequencia,0)),0)&gt;0,(ano_ref*12+11)-(YEAR(Planos!$G119)*12+MONTH(Planos!$G119))&gt;0,MOD((ano_ref*12+11)-(YEAR(Planos!$G119)*12+MONTH(Planos!$G119)),MAX(1,IFERROR(INDEX(lst_frequencia_meses,MATCH(Planos!$E119,lst_frequencia,0)),0)))=0),"●","")))</f>
      </c>
      <c r="O120" s="43">
        <f>IF(NOT(Planos!$A119&lt;&gt;""),"",IF(COUNTIFS(Programação!$B$4:$B$503,Planos!$A119,Programação!$I$4:$I$503,"Concluído",Programação!$G$4:$G$503,"&gt;="&amp;DATE(ano_ref,12,1),Programação!$G$4:$G$503,"&lt;="&amp;EOMONTH(DATE(ano_ref,12,1),0))&gt;0,"✔",IF(AND(ISNUMBER(Planos!$G119),IFERROR(INDEX(lst_frequencia_meses,MATCH(Planos!$E119,lst_frequencia,0)),0)&gt;0,(ano_ref*12+12)-(YEAR(Planos!$G119)*12+MONTH(Planos!$G119))&gt;0,MOD((ano_ref*12+12)-(YEAR(Planos!$G119)*12+MONTH(Planos!$G119)),MAX(1,IFERROR(INDEX(lst_frequencia_meses,MATCH(Planos!$E119,lst_frequencia,0)),0)))=0),"●","")))</f>
      </c>
      <c r="P120" s="44">
        <f>IF(COUNTIF(D120:O120,"✔")+COUNTIF(D120:O120,"●")=0,"",COUNTIF(D120:O120,"✔")/(COUNTIF(D120:O120,"✔")+COUNTIF(D120:O120,"●")))</f>
      </c>
    </row>
    <row r="121" spans="1:16" x14ac:dyDescent="0.25">
      <c r="A121" s="43">
        <f>IF(Planos!$A120&lt;&gt;"",Planos!A120&amp;"","")</f>
      </c>
      <c r="B121" s="43">
        <f>IF(Planos!$A120&lt;&gt;"",Planos!B120&amp;"","")</f>
      </c>
      <c r="C121" s="24">
        <f>IF(Planos!$A120&lt;&gt;"",Planos!C120&amp;"","")</f>
      </c>
      <c r="D121" s="43">
        <f>IF(NOT(Planos!$A120&lt;&gt;""),"",IF(COUNTIFS(Programação!$B$4:$B$503,Planos!$A120,Programação!$I$4:$I$503,"Concluído",Programação!$G$4:$G$503,"&gt;="&amp;DATE(ano_ref,1,1),Programação!$G$4:$G$503,"&lt;="&amp;EOMONTH(DATE(ano_ref,1,1),0))&gt;0,"✔",IF(AND(ISNUMBER(Planos!$G120),IFERROR(INDEX(lst_frequencia_meses,MATCH(Planos!$E120,lst_frequencia,0)),0)&gt;0,(ano_ref*12+1)-(YEAR(Planos!$G120)*12+MONTH(Planos!$G120))&gt;0,MOD((ano_ref*12+1)-(YEAR(Planos!$G120)*12+MONTH(Planos!$G120)),MAX(1,IFERROR(INDEX(lst_frequencia_meses,MATCH(Planos!$E120,lst_frequencia,0)),0)))=0),"●","")))</f>
      </c>
      <c r="E121" s="43">
        <f>IF(NOT(Planos!$A120&lt;&gt;""),"",IF(COUNTIFS(Programação!$B$4:$B$503,Planos!$A120,Programação!$I$4:$I$503,"Concluído",Programação!$G$4:$G$503,"&gt;="&amp;DATE(ano_ref,2,1),Programação!$G$4:$G$503,"&lt;="&amp;EOMONTH(DATE(ano_ref,2,1),0))&gt;0,"✔",IF(AND(ISNUMBER(Planos!$G120),IFERROR(INDEX(lst_frequencia_meses,MATCH(Planos!$E120,lst_frequencia,0)),0)&gt;0,(ano_ref*12+2)-(YEAR(Planos!$G120)*12+MONTH(Planos!$G120))&gt;0,MOD((ano_ref*12+2)-(YEAR(Planos!$G120)*12+MONTH(Planos!$G120)),MAX(1,IFERROR(INDEX(lst_frequencia_meses,MATCH(Planos!$E120,lst_frequencia,0)),0)))=0),"●","")))</f>
      </c>
      <c r="F121" s="43">
        <f>IF(NOT(Planos!$A120&lt;&gt;""),"",IF(COUNTIFS(Programação!$B$4:$B$503,Planos!$A120,Programação!$I$4:$I$503,"Concluído",Programação!$G$4:$G$503,"&gt;="&amp;DATE(ano_ref,3,1),Programação!$G$4:$G$503,"&lt;="&amp;EOMONTH(DATE(ano_ref,3,1),0))&gt;0,"✔",IF(AND(ISNUMBER(Planos!$G120),IFERROR(INDEX(lst_frequencia_meses,MATCH(Planos!$E120,lst_frequencia,0)),0)&gt;0,(ano_ref*12+3)-(YEAR(Planos!$G120)*12+MONTH(Planos!$G120))&gt;0,MOD((ano_ref*12+3)-(YEAR(Planos!$G120)*12+MONTH(Planos!$G120)),MAX(1,IFERROR(INDEX(lst_frequencia_meses,MATCH(Planos!$E120,lst_frequencia,0)),0)))=0),"●","")))</f>
      </c>
      <c r="G121" s="43">
        <f>IF(NOT(Planos!$A120&lt;&gt;""),"",IF(COUNTIFS(Programação!$B$4:$B$503,Planos!$A120,Programação!$I$4:$I$503,"Concluído",Programação!$G$4:$G$503,"&gt;="&amp;DATE(ano_ref,4,1),Programação!$G$4:$G$503,"&lt;="&amp;EOMONTH(DATE(ano_ref,4,1),0))&gt;0,"✔",IF(AND(ISNUMBER(Planos!$G120),IFERROR(INDEX(lst_frequencia_meses,MATCH(Planos!$E120,lst_frequencia,0)),0)&gt;0,(ano_ref*12+4)-(YEAR(Planos!$G120)*12+MONTH(Planos!$G120))&gt;0,MOD((ano_ref*12+4)-(YEAR(Planos!$G120)*12+MONTH(Planos!$G120)),MAX(1,IFERROR(INDEX(lst_frequencia_meses,MATCH(Planos!$E120,lst_frequencia,0)),0)))=0),"●","")))</f>
      </c>
      <c r="H121" s="43">
        <f>IF(NOT(Planos!$A120&lt;&gt;""),"",IF(COUNTIFS(Programação!$B$4:$B$503,Planos!$A120,Programação!$I$4:$I$503,"Concluído",Programação!$G$4:$G$503,"&gt;="&amp;DATE(ano_ref,5,1),Programação!$G$4:$G$503,"&lt;="&amp;EOMONTH(DATE(ano_ref,5,1),0))&gt;0,"✔",IF(AND(ISNUMBER(Planos!$G120),IFERROR(INDEX(lst_frequencia_meses,MATCH(Planos!$E120,lst_frequencia,0)),0)&gt;0,(ano_ref*12+5)-(YEAR(Planos!$G120)*12+MONTH(Planos!$G120))&gt;0,MOD((ano_ref*12+5)-(YEAR(Planos!$G120)*12+MONTH(Planos!$G120)),MAX(1,IFERROR(INDEX(lst_frequencia_meses,MATCH(Planos!$E120,lst_frequencia,0)),0)))=0),"●","")))</f>
      </c>
      <c r="I121" s="43">
        <f>IF(NOT(Planos!$A120&lt;&gt;""),"",IF(COUNTIFS(Programação!$B$4:$B$503,Planos!$A120,Programação!$I$4:$I$503,"Concluído",Programação!$G$4:$G$503,"&gt;="&amp;DATE(ano_ref,6,1),Programação!$G$4:$G$503,"&lt;="&amp;EOMONTH(DATE(ano_ref,6,1),0))&gt;0,"✔",IF(AND(ISNUMBER(Planos!$G120),IFERROR(INDEX(lst_frequencia_meses,MATCH(Planos!$E120,lst_frequencia,0)),0)&gt;0,(ano_ref*12+6)-(YEAR(Planos!$G120)*12+MONTH(Planos!$G120))&gt;0,MOD((ano_ref*12+6)-(YEAR(Planos!$G120)*12+MONTH(Planos!$G120)),MAX(1,IFERROR(INDEX(lst_frequencia_meses,MATCH(Planos!$E120,lst_frequencia,0)),0)))=0),"●","")))</f>
      </c>
      <c r="J121" s="43">
        <f>IF(NOT(Planos!$A120&lt;&gt;""),"",IF(COUNTIFS(Programação!$B$4:$B$503,Planos!$A120,Programação!$I$4:$I$503,"Concluído",Programação!$G$4:$G$503,"&gt;="&amp;DATE(ano_ref,7,1),Programação!$G$4:$G$503,"&lt;="&amp;EOMONTH(DATE(ano_ref,7,1),0))&gt;0,"✔",IF(AND(ISNUMBER(Planos!$G120),IFERROR(INDEX(lst_frequencia_meses,MATCH(Planos!$E120,lst_frequencia,0)),0)&gt;0,(ano_ref*12+7)-(YEAR(Planos!$G120)*12+MONTH(Planos!$G120))&gt;0,MOD((ano_ref*12+7)-(YEAR(Planos!$G120)*12+MONTH(Planos!$G120)),MAX(1,IFERROR(INDEX(lst_frequencia_meses,MATCH(Planos!$E120,lst_frequencia,0)),0)))=0),"●","")))</f>
      </c>
      <c r="K121" s="43">
        <f>IF(NOT(Planos!$A120&lt;&gt;""),"",IF(COUNTIFS(Programação!$B$4:$B$503,Planos!$A120,Programação!$I$4:$I$503,"Concluído",Programação!$G$4:$G$503,"&gt;="&amp;DATE(ano_ref,8,1),Programação!$G$4:$G$503,"&lt;="&amp;EOMONTH(DATE(ano_ref,8,1),0))&gt;0,"✔",IF(AND(ISNUMBER(Planos!$G120),IFERROR(INDEX(lst_frequencia_meses,MATCH(Planos!$E120,lst_frequencia,0)),0)&gt;0,(ano_ref*12+8)-(YEAR(Planos!$G120)*12+MONTH(Planos!$G120))&gt;0,MOD((ano_ref*12+8)-(YEAR(Planos!$G120)*12+MONTH(Planos!$G120)),MAX(1,IFERROR(INDEX(lst_frequencia_meses,MATCH(Planos!$E120,lst_frequencia,0)),0)))=0),"●","")))</f>
      </c>
      <c r="L121" s="43">
        <f>IF(NOT(Planos!$A120&lt;&gt;""),"",IF(COUNTIFS(Programação!$B$4:$B$503,Planos!$A120,Programação!$I$4:$I$503,"Concluído",Programação!$G$4:$G$503,"&gt;="&amp;DATE(ano_ref,9,1),Programação!$G$4:$G$503,"&lt;="&amp;EOMONTH(DATE(ano_ref,9,1),0))&gt;0,"✔",IF(AND(ISNUMBER(Planos!$G120),IFERROR(INDEX(lst_frequencia_meses,MATCH(Planos!$E120,lst_frequencia,0)),0)&gt;0,(ano_ref*12+9)-(YEAR(Planos!$G120)*12+MONTH(Planos!$G120))&gt;0,MOD((ano_ref*12+9)-(YEAR(Planos!$G120)*12+MONTH(Planos!$G120)),MAX(1,IFERROR(INDEX(lst_frequencia_meses,MATCH(Planos!$E120,lst_frequencia,0)),0)))=0),"●","")))</f>
      </c>
      <c r="M121" s="43">
        <f>IF(NOT(Planos!$A120&lt;&gt;""),"",IF(COUNTIFS(Programação!$B$4:$B$503,Planos!$A120,Programação!$I$4:$I$503,"Concluído",Programação!$G$4:$G$503,"&gt;="&amp;DATE(ano_ref,10,1),Programação!$G$4:$G$503,"&lt;="&amp;EOMONTH(DATE(ano_ref,10,1),0))&gt;0,"✔",IF(AND(ISNUMBER(Planos!$G120),IFERROR(INDEX(lst_frequencia_meses,MATCH(Planos!$E120,lst_frequencia,0)),0)&gt;0,(ano_ref*12+10)-(YEAR(Planos!$G120)*12+MONTH(Planos!$G120))&gt;0,MOD((ano_ref*12+10)-(YEAR(Planos!$G120)*12+MONTH(Planos!$G120)),MAX(1,IFERROR(INDEX(lst_frequencia_meses,MATCH(Planos!$E120,lst_frequencia,0)),0)))=0),"●","")))</f>
      </c>
      <c r="N121" s="43">
        <f>IF(NOT(Planos!$A120&lt;&gt;""),"",IF(COUNTIFS(Programação!$B$4:$B$503,Planos!$A120,Programação!$I$4:$I$503,"Concluído",Programação!$G$4:$G$503,"&gt;="&amp;DATE(ano_ref,11,1),Programação!$G$4:$G$503,"&lt;="&amp;EOMONTH(DATE(ano_ref,11,1),0))&gt;0,"✔",IF(AND(ISNUMBER(Planos!$G120),IFERROR(INDEX(lst_frequencia_meses,MATCH(Planos!$E120,lst_frequencia,0)),0)&gt;0,(ano_ref*12+11)-(YEAR(Planos!$G120)*12+MONTH(Planos!$G120))&gt;0,MOD((ano_ref*12+11)-(YEAR(Planos!$G120)*12+MONTH(Planos!$G120)),MAX(1,IFERROR(INDEX(lst_frequencia_meses,MATCH(Planos!$E120,lst_frequencia,0)),0)))=0),"●","")))</f>
      </c>
      <c r="O121" s="43">
        <f>IF(NOT(Planos!$A120&lt;&gt;""),"",IF(COUNTIFS(Programação!$B$4:$B$503,Planos!$A120,Programação!$I$4:$I$503,"Concluído",Programação!$G$4:$G$503,"&gt;="&amp;DATE(ano_ref,12,1),Programação!$G$4:$G$503,"&lt;="&amp;EOMONTH(DATE(ano_ref,12,1),0))&gt;0,"✔",IF(AND(ISNUMBER(Planos!$G120),IFERROR(INDEX(lst_frequencia_meses,MATCH(Planos!$E120,lst_frequencia,0)),0)&gt;0,(ano_ref*12+12)-(YEAR(Planos!$G120)*12+MONTH(Planos!$G120))&gt;0,MOD((ano_ref*12+12)-(YEAR(Planos!$G120)*12+MONTH(Planos!$G120)),MAX(1,IFERROR(INDEX(lst_frequencia_meses,MATCH(Planos!$E120,lst_frequencia,0)),0)))=0),"●","")))</f>
      </c>
      <c r="P121" s="44">
        <f>IF(COUNTIF(D121:O121,"✔")+COUNTIF(D121:O121,"●")=0,"",COUNTIF(D121:O121,"✔")/(COUNTIF(D121:O121,"✔")+COUNTIF(D121:O121,"●")))</f>
      </c>
    </row>
    <row r="122" spans="1:16" x14ac:dyDescent="0.25">
      <c r="A122" s="43">
        <f>IF(Planos!$A121&lt;&gt;"",Planos!A121&amp;"","")</f>
      </c>
      <c r="B122" s="43">
        <f>IF(Planos!$A121&lt;&gt;"",Planos!B121&amp;"","")</f>
      </c>
      <c r="C122" s="24">
        <f>IF(Planos!$A121&lt;&gt;"",Planos!C121&amp;"","")</f>
      </c>
      <c r="D122" s="43">
        <f>IF(NOT(Planos!$A121&lt;&gt;""),"",IF(COUNTIFS(Programação!$B$4:$B$503,Planos!$A121,Programação!$I$4:$I$503,"Concluído",Programação!$G$4:$G$503,"&gt;="&amp;DATE(ano_ref,1,1),Programação!$G$4:$G$503,"&lt;="&amp;EOMONTH(DATE(ano_ref,1,1),0))&gt;0,"✔",IF(AND(ISNUMBER(Planos!$G121),IFERROR(INDEX(lst_frequencia_meses,MATCH(Planos!$E121,lst_frequencia,0)),0)&gt;0,(ano_ref*12+1)-(YEAR(Planos!$G121)*12+MONTH(Planos!$G121))&gt;0,MOD((ano_ref*12+1)-(YEAR(Planos!$G121)*12+MONTH(Planos!$G121)),MAX(1,IFERROR(INDEX(lst_frequencia_meses,MATCH(Planos!$E121,lst_frequencia,0)),0)))=0),"●","")))</f>
      </c>
      <c r="E122" s="43">
        <f>IF(NOT(Planos!$A121&lt;&gt;""),"",IF(COUNTIFS(Programação!$B$4:$B$503,Planos!$A121,Programação!$I$4:$I$503,"Concluído",Programação!$G$4:$G$503,"&gt;="&amp;DATE(ano_ref,2,1),Programação!$G$4:$G$503,"&lt;="&amp;EOMONTH(DATE(ano_ref,2,1),0))&gt;0,"✔",IF(AND(ISNUMBER(Planos!$G121),IFERROR(INDEX(lst_frequencia_meses,MATCH(Planos!$E121,lst_frequencia,0)),0)&gt;0,(ano_ref*12+2)-(YEAR(Planos!$G121)*12+MONTH(Planos!$G121))&gt;0,MOD((ano_ref*12+2)-(YEAR(Planos!$G121)*12+MONTH(Planos!$G121)),MAX(1,IFERROR(INDEX(lst_frequencia_meses,MATCH(Planos!$E121,lst_frequencia,0)),0)))=0),"●","")))</f>
      </c>
      <c r="F122" s="43">
        <f>IF(NOT(Planos!$A121&lt;&gt;""),"",IF(COUNTIFS(Programação!$B$4:$B$503,Planos!$A121,Programação!$I$4:$I$503,"Concluído",Programação!$G$4:$G$503,"&gt;="&amp;DATE(ano_ref,3,1),Programação!$G$4:$G$503,"&lt;="&amp;EOMONTH(DATE(ano_ref,3,1),0))&gt;0,"✔",IF(AND(ISNUMBER(Planos!$G121),IFERROR(INDEX(lst_frequencia_meses,MATCH(Planos!$E121,lst_frequencia,0)),0)&gt;0,(ano_ref*12+3)-(YEAR(Planos!$G121)*12+MONTH(Planos!$G121))&gt;0,MOD((ano_ref*12+3)-(YEAR(Planos!$G121)*12+MONTH(Planos!$G121)),MAX(1,IFERROR(INDEX(lst_frequencia_meses,MATCH(Planos!$E121,lst_frequencia,0)),0)))=0),"●","")))</f>
      </c>
      <c r="G122" s="43">
        <f>IF(NOT(Planos!$A121&lt;&gt;""),"",IF(COUNTIFS(Programação!$B$4:$B$503,Planos!$A121,Programação!$I$4:$I$503,"Concluído",Programação!$G$4:$G$503,"&gt;="&amp;DATE(ano_ref,4,1),Programação!$G$4:$G$503,"&lt;="&amp;EOMONTH(DATE(ano_ref,4,1),0))&gt;0,"✔",IF(AND(ISNUMBER(Planos!$G121),IFERROR(INDEX(lst_frequencia_meses,MATCH(Planos!$E121,lst_frequencia,0)),0)&gt;0,(ano_ref*12+4)-(YEAR(Planos!$G121)*12+MONTH(Planos!$G121))&gt;0,MOD((ano_ref*12+4)-(YEAR(Planos!$G121)*12+MONTH(Planos!$G121)),MAX(1,IFERROR(INDEX(lst_frequencia_meses,MATCH(Planos!$E121,lst_frequencia,0)),0)))=0),"●","")))</f>
      </c>
      <c r="H122" s="43">
        <f>IF(NOT(Planos!$A121&lt;&gt;""),"",IF(COUNTIFS(Programação!$B$4:$B$503,Planos!$A121,Programação!$I$4:$I$503,"Concluído",Programação!$G$4:$G$503,"&gt;="&amp;DATE(ano_ref,5,1),Programação!$G$4:$G$503,"&lt;="&amp;EOMONTH(DATE(ano_ref,5,1),0))&gt;0,"✔",IF(AND(ISNUMBER(Planos!$G121),IFERROR(INDEX(lst_frequencia_meses,MATCH(Planos!$E121,lst_frequencia,0)),0)&gt;0,(ano_ref*12+5)-(YEAR(Planos!$G121)*12+MONTH(Planos!$G121))&gt;0,MOD((ano_ref*12+5)-(YEAR(Planos!$G121)*12+MONTH(Planos!$G121)),MAX(1,IFERROR(INDEX(lst_frequencia_meses,MATCH(Planos!$E121,lst_frequencia,0)),0)))=0),"●","")))</f>
      </c>
      <c r="I122" s="43">
        <f>IF(NOT(Planos!$A121&lt;&gt;""),"",IF(COUNTIFS(Programação!$B$4:$B$503,Planos!$A121,Programação!$I$4:$I$503,"Concluído",Programação!$G$4:$G$503,"&gt;="&amp;DATE(ano_ref,6,1),Programação!$G$4:$G$503,"&lt;="&amp;EOMONTH(DATE(ano_ref,6,1),0))&gt;0,"✔",IF(AND(ISNUMBER(Planos!$G121),IFERROR(INDEX(lst_frequencia_meses,MATCH(Planos!$E121,lst_frequencia,0)),0)&gt;0,(ano_ref*12+6)-(YEAR(Planos!$G121)*12+MONTH(Planos!$G121))&gt;0,MOD((ano_ref*12+6)-(YEAR(Planos!$G121)*12+MONTH(Planos!$G121)),MAX(1,IFERROR(INDEX(lst_frequencia_meses,MATCH(Planos!$E121,lst_frequencia,0)),0)))=0),"●","")))</f>
      </c>
      <c r="J122" s="43">
        <f>IF(NOT(Planos!$A121&lt;&gt;""),"",IF(COUNTIFS(Programação!$B$4:$B$503,Planos!$A121,Programação!$I$4:$I$503,"Concluído",Programação!$G$4:$G$503,"&gt;="&amp;DATE(ano_ref,7,1),Programação!$G$4:$G$503,"&lt;="&amp;EOMONTH(DATE(ano_ref,7,1),0))&gt;0,"✔",IF(AND(ISNUMBER(Planos!$G121),IFERROR(INDEX(lst_frequencia_meses,MATCH(Planos!$E121,lst_frequencia,0)),0)&gt;0,(ano_ref*12+7)-(YEAR(Planos!$G121)*12+MONTH(Planos!$G121))&gt;0,MOD((ano_ref*12+7)-(YEAR(Planos!$G121)*12+MONTH(Planos!$G121)),MAX(1,IFERROR(INDEX(lst_frequencia_meses,MATCH(Planos!$E121,lst_frequencia,0)),0)))=0),"●","")))</f>
      </c>
      <c r="K122" s="43">
        <f>IF(NOT(Planos!$A121&lt;&gt;""),"",IF(COUNTIFS(Programação!$B$4:$B$503,Planos!$A121,Programação!$I$4:$I$503,"Concluído",Programação!$G$4:$G$503,"&gt;="&amp;DATE(ano_ref,8,1),Programação!$G$4:$G$503,"&lt;="&amp;EOMONTH(DATE(ano_ref,8,1),0))&gt;0,"✔",IF(AND(ISNUMBER(Planos!$G121),IFERROR(INDEX(lst_frequencia_meses,MATCH(Planos!$E121,lst_frequencia,0)),0)&gt;0,(ano_ref*12+8)-(YEAR(Planos!$G121)*12+MONTH(Planos!$G121))&gt;0,MOD((ano_ref*12+8)-(YEAR(Planos!$G121)*12+MONTH(Planos!$G121)),MAX(1,IFERROR(INDEX(lst_frequencia_meses,MATCH(Planos!$E121,lst_frequencia,0)),0)))=0),"●","")))</f>
      </c>
      <c r="L122" s="43">
        <f>IF(NOT(Planos!$A121&lt;&gt;""),"",IF(COUNTIFS(Programação!$B$4:$B$503,Planos!$A121,Programação!$I$4:$I$503,"Concluído",Programação!$G$4:$G$503,"&gt;="&amp;DATE(ano_ref,9,1),Programação!$G$4:$G$503,"&lt;="&amp;EOMONTH(DATE(ano_ref,9,1),0))&gt;0,"✔",IF(AND(ISNUMBER(Planos!$G121),IFERROR(INDEX(lst_frequencia_meses,MATCH(Planos!$E121,lst_frequencia,0)),0)&gt;0,(ano_ref*12+9)-(YEAR(Planos!$G121)*12+MONTH(Planos!$G121))&gt;0,MOD((ano_ref*12+9)-(YEAR(Planos!$G121)*12+MONTH(Planos!$G121)),MAX(1,IFERROR(INDEX(lst_frequencia_meses,MATCH(Planos!$E121,lst_frequencia,0)),0)))=0),"●","")))</f>
      </c>
      <c r="M122" s="43">
        <f>IF(NOT(Planos!$A121&lt;&gt;""),"",IF(COUNTIFS(Programação!$B$4:$B$503,Planos!$A121,Programação!$I$4:$I$503,"Concluído",Programação!$G$4:$G$503,"&gt;="&amp;DATE(ano_ref,10,1),Programação!$G$4:$G$503,"&lt;="&amp;EOMONTH(DATE(ano_ref,10,1),0))&gt;0,"✔",IF(AND(ISNUMBER(Planos!$G121),IFERROR(INDEX(lst_frequencia_meses,MATCH(Planos!$E121,lst_frequencia,0)),0)&gt;0,(ano_ref*12+10)-(YEAR(Planos!$G121)*12+MONTH(Planos!$G121))&gt;0,MOD((ano_ref*12+10)-(YEAR(Planos!$G121)*12+MONTH(Planos!$G121)),MAX(1,IFERROR(INDEX(lst_frequencia_meses,MATCH(Planos!$E121,lst_frequencia,0)),0)))=0),"●","")))</f>
      </c>
      <c r="N122" s="43">
        <f>IF(NOT(Planos!$A121&lt;&gt;""),"",IF(COUNTIFS(Programação!$B$4:$B$503,Planos!$A121,Programação!$I$4:$I$503,"Concluído",Programação!$G$4:$G$503,"&gt;="&amp;DATE(ano_ref,11,1),Programação!$G$4:$G$503,"&lt;="&amp;EOMONTH(DATE(ano_ref,11,1),0))&gt;0,"✔",IF(AND(ISNUMBER(Planos!$G121),IFERROR(INDEX(lst_frequencia_meses,MATCH(Planos!$E121,lst_frequencia,0)),0)&gt;0,(ano_ref*12+11)-(YEAR(Planos!$G121)*12+MONTH(Planos!$G121))&gt;0,MOD((ano_ref*12+11)-(YEAR(Planos!$G121)*12+MONTH(Planos!$G121)),MAX(1,IFERROR(INDEX(lst_frequencia_meses,MATCH(Planos!$E121,lst_frequencia,0)),0)))=0),"●","")))</f>
      </c>
      <c r="O122" s="43">
        <f>IF(NOT(Planos!$A121&lt;&gt;""),"",IF(COUNTIFS(Programação!$B$4:$B$503,Planos!$A121,Programação!$I$4:$I$503,"Concluído",Programação!$G$4:$G$503,"&gt;="&amp;DATE(ano_ref,12,1),Programação!$G$4:$G$503,"&lt;="&amp;EOMONTH(DATE(ano_ref,12,1),0))&gt;0,"✔",IF(AND(ISNUMBER(Planos!$G121),IFERROR(INDEX(lst_frequencia_meses,MATCH(Planos!$E121,lst_frequencia,0)),0)&gt;0,(ano_ref*12+12)-(YEAR(Planos!$G121)*12+MONTH(Planos!$G121))&gt;0,MOD((ano_ref*12+12)-(YEAR(Planos!$G121)*12+MONTH(Planos!$G121)),MAX(1,IFERROR(INDEX(lst_frequencia_meses,MATCH(Planos!$E121,lst_frequencia,0)),0)))=0),"●","")))</f>
      </c>
      <c r="P122" s="44">
        <f>IF(COUNTIF(D122:O122,"✔")+COUNTIF(D122:O122,"●")=0,"",COUNTIF(D122:O122,"✔")/(COUNTIF(D122:O122,"✔")+COUNTIF(D122:O122,"●")))</f>
      </c>
    </row>
    <row r="123" spans="1:16" x14ac:dyDescent="0.25">
      <c r="A123" s="43">
        <f>IF(Planos!$A122&lt;&gt;"",Planos!A122&amp;"","")</f>
      </c>
      <c r="B123" s="43">
        <f>IF(Planos!$A122&lt;&gt;"",Planos!B122&amp;"","")</f>
      </c>
      <c r="C123" s="24">
        <f>IF(Planos!$A122&lt;&gt;"",Planos!C122&amp;"","")</f>
      </c>
      <c r="D123" s="43">
        <f>IF(NOT(Planos!$A122&lt;&gt;""),"",IF(COUNTIFS(Programação!$B$4:$B$503,Planos!$A122,Programação!$I$4:$I$503,"Concluído",Programação!$G$4:$G$503,"&gt;="&amp;DATE(ano_ref,1,1),Programação!$G$4:$G$503,"&lt;="&amp;EOMONTH(DATE(ano_ref,1,1),0))&gt;0,"✔",IF(AND(ISNUMBER(Planos!$G122),IFERROR(INDEX(lst_frequencia_meses,MATCH(Planos!$E122,lst_frequencia,0)),0)&gt;0,(ano_ref*12+1)-(YEAR(Planos!$G122)*12+MONTH(Planos!$G122))&gt;0,MOD((ano_ref*12+1)-(YEAR(Planos!$G122)*12+MONTH(Planos!$G122)),MAX(1,IFERROR(INDEX(lst_frequencia_meses,MATCH(Planos!$E122,lst_frequencia,0)),0)))=0),"●","")))</f>
      </c>
      <c r="E123" s="43">
        <f>IF(NOT(Planos!$A122&lt;&gt;""),"",IF(COUNTIFS(Programação!$B$4:$B$503,Planos!$A122,Programação!$I$4:$I$503,"Concluído",Programação!$G$4:$G$503,"&gt;="&amp;DATE(ano_ref,2,1),Programação!$G$4:$G$503,"&lt;="&amp;EOMONTH(DATE(ano_ref,2,1),0))&gt;0,"✔",IF(AND(ISNUMBER(Planos!$G122),IFERROR(INDEX(lst_frequencia_meses,MATCH(Planos!$E122,lst_frequencia,0)),0)&gt;0,(ano_ref*12+2)-(YEAR(Planos!$G122)*12+MONTH(Planos!$G122))&gt;0,MOD((ano_ref*12+2)-(YEAR(Planos!$G122)*12+MONTH(Planos!$G122)),MAX(1,IFERROR(INDEX(lst_frequencia_meses,MATCH(Planos!$E122,lst_frequencia,0)),0)))=0),"●","")))</f>
      </c>
      <c r="F123" s="43">
        <f>IF(NOT(Planos!$A122&lt;&gt;""),"",IF(COUNTIFS(Programação!$B$4:$B$503,Planos!$A122,Programação!$I$4:$I$503,"Concluído",Programação!$G$4:$G$503,"&gt;="&amp;DATE(ano_ref,3,1),Programação!$G$4:$G$503,"&lt;="&amp;EOMONTH(DATE(ano_ref,3,1),0))&gt;0,"✔",IF(AND(ISNUMBER(Planos!$G122),IFERROR(INDEX(lst_frequencia_meses,MATCH(Planos!$E122,lst_frequencia,0)),0)&gt;0,(ano_ref*12+3)-(YEAR(Planos!$G122)*12+MONTH(Planos!$G122))&gt;0,MOD((ano_ref*12+3)-(YEAR(Planos!$G122)*12+MONTH(Planos!$G122)),MAX(1,IFERROR(INDEX(lst_frequencia_meses,MATCH(Planos!$E122,lst_frequencia,0)),0)))=0),"●","")))</f>
      </c>
      <c r="G123" s="43">
        <f>IF(NOT(Planos!$A122&lt;&gt;""),"",IF(COUNTIFS(Programação!$B$4:$B$503,Planos!$A122,Programação!$I$4:$I$503,"Concluído",Programação!$G$4:$G$503,"&gt;="&amp;DATE(ano_ref,4,1),Programação!$G$4:$G$503,"&lt;="&amp;EOMONTH(DATE(ano_ref,4,1),0))&gt;0,"✔",IF(AND(ISNUMBER(Planos!$G122),IFERROR(INDEX(lst_frequencia_meses,MATCH(Planos!$E122,lst_frequencia,0)),0)&gt;0,(ano_ref*12+4)-(YEAR(Planos!$G122)*12+MONTH(Planos!$G122))&gt;0,MOD((ano_ref*12+4)-(YEAR(Planos!$G122)*12+MONTH(Planos!$G122)),MAX(1,IFERROR(INDEX(lst_frequencia_meses,MATCH(Planos!$E122,lst_frequencia,0)),0)))=0),"●","")))</f>
      </c>
      <c r="H123" s="43">
        <f>IF(NOT(Planos!$A122&lt;&gt;""),"",IF(COUNTIFS(Programação!$B$4:$B$503,Planos!$A122,Programação!$I$4:$I$503,"Concluído",Programação!$G$4:$G$503,"&gt;="&amp;DATE(ano_ref,5,1),Programação!$G$4:$G$503,"&lt;="&amp;EOMONTH(DATE(ano_ref,5,1),0))&gt;0,"✔",IF(AND(ISNUMBER(Planos!$G122),IFERROR(INDEX(lst_frequencia_meses,MATCH(Planos!$E122,lst_frequencia,0)),0)&gt;0,(ano_ref*12+5)-(YEAR(Planos!$G122)*12+MONTH(Planos!$G122))&gt;0,MOD((ano_ref*12+5)-(YEAR(Planos!$G122)*12+MONTH(Planos!$G122)),MAX(1,IFERROR(INDEX(lst_frequencia_meses,MATCH(Planos!$E122,lst_frequencia,0)),0)))=0),"●","")))</f>
      </c>
      <c r="I123" s="43">
        <f>IF(NOT(Planos!$A122&lt;&gt;""),"",IF(COUNTIFS(Programação!$B$4:$B$503,Planos!$A122,Programação!$I$4:$I$503,"Concluído",Programação!$G$4:$G$503,"&gt;="&amp;DATE(ano_ref,6,1),Programação!$G$4:$G$503,"&lt;="&amp;EOMONTH(DATE(ano_ref,6,1),0))&gt;0,"✔",IF(AND(ISNUMBER(Planos!$G122),IFERROR(INDEX(lst_frequencia_meses,MATCH(Planos!$E122,lst_frequencia,0)),0)&gt;0,(ano_ref*12+6)-(YEAR(Planos!$G122)*12+MONTH(Planos!$G122))&gt;0,MOD((ano_ref*12+6)-(YEAR(Planos!$G122)*12+MONTH(Planos!$G122)),MAX(1,IFERROR(INDEX(lst_frequencia_meses,MATCH(Planos!$E122,lst_frequencia,0)),0)))=0),"●","")))</f>
      </c>
      <c r="J123" s="43">
        <f>IF(NOT(Planos!$A122&lt;&gt;""),"",IF(COUNTIFS(Programação!$B$4:$B$503,Planos!$A122,Programação!$I$4:$I$503,"Concluído",Programação!$G$4:$G$503,"&gt;="&amp;DATE(ano_ref,7,1),Programação!$G$4:$G$503,"&lt;="&amp;EOMONTH(DATE(ano_ref,7,1),0))&gt;0,"✔",IF(AND(ISNUMBER(Planos!$G122),IFERROR(INDEX(lst_frequencia_meses,MATCH(Planos!$E122,lst_frequencia,0)),0)&gt;0,(ano_ref*12+7)-(YEAR(Planos!$G122)*12+MONTH(Planos!$G122))&gt;0,MOD((ano_ref*12+7)-(YEAR(Planos!$G122)*12+MONTH(Planos!$G122)),MAX(1,IFERROR(INDEX(lst_frequencia_meses,MATCH(Planos!$E122,lst_frequencia,0)),0)))=0),"●","")))</f>
      </c>
      <c r="K123" s="43">
        <f>IF(NOT(Planos!$A122&lt;&gt;""),"",IF(COUNTIFS(Programação!$B$4:$B$503,Planos!$A122,Programação!$I$4:$I$503,"Concluído",Programação!$G$4:$G$503,"&gt;="&amp;DATE(ano_ref,8,1),Programação!$G$4:$G$503,"&lt;="&amp;EOMONTH(DATE(ano_ref,8,1),0))&gt;0,"✔",IF(AND(ISNUMBER(Planos!$G122),IFERROR(INDEX(lst_frequencia_meses,MATCH(Planos!$E122,lst_frequencia,0)),0)&gt;0,(ano_ref*12+8)-(YEAR(Planos!$G122)*12+MONTH(Planos!$G122))&gt;0,MOD((ano_ref*12+8)-(YEAR(Planos!$G122)*12+MONTH(Planos!$G122)),MAX(1,IFERROR(INDEX(lst_frequencia_meses,MATCH(Planos!$E122,lst_frequencia,0)),0)))=0),"●","")))</f>
      </c>
      <c r="L123" s="43">
        <f>IF(NOT(Planos!$A122&lt;&gt;""),"",IF(COUNTIFS(Programação!$B$4:$B$503,Planos!$A122,Programação!$I$4:$I$503,"Concluído",Programação!$G$4:$G$503,"&gt;="&amp;DATE(ano_ref,9,1),Programação!$G$4:$G$503,"&lt;="&amp;EOMONTH(DATE(ano_ref,9,1),0))&gt;0,"✔",IF(AND(ISNUMBER(Planos!$G122),IFERROR(INDEX(lst_frequencia_meses,MATCH(Planos!$E122,lst_frequencia,0)),0)&gt;0,(ano_ref*12+9)-(YEAR(Planos!$G122)*12+MONTH(Planos!$G122))&gt;0,MOD((ano_ref*12+9)-(YEAR(Planos!$G122)*12+MONTH(Planos!$G122)),MAX(1,IFERROR(INDEX(lst_frequencia_meses,MATCH(Planos!$E122,lst_frequencia,0)),0)))=0),"●","")))</f>
      </c>
      <c r="M123" s="43">
        <f>IF(NOT(Planos!$A122&lt;&gt;""),"",IF(COUNTIFS(Programação!$B$4:$B$503,Planos!$A122,Programação!$I$4:$I$503,"Concluído",Programação!$G$4:$G$503,"&gt;="&amp;DATE(ano_ref,10,1),Programação!$G$4:$G$503,"&lt;="&amp;EOMONTH(DATE(ano_ref,10,1),0))&gt;0,"✔",IF(AND(ISNUMBER(Planos!$G122),IFERROR(INDEX(lst_frequencia_meses,MATCH(Planos!$E122,lst_frequencia,0)),0)&gt;0,(ano_ref*12+10)-(YEAR(Planos!$G122)*12+MONTH(Planos!$G122))&gt;0,MOD((ano_ref*12+10)-(YEAR(Planos!$G122)*12+MONTH(Planos!$G122)),MAX(1,IFERROR(INDEX(lst_frequencia_meses,MATCH(Planos!$E122,lst_frequencia,0)),0)))=0),"●","")))</f>
      </c>
      <c r="N123" s="43">
        <f>IF(NOT(Planos!$A122&lt;&gt;""),"",IF(COUNTIFS(Programação!$B$4:$B$503,Planos!$A122,Programação!$I$4:$I$503,"Concluído",Programação!$G$4:$G$503,"&gt;="&amp;DATE(ano_ref,11,1),Programação!$G$4:$G$503,"&lt;="&amp;EOMONTH(DATE(ano_ref,11,1),0))&gt;0,"✔",IF(AND(ISNUMBER(Planos!$G122),IFERROR(INDEX(lst_frequencia_meses,MATCH(Planos!$E122,lst_frequencia,0)),0)&gt;0,(ano_ref*12+11)-(YEAR(Planos!$G122)*12+MONTH(Planos!$G122))&gt;0,MOD((ano_ref*12+11)-(YEAR(Planos!$G122)*12+MONTH(Planos!$G122)),MAX(1,IFERROR(INDEX(lst_frequencia_meses,MATCH(Planos!$E122,lst_frequencia,0)),0)))=0),"●","")))</f>
      </c>
      <c r="O123" s="43">
        <f>IF(NOT(Planos!$A122&lt;&gt;""),"",IF(COUNTIFS(Programação!$B$4:$B$503,Planos!$A122,Programação!$I$4:$I$503,"Concluído",Programação!$G$4:$G$503,"&gt;="&amp;DATE(ano_ref,12,1),Programação!$G$4:$G$503,"&lt;="&amp;EOMONTH(DATE(ano_ref,12,1),0))&gt;0,"✔",IF(AND(ISNUMBER(Planos!$G122),IFERROR(INDEX(lst_frequencia_meses,MATCH(Planos!$E122,lst_frequencia,0)),0)&gt;0,(ano_ref*12+12)-(YEAR(Planos!$G122)*12+MONTH(Planos!$G122))&gt;0,MOD((ano_ref*12+12)-(YEAR(Planos!$G122)*12+MONTH(Planos!$G122)),MAX(1,IFERROR(INDEX(lst_frequencia_meses,MATCH(Planos!$E122,lst_frequencia,0)),0)))=0),"●","")))</f>
      </c>
      <c r="P123" s="44">
        <f>IF(COUNTIF(D123:O123,"✔")+COUNTIF(D123:O123,"●")=0,"",COUNTIF(D123:O123,"✔")/(COUNTIF(D123:O123,"✔")+COUNTIF(D123:O123,"●")))</f>
      </c>
    </row>
    <row r="124" spans="1:16" x14ac:dyDescent="0.25">
      <c r="A124" s="43">
        <f>IF(Planos!$A123&lt;&gt;"",Planos!A123&amp;"","")</f>
      </c>
      <c r="B124" s="43">
        <f>IF(Planos!$A123&lt;&gt;"",Planos!B123&amp;"","")</f>
      </c>
      <c r="C124" s="24">
        <f>IF(Planos!$A123&lt;&gt;"",Planos!C123&amp;"","")</f>
      </c>
      <c r="D124" s="43">
        <f>IF(NOT(Planos!$A123&lt;&gt;""),"",IF(COUNTIFS(Programação!$B$4:$B$503,Planos!$A123,Programação!$I$4:$I$503,"Concluído",Programação!$G$4:$G$503,"&gt;="&amp;DATE(ano_ref,1,1),Programação!$G$4:$G$503,"&lt;="&amp;EOMONTH(DATE(ano_ref,1,1),0))&gt;0,"✔",IF(AND(ISNUMBER(Planos!$G123),IFERROR(INDEX(lst_frequencia_meses,MATCH(Planos!$E123,lst_frequencia,0)),0)&gt;0,(ano_ref*12+1)-(YEAR(Planos!$G123)*12+MONTH(Planos!$G123))&gt;0,MOD((ano_ref*12+1)-(YEAR(Planos!$G123)*12+MONTH(Planos!$G123)),MAX(1,IFERROR(INDEX(lst_frequencia_meses,MATCH(Planos!$E123,lst_frequencia,0)),0)))=0),"●","")))</f>
      </c>
      <c r="E124" s="43">
        <f>IF(NOT(Planos!$A123&lt;&gt;""),"",IF(COUNTIFS(Programação!$B$4:$B$503,Planos!$A123,Programação!$I$4:$I$503,"Concluído",Programação!$G$4:$G$503,"&gt;="&amp;DATE(ano_ref,2,1),Programação!$G$4:$G$503,"&lt;="&amp;EOMONTH(DATE(ano_ref,2,1),0))&gt;0,"✔",IF(AND(ISNUMBER(Planos!$G123),IFERROR(INDEX(lst_frequencia_meses,MATCH(Planos!$E123,lst_frequencia,0)),0)&gt;0,(ano_ref*12+2)-(YEAR(Planos!$G123)*12+MONTH(Planos!$G123))&gt;0,MOD((ano_ref*12+2)-(YEAR(Planos!$G123)*12+MONTH(Planos!$G123)),MAX(1,IFERROR(INDEX(lst_frequencia_meses,MATCH(Planos!$E123,lst_frequencia,0)),0)))=0),"●","")))</f>
      </c>
      <c r="F124" s="43">
        <f>IF(NOT(Planos!$A123&lt;&gt;""),"",IF(COUNTIFS(Programação!$B$4:$B$503,Planos!$A123,Programação!$I$4:$I$503,"Concluído",Programação!$G$4:$G$503,"&gt;="&amp;DATE(ano_ref,3,1),Programação!$G$4:$G$503,"&lt;="&amp;EOMONTH(DATE(ano_ref,3,1),0))&gt;0,"✔",IF(AND(ISNUMBER(Planos!$G123),IFERROR(INDEX(lst_frequencia_meses,MATCH(Planos!$E123,lst_frequencia,0)),0)&gt;0,(ano_ref*12+3)-(YEAR(Planos!$G123)*12+MONTH(Planos!$G123))&gt;0,MOD((ano_ref*12+3)-(YEAR(Planos!$G123)*12+MONTH(Planos!$G123)),MAX(1,IFERROR(INDEX(lst_frequencia_meses,MATCH(Planos!$E123,lst_frequencia,0)),0)))=0),"●","")))</f>
      </c>
      <c r="G124" s="43">
        <f>IF(NOT(Planos!$A123&lt;&gt;""),"",IF(COUNTIFS(Programação!$B$4:$B$503,Planos!$A123,Programação!$I$4:$I$503,"Concluído",Programação!$G$4:$G$503,"&gt;="&amp;DATE(ano_ref,4,1),Programação!$G$4:$G$503,"&lt;="&amp;EOMONTH(DATE(ano_ref,4,1),0))&gt;0,"✔",IF(AND(ISNUMBER(Planos!$G123),IFERROR(INDEX(lst_frequencia_meses,MATCH(Planos!$E123,lst_frequencia,0)),0)&gt;0,(ano_ref*12+4)-(YEAR(Planos!$G123)*12+MONTH(Planos!$G123))&gt;0,MOD((ano_ref*12+4)-(YEAR(Planos!$G123)*12+MONTH(Planos!$G123)),MAX(1,IFERROR(INDEX(lst_frequencia_meses,MATCH(Planos!$E123,lst_frequencia,0)),0)))=0),"●","")))</f>
      </c>
      <c r="H124" s="43">
        <f>IF(NOT(Planos!$A123&lt;&gt;""),"",IF(COUNTIFS(Programação!$B$4:$B$503,Planos!$A123,Programação!$I$4:$I$503,"Concluído",Programação!$G$4:$G$503,"&gt;="&amp;DATE(ano_ref,5,1),Programação!$G$4:$G$503,"&lt;="&amp;EOMONTH(DATE(ano_ref,5,1),0))&gt;0,"✔",IF(AND(ISNUMBER(Planos!$G123),IFERROR(INDEX(lst_frequencia_meses,MATCH(Planos!$E123,lst_frequencia,0)),0)&gt;0,(ano_ref*12+5)-(YEAR(Planos!$G123)*12+MONTH(Planos!$G123))&gt;0,MOD((ano_ref*12+5)-(YEAR(Planos!$G123)*12+MONTH(Planos!$G123)),MAX(1,IFERROR(INDEX(lst_frequencia_meses,MATCH(Planos!$E123,lst_frequencia,0)),0)))=0),"●","")))</f>
      </c>
      <c r="I124" s="43">
        <f>IF(NOT(Planos!$A123&lt;&gt;""),"",IF(COUNTIFS(Programação!$B$4:$B$503,Planos!$A123,Programação!$I$4:$I$503,"Concluído",Programação!$G$4:$G$503,"&gt;="&amp;DATE(ano_ref,6,1),Programação!$G$4:$G$503,"&lt;="&amp;EOMONTH(DATE(ano_ref,6,1),0))&gt;0,"✔",IF(AND(ISNUMBER(Planos!$G123),IFERROR(INDEX(lst_frequencia_meses,MATCH(Planos!$E123,lst_frequencia,0)),0)&gt;0,(ano_ref*12+6)-(YEAR(Planos!$G123)*12+MONTH(Planos!$G123))&gt;0,MOD((ano_ref*12+6)-(YEAR(Planos!$G123)*12+MONTH(Planos!$G123)),MAX(1,IFERROR(INDEX(lst_frequencia_meses,MATCH(Planos!$E123,lst_frequencia,0)),0)))=0),"●","")))</f>
      </c>
      <c r="J124" s="43">
        <f>IF(NOT(Planos!$A123&lt;&gt;""),"",IF(COUNTIFS(Programação!$B$4:$B$503,Planos!$A123,Programação!$I$4:$I$503,"Concluído",Programação!$G$4:$G$503,"&gt;="&amp;DATE(ano_ref,7,1),Programação!$G$4:$G$503,"&lt;="&amp;EOMONTH(DATE(ano_ref,7,1),0))&gt;0,"✔",IF(AND(ISNUMBER(Planos!$G123),IFERROR(INDEX(lst_frequencia_meses,MATCH(Planos!$E123,lst_frequencia,0)),0)&gt;0,(ano_ref*12+7)-(YEAR(Planos!$G123)*12+MONTH(Planos!$G123))&gt;0,MOD((ano_ref*12+7)-(YEAR(Planos!$G123)*12+MONTH(Planos!$G123)),MAX(1,IFERROR(INDEX(lst_frequencia_meses,MATCH(Planos!$E123,lst_frequencia,0)),0)))=0),"●","")))</f>
      </c>
      <c r="K124" s="43">
        <f>IF(NOT(Planos!$A123&lt;&gt;""),"",IF(COUNTIFS(Programação!$B$4:$B$503,Planos!$A123,Programação!$I$4:$I$503,"Concluído",Programação!$G$4:$G$503,"&gt;="&amp;DATE(ano_ref,8,1),Programação!$G$4:$G$503,"&lt;="&amp;EOMONTH(DATE(ano_ref,8,1),0))&gt;0,"✔",IF(AND(ISNUMBER(Planos!$G123),IFERROR(INDEX(lst_frequencia_meses,MATCH(Planos!$E123,lst_frequencia,0)),0)&gt;0,(ano_ref*12+8)-(YEAR(Planos!$G123)*12+MONTH(Planos!$G123))&gt;0,MOD((ano_ref*12+8)-(YEAR(Planos!$G123)*12+MONTH(Planos!$G123)),MAX(1,IFERROR(INDEX(lst_frequencia_meses,MATCH(Planos!$E123,lst_frequencia,0)),0)))=0),"●","")))</f>
      </c>
      <c r="L124" s="43">
        <f>IF(NOT(Planos!$A123&lt;&gt;""),"",IF(COUNTIFS(Programação!$B$4:$B$503,Planos!$A123,Programação!$I$4:$I$503,"Concluído",Programação!$G$4:$G$503,"&gt;="&amp;DATE(ano_ref,9,1),Programação!$G$4:$G$503,"&lt;="&amp;EOMONTH(DATE(ano_ref,9,1),0))&gt;0,"✔",IF(AND(ISNUMBER(Planos!$G123),IFERROR(INDEX(lst_frequencia_meses,MATCH(Planos!$E123,lst_frequencia,0)),0)&gt;0,(ano_ref*12+9)-(YEAR(Planos!$G123)*12+MONTH(Planos!$G123))&gt;0,MOD((ano_ref*12+9)-(YEAR(Planos!$G123)*12+MONTH(Planos!$G123)),MAX(1,IFERROR(INDEX(lst_frequencia_meses,MATCH(Planos!$E123,lst_frequencia,0)),0)))=0),"●","")))</f>
      </c>
      <c r="M124" s="43">
        <f>IF(NOT(Planos!$A123&lt;&gt;""),"",IF(COUNTIFS(Programação!$B$4:$B$503,Planos!$A123,Programação!$I$4:$I$503,"Concluído",Programação!$G$4:$G$503,"&gt;="&amp;DATE(ano_ref,10,1),Programação!$G$4:$G$503,"&lt;="&amp;EOMONTH(DATE(ano_ref,10,1),0))&gt;0,"✔",IF(AND(ISNUMBER(Planos!$G123),IFERROR(INDEX(lst_frequencia_meses,MATCH(Planos!$E123,lst_frequencia,0)),0)&gt;0,(ano_ref*12+10)-(YEAR(Planos!$G123)*12+MONTH(Planos!$G123))&gt;0,MOD((ano_ref*12+10)-(YEAR(Planos!$G123)*12+MONTH(Planos!$G123)),MAX(1,IFERROR(INDEX(lst_frequencia_meses,MATCH(Planos!$E123,lst_frequencia,0)),0)))=0),"●","")))</f>
      </c>
      <c r="N124" s="43">
        <f>IF(NOT(Planos!$A123&lt;&gt;""),"",IF(COUNTIFS(Programação!$B$4:$B$503,Planos!$A123,Programação!$I$4:$I$503,"Concluído",Programação!$G$4:$G$503,"&gt;="&amp;DATE(ano_ref,11,1),Programação!$G$4:$G$503,"&lt;="&amp;EOMONTH(DATE(ano_ref,11,1),0))&gt;0,"✔",IF(AND(ISNUMBER(Planos!$G123),IFERROR(INDEX(lst_frequencia_meses,MATCH(Planos!$E123,lst_frequencia,0)),0)&gt;0,(ano_ref*12+11)-(YEAR(Planos!$G123)*12+MONTH(Planos!$G123))&gt;0,MOD((ano_ref*12+11)-(YEAR(Planos!$G123)*12+MONTH(Planos!$G123)),MAX(1,IFERROR(INDEX(lst_frequencia_meses,MATCH(Planos!$E123,lst_frequencia,0)),0)))=0),"●","")))</f>
      </c>
      <c r="O124" s="43">
        <f>IF(NOT(Planos!$A123&lt;&gt;""),"",IF(COUNTIFS(Programação!$B$4:$B$503,Planos!$A123,Programação!$I$4:$I$503,"Concluído",Programação!$G$4:$G$503,"&gt;="&amp;DATE(ano_ref,12,1),Programação!$G$4:$G$503,"&lt;="&amp;EOMONTH(DATE(ano_ref,12,1),0))&gt;0,"✔",IF(AND(ISNUMBER(Planos!$G123),IFERROR(INDEX(lst_frequencia_meses,MATCH(Planos!$E123,lst_frequencia,0)),0)&gt;0,(ano_ref*12+12)-(YEAR(Planos!$G123)*12+MONTH(Planos!$G123))&gt;0,MOD((ano_ref*12+12)-(YEAR(Planos!$G123)*12+MONTH(Planos!$G123)),MAX(1,IFERROR(INDEX(lst_frequencia_meses,MATCH(Planos!$E123,lst_frequencia,0)),0)))=0),"●","")))</f>
      </c>
      <c r="P124" s="44">
        <f>IF(COUNTIF(D124:O124,"✔")+COUNTIF(D124:O124,"●")=0,"",COUNTIF(D124:O124,"✔")/(COUNTIF(D124:O124,"✔")+COUNTIF(D124:O124,"●")))</f>
      </c>
    </row>
    <row r="125" spans="1:16" x14ac:dyDescent="0.25">
      <c r="A125" s="43">
        <f>IF(Planos!$A124&lt;&gt;"",Planos!A124&amp;"","")</f>
      </c>
      <c r="B125" s="43">
        <f>IF(Planos!$A124&lt;&gt;"",Planos!B124&amp;"","")</f>
      </c>
      <c r="C125" s="24">
        <f>IF(Planos!$A124&lt;&gt;"",Planos!C124&amp;"","")</f>
      </c>
      <c r="D125" s="43">
        <f>IF(NOT(Planos!$A124&lt;&gt;""),"",IF(COUNTIFS(Programação!$B$4:$B$503,Planos!$A124,Programação!$I$4:$I$503,"Concluído",Programação!$G$4:$G$503,"&gt;="&amp;DATE(ano_ref,1,1),Programação!$G$4:$G$503,"&lt;="&amp;EOMONTH(DATE(ano_ref,1,1),0))&gt;0,"✔",IF(AND(ISNUMBER(Planos!$G124),IFERROR(INDEX(lst_frequencia_meses,MATCH(Planos!$E124,lst_frequencia,0)),0)&gt;0,(ano_ref*12+1)-(YEAR(Planos!$G124)*12+MONTH(Planos!$G124))&gt;0,MOD((ano_ref*12+1)-(YEAR(Planos!$G124)*12+MONTH(Planos!$G124)),MAX(1,IFERROR(INDEX(lst_frequencia_meses,MATCH(Planos!$E124,lst_frequencia,0)),0)))=0),"●","")))</f>
      </c>
      <c r="E125" s="43">
        <f>IF(NOT(Planos!$A124&lt;&gt;""),"",IF(COUNTIFS(Programação!$B$4:$B$503,Planos!$A124,Programação!$I$4:$I$503,"Concluído",Programação!$G$4:$G$503,"&gt;="&amp;DATE(ano_ref,2,1),Programação!$G$4:$G$503,"&lt;="&amp;EOMONTH(DATE(ano_ref,2,1),0))&gt;0,"✔",IF(AND(ISNUMBER(Planos!$G124),IFERROR(INDEX(lst_frequencia_meses,MATCH(Planos!$E124,lst_frequencia,0)),0)&gt;0,(ano_ref*12+2)-(YEAR(Planos!$G124)*12+MONTH(Planos!$G124))&gt;0,MOD((ano_ref*12+2)-(YEAR(Planos!$G124)*12+MONTH(Planos!$G124)),MAX(1,IFERROR(INDEX(lst_frequencia_meses,MATCH(Planos!$E124,lst_frequencia,0)),0)))=0),"●","")))</f>
      </c>
      <c r="F125" s="43">
        <f>IF(NOT(Planos!$A124&lt;&gt;""),"",IF(COUNTIFS(Programação!$B$4:$B$503,Planos!$A124,Programação!$I$4:$I$503,"Concluído",Programação!$G$4:$G$503,"&gt;="&amp;DATE(ano_ref,3,1),Programação!$G$4:$G$503,"&lt;="&amp;EOMONTH(DATE(ano_ref,3,1),0))&gt;0,"✔",IF(AND(ISNUMBER(Planos!$G124),IFERROR(INDEX(lst_frequencia_meses,MATCH(Planos!$E124,lst_frequencia,0)),0)&gt;0,(ano_ref*12+3)-(YEAR(Planos!$G124)*12+MONTH(Planos!$G124))&gt;0,MOD((ano_ref*12+3)-(YEAR(Planos!$G124)*12+MONTH(Planos!$G124)),MAX(1,IFERROR(INDEX(lst_frequencia_meses,MATCH(Planos!$E124,lst_frequencia,0)),0)))=0),"●","")))</f>
      </c>
      <c r="G125" s="43">
        <f>IF(NOT(Planos!$A124&lt;&gt;""),"",IF(COUNTIFS(Programação!$B$4:$B$503,Planos!$A124,Programação!$I$4:$I$503,"Concluído",Programação!$G$4:$G$503,"&gt;="&amp;DATE(ano_ref,4,1),Programação!$G$4:$G$503,"&lt;="&amp;EOMONTH(DATE(ano_ref,4,1),0))&gt;0,"✔",IF(AND(ISNUMBER(Planos!$G124),IFERROR(INDEX(lst_frequencia_meses,MATCH(Planos!$E124,lst_frequencia,0)),0)&gt;0,(ano_ref*12+4)-(YEAR(Planos!$G124)*12+MONTH(Planos!$G124))&gt;0,MOD((ano_ref*12+4)-(YEAR(Planos!$G124)*12+MONTH(Planos!$G124)),MAX(1,IFERROR(INDEX(lst_frequencia_meses,MATCH(Planos!$E124,lst_frequencia,0)),0)))=0),"●","")))</f>
      </c>
      <c r="H125" s="43">
        <f>IF(NOT(Planos!$A124&lt;&gt;""),"",IF(COUNTIFS(Programação!$B$4:$B$503,Planos!$A124,Programação!$I$4:$I$503,"Concluído",Programação!$G$4:$G$503,"&gt;="&amp;DATE(ano_ref,5,1),Programação!$G$4:$G$503,"&lt;="&amp;EOMONTH(DATE(ano_ref,5,1),0))&gt;0,"✔",IF(AND(ISNUMBER(Planos!$G124),IFERROR(INDEX(lst_frequencia_meses,MATCH(Planos!$E124,lst_frequencia,0)),0)&gt;0,(ano_ref*12+5)-(YEAR(Planos!$G124)*12+MONTH(Planos!$G124))&gt;0,MOD((ano_ref*12+5)-(YEAR(Planos!$G124)*12+MONTH(Planos!$G124)),MAX(1,IFERROR(INDEX(lst_frequencia_meses,MATCH(Planos!$E124,lst_frequencia,0)),0)))=0),"●","")))</f>
      </c>
      <c r="I125" s="43">
        <f>IF(NOT(Planos!$A124&lt;&gt;""),"",IF(COUNTIFS(Programação!$B$4:$B$503,Planos!$A124,Programação!$I$4:$I$503,"Concluído",Programação!$G$4:$G$503,"&gt;="&amp;DATE(ano_ref,6,1),Programação!$G$4:$G$503,"&lt;="&amp;EOMONTH(DATE(ano_ref,6,1),0))&gt;0,"✔",IF(AND(ISNUMBER(Planos!$G124),IFERROR(INDEX(lst_frequencia_meses,MATCH(Planos!$E124,lst_frequencia,0)),0)&gt;0,(ano_ref*12+6)-(YEAR(Planos!$G124)*12+MONTH(Planos!$G124))&gt;0,MOD((ano_ref*12+6)-(YEAR(Planos!$G124)*12+MONTH(Planos!$G124)),MAX(1,IFERROR(INDEX(lst_frequencia_meses,MATCH(Planos!$E124,lst_frequencia,0)),0)))=0),"●","")))</f>
      </c>
      <c r="J125" s="43">
        <f>IF(NOT(Planos!$A124&lt;&gt;""),"",IF(COUNTIFS(Programação!$B$4:$B$503,Planos!$A124,Programação!$I$4:$I$503,"Concluído",Programação!$G$4:$G$503,"&gt;="&amp;DATE(ano_ref,7,1),Programação!$G$4:$G$503,"&lt;="&amp;EOMONTH(DATE(ano_ref,7,1),0))&gt;0,"✔",IF(AND(ISNUMBER(Planos!$G124),IFERROR(INDEX(lst_frequencia_meses,MATCH(Planos!$E124,lst_frequencia,0)),0)&gt;0,(ano_ref*12+7)-(YEAR(Planos!$G124)*12+MONTH(Planos!$G124))&gt;0,MOD((ano_ref*12+7)-(YEAR(Planos!$G124)*12+MONTH(Planos!$G124)),MAX(1,IFERROR(INDEX(lst_frequencia_meses,MATCH(Planos!$E124,lst_frequencia,0)),0)))=0),"●","")))</f>
      </c>
      <c r="K125" s="43">
        <f>IF(NOT(Planos!$A124&lt;&gt;""),"",IF(COUNTIFS(Programação!$B$4:$B$503,Planos!$A124,Programação!$I$4:$I$503,"Concluído",Programação!$G$4:$G$503,"&gt;="&amp;DATE(ano_ref,8,1),Programação!$G$4:$G$503,"&lt;="&amp;EOMONTH(DATE(ano_ref,8,1),0))&gt;0,"✔",IF(AND(ISNUMBER(Planos!$G124),IFERROR(INDEX(lst_frequencia_meses,MATCH(Planos!$E124,lst_frequencia,0)),0)&gt;0,(ano_ref*12+8)-(YEAR(Planos!$G124)*12+MONTH(Planos!$G124))&gt;0,MOD((ano_ref*12+8)-(YEAR(Planos!$G124)*12+MONTH(Planos!$G124)),MAX(1,IFERROR(INDEX(lst_frequencia_meses,MATCH(Planos!$E124,lst_frequencia,0)),0)))=0),"●","")))</f>
      </c>
      <c r="L125" s="43">
        <f>IF(NOT(Planos!$A124&lt;&gt;""),"",IF(COUNTIFS(Programação!$B$4:$B$503,Planos!$A124,Programação!$I$4:$I$503,"Concluído",Programação!$G$4:$G$503,"&gt;="&amp;DATE(ano_ref,9,1),Programação!$G$4:$G$503,"&lt;="&amp;EOMONTH(DATE(ano_ref,9,1),0))&gt;0,"✔",IF(AND(ISNUMBER(Planos!$G124),IFERROR(INDEX(lst_frequencia_meses,MATCH(Planos!$E124,lst_frequencia,0)),0)&gt;0,(ano_ref*12+9)-(YEAR(Planos!$G124)*12+MONTH(Planos!$G124))&gt;0,MOD((ano_ref*12+9)-(YEAR(Planos!$G124)*12+MONTH(Planos!$G124)),MAX(1,IFERROR(INDEX(lst_frequencia_meses,MATCH(Planos!$E124,lst_frequencia,0)),0)))=0),"●","")))</f>
      </c>
      <c r="M125" s="43">
        <f>IF(NOT(Planos!$A124&lt;&gt;""),"",IF(COUNTIFS(Programação!$B$4:$B$503,Planos!$A124,Programação!$I$4:$I$503,"Concluído",Programação!$G$4:$G$503,"&gt;="&amp;DATE(ano_ref,10,1),Programação!$G$4:$G$503,"&lt;="&amp;EOMONTH(DATE(ano_ref,10,1),0))&gt;0,"✔",IF(AND(ISNUMBER(Planos!$G124),IFERROR(INDEX(lst_frequencia_meses,MATCH(Planos!$E124,lst_frequencia,0)),0)&gt;0,(ano_ref*12+10)-(YEAR(Planos!$G124)*12+MONTH(Planos!$G124))&gt;0,MOD((ano_ref*12+10)-(YEAR(Planos!$G124)*12+MONTH(Planos!$G124)),MAX(1,IFERROR(INDEX(lst_frequencia_meses,MATCH(Planos!$E124,lst_frequencia,0)),0)))=0),"●","")))</f>
      </c>
      <c r="N125" s="43">
        <f>IF(NOT(Planos!$A124&lt;&gt;""),"",IF(COUNTIFS(Programação!$B$4:$B$503,Planos!$A124,Programação!$I$4:$I$503,"Concluído",Programação!$G$4:$G$503,"&gt;="&amp;DATE(ano_ref,11,1),Programação!$G$4:$G$503,"&lt;="&amp;EOMONTH(DATE(ano_ref,11,1),0))&gt;0,"✔",IF(AND(ISNUMBER(Planos!$G124),IFERROR(INDEX(lst_frequencia_meses,MATCH(Planos!$E124,lst_frequencia,0)),0)&gt;0,(ano_ref*12+11)-(YEAR(Planos!$G124)*12+MONTH(Planos!$G124))&gt;0,MOD((ano_ref*12+11)-(YEAR(Planos!$G124)*12+MONTH(Planos!$G124)),MAX(1,IFERROR(INDEX(lst_frequencia_meses,MATCH(Planos!$E124,lst_frequencia,0)),0)))=0),"●","")))</f>
      </c>
      <c r="O125" s="43">
        <f>IF(NOT(Planos!$A124&lt;&gt;""),"",IF(COUNTIFS(Programação!$B$4:$B$503,Planos!$A124,Programação!$I$4:$I$503,"Concluído",Programação!$G$4:$G$503,"&gt;="&amp;DATE(ano_ref,12,1),Programação!$G$4:$G$503,"&lt;="&amp;EOMONTH(DATE(ano_ref,12,1),0))&gt;0,"✔",IF(AND(ISNUMBER(Planos!$G124),IFERROR(INDEX(lst_frequencia_meses,MATCH(Planos!$E124,lst_frequencia,0)),0)&gt;0,(ano_ref*12+12)-(YEAR(Planos!$G124)*12+MONTH(Planos!$G124))&gt;0,MOD((ano_ref*12+12)-(YEAR(Planos!$G124)*12+MONTH(Planos!$G124)),MAX(1,IFERROR(INDEX(lst_frequencia_meses,MATCH(Planos!$E124,lst_frequencia,0)),0)))=0),"●","")))</f>
      </c>
      <c r="P125" s="44">
        <f>IF(COUNTIF(D125:O125,"✔")+COUNTIF(D125:O125,"●")=0,"",COUNTIF(D125:O125,"✔")/(COUNTIF(D125:O125,"✔")+COUNTIF(D125:O125,"●")))</f>
      </c>
    </row>
    <row r="126" spans="1:16" x14ac:dyDescent="0.25">
      <c r="A126" s="43">
        <f>IF(Planos!$A125&lt;&gt;"",Planos!A125&amp;"","")</f>
      </c>
      <c r="B126" s="43">
        <f>IF(Planos!$A125&lt;&gt;"",Planos!B125&amp;"","")</f>
      </c>
      <c r="C126" s="24">
        <f>IF(Planos!$A125&lt;&gt;"",Planos!C125&amp;"","")</f>
      </c>
      <c r="D126" s="43">
        <f>IF(NOT(Planos!$A125&lt;&gt;""),"",IF(COUNTIFS(Programação!$B$4:$B$503,Planos!$A125,Programação!$I$4:$I$503,"Concluído",Programação!$G$4:$G$503,"&gt;="&amp;DATE(ano_ref,1,1),Programação!$G$4:$G$503,"&lt;="&amp;EOMONTH(DATE(ano_ref,1,1),0))&gt;0,"✔",IF(AND(ISNUMBER(Planos!$G125),IFERROR(INDEX(lst_frequencia_meses,MATCH(Planos!$E125,lst_frequencia,0)),0)&gt;0,(ano_ref*12+1)-(YEAR(Planos!$G125)*12+MONTH(Planos!$G125))&gt;0,MOD((ano_ref*12+1)-(YEAR(Planos!$G125)*12+MONTH(Planos!$G125)),MAX(1,IFERROR(INDEX(lst_frequencia_meses,MATCH(Planos!$E125,lst_frequencia,0)),0)))=0),"●","")))</f>
      </c>
      <c r="E126" s="43">
        <f>IF(NOT(Planos!$A125&lt;&gt;""),"",IF(COUNTIFS(Programação!$B$4:$B$503,Planos!$A125,Programação!$I$4:$I$503,"Concluído",Programação!$G$4:$G$503,"&gt;="&amp;DATE(ano_ref,2,1),Programação!$G$4:$G$503,"&lt;="&amp;EOMONTH(DATE(ano_ref,2,1),0))&gt;0,"✔",IF(AND(ISNUMBER(Planos!$G125),IFERROR(INDEX(lst_frequencia_meses,MATCH(Planos!$E125,lst_frequencia,0)),0)&gt;0,(ano_ref*12+2)-(YEAR(Planos!$G125)*12+MONTH(Planos!$G125))&gt;0,MOD((ano_ref*12+2)-(YEAR(Planos!$G125)*12+MONTH(Planos!$G125)),MAX(1,IFERROR(INDEX(lst_frequencia_meses,MATCH(Planos!$E125,lst_frequencia,0)),0)))=0),"●","")))</f>
      </c>
      <c r="F126" s="43">
        <f>IF(NOT(Planos!$A125&lt;&gt;""),"",IF(COUNTIFS(Programação!$B$4:$B$503,Planos!$A125,Programação!$I$4:$I$503,"Concluído",Programação!$G$4:$G$503,"&gt;="&amp;DATE(ano_ref,3,1),Programação!$G$4:$G$503,"&lt;="&amp;EOMONTH(DATE(ano_ref,3,1),0))&gt;0,"✔",IF(AND(ISNUMBER(Planos!$G125),IFERROR(INDEX(lst_frequencia_meses,MATCH(Planos!$E125,lst_frequencia,0)),0)&gt;0,(ano_ref*12+3)-(YEAR(Planos!$G125)*12+MONTH(Planos!$G125))&gt;0,MOD((ano_ref*12+3)-(YEAR(Planos!$G125)*12+MONTH(Planos!$G125)),MAX(1,IFERROR(INDEX(lst_frequencia_meses,MATCH(Planos!$E125,lst_frequencia,0)),0)))=0),"●","")))</f>
      </c>
      <c r="G126" s="43">
        <f>IF(NOT(Planos!$A125&lt;&gt;""),"",IF(COUNTIFS(Programação!$B$4:$B$503,Planos!$A125,Programação!$I$4:$I$503,"Concluído",Programação!$G$4:$G$503,"&gt;="&amp;DATE(ano_ref,4,1),Programação!$G$4:$G$503,"&lt;="&amp;EOMONTH(DATE(ano_ref,4,1),0))&gt;0,"✔",IF(AND(ISNUMBER(Planos!$G125),IFERROR(INDEX(lst_frequencia_meses,MATCH(Planos!$E125,lst_frequencia,0)),0)&gt;0,(ano_ref*12+4)-(YEAR(Planos!$G125)*12+MONTH(Planos!$G125))&gt;0,MOD((ano_ref*12+4)-(YEAR(Planos!$G125)*12+MONTH(Planos!$G125)),MAX(1,IFERROR(INDEX(lst_frequencia_meses,MATCH(Planos!$E125,lst_frequencia,0)),0)))=0),"●","")))</f>
      </c>
      <c r="H126" s="43">
        <f>IF(NOT(Planos!$A125&lt;&gt;""),"",IF(COUNTIFS(Programação!$B$4:$B$503,Planos!$A125,Programação!$I$4:$I$503,"Concluído",Programação!$G$4:$G$503,"&gt;="&amp;DATE(ano_ref,5,1),Programação!$G$4:$G$503,"&lt;="&amp;EOMONTH(DATE(ano_ref,5,1),0))&gt;0,"✔",IF(AND(ISNUMBER(Planos!$G125),IFERROR(INDEX(lst_frequencia_meses,MATCH(Planos!$E125,lst_frequencia,0)),0)&gt;0,(ano_ref*12+5)-(YEAR(Planos!$G125)*12+MONTH(Planos!$G125))&gt;0,MOD((ano_ref*12+5)-(YEAR(Planos!$G125)*12+MONTH(Planos!$G125)),MAX(1,IFERROR(INDEX(lst_frequencia_meses,MATCH(Planos!$E125,lst_frequencia,0)),0)))=0),"●","")))</f>
      </c>
      <c r="I126" s="43">
        <f>IF(NOT(Planos!$A125&lt;&gt;""),"",IF(COUNTIFS(Programação!$B$4:$B$503,Planos!$A125,Programação!$I$4:$I$503,"Concluído",Programação!$G$4:$G$503,"&gt;="&amp;DATE(ano_ref,6,1),Programação!$G$4:$G$503,"&lt;="&amp;EOMONTH(DATE(ano_ref,6,1),0))&gt;0,"✔",IF(AND(ISNUMBER(Planos!$G125),IFERROR(INDEX(lst_frequencia_meses,MATCH(Planos!$E125,lst_frequencia,0)),0)&gt;0,(ano_ref*12+6)-(YEAR(Planos!$G125)*12+MONTH(Planos!$G125))&gt;0,MOD((ano_ref*12+6)-(YEAR(Planos!$G125)*12+MONTH(Planos!$G125)),MAX(1,IFERROR(INDEX(lst_frequencia_meses,MATCH(Planos!$E125,lst_frequencia,0)),0)))=0),"●","")))</f>
      </c>
      <c r="J126" s="43">
        <f>IF(NOT(Planos!$A125&lt;&gt;""),"",IF(COUNTIFS(Programação!$B$4:$B$503,Planos!$A125,Programação!$I$4:$I$503,"Concluído",Programação!$G$4:$G$503,"&gt;="&amp;DATE(ano_ref,7,1),Programação!$G$4:$G$503,"&lt;="&amp;EOMONTH(DATE(ano_ref,7,1),0))&gt;0,"✔",IF(AND(ISNUMBER(Planos!$G125),IFERROR(INDEX(lst_frequencia_meses,MATCH(Planos!$E125,lst_frequencia,0)),0)&gt;0,(ano_ref*12+7)-(YEAR(Planos!$G125)*12+MONTH(Planos!$G125))&gt;0,MOD((ano_ref*12+7)-(YEAR(Planos!$G125)*12+MONTH(Planos!$G125)),MAX(1,IFERROR(INDEX(lst_frequencia_meses,MATCH(Planos!$E125,lst_frequencia,0)),0)))=0),"●","")))</f>
      </c>
      <c r="K126" s="43">
        <f>IF(NOT(Planos!$A125&lt;&gt;""),"",IF(COUNTIFS(Programação!$B$4:$B$503,Planos!$A125,Programação!$I$4:$I$503,"Concluído",Programação!$G$4:$G$503,"&gt;="&amp;DATE(ano_ref,8,1),Programação!$G$4:$G$503,"&lt;="&amp;EOMONTH(DATE(ano_ref,8,1),0))&gt;0,"✔",IF(AND(ISNUMBER(Planos!$G125),IFERROR(INDEX(lst_frequencia_meses,MATCH(Planos!$E125,lst_frequencia,0)),0)&gt;0,(ano_ref*12+8)-(YEAR(Planos!$G125)*12+MONTH(Planos!$G125))&gt;0,MOD((ano_ref*12+8)-(YEAR(Planos!$G125)*12+MONTH(Planos!$G125)),MAX(1,IFERROR(INDEX(lst_frequencia_meses,MATCH(Planos!$E125,lst_frequencia,0)),0)))=0),"●","")))</f>
      </c>
      <c r="L126" s="43">
        <f>IF(NOT(Planos!$A125&lt;&gt;""),"",IF(COUNTIFS(Programação!$B$4:$B$503,Planos!$A125,Programação!$I$4:$I$503,"Concluído",Programação!$G$4:$G$503,"&gt;="&amp;DATE(ano_ref,9,1),Programação!$G$4:$G$503,"&lt;="&amp;EOMONTH(DATE(ano_ref,9,1),0))&gt;0,"✔",IF(AND(ISNUMBER(Planos!$G125),IFERROR(INDEX(lst_frequencia_meses,MATCH(Planos!$E125,lst_frequencia,0)),0)&gt;0,(ano_ref*12+9)-(YEAR(Planos!$G125)*12+MONTH(Planos!$G125))&gt;0,MOD((ano_ref*12+9)-(YEAR(Planos!$G125)*12+MONTH(Planos!$G125)),MAX(1,IFERROR(INDEX(lst_frequencia_meses,MATCH(Planos!$E125,lst_frequencia,0)),0)))=0),"●","")))</f>
      </c>
      <c r="M126" s="43">
        <f>IF(NOT(Planos!$A125&lt;&gt;""),"",IF(COUNTIFS(Programação!$B$4:$B$503,Planos!$A125,Programação!$I$4:$I$503,"Concluído",Programação!$G$4:$G$503,"&gt;="&amp;DATE(ano_ref,10,1),Programação!$G$4:$G$503,"&lt;="&amp;EOMONTH(DATE(ano_ref,10,1),0))&gt;0,"✔",IF(AND(ISNUMBER(Planos!$G125),IFERROR(INDEX(lst_frequencia_meses,MATCH(Planos!$E125,lst_frequencia,0)),0)&gt;0,(ano_ref*12+10)-(YEAR(Planos!$G125)*12+MONTH(Planos!$G125))&gt;0,MOD((ano_ref*12+10)-(YEAR(Planos!$G125)*12+MONTH(Planos!$G125)),MAX(1,IFERROR(INDEX(lst_frequencia_meses,MATCH(Planos!$E125,lst_frequencia,0)),0)))=0),"●","")))</f>
      </c>
      <c r="N126" s="43">
        <f>IF(NOT(Planos!$A125&lt;&gt;""),"",IF(COUNTIFS(Programação!$B$4:$B$503,Planos!$A125,Programação!$I$4:$I$503,"Concluído",Programação!$G$4:$G$503,"&gt;="&amp;DATE(ano_ref,11,1),Programação!$G$4:$G$503,"&lt;="&amp;EOMONTH(DATE(ano_ref,11,1),0))&gt;0,"✔",IF(AND(ISNUMBER(Planos!$G125),IFERROR(INDEX(lst_frequencia_meses,MATCH(Planos!$E125,lst_frequencia,0)),0)&gt;0,(ano_ref*12+11)-(YEAR(Planos!$G125)*12+MONTH(Planos!$G125))&gt;0,MOD((ano_ref*12+11)-(YEAR(Planos!$G125)*12+MONTH(Planos!$G125)),MAX(1,IFERROR(INDEX(lst_frequencia_meses,MATCH(Planos!$E125,lst_frequencia,0)),0)))=0),"●","")))</f>
      </c>
      <c r="O126" s="43">
        <f>IF(NOT(Planos!$A125&lt;&gt;""),"",IF(COUNTIFS(Programação!$B$4:$B$503,Planos!$A125,Programação!$I$4:$I$503,"Concluído",Programação!$G$4:$G$503,"&gt;="&amp;DATE(ano_ref,12,1),Programação!$G$4:$G$503,"&lt;="&amp;EOMONTH(DATE(ano_ref,12,1),0))&gt;0,"✔",IF(AND(ISNUMBER(Planos!$G125),IFERROR(INDEX(lst_frequencia_meses,MATCH(Planos!$E125,lst_frequencia,0)),0)&gt;0,(ano_ref*12+12)-(YEAR(Planos!$G125)*12+MONTH(Planos!$G125))&gt;0,MOD((ano_ref*12+12)-(YEAR(Planos!$G125)*12+MONTH(Planos!$G125)),MAX(1,IFERROR(INDEX(lst_frequencia_meses,MATCH(Planos!$E125,lst_frequencia,0)),0)))=0),"●","")))</f>
      </c>
      <c r="P126" s="44">
        <f>IF(COUNTIF(D126:O126,"✔")+COUNTIF(D126:O126,"●")=0,"",COUNTIF(D126:O126,"✔")/(COUNTIF(D126:O126,"✔")+COUNTIF(D126:O126,"●")))</f>
      </c>
    </row>
    <row r="127" spans="1:16" x14ac:dyDescent="0.25">
      <c r="A127" s="43">
        <f>IF(Planos!$A126&lt;&gt;"",Planos!A126&amp;"","")</f>
      </c>
      <c r="B127" s="43">
        <f>IF(Planos!$A126&lt;&gt;"",Planos!B126&amp;"","")</f>
      </c>
      <c r="C127" s="24">
        <f>IF(Planos!$A126&lt;&gt;"",Planos!C126&amp;"","")</f>
      </c>
      <c r="D127" s="43">
        <f>IF(NOT(Planos!$A126&lt;&gt;""),"",IF(COUNTIFS(Programação!$B$4:$B$503,Planos!$A126,Programação!$I$4:$I$503,"Concluído",Programação!$G$4:$G$503,"&gt;="&amp;DATE(ano_ref,1,1),Programação!$G$4:$G$503,"&lt;="&amp;EOMONTH(DATE(ano_ref,1,1),0))&gt;0,"✔",IF(AND(ISNUMBER(Planos!$G126),IFERROR(INDEX(lst_frequencia_meses,MATCH(Planos!$E126,lst_frequencia,0)),0)&gt;0,(ano_ref*12+1)-(YEAR(Planos!$G126)*12+MONTH(Planos!$G126))&gt;0,MOD((ano_ref*12+1)-(YEAR(Planos!$G126)*12+MONTH(Planos!$G126)),MAX(1,IFERROR(INDEX(lst_frequencia_meses,MATCH(Planos!$E126,lst_frequencia,0)),0)))=0),"●","")))</f>
      </c>
      <c r="E127" s="43">
        <f>IF(NOT(Planos!$A126&lt;&gt;""),"",IF(COUNTIFS(Programação!$B$4:$B$503,Planos!$A126,Programação!$I$4:$I$503,"Concluído",Programação!$G$4:$G$503,"&gt;="&amp;DATE(ano_ref,2,1),Programação!$G$4:$G$503,"&lt;="&amp;EOMONTH(DATE(ano_ref,2,1),0))&gt;0,"✔",IF(AND(ISNUMBER(Planos!$G126),IFERROR(INDEX(lst_frequencia_meses,MATCH(Planos!$E126,lst_frequencia,0)),0)&gt;0,(ano_ref*12+2)-(YEAR(Planos!$G126)*12+MONTH(Planos!$G126))&gt;0,MOD((ano_ref*12+2)-(YEAR(Planos!$G126)*12+MONTH(Planos!$G126)),MAX(1,IFERROR(INDEX(lst_frequencia_meses,MATCH(Planos!$E126,lst_frequencia,0)),0)))=0),"●","")))</f>
      </c>
      <c r="F127" s="43">
        <f>IF(NOT(Planos!$A126&lt;&gt;""),"",IF(COUNTIFS(Programação!$B$4:$B$503,Planos!$A126,Programação!$I$4:$I$503,"Concluído",Programação!$G$4:$G$503,"&gt;="&amp;DATE(ano_ref,3,1),Programação!$G$4:$G$503,"&lt;="&amp;EOMONTH(DATE(ano_ref,3,1),0))&gt;0,"✔",IF(AND(ISNUMBER(Planos!$G126),IFERROR(INDEX(lst_frequencia_meses,MATCH(Planos!$E126,lst_frequencia,0)),0)&gt;0,(ano_ref*12+3)-(YEAR(Planos!$G126)*12+MONTH(Planos!$G126))&gt;0,MOD((ano_ref*12+3)-(YEAR(Planos!$G126)*12+MONTH(Planos!$G126)),MAX(1,IFERROR(INDEX(lst_frequencia_meses,MATCH(Planos!$E126,lst_frequencia,0)),0)))=0),"●","")))</f>
      </c>
      <c r="G127" s="43">
        <f>IF(NOT(Planos!$A126&lt;&gt;""),"",IF(COUNTIFS(Programação!$B$4:$B$503,Planos!$A126,Programação!$I$4:$I$503,"Concluído",Programação!$G$4:$G$503,"&gt;="&amp;DATE(ano_ref,4,1),Programação!$G$4:$G$503,"&lt;="&amp;EOMONTH(DATE(ano_ref,4,1),0))&gt;0,"✔",IF(AND(ISNUMBER(Planos!$G126),IFERROR(INDEX(lst_frequencia_meses,MATCH(Planos!$E126,lst_frequencia,0)),0)&gt;0,(ano_ref*12+4)-(YEAR(Planos!$G126)*12+MONTH(Planos!$G126))&gt;0,MOD((ano_ref*12+4)-(YEAR(Planos!$G126)*12+MONTH(Planos!$G126)),MAX(1,IFERROR(INDEX(lst_frequencia_meses,MATCH(Planos!$E126,lst_frequencia,0)),0)))=0),"●","")))</f>
      </c>
      <c r="H127" s="43">
        <f>IF(NOT(Planos!$A126&lt;&gt;""),"",IF(COUNTIFS(Programação!$B$4:$B$503,Planos!$A126,Programação!$I$4:$I$503,"Concluído",Programação!$G$4:$G$503,"&gt;="&amp;DATE(ano_ref,5,1),Programação!$G$4:$G$503,"&lt;="&amp;EOMONTH(DATE(ano_ref,5,1),0))&gt;0,"✔",IF(AND(ISNUMBER(Planos!$G126),IFERROR(INDEX(lst_frequencia_meses,MATCH(Planos!$E126,lst_frequencia,0)),0)&gt;0,(ano_ref*12+5)-(YEAR(Planos!$G126)*12+MONTH(Planos!$G126))&gt;0,MOD((ano_ref*12+5)-(YEAR(Planos!$G126)*12+MONTH(Planos!$G126)),MAX(1,IFERROR(INDEX(lst_frequencia_meses,MATCH(Planos!$E126,lst_frequencia,0)),0)))=0),"●","")))</f>
      </c>
      <c r="I127" s="43">
        <f>IF(NOT(Planos!$A126&lt;&gt;""),"",IF(COUNTIFS(Programação!$B$4:$B$503,Planos!$A126,Programação!$I$4:$I$503,"Concluído",Programação!$G$4:$G$503,"&gt;="&amp;DATE(ano_ref,6,1),Programação!$G$4:$G$503,"&lt;="&amp;EOMONTH(DATE(ano_ref,6,1),0))&gt;0,"✔",IF(AND(ISNUMBER(Planos!$G126),IFERROR(INDEX(lst_frequencia_meses,MATCH(Planos!$E126,lst_frequencia,0)),0)&gt;0,(ano_ref*12+6)-(YEAR(Planos!$G126)*12+MONTH(Planos!$G126))&gt;0,MOD((ano_ref*12+6)-(YEAR(Planos!$G126)*12+MONTH(Planos!$G126)),MAX(1,IFERROR(INDEX(lst_frequencia_meses,MATCH(Planos!$E126,lst_frequencia,0)),0)))=0),"●","")))</f>
      </c>
      <c r="J127" s="43">
        <f>IF(NOT(Planos!$A126&lt;&gt;""),"",IF(COUNTIFS(Programação!$B$4:$B$503,Planos!$A126,Programação!$I$4:$I$503,"Concluído",Programação!$G$4:$G$503,"&gt;="&amp;DATE(ano_ref,7,1),Programação!$G$4:$G$503,"&lt;="&amp;EOMONTH(DATE(ano_ref,7,1),0))&gt;0,"✔",IF(AND(ISNUMBER(Planos!$G126),IFERROR(INDEX(lst_frequencia_meses,MATCH(Planos!$E126,lst_frequencia,0)),0)&gt;0,(ano_ref*12+7)-(YEAR(Planos!$G126)*12+MONTH(Planos!$G126))&gt;0,MOD((ano_ref*12+7)-(YEAR(Planos!$G126)*12+MONTH(Planos!$G126)),MAX(1,IFERROR(INDEX(lst_frequencia_meses,MATCH(Planos!$E126,lst_frequencia,0)),0)))=0),"●","")))</f>
      </c>
      <c r="K127" s="43">
        <f>IF(NOT(Planos!$A126&lt;&gt;""),"",IF(COUNTIFS(Programação!$B$4:$B$503,Planos!$A126,Programação!$I$4:$I$503,"Concluído",Programação!$G$4:$G$503,"&gt;="&amp;DATE(ano_ref,8,1),Programação!$G$4:$G$503,"&lt;="&amp;EOMONTH(DATE(ano_ref,8,1),0))&gt;0,"✔",IF(AND(ISNUMBER(Planos!$G126),IFERROR(INDEX(lst_frequencia_meses,MATCH(Planos!$E126,lst_frequencia,0)),0)&gt;0,(ano_ref*12+8)-(YEAR(Planos!$G126)*12+MONTH(Planos!$G126))&gt;0,MOD((ano_ref*12+8)-(YEAR(Planos!$G126)*12+MONTH(Planos!$G126)),MAX(1,IFERROR(INDEX(lst_frequencia_meses,MATCH(Planos!$E126,lst_frequencia,0)),0)))=0),"●","")))</f>
      </c>
      <c r="L127" s="43">
        <f>IF(NOT(Planos!$A126&lt;&gt;""),"",IF(COUNTIFS(Programação!$B$4:$B$503,Planos!$A126,Programação!$I$4:$I$503,"Concluído",Programação!$G$4:$G$503,"&gt;="&amp;DATE(ano_ref,9,1),Programação!$G$4:$G$503,"&lt;="&amp;EOMONTH(DATE(ano_ref,9,1),0))&gt;0,"✔",IF(AND(ISNUMBER(Planos!$G126),IFERROR(INDEX(lst_frequencia_meses,MATCH(Planos!$E126,lst_frequencia,0)),0)&gt;0,(ano_ref*12+9)-(YEAR(Planos!$G126)*12+MONTH(Planos!$G126))&gt;0,MOD((ano_ref*12+9)-(YEAR(Planos!$G126)*12+MONTH(Planos!$G126)),MAX(1,IFERROR(INDEX(lst_frequencia_meses,MATCH(Planos!$E126,lst_frequencia,0)),0)))=0),"●","")))</f>
      </c>
      <c r="M127" s="43">
        <f>IF(NOT(Planos!$A126&lt;&gt;""),"",IF(COUNTIFS(Programação!$B$4:$B$503,Planos!$A126,Programação!$I$4:$I$503,"Concluído",Programação!$G$4:$G$503,"&gt;="&amp;DATE(ano_ref,10,1),Programação!$G$4:$G$503,"&lt;="&amp;EOMONTH(DATE(ano_ref,10,1),0))&gt;0,"✔",IF(AND(ISNUMBER(Planos!$G126),IFERROR(INDEX(lst_frequencia_meses,MATCH(Planos!$E126,lst_frequencia,0)),0)&gt;0,(ano_ref*12+10)-(YEAR(Planos!$G126)*12+MONTH(Planos!$G126))&gt;0,MOD((ano_ref*12+10)-(YEAR(Planos!$G126)*12+MONTH(Planos!$G126)),MAX(1,IFERROR(INDEX(lst_frequencia_meses,MATCH(Planos!$E126,lst_frequencia,0)),0)))=0),"●","")))</f>
      </c>
      <c r="N127" s="43">
        <f>IF(NOT(Planos!$A126&lt;&gt;""),"",IF(COUNTIFS(Programação!$B$4:$B$503,Planos!$A126,Programação!$I$4:$I$503,"Concluído",Programação!$G$4:$G$503,"&gt;="&amp;DATE(ano_ref,11,1),Programação!$G$4:$G$503,"&lt;="&amp;EOMONTH(DATE(ano_ref,11,1),0))&gt;0,"✔",IF(AND(ISNUMBER(Planos!$G126),IFERROR(INDEX(lst_frequencia_meses,MATCH(Planos!$E126,lst_frequencia,0)),0)&gt;0,(ano_ref*12+11)-(YEAR(Planos!$G126)*12+MONTH(Planos!$G126))&gt;0,MOD((ano_ref*12+11)-(YEAR(Planos!$G126)*12+MONTH(Planos!$G126)),MAX(1,IFERROR(INDEX(lst_frequencia_meses,MATCH(Planos!$E126,lst_frequencia,0)),0)))=0),"●","")))</f>
      </c>
      <c r="O127" s="43">
        <f>IF(NOT(Planos!$A126&lt;&gt;""),"",IF(COUNTIFS(Programação!$B$4:$B$503,Planos!$A126,Programação!$I$4:$I$503,"Concluído",Programação!$G$4:$G$503,"&gt;="&amp;DATE(ano_ref,12,1),Programação!$G$4:$G$503,"&lt;="&amp;EOMONTH(DATE(ano_ref,12,1),0))&gt;0,"✔",IF(AND(ISNUMBER(Planos!$G126),IFERROR(INDEX(lst_frequencia_meses,MATCH(Planos!$E126,lst_frequencia,0)),0)&gt;0,(ano_ref*12+12)-(YEAR(Planos!$G126)*12+MONTH(Planos!$G126))&gt;0,MOD((ano_ref*12+12)-(YEAR(Planos!$G126)*12+MONTH(Planos!$G126)),MAX(1,IFERROR(INDEX(lst_frequencia_meses,MATCH(Planos!$E126,lst_frequencia,0)),0)))=0),"●","")))</f>
      </c>
      <c r="P127" s="44">
        <f>IF(COUNTIF(D127:O127,"✔")+COUNTIF(D127:O127,"●")=0,"",COUNTIF(D127:O127,"✔")/(COUNTIF(D127:O127,"✔")+COUNTIF(D127:O127,"●")))</f>
      </c>
    </row>
    <row r="128" spans="1:16" x14ac:dyDescent="0.25">
      <c r="A128" s="43">
        <f>IF(Planos!$A127&lt;&gt;"",Planos!A127&amp;"","")</f>
      </c>
      <c r="B128" s="43">
        <f>IF(Planos!$A127&lt;&gt;"",Planos!B127&amp;"","")</f>
      </c>
      <c r="C128" s="24">
        <f>IF(Planos!$A127&lt;&gt;"",Planos!C127&amp;"","")</f>
      </c>
      <c r="D128" s="43">
        <f>IF(NOT(Planos!$A127&lt;&gt;""),"",IF(COUNTIFS(Programação!$B$4:$B$503,Planos!$A127,Programação!$I$4:$I$503,"Concluído",Programação!$G$4:$G$503,"&gt;="&amp;DATE(ano_ref,1,1),Programação!$G$4:$G$503,"&lt;="&amp;EOMONTH(DATE(ano_ref,1,1),0))&gt;0,"✔",IF(AND(ISNUMBER(Planos!$G127),IFERROR(INDEX(lst_frequencia_meses,MATCH(Planos!$E127,lst_frequencia,0)),0)&gt;0,(ano_ref*12+1)-(YEAR(Planos!$G127)*12+MONTH(Planos!$G127))&gt;0,MOD((ano_ref*12+1)-(YEAR(Planos!$G127)*12+MONTH(Planos!$G127)),MAX(1,IFERROR(INDEX(lst_frequencia_meses,MATCH(Planos!$E127,lst_frequencia,0)),0)))=0),"●","")))</f>
      </c>
      <c r="E128" s="43">
        <f>IF(NOT(Planos!$A127&lt;&gt;""),"",IF(COUNTIFS(Programação!$B$4:$B$503,Planos!$A127,Programação!$I$4:$I$503,"Concluído",Programação!$G$4:$G$503,"&gt;="&amp;DATE(ano_ref,2,1),Programação!$G$4:$G$503,"&lt;="&amp;EOMONTH(DATE(ano_ref,2,1),0))&gt;0,"✔",IF(AND(ISNUMBER(Planos!$G127),IFERROR(INDEX(lst_frequencia_meses,MATCH(Planos!$E127,lst_frequencia,0)),0)&gt;0,(ano_ref*12+2)-(YEAR(Planos!$G127)*12+MONTH(Planos!$G127))&gt;0,MOD((ano_ref*12+2)-(YEAR(Planos!$G127)*12+MONTH(Planos!$G127)),MAX(1,IFERROR(INDEX(lst_frequencia_meses,MATCH(Planos!$E127,lst_frequencia,0)),0)))=0),"●","")))</f>
      </c>
      <c r="F128" s="43">
        <f>IF(NOT(Planos!$A127&lt;&gt;""),"",IF(COUNTIFS(Programação!$B$4:$B$503,Planos!$A127,Programação!$I$4:$I$503,"Concluído",Programação!$G$4:$G$503,"&gt;="&amp;DATE(ano_ref,3,1),Programação!$G$4:$G$503,"&lt;="&amp;EOMONTH(DATE(ano_ref,3,1),0))&gt;0,"✔",IF(AND(ISNUMBER(Planos!$G127),IFERROR(INDEX(lst_frequencia_meses,MATCH(Planos!$E127,lst_frequencia,0)),0)&gt;0,(ano_ref*12+3)-(YEAR(Planos!$G127)*12+MONTH(Planos!$G127))&gt;0,MOD((ano_ref*12+3)-(YEAR(Planos!$G127)*12+MONTH(Planos!$G127)),MAX(1,IFERROR(INDEX(lst_frequencia_meses,MATCH(Planos!$E127,lst_frequencia,0)),0)))=0),"●","")))</f>
      </c>
      <c r="G128" s="43">
        <f>IF(NOT(Planos!$A127&lt;&gt;""),"",IF(COUNTIFS(Programação!$B$4:$B$503,Planos!$A127,Programação!$I$4:$I$503,"Concluído",Programação!$G$4:$G$503,"&gt;="&amp;DATE(ano_ref,4,1),Programação!$G$4:$G$503,"&lt;="&amp;EOMONTH(DATE(ano_ref,4,1),0))&gt;0,"✔",IF(AND(ISNUMBER(Planos!$G127),IFERROR(INDEX(lst_frequencia_meses,MATCH(Planos!$E127,lst_frequencia,0)),0)&gt;0,(ano_ref*12+4)-(YEAR(Planos!$G127)*12+MONTH(Planos!$G127))&gt;0,MOD((ano_ref*12+4)-(YEAR(Planos!$G127)*12+MONTH(Planos!$G127)),MAX(1,IFERROR(INDEX(lst_frequencia_meses,MATCH(Planos!$E127,lst_frequencia,0)),0)))=0),"●","")))</f>
      </c>
      <c r="H128" s="43">
        <f>IF(NOT(Planos!$A127&lt;&gt;""),"",IF(COUNTIFS(Programação!$B$4:$B$503,Planos!$A127,Programação!$I$4:$I$503,"Concluído",Programação!$G$4:$G$503,"&gt;="&amp;DATE(ano_ref,5,1),Programação!$G$4:$G$503,"&lt;="&amp;EOMONTH(DATE(ano_ref,5,1),0))&gt;0,"✔",IF(AND(ISNUMBER(Planos!$G127),IFERROR(INDEX(lst_frequencia_meses,MATCH(Planos!$E127,lst_frequencia,0)),0)&gt;0,(ano_ref*12+5)-(YEAR(Planos!$G127)*12+MONTH(Planos!$G127))&gt;0,MOD((ano_ref*12+5)-(YEAR(Planos!$G127)*12+MONTH(Planos!$G127)),MAX(1,IFERROR(INDEX(lst_frequencia_meses,MATCH(Planos!$E127,lst_frequencia,0)),0)))=0),"●","")))</f>
      </c>
      <c r="I128" s="43">
        <f>IF(NOT(Planos!$A127&lt;&gt;""),"",IF(COUNTIFS(Programação!$B$4:$B$503,Planos!$A127,Programação!$I$4:$I$503,"Concluído",Programação!$G$4:$G$503,"&gt;="&amp;DATE(ano_ref,6,1),Programação!$G$4:$G$503,"&lt;="&amp;EOMONTH(DATE(ano_ref,6,1),0))&gt;0,"✔",IF(AND(ISNUMBER(Planos!$G127),IFERROR(INDEX(lst_frequencia_meses,MATCH(Planos!$E127,lst_frequencia,0)),0)&gt;0,(ano_ref*12+6)-(YEAR(Planos!$G127)*12+MONTH(Planos!$G127))&gt;0,MOD((ano_ref*12+6)-(YEAR(Planos!$G127)*12+MONTH(Planos!$G127)),MAX(1,IFERROR(INDEX(lst_frequencia_meses,MATCH(Planos!$E127,lst_frequencia,0)),0)))=0),"●","")))</f>
      </c>
      <c r="J128" s="43">
        <f>IF(NOT(Planos!$A127&lt;&gt;""),"",IF(COUNTIFS(Programação!$B$4:$B$503,Planos!$A127,Programação!$I$4:$I$503,"Concluído",Programação!$G$4:$G$503,"&gt;="&amp;DATE(ano_ref,7,1),Programação!$G$4:$G$503,"&lt;="&amp;EOMONTH(DATE(ano_ref,7,1),0))&gt;0,"✔",IF(AND(ISNUMBER(Planos!$G127),IFERROR(INDEX(lst_frequencia_meses,MATCH(Planos!$E127,lst_frequencia,0)),0)&gt;0,(ano_ref*12+7)-(YEAR(Planos!$G127)*12+MONTH(Planos!$G127))&gt;0,MOD((ano_ref*12+7)-(YEAR(Planos!$G127)*12+MONTH(Planos!$G127)),MAX(1,IFERROR(INDEX(lst_frequencia_meses,MATCH(Planos!$E127,lst_frequencia,0)),0)))=0),"●","")))</f>
      </c>
      <c r="K128" s="43">
        <f>IF(NOT(Planos!$A127&lt;&gt;""),"",IF(COUNTIFS(Programação!$B$4:$B$503,Planos!$A127,Programação!$I$4:$I$503,"Concluído",Programação!$G$4:$G$503,"&gt;="&amp;DATE(ano_ref,8,1),Programação!$G$4:$G$503,"&lt;="&amp;EOMONTH(DATE(ano_ref,8,1),0))&gt;0,"✔",IF(AND(ISNUMBER(Planos!$G127),IFERROR(INDEX(lst_frequencia_meses,MATCH(Planos!$E127,lst_frequencia,0)),0)&gt;0,(ano_ref*12+8)-(YEAR(Planos!$G127)*12+MONTH(Planos!$G127))&gt;0,MOD((ano_ref*12+8)-(YEAR(Planos!$G127)*12+MONTH(Planos!$G127)),MAX(1,IFERROR(INDEX(lst_frequencia_meses,MATCH(Planos!$E127,lst_frequencia,0)),0)))=0),"●","")))</f>
      </c>
      <c r="L128" s="43">
        <f>IF(NOT(Planos!$A127&lt;&gt;""),"",IF(COUNTIFS(Programação!$B$4:$B$503,Planos!$A127,Programação!$I$4:$I$503,"Concluído",Programação!$G$4:$G$503,"&gt;="&amp;DATE(ano_ref,9,1),Programação!$G$4:$G$503,"&lt;="&amp;EOMONTH(DATE(ano_ref,9,1),0))&gt;0,"✔",IF(AND(ISNUMBER(Planos!$G127),IFERROR(INDEX(lst_frequencia_meses,MATCH(Planos!$E127,lst_frequencia,0)),0)&gt;0,(ano_ref*12+9)-(YEAR(Planos!$G127)*12+MONTH(Planos!$G127))&gt;0,MOD((ano_ref*12+9)-(YEAR(Planos!$G127)*12+MONTH(Planos!$G127)),MAX(1,IFERROR(INDEX(lst_frequencia_meses,MATCH(Planos!$E127,lst_frequencia,0)),0)))=0),"●","")))</f>
      </c>
      <c r="M128" s="43">
        <f>IF(NOT(Planos!$A127&lt;&gt;""),"",IF(COUNTIFS(Programação!$B$4:$B$503,Planos!$A127,Programação!$I$4:$I$503,"Concluído",Programação!$G$4:$G$503,"&gt;="&amp;DATE(ano_ref,10,1),Programação!$G$4:$G$503,"&lt;="&amp;EOMONTH(DATE(ano_ref,10,1),0))&gt;0,"✔",IF(AND(ISNUMBER(Planos!$G127),IFERROR(INDEX(lst_frequencia_meses,MATCH(Planos!$E127,lst_frequencia,0)),0)&gt;0,(ano_ref*12+10)-(YEAR(Planos!$G127)*12+MONTH(Planos!$G127))&gt;0,MOD((ano_ref*12+10)-(YEAR(Planos!$G127)*12+MONTH(Planos!$G127)),MAX(1,IFERROR(INDEX(lst_frequencia_meses,MATCH(Planos!$E127,lst_frequencia,0)),0)))=0),"●","")))</f>
      </c>
      <c r="N128" s="43">
        <f>IF(NOT(Planos!$A127&lt;&gt;""),"",IF(COUNTIFS(Programação!$B$4:$B$503,Planos!$A127,Programação!$I$4:$I$503,"Concluído",Programação!$G$4:$G$503,"&gt;="&amp;DATE(ano_ref,11,1),Programação!$G$4:$G$503,"&lt;="&amp;EOMONTH(DATE(ano_ref,11,1),0))&gt;0,"✔",IF(AND(ISNUMBER(Planos!$G127),IFERROR(INDEX(lst_frequencia_meses,MATCH(Planos!$E127,lst_frequencia,0)),0)&gt;0,(ano_ref*12+11)-(YEAR(Planos!$G127)*12+MONTH(Planos!$G127))&gt;0,MOD((ano_ref*12+11)-(YEAR(Planos!$G127)*12+MONTH(Planos!$G127)),MAX(1,IFERROR(INDEX(lst_frequencia_meses,MATCH(Planos!$E127,lst_frequencia,0)),0)))=0),"●","")))</f>
      </c>
      <c r="O128" s="43">
        <f>IF(NOT(Planos!$A127&lt;&gt;""),"",IF(COUNTIFS(Programação!$B$4:$B$503,Planos!$A127,Programação!$I$4:$I$503,"Concluído",Programação!$G$4:$G$503,"&gt;="&amp;DATE(ano_ref,12,1),Programação!$G$4:$G$503,"&lt;="&amp;EOMONTH(DATE(ano_ref,12,1),0))&gt;0,"✔",IF(AND(ISNUMBER(Planos!$G127),IFERROR(INDEX(lst_frequencia_meses,MATCH(Planos!$E127,lst_frequencia,0)),0)&gt;0,(ano_ref*12+12)-(YEAR(Planos!$G127)*12+MONTH(Planos!$G127))&gt;0,MOD((ano_ref*12+12)-(YEAR(Planos!$G127)*12+MONTH(Planos!$G127)),MAX(1,IFERROR(INDEX(lst_frequencia_meses,MATCH(Planos!$E127,lst_frequencia,0)),0)))=0),"●","")))</f>
      </c>
      <c r="P128" s="44">
        <f>IF(COUNTIF(D128:O128,"✔")+COUNTIF(D128:O128,"●")=0,"",COUNTIF(D128:O128,"✔")/(COUNTIF(D128:O128,"✔")+COUNTIF(D128:O128,"●")))</f>
      </c>
    </row>
    <row r="129" spans="1:16" x14ac:dyDescent="0.25">
      <c r="A129" s="43">
        <f>IF(Planos!$A128&lt;&gt;"",Planos!A128&amp;"","")</f>
      </c>
      <c r="B129" s="43">
        <f>IF(Planos!$A128&lt;&gt;"",Planos!B128&amp;"","")</f>
      </c>
      <c r="C129" s="24">
        <f>IF(Planos!$A128&lt;&gt;"",Planos!C128&amp;"","")</f>
      </c>
      <c r="D129" s="43">
        <f>IF(NOT(Planos!$A128&lt;&gt;""),"",IF(COUNTIFS(Programação!$B$4:$B$503,Planos!$A128,Programação!$I$4:$I$503,"Concluído",Programação!$G$4:$G$503,"&gt;="&amp;DATE(ano_ref,1,1),Programação!$G$4:$G$503,"&lt;="&amp;EOMONTH(DATE(ano_ref,1,1),0))&gt;0,"✔",IF(AND(ISNUMBER(Planos!$G128),IFERROR(INDEX(lst_frequencia_meses,MATCH(Planos!$E128,lst_frequencia,0)),0)&gt;0,(ano_ref*12+1)-(YEAR(Planos!$G128)*12+MONTH(Planos!$G128))&gt;0,MOD((ano_ref*12+1)-(YEAR(Planos!$G128)*12+MONTH(Planos!$G128)),MAX(1,IFERROR(INDEX(lst_frequencia_meses,MATCH(Planos!$E128,lst_frequencia,0)),0)))=0),"●","")))</f>
      </c>
      <c r="E129" s="43">
        <f>IF(NOT(Planos!$A128&lt;&gt;""),"",IF(COUNTIFS(Programação!$B$4:$B$503,Planos!$A128,Programação!$I$4:$I$503,"Concluído",Programação!$G$4:$G$503,"&gt;="&amp;DATE(ano_ref,2,1),Programação!$G$4:$G$503,"&lt;="&amp;EOMONTH(DATE(ano_ref,2,1),0))&gt;0,"✔",IF(AND(ISNUMBER(Planos!$G128),IFERROR(INDEX(lst_frequencia_meses,MATCH(Planos!$E128,lst_frequencia,0)),0)&gt;0,(ano_ref*12+2)-(YEAR(Planos!$G128)*12+MONTH(Planos!$G128))&gt;0,MOD((ano_ref*12+2)-(YEAR(Planos!$G128)*12+MONTH(Planos!$G128)),MAX(1,IFERROR(INDEX(lst_frequencia_meses,MATCH(Planos!$E128,lst_frequencia,0)),0)))=0),"●","")))</f>
      </c>
      <c r="F129" s="43">
        <f>IF(NOT(Planos!$A128&lt;&gt;""),"",IF(COUNTIFS(Programação!$B$4:$B$503,Planos!$A128,Programação!$I$4:$I$503,"Concluído",Programação!$G$4:$G$503,"&gt;="&amp;DATE(ano_ref,3,1),Programação!$G$4:$G$503,"&lt;="&amp;EOMONTH(DATE(ano_ref,3,1),0))&gt;0,"✔",IF(AND(ISNUMBER(Planos!$G128),IFERROR(INDEX(lst_frequencia_meses,MATCH(Planos!$E128,lst_frequencia,0)),0)&gt;0,(ano_ref*12+3)-(YEAR(Planos!$G128)*12+MONTH(Planos!$G128))&gt;0,MOD((ano_ref*12+3)-(YEAR(Planos!$G128)*12+MONTH(Planos!$G128)),MAX(1,IFERROR(INDEX(lst_frequencia_meses,MATCH(Planos!$E128,lst_frequencia,0)),0)))=0),"●","")))</f>
      </c>
      <c r="G129" s="43">
        <f>IF(NOT(Planos!$A128&lt;&gt;""),"",IF(COUNTIFS(Programação!$B$4:$B$503,Planos!$A128,Programação!$I$4:$I$503,"Concluído",Programação!$G$4:$G$503,"&gt;="&amp;DATE(ano_ref,4,1),Programação!$G$4:$G$503,"&lt;="&amp;EOMONTH(DATE(ano_ref,4,1),0))&gt;0,"✔",IF(AND(ISNUMBER(Planos!$G128),IFERROR(INDEX(lst_frequencia_meses,MATCH(Planos!$E128,lst_frequencia,0)),0)&gt;0,(ano_ref*12+4)-(YEAR(Planos!$G128)*12+MONTH(Planos!$G128))&gt;0,MOD((ano_ref*12+4)-(YEAR(Planos!$G128)*12+MONTH(Planos!$G128)),MAX(1,IFERROR(INDEX(lst_frequencia_meses,MATCH(Planos!$E128,lst_frequencia,0)),0)))=0),"●","")))</f>
      </c>
      <c r="H129" s="43">
        <f>IF(NOT(Planos!$A128&lt;&gt;""),"",IF(COUNTIFS(Programação!$B$4:$B$503,Planos!$A128,Programação!$I$4:$I$503,"Concluído",Programação!$G$4:$G$503,"&gt;="&amp;DATE(ano_ref,5,1),Programação!$G$4:$G$503,"&lt;="&amp;EOMONTH(DATE(ano_ref,5,1),0))&gt;0,"✔",IF(AND(ISNUMBER(Planos!$G128),IFERROR(INDEX(lst_frequencia_meses,MATCH(Planos!$E128,lst_frequencia,0)),0)&gt;0,(ano_ref*12+5)-(YEAR(Planos!$G128)*12+MONTH(Planos!$G128))&gt;0,MOD((ano_ref*12+5)-(YEAR(Planos!$G128)*12+MONTH(Planos!$G128)),MAX(1,IFERROR(INDEX(lst_frequencia_meses,MATCH(Planos!$E128,lst_frequencia,0)),0)))=0),"●","")))</f>
      </c>
      <c r="I129" s="43">
        <f>IF(NOT(Planos!$A128&lt;&gt;""),"",IF(COUNTIFS(Programação!$B$4:$B$503,Planos!$A128,Programação!$I$4:$I$503,"Concluído",Programação!$G$4:$G$503,"&gt;="&amp;DATE(ano_ref,6,1),Programação!$G$4:$G$503,"&lt;="&amp;EOMONTH(DATE(ano_ref,6,1),0))&gt;0,"✔",IF(AND(ISNUMBER(Planos!$G128),IFERROR(INDEX(lst_frequencia_meses,MATCH(Planos!$E128,lst_frequencia,0)),0)&gt;0,(ano_ref*12+6)-(YEAR(Planos!$G128)*12+MONTH(Planos!$G128))&gt;0,MOD((ano_ref*12+6)-(YEAR(Planos!$G128)*12+MONTH(Planos!$G128)),MAX(1,IFERROR(INDEX(lst_frequencia_meses,MATCH(Planos!$E128,lst_frequencia,0)),0)))=0),"●","")))</f>
      </c>
      <c r="J129" s="43">
        <f>IF(NOT(Planos!$A128&lt;&gt;""),"",IF(COUNTIFS(Programação!$B$4:$B$503,Planos!$A128,Programação!$I$4:$I$503,"Concluído",Programação!$G$4:$G$503,"&gt;="&amp;DATE(ano_ref,7,1),Programação!$G$4:$G$503,"&lt;="&amp;EOMONTH(DATE(ano_ref,7,1),0))&gt;0,"✔",IF(AND(ISNUMBER(Planos!$G128),IFERROR(INDEX(lst_frequencia_meses,MATCH(Planos!$E128,lst_frequencia,0)),0)&gt;0,(ano_ref*12+7)-(YEAR(Planos!$G128)*12+MONTH(Planos!$G128))&gt;0,MOD((ano_ref*12+7)-(YEAR(Planos!$G128)*12+MONTH(Planos!$G128)),MAX(1,IFERROR(INDEX(lst_frequencia_meses,MATCH(Planos!$E128,lst_frequencia,0)),0)))=0),"●","")))</f>
      </c>
      <c r="K129" s="43">
        <f>IF(NOT(Planos!$A128&lt;&gt;""),"",IF(COUNTIFS(Programação!$B$4:$B$503,Planos!$A128,Programação!$I$4:$I$503,"Concluído",Programação!$G$4:$G$503,"&gt;="&amp;DATE(ano_ref,8,1),Programação!$G$4:$G$503,"&lt;="&amp;EOMONTH(DATE(ano_ref,8,1),0))&gt;0,"✔",IF(AND(ISNUMBER(Planos!$G128),IFERROR(INDEX(lst_frequencia_meses,MATCH(Planos!$E128,lst_frequencia,0)),0)&gt;0,(ano_ref*12+8)-(YEAR(Planos!$G128)*12+MONTH(Planos!$G128))&gt;0,MOD((ano_ref*12+8)-(YEAR(Planos!$G128)*12+MONTH(Planos!$G128)),MAX(1,IFERROR(INDEX(lst_frequencia_meses,MATCH(Planos!$E128,lst_frequencia,0)),0)))=0),"●","")))</f>
      </c>
      <c r="L129" s="43">
        <f>IF(NOT(Planos!$A128&lt;&gt;""),"",IF(COUNTIFS(Programação!$B$4:$B$503,Planos!$A128,Programação!$I$4:$I$503,"Concluído",Programação!$G$4:$G$503,"&gt;="&amp;DATE(ano_ref,9,1),Programação!$G$4:$G$503,"&lt;="&amp;EOMONTH(DATE(ano_ref,9,1),0))&gt;0,"✔",IF(AND(ISNUMBER(Planos!$G128),IFERROR(INDEX(lst_frequencia_meses,MATCH(Planos!$E128,lst_frequencia,0)),0)&gt;0,(ano_ref*12+9)-(YEAR(Planos!$G128)*12+MONTH(Planos!$G128))&gt;0,MOD((ano_ref*12+9)-(YEAR(Planos!$G128)*12+MONTH(Planos!$G128)),MAX(1,IFERROR(INDEX(lst_frequencia_meses,MATCH(Planos!$E128,lst_frequencia,0)),0)))=0),"●","")))</f>
      </c>
      <c r="M129" s="43">
        <f>IF(NOT(Planos!$A128&lt;&gt;""),"",IF(COUNTIFS(Programação!$B$4:$B$503,Planos!$A128,Programação!$I$4:$I$503,"Concluído",Programação!$G$4:$G$503,"&gt;="&amp;DATE(ano_ref,10,1),Programação!$G$4:$G$503,"&lt;="&amp;EOMONTH(DATE(ano_ref,10,1),0))&gt;0,"✔",IF(AND(ISNUMBER(Planos!$G128),IFERROR(INDEX(lst_frequencia_meses,MATCH(Planos!$E128,lst_frequencia,0)),0)&gt;0,(ano_ref*12+10)-(YEAR(Planos!$G128)*12+MONTH(Planos!$G128))&gt;0,MOD((ano_ref*12+10)-(YEAR(Planos!$G128)*12+MONTH(Planos!$G128)),MAX(1,IFERROR(INDEX(lst_frequencia_meses,MATCH(Planos!$E128,lst_frequencia,0)),0)))=0),"●","")))</f>
      </c>
      <c r="N129" s="43">
        <f>IF(NOT(Planos!$A128&lt;&gt;""),"",IF(COUNTIFS(Programação!$B$4:$B$503,Planos!$A128,Programação!$I$4:$I$503,"Concluído",Programação!$G$4:$G$503,"&gt;="&amp;DATE(ano_ref,11,1),Programação!$G$4:$G$503,"&lt;="&amp;EOMONTH(DATE(ano_ref,11,1),0))&gt;0,"✔",IF(AND(ISNUMBER(Planos!$G128),IFERROR(INDEX(lst_frequencia_meses,MATCH(Planos!$E128,lst_frequencia,0)),0)&gt;0,(ano_ref*12+11)-(YEAR(Planos!$G128)*12+MONTH(Planos!$G128))&gt;0,MOD((ano_ref*12+11)-(YEAR(Planos!$G128)*12+MONTH(Planos!$G128)),MAX(1,IFERROR(INDEX(lst_frequencia_meses,MATCH(Planos!$E128,lst_frequencia,0)),0)))=0),"●","")))</f>
      </c>
      <c r="O129" s="43">
        <f>IF(NOT(Planos!$A128&lt;&gt;""),"",IF(COUNTIFS(Programação!$B$4:$B$503,Planos!$A128,Programação!$I$4:$I$503,"Concluído",Programação!$G$4:$G$503,"&gt;="&amp;DATE(ano_ref,12,1),Programação!$G$4:$G$503,"&lt;="&amp;EOMONTH(DATE(ano_ref,12,1),0))&gt;0,"✔",IF(AND(ISNUMBER(Planos!$G128),IFERROR(INDEX(lst_frequencia_meses,MATCH(Planos!$E128,lst_frequencia,0)),0)&gt;0,(ano_ref*12+12)-(YEAR(Planos!$G128)*12+MONTH(Planos!$G128))&gt;0,MOD((ano_ref*12+12)-(YEAR(Planos!$G128)*12+MONTH(Planos!$G128)),MAX(1,IFERROR(INDEX(lst_frequencia_meses,MATCH(Planos!$E128,lst_frequencia,0)),0)))=0),"●","")))</f>
      </c>
      <c r="P129" s="44">
        <f>IF(COUNTIF(D129:O129,"✔")+COUNTIF(D129:O129,"●")=0,"",COUNTIF(D129:O129,"✔")/(COUNTIF(D129:O129,"✔")+COUNTIF(D129:O129,"●")))</f>
      </c>
    </row>
    <row r="130" spans="1:16" x14ac:dyDescent="0.25">
      <c r="A130" s="43">
        <f>IF(Planos!$A129&lt;&gt;"",Planos!A129&amp;"","")</f>
      </c>
      <c r="B130" s="43">
        <f>IF(Planos!$A129&lt;&gt;"",Planos!B129&amp;"","")</f>
      </c>
      <c r="C130" s="24">
        <f>IF(Planos!$A129&lt;&gt;"",Planos!C129&amp;"","")</f>
      </c>
      <c r="D130" s="43">
        <f>IF(NOT(Planos!$A129&lt;&gt;""),"",IF(COUNTIFS(Programação!$B$4:$B$503,Planos!$A129,Programação!$I$4:$I$503,"Concluído",Programação!$G$4:$G$503,"&gt;="&amp;DATE(ano_ref,1,1),Programação!$G$4:$G$503,"&lt;="&amp;EOMONTH(DATE(ano_ref,1,1),0))&gt;0,"✔",IF(AND(ISNUMBER(Planos!$G129),IFERROR(INDEX(lst_frequencia_meses,MATCH(Planos!$E129,lst_frequencia,0)),0)&gt;0,(ano_ref*12+1)-(YEAR(Planos!$G129)*12+MONTH(Planos!$G129))&gt;0,MOD((ano_ref*12+1)-(YEAR(Planos!$G129)*12+MONTH(Planos!$G129)),MAX(1,IFERROR(INDEX(lst_frequencia_meses,MATCH(Planos!$E129,lst_frequencia,0)),0)))=0),"●","")))</f>
      </c>
      <c r="E130" s="43">
        <f>IF(NOT(Planos!$A129&lt;&gt;""),"",IF(COUNTIFS(Programação!$B$4:$B$503,Planos!$A129,Programação!$I$4:$I$503,"Concluído",Programação!$G$4:$G$503,"&gt;="&amp;DATE(ano_ref,2,1),Programação!$G$4:$G$503,"&lt;="&amp;EOMONTH(DATE(ano_ref,2,1),0))&gt;0,"✔",IF(AND(ISNUMBER(Planos!$G129),IFERROR(INDEX(lst_frequencia_meses,MATCH(Planos!$E129,lst_frequencia,0)),0)&gt;0,(ano_ref*12+2)-(YEAR(Planos!$G129)*12+MONTH(Planos!$G129))&gt;0,MOD((ano_ref*12+2)-(YEAR(Planos!$G129)*12+MONTH(Planos!$G129)),MAX(1,IFERROR(INDEX(lst_frequencia_meses,MATCH(Planos!$E129,lst_frequencia,0)),0)))=0),"●","")))</f>
      </c>
      <c r="F130" s="43">
        <f>IF(NOT(Planos!$A129&lt;&gt;""),"",IF(COUNTIFS(Programação!$B$4:$B$503,Planos!$A129,Programação!$I$4:$I$503,"Concluído",Programação!$G$4:$G$503,"&gt;="&amp;DATE(ano_ref,3,1),Programação!$G$4:$G$503,"&lt;="&amp;EOMONTH(DATE(ano_ref,3,1),0))&gt;0,"✔",IF(AND(ISNUMBER(Planos!$G129),IFERROR(INDEX(lst_frequencia_meses,MATCH(Planos!$E129,lst_frequencia,0)),0)&gt;0,(ano_ref*12+3)-(YEAR(Planos!$G129)*12+MONTH(Planos!$G129))&gt;0,MOD((ano_ref*12+3)-(YEAR(Planos!$G129)*12+MONTH(Planos!$G129)),MAX(1,IFERROR(INDEX(lst_frequencia_meses,MATCH(Planos!$E129,lst_frequencia,0)),0)))=0),"●","")))</f>
      </c>
      <c r="G130" s="43">
        <f>IF(NOT(Planos!$A129&lt;&gt;""),"",IF(COUNTIFS(Programação!$B$4:$B$503,Planos!$A129,Programação!$I$4:$I$503,"Concluído",Programação!$G$4:$G$503,"&gt;="&amp;DATE(ano_ref,4,1),Programação!$G$4:$G$503,"&lt;="&amp;EOMONTH(DATE(ano_ref,4,1),0))&gt;0,"✔",IF(AND(ISNUMBER(Planos!$G129),IFERROR(INDEX(lst_frequencia_meses,MATCH(Planos!$E129,lst_frequencia,0)),0)&gt;0,(ano_ref*12+4)-(YEAR(Planos!$G129)*12+MONTH(Planos!$G129))&gt;0,MOD((ano_ref*12+4)-(YEAR(Planos!$G129)*12+MONTH(Planos!$G129)),MAX(1,IFERROR(INDEX(lst_frequencia_meses,MATCH(Planos!$E129,lst_frequencia,0)),0)))=0),"●","")))</f>
      </c>
      <c r="H130" s="43">
        <f>IF(NOT(Planos!$A129&lt;&gt;""),"",IF(COUNTIFS(Programação!$B$4:$B$503,Planos!$A129,Programação!$I$4:$I$503,"Concluído",Programação!$G$4:$G$503,"&gt;="&amp;DATE(ano_ref,5,1),Programação!$G$4:$G$503,"&lt;="&amp;EOMONTH(DATE(ano_ref,5,1),0))&gt;0,"✔",IF(AND(ISNUMBER(Planos!$G129),IFERROR(INDEX(lst_frequencia_meses,MATCH(Planos!$E129,lst_frequencia,0)),0)&gt;0,(ano_ref*12+5)-(YEAR(Planos!$G129)*12+MONTH(Planos!$G129))&gt;0,MOD((ano_ref*12+5)-(YEAR(Planos!$G129)*12+MONTH(Planos!$G129)),MAX(1,IFERROR(INDEX(lst_frequencia_meses,MATCH(Planos!$E129,lst_frequencia,0)),0)))=0),"●","")))</f>
      </c>
      <c r="I130" s="43">
        <f>IF(NOT(Planos!$A129&lt;&gt;""),"",IF(COUNTIFS(Programação!$B$4:$B$503,Planos!$A129,Programação!$I$4:$I$503,"Concluído",Programação!$G$4:$G$503,"&gt;="&amp;DATE(ano_ref,6,1),Programação!$G$4:$G$503,"&lt;="&amp;EOMONTH(DATE(ano_ref,6,1),0))&gt;0,"✔",IF(AND(ISNUMBER(Planos!$G129),IFERROR(INDEX(lst_frequencia_meses,MATCH(Planos!$E129,lst_frequencia,0)),0)&gt;0,(ano_ref*12+6)-(YEAR(Planos!$G129)*12+MONTH(Planos!$G129))&gt;0,MOD((ano_ref*12+6)-(YEAR(Planos!$G129)*12+MONTH(Planos!$G129)),MAX(1,IFERROR(INDEX(lst_frequencia_meses,MATCH(Planos!$E129,lst_frequencia,0)),0)))=0),"●","")))</f>
      </c>
      <c r="J130" s="43">
        <f>IF(NOT(Planos!$A129&lt;&gt;""),"",IF(COUNTIFS(Programação!$B$4:$B$503,Planos!$A129,Programação!$I$4:$I$503,"Concluído",Programação!$G$4:$G$503,"&gt;="&amp;DATE(ano_ref,7,1),Programação!$G$4:$G$503,"&lt;="&amp;EOMONTH(DATE(ano_ref,7,1),0))&gt;0,"✔",IF(AND(ISNUMBER(Planos!$G129),IFERROR(INDEX(lst_frequencia_meses,MATCH(Planos!$E129,lst_frequencia,0)),0)&gt;0,(ano_ref*12+7)-(YEAR(Planos!$G129)*12+MONTH(Planos!$G129))&gt;0,MOD((ano_ref*12+7)-(YEAR(Planos!$G129)*12+MONTH(Planos!$G129)),MAX(1,IFERROR(INDEX(lst_frequencia_meses,MATCH(Planos!$E129,lst_frequencia,0)),0)))=0),"●","")))</f>
      </c>
      <c r="K130" s="43">
        <f>IF(NOT(Planos!$A129&lt;&gt;""),"",IF(COUNTIFS(Programação!$B$4:$B$503,Planos!$A129,Programação!$I$4:$I$503,"Concluído",Programação!$G$4:$G$503,"&gt;="&amp;DATE(ano_ref,8,1),Programação!$G$4:$G$503,"&lt;="&amp;EOMONTH(DATE(ano_ref,8,1),0))&gt;0,"✔",IF(AND(ISNUMBER(Planos!$G129),IFERROR(INDEX(lst_frequencia_meses,MATCH(Planos!$E129,lst_frequencia,0)),0)&gt;0,(ano_ref*12+8)-(YEAR(Planos!$G129)*12+MONTH(Planos!$G129))&gt;0,MOD((ano_ref*12+8)-(YEAR(Planos!$G129)*12+MONTH(Planos!$G129)),MAX(1,IFERROR(INDEX(lst_frequencia_meses,MATCH(Planos!$E129,lst_frequencia,0)),0)))=0),"●","")))</f>
      </c>
      <c r="L130" s="43">
        <f>IF(NOT(Planos!$A129&lt;&gt;""),"",IF(COUNTIFS(Programação!$B$4:$B$503,Planos!$A129,Programação!$I$4:$I$503,"Concluído",Programação!$G$4:$G$503,"&gt;="&amp;DATE(ano_ref,9,1),Programação!$G$4:$G$503,"&lt;="&amp;EOMONTH(DATE(ano_ref,9,1),0))&gt;0,"✔",IF(AND(ISNUMBER(Planos!$G129),IFERROR(INDEX(lst_frequencia_meses,MATCH(Planos!$E129,lst_frequencia,0)),0)&gt;0,(ano_ref*12+9)-(YEAR(Planos!$G129)*12+MONTH(Planos!$G129))&gt;0,MOD((ano_ref*12+9)-(YEAR(Planos!$G129)*12+MONTH(Planos!$G129)),MAX(1,IFERROR(INDEX(lst_frequencia_meses,MATCH(Planos!$E129,lst_frequencia,0)),0)))=0),"●","")))</f>
      </c>
      <c r="M130" s="43">
        <f>IF(NOT(Planos!$A129&lt;&gt;""),"",IF(COUNTIFS(Programação!$B$4:$B$503,Planos!$A129,Programação!$I$4:$I$503,"Concluído",Programação!$G$4:$G$503,"&gt;="&amp;DATE(ano_ref,10,1),Programação!$G$4:$G$503,"&lt;="&amp;EOMONTH(DATE(ano_ref,10,1),0))&gt;0,"✔",IF(AND(ISNUMBER(Planos!$G129),IFERROR(INDEX(lst_frequencia_meses,MATCH(Planos!$E129,lst_frequencia,0)),0)&gt;0,(ano_ref*12+10)-(YEAR(Planos!$G129)*12+MONTH(Planos!$G129))&gt;0,MOD((ano_ref*12+10)-(YEAR(Planos!$G129)*12+MONTH(Planos!$G129)),MAX(1,IFERROR(INDEX(lst_frequencia_meses,MATCH(Planos!$E129,lst_frequencia,0)),0)))=0),"●","")))</f>
      </c>
      <c r="N130" s="43">
        <f>IF(NOT(Planos!$A129&lt;&gt;""),"",IF(COUNTIFS(Programação!$B$4:$B$503,Planos!$A129,Programação!$I$4:$I$503,"Concluído",Programação!$G$4:$G$503,"&gt;="&amp;DATE(ano_ref,11,1),Programação!$G$4:$G$503,"&lt;="&amp;EOMONTH(DATE(ano_ref,11,1),0))&gt;0,"✔",IF(AND(ISNUMBER(Planos!$G129),IFERROR(INDEX(lst_frequencia_meses,MATCH(Planos!$E129,lst_frequencia,0)),0)&gt;0,(ano_ref*12+11)-(YEAR(Planos!$G129)*12+MONTH(Planos!$G129))&gt;0,MOD((ano_ref*12+11)-(YEAR(Planos!$G129)*12+MONTH(Planos!$G129)),MAX(1,IFERROR(INDEX(lst_frequencia_meses,MATCH(Planos!$E129,lst_frequencia,0)),0)))=0),"●","")))</f>
      </c>
      <c r="O130" s="43">
        <f>IF(NOT(Planos!$A129&lt;&gt;""),"",IF(COUNTIFS(Programação!$B$4:$B$503,Planos!$A129,Programação!$I$4:$I$503,"Concluído",Programação!$G$4:$G$503,"&gt;="&amp;DATE(ano_ref,12,1),Programação!$G$4:$G$503,"&lt;="&amp;EOMONTH(DATE(ano_ref,12,1),0))&gt;0,"✔",IF(AND(ISNUMBER(Planos!$G129),IFERROR(INDEX(lst_frequencia_meses,MATCH(Planos!$E129,lst_frequencia,0)),0)&gt;0,(ano_ref*12+12)-(YEAR(Planos!$G129)*12+MONTH(Planos!$G129))&gt;0,MOD((ano_ref*12+12)-(YEAR(Planos!$G129)*12+MONTH(Planos!$G129)),MAX(1,IFERROR(INDEX(lst_frequencia_meses,MATCH(Planos!$E129,lst_frequencia,0)),0)))=0),"●","")))</f>
      </c>
      <c r="P130" s="44">
        <f>IF(COUNTIF(D130:O130,"✔")+COUNTIF(D130:O130,"●")=0,"",COUNTIF(D130:O130,"✔")/(COUNTIF(D130:O130,"✔")+COUNTIF(D130:O130,"●")))</f>
      </c>
    </row>
    <row r="131" spans="1:16" x14ac:dyDescent="0.25">
      <c r="A131" s="43">
        <f>IF(Planos!$A130&lt;&gt;"",Planos!A130&amp;"","")</f>
      </c>
      <c r="B131" s="43">
        <f>IF(Planos!$A130&lt;&gt;"",Planos!B130&amp;"","")</f>
      </c>
      <c r="C131" s="24">
        <f>IF(Planos!$A130&lt;&gt;"",Planos!C130&amp;"","")</f>
      </c>
      <c r="D131" s="43">
        <f>IF(NOT(Planos!$A130&lt;&gt;""),"",IF(COUNTIFS(Programação!$B$4:$B$503,Planos!$A130,Programação!$I$4:$I$503,"Concluído",Programação!$G$4:$G$503,"&gt;="&amp;DATE(ano_ref,1,1),Programação!$G$4:$G$503,"&lt;="&amp;EOMONTH(DATE(ano_ref,1,1),0))&gt;0,"✔",IF(AND(ISNUMBER(Planos!$G130),IFERROR(INDEX(lst_frequencia_meses,MATCH(Planos!$E130,lst_frequencia,0)),0)&gt;0,(ano_ref*12+1)-(YEAR(Planos!$G130)*12+MONTH(Planos!$G130))&gt;0,MOD((ano_ref*12+1)-(YEAR(Planos!$G130)*12+MONTH(Planos!$G130)),MAX(1,IFERROR(INDEX(lst_frequencia_meses,MATCH(Planos!$E130,lst_frequencia,0)),0)))=0),"●","")))</f>
      </c>
      <c r="E131" s="43">
        <f>IF(NOT(Planos!$A130&lt;&gt;""),"",IF(COUNTIFS(Programação!$B$4:$B$503,Planos!$A130,Programação!$I$4:$I$503,"Concluído",Programação!$G$4:$G$503,"&gt;="&amp;DATE(ano_ref,2,1),Programação!$G$4:$G$503,"&lt;="&amp;EOMONTH(DATE(ano_ref,2,1),0))&gt;0,"✔",IF(AND(ISNUMBER(Planos!$G130),IFERROR(INDEX(lst_frequencia_meses,MATCH(Planos!$E130,lst_frequencia,0)),0)&gt;0,(ano_ref*12+2)-(YEAR(Planos!$G130)*12+MONTH(Planos!$G130))&gt;0,MOD((ano_ref*12+2)-(YEAR(Planos!$G130)*12+MONTH(Planos!$G130)),MAX(1,IFERROR(INDEX(lst_frequencia_meses,MATCH(Planos!$E130,lst_frequencia,0)),0)))=0),"●","")))</f>
      </c>
      <c r="F131" s="43">
        <f>IF(NOT(Planos!$A130&lt;&gt;""),"",IF(COUNTIFS(Programação!$B$4:$B$503,Planos!$A130,Programação!$I$4:$I$503,"Concluído",Programação!$G$4:$G$503,"&gt;="&amp;DATE(ano_ref,3,1),Programação!$G$4:$G$503,"&lt;="&amp;EOMONTH(DATE(ano_ref,3,1),0))&gt;0,"✔",IF(AND(ISNUMBER(Planos!$G130),IFERROR(INDEX(lst_frequencia_meses,MATCH(Planos!$E130,lst_frequencia,0)),0)&gt;0,(ano_ref*12+3)-(YEAR(Planos!$G130)*12+MONTH(Planos!$G130))&gt;0,MOD((ano_ref*12+3)-(YEAR(Planos!$G130)*12+MONTH(Planos!$G130)),MAX(1,IFERROR(INDEX(lst_frequencia_meses,MATCH(Planos!$E130,lst_frequencia,0)),0)))=0),"●","")))</f>
      </c>
      <c r="G131" s="43">
        <f>IF(NOT(Planos!$A130&lt;&gt;""),"",IF(COUNTIFS(Programação!$B$4:$B$503,Planos!$A130,Programação!$I$4:$I$503,"Concluído",Programação!$G$4:$G$503,"&gt;="&amp;DATE(ano_ref,4,1),Programação!$G$4:$G$503,"&lt;="&amp;EOMONTH(DATE(ano_ref,4,1),0))&gt;0,"✔",IF(AND(ISNUMBER(Planos!$G130),IFERROR(INDEX(lst_frequencia_meses,MATCH(Planos!$E130,lst_frequencia,0)),0)&gt;0,(ano_ref*12+4)-(YEAR(Planos!$G130)*12+MONTH(Planos!$G130))&gt;0,MOD((ano_ref*12+4)-(YEAR(Planos!$G130)*12+MONTH(Planos!$G130)),MAX(1,IFERROR(INDEX(lst_frequencia_meses,MATCH(Planos!$E130,lst_frequencia,0)),0)))=0),"●","")))</f>
      </c>
      <c r="H131" s="43">
        <f>IF(NOT(Planos!$A130&lt;&gt;""),"",IF(COUNTIFS(Programação!$B$4:$B$503,Planos!$A130,Programação!$I$4:$I$503,"Concluído",Programação!$G$4:$G$503,"&gt;="&amp;DATE(ano_ref,5,1),Programação!$G$4:$G$503,"&lt;="&amp;EOMONTH(DATE(ano_ref,5,1),0))&gt;0,"✔",IF(AND(ISNUMBER(Planos!$G130),IFERROR(INDEX(lst_frequencia_meses,MATCH(Planos!$E130,lst_frequencia,0)),0)&gt;0,(ano_ref*12+5)-(YEAR(Planos!$G130)*12+MONTH(Planos!$G130))&gt;0,MOD((ano_ref*12+5)-(YEAR(Planos!$G130)*12+MONTH(Planos!$G130)),MAX(1,IFERROR(INDEX(lst_frequencia_meses,MATCH(Planos!$E130,lst_frequencia,0)),0)))=0),"●","")))</f>
      </c>
      <c r="I131" s="43">
        <f>IF(NOT(Planos!$A130&lt;&gt;""),"",IF(COUNTIFS(Programação!$B$4:$B$503,Planos!$A130,Programação!$I$4:$I$503,"Concluído",Programação!$G$4:$G$503,"&gt;="&amp;DATE(ano_ref,6,1),Programação!$G$4:$G$503,"&lt;="&amp;EOMONTH(DATE(ano_ref,6,1),0))&gt;0,"✔",IF(AND(ISNUMBER(Planos!$G130),IFERROR(INDEX(lst_frequencia_meses,MATCH(Planos!$E130,lst_frequencia,0)),0)&gt;0,(ano_ref*12+6)-(YEAR(Planos!$G130)*12+MONTH(Planos!$G130))&gt;0,MOD((ano_ref*12+6)-(YEAR(Planos!$G130)*12+MONTH(Planos!$G130)),MAX(1,IFERROR(INDEX(lst_frequencia_meses,MATCH(Planos!$E130,lst_frequencia,0)),0)))=0),"●","")))</f>
      </c>
      <c r="J131" s="43">
        <f>IF(NOT(Planos!$A130&lt;&gt;""),"",IF(COUNTIFS(Programação!$B$4:$B$503,Planos!$A130,Programação!$I$4:$I$503,"Concluído",Programação!$G$4:$G$503,"&gt;="&amp;DATE(ano_ref,7,1),Programação!$G$4:$G$503,"&lt;="&amp;EOMONTH(DATE(ano_ref,7,1),0))&gt;0,"✔",IF(AND(ISNUMBER(Planos!$G130),IFERROR(INDEX(lst_frequencia_meses,MATCH(Planos!$E130,lst_frequencia,0)),0)&gt;0,(ano_ref*12+7)-(YEAR(Planos!$G130)*12+MONTH(Planos!$G130))&gt;0,MOD((ano_ref*12+7)-(YEAR(Planos!$G130)*12+MONTH(Planos!$G130)),MAX(1,IFERROR(INDEX(lst_frequencia_meses,MATCH(Planos!$E130,lst_frequencia,0)),0)))=0),"●","")))</f>
      </c>
      <c r="K131" s="43">
        <f>IF(NOT(Planos!$A130&lt;&gt;""),"",IF(COUNTIFS(Programação!$B$4:$B$503,Planos!$A130,Programação!$I$4:$I$503,"Concluído",Programação!$G$4:$G$503,"&gt;="&amp;DATE(ano_ref,8,1),Programação!$G$4:$G$503,"&lt;="&amp;EOMONTH(DATE(ano_ref,8,1),0))&gt;0,"✔",IF(AND(ISNUMBER(Planos!$G130),IFERROR(INDEX(lst_frequencia_meses,MATCH(Planos!$E130,lst_frequencia,0)),0)&gt;0,(ano_ref*12+8)-(YEAR(Planos!$G130)*12+MONTH(Planos!$G130))&gt;0,MOD((ano_ref*12+8)-(YEAR(Planos!$G130)*12+MONTH(Planos!$G130)),MAX(1,IFERROR(INDEX(lst_frequencia_meses,MATCH(Planos!$E130,lst_frequencia,0)),0)))=0),"●","")))</f>
      </c>
      <c r="L131" s="43">
        <f>IF(NOT(Planos!$A130&lt;&gt;""),"",IF(COUNTIFS(Programação!$B$4:$B$503,Planos!$A130,Programação!$I$4:$I$503,"Concluído",Programação!$G$4:$G$503,"&gt;="&amp;DATE(ano_ref,9,1),Programação!$G$4:$G$503,"&lt;="&amp;EOMONTH(DATE(ano_ref,9,1),0))&gt;0,"✔",IF(AND(ISNUMBER(Planos!$G130),IFERROR(INDEX(lst_frequencia_meses,MATCH(Planos!$E130,lst_frequencia,0)),0)&gt;0,(ano_ref*12+9)-(YEAR(Planos!$G130)*12+MONTH(Planos!$G130))&gt;0,MOD((ano_ref*12+9)-(YEAR(Planos!$G130)*12+MONTH(Planos!$G130)),MAX(1,IFERROR(INDEX(lst_frequencia_meses,MATCH(Planos!$E130,lst_frequencia,0)),0)))=0),"●","")))</f>
      </c>
      <c r="M131" s="43">
        <f>IF(NOT(Planos!$A130&lt;&gt;""),"",IF(COUNTIFS(Programação!$B$4:$B$503,Planos!$A130,Programação!$I$4:$I$503,"Concluído",Programação!$G$4:$G$503,"&gt;="&amp;DATE(ano_ref,10,1),Programação!$G$4:$G$503,"&lt;="&amp;EOMONTH(DATE(ano_ref,10,1),0))&gt;0,"✔",IF(AND(ISNUMBER(Planos!$G130),IFERROR(INDEX(lst_frequencia_meses,MATCH(Planos!$E130,lst_frequencia,0)),0)&gt;0,(ano_ref*12+10)-(YEAR(Planos!$G130)*12+MONTH(Planos!$G130))&gt;0,MOD((ano_ref*12+10)-(YEAR(Planos!$G130)*12+MONTH(Planos!$G130)),MAX(1,IFERROR(INDEX(lst_frequencia_meses,MATCH(Planos!$E130,lst_frequencia,0)),0)))=0),"●","")))</f>
      </c>
      <c r="N131" s="43">
        <f>IF(NOT(Planos!$A130&lt;&gt;""),"",IF(COUNTIFS(Programação!$B$4:$B$503,Planos!$A130,Programação!$I$4:$I$503,"Concluído",Programação!$G$4:$G$503,"&gt;="&amp;DATE(ano_ref,11,1),Programação!$G$4:$G$503,"&lt;="&amp;EOMONTH(DATE(ano_ref,11,1),0))&gt;0,"✔",IF(AND(ISNUMBER(Planos!$G130),IFERROR(INDEX(lst_frequencia_meses,MATCH(Planos!$E130,lst_frequencia,0)),0)&gt;0,(ano_ref*12+11)-(YEAR(Planos!$G130)*12+MONTH(Planos!$G130))&gt;0,MOD((ano_ref*12+11)-(YEAR(Planos!$G130)*12+MONTH(Planos!$G130)),MAX(1,IFERROR(INDEX(lst_frequencia_meses,MATCH(Planos!$E130,lst_frequencia,0)),0)))=0),"●","")))</f>
      </c>
      <c r="O131" s="43">
        <f>IF(NOT(Planos!$A130&lt;&gt;""),"",IF(COUNTIFS(Programação!$B$4:$B$503,Planos!$A130,Programação!$I$4:$I$503,"Concluído",Programação!$G$4:$G$503,"&gt;="&amp;DATE(ano_ref,12,1),Programação!$G$4:$G$503,"&lt;="&amp;EOMONTH(DATE(ano_ref,12,1),0))&gt;0,"✔",IF(AND(ISNUMBER(Planos!$G130),IFERROR(INDEX(lst_frequencia_meses,MATCH(Planos!$E130,lst_frequencia,0)),0)&gt;0,(ano_ref*12+12)-(YEAR(Planos!$G130)*12+MONTH(Planos!$G130))&gt;0,MOD((ano_ref*12+12)-(YEAR(Planos!$G130)*12+MONTH(Planos!$G130)),MAX(1,IFERROR(INDEX(lst_frequencia_meses,MATCH(Planos!$E130,lst_frequencia,0)),0)))=0),"●","")))</f>
      </c>
      <c r="P131" s="44">
        <f>IF(COUNTIF(D131:O131,"✔")+COUNTIF(D131:O131,"●")=0,"",COUNTIF(D131:O131,"✔")/(COUNTIF(D131:O131,"✔")+COUNTIF(D131:O131,"●")))</f>
      </c>
    </row>
    <row r="132" spans="1:16" x14ac:dyDescent="0.25">
      <c r="A132" s="43">
        <f>IF(Planos!$A131&lt;&gt;"",Planos!A131&amp;"","")</f>
      </c>
      <c r="B132" s="43">
        <f>IF(Planos!$A131&lt;&gt;"",Planos!B131&amp;"","")</f>
      </c>
      <c r="C132" s="24">
        <f>IF(Planos!$A131&lt;&gt;"",Planos!C131&amp;"","")</f>
      </c>
      <c r="D132" s="43">
        <f>IF(NOT(Planos!$A131&lt;&gt;""),"",IF(COUNTIFS(Programação!$B$4:$B$503,Planos!$A131,Programação!$I$4:$I$503,"Concluído",Programação!$G$4:$G$503,"&gt;="&amp;DATE(ano_ref,1,1),Programação!$G$4:$G$503,"&lt;="&amp;EOMONTH(DATE(ano_ref,1,1),0))&gt;0,"✔",IF(AND(ISNUMBER(Planos!$G131),IFERROR(INDEX(lst_frequencia_meses,MATCH(Planos!$E131,lst_frequencia,0)),0)&gt;0,(ano_ref*12+1)-(YEAR(Planos!$G131)*12+MONTH(Planos!$G131))&gt;0,MOD((ano_ref*12+1)-(YEAR(Planos!$G131)*12+MONTH(Planos!$G131)),MAX(1,IFERROR(INDEX(lst_frequencia_meses,MATCH(Planos!$E131,lst_frequencia,0)),0)))=0),"●","")))</f>
      </c>
      <c r="E132" s="43">
        <f>IF(NOT(Planos!$A131&lt;&gt;""),"",IF(COUNTIFS(Programação!$B$4:$B$503,Planos!$A131,Programação!$I$4:$I$503,"Concluído",Programação!$G$4:$G$503,"&gt;="&amp;DATE(ano_ref,2,1),Programação!$G$4:$G$503,"&lt;="&amp;EOMONTH(DATE(ano_ref,2,1),0))&gt;0,"✔",IF(AND(ISNUMBER(Planos!$G131),IFERROR(INDEX(lst_frequencia_meses,MATCH(Planos!$E131,lst_frequencia,0)),0)&gt;0,(ano_ref*12+2)-(YEAR(Planos!$G131)*12+MONTH(Planos!$G131))&gt;0,MOD((ano_ref*12+2)-(YEAR(Planos!$G131)*12+MONTH(Planos!$G131)),MAX(1,IFERROR(INDEX(lst_frequencia_meses,MATCH(Planos!$E131,lst_frequencia,0)),0)))=0),"●","")))</f>
      </c>
      <c r="F132" s="43">
        <f>IF(NOT(Planos!$A131&lt;&gt;""),"",IF(COUNTIFS(Programação!$B$4:$B$503,Planos!$A131,Programação!$I$4:$I$503,"Concluído",Programação!$G$4:$G$503,"&gt;="&amp;DATE(ano_ref,3,1),Programação!$G$4:$G$503,"&lt;="&amp;EOMONTH(DATE(ano_ref,3,1),0))&gt;0,"✔",IF(AND(ISNUMBER(Planos!$G131),IFERROR(INDEX(lst_frequencia_meses,MATCH(Planos!$E131,lst_frequencia,0)),0)&gt;0,(ano_ref*12+3)-(YEAR(Planos!$G131)*12+MONTH(Planos!$G131))&gt;0,MOD((ano_ref*12+3)-(YEAR(Planos!$G131)*12+MONTH(Planos!$G131)),MAX(1,IFERROR(INDEX(lst_frequencia_meses,MATCH(Planos!$E131,lst_frequencia,0)),0)))=0),"●","")))</f>
      </c>
      <c r="G132" s="43">
        <f>IF(NOT(Planos!$A131&lt;&gt;""),"",IF(COUNTIFS(Programação!$B$4:$B$503,Planos!$A131,Programação!$I$4:$I$503,"Concluído",Programação!$G$4:$G$503,"&gt;="&amp;DATE(ano_ref,4,1),Programação!$G$4:$G$503,"&lt;="&amp;EOMONTH(DATE(ano_ref,4,1),0))&gt;0,"✔",IF(AND(ISNUMBER(Planos!$G131),IFERROR(INDEX(lst_frequencia_meses,MATCH(Planos!$E131,lst_frequencia,0)),0)&gt;0,(ano_ref*12+4)-(YEAR(Planos!$G131)*12+MONTH(Planos!$G131))&gt;0,MOD((ano_ref*12+4)-(YEAR(Planos!$G131)*12+MONTH(Planos!$G131)),MAX(1,IFERROR(INDEX(lst_frequencia_meses,MATCH(Planos!$E131,lst_frequencia,0)),0)))=0),"●","")))</f>
      </c>
      <c r="H132" s="43">
        <f>IF(NOT(Planos!$A131&lt;&gt;""),"",IF(COUNTIFS(Programação!$B$4:$B$503,Planos!$A131,Programação!$I$4:$I$503,"Concluído",Programação!$G$4:$G$503,"&gt;="&amp;DATE(ano_ref,5,1),Programação!$G$4:$G$503,"&lt;="&amp;EOMONTH(DATE(ano_ref,5,1),0))&gt;0,"✔",IF(AND(ISNUMBER(Planos!$G131),IFERROR(INDEX(lst_frequencia_meses,MATCH(Planos!$E131,lst_frequencia,0)),0)&gt;0,(ano_ref*12+5)-(YEAR(Planos!$G131)*12+MONTH(Planos!$G131))&gt;0,MOD((ano_ref*12+5)-(YEAR(Planos!$G131)*12+MONTH(Planos!$G131)),MAX(1,IFERROR(INDEX(lst_frequencia_meses,MATCH(Planos!$E131,lst_frequencia,0)),0)))=0),"●","")))</f>
      </c>
      <c r="I132" s="43">
        <f>IF(NOT(Planos!$A131&lt;&gt;""),"",IF(COUNTIFS(Programação!$B$4:$B$503,Planos!$A131,Programação!$I$4:$I$503,"Concluído",Programação!$G$4:$G$503,"&gt;="&amp;DATE(ano_ref,6,1),Programação!$G$4:$G$503,"&lt;="&amp;EOMONTH(DATE(ano_ref,6,1),0))&gt;0,"✔",IF(AND(ISNUMBER(Planos!$G131),IFERROR(INDEX(lst_frequencia_meses,MATCH(Planos!$E131,lst_frequencia,0)),0)&gt;0,(ano_ref*12+6)-(YEAR(Planos!$G131)*12+MONTH(Planos!$G131))&gt;0,MOD((ano_ref*12+6)-(YEAR(Planos!$G131)*12+MONTH(Planos!$G131)),MAX(1,IFERROR(INDEX(lst_frequencia_meses,MATCH(Planos!$E131,lst_frequencia,0)),0)))=0),"●","")))</f>
      </c>
      <c r="J132" s="43">
        <f>IF(NOT(Planos!$A131&lt;&gt;""),"",IF(COUNTIFS(Programação!$B$4:$B$503,Planos!$A131,Programação!$I$4:$I$503,"Concluído",Programação!$G$4:$G$503,"&gt;="&amp;DATE(ano_ref,7,1),Programação!$G$4:$G$503,"&lt;="&amp;EOMONTH(DATE(ano_ref,7,1),0))&gt;0,"✔",IF(AND(ISNUMBER(Planos!$G131),IFERROR(INDEX(lst_frequencia_meses,MATCH(Planos!$E131,lst_frequencia,0)),0)&gt;0,(ano_ref*12+7)-(YEAR(Planos!$G131)*12+MONTH(Planos!$G131))&gt;0,MOD((ano_ref*12+7)-(YEAR(Planos!$G131)*12+MONTH(Planos!$G131)),MAX(1,IFERROR(INDEX(lst_frequencia_meses,MATCH(Planos!$E131,lst_frequencia,0)),0)))=0),"●","")))</f>
      </c>
      <c r="K132" s="43">
        <f>IF(NOT(Planos!$A131&lt;&gt;""),"",IF(COUNTIFS(Programação!$B$4:$B$503,Planos!$A131,Programação!$I$4:$I$503,"Concluído",Programação!$G$4:$G$503,"&gt;="&amp;DATE(ano_ref,8,1),Programação!$G$4:$G$503,"&lt;="&amp;EOMONTH(DATE(ano_ref,8,1),0))&gt;0,"✔",IF(AND(ISNUMBER(Planos!$G131),IFERROR(INDEX(lst_frequencia_meses,MATCH(Planos!$E131,lst_frequencia,0)),0)&gt;0,(ano_ref*12+8)-(YEAR(Planos!$G131)*12+MONTH(Planos!$G131))&gt;0,MOD((ano_ref*12+8)-(YEAR(Planos!$G131)*12+MONTH(Planos!$G131)),MAX(1,IFERROR(INDEX(lst_frequencia_meses,MATCH(Planos!$E131,lst_frequencia,0)),0)))=0),"●","")))</f>
      </c>
      <c r="L132" s="43">
        <f>IF(NOT(Planos!$A131&lt;&gt;""),"",IF(COUNTIFS(Programação!$B$4:$B$503,Planos!$A131,Programação!$I$4:$I$503,"Concluído",Programação!$G$4:$G$503,"&gt;="&amp;DATE(ano_ref,9,1),Programação!$G$4:$G$503,"&lt;="&amp;EOMONTH(DATE(ano_ref,9,1),0))&gt;0,"✔",IF(AND(ISNUMBER(Planos!$G131),IFERROR(INDEX(lst_frequencia_meses,MATCH(Planos!$E131,lst_frequencia,0)),0)&gt;0,(ano_ref*12+9)-(YEAR(Planos!$G131)*12+MONTH(Planos!$G131))&gt;0,MOD((ano_ref*12+9)-(YEAR(Planos!$G131)*12+MONTH(Planos!$G131)),MAX(1,IFERROR(INDEX(lst_frequencia_meses,MATCH(Planos!$E131,lst_frequencia,0)),0)))=0),"●","")))</f>
      </c>
      <c r="M132" s="43">
        <f>IF(NOT(Planos!$A131&lt;&gt;""),"",IF(COUNTIFS(Programação!$B$4:$B$503,Planos!$A131,Programação!$I$4:$I$503,"Concluído",Programação!$G$4:$G$503,"&gt;="&amp;DATE(ano_ref,10,1),Programação!$G$4:$G$503,"&lt;="&amp;EOMONTH(DATE(ano_ref,10,1),0))&gt;0,"✔",IF(AND(ISNUMBER(Planos!$G131),IFERROR(INDEX(lst_frequencia_meses,MATCH(Planos!$E131,lst_frequencia,0)),0)&gt;0,(ano_ref*12+10)-(YEAR(Planos!$G131)*12+MONTH(Planos!$G131))&gt;0,MOD((ano_ref*12+10)-(YEAR(Planos!$G131)*12+MONTH(Planos!$G131)),MAX(1,IFERROR(INDEX(lst_frequencia_meses,MATCH(Planos!$E131,lst_frequencia,0)),0)))=0),"●","")))</f>
      </c>
      <c r="N132" s="43">
        <f>IF(NOT(Planos!$A131&lt;&gt;""),"",IF(COUNTIFS(Programação!$B$4:$B$503,Planos!$A131,Programação!$I$4:$I$503,"Concluído",Programação!$G$4:$G$503,"&gt;="&amp;DATE(ano_ref,11,1),Programação!$G$4:$G$503,"&lt;="&amp;EOMONTH(DATE(ano_ref,11,1),0))&gt;0,"✔",IF(AND(ISNUMBER(Planos!$G131),IFERROR(INDEX(lst_frequencia_meses,MATCH(Planos!$E131,lst_frequencia,0)),0)&gt;0,(ano_ref*12+11)-(YEAR(Planos!$G131)*12+MONTH(Planos!$G131))&gt;0,MOD((ano_ref*12+11)-(YEAR(Planos!$G131)*12+MONTH(Planos!$G131)),MAX(1,IFERROR(INDEX(lst_frequencia_meses,MATCH(Planos!$E131,lst_frequencia,0)),0)))=0),"●","")))</f>
      </c>
      <c r="O132" s="43">
        <f>IF(NOT(Planos!$A131&lt;&gt;""),"",IF(COUNTIFS(Programação!$B$4:$B$503,Planos!$A131,Programação!$I$4:$I$503,"Concluído",Programação!$G$4:$G$503,"&gt;="&amp;DATE(ano_ref,12,1),Programação!$G$4:$G$503,"&lt;="&amp;EOMONTH(DATE(ano_ref,12,1),0))&gt;0,"✔",IF(AND(ISNUMBER(Planos!$G131),IFERROR(INDEX(lst_frequencia_meses,MATCH(Planos!$E131,lst_frequencia,0)),0)&gt;0,(ano_ref*12+12)-(YEAR(Planos!$G131)*12+MONTH(Planos!$G131))&gt;0,MOD((ano_ref*12+12)-(YEAR(Planos!$G131)*12+MONTH(Planos!$G131)),MAX(1,IFERROR(INDEX(lst_frequencia_meses,MATCH(Planos!$E131,lst_frequencia,0)),0)))=0),"●","")))</f>
      </c>
      <c r="P132" s="44">
        <f>IF(COUNTIF(D132:O132,"✔")+COUNTIF(D132:O132,"●")=0,"",COUNTIF(D132:O132,"✔")/(COUNTIF(D132:O132,"✔")+COUNTIF(D132:O132,"●")))</f>
      </c>
    </row>
    <row r="133" spans="1:16" x14ac:dyDescent="0.25">
      <c r="A133" s="43">
        <f>IF(Planos!$A132&lt;&gt;"",Planos!A132&amp;"","")</f>
      </c>
      <c r="B133" s="43">
        <f>IF(Planos!$A132&lt;&gt;"",Planos!B132&amp;"","")</f>
      </c>
      <c r="C133" s="24">
        <f>IF(Planos!$A132&lt;&gt;"",Planos!C132&amp;"","")</f>
      </c>
      <c r="D133" s="43">
        <f>IF(NOT(Planos!$A132&lt;&gt;""),"",IF(COUNTIFS(Programação!$B$4:$B$503,Planos!$A132,Programação!$I$4:$I$503,"Concluído",Programação!$G$4:$G$503,"&gt;="&amp;DATE(ano_ref,1,1),Programação!$G$4:$G$503,"&lt;="&amp;EOMONTH(DATE(ano_ref,1,1),0))&gt;0,"✔",IF(AND(ISNUMBER(Planos!$G132),IFERROR(INDEX(lst_frequencia_meses,MATCH(Planos!$E132,lst_frequencia,0)),0)&gt;0,(ano_ref*12+1)-(YEAR(Planos!$G132)*12+MONTH(Planos!$G132))&gt;0,MOD((ano_ref*12+1)-(YEAR(Planos!$G132)*12+MONTH(Planos!$G132)),MAX(1,IFERROR(INDEX(lst_frequencia_meses,MATCH(Planos!$E132,lst_frequencia,0)),0)))=0),"●","")))</f>
      </c>
      <c r="E133" s="43">
        <f>IF(NOT(Planos!$A132&lt;&gt;""),"",IF(COUNTIFS(Programação!$B$4:$B$503,Planos!$A132,Programação!$I$4:$I$503,"Concluído",Programação!$G$4:$G$503,"&gt;="&amp;DATE(ano_ref,2,1),Programação!$G$4:$G$503,"&lt;="&amp;EOMONTH(DATE(ano_ref,2,1),0))&gt;0,"✔",IF(AND(ISNUMBER(Planos!$G132),IFERROR(INDEX(lst_frequencia_meses,MATCH(Planos!$E132,lst_frequencia,0)),0)&gt;0,(ano_ref*12+2)-(YEAR(Planos!$G132)*12+MONTH(Planos!$G132))&gt;0,MOD((ano_ref*12+2)-(YEAR(Planos!$G132)*12+MONTH(Planos!$G132)),MAX(1,IFERROR(INDEX(lst_frequencia_meses,MATCH(Planos!$E132,lst_frequencia,0)),0)))=0),"●","")))</f>
      </c>
      <c r="F133" s="43">
        <f>IF(NOT(Planos!$A132&lt;&gt;""),"",IF(COUNTIFS(Programação!$B$4:$B$503,Planos!$A132,Programação!$I$4:$I$503,"Concluído",Programação!$G$4:$G$503,"&gt;="&amp;DATE(ano_ref,3,1),Programação!$G$4:$G$503,"&lt;="&amp;EOMONTH(DATE(ano_ref,3,1),0))&gt;0,"✔",IF(AND(ISNUMBER(Planos!$G132),IFERROR(INDEX(lst_frequencia_meses,MATCH(Planos!$E132,lst_frequencia,0)),0)&gt;0,(ano_ref*12+3)-(YEAR(Planos!$G132)*12+MONTH(Planos!$G132))&gt;0,MOD((ano_ref*12+3)-(YEAR(Planos!$G132)*12+MONTH(Planos!$G132)),MAX(1,IFERROR(INDEX(lst_frequencia_meses,MATCH(Planos!$E132,lst_frequencia,0)),0)))=0),"●","")))</f>
      </c>
      <c r="G133" s="43">
        <f>IF(NOT(Planos!$A132&lt;&gt;""),"",IF(COUNTIFS(Programação!$B$4:$B$503,Planos!$A132,Programação!$I$4:$I$503,"Concluído",Programação!$G$4:$G$503,"&gt;="&amp;DATE(ano_ref,4,1),Programação!$G$4:$G$503,"&lt;="&amp;EOMONTH(DATE(ano_ref,4,1),0))&gt;0,"✔",IF(AND(ISNUMBER(Planos!$G132),IFERROR(INDEX(lst_frequencia_meses,MATCH(Planos!$E132,lst_frequencia,0)),0)&gt;0,(ano_ref*12+4)-(YEAR(Planos!$G132)*12+MONTH(Planos!$G132))&gt;0,MOD((ano_ref*12+4)-(YEAR(Planos!$G132)*12+MONTH(Planos!$G132)),MAX(1,IFERROR(INDEX(lst_frequencia_meses,MATCH(Planos!$E132,lst_frequencia,0)),0)))=0),"●","")))</f>
      </c>
      <c r="H133" s="43">
        <f>IF(NOT(Planos!$A132&lt;&gt;""),"",IF(COUNTIFS(Programação!$B$4:$B$503,Planos!$A132,Programação!$I$4:$I$503,"Concluído",Programação!$G$4:$G$503,"&gt;="&amp;DATE(ano_ref,5,1),Programação!$G$4:$G$503,"&lt;="&amp;EOMONTH(DATE(ano_ref,5,1),0))&gt;0,"✔",IF(AND(ISNUMBER(Planos!$G132),IFERROR(INDEX(lst_frequencia_meses,MATCH(Planos!$E132,lst_frequencia,0)),0)&gt;0,(ano_ref*12+5)-(YEAR(Planos!$G132)*12+MONTH(Planos!$G132))&gt;0,MOD((ano_ref*12+5)-(YEAR(Planos!$G132)*12+MONTH(Planos!$G132)),MAX(1,IFERROR(INDEX(lst_frequencia_meses,MATCH(Planos!$E132,lst_frequencia,0)),0)))=0),"●","")))</f>
      </c>
      <c r="I133" s="43">
        <f>IF(NOT(Planos!$A132&lt;&gt;""),"",IF(COUNTIFS(Programação!$B$4:$B$503,Planos!$A132,Programação!$I$4:$I$503,"Concluído",Programação!$G$4:$G$503,"&gt;="&amp;DATE(ano_ref,6,1),Programação!$G$4:$G$503,"&lt;="&amp;EOMONTH(DATE(ano_ref,6,1),0))&gt;0,"✔",IF(AND(ISNUMBER(Planos!$G132),IFERROR(INDEX(lst_frequencia_meses,MATCH(Planos!$E132,lst_frequencia,0)),0)&gt;0,(ano_ref*12+6)-(YEAR(Planos!$G132)*12+MONTH(Planos!$G132))&gt;0,MOD((ano_ref*12+6)-(YEAR(Planos!$G132)*12+MONTH(Planos!$G132)),MAX(1,IFERROR(INDEX(lst_frequencia_meses,MATCH(Planos!$E132,lst_frequencia,0)),0)))=0),"●","")))</f>
      </c>
      <c r="J133" s="43">
        <f>IF(NOT(Planos!$A132&lt;&gt;""),"",IF(COUNTIFS(Programação!$B$4:$B$503,Planos!$A132,Programação!$I$4:$I$503,"Concluído",Programação!$G$4:$G$503,"&gt;="&amp;DATE(ano_ref,7,1),Programação!$G$4:$G$503,"&lt;="&amp;EOMONTH(DATE(ano_ref,7,1),0))&gt;0,"✔",IF(AND(ISNUMBER(Planos!$G132),IFERROR(INDEX(lst_frequencia_meses,MATCH(Planos!$E132,lst_frequencia,0)),0)&gt;0,(ano_ref*12+7)-(YEAR(Planos!$G132)*12+MONTH(Planos!$G132))&gt;0,MOD((ano_ref*12+7)-(YEAR(Planos!$G132)*12+MONTH(Planos!$G132)),MAX(1,IFERROR(INDEX(lst_frequencia_meses,MATCH(Planos!$E132,lst_frequencia,0)),0)))=0),"●","")))</f>
      </c>
      <c r="K133" s="43">
        <f>IF(NOT(Planos!$A132&lt;&gt;""),"",IF(COUNTIFS(Programação!$B$4:$B$503,Planos!$A132,Programação!$I$4:$I$503,"Concluído",Programação!$G$4:$G$503,"&gt;="&amp;DATE(ano_ref,8,1),Programação!$G$4:$G$503,"&lt;="&amp;EOMONTH(DATE(ano_ref,8,1),0))&gt;0,"✔",IF(AND(ISNUMBER(Planos!$G132),IFERROR(INDEX(lst_frequencia_meses,MATCH(Planos!$E132,lst_frequencia,0)),0)&gt;0,(ano_ref*12+8)-(YEAR(Planos!$G132)*12+MONTH(Planos!$G132))&gt;0,MOD((ano_ref*12+8)-(YEAR(Planos!$G132)*12+MONTH(Planos!$G132)),MAX(1,IFERROR(INDEX(lst_frequencia_meses,MATCH(Planos!$E132,lst_frequencia,0)),0)))=0),"●","")))</f>
      </c>
      <c r="L133" s="43">
        <f>IF(NOT(Planos!$A132&lt;&gt;""),"",IF(COUNTIFS(Programação!$B$4:$B$503,Planos!$A132,Programação!$I$4:$I$503,"Concluído",Programação!$G$4:$G$503,"&gt;="&amp;DATE(ano_ref,9,1),Programação!$G$4:$G$503,"&lt;="&amp;EOMONTH(DATE(ano_ref,9,1),0))&gt;0,"✔",IF(AND(ISNUMBER(Planos!$G132),IFERROR(INDEX(lst_frequencia_meses,MATCH(Planos!$E132,lst_frequencia,0)),0)&gt;0,(ano_ref*12+9)-(YEAR(Planos!$G132)*12+MONTH(Planos!$G132))&gt;0,MOD((ano_ref*12+9)-(YEAR(Planos!$G132)*12+MONTH(Planos!$G132)),MAX(1,IFERROR(INDEX(lst_frequencia_meses,MATCH(Planos!$E132,lst_frequencia,0)),0)))=0),"●","")))</f>
      </c>
      <c r="M133" s="43">
        <f>IF(NOT(Planos!$A132&lt;&gt;""),"",IF(COUNTIFS(Programação!$B$4:$B$503,Planos!$A132,Programação!$I$4:$I$503,"Concluído",Programação!$G$4:$G$503,"&gt;="&amp;DATE(ano_ref,10,1),Programação!$G$4:$G$503,"&lt;="&amp;EOMONTH(DATE(ano_ref,10,1),0))&gt;0,"✔",IF(AND(ISNUMBER(Planos!$G132),IFERROR(INDEX(lst_frequencia_meses,MATCH(Planos!$E132,lst_frequencia,0)),0)&gt;0,(ano_ref*12+10)-(YEAR(Planos!$G132)*12+MONTH(Planos!$G132))&gt;0,MOD((ano_ref*12+10)-(YEAR(Planos!$G132)*12+MONTH(Planos!$G132)),MAX(1,IFERROR(INDEX(lst_frequencia_meses,MATCH(Planos!$E132,lst_frequencia,0)),0)))=0),"●","")))</f>
      </c>
      <c r="N133" s="43">
        <f>IF(NOT(Planos!$A132&lt;&gt;""),"",IF(COUNTIFS(Programação!$B$4:$B$503,Planos!$A132,Programação!$I$4:$I$503,"Concluído",Programação!$G$4:$G$503,"&gt;="&amp;DATE(ano_ref,11,1),Programação!$G$4:$G$503,"&lt;="&amp;EOMONTH(DATE(ano_ref,11,1),0))&gt;0,"✔",IF(AND(ISNUMBER(Planos!$G132),IFERROR(INDEX(lst_frequencia_meses,MATCH(Planos!$E132,lst_frequencia,0)),0)&gt;0,(ano_ref*12+11)-(YEAR(Planos!$G132)*12+MONTH(Planos!$G132))&gt;0,MOD((ano_ref*12+11)-(YEAR(Planos!$G132)*12+MONTH(Planos!$G132)),MAX(1,IFERROR(INDEX(lst_frequencia_meses,MATCH(Planos!$E132,lst_frequencia,0)),0)))=0),"●","")))</f>
      </c>
      <c r="O133" s="43">
        <f>IF(NOT(Planos!$A132&lt;&gt;""),"",IF(COUNTIFS(Programação!$B$4:$B$503,Planos!$A132,Programação!$I$4:$I$503,"Concluído",Programação!$G$4:$G$503,"&gt;="&amp;DATE(ano_ref,12,1),Programação!$G$4:$G$503,"&lt;="&amp;EOMONTH(DATE(ano_ref,12,1),0))&gt;0,"✔",IF(AND(ISNUMBER(Planos!$G132),IFERROR(INDEX(lst_frequencia_meses,MATCH(Planos!$E132,lst_frequencia,0)),0)&gt;0,(ano_ref*12+12)-(YEAR(Planos!$G132)*12+MONTH(Planos!$G132))&gt;0,MOD((ano_ref*12+12)-(YEAR(Planos!$G132)*12+MONTH(Planos!$G132)),MAX(1,IFERROR(INDEX(lst_frequencia_meses,MATCH(Planos!$E132,lst_frequencia,0)),0)))=0),"●","")))</f>
      </c>
      <c r="P133" s="44">
        <f>IF(COUNTIF(D133:O133,"✔")+COUNTIF(D133:O133,"●")=0,"",COUNTIF(D133:O133,"✔")/(COUNTIF(D133:O133,"✔")+COUNTIF(D133:O133,"●")))</f>
      </c>
    </row>
    <row r="134" spans="1:16" x14ac:dyDescent="0.25">
      <c r="A134" s="43">
        <f>IF(Planos!$A133&lt;&gt;"",Planos!A133&amp;"","")</f>
      </c>
      <c r="B134" s="43">
        <f>IF(Planos!$A133&lt;&gt;"",Planos!B133&amp;"","")</f>
      </c>
      <c r="C134" s="24">
        <f>IF(Planos!$A133&lt;&gt;"",Planos!C133&amp;"","")</f>
      </c>
      <c r="D134" s="43">
        <f>IF(NOT(Planos!$A133&lt;&gt;""),"",IF(COUNTIFS(Programação!$B$4:$B$503,Planos!$A133,Programação!$I$4:$I$503,"Concluído",Programação!$G$4:$G$503,"&gt;="&amp;DATE(ano_ref,1,1),Programação!$G$4:$G$503,"&lt;="&amp;EOMONTH(DATE(ano_ref,1,1),0))&gt;0,"✔",IF(AND(ISNUMBER(Planos!$G133),IFERROR(INDEX(lst_frequencia_meses,MATCH(Planos!$E133,lst_frequencia,0)),0)&gt;0,(ano_ref*12+1)-(YEAR(Planos!$G133)*12+MONTH(Planos!$G133))&gt;0,MOD((ano_ref*12+1)-(YEAR(Planos!$G133)*12+MONTH(Planos!$G133)),MAX(1,IFERROR(INDEX(lst_frequencia_meses,MATCH(Planos!$E133,lst_frequencia,0)),0)))=0),"●","")))</f>
      </c>
      <c r="E134" s="43">
        <f>IF(NOT(Planos!$A133&lt;&gt;""),"",IF(COUNTIFS(Programação!$B$4:$B$503,Planos!$A133,Programação!$I$4:$I$503,"Concluído",Programação!$G$4:$G$503,"&gt;="&amp;DATE(ano_ref,2,1),Programação!$G$4:$G$503,"&lt;="&amp;EOMONTH(DATE(ano_ref,2,1),0))&gt;0,"✔",IF(AND(ISNUMBER(Planos!$G133),IFERROR(INDEX(lst_frequencia_meses,MATCH(Planos!$E133,lst_frequencia,0)),0)&gt;0,(ano_ref*12+2)-(YEAR(Planos!$G133)*12+MONTH(Planos!$G133))&gt;0,MOD((ano_ref*12+2)-(YEAR(Planos!$G133)*12+MONTH(Planos!$G133)),MAX(1,IFERROR(INDEX(lst_frequencia_meses,MATCH(Planos!$E133,lst_frequencia,0)),0)))=0),"●","")))</f>
      </c>
      <c r="F134" s="43">
        <f>IF(NOT(Planos!$A133&lt;&gt;""),"",IF(COUNTIFS(Programação!$B$4:$B$503,Planos!$A133,Programação!$I$4:$I$503,"Concluído",Programação!$G$4:$G$503,"&gt;="&amp;DATE(ano_ref,3,1),Programação!$G$4:$G$503,"&lt;="&amp;EOMONTH(DATE(ano_ref,3,1),0))&gt;0,"✔",IF(AND(ISNUMBER(Planos!$G133),IFERROR(INDEX(lst_frequencia_meses,MATCH(Planos!$E133,lst_frequencia,0)),0)&gt;0,(ano_ref*12+3)-(YEAR(Planos!$G133)*12+MONTH(Planos!$G133))&gt;0,MOD((ano_ref*12+3)-(YEAR(Planos!$G133)*12+MONTH(Planos!$G133)),MAX(1,IFERROR(INDEX(lst_frequencia_meses,MATCH(Planos!$E133,lst_frequencia,0)),0)))=0),"●","")))</f>
      </c>
      <c r="G134" s="43">
        <f>IF(NOT(Planos!$A133&lt;&gt;""),"",IF(COUNTIFS(Programação!$B$4:$B$503,Planos!$A133,Programação!$I$4:$I$503,"Concluído",Programação!$G$4:$G$503,"&gt;="&amp;DATE(ano_ref,4,1),Programação!$G$4:$G$503,"&lt;="&amp;EOMONTH(DATE(ano_ref,4,1),0))&gt;0,"✔",IF(AND(ISNUMBER(Planos!$G133),IFERROR(INDEX(lst_frequencia_meses,MATCH(Planos!$E133,lst_frequencia,0)),0)&gt;0,(ano_ref*12+4)-(YEAR(Planos!$G133)*12+MONTH(Planos!$G133))&gt;0,MOD((ano_ref*12+4)-(YEAR(Planos!$G133)*12+MONTH(Planos!$G133)),MAX(1,IFERROR(INDEX(lst_frequencia_meses,MATCH(Planos!$E133,lst_frequencia,0)),0)))=0),"●","")))</f>
      </c>
      <c r="H134" s="43">
        <f>IF(NOT(Planos!$A133&lt;&gt;""),"",IF(COUNTIFS(Programação!$B$4:$B$503,Planos!$A133,Programação!$I$4:$I$503,"Concluído",Programação!$G$4:$G$503,"&gt;="&amp;DATE(ano_ref,5,1),Programação!$G$4:$G$503,"&lt;="&amp;EOMONTH(DATE(ano_ref,5,1),0))&gt;0,"✔",IF(AND(ISNUMBER(Planos!$G133),IFERROR(INDEX(lst_frequencia_meses,MATCH(Planos!$E133,lst_frequencia,0)),0)&gt;0,(ano_ref*12+5)-(YEAR(Planos!$G133)*12+MONTH(Planos!$G133))&gt;0,MOD((ano_ref*12+5)-(YEAR(Planos!$G133)*12+MONTH(Planos!$G133)),MAX(1,IFERROR(INDEX(lst_frequencia_meses,MATCH(Planos!$E133,lst_frequencia,0)),0)))=0),"●","")))</f>
      </c>
      <c r="I134" s="43">
        <f>IF(NOT(Planos!$A133&lt;&gt;""),"",IF(COUNTIFS(Programação!$B$4:$B$503,Planos!$A133,Programação!$I$4:$I$503,"Concluído",Programação!$G$4:$G$503,"&gt;="&amp;DATE(ano_ref,6,1),Programação!$G$4:$G$503,"&lt;="&amp;EOMONTH(DATE(ano_ref,6,1),0))&gt;0,"✔",IF(AND(ISNUMBER(Planos!$G133),IFERROR(INDEX(lst_frequencia_meses,MATCH(Planos!$E133,lst_frequencia,0)),0)&gt;0,(ano_ref*12+6)-(YEAR(Planos!$G133)*12+MONTH(Planos!$G133))&gt;0,MOD((ano_ref*12+6)-(YEAR(Planos!$G133)*12+MONTH(Planos!$G133)),MAX(1,IFERROR(INDEX(lst_frequencia_meses,MATCH(Planos!$E133,lst_frequencia,0)),0)))=0),"●","")))</f>
      </c>
      <c r="J134" s="43">
        <f>IF(NOT(Planos!$A133&lt;&gt;""),"",IF(COUNTIFS(Programação!$B$4:$B$503,Planos!$A133,Programação!$I$4:$I$503,"Concluído",Programação!$G$4:$G$503,"&gt;="&amp;DATE(ano_ref,7,1),Programação!$G$4:$G$503,"&lt;="&amp;EOMONTH(DATE(ano_ref,7,1),0))&gt;0,"✔",IF(AND(ISNUMBER(Planos!$G133),IFERROR(INDEX(lst_frequencia_meses,MATCH(Planos!$E133,lst_frequencia,0)),0)&gt;0,(ano_ref*12+7)-(YEAR(Planos!$G133)*12+MONTH(Planos!$G133))&gt;0,MOD((ano_ref*12+7)-(YEAR(Planos!$G133)*12+MONTH(Planos!$G133)),MAX(1,IFERROR(INDEX(lst_frequencia_meses,MATCH(Planos!$E133,lst_frequencia,0)),0)))=0),"●","")))</f>
      </c>
      <c r="K134" s="43">
        <f>IF(NOT(Planos!$A133&lt;&gt;""),"",IF(COUNTIFS(Programação!$B$4:$B$503,Planos!$A133,Programação!$I$4:$I$503,"Concluído",Programação!$G$4:$G$503,"&gt;="&amp;DATE(ano_ref,8,1),Programação!$G$4:$G$503,"&lt;="&amp;EOMONTH(DATE(ano_ref,8,1),0))&gt;0,"✔",IF(AND(ISNUMBER(Planos!$G133),IFERROR(INDEX(lst_frequencia_meses,MATCH(Planos!$E133,lst_frequencia,0)),0)&gt;0,(ano_ref*12+8)-(YEAR(Planos!$G133)*12+MONTH(Planos!$G133))&gt;0,MOD((ano_ref*12+8)-(YEAR(Planos!$G133)*12+MONTH(Planos!$G133)),MAX(1,IFERROR(INDEX(lst_frequencia_meses,MATCH(Planos!$E133,lst_frequencia,0)),0)))=0),"●","")))</f>
      </c>
      <c r="L134" s="43">
        <f>IF(NOT(Planos!$A133&lt;&gt;""),"",IF(COUNTIFS(Programação!$B$4:$B$503,Planos!$A133,Programação!$I$4:$I$503,"Concluído",Programação!$G$4:$G$503,"&gt;="&amp;DATE(ano_ref,9,1),Programação!$G$4:$G$503,"&lt;="&amp;EOMONTH(DATE(ano_ref,9,1),0))&gt;0,"✔",IF(AND(ISNUMBER(Planos!$G133),IFERROR(INDEX(lst_frequencia_meses,MATCH(Planos!$E133,lst_frequencia,0)),0)&gt;0,(ano_ref*12+9)-(YEAR(Planos!$G133)*12+MONTH(Planos!$G133))&gt;0,MOD((ano_ref*12+9)-(YEAR(Planos!$G133)*12+MONTH(Planos!$G133)),MAX(1,IFERROR(INDEX(lst_frequencia_meses,MATCH(Planos!$E133,lst_frequencia,0)),0)))=0),"●","")))</f>
      </c>
      <c r="M134" s="43">
        <f>IF(NOT(Planos!$A133&lt;&gt;""),"",IF(COUNTIFS(Programação!$B$4:$B$503,Planos!$A133,Programação!$I$4:$I$503,"Concluído",Programação!$G$4:$G$503,"&gt;="&amp;DATE(ano_ref,10,1),Programação!$G$4:$G$503,"&lt;="&amp;EOMONTH(DATE(ano_ref,10,1),0))&gt;0,"✔",IF(AND(ISNUMBER(Planos!$G133),IFERROR(INDEX(lst_frequencia_meses,MATCH(Planos!$E133,lst_frequencia,0)),0)&gt;0,(ano_ref*12+10)-(YEAR(Planos!$G133)*12+MONTH(Planos!$G133))&gt;0,MOD((ano_ref*12+10)-(YEAR(Planos!$G133)*12+MONTH(Planos!$G133)),MAX(1,IFERROR(INDEX(lst_frequencia_meses,MATCH(Planos!$E133,lst_frequencia,0)),0)))=0),"●","")))</f>
      </c>
      <c r="N134" s="43">
        <f>IF(NOT(Planos!$A133&lt;&gt;""),"",IF(COUNTIFS(Programação!$B$4:$B$503,Planos!$A133,Programação!$I$4:$I$503,"Concluído",Programação!$G$4:$G$503,"&gt;="&amp;DATE(ano_ref,11,1),Programação!$G$4:$G$503,"&lt;="&amp;EOMONTH(DATE(ano_ref,11,1),0))&gt;0,"✔",IF(AND(ISNUMBER(Planos!$G133),IFERROR(INDEX(lst_frequencia_meses,MATCH(Planos!$E133,lst_frequencia,0)),0)&gt;0,(ano_ref*12+11)-(YEAR(Planos!$G133)*12+MONTH(Planos!$G133))&gt;0,MOD((ano_ref*12+11)-(YEAR(Planos!$G133)*12+MONTH(Planos!$G133)),MAX(1,IFERROR(INDEX(lst_frequencia_meses,MATCH(Planos!$E133,lst_frequencia,0)),0)))=0),"●","")))</f>
      </c>
      <c r="O134" s="43">
        <f>IF(NOT(Planos!$A133&lt;&gt;""),"",IF(COUNTIFS(Programação!$B$4:$B$503,Planos!$A133,Programação!$I$4:$I$503,"Concluído",Programação!$G$4:$G$503,"&gt;="&amp;DATE(ano_ref,12,1),Programação!$G$4:$G$503,"&lt;="&amp;EOMONTH(DATE(ano_ref,12,1),0))&gt;0,"✔",IF(AND(ISNUMBER(Planos!$G133),IFERROR(INDEX(lst_frequencia_meses,MATCH(Planos!$E133,lst_frequencia,0)),0)&gt;0,(ano_ref*12+12)-(YEAR(Planos!$G133)*12+MONTH(Planos!$G133))&gt;0,MOD((ano_ref*12+12)-(YEAR(Planos!$G133)*12+MONTH(Planos!$G133)),MAX(1,IFERROR(INDEX(lst_frequencia_meses,MATCH(Planos!$E133,lst_frequencia,0)),0)))=0),"●","")))</f>
      </c>
      <c r="P134" s="44">
        <f>IF(COUNTIF(D134:O134,"✔")+COUNTIF(D134:O134,"●")=0,"",COUNTIF(D134:O134,"✔")/(COUNTIF(D134:O134,"✔")+COUNTIF(D134:O134,"●")))</f>
      </c>
    </row>
    <row r="135" spans="1:16" x14ac:dyDescent="0.25">
      <c r="A135" s="43">
        <f>IF(Planos!$A134&lt;&gt;"",Planos!A134&amp;"","")</f>
      </c>
      <c r="B135" s="43">
        <f>IF(Planos!$A134&lt;&gt;"",Planos!B134&amp;"","")</f>
      </c>
      <c r="C135" s="24">
        <f>IF(Planos!$A134&lt;&gt;"",Planos!C134&amp;"","")</f>
      </c>
      <c r="D135" s="43">
        <f>IF(NOT(Planos!$A134&lt;&gt;""),"",IF(COUNTIFS(Programação!$B$4:$B$503,Planos!$A134,Programação!$I$4:$I$503,"Concluído",Programação!$G$4:$G$503,"&gt;="&amp;DATE(ano_ref,1,1),Programação!$G$4:$G$503,"&lt;="&amp;EOMONTH(DATE(ano_ref,1,1),0))&gt;0,"✔",IF(AND(ISNUMBER(Planos!$G134),IFERROR(INDEX(lst_frequencia_meses,MATCH(Planos!$E134,lst_frequencia,0)),0)&gt;0,(ano_ref*12+1)-(YEAR(Planos!$G134)*12+MONTH(Planos!$G134))&gt;0,MOD((ano_ref*12+1)-(YEAR(Planos!$G134)*12+MONTH(Planos!$G134)),MAX(1,IFERROR(INDEX(lst_frequencia_meses,MATCH(Planos!$E134,lst_frequencia,0)),0)))=0),"●","")))</f>
      </c>
      <c r="E135" s="43">
        <f>IF(NOT(Planos!$A134&lt;&gt;""),"",IF(COUNTIFS(Programação!$B$4:$B$503,Planos!$A134,Programação!$I$4:$I$503,"Concluído",Programação!$G$4:$G$503,"&gt;="&amp;DATE(ano_ref,2,1),Programação!$G$4:$G$503,"&lt;="&amp;EOMONTH(DATE(ano_ref,2,1),0))&gt;0,"✔",IF(AND(ISNUMBER(Planos!$G134),IFERROR(INDEX(lst_frequencia_meses,MATCH(Planos!$E134,lst_frequencia,0)),0)&gt;0,(ano_ref*12+2)-(YEAR(Planos!$G134)*12+MONTH(Planos!$G134))&gt;0,MOD((ano_ref*12+2)-(YEAR(Planos!$G134)*12+MONTH(Planos!$G134)),MAX(1,IFERROR(INDEX(lst_frequencia_meses,MATCH(Planos!$E134,lst_frequencia,0)),0)))=0),"●","")))</f>
      </c>
      <c r="F135" s="43">
        <f>IF(NOT(Planos!$A134&lt;&gt;""),"",IF(COUNTIFS(Programação!$B$4:$B$503,Planos!$A134,Programação!$I$4:$I$503,"Concluído",Programação!$G$4:$G$503,"&gt;="&amp;DATE(ano_ref,3,1),Programação!$G$4:$G$503,"&lt;="&amp;EOMONTH(DATE(ano_ref,3,1),0))&gt;0,"✔",IF(AND(ISNUMBER(Planos!$G134),IFERROR(INDEX(lst_frequencia_meses,MATCH(Planos!$E134,lst_frequencia,0)),0)&gt;0,(ano_ref*12+3)-(YEAR(Planos!$G134)*12+MONTH(Planos!$G134))&gt;0,MOD((ano_ref*12+3)-(YEAR(Planos!$G134)*12+MONTH(Planos!$G134)),MAX(1,IFERROR(INDEX(lst_frequencia_meses,MATCH(Planos!$E134,lst_frequencia,0)),0)))=0),"●","")))</f>
      </c>
      <c r="G135" s="43">
        <f>IF(NOT(Planos!$A134&lt;&gt;""),"",IF(COUNTIFS(Programação!$B$4:$B$503,Planos!$A134,Programação!$I$4:$I$503,"Concluído",Programação!$G$4:$G$503,"&gt;="&amp;DATE(ano_ref,4,1),Programação!$G$4:$G$503,"&lt;="&amp;EOMONTH(DATE(ano_ref,4,1),0))&gt;0,"✔",IF(AND(ISNUMBER(Planos!$G134),IFERROR(INDEX(lst_frequencia_meses,MATCH(Planos!$E134,lst_frequencia,0)),0)&gt;0,(ano_ref*12+4)-(YEAR(Planos!$G134)*12+MONTH(Planos!$G134))&gt;0,MOD((ano_ref*12+4)-(YEAR(Planos!$G134)*12+MONTH(Planos!$G134)),MAX(1,IFERROR(INDEX(lst_frequencia_meses,MATCH(Planos!$E134,lst_frequencia,0)),0)))=0),"●","")))</f>
      </c>
      <c r="H135" s="43">
        <f>IF(NOT(Planos!$A134&lt;&gt;""),"",IF(COUNTIFS(Programação!$B$4:$B$503,Planos!$A134,Programação!$I$4:$I$503,"Concluído",Programação!$G$4:$G$503,"&gt;="&amp;DATE(ano_ref,5,1),Programação!$G$4:$G$503,"&lt;="&amp;EOMONTH(DATE(ano_ref,5,1),0))&gt;0,"✔",IF(AND(ISNUMBER(Planos!$G134),IFERROR(INDEX(lst_frequencia_meses,MATCH(Planos!$E134,lst_frequencia,0)),0)&gt;0,(ano_ref*12+5)-(YEAR(Planos!$G134)*12+MONTH(Planos!$G134))&gt;0,MOD((ano_ref*12+5)-(YEAR(Planos!$G134)*12+MONTH(Planos!$G134)),MAX(1,IFERROR(INDEX(lst_frequencia_meses,MATCH(Planos!$E134,lst_frequencia,0)),0)))=0),"●","")))</f>
      </c>
      <c r="I135" s="43">
        <f>IF(NOT(Planos!$A134&lt;&gt;""),"",IF(COUNTIFS(Programação!$B$4:$B$503,Planos!$A134,Programação!$I$4:$I$503,"Concluído",Programação!$G$4:$G$503,"&gt;="&amp;DATE(ano_ref,6,1),Programação!$G$4:$G$503,"&lt;="&amp;EOMONTH(DATE(ano_ref,6,1),0))&gt;0,"✔",IF(AND(ISNUMBER(Planos!$G134),IFERROR(INDEX(lst_frequencia_meses,MATCH(Planos!$E134,lst_frequencia,0)),0)&gt;0,(ano_ref*12+6)-(YEAR(Planos!$G134)*12+MONTH(Planos!$G134))&gt;0,MOD((ano_ref*12+6)-(YEAR(Planos!$G134)*12+MONTH(Planos!$G134)),MAX(1,IFERROR(INDEX(lst_frequencia_meses,MATCH(Planos!$E134,lst_frequencia,0)),0)))=0),"●","")))</f>
      </c>
      <c r="J135" s="43">
        <f>IF(NOT(Planos!$A134&lt;&gt;""),"",IF(COUNTIFS(Programação!$B$4:$B$503,Planos!$A134,Programação!$I$4:$I$503,"Concluído",Programação!$G$4:$G$503,"&gt;="&amp;DATE(ano_ref,7,1),Programação!$G$4:$G$503,"&lt;="&amp;EOMONTH(DATE(ano_ref,7,1),0))&gt;0,"✔",IF(AND(ISNUMBER(Planos!$G134),IFERROR(INDEX(lst_frequencia_meses,MATCH(Planos!$E134,lst_frequencia,0)),0)&gt;0,(ano_ref*12+7)-(YEAR(Planos!$G134)*12+MONTH(Planos!$G134))&gt;0,MOD((ano_ref*12+7)-(YEAR(Planos!$G134)*12+MONTH(Planos!$G134)),MAX(1,IFERROR(INDEX(lst_frequencia_meses,MATCH(Planos!$E134,lst_frequencia,0)),0)))=0),"●","")))</f>
      </c>
      <c r="K135" s="43">
        <f>IF(NOT(Planos!$A134&lt;&gt;""),"",IF(COUNTIFS(Programação!$B$4:$B$503,Planos!$A134,Programação!$I$4:$I$503,"Concluído",Programação!$G$4:$G$503,"&gt;="&amp;DATE(ano_ref,8,1),Programação!$G$4:$G$503,"&lt;="&amp;EOMONTH(DATE(ano_ref,8,1),0))&gt;0,"✔",IF(AND(ISNUMBER(Planos!$G134),IFERROR(INDEX(lst_frequencia_meses,MATCH(Planos!$E134,lst_frequencia,0)),0)&gt;0,(ano_ref*12+8)-(YEAR(Planos!$G134)*12+MONTH(Planos!$G134))&gt;0,MOD((ano_ref*12+8)-(YEAR(Planos!$G134)*12+MONTH(Planos!$G134)),MAX(1,IFERROR(INDEX(lst_frequencia_meses,MATCH(Planos!$E134,lst_frequencia,0)),0)))=0),"●","")))</f>
      </c>
      <c r="L135" s="43">
        <f>IF(NOT(Planos!$A134&lt;&gt;""),"",IF(COUNTIFS(Programação!$B$4:$B$503,Planos!$A134,Programação!$I$4:$I$503,"Concluído",Programação!$G$4:$G$503,"&gt;="&amp;DATE(ano_ref,9,1),Programação!$G$4:$G$503,"&lt;="&amp;EOMONTH(DATE(ano_ref,9,1),0))&gt;0,"✔",IF(AND(ISNUMBER(Planos!$G134),IFERROR(INDEX(lst_frequencia_meses,MATCH(Planos!$E134,lst_frequencia,0)),0)&gt;0,(ano_ref*12+9)-(YEAR(Planos!$G134)*12+MONTH(Planos!$G134))&gt;0,MOD((ano_ref*12+9)-(YEAR(Planos!$G134)*12+MONTH(Planos!$G134)),MAX(1,IFERROR(INDEX(lst_frequencia_meses,MATCH(Planos!$E134,lst_frequencia,0)),0)))=0),"●","")))</f>
      </c>
      <c r="M135" s="43">
        <f>IF(NOT(Planos!$A134&lt;&gt;""),"",IF(COUNTIFS(Programação!$B$4:$B$503,Planos!$A134,Programação!$I$4:$I$503,"Concluído",Programação!$G$4:$G$503,"&gt;="&amp;DATE(ano_ref,10,1),Programação!$G$4:$G$503,"&lt;="&amp;EOMONTH(DATE(ano_ref,10,1),0))&gt;0,"✔",IF(AND(ISNUMBER(Planos!$G134),IFERROR(INDEX(lst_frequencia_meses,MATCH(Planos!$E134,lst_frequencia,0)),0)&gt;0,(ano_ref*12+10)-(YEAR(Planos!$G134)*12+MONTH(Planos!$G134))&gt;0,MOD((ano_ref*12+10)-(YEAR(Planos!$G134)*12+MONTH(Planos!$G134)),MAX(1,IFERROR(INDEX(lst_frequencia_meses,MATCH(Planos!$E134,lst_frequencia,0)),0)))=0),"●","")))</f>
      </c>
      <c r="N135" s="43">
        <f>IF(NOT(Planos!$A134&lt;&gt;""),"",IF(COUNTIFS(Programação!$B$4:$B$503,Planos!$A134,Programação!$I$4:$I$503,"Concluído",Programação!$G$4:$G$503,"&gt;="&amp;DATE(ano_ref,11,1),Programação!$G$4:$G$503,"&lt;="&amp;EOMONTH(DATE(ano_ref,11,1),0))&gt;0,"✔",IF(AND(ISNUMBER(Planos!$G134),IFERROR(INDEX(lst_frequencia_meses,MATCH(Planos!$E134,lst_frequencia,0)),0)&gt;0,(ano_ref*12+11)-(YEAR(Planos!$G134)*12+MONTH(Planos!$G134))&gt;0,MOD((ano_ref*12+11)-(YEAR(Planos!$G134)*12+MONTH(Planos!$G134)),MAX(1,IFERROR(INDEX(lst_frequencia_meses,MATCH(Planos!$E134,lst_frequencia,0)),0)))=0),"●","")))</f>
      </c>
      <c r="O135" s="43">
        <f>IF(NOT(Planos!$A134&lt;&gt;""),"",IF(COUNTIFS(Programação!$B$4:$B$503,Planos!$A134,Programação!$I$4:$I$503,"Concluído",Programação!$G$4:$G$503,"&gt;="&amp;DATE(ano_ref,12,1),Programação!$G$4:$G$503,"&lt;="&amp;EOMONTH(DATE(ano_ref,12,1),0))&gt;0,"✔",IF(AND(ISNUMBER(Planos!$G134),IFERROR(INDEX(lst_frequencia_meses,MATCH(Planos!$E134,lst_frequencia,0)),0)&gt;0,(ano_ref*12+12)-(YEAR(Planos!$G134)*12+MONTH(Planos!$G134))&gt;0,MOD((ano_ref*12+12)-(YEAR(Planos!$G134)*12+MONTH(Planos!$G134)),MAX(1,IFERROR(INDEX(lst_frequencia_meses,MATCH(Planos!$E134,lst_frequencia,0)),0)))=0),"●","")))</f>
      </c>
      <c r="P135" s="44">
        <f>IF(COUNTIF(D135:O135,"✔")+COUNTIF(D135:O135,"●")=0,"",COUNTIF(D135:O135,"✔")/(COUNTIF(D135:O135,"✔")+COUNTIF(D135:O135,"●")))</f>
      </c>
    </row>
    <row r="136" spans="1:16" x14ac:dyDescent="0.25">
      <c r="A136" s="43">
        <f>IF(Planos!$A135&lt;&gt;"",Planos!A135&amp;"","")</f>
      </c>
      <c r="B136" s="43">
        <f>IF(Planos!$A135&lt;&gt;"",Planos!B135&amp;"","")</f>
      </c>
      <c r="C136" s="24">
        <f>IF(Planos!$A135&lt;&gt;"",Planos!C135&amp;"","")</f>
      </c>
      <c r="D136" s="43">
        <f>IF(NOT(Planos!$A135&lt;&gt;""),"",IF(COUNTIFS(Programação!$B$4:$B$503,Planos!$A135,Programação!$I$4:$I$503,"Concluído",Programação!$G$4:$G$503,"&gt;="&amp;DATE(ano_ref,1,1),Programação!$G$4:$G$503,"&lt;="&amp;EOMONTH(DATE(ano_ref,1,1),0))&gt;0,"✔",IF(AND(ISNUMBER(Planos!$G135),IFERROR(INDEX(lst_frequencia_meses,MATCH(Planos!$E135,lst_frequencia,0)),0)&gt;0,(ano_ref*12+1)-(YEAR(Planos!$G135)*12+MONTH(Planos!$G135))&gt;0,MOD((ano_ref*12+1)-(YEAR(Planos!$G135)*12+MONTH(Planos!$G135)),MAX(1,IFERROR(INDEX(lst_frequencia_meses,MATCH(Planos!$E135,lst_frequencia,0)),0)))=0),"●","")))</f>
      </c>
      <c r="E136" s="43">
        <f>IF(NOT(Planos!$A135&lt;&gt;""),"",IF(COUNTIFS(Programação!$B$4:$B$503,Planos!$A135,Programação!$I$4:$I$503,"Concluído",Programação!$G$4:$G$503,"&gt;="&amp;DATE(ano_ref,2,1),Programação!$G$4:$G$503,"&lt;="&amp;EOMONTH(DATE(ano_ref,2,1),0))&gt;0,"✔",IF(AND(ISNUMBER(Planos!$G135),IFERROR(INDEX(lst_frequencia_meses,MATCH(Planos!$E135,lst_frequencia,0)),0)&gt;0,(ano_ref*12+2)-(YEAR(Planos!$G135)*12+MONTH(Planos!$G135))&gt;0,MOD((ano_ref*12+2)-(YEAR(Planos!$G135)*12+MONTH(Planos!$G135)),MAX(1,IFERROR(INDEX(lst_frequencia_meses,MATCH(Planos!$E135,lst_frequencia,0)),0)))=0),"●","")))</f>
      </c>
      <c r="F136" s="43">
        <f>IF(NOT(Planos!$A135&lt;&gt;""),"",IF(COUNTIFS(Programação!$B$4:$B$503,Planos!$A135,Programação!$I$4:$I$503,"Concluído",Programação!$G$4:$G$503,"&gt;="&amp;DATE(ano_ref,3,1),Programação!$G$4:$G$503,"&lt;="&amp;EOMONTH(DATE(ano_ref,3,1),0))&gt;0,"✔",IF(AND(ISNUMBER(Planos!$G135),IFERROR(INDEX(lst_frequencia_meses,MATCH(Planos!$E135,lst_frequencia,0)),0)&gt;0,(ano_ref*12+3)-(YEAR(Planos!$G135)*12+MONTH(Planos!$G135))&gt;0,MOD((ano_ref*12+3)-(YEAR(Planos!$G135)*12+MONTH(Planos!$G135)),MAX(1,IFERROR(INDEX(lst_frequencia_meses,MATCH(Planos!$E135,lst_frequencia,0)),0)))=0),"●","")))</f>
      </c>
      <c r="G136" s="43">
        <f>IF(NOT(Planos!$A135&lt;&gt;""),"",IF(COUNTIFS(Programação!$B$4:$B$503,Planos!$A135,Programação!$I$4:$I$503,"Concluído",Programação!$G$4:$G$503,"&gt;="&amp;DATE(ano_ref,4,1),Programação!$G$4:$G$503,"&lt;="&amp;EOMONTH(DATE(ano_ref,4,1),0))&gt;0,"✔",IF(AND(ISNUMBER(Planos!$G135),IFERROR(INDEX(lst_frequencia_meses,MATCH(Planos!$E135,lst_frequencia,0)),0)&gt;0,(ano_ref*12+4)-(YEAR(Planos!$G135)*12+MONTH(Planos!$G135))&gt;0,MOD((ano_ref*12+4)-(YEAR(Planos!$G135)*12+MONTH(Planos!$G135)),MAX(1,IFERROR(INDEX(lst_frequencia_meses,MATCH(Planos!$E135,lst_frequencia,0)),0)))=0),"●","")))</f>
      </c>
      <c r="H136" s="43">
        <f>IF(NOT(Planos!$A135&lt;&gt;""),"",IF(COUNTIFS(Programação!$B$4:$B$503,Planos!$A135,Programação!$I$4:$I$503,"Concluído",Programação!$G$4:$G$503,"&gt;="&amp;DATE(ano_ref,5,1),Programação!$G$4:$G$503,"&lt;="&amp;EOMONTH(DATE(ano_ref,5,1),0))&gt;0,"✔",IF(AND(ISNUMBER(Planos!$G135),IFERROR(INDEX(lst_frequencia_meses,MATCH(Planos!$E135,lst_frequencia,0)),0)&gt;0,(ano_ref*12+5)-(YEAR(Planos!$G135)*12+MONTH(Planos!$G135))&gt;0,MOD((ano_ref*12+5)-(YEAR(Planos!$G135)*12+MONTH(Planos!$G135)),MAX(1,IFERROR(INDEX(lst_frequencia_meses,MATCH(Planos!$E135,lst_frequencia,0)),0)))=0),"●","")))</f>
      </c>
      <c r="I136" s="43">
        <f>IF(NOT(Planos!$A135&lt;&gt;""),"",IF(COUNTIFS(Programação!$B$4:$B$503,Planos!$A135,Programação!$I$4:$I$503,"Concluído",Programação!$G$4:$G$503,"&gt;="&amp;DATE(ano_ref,6,1),Programação!$G$4:$G$503,"&lt;="&amp;EOMONTH(DATE(ano_ref,6,1),0))&gt;0,"✔",IF(AND(ISNUMBER(Planos!$G135),IFERROR(INDEX(lst_frequencia_meses,MATCH(Planos!$E135,lst_frequencia,0)),0)&gt;0,(ano_ref*12+6)-(YEAR(Planos!$G135)*12+MONTH(Planos!$G135))&gt;0,MOD((ano_ref*12+6)-(YEAR(Planos!$G135)*12+MONTH(Planos!$G135)),MAX(1,IFERROR(INDEX(lst_frequencia_meses,MATCH(Planos!$E135,lst_frequencia,0)),0)))=0),"●","")))</f>
      </c>
      <c r="J136" s="43">
        <f>IF(NOT(Planos!$A135&lt;&gt;""),"",IF(COUNTIFS(Programação!$B$4:$B$503,Planos!$A135,Programação!$I$4:$I$503,"Concluído",Programação!$G$4:$G$503,"&gt;="&amp;DATE(ano_ref,7,1),Programação!$G$4:$G$503,"&lt;="&amp;EOMONTH(DATE(ano_ref,7,1),0))&gt;0,"✔",IF(AND(ISNUMBER(Planos!$G135),IFERROR(INDEX(lst_frequencia_meses,MATCH(Planos!$E135,lst_frequencia,0)),0)&gt;0,(ano_ref*12+7)-(YEAR(Planos!$G135)*12+MONTH(Planos!$G135))&gt;0,MOD((ano_ref*12+7)-(YEAR(Planos!$G135)*12+MONTH(Planos!$G135)),MAX(1,IFERROR(INDEX(lst_frequencia_meses,MATCH(Planos!$E135,lst_frequencia,0)),0)))=0),"●","")))</f>
      </c>
      <c r="K136" s="43">
        <f>IF(NOT(Planos!$A135&lt;&gt;""),"",IF(COUNTIFS(Programação!$B$4:$B$503,Planos!$A135,Programação!$I$4:$I$503,"Concluído",Programação!$G$4:$G$503,"&gt;="&amp;DATE(ano_ref,8,1),Programação!$G$4:$G$503,"&lt;="&amp;EOMONTH(DATE(ano_ref,8,1),0))&gt;0,"✔",IF(AND(ISNUMBER(Planos!$G135),IFERROR(INDEX(lst_frequencia_meses,MATCH(Planos!$E135,lst_frequencia,0)),0)&gt;0,(ano_ref*12+8)-(YEAR(Planos!$G135)*12+MONTH(Planos!$G135))&gt;0,MOD((ano_ref*12+8)-(YEAR(Planos!$G135)*12+MONTH(Planos!$G135)),MAX(1,IFERROR(INDEX(lst_frequencia_meses,MATCH(Planos!$E135,lst_frequencia,0)),0)))=0),"●","")))</f>
      </c>
      <c r="L136" s="43">
        <f>IF(NOT(Planos!$A135&lt;&gt;""),"",IF(COUNTIFS(Programação!$B$4:$B$503,Planos!$A135,Programação!$I$4:$I$503,"Concluído",Programação!$G$4:$G$503,"&gt;="&amp;DATE(ano_ref,9,1),Programação!$G$4:$G$503,"&lt;="&amp;EOMONTH(DATE(ano_ref,9,1),0))&gt;0,"✔",IF(AND(ISNUMBER(Planos!$G135),IFERROR(INDEX(lst_frequencia_meses,MATCH(Planos!$E135,lst_frequencia,0)),0)&gt;0,(ano_ref*12+9)-(YEAR(Planos!$G135)*12+MONTH(Planos!$G135))&gt;0,MOD((ano_ref*12+9)-(YEAR(Planos!$G135)*12+MONTH(Planos!$G135)),MAX(1,IFERROR(INDEX(lst_frequencia_meses,MATCH(Planos!$E135,lst_frequencia,0)),0)))=0),"●","")))</f>
      </c>
      <c r="M136" s="43">
        <f>IF(NOT(Planos!$A135&lt;&gt;""),"",IF(COUNTIFS(Programação!$B$4:$B$503,Planos!$A135,Programação!$I$4:$I$503,"Concluído",Programação!$G$4:$G$503,"&gt;="&amp;DATE(ano_ref,10,1),Programação!$G$4:$G$503,"&lt;="&amp;EOMONTH(DATE(ano_ref,10,1),0))&gt;0,"✔",IF(AND(ISNUMBER(Planos!$G135),IFERROR(INDEX(lst_frequencia_meses,MATCH(Planos!$E135,lst_frequencia,0)),0)&gt;0,(ano_ref*12+10)-(YEAR(Planos!$G135)*12+MONTH(Planos!$G135))&gt;0,MOD((ano_ref*12+10)-(YEAR(Planos!$G135)*12+MONTH(Planos!$G135)),MAX(1,IFERROR(INDEX(lst_frequencia_meses,MATCH(Planos!$E135,lst_frequencia,0)),0)))=0),"●","")))</f>
      </c>
      <c r="N136" s="43">
        <f>IF(NOT(Planos!$A135&lt;&gt;""),"",IF(COUNTIFS(Programação!$B$4:$B$503,Planos!$A135,Programação!$I$4:$I$503,"Concluído",Programação!$G$4:$G$503,"&gt;="&amp;DATE(ano_ref,11,1),Programação!$G$4:$G$503,"&lt;="&amp;EOMONTH(DATE(ano_ref,11,1),0))&gt;0,"✔",IF(AND(ISNUMBER(Planos!$G135),IFERROR(INDEX(lst_frequencia_meses,MATCH(Planos!$E135,lst_frequencia,0)),0)&gt;0,(ano_ref*12+11)-(YEAR(Planos!$G135)*12+MONTH(Planos!$G135))&gt;0,MOD((ano_ref*12+11)-(YEAR(Planos!$G135)*12+MONTH(Planos!$G135)),MAX(1,IFERROR(INDEX(lst_frequencia_meses,MATCH(Planos!$E135,lst_frequencia,0)),0)))=0),"●","")))</f>
      </c>
      <c r="O136" s="43">
        <f>IF(NOT(Planos!$A135&lt;&gt;""),"",IF(COUNTIFS(Programação!$B$4:$B$503,Planos!$A135,Programação!$I$4:$I$503,"Concluído",Programação!$G$4:$G$503,"&gt;="&amp;DATE(ano_ref,12,1),Programação!$G$4:$G$503,"&lt;="&amp;EOMONTH(DATE(ano_ref,12,1),0))&gt;0,"✔",IF(AND(ISNUMBER(Planos!$G135),IFERROR(INDEX(lst_frequencia_meses,MATCH(Planos!$E135,lst_frequencia,0)),0)&gt;0,(ano_ref*12+12)-(YEAR(Planos!$G135)*12+MONTH(Planos!$G135))&gt;0,MOD((ano_ref*12+12)-(YEAR(Planos!$G135)*12+MONTH(Planos!$G135)),MAX(1,IFERROR(INDEX(lst_frequencia_meses,MATCH(Planos!$E135,lst_frequencia,0)),0)))=0),"●","")))</f>
      </c>
      <c r="P136" s="44">
        <f>IF(COUNTIF(D136:O136,"✔")+COUNTIF(D136:O136,"●")=0,"",COUNTIF(D136:O136,"✔")/(COUNTIF(D136:O136,"✔")+COUNTIF(D136:O136,"●")))</f>
      </c>
    </row>
    <row r="137" spans="1:16" x14ac:dyDescent="0.25">
      <c r="A137" s="43">
        <f>IF(Planos!$A136&lt;&gt;"",Planos!A136&amp;"","")</f>
      </c>
      <c r="B137" s="43">
        <f>IF(Planos!$A136&lt;&gt;"",Planos!B136&amp;"","")</f>
      </c>
      <c r="C137" s="24">
        <f>IF(Planos!$A136&lt;&gt;"",Planos!C136&amp;"","")</f>
      </c>
      <c r="D137" s="43">
        <f>IF(NOT(Planos!$A136&lt;&gt;""),"",IF(COUNTIFS(Programação!$B$4:$B$503,Planos!$A136,Programação!$I$4:$I$503,"Concluído",Programação!$G$4:$G$503,"&gt;="&amp;DATE(ano_ref,1,1),Programação!$G$4:$G$503,"&lt;="&amp;EOMONTH(DATE(ano_ref,1,1),0))&gt;0,"✔",IF(AND(ISNUMBER(Planos!$G136),IFERROR(INDEX(lst_frequencia_meses,MATCH(Planos!$E136,lst_frequencia,0)),0)&gt;0,(ano_ref*12+1)-(YEAR(Planos!$G136)*12+MONTH(Planos!$G136))&gt;0,MOD((ano_ref*12+1)-(YEAR(Planos!$G136)*12+MONTH(Planos!$G136)),MAX(1,IFERROR(INDEX(lst_frequencia_meses,MATCH(Planos!$E136,lst_frequencia,0)),0)))=0),"●","")))</f>
      </c>
      <c r="E137" s="43">
        <f>IF(NOT(Planos!$A136&lt;&gt;""),"",IF(COUNTIFS(Programação!$B$4:$B$503,Planos!$A136,Programação!$I$4:$I$503,"Concluído",Programação!$G$4:$G$503,"&gt;="&amp;DATE(ano_ref,2,1),Programação!$G$4:$G$503,"&lt;="&amp;EOMONTH(DATE(ano_ref,2,1),0))&gt;0,"✔",IF(AND(ISNUMBER(Planos!$G136),IFERROR(INDEX(lst_frequencia_meses,MATCH(Planos!$E136,lst_frequencia,0)),0)&gt;0,(ano_ref*12+2)-(YEAR(Planos!$G136)*12+MONTH(Planos!$G136))&gt;0,MOD((ano_ref*12+2)-(YEAR(Planos!$G136)*12+MONTH(Planos!$G136)),MAX(1,IFERROR(INDEX(lst_frequencia_meses,MATCH(Planos!$E136,lst_frequencia,0)),0)))=0),"●","")))</f>
      </c>
      <c r="F137" s="43">
        <f>IF(NOT(Planos!$A136&lt;&gt;""),"",IF(COUNTIFS(Programação!$B$4:$B$503,Planos!$A136,Programação!$I$4:$I$503,"Concluído",Programação!$G$4:$G$503,"&gt;="&amp;DATE(ano_ref,3,1),Programação!$G$4:$G$503,"&lt;="&amp;EOMONTH(DATE(ano_ref,3,1),0))&gt;0,"✔",IF(AND(ISNUMBER(Planos!$G136),IFERROR(INDEX(lst_frequencia_meses,MATCH(Planos!$E136,lst_frequencia,0)),0)&gt;0,(ano_ref*12+3)-(YEAR(Planos!$G136)*12+MONTH(Planos!$G136))&gt;0,MOD((ano_ref*12+3)-(YEAR(Planos!$G136)*12+MONTH(Planos!$G136)),MAX(1,IFERROR(INDEX(lst_frequencia_meses,MATCH(Planos!$E136,lst_frequencia,0)),0)))=0),"●","")))</f>
      </c>
      <c r="G137" s="43">
        <f>IF(NOT(Planos!$A136&lt;&gt;""),"",IF(COUNTIFS(Programação!$B$4:$B$503,Planos!$A136,Programação!$I$4:$I$503,"Concluído",Programação!$G$4:$G$503,"&gt;="&amp;DATE(ano_ref,4,1),Programação!$G$4:$G$503,"&lt;="&amp;EOMONTH(DATE(ano_ref,4,1),0))&gt;0,"✔",IF(AND(ISNUMBER(Planos!$G136),IFERROR(INDEX(lst_frequencia_meses,MATCH(Planos!$E136,lst_frequencia,0)),0)&gt;0,(ano_ref*12+4)-(YEAR(Planos!$G136)*12+MONTH(Planos!$G136))&gt;0,MOD((ano_ref*12+4)-(YEAR(Planos!$G136)*12+MONTH(Planos!$G136)),MAX(1,IFERROR(INDEX(lst_frequencia_meses,MATCH(Planos!$E136,lst_frequencia,0)),0)))=0),"●","")))</f>
      </c>
      <c r="H137" s="43">
        <f>IF(NOT(Planos!$A136&lt;&gt;""),"",IF(COUNTIFS(Programação!$B$4:$B$503,Planos!$A136,Programação!$I$4:$I$503,"Concluído",Programação!$G$4:$G$503,"&gt;="&amp;DATE(ano_ref,5,1),Programação!$G$4:$G$503,"&lt;="&amp;EOMONTH(DATE(ano_ref,5,1),0))&gt;0,"✔",IF(AND(ISNUMBER(Planos!$G136),IFERROR(INDEX(lst_frequencia_meses,MATCH(Planos!$E136,lst_frequencia,0)),0)&gt;0,(ano_ref*12+5)-(YEAR(Planos!$G136)*12+MONTH(Planos!$G136))&gt;0,MOD((ano_ref*12+5)-(YEAR(Planos!$G136)*12+MONTH(Planos!$G136)),MAX(1,IFERROR(INDEX(lst_frequencia_meses,MATCH(Planos!$E136,lst_frequencia,0)),0)))=0),"●","")))</f>
      </c>
      <c r="I137" s="43">
        <f>IF(NOT(Planos!$A136&lt;&gt;""),"",IF(COUNTIFS(Programação!$B$4:$B$503,Planos!$A136,Programação!$I$4:$I$503,"Concluído",Programação!$G$4:$G$503,"&gt;="&amp;DATE(ano_ref,6,1),Programação!$G$4:$G$503,"&lt;="&amp;EOMONTH(DATE(ano_ref,6,1),0))&gt;0,"✔",IF(AND(ISNUMBER(Planos!$G136),IFERROR(INDEX(lst_frequencia_meses,MATCH(Planos!$E136,lst_frequencia,0)),0)&gt;0,(ano_ref*12+6)-(YEAR(Planos!$G136)*12+MONTH(Planos!$G136))&gt;0,MOD((ano_ref*12+6)-(YEAR(Planos!$G136)*12+MONTH(Planos!$G136)),MAX(1,IFERROR(INDEX(lst_frequencia_meses,MATCH(Planos!$E136,lst_frequencia,0)),0)))=0),"●","")))</f>
      </c>
      <c r="J137" s="43">
        <f>IF(NOT(Planos!$A136&lt;&gt;""),"",IF(COUNTIFS(Programação!$B$4:$B$503,Planos!$A136,Programação!$I$4:$I$503,"Concluído",Programação!$G$4:$G$503,"&gt;="&amp;DATE(ano_ref,7,1),Programação!$G$4:$G$503,"&lt;="&amp;EOMONTH(DATE(ano_ref,7,1),0))&gt;0,"✔",IF(AND(ISNUMBER(Planos!$G136),IFERROR(INDEX(lst_frequencia_meses,MATCH(Planos!$E136,lst_frequencia,0)),0)&gt;0,(ano_ref*12+7)-(YEAR(Planos!$G136)*12+MONTH(Planos!$G136))&gt;0,MOD((ano_ref*12+7)-(YEAR(Planos!$G136)*12+MONTH(Planos!$G136)),MAX(1,IFERROR(INDEX(lst_frequencia_meses,MATCH(Planos!$E136,lst_frequencia,0)),0)))=0),"●","")))</f>
      </c>
      <c r="K137" s="43">
        <f>IF(NOT(Planos!$A136&lt;&gt;""),"",IF(COUNTIFS(Programação!$B$4:$B$503,Planos!$A136,Programação!$I$4:$I$503,"Concluído",Programação!$G$4:$G$503,"&gt;="&amp;DATE(ano_ref,8,1),Programação!$G$4:$G$503,"&lt;="&amp;EOMONTH(DATE(ano_ref,8,1),0))&gt;0,"✔",IF(AND(ISNUMBER(Planos!$G136),IFERROR(INDEX(lst_frequencia_meses,MATCH(Planos!$E136,lst_frequencia,0)),0)&gt;0,(ano_ref*12+8)-(YEAR(Planos!$G136)*12+MONTH(Planos!$G136))&gt;0,MOD((ano_ref*12+8)-(YEAR(Planos!$G136)*12+MONTH(Planos!$G136)),MAX(1,IFERROR(INDEX(lst_frequencia_meses,MATCH(Planos!$E136,lst_frequencia,0)),0)))=0),"●","")))</f>
      </c>
      <c r="L137" s="43">
        <f>IF(NOT(Planos!$A136&lt;&gt;""),"",IF(COUNTIFS(Programação!$B$4:$B$503,Planos!$A136,Programação!$I$4:$I$503,"Concluído",Programação!$G$4:$G$503,"&gt;="&amp;DATE(ano_ref,9,1),Programação!$G$4:$G$503,"&lt;="&amp;EOMONTH(DATE(ano_ref,9,1),0))&gt;0,"✔",IF(AND(ISNUMBER(Planos!$G136),IFERROR(INDEX(lst_frequencia_meses,MATCH(Planos!$E136,lst_frequencia,0)),0)&gt;0,(ano_ref*12+9)-(YEAR(Planos!$G136)*12+MONTH(Planos!$G136))&gt;0,MOD((ano_ref*12+9)-(YEAR(Planos!$G136)*12+MONTH(Planos!$G136)),MAX(1,IFERROR(INDEX(lst_frequencia_meses,MATCH(Planos!$E136,lst_frequencia,0)),0)))=0),"●","")))</f>
      </c>
      <c r="M137" s="43">
        <f>IF(NOT(Planos!$A136&lt;&gt;""),"",IF(COUNTIFS(Programação!$B$4:$B$503,Planos!$A136,Programação!$I$4:$I$503,"Concluído",Programação!$G$4:$G$503,"&gt;="&amp;DATE(ano_ref,10,1),Programação!$G$4:$G$503,"&lt;="&amp;EOMONTH(DATE(ano_ref,10,1),0))&gt;0,"✔",IF(AND(ISNUMBER(Planos!$G136),IFERROR(INDEX(lst_frequencia_meses,MATCH(Planos!$E136,lst_frequencia,0)),0)&gt;0,(ano_ref*12+10)-(YEAR(Planos!$G136)*12+MONTH(Planos!$G136))&gt;0,MOD((ano_ref*12+10)-(YEAR(Planos!$G136)*12+MONTH(Planos!$G136)),MAX(1,IFERROR(INDEX(lst_frequencia_meses,MATCH(Planos!$E136,lst_frequencia,0)),0)))=0),"●","")))</f>
      </c>
      <c r="N137" s="43">
        <f>IF(NOT(Planos!$A136&lt;&gt;""),"",IF(COUNTIFS(Programação!$B$4:$B$503,Planos!$A136,Programação!$I$4:$I$503,"Concluído",Programação!$G$4:$G$503,"&gt;="&amp;DATE(ano_ref,11,1),Programação!$G$4:$G$503,"&lt;="&amp;EOMONTH(DATE(ano_ref,11,1),0))&gt;0,"✔",IF(AND(ISNUMBER(Planos!$G136),IFERROR(INDEX(lst_frequencia_meses,MATCH(Planos!$E136,lst_frequencia,0)),0)&gt;0,(ano_ref*12+11)-(YEAR(Planos!$G136)*12+MONTH(Planos!$G136))&gt;0,MOD((ano_ref*12+11)-(YEAR(Planos!$G136)*12+MONTH(Planos!$G136)),MAX(1,IFERROR(INDEX(lst_frequencia_meses,MATCH(Planos!$E136,lst_frequencia,0)),0)))=0),"●","")))</f>
      </c>
      <c r="O137" s="43">
        <f>IF(NOT(Planos!$A136&lt;&gt;""),"",IF(COUNTIFS(Programação!$B$4:$B$503,Planos!$A136,Programação!$I$4:$I$503,"Concluído",Programação!$G$4:$G$503,"&gt;="&amp;DATE(ano_ref,12,1),Programação!$G$4:$G$503,"&lt;="&amp;EOMONTH(DATE(ano_ref,12,1),0))&gt;0,"✔",IF(AND(ISNUMBER(Planos!$G136),IFERROR(INDEX(lst_frequencia_meses,MATCH(Planos!$E136,lst_frequencia,0)),0)&gt;0,(ano_ref*12+12)-(YEAR(Planos!$G136)*12+MONTH(Planos!$G136))&gt;0,MOD((ano_ref*12+12)-(YEAR(Planos!$G136)*12+MONTH(Planos!$G136)),MAX(1,IFERROR(INDEX(lst_frequencia_meses,MATCH(Planos!$E136,lst_frequencia,0)),0)))=0),"●","")))</f>
      </c>
      <c r="P137" s="44">
        <f>IF(COUNTIF(D137:O137,"✔")+COUNTIF(D137:O137,"●")=0,"",COUNTIF(D137:O137,"✔")/(COUNTIF(D137:O137,"✔")+COUNTIF(D137:O137,"●")))</f>
      </c>
    </row>
    <row r="138" spans="1:16" x14ac:dyDescent="0.25">
      <c r="A138" s="43">
        <f>IF(Planos!$A137&lt;&gt;"",Planos!A137&amp;"","")</f>
      </c>
      <c r="B138" s="43">
        <f>IF(Planos!$A137&lt;&gt;"",Planos!B137&amp;"","")</f>
      </c>
      <c r="C138" s="24">
        <f>IF(Planos!$A137&lt;&gt;"",Planos!C137&amp;"","")</f>
      </c>
      <c r="D138" s="43">
        <f>IF(NOT(Planos!$A137&lt;&gt;""),"",IF(COUNTIFS(Programação!$B$4:$B$503,Planos!$A137,Programação!$I$4:$I$503,"Concluído",Programação!$G$4:$G$503,"&gt;="&amp;DATE(ano_ref,1,1),Programação!$G$4:$G$503,"&lt;="&amp;EOMONTH(DATE(ano_ref,1,1),0))&gt;0,"✔",IF(AND(ISNUMBER(Planos!$G137),IFERROR(INDEX(lst_frequencia_meses,MATCH(Planos!$E137,lst_frequencia,0)),0)&gt;0,(ano_ref*12+1)-(YEAR(Planos!$G137)*12+MONTH(Planos!$G137))&gt;0,MOD((ano_ref*12+1)-(YEAR(Planos!$G137)*12+MONTH(Planos!$G137)),MAX(1,IFERROR(INDEX(lst_frequencia_meses,MATCH(Planos!$E137,lst_frequencia,0)),0)))=0),"●","")))</f>
      </c>
      <c r="E138" s="43">
        <f>IF(NOT(Planos!$A137&lt;&gt;""),"",IF(COUNTIFS(Programação!$B$4:$B$503,Planos!$A137,Programação!$I$4:$I$503,"Concluído",Programação!$G$4:$G$503,"&gt;="&amp;DATE(ano_ref,2,1),Programação!$G$4:$G$503,"&lt;="&amp;EOMONTH(DATE(ano_ref,2,1),0))&gt;0,"✔",IF(AND(ISNUMBER(Planos!$G137),IFERROR(INDEX(lst_frequencia_meses,MATCH(Planos!$E137,lst_frequencia,0)),0)&gt;0,(ano_ref*12+2)-(YEAR(Planos!$G137)*12+MONTH(Planos!$G137))&gt;0,MOD((ano_ref*12+2)-(YEAR(Planos!$G137)*12+MONTH(Planos!$G137)),MAX(1,IFERROR(INDEX(lst_frequencia_meses,MATCH(Planos!$E137,lst_frequencia,0)),0)))=0),"●","")))</f>
      </c>
      <c r="F138" s="43">
        <f>IF(NOT(Planos!$A137&lt;&gt;""),"",IF(COUNTIFS(Programação!$B$4:$B$503,Planos!$A137,Programação!$I$4:$I$503,"Concluído",Programação!$G$4:$G$503,"&gt;="&amp;DATE(ano_ref,3,1),Programação!$G$4:$G$503,"&lt;="&amp;EOMONTH(DATE(ano_ref,3,1),0))&gt;0,"✔",IF(AND(ISNUMBER(Planos!$G137),IFERROR(INDEX(lst_frequencia_meses,MATCH(Planos!$E137,lst_frequencia,0)),0)&gt;0,(ano_ref*12+3)-(YEAR(Planos!$G137)*12+MONTH(Planos!$G137))&gt;0,MOD((ano_ref*12+3)-(YEAR(Planos!$G137)*12+MONTH(Planos!$G137)),MAX(1,IFERROR(INDEX(lst_frequencia_meses,MATCH(Planos!$E137,lst_frequencia,0)),0)))=0),"●","")))</f>
      </c>
      <c r="G138" s="43">
        <f>IF(NOT(Planos!$A137&lt;&gt;""),"",IF(COUNTIFS(Programação!$B$4:$B$503,Planos!$A137,Programação!$I$4:$I$503,"Concluído",Programação!$G$4:$G$503,"&gt;="&amp;DATE(ano_ref,4,1),Programação!$G$4:$G$503,"&lt;="&amp;EOMONTH(DATE(ano_ref,4,1),0))&gt;0,"✔",IF(AND(ISNUMBER(Planos!$G137),IFERROR(INDEX(lst_frequencia_meses,MATCH(Planos!$E137,lst_frequencia,0)),0)&gt;0,(ano_ref*12+4)-(YEAR(Planos!$G137)*12+MONTH(Planos!$G137))&gt;0,MOD((ano_ref*12+4)-(YEAR(Planos!$G137)*12+MONTH(Planos!$G137)),MAX(1,IFERROR(INDEX(lst_frequencia_meses,MATCH(Planos!$E137,lst_frequencia,0)),0)))=0),"●","")))</f>
      </c>
      <c r="H138" s="43">
        <f>IF(NOT(Planos!$A137&lt;&gt;""),"",IF(COUNTIFS(Programação!$B$4:$B$503,Planos!$A137,Programação!$I$4:$I$503,"Concluído",Programação!$G$4:$G$503,"&gt;="&amp;DATE(ano_ref,5,1),Programação!$G$4:$G$503,"&lt;="&amp;EOMONTH(DATE(ano_ref,5,1),0))&gt;0,"✔",IF(AND(ISNUMBER(Planos!$G137),IFERROR(INDEX(lst_frequencia_meses,MATCH(Planos!$E137,lst_frequencia,0)),0)&gt;0,(ano_ref*12+5)-(YEAR(Planos!$G137)*12+MONTH(Planos!$G137))&gt;0,MOD((ano_ref*12+5)-(YEAR(Planos!$G137)*12+MONTH(Planos!$G137)),MAX(1,IFERROR(INDEX(lst_frequencia_meses,MATCH(Planos!$E137,lst_frequencia,0)),0)))=0),"●","")))</f>
      </c>
      <c r="I138" s="43">
        <f>IF(NOT(Planos!$A137&lt;&gt;""),"",IF(COUNTIFS(Programação!$B$4:$B$503,Planos!$A137,Programação!$I$4:$I$503,"Concluído",Programação!$G$4:$G$503,"&gt;="&amp;DATE(ano_ref,6,1),Programação!$G$4:$G$503,"&lt;="&amp;EOMONTH(DATE(ano_ref,6,1),0))&gt;0,"✔",IF(AND(ISNUMBER(Planos!$G137),IFERROR(INDEX(lst_frequencia_meses,MATCH(Planos!$E137,lst_frequencia,0)),0)&gt;0,(ano_ref*12+6)-(YEAR(Planos!$G137)*12+MONTH(Planos!$G137))&gt;0,MOD((ano_ref*12+6)-(YEAR(Planos!$G137)*12+MONTH(Planos!$G137)),MAX(1,IFERROR(INDEX(lst_frequencia_meses,MATCH(Planos!$E137,lst_frequencia,0)),0)))=0),"●","")))</f>
      </c>
      <c r="J138" s="43">
        <f>IF(NOT(Planos!$A137&lt;&gt;""),"",IF(COUNTIFS(Programação!$B$4:$B$503,Planos!$A137,Programação!$I$4:$I$503,"Concluído",Programação!$G$4:$G$503,"&gt;="&amp;DATE(ano_ref,7,1),Programação!$G$4:$G$503,"&lt;="&amp;EOMONTH(DATE(ano_ref,7,1),0))&gt;0,"✔",IF(AND(ISNUMBER(Planos!$G137),IFERROR(INDEX(lst_frequencia_meses,MATCH(Planos!$E137,lst_frequencia,0)),0)&gt;0,(ano_ref*12+7)-(YEAR(Planos!$G137)*12+MONTH(Planos!$G137))&gt;0,MOD((ano_ref*12+7)-(YEAR(Planos!$G137)*12+MONTH(Planos!$G137)),MAX(1,IFERROR(INDEX(lst_frequencia_meses,MATCH(Planos!$E137,lst_frequencia,0)),0)))=0),"●","")))</f>
      </c>
      <c r="K138" s="43">
        <f>IF(NOT(Planos!$A137&lt;&gt;""),"",IF(COUNTIFS(Programação!$B$4:$B$503,Planos!$A137,Programação!$I$4:$I$503,"Concluído",Programação!$G$4:$G$503,"&gt;="&amp;DATE(ano_ref,8,1),Programação!$G$4:$G$503,"&lt;="&amp;EOMONTH(DATE(ano_ref,8,1),0))&gt;0,"✔",IF(AND(ISNUMBER(Planos!$G137),IFERROR(INDEX(lst_frequencia_meses,MATCH(Planos!$E137,lst_frequencia,0)),0)&gt;0,(ano_ref*12+8)-(YEAR(Planos!$G137)*12+MONTH(Planos!$G137))&gt;0,MOD((ano_ref*12+8)-(YEAR(Planos!$G137)*12+MONTH(Planos!$G137)),MAX(1,IFERROR(INDEX(lst_frequencia_meses,MATCH(Planos!$E137,lst_frequencia,0)),0)))=0),"●","")))</f>
      </c>
      <c r="L138" s="43">
        <f>IF(NOT(Planos!$A137&lt;&gt;""),"",IF(COUNTIFS(Programação!$B$4:$B$503,Planos!$A137,Programação!$I$4:$I$503,"Concluído",Programação!$G$4:$G$503,"&gt;="&amp;DATE(ano_ref,9,1),Programação!$G$4:$G$503,"&lt;="&amp;EOMONTH(DATE(ano_ref,9,1),0))&gt;0,"✔",IF(AND(ISNUMBER(Planos!$G137),IFERROR(INDEX(lst_frequencia_meses,MATCH(Planos!$E137,lst_frequencia,0)),0)&gt;0,(ano_ref*12+9)-(YEAR(Planos!$G137)*12+MONTH(Planos!$G137))&gt;0,MOD((ano_ref*12+9)-(YEAR(Planos!$G137)*12+MONTH(Planos!$G137)),MAX(1,IFERROR(INDEX(lst_frequencia_meses,MATCH(Planos!$E137,lst_frequencia,0)),0)))=0),"●","")))</f>
      </c>
      <c r="M138" s="43">
        <f>IF(NOT(Planos!$A137&lt;&gt;""),"",IF(COUNTIFS(Programação!$B$4:$B$503,Planos!$A137,Programação!$I$4:$I$503,"Concluído",Programação!$G$4:$G$503,"&gt;="&amp;DATE(ano_ref,10,1),Programação!$G$4:$G$503,"&lt;="&amp;EOMONTH(DATE(ano_ref,10,1),0))&gt;0,"✔",IF(AND(ISNUMBER(Planos!$G137),IFERROR(INDEX(lst_frequencia_meses,MATCH(Planos!$E137,lst_frequencia,0)),0)&gt;0,(ano_ref*12+10)-(YEAR(Planos!$G137)*12+MONTH(Planos!$G137))&gt;0,MOD((ano_ref*12+10)-(YEAR(Planos!$G137)*12+MONTH(Planos!$G137)),MAX(1,IFERROR(INDEX(lst_frequencia_meses,MATCH(Planos!$E137,lst_frequencia,0)),0)))=0),"●","")))</f>
      </c>
      <c r="N138" s="43">
        <f>IF(NOT(Planos!$A137&lt;&gt;""),"",IF(COUNTIFS(Programação!$B$4:$B$503,Planos!$A137,Programação!$I$4:$I$503,"Concluído",Programação!$G$4:$G$503,"&gt;="&amp;DATE(ano_ref,11,1),Programação!$G$4:$G$503,"&lt;="&amp;EOMONTH(DATE(ano_ref,11,1),0))&gt;0,"✔",IF(AND(ISNUMBER(Planos!$G137),IFERROR(INDEX(lst_frequencia_meses,MATCH(Planos!$E137,lst_frequencia,0)),0)&gt;0,(ano_ref*12+11)-(YEAR(Planos!$G137)*12+MONTH(Planos!$G137))&gt;0,MOD((ano_ref*12+11)-(YEAR(Planos!$G137)*12+MONTH(Planos!$G137)),MAX(1,IFERROR(INDEX(lst_frequencia_meses,MATCH(Planos!$E137,lst_frequencia,0)),0)))=0),"●","")))</f>
      </c>
      <c r="O138" s="43">
        <f>IF(NOT(Planos!$A137&lt;&gt;""),"",IF(COUNTIFS(Programação!$B$4:$B$503,Planos!$A137,Programação!$I$4:$I$503,"Concluído",Programação!$G$4:$G$503,"&gt;="&amp;DATE(ano_ref,12,1),Programação!$G$4:$G$503,"&lt;="&amp;EOMONTH(DATE(ano_ref,12,1),0))&gt;0,"✔",IF(AND(ISNUMBER(Planos!$G137),IFERROR(INDEX(lst_frequencia_meses,MATCH(Planos!$E137,lst_frequencia,0)),0)&gt;0,(ano_ref*12+12)-(YEAR(Planos!$G137)*12+MONTH(Planos!$G137))&gt;0,MOD((ano_ref*12+12)-(YEAR(Planos!$G137)*12+MONTH(Planos!$G137)),MAX(1,IFERROR(INDEX(lst_frequencia_meses,MATCH(Planos!$E137,lst_frequencia,0)),0)))=0),"●","")))</f>
      </c>
      <c r="P138" s="44">
        <f>IF(COUNTIF(D138:O138,"✔")+COUNTIF(D138:O138,"●")=0,"",COUNTIF(D138:O138,"✔")/(COUNTIF(D138:O138,"✔")+COUNTIF(D138:O138,"●")))</f>
      </c>
    </row>
    <row r="139" spans="1:16" x14ac:dyDescent="0.25">
      <c r="A139" s="43">
        <f>IF(Planos!$A138&lt;&gt;"",Planos!A138&amp;"","")</f>
      </c>
      <c r="B139" s="43">
        <f>IF(Planos!$A138&lt;&gt;"",Planos!B138&amp;"","")</f>
      </c>
      <c r="C139" s="24">
        <f>IF(Planos!$A138&lt;&gt;"",Planos!C138&amp;"","")</f>
      </c>
      <c r="D139" s="43">
        <f>IF(NOT(Planos!$A138&lt;&gt;""),"",IF(COUNTIFS(Programação!$B$4:$B$503,Planos!$A138,Programação!$I$4:$I$503,"Concluído",Programação!$G$4:$G$503,"&gt;="&amp;DATE(ano_ref,1,1),Programação!$G$4:$G$503,"&lt;="&amp;EOMONTH(DATE(ano_ref,1,1),0))&gt;0,"✔",IF(AND(ISNUMBER(Planos!$G138),IFERROR(INDEX(lst_frequencia_meses,MATCH(Planos!$E138,lst_frequencia,0)),0)&gt;0,(ano_ref*12+1)-(YEAR(Planos!$G138)*12+MONTH(Planos!$G138))&gt;0,MOD((ano_ref*12+1)-(YEAR(Planos!$G138)*12+MONTH(Planos!$G138)),MAX(1,IFERROR(INDEX(lst_frequencia_meses,MATCH(Planos!$E138,lst_frequencia,0)),0)))=0),"●","")))</f>
      </c>
      <c r="E139" s="43">
        <f>IF(NOT(Planos!$A138&lt;&gt;""),"",IF(COUNTIFS(Programação!$B$4:$B$503,Planos!$A138,Programação!$I$4:$I$503,"Concluído",Programação!$G$4:$G$503,"&gt;="&amp;DATE(ano_ref,2,1),Programação!$G$4:$G$503,"&lt;="&amp;EOMONTH(DATE(ano_ref,2,1),0))&gt;0,"✔",IF(AND(ISNUMBER(Planos!$G138),IFERROR(INDEX(lst_frequencia_meses,MATCH(Planos!$E138,lst_frequencia,0)),0)&gt;0,(ano_ref*12+2)-(YEAR(Planos!$G138)*12+MONTH(Planos!$G138))&gt;0,MOD((ano_ref*12+2)-(YEAR(Planos!$G138)*12+MONTH(Planos!$G138)),MAX(1,IFERROR(INDEX(lst_frequencia_meses,MATCH(Planos!$E138,lst_frequencia,0)),0)))=0),"●","")))</f>
      </c>
      <c r="F139" s="43">
        <f>IF(NOT(Planos!$A138&lt;&gt;""),"",IF(COUNTIFS(Programação!$B$4:$B$503,Planos!$A138,Programação!$I$4:$I$503,"Concluído",Programação!$G$4:$G$503,"&gt;="&amp;DATE(ano_ref,3,1),Programação!$G$4:$G$503,"&lt;="&amp;EOMONTH(DATE(ano_ref,3,1),0))&gt;0,"✔",IF(AND(ISNUMBER(Planos!$G138),IFERROR(INDEX(lst_frequencia_meses,MATCH(Planos!$E138,lst_frequencia,0)),0)&gt;0,(ano_ref*12+3)-(YEAR(Planos!$G138)*12+MONTH(Planos!$G138))&gt;0,MOD((ano_ref*12+3)-(YEAR(Planos!$G138)*12+MONTH(Planos!$G138)),MAX(1,IFERROR(INDEX(lst_frequencia_meses,MATCH(Planos!$E138,lst_frequencia,0)),0)))=0),"●","")))</f>
      </c>
      <c r="G139" s="43">
        <f>IF(NOT(Planos!$A138&lt;&gt;""),"",IF(COUNTIFS(Programação!$B$4:$B$503,Planos!$A138,Programação!$I$4:$I$503,"Concluído",Programação!$G$4:$G$503,"&gt;="&amp;DATE(ano_ref,4,1),Programação!$G$4:$G$503,"&lt;="&amp;EOMONTH(DATE(ano_ref,4,1),0))&gt;0,"✔",IF(AND(ISNUMBER(Planos!$G138),IFERROR(INDEX(lst_frequencia_meses,MATCH(Planos!$E138,lst_frequencia,0)),0)&gt;0,(ano_ref*12+4)-(YEAR(Planos!$G138)*12+MONTH(Planos!$G138))&gt;0,MOD((ano_ref*12+4)-(YEAR(Planos!$G138)*12+MONTH(Planos!$G138)),MAX(1,IFERROR(INDEX(lst_frequencia_meses,MATCH(Planos!$E138,lst_frequencia,0)),0)))=0),"●","")))</f>
      </c>
      <c r="H139" s="43">
        <f>IF(NOT(Planos!$A138&lt;&gt;""),"",IF(COUNTIFS(Programação!$B$4:$B$503,Planos!$A138,Programação!$I$4:$I$503,"Concluído",Programação!$G$4:$G$503,"&gt;="&amp;DATE(ano_ref,5,1),Programação!$G$4:$G$503,"&lt;="&amp;EOMONTH(DATE(ano_ref,5,1),0))&gt;0,"✔",IF(AND(ISNUMBER(Planos!$G138),IFERROR(INDEX(lst_frequencia_meses,MATCH(Planos!$E138,lst_frequencia,0)),0)&gt;0,(ano_ref*12+5)-(YEAR(Planos!$G138)*12+MONTH(Planos!$G138))&gt;0,MOD((ano_ref*12+5)-(YEAR(Planos!$G138)*12+MONTH(Planos!$G138)),MAX(1,IFERROR(INDEX(lst_frequencia_meses,MATCH(Planos!$E138,lst_frequencia,0)),0)))=0),"●","")))</f>
      </c>
      <c r="I139" s="43">
        <f>IF(NOT(Planos!$A138&lt;&gt;""),"",IF(COUNTIFS(Programação!$B$4:$B$503,Planos!$A138,Programação!$I$4:$I$503,"Concluído",Programação!$G$4:$G$503,"&gt;="&amp;DATE(ano_ref,6,1),Programação!$G$4:$G$503,"&lt;="&amp;EOMONTH(DATE(ano_ref,6,1),0))&gt;0,"✔",IF(AND(ISNUMBER(Planos!$G138),IFERROR(INDEX(lst_frequencia_meses,MATCH(Planos!$E138,lst_frequencia,0)),0)&gt;0,(ano_ref*12+6)-(YEAR(Planos!$G138)*12+MONTH(Planos!$G138))&gt;0,MOD((ano_ref*12+6)-(YEAR(Planos!$G138)*12+MONTH(Planos!$G138)),MAX(1,IFERROR(INDEX(lst_frequencia_meses,MATCH(Planos!$E138,lst_frequencia,0)),0)))=0),"●","")))</f>
      </c>
      <c r="J139" s="43">
        <f>IF(NOT(Planos!$A138&lt;&gt;""),"",IF(COUNTIFS(Programação!$B$4:$B$503,Planos!$A138,Programação!$I$4:$I$503,"Concluído",Programação!$G$4:$G$503,"&gt;="&amp;DATE(ano_ref,7,1),Programação!$G$4:$G$503,"&lt;="&amp;EOMONTH(DATE(ano_ref,7,1),0))&gt;0,"✔",IF(AND(ISNUMBER(Planos!$G138),IFERROR(INDEX(lst_frequencia_meses,MATCH(Planos!$E138,lst_frequencia,0)),0)&gt;0,(ano_ref*12+7)-(YEAR(Planos!$G138)*12+MONTH(Planos!$G138))&gt;0,MOD((ano_ref*12+7)-(YEAR(Planos!$G138)*12+MONTH(Planos!$G138)),MAX(1,IFERROR(INDEX(lst_frequencia_meses,MATCH(Planos!$E138,lst_frequencia,0)),0)))=0),"●","")))</f>
      </c>
      <c r="K139" s="43">
        <f>IF(NOT(Planos!$A138&lt;&gt;""),"",IF(COUNTIFS(Programação!$B$4:$B$503,Planos!$A138,Programação!$I$4:$I$503,"Concluído",Programação!$G$4:$G$503,"&gt;="&amp;DATE(ano_ref,8,1),Programação!$G$4:$G$503,"&lt;="&amp;EOMONTH(DATE(ano_ref,8,1),0))&gt;0,"✔",IF(AND(ISNUMBER(Planos!$G138),IFERROR(INDEX(lst_frequencia_meses,MATCH(Planos!$E138,lst_frequencia,0)),0)&gt;0,(ano_ref*12+8)-(YEAR(Planos!$G138)*12+MONTH(Planos!$G138))&gt;0,MOD((ano_ref*12+8)-(YEAR(Planos!$G138)*12+MONTH(Planos!$G138)),MAX(1,IFERROR(INDEX(lst_frequencia_meses,MATCH(Planos!$E138,lst_frequencia,0)),0)))=0),"●","")))</f>
      </c>
      <c r="L139" s="43">
        <f>IF(NOT(Planos!$A138&lt;&gt;""),"",IF(COUNTIFS(Programação!$B$4:$B$503,Planos!$A138,Programação!$I$4:$I$503,"Concluído",Programação!$G$4:$G$503,"&gt;="&amp;DATE(ano_ref,9,1),Programação!$G$4:$G$503,"&lt;="&amp;EOMONTH(DATE(ano_ref,9,1),0))&gt;0,"✔",IF(AND(ISNUMBER(Planos!$G138),IFERROR(INDEX(lst_frequencia_meses,MATCH(Planos!$E138,lst_frequencia,0)),0)&gt;0,(ano_ref*12+9)-(YEAR(Planos!$G138)*12+MONTH(Planos!$G138))&gt;0,MOD((ano_ref*12+9)-(YEAR(Planos!$G138)*12+MONTH(Planos!$G138)),MAX(1,IFERROR(INDEX(lst_frequencia_meses,MATCH(Planos!$E138,lst_frequencia,0)),0)))=0),"●","")))</f>
      </c>
      <c r="M139" s="43">
        <f>IF(NOT(Planos!$A138&lt;&gt;""),"",IF(COUNTIFS(Programação!$B$4:$B$503,Planos!$A138,Programação!$I$4:$I$503,"Concluído",Programação!$G$4:$G$503,"&gt;="&amp;DATE(ano_ref,10,1),Programação!$G$4:$G$503,"&lt;="&amp;EOMONTH(DATE(ano_ref,10,1),0))&gt;0,"✔",IF(AND(ISNUMBER(Planos!$G138),IFERROR(INDEX(lst_frequencia_meses,MATCH(Planos!$E138,lst_frequencia,0)),0)&gt;0,(ano_ref*12+10)-(YEAR(Planos!$G138)*12+MONTH(Planos!$G138))&gt;0,MOD((ano_ref*12+10)-(YEAR(Planos!$G138)*12+MONTH(Planos!$G138)),MAX(1,IFERROR(INDEX(lst_frequencia_meses,MATCH(Planos!$E138,lst_frequencia,0)),0)))=0),"●","")))</f>
      </c>
      <c r="N139" s="43">
        <f>IF(NOT(Planos!$A138&lt;&gt;""),"",IF(COUNTIFS(Programação!$B$4:$B$503,Planos!$A138,Programação!$I$4:$I$503,"Concluído",Programação!$G$4:$G$503,"&gt;="&amp;DATE(ano_ref,11,1),Programação!$G$4:$G$503,"&lt;="&amp;EOMONTH(DATE(ano_ref,11,1),0))&gt;0,"✔",IF(AND(ISNUMBER(Planos!$G138),IFERROR(INDEX(lst_frequencia_meses,MATCH(Planos!$E138,lst_frequencia,0)),0)&gt;0,(ano_ref*12+11)-(YEAR(Planos!$G138)*12+MONTH(Planos!$G138))&gt;0,MOD((ano_ref*12+11)-(YEAR(Planos!$G138)*12+MONTH(Planos!$G138)),MAX(1,IFERROR(INDEX(lst_frequencia_meses,MATCH(Planos!$E138,lst_frequencia,0)),0)))=0),"●","")))</f>
      </c>
      <c r="O139" s="43">
        <f>IF(NOT(Planos!$A138&lt;&gt;""),"",IF(COUNTIFS(Programação!$B$4:$B$503,Planos!$A138,Programação!$I$4:$I$503,"Concluído",Programação!$G$4:$G$503,"&gt;="&amp;DATE(ano_ref,12,1),Programação!$G$4:$G$503,"&lt;="&amp;EOMONTH(DATE(ano_ref,12,1),0))&gt;0,"✔",IF(AND(ISNUMBER(Planos!$G138),IFERROR(INDEX(lst_frequencia_meses,MATCH(Planos!$E138,lst_frequencia,0)),0)&gt;0,(ano_ref*12+12)-(YEAR(Planos!$G138)*12+MONTH(Planos!$G138))&gt;0,MOD((ano_ref*12+12)-(YEAR(Planos!$G138)*12+MONTH(Planos!$G138)),MAX(1,IFERROR(INDEX(lst_frequencia_meses,MATCH(Planos!$E138,lst_frequencia,0)),0)))=0),"●","")))</f>
      </c>
      <c r="P139" s="44">
        <f>IF(COUNTIF(D139:O139,"✔")+COUNTIF(D139:O139,"●")=0,"",COUNTIF(D139:O139,"✔")/(COUNTIF(D139:O139,"✔")+COUNTIF(D139:O139,"●")))</f>
      </c>
    </row>
    <row r="140" spans="1:16" x14ac:dyDescent="0.25">
      <c r="A140" s="43">
        <f>IF(Planos!$A139&lt;&gt;"",Planos!A139&amp;"","")</f>
      </c>
      <c r="B140" s="43">
        <f>IF(Planos!$A139&lt;&gt;"",Planos!B139&amp;"","")</f>
      </c>
      <c r="C140" s="24">
        <f>IF(Planos!$A139&lt;&gt;"",Planos!C139&amp;"","")</f>
      </c>
      <c r="D140" s="43">
        <f>IF(NOT(Planos!$A139&lt;&gt;""),"",IF(COUNTIFS(Programação!$B$4:$B$503,Planos!$A139,Programação!$I$4:$I$503,"Concluído",Programação!$G$4:$G$503,"&gt;="&amp;DATE(ano_ref,1,1),Programação!$G$4:$G$503,"&lt;="&amp;EOMONTH(DATE(ano_ref,1,1),0))&gt;0,"✔",IF(AND(ISNUMBER(Planos!$G139),IFERROR(INDEX(lst_frequencia_meses,MATCH(Planos!$E139,lst_frequencia,0)),0)&gt;0,(ano_ref*12+1)-(YEAR(Planos!$G139)*12+MONTH(Planos!$G139))&gt;0,MOD((ano_ref*12+1)-(YEAR(Planos!$G139)*12+MONTH(Planos!$G139)),MAX(1,IFERROR(INDEX(lst_frequencia_meses,MATCH(Planos!$E139,lst_frequencia,0)),0)))=0),"●","")))</f>
      </c>
      <c r="E140" s="43">
        <f>IF(NOT(Planos!$A139&lt;&gt;""),"",IF(COUNTIFS(Programação!$B$4:$B$503,Planos!$A139,Programação!$I$4:$I$503,"Concluído",Programação!$G$4:$G$503,"&gt;="&amp;DATE(ano_ref,2,1),Programação!$G$4:$G$503,"&lt;="&amp;EOMONTH(DATE(ano_ref,2,1),0))&gt;0,"✔",IF(AND(ISNUMBER(Planos!$G139),IFERROR(INDEX(lst_frequencia_meses,MATCH(Planos!$E139,lst_frequencia,0)),0)&gt;0,(ano_ref*12+2)-(YEAR(Planos!$G139)*12+MONTH(Planos!$G139))&gt;0,MOD((ano_ref*12+2)-(YEAR(Planos!$G139)*12+MONTH(Planos!$G139)),MAX(1,IFERROR(INDEX(lst_frequencia_meses,MATCH(Planos!$E139,lst_frequencia,0)),0)))=0),"●","")))</f>
      </c>
      <c r="F140" s="43">
        <f>IF(NOT(Planos!$A139&lt;&gt;""),"",IF(COUNTIFS(Programação!$B$4:$B$503,Planos!$A139,Programação!$I$4:$I$503,"Concluído",Programação!$G$4:$G$503,"&gt;="&amp;DATE(ano_ref,3,1),Programação!$G$4:$G$503,"&lt;="&amp;EOMONTH(DATE(ano_ref,3,1),0))&gt;0,"✔",IF(AND(ISNUMBER(Planos!$G139),IFERROR(INDEX(lst_frequencia_meses,MATCH(Planos!$E139,lst_frequencia,0)),0)&gt;0,(ano_ref*12+3)-(YEAR(Planos!$G139)*12+MONTH(Planos!$G139))&gt;0,MOD((ano_ref*12+3)-(YEAR(Planos!$G139)*12+MONTH(Planos!$G139)),MAX(1,IFERROR(INDEX(lst_frequencia_meses,MATCH(Planos!$E139,lst_frequencia,0)),0)))=0),"●","")))</f>
      </c>
      <c r="G140" s="43">
        <f>IF(NOT(Planos!$A139&lt;&gt;""),"",IF(COUNTIFS(Programação!$B$4:$B$503,Planos!$A139,Programação!$I$4:$I$503,"Concluído",Programação!$G$4:$G$503,"&gt;="&amp;DATE(ano_ref,4,1),Programação!$G$4:$G$503,"&lt;="&amp;EOMONTH(DATE(ano_ref,4,1),0))&gt;0,"✔",IF(AND(ISNUMBER(Planos!$G139),IFERROR(INDEX(lst_frequencia_meses,MATCH(Planos!$E139,lst_frequencia,0)),0)&gt;0,(ano_ref*12+4)-(YEAR(Planos!$G139)*12+MONTH(Planos!$G139))&gt;0,MOD((ano_ref*12+4)-(YEAR(Planos!$G139)*12+MONTH(Planos!$G139)),MAX(1,IFERROR(INDEX(lst_frequencia_meses,MATCH(Planos!$E139,lst_frequencia,0)),0)))=0),"●","")))</f>
      </c>
      <c r="H140" s="43">
        <f>IF(NOT(Planos!$A139&lt;&gt;""),"",IF(COUNTIFS(Programação!$B$4:$B$503,Planos!$A139,Programação!$I$4:$I$503,"Concluído",Programação!$G$4:$G$503,"&gt;="&amp;DATE(ano_ref,5,1),Programação!$G$4:$G$503,"&lt;="&amp;EOMONTH(DATE(ano_ref,5,1),0))&gt;0,"✔",IF(AND(ISNUMBER(Planos!$G139),IFERROR(INDEX(lst_frequencia_meses,MATCH(Planos!$E139,lst_frequencia,0)),0)&gt;0,(ano_ref*12+5)-(YEAR(Planos!$G139)*12+MONTH(Planos!$G139))&gt;0,MOD((ano_ref*12+5)-(YEAR(Planos!$G139)*12+MONTH(Planos!$G139)),MAX(1,IFERROR(INDEX(lst_frequencia_meses,MATCH(Planos!$E139,lst_frequencia,0)),0)))=0),"●","")))</f>
      </c>
      <c r="I140" s="43">
        <f>IF(NOT(Planos!$A139&lt;&gt;""),"",IF(COUNTIFS(Programação!$B$4:$B$503,Planos!$A139,Programação!$I$4:$I$503,"Concluído",Programação!$G$4:$G$503,"&gt;="&amp;DATE(ano_ref,6,1),Programação!$G$4:$G$503,"&lt;="&amp;EOMONTH(DATE(ano_ref,6,1),0))&gt;0,"✔",IF(AND(ISNUMBER(Planos!$G139),IFERROR(INDEX(lst_frequencia_meses,MATCH(Planos!$E139,lst_frequencia,0)),0)&gt;0,(ano_ref*12+6)-(YEAR(Planos!$G139)*12+MONTH(Planos!$G139))&gt;0,MOD((ano_ref*12+6)-(YEAR(Planos!$G139)*12+MONTH(Planos!$G139)),MAX(1,IFERROR(INDEX(lst_frequencia_meses,MATCH(Planos!$E139,lst_frequencia,0)),0)))=0),"●","")))</f>
      </c>
      <c r="J140" s="43">
        <f>IF(NOT(Planos!$A139&lt;&gt;""),"",IF(COUNTIFS(Programação!$B$4:$B$503,Planos!$A139,Programação!$I$4:$I$503,"Concluído",Programação!$G$4:$G$503,"&gt;="&amp;DATE(ano_ref,7,1),Programação!$G$4:$G$503,"&lt;="&amp;EOMONTH(DATE(ano_ref,7,1),0))&gt;0,"✔",IF(AND(ISNUMBER(Planos!$G139),IFERROR(INDEX(lst_frequencia_meses,MATCH(Planos!$E139,lst_frequencia,0)),0)&gt;0,(ano_ref*12+7)-(YEAR(Planos!$G139)*12+MONTH(Planos!$G139))&gt;0,MOD((ano_ref*12+7)-(YEAR(Planos!$G139)*12+MONTH(Planos!$G139)),MAX(1,IFERROR(INDEX(lst_frequencia_meses,MATCH(Planos!$E139,lst_frequencia,0)),0)))=0),"●","")))</f>
      </c>
      <c r="K140" s="43">
        <f>IF(NOT(Planos!$A139&lt;&gt;""),"",IF(COUNTIFS(Programação!$B$4:$B$503,Planos!$A139,Programação!$I$4:$I$503,"Concluído",Programação!$G$4:$G$503,"&gt;="&amp;DATE(ano_ref,8,1),Programação!$G$4:$G$503,"&lt;="&amp;EOMONTH(DATE(ano_ref,8,1),0))&gt;0,"✔",IF(AND(ISNUMBER(Planos!$G139),IFERROR(INDEX(lst_frequencia_meses,MATCH(Planos!$E139,lst_frequencia,0)),0)&gt;0,(ano_ref*12+8)-(YEAR(Planos!$G139)*12+MONTH(Planos!$G139))&gt;0,MOD((ano_ref*12+8)-(YEAR(Planos!$G139)*12+MONTH(Planos!$G139)),MAX(1,IFERROR(INDEX(lst_frequencia_meses,MATCH(Planos!$E139,lst_frequencia,0)),0)))=0),"●","")))</f>
      </c>
      <c r="L140" s="43">
        <f>IF(NOT(Planos!$A139&lt;&gt;""),"",IF(COUNTIFS(Programação!$B$4:$B$503,Planos!$A139,Programação!$I$4:$I$503,"Concluído",Programação!$G$4:$G$503,"&gt;="&amp;DATE(ano_ref,9,1),Programação!$G$4:$G$503,"&lt;="&amp;EOMONTH(DATE(ano_ref,9,1),0))&gt;0,"✔",IF(AND(ISNUMBER(Planos!$G139),IFERROR(INDEX(lst_frequencia_meses,MATCH(Planos!$E139,lst_frequencia,0)),0)&gt;0,(ano_ref*12+9)-(YEAR(Planos!$G139)*12+MONTH(Planos!$G139))&gt;0,MOD((ano_ref*12+9)-(YEAR(Planos!$G139)*12+MONTH(Planos!$G139)),MAX(1,IFERROR(INDEX(lst_frequencia_meses,MATCH(Planos!$E139,lst_frequencia,0)),0)))=0),"●","")))</f>
      </c>
      <c r="M140" s="43">
        <f>IF(NOT(Planos!$A139&lt;&gt;""),"",IF(COUNTIFS(Programação!$B$4:$B$503,Planos!$A139,Programação!$I$4:$I$503,"Concluído",Programação!$G$4:$G$503,"&gt;="&amp;DATE(ano_ref,10,1),Programação!$G$4:$G$503,"&lt;="&amp;EOMONTH(DATE(ano_ref,10,1),0))&gt;0,"✔",IF(AND(ISNUMBER(Planos!$G139),IFERROR(INDEX(lst_frequencia_meses,MATCH(Planos!$E139,lst_frequencia,0)),0)&gt;0,(ano_ref*12+10)-(YEAR(Planos!$G139)*12+MONTH(Planos!$G139))&gt;0,MOD((ano_ref*12+10)-(YEAR(Planos!$G139)*12+MONTH(Planos!$G139)),MAX(1,IFERROR(INDEX(lst_frequencia_meses,MATCH(Planos!$E139,lst_frequencia,0)),0)))=0),"●","")))</f>
      </c>
      <c r="N140" s="43">
        <f>IF(NOT(Planos!$A139&lt;&gt;""),"",IF(COUNTIFS(Programação!$B$4:$B$503,Planos!$A139,Programação!$I$4:$I$503,"Concluído",Programação!$G$4:$G$503,"&gt;="&amp;DATE(ano_ref,11,1),Programação!$G$4:$G$503,"&lt;="&amp;EOMONTH(DATE(ano_ref,11,1),0))&gt;0,"✔",IF(AND(ISNUMBER(Planos!$G139),IFERROR(INDEX(lst_frequencia_meses,MATCH(Planos!$E139,lst_frequencia,0)),0)&gt;0,(ano_ref*12+11)-(YEAR(Planos!$G139)*12+MONTH(Planos!$G139))&gt;0,MOD((ano_ref*12+11)-(YEAR(Planos!$G139)*12+MONTH(Planos!$G139)),MAX(1,IFERROR(INDEX(lst_frequencia_meses,MATCH(Planos!$E139,lst_frequencia,0)),0)))=0),"●","")))</f>
      </c>
      <c r="O140" s="43">
        <f>IF(NOT(Planos!$A139&lt;&gt;""),"",IF(COUNTIFS(Programação!$B$4:$B$503,Planos!$A139,Programação!$I$4:$I$503,"Concluído",Programação!$G$4:$G$503,"&gt;="&amp;DATE(ano_ref,12,1),Programação!$G$4:$G$503,"&lt;="&amp;EOMONTH(DATE(ano_ref,12,1),0))&gt;0,"✔",IF(AND(ISNUMBER(Planos!$G139),IFERROR(INDEX(lst_frequencia_meses,MATCH(Planos!$E139,lst_frequencia,0)),0)&gt;0,(ano_ref*12+12)-(YEAR(Planos!$G139)*12+MONTH(Planos!$G139))&gt;0,MOD((ano_ref*12+12)-(YEAR(Planos!$G139)*12+MONTH(Planos!$G139)),MAX(1,IFERROR(INDEX(lst_frequencia_meses,MATCH(Planos!$E139,lst_frequencia,0)),0)))=0),"●","")))</f>
      </c>
      <c r="P140" s="44">
        <f>IF(COUNTIF(D140:O140,"✔")+COUNTIF(D140:O140,"●")=0,"",COUNTIF(D140:O140,"✔")/(COUNTIF(D140:O140,"✔")+COUNTIF(D140:O140,"●")))</f>
      </c>
    </row>
    <row r="141" spans="1:16" x14ac:dyDescent="0.25">
      <c r="A141" s="43">
        <f>IF(Planos!$A140&lt;&gt;"",Planos!A140&amp;"","")</f>
      </c>
      <c r="B141" s="43">
        <f>IF(Planos!$A140&lt;&gt;"",Planos!B140&amp;"","")</f>
      </c>
      <c r="C141" s="24">
        <f>IF(Planos!$A140&lt;&gt;"",Planos!C140&amp;"","")</f>
      </c>
      <c r="D141" s="43">
        <f>IF(NOT(Planos!$A140&lt;&gt;""),"",IF(COUNTIFS(Programação!$B$4:$B$503,Planos!$A140,Programação!$I$4:$I$503,"Concluído",Programação!$G$4:$G$503,"&gt;="&amp;DATE(ano_ref,1,1),Programação!$G$4:$G$503,"&lt;="&amp;EOMONTH(DATE(ano_ref,1,1),0))&gt;0,"✔",IF(AND(ISNUMBER(Planos!$G140),IFERROR(INDEX(lst_frequencia_meses,MATCH(Planos!$E140,lst_frequencia,0)),0)&gt;0,(ano_ref*12+1)-(YEAR(Planos!$G140)*12+MONTH(Planos!$G140))&gt;0,MOD((ano_ref*12+1)-(YEAR(Planos!$G140)*12+MONTH(Planos!$G140)),MAX(1,IFERROR(INDEX(lst_frequencia_meses,MATCH(Planos!$E140,lst_frequencia,0)),0)))=0),"●","")))</f>
      </c>
      <c r="E141" s="43">
        <f>IF(NOT(Planos!$A140&lt;&gt;""),"",IF(COUNTIFS(Programação!$B$4:$B$503,Planos!$A140,Programação!$I$4:$I$503,"Concluído",Programação!$G$4:$G$503,"&gt;="&amp;DATE(ano_ref,2,1),Programação!$G$4:$G$503,"&lt;="&amp;EOMONTH(DATE(ano_ref,2,1),0))&gt;0,"✔",IF(AND(ISNUMBER(Planos!$G140),IFERROR(INDEX(lst_frequencia_meses,MATCH(Planos!$E140,lst_frequencia,0)),0)&gt;0,(ano_ref*12+2)-(YEAR(Planos!$G140)*12+MONTH(Planos!$G140))&gt;0,MOD((ano_ref*12+2)-(YEAR(Planos!$G140)*12+MONTH(Planos!$G140)),MAX(1,IFERROR(INDEX(lst_frequencia_meses,MATCH(Planos!$E140,lst_frequencia,0)),0)))=0),"●","")))</f>
      </c>
      <c r="F141" s="43">
        <f>IF(NOT(Planos!$A140&lt;&gt;""),"",IF(COUNTIFS(Programação!$B$4:$B$503,Planos!$A140,Programação!$I$4:$I$503,"Concluído",Programação!$G$4:$G$503,"&gt;="&amp;DATE(ano_ref,3,1),Programação!$G$4:$G$503,"&lt;="&amp;EOMONTH(DATE(ano_ref,3,1),0))&gt;0,"✔",IF(AND(ISNUMBER(Planos!$G140),IFERROR(INDEX(lst_frequencia_meses,MATCH(Planos!$E140,lst_frequencia,0)),0)&gt;0,(ano_ref*12+3)-(YEAR(Planos!$G140)*12+MONTH(Planos!$G140))&gt;0,MOD((ano_ref*12+3)-(YEAR(Planos!$G140)*12+MONTH(Planos!$G140)),MAX(1,IFERROR(INDEX(lst_frequencia_meses,MATCH(Planos!$E140,lst_frequencia,0)),0)))=0),"●","")))</f>
      </c>
      <c r="G141" s="43">
        <f>IF(NOT(Planos!$A140&lt;&gt;""),"",IF(COUNTIFS(Programação!$B$4:$B$503,Planos!$A140,Programação!$I$4:$I$503,"Concluído",Programação!$G$4:$G$503,"&gt;="&amp;DATE(ano_ref,4,1),Programação!$G$4:$G$503,"&lt;="&amp;EOMONTH(DATE(ano_ref,4,1),0))&gt;0,"✔",IF(AND(ISNUMBER(Planos!$G140),IFERROR(INDEX(lst_frequencia_meses,MATCH(Planos!$E140,lst_frequencia,0)),0)&gt;0,(ano_ref*12+4)-(YEAR(Planos!$G140)*12+MONTH(Planos!$G140))&gt;0,MOD((ano_ref*12+4)-(YEAR(Planos!$G140)*12+MONTH(Planos!$G140)),MAX(1,IFERROR(INDEX(lst_frequencia_meses,MATCH(Planos!$E140,lst_frequencia,0)),0)))=0),"●","")))</f>
      </c>
      <c r="H141" s="43">
        <f>IF(NOT(Planos!$A140&lt;&gt;""),"",IF(COUNTIFS(Programação!$B$4:$B$503,Planos!$A140,Programação!$I$4:$I$503,"Concluído",Programação!$G$4:$G$503,"&gt;="&amp;DATE(ano_ref,5,1),Programação!$G$4:$G$503,"&lt;="&amp;EOMONTH(DATE(ano_ref,5,1),0))&gt;0,"✔",IF(AND(ISNUMBER(Planos!$G140),IFERROR(INDEX(lst_frequencia_meses,MATCH(Planos!$E140,lst_frequencia,0)),0)&gt;0,(ano_ref*12+5)-(YEAR(Planos!$G140)*12+MONTH(Planos!$G140))&gt;0,MOD((ano_ref*12+5)-(YEAR(Planos!$G140)*12+MONTH(Planos!$G140)),MAX(1,IFERROR(INDEX(lst_frequencia_meses,MATCH(Planos!$E140,lst_frequencia,0)),0)))=0),"●","")))</f>
      </c>
      <c r="I141" s="43">
        <f>IF(NOT(Planos!$A140&lt;&gt;""),"",IF(COUNTIFS(Programação!$B$4:$B$503,Planos!$A140,Programação!$I$4:$I$503,"Concluído",Programação!$G$4:$G$503,"&gt;="&amp;DATE(ano_ref,6,1),Programação!$G$4:$G$503,"&lt;="&amp;EOMONTH(DATE(ano_ref,6,1),0))&gt;0,"✔",IF(AND(ISNUMBER(Planos!$G140),IFERROR(INDEX(lst_frequencia_meses,MATCH(Planos!$E140,lst_frequencia,0)),0)&gt;0,(ano_ref*12+6)-(YEAR(Planos!$G140)*12+MONTH(Planos!$G140))&gt;0,MOD((ano_ref*12+6)-(YEAR(Planos!$G140)*12+MONTH(Planos!$G140)),MAX(1,IFERROR(INDEX(lst_frequencia_meses,MATCH(Planos!$E140,lst_frequencia,0)),0)))=0),"●","")))</f>
      </c>
      <c r="J141" s="43">
        <f>IF(NOT(Planos!$A140&lt;&gt;""),"",IF(COUNTIFS(Programação!$B$4:$B$503,Planos!$A140,Programação!$I$4:$I$503,"Concluído",Programação!$G$4:$G$503,"&gt;="&amp;DATE(ano_ref,7,1),Programação!$G$4:$G$503,"&lt;="&amp;EOMONTH(DATE(ano_ref,7,1),0))&gt;0,"✔",IF(AND(ISNUMBER(Planos!$G140),IFERROR(INDEX(lst_frequencia_meses,MATCH(Planos!$E140,lst_frequencia,0)),0)&gt;0,(ano_ref*12+7)-(YEAR(Planos!$G140)*12+MONTH(Planos!$G140))&gt;0,MOD((ano_ref*12+7)-(YEAR(Planos!$G140)*12+MONTH(Planos!$G140)),MAX(1,IFERROR(INDEX(lst_frequencia_meses,MATCH(Planos!$E140,lst_frequencia,0)),0)))=0),"●","")))</f>
      </c>
      <c r="K141" s="43">
        <f>IF(NOT(Planos!$A140&lt;&gt;""),"",IF(COUNTIFS(Programação!$B$4:$B$503,Planos!$A140,Programação!$I$4:$I$503,"Concluído",Programação!$G$4:$G$503,"&gt;="&amp;DATE(ano_ref,8,1),Programação!$G$4:$G$503,"&lt;="&amp;EOMONTH(DATE(ano_ref,8,1),0))&gt;0,"✔",IF(AND(ISNUMBER(Planos!$G140),IFERROR(INDEX(lst_frequencia_meses,MATCH(Planos!$E140,lst_frequencia,0)),0)&gt;0,(ano_ref*12+8)-(YEAR(Planos!$G140)*12+MONTH(Planos!$G140))&gt;0,MOD((ano_ref*12+8)-(YEAR(Planos!$G140)*12+MONTH(Planos!$G140)),MAX(1,IFERROR(INDEX(lst_frequencia_meses,MATCH(Planos!$E140,lst_frequencia,0)),0)))=0),"●","")))</f>
      </c>
      <c r="L141" s="43">
        <f>IF(NOT(Planos!$A140&lt;&gt;""),"",IF(COUNTIFS(Programação!$B$4:$B$503,Planos!$A140,Programação!$I$4:$I$503,"Concluído",Programação!$G$4:$G$503,"&gt;="&amp;DATE(ano_ref,9,1),Programação!$G$4:$G$503,"&lt;="&amp;EOMONTH(DATE(ano_ref,9,1),0))&gt;0,"✔",IF(AND(ISNUMBER(Planos!$G140),IFERROR(INDEX(lst_frequencia_meses,MATCH(Planos!$E140,lst_frequencia,0)),0)&gt;0,(ano_ref*12+9)-(YEAR(Planos!$G140)*12+MONTH(Planos!$G140))&gt;0,MOD((ano_ref*12+9)-(YEAR(Planos!$G140)*12+MONTH(Planos!$G140)),MAX(1,IFERROR(INDEX(lst_frequencia_meses,MATCH(Planos!$E140,lst_frequencia,0)),0)))=0),"●","")))</f>
      </c>
      <c r="M141" s="43">
        <f>IF(NOT(Planos!$A140&lt;&gt;""),"",IF(COUNTIFS(Programação!$B$4:$B$503,Planos!$A140,Programação!$I$4:$I$503,"Concluído",Programação!$G$4:$G$503,"&gt;="&amp;DATE(ano_ref,10,1),Programação!$G$4:$G$503,"&lt;="&amp;EOMONTH(DATE(ano_ref,10,1),0))&gt;0,"✔",IF(AND(ISNUMBER(Planos!$G140),IFERROR(INDEX(lst_frequencia_meses,MATCH(Planos!$E140,lst_frequencia,0)),0)&gt;0,(ano_ref*12+10)-(YEAR(Planos!$G140)*12+MONTH(Planos!$G140))&gt;0,MOD((ano_ref*12+10)-(YEAR(Planos!$G140)*12+MONTH(Planos!$G140)),MAX(1,IFERROR(INDEX(lst_frequencia_meses,MATCH(Planos!$E140,lst_frequencia,0)),0)))=0),"●","")))</f>
      </c>
      <c r="N141" s="43">
        <f>IF(NOT(Planos!$A140&lt;&gt;""),"",IF(COUNTIFS(Programação!$B$4:$B$503,Planos!$A140,Programação!$I$4:$I$503,"Concluído",Programação!$G$4:$G$503,"&gt;="&amp;DATE(ano_ref,11,1),Programação!$G$4:$G$503,"&lt;="&amp;EOMONTH(DATE(ano_ref,11,1),0))&gt;0,"✔",IF(AND(ISNUMBER(Planos!$G140),IFERROR(INDEX(lst_frequencia_meses,MATCH(Planos!$E140,lst_frequencia,0)),0)&gt;0,(ano_ref*12+11)-(YEAR(Planos!$G140)*12+MONTH(Planos!$G140))&gt;0,MOD((ano_ref*12+11)-(YEAR(Planos!$G140)*12+MONTH(Planos!$G140)),MAX(1,IFERROR(INDEX(lst_frequencia_meses,MATCH(Planos!$E140,lst_frequencia,0)),0)))=0),"●","")))</f>
      </c>
      <c r="O141" s="43">
        <f>IF(NOT(Planos!$A140&lt;&gt;""),"",IF(COUNTIFS(Programação!$B$4:$B$503,Planos!$A140,Programação!$I$4:$I$503,"Concluído",Programação!$G$4:$G$503,"&gt;="&amp;DATE(ano_ref,12,1),Programação!$G$4:$G$503,"&lt;="&amp;EOMONTH(DATE(ano_ref,12,1),0))&gt;0,"✔",IF(AND(ISNUMBER(Planos!$G140),IFERROR(INDEX(lst_frequencia_meses,MATCH(Planos!$E140,lst_frequencia,0)),0)&gt;0,(ano_ref*12+12)-(YEAR(Planos!$G140)*12+MONTH(Planos!$G140))&gt;0,MOD((ano_ref*12+12)-(YEAR(Planos!$G140)*12+MONTH(Planos!$G140)),MAX(1,IFERROR(INDEX(lst_frequencia_meses,MATCH(Planos!$E140,lst_frequencia,0)),0)))=0),"●","")))</f>
      </c>
      <c r="P141" s="44">
        <f>IF(COUNTIF(D141:O141,"✔")+COUNTIF(D141:O141,"●")=0,"",COUNTIF(D141:O141,"✔")/(COUNTIF(D141:O141,"✔")+COUNTIF(D141:O141,"●")))</f>
      </c>
    </row>
    <row r="142" spans="1:16" x14ac:dyDescent="0.25">
      <c r="A142" s="43">
        <f>IF(Planos!$A141&lt;&gt;"",Planos!A141&amp;"","")</f>
      </c>
      <c r="B142" s="43">
        <f>IF(Planos!$A141&lt;&gt;"",Planos!B141&amp;"","")</f>
      </c>
      <c r="C142" s="24">
        <f>IF(Planos!$A141&lt;&gt;"",Planos!C141&amp;"","")</f>
      </c>
      <c r="D142" s="43">
        <f>IF(NOT(Planos!$A141&lt;&gt;""),"",IF(COUNTIFS(Programação!$B$4:$B$503,Planos!$A141,Programação!$I$4:$I$503,"Concluído",Programação!$G$4:$G$503,"&gt;="&amp;DATE(ano_ref,1,1),Programação!$G$4:$G$503,"&lt;="&amp;EOMONTH(DATE(ano_ref,1,1),0))&gt;0,"✔",IF(AND(ISNUMBER(Planos!$G141),IFERROR(INDEX(lst_frequencia_meses,MATCH(Planos!$E141,lst_frequencia,0)),0)&gt;0,(ano_ref*12+1)-(YEAR(Planos!$G141)*12+MONTH(Planos!$G141))&gt;0,MOD((ano_ref*12+1)-(YEAR(Planos!$G141)*12+MONTH(Planos!$G141)),MAX(1,IFERROR(INDEX(lst_frequencia_meses,MATCH(Planos!$E141,lst_frequencia,0)),0)))=0),"●","")))</f>
      </c>
      <c r="E142" s="43">
        <f>IF(NOT(Planos!$A141&lt;&gt;""),"",IF(COUNTIFS(Programação!$B$4:$B$503,Planos!$A141,Programação!$I$4:$I$503,"Concluído",Programação!$G$4:$G$503,"&gt;="&amp;DATE(ano_ref,2,1),Programação!$G$4:$G$503,"&lt;="&amp;EOMONTH(DATE(ano_ref,2,1),0))&gt;0,"✔",IF(AND(ISNUMBER(Planos!$G141),IFERROR(INDEX(lst_frequencia_meses,MATCH(Planos!$E141,lst_frequencia,0)),0)&gt;0,(ano_ref*12+2)-(YEAR(Planos!$G141)*12+MONTH(Planos!$G141))&gt;0,MOD((ano_ref*12+2)-(YEAR(Planos!$G141)*12+MONTH(Planos!$G141)),MAX(1,IFERROR(INDEX(lst_frequencia_meses,MATCH(Planos!$E141,lst_frequencia,0)),0)))=0),"●","")))</f>
      </c>
      <c r="F142" s="43">
        <f>IF(NOT(Planos!$A141&lt;&gt;""),"",IF(COUNTIFS(Programação!$B$4:$B$503,Planos!$A141,Programação!$I$4:$I$503,"Concluído",Programação!$G$4:$G$503,"&gt;="&amp;DATE(ano_ref,3,1),Programação!$G$4:$G$503,"&lt;="&amp;EOMONTH(DATE(ano_ref,3,1),0))&gt;0,"✔",IF(AND(ISNUMBER(Planos!$G141),IFERROR(INDEX(lst_frequencia_meses,MATCH(Planos!$E141,lst_frequencia,0)),0)&gt;0,(ano_ref*12+3)-(YEAR(Planos!$G141)*12+MONTH(Planos!$G141))&gt;0,MOD((ano_ref*12+3)-(YEAR(Planos!$G141)*12+MONTH(Planos!$G141)),MAX(1,IFERROR(INDEX(lst_frequencia_meses,MATCH(Planos!$E141,lst_frequencia,0)),0)))=0),"●","")))</f>
      </c>
      <c r="G142" s="43">
        <f>IF(NOT(Planos!$A141&lt;&gt;""),"",IF(COUNTIFS(Programação!$B$4:$B$503,Planos!$A141,Programação!$I$4:$I$503,"Concluído",Programação!$G$4:$G$503,"&gt;="&amp;DATE(ano_ref,4,1),Programação!$G$4:$G$503,"&lt;="&amp;EOMONTH(DATE(ano_ref,4,1),0))&gt;0,"✔",IF(AND(ISNUMBER(Planos!$G141),IFERROR(INDEX(lst_frequencia_meses,MATCH(Planos!$E141,lst_frequencia,0)),0)&gt;0,(ano_ref*12+4)-(YEAR(Planos!$G141)*12+MONTH(Planos!$G141))&gt;0,MOD((ano_ref*12+4)-(YEAR(Planos!$G141)*12+MONTH(Planos!$G141)),MAX(1,IFERROR(INDEX(lst_frequencia_meses,MATCH(Planos!$E141,lst_frequencia,0)),0)))=0),"●","")))</f>
      </c>
      <c r="H142" s="43">
        <f>IF(NOT(Planos!$A141&lt;&gt;""),"",IF(COUNTIFS(Programação!$B$4:$B$503,Planos!$A141,Programação!$I$4:$I$503,"Concluído",Programação!$G$4:$G$503,"&gt;="&amp;DATE(ano_ref,5,1),Programação!$G$4:$G$503,"&lt;="&amp;EOMONTH(DATE(ano_ref,5,1),0))&gt;0,"✔",IF(AND(ISNUMBER(Planos!$G141),IFERROR(INDEX(lst_frequencia_meses,MATCH(Planos!$E141,lst_frequencia,0)),0)&gt;0,(ano_ref*12+5)-(YEAR(Planos!$G141)*12+MONTH(Planos!$G141))&gt;0,MOD((ano_ref*12+5)-(YEAR(Planos!$G141)*12+MONTH(Planos!$G141)),MAX(1,IFERROR(INDEX(lst_frequencia_meses,MATCH(Planos!$E141,lst_frequencia,0)),0)))=0),"●","")))</f>
      </c>
      <c r="I142" s="43">
        <f>IF(NOT(Planos!$A141&lt;&gt;""),"",IF(COUNTIFS(Programação!$B$4:$B$503,Planos!$A141,Programação!$I$4:$I$503,"Concluído",Programação!$G$4:$G$503,"&gt;="&amp;DATE(ano_ref,6,1),Programação!$G$4:$G$503,"&lt;="&amp;EOMONTH(DATE(ano_ref,6,1),0))&gt;0,"✔",IF(AND(ISNUMBER(Planos!$G141),IFERROR(INDEX(lst_frequencia_meses,MATCH(Planos!$E141,lst_frequencia,0)),0)&gt;0,(ano_ref*12+6)-(YEAR(Planos!$G141)*12+MONTH(Planos!$G141))&gt;0,MOD((ano_ref*12+6)-(YEAR(Planos!$G141)*12+MONTH(Planos!$G141)),MAX(1,IFERROR(INDEX(lst_frequencia_meses,MATCH(Planos!$E141,lst_frequencia,0)),0)))=0),"●","")))</f>
      </c>
      <c r="J142" s="43">
        <f>IF(NOT(Planos!$A141&lt;&gt;""),"",IF(COUNTIFS(Programação!$B$4:$B$503,Planos!$A141,Programação!$I$4:$I$503,"Concluído",Programação!$G$4:$G$503,"&gt;="&amp;DATE(ano_ref,7,1),Programação!$G$4:$G$503,"&lt;="&amp;EOMONTH(DATE(ano_ref,7,1),0))&gt;0,"✔",IF(AND(ISNUMBER(Planos!$G141),IFERROR(INDEX(lst_frequencia_meses,MATCH(Planos!$E141,lst_frequencia,0)),0)&gt;0,(ano_ref*12+7)-(YEAR(Planos!$G141)*12+MONTH(Planos!$G141))&gt;0,MOD((ano_ref*12+7)-(YEAR(Planos!$G141)*12+MONTH(Planos!$G141)),MAX(1,IFERROR(INDEX(lst_frequencia_meses,MATCH(Planos!$E141,lst_frequencia,0)),0)))=0),"●","")))</f>
      </c>
      <c r="K142" s="43">
        <f>IF(NOT(Planos!$A141&lt;&gt;""),"",IF(COUNTIFS(Programação!$B$4:$B$503,Planos!$A141,Programação!$I$4:$I$503,"Concluído",Programação!$G$4:$G$503,"&gt;="&amp;DATE(ano_ref,8,1),Programação!$G$4:$G$503,"&lt;="&amp;EOMONTH(DATE(ano_ref,8,1),0))&gt;0,"✔",IF(AND(ISNUMBER(Planos!$G141),IFERROR(INDEX(lst_frequencia_meses,MATCH(Planos!$E141,lst_frequencia,0)),0)&gt;0,(ano_ref*12+8)-(YEAR(Planos!$G141)*12+MONTH(Planos!$G141))&gt;0,MOD((ano_ref*12+8)-(YEAR(Planos!$G141)*12+MONTH(Planos!$G141)),MAX(1,IFERROR(INDEX(lst_frequencia_meses,MATCH(Planos!$E141,lst_frequencia,0)),0)))=0),"●","")))</f>
      </c>
      <c r="L142" s="43">
        <f>IF(NOT(Planos!$A141&lt;&gt;""),"",IF(COUNTIFS(Programação!$B$4:$B$503,Planos!$A141,Programação!$I$4:$I$503,"Concluído",Programação!$G$4:$G$503,"&gt;="&amp;DATE(ano_ref,9,1),Programação!$G$4:$G$503,"&lt;="&amp;EOMONTH(DATE(ano_ref,9,1),0))&gt;0,"✔",IF(AND(ISNUMBER(Planos!$G141),IFERROR(INDEX(lst_frequencia_meses,MATCH(Planos!$E141,lst_frequencia,0)),0)&gt;0,(ano_ref*12+9)-(YEAR(Planos!$G141)*12+MONTH(Planos!$G141))&gt;0,MOD((ano_ref*12+9)-(YEAR(Planos!$G141)*12+MONTH(Planos!$G141)),MAX(1,IFERROR(INDEX(lst_frequencia_meses,MATCH(Planos!$E141,lst_frequencia,0)),0)))=0),"●","")))</f>
      </c>
      <c r="M142" s="43">
        <f>IF(NOT(Planos!$A141&lt;&gt;""),"",IF(COUNTIFS(Programação!$B$4:$B$503,Planos!$A141,Programação!$I$4:$I$503,"Concluído",Programação!$G$4:$G$503,"&gt;="&amp;DATE(ano_ref,10,1),Programação!$G$4:$G$503,"&lt;="&amp;EOMONTH(DATE(ano_ref,10,1),0))&gt;0,"✔",IF(AND(ISNUMBER(Planos!$G141),IFERROR(INDEX(lst_frequencia_meses,MATCH(Planos!$E141,lst_frequencia,0)),0)&gt;0,(ano_ref*12+10)-(YEAR(Planos!$G141)*12+MONTH(Planos!$G141))&gt;0,MOD((ano_ref*12+10)-(YEAR(Planos!$G141)*12+MONTH(Planos!$G141)),MAX(1,IFERROR(INDEX(lst_frequencia_meses,MATCH(Planos!$E141,lst_frequencia,0)),0)))=0),"●","")))</f>
      </c>
      <c r="N142" s="43">
        <f>IF(NOT(Planos!$A141&lt;&gt;""),"",IF(COUNTIFS(Programação!$B$4:$B$503,Planos!$A141,Programação!$I$4:$I$503,"Concluído",Programação!$G$4:$G$503,"&gt;="&amp;DATE(ano_ref,11,1),Programação!$G$4:$G$503,"&lt;="&amp;EOMONTH(DATE(ano_ref,11,1),0))&gt;0,"✔",IF(AND(ISNUMBER(Planos!$G141),IFERROR(INDEX(lst_frequencia_meses,MATCH(Planos!$E141,lst_frequencia,0)),0)&gt;0,(ano_ref*12+11)-(YEAR(Planos!$G141)*12+MONTH(Planos!$G141))&gt;0,MOD((ano_ref*12+11)-(YEAR(Planos!$G141)*12+MONTH(Planos!$G141)),MAX(1,IFERROR(INDEX(lst_frequencia_meses,MATCH(Planos!$E141,lst_frequencia,0)),0)))=0),"●","")))</f>
      </c>
      <c r="O142" s="43">
        <f>IF(NOT(Planos!$A141&lt;&gt;""),"",IF(COUNTIFS(Programação!$B$4:$B$503,Planos!$A141,Programação!$I$4:$I$503,"Concluído",Programação!$G$4:$G$503,"&gt;="&amp;DATE(ano_ref,12,1),Programação!$G$4:$G$503,"&lt;="&amp;EOMONTH(DATE(ano_ref,12,1),0))&gt;0,"✔",IF(AND(ISNUMBER(Planos!$G141),IFERROR(INDEX(lst_frequencia_meses,MATCH(Planos!$E141,lst_frequencia,0)),0)&gt;0,(ano_ref*12+12)-(YEAR(Planos!$G141)*12+MONTH(Planos!$G141))&gt;0,MOD((ano_ref*12+12)-(YEAR(Planos!$G141)*12+MONTH(Planos!$G141)),MAX(1,IFERROR(INDEX(lst_frequencia_meses,MATCH(Planos!$E141,lst_frequencia,0)),0)))=0),"●","")))</f>
      </c>
      <c r="P142" s="44">
        <f>IF(COUNTIF(D142:O142,"✔")+COUNTIF(D142:O142,"●")=0,"",COUNTIF(D142:O142,"✔")/(COUNTIF(D142:O142,"✔")+COUNTIF(D142:O142,"●")))</f>
      </c>
    </row>
    <row r="143" spans="1:16" x14ac:dyDescent="0.25">
      <c r="A143" s="43">
        <f>IF(Planos!$A142&lt;&gt;"",Planos!A142&amp;"","")</f>
      </c>
      <c r="B143" s="43">
        <f>IF(Planos!$A142&lt;&gt;"",Planos!B142&amp;"","")</f>
      </c>
      <c r="C143" s="24">
        <f>IF(Planos!$A142&lt;&gt;"",Planos!C142&amp;"","")</f>
      </c>
      <c r="D143" s="43">
        <f>IF(NOT(Planos!$A142&lt;&gt;""),"",IF(COUNTIFS(Programação!$B$4:$B$503,Planos!$A142,Programação!$I$4:$I$503,"Concluído",Programação!$G$4:$G$503,"&gt;="&amp;DATE(ano_ref,1,1),Programação!$G$4:$G$503,"&lt;="&amp;EOMONTH(DATE(ano_ref,1,1),0))&gt;0,"✔",IF(AND(ISNUMBER(Planos!$G142),IFERROR(INDEX(lst_frequencia_meses,MATCH(Planos!$E142,lst_frequencia,0)),0)&gt;0,(ano_ref*12+1)-(YEAR(Planos!$G142)*12+MONTH(Planos!$G142))&gt;0,MOD((ano_ref*12+1)-(YEAR(Planos!$G142)*12+MONTH(Planos!$G142)),MAX(1,IFERROR(INDEX(lst_frequencia_meses,MATCH(Planos!$E142,lst_frequencia,0)),0)))=0),"●","")))</f>
      </c>
      <c r="E143" s="43">
        <f>IF(NOT(Planos!$A142&lt;&gt;""),"",IF(COUNTIFS(Programação!$B$4:$B$503,Planos!$A142,Programação!$I$4:$I$503,"Concluído",Programação!$G$4:$G$503,"&gt;="&amp;DATE(ano_ref,2,1),Programação!$G$4:$G$503,"&lt;="&amp;EOMONTH(DATE(ano_ref,2,1),0))&gt;0,"✔",IF(AND(ISNUMBER(Planos!$G142),IFERROR(INDEX(lst_frequencia_meses,MATCH(Planos!$E142,lst_frequencia,0)),0)&gt;0,(ano_ref*12+2)-(YEAR(Planos!$G142)*12+MONTH(Planos!$G142))&gt;0,MOD((ano_ref*12+2)-(YEAR(Planos!$G142)*12+MONTH(Planos!$G142)),MAX(1,IFERROR(INDEX(lst_frequencia_meses,MATCH(Planos!$E142,lst_frequencia,0)),0)))=0),"●","")))</f>
      </c>
      <c r="F143" s="43">
        <f>IF(NOT(Planos!$A142&lt;&gt;""),"",IF(COUNTIFS(Programação!$B$4:$B$503,Planos!$A142,Programação!$I$4:$I$503,"Concluído",Programação!$G$4:$G$503,"&gt;="&amp;DATE(ano_ref,3,1),Programação!$G$4:$G$503,"&lt;="&amp;EOMONTH(DATE(ano_ref,3,1),0))&gt;0,"✔",IF(AND(ISNUMBER(Planos!$G142),IFERROR(INDEX(lst_frequencia_meses,MATCH(Planos!$E142,lst_frequencia,0)),0)&gt;0,(ano_ref*12+3)-(YEAR(Planos!$G142)*12+MONTH(Planos!$G142))&gt;0,MOD((ano_ref*12+3)-(YEAR(Planos!$G142)*12+MONTH(Planos!$G142)),MAX(1,IFERROR(INDEX(lst_frequencia_meses,MATCH(Planos!$E142,lst_frequencia,0)),0)))=0),"●","")))</f>
      </c>
      <c r="G143" s="43">
        <f>IF(NOT(Planos!$A142&lt;&gt;""),"",IF(COUNTIFS(Programação!$B$4:$B$503,Planos!$A142,Programação!$I$4:$I$503,"Concluído",Programação!$G$4:$G$503,"&gt;="&amp;DATE(ano_ref,4,1),Programação!$G$4:$G$503,"&lt;="&amp;EOMONTH(DATE(ano_ref,4,1),0))&gt;0,"✔",IF(AND(ISNUMBER(Planos!$G142),IFERROR(INDEX(lst_frequencia_meses,MATCH(Planos!$E142,lst_frequencia,0)),0)&gt;0,(ano_ref*12+4)-(YEAR(Planos!$G142)*12+MONTH(Planos!$G142))&gt;0,MOD((ano_ref*12+4)-(YEAR(Planos!$G142)*12+MONTH(Planos!$G142)),MAX(1,IFERROR(INDEX(lst_frequencia_meses,MATCH(Planos!$E142,lst_frequencia,0)),0)))=0),"●","")))</f>
      </c>
      <c r="H143" s="43">
        <f>IF(NOT(Planos!$A142&lt;&gt;""),"",IF(COUNTIFS(Programação!$B$4:$B$503,Planos!$A142,Programação!$I$4:$I$503,"Concluído",Programação!$G$4:$G$503,"&gt;="&amp;DATE(ano_ref,5,1),Programação!$G$4:$G$503,"&lt;="&amp;EOMONTH(DATE(ano_ref,5,1),0))&gt;0,"✔",IF(AND(ISNUMBER(Planos!$G142),IFERROR(INDEX(lst_frequencia_meses,MATCH(Planos!$E142,lst_frequencia,0)),0)&gt;0,(ano_ref*12+5)-(YEAR(Planos!$G142)*12+MONTH(Planos!$G142))&gt;0,MOD((ano_ref*12+5)-(YEAR(Planos!$G142)*12+MONTH(Planos!$G142)),MAX(1,IFERROR(INDEX(lst_frequencia_meses,MATCH(Planos!$E142,lst_frequencia,0)),0)))=0),"●","")))</f>
      </c>
      <c r="I143" s="43">
        <f>IF(NOT(Planos!$A142&lt;&gt;""),"",IF(COUNTIFS(Programação!$B$4:$B$503,Planos!$A142,Programação!$I$4:$I$503,"Concluído",Programação!$G$4:$G$503,"&gt;="&amp;DATE(ano_ref,6,1),Programação!$G$4:$G$503,"&lt;="&amp;EOMONTH(DATE(ano_ref,6,1),0))&gt;0,"✔",IF(AND(ISNUMBER(Planos!$G142),IFERROR(INDEX(lst_frequencia_meses,MATCH(Planos!$E142,lst_frequencia,0)),0)&gt;0,(ano_ref*12+6)-(YEAR(Planos!$G142)*12+MONTH(Planos!$G142))&gt;0,MOD((ano_ref*12+6)-(YEAR(Planos!$G142)*12+MONTH(Planos!$G142)),MAX(1,IFERROR(INDEX(lst_frequencia_meses,MATCH(Planos!$E142,lst_frequencia,0)),0)))=0),"●","")))</f>
      </c>
      <c r="J143" s="43">
        <f>IF(NOT(Planos!$A142&lt;&gt;""),"",IF(COUNTIFS(Programação!$B$4:$B$503,Planos!$A142,Programação!$I$4:$I$503,"Concluído",Programação!$G$4:$G$503,"&gt;="&amp;DATE(ano_ref,7,1),Programação!$G$4:$G$503,"&lt;="&amp;EOMONTH(DATE(ano_ref,7,1),0))&gt;0,"✔",IF(AND(ISNUMBER(Planos!$G142),IFERROR(INDEX(lst_frequencia_meses,MATCH(Planos!$E142,lst_frequencia,0)),0)&gt;0,(ano_ref*12+7)-(YEAR(Planos!$G142)*12+MONTH(Planos!$G142))&gt;0,MOD((ano_ref*12+7)-(YEAR(Planos!$G142)*12+MONTH(Planos!$G142)),MAX(1,IFERROR(INDEX(lst_frequencia_meses,MATCH(Planos!$E142,lst_frequencia,0)),0)))=0),"●","")))</f>
      </c>
      <c r="K143" s="43">
        <f>IF(NOT(Planos!$A142&lt;&gt;""),"",IF(COUNTIFS(Programação!$B$4:$B$503,Planos!$A142,Programação!$I$4:$I$503,"Concluído",Programação!$G$4:$G$503,"&gt;="&amp;DATE(ano_ref,8,1),Programação!$G$4:$G$503,"&lt;="&amp;EOMONTH(DATE(ano_ref,8,1),0))&gt;0,"✔",IF(AND(ISNUMBER(Planos!$G142),IFERROR(INDEX(lst_frequencia_meses,MATCH(Planos!$E142,lst_frequencia,0)),0)&gt;0,(ano_ref*12+8)-(YEAR(Planos!$G142)*12+MONTH(Planos!$G142))&gt;0,MOD((ano_ref*12+8)-(YEAR(Planos!$G142)*12+MONTH(Planos!$G142)),MAX(1,IFERROR(INDEX(lst_frequencia_meses,MATCH(Planos!$E142,lst_frequencia,0)),0)))=0),"●","")))</f>
      </c>
      <c r="L143" s="43">
        <f>IF(NOT(Planos!$A142&lt;&gt;""),"",IF(COUNTIFS(Programação!$B$4:$B$503,Planos!$A142,Programação!$I$4:$I$503,"Concluído",Programação!$G$4:$G$503,"&gt;="&amp;DATE(ano_ref,9,1),Programação!$G$4:$G$503,"&lt;="&amp;EOMONTH(DATE(ano_ref,9,1),0))&gt;0,"✔",IF(AND(ISNUMBER(Planos!$G142),IFERROR(INDEX(lst_frequencia_meses,MATCH(Planos!$E142,lst_frequencia,0)),0)&gt;0,(ano_ref*12+9)-(YEAR(Planos!$G142)*12+MONTH(Planos!$G142))&gt;0,MOD((ano_ref*12+9)-(YEAR(Planos!$G142)*12+MONTH(Planos!$G142)),MAX(1,IFERROR(INDEX(lst_frequencia_meses,MATCH(Planos!$E142,lst_frequencia,0)),0)))=0),"●","")))</f>
      </c>
      <c r="M143" s="43">
        <f>IF(NOT(Planos!$A142&lt;&gt;""),"",IF(COUNTIFS(Programação!$B$4:$B$503,Planos!$A142,Programação!$I$4:$I$503,"Concluído",Programação!$G$4:$G$503,"&gt;="&amp;DATE(ano_ref,10,1),Programação!$G$4:$G$503,"&lt;="&amp;EOMONTH(DATE(ano_ref,10,1),0))&gt;0,"✔",IF(AND(ISNUMBER(Planos!$G142),IFERROR(INDEX(lst_frequencia_meses,MATCH(Planos!$E142,lst_frequencia,0)),0)&gt;0,(ano_ref*12+10)-(YEAR(Planos!$G142)*12+MONTH(Planos!$G142))&gt;0,MOD((ano_ref*12+10)-(YEAR(Planos!$G142)*12+MONTH(Planos!$G142)),MAX(1,IFERROR(INDEX(lst_frequencia_meses,MATCH(Planos!$E142,lst_frequencia,0)),0)))=0),"●","")))</f>
      </c>
      <c r="N143" s="43">
        <f>IF(NOT(Planos!$A142&lt;&gt;""),"",IF(COUNTIFS(Programação!$B$4:$B$503,Planos!$A142,Programação!$I$4:$I$503,"Concluído",Programação!$G$4:$G$503,"&gt;="&amp;DATE(ano_ref,11,1),Programação!$G$4:$G$503,"&lt;="&amp;EOMONTH(DATE(ano_ref,11,1),0))&gt;0,"✔",IF(AND(ISNUMBER(Planos!$G142),IFERROR(INDEX(lst_frequencia_meses,MATCH(Planos!$E142,lst_frequencia,0)),0)&gt;0,(ano_ref*12+11)-(YEAR(Planos!$G142)*12+MONTH(Planos!$G142))&gt;0,MOD((ano_ref*12+11)-(YEAR(Planos!$G142)*12+MONTH(Planos!$G142)),MAX(1,IFERROR(INDEX(lst_frequencia_meses,MATCH(Planos!$E142,lst_frequencia,0)),0)))=0),"●","")))</f>
      </c>
      <c r="O143" s="43">
        <f>IF(NOT(Planos!$A142&lt;&gt;""),"",IF(COUNTIFS(Programação!$B$4:$B$503,Planos!$A142,Programação!$I$4:$I$503,"Concluído",Programação!$G$4:$G$503,"&gt;="&amp;DATE(ano_ref,12,1),Programação!$G$4:$G$503,"&lt;="&amp;EOMONTH(DATE(ano_ref,12,1),0))&gt;0,"✔",IF(AND(ISNUMBER(Planos!$G142),IFERROR(INDEX(lst_frequencia_meses,MATCH(Planos!$E142,lst_frequencia,0)),0)&gt;0,(ano_ref*12+12)-(YEAR(Planos!$G142)*12+MONTH(Planos!$G142))&gt;0,MOD((ano_ref*12+12)-(YEAR(Planos!$G142)*12+MONTH(Planos!$G142)),MAX(1,IFERROR(INDEX(lst_frequencia_meses,MATCH(Planos!$E142,lst_frequencia,0)),0)))=0),"●","")))</f>
      </c>
      <c r="P143" s="44">
        <f>IF(COUNTIF(D143:O143,"✔")+COUNTIF(D143:O143,"●")=0,"",COUNTIF(D143:O143,"✔")/(COUNTIF(D143:O143,"✔")+COUNTIF(D143:O143,"●")))</f>
      </c>
    </row>
    <row r="144" spans="1:16" x14ac:dyDescent="0.25">
      <c r="A144" s="43">
        <f>IF(Planos!$A143&lt;&gt;"",Planos!A143&amp;"","")</f>
      </c>
      <c r="B144" s="43">
        <f>IF(Planos!$A143&lt;&gt;"",Planos!B143&amp;"","")</f>
      </c>
      <c r="C144" s="24">
        <f>IF(Planos!$A143&lt;&gt;"",Planos!C143&amp;"","")</f>
      </c>
      <c r="D144" s="43">
        <f>IF(NOT(Planos!$A143&lt;&gt;""),"",IF(COUNTIFS(Programação!$B$4:$B$503,Planos!$A143,Programação!$I$4:$I$503,"Concluído",Programação!$G$4:$G$503,"&gt;="&amp;DATE(ano_ref,1,1),Programação!$G$4:$G$503,"&lt;="&amp;EOMONTH(DATE(ano_ref,1,1),0))&gt;0,"✔",IF(AND(ISNUMBER(Planos!$G143),IFERROR(INDEX(lst_frequencia_meses,MATCH(Planos!$E143,lst_frequencia,0)),0)&gt;0,(ano_ref*12+1)-(YEAR(Planos!$G143)*12+MONTH(Planos!$G143))&gt;0,MOD((ano_ref*12+1)-(YEAR(Planos!$G143)*12+MONTH(Planos!$G143)),MAX(1,IFERROR(INDEX(lst_frequencia_meses,MATCH(Planos!$E143,lst_frequencia,0)),0)))=0),"●","")))</f>
      </c>
      <c r="E144" s="43">
        <f>IF(NOT(Planos!$A143&lt;&gt;""),"",IF(COUNTIFS(Programação!$B$4:$B$503,Planos!$A143,Programação!$I$4:$I$503,"Concluído",Programação!$G$4:$G$503,"&gt;="&amp;DATE(ano_ref,2,1),Programação!$G$4:$G$503,"&lt;="&amp;EOMONTH(DATE(ano_ref,2,1),0))&gt;0,"✔",IF(AND(ISNUMBER(Planos!$G143),IFERROR(INDEX(lst_frequencia_meses,MATCH(Planos!$E143,lst_frequencia,0)),0)&gt;0,(ano_ref*12+2)-(YEAR(Planos!$G143)*12+MONTH(Planos!$G143))&gt;0,MOD((ano_ref*12+2)-(YEAR(Planos!$G143)*12+MONTH(Planos!$G143)),MAX(1,IFERROR(INDEX(lst_frequencia_meses,MATCH(Planos!$E143,lst_frequencia,0)),0)))=0),"●","")))</f>
      </c>
      <c r="F144" s="43">
        <f>IF(NOT(Planos!$A143&lt;&gt;""),"",IF(COUNTIFS(Programação!$B$4:$B$503,Planos!$A143,Programação!$I$4:$I$503,"Concluído",Programação!$G$4:$G$503,"&gt;="&amp;DATE(ano_ref,3,1),Programação!$G$4:$G$503,"&lt;="&amp;EOMONTH(DATE(ano_ref,3,1),0))&gt;0,"✔",IF(AND(ISNUMBER(Planos!$G143),IFERROR(INDEX(lst_frequencia_meses,MATCH(Planos!$E143,lst_frequencia,0)),0)&gt;0,(ano_ref*12+3)-(YEAR(Planos!$G143)*12+MONTH(Planos!$G143))&gt;0,MOD((ano_ref*12+3)-(YEAR(Planos!$G143)*12+MONTH(Planos!$G143)),MAX(1,IFERROR(INDEX(lst_frequencia_meses,MATCH(Planos!$E143,lst_frequencia,0)),0)))=0),"●","")))</f>
      </c>
      <c r="G144" s="43">
        <f>IF(NOT(Planos!$A143&lt;&gt;""),"",IF(COUNTIFS(Programação!$B$4:$B$503,Planos!$A143,Programação!$I$4:$I$503,"Concluído",Programação!$G$4:$G$503,"&gt;="&amp;DATE(ano_ref,4,1),Programação!$G$4:$G$503,"&lt;="&amp;EOMONTH(DATE(ano_ref,4,1),0))&gt;0,"✔",IF(AND(ISNUMBER(Planos!$G143),IFERROR(INDEX(lst_frequencia_meses,MATCH(Planos!$E143,lst_frequencia,0)),0)&gt;0,(ano_ref*12+4)-(YEAR(Planos!$G143)*12+MONTH(Planos!$G143))&gt;0,MOD((ano_ref*12+4)-(YEAR(Planos!$G143)*12+MONTH(Planos!$G143)),MAX(1,IFERROR(INDEX(lst_frequencia_meses,MATCH(Planos!$E143,lst_frequencia,0)),0)))=0),"●","")))</f>
      </c>
      <c r="H144" s="43">
        <f>IF(NOT(Planos!$A143&lt;&gt;""),"",IF(COUNTIFS(Programação!$B$4:$B$503,Planos!$A143,Programação!$I$4:$I$503,"Concluído",Programação!$G$4:$G$503,"&gt;="&amp;DATE(ano_ref,5,1),Programação!$G$4:$G$503,"&lt;="&amp;EOMONTH(DATE(ano_ref,5,1),0))&gt;0,"✔",IF(AND(ISNUMBER(Planos!$G143),IFERROR(INDEX(lst_frequencia_meses,MATCH(Planos!$E143,lst_frequencia,0)),0)&gt;0,(ano_ref*12+5)-(YEAR(Planos!$G143)*12+MONTH(Planos!$G143))&gt;0,MOD((ano_ref*12+5)-(YEAR(Planos!$G143)*12+MONTH(Planos!$G143)),MAX(1,IFERROR(INDEX(lst_frequencia_meses,MATCH(Planos!$E143,lst_frequencia,0)),0)))=0),"●","")))</f>
      </c>
      <c r="I144" s="43">
        <f>IF(NOT(Planos!$A143&lt;&gt;""),"",IF(COUNTIFS(Programação!$B$4:$B$503,Planos!$A143,Programação!$I$4:$I$503,"Concluído",Programação!$G$4:$G$503,"&gt;="&amp;DATE(ano_ref,6,1),Programação!$G$4:$G$503,"&lt;="&amp;EOMONTH(DATE(ano_ref,6,1),0))&gt;0,"✔",IF(AND(ISNUMBER(Planos!$G143),IFERROR(INDEX(lst_frequencia_meses,MATCH(Planos!$E143,lst_frequencia,0)),0)&gt;0,(ano_ref*12+6)-(YEAR(Planos!$G143)*12+MONTH(Planos!$G143))&gt;0,MOD((ano_ref*12+6)-(YEAR(Planos!$G143)*12+MONTH(Planos!$G143)),MAX(1,IFERROR(INDEX(lst_frequencia_meses,MATCH(Planos!$E143,lst_frequencia,0)),0)))=0),"●","")))</f>
      </c>
      <c r="J144" s="43">
        <f>IF(NOT(Planos!$A143&lt;&gt;""),"",IF(COUNTIFS(Programação!$B$4:$B$503,Planos!$A143,Programação!$I$4:$I$503,"Concluído",Programação!$G$4:$G$503,"&gt;="&amp;DATE(ano_ref,7,1),Programação!$G$4:$G$503,"&lt;="&amp;EOMONTH(DATE(ano_ref,7,1),0))&gt;0,"✔",IF(AND(ISNUMBER(Planos!$G143),IFERROR(INDEX(lst_frequencia_meses,MATCH(Planos!$E143,lst_frequencia,0)),0)&gt;0,(ano_ref*12+7)-(YEAR(Planos!$G143)*12+MONTH(Planos!$G143))&gt;0,MOD((ano_ref*12+7)-(YEAR(Planos!$G143)*12+MONTH(Planos!$G143)),MAX(1,IFERROR(INDEX(lst_frequencia_meses,MATCH(Planos!$E143,lst_frequencia,0)),0)))=0),"●","")))</f>
      </c>
      <c r="K144" s="43">
        <f>IF(NOT(Planos!$A143&lt;&gt;""),"",IF(COUNTIFS(Programação!$B$4:$B$503,Planos!$A143,Programação!$I$4:$I$503,"Concluído",Programação!$G$4:$G$503,"&gt;="&amp;DATE(ano_ref,8,1),Programação!$G$4:$G$503,"&lt;="&amp;EOMONTH(DATE(ano_ref,8,1),0))&gt;0,"✔",IF(AND(ISNUMBER(Planos!$G143),IFERROR(INDEX(lst_frequencia_meses,MATCH(Planos!$E143,lst_frequencia,0)),0)&gt;0,(ano_ref*12+8)-(YEAR(Planos!$G143)*12+MONTH(Planos!$G143))&gt;0,MOD((ano_ref*12+8)-(YEAR(Planos!$G143)*12+MONTH(Planos!$G143)),MAX(1,IFERROR(INDEX(lst_frequencia_meses,MATCH(Planos!$E143,lst_frequencia,0)),0)))=0),"●","")))</f>
      </c>
      <c r="L144" s="43">
        <f>IF(NOT(Planos!$A143&lt;&gt;""),"",IF(COUNTIFS(Programação!$B$4:$B$503,Planos!$A143,Programação!$I$4:$I$503,"Concluído",Programação!$G$4:$G$503,"&gt;="&amp;DATE(ano_ref,9,1),Programação!$G$4:$G$503,"&lt;="&amp;EOMONTH(DATE(ano_ref,9,1),0))&gt;0,"✔",IF(AND(ISNUMBER(Planos!$G143),IFERROR(INDEX(lst_frequencia_meses,MATCH(Planos!$E143,lst_frequencia,0)),0)&gt;0,(ano_ref*12+9)-(YEAR(Planos!$G143)*12+MONTH(Planos!$G143))&gt;0,MOD((ano_ref*12+9)-(YEAR(Planos!$G143)*12+MONTH(Planos!$G143)),MAX(1,IFERROR(INDEX(lst_frequencia_meses,MATCH(Planos!$E143,lst_frequencia,0)),0)))=0),"●","")))</f>
      </c>
      <c r="M144" s="43">
        <f>IF(NOT(Planos!$A143&lt;&gt;""),"",IF(COUNTIFS(Programação!$B$4:$B$503,Planos!$A143,Programação!$I$4:$I$503,"Concluído",Programação!$G$4:$G$503,"&gt;="&amp;DATE(ano_ref,10,1),Programação!$G$4:$G$503,"&lt;="&amp;EOMONTH(DATE(ano_ref,10,1),0))&gt;0,"✔",IF(AND(ISNUMBER(Planos!$G143),IFERROR(INDEX(lst_frequencia_meses,MATCH(Planos!$E143,lst_frequencia,0)),0)&gt;0,(ano_ref*12+10)-(YEAR(Planos!$G143)*12+MONTH(Planos!$G143))&gt;0,MOD((ano_ref*12+10)-(YEAR(Planos!$G143)*12+MONTH(Planos!$G143)),MAX(1,IFERROR(INDEX(lst_frequencia_meses,MATCH(Planos!$E143,lst_frequencia,0)),0)))=0),"●","")))</f>
      </c>
      <c r="N144" s="43">
        <f>IF(NOT(Planos!$A143&lt;&gt;""),"",IF(COUNTIFS(Programação!$B$4:$B$503,Planos!$A143,Programação!$I$4:$I$503,"Concluído",Programação!$G$4:$G$503,"&gt;="&amp;DATE(ano_ref,11,1),Programação!$G$4:$G$503,"&lt;="&amp;EOMONTH(DATE(ano_ref,11,1),0))&gt;0,"✔",IF(AND(ISNUMBER(Planos!$G143),IFERROR(INDEX(lst_frequencia_meses,MATCH(Planos!$E143,lst_frequencia,0)),0)&gt;0,(ano_ref*12+11)-(YEAR(Planos!$G143)*12+MONTH(Planos!$G143))&gt;0,MOD((ano_ref*12+11)-(YEAR(Planos!$G143)*12+MONTH(Planos!$G143)),MAX(1,IFERROR(INDEX(lst_frequencia_meses,MATCH(Planos!$E143,lst_frequencia,0)),0)))=0),"●","")))</f>
      </c>
      <c r="O144" s="43">
        <f>IF(NOT(Planos!$A143&lt;&gt;""),"",IF(COUNTIFS(Programação!$B$4:$B$503,Planos!$A143,Programação!$I$4:$I$503,"Concluído",Programação!$G$4:$G$503,"&gt;="&amp;DATE(ano_ref,12,1),Programação!$G$4:$G$503,"&lt;="&amp;EOMONTH(DATE(ano_ref,12,1),0))&gt;0,"✔",IF(AND(ISNUMBER(Planos!$G143),IFERROR(INDEX(lst_frequencia_meses,MATCH(Planos!$E143,lst_frequencia,0)),0)&gt;0,(ano_ref*12+12)-(YEAR(Planos!$G143)*12+MONTH(Planos!$G143))&gt;0,MOD((ano_ref*12+12)-(YEAR(Planos!$G143)*12+MONTH(Planos!$G143)),MAX(1,IFERROR(INDEX(lst_frequencia_meses,MATCH(Planos!$E143,lst_frequencia,0)),0)))=0),"●","")))</f>
      </c>
      <c r="P144" s="44">
        <f>IF(COUNTIF(D144:O144,"✔")+COUNTIF(D144:O144,"●")=0,"",COUNTIF(D144:O144,"✔")/(COUNTIF(D144:O144,"✔")+COUNTIF(D144:O144,"●")))</f>
      </c>
    </row>
    <row r="145" spans="1:16" x14ac:dyDescent="0.25">
      <c r="A145" s="43">
        <f>IF(Planos!$A144&lt;&gt;"",Planos!A144&amp;"","")</f>
      </c>
      <c r="B145" s="43">
        <f>IF(Planos!$A144&lt;&gt;"",Planos!B144&amp;"","")</f>
      </c>
      <c r="C145" s="24">
        <f>IF(Planos!$A144&lt;&gt;"",Planos!C144&amp;"","")</f>
      </c>
      <c r="D145" s="43">
        <f>IF(NOT(Planos!$A144&lt;&gt;""),"",IF(COUNTIFS(Programação!$B$4:$B$503,Planos!$A144,Programação!$I$4:$I$503,"Concluído",Programação!$G$4:$G$503,"&gt;="&amp;DATE(ano_ref,1,1),Programação!$G$4:$G$503,"&lt;="&amp;EOMONTH(DATE(ano_ref,1,1),0))&gt;0,"✔",IF(AND(ISNUMBER(Planos!$G144),IFERROR(INDEX(lst_frequencia_meses,MATCH(Planos!$E144,lst_frequencia,0)),0)&gt;0,(ano_ref*12+1)-(YEAR(Planos!$G144)*12+MONTH(Planos!$G144))&gt;0,MOD((ano_ref*12+1)-(YEAR(Planos!$G144)*12+MONTH(Planos!$G144)),MAX(1,IFERROR(INDEX(lst_frequencia_meses,MATCH(Planos!$E144,lst_frequencia,0)),0)))=0),"●","")))</f>
      </c>
      <c r="E145" s="43">
        <f>IF(NOT(Planos!$A144&lt;&gt;""),"",IF(COUNTIFS(Programação!$B$4:$B$503,Planos!$A144,Programação!$I$4:$I$503,"Concluído",Programação!$G$4:$G$503,"&gt;="&amp;DATE(ano_ref,2,1),Programação!$G$4:$G$503,"&lt;="&amp;EOMONTH(DATE(ano_ref,2,1),0))&gt;0,"✔",IF(AND(ISNUMBER(Planos!$G144),IFERROR(INDEX(lst_frequencia_meses,MATCH(Planos!$E144,lst_frequencia,0)),0)&gt;0,(ano_ref*12+2)-(YEAR(Planos!$G144)*12+MONTH(Planos!$G144))&gt;0,MOD((ano_ref*12+2)-(YEAR(Planos!$G144)*12+MONTH(Planos!$G144)),MAX(1,IFERROR(INDEX(lst_frequencia_meses,MATCH(Planos!$E144,lst_frequencia,0)),0)))=0),"●","")))</f>
      </c>
      <c r="F145" s="43">
        <f>IF(NOT(Planos!$A144&lt;&gt;""),"",IF(COUNTIFS(Programação!$B$4:$B$503,Planos!$A144,Programação!$I$4:$I$503,"Concluído",Programação!$G$4:$G$503,"&gt;="&amp;DATE(ano_ref,3,1),Programação!$G$4:$G$503,"&lt;="&amp;EOMONTH(DATE(ano_ref,3,1),0))&gt;0,"✔",IF(AND(ISNUMBER(Planos!$G144),IFERROR(INDEX(lst_frequencia_meses,MATCH(Planos!$E144,lst_frequencia,0)),0)&gt;0,(ano_ref*12+3)-(YEAR(Planos!$G144)*12+MONTH(Planos!$G144))&gt;0,MOD((ano_ref*12+3)-(YEAR(Planos!$G144)*12+MONTH(Planos!$G144)),MAX(1,IFERROR(INDEX(lst_frequencia_meses,MATCH(Planos!$E144,lst_frequencia,0)),0)))=0),"●","")))</f>
      </c>
      <c r="G145" s="43">
        <f>IF(NOT(Planos!$A144&lt;&gt;""),"",IF(COUNTIFS(Programação!$B$4:$B$503,Planos!$A144,Programação!$I$4:$I$503,"Concluído",Programação!$G$4:$G$503,"&gt;="&amp;DATE(ano_ref,4,1),Programação!$G$4:$G$503,"&lt;="&amp;EOMONTH(DATE(ano_ref,4,1),0))&gt;0,"✔",IF(AND(ISNUMBER(Planos!$G144),IFERROR(INDEX(lst_frequencia_meses,MATCH(Planos!$E144,lst_frequencia,0)),0)&gt;0,(ano_ref*12+4)-(YEAR(Planos!$G144)*12+MONTH(Planos!$G144))&gt;0,MOD((ano_ref*12+4)-(YEAR(Planos!$G144)*12+MONTH(Planos!$G144)),MAX(1,IFERROR(INDEX(lst_frequencia_meses,MATCH(Planos!$E144,lst_frequencia,0)),0)))=0),"●","")))</f>
      </c>
      <c r="H145" s="43">
        <f>IF(NOT(Planos!$A144&lt;&gt;""),"",IF(COUNTIFS(Programação!$B$4:$B$503,Planos!$A144,Programação!$I$4:$I$503,"Concluído",Programação!$G$4:$G$503,"&gt;="&amp;DATE(ano_ref,5,1),Programação!$G$4:$G$503,"&lt;="&amp;EOMONTH(DATE(ano_ref,5,1),0))&gt;0,"✔",IF(AND(ISNUMBER(Planos!$G144),IFERROR(INDEX(lst_frequencia_meses,MATCH(Planos!$E144,lst_frequencia,0)),0)&gt;0,(ano_ref*12+5)-(YEAR(Planos!$G144)*12+MONTH(Planos!$G144))&gt;0,MOD((ano_ref*12+5)-(YEAR(Planos!$G144)*12+MONTH(Planos!$G144)),MAX(1,IFERROR(INDEX(lst_frequencia_meses,MATCH(Planos!$E144,lst_frequencia,0)),0)))=0),"●","")))</f>
      </c>
      <c r="I145" s="43">
        <f>IF(NOT(Planos!$A144&lt;&gt;""),"",IF(COUNTIFS(Programação!$B$4:$B$503,Planos!$A144,Programação!$I$4:$I$503,"Concluído",Programação!$G$4:$G$503,"&gt;="&amp;DATE(ano_ref,6,1),Programação!$G$4:$G$503,"&lt;="&amp;EOMONTH(DATE(ano_ref,6,1),0))&gt;0,"✔",IF(AND(ISNUMBER(Planos!$G144),IFERROR(INDEX(lst_frequencia_meses,MATCH(Planos!$E144,lst_frequencia,0)),0)&gt;0,(ano_ref*12+6)-(YEAR(Planos!$G144)*12+MONTH(Planos!$G144))&gt;0,MOD((ano_ref*12+6)-(YEAR(Planos!$G144)*12+MONTH(Planos!$G144)),MAX(1,IFERROR(INDEX(lst_frequencia_meses,MATCH(Planos!$E144,lst_frequencia,0)),0)))=0),"●","")))</f>
      </c>
      <c r="J145" s="43">
        <f>IF(NOT(Planos!$A144&lt;&gt;""),"",IF(COUNTIFS(Programação!$B$4:$B$503,Planos!$A144,Programação!$I$4:$I$503,"Concluído",Programação!$G$4:$G$503,"&gt;="&amp;DATE(ano_ref,7,1),Programação!$G$4:$G$503,"&lt;="&amp;EOMONTH(DATE(ano_ref,7,1),0))&gt;0,"✔",IF(AND(ISNUMBER(Planos!$G144),IFERROR(INDEX(lst_frequencia_meses,MATCH(Planos!$E144,lst_frequencia,0)),0)&gt;0,(ano_ref*12+7)-(YEAR(Planos!$G144)*12+MONTH(Planos!$G144))&gt;0,MOD((ano_ref*12+7)-(YEAR(Planos!$G144)*12+MONTH(Planos!$G144)),MAX(1,IFERROR(INDEX(lst_frequencia_meses,MATCH(Planos!$E144,lst_frequencia,0)),0)))=0),"●","")))</f>
      </c>
      <c r="K145" s="43">
        <f>IF(NOT(Planos!$A144&lt;&gt;""),"",IF(COUNTIFS(Programação!$B$4:$B$503,Planos!$A144,Programação!$I$4:$I$503,"Concluído",Programação!$G$4:$G$503,"&gt;="&amp;DATE(ano_ref,8,1),Programação!$G$4:$G$503,"&lt;="&amp;EOMONTH(DATE(ano_ref,8,1),0))&gt;0,"✔",IF(AND(ISNUMBER(Planos!$G144),IFERROR(INDEX(lst_frequencia_meses,MATCH(Planos!$E144,lst_frequencia,0)),0)&gt;0,(ano_ref*12+8)-(YEAR(Planos!$G144)*12+MONTH(Planos!$G144))&gt;0,MOD((ano_ref*12+8)-(YEAR(Planos!$G144)*12+MONTH(Planos!$G144)),MAX(1,IFERROR(INDEX(lst_frequencia_meses,MATCH(Planos!$E144,lst_frequencia,0)),0)))=0),"●","")))</f>
      </c>
      <c r="L145" s="43">
        <f>IF(NOT(Planos!$A144&lt;&gt;""),"",IF(COUNTIFS(Programação!$B$4:$B$503,Planos!$A144,Programação!$I$4:$I$503,"Concluído",Programação!$G$4:$G$503,"&gt;="&amp;DATE(ano_ref,9,1),Programação!$G$4:$G$503,"&lt;="&amp;EOMONTH(DATE(ano_ref,9,1),0))&gt;0,"✔",IF(AND(ISNUMBER(Planos!$G144),IFERROR(INDEX(lst_frequencia_meses,MATCH(Planos!$E144,lst_frequencia,0)),0)&gt;0,(ano_ref*12+9)-(YEAR(Planos!$G144)*12+MONTH(Planos!$G144))&gt;0,MOD((ano_ref*12+9)-(YEAR(Planos!$G144)*12+MONTH(Planos!$G144)),MAX(1,IFERROR(INDEX(lst_frequencia_meses,MATCH(Planos!$E144,lst_frequencia,0)),0)))=0),"●","")))</f>
      </c>
      <c r="M145" s="43">
        <f>IF(NOT(Planos!$A144&lt;&gt;""),"",IF(COUNTIFS(Programação!$B$4:$B$503,Planos!$A144,Programação!$I$4:$I$503,"Concluído",Programação!$G$4:$G$503,"&gt;="&amp;DATE(ano_ref,10,1),Programação!$G$4:$G$503,"&lt;="&amp;EOMONTH(DATE(ano_ref,10,1),0))&gt;0,"✔",IF(AND(ISNUMBER(Planos!$G144),IFERROR(INDEX(lst_frequencia_meses,MATCH(Planos!$E144,lst_frequencia,0)),0)&gt;0,(ano_ref*12+10)-(YEAR(Planos!$G144)*12+MONTH(Planos!$G144))&gt;0,MOD((ano_ref*12+10)-(YEAR(Planos!$G144)*12+MONTH(Planos!$G144)),MAX(1,IFERROR(INDEX(lst_frequencia_meses,MATCH(Planos!$E144,lst_frequencia,0)),0)))=0),"●","")))</f>
      </c>
      <c r="N145" s="43">
        <f>IF(NOT(Planos!$A144&lt;&gt;""),"",IF(COUNTIFS(Programação!$B$4:$B$503,Planos!$A144,Programação!$I$4:$I$503,"Concluído",Programação!$G$4:$G$503,"&gt;="&amp;DATE(ano_ref,11,1),Programação!$G$4:$G$503,"&lt;="&amp;EOMONTH(DATE(ano_ref,11,1),0))&gt;0,"✔",IF(AND(ISNUMBER(Planos!$G144),IFERROR(INDEX(lst_frequencia_meses,MATCH(Planos!$E144,lst_frequencia,0)),0)&gt;0,(ano_ref*12+11)-(YEAR(Planos!$G144)*12+MONTH(Planos!$G144))&gt;0,MOD((ano_ref*12+11)-(YEAR(Planos!$G144)*12+MONTH(Planos!$G144)),MAX(1,IFERROR(INDEX(lst_frequencia_meses,MATCH(Planos!$E144,lst_frequencia,0)),0)))=0),"●","")))</f>
      </c>
      <c r="O145" s="43">
        <f>IF(NOT(Planos!$A144&lt;&gt;""),"",IF(COUNTIFS(Programação!$B$4:$B$503,Planos!$A144,Programação!$I$4:$I$503,"Concluído",Programação!$G$4:$G$503,"&gt;="&amp;DATE(ano_ref,12,1),Programação!$G$4:$G$503,"&lt;="&amp;EOMONTH(DATE(ano_ref,12,1),0))&gt;0,"✔",IF(AND(ISNUMBER(Planos!$G144),IFERROR(INDEX(lst_frequencia_meses,MATCH(Planos!$E144,lst_frequencia,0)),0)&gt;0,(ano_ref*12+12)-(YEAR(Planos!$G144)*12+MONTH(Planos!$G144))&gt;0,MOD((ano_ref*12+12)-(YEAR(Planos!$G144)*12+MONTH(Planos!$G144)),MAX(1,IFERROR(INDEX(lst_frequencia_meses,MATCH(Planos!$E144,lst_frequencia,0)),0)))=0),"●","")))</f>
      </c>
      <c r="P145" s="44">
        <f>IF(COUNTIF(D145:O145,"✔")+COUNTIF(D145:O145,"●")=0,"",COUNTIF(D145:O145,"✔")/(COUNTIF(D145:O145,"✔")+COUNTIF(D145:O145,"●")))</f>
      </c>
    </row>
    <row r="146" spans="1:16" x14ac:dyDescent="0.25">
      <c r="A146" s="43">
        <f>IF(Planos!$A145&lt;&gt;"",Planos!A145&amp;"","")</f>
      </c>
      <c r="B146" s="43">
        <f>IF(Planos!$A145&lt;&gt;"",Planos!B145&amp;"","")</f>
      </c>
      <c r="C146" s="24">
        <f>IF(Planos!$A145&lt;&gt;"",Planos!C145&amp;"","")</f>
      </c>
      <c r="D146" s="43">
        <f>IF(NOT(Planos!$A145&lt;&gt;""),"",IF(COUNTIFS(Programação!$B$4:$B$503,Planos!$A145,Programação!$I$4:$I$503,"Concluído",Programação!$G$4:$G$503,"&gt;="&amp;DATE(ano_ref,1,1),Programação!$G$4:$G$503,"&lt;="&amp;EOMONTH(DATE(ano_ref,1,1),0))&gt;0,"✔",IF(AND(ISNUMBER(Planos!$G145),IFERROR(INDEX(lst_frequencia_meses,MATCH(Planos!$E145,lst_frequencia,0)),0)&gt;0,(ano_ref*12+1)-(YEAR(Planos!$G145)*12+MONTH(Planos!$G145))&gt;0,MOD((ano_ref*12+1)-(YEAR(Planos!$G145)*12+MONTH(Planos!$G145)),MAX(1,IFERROR(INDEX(lst_frequencia_meses,MATCH(Planos!$E145,lst_frequencia,0)),0)))=0),"●","")))</f>
      </c>
      <c r="E146" s="43">
        <f>IF(NOT(Planos!$A145&lt;&gt;""),"",IF(COUNTIFS(Programação!$B$4:$B$503,Planos!$A145,Programação!$I$4:$I$503,"Concluído",Programação!$G$4:$G$503,"&gt;="&amp;DATE(ano_ref,2,1),Programação!$G$4:$G$503,"&lt;="&amp;EOMONTH(DATE(ano_ref,2,1),0))&gt;0,"✔",IF(AND(ISNUMBER(Planos!$G145),IFERROR(INDEX(lst_frequencia_meses,MATCH(Planos!$E145,lst_frequencia,0)),0)&gt;0,(ano_ref*12+2)-(YEAR(Planos!$G145)*12+MONTH(Planos!$G145))&gt;0,MOD((ano_ref*12+2)-(YEAR(Planos!$G145)*12+MONTH(Planos!$G145)),MAX(1,IFERROR(INDEX(lst_frequencia_meses,MATCH(Planos!$E145,lst_frequencia,0)),0)))=0),"●","")))</f>
      </c>
      <c r="F146" s="43">
        <f>IF(NOT(Planos!$A145&lt;&gt;""),"",IF(COUNTIFS(Programação!$B$4:$B$503,Planos!$A145,Programação!$I$4:$I$503,"Concluído",Programação!$G$4:$G$503,"&gt;="&amp;DATE(ano_ref,3,1),Programação!$G$4:$G$503,"&lt;="&amp;EOMONTH(DATE(ano_ref,3,1),0))&gt;0,"✔",IF(AND(ISNUMBER(Planos!$G145),IFERROR(INDEX(lst_frequencia_meses,MATCH(Planos!$E145,lst_frequencia,0)),0)&gt;0,(ano_ref*12+3)-(YEAR(Planos!$G145)*12+MONTH(Planos!$G145))&gt;0,MOD((ano_ref*12+3)-(YEAR(Planos!$G145)*12+MONTH(Planos!$G145)),MAX(1,IFERROR(INDEX(lst_frequencia_meses,MATCH(Planos!$E145,lst_frequencia,0)),0)))=0),"●","")))</f>
      </c>
      <c r="G146" s="43">
        <f>IF(NOT(Planos!$A145&lt;&gt;""),"",IF(COUNTIFS(Programação!$B$4:$B$503,Planos!$A145,Programação!$I$4:$I$503,"Concluído",Programação!$G$4:$G$503,"&gt;="&amp;DATE(ano_ref,4,1),Programação!$G$4:$G$503,"&lt;="&amp;EOMONTH(DATE(ano_ref,4,1),0))&gt;0,"✔",IF(AND(ISNUMBER(Planos!$G145),IFERROR(INDEX(lst_frequencia_meses,MATCH(Planos!$E145,lst_frequencia,0)),0)&gt;0,(ano_ref*12+4)-(YEAR(Planos!$G145)*12+MONTH(Planos!$G145))&gt;0,MOD((ano_ref*12+4)-(YEAR(Planos!$G145)*12+MONTH(Planos!$G145)),MAX(1,IFERROR(INDEX(lst_frequencia_meses,MATCH(Planos!$E145,lst_frequencia,0)),0)))=0),"●","")))</f>
      </c>
      <c r="H146" s="43">
        <f>IF(NOT(Planos!$A145&lt;&gt;""),"",IF(COUNTIFS(Programação!$B$4:$B$503,Planos!$A145,Programação!$I$4:$I$503,"Concluído",Programação!$G$4:$G$503,"&gt;="&amp;DATE(ano_ref,5,1),Programação!$G$4:$G$503,"&lt;="&amp;EOMONTH(DATE(ano_ref,5,1),0))&gt;0,"✔",IF(AND(ISNUMBER(Planos!$G145),IFERROR(INDEX(lst_frequencia_meses,MATCH(Planos!$E145,lst_frequencia,0)),0)&gt;0,(ano_ref*12+5)-(YEAR(Planos!$G145)*12+MONTH(Planos!$G145))&gt;0,MOD((ano_ref*12+5)-(YEAR(Planos!$G145)*12+MONTH(Planos!$G145)),MAX(1,IFERROR(INDEX(lst_frequencia_meses,MATCH(Planos!$E145,lst_frequencia,0)),0)))=0),"●","")))</f>
      </c>
      <c r="I146" s="43">
        <f>IF(NOT(Planos!$A145&lt;&gt;""),"",IF(COUNTIFS(Programação!$B$4:$B$503,Planos!$A145,Programação!$I$4:$I$503,"Concluído",Programação!$G$4:$G$503,"&gt;="&amp;DATE(ano_ref,6,1),Programação!$G$4:$G$503,"&lt;="&amp;EOMONTH(DATE(ano_ref,6,1),0))&gt;0,"✔",IF(AND(ISNUMBER(Planos!$G145),IFERROR(INDEX(lst_frequencia_meses,MATCH(Planos!$E145,lst_frequencia,0)),0)&gt;0,(ano_ref*12+6)-(YEAR(Planos!$G145)*12+MONTH(Planos!$G145))&gt;0,MOD((ano_ref*12+6)-(YEAR(Planos!$G145)*12+MONTH(Planos!$G145)),MAX(1,IFERROR(INDEX(lst_frequencia_meses,MATCH(Planos!$E145,lst_frequencia,0)),0)))=0),"●","")))</f>
      </c>
      <c r="J146" s="43">
        <f>IF(NOT(Planos!$A145&lt;&gt;""),"",IF(COUNTIFS(Programação!$B$4:$B$503,Planos!$A145,Programação!$I$4:$I$503,"Concluído",Programação!$G$4:$G$503,"&gt;="&amp;DATE(ano_ref,7,1),Programação!$G$4:$G$503,"&lt;="&amp;EOMONTH(DATE(ano_ref,7,1),0))&gt;0,"✔",IF(AND(ISNUMBER(Planos!$G145),IFERROR(INDEX(lst_frequencia_meses,MATCH(Planos!$E145,lst_frequencia,0)),0)&gt;0,(ano_ref*12+7)-(YEAR(Planos!$G145)*12+MONTH(Planos!$G145))&gt;0,MOD((ano_ref*12+7)-(YEAR(Planos!$G145)*12+MONTH(Planos!$G145)),MAX(1,IFERROR(INDEX(lst_frequencia_meses,MATCH(Planos!$E145,lst_frequencia,0)),0)))=0),"●","")))</f>
      </c>
      <c r="K146" s="43">
        <f>IF(NOT(Planos!$A145&lt;&gt;""),"",IF(COUNTIFS(Programação!$B$4:$B$503,Planos!$A145,Programação!$I$4:$I$503,"Concluído",Programação!$G$4:$G$503,"&gt;="&amp;DATE(ano_ref,8,1),Programação!$G$4:$G$503,"&lt;="&amp;EOMONTH(DATE(ano_ref,8,1),0))&gt;0,"✔",IF(AND(ISNUMBER(Planos!$G145),IFERROR(INDEX(lst_frequencia_meses,MATCH(Planos!$E145,lst_frequencia,0)),0)&gt;0,(ano_ref*12+8)-(YEAR(Planos!$G145)*12+MONTH(Planos!$G145))&gt;0,MOD((ano_ref*12+8)-(YEAR(Planos!$G145)*12+MONTH(Planos!$G145)),MAX(1,IFERROR(INDEX(lst_frequencia_meses,MATCH(Planos!$E145,lst_frequencia,0)),0)))=0),"●","")))</f>
      </c>
      <c r="L146" s="43">
        <f>IF(NOT(Planos!$A145&lt;&gt;""),"",IF(COUNTIFS(Programação!$B$4:$B$503,Planos!$A145,Programação!$I$4:$I$503,"Concluído",Programação!$G$4:$G$503,"&gt;="&amp;DATE(ano_ref,9,1),Programação!$G$4:$G$503,"&lt;="&amp;EOMONTH(DATE(ano_ref,9,1),0))&gt;0,"✔",IF(AND(ISNUMBER(Planos!$G145),IFERROR(INDEX(lst_frequencia_meses,MATCH(Planos!$E145,lst_frequencia,0)),0)&gt;0,(ano_ref*12+9)-(YEAR(Planos!$G145)*12+MONTH(Planos!$G145))&gt;0,MOD((ano_ref*12+9)-(YEAR(Planos!$G145)*12+MONTH(Planos!$G145)),MAX(1,IFERROR(INDEX(lst_frequencia_meses,MATCH(Planos!$E145,lst_frequencia,0)),0)))=0),"●","")))</f>
      </c>
      <c r="M146" s="43">
        <f>IF(NOT(Planos!$A145&lt;&gt;""),"",IF(COUNTIFS(Programação!$B$4:$B$503,Planos!$A145,Programação!$I$4:$I$503,"Concluído",Programação!$G$4:$G$503,"&gt;="&amp;DATE(ano_ref,10,1),Programação!$G$4:$G$503,"&lt;="&amp;EOMONTH(DATE(ano_ref,10,1),0))&gt;0,"✔",IF(AND(ISNUMBER(Planos!$G145),IFERROR(INDEX(lst_frequencia_meses,MATCH(Planos!$E145,lst_frequencia,0)),0)&gt;0,(ano_ref*12+10)-(YEAR(Planos!$G145)*12+MONTH(Planos!$G145))&gt;0,MOD((ano_ref*12+10)-(YEAR(Planos!$G145)*12+MONTH(Planos!$G145)),MAX(1,IFERROR(INDEX(lst_frequencia_meses,MATCH(Planos!$E145,lst_frequencia,0)),0)))=0),"●","")))</f>
      </c>
      <c r="N146" s="43">
        <f>IF(NOT(Planos!$A145&lt;&gt;""),"",IF(COUNTIFS(Programação!$B$4:$B$503,Planos!$A145,Programação!$I$4:$I$503,"Concluído",Programação!$G$4:$G$503,"&gt;="&amp;DATE(ano_ref,11,1),Programação!$G$4:$G$503,"&lt;="&amp;EOMONTH(DATE(ano_ref,11,1),0))&gt;0,"✔",IF(AND(ISNUMBER(Planos!$G145),IFERROR(INDEX(lst_frequencia_meses,MATCH(Planos!$E145,lst_frequencia,0)),0)&gt;0,(ano_ref*12+11)-(YEAR(Planos!$G145)*12+MONTH(Planos!$G145))&gt;0,MOD((ano_ref*12+11)-(YEAR(Planos!$G145)*12+MONTH(Planos!$G145)),MAX(1,IFERROR(INDEX(lst_frequencia_meses,MATCH(Planos!$E145,lst_frequencia,0)),0)))=0),"●","")))</f>
      </c>
      <c r="O146" s="43">
        <f>IF(NOT(Planos!$A145&lt;&gt;""),"",IF(COUNTIFS(Programação!$B$4:$B$503,Planos!$A145,Programação!$I$4:$I$503,"Concluído",Programação!$G$4:$G$503,"&gt;="&amp;DATE(ano_ref,12,1),Programação!$G$4:$G$503,"&lt;="&amp;EOMONTH(DATE(ano_ref,12,1),0))&gt;0,"✔",IF(AND(ISNUMBER(Planos!$G145),IFERROR(INDEX(lst_frequencia_meses,MATCH(Planos!$E145,lst_frequencia,0)),0)&gt;0,(ano_ref*12+12)-(YEAR(Planos!$G145)*12+MONTH(Planos!$G145))&gt;0,MOD((ano_ref*12+12)-(YEAR(Planos!$G145)*12+MONTH(Planos!$G145)),MAX(1,IFERROR(INDEX(lst_frequencia_meses,MATCH(Planos!$E145,lst_frequencia,0)),0)))=0),"●","")))</f>
      </c>
      <c r="P146" s="44">
        <f>IF(COUNTIF(D146:O146,"✔")+COUNTIF(D146:O146,"●")=0,"",COUNTIF(D146:O146,"✔")/(COUNTIF(D146:O146,"✔")+COUNTIF(D146:O146,"●")))</f>
      </c>
    </row>
    <row r="147" spans="1:16" x14ac:dyDescent="0.25">
      <c r="A147" s="43">
        <f>IF(Planos!$A146&lt;&gt;"",Planos!A146&amp;"","")</f>
      </c>
      <c r="B147" s="43">
        <f>IF(Planos!$A146&lt;&gt;"",Planos!B146&amp;"","")</f>
      </c>
      <c r="C147" s="24">
        <f>IF(Planos!$A146&lt;&gt;"",Planos!C146&amp;"","")</f>
      </c>
      <c r="D147" s="43">
        <f>IF(NOT(Planos!$A146&lt;&gt;""),"",IF(COUNTIFS(Programação!$B$4:$B$503,Planos!$A146,Programação!$I$4:$I$503,"Concluído",Programação!$G$4:$G$503,"&gt;="&amp;DATE(ano_ref,1,1),Programação!$G$4:$G$503,"&lt;="&amp;EOMONTH(DATE(ano_ref,1,1),0))&gt;0,"✔",IF(AND(ISNUMBER(Planos!$G146),IFERROR(INDEX(lst_frequencia_meses,MATCH(Planos!$E146,lst_frequencia,0)),0)&gt;0,(ano_ref*12+1)-(YEAR(Planos!$G146)*12+MONTH(Planos!$G146))&gt;0,MOD((ano_ref*12+1)-(YEAR(Planos!$G146)*12+MONTH(Planos!$G146)),MAX(1,IFERROR(INDEX(lst_frequencia_meses,MATCH(Planos!$E146,lst_frequencia,0)),0)))=0),"●","")))</f>
      </c>
      <c r="E147" s="43">
        <f>IF(NOT(Planos!$A146&lt;&gt;""),"",IF(COUNTIFS(Programação!$B$4:$B$503,Planos!$A146,Programação!$I$4:$I$503,"Concluído",Programação!$G$4:$G$503,"&gt;="&amp;DATE(ano_ref,2,1),Programação!$G$4:$G$503,"&lt;="&amp;EOMONTH(DATE(ano_ref,2,1),0))&gt;0,"✔",IF(AND(ISNUMBER(Planos!$G146),IFERROR(INDEX(lst_frequencia_meses,MATCH(Planos!$E146,lst_frequencia,0)),0)&gt;0,(ano_ref*12+2)-(YEAR(Planos!$G146)*12+MONTH(Planos!$G146))&gt;0,MOD((ano_ref*12+2)-(YEAR(Planos!$G146)*12+MONTH(Planos!$G146)),MAX(1,IFERROR(INDEX(lst_frequencia_meses,MATCH(Planos!$E146,lst_frequencia,0)),0)))=0),"●","")))</f>
      </c>
      <c r="F147" s="43">
        <f>IF(NOT(Planos!$A146&lt;&gt;""),"",IF(COUNTIFS(Programação!$B$4:$B$503,Planos!$A146,Programação!$I$4:$I$503,"Concluído",Programação!$G$4:$G$503,"&gt;="&amp;DATE(ano_ref,3,1),Programação!$G$4:$G$503,"&lt;="&amp;EOMONTH(DATE(ano_ref,3,1),0))&gt;0,"✔",IF(AND(ISNUMBER(Planos!$G146),IFERROR(INDEX(lst_frequencia_meses,MATCH(Planos!$E146,lst_frequencia,0)),0)&gt;0,(ano_ref*12+3)-(YEAR(Planos!$G146)*12+MONTH(Planos!$G146))&gt;0,MOD((ano_ref*12+3)-(YEAR(Planos!$G146)*12+MONTH(Planos!$G146)),MAX(1,IFERROR(INDEX(lst_frequencia_meses,MATCH(Planos!$E146,lst_frequencia,0)),0)))=0),"●","")))</f>
      </c>
      <c r="G147" s="43">
        <f>IF(NOT(Planos!$A146&lt;&gt;""),"",IF(COUNTIFS(Programação!$B$4:$B$503,Planos!$A146,Programação!$I$4:$I$503,"Concluído",Programação!$G$4:$G$503,"&gt;="&amp;DATE(ano_ref,4,1),Programação!$G$4:$G$503,"&lt;="&amp;EOMONTH(DATE(ano_ref,4,1),0))&gt;0,"✔",IF(AND(ISNUMBER(Planos!$G146),IFERROR(INDEX(lst_frequencia_meses,MATCH(Planos!$E146,lst_frequencia,0)),0)&gt;0,(ano_ref*12+4)-(YEAR(Planos!$G146)*12+MONTH(Planos!$G146))&gt;0,MOD((ano_ref*12+4)-(YEAR(Planos!$G146)*12+MONTH(Planos!$G146)),MAX(1,IFERROR(INDEX(lst_frequencia_meses,MATCH(Planos!$E146,lst_frequencia,0)),0)))=0),"●","")))</f>
      </c>
      <c r="H147" s="43">
        <f>IF(NOT(Planos!$A146&lt;&gt;""),"",IF(COUNTIFS(Programação!$B$4:$B$503,Planos!$A146,Programação!$I$4:$I$503,"Concluído",Programação!$G$4:$G$503,"&gt;="&amp;DATE(ano_ref,5,1),Programação!$G$4:$G$503,"&lt;="&amp;EOMONTH(DATE(ano_ref,5,1),0))&gt;0,"✔",IF(AND(ISNUMBER(Planos!$G146),IFERROR(INDEX(lst_frequencia_meses,MATCH(Planos!$E146,lst_frequencia,0)),0)&gt;0,(ano_ref*12+5)-(YEAR(Planos!$G146)*12+MONTH(Planos!$G146))&gt;0,MOD((ano_ref*12+5)-(YEAR(Planos!$G146)*12+MONTH(Planos!$G146)),MAX(1,IFERROR(INDEX(lst_frequencia_meses,MATCH(Planos!$E146,lst_frequencia,0)),0)))=0),"●","")))</f>
      </c>
      <c r="I147" s="43">
        <f>IF(NOT(Planos!$A146&lt;&gt;""),"",IF(COUNTIFS(Programação!$B$4:$B$503,Planos!$A146,Programação!$I$4:$I$503,"Concluído",Programação!$G$4:$G$503,"&gt;="&amp;DATE(ano_ref,6,1),Programação!$G$4:$G$503,"&lt;="&amp;EOMONTH(DATE(ano_ref,6,1),0))&gt;0,"✔",IF(AND(ISNUMBER(Planos!$G146),IFERROR(INDEX(lst_frequencia_meses,MATCH(Planos!$E146,lst_frequencia,0)),0)&gt;0,(ano_ref*12+6)-(YEAR(Planos!$G146)*12+MONTH(Planos!$G146))&gt;0,MOD((ano_ref*12+6)-(YEAR(Planos!$G146)*12+MONTH(Planos!$G146)),MAX(1,IFERROR(INDEX(lst_frequencia_meses,MATCH(Planos!$E146,lst_frequencia,0)),0)))=0),"●","")))</f>
      </c>
      <c r="J147" s="43">
        <f>IF(NOT(Planos!$A146&lt;&gt;""),"",IF(COUNTIFS(Programação!$B$4:$B$503,Planos!$A146,Programação!$I$4:$I$503,"Concluído",Programação!$G$4:$G$503,"&gt;="&amp;DATE(ano_ref,7,1),Programação!$G$4:$G$503,"&lt;="&amp;EOMONTH(DATE(ano_ref,7,1),0))&gt;0,"✔",IF(AND(ISNUMBER(Planos!$G146),IFERROR(INDEX(lst_frequencia_meses,MATCH(Planos!$E146,lst_frequencia,0)),0)&gt;0,(ano_ref*12+7)-(YEAR(Planos!$G146)*12+MONTH(Planos!$G146))&gt;0,MOD((ano_ref*12+7)-(YEAR(Planos!$G146)*12+MONTH(Planos!$G146)),MAX(1,IFERROR(INDEX(lst_frequencia_meses,MATCH(Planos!$E146,lst_frequencia,0)),0)))=0),"●","")))</f>
      </c>
      <c r="K147" s="43">
        <f>IF(NOT(Planos!$A146&lt;&gt;""),"",IF(COUNTIFS(Programação!$B$4:$B$503,Planos!$A146,Programação!$I$4:$I$503,"Concluído",Programação!$G$4:$G$503,"&gt;="&amp;DATE(ano_ref,8,1),Programação!$G$4:$G$503,"&lt;="&amp;EOMONTH(DATE(ano_ref,8,1),0))&gt;0,"✔",IF(AND(ISNUMBER(Planos!$G146),IFERROR(INDEX(lst_frequencia_meses,MATCH(Planos!$E146,lst_frequencia,0)),0)&gt;0,(ano_ref*12+8)-(YEAR(Planos!$G146)*12+MONTH(Planos!$G146))&gt;0,MOD((ano_ref*12+8)-(YEAR(Planos!$G146)*12+MONTH(Planos!$G146)),MAX(1,IFERROR(INDEX(lst_frequencia_meses,MATCH(Planos!$E146,lst_frequencia,0)),0)))=0),"●","")))</f>
      </c>
      <c r="L147" s="43">
        <f>IF(NOT(Planos!$A146&lt;&gt;""),"",IF(COUNTIFS(Programação!$B$4:$B$503,Planos!$A146,Programação!$I$4:$I$503,"Concluído",Programação!$G$4:$G$503,"&gt;="&amp;DATE(ano_ref,9,1),Programação!$G$4:$G$503,"&lt;="&amp;EOMONTH(DATE(ano_ref,9,1),0))&gt;0,"✔",IF(AND(ISNUMBER(Planos!$G146),IFERROR(INDEX(lst_frequencia_meses,MATCH(Planos!$E146,lst_frequencia,0)),0)&gt;0,(ano_ref*12+9)-(YEAR(Planos!$G146)*12+MONTH(Planos!$G146))&gt;0,MOD((ano_ref*12+9)-(YEAR(Planos!$G146)*12+MONTH(Planos!$G146)),MAX(1,IFERROR(INDEX(lst_frequencia_meses,MATCH(Planos!$E146,lst_frequencia,0)),0)))=0),"●","")))</f>
      </c>
      <c r="M147" s="43">
        <f>IF(NOT(Planos!$A146&lt;&gt;""),"",IF(COUNTIFS(Programação!$B$4:$B$503,Planos!$A146,Programação!$I$4:$I$503,"Concluído",Programação!$G$4:$G$503,"&gt;="&amp;DATE(ano_ref,10,1),Programação!$G$4:$G$503,"&lt;="&amp;EOMONTH(DATE(ano_ref,10,1),0))&gt;0,"✔",IF(AND(ISNUMBER(Planos!$G146),IFERROR(INDEX(lst_frequencia_meses,MATCH(Planos!$E146,lst_frequencia,0)),0)&gt;0,(ano_ref*12+10)-(YEAR(Planos!$G146)*12+MONTH(Planos!$G146))&gt;0,MOD((ano_ref*12+10)-(YEAR(Planos!$G146)*12+MONTH(Planos!$G146)),MAX(1,IFERROR(INDEX(lst_frequencia_meses,MATCH(Planos!$E146,lst_frequencia,0)),0)))=0),"●","")))</f>
      </c>
      <c r="N147" s="43">
        <f>IF(NOT(Planos!$A146&lt;&gt;""),"",IF(COUNTIFS(Programação!$B$4:$B$503,Planos!$A146,Programação!$I$4:$I$503,"Concluído",Programação!$G$4:$G$503,"&gt;="&amp;DATE(ano_ref,11,1),Programação!$G$4:$G$503,"&lt;="&amp;EOMONTH(DATE(ano_ref,11,1),0))&gt;0,"✔",IF(AND(ISNUMBER(Planos!$G146),IFERROR(INDEX(lst_frequencia_meses,MATCH(Planos!$E146,lst_frequencia,0)),0)&gt;0,(ano_ref*12+11)-(YEAR(Planos!$G146)*12+MONTH(Planos!$G146))&gt;0,MOD((ano_ref*12+11)-(YEAR(Planos!$G146)*12+MONTH(Planos!$G146)),MAX(1,IFERROR(INDEX(lst_frequencia_meses,MATCH(Planos!$E146,lst_frequencia,0)),0)))=0),"●","")))</f>
      </c>
      <c r="O147" s="43">
        <f>IF(NOT(Planos!$A146&lt;&gt;""),"",IF(COUNTIFS(Programação!$B$4:$B$503,Planos!$A146,Programação!$I$4:$I$503,"Concluído",Programação!$G$4:$G$503,"&gt;="&amp;DATE(ano_ref,12,1),Programação!$G$4:$G$503,"&lt;="&amp;EOMONTH(DATE(ano_ref,12,1),0))&gt;0,"✔",IF(AND(ISNUMBER(Planos!$G146),IFERROR(INDEX(lst_frequencia_meses,MATCH(Planos!$E146,lst_frequencia,0)),0)&gt;0,(ano_ref*12+12)-(YEAR(Planos!$G146)*12+MONTH(Planos!$G146))&gt;0,MOD((ano_ref*12+12)-(YEAR(Planos!$G146)*12+MONTH(Planos!$G146)),MAX(1,IFERROR(INDEX(lst_frequencia_meses,MATCH(Planos!$E146,lst_frequencia,0)),0)))=0),"●","")))</f>
      </c>
      <c r="P147" s="44">
        <f>IF(COUNTIF(D147:O147,"✔")+COUNTIF(D147:O147,"●")=0,"",COUNTIF(D147:O147,"✔")/(COUNTIF(D147:O147,"✔")+COUNTIF(D147:O147,"●")))</f>
      </c>
    </row>
    <row r="148" spans="1:16" x14ac:dyDescent="0.25">
      <c r="A148" s="43">
        <f>IF(Planos!$A147&lt;&gt;"",Planos!A147&amp;"","")</f>
      </c>
      <c r="B148" s="43">
        <f>IF(Planos!$A147&lt;&gt;"",Planos!B147&amp;"","")</f>
      </c>
      <c r="C148" s="24">
        <f>IF(Planos!$A147&lt;&gt;"",Planos!C147&amp;"","")</f>
      </c>
      <c r="D148" s="43">
        <f>IF(NOT(Planos!$A147&lt;&gt;""),"",IF(COUNTIFS(Programação!$B$4:$B$503,Planos!$A147,Programação!$I$4:$I$503,"Concluído",Programação!$G$4:$G$503,"&gt;="&amp;DATE(ano_ref,1,1),Programação!$G$4:$G$503,"&lt;="&amp;EOMONTH(DATE(ano_ref,1,1),0))&gt;0,"✔",IF(AND(ISNUMBER(Planos!$G147),IFERROR(INDEX(lst_frequencia_meses,MATCH(Planos!$E147,lst_frequencia,0)),0)&gt;0,(ano_ref*12+1)-(YEAR(Planos!$G147)*12+MONTH(Planos!$G147))&gt;0,MOD((ano_ref*12+1)-(YEAR(Planos!$G147)*12+MONTH(Planos!$G147)),MAX(1,IFERROR(INDEX(lst_frequencia_meses,MATCH(Planos!$E147,lst_frequencia,0)),0)))=0),"●","")))</f>
      </c>
      <c r="E148" s="43">
        <f>IF(NOT(Planos!$A147&lt;&gt;""),"",IF(COUNTIFS(Programação!$B$4:$B$503,Planos!$A147,Programação!$I$4:$I$503,"Concluído",Programação!$G$4:$G$503,"&gt;="&amp;DATE(ano_ref,2,1),Programação!$G$4:$G$503,"&lt;="&amp;EOMONTH(DATE(ano_ref,2,1),0))&gt;0,"✔",IF(AND(ISNUMBER(Planos!$G147),IFERROR(INDEX(lst_frequencia_meses,MATCH(Planos!$E147,lst_frequencia,0)),0)&gt;0,(ano_ref*12+2)-(YEAR(Planos!$G147)*12+MONTH(Planos!$G147))&gt;0,MOD((ano_ref*12+2)-(YEAR(Planos!$G147)*12+MONTH(Planos!$G147)),MAX(1,IFERROR(INDEX(lst_frequencia_meses,MATCH(Planos!$E147,lst_frequencia,0)),0)))=0),"●","")))</f>
      </c>
      <c r="F148" s="43">
        <f>IF(NOT(Planos!$A147&lt;&gt;""),"",IF(COUNTIFS(Programação!$B$4:$B$503,Planos!$A147,Programação!$I$4:$I$503,"Concluído",Programação!$G$4:$G$503,"&gt;="&amp;DATE(ano_ref,3,1),Programação!$G$4:$G$503,"&lt;="&amp;EOMONTH(DATE(ano_ref,3,1),0))&gt;0,"✔",IF(AND(ISNUMBER(Planos!$G147),IFERROR(INDEX(lst_frequencia_meses,MATCH(Planos!$E147,lst_frequencia,0)),0)&gt;0,(ano_ref*12+3)-(YEAR(Planos!$G147)*12+MONTH(Planos!$G147))&gt;0,MOD((ano_ref*12+3)-(YEAR(Planos!$G147)*12+MONTH(Planos!$G147)),MAX(1,IFERROR(INDEX(lst_frequencia_meses,MATCH(Planos!$E147,lst_frequencia,0)),0)))=0),"●","")))</f>
      </c>
      <c r="G148" s="43">
        <f>IF(NOT(Planos!$A147&lt;&gt;""),"",IF(COUNTIFS(Programação!$B$4:$B$503,Planos!$A147,Programação!$I$4:$I$503,"Concluído",Programação!$G$4:$G$503,"&gt;="&amp;DATE(ano_ref,4,1),Programação!$G$4:$G$503,"&lt;="&amp;EOMONTH(DATE(ano_ref,4,1),0))&gt;0,"✔",IF(AND(ISNUMBER(Planos!$G147),IFERROR(INDEX(lst_frequencia_meses,MATCH(Planos!$E147,lst_frequencia,0)),0)&gt;0,(ano_ref*12+4)-(YEAR(Planos!$G147)*12+MONTH(Planos!$G147))&gt;0,MOD((ano_ref*12+4)-(YEAR(Planos!$G147)*12+MONTH(Planos!$G147)),MAX(1,IFERROR(INDEX(lst_frequencia_meses,MATCH(Planos!$E147,lst_frequencia,0)),0)))=0),"●","")))</f>
      </c>
      <c r="H148" s="43">
        <f>IF(NOT(Planos!$A147&lt;&gt;""),"",IF(COUNTIFS(Programação!$B$4:$B$503,Planos!$A147,Programação!$I$4:$I$503,"Concluído",Programação!$G$4:$G$503,"&gt;="&amp;DATE(ano_ref,5,1),Programação!$G$4:$G$503,"&lt;="&amp;EOMONTH(DATE(ano_ref,5,1),0))&gt;0,"✔",IF(AND(ISNUMBER(Planos!$G147),IFERROR(INDEX(lst_frequencia_meses,MATCH(Planos!$E147,lst_frequencia,0)),0)&gt;0,(ano_ref*12+5)-(YEAR(Planos!$G147)*12+MONTH(Planos!$G147))&gt;0,MOD((ano_ref*12+5)-(YEAR(Planos!$G147)*12+MONTH(Planos!$G147)),MAX(1,IFERROR(INDEX(lst_frequencia_meses,MATCH(Planos!$E147,lst_frequencia,0)),0)))=0),"●","")))</f>
      </c>
      <c r="I148" s="43">
        <f>IF(NOT(Planos!$A147&lt;&gt;""),"",IF(COUNTIFS(Programação!$B$4:$B$503,Planos!$A147,Programação!$I$4:$I$503,"Concluído",Programação!$G$4:$G$503,"&gt;="&amp;DATE(ano_ref,6,1),Programação!$G$4:$G$503,"&lt;="&amp;EOMONTH(DATE(ano_ref,6,1),0))&gt;0,"✔",IF(AND(ISNUMBER(Planos!$G147),IFERROR(INDEX(lst_frequencia_meses,MATCH(Planos!$E147,lst_frequencia,0)),0)&gt;0,(ano_ref*12+6)-(YEAR(Planos!$G147)*12+MONTH(Planos!$G147))&gt;0,MOD((ano_ref*12+6)-(YEAR(Planos!$G147)*12+MONTH(Planos!$G147)),MAX(1,IFERROR(INDEX(lst_frequencia_meses,MATCH(Planos!$E147,lst_frequencia,0)),0)))=0),"●","")))</f>
      </c>
      <c r="J148" s="43">
        <f>IF(NOT(Planos!$A147&lt;&gt;""),"",IF(COUNTIFS(Programação!$B$4:$B$503,Planos!$A147,Programação!$I$4:$I$503,"Concluído",Programação!$G$4:$G$503,"&gt;="&amp;DATE(ano_ref,7,1),Programação!$G$4:$G$503,"&lt;="&amp;EOMONTH(DATE(ano_ref,7,1),0))&gt;0,"✔",IF(AND(ISNUMBER(Planos!$G147),IFERROR(INDEX(lst_frequencia_meses,MATCH(Planos!$E147,lst_frequencia,0)),0)&gt;0,(ano_ref*12+7)-(YEAR(Planos!$G147)*12+MONTH(Planos!$G147))&gt;0,MOD((ano_ref*12+7)-(YEAR(Planos!$G147)*12+MONTH(Planos!$G147)),MAX(1,IFERROR(INDEX(lst_frequencia_meses,MATCH(Planos!$E147,lst_frequencia,0)),0)))=0),"●","")))</f>
      </c>
      <c r="K148" s="43">
        <f>IF(NOT(Planos!$A147&lt;&gt;""),"",IF(COUNTIFS(Programação!$B$4:$B$503,Planos!$A147,Programação!$I$4:$I$503,"Concluído",Programação!$G$4:$G$503,"&gt;="&amp;DATE(ano_ref,8,1),Programação!$G$4:$G$503,"&lt;="&amp;EOMONTH(DATE(ano_ref,8,1),0))&gt;0,"✔",IF(AND(ISNUMBER(Planos!$G147),IFERROR(INDEX(lst_frequencia_meses,MATCH(Planos!$E147,lst_frequencia,0)),0)&gt;0,(ano_ref*12+8)-(YEAR(Planos!$G147)*12+MONTH(Planos!$G147))&gt;0,MOD((ano_ref*12+8)-(YEAR(Planos!$G147)*12+MONTH(Planos!$G147)),MAX(1,IFERROR(INDEX(lst_frequencia_meses,MATCH(Planos!$E147,lst_frequencia,0)),0)))=0),"●","")))</f>
      </c>
      <c r="L148" s="43">
        <f>IF(NOT(Planos!$A147&lt;&gt;""),"",IF(COUNTIFS(Programação!$B$4:$B$503,Planos!$A147,Programação!$I$4:$I$503,"Concluído",Programação!$G$4:$G$503,"&gt;="&amp;DATE(ano_ref,9,1),Programação!$G$4:$G$503,"&lt;="&amp;EOMONTH(DATE(ano_ref,9,1),0))&gt;0,"✔",IF(AND(ISNUMBER(Planos!$G147),IFERROR(INDEX(lst_frequencia_meses,MATCH(Planos!$E147,lst_frequencia,0)),0)&gt;0,(ano_ref*12+9)-(YEAR(Planos!$G147)*12+MONTH(Planos!$G147))&gt;0,MOD((ano_ref*12+9)-(YEAR(Planos!$G147)*12+MONTH(Planos!$G147)),MAX(1,IFERROR(INDEX(lst_frequencia_meses,MATCH(Planos!$E147,lst_frequencia,0)),0)))=0),"●","")))</f>
      </c>
      <c r="M148" s="43">
        <f>IF(NOT(Planos!$A147&lt;&gt;""),"",IF(COUNTIFS(Programação!$B$4:$B$503,Planos!$A147,Programação!$I$4:$I$503,"Concluído",Programação!$G$4:$G$503,"&gt;="&amp;DATE(ano_ref,10,1),Programação!$G$4:$G$503,"&lt;="&amp;EOMONTH(DATE(ano_ref,10,1),0))&gt;0,"✔",IF(AND(ISNUMBER(Planos!$G147),IFERROR(INDEX(lst_frequencia_meses,MATCH(Planos!$E147,lst_frequencia,0)),0)&gt;0,(ano_ref*12+10)-(YEAR(Planos!$G147)*12+MONTH(Planos!$G147))&gt;0,MOD((ano_ref*12+10)-(YEAR(Planos!$G147)*12+MONTH(Planos!$G147)),MAX(1,IFERROR(INDEX(lst_frequencia_meses,MATCH(Planos!$E147,lst_frequencia,0)),0)))=0),"●","")))</f>
      </c>
      <c r="N148" s="43">
        <f>IF(NOT(Planos!$A147&lt;&gt;""),"",IF(COUNTIFS(Programação!$B$4:$B$503,Planos!$A147,Programação!$I$4:$I$503,"Concluído",Programação!$G$4:$G$503,"&gt;="&amp;DATE(ano_ref,11,1),Programação!$G$4:$G$503,"&lt;="&amp;EOMONTH(DATE(ano_ref,11,1),0))&gt;0,"✔",IF(AND(ISNUMBER(Planos!$G147),IFERROR(INDEX(lst_frequencia_meses,MATCH(Planos!$E147,lst_frequencia,0)),0)&gt;0,(ano_ref*12+11)-(YEAR(Planos!$G147)*12+MONTH(Planos!$G147))&gt;0,MOD((ano_ref*12+11)-(YEAR(Planos!$G147)*12+MONTH(Planos!$G147)),MAX(1,IFERROR(INDEX(lst_frequencia_meses,MATCH(Planos!$E147,lst_frequencia,0)),0)))=0),"●","")))</f>
      </c>
      <c r="O148" s="43">
        <f>IF(NOT(Planos!$A147&lt;&gt;""),"",IF(COUNTIFS(Programação!$B$4:$B$503,Planos!$A147,Programação!$I$4:$I$503,"Concluído",Programação!$G$4:$G$503,"&gt;="&amp;DATE(ano_ref,12,1),Programação!$G$4:$G$503,"&lt;="&amp;EOMONTH(DATE(ano_ref,12,1),0))&gt;0,"✔",IF(AND(ISNUMBER(Planos!$G147),IFERROR(INDEX(lst_frequencia_meses,MATCH(Planos!$E147,lst_frequencia,0)),0)&gt;0,(ano_ref*12+12)-(YEAR(Planos!$G147)*12+MONTH(Planos!$G147))&gt;0,MOD((ano_ref*12+12)-(YEAR(Planos!$G147)*12+MONTH(Planos!$G147)),MAX(1,IFERROR(INDEX(lst_frequencia_meses,MATCH(Planos!$E147,lst_frequencia,0)),0)))=0),"●","")))</f>
      </c>
      <c r="P148" s="44">
        <f>IF(COUNTIF(D148:O148,"✔")+COUNTIF(D148:O148,"●")=0,"",COUNTIF(D148:O148,"✔")/(COUNTIF(D148:O148,"✔")+COUNTIF(D148:O148,"●")))</f>
      </c>
    </row>
    <row r="149" spans="1:16" x14ac:dyDescent="0.25">
      <c r="A149" s="43">
        <f>IF(Planos!$A148&lt;&gt;"",Planos!A148&amp;"","")</f>
      </c>
      <c r="B149" s="43">
        <f>IF(Planos!$A148&lt;&gt;"",Planos!B148&amp;"","")</f>
      </c>
      <c r="C149" s="24">
        <f>IF(Planos!$A148&lt;&gt;"",Planos!C148&amp;"","")</f>
      </c>
      <c r="D149" s="43">
        <f>IF(NOT(Planos!$A148&lt;&gt;""),"",IF(COUNTIFS(Programação!$B$4:$B$503,Planos!$A148,Programação!$I$4:$I$503,"Concluído",Programação!$G$4:$G$503,"&gt;="&amp;DATE(ano_ref,1,1),Programação!$G$4:$G$503,"&lt;="&amp;EOMONTH(DATE(ano_ref,1,1),0))&gt;0,"✔",IF(AND(ISNUMBER(Planos!$G148),IFERROR(INDEX(lst_frequencia_meses,MATCH(Planos!$E148,lst_frequencia,0)),0)&gt;0,(ano_ref*12+1)-(YEAR(Planos!$G148)*12+MONTH(Planos!$G148))&gt;0,MOD((ano_ref*12+1)-(YEAR(Planos!$G148)*12+MONTH(Planos!$G148)),MAX(1,IFERROR(INDEX(lst_frequencia_meses,MATCH(Planos!$E148,lst_frequencia,0)),0)))=0),"●","")))</f>
      </c>
      <c r="E149" s="43">
        <f>IF(NOT(Planos!$A148&lt;&gt;""),"",IF(COUNTIFS(Programação!$B$4:$B$503,Planos!$A148,Programação!$I$4:$I$503,"Concluído",Programação!$G$4:$G$503,"&gt;="&amp;DATE(ano_ref,2,1),Programação!$G$4:$G$503,"&lt;="&amp;EOMONTH(DATE(ano_ref,2,1),0))&gt;0,"✔",IF(AND(ISNUMBER(Planos!$G148),IFERROR(INDEX(lst_frequencia_meses,MATCH(Planos!$E148,lst_frequencia,0)),0)&gt;0,(ano_ref*12+2)-(YEAR(Planos!$G148)*12+MONTH(Planos!$G148))&gt;0,MOD((ano_ref*12+2)-(YEAR(Planos!$G148)*12+MONTH(Planos!$G148)),MAX(1,IFERROR(INDEX(lst_frequencia_meses,MATCH(Planos!$E148,lst_frequencia,0)),0)))=0),"●","")))</f>
      </c>
      <c r="F149" s="43">
        <f>IF(NOT(Planos!$A148&lt;&gt;""),"",IF(COUNTIFS(Programação!$B$4:$B$503,Planos!$A148,Programação!$I$4:$I$503,"Concluído",Programação!$G$4:$G$503,"&gt;="&amp;DATE(ano_ref,3,1),Programação!$G$4:$G$503,"&lt;="&amp;EOMONTH(DATE(ano_ref,3,1),0))&gt;0,"✔",IF(AND(ISNUMBER(Planos!$G148),IFERROR(INDEX(lst_frequencia_meses,MATCH(Planos!$E148,lst_frequencia,0)),0)&gt;0,(ano_ref*12+3)-(YEAR(Planos!$G148)*12+MONTH(Planos!$G148))&gt;0,MOD((ano_ref*12+3)-(YEAR(Planos!$G148)*12+MONTH(Planos!$G148)),MAX(1,IFERROR(INDEX(lst_frequencia_meses,MATCH(Planos!$E148,lst_frequencia,0)),0)))=0),"●","")))</f>
      </c>
      <c r="G149" s="43">
        <f>IF(NOT(Planos!$A148&lt;&gt;""),"",IF(COUNTIFS(Programação!$B$4:$B$503,Planos!$A148,Programação!$I$4:$I$503,"Concluído",Programação!$G$4:$G$503,"&gt;="&amp;DATE(ano_ref,4,1),Programação!$G$4:$G$503,"&lt;="&amp;EOMONTH(DATE(ano_ref,4,1),0))&gt;0,"✔",IF(AND(ISNUMBER(Planos!$G148),IFERROR(INDEX(lst_frequencia_meses,MATCH(Planos!$E148,lst_frequencia,0)),0)&gt;0,(ano_ref*12+4)-(YEAR(Planos!$G148)*12+MONTH(Planos!$G148))&gt;0,MOD((ano_ref*12+4)-(YEAR(Planos!$G148)*12+MONTH(Planos!$G148)),MAX(1,IFERROR(INDEX(lst_frequencia_meses,MATCH(Planos!$E148,lst_frequencia,0)),0)))=0),"●","")))</f>
      </c>
      <c r="H149" s="43">
        <f>IF(NOT(Planos!$A148&lt;&gt;""),"",IF(COUNTIFS(Programação!$B$4:$B$503,Planos!$A148,Programação!$I$4:$I$503,"Concluído",Programação!$G$4:$G$503,"&gt;="&amp;DATE(ano_ref,5,1),Programação!$G$4:$G$503,"&lt;="&amp;EOMONTH(DATE(ano_ref,5,1),0))&gt;0,"✔",IF(AND(ISNUMBER(Planos!$G148),IFERROR(INDEX(lst_frequencia_meses,MATCH(Planos!$E148,lst_frequencia,0)),0)&gt;0,(ano_ref*12+5)-(YEAR(Planos!$G148)*12+MONTH(Planos!$G148))&gt;0,MOD((ano_ref*12+5)-(YEAR(Planos!$G148)*12+MONTH(Planos!$G148)),MAX(1,IFERROR(INDEX(lst_frequencia_meses,MATCH(Planos!$E148,lst_frequencia,0)),0)))=0),"●","")))</f>
      </c>
      <c r="I149" s="43">
        <f>IF(NOT(Planos!$A148&lt;&gt;""),"",IF(COUNTIFS(Programação!$B$4:$B$503,Planos!$A148,Programação!$I$4:$I$503,"Concluído",Programação!$G$4:$G$503,"&gt;="&amp;DATE(ano_ref,6,1),Programação!$G$4:$G$503,"&lt;="&amp;EOMONTH(DATE(ano_ref,6,1),0))&gt;0,"✔",IF(AND(ISNUMBER(Planos!$G148),IFERROR(INDEX(lst_frequencia_meses,MATCH(Planos!$E148,lst_frequencia,0)),0)&gt;0,(ano_ref*12+6)-(YEAR(Planos!$G148)*12+MONTH(Planos!$G148))&gt;0,MOD((ano_ref*12+6)-(YEAR(Planos!$G148)*12+MONTH(Planos!$G148)),MAX(1,IFERROR(INDEX(lst_frequencia_meses,MATCH(Planos!$E148,lst_frequencia,0)),0)))=0),"●","")))</f>
      </c>
      <c r="J149" s="43">
        <f>IF(NOT(Planos!$A148&lt;&gt;""),"",IF(COUNTIFS(Programação!$B$4:$B$503,Planos!$A148,Programação!$I$4:$I$503,"Concluído",Programação!$G$4:$G$503,"&gt;="&amp;DATE(ano_ref,7,1),Programação!$G$4:$G$503,"&lt;="&amp;EOMONTH(DATE(ano_ref,7,1),0))&gt;0,"✔",IF(AND(ISNUMBER(Planos!$G148),IFERROR(INDEX(lst_frequencia_meses,MATCH(Planos!$E148,lst_frequencia,0)),0)&gt;0,(ano_ref*12+7)-(YEAR(Planos!$G148)*12+MONTH(Planos!$G148))&gt;0,MOD((ano_ref*12+7)-(YEAR(Planos!$G148)*12+MONTH(Planos!$G148)),MAX(1,IFERROR(INDEX(lst_frequencia_meses,MATCH(Planos!$E148,lst_frequencia,0)),0)))=0),"●","")))</f>
      </c>
      <c r="K149" s="43">
        <f>IF(NOT(Planos!$A148&lt;&gt;""),"",IF(COUNTIFS(Programação!$B$4:$B$503,Planos!$A148,Programação!$I$4:$I$503,"Concluído",Programação!$G$4:$G$503,"&gt;="&amp;DATE(ano_ref,8,1),Programação!$G$4:$G$503,"&lt;="&amp;EOMONTH(DATE(ano_ref,8,1),0))&gt;0,"✔",IF(AND(ISNUMBER(Planos!$G148),IFERROR(INDEX(lst_frequencia_meses,MATCH(Planos!$E148,lst_frequencia,0)),0)&gt;0,(ano_ref*12+8)-(YEAR(Planos!$G148)*12+MONTH(Planos!$G148))&gt;0,MOD((ano_ref*12+8)-(YEAR(Planos!$G148)*12+MONTH(Planos!$G148)),MAX(1,IFERROR(INDEX(lst_frequencia_meses,MATCH(Planos!$E148,lst_frequencia,0)),0)))=0),"●","")))</f>
      </c>
      <c r="L149" s="43">
        <f>IF(NOT(Planos!$A148&lt;&gt;""),"",IF(COUNTIFS(Programação!$B$4:$B$503,Planos!$A148,Programação!$I$4:$I$503,"Concluído",Programação!$G$4:$G$503,"&gt;="&amp;DATE(ano_ref,9,1),Programação!$G$4:$G$503,"&lt;="&amp;EOMONTH(DATE(ano_ref,9,1),0))&gt;0,"✔",IF(AND(ISNUMBER(Planos!$G148),IFERROR(INDEX(lst_frequencia_meses,MATCH(Planos!$E148,lst_frequencia,0)),0)&gt;0,(ano_ref*12+9)-(YEAR(Planos!$G148)*12+MONTH(Planos!$G148))&gt;0,MOD((ano_ref*12+9)-(YEAR(Planos!$G148)*12+MONTH(Planos!$G148)),MAX(1,IFERROR(INDEX(lst_frequencia_meses,MATCH(Planos!$E148,lst_frequencia,0)),0)))=0),"●","")))</f>
      </c>
      <c r="M149" s="43">
        <f>IF(NOT(Planos!$A148&lt;&gt;""),"",IF(COUNTIFS(Programação!$B$4:$B$503,Planos!$A148,Programação!$I$4:$I$503,"Concluído",Programação!$G$4:$G$503,"&gt;="&amp;DATE(ano_ref,10,1),Programação!$G$4:$G$503,"&lt;="&amp;EOMONTH(DATE(ano_ref,10,1),0))&gt;0,"✔",IF(AND(ISNUMBER(Planos!$G148),IFERROR(INDEX(lst_frequencia_meses,MATCH(Planos!$E148,lst_frequencia,0)),0)&gt;0,(ano_ref*12+10)-(YEAR(Planos!$G148)*12+MONTH(Planos!$G148))&gt;0,MOD((ano_ref*12+10)-(YEAR(Planos!$G148)*12+MONTH(Planos!$G148)),MAX(1,IFERROR(INDEX(lst_frequencia_meses,MATCH(Planos!$E148,lst_frequencia,0)),0)))=0),"●","")))</f>
      </c>
      <c r="N149" s="43">
        <f>IF(NOT(Planos!$A148&lt;&gt;""),"",IF(COUNTIFS(Programação!$B$4:$B$503,Planos!$A148,Programação!$I$4:$I$503,"Concluído",Programação!$G$4:$G$503,"&gt;="&amp;DATE(ano_ref,11,1),Programação!$G$4:$G$503,"&lt;="&amp;EOMONTH(DATE(ano_ref,11,1),0))&gt;0,"✔",IF(AND(ISNUMBER(Planos!$G148),IFERROR(INDEX(lst_frequencia_meses,MATCH(Planos!$E148,lst_frequencia,0)),0)&gt;0,(ano_ref*12+11)-(YEAR(Planos!$G148)*12+MONTH(Planos!$G148))&gt;0,MOD((ano_ref*12+11)-(YEAR(Planos!$G148)*12+MONTH(Planos!$G148)),MAX(1,IFERROR(INDEX(lst_frequencia_meses,MATCH(Planos!$E148,lst_frequencia,0)),0)))=0),"●","")))</f>
      </c>
      <c r="O149" s="43">
        <f>IF(NOT(Planos!$A148&lt;&gt;""),"",IF(COUNTIFS(Programação!$B$4:$B$503,Planos!$A148,Programação!$I$4:$I$503,"Concluído",Programação!$G$4:$G$503,"&gt;="&amp;DATE(ano_ref,12,1),Programação!$G$4:$G$503,"&lt;="&amp;EOMONTH(DATE(ano_ref,12,1),0))&gt;0,"✔",IF(AND(ISNUMBER(Planos!$G148),IFERROR(INDEX(lst_frequencia_meses,MATCH(Planos!$E148,lst_frequencia,0)),0)&gt;0,(ano_ref*12+12)-(YEAR(Planos!$G148)*12+MONTH(Planos!$G148))&gt;0,MOD((ano_ref*12+12)-(YEAR(Planos!$G148)*12+MONTH(Planos!$G148)),MAX(1,IFERROR(INDEX(lst_frequencia_meses,MATCH(Planos!$E148,lst_frequencia,0)),0)))=0),"●","")))</f>
      </c>
      <c r="P149" s="44">
        <f>IF(COUNTIF(D149:O149,"✔")+COUNTIF(D149:O149,"●")=0,"",COUNTIF(D149:O149,"✔")/(COUNTIF(D149:O149,"✔")+COUNTIF(D149:O149,"●")))</f>
      </c>
    </row>
    <row r="150" spans="1:16" x14ac:dyDescent="0.25">
      <c r="A150" s="43">
        <f>IF(Planos!$A149&lt;&gt;"",Planos!A149&amp;"","")</f>
      </c>
      <c r="B150" s="43">
        <f>IF(Planos!$A149&lt;&gt;"",Planos!B149&amp;"","")</f>
      </c>
      <c r="C150" s="24">
        <f>IF(Planos!$A149&lt;&gt;"",Planos!C149&amp;"","")</f>
      </c>
      <c r="D150" s="43">
        <f>IF(NOT(Planos!$A149&lt;&gt;""),"",IF(COUNTIFS(Programação!$B$4:$B$503,Planos!$A149,Programação!$I$4:$I$503,"Concluído",Programação!$G$4:$G$503,"&gt;="&amp;DATE(ano_ref,1,1),Programação!$G$4:$G$503,"&lt;="&amp;EOMONTH(DATE(ano_ref,1,1),0))&gt;0,"✔",IF(AND(ISNUMBER(Planos!$G149),IFERROR(INDEX(lst_frequencia_meses,MATCH(Planos!$E149,lst_frequencia,0)),0)&gt;0,(ano_ref*12+1)-(YEAR(Planos!$G149)*12+MONTH(Planos!$G149))&gt;0,MOD((ano_ref*12+1)-(YEAR(Planos!$G149)*12+MONTH(Planos!$G149)),MAX(1,IFERROR(INDEX(lst_frequencia_meses,MATCH(Planos!$E149,lst_frequencia,0)),0)))=0),"●","")))</f>
      </c>
      <c r="E150" s="43">
        <f>IF(NOT(Planos!$A149&lt;&gt;""),"",IF(COUNTIFS(Programação!$B$4:$B$503,Planos!$A149,Programação!$I$4:$I$503,"Concluído",Programação!$G$4:$G$503,"&gt;="&amp;DATE(ano_ref,2,1),Programação!$G$4:$G$503,"&lt;="&amp;EOMONTH(DATE(ano_ref,2,1),0))&gt;0,"✔",IF(AND(ISNUMBER(Planos!$G149),IFERROR(INDEX(lst_frequencia_meses,MATCH(Planos!$E149,lst_frequencia,0)),0)&gt;0,(ano_ref*12+2)-(YEAR(Planos!$G149)*12+MONTH(Planos!$G149))&gt;0,MOD((ano_ref*12+2)-(YEAR(Planos!$G149)*12+MONTH(Planos!$G149)),MAX(1,IFERROR(INDEX(lst_frequencia_meses,MATCH(Planos!$E149,lst_frequencia,0)),0)))=0),"●","")))</f>
      </c>
      <c r="F150" s="43">
        <f>IF(NOT(Planos!$A149&lt;&gt;""),"",IF(COUNTIFS(Programação!$B$4:$B$503,Planos!$A149,Programação!$I$4:$I$503,"Concluído",Programação!$G$4:$G$503,"&gt;="&amp;DATE(ano_ref,3,1),Programação!$G$4:$G$503,"&lt;="&amp;EOMONTH(DATE(ano_ref,3,1),0))&gt;0,"✔",IF(AND(ISNUMBER(Planos!$G149),IFERROR(INDEX(lst_frequencia_meses,MATCH(Planos!$E149,lst_frequencia,0)),0)&gt;0,(ano_ref*12+3)-(YEAR(Planos!$G149)*12+MONTH(Planos!$G149))&gt;0,MOD((ano_ref*12+3)-(YEAR(Planos!$G149)*12+MONTH(Planos!$G149)),MAX(1,IFERROR(INDEX(lst_frequencia_meses,MATCH(Planos!$E149,lst_frequencia,0)),0)))=0),"●","")))</f>
      </c>
      <c r="G150" s="43">
        <f>IF(NOT(Planos!$A149&lt;&gt;""),"",IF(COUNTIFS(Programação!$B$4:$B$503,Planos!$A149,Programação!$I$4:$I$503,"Concluído",Programação!$G$4:$G$503,"&gt;="&amp;DATE(ano_ref,4,1),Programação!$G$4:$G$503,"&lt;="&amp;EOMONTH(DATE(ano_ref,4,1),0))&gt;0,"✔",IF(AND(ISNUMBER(Planos!$G149),IFERROR(INDEX(lst_frequencia_meses,MATCH(Planos!$E149,lst_frequencia,0)),0)&gt;0,(ano_ref*12+4)-(YEAR(Planos!$G149)*12+MONTH(Planos!$G149))&gt;0,MOD((ano_ref*12+4)-(YEAR(Planos!$G149)*12+MONTH(Planos!$G149)),MAX(1,IFERROR(INDEX(lst_frequencia_meses,MATCH(Planos!$E149,lst_frequencia,0)),0)))=0),"●","")))</f>
      </c>
      <c r="H150" s="43">
        <f>IF(NOT(Planos!$A149&lt;&gt;""),"",IF(COUNTIFS(Programação!$B$4:$B$503,Planos!$A149,Programação!$I$4:$I$503,"Concluído",Programação!$G$4:$G$503,"&gt;="&amp;DATE(ano_ref,5,1),Programação!$G$4:$G$503,"&lt;="&amp;EOMONTH(DATE(ano_ref,5,1),0))&gt;0,"✔",IF(AND(ISNUMBER(Planos!$G149),IFERROR(INDEX(lst_frequencia_meses,MATCH(Planos!$E149,lst_frequencia,0)),0)&gt;0,(ano_ref*12+5)-(YEAR(Planos!$G149)*12+MONTH(Planos!$G149))&gt;0,MOD((ano_ref*12+5)-(YEAR(Planos!$G149)*12+MONTH(Planos!$G149)),MAX(1,IFERROR(INDEX(lst_frequencia_meses,MATCH(Planos!$E149,lst_frequencia,0)),0)))=0),"●","")))</f>
      </c>
      <c r="I150" s="43">
        <f>IF(NOT(Planos!$A149&lt;&gt;""),"",IF(COUNTIFS(Programação!$B$4:$B$503,Planos!$A149,Programação!$I$4:$I$503,"Concluído",Programação!$G$4:$G$503,"&gt;="&amp;DATE(ano_ref,6,1),Programação!$G$4:$G$503,"&lt;="&amp;EOMONTH(DATE(ano_ref,6,1),0))&gt;0,"✔",IF(AND(ISNUMBER(Planos!$G149),IFERROR(INDEX(lst_frequencia_meses,MATCH(Planos!$E149,lst_frequencia,0)),0)&gt;0,(ano_ref*12+6)-(YEAR(Planos!$G149)*12+MONTH(Planos!$G149))&gt;0,MOD((ano_ref*12+6)-(YEAR(Planos!$G149)*12+MONTH(Planos!$G149)),MAX(1,IFERROR(INDEX(lst_frequencia_meses,MATCH(Planos!$E149,lst_frequencia,0)),0)))=0),"●","")))</f>
      </c>
      <c r="J150" s="43">
        <f>IF(NOT(Planos!$A149&lt;&gt;""),"",IF(COUNTIFS(Programação!$B$4:$B$503,Planos!$A149,Programação!$I$4:$I$503,"Concluído",Programação!$G$4:$G$503,"&gt;="&amp;DATE(ano_ref,7,1),Programação!$G$4:$G$503,"&lt;="&amp;EOMONTH(DATE(ano_ref,7,1),0))&gt;0,"✔",IF(AND(ISNUMBER(Planos!$G149),IFERROR(INDEX(lst_frequencia_meses,MATCH(Planos!$E149,lst_frequencia,0)),0)&gt;0,(ano_ref*12+7)-(YEAR(Planos!$G149)*12+MONTH(Planos!$G149))&gt;0,MOD((ano_ref*12+7)-(YEAR(Planos!$G149)*12+MONTH(Planos!$G149)),MAX(1,IFERROR(INDEX(lst_frequencia_meses,MATCH(Planos!$E149,lst_frequencia,0)),0)))=0),"●","")))</f>
      </c>
      <c r="K150" s="43">
        <f>IF(NOT(Planos!$A149&lt;&gt;""),"",IF(COUNTIFS(Programação!$B$4:$B$503,Planos!$A149,Programação!$I$4:$I$503,"Concluído",Programação!$G$4:$G$503,"&gt;="&amp;DATE(ano_ref,8,1),Programação!$G$4:$G$503,"&lt;="&amp;EOMONTH(DATE(ano_ref,8,1),0))&gt;0,"✔",IF(AND(ISNUMBER(Planos!$G149),IFERROR(INDEX(lst_frequencia_meses,MATCH(Planos!$E149,lst_frequencia,0)),0)&gt;0,(ano_ref*12+8)-(YEAR(Planos!$G149)*12+MONTH(Planos!$G149))&gt;0,MOD((ano_ref*12+8)-(YEAR(Planos!$G149)*12+MONTH(Planos!$G149)),MAX(1,IFERROR(INDEX(lst_frequencia_meses,MATCH(Planos!$E149,lst_frequencia,0)),0)))=0),"●","")))</f>
      </c>
      <c r="L150" s="43">
        <f>IF(NOT(Planos!$A149&lt;&gt;""),"",IF(COUNTIFS(Programação!$B$4:$B$503,Planos!$A149,Programação!$I$4:$I$503,"Concluído",Programação!$G$4:$G$503,"&gt;="&amp;DATE(ano_ref,9,1),Programação!$G$4:$G$503,"&lt;="&amp;EOMONTH(DATE(ano_ref,9,1),0))&gt;0,"✔",IF(AND(ISNUMBER(Planos!$G149),IFERROR(INDEX(lst_frequencia_meses,MATCH(Planos!$E149,lst_frequencia,0)),0)&gt;0,(ano_ref*12+9)-(YEAR(Planos!$G149)*12+MONTH(Planos!$G149))&gt;0,MOD((ano_ref*12+9)-(YEAR(Planos!$G149)*12+MONTH(Planos!$G149)),MAX(1,IFERROR(INDEX(lst_frequencia_meses,MATCH(Planos!$E149,lst_frequencia,0)),0)))=0),"●","")))</f>
      </c>
      <c r="M150" s="43">
        <f>IF(NOT(Planos!$A149&lt;&gt;""),"",IF(COUNTIFS(Programação!$B$4:$B$503,Planos!$A149,Programação!$I$4:$I$503,"Concluído",Programação!$G$4:$G$503,"&gt;="&amp;DATE(ano_ref,10,1),Programação!$G$4:$G$503,"&lt;="&amp;EOMONTH(DATE(ano_ref,10,1),0))&gt;0,"✔",IF(AND(ISNUMBER(Planos!$G149),IFERROR(INDEX(lst_frequencia_meses,MATCH(Planos!$E149,lst_frequencia,0)),0)&gt;0,(ano_ref*12+10)-(YEAR(Planos!$G149)*12+MONTH(Planos!$G149))&gt;0,MOD((ano_ref*12+10)-(YEAR(Planos!$G149)*12+MONTH(Planos!$G149)),MAX(1,IFERROR(INDEX(lst_frequencia_meses,MATCH(Planos!$E149,lst_frequencia,0)),0)))=0),"●","")))</f>
      </c>
      <c r="N150" s="43">
        <f>IF(NOT(Planos!$A149&lt;&gt;""),"",IF(COUNTIFS(Programação!$B$4:$B$503,Planos!$A149,Programação!$I$4:$I$503,"Concluído",Programação!$G$4:$G$503,"&gt;="&amp;DATE(ano_ref,11,1),Programação!$G$4:$G$503,"&lt;="&amp;EOMONTH(DATE(ano_ref,11,1),0))&gt;0,"✔",IF(AND(ISNUMBER(Planos!$G149),IFERROR(INDEX(lst_frequencia_meses,MATCH(Planos!$E149,lst_frequencia,0)),0)&gt;0,(ano_ref*12+11)-(YEAR(Planos!$G149)*12+MONTH(Planos!$G149))&gt;0,MOD((ano_ref*12+11)-(YEAR(Planos!$G149)*12+MONTH(Planos!$G149)),MAX(1,IFERROR(INDEX(lst_frequencia_meses,MATCH(Planos!$E149,lst_frequencia,0)),0)))=0),"●","")))</f>
      </c>
      <c r="O150" s="43">
        <f>IF(NOT(Planos!$A149&lt;&gt;""),"",IF(COUNTIFS(Programação!$B$4:$B$503,Planos!$A149,Programação!$I$4:$I$503,"Concluído",Programação!$G$4:$G$503,"&gt;="&amp;DATE(ano_ref,12,1),Programação!$G$4:$G$503,"&lt;="&amp;EOMONTH(DATE(ano_ref,12,1),0))&gt;0,"✔",IF(AND(ISNUMBER(Planos!$G149),IFERROR(INDEX(lst_frequencia_meses,MATCH(Planos!$E149,lst_frequencia,0)),0)&gt;0,(ano_ref*12+12)-(YEAR(Planos!$G149)*12+MONTH(Planos!$G149))&gt;0,MOD((ano_ref*12+12)-(YEAR(Planos!$G149)*12+MONTH(Planos!$G149)),MAX(1,IFERROR(INDEX(lst_frequencia_meses,MATCH(Planos!$E149,lst_frequencia,0)),0)))=0),"●","")))</f>
      </c>
      <c r="P150" s="44">
        <f>IF(COUNTIF(D150:O150,"✔")+COUNTIF(D150:O150,"●")=0,"",COUNTIF(D150:O150,"✔")/(COUNTIF(D150:O150,"✔")+COUNTIF(D150:O150,"●")))</f>
      </c>
    </row>
    <row r="151" spans="1:16" x14ac:dyDescent="0.25">
      <c r="A151" s="43">
        <f>IF(Planos!$A150&lt;&gt;"",Planos!A150&amp;"","")</f>
      </c>
      <c r="B151" s="43">
        <f>IF(Planos!$A150&lt;&gt;"",Planos!B150&amp;"","")</f>
      </c>
      <c r="C151" s="24">
        <f>IF(Planos!$A150&lt;&gt;"",Planos!C150&amp;"","")</f>
      </c>
      <c r="D151" s="43">
        <f>IF(NOT(Planos!$A150&lt;&gt;""),"",IF(COUNTIFS(Programação!$B$4:$B$503,Planos!$A150,Programação!$I$4:$I$503,"Concluído",Programação!$G$4:$G$503,"&gt;="&amp;DATE(ano_ref,1,1),Programação!$G$4:$G$503,"&lt;="&amp;EOMONTH(DATE(ano_ref,1,1),0))&gt;0,"✔",IF(AND(ISNUMBER(Planos!$G150),IFERROR(INDEX(lst_frequencia_meses,MATCH(Planos!$E150,lst_frequencia,0)),0)&gt;0,(ano_ref*12+1)-(YEAR(Planos!$G150)*12+MONTH(Planos!$G150))&gt;0,MOD((ano_ref*12+1)-(YEAR(Planos!$G150)*12+MONTH(Planos!$G150)),MAX(1,IFERROR(INDEX(lst_frequencia_meses,MATCH(Planos!$E150,lst_frequencia,0)),0)))=0),"●","")))</f>
      </c>
      <c r="E151" s="43">
        <f>IF(NOT(Planos!$A150&lt;&gt;""),"",IF(COUNTIFS(Programação!$B$4:$B$503,Planos!$A150,Programação!$I$4:$I$503,"Concluído",Programação!$G$4:$G$503,"&gt;="&amp;DATE(ano_ref,2,1),Programação!$G$4:$G$503,"&lt;="&amp;EOMONTH(DATE(ano_ref,2,1),0))&gt;0,"✔",IF(AND(ISNUMBER(Planos!$G150),IFERROR(INDEX(lst_frequencia_meses,MATCH(Planos!$E150,lst_frequencia,0)),0)&gt;0,(ano_ref*12+2)-(YEAR(Planos!$G150)*12+MONTH(Planos!$G150))&gt;0,MOD((ano_ref*12+2)-(YEAR(Planos!$G150)*12+MONTH(Planos!$G150)),MAX(1,IFERROR(INDEX(lst_frequencia_meses,MATCH(Planos!$E150,lst_frequencia,0)),0)))=0),"●","")))</f>
      </c>
      <c r="F151" s="43">
        <f>IF(NOT(Planos!$A150&lt;&gt;""),"",IF(COUNTIFS(Programação!$B$4:$B$503,Planos!$A150,Programação!$I$4:$I$503,"Concluído",Programação!$G$4:$G$503,"&gt;="&amp;DATE(ano_ref,3,1),Programação!$G$4:$G$503,"&lt;="&amp;EOMONTH(DATE(ano_ref,3,1),0))&gt;0,"✔",IF(AND(ISNUMBER(Planos!$G150),IFERROR(INDEX(lst_frequencia_meses,MATCH(Planos!$E150,lst_frequencia,0)),0)&gt;0,(ano_ref*12+3)-(YEAR(Planos!$G150)*12+MONTH(Planos!$G150))&gt;0,MOD((ano_ref*12+3)-(YEAR(Planos!$G150)*12+MONTH(Planos!$G150)),MAX(1,IFERROR(INDEX(lst_frequencia_meses,MATCH(Planos!$E150,lst_frequencia,0)),0)))=0),"●","")))</f>
      </c>
      <c r="G151" s="43">
        <f>IF(NOT(Planos!$A150&lt;&gt;""),"",IF(COUNTIFS(Programação!$B$4:$B$503,Planos!$A150,Programação!$I$4:$I$503,"Concluído",Programação!$G$4:$G$503,"&gt;="&amp;DATE(ano_ref,4,1),Programação!$G$4:$G$503,"&lt;="&amp;EOMONTH(DATE(ano_ref,4,1),0))&gt;0,"✔",IF(AND(ISNUMBER(Planos!$G150),IFERROR(INDEX(lst_frequencia_meses,MATCH(Planos!$E150,lst_frequencia,0)),0)&gt;0,(ano_ref*12+4)-(YEAR(Planos!$G150)*12+MONTH(Planos!$G150))&gt;0,MOD((ano_ref*12+4)-(YEAR(Planos!$G150)*12+MONTH(Planos!$G150)),MAX(1,IFERROR(INDEX(lst_frequencia_meses,MATCH(Planos!$E150,lst_frequencia,0)),0)))=0),"●","")))</f>
      </c>
      <c r="H151" s="43">
        <f>IF(NOT(Planos!$A150&lt;&gt;""),"",IF(COUNTIFS(Programação!$B$4:$B$503,Planos!$A150,Programação!$I$4:$I$503,"Concluído",Programação!$G$4:$G$503,"&gt;="&amp;DATE(ano_ref,5,1),Programação!$G$4:$G$503,"&lt;="&amp;EOMONTH(DATE(ano_ref,5,1),0))&gt;0,"✔",IF(AND(ISNUMBER(Planos!$G150),IFERROR(INDEX(lst_frequencia_meses,MATCH(Planos!$E150,lst_frequencia,0)),0)&gt;0,(ano_ref*12+5)-(YEAR(Planos!$G150)*12+MONTH(Planos!$G150))&gt;0,MOD((ano_ref*12+5)-(YEAR(Planos!$G150)*12+MONTH(Planos!$G150)),MAX(1,IFERROR(INDEX(lst_frequencia_meses,MATCH(Planos!$E150,lst_frequencia,0)),0)))=0),"●","")))</f>
      </c>
      <c r="I151" s="43">
        <f>IF(NOT(Planos!$A150&lt;&gt;""),"",IF(COUNTIFS(Programação!$B$4:$B$503,Planos!$A150,Programação!$I$4:$I$503,"Concluído",Programação!$G$4:$G$503,"&gt;="&amp;DATE(ano_ref,6,1),Programação!$G$4:$G$503,"&lt;="&amp;EOMONTH(DATE(ano_ref,6,1),0))&gt;0,"✔",IF(AND(ISNUMBER(Planos!$G150),IFERROR(INDEX(lst_frequencia_meses,MATCH(Planos!$E150,lst_frequencia,0)),0)&gt;0,(ano_ref*12+6)-(YEAR(Planos!$G150)*12+MONTH(Planos!$G150))&gt;0,MOD((ano_ref*12+6)-(YEAR(Planos!$G150)*12+MONTH(Planos!$G150)),MAX(1,IFERROR(INDEX(lst_frequencia_meses,MATCH(Planos!$E150,lst_frequencia,0)),0)))=0),"●","")))</f>
      </c>
      <c r="J151" s="43">
        <f>IF(NOT(Planos!$A150&lt;&gt;""),"",IF(COUNTIFS(Programação!$B$4:$B$503,Planos!$A150,Programação!$I$4:$I$503,"Concluído",Programação!$G$4:$G$503,"&gt;="&amp;DATE(ano_ref,7,1),Programação!$G$4:$G$503,"&lt;="&amp;EOMONTH(DATE(ano_ref,7,1),0))&gt;0,"✔",IF(AND(ISNUMBER(Planos!$G150),IFERROR(INDEX(lst_frequencia_meses,MATCH(Planos!$E150,lst_frequencia,0)),0)&gt;0,(ano_ref*12+7)-(YEAR(Planos!$G150)*12+MONTH(Planos!$G150))&gt;0,MOD((ano_ref*12+7)-(YEAR(Planos!$G150)*12+MONTH(Planos!$G150)),MAX(1,IFERROR(INDEX(lst_frequencia_meses,MATCH(Planos!$E150,lst_frequencia,0)),0)))=0),"●","")))</f>
      </c>
      <c r="K151" s="43">
        <f>IF(NOT(Planos!$A150&lt;&gt;""),"",IF(COUNTIFS(Programação!$B$4:$B$503,Planos!$A150,Programação!$I$4:$I$503,"Concluído",Programação!$G$4:$G$503,"&gt;="&amp;DATE(ano_ref,8,1),Programação!$G$4:$G$503,"&lt;="&amp;EOMONTH(DATE(ano_ref,8,1),0))&gt;0,"✔",IF(AND(ISNUMBER(Planos!$G150),IFERROR(INDEX(lst_frequencia_meses,MATCH(Planos!$E150,lst_frequencia,0)),0)&gt;0,(ano_ref*12+8)-(YEAR(Planos!$G150)*12+MONTH(Planos!$G150))&gt;0,MOD((ano_ref*12+8)-(YEAR(Planos!$G150)*12+MONTH(Planos!$G150)),MAX(1,IFERROR(INDEX(lst_frequencia_meses,MATCH(Planos!$E150,lst_frequencia,0)),0)))=0),"●","")))</f>
      </c>
      <c r="L151" s="43">
        <f>IF(NOT(Planos!$A150&lt;&gt;""),"",IF(COUNTIFS(Programação!$B$4:$B$503,Planos!$A150,Programação!$I$4:$I$503,"Concluído",Programação!$G$4:$G$503,"&gt;="&amp;DATE(ano_ref,9,1),Programação!$G$4:$G$503,"&lt;="&amp;EOMONTH(DATE(ano_ref,9,1),0))&gt;0,"✔",IF(AND(ISNUMBER(Planos!$G150),IFERROR(INDEX(lst_frequencia_meses,MATCH(Planos!$E150,lst_frequencia,0)),0)&gt;0,(ano_ref*12+9)-(YEAR(Planos!$G150)*12+MONTH(Planos!$G150))&gt;0,MOD((ano_ref*12+9)-(YEAR(Planos!$G150)*12+MONTH(Planos!$G150)),MAX(1,IFERROR(INDEX(lst_frequencia_meses,MATCH(Planos!$E150,lst_frequencia,0)),0)))=0),"●","")))</f>
      </c>
      <c r="M151" s="43">
        <f>IF(NOT(Planos!$A150&lt;&gt;""),"",IF(COUNTIFS(Programação!$B$4:$B$503,Planos!$A150,Programação!$I$4:$I$503,"Concluído",Programação!$G$4:$G$503,"&gt;="&amp;DATE(ano_ref,10,1),Programação!$G$4:$G$503,"&lt;="&amp;EOMONTH(DATE(ano_ref,10,1),0))&gt;0,"✔",IF(AND(ISNUMBER(Planos!$G150),IFERROR(INDEX(lst_frequencia_meses,MATCH(Planos!$E150,lst_frequencia,0)),0)&gt;0,(ano_ref*12+10)-(YEAR(Planos!$G150)*12+MONTH(Planos!$G150))&gt;0,MOD((ano_ref*12+10)-(YEAR(Planos!$G150)*12+MONTH(Planos!$G150)),MAX(1,IFERROR(INDEX(lst_frequencia_meses,MATCH(Planos!$E150,lst_frequencia,0)),0)))=0),"●","")))</f>
      </c>
      <c r="N151" s="43">
        <f>IF(NOT(Planos!$A150&lt;&gt;""),"",IF(COUNTIFS(Programação!$B$4:$B$503,Planos!$A150,Programação!$I$4:$I$503,"Concluído",Programação!$G$4:$G$503,"&gt;="&amp;DATE(ano_ref,11,1),Programação!$G$4:$G$503,"&lt;="&amp;EOMONTH(DATE(ano_ref,11,1),0))&gt;0,"✔",IF(AND(ISNUMBER(Planos!$G150),IFERROR(INDEX(lst_frequencia_meses,MATCH(Planos!$E150,lst_frequencia,0)),0)&gt;0,(ano_ref*12+11)-(YEAR(Planos!$G150)*12+MONTH(Planos!$G150))&gt;0,MOD((ano_ref*12+11)-(YEAR(Planos!$G150)*12+MONTH(Planos!$G150)),MAX(1,IFERROR(INDEX(lst_frequencia_meses,MATCH(Planos!$E150,lst_frequencia,0)),0)))=0),"●","")))</f>
      </c>
      <c r="O151" s="43">
        <f>IF(NOT(Planos!$A150&lt;&gt;""),"",IF(COUNTIFS(Programação!$B$4:$B$503,Planos!$A150,Programação!$I$4:$I$503,"Concluído",Programação!$G$4:$G$503,"&gt;="&amp;DATE(ano_ref,12,1),Programação!$G$4:$G$503,"&lt;="&amp;EOMONTH(DATE(ano_ref,12,1),0))&gt;0,"✔",IF(AND(ISNUMBER(Planos!$G150),IFERROR(INDEX(lst_frequencia_meses,MATCH(Planos!$E150,lst_frequencia,0)),0)&gt;0,(ano_ref*12+12)-(YEAR(Planos!$G150)*12+MONTH(Planos!$G150))&gt;0,MOD((ano_ref*12+12)-(YEAR(Planos!$G150)*12+MONTH(Planos!$G150)),MAX(1,IFERROR(INDEX(lst_frequencia_meses,MATCH(Planos!$E150,lst_frequencia,0)),0)))=0),"●","")))</f>
      </c>
      <c r="P151" s="44">
        <f>IF(COUNTIF(D151:O151,"✔")+COUNTIF(D151:O151,"●")=0,"",COUNTIF(D151:O151,"✔")/(COUNTIF(D151:O151,"✔")+COUNTIF(D151:O151,"●")))</f>
      </c>
    </row>
    <row r="152" spans="1:16" x14ac:dyDescent="0.25">
      <c r="A152" s="43">
        <f>IF(Planos!$A151&lt;&gt;"",Planos!A151&amp;"","")</f>
      </c>
      <c r="B152" s="43">
        <f>IF(Planos!$A151&lt;&gt;"",Planos!B151&amp;"","")</f>
      </c>
      <c r="C152" s="24">
        <f>IF(Planos!$A151&lt;&gt;"",Planos!C151&amp;"","")</f>
      </c>
      <c r="D152" s="43">
        <f>IF(NOT(Planos!$A151&lt;&gt;""),"",IF(COUNTIFS(Programação!$B$4:$B$503,Planos!$A151,Programação!$I$4:$I$503,"Concluído",Programação!$G$4:$G$503,"&gt;="&amp;DATE(ano_ref,1,1),Programação!$G$4:$G$503,"&lt;="&amp;EOMONTH(DATE(ano_ref,1,1),0))&gt;0,"✔",IF(AND(ISNUMBER(Planos!$G151),IFERROR(INDEX(lst_frequencia_meses,MATCH(Planos!$E151,lst_frequencia,0)),0)&gt;0,(ano_ref*12+1)-(YEAR(Planos!$G151)*12+MONTH(Planos!$G151))&gt;0,MOD((ano_ref*12+1)-(YEAR(Planos!$G151)*12+MONTH(Planos!$G151)),MAX(1,IFERROR(INDEX(lst_frequencia_meses,MATCH(Planos!$E151,lst_frequencia,0)),0)))=0),"●","")))</f>
      </c>
      <c r="E152" s="43">
        <f>IF(NOT(Planos!$A151&lt;&gt;""),"",IF(COUNTIFS(Programação!$B$4:$B$503,Planos!$A151,Programação!$I$4:$I$503,"Concluído",Programação!$G$4:$G$503,"&gt;="&amp;DATE(ano_ref,2,1),Programação!$G$4:$G$503,"&lt;="&amp;EOMONTH(DATE(ano_ref,2,1),0))&gt;0,"✔",IF(AND(ISNUMBER(Planos!$G151),IFERROR(INDEX(lst_frequencia_meses,MATCH(Planos!$E151,lst_frequencia,0)),0)&gt;0,(ano_ref*12+2)-(YEAR(Planos!$G151)*12+MONTH(Planos!$G151))&gt;0,MOD((ano_ref*12+2)-(YEAR(Planos!$G151)*12+MONTH(Planos!$G151)),MAX(1,IFERROR(INDEX(lst_frequencia_meses,MATCH(Planos!$E151,lst_frequencia,0)),0)))=0),"●","")))</f>
      </c>
      <c r="F152" s="43">
        <f>IF(NOT(Planos!$A151&lt;&gt;""),"",IF(COUNTIFS(Programação!$B$4:$B$503,Planos!$A151,Programação!$I$4:$I$503,"Concluído",Programação!$G$4:$G$503,"&gt;="&amp;DATE(ano_ref,3,1),Programação!$G$4:$G$503,"&lt;="&amp;EOMONTH(DATE(ano_ref,3,1),0))&gt;0,"✔",IF(AND(ISNUMBER(Planos!$G151),IFERROR(INDEX(lst_frequencia_meses,MATCH(Planos!$E151,lst_frequencia,0)),0)&gt;0,(ano_ref*12+3)-(YEAR(Planos!$G151)*12+MONTH(Planos!$G151))&gt;0,MOD((ano_ref*12+3)-(YEAR(Planos!$G151)*12+MONTH(Planos!$G151)),MAX(1,IFERROR(INDEX(lst_frequencia_meses,MATCH(Planos!$E151,lst_frequencia,0)),0)))=0),"●","")))</f>
      </c>
      <c r="G152" s="43">
        <f>IF(NOT(Planos!$A151&lt;&gt;""),"",IF(COUNTIFS(Programação!$B$4:$B$503,Planos!$A151,Programação!$I$4:$I$503,"Concluído",Programação!$G$4:$G$503,"&gt;="&amp;DATE(ano_ref,4,1),Programação!$G$4:$G$503,"&lt;="&amp;EOMONTH(DATE(ano_ref,4,1),0))&gt;0,"✔",IF(AND(ISNUMBER(Planos!$G151),IFERROR(INDEX(lst_frequencia_meses,MATCH(Planos!$E151,lst_frequencia,0)),0)&gt;0,(ano_ref*12+4)-(YEAR(Planos!$G151)*12+MONTH(Planos!$G151))&gt;0,MOD((ano_ref*12+4)-(YEAR(Planos!$G151)*12+MONTH(Planos!$G151)),MAX(1,IFERROR(INDEX(lst_frequencia_meses,MATCH(Planos!$E151,lst_frequencia,0)),0)))=0),"●","")))</f>
      </c>
      <c r="H152" s="43">
        <f>IF(NOT(Planos!$A151&lt;&gt;""),"",IF(COUNTIFS(Programação!$B$4:$B$503,Planos!$A151,Programação!$I$4:$I$503,"Concluído",Programação!$G$4:$G$503,"&gt;="&amp;DATE(ano_ref,5,1),Programação!$G$4:$G$503,"&lt;="&amp;EOMONTH(DATE(ano_ref,5,1),0))&gt;0,"✔",IF(AND(ISNUMBER(Planos!$G151),IFERROR(INDEX(lst_frequencia_meses,MATCH(Planos!$E151,lst_frequencia,0)),0)&gt;0,(ano_ref*12+5)-(YEAR(Planos!$G151)*12+MONTH(Planos!$G151))&gt;0,MOD((ano_ref*12+5)-(YEAR(Planos!$G151)*12+MONTH(Planos!$G151)),MAX(1,IFERROR(INDEX(lst_frequencia_meses,MATCH(Planos!$E151,lst_frequencia,0)),0)))=0),"●","")))</f>
      </c>
      <c r="I152" s="43">
        <f>IF(NOT(Planos!$A151&lt;&gt;""),"",IF(COUNTIFS(Programação!$B$4:$B$503,Planos!$A151,Programação!$I$4:$I$503,"Concluído",Programação!$G$4:$G$503,"&gt;="&amp;DATE(ano_ref,6,1),Programação!$G$4:$G$503,"&lt;="&amp;EOMONTH(DATE(ano_ref,6,1),0))&gt;0,"✔",IF(AND(ISNUMBER(Planos!$G151),IFERROR(INDEX(lst_frequencia_meses,MATCH(Planos!$E151,lst_frequencia,0)),0)&gt;0,(ano_ref*12+6)-(YEAR(Planos!$G151)*12+MONTH(Planos!$G151))&gt;0,MOD((ano_ref*12+6)-(YEAR(Planos!$G151)*12+MONTH(Planos!$G151)),MAX(1,IFERROR(INDEX(lst_frequencia_meses,MATCH(Planos!$E151,lst_frequencia,0)),0)))=0),"●","")))</f>
      </c>
      <c r="J152" s="43">
        <f>IF(NOT(Planos!$A151&lt;&gt;""),"",IF(COUNTIFS(Programação!$B$4:$B$503,Planos!$A151,Programação!$I$4:$I$503,"Concluído",Programação!$G$4:$G$503,"&gt;="&amp;DATE(ano_ref,7,1),Programação!$G$4:$G$503,"&lt;="&amp;EOMONTH(DATE(ano_ref,7,1),0))&gt;0,"✔",IF(AND(ISNUMBER(Planos!$G151),IFERROR(INDEX(lst_frequencia_meses,MATCH(Planos!$E151,lst_frequencia,0)),0)&gt;0,(ano_ref*12+7)-(YEAR(Planos!$G151)*12+MONTH(Planos!$G151))&gt;0,MOD((ano_ref*12+7)-(YEAR(Planos!$G151)*12+MONTH(Planos!$G151)),MAX(1,IFERROR(INDEX(lst_frequencia_meses,MATCH(Planos!$E151,lst_frequencia,0)),0)))=0),"●","")))</f>
      </c>
      <c r="K152" s="43">
        <f>IF(NOT(Planos!$A151&lt;&gt;""),"",IF(COUNTIFS(Programação!$B$4:$B$503,Planos!$A151,Programação!$I$4:$I$503,"Concluído",Programação!$G$4:$G$503,"&gt;="&amp;DATE(ano_ref,8,1),Programação!$G$4:$G$503,"&lt;="&amp;EOMONTH(DATE(ano_ref,8,1),0))&gt;0,"✔",IF(AND(ISNUMBER(Planos!$G151),IFERROR(INDEX(lst_frequencia_meses,MATCH(Planos!$E151,lst_frequencia,0)),0)&gt;0,(ano_ref*12+8)-(YEAR(Planos!$G151)*12+MONTH(Planos!$G151))&gt;0,MOD((ano_ref*12+8)-(YEAR(Planos!$G151)*12+MONTH(Planos!$G151)),MAX(1,IFERROR(INDEX(lst_frequencia_meses,MATCH(Planos!$E151,lst_frequencia,0)),0)))=0),"●","")))</f>
      </c>
      <c r="L152" s="43">
        <f>IF(NOT(Planos!$A151&lt;&gt;""),"",IF(COUNTIFS(Programação!$B$4:$B$503,Planos!$A151,Programação!$I$4:$I$503,"Concluído",Programação!$G$4:$G$503,"&gt;="&amp;DATE(ano_ref,9,1),Programação!$G$4:$G$503,"&lt;="&amp;EOMONTH(DATE(ano_ref,9,1),0))&gt;0,"✔",IF(AND(ISNUMBER(Planos!$G151),IFERROR(INDEX(lst_frequencia_meses,MATCH(Planos!$E151,lst_frequencia,0)),0)&gt;0,(ano_ref*12+9)-(YEAR(Planos!$G151)*12+MONTH(Planos!$G151))&gt;0,MOD((ano_ref*12+9)-(YEAR(Planos!$G151)*12+MONTH(Planos!$G151)),MAX(1,IFERROR(INDEX(lst_frequencia_meses,MATCH(Planos!$E151,lst_frequencia,0)),0)))=0),"●","")))</f>
      </c>
      <c r="M152" s="43">
        <f>IF(NOT(Planos!$A151&lt;&gt;""),"",IF(COUNTIFS(Programação!$B$4:$B$503,Planos!$A151,Programação!$I$4:$I$503,"Concluído",Programação!$G$4:$G$503,"&gt;="&amp;DATE(ano_ref,10,1),Programação!$G$4:$G$503,"&lt;="&amp;EOMONTH(DATE(ano_ref,10,1),0))&gt;0,"✔",IF(AND(ISNUMBER(Planos!$G151),IFERROR(INDEX(lst_frequencia_meses,MATCH(Planos!$E151,lst_frequencia,0)),0)&gt;0,(ano_ref*12+10)-(YEAR(Planos!$G151)*12+MONTH(Planos!$G151))&gt;0,MOD((ano_ref*12+10)-(YEAR(Planos!$G151)*12+MONTH(Planos!$G151)),MAX(1,IFERROR(INDEX(lst_frequencia_meses,MATCH(Planos!$E151,lst_frequencia,0)),0)))=0),"●","")))</f>
      </c>
      <c r="N152" s="43">
        <f>IF(NOT(Planos!$A151&lt;&gt;""),"",IF(COUNTIFS(Programação!$B$4:$B$503,Planos!$A151,Programação!$I$4:$I$503,"Concluído",Programação!$G$4:$G$503,"&gt;="&amp;DATE(ano_ref,11,1),Programação!$G$4:$G$503,"&lt;="&amp;EOMONTH(DATE(ano_ref,11,1),0))&gt;0,"✔",IF(AND(ISNUMBER(Planos!$G151),IFERROR(INDEX(lst_frequencia_meses,MATCH(Planos!$E151,lst_frequencia,0)),0)&gt;0,(ano_ref*12+11)-(YEAR(Planos!$G151)*12+MONTH(Planos!$G151))&gt;0,MOD((ano_ref*12+11)-(YEAR(Planos!$G151)*12+MONTH(Planos!$G151)),MAX(1,IFERROR(INDEX(lst_frequencia_meses,MATCH(Planos!$E151,lst_frequencia,0)),0)))=0),"●","")))</f>
      </c>
      <c r="O152" s="43">
        <f>IF(NOT(Planos!$A151&lt;&gt;""),"",IF(COUNTIFS(Programação!$B$4:$B$503,Planos!$A151,Programação!$I$4:$I$503,"Concluído",Programação!$G$4:$G$503,"&gt;="&amp;DATE(ano_ref,12,1),Programação!$G$4:$G$503,"&lt;="&amp;EOMONTH(DATE(ano_ref,12,1),0))&gt;0,"✔",IF(AND(ISNUMBER(Planos!$G151),IFERROR(INDEX(lst_frequencia_meses,MATCH(Planos!$E151,lst_frequencia,0)),0)&gt;0,(ano_ref*12+12)-(YEAR(Planos!$G151)*12+MONTH(Planos!$G151))&gt;0,MOD((ano_ref*12+12)-(YEAR(Planos!$G151)*12+MONTH(Planos!$G151)),MAX(1,IFERROR(INDEX(lst_frequencia_meses,MATCH(Planos!$E151,lst_frequencia,0)),0)))=0),"●","")))</f>
      </c>
      <c r="P152" s="44">
        <f>IF(COUNTIF(D152:O152,"✔")+COUNTIF(D152:O152,"●")=0,"",COUNTIF(D152:O152,"✔")/(COUNTIF(D152:O152,"✔")+COUNTIF(D152:O152,"●")))</f>
      </c>
    </row>
    <row r="153" spans="1:16" x14ac:dyDescent="0.25">
      <c r="A153" s="43">
        <f>IF(Planos!$A152&lt;&gt;"",Planos!A152&amp;"","")</f>
      </c>
      <c r="B153" s="43">
        <f>IF(Planos!$A152&lt;&gt;"",Planos!B152&amp;"","")</f>
      </c>
      <c r="C153" s="24">
        <f>IF(Planos!$A152&lt;&gt;"",Planos!C152&amp;"","")</f>
      </c>
      <c r="D153" s="43">
        <f>IF(NOT(Planos!$A152&lt;&gt;""),"",IF(COUNTIFS(Programação!$B$4:$B$503,Planos!$A152,Programação!$I$4:$I$503,"Concluído",Programação!$G$4:$G$503,"&gt;="&amp;DATE(ano_ref,1,1),Programação!$G$4:$G$503,"&lt;="&amp;EOMONTH(DATE(ano_ref,1,1),0))&gt;0,"✔",IF(AND(ISNUMBER(Planos!$G152),IFERROR(INDEX(lst_frequencia_meses,MATCH(Planos!$E152,lst_frequencia,0)),0)&gt;0,(ano_ref*12+1)-(YEAR(Planos!$G152)*12+MONTH(Planos!$G152))&gt;0,MOD((ano_ref*12+1)-(YEAR(Planos!$G152)*12+MONTH(Planos!$G152)),MAX(1,IFERROR(INDEX(lst_frequencia_meses,MATCH(Planos!$E152,lst_frequencia,0)),0)))=0),"●","")))</f>
      </c>
      <c r="E153" s="43">
        <f>IF(NOT(Planos!$A152&lt;&gt;""),"",IF(COUNTIFS(Programação!$B$4:$B$503,Planos!$A152,Programação!$I$4:$I$503,"Concluído",Programação!$G$4:$G$503,"&gt;="&amp;DATE(ano_ref,2,1),Programação!$G$4:$G$503,"&lt;="&amp;EOMONTH(DATE(ano_ref,2,1),0))&gt;0,"✔",IF(AND(ISNUMBER(Planos!$G152),IFERROR(INDEX(lst_frequencia_meses,MATCH(Planos!$E152,lst_frequencia,0)),0)&gt;0,(ano_ref*12+2)-(YEAR(Planos!$G152)*12+MONTH(Planos!$G152))&gt;0,MOD((ano_ref*12+2)-(YEAR(Planos!$G152)*12+MONTH(Planos!$G152)),MAX(1,IFERROR(INDEX(lst_frequencia_meses,MATCH(Planos!$E152,lst_frequencia,0)),0)))=0),"●","")))</f>
      </c>
      <c r="F153" s="43">
        <f>IF(NOT(Planos!$A152&lt;&gt;""),"",IF(COUNTIFS(Programação!$B$4:$B$503,Planos!$A152,Programação!$I$4:$I$503,"Concluído",Programação!$G$4:$G$503,"&gt;="&amp;DATE(ano_ref,3,1),Programação!$G$4:$G$503,"&lt;="&amp;EOMONTH(DATE(ano_ref,3,1),0))&gt;0,"✔",IF(AND(ISNUMBER(Planos!$G152),IFERROR(INDEX(lst_frequencia_meses,MATCH(Planos!$E152,lst_frequencia,0)),0)&gt;0,(ano_ref*12+3)-(YEAR(Planos!$G152)*12+MONTH(Planos!$G152))&gt;0,MOD((ano_ref*12+3)-(YEAR(Planos!$G152)*12+MONTH(Planos!$G152)),MAX(1,IFERROR(INDEX(lst_frequencia_meses,MATCH(Planos!$E152,lst_frequencia,0)),0)))=0),"●","")))</f>
      </c>
      <c r="G153" s="43">
        <f>IF(NOT(Planos!$A152&lt;&gt;""),"",IF(COUNTIFS(Programação!$B$4:$B$503,Planos!$A152,Programação!$I$4:$I$503,"Concluído",Programação!$G$4:$G$503,"&gt;="&amp;DATE(ano_ref,4,1),Programação!$G$4:$G$503,"&lt;="&amp;EOMONTH(DATE(ano_ref,4,1),0))&gt;0,"✔",IF(AND(ISNUMBER(Planos!$G152),IFERROR(INDEX(lst_frequencia_meses,MATCH(Planos!$E152,lst_frequencia,0)),0)&gt;0,(ano_ref*12+4)-(YEAR(Planos!$G152)*12+MONTH(Planos!$G152))&gt;0,MOD((ano_ref*12+4)-(YEAR(Planos!$G152)*12+MONTH(Planos!$G152)),MAX(1,IFERROR(INDEX(lst_frequencia_meses,MATCH(Planos!$E152,lst_frequencia,0)),0)))=0),"●","")))</f>
      </c>
      <c r="H153" s="43">
        <f>IF(NOT(Planos!$A152&lt;&gt;""),"",IF(COUNTIFS(Programação!$B$4:$B$503,Planos!$A152,Programação!$I$4:$I$503,"Concluído",Programação!$G$4:$G$503,"&gt;="&amp;DATE(ano_ref,5,1),Programação!$G$4:$G$503,"&lt;="&amp;EOMONTH(DATE(ano_ref,5,1),0))&gt;0,"✔",IF(AND(ISNUMBER(Planos!$G152),IFERROR(INDEX(lst_frequencia_meses,MATCH(Planos!$E152,lst_frequencia,0)),0)&gt;0,(ano_ref*12+5)-(YEAR(Planos!$G152)*12+MONTH(Planos!$G152))&gt;0,MOD((ano_ref*12+5)-(YEAR(Planos!$G152)*12+MONTH(Planos!$G152)),MAX(1,IFERROR(INDEX(lst_frequencia_meses,MATCH(Planos!$E152,lst_frequencia,0)),0)))=0),"●","")))</f>
      </c>
      <c r="I153" s="43">
        <f>IF(NOT(Planos!$A152&lt;&gt;""),"",IF(COUNTIFS(Programação!$B$4:$B$503,Planos!$A152,Programação!$I$4:$I$503,"Concluído",Programação!$G$4:$G$503,"&gt;="&amp;DATE(ano_ref,6,1),Programação!$G$4:$G$503,"&lt;="&amp;EOMONTH(DATE(ano_ref,6,1),0))&gt;0,"✔",IF(AND(ISNUMBER(Planos!$G152),IFERROR(INDEX(lst_frequencia_meses,MATCH(Planos!$E152,lst_frequencia,0)),0)&gt;0,(ano_ref*12+6)-(YEAR(Planos!$G152)*12+MONTH(Planos!$G152))&gt;0,MOD((ano_ref*12+6)-(YEAR(Planos!$G152)*12+MONTH(Planos!$G152)),MAX(1,IFERROR(INDEX(lst_frequencia_meses,MATCH(Planos!$E152,lst_frequencia,0)),0)))=0),"●","")))</f>
      </c>
      <c r="J153" s="43">
        <f>IF(NOT(Planos!$A152&lt;&gt;""),"",IF(COUNTIFS(Programação!$B$4:$B$503,Planos!$A152,Programação!$I$4:$I$503,"Concluído",Programação!$G$4:$G$503,"&gt;="&amp;DATE(ano_ref,7,1),Programação!$G$4:$G$503,"&lt;="&amp;EOMONTH(DATE(ano_ref,7,1),0))&gt;0,"✔",IF(AND(ISNUMBER(Planos!$G152),IFERROR(INDEX(lst_frequencia_meses,MATCH(Planos!$E152,lst_frequencia,0)),0)&gt;0,(ano_ref*12+7)-(YEAR(Planos!$G152)*12+MONTH(Planos!$G152))&gt;0,MOD((ano_ref*12+7)-(YEAR(Planos!$G152)*12+MONTH(Planos!$G152)),MAX(1,IFERROR(INDEX(lst_frequencia_meses,MATCH(Planos!$E152,lst_frequencia,0)),0)))=0),"●","")))</f>
      </c>
      <c r="K153" s="43">
        <f>IF(NOT(Planos!$A152&lt;&gt;""),"",IF(COUNTIFS(Programação!$B$4:$B$503,Planos!$A152,Programação!$I$4:$I$503,"Concluído",Programação!$G$4:$G$503,"&gt;="&amp;DATE(ano_ref,8,1),Programação!$G$4:$G$503,"&lt;="&amp;EOMONTH(DATE(ano_ref,8,1),0))&gt;0,"✔",IF(AND(ISNUMBER(Planos!$G152),IFERROR(INDEX(lst_frequencia_meses,MATCH(Planos!$E152,lst_frequencia,0)),0)&gt;0,(ano_ref*12+8)-(YEAR(Planos!$G152)*12+MONTH(Planos!$G152))&gt;0,MOD((ano_ref*12+8)-(YEAR(Planos!$G152)*12+MONTH(Planos!$G152)),MAX(1,IFERROR(INDEX(lst_frequencia_meses,MATCH(Planos!$E152,lst_frequencia,0)),0)))=0),"●","")))</f>
      </c>
      <c r="L153" s="43">
        <f>IF(NOT(Planos!$A152&lt;&gt;""),"",IF(COUNTIFS(Programação!$B$4:$B$503,Planos!$A152,Programação!$I$4:$I$503,"Concluído",Programação!$G$4:$G$503,"&gt;="&amp;DATE(ano_ref,9,1),Programação!$G$4:$G$503,"&lt;="&amp;EOMONTH(DATE(ano_ref,9,1),0))&gt;0,"✔",IF(AND(ISNUMBER(Planos!$G152),IFERROR(INDEX(lst_frequencia_meses,MATCH(Planos!$E152,lst_frequencia,0)),0)&gt;0,(ano_ref*12+9)-(YEAR(Planos!$G152)*12+MONTH(Planos!$G152))&gt;0,MOD((ano_ref*12+9)-(YEAR(Planos!$G152)*12+MONTH(Planos!$G152)),MAX(1,IFERROR(INDEX(lst_frequencia_meses,MATCH(Planos!$E152,lst_frequencia,0)),0)))=0),"●","")))</f>
      </c>
      <c r="M153" s="43">
        <f>IF(NOT(Planos!$A152&lt;&gt;""),"",IF(COUNTIFS(Programação!$B$4:$B$503,Planos!$A152,Programação!$I$4:$I$503,"Concluído",Programação!$G$4:$G$503,"&gt;="&amp;DATE(ano_ref,10,1),Programação!$G$4:$G$503,"&lt;="&amp;EOMONTH(DATE(ano_ref,10,1),0))&gt;0,"✔",IF(AND(ISNUMBER(Planos!$G152),IFERROR(INDEX(lst_frequencia_meses,MATCH(Planos!$E152,lst_frequencia,0)),0)&gt;0,(ano_ref*12+10)-(YEAR(Planos!$G152)*12+MONTH(Planos!$G152))&gt;0,MOD((ano_ref*12+10)-(YEAR(Planos!$G152)*12+MONTH(Planos!$G152)),MAX(1,IFERROR(INDEX(lst_frequencia_meses,MATCH(Planos!$E152,lst_frequencia,0)),0)))=0),"●","")))</f>
      </c>
      <c r="N153" s="43">
        <f>IF(NOT(Planos!$A152&lt;&gt;""),"",IF(COUNTIFS(Programação!$B$4:$B$503,Planos!$A152,Programação!$I$4:$I$503,"Concluído",Programação!$G$4:$G$503,"&gt;="&amp;DATE(ano_ref,11,1),Programação!$G$4:$G$503,"&lt;="&amp;EOMONTH(DATE(ano_ref,11,1),0))&gt;0,"✔",IF(AND(ISNUMBER(Planos!$G152),IFERROR(INDEX(lst_frequencia_meses,MATCH(Planos!$E152,lst_frequencia,0)),0)&gt;0,(ano_ref*12+11)-(YEAR(Planos!$G152)*12+MONTH(Planos!$G152))&gt;0,MOD((ano_ref*12+11)-(YEAR(Planos!$G152)*12+MONTH(Planos!$G152)),MAX(1,IFERROR(INDEX(lst_frequencia_meses,MATCH(Planos!$E152,lst_frequencia,0)),0)))=0),"●","")))</f>
      </c>
      <c r="O153" s="43">
        <f>IF(NOT(Planos!$A152&lt;&gt;""),"",IF(COUNTIFS(Programação!$B$4:$B$503,Planos!$A152,Programação!$I$4:$I$503,"Concluído",Programação!$G$4:$G$503,"&gt;="&amp;DATE(ano_ref,12,1),Programação!$G$4:$G$503,"&lt;="&amp;EOMONTH(DATE(ano_ref,12,1),0))&gt;0,"✔",IF(AND(ISNUMBER(Planos!$G152),IFERROR(INDEX(lst_frequencia_meses,MATCH(Planos!$E152,lst_frequencia,0)),0)&gt;0,(ano_ref*12+12)-(YEAR(Planos!$G152)*12+MONTH(Planos!$G152))&gt;0,MOD((ano_ref*12+12)-(YEAR(Planos!$G152)*12+MONTH(Planos!$G152)),MAX(1,IFERROR(INDEX(lst_frequencia_meses,MATCH(Planos!$E152,lst_frequencia,0)),0)))=0),"●","")))</f>
      </c>
      <c r="P153" s="44">
        <f>IF(COUNTIF(D153:O153,"✔")+COUNTIF(D153:O153,"●")=0,"",COUNTIF(D153:O153,"✔")/(COUNTIF(D153:O153,"✔")+COUNTIF(D153:O153,"●")))</f>
      </c>
    </row>
    <row r="154" spans="1:16" x14ac:dyDescent="0.25">
      <c r="A154" s="43">
        <f>IF(Planos!$A153&lt;&gt;"",Planos!A153&amp;"","")</f>
      </c>
      <c r="B154" s="43">
        <f>IF(Planos!$A153&lt;&gt;"",Planos!B153&amp;"","")</f>
      </c>
      <c r="C154" s="24">
        <f>IF(Planos!$A153&lt;&gt;"",Planos!C153&amp;"","")</f>
      </c>
      <c r="D154" s="43">
        <f>IF(NOT(Planos!$A153&lt;&gt;""),"",IF(COUNTIFS(Programação!$B$4:$B$503,Planos!$A153,Programação!$I$4:$I$503,"Concluído",Programação!$G$4:$G$503,"&gt;="&amp;DATE(ano_ref,1,1),Programação!$G$4:$G$503,"&lt;="&amp;EOMONTH(DATE(ano_ref,1,1),0))&gt;0,"✔",IF(AND(ISNUMBER(Planos!$G153),IFERROR(INDEX(lst_frequencia_meses,MATCH(Planos!$E153,lst_frequencia,0)),0)&gt;0,(ano_ref*12+1)-(YEAR(Planos!$G153)*12+MONTH(Planos!$G153))&gt;0,MOD((ano_ref*12+1)-(YEAR(Planos!$G153)*12+MONTH(Planos!$G153)),MAX(1,IFERROR(INDEX(lst_frequencia_meses,MATCH(Planos!$E153,lst_frequencia,0)),0)))=0),"●","")))</f>
      </c>
      <c r="E154" s="43">
        <f>IF(NOT(Planos!$A153&lt;&gt;""),"",IF(COUNTIFS(Programação!$B$4:$B$503,Planos!$A153,Programação!$I$4:$I$503,"Concluído",Programação!$G$4:$G$503,"&gt;="&amp;DATE(ano_ref,2,1),Programação!$G$4:$G$503,"&lt;="&amp;EOMONTH(DATE(ano_ref,2,1),0))&gt;0,"✔",IF(AND(ISNUMBER(Planos!$G153),IFERROR(INDEX(lst_frequencia_meses,MATCH(Planos!$E153,lst_frequencia,0)),0)&gt;0,(ano_ref*12+2)-(YEAR(Planos!$G153)*12+MONTH(Planos!$G153))&gt;0,MOD((ano_ref*12+2)-(YEAR(Planos!$G153)*12+MONTH(Planos!$G153)),MAX(1,IFERROR(INDEX(lst_frequencia_meses,MATCH(Planos!$E153,lst_frequencia,0)),0)))=0),"●","")))</f>
      </c>
      <c r="F154" s="43">
        <f>IF(NOT(Planos!$A153&lt;&gt;""),"",IF(COUNTIFS(Programação!$B$4:$B$503,Planos!$A153,Programação!$I$4:$I$503,"Concluído",Programação!$G$4:$G$503,"&gt;="&amp;DATE(ano_ref,3,1),Programação!$G$4:$G$503,"&lt;="&amp;EOMONTH(DATE(ano_ref,3,1),0))&gt;0,"✔",IF(AND(ISNUMBER(Planos!$G153),IFERROR(INDEX(lst_frequencia_meses,MATCH(Planos!$E153,lst_frequencia,0)),0)&gt;0,(ano_ref*12+3)-(YEAR(Planos!$G153)*12+MONTH(Planos!$G153))&gt;0,MOD((ano_ref*12+3)-(YEAR(Planos!$G153)*12+MONTH(Planos!$G153)),MAX(1,IFERROR(INDEX(lst_frequencia_meses,MATCH(Planos!$E153,lst_frequencia,0)),0)))=0),"●","")))</f>
      </c>
      <c r="G154" s="43">
        <f>IF(NOT(Planos!$A153&lt;&gt;""),"",IF(COUNTIFS(Programação!$B$4:$B$503,Planos!$A153,Programação!$I$4:$I$503,"Concluído",Programação!$G$4:$G$503,"&gt;="&amp;DATE(ano_ref,4,1),Programação!$G$4:$G$503,"&lt;="&amp;EOMONTH(DATE(ano_ref,4,1),0))&gt;0,"✔",IF(AND(ISNUMBER(Planos!$G153),IFERROR(INDEX(lst_frequencia_meses,MATCH(Planos!$E153,lst_frequencia,0)),0)&gt;0,(ano_ref*12+4)-(YEAR(Planos!$G153)*12+MONTH(Planos!$G153))&gt;0,MOD((ano_ref*12+4)-(YEAR(Planos!$G153)*12+MONTH(Planos!$G153)),MAX(1,IFERROR(INDEX(lst_frequencia_meses,MATCH(Planos!$E153,lst_frequencia,0)),0)))=0),"●","")))</f>
      </c>
      <c r="H154" s="43">
        <f>IF(NOT(Planos!$A153&lt;&gt;""),"",IF(COUNTIFS(Programação!$B$4:$B$503,Planos!$A153,Programação!$I$4:$I$503,"Concluído",Programação!$G$4:$G$503,"&gt;="&amp;DATE(ano_ref,5,1),Programação!$G$4:$G$503,"&lt;="&amp;EOMONTH(DATE(ano_ref,5,1),0))&gt;0,"✔",IF(AND(ISNUMBER(Planos!$G153),IFERROR(INDEX(lst_frequencia_meses,MATCH(Planos!$E153,lst_frequencia,0)),0)&gt;0,(ano_ref*12+5)-(YEAR(Planos!$G153)*12+MONTH(Planos!$G153))&gt;0,MOD((ano_ref*12+5)-(YEAR(Planos!$G153)*12+MONTH(Planos!$G153)),MAX(1,IFERROR(INDEX(lst_frequencia_meses,MATCH(Planos!$E153,lst_frequencia,0)),0)))=0),"●","")))</f>
      </c>
      <c r="I154" s="43">
        <f>IF(NOT(Planos!$A153&lt;&gt;""),"",IF(COUNTIFS(Programação!$B$4:$B$503,Planos!$A153,Programação!$I$4:$I$503,"Concluído",Programação!$G$4:$G$503,"&gt;="&amp;DATE(ano_ref,6,1),Programação!$G$4:$G$503,"&lt;="&amp;EOMONTH(DATE(ano_ref,6,1),0))&gt;0,"✔",IF(AND(ISNUMBER(Planos!$G153),IFERROR(INDEX(lst_frequencia_meses,MATCH(Planos!$E153,lst_frequencia,0)),0)&gt;0,(ano_ref*12+6)-(YEAR(Planos!$G153)*12+MONTH(Planos!$G153))&gt;0,MOD((ano_ref*12+6)-(YEAR(Planos!$G153)*12+MONTH(Planos!$G153)),MAX(1,IFERROR(INDEX(lst_frequencia_meses,MATCH(Planos!$E153,lst_frequencia,0)),0)))=0),"●","")))</f>
      </c>
      <c r="J154" s="43">
        <f>IF(NOT(Planos!$A153&lt;&gt;""),"",IF(COUNTIFS(Programação!$B$4:$B$503,Planos!$A153,Programação!$I$4:$I$503,"Concluído",Programação!$G$4:$G$503,"&gt;="&amp;DATE(ano_ref,7,1),Programação!$G$4:$G$503,"&lt;="&amp;EOMONTH(DATE(ano_ref,7,1),0))&gt;0,"✔",IF(AND(ISNUMBER(Planos!$G153),IFERROR(INDEX(lst_frequencia_meses,MATCH(Planos!$E153,lst_frequencia,0)),0)&gt;0,(ano_ref*12+7)-(YEAR(Planos!$G153)*12+MONTH(Planos!$G153))&gt;0,MOD((ano_ref*12+7)-(YEAR(Planos!$G153)*12+MONTH(Planos!$G153)),MAX(1,IFERROR(INDEX(lst_frequencia_meses,MATCH(Planos!$E153,lst_frequencia,0)),0)))=0),"●","")))</f>
      </c>
      <c r="K154" s="43">
        <f>IF(NOT(Planos!$A153&lt;&gt;""),"",IF(COUNTIFS(Programação!$B$4:$B$503,Planos!$A153,Programação!$I$4:$I$503,"Concluído",Programação!$G$4:$G$503,"&gt;="&amp;DATE(ano_ref,8,1),Programação!$G$4:$G$503,"&lt;="&amp;EOMONTH(DATE(ano_ref,8,1),0))&gt;0,"✔",IF(AND(ISNUMBER(Planos!$G153),IFERROR(INDEX(lst_frequencia_meses,MATCH(Planos!$E153,lst_frequencia,0)),0)&gt;0,(ano_ref*12+8)-(YEAR(Planos!$G153)*12+MONTH(Planos!$G153))&gt;0,MOD((ano_ref*12+8)-(YEAR(Planos!$G153)*12+MONTH(Planos!$G153)),MAX(1,IFERROR(INDEX(lst_frequencia_meses,MATCH(Planos!$E153,lst_frequencia,0)),0)))=0),"●","")))</f>
      </c>
      <c r="L154" s="43">
        <f>IF(NOT(Planos!$A153&lt;&gt;""),"",IF(COUNTIFS(Programação!$B$4:$B$503,Planos!$A153,Programação!$I$4:$I$503,"Concluído",Programação!$G$4:$G$503,"&gt;="&amp;DATE(ano_ref,9,1),Programação!$G$4:$G$503,"&lt;="&amp;EOMONTH(DATE(ano_ref,9,1),0))&gt;0,"✔",IF(AND(ISNUMBER(Planos!$G153),IFERROR(INDEX(lst_frequencia_meses,MATCH(Planos!$E153,lst_frequencia,0)),0)&gt;0,(ano_ref*12+9)-(YEAR(Planos!$G153)*12+MONTH(Planos!$G153))&gt;0,MOD((ano_ref*12+9)-(YEAR(Planos!$G153)*12+MONTH(Planos!$G153)),MAX(1,IFERROR(INDEX(lst_frequencia_meses,MATCH(Planos!$E153,lst_frequencia,0)),0)))=0),"●","")))</f>
      </c>
      <c r="M154" s="43">
        <f>IF(NOT(Planos!$A153&lt;&gt;""),"",IF(COUNTIFS(Programação!$B$4:$B$503,Planos!$A153,Programação!$I$4:$I$503,"Concluído",Programação!$G$4:$G$503,"&gt;="&amp;DATE(ano_ref,10,1),Programação!$G$4:$G$503,"&lt;="&amp;EOMONTH(DATE(ano_ref,10,1),0))&gt;0,"✔",IF(AND(ISNUMBER(Planos!$G153),IFERROR(INDEX(lst_frequencia_meses,MATCH(Planos!$E153,lst_frequencia,0)),0)&gt;0,(ano_ref*12+10)-(YEAR(Planos!$G153)*12+MONTH(Planos!$G153))&gt;0,MOD((ano_ref*12+10)-(YEAR(Planos!$G153)*12+MONTH(Planos!$G153)),MAX(1,IFERROR(INDEX(lst_frequencia_meses,MATCH(Planos!$E153,lst_frequencia,0)),0)))=0),"●","")))</f>
      </c>
      <c r="N154" s="43">
        <f>IF(NOT(Planos!$A153&lt;&gt;""),"",IF(COUNTIFS(Programação!$B$4:$B$503,Planos!$A153,Programação!$I$4:$I$503,"Concluído",Programação!$G$4:$G$503,"&gt;="&amp;DATE(ano_ref,11,1),Programação!$G$4:$G$503,"&lt;="&amp;EOMONTH(DATE(ano_ref,11,1),0))&gt;0,"✔",IF(AND(ISNUMBER(Planos!$G153),IFERROR(INDEX(lst_frequencia_meses,MATCH(Planos!$E153,lst_frequencia,0)),0)&gt;0,(ano_ref*12+11)-(YEAR(Planos!$G153)*12+MONTH(Planos!$G153))&gt;0,MOD((ano_ref*12+11)-(YEAR(Planos!$G153)*12+MONTH(Planos!$G153)),MAX(1,IFERROR(INDEX(lst_frequencia_meses,MATCH(Planos!$E153,lst_frequencia,0)),0)))=0),"●","")))</f>
      </c>
      <c r="O154" s="43">
        <f>IF(NOT(Planos!$A153&lt;&gt;""),"",IF(COUNTIFS(Programação!$B$4:$B$503,Planos!$A153,Programação!$I$4:$I$503,"Concluído",Programação!$G$4:$G$503,"&gt;="&amp;DATE(ano_ref,12,1),Programação!$G$4:$G$503,"&lt;="&amp;EOMONTH(DATE(ano_ref,12,1),0))&gt;0,"✔",IF(AND(ISNUMBER(Planos!$G153),IFERROR(INDEX(lst_frequencia_meses,MATCH(Planos!$E153,lst_frequencia,0)),0)&gt;0,(ano_ref*12+12)-(YEAR(Planos!$G153)*12+MONTH(Planos!$G153))&gt;0,MOD((ano_ref*12+12)-(YEAR(Planos!$G153)*12+MONTH(Planos!$G153)),MAX(1,IFERROR(INDEX(lst_frequencia_meses,MATCH(Planos!$E153,lst_frequencia,0)),0)))=0),"●","")))</f>
      </c>
      <c r="P154" s="44">
        <f>IF(COUNTIF(D154:O154,"✔")+COUNTIF(D154:O154,"●")=0,"",COUNTIF(D154:O154,"✔")/(COUNTIF(D154:O154,"✔")+COUNTIF(D154:O154,"●")))</f>
      </c>
    </row>
    <row r="155" spans="1:16" x14ac:dyDescent="0.25">
      <c r="A155" s="43">
        <f>IF(Planos!$A154&lt;&gt;"",Planos!A154&amp;"","")</f>
      </c>
      <c r="B155" s="43">
        <f>IF(Planos!$A154&lt;&gt;"",Planos!B154&amp;"","")</f>
      </c>
      <c r="C155" s="24">
        <f>IF(Planos!$A154&lt;&gt;"",Planos!C154&amp;"","")</f>
      </c>
      <c r="D155" s="43">
        <f>IF(NOT(Planos!$A154&lt;&gt;""),"",IF(COUNTIFS(Programação!$B$4:$B$503,Planos!$A154,Programação!$I$4:$I$503,"Concluído",Programação!$G$4:$G$503,"&gt;="&amp;DATE(ano_ref,1,1),Programação!$G$4:$G$503,"&lt;="&amp;EOMONTH(DATE(ano_ref,1,1),0))&gt;0,"✔",IF(AND(ISNUMBER(Planos!$G154),IFERROR(INDEX(lst_frequencia_meses,MATCH(Planos!$E154,lst_frequencia,0)),0)&gt;0,(ano_ref*12+1)-(YEAR(Planos!$G154)*12+MONTH(Planos!$G154))&gt;0,MOD((ano_ref*12+1)-(YEAR(Planos!$G154)*12+MONTH(Planos!$G154)),MAX(1,IFERROR(INDEX(lst_frequencia_meses,MATCH(Planos!$E154,lst_frequencia,0)),0)))=0),"●","")))</f>
      </c>
      <c r="E155" s="43">
        <f>IF(NOT(Planos!$A154&lt;&gt;""),"",IF(COUNTIFS(Programação!$B$4:$B$503,Planos!$A154,Programação!$I$4:$I$503,"Concluído",Programação!$G$4:$G$503,"&gt;="&amp;DATE(ano_ref,2,1),Programação!$G$4:$G$503,"&lt;="&amp;EOMONTH(DATE(ano_ref,2,1),0))&gt;0,"✔",IF(AND(ISNUMBER(Planos!$G154),IFERROR(INDEX(lst_frequencia_meses,MATCH(Planos!$E154,lst_frequencia,0)),0)&gt;0,(ano_ref*12+2)-(YEAR(Planos!$G154)*12+MONTH(Planos!$G154))&gt;0,MOD((ano_ref*12+2)-(YEAR(Planos!$G154)*12+MONTH(Planos!$G154)),MAX(1,IFERROR(INDEX(lst_frequencia_meses,MATCH(Planos!$E154,lst_frequencia,0)),0)))=0),"●","")))</f>
      </c>
      <c r="F155" s="43">
        <f>IF(NOT(Planos!$A154&lt;&gt;""),"",IF(COUNTIFS(Programação!$B$4:$B$503,Planos!$A154,Programação!$I$4:$I$503,"Concluído",Programação!$G$4:$G$503,"&gt;="&amp;DATE(ano_ref,3,1),Programação!$G$4:$G$503,"&lt;="&amp;EOMONTH(DATE(ano_ref,3,1),0))&gt;0,"✔",IF(AND(ISNUMBER(Planos!$G154),IFERROR(INDEX(lst_frequencia_meses,MATCH(Planos!$E154,lst_frequencia,0)),0)&gt;0,(ano_ref*12+3)-(YEAR(Planos!$G154)*12+MONTH(Planos!$G154))&gt;0,MOD((ano_ref*12+3)-(YEAR(Planos!$G154)*12+MONTH(Planos!$G154)),MAX(1,IFERROR(INDEX(lst_frequencia_meses,MATCH(Planos!$E154,lst_frequencia,0)),0)))=0),"●","")))</f>
      </c>
      <c r="G155" s="43">
        <f>IF(NOT(Planos!$A154&lt;&gt;""),"",IF(COUNTIFS(Programação!$B$4:$B$503,Planos!$A154,Programação!$I$4:$I$503,"Concluído",Programação!$G$4:$G$503,"&gt;="&amp;DATE(ano_ref,4,1),Programação!$G$4:$G$503,"&lt;="&amp;EOMONTH(DATE(ano_ref,4,1),0))&gt;0,"✔",IF(AND(ISNUMBER(Planos!$G154),IFERROR(INDEX(lst_frequencia_meses,MATCH(Planos!$E154,lst_frequencia,0)),0)&gt;0,(ano_ref*12+4)-(YEAR(Planos!$G154)*12+MONTH(Planos!$G154))&gt;0,MOD((ano_ref*12+4)-(YEAR(Planos!$G154)*12+MONTH(Planos!$G154)),MAX(1,IFERROR(INDEX(lst_frequencia_meses,MATCH(Planos!$E154,lst_frequencia,0)),0)))=0),"●","")))</f>
      </c>
      <c r="H155" s="43">
        <f>IF(NOT(Planos!$A154&lt;&gt;""),"",IF(COUNTIFS(Programação!$B$4:$B$503,Planos!$A154,Programação!$I$4:$I$503,"Concluído",Programação!$G$4:$G$503,"&gt;="&amp;DATE(ano_ref,5,1),Programação!$G$4:$G$503,"&lt;="&amp;EOMONTH(DATE(ano_ref,5,1),0))&gt;0,"✔",IF(AND(ISNUMBER(Planos!$G154),IFERROR(INDEX(lst_frequencia_meses,MATCH(Planos!$E154,lst_frequencia,0)),0)&gt;0,(ano_ref*12+5)-(YEAR(Planos!$G154)*12+MONTH(Planos!$G154))&gt;0,MOD((ano_ref*12+5)-(YEAR(Planos!$G154)*12+MONTH(Planos!$G154)),MAX(1,IFERROR(INDEX(lst_frequencia_meses,MATCH(Planos!$E154,lst_frequencia,0)),0)))=0),"●","")))</f>
      </c>
      <c r="I155" s="43">
        <f>IF(NOT(Planos!$A154&lt;&gt;""),"",IF(COUNTIFS(Programação!$B$4:$B$503,Planos!$A154,Programação!$I$4:$I$503,"Concluído",Programação!$G$4:$G$503,"&gt;="&amp;DATE(ano_ref,6,1),Programação!$G$4:$G$503,"&lt;="&amp;EOMONTH(DATE(ano_ref,6,1),0))&gt;0,"✔",IF(AND(ISNUMBER(Planos!$G154),IFERROR(INDEX(lst_frequencia_meses,MATCH(Planos!$E154,lst_frequencia,0)),0)&gt;0,(ano_ref*12+6)-(YEAR(Planos!$G154)*12+MONTH(Planos!$G154))&gt;0,MOD((ano_ref*12+6)-(YEAR(Planos!$G154)*12+MONTH(Planos!$G154)),MAX(1,IFERROR(INDEX(lst_frequencia_meses,MATCH(Planos!$E154,lst_frequencia,0)),0)))=0),"●","")))</f>
      </c>
      <c r="J155" s="43">
        <f>IF(NOT(Planos!$A154&lt;&gt;""),"",IF(COUNTIFS(Programação!$B$4:$B$503,Planos!$A154,Programação!$I$4:$I$503,"Concluído",Programação!$G$4:$G$503,"&gt;="&amp;DATE(ano_ref,7,1),Programação!$G$4:$G$503,"&lt;="&amp;EOMONTH(DATE(ano_ref,7,1),0))&gt;0,"✔",IF(AND(ISNUMBER(Planos!$G154),IFERROR(INDEX(lst_frequencia_meses,MATCH(Planos!$E154,lst_frequencia,0)),0)&gt;0,(ano_ref*12+7)-(YEAR(Planos!$G154)*12+MONTH(Planos!$G154))&gt;0,MOD((ano_ref*12+7)-(YEAR(Planos!$G154)*12+MONTH(Planos!$G154)),MAX(1,IFERROR(INDEX(lst_frequencia_meses,MATCH(Planos!$E154,lst_frequencia,0)),0)))=0),"●","")))</f>
      </c>
      <c r="K155" s="43">
        <f>IF(NOT(Planos!$A154&lt;&gt;""),"",IF(COUNTIFS(Programação!$B$4:$B$503,Planos!$A154,Programação!$I$4:$I$503,"Concluído",Programação!$G$4:$G$503,"&gt;="&amp;DATE(ano_ref,8,1),Programação!$G$4:$G$503,"&lt;="&amp;EOMONTH(DATE(ano_ref,8,1),0))&gt;0,"✔",IF(AND(ISNUMBER(Planos!$G154),IFERROR(INDEX(lst_frequencia_meses,MATCH(Planos!$E154,lst_frequencia,0)),0)&gt;0,(ano_ref*12+8)-(YEAR(Planos!$G154)*12+MONTH(Planos!$G154))&gt;0,MOD((ano_ref*12+8)-(YEAR(Planos!$G154)*12+MONTH(Planos!$G154)),MAX(1,IFERROR(INDEX(lst_frequencia_meses,MATCH(Planos!$E154,lst_frequencia,0)),0)))=0),"●","")))</f>
      </c>
      <c r="L155" s="43">
        <f>IF(NOT(Planos!$A154&lt;&gt;""),"",IF(COUNTIFS(Programação!$B$4:$B$503,Planos!$A154,Programação!$I$4:$I$503,"Concluído",Programação!$G$4:$G$503,"&gt;="&amp;DATE(ano_ref,9,1),Programação!$G$4:$G$503,"&lt;="&amp;EOMONTH(DATE(ano_ref,9,1),0))&gt;0,"✔",IF(AND(ISNUMBER(Planos!$G154),IFERROR(INDEX(lst_frequencia_meses,MATCH(Planos!$E154,lst_frequencia,0)),0)&gt;0,(ano_ref*12+9)-(YEAR(Planos!$G154)*12+MONTH(Planos!$G154))&gt;0,MOD((ano_ref*12+9)-(YEAR(Planos!$G154)*12+MONTH(Planos!$G154)),MAX(1,IFERROR(INDEX(lst_frequencia_meses,MATCH(Planos!$E154,lst_frequencia,0)),0)))=0),"●","")))</f>
      </c>
      <c r="M155" s="43">
        <f>IF(NOT(Planos!$A154&lt;&gt;""),"",IF(COUNTIFS(Programação!$B$4:$B$503,Planos!$A154,Programação!$I$4:$I$503,"Concluído",Programação!$G$4:$G$503,"&gt;="&amp;DATE(ano_ref,10,1),Programação!$G$4:$G$503,"&lt;="&amp;EOMONTH(DATE(ano_ref,10,1),0))&gt;0,"✔",IF(AND(ISNUMBER(Planos!$G154),IFERROR(INDEX(lst_frequencia_meses,MATCH(Planos!$E154,lst_frequencia,0)),0)&gt;0,(ano_ref*12+10)-(YEAR(Planos!$G154)*12+MONTH(Planos!$G154))&gt;0,MOD((ano_ref*12+10)-(YEAR(Planos!$G154)*12+MONTH(Planos!$G154)),MAX(1,IFERROR(INDEX(lst_frequencia_meses,MATCH(Planos!$E154,lst_frequencia,0)),0)))=0),"●","")))</f>
      </c>
      <c r="N155" s="43">
        <f>IF(NOT(Planos!$A154&lt;&gt;""),"",IF(COUNTIFS(Programação!$B$4:$B$503,Planos!$A154,Programação!$I$4:$I$503,"Concluído",Programação!$G$4:$G$503,"&gt;="&amp;DATE(ano_ref,11,1),Programação!$G$4:$G$503,"&lt;="&amp;EOMONTH(DATE(ano_ref,11,1),0))&gt;0,"✔",IF(AND(ISNUMBER(Planos!$G154),IFERROR(INDEX(lst_frequencia_meses,MATCH(Planos!$E154,lst_frequencia,0)),0)&gt;0,(ano_ref*12+11)-(YEAR(Planos!$G154)*12+MONTH(Planos!$G154))&gt;0,MOD((ano_ref*12+11)-(YEAR(Planos!$G154)*12+MONTH(Planos!$G154)),MAX(1,IFERROR(INDEX(lst_frequencia_meses,MATCH(Planos!$E154,lst_frequencia,0)),0)))=0),"●","")))</f>
      </c>
      <c r="O155" s="43">
        <f>IF(NOT(Planos!$A154&lt;&gt;""),"",IF(COUNTIFS(Programação!$B$4:$B$503,Planos!$A154,Programação!$I$4:$I$503,"Concluído",Programação!$G$4:$G$503,"&gt;="&amp;DATE(ano_ref,12,1),Programação!$G$4:$G$503,"&lt;="&amp;EOMONTH(DATE(ano_ref,12,1),0))&gt;0,"✔",IF(AND(ISNUMBER(Planos!$G154),IFERROR(INDEX(lst_frequencia_meses,MATCH(Planos!$E154,lst_frequencia,0)),0)&gt;0,(ano_ref*12+12)-(YEAR(Planos!$G154)*12+MONTH(Planos!$G154))&gt;0,MOD((ano_ref*12+12)-(YEAR(Planos!$G154)*12+MONTH(Planos!$G154)),MAX(1,IFERROR(INDEX(lst_frequencia_meses,MATCH(Planos!$E154,lst_frequencia,0)),0)))=0),"●","")))</f>
      </c>
      <c r="P155" s="44">
        <f>IF(COUNTIF(D155:O155,"✔")+COUNTIF(D155:O155,"●")=0,"",COUNTIF(D155:O155,"✔")/(COUNTIF(D155:O155,"✔")+COUNTIF(D155:O155,"●")))</f>
      </c>
    </row>
    <row r="156" spans="1:16" x14ac:dyDescent="0.25">
      <c r="A156" s="43">
        <f>IF(Planos!$A155&lt;&gt;"",Planos!A155&amp;"","")</f>
      </c>
      <c r="B156" s="43">
        <f>IF(Planos!$A155&lt;&gt;"",Planos!B155&amp;"","")</f>
      </c>
      <c r="C156" s="24">
        <f>IF(Planos!$A155&lt;&gt;"",Planos!C155&amp;"","")</f>
      </c>
      <c r="D156" s="43">
        <f>IF(NOT(Planos!$A155&lt;&gt;""),"",IF(COUNTIFS(Programação!$B$4:$B$503,Planos!$A155,Programação!$I$4:$I$503,"Concluído",Programação!$G$4:$G$503,"&gt;="&amp;DATE(ano_ref,1,1),Programação!$G$4:$G$503,"&lt;="&amp;EOMONTH(DATE(ano_ref,1,1),0))&gt;0,"✔",IF(AND(ISNUMBER(Planos!$G155),IFERROR(INDEX(lst_frequencia_meses,MATCH(Planos!$E155,lst_frequencia,0)),0)&gt;0,(ano_ref*12+1)-(YEAR(Planos!$G155)*12+MONTH(Planos!$G155))&gt;0,MOD((ano_ref*12+1)-(YEAR(Planos!$G155)*12+MONTH(Planos!$G155)),MAX(1,IFERROR(INDEX(lst_frequencia_meses,MATCH(Planos!$E155,lst_frequencia,0)),0)))=0),"●","")))</f>
      </c>
      <c r="E156" s="43">
        <f>IF(NOT(Planos!$A155&lt;&gt;""),"",IF(COUNTIFS(Programação!$B$4:$B$503,Planos!$A155,Programação!$I$4:$I$503,"Concluído",Programação!$G$4:$G$503,"&gt;="&amp;DATE(ano_ref,2,1),Programação!$G$4:$G$503,"&lt;="&amp;EOMONTH(DATE(ano_ref,2,1),0))&gt;0,"✔",IF(AND(ISNUMBER(Planos!$G155),IFERROR(INDEX(lst_frequencia_meses,MATCH(Planos!$E155,lst_frequencia,0)),0)&gt;0,(ano_ref*12+2)-(YEAR(Planos!$G155)*12+MONTH(Planos!$G155))&gt;0,MOD((ano_ref*12+2)-(YEAR(Planos!$G155)*12+MONTH(Planos!$G155)),MAX(1,IFERROR(INDEX(lst_frequencia_meses,MATCH(Planos!$E155,lst_frequencia,0)),0)))=0),"●","")))</f>
      </c>
      <c r="F156" s="43">
        <f>IF(NOT(Planos!$A155&lt;&gt;""),"",IF(COUNTIFS(Programação!$B$4:$B$503,Planos!$A155,Programação!$I$4:$I$503,"Concluído",Programação!$G$4:$G$503,"&gt;="&amp;DATE(ano_ref,3,1),Programação!$G$4:$G$503,"&lt;="&amp;EOMONTH(DATE(ano_ref,3,1),0))&gt;0,"✔",IF(AND(ISNUMBER(Planos!$G155),IFERROR(INDEX(lst_frequencia_meses,MATCH(Planos!$E155,lst_frequencia,0)),0)&gt;0,(ano_ref*12+3)-(YEAR(Planos!$G155)*12+MONTH(Planos!$G155))&gt;0,MOD((ano_ref*12+3)-(YEAR(Planos!$G155)*12+MONTH(Planos!$G155)),MAX(1,IFERROR(INDEX(lst_frequencia_meses,MATCH(Planos!$E155,lst_frequencia,0)),0)))=0),"●","")))</f>
      </c>
      <c r="G156" s="43">
        <f>IF(NOT(Planos!$A155&lt;&gt;""),"",IF(COUNTIFS(Programação!$B$4:$B$503,Planos!$A155,Programação!$I$4:$I$503,"Concluído",Programação!$G$4:$G$503,"&gt;="&amp;DATE(ano_ref,4,1),Programação!$G$4:$G$503,"&lt;="&amp;EOMONTH(DATE(ano_ref,4,1),0))&gt;0,"✔",IF(AND(ISNUMBER(Planos!$G155),IFERROR(INDEX(lst_frequencia_meses,MATCH(Planos!$E155,lst_frequencia,0)),0)&gt;0,(ano_ref*12+4)-(YEAR(Planos!$G155)*12+MONTH(Planos!$G155))&gt;0,MOD((ano_ref*12+4)-(YEAR(Planos!$G155)*12+MONTH(Planos!$G155)),MAX(1,IFERROR(INDEX(lst_frequencia_meses,MATCH(Planos!$E155,lst_frequencia,0)),0)))=0),"●","")))</f>
      </c>
      <c r="H156" s="43">
        <f>IF(NOT(Planos!$A155&lt;&gt;""),"",IF(COUNTIFS(Programação!$B$4:$B$503,Planos!$A155,Programação!$I$4:$I$503,"Concluído",Programação!$G$4:$G$503,"&gt;="&amp;DATE(ano_ref,5,1),Programação!$G$4:$G$503,"&lt;="&amp;EOMONTH(DATE(ano_ref,5,1),0))&gt;0,"✔",IF(AND(ISNUMBER(Planos!$G155),IFERROR(INDEX(lst_frequencia_meses,MATCH(Planos!$E155,lst_frequencia,0)),0)&gt;0,(ano_ref*12+5)-(YEAR(Planos!$G155)*12+MONTH(Planos!$G155))&gt;0,MOD((ano_ref*12+5)-(YEAR(Planos!$G155)*12+MONTH(Planos!$G155)),MAX(1,IFERROR(INDEX(lst_frequencia_meses,MATCH(Planos!$E155,lst_frequencia,0)),0)))=0),"●","")))</f>
      </c>
      <c r="I156" s="43">
        <f>IF(NOT(Planos!$A155&lt;&gt;""),"",IF(COUNTIFS(Programação!$B$4:$B$503,Planos!$A155,Programação!$I$4:$I$503,"Concluído",Programação!$G$4:$G$503,"&gt;="&amp;DATE(ano_ref,6,1),Programação!$G$4:$G$503,"&lt;="&amp;EOMONTH(DATE(ano_ref,6,1),0))&gt;0,"✔",IF(AND(ISNUMBER(Planos!$G155),IFERROR(INDEX(lst_frequencia_meses,MATCH(Planos!$E155,lst_frequencia,0)),0)&gt;0,(ano_ref*12+6)-(YEAR(Planos!$G155)*12+MONTH(Planos!$G155))&gt;0,MOD((ano_ref*12+6)-(YEAR(Planos!$G155)*12+MONTH(Planos!$G155)),MAX(1,IFERROR(INDEX(lst_frequencia_meses,MATCH(Planos!$E155,lst_frequencia,0)),0)))=0),"●","")))</f>
      </c>
      <c r="J156" s="43">
        <f>IF(NOT(Planos!$A155&lt;&gt;""),"",IF(COUNTIFS(Programação!$B$4:$B$503,Planos!$A155,Programação!$I$4:$I$503,"Concluído",Programação!$G$4:$G$503,"&gt;="&amp;DATE(ano_ref,7,1),Programação!$G$4:$G$503,"&lt;="&amp;EOMONTH(DATE(ano_ref,7,1),0))&gt;0,"✔",IF(AND(ISNUMBER(Planos!$G155),IFERROR(INDEX(lst_frequencia_meses,MATCH(Planos!$E155,lst_frequencia,0)),0)&gt;0,(ano_ref*12+7)-(YEAR(Planos!$G155)*12+MONTH(Planos!$G155))&gt;0,MOD((ano_ref*12+7)-(YEAR(Planos!$G155)*12+MONTH(Planos!$G155)),MAX(1,IFERROR(INDEX(lst_frequencia_meses,MATCH(Planos!$E155,lst_frequencia,0)),0)))=0),"●","")))</f>
      </c>
      <c r="K156" s="43">
        <f>IF(NOT(Planos!$A155&lt;&gt;""),"",IF(COUNTIFS(Programação!$B$4:$B$503,Planos!$A155,Programação!$I$4:$I$503,"Concluído",Programação!$G$4:$G$503,"&gt;="&amp;DATE(ano_ref,8,1),Programação!$G$4:$G$503,"&lt;="&amp;EOMONTH(DATE(ano_ref,8,1),0))&gt;0,"✔",IF(AND(ISNUMBER(Planos!$G155),IFERROR(INDEX(lst_frequencia_meses,MATCH(Planos!$E155,lst_frequencia,0)),0)&gt;0,(ano_ref*12+8)-(YEAR(Planos!$G155)*12+MONTH(Planos!$G155))&gt;0,MOD((ano_ref*12+8)-(YEAR(Planos!$G155)*12+MONTH(Planos!$G155)),MAX(1,IFERROR(INDEX(lst_frequencia_meses,MATCH(Planos!$E155,lst_frequencia,0)),0)))=0),"●","")))</f>
      </c>
      <c r="L156" s="43">
        <f>IF(NOT(Planos!$A155&lt;&gt;""),"",IF(COUNTIFS(Programação!$B$4:$B$503,Planos!$A155,Programação!$I$4:$I$503,"Concluído",Programação!$G$4:$G$503,"&gt;="&amp;DATE(ano_ref,9,1),Programação!$G$4:$G$503,"&lt;="&amp;EOMONTH(DATE(ano_ref,9,1),0))&gt;0,"✔",IF(AND(ISNUMBER(Planos!$G155),IFERROR(INDEX(lst_frequencia_meses,MATCH(Planos!$E155,lst_frequencia,0)),0)&gt;0,(ano_ref*12+9)-(YEAR(Planos!$G155)*12+MONTH(Planos!$G155))&gt;0,MOD((ano_ref*12+9)-(YEAR(Planos!$G155)*12+MONTH(Planos!$G155)),MAX(1,IFERROR(INDEX(lst_frequencia_meses,MATCH(Planos!$E155,lst_frequencia,0)),0)))=0),"●","")))</f>
      </c>
      <c r="M156" s="43">
        <f>IF(NOT(Planos!$A155&lt;&gt;""),"",IF(COUNTIFS(Programação!$B$4:$B$503,Planos!$A155,Programação!$I$4:$I$503,"Concluído",Programação!$G$4:$G$503,"&gt;="&amp;DATE(ano_ref,10,1),Programação!$G$4:$G$503,"&lt;="&amp;EOMONTH(DATE(ano_ref,10,1),0))&gt;0,"✔",IF(AND(ISNUMBER(Planos!$G155),IFERROR(INDEX(lst_frequencia_meses,MATCH(Planos!$E155,lst_frequencia,0)),0)&gt;0,(ano_ref*12+10)-(YEAR(Planos!$G155)*12+MONTH(Planos!$G155))&gt;0,MOD((ano_ref*12+10)-(YEAR(Planos!$G155)*12+MONTH(Planos!$G155)),MAX(1,IFERROR(INDEX(lst_frequencia_meses,MATCH(Planos!$E155,lst_frequencia,0)),0)))=0),"●","")))</f>
      </c>
      <c r="N156" s="43">
        <f>IF(NOT(Planos!$A155&lt;&gt;""),"",IF(COUNTIFS(Programação!$B$4:$B$503,Planos!$A155,Programação!$I$4:$I$503,"Concluído",Programação!$G$4:$G$503,"&gt;="&amp;DATE(ano_ref,11,1),Programação!$G$4:$G$503,"&lt;="&amp;EOMONTH(DATE(ano_ref,11,1),0))&gt;0,"✔",IF(AND(ISNUMBER(Planos!$G155),IFERROR(INDEX(lst_frequencia_meses,MATCH(Planos!$E155,lst_frequencia,0)),0)&gt;0,(ano_ref*12+11)-(YEAR(Planos!$G155)*12+MONTH(Planos!$G155))&gt;0,MOD((ano_ref*12+11)-(YEAR(Planos!$G155)*12+MONTH(Planos!$G155)),MAX(1,IFERROR(INDEX(lst_frequencia_meses,MATCH(Planos!$E155,lst_frequencia,0)),0)))=0),"●","")))</f>
      </c>
      <c r="O156" s="43">
        <f>IF(NOT(Planos!$A155&lt;&gt;""),"",IF(COUNTIFS(Programação!$B$4:$B$503,Planos!$A155,Programação!$I$4:$I$503,"Concluído",Programação!$G$4:$G$503,"&gt;="&amp;DATE(ano_ref,12,1),Programação!$G$4:$G$503,"&lt;="&amp;EOMONTH(DATE(ano_ref,12,1),0))&gt;0,"✔",IF(AND(ISNUMBER(Planos!$G155),IFERROR(INDEX(lst_frequencia_meses,MATCH(Planos!$E155,lst_frequencia,0)),0)&gt;0,(ano_ref*12+12)-(YEAR(Planos!$G155)*12+MONTH(Planos!$G155))&gt;0,MOD((ano_ref*12+12)-(YEAR(Planos!$G155)*12+MONTH(Planos!$G155)),MAX(1,IFERROR(INDEX(lst_frequencia_meses,MATCH(Planos!$E155,lst_frequencia,0)),0)))=0),"●","")))</f>
      </c>
      <c r="P156" s="44">
        <f>IF(COUNTIF(D156:O156,"✔")+COUNTIF(D156:O156,"●")=0,"",COUNTIF(D156:O156,"✔")/(COUNTIF(D156:O156,"✔")+COUNTIF(D156:O156,"●")))</f>
      </c>
    </row>
    <row r="157" spans="1:16" x14ac:dyDescent="0.25">
      <c r="A157" s="43">
        <f>IF(Planos!$A156&lt;&gt;"",Planos!A156&amp;"","")</f>
      </c>
      <c r="B157" s="43">
        <f>IF(Planos!$A156&lt;&gt;"",Planos!B156&amp;"","")</f>
      </c>
      <c r="C157" s="24">
        <f>IF(Planos!$A156&lt;&gt;"",Planos!C156&amp;"","")</f>
      </c>
      <c r="D157" s="43">
        <f>IF(NOT(Planos!$A156&lt;&gt;""),"",IF(COUNTIFS(Programação!$B$4:$B$503,Planos!$A156,Programação!$I$4:$I$503,"Concluído",Programação!$G$4:$G$503,"&gt;="&amp;DATE(ano_ref,1,1),Programação!$G$4:$G$503,"&lt;="&amp;EOMONTH(DATE(ano_ref,1,1),0))&gt;0,"✔",IF(AND(ISNUMBER(Planos!$G156),IFERROR(INDEX(lst_frequencia_meses,MATCH(Planos!$E156,lst_frequencia,0)),0)&gt;0,(ano_ref*12+1)-(YEAR(Planos!$G156)*12+MONTH(Planos!$G156))&gt;0,MOD((ano_ref*12+1)-(YEAR(Planos!$G156)*12+MONTH(Planos!$G156)),MAX(1,IFERROR(INDEX(lst_frequencia_meses,MATCH(Planos!$E156,lst_frequencia,0)),0)))=0),"●","")))</f>
      </c>
      <c r="E157" s="43">
        <f>IF(NOT(Planos!$A156&lt;&gt;""),"",IF(COUNTIFS(Programação!$B$4:$B$503,Planos!$A156,Programação!$I$4:$I$503,"Concluído",Programação!$G$4:$G$503,"&gt;="&amp;DATE(ano_ref,2,1),Programação!$G$4:$G$503,"&lt;="&amp;EOMONTH(DATE(ano_ref,2,1),0))&gt;0,"✔",IF(AND(ISNUMBER(Planos!$G156),IFERROR(INDEX(lst_frequencia_meses,MATCH(Planos!$E156,lst_frequencia,0)),0)&gt;0,(ano_ref*12+2)-(YEAR(Planos!$G156)*12+MONTH(Planos!$G156))&gt;0,MOD((ano_ref*12+2)-(YEAR(Planos!$G156)*12+MONTH(Planos!$G156)),MAX(1,IFERROR(INDEX(lst_frequencia_meses,MATCH(Planos!$E156,lst_frequencia,0)),0)))=0),"●","")))</f>
      </c>
      <c r="F157" s="43">
        <f>IF(NOT(Planos!$A156&lt;&gt;""),"",IF(COUNTIFS(Programação!$B$4:$B$503,Planos!$A156,Programação!$I$4:$I$503,"Concluído",Programação!$G$4:$G$503,"&gt;="&amp;DATE(ano_ref,3,1),Programação!$G$4:$G$503,"&lt;="&amp;EOMONTH(DATE(ano_ref,3,1),0))&gt;0,"✔",IF(AND(ISNUMBER(Planos!$G156),IFERROR(INDEX(lst_frequencia_meses,MATCH(Planos!$E156,lst_frequencia,0)),0)&gt;0,(ano_ref*12+3)-(YEAR(Planos!$G156)*12+MONTH(Planos!$G156))&gt;0,MOD((ano_ref*12+3)-(YEAR(Planos!$G156)*12+MONTH(Planos!$G156)),MAX(1,IFERROR(INDEX(lst_frequencia_meses,MATCH(Planos!$E156,lst_frequencia,0)),0)))=0),"●","")))</f>
      </c>
      <c r="G157" s="43">
        <f>IF(NOT(Planos!$A156&lt;&gt;""),"",IF(COUNTIFS(Programação!$B$4:$B$503,Planos!$A156,Programação!$I$4:$I$503,"Concluído",Programação!$G$4:$G$503,"&gt;="&amp;DATE(ano_ref,4,1),Programação!$G$4:$G$503,"&lt;="&amp;EOMONTH(DATE(ano_ref,4,1),0))&gt;0,"✔",IF(AND(ISNUMBER(Planos!$G156),IFERROR(INDEX(lst_frequencia_meses,MATCH(Planos!$E156,lst_frequencia,0)),0)&gt;0,(ano_ref*12+4)-(YEAR(Planos!$G156)*12+MONTH(Planos!$G156))&gt;0,MOD((ano_ref*12+4)-(YEAR(Planos!$G156)*12+MONTH(Planos!$G156)),MAX(1,IFERROR(INDEX(lst_frequencia_meses,MATCH(Planos!$E156,lst_frequencia,0)),0)))=0),"●","")))</f>
      </c>
      <c r="H157" s="43">
        <f>IF(NOT(Planos!$A156&lt;&gt;""),"",IF(COUNTIFS(Programação!$B$4:$B$503,Planos!$A156,Programação!$I$4:$I$503,"Concluído",Programação!$G$4:$G$503,"&gt;="&amp;DATE(ano_ref,5,1),Programação!$G$4:$G$503,"&lt;="&amp;EOMONTH(DATE(ano_ref,5,1),0))&gt;0,"✔",IF(AND(ISNUMBER(Planos!$G156),IFERROR(INDEX(lst_frequencia_meses,MATCH(Planos!$E156,lst_frequencia,0)),0)&gt;0,(ano_ref*12+5)-(YEAR(Planos!$G156)*12+MONTH(Planos!$G156))&gt;0,MOD((ano_ref*12+5)-(YEAR(Planos!$G156)*12+MONTH(Planos!$G156)),MAX(1,IFERROR(INDEX(lst_frequencia_meses,MATCH(Planos!$E156,lst_frequencia,0)),0)))=0),"●","")))</f>
      </c>
      <c r="I157" s="43">
        <f>IF(NOT(Planos!$A156&lt;&gt;""),"",IF(COUNTIFS(Programação!$B$4:$B$503,Planos!$A156,Programação!$I$4:$I$503,"Concluído",Programação!$G$4:$G$503,"&gt;="&amp;DATE(ano_ref,6,1),Programação!$G$4:$G$503,"&lt;="&amp;EOMONTH(DATE(ano_ref,6,1),0))&gt;0,"✔",IF(AND(ISNUMBER(Planos!$G156),IFERROR(INDEX(lst_frequencia_meses,MATCH(Planos!$E156,lst_frequencia,0)),0)&gt;0,(ano_ref*12+6)-(YEAR(Planos!$G156)*12+MONTH(Planos!$G156))&gt;0,MOD((ano_ref*12+6)-(YEAR(Planos!$G156)*12+MONTH(Planos!$G156)),MAX(1,IFERROR(INDEX(lst_frequencia_meses,MATCH(Planos!$E156,lst_frequencia,0)),0)))=0),"●","")))</f>
      </c>
      <c r="J157" s="43">
        <f>IF(NOT(Planos!$A156&lt;&gt;""),"",IF(COUNTIFS(Programação!$B$4:$B$503,Planos!$A156,Programação!$I$4:$I$503,"Concluído",Programação!$G$4:$G$503,"&gt;="&amp;DATE(ano_ref,7,1),Programação!$G$4:$G$503,"&lt;="&amp;EOMONTH(DATE(ano_ref,7,1),0))&gt;0,"✔",IF(AND(ISNUMBER(Planos!$G156),IFERROR(INDEX(lst_frequencia_meses,MATCH(Planos!$E156,lst_frequencia,0)),0)&gt;0,(ano_ref*12+7)-(YEAR(Planos!$G156)*12+MONTH(Planos!$G156))&gt;0,MOD((ano_ref*12+7)-(YEAR(Planos!$G156)*12+MONTH(Planos!$G156)),MAX(1,IFERROR(INDEX(lst_frequencia_meses,MATCH(Planos!$E156,lst_frequencia,0)),0)))=0),"●","")))</f>
      </c>
      <c r="K157" s="43">
        <f>IF(NOT(Planos!$A156&lt;&gt;""),"",IF(COUNTIFS(Programação!$B$4:$B$503,Planos!$A156,Programação!$I$4:$I$503,"Concluído",Programação!$G$4:$G$503,"&gt;="&amp;DATE(ano_ref,8,1),Programação!$G$4:$G$503,"&lt;="&amp;EOMONTH(DATE(ano_ref,8,1),0))&gt;0,"✔",IF(AND(ISNUMBER(Planos!$G156),IFERROR(INDEX(lst_frequencia_meses,MATCH(Planos!$E156,lst_frequencia,0)),0)&gt;0,(ano_ref*12+8)-(YEAR(Planos!$G156)*12+MONTH(Planos!$G156))&gt;0,MOD((ano_ref*12+8)-(YEAR(Planos!$G156)*12+MONTH(Planos!$G156)),MAX(1,IFERROR(INDEX(lst_frequencia_meses,MATCH(Planos!$E156,lst_frequencia,0)),0)))=0),"●","")))</f>
      </c>
      <c r="L157" s="43">
        <f>IF(NOT(Planos!$A156&lt;&gt;""),"",IF(COUNTIFS(Programação!$B$4:$B$503,Planos!$A156,Programação!$I$4:$I$503,"Concluído",Programação!$G$4:$G$503,"&gt;="&amp;DATE(ano_ref,9,1),Programação!$G$4:$G$503,"&lt;="&amp;EOMONTH(DATE(ano_ref,9,1),0))&gt;0,"✔",IF(AND(ISNUMBER(Planos!$G156),IFERROR(INDEX(lst_frequencia_meses,MATCH(Planos!$E156,lst_frequencia,0)),0)&gt;0,(ano_ref*12+9)-(YEAR(Planos!$G156)*12+MONTH(Planos!$G156))&gt;0,MOD((ano_ref*12+9)-(YEAR(Planos!$G156)*12+MONTH(Planos!$G156)),MAX(1,IFERROR(INDEX(lst_frequencia_meses,MATCH(Planos!$E156,lst_frequencia,0)),0)))=0),"●","")))</f>
      </c>
      <c r="M157" s="43">
        <f>IF(NOT(Planos!$A156&lt;&gt;""),"",IF(COUNTIFS(Programação!$B$4:$B$503,Planos!$A156,Programação!$I$4:$I$503,"Concluído",Programação!$G$4:$G$503,"&gt;="&amp;DATE(ano_ref,10,1),Programação!$G$4:$G$503,"&lt;="&amp;EOMONTH(DATE(ano_ref,10,1),0))&gt;0,"✔",IF(AND(ISNUMBER(Planos!$G156),IFERROR(INDEX(lst_frequencia_meses,MATCH(Planos!$E156,lst_frequencia,0)),0)&gt;0,(ano_ref*12+10)-(YEAR(Planos!$G156)*12+MONTH(Planos!$G156))&gt;0,MOD((ano_ref*12+10)-(YEAR(Planos!$G156)*12+MONTH(Planos!$G156)),MAX(1,IFERROR(INDEX(lst_frequencia_meses,MATCH(Planos!$E156,lst_frequencia,0)),0)))=0),"●","")))</f>
      </c>
      <c r="N157" s="43">
        <f>IF(NOT(Planos!$A156&lt;&gt;""),"",IF(COUNTIFS(Programação!$B$4:$B$503,Planos!$A156,Programação!$I$4:$I$503,"Concluído",Programação!$G$4:$G$503,"&gt;="&amp;DATE(ano_ref,11,1),Programação!$G$4:$G$503,"&lt;="&amp;EOMONTH(DATE(ano_ref,11,1),0))&gt;0,"✔",IF(AND(ISNUMBER(Planos!$G156),IFERROR(INDEX(lst_frequencia_meses,MATCH(Planos!$E156,lst_frequencia,0)),0)&gt;0,(ano_ref*12+11)-(YEAR(Planos!$G156)*12+MONTH(Planos!$G156))&gt;0,MOD((ano_ref*12+11)-(YEAR(Planos!$G156)*12+MONTH(Planos!$G156)),MAX(1,IFERROR(INDEX(lst_frequencia_meses,MATCH(Planos!$E156,lst_frequencia,0)),0)))=0),"●","")))</f>
      </c>
      <c r="O157" s="43">
        <f>IF(NOT(Planos!$A156&lt;&gt;""),"",IF(COUNTIFS(Programação!$B$4:$B$503,Planos!$A156,Programação!$I$4:$I$503,"Concluído",Programação!$G$4:$G$503,"&gt;="&amp;DATE(ano_ref,12,1),Programação!$G$4:$G$503,"&lt;="&amp;EOMONTH(DATE(ano_ref,12,1),0))&gt;0,"✔",IF(AND(ISNUMBER(Planos!$G156),IFERROR(INDEX(lst_frequencia_meses,MATCH(Planos!$E156,lst_frequencia,0)),0)&gt;0,(ano_ref*12+12)-(YEAR(Planos!$G156)*12+MONTH(Planos!$G156))&gt;0,MOD((ano_ref*12+12)-(YEAR(Planos!$G156)*12+MONTH(Planos!$G156)),MAX(1,IFERROR(INDEX(lst_frequencia_meses,MATCH(Planos!$E156,lst_frequencia,0)),0)))=0),"●","")))</f>
      </c>
      <c r="P157" s="44">
        <f>IF(COUNTIF(D157:O157,"✔")+COUNTIF(D157:O157,"●")=0,"",COUNTIF(D157:O157,"✔")/(COUNTIF(D157:O157,"✔")+COUNTIF(D157:O157,"●")))</f>
      </c>
    </row>
    <row r="158" spans="1:16" x14ac:dyDescent="0.25">
      <c r="A158" s="43">
        <f>IF(Planos!$A157&lt;&gt;"",Planos!A157&amp;"","")</f>
      </c>
      <c r="B158" s="43">
        <f>IF(Planos!$A157&lt;&gt;"",Planos!B157&amp;"","")</f>
      </c>
      <c r="C158" s="24">
        <f>IF(Planos!$A157&lt;&gt;"",Planos!C157&amp;"","")</f>
      </c>
      <c r="D158" s="43">
        <f>IF(NOT(Planos!$A157&lt;&gt;""),"",IF(COUNTIFS(Programação!$B$4:$B$503,Planos!$A157,Programação!$I$4:$I$503,"Concluído",Programação!$G$4:$G$503,"&gt;="&amp;DATE(ano_ref,1,1),Programação!$G$4:$G$503,"&lt;="&amp;EOMONTH(DATE(ano_ref,1,1),0))&gt;0,"✔",IF(AND(ISNUMBER(Planos!$G157),IFERROR(INDEX(lst_frequencia_meses,MATCH(Planos!$E157,lst_frequencia,0)),0)&gt;0,(ano_ref*12+1)-(YEAR(Planos!$G157)*12+MONTH(Planos!$G157))&gt;0,MOD((ano_ref*12+1)-(YEAR(Planos!$G157)*12+MONTH(Planos!$G157)),MAX(1,IFERROR(INDEX(lst_frequencia_meses,MATCH(Planos!$E157,lst_frequencia,0)),0)))=0),"●","")))</f>
      </c>
      <c r="E158" s="43">
        <f>IF(NOT(Planos!$A157&lt;&gt;""),"",IF(COUNTIFS(Programação!$B$4:$B$503,Planos!$A157,Programação!$I$4:$I$503,"Concluído",Programação!$G$4:$G$503,"&gt;="&amp;DATE(ano_ref,2,1),Programação!$G$4:$G$503,"&lt;="&amp;EOMONTH(DATE(ano_ref,2,1),0))&gt;0,"✔",IF(AND(ISNUMBER(Planos!$G157),IFERROR(INDEX(lst_frequencia_meses,MATCH(Planos!$E157,lst_frequencia,0)),0)&gt;0,(ano_ref*12+2)-(YEAR(Planos!$G157)*12+MONTH(Planos!$G157))&gt;0,MOD((ano_ref*12+2)-(YEAR(Planos!$G157)*12+MONTH(Planos!$G157)),MAX(1,IFERROR(INDEX(lst_frequencia_meses,MATCH(Planos!$E157,lst_frequencia,0)),0)))=0),"●","")))</f>
      </c>
      <c r="F158" s="43">
        <f>IF(NOT(Planos!$A157&lt;&gt;""),"",IF(COUNTIFS(Programação!$B$4:$B$503,Planos!$A157,Programação!$I$4:$I$503,"Concluído",Programação!$G$4:$G$503,"&gt;="&amp;DATE(ano_ref,3,1),Programação!$G$4:$G$503,"&lt;="&amp;EOMONTH(DATE(ano_ref,3,1),0))&gt;0,"✔",IF(AND(ISNUMBER(Planos!$G157),IFERROR(INDEX(lst_frequencia_meses,MATCH(Planos!$E157,lst_frequencia,0)),0)&gt;0,(ano_ref*12+3)-(YEAR(Planos!$G157)*12+MONTH(Planos!$G157))&gt;0,MOD((ano_ref*12+3)-(YEAR(Planos!$G157)*12+MONTH(Planos!$G157)),MAX(1,IFERROR(INDEX(lst_frequencia_meses,MATCH(Planos!$E157,lst_frequencia,0)),0)))=0),"●","")))</f>
      </c>
      <c r="G158" s="43">
        <f>IF(NOT(Planos!$A157&lt;&gt;""),"",IF(COUNTIFS(Programação!$B$4:$B$503,Planos!$A157,Programação!$I$4:$I$503,"Concluído",Programação!$G$4:$G$503,"&gt;="&amp;DATE(ano_ref,4,1),Programação!$G$4:$G$503,"&lt;="&amp;EOMONTH(DATE(ano_ref,4,1),0))&gt;0,"✔",IF(AND(ISNUMBER(Planos!$G157),IFERROR(INDEX(lst_frequencia_meses,MATCH(Planos!$E157,lst_frequencia,0)),0)&gt;0,(ano_ref*12+4)-(YEAR(Planos!$G157)*12+MONTH(Planos!$G157))&gt;0,MOD((ano_ref*12+4)-(YEAR(Planos!$G157)*12+MONTH(Planos!$G157)),MAX(1,IFERROR(INDEX(lst_frequencia_meses,MATCH(Planos!$E157,lst_frequencia,0)),0)))=0),"●","")))</f>
      </c>
      <c r="H158" s="43">
        <f>IF(NOT(Planos!$A157&lt;&gt;""),"",IF(COUNTIFS(Programação!$B$4:$B$503,Planos!$A157,Programação!$I$4:$I$503,"Concluído",Programação!$G$4:$G$503,"&gt;="&amp;DATE(ano_ref,5,1),Programação!$G$4:$G$503,"&lt;="&amp;EOMONTH(DATE(ano_ref,5,1),0))&gt;0,"✔",IF(AND(ISNUMBER(Planos!$G157),IFERROR(INDEX(lst_frequencia_meses,MATCH(Planos!$E157,lst_frequencia,0)),0)&gt;0,(ano_ref*12+5)-(YEAR(Planos!$G157)*12+MONTH(Planos!$G157))&gt;0,MOD((ano_ref*12+5)-(YEAR(Planos!$G157)*12+MONTH(Planos!$G157)),MAX(1,IFERROR(INDEX(lst_frequencia_meses,MATCH(Planos!$E157,lst_frequencia,0)),0)))=0),"●","")))</f>
      </c>
      <c r="I158" s="43">
        <f>IF(NOT(Planos!$A157&lt;&gt;""),"",IF(COUNTIFS(Programação!$B$4:$B$503,Planos!$A157,Programação!$I$4:$I$503,"Concluído",Programação!$G$4:$G$503,"&gt;="&amp;DATE(ano_ref,6,1),Programação!$G$4:$G$503,"&lt;="&amp;EOMONTH(DATE(ano_ref,6,1),0))&gt;0,"✔",IF(AND(ISNUMBER(Planos!$G157),IFERROR(INDEX(lst_frequencia_meses,MATCH(Planos!$E157,lst_frequencia,0)),0)&gt;0,(ano_ref*12+6)-(YEAR(Planos!$G157)*12+MONTH(Planos!$G157))&gt;0,MOD((ano_ref*12+6)-(YEAR(Planos!$G157)*12+MONTH(Planos!$G157)),MAX(1,IFERROR(INDEX(lst_frequencia_meses,MATCH(Planos!$E157,lst_frequencia,0)),0)))=0),"●","")))</f>
      </c>
      <c r="J158" s="43">
        <f>IF(NOT(Planos!$A157&lt;&gt;""),"",IF(COUNTIFS(Programação!$B$4:$B$503,Planos!$A157,Programação!$I$4:$I$503,"Concluído",Programação!$G$4:$G$503,"&gt;="&amp;DATE(ano_ref,7,1),Programação!$G$4:$G$503,"&lt;="&amp;EOMONTH(DATE(ano_ref,7,1),0))&gt;0,"✔",IF(AND(ISNUMBER(Planos!$G157),IFERROR(INDEX(lst_frequencia_meses,MATCH(Planos!$E157,lst_frequencia,0)),0)&gt;0,(ano_ref*12+7)-(YEAR(Planos!$G157)*12+MONTH(Planos!$G157))&gt;0,MOD((ano_ref*12+7)-(YEAR(Planos!$G157)*12+MONTH(Planos!$G157)),MAX(1,IFERROR(INDEX(lst_frequencia_meses,MATCH(Planos!$E157,lst_frequencia,0)),0)))=0),"●","")))</f>
      </c>
      <c r="K158" s="43">
        <f>IF(NOT(Planos!$A157&lt;&gt;""),"",IF(COUNTIFS(Programação!$B$4:$B$503,Planos!$A157,Programação!$I$4:$I$503,"Concluído",Programação!$G$4:$G$503,"&gt;="&amp;DATE(ano_ref,8,1),Programação!$G$4:$G$503,"&lt;="&amp;EOMONTH(DATE(ano_ref,8,1),0))&gt;0,"✔",IF(AND(ISNUMBER(Planos!$G157),IFERROR(INDEX(lst_frequencia_meses,MATCH(Planos!$E157,lst_frequencia,0)),0)&gt;0,(ano_ref*12+8)-(YEAR(Planos!$G157)*12+MONTH(Planos!$G157))&gt;0,MOD((ano_ref*12+8)-(YEAR(Planos!$G157)*12+MONTH(Planos!$G157)),MAX(1,IFERROR(INDEX(lst_frequencia_meses,MATCH(Planos!$E157,lst_frequencia,0)),0)))=0),"●","")))</f>
      </c>
      <c r="L158" s="43">
        <f>IF(NOT(Planos!$A157&lt;&gt;""),"",IF(COUNTIFS(Programação!$B$4:$B$503,Planos!$A157,Programação!$I$4:$I$503,"Concluído",Programação!$G$4:$G$503,"&gt;="&amp;DATE(ano_ref,9,1),Programação!$G$4:$G$503,"&lt;="&amp;EOMONTH(DATE(ano_ref,9,1),0))&gt;0,"✔",IF(AND(ISNUMBER(Planos!$G157),IFERROR(INDEX(lst_frequencia_meses,MATCH(Planos!$E157,lst_frequencia,0)),0)&gt;0,(ano_ref*12+9)-(YEAR(Planos!$G157)*12+MONTH(Planos!$G157))&gt;0,MOD((ano_ref*12+9)-(YEAR(Planos!$G157)*12+MONTH(Planos!$G157)),MAX(1,IFERROR(INDEX(lst_frequencia_meses,MATCH(Planos!$E157,lst_frequencia,0)),0)))=0),"●","")))</f>
      </c>
      <c r="M158" s="43">
        <f>IF(NOT(Planos!$A157&lt;&gt;""),"",IF(COUNTIFS(Programação!$B$4:$B$503,Planos!$A157,Programação!$I$4:$I$503,"Concluído",Programação!$G$4:$G$503,"&gt;="&amp;DATE(ano_ref,10,1),Programação!$G$4:$G$503,"&lt;="&amp;EOMONTH(DATE(ano_ref,10,1),0))&gt;0,"✔",IF(AND(ISNUMBER(Planos!$G157),IFERROR(INDEX(lst_frequencia_meses,MATCH(Planos!$E157,lst_frequencia,0)),0)&gt;0,(ano_ref*12+10)-(YEAR(Planos!$G157)*12+MONTH(Planos!$G157))&gt;0,MOD((ano_ref*12+10)-(YEAR(Planos!$G157)*12+MONTH(Planos!$G157)),MAX(1,IFERROR(INDEX(lst_frequencia_meses,MATCH(Planos!$E157,lst_frequencia,0)),0)))=0),"●","")))</f>
      </c>
      <c r="N158" s="43">
        <f>IF(NOT(Planos!$A157&lt;&gt;""),"",IF(COUNTIFS(Programação!$B$4:$B$503,Planos!$A157,Programação!$I$4:$I$503,"Concluído",Programação!$G$4:$G$503,"&gt;="&amp;DATE(ano_ref,11,1),Programação!$G$4:$G$503,"&lt;="&amp;EOMONTH(DATE(ano_ref,11,1),0))&gt;0,"✔",IF(AND(ISNUMBER(Planos!$G157),IFERROR(INDEX(lst_frequencia_meses,MATCH(Planos!$E157,lst_frequencia,0)),0)&gt;0,(ano_ref*12+11)-(YEAR(Planos!$G157)*12+MONTH(Planos!$G157))&gt;0,MOD((ano_ref*12+11)-(YEAR(Planos!$G157)*12+MONTH(Planos!$G157)),MAX(1,IFERROR(INDEX(lst_frequencia_meses,MATCH(Planos!$E157,lst_frequencia,0)),0)))=0),"●","")))</f>
      </c>
      <c r="O158" s="43">
        <f>IF(NOT(Planos!$A157&lt;&gt;""),"",IF(COUNTIFS(Programação!$B$4:$B$503,Planos!$A157,Programação!$I$4:$I$503,"Concluído",Programação!$G$4:$G$503,"&gt;="&amp;DATE(ano_ref,12,1),Programação!$G$4:$G$503,"&lt;="&amp;EOMONTH(DATE(ano_ref,12,1),0))&gt;0,"✔",IF(AND(ISNUMBER(Planos!$G157),IFERROR(INDEX(lst_frequencia_meses,MATCH(Planos!$E157,lst_frequencia,0)),0)&gt;0,(ano_ref*12+12)-(YEAR(Planos!$G157)*12+MONTH(Planos!$G157))&gt;0,MOD((ano_ref*12+12)-(YEAR(Planos!$G157)*12+MONTH(Planos!$G157)),MAX(1,IFERROR(INDEX(lst_frequencia_meses,MATCH(Planos!$E157,lst_frequencia,0)),0)))=0),"●","")))</f>
      </c>
      <c r="P158" s="44">
        <f>IF(COUNTIF(D158:O158,"✔")+COUNTIF(D158:O158,"●")=0,"",COUNTIF(D158:O158,"✔")/(COUNTIF(D158:O158,"✔")+COUNTIF(D158:O158,"●")))</f>
      </c>
    </row>
    <row r="159" spans="1:16" x14ac:dyDescent="0.25">
      <c r="A159" s="43">
        <f>IF(Planos!$A158&lt;&gt;"",Planos!A158&amp;"","")</f>
      </c>
      <c r="B159" s="43">
        <f>IF(Planos!$A158&lt;&gt;"",Planos!B158&amp;"","")</f>
      </c>
      <c r="C159" s="24">
        <f>IF(Planos!$A158&lt;&gt;"",Planos!C158&amp;"","")</f>
      </c>
      <c r="D159" s="43">
        <f>IF(NOT(Planos!$A158&lt;&gt;""),"",IF(COUNTIFS(Programação!$B$4:$B$503,Planos!$A158,Programação!$I$4:$I$503,"Concluído",Programação!$G$4:$G$503,"&gt;="&amp;DATE(ano_ref,1,1),Programação!$G$4:$G$503,"&lt;="&amp;EOMONTH(DATE(ano_ref,1,1),0))&gt;0,"✔",IF(AND(ISNUMBER(Planos!$G158),IFERROR(INDEX(lst_frequencia_meses,MATCH(Planos!$E158,lst_frequencia,0)),0)&gt;0,(ano_ref*12+1)-(YEAR(Planos!$G158)*12+MONTH(Planos!$G158))&gt;0,MOD((ano_ref*12+1)-(YEAR(Planos!$G158)*12+MONTH(Planos!$G158)),MAX(1,IFERROR(INDEX(lst_frequencia_meses,MATCH(Planos!$E158,lst_frequencia,0)),0)))=0),"●","")))</f>
      </c>
      <c r="E159" s="43">
        <f>IF(NOT(Planos!$A158&lt;&gt;""),"",IF(COUNTIFS(Programação!$B$4:$B$503,Planos!$A158,Programação!$I$4:$I$503,"Concluído",Programação!$G$4:$G$503,"&gt;="&amp;DATE(ano_ref,2,1),Programação!$G$4:$G$503,"&lt;="&amp;EOMONTH(DATE(ano_ref,2,1),0))&gt;0,"✔",IF(AND(ISNUMBER(Planos!$G158),IFERROR(INDEX(lst_frequencia_meses,MATCH(Planos!$E158,lst_frequencia,0)),0)&gt;0,(ano_ref*12+2)-(YEAR(Planos!$G158)*12+MONTH(Planos!$G158))&gt;0,MOD((ano_ref*12+2)-(YEAR(Planos!$G158)*12+MONTH(Planos!$G158)),MAX(1,IFERROR(INDEX(lst_frequencia_meses,MATCH(Planos!$E158,lst_frequencia,0)),0)))=0),"●","")))</f>
      </c>
      <c r="F159" s="43">
        <f>IF(NOT(Planos!$A158&lt;&gt;""),"",IF(COUNTIFS(Programação!$B$4:$B$503,Planos!$A158,Programação!$I$4:$I$503,"Concluído",Programação!$G$4:$G$503,"&gt;="&amp;DATE(ano_ref,3,1),Programação!$G$4:$G$503,"&lt;="&amp;EOMONTH(DATE(ano_ref,3,1),0))&gt;0,"✔",IF(AND(ISNUMBER(Planos!$G158),IFERROR(INDEX(lst_frequencia_meses,MATCH(Planos!$E158,lst_frequencia,0)),0)&gt;0,(ano_ref*12+3)-(YEAR(Planos!$G158)*12+MONTH(Planos!$G158))&gt;0,MOD((ano_ref*12+3)-(YEAR(Planos!$G158)*12+MONTH(Planos!$G158)),MAX(1,IFERROR(INDEX(lst_frequencia_meses,MATCH(Planos!$E158,lst_frequencia,0)),0)))=0),"●","")))</f>
      </c>
      <c r="G159" s="43">
        <f>IF(NOT(Planos!$A158&lt;&gt;""),"",IF(COUNTIFS(Programação!$B$4:$B$503,Planos!$A158,Programação!$I$4:$I$503,"Concluído",Programação!$G$4:$G$503,"&gt;="&amp;DATE(ano_ref,4,1),Programação!$G$4:$G$503,"&lt;="&amp;EOMONTH(DATE(ano_ref,4,1),0))&gt;0,"✔",IF(AND(ISNUMBER(Planos!$G158),IFERROR(INDEX(lst_frequencia_meses,MATCH(Planos!$E158,lst_frequencia,0)),0)&gt;0,(ano_ref*12+4)-(YEAR(Planos!$G158)*12+MONTH(Planos!$G158))&gt;0,MOD((ano_ref*12+4)-(YEAR(Planos!$G158)*12+MONTH(Planos!$G158)),MAX(1,IFERROR(INDEX(lst_frequencia_meses,MATCH(Planos!$E158,lst_frequencia,0)),0)))=0),"●","")))</f>
      </c>
      <c r="H159" s="43">
        <f>IF(NOT(Planos!$A158&lt;&gt;""),"",IF(COUNTIFS(Programação!$B$4:$B$503,Planos!$A158,Programação!$I$4:$I$503,"Concluído",Programação!$G$4:$G$503,"&gt;="&amp;DATE(ano_ref,5,1),Programação!$G$4:$G$503,"&lt;="&amp;EOMONTH(DATE(ano_ref,5,1),0))&gt;0,"✔",IF(AND(ISNUMBER(Planos!$G158),IFERROR(INDEX(lst_frequencia_meses,MATCH(Planos!$E158,lst_frequencia,0)),0)&gt;0,(ano_ref*12+5)-(YEAR(Planos!$G158)*12+MONTH(Planos!$G158))&gt;0,MOD((ano_ref*12+5)-(YEAR(Planos!$G158)*12+MONTH(Planos!$G158)),MAX(1,IFERROR(INDEX(lst_frequencia_meses,MATCH(Planos!$E158,lst_frequencia,0)),0)))=0),"●","")))</f>
      </c>
      <c r="I159" s="43">
        <f>IF(NOT(Planos!$A158&lt;&gt;""),"",IF(COUNTIFS(Programação!$B$4:$B$503,Planos!$A158,Programação!$I$4:$I$503,"Concluído",Programação!$G$4:$G$503,"&gt;="&amp;DATE(ano_ref,6,1),Programação!$G$4:$G$503,"&lt;="&amp;EOMONTH(DATE(ano_ref,6,1),0))&gt;0,"✔",IF(AND(ISNUMBER(Planos!$G158),IFERROR(INDEX(lst_frequencia_meses,MATCH(Planos!$E158,lst_frequencia,0)),0)&gt;0,(ano_ref*12+6)-(YEAR(Planos!$G158)*12+MONTH(Planos!$G158))&gt;0,MOD((ano_ref*12+6)-(YEAR(Planos!$G158)*12+MONTH(Planos!$G158)),MAX(1,IFERROR(INDEX(lst_frequencia_meses,MATCH(Planos!$E158,lst_frequencia,0)),0)))=0),"●","")))</f>
      </c>
      <c r="J159" s="43">
        <f>IF(NOT(Planos!$A158&lt;&gt;""),"",IF(COUNTIFS(Programação!$B$4:$B$503,Planos!$A158,Programação!$I$4:$I$503,"Concluído",Programação!$G$4:$G$503,"&gt;="&amp;DATE(ano_ref,7,1),Programação!$G$4:$G$503,"&lt;="&amp;EOMONTH(DATE(ano_ref,7,1),0))&gt;0,"✔",IF(AND(ISNUMBER(Planos!$G158),IFERROR(INDEX(lst_frequencia_meses,MATCH(Planos!$E158,lst_frequencia,0)),0)&gt;0,(ano_ref*12+7)-(YEAR(Planos!$G158)*12+MONTH(Planos!$G158))&gt;0,MOD((ano_ref*12+7)-(YEAR(Planos!$G158)*12+MONTH(Planos!$G158)),MAX(1,IFERROR(INDEX(lst_frequencia_meses,MATCH(Planos!$E158,lst_frequencia,0)),0)))=0),"●","")))</f>
      </c>
      <c r="K159" s="43">
        <f>IF(NOT(Planos!$A158&lt;&gt;""),"",IF(COUNTIFS(Programação!$B$4:$B$503,Planos!$A158,Programação!$I$4:$I$503,"Concluído",Programação!$G$4:$G$503,"&gt;="&amp;DATE(ano_ref,8,1),Programação!$G$4:$G$503,"&lt;="&amp;EOMONTH(DATE(ano_ref,8,1),0))&gt;0,"✔",IF(AND(ISNUMBER(Planos!$G158),IFERROR(INDEX(lst_frequencia_meses,MATCH(Planos!$E158,lst_frequencia,0)),0)&gt;0,(ano_ref*12+8)-(YEAR(Planos!$G158)*12+MONTH(Planos!$G158))&gt;0,MOD((ano_ref*12+8)-(YEAR(Planos!$G158)*12+MONTH(Planos!$G158)),MAX(1,IFERROR(INDEX(lst_frequencia_meses,MATCH(Planos!$E158,lst_frequencia,0)),0)))=0),"●","")))</f>
      </c>
      <c r="L159" s="43">
        <f>IF(NOT(Planos!$A158&lt;&gt;""),"",IF(COUNTIFS(Programação!$B$4:$B$503,Planos!$A158,Programação!$I$4:$I$503,"Concluído",Programação!$G$4:$G$503,"&gt;="&amp;DATE(ano_ref,9,1),Programação!$G$4:$G$503,"&lt;="&amp;EOMONTH(DATE(ano_ref,9,1),0))&gt;0,"✔",IF(AND(ISNUMBER(Planos!$G158),IFERROR(INDEX(lst_frequencia_meses,MATCH(Planos!$E158,lst_frequencia,0)),0)&gt;0,(ano_ref*12+9)-(YEAR(Planos!$G158)*12+MONTH(Planos!$G158))&gt;0,MOD((ano_ref*12+9)-(YEAR(Planos!$G158)*12+MONTH(Planos!$G158)),MAX(1,IFERROR(INDEX(lst_frequencia_meses,MATCH(Planos!$E158,lst_frequencia,0)),0)))=0),"●","")))</f>
      </c>
      <c r="M159" s="43">
        <f>IF(NOT(Planos!$A158&lt;&gt;""),"",IF(COUNTIFS(Programação!$B$4:$B$503,Planos!$A158,Programação!$I$4:$I$503,"Concluído",Programação!$G$4:$G$503,"&gt;="&amp;DATE(ano_ref,10,1),Programação!$G$4:$G$503,"&lt;="&amp;EOMONTH(DATE(ano_ref,10,1),0))&gt;0,"✔",IF(AND(ISNUMBER(Planos!$G158),IFERROR(INDEX(lst_frequencia_meses,MATCH(Planos!$E158,lst_frequencia,0)),0)&gt;0,(ano_ref*12+10)-(YEAR(Planos!$G158)*12+MONTH(Planos!$G158))&gt;0,MOD((ano_ref*12+10)-(YEAR(Planos!$G158)*12+MONTH(Planos!$G158)),MAX(1,IFERROR(INDEX(lst_frequencia_meses,MATCH(Planos!$E158,lst_frequencia,0)),0)))=0),"●","")))</f>
      </c>
      <c r="N159" s="43">
        <f>IF(NOT(Planos!$A158&lt;&gt;""),"",IF(COUNTIFS(Programação!$B$4:$B$503,Planos!$A158,Programação!$I$4:$I$503,"Concluído",Programação!$G$4:$G$503,"&gt;="&amp;DATE(ano_ref,11,1),Programação!$G$4:$G$503,"&lt;="&amp;EOMONTH(DATE(ano_ref,11,1),0))&gt;0,"✔",IF(AND(ISNUMBER(Planos!$G158),IFERROR(INDEX(lst_frequencia_meses,MATCH(Planos!$E158,lst_frequencia,0)),0)&gt;0,(ano_ref*12+11)-(YEAR(Planos!$G158)*12+MONTH(Planos!$G158))&gt;0,MOD((ano_ref*12+11)-(YEAR(Planos!$G158)*12+MONTH(Planos!$G158)),MAX(1,IFERROR(INDEX(lst_frequencia_meses,MATCH(Planos!$E158,lst_frequencia,0)),0)))=0),"●","")))</f>
      </c>
      <c r="O159" s="43">
        <f>IF(NOT(Planos!$A158&lt;&gt;""),"",IF(COUNTIFS(Programação!$B$4:$B$503,Planos!$A158,Programação!$I$4:$I$503,"Concluído",Programação!$G$4:$G$503,"&gt;="&amp;DATE(ano_ref,12,1),Programação!$G$4:$G$503,"&lt;="&amp;EOMONTH(DATE(ano_ref,12,1),0))&gt;0,"✔",IF(AND(ISNUMBER(Planos!$G158),IFERROR(INDEX(lst_frequencia_meses,MATCH(Planos!$E158,lst_frequencia,0)),0)&gt;0,(ano_ref*12+12)-(YEAR(Planos!$G158)*12+MONTH(Planos!$G158))&gt;0,MOD((ano_ref*12+12)-(YEAR(Planos!$G158)*12+MONTH(Planos!$G158)),MAX(1,IFERROR(INDEX(lst_frequencia_meses,MATCH(Planos!$E158,lst_frequencia,0)),0)))=0),"●","")))</f>
      </c>
      <c r="P159" s="44">
        <f>IF(COUNTIF(D159:O159,"✔")+COUNTIF(D159:O159,"●")=0,"",COUNTIF(D159:O159,"✔")/(COUNTIF(D159:O159,"✔")+COUNTIF(D159:O159,"●")))</f>
      </c>
    </row>
    <row r="160" spans="1:16" x14ac:dyDescent="0.25">
      <c r="A160" s="43">
        <f>IF(Planos!$A159&lt;&gt;"",Planos!A159&amp;"","")</f>
      </c>
      <c r="B160" s="43">
        <f>IF(Planos!$A159&lt;&gt;"",Planos!B159&amp;"","")</f>
      </c>
      <c r="C160" s="24">
        <f>IF(Planos!$A159&lt;&gt;"",Planos!C159&amp;"","")</f>
      </c>
      <c r="D160" s="43">
        <f>IF(NOT(Planos!$A159&lt;&gt;""),"",IF(COUNTIFS(Programação!$B$4:$B$503,Planos!$A159,Programação!$I$4:$I$503,"Concluído",Programação!$G$4:$G$503,"&gt;="&amp;DATE(ano_ref,1,1),Programação!$G$4:$G$503,"&lt;="&amp;EOMONTH(DATE(ano_ref,1,1),0))&gt;0,"✔",IF(AND(ISNUMBER(Planos!$G159),IFERROR(INDEX(lst_frequencia_meses,MATCH(Planos!$E159,lst_frequencia,0)),0)&gt;0,(ano_ref*12+1)-(YEAR(Planos!$G159)*12+MONTH(Planos!$G159))&gt;0,MOD((ano_ref*12+1)-(YEAR(Planos!$G159)*12+MONTH(Planos!$G159)),MAX(1,IFERROR(INDEX(lst_frequencia_meses,MATCH(Planos!$E159,lst_frequencia,0)),0)))=0),"●","")))</f>
      </c>
      <c r="E160" s="43">
        <f>IF(NOT(Planos!$A159&lt;&gt;""),"",IF(COUNTIFS(Programação!$B$4:$B$503,Planos!$A159,Programação!$I$4:$I$503,"Concluído",Programação!$G$4:$G$503,"&gt;="&amp;DATE(ano_ref,2,1),Programação!$G$4:$G$503,"&lt;="&amp;EOMONTH(DATE(ano_ref,2,1),0))&gt;0,"✔",IF(AND(ISNUMBER(Planos!$G159),IFERROR(INDEX(lst_frequencia_meses,MATCH(Planos!$E159,lst_frequencia,0)),0)&gt;0,(ano_ref*12+2)-(YEAR(Planos!$G159)*12+MONTH(Planos!$G159))&gt;0,MOD((ano_ref*12+2)-(YEAR(Planos!$G159)*12+MONTH(Planos!$G159)),MAX(1,IFERROR(INDEX(lst_frequencia_meses,MATCH(Planos!$E159,lst_frequencia,0)),0)))=0),"●","")))</f>
      </c>
      <c r="F160" s="43">
        <f>IF(NOT(Planos!$A159&lt;&gt;""),"",IF(COUNTIFS(Programação!$B$4:$B$503,Planos!$A159,Programação!$I$4:$I$503,"Concluído",Programação!$G$4:$G$503,"&gt;="&amp;DATE(ano_ref,3,1),Programação!$G$4:$G$503,"&lt;="&amp;EOMONTH(DATE(ano_ref,3,1),0))&gt;0,"✔",IF(AND(ISNUMBER(Planos!$G159),IFERROR(INDEX(lst_frequencia_meses,MATCH(Planos!$E159,lst_frequencia,0)),0)&gt;0,(ano_ref*12+3)-(YEAR(Planos!$G159)*12+MONTH(Planos!$G159))&gt;0,MOD((ano_ref*12+3)-(YEAR(Planos!$G159)*12+MONTH(Planos!$G159)),MAX(1,IFERROR(INDEX(lst_frequencia_meses,MATCH(Planos!$E159,lst_frequencia,0)),0)))=0),"●","")))</f>
      </c>
      <c r="G160" s="43">
        <f>IF(NOT(Planos!$A159&lt;&gt;""),"",IF(COUNTIFS(Programação!$B$4:$B$503,Planos!$A159,Programação!$I$4:$I$503,"Concluído",Programação!$G$4:$G$503,"&gt;="&amp;DATE(ano_ref,4,1),Programação!$G$4:$G$503,"&lt;="&amp;EOMONTH(DATE(ano_ref,4,1),0))&gt;0,"✔",IF(AND(ISNUMBER(Planos!$G159),IFERROR(INDEX(lst_frequencia_meses,MATCH(Planos!$E159,lst_frequencia,0)),0)&gt;0,(ano_ref*12+4)-(YEAR(Planos!$G159)*12+MONTH(Planos!$G159))&gt;0,MOD((ano_ref*12+4)-(YEAR(Planos!$G159)*12+MONTH(Planos!$G159)),MAX(1,IFERROR(INDEX(lst_frequencia_meses,MATCH(Planos!$E159,lst_frequencia,0)),0)))=0),"●","")))</f>
      </c>
      <c r="H160" s="43">
        <f>IF(NOT(Planos!$A159&lt;&gt;""),"",IF(COUNTIFS(Programação!$B$4:$B$503,Planos!$A159,Programação!$I$4:$I$503,"Concluído",Programação!$G$4:$G$503,"&gt;="&amp;DATE(ano_ref,5,1),Programação!$G$4:$G$503,"&lt;="&amp;EOMONTH(DATE(ano_ref,5,1),0))&gt;0,"✔",IF(AND(ISNUMBER(Planos!$G159),IFERROR(INDEX(lst_frequencia_meses,MATCH(Planos!$E159,lst_frequencia,0)),0)&gt;0,(ano_ref*12+5)-(YEAR(Planos!$G159)*12+MONTH(Planos!$G159))&gt;0,MOD((ano_ref*12+5)-(YEAR(Planos!$G159)*12+MONTH(Planos!$G159)),MAX(1,IFERROR(INDEX(lst_frequencia_meses,MATCH(Planos!$E159,lst_frequencia,0)),0)))=0),"●","")))</f>
      </c>
      <c r="I160" s="43">
        <f>IF(NOT(Planos!$A159&lt;&gt;""),"",IF(COUNTIFS(Programação!$B$4:$B$503,Planos!$A159,Programação!$I$4:$I$503,"Concluído",Programação!$G$4:$G$503,"&gt;="&amp;DATE(ano_ref,6,1),Programação!$G$4:$G$503,"&lt;="&amp;EOMONTH(DATE(ano_ref,6,1),0))&gt;0,"✔",IF(AND(ISNUMBER(Planos!$G159),IFERROR(INDEX(lst_frequencia_meses,MATCH(Planos!$E159,lst_frequencia,0)),0)&gt;0,(ano_ref*12+6)-(YEAR(Planos!$G159)*12+MONTH(Planos!$G159))&gt;0,MOD((ano_ref*12+6)-(YEAR(Planos!$G159)*12+MONTH(Planos!$G159)),MAX(1,IFERROR(INDEX(lst_frequencia_meses,MATCH(Planos!$E159,lst_frequencia,0)),0)))=0),"●","")))</f>
      </c>
      <c r="J160" s="43">
        <f>IF(NOT(Planos!$A159&lt;&gt;""),"",IF(COUNTIFS(Programação!$B$4:$B$503,Planos!$A159,Programação!$I$4:$I$503,"Concluído",Programação!$G$4:$G$503,"&gt;="&amp;DATE(ano_ref,7,1),Programação!$G$4:$G$503,"&lt;="&amp;EOMONTH(DATE(ano_ref,7,1),0))&gt;0,"✔",IF(AND(ISNUMBER(Planos!$G159),IFERROR(INDEX(lst_frequencia_meses,MATCH(Planos!$E159,lst_frequencia,0)),0)&gt;0,(ano_ref*12+7)-(YEAR(Planos!$G159)*12+MONTH(Planos!$G159))&gt;0,MOD((ano_ref*12+7)-(YEAR(Planos!$G159)*12+MONTH(Planos!$G159)),MAX(1,IFERROR(INDEX(lst_frequencia_meses,MATCH(Planos!$E159,lst_frequencia,0)),0)))=0),"●","")))</f>
      </c>
      <c r="K160" s="43">
        <f>IF(NOT(Planos!$A159&lt;&gt;""),"",IF(COUNTIFS(Programação!$B$4:$B$503,Planos!$A159,Programação!$I$4:$I$503,"Concluído",Programação!$G$4:$G$503,"&gt;="&amp;DATE(ano_ref,8,1),Programação!$G$4:$G$503,"&lt;="&amp;EOMONTH(DATE(ano_ref,8,1),0))&gt;0,"✔",IF(AND(ISNUMBER(Planos!$G159),IFERROR(INDEX(lst_frequencia_meses,MATCH(Planos!$E159,lst_frequencia,0)),0)&gt;0,(ano_ref*12+8)-(YEAR(Planos!$G159)*12+MONTH(Planos!$G159))&gt;0,MOD((ano_ref*12+8)-(YEAR(Planos!$G159)*12+MONTH(Planos!$G159)),MAX(1,IFERROR(INDEX(lst_frequencia_meses,MATCH(Planos!$E159,lst_frequencia,0)),0)))=0),"●","")))</f>
      </c>
      <c r="L160" s="43">
        <f>IF(NOT(Planos!$A159&lt;&gt;""),"",IF(COUNTIFS(Programação!$B$4:$B$503,Planos!$A159,Programação!$I$4:$I$503,"Concluído",Programação!$G$4:$G$503,"&gt;="&amp;DATE(ano_ref,9,1),Programação!$G$4:$G$503,"&lt;="&amp;EOMONTH(DATE(ano_ref,9,1),0))&gt;0,"✔",IF(AND(ISNUMBER(Planos!$G159),IFERROR(INDEX(lst_frequencia_meses,MATCH(Planos!$E159,lst_frequencia,0)),0)&gt;0,(ano_ref*12+9)-(YEAR(Planos!$G159)*12+MONTH(Planos!$G159))&gt;0,MOD((ano_ref*12+9)-(YEAR(Planos!$G159)*12+MONTH(Planos!$G159)),MAX(1,IFERROR(INDEX(lst_frequencia_meses,MATCH(Planos!$E159,lst_frequencia,0)),0)))=0),"●","")))</f>
      </c>
      <c r="M160" s="43">
        <f>IF(NOT(Planos!$A159&lt;&gt;""),"",IF(COUNTIFS(Programação!$B$4:$B$503,Planos!$A159,Programação!$I$4:$I$503,"Concluído",Programação!$G$4:$G$503,"&gt;="&amp;DATE(ano_ref,10,1),Programação!$G$4:$G$503,"&lt;="&amp;EOMONTH(DATE(ano_ref,10,1),0))&gt;0,"✔",IF(AND(ISNUMBER(Planos!$G159),IFERROR(INDEX(lst_frequencia_meses,MATCH(Planos!$E159,lst_frequencia,0)),0)&gt;0,(ano_ref*12+10)-(YEAR(Planos!$G159)*12+MONTH(Planos!$G159))&gt;0,MOD((ano_ref*12+10)-(YEAR(Planos!$G159)*12+MONTH(Planos!$G159)),MAX(1,IFERROR(INDEX(lst_frequencia_meses,MATCH(Planos!$E159,lst_frequencia,0)),0)))=0),"●","")))</f>
      </c>
      <c r="N160" s="43">
        <f>IF(NOT(Planos!$A159&lt;&gt;""),"",IF(COUNTIFS(Programação!$B$4:$B$503,Planos!$A159,Programação!$I$4:$I$503,"Concluído",Programação!$G$4:$G$503,"&gt;="&amp;DATE(ano_ref,11,1),Programação!$G$4:$G$503,"&lt;="&amp;EOMONTH(DATE(ano_ref,11,1),0))&gt;0,"✔",IF(AND(ISNUMBER(Planos!$G159),IFERROR(INDEX(lst_frequencia_meses,MATCH(Planos!$E159,lst_frequencia,0)),0)&gt;0,(ano_ref*12+11)-(YEAR(Planos!$G159)*12+MONTH(Planos!$G159))&gt;0,MOD((ano_ref*12+11)-(YEAR(Planos!$G159)*12+MONTH(Planos!$G159)),MAX(1,IFERROR(INDEX(lst_frequencia_meses,MATCH(Planos!$E159,lst_frequencia,0)),0)))=0),"●","")))</f>
      </c>
      <c r="O160" s="43">
        <f>IF(NOT(Planos!$A159&lt;&gt;""),"",IF(COUNTIFS(Programação!$B$4:$B$503,Planos!$A159,Programação!$I$4:$I$503,"Concluído",Programação!$G$4:$G$503,"&gt;="&amp;DATE(ano_ref,12,1),Programação!$G$4:$G$503,"&lt;="&amp;EOMONTH(DATE(ano_ref,12,1),0))&gt;0,"✔",IF(AND(ISNUMBER(Planos!$G159),IFERROR(INDEX(lst_frequencia_meses,MATCH(Planos!$E159,lst_frequencia,0)),0)&gt;0,(ano_ref*12+12)-(YEAR(Planos!$G159)*12+MONTH(Planos!$G159))&gt;0,MOD((ano_ref*12+12)-(YEAR(Planos!$G159)*12+MONTH(Planos!$G159)),MAX(1,IFERROR(INDEX(lst_frequencia_meses,MATCH(Planos!$E159,lst_frequencia,0)),0)))=0),"●","")))</f>
      </c>
      <c r="P160" s="44">
        <f>IF(COUNTIF(D160:O160,"✔")+COUNTIF(D160:O160,"●")=0,"",COUNTIF(D160:O160,"✔")/(COUNTIF(D160:O160,"✔")+COUNTIF(D160:O160,"●")))</f>
      </c>
    </row>
    <row r="161" spans="1:16" x14ac:dyDescent="0.25">
      <c r="A161" s="43">
        <f>IF(Planos!$A160&lt;&gt;"",Planos!A160&amp;"","")</f>
      </c>
      <c r="B161" s="43">
        <f>IF(Planos!$A160&lt;&gt;"",Planos!B160&amp;"","")</f>
      </c>
      <c r="C161" s="24">
        <f>IF(Planos!$A160&lt;&gt;"",Planos!C160&amp;"","")</f>
      </c>
      <c r="D161" s="43">
        <f>IF(NOT(Planos!$A160&lt;&gt;""),"",IF(COUNTIFS(Programação!$B$4:$B$503,Planos!$A160,Programação!$I$4:$I$503,"Concluído",Programação!$G$4:$G$503,"&gt;="&amp;DATE(ano_ref,1,1),Programação!$G$4:$G$503,"&lt;="&amp;EOMONTH(DATE(ano_ref,1,1),0))&gt;0,"✔",IF(AND(ISNUMBER(Planos!$G160),IFERROR(INDEX(lst_frequencia_meses,MATCH(Planos!$E160,lst_frequencia,0)),0)&gt;0,(ano_ref*12+1)-(YEAR(Planos!$G160)*12+MONTH(Planos!$G160))&gt;0,MOD((ano_ref*12+1)-(YEAR(Planos!$G160)*12+MONTH(Planos!$G160)),MAX(1,IFERROR(INDEX(lst_frequencia_meses,MATCH(Planos!$E160,lst_frequencia,0)),0)))=0),"●","")))</f>
      </c>
      <c r="E161" s="43">
        <f>IF(NOT(Planos!$A160&lt;&gt;""),"",IF(COUNTIFS(Programação!$B$4:$B$503,Planos!$A160,Programação!$I$4:$I$503,"Concluído",Programação!$G$4:$G$503,"&gt;="&amp;DATE(ano_ref,2,1),Programação!$G$4:$G$503,"&lt;="&amp;EOMONTH(DATE(ano_ref,2,1),0))&gt;0,"✔",IF(AND(ISNUMBER(Planos!$G160),IFERROR(INDEX(lst_frequencia_meses,MATCH(Planos!$E160,lst_frequencia,0)),0)&gt;0,(ano_ref*12+2)-(YEAR(Planos!$G160)*12+MONTH(Planos!$G160))&gt;0,MOD((ano_ref*12+2)-(YEAR(Planos!$G160)*12+MONTH(Planos!$G160)),MAX(1,IFERROR(INDEX(lst_frequencia_meses,MATCH(Planos!$E160,lst_frequencia,0)),0)))=0),"●","")))</f>
      </c>
      <c r="F161" s="43">
        <f>IF(NOT(Planos!$A160&lt;&gt;""),"",IF(COUNTIFS(Programação!$B$4:$B$503,Planos!$A160,Programação!$I$4:$I$503,"Concluído",Programação!$G$4:$G$503,"&gt;="&amp;DATE(ano_ref,3,1),Programação!$G$4:$G$503,"&lt;="&amp;EOMONTH(DATE(ano_ref,3,1),0))&gt;0,"✔",IF(AND(ISNUMBER(Planos!$G160),IFERROR(INDEX(lst_frequencia_meses,MATCH(Planos!$E160,lst_frequencia,0)),0)&gt;0,(ano_ref*12+3)-(YEAR(Planos!$G160)*12+MONTH(Planos!$G160))&gt;0,MOD((ano_ref*12+3)-(YEAR(Planos!$G160)*12+MONTH(Planos!$G160)),MAX(1,IFERROR(INDEX(lst_frequencia_meses,MATCH(Planos!$E160,lst_frequencia,0)),0)))=0),"●","")))</f>
      </c>
      <c r="G161" s="43">
        <f>IF(NOT(Planos!$A160&lt;&gt;""),"",IF(COUNTIFS(Programação!$B$4:$B$503,Planos!$A160,Programação!$I$4:$I$503,"Concluído",Programação!$G$4:$G$503,"&gt;="&amp;DATE(ano_ref,4,1),Programação!$G$4:$G$503,"&lt;="&amp;EOMONTH(DATE(ano_ref,4,1),0))&gt;0,"✔",IF(AND(ISNUMBER(Planos!$G160),IFERROR(INDEX(lst_frequencia_meses,MATCH(Planos!$E160,lst_frequencia,0)),0)&gt;0,(ano_ref*12+4)-(YEAR(Planos!$G160)*12+MONTH(Planos!$G160))&gt;0,MOD((ano_ref*12+4)-(YEAR(Planos!$G160)*12+MONTH(Planos!$G160)),MAX(1,IFERROR(INDEX(lst_frequencia_meses,MATCH(Planos!$E160,lst_frequencia,0)),0)))=0),"●","")))</f>
      </c>
      <c r="H161" s="43">
        <f>IF(NOT(Planos!$A160&lt;&gt;""),"",IF(COUNTIFS(Programação!$B$4:$B$503,Planos!$A160,Programação!$I$4:$I$503,"Concluído",Programação!$G$4:$G$503,"&gt;="&amp;DATE(ano_ref,5,1),Programação!$G$4:$G$503,"&lt;="&amp;EOMONTH(DATE(ano_ref,5,1),0))&gt;0,"✔",IF(AND(ISNUMBER(Planos!$G160),IFERROR(INDEX(lst_frequencia_meses,MATCH(Planos!$E160,lst_frequencia,0)),0)&gt;0,(ano_ref*12+5)-(YEAR(Planos!$G160)*12+MONTH(Planos!$G160))&gt;0,MOD((ano_ref*12+5)-(YEAR(Planos!$G160)*12+MONTH(Planos!$G160)),MAX(1,IFERROR(INDEX(lst_frequencia_meses,MATCH(Planos!$E160,lst_frequencia,0)),0)))=0),"●","")))</f>
      </c>
      <c r="I161" s="43">
        <f>IF(NOT(Planos!$A160&lt;&gt;""),"",IF(COUNTIFS(Programação!$B$4:$B$503,Planos!$A160,Programação!$I$4:$I$503,"Concluído",Programação!$G$4:$G$503,"&gt;="&amp;DATE(ano_ref,6,1),Programação!$G$4:$G$503,"&lt;="&amp;EOMONTH(DATE(ano_ref,6,1),0))&gt;0,"✔",IF(AND(ISNUMBER(Planos!$G160),IFERROR(INDEX(lst_frequencia_meses,MATCH(Planos!$E160,lst_frequencia,0)),0)&gt;0,(ano_ref*12+6)-(YEAR(Planos!$G160)*12+MONTH(Planos!$G160))&gt;0,MOD((ano_ref*12+6)-(YEAR(Planos!$G160)*12+MONTH(Planos!$G160)),MAX(1,IFERROR(INDEX(lst_frequencia_meses,MATCH(Planos!$E160,lst_frequencia,0)),0)))=0),"●","")))</f>
      </c>
      <c r="J161" s="43">
        <f>IF(NOT(Planos!$A160&lt;&gt;""),"",IF(COUNTIFS(Programação!$B$4:$B$503,Planos!$A160,Programação!$I$4:$I$503,"Concluído",Programação!$G$4:$G$503,"&gt;="&amp;DATE(ano_ref,7,1),Programação!$G$4:$G$503,"&lt;="&amp;EOMONTH(DATE(ano_ref,7,1),0))&gt;0,"✔",IF(AND(ISNUMBER(Planos!$G160),IFERROR(INDEX(lst_frequencia_meses,MATCH(Planos!$E160,lst_frequencia,0)),0)&gt;0,(ano_ref*12+7)-(YEAR(Planos!$G160)*12+MONTH(Planos!$G160))&gt;0,MOD((ano_ref*12+7)-(YEAR(Planos!$G160)*12+MONTH(Planos!$G160)),MAX(1,IFERROR(INDEX(lst_frequencia_meses,MATCH(Planos!$E160,lst_frequencia,0)),0)))=0),"●","")))</f>
      </c>
      <c r="K161" s="43">
        <f>IF(NOT(Planos!$A160&lt;&gt;""),"",IF(COUNTIFS(Programação!$B$4:$B$503,Planos!$A160,Programação!$I$4:$I$503,"Concluído",Programação!$G$4:$G$503,"&gt;="&amp;DATE(ano_ref,8,1),Programação!$G$4:$G$503,"&lt;="&amp;EOMONTH(DATE(ano_ref,8,1),0))&gt;0,"✔",IF(AND(ISNUMBER(Planos!$G160),IFERROR(INDEX(lst_frequencia_meses,MATCH(Planos!$E160,lst_frequencia,0)),0)&gt;0,(ano_ref*12+8)-(YEAR(Planos!$G160)*12+MONTH(Planos!$G160))&gt;0,MOD((ano_ref*12+8)-(YEAR(Planos!$G160)*12+MONTH(Planos!$G160)),MAX(1,IFERROR(INDEX(lst_frequencia_meses,MATCH(Planos!$E160,lst_frequencia,0)),0)))=0),"●","")))</f>
      </c>
      <c r="L161" s="43">
        <f>IF(NOT(Planos!$A160&lt;&gt;""),"",IF(COUNTIFS(Programação!$B$4:$B$503,Planos!$A160,Programação!$I$4:$I$503,"Concluído",Programação!$G$4:$G$503,"&gt;="&amp;DATE(ano_ref,9,1),Programação!$G$4:$G$503,"&lt;="&amp;EOMONTH(DATE(ano_ref,9,1),0))&gt;0,"✔",IF(AND(ISNUMBER(Planos!$G160),IFERROR(INDEX(lst_frequencia_meses,MATCH(Planos!$E160,lst_frequencia,0)),0)&gt;0,(ano_ref*12+9)-(YEAR(Planos!$G160)*12+MONTH(Planos!$G160))&gt;0,MOD((ano_ref*12+9)-(YEAR(Planos!$G160)*12+MONTH(Planos!$G160)),MAX(1,IFERROR(INDEX(lst_frequencia_meses,MATCH(Planos!$E160,lst_frequencia,0)),0)))=0),"●","")))</f>
      </c>
      <c r="M161" s="43">
        <f>IF(NOT(Planos!$A160&lt;&gt;""),"",IF(COUNTIFS(Programação!$B$4:$B$503,Planos!$A160,Programação!$I$4:$I$503,"Concluído",Programação!$G$4:$G$503,"&gt;="&amp;DATE(ano_ref,10,1),Programação!$G$4:$G$503,"&lt;="&amp;EOMONTH(DATE(ano_ref,10,1),0))&gt;0,"✔",IF(AND(ISNUMBER(Planos!$G160),IFERROR(INDEX(lst_frequencia_meses,MATCH(Planos!$E160,lst_frequencia,0)),0)&gt;0,(ano_ref*12+10)-(YEAR(Planos!$G160)*12+MONTH(Planos!$G160))&gt;0,MOD((ano_ref*12+10)-(YEAR(Planos!$G160)*12+MONTH(Planos!$G160)),MAX(1,IFERROR(INDEX(lst_frequencia_meses,MATCH(Planos!$E160,lst_frequencia,0)),0)))=0),"●","")))</f>
      </c>
      <c r="N161" s="43">
        <f>IF(NOT(Planos!$A160&lt;&gt;""),"",IF(COUNTIFS(Programação!$B$4:$B$503,Planos!$A160,Programação!$I$4:$I$503,"Concluído",Programação!$G$4:$G$503,"&gt;="&amp;DATE(ano_ref,11,1),Programação!$G$4:$G$503,"&lt;="&amp;EOMONTH(DATE(ano_ref,11,1),0))&gt;0,"✔",IF(AND(ISNUMBER(Planos!$G160),IFERROR(INDEX(lst_frequencia_meses,MATCH(Planos!$E160,lst_frequencia,0)),0)&gt;0,(ano_ref*12+11)-(YEAR(Planos!$G160)*12+MONTH(Planos!$G160))&gt;0,MOD((ano_ref*12+11)-(YEAR(Planos!$G160)*12+MONTH(Planos!$G160)),MAX(1,IFERROR(INDEX(lst_frequencia_meses,MATCH(Planos!$E160,lst_frequencia,0)),0)))=0),"●","")))</f>
      </c>
      <c r="O161" s="43">
        <f>IF(NOT(Planos!$A160&lt;&gt;""),"",IF(COUNTIFS(Programação!$B$4:$B$503,Planos!$A160,Programação!$I$4:$I$503,"Concluído",Programação!$G$4:$G$503,"&gt;="&amp;DATE(ano_ref,12,1),Programação!$G$4:$G$503,"&lt;="&amp;EOMONTH(DATE(ano_ref,12,1),0))&gt;0,"✔",IF(AND(ISNUMBER(Planos!$G160),IFERROR(INDEX(lst_frequencia_meses,MATCH(Planos!$E160,lst_frequencia,0)),0)&gt;0,(ano_ref*12+12)-(YEAR(Planos!$G160)*12+MONTH(Planos!$G160))&gt;0,MOD((ano_ref*12+12)-(YEAR(Planos!$G160)*12+MONTH(Planos!$G160)),MAX(1,IFERROR(INDEX(lst_frequencia_meses,MATCH(Planos!$E160,lst_frequencia,0)),0)))=0),"●","")))</f>
      </c>
      <c r="P161" s="44">
        <f>IF(COUNTIF(D161:O161,"✔")+COUNTIF(D161:O161,"●")=0,"",COUNTIF(D161:O161,"✔")/(COUNTIF(D161:O161,"✔")+COUNTIF(D161:O161,"●")))</f>
      </c>
    </row>
    <row r="162" spans="1:16" x14ac:dyDescent="0.25">
      <c r="A162" s="43">
        <f>IF(Planos!$A161&lt;&gt;"",Planos!A161&amp;"","")</f>
      </c>
      <c r="B162" s="43">
        <f>IF(Planos!$A161&lt;&gt;"",Planos!B161&amp;"","")</f>
      </c>
      <c r="C162" s="24">
        <f>IF(Planos!$A161&lt;&gt;"",Planos!C161&amp;"","")</f>
      </c>
      <c r="D162" s="43">
        <f>IF(NOT(Planos!$A161&lt;&gt;""),"",IF(COUNTIFS(Programação!$B$4:$B$503,Planos!$A161,Programação!$I$4:$I$503,"Concluído",Programação!$G$4:$G$503,"&gt;="&amp;DATE(ano_ref,1,1),Programação!$G$4:$G$503,"&lt;="&amp;EOMONTH(DATE(ano_ref,1,1),0))&gt;0,"✔",IF(AND(ISNUMBER(Planos!$G161),IFERROR(INDEX(lst_frequencia_meses,MATCH(Planos!$E161,lst_frequencia,0)),0)&gt;0,(ano_ref*12+1)-(YEAR(Planos!$G161)*12+MONTH(Planos!$G161))&gt;0,MOD((ano_ref*12+1)-(YEAR(Planos!$G161)*12+MONTH(Planos!$G161)),MAX(1,IFERROR(INDEX(lst_frequencia_meses,MATCH(Planos!$E161,lst_frequencia,0)),0)))=0),"●","")))</f>
      </c>
      <c r="E162" s="43">
        <f>IF(NOT(Planos!$A161&lt;&gt;""),"",IF(COUNTIFS(Programação!$B$4:$B$503,Planos!$A161,Programação!$I$4:$I$503,"Concluído",Programação!$G$4:$G$503,"&gt;="&amp;DATE(ano_ref,2,1),Programação!$G$4:$G$503,"&lt;="&amp;EOMONTH(DATE(ano_ref,2,1),0))&gt;0,"✔",IF(AND(ISNUMBER(Planos!$G161),IFERROR(INDEX(lst_frequencia_meses,MATCH(Planos!$E161,lst_frequencia,0)),0)&gt;0,(ano_ref*12+2)-(YEAR(Planos!$G161)*12+MONTH(Planos!$G161))&gt;0,MOD((ano_ref*12+2)-(YEAR(Planos!$G161)*12+MONTH(Planos!$G161)),MAX(1,IFERROR(INDEX(lst_frequencia_meses,MATCH(Planos!$E161,lst_frequencia,0)),0)))=0),"●","")))</f>
      </c>
      <c r="F162" s="43">
        <f>IF(NOT(Planos!$A161&lt;&gt;""),"",IF(COUNTIFS(Programação!$B$4:$B$503,Planos!$A161,Programação!$I$4:$I$503,"Concluído",Programação!$G$4:$G$503,"&gt;="&amp;DATE(ano_ref,3,1),Programação!$G$4:$G$503,"&lt;="&amp;EOMONTH(DATE(ano_ref,3,1),0))&gt;0,"✔",IF(AND(ISNUMBER(Planos!$G161),IFERROR(INDEX(lst_frequencia_meses,MATCH(Planos!$E161,lst_frequencia,0)),0)&gt;0,(ano_ref*12+3)-(YEAR(Planos!$G161)*12+MONTH(Planos!$G161))&gt;0,MOD((ano_ref*12+3)-(YEAR(Planos!$G161)*12+MONTH(Planos!$G161)),MAX(1,IFERROR(INDEX(lst_frequencia_meses,MATCH(Planos!$E161,lst_frequencia,0)),0)))=0),"●","")))</f>
      </c>
      <c r="G162" s="43">
        <f>IF(NOT(Planos!$A161&lt;&gt;""),"",IF(COUNTIFS(Programação!$B$4:$B$503,Planos!$A161,Programação!$I$4:$I$503,"Concluído",Programação!$G$4:$G$503,"&gt;="&amp;DATE(ano_ref,4,1),Programação!$G$4:$G$503,"&lt;="&amp;EOMONTH(DATE(ano_ref,4,1),0))&gt;0,"✔",IF(AND(ISNUMBER(Planos!$G161),IFERROR(INDEX(lst_frequencia_meses,MATCH(Planos!$E161,lst_frequencia,0)),0)&gt;0,(ano_ref*12+4)-(YEAR(Planos!$G161)*12+MONTH(Planos!$G161))&gt;0,MOD((ano_ref*12+4)-(YEAR(Planos!$G161)*12+MONTH(Planos!$G161)),MAX(1,IFERROR(INDEX(lst_frequencia_meses,MATCH(Planos!$E161,lst_frequencia,0)),0)))=0),"●","")))</f>
      </c>
      <c r="H162" s="43">
        <f>IF(NOT(Planos!$A161&lt;&gt;""),"",IF(COUNTIFS(Programação!$B$4:$B$503,Planos!$A161,Programação!$I$4:$I$503,"Concluído",Programação!$G$4:$G$503,"&gt;="&amp;DATE(ano_ref,5,1),Programação!$G$4:$G$503,"&lt;="&amp;EOMONTH(DATE(ano_ref,5,1),0))&gt;0,"✔",IF(AND(ISNUMBER(Planos!$G161),IFERROR(INDEX(lst_frequencia_meses,MATCH(Planos!$E161,lst_frequencia,0)),0)&gt;0,(ano_ref*12+5)-(YEAR(Planos!$G161)*12+MONTH(Planos!$G161))&gt;0,MOD((ano_ref*12+5)-(YEAR(Planos!$G161)*12+MONTH(Planos!$G161)),MAX(1,IFERROR(INDEX(lst_frequencia_meses,MATCH(Planos!$E161,lst_frequencia,0)),0)))=0),"●","")))</f>
      </c>
      <c r="I162" s="43">
        <f>IF(NOT(Planos!$A161&lt;&gt;""),"",IF(COUNTIFS(Programação!$B$4:$B$503,Planos!$A161,Programação!$I$4:$I$503,"Concluído",Programação!$G$4:$G$503,"&gt;="&amp;DATE(ano_ref,6,1),Programação!$G$4:$G$503,"&lt;="&amp;EOMONTH(DATE(ano_ref,6,1),0))&gt;0,"✔",IF(AND(ISNUMBER(Planos!$G161),IFERROR(INDEX(lst_frequencia_meses,MATCH(Planos!$E161,lst_frequencia,0)),0)&gt;0,(ano_ref*12+6)-(YEAR(Planos!$G161)*12+MONTH(Planos!$G161))&gt;0,MOD((ano_ref*12+6)-(YEAR(Planos!$G161)*12+MONTH(Planos!$G161)),MAX(1,IFERROR(INDEX(lst_frequencia_meses,MATCH(Planos!$E161,lst_frequencia,0)),0)))=0),"●","")))</f>
      </c>
      <c r="J162" s="43">
        <f>IF(NOT(Planos!$A161&lt;&gt;""),"",IF(COUNTIFS(Programação!$B$4:$B$503,Planos!$A161,Programação!$I$4:$I$503,"Concluído",Programação!$G$4:$G$503,"&gt;="&amp;DATE(ano_ref,7,1),Programação!$G$4:$G$503,"&lt;="&amp;EOMONTH(DATE(ano_ref,7,1),0))&gt;0,"✔",IF(AND(ISNUMBER(Planos!$G161),IFERROR(INDEX(lst_frequencia_meses,MATCH(Planos!$E161,lst_frequencia,0)),0)&gt;0,(ano_ref*12+7)-(YEAR(Planos!$G161)*12+MONTH(Planos!$G161))&gt;0,MOD((ano_ref*12+7)-(YEAR(Planos!$G161)*12+MONTH(Planos!$G161)),MAX(1,IFERROR(INDEX(lst_frequencia_meses,MATCH(Planos!$E161,lst_frequencia,0)),0)))=0),"●","")))</f>
      </c>
      <c r="K162" s="43">
        <f>IF(NOT(Planos!$A161&lt;&gt;""),"",IF(COUNTIFS(Programação!$B$4:$B$503,Planos!$A161,Programação!$I$4:$I$503,"Concluído",Programação!$G$4:$G$503,"&gt;="&amp;DATE(ano_ref,8,1),Programação!$G$4:$G$503,"&lt;="&amp;EOMONTH(DATE(ano_ref,8,1),0))&gt;0,"✔",IF(AND(ISNUMBER(Planos!$G161),IFERROR(INDEX(lst_frequencia_meses,MATCH(Planos!$E161,lst_frequencia,0)),0)&gt;0,(ano_ref*12+8)-(YEAR(Planos!$G161)*12+MONTH(Planos!$G161))&gt;0,MOD((ano_ref*12+8)-(YEAR(Planos!$G161)*12+MONTH(Planos!$G161)),MAX(1,IFERROR(INDEX(lst_frequencia_meses,MATCH(Planos!$E161,lst_frequencia,0)),0)))=0),"●","")))</f>
      </c>
      <c r="L162" s="43">
        <f>IF(NOT(Planos!$A161&lt;&gt;""),"",IF(COUNTIFS(Programação!$B$4:$B$503,Planos!$A161,Programação!$I$4:$I$503,"Concluído",Programação!$G$4:$G$503,"&gt;="&amp;DATE(ano_ref,9,1),Programação!$G$4:$G$503,"&lt;="&amp;EOMONTH(DATE(ano_ref,9,1),0))&gt;0,"✔",IF(AND(ISNUMBER(Planos!$G161),IFERROR(INDEX(lst_frequencia_meses,MATCH(Planos!$E161,lst_frequencia,0)),0)&gt;0,(ano_ref*12+9)-(YEAR(Planos!$G161)*12+MONTH(Planos!$G161))&gt;0,MOD((ano_ref*12+9)-(YEAR(Planos!$G161)*12+MONTH(Planos!$G161)),MAX(1,IFERROR(INDEX(lst_frequencia_meses,MATCH(Planos!$E161,lst_frequencia,0)),0)))=0),"●","")))</f>
      </c>
      <c r="M162" s="43">
        <f>IF(NOT(Planos!$A161&lt;&gt;""),"",IF(COUNTIFS(Programação!$B$4:$B$503,Planos!$A161,Programação!$I$4:$I$503,"Concluído",Programação!$G$4:$G$503,"&gt;="&amp;DATE(ano_ref,10,1),Programação!$G$4:$G$503,"&lt;="&amp;EOMONTH(DATE(ano_ref,10,1),0))&gt;0,"✔",IF(AND(ISNUMBER(Planos!$G161),IFERROR(INDEX(lst_frequencia_meses,MATCH(Planos!$E161,lst_frequencia,0)),0)&gt;0,(ano_ref*12+10)-(YEAR(Planos!$G161)*12+MONTH(Planos!$G161))&gt;0,MOD((ano_ref*12+10)-(YEAR(Planos!$G161)*12+MONTH(Planos!$G161)),MAX(1,IFERROR(INDEX(lst_frequencia_meses,MATCH(Planos!$E161,lst_frequencia,0)),0)))=0),"●","")))</f>
      </c>
      <c r="N162" s="43">
        <f>IF(NOT(Planos!$A161&lt;&gt;""),"",IF(COUNTIFS(Programação!$B$4:$B$503,Planos!$A161,Programação!$I$4:$I$503,"Concluído",Programação!$G$4:$G$503,"&gt;="&amp;DATE(ano_ref,11,1),Programação!$G$4:$G$503,"&lt;="&amp;EOMONTH(DATE(ano_ref,11,1),0))&gt;0,"✔",IF(AND(ISNUMBER(Planos!$G161),IFERROR(INDEX(lst_frequencia_meses,MATCH(Planos!$E161,lst_frequencia,0)),0)&gt;0,(ano_ref*12+11)-(YEAR(Planos!$G161)*12+MONTH(Planos!$G161))&gt;0,MOD((ano_ref*12+11)-(YEAR(Planos!$G161)*12+MONTH(Planos!$G161)),MAX(1,IFERROR(INDEX(lst_frequencia_meses,MATCH(Planos!$E161,lst_frequencia,0)),0)))=0),"●","")))</f>
      </c>
      <c r="O162" s="43">
        <f>IF(NOT(Planos!$A161&lt;&gt;""),"",IF(COUNTIFS(Programação!$B$4:$B$503,Planos!$A161,Programação!$I$4:$I$503,"Concluído",Programação!$G$4:$G$503,"&gt;="&amp;DATE(ano_ref,12,1),Programação!$G$4:$G$503,"&lt;="&amp;EOMONTH(DATE(ano_ref,12,1),0))&gt;0,"✔",IF(AND(ISNUMBER(Planos!$G161),IFERROR(INDEX(lst_frequencia_meses,MATCH(Planos!$E161,lst_frequencia,0)),0)&gt;0,(ano_ref*12+12)-(YEAR(Planos!$G161)*12+MONTH(Planos!$G161))&gt;0,MOD((ano_ref*12+12)-(YEAR(Planos!$G161)*12+MONTH(Planos!$G161)),MAX(1,IFERROR(INDEX(lst_frequencia_meses,MATCH(Planos!$E161,lst_frequencia,0)),0)))=0),"●","")))</f>
      </c>
      <c r="P162" s="44">
        <f>IF(COUNTIF(D162:O162,"✔")+COUNTIF(D162:O162,"●")=0,"",COUNTIF(D162:O162,"✔")/(COUNTIF(D162:O162,"✔")+COUNTIF(D162:O162,"●")))</f>
      </c>
    </row>
    <row r="163" spans="1:16" x14ac:dyDescent="0.25">
      <c r="A163" s="43">
        <f>IF(Planos!$A162&lt;&gt;"",Planos!A162&amp;"","")</f>
      </c>
      <c r="B163" s="43">
        <f>IF(Planos!$A162&lt;&gt;"",Planos!B162&amp;"","")</f>
      </c>
      <c r="C163" s="24">
        <f>IF(Planos!$A162&lt;&gt;"",Planos!C162&amp;"","")</f>
      </c>
      <c r="D163" s="43">
        <f>IF(NOT(Planos!$A162&lt;&gt;""),"",IF(COUNTIFS(Programação!$B$4:$B$503,Planos!$A162,Programação!$I$4:$I$503,"Concluído",Programação!$G$4:$G$503,"&gt;="&amp;DATE(ano_ref,1,1),Programação!$G$4:$G$503,"&lt;="&amp;EOMONTH(DATE(ano_ref,1,1),0))&gt;0,"✔",IF(AND(ISNUMBER(Planos!$G162),IFERROR(INDEX(lst_frequencia_meses,MATCH(Planos!$E162,lst_frequencia,0)),0)&gt;0,(ano_ref*12+1)-(YEAR(Planos!$G162)*12+MONTH(Planos!$G162))&gt;0,MOD((ano_ref*12+1)-(YEAR(Planos!$G162)*12+MONTH(Planos!$G162)),MAX(1,IFERROR(INDEX(lst_frequencia_meses,MATCH(Planos!$E162,lst_frequencia,0)),0)))=0),"●","")))</f>
      </c>
      <c r="E163" s="43">
        <f>IF(NOT(Planos!$A162&lt;&gt;""),"",IF(COUNTIFS(Programação!$B$4:$B$503,Planos!$A162,Programação!$I$4:$I$503,"Concluído",Programação!$G$4:$G$503,"&gt;="&amp;DATE(ano_ref,2,1),Programação!$G$4:$G$503,"&lt;="&amp;EOMONTH(DATE(ano_ref,2,1),0))&gt;0,"✔",IF(AND(ISNUMBER(Planos!$G162),IFERROR(INDEX(lst_frequencia_meses,MATCH(Planos!$E162,lst_frequencia,0)),0)&gt;0,(ano_ref*12+2)-(YEAR(Planos!$G162)*12+MONTH(Planos!$G162))&gt;0,MOD((ano_ref*12+2)-(YEAR(Planos!$G162)*12+MONTH(Planos!$G162)),MAX(1,IFERROR(INDEX(lst_frequencia_meses,MATCH(Planos!$E162,lst_frequencia,0)),0)))=0),"●","")))</f>
      </c>
      <c r="F163" s="43">
        <f>IF(NOT(Planos!$A162&lt;&gt;""),"",IF(COUNTIFS(Programação!$B$4:$B$503,Planos!$A162,Programação!$I$4:$I$503,"Concluído",Programação!$G$4:$G$503,"&gt;="&amp;DATE(ano_ref,3,1),Programação!$G$4:$G$503,"&lt;="&amp;EOMONTH(DATE(ano_ref,3,1),0))&gt;0,"✔",IF(AND(ISNUMBER(Planos!$G162),IFERROR(INDEX(lst_frequencia_meses,MATCH(Planos!$E162,lst_frequencia,0)),0)&gt;0,(ano_ref*12+3)-(YEAR(Planos!$G162)*12+MONTH(Planos!$G162))&gt;0,MOD((ano_ref*12+3)-(YEAR(Planos!$G162)*12+MONTH(Planos!$G162)),MAX(1,IFERROR(INDEX(lst_frequencia_meses,MATCH(Planos!$E162,lst_frequencia,0)),0)))=0),"●","")))</f>
      </c>
      <c r="G163" s="43">
        <f>IF(NOT(Planos!$A162&lt;&gt;""),"",IF(COUNTIFS(Programação!$B$4:$B$503,Planos!$A162,Programação!$I$4:$I$503,"Concluído",Programação!$G$4:$G$503,"&gt;="&amp;DATE(ano_ref,4,1),Programação!$G$4:$G$503,"&lt;="&amp;EOMONTH(DATE(ano_ref,4,1),0))&gt;0,"✔",IF(AND(ISNUMBER(Planos!$G162),IFERROR(INDEX(lst_frequencia_meses,MATCH(Planos!$E162,lst_frequencia,0)),0)&gt;0,(ano_ref*12+4)-(YEAR(Planos!$G162)*12+MONTH(Planos!$G162))&gt;0,MOD((ano_ref*12+4)-(YEAR(Planos!$G162)*12+MONTH(Planos!$G162)),MAX(1,IFERROR(INDEX(lst_frequencia_meses,MATCH(Planos!$E162,lst_frequencia,0)),0)))=0),"●","")))</f>
      </c>
      <c r="H163" s="43">
        <f>IF(NOT(Planos!$A162&lt;&gt;""),"",IF(COUNTIFS(Programação!$B$4:$B$503,Planos!$A162,Programação!$I$4:$I$503,"Concluído",Programação!$G$4:$G$503,"&gt;="&amp;DATE(ano_ref,5,1),Programação!$G$4:$G$503,"&lt;="&amp;EOMONTH(DATE(ano_ref,5,1),0))&gt;0,"✔",IF(AND(ISNUMBER(Planos!$G162),IFERROR(INDEX(lst_frequencia_meses,MATCH(Planos!$E162,lst_frequencia,0)),0)&gt;0,(ano_ref*12+5)-(YEAR(Planos!$G162)*12+MONTH(Planos!$G162))&gt;0,MOD((ano_ref*12+5)-(YEAR(Planos!$G162)*12+MONTH(Planos!$G162)),MAX(1,IFERROR(INDEX(lst_frequencia_meses,MATCH(Planos!$E162,lst_frequencia,0)),0)))=0),"●","")))</f>
      </c>
      <c r="I163" s="43">
        <f>IF(NOT(Planos!$A162&lt;&gt;""),"",IF(COUNTIFS(Programação!$B$4:$B$503,Planos!$A162,Programação!$I$4:$I$503,"Concluído",Programação!$G$4:$G$503,"&gt;="&amp;DATE(ano_ref,6,1),Programação!$G$4:$G$503,"&lt;="&amp;EOMONTH(DATE(ano_ref,6,1),0))&gt;0,"✔",IF(AND(ISNUMBER(Planos!$G162),IFERROR(INDEX(lst_frequencia_meses,MATCH(Planos!$E162,lst_frequencia,0)),0)&gt;0,(ano_ref*12+6)-(YEAR(Planos!$G162)*12+MONTH(Planos!$G162))&gt;0,MOD((ano_ref*12+6)-(YEAR(Planos!$G162)*12+MONTH(Planos!$G162)),MAX(1,IFERROR(INDEX(lst_frequencia_meses,MATCH(Planos!$E162,lst_frequencia,0)),0)))=0),"●","")))</f>
      </c>
      <c r="J163" s="43">
        <f>IF(NOT(Planos!$A162&lt;&gt;""),"",IF(COUNTIFS(Programação!$B$4:$B$503,Planos!$A162,Programação!$I$4:$I$503,"Concluído",Programação!$G$4:$G$503,"&gt;="&amp;DATE(ano_ref,7,1),Programação!$G$4:$G$503,"&lt;="&amp;EOMONTH(DATE(ano_ref,7,1),0))&gt;0,"✔",IF(AND(ISNUMBER(Planos!$G162),IFERROR(INDEX(lst_frequencia_meses,MATCH(Planos!$E162,lst_frequencia,0)),0)&gt;0,(ano_ref*12+7)-(YEAR(Planos!$G162)*12+MONTH(Planos!$G162))&gt;0,MOD((ano_ref*12+7)-(YEAR(Planos!$G162)*12+MONTH(Planos!$G162)),MAX(1,IFERROR(INDEX(lst_frequencia_meses,MATCH(Planos!$E162,lst_frequencia,0)),0)))=0),"●","")))</f>
      </c>
      <c r="K163" s="43">
        <f>IF(NOT(Planos!$A162&lt;&gt;""),"",IF(COUNTIFS(Programação!$B$4:$B$503,Planos!$A162,Programação!$I$4:$I$503,"Concluído",Programação!$G$4:$G$503,"&gt;="&amp;DATE(ano_ref,8,1),Programação!$G$4:$G$503,"&lt;="&amp;EOMONTH(DATE(ano_ref,8,1),0))&gt;0,"✔",IF(AND(ISNUMBER(Planos!$G162),IFERROR(INDEX(lst_frequencia_meses,MATCH(Planos!$E162,lst_frequencia,0)),0)&gt;0,(ano_ref*12+8)-(YEAR(Planos!$G162)*12+MONTH(Planos!$G162))&gt;0,MOD((ano_ref*12+8)-(YEAR(Planos!$G162)*12+MONTH(Planos!$G162)),MAX(1,IFERROR(INDEX(lst_frequencia_meses,MATCH(Planos!$E162,lst_frequencia,0)),0)))=0),"●","")))</f>
      </c>
      <c r="L163" s="43">
        <f>IF(NOT(Planos!$A162&lt;&gt;""),"",IF(COUNTIFS(Programação!$B$4:$B$503,Planos!$A162,Programação!$I$4:$I$503,"Concluído",Programação!$G$4:$G$503,"&gt;="&amp;DATE(ano_ref,9,1),Programação!$G$4:$G$503,"&lt;="&amp;EOMONTH(DATE(ano_ref,9,1),0))&gt;0,"✔",IF(AND(ISNUMBER(Planos!$G162),IFERROR(INDEX(lst_frequencia_meses,MATCH(Planos!$E162,lst_frequencia,0)),0)&gt;0,(ano_ref*12+9)-(YEAR(Planos!$G162)*12+MONTH(Planos!$G162))&gt;0,MOD((ano_ref*12+9)-(YEAR(Planos!$G162)*12+MONTH(Planos!$G162)),MAX(1,IFERROR(INDEX(lst_frequencia_meses,MATCH(Planos!$E162,lst_frequencia,0)),0)))=0),"●","")))</f>
      </c>
      <c r="M163" s="43">
        <f>IF(NOT(Planos!$A162&lt;&gt;""),"",IF(COUNTIFS(Programação!$B$4:$B$503,Planos!$A162,Programação!$I$4:$I$503,"Concluído",Programação!$G$4:$G$503,"&gt;="&amp;DATE(ano_ref,10,1),Programação!$G$4:$G$503,"&lt;="&amp;EOMONTH(DATE(ano_ref,10,1),0))&gt;0,"✔",IF(AND(ISNUMBER(Planos!$G162),IFERROR(INDEX(lst_frequencia_meses,MATCH(Planos!$E162,lst_frequencia,0)),0)&gt;0,(ano_ref*12+10)-(YEAR(Planos!$G162)*12+MONTH(Planos!$G162))&gt;0,MOD((ano_ref*12+10)-(YEAR(Planos!$G162)*12+MONTH(Planos!$G162)),MAX(1,IFERROR(INDEX(lst_frequencia_meses,MATCH(Planos!$E162,lst_frequencia,0)),0)))=0),"●","")))</f>
      </c>
      <c r="N163" s="43">
        <f>IF(NOT(Planos!$A162&lt;&gt;""),"",IF(COUNTIFS(Programação!$B$4:$B$503,Planos!$A162,Programação!$I$4:$I$503,"Concluído",Programação!$G$4:$G$503,"&gt;="&amp;DATE(ano_ref,11,1),Programação!$G$4:$G$503,"&lt;="&amp;EOMONTH(DATE(ano_ref,11,1),0))&gt;0,"✔",IF(AND(ISNUMBER(Planos!$G162),IFERROR(INDEX(lst_frequencia_meses,MATCH(Planos!$E162,lst_frequencia,0)),0)&gt;0,(ano_ref*12+11)-(YEAR(Planos!$G162)*12+MONTH(Planos!$G162))&gt;0,MOD((ano_ref*12+11)-(YEAR(Planos!$G162)*12+MONTH(Planos!$G162)),MAX(1,IFERROR(INDEX(lst_frequencia_meses,MATCH(Planos!$E162,lst_frequencia,0)),0)))=0),"●","")))</f>
      </c>
      <c r="O163" s="43">
        <f>IF(NOT(Planos!$A162&lt;&gt;""),"",IF(COUNTIFS(Programação!$B$4:$B$503,Planos!$A162,Programação!$I$4:$I$503,"Concluído",Programação!$G$4:$G$503,"&gt;="&amp;DATE(ano_ref,12,1),Programação!$G$4:$G$503,"&lt;="&amp;EOMONTH(DATE(ano_ref,12,1),0))&gt;0,"✔",IF(AND(ISNUMBER(Planos!$G162),IFERROR(INDEX(lst_frequencia_meses,MATCH(Planos!$E162,lst_frequencia,0)),0)&gt;0,(ano_ref*12+12)-(YEAR(Planos!$G162)*12+MONTH(Planos!$G162))&gt;0,MOD((ano_ref*12+12)-(YEAR(Planos!$G162)*12+MONTH(Planos!$G162)),MAX(1,IFERROR(INDEX(lst_frequencia_meses,MATCH(Planos!$E162,lst_frequencia,0)),0)))=0),"●","")))</f>
      </c>
      <c r="P163" s="44">
        <f>IF(COUNTIF(D163:O163,"✔")+COUNTIF(D163:O163,"●")=0,"",COUNTIF(D163:O163,"✔")/(COUNTIF(D163:O163,"✔")+COUNTIF(D163:O163,"●")))</f>
      </c>
    </row>
    <row r="164" spans="1:16" x14ac:dyDescent="0.25">
      <c r="A164" s="43">
        <f>IF(Planos!$A163&lt;&gt;"",Planos!A163&amp;"","")</f>
      </c>
      <c r="B164" s="43">
        <f>IF(Planos!$A163&lt;&gt;"",Planos!B163&amp;"","")</f>
      </c>
      <c r="C164" s="24">
        <f>IF(Planos!$A163&lt;&gt;"",Planos!C163&amp;"","")</f>
      </c>
      <c r="D164" s="43">
        <f>IF(NOT(Planos!$A163&lt;&gt;""),"",IF(COUNTIFS(Programação!$B$4:$B$503,Planos!$A163,Programação!$I$4:$I$503,"Concluído",Programação!$G$4:$G$503,"&gt;="&amp;DATE(ano_ref,1,1),Programação!$G$4:$G$503,"&lt;="&amp;EOMONTH(DATE(ano_ref,1,1),0))&gt;0,"✔",IF(AND(ISNUMBER(Planos!$G163),IFERROR(INDEX(lst_frequencia_meses,MATCH(Planos!$E163,lst_frequencia,0)),0)&gt;0,(ano_ref*12+1)-(YEAR(Planos!$G163)*12+MONTH(Planos!$G163))&gt;0,MOD((ano_ref*12+1)-(YEAR(Planos!$G163)*12+MONTH(Planos!$G163)),MAX(1,IFERROR(INDEX(lst_frequencia_meses,MATCH(Planos!$E163,lst_frequencia,0)),0)))=0),"●","")))</f>
      </c>
      <c r="E164" s="43">
        <f>IF(NOT(Planos!$A163&lt;&gt;""),"",IF(COUNTIFS(Programação!$B$4:$B$503,Planos!$A163,Programação!$I$4:$I$503,"Concluído",Programação!$G$4:$G$503,"&gt;="&amp;DATE(ano_ref,2,1),Programação!$G$4:$G$503,"&lt;="&amp;EOMONTH(DATE(ano_ref,2,1),0))&gt;0,"✔",IF(AND(ISNUMBER(Planos!$G163),IFERROR(INDEX(lst_frequencia_meses,MATCH(Planos!$E163,lst_frequencia,0)),0)&gt;0,(ano_ref*12+2)-(YEAR(Planos!$G163)*12+MONTH(Planos!$G163))&gt;0,MOD((ano_ref*12+2)-(YEAR(Planos!$G163)*12+MONTH(Planos!$G163)),MAX(1,IFERROR(INDEX(lst_frequencia_meses,MATCH(Planos!$E163,lst_frequencia,0)),0)))=0),"●","")))</f>
      </c>
      <c r="F164" s="43">
        <f>IF(NOT(Planos!$A163&lt;&gt;""),"",IF(COUNTIFS(Programação!$B$4:$B$503,Planos!$A163,Programação!$I$4:$I$503,"Concluído",Programação!$G$4:$G$503,"&gt;="&amp;DATE(ano_ref,3,1),Programação!$G$4:$G$503,"&lt;="&amp;EOMONTH(DATE(ano_ref,3,1),0))&gt;0,"✔",IF(AND(ISNUMBER(Planos!$G163),IFERROR(INDEX(lst_frequencia_meses,MATCH(Planos!$E163,lst_frequencia,0)),0)&gt;0,(ano_ref*12+3)-(YEAR(Planos!$G163)*12+MONTH(Planos!$G163))&gt;0,MOD((ano_ref*12+3)-(YEAR(Planos!$G163)*12+MONTH(Planos!$G163)),MAX(1,IFERROR(INDEX(lst_frequencia_meses,MATCH(Planos!$E163,lst_frequencia,0)),0)))=0),"●","")))</f>
      </c>
      <c r="G164" s="43">
        <f>IF(NOT(Planos!$A163&lt;&gt;""),"",IF(COUNTIFS(Programação!$B$4:$B$503,Planos!$A163,Programação!$I$4:$I$503,"Concluído",Programação!$G$4:$G$503,"&gt;="&amp;DATE(ano_ref,4,1),Programação!$G$4:$G$503,"&lt;="&amp;EOMONTH(DATE(ano_ref,4,1),0))&gt;0,"✔",IF(AND(ISNUMBER(Planos!$G163),IFERROR(INDEX(lst_frequencia_meses,MATCH(Planos!$E163,lst_frequencia,0)),0)&gt;0,(ano_ref*12+4)-(YEAR(Planos!$G163)*12+MONTH(Planos!$G163))&gt;0,MOD((ano_ref*12+4)-(YEAR(Planos!$G163)*12+MONTH(Planos!$G163)),MAX(1,IFERROR(INDEX(lst_frequencia_meses,MATCH(Planos!$E163,lst_frequencia,0)),0)))=0),"●","")))</f>
      </c>
      <c r="H164" s="43">
        <f>IF(NOT(Planos!$A163&lt;&gt;""),"",IF(COUNTIFS(Programação!$B$4:$B$503,Planos!$A163,Programação!$I$4:$I$503,"Concluído",Programação!$G$4:$G$503,"&gt;="&amp;DATE(ano_ref,5,1),Programação!$G$4:$G$503,"&lt;="&amp;EOMONTH(DATE(ano_ref,5,1),0))&gt;0,"✔",IF(AND(ISNUMBER(Planos!$G163),IFERROR(INDEX(lst_frequencia_meses,MATCH(Planos!$E163,lst_frequencia,0)),0)&gt;0,(ano_ref*12+5)-(YEAR(Planos!$G163)*12+MONTH(Planos!$G163))&gt;0,MOD((ano_ref*12+5)-(YEAR(Planos!$G163)*12+MONTH(Planos!$G163)),MAX(1,IFERROR(INDEX(lst_frequencia_meses,MATCH(Planos!$E163,lst_frequencia,0)),0)))=0),"●","")))</f>
      </c>
      <c r="I164" s="43">
        <f>IF(NOT(Planos!$A163&lt;&gt;""),"",IF(COUNTIFS(Programação!$B$4:$B$503,Planos!$A163,Programação!$I$4:$I$503,"Concluído",Programação!$G$4:$G$503,"&gt;="&amp;DATE(ano_ref,6,1),Programação!$G$4:$G$503,"&lt;="&amp;EOMONTH(DATE(ano_ref,6,1),0))&gt;0,"✔",IF(AND(ISNUMBER(Planos!$G163),IFERROR(INDEX(lst_frequencia_meses,MATCH(Planos!$E163,lst_frequencia,0)),0)&gt;0,(ano_ref*12+6)-(YEAR(Planos!$G163)*12+MONTH(Planos!$G163))&gt;0,MOD((ano_ref*12+6)-(YEAR(Planos!$G163)*12+MONTH(Planos!$G163)),MAX(1,IFERROR(INDEX(lst_frequencia_meses,MATCH(Planos!$E163,lst_frequencia,0)),0)))=0),"●","")))</f>
      </c>
      <c r="J164" s="43">
        <f>IF(NOT(Planos!$A163&lt;&gt;""),"",IF(COUNTIFS(Programação!$B$4:$B$503,Planos!$A163,Programação!$I$4:$I$503,"Concluído",Programação!$G$4:$G$503,"&gt;="&amp;DATE(ano_ref,7,1),Programação!$G$4:$G$503,"&lt;="&amp;EOMONTH(DATE(ano_ref,7,1),0))&gt;0,"✔",IF(AND(ISNUMBER(Planos!$G163),IFERROR(INDEX(lst_frequencia_meses,MATCH(Planos!$E163,lst_frequencia,0)),0)&gt;0,(ano_ref*12+7)-(YEAR(Planos!$G163)*12+MONTH(Planos!$G163))&gt;0,MOD((ano_ref*12+7)-(YEAR(Planos!$G163)*12+MONTH(Planos!$G163)),MAX(1,IFERROR(INDEX(lst_frequencia_meses,MATCH(Planos!$E163,lst_frequencia,0)),0)))=0),"●","")))</f>
      </c>
      <c r="K164" s="43">
        <f>IF(NOT(Planos!$A163&lt;&gt;""),"",IF(COUNTIFS(Programação!$B$4:$B$503,Planos!$A163,Programação!$I$4:$I$503,"Concluído",Programação!$G$4:$G$503,"&gt;="&amp;DATE(ano_ref,8,1),Programação!$G$4:$G$503,"&lt;="&amp;EOMONTH(DATE(ano_ref,8,1),0))&gt;0,"✔",IF(AND(ISNUMBER(Planos!$G163),IFERROR(INDEX(lst_frequencia_meses,MATCH(Planos!$E163,lst_frequencia,0)),0)&gt;0,(ano_ref*12+8)-(YEAR(Planos!$G163)*12+MONTH(Planos!$G163))&gt;0,MOD((ano_ref*12+8)-(YEAR(Planos!$G163)*12+MONTH(Planos!$G163)),MAX(1,IFERROR(INDEX(lst_frequencia_meses,MATCH(Planos!$E163,lst_frequencia,0)),0)))=0),"●","")))</f>
      </c>
      <c r="L164" s="43">
        <f>IF(NOT(Planos!$A163&lt;&gt;""),"",IF(COUNTIFS(Programação!$B$4:$B$503,Planos!$A163,Programação!$I$4:$I$503,"Concluído",Programação!$G$4:$G$503,"&gt;="&amp;DATE(ano_ref,9,1),Programação!$G$4:$G$503,"&lt;="&amp;EOMONTH(DATE(ano_ref,9,1),0))&gt;0,"✔",IF(AND(ISNUMBER(Planos!$G163),IFERROR(INDEX(lst_frequencia_meses,MATCH(Planos!$E163,lst_frequencia,0)),0)&gt;0,(ano_ref*12+9)-(YEAR(Planos!$G163)*12+MONTH(Planos!$G163))&gt;0,MOD((ano_ref*12+9)-(YEAR(Planos!$G163)*12+MONTH(Planos!$G163)),MAX(1,IFERROR(INDEX(lst_frequencia_meses,MATCH(Planos!$E163,lst_frequencia,0)),0)))=0),"●","")))</f>
      </c>
      <c r="M164" s="43">
        <f>IF(NOT(Planos!$A163&lt;&gt;""),"",IF(COUNTIFS(Programação!$B$4:$B$503,Planos!$A163,Programação!$I$4:$I$503,"Concluído",Programação!$G$4:$G$503,"&gt;="&amp;DATE(ano_ref,10,1),Programação!$G$4:$G$503,"&lt;="&amp;EOMONTH(DATE(ano_ref,10,1),0))&gt;0,"✔",IF(AND(ISNUMBER(Planos!$G163),IFERROR(INDEX(lst_frequencia_meses,MATCH(Planos!$E163,lst_frequencia,0)),0)&gt;0,(ano_ref*12+10)-(YEAR(Planos!$G163)*12+MONTH(Planos!$G163))&gt;0,MOD((ano_ref*12+10)-(YEAR(Planos!$G163)*12+MONTH(Planos!$G163)),MAX(1,IFERROR(INDEX(lst_frequencia_meses,MATCH(Planos!$E163,lst_frequencia,0)),0)))=0),"●","")))</f>
      </c>
      <c r="N164" s="43">
        <f>IF(NOT(Planos!$A163&lt;&gt;""),"",IF(COUNTIFS(Programação!$B$4:$B$503,Planos!$A163,Programação!$I$4:$I$503,"Concluído",Programação!$G$4:$G$503,"&gt;="&amp;DATE(ano_ref,11,1),Programação!$G$4:$G$503,"&lt;="&amp;EOMONTH(DATE(ano_ref,11,1),0))&gt;0,"✔",IF(AND(ISNUMBER(Planos!$G163),IFERROR(INDEX(lst_frequencia_meses,MATCH(Planos!$E163,lst_frequencia,0)),0)&gt;0,(ano_ref*12+11)-(YEAR(Planos!$G163)*12+MONTH(Planos!$G163))&gt;0,MOD((ano_ref*12+11)-(YEAR(Planos!$G163)*12+MONTH(Planos!$G163)),MAX(1,IFERROR(INDEX(lst_frequencia_meses,MATCH(Planos!$E163,lst_frequencia,0)),0)))=0),"●","")))</f>
      </c>
      <c r="O164" s="43">
        <f>IF(NOT(Planos!$A163&lt;&gt;""),"",IF(COUNTIFS(Programação!$B$4:$B$503,Planos!$A163,Programação!$I$4:$I$503,"Concluído",Programação!$G$4:$G$503,"&gt;="&amp;DATE(ano_ref,12,1),Programação!$G$4:$G$503,"&lt;="&amp;EOMONTH(DATE(ano_ref,12,1),0))&gt;0,"✔",IF(AND(ISNUMBER(Planos!$G163),IFERROR(INDEX(lst_frequencia_meses,MATCH(Planos!$E163,lst_frequencia,0)),0)&gt;0,(ano_ref*12+12)-(YEAR(Planos!$G163)*12+MONTH(Planos!$G163))&gt;0,MOD((ano_ref*12+12)-(YEAR(Planos!$G163)*12+MONTH(Planos!$G163)),MAX(1,IFERROR(INDEX(lst_frequencia_meses,MATCH(Planos!$E163,lst_frequencia,0)),0)))=0),"●","")))</f>
      </c>
      <c r="P164" s="44">
        <f>IF(COUNTIF(D164:O164,"✔")+COUNTIF(D164:O164,"●")=0,"",COUNTIF(D164:O164,"✔")/(COUNTIF(D164:O164,"✔")+COUNTIF(D164:O164,"●")))</f>
      </c>
    </row>
    <row r="165" spans="1:16" x14ac:dyDescent="0.25">
      <c r="A165" s="43">
        <f>IF(Planos!$A164&lt;&gt;"",Planos!A164&amp;"","")</f>
      </c>
      <c r="B165" s="43">
        <f>IF(Planos!$A164&lt;&gt;"",Planos!B164&amp;"","")</f>
      </c>
      <c r="C165" s="24">
        <f>IF(Planos!$A164&lt;&gt;"",Planos!C164&amp;"","")</f>
      </c>
      <c r="D165" s="43">
        <f>IF(NOT(Planos!$A164&lt;&gt;""),"",IF(COUNTIFS(Programação!$B$4:$B$503,Planos!$A164,Programação!$I$4:$I$503,"Concluído",Programação!$G$4:$G$503,"&gt;="&amp;DATE(ano_ref,1,1),Programação!$G$4:$G$503,"&lt;="&amp;EOMONTH(DATE(ano_ref,1,1),0))&gt;0,"✔",IF(AND(ISNUMBER(Planos!$G164),IFERROR(INDEX(lst_frequencia_meses,MATCH(Planos!$E164,lst_frequencia,0)),0)&gt;0,(ano_ref*12+1)-(YEAR(Planos!$G164)*12+MONTH(Planos!$G164))&gt;0,MOD((ano_ref*12+1)-(YEAR(Planos!$G164)*12+MONTH(Planos!$G164)),MAX(1,IFERROR(INDEX(lst_frequencia_meses,MATCH(Planos!$E164,lst_frequencia,0)),0)))=0),"●","")))</f>
      </c>
      <c r="E165" s="43">
        <f>IF(NOT(Planos!$A164&lt;&gt;""),"",IF(COUNTIFS(Programação!$B$4:$B$503,Planos!$A164,Programação!$I$4:$I$503,"Concluído",Programação!$G$4:$G$503,"&gt;="&amp;DATE(ano_ref,2,1),Programação!$G$4:$G$503,"&lt;="&amp;EOMONTH(DATE(ano_ref,2,1),0))&gt;0,"✔",IF(AND(ISNUMBER(Planos!$G164),IFERROR(INDEX(lst_frequencia_meses,MATCH(Planos!$E164,lst_frequencia,0)),0)&gt;0,(ano_ref*12+2)-(YEAR(Planos!$G164)*12+MONTH(Planos!$G164))&gt;0,MOD((ano_ref*12+2)-(YEAR(Planos!$G164)*12+MONTH(Planos!$G164)),MAX(1,IFERROR(INDEX(lst_frequencia_meses,MATCH(Planos!$E164,lst_frequencia,0)),0)))=0),"●","")))</f>
      </c>
      <c r="F165" s="43">
        <f>IF(NOT(Planos!$A164&lt;&gt;""),"",IF(COUNTIFS(Programação!$B$4:$B$503,Planos!$A164,Programação!$I$4:$I$503,"Concluído",Programação!$G$4:$G$503,"&gt;="&amp;DATE(ano_ref,3,1),Programação!$G$4:$G$503,"&lt;="&amp;EOMONTH(DATE(ano_ref,3,1),0))&gt;0,"✔",IF(AND(ISNUMBER(Planos!$G164),IFERROR(INDEX(lst_frequencia_meses,MATCH(Planos!$E164,lst_frequencia,0)),0)&gt;0,(ano_ref*12+3)-(YEAR(Planos!$G164)*12+MONTH(Planos!$G164))&gt;0,MOD((ano_ref*12+3)-(YEAR(Planos!$G164)*12+MONTH(Planos!$G164)),MAX(1,IFERROR(INDEX(lst_frequencia_meses,MATCH(Planos!$E164,lst_frequencia,0)),0)))=0),"●","")))</f>
      </c>
      <c r="G165" s="43">
        <f>IF(NOT(Planos!$A164&lt;&gt;""),"",IF(COUNTIFS(Programação!$B$4:$B$503,Planos!$A164,Programação!$I$4:$I$503,"Concluído",Programação!$G$4:$G$503,"&gt;="&amp;DATE(ano_ref,4,1),Programação!$G$4:$G$503,"&lt;="&amp;EOMONTH(DATE(ano_ref,4,1),0))&gt;0,"✔",IF(AND(ISNUMBER(Planos!$G164),IFERROR(INDEX(lst_frequencia_meses,MATCH(Planos!$E164,lst_frequencia,0)),0)&gt;0,(ano_ref*12+4)-(YEAR(Planos!$G164)*12+MONTH(Planos!$G164))&gt;0,MOD((ano_ref*12+4)-(YEAR(Planos!$G164)*12+MONTH(Planos!$G164)),MAX(1,IFERROR(INDEX(lst_frequencia_meses,MATCH(Planos!$E164,lst_frequencia,0)),0)))=0),"●","")))</f>
      </c>
      <c r="H165" s="43">
        <f>IF(NOT(Planos!$A164&lt;&gt;""),"",IF(COUNTIFS(Programação!$B$4:$B$503,Planos!$A164,Programação!$I$4:$I$503,"Concluído",Programação!$G$4:$G$503,"&gt;="&amp;DATE(ano_ref,5,1),Programação!$G$4:$G$503,"&lt;="&amp;EOMONTH(DATE(ano_ref,5,1),0))&gt;0,"✔",IF(AND(ISNUMBER(Planos!$G164),IFERROR(INDEX(lst_frequencia_meses,MATCH(Planos!$E164,lst_frequencia,0)),0)&gt;0,(ano_ref*12+5)-(YEAR(Planos!$G164)*12+MONTH(Planos!$G164))&gt;0,MOD((ano_ref*12+5)-(YEAR(Planos!$G164)*12+MONTH(Planos!$G164)),MAX(1,IFERROR(INDEX(lst_frequencia_meses,MATCH(Planos!$E164,lst_frequencia,0)),0)))=0),"●","")))</f>
      </c>
      <c r="I165" s="43">
        <f>IF(NOT(Planos!$A164&lt;&gt;""),"",IF(COUNTIFS(Programação!$B$4:$B$503,Planos!$A164,Programação!$I$4:$I$503,"Concluído",Programação!$G$4:$G$503,"&gt;="&amp;DATE(ano_ref,6,1),Programação!$G$4:$G$503,"&lt;="&amp;EOMONTH(DATE(ano_ref,6,1),0))&gt;0,"✔",IF(AND(ISNUMBER(Planos!$G164),IFERROR(INDEX(lst_frequencia_meses,MATCH(Planos!$E164,lst_frequencia,0)),0)&gt;0,(ano_ref*12+6)-(YEAR(Planos!$G164)*12+MONTH(Planos!$G164))&gt;0,MOD((ano_ref*12+6)-(YEAR(Planos!$G164)*12+MONTH(Planos!$G164)),MAX(1,IFERROR(INDEX(lst_frequencia_meses,MATCH(Planos!$E164,lst_frequencia,0)),0)))=0),"●","")))</f>
      </c>
      <c r="J165" s="43">
        <f>IF(NOT(Planos!$A164&lt;&gt;""),"",IF(COUNTIFS(Programação!$B$4:$B$503,Planos!$A164,Programação!$I$4:$I$503,"Concluído",Programação!$G$4:$G$503,"&gt;="&amp;DATE(ano_ref,7,1),Programação!$G$4:$G$503,"&lt;="&amp;EOMONTH(DATE(ano_ref,7,1),0))&gt;0,"✔",IF(AND(ISNUMBER(Planos!$G164),IFERROR(INDEX(lst_frequencia_meses,MATCH(Planos!$E164,lst_frequencia,0)),0)&gt;0,(ano_ref*12+7)-(YEAR(Planos!$G164)*12+MONTH(Planos!$G164))&gt;0,MOD((ano_ref*12+7)-(YEAR(Planos!$G164)*12+MONTH(Planos!$G164)),MAX(1,IFERROR(INDEX(lst_frequencia_meses,MATCH(Planos!$E164,lst_frequencia,0)),0)))=0),"●","")))</f>
      </c>
      <c r="K165" s="43">
        <f>IF(NOT(Planos!$A164&lt;&gt;""),"",IF(COUNTIFS(Programação!$B$4:$B$503,Planos!$A164,Programação!$I$4:$I$503,"Concluído",Programação!$G$4:$G$503,"&gt;="&amp;DATE(ano_ref,8,1),Programação!$G$4:$G$503,"&lt;="&amp;EOMONTH(DATE(ano_ref,8,1),0))&gt;0,"✔",IF(AND(ISNUMBER(Planos!$G164),IFERROR(INDEX(lst_frequencia_meses,MATCH(Planos!$E164,lst_frequencia,0)),0)&gt;0,(ano_ref*12+8)-(YEAR(Planos!$G164)*12+MONTH(Planos!$G164))&gt;0,MOD((ano_ref*12+8)-(YEAR(Planos!$G164)*12+MONTH(Planos!$G164)),MAX(1,IFERROR(INDEX(lst_frequencia_meses,MATCH(Planos!$E164,lst_frequencia,0)),0)))=0),"●","")))</f>
      </c>
      <c r="L165" s="43">
        <f>IF(NOT(Planos!$A164&lt;&gt;""),"",IF(COUNTIFS(Programação!$B$4:$B$503,Planos!$A164,Programação!$I$4:$I$503,"Concluído",Programação!$G$4:$G$503,"&gt;="&amp;DATE(ano_ref,9,1),Programação!$G$4:$G$503,"&lt;="&amp;EOMONTH(DATE(ano_ref,9,1),0))&gt;0,"✔",IF(AND(ISNUMBER(Planos!$G164),IFERROR(INDEX(lst_frequencia_meses,MATCH(Planos!$E164,lst_frequencia,0)),0)&gt;0,(ano_ref*12+9)-(YEAR(Planos!$G164)*12+MONTH(Planos!$G164))&gt;0,MOD((ano_ref*12+9)-(YEAR(Planos!$G164)*12+MONTH(Planos!$G164)),MAX(1,IFERROR(INDEX(lst_frequencia_meses,MATCH(Planos!$E164,lst_frequencia,0)),0)))=0),"●","")))</f>
      </c>
      <c r="M165" s="43">
        <f>IF(NOT(Planos!$A164&lt;&gt;""),"",IF(COUNTIFS(Programação!$B$4:$B$503,Planos!$A164,Programação!$I$4:$I$503,"Concluído",Programação!$G$4:$G$503,"&gt;="&amp;DATE(ano_ref,10,1),Programação!$G$4:$G$503,"&lt;="&amp;EOMONTH(DATE(ano_ref,10,1),0))&gt;0,"✔",IF(AND(ISNUMBER(Planos!$G164),IFERROR(INDEX(lst_frequencia_meses,MATCH(Planos!$E164,lst_frequencia,0)),0)&gt;0,(ano_ref*12+10)-(YEAR(Planos!$G164)*12+MONTH(Planos!$G164))&gt;0,MOD((ano_ref*12+10)-(YEAR(Planos!$G164)*12+MONTH(Planos!$G164)),MAX(1,IFERROR(INDEX(lst_frequencia_meses,MATCH(Planos!$E164,lst_frequencia,0)),0)))=0),"●","")))</f>
      </c>
      <c r="N165" s="43">
        <f>IF(NOT(Planos!$A164&lt;&gt;""),"",IF(COUNTIFS(Programação!$B$4:$B$503,Planos!$A164,Programação!$I$4:$I$503,"Concluído",Programação!$G$4:$G$503,"&gt;="&amp;DATE(ano_ref,11,1),Programação!$G$4:$G$503,"&lt;="&amp;EOMONTH(DATE(ano_ref,11,1),0))&gt;0,"✔",IF(AND(ISNUMBER(Planos!$G164),IFERROR(INDEX(lst_frequencia_meses,MATCH(Planos!$E164,lst_frequencia,0)),0)&gt;0,(ano_ref*12+11)-(YEAR(Planos!$G164)*12+MONTH(Planos!$G164))&gt;0,MOD((ano_ref*12+11)-(YEAR(Planos!$G164)*12+MONTH(Planos!$G164)),MAX(1,IFERROR(INDEX(lst_frequencia_meses,MATCH(Planos!$E164,lst_frequencia,0)),0)))=0),"●","")))</f>
      </c>
      <c r="O165" s="43">
        <f>IF(NOT(Planos!$A164&lt;&gt;""),"",IF(COUNTIFS(Programação!$B$4:$B$503,Planos!$A164,Programação!$I$4:$I$503,"Concluído",Programação!$G$4:$G$503,"&gt;="&amp;DATE(ano_ref,12,1),Programação!$G$4:$G$503,"&lt;="&amp;EOMONTH(DATE(ano_ref,12,1),0))&gt;0,"✔",IF(AND(ISNUMBER(Planos!$G164),IFERROR(INDEX(lst_frequencia_meses,MATCH(Planos!$E164,lst_frequencia,0)),0)&gt;0,(ano_ref*12+12)-(YEAR(Planos!$G164)*12+MONTH(Planos!$G164))&gt;0,MOD((ano_ref*12+12)-(YEAR(Planos!$G164)*12+MONTH(Planos!$G164)),MAX(1,IFERROR(INDEX(lst_frequencia_meses,MATCH(Planos!$E164,lst_frequencia,0)),0)))=0),"●","")))</f>
      </c>
      <c r="P165" s="44">
        <f>IF(COUNTIF(D165:O165,"✔")+COUNTIF(D165:O165,"●")=0,"",COUNTIF(D165:O165,"✔")/(COUNTIF(D165:O165,"✔")+COUNTIF(D165:O165,"●")))</f>
      </c>
    </row>
    <row r="166" spans="1:16" x14ac:dyDescent="0.25">
      <c r="A166" s="43">
        <f>IF(Planos!$A165&lt;&gt;"",Planos!A165&amp;"","")</f>
      </c>
      <c r="B166" s="43">
        <f>IF(Planos!$A165&lt;&gt;"",Planos!B165&amp;"","")</f>
      </c>
      <c r="C166" s="24">
        <f>IF(Planos!$A165&lt;&gt;"",Planos!C165&amp;"","")</f>
      </c>
      <c r="D166" s="43">
        <f>IF(NOT(Planos!$A165&lt;&gt;""),"",IF(COUNTIFS(Programação!$B$4:$B$503,Planos!$A165,Programação!$I$4:$I$503,"Concluído",Programação!$G$4:$G$503,"&gt;="&amp;DATE(ano_ref,1,1),Programação!$G$4:$G$503,"&lt;="&amp;EOMONTH(DATE(ano_ref,1,1),0))&gt;0,"✔",IF(AND(ISNUMBER(Planos!$G165),IFERROR(INDEX(lst_frequencia_meses,MATCH(Planos!$E165,lst_frequencia,0)),0)&gt;0,(ano_ref*12+1)-(YEAR(Planos!$G165)*12+MONTH(Planos!$G165))&gt;0,MOD((ano_ref*12+1)-(YEAR(Planos!$G165)*12+MONTH(Planos!$G165)),MAX(1,IFERROR(INDEX(lst_frequencia_meses,MATCH(Planos!$E165,lst_frequencia,0)),0)))=0),"●","")))</f>
      </c>
      <c r="E166" s="43">
        <f>IF(NOT(Planos!$A165&lt;&gt;""),"",IF(COUNTIFS(Programação!$B$4:$B$503,Planos!$A165,Programação!$I$4:$I$503,"Concluído",Programação!$G$4:$G$503,"&gt;="&amp;DATE(ano_ref,2,1),Programação!$G$4:$G$503,"&lt;="&amp;EOMONTH(DATE(ano_ref,2,1),0))&gt;0,"✔",IF(AND(ISNUMBER(Planos!$G165),IFERROR(INDEX(lst_frequencia_meses,MATCH(Planos!$E165,lst_frequencia,0)),0)&gt;0,(ano_ref*12+2)-(YEAR(Planos!$G165)*12+MONTH(Planos!$G165))&gt;0,MOD((ano_ref*12+2)-(YEAR(Planos!$G165)*12+MONTH(Planos!$G165)),MAX(1,IFERROR(INDEX(lst_frequencia_meses,MATCH(Planos!$E165,lst_frequencia,0)),0)))=0),"●","")))</f>
      </c>
      <c r="F166" s="43">
        <f>IF(NOT(Planos!$A165&lt;&gt;""),"",IF(COUNTIFS(Programação!$B$4:$B$503,Planos!$A165,Programação!$I$4:$I$503,"Concluído",Programação!$G$4:$G$503,"&gt;="&amp;DATE(ano_ref,3,1),Programação!$G$4:$G$503,"&lt;="&amp;EOMONTH(DATE(ano_ref,3,1),0))&gt;0,"✔",IF(AND(ISNUMBER(Planos!$G165),IFERROR(INDEX(lst_frequencia_meses,MATCH(Planos!$E165,lst_frequencia,0)),0)&gt;0,(ano_ref*12+3)-(YEAR(Planos!$G165)*12+MONTH(Planos!$G165))&gt;0,MOD((ano_ref*12+3)-(YEAR(Planos!$G165)*12+MONTH(Planos!$G165)),MAX(1,IFERROR(INDEX(lst_frequencia_meses,MATCH(Planos!$E165,lst_frequencia,0)),0)))=0),"●","")))</f>
      </c>
      <c r="G166" s="43">
        <f>IF(NOT(Planos!$A165&lt;&gt;""),"",IF(COUNTIFS(Programação!$B$4:$B$503,Planos!$A165,Programação!$I$4:$I$503,"Concluído",Programação!$G$4:$G$503,"&gt;="&amp;DATE(ano_ref,4,1),Programação!$G$4:$G$503,"&lt;="&amp;EOMONTH(DATE(ano_ref,4,1),0))&gt;0,"✔",IF(AND(ISNUMBER(Planos!$G165),IFERROR(INDEX(lst_frequencia_meses,MATCH(Planos!$E165,lst_frequencia,0)),0)&gt;0,(ano_ref*12+4)-(YEAR(Planos!$G165)*12+MONTH(Planos!$G165))&gt;0,MOD((ano_ref*12+4)-(YEAR(Planos!$G165)*12+MONTH(Planos!$G165)),MAX(1,IFERROR(INDEX(lst_frequencia_meses,MATCH(Planos!$E165,lst_frequencia,0)),0)))=0),"●","")))</f>
      </c>
      <c r="H166" s="43">
        <f>IF(NOT(Planos!$A165&lt;&gt;""),"",IF(COUNTIFS(Programação!$B$4:$B$503,Planos!$A165,Programação!$I$4:$I$503,"Concluído",Programação!$G$4:$G$503,"&gt;="&amp;DATE(ano_ref,5,1),Programação!$G$4:$G$503,"&lt;="&amp;EOMONTH(DATE(ano_ref,5,1),0))&gt;0,"✔",IF(AND(ISNUMBER(Planos!$G165),IFERROR(INDEX(lst_frequencia_meses,MATCH(Planos!$E165,lst_frequencia,0)),0)&gt;0,(ano_ref*12+5)-(YEAR(Planos!$G165)*12+MONTH(Planos!$G165))&gt;0,MOD((ano_ref*12+5)-(YEAR(Planos!$G165)*12+MONTH(Planos!$G165)),MAX(1,IFERROR(INDEX(lst_frequencia_meses,MATCH(Planos!$E165,lst_frequencia,0)),0)))=0),"●","")))</f>
      </c>
      <c r="I166" s="43">
        <f>IF(NOT(Planos!$A165&lt;&gt;""),"",IF(COUNTIFS(Programação!$B$4:$B$503,Planos!$A165,Programação!$I$4:$I$503,"Concluído",Programação!$G$4:$G$503,"&gt;="&amp;DATE(ano_ref,6,1),Programação!$G$4:$G$503,"&lt;="&amp;EOMONTH(DATE(ano_ref,6,1),0))&gt;0,"✔",IF(AND(ISNUMBER(Planos!$G165),IFERROR(INDEX(lst_frequencia_meses,MATCH(Planos!$E165,lst_frequencia,0)),0)&gt;0,(ano_ref*12+6)-(YEAR(Planos!$G165)*12+MONTH(Planos!$G165))&gt;0,MOD((ano_ref*12+6)-(YEAR(Planos!$G165)*12+MONTH(Planos!$G165)),MAX(1,IFERROR(INDEX(lst_frequencia_meses,MATCH(Planos!$E165,lst_frequencia,0)),0)))=0),"●","")))</f>
      </c>
      <c r="J166" s="43">
        <f>IF(NOT(Planos!$A165&lt;&gt;""),"",IF(COUNTIFS(Programação!$B$4:$B$503,Planos!$A165,Programação!$I$4:$I$503,"Concluído",Programação!$G$4:$G$503,"&gt;="&amp;DATE(ano_ref,7,1),Programação!$G$4:$G$503,"&lt;="&amp;EOMONTH(DATE(ano_ref,7,1),0))&gt;0,"✔",IF(AND(ISNUMBER(Planos!$G165),IFERROR(INDEX(lst_frequencia_meses,MATCH(Planos!$E165,lst_frequencia,0)),0)&gt;0,(ano_ref*12+7)-(YEAR(Planos!$G165)*12+MONTH(Planos!$G165))&gt;0,MOD((ano_ref*12+7)-(YEAR(Planos!$G165)*12+MONTH(Planos!$G165)),MAX(1,IFERROR(INDEX(lst_frequencia_meses,MATCH(Planos!$E165,lst_frequencia,0)),0)))=0),"●","")))</f>
      </c>
      <c r="K166" s="43">
        <f>IF(NOT(Planos!$A165&lt;&gt;""),"",IF(COUNTIFS(Programação!$B$4:$B$503,Planos!$A165,Programação!$I$4:$I$503,"Concluído",Programação!$G$4:$G$503,"&gt;="&amp;DATE(ano_ref,8,1),Programação!$G$4:$G$503,"&lt;="&amp;EOMONTH(DATE(ano_ref,8,1),0))&gt;0,"✔",IF(AND(ISNUMBER(Planos!$G165),IFERROR(INDEX(lst_frequencia_meses,MATCH(Planos!$E165,lst_frequencia,0)),0)&gt;0,(ano_ref*12+8)-(YEAR(Planos!$G165)*12+MONTH(Planos!$G165))&gt;0,MOD((ano_ref*12+8)-(YEAR(Planos!$G165)*12+MONTH(Planos!$G165)),MAX(1,IFERROR(INDEX(lst_frequencia_meses,MATCH(Planos!$E165,lst_frequencia,0)),0)))=0),"●","")))</f>
      </c>
      <c r="L166" s="43">
        <f>IF(NOT(Planos!$A165&lt;&gt;""),"",IF(COUNTIFS(Programação!$B$4:$B$503,Planos!$A165,Programação!$I$4:$I$503,"Concluído",Programação!$G$4:$G$503,"&gt;="&amp;DATE(ano_ref,9,1),Programação!$G$4:$G$503,"&lt;="&amp;EOMONTH(DATE(ano_ref,9,1),0))&gt;0,"✔",IF(AND(ISNUMBER(Planos!$G165),IFERROR(INDEX(lst_frequencia_meses,MATCH(Planos!$E165,lst_frequencia,0)),0)&gt;0,(ano_ref*12+9)-(YEAR(Planos!$G165)*12+MONTH(Planos!$G165))&gt;0,MOD((ano_ref*12+9)-(YEAR(Planos!$G165)*12+MONTH(Planos!$G165)),MAX(1,IFERROR(INDEX(lst_frequencia_meses,MATCH(Planos!$E165,lst_frequencia,0)),0)))=0),"●","")))</f>
      </c>
      <c r="M166" s="43">
        <f>IF(NOT(Planos!$A165&lt;&gt;""),"",IF(COUNTIFS(Programação!$B$4:$B$503,Planos!$A165,Programação!$I$4:$I$503,"Concluído",Programação!$G$4:$G$503,"&gt;="&amp;DATE(ano_ref,10,1),Programação!$G$4:$G$503,"&lt;="&amp;EOMONTH(DATE(ano_ref,10,1),0))&gt;0,"✔",IF(AND(ISNUMBER(Planos!$G165),IFERROR(INDEX(lst_frequencia_meses,MATCH(Planos!$E165,lst_frequencia,0)),0)&gt;0,(ano_ref*12+10)-(YEAR(Planos!$G165)*12+MONTH(Planos!$G165))&gt;0,MOD((ano_ref*12+10)-(YEAR(Planos!$G165)*12+MONTH(Planos!$G165)),MAX(1,IFERROR(INDEX(lst_frequencia_meses,MATCH(Planos!$E165,lst_frequencia,0)),0)))=0),"●","")))</f>
      </c>
      <c r="N166" s="43">
        <f>IF(NOT(Planos!$A165&lt;&gt;""),"",IF(COUNTIFS(Programação!$B$4:$B$503,Planos!$A165,Programação!$I$4:$I$503,"Concluído",Programação!$G$4:$G$503,"&gt;="&amp;DATE(ano_ref,11,1),Programação!$G$4:$G$503,"&lt;="&amp;EOMONTH(DATE(ano_ref,11,1),0))&gt;0,"✔",IF(AND(ISNUMBER(Planos!$G165),IFERROR(INDEX(lst_frequencia_meses,MATCH(Planos!$E165,lst_frequencia,0)),0)&gt;0,(ano_ref*12+11)-(YEAR(Planos!$G165)*12+MONTH(Planos!$G165))&gt;0,MOD((ano_ref*12+11)-(YEAR(Planos!$G165)*12+MONTH(Planos!$G165)),MAX(1,IFERROR(INDEX(lst_frequencia_meses,MATCH(Planos!$E165,lst_frequencia,0)),0)))=0),"●","")))</f>
      </c>
      <c r="O166" s="43">
        <f>IF(NOT(Planos!$A165&lt;&gt;""),"",IF(COUNTIFS(Programação!$B$4:$B$503,Planos!$A165,Programação!$I$4:$I$503,"Concluído",Programação!$G$4:$G$503,"&gt;="&amp;DATE(ano_ref,12,1),Programação!$G$4:$G$503,"&lt;="&amp;EOMONTH(DATE(ano_ref,12,1),0))&gt;0,"✔",IF(AND(ISNUMBER(Planos!$G165),IFERROR(INDEX(lst_frequencia_meses,MATCH(Planos!$E165,lst_frequencia,0)),0)&gt;0,(ano_ref*12+12)-(YEAR(Planos!$G165)*12+MONTH(Planos!$G165))&gt;0,MOD((ano_ref*12+12)-(YEAR(Planos!$G165)*12+MONTH(Planos!$G165)),MAX(1,IFERROR(INDEX(lst_frequencia_meses,MATCH(Planos!$E165,lst_frequencia,0)),0)))=0),"●","")))</f>
      </c>
      <c r="P166" s="44">
        <f>IF(COUNTIF(D166:O166,"✔")+COUNTIF(D166:O166,"●")=0,"",COUNTIF(D166:O166,"✔")/(COUNTIF(D166:O166,"✔")+COUNTIF(D166:O166,"●")))</f>
      </c>
    </row>
    <row r="167" spans="1:16" x14ac:dyDescent="0.25">
      <c r="A167" s="43">
        <f>IF(Planos!$A166&lt;&gt;"",Planos!A166&amp;"","")</f>
      </c>
      <c r="B167" s="43">
        <f>IF(Planos!$A166&lt;&gt;"",Planos!B166&amp;"","")</f>
      </c>
      <c r="C167" s="24">
        <f>IF(Planos!$A166&lt;&gt;"",Planos!C166&amp;"","")</f>
      </c>
      <c r="D167" s="43">
        <f>IF(NOT(Planos!$A166&lt;&gt;""),"",IF(COUNTIFS(Programação!$B$4:$B$503,Planos!$A166,Programação!$I$4:$I$503,"Concluído",Programação!$G$4:$G$503,"&gt;="&amp;DATE(ano_ref,1,1),Programação!$G$4:$G$503,"&lt;="&amp;EOMONTH(DATE(ano_ref,1,1),0))&gt;0,"✔",IF(AND(ISNUMBER(Planos!$G166),IFERROR(INDEX(lst_frequencia_meses,MATCH(Planos!$E166,lst_frequencia,0)),0)&gt;0,(ano_ref*12+1)-(YEAR(Planos!$G166)*12+MONTH(Planos!$G166))&gt;0,MOD((ano_ref*12+1)-(YEAR(Planos!$G166)*12+MONTH(Planos!$G166)),MAX(1,IFERROR(INDEX(lst_frequencia_meses,MATCH(Planos!$E166,lst_frequencia,0)),0)))=0),"●","")))</f>
      </c>
      <c r="E167" s="43">
        <f>IF(NOT(Planos!$A166&lt;&gt;""),"",IF(COUNTIFS(Programação!$B$4:$B$503,Planos!$A166,Programação!$I$4:$I$503,"Concluído",Programação!$G$4:$G$503,"&gt;="&amp;DATE(ano_ref,2,1),Programação!$G$4:$G$503,"&lt;="&amp;EOMONTH(DATE(ano_ref,2,1),0))&gt;0,"✔",IF(AND(ISNUMBER(Planos!$G166),IFERROR(INDEX(lst_frequencia_meses,MATCH(Planos!$E166,lst_frequencia,0)),0)&gt;0,(ano_ref*12+2)-(YEAR(Planos!$G166)*12+MONTH(Planos!$G166))&gt;0,MOD((ano_ref*12+2)-(YEAR(Planos!$G166)*12+MONTH(Planos!$G166)),MAX(1,IFERROR(INDEX(lst_frequencia_meses,MATCH(Planos!$E166,lst_frequencia,0)),0)))=0),"●","")))</f>
      </c>
      <c r="F167" s="43">
        <f>IF(NOT(Planos!$A166&lt;&gt;""),"",IF(COUNTIFS(Programação!$B$4:$B$503,Planos!$A166,Programação!$I$4:$I$503,"Concluído",Programação!$G$4:$G$503,"&gt;="&amp;DATE(ano_ref,3,1),Programação!$G$4:$G$503,"&lt;="&amp;EOMONTH(DATE(ano_ref,3,1),0))&gt;0,"✔",IF(AND(ISNUMBER(Planos!$G166),IFERROR(INDEX(lst_frequencia_meses,MATCH(Planos!$E166,lst_frequencia,0)),0)&gt;0,(ano_ref*12+3)-(YEAR(Planos!$G166)*12+MONTH(Planos!$G166))&gt;0,MOD((ano_ref*12+3)-(YEAR(Planos!$G166)*12+MONTH(Planos!$G166)),MAX(1,IFERROR(INDEX(lst_frequencia_meses,MATCH(Planos!$E166,lst_frequencia,0)),0)))=0),"●","")))</f>
      </c>
      <c r="G167" s="43">
        <f>IF(NOT(Planos!$A166&lt;&gt;""),"",IF(COUNTIFS(Programação!$B$4:$B$503,Planos!$A166,Programação!$I$4:$I$503,"Concluído",Programação!$G$4:$G$503,"&gt;="&amp;DATE(ano_ref,4,1),Programação!$G$4:$G$503,"&lt;="&amp;EOMONTH(DATE(ano_ref,4,1),0))&gt;0,"✔",IF(AND(ISNUMBER(Planos!$G166),IFERROR(INDEX(lst_frequencia_meses,MATCH(Planos!$E166,lst_frequencia,0)),0)&gt;0,(ano_ref*12+4)-(YEAR(Planos!$G166)*12+MONTH(Planos!$G166))&gt;0,MOD((ano_ref*12+4)-(YEAR(Planos!$G166)*12+MONTH(Planos!$G166)),MAX(1,IFERROR(INDEX(lst_frequencia_meses,MATCH(Planos!$E166,lst_frequencia,0)),0)))=0),"●","")))</f>
      </c>
      <c r="H167" s="43">
        <f>IF(NOT(Planos!$A166&lt;&gt;""),"",IF(COUNTIFS(Programação!$B$4:$B$503,Planos!$A166,Programação!$I$4:$I$503,"Concluído",Programação!$G$4:$G$503,"&gt;="&amp;DATE(ano_ref,5,1),Programação!$G$4:$G$503,"&lt;="&amp;EOMONTH(DATE(ano_ref,5,1),0))&gt;0,"✔",IF(AND(ISNUMBER(Planos!$G166),IFERROR(INDEX(lst_frequencia_meses,MATCH(Planos!$E166,lst_frequencia,0)),0)&gt;0,(ano_ref*12+5)-(YEAR(Planos!$G166)*12+MONTH(Planos!$G166))&gt;0,MOD((ano_ref*12+5)-(YEAR(Planos!$G166)*12+MONTH(Planos!$G166)),MAX(1,IFERROR(INDEX(lst_frequencia_meses,MATCH(Planos!$E166,lst_frequencia,0)),0)))=0),"●","")))</f>
      </c>
      <c r="I167" s="43">
        <f>IF(NOT(Planos!$A166&lt;&gt;""),"",IF(COUNTIFS(Programação!$B$4:$B$503,Planos!$A166,Programação!$I$4:$I$503,"Concluído",Programação!$G$4:$G$503,"&gt;="&amp;DATE(ano_ref,6,1),Programação!$G$4:$G$503,"&lt;="&amp;EOMONTH(DATE(ano_ref,6,1),0))&gt;0,"✔",IF(AND(ISNUMBER(Planos!$G166),IFERROR(INDEX(lst_frequencia_meses,MATCH(Planos!$E166,lst_frequencia,0)),0)&gt;0,(ano_ref*12+6)-(YEAR(Planos!$G166)*12+MONTH(Planos!$G166))&gt;0,MOD((ano_ref*12+6)-(YEAR(Planos!$G166)*12+MONTH(Planos!$G166)),MAX(1,IFERROR(INDEX(lst_frequencia_meses,MATCH(Planos!$E166,lst_frequencia,0)),0)))=0),"●","")))</f>
      </c>
      <c r="J167" s="43">
        <f>IF(NOT(Planos!$A166&lt;&gt;""),"",IF(COUNTIFS(Programação!$B$4:$B$503,Planos!$A166,Programação!$I$4:$I$503,"Concluído",Programação!$G$4:$G$503,"&gt;="&amp;DATE(ano_ref,7,1),Programação!$G$4:$G$503,"&lt;="&amp;EOMONTH(DATE(ano_ref,7,1),0))&gt;0,"✔",IF(AND(ISNUMBER(Planos!$G166),IFERROR(INDEX(lst_frequencia_meses,MATCH(Planos!$E166,lst_frequencia,0)),0)&gt;0,(ano_ref*12+7)-(YEAR(Planos!$G166)*12+MONTH(Planos!$G166))&gt;0,MOD((ano_ref*12+7)-(YEAR(Planos!$G166)*12+MONTH(Planos!$G166)),MAX(1,IFERROR(INDEX(lst_frequencia_meses,MATCH(Planos!$E166,lst_frequencia,0)),0)))=0),"●","")))</f>
      </c>
      <c r="K167" s="43">
        <f>IF(NOT(Planos!$A166&lt;&gt;""),"",IF(COUNTIFS(Programação!$B$4:$B$503,Planos!$A166,Programação!$I$4:$I$503,"Concluído",Programação!$G$4:$G$503,"&gt;="&amp;DATE(ano_ref,8,1),Programação!$G$4:$G$503,"&lt;="&amp;EOMONTH(DATE(ano_ref,8,1),0))&gt;0,"✔",IF(AND(ISNUMBER(Planos!$G166),IFERROR(INDEX(lst_frequencia_meses,MATCH(Planos!$E166,lst_frequencia,0)),0)&gt;0,(ano_ref*12+8)-(YEAR(Planos!$G166)*12+MONTH(Planos!$G166))&gt;0,MOD((ano_ref*12+8)-(YEAR(Planos!$G166)*12+MONTH(Planos!$G166)),MAX(1,IFERROR(INDEX(lst_frequencia_meses,MATCH(Planos!$E166,lst_frequencia,0)),0)))=0),"●","")))</f>
      </c>
      <c r="L167" s="43">
        <f>IF(NOT(Planos!$A166&lt;&gt;""),"",IF(COUNTIFS(Programação!$B$4:$B$503,Planos!$A166,Programação!$I$4:$I$503,"Concluído",Programação!$G$4:$G$503,"&gt;="&amp;DATE(ano_ref,9,1),Programação!$G$4:$G$503,"&lt;="&amp;EOMONTH(DATE(ano_ref,9,1),0))&gt;0,"✔",IF(AND(ISNUMBER(Planos!$G166),IFERROR(INDEX(lst_frequencia_meses,MATCH(Planos!$E166,lst_frequencia,0)),0)&gt;0,(ano_ref*12+9)-(YEAR(Planos!$G166)*12+MONTH(Planos!$G166))&gt;0,MOD((ano_ref*12+9)-(YEAR(Planos!$G166)*12+MONTH(Planos!$G166)),MAX(1,IFERROR(INDEX(lst_frequencia_meses,MATCH(Planos!$E166,lst_frequencia,0)),0)))=0),"●","")))</f>
      </c>
      <c r="M167" s="43">
        <f>IF(NOT(Planos!$A166&lt;&gt;""),"",IF(COUNTIFS(Programação!$B$4:$B$503,Planos!$A166,Programação!$I$4:$I$503,"Concluído",Programação!$G$4:$G$503,"&gt;="&amp;DATE(ano_ref,10,1),Programação!$G$4:$G$503,"&lt;="&amp;EOMONTH(DATE(ano_ref,10,1),0))&gt;0,"✔",IF(AND(ISNUMBER(Planos!$G166),IFERROR(INDEX(lst_frequencia_meses,MATCH(Planos!$E166,lst_frequencia,0)),0)&gt;0,(ano_ref*12+10)-(YEAR(Planos!$G166)*12+MONTH(Planos!$G166))&gt;0,MOD((ano_ref*12+10)-(YEAR(Planos!$G166)*12+MONTH(Planos!$G166)),MAX(1,IFERROR(INDEX(lst_frequencia_meses,MATCH(Planos!$E166,lst_frequencia,0)),0)))=0),"●","")))</f>
      </c>
      <c r="N167" s="43">
        <f>IF(NOT(Planos!$A166&lt;&gt;""),"",IF(COUNTIFS(Programação!$B$4:$B$503,Planos!$A166,Programação!$I$4:$I$503,"Concluído",Programação!$G$4:$G$503,"&gt;="&amp;DATE(ano_ref,11,1),Programação!$G$4:$G$503,"&lt;="&amp;EOMONTH(DATE(ano_ref,11,1),0))&gt;0,"✔",IF(AND(ISNUMBER(Planos!$G166),IFERROR(INDEX(lst_frequencia_meses,MATCH(Planos!$E166,lst_frequencia,0)),0)&gt;0,(ano_ref*12+11)-(YEAR(Planos!$G166)*12+MONTH(Planos!$G166))&gt;0,MOD((ano_ref*12+11)-(YEAR(Planos!$G166)*12+MONTH(Planos!$G166)),MAX(1,IFERROR(INDEX(lst_frequencia_meses,MATCH(Planos!$E166,lst_frequencia,0)),0)))=0),"●","")))</f>
      </c>
      <c r="O167" s="43">
        <f>IF(NOT(Planos!$A166&lt;&gt;""),"",IF(COUNTIFS(Programação!$B$4:$B$503,Planos!$A166,Programação!$I$4:$I$503,"Concluído",Programação!$G$4:$G$503,"&gt;="&amp;DATE(ano_ref,12,1),Programação!$G$4:$G$503,"&lt;="&amp;EOMONTH(DATE(ano_ref,12,1),0))&gt;0,"✔",IF(AND(ISNUMBER(Planos!$G166),IFERROR(INDEX(lst_frequencia_meses,MATCH(Planos!$E166,lst_frequencia,0)),0)&gt;0,(ano_ref*12+12)-(YEAR(Planos!$G166)*12+MONTH(Planos!$G166))&gt;0,MOD((ano_ref*12+12)-(YEAR(Planos!$G166)*12+MONTH(Planos!$G166)),MAX(1,IFERROR(INDEX(lst_frequencia_meses,MATCH(Planos!$E166,lst_frequencia,0)),0)))=0),"●","")))</f>
      </c>
      <c r="P167" s="44">
        <f>IF(COUNTIF(D167:O167,"✔")+COUNTIF(D167:O167,"●")=0,"",COUNTIF(D167:O167,"✔")/(COUNTIF(D167:O167,"✔")+COUNTIF(D167:O167,"●")))</f>
      </c>
    </row>
    <row r="168" spans="1:16" x14ac:dyDescent="0.25">
      <c r="A168" s="43">
        <f>IF(Planos!$A167&lt;&gt;"",Planos!A167&amp;"","")</f>
      </c>
      <c r="B168" s="43">
        <f>IF(Planos!$A167&lt;&gt;"",Planos!B167&amp;"","")</f>
      </c>
      <c r="C168" s="24">
        <f>IF(Planos!$A167&lt;&gt;"",Planos!C167&amp;"","")</f>
      </c>
      <c r="D168" s="43">
        <f>IF(NOT(Planos!$A167&lt;&gt;""),"",IF(COUNTIFS(Programação!$B$4:$B$503,Planos!$A167,Programação!$I$4:$I$503,"Concluído",Programação!$G$4:$G$503,"&gt;="&amp;DATE(ano_ref,1,1),Programação!$G$4:$G$503,"&lt;="&amp;EOMONTH(DATE(ano_ref,1,1),0))&gt;0,"✔",IF(AND(ISNUMBER(Planos!$G167),IFERROR(INDEX(lst_frequencia_meses,MATCH(Planos!$E167,lst_frequencia,0)),0)&gt;0,(ano_ref*12+1)-(YEAR(Planos!$G167)*12+MONTH(Planos!$G167))&gt;0,MOD((ano_ref*12+1)-(YEAR(Planos!$G167)*12+MONTH(Planos!$G167)),MAX(1,IFERROR(INDEX(lst_frequencia_meses,MATCH(Planos!$E167,lst_frequencia,0)),0)))=0),"●","")))</f>
      </c>
      <c r="E168" s="43">
        <f>IF(NOT(Planos!$A167&lt;&gt;""),"",IF(COUNTIFS(Programação!$B$4:$B$503,Planos!$A167,Programação!$I$4:$I$503,"Concluído",Programação!$G$4:$G$503,"&gt;="&amp;DATE(ano_ref,2,1),Programação!$G$4:$G$503,"&lt;="&amp;EOMONTH(DATE(ano_ref,2,1),0))&gt;0,"✔",IF(AND(ISNUMBER(Planos!$G167),IFERROR(INDEX(lst_frequencia_meses,MATCH(Planos!$E167,lst_frequencia,0)),0)&gt;0,(ano_ref*12+2)-(YEAR(Planos!$G167)*12+MONTH(Planos!$G167))&gt;0,MOD((ano_ref*12+2)-(YEAR(Planos!$G167)*12+MONTH(Planos!$G167)),MAX(1,IFERROR(INDEX(lst_frequencia_meses,MATCH(Planos!$E167,lst_frequencia,0)),0)))=0),"●","")))</f>
      </c>
      <c r="F168" s="43">
        <f>IF(NOT(Planos!$A167&lt;&gt;""),"",IF(COUNTIFS(Programação!$B$4:$B$503,Planos!$A167,Programação!$I$4:$I$503,"Concluído",Programação!$G$4:$G$503,"&gt;="&amp;DATE(ano_ref,3,1),Programação!$G$4:$G$503,"&lt;="&amp;EOMONTH(DATE(ano_ref,3,1),0))&gt;0,"✔",IF(AND(ISNUMBER(Planos!$G167),IFERROR(INDEX(lst_frequencia_meses,MATCH(Planos!$E167,lst_frequencia,0)),0)&gt;0,(ano_ref*12+3)-(YEAR(Planos!$G167)*12+MONTH(Planos!$G167))&gt;0,MOD((ano_ref*12+3)-(YEAR(Planos!$G167)*12+MONTH(Planos!$G167)),MAX(1,IFERROR(INDEX(lst_frequencia_meses,MATCH(Planos!$E167,lst_frequencia,0)),0)))=0),"●","")))</f>
      </c>
      <c r="G168" s="43">
        <f>IF(NOT(Planos!$A167&lt;&gt;""),"",IF(COUNTIFS(Programação!$B$4:$B$503,Planos!$A167,Programação!$I$4:$I$503,"Concluído",Programação!$G$4:$G$503,"&gt;="&amp;DATE(ano_ref,4,1),Programação!$G$4:$G$503,"&lt;="&amp;EOMONTH(DATE(ano_ref,4,1),0))&gt;0,"✔",IF(AND(ISNUMBER(Planos!$G167),IFERROR(INDEX(lst_frequencia_meses,MATCH(Planos!$E167,lst_frequencia,0)),0)&gt;0,(ano_ref*12+4)-(YEAR(Planos!$G167)*12+MONTH(Planos!$G167))&gt;0,MOD((ano_ref*12+4)-(YEAR(Planos!$G167)*12+MONTH(Planos!$G167)),MAX(1,IFERROR(INDEX(lst_frequencia_meses,MATCH(Planos!$E167,lst_frequencia,0)),0)))=0),"●","")))</f>
      </c>
      <c r="H168" s="43">
        <f>IF(NOT(Planos!$A167&lt;&gt;""),"",IF(COUNTIFS(Programação!$B$4:$B$503,Planos!$A167,Programação!$I$4:$I$503,"Concluído",Programação!$G$4:$G$503,"&gt;="&amp;DATE(ano_ref,5,1),Programação!$G$4:$G$503,"&lt;="&amp;EOMONTH(DATE(ano_ref,5,1),0))&gt;0,"✔",IF(AND(ISNUMBER(Planos!$G167),IFERROR(INDEX(lst_frequencia_meses,MATCH(Planos!$E167,lst_frequencia,0)),0)&gt;0,(ano_ref*12+5)-(YEAR(Planos!$G167)*12+MONTH(Planos!$G167))&gt;0,MOD((ano_ref*12+5)-(YEAR(Planos!$G167)*12+MONTH(Planos!$G167)),MAX(1,IFERROR(INDEX(lst_frequencia_meses,MATCH(Planos!$E167,lst_frequencia,0)),0)))=0),"●","")))</f>
      </c>
      <c r="I168" s="43">
        <f>IF(NOT(Planos!$A167&lt;&gt;""),"",IF(COUNTIFS(Programação!$B$4:$B$503,Planos!$A167,Programação!$I$4:$I$503,"Concluído",Programação!$G$4:$G$503,"&gt;="&amp;DATE(ano_ref,6,1),Programação!$G$4:$G$503,"&lt;="&amp;EOMONTH(DATE(ano_ref,6,1),0))&gt;0,"✔",IF(AND(ISNUMBER(Planos!$G167),IFERROR(INDEX(lst_frequencia_meses,MATCH(Planos!$E167,lst_frequencia,0)),0)&gt;0,(ano_ref*12+6)-(YEAR(Planos!$G167)*12+MONTH(Planos!$G167))&gt;0,MOD((ano_ref*12+6)-(YEAR(Planos!$G167)*12+MONTH(Planos!$G167)),MAX(1,IFERROR(INDEX(lst_frequencia_meses,MATCH(Planos!$E167,lst_frequencia,0)),0)))=0),"●","")))</f>
      </c>
      <c r="J168" s="43">
        <f>IF(NOT(Planos!$A167&lt;&gt;""),"",IF(COUNTIFS(Programação!$B$4:$B$503,Planos!$A167,Programação!$I$4:$I$503,"Concluído",Programação!$G$4:$G$503,"&gt;="&amp;DATE(ano_ref,7,1),Programação!$G$4:$G$503,"&lt;="&amp;EOMONTH(DATE(ano_ref,7,1),0))&gt;0,"✔",IF(AND(ISNUMBER(Planos!$G167),IFERROR(INDEX(lst_frequencia_meses,MATCH(Planos!$E167,lst_frequencia,0)),0)&gt;0,(ano_ref*12+7)-(YEAR(Planos!$G167)*12+MONTH(Planos!$G167))&gt;0,MOD((ano_ref*12+7)-(YEAR(Planos!$G167)*12+MONTH(Planos!$G167)),MAX(1,IFERROR(INDEX(lst_frequencia_meses,MATCH(Planos!$E167,lst_frequencia,0)),0)))=0),"●","")))</f>
      </c>
      <c r="K168" s="43">
        <f>IF(NOT(Planos!$A167&lt;&gt;""),"",IF(COUNTIFS(Programação!$B$4:$B$503,Planos!$A167,Programação!$I$4:$I$503,"Concluído",Programação!$G$4:$G$503,"&gt;="&amp;DATE(ano_ref,8,1),Programação!$G$4:$G$503,"&lt;="&amp;EOMONTH(DATE(ano_ref,8,1),0))&gt;0,"✔",IF(AND(ISNUMBER(Planos!$G167),IFERROR(INDEX(lst_frequencia_meses,MATCH(Planos!$E167,lst_frequencia,0)),0)&gt;0,(ano_ref*12+8)-(YEAR(Planos!$G167)*12+MONTH(Planos!$G167))&gt;0,MOD((ano_ref*12+8)-(YEAR(Planos!$G167)*12+MONTH(Planos!$G167)),MAX(1,IFERROR(INDEX(lst_frequencia_meses,MATCH(Planos!$E167,lst_frequencia,0)),0)))=0),"●","")))</f>
      </c>
      <c r="L168" s="43">
        <f>IF(NOT(Planos!$A167&lt;&gt;""),"",IF(COUNTIFS(Programação!$B$4:$B$503,Planos!$A167,Programação!$I$4:$I$503,"Concluído",Programação!$G$4:$G$503,"&gt;="&amp;DATE(ano_ref,9,1),Programação!$G$4:$G$503,"&lt;="&amp;EOMONTH(DATE(ano_ref,9,1),0))&gt;0,"✔",IF(AND(ISNUMBER(Planos!$G167),IFERROR(INDEX(lst_frequencia_meses,MATCH(Planos!$E167,lst_frequencia,0)),0)&gt;0,(ano_ref*12+9)-(YEAR(Planos!$G167)*12+MONTH(Planos!$G167))&gt;0,MOD((ano_ref*12+9)-(YEAR(Planos!$G167)*12+MONTH(Planos!$G167)),MAX(1,IFERROR(INDEX(lst_frequencia_meses,MATCH(Planos!$E167,lst_frequencia,0)),0)))=0),"●","")))</f>
      </c>
      <c r="M168" s="43">
        <f>IF(NOT(Planos!$A167&lt;&gt;""),"",IF(COUNTIFS(Programação!$B$4:$B$503,Planos!$A167,Programação!$I$4:$I$503,"Concluído",Programação!$G$4:$G$503,"&gt;="&amp;DATE(ano_ref,10,1),Programação!$G$4:$G$503,"&lt;="&amp;EOMONTH(DATE(ano_ref,10,1),0))&gt;0,"✔",IF(AND(ISNUMBER(Planos!$G167),IFERROR(INDEX(lst_frequencia_meses,MATCH(Planos!$E167,lst_frequencia,0)),0)&gt;0,(ano_ref*12+10)-(YEAR(Planos!$G167)*12+MONTH(Planos!$G167))&gt;0,MOD((ano_ref*12+10)-(YEAR(Planos!$G167)*12+MONTH(Planos!$G167)),MAX(1,IFERROR(INDEX(lst_frequencia_meses,MATCH(Planos!$E167,lst_frequencia,0)),0)))=0),"●","")))</f>
      </c>
      <c r="N168" s="43">
        <f>IF(NOT(Planos!$A167&lt;&gt;""),"",IF(COUNTIFS(Programação!$B$4:$B$503,Planos!$A167,Programação!$I$4:$I$503,"Concluído",Programação!$G$4:$G$503,"&gt;="&amp;DATE(ano_ref,11,1),Programação!$G$4:$G$503,"&lt;="&amp;EOMONTH(DATE(ano_ref,11,1),0))&gt;0,"✔",IF(AND(ISNUMBER(Planos!$G167),IFERROR(INDEX(lst_frequencia_meses,MATCH(Planos!$E167,lst_frequencia,0)),0)&gt;0,(ano_ref*12+11)-(YEAR(Planos!$G167)*12+MONTH(Planos!$G167))&gt;0,MOD((ano_ref*12+11)-(YEAR(Planos!$G167)*12+MONTH(Planos!$G167)),MAX(1,IFERROR(INDEX(lst_frequencia_meses,MATCH(Planos!$E167,lst_frequencia,0)),0)))=0),"●","")))</f>
      </c>
      <c r="O168" s="43">
        <f>IF(NOT(Planos!$A167&lt;&gt;""),"",IF(COUNTIFS(Programação!$B$4:$B$503,Planos!$A167,Programação!$I$4:$I$503,"Concluído",Programação!$G$4:$G$503,"&gt;="&amp;DATE(ano_ref,12,1),Programação!$G$4:$G$503,"&lt;="&amp;EOMONTH(DATE(ano_ref,12,1),0))&gt;0,"✔",IF(AND(ISNUMBER(Planos!$G167),IFERROR(INDEX(lst_frequencia_meses,MATCH(Planos!$E167,lst_frequencia,0)),0)&gt;0,(ano_ref*12+12)-(YEAR(Planos!$G167)*12+MONTH(Planos!$G167))&gt;0,MOD((ano_ref*12+12)-(YEAR(Planos!$G167)*12+MONTH(Planos!$G167)),MAX(1,IFERROR(INDEX(lst_frequencia_meses,MATCH(Planos!$E167,lst_frequencia,0)),0)))=0),"●","")))</f>
      </c>
      <c r="P168" s="44">
        <f>IF(COUNTIF(D168:O168,"✔")+COUNTIF(D168:O168,"●")=0,"",COUNTIF(D168:O168,"✔")/(COUNTIF(D168:O168,"✔")+COUNTIF(D168:O168,"●")))</f>
      </c>
    </row>
    <row r="169" spans="1:16" x14ac:dyDescent="0.25">
      <c r="A169" s="43">
        <f>IF(Planos!$A168&lt;&gt;"",Planos!A168&amp;"","")</f>
      </c>
      <c r="B169" s="43">
        <f>IF(Planos!$A168&lt;&gt;"",Planos!B168&amp;"","")</f>
      </c>
      <c r="C169" s="24">
        <f>IF(Planos!$A168&lt;&gt;"",Planos!C168&amp;"","")</f>
      </c>
      <c r="D169" s="43">
        <f>IF(NOT(Planos!$A168&lt;&gt;""),"",IF(COUNTIFS(Programação!$B$4:$B$503,Planos!$A168,Programação!$I$4:$I$503,"Concluído",Programação!$G$4:$G$503,"&gt;="&amp;DATE(ano_ref,1,1),Programação!$G$4:$G$503,"&lt;="&amp;EOMONTH(DATE(ano_ref,1,1),0))&gt;0,"✔",IF(AND(ISNUMBER(Planos!$G168),IFERROR(INDEX(lst_frequencia_meses,MATCH(Planos!$E168,lst_frequencia,0)),0)&gt;0,(ano_ref*12+1)-(YEAR(Planos!$G168)*12+MONTH(Planos!$G168))&gt;0,MOD((ano_ref*12+1)-(YEAR(Planos!$G168)*12+MONTH(Planos!$G168)),MAX(1,IFERROR(INDEX(lst_frequencia_meses,MATCH(Planos!$E168,lst_frequencia,0)),0)))=0),"●","")))</f>
      </c>
      <c r="E169" s="43">
        <f>IF(NOT(Planos!$A168&lt;&gt;""),"",IF(COUNTIFS(Programação!$B$4:$B$503,Planos!$A168,Programação!$I$4:$I$503,"Concluído",Programação!$G$4:$G$503,"&gt;="&amp;DATE(ano_ref,2,1),Programação!$G$4:$G$503,"&lt;="&amp;EOMONTH(DATE(ano_ref,2,1),0))&gt;0,"✔",IF(AND(ISNUMBER(Planos!$G168),IFERROR(INDEX(lst_frequencia_meses,MATCH(Planos!$E168,lst_frequencia,0)),0)&gt;0,(ano_ref*12+2)-(YEAR(Planos!$G168)*12+MONTH(Planos!$G168))&gt;0,MOD((ano_ref*12+2)-(YEAR(Planos!$G168)*12+MONTH(Planos!$G168)),MAX(1,IFERROR(INDEX(lst_frequencia_meses,MATCH(Planos!$E168,lst_frequencia,0)),0)))=0),"●","")))</f>
      </c>
      <c r="F169" s="43">
        <f>IF(NOT(Planos!$A168&lt;&gt;""),"",IF(COUNTIFS(Programação!$B$4:$B$503,Planos!$A168,Programação!$I$4:$I$503,"Concluído",Programação!$G$4:$G$503,"&gt;="&amp;DATE(ano_ref,3,1),Programação!$G$4:$G$503,"&lt;="&amp;EOMONTH(DATE(ano_ref,3,1),0))&gt;0,"✔",IF(AND(ISNUMBER(Planos!$G168),IFERROR(INDEX(lst_frequencia_meses,MATCH(Planos!$E168,lst_frequencia,0)),0)&gt;0,(ano_ref*12+3)-(YEAR(Planos!$G168)*12+MONTH(Planos!$G168))&gt;0,MOD((ano_ref*12+3)-(YEAR(Planos!$G168)*12+MONTH(Planos!$G168)),MAX(1,IFERROR(INDEX(lst_frequencia_meses,MATCH(Planos!$E168,lst_frequencia,0)),0)))=0),"●","")))</f>
      </c>
      <c r="G169" s="43">
        <f>IF(NOT(Planos!$A168&lt;&gt;""),"",IF(COUNTIFS(Programação!$B$4:$B$503,Planos!$A168,Programação!$I$4:$I$503,"Concluído",Programação!$G$4:$G$503,"&gt;="&amp;DATE(ano_ref,4,1),Programação!$G$4:$G$503,"&lt;="&amp;EOMONTH(DATE(ano_ref,4,1),0))&gt;0,"✔",IF(AND(ISNUMBER(Planos!$G168),IFERROR(INDEX(lst_frequencia_meses,MATCH(Planos!$E168,lst_frequencia,0)),0)&gt;0,(ano_ref*12+4)-(YEAR(Planos!$G168)*12+MONTH(Planos!$G168))&gt;0,MOD((ano_ref*12+4)-(YEAR(Planos!$G168)*12+MONTH(Planos!$G168)),MAX(1,IFERROR(INDEX(lst_frequencia_meses,MATCH(Planos!$E168,lst_frequencia,0)),0)))=0),"●","")))</f>
      </c>
      <c r="H169" s="43">
        <f>IF(NOT(Planos!$A168&lt;&gt;""),"",IF(COUNTIFS(Programação!$B$4:$B$503,Planos!$A168,Programação!$I$4:$I$503,"Concluído",Programação!$G$4:$G$503,"&gt;="&amp;DATE(ano_ref,5,1),Programação!$G$4:$G$503,"&lt;="&amp;EOMONTH(DATE(ano_ref,5,1),0))&gt;0,"✔",IF(AND(ISNUMBER(Planos!$G168),IFERROR(INDEX(lst_frequencia_meses,MATCH(Planos!$E168,lst_frequencia,0)),0)&gt;0,(ano_ref*12+5)-(YEAR(Planos!$G168)*12+MONTH(Planos!$G168))&gt;0,MOD((ano_ref*12+5)-(YEAR(Planos!$G168)*12+MONTH(Planos!$G168)),MAX(1,IFERROR(INDEX(lst_frequencia_meses,MATCH(Planos!$E168,lst_frequencia,0)),0)))=0),"●","")))</f>
      </c>
      <c r="I169" s="43">
        <f>IF(NOT(Planos!$A168&lt;&gt;""),"",IF(COUNTIFS(Programação!$B$4:$B$503,Planos!$A168,Programação!$I$4:$I$503,"Concluído",Programação!$G$4:$G$503,"&gt;="&amp;DATE(ano_ref,6,1),Programação!$G$4:$G$503,"&lt;="&amp;EOMONTH(DATE(ano_ref,6,1),0))&gt;0,"✔",IF(AND(ISNUMBER(Planos!$G168),IFERROR(INDEX(lst_frequencia_meses,MATCH(Planos!$E168,lst_frequencia,0)),0)&gt;0,(ano_ref*12+6)-(YEAR(Planos!$G168)*12+MONTH(Planos!$G168))&gt;0,MOD((ano_ref*12+6)-(YEAR(Planos!$G168)*12+MONTH(Planos!$G168)),MAX(1,IFERROR(INDEX(lst_frequencia_meses,MATCH(Planos!$E168,lst_frequencia,0)),0)))=0),"●","")))</f>
      </c>
      <c r="J169" s="43">
        <f>IF(NOT(Planos!$A168&lt;&gt;""),"",IF(COUNTIFS(Programação!$B$4:$B$503,Planos!$A168,Programação!$I$4:$I$503,"Concluído",Programação!$G$4:$G$503,"&gt;="&amp;DATE(ano_ref,7,1),Programação!$G$4:$G$503,"&lt;="&amp;EOMONTH(DATE(ano_ref,7,1),0))&gt;0,"✔",IF(AND(ISNUMBER(Planos!$G168),IFERROR(INDEX(lst_frequencia_meses,MATCH(Planos!$E168,lst_frequencia,0)),0)&gt;0,(ano_ref*12+7)-(YEAR(Planos!$G168)*12+MONTH(Planos!$G168))&gt;0,MOD((ano_ref*12+7)-(YEAR(Planos!$G168)*12+MONTH(Planos!$G168)),MAX(1,IFERROR(INDEX(lst_frequencia_meses,MATCH(Planos!$E168,lst_frequencia,0)),0)))=0),"●","")))</f>
      </c>
      <c r="K169" s="43">
        <f>IF(NOT(Planos!$A168&lt;&gt;""),"",IF(COUNTIFS(Programação!$B$4:$B$503,Planos!$A168,Programação!$I$4:$I$503,"Concluído",Programação!$G$4:$G$503,"&gt;="&amp;DATE(ano_ref,8,1),Programação!$G$4:$G$503,"&lt;="&amp;EOMONTH(DATE(ano_ref,8,1),0))&gt;0,"✔",IF(AND(ISNUMBER(Planos!$G168),IFERROR(INDEX(lst_frequencia_meses,MATCH(Planos!$E168,lst_frequencia,0)),0)&gt;0,(ano_ref*12+8)-(YEAR(Planos!$G168)*12+MONTH(Planos!$G168))&gt;0,MOD((ano_ref*12+8)-(YEAR(Planos!$G168)*12+MONTH(Planos!$G168)),MAX(1,IFERROR(INDEX(lst_frequencia_meses,MATCH(Planos!$E168,lst_frequencia,0)),0)))=0),"●","")))</f>
      </c>
      <c r="L169" s="43">
        <f>IF(NOT(Planos!$A168&lt;&gt;""),"",IF(COUNTIFS(Programação!$B$4:$B$503,Planos!$A168,Programação!$I$4:$I$503,"Concluído",Programação!$G$4:$G$503,"&gt;="&amp;DATE(ano_ref,9,1),Programação!$G$4:$G$503,"&lt;="&amp;EOMONTH(DATE(ano_ref,9,1),0))&gt;0,"✔",IF(AND(ISNUMBER(Planos!$G168),IFERROR(INDEX(lst_frequencia_meses,MATCH(Planos!$E168,lst_frequencia,0)),0)&gt;0,(ano_ref*12+9)-(YEAR(Planos!$G168)*12+MONTH(Planos!$G168))&gt;0,MOD((ano_ref*12+9)-(YEAR(Planos!$G168)*12+MONTH(Planos!$G168)),MAX(1,IFERROR(INDEX(lst_frequencia_meses,MATCH(Planos!$E168,lst_frequencia,0)),0)))=0),"●","")))</f>
      </c>
      <c r="M169" s="43">
        <f>IF(NOT(Planos!$A168&lt;&gt;""),"",IF(COUNTIFS(Programação!$B$4:$B$503,Planos!$A168,Programação!$I$4:$I$503,"Concluído",Programação!$G$4:$G$503,"&gt;="&amp;DATE(ano_ref,10,1),Programação!$G$4:$G$503,"&lt;="&amp;EOMONTH(DATE(ano_ref,10,1),0))&gt;0,"✔",IF(AND(ISNUMBER(Planos!$G168),IFERROR(INDEX(lst_frequencia_meses,MATCH(Planos!$E168,lst_frequencia,0)),0)&gt;0,(ano_ref*12+10)-(YEAR(Planos!$G168)*12+MONTH(Planos!$G168))&gt;0,MOD((ano_ref*12+10)-(YEAR(Planos!$G168)*12+MONTH(Planos!$G168)),MAX(1,IFERROR(INDEX(lst_frequencia_meses,MATCH(Planos!$E168,lst_frequencia,0)),0)))=0),"●","")))</f>
      </c>
      <c r="N169" s="43">
        <f>IF(NOT(Planos!$A168&lt;&gt;""),"",IF(COUNTIFS(Programação!$B$4:$B$503,Planos!$A168,Programação!$I$4:$I$503,"Concluído",Programação!$G$4:$G$503,"&gt;="&amp;DATE(ano_ref,11,1),Programação!$G$4:$G$503,"&lt;="&amp;EOMONTH(DATE(ano_ref,11,1),0))&gt;0,"✔",IF(AND(ISNUMBER(Planos!$G168),IFERROR(INDEX(lst_frequencia_meses,MATCH(Planos!$E168,lst_frequencia,0)),0)&gt;0,(ano_ref*12+11)-(YEAR(Planos!$G168)*12+MONTH(Planos!$G168))&gt;0,MOD((ano_ref*12+11)-(YEAR(Planos!$G168)*12+MONTH(Planos!$G168)),MAX(1,IFERROR(INDEX(lst_frequencia_meses,MATCH(Planos!$E168,lst_frequencia,0)),0)))=0),"●","")))</f>
      </c>
      <c r="O169" s="43">
        <f>IF(NOT(Planos!$A168&lt;&gt;""),"",IF(COUNTIFS(Programação!$B$4:$B$503,Planos!$A168,Programação!$I$4:$I$503,"Concluído",Programação!$G$4:$G$503,"&gt;="&amp;DATE(ano_ref,12,1),Programação!$G$4:$G$503,"&lt;="&amp;EOMONTH(DATE(ano_ref,12,1),0))&gt;0,"✔",IF(AND(ISNUMBER(Planos!$G168),IFERROR(INDEX(lst_frequencia_meses,MATCH(Planos!$E168,lst_frequencia,0)),0)&gt;0,(ano_ref*12+12)-(YEAR(Planos!$G168)*12+MONTH(Planos!$G168))&gt;0,MOD((ano_ref*12+12)-(YEAR(Planos!$G168)*12+MONTH(Planos!$G168)),MAX(1,IFERROR(INDEX(lst_frequencia_meses,MATCH(Planos!$E168,lst_frequencia,0)),0)))=0),"●","")))</f>
      </c>
      <c r="P169" s="44">
        <f>IF(COUNTIF(D169:O169,"✔")+COUNTIF(D169:O169,"●")=0,"",COUNTIF(D169:O169,"✔")/(COUNTIF(D169:O169,"✔")+COUNTIF(D169:O169,"●")))</f>
      </c>
    </row>
    <row r="170" spans="1:16" x14ac:dyDescent="0.25">
      <c r="A170" s="43">
        <f>IF(Planos!$A169&lt;&gt;"",Planos!A169&amp;"","")</f>
      </c>
      <c r="B170" s="43">
        <f>IF(Planos!$A169&lt;&gt;"",Planos!B169&amp;"","")</f>
      </c>
      <c r="C170" s="24">
        <f>IF(Planos!$A169&lt;&gt;"",Planos!C169&amp;"","")</f>
      </c>
      <c r="D170" s="43">
        <f>IF(NOT(Planos!$A169&lt;&gt;""),"",IF(COUNTIFS(Programação!$B$4:$B$503,Planos!$A169,Programação!$I$4:$I$503,"Concluído",Programação!$G$4:$G$503,"&gt;="&amp;DATE(ano_ref,1,1),Programação!$G$4:$G$503,"&lt;="&amp;EOMONTH(DATE(ano_ref,1,1),0))&gt;0,"✔",IF(AND(ISNUMBER(Planos!$G169),IFERROR(INDEX(lst_frequencia_meses,MATCH(Planos!$E169,lst_frequencia,0)),0)&gt;0,(ano_ref*12+1)-(YEAR(Planos!$G169)*12+MONTH(Planos!$G169))&gt;0,MOD((ano_ref*12+1)-(YEAR(Planos!$G169)*12+MONTH(Planos!$G169)),MAX(1,IFERROR(INDEX(lst_frequencia_meses,MATCH(Planos!$E169,lst_frequencia,0)),0)))=0),"●","")))</f>
      </c>
      <c r="E170" s="43">
        <f>IF(NOT(Planos!$A169&lt;&gt;""),"",IF(COUNTIFS(Programação!$B$4:$B$503,Planos!$A169,Programação!$I$4:$I$503,"Concluído",Programação!$G$4:$G$503,"&gt;="&amp;DATE(ano_ref,2,1),Programação!$G$4:$G$503,"&lt;="&amp;EOMONTH(DATE(ano_ref,2,1),0))&gt;0,"✔",IF(AND(ISNUMBER(Planos!$G169),IFERROR(INDEX(lst_frequencia_meses,MATCH(Planos!$E169,lst_frequencia,0)),0)&gt;0,(ano_ref*12+2)-(YEAR(Planos!$G169)*12+MONTH(Planos!$G169))&gt;0,MOD((ano_ref*12+2)-(YEAR(Planos!$G169)*12+MONTH(Planos!$G169)),MAX(1,IFERROR(INDEX(lst_frequencia_meses,MATCH(Planos!$E169,lst_frequencia,0)),0)))=0),"●","")))</f>
      </c>
      <c r="F170" s="43">
        <f>IF(NOT(Planos!$A169&lt;&gt;""),"",IF(COUNTIFS(Programação!$B$4:$B$503,Planos!$A169,Programação!$I$4:$I$503,"Concluído",Programação!$G$4:$G$503,"&gt;="&amp;DATE(ano_ref,3,1),Programação!$G$4:$G$503,"&lt;="&amp;EOMONTH(DATE(ano_ref,3,1),0))&gt;0,"✔",IF(AND(ISNUMBER(Planos!$G169),IFERROR(INDEX(lst_frequencia_meses,MATCH(Planos!$E169,lst_frequencia,0)),0)&gt;0,(ano_ref*12+3)-(YEAR(Planos!$G169)*12+MONTH(Planos!$G169))&gt;0,MOD((ano_ref*12+3)-(YEAR(Planos!$G169)*12+MONTH(Planos!$G169)),MAX(1,IFERROR(INDEX(lst_frequencia_meses,MATCH(Planos!$E169,lst_frequencia,0)),0)))=0),"●","")))</f>
      </c>
      <c r="G170" s="43">
        <f>IF(NOT(Planos!$A169&lt;&gt;""),"",IF(COUNTIFS(Programação!$B$4:$B$503,Planos!$A169,Programação!$I$4:$I$503,"Concluído",Programação!$G$4:$G$503,"&gt;="&amp;DATE(ano_ref,4,1),Programação!$G$4:$G$503,"&lt;="&amp;EOMONTH(DATE(ano_ref,4,1),0))&gt;0,"✔",IF(AND(ISNUMBER(Planos!$G169),IFERROR(INDEX(lst_frequencia_meses,MATCH(Planos!$E169,lst_frequencia,0)),0)&gt;0,(ano_ref*12+4)-(YEAR(Planos!$G169)*12+MONTH(Planos!$G169))&gt;0,MOD((ano_ref*12+4)-(YEAR(Planos!$G169)*12+MONTH(Planos!$G169)),MAX(1,IFERROR(INDEX(lst_frequencia_meses,MATCH(Planos!$E169,lst_frequencia,0)),0)))=0),"●","")))</f>
      </c>
      <c r="H170" s="43">
        <f>IF(NOT(Planos!$A169&lt;&gt;""),"",IF(COUNTIFS(Programação!$B$4:$B$503,Planos!$A169,Programação!$I$4:$I$503,"Concluído",Programação!$G$4:$G$503,"&gt;="&amp;DATE(ano_ref,5,1),Programação!$G$4:$G$503,"&lt;="&amp;EOMONTH(DATE(ano_ref,5,1),0))&gt;0,"✔",IF(AND(ISNUMBER(Planos!$G169),IFERROR(INDEX(lst_frequencia_meses,MATCH(Planos!$E169,lst_frequencia,0)),0)&gt;0,(ano_ref*12+5)-(YEAR(Planos!$G169)*12+MONTH(Planos!$G169))&gt;0,MOD((ano_ref*12+5)-(YEAR(Planos!$G169)*12+MONTH(Planos!$G169)),MAX(1,IFERROR(INDEX(lst_frequencia_meses,MATCH(Planos!$E169,lst_frequencia,0)),0)))=0),"●","")))</f>
      </c>
      <c r="I170" s="43">
        <f>IF(NOT(Planos!$A169&lt;&gt;""),"",IF(COUNTIFS(Programação!$B$4:$B$503,Planos!$A169,Programação!$I$4:$I$503,"Concluído",Programação!$G$4:$G$503,"&gt;="&amp;DATE(ano_ref,6,1),Programação!$G$4:$G$503,"&lt;="&amp;EOMONTH(DATE(ano_ref,6,1),0))&gt;0,"✔",IF(AND(ISNUMBER(Planos!$G169),IFERROR(INDEX(lst_frequencia_meses,MATCH(Planos!$E169,lst_frequencia,0)),0)&gt;0,(ano_ref*12+6)-(YEAR(Planos!$G169)*12+MONTH(Planos!$G169))&gt;0,MOD((ano_ref*12+6)-(YEAR(Planos!$G169)*12+MONTH(Planos!$G169)),MAX(1,IFERROR(INDEX(lst_frequencia_meses,MATCH(Planos!$E169,lst_frequencia,0)),0)))=0),"●","")))</f>
      </c>
      <c r="J170" s="43">
        <f>IF(NOT(Planos!$A169&lt;&gt;""),"",IF(COUNTIFS(Programação!$B$4:$B$503,Planos!$A169,Programação!$I$4:$I$503,"Concluído",Programação!$G$4:$G$503,"&gt;="&amp;DATE(ano_ref,7,1),Programação!$G$4:$G$503,"&lt;="&amp;EOMONTH(DATE(ano_ref,7,1),0))&gt;0,"✔",IF(AND(ISNUMBER(Planos!$G169),IFERROR(INDEX(lst_frequencia_meses,MATCH(Planos!$E169,lst_frequencia,0)),0)&gt;0,(ano_ref*12+7)-(YEAR(Planos!$G169)*12+MONTH(Planos!$G169))&gt;0,MOD((ano_ref*12+7)-(YEAR(Planos!$G169)*12+MONTH(Planos!$G169)),MAX(1,IFERROR(INDEX(lst_frequencia_meses,MATCH(Planos!$E169,lst_frequencia,0)),0)))=0),"●","")))</f>
      </c>
      <c r="K170" s="43">
        <f>IF(NOT(Planos!$A169&lt;&gt;""),"",IF(COUNTIFS(Programação!$B$4:$B$503,Planos!$A169,Programação!$I$4:$I$503,"Concluído",Programação!$G$4:$G$503,"&gt;="&amp;DATE(ano_ref,8,1),Programação!$G$4:$G$503,"&lt;="&amp;EOMONTH(DATE(ano_ref,8,1),0))&gt;0,"✔",IF(AND(ISNUMBER(Planos!$G169),IFERROR(INDEX(lst_frequencia_meses,MATCH(Planos!$E169,lst_frequencia,0)),0)&gt;0,(ano_ref*12+8)-(YEAR(Planos!$G169)*12+MONTH(Planos!$G169))&gt;0,MOD((ano_ref*12+8)-(YEAR(Planos!$G169)*12+MONTH(Planos!$G169)),MAX(1,IFERROR(INDEX(lst_frequencia_meses,MATCH(Planos!$E169,lst_frequencia,0)),0)))=0),"●","")))</f>
      </c>
      <c r="L170" s="43">
        <f>IF(NOT(Planos!$A169&lt;&gt;""),"",IF(COUNTIFS(Programação!$B$4:$B$503,Planos!$A169,Programação!$I$4:$I$503,"Concluído",Programação!$G$4:$G$503,"&gt;="&amp;DATE(ano_ref,9,1),Programação!$G$4:$G$503,"&lt;="&amp;EOMONTH(DATE(ano_ref,9,1),0))&gt;0,"✔",IF(AND(ISNUMBER(Planos!$G169),IFERROR(INDEX(lst_frequencia_meses,MATCH(Planos!$E169,lst_frequencia,0)),0)&gt;0,(ano_ref*12+9)-(YEAR(Planos!$G169)*12+MONTH(Planos!$G169))&gt;0,MOD((ano_ref*12+9)-(YEAR(Planos!$G169)*12+MONTH(Planos!$G169)),MAX(1,IFERROR(INDEX(lst_frequencia_meses,MATCH(Planos!$E169,lst_frequencia,0)),0)))=0),"●","")))</f>
      </c>
      <c r="M170" s="43">
        <f>IF(NOT(Planos!$A169&lt;&gt;""),"",IF(COUNTIFS(Programação!$B$4:$B$503,Planos!$A169,Programação!$I$4:$I$503,"Concluído",Programação!$G$4:$G$503,"&gt;="&amp;DATE(ano_ref,10,1),Programação!$G$4:$G$503,"&lt;="&amp;EOMONTH(DATE(ano_ref,10,1),0))&gt;0,"✔",IF(AND(ISNUMBER(Planos!$G169),IFERROR(INDEX(lst_frequencia_meses,MATCH(Planos!$E169,lst_frequencia,0)),0)&gt;0,(ano_ref*12+10)-(YEAR(Planos!$G169)*12+MONTH(Planos!$G169))&gt;0,MOD((ano_ref*12+10)-(YEAR(Planos!$G169)*12+MONTH(Planos!$G169)),MAX(1,IFERROR(INDEX(lst_frequencia_meses,MATCH(Planos!$E169,lst_frequencia,0)),0)))=0),"●","")))</f>
      </c>
      <c r="N170" s="43">
        <f>IF(NOT(Planos!$A169&lt;&gt;""),"",IF(COUNTIFS(Programação!$B$4:$B$503,Planos!$A169,Programação!$I$4:$I$503,"Concluído",Programação!$G$4:$G$503,"&gt;="&amp;DATE(ano_ref,11,1),Programação!$G$4:$G$503,"&lt;="&amp;EOMONTH(DATE(ano_ref,11,1),0))&gt;0,"✔",IF(AND(ISNUMBER(Planos!$G169),IFERROR(INDEX(lst_frequencia_meses,MATCH(Planos!$E169,lst_frequencia,0)),0)&gt;0,(ano_ref*12+11)-(YEAR(Planos!$G169)*12+MONTH(Planos!$G169))&gt;0,MOD((ano_ref*12+11)-(YEAR(Planos!$G169)*12+MONTH(Planos!$G169)),MAX(1,IFERROR(INDEX(lst_frequencia_meses,MATCH(Planos!$E169,lst_frequencia,0)),0)))=0),"●","")))</f>
      </c>
      <c r="O170" s="43">
        <f>IF(NOT(Planos!$A169&lt;&gt;""),"",IF(COUNTIFS(Programação!$B$4:$B$503,Planos!$A169,Programação!$I$4:$I$503,"Concluído",Programação!$G$4:$G$503,"&gt;="&amp;DATE(ano_ref,12,1),Programação!$G$4:$G$503,"&lt;="&amp;EOMONTH(DATE(ano_ref,12,1),0))&gt;0,"✔",IF(AND(ISNUMBER(Planos!$G169),IFERROR(INDEX(lst_frequencia_meses,MATCH(Planos!$E169,lst_frequencia,0)),0)&gt;0,(ano_ref*12+12)-(YEAR(Planos!$G169)*12+MONTH(Planos!$G169))&gt;0,MOD((ano_ref*12+12)-(YEAR(Planos!$G169)*12+MONTH(Planos!$G169)),MAX(1,IFERROR(INDEX(lst_frequencia_meses,MATCH(Planos!$E169,lst_frequencia,0)),0)))=0),"●","")))</f>
      </c>
      <c r="P170" s="44">
        <f>IF(COUNTIF(D170:O170,"✔")+COUNTIF(D170:O170,"●")=0,"",COUNTIF(D170:O170,"✔")/(COUNTIF(D170:O170,"✔")+COUNTIF(D170:O170,"●")))</f>
      </c>
    </row>
    <row r="171" spans="1:16" x14ac:dyDescent="0.25">
      <c r="A171" s="43">
        <f>IF(Planos!$A170&lt;&gt;"",Planos!A170&amp;"","")</f>
      </c>
      <c r="B171" s="43">
        <f>IF(Planos!$A170&lt;&gt;"",Planos!B170&amp;"","")</f>
      </c>
      <c r="C171" s="24">
        <f>IF(Planos!$A170&lt;&gt;"",Planos!C170&amp;"","")</f>
      </c>
      <c r="D171" s="43">
        <f>IF(NOT(Planos!$A170&lt;&gt;""),"",IF(COUNTIFS(Programação!$B$4:$B$503,Planos!$A170,Programação!$I$4:$I$503,"Concluído",Programação!$G$4:$G$503,"&gt;="&amp;DATE(ano_ref,1,1),Programação!$G$4:$G$503,"&lt;="&amp;EOMONTH(DATE(ano_ref,1,1),0))&gt;0,"✔",IF(AND(ISNUMBER(Planos!$G170),IFERROR(INDEX(lst_frequencia_meses,MATCH(Planos!$E170,lst_frequencia,0)),0)&gt;0,(ano_ref*12+1)-(YEAR(Planos!$G170)*12+MONTH(Planos!$G170))&gt;0,MOD((ano_ref*12+1)-(YEAR(Planos!$G170)*12+MONTH(Planos!$G170)),MAX(1,IFERROR(INDEX(lst_frequencia_meses,MATCH(Planos!$E170,lst_frequencia,0)),0)))=0),"●","")))</f>
      </c>
      <c r="E171" s="43">
        <f>IF(NOT(Planos!$A170&lt;&gt;""),"",IF(COUNTIFS(Programação!$B$4:$B$503,Planos!$A170,Programação!$I$4:$I$503,"Concluído",Programação!$G$4:$G$503,"&gt;="&amp;DATE(ano_ref,2,1),Programação!$G$4:$G$503,"&lt;="&amp;EOMONTH(DATE(ano_ref,2,1),0))&gt;0,"✔",IF(AND(ISNUMBER(Planos!$G170),IFERROR(INDEX(lst_frequencia_meses,MATCH(Planos!$E170,lst_frequencia,0)),0)&gt;0,(ano_ref*12+2)-(YEAR(Planos!$G170)*12+MONTH(Planos!$G170))&gt;0,MOD((ano_ref*12+2)-(YEAR(Planos!$G170)*12+MONTH(Planos!$G170)),MAX(1,IFERROR(INDEX(lst_frequencia_meses,MATCH(Planos!$E170,lst_frequencia,0)),0)))=0),"●","")))</f>
      </c>
      <c r="F171" s="43">
        <f>IF(NOT(Planos!$A170&lt;&gt;""),"",IF(COUNTIFS(Programação!$B$4:$B$503,Planos!$A170,Programação!$I$4:$I$503,"Concluído",Programação!$G$4:$G$503,"&gt;="&amp;DATE(ano_ref,3,1),Programação!$G$4:$G$503,"&lt;="&amp;EOMONTH(DATE(ano_ref,3,1),0))&gt;0,"✔",IF(AND(ISNUMBER(Planos!$G170),IFERROR(INDEX(lst_frequencia_meses,MATCH(Planos!$E170,lst_frequencia,0)),0)&gt;0,(ano_ref*12+3)-(YEAR(Planos!$G170)*12+MONTH(Planos!$G170))&gt;0,MOD((ano_ref*12+3)-(YEAR(Planos!$G170)*12+MONTH(Planos!$G170)),MAX(1,IFERROR(INDEX(lst_frequencia_meses,MATCH(Planos!$E170,lst_frequencia,0)),0)))=0),"●","")))</f>
      </c>
      <c r="G171" s="43">
        <f>IF(NOT(Planos!$A170&lt;&gt;""),"",IF(COUNTIFS(Programação!$B$4:$B$503,Planos!$A170,Programação!$I$4:$I$503,"Concluído",Programação!$G$4:$G$503,"&gt;="&amp;DATE(ano_ref,4,1),Programação!$G$4:$G$503,"&lt;="&amp;EOMONTH(DATE(ano_ref,4,1),0))&gt;0,"✔",IF(AND(ISNUMBER(Planos!$G170),IFERROR(INDEX(lst_frequencia_meses,MATCH(Planos!$E170,lst_frequencia,0)),0)&gt;0,(ano_ref*12+4)-(YEAR(Planos!$G170)*12+MONTH(Planos!$G170))&gt;0,MOD((ano_ref*12+4)-(YEAR(Planos!$G170)*12+MONTH(Planos!$G170)),MAX(1,IFERROR(INDEX(lst_frequencia_meses,MATCH(Planos!$E170,lst_frequencia,0)),0)))=0),"●","")))</f>
      </c>
      <c r="H171" s="43">
        <f>IF(NOT(Planos!$A170&lt;&gt;""),"",IF(COUNTIFS(Programação!$B$4:$B$503,Planos!$A170,Programação!$I$4:$I$503,"Concluído",Programação!$G$4:$G$503,"&gt;="&amp;DATE(ano_ref,5,1),Programação!$G$4:$G$503,"&lt;="&amp;EOMONTH(DATE(ano_ref,5,1),0))&gt;0,"✔",IF(AND(ISNUMBER(Planos!$G170),IFERROR(INDEX(lst_frequencia_meses,MATCH(Planos!$E170,lst_frequencia,0)),0)&gt;0,(ano_ref*12+5)-(YEAR(Planos!$G170)*12+MONTH(Planos!$G170))&gt;0,MOD((ano_ref*12+5)-(YEAR(Planos!$G170)*12+MONTH(Planos!$G170)),MAX(1,IFERROR(INDEX(lst_frequencia_meses,MATCH(Planos!$E170,lst_frequencia,0)),0)))=0),"●","")))</f>
      </c>
      <c r="I171" s="43">
        <f>IF(NOT(Planos!$A170&lt;&gt;""),"",IF(COUNTIFS(Programação!$B$4:$B$503,Planos!$A170,Programação!$I$4:$I$503,"Concluído",Programação!$G$4:$G$503,"&gt;="&amp;DATE(ano_ref,6,1),Programação!$G$4:$G$503,"&lt;="&amp;EOMONTH(DATE(ano_ref,6,1),0))&gt;0,"✔",IF(AND(ISNUMBER(Planos!$G170),IFERROR(INDEX(lst_frequencia_meses,MATCH(Planos!$E170,lst_frequencia,0)),0)&gt;0,(ano_ref*12+6)-(YEAR(Planos!$G170)*12+MONTH(Planos!$G170))&gt;0,MOD((ano_ref*12+6)-(YEAR(Planos!$G170)*12+MONTH(Planos!$G170)),MAX(1,IFERROR(INDEX(lst_frequencia_meses,MATCH(Planos!$E170,lst_frequencia,0)),0)))=0),"●","")))</f>
      </c>
      <c r="J171" s="43">
        <f>IF(NOT(Planos!$A170&lt;&gt;""),"",IF(COUNTIFS(Programação!$B$4:$B$503,Planos!$A170,Programação!$I$4:$I$503,"Concluído",Programação!$G$4:$G$503,"&gt;="&amp;DATE(ano_ref,7,1),Programação!$G$4:$G$503,"&lt;="&amp;EOMONTH(DATE(ano_ref,7,1),0))&gt;0,"✔",IF(AND(ISNUMBER(Planos!$G170),IFERROR(INDEX(lst_frequencia_meses,MATCH(Planos!$E170,lst_frequencia,0)),0)&gt;0,(ano_ref*12+7)-(YEAR(Planos!$G170)*12+MONTH(Planos!$G170))&gt;0,MOD((ano_ref*12+7)-(YEAR(Planos!$G170)*12+MONTH(Planos!$G170)),MAX(1,IFERROR(INDEX(lst_frequencia_meses,MATCH(Planos!$E170,lst_frequencia,0)),0)))=0),"●","")))</f>
      </c>
      <c r="K171" s="43">
        <f>IF(NOT(Planos!$A170&lt;&gt;""),"",IF(COUNTIFS(Programação!$B$4:$B$503,Planos!$A170,Programação!$I$4:$I$503,"Concluído",Programação!$G$4:$G$503,"&gt;="&amp;DATE(ano_ref,8,1),Programação!$G$4:$G$503,"&lt;="&amp;EOMONTH(DATE(ano_ref,8,1),0))&gt;0,"✔",IF(AND(ISNUMBER(Planos!$G170),IFERROR(INDEX(lst_frequencia_meses,MATCH(Planos!$E170,lst_frequencia,0)),0)&gt;0,(ano_ref*12+8)-(YEAR(Planos!$G170)*12+MONTH(Planos!$G170))&gt;0,MOD((ano_ref*12+8)-(YEAR(Planos!$G170)*12+MONTH(Planos!$G170)),MAX(1,IFERROR(INDEX(lst_frequencia_meses,MATCH(Planos!$E170,lst_frequencia,0)),0)))=0),"●","")))</f>
      </c>
      <c r="L171" s="43">
        <f>IF(NOT(Planos!$A170&lt;&gt;""),"",IF(COUNTIFS(Programação!$B$4:$B$503,Planos!$A170,Programação!$I$4:$I$503,"Concluído",Programação!$G$4:$G$503,"&gt;="&amp;DATE(ano_ref,9,1),Programação!$G$4:$G$503,"&lt;="&amp;EOMONTH(DATE(ano_ref,9,1),0))&gt;0,"✔",IF(AND(ISNUMBER(Planos!$G170),IFERROR(INDEX(lst_frequencia_meses,MATCH(Planos!$E170,lst_frequencia,0)),0)&gt;0,(ano_ref*12+9)-(YEAR(Planos!$G170)*12+MONTH(Planos!$G170))&gt;0,MOD((ano_ref*12+9)-(YEAR(Planos!$G170)*12+MONTH(Planos!$G170)),MAX(1,IFERROR(INDEX(lst_frequencia_meses,MATCH(Planos!$E170,lst_frequencia,0)),0)))=0),"●","")))</f>
      </c>
      <c r="M171" s="43">
        <f>IF(NOT(Planos!$A170&lt;&gt;""),"",IF(COUNTIFS(Programação!$B$4:$B$503,Planos!$A170,Programação!$I$4:$I$503,"Concluído",Programação!$G$4:$G$503,"&gt;="&amp;DATE(ano_ref,10,1),Programação!$G$4:$G$503,"&lt;="&amp;EOMONTH(DATE(ano_ref,10,1),0))&gt;0,"✔",IF(AND(ISNUMBER(Planos!$G170),IFERROR(INDEX(lst_frequencia_meses,MATCH(Planos!$E170,lst_frequencia,0)),0)&gt;0,(ano_ref*12+10)-(YEAR(Planos!$G170)*12+MONTH(Planos!$G170))&gt;0,MOD((ano_ref*12+10)-(YEAR(Planos!$G170)*12+MONTH(Planos!$G170)),MAX(1,IFERROR(INDEX(lst_frequencia_meses,MATCH(Planos!$E170,lst_frequencia,0)),0)))=0),"●","")))</f>
      </c>
      <c r="N171" s="43">
        <f>IF(NOT(Planos!$A170&lt;&gt;""),"",IF(COUNTIFS(Programação!$B$4:$B$503,Planos!$A170,Programação!$I$4:$I$503,"Concluído",Programação!$G$4:$G$503,"&gt;="&amp;DATE(ano_ref,11,1),Programação!$G$4:$G$503,"&lt;="&amp;EOMONTH(DATE(ano_ref,11,1),0))&gt;0,"✔",IF(AND(ISNUMBER(Planos!$G170),IFERROR(INDEX(lst_frequencia_meses,MATCH(Planos!$E170,lst_frequencia,0)),0)&gt;0,(ano_ref*12+11)-(YEAR(Planos!$G170)*12+MONTH(Planos!$G170))&gt;0,MOD((ano_ref*12+11)-(YEAR(Planos!$G170)*12+MONTH(Planos!$G170)),MAX(1,IFERROR(INDEX(lst_frequencia_meses,MATCH(Planos!$E170,lst_frequencia,0)),0)))=0),"●","")))</f>
      </c>
      <c r="O171" s="43">
        <f>IF(NOT(Planos!$A170&lt;&gt;""),"",IF(COUNTIFS(Programação!$B$4:$B$503,Planos!$A170,Programação!$I$4:$I$503,"Concluído",Programação!$G$4:$G$503,"&gt;="&amp;DATE(ano_ref,12,1),Programação!$G$4:$G$503,"&lt;="&amp;EOMONTH(DATE(ano_ref,12,1),0))&gt;0,"✔",IF(AND(ISNUMBER(Planos!$G170),IFERROR(INDEX(lst_frequencia_meses,MATCH(Planos!$E170,lst_frequencia,0)),0)&gt;0,(ano_ref*12+12)-(YEAR(Planos!$G170)*12+MONTH(Planos!$G170))&gt;0,MOD((ano_ref*12+12)-(YEAR(Planos!$G170)*12+MONTH(Planos!$G170)),MAX(1,IFERROR(INDEX(lst_frequencia_meses,MATCH(Planos!$E170,lst_frequencia,0)),0)))=0),"●","")))</f>
      </c>
      <c r="P171" s="44">
        <f>IF(COUNTIF(D171:O171,"✔")+COUNTIF(D171:O171,"●")=0,"",COUNTIF(D171:O171,"✔")/(COUNTIF(D171:O171,"✔")+COUNTIF(D171:O171,"●")))</f>
      </c>
    </row>
    <row r="172" spans="1:16" x14ac:dyDescent="0.25">
      <c r="A172" s="43">
        <f>IF(Planos!$A171&lt;&gt;"",Planos!A171&amp;"","")</f>
      </c>
      <c r="B172" s="43">
        <f>IF(Planos!$A171&lt;&gt;"",Planos!B171&amp;"","")</f>
      </c>
      <c r="C172" s="24">
        <f>IF(Planos!$A171&lt;&gt;"",Planos!C171&amp;"","")</f>
      </c>
      <c r="D172" s="43">
        <f>IF(NOT(Planos!$A171&lt;&gt;""),"",IF(COUNTIFS(Programação!$B$4:$B$503,Planos!$A171,Programação!$I$4:$I$503,"Concluído",Programação!$G$4:$G$503,"&gt;="&amp;DATE(ano_ref,1,1),Programação!$G$4:$G$503,"&lt;="&amp;EOMONTH(DATE(ano_ref,1,1),0))&gt;0,"✔",IF(AND(ISNUMBER(Planos!$G171),IFERROR(INDEX(lst_frequencia_meses,MATCH(Planos!$E171,lst_frequencia,0)),0)&gt;0,(ano_ref*12+1)-(YEAR(Planos!$G171)*12+MONTH(Planos!$G171))&gt;0,MOD((ano_ref*12+1)-(YEAR(Planos!$G171)*12+MONTH(Planos!$G171)),MAX(1,IFERROR(INDEX(lst_frequencia_meses,MATCH(Planos!$E171,lst_frequencia,0)),0)))=0),"●","")))</f>
      </c>
      <c r="E172" s="43">
        <f>IF(NOT(Planos!$A171&lt;&gt;""),"",IF(COUNTIFS(Programação!$B$4:$B$503,Planos!$A171,Programação!$I$4:$I$503,"Concluído",Programação!$G$4:$G$503,"&gt;="&amp;DATE(ano_ref,2,1),Programação!$G$4:$G$503,"&lt;="&amp;EOMONTH(DATE(ano_ref,2,1),0))&gt;0,"✔",IF(AND(ISNUMBER(Planos!$G171),IFERROR(INDEX(lst_frequencia_meses,MATCH(Planos!$E171,lst_frequencia,0)),0)&gt;0,(ano_ref*12+2)-(YEAR(Planos!$G171)*12+MONTH(Planos!$G171))&gt;0,MOD((ano_ref*12+2)-(YEAR(Planos!$G171)*12+MONTH(Planos!$G171)),MAX(1,IFERROR(INDEX(lst_frequencia_meses,MATCH(Planos!$E171,lst_frequencia,0)),0)))=0),"●","")))</f>
      </c>
      <c r="F172" s="43">
        <f>IF(NOT(Planos!$A171&lt;&gt;""),"",IF(COUNTIFS(Programação!$B$4:$B$503,Planos!$A171,Programação!$I$4:$I$503,"Concluído",Programação!$G$4:$G$503,"&gt;="&amp;DATE(ano_ref,3,1),Programação!$G$4:$G$503,"&lt;="&amp;EOMONTH(DATE(ano_ref,3,1),0))&gt;0,"✔",IF(AND(ISNUMBER(Planos!$G171),IFERROR(INDEX(lst_frequencia_meses,MATCH(Planos!$E171,lst_frequencia,0)),0)&gt;0,(ano_ref*12+3)-(YEAR(Planos!$G171)*12+MONTH(Planos!$G171))&gt;0,MOD((ano_ref*12+3)-(YEAR(Planos!$G171)*12+MONTH(Planos!$G171)),MAX(1,IFERROR(INDEX(lst_frequencia_meses,MATCH(Planos!$E171,lst_frequencia,0)),0)))=0),"●","")))</f>
      </c>
      <c r="G172" s="43">
        <f>IF(NOT(Planos!$A171&lt;&gt;""),"",IF(COUNTIFS(Programação!$B$4:$B$503,Planos!$A171,Programação!$I$4:$I$503,"Concluído",Programação!$G$4:$G$503,"&gt;="&amp;DATE(ano_ref,4,1),Programação!$G$4:$G$503,"&lt;="&amp;EOMONTH(DATE(ano_ref,4,1),0))&gt;0,"✔",IF(AND(ISNUMBER(Planos!$G171),IFERROR(INDEX(lst_frequencia_meses,MATCH(Planos!$E171,lst_frequencia,0)),0)&gt;0,(ano_ref*12+4)-(YEAR(Planos!$G171)*12+MONTH(Planos!$G171))&gt;0,MOD((ano_ref*12+4)-(YEAR(Planos!$G171)*12+MONTH(Planos!$G171)),MAX(1,IFERROR(INDEX(lst_frequencia_meses,MATCH(Planos!$E171,lst_frequencia,0)),0)))=0),"●","")))</f>
      </c>
      <c r="H172" s="43">
        <f>IF(NOT(Planos!$A171&lt;&gt;""),"",IF(COUNTIFS(Programação!$B$4:$B$503,Planos!$A171,Programação!$I$4:$I$503,"Concluído",Programação!$G$4:$G$503,"&gt;="&amp;DATE(ano_ref,5,1),Programação!$G$4:$G$503,"&lt;="&amp;EOMONTH(DATE(ano_ref,5,1),0))&gt;0,"✔",IF(AND(ISNUMBER(Planos!$G171),IFERROR(INDEX(lst_frequencia_meses,MATCH(Planos!$E171,lst_frequencia,0)),0)&gt;0,(ano_ref*12+5)-(YEAR(Planos!$G171)*12+MONTH(Planos!$G171))&gt;0,MOD((ano_ref*12+5)-(YEAR(Planos!$G171)*12+MONTH(Planos!$G171)),MAX(1,IFERROR(INDEX(lst_frequencia_meses,MATCH(Planos!$E171,lst_frequencia,0)),0)))=0),"●","")))</f>
      </c>
      <c r="I172" s="43">
        <f>IF(NOT(Planos!$A171&lt;&gt;""),"",IF(COUNTIFS(Programação!$B$4:$B$503,Planos!$A171,Programação!$I$4:$I$503,"Concluído",Programação!$G$4:$G$503,"&gt;="&amp;DATE(ano_ref,6,1),Programação!$G$4:$G$503,"&lt;="&amp;EOMONTH(DATE(ano_ref,6,1),0))&gt;0,"✔",IF(AND(ISNUMBER(Planos!$G171),IFERROR(INDEX(lst_frequencia_meses,MATCH(Planos!$E171,lst_frequencia,0)),0)&gt;0,(ano_ref*12+6)-(YEAR(Planos!$G171)*12+MONTH(Planos!$G171))&gt;0,MOD((ano_ref*12+6)-(YEAR(Planos!$G171)*12+MONTH(Planos!$G171)),MAX(1,IFERROR(INDEX(lst_frequencia_meses,MATCH(Planos!$E171,lst_frequencia,0)),0)))=0),"●","")))</f>
      </c>
      <c r="J172" s="43">
        <f>IF(NOT(Planos!$A171&lt;&gt;""),"",IF(COUNTIFS(Programação!$B$4:$B$503,Planos!$A171,Programação!$I$4:$I$503,"Concluído",Programação!$G$4:$G$503,"&gt;="&amp;DATE(ano_ref,7,1),Programação!$G$4:$G$503,"&lt;="&amp;EOMONTH(DATE(ano_ref,7,1),0))&gt;0,"✔",IF(AND(ISNUMBER(Planos!$G171),IFERROR(INDEX(lst_frequencia_meses,MATCH(Planos!$E171,lst_frequencia,0)),0)&gt;0,(ano_ref*12+7)-(YEAR(Planos!$G171)*12+MONTH(Planos!$G171))&gt;0,MOD((ano_ref*12+7)-(YEAR(Planos!$G171)*12+MONTH(Planos!$G171)),MAX(1,IFERROR(INDEX(lst_frequencia_meses,MATCH(Planos!$E171,lst_frequencia,0)),0)))=0),"●","")))</f>
      </c>
      <c r="K172" s="43">
        <f>IF(NOT(Planos!$A171&lt;&gt;""),"",IF(COUNTIFS(Programação!$B$4:$B$503,Planos!$A171,Programação!$I$4:$I$503,"Concluído",Programação!$G$4:$G$503,"&gt;="&amp;DATE(ano_ref,8,1),Programação!$G$4:$G$503,"&lt;="&amp;EOMONTH(DATE(ano_ref,8,1),0))&gt;0,"✔",IF(AND(ISNUMBER(Planos!$G171),IFERROR(INDEX(lst_frequencia_meses,MATCH(Planos!$E171,lst_frequencia,0)),0)&gt;0,(ano_ref*12+8)-(YEAR(Planos!$G171)*12+MONTH(Planos!$G171))&gt;0,MOD((ano_ref*12+8)-(YEAR(Planos!$G171)*12+MONTH(Planos!$G171)),MAX(1,IFERROR(INDEX(lst_frequencia_meses,MATCH(Planos!$E171,lst_frequencia,0)),0)))=0),"●","")))</f>
      </c>
      <c r="L172" s="43">
        <f>IF(NOT(Planos!$A171&lt;&gt;""),"",IF(COUNTIFS(Programação!$B$4:$B$503,Planos!$A171,Programação!$I$4:$I$503,"Concluído",Programação!$G$4:$G$503,"&gt;="&amp;DATE(ano_ref,9,1),Programação!$G$4:$G$503,"&lt;="&amp;EOMONTH(DATE(ano_ref,9,1),0))&gt;0,"✔",IF(AND(ISNUMBER(Planos!$G171),IFERROR(INDEX(lst_frequencia_meses,MATCH(Planos!$E171,lst_frequencia,0)),0)&gt;0,(ano_ref*12+9)-(YEAR(Planos!$G171)*12+MONTH(Planos!$G171))&gt;0,MOD((ano_ref*12+9)-(YEAR(Planos!$G171)*12+MONTH(Planos!$G171)),MAX(1,IFERROR(INDEX(lst_frequencia_meses,MATCH(Planos!$E171,lst_frequencia,0)),0)))=0),"●","")))</f>
      </c>
      <c r="M172" s="43">
        <f>IF(NOT(Planos!$A171&lt;&gt;""),"",IF(COUNTIFS(Programação!$B$4:$B$503,Planos!$A171,Programação!$I$4:$I$503,"Concluído",Programação!$G$4:$G$503,"&gt;="&amp;DATE(ano_ref,10,1),Programação!$G$4:$G$503,"&lt;="&amp;EOMONTH(DATE(ano_ref,10,1),0))&gt;0,"✔",IF(AND(ISNUMBER(Planos!$G171),IFERROR(INDEX(lst_frequencia_meses,MATCH(Planos!$E171,lst_frequencia,0)),0)&gt;0,(ano_ref*12+10)-(YEAR(Planos!$G171)*12+MONTH(Planos!$G171))&gt;0,MOD((ano_ref*12+10)-(YEAR(Planos!$G171)*12+MONTH(Planos!$G171)),MAX(1,IFERROR(INDEX(lst_frequencia_meses,MATCH(Planos!$E171,lst_frequencia,0)),0)))=0),"●","")))</f>
      </c>
      <c r="N172" s="43">
        <f>IF(NOT(Planos!$A171&lt;&gt;""),"",IF(COUNTIFS(Programação!$B$4:$B$503,Planos!$A171,Programação!$I$4:$I$503,"Concluído",Programação!$G$4:$G$503,"&gt;="&amp;DATE(ano_ref,11,1),Programação!$G$4:$G$503,"&lt;="&amp;EOMONTH(DATE(ano_ref,11,1),0))&gt;0,"✔",IF(AND(ISNUMBER(Planos!$G171),IFERROR(INDEX(lst_frequencia_meses,MATCH(Planos!$E171,lst_frequencia,0)),0)&gt;0,(ano_ref*12+11)-(YEAR(Planos!$G171)*12+MONTH(Planos!$G171))&gt;0,MOD((ano_ref*12+11)-(YEAR(Planos!$G171)*12+MONTH(Planos!$G171)),MAX(1,IFERROR(INDEX(lst_frequencia_meses,MATCH(Planos!$E171,lst_frequencia,0)),0)))=0),"●","")))</f>
      </c>
      <c r="O172" s="43">
        <f>IF(NOT(Planos!$A171&lt;&gt;""),"",IF(COUNTIFS(Programação!$B$4:$B$503,Planos!$A171,Programação!$I$4:$I$503,"Concluído",Programação!$G$4:$G$503,"&gt;="&amp;DATE(ano_ref,12,1),Programação!$G$4:$G$503,"&lt;="&amp;EOMONTH(DATE(ano_ref,12,1),0))&gt;0,"✔",IF(AND(ISNUMBER(Planos!$G171),IFERROR(INDEX(lst_frequencia_meses,MATCH(Planos!$E171,lst_frequencia,0)),0)&gt;0,(ano_ref*12+12)-(YEAR(Planos!$G171)*12+MONTH(Planos!$G171))&gt;0,MOD((ano_ref*12+12)-(YEAR(Planos!$G171)*12+MONTH(Planos!$G171)),MAX(1,IFERROR(INDEX(lst_frequencia_meses,MATCH(Planos!$E171,lst_frequencia,0)),0)))=0),"●","")))</f>
      </c>
      <c r="P172" s="44">
        <f>IF(COUNTIF(D172:O172,"✔")+COUNTIF(D172:O172,"●")=0,"",COUNTIF(D172:O172,"✔")/(COUNTIF(D172:O172,"✔")+COUNTIF(D172:O172,"●")))</f>
      </c>
    </row>
    <row r="173" spans="1:16" x14ac:dyDescent="0.25">
      <c r="A173" s="43">
        <f>IF(Planos!$A172&lt;&gt;"",Planos!A172&amp;"","")</f>
      </c>
      <c r="B173" s="43">
        <f>IF(Planos!$A172&lt;&gt;"",Planos!B172&amp;"","")</f>
      </c>
      <c r="C173" s="24">
        <f>IF(Planos!$A172&lt;&gt;"",Planos!C172&amp;"","")</f>
      </c>
      <c r="D173" s="43">
        <f>IF(NOT(Planos!$A172&lt;&gt;""),"",IF(COUNTIFS(Programação!$B$4:$B$503,Planos!$A172,Programação!$I$4:$I$503,"Concluído",Programação!$G$4:$G$503,"&gt;="&amp;DATE(ano_ref,1,1),Programação!$G$4:$G$503,"&lt;="&amp;EOMONTH(DATE(ano_ref,1,1),0))&gt;0,"✔",IF(AND(ISNUMBER(Planos!$G172),IFERROR(INDEX(lst_frequencia_meses,MATCH(Planos!$E172,lst_frequencia,0)),0)&gt;0,(ano_ref*12+1)-(YEAR(Planos!$G172)*12+MONTH(Planos!$G172))&gt;0,MOD((ano_ref*12+1)-(YEAR(Planos!$G172)*12+MONTH(Planos!$G172)),MAX(1,IFERROR(INDEX(lst_frequencia_meses,MATCH(Planos!$E172,lst_frequencia,0)),0)))=0),"●","")))</f>
      </c>
      <c r="E173" s="43">
        <f>IF(NOT(Planos!$A172&lt;&gt;""),"",IF(COUNTIFS(Programação!$B$4:$B$503,Planos!$A172,Programação!$I$4:$I$503,"Concluído",Programação!$G$4:$G$503,"&gt;="&amp;DATE(ano_ref,2,1),Programação!$G$4:$G$503,"&lt;="&amp;EOMONTH(DATE(ano_ref,2,1),0))&gt;0,"✔",IF(AND(ISNUMBER(Planos!$G172),IFERROR(INDEX(lst_frequencia_meses,MATCH(Planos!$E172,lst_frequencia,0)),0)&gt;0,(ano_ref*12+2)-(YEAR(Planos!$G172)*12+MONTH(Planos!$G172))&gt;0,MOD((ano_ref*12+2)-(YEAR(Planos!$G172)*12+MONTH(Planos!$G172)),MAX(1,IFERROR(INDEX(lst_frequencia_meses,MATCH(Planos!$E172,lst_frequencia,0)),0)))=0),"●","")))</f>
      </c>
      <c r="F173" s="43">
        <f>IF(NOT(Planos!$A172&lt;&gt;""),"",IF(COUNTIFS(Programação!$B$4:$B$503,Planos!$A172,Programação!$I$4:$I$503,"Concluído",Programação!$G$4:$G$503,"&gt;="&amp;DATE(ano_ref,3,1),Programação!$G$4:$G$503,"&lt;="&amp;EOMONTH(DATE(ano_ref,3,1),0))&gt;0,"✔",IF(AND(ISNUMBER(Planos!$G172),IFERROR(INDEX(lst_frequencia_meses,MATCH(Planos!$E172,lst_frequencia,0)),0)&gt;0,(ano_ref*12+3)-(YEAR(Planos!$G172)*12+MONTH(Planos!$G172))&gt;0,MOD((ano_ref*12+3)-(YEAR(Planos!$G172)*12+MONTH(Planos!$G172)),MAX(1,IFERROR(INDEX(lst_frequencia_meses,MATCH(Planos!$E172,lst_frequencia,0)),0)))=0),"●","")))</f>
      </c>
      <c r="G173" s="43">
        <f>IF(NOT(Planos!$A172&lt;&gt;""),"",IF(COUNTIFS(Programação!$B$4:$B$503,Planos!$A172,Programação!$I$4:$I$503,"Concluído",Programação!$G$4:$G$503,"&gt;="&amp;DATE(ano_ref,4,1),Programação!$G$4:$G$503,"&lt;="&amp;EOMONTH(DATE(ano_ref,4,1),0))&gt;0,"✔",IF(AND(ISNUMBER(Planos!$G172),IFERROR(INDEX(lst_frequencia_meses,MATCH(Planos!$E172,lst_frequencia,0)),0)&gt;0,(ano_ref*12+4)-(YEAR(Planos!$G172)*12+MONTH(Planos!$G172))&gt;0,MOD((ano_ref*12+4)-(YEAR(Planos!$G172)*12+MONTH(Planos!$G172)),MAX(1,IFERROR(INDEX(lst_frequencia_meses,MATCH(Planos!$E172,lst_frequencia,0)),0)))=0),"●","")))</f>
      </c>
      <c r="H173" s="43">
        <f>IF(NOT(Planos!$A172&lt;&gt;""),"",IF(COUNTIFS(Programação!$B$4:$B$503,Planos!$A172,Programação!$I$4:$I$503,"Concluído",Programação!$G$4:$G$503,"&gt;="&amp;DATE(ano_ref,5,1),Programação!$G$4:$G$503,"&lt;="&amp;EOMONTH(DATE(ano_ref,5,1),0))&gt;0,"✔",IF(AND(ISNUMBER(Planos!$G172),IFERROR(INDEX(lst_frequencia_meses,MATCH(Planos!$E172,lst_frequencia,0)),0)&gt;0,(ano_ref*12+5)-(YEAR(Planos!$G172)*12+MONTH(Planos!$G172))&gt;0,MOD((ano_ref*12+5)-(YEAR(Planos!$G172)*12+MONTH(Planos!$G172)),MAX(1,IFERROR(INDEX(lst_frequencia_meses,MATCH(Planos!$E172,lst_frequencia,0)),0)))=0),"●","")))</f>
      </c>
      <c r="I173" s="43">
        <f>IF(NOT(Planos!$A172&lt;&gt;""),"",IF(COUNTIFS(Programação!$B$4:$B$503,Planos!$A172,Programação!$I$4:$I$503,"Concluído",Programação!$G$4:$G$503,"&gt;="&amp;DATE(ano_ref,6,1),Programação!$G$4:$G$503,"&lt;="&amp;EOMONTH(DATE(ano_ref,6,1),0))&gt;0,"✔",IF(AND(ISNUMBER(Planos!$G172),IFERROR(INDEX(lst_frequencia_meses,MATCH(Planos!$E172,lst_frequencia,0)),0)&gt;0,(ano_ref*12+6)-(YEAR(Planos!$G172)*12+MONTH(Planos!$G172))&gt;0,MOD((ano_ref*12+6)-(YEAR(Planos!$G172)*12+MONTH(Planos!$G172)),MAX(1,IFERROR(INDEX(lst_frequencia_meses,MATCH(Planos!$E172,lst_frequencia,0)),0)))=0),"●","")))</f>
      </c>
      <c r="J173" s="43">
        <f>IF(NOT(Planos!$A172&lt;&gt;""),"",IF(COUNTIFS(Programação!$B$4:$B$503,Planos!$A172,Programação!$I$4:$I$503,"Concluído",Programação!$G$4:$G$503,"&gt;="&amp;DATE(ano_ref,7,1),Programação!$G$4:$G$503,"&lt;="&amp;EOMONTH(DATE(ano_ref,7,1),0))&gt;0,"✔",IF(AND(ISNUMBER(Planos!$G172),IFERROR(INDEX(lst_frequencia_meses,MATCH(Planos!$E172,lst_frequencia,0)),0)&gt;0,(ano_ref*12+7)-(YEAR(Planos!$G172)*12+MONTH(Planos!$G172))&gt;0,MOD((ano_ref*12+7)-(YEAR(Planos!$G172)*12+MONTH(Planos!$G172)),MAX(1,IFERROR(INDEX(lst_frequencia_meses,MATCH(Planos!$E172,lst_frequencia,0)),0)))=0),"●","")))</f>
      </c>
      <c r="K173" s="43">
        <f>IF(NOT(Planos!$A172&lt;&gt;""),"",IF(COUNTIFS(Programação!$B$4:$B$503,Planos!$A172,Programação!$I$4:$I$503,"Concluído",Programação!$G$4:$G$503,"&gt;="&amp;DATE(ano_ref,8,1),Programação!$G$4:$G$503,"&lt;="&amp;EOMONTH(DATE(ano_ref,8,1),0))&gt;0,"✔",IF(AND(ISNUMBER(Planos!$G172),IFERROR(INDEX(lst_frequencia_meses,MATCH(Planos!$E172,lst_frequencia,0)),0)&gt;0,(ano_ref*12+8)-(YEAR(Planos!$G172)*12+MONTH(Planos!$G172))&gt;0,MOD((ano_ref*12+8)-(YEAR(Planos!$G172)*12+MONTH(Planos!$G172)),MAX(1,IFERROR(INDEX(lst_frequencia_meses,MATCH(Planos!$E172,lst_frequencia,0)),0)))=0),"●","")))</f>
      </c>
      <c r="L173" s="43">
        <f>IF(NOT(Planos!$A172&lt;&gt;""),"",IF(COUNTIFS(Programação!$B$4:$B$503,Planos!$A172,Programação!$I$4:$I$503,"Concluído",Programação!$G$4:$G$503,"&gt;="&amp;DATE(ano_ref,9,1),Programação!$G$4:$G$503,"&lt;="&amp;EOMONTH(DATE(ano_ref,9,1),0))&gt;0,"✔",IF(AND(ISNUMBER(Planos!$G172),IFERROR(INDEX(lst_frequencia_meses,MATCH(Planos!$E172,lst_frequencia,0)),0)&gt;0,(ano_ref*12+9)-(YEAR(Planos!$G172)*12+MONTH(Planos!$G172))&gt;0,MOD((ano_ref*12+9)-(YEAR(Planos!$G172)*12+MONTH(Planos!$G172)),MAX(1,IFERROR(INDEX(lst_frequencia_meses,MATCH(Planos!$E172,lst_frequencia,0)),0)))=0),"●","")))</f>
      </c>
      <c r="M173" s="43">
        <f>IF(NOT(Planos!$A172&lt;&gt;""),"",IF(COUNTIFS(Programação!$B$4:$B$503,Planos!$A172,Programação!$I$4:$I$503,"Concluído",Programação!$G$4:$G$503,"&gt;="&amp;DATE(ano_ref,10,1),Programação!$G$4:$G$503,"&lt;="&amp;EOMONTH(DATE(ano_ref,10,1),0))&gt;0,"✔",IF(AND(ISNUMBER(Planos!$G172),IFERROR(INDEX(lst_frequencia_meses,MATCH(Planos!$E172,lst_frequencia,0)),0)&gt;0,(ano_ref*12+10)-(YEAR(Planos!$G172)*12+MONTH(Planos!$G172))&gt;0,MOD((ano_ref*12+10)-(YEAR(Planos!$G172)*12+MONTH(Planos!$G172)),MAX(1,IFERROR(INDEX(lst_frequencia_meses,MATCH(Planos!$E172,lst_frequencia,0)),0)))=0),"●","")))</f>
      </c>
      <c r="N173" s="43">
        <f>IF(NOT(Planos!$A172&lt;&gt;""),"",IF(COUNTIFS(Programação!$B$4:$B$503,Planos!$A172,Programação!$I$4:$I$503,"Concluído",Programação!$G$4:$G$503,"&gt;="&amp;DATE(ano_ref,11,1),Programação!$G$4:$G$503,"&lt;="&amp;EOMONTH(DATE(ano_ref,11,1),0))&gt;0,"✔",IF(AND(ISNUMBER(Planos!$G172),IFERROR(INDEX(lst_frequencia_meses,MATCH(Planos!$E172,lst_frequencia,0)),0)&gt;0,(ano_ref*12+11)-(YEAR(Planos!$G172)*12+MONTH(Planos!$G172))&gt;0,MOD((ano_ref*12+11)-(YEAR(Planos!$G172)*12+MONTH(Planos!$G172)),MAX(1,IFERROR(INDEX(lst_frequencia_meses,MATCH(Planos!$E172,lst_frequencia,0)),0)))=0),"●","")))</f>
      </c>
      <c r="O173" s="43">
        <f>IF(NOT(Planos!$A172&lt;&gt;""),"",IF(COUNTIFS(Programação!$B$4:$B$503,Planos!$A172,Programação!$I$4:$I$503,"Concluído",Programação!$G$4:$G$503,"&gt;="&amp;DATE(ano_ref,12,1),Programação!$G$4:$G$503,"&lt;="&amp;EOMONTH(DATE(ano_ref,12,1),0))&gt;0,"✔",IF(AND(ISNUMBER(Planos!$G172),IFERROR(INDEX(lst_frequencia_meses,MATCH(Planos!$E172,lst_frequencia,0)),0)&gt;0,(ano_ref*12+12)-(YEAR(Planos!$G172)*12+MONTH(Planos!$G172))&gt;0,MOD((ano_ref*12+12)-(YEAR(Planos!$G172)*12+MONTH(Planos!$G172)),MAX(1,IFERROR(INDEX(lst_frequencia_meses,MATCH(Planos!$E172,lst_frequencia,0)),0)))=0),"●","")))</f>
      </c>
      <c r="P173" s="44">
        <f>IF(COUNTIF(D173:O173,"✔")+COUNTIF(D173:O173,"●")=0,"",COUNTIF(D173:O173,"✔")/(COUNTIF(D173:O173,"✔")+COUNTIF(D173:O173,"●")))</f>
      </c>
    </row>
    <row r="174" spans="1:16" x14ac:dyDescent="0.25">
      <c r="A174" s="43">
        <f>IF(Planos!$A173&lt;&gt;"",Planos!A173&amp;"","")</f>
      </c>
      <c r="B174" s="43">
        <f>IF(Planos!$A173&lt;&gt;"",Planos!B173&amp;"","")</f>
      </c>
      <c r="C174" s="24">
        <f>IF(Planos!$A173&lt;&gt;"",Planos!C173&amp;"","")</f>
      </c>
      <c r="D174" s="43">
        <f>IF(NOT(Planos!$A173&lt;&gt;""),"",IF(COUNTIFS(Programação!$B$4:$B$503,Planos!$A173,Programação!$I$4:$I$503,"Concluído",Programação!$G$4:$G$503,"&gt;="&amp;DATE(ano_ref,1,1),Programação!$G$4:$G$503,"&lt;="&amp;EOMONTH(DATE(ano_ref,1,1),0))&gt;0,"✔",IF(AND(ISNUMBER(Planos!$G173),IFERROR(INDEX(lst_frequencia_meses,MATCH(Planos!$E173,lst_frequencia,0)),0)&gt;0,(ano_ref*12+1)-(YEAR(Planos!$G173)*12+MONTH(Planos!$G173))&gt;0,MOD((ano_ref*12+1)-(YEAR(Planos!$G173)*12+MONTH(Planos!$G173)),MAX(1,IFERROR(INDEX(lst_frequencia_meses,MATCH(Planos!$E173,lst_frequencia,0)),0)))=0),"●","")))</f>
      </c>
      <c r="E174" s="43">
        <f>IF(NOT(Planos!$A173&lt;&gt;""),"",IF(COUNTIFS(Programação!$B$4:$B$503,Planos!$A173,Programação!$I$4:$I$503,"Concluído",Programação!$G$4:$G$503,"&gt;="&amp;DATE(ano_ref,2,1),Programação!$G$4:$G$503,"&lt;="&amp;EOMONTH(DATE(ano_ref,2,1),0))&gt;0,"✔",IF(AND(ISNUMBER(Planos!$G173),IFERROR(INDEX(lst_frequencia_meses,MATCH(Planos!$E173,lst_frequencia,0)),0)&gt;0,(ano_ref*12+2)-(YEAR(Planos!$G173)*12+MONTH(Planos!$G173))&gt;0,MOD((ano_ref*12+2)-(YEAR(Planos!$G173)*12+MONTH(Planos!$G173)),MAX(1,IFERROR(INDEX(lst_frequencia_meses,MATCH(Planos!$E173,lst_frequencia,0)),0)))=0),"●","")))</f>
      </c>
      <c r="F174" s="43">
        <f>IF(NOT(Planos!$A173&lt;&gt;""),"",IF(COUNTIFS(Programação!$B$4:$B$503,Planos!$A173,Programação!$I$4:$I$503,"Concluído",Programação!$G$4:$G$503,"&gt;="&amp;DATE(ano_ref,3,1),Programação!$G$4:$G$503,"&lt;="&amp;EOMONTH(DATE(ano_ref,3,1),0))&gt;0,"✔",IF(AND(ISNUMBER(Planos!$G173),IFERROR(INDEX(lst_frequencia_meses,MATCH(Planos!$E173,lst_frequencia,0)),0)&gt;0,(ano_ref*12+3)-(YEAR(Planos!$G173)*12+MONTH(Planos!$G173))&gt;0,MOD((ano_ref*12+3)-(YEAR(Planos!$G173)*12+MONTH(Planos!$G173)),MAX(1,IFERROR(INDEX(lst_frequencia_meses,MATCH(Planos!$E173,lst_frequencia,0)),0)))=0),"●","")))</f>
      </c>
      <c r="G174" s="43">
        <f>IF(NOT(Planos!$A173&lt;&gt;""),"",IF(COUNTIFS(Programação!$B$4:$B$503,Planos!$A173,Programação!$I$4:$I$503,"Concluído",Programação!$G$4:$G$503,"&gt;="&amp;DATE(ano_ref,4,1),Programação!$G$4:$G$503,"&lt;="&amp;EOMONTH(DATE(ano_ref,4,1),0))&gt;0,"✔",IF(AND(ISNUMBER(Planos!$G173),IFERROR(INDEX(lst_frequencia_meses,MATCH(Planos!$E173,lst_frequencia,0)),0)&gt;0,(ano_ref*12+4)-(YEAR(Planos!$G173)*12+MONTH(Planos!$G173))&gt;0,MOD((ano_ref*12+4)-(YEAR(Planos!$G173)*12+MONTH(Planos!$G173)),MAX(1,IFERROR(INDEX(lst_frequencia_meses,MATCH(Planos!$E173,lst_frequencia,0)),0)))=0),"●","")))</f>
      </c>
      <c r="H174" s="43">
        <f>IF(NOT(Planos!$A173&lt;&gt;""),"",IF(COUNTIFS(Programação!$B$4:$B$503,Planos!$A173,Programação!$I$4:$I$503,"Concluído",Programação!$G$4:$G$503,"&gt;="&amp;DATE(ano_ref,5,1),Programação!$G$4:$G$503,"&lt;="&amp;EOMONTH(DATE(ano_ref,5,1),0))&gt;0,"✔",IF(AND(ISNUMBER(Planos!$G173),IFERROR(INDEX(lst_frequencia_meses,MATCH(Planos!$E173,lst_frequencia,0)),0)&gt;0,(ano_ref*12+5)-(YEAR(Planos!$G173)*12+MONTH(Planos!$G173))&gt;0,MOD((ano_ref*12+5)-(YEAR(Planos!$G173)*12+MONTH(Planos!$G173)),MAX(1,IFERROR(INDEX(lst_frequencia_meses,MATCH(Planos!$E173,lst_frequencia,0)),0)))=0),"●","")))</f>
      </c>
      <c r="I174" s="43">
        <f>IF(NOT(Planos!$A173&lt;&gt;""),"",IF(COUNTIFS(Programação!$B$4:$B$503,Planos!$A173,Programação!$I$4:$I$503,"Concluído",Programação!$G$4:$G$503,"&gt;="&amp;DATE(ano_ref,6,1),Programação!$G$4:$G$503,"&lt;="&amp;EOMONTH(DATE(ano_ref,6,1),0))&gt;0,"✔",IF(AND(ISNUMBER(Planos!$G173),IFERROR(INDEX(lst_frequencia_meses,MATCH(Planos!$E173,lst_frequencia,0)),0)&gt;0,(ano_ref*12+6)-(YEAR(Planos!$G173)*12+MONTH(Planos!$G173))&gt;0,MOD((ano_ref*12+6)-(YEAR(Planos!$G173)*12+MONTH(Planos!$G173)),MAX(1,IFERROR(INDEX(lst_frequencia_meses,MATCH(Planos!$E173,lst_frequencia,0)),0)))=0),"●","")))</f>
      </c>
      <c r="J174" s="43">
        <f>IF(NOT(Planos!$A173&lt;&gt;""),"",IF(COUNTIFS(Programação!$B$4:$B$503,Planos!$A173,Programação!$I$4:$I$503,"Concluído",Programação!$G$4:$G$503,"&gt;="&amp;DATE(ano_ref,7,1),Programação!$G$4:$G$503,"&lt;="&amp;EOMONTH(DATE(ano_ref,7,1),0))&gt;0,"✔",IF(AND(ISNUMBER(Planos!$G173),IFERROR(INDEX(lst_frequencia_meses,MATCH(Planos!$E173,lst_frequencia,0)),0)&gt;0,(ano_ref*12+7)-(YEAR(Planos!$G173)*12+MONTH(Planos!$G173))&gt;0,MOD((ano_ref*12+7)-(YEAR(Planos!$G173)*12+MONTH(Planos!$G173)),MAX(1,IFERROR(INDEX(lst_frequencia_meses,MATCH(Planos!$E173,lst_frequencia,0)),0)))=0),"●","")))</f>
      </c>
      <c r="K174" s="43">
        <f>IF(NOT(Planos!$A173&lt;&gt;""),"",IF(COUNTIFS(Programação!$B$4:$B$503,Planos!$A173,Programação!$I$4:$I$503,"Concluído",Programação!$G$4:$G$503,"&gt;="&amp;DATE(ano_ref,8,1),Programação!$G$4:$G$503,"&lt;="&amp;EOMONTH(DATE(ano_ref,8,1),0))&gt;0,"✔",IF(AND(ISNUMBER(Planos!$G173),IFERROR(INDEX(lst_frequencia_meses,MATCH(Planos!$E173,lst_frequencia,0)),0)&gt;0,(ano_ref*12+8)-(YEAR(Planos!$G173)*12+MONTH(Planos!$G173))&gt;0,MOD((ano_ref*12+8)-(YEAR(Planos!$G173)*12+MONTH(Planos!$G173)),MAX(1,IFERROR(INDEX(lst_frequencia_meses,MATCH(Planos!$E173,lst_frequencia,0)),0)))=0),"●","")))</f>
      </c>
      <c r="L174" s="43">
        <f>IF(NOT(Planos!$A173&lt;&gt;""),"",IF(COUNTIFS(Programação!$B$4:$B$503,Planos!$A173,Programação!$I$4:$I$503,"Concluído",Programação!$G$4:$G$503,"&gt;="&amp;DATE(ano_ref,9,1),Programação!$G$4:$G$503,"&lt;="&amp;EOMONTH(DATE(ano_ref,9,1),0))&gt;0,"✔",IF(AND(ISNUMBER(Planos!$G173),IFERROR(INDEX(lst_frequencia_meses,MATCH(Planos!$E173,lst_frequencia,0)),0)&gt;0,(ano_ref*12+9)-(YEAR(Planos!$G173)*12+MONTH(Planos!$G173))&gt;0,MOD((ano_ref*12+9)-(YEAR(Planos!$G173)*12+MONTH(Planos!$G173)),MAX(1,IFERROR(INDEX(lst_frequencia_meses,MATCH(Planos!$E173,lst_frequencia,0)),0)))=0),"●","")))</f>
      </c>
      <c r="M174" s="43">
        <f>IF(NOT(Planos!$A173&lt;&gt;""),"",IF(COUNTIFS(Programação!$B$4:$B$503,Planos!$A173,Programação!$I$4:$I$503,"Concluído",Programação!$G$4:$G$503,"&gt;="&amp;DATE(ano_ref,10,1),Programação!$G$4:$G$503,"&lt;="&amp;EOMONTH(DATE(ano_ref,10,1),0))&gt;0,"✔",IF(AND(ISNUMBER(Planos!$G173),IFERROR(INDEX(lst_frequencia_meses,MATCH(Planos!$E173,lst_frequencia,0)),0)&gt;0,(ano_ref*12+10)-(YEAR(Planos!$G173)*12+MONTH(Planos!$G173))&gt;0,MOD((ano_ref*12+10)-(YEAR(Planos!$G173)*12+MONTH(Planos!$G173)),MAX(1,IFERROR(INDEX(lst_frequencia_meses,MATCH(Planos!$E173,lst_frequencia,0)),0)))=0),"●","")))</f>
      </c>
      <c r="N174" s="43">
        <f>IF(NOT(Planos!$A173&lt;&gt;""),"",IF(COUNTIFS(Programação!$B$4:$B$503,Planos!$A173,Programação!$I$4:$I$503,"Concluído",Programação!$G$4:$G$503,"&gt;="&amp;DATE(ano_ref,11,1),Programação!$G$4:$G$503,"&lt;="&amp;EOMONTH(DATE(ano_ref,11,1),0))&gt;0,"✔",IF(AND(ISNUMBER(Planos!$G173),IFERROR(INDEX(lst_frequencia_meses,MATCH(Planos!$E173,lst_frequencia,0)),0)&gt;0,(ano_ref*12+11)-(YEAR(Planos!$G173)*12+MONTH(Planos!$G173))&gt;0,MOD((ano_ref*12+11)-(YEAR(Planos!$G173)*12+MONTH(Planos!$G173)),MAX(1,IFERROR(INDEX(lst_frequencia_meses,MATCH(Planos!$E173,lst_frequencia,0)),0)))=0),"●","")))</f>
      </c>
      <c r="O174" s="43">
        <f>IF(NOT(Planos!$A173&lt;&gt;""),"",IF(COUNTIFS(Programação!$B$4:$B$503,Planos!$A173,Programação!$I$4:$I$503,"Concluído",Programação!$G$4:$G$503,"&gt;="&amp;DATE(ano_ref,12,1),Programação!$G$4:$G$503,"&lt;="&amp;EOMONTH(DATE(ano_ref,12,1),0))&gt;0,"✔",IF(AND(ISNUMBER(Planos!$G173),IFERROR(INDEX(lst_frequencia_meses,MATCH(Planos!$E173,lst_frequencia,0)),0)&gt;0,(ano_ref*12+12)-(YEAR(Planos!$G173)*12+MONTH(Planos!$G173))&gt;0,MOD((ano_ref*12+12)-(YEAR(Planos!$G173)*12+MONTH(Planos!$G173)),MAX(1,IFERROR(INDEX(lst_frequencia_meses,MATCH(Planos!$E173,lst_frequencia,0)),0)))=0),"●","")))</f>
      </c>
      <c r="P174" s="44">
        <f>IF(COUNTIF(D174:O174,"✔")+COUNTIF(D174:O174,"●")=0,"",COUNTIF(D174:O174,"✔")/(COUNTIF(D174:O174,"✔")+COUNTIF(D174:O174,"●")))</f>
      </c>
    </row>
    <row r="175" spans="1:16" x14ac:dyDescent="0.25">
      <c r="A175" s="43">
        <f>IF(Planos!$A174&lt;&gt;"",Planos!A174&amp;"","")</f>
      </c>
      <c r="B175" s="43">
        <f>IF(Planos!$A174&lt;&gt;"",Planos!B174&amp;"","")</f>
      </c>
      <c r="C175" s="24">
        <f>IF(Planos!$A174&lt;&gt;"",Planos!C174&amp;"","")</f>
      </c>
      <c r="D175" s="43">
        <f>IF(NOT(Planos!$A174&lt;&gt;""),"",IF(COUNTIFS(Programação!$B$4:$B$503,Planos!$A174,Programação!$I$4:$I$503,"Concluído",Programação!$G$4:$G$503,"&gt;="&amp;DATE(ano_ref,1,1),Programação!$G$4:$G$503,"&lt;="&amp;EOMONTH(DATE(ano_ref,1,1),0))&gt;0,"✔",IF(AND(ISNUMBER(Planos!$G174),IFERROR(INDEX(lst_frequencia_meses,MATCH(Planos!$E174,lst_frequencia,0)),0)&gt;0,(ano_ref*12+1)-(YEAR(Planos!$G174)*12+MONTH(Planos!$G174))&gt;0,MOD((ano_ref*12+1)-(YEAR(Planos!$G174)*12+MONTH(Planos!$G174)),MAX(1,IFERROR(INDEX(lst_frequencia_meses,MATCH(Planos!$E174,lst_frequencia,0)),0)))=0),"●","")))</f>
      </c>
      <c r="E175" s="43">
        <f>IF(NOT(Planos!$A174&lt;&gt;""),"",IF(COUNTIFS(Programação!$B$4:$B$503,Planos!$A174,Programação!$I$4:$I$503,"Concluído",Programação!$G$4:$G$503,"&gt;="&amp;DATE(ano_ref,2,1),Programação!$G$4:$G$503,"&lt;="&amp;EOMONTH(DATE(ano_ref,2,1),0))&gt;0,"✔",IF(AND(ISNUMBER(Planos!$G174),IFERROR(INDEX(lst_frequencia_meses,MATCH(Planos!$E174,lst_frequencia,0)),0)&gt;0,(ano_ref*12+2)-(YEAR(Planos!$G174)*12+MONTH(Planos!$G174))&gt;0,MOD((ano_ref*12+2)-(YEAR(Planos!$G174)*12+MONTH(Planos!$G174)),MAX(1,IFERROR(INDEX(lst_frequencia_meses,MATCH(Planos!$E174,lst_frequencia,0)),0)))=0),"●","")))</f>
      </c>
      <c r="F175" s="43">
        <f>IF(NOT(Planos!$A174&lt;&gt;""),"",IF(COUNTIFS(Programação!$B$4:$B$503,Planos!$A174,Programação!$I$4:$I$503,"Concluído",Programação!$G$4:$G$503,"&gt;="&amp;DATE(ano_ref,3,1),Programação!$G$4:$G$503,"&lt;="&amp;EOMONTH(DATE(ano_ref,3,1),0))&gt;0,"✔",IF(AND(ISNUMBER(Planos!$G174),IFERROR(INDEX(lst_frequencia_meses,MATCH(Planos!$E174,lst_frequencia,0)),0)&gt;0,(ano_ref*12+3)-(YEAR(Planos!$G174)*12+MONTH(Planos!$G174))&gt;0,MOD((ano_ref*12+3)-(YEAR(Planos!$G174)*12+MONTH(Planos!$G174)),MAX(1,IFERROR(INDEX(lst_frequencia_meses,MATCH(Planos!$E174,lst_frequencia,0)),0)))=0),"●","")))</f>
      </c>
      <c r="G175" s="43">
        <f>IF(NOT(Planos!$A174&lt;&gt;""),"",IF(COUNTIFS(Programação!$B$4:$B$503,Planos!$A174,Programação!$I$4:$I$503,"Concluído",Programação!$G$4:$G$503,"&gt;="&amp;DATE(ano_ref,4,1),Programação!$G$4:$G$503,"&lt;="&amp;EOMONTH(DATE(ano_ref,4,1),0))&gt;0,"✔",IF(AND(ISNUMBER(Planos!$G174),IFERROR(INDEX(lst_frequencia_meses,MATCH(Planos!$E174,lst_frequencia,0)),0)&gt;0,(ano_ref*12+4)-(YEAR(Planos!$G174)*12+MONTH(Planos!$G174))&gt;0,MOD((ano_ref*12+4)-(YEAR(Planos!$G174)*12+MONTH(Planos!$G174)),MAX(1,IFERROR(INDEX(lst_frequencia_meses,MATCH(Planos!$E174,lst_frequencia,0)),0)))=0),"●","")))</f>
      </c>
      <c r="H175" s="43">
        <f>IF(NOT(Planos!$A174&lt;&gt;""),"",IF(COUNTIFS(Programação!$B$4:$B$503,Planos!$A174,Programação!$I$4:$I$503,"Concluído",Programação!$G$4:$G$503,"&gt;="&amp;DATE(ano_ref,5,1),Programação!$G$4:$G$503,"&lt;="&amp;EOMONTH(DATE(ano_ref,5,1),0))&gt;0,"✔",IF(AND(ISNUMBER(Planos!$G174),IFERROR(INDEX(lst_frequencia_meses,MATCH(Planos!$E174,lst_frequencia,0)),0)&gt;0,(ano_ref*12+5)-(YEAR(Planos!$G174)*12+MONTH(Planos!$G174))&gt;0,MOD((ano_ref*12+5)-(YEAR(Planos!$G174)*12+MONTH(Planos!$G174)),MAX(1,IFERROR(INDEX(lst_frequencia_meses,MATCH(Planos!$E174,lst_frequencia,0)),0)))=0),"●","")))</f>
      </c>
      <c r="I175" s="43">
        <f>IF(NOT(Planos!$A174&lt;&gt;""),"",IF(COUNTIFS(Programação!$B$4:$B$503,Planos!$A174,Programação!$I$4:$I$503,"Concluído",Programação!$G$4:$G$503,"&gt;="&amp;DATE(ano_ref,6,1),Programação!$G$4:$G$503,"&lt;="&amp;EOMONTH(DATE(ano_ref,6,1),0))&gt;0,"✔",IF(AND(ISNUMBER(Planos!$G174),IFERROR(INDEX(lst_frequencia_meses,MATCH(Planos!$E174,lst_frequencia,0)),0)&gt;0,(ano_ref*12+6)-(YEAR(Planos!$G174)*12+MONTH(Planos!$G174))&gt;0,MOD((ano_ref*12+6)-(YEAR(Planos!$G174)*12+MONTH(Planos!$G174)),MAX(1,IFERROR(INDEX(lst_frequencia_meses,MATCH(Planos!$E174,lst_frequencia,0)),0)))=0),"●","")))</f>
      </c>
      <c r="J175" s="43">
        <f>IF(NOT(Planos!$A174&lt;&gt;""),"",IF(COUNTIFS(Programação!$B$4:$B$503,Planos!$A174,Programação!$I$4:$I$503,"Concluído",Programação!$G$4:$G$503,"&gt;="&amp;DATE(ano_ref,7,1),Programação!$G$4:$G$503,"&lt;="&amp;EOMONTH(DATE(ano_ref,7,1),0))&gt;0,"✔",IF(AND(ISNUMBER(Planos!$G174),IFERROR(INDEX(lst_frequencia_meses,MATCH(Planos!$E174,lst_frequencia,0)),0)&gt;0,(ano_ref*12+7)-(YEAR(Planos!$G174)*12+MONTH(Planos!$G174))&gt;0,MOD((ano_ref*12+7)-(YEAR(Planos!$G174)*12+MONTH(Planos!$G174)),MAX(1,IFERROR(INDEX(lst_frequencia_meses,MATCH(Planos!$E174,lst_frequencia,0)),0)))=0),"●","")))</f>
      </c>
      <c r="K175" s="43">
        <f>IF(NOT(Planos!$A174&lt;&gt;""),"",IF(COUNTIFS(Programação!$B$4:$B$503,Planos!$A174,Programação!$I$4:$I$503,"Concluído",Programação!$G$4:$G$503,"&gt;="&amp;DATE(ano_ref,8,1),Programação!$G$4:$G$503,"&lt;="&amp;EOMONTH(DATE(ano_ref,8,1),0))&gt;0,"✔",IF(AND(ISNUMBER(Planos!$G174),IFERROR(INDEX(lst_frequencia_meses,MATCH(Planos!$E174,lst_frequencia,0)),0)&gt;0,(ano_ref*12+8)-(YEAR(Planos!$G174)*12+MONTH(Planos!$G174))&gt;0,MOD((ano_ref*12+8)-(YEAR(Planos!$G174)*12+MONTH(Planos!$G174)),MAX(1,IFERROR(INDEX(lst_frequencia_meses,MATCH(Planos!$E174,lst_frequencia,0)),0)))=0),"●","")))</f>
      </c>
      <c r="L175" s="43">
        <f>IF(NOT(Planos!$A174&lt;&gt;""),"",IF(COUNTIFS(Programação!$B$4:$B$503,Planos!$A174,Programação!$I$4:$I$503,"Concluído",Programação!$G$4:$G$503,"&gt;="&amp;DATE(ano_ref,9,1),Programação!$G$4:$G$503,"&lt;="&amp;EOMONTH(DATE(ano_ref,9,1),0))&gt;0,"✔",IF(AND(ISNUMBER(Planos!$G174),IFERROR(INDEX(lst_frequencia_meses,MATCH(Planos!$E174,lst_frequencia,0)),0)&gt;0,(ano_ref*12+9)-(YEAR(Planos!$G174)*12+MONTH(Planos!$G174))&gt;0,MOD((ano_ref*12+9)-(YEAR(Planos!$G174)*12+MONTH(Planos!$G174)),MAX(1,IFERROR(INDEX(lst_frequencia_meses,MATCH(Planos!$E174,lst_frequencia,0)),0)))=0),"●","")))</f>
      </c>
      <c r="M175" s="43">
        <f>IF(NOT(Planos!$A174&lt;&gt;""),"",IF(COUNTIFS(Programação!$B$4:$B$503,Planos!$A174,Programação!$I$4:$I$503,"Concluído",Programação!$G$4:$G$503,"&gt;="&amp;DATE(ano_ref,10,1),Programação!$G$4:$G$503,"&lt;="&amp;EOMONTH(DATE(ano_ref,10,1),0))&gt;0,"✔",IF(AND(ISNUMBER(Planos!$G174),IFERROR(INDEX(lst_frequencia_meses,MATCH(Planos!$E174,lst_frequencia,0)),0)&gt;0,(ano_ref*12+10)-(YEAR(Planos!$G174)*12+MONTH(Planos!$G174))&gt;0,MOD((ano_ref*12+10)-(YEAR(Planos!$G174)*12+MONTH(Planos!$G174)),MAX(1,IFERROR(INDEX(lst_frequencia_meses,MATCH(Planos!$E174,lst_frequencia,0)),0)))=0),"●","")))</f>
      </c>
      <c r="N175" s="43">
        <f>IF(NOT(Planos!$A174&lt;&gt;""),"",IF(COUNTIFS(Programação!$B$4:$B$503,Planos!$A174,Programação!$I$4:$I$503,"Concluído",Programação!$G$4:$G$503,"&gt;="&amp;DATE(ano_ref,11,1),Programação!$G$4:$G$503,"&lt;="&amp;EOMONTH(DATE(ano_ref,11,1),0))&gt;0,"✔",IF(AND(ISNUMBER(Planos!$G174),IFERROR(INDEX(lst_frequencia_meses,MATCH(Planos!$E174,lst_frequencia,0)),0)&gt;0,(ano_ref*12+11)-(YEAR(Planos!$G174)*12+MONTH(Planos!$G174))&gt;0,MOD((ano_ref*12+11)-(YEAR(Planos!$G174)*12+MONTH(Planos!$G174)),MAX(1,IFERROR(INDEX(lst_frequencia_meses,MATCH(Planos!$E174,lst_frequencia,0)),0)))=0),"●","")))</f>
      </c>
      <c r="O175" s="43">
        <f>IF(NOT(Planos!$A174&lt;&gt;""),"",IF(COUNTIFS(Programação!$B$4:$B$503,Planos!$A174,Programação!$I$4:$I$503,"Concluído",Programação!$G$4:$G$503,"&gt;="&amp;DATE(ano_ref,12,1),Programação!$G$4:$G$503,"&lt;="&amp;EOMONTH(DATE(ano_ref,12,1),0))&gt;0,"✔",IF(AND(ISNUMBER(Planos!$G174),IFERROR(INDEX(lst_frequencia_meses,MATCH(Planos!$E174,lst_frequencia,0)),0)&gt;0,(ano_ref*12+12)-(YEAR(Planos!$G174)*12+MONTH(Planos!$G174))&gt;0,MOD((ano_ref*12+12)-(YEAR(Planos!$G174)*12+MONTH(Planos!$G174)),MAX(1,IFERROR(INDEX(lst_frequencia_meses,MATCH(Planos!$E174,lst_frequencia,0)),0)))=0),"●","")))</f>
      </c>
      <c r="P175" s="44">
        <f>IF(COUNTIF(D175:O175,"✔")+COUNTIF(D175:O175,"●")=0,"",COUNTIF(D175:O175,"✔")/(COUNTIF(D175:O175,"✔")+COUNTIF(D175:O175,"●")))</f>
      </c>
    </row>
    <row r="176" spans="1:16" x14ac:dyDescent="0.25">
      <c r="A176" s="43">
        <f>IF(Planos!$A175&lt;&gt;"",Planos!A175&amp;"","")</f>
      </c>
      <c r="B176" s="43">
        <f>IF(Planos!$A175&lt;&gt;"",Planos!B175&amp;"","")</f>
      </c>
      <c r="C176" s="24">
        <f>IF(Planos!$A175&lt;&gt;"",Planos!C175&amp;"","")</f>
      </c>
      <c r="D176" s="43">
        <f>IF(NOT(Planos!$A175&lt;&gt;""),"",IF(COUNTIFS(Programação!$B$4:$B$503,Planos!$A175,Programação!$I$4:$I$503,"Concluído",Programação!$G$4:$G$503,"&gt;="&amp;DATE(ano_ref,1,1),Programação!$G$4:$G$503,"&lt;="&amp;EOMONTH(DATE(ano_ref,1,1),0))&gt;0,"✔",IF(AND(ISNUMBER(Planos!$G175),IFERROR(INDEX(lst_frequencia_meses,MATCH(Planos!$E175,lst_frequencia,0)),0)&gt;0,(ano_ref*12+1)-(YEAR(Planos!$G175)*12+MONTH(Planos!$G175))&gt;0,MOD((ano_ref*12+1)-(YEAR(Planos!$G175)*12+MONTH(Planos!$G175)),MAX(1,IFERROR(INDEX(lst_frequencia_meses,MATCH(Planos!$E175,lst_frequencia,0)),0)))=0),"●","")))</f>
      </c>
      <c r="E176" s="43">
        <f>IF(NOT(Planos!$A175&lt;&gt;""),"",IF(COUNTIFS(Programação!$B$4:$B$503,Planos!$A175,Programação!$I$4:$I$503,"Concluído",Programação!$G$4:$G$503,"&gt;="&amp;DATE(ano_ref,2,1),Programação!$G$4:$G$503,"&lt;="&amp;EOMONTH(DATE(ano_ref,2,1),0))&gt;0,"✔",IF(AND(ISNUMBER(Planos!$G175),IFERROR(INDEX(lst_frequencia_meses,MATCH(Planos!$E175,lst_frequencia,0)),0)&gt;0,(ano_ref*12+2)-(YEAR(Planos!$G175)*12+MONTH(Planos!$G175))&gt;0,MOD((ano_ref*12+2)-(YEAR(Planos!$G175)*12+MONTH(Planos!$G175)),MAX(1,IFERROR(INDEX(lst_frequencia_meses,MATCH(Planos!$E175,lst_frequencia,0)),0)))=0),"●","")))</f>
      </c>
      <c r="F176" s="43">
        <f>IF(NOT(Planos!$A175&lt;&gt;""),"",IF(COUNTIFS(Programação!$B$4:$B$503,Planos!$A175,Programação!$I$4:$I$503,"Concluído",Programação!$G$4:$G$503,"&gt;="&amp;DATE(ano_ref,3,1),Programação!$G$4:$G$503,"&lt;="&amp;EOMONTH(DATE(ano_ref,3,1),0))&gt;0,"✔",IF(AND(ISNUMBER(Planos!$G175),IFERROR(INDEX(lst_frequencia_meses,MATCH(Planos!$E175,lst_frequencia,0)),0)&gt;0,(ano_ref*12+3)-(YEAR(Planos!$G175)*12+MONTH(Planos!$G175))&gt;0,MOD((ano_ref*12+3)-(YEAR(Planos!$G175)*12+MONTH(Planos!$G175)),MAX(1,IFERROR(INDEX(lst_frequencia_meses,MATCH(Planos!$E175,lst_frequencia,0)),0)))=0),"●","")))</f>
      </c>
      <c r="G176" s="43">
        <f>IF(NOT(Planos!$A175&lt;&gt;""),"",IF(COUNTIFS(Programação!$B$4:$B$503,Planos!$A175,Programação!$I$4:$I$503,"Concluído",Programação!$G$4:$G$503,"&gt;="&amp;DATE(ano_ref,4,1),Programação!$G$4:$G$503,"&lt;="&amp;EOMONTH(DATE(ano_ref,4,1),0))&gt;0,"✔",IF(AND(ISNUMBER(Planos!$G175),IFERROR(INDEX(lst_frequencia_meses,MATCH(Planos!$E175,lst_frequencia,0)),0)&gt;0,(ano_ref*12+4)-(YEAR(Planos!$G175)*12+MONTH(Planos!$G175))&gt;0,MOD((ano_ref*12+4)-(YEAR(Planos!$G175)*12+MONTH(Planos!$G175)),MAX(1,IFERROR(INDEX(lst_frequencia_meses,MATCH(Planos!$E175,lst_frequencia,0)),0)))=0),"●","")))</f>
      </c>
      <c r="H176" s="43">
        <f>IF(NOT(Planos!$A175&lt;&gt;""),"",IF(COUNTIFS(Programação!$B$4:$B$503,Planos!$A175,Programação!$I$4:$I$503,"Concluído",Programação!$G$4:$G$503,"&gt;="&amp;DATE(ano_ref,5,1),Programação!$G$4:$G$503,"&lt;="&amp;EOMONTH(DATE(ano_ref,5,1),0))&gt;0,"✔",IF(AND(ISNUMBER(Planos!$G175),IFERROR(INDEX(lst_frequencia_meses,MATCH(Planos!$E175,lst_frequencia,0)),0)&gt;0,(ano_ref*12+5)-(YEAR(Planos!$G175)*12+MONTH(Planos!$G175))&gt;0,MOD((ano_ref*12+5)-(YEAR(Planos!$G175)*12+MONTH(Planos!$G175)),MAX(1,IFERROR(INDEX(lst_frequencia_meses,MATCH(Planos!$E175,lst_frequencia,0)),0)))=0),"●","")))</f>
      </c>
      <c r="I176" s="43">
        <f>IF(NOT(Planos!$A175&lt;&gt;""),"",IF(COUNTIFS(Programação!$B$4:$B$503,Planos!$A175,Programação!$I$4:$I$503,"Concluído",Programação!$G$4:$G$503,"&gt;="&amp;DATE(ano_ref,6,1),Programação!$G$4:$G$503,"&lt;="&amp;EOMONTH(DATE(ano_ref,6,1),0))&gt;0,"✔",IF(AND(ISNUMBER(Planos!$G175),IFERROR(INDEX(lst_frequencia_meses,MATCH(Planos!$E175,lst_frequencia,0)),0)&gt;0,(ano_ref*12+6)-(YEAR(Planos!$G175)*12+MONTH(Planos!$G175))&gt;0,MOD((ano_ref*12+6)-(YEAR(Planos!$G175)*12+MONTH(Planos!$G175)),MAX(1,IFERROR(INDEX(lst_frequencia_meses,MATCH(Planos!$E175,lst_frequencia,0)),0)))=0),"●","")))</f>
      </c>
      <c r="J176" s="43">
        <f>IF(NOT(Planos!$A175&lt;&gt;""),"",IF(COUNTIFS(Programação!$B$4:$B$503,Planos!$A175,Programação!$I$4:$I$503,"Concluído",Programação!$G$4:$G$503,"&gt;="&amp;DATE(ano_ref,7,1),Programação!$G$4:$G$503,"&lt;="&amp;EOMONTH(DATE(ano_ref,7,1),0))&gt;0,"✔",IF(AND(ISNUMBER(Planos!$G175),IFERROR(INDEX(lst_frequencia_meses,MATCH(Planos!$E175,lst_frequencia,0)),0)&gt;0,(ano_ref*12+7)-(YEAR(Planos!$G175)*12+MONTH(Planos!$G175))&gt;0,MOD((ano_ref*12+7)-(YEAR(Planos!$G175)*12+MONTH(Planos!$G175)),MAX(1,IFERROR(INDEX(lst_frequencia_meses,MATCH(Planos!$E175,lst_frequencia,0)),0)))=0),"●","")))</f>
      </c>
      <c r="K176" s="43">
        <f>IF(NOT(Planos!$A175&lt;&gt;""),"",IF(COUNTIFS(Programação!$B$4:$B$503,Planos!$A175,Programação!$I$4:$I$503,"Concluído",Programação!$G$4:$G$503,"&gt;="&amp;DATE(ano_ref,8,1),Programação!$G$4:$G$503,"&lt;="&amp;EOMONTH(DATE(ano_ref,8,1),0))&gt;0,"✔",IF(AND(ISNUMBER(Planos!$G175),IFERROR(INDEX(lst_frequencia_meses,MATCH(Planos!$E175,lst_frequencia,0)),0)&gt;0,(ano_ref*12+8)-(YEAR(Planos!$G175)*12+MONTH(Planos!$G175))&gt;0,MOD((ano_ref*12+8)-(YEAR(Planos!$G175)*12+MONTH(Planos!$G175)),MAX(1,IFERROR(INDEX(lst_frequencia_meses,MATCH(Planos!$E175,lst_frequencia,0)),0)))=0),"●","")))</f>
      </c>
      <c r="L176" s="43">
        <f>IF(NOT(Planos!$A175&lt;&gt;""),"",IF(COUNTIFS(Programação!$B$4:$B$503,Planos!$A175,Programação!$I$4:$I$503,"Concluído",Programação!$G$4:$G$503,"&gt;="&amp;DATE(ano_ref,9,1),Programação!$G$4:$G$503,"&lt;="&amp;EOMONTH(DATE(ano_ref,9,1),0))&gt;0,"✔",IF(AND(ISNUMBER(Planos!$G175),IFERROR(INDEX(lst_frequencia_meses,MATCH(Planos!$E175,lst_frequencia,0)),0)&gt;0,(ano_ref*12+9)-(YEAR(Planos!$G175)*12+MONTH(Planos!$G175))&gt;0,MOD((ano_ref*12+9)-(YEAR(Planos!$G175)*12+MONTH(Planos!$G175)),MAX(1,IFERROR(INDEX(lst_frequencia_meses,MATCH(Planos!$E175,lst_frequencia,0)),0)))=0),"●","")))</f>
      </c>
      <c r="M176" s="43">
        <f>IF(NOT(Planos!$A175&lt;&gt;""),"",IF(COUNTIFS(Programação!$B$4:$B$503,Planos!$A175,Programação!$I$4:$I$503,"Concluído",Programação!$G$4:$G$503,"&gt;="&amp;DATE(ano_ref,10,1),Programação!$G$4:$G$503,"&lt;="&amp;EOMONTH(DATE(ano_ref,10,1),0))&gt;0,"✔",IF(AND(ISNUMBER(Planos!$G175),IFERROR(INDEX(lst_frequencia_meses,MATCH(Planos!$E175,lst_frequencia,0)),0)&gt;0,(ano_ref*12+10)-(YEAR(Planos!$G175)*12+MONTH(Planos!$G175))&gt;0,MOD((ano_ref*12+10)-(YEAR(Planos!$G175)*12+MONTH(Planos!$G175)),MAX(1,IFERROR(INDEX(lst_frequencia_meses,MATCH(Planos!$E175,lst_frequencia,0)),0)))=0),"●","")))</f>
      </c>
      <c r="N176" s="43">
        <f>IF(NOT(Planos!$A175&lt;&gt;""),"",IF(COUNTIFS(Programação!$B$4:$B$503,Planos!$A175,Programação!$I$4:$I$503,"Concluído",Programação!$G$4:$G$503,"&gt;="&amp;DATE(ano_ref,11,1),Programação!$G$4:$G$503,"&lt;="&amp;EOMONTH(DATE(ano_ref,11,1),0))&gt;0,"✔",IF(AND(ISNUMBER(Planos!$G175),IFERROR(INDEX(lst_frequencia_meses,MATCH(Planos!$E175,lst_frequencia,0)),0)&gt;0,(ano_ref*12+11)-(YEAR(Planos!$G175)*12+MONTH(Planos!$G175))&gt;0,MOD((ano_ref*12+11)-(YEAR(Planos!$G175)*12+MONTH(Planos!$G175)),MAX(1,IFERROR(INDEX(lst_frequencia_meses,MATCH(Planos!$E175,lst_frequencia,0)),0)))=0),"●","")))</f>
      </c>
      <c r="O176" s="43">
        <f>IF(NOT(Planos!$A175&lt;&gt;""),"",IF(COUNTIFS(Programação!$B$4:$B$503,Planos!$A175,Programação!$I$4:$I$503,"Concluído",Programação!$G$4:$G$503,"&gt;="&amp;DATE(ano_ref,12,1),Programação!$G$4:$G$503,"&lt;="&amp;EOMONTH(DATE(ano_ref,12,1),0))&gt;0,"✔",IF(AND(ISNUMBER(Planos!$G175),IFERROR(INDEX(lst_frequencia_meses,MATCH(Planos!$E175,lst_frequencia,0)),0)&gt;0,(ano_ref*12+12)-(YEAR(Planos!$G175)*12+MONTH(Planos!$G175))&gt;0,MOD((ano_ref*12+12)-(YEAR(Planos!$G175)*12+MONTH(Planos!$G175)),MAX(1,IFERROR(INDEX(lst_frequencia_meses,MATCH(Planos!$E175,lst_frequencia,0)),0)))=0),"●","")))</f>
      </c>
      <c r="P176" s="44">
        <f>IF(COUNTIF(D176:O176,"✔")+COUNTIF(D176:O176,"●")=0,"",COUNTIF(D176:O176,"✔")/(COUNTIF(D176:O176,"✔")+COUNTIF(D176:O176,"●")))</f>
      </c>
    </row>
    <row r="177" spans="1:16" x14ac:dyDescent="0.25">
      <c r="A177" s="43">
        <f>IF(Planos!$A176&lt;&gt;"",Planos!A176&amp;"","")</f>
      </c>
      <c r="B177" s="43">
        <f>IF(Planos!$A176&lt;&gt;"",Planos!B176&amp;"","")</f>
      </c>
      <c r="C177" s="24">
        <f>IF(Planos!$A176&lt;&gt;"",Planos!C176&amp;"","")</f>
      </c>
      <c r="D177" s="43">
        <f>IF(NOT(Planos!$A176&lt;&gt;""),"",IF(COUNTIFS(Programação!$B$4:$B$503,Planos!$A176,Programação!$I$4:$I$503,"Concluído",Programação!$G$4:$G$503,"&gt;="&amp;DATE(ano_ref,1,1),Programação!$G$4:$G$503,"&lt;="&amp;EOMONTH(DATE(ano_ref,1,1),0))&gt;0,"✔",IF(AND(ISNUMBER(Planos!$G176),IFERROR(INDEX(lst_frequencia_meses,MATCH(Planos!$E176,lst_frequencia,0)),0)&gt;0,(ano_ref*12+1)-(YEAR(Planos!$G176)*12+MONTH(Planos!$G176))&gt;0,MOD((ano_ref*12+1)-(YEAR(Planos!$G176)*12+MONTH(Planos!$G176)),MAX(1,IFERROR(INDEX(lst_frequencia_meses,MATCH(Planos!$E176,lst_frequencia,0)),0)))=0),"●","")))</f>
      </c>
      <c r="E177" s="43">
        <f>IF(NOT(Planos!$A176&lt;&gt;""),"",IF(COUNTIFS(Programação!$B$4:$B$503,Planos!$A176,Programação!$I$4:$I$503,"Concluído",Programação!$G$4:$G$503,"&gt;="&amp;DATE(ano_ref,2,1),Programação!$G$4:$G$503,"&lt;="&amp;EOMONTH(DATE(ano_ref,2,1),0))&gt;0,"✔",IF(AND(ISNUMBER(Planos!$G176),IFERROR(INDEX(lst_frequencia_meses,MATCH(Planos!$E176,lst_frequencia,0)),0)&gt;0,(ano_ref*12+2)-(YEAR(Planos!$G176)*12+MONTH(Planos!$G176))&gt;0,MOD((ano_ref*12+2)-(YEAR(Planos!$G176)*12+MONTH(Planos!$G176)),MAX(1,IFERROR(INDEX(lst_frequencia_meses,MATCH(Planos!$E176,lst_frequencia,0)),0)))=0),"●","")))</f>
      </c>
      <c r="F177" s="43">
        <f>IF(NOT(Planos!$A176&lt;&gt;""),"",IF(COUNTIFS(Programação!$B$4:$B$503,Planos!$A176,Programação!$I$4:$I$503,"Concluído",Programação!$G$4:$G$503,"&gt;="&amp;DATE(ano_ref,3,1),Programação!$G$4:$G$503,"&lt;="&amp;EOMONTH(DATE(ano_ref,3,1),0))&gt;0,"✔",IF(AND(ISNUMBER(Planos!$G176),IFERROR(INDEX(lst_frequencia_meses,MATCH(Planos!$E176,lst_frequencia,0)),0)&gt;0,(ano_ref*12+3)-(YEAR(Planos!$G176)*12+MONTH(Planos!$G176))&gt;0,MOD((ano_ref*12+3)-(YEAR(Planos!$G176)*12+MONTH(Planos!$G176)),MAX(1,IFERROR(INDEX(lst_frequencia_meses,MATCH(Planos!$E176,lst_frequencia,0)),0)))=0),"●","")))</f>
      </c>
      <c r="G177" s="43">
        <f>IF(NOT(Planos!$A176&lt;&gt;""),"",IF(COUNTIFS(Programação!$B$4:$B$503,Planos!$A176,Programação!$I$4:$I$503,"Concluído",Programação!$G$4:$G$503,"&gt;="&amp;DATE(ano_ref,4,1),Programação!$G$4:$G$503,"&lt;="&amp;EOMONTH(DATE(ano_ref,4,1),0))&gt;0,"✔",IF(AND(ISNUMBER(Planos!$G176),IFERROR(INDEX(lst_frequencia_meses,MATCH(Planos!$E176,lst_frequencia,0)),0)&gt;0,(ano_ref*12+4)-(YEAR(Planos!$G176)*12+MONTH(Planos!$G176))&gt;0,MOD((ano_ref*12+4)-(YEAR(Planos!$G176)*12+MONTH(Planos!$G176)),MAX(1,IFERROR(INDEX(lst_frequencia_meses,MATCH(Planos!$E176,lst_frequencia,0)),0)))=0),"●","")))</f>
      </c>
      <c r="H177" s="43">
        <f>IF(NOT(Planos!$A176&lt;&gt;""),"",IF(COUNTIFS(Programação!$B$4:$B$503,Planos!$A176,Programação!$I$4:$I$503,"Concluído",Programação!$G$4:$G$503,"&gt;="&amp;DATE(ano_ref,5,1),Programação!$G$4:$G$503,"&lt;="&amp;EOMONTH(DATE(ano_ref,5,1),0))&gt;0,"✔",IF(AND(ISNUMBER(Planos!$G176),IFERROR(INDEX(lst_frequencia_meses,MATCH(Planos!$E176,lst_frequencia,0)),0)&gt;0,(ano_ref*12+5)-(YEAR(Planos!$G176)*12+MONTH(Planos!$G176))&gt;0,MOD((ano_ref*12+5)-(YEAR(Planos!$G176)*12+MONTH(Planos!$G176)),MAX(1,IFERROR(INDEX(lst_frequencia_meses,MATCH(Planos!$E176,lst_frequencia,0)),0)))=0),"●","")))</f>
      </c>
      <c r="I177" s="43">
        <f>IF(NOT(Planos!$A176&lt;&gt;""),"",IF(COUNTIFS(Programação!$B$4:$B$503,Planos!$A176,Programação!$I$4:$I$503,"Concluído",Programação!$G$4:$G$503,"&gt;="&amp;DATE(ano_ref,6,1),Programação!$G$4:$G$503,"&lt;="&amp;EOMONTH(DATE(ano_ref,6,1),0))&gt;0,"✔",IF(AND(ISNUMBER(Planos!$G176),IFERROR(INDEX(lst_frequencia_meses,MATCH(Planos!$E176,lst_frequencia,0)),0)&gt;0,(ano_ref*12+6)-(YEAR(Planos!$G176)*12+MONTH(Planos!$G176))&gt;0,MOD((ano_ref*12+6)-(YEAR(Planos!$G176)*12+MONTH(Planos!$G176)),MAX(1,IFERROR(INDEX(lst_frequencia_meses,MATCH(Planos!$E176,lst_frequencia,0)),0)))=0),"●","")))</f>
      </c>
      <c r="J177" s="43">
        <f>IF(NOT(Planos!$A176&lt;&gt;""),"",IF(COUNTIFS(Programação!$B$4:$B$503,Planos!$A176,Programação!$I$4:$I$503,"Concluído",Programação!$G$4:$G$503,"&gt;="&amp;DATE(ano_ref,7,1),Programação!$G$4:$G$503,"&lt;="&amp;EOMONTH(DATE(ano_ref,7,1),0))&gt;0,"✔",IF(AND(ISNUMBER(Planos!$G176),IFERROR(INDEX(lst_frequencia_meses,MATCH(Planos!$E176,lst_frequencia,0)),0)&gt;0,(ano_ref*12+7)-(YEAR(Planos!$G176)*12+MONTH(Planos!$G176))&gt;0,MOD((ano_ref*12+7)-(YEAR(Planos!$G176)*12+MONTH(Planos!$G176)),MAX(1,IFERROR(INDEX(lst_frequencia_meses,MATCH(Planos!$E176,lst_frequencia,0)),0)))=0),"●","")))</f>
      </c>
      <c r="K177" s="43">
        <f>IF(NOT(Planos!$A176&lt;&gt;""),"",IF(COUNTIFS(Programação!$B$4:$B$503,Planos!$A176,Programação!$I$4:$I$503,"Concluído",Programação!$G$4:$G$503,"&gt;="&amp;DATE(ano_ref,8,1),Programação!$G$4:$G$503,"&lt;="&amp;EOMONTH(DATE(ano_ref,8,1),0))&gt;0,"✔",IF(AND(ISNUMBER(Planos!$G176),IFERROR(INDEX(lst_frequencia_meses,MATCH(Planos!$E176,lst_frequencia,0)),0)&gt;0,(ano_ref*12+8)-(YEAR(Planos!$G176)*12+MONTH(Planos!$G176))&gt;0,MOD((ano_ref*12+8)-(YEAR(Planos!$G176)*12+MONTH(Planos!$G176)),MAX(1,IFERROR(INDEX(lst_frequencia_meses,MATCH(Planos!$E176,lst_frequencia,0)),0)))=0),"●","")))</f>
      </c>
      <c r="L177" s="43">
        <f>IF(NOT(Planos!$A176&lt;&gt;""),"",IF(COUNTIFS(Programação!$B$4:$B$503,Planos!$A176,Programação!$I$4:$I$503,"Concluído",Programação!$G$4:$G$503,"&gt;="&amp;DATE(ano_ref,9,1),Programação!$G$4:$G$503,"&lt;="&amp;EOMONTH(DATE(ano_ref,9,1),0))&gt;0,"✔",IF(AND(ISNUMBER(Planos!$G176),IFERROR(INDEX(lst_frequencia_meses,MATCH(Planos!$E176,lst_frequencia,0)),0)&gt;0,(ano_ref*12+9)-(YEAR(Planos!$G176)*12+MONTH(Planos!$G176))&gt;0,MOD((ano_ref*12+9)-(YEAR(Planos!$G176)*12+MONTH(Planos!$G176)),MAX(1,IFERROR(INDEX(lst_frequencia_meses,MATCH(Planos!$E176,lst_frequencia,0)),0)))=0),"●","")))</f>
      </c>
      <c r="M177" s="43">
        <f>IF(NOT(Planos!$A176&lt;&gt;""),"",IF(COUNTIFS(Programação!$B$4:$B$503,Planos!$A176,Programação!$I$4:$I$503,"Concluído",Programação!$G$4:$G$503,"&gt;="&amp;DATE(ano_ref,10,1),Programação!$G$4:$G$503,"&lt;="&amp;EOMONTH(DATE(ano_ref,10,1),0))&gt;0,"✔",IF(AND(ISNUMBER(Planos!$G176),IFERROR(INDEX(lst_frequencia_meses,MATCH(Planos!$E176,lst_frequencia,0)),0)&gt;0,(ano_ref*12+10)-(YEAR(Planos!$G176)*12+MONTH(Planos!$G176))&gt;0,MOD((ano_ref*12+10)-(YEAR(Planos!$G176)*12+MONTH(Planos!$G176)),MAX(1,IFERROR(INDEX(lst_frequencia_meses,MATCH(Planos!$E176,lst_frequencia,0)),0)))=0),"●","")))</f>
      </c>
      <c r="N177" s="43">
        <f>IF(NOT(Planos!$A176&lt;&gt;""),"",IF(COUNTIFS(Programação!$B$4:$B$503,Planos!$A176,Programação!$I$4:$I$503,"Concluído",Programação!$G$4:$G$503,"&gt;="&amp;DATE(ano_ref,11,1),Programação!$G$4:$G$503,"&lt;="&amp;EOMONTH(DATE(ano_ref,11,1),0))&gt;0,"✔",IF(AND(ISNUMBER(Planos!$G176),IFERROR(INDEX(lst_frequencia_meses,MATCH(Planos!$E176,lst_frequencia,0)),0)&gt;0,(ano_ref*12+11)-(YEAR(Planos!$G176)*12+MONTH(Planos!$G176))&gt;0,MOD((ano_ref*12+11)-(YEAR(Planos!$G176)*12+MONTH(Planos!$G176)),MAX(1,IFERROR(INDEX(lst_frequencia_meses,MATCH(Planos!$E176,lst_frequencia,0)),0)))=0),"●","")))</f>
      </c>
      <c r="O177" s="43">
        <f>IF(NOT(Planos!$A176&lt;&gt;""),"",IF(COUNTIFS(Programação!$B$4:$B$503,Planos!$A176,Programação!$I$4:$I$503,"Concluído",Programação!$G$4:$G$503,"&gt;="&amp;DATE(ano_ref,12,1),Programação!$G$4:$G$503,"&lt;="&amp;EOMONTH(DATE(ano_ref,12,1),0))&gt;0,"✔",IF(AND(ISNUMBER(Planos!$G176),IFERROR(INDEX(lst_frequencia_meses,MATCH(Planos!$E176,lst_frequencia,0)),0)&gt;0,(ano_ref*12+12)-(YEAR(Planos!$G176)*12+MONTH(Planos!$G176))&gt;0,MOD((ano_ref*12+12)-(YEAR(Planos!$G176)*12+MONTH(Planos!$G176)),MAX(1,IFERROR(INDEX(lst_frequencia_meses,MATCH(Planos!$E176,lst_frequencia,0)),0)))=0),"●","")))</f>
      </c>
      <c r="P177" s="44">
        <f>IF(COUNTIF(D177:O177,"✔")+COUNTIF(D177:O177,"●")=0,"",COUNTIF(D177:O177,"✔")/(COUNTIF(D177:O177,"✔")+COUNTIF(D177:O177,"●")))</f>
      </c>
    </row>
    <row r="178" spans="1:16" x14ac:dyDescent="0.25">
      <c r="A178" s="43">
        <f>IF(Planos!$A177&lt;&gt;"",Planos!A177&amp;"","")</f>
      </c>
      <c r="B178" s="43">
        <f>IF(Planos!$A177&lt;&gt;"",Planos!B177&amp;"","")</f>
      </c>
      <c r="C178" s="24">
        <f>IF(Planos!$A177&lt;&gt;"",Planos!C177&amp;"","")</f>
      </c>
      <c r="D178" s="43">
        <f>IF(NOT(Planos!$A177&lt;&gt;""),"",IF(COUNTIFS(Programação!$B$4:$B$503,Planos!$A177,Programação!$I$4:$I$503,"Concluído",Programação!$G$4:$G$503,"&gt;="&amp;DATE(ano_ref,1,1),Programação!$G$4:$G$503,"&lt;="&amp;EOMONTH(DATE(ano_ref,1,1),0))&gt;0,"✔",IF(AND(ISNUMBER(Planos!$G177),IFERROR(INDEX(lst_frequencia_meses,MATCH(Planos!$E177,lst_frequencia,0)),0)&gt;0,(ano_ref*12+1)-(YEAR(Planos!$G177)*12+MONTH(Planos!$G177))&gt;0,MOD((ano_ref*12+1)-(YEAR(Planos!$G177)*12+MONTH(Planos!$G177)),MAX(1,IFERROR(INDEX(lst_frequencia_meses,MATCH(Planos!$E177,lst_frequencia,0)),0)))=0),"●","")))</f>
      </c>
      <c r="E178" s="43">
        <f>IF(NOT(Planos!$A177&lt;&gt;""),"",IF(COUNTIFS(Programação!$B$4:$B$503,Planos!$A177,Programação!$I$4:$I$503,"Concluído",Programação!$G$4:$G$503,"&gt;="&amp;DATE(ano_ref,2,1),Programação!$G$4:$G$503,"&lt;="&amp;EOMONTH(DATE(ano_ref,2,1),0))&gt;0,"✔",IF(AND(ISNUMBER(Planos!$G177),IFERROR(INDEX(lst_frequencia_meses,MATCH(Planos!$E177,lst_frequencia,0)),0)&gt;0,(ano_ref*12+2)-(YEAR(Planos!$G177)*12+MONTH(Planos!$G177))&gt;0,MOD((ano_ref*12+2)-(YEAR(Planos!$G177)*12+MONTH(Planos!$G177)),MAX(1,IFERROR(INDEX(lst_frequencia_meses,MATCH(Planos!$E177,lst_frequencia,0)),0)))=0),"●","")))</f>
      </c>
      <c r="F178" s="43">
        <f>IF(NOT(Planos!$A177&lt;&gt;""),"",IF(COUNTIFS(Programação!$B$4:$B$503,Planos!$A177,Programação!$I$4:$I$503,"Concluído",Programação!$G$4:$G$503,"&gt;="&amp;DATE(ano_ref,3,1),Programação!$G$4:$G$503,"&lt;="&amp;EOMONTH(DATE(ano_ref,3,1),0))&gt;0,"✔",IF(AND(ISNUMBER(Planos!$G177),IFERROR(INDEX(lst_frequencia_meses,MATCH(Planos!$E177,lst_frequencia,0)),0)&gt;0,(ano_ref*12+3)-(YEAR(Planos!$G177)*12+MONTH(Planos!$G177))&gt;0,MOD((ano_ref*12+3)-(YEAR(Planos!$G177)*12+MONTH(Planos!$G177)),MAX(1,IFERROR(INDEX(lst_frequencia_meses,MATCH(Planos!$E177,lst_frequencia,0)),0)))=0),"●","")))</f>
      </c>
      <c r="G178" s="43">
        <f>IF(NOT(Planos!$A177&lt;&gt;""),"",IF(COUNTIFS(Programação!$B$4:$B$503,Planos!$A177,Programação!$I$4:$I$503,"Concluído",Programação!$G$4:$G$503,"&gt;="&amp;DATE(ano_ref,4,1),Programação!$G$4:$G$503,"&lt;="&amp;EOMONTH(DATE(ano_ref,4,1),0))&gt;0,"✔",IF(AND(ISNUMBER(Planos!$G177),IFERROR(INDEX(lst_frequencia_meses,MATCH(Planos!$E177,lst_frequencia,0)),0)&gt;0,(ano_ref*12+4)-(YEAR(Planos!$G177)*12+MONTH(Planos!$G177))&gt;0,MOD((ano_ref*12+4)-(YEAR(Planos!$G177)*12+MONTH(Planos!$G177)),MAX(1,IFERROR(INDEX(lst_frequencia_meses,MATCH(Planos!$E177,lst_frequencia,0)),0)))=0),"●","")))</f>
      </c>
      <c r="H178" s="43">
        <f>IF(NOT(Planos!$A177&lt;&gt;""),"",IF(COUNTIFS(Programação!$B$4:$B$503,Planos!$A177,Programação!$I$4:$I$503,"Concluído",Programação!$G$4:$G$503,"&gt;="&amp;DATE(ano_ref,5,1),Programação!$G$4:$G$503,"&lt;="&amp;EOMONTH(DATE(ano_ref,5,1),0))&gt;0,"✔",IF(AND(ISNUMBER(Planos!$G177),IFERROR(INDEX(lst_frequencia_meses,MATCH(Planos!$E177,lst_frequencia,0)),0)&gt;0,(ano_ref*12+5)-(YEAR(Planos!$G177)*12+MONTH(Planos!$G177))&gt;0,MOD((ano_ref*12+5)-(YEAR(Planos!$G177)*12+MONTH(Planos!$G177)),MAX(1,IFERROR(INDEX(lst_frequencia_meses,MATCH(Planos!$E177,lst_frequencia,0)),0)))=0),"●","")))</f>
      </c>
      <c r="I178" s="43">
        <f>IF(NOT(Planos!$A177&lt;&gt;""),"",IF(COUNTIFS(Programação!$B$4:$B$503,Planos!$A177,Programação!$I$4:$I$503,"Concluído",Programação!$G$4:$G$503,"&gt;="&amp;DATE(ano_ref,6,1),Programação!$G$4:$G$503,"&lt;="&amp;EOMONTH(DATE(ano_ref,6,1),0))&gt;0,"✔",IF(AND(ISNUMBER(Planos!$G177),IFERROR(INDEX(lst_frequencia_meses,MATCH(Planos!$E177,lst_frequencia,0)),0)&gt;0,(ano_ref*12+6)-(YEAR(Planos!$G177)*12+MONTH(Planos!$G177))&gt;0,MOD((ano_ref*12+6)-(YEAR(Planos!$G177)*12+MONTH(Planos!$G177)),MAX(1,IFERROR(INDEX(lst_frequencia_meses,MATCH(Planos!$E177,lst_frequencia,0)),0)))=0),"●","")))</f>
      </c>
      <c r="J178" s="43">
        <f>IF(NOT(Planos!$A177&lt;&gt;""),"",IF(COUNTIFS(Programação!$B$4:$B$503,Planos!$A177,Programação!$I$4:$I$503,"Concluído",Programação!$G$4:$G$503,"&gt;="&amp;DATE(ano_ref,7,1),Programação!$G$4:$G$503,"&lt;="&amp;EOMONTH(DATE(ano_ref,7,1),0))&gt;0,"✔",IF(AND(ISNUMBER(Planos!$G177),IFERROR(INDEX(lst_frequencia_meses,MATCH(Planos!$E177,lst_frequencia,0)),0)&gt;0,(ano_ref*12+7)-(YEAR(Planos!$G177)*12+MONTH(Planos!$G177))&gt;0,MOD((ano_ref*12+7)-(YEAR(Planos!$G177)*12+MONTH(Planos!$G177)),MAX(1,IFERROR(INDEX(lst_frequencia_meses,MATCH(Planos!$E177,lst_frequencia,0)),0)))=0),"●","")))</f>
      </c>
      <c r="K178" s="43">
        <f>IF(NOT(Planos!$A177&lt;&gt;""),"",IF(COUNTIFS(Programação!$B$4:$B$503,Planos!$A177,Programação!$I$4:$I$503,"Concluído",Programação!$G$4:$G$503,"&gt;="&amp;DATE(ano_ref,8,1),Programação!$G$4:$G$503,"&lt;="&amp;EOMONTH(DATE(ano_ref,8,1),0))&gt;0,"✔",IF(AND(ISNUMBER(Planos!$G177),IFERROR(INDEX(lst_frequencia_meses,MATCH(Planos!$E177,lst_frequencia,0)),0)&gt;0,(ano_ref*12+8)-(YEAR(Planos!$G177)*12+MONTH(Planos!$G177))&gt;0,MOD((ano_ref*12+8)-(YEAR(Planos!$G177)*12+MONTH(Planos!$G177)),MAX(1,IFERROR(INDEX(lst_frequencia_meses,MATCH(Planos!$E177,lst_frequencia,0)),0)))=0),"●","")))</f>
      </c>
      <c r="L178" s="43">
        <f>IF(NOT(Planos!$A177&lt;&gt;""),"",IF(COUNTIFS(Programação!$B$4:$B$503,Planos!$A177,Programação!$I$4:$I$503,"Concluído",Programação!$G$4:$G$503,"&gt;="&amp;DATE(ano_ref,9,1),Programação!$G$4:$G$503,"&lt;="&amp;EOMONTH(DATE(ano_ref,9,1),0))&gt;0,"✔",IF(AND(ISNUMBER(Planos!$G177),IFERROR(INDEX(lst_frequencia_meses,MATCH(Planos!$E177,lst_frequencia,0)),0)&gt;0,(ano_ref*12+9)-(YEAR(Planos!$G177)*12+MONTH(Planos!$G177))&gt;0,MOD((ano_ref*12+9)-(YEAR(Planos!$G177)*12+MONTH(Planos!$G177)),MAX(1,IFERROR(INDEX(lst_frequencia_meses,MATCH(Planos!$E177,lst_frequencia,0)),0)))=0),"●","")))</f>
      </c>
      <c r="M178" s="43">
        <f>IF(NOT(Planos!$A177&lt;&gt;""),"",IF(COUNTIFS(Programação!$B$4:$B$503,Planos!$A177,Programação!$I$4:$I$503,"Concluído",Programação!$G$4:$G$503,"&gt;="&amp;DATE(ano_ref,10,1),Programação!$G$4:$G$503,"&lt;="&amp;EOMONTH(DATE(ano_ref,10,1),0))&gt;0,"✔",IF(AND(ISNUMBER(Planos!$G177),IFERROR(INDEX(lst_frequencia_meses,MATCH(Planos!$E177,lst_frequencia,0)),0)&gt;0,(ano_ref*12+10)-(YEAR(Planos!$G177)*12+MONTH(Planos!$G177))&gt;0,MOD((ano_ref*12+10)-(YEAR(Planos!$G177)*12+MONTH(Planos!$G177)),MAX(1,IFERROR(INDEX(lst_frequencia_meses,MATCH(Planos!$E177,lst_frequencia,0)),0)))=0),"●","")))</f>
      </c>
      <c r="N178" s="43">
        <f>IF(NOT(Planos!$A177&lt;&gt;""),"",IF(COUNTIFS(Programação!$B$4:$B$503,Planos!$A177,Programação!$I$4:$I$503,"Concluído",Programação!$G$4:$G$503,"&gt;="&amp;DATE(ano_ref,11,1),Programação!$G$4:$G$503,"&lt;="&amp;EOMONTH(DATE(ano_ref,11,1),0))&gt;0,"✔",IF(AND(ISNUMBER(Planos!$G177),IFERROR(INDEX(lst_frequencia_meses,MATCH(Planos!$E177,lst_frequencia,0)),0)&gt;0,(ano_ref*12+11)-(YEAR(Planos!$G177)*12+MONTH(Planos!$G177))&gt;0,MOD((ano_ref*12+11)-(YEAR(Planos!$G177)*12+MONTH(Planos!$G177)),MAX(1,IFERROR(INDEX(lst_frequencia_meses,MATCH(Planos!$E177,lst_frequencia,0)),0)))=0),"●","")))</f>
      </c>
      <c r="O178" s="43">
        <f>IF(NOT(Planos!$A177&lt;&gt;""),"",IF(COUNTIFS(Programação!$B$4:$B$503,Planos!$A177,Programação!$I$4:$I$503,"Concluído",Programação!$G$4:$G$503,"&gt;="&amp;DATE(ano_ref,12,1),Programação!$G$4:$G$503,"&lt;="&amp;EOMONTH(DATE(ano_ref,12,1),0))&gt;0,"✔",IF(AND(ISNUMBER(Planos!$G177),IFERROR(INDEX(lst_frequencia_meses,MATCH(Planos!$E177,lst_frequencia,0)),0)&gt;0,(ano_ref*12+12)-(YEAR(Planos!$G177)*12+MONTH(Planos!$G177))&gt;0,MOD((ano_ref*12+12)-(YEAR(Planos!$G177)*12+MONTH(Planos!$G177)),MAX(1,IFERROR(INDEX(lst_frequencia_meses,MATCH(Planos!$E177,lst_frequencia,0)),0)))=0),"●","")))</f>
      </c>
      <c r="P178" s="44">
        <f>IF(COUNTIF(D178:O178,"✔")+COUNTIF(D178:O178,"●")=0,"",COUNTIF(D178:O178,"✔")/(COUNTIF(D178:O178,"✔")+COUNTIF(D178:O178,"●")))</f>
      </c>
    </row>
    <row r="179" spans="1:16" x14ac:dyDescent="0.25">
      <c r="A179" s="43">
        <f>IF(Planos!$A178&lt;&gt;"",Planos!A178&amp;"","")</f>
      </c>
      <c r="B179" s="43">
        <f>IF(Planos!$A178&lt;&gt;"",Planos!B178&amp;"","")</f>
      </c>
      <c r="C179" s="24">
        <f>IF(Planos!$A178&lt;&gt;"",Planos!C178&amp;"","")</f>
      </c>
      <c r="D179" s="43">
        <f>IF(NOT(Planos!$A178&lt;&gt;""),"",IF(COUNTIFS(Programação!$B$4:$B$503,Planos!$A178,Programação!$I$4:$I$503,"Concluído",Programação!$G$4:$G$503,"&gt;="&amp;DATE(ano_ref,1,1),Programação!$G$4:$G$503,"&lt;="&amp;EOMONTH(DATE(ano_ref,1,1),0))&gt;0,"✔",IF(AND(ISNUMBER(Planos!$G178),IFERROR(INDEX(lst_frequencia_meses,MATCH(Planos!$E178,lst_frequencia,0)),0)&gt;0,(ano_ref*12+1)-(YEAR(Planos!$G178)*12+MONTH(Planos!$G178))&gt;0,MOD((ano_ref*12+1)-(YEAR(Planos!$G178)*12+MONTH(Planos!$G178)),MAX(1,IFERROR(INDEX(lst_frequencia_meses,MATCH(Planos!$E178,lst_frequencia,0)),0)))=0),"●","")))</f>
      </c>
      <c r="E179" s="43">
        <f>IF(NOT(Planos!$A178&lt;&gt;""),"",IF(COUNTIFS(Programação!$B$4:$B$503,Planos!$A178,Programação!$I$4:$I$503,"Concluído",Programação!$G$4:$G$503,"&gt;="&amp;DATE(ano_ref,2,1),Programação!$G$4:$G$503,"&lt;="&amp;EOMONTH(DATE(ano_ref,2,1),0))&gt;0,"✔",IF(AND(ISNUMBER(Planos!$G178),IFERROR(INDEX(lst_frequencia_meses,MATCH(Planos!$E178,lst_frequencia,0)),0)&gt;0,(ano_ref*12+2)-(YEAR(Planos!$G178)*12+MONTH(Planos!$G178))&gt;0,MOD((ano_ref*12+2)-(YEAR(Planos!$G178)*12+MONTH(Planos!$G178)),MAX(1,IFERROR(INDEX(lst_frequencia_meses,MATCH(Planos!$E178,lst_frequencia,0)),0)))=0),"●","")))</f>
      </c>
      <c r="F179" s="43">
        <f>IF(NOT(Planos!$A178&lt;&gt;""),"",IF(COUNTIFS(Programação!$B$4:$B$503,Planos!$A178,Programação!$I$4:$I$503,"Concluído",Programação!$G$4:$G$503,"&gt;="&amp;DATE(ano_ref,3,1),Programação!$G$4:$G$503,"&lt;="&amp;EOMONTH(DATE(ano_ref,3,1),0))&gt;0,"✔",IF(AND(ISNUMBER(Planos!$G178),IFERROR(INDEX(lst_frequencia_meses,MATCH(Planos!$E178,lst_frequencia,0)),0)&gt;0,(ano_ref*12+3)-(YEAR(Planos!$G178)*12+MONTH(Planos!$G178))&gt;0,MOD((ano_ref*12+3)-(YEAR(Planos!$G178)*12+MONTH(Planos!$G178)),MAX(1,IFERROR(INDEX(lst_frequencia_meses,MATCH(Planos!$E178,lst_frequencia,0)),0)))=0),"●","")))</f>
      </c>
      <c r="G179" s="43">
        <f>IF(NOT(Planos!$A178&lt;&gt;""),"",IF(COUNTIFS(Programação!$B$4:$B$503,Planos!$A178,Programação!$I$4:$I$503,"Concluído",Programação!$G$4:$G$503,"&gt;="&amp;DATE(ano_ref,4,1),Programação!$G$4:$G$503,"&lt;="&amp;EOMONTH(DATE(ano_ref,4,1),0))&gt;0,"✔",IF(AND(ISNUMBER(Planos!$G178),IFERROR(INDEX(lst_frequencia_meses,MATCH(Planos!$E178,lst_frequencia,0)),0)&gt;0,(ano_ref*12+4)-(YEAR(Planos!$G178)*12+MONTH(Planos!$G178))&gt;0,MOD((ano_ref*12+4)-(YEAR(Planos!$G178)*12+MONTH(Planos!$G178)),MAX(1,IFERROR(INDEX(lst_frequencia_meses,MATCH(Planos!$E178,lst_frequencia,0)),0)))=0),"●","")))</f>
      </c>
      <c r="H179" s="43">
        <f>IF(NOT(Planos!$A178&lt;&gt;""),"",IF(COUNTIFS(Programação!$B$4:$B$503,Planos!$A178,Programação!$I$4:$I$503,"Concluído",Programação!$G$4:$G$503,"&gt;="&amp;DATE(ano_ref,5,1),Programação!$G$4:$G$503,"&lt;="&amp;EOMONTH(DATE(ano_ref,5,1),0))&gt;0,"✔",IF(AND(ISNUMBER(Planos!$G178),IFERROR(INDEX(lst_frequencia_meses,MATCH(Planos!$E178,lst_frequencia,0)),0)&gt;0,(ano_ref*12+5)-(YEAR(Planos!$G178)*12+MONTH(Planos!$G178))&gt;0,MOD((ano_ref*12+5)-(YEAR(Planos!$G178)*12+MONTH(Planos!$G178)),MAX(1,IFERROR(INDEX(lst_frequencia_meses,MATCH(Planos!$E178,lst_frequencia,0)),0)))=0),"●","")))</f>
      </c>
      <c r="I179" s="43">
        <f>IF(NOT(Planos!$A178&lt;&gt;""),"",IF(COUNTIFS(Programação!$B$4:$B$503,Planos!$A178,Programação!$I$4:$I$503,"Concluído",Programação!$G$4:$G$503,"&gt;="&amp;DATE(ano_ref,6,1),Programação!$G$4:$G$503,"&lt;="&amp;EOMONTH(DATE(ano_ref,6,1),0))&gt;0,"✔",IF(AND(ISNUMBER(Planos!$G178),IFERROR(INDEX(lst_frequencia_meses,MATCH(Planos!$E178,lst_frequencia,0)),0)&gt;0,(ano_ref*12+6)-(YEAR(Planos!$G178)*12+MONTH(Planos!$G178))&gt;0,MOD((ano_ref*12+6)-(YEAR(Planos!$G178)*12+MONTH(Planos!$G178)),MAX(1,IFERROR(INDEX(lst_frequencia_meses,MATCH(Planos!$E178,lst_frequencia,0)),0)))=0),"●","")))</f>
      </c>
      <c r="J179" s="43">
        <f>IF(NOT(Planos!$A178&lt;&gt;""),"",IF(COUNTIFS(Programação!$B$4:$B$503,Planos!$A178,Programação!$I$4:$I$503,"Concluído",Programação!$G$4:$G$503,"&gt;="&amp;DATE(ano_ref,7,1),Programação!$G$4:$G$503,"&lt;="&amp;EOMONTH(DATE(ano_ref,7,1),0))&gt;0,"✔",IF(AND(ISNUMBER(Planos!$G178),IFERROR(INDEX(lst_frequencia_meses,MATCH(Planos!$E178,lst_frequencia,0)),0)&gt;0,(ano_ref*12+7)-(YEAR(Planos!$G178)*12+MONTH(Planos!$G178))&gt;0,MOD((ano_ref*12+7)-(YEAR(Planos!$G178)*12+MONTH(Planos!$G178)),MAX(1,IFERROR(INDEX(lst_frequencia_meses,MATCH(Planos!$E178,lst_frequencia,0)),0)))=0),"●","")))</f>
      </c>
      <c r="K179" s="43">
        <f>IF(NOT(Planos!$A178&lt;&gt;""),"",IF(COUNTIFS(Programação!$B$4:$B$503,Planos!$A178,Programação!$I$4:$I$503,"Concluído",Programação!$G$4:$G$503,"&gt;="&amp;DATE(ano_ref,8,1),Programação!$G$4:$G$503,"&lt;="&amp;EOMONTH(DATE(ano_ref,8,1),0))&gt;0,"✔",IF(AND(ISNUMBER(Planos!$G178),IFERROR(INDEX(lst_frequencia_meses,MATCH(Planos!$E178,lst_frequencia,0)),0)&gt;0,(ano_ref*12+8)-(YEAR(Planos!$G178)*12+MONTH(Planos!$G178))&gt;0,MOD((ano_ref*12+8)-(YEAR(Planos!$G178)*12+MONTH(Planos!$G178)),MAX(1,IFERROR(INDEX(lst_frequencia_meses,MATCH(Planos!$E178,lst_frequencia,0)),0)))=0),"●","")))</f>
      </c>
      <c r="L179" s="43">
        <f>IF(NOT(Planos!$A178&lt;&gt;""),"",IF(COUNTIFS(Programação!$B$4:$B$503,Planos!$A178,Programação!$I$4:$I$503,"Concluído",Programação!$G$4:$G$503,"&gt;="&amp;DATE(ano_ref,9,1),Programação!$G$4:$G$503,"&lt;="&amp;EOMONTH(DATE(ano_ref,9,1),0))&gt;0,"✔",IF(AND(ISNUMBER(Planos!$G178),IFERROR(INDEX(lst_frequencia_meses,MATCH(Planos!$E178,lst_frequencia,0)),0)&gt;0,(ano_ref*12+9)-(YEAR(Planos!$G178)*12+MONTH(Planos!$G178))&gt;0,MOD((ano_ref*12+9)-(YEAR(Planos!$G178)*12+MONTH(Planos!$G178)),MAX(1,IFERROR(INDEX(lst_frequencia_meses,MATCH(Planos!$E178,lst_frequencia,0)),0)))=0),"●","")))</f>
      </c>
      <c r="M179" s="43">
        <f>IF(NOT(Planos!$A178&lt;&gt;""),"",IF(COUNTIFS(Programação!$B$4:$B$503,Planos!$A178,Programação!$I$4:$I$503,"Concluído",Programação!$G$4:$G$503,"&gt;="&amp;DATE(ano_ref,10,1),Programação!$G$4:$G$503,"&lt;="&amp;EOMONTH(DATE(ano_ref,10,1),0))&gt;0,"✔",IF(AND(ISNUMBER(Planos!$G178),IFERROR(INDEX(lst_frequencia_meses,MATCH(Planos!$E178,lst_frequencia,0)),0)&gt;0,(ano_ref*12+10)-(YEAR(Planos!$G178)*12+MONTH(Planos!$G178))&gt;0,MOD((ano_ref*12+10)-(YEAR(Planos!$G178)*12+MONTH(Planos!$G178)),MAX(1,IFERROR(INDEX(lst_frequencia_meses,MATCH(Planos!$E178,lst_frequencia,0)),0)))=0),"●","")))</f>
      </c>
      <c r="N179" s="43">
        <f>IF(NOT(Planos!$A178&lt;&gt;""),"",IF(COUNTIFS(Programação!$B$4:$B$503,Planos!$A178,Programação!$I$4:$I$503,"Concluído",Programação!$G$4:$G$503,"&gt;="&amp;DATE(ano_ref,11,1),Programação!$G$4:$G$503,"&lt;="&amp;EOMONTH(DATE(ano_ref,11,1),0))&gt;0,"✔",IF(AND(ISNUMBER(Planos!$G178),IFERROR(INDEX(lst_frequencia_meses,MATCH(Planos!$E178,lst_frequencia,0)),0)&gt;0,(ano_ref*12+11)-(YEAR(Planos!$G178)*12+MONTH(Planos!$G178))&gt;0,MOD((ano_ref*12+11)-(YEAR(Planos!$G178)*12+MONTH(Planos!$G178)),MAX(1,IFERROR(INDEX(lst_frequencia_meses,MATCH(Planos!$E178,lst_frequencia,0)),0)))=0),"●","")))</f>
      </c>
      <c r="O179" s="43">
        <f>IF(NOT(Planos!$A178&lt;&gt;""),"",IF(COUNTIFS(Programação!$B$4:$B$503,Planos!$A178,Programação!$I$4:$I$503,"Concluído",Programação!$G$4:$G$503,"&gt;="&amp;DATE(ano_ref,12,1),Programação!$G$4:$G$503,"&lt;="&amp;EOMONTH(DATE(ano_ref,12,1),0))&gt;0,"✔",IF(AND(ISNUMBER(Planos!$G178),IFERROR(INDEX(lst_frequencia_meses,MATCH(Planos!$E178,lst_frequencia,0)),0)&gt;0,(ano_ref*12+12)-(YEAR(Planos!$G178)*12+MONTH(Planos!$G178))&gt;0,MOD((ano_ref*12+12)-(YEAR(Planos!$G178)*12+MONTH(Planos!$G178)),MAX(1,IFERROR(INDEX(lst_frequencia_meses,MATCH(Planos!$E178,lst_frequencia,0)),0)))=0),"●","")))</f>
      </c>
      <c r="P179" s="44">
        <f>IF(COUNTIF(D179:O179,"✔")+COUNTIF(D179:O179,"●")=0,"",COUNTIF(D179:O179,"✔")/(COUNTIF(D179:O179,"✔")+COUNTIF(D179:O179,"●")))</f>
      </c>
    </row>
    <row r="180" spans="1:16" x14ac:dyDescent="0.25">
      <c r="A180" s="43">
        <f>IF(Planos!$A179&lt;&gt;"",Planos!A179&amp;"","")</f>
      </c>
      <c r="B180" s="43">
        <f>IF(Planos!$A179&lt;&gt;"",Planos!B179&amp;"","")</f>
      </c>
      <c r="C180" s="24">
        <f>IF(Planos!$A179&lt;&gt;"",Planos!C179&amp;"","")</f>
      </c>
      <c r="D180" s="43">
        <f>IF(NOT(Planos!$A179&lt;&gt;""),"",IF(COUNTIFS(Programação!$B$4:$B$503,Planos!$A179,Programação!$I$4:$I$503,"Concluído",Programação!$G$4:$G$503,"&gt;="&amp;DATE(ano_ref,1,1),Programação!$G$4:$G$503,"&lt;="&amp;EOMONTH(DATE(ano_ref,1,1),0))&gt;0,"✔",IF(AND(ISNUMBER(Planos!$G179),IFERROR(INDEX(lst_frequencia_meses,MATCH(Planos!$E179,lst_frequencia,0)),0)&gt;0,(ano_ref*12+1)-(YEAR(Planos!$G179)*12+MONTH(Planos!$G179))&gt;0,MOD((ano_ref*12+1)-(YEAR(Planos!$G179)*12+MONTH(Planos!$G179)),MAX(1,IFERROR(INDEX(lst_frequencia_meses,MATCH(Planos!$E179,lst_frequencia,0)),0)))=0),"●","")))</f>
      </c>
      <c r="E180" s="43">
        <f>IF(NOT(Planos!$A179&lt;&gt;""),"",IF(COUNTIFS(Programação!$B$4:$B$503,Planos!$A179,Programação!$I$4:$I$503,"Concluído",Programação!$G$4:$G$503,"&gt;="&amp;DATE(ano_ref,2,1),Programação!$G$4:$G$503,"&lt;="&amp;EOMONTH(DATE(ano_ref,2,1),0))&gt;0,"✔",IF(AND(ISNUMBER(Planos!$G179),IFERROR(INDEX(lst_frequencia_meses,MATCH(Planos!$E179,lst_frequencia,0)),0)&gt;0,(ano_ref*12+2)-(YEAR(Planos!$G179)*12+MONTH(Planos!$G179))&gt;0,MOD((ano_ref*12+2)-(YEAR(Planos!$G179)*12+MONTH(Planos!$G179)),MAX(1,IFERROR(INDEX(lst_frequencia_meses,MATCH(Planos!$E179,lst_frequencia,0)),0)))=0),"●","")))</f>
      </c>
      <c r="F180" s="43">
        <f>IF(NOT(Planos!$A179&lt;&gt;""),"",IF(COUNTIFS(Programação!$B$4:$B$503,Planos!$A179,Programação!$I$4:$I$503,"Concluído",Programação!$G$4:$G$503,"&gt;="&amp;DATE(ano_ref,3,1),Programação!$G$4:$G$503,"&lt;="&amp;EOMONTH(DATE(ano_ref,3,1),0))&gt;0,"✔",IF(AND(ISNUMBER(Planos!$G179),IFERROR(INDEX(lst_frequencia_meses,MATCH(Planos!$E179,lst_frequencia,0)),0)&gt;0,(ano_ref*12+3)-(YEAR(Planos!$G179)*12+MONTH(Planos!$G179))&gt;0,MOD((ano_ref*12+3)-(YEAR(Planos!$G179)*12+MONTH(Planos!$G179)),MAX(1,IFERROR(INDEX(lst_frequencia_meses,MATCH(Planos!$E179,lst_frequencia,0)),0)))=0),"●","")))</f>
      </c>
      <c r="G180" s="43">
        <f>IF(NOT(Planos!$A179&lt;&gt;""),"",IF(COUNTIFS(Programação!$B$4:$B$503,Planos!$A179,Programação!$I$4:$I$503,"Concluído",Programação!$G$4:$G$503,"&gt;="&amp;DATE(ano_ref,4,1),Programação!$G$4:$G$503,"&lt;="&amp;EOMONTH(DATE(ano_ref,4,1),0))&gt;0,"✔",IF(AND(ISNUMBER(Planos!$G179),IFERROR(INDEX(lst_frequencia_meses,MATCH(Planos!$E179,lst_frequencia,0)),0)&gt;0,(ano_ref*12+4)-(YEAR(Planos!$G179)*12+MONTH(Planos!$G179))&gt;0,MOD((ano_ref*12+4)-(YEAR(Planos!$G179)*12+MONTH(Planos!$G179)),MAX(1,IFERROR(INDEX(lst_frequencia_meses,MATCH(Planos!$E179,lst_frequencia,0)),0)))=0),"●","")))</f>
      </c>
      <c r="H180" s="43">
        <f>IF(NOT(Planos!$A179&lt;&gt;""),"",IF(COUNTIFS(Programação!$B$4:$B$503,Planos!$A179,Programação!$I$4:$I$503,"Concluído",Programação!$G$4:$G$503,"&gt;="&amp;DATE(ano_ref,5,1),Programação!$G$4:$G$503,"&lt;="&amp;EOMONTH(DATE(ano_ref,5,1),0))&gt;0,"✔",IF(AND(ISNUMBER(Planos!$G179),IFERROR(INDEX(lst_frequencia_meses,MATCH(Planos!$E179,lst_frequencia,0)),0)&gt;0,(ano_ref*12+5)-(YEAR(Planos!$G179)*12+MONTH(Planos!$G179))&gt;0,MOD((ano_ref*12+5)-(YEAR(Planos!$G179)*12+MONTH(Planos!$G179)),MAX(1,IFERROR(INDEX(lst_frequencia_meses,MATCH(Planos!$E179,lst_frequencia,0)),0)))=0),"●","")))</f>
      </c>
      <c r="I180" s="43">
        <f>IF(NOT(Planos!$A179&lt;&gt;""),"",IF(COUNTIFS(Programação!$B$4:$B$503,Planos!$A179,Programação!$I$4:$I$503,"Concluído",Programação!$G$4:$G$503,"&gt;="&amp;DATE(ano_ref,6,1),Programação!$G$4:$G$503,"&lt;="&amp;EOMONTH(DATE(ano_ref,6,1),0))&gt;0,"✔",IF(AND(ISNUMBER(Planos!$G179),IFERROR(INDEX(lst_frequencia_meses,MATCH(Planos!$E179,lst_frequencia,0)),0)&gt;0,(ano_ref*12+6)-(YEAR(Planos!$G179)*12+MONTH(Planos!$G179))&gt;0,MOD((ano_ref*12+6)-(YEAR(Planos!$G179)*12+MONTH(Planos!$G179)),MAX(1,IFERROR(INDEX(lst_frequencia_meses,MATCH(Planos!$E179,lst_frequencia,0)),0)))=0),"●","")))</f>
      </c>
      <c r="J180" s="43">
        <f>IF(NOT(Planos!$A179&lt;&gt;""),"",IF(COUNTIFS(Programação!$B$4:$B$503,Planos!$A179,Programação!$I$4:$I$503,"Concluído",Programação!$G$4:$G$503,"&gt;="&amp;DATE(ano_ref,7,1),Programação!$G$4:$G$503,"&lt;="&amp;EOMONTH(DATE(ano_ref,7,1),0))&gt;0,"✔",IF(AND(ISNUMBER(Planos!$G179),IFERROR(INDEX(lst_frequencia_meses,MATCH(Planos!$E179,lst_frequencia,0)),0)&gt;0,(ano_ref*12+7)-(YEAR(Planos!$G179)*12+MONTH(Planos!$G179))&gt;0,MOD((ano_ref*12+7)-(YEAR(Planos!$G179)*12+MONTH(Planos!$G179)),MAX(1,IFERROR(INDEX(lst_frequencia_meses,MATCH(Planos!$E179,lst_frequencia,0)),0)))=0),"●","")))</f>
      </c>
      <c r="K180" s="43">
        <f>IF(NOT(Planos!$A179&lt;&gt;""),"",IF(COUNTIFS(Programação!$B$4:$B$503,Planos!$A179,Programação!$I$4:$I$503,"Concluído",Programação!$G$4:$G$503,"&gt;="&amp;DATE(ano_ref,8,1),Programação!$G$4:$G$503,"&lt;="&amp;EOMONTH(DATE(ano_ref,8,1),0))&gt;0,"✔",IF(AND(ISNUMBER(Planos!$G179),IFERROR(INDEX(lst_frequencia_meses,MATCH(Planos!$E179,lst_frequencia,0)),0)&gt;0,(ano_ref*12+8)-(YEAR(Planos!$G179)*12+MONTH(Planos!$G179))&gt;0,MOD((ano_ref*12+8)-(YEAR(Planos!$G179)*12+MONTH(Planos!$G179)),MAX(1,IFERROR(INDEX(lst_frequencia_meses,MATCH(Planos!$E179,lst_frequencia,0)),0)))=0),"●","")))</f>
      </c>
      <c r="L180" s="43">
        <f>IF(NOT(Planos!$A179&lt;&gt;""),"",IF(COUNTIFS(Programação!$B$4:$B$503,Planos!$A179,Programação!$I$4:$I$503,"Concluído",Programação!$G$4:$G$503,"&gt;="&amp;DATE(ano_ref,9,1),Programação!$G$4:$G$503,"&lt;="&amp;EOMONTH(DATE(ano_ref,9,1),0))&gt;0,"✔",IF(AND(ISNUMBER(Planos!$G179),IFERROR(INDEX(lst_frequencia_meses,MATCH(Planos!$E179,lst_frequencia,0)),0)&gt;0,(ano_ref*12+9)-(YEAR(Planos!$G179)*12+MONTH(Planos!$G179))&gt;0,MOD((ano_ref*12+9)-(YEAR(Planos!$G179)*12+MONTH(Planos!$G179)),MAX(1,IFERROR(INDEX(lst_frequencia_meses,MATCH(Planos!$E179,lst_frequencia,0)),0)))=0),"●","")))</f>
      </c>
      <c r="M180" s="43">
        <f>IF(NOT(Planos!$A179&lt;&gt;""),"",IF(COUNTIFS(Programação!$B$4:$B$503,Planos!$A179,Programação!$I$4:$I$503,"Concluído",Programação!$G$4:$G$503,"&gt;="&amp;DATE(ano_ref,10,1),Programação!$G$4:$G$503,"&lt;="&amp;EOMONTH(DATE(ano_ref,10,1),0))&gt;0,"✔",IF(AND(ISNUMBER(Planos!$G179),IFERROR(INDEX(lst_frequencia_meses,MATCH(Planos!$E179,lst_frequencia,0)),0)&gt;0,(ano_ref*12+10)-(YEAR(Planos!$G179)*12+MONTH(Planos!$G179))&gt;0,MOD((ano_ref*12+10)-(YEAR(Planos!$G179)*12+MONTH(Planos!$G179)),MAX(1,IFERROR(INDEX(lst_frequencia_meses,MATCH(Planos!$E179,lst_frequencia,0)),0)))=0),"●","")))</f>
      </c>
      <c r="N180" s="43">
        <f>IF(NOT(Planos!$A179&lt;&gt;""),"",IF(COUNTIFS(Programação!$B$4:$B$503,Planos!$A179,Programação!$I$4:$I$503,"Concluído",Programação!$G$4:$G$503,"&gt;="&amp;DATE(ano_ref,11,1),Programação!$G$4:$G$503,"&lt;="&amp;EOMONTH(DATE(ano_ref,11,1),0))&gt;0,"✔",IF(AND(ISNUMBER(Planos!$G179),IFERROR(INDEX(lst_frequencia_meses,MATCH(Planos!$E179,lst_frequencia,0)),0)&gt;0,(ano_ref*12+11)-(YEAR(Planos!$G179)*12+MONTH(Planos!$G179))&gt;0,MOD((ano_ref*12+11)-(YEAR(Planos!$G179)*12+MONTH(Planos!$G179)),MAX(1,IFERROR(INDEX(lst_frequencia_meses,MATCH(Planos!$E179,lst_frequencia,0)),0)))=0),"●","")))</f>
      </c>
      <c r="O180" s="43">
        <f>IF(NOT(Planos!$A179&lt;&gt;""),"",IF(COUNTIFS(Programação!$B$4:$B$503,Planos!$A179,Programação!$I$4:$I$503,"Concluído",Programação!$G$4:$G$503,"&gt;="&amp;DATE(ano_ref,12,1),Programação!$G$4:$G$503,"&lt;="&amp;EOMONTH(DATE(ano_ref,12,1),0))&gt;0,"✔",IF(AND(ISNUMBER(Planos!$G179),IFERROR(INDEX(lst_frequencia_meses,MATCH(Planos!$E179,lst_frequencia,0)),0)&gt;0,(ano_ref*12+12)-(YEAR(Planos!$G179)*12+MONTH(Planos!$G179))&gt;0,MOD((ano_ref*12+12)-(YEAR(Planos!$G179)*12+MONTH(Planos!$G179)),MAX(1,IFERROR(INDEX(lst_frequencia_meses,MATCH(Planos!$E179,lst_frequencia,0)),0)))=0),"●","")))</f>
      </c>
      <c r="P180" s="44">
        <f>IF(COUNTIF(D180:O180,"✔")+COUNTIF(D180:O180,"●")=0,"",COUNTIF(D180:O180,"✔")/(COUNTIF(D180:O180,"✔")+COUNTIF(D180:O180,"●")))</f>
      </c>
    </row>
    <row r="181" spans="1:16" x14ac:dyDescent="0.25">
      <c r="A181" s="43">
        <f>IF(Planos!$A180&lt;&gt;"",Planos!A180&amp;"","")</f>
      </c>
      <c r="B181" s="43">
        <f>IF(Planos!$A180&lt;&gt;"",Planos!B180&amp;"","")</f>
      </c>
      <c r="C181" s="24">
        <f>IF(Planos!$A180&lt;&gt;"",Planos!C180&amp;"","")</f>
      </c>
      <c r="D181" s="43">
        <f>IF(NOT(Planos!$A180&lt;&gt;""),"",IF(COUNTIFS(Programação!$B$4:$B$503,Planos!$A180,Programação!$I$4:$I$503,"Concluído",Programação!$G$4:$G$503,"&gt;="&amp;DATE(ano_ref,1,1),Programação!$G$4:$G$503,"&lt;="&amp;EOMONTH(DATE(ano_ref,1,1),0))&gt;0,"✔",IF(AND(ISNUMBER(Planos!$G180),IFERROR(INDEX(lst_frequencia_meses,MATCH(Planos!$E180,lst_frequencia,0)),0)&gt;0,(ano_ref*12+1)-(YEAR(Planos!$G180)*12+MONTH(Planos!$G180))&gt;0,MOD((ano_ref*12+1)-(YEAR(Planos!$G180)*12+MONTH(Planos!$G180)),MAX(1,IFERROR(INDEX(lst_frequencia_meses,MATCH(Planos!$E180,lst_frequencia,0)),0)))=0),"●","")))</f>
      </c>
      <c r="E181" s="43">
        <f>IF(NOT(Planos!$A180&lt;&gt;""),"",IF(COUNTIFS(Programação!$B$4:$B$503,Planos!$A180,Programação!$I$4:$I$503,"Concluído",Programação!$G$4:$G$503,"&gt;="&amp;DATE(ano_ref,2,1),Programação!$G$4:$G$503,"&lt;="&amp;EOMONTH(DATE(ano_ref,2,1),0))&gt;0,"✔",IF(AND(ISNUMBER(Planos!$G180),IFERROR(INDEX(lst_frequencia_meses,MATCH(Planos!$E180,lst_frequencia,0)),0)&gt;0,(ano_ref*12+2)-(YEAR(Planos!$G180)*12+MONTH(Planos!$G180))&gt;0,MOD((ano_ref*12+2)-(YEAR(Planos!$G180)*12+MONTH(Planos!$G180)),MAX(1,IFERROR(INDEX(lst_frequencia_meses,MATCH(Planos!$E180,lst_frequencia,0)),0)))=0),"●","")))</f>
      </c>
      <c r="F181" s="43">
        <f>IF(NOT(Planos!$A180&lt;&gt;""),"",IF(COUNTIFS(Programação!$B$4:$B$503,Planos!$A180,Programação!$I$4:$I$503,"Concluído",Programação!$G$4:$G$503,"&gt;="&amp;DATE(ano_ref,3,1),Programação!$G$4:$G$503,"&lt;="&amp;EOMONTH(DATE(ano_ref,3,1),0))&gt;0,"✔",IF(AND(ISNUMBER(Planos!$G180),IFERROR(INDEX(lst_frequencia_meses,MATCH(Planos!$E180,lst_frequencia,0)),0)&gt;0,(ano_ref*12+3)-(YEAR(Planos!$G180)*12+MONTH(Planos!$G180))&gt;0,MOD((ano_ref*12+3)-(YEAR(Planos!$G180)*12+MONTH(Planos!$G180)),MAX(1,IFERROR(INDEX(lst_frequencia_meses,MATCH(Planos!$E180,lst_frequencia,0)),0)))=0),"●","")))</f>
      </c>
      <c r="G181" s="43">
        <f>IF(NOT(Planos!$A180&lt;&gt;""),"",IF(COUNTIFS(Programação!$B$4:$B$503,Planos!$A180,Programação!$I$4:$I$503,"Concluído",Programação!$G$4:$G$503,"&gt;="&amp;DATE(ano_ref,4,1),Programação!$G$4:$G$503,"&lt;="&amp;EOMONTH(DATE(ano_ref,4,1),0))&gt;0,"✔",IF(AND(ISNUMBER(Planos!$G180),IFERROR(INDEX(lst_frequencia_meses,MATCH(Planos!$E180,lst_frequencia,0)),0)&gt;0,(ano_ref*12+4)-(YEAR(Planos!$G180)*12+MONTH(Planos!$G180))&gt;0,MOD((ano_ref*12+4)-(YEAR(Planos!$G180)*12+MONTH(Planos!$G180)),MAX(1,IFERROR(INDEX(lst_frequencia_meses,MATCH(Planos!$E180,lst_frequencia,0)),0)))=0),"●","")))</f>
      </c>
      <c r="H181" s="43">
        <f>IF(NOT(Planos!$A180&lt;&gt;""),"",IF(COUNTIFS(Programação!$B$4:$B$503,Planos!$A180,Programação!$I$4:$I$503,"Concluído",Programação!$G$4:$G$503,"&gt;="&amp;DATE(ano_ref,5,1),Programação!$G$4:$G$503,"&lt;="&amp;EOMONTH(DATE(ano_ref,5,1),0))&gt;0,"✔",IF(AND(ISNUMBER(Planos!$G180),IFERROR(INDEX(lst_frequencia_meses,MATCH(Planos!$E180,lst_frequencia,0)),0)&gt;0,(ano_ref*12+5)-(YEAR(Planos!$G180)*12+MONTH(Planos!$G180))&gt;0,MOD((ano_ref*12+5)-(YEAR(Planos!$G180)*12+MONTH(Planos!$G180)),MAX(1,IFERROR(INDEX(lst_frequencia_meses,MATCH(Planos!$E180,lst_frequencia,0)),0)))=0),"●","")))</f>
      </c>
      <c r="I181" s="43">
        <f>IF(NOT(Planos!$A180&lt;&gt;""),"",IF(COUNTIFS(Programação!$B$4:$B$503,Planos!$A180,Programação!$I$4:$I$503,"Concluído",Programação!$G$4:$G$503,"&gt;="&amp;DATE(ano_ref,6,1),Programação!$G$4:$G$503,"&lt;="&amp;EOMONTH(DATE(ano_ref,6,1),0))&gt;0,"✔",IF(AND(ISNUMBER(Planos!$G180),IFERROR(INDEX(lst_frequencia_meses,MATCH(Planos!$E180,lst_frequencia,0)),0)&gt;0,(ano_ref*12+6)-(YEAR(Planos!$G180)*12+MONTH(Planos!$G180))&gt;0,MOD((ano_ref*12+6)-(YEAR(Planos!$G180)*12+MONTH(Planos!$G180)),MAX(1,IFERROR(INDEX(lst_frequencia_meses,MATCH(Planos!$E180,lst_frequencia,0)),0)))=0),"●","")))</f>
      </c>
      <c r="J181" s="43">
        <f>IF(NOT(Planos!$A180&lt;&gt;""),"",IF(COUNTIFS(Programação!$B$4:$B$503,Planos!$A180,Programação!$I$4:$I$503,"Concluído",Programação!$G$4:$G$503,"&gt;="&amp;DATE(ano_ref,7,1),Programação!$G$4:$G$503,"&lt;="&amp;EOMONTH(DATE(ano_ref,7,1),0))&gt;0,"✔",IF(AND(ISNUMBER(Planos!$G180),IFERROR(INDEX(lst_frequencia_meses,MATCH(Planos!$E180,lst_frequencia,0)),0)&gt;0,(ano_ref*12+7)-(YEAR(Planos!$G180)*12+MONTH(Planos!$G180))&gt;0,MOD((ano_ref*12+7)-(YEAR(Planos!$G180)*12+MONTH(Planos!$G180)),MAX(1,IFERROR(INDEX(lst_frequencia_meses,MATCH(Planos!$E180,lst_frequencia,0)),0)))=0),"●","")))</f>
      </c>
      <c r="K181" s="43">
        <f>IF(NOT(Planos!$A180&lt;&gt;""),"",IF(COUNTIFS(Programação!$B$4:$B$503,Planos!$A180,Programação!$I$4:$I$503,"Concluído",Programação!$G$4:$G$503,"&gt;="&amp;DATE(ano_ref,8,1),Programação!$G$4:$G$503,"&lt;="&amp;EOMONTH(DATE(ano_ref,8,1),0))&gt;0,"✔",IF(AND(ISNUMBER(Planos!$G180),IFERROR(INDEX(lst_frequencia_meses,MATCH(Planos!$E180,lst_frequencia,0)),0)&gt;0,(ano_ref*12+8)-(YEAR(Planos!$G180)*12+MONTH(Planos!$G180))&gt;0,MOD((ano_ref*12+8)-(YEAR(Planos!$G180)*12+MONTH(Planos!$G180)),MAX(1,IFERROR(INDEX(lst_frequencia_meses,MATCH(Planos!$E180,lst_frequencia,0)),0)))=0),"●","")))</f>
      </c>
      <c r="L181" s="43">
        <f>IF(NOT(Planos!$A180&lt;&gt;""),"",IF(COUNTIFS(Programação!$B$4:$B$503,Planos!$A180,Programação!$I$4:$I$503,"Concluído",Programação!$G$4:$G$503,"&gt;="&amp;DATE(ano_ref,9,1),Programação!$G$4:$G$503,"&lt;="&amp;EOMONTH(DATE(ano_ref,9,1),0))&gt;0,"✔",IF(AND(ISNUMBER(Planos!$G180),IFERROR(INDEX(lst_frequencia_meses,MATCH(Planos!$E180,lst_frequencia,0)),0)&gt;0,(ano_ref*12+9)-(YEAR(Planos!$G180)*12+MONTH(Planos!$G180))&gt;0,MOD((ano_ref*12+9)-(YEAR(Planos!$G180)*12+MONTH(Planos!$G180)),MAX(1,IFERROR(INDEX(lst_frequencia_meses,MATCH(Planos!$E180,lst_frequencia,0)),0)))=0),"●","")))</f>
      </c>
      <c r="M181" s="43">
        <f>IF(NOT(Planos!$A180&lt;&gt;""),"",IF(COUNTIFS(Programação!$B$4:$B$503,Planos!$A180,Programação!$I$4:$I$503,"Concluído",Programação!$G$4:$G$503,"&gt;="&amp;DATE(ano_ref,10,1),Programação!$G$4:$G$503,"&lt;="&amp;EOMONTH(DATE(ano_ref,10,1),0))&gt;0,"✔",IF(AND(ISNUMBER(Planos!$G180),IFERROR(INDEX(lst_frequencia_meses,MATCH(Planos!$E180,lst_frequencia,0)),0)&gt;0,(ano_ref*12+10)-(YEAR(Planos!$G180)*12+MONTH(Planos!$G180))&gt;0,MOD((ano_ref*12+10)-(YEAR(Planos!$G180)*12+MONTH(Planos!$G180)),MAX(1,IFERROR(INDEX(lst_frequencia_meses,MATCH(Planos!$E180,lst_frequencia,0)),0)))=0),"●","")))</f>
      </c>
      <c r="N181" s="43">
        <f>IF(NOT(Planos!$A180&lt;&gt;""),"",IF(COUNTIFS(Programação!$B$4:$B$503,Planos!$A180,Programação!$I$4:$I$503,"Concluído",Programação!$G$4:$G$503,"&gt;="&amp;DATE(ano_ref,11,1),Programação!$G$4:$G$503,"&lt;="&amp;EOMONTH(DATE(ano_ref,11,1),0))&gt;0,"✔",IF(AND(ISNUMBER(Planos!$G180),IFERROR(INDEX(lst_frequencia_meses,MATCH(Planos!$E180,lst_frequencia,0)),0)&gt;0,(ano_ref*12+11)-(YEAR(Planos!$G180)*12+MONTH(Planos!$G180))&gt;0,MOD((ano_ref*12+11)-(YEAR(Planos!$G180)*12+MONTH(Planos!$G180)),MAX(1,IFERROR(INDEX(lst_frequencia_meses,MATCH(Planos!$E180,lst_frequencia,0)),0)))=0),"●","")))</f>
      </c>
      <c r="O181" s="43">
        <f>IF(NOT(Planos!$A180&lt;&gt;""),"",IF(COUNTIFS(Programação!$B$4:$B$503,Planos!$A180,Programação!$I$4:$I$503,"Concluído",Programação!$G$4:$G$503,"&gt;="&amp;DATE(ano_ref,12,1),Programação!$G$4:$G$503,"&lt;="&amp;EOMONTH(DATE(ano_ref,12,1),0))&gt;0,"✔",IF(AND(ISNUMBER(Planos!$G180),IFERROR(INDEX(lst_frequencia_meses,MATCH(Planos!$E180,lst_frequencia,0)),0)&gt;0,(ano_ref*12+12)-(YEAR(Planos!$G180)*12+MONTH(Planos!$G180))&gt;0,MOD((ano_ref*12+12)-(YEAR(Planos!$G180)*12+MONTH(Planos!$G180)),MAX(1,IFERROR(INDEX(lst_frequencia_meses,MATCH(Planos!$E180,lst_frequencia,0)),0)))=0),"●","")))</f>
      </c>
      <c r="P181" s="44">
        <f>IF(COUNTIF(D181:O181,"✔")+COUNTIF(D181:O181,"●")=0,"",COUNTIF(D181:O181,"✔")/(COUNTIF(D181:O181,"✔")+COUNTIF(D181:O181,"●")))</f>
      </c>
    </row>
    <row r="182" spans="1:16" x14ac:dyDescent="0.25">
      <c r="A182" s="43">
        <f>IF(Planos!$A181&lt;&gt;"",Planos!A181&amp;"","")</f>
      </c>
      <c r="B182" s="43">
        <f>IF(Planos!$A181&lt;&gt;"",Planos!B181&amp;"","")</f>
      </c>
      <c r="C182" s="24">
        <f>IF(Planos!$A181&lt;&gt;"",Planos!C181&amp;"","")</f>
      </c>
      <c r="D182" s="43">
        <f>IF(NOT(Planos!$A181&lt;&gt;""),"",IF(COUNTIFS(Programação!$B$4:$B$503,Planos!$A181,Programação!$I$4:$I$503,"Concluído",Programação!$G$4:$G$503,"&gt;="&amp;DATE(ano_ref,1,1),Programação!$G$4:$G$503,"&lt;="&amp;EOMONTH(DATE(ano_ref,1,1),0))&gt;0,"✔",IF(AND(ISNUMBER(Planos!$G181),IFERROR(INDEX(lst_frequencia_meses,MATCH(Planos!$E181,lst_frequencia,0)),0)&gt;0,(ano_ref*12+1)-(YEAR(Planos!$G181)*12+MONTH(Planos!$G181))&gt;0,MOD((ano_ref*12+1)-(YEAR(Planos!$G181)*12+MONTH(Planos!$G181)),MAX(1,IFERROR(INDEX(lst_frequencia_meses,MATCH(Planos!$E181,lst_frequencia,0)),0)))=0),"●","")))</f>
      </c>
      <c r="E182" s="43">
        <f>IF(NOT(Planos!$A181&lt;&gt;""),"",IF(COUNTIFS(Programação!$B$4:$B$503,Planos!$A181,Programação!$I$4:$I$503,"Concluído",Programação!$G$4:$G$503,"&gt;="&amp;DATE(ano_ref,2,1),Programação!$G$4:$G$503,"&lt;="&amp;EOMONTH(DATE(ano_ref,2,1),0))&gt;0,"✔",IF(AND(ISNUMBER(Planos!$G181),IFERROR(INDEX(lst_frequencia_meses,MATCH(Planos!$E181,lst_frequencia,0)),0)&gt;0,(ano_ref*12+2)-(YEAR(Planos!$G181)*12+MONTH(Planos!$G181))&gt;0,MOD((ano_ref*12+2)-(YEAR(Planos!$G181)*12+MONTH(Planos!$G181)),MAX(1,IFERROR(INDEX(lst_frequencia_meses,MATCH(Planos!$E181,lst_frequencia,0)),0)))=0),"●","")))</f>
      </c>
      <c r="F182" s="43">
        <f>IF(NOT(Planos!$A181&lt;&gt;""),"",IF(COUNTIFS(Programação!$B$4:$B$503,Planos!$A181,Programação!$I$4:$I$503,"Concluído",Programação!$G$4:$G$503,"&gt;="&amp;DATE(ano_ref,3,1),Programação!$G$4:$G$503,"&lt;="&amp;EOMONTH(DATE(ano_ref,3,1),0))&gt;0,"✔",IF(AND(ISNUMBER(Planos!$G181),IFERROR(INDEX(lst_frequencia_meses,MATCH(Planos!$E181,lst_frequencia,0)),0)&gt;0,(ano_ref*12+3)-(YEAR(Planos!$G181)*12+MONTH(Planos!$G181))&gt;0,MOD((ano_ref*12+3)-(YEAR(Planos!$G181)*12+MONTH(Planos!$G181)),MAX(1,IFERROR(INDEX(lst_frequencia_meses,MATCH(Planos!$E181,lst_frequencia,0)),0)))=0),"●","")))</f>
      </c>
      <c r="G182" s="43">
        <f>IF(NOT(Planos!$A181&lt;&gt;""),"",IF(COUNTIFS(Programação!$B$4:$B$503,Planos!$A181,Programação!$I$4:$I$503,"Concluído",Programação!$G$4:$G$503,"&gt;="&amp;DATE(ano_ref,4,1),Programação!$G$4:$G$503,"&lt;="&amp;EOMONTH(DATE(ano_ref,4,1),0))&gt;0,"✔",IF(AND(ISNUMBER(Planos!$G181),IFERROR(INDEX(lst_frequencia_meses,MATCH(Planos!$E181,lst_frequencia,0)),0)&gt;0,(ano_ref*12+4)-(YEAR(Planos!$G181)*12+MONTH(Planos!$G181))&gt;0,MOD((ano_ref*12+4)-(YEAR(Planos!$G181)*12+MONTH(Planos!$G181)),MAX(1,IFERROR(INDEX(lst_frequencia_meses,MATCH(Planos!$E181,lst_frequencia,0)),0)))=0),"●","")))</f>
      </c>
      <c r="H182" s="43">
        <f>IF(NOT(Planos!$A181&lt;&gt;""),"",IF(COUNTIFS(Programação!$B$4:$B$503,Planos!$A181,Programação!$I$4:$I$503,"Concluído",Programação!$G$4:$G$503,"&gt;="&amp;DATE(ano_ref,5,1),Programação!$G$4:$G$503,"&lt;="&amp;EOMONTH(DATE(ano_ref,5,1),0))&gt;0,"✔",IF(AND(ISNUMBER(Planos!$G181),IFERROR(INDEX(lst_frequencia_meses,MATCH(Planos!$E181,lst_frequencia,0)),0)&gt;0,(ano_ref*12+5)-(YEAR(Planos!$G181)*12+MONTH(Planos!$G181))&gt;0,MOD((ano_ref*12+5)-(YEAR(Planos!$G181)*12+MONTH(Planos!$G181)),MAX(1,IFERROR(INDEX(lst_frequencia_meses,MATCH(Planos!$E181,lst_frequencia,0)),0)))=0),"●","")))</f>
      </c>
      <c r="I182" s="43">
        <f>IF(NOT(Planos!$A181&lt;&gt;""),"",IF(COUNTIFS(Programação!$B$4:$B$503,Planos!$A181,Programação!$I$4:$I$503,"Concluído",Programação!$G$4:$G$503,"&gt;="&amp;DATE(ano_ref,6,1),Programação!$G$4:$G$503,"&lt;="&amp;EOMONTH(DATE(ano_ref,6,1),0))&gt;0,"✔",IF(AND(ISNUMBER(Planos!$G181),IFERROR(INDEX(lst_frequencia_meses,MATCH(Planos!$E181,lst_frequencia,0)),0)&gt;0,(ano_ref*12+6)-(YEAR(Planos!$G181)*12+MONTH(Planos!$G181))&gt;0,MOD((ano_ref*12+6)-(YEAR(Planos!$G181)*12+MONTH(Planos!$G181)),MAX(1,IFERROR(INDEX(lst_frequencia_meses,MATCH(Planos!$E181,lst_frequencia,0)),0)))=0),"●","")))</f>
      </c>
      <c r="J182" s="43">
        <f>IF(NOT(Planos!$A181&lt;&gt;""),"",IF(COUNTIFS(Programação!$B$4:$B$503,Planos!$A181,Programação!$I$4:$I$503,"Concluído",Programação!$G$4:$G$503,"&gt;="&amp;DATE(ano_ref,7,1),Programação!$G$4:$G$503,"&lt;="&amp;EOMONTH(DATE(ano_ref,7,1),0))&gt;0,"✔",IF(AND(ISNUMBER(Planos!$G181),IFERROR(INDEX(lst_frequencia_meses,MATCH(Planos!$E181,lst_frequencia,0)),0)&gt;0,(ano_ref*12+7)-(YEAR(Planos!$G181)*12+MONTH(Planos!$G181))&gt;0,MOD((ano_ref*12+7)-(YEAR(Planos!$G181)*12+MONTH(Planos!$G181)),MAX(1,IFERROR(INDEX(lst_frequencia_meses,MATCH(Planos!$E181,lst_frequencia,0)),0)))=0),"●","")))</f>
      </c>
      <c r="K182" s="43">
        <f>IF(NOT(Planos!$A181&lt;&gt;""),"",IF(COUNTIFS(Programação!$B$4:$B$503,Planos!$A181,Programação!$I$4:$I$503,"Concluído",Programação!$G$4:$G$503,"&gt;="&amp;DATE(ano_ref,8,1),Programação!$G$4:$G$503,"&lt;="&amp;EOMONTH(DATE(ano_ref,8,1),0))&gt;0,"✔",IF(AND(ISNUMBER(Planos!$G181),IFERROR(INDEX(lst_frequencia_meses,MATCH(Planos!$E181,lst_frequencia,0)),0)&gt;0,(ano_ref*12+8)-(YEAR(Planos!$G181)*12+MONTH(Planos!$G181))&gt;0,MOD((ano_ref*12+8)-(YEAR(Planos!$G181)*12+MONTH(Planos!$G181)),MAX(1,IFERROR(INDEX(lst_frequencia_meses,MATCH(Planos!$E181,lst_frequencia,0)),0)))=0),"●","")))</f>
      </c>
      <c r="L182" s="43">
        <f>IF(NOT(Planos!$A181&lt;&gt;""),"",IF(COUNTIFS(Programação!$B$4:$B$503,Planos!$A181,Programação!$I$4:$I$503,"Concluído",Programação!$G$4:$G$503,"&gt;="&amp;DATE(ano_ref,9,1),Programação!$G$4:$G$503,"&lt;="&amp;EOMONTH(DATE(ano_ref,9,1),0))&gt;0,"✔",IF(AND(ISNUMBER(Planos!$G181),IFERROR(INDEX(lst_frequencia_meses,MATCH(Planos!$E181,lst_frequencia,0)),0)&gt;0,(ano_ref*12+9)-(YEAR(Planos!$G181)*12+MONTH(Planos!$G181))&gt;0,MOD((ano_ref*12+9)-(YEAR(Planos!$G181)*12+MONTH(Planos!$G181)),MAX(1,IFERROR(INDEX(lst_frequencia_meses,MATCH(Planos!$E181,lst_frequencia,0)),0)))=0),"●","")))</f>
      </c>
      <c r="M182" s="43">
        <f>IF(NOT(Planos!$A181&lt;&gt;""),"",IF(COUNTIFS(Programação!$B$4:$B$503,Planos!$A181,Programação!$I$4:$I$503,"Concluído",Programação!$G$4:$G$503,"&gt;="&amp;DATE(ano_ref,10,1),Programação!$G$4:$G$503,"&lt;="&amp;EOMONTH(DATE(ano_ref,10,1),0))&gt;0,"✔",IF(AND(ISNUMBER(Planos!$G181),IFERROR(INDEX(lst_frequencia_meses,MATCH(Planos!$E181,lst_frequencia,0)),0)&gt;0,(ano_ref*12+10)-(YEAR(Planos!$G181)*12+MONTH(Planos!$G181))&gt;0,MOD((ano_ref*12+10)-(YEAR(Planos!$G181)*12+MONTH(Planos!$G181)),MAX(1,IFERROR(INDEX(lst_frequencia_meses,MATCH(Planos!$E181,lst_frequencia,0)),0)))=0),"●","")))</f>
      </c>
      <c r="N182" s="43">
        <f>IF(NOT(Planos!$A181&lt;&gt;""),"",IF(COUNTIFS(Programação!$B$4:$B$503,Planos!$A181,Programação!$I$4:$I$503,"Concluído",Programação!$G$4:$G$503,"&gt;="&amp;DATE(ano_ref,11,1),Programação!$G$4:$G$503,"&lt;="&amp;EOMONTH(DATE(ano_ref,11,1),0))&gt;0,"✔",IF(AND(ISNUMBER(Planos!$G181),IFERROR(INDEX(lst_frequencia_meses,MATCH(Planos!$E181,lst_frequencia,0)),0)&gt;0,(ano_ref*12+11)-(YEAR(Planos!$G181)*12+MONTH(Planos!$G181))&gt;0,MOD((ano_ref*12+11)-(YEAR(Planos!$G181)*12+MONTH(Planos!$G181)),MAX(1,IFERROR(INDEX(lst_frequencia_meses,MATCH(Planos!$E181,lst_frequencia,0)),0)))=0),"●","")))</f>
      </c>
      <c r="O182" s="43">
        <f>IF(NOT(Planos!$A181&lt;&gt;""),"",IF(COUNTIFS(Programação!$B$4:$B$503,Planos!$A181,Programação!$I$4:$I$503,"Concluído",Programação!$G$4:$G$503,"&gt;="&amp;DATE(ano_ref,12,1),Programação!$G$4:$G$503,"&lt;="&amp;EOMONTH(DATE(ano_ref,12,1),0))&gt;0,"✔",IF(AND(ISNUMBER(Planos!$G181),IFERROR(INDEX(lst_frequencia_meses,MATCH(Planos!$E181,lst_frequencia,0)),0)&gt;0,(ano_ref*12+12)-(YEAR(Planos!$G181)*12+MONTH(Planos!$G181))&gt;0,MOD((ano_ref*12+12)-(YEAR(Planos!$G181)*12+MONTH(Planos!$G181)),MAX(1,IFERROR(INDEX(lst_frequencia_meses,MATCH(Planos!$E181,lst_frequencia,0)),0)))=0),"●","")))</f>
      </c>
      <c r="P182" s="44">
        <f>IF(COUNTIF(D182:O182,"✔")+COUNTIF(D182:O182,"●")=0,"",COUNTIF(D182:O182,"✔")/(COUNTIF(D182:O182,"✔")+COUNTIF(D182:O182,"●")))</f>
      </c>
    </row>
    <row r="183" spans="1:16" x14ac:dyDescent="0.25">
      <c r="A183" s="43">
        <f>IF(Planos!$A182&lt;&gt;"",Planos!A182&amp;"","")</f>
      </c>
      <c r="B183" s="43">
        <f>IF(Planos!$A182&lt;&gt;"",Planos!B182&amp;"","")</f>
      </c>
      <c r="C183" s="24">
        <f>IF(Planos!$A182&lt;&gt;"",Planos!C182&amp;"","")</f>
      </c>
      <c r="D183" s="43">
        <f>IF(NOT(Planos!$A182&lt;&gt;""),"",IF(COUNTIFS(Programação!$B$4:$B$503,Planos!$A182,Programação!$I$4:$I$503,"Concluído",Programação!$G$4:$G$503,"&gt;="&amp;DATE(ano_ref,1,1),Programação!$G$4:$G$503,"&lt;="&amp;EOMONTH(DATE(ano_ref,1,1),0))&gt;0,"✔",IF(AND(ISNUMBER(Planos!$G182),IFERROR(INDEX(lst_frequencia_meses,MATCH(Planos!$E182,lst_frequencia,0)),0)&gt;0,(ano_ref*12+1)-(YEAR(Planos!$G182)*12+MONTH(Planos!$G182))&gt;0,MOD((ano_ref*12+1)-(YEAR(Planos!$G182)*12+MONTH(Planos!$G182)),MAX(1,IFERROR(INDEX(lst_frequencia_meses,MATCH(Planos!$E182,lst_frequencia,0)),0)))=0),"●","")))</f>
      </c>
      <c r="E183" s="43">
        <f>IF(NOT(Planos!$A182&lt;&gt;""),"",IF(COUNTIFS(Programação!$B$4:$B$503,Planos!$A182,Programação!$I$4:$I$503,"Concluído",Programação!$G$4:$G$503,"&gt;="&amp;DATE(ano_ref,2,1),Programação!$G$4:$G$503,"&lt;="&amp;EOMONTH(DATE(ano_ref,2,1),0))&gt;0,"✔",IF(AND(ISNUMBER(Planos!$G182),IFERROR(INDEX(lst_frequencia_meses,MATCH(Planos!$E182,lst_frequencia,0)),0)&gt;0,(ano_ref*12+2)-(YEAR(Planos!$G182)*12+MONTH(Planos!$G182))&gt;0,MOD((ano_ref*12+2)-(YEAR(Planos!$G182)*12+MONTH(Planos!$G182)),MAX(1,IFERROR(INDEX(lst_frequencia_meses,MATCH(Planos!$E182,lst_frequencia,0)),0)))=0),"●","")))</f>
      </c>
      <c r="F183" s="43">
        <f>IF(NOT(Planos!$A182&lt;&gt;""),"",IF(COUNTIFS(Programação!$B$4:$B$503,Planos!$A182,Programação!$I$4:$I$503,"Concluído",Programação!$G$4:$G$503,"&gt;="&amp;DATE(ano_ref,3,1),Programação!$G$4:$G$503,"&lt;="&amp;EOMONTH(DATE(ano_ref,3,1),0))&gt;0,"✔",IF(AND(ISNUMBER(Planos!$G182),IFERROR(INDEX(lst_frequencia_meses,MATCH(Planos!$E182,lst_frequencia,0)),0)&gt;0,(ano_ref*12+3)-(YEAR(Planos!$G182)*12+MONTH(Planos!$G182))&gt;0,MOD((ano_ref*12+3)-(YEAR(Planos!$G182)*12+MONTH(Planos!$G182)),MAX(1,IFERROR(INDEX(lst_frequencia_meses,MATCH(Planos!$E182,lst_frequencia,0)),0)))=0),"●","")))</f>
      </c>
      <c r="G183" s="43">
        <f>IF(NOT(Planos!$A182&lt;&gt;""),"",IF(COUNTIFS(Programação!$B$4:$B$503,Planos!$A182,Programação!$I$4:$I$503,"Concluído",Programação!$G$4:$G$503,"&gt;="&amp;DATE(ano_ref,4,1),Programação!$G$4:$G$503,"&lt;="&amp;EOMONTH(DATE(ano_ref,4,1),0))&gt;0,"✔",IF(AND(ISNUMBER(Planos!$G182),IFERROR(INDEX(lst_frequencia_meses,MATCH(Planos!$E182,lst_frequencia,0)),0)&gt;0,(ano_ref*12+4)-(YEAR(Planos!$G182)*12+MONTH(Planos!$G182))&gt;0,MOD((ano_ref*12+4)-(YEAR(Planos!$G182)*12+MONTH(Planos!$G182)),MAX(1,IFERROR(INDEX(lst_frequencia_meses,MATCH(Planos!$E182,lst_frequencia,0)),0)))=0),"●","")))</f>
      </c>
      <c r="H183" s="43">
        <f>IF(NOT(Planos!$A182&lt;&gt;""),"",IF(COUNTIFS(Programação!$B$4:$B$503,Planos!$A182,Programação!$I$4:$I$503,"Concluído",Programação!$G$4:$G$503,"&gt;="&amp;DATE(ano_ref,5,1),Programação!$G$4:$G$503,"&lt;="&amp;EOMONTH(DATE(ano_ref,5,1),0))&gt;0,"✔",IF(AND(ISNUMBER(Planos!$G182),IFERROR(INDEX(lst_frequencia_meses,MATCH(Planos!$E182,lst_frequencia,0)),0)&gt;0,(ano_ref*12+5)-(YEAR(Planos!$G182)*12+MONTH(Planos!$G182))&gt;0,MOD((ano_ref*12+5)-(YEAR(Planos!$G182)*12+MONTH(Planos!$G182)),MAX(1,IFERROR(INDEX(lst_frequencia_meses,MATCH(Planos!$E182,lst_frequencia,0)),0)))=0),"●","")))</f>
      </c>
      <c r="I183" s="43">
        <f>IF(NOT(Planos!$A182&lt;&gt;""),"",IF(COUNTIFS(Programação!$B$4:$B$503,Planos!$A182,Programação!$I$4:$I$503,"Concluído",Programação!$G$4:$G$503,"&gt;="&amp;DATE(ano_ref,6,1),Programação!$G$4:$G$503,"&lt;="&amp;EOMONTH(DATE(ano_ref,6,1),0))&gt;0,"✔",IF(AND(ISNUMBER(Planos!$G182),IFERROR(INDEX(lst_frequencia_meses,MATCH(Planos!$E182,lst_frequencia,0)),0)&gt;0,(ano_ref*12+6)-(YEAR(Planos!$G182)*12+MONTH(Planos!$G182))&gt;0,MOD((ano_ref*12+6)-(YEAR(Planos!$G182)*12+MONTH(Planos!$G182)),MAX(1,IFERROR(INDEX(lst_frequencia_meses,MATCH(Planos!$E182,lst_frequencia,0)),0)))=0),"●","")))</f>
      </c>
      <c r="J183" s="43">
        <f>IF(NOT(Planos!$A182&lt;&gt;""),"",IF(COUNTIFS(Programação!$B$4:$B$503,Planos!$A182,Programação!$I$4:$I$503,"Concluído",Programação!$G$4:$G$503,"&gt;="&amp;DATE(ano_ref,7,1),Programação!$G$4:$G$503,"&lt;="&amp;EOMONTH(DATE(ano_ref,7,1),0))&gt;0,"✔",IF(AND(ISNUMBER(Planos!$G182),IFERROR(INDEX(lst_frequencia_meses,MATCH(Planos!$E182,lst_frequencia,0)),0)&gt;0,(ano_ref*12+7)-(YEAR(Planos!$G182)*12+MONTH(Planos!$G182))&gt;0,MOD((ano_ref*12+7)-(YEAR(Planos!$G182)*12+MONTH(Planos!$G182)),MAX(1,IFERROR(INDEX(lst_frequencia_meses,MATCH(Planos!$E182,lst_frequencia,0)),0)))=0),"●","")))</f>
      </c>
      <c r="K183" s="43">
        <f>IF(NOT(Planos!$A182&lt;&gt;""),"",IF(COUNTIFS(Programação!$B$4:$B$503,Planos!$A182,Programação!$I$4:$I$503,"Concluído",Programação!$G$4:$G$503,"&gt;="&amp;DATE(ano_ref,8,1),Programação!$G$4:$G$503,"&lt;="&amp;EOMONTH(DATE(ano_ref,8,1),0))&gt;0,"✔",IF(AND(ISNUMBER(Planos!$G182),IFERROR(INDEX(lst_frequencia_meses,MATCH(Planos!$E182,lst_frequencia,0)),0)&gt;0,(ano_ref*12+8)-(YEAR(Planos!$G182)*12+MONTH(Planos!$G182))&gt;0,MOD((ano_ref*12+8)-(YEAR(Planos!$G182)*12+MONTH(Planos!$G182)),MAX(1,IFERROR(INDEX(lst_frequencia_meses,MATCH(Planos!$E182,lst_frequencia,0)),0)))=0),"●","")))</f>
      </c>
      <c r="L183" s="43">
        <f>IF(NOT(Planos!$A182&lt;&gt;""),"",IF(COUNTIFS(Programação!$B$4:$B$503,Planos!$A182,Programação!$I$4:$I$503,"Concluído",Programação!$G$4:$G$503,"&gt;="&amp;DATE(ano_ref,9,1),Programação!$G$4:$G$503,"&lt;="&amp;EOMONTH(DATE(ano_ref,9,1),0))&gt;0,"✔",IF(AND(ISNUMBER(Planos!$G182),IFERROR(INDEX(lst_frequencia_meses,MATCH(Planos!$E182,lst_frequencia,0)),0)&gt;0,(ano_ref*12+9)-(YEAR(Planos!$G182)*12+MONTH(Planos!$G182))&gt;0,MOD((ano_ref*12+9)-(YEAR(Planos!$G182)*12+MONTH(Planos!$G182)),MAX(1,IFERROR(INDEX(lst_frequencia_meses,MATCH(Planos!$E182,lst_frequencia,0)),0)))=0),"●","")))</f>
      </c>
      <c r="M183" s="43">
        <f>IF(NOT(Planos!$A182&lt;&gt;""),"",IF(COUNTIFS(Programação!$B$4:$B$503,Planos!$A182,Programação!$I$4:$I$503,"Concluído",Programação!$G$4:$G$503,"&gt;="&amp;DATE(ano_ref,10,1),Programação!$G$4:$G$503,"&lt;="&amp;EOMONTH(DATE(ano_ref,10,1),0))&gt;0,"✔",IF(AND(ISNUMBER(Planos!$G182),IFERROR(INDEX(lst_frequencia_meses,MATCH(Planos!$E182,lst_frequencia,0)),0)&gt;0,(ano_ref*12+10)-(YEAR(Planos!$G182)*12+MONTH(Planos!$G182))&gt;0,MOD((ano_ref*12+10)-(YEAR(Planos!$G182)*12+MONTH(Planos!$G182)),MAX(1,IFERROR(INDEX(lst_frequencia_meses,MATCH(Planos!$E182,lst_frequencia,0)),0)))=0),"●","")))</f>
      </c>
      <c r="N183" s="43">
        <f>IF(NOT(Planos!$A182&lt;&gt;""),"",IF(COUNTIFS(Programação!$B$4:$B$503,Planos!$A182,Programação!$I$4:$I$503,"Concluído",Programação!$G$4:$G$503,"&gt;="&amp;DATE(ano_ref,11,1),Programação!$G$4:$G$503,"&lt;="&amp;EOMONTH(DATE(ano_ref,11,1),0))&gt;0,"✔",IF(AND(ISNUMBER(Planos!$G182),IFERROR(INDEX(lst_frequencia_meses,MATCH(Planos!$E182,lst_frequencia,0)),0)&gt;0,(ano_ref*12+11)-(YEAR(Planos!$G182)*12+MONTH(Planos!$G182))&gt;0,MOD((ano_ref*12+11)-(YEAR(Planos!$G182)*12+MONTH(Planos!$G182)),MAX(1,IFERROR(INDEX(lst_frequencia_meses,MATCH(Planos!$E182,lst_frequencia,0)),0)))=0),"●","")))</f>
      </c>
      <c r="O183" s="43">
        <f>IF(NOT(Planos!$A182&lt;&gt;""),"",IF(COUNTIFS(Programação!$B$4:$B$503,Planos!$A182,Programação!$I$4:$I$503,"Concluído",Programação!$G$4:$G$503,"&gt;="&amp;DATE(ano_ref,12,1),Programação!$G$4:$G$503,"&lt;="&amp;EOMONTH(DATE(ano_ref,12,1),0))&gt;0,"✔",IF(AND(ISNUMBER(Planos!$G182),IFERROR(INDEX(lst_frequencia_meses,MATCH(Planos!$E182,lst_frequencia,0)),0)&gt;0,(ano_ref*12+12)-(YEAR(Planos!$G182)*12+MONTH(Planos!$G182))&gt;0,MOD((ano_ref*12+12)-(YEAR(Planos!$G182)*12+MONTH(Planos!$G182)),MAX(1,IFERROR(INDEX(lst_frequencia_meses,MATCH(Planos!$E182,lst_frequencia,0)),0)))=0),"●","")))</f>
      </c>
      <c r="P183" s="44">
        <f>IF(COUNTIF(D183:O183,"✔")+COUNTIF(D183:O183,"●")=0,"",COUNTIF(D183:O183,"✔")/(COUNTIF(D183:O183,"✔")+COUNTIF(D183:O183,"●")))</f>
      </c>
    </row>
    <row r="184" spans="1:16" x14ac:dyDescent="0.25">
      <c r="A184" s="43">
        <f>IF(Planos!$A183&lt;&gt;"",Planos!A183&amp;"","")</f>
      </c>
      <c r="B184" s="43">
        <f>IF(Planos!$A183&lt;&gt;"",Planos!B183&amp;"","")</f>
      </c>
      <c r="C184" s="24">
        <f>IF(Planos!$A183&lt;&gt;"",Planos!C183&amp;"","")</f>
      </c>
      <c r="D184" s="43">
        <f>IF(NOT(Planos!$A183&lt;&gt;""),"",IF(COUNTIFS(Programação!$B$4:$B$503,Planos!$A183,Programação!$I$4:$I$503,"Concluído",Programação!$G$4:$G$503,"&gt;="&amp;DATE(ano_ref,1,1),Programação!$G$4:$G$503,"&lt;="&amp;EOMONTH(DATE(ano_ref,1,1),0))&gt;0,"✔",IF(AND(ISNUMBER(Planos!$G183),IFERROR(INDEX(lst_frequencia_meses,MATCH(Planos!$E183,lst_frequencia,0)),0)&gt;0,(ano_ref*12+1)-(YEAR(Planos!$G183)*12+MONTH(Planos!$G183))&gt;0,MOD((ano_ref*12+1)-(YEAR(Planos!$G183)*12+MONTH(Planos!$G183)),MAX(1,IFERROR(INDEX(lst_frequencia_meses,MATCH(Planos!$E183,lst_frequencia,0)),0)))=0),"●","")))</f>
      </c>
      <c r="E184" s="43">
        <f>IF(NOT(Planos!$A183&lt;&gt;""),"",IF(COUNTIFS(Programação!$B$4:$B$503,Planos!$A183,Programação!$I$4:$I$503,"Concluído",Programação!$G$4:$G$503,"&gt;="&amp;DATE(ano_ref,2,1),Programação!$G$4:$G$503,"&lt;="&amp;EOMONTH(DATE(ano_ref,2,1),0))&gt;0,"✔",IF(AND(ISNUMBER(Planos!$G183),IFERROR(INDEX(lst_frequencia_meses,MATCH(Planos!$E183,lst_frequencia,0)),0)&gt;0,(ano_ref*12+2)-(YEAR(Planos!$G183)*12+MONTH(Planos!$G183))&gt;0,MOD((ano_ref*12+2)-(YEAR(Planos!$G183)*12+MONTH(Planos!$G183)),MAX(1,IFERROR(INDEX(lst_frequencia_meses,MATCH(Planos!$E183,lst_frequencia,0)),0)))=0),"●","")))</f>
      </c>
      <c r="F184" s="43">
        <f>IF(NOT(Planos!$A183&lt;&gt;""),"",IF(COUNTIFS(Programação!$B$4:$B$503,Planos!$A183,Programação!$I$4:$I$503,"Concluído",Programação!$G$4:$G$503,"&gt;="&amp;DATE(ano_ref,3,1),Programação!$G$4:$G$503,"&lt;="&amp;EOMONTH(DATE(ano_ref,3,1),0))&gt;0,"✔",IF(AND(ISNUMBER(Planos!$G183),IFERROR(INDEX(lst_frequencia_meses,MATCH(Planos!$E183,lst_frequencia,0)),0)&gt;0,(ano_ref*12+3)-(YEAR(Planos!$G183)*12+MONTH(Planos!$G183))&gt;0,MOD((ano_ref*12+3)-(YEAR(Planos!$G183)*12+MONTH(Planos!$G183)),MAX(1,IFERROR(INDEX(lst_frequencia_meses,MATCH(Planos!$E183,lst_frequencia,0)),0)))=0),"●","")))</f>
      </c>
      <c r="G184" s="43">
        <f>IF(NOT(Planos!$A183&lt;&gt;""),"",IF(COUNTIFS(Programação!$B$4:$B$503,Planos!$A183,Programação!$I$4:$I$503,"Concluído",Programação!$G$4:$G$503,"&gt;="&amp;DATE(ano_ref,4,1),Programação!$G$4:$G$503,"&lt;="&amp;EOMONTH(DATE(ano_ref,4,1),0))&gt;0,"✔",IF(AND(ISNUMBER(Planos!$G183),IFERROR(INDEX(lst_frequencia_meses,MATCH(Planos!$E183,lst_frequencia,0)),0)&gt;0,(ano_ref*12+4)-(YEAR(Planos!$G183)*12+MONTH(Planos!$G183))&gt;0,MOD((ano_ref*12+4)-(YEAR(Planos!$G183)*12+MONTH(Planos!$G183)),MAX(1,IFERROR(INDEX(lst_frequencia_meses,MATCH(Planos!$E183,lst_frequencia,0)),0)))=0),"●","")))</f>
      </c>
      <c r="H184" s="43">
        <f>IF(NOT(Planos!$A183&lt;&gt;""),"",IF(COUNTIFS(Programação!$B$4:$B$503,Planos!$A183,Programação!$I$4:$I$503,"Concluído",Programação!$G$4:$G$503,"&gt;="&amp;DATE(ano_ref,5,1),Programação!$G$4:$G$503,"&lt;="&amp;EOMONTH(DATE(ano_ref,5,1),0))&gt;0,"✔",IF(AND(ISNUMBER(Planos!$G183),IFERROR(INDEX(lst_frequencia_meses,MATCH(Planos!$E183,lst_frequencia,0)),0)&gt;0,(ano_ref*12+5)-(YEAR(Planos!$G183)*12+MONTH(Planos!$G183))&gt;0,MOD((ano_ref*12+5)-(YEAR(Planos!$G183)*12+MONTH(Planos!$G183)),MAX(1,IFERROR(INDEX(lst_frequencia_meses,MATCH(Planos!$E183,lst_frequencia,0)),0)))=0),"●","")))</f>
      </c>
      <c r="I184" s="43">
        <f>IF(NOT(Planos!$A183&lt;&gt;""),"",IF(COUNTIFS(Programação!$B$4:$B$503,Planos!$A183,Programação!$I$4:$I$503,"Concluído",Programação!$G$4:$G$503,"&gt;="&amp;DATE(ano_ref,6,1),Programação!$G$4:$G$503,"&lt;="&amp;EOMONTH(DATE(ano_ref,6,1),0))&gt;0,"✔",IF(AND(ISNUMBER(Planos!$G183),IFERROR(INDEX(lst_frequencia_meses,MATCH(Planos!$E183,lst_frequencia,0)),0)&gt;0,(ano_ref*12+6)-(YEAR(Planos!$G183)*12+MONTH(Planos!$G183))&gt;0,MOD((ano_ref*12+6)-(YEAR(Planos!$G183)*12+MONTH(Planos!$G183)),MAX(1,IFERROR(INDEX(lst_frequencia_meses,MATCH(Planos!$E183,lst_frequencia,0)),0)))=0),"●","")))</f>
      </c>
      <c r="J184" s="43">
        <f>IF(NOT(Planos!$A183&lt;&gt;""),"",IF(COUNTIFS(Programação!$B$4:$B$503,Planos!$A183,Programação!$I$4:$I$503,"Concluído",Programação!$G$4:$G$503,"&gt;="&amp;DATE(ano_ref,7,1),Programação!$G$4:$G$503,"&lt;="&amp;EOMONTH(DATE(ano_ref,7,1),0))&gt;0,"✔",IF(AND(ISNUMBER(Planos!$G183),IFERROR(INDEX(lst_frequencia_meses,MATCH(Planos!$E183,lst_frequencia,0)),0)&gt;0,(ano_ref*12+7)-(YEAR(Planos!$G183)*12+MONTH(Planos!$G183))&gt;0,MOD((ano_ref*12+7)-(YEAR(Planos!$G183)*12+MONTH(Planos!$G183)),MAX(1,IFERROR(INDEX(lst_frequencia_meses,MATCH(Planos!$E183,lst_frequencia,0)),0)))=0),"●","")))</f>
      </c>
      <c r="K184" s="43">
        <f>IF(NOT(Planos!$A183&lt;&gt;""),"",IF(COUNTIFS(Programação!$B$4:$B$503,Planos!$A183,Programação!$I$4:$I$503,"Concluído",Programação!$G$4:$G$503,"&gt;="&amp;DATE(ano_ref,8,1),Programação!$G$4:$G$503,"&lt;="&amp;EOMONTH(DATE(ano_ref,8,1),0))&gt;0,"✔",IF(AND(ISNUMBER(Planos!$G183),IFERROR(INDEX(lst_frequencia_meses,MATCH(Planos!$E183,lst_frequencia,0)),0)&gt;0,(ano_ref*12+8)-(YEAR(Planos!$G183)*12+MONTH(Planos!$G183))&gt;0,MOD((ano_ref*12+8)-(YEAR(Planos!$G183)*12+MONTH(Planos!$G183)),MAX(1,IFERROR(INDEX(lst_frequencia_meses,MATCH(Planos!$E183,lst_frequencia,0)),0)))=0),"●","")))</f>
      </c>
      <c r="L184" s="43">
        <f>IF(NOT(Planos!$A183&lt;&gt;""),"",IF(COUNTIFS(Programação!$B$4:$B$503,Planos!$A183,Programação!$I$4:$I$503,"Concluído",Programação!$G$4:$G$503,"&gt;="&amp;DATE(ano_ref,9,1),Programação!$G$4:$G$503,"&lt;="&amp;EOMONTH(DATE(ano_ref,9,1),0))&gt;0,"✔",IF(AND(ISNUMBER(Planos!$G183),IFERROR(INDEX(lst_frequencia_meses,MATCH(Planos!$E183,lst_frequencia,0)),0)&gt;0,(ano_ref*12+9)-(YEAR(Planos!$G183)*12+MONTH(Planos!$G183))&gt;0,MOD((ano_ref*12+9)-(YEAR(Planos!$G183)*12+MONTH(Planos!$G183)),MAX(1,IFERROR(INDEX(lst_frequencia_meses,MATCH(Planos!$E183,lst_frequencia,0)),0)))=0),"●","")))</f>
      </c>
      <c r="M184" s="43">
        <f>IF(NOT(Planos!$A183&lt;&gt;""),"",IF(COUNTIFS(Programação!$B$4:$B$503,Planos!$A183,Programação!$I$4:$I$503,"Concluído",Programação!$G$4:$G$503,"&gt;="&amp;DATE(ano_ref,10,1),Programação!$G$4:$G$503,"&lt;="&amp;EOMONTH(DATE(ano_ref,10,1),0))&gt;0,"✔",IF(AND(ISNUMBER(Planos!$G183),IFERROR(INDEX(lst_frequencia_meses,MATCH(Planos!$E183,lst_frequencia,0)),0)&gt;0,(ano_ref*12+10)-(YEAR(Planos!$G183)*12+MONTH(Planos!$G183))&gt;0,MOD((ano_ref*12+10)-(YEAR(Planos!$G183)*12+MONTH(Planos!$G183)),MAX(1,IFERROR(INDEX(lst_frequencia_meses,MATCH(Planos!$E183,lst_frequencia,0)),0)))=0),"●","")))</f>
      </c>
      <c r="N184" s="43">
        <f>IF(NOT(Planos!$A183&lt;&gt;""),"",IF(COUNTIFS(Programação!$B$4:$B$503,Planos!$A183,Programação!$I$4:$I$503,"Concluído",Programação!$G$4:$G$503,"&gt;="&amp;DATE(ano_ref,11,1),Programação!$G$4:$G$503,"&lt;="&amp;EOMONTH(DATE(ano_ref,11,1),0))&gt;0,"✔",IF(AND(ISNUMBER(Planos!$G183),IFERROR(INDEX(lst_frequencia_meses,MATCH(Planos!$E183,lst_frequencia,0)),0)&gt;0,(ano_ref*12+11)-(YEAR(Planos!$G183)*12+MONTH(Planos!$G183))&gt;0,MOD((ano_ref*12+11)-(YEAR(Planos!$G183)*12+MONTH(Planos!$G183)),MAX(1,IFERROR(INDEX(lst_frequencia_meses,MATCH(Planos!$E183,lst_frequencia,0)),0)))=0),"●","")))</f>
      </c>
      <c r="O184" s="43">
        <f>IF(NOT(Planos!$A183&lt;&gt;""),"",IF(COUNTIFS(Programação!$B$4:$B$503,Planos!$A183,Programação!$I$4:$I$503,"Concluído",Programação!$G$4:$G$503,"&gt;="&amp;DATE(ano_ref,12,1),Programação!$G$4:$G$503,"&lt;="&amp;EOMONTH(DATE(ano_ref,12,1),0))&gt;0,"✔",IF(AND(ISNUMBER(Planos!$G183),IFERROR(INDEX(lst_frequencia_meses,MATCH(Planos!$E183,lst_frequencia,0)),0)&gt;0,(ano_ref*12+12)-(YEAR(Planos!$G183)*12+MONTH(Planos!$G183))&gt;0,MOD((ano_ref*12+12)-(YEAR(Planos!$G183)*12+MONTH(Planos!$G183)),MAX(1,IFERROR(INDEX(lst_frequencia_meses,MATCH(Planos!$E183,lst_frequencia,0)),0)))=0),"●","")))</f>
      </c>
      <c r="P184" s="44">
        <f>IF(COUNTIF(D184:O184,"✔")+COUNTIF(D184:O184,"●")=0,"",COUNTIF(D184:O184,"✔")/(COUNTIF(D184:O184,"✔")+COUNTIF(D184:O184,"●")))</f>
      </c>
    </row>
    <row r="185" spans="1:16" x14ac:dyDescent="0.25">
      <c r="A185" s="43">
        <f>IF(Planos!$A184&lt;&gt;"",Planos!A184&amp;"","")</f>
      </c>
      <c r="B185" s="43">
        <f>IF(Planos!$A184&lt;&gt;"",Planos!B184&amp;"","")</f>
      </c>
      <c r="C185" s="24">
        <f>IF(Planos!$A184&lt;&gt;"",Planos!C184&amp;"","")</f>
      </c>
      <c r="D185" s="43">
        <f>IF(NOT(Planos!$A184&lt;&gt;""),"",IF(COUNTIFS(Programação!$B$4:$B$503,Planos!$A184,Programação!$I$4:$I$503,"Concluído",Programação!$G$4:$G$503,"&gt;="&amp;DATE(ano_ref,1,1),Programação!$G$4:$G$503,"&lt;="&amp;EOMONTH(DATE(ano_ref,1,1),0))&gt;0,"✔",IF(AND(ISNUMBER(Planos!$G184),IFERROR(INDEX(lst_frequencia_meses,MATCH(Planos!$E184,lst_frequencia,0)),0)&gt;0,(ano_ref*12+1)-(YEAR(Planos!$G184)*12+MONTH(Planos!$G184))&gt;0,MOD((ano_ref*12+1)-(YEAR(Planos!$G184)*12+MONTH(Planos!$G184)),MAX(1,IFERROR(INDEX(lst_frequencia_meses,MATCH(Planos!$E184,lst_frequencia,0)),0)))=0),"●","")))</f>
      </c>
      <c r="E185" s="43">
        <f>IF(NOT(Planos!$A184&lt;&gt;""),"",IF(COUNTIFS(Programação!$B$4:$B$503,Planos!$A184,Programação!$I$4:$I$503,"Concluído",Programação!$G$4:$G$503,"&gt;="&amp;DATE(ano_ref,2,1),Programação!$G$4:$G$503,"&lt;="&amp;EOMONTH(DATE(ano_ref,2,1),0))&gt;0,"✔",IF(AND(ISNUMBER(Planos!$G184),IFERROR(INDEX(lst_frequencia_meses,MATCH(Planos!$E184,lst_frequencia,0)),0)&gt;0,(ano_ref*12+2)-(YEAR(Planos!$G184)*12+MONTH(Planos!$G184))&gt;0,MOD((ano_ref*12+2)-(YEAR(Planos!$G184)*12+MONTH(Planos!$G184)),MAX(1,IFERROR(INDEX(lst_frequencia_meses,MATCH(Planos!$E184,lst_frequencia,0)),0)))=0),"●","")))</f>
      </c>
      <c r="F185" s="43">
        <f>IF(NOT(Planos!$A184&lt;&gt;""),"",IF(COUNTIFS(Programação!$B$4:$B$503,Planos!$A184,Programação!$I$4:$I$503,"Concluído",Programação!$G$4:$G$503,"&gt;="&amp;DATE(ano_ref,3,1),Programação!$G$4:$G$503,"&lt;="&amp;EOMONTH(DATE(ano_ref,3,1),0))&gt;0,"✔",IF(AND(ISNUMBER(Planos!$G184),IFERROR(INDEX(lst_frequencia_meses,MATCH(Planos!$E184,lst_frequencia,0)),0)&gt;0,(ano_ref*12+3)-(YEAR(Planos!$G184)*12+MONTH(Planos!$G184))&gt;0,MOD((ano_ref*12+3)-(YEAR(Planos!$G184)*12+MONTH(Planos!$G184)),MAX(1,IFERROR(INDEX(lst_frequencia_meses,MATCH(Planos!$E184,lst_frequencia,0)),0)))=0),"●","")))</f>
      </c>
      <c r="G185" s="43">
        <f>IF(NOT(Planos!$A184&lt;&gt;""),"",IF(COUNTIFS(Programação!$B$4:$B$503,Planos!$A184,Programação!$I$4:$I$503,"Concluído",Programação!$G$4:$G$503,"&gt;="&amp;DATE(ano_ref,4,1),Programação!$G$4:$G$503,"&lt;="&amp;EOMONTH(DATE(ano_ref,4,1),0))&gt;0,"✔",IF(AND(ISNUMBER(Planos!$G184),IFERROR(INDEX(lst_frequencia_meses,MATCH(Planos!$E184,lst_frequencia,0)),0)&gt;0,(ano_ref*12+4)-(YEAR(Planos!$G184)*12+MONTH(Planos!$G184))&gt;0,MOD((ano_ref*12+4)-(YEAR(Planos!$G184)*12+MONTH(Planos!$G184)),MAX(1,IFERROR(INDEX(lst_frequencia_meses,MATCH(Planos!$E184,lst_frequencia,0)),0)))=0),"●","")))</f>
      </c>
      <c r="H185" s="43">
        <f>IF(NOT(Planos!$A184&lt;&gt;""),"",IF(COUNTIFS(Programação!$B$4:$B$503,Planos!$A184,Programação!$I$4:$I$503,"Concluído",Programação!$G$4:$G$503,"&gt;="&amp;DATE(ano_ref,5,1),Programação!$G$4:$G$503,"&lt;="&amp;EOMONTH(DATE(ano_ref,5,1),0))&gt;0,"✔",IF(AND(ISNUMBER(Planos!$G184),IFERROR(INDEX(lst_frequencia_meses,MATCH(Planos!$E184,lst_frequencia,0)),0)&gt;0,(ano_ref*12+5)-(YEAR(Planos!$G184)*12+MONTH(Planos!$G184))&gt;0,MOD((ano_ref*12+5)-(YEAR(Planos!$G184)*12+MONTH(Planos!$G184)),MAX(1,IFERROR(INDEX(lst_frequencia_meses,MATCH(Planos!$E184,lst_frequencia,0)),0)))=0),"●","")))</f>
      </c>
      <c r="I185" s="43">
        <f>IF(NOT(Planos!$A184&lt;&gt;""),"",IF(COUNTIFS(Programação!$B$4:$B$503,Planos!$A184,Programação!$I$4:$I$503,"Concluído",Programação!$G$4:$G$503,"&gt;="&amp;DATE(ano_ref,6,1),Programação!$G$4:$G$503,"&lt;="&amp;EOMONTH(DATE(ano_ref,6,1),0))&gt;0,"✔",IF(AND(ISNUMBER(Planos!$G184),IFERROR(INDEX(lst_frequencia_meses,MATCH(Planos!$E184,lst_frequencia,0)),0)&gt;0,(ano_ref*12+6)-(YEAR(Planos!$G184)*12+MONTH(Planos!$G184))&gt;0,MOD((ano_ref*12+6)-(YEAR(Planos!$G184)*12+MONTH(Planos!$G184)),MAX(1,IFERROR(INDEX(lst_frequencia_meses,MATCH(Planos!$E184,lst_frequencia,0)),0)))=0),"●","")))</f>
      </c>
      <c r="J185" s="43">
        <f>IF(NOT(Planos!$A184&lt;&gt;""),"",IF(COUNTIFS(Programação!$B$4:$B$503,Planos!$A184,Programação!$I$4:$I$503,"Concluído",Programação!$G$4:$G$503,"&gt;="&amp;DATE(ano_ref,7,1),Programação!$G$4:$G$503,"&lt;="&amp;EOMONTH(DATE(ano_ref,7,1),0))&gt;0,"✔",IF(AND(ISNUMBER(Planos!$G184),IFERROR(INDEX(lst_frequencia_meses,MATCH(Planos!$E184,lst_frequencia,0)),0)&gt;0,(ano_ref*12+7)-(YEAR(Planos!$G184)*12+MONTH(Planos!$G184))&gt;0,MOD((ano_ref*12+7)-(YEAR(Planos!$G184)*12+MONTH(Planos!$G184)),MAX(1,IFERROR(INDEX(lst_frequencia_meses,MATCH(Planos!$E184,lst_frequencia,0)),0)))=0),"●","")))</f>
      </c>
      <c r="K185" s="43">
        <f>IF(NOT(Planos!$A184&lt;&gt;""),"",IF(COUNTIFS(Programação!$B$4:$B$503,Planos!$A184,Programação!$I$4:$I$503,"Concluído",Programação!$G$4:$G$503,"&gt;="&amp;DATE(ano_ref,8,1),Programação!$G$4:$G$503,"&lt;="&amp;EOMONTH(DATE(ano_ref,8,1),0))&gt;0,"✔",IF(AND(ISNUMBER(Planos!$G184),IFERROR(INDEX(lst_frequencia_meses,MATCH(Planos!$E184,lst_frequencia,0)),0)&gt;0,(ano_ref*12+8)-(YEAR(Planos!$G184)*12+MONTH(Planos!$G184))&gt;0,MOD((ano_ref*12+8)-(YEAR(Planos!$G184)*12+MONTH(Planos!$G184)),MAX(1,IFERROR(INDEX(lst_frequencia_meses,MATCH(Planos!$E184,lst_frequencia,0)),0)))=0),"●","")))</f>
      </c>
      <c r="L185" s="43">
        <f>IF(NOT(Planos!$A184&lt;&gt;""),"",IF(COUNTIFS(Programação!$B$4:$B$503,Planos!$A184,Programação!$I$4:$I$503,"Concluído",Programação!$G$4:$G$503,"&gt;="&amp;DATE(ano_ref,9,1),Programação!$G$4:$G$503,"&lt;="&amp;EOMONTH(DATE(ano_ref,9,1),0))&gt;0,"✔",IF(AND(ISNUMBER(Planos!$G184),IFERROR(INDEX(lst_frequencia_meses,MATCH(Planos!$E184,lst_frequencia,0)),0)&gt;0,(ano_ref*12+9)-(YEAR(Planos!$G184)*12+MONTH(Planos!$G184))&gt;0,MOD((ano_ref*12+9)-(YEAR(Planos!$G184)*12+MONTH(Planos!$G184)),MAX(1,IFERROR(INDEX(lst_frequencia_meses,MATCH(Planos!$E184,lst_frequencia,0)),0)))=0),"●","")))</f>
      </c>
      <c r="M185" s="43">
        <f>IF(NOT(Planos!$A184&lt;&gt;""),"",IF(COUNTIFS(Programação!$B$4:$B$503,Planos!$A184,Programação!$I$4:$I$503,"Concluído",Programação!$G$4:$G$503,"&gt;="&amp;DATE(ano_ref,10,1),Programação!$G$4:$G$503,"&lt;="&amp;EOMONTH(DATE(ano_ref,10,1),0))&gt;0,"✔",IF(AND(ISNUMBER(Planos!$G184),IFERROR(INDEX(lst_frequencia_meses,MATCH(Planos!$E184,lst_frequencia,0)),0)&gt;0,(ano_ref*12+10)-(YEAR(Planos!$G184)*12+MONTH(Planos!$G184))&gt;0,MOD((ano_ref*12+10)-(YEAR(Planos!$G184)*12+MONTH(Planos!$G184)),MAX(1,IFERROR(INDEX(lst_frequencia_meses,MATCH(Planos!$E184,lst_frequencia,0)),0)))=0),"●","")))</f>
      </c>
      <c r="N185" s="43">
        <f>IF(NOT(Planos!$A184&lt;&gt;""),"",IF(COUNTIFS(Programação!$B$4:$B$503,Planos!$A184,Programação!$I$4:$I$503,"Concluído",Programação!$G$4:$G$503,"&gt;="&amp;DATE(ano_ref,11,1),Programação!$G$4:$G$503,"&lt;="&amp;EOMONTH(DATE(ano_ref,11,1),0))&gt;0,"✔",IF(AND(ISNUMBER(Planos!$G184),IFERROR(INDEX(lst_frequencia_meses,MATCH(Planos!$E184,lst_frequencia,0)),0)&gt;0,(ano_ref*12+11)-(YEAR(Planos!$G184)*12+MONTH(Planos!$G184))&gt;0,MOD((ano_ref*12+11)-(YEAR(Planos!$G184)*12+MONTH(Planos!$G184)),MAX(1,IFERROR(INDEX(lst_frequencia_meses,MATCH(Planos!$E184,lst_frequencia,0)),0)))=0),"●","")))</f>
      </c>
      <c r="O185" s="43">
        <f>IF(NOT(Planos!$A184&lt;&gt;""),"",IF(COUNTIFS(Programação!$B$4:$B$503,Planos!$A184,Programação!$I$4:$I$503,"Concluído",Programação!$G$4:$G$503,"&gt;="&amp;DATE(ano_ref,12,1),Programação!$G$4:$G$503,"&lt;="&amp;EOMONTH(DATE(ano_ref,12,1),0))&gt;0,"✔",IF(AND(ISNUMBER(Planos!$G184),IFERROR(INDEX(lst_frequencia_meses,MATCH(Planos!$E184,lst_frequencia,0)),0)&gt;0,(ano_ref*12+12)-(YEAR(Planos!$G184)*12+MONTH(Planos!$G184))&gt;0,MOD((ano_ref*12+12)-(YEAR(Planos!$G184)*12+MONTH(Planos!$G184)),MAX(1,IFERROR(INDEX(lst_frequencia_meses,MATCH(Planos!$E184,lst_frequencia,0)),0)))=0),"●","")))</f>
      </c>
      <c r="P185" s="44">
        <f>IF(COUNTIF(D185:O185,"✔")+COUNTIF(D185:O185,"●")=0,"",COUNTIF(D185:O185,"✔")/(COUNTIF(D185:O185,"✔")+COUNTIF(D185:O185,"●")))</f>
      </c>
    </row>
    <row r="186" spans="1:16" x14ac:dyDescent="0.25">
      <c r="A186" s="43">
        <f>IF(Planos!$A185&lt;&gt;"",Planos!A185&amp;"","")</f>
      </c>
      <c r="B186" s="43">
        <f>IF(Planos!$A185&lt;&gt;"",Planos!B185&amp;"","")</f>
      </c>
      <c r="C186" s="24">
        <f>IF(Planos!$A185&lt;&gt;"",Planos!C185&amp;"","")</f>
      </c>
      <c r="D186" s="43">
        <f>IF(NOT(Planos!$A185&lt;&gt;""),"",IF(COUNTIFS(Programação!$B$4:$B$503,Planos!$A185,Programação!$I$4:$I$503,"Concluído",Programação!$G$4:$G$503,"&gt;="&amp;DATE(ano_ref,1,1),Programação!$G$4:$G$503,"&lt;="&amp;EOMONTH(DATE(ano_ref,1,1),0))&gt;0,"✔",IF(AND(ISNUMBER(Planos!$G185),IFERROR(INDEX(lst_frequencia_meses,MATCH(Planos!$E185,lst_frequencia,0)),0)&gt;0,(ano_ref*12+1)-(YEAR(Planos!$G185)*12+MONTH(Planos!$G185))&gt;0,MOD((ano_ref*12+1)-(YEAR(Planos!$G185)*12+MONTH(Planos!$G185)),MAX(1,IFERROR(INDEX(lst_frequencia_meses,MATCH(Planos!$E185,lst_frequencia,0)),0)))=0),"●","")))</f>
      </c>
      <c r="E186" s="43">
        <f>IF(NOT(Planos!$A185&lt;&gt;""),"",IF(COUNTIFS(Programação!$B$4:$B$503,Planos!$A185,Programação!$I$4:$I$503,"Concluído",Programação!$G$4:$G$503,"&gt;="&amp;DATE(ano_ref,2,1),Programação!$G$4:$G$503,"&lt;="&amp;EOMONTH(DATE(ano_ref,2,1),0))&gt;0,"✔",IF(AND(ISNUMBER(Planos!$G185),IFERROR(INDEX(lst_frequencia_meses,MATCH(Planos!$E185,lst_frequencia,0)),0)&gt;0,(ano_ref*12+2)-(YEAR(Planos!$G185)*12+MONTH(Planos!$G185))&gt;0,MOD((ano_ref*12+2)-(YEAR(Planos!$G185)*12+MONTH(Planos!$G185)),MAX(1,IFERROR(INDEX(lst_frequencia_meses,MATCH(Planos!$E185,lst_frequencia,0)),0)))=0),"●","")))</f>
      </c>
      <c r="F186" s="43">
        <f>IF(NOT(Planos!$A185&lt;&gt;""),"",IF(COUNTIFS(Programação!$B$4:$B$503,Planos!$A185,Programação!$I$4:$I$503,"Concluído",Programação!$G$4:$G$503,"&gt;="&amp;DATE(ano_ref,3,1),Programação!$G$4:$G$503,"&lt;="&amp;EOMONTH(DATE(ano_ref,3,1),0))&gt;0,"✔",IF(AND(ISNUMBER(Planos!$G185),IFERROR(INDEX(lst_frequencia_meses,MATCH(Planos!$E185,lst_frequencia,0)),0)&gt;0,(ano_ref*12+3)-(YEAR(Planos!$G185)*12+MONTH(Planos!$G185))&gt;0,MOD((ano_ref*12+3)-(YEAR(Planos!$G185)*12+MONTH(Planos!$G185)),MAX(1,IFERROR(INDEX(lst_frequencia_meses,MATCH(Planos!$E185,lst_frequencia,0)),0)))=0),"●","")))</f>
      </c>
      <c r="G186" s="43">
        <f>IF(NOT(Planos!$A185&lt;&gt;""),"",IF(COUNTIFS(Programação!$B$4:$B$503,Planos!$A185,Programação!$I$4:$I$503,"Concluído",Programação!$G$4:$G$503,"&gt;="&amp;DATE(ano_ref,4,1),Programação!$G$4:$G$503,"&lt;="&amp;EOMONTH(DATE(ano_ref,4,1),0))&gt;0,"✔",IF(AND(ISNUMBER(Planos!$G185),IFERROR(INDEX(lst_frequencia_meses,MATCH(Planos!$E185,lst_frequencia,0)),0)&gt;0,(ano_ref*12+4)-(YEAR(Planos!$G185)*12+MONTH(Planos!$G185))&gt;0,MOD((ano_ref*12+4)-(YEAR(Planos!$G185)*12+MONTH(Planos!$G185)),MAX(1,IFERROR(INDEX(lst_frequencia_meses,MATCH(Planos!$E185,lst_frequencia,0)),0)))=0),"●","")))</f>
      </c>
      <c r="H186" s="43">
        <f>IF(NOT(Planos!$A185&lt;&gt;""),"",IF(COUNTIFS(Programação!$B$4:$B$503,Planos!$A185,Programação!$I$4:$I$503,"Concluído",Programação!$G$4:$G$503,"&gt;="&amp;DATE(ano_ref,5,1),Programação!$G$4:$G$503,"&lt;="&amp;EOMONTH(DATE(ano_ref,5,1),0))&gt;0,"✔",IF(AND(ISNUMBER(Planos!$G185),IFERROR(INDEX(lst_frequencia_meses,MATCH(Planos!$E185,lst_frequencia,0)),0)&gt;0,(ano_ref*12+5)-(YEAR(Planos!$G185)*12+MONTH(Planos!$G185))&gt;0,MOD((ano_ref*12+5)-(YEAR(Planos!$G185)*12+MONTH(Planos!$G185)),MAX(1,IFERROR(INDEX(lst_frequencia_meses,MATCH(Planos!$E185,lst_frequencia,0)),0)))=0),"●","")))</f>
      </c>
      <c r="I186" s="43">
        <f>IF(NOT(Planos!$A185&lt;&gt;""),"",IF(COUNTIFS(Programação!$B$4:$B$503,Planos!$A185,Programação!$I$4:$I$503,"Concluído",Programação!$G$4:$G$503,"&gt;="&amp;DATE(ano_ref,6,1),Programação!$G$4:$G$503,"&lt;="&amp;EOMONTH(DATE(ano_ref,6,1),0))&gt;0,"✔",IF(AND(ISNUMBER(Planos!$G185),IFERROR(INDEX(lst_frequencia_meses,MATCH(Planos!$E185,lst_frequencia,0)),0)&gt;0,(ano_ref*12+6)-(YEAR(Planos!$G185)*12+MONTH(Planos!$G185))&gt;0,MOD((ano_ref*12+6)-(YEAR(Planos!$G185)*12+MONTH(Planos!$G185)),MAX(1,IFERROR(INDEX(lst_frequencia_meses,MATCH(Planos!$E185,lst_frequencia,0)),0)))=0),"●","")))</f>
      </c>
      <c r="J186" s="43">
        <f>IF(NOT(Planos!$A185&lt;&gt;""),"",IF(COUNTIFS(Programação!$B$4:$B$503,Planos!$A185,Programação!$I$4:$I$503,"Concluído",Programação!$G$4:$G$503,"&gt;="&amp;DATE(ano_ref,7,1),Programação!$G$4:$G$503,"&lt;="&amp;EOMONTH(DATE(ano_ref,7,1),0))&gt;0,"✔",IF(AND(ISNUMBER(Planos!$G185),IFERROR(INDEX(lst_frequencia_meses,MATCH(Planos!$E185,lst_frequencia,0)),0)&gt;0,(ano_ref*12+7)-(YEAR(Planos!$G185)*12+MONTH(Planos!$G185))&gt;0,MOD((ano_ref*12+7)-(YEAR(Planos!$G185)*12+MONTH(Planos!$G185)),MAX(1,IFERROR(INDEX(lst_frequencia_meses,MATCH(Planos!$E185,lst_frequencia,0)),0)))=0),"●","")))</f>
      </c>
      <c r="K186" s="43">
        <f>IF(NOT(Planos!$A185&lt;&gt;""),"",IF(COUNTIFS(Programação!$B$4:$B$503,Planos!$A185,Programação!$I$4:$I$503,"Concluído",Programação!$G$4:$G$503,"&gt;="&amp;DATE(ano_ref,8,1),Programação!$G$4:$G$503,"&lt;="&amp;EOMONTH(DATE(ano_ref,8,1),0))&gt;0,"✔",IF(AND(ISNUMBER(Planos!$G185),IFERROR(INDEX(lst_frequencia_meses,MATCH(Planos!$E185,lst_frequencia,0)),0)&gt;0,(ano_ref*12+8)-(YEAR(Planos!$G185)*12+MONTH(Planos!$G185))&gt;0,MOD((ano_ref*12+8)-(YEAR(Planos!$G185)*12+MONTH(Planos!$G185)),MAX(1,IFERROR(INDEX(lst_frequencia_meses,MATCH(Planos!$E185,lst_frequencia,0)),0)))=0),"●","")))</f>
      </c>
      <c r="L186" s="43">
        <f>IF(NOT(Planos!$A185&lt;&gt;""),"",IF(COUNTIFS(Programação!$B$4:$B$503,Planos!$A185,Programação!$I$4:$I$503,"Concluído",Programação!$G$4:$G$503,"&gt;="&amp;DATE(ano_ref,9,1),Programação!$G$4:$G$503,"&lt;="&amp;EOMONTH(DATE(ano_ref,9,1),0))&gt;0,"✔",IF(AND(ISNUMBER(Planos!$G185),IFERROR(INDEX(lst_frequencia_meses,MATCH(Planos!$E185,lst_frequencia,0)),0)&gt;0,(ano_ref*12+9)-(YEAR(Planos!$G185)*12+MONTH(Planos!$G185))&gt;0,MOD((ano_ref*12+9)-(YEAR(Planos!$G185)*12+MONTH(Planos!$G185)),MAX(1,IFERROR(INDEX(lst_frequencia_meses,MATCH(Planos!$E185,lst_frequencia,0)),0)))=0),"●","")))</f>
      </c>
      <c r="M186" s="43">
        <f>IF(NOT(Planos!$A185&lt;&gt;""),"",IF(COUNTIFS(Programação!$B$4:$B$503,Planos!$A185,Programação!$I$4:$I$503,"Concluído",Programação!$G$4:$G$503,"&gt;="&amp;DATE(ano_ref,10,1),Programação!$G$4:$G$503,"&lt;="&amp;EOMONTH(DATE(ano_ref,10,1),0))&gt;0,"✔",IF(AND(ISNUMBER(Planos!$G185),IFERROR(INDEX(lst_frequencia_meses,MATCH(Planos!$E185,lst_frequencia,0)),0)&gt;0,(ano_ref*12+10)-(YEAR(Planos!$G185)*12+MONTH(Planos!$G185))&gt;0,MOD((ano_ref*12+10)-(YEAR(Planos!$G185)*12+MONTH(Planos!$G185)),MAX(1,IFERROR(INDEX(lst_frequencia_meses,MATCH(Planos!$E185,lst_frequencia,0)),0)))=0),"●","")))</f>
      </c>
      <c r="N186" s="43">
        <f>IF(NOT(Planos!$A185&lt;&gt;""),"",IF(COUNTIFS(Programação!$B$4:$B$503,Planos!$A185,Programação!$I$4:$I$503,"Concluído",Programação!$G$4:$G$503,"&gt;="&amp;DATE(ano_ref,11,1),Programação!$G$4:$G$503,"&lt;="&amp;EOMONTH(DATE(ano_ref,11,1),0))&gt;0,"✔",IF(AND(ISNUMBER(Planos!$G185),IFERROR(INDEX(lst_frequencia_meses,MATCH(Planos!$E185,lst_frequencia,0)),0)&gt;0,(ano_ref*12+11)-(YEAR(Planos!$G185)*12+MONTH(Planos!$G185))&gt;0,MOD((ano_ref*12+11)-(YEAR(Planos!$G185)*12+MONTH(Planos!$G185)),MAX(1,IFERROR(INDEX(lst_frequencia_meses,MATCH(Planos!$E185,lst_frequencia,0)),0)))=0),"●","")))</f>
      </c>
      <c r="O186" s="43">
        <f>IF(NOT(Planos!$A185&lt;&gt;""),"",IF(COUNTIFS(Programação!$B$4:$B$503,Planos!$A185,Programação!$I$4:$I$503,"Concluído",Programação!$G$4:$G$503,"&gt;="&amp;DATE(ano_ref,12,1),Programação!$G$4:$G$503,"&lt;="&amp;EOMONTH(DATE(ano_ref,12,1),0))&gt;0,"✔",IF(AND(ISNUMBER(Planos!$G185),IFERROR(INDEX(lst_frequencia_meses,MATCH(Planos!$E185,lst_frequencia,0)),0)&gt;0,(ano_ref*12+12)-(YEAR(Planos!$G185)*12+MONTH(Planos!$G185))&gt;0,MOD((ano_ref*12+12)-(YEAR(Planos!$G185)*12+MONTH(Planos!$G185)),MAX(1,IFERROR(INDEX(lst_frequencia_meses,MATCH(Planos!$E185,lst_frequencia,0)),0)))=0),"●","")))</f>
      </c>
      <c r="P186" s="44">
        <f>IF(COUNTIF(D186:O186,"✔")+COUNTIF(D186:O186,"●")=0,"",COUNTIF(D186:O186,"✔")/(COUNTIF(D186:O186,"✔")+COUNTIF(D186:O186,"●")))</f>
      </c>
    </row>
    <row r="187" spans="1:16" x14ac:dyDescent="0.25">
      <c r="A187" s="43">
        <f>IF(Planos!$A186&lt;&gt;"",Planos!A186&amp;"","")</f>
      </c>
      <c r="B187" s="43">
        <f>IF(Planos!$A186&lt;&gt;"",Planos!B186&amp;"","")</f>
      </c>
      <c r="C187" s="24">
        <f>IF(Planos!$A186&lt;&gt;"",Planos!C186&amp;"","")</f>
      </c>
      <c r="D187" s="43">
        <f>IF(NOT(Planos!$A186&lt;&gt;""),"",IF(COUNTIFS(Programação!$B$4:$B$503,Planos!$A186,Programação!$I$4:$I$503,"Concluído",Programação!$G$4:$G$503,"&gt;="&amp;DATE(ano_ref,1,1),Programação!$G$4:$G$503,"&lt;="&amp;EOMONTH(DATE(ano_ref,1,1),0))&gt;0,"✔",IF(AND(ISNUMBER(Planos!$G186),IFERROR(INDEX(lst_frequencia_meses,MATCH(Planos!$E186,lst_frequencia,0)),0)&gt;0,(ano_ref*12+1)-(YEAR(Planos!$G186)*12+MONTH(Planos!$G186))&gt;0,MOD((ano_ref*12+1)-(YEAR(Planos!$G186)*12+MONTH(Planos!$G186)),MAX(1,IFERROR(INDEX(lst_frequencia_meses,MATCH(Planos!$E186,lst_frequencia,0)),0)))=0),"●","")))</f>
      </c>
      <c r="E187" s="43">
        <f>IF(NOT(Planos!$A186&lt;&gt;""),"",IF(COUNTIFS(Programação!$B$4:$B$503,Planos!$A186,Programação!$I$4:$I$503,"Concluído",Programação!$G$4:$G$503,"&gt;="&amp;DATE(ano_ref,2,1),Programação!$G$4:$G$503,"&lt;="&amp;EOMONTH(DATE(ano_ref,2,1),0))&gt;0,"✔",IF(AND(ISNUMBER(Planos!$G186),IFERROR(INDEX(lst_frequencia_meses,MATCH(Planos!$E186,lst_frequencia,0)),0)&gt;0,(ano_ref*12+2)-(YEAR(Planos!$G186)*12+MONTH(Planos!$G186))&gt;0,MOD((ano_ref*12+2)-(YEAR(Planos!$G186)*12+MONTH(Planos!$G186)),MAX(1,IFERROR(INDEX(lst_frequencia_meses,MATCH(Planos!$E186,lst_frequencia,0)),0)))=0),"●","")))</f>
      </c>
      <c r="F187" s="43">
        <f>IF(NOT(Planos!$A186&lt;&gt;""),"",IF(COUNTIFS(Programação!$B$4:$B$503,Planos!$A186,Programação!$I$4:$I$503,"Concluído",Programação!$G$4:$G$503,"&gt;="&amp;DATE(ano_ref,3,1),Programação!$G$4:$G$503,"&lt;="&amp;EOMONTH(DATE(ano_ref,3,1),0))&gt;0,"✔",IF(AND(ISNUMBER(Planos!$G186),IFERROR(INDEX(lst_frequencia_meses,MATCH(Planos!$E186,lst_frequencia,0)),0)&gt;0,(ano_ref*12+3)-(YEAR(Planos!$G186)*12+MONTH(Planos!$G186))&gt;0,MOD((ano_ref*12+3)-(YEAR(Planos!$G186)*12+MONTH(Planos!$G186)),MAX(1,IFERROR(INDEX(lst_frequencia_meses,MATCH(Planos!$E186,lst_frequencia,0)),0)))=0),"●","")))</f>
      </c>
      <c r="G187" s="43">
        <f>IF(NOT(Planos!$A186&lt;&gt;""),"",IF(COUNTIFS(Programação!$B$4:$B$503,Planos!$A186,Programação!$I$4:$I$503,"Concluído",Programação!$G$4:$G$503,"&gt;="&amp;DATE(ano_ref,4,1),Programação!$G$4:$G$503,"&lt;="&amp;EOMONTH(DATE(ano_ref,4,1),0))&gt;0,"✔",IF(AND(ISNUMBER(Planos!$G186),IFERROR(INDEX(lst_frequencia_meses,MATCH(Planos!$E186,lst_frequencia,0)),0)&gt;0,(ano_ref*12+4)-(YEAR(Planos!$G186)*12+MONTH(Planos!$G186))&gt;0,MOD((ano_ref*12+4)-(YEAR(Planos!$G186)*12+MONTH(Planos!$G186)),MAX(1,IFERROR(INDEX(lst_frequencia_meses,MATCH(Planos!$E186,lst_frequencia,0)),0)))=0),"●","")))</f>
      </c>
      <c r="H187" s="43">
        <f>IF(NOT(Planos!$A186&lt;&gt;""),"",IF(COUNTIFS(Programação!$B$4:$B$503,Planos!$A186,Programação!$I$4:$I$503,"Concluído",Programação!$G$4:$G$503,"&gt;="&amp;DATE(ano_ref,5,1),Programação!$G$4:$G$503,"&lt;="&amp;EOMONTH(DATE(ano_ref,5,1),0))&gt;0,"✔",IF(AND(ISNUMBER(Planos!$G186),IFERROR(INDEX(lst_frequencia_meses,MATCH(Planos!$E186,lst_frequencia,0)),0)&gt;0,(ano_ref*12+5)-(YEAR(Planos!$G186)*12+MONTH(Planos!$G186))&gt;0,MOD((ano_ref*12+5)-(YEAR(Planos!$G186)*12+MONTH(Planos!$G186)),MAX(1,IFERROR(INDEX(lst_frequencia_meses,MATCH(Planos!$E186,lst_frequencia,0)),0)))=0),"●","")))</f>
      </c>
      <c r="I187" s="43">
        <f>IF(NOT(Planos!$A186&lt;&gt;""),"",IF(COUNTIFS(Programação!$B$4:$B$503,Planos!$A186,Programação!$I$4:$I$503,"Concluído",Programação!$G$4:$G$503,"&gt;="&amp;DATE(ano_ref,6,1),Programação!$G$4:$G$503,"&lt;="&amp;EOMONTH(DATE(ano_ref,6,1),0))&gt;0,"✔",IF(AND(ISNUMBER(Planos!$G186),IFERROR(INDEX(lst_frequencia_meses,MATCH(Planos!$E186,lst_frequencia,0)),0)&gt;0,(ano_ref*12+6)-(YEAR(Planos!$G186)*12+MONTH(Planos!$G186))&gt;0,MOD((ano_ref*12+6)-(YEAR(Planos!$G186)*12+MONTH(Planos!$G186)),MAX(1,IFERROR(INDEX(lst_frequencia_meses,MATCH(Planos!$E186,lst_frequencia,0)),0)))=0),"●","")))</f>
      </c>
      <c r="J187" s="43">
        <f>IF(NOT(Planos!$A186&lt;&gt;""),"",IF(COUNTIFS(Programação!$B$4:$B$503,Planos!$A186,Programação!$I$4:$I$503,"Concluído",Programação!$G$4:$G$503,"&gt;="&amp;DATE(ano_ref,7,1),Programação!$G$4:$G$503,"&lt;="&amp;EOMONTH(DATE(ano_ref,7,1),0))&gt;0,"✔",IF(AND(ISNUMBER(Planos!$G186),IFERROR(INDEX(lst_frequencia_meses,MATCH(Planos!$E186,lst_frequencia,0)),0)&gt;0,(ano_ref*12+7)-(YEAR(Planos!$G186)*12+MONTH(Planos!$G186))&gt;0,MOD((ano_ref*12+7)-(YEAR(Planos!$G186)*12+MONTH(Planos!$G186)),MAX(1,IFERROR(INDEX(lst_frequencia_meses,MATCH(Planos!$E186,lst_frequencia,0)),0)))=0),"●","")))</f>
      </c>
      <c r="K187" s="43">
        <f>IF(NOT(Planos!$A186&lt;&gt;""),"",IF(COUNTIFS(Programação!$B$4:$B$503,Planos!$A186,Programação!$I$4:$I$503,"Concluído",Programação!$G$4:$G$503,"&gt;="&amp;DATE(ano_ref,8,1),Programação!$G$4:$G$503,"&lt;="&amp;EOMONTH(DATE(ano_ref,8,1),0))&gt;0,"✔",IF(AND(ISNUMBER(Planos!$G186),IFERROR(INDEX(lst_frequencia_meses,MATCH(Planos!$E186,lst_frequencia,0)),0)&gt;0,(ano_ref*12+8)-(YEAR(Planos!$G186)*12+MONTH(Planos!$G186))&gt;0,MOD((ano_ref*12+8)-(YEAR(Planos!$G186)*12+MONTH(Planos!$G186)),MAX(1,IFERROR(INDEX(lst_frequencia_meses,MATCH(Planos!$E186,lst_frequencia,0)),0)))=0),"●","")))</f>
      </c>
      <c r="L187" s="43">
        <f>IF(NOT(Planos!$A186&lt;&gt;""),"",IF(COUNTIFS(Programação!$B$4:$B$503,Planos!$A186,Programação!$I$4:$I$503,"Concluído",Programação!$G$4:$G$503,"&gt;="&amp;DATE(ano_ref,9,1),Programação!$G$4:$G$503,"&lt;="&amp;EOMONTH(DATE(ano_ref,9,1),0))&gt;0,"✔",IF(AND(ISNUMBER(Planos!$G186),IFERROR(INDEX(lst_frequencia_meses,MATCH(Planos!$E186,lst_frequencia,0)),0)&gt;0,(ano_ref*12+9)-(YEAR(Planos!$G186)*12+MONTH(Planos!$G186))&gt;0,MOD((ano_ref*12+9)-(YEAR(Planos!$G186)*12+MONTH(Planos!$G186)),MAX(1,IFERROR(INDEX(lst_frequencia_meses,MATCH(Planos!$E186,lst_frequencia,0)),0)))=0),"●","")))</f>
      </c>
      <c r="M187" s="43">
        <f>IF(NOT(Planos!$A186&lt;&gt;""),"",IF(COUNTIFS(Programação!$B$4:$B$503,Planos!$A186,Programação!$I$4:$I$503,"Concluído",Programação!$G$4:$G$503,"&gt;="&amp;DATE(ano_ref,10,1),Programação!$G$4:$G$503,"&lt;="&amp;EOMONTH(DATE(ano_ref,10,1),0))&gt;0,"✔",IF(AND(ISNUMBER(Planos!$G186),IFERROR(INDEX(lst_frequencia_meses,MATCH(Planos!$E186,lst_frequencia,0)),0)&gt;0,(ano_ref*12+10)-(YEAR(Planos!$G186)*12+MONTH(Planos!$G186))&gt;0,MOD((ano_ref*12+10)-(YEAR(Planos!$G186)*12+MONTH(Planos!$G186)),MAX(1,IFERROR(INDEX(lst_frequencia_meses,MATCH(Planos!$E186,lst_frequencia,0)),0)))=0),"●","")))</f>
      </c>
      <c r="N187" s="43">
        <f>IF(NOT(Planos!$A186&lt;&gt;""),"",IF(COUNTIFS(Programação!$B$4:$B$503,Planos!$A186,Programação!$I$4:$I$503,"Concluído",Programação!$G$4:$G$503,"&gt;="&amp;DATE(ano_ref,11,1),Programação!$G$4:$G$503,"&lt;="&amp;EOMONTH(DATE(ano_ref,11,1),0))&gt;0,"✔",IF(AND(ISNUMBER(Planos!$G186),IFERROR(INDEX(lst_frequencia_meses,MATCH(Planos!$E186,lst_frequencia,0)),0)&gt;0,(ano_ref*12+11)-(YEAR(Planos!$G186)*12+MONTH(Planos!$G186))&gt;0,MOD((ano_ref*12+11)-(YEAR(Planos!$G186)*12+MONTH(Planos!$G186)),MAX(1,IFERROR(INDEX(lst_frequencia_meses,MATCH(Planos!$E186,lst_frequencia,0)),0)))=0),"●","")))</f>
      </c>
      <c r="O187" s="43">
        <f>IF(NOT(Planos!$A186&lt;&gt;""),"",IF(COUNTIFS(Programação!$B$4:$B$503,Planos!$A186,Programação!$I$4:$I$503,"Concluído",Programação!$G$4:$G$503,"&gt;="&amp;DATE(ano_ref,12,1),Programação!$G$4:$G$503,"&lt;="&amp;EOMONTH(DATE(ano_ref,12,1),0))&gt;0,"✔",IF(AND(ISNUMBER(Planos!$G186),IFERROR(INDEX(lst_frequencia_meses,MATCH(Planos!$E186,lst_frequencia,0)),0)&gt;0,(ano_ref*12+12)-(YEAR(Planos!$G186)*12+MONTH(Planos!$G186))&gt;0,MOD((ano_ref*12+12)-(YEAR(Planos!$G186)*12+MONTH(Planos!$G186)),MAX(1,IFERROR(INDEX(lst_frequencia_meses,MATCH(Planos!$E186,lst_frequencia,0)),0)))=0),"●","")))</f>
      </c>
      <c r="P187" s="44">
        <f>IF(COUNTIF(D187:O187,"✔")+COUNTIF(D187:O187,"●")=0,"",COUNTIF(D187:O187,"✔")/(COUNTIF(D187:O187,"✔")+COUNTIF(D187:O187,"●")))</f>
      </c>
    </row>
    <row r="188" spans="1:16" x14ac:dyDescent="0.25">
      <c r="A188" s="43">
        <f>IF(Planos!$A187&lt;&gt;"",Planos!A187&amp;"","")</f>
      </c>
      <c r="B188" s="43">
        <f>IF(Planos!$A187&lt;&gt;"",Planos!B187&amp;"","")</f>
      </c>
      <c r="C188" s="24">
        <f>IF(Planos!$A187&lt;&gt;"",Planos!C187&amp;"","")</f>
      </c>
      <c r="D188" s="43">
        <f>IF(NOT(Planos!$A187&lt;&gt;""),"",IF(COUNTIFS(Programação!$B$4:$B$503,Planos!$A187,Programação!$I$4:$I$503,"Concluído",Programação!$G$4:$G$503,"&gt;="&amp;DATE(ano_ref,1,1),Programação!$G$4:$G$503,"&lt;="&amp;EOMONTH(DATE(ano_ref,1,1),0))&gt;0,"✔",IF(AND(ISNUMBER(Planos!$G187),IFERROR(INDEX(lst_frequencia_meses,MATCH(Planos!$E187,lst_frequencia,0)),0)&gt;0,(ano_ref*12+1)-(YEAR(Planos!$G187)*12+MONTH(Planos!$G187))&gt;0,MOD((ano_ref*12+1)-(YEAR(Planos!$G187)*12+MONTH(Planos!$G187)),MAX(1,IFERROR(INDEX(lst_frequencia_meses,MATCH(Planos!$E187,lst_frequencia,0)),0)))=0),"●","")))</f>
      </c>
      <c r="E188" s="43">
        <f>IF(NOT(Planos!$A187&lt;&gt;""),"",IF(COUNTIFS(Programação!$B$4:$B$503,Planos!$A187,Programação!$I$4:$I$503,"Concluído",Programação!$G$4:$G$503,"&gt;="&amp;DATE(ano_ref,2,1),Programação!$G$4:$G$503,"&lt;="&amp;EOMONTH(DATE(ano_ref,2,1),0))&gt;0,"✔",IF(AND(ISNUMBER(Planos!$G187),IFERROR(INDEX(lst_frequencia_meses,MATCH(Planos!$E187,lst_frequencia,0)),0)&gt;0,(ano_ref*12+2)-(YEAR(Planos!$G187)*12+MONTH(Planos!$G187))&gt;0,MOD((ano_ref*12+2)-(YEAR(Planos!$G187)*12+MONTH(Planos!$G187)),MAX(1,IFERROR(INDEX(lst_frequencia_meses,MATCH(Planos!$E187,lst_frequencia,0)),0)))=0),"●","")))</f>
      </c>
      <c r="F188" s="43">
        <f>IF(NOT(Planos!$A187&lt;&gt;""),"",IF(COUNTIFS(Programação!$B$4:$B$503,Planos!$A187,Programação!$I$4:$I$503,"Concluído",Programação!$G$4:$G$503,"&gt;="&amp;DATE(ano_ref,3,1),Programação!$G$4:$G$503,"&lt;="&amp;EOMONTH(DATE(ano_ref,3,1),0))&gt;0,"✔",IF(AND(ISNUMBER(Planos!$G187),IFERROR(INDEX(lst_frequencia_meses,MATCH(Planos!$E187,lst_frequencia,0)),0)&gt;0,(ano_ref*12+3)-(YEAR(Planos!$G187)*12+MONTH(Planos!$G187))&gt;0,MOD((ano_ref*12+3)-(YEAR(Planos!$G187)*12+MONTH(Planos!$G187)),MAX(1,IFERROR(INDEX(lst_frequencia_meses,MATCH(Planos!$E187,lst_frequencia,0)),0)))=0),"●","")))</f>
      </c>
      <c r="G188" s="43">
        <f>IF(NOT(Planos!$A187&lt;&gt;""),"",IF(COUNTIFS(Programação!$B$4:$B$503,Planos!$A187,Programação!$I$4:$I$503,"Concluído",Programação!$G$4:$G$503,"&gt;="&amp;DATE(ano_ref,4,1),Programação!$G$4:$G$503,"&lt;="&amp;EOMONTH(DATE(ano_ref,4,1),0))&gt;0,"✔",IF(AND(ISNUMBER(Planos!$G187),IFERROR(INDEX(lst_frequencia_meses,MATCH(Planos!$E187,lst_frequencia,0)),0)&gt;0,(ano_ref*12+4)-(YEAR(Planos!$G187)*12+MONTH(Planos!$G187))&gt;0,MOD((ano_ref*12+4)-(YEAR(Planos!$G187)*12+MONTH(Planos!$G187)),MAX(1,IFERROR(INDEX(lst_frequencia_meses,MATCH(Planos!$E187,lst_frequencia,0)),0)))=0),"●","")))</f>
      </c>
      <c r="H188" s="43">
        <f>IF(NOT(Planos!$A187&lt;&gt;""),"",IF(COUNTIFS(Programação!$B$4:$B$503,Planos!$A187,Programação!$I$4:$I$503,"Concluído",Programação!$G$4:$G$503,"&gt;="&amp;DATE(ano_ref,5,1),Programação!$G$4:$G$503,"&lt;="&amp;EOMONTH(DATE(ano_ref,5,1),0))&gt;0,"✔",IF(AND(ISNUMBER(Planos!$G187),IFERROR(INDEX(lst_frequencia_meses,MATCH(Planos!$E187,lst_frequencia,0)),0)&gt;0,(ano_ref*12+5)-(YEAR(Planos!$G187)*12+MONTH(Planos!$G187))&gt;0,MOD((ano_ref*12+5)-(YEAR(Planos!$G187)*12+MONTH(Planos!$G187)),MAX(1,IFERROR(INDEX(lst_frequencia_meses,MATCH(Planos!$E187,lst_frequencia,0)),0)))=0),"●","")))</f>
      </c>
      <c r="I188" s="43">
        <f>IF(NOT(Planos!$A187&lt;&gt;""),"",IF(COUNTIFS(Programação!$B$4:$B$503,Planos!$A187,Programação!$I$4:$I$503,"Concluído",Programação!$G$4:$G$503,"&gt;="&amp;DATE(ano_ref,6,1),Programação!$G$4:$G$503,"&lt;="&amp;EOMONTH(DATE(ano_ref,6,1),0))&gt;0,"✔",IF(AND(ISNUMBER(Planos!$G187),IFERROR(INDEX(lst_frequencia_meses,MATCH(Planos!$E187,lst_frequencia,0)),0)&gt;0,(ano_ref*12+6)-(YEAR(Planos!$G187)*12+MONTH(Planos!$G187))&gt;0,MOD((ano_ref*12+6)-(YEAR(Planos!$G187)*12+MONTH(Planos!$G187)),MAX(1,IFERROR(INDEX(lst_frequencia_meses,MATCH(Planos!$E187,lst_frequencia,0)),0)))=0),"●","")))</f>
      </c>
      <c r="J188" s="43">
        <f>IF(NOT(Planos!$A187&lt;&gt;""),"",IF(COUNTIFS(Programação!$B$4:$B$503,Planos!$A187,Programação!$I$4:$I$503,"Concluído",Programação!$G$4:$G$503,"&gt;="&amp;DATE(ano_ref,7,1),Programação!$G$4:$G$503,"&lt;="&amp;EOMONTH(DATE(ano_ref,7,1),0))&gt;0,"✔",IF(AND(ISNUMBER(Planos!$G187),IFERROR(INDEX(lst_frequencia_meses,MATCH(Planos!$E187,lst_frequencia,0)),0)&gt;0,(ano_ref*12+7)-(YEAR(Planos!$G187)*12+MONTH(Planos!$G187))&gt;0,MOD((ano_ref*12+7)-(YEAR(Planos!$G187)*12+MONTH(Planos!$G187)),MAX(1,IFERROR(INDEX(lst_frequencia_meses,MATCH(Planos!$E187,lst_frequencia,0)),0)))=0),"●","")))</f>
      </c>
      <c r="K188" s="43">
        <f>IF(NOT(Planos!$A187&lt;&gt;""),"",IF(COUNTIFS(Programação!$B$4:$B$503,Planos!$A187,Programação!$I$4:$I$503,"Concluído",Programação!$G$4:$G$503,"&gt;="&amp;DATE(ano_ref,8,1),Programação!$G$4:$G$503,"&lt;="&amp;EOMONTH(DATE(ano_ref,8,1),0))&gt;0,"✔",IF(AND(ISNUMBER(Planos!$G187),IFERROR(INDEX(lst_frequencia_meses,MATCH(Planos!$E187,lst_frequencia,0)),0)&gt;0,(ano_ref*12+8)-(YEAR(Planos!$G187)*12+MONTH(Planos!$G187))&gt;0,MOD((ano_ref*12+8)-(YEAR(Planos!$G187)*12+MONTH(Planos!$G187)),MAX(1,IFERROR(INDEX(lst_frequencia_meses,MATCH(Planos!$E187,lst_frequencia,0)),0)))=0),"●","")))</f>
      </c>
      <c r="L188" s="43">
        <f>IF(NOT(Planos!$A187&lt;&gt;""),"",IF(COUNTIFS(Programação!$B$4:$B$503,Planos!$A187,Programação!$I$4:$I$503,"Concluído",Programação!$G$4:$G$503,"&gt;="&amp;DATE(ano_ref,9,1),Programação!$G$4:$G$503,"&lt;="&amp;EOMONTH(DATE(ano_ref,9,1),0))&gt;0,"✔",IF(AND(ISNUMBER(Planos!$G187),IFERROR(INDEX(lst_frequencia_meses,MATCH(Planos!$E187,lst_frequencia,0)),0)&gt;0,(ano_ref*12+9)-(YEAR(Planos!$G187)*12+MONTH(Planos!$G187))&gt;0,MOD((ano_ref*12+9)-(YEAR(Planos!$G187)*12+MONTH(Planos!$G187)),MAX(1,IFERROR(INDEX(lst_frequencia_meses,MATCH(Planos!$E187,lst_frequencia,0)),0)))=0),"●","")))</f>
      </c>
      <c r="M188" s="43">
        <f>IF(NOT(Planos!$A187&lt;&gt;""),"",IF(COUNTIFS(Programação!$B$4:$B$503,Planos!$A187,Programação!$I$4:$I$503,"Concluído",Programação!$G$4:$G$503,"&gt;="&amp;DATE(ano_ref,10,1),Programação!$G$4:$G$503,"&lt;="&amp;EOMONTH(DATE(ano_ref,10,1),0))&gt;0,"✔",IF(AND(ISNUMBER(Planos!$G187),IFERROR(INDEX(lst_frequencia_meses,MATCH(Planos!$E187,lst_frequencia,0)),0)&gt;0,(ano_ref*12+10)-(YEAR(Planos!$G187)*12+MONTH(Planos!$G187))&gt;0,MOD((ano_ref*12+10)-(YEAR(Planos!$G187)*12+MONTH(Planos!$G187)),MAX(1,IFERROR(INDEX(lst_frequencia_meses,MATCH(Planos!$E187,lst_frequencia,0)),0)))=0),"●","")))</f>
      </c>
      <c r="N188" s="43">
        <f>IF(NOT(Planos!$A187&lt;&gt;""),"",IF(COUNTIFS(Programação!$B$4:$B$503,Planos!$A187,Programação!$I$4:$I$503,"Concluído",Programação!$G$4:$G$503,"&gt;="&amp;DATE(ano_ref,11,1),Programação!$G$4:$G$503,"&lt;="&amp;EOMONTH(DATE(ano_ref,11,1),0))&gt;0,"✔",IF(AND(ISNUMBER(Planos!$G187),IFERROR(INDEX(lst_frequencia_meses,MATCH(Planos!$E187,lst_frequencia,0)),0)&gt;0,(ano_ref*12+11)-(YEAR(Planos!$G187)*12+MONTH(Planos!$G187))&gt;0,MOD((ano_ref*12+11)-(YEAR(Planos!$G187)*12+MONTH(Planos!$G187)),MAX(1,IFERROR(INDEX(lst_frequencia_meses,MATCH(Planos!$E187,lst_frequencia,0)),0)))=0),"●","")))</f>
      </c>
      <c r="O188" s="43">
        <f>IF(NOT(Planos!$A187&lt;&gt;""),"",IF(COUNTIFS(Programação!$B$4:$B$503,Planos!$A187,Programação!$I$4:$I$503,"Concluído",Programação!$G$4:$G$503,"&gt;="&amp;DATE(ano_ref,12,1),Programação!$G$4:$G$503,"&lt;="&amp;EOMONTH(DATE(ano_ref,12,1),0))&gt;0,"✔",IF(AND(ISNUMBER(Planos!$G187),IFERROR(INDEX(lst_frequencia_meses,MATCH(Planos!$E187,lst_frequencia,0)),0)&gt;0,(ano_ref*12+12)-(YEAR(Planos!$G187)*12+MONTH(Planos!$G187))&gt;0,MOD((ano_ref*12+12)-(YEAR(Planos!$G187)*12+MONTH(Planos!$G187)),MAX(1,IFERROR(INDEX(lst_frequencia_meses,MATCH(Planos!$E187,lst_frequencia,0)),0)))=0),"●","")))</f>
      </c>
      <c r="P188" s="44">
        <f>IF(COUNTIF(D188:O188,"✔")+COUNTIF(D188:O188,"●")=0,"",COUNTIF(D188:O188,"✔")/(COUNTIF(D188:O188,"✔")+COUNTIF(D188:O188,"●")))</f>
      </c>
    </row>
    <row r="189" spans="1:16" x14ac:dyDescent="0.25">
      <c r="A189" s="43">
        <f>IF(Planos!$A188&lt;&gt;"",Planos!A188&amp;"","")</f>
      </c>
      <c r="B189" s="43">
        <f>IF(Planos!$A188&lt;&gt;"",Planos!B188&amp;"","")</f>
      </c>
      <c r="C189" s="24">
        <f>IF(Planos!$A188&lt;&gt;"",Planos!C188&amp;"","")</f>
      </c>
      <c r="D189" s="43">
        <f>IF(NOT(Planos!$A188&lt;&gt;""),"",IF(COUNTIFS(Programação!$B$4:$B$503,Planos!$A188,Programação!$I$4:$I$503,"Concluído",Programação!$G$4:$G$503,"&gt;="&amp;DATE(ano_ref,1,1),Programação!$G$4:$G$503,"&lt;="&amp;EOMONTH(DATE(ano_ref,1,1),0))&gt;0,"✔",IF(AND(ISNUMBER(Planos!$G188),IFERROR(INDEX(lst_frequencia_meses,MATCH(Planos!$E188,lst_frequencia,0)),0)&gt;0,(ano_ref*12+1)-(YEAR(Planos!$G188)*12+MONTH(Planos!$G188))&gt;0,MOD((ano_ref*12+1)-(YEAR(Planos!$G188)*12+MONTH(Planos!$G188)),MAX(1,IFERROR(INDEX(lst_frequencia_meses,MATCH(Planos!$E188,lst_frequencia,0)),0)))=0),"●","")))</f>
      </c>
      <c r="E189" s="43">
        <f>IF(NOT(Planos!$A188&lt;&gt;""),"",IF(COUNTIFS(Programação!$B$4:$B$503,Planos!$A188,Programação!$I$4:$I$503,"Concluído",Programação!$G$4:$G$503,"&gt;="&amp;DATE(ano_ref,2,1),Programação!$G$4:$G$503,"&lt;="&amp;EOMONTH(DATE(ano_ref,2,1),0))&gt;0,"✔",IF(AND(ISNUMBER(Planos!$G188),IFERROR(INDEX(lst_frequencia_meses,MATCH(Planos!$E188,lst_frequencia,0)),0)&gt;0,(ano_ref*12+2)-(YEAR(Planos!$G188)*12+MONTH(Planos!$G188))&gt;0,MOD((ano_ref*12+2)-(YEAR(Planos!$G188)*12+MONTH(Planos!$G188)),MAX(1,IFERROR(INDEX(lst_frequencia_meses,MATCH(Planos!$E188,lst_frequencia,0)),0)))=0),"●","")))</f>
      </c>
      <c r="F189" s="43">
        <f>IF(NOT(Planos!$A188&lt;&gt;""),"",IF(COUNTIFS(Programação!$B$4:$B$503,Planos!$A188,Programação!$I$4:$I$503,"Concluído",Programação!$G$4:$G$503,"&gt;="&amp;DATE(ano_ref,3,1),Programação!$G$4:$G$503,"&lt;="&amp;EOMONTH(DATE(ano_ref,3,1),0))&gt;0,"✔",IF(AND(ISNUMBER(Planos!$G188),IFERROR(INDEX(lst_frequencia_meses,MATCH(Planos!$E188,lst_frequencia,0)),0)&gt;0,(ano_ref*12+3)-(YEAR(Planos!$G188)*12+MONTH(Planos!$G188))&gt;0,MOD((ano_ref*12+3)-(YEAR(Planos!$G188)*12+MONTH(Planos!$G188)),MAX(1,IFERROR(INDEX(lst_frequencia_meses,MATCH(Planos!$E188,lst_frequencia,0)),0)))=0),"●","")))</f>
      </c>
      <c r="G189" s="43">
        <f>IF(NOT(Planos!$A188&lt;&gt;""),"",IF(COUNTIFS(Programação!$B$4:$B$503,Planos!$A188,Programação!$I$4:$I$503,"Concluído",Programação!$G$4:$G$503,"&gt;="&amp;DATE(ano_ref,4,1),Programação!$G$4:$G$503,"&lt;="&amp;EOMONTH(DATE(ano_ref,4,1),0))&gt;0,"✔",IF(AND(ISNUMBER(Planos!$G188),IFERROR(INDEX(lst_frequencia_meses,MATCH(Planos!$E188,lst_frequencia,0)),0)&gt;0,(ano_ref*12+4)-(YEAR(Planos!$G188)*12+MONTH(Planos!$G188))&gt;0,MOD((ano_ref*12+4)-(YEAR(Planos!$G188)*12+MONTH(Planos!$G188)),MAX(1,IFERROR(INDEX(lst_frequencia_meses,MATCH(Planos!$E188,lst_frequencia,0)),0)))=0),"●","")))</f>
      </c>
      <c r="H189" s="43">
        <f>IF(NOT(Planos!$A188&lt;&gt;""),"",IF(COUNTIFS(Programação!$B$4:$B$503,Planos!$A188,Programação!$I$4:$I$503,"Concluído",Programação!$G$4:$G$503,"&gt;="&amp;DATE(ano_ref,5,1),Programação!$G$4:$G$503,"&lt;="&amp;EOMONTH(DATE(ano_ref,5,1),0))&gt;0,"✔",IF(AND(ISNUMBER(Planos!$G188),IFERROR(INDEX(lst_frequencia_meses,MATCH(Planos!$E188,lst_frequencia,0)),0)&gt;0,(ano_ref*12+5)-(YEAR(Planos!$G188)*12+MONTH(Planos!$G188))&gt;0,MOD((ano_ref*12+5)-(YEAR(Planos!$G188)*12+MONTH(Planos!$G188)),MAX(1,IFERROR(INDEX(lst_frequencia_meses,MATCH(Planos!$E188,lst_frequencia,0)),0)))=0),"●","")))</f>
      </c>
      <c r="I189" s="43">
        <f>IF(NOT(Planos!$A188&lt;&gt;""),"",IF(COUNTIFS(Programação!$B$4:$B$503,Planos!$A188,Programação!$I$4:$I$503,"Concluído",Programação!$G$4:$G$503,"&gt;="&amp;DATE(ano_ref,6,1),Programação!$G$4:$G$503,"&lt;="&amp;EOMONTH(DATE(ano_ref,6,1),0))&gt;0,"✔",IF(AND(ISNUMBER(Planos!$G188),IFERROR(INDEX(lst_frequencia_meses,MATCH(Planos!$E188,lst_frequencia,0)),0)&gt;0,(ano_ref*12+6)-(YEAR(Planos!$G188)*12+MONTH(Planos!$G188))&gt;0,MOD((ano_ref*12+6)-(YEAR(Planos!$G188)*12+MONTH(Planos!$G188)),MAX(1,IFERROR(INDEX(lst_frequencia_meses,MATCH(Planos!$E188,lst_frequencia,0)),0)))=0),"●","")))</f>
      </c>
      <c r="J189" s="43">
        <f>IF(NOT(Planos!$A188&lt;&gt;""),"",IF(COUNTIFS(Programação!$B$4:$B$503,Planos!$A188,Programação!$I$4:$I$503,"Concluído",Programação!$G$4:$G$503,"&gt;="&amp;DATE(ano_ref,7,1),Programação!$G$4:$G$503,"&lt;="&amp;EOMONTH(DATE(ano_ref,7,1),0))&gt;0,"✔",IF(AND(ISNUMBER(Planos!$G188),IFERROR(INDEX(lst_frequencia_meses,MATCH(Planos!$E188,lst_frequencia,0)),0)&gt;0,(ano_ref*12+7)-(YEAR(Planos!$G188)*12+MONTH(Planos!$G188))&gt;0,MOD((ano_ref*12+7)-(YEAR(Planos!$G188)*12+MONTH(Planos!$G188)),MAX(1,IFERROR(INDEX(lst_frequencia_meses,MATCH(Planos!$E188,lst_frequencia,0)),0)))=0),"●","")))</f>
      </c>
      <c r="K189" s="43">
        <f>IF(NOT(Planos!$A188&lt;&gt;""),"",IF(COUNTIFS(Programação!$B$4:$B$503,Planos!$A188,Programação!$I$4:$I$503,"Concluído",Programação!$G$4:$G$503,"&gt;="&amp;DATE(ano_ref,8,1),Programação!$G$4:$G$503,"&lt;="&amp;EOMONTH(DATE(ano_ref,8,1),0))&gt;0,"✔",IF(AND(ISNUMBER(Planos!$G188),IFERROR(INDEX(lst_frequencia_meses,MATCH(Planos!$E188,lst_frequencia,0)),0)&gt;0,(ano_ref*12+8)-(YEAR(Planos!$G188)*12+MONTH(Planos!$G188))&gt;0,MOD((ano_ref*12+8)-(YEAR(Planos!$G188)*12+MONTH(Planos!$G188)),MAX(1,IFERROR(INDEX(lst_frequencia_meses,MATCH(Planos!$E188,lst_frequencia,0)),0)))=0),"●","")))</f>
      </c>
      <c r="L189" s="43">
        <f>IF(NOT(Planos!$A188&lt;&gt;""),"",IF(COUNTIFS(Programação!$B$4:$B$503,Planos!$A188,Programação!$I$4:$I$503,"Concluído",Programação!$G$4:$G$503,"&gt;="&amp;DATE(ano_ref,9,1),Programação!$G$4:$G$503,"&lt;="&amp;EOMONTH(DATE(ano_ref,9,1),0))&gt;0,"✔",IF(AND(ISNUMBER(Planos!$G188),IFERROR(INDEX(lst_frequencia_meses,MATCH(Planos!$E188,lst_frequencia,0)),0)&gt;0,(ano_ref*12+9)-(YEAR(Planos!$G188)*12+MONTH(Planos!$G188))&gt;0,MOD((ano_ref*12+9)-(YEAR(Planos!$G188)*12+MONTH(Planos!$G188)),MAX(1,IFERROR(INDEX(lst_frequencia_meses,MATCH(Planos!$E188,lst_frequencia,0)),0)))=0),"●","")))</f>
      </c>
      <c r="M189" s="43">
        <f>IF(NOT(Planos!$A188&lt;&gt;""),"",IF(COUNTIFS(Programação!$B$4:$B$503,Planos!$A188,Programação!$I$4:$I$503,"Concluído",Programação!$G$4:$G$503,"&gt;="&amp;DATE(ano_ref,10,1),Programação!$G$4:$G$503,"&lt;="&amp;EOMONTH(DATE(ano_ref,10,1),0))&gt;0,"✔",IF(AND(ISNUMBER(Planos!$G188),IFERROR(INDEX(lst_frequencia_meses,MATCH(Planos!$E188,lst_frequencia,0)),0)&gt;0,(ano_ref*12+10)-(YEAR(Planos!$G188)*12+MONTH(Planos!$G188))&gt;0,MOD((ano_ref*12+10)-(YEAR(Planos!$G188)*12+MONTH(Planos!$G188)),MAX(1,IFERROR(INDEX(lst_frequencia_meses,MATCH(Planos!$E188,lst_frequencia,0)),0)))=0),"●","")))</f>
      </c>
      <c r="N189" s="43">
        <f>IF(NOT(Planos!$A188&lt;&gt;""),"",IF(COUNTIFS(Programação!$B$4:$B$503,Planos!$A188,Programação!$I$4:$I$503,"Concluído",Programação!$G$4:$G$503,"&gt;="&amp;DATE(ano_ref,11,1),Programação!$G$4:$G$503,"&lt;="&amp;EOMONTH(DATE(ano_ref,11,1),0))&gt;0,"✔",IF(AND(ISNUMBER(Planos!$G188),IFERROR(INDEX(lst_frequencia_meses,MATCH(Planos!$E188,lst_frequencia,0)),0)&gt;0,(ano_ref*12+11)-(YEAR(Planos!$G188)*12+MONTH(Planos!$G188))&gt;0,MOD((ano_ref*12+11)-(YEAR(Planos!$G188)*12+MONTH(Planos!$G188)),MAX(1,IFERROR(INDEX(lst_frequencia_meses,MATCH(Planos!$E188,lst_frequencia,0)),0)))=0),"●","")))</f>
      </c>
      <c r="O189" s="43">
        <f>IF(NOT(Planos!$A188&lt;&gt;""),"",IF(COUNTIFS(Programação!$B$4:$B$503,Planos!$A188,Programação!$I$4:$I$503,"Concluído",Programação!$G$4:$G$503,"&gt;="&amp;DATE(ano_ref,12,1),Programação!$G$4:$G$503,"&lt;="&amp;EOMONTH(DATE(ano_ref,12,1),0))&gt;0,"✔",IF(AND(ISNUMBER(Planos!$G188),IFERROR(INDEX(lst_frequencia_meses,MATCH(Planos!$E188,lst_frequencia,0)),0)&gt;0,(ano_ref*12+12)-(YEAR(Planos!$G188)*12+MONTH(Planos!$G188))&gt;0,MOD((ano_ref*12+12)-(YEAR(Planos!$G188)*12+MONTH(Planos!$G188)),MAX(1,IFERROR(INDEX(lst_frequencia_meses,MATCH(Planos!$E188,lst_frequencia,0)),0)))=0),"●","")))</f>
      </c>
      <c r="P189" s="44">
        <f>IF(COUNTIF(D189:O189,"✔")+COUNTIF(D189:O189,"●")=0,"",COUNTIF(D189:O189,"✔")/(COUNTIF(D189:O189,"✔")+COUNTIF(D189:O189,"●")))</f>
      </c>
    </row>
    <row r="190" spans="1:16" x14ac:dyDescent="0.25">
      <c r="A190" s="43">
        <f>IF(Planos!$A189&lt;&gt;"",Planos!A189&amp;"","")</f>
      </c>
      <c r="B190" s="43">
        <f>IF(Planos!$A189&lt;&gt;"",Planos!B189&amp;"","")</f>
      </c>
      <c r="C190" s="24">
        <f>IF(Planos!$A189&lt;&gt;"",Planos!C189&amp;"","")</f>
      </c>
      <c r="D190" s="43">
        <f>IF(NOT(Planos!$A189&lt;&gt;""),"",IF(COUNTIFS(Programação!$B$4:$B$503,Planos!$A189,Programação!$I$4:$I$503,"Concluído",Programação!$G$4:$G$503,"&gt;="&amp;DATE(ano_ref,1,1),Programação!$G$4:$G$503,"&lt;="&amp;EOMONTH(DATE(ano_ref,1,1),0))&gt;0,"✔",IF(AND(ISNUMBER(Planos!$G189),IFERROR(INDEX(lst_frequencia_meses,MATCH(Planos!$E189,lst_frequencia,0)),0)&gt;0,(ano_ref*12+1)-(YEAR(Planos!$G189)*12+MONTH(Planos!$G189))&gt;0,MOD((ano_ref*12+1)-(YEAR(Planos!$G189)*12+MONTH(Planos!$G189)),MAX(1,IFERROR(INDEX(lst_frequencia_meses,MATCH(Planos!$E189,lst_frequencia,0)),0)))=0),"●","")))</f>
      </c>
      <c r="E190" s="43">
        <f>IF(NOT(Planos!$A189&lt;&gt;""),"",IF(COUNTIFS(Programação!$B$4:$B$503,Planos!$A189,Programação!$I$4:$I$503,"Concluído",Programação!$G$4:$G$503,"&gt;="&amp;DATE(ano_ref,2,1),Programação!$G$4:$G$503,"&lt;="&amp;EOMONTH(DATE(ano_ref,2,1),0))&gt;0,"✔",IF(AND(ISNUMBER(Planos!$G189),IFERROR(INDEX(lst_frequencia_meses,MATCH(Planos!$E189,lst_frequencia,0)),0)&gt;0,(ano_ref*12+2)-(YEAR(Planos!$G189)*12+MONTH(Planos!$G189))&gt;0,MOD((ano_ref*12+2)-(YEAR(Planos!$G189)*12+MONTH(Planos!$G189)),MAX(1,IFERROR(INDEX(lst_frequencia_meses,MATCH(Planos!$E189,lst_frequencia,0)),0)))=0),"●","")))</f>
      </c>
      <c r="F190" s="43">
        <f>IF(NOT(Planos!$A189&lt;&gt;""),"",IF(COUNTIFS(Programação!$B$4:$B$503,Planos!$A189,Programação!$I$4:$I$503,"Concluído",Programação!$G$4:$G$503,"&gt;="&amp;DATE(ano_ref,3,1),Programação!$G$4:$G$503,"&lt;="&amp;EOMONTH(DATE(ano_ref,3,1),0))&gt;0,"✔",IF(AND(ISNUMBER(Planos!$G189),IFERROR(INDEX(lst_frequencia_meses,MATCH(Planos!$E189,lst_frequencia,0)),0)&gt;0,(ano_ref*12+3)-(YEAR(Planos!$G189)*12+MONTH(Planos!$G189))&gt;0,MOD((ano_ref*12+3)-(YEAR(Planos!$G189)*12+MONTH(Planos!$G189)),MAX(1,IFERROR(INDEX(lst_frequencia_meses,MATCH(Planos!$E189,lst_frequencia,0)),0)))=0),"●","")))</f>
      </c>
      <c r="G190" s="43">
        <f>IF(NOT(Planos!$A189&lt;&gt;""),"",IF(COUNTIFS(Programação!$B$4:$B$503,Planos!$A189,Programação!$I$4:$I$503,"Concluído",Programação!$G$4:$G$503,"&gt;="&amp;DATE(ano_ref,4,1),Programação!$G$4:$G$503,"&lt;="&amp;EOMONTH(DATE(ano_ref,4,1),0))&gt;0,"✔",IF(AND(ISNUMBER(Planos!$G189),IFERROR(INDEX(lst_frequencia_meses,MATCH(Planos!$E189,lst_frequencia,0)),0)&gt;0,(ano_ref*12+4)-(YEAR(Planos!$G189)*12+MONTH(Planos!$G189))&gt;0,MOD((ano_ref*12+4)-(YEAR(Planos!$G189)*12+MONTH(Planos!$G189)),MAX(1,IFERROR(INDEX(lst_frequencia_meses,MATCH(Planos!$E189,lst_frequencia,0)),0)))=0),"●","")))</f>
      </c>
      <c r="H190" s="43">
        <f>IF(NOT(Planos!$A189&lt;&gt;""),"",IF(COUNTIFS(Programação!$B$4:$B$503,Planos!$A189,Programação!$I$4:$I$503,"Concluído",Programação!$G$4:$G$503,"&gt;="&amp;DATE(ano_ref,5,1),Programação!$G$4:$G$503,"&lt;="&amp;EOMONTH(DATE(ano_ref,5,1),0))&gt;0,"✔",IF(AND(ISNUMBER(Planos!$G189),IFERROR(INDEX(lst_frequencia_meses,MATCH(Planos!$E189,lst_frequencia,0)),0)&gt;0,(ano_ref*12+5)-(YEAR(Planos!$G189)*12+MONTH(Planos!$G189))&gt;0,MOD((ano_ref*12+5)-(YEAR(Planos!$G189)*12+MONTH(Planos!$G189)),MAX(1,IFERROR(INDEX(lst_frequencia_meses,MATCH(Planos!$E189,lst_frequencia,0)),0)))=0),"●","")))</f>
      </c>
      <c r="I190" s="43">
        <f>IF(NOT(Planos!$A189&lt;&gt;""),"",IF(COUNTIFS(Programação!$B$4:$B$503,Planos!$A189,Programação!$I$4:$I$503,"Concluído",Programação!$G$4:$G$503,"&gt;="&amp;DATE(ano_ref,6,1),Programação!$G$4:$G$503,"&lt;="&amp;EOMONTH(DATE(ano_ref,6,1),0))&gt;0,"✔",IF(AND(ISNUMBER(Planos!$G189),IFERROR(INDEX(lst_frequencia_meses,MATCH(Planos!$E189,lst_frequencia,0)),0)&gt;0,(ano_ref*12+6)-(YEAR(Planos!$G189)*12+MONTH(Planos!$G189))&gt;0,MOD((ano_ref*12+6)-(YEAR(Planos!$G189)*12+MONTH(Planos!$G189)),MAX(1,IFERROR(INDEX(lst_frequencia_meses,MATCH(Planos!$E189,lst_frequencia,0)),0)))=0),"●","")))</f>
      </c>
      <c r="J190" s="43">
        <f>IF(NOT(Planos!$A189&lt;&gt;""),"",IF(COUNTIFS(Programação!$B$4:$B$503,Planos!$A189,Programação!$I$4:$I$503,"Concluído",Programação!$G$4:$G$503,"&gt;="&amp;DATE(ano_ref,7,1),Programação!$G$4:$G$503,"&lt;="&amp;EOMONTH(DATE(ano_ref,7,1),0))&gt;0,"✔",IF(AND(ISNUMBER(Planos!$G189),IFERROR(INDEX(lst_frequencia_meses,MATCH(Planos!$E189,lst_frequencia,0)),0)&gt;0,(ano_ref*12+7)-(YEAR(Planos!$G189)*12+MONTH(Planos!$G189))&gt;0,MOD((ano_ref*12+7)-(YEAR(Planos!$G189)*12+MONTH(Planos!$G189)),MAX(1,IFERROR(INDEX(lst_frequencia_meses,MATCH(Planos!$E189,lst_frequencia,0)),0)))=0),"●","")))</f>
      </c>
      <c r="K190" s="43">
        <f>IF(NOT(Planos!$A189&lt;&gt;""),"",IF(COUNTIFS(Programação!$B$4:$B$503,Planos!$A189,Programação!$I$4:$I$503,"Concluído",Programação!$G$4:$G$503,"&gt;="&amp;DATE(ano_ref,8,1),Programação!$G$4:$G$503,"&lt;="&amp;EOMONTH(DATE(ano_ref,8,1),0))&gt;0,"✔",IF(AND(ISNUMBER(Planos!$G189),IFERROR(INDEX(lst_frequencia_meses,MATCH(Planos!$E189,lst_frequencia,0)),0)&gt;0,(ano_ref*12+8)-(YEAR(Planos!$G189)*12+MONTH(Planos!$G189))&gt;0,MOD((ano_ref*12+8)-(YEAR(Planos!$G189)*12+MONTH(Planos!$G189)),MAX(1,IFERROR(INDEX(lst_frequencia_meses,MATCH(Planos!$E189,lst_frequencia,0)),0)))=0),"●","")))</f>
      </c>
      <c r="L190" s="43">
        <f>IF(NOT(Planos!$A189&lt;&gt;""),"",IF(COUNTIFS(Programação!$B$4:$B$503,Planos!$A189,Programação!$I$4:$I$503,"Concluído",Programação!$G$4:$G$503,"&gt;="&amp;DATE(ano_ref,9,1),Programação!$G$4:$G$503,"&lt;="&amp;EOMONTH(DATE(ano_ref,9,1),0))&gt;0,"✔",IF(AND(ISNUMBER(Planos!$G189),IFERROR(INDEX(lst_frequencia_meses,MATCH(Planos!$E189,lst_frequencia,0)),0)&gt;0,(ano_ref*12+9)-(YEAR(Planos!$G189)*12+MONTH(Planos!$G189))&gt;0,MOD((ano_ref*12+9)-(YEAR(Planos!$G189)*12+MONTH(Planos!$G189)),MAX(1,IFERROR(INDEX(lst_frequencia_meses,MATCH(Planos!$E189,lst_frequencia,0)),0)))=0),"●","")))</f>
      </c>
      <c r="M190" s="43">
        <f>IF(NOT(Planos!$A189&lt;&gt;""),"",IF(COUNTIFS(Programação!$B$4:$B$503,Planos!$A189,Programação!$I$4:$I$503,"Concluído",Programação!$G$4:$G$503,"&gt;="&amp;DATE(ano_ref,10,1),Programação!$G$4:$G$503,"&lt;="&amp;EOMONTH(DATE(ano_ref,10,1),0))&gt;0,"✔",IF(AND(ISNUMBER(Planos!$G189),IFERROR(INDEX(lst_frequencia_meses,MATCH(Planos!$E189,lst_frequencia,0)),0)&gt;0,(ano_ref*12+10)-(YEAR(Planos!$G189)*12+MONTH(Planos!$G189))&gt;0,MOD((ano_ref*12+10)-(YEAR(Planos!$G189)*12+MONTH(Planos!$G189)),MAX(1,IFERROR(INDEX(lst_frequencia_meses,MATCH(Planos!$E189,lst_frequencia,0)),0)))=0),"●","")))</f>
      </c>
      <c r="N190" s="43">
        <f>IF(NOT(Planos!$A189&lt;&gt;""),"",IF(COUNTIFS(Programação!$B$4:$B$503,Planos!$A189,Programação!$I$4:$I$503,"Concluído",Programação!$G$4:$G$503,"&gt;="&amp;DATE(ano_ref,11,1),Programação!$G$4:$G$503,"&lt;="&amp;EOMONTH(DATE(ano_ref,11,1),0))&gt;0,"✔",IF(AND(ISNUMBER(Planos!$G189),IFERROR(INDEX(lst_frequencia_meses,MATCH(Planos!$E189,lst_frequencia,0)),0)&gt;0,(ano_ref*12+11)-(YEAR(Planos!$G189)*12+MONTH(Planos!$G189))&gt;0,MOD((ano_ref*12+11)-(YEAR(Planos!$G189)*12+MONTH(Planos!$G189)),MAX(1,IFERROR(INDEX(lst_frequencia_meses,MATCH(Planos!$E189,lst_frequencia,0)),0)))=0),"●","")))</f>
      </c>
      <c r="O190" s="43">
        <f>IF(NOT(Planos!$A189&lt;&gt;""),"",IF(COUNTIFS(Programação!$B$4:$B$503,Planos!$A189,Programação!$I$4:$I$503,"Concluído",Programação!$G$4:$G$503,"&gt;="&amp;DATE(ano_ref,12,1),Programação!$G$4:$G$503,"&lt;="&amp;EOMONTH(DATE(ano_ref,12,1),0))&gt;0,"✔",IF(AND(ISNUMBER(Planos!$G189),IFERROR(INDEX(lst_frequencia_meses,MATCH(Planos!$E189,lst_frequencia,0)),0)&gt;0,(ano_ref*12+12)-(YEAR(Planos!$G189)*12+MONTH(Planos!$G189))&gt;0,MOD((ano_ref*12+12)-(YEAR(Planos!$G189)*12+MONTH(Planos!$G189)),MAX(1,IFERROR(INDEX(lst_frequencia_meses,MATCH(Planos!$E189,lst_frequencia,0)),0)))=0),"●","")))</f>
      </c>
      <c r="P190" s="44">
        <f>IF(COUNTIF(D190:O190,"✔")+COUNTIF(D190:O190,"●")=0,"",COUNTIF(D190:O190,"✔")/(COUNTIF(D190:O190,"✔")+COUNTIF(D190:O190,"●")))</f>
      </c>
    </row>
    <row r="191" spans="1:16" x14ac:dyDescent="0.25">
      <c r="A191" s="43">
        <f>IF(Planos!$A190&lt;&gt;"",Planos!A190&amp;"","")</f>
      </c>
      <c r="B191" s="43">
        <f>IF(Planos!$A190&lt;&gt;"",Planos!B190&amp;"","")</f>
      </c>
      <c r="C191" s="24">
        <f>IF(Planos!$A190&lt;&gt;"",Planos!C190&amp;"","")</f>
      </c>
      <c r="D191" s="43">
        <f>IF(NOT(Planos!$A190&lt;&gt;""),"",IF(COUNTIFS(Programação!$B$4:$B$503,Planos!$A190,Programação!$I$4:$I$503,"Concluído",Programação!$G$4:$G$503,"&gt;="&amp;DATE(ano_ref,1,1),Programação!$G$4:$G$503,"&lt;="&amp;EOMONTH(DATE(ano_ref,1,1),0))&gt;0,"✔",IF(AND(ISNUMBER(Planos!$G190),IFERROR(INDEX(lst_frequencia_meses,MATCH(Planos!$E190,lst_frequencia,0)),0)&gt;0,(ano_ref*12+1)-(YEAR(Planos!$G190)*12+MONTH(Planos!$G190))&gt;0,MOD((ano_ref*12+1)-(YEAR(Planos!$G190)*12+MONTH(Planos!$G190)),MAX(1,IFERROR(INDEX(lst_frequencia_meses,MATCH(Planos!$E190,lst_frequencia,0)),0)))=0),"●","")))</f>
      </c>
      <c r="E191" s="43">
        <f>IF(NOT(Planos!$A190&lt;&gt;""),"",IF(COUNTIFS(Programação!$B$4:$B$503,Planos!$A190,Programação!$I$4:$I$503,"Concluído",Programação!$G$4:$G$503,"&gt;="&amp;DATE(ano_ref,2,1),Programação!$G$4:$G$503,"&lt;="&amp;EOMONTH(DATE(ano_ref,2,1),0))&gt;0,"✔",IF(AND(ISNUMBER(Planos!$G190),IFERROR(INDEX(lst_frequencia_meses,MATCH(Planos!$E190,lst_frequencia,0)),0)&gt;0,(ano_ref*12+2)-(YEAR(Planos!$G190)*12+MONTH(Planos!$G190))&gt;0,MOD((ano_ref*12+2)-(YEAR(Planos!$G190)*12+MONTH(Planos!$G190)),MAX(1,IFERROR(INDEX(lst_frequencia_meses,MATCH(Planos!$E190,lst_frequencia,0)),0)))=0),"●","")))</f>
      </c>
      <c r="F191" s="43">
        <f>IF(NOT(Planos!$A190&lt;&gt;""),"",IF(COUNTIFS(Programação!$B$4:$B$503,Planos!$A190,Programação!$I$4:$I$503,"Concluído",Programação!$G$4:$G$503,"&gt;="&amp;DATE(ano_ref,3,1),Programação!$G$4:$G$503,"&lt;="&amp;EOMONTH(DATE(ano_ref,3,1),0))&gt;0,"✔",IF(AND(ISNUMBER(Planos!$G190),IFERROR(INDEX(lst_frequencia_meses,MATCH(Planos!$E190,lst_frequencia,0)),0)&gt;0,(ano_ref*12+3)-(YEAR(Planos!$G190)*12+MONTH(Planos!$G190))&gt;0,MOD((ano_ref*12+3)-(YEAR(Planos!$G190)*12+MONTH(Planos!$G190)),MAX(1,IFERROR(INDEX(lst_frequencia_meses,MATCH(Planos!$E190,lst_frequencia,0)),0)))=0),"●","")))</f>
      </c>
      <c r="G191" s="43">
        <f>IF(NOT(Planos!$A190&lt;&gt;""),"",IF(COUNTIFS(Programação!$B$4:$B$503,Planos!$A190,Programação!$I$4:$I$503,"Concluído",Programação!$G$4:$G$503,"&gt;="&amp;DATE(ano_ref,4,1),Programação!$G$4:$G$503,"&lt;="&amp;EOMONTH(DATE(ano_ref,4,1),0))&gt;0,"✔",IF(AND(ISNUMBER(Planos!$G190),IFERROR(INDEX(lst_frequencia_meses,MATCH(Planos!$E190,lst_frequencia,0)),0)&gt;0,(ano_ref*12+4)-(YEAR(Planos!$G190)*12+MONTH(Planos!$G190))&gt;0,MOD((ano_ref*12+4)-(YEAR(Planos!$G190)*12+MONTH(Planos!$G190)),MAX(1,IFERROR(INDEX(lst_frequencia_meses,MATCH(Planos!$E190,lst_frequencia,0)),0)))=0),"●","")))</f>
      </c>
      <c r="H191" s="43">
        <f>IF(NOT(Planos!$A190&lt;&gt;""),"",IF(COUNTIFS(Programação!$B$4:$B$503,Planos!$A190,Programação!$I$4:$I$503,"Concluído",Programação!$G$4:$G$503,"&gt;="&amp;DATE(ano_ref,5,1),Programação!$G$4:$G$503,"&lt;="&amp;EOMONTH(DATE(ano_ref,5,1),0))&gt;0,"✔",IF(AND(ISNUMBER(Planos!$G190),IFERROR(INDEX(lst_frequencia_meses,MATCH(Planos!$E190,lst_frequencia,0)),0)&gt;0,(ano_ref*12+5)-(YEAR(Planos!$G190)*12+MONTH(Planos!$G190))&gt;0,MOD((ano_ref*12+5)-(YEAR(Planos!$G190)*12+MONTH(Planos!$G190)),MAX(1,IFERROR(INDEX(lst_frequencia_meses,MATCH(Planos!$E190,lst_frequencia,0)),0)))=0),"●","")))</f>
      </c>
      <c r="I191" s="43">
        <f>IF(NOT(Planos!$A190&lt;&gt;""),"",IF(COUNTIFS(Programação!$B$4:$B$503,Planos!$A190,Programação!$I$4:$I$503,"Concluído",Programação!$G$4:$G$503,"&gt;="&amp;DATE(ano_ref,6,1),Programação!$G$4:$G$503,"&lt;="&amp;EOMONTH(DATE(ano_ref,6,1),0))&gt;0,"✔",IF(AND(ISNUMBER(Planos!$G190),IFERROR(INDEX(lst_frequencia_meses,MATCH(Planos!$E190,lst_frequencia,0)),0)&gt;0,(ano_ref*12+6)-(YEAR(Planos!$G190)*12+MONTH(Planos!$G190))&gt;0,MOD((ano_ref*12+6)-(YEAR(Planos!$G190)*12+MONTH(Planos!$G190)),MAX(1,IFERROR(INDEX(lst_frequencia_meses,MATCH(Planos!$E190,lst_frequencia,0)),0)))=0),"●","")))</f>
      </c>
      <c r="J191" s="43">
        <f>IF(NOT(Planos!$A190&lt;&gt;""),"",IF(COUNTIFS(Programação!$B$4:$B$503,Planos!$A190,Programação!$I$4:$I$503,"Concluído",Programação!$G$4:$G$503,"&gt;="&amp;DATE(ano_ref,7,1),Programação!$G$4:$G$503,"&lt;="&amp;EOMONTH(DATE(ano_ref,7,1),0))&gt;0,"✔",IF(AND(ISNUMBER(Planos!$G190),IFERROR(INDEX(lst_frequencia_meses,MATCH(Planos!$E190,lst_frequencia,0)),0)&gt;0,(ano_ref*12+7)-(YEAR(Planos!$G190)*12+MONTH(Planos!$G190))&gt;0,MOD((ano_ref*12+7)-(YEAR(Planos!$G190)*12+MONTH(Planos!$G190)),MAX(1,IFERROR(INDEX(lst_frequencia_meses,MATCH(Planos!$E190,lst_frequencia,0)),0)))=0),"●","")))</f>
      </c>
      <c r="K191" s="43">
        <f>IF(NOT(Planos!$A190&lt;&gt;""),"",IF(COUNTIFS(Programação!$B$4:$B$503,Planos!$A190,Programação!$I$4:$I$503,"Concluído",Programação!$G$4:$G$503,"&gt;="&amp;DATE(ano_ref,8,1),Programação!$G$4:$G$503,"&lt;="&amp;EOMONTH(DATE(ano_ref,8,1),0))&gt;0,"✔",IF(AND(ISNUMBER(Planos!$G190),IFERROR(INDEX(lst_frequencia_meses,MATCH(Planos!$E190,lst_frequencia,0)),0)&gt;0,(ano_ref*12+8)-(YEAR(Planos!$G190)*12+MONTH(Planos!$G190))&gt;0,MOD((ano_ref*12+8)-(YEAR(Planos!$G190)*12+MONTH(Planos!$G190)),MAX(1,IFERROR(INDEX(lst_frequencia_meses,MATCH(Planos!$E190,lst_frequencia,0)),0)))=0),"●","")))</f>
      </c>
      <c r="L191" s="43">
        <f>IF(NOT(Planos!$A190&lt;&gt;""),"",IF(COUNTIFS(Programação!$B$4:$B$503,Planos!$A190,Programação!$I$4:$I$503,"Concluído",Programação!$G$4:$G$503,"&gt;="&amp;DATE(ano_ref,9,1),Programação!$G$4:$G$503,"&lt;="&amp;EOMONTH(DATE(ano_ref,9,1),0))&gt;0,"✔",IF(AND(ISNUMBER(Planos!$G190),IFERROR(INDEX(lst_frequencia_meses,MATCH(Planos!$E190,lst_frequencia,0)),0)&gt;0,(ano_ref*12+9)-(YEAR(Planos!$G190)*12+MONTH(Planos!$G190))&gt;0,MOD((ano_ref*12+9)-(YEAR(Planos!$G190)*12+MONTH(Planos!$G190)),MAX(1,IFERROR(INDEX(lst_frequencia_meses,MATCH(Planos!$E190,lst_frequencia,0)),0)))=0),"●","")))</f>
      </c>
      <c r="M191" s="43">
        <f>IF(NOT(Planos!$A190&lt;&gt;""),"",IF(COUNTIFS(Programação!$B$4:$B$503,Planos!$A190,Programação!$I$4:$I$503,"Concluído",Programação!$G$4:$G$503,"&gt;="&amp;DATE(ano_ref,10,1),Programação!$G$4:$G$503,"&lt;="&amp;EOMONTH(DATE(ano_ref,10,1),0))&gt;0,"✔",IF(AND(ISNUMBER(Planos!$G190),IFERROR(INDEX(lst_frequencia_meses,MATCH(Planos!$E190,lst_frequencia,0)),0)&gt;0,(ano_ref*12+10)-(YEAR(Planos!$G190)*12+MONTH(Planos!$G190))&gt;0,MOD((ano_ref*12+10)-(YEAR(Planos!$G190)*12+MONTH(Planos!$G190)),MAX(1,IFERROR(INDEX(lst_frequencia_meses,MATCH(Planos!$E190,lst_frequencia,0)),0)))=0),"●","")))</f>
      </c>
      <c r="N191" s="43">
        <f>IF(NOT(Planos!$A190&lt;&gt;""),"",IF(COUNTIFS(Programação!$B$4:$B$503,Planos!$A190,Programação!$I$4:$I$503,"Concluído",Programação!$G$4:$G$503,"&gt;="&amp;DATE(ano_ref,11,1),Programação!$G$4:$G$503,"&lt;="&amp;EOMONTH(DATE(ano_ref,11,1),0))&gt;0,"✔",IF(AND(ISNUMBER(Planos!$G190),IFERROR(INDEX(lst_frequencia_meses,MATCH(Planos!$E190,lst_frequencia,0)),0)&gt;0,(ano_ref*12+11)-(YEAR(Planos!$G190)*12+MONTH(Planos!$G190))&gt;0,MOD((ano_ref*12+11)-(YEAR(Planos!$G190)*12+MONTH(Planos!$G190)),MAX(1,IFERROR(INDEX(lst_frequencia_meses,MATCH(Planos!$E190,lst_frequencia,0)),0)))=0),"●","")))</f>
      </c>
      <c r="O191" s="43">
        <f>IF(NOT(Planos!$A190&lt;&gt;""),"",IF(COUNTIFS(Programação!$B$4:$B$503,Planos!$A190,Programação!$I$4:$I$503,"Concluído",Programação!$G$4:$G$503,"&gt;="&amp;DATE(ano_ref,12,1),Programação!$G$4:$G$503,"&lt;="&amp;EOMONTH(DATE(ano_ref,12,1),0))&gt;0,"✔",IF(AND(ISNUMBER(Planos!$G190),IFERROR(INDEX(lst_frequencia_meses,MATCH(Planos!$E190,lst_frequencia,0)),0)&gt;0,(ano_ref*12+12)-(YEAR(Planos!$G190)*12+MONTH(Planos!$G190))&gt;0,MOD((ano_ref*12+12)-(YEAR(Planos!$G190)*12+MONTH(Planos!$G190)),MAX(1,IFERROR(INDEX(lst_frequencia_meses,MATCH(Planos!$E190,lst_frequencia,0)),0)))=0),"●","")))</f>
      </c>
      <c r="P191" s="44">
        <f>IF(COUNTIF(D191:O191,"✔")+COUNTIF(D191:O191,"●")=0,"",COUNTIF(D191:O191,"✔")/(COUNTIF(D191:O191,"✔")+COUNTIF(D191:O191,"●")))</f>
      </c>
    </row>
    <row r="192" spans="1:16" x14ac:dyDescent="0.25">
      <c r="A192" s="43">
        <f>IF(Planos!$A191&lt;&gt;"",Planos!A191&amp;"","")</f>
      </c>
      <c r="B192" s="43">
        <f>IF(Planos!$A191&lt;&gt;"",Planos!B191&amp;"","")</f>
      </c>
      <c r="C192" s="24">
        <f>IF(Planos!$A191&lt;&gt;"",Planos!C191&amp;"","")</f>
      </c>
      <c r="D192" s="43">
        <f>IF(NOT(Planos!$A191&lt;&gt;""),"",IF(COUNTIFS(Programação!$B$4:$B$503,Planos!$A191,Programação!$I$4:$I$503,"Concluído",Programação!$G$4:$G$503,"&gt;="&amp;DATE(ano_ref,1,1),Programação!$G$4:$G$503,"&lt;="&amp;EOMONTH(DATE(ano_ref,1,1),0))&gt;0,"✔",IF(AND(ISNUMBER(Planos!$G191),IFERROR(INDEX(lst_frequencia_meses,MATCH(Planos!$E191,lst_frequencia,0)),0)&gt;0,(ano_ref*12+1)-(YEAR(Planos!$G191)*12+MONTH(Planos!$G191))&gt;0,MOD((ano_ref*12+1)-(YEAR(Planos!$G191)*12+MONTH(Planos!$G191)),MAX(1,IFERROR(INDEX(lst_frequencia_meses,MATCH(Planos!$E191,lst_frequencia,0)),0)))=0),"●","")))</f>
      </c>
      <c r="E192" s="43">
        <f>IF(NOT(Planos!$A191&lt;&gt;""),"",IF(COUNTIFS(Programação!$B$4:$B$503,Planos!$A191,Programação!$I$4:$I$503,"Concluído",Programação!$G$4:$G$503,"&gt;="&amp;DATE(ano_ref,2,1),Programação!$G$4:$G$503,"&lt;="&amp;EOMONTH(DATE(ano_ref,2,1),0))&gt;0,"✔",IF(AND(ISNUMBER(Planos!$G191),IFERROR(INDEX(lst_frequencia_meses,MATCH(Planos!$E191,lst_frequencia,0)),0)&gt;0,(ano_ref*12+2)-(YEAR(Planos!$G191)*12+MONTH(Planos!$G191))&gt;0,MOD((ano_ref*12+2)-(YEAR(Planos!$G191)*12+MONTH(Planos!$G191)),MAX(1,IFERROR(INDEX(lst_frequencia_meses,MATCH(Planos!$E191,lst_frequencia,0)),0)))=0),"●","")))</f>
      </c>
      <c r="F192" s="43">
        <f>IF(NOT(Planos!$A191&lt;&gt;""),"",IF(COUNTIFS(Programação!$B$4:$B$503,Planos!$A191,Programação!$I$4:$I$503,"Concluído",Programação!$G$4:$G$503,"&gt;="&amp;DATE(ano_ref,3,1),Programação!$G$4:$G$503,"&lt;="&amp;EOMONTH(DATE(ano_ref,3,1),0))&gt;0,"✔",IF(AND(ISNUMBER(Planos!$G191),IFERROR(INDEX(lst_frequencia_meses,MATCH(Planos!$E191,lst_frequencia,0)),0)&gt;0,(ano_ref*12+3)-(YEAR(Planos!$G191)*12+MONTH(Planos!$G191))&gt;0,MOD((ano_ref*12+3)-(YEAR(Planos!$G191)*12+MONTH(Planos!$G191)),MAX(1,IFERROR(INDEX(lst_frequencia_meses,MATCH(Planos!$E191,lst_frequencia,0)),0)))=0),"●","")))</f>
      </c>
      <c r="G192" s="43">
        <f>IF(NOT(Planos!$A191&lt;&gt;""),"",IF(COUNTIFS(Programação!$B$4:$B$503,Planos!$A191,Programação!$I$4:$I$503,"Concluído",Programação!$G$4:$G$503,"&gt;="&amp;DATE(ano_ref,4,1),Programação!$G$4:$G$503,"&lt;="&amp;EOMONTH(DATE(ano_ref,4,1),0))&gt;0,"✔",IF(AND(ISNUMBER(Planos!$G191),IFERROR(INDEX(lst_frequencia_meses,MATCH(Planos!$E191,lst_frequencia,0)),0)&gt;0,(ano_ref*12+4)-(YEAR(Planos!$G191)*12+MONTH(Planos!$G191))&gt;0,MOD((ano_ref*12+4)-(YEAR(Planos!$G191)*12+MONTH(Planos!$G191)),MAX(1,IFERROR(INDEX(lst_frequencia_meses,MATCH(Planos!$E191,lst_frequencia,0)),0)))=0),"●","")))</f>
      </c>
      <c r="H192" s="43">
        <f>IF(NOT(Planos!$A191&lt;&gt;""),"",IF(COUNTIFS(Programação!$B$4:$B$503,Planos!$A191,Programação!$I$4:$I$503,"Concluído",Programação!$G$4:$G$503,"&gt;="&amp;DATE(ano_ref,5,1),Programação!$G$4:$G$503,"&lt;="&amp;EOMONTH(DATE(ano_ref,5,1),0))&gt;0,"✔",IF(AND(ISNUMBER(Planos!$G191),IFERROR(INDEX(lst_frequencia_meses,MATCH(Planos!$E191,lst_frequencia,0)),0)&gt;0,(ano_ref*12+5)-(YEAR(Planos!$G191)*12+MONTH(Planos!$G191))&gt;0,MOD((ano_ref*12+5)-(YEAR(Planos!$G191)*12+MONTH(Planos!$G191)),MAX(1,IFERROR(INDEX(lst_frequencia_meses,MATCH(Planos!$E191,lst_frequencia,0)),0)))=0),"●","")))</f>
      </c>
      <c r="I192" s="43">
        <f>IF(NOT(Planos!$A191&lt;&gt;""),"",IF(COUNTIFS(Programação!$B$4:$B$503,Planos!$A191,Programação!$I$4:$I$503,"Concluído",Programação!$G$4:$G$503,"&gt;="&amp;DATE(ano_ref,6,1),Programação!$G$4:$G$503,"&lt;="&amp;EOMONTH(DATE(ano_ref,6,1),0))&gt;0,"✔",IF(AND(ISNUMBER(Planos!$G191),IFERROR(INDEX(lst_frequencia_meses,MATCH(Planos!$E191,lst_frequencia,0)),0)&gt;0,(ano_ref*12+6)-(YEAR(Planos!$G191)*12+MONTH(Planos!$G191))&gt;0,MOD((ano_ref*12+6)-(YEAR(Planos!$G191)*12+MONTH(Planos!$G191)),MAX(1,IFERROR(INDEX(lst_frequencia_meses,MATCH(Planos!$E191,lst_frequencia,0)),0)))=0),"●","")))</f>
      </c>
      <c r="J192" s="43">
        <f>IF(NOT(Planos!$A191&lt;&gt;""),"",IF(COUNTIFS(Programação!$B$4:$B$503,Planos!$A191,Programação!$I$4:$I$503,"Concluído",Programação!$G$4:$G$503,"&gt;="&amp;DATE(ano_ref,7,1),Programação!$G$4:$G$503,"&lt;="&amp;EOMONTH(DATE(ano_ref,7,1),0))&gt;0,"✔",IF(AND(ISNUMBER(Planos!$G191),IFERROR(INDEX(lst_frequencia_meses,MATCH(Planos!$E191,lst_frequencia,0)),0)&gt;0,(ano_ref*12+7)-(YEAR(Planos!$G191)*12+MONTH(Planos!$G191))&gt;0,MOD((ano_ref*12+7)-(YEAR(Planos!$G191)*12+MONTH(Planos!$G191)),MAX(1,IFERROR(INDEX(lst_frequencia_meses,MATCH(Planos!$E191,lst_frequencia,0)),0)))=0),"●","")))</f>
      </c>
      <c r="K192" s="43">
        <f>IF(NOT(Planos!$A191&lt;&gt;""),"",IF(COUNTIFS(Programação!$B$4:$B$503,Planos!$A191,Programação!$I$4:$I$503,"Concluído",Programação!$G$4:$G$503,"&gt;="&amp;DATE(ano_ref,8,1),Programação!$G$4:$G$503,"&lt;="&amp;EOMONTH(DATE(ano_ref,8,1),0))&gt;0,"✔",IF(AND(ISNUMBER(Planos!$G191),IFERROR(INDEX(lst_frequencia_meses,MATCH(Planos!$E191,lst_frequencia,0)),0)&gt;0,(ano_ref*12+8)-(YEAR(Planos!$G191)*12+MONTH(Planos!$G191))&gt;0,MOD((ano_ref*12+8)-(YEAR(Planos!$G191)*12+MONTH(Planos!$G191)),MAX(1,IFERROR(INDEX(lst_frequencia_meses,MATCH(Planos!$E191,lst_frequencia,0)),0)))=0),"●","")))</f>
      </c>
      <c r="L192" s="43">
        <f>IF(NOT(Planos!$A191&lt;&gt;""),"",IF(COUNTIFS(Programação!$B$4:$B$503,Planos!$A191,Programação!$I$4:$I$503,"Concluído",Programação!$G$4:$G$503,"&gt;="&amp;DATE(ano_ref,9,1),Programação!$G$4:$G$503,"&lt;="&amp;EOMONTH(DATE(ano_ref,9,1),0))&gt;0,"✔",IF(AND(ISNUMBER(Planos!$G191),IFERROR(INDEX(lst_frequencia_meses,MATCH(Planos!$E191,lst_frequencia,0)),0)&gt;0,(ano_ref*12+9)-(YEAR(Planos!$G191)*12+MONTH(Planos!$G191))&gt;0,MOD((ano_ref*12+9)-(YEAR(Planos!$G191)*12+MONTH(Planos!$G191)),MAX(1,IFERROR(INDEX(lst_frequencia_meses,MATCH(Planos!$E191,lst_frequencia,0)),0)))=0),"●","")))</f>
      </c>
      <c r="M192" s="43">
        <f>IF(NOT(Planos!$A191&lt;&gt;""),"",IF(COUNTIFS(Programação!$B$4:$B$503,Planos!$A191,Programação!$I$4:$I$503,"Concluído",Programação!$G$4:$G$503,"&gt;="&amp;DATE(ano_ref,10,1),Programação!$G$4:$G$503,"&lt;="&amp;EOMONTH(DATE(ano_ref,10,1),0))&gt;0,"✔",IF(AND(ISNUMBER(Planos!$G191),IFERROR(INDEX(lst_frequencia_meses,MATCH(Planos!$E191,lst_frequencia,0)),0)&gt;0,(ano_ref*12+10)-(YEAR(Planos!$G191)*12+MONTH(Planos!$G191))&gt;0,MOD((ano_ref*12+10)-(YEAR(Planos!$G191)*12+MONTH(Planos!$G191)),MAX(1,IFERROR(INDEX(lst_frequencia_meses,MATCH(Planos!$E191,lst_frequencia,0)),0)))=0),"●","")))</f>
      </c>
      <c r="N192" s="43">
        <f>IF(NOT(Planos!$A191&lt;&gt;""),"",IF(COUNTIFS(Programação!$B$4:$B$503,Planos!$A191,Programação!$I$4:$I$503,"Concluído",Programação!$G$4:$G$503,"&gt;="&amp;DATE(ano_ref,11,1),Programação!$G$4:$G$503,"&lt;="&amp;EOMONTH(DATE(ano_ref,11,1),0))&gt;0,"✔",IF(AND(ISNUMBER(Planos!$G191),IFERROR(INDEX(lst_frequencia_meses,MATCH(Planos!$E191,lst_frequencia,0)),0)&gt;0,(ano_ref*12+11)-(YEAR(Planos!$G191)*12+MONTH(Planos!$G191))&gt;0,MOD((ano_ref*12+11)-(YEAR(Planos!$G191)*12+MONTH(Planos!$G191)),MAX(1,IFERROR(INDEX(lst_frequencia_meses,MATCH(Planos!$E191,lst_frequencia,0)),0)))=0),"●","")))</f>
      </c>
      <c r="O192" s="43">
        <f>IF(NOT(Planos!$A191&lt;&gt;""),"",IF(COUNTIFS(Programação!$B$4:$B$503,Planos!$A191,Programação!$I$4:$I$503,"Concluído",Programação!$G$4:$G$503,"&gt;="&amp;DATE(ano_ref,12,1),Programação!$G$4:$G$503,"&lt;="&amp;EOMONTH(DATE(ano_ref,12,1),0))&gt;0,"✔",IF(AND(ISNUMBER(Planos!$G191),IFERROR(INDEX(lst_frequencia_meses,MATCH(Planos!$E191,lst_frequencia,0)),0)&gt;0,(ano_ref*12+12)-(YEAR(Planos!$G191)*12+MONTH(Planos!$G191))&gt;0,MOD((ano_ref*12+12)-(YEAR(Planos!$G191)*12+MONTH(Planos!$G191)),MAX(1,IFERROR(INDEX(lst_frequencia_meses,MATCH(Planos!$E191,lst_frequencia,0)),0)))=0),"●","")))</f>
      </c>
      <c r="P192" s="44">
        <f>IF(COUNTIF(D192:O192,"✔")+COUNTIF(D192:O192,"●")=0,"",COUNTIF(D192:O192,"✔")/(COUNTIF(D192:O192,"✔")+COUNTIF(D192:O192,"●")))</f>
      </c>
    </row>
    <row r="193" spans="1:16" x14ac:dyDescent="0.25">
      <c r="A193" s="43">
        <f>IF(Planos!$A192&lt;&gt;"",Planos!A192&amp;"","")</f>
      </c>
      <c r="B193" s="43">
        <f>IF(Planos!$A192&lt;&gt;"",Planos!B192&amp;"","")</f>
      </c>
      <c r="C193" s="24">
        <f>IF(Planos!$A192&lt;&gt;"",Planos!C192&amp;"","")</f>
      </c>
      <c r="D193" s="43">
        <f>IF(NOT(Planos!$A192&lt;&gt;""),"",IF(COUNTIFS(Programação!$B$4:$B$503,Planos!$A192,Programação!$I$4:$I$503,"Concluído",Programação!$G$4:$G$503,"&gt;="&amp;DATE(ano_ref,1,1),Programação!$G$4:$G$503,"&lt;="&amp;EOMONTH(DATE(ano_ref,1,1),0))&gt;0,"✔",IF(AND(ISNUMBER(Planos!$G192),IFERROR(INDEX(lst_frequencia_meses,MATCH(Planos!$E192,lst_frequencia,0)),0)&gt;0,(ano_ref*12+1)-(YEAR(Planos!$G192)*12+MONTH(Planos!$G192))&gt;0,MOD((ano_ref*12+1)-(YEAR(Planos!$G192)*12+MONTH(Planos!$G192)),MAX(1,IFERROR(INDEX(lst_frequencia_meses,MATCH(Planos!$E192,lst_frequencia,0)),0)))=0),"●","")))</f>
      </c>
      <c r="E193" s="43">
        <f>IF(NOT(Planos!$A192&lt;&gt;""),"",IF(COUNTIFS(Programação!$B$4:$B$503,Planos!$A192,Programação!$I$4:$I$503,"Concluído",Programação!$G$4:$G$503,"&gt;="&amp;DATE(ano_ref,2,1),Programação!$G$4:$G$503,"&lt;="&amp;EOMONTH(DATE(ano_ref,2,1),0))&gt;0,"✔",IF(AND(ISNUMBER(Planos!$G192),IFERROR(INDEX(lst_frequencia_meses,MATCH(Planos!$E192,lst_frequencia,0)),0)&gt;0,(ano_ref*12+2)-(YEAR(Planos!$G192)*12+MONTH(Planos!$G192))&gt;0,MOD((ano_ref*12+2)-(YEAR(Planos!$G192)*12+MONTH(Planos!$G192)),MAX(1,IFERROR(INDEX(lst_frequencia_meses,MATCH(Planos!$E192,lst_frequencia,0)),0)))=0),"●","")))</f>
      </c>
      <c r="F193" s="43">
        <f>IF(NOT(Planos!$A192&lt;&gt;""),"",IF(COUNTIFS(Programação!$B$4:$B$503,Planos!$A192,Programação!$I$4:$I$503,"Concluído",Programação!$G$4:$G$503,"&gt;="&amp;DATE(ano_ref,3,1),Programação!$G$4:$G$503,"&lt;="&amp;EOMONTH(DATE(ano_ref,3,1),0))&gt;0,"✔",IF(AND(ISNUMBER(Planos!$G192),IFERROR(INDEX(lst_frequencia_meses,MATCH(Planos!$E192,lst_frequencia,0)),0)&gt;0,(ano_ref*12+3)-(YEAR(Planos!$G192)*12+MONTH(Planos!$G192))&gt;0,MOD((ano_ref*12+3)-(YEAR(Planos!$G192)*12+MONTH(Planos!$G192)),MAX(1,IFERROR(INDEX(lst_frequencia_meses,MATCH(Planos!$E192,lst_frequencia,0)),0)))=0),"●","")))</f>
      </c>
      <c r="G193" s="43">
        <f>IF(NOT(Planos!$A192&lt;&gt;""),"",IF(COUNTIFS(Programação!$B$4:$B$503,Planos!$A192,Programação!$I$4:$I$503,"Concluído",Programação!$G$4:$G$503,"&gt;="&amp;DATE(ano_ref,4,1),Programação!$G$4:$G$503,"&lt;="&amp;EOMONTH(DATE(ano_ref,4,1),0))&gt;0,"✔",IF(AND(ISNUMBER(Planos!$G192),IFERROR(INDEX(lst_frequencia_meses,MATCH(Planos!$E192,lst_frequencia,0)),0)&gt;0,(ano_ref*12+4)-(YEAR(Planos!$G192)*12+MONTH(Planos!$G192))&gt;0,MOD((ano_ref*12+4)-(YEAR(Planos!$G192)*12+MONTH(Planos!$G192)),MAX(1,IFERROR(INDEX(lst_frequencia_meses,MATCH(Planos!$E192,lst_frequencia,0)),0)))=0),"●","")))</f>
      </c>
      <c r="H193" s="43">
        <f>IF(NOT(Planos!$A192&lt;&gt;""),"",IF(COUNTIFS(Programação!$B$4:$B$503,Planos!$A192,Programação!$I$4:$I$503,"Concluído",Programação!$G$4:$G$503,"&gt;="&amp;DATE(ano_ref,5,1),Programação!$G$4:$G$503,"&lt;="&amp;EOMONTH(DATE(ano_ref,5,1),0))&gt;0,"✔",IF(AND(ISNUMBER(Planos!$G192),IFERROR(INDEX(lst_frequencia_meses,MATCH(Planos!$E192,lst_frequencia,0)),0)&gt;0,(ano_ref*12+5)-(YEAR(Planos!$G192)*12+MONTH(Planos!$G192))&gt;0,MOD((ano_ref*12+5)-(YEAR(Planos!$G192)*12+MONTH(Planos!$G192)),MAX(1,IFERROR(INDEX(lst_frequencia_meses,MATCH(Planos!$E192,lst_frequencia,0)),0)))=0),"●","")))</f>
      </c>
      <c r="I193" s="43">
        <f>IF(NOT(Planos!$A192&lt;&gt;""),"",IF(COUNTIFS(Programação!$B$4:$B$503,Planos!$A192,Programação!$I$4:$I$503,"Concluído",Programação!$G$4:$G$503,"&gt;="&amp;DATE(ano_ref,6,1),Programação!$G$4:$G$503,"&lt;="&amp;EOMONTH(DATE(ano_ref,6,1),0))&gt;0,"✔",IF(AND(ISNUMBER(Planos!$G192),IFERROR(INDEX(lst_frequencia_meses,MATCH(Planos!$E192,lst_frequencia,0)),0)&gt;0,(ano_ref*12+6)-(YEAR(Planos!$G192)*12+MONTH(Planos!$G192))&gt;0,MOD((ano_ref*12+6)-(YEAR(Planos!$G192)*12+MONTH(Planos!$G192)),MAX(1,IFERROR(INDEX(lst_frequencia_meses,MATCH(Planos!$E192,lst_frequencia,0)),0)))=0),"●","")))</f>
      </c>
      <c r="J193" s="43">
        <f>IF(NOT(Planos!$A192&lt;&gt;""),"",IF(COUNTIFS(Programação!$B$4:$B$503,Planos!$A192,Programação!$I$4:$I$503,"Concluído",Programação!$G$4:$G$503,"&gt;="&amp;DATE(ano_ref,7,1),Programação!$G$4:$G$503,"&lt;="&amp;EOMONTH(DATE(ano_ref,7,1),0))&gt;0,"✔",IF(AND(ISNUMBER(Planos!$G192),IFERROR(INDEX(lst_frequencia_meses,MATCH(Planos!$E192,lst_frequencia,0)),0)&gt;0,(ano_ref*12+7)-(YEAR(Planos!$G192)*12+MONTH(Planos!$G192))&gt;0,MOD((ano_ref*12+7)-(YEAR(Planos!$G192)*12+MONTH(Planos!$G192)),MAX(1,IFERROR(INDEX(lst_frequencia_meses,MATCH(Planos!$E192,lst_frequencia,0)),0)))=0),"●","")))</f>
      </c>
      <c r="K193" s="43">
        <f>IF(NOT(Planos!$A192&lt;&gt;""),"",IF(COUNTIFS(Programação!$B$4:$B$503,Planos!$A192,Programação!$I$4:$I$503,"Concluído",Programação!$G$4:$G$503,"&gt;="&amp;DATE(ano_ref,8,1),Programação!$G$4:$G$503,"&lt;="&amp;EOMONTH(DATE(ano_ref,8,1),0))&gt;0,"✔",IF(AND(ISNUMBER(Planos!$G192),IFERROR(INDEX(lst_frequencia_meses,MATCH(Planos!$E192,lst_frequencia,0)),0)&gt;0,(ano_ref*12+8)-(YEAR(Planos!$G192)*12+MONTH(Planos!$G192))&gt;0,MOD((ano_ref*12+8)-(YEAR(Planos!$G192)*12+MONTH(Planos!$G192)),MAX(1,IFERROR(INDEX(lst_frequencia_meses,MATCH(Planos!$E192,lst_frequencia,0)),0)))=0),"●","")))</f>
      </c>
      <c r="L193" s="43">
        <f>IF(NOT(Planos!$A192&lt;&gt;""),"",IF(COUNTIFS(Programação!$B$4:$B$503,Planos!$A192,Programação!$I$4:$I$503,"Concluído",Programação!$G$4:$G$503,"&gt;="&amp;DATE(ano_ref,9,1),Programação!$G$4:$G$503,"&lt;="&amp;EOMONTH(DATE(ano_ref,9,1),0))&gt;0,"✔",IF(AND(ISNUMBER(Planos!$G192),IFERROR(INDEX(lst_frequencia_meses,MATCH(Planos!$E192,lst_frequencia,0)),0)&gt;0,(ano_ref*12+9)-(YEAR(Planos!$G192)*12+MONTH(Planos!$G192))&gt;0,MOD((ano_ref*12+9)-(YEAR(Planos!$G192)*12+MONTH(Planos!$G192)),MAX(1,IFERROR(INDEX(lst_frequencia_meses,MATCH(Planos!$E192,lst_frequencia,0)),0)))=0),"●","")))</f>
      </c>
      <c r="M193" s="43">
        <f>IF(NOT(Planos!$A192&lt;&gt;""),"",IF(COUNTIFS(Programação!$B$4:$B$503,Planos!$A192,Programação!$I$4:$I$503,"Concluído",Programação!$G$4:$G$503,"&gt;="&amp;DATE(ano_ref,10,1),Programação!$G$4:$G$503,"&lt;="&amp;EOMONTH(DATE(ano_ref,10,1),0))&gt;0,"✔",IF(AND(ISNUMBER(Planos!$G192),IFERROR(INDEX(lst_frequencia_meses,MATCH(Planos!$E192,lst_frequencia,0)),0)&gt;0,(ano_ref*12+10)-(YEAR(Planos!$G192)*12+MONTH(Planos!$G192))&gt;0,MOD((ano_ref*12+10)-(YEAR(Planos!$G192)*12+MONTH(Planos!$G192)),MAX(1,IFERROR(INDEX(lst_frequencia_meses,MATCH(Planos!$E192,lst_frequencia,0)),0)))=0),"●","")))</f>
      </c>
      <c r="N193" s="43">
        <f>IF(NOT(Planos!$A192&lt;&gt;""),"",IF(COUNTIFS(Programação!$B$4:$B$503,Planos!$A192,Programação!$I$4:$I$503,"Concluído",Programação!$G$4:$G$503,"&gt;="&amp;DATE(ano_ref,11,1),Programação!$G$4:$G$503,"&lt;="&amp;EOMONTH(DATE(ano_ref,11,1),0))&gt;0,"✔",IF(AND(ISNUMBER(Planos!$G192),IFERROR(INDEX(lst_frequencia_meses,MATCH(Planos!$E192,lst_frequencia,0)),0)&gt;0,(ano_ref*12+11)-(YEAR(Planos!$G192)*12+MONTH(Planos!$G192))&gt;0,MOD((ano_ref*12+11)-(YEAR(Planos!$G192)*12+MONTH(Planos!$G192)),MAX(1,IFERROR(INDEX(lst_frequencia_meses,MATCH(Planos!$E192,lst_frequencia,0)),0)))=0),"●","")))</f>
      </c>
      <c r="O193" s="43">
        <f>IF(NOT(Planos!$A192&lt;&gt;""),"",IF(COUNTIFS(Programação!$B$4:$B$503,Planos!$A192,Programação!$I$4:$I$503,"Concluído",Programação!$G$4:$G$503,"&gt;="&amp;DATE(ano_ref,12,1),Programação!$G$4:$G$503,"&lt;="&amp;EOMONTH(DATE(ano_ref,12,1),0))&gt;0,"✔",IF(AND(ISNUMBER(Planos!$G192),IFERROR(INDEX(lst_frequencia_meses,MATCH(Planos!$E192,lst_frequencia,0)),0)&gt;0,(ano_ref*12+12)-(YEAR(Planos!$G192)*12+MONTH(Planos!$G192))&gt;0,MOD((ano_ref*12+12)-(YEAR(Planos!$G192)*12+MONTH(Planos!$G192)),MAX(1,IFERROR(INDEX(lst_frequencia_meses,MATCH(Planos!$E192,lst_frequencia,0)),0)))=0),"●","")))</f>
      </c>
      <c r="P193" s="44">
        <f>IF(COUNTIF(D193:O193,"✔")+COUNTIF(D193:O193,"●")=0,"",COUNTIF(D193:O193,"✔")/(COUNTIF(D193:O193,"✔")+COUNTIF(D193:O193,"●")))</f>
      </c>
    </row>
    <row r="194" spans="1:16" x14ac:dyDescent="0.25">
      <c r="A194" s="43">
        <f>IF(Planos!$A193&lt;&gt;"",Planos!A193&amp;"","")</f>
      </c>
      <c r="B194" s="43">
        <f>IF(Planos!$A193&lt;&gt;"",Planos!B193&amp;"","")</f>
      </c>
      <c r="C194" s="24">
        <f>IF(Planos!$A193&lt;&gt;"",Planos!C193&amp;"","")</f>
      </c>
      <c r="D194" s="43">
        <f>IF(NOT(Planos!$A193&lt;&gt;""),"",IF(COUNTIFS(Programação!$B$4:$B$503,Planos!$A193,Programação!$I$4:$I$503,"Concluído",Programação!$G$4:$G$503,"&gt;="&amp;DATE(ano_ref,1,1),Programação!$G$4:$G$503,"&lt;="&amp;EOMONTH(DATE(ano_ref,1,1),0))&gt;0,"✔",IF(AND(ISNUMBER(Planos!$G193),IFERROR(INDEX(lst_frequencia_meses,MATCH(Planos!$E193,lst_frequencia,0)),0)&gt;0,(ano_ref*12+1)-(YEAR(Planos!$G193)*12+MONTH(Planos!$G193))&gt;0,MOD((ano_ref*12+1)-(YEAR(Planos!$G193)*12+MONTH(Planos!$G193)),MAX(1,IFERROR(INDEX(lst_frequencia_meses,MATCH(Planos!$E193,lst_frequencia,0)),0)))=0),"●","")))</f>
      </c>
      <c r="E194" s="43">
        <f>IF(NOT(Planos!$A193&lt;&gt;""),"",IF(COUNTIFS(Programação!$B$4:$B$503,Planos!$A193,Programação!$I$4:$I$503,"Concluído",Programação!$G$4:$G$503,"&gt;="&amp;DATE(ano_ref,2,1),Programação!$G$4:$G$503,"&lt;="&amp;EOMONTH(DATE(ano_ref,2,1),0))&gt;0,"✔",IF(AND(ISNUMBER(Planos!$G193),IFERROR(INDEX(lst_frequencia_meses,MATCH(Planos!$E193,lst_frequencia,0)),0)&gt;0,(ano_ref*12+2)-(YEAR(Planos!$G193)*12+MONTH(Planos!$G193))&gt;0,MOD((ano_ref*12+2)-(YEAR(Planos!$G193)*12+MONTH(Planos!$G193)),MAX(1,IFERROR(INDEX(lst_frequencia_meses,MATCH(Planos!$E193,lst_frequencia,0)),0)))=0),"●","")))</f>
      </c>
      <c r="F194" s="43">
        <f>IF(NOT(Planos!$A193&lt;&gt;""),"",IF(COUNTIFS(Programação!$B$4:$B$503,Planos!$A193,Programação!$I$4:$I$503,"Concluído",Programação!$G$4:$G$503,"&gt;="&amp;DATE(ano_ref,3,1),Programação!$G$4:$G$503,"&lt;="&amp;EOMONTH(DATE(ano_ref,3,1),0))&gt;0,"✔",IF(AND(ISNUMBER(Planos!$G193),IFERROR(INDEX(lst_frequencia_meses,MATCH(Planos!$E193,lst_frequencia,0)),0)&gt;0,(ano_ref*12+3)-(YEAR(Planos!$G193)*12+MONTH(Planos!$G193))&gt;0,MOD((ano_ref*12+3)-(YEAR(Planos!$G193)*12+MONTH(Planos!$G193)),MAX(1,IFERROR(INDEX(lst_frequencia_meses,MATCH(Planos!$E193,lst_frequencia,0)),0)))=0),"●","")))</f>
      </c>
      <c r="G194" s="43">
        <f>IF(NOT(Planos!$A193&lt;&gt;""),"",IF(COUNTIFS(Programação!$B$4:$B$503,Planos!$A193,Programação!$I$4:$I$503,"Concluído",Programação!$G$4:$G$503,"&gt;="&amp;DATE(ano_ref,4,1),Programação!$G$4:$G$503,"&lt;="&amp;EOMONTH(DATE(ano_ref,4,1),0))&gt;0,"✔",IF(AND(ISNUMBER(Planos!$G193),IFERROR(INDEX(lst_frequencia_meses,MATCH(Planos!$E193,lst_frequencia,0)),0)&gt;0,(ano_ref*12+4)-(YEAR(Planos!$G193)*12+MONTH(Planos!$G193))&gt;0,MOD((ano_ref*12+4)-(YEAR(Planos!$G193)*12+MONTH(Planos!$G193)),MAX(1,IFERROR(INDEX(lst_frequencia_meses,MATCH(Planos!$E193,lst_frequencia,0)),0)))=0),"●","")))</f>
      </c>
      <c r="H194" s="43">
        <f>IF(NOT(Planos!$A193&lt;&gt;""),"",IF(COUNTIFS(Programação!$B$4:$B$503,Planos!$A193,Programação!$I$4:$I$503,"Concluído",Programação!$G$4:$G$503,"&gt;="&amp;DATE(ano_ref,5,1),Programação!$G$4:$G$503,"&lt;="&amp;EOMONTH(DATE(ano_ref,5,1),0))&gt;0,"✔",IF(AND(ISNUMBER(Planos!$G193),IFERROR(INDEX(lst_frequencia_meses,MATCH(Planos!$E193,lst_frequencia,0)),0)&gt;0,(ano_ref*12+5)-(YEAR(Planos!$G193)*12+MONTH(Planos!$G193))&gt;0,MOD((ano_ref*12+5)-(YEAR(Planos!$G193)*12+MONTH(Planos!$G193)),MAX(1,IFERROR(INDEX(lst_frequencia_meses,MATCH(Planos!$E193,lst_frequencia,0)),0)))=0),"●","")))</f>
      </c>
      <c r="I194" s="43">
        <f>IF(NOT(Planos!$A193&lt;&gt;""),"",IF(COUNTIFS(Programação!$B$4:$B$503,Planos!$A193,Programação!$I$4:$I$503,"Concluído",Programação!$G$4:$G$503,"&gt;="&amp;DATE(ano_ref,6,1),Programação!$G$4:$G$503,"&lt;="&amp;EOMONTH(DATE(ano_ref,6,1),0))&gt;0,"✔",IF(AND(ISNUMBER(Planos!$G193),IFERROR(INDEX(lst_frequencia_meses,MATCH(Planos!$E193,lst_frequencia,0)),0)&gt;0,(ano_ref*12+6)-(YEAR(Planos!$G193)*12+MONTH(Planos!$G193))&gt;0,MOD((ano_ref*12+6)-(YEAR(Planos!$G193)*12+MONTH(Planos!$G193)),MAX(1,IFERROR(INDEX(lst_frequencia_meses,MATCH(Planos!$E193,lst_frequencia,0)),0)))=0),"●","")))</f>
      </c>
      <c r="J194" s="43">
        <f>IF(NOT(Planos!$A193&lt;&gt;""),"",IF(COUNTIFS(Programação!$B$4:$B$503,Planos!$A193,Programação!$I$4:$I$503,"Concluído",Programação!$G$4:$G$503,"&gt;="&amp;DATE(ano_ref,7,1),Programação!$G$4:$G$503,"&lt;="&amp;EOMONTH(DATE(ano_ref,7,1),0))&gt;0,"✔",IF(AND(ISNUMBER(Planos!$G193),IFERROR(INDEX(lst_frequencia_meses,MATCH(Planos!$E193,lst_frequencia,0)),0)&gt;0,(ano_ref*12+7)-(YEAR(Planos!$G193)*12+MONTH(Planos!$G193))&gt;0,MOD((ano_ref*12+7)-(YEAR(Planos!$G193)*12+MONTH(Planos!$G193)),MAX(1,IFERROR(INDEX(lst_frequencia_meses,MATCH(Planos!$E193,lst_frequencia,0)),0)))=0),"●","")))</f>
      </c>
      <c r="K194" s="43">
        <f>IF(NOT(Planos!$A193&lt;&gt;""),"",IF(COUNTIFS(Programação!$B$4:$B$503,Planos!$A193,Programação!$I$4:$I$503,"Concluído",Programação!$G$4:$G$503,"&gt;="&amp;DATE(ano_ref,8,1),Programação!$G$4:$G$503,"&lt;="&amp;EOMONTH(DATE(ano_ref,8,1),0))&gt;0,"✔",IF(AND(ISNUMBER(Planos!$G193),IFERROR(INDEX(lst_frequencia_meses,MATCH(Planos!$E193,lst_frequencia,0)),0)&gt;0,(ano_ref*12+8)-(YEAR(Planos!$G193)*12+MONTH(Planos!$G193))&gt;0,MOD((ano_ref*12+8)-(YEAR(Planos!$G193)*12+MONTH(Planos!$G193)),MAX(1,IFERROR(INDEX(lst_frequencia_meses,MATCH(Planos!$E193,lst_frequencia,0)),0)))=0),"●","")))</f>
      </c>
      <c r="L194" s="43">
        <f>IF(NOT(Planos!$A193&lt;&gt;""),"",IF(COUNTIFS(Programação!$B$4:$B$503,Planos!$A193,Programação!$I$4:$I$503,"Concluído",Programação!$G$4:$G$503,"&gt;="&amp;DATE(ano_ref,9,1),Programação!$G$4:$G$503,"&lt;="&amp;EOMONTH(DATE(ano_ref,9,1),0))&gt;0,"✔",IF(AND(ISNUMBER(Planos!$G193),IFERROR(INDEX(lst_frequencia_meses,MATCH(Planos!$E193,lst_frequencia,0)),0)&gt;0,(ano_ref*12+9)-(YEAR(Planos!$G193)*12+MONTH(Planos!$G193))&gt;0,MOD((ano_ref*12+9)-(YEAR(Planos!$G193)*12+MONTH(Planos!$G193)),MAX(1,IFERROR(INDEX(lst_frequencia_meses,MATCH(Planos!$E193,lst_frequencia,0)),0)))=0),"●","")))</f>
      </c>
      <c r="M194" s="43">
        <f>IF(NOT(Planos!$A193&lt;&gt;""),"",IF(COUNTIFS(Programação!$B$4:$B$503,Planos!$A193,Programação!$I$4:$I$503,"Concluído",Programação!$G$4:$G$503,"&gt;="&amp;DATE(ano_ref,10,1),Programação!$G$4:$G$503,"&lt;="&amp;EOMONTH(DATE(ano_ref,10,1),0))&gt;0,"✔",IF(AND(ISNUMBER(Planos!$G193),IFERROR(INDEX(lst_frequencia_meses,MATCH(Planos!$E193,lst_frequencia,0)),0)&gt;0,(ano_ref*12+10)-(YEAR(Planos!$G193)*12+MONTH(Planos!$G193))&gt;0,MOD((ano_ref*12+10)-(YEAR(Planos!$G193)*12+MONTH(Planos!$G193)),MAX(1,IFERROR(INDEX(lst_frequencia_meses,MATCH(Planos!$E193,lst_frequencia,0)),0)))=0),"●","")))</f>
      </c>
      <c r="N194" s="43">
        <f>IF(NOT(Planos!$A193&lt;&gt;""),"",IF(COUNTIFS(Programação!$B$4:$B$503,Planos!$A193,Programação!$I$4:$I$503,"Concluído",Programação!$G$4:$G$503,"&gt;="&amp;DATE(ano_ref,11,1),Programação!$G$4:$G$503,"&lt;="&amp;EOMONTH(DATE(ano_ref,11,1),0))&gt;0,"✔",IF(AND(ISNUMBER(Planos!$G193),IFERROR(INDEX(lst_frequencia_meses,MATCH(Planos!$E193,lst_frequencia,0)),0)&gt;0,(ano_ref*12+11)-(YEAR(Planos!$G193)*12+MONTH(Planos!$G193))&gt;0,MOD((ano_ref*12+11)-(YEAR(Planos!$G193)*12+MONTH(Planos!$G193)),MAX(1,IFERROR(INDEX(lst_frequencia_meses,MATCH(Planos!$E193,lst_frequencia,0)),0)))=0),"●","")))</f>
      </c>
      <c r="O194" s="43">
        <f>IF(NOT(Planos!$A193&lt;&gt;""),"",IF(COUNTIFS(Programação!$B$4:$B$503,Planos!$A193,Programação!$I$4:$I$503,"Concluído",Programação!$G$4:$G$503,"&gt;="&amp;DATE(ano_ref,12,1),Programação!$G$4:$G$503,"&lt;="&amp;EOMONTH(DATE(ano_ref,12,1),0))&gt;0,"✔",IF(AND(ISNUMBER(Planos!$G193),IFERROR(INDEX(lst_frequencia_meses,MATCH(Planos!$E193,lst_frequencia,0)),0)&gt;0,(ano_ref*12+12)-(YEAR(Planos!$G193)*12+MONTH(Planos!$G193))&gt;0,MOD((ano_ref*12+12)-(YEAR(Planos!$G193)*12+MONTH(Planos!$G193)),MAX(1,IFERROR(INDEX(lst_frequencia_meses,MATCH(Planos!$E193,lst_frequencia,0)),0)))=0),"●","")))</f>
      </c>
      <c r="P194" s="44">
        <f>IF(COUNTIF(D194:O194,"✔")+COUNTIF(D194:O194,"●")=0,"",COUNTIF(D194:O194,"✔")/(COUNTIF(D194:O194,"✔")+COUNTIF(D194:O194,"●")))</f>
      </c>
    </row>
    <row r="195" spans="1:16" x14ac:dyDescent="0.25">
      <c r="A195" s="43">
        <f>IF(Planos!$A194&lt;&gt;"",Planos!A194&amp;"","")</f>
      </c>
      <c r="B195" s="43">
        <f>IF(Planos!$A194&lt;&gt;"",Planos!B194&amp;"","")</f>
      </c>
      <c r="C195" s="24">
        <f>IF(Planos!$A194&lt;&gt;"",Planos!C194&amp;"","")</f>
      </c>
      <c r="D195" s="43">
        <f>IF(NOT(Planos!$A194&lt;&gt;""),"",IF(COUNTIFS(Programação!$B$4:$B$503,Planos!$A194,Programação!$I$4:$I$503,"Concluído",Programação!$G$4:$G$503,"&gt;="&amp;DATE(ano_ref,1,1),Programação!$G$4:$G$503,"&lt;="&amp;EOMONTH(DATE(ano_ref,1,1),0))&gt;0,"✔",IF(AND(ISNUMBER(Planos!$G194),IFERROR(INDEX(lst_frequencia_meses,MATCH(Planos!$E194,lst_frequencia,0)),0)&gt;0,(ano_ref*12+1)-(YEAR(Planos!$G194)*12+MONTH(Planos!$G194))&gt;0,MOD((ano_ref*12+1)-(YEAR(Planos!$G194)*12+MONTH(Planos!$G194)),MAX(1,IFERROR(INDEX(lst_frequencia_meses,MATCH(Planos!$E194,lst_frequencia,0)),0)))=0),"●","")))</f>
      </c>
      <c r="E195" s="43">
        <f>IF(NOT(Planos!$A194&lt;&gt;""),"",IF(COUNTIFS(Programação!$B$4:$B$503,Planos!$A194,Programação!$I$4:$I$503,"Concluído",Programação!$G$4:$G$503,"&gt;="&amp;DATE(ano_ref,2,1),Programação!$G$4:$G$503,"&lt;="&amp;EOMONTH(DATE(ano_ref,2,1),0))&gt;0,"✔",IF(AND(ISNUMBER(Planos!$G194),IFERROR(INDEX(lst_frequencia_meses,MATCH(Planos!$E194,lst_frequencia,0)),0)&gt;0,(ano_ref*12+2)-(YEAR(Planos!$G194)*12+MONTH(Planos!$G194))&gt;0,MOD((ano_ref*12+2)-(YEAR(Planos!$G194)*12+MONTH(Planos!$G194)),MAX(1,IFERROR(INDEX(lst_frequencia_meses,MATCH(Planos!$E194,lst_frequencia,0)),0)))=0),"●","")))</f>
      </c>
      <c r="F195" s="43">
        <f>IF(NOT(Planos!$A194&lt;&gt;""),"",IF(COUNTIFS(Programação!$B$4:$B$503,Planos!$A194,Programação!$I$4:$I$503,"Concluído",Programação!$G$4:$G$503,"&gt;="&amp;DATE(ano_ref,3,1),Programação!$G$4:$G$503,"&lt;="&amp;EOMONTH(DATE(ano_ref,3,1),0))&gt;0,"✔",IF(AND(ISNUMBER(Planos!$G194),IFERROR(INDEX(lst_frequencia_meses,MATCH(Planos!$E194,lst_frequencia,0)),0)&gt;0,(ano_ref*12+3)-(YEAR(Planos!$G194)*12+MONTH(Planos!$G194))&gt;0,MOD((ano_ref*12+3)-(YEAR(Planos!$G194)*12+MONTH(Planos!$G194)),MAX(1,IFERROR(INDEX(lst_frequencia_meses,MATCH(Planos!$E194,lst_frequencia,0)),0)))=0),"●","")))</f>
      </c>
      <c r="G195" s="43">
        <f>IF(NOT(Planos!$A194&lt;&gt;""),"",IF(COUNTIFS(Programação!$B$4:$B$503,Planos!$A194,Programação!$I$4:$I$503,"Concluído",Programação!$G$4:$G$503,"&gt;="&amp;DATE(ano_ref,4,1),Programação!$G$4:$G$503,"&lt;="&amp;EOMONTH(DATE(ano_ref,4,1),0))&gt;0,"✔",IF(AND(ISNUMBER(Planos!$G194),IFERROR(INDEX(lst_frequencia_meses,MATCH(Planos!$E194,lst_frequencia,0)),0)&gt;0,(ano_ref*12+4)-(YEAR(Planos!$G194)*12+MONTH(Planos!$G194))&gt;0,MOD((ano_ref*12+4)-(YEAR(Planos!$G194)*12+MONTH(Planos!$G194)),MAX(1,IFERROR(INDEX(lst_frequencia_meses,MATCH(Planos!$E194,lst_frequencia,0)),0)))=0),"●","")))</f>
      </c>
      <c r="H195" s="43">
        <f>IF(NOT(Planos!$A194&lt;&gt;""),"",IF(COUNTIFS(Programação!$B$4:$B$503,Planos!$A194,Programação!$I$4:$I$503,"Concluído",Programação!$G$4:$G$503,"&gt;="&amp;DATE(ano_ref,5,1),Programação!$G$4:$G$503,"&lt;="&amp;EOMONTH(DATE(ano_ref,5,1),0))&gt;0,"✔",IF(AND(ISNUMBER(Planos!$G194),IFERROR(INDEX(lst_frequencia_meses,MATCH(Planos!$E194,lst_frequencia,0)),0)&gt;0,(ano_ref*12+5)-(YEAR(Planos!$G194)*12+MONTH(Planos!$G194))&gt;0,MOD((ano_ref*12+5)-(YEAR(Planos!$G194)*12+MONTH(Planos!$G194)),MAX(1,IFERROR(INDEX(lst_frequencia_meses,MATCH(Planos!$E194,lst_frequencia,0)),0)))=0),"●","")))</f>
      </c>
      <c r="I195" s="43">
        <f>IF(NOT(Planos!$A194&lt;&gt;""),"",IF(COUNTIFS(Programação!$B$4:$B$503,Planos!$A194,Programação!$I$4:$I$503,"Concluído",Programação!$G$4:$G$503,"&gt;="&amp;DATE(ano_ref,6,1),Programação!$G$4:$G$503,"&lt;="&amp;EOMONTH(DATE(ano_ref,6,1),0))&gt;0,"✔",IF(AND(ISNUMBER(Planos!$G194),IFERROR(INDEX(lst_frequencia_meses,MATCH(Planos!$E194,lst_frequencia,0)),0)&gt;0,(ano_ref*12+6)-(YEAR(Planos!$G194)*12+MONTH(Planos!$G194))&gt;0,MOD((ano_ref*12+6)-(YEAR(Planos!$G194)*12+MONTH(Planos!$G194)),MAX(1,IFERROR(INDEX(lst_frequencia_meses,MATCH(Planos!$E194,lst_frequencia,0)),0)))=0),"●","")))</f>
      </c>
      <c r="J195" s="43">
        <f>IF(NOT(Planos!$A194&lt;&gt;""),"",IF(COUNTIFS(Programação!$B$4:$B$503,Planos!$A194,Programação!$I$4:$I$503,"Concluído",Programação!$G$4:$G$503,"&gt;="&amp;DATE(ano_ref,7,1),Programação!$G$4:$G$503,"&lt;="&amp;EOMONTH(DATE(ano_ref,7,1),0))&gt;0,"✔",IF(AND(ISNUMBER(Planos!$G194),IFERROR(INDEX(lst_frequencia_meses,MATCH(Planos!$E194,lst_frequencia,0)),0)&gt;0,(ano_ref*12+7)-(YEAR(Planos!$G194)*12+MONTH(Planos!$G194))&gt;0,MOD((ano_ref*12+7)-(YEAR(Planos!$G194)*12+MONTH(Planos!$G194)),MAX(1,IFERROR(INDEX(lst_frequencia_meses,MATCH(Planos!$E194,lst_frequencia,0)),0)))=0),"●","")))</f>
      </c>
      <c r="K195" s="43">
        <f>IF(NOT(Planos!$A194&lt;&gt;""),"",IF(COUNTIFS(Programação!$B$4:$B$503,Planos!$A194,Programação!$I$4:$I$503,"Concluído",Programação!$G$4:$G$503,"&gt;="&amp;DATE(ano_ref,8,1),Programação!$G$4:$G$503,"&lt;="&amp;EOMONTH(DATE(ano_ref,8,1),0))&gt;0,"✔",IF(AND(ISNUMBER(Planos!$G194),IFERROR(INDEX(lst_frequencia_meses,MATCH(Planos!$E194,lst_frequencia,0)),0)&gt;0,(ano_ref*12+8)-(YEAR(Planos!$G194)*12+MONTH(Planos!$G194))&gt;0,MOD((ano_ref*12+8)-(YEAR(Planos!$G194)*12+MONTH(Planos!$G194)),MAX(1,IFERROR(INDEX(lst_frequencia_meses,MATCH(Planos!$E194,lst_frequencia,0)),0)))=0),"●","")))</f>
      </c>
      <c r="L195" s="43">
        <f>IF(NOT(Planos!$A194&lt;&gt;""),"",IF(COUNTIFS(Programação!$B$4:$B$503,Planos!$A194,Programação!$I$4:$I$503,"Concluído",Programação!$G$4:$G$503,"&gt;="&amp;DATE(ano_ref,9,1),Programação!$G$4:$G$503,"&lt;="&amp;EOMONTH(DATE(ano_ref,9,1),0))&gt;0,"✔",IF(AND(ISNUMBER(Planos!$G194),IFERROR(INDEX(lst_frequencia_meses,MATCH(Planos!$E194,lst_frequencia,0)),0)&gt;0,(ano_ref*12+9)-(YEAR(Planos!$G194)*12+MONTH(Planos!$G194))&gt;0,MOD((ano_ref*12+9)-(YEAR(Planos!$G194)*12+MONTH(Planos!$G194)),MAX(1,IFERROR(INDEX(lst_frequencia_meses,MATCH(Planos!$E194,lst_frequencia,0)),0)))=0),"●","")))</f>
      </c>
      <c r="M195" s="43">
        <f>IF(NOT(Planos!$A194&lt;&gt;""),"",IF(COUNTIFS(Programação!$B$4:$B$503,Planos!$A194,Programação!$I$4:$I$503,"Concluído",Programação!$G$4:$G$503,"&gt;="&amp;DATE(ano_ref,10,1),Programação!$G$4:$G$503,"&lt;="&amp;EOMONTH(DATE(ano_ref,10,1),0))&gt;0,"✔",IF(AND(ISNUMBER(Planos!$G194),IFERROR(INDEX(lst_frequencia_meses,MATCH(Planos!$E194,lst_frequencia,0)),0)&gt;0,(ano_ref*12+10)-(YEAR(Planos!$G194)*12+MONTH(Planos!$G194))&gt;0,MOD((ano_ref*12+10)-(YEAR(Planos!$G194)*12+MONTH(Planos!$G194)),MAX(1,IFERROR(INDEX(lst_frequencia_meses,MATCH(Planos!$E194,lst_frequencia,0)),0)))=0),"●","")))</f>
      </c>
      <c r="N195" s="43">
        <f>IF(NOT(Planos!$A194&lt;&gt;""),"",IF(COUNTIFS(Programação!$B$4:$B$503,Planos!$A194,Programação!$I$4:$I$503,"Concluído",Programação!$G$4:$G$503,"&gt;="&amp;DATE(ano_ref,11,1),Programação!$G$4:$G$503,"&lt;="&amp;EOMONTH(DATE(ano_ref,11,1),0))&gt;0,"✔",IF(AND(ISNUMBER(Planos!$G194),IFERROR(INDEX(lst_frequencia_meses,MATCH(Planos!$E194,lst_frequencia,0)),0)&gt;0,(ano_ref*12+11)-(YEAR(Planos!$G194)*12+MONTH(Planos!$G194))&gt;0,MOD((ano_ref*12+11)-(YEAR(Planos!$G194)*12+MONTH(Planos!$G194)),MAX(1,IFERROR(INDEX(lst_frequencia_meses,MATCH(Planos!$E194,lst_frequencia,0)),0)))=0),"●","")))</f>
      </c>
      <c r="O195" s="43">
        <f>IF(NOT(Planos!$A194&lt;&gt;""),"",IF(COUNTIFS(Programação!$B$4:$B$503,Planos!$A194,Programação!$I$4:$I$503,"Concluído",Programação!$G$4:$G$503,"&gt;="&amp;DATE(ano_ref,12,1),Programação!$G$4:$G$503,"&lt;="&amp;EOMONTH(DATE(ano_ref,12,1),0))&gt;0,"✔",IF(AND(ISNUMBER(Planos!$G194),IFERROR(INDEX(lst_frequencia_meses,MATCH(Planos!$E194,lst_frequencia,0)),0)&gt;0,(ano_ref*12+12)-(YEAR(Planos!$G194)*12+MONTH(Planos!$G194))&gt;0,MOD((ano_ref*12+12)-(YEAR(Planos!$G194)*12+MONTH(Planos!$G194)),MAX(1,IFERROR(INDEX(lst_frequencia_meses,MATCH(Planos!$E194,lst_frequencia,0)),0)))=0),"●","")))</f>
      </c>
      <c r="P195" s="44">
        <f>IF(COUNTIF(D195:O195,"✔")+COUNTIF(D195:O195,"●")=0,"",COUNTIF(D195:O195,"✔")/(COUNTIF(D195:O195,"✔")+COUNTIF(D195:O195,"●")))</f>
      </c>
    </row>
    <row r="196" spans="1:16" x14ac:dyDescent="0.25">
      <c r="A196" s="43">
        <f>IF(Planos!$A195&lt;&gt;"",Planos!A195&amp;"","")</f>
      </c>
      <c r="B196" s="43">
        <f>IF(Planos!$A195&lt;&gt;"",Planos!B195&amp;"","")</f>
      </c>
      <c r="C196" s="24">
        <f>IF(Planos!$A195&lt;&gt;"",Planos!C195&amp;"","")</f>
      </c>
      <c r="D196" s="43">
        <f>IF(NOT(Planos!$A195&lt;&gt;""),"",IF(COUNTIFS(Programação!$B$4:$B$503,Planos!$A195,Programação!$I$4:$I$503,"Concluído",Programação!$G$4:$G$503,"&gt;="&amp;DATE(ano_ref,1,1),Programação!$G$4:$G$503,"&lt;="&amp;EOMONTH(DATE(ano_ref,1,1),0))&gt;0,"✔",IF(AND(ISNUMBER(Planos!$G195),IFERROR(INDEX(lst_frequencia_meses,MATCH(Planos!$E195,lst_frequencia,0)),0)&gt;0,(ano_ref*12+1)-(YEAR(Planos!$G195)*12+MONTH(Planos!$G195))&gt;0,MOD((ano_ref*12+1)-(YEAR(Planos!$G195)*12+MONTH(Planos!$G195)),MAX(1,IFERROR(INDEX(lst_frequencia_meses,MATCH(Planos!$E195,lst_frequencia,0)),0)))=0),"●","")))</f>
      </c>
      <c r="E196" s="43">
        <f>IF(NOT(Planos!$A195&lt;&gt;""),"",IF(COUNTIFS(Programação!$B$4:$B$503,Planos!$A195,Programação!$I$4:$I$503,"Concluído",Programação!$G$4:$G$503,"&gt;="&amp;DATE(ano_ref,2,1),Programação!$G$4:$G$503,"&lt;="&amp;EOMONTH(DATE(ano_ref,2,1),0))&gt;0,"✔",IF(AND(ISNUMBER(Planos!$G195),IFERROR(INDEX(lst_frequencia_meses,MATCH(Planos!$E195,lst_frequencia,0)),0)&gt;0,(ano_ref*12+2)-(YEAR(Planos!$G195)*12+MONTH(Planos!$G195))&gt;0,MOD((ano_ref*12+2)-(YEAR(Planos!$G195)*12+MONTH(Planos!$G195)),MAX(1,IFERROR(INDEX(lst_frequencia_meses,MATCH(Planos!$E195,lst_frequencia,0)),0)))=0),"●","")))</f>
      </c>
      <c r="F196" s="43">
        <f>IF(NOT(Planos!$A195&lt;&gt;""),"",IF(COUNTIFS(Programação!$B$4:$B$503,Planos!$A195,Programação!$I$4:$I$503,"Concluído",Programação!$G$4:$G$503,"&gt;="&amp;DATE(ano_ref,3,1),Programação!$G$4:$G$503,"&lt;="&amp;EOMONTH(DATE(ano_ref,3,1),0))&gt;0,"✔",IF(AND(ISNUMBER(Planos!$G195),IFERROR(INDEX(lst_frequencia_meses,MATCH(Planos!$E195,lst_frequencia,0)),0)&gt;0,(ano_ref*12+3)-(YEAR(Planos!$G195)*12+MONTH(Planos!$G195))&gt;0,MOD((ano_ref*12+3)-(YEAR(Planos!$G195)*12+MONTH(Planos!$G195)),MAX(1,IFERROR(INDEX(lst_frequencia_meses,MATCH(Planos!$E195,lst_frequencia,0)),0)))=0),"●","")))</f>
      </c>
      <c r="G196" s="43">
        <f>IF(NOT(Planos!$A195&lt;&gt;""),"",IF(COUNTIFS(Programação!$B$4:$B$503,Planos!$A195,Programação!$I$4:$I$503,"Concluído",Programação!$G$4:$G$503,"&gt;="&amp;DATE(ano_ref,4,1),Programação!$G$4:$G$503,"&lt;="&amp;EOMONTH(DATE(ano_ref,4,1),0))&gt;0,"✔",IF(AND(ISNUMBER(Planos!$G195),IFERROR(INDEX(lst_frequencia_meses,MATCH(Planos!$E195,lst_frequencia,0)),0)&gt;0,(ano_ref*12+4)-(YEAR(Planos!$G195)*12+MONTH(Planos!$G195))&gt;0,MOD((ano_ref*12+4)-(YEAR(Planos!$G195)*12+MONTH(Planos!$G195)),MAX(1,IFERROR(INDEX(lst_frequencia_meses,MATCH(Planos!$E195,lst_frequencia,0)),0)))=0),"●","")))</f>
      </c>
      <c r="H196" s="43">
        <f>IF(NOT(Planos!$A195&lt;&gt;""),"",IF(COUNTIFS(Programação!$B$4:$B$503,Planos!$A195,Programação!$I$4:$I$503,"Concluído",Programação!$G$4:$G$503,"&gt;="&amp;DATE(ano_ref,5,1),Programação!$G$4:$G$503,"&lt;="&amp;EOMONTH(DATE(ano_ref,5,1),0))&gt;0,"✔",IF(AND(ISNUMBER(Planos!$G195),IFERROR(INDEX(lst_frequencia_meses,MATCH(Planos!$E195,lst_frequencia,0)),0)&gt;0,(ano_ref*12+5)-(YEAR(Planos!$G195)*12+MONTH(Planos!$G195))&gt;0,MOD((ano_ref*12+5)-(YEAR(Planos!$G195)*12+MONTH(Planos!$G195)),MAX(1,IFERROR(INDEX(lst_frequencia_meses,MATCH(Planos!$E195,lst_frequencia,0)),0)))=0),"●","")))</f>
      </c>
      <c r="I196" s="43">
        <f>IF(NOT(Planos!$A195&lt;&gt;""),"",IF(COUNTIFS(Programação!$B$4:$B$503,Planos!$A195,Programação!$I$4:$I$503,"Concluído",Programação!$G$4:$G$503,"&gt;="&amp;DATE(ano_ref,6,1),Programação!$G$4:$G$503,"&lt;="&amp;EOMONTH(DATE(ano_ref,6,1),0))&gt;0,"✔",IF(AND(ISNUMBER(Planos!$G195),IFERROR(INDEX(lst_frequencia_meses,MATCH(Planos!$E195,lst_frequencia,0)),0)&gt;0,(ano_ref*12+6)-(YEAR(Planos!$G195)*12+MONTH(Planos!$G195))&gt;0,MOD((ano_ref*12+6)-(YEAR(Planos!$G195)*12+MONTH(Planos!$G195)),MAX(1,IFERROR(INDEX(lst_frequencia_meses,MATCH(Planos!$E195,lst_frequencia,0)),0)))=0),"●","")))</f>
      </c>
      <c r="J196" s="43">
        <f>IF(NOT(Planos!$A195&lt;&gt;""),"",IF(COUNTIFS(Programação!$B$4:$B$503,Planos!$A195,Programação!$I$4:$I$503,"Concluído",Programação!$G$4:$G$503,"&gt;="&amp;DATE(ano_ref,7,1),Programação!$G$4:$G$503,"&lt;="&amp;EOMONTH(DATE(ano_ref,7,1),0))&gt;0,"✔",IF(AND(ISNUMBER(Planos!$G195),IFERROR(INDEX(lst_frequencia_meses,MATCH(Planos!$E195,lst_frequencia,0)),0)&gt;0,(ano_ref*12+7)-(YEAR(Planos!$G195)*12+MONTH(Planos!$G195))&gt;0,MOD((ano_ref*12+7)-(YEAR(Planos!$G195)*12+MONTH(Planos!$G195)),MAX(1,IFERROR(INDEX(lst_frequencia_meses,MATCH(Planos!$E195,lst_frequencia,0)),0)))=0),"●","")))</f>
      </c>
      <c r="K196" s="43">
        <f>IF(NOT(Planos!$A195&lt;&gt;""),"",IF(COUNTIFS(Programação!$B$4:$B$503,Planos!$A195,Programação!$I$4:$I$503,"Concluído",Programação!$G$4:$G$503,"&gt;="&amp;DATE(ano_ref,8,1),Programação!$G$4:$G$503,"&lt;="&amp;EOMONTH(DATE(ano_ref,8,1),0))&gt;0,"✔",IF(AND(ISNUMBER(Planos!$G195),IFERROR(INDEX(lst_frequencia_meses,MATCH(Planos!$E195,lst_frequencia,0)),0)&gt;0,(ano_ref*12+8)-(YEAR(Planos!$G195)*12+MONTH(Planos!$G195))&gt;0,MOD((ano_ref*12+8)-(YEAR(Planos!$G195)*12+MONTH(Planos!$G195)),MAX(1,IFERROR(INDEX(lst_frequencia_meses,MATCH(Planos!$E195,lst_frequencia,0)),0)))=0),"●","")))</f>
      </c>
      <c r="L196" s="43">
        <f>IF(NOT(Planos!$A195&lt;&gt;""),"",IF(COUNTIFS(Programação!$B$4:$B$503,Planos!$A195,Programação!$I$4:$I$503,"Concluído",Programação!$G$4:$G$503,"&gt;="&amp;DATE(ano_ref,9,1),Programação!$G$4:$G$503,"&lt;="&amp;EOMONTH(DATE(ano_ref,9,1),0))&gt;0,"✔",IF(AND(ISNUMBER(Planos!$G195),IFERROR(INDEX(lst_frequencia_meses,MATCH(Planos!$E195,lst_frequencia,0)),0)&gt;0,(ano_ref*12+9)-(YEAR(Planos!$G195)*12+MONTH(Planos!$G195))&gt;0,MOD((ano_ref*12+9)-(YEAR(Planos!$G195)*12+MONTH(Planos!$G195)),MAX(1,IFERROR(INDEX(lst_frequencia_meses,MATCH(Planos!$E195,lst_frequencia,0)),0)))=0),"●","")))</f>
      </c>
      <c r="M196" s="43">
        <f>IF(NOT(Planos!$A195&lt;&gt;""),"",IF(COUNTIFS(Programação!$B$4:$B$503,Planos!$A195,Programação!$I$4:$I$503,"Concluído",Programação!$G$4:$G$503,"&gt;="&amp;DATE(ano_ref,10,1),Programação!$G$4:$G$503,"&lt;="&amp;EOMONTH(DATE(ano_ref,10,1),0))&gt;0,"✔",IF(AND(ISNUMBER(Planos!$G195),IFERROR(INDEX(lst_frequencia_meses,MATCH(Planos!$E195,lst_frequencia,0)),0)&gt;0,(ano_ref*12+10)-(YEAR(Planos!$G195)*12+MONTH(Planos!$G195))&gt;0,MOD((ano_ref*12+10)-(YEAR(Planos!$G195)*12+MONTH(Planos!$G195)),MAX(1,IFERROR(INDEX(lst_frequencia_meses,MATCH(Planos!$E195,lst_frequencia,0)),0)))=0),"●","")))</f>
      </c>
      <c r="N196" s="43">
        <f>IF(NOT(Planos!$A195&lt;&gt;""),"",IF(COUNTIFS(Programação!$B$4:$B$503,Planos!$A195,Programação!$I$4:$I$503,"Concluído",Programação!$G$4:$G$503,"&gt;="&amp;DATE(ano_ref,11,1),Programação!$G$4:$G$503,"&lt;="&amp;EOMONTH(DATE(ano_ref,11,1),0))&gt;0,"✔",IF(AND(ISNUMBER(Planos!$G195),IFERROR(INDEX(lst_frequencia_meses,MATCH(Planos!$E195,lst_frequencia,0)),0)&gt;0,(ano_ref*12+11)-(YEAR(Planos!$G195)*12+MONTH(Planos!$G195))&gt;0,MOD((ano_ref*12+11)-(YEAR(Planos!$G195)*12+MONTH(Planos!$G195)),MAX(1,IFERROR(INDEX(lst_frequencia_meses,MATCH(Planos!$E195,lst_frequencia,0)),0)))=0),"●","")))</f>
      </c>
      <c r="O196" s="43">
        <f>IF(NOT(Planos!$A195&lt;&gt;""),"",IF(COUNTIFS(Programação!$B$4:$B$503,Planos!$A195,Programação!$I$4:$I$503,"Concluído",Programação!$G$4:$G$503,"&gt;="&amp;DATE(ano_ref,12,1),Programação!$G$4:$G$503,"&lt;="&amp;EOMONTH(DATE(ano_ref,12,1),0))&gt;0,"✔",IF(AND(ISNUMBER(Planos!$G195),IFERROR(INDEX(lst_frequencia_meses,MATCH(Planos!$E195,lst_frequencia,0)),0)&gt;0,(ano_ref*12+12)-(YEAR(Planos!$G195)*12+MONTH(Planos!$G195))&gt;0,MOD((ano_ref*12+12)-(YEAR(Planos!$G195)*12+MONTH(Planos!$G195)),MAX(1,IFERROR(INDEX(lst_frequencia_meses,MATCH(Planos!$E195,lst_frequencia,0)),0)))=0),"●","")))</f>
      </c>
      <c r="P196" s="44">
        <f>IF(COUNTIF(D196:O196,"✔")+COUNTIF(D196:O196,"●")=0,"",COUNTIF(D196:O196,"✔")/(COUNTIF(D196:O196,"✔")+COUNTIF(D196:O196,"●")))</f>
      </c>
    </row>
    <row r="197" spans="1:16" x14ac:dyDescent="0.25">
      <c r="A197" s="43">
        <f>IF(Planos!$A196&lt;&gt;"",Planos!A196&amp;"","")</f>
      </c>
      <c r="B197" s="43">
        <f>IF(Planos!$A196&lt;&gt;"",Planos!B196&amp;"","")</f>
      </c>
      <c r="C197" s="24">
        <f>IF(Planos!$A196&lt;&gt;"",Planos!C196&amp;"","")</f>
      </c>
      <c r="D197" s="43">
        <f>IF(NOT(Planos!$A196&lt;&gt;""),"",IF(COUNTIFS(Programação!$B$4:$B$503,Planos!$A196,Programação!$I$4:$I$503,"Concluído",Programação!$G$4:$G$503,"&gt;="&amp;DATE(ano_ref,1,1),Programação!$G$4:$G$503,"&lt;="&amp;EOMONTH(DATE(ano_ref,1,1),0))&gt;0,"✔",IF(AND(ISNUMBER(Planos!$G196),IFERROR(INDEX(lst_frequencia_meses,MATCH(Planos!$E196,lst_frequencia,0)),0)&gt;0,(ano_ref*12+1)-(YEAR(Planos!$G196)*12+MONTH(Planos!$G196))&gt;0,MOD((ano_ref*12+1)-(YEAR(Planos!$G196)*12+MONTH(Planos!$G196)),MAX(1,IFERROR(INDEX(lst_frequencia_meses,MATCH(Planos!$E196,lst_frequencia,0)),0)))=0),"●","")))</f>
      </c>
      <c r="E197" s="43">
        <f>IF(NOT(Planos!$A196&lt;&gt;""),"",IF(COUNTIFS(Programação!$B$4:$B$503,Planos!$A196,Programação!$I$4:$I$503,"Concluído",Programação!$G$4:$G$503,"&gt;="&amp;DATE(ano_ref,2,1),Programação!$G$4:$G$503,"&lt;="&amp;EOMONTH(DATE(ano_ref,2,1),0))&gt;0,"✔",IF(AND(ISNUMBER(Planos!$G196),IFERROR(INDEX(lst_frequencia_meses,MATCH(Planos!$E196,lst_frequencia,0)),0)&gt;0,(ano_ref*12+2)-(YEAR(Planos!$G196)*12+MONTH(Planos!$G196))&gt;0,MOD((ano_ref*12+2)-(YEAR(Planos!$G196)*12+MONTH(Planos!$G196)),MAX(1,IFERROR(INDEX(lst_frequencia_meses,MATCH(Planos!$E196,lst_frequencia,0)),0)))=0),"●","")))</f>
      </c>
      <c r="F197" s="43">
        <f>IF(NOT(Planos!$A196&lt;&gt;""),"",IF(COUNTIFS(Programação!$B$4:$B$503,Planos!$A196,Programação!$I$4:$I$503,"Concluído",Programação!$G$4:$G$503,"&gt;="&amp;DATE(ano_ref,3,1),Programação!$G$4:$G$503,"&lt;="&amp;EOMONTH(DATE(ano_ref,3,1),0))&gt;0,"✔",IF(AND(ISNUMBER(Planos!$G196),IFERROR(INDEX(lst_frequencia_meses,MATCH(Planos!$E196,lst_frequencia,0)),0)&gt;0,(ano_ref*12+3)-(YEAR(Planos!$G196)*12+MONTH(Planos!$G196))&gt;0,MOD((ano_ref*12+3)-(YEAR(Planos!$G196)*12+MONTH(Planos!$G196)),MAX(1,IFERROR(INDEX(lst_frequencia_meses,MATCH(Planos!$E196,lst_frequencia,0)),0)))=0),"●","")))</f>
      </c>
      <c r="G197" s="43">
        <f>IF(NOT(Planos!$A196&lt;&gt;""),"",IF(COUNTIFS(Programação!$B$4:$B$503,Planos!$A196,Programação!$I$4:$I$503,"Concluído",Programação!$G$4:$G$503,"&gt;="&amp;DATE(ano_ref,4,1),Programação!$G$4:$G$503,"&lt;="&amp;EOMONTH(DATE(ano_ref,4,1),0))&gt;0,"✔",IF(AND(ISNUMBER(Planos!$G196),IFERROR(INDEX(lst_frequencia_meses,MATCH(Planos!$E196,lst_frequencia,0)),0)&gt;0,(ano_ref*12+4)-(YEAR(Planos!$G196)*12+MONTH(Planos!$G196))&gt;0,MOD((ano_ref*12+4)-(YEAR(Planos!$G196)*12+MONTH(Planos!$G196)),MAX(1,IFERROR(INDEX(lst_frequencia_meses,MATCH(Planos!$E196,lst_frequencia,0)),0)))=0),"●","")))</f>
      </c>
      <c r="H197" s="43">
        <f>IF(NOT(Planos!$A196&lt;&gt;""),"",IF(COUNTIFS(Programação!$B$4:$B$503,Planos!$A196,Programação!$I$4:$I$503,"Concluído",Programação!$G$4:$G$503,"&gt;="&amp;DATE(ano_ref,5,1),Programação!$G$4:$G$503,"&lt;="&amp;EOMONTH(DATE(ano_ref,5,1),0))&gt;0,"✔",IF(AND(ISNUMBER(Planos!$G196),IFERROR(INDEX(lst_frequencia_meses,MATCH(Planos!$E196,lst_frequencia,0)),0)&gt;0,(ano_ref*12+5)-(YEAR(Planos!$G196)*12+MONTH(Planos!$G196))&gt;0,MOD((ano_ref*12+5)-(YEAR(Planos!$G196)*12+MONTH(Planos!$G196)),MAX(1,IFERROR(INDEX(lst_frequencia_meses,MATCH(Planos!$E196,lst_frequencia,0)),0)))=0),"●","")))</f>
      </c>
      <c r="I197" s="43">
        <f>IF(NOT(Planos!$A196&lt;&gt;""),"",IF(COUNTIFS(Programação!$B$4:$B$503,Planos!$A196,Programação!$I$4:$I$503,"Concluído",Programação!$G$4:$G$503,"&gt;="&amp;DATE(ano_ref,6,1),Programação!$G$4:$G$503,"&lt;="&amp;EOMONTH(DATE(ano_ref,6,1),0))&gt;0,"✔",IF(AND(ISNUMBER(Planos!$G196),IFERROR(INDEX(lst_frequencia_meses,MATCH(Planos!$E196,lst_frequencia,0)),0)&gt;0,(ano_ref*12+6)-(YEAR(Planos!$G196)*12+MONTH(Planos!$G196))&gt;0,MOD((ano_ref*12+6)-(YEAR(Planos!$G196)*12+MONTH(Planos!$G196)),MAX(1,IFERROR(INDEX(lst_frequencia_meses,MATCH(Planos!$E196,lst_frequencia,0)),0)))=0),"●","")))</f>
      </c>
      <c r="J197" s="43">
        <f>IF(NOT(Planos!$A196&lt;&gt;""),"",IF(COUNTIFS(Programação!$B$4:$B$503,Planos!$A196,Programação!$I$4:$I$503,"Concluído",Programação!$G$4:$G$503,"&gt;="&amp;DATE(ano_ref,7,1),Programação!$G$4:$G$503,"&lt;="&amp;EOMONTH(DATE(ano_ref,7,1),0))&gt;0,"✔",IF(AND(ISNUMBER(Planos!$G196),IFERROR(INDEX(lst_frequencia_meses,MATCH(Planos!$E196,lst_frequencia,0)),0)&gt;0,(ano_ref*12+7)-(YEAR(Planos!$G196)*12+MONTH(Planos!$G196))&gt;0,MOD((ano_ref*12+7)-(YEAR(Planos!$G196)*12+MONTH(Planos!$G196)),MAX(1,IFERROR(INDEX(lst_frequencia_meses,MATCH(Planos!$E196,lst_frequencia,0)),0)))=0),"●","")))</f>
      </c>
      <c r="K197" s="43">
        <f>IF(NOT(Planos!$A196&lt;&gt;""),"",IF(COUNTIFS(Programação!$B$4:$B$503,Planos!$A196,Programação!$I$4:$I$503,"Concluído",Programação!$G$4:$G$503,"&gt;="&amp;DATE(ano_ref,8,1),Programação!$G$4:$G$503,"&lt;="&amp;EOMONTH(DATE(ano_ref,8,1),0))&gt;0,"✔",IF(AND(ISNUMBER(Planos!$G196),IFERROR(INDEX(lst_frequencia_meses,MATCH(Planos!$E196,lst_frequencia,0)),0)&gt;0,(ano_ref*12+8)-(YEAR(Planos!$G196)*12+MONTH(Planos!$G196))&gt;0,MOD((ano_ref*12+8)-(YEAR(Planos!$G196)*12+MONTH(Planos!$G196)),MAX(1,IFERROR(INDEX(lst_frequencia_meses,MATCH(Planos!$E196,lst_frequencia,0)),0)))=0),"●","")))</f>
      </c>
      <c r="L197" s="43">
        <f>IF(NOT(Planos!$A196&lt;&gt;""),"",IF(COUNTIFS(Programação!$B$4:$B$503,Planos!$A196,Programação!$I$4:$I$503,"Concluído",Programação!$G$4:$G$503,"&gt;="&amp;DATE(ano_ref,9,1),Programação!$G$4:$G$503,"&lt;="&amp;EOMONTH(DATE(ano_ref,9,1),0))&gt;0,"✔",IF(AND(ISNUMBER(Planos!$G196),IFERROR(INDEX(lst_frequencia_meses,MATCH(Planos!$E196,lst_frequencia,0)),0)&gt;0,(ano_ref*12+9)-(YEAR(Planos!$G196)*12+MONTH(Planos!$G196))&gt;0,MOD((ano_ref*12+9)-(YEAR(Planos!$G196)*12+MONTH(Planos!$G196)),MAX(1,IFERROR(INDEX(lst_frequencia_meses,MATCH(Planos!$E196,lst_frequencia,0)),0)))=0),"●","")))</f>
      </c>
      <c r="M197" s="43">
        <f>IF(NOT(Planos!$A196&lt;&gt;""),"",IF(COUNTIFS(Programação!$B$4:$B$503,Planos!$A196,Programação!$I$4:$I$503,"Concluído",Programação!$G$4:$G$503,"&gt;="&amp;DATE(ano_ref,10,1),Programação!$G$4:$G$503,"&lt;="&amp;EOMONTH(DATE(ano_ref,10,1),0))&gt;0,"✔",IF(AND(ISNUMBER(Planos!$G196),IFERROR(INDEX(lst_frequencia_meses,MATCH(Planos!$E196,lst_frequencia,0)),0)&gt;0,(ano_ref*12+10)-(YEAR(Planos!$G196)*12+MONTH(Planos!$G196))&gt;0,MOD((ano_ref*12+10)-(YEAR(Planos!$G196)*12+MONTH(Planos!$G196)),MAX(1,IFERROR(INDEX(lst_frequencia_meses,MATCH(Planos!$E196,lst_frequencia,0)),0)))=0),"●","")))</f>
      </c>
      <c r="N197" s="43">
        <f>IF(NOT(Planos!$A196&lt;&gt;""),"",IF(COUNTIFS(Programação!$B$4:$B$503,Planos!$A196,Programação!$I$4:$I$503,"Concluído",Programação!$G$4:$G$503,"&gt;="&amp;DATE(ano_ref,11,1),Programação!$G$4:$G$503,"&lt;="&amp;EOMONTH(DATE(ano_ref,11,1),0))&gt;0,"✔",IF(AND(ISNUMBER(Planos!$G196),IFERROR(INDEX(lst_frequencia_meses,MATCH(Planos!$E196,lst_frequencia,0)),0)&gt;0,(ano_ref*12+11)-(YEAR(Planos!$G196)*12+MONTH(Planos!$G196))&gt;0,MOD((ano_ref*12+11)-(YEAR(Planos!$G196)*12+MONTH(Planos!$G196)),MAX(1,IFERROR(INDEX(lst_frequencia_meses,MATCH(Planos!$E196,lst_frequencia,0)),0)))=0),"●","")))</f>
      </c>
      <c r="O197" s="43">
        <f>IF(NOT(Planos!$A196&lt;&gt;""),"",IF(COUNTIFS(Programação!$B$4:$B$503,Planos!$A196,Programação!$I$4:$I$503,"Concluído",Programação!$G$4:$G$503,"&gt;="&amp;DATE(ano_ref,12,1),Programação!$G$4:$G$503,"&lt;="&amp;EOMONTH(DATE(ano_ref,12,1),0))&gt;0,"✔",IF(AND(ISNUMBER(Planos!$G196),IFERROR(INDEX(lst_frequencia_meses,MATCH(Planos!$E196,lst_frequencia,0)),0)&gt;0,(ano_ref*12+12)-(YEAR(Planos!$G196)*12+MONTH(Planos!$G196))&gt;0,MOD((ano_ref*12+12)-(YEAR(Planos!$G196)*12+MONTH(Planos!$G196)),MAX(1,IFERROR(INDEX(lst_frequencia_meses,MATCH(Planos!$E196,lst_frequencia,0)),0)))=0),"●","")))</f>
      </c>
      <c r="P197" s="44">
        <f>IF(COUNTIF(D197:O197,"✔")+COUNTIF(D197:O197,"●")=0,"",COUNTIF(D197:O197,"✔")/(COUNTIF(D197:O197,"✔")+COUNTIF(D197:O197,"●")))</f>
      </c>
    </row>
    <row r="198" spans="1:16" x14ac:dyDescent="0.25">
      <c r="A198" s="43">
        <f>IF(Planos!$A197&lt;&gt;"",Planos!A197&amp;"","")</f>
      </c>
      <c r="B198" s="43">
        <f>IF(Planos!$A197&lt;&gt;"",Planos!B197&amp;"","")</f>
      </c>
      <c r="C198" s="24">
        <f>IF(Planos!$A197&lt;&gt;"",Planos!C197&amp;"","")</f>
      </c>
      <c r="D198" s="43">
        <f>IF(NOT(Planos!$A197&lt;&gt;""),"",IF(COUNTIFS(Programação!$B$4:$B$503,Planos!$A197,Programação!$I$4:$I$503,"Concluído",Programação!$G$4:$G$503,"&gt;="&amp;DATE(ano_ref,1,1),Programação!$G$4:$G$503,"&lt;="&amp;EOMONTH(DATE(ano_ref,1,1),0))&gt;0,"✔",IF(AND(ISNUMBER(Planos!$G197),IFERROR(INDEX(lst_frequencia_meses,MATCH(Planos!$E197,lst_frequencia,0)),0)&gt;0,(ano_ref*12+1)-(YEAR(Planos!$G197)*12+MONTH(Planos!$G197))&gt;0,MOD((ano_ref*12+1)-(YEAR(Planos!$G197)*12+MONTH(Planos!$G197)),MAX(1,IFERROR(INDEX(lst_frequencia_meses,MATCH(Planos!$E197,lst_frequencia,0)),0)))=0),"●","")))</f>
      </c>
      <c r="E198" s="43">
        <f>IF(NOT(Planos!$A197&lt;&gt;""),"",IF(COUNTIFS(Programação!$B$4:$B$503,Planos!$A197,Programação!$I$4:$I$503,"Concluído",Programação!$G$4:$G$503,"&gt;="&amp;DATE(ano_ref,2,1),Programação!$G$4:$G$503,"&lt;="&amp;EOMONTH(DATE(ano_ref,2,1),0))&gt;0,"✔",IF(AND(ISNUMBER(Planos!$G197),IFERROR(INDEX(lst_frequencia_meses,MATCH(Planos!$E197,lst_frequencia,0)),0)&gt;0,(ano_ref*12+2)-(YEAR(Planos!$G197)*12+MONTH(Planos!$G197))&gt;0,MOD((ano_ref*12+2)-(YEAR(Planos!$G197)*12+MONTH(Planos!$G197)),MAX(1,IFERROR(INDEX(lst_frequencia_meses,MATCH(Planos!$E197,lst_frequencia,0)),0)))=0),"●","")))</f>
      </c>
      <c r="F198" s="43">
        <f>IF(NOT(Planos!$A197&lt;&gt;""),"",IF(COUNTIFS(Programação!$B$4:$B$503,Planos!$A197,Programação!$I$4:$I$503,"Concluído",Programação!$G$4:$G$503,"&gt;="&amp;DATE(ano_ref,3,1),Programação!$G$4:$G$503,"&lt;="&amp;EOMONTH(DATE(ano_ref,3,1),0))&gt;0,"✔",IF(AND(ISNUMBER(Planos!$G197),IFERROR(INDEX(lst_frequencia_meses,MATCH(Planos!$E197,lst_frequencia,0)),0)&gt;0,(ano_ref*12+3)-(YEAR(Planos!$G197)*12+MONTH(Planos!$G197))&gt;0,MOD((ano_ref*12+3)-(YEAR(Planos!$G197)*12+MONTH(Planos!$G197)),MAX(1,IFERROR(INDEX(lst_frequencia_meses,MATCH(Planos!$E197,lst_frequencia,0)),0)))=0),"●","")))</f>
      </c>
      <c r="G198" s="43">
        <f>IF(NOT(Planos!$A197&lt;&gt;""),"",IF(COUNTIFS(Programação!$B$4:$B$503,Planos!$A197,Programação!$I$4:$I$503,"Concluído",Programação!$G$4:$G$503,"&gt;="&amp;DATE(ano_ref,4,1),Programação!$G$4:$G$503,"&lt;="&amp;EOMONTH(DATE(ano_ref,4,1),0))&gt;0,"✔",IF(AND(ISNUMBER(Planos!$G197),IFERROR(INDEX(lst_frequencia_meses,MATCH(Planos!$E197,lst_frequencia,0)),0)&gt;0,(ano_ref*12+4)-(YEAR(Planos!$G197)*12+MONTH(Planos!$G197))&gt;0,MOD((ano_ref*12+4)-(YEAR(Planos!$G197)*12+MONTH(Planos!$G197)),MAX(1,IFERROR(INDEX(lst_frequencia_meses,MATCH(Planos!$E197,lst_frequencia,0)),0)))=0),"●","")))</f>
      </c>
      <c r="H198" s="43">
        <f>IF(NOT(Planos!$A197&lt;&gt;""),"",IF(COUNTIFS(Programação!$B$4:$B$503,Planos!$A197,Programação!$I$4:$I$503,"Concluído",Programação!$G$4:$G$503,"&gt;="&amp;DATE(ano_ref,5,1),Programação!$G$4:$G$503,"&lt;="&amp;EOMONTH(DATE(ano_ref,5,1),0))&gt;0,"✔",IF(AND(ISNUMBER(Planos!$G197),IFERROR(INDEX(lst_frequencia_meses,MATCH(Planos!$E197,lst_frequencia,0)),0)&gt;0,(ano_ref*12+5)-(YEAR(Planos!$G197)*12+MONTH(Planos!$G197))&gt;0,MOD((ano_ref*12+5)-(YEAR(Planos!$G197)*12+MONTH(Planos!$G197)),MAX(1,IFERROR(INDEX(lst_frequencia_meses,MATCH(Planos!$E197,lst_frequencia,0)),0)))=0),"●","")))</f>
      </c>
      <c r="I198" s="43">
        <f>IF(NOT(Planos!$A197&lt;&gt;""),"",IF(COUNTIFS(Programação!$B$4:$B$503,Planos!$A197,Programação!$I$4:$I$503,"Concluído",Programação!$G$4:$G$503,"&gt;="&amp;DATE(ano_ref,6,1),Programação!$G$4:$G$503,"&lt;="&amp;EOMONTH(DATE(ano_ref,6,1),0))&gt;0,"✔",IF(AND(ISNUMBER(Planos!$G197),IFERROR(INDEX(lst_frequencia_meses,MATCH(Planos!$E197,lst_frequencia,0)),0)&gt;0,(ano_ref*12+6)-(YEAR(Planos!$G197)*12+MONTH(Planos!$G197))&gt;0,MOD((ano_ref*12+6)-(YEAR(Planos!$G197)*12+MONTH(Planos!$G197)),MAX(1,IFERROR(INDEX(lst_frequencia_meses,MATCH(Planos!$E197,lst_frequencia,0)),0)))=0),"●","")))</f>
      </c>
      <c r="J198" s="43">
        <f>IF(NOT(Planos!$A197&lt;&gt;""),"",IF(COUNTIFS(Programação!$B$4:$B$503,Planos!$A197,Programação!$I$4:$I$503,"Concluído",Programação!$G$4:$G$503,"&gt;="&amp;DATE(ano_ref,7,1),Programação!$G$4:$G$503,"&lt;="&amp;EOMONTH(DATE(ano_ref,7,1),0))&gt;0,"✔",IF(AND(ISNUMBER(Planos!$G197),IFERROR(INDEX(lst_frequencia_meses,MATCH(Planos!$E197,lst_frequencia,0)),0)&gt;0,(ano_ref*12+7)-(YEAR(Planos!$G197)*12+MONTH(Planos!$G197))&gt;0,MOD((ano_ref*12+7)-(YEAR(Planos!$G197)*12+MONTH(Planos!$G197)),MAX(1,IFERROR(INDEX(lst_frequencia_meses,MATCH(Planos!$E197,lst_frequencia,0)),0)))=0),"●","")))</f>
      </c>
      <c r="K198" s="43">
        <f>IF(NOT(Planos!$A197&lt;&gt;""),"",IF(COUNTIFS(Programação!$B$4:$B$503,Planos!$A197,Programação!$I$4:$I$503,"Concluído",Programação!$G$4:$G$503,"&gt;="&amp;DATE(ano_ref,8,1),Programação!$G$4:$G$503,"&lt;="&amp;EOMONTH(DATE(ano_ref,8,1),0))&gt;0,"✔",IF(AND(ISNUMBER(Planos!$G197),IFERROR(INDEX(lst_frequencia_meses,MATCH(Planos!$E197,lst_frequencia,0)),0)&gt;0,(ano_ref*12+8)-(YEAR(Planos!$G197)*12+MONTH(Planos!$G197))&gt;0,MOD((ano_ref*12+8)-(YEAR(Planos!$G197)*12+MONTH(Planos!$G197)),MAX(1,IFERROR(INDEX(lst_frequencia_meses,MATCH(Planos!$E197,lst_frequencia,0)),0)))=0),"●","")))</f>
      </c>
      <c r="L198" s="43">
        <f>IF(NOT(Planos!$A197&lt;&gt;""),"",IF(COUNTIFS(Programação!$B$4:$B$503,Planos!$A197,Programação!$I$4:$I$503,"Concluído",Programação!$G$4:$G$503,"&gt;="&amp;DATE(ano_ref,9,1),Programação!$G$4:$G$503,"&lt;="&amp;EOMONTH(DATE(ano_ref,9,1),0))&gt;0,"✔",IF(AND(ISNUMBER(Planos!$G197),IFERROR(INDEX(lst_frequencia_meses,MATCH(Planos!$E197,lst_frequencia,0)),0)&gt;0,(ano_ref*12+9)-(YEAR(Planos!$G197)*12+MONTH(Planos!$G197))&gt;0,MOD((ano_ref*12+9)-(YEAR(Planos!$G197)*12+MONTH(Planos!$G197)),MAX(1,IFERROR(INDEX(lst_frequencia_meses,MATCH(Planos!$E197,lst_frequencia,0)),0)))=0),"●","")))</f>
      </c>
      <c r="M198" s="43">
        <f>IF(NOT(Planos!$A197&lt;&gt;""),"",IF(COUNTIFS(Programação!$B$4:$B$503,Planos!$A197,Programação!$I$4:$I$503,"Concluído",Programação!$G$4:$G$503,"&gt;="&amp;DATE(ano_ref,10,1),Programação!$G$4:$G$503,"&lt;="&amp;EOMONTH(DATE(ano_ref,10,1),0))&gt;0,"✔",IF(AND(ISNUMBER(Planos!$G197),IFERROR(INDEX(lst_frequencia_meses,MATCH(Planos!$E197,lst_frequencia,0)),0)&gt;0,(ano_ref*12+10)-(YEAR(Planos!$G197)*12+MONTH(Planos!$G197))&gt;0,MOD((ano_ref*12+10)-(YEAR(Planos!$G197)*12+MONTH(Planos!$G197)),MAX(1,IFERROR(INDEX(lst_frequencia_meses,MATCH(Planos!$E197,lst_frequencia,0)),0)))=0),"●","")))</f>
      </c>
      <c r="N198" s="43">
        <f>IF(NOT(Planos!$A197&lt;&gt;""),"",IF(COUNTIFS(Programação!$B$4:$B$503,Planos!$A197,Programação!$I$4:$I$503,"Concluído",Programação!$G$4:$G$503,"&gt;="&amp;DATE(ano_ref,11,1),Programação!$G$4:$G$503,"&lt;="&amp;EOMONTH(DATE(ano_ref,11,1),0))&gt;0,"✔",IF(AND(ISNUMBER(Planos!$G197),IFERROR(INDEX(lst_frequencia_meses,MATCH(Planos!$E197,lst_frequencia,0)),0)&gt;0,(ano_ref*12+11)-(YEAR(Planos!$G197)*12+MONTH(Planos!$G197))&gt;0,MOD((ano_ref*12+11)-(YEAR(Planos!$G197)*12+MONTH(Planos!$G197)),MAX(1,IFERROR(INDEX(lst_frequencia_meses,MATCH(Planos!$E197,lst_frequencia,0)),0)))=0),"●","")))</f>
      </c>
      <c r="O198" s="43">
        <f>IF(NOT(Planos!$A197&lt;&gt;""),"",IF(COUNTIFS(Programação!$B$4:$B$503,Planos!$A197,Programação!$I$4:$I$503,"Concluído",Programação!$G$4:$G$503,"&gt;="&amp;DATE(ano_ref,12,1),Programação!$G$4:$G$503,"&lt;="&amp;EOMONTH(DATE(ano_ref,12,1),0))&gt;0,"✔",IF(AND(ISNUMBER(Planos!$G197),IFERROR(INDEX(lst_frequencia_meses,MATCH(Planos!$E197,lst_frequencia,0)),0)&gt;0,(ano_ref*12+12)-(YEAR(Planos!$G197)*12+MONTH(Planos!$G197))&gt;0,MOD((ano_ref*12+12)-(YEAR(Planos!$G197)*12+MONTH(Planos!$G197)),MAX(1,IFERROR(INDEX(lst_frequencia_meses,MATCH(Planos!$E197,lst_frequencia,0)),0)))=0),"●","")))</f>
      </c>
      <c r="P198" s="44">
        <f>IF(COUNTIF(D198:O198,"✔")+COUNTIF(D198:O198,"●")=0,"",COUNTIF(D198:O198,"✔")/(COUNTIF(D198:O198,"✔")+COUNTIF(D198:O198,"●")))</f>
      </c>
    </row>
    <row r="199" spans="1:16" x14ac:dyDescent="0.25">
      <c r="A199" s="43">
        <f>IF(Planos!$A198&lt;&gt;"",Planos!A198&amp;"","")</f>
      </c>
      <c r="B199" s="43">
        <f>IF(Planos!$A198&lt;&gt;"",Planos!B198&amp;"","")</f>
      </c>
      <c r="C199" s="24">
        <f>IF(Planos!$A198&lt;&gt;"",Planos!C198&amp;"","")</f>
      </c>
      <c r="D199" s="43">
        <f>IF(NOT(Planos!$A198&lt;&gt;""),"",IF(COUNTIFS(Programação!$B$4:$B$503,Planos!$A198,Programação!$I$4:$I$503,"Concluído",Programação!$G$4:$G$503,"&gt;="&amp;DATE(ano_ref,1,1),Programação!$G$4:$G$503,"&lt;="&amp;EOMONTH(DATE(ano_ref,1,1),0))&gt;0,"✔",IF(AND(ISNUMBER(Planos!$G198),IFERROR(INDEX(lst_frequencia_meses,MATCH(Planos!$E198,lst_frequencia,0)),0)&gt;0,(ano_ref*12+1)-(YEAR(Planos!$G198)*12+MONTH(Planos!$G198))&gt;0,MOD((ano_ref*12+1)-(YEAR(Planos!$G198)*12+MONTH(Planos!$G198)),MAX(1,IFERROR(INDEX(lst_frequencia_meses,MATCH(Planos!$E198,lst_frequencia,0)),0)))=0),"●","")))</f>
      </c>
      <c r="E199" s="43">
        <f>IF(NOT(Planos!$A198&lt;&gt;""),"",IF(COUNTIFS(Programação!$B$4:$B$503,Planos!$A198,Programação!$I$4:$I$503,"Concluído",Programação!$G$4:$G$503,"&gt;="&amp;DATE(ano_ref,2,1),Programação!$G$4:$G$503,"&lt;="&amp;EOMONTH(DATE(ano_ref,2,1),0))&gt;0,"✔",IF(AND(ISNUMBER(Planos!$G198),IFERROR(INDEX(lst_frequencia_meses,MATCH(Planos!$E198,lst_frequencia,0)),0)&gt;0,(ano_ref*12+2)-(YEAR(Planos!$G198)*12+MONTH(Planos!$G198))&gt;0,MOD((ano_ref*12+2)-(YEAR(Planos!$G198)*12+MONTH(Planos!$G198)),MAX(1,IFERROR(INDEX(lst_frequencia_meses,MATCH(Planos!$E198,lst_frequencia,0)),0)))=0),"●","")))</f>
      </c>
      <c r="F199" s="43">
        <f>IF(NOT(Planos!$A198&lt;&gt;""),"",IF(COUNTIFS(Programação!$B$4:$B$503,Planos!$A198,Programação!$I$4:$I$503,"Concluído",Programação!$G$4:$G$503,"&gt;="&amp;DATE(ano_ref,3,1),Programação!$G$4:$G$503,"&lt;="&amp;EOMONTH(DATE(ano_ref,3,1),0))&gt;0,"✔",IF(AND(ISNUMBER(Planos!$G198),IFERROR(INDEX(lst_frequencia_meses,MATCH(Planos!$E198,lst_frequencia,0)),0)&gt;0,(ano_ref*12+3)-(YEAR(Planos!$G198)*12+MONTH(Planos!$G198))&gt;0,MOD((ano_ref*12+3)-(YEAR(Planos!$G198)*12+MONTH(Planos!$G198)),MAX(1,IFERROR(INDEX(lst_frequencia_meses,MATCH(Planos!$E198,lst_frequencia,0)),0)))=0),"●","")))</f>
      </c>
      <c r="G199" s="43">
        <f>IF(NOT(Planos!$A198&lt;&gt;""),"",IF(COUNTIFS(Programação!$B$4:$B$503,Planos!$A198,Programação!$I$4:$I$503,"Concluído",Programação!$G$4:$G$503,"&gt;="&amp;DATE(ano_ref,4,1),Programação!$G$4:$G$503,"&lt;="&amp;EOMONTH(DATE(ano_ref,4,1),0))&gt;0,"✔",IF(AND(ISNUMBER(Planos!$G198),IFERROR(INDEX(lst_frequencia_meses,MATCH(Planos!$E198,lst_frequencia,0)),0)&gt;0,(ano_ref*12+4)-(YEAR(Planos!$G198)*12+MONTH(Planos!$G198))&gt;0,MOD((ano_ref*12+4)-(YEAR(Planos!$G198)*12+MONTH(Planos!$G198)),MAX(1,IFERROR(INDEX(lst_frequencia_meses,MATCH(Planos!$E198,lst_frequencia,0)),0)))=0),"●","")))</f>
      </c>
      <c r="H199" s="43">
        <f>IF(NOT(Planos!$A198&lt;&gt;""),"",IF(COUNTIFS(Programação!$B$4:$B$503,Planos!$A198,Programação!$I$4:$I$503,"Concluído",Programação!$G$4:$G$503,"&gt;="&amp;DATE(ano_ref,5,1),Programação!$G$4:$G$503,"&lt;="&amp;EOMONTH(DATE(ano_ref,5,1),0))&gt;0,"✔",IF(AND(ISNUMBER(Planos!$G198),IFERROR(INDEX(lst_frequencia_meses,MATCH(Planos!$E198,lst_frequencia,0)),0)&gt;0,(ano_ref*12+5)-(YEAR(Planos!$G198)*12+MONTH(Planos!$G198))&gt;0,MOD((ano_ref*12+5)-(YEAR(Planos!$G198)*12+MONTH(Planos!$G198)),MAX(1,IFERROR(INDEX(lst_frequencia_meses,MATCH(Planos!$E198,lst_frequencia,0)),0)))=0),"●","")))</f>
      </c>
      <c r="I199" s="43">
        <f>IF(NOT(Planos!$A198&lt;&gt;""),"",IF(COUNTIFS(Programação!$B$4:$B$503,Planos!$A198,Programação!$I$4:$I$503,"Concluído",Programação!$G$4:$G$503,"&gt;="&amp;DATE(ano_ref,6,1),Programação!$G$4:$G$503,"&lt;="&amp;EOMONTH(DATE(ano_ref,6,1),0))&gt;0,"✔",IF(AND(ISNUMBER(Planos!$G198),IFERROR(INDEX(lst_frequencia_meses,MATCH(Planos!$E198,lst_frequencia,0)),0)&gt;0,(ano_ref*12+6)-(YEAR(Planos!$G198)*12+MONTH(Planos!$G198))&gt;0,MOD((ano_ref*12+6)-(YEAR(Planos!$G198)*12+MONTH(Planos!$G198)),MAX(1,IFERROR(INDEX(lst_frequencia_meses,MATCH(Planos!$E198,lst_frequencia,0)),0)))=0),"●","")))</f>
      </c>
      <c r="J199" s="43">
        <f>IF(NOT(Planos!$A198&lt;&gt;""),"",IF(COUNTIFS(Programação!$B$4:$B$503,Planos!$A198,Programação!$I$4:$I$503,"Concluído",Programação!$G$4:$G$503,"&gt;="&amp;DATE(ano_ref,7,1),Programação!$G$4:$G$503,"&lt;="&amp;EOMONTH(DATE(ano_ref,7,1),0))&gt;0,"✔",IF(AND(ISNUMBER(Planos!$G198),IFERROR(INDEX(lst_frequencia_meses,MATCH(Planos!$E198,lst_frequencia,0)),0)&gt;0,(ano_ref*12+7)-(YEAR(Planos!$G198)*12+MONTH(Planos!$G198))&gt;0,MOD((ano_ref*12+7)-(YEAR(Planos!$G198)*12+MONTH(Planos!$G198)),MAX(1,IFERROR(INDEX(lst_frequencia_meses,MATCH(Planos!$E198,lst_frequencia,0)),0)))=0),"●","")))</f>
      </c>
      <c r="K199" s="43">
        <f>IF(NOT(Planos!$A198&lt;&gt;""),"",IF(COUNTIFS(Programação!$B$4:$B$503,Planos!$A198,Programação!$I$4:$I$503,"Concluído",Programação!$G$4:$G$503,"&gt;="&amp;DATE(ano_ref,8,1),Programação!$G$4:$G$503,"&lt;="&amp;EOMONTH(DATE(ano_ref,8,1),0))&gt;0,"✔",IF(AND(ISNUMBER(Planos!$G198),IFERROR(INDEX(lst_frequencia_meses,MATCH(Planos!$E198,lst_frequencia,0)),0)&gt;0,(ano_ref*12+8)-(YEAR(Planos!$G198)*12+MONTH(Planos!$G198))&gt;0,MOD((ano_ref*12+8)-(YEAR(Planos!$G198)*12+MONTH(Planos!$G198)),MAX(1,IFERROR(INDEX(lst_frequencia_meses,MATCH(Planos!$E198,lst_frequencia,0)),0)))=0),"●","")))</f>
      </c>
      <c r="L199" s="43">
        <f>IF(NOT(Planos!$A198&lt;&gt;""),"",IF(COUNTIFS(Programação!$B$4:$B$503,Planos!$A198,Programação!$I$4:$I$503,"Concluído",Programação!$G$4:$G$503,"&gt;="&amp;DATE(ano_ref,9,1),Programação!$G$4:$G$503,"&lt;="&amp;EOMONTH(DATE(ano_ref,9,1),0))&gt;0,"✔",IF(AND(ISNUMBER(Planos!$G198),IFERROR(INDEX(lst_frequencia_meses,MATCH(Planos!$E198,lst_frequencia,0)),0)&gt;0,(ano_ref*12+9)-(YEAR(Planos!$G198)*12+MONTH(Planos!$G198))&gt;0,MOD((ano_ref*12+9)-(YEAR(Planos!$G198)*12+MONTH(Planos!$G198)),MAX(1,IFERROR(INDEX(lst_frequencia_meses,MATCH(Planos!$E198,lst_frequencia,0)),0)))=0),"●","")))</f>
      </c>
      <c r="M199" s="43">
        <f>IF(NOT(Planos!$A198&lt;&gt;""),"",IF(COUNTIFS(Programação!$B$4:$B$503,Planos!$A198,Programação!$I$4:$I$503,"Concluído",Programação!$G$4:$G$503,"&gt;="&amp;DATE(ano_ref,10,1),Programação!$G$4:$G$503,"&lt;="&amp;EOMONTH(DATE(ano_ref,10,1),0))&gt;0,"✔",IF(AND(ISNUMBER(Planos!$G198),IFERROR(INDEX(lst_frequencia_meses,MATCH(Planos!$E198,lst_frequencia,0)),0)&gt;0,(ano_ref*12+10)-(YEAR(Planos!$G198)*12+MONTH(Planos!$G198))&gt;0,MOD((ano_ref*12+10)-(YEAR(Planos!$G198)*12+MONTH(Planos!$G198)),MAX(1,IFERROR(INDEX(lst_frequencia_meses,MATCH(Planos!$E198,lst_frequencia,0)),0)))=0),"●","")))</f>
      </c>
      <c r="N199" s="43">
        <f>IF(NOT(Planos!$A198&lt;&gt;""),"",IF(COUNTIFS(Programação!$B$4:$B$503,Planos!$A198,Programação!$I$4:$I$503,"Concluído",Programação!$G$4:$G$503,"&gt;="&amp;DATE(ano_ref,11,1),Programação!$G$4:$G$503,"&lt;="&amp;EOMONTH(DATE(ano_ref,11,1),0))&gt;0,"✔",IF(AND(ISNUMBER(Planos!$G198),IFERROR(INDEX(lst_frequencia_meses,MATCH(Planos!$E198,lst_frequencia,0)),0)&gt;0,(ano_ref*12+11)-(YEAR(Planos!$G198)*12+MONTH(Planos!$G198))&gt;0,MOD((ano_ref*12+11)-(YEAR(Planos!$G198)*12+MONTH(Planos!$G198)),MAX(1,IFERROR(INDEX(lst_frequencia_meses,MATCH(Planos!$E198,lst_frequencia,0)),0)))=0),"●","")))</f>
      </c>
      <c r="O199" s="43">
        <f>IF(NOT(Planos!$A198&lt;&gt;""),"",IF(COUNTIFS(Programação!$B$4:$B$503,Planos!$A198,Programação!$I$4:$I$503,"Concluído",Programação!$G$4:$G$503,"&gt;="&amp;DATE(ano_ref,12,1),Programação!$G$4:$G$503,"&lt;="&amp;EOMONTH(DATE(ano_ref,12,1),0))&gt;0,"✔",IF(AND(ISNUMBER(Planos!$G198),IFERROR(INDEX(lst_frequencia_meses,MATCH(Planos!$E198,lst_frequencia,0)),0)&gt;0,(ano_ref*12+12)-(YEAR(Planos!$G198)*12+MONTH(Planos!$G198))&gt;0,MOD((ano_ref*12+12)-(YEAR(Planos!$G198)*12+MONTH(Planos!$G198)),MAX(1,IFERROR(INDEX(lst_frequencia_meses,MATCH(Planos!$E198,lst_frequencia,0)),0)))=0),"●","")))</f>
      </c>
      <c r="P199" s="44">
        <f>IF(COUNTIF(D199:O199,"✔")+COUNTIF(D199:O199,"●")=0,"",COUNTIF(D199:O199,"✔")/(COUNTIF(D199:O199,"✔")+COUNTIF(D199:O199,"●")))</f>
      </c>
    </row>
    <row r="200" spans="1:16" x14ac:dyDescent="0.25">
      <c r="A200" s="43">
        <f>IF(Planos!$A199&lt;&gt;"",Planos!A199&amp;"","")</f>
      </c>
      <c r="B200" s="43">
        <f>IF(Planos!$A199&lt;&gt;"",Planos!B199&amp;"","")</f>
      </c>
      <c r="C200" s="24">
        <f>IF(Planos!$A199&lt;&gt;"",Planos!C199&amp;"","")</f>
      </c>
      <c r="D200" s="43">
        <f>IF(NOT(Planos!$A199&lt;&gt;""),"",IF(COUNTIFS(Programação!$B$4:$B$503,Planos!$A199,Programação!$I$4:$I$503,"Concluído",Programação!$G$4:$G$503,"&gt;="&amp;DATE(ano_ref,1,1),Programação!$G$4:$G$503,"&lt;="&amp;EOMONTH(DATE(ano_ref,1,1),0))&gt;0,"✔",IF(AND(ISNUMBER(Planos!$G199),IFERROR(INDEX(lst_frequencia_meses,MATCH(Planos!$E199,lst_frequencia,0)),0)&gt;0,(ano_ref*12+1)-(YEAR(Planos!$G199)*12+MONTH(Planos!$G199))&gt;0,MOD((ano_ref*12+1)-(YEAR(Planos!$G199)*12+MONTH(Planos!$G199)),MAX(1,IFERROR(INDEX(lst_frequencia_meses,MATCH(Planos!$E199,lst_frequencia,0)),0)))=0),"●","")))</f>
      </c>
      <c r="E200" s="43">
        <f>IF(NOT(Planos!$A199&lt;&gt;""),"",IF(COUNTIFS(Programação!$B$4:$B$503,Planos!$A199,Programação!$I$4:$I$503,"Concluído",Programação!$G$4:$G$503,"&gt;="&amp;DATE(ano_ref,2,1),Programação!$G$4:$G$503,"&lt;="&amp;EOMONTH(DATE(ano_ref,2,1),0))&gt;0,"✔",IF(AND(ISNUMBER(Planos!$G199),IFERROR(INDEX(lst_frequencia_meses,MATCH(Planos!$E199,lst_frequencia,0)),0)&gt;0,(ano_ref*12+2)-(YEAR(Planos!$G199)*12+MONTH(Planos!$G199))&gt;0,MOD((ano_ref*12+2)-(YEAR(Planos!$G199)*12+MONTH(Planos!$G199)),MAX(1,IFERROR(INDEX(lst_frequencia_meses,MATCH(Planos!$E199,lst_frequencia,0)),0)))=0),"●","")))</f>
      </c>
      <c r="F200" s="43">
        <f>IF(NOT(Planos!$A199&lt;&gt;""),"",IF(COUNTIFS(Programação!$B$4:$B$503,Planos!$A199,Programação!$I$4:$I$503,"Concluído",Programação!$G$4:$G$503,"&gt;="&amp;DATE(ano_ref,3,1),Programação!$G$4:$G$503,"&lt;="&amp;EOMONTH(DATE(ano_ref,3,1),0))&gt;0,"✔",IF(AND(ISNUMBER(Planos!$G199),IFERROR(INDEX(lst_frequencia_meses,MATCH(Planos!$E199,lst_frequencia,0)),0)&gt;0,(ano_ref*12+3)-(YEAR(Planos!$G199)*12+MONTH(Planos!$G199))&gt;0,MOD((ano_ref*12+3)-(YEAR(Planos!$G199)*12+MONTH(Planos!$G199)),MAX(1,IFERROR(INDEX(lst_frequencia_meses,MATCH(Planos!$E199,lst_frequencia,0)),0)))=0),"●","")))</f>
      </c>
      <c r="G200" s="43">
        <f>IF(NOT(Planos!$A199&lt;&gt;""),"",IF(COUNTIFS(Programação!$B$4:$B$503,Planos!$A199,Programação!$I$4:$I$503,"Concluído",Programação!$G$4:$G$503,"&gt;="&amp;DATE(ano_ref,4,1),Programação!$G$4:$G$503,"&lt;="&amp;EOMONTH(DATE(ano_ref,4,1),0))&gt;0,"✔",IF(AND(ISNUMBER(Planos!$G199),IFERROR(INDEX(lst_frequencia_meses,MATCH(Planos!$E199,lst_frequencia,0)),0)&gt;0,(ano_ref*12+4)-(YEAR(Planos!$G199)*12+MONTH(Planos!$G199))&gt;0,MOD((ano_ref*12+4)-(YEAR(Planos!$G199)*12+MONTH(Planos!$G199)),MAX(1,IFERROR(INDEX(lst_frequencia_meses,MATCH(Planos!$E199,lst_frequencia,0)),0)))=0),"●","")))</f>
      </c>
      <c r="H200" s="43">
        <f>IF(NOT(Planos!$A199&lt;&gt;""),"",IF(COUNTIFS(Programação!$B$4:$B$503,Planos!$A199,Programação!$I$4:$I$503,"Concluído",Programação!$G$4:$G$503,"&gt;="&amp;DATE(ano_ref,5,1),Programação!$G$4:$G$503,"&lt;="&amp;EOMONTH(DATE(ano_ref,5,1),0))&gt;0,"✔",IF(AND(ISNUMBER(Planos!$G199),IFERROR(INDEX(lst_frequencia_meses,MATCH(Planos!$E199,lst_frequencia,0)),0)&gt;0,(ano_ref*12+5)-(YEAR(Planos!$G199)*12+MONTH(Planos!$G199))&gt;0,MOD((ano_ref*12+5)-(YEAR(Planos!$G199)*12+MONTH(Planos!$G199)),MAX(1,IFERROR(INDEX(lst_frequencia_meses,MATCH(Planos!$E199,lst_frequencia,0)),0)))=0),"●","")))</f>
      </c>
      <c r="I200" s="43">
        <f>IF(NOT(Planos!$A199&lt;&gt;""),"",IF(COUNTIFS(Programação!$B$4:$B$503,Planos!$A199,Programação!$I$4:$I$503,"Concluído",Programação!$G$4:$G$503,"&gt;="&amp;DATE(ano_ref,6,1),Programação!$G$4:$G$503,"&lt;="&amp;EOMONTH(DATE(ano_ref,6,1),0))&gt;0,"✔",IF(AND(ISNUMBER(Planos!$G199),IFERROR(INDEX(lst_frequencia_meses,MATCH(Planos!$E199,lst_frequencia,0)),0)&gt;0,(ano_ref*12+6)-(YEAR(Planos!$G199)*12+MONTH(Planos!$G199))&gt;0,MOD((ano_ref*12+6)-(YEAR(Planos!$G199)*12+MONTH(Planos!$G199)),MAX(1,IFERROR(INDEX(lst_frequencia_meses,MATCH(Planos!$E199,lst_frequencia,0)),0)))=0),"●","")))</f>
      </c>
      <c r="J200" s="43">
        <f>IF(NOT(Planos!$A199&lt;&gt;""),"",IF(COUNTIFS(Programação!$B$4:$B$503,Planos!$A199,Programação!$I$4:$I$503,"Concluído",Programação!$G$4:$G$503,"&gt;="&amp;DATE(ano_ref,7,1),Programação!$G$4:$G$503,"&lt;="&amp;EOMONTH(DATE(ano_ref,7,1),0))&gt;0,"✔",IF(AND(ISNUMBER(Planos!$G199),IFERROR(INDEX(lst_frequencia_meses,MATCH(Planos!$E199,lst_frequencia,0)),0)&gt;0,(ano_ref*12+7)-(YEAR(Planos!$G199)*12+MONTH(Planos!$G199))&gt;0,MOD((ano_ref*12+7)-(YEAR(Planos!$G199)*12+MONTH(Planos!$G199)),MAX(1,IFERROR(INDEX(lst_frequencia_meses,MATCH(Planos!$E199,lst_frequencia,0)),0)))=0),"●","")))</f>
      </c>
      <c r="K200" s="43">
        <f>IF(NOT(Planos!$A199&lt;&gt;""),"",IF(COUNTIFS(Programação!$B$4:$B$503,Planos!$A199,Programação!$I$4:$I$503,"Concluído",Programação!$G$4:$G$503,"&gt;="&amp;DATE(ano_ref,8,1),Programação!$G$4:$G$503,"&lt;="&amp;EOMONTH(DATE(ano_ref,8,1),0))&gt;0,"✔",IF(AND(ISNUMBER(Planos!$G199),IFERROR(INDEX(lst_frequencia_meses,MATCH(Planos!$E199,lst_frequencia,0)),0)&gt;0,(ano_ref*12+8)-(YEAR(Planos!$G199)*12+MONTH(Planos!$G199))&gt;0,MOD((ano_ref*12+8)-(YEAR(Planos!$G199)*12+MONTH(Planos!$G199)),MAX(1,IFERROR(INDEX(lst_frequencia_meses,MATCH(Planos!$E199,lst_frequencia,0)),0)))=0),"●","")))</f>
      </c>
      <c r="L200" s="43">
        <f>IF(NOT(Planos!$A199&lt;&gt;""),"",IF(COUNTIFS(Programação!$B$4:$B$503,Planos!$A199,Programação!$I$4:$I$503,"Concluído",Programação!$G$4:$G$503,"&gt;="&amp;DATE(ano_ref,9,1),Programação!$G$4:$G$503,"&lt;="&amp;EOMONTH(DATE(ano_ref,9,1),0))&gt;0,"✔",IF(AND(ISNUMBER(Planos!$G199),IFERROR(INDEX(lst_frequencia_meses,MATCH(Planos!$E199,lst_frequencia,0)),0)&gt;0,(ano_ref*12+9)-(YEAR(Planos!$G199)*12+MONTH(Planos!$G199))&gt;0,MOD((ano_ref*12+9)-(YEAR(Planos!$G199)*12+MONTH(Planos!$G199)),MAX(1,IFERROR(INDEX(lst_frequencia_meses,MATCH(Planos!$E199,lst_frequencia,0)),0)))=0),"●","")))</f>
      </c>
      <c r="M200" s="43">
        <f>IF(NOT(Planos!$A199&lt;&gt;""),"",IF(COUNTIFS(Programação!$B$4:$B$503,Planos!$A199,Programação!$I$4:$I$503,"Concluído",Programação!$G$4:$G$503,"&gt;="&amp;DATE(ano_ref,10,1),Programação!$G$4:$G$503,"&lt;="&amp;EOMONTH(DATE(ano_ref,10,1),0))&gt;0,"✔",IF(AND(ISNUMBER(Planos!$G199),IFERROR(INDEX(lst_frequencia_meses,MATCH(Planos!$E199,lst_frequencia,0)),0)&gt;0,(ano_ref*12+10)-(YEAR(Planos!$G199)*12+MONTH(Planos!$G199))&gt;0,MOD((ano_ref*12+10)-(YEAR(Planos!$G199)*12+MONTH(Planos!$G199)),MAX(1,IFERROR(INDEX(lst_frequencia_meses,MATCH(Planos!$E199,lst_frequencia,0)),0)))=0),"●","")))</f>
      </c>
      <c r="N200" s="43">
        <f>IF(NOT(Planos!$A199&lt;&gt;""),"",IF(COUNTIFS(Programação!$B$4:$B$503,Planos!$A199,Programação!$I$4:$I$503,"Concluído",Programação!$G$4:$G$503,"&gt;="&amp;DATE(ano_ref,11,1),Programação!$G$4:$G$503,"&lt;="&amp;EOMONTH(DATE(ano_ref,11,1),0))&gt;0,"✔",IF(AND(ISNUMBER(Planos!$G199),IFERROR(INDEX(lst_frequencia_meses,MATCH(Planos!$E199,lst_frequencia,0)),0)&gt;0,(ano_ref*12+11)-(YEAR(Planos!$G199)*12+MONTH(Planos!$G199))&gt;0,MOD((ano_ref*12+11)-(YEAR(Planos!$G199)*12+MONTH(Planos!$G199)),MAX(1,IFERROR(INDEX(lst_frequencia_meses,MATCH(Planos!$E199,lst_frequencia,0)),0)))=0),"●","")))</f>
      </c>
      <c r="O200" s="43">
        <f>IF(NOT(Planos!$A199&lt;&gt;""),"",IF(COUNTIFS(Programação!$B$4:$B$503,Planos!$A199,Programação!$I$4:$I$503,"Concluído",Programação!$G$4:$G$503,"&gt;="&amp;DATE(ano_ref,12,1),Programação!$G$4:$G$503,"&lt;="&amp;EOMONTH(DATE(ano_ref,12,1),0))&gt;0,"✔",IF(AND(ISNUMBER(Planos!$G199),IFERROR(INDEX(lst_frequencia_meses,MATCH(Planos!$E199,lst_frequencia,0)),0)&gt;0,(ano_ref*12+12)-(YEAR(Planos!$G199)*12+MONTH(Planos!$G199))&gt;0,MOD((ano_ref*12+12)-(YEAR(Planos!$G199)*12+MONTH(Planos!$G199)),MAX(1,IFERROR(INDEX(lst_frequencia_meses,MATCH(Planos!$E199,lst_frequencia,0)),0)))=0),"●","")))</f>
      </c>
      <c r="P200" s="44">
        <f>IF(COUNTIF(D200:O200,"✔")+COUNTIF(D200:O200,"●")=0,"",COUNTIF(D200:O200,"✔")/(COUNTIF(D200:O200,"✔")+COUNTIF(D200:O200,"●")))</f>
      </c>
    </row>
    <row r="201" spans="1:16" x14ac:dyDescent="0.25">
      <c r="A201" s="43">
        <f>IF(Planos!$A200&lt;&gt;"",Planos!A200&amp;"","")</f>
      </c>
      <c r="B201" s="43">
        <f>IF(Planos!$A200&lt;&gt;"",Planos!B200&amp;"","")</f>
      </c>
      <c r="C201" s="24">
        <f>IF(Planos!$A200&lt;&gt;"",Planos!C200&amp;"","")</f>
      </c>
      <c r="D201" s="43">
        <f>IF(NOT(Planos!$A200&lt;&gt;""),"",IF(COUNTIFS(Programação!$B$4:$B$503,Planos!$A200,Programação!$I$4:$I$503,"Concluído",Programação!$G$4:$G$503,"&gt;="&amp;DATE(ano_ref,1,1),Programação!$G$4:$G$503,"&lt;="&amp;EOMONTH(DATE(ano_ref,1,1),0))&gt;0,"✔",IF(AND(ISNUMBER(Planos!$G200),IFERROR(INDEX(lst_frequencia_meses,MATCH(Planos!$E200,lst_frequencia,0)),0)&gt;0,(ano_ref*12+1)-(YEAR(Planos!$G200)*12+MONTH(Planos!$G200))&gt;0,MOD((ano_ref*12+1)-(YEAR(Planos!$G200)*12+MONTH(Planos!$G200)),MAX(1,IFERROR(INDEX(lst_frequencia_meses,MATCH(Planos!$E200,lst_frequencia,0)),0)))=0),"●","")))</f>
      </c>
      <c r="E201" s="43">
        <f>IF(NOT(Planos!$A200&lt;&gt;""),"",IF(COUNTIFS(Programação!$B$4:$B$503,Planos!$A200,Programação!$I$4:$I$503,"Concluído",Programação!$G$4:$G$503,"&gt;="&amp;DATE(ano_ref,2,1),Programação!$G$4:$G$503,"&lt;="&amp;EOMONTH(DATE(ano_ref,2,1),0))&gt;0,"✔",IF(AND(ISNUMBER(Planos!$G200),IFERROR(INDEX(lst_frequencia_meses,MATCH(Planos!$E200,lst_frequencia,0)),0)&gt;0,(ano_ref*12+2)-(YEAR(Planos!$G200)*12+MONTH(Planos!$G200))&gt;0,MOD((ano_ref*12+2)-(YEAR(Planos!$G200)*12+MONTH(Planos!$G200)),MAX(1,IFERROR(INDEX(lst_frequencia_meses,MATCH(Planos!$E200,lst_frequencia,0)),0)))=0),"●","")))</f>
      </c>
      <c r="F201" s="43">
        <f>IF(NOT(Planos!$A200&lt;&gt;""),"",IF(COUNTIFS(Programação!$B$4:$B$503,Planos!$A200,Programação!$I$4:$I$503,"Concluído",Programação!$G$4:$G$503,"&gt;="&amp;DATE(ano_ref,3,1),Programação!$G$4:$G$503,"&lt;="&amp;EOMONTH(DATE(ano_ref,3,1),0))&gt;0,"✔",IF(AND(ISNUMBER(Planos!$G200),IFERROR(INDEX(lst_frequencia_meses,MATCH(Planos!$E200,lst_frequencia,0)),0)&gt;0,(ano_ref*12+3)-(YEAR(Planos!$G200)*12+MONTH(Planos!$G200))&gt;0,MOD((ano_ref*12+3)-(YEAR(Planos!$G200)*12+MONTH(Planos!$G200)),MAX(1,IFERROR(INDEX(lst_frequencia_meses,MATCH(Planos!$E200,lst_frequencia,0)),0)))=0),"●","")))</f>
      </c>
      <c r="G201" s="43">
        <f>IF(NOT(Planos!$A200&lt;&gt;""),"",IF(COUNTIFS(Programação!$B$4:$B$503,Planos!$A200,Programação!$I$4:$I$503,"Concluído",Programação!$G$4:$G$503,"&gt;="&amp;DATE(ano_ref,4,1),Programação!$G$4:$G$503,"&lt;="&amp;EOMONTH(DATE(ano_ref,4,1),0))&gt;0,"✔",IF(AND(ISNUMBER(Planos!$G200),IFERROR(INDEX(lst_frequencia_meses,MATCH(Planos!$E200,lst_frequencia,0)),0)&gt;0,(ano_ref*12+4)-(YEAR(Planos!$G200)*12+MONTH(Planos!$G200))&gt;0,MOD((ano_ref*12+4)-(YEAR(Planos!$G200)*12+MONTH(Planos!$G200)),MAX(1,IFERROR(INDEX(lst_frequencia_meses,MATCH(Planos!$E200,lst_frequencia,0)),0)))=0),"●","")))</f>
      </c>
      <c r="H201" s="43">
        <f>IF(NOT(Planos!$A200&lt;&gt;""),"",IF(COUNTIFS(Programação!$B$4:$B$503,Planos!$A200,Programação!$I$4:$I$503,"Concluído",Programação!$G$4:$G$503,"&gt;="&amp;DATE(ano_ref,5,1),Programação!$G$4:$G$503,"&lt;="&amp;EOMONTH(DATE(ano_ref,5,1),0))&gt;0,"✔",IF(AND(ISNUMBER(Planos!$G200),IFERROR(INDEX(lst_frequencia_meses,MATCH(Planos!$E200,lst_frequencia,0)),0)&gt;0,(ano_ref*12+5)-(YEAR(Planos!$G200)*12+MONTH(Planos!$G200))&gt;0,MOD((ano_ref*12+5)-(YEAR(Planos!$G200)*12+MONTH(Planos!$G200)),MAX(1,IFERROR(INDEX(lst_frequencia_meses,MATCH(Planos!$E200,lst_frequencia,0)),0)))=0),"●","")))</f>
      </c>
      <c r="I201" s="43">
        <f>IF(NOT(Planos!$A200&lt;&gt;""),"",IF(COUNTIFS(Programação!$B$4:$B$503,Planos!$A200,Programação!$I$4:$I$503,"Concluído",Programação!$G$4:$G$503,"&gt;="&amp;DATE(ano_ref,6,1),Programação!$G$4:$G$503,"&lt;="&amp;EOMONTH(DATE(ano_ref,6,1),0))&gt;0,"✔",IF(AND(ISNUMBER(Planos!$G200),IFERROR(INDEX(lst_frequencia_meses,MATCH(Planos!$E200,lst_frequencia,0)),0)&gt;0,(ano_ref*12+6)-(YEAR(Planos!$G200)*12+MONTH(Planos!$G200))&gt;0,MOD((ano_ref*12+6)-(YEAR(Planos!$G200)*12+MONTH(Planos!$G200)),MAX(1,IFERROR(INDEX(lst_frequencia_meses,MATCH(Planos!$E200,lst_frequencia,0)),0)))=0),"●","")))</f>
      </c>
      <c r="J201" s="43">
        <f>IF(NOT(Planos!$A200&lt;&gt;""),"",IF(COUNTIFS(Programação!$B$4:$B$503,Planos!$A200,Programação!$I$4:$I$503,"Concluído",Programação!$G$4:$G$503,"&gt;="&amp;DATE(ano_ref,7,1),Programação!$G$4:$G$503,"&lt;="&amp;EOMONTH(DATE(ano_ref,7,1),0))&gt;0,"✔",IF(AND(ISNUMBER(Planos!$G200),IFERROR(INDEX(lst_frequencia_meses,MATCH(Planos!$E200,lst_frequencia,0)),0)&gt;0,(ano_ref*12+7)-(YEAR(Planos!$G200)*12+MONTH(Planos!$G200))&gt;0,MOD((ano_ref*12+7)-(YEAR(Planos!$G200)*12+MONTH(Planos!$G200)),MAX(1,IFERROR(INDEX(lst_frequencia_meses,MATCH(Planos!$E200,lst_frequencia,0)),0)))=0),"●","")))</f>
      </c>
      <c r="K201" s="43">
        <f>IF(NOT(Planos!$A200&lt;&gt;""),"",IF(COUNTIFS(Programação!$B$4:$B$503,Planos!$A200,Programação!$I$4:$I$503,"Concluído",Programação!$G$4:$G$503,"&gt;="&amp;DATE(ano_ref,8,1),Programação!$G$4:$G$503,"&lt;="&amp;EOMONTH(DATE(ano_ref,8,1),0))&gt;0,"✔",IF(AND(ISNUMBER(Planos!$G200),IFERROR(INDEX(lst_frequencia_meses,MATCH(Planos!$E200,lst_frequencia,0)),0)&gt;0,(ano_ref*12+8)-(YEAR(Planos!$G200)*12+MONTH(Planos!$G200))&gt;0,MOD((ano_ref*12+8)-(YEAR(Planos!$G200)*12+MONTH(Planos!$G200)),MAX(1,IFERROR(INDEX(lst_frequencia_meses,MATCH(Planos!$E200,lst_frequencia,0)),0)))=0),"●","")))</f>
      </c>
      <c r="L201" s="43">
        <f>IF(NOT(Planos!$A200&lt;&gt;""),"",IF(COUNTIFS(Programação!$B$4:$B$503,Planos!$A200,Programação!$I$4:$I$503,"Concluído",Programação!$G$4:$G$503,"&gt;="&amp;DATE(ano_ref,9,1),Programação!$G$4:$G$503,"&lt;="&amp;EOMONTH(DATE(ano_ref,9,1),0))&gt;0,"✔",IF(AND(ISNUMBER(Planos!$G200),IFERROR(INDEX(lst_frequencia_meses,MATCH(Planos!$E200,lst_frequencia,0)),0)&gt;0,(ano_ref*12+9)-(YEAR(Planos!$G200)*12+MONTH(Planos!$G200))&gt;0,MOD((ano_ref*12+9)-(YEAR(Planos!$G200)*12+MONTH(Planos!$G200)),MAX(1,IFERROR(INDEX(lst_frequencia_meses,MATCH(Planos!$E200,lst_frequencia,0)),0)))=0),"●","")))</f>
      </c>
      <c r="M201" s="43">
        <f>IF(NOT(Planos!$A200&lt;&gt;""),"",IF(COUNTIFS(Programação!$B$4:$B$503,Planos!$A200,Programação!$I$4:$I$503,"Concluído",Programação!$G$4:$G$503,"&gt;="&amp;DATE(ano_ref,10,1),Programação!$G$4:$G$503,"&lt;="&amp;EOMONTH(DATE(ano_ref,10,1),0))&gt;0,"✔",IF(AND(ISNUMBER(Planos!$G200),IFERROR(INDEX(lst_frequencia_meses,MATCH(Planos!$E200,lst_frequencia,0)),0)&gt;0,(ano_ref*12+10)-(YEAR(Planos!$G200)*12+MONTH(Planos!$G200))&gt;0,MOD((ano_ref*12+10)-(YEAR(Planos!$G200)*12+MONTH(Planos!$G200)),MAX(1,IFERROR(INDEX(lst_frequencia_meses,MATCH(Planos!$E200,lst_frequencia,0)),0)))=0),"●","")))</f>
      </c>
      <c r="N201" s="43">
        <f>IF(NOT(Planos!$A200&lt;&gt;""),"",IF(COUNTIFS(Programação!$B$4:$B$503,Planos!$A200,Programação!$I$4:$I$503,"Concluído",Programação!$G$4:$G$503,"&gt;="&amp;DATE(ano_ref,11,1),Programação!$G$4:$G$503,"&lt;="&amp;EOMONTH(DATE(ano_ref,11,1),0))&gt;0,"✔",IF(AND(ISNUMBER(Planos!$G200),IFERROR(INDEX(lst_frequencia_meses,MATCH(Planos!$E200,lst_frequencia,0)),0)&gt;0,(ano_ref*12+11)-(YEAR(Planos!$G200)*12+MONTH(Planos!$G200))&gt;0,MOD((ano_ref*12+11)-(YEAR(Planos!$G200)*12+MONTH(Planos!$G200)),MAX(1,IFERROR(INDEX(lst_frequencia_meses,MATCH(Planos!$E200,lst_frequencia,0)),0)))=0),"●","")))</f>
      </c>
      <c r="O201" s="43">
        <f>IF(NOT(Planos!$A200&lt;&gt;""),"",IF(COUNTIFS(Programação!$B$4:$B$503,Planos!$A200,Programação!$I$4:$I$503,"Concluído",Programação!$G$4:$G$503,"&gt;="&amp;DATE(ano_ref,12,1),Programação!$G$4:$G$503,"&lt;="&amp;EOMONTH(DATE(ano_ref,12,1),0))&gt;0,"✔",IF(AND(ISNUMBER(Planos!$G200),IFERROR(INDEX(lst_frequencia_meses,MATCH(Planos!$E200,lst_frequencia,0)),0)&gt;0,(ano_ref*12+12)-(YEAR(Planos!$G200)*12+MONTH(Planos!$G200))&gt;0,MOD((ano_ref*12+12)-(YEAR(Planos!$G200)*12+MONTH(Planos!$G200)),MAX(1,IFERROR(INDEX(lst_frequencia_meses,MATCH(Planos!$E200,lst_frequencia,0)),0)))=0),"●","")))</f>
      </c>
      <c r="P201" s="44">
        <f>IF(COUNTIF(D201:O201,"✔")+COUNTIF(D201:O201,"●")=0,"",COUNTIF(D201:O201,"✔")/(COUNTIF(D201:O201,"✔")+COUNTIF(D201:O201,"●")))</f>
      </c>
    </row>
    <row r="202" spans="1:16" x14ac:dyDescent="0.25">
      <c r="A202" s="43">
        <f>IF(Planos!$A201&lt;&gt;"",Planos!A201&amp;"","")</f>
      </c>
      <c r="B202" s="43">
        <f>IF(Planos!$A201&lt;&gt;"",Planos!B201&amp;"","")</f>
      </c>
      <c r="C202" s="24">
        <f>IF(Planos!$A201&lt;&gt;"",Planos!C201&amp;"","")</f>
      </c>
      <c r="D202" s="43">
        <f>IF(NOT(Planos!$A201&lt;&gt;""),"",IF(COUNTIFS(Programação!$B$4:$B$503,Planos!$A201,Programação!$I$4:$I$503,"Concluído",Programação!$G$4:$G$503,"&gt;="&amp;DATE(ano_ref,1,1),Programação!$G$4:$G$503,"&lt;="&amp;EOMONTH(DATE(ano_ref,1,1),0))&gt;0,"✔",IF(AND(ISNUMBER(Planos!$G201),IFERROR(INDEX(lst_frequencia_meses,MATCH(Planos!$E201,lst_frequencia,0)),0)&gt;0,(ano_ref*12+1)-(YEAR(Planos!$G201)*12+MONTH(Planos!$G201))&gt;0,MOD((ano_ref*12+1)-(YEAR(Planos!$G201)*12+MONTH(Planos!$G201)),MAX(1,IFERROR(INDEX(lst_frequencia_meses,MATCH(Planos!$E201,lst_frequencia,0)),0)))=0),"●","")))</f>
      </c>
      <c r="E202" s="43">
        <f>IF(NOT(Planos!$A201&lt;&gt;""),"",IF(COUNTIFS(Programação!$B$4:$B$503,Planos!$A201,Programação!$I$4:$I$503,"Concluído",Programação!$G$4:$G$503,"&gt;="&amp;DATE(ano_ref,2,1),Programação!$G$4:$G$503,"&lt;="&amp;EOMONTH(DATE(ano_ref,2,1),0))&gt;0,"✔",IF(AND(ISNUMBER(Planos!$G201),IFERROR(INDEX(lst_frequencia_meses,MATCH(Planos!$E201,lst_frequencia,0)),0)&gt;0,(ano_ref*12+2)-(YEAR(Planos!$G201)*12+MONTH(Planos!$G201))&gt;0,MOD((ano_ref*12+2)-(YEAR(Planos!$G201)*12+MONTH(Planos!$G201)),MAX(1,IFERROR(INDEX(lst_frequencia_meses,MATCH(Planos!$E201,lst_frequencia,0)),0)))=0),"●","")))</f>
      </c>
      <c r="F202" s="43">
        <f>IF(NOT(Planos!$A201&lt;&gt;""),"",IF(COUNTIFS(Programação!$B$4:$B$503,Planos!$A201,Programação!$I$4:$I$503,"Concluído",Programação!$G$4:$G$503,"&gt;="&amp;DATE(ano_ref,3,1),Programação!$G$4:$G$503,"&lt;="&amp;EOMONTH(DATE(ano_ref,3,1),0))&gt;0,"✔",IF(AND(ISNUMBER(Planos!$G201),IFERROR(INDEX(lst_frequencia_meses,MATCH(Planos!$E201,lst_frequencia,0)),0)&gt;0,(ano_ref*12+3)-(YEAR(Planos!$G201)*12+MONTH(Planos!$G201))&gt;0,MOD((ano_ref*12+3)-(YEAR(Planos!$G201)*12+MONTH(Planos!$G201)),MAX(1,IFERROR(INDEX(lst_frequencia_meses,MATCH(Planos!$E201,lst_frequencia,0)),0)))=0),"●","")))</f>
      </c>
      <c r="G202" s="43">
        <f>IF(NOT(Planos!$A201&lt;&gt;""),"",IF(COUNTIFS(Programação!$B$4:$B$503,Planos!$A201,Programação!$I$4:$I$503,"Concluído",Programação!$G$4:$G$503,"&gt;="&amp;DATE(ano_ref,4,1),Programação!$G$4:$G$503,"&lt;="&amp;EOMONTH(DATE(ano_ref,4,1),0))&gt;0,"✔",IF(AND(ISNUMBER(Planos!$G201),IFERROR(INDEX(lst_frequencia_meses,MATCH(Planos!$E201,lst_frequencia,0)),0)&gt;0,(ano_ref*12+4)-(YEAR(Planos!$G201)*12+MONTH(Planos!$G201))&gt;0,MOD((ano_ref*12+4)-(YEAR(Planos!$G201)*12+MONTH(Planos!$G201)),MAX(1,IFERROR(INDEX(lst_frequencia_meses,MATCH(Planos!$E201,lst_frequencia,0)),0)))=0),"●","")))</f>
      </c>
      <c r="H202" s="43">
        <f>IF(NOT(Planos!$A201&lt;&gt;""),"",IF(COUNTIFS(Programação!$B$4:$B$503,Planos!$A201,Programação!$I$4:$I$503,"Concluído",Programação!$G$4:$G$503,"&gt;="&amp;DATE(ano_ref,5,1),Programação!$G$4:$G$503,"&lt;="&amp;EOMONTH(DATE(ano_ref,5,1),0))&gt;0,"✔",IF(AND(ISNUMBER(Planos!$G201),IFERROR(INDEX(lst_frequencia_meses,MATCH(Planos!$E201,lst_frequencia,0)),0)&gt;0,(ano_ref*12+5)-(YEAR(Planos!$G201)*12+MONTH(Planos!$G201))&gt;0,MOD((ano_ref*12+5)-(YEAR(Planos!$G201)*12+MONTH(Planos!$G201)),MAX(1,IFERROR(INDEX(lst_frequencia_meses,MATCH(Planos!$E201,lst_frequencia,0)),0)))=0),"●","")))</f>
      </c>
      <c r="I202" s="43">
        <f>IF(NOT(Planos!$A201&lt;&gt;""),"",IF(COUNTIFS(Programação!$B$4:$B$503,Planos!$A201,Programação!$I$4:$I$503,"Concluído",Programação!$G$4:$G$503,"&gt;="&amp;DATE(ano_ref,6,1),Programação!$G$4:$G$503,"&lt;="&amp;EOMONTH(DATE(ano_ref,6,1),0))&gt;0,"✔",IF(AND(ISNUMBER(Planos!$G201),IFERROR(INDEX(lst_frequencia_meses,MATCH(Planos!$E201,lst_frequencia,0)),0)&gt;0,(ano_ref*12+6)-(YEAR(Planos!$G201)*12+MONTH(Planos!$G201))&gt;0,MOD((ano_ref*12+6)-(YEAR(Planos!$G201)*12+MONTH(Planos!$G201)),MAX(1,IFERROR(INDEX(lst_frequencia_meses,MATCH(Planos!$E201,lst_frequencia,0)),0)))=0),"●","")))</f>
      </c>
      <c r="J202" s="43">
        <f>IF(NOT(Planos!$A201&lt;&gt;""),"",IF(COUNTIFS(Programação!$B$4:$B$503,Planos!$A201,Programação!$I$4:$I$503,"Concluído",Programação!$G$4:$G$503,"&gt;="&amp;DATE(ano_ref,7,1),Programação!$G$4:$G$503,"&lt;="&amp;EOMONTH(DATE(ano_ref,7,1),0))&gt;0,"✔",IF(AND(ISNUMBER(Planos!$G201),IFERROR(INDEX(lst_frequencia_meses,MATCH(Planos!$E201,lst_frequencia,0)),0)&gt;0,(ano_ref*12+7)-(YEAR(Planos!$G201)*12+MONTH(Planos!$G201))&gt;0,MOD((ano_ref*12+7)-(YEAR(Planos!$G201)*12+MONTH(Planos!$G201)),MAX(1,IFERROR(INDEX(lst_frequencia_meses,MATCH(Planos!$E201,lst_frequencia,0)),0)))=0),"●","")))</f>
      </c>
      <c r="K202" s="43">
        <f>IF(NOT(Planos!$A201&lt;&gt;""),"",IF(COUNTIFS(Programação!$B$4:$B$503,Planos!$A201,Programação!$I$4:$I$503,"Concluído",Programação!$G$4:$G$503,"&gt;="&amp;DATE(ano_ref,8,1),Programação!$G$4:$G$503,"&lt;="&amp;EOMONTH(DATE(ano_ref,8,1),0))&gt;0,"✔",IF(AND(ISNUMBER(Planos!$G201),IFERROR(INDEX(lst_frequencia_meses,MATCH(Planos!$E201,lst_frequencia,0)),0)&gt;0,(ano_ref*12+8)-(YEAR(Planos!$G201)*12+MONTH(Planos!$G201))&gt;0,MOD((ano_ref*12+8)-(YEAR(Planos!$G201)*12+MONTH(Planos!$G201)),MAX(1,IFERROR(INDEX(lst_frequencia_meses,MATCH(Planos!$E201,lst_frequencia,0)),0)))=0),"●","")))</f>
      </c>
      <c r="L202" s="43">
        <f>IF(NOT(Planos!$A201&lt;&gt;""),"",IF(COUNTIFS(Programação!$B$4:$B$503,Planos!$A201,Programação!$I$4:$I$503,"Concluído",Programação!$G$4:$G$503,"&gt;="&amp;DATE(ano_ref,9,1),Programação!$G$4:$G$503,"&lt;="&amp;EOMONTH(DATE(ano_ref,9,1),0))&gt;0,"✔",IF(AND(ISNUMBER(Planos!$G201),IFERROR(INDEX(lst_frequencia_meses,MATCH(Planos!$E201,lst_frequencia,0)),0)&gt;0,(ano_ref*12+9)-(YEAR(Planos!$G201)*12+MONTH(Planos!$G201))&gt;0,MOD((ano_ref*12+9)-(YEAR(Planos!$G201)*12+MONTH(Planos!$G201)),MAX(1,IFERROR(INDEX(lst_frequencia_meses,MATCH(Planos!$E201,lst_frequencia,0)),0)))=0),"●","")))</f>
      </c>
      <c r="M202" s="43">
        <f>IF(NOT(Planos!$A201&lt;&gt;""),"",IF(COUNTIFS(Programação!$B$4:$B$503,Planos!$A201,Programação!$I$4:$I$503,"Concluído",Programação!$G$4:$G$503,"&gt;="&amp;DATE(ano_ref,10,1),Programação!$G$4:$G$503,"&lt;="&amp;EOMONTH(DATE(ano_ref,10,1),0))&gt;0,"✔",IF(AND(ISNUMBER(Planos!$G201),IFERROR(INDEX(lst_frequencia_meses,MATCH(Planos!$E201,lst_frequencia,0)),0)&gt;0,(ano_ref*12+10)-(YEAR(Planos!$G201)*12+MONTH(Planos!$G201))&gt;0,MOD((ano_ref*12+10)-(YEAR(Planos!$G201)*12+MONTH(Planos!$G201)),MAX(1,IFERROR(INDEX(lst_frequencia_meses,MATCH(Planos!$E201,lst_frequencia,0)),0)))=0),"●","")))</f>
      </c>
      <c r="N202" s="43">
        <f>IF(NOT(Planos!$A201&lt;&gt;""),"",IF(COUNTIFS(Programação!$B$4:$B$503,Planos!$A201,Programação!$I$4:$I$503,"Concluído",Programação!$G$4:$G$503,"&gt;="&amp;DATE(ano_ref,11,1),Programação!$G$4:$G$503,"&lt;="&amp;EOMONTH(DATE(ano_ref,11,1),0))&gt;0,"✔",IF(AND(ISNUMBER(Planos!$G201),IFERROR(INDEX(lst_frequencia_meses,MATCH(Planos!$E201,lst_frequencia,0)),0)&gt;0,(ano_ref*12+11)-(YEAR(Planos!$G201)*12+MONTH(Planos!$G201))&gt;0,MOD((ano_ref*12+11)-(YEAR(Planos!$G201)*12+MONTH(Planos!$G201)),MAX(1,IFERROR(INDEX(lst_frequencia_meses,MATCH(Planos!$E201,lst_frequencia,0)),0)))=0),"●","")))</f>
      </c>
      <c r="O202" s="43">
        <f>IF(NOT(Planos!$A201&lt;&gt;""),"",IF(COUNTIFS(Programação!$B$4:$B$503,Planos!$A201,Programação!$I$4:$I$503,"Concluído",Programação!$G$4:$G$503,"&gt;="&amp;DATE(ano_ref,12,1),Programação!$G$4:$G$503,"&lt;="&amp;EOMONTH(DATE(ano_ref,12,1),0))&gt;0,"✔",IF(AND(ISNUMBER(Planos!$G201),IFERROR(INDEX(lst_frequencia_meses,MATCH(Planos!$E201,lst_frequencia,0)),0)&gt;0,(ano_ref*12+12)-(YEAR(Planos!$G201)*12+MONTH(Planos!$G201))&gt;0,MOD((ano_ref*12+12)-(YEAR(Planos!$G201)*12+MONTH(Planos!$G201)),MAX(1,IFERROR(INDEX(lst_frequencia_meses,MATCH(Planos!$E201,lst_frequencia,0)),0)))=0),"●","")))</f>
      </c>
      <c r="P202" s="44">
        <f>IF(COUNTIF(D202:O202,"✔")+COUNTIF(D202:O202,"●")=0,"",COUNTIF(D202:O202,"✔")/(COUNTIF(D202:O202,"✔")+COUNTIF(D202:O202,"●")))</f>
      </c>
    </row>
    <row r="203" spans="1:16" x14ac:dyDescent="0.25">
      <c r="A203" s="43">
        <f>IF(Planos!$A202&lt;&gt;"",Planos!A202&amp;"","")</f>
      </c>
      <c r="B203" s="43">
        <f>IF(Planos!$A202&lt;&gt;"",Planos!B202&amp;"","")</f>
      </c>
      <c r="C203" s="24">
        <f>IF(Planos!$A202&lt;&gt;"",Planos!C202&amp;"","")</f>
      </c>
      <c r="D203" s="43">
        <f>IF(NOT(Planos!$A202&lt;&gt;""),"",IF(COUNTIFS(Programação!$B$4:$B$503,Planos!$A202,Programação!$I$4:$I$503,"Concluído",Programação!$G$4:$G$503,"&gt;="&amp;DATE(ano_ref,1,1),Programação!$G$4:$G$503,"&lt;="&amp;EOMONTH(DATE(ano_ref,1,1),0))&gt;0,"✔",IF(AND(ISNUMBER(Planos!$G202),IFERROR(INDEX(lst_frequencia_meses,MATCH(Planos!$E202,lst_frequencia,0)),0)&gt;0,(ano_ref*12+1)-(YEAR(Planos!$G202)*12+MONTH(Planos!$G202))&gt;0,MOD((ano_ref*12+1)-(YEAR(Planos!$G202)*12+MONTH(Planos!$G202)),MAX(1,IFERROR(INDEX(lst_frequencia_meses,MATCH(Planos!$E202,lst_frequencia,0)),0)))=0),"●","")))</f>
      </c>
      <c r="E203" s="43">
        <f>IF(NOT(Planos!$A202&lt;&gt;""),"",IF(COUNTIFS(Programação!$B$4:$B$503,Planos!$A202,Programação!$I$4:$I$503,"Concluído",Programação!$G$4:$G$503,"&gt;="&amp;DATE(ano_ref,2,1),Programação!$G$4:$G$503,"&lt;="&amp;EOMONTH(DATE(ano_ref,2,1),0))&gt;0,"✔",IF(AND(ISNUMBER(Planos!$G202),IFERROR(INDEX(lst_frequencia_meses,MATCH(Planos!$E202,lst_frequencia,0)),0)&gt;0,(ano_ref*12+2)-(YEAR(Planos!$G202)*12+MONTH(Planos!$G202))&gt;0,MOD((ano_ref*12+2)-(YEAR(Planos!$G202)*12+MONTH(Planos!$G202)),MAX(1,IFERROR(INDEX(lst_frequencia_meses,MATCH(Planos!$E202,lst_frequencia,0)),0)))=0),"●","")))</f>
      </c>
      <c r="F203" s="43">
        <f>IF(NOT(Planos!$A202&lt;&gt;""),"",IF(COUNTIFS(Programação!$B$4:$B$503,Planos!$A202,Programação!$I$4:$I$503,"Concluído",Programação!$G$4:$G$503,"&gt;="&amp;DATE(ano_ref,3,1),Programação!$G$4:$G$503,"&lt;="&amp;EOMONTH(DATE(ano_ref,3,1),0))&gt;0,"✔",IF(AND(ISNUMBER(Planos!$G202),IFERROR(INDEX(lst_frequencia_meses,MATCH(Planos!$E202,lst_frequencia,0)),0)&gt;0,(ano_ref*12+3)-(YEAR(Planos!$G202)*12+MONTH(Planos!$G202))&gt;0,MOD((ano_ref*12+3)-(YEAR(Planos!$G202)*12+MONTH(Planos!$G202)),MAX(1,IFERROR(INDEX(lst_frequencia_meses,MATCH(Planos!$E202,lst_frequencia,0)),0)))=0),"●","")))</f>
      </c>
      <c r="G203" s="43">
        <f>IF(NOT(Planos!$A202&lt;&gt;""),"",IF(COUNTIFS(Programação!$B$4:$B$503,Planos!$A202,Programação!$I$4:$I$503,"Concluído",Programação!$G$4:$G$503,"&gt;="&amp;DATE(ano_ref,4,1),Programação!$G$4:$G$503,"&lt;="&amp;EOMONTH(DATE(ano_ref,4,1),0))&gt;0,"✔",IF(AND(ISNUMBER(Planos!$G202),IFERROR(INDEX(lst_frequencia_meses,MATCH(Planos!$E202,lst_frequencia,0)),0)&gt;0,(ano_ref*12+4)-(YEAR(Planos!$G202)*12+MONTH(Planos!$G202))&gt;0,MOD((ano_ref*12+4)-(YEAR(Planos!$G202)*12+MONTH(Planos!$G202)),MAX(1,IFERROR(INDEX(lst_frequencia_meses,MATCH(Planos!$E202,lst_frequencia,0)),0)))=0),"●","")))</f>
      </c>
      <c r="H203" s="43">
        <f>IF(NOT(Planos!$A202&lt;&gt;""),"",IF(COUNTIFS(Programação!$B$4:$B$503,Planos!$A202,Programação!$I$4:$I$503,"Concluído",Programação!$G$4:$G$503,"&gt;="&amp;DATE(ano_ref,5,1),Programação!$G$4:$G$503,"&lt;="&amp;EOMONTH(DATE(ano_ref,5,1),0))&gt;0,"✔",IF(AND(ISNUMBER(Planos!$G202),IFERROR(INDEX(lst_frequencia_meses,MATCH(Planos!$E202,lst_frequencia,0)),0)&gt;0,(ano_ref*12+5)-(YEAR(Planos!$G202)*12+MONTH(Planos!$G202))&gt;0,MOD((ano_ref*12+5)-(YEAR(Planos!$G202)*12+MONTH(Planos!$G202)),MAX(1,IFERROR(INDEX(lst_frequencia_meses,MATCH(Planos!$E202,lst_frequencia,0)),0)))=0),"●","")))</f>
      </c>
      <c r="I203" s="43">
        <f>IF(NOT(Planos!$A202&lt;&gt;""),"",IF(COUNTIFS(Programação!$B$4:$B$503,Planos!$A202,Programação!$I$4:$I$503,"Concluído",Programação!$G$4:$G$503,"&gt;="&amp;DATE(ano_ref,6,1),Programação!$G$4:$G$503,"&lt;="&amp;EOMONTH(DATE(ano_ref,6,1),0))&gt;0,"✔",IF(AND(ISNUMBER(Planos!$G202),IFERROR(INDEX(lst_frequencia_meses,MATCH(Planos!$E202,lst_frequencia,0)),0)&gt;0,(ano_ref*12+6)-(YEAR(Planos!$G202)*12+MONTH(Planos!$G202))&gt;0,MOD((ano_ref*12+6)-(YEAR(Planos!$G202)*12+MONTH(Planos!$G202)),MAX(1,IFERROR(INDEX(lst_frequencia_meses,MATCH(Planos!$E202,lst_frequencia,0)),0)))=0),"●","")))</f>
      </c>
      <c r="J203" s="43">
        <f>IF(NOT(Planos!$A202&lt;&gt;""),"",IF(COUNTIFS(Programação!$B$4:$B$503,Planos!$A202,Programação!$I$4:$I$503,"Concluído",Programação!$G$4:$G$503,"&gt;="&amp;DATE(ano_ref,7,1),Programação!$G$4:$G$503,"&lt;="&amp;EOMONTH(DATE(ano_ref,7,1),0))&gt;0,"✔",IF(AND(ISNUMBER(Planos!$G202),IFERROR(INDEX(lst_frequencia_meses,MATCH(Planos!$E202,lst_frequencia,0)),0)&gt;0,(ano_ref*12+7)-(YEAR(Planos!$G202)*12+MONTH(Planos!$G202))&gt;0,MOD((ano_ref*12+7)-(YEAR(Planos!$G202)*12+MONTH(Planos!$G202)),MAX(1,IFERROR(INDEX(lst_frequencia_meses,MATCH(Planos!$E202,lst_frequencia,0)),0)))=0),"●","")))</f>
      </c>
      <c r="K203" s="43">
        <f>IF(NOT(Planos!$A202&lt;&gt;""),"",IF(COUNTIFS(Programação!$B$4:$B$503,Planos!$A202,Programação!$I$4:$I$503,"Concluído",Programação!$G$4:$G$503,"&gt;="&amp;DATE(ano_ref,8,1),Programação!$G$4:$G$503,"&lt;="&amp;EOMONTH(DATE(ano_ref,8,1),0))&gt;0,"✔",IF(AND(ISNUMBER(Planos!$G202),IFERROR(INDEX(lst_frequencia_meses,MATCH(Planos!$E202,lst_frequencia,0)),0)&gt;0,(ano_ref*12+8)-(YEAR(Planos!$G202)*12+MONTH(Planos!$G202))&gt;0,MOD((ano_ref*12+8)-(YEAR(Planos!$G202)*12+MONTH(Planos!$G202)),MAX(1,IFERROR(INDEX(lst_frequencia_meses,MATCH(Planos!$E202,lst_frequencia,0)),0)))=0),"●","")))</f>
      </c>
      <c r="L203" s="43">
        <f>IF(NOT(Planos!$A202&lt;&gt;""),"",IF(COUNTIFS(Programação!$B$4:$B$503,Planos!$A202,Programação!$I$4:$I$503,"Concluído",Programação!$G$4:$G$503,"&gt;="&amp;DATE(ano_ref,9,1),Programação!$G$4:$G$503,"&lt;="&amp;EOMONTH(DATE(ano_ref,9,1),0))&gt;0,"✔",IF(AND(ISNUMBER(Planos!$G202),IFERROR(INDEX(lst_frequencia_meses,MATCH(Planos!$E202,lst_frequencia,0)),0)&gt;0,(ano_ref*12+9)-(YEAR(Planos!$G202)*12+MONTH(Planos!$G202))&gt;0,MOD((ano_ref*12+9)-(YEAR(Planos!$G202)*12+MONTH(Planos!$G202)),MAX(1,IFERROR(INDEX(lst_frequencia_meses,MATCH(Planos!$E202,lst_frequencia,0)),0)))=0),"●","")))</f>
      </c>
      <c r="M203" s="43">
        <f>IF(NOT(Planos!$A202&lt;&gt;""),"",IF(COUNTIFS(Programação!$B$4:$B$503,Planos!$A202,Programação!$I$4:$I$503,"Concluído",Programação!$G$4:$G$503,"&gt;="&amp;DATE(ano_ref,10,1),Programação!$G$4:$G$503,"&lt;="&amp;EOMONTH(DATE(ano_ref,10,1),0))&gt;0,"✔",IF(AND(ISNUMBER(Planos!$G202),IFERROR(INDEX(lst_frequencia_meses,MATCH(Planos!$E202,lst_frequencia,0)),0)&gt;0,(ano_ref*12+10)-(YEAR(Planos!$G202)*12+MONTH(Planos!$G202))&gt;0,MOD((ano_ref*12+10)-(YEAR(Planos!$G202)*12+MONTH(Planos!$G202)),MAX(1,IFERROR(INDEX(lst_frequencia_meses,MATCH(Planos!$E202,lst_frequencia,0)),0)))=0),"●","")))</f>
      </c>
      <c r="N203" s="43">
        <f>IF(NOT(Planos!$A202&lt;&gt;""),"",IF(COUNTIFS(Programação!$B$4:$B$503,Planos!$A202,Programação!$I$4:$I$503,"Concluído",Programação!$G$4:$G$503,"&gt;="&amp;DATE(ano_ref,11,1),Programação!$G$4:$G$503,"&lt;="&amp;EOMONTH(DATE(ano_ref,11,1),0))&gt;0,"✔",IF(AND(ISNUMBER(Planos!$G202),IFERROR(INDEX(lst_frequencia_meses,MATCH(Planos!$E202,lst_frequencia,0)),0)&gt;0,(ano_ref*12+11)-(YEAR(Planos!$G202)*12+MONTH(Planos!$G202))&gt;0,MOD((ano_ref*12+11)-(YEAR(Planos!$G202)*12+MONTH(Planos!$G202)),MAX(1,IFERROR(INDEX(lst_frequencia_meses,MATCH(Planos!$E202,lst_frequencia,0)),0)))=0),"●","")))</f>
      </c>
      <c r="O203" s="43">
        <f>IF(NOT(Planos!$A202&lt;&gt;""),"",IF(COUNTIFS(Programação!$B$4:$B$503,Planos!$A202,Programação!$I$4:$I$503,"Concluído",Programação!$G$4:$G$503,"&gt;="&amp;DATE(ano_ref,12,1),Programação!$G$4:$G$503,"&lt;="&amp;EOMONTH(DATE(ano_ref,12,1),0))&gt;0,"✔",IF(AND(ISNUMBER(Planos!$G202),IFERROR(INDEX(lst_frequencia_meses,MATCH(Planos!$E202,lst_frequencia,0)),0)&gt;0,(ano_ref*12+12)-(YEAR(Planos!$G202)*12+MONTH(Planos!$G202))&gt;0,MOD((ano_ref*12+12)-(YEAR(Planos!$G202)*12+MONTH(Planos!$G202)),MAX(1,IFERROR(INDEX(lst_frequencia_meses,MATCH(Planos!$E202,lst_frequencia,0)),0)))=0),"●","")))</f>
      </c>
      <c r="P203" s="44">
        <f>IF(COUNTIF(D203:O203,"✔")+COUNTIF(D203:O203,"●")=0,"",COUNTIF(D203:O203,"✔")/(COUNTIF(D203:O203,"✔")+COUNTIF(D203:O203,"●")))</f>
      </c>
    </row>
    <row r="204" spans="1:16" x14ac:dyDescent="0.25">
      <c r="A204" s="43">
        <f>IF(Planos!$A203&lt;&gt;"",Planos!A203&amp;"","")</f>
      </c>
      <c r="B204" s="43">
        <f>IF(Planos!$A203&lt;&gt;"",Planos!B203&amp;"","")</f>
      </c>
      <c r="C204" s="24">
        <f>IF(Planos!$A203&lt;&gt;"",Planos!C203&amp;"","")</f>
      </c>
      <c r="D204" s="43">
        <f>IF(NOT(Planos!$A203&lt;&gt;""),"",IF(COUNTIFS(Programação!$B$4:$B$503,Planos!$A203,Programação!$I$4:$I$503,"Concluído",Programação!$G$4:$G$503,"&gt;="&amp;DATE(ano_ref,1,1),Programação!$G$4:$G$503,"&lt;="&amp;EOMONTH(DATE(ano_ref,1,1),0))&gt;0,"✔",IF(AND(ISNUMBER(Planos!$G203),IFERROR(INDEX(lst_frequencia_meses,MATCH(Planos!$E203,lst_frequencia,0)),0)&gt;0,(ano_ref*12+1)-(YEAR(Planos!$G203)*12+MONTH(Planos!$G203))&gt;0,MOD((ano_ref*12+1)-(YEAR(Planos!$G203)*12+MONTH(Planos!$G203)),MAX(1,IFERROR(INDEX(lst_frequencia_meses,MATCH(Planos!$E203,lst_frequencia,0)),0)))=0),"●","")))</f>
      </c>
      <c r="E204" s="43">
        <f>IF(NOT(Planos!$A203&lt;&gt;""),"",IF(COUNTIFS(Programação!$B$4:$B$503,Planos!$A203,Programação!$I$4:$I$503,"Concluído",Programação!$G$4:$G$503,"&gt;="&amp;DATE(ano_ref,2,1),Programação!$G$4:$G$503,"&lt;="&amp;EOMONTH(DATE(ano_ref,2,1),0))&gt;0,"✔",IF(AND(ISNUMBER(Planos!$G203),IFERROR(INDEX(lst_frequencia_meses,MATCH(Planos!$E203,lst_frequencia,0)),0)&gt;0,(ano_ref*12+2)-(YEAR(Planos!$G203)*12+MONTH(Planos!$G203))&gt;0,MOD((ano_ref*12+2)-(YEAR(Planos!$G203)*12+MONTH(Planos!$G203)),MAX(1,IFERROR(INDEX(lst_frequencia_meses,MATCH(Planos!$E203,lst_frequencia,0)),0)))=0),"●","")))</f>
      </c>
      <c r="F204" s="43">
        <f>IF(NOT(Planos!$A203&lt;&gt;""),"",IF(COUNTIFS(Programação!$B$4:$B$503,Planos!$A203,Programação!$I$4:$I$503,"Concluído",Programação!$G$4:$G$503,"&gt;="&amp;DATE(ano_ref,3,1),Programação!$G$4:$G$503,"&lt;="&amp;EOMONTH(DATE(ano_ref,3,1),0))&gt;0,"✔",IF(AND(ISNUMBER(Planos!$G203),IFERROR(INDEX(lst_frequencia_meses,MATCH(Planos!$E203,lst_frequencia,0)),0)&gt;0,(ano_ref*12+3)-(YEAR(Planos!$G203)*12+MONTH(Planos!$G203))&gt;0,MOD((ano_ref*12+3)-(YEAR(Planos!$G203)*12+MONTH(Planos!$G203)),MAX(1,IFERROR(INDEX(lst_frequencia_meses,MATCH(Planos!$E203,lst_frequencia,0)),0)))=0),"●","")))</f>
      </c>
      <c r="G204" s="43">
        <f>IF(NOT(Planos!$A203&lt;&gt;""),"",IF(COUNTIFS(Programação!$B$4:$B$503,Planos!$A203,Programação!$I$4:$I$503,"Concluído",Programação!$G$4:$G$503,"&gt;="&amp;DATE(ano_ref,4,1),Programação!$G$4:$G$503,"&lt;="&amp;EOMONTH(DATE(ano_ref,4,1),0))&gt;0,"✔",IF(AND(ISNUMBER(Planos!$G203),IFERROR(INDEX(lst_frequencia_meses,MATCH(Planos!$E203,lst_frequencia,0)),0)&gt;0,(ano_ref*12+4)-(YEAR(Planos!$G203)*12+MONTH(Planos!$G203))&gt;0,MOD((ano_ref*12+4)-(YEAR(Planos!$G203)*12+MONTH(Planos!$G203)),MAX(1,IFERROR(INDEX(lst_frequencia_meses,MATCH(Planos!$E203,lst_frequencia,0)),0)))=0),"●","")))</f>
      </c>
      <c r="H204" s="43">
        <f>IF(NOT(Planos!$A203&lt;&gt;""),"",IF(COUNTIFS(Programação!$B$4:$B$503,Planos!$A203,Programação!$I$4:$I$503,"Concluído",Programação!$G$4:$G$503,"&gt;="&amp;DATE(ano_ref,5,1),Programação!$G$4:$G$503,"&lt;="&amp;EOMONTH(DATE(ano_ref,5,1),0))&gt;0,"✔",IF(AND(ISNUMBER(Planos!$G203),IFERROR(INDEX(lst_frequencia_meses,MATCH(Planos!$E203,lst_frequencia,0)),0)&gt;0,(ano_ref*12+5)-(YEAR(Planos!$G203)*12+MONTH(Planos!$G203))&gt;0,MOD((ano_ref*12+5)-(YEAR(Planos!$G203)*12+MONTH(Planos!$G203)),MAX(1,IFERROR(INDEX(lst_frequencia_meses,MATCH(Planos!$E203,lst_frequencia,0)),0)))=0),"●","")))</f>
      </c>
      <c r="I204" s="43">
        <f>IF(NOT(Planos!$A203&lt;&gt;""),"",IF(COUNTIFS(Programação!$B$4:$B$503,Planos!$A203,Programação!$I$4:$I$503,"Concluído",Programação!$G$4:$G$503,"&gt;="&amp;DATE(ano_ref,6,1),Programação!$G$4:$G$503,"&lt;="&amp;EOMONTH(DATE(ano_ref,6,1),0))&gt;0,"✔",IF(AND(ISNUMBER(Planos!$G203),IFERROR(INDEX(lst_frequencia_meses,MATCH(Planos!$E203,lst_frequencia,0)),0)&gt;0,(ano_ref*12+6)-(YEAR(Planos!$G203)*12+MONTH(Planos!$G203))&gt;0,MOD((ano_ref*12+6)-(YEAR(Planos!$G203)*12+MONTH(Planos!$G203)),MAX(1,IFERROR(INDEX(lst_frequencia_meses,MATCH(Planos!$E203,lst_frequencia,0)),0)))=0),"●","")))</f>
      </c>
      <c r="J204" s="43">
        <f>IF(NOT(Planos!$A203&lt;&gt;""),"",IF(COUNTIFS(Programação!$B$4:$B$503,Planos!$A203,Programação!$I$4:$I$503,"Concluído",Programação!$G$4:$G$503,"&gt;="&amp;DATE(ano_ref,7,1),Programação!$G$4:$G$503,"&lt;="&amp;EOMONTH(DATE(ano_ref,7,1),0))&gt;0,"✔",IF(AND(ISNUMBER(Planos!$G203),IFERROR(INDEX(lst_frequencia_meses,MATCH(Planos!$E203,lst_frequencia,0)),0)&gt;0,(ano_ref*12+7)-(YEAR(Planos!$G203)*12+MONTH(Planos!$G203))&gt;0,MOD((ano_ref*12+7)-(YEAR(Planos!$G203)*12+MONTH(Planos!$G203)),MAX(1,IFERROR(INDEX(lst_frequencia_meses,MATCH(Planos!$E203,lst_frequencia,0)),0)))=0),"●","")))</f>
      </c>
      <c r="K204" s="43">
        <f>IF(NOT(Planos!$A203&lt;&gt;""),"",IF(COUNTIFS(Programação!$B$4:$B$503,Planos!$A203,Programação!$I$4:$I$503,"Concluído",Programação!$G$4:$G$503,"&gt;="&amp;DATE(ano_ref,8,1),Programação!$G$4:$G$503,"&lt;="&amp;EOMONTH(DATE(ano_ref,8,1),0))&gt;0,"✔",IF(AND(ISNUMBER(Planos!$G203),IFERROR(INDEX(lst_frequencia_meses,MATCH(Planos!$E203,lst_frequencia,0)),0)&gt;0,(ano_ref*12+8)-(YEAR(Planos!$G203)*12+MONTH(Planos!$G203))&gt;0,MOD((ano_ref*12+8)-(YEAR(Planos!$G203)*12+MONTH(Planos!$G203)),MAX(1,IFERROR(INDEX(lst_frequencia_meses,MATCH(Planos!$E203,lst_frequencia,0)),0)))=0),"●","")))</f>
      </c>
      <c r="L204" s="43">
        <f>IF(NOT(Planos!$A203&lt;&gt;""),"",IF(COUNTIFS(Programação!$B$4:$B$503,Planos!$A203,Programação!$I$4:$I$503,"Concluído",Programação!$G$4:$G$503,"&gt;="&amp;DATE(ano_ref,9,1),Programação!$G$4:$G$503,"&lt;="&amp;EOMONTH(DATE(ano_ref,9,1),0))&gt;0,"✔",IF(AND(ISNUMBER(Planos!$G203),IFERROR(INDEX(lst_frequencia_meses,MATCH(Planos!$E203,lst_frequencia,0)),0)&gt;0,(ano_ref*12+9)-(YEAR(Planos!$G203)*12+MONTH(Planos!$G203))&gt;0,MOD((ano_ref*12+9)-(YEAR(Planos!$G203)*12+MONTH(Planos!$G203)),MAX(1,IFERROR(INDEX(lst_frequencia_meses,MATCH(Planos!$E203,lst_frequencia,0)),0)))=0),"●","")))</f>
      </c>
      <c r="M204" s="43">
        <f>IF(NOT(Planos!$A203&lt;&gt;""),"",IF(COUNTIFS(Programação!$B$4:$B$503,Planos!$A203,Programação!$I$4:$I$503,"Concluído",Programação!$G$4:$G$503,"&gt;="&amp;DATE(ano_ref,10,1),Programação!$G$4:$G$503,"&lt;="&amp;EOMONTH(DATE(ano_ref,10,1),0))&gt;0,"✔",IF(AND(ISNUMBER(Planos!$G203),IFERROR(INDEX(lst_frequencia_meses,MATCH(Planos!$E203,lst_frequencia,0)),0)&gt;0,(ano_ref*12+10)-(YEAR(Planos!$G203)*12+MONTH(Planos!$G203))&gt;0,MOD((ano_ref*12+10)-(YEAR(Planos!$G203)*12+MONTH(Planos!$G203)),MAX(1,IFERROR(INDEX(lst_frequencia_meses,MATCH(Planos!$E203,lst_frequencia,0)),0)))=0),"●","")))</f>
      </c>
      <c r="N204" s="43">
        <f>IF(NOT(Planos!$A203&lt;&gt;""),"",IF(COUNTIFS(Programação!$B$4:$B$503,Planos!$A203,Programação!$I$4:$I$503,"Concluído",Programação!$G$4:$G$503,"&gt;="&amp;DATE(ano_ref,11,1),Programação!$G$4:$G$503,"&lt;="&amp;EOMONTH(DATE(ano_ref,11,1),0))&gt;0,"✔",IF(AND(ISNUMBER(Planos!$G203),IFERROR(INDEX(lst_frequencia_meses,MATCH(Planos!$E203,lst_frequencia,0)),0)&gt;0,(ano_ref*12+11)-(YEAR(Planos!$G203)*12+MONTH(Planos!$G203))&gt;0,MOD((ano_ref*12+11)-(YEAR(Planos!$G203)*12+MONTH(Planos!$G203)),MAX(1,IFERROR(INDEX(lst_frequencia_meses,MATCH(Planos!$E203,lst_frequencia,0)),0)))=0),"●","")))</f>
      </c>
      <c r="O204" s="43">
        <f>IF(NOT(Planos!$A203&lt;&gt;""),"",IF(COUNTIFS(Programação!$B$4:$B$503,Planos!$A203,Programação!$I$4:$I$503,"Concluído",Programação!$G$4:$G$503,"&gt;="&amp;DATE(ano_ref,12,1),Programação!$G$4:$G$503,"&lt;="&amp;EOMONTH(DATE(ano_ref,12,1),0))&gt;0,"✔",IF(AND(ISNUMBER(Planos!$G203),IFERROR(INDEX(lst_frequencia_meses,MATCH(Planos!$E203,lst_frequencia,0)),0)&gt;0,(ano_ref*12+12)-(YEAR(Planos!$G203)*12+MONTH(Planos!$G203))&gt;0,MOD((ano_ref*12+12)-(YEAR(Planos!$G203)*12+MONTH(Planos!$G203)),MAX(1,IFERROR(INDEX(lst_frequencia_meses,MATCH(Planos!$E203,lst_frequencia,0)),0)))=0),"●","")))</f>
      </c>
      <c r="P204" s="44">
        <f>IF(COUNTIF(D204:O204,"✔")+COUNTIF(D204:O204,"●")=0,"",COUNTIF(D204:O204,"✔")/(COUNTIF(D204:O204,"✔")+COUNTIF(D204:O204,"●")))</f>
      </c>
    </row>
  </sheetData>
  <sheetProtection sheet="1" formatColumns="0" formatRows="0" autoFilter="0"/>
  <mergeCells count="3">
    <mergeCell ref="A1:B2"/>
    <mergeCell ref="C1:O2"/>
    <mergeCell ref="A4:C4"/>
  </mergeCells>
  <conditionalFormatting sqref="D5:O204">
    <cfRule type="expression" dxfId="35" priority="1">
      <formula>D5="✔"</formula>
    </cfRule>
    <cfRule type="expression" dxfId="36" priority="2">
      <formula>D5="●"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0" customWidth="1"/>
    <col min="2" max="4" width="12" customWidth="1"/>
    <col min="5" max="5" width="34" customWidth="1"/>
    <col min="6" max="7" width="12" customWidth="1"/>
    <col min="8" max="8" width="10" customWidth="1"/>
    <col min="9" max="9" width="14" customWidth="1"/>
    <col min="10" max="10" width="18" customWidth="1"/>
    <col min="11" max="12" width="26" customWidth="1"/>
    <col min="13" max="13" width="13" customWidth="1"/>
    <col min="14" max="14" width="14" customWidth="1"/>
    <col min="15" max="15" width="30" customWidth="1"/>
    <col min="16" max="17" width="4" hidden="1" customWidth="1"/>
  </cols>
  <sheetData>
    <row r="1" ht="36" customHeight="1" spans="1:17" x14ac:dyDescent="0.25">
      <c r="A1" s="1"/>
      <c r="B1" s="1"/>
      <c r="C1" s="2" t="s">
        <v>153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7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>
        <f>"Elaborado: "&amp;IF(cfg_elaborado="","A definir",cfg_elaborado)&amp;CHAR(10)&amp;"Aprovado: "&amp;IF(cfg_aprovado="","A definir",cfg_aprovado)</f>
      </c>
    </row>
    <row r="3" ht="34" customHeight="1" spans="1:17" x14ac:dyDescent="0.25">
      <c r="A3" s="8" t="s">
        <v>154</v>
      </c>
      <c r="B3" s="8" t="s">
        <v>155</v>
      </c>
      <c r="C3" s="8" t="s">
        <v>87</v>
      </c>
      <c r="D3" s="8" t="s">
        <v>100</v>
      </c>
      <c r="E3" s="8" t="s">
        <v>156</v>
      </c>
      <c r="F3" s="8" t="s">
        <v>157</v>
      </c>
      <c r="G3" s="8" t="s">
        <v>158</v>
      </c>
      <c r="H3" s="8" t="s">
        <v>159</v>
      </c>
      <c r="I3" s="8" t="s">
        <v>104</v>
      </c>
      <c r="J3" s="8" t="s">
        <v>160</v>
      </c>
      <c r="K3" s="8" t="s">
        <v>161</v>
      </c>
      <c r="L3" s="8" t="s">
        <v>106</v>
      </c>
      <c r="M3" s="8" t="s">
        <v>162</v>
      </c>
      <c r="N3" s="8" t="s">
        <v>163</v>
      </c>
      <c r="O3" s="8" t="s">
        <v>107</v>
      </c>
      <c r="P3" s="8" t="s">
        <v>164</v>
      </c>
      <c r="Q3" s="8" t="s">
        <v>165</v>
      </c>
    </row>
    <row r="4" spans="1:17" x14ac:dyDescent="0.25">
      <c r="A4" s="27"/>
      <c r="B4" s="29"/>
      <c r="C4" s="29"/>
      <c r="D4" s="29"/>
      <c r="E4" s="31"/>
      <c r="F4" s="30"/>
      <c r="G4" s="30"/>
      <c r="H4" s="38"/>
      <c r="I4" s="29"/>
      <c r="J4" s="28"/>
      <c r="K4" s="31"/>
      <c r="L4" s="31"/>
      <c r="M4" s="37">
        <f t="shared" ref="M4:M503" si="0">IF(C4="","",IFERROR(INDEX(at_setor,MATCH(C4,at_codigo,0))&amp;"",""))</f>
      </c>
      <c r="N4" s="37">
        <f t="shared" ref="N4:N503" si="1">IF(A4="","",IF(I4="Concluído","Concluído",IF(I4="Backlog","Backlog",IF(AND(ISNUMBER(F4),F4&lt;TODAY()),"Atrasado",IF(I4="","Programado",I4)))))</f>
      </c>
      <c r="O4" s="32">
        <f t="shared" ref="O4:O503" si="2">IF(A4&amp;C4&amp;E4="","",IF(A4="","ERRO: falta o nº da OS",IF(COUNTIF(os_numero,A4)&gt;1,"ERRO: OS repetida",IF(ISNA(MATCH(C4,at_codigo,0)),"ERRO: ativo não cadastrado",IF(AND(B4&lt;&gt;"",D4&lt;&gt;"Preventiva"),"Verificar: plano informado em OS que não é preventiva",IF(AND(I4="Concluído",NOT(ISNUMBER(G4))),"Pendente: data de execução",IF(AND(D4="Corretiva",I4="Concluído",NOT(ISNUMBER(H4))),"Pendente: tempo parado da corretiva",IF(OR(D4="",I4=""),"Pendente: tipo e status","OK"))))))))</f>
      </c>
      <c r="P4" s="32">
        <f t="shared" ref="P4:P503" si="3">IF(OR(N4="",AND(kanban_setor&lt;&gt;"Todos",kanban_setor&lt;&gt;"",M4&lt;&gt;kanban_setor)),"",N4&amp;"|"&amp;COUNTIFS($N$4:N4,N4,$M$4:M4,IF(OR(kanban_setor="Todos",kanban_setor=""),"*",kanban_setor)))</f>
      </c>
      <c r="Q4" s="32">
        <f t="shared" ref="Q4:Q503" si="4">IF(AND(D4="Corretiva",ISNUMBER(H4)),H4+ROW()/1000000,"")</f>
      </c>
    </row>
    <row r="5" spans="1:17" x14ac:dyDescent="0.25">
      <c r="A5" s="27"/>
      <c r="B5" s="29"/>
      <c r="C5" s="29"/>
      <c r="D5" s="29"/>
      <c r="E5" s="31"/>
      <c r="F5" s="30"/>
      <c r="G5" s="30"/>
      <c r="H5" s="38"/>
      <c r="I5" s="29"/>
      <c r="J5" s="28"/>
      <c r="K5" s="31"/>
      <c r="L5" s="31"/>
      <c r="M5" s="37">
        <f t="shared" si="0"/>
      </c>
      <c r="N5" s="37">
        <f t="shared" si="1"/>
      </c>
      <c r="O5" s="32">
        <f t="shared" si="2"/>
      </c>
      <c r="P5" s="32">
        <f t="shared" si="3"/>
      </c>
      <c r="Q5" s="32">
        <f t="shared" si="4"/>
      </c>
    </row>
    <row r="6" spans="1:17" x14ac:dyDescent="0.25">
      <c r="A6" s="27"/>
      <c r="B6" s="29"/>
      <c r="C6" s="29"/>
      <c r="D6" s="29"/>
      <c r="E6" s="31"/>
      <c r="F6" s="30"/>
      <c r="G6" s="30"/>
      <c r="H6" s="38"/>
      <c r="I6" s="29"/>
      <c r="J6" s="28"/>
      <c r="K6" s="31"/>
      <c r="L6" s="31"/>
      <c r="M6" s="37">
        <f t="shared" si="0"/>
      </c>
      <c r="N6" s="37">
        <f t="shared" si="1"/>
      </c>
      <c r="O6" s="32">
        <f t="shared" si="2"/>
      </c>
      <c r="P6" s="32">
        <f t="shared" si="3"/>
      </c>
      <c r="Q6" s="32">
        <f t="shared" si="4"/>
      </c>
    </row>
    <row r="7" spans="1:17" x14ac:dyDescent="0.25">
      <c r="A7" s="27"/>
      <c r="B7" s="29"/>
      <c r="C7" s="29"/>
      <c r="D7" s="29"/>
      <c r="E7" s="31"/>
      <c r="F7" s="30"/>
      <c r="G7" s="30"/>
      <c r="H7" s="38"/>
      <c r="I7" s="29"/>
      <c r="J7" s="28"/>
      <c r="K7" s="31"/>
      <c r="L7" s="31"/>
      <c r="M7" s="37">
        <f t="shared" si="0"/>
      </c>
      <c r="N7" s="37">
        <f t="shared" si="1"/>
      </c>
      <c r="O7" s="32">
        <f t="shared" si="2"/>
      </c>
      <c r="P7" s="32">
        <f t="shared" si="3"/>
      </c>
      <c r="Q7" s="32">
        <f t="shared" si="4"/>
      </c>
    </row>
    <row r="8" spans="1:17" x14ac:dyDescent="0.25">
      <c r="A8" s="27"/>
      <c r="B8" s="29"/>
      <c r="C8" s="29"/>
      <c r="D8" s="29"/>
      <c r="E8" s="31"/>
      <c r="F8" s="30"/>
      <c r="G8" s="30"/>
      <c r="H8" s="38"/>
      <c r="I8" s="29"/>
      <c r="J8" s="28"/>
      <c r="K8" s="31"/>
      <c r="L8" s="31"/>
      <c r="M8" s="37">
        <f t="shared" si="0"/>
      </c>
      <c r="N8" s="37">
        <f t="shared" si="1"/>
      </c>
      <c r="O8" s="32">
        <f t="shared" si="2"/>
      </c>
      <c r="P8" s="32">
        <f t="shared" si="3"/>
      </c>
      <c r="Q8" s="32">
        <f t="shared" si="4"/>
      </c>
    </row>
    <row r="9" spans="1:17" x14ac:dyDescent="0.25">
      <c r="A9" s="27"/>
      <c r="B9" s="29"/>
      <c r="C9" s="29"/>
      <c r="D9" s="29"/>
      <c r="E9" s="31"/>
      <c r="F9" s="30"/>
      <c r="G9" s="30"/>
      <c r="H9" s="38"/>
      <c r="I9" s="29"/>
      <c r="J9" s="28"/>
      <c r="K9" s="31"/>
      <c r="L9" s="31"/>
      <c r="M9" s="37">
        <f t="shared" si="0"/>
      </c>
      <c r="N9" s="37">
        <f t="shared" si="1"/>
      </c>
      <c r="O9" s="32">
        <f t="shared" si="2"/>
      </c>
      <c r="P9" s="32">
        <f t="shared" si="3"/>
      </c>
      <c r="Q9" s="32">
        <f t="shared" si="4"/>
      </c>
    </row>
    <row r="10" spans="1:17" x14ac:dyDescent="0.25">
      <c r="A10" s="27"/>
      <c r="B10" s="29"/>
      <c r="C10" s="29"/>
      <c r="D10" s="29"/>
      <c r="E10" s="31"/>
      <c r="F10" s="30"/>
      <c r="G10" s="30"/>
      <c r="H10" s="38"/>
      <c r="I10" s="29"/>
      <c r="J10" s="28"/>
      <c r="K10" s="31"/>
      <c r="L10" s="31"/>
      <c r="M10" s="37">
        <f t="shared" si="0"/>
      </c>
      <c r="N10" s="37">
        <f t="shared" si="1"/>
      </c>
      <c r="O10" s="32">
        <f t="shared" si="2"/>
      </c>
      <c r="P10" s="32">
        <f t="shared" si="3"/>
      </c>
      <c r="Q10" s="32">
        <f t="shared" si="4"/>
      </c>
    </row>
    <row r="11" spans="1:17" x14ac:dyDescent="0.25">
      <c r="A11" s="27"/>
      <c r="B11" s="29"/>
      <c r="C11" s="29"/>
      <c r="D11" s="29"/>
      <c r="E11" s="31"/>
      <c r="F11" s="30"/>
      <c r="G11" s="30"/>
      <c r="H11" s="38"/>
      <c r="I11" s="29"/>
      <c r="J11" s="28"/>
      <c r="K11" s="31"/>
      <c r="L11" s="31"/>
      <c r="M11" s="37">
        <f t="shared" si="0"/>
      </c>
      <c r="N11" s="37">
        <f t="shared" si="1"/>
      </c>
      <c r="O11" s="32">
        <f t="shared" si="2"/>
      </c>
      <c r="P11" s="32">
        <f t="shared" si="3"/>
      </c>
      <c r="Q11" s="32">
        <f t="shared" si="4"/>
      </c>
    </row>
    <row r="12" spans="1:17" x14ac:dyDescent="0.25">
      <c r="A12" s="27"/>
      <c r="B12" s="29"/>
      <c r="C12" s="29"/>
      <c r="D12" s="29"/>
      <c r="E12" s="31"/>
      <c r="F12" s="30"/>
      <c r="G12" s="30"/>
      <c r="H12" s="38"/>
      <c r="I12" s="29"/>
      <c r="J12" s="28"/>
      <c r="K12" s="31"/>
      <c r="L12" s="31"/>
      <c r="M12" s="37">
        <f t="shared" si="0"/>
      </c>
      <c r="N12" s="37">
        <f t="shared" si="1"/>
      </c>
      <c r="O12" s="32">
        <f t="shared" si="2"/>
      </c>
      <c r="P12" s="32">
        <f t="shared" si="3"/>
      </c>
      <c r="Q12" s="32">
        <f t="shared" si="4"/>
      </c>
    </row>
    <row r="13" spans="1:17" x14ac:dyDescent="0.25">
      <c r="A13" s="27"/>
      <c r="B13" s="29"/>
      <c r="C13" s="29"/>
      <c r="D13" s="29"/>
      <c r="E13" s="31"/>
      <c r="F13" s="30"/>
      <c r="G13" s="30"/>
      <c r="H13" s="38"/>
      <c r="I13" s="29"/>
      <c r="J13" s="28"/>
      <c r="K13" s="31"/>
      <c r="L13" s="31"/>
      <c r="M13" s="37">
        <f t="shared" si="0"/>
      </c>
      <c r="N13" s="37">
        <f t="shared" si="1"/>
      </c>
      <c r="O13" s="32">
        <f t="shared" si="2"/>
      </c>
      <c r="P13" s="32">
        <f t="shared" si="3"/>
      </c>
      <c r="Q13" s="32">
        <f t="shared" si="4"/>
      </c>
    </row>
    <row r="14" spans="1:17" x14ac:dyDescent="0.25">
      <c r="A14" s="27"/>
      <c r="B14" s="29"/>
      <c r="C14" s="29"/>
      <c r="D14" s="29"/>
      <c r="E14" s="31"/>
      <c r="F14" s="30"/>
      <c r="G14" s="30"/>
      <c r="H14" s="38"/>
      <c r="I14" s="29"/>
      <c r="J14" s="28"/>
      <c r="K14" s="31"/>
      <c r="L14" s="31"/>
      <c r="M14" s="37">
        <f t="shared" si="0"/>
      </c>
      <c r="N14" s="37">
        <f t="shared" si="1"/>
      </c>
      <c r="O14" s="32">
        <f t="shared" si="2"/>
      </c>
      <c r="P14" s="32">
        <f t="shared" si="3"/>
      </c>
      <c r="Q14" s="32">
        <f t="shared" si="4"/>
      </c>
    </row>
    <row r="15" spans="1:17" x14ac:dyDescent="0.25">
      <c r="A15" s="27"/>
      <c r="B15" s="29"/>
      <c r="C15" s="29"/>
      <c r="D15" s="29"/>
      <c r="E15" s="31"/>
      <c r="F15" s="30"/>
      <c r="G15" s="30"/>
      <c r="H15" s="38"/>
      <c r="I15" s="29"/>
      <c r="J15" s="28"/>
      <c r="K15" s="31"/>
      <c r="L15" s="31"/>
      <c r="M15" s="37">
        <f t="shared" si="0"/>
      </c>
      <c r="N15" s="37">
        <f t="shared" si="1"/>
      </c>
      <c r="O15" s="32">
        <f t="shared" si="2"/>
      </c>
      <c r="P15" s="32">
        <f t="shared" si="3"/>
      </c>
      <c r="Q15" s="32">
        <f t="shared" si="4"/>
      </c>
    </row>
    <row r="16" spans="1:17" x14ac:dyDescent="0.25">
      <c r="A16" s="27"/>
      <c r="B16" s="29"/>
      <c r="C16" s="29"/>
      <c r="D16" s="29"/>
      <c r="E16" s="31"/>
      <c r="F16" s="30"/>
      <c r="G16" s="30"/>
      <c r="H16" s="38"/>
      <c r="I16" s="29"/>
      <c r="J16" s="28"/>
      <c r="K16" s="31"/>
      <c r="L16" s="31"/>
      <c r="M16" s="37">
        <f t="shared" si="0"/>
      </c>
      <c r="N16" s="37">
        <f t="shared" si="1"/>
      </c>
      <c r="O16" s="32">
        <f t="shared" si="2"/>
      </c>
      <c r="P16" s="32">
        <f t="shared" si="3"/>
      </c>
      <c r="Q16" s="32">
        <f t="shared" si="4"/>
      </c>
    </row>
    <row r="17" spans="1:17" x14ac:dyDescent="0.25">
      <c r="A17" s="27"/>
      <c r="B17" s="29"/>
      <c r="C17" s="29"/>
      <c r="D17" s="29"/>
      <c r="E17" s="31"/>
      <c r="F17" s="30"/>
      <c r="G17" s="30"/>
      <c r="H17" s="38"/>
      <c r="I17" s="29"/>
      <c r="J17" s="28"/>
      <c r="K17" s="31"/>
      <c r="L17" s="31"/>
      <c r="M17" s="37">
        <f t="shared" si="0"/>
      </c>
      <c r="N17" s="37">
        <f t="shared" si="1"/>
      </c>
      <c r="O17" s="32">
        <f t="shared" si="2"/>
      </c>
      <c r="P17" s="32">
        <f t="shared" si="3"/>
      </c>
      <c r="Q17" s="32">
        <f t="shared" si="4"/>
      </c>
    </row>
    <row r="18" spans="1:17" x14ac:dyDescent="0.25">
      <c r="A18" s="27"/>
      <c r="B18" s="29"/>
      <c r="C18" s="29"/>
      <c r="D18" s="29"/>
      <c r="E18" s="31"/>
      <c r="F18" s="30"/>
      <c r="G18" s="30"/>
      <c r="H18" s="38"/>
      <c r="I18" s="29"/>
      <c r="J18" s="28"/>
      <c r="K18" s="31"/>
      <c r="L18" s="31"/>
      <c r="M18" s="37">
        <f t="shared" si="0"/>
      </c>
      <c r="N18" s="37">
        <f t="shared" si="1"/>
      </c>
      <c r="O18" s="32">
        <f t="shared" si="2"/>
      </c>
      <c r="P18" s="32">
        <f t="shared" si="3"/>
      </c>
      <c r="Q18" s="32">
        <f t="shared" si="4"/>
      </c>
    </row>
    <row r="19" spans="1:17" x14ac:dyDescent="0.25">
      <c r="A19" s="27"/>
      <c r="B19" s="29"/>
      <c r="C19" s="29"/>
      <c r="D19" s="29"/>
      <c r="E19" s="31"/>
      <c r="F19" s="30"/>
      <c r="G19" s="30"/>
      <c r="H19" s="38"/>
      <c r="I19" s="29"/>
      <c r="J19" s="28"/>
      <c r="K19" s="31"/>
      <c r="L19" s="31"/>
      <c r="M19" s="37">
        <f t="shared" si="0"/>
      </c>
      <c r="N19" s="37">
        <f t="shared" si="1"/>
      </c>
      <c r="O19" s="32">
        <f t="shared" si="2"/>
      </c>
      <c r="P19" s="32">
        <f t="shared" si="3"/>
      </c>
      <c r="Q19" s="32">
        <f t="shared" si="4"/>
      </c>
    </row>
    <row r="20" spans="1:17" x14ac:dyDescent="0.25">
      <c r="A20" s="27"/>
      <c r="B20" s="29"/>
      <c r="C20" s="29"/>
      <c r="D20" s="29"/>
      <c r="E20" s="31"/>
      <c r="F20" s="30"/>
      <c r="G20" s="30"/>
      <c r="H20" s="38"/>
      <c r="I20" s="29"/>
      <c r="J20" s="28"/>
      <c r="K20" s="31"/>
      <c r="L20" s="31"/>
      <c r="M20" s="37">
        <f t="shared" si="0"/>
      </c>
      <c r="N20" s="37">
        <f t="shared" si="1"/>
      </c>
      <c r="O20" s="32">
        <f t="shared" si="2"/>
      </c>
      <c r="P20" s="32">
        <f t="shared" si="3"/>
      </c>
      <c r="Q20" s="32">
        <f t="shared" si="4"/>
      </c>
    </row>
    <row r="21" spans="1:17" x14ac:dyDescent="0.25">
      <c r="A21" s="27"/>
      <c r="B21" s="29"/>
      <c r="C21" s="29"/>
      <c r="D21" s="29"/>
      <c r="E21" s="31"/>
      <c r="F21" s="30"/>
      <c r="G21" s="30"/>
      <c r="H21" s="38"/>
      <c r="I21" s="29"/>
      <c r="J21" s="28"/>
      <c r="K21" s="31"/>
      <c r="L21" s="31"/>
      <c r="M21" s="37">
        <f t="shared" si="0"/>
      </c>
      <c r="N21" s="37">
        <f t="shared" si="1"/>
      </c>
      <c r="O21" s="32">
        <f t="shared" si="2"/>
      </c>
      <c r="P21" s="32">
        <f t="shared" si="3"/>
      </c>
      <c r="Q21" s="32">
        <f t="shared" si="4"/>
      </c>
    </row>
    <row r="22" spans="1:17" x14ac:dyDescent="0.25">
      <c r="A22" s="27"/>
      <c r="B22" s="29"/>
      <c r="C22" s="29"/>
      <c r="D22" s="29"/>
      <c r="E22" s="31"/>
      <c r="F22" s="30"/>
      <c r="G22" s="30"/>
      <c r="H22" s="38"/>
      <c r="I22" s="29"/>
      <c r="J22" s="28"/>
      <c r="K22" s="31"/>
      <c r="L22" s="31"/>
      <c r="M22" s="37">
        <f t="shared" si="0"/>
      </c>
      <c r="N22" s="37">
        <f t="shared" si="1"/>
      </c>
      <c r="O22" s="32">
        <f t="shared" si="2"/>
      </c>
      <c r="P22" s="32">
        <f t="shared" si="3"/>
      </c>
      <c r="Q22" s="32">
        <f t="shared" si="4"/>
      </c>
    </row>
    <row r="23" spans="1:17" x14ac:dyDescent="0.25">
      <c r="A23" s="27"/>
      <c r="B23" s="29"/>
      <c r="C23" s="29"/>
      <c r="D23" s="29"/>
      <c r="E23" s="31"/>
      <c r="F23" s="30"/>
      <c r="G23" s="30"/>
      <c r="H23" s="38"/>
      <c r="I23" s="29"/>
      <c r="J23" s="28"/>
      <c r="K23" s="31"/>
      <c r="L23" s="31"/>
      <c r="M23" s="37">
        <f t="shared" si="0"/>
      </c>
      <c r="N23" s="37">
        <f t="shared" si="1"/>
      </c>
      <c r="O23" s="32">
        <f t="shared" si="2"/>
      </c>
      <c r="P23" s="32">
        <f t="shared" si="3"/>
      </c>
      <c r="Q23" s="32">
        <f t="shared" si="4"/>
      </c>
    </row>
    <row r="24" spans="1:17" x14ac:dyDescent="0.25">
      <c r="A24" s="27"/>
      <c r="B24" s="29"/>
      <c r="C24" s="29"/>
      <c r="D24" s="29"/>
      <c r="E24" s="31"/>
      <c r="F24" s="30"/>
      <c r="G24" s="30"/>
      <c r="H24" s="38"/>
      <c r="I24" s="29"/>
      <c r="J24" s="28"/>
      <c r="K24" s="31"/>
      <c r="L24" s="31"/>
      <c r="M24" s="37">
        <f t="shared" si="0"/>
      </c>
      <c r="N24" s="37">
        <f t="shared" si="1"/>
      </c>
      <c r="O24" s="32">
        <f t="shared" si="2"/>
      </c>
      <c r="P24" s="32">
        <f t="shared" si="3"/>
      </c>
      <c r="Q24" s="32">
        <f t="shared" si="4"/>
      </c>
    </row>
    <row r="25" spans="1:17" x14ac:dyDescent="0.25">
      <c r="A25" s="27"/>
      <c r="B25" s="29"/>
      <c r="C25" s="29"/>
      <c r="D25" s="29"/>
      <c r="E25" s="31"/>
      <c r="F25" s="30"/>
      <c r="G25" s="30"/>
      <c r="H25" s="38"/>
      <c r="I25" s="29"/>
      <c r="J25" s="28"/>
      <c r="K25" s="31"/>
      <c r="L25" s="31"/>
      <c r="M25" s="37">
        <f t="shared" si="0"/>
      </c>
      <c r="N25" s="37">
        <f t="shared" si="1"/>
      </c>
      <c r="O25" s="32">
        <f t="shared" si="2"/>
      </c>
      <c r="P25" s="32">
        <f t="shared" si="3"/>
      </c>
      <c r="Q25" s="32">
        <f t="shared" si="4"/>
      </c>
    </row>
    <row r="26" spans="1:17" x14ac:dyDescent="0.25">
      <c r="A26" s="27"/>
      <c r="B26" s="29"/>
      <c r="C26" s="29"/>
      <c r="D26" s="29"/>
      <c r="E26" s="31"/>
      <c r="F26" s="30"/>
      <c r="G26" s="30"/>
      <c r="H26" s="38"/>
      <c r="I26" s="29"/>
      <c r="J26" s="28"/>
      <c r="K26" s="31"/>
      <c r="L26" s="31"/>
      <c r="M26" s="37">
        <f t="shared" si="0"/>
      </c>
      <c r="N26" s="37">
        <f t="shared" si="1"/>
      </c>
      <c r="O26" s="32">
        <f t="shared" si="2"/>
      </c>
      <c r="P26" s="32">
        <f t="shared" si="3"/>
      </c>
      <c r="Q26" s="32">
        <f t="shared" si="4"/>
      </c>
    </row>
    <row r="27" spans="1:17" x14ac:dyDescent="0.25">
      <c r="A27" s="27"/>
      <c r="B27" s="29"/>
      <c r="C27" s="29"/>
      <c r="D27" s="29"/>
      <c r="E27" s="31"/>
      <c r="F27" s="30"/>
      <c r="G27" s="30"/>
      <c r="H27" s="38"/>
      <c r="I27" s="29"/>
      <c r="J27" s="28"/>
      <c r="K27" s="31"/>
      <c r="L27" s="31"/>
      <c r="M27" s="37">
        <f t="shared" si="0"/>
      </c>
      <c r="N27" s="37">
        <f t="shared" si="1"/>
      </c>
      <c r="O27" s="32">
        <f t="shared" si="2"/>
      </c>
      <c r="P27" s="32">
        <f t="shared" si="3"/>
      </c>
      <c r="Q27" s="32">
        <f t="shared" si="4"/>
      </c>
    </row>
    <row r="28" spans="1:17" x14ac:dyDescent="0.25">
      <c r="A28" s="27"/>
      <c r="B28" s="29"/>
      <c r="C28" s="29"/>
      <c r="D28" s="29"/>
      <c r="E28" s="31"/>
      <c r="F28" s="30"/>
      <c r="G28" s="30"/>
      <c r="H28" s="38"/>
      <c r="I28" s="29"/>
      <c r="J28" s="28"/>
      <c r="K28" s="31"/>
      <c r="L28" s="31"/>
      <c r="M28" s="37">
        <f t="shared" si="0"/>
      </c>
      <c r="N28" s="37">
        <f t="shared" si="1"/>
      </c>
      <c r="O28" s="32">
        <f t="shared" si="2"/>
      </c>
      <c r="P28" s="32">
        <f t="shared" si="3"/>
      </c>
      <c r="Q28" s="32">
        <f t="shared" si="4"/>
      </c>
    </row>
    <row r="29" spans="1:17" x14ac:dyDescent="0.25">
      <c r="A29" s="27"/>
      <c r="B29" s="29"/>
      <c r="C29" s="29"/>
      <c r="D29" s="29"/>
      <c r="E29" s="31"/>
      <c r="F29" s="30"/>
      <c r="G29" s="30"/>
      <c r="H29" s="38"/>
      <c r="I29" s="29"/>
      <c r="J29" s="28"/>
      <c r="K29" s="31"/>
      <c r="L29" s="31"/>
      <c r="M29" s="37">
        <f t="shared" si="0"/>
      </c>
      <c r="N29" s="37">
        <f t="shared" si="1"/>
      </c>
      <c r="O29" s="32">
        <f t="shared" si="2"/>
      </c>
      <c r="P29" s="32">
        <f t="shared" si="3"/>
      </c>
      <c r="Q29" s="32">
        <f t="shared" si="4"/>
      </c>
    </row>
    <row r="30" spans="1:17" x14ac:dyDescent="0.25">
      <c r="A30" s="27"/>
      <c r="B30" s="29"/>
      <c r="C30" s="29"/>
      <c r="D30" s="29"/>
      <c r="E30" s="31"/>
      <c r="F30" s="30"/>
      <c r="G30" s="30"/>
      <c r="H30" s="38"/>
      <c r="I30" s="29"/>
      <c r="J30" s="28"/>
      <c r="K30" s="31"/>
      <c r="L30" s="31"/>
      <c r="M30" s="37">
        <f t="shared" si="0"/>
      </c>
      <c r="N30" s="37">
        <f t="shared" si="1"/>
      </c>
      <c r="O30" s="32">
        <f t="shared" si="2"/>
      </c>
      <c r="P30" s="32">
        <f t="shared" si="3"/>
      </c>
      <c r="Q30" s="32">
        <f t="shared" si="4"/>
      </c>
    </row>
    <row r="31" spans="1:17" x14ac:dyDescent="0.25">
      <c r="A31" s="27"/>
      <c r="B31" s="29"/>
      <c r="C31" s="29"/>
      <c r="D31" s="29"/>
      <c r="E31" s="31"/>
      <c r="F31" s="30"/>
      <c r="G31" s="30"/>
      <c r="H31" s="38"/>
      <c r="I31" s="29"/>
      <c r="J31" s="28"/>
      <c r="K31" s="31"/>
      <c r="L31" s="31"/>
      <c r="M31" s="37">
        <f t="shared" si="0"/>
      </c>
      <c r="N31" s="37">
        <f t="shared" si="1"/>
      </c>
      <c r="O31" s="32">
        <f t="shared" si="2"/>
      </c>
      <c r="P31" s="32">
        <f t="shared" si="3"/>
      </c>
      <c r="Q31" s="32">
        <f t="shared" si="4"/>
      </c>
    </row>
    <row r="32" spans="1:17" x14ac:dyDescent="0.25">
      <c r="A32" s="27"/>
      <c r="B32" s="29"/>
      <c r="C32" s="29"/>
      <c r="D32" s="29"/>
      <c r="E32" s="31"/>
      <c r="F32" s="30"/>
      <c r="G32" s="30"/>
      <c r="H32" s="38"/>
      <c r="I32" s="29"/>
      <c r="J32" s="28"/>
      <c r="K32" s="31"/>
      <c r="L32" s="31"/>
      <c r="M32" s="37">
        <f t="shared" si="0"/>
      </c>
      <c r="N32" s="37">
        <f t="shared" si="1"/>
      </c>
      <c r="O32" s="32">
        <f t="shared" si="2"/>
      </c>
      <c r="P32" s="32">
        <f t="shared" si="3"/>
      </c>
      <c r="Q32" s="32">
        <f t="shared" si="4"/>
      </c>
    </row>
    <row r="33" spans="1:17" x14ac:dyDescent="0.25">
      <c r="A33" s="27"/>
      <c r="B33" s="29"/>
      <c r="C33" s="29"/>
      <c r="D33" s="29"/>
      <c r="E33" s="31"/>
      <c r="F33" s="30"/>
      <c r="G33" s="30"/>
      <c r="H33" s="38"/>
      <c r="I33" s="29"/>
      <c r="J33" s="28"/>
      <c r="K33" s="31"/>
      <c r="L33" s="31"/>
      <c r="M33" s="37">
        <f t="shared" si="0"/>
      </c>
      <c r="N33" s="37">
        <f t="shared" si="1"/>
      </c>
      <c r="O33" s="32">
        <f t="shared" si="2"/>
      </c>
      <c r="P33" s="32">
        <f t="shared" si="3"/>
      </c>
      <c r="Q33" s="32">
        <f t="shared" si="4"/>
      </c>
    </row>
    <row r="34" spans="1:17" x14ac:dyDescent="0.25">
      <c r="A34" s="27"/>
      <c r="B34" s="29"/>
      <c r="C34" s="29"/>
      <c r="D34" s="29"/>
      <c r="E34" s="31"/>
      <c r="F34" s="30"/>
      <c r="G34" s="30"/>
      <c r="H34" s="38"/>
      <c r="I34" s="29"/>
      <c r="J34" s="28"/>
      <c r="K34" s="31"/>
      <c r="L34" s="31"/>
      <c r="M34" s="37">
        <f t="shared" si="0"/>
      </c>
      <c r="N34" s="37">
        <f t="shared" si="1"/>
      </c>
      <c r="O34" s="32">
        <f t="shared" si="2"/>
      </c>
      <c r="P34" s="32">
        <f t="shared" si="3"/>
      </c>
      <c r="Q34" s="32">
        <f t="shared" si="4"/>
      </c>
    </row>
    <row r="35" spans="1:17" x14ac:dyDescent="0.25">
      <c r="A35" s="27"/>
      <c r="B35" s="29"/>
      <c r="C35" s="29"/>
      <c r="D35" s="29"/>
      <c r="E35" s="31"/>
      <c r="F35" s="30"/>
      <c r="G35" s="30"/>
      <c r="H35" s="38"/>
      <c r="I35" s="29"/>
      <c r="J35" s="28"/>
      <c r="K35" s="31"/>
      <c r="L35" s="31"/>
      <c r="M35" s="37">
        <f t="shared" si="0"/>
      </c>
      <c r="N35" s="37">
        <f t="shared" si="1"/>
      </c>
      <c r="O35" s="32">
        <f t="shared" si="2"/>
      </c>
      <c r="P35" s="32">
        <f t="shared" si="3"/>
      </c>
      <c r="Q35" s="32">
        <f t="shared" si="4"/>
      </c>
    </row>
    <row r="36" spans="1:17" x14ac:dyDescent="0.25">
      <c r="A36" s="27"/>
      <c r="B36" s="29"/>
      <c r="C36" s="29"/>
      <c r="D36" s="29"/>
      <c r="E36" s="31"/>
      <c r="F36" s="30"/>
      <c r="G36" s="30"/>
      <c r="H36" s="38"/>
      <c r="I36" s="29"/>
      <c r="J36" s="28"/>
      <c r="K36" s="31"/>
      <c r="L36" s="31"/>
      <c r="M36" s="37">
        <f t="shared" si="0"/>
      </c>
      <c r="N36" s="37">
        <f t="shared" si="1"/>
      </c>
      <c r="O36" s="32">
        <f t="shared" si="2"/>
      </c>
      <c r="P36" s="32">
        <f t="shared" si="3"/>
      </c>
      <c r="Q36" s="32">
        <f t="shared" si="4"/>
      </c>
    </row>
    <row r="37" spans="1:17" x14ac:dyDescent="0.25">
      <c r="A37" s="27"/>
      <c r="B37" s="29"/>
      <c r="C37" s="29"/>
      <c r="D37" s="29"/>
      <c r="E37" s="31"/>
      <c r="F37" s="30"/>
      <c r="G37" s="30"/>
      <c r="H37" s="38"/>
      <c r="I37" s="29"/>
      <c r="J37" s="28"/>
      <c r="K37" s="31"/>
      <c r="L37" s="31"/>
      <c r="M37" s="37">
        <f t="shared" si="0"/>
      </c>
      <c r="N37" s="37">
        <f t="shared" si="1"/>
      </c>
      <c r="O37" s="32">
        <f t="shared" si="2"/>
      </c>
      <c r="P37" s="32">
        <f t="shared" si="3"/>
      </c>
      <c r="Q37" s="32">
        <f t="shared" si="4"/>
      </c>
    </row>
    <row r="38" spans="1:17" x14ac:dyDescent="0.25">
      <c r="A38" s="27"/>
      <c r="B38" s="29"/>
      <c r="C38" s="29"/>
      <c r="D38" s="29"/>
      <c r="E38" s="31"/>
      <c r="F38" s="30"/>
      <c r="G38" s="30"/>
      <c r="H38" s="38"/>
      <c r="I38" s="29"/>
      <c r="J38" s="28"/>
      <c r="K38" s="31"/>
      <c r="L38" s="31"/>
      <c r="M38" s="37">
        <f t="shared" si="0"/>
      </c>
      <c r="N38" s="37">
        <f t="shared" si="1"/>
      </c>
      <c r="O38" s="32">
        <f t="shared" si="2"/>
      </c>
      <c r="P38" s="32">
        <f t="shared" si="3"/>
      </c>
      <c r="Q38" s="32">
        <f t="shared" si="4"/>
      </c>
    </row>
    <row r="39" spans="1:17" x14ac:dyDescent="0.25">
      <c r="A39" s="27"/>
      <c r="B39" s="29"/>
      <c r="C39" s="29"/>
      <c r="D39" s="29"/>
      <c r="E39" s="31"/>
      <c r="F39" s="30"/>
      <c r="G39" s="30"/>
      <c r="H39" s="38"/>
      <c r="I39" s="29"/>
      <c r="J39" s="28"/>
      <c r="K39" s="31"/>
      <c r="L39" s="31"/>
      <c r="M39" s="37">
        <f t="shared" si="0"/>
      </c>
      <c r="N39" s="37">
        <f t="shared" si="1"/>
      </c>
      <c r="O39" s="32">
        <f t="shared" si="2"/>
      </c>
      <c r="P39" s="32">
        <f t="shared" si="3"/>
      </c>
      <c r="Q39" s="32">
        <f t="shared" si="4"/>
      </c>
    </row>
    <row r="40" spans="1:17" x14ac:dyDescent="0.25">
      <c r="A40" s="27"/>
      <c r="B40" s="29"/>
      <c r="C40" s="29"/>
      <c r="D40" s="29"/>
      <c r="E40" s="31"/>
      <c r="F40" s="30"/>
      <c r="G40" s="30"/>
      <c r="H40" s="38"/>
      <c r="I40" s="29"/>
      <c r="J40" s="28"/>
      <c r="K40" s="31"/>
      <c r="L40" s="31"/>
      <c r="M40" s="37">
        <f t="shared" si="0"/>
      </c>
      <c r="N40" s="37">
        <f t="shared" si="1"/>
      </c>
      <c r="O40" s="32">
        <f t="shared" si="2"/>
      </c>
      <c r="P40" s="32">
        <f t="shared" si="3"/>
      </c>
      <c r="Q40" s="32">
        <f t="shared" si="4"/>
      </c>
    </row>
    <row r="41" spans="1:17" x14ac:dyDescent="0.25">
      <c r="A41" s="27"/>
      <c r="B41" s="29"/>
      <c r="C41" s="29"/>
      <c r="D41" s="29"/>
      <c r="E41" s="31"/>
      <c r="F41" s="30"/>
      <c r="G41" s="30"/>
      <c r="H41" s="38"/>
      <c r="I41" s="29"/>
      <c r="J41" s="28"/>
      <c r="K41" s="31"/>
      <c r="L41" s="31"/>
      <c r="M41" s="37">
        <f t="shared" si="0"/>
      </c>
      <c r="N41" s="37">
        <f t="shared" si="1"/>
      </c>
      <c r="O41" s="32">
        <f t="shared" si="2"/>
      </c>
      <c r="P41" s="32">
        <f t="shared" si="3"/>
      </c>
      <c r="Q41" s="32">
        <f t="shared" si="4"/>
      </c>
    </row>
    <row r="42" spans="1:17" x14ac:dyDescent="0.25">
      <c r="A42" s="27"/>
      <c r="B42" s="29"/>
      <c r="C42" s="29"/>
      <c r="D42" s="29"/>
      <c r="E42" s="31"/>
      <c r="F42" s="30"/>
      <c r="G42" s="30"/>
      <c r="H42" s="38"/>
      <c r="I42" s="29"/>
      <c r="J42" s="28"/>
      <c r="K42" s="31"/>
      <c r="L42" s="31"/>
      <c r="M42" s="37">
        <f t="shared" si="0"/>
      </c>
      <c r="N42" s="37">
        <f t="shared" si="1"/>
      </c>
      <c r="O42" s="32">
        <f t="shared" si="2"/>
      </c>
      <c r="P42" s="32">
        <f t="shared" si="3"/>
      </c>
      <c r="Q42" s="32">
        <f t="shared" si="4"/>
      </c>
    </row>
    <row r="43" spans="1:17" x14ac:dyDescent="0.25">
      <c r="A43" s="27"/>
      <c r="B43" s="29"/>
      <c r="C43" s="29"/>
      <c r="D43" s="29"/>
      <c r="E43" s="31"/>
      <c r="F43" s="30"/>
      <c r="G43" s="30"/>
      <c r="H43" s="38"/>
      <c r="I43" s="29"/>
      <c r="J43" s="28"/>
      <c r="K43" s="31"/>
      <c r="L43" s="31"/>
      <c r="M43" s="37">
        <f t="shared" si="0"/>
      </c>
      <c r="N43" s="37">
        <f t="shared" si="1"/>
      </c>
      <c r="O43" s="32">
        <f t="shared" si="2"/>
      </c>
      <c r="P43" s="32">
        <f t="shared" si="3"/>
      </c>
      <c r="Q43" s="32">
        <f t="shared" si="4"/>
      </c>
    </row>
    <row r="44" spans="1:17" x14ac:dyDescent="0.25">
      <c r="A44" s="27"/>
      <c r="B44" s="29"/>
      <c r="C44" s="29"/>
      <c r="D44" s="29"/>
      <c r="E44" s="31"/>
      <c r="F44" s="30"/>
      <c r="G44" s="30"/>
      <c r="H44" s="38"/>
      <c r="I44" s="29"/>
      <c r="J44" s="28"/>
      <c r="K44" s="31"/>
      <c r="L44" s="31"/>
      <c r="M44" s="37">
        <f t="shared" si="0"/>
      </c>
      <c r="N44" s="37">
        <f t="shared" si="1"/>
      </c>
      <c r="O44" s="32">
        <f t="shared" si="2"/>
      </c>
      <c r="P44" s="32">
        <f t="shared" si="3"/>
      </c>
      <c r="Q44" s="32">
        <f t="shared" si="4"/>
      </c>
    </row>
    <row r="45" spans="1:17" x14ac:dyDescent="0.25">
      <c r="A45" s="27"/>
      <c r="B45" s="29"/>
      <c r="C45" s="29"/>
      <c r="D45" s="29"/>
      <c r="E45" s="31"/>
      <c r="F45" s="30"/>
      <c r="G45" s="30"/>
      <c r="H45" s="38"/>
      <c r="I45" s="29"/>
      <c r="J45" s="28"/>
      <c r="K45" s="31"/>
      <c r="L45" s="31"/>
      <c r="M45" s="37">
        <f t="shared" si="0"/>
      </c>
      <c r="N45" s="37">
        <f t="shared" si="1"/>
      </c>
      <c r="O45" s="32">
        <f t="shared" si="2"/>
      </c>
      <c r="P45" s="32">
        <f t="shared" si="3"/>
      </c>
      <c r="Q45" s="32">
        <f t="shared" si="4"/>
      </c>
    </row>
    <row r="46" spans="1:17" x14ac:dyDescent="0.25">
      <c r="A46" s="27"/>
      <c r="B46" s="29"/>
      <c r="C46" s="29"/>
      <c r="D46" s="29"/>
      <c r="E46" s="31"/>
      <c r="F46" s="30"/>
      <c r="G46" s="30"/>
      <c r="H46" s="38"/>
      <c r="I46" s="29"/>
      <c r="J46" s="28"/>
      <c r="K46" s="31"/>
      <c r="L46" s="31"/>
      <c r="M46" s="37">
        <f t="shared" si="0"/>
      </c>
      <c r="N46" s="37">
        <f t="shared" si="1"/>
      </c>
      <c r="O46" s="32">
        <f t="shared" si="2"/>
      </c>
      <c r="P46" s="32">
        <f t="shared" si="3"/>
      </c>
      <c r="Q46" s="32">
        <f t="shared" si="4"/>
      </c>
    </row>
    <row r="47" spans="1:17" x14ac:dyDescent="0.25">
      <c r="A47" s="27"/>
      <c r="B47" s="29"/>
      <c r="C47" s="29"/>
      <c r="D47" s="29"/>
      <c r="E47" s="31"/>
      <c r="F47" s="30"/>
      <c r="G47" s="30"/>
      <c r="H47" s="38"/>
      <c r="I47" s="29"/>
      <c r="J47" s="28"/>
      <c r="K47" s="31"/>
      <c r="L47" s="31"/>
      <c r="M47" s="37">
        <f t="shared" si="0"/>
      </c>
      <c r="N47" s="37">
        <f t="shared" si="1"/>
      </c>
      <c r="O47" s="32">
        <f t="shared" si="2"/>
      </c>
      <c r="P47" s="32">
        <f t="shared" si="3"/>
      </c>
      <c r="Q47" s="32">
        <f t="shared" si="4"/>
      </c>
    </row>
    <row r="48" spans="1:17" x14ac:dyDescent="0.25">
      <c r="A48" s="27"/>
      <c r="B48" s="29"/>
      <c r="C48" s="29"/>
      <c r="D48" s="29"/>
      <c r="E48" s="31"/>
      <c r="F48" s="30"/>
      <c r="G48" s="30"/>
      <c r="H48" s="38"/>
      <c r="I48" s="29"/>
      <c r="J48" s="28"/>
      <c r="K48" s="31"/>
      <c r="L48" s="31"/>
      <c r="M48" s="37">
        <f t="shared" si="0"/>
      </c>
      <c r="N48" s="37">
        <f t="shared" si="1"/>
      </c>
      <c r="O48" s="32">
        <f t="shared" si="2"/>
      </c>
      <c r="P48" s="32">
        <f t="shared" si="3"/>
      </c>
      <c r="Q48" s="32">
        <f t="shared" si="4"/>
      </c>
    </row>
    <row r="49" spans="1:17" x14ac:dyDescent="0.25">
      <c r="A49" s="27"/>
      <c r="B49" s="29"/>
      <c r="C49" s="29"/>
      <c r="D49" s="29"/>
      <c r="E49" s="31"/>
      <c r="F49" s="30"/>
      <c r="G49" s="30"/>
      <c r="H49" s="38"/>
      <c r="I49" s="29"/>
      <c r="J49" s="28"/>
      <c r="K49" s="31"/>
      <c r="L49" s="31"/>
      <c r="M49" s="37">
        <f t="shared" si="0"/>
      </c>
      <c r="N49" s="37">
        <f t="shared" si="1"/>
      </c>
      <c r="O49" s="32">
        <f t="shared" si="2"/>
      </c>
      <c r="P49" s="32">
        <f t="shared" si="3"/>
      </c>
      <c r="Q49" s="32">
        <f t="shared" si="4"/>
      </c>
    </row>
    <row r="50" spans="1:17" x14ac:dyDescent="0.25">
      <c r="A50" s="27"/>
      <c r="B50" s="29"/>
      <c r="C50" s="29"/>
      <c r="D50" s="29"/>
      <c r="E50" s="31"/>
      <c r="F50" s="30"/>
      <c r="G50" s="30"/>
      <c r="H50" s="38"/>
      <c r="I50" s="29"/>
      <c r="J50" s="28"/>
      <c r="K50" s="31"/>
      <c r="L50" s="31"/>
      <c r="M50" s="37">
        <f t="shared" si="0"/>
      </c>
      <c r="N50" s="37">
        <f t="shared" si="1"/>
      </c>
      <c r="O50" s="32">
        <f t="shared" si="2"/>
      </c>
      <c r="P50" s="32">
        <f t="shared" si="3"/>
      </c>
      <c r="Q50" s="32">
        <f t="shared" si="4"/>
      </c>
    </row>
    <row r="51" spans="1:17" x14ac:dyDescent="0.25">
      <c r="A51" s="27"/>
      <c r="B51" s="29"/>
      <c r="C51" s="29"/>
      <c r="D51" s="29"/>
      <c r="E51" s="31"/>
      <c r="F51" s="30"/>
      <c r="G51" s="30"/>
      <c r="H51" s="38"/>
      <c r="I51" s="29"/>
      <c r="J51" s="28"/>
      <c r="K51" s="31"/>
      <c r="L51" s="31"/>
      <c r="M51" s="37">
        <f t="shared" si="0"/>
      </c>
      <c r="N51" s="37">
        <f t="shared" si="1"/>
      </c>
      <c r="O51" s="32">
        <f t="shared" si="2"/>
      </c>
      <c r="P51" s="32">
        <f t="shared" si="3"/>
      </c>
      <c r="Q51" s="32">
        <f t="shared" si="4"/>
      </c>
    </row>
    <row r="52" spans="1:17" x14ac:dyDescent="0.25">
      <c r="A52" s="27"/>
      <c r="B52" s="29"/>
      <c r="C52" s="29"/>
      <c r="D52" s="29"/>
      <c r="E52" s="31"/>
      <c r="F52" s="30"/>
      <c r="G52" s="30"/>
      <c r="H52" s="38"/>
      <c r="I52" s="29"/>
      <c r="J52" s="28"/>
      <c r="K52" s="31"/>
      <c r="L52" s="31"/>
      <c r="M52" s="37">
        <f t="shared" si="0"/>
      </c>
      <c r="N52" s="37">
        <f t="shared" si="1"/>
      </c>
      <c r="O52" s="32">
        <f t="shared" si="2"/>
      </c>
      <c r="P52" s="32">
        <f t="shared" si="3"/>
      </c>
      <c r="Q52" s="32">
        <f t="shared" si="4"/>
      </c>
    </row>
    <row r="53" spans="1:17" x14ac:dyDescent="0.25">
      <c r="A53" s="27"/>
      <c r="B53" s="29"/>
      <c r="C53" s="29"/>
      <c r="D53" s="29"/>
      <c r="E53" s="31"/>
      <c r="F53" s="30"/>
      <c r="G53" s="30"/>
      <c r="H53" s="38"/>
      <c r="I53" s="29"/>
      <c r="J53" s="28"/>
      <c r="K53" s="31"/>
      <c r="L53" s="31"/>
      <c r="M53" s="37">
        <f t="shared" si="0"/>
      </c>
      <c r="N53" s="37">
        <f t="shared" si="1"/>
      </c>
      <c r="O53" s="32">
        <f t="shared" si="2"/>
      </c>
      <c r="P53" s="32">
        <f t="shared" si="3"/>
      </c>
      <c r="Q53" s="32">
        <f t="shared" si="4"/>
      </c>
    </row>
    <row r="54" spans="1:17" x14ac:dyDescent="0.25">
      <c r="A54" s="27"/>
      <c r="B54" s="29"/>
      <c r="C54" s="29"/>
      <c r="D54" s="29"/>
      <c r="E54" s="31"/>
      <c r="F54" s="30"/>
      <c r="G54" s="30"/>
      <c r="H54" s="38"/>
      <c r="I54" s="29"/>
      <c r="J54" s="28"/>
      <c r="K54" s="31"/>
      <c r="L54" s="31"/>
      <c r="M54" s="37">
        <f t="shared" si="0"/>
      </c>
      <c r="N54" s="37">
        <f t="shared" si="1"/>
      </c>
      <c r="O54" s="32">
        <f t="shared" si="2"/>
      </c>
      <c r="P54" s="32">
        <f t="shared" si="3"/>
      </c>
      <c r="Q54" s="32">
        <f t="shared" si="4"/>
      </c>
    </row>
    <row r="55" spans="1:17" x14ac:dyDescent="0.25">
      <c r="A55" s="27"/>
      <c r="B55" s="29"/>
      <c r="C55" s="29"/>
      <c r="D55" s="29"/>
      <c r="E55" s="31"/>
      <c r="F55" s="30"/>
      <c r="G55" s="30"/>
      <c r="H55" s="38"/>
      <c r="I55" s="29"/>
      <c r="J55" s="28"/>
      <c r="K55" s="31"/>
      <c r="L55" s="31"/>
      <c r="M55" s="37">
        <f t="shared" si="0"/>
      </c>
      <c r="N55" s="37">
        <f t="shared" si="1"/>
      </c>
      <c r="O55" s="32">
        <f t="shared" si="2"/>
      </c>
      <c r="P55" s="32">
        <f t="shared" si="3"/>
      </c>
      <c r="Q55" s="32">
        <f t="shared" si="4"/>
      </c>
    </row>
    <row r="56" spans="1:17" x14ac:dyDescent="0.25">
      <c r="A56" s="27"/>
      <c r="B56" s="29"/>
      <c r="C56" s="29"/>
      <c r="D56" s="29"/>
      <c r="E56" s="31"/>
      <c r="F56" s="30"/>
      <c r="G56" s="30"/>
      <c r="H56" s="38"/>
      <c r="I56" s="29"/>
      <c r="J56" s="28"/>
      <c r="K56" s="31"/>
      <c r="L56" s="31"/>
      <c r="M56" s="37">
        <f t="shared" si="0"/>
      </c>
      <c r="N56" s="37">
        <f t="shared" si="1"/>
      </c>
      <c r="O56" s="32">
        <f t="shared" si="2"/>
      </c>
      <c r="P56" s="32">
        <f t="shared" si="3"/>
      </c>
      <c r="Q56" s="32">
        <f t="shared" si="4"/>
      </c>
    </row>
    <row r="57" spans="1:17" x14ac:dyDescent="0.25">
      <c r="A57" s="27"/>
      <c r="B57" s="29"/>
      <c r="C57" s="29"/>
      <c r="D57" s="29"/>
      <c r="E57" s="31"/>
      <c r="F57" s="30"/>
      <c r="G57" s="30"/>
      <c r="H57" s="38"/>
      <c r="I57" s="29"/>
      <c r="J57" s="28"/>
      <c r="K57" s="31"/>
      <c r="L57" s="31"/>
      <c r="M57" s="37">
        <f t="shared" si="0"/>
      </c>
      <c r="N57" s="37">
        <f t="shared" si="1"/>
      </c>
      <c r="O57" s="32">
        <f t="shared" si="2"/>
      </c>
      <c r="P57" s="32">
        <f t="shared" si="3"/>
      </c>
      <c r="Q57" s="32">
        <f t="shared" si="4"/>
      </c>
    </row>
    <row r="58" spans="1:17" x14ac:dyDescent="0.25">
      <c r="A58" s="27"/>
      <c r="B58" s="29"/>
      <c r="C58" s="29"/>
      <c r="D58" s="29"/>
      <c r="E58" s="31"/>
      <c r="F58" s="30"/>
      <c r="G58" s="30"/>
      <c r="H58" s="38"/>
      <c r="I58" s="29"/>
      <c r="J58" s="28"/>
      <c r="K58" s="31"/>
      <c r="L58" s="31"/>
      <c r="M58" s="37">
        <f t="shared" si="0"/>
      </c>
      <c r="N58" s="37">
        <f t="shared" si="1"/>
      </c>
      <c r="O58" s="32">
        <f t="shared" si="2"/>
      </c>
      <c r="P58" s="32">
        <f t="shared" si="3"/>
      </c>
      <c r="Q58" s="32">
        <f t="shared" si="4"/>
      </c>
    </row>
    <row r="59" spans="1:17" x14ac:dyDescent="0.25">
      <c r="A59" s="27"/>
      <c r="B59" s="29"/>
      <c r="C59" s="29"/>
      <c r="D59" s="29"/>
      <c r="E59" s="31"/>
      <c r="F59" s="30"/>
      <c r="G59" s="30"/>
      <c r="H59" s="38"/>
      <c r="I59" s="29"/>
      <c r="J59" s="28"/>
      <c r="K59" s="31"/>
      <c r="L59" s="31"/>
      <c r="M59" s="37">
        <f t="shared" si="0"/>
      </c>
      <c r="N59" s="37">
        <f t="shared" si="1"/>
      </c>
      <c r="O59" s="32">
        <f t="shared" si="2"/>
      </c>
      <c r="P59" s="32">
        <f t="shared" si="3"/>
      </c>
      <c r="Q59" s="32">
        <f t="shared" si="4"/>
      </c>
    </row>
    <row r="60" spans="1:17" x14ac:dyDescent="0.25">
      <c r="A60" s="27"/>
      <c r="B60" s="29"/>
      <c r="C60" s="29"/>
      <c r="D60" s="29"/>
      <c r="E60" s="31"/>
      <c r="F60" s="30"/>
      <c r="G60" s="30"/>
      <c r="H60" s="38"/>
      <c r="I60" s="29"/>
      <c r="J60" s="28"/>
      <c r="K60" s="31"/>
      <c r="L60" s="31"/>
      <c r="M60" s="37">
        <f t="shared" si="0"/>
      </c>
      <c r="N60" s="37">
        <f t="shared" si="1"/>
      </c>
      <c r="O60" s="32">
        <f t="shared" si="2"/>
      </c>
      <c r="P60" s="32">
        <f t="shared" si="3"/>
      </c>
      <c r="Q60" s="32">
        <f t="shared" si="4"/>
      </c>
    </row>
    <row r="61" spans="1:17" x14ac:dyDescent="0.25">
      <c r="A61" s="27"/>
      <c r="B61" s="29"/>
      <c r="C61" s="29"/>
      <c r="D61" s="29"/>
      <c r="E61" s="31"/>
      <c r="F61" s="30"/>
      <c r="G61" s="30"/>
      <c r="H61" s="38"/>
      <c r="I61" s="29"/>
      <c r="J61" s="28"/>
      <c r="K61" s="31"/>
      <c r="L61" s="31"/>
      <c r="M61" s="37">
        <f t="shared" si="0"/>
      </c>
      <c r="N61" s="37">
        <f t="shared" si="1"/>
      </c>
      <c r="O61" s="32">
        <f t="shared" si="2"/>
      </c>
      <c r="P61" s="32">
        <f t="shared" si="3"/>
      </c>
      <c r="Q61" s="32">
        <f t="shared" si="4"/>
      </c>
    </row>
    <row r="62" spans="1:17" x14ac:dyDescent="0.25">
      <c r="A62" s="27"/>
      <c r="B62" s="29"/>
      <c r="C62" s="29"/>
      <c r="D62" s="29"/>
      <c r="E62" s="31"/>
      <c r="F62" s="30"/>
      <c r="G62" s="30"/>
      <c r="H62" s="38"/>
      <c r="I62" s="29"/>
      <c r="J62" s="28"/>
      <c r="K62" s="31"/>
      <c r="L62" s="31"/>
      <c r="M62" s="37">
        <f t="shared" si="0"/>
      </c>
      <c r="N62" s="37">
        <f t="shared" si="1"/>
      </c>
      <c r="O62" s="32">
        <f t="shared" si="2"/>
      </c>
      <c r="P62" s="32">
        <f t="shared" si="3"/>
      </c>
      <c r="Q62" s="32">
        <f t="shared" si="4"/>
      </c>
    </row>
    <row r="63" spans="1:17" x14ac:dyDescent="0.25">
      <c r="A63" s="27"/>
      <c r="B63" s="29"/>
      <c r="C63" s="29"/>
      <c r="D63" s="29"/>
      <c r="E63" s="31"/>
      <c r="F63" s="30"/>
      <c r="G63" s="30"/>
      <c r="H63" s="38"/>
      <c r="I63" s="29"/>
      <c r="J63" s="28"/>
      <c r="K63" s="31"/>
      <c r="L63" s="31"/>
      <c r="M63" s="37">
        <f t="shared" si="0"/>
      </c>
      <c r="N63" s="37">
        <f t="shared" si="1"/>
      </c>
      <c r="O63" s="32">
        <f t="shared" si="2"/>
      </c>
      <c r="P63" s="32">
        <f t="shared" si="3"/>
      </c>
      <c r="Q63" s="32">
        <f t="shared" si="4"/>
      </c>
    </row>
    <row r="64" spans="1:17" x14ac:dyDescent="0.25">
      <c r="A64" s="27"/>
      <c r="B64" s="29"/>
      <c r="C64" s="29"/>
      <c r="D64" s="29"/>
      <c r="E64" s="31"/>
      <c r="F64" s="30"/>
      <c r="G64" s="30"/>
      <c r="H64" s="38"/>
      <c r="I64" s="29"/>
      <c r="J64" s="28"/>
      <c r="K64" s="31"/>
      <c r="L64" s="31"/>
      <c r="M64" s="37">
        <f t="shared" si="0"/>
      </c>
      <c r="N64" s="37">
        <f t="shared" si="1"/>
      </c>
      <c r="O64" s="32">
        <f t="shared" si="2"/>
      </c>
      <c r="P64" s="32">
        <f t="shared" si="3"/>
      </c>
      <c r="Q64" s="32">
        <f t="shared" si="4"/>
      </c>
    </row>
    <row r="65" spans="1:17" x14ac:dyDescent="0.25">
      <c r="A65" s="27"/>
      <c r="B65" s="29"/>
      <c r="C65" s="29"/>
      <c r="D65" s="29"/>
      <c r="E65" s="31"/>
      <c r="F65" s="30"/>
      <c r="G65" s="30"/>
      <c r="H65" s="38"/>
      <c r="I65" s="29"/>
      <c r="J65" s="28"/>
      <c r="K65" s="31"/>
      <c r="L65" s="31"/>
      <c r="M65" s="37">
        <f t="shared" si="0"/>
      </c>
      <c r="N65" s="37">
        <f t="shared" si="1"/>
      </c>
      <c r="O65" s="32">
        <f t="shared" si="2"/>
      </c>
      <c r="P65" s="32">
        <f t="shared" si="3"/>
      </c>
      <c r="Q65" s="32">
        <f t="shared" si="4"/>
      </c>
    </row>
    <row r="66" spans="1:17" x14ac:dyDescent="0.25">
      <c r="A66" s="27"/>
      <c r="B66" s="29"/>
      <c r="C66" s="29"/>
      <c r="D66" s="29"/>
      <c r="E66" s="31"/>
      <c r="F66" s="30"/>
      <c r="G66" s="30"/>
      <c r="H66" s="38"/>
      <c r="I66" s="29"/>
      <c r="J66" s="28"/>
      <c r="K66" s="31"/>
      <c r="L66" s="31"/>
      <c r="M66" s="37">
        <f t="shared" si="0"/>
      </c>
      <c r="N66" s="37">
        <f t="shared" si="1"/>
      </c>
      <c r="O66" s="32">
        <f t="shared" si="2"/>
      </c>
      <c r="P66" s="32">
        <f t="shared" si="3"/>
      </c>
      <c r="Q66" s="32">
        <f t="shared" si="4"/>
      </c>
    </row>
    <row r="67" spans="1:17" x14ac:dyDescent="0.25">
      <c r="A67" s="27"/>
      <c r="B67" s="29"/>
      <c r="C67" s="29"/>
      <c r="D67" s="29"/>
      <c r="E67" s="31"/>
      <c r="F67" s="30"/>
      <c r="G67" s="30"/>
      <c r="H67" s="38"/>
      <c r="I67" s="29"/>
      <c r="J67" s="28"/>
      <c r="K67" s="31"/>
      <c r="L67" s="31"/>
      <c r="M67" s="37">
        <f t="shared" si="0"/>
      </c>
      <c r="N67" s="37">
        <f t="shared" si="1"/>
      </c>
      <c r="O67" s="32">
        <f t="shared" si="2"/>
      </c>
      <c r="P67" s="32">
        <f t="shared" si="3"/>
      </c>
      <c r="Q67" s="32">
        <f t="shared" si="4"/>
      </c>
    </row>
    <row r="68" spans="1:17" x14ac:dyDescent="0.25">
      <c r="A68" s="27"/>
      <c r="B68" s="29"/>
      <c r="C68" s="29"/>
      <c r="D68" s="29"/>
      <c r="E68" s="31"/>
      <c r="F68" s="30"/>
      <c r="G68" s="30"/>
      <c r="H68" s="38"/>
      <c r="I68" s="29"/>
      <c r="J68" s="28"/>
      <c r="K68" s="31"/>
      <c r="L68" s="31"/>
      <c r="M68" s="37">
        <f t="shared" si="0"/>
      </c>
      <c r="N68" s="37">
        <f t="shared" si="1"/>
      </c>
      <c r="O68" s="32">
        <f t="shared" si="2"/>
      </c>
      <c r="P68" s="32">
        <f t="shared" si="3"/>
      </c>
      <c r="Q68" s="32">
        <f t="shared" si="4"/>
      </c>
    </row>
    <row r="69" spans="1:17" x14ac:dyDescent="0.25">
      <c r="A69" s="27"/>
      <c r="B69" s="29"/>
      <c r="C69" s="29"/>
      <c r="D69" s="29"/>
      <c r="E69" s="31"/>
      <c r="F69" s="30"/>
      <c r="G69" s="30"/>
      <c r="H69" s="38"/>
      <c r="I69" s="29"/>
      <c r="J69" s="28"/>
      <c r="K69" s="31"/>
      <c r="L69" s="31"/>
      <c r="M69" s="37">
        <f t="shared" si="0"/>
      </c>
      <c r="N69" s="37">
        <f t="shared" si="1"/>
      </c>
      <c r="O69" s="32">
        <f t="shared" si="2"/>
      </c>
      <c r="P69" s="32">
        <f t="shared" si="3"/>
      </c>
      <c r="Q69" s="32">
        <f t="shared" si="4"/>
      </c>
    </row>
    <row r="70" spans="1:17" x14ac:dyDescent="0.25">
      <c r="A70" s="27"/>
      <c r="B70" s="29"/>
      <c r="C70" s="29"/>
      <c r="D70" s="29"/>
      <c r="E70" s="31"/>
      <c r="F70" s="30"/>
      <c r="G70" s="30"/>
      <c r="H70" s="38"/>
      <c r="I70" s="29"/>
      <c r="J70" s="28"/>
      <c r="K70" s="31"/>
      <c r="L70" s="31"/>
      <c r="M70" s="37">
        <f t="shared" si="0"/>
      </c>
      <c r="N70" s="37">
        <f t="shared" si="1"/>
      </c>
      <c r="O70" s="32">
        <f t="shared" si="2"/>
      </c>
      <c r="P70" s="32">
        <f t="shared" si="3"/>
      </c>
      <c r="Q70" s="32">
        <f t="shared" si="4"/>
      </c>
    </row>
    <row r="71" spans="1:17" x14ac:dyDescent="0.25">
      <c r="A71" s="27"/>
      <c r="B71" s="29"/>
      <c r="C71" s="29"/>
      <c r="D71" s="29"/>
      <c r="E71" s="31"/>
      <c r="F71" s="30"/>
      <c r="G71" s="30"/>
      <c r="H71" s="38"/>
      <c r="I71" s="29"/>
      <c r="J71" s="28"/>
      <c r="K71" s="31"/>
      <c r="L71" s="31"/>
      <c r="M71" s="37">
        <f t="shared" si="0"/>
      </c>
      <c r="N71" s="37">
        <f t="shared" si="1"/>
      </c>
      <c r="O71" s="32">
        <f t="shared" si="2"/>
      </c>
      <c r="P71" s="32">
        <f t="shared" si="3"/>
      </c>
      <c r="Q71" s="32">
        <f t="shared" si="4"/>
      </c>
    </row>
    <row r="72" spans="1:17" x14ac:dyDescent="0.25">
      <c r="A72" s="27"/>
      <c r="B72" s="29"/>
      <c r="C72" s="29"/>
      <c r="D72" s="29"/>
      <c r="E72" s="31"/>
      <c r="F72" s="30"/>
      <c r="G72" s="30"/>
      <c r="H72" s="38"/>
      <c r="I72" s="29"/>
      <c r="J72" s="28"/>
      <c r="K72" s="31"/>
      <c r="L72" s="31"/>
      <c r="M72" s="37">
        <f t="shared" si="0"/>
      </c>
      <c r="N72" s="37">
        <f t="shared" si="1"/>
      </c>
      <c r="O72" s="32">
        <f t="shared" si="2"/>
      </c>
      <c r="P72" s="32">
        <f t="shared" si="3"/>
      </c>
      <c r="Q72" s="32">
        <f t="shared" si="4"/>
      </c>
    </row>
    <row r="73" spans="1:17" x14ac:dyDescent="0.25">
      <c r="A73" s="27"/>
      <c r="B73" s="29"/>
      <c r="C73" s="29"/>
      <c r="D73" s="29"/>
      <c r="E73" s="31"/>
      <c r="F73" s="30"/>
      <c r="G73" s="30"/>
      <c r="H73" s="38"/>
      <c r="I73" s="29"/>
      <c r="J73" s="28"/>
      <c r="K73" s="31"/>
      <c r="L73" s="31"/>
      <c r="M73" s="37">
        <f t="shared" si="0"/>
      </c>
      <c r="N73" s="37">
        <f t="shared" si="1"/>
      </c>
      <c r="O73" s="32">
        <f t="shared" si="2"/>
      </c>
      <c r="P73" s="32">
        <f t="shared" si="3"/>
      </c>
      <c r="Q73" s="32">
        <f t="shared" si="4"/>
      </c>
    </row>
    <row r="74" spans="1:17" x14ac:dyDescent="0.25">
      <c r="A74" s="27"/>
      <c r="B74" s="29"/>
      <c r="C74" s="29"/>
      <c r="D74" s="29"/>
      <c r="E74" s="31"/>
      <c r="F74" s="30"/>
      <c r="G74" s="30"/>
      <c r="H74" s="38"/>
      <c r="I74" s="29"/>
      <c r="J74" s="28"/>
      <c r="K74" s="31"/>
      <c r="L74" s="31"/>
      <c r="M74" s="37">
        <f t="shared" si="0"/>
      </c>
      <c r="N74" s="37">
        <f t="shared" si="1"/>
      </c>
      <c r="O74" s="32">
        <f t="shared" si="2"/>
      </c>
      <c r="P74" s="32">
        <f t="shared" si="3"/>
      </c>
      <c r="Q74" s="32">
        <f t="shared" si="4"/>
      </c>
    </row>
    <row r="75" spans="1:17" x14ac:dyDescent="0.25">
      <c r="A75" s="27"/>
      <c r="B75" s="29"/>
      <c r="C75" s="29"/>
      <c r="D75" s="29"/>
      <c r="E75" s="31"/>
      <c r="F75" s="30"/>
      <c r="G75" s="30"/>
      <c r="H75" s="38"/>
      <c r="I75" s="29"/>
      <c r="J75" s="28"/>
      <c r="K75" s="31"/>
      <c r="L75" s="31"/>
      <c r="M75" s="37">
        <f t="shared" si="0"/>
      </c>
      <c r="N75" s="37">
        <f t="shared" si="1"/>
      </c>
      <c r="O75" s="32">
        <f t="shared" si="2"/>
      </c>
      <c r="P75" s="32">
        <f t="shared" si="3"/>
      </c>
      <c r="Q75" s="32">
        <f t="shared" si="4"/>
      </c>
    </row>
    <row r="76" spans="1:17" x14ac:dyDescent="0.25">
      <c r="A76" s="27"/>
      <c r="B76" s="29"/>
      <c r="C76" s="29"/>
      <c r="D76" s="29"/>
      <c r="E76" s="31"/>
      <c r="F76" s="30"/>
      <c r="G76" s="30"/>
      <c r="H76" s="38"/>
      <c r="I76" s="29"/>
      <c r="J76" s="28"/>
      <c r="K76" s="31"/>
      <c r="L76" s="31"/>
      <c r="M76" s="37">
        <f t="shared" si="0"/>
      </c>
      <c r="N76" s="37">
        <f t="shared" si="1"/>
      </c>
      <c r="O76" s="32">
        <f t="shared" si="2"/>
      </c>
      <c r="P76" s="32">
        <f t="shared" si="3"/>
      </c>
      <c r="Q76" s="32">
        <f t="shared" si="4"/>
      </c>
    </row>
    <row r="77" spans="1:17" x14ac:dyDescent="0.25">
      <c r="A77" s="27"/>
      <c r="B77" s="29"/>
      <c r="C77" s="29"/>
      <c r="D77" s="29"/>
      <c r="E77" s="31"/>
      <c r="F77" s="30"/>
      <c r="G77" s="30"/>
      <c r="H77" s="38"/>
      <c r="I77" s="29"/>
      <c r="J77" s="28"/>
      <c r="K77" s="31"/>
      <c r="L77" s="31"/>
      <c r="M77" s="37">
        <f t="shared" si="0"/>
      </c>
      <c r="N77" s="37">
        <f t="shared" si="1"/>
      </c>
      <c r="O77" s="32">
        <f t="shared" si="2"/>
      </c>
      <c r="P77" s="32">
        <f t="shared" si="3"/>
      </c>
      <c r="Q77" s="32">
        <f t="shared" si="4"/>
      </c>
    </row>
    <row r="78" spans="1:17" x14ac:dyDescent="0.25">
      <c r="A78" s="27"/>
      <c r="B78" s="29"/>
      <c r="C78" s="29"/>
      <c r="D78" s="29"/>
      <c r="E78" s="31"/>
      <c r="F78" s="30"/>
      <c r="G78" s="30"/>
      <c r="H78" s="38"/>
      <c r="I78" s="29"/>
      <c r="J78" s="28"/>
      <c r="K78" s="31"/>
      <c r="L78" s="31"/>
      <c r="M78" s="37">
        <f t="shared" si="0"/>
      </c>
      <c r="N78" s="37">
        <f t="shared" si="1"/>
      </c>
      <c r="O78" s="32">
        <f t="shared" si="2"/>
      </c>
      <c r="P78" s="32">
        <f t="shared" si="3"/>
      </c>
      <c r="Q78" s="32">
        <f t="shared" si="4"/>
      </c>
    </row>
    <row r="79" spans="1:17" x14ac:dyDescent="0.25">
      <c r="A79" s="27"/>
      <c r="B79" s="29"/>
      <c r="C79" s="29"/>
      <c r="D79" s="29"/>
      <c r="E79" s="31"/>
      <c r="F79" s="30"/>
      <c r="G79" s="30"/>
      <c r="H79" s="38"/>
      <c r="I79" s="29"/>
      <c r="J79" s="28"/>
      <c r="K79" s="31"/>
      <c r="L79" s="31"/>
      <c r="M79" s="37">
        <f t="shared" si="0"/>
      </c>
      <c r="N79" s="37">
        <f t="shared" si="1"/>
      </c>
      <c r="O79" s="32">
        <f t="shared" si="2"/>
      </c>
      <c r="P79" s="32">
        <f t="shared" si="3"/>
      </c>
      <c r="Q79" s="32">
        <f t="shared" si="4"/>
      </c>
    </row>
    <row r="80" spans="1:17" x14ac:dyDescent="0.25">
      <c r="A80" s="27"/>
      <c r="B80" s="29"/>
      <c r="C80" s="29"/>
      <c r="D80" s="29"/>
      <c r="E80" s="31"/>
      <c r="F80" s="30"/>
      <c r="G80" s="30"/>
      <c r="H80" s="38"/>
      <c r="I80" s="29"/>
      <c r="J80" s="28"/>
      <c r="K80" s="31"/>
      <c r="L80" s="31"/>
      <c r="M80" s="37">
        <f t="shared" si="0"/>
      </c>
      <c r="N80" s="37">
        <f t="shared" si="1"/>
      </c>
      <c r="O80" s="32">
        <f t="shared" si="2"/>
      </c>
      <c r="P80" s="32">
        <f t="shared" si="3"/>
      </c>
      <c r="Q80" s="32">
        <f t="shared" si="4"/>
      </c>
    </row>
    <row r="81" spans="1:17" x14ac:dyDescent="0.25">
      <c r="A81" s="27"/>
      <c r="B81" s="29"/>
      <c r="C81" s="29"/>
      <c r="D81" s="29"/>
      <c r="E81" s="31"/>
      <c r="F81" s="30"/>
      <c r="G81" s="30"/>
      <c r="H81" s="38"/>
      <c r="I81" s="29"/>
      <c r="J81" s="28"/>
      <c r="K81" s="31"/>
      <c r="L81" s="31"/>
      <c r="M81" s="37">
        <f t="shared" si="0"/>
      </c>
      <c r="N81" s="37">
        <f t="shared" si="1"/>
      </c>
      <c r="O81" s="32">
        <f t="shared" si="2"/>
      </c>
      <c r="P81" s="32">
        <f t="shared" si="3"/>
      </c>
      <c r="Q81" s="32">
        <f t="shared" si="4"/>
      </c>
    </row>
    <row r="82" spans="1:17" x14ac:dyDescent="0.25">
      <c r="A82" s="27"/>
      <c r="B82" s="29"/>
      <c r="C82" s="29"/>
      <c r="D82" s="29"/>
      <c r="E82" s="31"/>
      <c r="F82" s="30"/>
      <c r="G82" s="30"/>
      <c r="H82" s="38"/>
      <c r="I82" s="29"/>
      <c r="J82" s="28"/>
      <c r="K82" s="31"/>
      <c r="L82" s="31"/>
      <c r="M82" s="37">
        <f t="shared" si="0"/>
      </c>
      <c r="N82" s="37">
        <f t="shared" si="1"/>
      </c>
      <c r="O82" s="32">
        <f t="shared" si="2"/>
      </c>
      <c r="P82" s="32">
        <f t="shared" si="3"/>
      </c>
      <c r="Q82" s="32">
        <f t="shared" si="4"/>
      </c>
    </row>
    <row r="83" spans="1:17" x14ac:dyDescent="0.25">
      <c r="A83" s="27"/>
      <c r="B83" s="29"/>
      <c r="C83" s="29"/>
      <c r="D83" s="29"/>
      <c r="E83" s="31"/>
      <c r="F83" s="30"/>
      <c r="G83" s="30"/>
      <c r="H83" s="38"/>
      <c r="I83" s="29"/>
      <c r="J83" s="28"/>
      <c r="K83" s="31"/>
      <c r="L83" s="31"/>
      <c r="M83" s="37">
        <f t="shared" si="0"/>
      </c>
      <c r="N83" s="37">
        <f t="shared" si="1"/>
      </c>
      <c r="O83" s="32">
        <f t="shared" si="2"/>
      </c>
      <c r="P83" s="32">
        <f t="shared" si="3"/>
      </c>
      <c r="Q83" s="32">
        <f t="shared" si="4"/>
      </c>
    </row>
    <row r="84" spans="1:17" x14ac:dyDescent="0.25">
      <c r="A84" s="27"/>
      <c r="B84" s="29"/>
      <c r="C84" s="29"/>
      <c r="D84" s="29"/>
      <c r="E84" s="31"/>
      <c r="F84" s="30"/>
      <c r="G84" s="30"/>
      <c r="H84" s="38"/>
      <c r="I84" s="29"/>
      <c r="J84" s="28"/>
      <c r="K84" s="31"/>
      <c r="L84" s="31"/>
      <c r="M84" s="37">
        <f t="shared" si="0"/>
      </c>
      <c r="N84" s="37">
        <f t="shared" si="1"/>
      </c>
      <c r="O84" s="32">
        <f t="shared" si="2"/>
      </c>
      <c r="P84" s="32">
        <f t="shared" si="3"/>
      </c>
      <c r="Q84" s="32">
        <f t="shared" si="4"/>
      </c>
    </row>
    <row r="85" spans="1:17" x14ac:dyDescent="0.25">
      <c r="A85" s="27"/>
      <c r="B85" s="29"/>
      <c r="C85" s="29"/>
      <c r="D85" s="29"/>
      <c r="E85" s="31"/>
      <c r="F85" s="30"/>
      <c r="G85" s="30"/>
      <c r="H85" s="38"/>
      <c r="I85" s="29"/>
      <c r="J85" s="28"/>
      <c r="K85" s="31"/>
      <c r="L85" s="31"/>
      <c r="M85" s="37">
        <f t="shared" si="0"/>
      </c>
      <c r="N85" s="37">
        <f t="shared" si="1"/>
      </c>
      <c r="O85" s="32">
        <f t="shared" si="2"/>
      </c>
      <c r="P85" s="32">
        <f t="shared" si="3"/>
      </c>
      <c r="Q85" s="32">
        <f t="shared" si="4"/>
      </c>
    </row>
    <row r="86" spans="1:17" x14ac:dyDescent="0.25">
      <c r="A86" s="27"/>
      <c r="B86" s="29"/>
      <c r="C86" s="29"/>
      <c r="D86" s="29"/>
      <c r="E86" s="31"/>
      <c r="F86" s="30"/>
      <c r="G86" s="30"/>
      <c r="H86" s="38"/>
      <c r="I86" s="29"/>
      <c r="J86" s="28"/>
      <c r="K86" s="31"/>
      <c r="L86" s="31"/>
      <c r="M86" s="37">
        <f t="shared" si="0"/>
      </c>
      <c r="N86" s="37">
        <f t="shared" si="1"/>
      </c>
      <c r="O86" s="32">
        <f t="shared" si="2"/>
      </c>
      <c r="P86" s="32">
        <f t="shared" si="3"/>
      </c>
      <c r="Q86" s="32">
        <f t="shared" si="4"/>
      </c>
    </row>
    <row r="87" spans="1:17" x14ac:dyDescent="0.25">
      <c r="A87" s="27"/>
      <c r="B87" s="29"/>
      <c r="C87" s="29"/>
      <c r="D87" s="29"/>
      <c r="E87" s="31"/>
      <c r="F87" s="30"/>
      <c r="G87" s="30"/>
      <c r="H87" s="38"/>
      <c r="I87" s="29"/>
      <c r="J87" s="28"/>
      <c r="K87" s="31"/>
      <c r="L87" s="31"/>
      <c r="M87" s="37">
        <f t="shared" si="0"/>
      </c>
      <c r="N87" s="37">
        <f t="shared" si="1"/>
      </c>
      <c r="O87" s="32">
        <f t="shared" si="2"/>
      </c>
      <c r="P87" s="32">
        <f t="shared" si="3"/>
      </c>
      <c r="Q87" s="32">
        <f t="shared" si="4"/>
      </c>
    </row>
    <row r="88" spans="1:17" x14ac:dyDescent="0.25">
      <c r="A88" s="27"/>
      <c r="B88" s="29"/>
      <c r="C88" s="29"/>
      <c r="D88" s="29"/>
      <c r="E88" s="31"/>
      <c r="F88" s="30"/>
      <c r="G88" s="30"/>
      <c r="H88" s="38"/>
      <c r="I88" s="29"/>
      <c r="J88" s="28"/>
      <c r="K88" s="31"/>
      <c r="L88" s="31"/>
      <c r="M88" s="37">
        <f t="shared" si="0"/>
      </c>
      <c r="N88" s="37">
        <f t="shared" si="1"/>
      </c>
      <c r="O88" s="32">
        <f t="shared" si="2"/>
      </c>
      <c r="P88" s="32">
        <f t="shared" si="3"/>
      </c>
      <c r="Q88" s="32">
        <f t="shared" si="4"/>
      </c>
    </row>
    <row r="89" spans="1:17" x14ac:dyDescent="0.25">
      <c r="A89" s="27"/>
      <c r="B89" s="29"/>
      <c r="C89" s="29"/>
      <c r="D89" s="29"/>
      <c r="E89" s="31"/>
      <c r="F89" s="30"/>
      <c r="G89" s="30"/>
      <c r="H89" s="38"/>
      <c r="I89" s="29"/>
      <c r="J89" s="28"/>
      <c r="K89" s="31"/>
      <c r="L89" s="31"/>
      <c r="M89" s="37">
        <f t="shared" si="0"/>
      </c>
      <c r="N89" s="37">
        <f t="shared" si="1"/>
      </c>
      <c r="O89" s="32">
        <f t="shared" si="2"/>
      </c>
      <c r="P89" s="32">
        <f t="shared" si="3"/>
      </c>
      <c r="Q89" s="32">
        <f t="shared" si="4"/>
      </c>
    </row>
    <row r="90" spans="1:17" x14ac:dyDescent="0.25">
      <c r="A90" s="27"/>
      <c r="B90" s="29"/>
      <c r="C90" s="29"/>
      <c r="D90" s="29"/>
      <c r="E90" s="31"/>
      <c r="F90" s="30"/>
      <c r="G90" s="30"/>
      <c r="H90" s="38"/>
      <c r="I90" s="29"/>
      <c r="J90" s="28"/>
      <c r="K90" s="31"/>
      <c r="L90" s="31"/>
      <c r="M90" s="37">
        <f t="shared" si="0"/>
      </c>
      <c r="N90" s="37">
        <f t="shared" si="1"/>
      </c>
      <c r="O90" s="32">
        <f t="shared" si="2"/>
      </c>
      <c r="P90" s="32">
        <f t="shared" si="3"/>
      </c>
      <c r="Q90" s="32">
        <f t="shared" si="4"/>
      </c>
    </row>
    <row r="91" spans="1:17" x14ac:dyDescent="0.25">
      <c r="A91" s="27"/>
      <c r="B91" s="29"/>
      <c r="C91" s="29"/>
      <c r="D91" s="29"/>
      <c r="E91" s="31"/>
      <c r="F91" s="30"/>
      <c r="G91" s="30"/>
      <c r="H91" s="38"/>
      <c r="I91" s="29"/>
      <c r="J91" s="28"/>
      <c r="K91" s="31"/>
      <c r="L91" s="31"/>
      <c r="M91" s="37">
        <f t="shared" si="0"/>
      </c>
      <c r="N91" s="37">
        <f t="shared" si="1"/>
      </c>
      <c r="O91" s="32">
        <f t="shared" si="2"/>
      </c>
      <c r="P91" s="32">
        <f t="shared" si="3"/>
      </c>
      <c r="Q91" s="32">
        <f t="shared" si="4"/>
      </c>
    </row>
    <row r="92" spans="1:17" x14ac:dyDescent="0.25">
      <c r="A92" s="27"/>
      <c r="B92" s="29"/>
      <c r="C92" s="29"/>
      <c r="D92" s="29"/>
      <c r="E92" s="31"/>
      <c r="F92" s="30"/>
      <c r="G92" s="30"/>
      <c r="H92" s="38"/>
      <c r="I92" s="29"/>
      <c r="J92" s="28"/>
      <c r="K92" s="31"/>
      <c r="L92" s="31"/>
      <c r="M92" s="37">
        <f t="shared" si="0"/>
      </c>
      <c r="N92" s="37">
        <f t="shared" si="1"/>
      </c>
      <c r="O92" s="32">
        <f t="shared" si="2"/>
      </c>
      <c r="P92" s="32">
        <f t="shared" si="3"/>
      </c>
      <c r="Q92" s="32">
        <f t="shared" si="4"/>
      </c>
    </row>
    <row r="93" spans="1:17" x14ac:dyDescent="0.25">
      <c r="A93" s="27"/>
      <c r="B93" s="29"/>
      <c r="C93" s="29"/>
      <c r="D93" s="29"/>
      <c r="E93" s="31"/>
      <c r="F93" s="30"/>
      <c r="G93" s="30"/>
      <c r="H93" s="38"/>
      <c r="I93" s="29"/>
      <c r="J93" s="28"/>
      <c r="K93" s="31"/>
      <c r="L93" s="31"/>
      <c r="M93" s="37">
        <f t="shared" si="0"/>
      </c>
      <c r="N93" s="37">
        <f t="shared" si="1"/>
      </c>
      <c r="O93" s="32">
        <f t="shared" si="2"/>
      </c>
      <c r="P93" s="32">
        <f t="shared" si="3"/>
      </c>
      <c r="Q93" s="32">
        <f t="shared" si="4"/>
      </c>
    </row>
    <row r="94" spans="1:17" x14ac:dyDescent="0.25">
      <c r="A94" s="27"/>
      <c r="B94" s="29"/>
      <c r="C94" s="29"/>
      <c r="D94" s="29"/>
      <c r="E94" s="31"/>
      <c r="F94" s="30"/>
      <c r="G94" s="30"/>
      <c r="H94" s="38"/>
      <c r="I94" s="29"/>
      <c r="J94" s="28"/>
      <c r="K94" s="31"/>
      <c r="L94" s="31"/>
      <c r="M94" s="37">
        <f t="shared" si="0"/>
      </c>
      <c r="N94" s="37">
        <f t="shared" si="1"/>
      </c>
      <c r="O94" s="32">
        <f t="shared" si="2"/>
      </c>
      <c r="P94" s="32">
        <f t="shared" si="3"/>
      </c>
      <c r="Q94" s="32">
        <f t="shared" si="4"/>
      </c>
    </row>
    <row r="95" spans="1:17" x14ac:dyDescent="0.25">
      <c r="A95" s="27"/>
      <c r="B95" s="29"/>
      <c r="C95" s="29"/>
      <c r="D95" s="29"/>
      <c r="E95" s="31"/>
      <c r="F95" s="30"/>
      <c r="G95" s="30"/>
      <c r="H95" s="38"/>
      <c r="I95" s="29"/>
      <c r="J95" s="28"/>
      <c r="K95" s="31"/>
      <c r="L95" s="31"/>
      <c r="M95" s="37">
        <f t="shared" si="0"/>
      </c>
      <c r="N95" s="37">
        <f t="shared" si="1"/>
      </c>
      <c r="O95" s="32">
        <f t="shared" si="2"/>
      </c>
      <c r="P95" s="32">
        <f t="shared" si="3"/>
      </c>
      <c r="Q95" s="32">
        <f t="shared" si="4"/>
      </c>
    </row>
    <row r="96" spans="1:17" x14ac:dyDescent="0.25">
      <c r="A96" s="27"/>
      <c r="B96" s="29"/>
      <c r="C96" s="29"/>
      <c r="D96" s="29"/>
      <c r="E96" s="31"/>
      <c r="F96" s="30"/>
      <c r="G96" s="30"/>
      <c r="H96" s="38"/>
      <c r="I96" s="29"/>
      <c r="J96" s="28"/>
      <c r="K96" s="31"/>
      <c r="L96" s="31"/>
      <c r="M96" s="37">
        <f t="shared" si="0"/>
      </c>
      <c r="N96" s="37">
        <f t="shared" si="1"/>
      </c>
      <c r="O96" s="32">
        <f t="shared" si="2"/>
      </c>
      <c r="P96" s="32">
        <f t="shared" si="3"/>
      </c>
      <c r="Q96" s="32">
        <f t="shared" si="4"/>
      </c>
    </row>
    <row r="97" spans="1:17" x14ac:dyDescent="0.25">
      <c r="A97" s="27"/>
      <c r="B97" s="29"/>
      <c r="C97" s="29"/>
      <c r="D97" s="29"/>
      <c r="E97" s="31"/>
      <c r="F97" s="30"/>
      <c r="G97" s="30"/>
      <c r="H97" s="38"/>
      <c r="I97" s="29"/>
      <c r="J97" s="28"/>
      <c r="K97" s="31"/>
      <c r="L97" s="31"/>
      <c r="M97" s="37">
        <f t="shared" si="0"/>
      </c>
      <c r="N97" s="37">
        <f t="shared" si="1"/>
      </c>
      <c r="O97" s="32">
        <f t="shared" si="2"/>
      </c>
      <c r="P97" s="32">
        <f t="shared" si="3"/>
      </c>
      <c r="Q97" s="32">
        <f t="shared" si="4"/>
      </c>
    </row>
    <row r="98" spans="1:17" x14ac:dyDescent="0.25">
      <c r="A98" s="27"/>
      <c r="B98" s="29"/>
      <c r="C98" s="29"/>
      <c r="D98" s="29"/>
      <c r="E98" s="31"/>
      <c r="F98" s="30"/>
      <c r="G98" s="30"/>
      <c r="H98" s="38"/>
      <c r="I98" s="29"/>
      <c r="J98" s="28"/>
      <c r="K98" s="31"/>
      <c r="L98" s="31"/>
      <c r="M98" s="37">
        <f t="shared" si="0"/>
      </c>
      <c r="N98" s="37">
        <f t="shared" si="1"/>
      </c>
      <c r="O98" s="32">
        <f t="shared" si="2"/>
      </c>
      <c r="P98" s="32">
        <f t="shared" si="3"/>
      </c>
      <c r="Q98" s="32">
        <f t="shared" si="4"/>
      </c>
    </row>
    <row r="99" spans="1:17" x14ac:dyDescent="0.25">
      <c r="A99" s="27"/>
      <c r="B99" s="29"/>
      <c r="C99" s="29"/>
      <c r="D99" s="29"/>
      <c r="E99" s="31"/>
      <c r="F99" s="30"/>
      <c r="G99" s="30"/>
      <c r="H99" s="38"/>
      <c r="I99" s="29"/>
      <c r="J99" s="28"/>
      <c r="K99" s="31"/>
      <c r="L99" s="31"/>
      <c r="M99" s="37">
        <f t="shared" si="0"/>
      </c>
      <c r="N99" s="37">
        <f t="shared" si="1"/>
      </c>
      <c r="O99" s="32">
        <f t="shared" si="2"/>
      </c>
      <c r="P99" s="32">
        <f t="shared" si="3"/>
      </c>
      <c r="Q99" s="32">
        <f t="shared" si="4"/>
      </c>
    </row>
    <row r="100" spans="1:17" x14ac:dyDescent="0.25">
      <c r="A100" s="27"/>
      <c r="B100" s="29"/>
      <c r="C100" s="29"/>
      <c r="D100" s="29"/>
      <c r="E100" s="31"/>
      <c r="F100" s="30"/>
      <c r="G100" s="30"/>
      <c r="H100" s="38"/>
      <c r="I100" s="29"/>
      <c r="J100" s="28"/>
      <c r="K100" s="31"/>
      <c r="L100" s="31"/>
      <c r="M100" s="37">
        <f t="shared" si="0"/>
      </c>
      <c r="N100" s="37">
        <f t="shared" si="1"/>
      </c>
      <c r="O100" s="32">
        <f t="shared" si="2"/>
      </c>
      <c r="P100" s="32">
        <f t="shared" si="3"/>
      </c>
      <c r="Q100" s="32">
        <f t="shared" si="4"/>
      </c>
    </row>
    <row r="101" spans="1:17" x14ac:dyDescent="0.25">
      <c r="A101" s="27"/>
      <c r="B101" s="29"/>
      <c r="C101" s="29"/>
      <c r="D101" s="29"/>
      <c r="E101" s="31"/>
      <c r="F101" s="30"/>
      <c r="G101" s="30"/>
      <c r="H101" s="38"/>
      <c r="I101" s="29"/>
      <c r="J101" s="28"/>
      <c r="K101" s="31"/>
      <c r="L101" s="31"/>
      <c r="M101" s="37">
        <f t="shared" si="0"/>
      </c>
      <c r="N101" s="37">
        <f t="shared" si="1"/>
      </c>
      <c r="O101" s="32">
        <f t="shared" si="2"/>
      </c>
      <c r="P101" s="32">
        <f t="shared" si="3"/>
      </c>
      <c r="Q101" s="32">
        <f t="shared" si="4"/>
      </c>
    </row>
    <row r="102" spans="1:17" x14ac:dyDescent="0.25">
      <c r="A102" s="27"/>
      <c r="B102" s="29"/>
      <c r="C102" s="29"/>
      <c r="D102" s="29"/>
      <c r="E102" s="31"/>
      <c r="F102" s="30"/>
      <c r="G102" s="30"/>
      <c r="H102" s="38"/>
      <c r="I102" s="29"/>
      <c r="J102" s="28"/>
      <c r="K102" s="31"/>
      <c r="L102" s="31"/>
      <c r="M102" s="37">
        <f t="shared" si="0"/>
      </c>
      <c r="N102" s="37">
        <f t="shared" si="1"/>
      </c>
      <c r="O102" s="32">
        <f t="shared" si="2"/>
      </c>
      <c r="P102" s="32">
        <f t="shared" si="3"/>
      </c>
      <c r="Q102" s="32">
        <f t="shared" si="4"/>
      </c>
    </row>
    <row r="103" spans="1:17" x14ac:dyDescent="0.25">
      <c r="A103" s="27"/>
      <c r="B103" s="29"/>
      <c r="C103" s="29"/>
      <c r="D103" s="29"/>
      <c r="E103" s="31"/>
      <c r="F103" s="30"/>
      <c r="G103" s="30"/>
      <c r="H103" s="38"/>
      <c r="I103" s="29"/>
      <c r="J103" s="28"/>
      <c r="K103" s="31"/>
      <c r="L103" s="31"/>
      <c r="M103" s="37">
        <f t="shared" si="0"/>
      </c>
      <c r="N103" s="37">
        <f t="shared" si="1"/>
      </c>
      <c r="O103" s="32">
        <f t="shared" si="2"/>
      </c>
      <c r="P103" s="32">
        <f t="shared" si="3"/>
      </c>
      <c r="Q103" s="32">
        <f t="shared" si="4"/>
      </c>
    </row>
    <row r="104" spans="1:17" x14ac:dyDescent="0.25">
      <c r="A104" s="27"/>
      <c r="B104" s="29"/>
      <c r="C104" s="29"/>
      <c r="D104" s="29"/>
      <c r="E104" s="31"/>
      <c r="F104" s="30"/>
      <c r="G104" s="30"/>
      <c r="H104" s="38"/>
      <c r="I104" s="29"/>
      <c r="J104" s="28"/>
      <c r="K104" s="31"/>
      <c r="L104" s="31"/>
      <c r="M104" s="37">
        <f t="shared" si="0"/>
      </c>
      <c r="N104" s="37">
        <f t="shared" si="1"/>
      </c>
      <c r="O104" s="32">
        <f t="shared" si="2"/>
      </c>
      <c r="P104" s="32">
        <f t="shared" si="3"/>
      </c>
      <c r="Q104" s="32">
        <f t="shared" si="4"/>
      </c>
    </row>
    <row r="105" spans="1:17" x14ac:dyDescent="0.25">
      <c r="A105" s="27"/>
      <c r="B105" s="29"/>
      <c r="C105" s="29"/>
      <c r="D105" s="29"/>
      <c r="E105" s="31"/>
      <c r="F105" s="30"/>
      <c r="G105" s="30"/>
      <c r="H105" s="38"/>
      <c r="I105" s="29"/>
      <c r="J105" s="28"/>
      <c r="K105" s="31"/>
      <c r="L105" s="31"/>
      <c r="M105" s="37">
        <f t="shared" si="0"/>
      </c>
      <c r="N105" s="37">
        <f t="shared" si="1"/>
      </c>
      <c r="O105" s="32">
        <f t="shared" si="2"/>
      </c>
      <c r="P105" s="32">
        <f t="shared" si="3"/>
      </c>
      <c r="Q105" s="32">
        <f t="shared" si="4"/>
      </c>
    </row>
    <row r="106" spans="1:17" x14ac:dyDescent="0.25">
      <c r="A106" s="27"/>
      <c r="B106" s="29"/>
      <c r="C106" s="29"/>
      <c r="D106" s="29"/>
      <c r="E106" s="31"/>
      <c r="F106" s="30"/>
      <c r="G106" s="30"/>
      <c r="H106" s="38"/>
      <c r="I106" s="29"/>
      <c r="J106" s="28"/>
      <c r="K106" s="31"/>
      <c r="L106" s="31"/>
      <c r="M106" s="37">
        <f t="shared" si="0"/>
      </c>
      <c r="N106" s="37">
        <f t="shared" si="1"/>
      </c>
      <c r="O106" s="32">
        <f t="shared" si="2"/>
      </c>
      <c r="P106" s="32">
        <f t="shared" si="3"/>
      </c>
      <c r="Q106" s="32">
        <f t="shared" si="4"/>
      </c>
    </row>
    <row r="107" spans="1:17" x14ac:dyDescent="0.25">
      <c r="A107" s="27"/>
      <c r="B107" s="29"/>
      <c r="C107" s="29"/>
      <c r="D107" s="29"/>
      <c r="E107" s="31"/>
      <c r="F107" s="30"/>
      <c r="G107" s="30"/>
      <c r="H107" s="38"/>
      <c r="I107" s="29"/>
      <c r="J107" s="28"/>
      <c r="K107" s="31"/>
      <c r="L107" s="31"/>
      <c r="M107" s="37">
        <f t="shared" si="0"/>
      </c>
      <c r="N107" s="37">
        <f t="shared" si="1"/>
      </c>
      <c r="O107" s="32">
        <f t="shared" si="2"/>
      </c>
      <c r="P107" s="32">
        <f t="shared" si="3"/>
      </c>
      <c r="Q107" s="32">
        <f t="shared" si="4"/>
      </c>
    </row>
    <row r="108" spans="1:17" x14ac:dyDescent="0.25">
      <c r="A108" s="27"/>
      <c r="B108" s="29"/>
      <c r="C108" s="29"/>
      <c r="D108" s="29"/>
      <c r="E108" s="31"/>
      <c r="F108" s="30"/>
      <c r="G108" s="30"/>
      <c r="H108" s="38"/>
      <c r="I108" s="29"/>
      <c r="J108" s="28"/>
      <c r="K108" s="31"/>
      <c r="L108" s="31"/>
      <c r="M108" s="37">
        <f t="shared" si="0"/>
      </c>
      <c r="N108" s="37">
        <f t="shared" si="1"/>
      </c>
      <c r="O108" s="32">
        <f t="shared" si="2"/>
      </c>
      <c r="P108" s="32">
        <f t="shared" si="3"/>
      </c>
      <c r="Q108" s="32">
        <f t="shared" si="4"/>
      </c>
    </row>
    <row r="109" spans="1:17" x14ac:dyDescent="0.25">
      <c r="A109" s="27"/>
      <c r="B109" s="29"/>
      <c r="C109" s="29"/>
      <c r="D109" s="29"/>
      <c r="E109" s="31"/>
      <c r="F109" s="30"/>
      <c r="G109" s="30"/>
      <c r="H109" s="38"/>
      <c r="I109" s="29"/>
      <c r="J109" s="28"/>
      <c r="K109" s="31"/>
      <c r="L109" s="31"/>
      <c r="M109" s="37">
        <f t="shared" si="0"/>
      </c>
      <c r="N109" s="37">
        <f t="shared" si="1"/>
      </c>
      <c r="O109" s="32">
        <f t="shared" si="2"/>
      </c>
      <c r="P109" s="32">
        <f t="shared" si="3"/>
      </c>
      <c r="Q109" s="32">
        <f t="shared" si="4"/>
      </c>
    </row>
    <row r="110" spans="1:17" x14ac:dyDescent="0.25">
      <c r="A110" s="27"/>
      <c r="B110" s="29"/>
      <c r="C110" s="29"/>
      <c r="D110" s="29"/>
      <c r="E110" s="31"/>
      <c r="F110" s="30"/>
      <c r="G110" s="30"/>
      <c r="H110" s="38"/>
      <c r="I110" s="29"/>
      <c r="J110" s="28"/>
      <c r="K110" s="31"/>
      <c r="L110" s="31"/>
      <c r="M110" s="37">
        <f t="shared" si="0"/>
      </c>
      <c r="N110" s="37">
        <f t="shared" si="1"/>
      </c>
      <c r="O110" s="32">
        <f t="shared" si="2"/>
      </c>
      <c r="P110" s="32">
        <f t="shared" si="3"/>
      </c>
      <c r="Q110" s="32">
        <f t="shared" si="4"/>
      </c>
    </row>
    <row r="111" spans="1:17" x14ac:dyDescent="0.25">
      <c r="A111" s="27"/>
      <c r="B111" s="29"/>
      <c r="C111" s="29"/>
      <c r="D111" s="29"/>
      <c r="E111" s="31"/>
      <c r="F111" s="30"/>
      <c r="G111" s="30"/>
      <c r="H111" s="38"/>
      <c r="I111" s="29"/>
      <c r="J111" s="28"/>
      <c r="K111" s="31"/>
      <c r="L111" s="31"/>
      <c r="M111" s="37">
        <f t="shared" si="0"/>
      </c>
      <c r="N111" s="37">
        <f t="shared" si="1"/>
      </c>
      <c r="O111" s="32">
        <f t="shared" si="2"/>
      </c>
      <c r="P111" s="32">
        <f t="shared" si="3"/>
      </c>
      <c r="Q111" s="32">
        <f t="shared" si="4"/>
      </c>
    </row>
    <row r="112" spans="1:17" x14ac:dyDescent="0.25">
      <c r="A112" s="27"/>
      <c r="B112" s="29"/>
      <c r="C112" s="29"/>
      <c r="D112" s="29"/>
      <c r="E112" s="31"/>
      <c r="F112" s="30"/>
      <c r="G112" s="30"/>
      <c r="H112" s="38"/>
      <c r="I112" s="29"/>
      <c r="J112" s="28"/>
      <c r="K112" s="31"/>
      <c r="L112" s="31"/>
      <c r="M112" s="37">
        <f t="shared" si="0"/>
      </c>
      <c r="N112" s="37">
        <f t="shared" si="1"/>
      </c>
      <c r="O112" s="32">
        <f t="shared" si="2"/>
      </c>
      <c r="P112" s="32">
        <f t="shared" si="3"/>
      </c>
      <c r="Q112" s="32">
        <f t="shared" si="4"/>
      </c>
    </row>
    <row r="113" spans="1:17" x14ac:dyDescent="0.25">
      <c r="A113" s="27"/>
      <c r="B113" s="29"/>
      <c r="C113" s="29"/>
      <c r="D113" s="29"/>
      <c r="E113" s="31"/>
      <c r="F113" s="30"/>
      <c r="G113" s="30"/>
      <c r="H113" s="38"/>
      <c r="I113" s="29"/>
      <c r="J113" s="28"/>
      <c r="K113" s="31"/>
      <c r="L113" s="31"/>
      <c r="M113" s="37">
        <f t="shared" si="0"/>
      </c>
      <c r="N113" s="37">
        <f t="shared" si="1"/>
      </c>
      <c r="O113" s="32">
        <f t="shared" si="2"/>
      </c>
      <c r="P113" s="32">
        <f t="shared" si="3"/>
      </c>
      <c r="Q113" s="32">
        <f t="shared" si="4"/>
      </c>
    </row>
    <row r="114" spans="1:17" x14ac:dyDescent="0.25">
      <c r="A114" s="27"/>
      <c r="B114" s="29"/>
      <c r="C114" s="29"/>
      <c r="D114" s="29"/>
      <c r="E114" s="31"/>
      <c r="F114" s="30"/>
      <c r="G114" s="30"/>
      <c r="H114" s="38"/>
      <c r="I114" s="29"/>
      <c r="J114" s="28"/>
      <c r="K114" s="31"/>
      <c r="L114" s="31"/>
      <c r="M114" s="37">
        <f t="shared" si="0"/>
      </c>
      <c r="N114" s="37">
        <f t="shared" si="1"/>
      </c>
      <c r="O114" s="32">
        <f t="shared" si="2"/>
      </c>
      <c r="P114" s="32">
        <f t="shared" si="3"/>
      </c>
      <c r="Q114" s="32">
        <f t="shared" si="4"/>
      </c>
    </row>
    <row r="115" spans="1:17" x14ac:dyDescent="0.25">
      <c r="A115" s="27"/>
      <c r="B115" s="29"/>
      <c r="C115" s="29"/>
      <c r="D115" s="29"/>
      <c r="E115" s="31"/>
      <c r="F115" s="30"/>
      <c r="G115" s="30"/>
      <c r="H115" s="38"/>
      <c r="I115" s="29"/>
      <c r="J115" s="28"/>
      <c r="K115" s="31"/>
      <c r="L115" s="31"/>
      <c r="M115" s="37">
        <f t="shared" si="0"/>
      </c>
      <c r="N115" s="37">
        <f t="shared" si="1"/>
      </c>
      <c r="O115" s="32">
        <f t="shared" si="2"/>
      </c>
      <c r="P115" s="32">
        <f t="shared" si="3"/>
      </c>
      <c r="Q115" s="32">
        <f t="shared" si="4"/>
      </c>
    </row>
    <row r="116" spans="1:17" x14ac:dyDescent="0.25">
      <c r="A116" s="27"/>
      <c r="B116" s="29"/>
      <c r="C116" s="29"/>
      <c r="D116" s="29"/>
      <c r="E116" s="31"/>
      <c r="F116" s="30"/>
      <c r="G116" s="30"/>
      <c r="H116" s="38"/>
      <c r="I116" s="29"/>
      <c r="J116" s="28"/>
      <c r="K116" s="31"/>
      <c r="L116" s="31"/>
      <c r="M116" s="37">
        <f t="shared" si="0"/>
      </c>
      <c r="N116" s="37">
        <f t="shared" si="1"/>
      </c>
      <c r="O116" s="32">
        <f t="shared" si="2"/>
      </c>
      <c r="P116" s="32">
        <f t="shared" si="3"/>
      </c>
      <c r="Q116" s="32">
        <f t="shared" si="4"/>
      </c>
    </row>
    <row r="117" spans="1:17" x14ac:dyDescent="0.25">
      <c r="A117" s="27"/>
      <c r="B117" s="29"/>
      <c r="C117" s="29"/>
      <c r="D117" s="29"/>
      <c r="E117" s="31"/>
      <c r="F117" s="30"/>
      <c r="G117" s="30"/>
      <c r="H117" s="38"/>
      <c r="I117" s="29"/>
      <c r="J117" s="28"/>
      <c r="K117" s="31"/>
      <c r="L117" s="31"/>
      <c r="M117" s="37">
        <f t="shared" si="0"/>
      </c>
      <c r="N117" s="37">
        <f t="shared" si="1"/>
      </c>
      <c r="O117" s="32">
        <f t="shared" si="2"/>
      </c>
      <c r="P117" s="32">
        <f t="shared" si="3"/>
      </c>
      <c r="Q117" s="32">
        <f t="shared" si="4"/>
      </c>
    </row>
    <row r="118" spans="1:17" x14ac:dyDescent="0.25">
      <c r="A118" s="27"/>
      <c r="B118" s="29"/>
      <c r="C118" s="29"/>
      <c r="D118" s="29"/>
      <c r="E118" s="31"/>
      <c r="F118" s="30"/>
      <c r="G118" s="30"/>
      <c r="H118" s="38"/>
      <c r="I118" s="29"/>
      <c r="J118" s="28"/>
      <c r="K118" s="31"/>
      <c r="L118" s="31"/>
      <c r="M118" s="37">
        <f t="shared" si="0"/>
      </c>
      <c r="N118" s="37">
        <f t="shared" si="1"/>
      </c>
      <c r="O118" s="32">
        <f t="shared" si="2"/>
      </c>
      <c r="P118" s="32">
        <f t="shared" si="3"/>
      </c>
      <c r="Q118" s="32">
        <f t="shared" si="4"/>
      </c>
    </row>
    <row r="119" spans="1:17" x14ac:dyDescent="0.25">
      <c r="A119" s="27"/>
      <c r="B119" s="29"/>
      <c r="C119" s="29"/>
      <c r="D119" s="29"/>
      <c r="E119" s="31"/>
      <c r="F119" s="30"/>
      <c r="G119" s="30"/>
      <c r="H119" s="38"/>
      <c r="I119" s="29"/>
      <c r="J119" s="28"/>
      <c r="K119" s="31"/>
      <c r="L119" s="31"/>
      <c r="M119" s="37">
        <f t="shared" si="0"/>
      </c>
      <c r="N119" s="37">
        <f t="shared" si="1"/>
      </c>
      <c r="O119" s="32">
        <f t="shared" si="2"/>
      </c>
      <c r="P119" s="32">
        <f t="shared" si="3"/>
      </c>
      <c r="Q119" s="32">
        <f t="shared" si="4"/>
      </c>
    </row>
    <row r="120" spans="1:17" x14ac:dyDescent="0.25">
      <c r="A120" s="27"/>
      <c r="B120" s="29"/>
      <c r="C120" s="29"/>
      <c r="D120" s="29"/>
      <c r="E120" s="31"/>
      <c r="F120" s="30"/>
      <c r="G120" s="30"/>
      <c r="H120" s="38"/>
      <c r="I120" s="29"/>
      <c r="J120" s="28"/>
      <c r="K120" s="31"/>
      <c r="L120" s="31"/>
      <c r="M120" s="37">
        <f t="shared" si="0"/>
      </c>
      <c r="N120" s="37">
        <f t="shared" si="1"/>
      </c>
      <c r="O120" s="32">
        <f t="shared" si="2"/>
      </c>
      <c r="P120" s="32">
        <f t="shared" si="3"/>
      </c>
      <c r="Q120" s="32">
        <f t="shared" si="4"/>
      </c>
    </row>
    <row r="121" spans="1:17" x14ac:dyDescent="0.25">
      <c r="A121" s="27"/>
      <c r="B121" s="29"/>
      <c r="C121" s="29"/>
      <c r="D121" s="29"/>
      <c r="E121" s="31"/>
      <c r="F121" s="30"/>
      <c r="G121" s="30"/>
      <c r="H121" s="38"/>
      <c r="I121" s="29"/>
      <c r="J121" s="28"/>
      <c r="K121" s="31"/>
      <c r="L121" s="31"/>
      <c r="M121" s="37">
        <f t="shared" si="0"/>
      </c>
      <c r="N121" s="37">
        <f t="shared" si="1"/>
      </c>
      <c r="O121" s="32">
        <f t="shared" si="2"/>
      </c>
      <c r="P121" s="32">
        <f t="shared" si="3"/>
      </c>
      <c r="Q121" s="32">
        <f t="shared" si="4"/>
      </c>
    </row>
    <row r="122" spans="1:17" x14ac:dyDescent="0.25">
      <c r="A122" s="27"/>
      <c r="B122" s="29"/>
      <c r="C122" s="29"/>
      <c r="D122" s="29"/>
      <c r="E122" s="31"/>
      <c r="F122" s="30"/>
      <c r="G122" s="30"/>
      <c r="H122" s="38"/>
      <c r="I122" s="29"/>
      <c r="J122" s="28"/>
      <c r="K122" s="31"/>
      <c r="L122" s="31"/>
      <c r="M122" s="37">
        <f t="shared" si="0"/>
      </c>
      <c r="N122" s="37">
        <f t="shared" si="1"/>
      </c>
      <c r="O122" s="32">
        <f t="shared" si="2"/>
      </c>
      <c r="P122" s="32">
        <f t="shared" si="3"/>
      </c>
      <c r="Q122" s="32">
        <f t="shared" si="4"/>
      </c>
    </row>
    <row r="123" spans="1:17" x14ac:dyDescent="0.25">
      <c r="A123" s="27"/>
      <c r="B123" s="29"/>
      <c r="C123" s="29"/>
      <c r="D123" s="29"/>
      <c r="E123" s="31"/>
      <c r="F123" s="30"/>
      <c r="G123" s="30"/>
      <c r="H123" s="38"/>
      <c r="I123" s="29"/>
      <c r="J123" s="28"/>
      <c r="K123" s="31"/>
      <c r="L123" s="31"/>
      <c r="M123" s="37">
        <f t="shared" si="0"/>
      </c>
      <c r="N123" s="37">
        <f t="shared" si="1"/>
      </c>
      <c r="O123" s="32">
        <f t="shared" si="2"/>
      </c>
      <c r="P123" s="32">
        <f t="shared" si="3"/>
      </c>
      <c r="Q123" s="32">
        <f t="shared" si="4"/>
      </c>
    </row>
    <row r="124" spans="1:17" x14ac:dyDescent="0.25">
      <c r="A124" s="27"/>
      <c r="B124" s="29"/>
      <c r="C124" s="29"/>
      <c r="D124" s="29"/>
      <c r="E124" s="31"/>
      <c r="F124" s="30"/>
      <c r="G124" s="30"/>
      <c r="H124" s="38"/>
      <c r="I124" s="29"/>
      <c r="J124" s="28"/>
      <c r="K124" s="31"/>
      <c r="L124" s="31"/>
      <c r="M124" s="37">
        <f t="shared" si="0"/>
      </c>
      <c r="N124" s="37">
        <f t="shared" si="1"/>
      </c>
      <c r="O124" s="32">
        <f t="shared" si="2"/>
      </c>
      <c r="P124" s="32">
        <f t="shared" si="3"/>
      </c>
      <c r="Q124" s="32">
        <f t="shared" si="4"/>
      </c>
    </row>
    <row r="125" spans="1:17" x14ac:dyDescent="0.25">
      <c r="A125" s="27"/>
      <c r="B125" s="29"/>
      <c r="C125" s="29"/>
      <c r="D125" s="29"/>
      <c r="E125" s="31"/>
      <c r="F125" s="30"/>
      <c r="G125" s="30"/>
      <c r="H125" s="38"/>
      <c r="I125" s="29"/>
      <c r="J125" s="28"/>
      <c r="K125" s="31"/>
      <c r="L125" s="31"/>
      <c r="M125" s="37">
        <f t="shared" si="0"/>
      </c>
      <c r="N125" s="37">
        <f t="shared" si="1"/>
      </c>
      <c r="O125" s="32">
        <f t="shared" si="2"/>
      </c>
      <c r="P125" s="32">
        <f t="shared" si="3"/>
      </c>
      <c r="Q125" s="32">
        <f t="shared" si="4"/>
      </c>
    </row>
    <row r="126" spans="1:17" x14ac:dyDescent="0.25">
      <c r="A126" s="27"/>
      <c r="B126" s="29"/>
      <c r="C126" s="29"/>
      <c r="D126" s="29"/>
      <c r="E126" s="31"/>
      <c r="F126" s="30"/>
      <c r="G126" s="30"/>
      <c r="H126" s="38"/>
      <c r="I126" s="29"/>
      <c r="J126" s="28"/>
      <c r="K126" s="31"/>
      <c r="L126" s="31"/>
      <c r="M126" s="37">
        <f t="shared" si="0"/>
      </c>
      <c r="N126" s="37">
        <f t="shared" si="1"/>
      </c>
      <c r="O126" s="32">
        <f t="shared" si="2"/>
      </c>
      <c r="P126" s="32">
        <f t="shared" si="3"/>
      </c>
      <c r="Q126" s="32">
        <f t="shared" si="4"/>
      </c>
    </row>
    <row r="127" spans="1:17" x14ac:dyDescent="0.25">
      <c r="A127" s="27"/>
      <c r="B127" s="29"/>
      <c r="C127" s="29"/>
      <c r="D127" s="29"/>
      <c r="E127" s="31"/>
      <c r="F127" s="30"/>
      <c r="G127" s="30"/>
      <c r="H127" s="38"/>
      <c r="I127" s="29"/>
      <c r="J127" s="28"/>
      <c r="K127" s="31"/>
      <c r="L127" s="31"/>
      <c r="M127" s="37">
        <f t="shared" si="0"/>
      </c>
      <c r="N127" s="37">
        <f t="shared" si="1"/>
      </c>
      <c r="O127" s="32">
        <f t="shared" si="2"/>
      </c>
      <c r="P127" s="32">
        <f t="shared" si="3"/>
      </c>
      <c r="Q127" s="32">
        <f t="shared" si="4"/>
      </c>
    </row>
    <row r="128" spans="1:17" x14ac:dyDescent="0.25">
      <c r="A128" s="27"/>
      <c r="B128" s="29"/>
      <c r="C128" s="29"/>
      <c r="D128" s="29"/>
      <c r="E128" s="31"/>
      <c r="F128" s="30"/>
      <c r="G128" s="30"/>
      <c r="H128" s="38"/>
      <c r="I128" s="29"/>
      <c r="J128" s="28"/>
      <c r="K128" s="31"/>
      <c r="L128" s="31"/>
      <c r="M128" s="37">
        <f t="shared" si="0"/>
      </c>
      <c r="N128" s="37">
        <f t="shared" si="1"/>
      </c>
      <c r="O128" s="32">
        <f t="shared" si="2"/>
      </c>
      <c r="P128" s="32">
        <f t="shared" si="3"/>
      </c>
      <c r="Q128" s="32">
        <f t="shared" si="4"/>
      </c>
    </row>
    <row r="129" spans="1:17" x14ac:dyDescent="0.25">
      <c r="A129" s="27"/>
      <c r="B129" s="29"/>
      <c r="C129" s="29"/>
      <c r="D129" s="29"/>
      <c r="E129" s="31"/>
      <c r="F129" s="30"/>
      <c r="G129" s="30"/>
      <c r="H129" s="38"/>
      <c r="I129" s="29"/>
      <c r="J129" s="28"/>
      <c r="K129" s="31"/>
      <c r="L129" s="31"/>
      <c r="M129" s="37">
        <f t="shared" si="0"/>
      </c>
      <c r="N129" s="37">
        <f t="shared" si="1"/>
      </c>
      <c r="O129" s="32">
        <f t="shared" si="2"/>
      </c>
      <c r="P129" s="32">
        <f t="shared" si="3"/>
      </c>
      <c r="Q129" s="32">
        <f t="shared" si="4"/>
      </c>
    </row>
    <row r="130" spans="1:17" x14ac:dyDescent="0.25">
      <c r="A130" s="27"/>
      <c r="B130" s="29"/>
      <c r="C130" s="29"/>
      <c r="D130" s="29"/>
      <c r="E130" s="31"/>
      <c r="F130" s="30"/>
      <c r="G130" s="30"/>
      <c r="H130" s="38"/>
      <c r="I130" s="29"/>
      <c r="J130" s="28"/>
      <c r="K130" s="31"/>
      <c r="L130" s="31"/>
      <c r="M130" s="37">
        <f t="shared" si="0"/>
      </c>
      <c r="N130" s="37">
        <f t="shared" si="1"/>
      </c>
      <c r="O130" s="32">
        <f t="shared" si="2"/>
      </c>
      <c r="P130" s="32">
        <f t="shared" si="3"/>
      </c>
      <c r="Q130" s="32">
        <f t="shared" si="4"/>
      </c>
    </row>
    <row r="131" spans="1:17" x14ac:dyDescent="0.25">
      <c r="A131" s="27"/>
      <c r="B131" s="29"/>
      <c r="C131" s="29"/>
      <c r="D131" s="29"/>
      <c r="E131" s="31"/>
      <c r="F131" s="30"/>
      <c r="G131" s="30"/>
      <c r="H131" s="38"/>
      <c r="I131" s="29"/>
      <c r="J131" s="28"/>
      <c r="K131" s="31"/>
      <c r="L131" s="31"/>
      <c r="M131" s="37">
        <f t="shared" si="0"/>
      </c>
      <c r="N131" s="37">
        <f t="shared" si="1"/>
      </c>
      <c r="O131" s="32">
        <f t="shared" si="2"/>
      </c>
      <c r="P131" s="32">
        <f t="shared" si="3"/>
      </c>
      <c r="Q131" s="32">
        <f t="shared" si="4"/>
      </c>
    </row>
    <row r="132" spans="1:17" x14ac:dyDescent="0.25">
      <c r="A132" s="27"/>
      <c r="B132" s="29"/>
      <c r="C132" s="29"/>
      <c r="D132" s="29"/>
      <c r="E132" s="31"/>
      <c r="F132" s="30"/>
      <c r="G132" s="30"/>
      <c r="H132" s="38"/>
      <c r="I132" s="29"/>
      <c r="J132" s="28"/>
      <c r="K132" s="31"/>
      <c r="L132" s="31"/>
      <c r="M132" s="37">
        <f t="shared" si="0"/>
      </c>
      <c r="N132" s="37">
        <f t="shared" si="1"/>
      </c>
      <c r="O132" s="32">
        <f t="shared" si="2"/>
      </c>
      <c r="P132" s="32">
        <f t="shared" si="3"/>
      </c>
      <c r="Q132" s="32">
        <f t="shared" si="4"/>
      </c>
    </row>
    <row r="133" spans="1:17" x14ac:dyDescent="0.25">
      <c r="A133" s="27"/>
      <c r="B133" s="29"/>
      <c r="C133" s="29"/>
      <c r="D133" s="29"/>
      <c r="E133" s="31"/>
      <c r="F133" s="30"/>
      <c r="G133" s="30"/>
      <c r="H133" s="38"/>
      <c r="I133" s="29"/>
      <c r="J133" s="28"/>
      <c r="K133" s="31"/>
      <c r="L133" s="31"/>
      <c r="M133" s="37">
        <f t="shared" si="0"/>
      </c>
      <c r="N133" s="37">
        <f t="shared" si="1"/>
      </c>
      <c r="O133" s="32">
        <f t="shared" si="2"/>
      </c>
      <c r="P133" s="32">
        <f t="shared" si="3"/>
      </c>
      <c r="Q133" s="32">
        <f t="shared" si="4"/>
      </c>
    </row>
    <row r="134" spans="1:17" x14ac:dyDescent="0.25">
      <c r="A134" s="27"/>
      <c r="B134" s="29"/>
      <c r="C134" s="29"/>
      <c r="D134" s="29"/>
      <c r="E134" s="31"/>
      <c r="F134" s="30"/>
      <c r="G134" s="30"/>
      <c r="H134" s="38"/>
      <c r="I134" s="29"/>
      <c r="J134" s="28"/>
      <c r="K134" s="31"/>
      <c r="L134" s="31"/>
      <c r="M134" s="37">
        <f t="shared" si="0"/>
      </c>
      <c r="N134" s="37">
        <f t="shared" si="1"/>
      </c>
      <c r="O134" s="32">
        <f t="shared" si="2"/>
      </c>
      <c r="P134" s="32">
        <f t="shared" si="3"/>
      </c>
      <c r="Q134" s="32">
        <f t="shared" si="4"/>
      </c>
    </row>
    <row r="135" spans="1:17" x14ac:dyDescent="0.25">
      <c r="A135" s="27"/>
      <c r="B135" s="29"/>
      <c r="C135" s="29"/>
      <c r="D135" s="29"/>
      <c r="E135" s="31"/>
      <c r="F135" s="30"/>
      <c r="G135" s="30"/>
      <c r="H135" s="38"/>
      <c r="I135" s="29"/>
      <c r="J135" s="28"/>
      <c r="K135" s="31"/>
      <c r="L135" s="31"/>
      <c r="M135" s="37">
        <f t="shared" si="0"/>
      </c>
      <c r="N135" s="37">
        <f t="shared" si="1"/>
      </c>
      <c r="O135" s="32">
        <f t="shared" si="2"/>
      </c>
      <c r="P135" s="32">
        <f t="shared" si="3"/>
      </c>
      <c r="Q135" s="32">
        <f t="shared" si="4"/>
      </c>
    </row>
    <row r="136" spans="1:17" x14ac:dyDescent="0.25">
      <c r="A136" s="27"/>
      <c r="B136" s="29"/>
      <c r="C136" s="29"/>
      <c r="D136" s="29"/>
      <c r="E136" s="31"/>
      <c r="F136" s="30"/>
      <c r="G136" s="30"/>
      <c r="H136" s="38"/>
      <c r="I136" s="29"/>
      <c r="J136" s="28"/>
      <c r="K136" s="31"/>
      <c r="L136" s="31"/>
      <c r="M136" s="37">
        <f t="shared" si="0"/>
      </c>
      <c r="N136" s="37">
        <f t="shared" si="1"/>
      </c>
      <c r="O136" s="32">
        <f t="shared" si="2"/>
      </c>
      <c r="P136" s="32">
        <f t="shared" si="3"/>
      </c>
      <c r="Q136" s="32">
        <f t="shared" si="4"/>
      </c>
    </row>
    <row r="137" spans="1:17" x14ac:dyDescent="0.25">
      <c r="A137" s="27"/>
      <c r="B137" s="29"/>
      <c r="C137" s="29"/>
      <c r="D137" s="29"/>
      <c r="E137" s="31"/>
      <c r="F137" s="30"/>
      <c r="G137" s="30"/>
      <c r="H137" s="38"/>
      <c r="I137" s="29"/>
      <c r="J137" s="28"/>
      <c r="K137" s="31"/>
      <c r="L137" s="31"/>
      <c r="M137" s="37">
        <f t="shared" si="0"/>
      </c>
      <c r="N137" s="37">
        <f t="shared" si="1"/>
      </c>
      <c r="O137" s="32">
        <f t="shared" si="2"/>
      </c>
      <c r="P137" s="32">
        <f t="shared" si="3"/>
      </c>
      <c r="Q137" s="32">
        <f t="shared" si="4"/>
      </c>
    </row>
    <row r="138" spans="1:17" x14ac:dyDescent="0.25">
      <c r="A138" s="27"/>
      <c r="B138" s="29"/>
      <c r="C138" s="29"/>
      <c r="D138" s="29"/>
      <c r="E138" s="31"/>
      <c r="F138" s="30"/>
      <c r="G138" s="30"/>
      <c r="H138" s="38"/>
      <c r="I138" s="29"/>
      <c r="J138" s="28"/>
      <c r="K138" s="31"/>
      <c r="L138" s="31"/>
      <c r="M138" s="37">
        <f t="shared" si="0"/>
      </c>
      <c r="N138" s="37">
        <f t="shared" si="1"/>
      </c>
      <c r="O138" s="32">
        <f t="shared" si="2"/>
      </c>
      <c r="P138" s="32">
        <f t="shared" si="3"/>
      </c>
      <c r="Q138" s="32">
        <f t="shared" si="4"/>
      </c>
    </row>
    <row r="139" spans="1:17" x14ac:dyDescent="0.25">
      <c r="A139" s="27"/>
      <c r="B139" s="29"/>
      <c r="C139" s="29"/>
      <c r="D139" s="29"/>
      <c r="E139" s="31"/>
      <c r="F139" s="30"/>
      <c r="G139" s="30"/>
      <c r="H139" s="38"/>
      <c r="I139" s="29"/>
      <c r="J139" s="28"/>
      <c r="K139" s="31"/>
      <c r="L139" s="31"/>
      <c r="M139" s="37">
        <f t="shared" si="0"/>
      </c>
      <c r="N139" s="37">
        <f t="shared" si="1"/>
      </c>
      <c r="O139" s="32">
        <f t="shared" si="2"/>
      </c>
      <c r="P139" s="32">
        <f t="shared" si="3"/>
      </c>
      <c r="Q139" s="32">
        <f t="shared" si="4"/>
      </c>
    </row>
    <row r="140" spans="1:17" x14ac:dyDescent="0.25">
      <c r="A140" s="27"/>
      <c r="B140" s="29"/>
      <c r="C140" s="29"/>
      <c r="D140" s="29"/>
      <c r="E140" s="31"/>
      <c r="F140" s="30"/>
      <c r="G140" s="30"/>
      <c r="H140" s="38"/>
      <c r="I140" s="29"/>
      <c r="J140" s="28"/>
      <c r="K140" s="31"/>
      <c r="L140" s="31"/>
      <c r="M140" s="37">
        <f t="shared" si="0"/>
      </c>
      <c r="N140" s="37">
        <f t="shared" si="1"/>
      </c>
      <c r="O140" s="32">
        <f t="shared" si="2"/>
      </c>
      <c r="P140" s="32">
        <f t="shared" si="3"/>
      </c>
      <c r="Q140" s="32">
        <f t="shared" si="4"/>
      </c>
    </row>
    <row r="141" spans="1:17" x14ac:dyDescent="0.25">
      <c r="A141" s="27"/>
      <c r="B141" s="29"/>
      <c r="C141" s="29"/>
      <c r="D141" s="29"/>
      <c r="E141" s="31"/>
      <c r="F141" s="30"/>
      <c r="G141" s="30"/>
      <c r="H141" s="38"/>
      <c r="I141" s="29"/>
      <c r="J141" s="28"/>
      <c r="K141" s="31"/>
      <c r="L141" s="31"/>
      <c r="M141" s="37">
        <f t="shared" si="0"/>
      </c>
      <c r="N141" s="37">
        <f t="shared" si="1"/>
      </c>
      <c r="O141" s="32">
        <f t="shared" si="2"/>
      </c>
      <c r="P141" s="32">
        <f t="shared" si="3"/>
      </c>
      <c r="Q141" s="32">
        <f t="shared" si="4"/>
      </c>
    </row>
    <row r="142" spans="1:17" x14ac:dyDescent="0.25">
      <c r="A142" s="27"/>
      <c r="B142" s="29"/>
      <c r="C142" s="29"/>
      <c r="D142" s="29"/>
      <c r="E142" s="31"/>
      <c r="F142" s="30"/>
      <c r="G142" s="30"/>
      <c r="H142" s="38"/>
      <c r="I142" s="29"/>
      <c r="J142" s="28"/>
      <c r="K142" s="31"/>
      <c r="L142" s="31"/>
      <c r="M142" s="37">
        <f t="shared" si="0"/>
      </c>
      <c r="N142" s="37">
        <f t="shared" si="1"/>
      </c>
      <c r="O142" s="32">
        <f t="shared" si="2"/>
      </c>
      <c r="P142" s="32">
        <f t="shared" si="3"/>
      </c>
      <c r="Q142" s="32">
        <f t="shared" si="4"/>
      </c>
    </row>
    <row r="143" spans="1:17" x14ac:dyDescent="0.25">
      <c r="A143" s="27"/>
      <c r="B143" s="29"/>
      <c r="C143" s="29"/>
      <c r="D143" s="29"/>
      <c r="E143" s="31"/>
      <c r="F143" s="30"/>
      <c r="G143" s="30"/>
      <c r="H143" s="38"/>
      <c r="I143" s="29"/>
      <c r="J143" s="28"/>
      <c r="K143" s="31"/>
      <c r="L143" s="31"/>
      <c r="M143" s="37">
        <f t="shared" si="0"/>
      </c>
      <c r="N143" s="37">
        <f t="shared" si="1"/>
      </c>
      <c r="O143" s="32">
        <f t="shared" si="2"/>
      </c>
      <c r="P143" s="32">
        <f t="shared" si="3"/>
      </c>
      <c r="Q143" s="32">
        <f t="shared" si="4"/>
      </c>
    </row>
    <row r="144" spans="1:17" x14ac:dyDescent="0.25">
      <c r="A144" s="27"/>
      <c r="B144" s="29"/>
      <c r="C144" s="29"/>
      <c r="D144" s="29"/>
      <c r="E144" s="31"/>
      <c r="F144" s="30"/>
      <c r="G144" s="30"/>
      <c r="H144" s="38"/>
      <c r="I144" s="29"/>
      <c r="J144" s="28"/>
      <c r="K144" s="31"/>
      <c r="L144" s="31"/>
      <c r="M144" s="37">
        <f t="shared" si="0"/>
      </c>
      <c r="N144" s="37">
        <f t="shared" si="1"/>
      </c>
      <c r="O144" s="32">
        <f t="shared" si="2"/>
      </c>
      <c r="P144" s="32">
        <f t="shared" si="3"/>
      </c>
      <c r="Q144" s="32">
        <f t="shared" si="4"/>
      </c>
    </row>
    <row r="145" spans="1:17" x14ac:dyDescent="0.25">
      <c r="A145" s="27"/>
      <c r="B145" s="29"/>
      <c r="C145" s="29"/>
      <c r="D145" s="29"/>
      <c r="E145" s="31"/>
      <c r="F145" s="30"/>
      <c r="G145" s="30"/>
      <c r="H145" s="38"/>
      <c r="I145" s="29"/>
      <c r="J145" s="28"/>
      <c r="K145" s="31"/>
      <c r="L145" s="31"/>
      <c r="M145" s="37">
        <f t="shared" si="0"/>
      </c>
      <c r="N145" s="37">
        <f t="shared" si="1"/>
      </c>
      <c r="O145" s="32">
        <f t="shared" si="2"/>
      </c>
      <c r="P145" s="32">
        <f t="shared" si="3"/>
      </c>
      <c r="Q145" s="32">
        <f t="shared" si="4"/>
      </c>
    </row>
    <row r="146" spans="1:17" x14ac:dyDescent="0.25">
      <c r="A146" s="27"/>
      <c r="B146" s="29"/>
      <c r="C146" s="29"/>
      <c r="D146" s="29"/>
      <c r="E146" s="31"/>
      <c r="F146" s="30"/>
      <c r="G146" s="30"/>
      <c r="H146" s="38"/>
      <c r="I146" s="29"/>
      <c r="J146" s="28"/>
      <c r="K146" s="31"/>
      <c r="L146" s="31"/>
      <c r="M146" s="37">
        <f t="shared" si="0"/>
      </c>
      <c r="N146" s="37">
        <f t="shared" si="1"/>
      </c>
      <c r="O146" s="32">
        <f t="shared" si="2"/>
      </c>
      <c r="P146" s="32">
        <f t="shared" si="3"/>
      </c>
      <c r="Q146" s="32">
        <f t="shared" si="4"/>
      </c>
    </row>
    <row r="147" spans="1:17" x14ac:dyDescent="0.25">
      <c r="A147" s="27"/>
      <c r="B147" s="29"/>
      <c r="C147" s="29"/>
      <c r="D147" s="29"/>
      <c r="E147" s="31"/>
      <c r="F147" s="30"/>
      <c r="G147" s="30"/>
      <c r="H147" s="38"/>
      <c r="I147" s="29"/>
      <c r="J147" s="28"/>
      <c r="K147" s="31"/>
      <c r="L147" s="31"/>
      <c r="M147" s="37">
        <f t="shared" si="0"/>
      </c>
      <c r="N147" s="37">
        <f t="shared" si="1"/>
      </c>
      <c r="O147" s="32">
        <f t="shared" si="2"/>
      </c>
      <c r="P147" s="32">
        <f t="shared" si="3"/>
      </c>
      <c r="Q147" s="32">
        <f t="shared" si="4"/>
      </c>
    </row>
    <row r="148" spans="1:17" x14ac:dyDescent="0.25">
      <c r="A148" s="27"/>
      <c r="B148" s="29"/>
      <c r="C148" s="29"/>
      <c r="D148" s="29"/>
      <c r="E148" s="31"/>
      <c r="F148" s="30"/>
      <c r="G148" s="30"/>
      <c r="H148" s="38"/>
      <c r="I148" s="29"/>
      <c r="J148" s="28"/>
      <c r="K148" s="31"/>
      <c r="L148" s="31"/>
      <c r="M148" s="37">
        <f t="shared" si="0"/>
      </c>
      <c r="N148" s="37">
        <f t="shared" si="1"/>
      </c>
      <c r="O148" s="32">
        <f t="shared" si="2"/>
      </c>
      <c r="P148" s="32">
        <f t="shared" si="3"/>
      </c>
      <c r="Q148" s="32">
        <f t="shared" si="4"/>
      </c>
    </row>
    <row r="149" spans="1:17" x14ac:dyDescent="0.25">
      <c r="A149" s="27"/>
      <c r="B149" s="29"/>
      <c r="C149" s="29"/>
      <c r="D149" s="29"/>
      <c r="E149" s="31"/>
      <c r="F149" s="30"/>
      <c r="G149" s="30"/>
      <c r="H149" s="38"/>
      <c r="I149" s="29"/>
      <c r="J149" s="28"/>
      <c r="K149" s="31"/>
      <c r="L149" s="31"/>
      <c r="M149" s="37">
        <f t="shared" si="0"/>
      </c>
      <c r="N149" s="37">
        <f t="shared" si="1"/>
      </c>
      <c r="O149" s="32">
        <f t="shared" si="2"/>
      </c>
      <c r="P149" s="32">
        <f t="shared" si="3"/>
      </c>
      <c r="Q149" s="32">
        <f t="shared" si="4"/>
      </c>
    </row>
    <row r="150" spans="1:17" x14ac:dyDescent="0.25">
      <c r="A150" s="27"/>
      <c r="B150" s="29"/>
      <c r="C150" s="29"/>
      <c r="D150" s="29"/>
      <c r="E150" s="31"/>
      <c r="F150" s="30"/>
      <c r="G150" s="30"/>
      <c r="H150" s="38"/>
      <c r="I150" s="29"/>
      <c r="J150" s="28"/>
      <c r="K150" s="31"/>
      <c r="L150" s="31"/>
      <c r="M150" s="37">
        <f t="shared" si="0"/>
      </c>
      <c r="N150" s="37">
        <f t="shared" si="1"/>
      </c>
      <c r="O150" s="32">
        <f t="shared" si="2"/>
      </c>
      <c r="P150" s="32">
        <f t="shared" si="3"/>
      </c>
      <c r="Q150" s="32">
        <f t="shared" si="4"/>
      </c>
    </row>
    <row r="151" spans="1:17" x14ac:dyDescent="0.25">
      <c r="A151" s="27"/>
      <c r="B151" s="29"/>
      <c r="C151" s="29"/>
      <c r="D151" s="29"/>
      <c r="E151" s="31"/>
      <c r="F151" s="30"/>
      <c r="G151" s="30"/>
      <c r="H151" s="38"/>
      <c r="I151" s="29"/>
      <c r="J151" s="28"/>
      <c r="K151" s="31"/>
      <c r="L151" s="31"/>
      <c r="M151" s="37">
        <f t="shared" si="0"/>
      </c>
      <c r="N151" s="37">
        <f t="shared" si="1"/>
      </c>
      <c r="O151" s="32">
        <f t="shared" si="2"/>
      </c>
      <c r="P151" s="32">
        <f t="shared" si="3"/>
      </c>
      <c r="Q151" s="32">
        <f t="shared" si="4"/>
      </c>
    </row>
    <row r="152" spans="1:17" x14ac:dyDescent="0.25">
      <c r="A152" s="27"/>
      <c r="B152" s="29"/>
      <c r="C152" s="29"/>
      <c r="D152" s="29"/>
      <c r="E152" s="31"/>
      <c r="F152" s="30"/>
      <c r="G152" s="30"/>
      <c r="H152" s="38"/>
      <c r="I152" s="29"/>
      <c r="J152" s="28"/>
      <c r="K152" s="31"/>
      <c r="L152" s="31"/>
      <c r="M152" s="37">
        <f t="shared" si="0"/>
      </c>
      <c r="N152" s="37">
        <f t="shared" si="1"/>
      </c>
      <c r="O152" s="32">
        <f t="shared" si="2"/>
      </c>
      <c r="P152" s="32">
        <f t="shared" si="3"/>
      </c>
      <c r="Q152" s="32">
        <f t="shared" si="4"/>
      </c>
    </row>
    <row r="153" spans="1:17" x14ac:dyDescent="0.25">
      <c r="A153" s="27"/>
      <c r="B153" s="29"/>
      <c r="C153" s="29"/>
      <c r="D153" s="29"/>
      <c r="E153" s="31"/>
      <c r="F153" s="30"/>
      <c r="G153" s="30"/>
      <c r="H153" s="38"/>
      <c r="I153" s="29"/>
      <c r="J153" s="28"/>
      <c r="K153" s="31"/>
      <c r="L153" s="31"/>
      <c r="M153" s="37">
        <f t="shared" si="0"/>
      </c>
      <c r="N153" s="37">
        <f t="shared" si="1"/>
      </c>
      <c r="O153" s="32">
        <f t="shared" si="2"/>
      </c>
      <c r="P153" s="32">
        <f t="shared" si="3"/>
      </c>
      <c r="Q153" s="32">
        <f t="shared" si="4"/>
      </c>
    </row>
    <row r="154" spans="1:17" x14ac:dyDescent="0.25">
      <c r="A154" s="27"/>
      <c r="B154" s="29"/>
      <c r="C154" s="29"/>
      <c r="D154" s="29"/>
      <c r="E154" s="31"/>
      <c r="F154" s="30"/>
      <c r="G154" s="30"/>
      <c r="H154" s="38"/>
      <c r="I154" s="29"/>
      <c r="J154" s="28"/>
      <c r="K154" s="31"/>
      <c r="L154" s="31"/>
      <c r="M154" s="37">
        <f t="shared" si="0"/>
      </c>
      <c r="N154" s="37">
        <f t="shared" si="1"/>
      </c>
      <c r="O154" s="32">
        <f t="shared" si="2"/>
      </c>
      <c r="P154" s="32">
        <f t="shared" si="3"/>
      </c>
      <c r="Q154" s="32">
        <f t="shared" si="4"/>
      </c>
    </row>
    <row r="155" spans="1:17" x14ac:dyDescent="0.25">
      <c r="A155" s="27"/>
      <c r="B155" s="29"/>
      <c r="C155" s="29"/>
      <c r="D155" s="29"/>
      <c r="E155" s="31"/>
      <c r="F155" s="30"/>
      <c r="G155" s="30"/>
      <c r="H155" s="38"/>
      <c r="I155" s="29"/>
      <c r="J155" s="28"/>
      <c r="K155" s="31"/>
      <c r="L155" s="31"/>
      <c r="M155" s="37">
        <f t="shared" si="0"/>
      </c>
      <c r="N155" s="37">
        <f t="shared" si="1"/>
      </c>
      <c r="O155" s="32">
        <f t="shared" si="2"/>
      </c>
      <c r="P155" s="32">
        <f t="shared" si="3"/>
      </c>
      <c r="Q155" s="32">
        <f t="shared" si="4"/>
      </c>
    </row>
    <row r="156" spans="1:17" x14ac:dyDescent="0.25">
      <c r="A156" s="27"/>
      <c r="B156" s="29"/>
      <c r="C156" s="29"/>
      <c r="D156" s="29"/>
      <c r="E156" s="31"/>
      <c r="F156" s="30"/>
      <c r="G156" s="30"/>
      <c r="H156" s="38"/>
      <c r="I156" s="29"/>
      <c r="J156" s="28"/>
      <c r="K156" s="31"/>
      <c r="L156" s="31"/>
      <c r="M156" s="37">
        <f t="shared" si="0"/>
      </c>
      <c r="N156" s="37">
        <f t="shared" si="1"/>
      </c>
      <c r="O156" s="32">
        <f t="shared" si="2"/>
      </c>
      <c r="P156" s="32">
        <f t="shared" si="3"/>
      </c>
      <c r="Q156" s="32">
        <f t="shared" si="4"/>
      </c>
    </row>
    <row r="157" spans="1:17" x14ac:dyDescent="0.25">
      <c r="A157" s="27"/>
      <c r="B157" s="29"/>
      <c r="C157" s="29"/>
      <c r="D157" s="29"/>
      <c r="E157" s="31"/>
      <c r="F157" s="30"/>
      <c r="G157" s="30"/>
      <c r="H157" s="38"/>
      <c r="I157" s="29"/>
      <c r="J157" s="28"/>
      <c r="K157" s="31"/>
      <c r="L157" s="31"/>
      <c r="M157" s="37">
        <f t="shared" si="0"/>
      </c>
      <c r="N157" s="37">
        <f t="shared" si="1"/>
      </c>
      <c r="O157" s="32">
        <f t="shared" si="2"/>
      </c>
      <c r="P157" s="32">
        <f t="shared" si="3"/>
      </c>
      <c r="Q157" s="32">
        <f t="shared" si="4"/>
      </c>
    </row>
    <row r="158" spans="1:17" x14ac:dyDescent="0.25">
      <c r="A158" s="27"/>
      <c r="B158" s="29"/>
      <c r="C158" s="29"/>
      <c r="D158" s="29"/>
      <c r="E158" s="31"/>
      <c r="F158" s="30"/>
      <c r="G158" s="30"/>
      <c r="H158" s="38"/>
      <c r="I158" s="29"/>
      <c r="J158" s="28"/>
      <c r="K158" s="31"/>
      <c r="L158" s="31"/>
      <c r="M158" s="37">
        <f t="shared" si="0"/>
      </c>
      <c r="N158" s="37">
        <f t="shared" si="1"/>
      </c>
      <c r="O158" s="32">
        <f t="shared" si="2"/>
      </c>
      <c r="P158" s="32">
        <f t="shared" si="3"/>
      </c>
      <c r="Q158" s="32">
        <f t="shared" si="4"/>
      </c>
    </row>
    <row r="159" spans="1:17" x14ac:dyDescent="0.25">
      <c r="A159" s="27"/>
      <c r="B159" s="29"/>
      <c r="C159" s="29"/>
      <c r="D159" s="29"/>
      <c r="E159" s="31"/>
      <c r="F159" s="30"/>
      <c r="G159" s="30"/>
      <c r="H159" s="38"/>
      <c r="I159" s="29"/>
      <c r="J159" s="28"/>
      <c r="K159" s="31"/>
      <c r="L159" s="31"/>
      <c r="M159" s="37">
        <f t="shared" si="0"/>
      </c>
      <c r="N159" s="37">
        <f t="shared" si="1"/>
      </c>
      <c r="O159" s="32">
        <f t="shared" si="2"/>
      </c>
      <c r="P159" s="32">
        <f t="shared" si="3"/>
      </c>
      <c r="Q159" s="32">
        <f t="shared" si="4"/>
      </c>
    </row>
    <row r="160" spans="1:17" x14ac:dyDescent="0.25">
      <c r="A160" s="27"/>
      <c r="B160" s="29"/>
      <c r="C160" s="29"/>
      <c r="D160" s="29"/>
      <c r="E160" s="31"/>
      <c r="F160" s="30"/>
      <c r="G160" s="30"/>
      <c r="H160" s="38"/>
      <c r="I160" s="29"/>
      <c r="J160" s="28"/>
      <c r="K160" s="31"/>
      <c r="L160" s="31"/>
      <c r="M160" s="37">
        <f t="shared" si="0"/>
      </c>
      <c r="N160" s="37">
        <f t="shared" si="1"/>
      </c>
      <c r="O160" s="32">
        <f t="shared" si="2"/>
      </c>
      <c r="P160" s="32">
        <f t="shared" si="3"/>
      </c>
      <c r="Q160" s="32">
        <f t="shared" si="4"/>
      </c>
    </row>
    <row r="161" spans="1:17" x14ac:dyDescent="0.25">
      <c r="A161" s="27"/>
      <c r="B161" s="29"/>
      <c r="C161" s="29"/>
      <c r="D161" s="29"/>
      <c r="E161" s="31"/>
      <c r="F161" s="30"/>
      <c r="G161" s="30"/>
      <c r="H161" s="38"/>
      <c r="I161" s="29"/>
      <c r="J161" s="28"/>
      <c r="K161" s="31"/>
      <c r="L161" s="31"/>
      <c r="M161" s="37">
        <f t="shared" si="0"/>
      </c>
      <c r="N161" s="37">
        <f t="shared" si="1"/>
      </c>
      <c r="O161" s="32">
        <f t="shared" si="2"/>
      </c>
      <c r="P161" s="32">
        <f t="shared" si="3"/>
      </c>
      <c r="Q161" s="32">
        <f t="shared" si="4"/>
      </c>
    </row>
    <row r="162" spans="1:17" x14ac:dyDescent="0.25">
      <c r="A162" s="27"/>
      <c r="B162" s="29"/>
      <c r="C162" s="29"/>
      <c r="D162" s="29"/>
      <c r="E162" s="31"/>
      <c r="F162" s="30"/>
      <c r="G162" s="30"/>
      <c r="H162" s="38"/>
      <c r="I162" s="29"/>
      <c r="J162" s="28"/>
      <c r="K162" s="31"/>
      <c r="L162" s="31"/>
      <c r="M162" s="37">
        <f t="shared" si="0"/>
      </c>
      <c r="N162" s="37">
        <f t="shared" si="1"/>
      </c>
      <c r="O162" s="32">
        <f t="shared" si="2"/>
      </c>
      <c r="P162" s="32">
        <f t="shared" si="3"/>
      </c>
      <c r="Q162" s="32">
        <f t="shared" si="4"/>
      </c>
    </row>
    <row r="163" spans="1:17" x14ac:dyDescent="0.25">
      <c r="A163" s="27"/>
      <c r="B163" s="29"/>
      <c r="C163" s="29"/>
      <c r="D163" s="29"/>
      <c r="E163" s="31"/>
      <c r="F163" s="30"/>
      <c r="G163" s="30"/>
      <c r="H163" s="38"/>
      <c r="I163" s="29"/>
      <c r="J163" s="28"/>
      <c r="K163" s="31"/>
      <c r="L163" s="31"/>
      <c r="M163" s="37">
        <f t="shared" si="0"/>
      </c>
      <c r="N163" s="37">
        <f t="shared" si="1"/>
      </c>
      <c r="O163" s="32">
        <f t="shared" si="2"/>
      </c>
      <c r="P163" s="32">
        <f t="shared" si="3"/>
      </c>
      <c r="Q163" s="32">
        <f t="shared" si="4"/>
      </c>
    </row>
    <row r="164" spans="1:17" x14ac:dyDescent="0.25">
      <c r="A164" s="27"/>
      <c r="B164" s="29"/>
      <c r="C164" s="29"/>
      <c r="D164" s="29"/>
      <c r="E164" s="31"/>
      <c r="F164" s="30"/>
      <c r="G164" s="30"/>
      <c r="H164" s="38"/>
      <c r="I164" s="29"/>
      <c r="J164" s="28"/>
      <c r="K164" s="31"/>
      <c r="L164" s="31"/>
      <c r="M164" s="37">
        <f t="shared" si="0"/>
      </c>
      <c r="N164" s="37">
        <f t="shared" si="1"/>
      </c>
      <c r="O164" s="32">
        <f t="shared" si="2"/>
      </c>
      <c r="P164" s="32">
        <f t="shared" si="3"/>
      </c>
      <c r="Q164" s="32">
        <f t="shared" si="4"/>
      </c>
    </row>
    <row r="165" spans="1:17" x14ac:dyDescent="0.25">
      <c r="A165" s="27"/>
      <c r="B165" s="29"/>
      <c r="C165" s="29"/>
      <c r="D165" s="29"/>
      <c r="E165" s="31"/>
      <c r="F165" s="30"/>
      <c r="G165" s="30"/>
      <c r="H165" s="38"/>
      <c r="I165" s="29"/>
      <c r="J165" s="28"/>
      <c r="K165" s="31"/>
      <c r="L165" s="31"/>
      <c r="M165" s="37">
        <f t="shared" si="0"/>
      </c>
      <c r="N165" s="37">
        <f t="shared" si="1"/>
      </c>
      <c r="O165" s="32">
        <f t="shared" si="2"/>
      </c>
      <c r="P165" s="32">
        <f t="shared" si="3"/>
      </c>
      <c r="Q165" s="32">
        <f t="shared" si="4"/>
      </c>
    </row>
    <row r="166" spans="1:17" x14ac:dyDescent="0.25">
      <c r="A166" s="27"/>
      <c r="B166" s="29"/>
      <c r="C166" s="29"/>
      <c r="D166" s="29"/>
      <c r="E166" s="31"/>
      <c r="F166" s="30"/>
      <c r="G166" s="30"/>
      <c r="H166" s="38"/>
      <c r="I166" s="29"/>
      <c r="J166" s="28"/>
      <c r="K166" s="31"/>
      <c r="L166" s="31"/>
      <c r="M166" s="37">
        <f t="shared" si="0"/>
      </c>
      <c r="N166" s="37">
        <f t="shared" si="1"/>
      </c>
      <c r="O166" s="32">
        <f t="shared" si="2"/>
      </c>
      <c r="P166" s="32">
        <f t="shared" si="3"/>
      </c>
      <c r="Q166" s="32">
        <f t="shared" si="4"/>
      </c>
    </row>
    <row r="167" spans="1:17" x14ac:dyDescent="0.25">
      <c r="A167" s="27"/>
      <c r="B167" s="29"/>
      <c r="C167" s="29"/>
      <c r="D167" s="29"/>
      <c r="E167" s="31"/>
      <c r="F167" s="30"/>
      <c r="G167" s="30"/>
      <c r="H167" s="38"/>
      <c r="I167" s="29"/>
      <c r="J167" s="28"/>
      <c r="K167" s="31"/>
      <c r="L167" s="31"/>
      <c r="M167" s="37">
        <f t="shared" si="0"/>
      </c>
      <c r="N167" s="37">
        <f t="shared" si="1"/>
      </c>
      <c r="O167" s="32">
        <f t="shared" si="2"/>
      </c>
      <c r="P167" s="32">
        <f t="shared" si="3"/>
      </c>
      <c r="Q167" s="32">
        <f t="shared" si="4"/>
      </c>
    </row>
    <row r="168" spans="1:17" x14ac:dyDescent="0.25">
      <c r="A168" s="27"/>
      <c r="B168" s="29"/>
      <c r="C168" s="29"/>
      <c r="D168" s="29"/>
      <c r="E168" s="31"/>
      <c r="F168" s="30"/>
      <c r="G168" s="30"/>
      <c r="H168" s="38"/>
      <c r="I168" s="29"/>
      <c r="J168" s="28"/>
      <c r="K168" s="31"/>
      <c r="L168" s="31"/>
      <c r="M168" s="37">
        <f t="shared" si="0"/>
      </c>
      <c r="N168" s="37">
        <f t="shared" si="1"/>
      </c>
      <c r="O168" s="32">
        <f t="shared" si="2"/>
      </c>
      <c r="P168" s="32">
        <f t="shared" si="3"/>
      </c>
      <c r="Q168" s="32">
        <f t="shared" si="4"/>
      </c>
    </row>
    <row r="169" spans="1:17" x14ac:dyDescent="0.25">
      <c r="A169" s="27"/>
      <c r="B169" s="29"/>
      <c r="C169" s="29"/>
      <c r="D169" s="29"/>
      <c r="E169" s="31"/>
      <c r="F169" s="30"/>
      <c r="G169" s="30"/>
      <c r="H169" s="38"/>
      <c r="I169" s="29"/>
      <c r="J169" s="28"/>
      <c r="K169" s="31"/>
      <c r="L169" s="31"/>
      <c r="M169" s="37">
        <f t="shared" si="0"/>
      </c>
      <c r="N169" s="37">
        <f t="shared" si="1"/>
      </c>
      <c r="O169" s="32">
        <f t="shared" si="2"/>
      </c>
      <c r="P169" s="32">
        <f t="shared" si="3"/>
      </c>
      <c r="Q169" s="32">
        <f t="shared" si="4"/>
      </c>
    </row>
    <row r="170" spans="1:17" x14ac:dyDescent="0.25">
      <c r="A170" s="27"/>
      <c r="B170" s="29"/>
      <c r="C170" s="29"/>
      <c r="D170" s="29"/>
      <c r="E170" s="31"/>
      <c r="F170" s="30"/>
      <c r="G170" s="30"/>
      <c r="H170" s="38"/>
      <c r="I170" s="29"/>
      <c r="J170" s="28"/>
      <c r="K170" s="31"/>
      <c r="L170" s="31"/>
      <c r="M170" s="37">
        <f t="shared" si="0"/>
      </c>
      <c r="N170" s="37">
        <f t="shared" si="1"/>
      </c>
      <c r="O170" s="32">
        <f t="shared" si="2"/>
      </c>
      <c r="P170" s="32">
        <f t="shared" si="3"/>
      </c>
      <c r="Q170" s="32">
        <f t="shared" si="4"/>
      </c>
    </row>
    <row r="171" spans="1:17" x14ac:dyDescent="0.25">
      <c r="A171" s="27"/>
      <c r="B171" s="29"/>
      <c r="C171" s="29"/>
      <c r="D171" s="29"/>
      <c r="E171" s="31"/>
      <c r="F171" s="30"/>
      <c r="G171" s="30"/>
      <c r="H171" s="38"/>
      <c r="I171" s="29"/>
      <c r="J171" s="28"/>
      <c r="K171" s="31"/>
      <c r="L171" s="31"/>
      <c r="M171" s="37">
        <f t="shared" si="0"/>
      </c>
      <c r="N171" s="37">
        <f t="shared" si="1"/>
      </c>
      <c r="O171" s="32">
        <f t="shared" si="2"/>
      </c>
      <c r="P171" s="32">
        <f t="shared" si="3"/>
      </c>
      <c r="Q171" s="32">
        <f t="shared" si="4"/>
      </c>
    </row>
    <row r="172" spans="1:17" x14ac:dyDescent="0.25">
      <c r="A172" s="27"/>
      <c r="B172" s="29"/>
      <c r="C172" s="29"/>
      <c r="D172" s="29"/>
      <c r="E172" s="31"/>
      <c r="F172" s="30"/>
      <c r="G172" s="30"/>
      <c r="H172" s="38"/>
      <c r="I172" s="29"/>
      <c r="J172" s="28"/>
      <c r="K172" s="31"/>
      <c r="L172" s="31"/>
      <c r="M172" s="37">
        <f t="shared" si="0"/>
      </c>
      <c r="N172" s="37">
        <f t="shared" si="1"/>
      </c>
      <c r="O172" s="32">
        <f t="shared" si="2"/>
      </c>
      <c r="P172" s="32">
        <f t="shared" si="3"/>
      </c>
      <c r="Q172" s="32">
        <f t="shared" si="4"/>
      </c>
    </row>
    <row r="173" spans="1:17" x14ac:dyDescent="0.25">
      <c r="A173" s="27"/>
      <c r="B173" s="29"/>
      <c r="C173" s="29"/>
      <c r="D173" s="29"/>
      <c r="E173" s="31"/>
      <c r="F173" s="30"/>
      <c r="G173" s="30"/>
      <c r="H173" s="38"/>
      <c r="I173" s="29"/>
      <c r="J173" s="28"/>
      <c r="K173" s="31"/>
      <c r="L173" s="31"/>
      <c r="M173" s="37">
        <f t="shared" si="0"/>
      </c>
      <c r="N173" s="37">
        <f t="shared" si="1"/>
      </c>
      <c r="O173" s="32">
        <f t="shared" si="2"/>
      </c>
      <c r="P173" s="32">
        <f t="shared" si="3"/>
      </c>
      <c r="Q173" s="32">
        <f t="shared" si="4"/>
      </c>
    </row>
    <row r="174" spans="1:17" x14ac:dyDescent="0.25">
      <c r="A174" s="27"/>
      <c r="B174" s="29"/>
      <c r="C174" s="29"/>
      <c r="D174" s="29"/>
      <c r="E174" s="31"/>
      <c r="F174" s="30"/>
      <c r="G174" s="30"/>
      <c r="H174" s="38"/>
      <c r="I174" s="29"/>
      <c r="J174" s="28"/>
      <c r="K174" s="31"/>
      <c r="L174" s="31"/>
      <c r="M174" s="37">
        <f t="shared" si="0"/>
      </c>
      <c r="N174" s="37">
        <f t="shared" si="1"/>
      </c>
      <c r="O174" s="32">
        <f t="shared" si="2"/>
      </c>
      <c r="P174" s="32">
        <f t="shared" si="3"/>
      </c>
      <c r="Q174" s="32">
        <f t="shared" si="4"/>
      </c>
    </row>
    <row r="175" spans="1:17" x14ac:dyDescent="0.25">
      <c r="A175" s="27"/>
      <c r="B175" s="29"/>
      <c r="C175" s="29"/>
      <c r="D175" s="29"/>
      <c r="E175" s="31"/>
      <c r="F175" s="30"/>
      <c r="G175" s="30"/>
      <c r="H175" s="38"/>
      <c r="I175" s="29"/>
      <c r="J175" s="28"/>
      <c r="K175" s="31"/>
      <c r="L175" s="31"/>
      <c r="M175" s="37">
        <f t="shared" si="0"/>
      </c>
      <c r="N175" s="37">
        <f t="shared" si="1"/>
      </c>
      <c r="O175" s="32">
        <f t="shared" si="2"/>
      </c>
      <c r="P175" s="32">
        <f t="shared" si="3"/>
      </c>
      <c r="Q175" s="32">
        <f t="shared" si="4"/>
      </c>
    </row>
    <row r="176" spans="1:17" x14ac:dyDescent="0.25">
      <c r="A176" s="27"/>
      <c r="B176" s="29"/>
      <c r="C176" s="29"/>
      <c r="D176" s="29"/>
      <c r="E176" s="31"/>
      <c r="F176" s="30"/>
      <c r="G176" s="30"/>
      <c r="H176" s="38"/>
      <c r="I176" s="29"/>
      <c r="J176" s="28"/>
      <c r="K176" s="31"/>
      <c r="L176" s="31"/>
      <c r="M176" s="37">
        <f t="shared" si="0"/>
      </c>
      <c r="N176" s="37">
        <f t="shared" si="1"/>
      </c>
      <c r="O176" s="32">
        <f t="shared" si="2"/>
      </c>
      <c r="P176" s="32">
        <f t="shared" si="3"/>
      </c>
      <c r="Q176" s="32">
        <f t="shared" si="4"/>
      </c>
    </row>
    <row r="177" spans="1:17" x14ac:dyDescent="0.25">
      <c r="A177" s="27"/>
      <c r="B177" s="29"/>
      <c r="C177" s="29"/>
      <c r="D177" s="29"/>
      <c r="E177" s="31"/>
      <c r="F177" s="30"/>
      <c r="G177" s="30"/>
      <c r="H177" s="38"/>
      <c r="I177" s="29"/>
      <c r="J177" s="28"/>
      <c r="K177" s="31"/>
      <c r="L177" s="31"/>
      <c r="M177" s="37">
        <f t="shared" si="0"/>
      </c>
      <c r="N177" s="37">
        <f t="shared" si="1"/>
      </c>
      <c r="O177" s="32">
        <f t="shared" si="2"/>
      </c>
      <c r="P177" s="32">
        <f t="shared" si="3"/>
      </c>
      <c r="Q177" s="32">
        <f t="shared" si="4"/>
      </c>
    </row>
    <row r="178" spans="1:17" x14ac:dyDescent="0.25">
      <c r="A178" s="27"/>
      <c r="B178" s="29"/>
      <c r="C178" s="29"/>
      <c r="D178" s="29"/>
      <c r="E178" s="31"/>
      <c r="F178" s="30"/>
      <c r="G178" s="30"/>
      <c r="H178" s="38"/>
      <c r="I178" s="29"/>
      <c r="J178" s="28"/>
      <c r="K178" s="31"/>
      <c r="L178" s="31"/>
      <c r="M178" s="37">
        <f t="shared" si="0"/>
      </c>
      <c r="N178" s="37">
        <f t="shared" si="1"/>
      </c>
      <c r="O178" s="32">
        <f t="shared" si="2"/>
      </c>
      <c r="P178" s="32">
        <f t="shared" si="3"/>
      </c>
      <c r="Q178" s="32">
        <f t="shared" si="4"/>
      </c>
    </row>
    <row r="179" spans="1:17" x14ac:dyDescent="0.25">
      <c r="A179" s="27"/>
      <c r="B179" s="29"/>
      <c r="C179" s="29"/>
      <c r="D179" s="29"/>
      <c r="E179" s="31"/>
      <c r="F179" s="30"/>
      <c r="G179" s="30"/>
      <c r="H179" s="38"/>
      <c r="I179" s="29"/>
      <c r="J179" s="28"/>
      <c r="K179" s="31"/>
      <c r="L179" s="31"/>
      <c r="M179" s="37">
        <f t="shared" si="0"/>
      </c>
      <c r="N179" s="37">
        <f t="shared" si="1"/>
      </c>
      <c r="O179" s="32">
        <f t="shared" si="2"/>
      </c>
      <c r="P179" s="32">
        <f t="shared" si="3"/>
      </c>
      <c r="Q179" s="32">
        <f t="shared" si="4"/>
      </c>
    </row>
    <row r="180" spans="1:17" x14ac:dyDescent="0.25">
      <c r="A180" s="27"/>
      <c r="B180" s="29"/>
      <c r="C180" s="29"/>
      <c r="D180" s="29"/>
      <c r="E180" s="31"/>
      <c r="F180" s="30"/>
      <c r="G180" s="30"/>
      <c r="H180" s="38"/>
      <c r="I180" s="29"/>
      <c r="J180" s="28"/>
      <c r="K180" s="31"/>
      <c r="L180" s="31"/>
      <c r="M180" s="37">
        <f t="shared" si="0"/>
      </c>
      <c r="N180" s="37">
        <f t="shared" si="1"/>
      </c>
      <c r="O180" s="32">
        <f t="shared" si="2"/>
      </c>
      <c r="P180" s="32">
        <f t="shared" si="3"/>
      </c>
      <c r="Q180" s="32">
        <f t="shared" si="4"/>
      </c>
    </row>
    <row r="181" spans="1:17" x14ac:dyDescent="0.25">
      <c r="A181" s="27"/>
      <c r="B181" s="29"/>
      <c r="C181" s="29"/>
      <c r="D181" s="29"/>
      <c r="E181" s="31"/>
      <c r="F181" s="30"/>
      <c r="G181" s="30"/>
      <c r="H181" s="38"/>
      <c r="I181" s="29"/>
      <c r="J181" s="28"/>
      <c r="K181" s="31"/>
      <c r="L181" s="31"/>
      <c r="M181" s="37">
        <f t="shared" si="0"/>
      </c>
      <c r="N181" s="37">
        <f t="shared" si="1"/>
      </c>
      <c r="O181" s="32">
        <f t="shared" si="2"/>
      </c>
      <c r="P181" s="32">
        <f t="shared" si="3"/>
      </c>
      <c r="Q181" s="32">
        <f t="shared" si="4"/>
      </c>
    </row>
    <row r="182" spans="1:17" x14ac:dyDescent="0.25">
      <c r="A182" s="27"/>
      <c r="B182" s="29"/>
      <c r="C182" s="29"/>
      <c r="D182" s="29"/>
      <c r="E182" s="31"/>
      <c r="F182" s="30"/>
      <c r="G182" s="30"/>
      <c r="H182" s="38"/>
      <c r="I182" s="29"/>
      <c r="J182" s="28"/>
      <c r="K182" s="31"/>
      <c r="L182" s="31"/>
      <c r="M182" s="37">
        <f t="shared" si="0"/>
      </c>
      <c r="N182" s="37">
        <f t="shared" si="1"/>
      </c>
      <c r="O182" s="32">
        <f t="shared" si="2"/>
      </c>
      <c r="P182" s="32">
        <f t="shared" si="3"/>
      </c>
      <c r="Q182" s="32">
        <f t="shared" si="4"/>
      </c>
    </row>
    <row r="183" spans="1:17" x14ac:dyDescent="0.25">
      <c r="A183" s="27"/>
      <c r="B183" s="29"/>
      <c r="C183" s="29"/>
      <c r="D183" s="29"/>
      <c r="E183" s="31"/>
      <c r="F183" s="30"/>
      <c r="G183" s="30"/>
      <c r="H183" s="38"/>
      <c r="I183" s="29"/>
      <c r="J183" s="28"/>
      <c r="K183" s="31"/>
      <c r="L183" s="31"/>
      <c r="M183" s="37">
        <f t="shared" si="0"/>
      </c>
      <c r="N183" s="37">
        <f t="shared" si="1"/>
      </c>
      <c r="O183" s="32">
        <f t="shared" si="2"/>
      </c>
      <c r="P183" s="32">
        <f t="shared" si="3"/>
      </c>
      <c r="Q183" s="32">
        <f t="shared" si="4"/>
      </c>
    </row>
    <row r="184" spans="1:17" x14ac:dyDescent="0.25">
      <c r="A184" s="27"/>
      <c r="B184" s="29"/>
      <c r="C184" s="29"/>
      <c r="D184" s="29"/>
      <c r="E184" s="31"/>
      <c r="F184" s="30"/>
      <c r="G184" s="30"/>
      <c r="H184" s="38"/>
      <c r="I184" s="29"/>
      <c r="J184" s="28"/>
      <c r="K184" s="31"/>
      <c r="L184" s="31"/>
      <c r="M184" s="37">
        <f t="shared" si="0"/>
      </c>
      <c r="N184" s="37">
        <f t="shared" si="1"/>
      </c>
      <c r="O184" s="32">
        <f t="shared" si="2"/>
      </c>
      <c r="P184" s="32">
        <f t="shared" si="3"/>
      </c>
      <c r="Q184" s="32">
        <f t="shared" si="4"/>
      </c>
    </row>
    <row r="185" spans="1:17" x14ac:dyDescent="0.25">
      <c r="A185" s="27"/>
      <c r="B185" s="29"/>
      <c r="C185" s="29"/>
      <c r="D185" s="29"/>
      <c r="E185" s="31"/>
      <c r="F185" s="30"/>
      <c r="G185" s="30"/>
      <c r="H185" s="38"/>
      <c r="I185" s="29"/>
      <c r="J185" s="28"/>
      <c r="K185" s="31"/>
      <c r="L185" s="31"/>
      <c r="M185" s="37">
        <f t="shared" si="0"/>
      </c>
      <c r="N185" s="37">
        <f t="shared" si="1"/>
      </c>
      <c r="O185" s="32">
        <f t="shared" si="2"/>
      </c>
      <c r="P185" s="32">
        <f t="shared" si="3"/>
      </c>
      <c r="Q185" s="32">
        <f t="shared" si="4"/>
      </c>
    </row>
    <row r="186" spans="1:17" x14ac:dyDescent="0.25">
      <c r="A186" s="27"/>
      <c r="B186" s="29"/>
      <c r="C186" s="29"/>
      <c r="D186" s="29"/>
      <c r="E186" s="31"/>
      <c r="F186" s="30"/>
      <c r="G186" s="30"/>
      <c r="H186" s="38"/>
      <c r="I186" s="29"/>
      <c r="J186" s="28"/>
      <c r="K186" s="31"/>
      <c r="L186" s="31"/>
      <c r="M186" s="37">
        <f t="shared" si="0"/>
      </c>
      <c r="N186" s="37">
        <f t="shared" si="1"/>
      </c>
      <c r="O186" s="32">
        <f t="shared" si="2"/>
      </c>
      <c r="P186" s="32">
        <f t="shared" si="3"/>
      </c>
      <c r="Q186" s="32">
        <f t="shared" si="4"/>
      </c>
    </row>
    <row r="187" spans="1:17" x14ac:dyDescent="0.25">
      <c r="A187" s="27"/>
      <c r="B187" s="29"/>
      <c r="C187" s="29"/>
      <c r="D187" s="29"/>
      <c r="E187" s="31"/>
      <c r="F187" s="30"/>
      <c r="G187" s="30"/>
      <c r="H187" s="38"/>
      <c r="I187" s="29"/>
      <c r="J187" s="28"/>
      <c r="K187" s="31"/>
      <c r="L187" s="31"/>
      <c r="M187" s="37">
        <f t="shared" si="0"/>
      </c>
      <c r="N187" s="37">
        <f t="shared" si="1"/>
      </c>
      <c r="O187" s="32">
        <f t="shared" si="2"/>
      </c>
      <c r="P187" s="32">
        <f t="shared" si="3"/>
      </c>
      <c r="Q187" s="32">
        <f t="shared" si="4"/>
      </c>
    </row>
    <row r="188" spans="1:17" x14ac:dyDescent="0.25">
      <c r="A188" s="27"/>
      <c r="B188" s="29"/>
      <c r="C188" s="29"/>
      <c r="D188" s="29"/>
      <c r="E188" s="31"/>
      <c r="F188" s="30"/>
      <c r="G188" s="30"/>
      <c r="H188" s="38"/>
      <c r="I188" s="29"/>
      <c r="J188" s="28"/>
      <c r="K188" s="31"/>
      <c r="L188" s="31"/>
      <c r="M188" s="37">
        <f t="shared" si="0"/>
      </c>
      <c r="N188" s="37">
        <f t="shared" si="1"/>
      </c>
      <c r="O188" s="32">
        <f t="shared" si="2"/>
      </c>
      <c r="P188" s="32">
        <f t="shared" si="3"/>
      </c>
      <c r="Q188" s="32">
        <f t="shared" si="4"/>
      </c>
    </row>
    <row r="189" spans="1:17" x14ac:dyDescent="0.25">
      <c r="A189" s="27"/>
      <c r="B189" s="29"/>
      <c r="C189" s="29"/>
      <c r="D189" s="29"/>
      <c r="E189" s="31"/>
      <c r="F189" s="30"/>
      <c r="G189" s="30"/>
      <c r="H189" s="38"/>
      <c r="I189" s="29"/>
      <c r="J189" s="28"/>
      <c r="K189" s="31"/>
      <c r="L189" s="31"/>
      <c r="M189" s="37">
        <f t="shared" si="0"/>
      </c>
      <c r="N189" s="37">
        <f t="shared" si="1"/>
      </c>
      <c r="O189" s="32">
        <f t="shared" si="2"/>
      </c>
      <c r="P189" s="32">
        <f t="shared" si="3"/>
      </c>
      <c r="Q189" s="32">
        <f t="shared" si="4"/>
      </c>
    </row>
    <row r="190" spans="1:17" x14ac:dyDescent="0.25">
      <c r="A190" s="27"/>
      <c r="B190" s="29"/>
      <c r="C190" s="29"/>
      <c r="D190" s="29"/>
      <c r="E190" s="31"/>
      <c r="F190" s="30"/>
      <c r="G190" s="30"/>
      <c r="H190" s="38"/>
      <c r="I190" s="29"/>
      <c r="J190" s="28"/>
      <c r="K190" s="31"/>
      <c r="L190" s="31"/>
      <c r="M190" s="37">
        <f t="shared" si="0"/>
      </c>
      <c r="N190" s="37">
        <f t="shared" si="1"/>
      </c>
      <c r="O190" s="32">
        <f t="shared" si="2"/>
      </c>
      <c r="P190" s="32">
        <f t="shared" si="3"/>
      </c>
      <c r="Q190" s="32">
        <f t="shared" si="4"/>
      </c>
    </row>
    <row r="191" spans="1:17" x14ac:dyDescent="0.25">
      <c r="A191" s="27"/>
      <c r="B191" s="29"/>
      <c r="C191" s="29"/>
      <c r="D191" s="29"/>
      <c r="E191" s="31"/>
      <c r="F191" s="30"/>
      <c r="G191" s="30"/>
      <c r="H191" s="38"/>
      <c r="I191" s="29"/>
      <c r="J191" s="28"/>
      <c r="K191" s="31"/>
      <c r="L191" s="31"/>
      <c r="M191" s="37">
        <f t="shared" si="0"/>
      </c>
      <c r="N191" s="37">
        <f t="shared" si="1"/>
      </c>
      <c r="O191" s="32">
        <f t="shared" si="2"/>
      </c>
      <c r="P191" s="32">
        <f t="shared" si="3"/>
      </c>
      <c r="Q191" s="32">
        <f t="shared" si="4"/>
      </c>
    </row>
    <row r="192" spans="1:17" x14ac:dyDescent="0.25">
      <c r="A192" s="27"/>
      <c r="B192" s="29"/>
      <c r="C192" s="29"/>
      <c r="D192" s="29"/>
      <c r="E192" s="31"/>
      <c r="F192" s="30"/>
      <c r="G192" s="30"/>
      <c r="H192" s="38"/>
      <c r="I192" s="29"/>
      <c r="J192" s="28"/>
      <c r="K192" s="31"/>
      <c r="L192" s="31"/>
      <c r="M192" s="37">
        <f t="shared" si="0"/>
      </c>
      <c r="N192" s="37">
        <f t="shared" si="1"/>
      </c>
      <c r="O192" s="32">
        <f t="shared" si="2"/>
      </c>
      <c r="P192" s="32">
        <f t="shared" si="3"/>
      </c>
      <c r="Q192" s="32">
        <f t="shared" si="4"/>
      </c>
    </row>
    <row r="193" spans="1:17" x14ac:dyDescent="0.25">
      <c r="A193" s="27"/>
      <c r="B193" s="29"/>
      <c r="C193" s="29"/>
      <c r="D193" s="29"/>
      <c r="E193" s="31"/>
      <c r="F193" s="30"/>
      <c r="G193" s="30"/>
      <c r="H193" s="38"/>
      <c r="I193" s="29"/>
      <c r="J193" s="28"/>
      <c r="K193" s="31"/>
      <c r="L193" s="31"/>
      <c r="M193" s="37">
        <f t="shared" si="0"/>
      </c>
      <c r="N193" s="37">
        <f t="shared" si="1"/>
      </c>
      <c r="O193" s="32">
        <f t="shared" si="2"/>
      </c>
      <c r="P193" s="32">
        <f t="shared" si="3"/>
      </c>
      <c r="Q193" s="32">
        <f t="shared" si="4"/>
      </c>
    </row>
    <row r="194" spans="1:17" x14ac:dyDescent="0.25">
      <c r="A194" s="27"/>
      <c r="B194" s="29"/>
      <c r="C194" s="29"/>
      <c r="D194" s="29"/>
      <c r="E194" s="31"/>
      <c r="F194" s="30"/>
      <c r="G194" s="30"/>
      <c r="H194" s="38"/>
      <c r="I194" s="29"/>
      <c r="J194" s="28"/>
      <c r="K194" s="31"/>
      <c r="L194" s="31"/>
      <c r="M194" s="37">
        <f t="shared" si="0"/>
      </c>
      <c r="N194" s="37">
        <f t="shared" si="1"/>
      </c>
      <c r="O194" s="32">
        <f t="shared" si="2"/>
      </c>
      <c r="P194" s="32">
        <f t="shared" si="3"/>
      </c>
      <c r="Q194" s="32">
        <f t="shared" si="4"/>
      </c>
    </row>
    <row r="195" spans="1:17" x14ac:dyDescent="0.25">
      <c r="A195" s="27"/>
      <c r="B195" s="29"/>
      <c r="C195" s="29"/>
      <c r="D195" s="29"/>
      <c r="E195" s="31"/>
      <c r="F195" s="30"/>
      <c r="G195" s="30"/>
      <c r="H195" s="38"/>
      <c r="I195" s="29"/>
      <c r="J195" s="28"/>
      <c r="K195" s="31"/>
      <c r="L195" s="31"/>
      <c r="M195" s="37">
        <f t="shared" si="0"/>
      </c>
      <c r="N195" s="37">
        <f t="shared" si="1"/>
      </c>
      <c r="O195" s="32">
        <f t="shared" si="2"/>
      </c>
      <c r="P195" s="32">
        <f t="shared" si="3"/>
      </c>
      <c r="Q195" s="32">
        <f t="shared" si="4"/>
      </c>
    </row>
    <row r="196" spans="1:17" x14ac:dyDescent="0.25">
      <c r="A196" s="27"/>
      <c r="B196" s="29"/>
      <c r="C196" s="29"/>
      <c r="D196" s="29"/>
      <c r="E196" s="31"/>
      <c r="F196" s="30"/>
      <c r="G196" s="30"/>
      <c r="H196" s="38"/>
      <c r="I196" s="29"/>
      <c r="J196" s="28"/>
      <c r="K196" s="31"/>
      <c r="L196" s="31"/>
      <c r="M196" s="37">
        <f t="shared" si="0"/>
      </c>
      <c r="N196" s="37">
        <f t="shared" si="1"/>
      </c>
      <c r="O196" s="32">
        <f t="shared" si="2"/>
      </c>
      <c r="P196" s="32">
        <f t="shared" si="3"/>
      </c>
      <c r="Q196" s="32">
        <f t="shared" si="4"/>
      </c>
    </row>
    <row r="197" spans="1:17" x14ac:dyDescent="0.25">
      <c r="A197" s="27"/>
      <c r="B197" s="29"/>
      <c r="C197" s="29"/>
      <c r="D197" s="29"/>
      <c r="E197" s="31"/>
      <c r="F197" s="30"/>
      <c r="G197" s="30"/>
      <c r="H197" s="38"/>
      <c r="I197" s="29"/>
      <c r="J197" s="28"/>
      <c r="K197" s="31"/>
      <c r="L197" s="31"/>
      <c r="M197" s="37">
        <f t="shared" si="0"/>
      </c>
      <c r="N197" s="37">
        <f t="shared" si="1"/>
      </c>
      <c r="O197" s="32">
        <f t="shared" si="2"/>
      </c>
      <c r="P197" s="32">
        <f t="shared" si="3"/>
      </c>
      <c r="Q197" s="32">
        <f t="shared" si="4"/>
      </c>
    </row>
    <row r="198" spans="1:17" x14ac:dyDescent="0.25">
      <c r="A198" s="27"/>
      <c r="B198" s="29"/>
      <c r="C198" s="29"/>
      <c r="D198" s="29"/>
      <c r="E198" s="31"/>
      <c r="F198" s="30"/>
      <c r="G198" s="30"/>
      <c r="H198" s="38"/>
      <c r="I198" s="29"/>
      <c r="J198" s="28"/>
      <c r="K198" s="31"/>
      <c r="L198" s="31"/>
      <c r="M198" s="37">
        <f t="shared" si="0"/>
      </c>
      <c r="N198" s="37">
        <f t="shared" si="1"/>
      </c>
      <c r="O198" s="32">
        <f t="shared" si="2"/>
      </c>
      <c r="P198" s="32">
        <f t="shared" si="3"/>
      </c>
      <c r="Q198" s="32">
        <f t="shared" si="4"/>
      </c>
    </row>
    <row r="199" spans="1:17" x14ac:dyDescent="0.25">
      <c r="A199" s="27"/>
      <c r="B199" s="29"/>
      <c r="C199" s="29"/>
      <c r="D199" s="29"/>
      <c r="E199" s="31"/>
      <c r="F199" s="30"/>
      <c r="G199" s="30"/>
      <c r="H199" s="38"/>
      <c r="I199" s="29"/>
      <c r="J199" s="28"/>
      <c r="K199" s="31"/>
      <c r="L199" s="31"/>
      <c r="M199" s="37">
        <f t="shared" si="0"/>
      </c>
      <c r="N199" s="37">
        <f t="shared" si="1"/>
      </c>
      <c r="O199" s="32">
        <f t="shared" si="2"/>
      </c>
      <c r="P199" s="32">
        <f t="shared" si="3"/>
      </c>
      <c r="Q199" s="32">
        <f t="shared" si="4"/>
      </c>
    </row>
    <row r="200" spans="1:17" x14ac:dyDescent="0.25">
      <c r="A200" s="27"/>
      <c r="B200" s="29"/>
      <c r="C200" s="29"/>
      <c r="D200" s="29"/>
      <c r="E200" s="31"/>
      <c r="F200" s="30"/>
      <c r="G200" s="30"/>
      <c r="H200" s="38"/>
      <c r="I200" s="29"/>
      <c r="J200" s="28"/>
      <c r="K200" s="31"/>
      <c r="L200" s="31"/>
      <c r="M200" s="37">
        <f t="shared" si="0"/>
      </c>
      <c r="N200" s="37">
        <f t="shared" si="1"/>
      </c>
      <c r="O200" s="32">
        <f t="shared" si="2"/>
      </c>
      <c r="P200" s="32">
        <f t="shared" si="3"/>
      </c>
      <c r="Q200" s="32">
        <f t="shared" si="4"/>
      </c>
    </row>
    <row r="201" spans="1:17" x14ac:dyDescent="0.25">
      <c r="A201" s="27"/>
      <c r="B201" s="29"/>
      <c r="C201" s="29"/>
      <c r="D201" s="29"/>
      <c r="E201" s="31"/>
      <c r="F201" s="30"/>
      <c r="G201" s="30"/>
      <c r="H201" s="38"/>
      <c r="I201" s="29"/>
      <c r="J201" s="28"/>
      <c r="K201" s="31"/>
      <c r="L201" s="31"/>
      <c r="M201" s="37">
        <f t="shared" si="0"/>
      </c>
      <c r="N201" s="37">
        <f t="shared" si="1"/>
      </c>
      <c r="O201" s="32">
        <f t="shared" si="2"/>
      </c>
      <c r="P201" s="32">
        <f t="shared" si="3"/>
      </c>
      <c r="Q201" s="32">
        <f t="shared" si="4"/>
      </c>
    </row>
    <row r="202" spans="1:17" x14ac:dyDescent="0.25">
      <c r="A202" s="27"/>
      <c r="B202" s="29"/>
      <c r="C202" s="29"/>
      <c r="D202" s="29"/>
      <c r="E202" s="31"/>
      <c r="F202" s="30"/>
      <c r="G202" s="30"/>
      <c r="H202" s="38"/>
      <c r="I202" s="29"/>
      <c r="J202" s="28"/>
      <c r="K202" s="31"/>
      <c r="L202" s="31"/>
      <c r="M202" s="37">
        <f t="shared" si="0"/>
      </c>
      <c r="N202" s="37">
        <f t="shared" si="1"/>
      </c>
      <c r="O202" s="32">
        <f t="shared" si="2"/>
      </c>
      <c r="P202" s="32">
        <f t="shared" si="3"/>
      </c>
      <c r="Q202" s="32">
        <f t="shared" si="4"/>
      </c>
    </row>
    <row r="203" spans="1:17" x14ac:dyDescent="0.25">
      <c r="A203" s="27"/>
      <c r="B203" s="29"/>
      <c r="C203" s="29"/>
      <c r="D203" s="29"/>
      <c r="E203" s="31"/>
      <c r="F203" s="30"/>
      <c r="G203" s="30"/>
      <c r="H203" s="38"/>
      <c r="I203" s="29"/>
      <c r="J203" s="28"/>
      <c r="K203" s="31"/>
      <c r="L203" s="31"/>
      <c r="M203" s="37">
        <f t="shared" si="0"/>
      </c>
      <c r="N203" s="37">
        <f t="shared" si="1"/>
      </c>
      <c r="O203" s="32">
        <f t="shared" si="2"/>
      </c>
      <c r="P203" s="32">
        <f t="shared" si="3"/>
      </c>
      <c r="Q203" s="32">
        <f t="shared" si="4"/>
      </c>
    </row>
    <row r="204" spans="1:17" x14ac:dyDescent="0.25">
      <c r="A204" s="27"/>
      <c r="B204" s="29"/>
      <c r="C204" s="29"/>
      <c r="D204" s="29"/>
      <c r="E204" s="31"/>
      <c r="F204" s="30"/>
      <c r="G204" s="30"/>
      <c r="H204" s="38"/>
      <c r="I204" s="29"/>
      <c r="J204" s="28"/>
      <c r="K204" s="31"/>
      <c r="L204" s="31"/>
      <c r="M204" s="37">
        <f t="shared" si="0"/>
      </c>
      <c r="N204" s="37">
        <f t="shared" si="1"/>
      </c>
      <c r="O204" s="32">
        <f t="shared" si="2"/>
      </c>
      <c r="P204" s="32">
        <f t="shared" si="3"/>
      </c>
      <c r="Q204" s="32">
        <f t="shared" si="4"/>
      </c>
    </row>
    <row r="205" spans="1:17" x14ac:dyDescent="0.25">
      <c r="A205" s="27"/>
      <c r="B205" s="29"/>
      <c r="C205" s="29"/>
      <c r="D205" s="29"/>
      <c r="E205" s="31"/>
      <c r="F205" s="30"/>
      <c r="G205" s="30"/>
      <c r="H205" s="38"/>
      <c r="I205" s="29"/>
      <c r="J205" s="28"/>
      <c r="K205" s="31"/>
      <c r="L205" s="31"/>
      <c r="M205" s="37">
        <f t="shared" si="0"/>
      </c>
      <c r="N205" s="37">
        <f t="shared" si="1"/>
      </c>
      <c r="O205" s="32">
        <f t="shared" si="2"/>
      </c>
      <c r="P205" s="32">
        <f t="shared" si="3"/>
      </c>
      <c r="Q205" s="32">
        <f t="shared" si="4"/>
      </c>
    </row>
    <row r="206" spans="1:17" x14ac:dyDescent="0.25">
      <c r="A206" s="27"/>
      <c r="B206" s="29"/>
      <c r="C206" s="29"/>
      <c r="D206" s="29"/>
      <c r="E206" s="31"/>
      <c r="F206" s="30"/>
      <c r="G206" s="30"/>
      <c r="H206" s="38"/>
      <c r="I206" s="29"/>
      <c r="J206" s="28"/>
      <c r="K206" s="31"/>
      <c r="L206" s="31"/>
      <c r="M206" s="37">
        <f t="shared" si="0"/>
      </c>
      <c r="N206" s="37">
        <f t="shared" si="1"/>
      </c>
      <c r="O206" s="32">
        <f t="shared" si="2"/>
      </c>
      <c r="P206" s="32">
        <f t="shared" si="3"/>
      </c>
      <c r="Q206" s="32">
        <f t="shared" si="4"/>
      </c>
    </row>
    <row r="207" spans="1:17" x14ac:dyDescent="0.25">
      <c r="A207" s="27"/>
      <c r="B207" s="29"/>
      <c r="C207" s="29"/>
      <c r="D207" s="29"/>
      <c r="E207" s="31"/>
      <c r="F207" s="30"/>
      <c r="G207" s="30"/>
      <c r="H207" s="38"/>
      <c r="I207" s="29"/>
      <c r="J207" s="28"/>
      <c r="K207" s="31"/>
      <c r="L207" s="31"/>
      <c r="M207" s="37">
        <f t="shared" si="0"/>
      </c>
      <c r="N207" s="37">
        <f t="shared" si="1"/>
      </c>
      <c r="O207" s="32">
        <f t="shared" si="2"/>
      </c>
      <c r="P207" s="32">
        <f t="shared" si="3"/>
      </c>
      <c r="Q207" s="32">
        <f t="shared" si="4"/>
      </c>
    </row>
    <row r="208" spans="1:17" x14ac:dyDescent="0.25">
      <c r="A208" s="27"/>
      <c r="B208" s="29"/>
      <c r="C208" s="29"/>
      <c r="D208" s="29"/>
      <c r="E208" s="31"/>
      <c r="F208" s="30"/>
      <c r="G208" s="30"/>
      <c r="H208" s="38"/>
      <c r="I208" s="29"/>
      <c r="J208" s="28"/>
      <c r="K208" s="31"/>
      <c r="L208" s="31"/>
      <c r="M208" s="37">
        <f t="shared" si="0"/>
      </c>
      <c r="N208" s="37">
        <f t="shared" si="1"/>
      </c>
      <c r="O208" s="32">
        <f t="shared" si="2"/>
      </c>
      <c r="P208" s="32">
        <f t="shared" si="3"/>
      </c>
      <c r="Q208" s="32">
        <f t="shared" si="4"/>
      </c>
    </row>
    <row r="209" spans="1:17" x14ac:dyDescent="0.25">
      <c r="A209" s="27"/>
      <c r="B209" s="29"/>
      <c r="C209" s="29"/>
      <c r="D209" s="29"/>
      <c r="E209" s="31"/>
      <c r="F209" s="30"/>
      <c r="G209" s="30"/>
      <c r="H209" s="38"/>
      <c r="I209" s="29"/>
      <c r="J209" s="28"/>
      <c r="K209" s="31"/>
      <c r="L209" s="31"/>
      <c r="M209" s="37">
        <f t="shared" si="0"/>
      </c>
      <c r="N209" s="37">
        <f t="shared" si="1"/>
      </c>
      <c r="O209" s="32">
        <f t="shared" si="2"/>
      </c>
      <c r="P209" s="32">
        <f t="shared" si="3"/>
      </c>
      <c r="Q209" s="32">
        <f t="shared" si="4"/>
      </c>
    </row>
    <row r="210" spans="1:17" x14ac:dyDescent="0.25">
      <c r="A210" s="27"/>
      <c r="B210" s="29"/>
      <c r="C210" s="29"/>
      <c r="D210" s="29"/>
      <c r="E210" s="31"/>
      <c r="F210" s="30"/>
      <c r="G210" s="30"/>
      <c r="H210" s="38"/>
      <c r="I210" s="29"/>
      <c r="J210" s="28"/>
      <c r="K210" s="31"/>
      <c r="L210" s="31"/>
      <c r="M210" s="37">
        <f t="shared" si="0"/>
      </c>
      <c r="N210" s="37">
        <f t="shared" si="1"/>
      </c>
      <c r="O210" s="32">
        <f t="shared" si="2"/>
      </c>
      <c r="P210" s="32">
        <f t="shared" si="3"/>
      </c>
      <c r="Q210" s="32">
        <f t="shared" si="4"/>
      </c>
    </row>
    <row r="211" spans="1:17" x14ac:dyDescent="0.25">
      <c r="A211" s="27"/>
      <c r="B211" s="29"/>
      <c r="C211" s="29"/>
      <c r="D211" s="29"/>
      <c r="E211" s="31"/>
      <c r="F211" s="30"/>
      <c r="G211" s="30"/>
      <c r="H211" s="38"/>
      <c r="I211" s="29"/>
      <c r="J211" s="28"/>
      <c r="K211" s="31"/>
      <c r="L211" s="31"/>
      <c r="M211" s="37">
        <f t="shared" si="0"/>
      </c>
      <c r="N211" s="37">
        <f t="shared" si="1"/>
      </c>
      <c r="O211" s="32">
        <f t="shared" si="2"/>
      </c>
      <c r="P211" s="32">
        <f t="shared" si="3"/>
      </c>
      <c r="Q211" s="32">
        <f t="shared" si="4"/>
      </c>
    </row>
    <row r="212" spans="1:17" x14ac:dyDescent="0.25">
      <c r="A212" s="27"/>
      <c r="B212" s="29"/>
      <c r="C212" s="29"/>
      <c r="D212" s="29"/>
      <c r="E212" s="31"/>
      <c r="F212" s="30"/>
      <c r="G212" s="30"/>
      <c r="H212" s="38"/>
      <c r="I212" s="29"/>
      <c r="J212" s="28"/>
      <c r="K212" s="31"/>
      <c r="L212" s="31"/>
      <c r="M212" s="37">
        <f t="shared" si="0"/>
      </c>
      <c r="N212" s="37">
        <f t="shared" si="1"/>
      </c>
      <c r="O212" s="32">
        <f t="shared" si="2"/>
      </c>
      <c r="P212" s="32">
        <f t="shared" si="3"/>
      </c>
      <c r="Q212" s="32">
        <f t="shared" si="4"/>
      </c>
    </row>
    <row r="213" spans="1:17" x14ac:dyDescent="0.25">
      <c r="A213" s="27"/>
      <c r="B213" s="29"/>
      <c r="C213" s="29"/>
      <c r="D213" s="29"/>
      <c r="E213" s="31"/>
      <c r="F213" s="30"/>
      <c r="G213" s="30"/>
      <c r="H213" s="38"/>
      <c r="I213" s="29"/>
      <c r="J213" s="28"/>
      <c r="K213" s="31"/>
      <c r="L213" s="31"/>
      <c r="M213" s="37">
        <f t="shared" si="0"/>
      </c>
      <c r="N213" s="37">
        <f t="shared" si="1"/>
      </c>
      <c r="O213" s="32">
        <f t="shared" si="2"/>
      </c>
      <c r="P213" s="32">
        <f t="shared" si="3"/>
      </c>
      <c r="Q213" s="32">
        <f t="shared" si="4"/>
      </c>
    </row>
    <row r="214" spans="1:17" x14ac:dyDescent="0.25">
      <c r="A214" s="27"/>
      <c r="B214" s="29"/>
      <c r="C214" s="29"/>
      <c r="D214" s="29"/>
      <c r="E214" s="31"/>
      <c r="F214" s="30"/>
      <c r="G214" s="30"/>
      <c r="H214" s="38"/>
      <c r="I214" s="29"/>
      <c r="J214" s="28"/>
      <c r="K214" s="31"/>
      <c r="L214" s="31"/>
      <c r="M214" s="37">
        <f t="shared" si="0"/>
      </c>
      <c r="N214" s="37">
        <f t="shared" si="1"/>
      </c>
      <c r="O214" s="32">
        <f t="shared" si="2"/>
      </c>
      <c r="P214" s="32">
        <f t="shared" si="3"/>
      </c>
      <c r="Q214" s="32">
        <f t="shared" si="4"/>
      </c>
    </row>
    <row r="215" spans="1:17" x14ac:dyDescent="0.25">
      <c r="A215" s="27"/>
      <c r="B215" s="29"/>
      <c r="C215" s="29"/>
      <c r="D215" s="29"/>
      <c r="E215" s="31"/>
      <c r="F215" s="30"/>
      <c r="G215" s="30"/>
      <c r="H215" s="38"/>
      <c r="I215" s="29"/>
      <c r="J215" s="28"/>
      <c r="K215" s="31"/>
      <c r="L215" s="31"/>
      <c r="M215" s="37">
        <f t="shared" si="0"/>
      </c>
      <c r="N215" s="37">
        <f t="shared" si="1"/>
      </c>
      <c r="O215" s="32">
        <f t="shared" si="2"/>
      </c>
      <c r="P215" s="32">
        <f t="shared" si="3"/>
      </c>
      <c r="Q215" s="32">
        <f t="shared" si="4"/>
      </c>
    </row>
    <row r="216" spans="1:17" x14ac:dyDescent="0.25">
      <c r="A216" s="27"/>
      <c r="B216" s="29"/>
      <c r="C216" s="29"/>
      <c r="D216" s="29"/>
      <c r="E216" s="31"/>
      <c r="F216" s="30"/>
      <c r="G216" s="30"/>
      <c r="H216" s="38"/>
      <c r="I216" s="29"/>
      <c r="J216" s="28"/>
      <c r="K216" s="31"/>
      <c r="L216" s="31"/>
      <c r="M216" s="37">
        <f t="shared" si="0"/>
      </c>
      <c r="N216" s="37">
        <f t="shared" si="1"/>
      </c>
      <c r="O216" s="32">
        <f t="shared" si="2"/>
      </c>
      <c r="P216" s="32">
        <f t="shared" si="3"/>
      </c>
      <c r="Q216" s="32">
        <f t="shared" si="4"/>
      </c>
    </row>
    <row r="217" spans="1:17" x14ac:dyDescent="0.25">
      <c r="A217" s="27"/>
      <c r="B217" s="29"/>
      <c r="C217" s="29"/>
      <c r="D217" s="29"/>
      <c r="E217" s="31"/>
      <c r="F217" s="30"/>
      <c r="G217" s="30"/>
      <c r="H217" s="38"/>
      <c r="I217" s="29"/>
      <c r="J217" s="28"/>
      <c r="K217" s="31"/>
      <c r="L217" s="31"/>
      <c r="M217" s="37">
        <f t="shared" si="0"/>
      </c>
      <c r="N217" s="37">
        <f t="shared" si="1"/>
      </c>
      <c r="O217" s="32">
        <f t="shared" si="2"/>
      </c>
      <c r="P217" s="32">
        <f t="shared" si="3"/>
      </c>
      <c r="Q217" s="32">
        <f t="shared" si="4"/>
      </c>
    </row>
    <row r="218" spans="1:17" x14ac:dyDescent="0.25">
      <c r="A218" s="27"/>
      <c r="B218" s="29"/>
      <c r="C218" s="29"/>
      <c r="D218" s="29"/>
      <c r="E218" s="31"/>
      <c r="F218" s="30"/>
      <c r="G218" s="30"/>
      <c r="H218" s="38"/>
      <c r="I218" s="29"/>
      <c r="J218" s="28"/>
      <c r="K218" s="31"/>
      <c r="L218" s="31"/>
      <c r="M218" s="37">
        <f t="shared" si="0"/>
      </c>
      <c r="N218" s="37">
        <f t="shared" si="1"/>
      </c>
      <c r="O218" s="32">
        <f t="shared" si="2"/>
      </c>
      <c r="P218" s="32">
        <f t="shared" si="3"/>
      </c>
      <c r="Q218" s="32">
        <f t="shared" si="4"/>
      </c>
    </row>
    <row r="219" spans="1:17" x14ac:dyDescent="0.25">
      <c r="A219" s="27"/>
      <c r="B219" s="29"/>
      <c r="C219" s="29"/>
      <c r="D219" s="29"/>
      <c r="E219" s="31"/>
      <c r="F219" s="30"/>
      <c r="G219" s="30"/>
      <c r="H219" s="38"/>
      <c r="I219" s="29"/>
      <c r="J219" s="28"/>
      <c r="K219" s="31"/>
      <c r="L219" s="31"/>
      <c r="M219" s="37">
        <f t="shared" si="0"/>
      </c>
      <c r="N219" s="37">
        <f t="shared" si="1"/>
      </c>
      <c r="O219" s="32">
        <f t="shared" si="2"/>
      </c>
      <c r="P219" s="32">
        <f t="shared" si="3"/>
      </c>
      <c r="Q219" s="32">
        <f t="shared" si="4"/>
      </c>
    </row>
    <row r="220" spans="1:17" x14ac:dyDescent="0.25">
      <c r="A220" s="27"/>
      <c r="B220" s="29"/>
      <c r="C220" s="29"/>
      <c r="D220" s="29"/>
      <c r="E220" s="31"/>
      <c r="F220" s="30"/>
      <c r="G220" s="30"/>
      <c r="H220" s="38"/>
      <c r="I220" s="29"/>
      <c r="J220" s="28"/>
      <c r="K220" s="31"/>
      <c r="L220" s="31"/>
      <c r="M220" s="37">
        <f t="shared" si="0"/>
      </c>
      <c r="N220" s="37">
        <f t="shared" si="1"/>
      </c>
      <c r="O220" s="32">
        <f t="shared" si="2"/>
      </c>
      <c r="P220" s="32">
        <f t="shared" si="3"/>
      </c>
      <c r="Q220" s="32">
        <f t="shared" si="4"/>
      </c>
    </row>
    <row r="221" spans="1:17" x14ac:dyDescent="0.25">
      <c r="A221" s="27"/>
      <c r="B221" s="29"/>
      <c r="C221" s="29"/>
      <c r="D221" s="29"/>
      <c r="E221" s="31"/>
      <c r="F221" s="30"/>
      <c r="G221" s="30"/>
      <c r="H221" s="38"/>
      <c r="I221" s="29"/>
      <c r="J221" s="28"/>
      <c r="K221" s="31"/>
      <c r="L221" s="31"/>
      <c r="M221" s="37">
        <f t="shared" si="0"/>
      </c>
      <c r="N221" s="37">
        <f t="shared" si="1"/>
      </c>
      <c r="O221" s="32">
        <f t="shared" si="2"/>
      </c>
      <c r="P221" s="32">
        <f t="shared" si="3"/>
      </c>
      <c r="Q221" s="32">
        <f t="shared" si="4"/>
      </c>
    </row>
    <row r="222" spans="1:17" x14ac:dyDescent="0.25">
      <c r="A222" s="27"/>
      <c r="B222" s="29"/>
      <c r="C222" s="29"/>
      <c r="D222" s="29"/>
      <c r="E222" s="31"/>
      <c r="F222" s="30"/>
      <c r="G222" s="30"/>
      <c r="H222" s="38"/>
      <c r="I222" s="29"/>
      <c r="J222" s="28"/>
      <c r="K222" s="31"/>
      <c r="L222" s="31"/>
      <c r="M222" s="37">
        <f t="shared" si="0"/>
      </c>
      <c r="N222" s="37">
        <f t="shared" si="1"/>
      </c>
      <c r="O222" s="32">
        <f t="shared" si="2"/>
      </c>
      <c r="P222" s="32">
        <f t="shared" si="3"/>
      </c>
      <c r="Q222" s="32">
        <f t="shared" si="4"/>
      </c>
    </row>
    <row r="223" spans="1:17" x14ac:dyDescent="0.25">
      <c r="A223" s="27"/>
      <c r="B223" s="29"/>
      <c r="C223" s="29"/>
      <c r="D223" s="29"/>
      <c r="E223" s="31"/>
      <c r="F223" s="30"/>
      <c r="G223" s="30"/>
      <c r="H223" s="38"/>
      <c r="I223" s="29"/>
      <c r="J223" s="28"/>
      <c r="K223" s="31"/>
      <c r="L223" s="31"/>
      <c r="M223" s="37">
        <f t="shared" si="0"/>
      </c>
      <c r="N223" s="37">
        <f t="shared" si="1"/>
      </c>
      <c r="O223" s="32">
        <f t="shared" si="2"/>
      </c>
      <c r="P223" s="32">
        <f t="shared" si="3"/>
      </c>
      <c r="Q223" s="32">
        <f t="shared" si="4"/>
      </c>
    </row>
    <row r="224" spans="1:17" x14ac:dyDescent="0.25">
      <c r="A224" s="27"/>
      <c r="B224" s="29"/>
      <c r="C224" s="29"/>
      <c r="D224" s="29"/>
      <c r="E224" s="31"/>
      <c r="F224" s="30"/>
      <c r="G224" s="30"/>
      <c r="H224" s="38"/>
      <c r="I224" s="29"/>
      <c r="J224" s="28"/>
      <c r="K224" s="31"/>
      <c r="L224" s="31"/>
      <c r="M224" s="37">
        <f t="shared" si="0"/>
      </c>
      <c r="N224" s="37">
        <f t="shared" si="1"/>
      </c>
      <c r="O224" s="32">
        <f t="shared" si="2"/>
      </c>
      <c r="P224" s="32">
        <f t="shared" si="3"/>
      </c>
      <c r="Q224" s="32">
        <f t="shared" si="4"/>
      </c>
    </row>
    <row r="225" spans="1:17" x14ac:dyDescent="0.25">
      <c r="A225" s="27"/>
      <c r="B225" s="29"/>
      <c r="C225" s="29"/>
      <c r="D225" s="29"/>
      <c r="E225" s="31"/>
      <c r="F225" s="30"/>
      <c r="G225" s="30"/>
      <c r="H225" s="38"/>
      <c r="I225" s="29"/>
      <c r="J225" s="28"/>
      <c r="K225" s="31"/>
      <c r="L225" s="31"/>
      <c r="M225" s="37">
        <f t="shared" si="0"/>
      </c>
      <c r="N225" s="37">
        <f t="shared" si="1"/>
      </c>
      <c r="O225" s="32">
        <f t="shared" si="2"/>
      </c>
      <c r="P225" s="32">
        <f t="shared" si="3"/>
      </c>
      <c r="Q225" s="32">
        <f t="shared" si="4"/>
      </c>
    </row>
    <row r="226" spans="1:17" x14ac:dyDescent="0.25">
      <c r="A226" s="27"/>
      <c r="B226" s="29"/>
      <c r="C226" s="29"/>
      <c r="D226" s="29"/>
      <c r="E226" s="31"/>
      <c r="F226" s="30"/>
      <c r="G226" s="30"/>
      <c r="H226" s="38"/>
      <c r="I226" s="29"/>
      <c r="J226" s="28"/>
      <c r="K226" s="31"/>
      <c r="L226" s="31"/>
      <c r="M226" s="37">
        <f t="shared" si="0"/>
      </c>
      <c r="N226" s="37">
        <f t="shared" si="1"/>
      </c>
      <c r="O226" s="32">
        <f t="shared" si="2"/>
      </c>
      <c r="P226" s="32">
        <f t="shared" si="3"/>
      </c>
      <c r="Q226" s="32">
        <f t="shared" si="4"/>
      </c>
    </row>
    <row r="227" spans="1:17" x14ac:dyDescent="0.25">
      <c r="A227" s="27"/>
      <c r="B227" s="29"/>
      <c r="C227" s="29"/>
      <c r="D227" s="29"/>
      <c r="E227" s="31"/>
      <c r="F227" s="30"/>
      <c r="G227" s="30"/>
      <c r="H227" s="38"/>
      <c r="I227" s="29"/>
      <c r="J227" s="28"/>
      <c r="K227" s="31"/>
      <c r="L227" s="31"/>
      <c r="M227" s="37">
        <f t="shared" si="0"/>
      </c>
      <c r="N227" s="37">
        <f t="shared" si="1"/>
      </c>
      <c r="O227" s="32">
        <f t="shared" si="2"/>
      </c>
      <c r="P227" s="32">
        <f t="shared" si="3"/>
      </c>
      <c r="Q227" s="32">
        <f t="shared" si="4"/>
      </c>
    </row>
    <row r="228" spans="1:17" x14ac:dyDescent="0.25">
      <c r="A228" s="27"/>
      <c r="B228" s="29"/>
      <c r="C228" s="29"/>
      <c r="D228" s="29"/>
      <c r="E228" s="31"/>
      <c r="F228" s="30"/>
      <c r="G228" s="30"/>
      <c r="H228" s="38"/>
      <c r="I228" s="29"/>
      <c r="J228" s="28"/>
      <c r="K228" s="31"/>
      <c r="L228" s="31"/>
      <c r="M228" s="37">
        <f t="shared" si="0"/>
      </c>
      <c r="N228" s="37">
        <f t="shared" si="1"/>
      </c>
      <c r="O228" s="32">
        <f t="shared" si="2"/>
      </c>
      <c r="P228" s="32">
        <f t="shared" si="3"/>
      </c>
      <c r="Q228" s="32">
        <f t="shared" si="4"/>
      </c>
    </row>
    <row r="229" spans="1:17" x14ac:dyDescent="0.25">
      <c r="A229" s="27"/>
      <c r="B229" s="29"/>
      <c r="C229" s="29"/>
      <c r="D229" s="29"/>
      <c r="E229" s="31"/>
      <c r="F229" s="30"/>
      <c r="G229" s="30"/>
      <c r="H229" s="38"/>
      <c r="I229" s="29"/>
      <c r="J229" s="28"/>
      <c r="K229" s="31"/>
      <c r="L229" s="31"/>
      <c r="M229" s="37">
        <f t="shared" si="0"/>
      </c>
      <c r="N229" s="37">
        <f t="shared" si="1"/>
      </c>
      <c r="O229" s="32">
        <f t="shared" si="2"/>
      </c>
      <c r="P229" s="32">
        <f t="shared" si="3"/>
      </c>
      <c r="Q229" s="32">
        <f t="shared" si="4"/>
      </c>
    </row>
    <row r="230" spans="1:17" x14ac:dyDescent="0.25">
      <c r="A230" s="27"/>
      <c r="B230" s="29"/>
      <c r="C230" s="29"/>
      <c r="D230" s="29"/>
      <c r="E230" s="31"/>
      <c r="F230" s="30"/>
      <c r="G230" s="30"/>
      <c r="H230" s="38"/>
      <c r="I230" s="29"/>
      <c r="J230" s="28"/>
      <c r="K230" s="31"/>
      <c r="L230" s="31"/>
      <c r="M230" s="37">
        <f t="shared" si="0"/>
      </c>
      <c r="N230" s="37">
        <f t="shared" si="1"/>
      </c>
      <c r="O230" s="32">
        <f t="shared" si="2"/>
      </c>
      <c r="P230" s="32">
        <f t="shared" si="3"/>
      </c>
      <c r="Q230" s="32">
        <f t="shared" si="4"/>
      </c>
    </row>
    <row r="231" spans="1:17" x14ac:dyDescent="0.25">
      <c r="A231" s="27"/>
      <c r="B231" s="29"/>
      <c r="C231" s="29"/>
      <c r="D231" s="29"/>
      <c r="E231" s="31"/>
      <c r="F231" s="30"/>
      <c r="G231" s="30"/>
      <c r="H231" s="38"/>
      <c r="I231" s="29"/>
      <c r="J231" s="28"/>
      <c r="K231" s="31"/>
      <c r="L231" s="31"/>
      <c r="M231" s="37">
        <f t="shared" si="0"/>
      </c>
      <c r="N231" s="37">
        <f t="shared" si="1"/>
      </c>
      <c r="O231" s="32">
        <f t="shared" si="2"/>
      </c>
      <c r="P231" s="32">
        <f t="shared" si="3"/>
      </c>
      <c r="Q231" s="32">
        <f t="shared" si="4"/>
      </c>
    </row>
    <row r="232" spans="1:17" x14ac:dyDescent="0.25">
      <c r="A232" s="27"/>
      <c r="B232" s="29"/>
      <c r="C232" s="29"/>
      <c r="D232" s="29"/>
      <c r="E232" s="31"/>
      <c r="F232" s="30"/>
      <c r="G232" s="30"/>
      <c r="H232" s="38"/>
      <c r="I232" s="29"/>
      <c r="J232" s="28"/>
      <c r="K232" s="31"/>
      <c r="L232" s="31"/>
      <c r="M232" s="37">
        <f t="shared" si="0"/>
      </c>
      <c r="N232" s="37">
        <f t="shared" si="1"/>
      </c>
      <c r="O232" s="32">
        <f t="shared" si="2"/>
      </c>
      <c r="P232" s="32">
        <f t="shared" si="3"/>
      </c>
      <c r="Q232" s="32">
        <f t="shared" si="4"/>
      </c>
    </row>
    <row r="233" spans="1:17" x14ac:dyDescent="0.25">
      <c r="A233" s="27"/>
      <c r="B233" s="29"/>
      <c r="C233" s="29"/>
      <c r="D233" s="29"/>
      <c r="E233" s="31"/>
      <c r="F233" s="30"/>
      <c r="G233" s="30"/>
      <c r="H233" s="38"/>
      <c r="I233" s="29"/>
      <c r="J233" s="28"/>
      <c r="K233" s="31"/>
      <c r="L233" s="31"/>
      <c r="M233" s="37">
        <f t="shared" si="0"/>
      </c>
      <c r="N233" s="37">
        <f t="shared" si="1"/>
      </c>
      <c r="O233" s="32">
        <f t="shared" si="2"/>
      </c>
      <c r="P233" s="32">
        <f t="shared" si="3"/>
      </c>
      <c r="Q233" s="32">
        <f t="shared" si="4"/>
      </c>
    </row>
    <row r="234" spans="1:17" x14ac:dyDescent="0.25">
      <c r="A234" s="27"/>
      <c r="B234" s="29"/>
      <c r="C234" s="29"/>
      <c r="D234" s="29"/>
      <c r="E234" s="31"/>
      <c r="F234" s="30"/>
      <c r="G234" s="30"/>
      <c r="H234" s="38"/>
      <c r="I234" s="29"/>
      <c r="J234" s="28"/>
      <c r="K234" s="31"/>
      <c r="L234" s="31"/>
      <c r="M234" s="37">
        <f t="shared" si="0"/>
      </c>
      <c r="N234" s="37">
        <f t="shared" si="1"/>
      </c>
      <c r="O234" s="32">
        <f t="shared" si="2"/>
      </c>
      <c r="P234" s="32">
        <f t="shared" si="3"/>
      </c>
      <c r="Q234" s="32">
        <f t="shared" si="4"/>
      </c>
    </row>
    <row r="235" spans="1:17" x14ac:dyDescent="0.25">
      <c r="A235" s="27"/>
      <c r="B235" s="29"/>
      <c r="C235" s="29"/>
      <c r="D235" s="29"/>
      <c r="E235" s="31"/>
      <c r="F235" s="30"/>
      <c r="G235" s="30"/>
      <c r="H235" s="38"/>
      <c r="I235" s="29"/>
      <c r="J235" s="28"/>
      <c r="K235" s="31"/>
      <c r="L235" s="31"/>
      <c r="M235" s="37">
        <f t="shared" si="0"/>
      </c>
      <c r="N235" s="37">
        <f t="shared" si="1"/>
      </c>
      <c r="O235" s="32">
        <f t="shared" si="2"/>
      </c>
      <c r="P235" s="32">
        <f t="shared" si="3"/>
      </c>
      <c r="Q235" s="32">
        <f t="shared" si="4"/>
      </c>
    </row>
    <row r="236" spans="1:17" x14ac:dyDescent="0.25">
      <c r="A236" s="27"/>
      <c r="B236" s="29"/>
      <c r="C236" s="29"/>
      <c r="D236" s="29"/>
      <c r="E236" s="31"/>
      <c r="F236" s="30"/>
      <c r="G236" s="30"/>
      <c r="H236" s="38"/>
      <c r="I236" s="29"/>
      <c r="J236" s="28"/>
      <c r="K236" s="31"/>
      <c r="L236" s="31"/>
      <c r="M236" s="37">
        <f t="shared" si="0"/>
      </c>
      <c r="N236" s="37">
        <f t="shared" si="1"/>
      </c>
      <c r="O236" s="32">
        <f t="shared" si="2"/>
      </c>
      <c r="P236" s="32">
        <f t="shared" si="3"/>
      </c>
      <c r="Q236" s="32">
        <f t="shared" si="4"/>
      </c>
    </row>
    <row r="237" spans="1:17" x14ac:dyDescent="0.25">
      <c r="A237" s="27"/>
      <c r="B237" s="29"/>
      <c r="C237" s="29"/>
      <c r="D237" s="29"/>
      <c r="E237" s="31"/>
      <c r="F237" s="30"/>
      <c r="G237" s="30"/>
      <c r="H237" s="38"/>
      <c r="I237" s="29"/>
      <c r="J237" s="28"/>
      <c r="K237" s="31"/>
      <c r="L237" s="31"/>
      <c r="M237" s="37">
        <f t="shared" si="0"/>
      </c>
      <c r="N237" s="37">
        <f t="shared" si="1"/>
      </c>
      <c r="O237" s="32">
        <f t="shared" si="2"/>
      </c>
      <c r="P237" s="32">
        <f t="shared" si="3"/>
      </c>
      <c r="Q237" s="32">
        <f t="shared" si="4"/>
      </c>
    </row>
    <row r="238" spans="1:17" x14ac:dyDescent="0.25">
      <c r="A238" s="27"/>
      <c r="B238" s="29"/>
      <c r="C238" s="29"/>
      <c r="D238" s="29"/>
      <c r="E238" s="31"/>
      <c r="F238" s="30"/>
      <c r="G238" s="30"/>
      <c r="H238" s="38"/>
      <c r="I238" s="29"/>
      <c r="J238" s="28"/>
      <c r="K238" s="31"/>
      <c r="L238" s="31"/>
      <c r="M238" s="37">
        <f t="shared" si="0"/>
      </c>
      <c r="N238" s="37">
        <f t="shared" si="1"/>
      </c>
      <c r="O238" s="32">
        <f t="shared" si="2"/>
      </c>
      <c r="P238" s="32">
        <f t="shared" si="3"/>
      </c>
      <c r="Q238" s="32">
        <f t="shared" si="4"/>
      </c>
    </row>
    <row r="239" spans="1:17" x14ac:dyDescent="0.25">
      <c r="A239" s="27"/>
      <c r="B239" s="29"/>
      <c r="C239" s="29"/>
      <c r="D239" s="29"/>
      <c r="E239" s="31"/>
      <c r="F239" s="30"/>
      <c r="G239" s="30"/>
      <c r="H239" s="38"/>
      <c r="I239" s="29"/>
      <c r="J239" s="28"/>
      <c r="K239" s="31"/>
      <c r="L239" s="31"/>
      <c r="M239" s="37">
        <f t="shared" si="0"/>
      </c>
      <c r="N239" s="37">
        <f t="shared" si="1"/>
      </c>
      <c r="O239" s="32">
        <f t="shared" si="2"/>
      </c>
      <c r="P239" s="32">
        <f t="shared" si="3"/>
      </c>
      <c r="Q239" s="32">
        <f t="shared" si="4"/>
      </c>
    </row>
    <row r="240" spans="1:17" x14ac:dyDescent="0.25">
      <c r="A240" s="27"/>
      <c r="B240" s="29"/>
      <c r="C240" s="29"/>
      <c r="D240" s="29"/>
      <c r="E240" s="31"/>
      <c r="F240" s="30"/>
      <c r="G240" s="30"/>
      <c r="H240" s="38"/>
      <c r="I240" s="29"/>
      <c r="J240" s="28"/>
      <c r="K240" s="31"/>
      <c r="L240" s="31"/>
      <c r="M240" s="37">
        <f t="shared" si="0"/>
      </c>
      <c r="N240" s="37">
        <f t="shared" si="1"/>
      </c>
      <c r="O240" s="32">
        <f t="shared" si="2"/>
      </c>
      <c r="P240" s="32">
        <f t="shared" si="3"/>
      </c>
      <c r="Q240" s="32">
        <f t="shared" si="4"/>
      </c>
    </row>
    <row r="241" spans="1:17" x14ac:dyDescent="0.25">
      <c r="A241" s="27"/>
      <c r="B241" s="29"/>
      <c r="C241" s="29"/>
      <c r="D241" s="29"/>
      <c r="E241" s="31"/>
      <c r="F241" s="30"/>
      <c r="G241" s="30"/>
      <c r="H241" s="38"/>
      <c r="I241" s="29"/>
      <c r="J241" s="28"/>
      <c r="K241" s="31"/>
      <c r="L241" s="31"/>
      <c r="M241" s="37">
        <f t="shared" si="0"/>
      </c>
      <c r="N241" s="37">
        <f t="shared" si="1"/>
      </c>
      <c r="O241" s="32">
        <f t="shared" si="2"/>
      </c>
      <c r="P241" s="32">
        <f t="shared" si="3"/>
      </c>
      <c r="Q241" s="32">
        <f t="shared" si="4"/>
      </c>
    </row>
    <row r="242" spans="1:17" x14ac:dyDescent="0.25">
      <c r="A242" s="27"/>
      <c r="B242" s="29"/>
      <c r="C242" s="29"/>
      <c r="D242" s="29"/>
      <c r="E242" s="31"/>
      <c r="F242" s="30"/>
      <c r="G242" s="30"/>
      <c r="H242" s="38"/>
      <c r="I242" s="29"/>
      <c r="J242" s="28"/>
      <c r="K242" s="31"/>
      <c r="L242" s="31"/>
      <c r="M242" s="37">
        <f t="shared" si="0"/>
      </c>
      <c r="N242" s="37">
        <f t="shared" si="1"/>
      </c>
      <c r="O242" s="32">
        <f t="shared" si="2"/>
      </c>
      <c r="P242" s="32">
        <f t="shared" si="3"/>
      </c>
      <c r="Q242" s="32">
        <f t="shared" si="4"/>
      </c>
    </row>
    <row r="243" spans="1:17" x14ac:dyDescent="0.25">
      <c r="A243" s="27"/>
      <c r="B243" s="29"/>
      <c r="C243" s="29"/>
      <c r="D243" s="29"/>
      <c r="E243" s="31"/>
      <c r="F243" s="30"/>
      <c r="G243" s="30"/>
      <c r="H243" s="38"/>
      <c r="I243" s="29"/>
      <c r="J243" s="28"/>
      <c r="K243" s="31"/>
      <c r="L243" s="31"/>
      <c r="M243" s="37">
        <f t="shared" si="0"/>
      </c>
      <c r="N243" s="37">
        <f t="shared" si="1"/>
      </c>
      <c r="O243" s="32">
        <f t="shared" si="2"/>
      </c>
      <c r="P243" s="32">
        <f t="shared" si="3"/>
      </c>
      <c r="Q243" s="32">
        <f t="shared" si="4"/>
      </c>
    </row>
    <row r="244" spans="1:17" x14ac:dyDescent="0.25">
      <c r="A244" s="27"/>
      <c r="B244" s="29"/>
      <c r="C244" s="29"/>
      <c r="D244" s="29"/>
      <c r="E244" s="31"/>
      <c r="F244" s="30"/>
      <c r="G244" s="30"/>
      <c r="H244" s="38"/>
      <c r="I244" s="29"/>
      <c r="J244" s="28"/>
      <c r="K244" s="31"/>
      <c r="L244" s="31"/>
      <c r="M244" s="37">
        <f t="shared" si="0"/>
      </c>
      <c r="N244" s="37">
        <f t="shared" si="1"/>
      </c>
      <c r="O244" s="32">
        <f t="shared" si="2"/>
      </c>
      <c r="P244" s="32">
        <f t="shared" si="3"/>
      </c>
      <c r="Q244" s="32">
        <f t="shared" si="4"/>
      </c>
    </row>
    <row r="245" spans="1:17" x14ac:dyDescent="0.25">
      <c r="A245" s="27"/>
      <c r="B245" s="29"/>
      <c r="C245" s="29"/>
      <c r="D245" s="29"/>
      <c r="E245" s="31"/>
      <c r="F245" s="30"/>
      <c r="G245" s="30"/>
      <c r="H245" s="38"/>
      <c r="I245" s="29"/>
      <c r="J245" s="28"/>
      <c r="K245" s="31"/>
      <c r="L245" s="31"/>
      <c r="M245" s="37">
        <f t="shared" si="0"/>
      </c>
      <c r="N245" s="37">
        <f t="shared" si="1"/>
      </c>
      <c r="O245" s="32">
        <f t="shared" si="2"/>
      </c>
      <c r="P245" s="32">
        <f t="shared" si="3"/>
      </c>
      <c r="Q245" s="32">
        <f t="shared" si="4"/>
      </c>
    </row>
    <row r="246" spans="1:17" x14ac:dyDescent="0.25">
      <c r="A246" s="27"/>
      <c r="B246" s="29"/>
      <c r="C246" s="29"/>
      <c r="D246" s="29"/>
      <c r="E246" s="31"/>
      <c r="F246" s="30"/>
      <c r="G246" s="30"/>
      <c r="H246" s="38"/>
      <c r="I246" s="29"/>
      <c r="J246" s="28"/>
      <c r="K246" s="31"/>
      <c r="L246" s="31"/>
      <c r="M246" s="37">
        <f t="shared" si="0"/>
      </c>
      <c r="N246" s="37">
        <f t="shared" si="1"/>
      </c>
      <c r="O246" s="32">
        <f t="shared" si="2"/>
      </c>
      <c r="P246" s="32">
        <f t="shared" si="3"/>
      </c>
      <c r="Q246" s="32">
        <f t="shared" si="4"/>
      </c>
    </row>
    <row r="247" spans="1:17" x14ac:dyDescent="0.25">
      <c r="A247" s="27"/>
      <c r="B247" s="29"/>
      <c r="C247" s="29"/>
      <c r="D247" s="29"/>
      <c r="E247" s="31"/>
      <c r="F247" s="30"/>
      <c r="G247" s="30"/>
      <c r="H247" s="38"/>
      <c r="I247" s="29"/>
      <c r="J247" s="28"/>
      <c r="K247" s="31"/>
      <c r="L247" s="31"/>
      <c r="M247" s="37">
        <f t="shared" si="0"/>
      </c>
      <c r="N247" s="37">
        <f t="shared" si="1"/>
      </c>
      <c r="O247" s="32">
        <f t="shared" si="2"/>
      </c>
      <c r="P247" s="32">
        <f t="shared" si="3"/>
      </c>
      <c r="Q247" s="32">
        <f t="shared" si="4"/>
      </c>
    </row>
    <row r="248" spans="1:17" x14ac:dyDescent="0.25">
      <c r="A248" s="27"/>
      <c r="B248" s="29"/>
      <c r="C248" s="29"/>
      <c r="D248" s="29"/>
      <c r="E248" s="31"/>
      <c r="F248" s="30"/>
      <c r="G248" s="30"/>
      <c r="H248" s="38"/>
      <c r="I248" s="29"/>
      <c r="J248" s="28"/>
      <c r="K248" s="31"/>
      <c r="L248" s="31"/>
      <c r="M248" s="37">
        <f t="shared" si="0"/>
      </c>
      <c r="N248" s="37">
        <f t="shared" si="1"/>
      </c>
      <c r="O248" s="32">
        <f t="shared" si="2"/>
      </c>
      <c r="P248" s="32">
        <f t="shared" si="3"/>
      </c>
      <c r="Q248" s="32">
        <f t="shared" si="4"/>
      </c>
    </row>
    <row r="249" spans="1:17" x14ac:dyDescent="0.25">
      <c r="A249" s="27"/>
      <c r="B249" s="29"/>
      <c r="C249" s="29"/>
      <c r="D249" s="29"/>
      <c r="E249" s="31"/>
      <c r="F249" s="30"/>
      <c r="G249" s="30"/>
      <c r="H249" s="38"/>
      <c r="I249" s="29"/>
      <c r="J249" s="28"/>
      <c r="K249" s="31"/>
      <c r="L249" s="31"/>
      <c r="M249" s="37">
        <f t="shared" si="0"/>
      </c>
      <c r="N249" s="37">
        <f t="shared" si="1"/>
      </c>
      <c r="O249" s="32">
        <f t="shared" si="2"/>
      </c>
      <c r="P249" s="32">
        <f t="shared" si="3"/>
      </c>
      <c r="Q249" s="32">
        <f t="shared" si="4"/>
      </c>
    </row>
    <row r="250" spans="1:17" x14ac:dyDescent="0.25">
      <c r="A250" s="27"/>
      <c r="B250" s="29"/>
      <c r="C250" s="29"/>
      <c r="D250" s="29"/>
      <c r="E250" s="31"/>
      <c r="F250" s="30"/>
      <c r="G250" s="30"/>
      <c r="H250" s="38"/>
      <c r="I250" s="29"/>
      <c r="J250" s="28"/>
      <c r="K250" s="31"/>
      <c r="L250" s="31"/>
      <c r="M250" s="37">
        <f t="shared" si="0"/>
      </c>
      <c r="N250" s="37">
        <f t="shared" si="1"/>
      </c>
      <c r="O250" s="32">
        <f t="shared" si="2"/>
      </c>
      <c r="P250" s="32">
        <f t="shared" si="3"/>
      </c>
      <c r="Q250" s="32">
        <f t="shared" si="4"/>
      </c>
    </row>
    <row r="251" spans="1:17" x14ac:dyDescent="0.25">
      <c r="A251" s="27"/>
      <c r="B251" s="29"/>
      <c r="C251" s="29"/>
      <c r="D251" s="29"/>
      <c r="E251" s="31"/>
      <c r="F251" s="30"/>
      <c r="G251" s="30"/>
      <c r="H251" s="38"/>
      <c r="I251" s="29"/>
      <c r="J251" s="28"/>
      <c r="K251" s="31"/>
      <c r="L251" s="31"/>
      <c r="M251" s="37">
        <f t="shared" si="0"/>
      </c>
      <c r="N251" s="37">
        <f t="shared" si="1"/>
      </c>
      <c r="O251" s="32">
        <f t="shared" si="2"/>
      </c>
      <c r="P251" s="32">
        <f t="shared" si="3"/>
      </c>
      <c r="Q251" s="32">
        <f t="shared" si="4"/>
      </c>
    </row>
    <row r="252" spans="1:17" x14ac:dyDescent="0.25">
      <c r="A252" s="27"/>
      <c r="B252" s="29"/>
      <c r="C252" s="29"/>
      <c r="D252" s="29"/>
      <c r="E252" s="31"/>
      <c r="F252" s="30"/>
      <c r="G252" s="30"/>
      <c r="H252" s="38"/>
      <c r="I252" s="29"/>
      <c r="J252" s="28"/>
      <c r="K252" s="31"/>
      <c r="L252" s="31"/>
      <c r="M252" s="37">
        <f t="shared" si="0"/>
      </c>
      <c r="N252" s="37">
        <f t="shared" si="1"/>
      </c>
      <c r="O252" s="32">
        <f t="shared" si="2"/>
      </c>
      <c r="P252" s="32">
        <f t="shared" si="3"/>
      </c>
      <c r="Q252" s="32">
        <f t="shared" si="4"/>
      </c>
    </row>
    <row r="253" spans="1:17" x14ac:dyDescent="0.25">
      <c r="A253" s="27"/>
      <c r="B253" s="29"/>
      <c r="C253" s="29"/>
      <c r="D253" s="29"/>
      <c r="E253" s="31"/>
      <c r="F253" s="30"/>
      <c r="G253" s="30"/>
      <c r="H253" s="38"/>
      <c r="I253" s="29"/>
      <c r="J253" s="28"/>
      <c r="K253" s="31"/>
      <c r="L253" s="31"/>
      <c r="M253" s="37">
        <f t="shared" si="0"/>
      </c>
      <c r="N253" s="37">
        <f t="shared" si="1"/>
      </c>
      <c r="O253" s="32">
        <f t="shared" si="2"/>
      </c>
      <c r="P253" s="32">
        <f t="shared" si="3"/>
      </c>
      <c r="Q253" s="32">
        <f t="shared" si="4"/>
      </c>
    </row>
    <row r="254" spans="1:17" x14ac:dyDescent="0.25">
      <c r="A254" s="27"/>
      <c r="B254" s="29"/>
      <c r="C254" s="29"/>
      <c r="D254" s="29"/>
      <c r="E254" s="31"/>
      <c r="F254" s="30"/>
      <c r="G254" s="30"/>
      <c r="H254" s="38"/>
      <c r="I254" s="29"/>
      <c r="J254" s="28"/>
      <c r="K254" s="31"/>
      <c r="L254" s="31"/>
      <c r="M254" s="37">
        <f t="shared" si="0"/>
      </c>
      <c r="N254" s="37">
        <f t="shared" si="1"/>
      </c>
      <c r="O254" s="32">
        <f t="shared" si="2"/>
      </c>
      <c r="P254" s="32">
        <f t="shared" si="3"/>
      </c>
      <c r="Q254" s="32">
        <f t="shared" si="4"/>
      </c>
    </row>
    <row r="255" spans="1:17" x14ac:dyDescent="0.25">
      <c r="A255" s="27"/>
      <c r="B255" s="29"/>
      <c r="C255" s="29"/>
      <c r="D255" s="29"/>
      <c r="E255" s="31"/>
      <c r="F255" s="30"/>
      <c r="G255" s="30"/>
      <c r="H255" s="38"/>
      <c r="I255" s="29"/>
      <c r="J255" s="28"/>
      <c r="K255" s="31"/>
      <c r="L255" s="31"/>
      <c r="M255" s="37">
        <f t="shared" si="0"/>
      </c>
      <c r="N255" s="37">
        <f t="shared" si="1"/>
      </c>
      <c r="O255" s="32">
        <f t="shared" si="2"/>
      </c>
      <c r="P255" s="32">
        <f t="shared" si="3"/>
      </c>
      <c r="Q255" s="32">
        <f t="shared" si="4"/>
      </c>
    </row>
    <row r="256" spans="1:17" x14ac:dyDescent="0.25">
      <c r="A256" s="27"/>
      <c r="B256" s="29"/>
      <c r="C256" s="29"/>
      <c r="D256" s="29"/>
      <c r="E256" s="31"/>
      <c r="F256" s="30"/>
      <c r="G256" s="30"/>
      <c r="H256" s="38"/>
      <c r="I256" s="29"/>
      <c r="J256" s="28"/>
      <c r="K256" s="31"/>
      <c r="L256" s="31"/>
      <c r="M256" s="37">
        <f t="shared" si="0"/>
      </c>
      <c r="N256" s="37">
        <f t="shared" si="1"/>
      </c>
      <c r="O256" s="32">
        <f t="shared" si="2"/>
      </c>
      <c r="P256" s="32">
        <f t="shared" si="3"/>
      </c>
      <c r="Q256" s="32">
        <f t="shared" si="4"/>
      </c>
    </row>
    <row r="257" spans="1:17" x14ac:dyDescent="0.25">
      <c r="A257" s="27"/>
      <c r="B257" s="29"/>
      <c r="C257" s="29"/>
      <c r="D257" s="29"/>
      <c r="E257" s="31"/>
      <c r="F257" s="30"/>
      <c r="G257" s="30"/>
      <c r="H257" s="38"/>
      <c r="I257" s="29"/>
      <c r="J257" s="28"/>
      <c r="K257" s="31"/>
      <c r="L257" s="31"/>
      <c r="M257" s="37">
        <f t="shared" si="0"/>
      </c>
      <c r="N257" s="37">
        <f t="shared" si="1"/>
      </c>
      <c r="O257" s="32">
        <f t="shared" si="2"/>
      </c>
      <c r="P257" s="32">
        <f t="shared" si="3"/>
      </c>
      <c r="Q257" s="32">
        <f t="shared" si="4"/>
      </c>
    </row>
    <row r="258" spans="1:17" x14ac:dyDescent="0.25">
      <c r="A258" s="27"/>
      <c r="B258" s="29"/>
      <c r="C258" s="29"/>
      <c r="D258" s="29"/>
      <c r="E258" s="31"/>
      <c r="F258" s="30"/>
      <c r="G258" s="30"/>
      <c r="H258" s="38"/>
      <c r="I258" s="29"/>
      <c r="J258" s="28"/>
      <c r="K258" s="31"/>
      <c r="L258" s="31"/>
      <c r="M258" s="37">
        <f t="shared" si="0"/>
      </c>
      <c r="N258" s="37">
        <f t="shared" si="1"/>
      </c>
      <c r="O258" s="32">
        <f t="shared" si="2"/>
      </c>
      <c r="P258" s="32">
        <f t="shared" si="3"/>
      </c>
      <c r="Q258" s="32">
        <f t="shared" si="4"/>
      </c>
    </row>
    <row r="259" spans="1:17" x14ac:dyDescent="0.25">
      <c r="A259" s="27"/>
      <c r="B259" s="29"/>
      <c r="C259" s="29"/>
      <c r="D259" s="29"/>
      <c r="E259" s="31"/>
      <c r="F259" s="30"/>
      <c r="G259" s="30"/>
      <c r="H259" s="38"/>
      <c r="I259" s="29"/>
      <c r="J259" s="28"/>
      <c r="K259" s="31"/>
      <c r="L259" s="31"/>
      <c r="M259" s="37">
        <f t="shared" si="0"/>
      </c>
      <c r="N259" s="37">
        <f t="shared" si="1"/>
      </c>
      <c r="O259" s="32">
        <f t="shared" si="2"/>
      </c>
      <c r="P259" s="32">
        <f t="shared" si="3"/>
      </c>
      <c r="Q259" s="32">
        <f t="shared" si="4"/>
      </c>
    </row>
    <row r="260" spans="1:17" x14ac:dyDescent="0.25">
      <c r="A260" s="27"/>
      <c r="B260" s="29"/>
      <c r="C260" s="29"/>
      <c r="D260" s="29"/>
      <c r="E260" s="31"/>
      <c r="F260" s="30"/>
      <c r="G260" s="30"/>
      <c r="H260" s="38"/>
      <c r="I260" s="29"/>
      <c r="J260" s="28"/>
      <c r="K260" s="31"/>
      <c r="L260" s="31"/>
      <c r="M260" s="37">
        <f t="shared" si="0"/>
      </c>
      <c r="N260" s="37">
        <f t="shared" si="1"/>
      </c>
      <c r="O260" s="32">
        <f t="shared" si="2"/>
      </c>
      <c r="P260" s="32">
        <f t="shared" si="3"/>
      </c>
      <c r="Q260" s="32">
        <f t="shared" si="4"/>
      </c>
    </row>
    <row r="261" spans="1:17" x14ac:dyDescent="0.25">
      <c r="A261" s="27"/>
      <c r="B261" s="29"/>
      <c r="C261" s="29"/>
      <c r="D261" s="29"/>
      <c r="E261" s="31"/>
      <c r="F261" s="30"/>
      <c r="G261" s="30"/>
      <c r="H261" s="38"/>
      <c r="I261" s="29"/>
      <c r="J261" s="28"/>
      <c r="K261" s="31"/>
      <c r="L261" s="31"/>
      <c r="M261" s="37">
        <f t="shared" si="0"/>
      </c>
      <c r="N261" s="37">
        <f t="shared" si="1"/>
      </c>
      <c r="O261" s="32">
        <f t="shared" si="2"/>
      </c>
      <c r="P261" s="32">
        <f t="shared" si="3"/>
      </c>
      <c r="Q261" s="32">
        <f t="shared" si="4"/>
      </c>
    </row>
    <row r="262" spans="1:17" x14ac:dyDescent="0.25">
      <c r="A262" s="27"/>
      <c r="B262" s="29"/>
      <c r="C262" s="29"/>
      <c r="D262" s="29"/>
      <c r="E262" s="31"/>
      <c r="F262" s="30"/>
      <c r="G262" s="30"/>
      <c r="H262" s="38"/>
      <c r="I262" s="29"/>
      <c r="J262" s="28"/>
      <c r="K262" s="31"/>
      <c r="L262" s="31"/>
      <c r="M262" s="37">
        <f t="shared" si="0"/>
      </c>
      <c r="N262" s="37">
        <f t="shared" si="1"/>
      </c>
      <c r="O262" s="32">
        <f t="shared" si="2"/>
      </c>
      <c r="P262" s="32">
        <f t="shared" si="3"/>
      </c>
      <c r="Q262" s="32">
        <f t="shared" si="4"/>
      </c>
    </row>
    <row r="263" spans="1:17" x14ac:dyDescent="0.25">
      <c r="A263" s="27"/>
      <c r="B263" s="29"/>
      <c r="C263" s="29"/>
      <c r="D263" s="29"/>
      <c r="E263" s="31"/>
      <c r="F263" s="30"/>
      <c r="G263" s="30"/>
      <c r="H263" s="38"/>
      <c r="I263" s="29"/>
      <c r="J263" s="28"/>
      <c r="K263" s="31"/>
      <c r="L263" s="31"/>
      <c r="M263" s="37">
        <f t="shared" si="0"/>
      </c>
      <c r="N263" s="37">
        <f t="shared" si="1"/>
      </c>
      <c r="O263" s="32">
        <f t="shared" si="2"/>
      </c>
      <c r="P263" s="32">
        <f t="shared" si="3"/>
      </c>
      <c r="Q263" s="32">
        <f t="shared" si="4"/>
      </c>
    </row>
    <row r="264" spans="1:17" x14ac:dyDescent="0.25">
      <c r="A264" s="27"/>
      <c r="B264" s="29"/>
      <c r="C264" s="29"/>
      <c r="D264" s="29"/>
      <c r="E264" s="31"/>
      <c r="F264" s="30"/>
      <c r="G264" s="30"/>
      <c r="H264" s="38"/>
      <c r="I264" s="29"/>
      <c r="J264" s="28"/>
      <c r="K264" s="31"/>
      <c r="L264" s="31"/>
      <c r="M264" s="37">
        <f t="shared" si="0"/>
      </c>
      <c r="N264" s="37">
        <f t="shared" si="1"/>
      </c>
      <c r="O264" s="32">
        <f t="shared" si="2"/>
      </c>
      <c r="P264" s="32">
        <f t="shared" si="3"/>
      </c>
      <c r="Q264" s="32">
        <f t="shared" si="4"/>
      </c>
    </row>
    <row r="265" spans="1:17" x14ac:dyDescent="0.25">
      <c r="A265" s="27"/>
      <c r="B265" s="29"/>
      <c r="C265" s="29"/>
      <c r="D265" s="29"/>
      <c r="E265" s="31"/>
      <c r="F265" s="30"/>
      <c r="G265" s="30"/>
      <c r="H265" s="38"/>
      <c r="I265" s="29"/>
      <c r="J265" s="28"/>
      <c r="K265" s="31"/>
      <c r="L265" s="31"/>
      <c r="M265" s="37">
        <f t="shared" si="0"/>
      </c>
      <c r="N265" s="37">
        <f t="shared" si="1"/>
      </c>
      <c r="O265" s="32">
        <f t="shared" si="2"/>
      </c>
      <c r="P265" s="32">
        <f t="shared" si="3"/>
      </c>
      <c r="Q265" s="32">
        <f t="shared" si="4"/>
      </c>
    </row>
    <row r="266" spans="1:17" x14ac:dyDescent="0.25">
      <c r="A266" s="27"/>
      <c r="B266" s="29"/>
      <c r="C266" s="29"/>
      <c r="D266" s="29"/>
      <c r="E266" s="31"/>
      <c r="F266" s="30"/>
      <c r="G266" s="30"/>
      <c r="H266" s="38"/>
      <c r="I266" s="29"/>
      <c r="J266" s="28"/>
      <c r="K266" s="31"/>
      <c r="L266" s="31"/>
      <c r="M266" s="37">
        <f t="shared" si="0"/>
      </c>
      <c r="N266" s="37">
        <f t="shared" si="1"/>
      </c>
      <c r="O266" s="32">
        <f t="shared" si="2"/>
      </c>
      <c r="P266" s="32">
        <f t="shared" si="3"/>
      </c>
      <c r="Q266" s="32">
        <f t="shared" si="4"/>
      </c>
    </row>
    <row r="267" spans="1:17" x14ac:dyDescent="0.25">
      <c r="A267" s="27"/>
      <c r="B267" s="29"/>
      <c r="C267" s="29"/>
      <c r="D267" s="29"/>
      <c r="E267" s="31"/>
      <c r="F267" s="30"/>
      <c r="G267" s="30"/>
      <c r="H267" s="38"/>
      <c r="I267" s="29"/>
      <c r="J267" s="28"/>
      <c r="K267" s="31"/>
      <c r="L267" s="31"/>
      <c r="M267" s="37">
        <f t="shared" si="0"/>
      </c>
      <c r="N267" s="37">
        <f t="shared" si="1"/>
      </c>
      <c r="O267" s="32">
        <f t="shared" si="2"/>
      </c>
      <c r="P267" s="32">
        <f t="shared" si="3"/>
      </c>
      <c r="Q267" s="32">
        <f t="shared" si="4"/>
      </c>
    </row>
    <row r="268" spans="1:17" x14ac:dyDescent="0.25">
      <c r="A268" s="27"/>
      <c r="B268" s="29"/>
      <c r="C268" s="29"/>
      <c r="D268" s="29"/>
      <c r="E268" s="31"/>
      <c r="F268" s="30"/>
      <c r="G268" s="30"/>
      <c r="H268" s="38"/>
      <c r="I268" s="29"/>
      <c r="J268" s="28"/>
      <c r="K268" s="31"/>
      <c r="L268" s="31"/>
      <c r="M268" s="37">
        <f t="shared" si="0"/>
      </c>
      <c r="N268" s="37">
        <f t="shared" si="1"/>
      </c>
      <c r="O268" s="32">
        <f t="shared" si="2"/>
      </c>
      <c r="P268" s="32">
        <f t="shared" si="3"/>
      </c>
      <c r="Q268" s="32">
        <f t="shared" si="4"/>
      </c>
    </row>
    <row r="269" spans="1:17" x14ac:dyDescent="0.25">
      <c r="A269" s="27"/>
      <c r="B269" s="29"/>
      <c r="C269" s="29"/>
      <c r="D269" s="29"/>
      <c r="E269" s="31"/>
      <c r="F269" s="30"/>
      <c r="G269" s="30"/>
      <c r="H269" s="38"/>
      <c r="I269" s="29"/>
      <c r="J269" s="28"/>
      <c r="K269" s="31"/>
      <c r="L269" s="31"/>
      <c r="M269" s="37">
        <f t="shared" si="0"/>
      </c>
      <c r="N269" s="37">
        <f t="shared" si="1"/>
      </c>
      <c r="O269" s="32">
        <f t="shared" si="2"/>
      </c>
      <c r="P269" s="32">
        <f t="shared" si="3"/>
      </c>
      <c r="Q269" s="32">
        <f t="shared" si="4"/>
      </c>
    </row>
    <row r="270" spans="1:17" x14ac:dyDescent="0.25">
      <c r="A270" s="27"/>
      <c r="B270" s="29"/>
      <c r="C270" s="29"/>
      <c r="D270" s="29"/>
      <c r="E270" s="31"/>
      <c r="F270" s="30"/>
      <c r="G270" s="30"/>
      <c r="H270" s="38"/>
      <c r="I270" s="29"/>
      <c r="J270" s="28"/>
      <c r="K270" s="31"/>
      <c r="L270" s="31"/>
      <c r="M270" s="37">
        <f t="shared" si="0"/>
      </c>
      <c r="N270" s="37">
        <f t="shared" si="1"/>
      </c>
      <c r="O270" s="32">
        <f t="shared" si="2"/>
      </c>
      <c r="P270" s="32">
        <f t="shared" si="3"/>
      </c>
      <c r="Q270" s="32">
        <f t="shared" si="4"/>
      </c>
    </row>
    <row r="271" spans="1:17" x14ac:dyDescent="0.25">
      <c r="A271" s="27"/>
      <c r="B271" s="29"/>
      <c r="C271" s="29"/>
      <c r="D271" s="29"/>
      <c r="E271" s="31"/>
      <c r="F271" s="30"/>
      <c r="G271" s="30"/>
      <c r="H271" s="38"/>
      <c r="I271" s="29"/>
      <c r="J271" s="28"/>
      <c r="K271" s="31"/>
      <c r="L271" s="31"/>
      <c r="M271" s="37">
        <f t="shared" si="0"/>
      </c>
      <c r="N271" s="37">
        <f t="shared" si="1"/>
      </c>
      <c r="O271" s="32">
        <f t="shared" si="2"/>
      </c>
      <c r="P271" s="32">
        <f t="shared" si="3"/>
      </c>
      <c r="Q271" s="32">
        <f t="shared" si="4"/>
      </c>
    </row>
    <row r="272" spans="1:17" x14ac:dyDescent="0.25">
      <c r="A272" s="27"/>
      <c r="B272" s="29"/>
      <c r="C272" s="29"/>
      <c r="D272" s="29"/>
      <c r="E272" s="31"/>
      <c r="F272" s="30"/>
      <c r="G272" s="30"/>
      <c r="H272" s="38"/>
      <c r="I272" s="29"/>
      <c r="J272" s="28"/>
      <c r="K272" s="31"/>
      <c r="L272" s="31"/>
      <c r="M272" s="37">
        <f t="shared" si="0"/>
      </c>
      <c r="N272" s="37">
        <f t="shared" si="1"/>
      </c>
      <c r="O272" s="32">
        <f t="shared" si="2"/>
      </c>
      <c r="P272" s="32">
        <f t="shared" si="3"/>
      </c>
      <c r="Q272" s="32">
        <f t="shared" si="4"/>
      </c>
    </row>
    <row r="273" spans="1:17" x14ac:dyDescent="0.25">
      <c r="A273" s="27"/>
      <c r="B273" s="29"/>
      <c r="C273" s="29"/>
      <c r="D273" s="29"/>
      <c r="E273" s="31"/>
      <c r="F273" s="30"/>
      <c r="G273" s="30"/>
      <c r="H273" s="38"/>
      <c r="I273" s="29"/>
      <c r="J273" s="28"/>
      <c r="K273" s="31"/>
      <c r="L273" s="31"/>
      <c r="M273" s="37">
        <f t="shared" si="0"/>
      </c>
      <c r="N273" s="37">
        <f t="shared" si="1"/>
      </c>
      <c r="O273" s="32">
        <f t="shared" si="2"/>
      </c>
      <c r="P273" s="32">
        <f t="shared" si="3"/>
      </c>
      <c r="Q273" s="32">
        <f t="shared" si="4"/>
      </c>
    </row>
    <row r="274" spans="1:17" x14ac:dyDescent="0.25">
      <c r="A274" s="27"/>
      <c r="B274" s="29"/>
      <c r="C274" s="29"/>
      <c r="D274" s="29"/>
      <c r="E274" s="31"/>
      <c r="F274" s="30"/>
      <c r="G274" s="30"/>
      <c r="H274" s="38"/>
      <c r="I274" s="29"/>
      <c r="J274" s="28"/>
      <c r="K274" s="31"/>
      <c r="L274" s="31"/>
      <c r="M274" s="37">
        <f t="shared" si="0"/>
      </c>
      <c r="N274" s="37">
        <f t="shared" si="1"/>
      </c>
      <c r="O274" s="32">
        <f t="shared" si="2"/>
      </c>
      <c r="P274" s="32">
        <f t="shared" si="3"/>
      </c>
      <c r="Q274" s="32">
        <f t="shared" si="4"/>
      </c>
    </row>
    <row r="275" spans="1:17" x14ac:dyDescent="0.25">
      <c r="A275" s="27"/>
      <c r="B275" s="29"/>
      <c r="C275" s="29"/>
      <c r="D275" s="29"/>
      <c r="E275" s="31"/>
      <c r="F275" s="30"/>
      <c r="G275" s="30"/>
      <c r="H275" s="38"/>
      <c r="I275" s="29"/>
      <c r="J275" s="28"/>
      <c r="K275" s="31"/>
      <c r="L275" s="31"/>
      <c r="M275" s="37">
        <f t="shared" si="0"/>
      </c>
      <c r="N275" s="37">
        <f t="shared" si="1"/>
      </c>
      <c r="O275" s="32">
        <f t="shared" si="2"/>
      </c>
      <c r="P275" s="32">
        <f t="shared" si="3"/>
      </c>
      <c r="Q275" s="32">
        <f t="shared" si="4"/>
      </c>
    </row>
    <row r="276" spans="1:17" x14ac:dyDescent="0.25">
      <c r="A276" s="27"/>
      <c r="B276" s="29"/>
      <c r="C276" s="29"/>
      <c r="D276" s="29"/>
      <c r="E276" s="31"/>
      <c r="F276" s="30"/>
      <c r="G276" s="30"/>
      <c r="H276" s="38"/>
      <c r="I276" s="29"/>
      <c r="J276" s="28"/>
      <c r="K276" s="31"/>
      <c r="L276" s="31"/>
      <c r="M276" s="37">
        <f t="shared" si="0"/>
      </c>
      <c r="N276" s="37">
        <f t="shared" si="1"/>
      </c>
      <c r="O276" s="32">
        <f t="shared" si="2"/>
      </c>
      <c r="P276" s="32">
        <f t="shared" si="3"/>
      </c>
      <c r="Q276" s="32">
        <f t="shared" si="4"/>
      </c>
    </row>
    <row r="277" spans="1:17" x14ac:dyDescent="0.25">
      <c r="A277" s="27"/>
      <c r="B277" s="29"/>
      <c r="C277" s="29"/>
      <c r="D277" s="29"/>
      <c r="E277" s="31"/>
      <c r="F277" s="30"/>
      <c r="G277" s="30"/>
      <c r="H277" s="38"/>
      <c r="I277" s="29"/>
      <c r="J277" s="28"/>
      <c r="K277" s="31"/>
      <c r="L277" s="31"/>
      <c r="M277" s="37">
        <f t="shared" si="0"/>
      </c>
      <c r="N277" s="37">
        <f t="shared" si="1"/>
      </c>
      <c r="O277" s="32">
        <f t="shared" si="2"/>
      </c>
      <c r="P277" s="32">
        <f t="shared" si="3"/>
      </c>
      <c r="Q277" s="32">
        <f t="shared" si="4"/>
      </c>
    </row>
    <row r="278" spans="1:17" x14ac:dyDescent="0.25">
      <c r="A278" s="27"/>
      <c r="B278" s="29"/>
      <c r="C278" s="29"/>
      <c r="D278" s="29"/>
      <c r="E278" s="31"/>
      <c r="F278" s="30"/>
      <c r="G278" s="30"/>
      <c r="H278" s="38"/>
      <c r="I278" s="29"/>
      <c r="J278" s="28"/>
      <c r="K278" s="31"/>
      <c r="L278" s="31"/>
      <c r="M278" s="37">
        <f t="shared" si="0"/>
      </c>
      <c r="N278" s="37">
        <f t="shared" si="1"/>
      </c>
      <c r="O278" s="32">
        <f t="shared" si="2"/>
      </c>
      <c r="P278" s="32">
        <f t="shared" si="3"/>
      </c>
      <c r="Q278" s="32">
        <f t="shared" si="4"/>
      </c>
    </row>
    <row r="279" spans="1:17" x14ac:dyDescent="0.25">
      <c r="A279" s="27"/>
      <c r="B279" s="29"/>
      <c r="C279" s="29"/>
      <c r="D279" s="29"/>
      <c r="E279" s="31"/>
      <c r="F279" s="30"/>
      <c r="G279" s="30"/>
      <c r="H279" s="38"/>
      <c r="I279" s="29"/>
      <c r="J279" s="28"/>
      <c r="K279" s="31"/>
      <c r="L279" s="31"/>
      <c r="M279" s="37">
        <f t="shared" si="0"/>
      </c>
      <c r="N279" s="37">
        <f t="shared" si="1"/>
      </c>
      <c r="O279" s="32">
        <f t="shared" si="2"/>
      </c>
      <c r="P279" s="32">
        <f t="shared" si="3"/>
      </c>
      <c r="Q279" s="32">
        <f t="shared" si="4"/>
      </c>
    </row>
    <row r="280" spans="1:17" x14ac:dyDescent="0.25">
      <c r="A280" s="27"/>
      <c r="B280" s="29"/>
      <c r="C280" s="29"/>
      <c r="D280" s="29"/>
      <c r="E280" s="31"/>
      <c r="F280" s="30"/>
      <c r="G280" s="30"/>
      <c r="H280" s="38"/>
      <c r="I280" s="29"/>
      <c r="J280" s="28"/>
      <c r="K280" s="31"/>
      <c r="L280" s="31"/>
      <c r="M280" s="37">
        <f t="shared" si="0"/>
      </c>
      <c r="N280" s="37">
        <f t="shared" si="1"/>
      </c>
      <c r="O280" s="32">
        <f t="shared" si="2"/>
      </c>
      <c r="P280" s="32">
        <f t="shared" si="3"/>
      </c>
      <c r="Q280" s="32">
        <f t="shared" si="4"/>
      </c>
    </row>
    <row r="281" spans="1:17" x14ac:dyDescent="0.25">
      <c r="A281" s="27"/>
      <c r="B281" s="29"/>
      <c r="C281" s="29"/>
      <c r="D281" s="29"/>
      <c r="E281" s="31"/>
      <c r="F281" s="30"/>
      <c r="G281" s="30"/>
      <c r="H281" s="38"/>
      <c r="I281" s="29"/>
      <c r="J281" s="28"/>
      <c r="K281" s="31"/>
      <c r="L281" s="31"/>
      <c r="M281" s="37">
        <f t="shared" si="0"/>
      </c>
      <c r="N281" s="37">
        <f t="shared" si="1"/>
      </c>
      <c r="O281" s="32">
        <f t="shared" si="2"/>
      </c>
      <c r="P281" s="32">
        <f t="shared" si="3"/>
      </c>
      <c r="Q281" s="32">
        <f t="shared" si="4"/>
      </c>
    </row>
    <row r="282" spans="1:17" x14ac:dyDescent="0.25">
      <c r="A282" s="27"/>
      <c r="B282" s="29"/>
      <c r="C282" s="29"/>
      <c r="D282" s="29"/>
      <c r="E282" s="31"/>
      <c r="F282" s="30"/>
      <c r="G282" s="30"/>
      <c r="H282" s="38"/>
      <c r="I282" s="29"/>
      <c r="J282" s="28"/>
      <c r="K282" s="31"/>
      <c r="L282" s="31"/>
      <c r="M282" s="37">
        <f t="shared" si="0"/>
      </c>
      <c r="N282" s="37">
        <f t="shared" si="1"/>
      </c>
      <c r="O282" s="32">
        <f t="shared" si="2"/>
      </c>
      <c r="P282" s="32">
        <f t="shared" si="3"/>
      </c>
      <c r="Q282" s="32">
        <f t="shared" si="4"/>
      </c>
    </row>
    <row r="283" spans="1:17" x14ac:dyDescent="0.25">
      <c r="A283" s="27"/>
      <c r="B283" s="29"/>
      <c r="C283" s="29"/>
      <c r="D283" s="29"/>
      <c r="E283" s="31"/>
      <c r="F283" s="30"/>
      <c r="G283" s="30"/>
      <c r="H283" s="38"/>
      <c r="I283" s="29"/>
      <c r="J283" s="28"/>
      <c r="K283" s="31"/>
      <c r="L283" s="31"/>
      <c r="M283" s="37">
        <f t="shared" si="0"/>
      </c>
      <c r="N283" s="37">
        <f t="shared" si="1"/>
      </c>
      <c r="O283" s="32">
        <f t="shared" si="2"/>
      </c>
      <c r="P283" s="32">
        <f t="shared" si="3"/>
      </c>
      <c r="Q283" s="32">
        <f t="shared" si="4"/>
      </c>
    </row>
    <row r="284" spans="1:17" x14ac:dyDescent="0.25">
      <c r="A284" s="27"/>
      <c r="B284" s="29"/>
      <c r="C284" s="29"/>
      <c r="D284" s="29"/>
      <c r="E284" s="31"/>
      <c r="F284" s="30"/>
      <c r="G284" s="30"/>
      <c r="H284" s="38"/>
      <c r="I284" s="29"/>
      <c r="J284" s="28"/>
      <c r="K284" s="31"/>
      <c r="L284" s="31"/>
      <c r="M284" s="37">
        <f t="shared" si="0"/>
      </c>
      <c r="N284" s="37">
        <f t="shared" si="1"/>
      </c>
      <c r="O284" s="32">
        <f t="shared" si="2"/>
      </c>
      <c r="P284" s="32">
        <f t="shared" si="3"/>
      </c>
      <c r="Q284" s="32">
        <f t="shared" si="4"/>
      </c>
    </row>
    <row r="285" spans="1:17" x14ac:dyDescent="0.25">
      <c r="A285" s="27"/>
      <c r="B285" s="29"/>
      <c r="C285" s="29"/>
      <c r="D285" s="29"/>
      <c r="E285" s="31"/>
      <c r="F285" s="30"/>
      <c r="G285" s="30"/>
      <c r="H285" s="38"/>
      <c r="I285" s="29"/>
      <c r="J285" s="28"/>
      <c r="K285" s="31"/>
      <c r="L285" s="31"/>
      <c r="M285" s="37">
        <f t="shared" si="0"/>
      </c>
      <c r="N285" s="37">
        <f t="shared" si="1"/>
      </c>
      <c r="O285" s="32">
        <f t="shared" si="2"/>
      </c>
      <c r="P285" s="32">
        <f t="shared" si="3"/>
      </c>
      <c r="Q285" s="32">
        <f t="shared" si="4"/>
      </c>
    </row>
    <row r="286" spans="1:17" x14ac:dyDescent="0.25">
      <c r="A286" s="27"/>
      <c r="B286" s="29"/>
      <c r="C286" s="29"/>
      <c r="D286" s="29"/>
      <c r="E286" s="31"/>
      <c r="F286" s="30"/>
      <c r="G286" s="30"/>
      <c r="H286" s="38"/>
      <c r="I286" s="29"/>
      <c r="J286" s="28"/>
      <c r="K286" s="31"/>
      <c r="L286" s="31"/>
      <c r="M286" s="37">
        <f t="shared" si="0"/>
      </c>
      <c r="N286" s="37">
        <f t="shared" si="1"/>
      </c>
      <c r="O286" s="32">
        <f t="shared" si="2"/>
      </c>
      <c r="P286" s="32">
        <f t="shared" si="3"/>
      </c>
      <c r="Q286" s="32">
        <f t="shared" si="4"/>
      </c>
    </row>
    <row r="287" spans="1:17" x14ac:dyDescent="0.25">
      <c r="A287" s="27"/>
      <c r="B287" s="29"/>
      <c r="C287" s="29"/>
      <c r="D287" s="29"/>
      <c r="E287" s="31"/>
      <c r="F287" s="30"/>
      <c r="G287" s="30"/>
      <c r="H287" s="38"/>
      <c r="I287" s="29"/>
      <c r="J287" s="28"/>
      <c r="K287" s="31"/>
      <c r="L287" s="31"/>
      <c r="M287" s="37">
        <f t="shared" si="0"/>
      </c>
      <c r="N287" s="37">
        <f t="shared" si="1"/>
      </c>
      <c r="O287" s="32">
        <f t="shared" si="2"/>
      </c>
      <c r="P287" s="32">
        <f t="shared" si="3"/>
      </c>
      <c r="Q287" s="32">
        <f t="shared" si="4"/>
      </c>
    </row>
    <row r="288" spans="1:17" x14ac:dyDescent="0.25">
      <c r="A288" s="27"/>
      <c r="B288" s="29"/>
      <c r="C288" s="29"/>
      <c r="D288" s="29"/>
      <c r="E288" s="31"/>
      <c r="F288" s="30"/>
      <c r="G288" s="30"/>
      <c r="H288" s="38"/>
      <c r="I288" s="29"/>
      <c r="J288" s="28"/>
      <c r="K288" s="31"/>
      <c r="L288" s="31"/>
      <c r="M288" s="37">
        <f t="shared" si="0"/>
      </c>
      <c r="N288" s="37">
        <f t="shared" si="1"/>
      </c>
      <c r="O288" s="32">
        <f t="shared" si="2"/>
      </c>
      <c r="P288" s="32">
        <f t="shared" si="3"/>
      </c>
      <c r="Q288" s="32">
        <f t="shared" si="4"/>
      </c>
    </row>
    <row r="289" spans="1:17" x14ac:dyDescent="0.25">
      <c r="A289" s="27"/>
      <c r="B289" s="29"/>
      <c r="C289" s="29"/>
      <c r="D289" s="29"/>
      <c r="E289" s="31"/>
      <c r="F289" s="30"/>
      <c r="G289" s="30"/>
      <c r="H289" s="38"/>
      <c r="I289" s="29"/>
      <c r="J289" s="28"/>
      <c r="K289" s="31"/>
      <c r="L289" s="31"/>
      <c r="M289" s="37">
        <f t="shared" si="0"/>
      </c>
      <c r="N289" s="37">
        <f t="shared" si="1"/>
      </c>
      <c r="O289" s="32">
        <f t="shared" si="2"/>
      </c>
      <c r="P289" s="32">
        <f t="shared" si="3"/>
      </c>
      <c r="Q289" s="32">
        <f t="shared" si="4"/>
      </c>
    </row>
    <row r="290" spans="1:17" x14ac:dyDescent="0.25">
      <c r="A290" s="27"/>
      <c r="B290" s="29"/>
      <c r="C290" s="29"/>
      <c r="D290" s="29"/>
      <c r="E290" s="31"/>
      <c r="F290" s="30"/>
      <c r="G290" s="30"/>
      <c r="H290" s="38"/>
      <c r="I290" s="29"/>
      <c r="J290" s="28"/>
      <c r="K290" s="31"/>
      <c r="L290" s="31"/>
      <c r="M290" s="37">
        <f t="shared" si="0"/>
      </c>
      <c r="N290" s="37">
        <f t="shared" si="1"/>
      </c>
      <c r="O290" s="32">
        <f t="shared" si="2"/>
      </c>
      <c r="P290" s="32">
        <f t="shared" si="3"/>
      </c>
      <c r="Q290" s="32">
        <f t="shared" si="4"/>
      </c>
    </row>
    <row r="291" spans="1:17" x14ac:dyDescent="0.25">
      <c r="A291" s="27"/>
      <c r="B291" s="29"/>
      <c r="C291" s="29"/>
      <c r="D291" s="29"/>
      <c r="E291" s="31"/>
      <c r="F291" s="30"/>
      <c r="G291" s="30"/>
      <c r="H291" s="38"/>
      <c r="I291" s="29"/>
      <c r="J291" s="28"/>
      <c r="K291" s="31"/>
      <c r="L291" s="31"/>
      <c r="M291" s="37">
        <f t="shared" si="0"/>
      </c>
      <c r="N291" s="37">
        <f t="shared" si="1"/>
      </c>
      <c r="O291" s="32">
        <f t="shared" si="2"/>
      </c>
      <c r="P291" s="32">
        <f t="shared" si="3"/>
      </c>
      <c r="Q291" s="32">
        <f t="shared" si="4"/>
      </c>
    </row>
    <row r="292" spans="1:17" x14ac:dyDescent="0.25">
      <c r="A292" s="27"/>
      <c r="B292" s="29"/>
      <c r="C292" s="29"/>
      <c r="D292" s="29"/>
      <c r="E292" s="31"/>
      <c r="F292" s="30"/>
      <c r="G292" s="30"/>
      <c r="H292" s="38"/>
      <c r="I292" s="29"/>
      <c r="J292" s="28"/>
      <c r="K292" s="31"/>
      <c r="L292" s="31"/>
      <c r="M292" s="37">
        <f t="shared" si="0"/>
      </c>
      <c r="N292" s="37">
        <f t="shared" si="1"/>
      </c>
      <c r="O292" s="32">
        <f t="shared" si="2"/>
      </c>
      <c r="P292" s="32">
        <f t="shared" si="3"/>
      </c>
      <c r="Q292" s="32">
        <f t="shared" si="4"/>
      </c>
    </row>
    <row r="293" spans="1:17" x14ac:dyDescent="0.25">
      <c r="A293" s="27"/>
      <c r="B293" s="29"/>
      <c r="C293" s="29"/>
      <c r="D293" s="29"/>
      <c r="E293" s="31"/>
      <c r="F293" s="30"/>
      <c r="G293" s="30"/>
      <c r="H293" s="38"/>
      <c r="I293" s="29"/>
      <c r="J293" s="28"/>
      <c r="K293" s="31"/>
      <c r="L293" s="31"/>
      <c r="M293" s="37">
        <f t="shared" si="0"/>
      </c>
      <c r="N293" s="37">
        <f t="shared" si="1"/>
      </c>
      <c r="O293" s="32">
        <f t="shared" si="2"/>
      </c>
      <c r="P293" s="32">
        <f t="shared" si="3"/>
      </c>
      <c r="Q293" s="32">
        <f t="shared" si="4"/>
      </c>
    </row>
    <row r="294" spans="1:17" x14ac:dyDescent="0.25">
      <c r="A294" s="27"/>
      <c r="B294" s="29"/>
      <c r="C294" s="29"/>
      <c r="D294" s="29"/>
      <c r="E294" s="31"/>
      <c r="F294" s="30"/>
      <c r="G294" s="30"/>
      <c r="H294" s="38"/>
      <c r="I294" s="29"/>
      <c r="J294" s="28"/>
      <c r="K294" s="31"/>
      <c r="L294" s="31"/>
      <c r="M294" s="37">
        <f t="shared" si="0"/>
      </c>
      <c r="N294" s="37">
        <f t="shared" si="1"/>
      </c>
      <c r="O294" s="32">
        <f t="shared" si="2"/>
      </c>
      <c r="P294" s="32">
        <f t="shared" si="3"/>
      </c>
      <c r="Q294" s="32">
        <f t="shared" si="4"/>
      </c>
    </row>
    <row r="295" spans="1:17" x14ac:dyDescent="0.25">
      <c r="A295" s="27"/>
      <c r="B295" s="29"/>
      <c r="C295" s="29"/>
      <c r="D295" s="29"/>
      <c r="E295" s="31"/>
      <c r="F295" s="30"/>
      <c r="G295" s="30"/>
      <c r="H295" s="38"/>
      <c r="I295" s="29"/>
      <c r="J295" s="28"/>
      <c r="K295" s="31"/>
      <c r="L295" s="31"/>
      <c r="M295" s="37">
        <f t="shared" si="0"/>
      </c>
      <c r="N295" s="37">
        <f t="shared" si="1"/>
      </c>
      <c r="O295" s="32">
        <f t="shared" si="2"/>
      </c>
      <c r="P295" s="32">
        <f t="shared" si="3"/>
      </c>
      <c r="Q295" s="32">
        <f t="shared" si="4"/>
      </c>
    </row>
    <row r="296" spans="1:17" x14ac:dyDescent="0.25">
      <c r="A296" s="27"/>
      <c r="B296" s="29"/>
      <c r="C296" s="29"/>
      <c r="D296" s="29"/>
      <c r="E296" s="31"/>
      <c r="F296" s="30"/>
      <c r="G296" s="30"/>
      <c r="H296" s="38"/>
      <c r="I296" s="29"/>
      <c r="J296" s="28"/>
      <c r="K296" s="31"/>
      <c r="L296" s="31"/>
      <c r="M296" s="37">
        <f t="shared" si="0"/>
      </c>
      <c r="N296" s="37">
        <f t="shared" si="1"/>
      </c>
      <c r="O296" s="32">
        <f t="shared" si="2"/>
      </c>
      <c r="P296" s="32">
        <f t="shared" si="3"/>
      </c>
      <c r="Q296" s="32">
        <f t="shared" si="4"/>
      </c>
    </row>
    <row r="297" spans="1:17" x14ac:dyDescent="0.25">
      <c r="A297" s="27"/>
      <c r="B297" s="29"/>
      <c r="C297" s="29"/>
      <c r="D297" s="29"/>
      <c r="E297" s="31"/>
      <c r="F297" s="30"/>
      <c r="G297" s="30"/>
      <c r="H297" s="38"/>
      <c r="I297" s="29"/>
      <c r="J297" s="28"/>
      <c r="K297" s="31"/>
      <c r="L297" s="31"/>
      <c r="M297" s="37">
        <f t="shared" si="0"/>
      </c>
      <c r="N297" s="37">
        <f t="shared" si="1"/>
      </c>
      <c r="O297" s="32">
        <f t="shared" si="2"/>
      </c>
      <c r="P297" s="32">
        <f t="shared" si="3"/>
      </c>
      <c r="Q297" s="32">
        <f t="shared" si="4"/>
      </c>
    </row>
    <row r="298" spans="1:17" x14ac:dyDescent="0.25">
      <c r="A298" s="27"/>
      <c r="B298" s="29"/>
      <c r="C298" s="29"/>
      <c r="D298" s="29"/>
      <c r="E298" s="31"/>
      <c r="F298" s="30"/>
      <c r="G298" s="30"/>
      <c r="H298" s="38"/>
      <c r="I298" s="29"/>
      <c r="J298" s="28"/>
      <c r="K298" s="31"/>
      <c r="L298" s="31"/>
      <c r="M298" s="37">
        <f t="shared" si="0"/>
      </c>
      <c r="N298" s="37">
        <f t="shared" si="1"/>
      </c>
      <c r="O298" s="32">
        <f t="shared" si="2"/>
      </c>
      <c r="P298" s="32">
        <f t="shared" si="3"/>
      </c>
      <c r="Q298" s="32">
        <f t="shared" si="4"/>
      </c>
    </row>
    <row r="299" spans="1:17" x14ac:dyDescent="0.25">
      <c r="A299" s="27"/>
      <c r="B299" s="29"/>
      <c r="C299" s="29"/>
      <c r="D299" s="29"/>
      <c r="E299" s="31"/>
      <c r="F299" s="30"/>
      <c r="G299" s="30"/>
      <c r="H299" s="38"/>
      <c r="I299" s="29"/>
      <c r="J299" s="28"/>
      <c r="K299" s="31"/>
      <c r="L299" s="31"/>
      <c r="M299" s="37">
        <f t="shared" si="0"/>
      </c>
      <c r="N299" s="37">
        <f t="shared" si="1"/>
      </c>
      <c r="O299" s="32">
        <f t="shared" si="2"/>
      </c>
      <c r="P299" s="32">
        <f t="shared" si="3"/>
      </c>
      <c r="Q299" s="32">
        <f t="shared" si="4"/>
      </c>
    </row>
    <row r="300" spans="1:17" x14ac:dyDescent="0.25">
      <c r="A300" s="27"/>
      <c r="B300" s="29"/>
      <c r="C300" s="29"/>
      <c r="D300" s="29"/>
      <c r="E300" s="31"/>
      <c r="F300" s="30"/>
      <c r="G300" s="30"/>
      <c r="H300" s="38"/>
      <c r="I300" s="29"/>
      <c r="J300" s="28"/>
      <c r="K300" s="31"/>
      <c r="L300" s="31"/>
      <c r="M300" s="37">
        <f t="shared" si="0"/>
      </c>
      <c r="N300" s="37">
        <f t="shared" si="1"/>
      </c>
      <c r="O300" s="32">
        <f t="shared" si="2"/>
      </c>
      <c r="P300" s="32">
        <f t="shared" si="3"/>
      </c>
      <c r="Q300" s="32">
        <f t="shared" si="4"/>
      </c>
    </row>
    <row r="301" spans="1:17" x14ac:dyDescent="0.25">
      <c r="A301" s="27"/>
      <c r="B301" s="29"/>
      <c r="C301" s="29"/>
      <c r="D301" s="29"/>
      <c r="E301" s="31"/>
      <c r="F301" s="30"/>
      <c r="G301" s="30"/>
      <c r="H301" s="38"/>
      <c r="I301" s="29"/>
      <c r="J301" s="28"/>
      <c r="K301" s="31"/>
      <c r="L301" s="31"/>
      <c r="M301" s="37">
        <f t="shared" si="0"/>
      </c>
      <c r="N301" s="37">
        <f t="shared" si="1"/>
      </c>
      <c r="O301" s="32">
        <f t="shared" si="2"/>
      </c>
      <c r="P301" s="32">
        <f t="shared" si="3"/>
      </c>
      <c r="Q301" s="32">
        <f t="shared" si="4"/>
      </c>
    </row>
    <row r="302" spans="1:17" x14ac:dyDescent="0.25">
      <c r="A302" s="27"/>
      <c r="B302" s="29"/>
      <c r="C302" s="29"/>
      <c r="D302" s="29"/>
      <c r="E302" s="31"/>
      <c r="F302" s="30"/>
      <c r="G302" s="30"/>
      <c r="H302" s="38"/>
      <c r="I302" s="29"/>
      <c r="J302" s="28"/>
      <c r="K302" s="31"/>
      <c r="L302" s="31"/>
      <c r="M302" s="37">
        <f t="shared" si="0"/>
      </c>
      <c r="N302" s="37">
        <f t="shared" si="1"/>
      </c>
      <c r="O302" s="32">
        <f t="shared" si="2"/>
      </c>
      <c r="P302" s="32">
        <f t="shared" si="3"/>
      </c>
      <c r="Q302" s="32">
        <f t="shared" si="4"/>
      </c>
    </row>
    <row r="303" spans="1:17" x14ac:dyDescent="0.25">
      <c r="A303" s="27"/>
      <c r="B303" s="29"/>
      <c r="C303" s="29"/>
      <c r="D303" s="29"/>
      <c r="E303" s="31"/>
      <c r="F303" s="30"/>
      <c r="G303" s="30"/>
      <c r="H303" s="38"/>
      <c r="I303" s="29"/>
      <c r="J303" s="28"/>
      <c r="K303" s="31"/>
      <c r="L303" s="31"/>
      <c r="M303" s="37">
        <f t="shared" si="0"/>
      </c>
      <c r="N303" s="37">
        <f t="shared" si="1"/>
      </c>
      <c r="O303" s="32">
        <f t="shared" si="2"/>
      </c>
      <c r="P303" s="32">
        <f t="shared" si="3"/>
      </c>
      <c r="Q303" s="32">
        <f t="shared" si="4"/>
      </c>
    </row>
    <row r="304" spans="1:17" x14ac:dyDescent="0.25">
      <c r="A304" s="27"/>
      <c r="B304" s="29"/>
      <c r="C304" s="29"/>
      <c r="D304" s="29"/>
      <c r="E304" s="31"/>
      <c r="F304" s="30"/>
      <c r="G304" s="30"/>
      <c r="H304" s="38"/>
      <c r="I304" s="29"/>
      <c r="J304" s="28"/>
      <c r="K304" s="31"/>
      <c r="L304" s="31"/>
      <c r="M304" s="37">
        <f t="shared" si="0"/>
      </c>
      <c r="N304" s="37">
        <f t="shared" si="1"/>
      </c>
      <c r="O304" s="32">
        <f t="shared" si="2"/>
      </c>
      <c r="P304" s="32">
        <f t="shared" si="3"/>
      </c>
      <c r="Q304" s="32">
        <f t="shared" si="4"/>
      </c>
    </row>
    <row r="305" spans="1:17" x14ac:dyDescent="0.25">
      <c r="A305" s="27"/>
      <c r="B305" s="29"/>
      <c r="C305" s="29"/>
      <c r="D305" s="29"/>
      <c r="E305" s="31"/>
      <c r="F305" s="30"/>
      <c r="G305" s="30"/>
      <c r="H305" s="38"/>
      <c r="I305" s="29"/>
      <c r="J305" s="28"/>
      <c r="K305" s="31"/>
      <c r="L305" s="31"/>
      <c r="M305" s="37">
        <f t="shared" si="0"/>
      </c>
      <c r="N305" s="37">
        <f t="shared" si="1"/>
      </c>
      <c r="O305" s="32">
        <f t="shared" si="2"/>
      </c>
      <c r="P305" s="32">
        <f t="shared" si="3"/>
      </c>
      <c r="Q305" s="32">
        <f t="shared" si="4"/>
      </c>
    </row>
    <row r="306" spans="1:17" x14ac:dyDescent="0.25">
      <c r="A306" s="27"/>
      <c r="B306" s="29"/>
      <c r="C306" s="29"/>
      <c r="D306" s="29"/>
      <c r="E306" s="31"/>
      <c r="F306" s="30"/>
      <c r="G306" s="30"/>
      <c r="H306" s="38"/>
      <c r="I306" s="29"/>
      <c r="J306" s="28"/>
      <c r="K306" s="31"/>
      <c r="L306" s="31"/>
      <c r="M306" s="37">
        <f t="shared" si="0"/>
      </c>
      <c r="N306" s="37">
        <f t="shared" si="1"/>
      </c>
      <c r="O306" s="32">
        <f t="shared" si="2"/>
      </c>
      <c r="P306" s="32">
        <f t="shared" si="3"/>
      </c>
      <c r="Q306" s="32">
        <f t="shared" si="4"/>
      </c>
    </row>
    <row r="307" spans="1:17" x14ac:dyDescent="0.25">
      <c r="A307" s="27"/>
      <c r="B307" s="29"/>
      <c r="C307" s="29"/>
      <c r="D307" s="29"/>
      <c r="E307" s="31"/>
      <c r="F307" s="30"/>
      <c r="G307" s="30"/>
      <c r="H307" s="38"/>
      <c r="I307" s="29"/>
      <c r="J307" s="28"/>
      <c r="K307" s="31"/>
      <c r="L307" s="31"/>
      <c r="M307" s="37">
        <f t="shared" si="0"/>
      </c>
      <c r="N307" s="37">
        <f t="shared" si="1"/>
      </c>
      <c r="O307" s="32">
        <f t="shared" si="2"/>
      </c>
      <c r="P307" s="32">
        <f t="shared" si="3"/>
      </c>
      <c r="Q307" s="32">
        <f t="shared" si="4"/>
      </c>
    </row>
    <row r="308" spans="1:17" x14ac:dyDescent="0.25">
      <c r="A308" s="27"/>
      <c r="B308" s="29"/>
      <c r="C308" s="29"/>
      <c r="D308" s="29"/>
      <c r="E308" s="31"/>
      <c r="F308" s="30"/>
      <c r="G308" s="30"/>
      <c r="H308" s="38"/>
      <c r="I308" s="29"/>
      <c r="J308" s="28"/>
      <c r="K308" s="31"/>
      <c r="L308" s="31"/>
      <c r="M308" s="37">
        <f t="shared" si="0"/>
      </c>
      <c r="N308" s="37">
        <f t="shared" si="1"/>
      </c>
      <c r="O308" s="32">
        <f t="shared" si="2"/>
      </c>
      <c r="P308" s="32">
        <f t="shared" si="3"/>
      </c>
      <c r="Q308" s="32">
        <f t="shared" si="4"/>
      </c>
    </row>
    <row r="309" spans="1:17" x14ac:dyDescent="0.25">
      <c r="A309" s="27"/>
      <c r="B309" s="29"/>
      <c r="C309" s="29"/>
      <c r="D309" s="29"/>
      <c r="E309" s="31"/>
      <c r="F309" s="30"/>
      <c r="G309" s="30"/>
      <c r="H309" s="38"/>
      <c r="I309" s="29"/>
      <c r="J309" s="28"/>
      <c r="K309" s="31"/>
      <c r="L309" s="31"/>
      <c r="M309" s="37">
        <f t="shared" si="0"/>
      </c>
      <c r="N309" s="37">
        <f t="shared" si="1"/>
      </c>
      <c r="O309" s="32">
        <f t="shared" si="2"/>
      </c>
      <c r="P309" s="32">
        <f t="shared" si="3"/>
      </c>
      <c r="Q309" s="32">
        <f t="shared" si="4"/>
      </c>
    </row>
    <row r="310" spans="1:17" x14ac:dyDescent="0.25">
      <c r="A310" s="27"/>
      <c r="B310" s="29"/>
      <c r="C310" s="29"/>
      <c r="D310" s="29"/>
      <c r="E310" s="31"/>
      <c r="F310" s="30"/>
      <c r="G310" s="30"/>
      <c r="H310" s="38"/>
      <c r="I310" s="29"/>
      <c r="J310" s="28"/>
      <c r="K310" s="31"/>
      <c r="L310" s="31"/>
      <c r="M310" s="37">
        <f t="shared" si="0"/>
      </c>
      <c r="N310" s="37">
        <f t="shared" si="1"/>
      </c>
      <c r="O310" s="32">
        <f t="shared" si="2"/>
      </c>
      <c r="P310" s="32">
        <f t="shared" si="3"/>
      </c>
      <c r="Q310" s="32">
        <f t="shared" si="4"/>
      </c>
    </row>
    <row r="311" spans="1:17" x14ac:dyDescent="0.25">
      <c r="A311" s="27"/>
      <c r="B311" s="29"/>
      <c r="C311" s="29"/>
      <c r="D311" s="29"/>
      <c r="E311" s="31"/>
      <c r="F311" s="30"/>
      <c r="G311" s="30"/>
      <c r="H311" s="38"/>
      <c r="I311" s="29"/>
      <c r="J311" s="28"/>
      <c r="K311" s="31"/>
      <c r="L311" s="31"/>
      <c r="M311" s="37">
        <f t="shared" si="0"/>
      </c>
      <c r="N311" s="37">
        <f t="shared" si="1"/>
      </c>
      <c r="O311" s="32">
        <f t="shared" si="2"/>
      </c>
      <c r="P311" s="32">
        <f t="shared" si="3"/>
      </c>
      <c r="Q311" s="32">
        <f t="shared" si="4"/>
      </c>
    </row>
    <row r="312" spans="1:17" x14ac:dyDescent="0.25">
      <c r="A312" s="27"/>
      <c r="B312" s="29"/>
      <c r="C312" s="29"/>
      <c r="D312" s="29"/>
      <c r="E312" s="31"/>
      <c r="F312" s="30"/>
      <c r="G312" s="30"/>
      <c r="H312" s="38"/>
      <c r="I312" s="29"/>
      <c r="J312" s="28"/>
      <c r="K312" s="31"/>
      <c r="L312" s="31"/>
      <c r="M312" s="37">
        <f t="shared" si="0"/>
      </c>
      <c r="N312" s="37">
        <f t="shared" si="1"/>
      </c>
      <c r="O312" s="32">
        <f t="shared" si="2"/>
      </c>
      <c r="P312" s="32">
        <f t="shared" si="3"/>
      </c>
      <c r="Q312" s="32">
        <f t="shared" si="4"/>
      </c>
    </row>
    <row r="313" spans="1:17" x14ac:dyDescent="0.25">
      <c r="A313" s="27"/>
      <c r="B313" s="29"/>
      <c r="C313" s="29"/>
      <c r="D313" s="29"/>
      <c r="E313" s="31"/>
      <c r="F313" s="30"/>
      <c r="G313" s="30"/>
      <c r="H313" s="38"/>
      <c r="I313" s="29"/>
      <c r="J313" s="28"/>
      <c r="K313" s="31"/>
      <c r="L313" s="31"/>
      <c r="M313" s="37">
        <f t="shared" si="0"/>
      </c>
      <c r="N313" s="37">
        <f t="shared" si="1"/>
      </c>
      <c r="O313" s="32">
        <f t="shared" si="2"/>
      </c>
      <c r="P313" s="32">
        <f t="shared" si="3"/>
      </c>
      <c r="Q313" s="32">
        <f t="shared" si="4"/>
      </c>
    </row>
    <row r="314" spans="1:17" x14ac:dyDescent="0.25">
      <c r="A314" s="27"/>
      <c r="B314" s="29"/>
      <c r="C314" s="29"/>
      <c r="D314" s="29"/>
      <c r="E314" s="31"/>
      <c r="F314" s="30"/>
      <c r="G314" s="30"/>
      <c r="H314" s="38"/>
      <c r="I314" s="29"/>
      <c r="J314" s="28"/>
      <c r="K314" s="31"/>
      <c r="L314" s="31"/>
      <c r="M314" s="37">
        <f t="shared" si="0"/>
      </c>
      <c r="N314" s="37">
        <f t="shared" si="1"/>
      </c>
      <c r="O314" s="32">
        <f t="shared" si="2"/>
      </c>
      <c r="P314" s="32">
        <f t="shared" si="3"/>
      </c>
      <c r="Q314" s="32">
        <f t="shared" si="4"/>
      </c>
    </row>
    <row r="315" spans="1:17" x14ac:dyDescent="0.25">
      <c r="A315" s="27"/>
      <c r="B315" s="29"/>
      <c r="C315" s="29"/>
      <c r="D315" s="29"/>
      <c r="E315" s="31"/>
      <c r="F315" s="30"/>
      <c r="G315" s="30"/>
      <c r="H315" s="38"/>
      <c r="I315" s="29"/>
      <c r="J315" s="28"/>
      <c r="K315" s="31"/>
      <c r="L315" s="31"/>
      <c r="M315" s="37">
        <f t="shared" si="0"/>
      </c>
      <c r="N315" s="37">
        <f t="shared" si="1"/>
      </c>
      <c r="O315" s="32">
        <f t="shared" si="2"/>
      </c>
      <c r="P315" s="32">
        <f t="shared" si="3"/>
      </c>
      <c r="Q315" s="32">
        <f t="shared" si="4"/>
      </c>
    </row>
    <row r="316" spans="1:17" x14ac:dyDescent="0.25">
      <c r="A316" s="27"/>
      <c r="B316" s="29"/>
      <c r="C316" s="29"/>
      <c r="D316" s="29"/>
      <c r="E316" s="31"/>
      <c r="F316" s="30"/>
      <c r="G316" s="30"/>
      <c r="H316" s="38"/>
      <c r="I316" s="29"/>
      <c r="J316" s="28"/>
      <c r="K316" s="31"/>
      <c r="L316" s="31"/>
      <c r="M316" s="37">
        <f t="shared" si="0"/>
      </c>
      <c r="N316" s="37">
        <f t="shared" si="1"/>
      </c>
      <c r="O316" s="32">
        <f t="shared" si="2"/>
      </c>
      <c r="P316" s="32">
        <f t="shared" si="3"/>
      </c>
      <c r="Q316" s="32">
        <f t="shared" si="4"/>
      </c>
    </row>
    <row r="317" spans="1:17" x14ac:dyDescent="0.25">
      <c r="A317" s="27"/>
      <c r="B317" s="29"/>
      <c r="C317" s="29"/>
      <c r="D317" s="29"/>
      <c r="E317" s="31"/>
      <c r="F317" s="30"/>
      <c r="G317" s="30"/>
      <c r="H317" s="38"/>
      <c r="I317" s="29"/>
      <c r="J317" s="28"/>
      <c r="K317" s="31"/>
      <c r="L317" s="31"/>
      <c r="M317" s="37">
        <f t="shared" si="0"/>
      </c>
      <c r="N317" s="37">
        <f t="shared" si="1"/>
      </c>
      <c r="O317" s="32">
        <f t="shared" si="2"/>
      </c>
      <c r="P317" s="32">
        <f t="shared" si="3"/>
      </c>
      <c r="Q317" s="32">
        <f t="shared" si="4"/>
      </c>
    </row>
    <row r="318" spans="1:17" x14ac:dyDescent="0.25">
      <c r="A318" s="27"/>
      <c r="B318" s="29"/>
      <c r="C318" s="29"/>
      <c r="D318" s="29"/>
      <c r="E318" s="31"/>
      <c r="F318" s="30"/>
      <c r="G318" s="30"/>
      <c r="H318" s="38"/>
      <c r="I318" s="29"/>
      <c r="J318" s="28"/>
      <c r="K318" s="31"/>
      <c r="L318" s="31"/>
      <c r="M318" s="37">
        <f t="shared" si="0"/>
      </c>
      <c r="N318" s="37">
        <f t="shared" si="1"/>
      </c>
      <c r="O318" s="32">
        <f t="shared" si="2"/>
      </c>
      <c r="P318" s="32">
        <f t="shared" si="3"/>
      </c>
      <c r="Q318" s="32">
        <f t="shared" si="4"/>
      </c>
    </row>
    <row r="319" spans="1:17" x14ac:dyDescent="0.25">
      <c r="A319" s="27"/>
      <c r="B319" s="29"/>
      <c r="C319" s="29"/>
      <c r="D319" s="29"/>
      <c r="E319" s="31"/>
      <c r="F319" s="30"/>
      <c r="G319" s="30"/>
      <c r="H319" s="38"/>
      <c r="I319" s="29"/>
      <c r="J319" s="28"/>
      <c r="K319" s="31"/>
      <c r="L319" s="31"/>
      <c r="M319" s="37">
        <f t="shared" si="0"/>
      </c>
      <c r="N319" s="37">
        <f t="shared" si="1"/>
      </c>
      <c r="O319" s="32">
        <f t="shared" si="2"/>
      </c>
      <c r="P319" s="32">
        <f t="shared" si="3"/>
      </c>
      <c r="Q319" s="32">
        <f t="shared" si="4"/>
      </c>
    </row>
    <row r="320" spans="1:17" x14ac:dyDescent="0.25">
      <c r="A320" s="27"/>
      <c r="B320" s="29"/>
      <c r="C320" s="29"/>
      <c r="D320" s="29"/>
      <c r="E320" s="31"/>
      <c r="F320" s="30"/>
      <c r="G320" s="30"/>
      <c r="H320" s="38"/>
      <c r="I320" s="29"/>
      <c r="J320" s="28"/>
      <c r="K320" s="31"/>
      <c r="L320" s="31"/>
      <c r="M320" s="37">
        <f t="shared" si="0"/>
      </c>
      <c r="N320" s="37">
        <f t="shared" si="1"/>
      </c>
      <c r="O320" s="32">
        <f t="shared" si="2"/>
      </c>
      <c r="P320" s="32">
        <f t="shared" si="3"/>
      </c>
      <c r="Q320" s="32">
        <f t="shared" si="4"/>
      </c>
    </row>
    <row r="321" spans="1:17" x14ac:dyDescent="0.25">
      <c r="A321" s="27"/>
      <c r="B321" s="29"/>
      <c r="C321" s="29"/>
      <c r="D321" s="29"/>
      <c r="E321" s="31"/>
      <c r="F321" s="30"/>
      <c r="G321" s="30"/>
      <c r="H321" s="38"/>
      <c r="I321" s="29"/>
      <c r="J321" s="28"/>
      <c r="K321" s="31"/>
      <c r="L321" s="31"/>
      <c r="M321" s="37">
        <f t="shared" si="0"/>
      </c>
      <c r="N321" s="37">
        <f t="shared" si="1"/>
      </c>
      <c r="O321" s="32">
        <f t="shared" si="2"/>
      </c>
      <c r="P321" s="32">
        <f t="shared" si="3"/>
      </c>
      <c r="Q321" s="32">
        <f t="shared" si="4"/>
      </c>
    </row>
    <row r="322" spans="1:17" x14ac:dyDescent="0.25">
      <c r="A322" s="27"/>
      <c r="B322" s="29"/>
      <c r="C322" s="29"/>
      <c r="D322" s="29"/>
      <c r="E322" s="31"/>
      <c r="F322" s="30"/>
      <c r="G322" s="30"/>
      <c r="H322" s="38"/>
      <c r="I322" s="29"/>
      <c r="J322" s="28"/>
      <c r="K322" s="31"/>
      <c r="L322" s="31"/>
      <c r="M322" s="37">
        <f t="shared" si="0"/>
      </c>
      <c r="N322" s="37">
        <f t="shared" si="1"/>
      </c>
      <c r="O322" s="32">
        <f t="shared" si="2"/>
      </c>
      <c r="P322" s="32">
        <f t="shared" si="3"/>
      </c>
      <c r="Q322" s="32">
        <f t="shared" si="4"/>
      </c>
    </row>
    <row r="323" spans="1:17" x14ac:dyDescent="0.25">
      <c r="A323" s="27"/>
      <c r="B323" s="29"/>
      <c r="C323" s="29"/>
      <c r="D323" s="29"/>
      <c r="E323" s="31"/>
      <c r="F323" s="30"/>
      <c r="G323" s="30"/>
      <c r="H323" s="38"/>
      <c r="I323" s="29"/>
      <c r="J323" s="28"/>
      <c r="K323" s="31"/>
      <c r="L323" s="31"/>
      <c r="M323" s="37">
        <f t="shared" si="0"/>
      </c>
      <c r="N323" s="37">
        <f t="shared" si="1"/>
      </c>
      <c r="O323" s="32">
        <f t="shared" si="2"/>
      </c>
      <c r="P323" s="32">
        <f t="shared" si="3"/>
      </c>
      <c r="Q323" s="32">
        <f t="shared" si="4"/>
      </c>
    </row>
    <row r="324" spans="1:17" x14ac:dyDescent="0.25">
      <c r="A324" s="27"/>
      <c r="B324" s="29"/>
      <c r="C324" s="29"/>
      <c r="D324" s="29"/>
      <c r="E324" s="31"/>
      <c r="F324" s="30"/>
      <c r="G324" s="30"/>
      <c r="H324" s="38"/>
      <c r="I324" s="29"/>
      <c r="J324" s="28"/>
      <c r="K324" s="31"/>
      <c r="L324" s="31"/>
      <c r="M324" s="37">
        <f t="shared" si="0"/>
      </c>
      <c r="N324" s="37">
        <f t="shared" si="1"/>
      </c>
      <c r="O324" s="32">
        <f t="shared" si="2"/>
      </c>
      <c r="P324" s="32">
        <f t="shared" si="3"/>
      </c>
      <c r="Q324" s="32">
        <f t="shared" si="4"/>
      </c>
    </row>
    <row r="325" spans="1:17" x14ac:dyDescent="0.25">
      <c r="A325" s="27"/>
      <c r="B325" s="29"/>
      <c r="C325" s="29"/>
      <c r="D325" s="29"/>
      <c r="E325" s="31"/>
      <c r="F325" s="30"/>
      <c r="G325" s="30"/>
      <c r="H325" s="38"/>
      <c r="I325" s="29"/>
      <c r="J325" s="28"/>
      <c r="K325" s="31"/>
      <c r="L325" s="31"/>
      <c r="M325" s="37">
        <f t="shared" si="0"/>
      </c>
      <c r="N325" s="37">
        <f t="shared" si="1"/>
      </c>
      <c r="O325" s="32">
        <f t="shared" si="2"/>
      </c>
      <c r="P325" s="32">
        <f t="shared" si="3"/>
      </c>
      <c r="Q325" s="32">
        <f t="shared" si="4"/>
      </c>
    </row>
    <row r="326" spans="1:17" x14ac:dyDescent="0.25">
      <c r="A326" s="27"/>
      <c r="B326" s="29"/>
      <c r="C326" s="29"/>
      <c r="D326" s="29"/>
      <c r="E326" s="31"/>
      <c r="F326" s="30"/>
      <c r="G326" s="30"/>
      <c r="H326" s="38"/>
      <c r="I326" s="29"/>
      <c r="J326" s="28"/>
      <c r="K326" s="31"/>
      <c r="L326" s="31"/>
      <c r="M326" s="37">
        <f t="shared" si="0"/>
      </c>
      <c r="N326" s="37">
        <f t="shared" si="1"/>
      </c>
      <c r="O326" s="32">
        <f t="shared" si="2"/>
      </c>
      <c r="P326" s="32">
        <f t="shared" si="3"/>
      </c>
      <c r="Q326" s="32">
        <f t="shared" si="4"/>
      </c>
    </row>
    <row r="327" spans="1:17" x14ac:dyDescent="0.25">
      <c r="A327" s="27"/>
      <c r="B327" s="29"/>
      <c r="C327" s="29"/>
      <c r="D327" s="29"/>
      <c r="E327" s="31"/>
      <c r="F327" s="30"/>
      <c r="G327" s="30"/>
      <c r="H327" s="38"/>
      <c r="I327" s="29"/>
      <c r="J327" s="28"/>
      <c r="K327" s="31"/>
      <c r="L327" s="31"/>
      <c r="M327" s="37">
        <f t="shared" si="0"/>
      </c>
      <c r="N327" s="37">
        <f t="shared" si="1"/>
      </c>
      <c r="O327" s="32">
        <f t="shared" si="2"/>
      </c>
      <c r="P327" s="32">
        <f t="shared" si="3"/>
      </c>
      <c r="Q327" s="32">
        <f t="shared" si="4"/>
      </c>
    </row>
    <row r="328" spans="1:17" x14ac:dyDescent="0.25">
      <c r="A328" s="27"/>
      <c r="B328" s="29"/>
      <c r="C328" s="29"/>
      <c r="D328" s="29"/>
      <c r="E328" s="31"/>
      <c r="F328" s="30"/>
      <c r="G328" s="30"/>
      <c r="H328" s="38"/>
      <c r="I328" s="29"/>
      <c r="J328" s="28"/>
      <c r="K328" s="31"/>
      <c r="L328" s="31"/>
      <c r="M328" s="37">
        <f t="shared" si="0"/>
      </c>
      <c r="N328" s="37">
        <f t="shared" si="1"/>
      </c>
      <c r="O328" s="32">
        <f t="shared" si="2"/>
      </c>
      <c r="P328" s="32">
        <f t="shared" si="3"/>
      </c>
      <c r="Q328" s="32">
        <f t="shared" si="4"/>
      </c>
    </row>
    <row r="329" spans="1:17" x14ac:dyDescent="0.25">
      <c r="A329" s="27"/>
      <c r="B329" s="29"/>
      <c r="C329" s="29"/>
      <c r="D329" s="29"/>
      <c r="E329" s="31"/>
      <c r="F329" s="30"/>
      <c r="G329" s="30"/>
      <c r="H329" s="38"/>
      <c r="I329" s="29"/>
      <c r="J329" s="28"/>
      <c r="K329" s="31"/>
      <c r="L329" s="31"/>
      <c r="M329" s="37">
        <f t="shared" si="0"/>
      </c>
      <c r="N329" s="37">
        <f t="shared" si="1"/>
      </c>
      <c r="O329" s="32">
        <f t="shared" si="2"/>
      </c>
      <c r="P329" s="32">
        <f t="shared" si="3"/>
      </c>
      <c r="Q329" s="32">
        <f t="shared" si="4"/>
      </c>
    </row>
    <row r="330" spans="1:17" x14ac:dyDescent="0.25">
      <c r="A330" s="27"/>
      <c r="B330" s="29"/>
      <c r="C330" s="29"/>
      <c r="D330" s="29"/>
      <c r="E330" s="31"/>
      <c r="F330" s="30"/>
      <c r="G330" s="30"/>
      <c r="H330" s="38"/>
      <c r="I330" s="29"/>
      <c r="J330" s="28"/>
      <c r="K330" s="31"/>
      <c r="L330" s="31"/>
      <c r="M330" s="37">
        <f t="shared" si="0"/>
      </c>
      <c r="N330" s="37">
        <f t="shared" si="1"/>
      </c>
      <c r="O330" s="32">
        <f t="shared" si="2"/>
      </c>
      <c r="P330" s="32">
        <f t="shared" si="3"/>
      </c>
      <c r="Q330" s="32">
        <f t="shared" si="4"/>
      </c>
    </row>
    <row r="331" spans="1:17" x14ac:dyDescent="0.25">
      <c r="A331" s="27"/>
      <c r="B331" s="29"/>
      <c r="C331" s="29"/>
      <c r="D331" s="29"/>
      <c r="E331" s="31"/>
      <c r="F331" s="30"/>
      <c r="G331" s="30"/>
      <c r="H331" s="38"/>
      <c r="I331" s="29"/>
      <c r="J331" s="28"/>
      <c r="K331" s="31"/>
      <c r="L331" s="31"/>
      <c r="M331" s="37">
        <f t="shared" si="0"/>
      </c>
      <c r="N331" s="37">
        <f t="shared" si="1"/>
      </c>
      <c r="O331" s="32">
        <f t="shared" si="2"/>
      </c>
      <c r="P331" s="32">
        <f t="shared" si="3"/>
      </c>
      <c r="Q331" s="32">
        <f t="shared" si="4"/>
      </c>
    </row>
    <row r="332" spans="1:17" x14ac:dyDescent="0.25">
      <c r="A332" s="27"/>
      <c r="B332" s="29"/>
      <c r="C332" s="29"/>
      <c r="D332" s="29"/>
      <c r="E332" s="31"/>
      <c r="F332" s="30"/>
      <c r="G332" s="30"/>
      <c r="H332" s="38"/>
      <c r="I332" s="29"/>
      <c r="J332" s="28"/>
      <c r="K332" s="31"/>
      <c r="L332" s="31"/>
      <c r="M332" s="37">
        <f t="shared" si="0"/>
      </c>
      <c r="N332" s="37">
        <f t="shared" si="1"/>
      </c>
      <c r="O332" s="32">
        <f t="shared" si="2"/>
      </c>
      <c r="P332" s="32">
        <f t="shared" si="3"/>
      </c>
      <c r="Q332" s="32">
        <f t="shared" si="4"/>
      </c>
    </row>
    <row r="333" spans="1:17" x14ac:dyDescent="0.25">
      <c r="A333" s="27"/>
      <c r="B333" s="29"/>
      <c r="C333" s="29"/>
      <c r="D333" s="29"/>
      <c r="E333" s="31"/>
      <c r="F333" s="30"/>
      <c r="G333" s="30"/>
      <c r="H333" s="38"/>
      <c r="I333" s="29"/>
      <c r="J333" s="28"/>
      <c r="K333" s="31"/>
      <c r="L333" s="31"/>
      <c r="M333" s="37">
        <f t="shared" si="0"/>
      </c>
      <c r="N333" s="37">
        <f t="shared" si="1"/>
      </c>
      <c r="O333" s="32">
        <f t="shared" si="2"/>
      </c>
      <c r="P333" s="32">
        <f t="shared" si="3"/>
      </c>
      <c r="Q333" s="32">
        <f t="shared" si="4"/>
      </c>
    </row>
    <row r="334" spans="1:17" x14ac:dyDescent="0.25">
      <c r="A334" s="27"/>
      <c r="B334" s="29"/>
      <c r="C334" s="29"/>
      <c r="D334" s="29"/>
      <c r="E334" s="31"/>
      <c r="F334" s="30"/>
      <c r="G334" s="30"/>
      <c r="H334" s="38"/>
      <c r="I334" s="29"/>
      <c r="J334" s="28"/>
      <c r="K334" s="31"/>
      <c r="L334" s="31"/>
      <c r="M334" s="37">
        <f t="shared" si="0"/>
      </c>
      <c r="N334" s="37">
        <f t="shared" si="1"/>
      </c>
      <c r="O334" s="32">
        <f t="shared" si="2"/>
      </c>
      <c r="P334" s="32">
        <f t="shared" si="3"/>
      </c>
      <c r="Q334" s="32">
        <f t="shared" si="4"/>
      </c>
    </row>
    <row r="335" spans="1:17" x14ac:dyDescent="0.25">
      <c r="A335" s="27"/>
      <c r="B335" s="29"/>
      <c r="C335" s="29"/>
      <c r="D335" s="29"/>
      <c r="E335" s="31"/>
      <c r="F335" s="30"/>
      <c r="G335" s="30"/>
      <c r="H335" s="38"/>
      <c r="I335" s="29"/>
      <c r="J335" s="28"/>
      <c r="K335" s="31"/>
      <c r="L335" s="31"/>
      <c r="M335" s="37">
        <f t="shared" si="0"/>
      </c>
      <c r="N335" s="37">
        <f t="shared" si="1"/>
      </c>
      <c r="O335" s="32">
        <f t="shared" si="2"/>
      </c>
      <c r="P335" s="32">
        <f t="shared" si="3"/>
      </c>
      <c r="Q335" s="32">
        <f t="shared" si="4"/>
      </c>
    </row>
    <row r="336" spans="1:17" x14ac:dyDescent="0.25">
      <c r="A336" s="27"/>
      <c r="B336" s="29"/>
      <c r="C336" s="29"/>
      <c r="D336" s="29"/>
      <c r="E336" s="31"/>
      <c r="F336" s="30"/>
      <c r="G336" s="30"/>
      <c r="H336" s="38"/>
      <c r="I336" s="29"/>
      <c r="J336" s="28"/>
      <c r="K336" s="31"/>
      <c r="L336" s="31"/>
      <c r="M336" s="37">
        <f t="shared" si="0"/>
      </c>
      <c r="N336" s="37">
        <f t="shared" si="1"/>
      </c>
      <c r="O336" s="32">
        <f t="shared" si="2"/>
      </c>
      <c r="P336" s="32">
        <f t="shared" si="3"/>
      </c>
      <c r="Q336" s="32">
        <f t="shared" si="4"/>
      </c>
    </row>
    <row r="337" spans="1:17" x14ac:dyDescent="0.25">
      <c r="A337" s="27"/>
      <c r="B337" s="29"/>
      <c r="C337" s="29"/>
      <c r="D337" s="29"/>
      <c r="E337" s="31"/>
      <c r="F337" s="30"/>
      <c r="G337" s="30"/>
      <c r="H337" s="38"/>
      <c r="I337" s="29"/>
      <c r="J337" s="28"/>
      <c r="K337" s="31"/>
      <c r="L337" s="31"/>
      <c r="M337" s="37">
        <f t="shared" si="0"/>
      </c>
      <c r="N337" s="37">
        <f t="shared" si="1"/>
      </c>
      <c r="O337" s="32">
        <f t="shared" si="2"/>
      </c>
      <c r="P337" s="32">
        <f t="shared" si="3"/>
      </c>
      <c r="Q337" s="32">
        <f t="shared" si="4"/>
      </c>
    </row>
    <row r="338" spans="1:17" x14ac:dyDescent="0.25">
      <c r="A338" s="27"/>
      <c r="B338" s="29"/>
      <c r="C338" s="29"/>
      <c r="D338" s="29"/>
      <c r="E338" s="31"/>
      <c r="F338" s="30"/>
      <c r="G338" s="30"/>
      <c r="H338" s="38"/>
      <c r="I338" s="29"/>
      <c r="J338" s="28"/>
      <c r="K338" s="31"/>
      <c r="L338" s="31"/>
      <c r="M338" s="37">
        <f t="shared" si="0"/>
      </c>
      <c r="N338" s="37">
        <f t="shared" si="1"/>
      </c>
      <c r="O338" s="32">
        <f t="shared" si="2"/>
      </c>
      <c r="P338" s="32">
        <f t="shared" si="3"/>
      </c>
      <c r="Q338" s="32">
        <f t="shared" si="4"/>
      </c>
    </row>
    <row r="339" spans="1:17" x14ac:dyDescent="0.25">
      <c r="A339" s="27"/>
      <c r="B339" s="29"/>
      <c r="C339" s="29"/>
      <c r="D339" s="29"/>
      <c r="E339" s="31"/>
      <c r="F339" s="30"/>
      <c r="G339" s="30"/>
      <c r="H339" s="38"/>
      <c r="I339" s="29"/>
      <c r="J339" s="28"/>
      <c r="K339" s="31"/>
      <c r="L339" s="31"/>
      <c r="M339" s="37">
        <f t="shared" si="0"/>
      </c>
      <c r="N339" s="37">
        <f t="shared" si="1"/>
      </c>
      <c r="O339" s="32">
        <f t="shared" si="2"/>
      </c>
      <c r="P339" s="32">
        <f t="shared" si="3"/>
      </c>
      <c r="Q339" s="32">
        <f t="shared" si="4"/>
      </c>
    </row>
    <row r="340" spans="1:17" x14ac:dyDescent="0.25">
      <c r="A340" s="27"/>
      <c r="B340" s="29"/>
      <c r="C340" s="29"/>
      <c r="D340" s="29"/>
      <c r="E340" s="31"/>
      <c r="F340" s="30"/>
      <c r="G340" s="30"/>
      <c r="H340" s="38"/>
      <c r="I340" s="29"/>
      <c r="J340" s="28"/>
      <c r="K340" s="31"/>
      <c r="L340" s="31"/>
      <c r="M340" s="37">
        <f t="shared" si="0"/>
      </c>
      <c r="N340" s="37">
        <f t="shared" si="1"/>
      </c>
      <c r="O340" s="32">
        <f t="shared" si="2"/>
      </c>
      <c r="P340" s="32">
        <f t="shared" si="3"/>
      </c>
      <c r="Q340" s="32">
        <f t="shared" si="4"/>
      </c>
    </row>
    <row r="341" spans="1:17" x14ac:dyDescent="0.25">
      <c r="A341" s="27"/>
      <c r="B341" s="29"/>
      <c r="C341" s="29"/>
      <c r="D341" s="29"/>
      <c r="E341" s="31"/>
      <c r="F341" s="30"/>
      <c r="G341" s="30"/>
      <c r="H341" s="38"/>
      <c r="I341" s="29"/>
      <c r="J341" s="28"/>
      <c r="K341" s="31"/>
      <c r="L341" s="31"/>
      <c r="M341" s="37">
        <f t="shared" si="0"/>
      </c>
      <c r="N341" s="37">
        <f t="shared" si="1"/>
      </c>
      <c r="O341" s="32">
        <f t="shared" si="2"/>
      </c>
      <c r="P341" s="32">
        <f t="shared" si="3"/>
      </c>
      <c r="Q341" s="32">
        <f t="shared" si="4"/>
      </c>
    </row>
    <row r="342" spans="1:17" x14ac:dyDescent="0.25">
      <c r="A342" s="27"/>
      <c r="B342" s="29"/>
      <c r="C342" s="29"/>
      <c r="D342" s="29"/>
      <c r="E342" s="31"/>
      <c r="F342" s="30"/>
      <c r="G342" s="30"/>
      <c r="H342" s="38"/>
      <c r="I342" s="29"/>
      <c r="J342" s="28"/>
      <c r="K342" s="31"/>
      <c r="L342" s="31"/>
      <c r="M342" s="37">
        <f t="shared" si="0"/>
      </c>
      <c r="N342" s="37">
        <f t="shared" si="1"/>
      </c>
      <c r="O342" s="32">
        <f t="shared" si="2"/>
      </c>
      <c r="P342" s="32">
        <f t="shared" si="3"/>
      </c>
      <c r="Q342" s="32">
        <f t="shared" si="4"/>
      </c>
    </row>
    <row r="343" spans="1:17" x14ac:dyDescent="0.25">
      <c r="A343" s="27"/>
      <c r="B343" s="29"/>
      <c r="C343" s="29"/>
      <c r="D343" s="29"/>
      <c r="E343" s="31"/>
      <c r="F343" s="30"/>
      <c r="G343" s="30"/>
      <c r="H343" s="38"/>
      <c r="I343" s="29"/>
      <c r="J343" s="28"/>
      <c r="K343" s="31"/>
      <c r="L343" s="31"/>
      <c r="M343" s="37">
        <f t="shared" si="0"/>
      </c>
      <c r="N343" s="37">
        <f t="shared" si="1"/>
      </c>
      <c r="O343" s="32">
        <f t="shared" si="2"/>
      </c>
      <c r="P343" s="32">
        <f t="shared" si="3"/>
      </c>
      <c r="Q343" s="32">
        <f t="shared" si="4"/>
      </c>
    </row>
    <row r="344" spans="1:17" x14ac:dyDescent="0.25">
      <c r="A344" s="27"/>
      <c r="B344" s="29"/>
      <c r="C344" s="29"/>
      <c r="D344" s="29"/>
      <c r="E344" s="31"/>
      <c r="F344" s="30"/>
      <c r="G344" s="30"/>
      <c r="H344" s="38"/>
      <c r="I344" s="29"/>
      <c r="J344" s="28"/>
      <c r="K344" s="31"/>
      <c r="L344" s="31"/>
      <c r="M344" s="37">
        <f t="shared" si="0"/>
      </c>
      <c r="N344" s="37">
        <f t="shared" si="1"/>
      </c>
      <c r="O344" s="32">
        <f t="shared" si="2"/>
      </c>
      <c r="P344" s="32">
        <f t="shared" si="3"/>
      </c>
      <c r="Q344" s="32">
        <f t="shared" si="4"/>
      </c>
    </row>
    <row r="345" spans="1:17" x14ac:dyDescent="0.25">
      <c r="A345" s="27"/>
      <c r="B345" s="29"/>
      <c r="C345" s="29"/>
      <c r="D345" s="29"/>
      <c r="E345" s="31"/>
      <c r="F345" s="30"/>
      <c r="G345" s="30"/>
      <c r="H345" s="38"/>
      <c r="I345" s="29"/>
      <c r="J345" s="28"/>
      <c r="K345" s="31"/>
      <c r="L345" s="31"/>
      <c r="M345" s="37">
        <f t="shared" si="0"/>
      </c>
      <c r="N345" s="37">
        <f t="shared" si="1"/>
      </c>
      <c r="O345" s="32">
        <f t="shared" si="2"/>
      </c>
      <c r="P345" s="32">
        <f t="shared" si="3"/>
      </c>
      <c r="Q345" s="32">
        <f t="shared" si="4"/>
      </c>
    </row>
    <row r="346" spans="1:17" x14ac:dyDescent="0.25">
      <c r="A346" s="27"/>
      <c r="B346" s="29"/>
      <c r="C346" s="29"/>
      <c r="D346" s="29"/>
      <c r="E346" s="31"/>
      <c r="F346" s="30"/>
      <c r="G346" s="30"/>
      <c r="H346" s="38"/>
      <c r="I346" s="29"/>
      <c r="J346" s="28"/>
      <c r="K346" s="31"/>
      <c r="L346" s="31"/>
      <c r="M346" s="37">
        <f t="shared" si="0"/>
      </c>
      <c r="N346" s="37">
        <f t="shared" si="1"/>
      </c>
      <c r="O346" s="32">
        <f t="shared" si="2"/>
      </c>
      <c r="P346" s="32">
        <f t="shared" si="3"/>
      </c>
      <c r="Q346" s="32">
        <f t="shared" si="4"/>
      </c>
    </row>
    <row r="347" spans="1:17" x14ac:dyDescent="0.25">
      <c r="A347" s="27"/>
      <c r="B347" s="29"/>
      <c r="C347" s="29"/>
      <c r="D347" s="29"/>
      <c r="E347" s="31"/>
      <c r="F347" s="30"/>
      <c r="G347" s="30"/>
      <c r="H347" s="38"/>
      <c r="I347" s="29"/>
      <c r="J347" s="28"/>
      <c r="K347" s="31"/>
      <c r="L347" s="31"/>
      <c r="M347" s="37">
        <f t="shared" si="0"/>
      </c>
      <c r="N347" s="37">
        <f t="shared" si="1"/>
      </c>
      <c r="O347" s="32">
        <f t="shared" si="2"/>
      </c>
      <c r="P347" s="32">
        <f t="shared" si="3"/>
      </c>
      <c r="Q347" s="32">
        <f t="shared" si="4"/>
      </c>
    </row>
    <row r="348" spans="1:17" x14ac:dyDescent="0.25">
      <c r="A348" s="27"/>
      <c r="B348" s="29"/>
      <c r="C348" s="29"/>
      <c r="D348" s="29"/>
      <c r="E348" s="31"/>
      <c r="F348" s="30"/>
      <c r="G348" s="30"/>
      <c r="H348" s="38"/>
      <c r="I348" s="29"/>
      <c r="J348" s="28"/>
      <c r="K348" s="31"/>
      <c r="L348" s="31"/>
      <c r="M348" s="37">
        <f t="shared" si="0"/>
      </c>
      <c r="N348" s="37">
        <f t="shared" si="1"/>
      </c>
      <c r="O348" s="32">
        <f t="shared" si="2"/>
      </c>
      <c r="P348" s="32">
        <f t="shared" si="3"/>
      </c>
      <c r="Q348" s="32">
        <f t="shared" si="4"/>
      </c>
    </row>
    <row r="349" spans="1:17" x14ac:dyDescent="0.25">
      <c r="A349" s="27"/>
      <c r="B349" s="29"/>
      <c r="C349" s="29"/>
      <c r="D349" s="29"/>
      <c r="E349" s="31"/>
      <c r="F349" s="30"/>
      <c r="G349" s="30"/>
      <c r="H349" s="38"/>
      <c r="I349" s="29"/>
      <c r="J349" s="28"/>
      <c r="K349" s="31"/>
      <c r="L349" s="31"/>
      <c r="M349" s="37">
        <f t="shared" si="0"/>
      </c>
      <c r="N349" s="37">
        <f t="shared" si="1"/>
      </c>
      <c r="O349" s="32">
        <f t="shared" si="2"/>
      </c>
      <c r="P349" s="32">
        <f t="shared" si="3"/>
      </c>
      <c r="Q349" s="32">
        <f t="shared" si="4"/>
      </c>
    </row>
    <row r="350" spans="1:17" x14ac:dyDescent="0.25">
      <c r="A350" s="27"/>
      <c r="B350" s="29"/>
      <c r="C350" s="29"/>
      <c r="D350" s="29"/>
      <c r="E350" s="31"/>
      <c r="F350" s="30"/>
      <c r="G350" s="30"/>
      <c r="H350" s="38"/>
      <c r="I350" s="29"/>
      <c r="J350" s="28"/>
      <c r="K350" s="31"/>
      <c r="L350" s="31"/>
      <c r="M350" s="37">
        <f t="shared" si="0"/>
      </c>
      <c r="N350" s="37">
        <f t="shared" si="1"/>
      </c>
      <c r="O350" s="32">
        <f t="shared" si="2"/>
      </c>
      <c r="P350" s="32">
        <f t="shared" si="3"/>
      </c>
      <c r="Q350" s="32">
        <f t="shared" si="4"/>
      </c>
    </row>
    <row r="351" spans="1:17" x14ac:dyDescent="0.25">
      <c r="A351" s="27"/>
      <c r="B351" s="29"/>
      <c r="C351" s="29"/>
      <c r="D351" s="29"/>
      <c r="E351" s="31"/>
      <c r="F351" s="30"/>
      <c r="G351" s="30"/>
      <c r="H351" s="38"/>
      <c r="I351" s="29"/>
      <c r="J351" s="28"/>
      <c r="K351" s="31"/>
      <c r="L351" s="31"/>
      <c r="M351" s="37">
        <f t="shared" si="0"/>
      </c>
      <c r="N351" s="37">
        <f t="shared" si="1"/>
      </c>
      <c r="O351" s="32">
        <f t="shared" si="2"/>
      </c>
      <c r="P351" s="32">
        <f t="shared" si="3"/>
      </c>
      <c r="Q351" s="32">
        <f t="shared" si="4"/>
      </c>
    </row>
    <row r="352" spans="1:17" x14ac:dyDescent="0.25">
      <c r="A352" s="27"/>
      <c r="B352" s="29"/>
      <c r="C352" s="29"/>
      <c r="D352" s="29"/>
      <c r="E352" s="31"/>
      <c r="F352" s="30"/>
      <c r="G352" s="30"/>
      <c r="H352" s="38"/>
      <c r="I352" s="29"/>
      <c r="J352" s="28"/>
      <c r="K352" s="31"/>
      <c r="L352" s="31"/>
      <c r="M352" s="37">
        <f t="shared" si="0"/>
      </c>
      <c r="N352" s="37">
        <f t="shared" si="1"/>
      </c>
      <c r="O352" s="32">
        <f t="shared" si="2"/>
      </c>
      <c r="P352" s="32">
        <f t="shared" si="3"/>
      </c>
      <c r="Q352" s="32">
        <f t="shared" si="4"/>
      </c>
    </row>
    <row r="353" spans="1:17" x14ac:dyDescent="0.25">
      <c r="A353" s="27"/>
      <c r="B353" s="29"/>
      <c r="C353" s="29"/>
      <c r="D353" s="29"/>
      <c r="E353" s="31"/>
      <c r="F353" s="30"/>
      <c r="G353" s="30"/>
      <c r="H353" s="38"/>
      <c r="I353" s="29"/>
      <c r="J353" s="28"/>
      <c r="K353" s="31"/>
      <c r="L353" s="31"/>
      <c r="M353" s="37">
        <f t="shared" si="0"/>
      </c>
      <c r="N353" s="37">
        <f t="shared" si="1"/>
      </c>
      <c r="O353" s="32">
        <f t="shared" si="2"/>
      </c>
      <c r="P353" s="32">
        <f t="shared" si="3"/>
      </c>
      <c r="Q353" s="32">
        <f t="shared" si="4"/>
      </c>
    </row>
    <row r="354" spans="1:17" x14ac:dyDescent="0.25">
      <c r="A354" s="27"/>
      <c r="B354" s="29"/>
      <c r="C354" s="29"/>
      <c r="D354" s="29"/>
      <c r="E354" s="31"/>
      <c r="F354" s="30"/>
      <c r="G354" s="30"/>
      <c r="H354" s="38"/>
      <c r="I354" s="29"/>
      <c r="J354" s="28"/>
      <c r="K354" s="31"/>
      <c r="L354" s="31"/>
      <c r="M354" s="37">
        <f t="shared" si="0"/>
      </c>
      <c r="N354" s="37">
        <f t="shared" si="1"/>
      </c>
      <c r="O354" s="32">
        <f t="shared" si="2"/>
      </c>
      <c r="P354" s="32">
        <f t="shared" si="3"/>
      </c>
      <c r="Q354" s="32">
        <f t="shared" si="4"/>
      </c>
    </row>
    <row r="355" spans="1:17" x14ac:dyDescent="0.25">
      <c r="A355" s="27"/>
      <c r="B355" s="29"/>
      <c r="C355" s="29"/>
      <c r="D355" s="29"/>
      <c r="E355" s="31"/>
      <c r="F355" s="30"/>
      <c r="G355" s="30"/>
      <c r="H355" s="38"/>
      <c r="I355" s="29"/>
      <c r="J355" s="28"/>
      <c r="K355" s="31"/>
      <c r="L355" s="31"/>
      <c r="M355" s="37">
        <f t="shared" si="0"/>
      </c>
      <c r="N355" s="37">
        <f t="shared" si="1"/>
      </c>
      <c r="O355" s="32">
        <f t="shared" si="2"/>
      </c>
      <c r="P355" s="32">
        <f t="shared" si="3"/>
      </c>
      <c r="Q355" s="32">
        <f t="shared" si="4"/>
      </c>
    </row>
    <row r="356" spans="1:17" x14ac:dyDescent="0.25">
      <c r="A356" s="27"/>
      <c r="B356" s="29"/>
      <c r="C356" s="29"/>
      <c r="D356" s="29"/>
      <c r="E356" s="31"/>
      <c r="F356" s="30"/>
      <c r="G356" s="30"/>
      <c r="H356" s="38"/>
      <c r="I356" s="29"/>
      <c r="J356" s="28"/>
      <c r="K356" s="31"/>
      <c r="L356" s="31"/>
      <c r="M356" s="37">
        <f t="shared" si="0"/>
      </c>
      <c r="N356" s="37">
        <f t="shared" si="1"/>
      </c>
      <c r="O356" s="32">
        <f t="shared" si="2"/>
      </c>
      <c r="P356" s="32">
        <f t="shared" si="3"/>
      </c>
      <c r="Q356" s="32">
        <f t="shared" si="4"/>
      </c>
    </row>
    <row r="357" spans="1:17" x14ac:dyDescent="0.25">
      <c r="A357" s="27"/>
      <c r="B357" s="29"/>
      <c r="C357" s="29"/>
      <c r="D357" s="29"/>
      <c r="E357" s="31"/>
      <c r="F357" s="30"/>
      <c r="G357" s="30"/>
      <c r="H357" s="38"/>
      <c r="I357" s="29"/>
      <c r="J357" s="28"/>
      <c r="K357" s="31"/>
      <c r="L357" s="31"/>
      <c r="M357" s="37">
        <f t="shared" si="0"/>
      </c>
      <c r="N357" s="37">
        <f t="shared" si="1"/>
      </c>
      <c r="O357" s="32">
        <f t="shared" si="2"/>
      </c>
      <c r="P357" s="32">
        <f t="shared" si="3"/>
      </c>
      <c r="Q357" s="32">
        <f t="shared" si="4"/>
      </c>
    </row>
    <row r="358" spans="1:17" x14ac:dyDescent="0.25">
      <c r="A358" s="27"/>
      <c r="B358" s="29"/>
      <c r="C358" s="29"/>
      <c r="D358" s="29"/>
      <c r="E358" s="31"/>
      <c r="F358" s="30"/>
      <c r="G358" s="30"/>
      <c r="H358" s="38"/>
      <c r="I358" s="29"/>
      <c r="J358" s="28"/>
      <c r="K358" s="31"/>
      <c r="L358" s="31"/>
      <c r="M358" s="37">
        <f t="shared" si="0"/>
      </c>
      <c r="N358" s="37">
        <f t="shared" si="1"/>
      </c>
      <c r="O358" s="32">
        <f t="shared" si="2"/>
      </c>
      <c r="P358" s="32">
        <f t="shared" si="3"/>
      </c>
      <c r="Q358" s="32">
        <f t="shared" si="4"/>
      </c>
    </row>
    <row r="359" spans="1:17" x14ac:dyDescent="0.25">
      <c r="A359" s="27"/>
      <c r="B359" s="29"/>
      <c r="C359" s="29"/>
      <c r="D359" s="29"/>
      <c r="E359" s="31"/>
      <c r="F359" s="30"/>
      <c r="G359" s="30"/>
      <c r="H359" s="38"/>
      <c r="I359" s="29"/>
      <c r="J359" s="28"/>
      <c r="K359" s="31"/>
      <c r="L359" s="31"/>
      <c r="M359" s="37">
        <f t="shared" si="0"/>
      </c>
      <c r="N359" s="37">
        <f t="shared" si="1"/>
      </c>
      <c r="O359" s="32">
        <f t="shared" si="2"/>
      </c>
      <c r="P359" s="32">
        <f t="shared" si="3"/>
      </c>
      <c r="Q359" s="32">
        <f t="shared" si="4"/>
      </c>
    </row>
    <row r="360" spans="1:17" x14ac:dyDescent="0.25">
      <c r="A360" s="27"/>
      <c r="B360" s="29"/>
      <c r="C360" s="29"/>
      <c r="D360" s="29"/>
      <c r="E360" s="31"/>
      <c r="F360" s="30"/>
      <c r="G360" s="30"/>
      <c r="H360" s="38"/>
      <c r="I360" s="29"/>
      <c r="J360" s="28"/>
      <c r="K360" s="31"/>
      <c r="L360" s="31"/>
      <c r="M360" s="37">
        <f t="shared" si="0"/>
      </c>
      <c r="N360" s="37">
        <f t="shared" si="1"/>
      </c>
      <c r="O360" s="32">
        <f t="shared" si="2"/>
      </c>
      <c r="P360" s="32">
        <f t="shared" si="3"/>
      </c>
      <c r="Q360" s="32">
        <f t="shared" si="4"/>
      </c>
    </row>
    <row r="361" spans="1:17" x14ac:dyDescent="0.25">
      <c r="A361" s="27"/>
      <c r="B361" s="29"/>
      <c r="C361" s="29"/>
      <c r="D361" s="29"/>
      <c r="E361" s="31"/>
      <c r="F361" s="30"/>
      <c r="G361" s="30"/>
      <c r="H361" s="38"/>
      <c r="I361" s="29"/>
      <c r="J361" s="28"/>
      <c r="K361" s="31"/>
      <c r="L361" s="31"/>
      <c r="M361" s="37">
        <f t="shared" si="0"/>
      </c>
      <c r="N361" s="37">
        <f t="shared" si="1"/>
      </c>
      <c r="O361" s="32">
        <f t="shared" si="2"/>
      </c>
      <c r="P361" s="32">
        <f t="shared" si="3"/>
      </c>
      <c r="Q361" s="32">
        <f t="shared" si="4"/>
      </c>
    </row>
    <row r="362" spans="1:17" x14ac:dyDescent="0.25">
      <c r="A362" s="27"/>
      <c r="B362" s="29"/>
      <c r="C362" s="29"/>
      <c r="D362" s="29"/>
      <c r="E362" s="31"/>
      <c r="F362" s="30"/>
      <c r="G362" s="30"/>
      <c r="H362" s="38"/>
      <c r="I362" s="29"/>
      <c r="J362" s="28"/>
      <c r="K362" s="31"/>
      <c r="L362" s="31"/>
      <c r="M362" s="37">
        <f t="shared" si="0"/>
      </c>
      <c r="N362" s="37">
        <f t="shared" si="1"/>
      </c>
      <c r="O362" s="32">
        <f t="shared" si="2"/>
      </c>
      <c r="P362" s="32">
        <f t="shared" si="3"/>
      </c>
      <c r="Q362" s="32">
        <f t="shared" si="4"/>
      </c>
    </row>
    <row r="363" spans="1:17" x14ac:dyDescent="0.25">
      <c r="A363" s="27"/>
      <c r="B363" s="29"/>
      <c r="C363" s="29"/>
      <c r="D363" s="29"/>
      <c r="E363" s="31"/>
      <c r="F363" s="30"/>
      <c r="G363" s="30"/>
      <c r="H363" s="38"/>
      <c r="I363" s="29"/>
      <c r="J363" s="28"/>
      <c r="K363" s="31"/>
      <c r="L363" s="31"/>
      <c r="M363" s="37">
        <f t="shared" si="0"/>
      </c>
      <c r="N363" s="37">
        <f t="shared" si="1"/>
      </c>
      <c r="O363" s="32">
        <f t="shared" si="2"/>
      </c>
      <c r="P363" s="32">
        <f t="shared" si="3"/>
      </c>
      <c r="Q363" s="32">
        <f t="shared" si="4"/>
      </c>
    </row>
    <row r="364" spans="1:17" x14ac:dyDescent="0.25">
      <c r="A364" s="27"/>
      <c r="B364" s="29"/>
      <c r="C364" s="29"/>
      <c r="D364" s="29"/>
      <c r="E364" s="31"/>
      <c r="F364" s="30"/>
      <c r="G364" s="30"/>
      <c r="H364" s="38"/>
      <c r="I364" s="29"/>
      <c r="J364" s="28"/>
      <c r="K364" s="31"/>
      <c r="L364" s="31"/>
      <c r="M364" s="37">
        <f t="shared" si="0"/>
      </c>
      <c r="N364" s="37">
        <f t="shared" si="1"/>
      </c>
      <c r="O364" s="32">
        <f t="shared" si="2"/>
      </c>
      <c r="P364" s="32">
        <f t="shared" si="3"/>
      </c>
      <c r="Q364" s="32">
        <f t="shared" si="4"/>
      </c>
    </row>
    <row r="365" spans="1:17" x14ac:dyDescent="0.25">
      <c r="A365" s="27"/>
      <c r="B365" s="29"/>
      <c r="C365" s="29"/>
      <c r="D365" s="29"/>
      <c r="E365" s="31"/>
      <c r="F365" s="30"/>
      <c r="G365" s="30"/>
      <c r="H365" s="38"/>
      <c r="I365" s="29"/>
      <c r="J365" s="28"/>
      <c r="K365" s="31"/>
      <c r="L365" s="31"/>
      <c r="M365" s="37">
        <f t="shared" si="0"/>
      </c>
      <c r="N365" s="37">
        <f t="shared" si="1"/>
      </c>
      <c r="O365" s="32">
        <f t="shared" si="2"/>
      </c>
      <c r="P365" s="32">
        <f t="shared" si="3"/>
      </c>
      <c r="Q365" s="32">
        <f t="shared" si="4"/>
      </c>
    </row>
    <row r="366" spans="1:17" x14ac:dyDescent="0.25">
      <c r="A366" s="27"/>
      <c r="B366" s="29"/>
      <c r="C366" s="29"/>
      <c r="D366" s="29"/>
      <c r="E366" s="31"/>
      <c r="F366" s="30"/>
      <c r="G366" s="30"/>
      <c r="H366" s="38"/>
      <c r="I366" s="29"/>
      <c r="J366" s="28"/>
      <c r="K366" s="31"/>
      <c r="L366" s="31"/>
      <c r="M366" s="37">
        <f t="shared" si="0"/>
      </c>
      <c r="N366" s="37">
        <f t="shared" si="1"/>
      </c>
      <c r="O366" s="32">
        <f t="shared" si="2"/>
      </c>
      <c r="P366" s="32">
        <f t="shared" si="3"/>
      </c>
      <c r="Q366" s="32">
        <f t="shared" si="4"/>
      </c>
    </row>
    <row r="367" spans="1:17" x14ac:dyDescent="0.25">
      <c r="A367" s="27"/>
      <c r="B367" s="29"/>
      <c r="C367" s="29"/>
      <c r="D367" s="29"/>
      <c r="E367" s="31"/>
      <c r="F367" s="30"/>
      <c r="G367" s="30"/>
      <c r="H367" s="38"/>
      <c r="I367" s="29"/>
      <c r="J367" s="28"/>
      <c r="K367" s="31"/>
      <c r="L367" s="31"/>
      <c r="M367" s="37">
        <f t="shared" si="0"/>
      </c>
      <c r="N367" s="37">
        <f t="shared" si="1"/>
      </c>
      <c r="O367" s="32">
        <f t="shared" si="2"/>
      </c>
      <c r="P367" s="32">
        <f t="shared" si="3"/>
      </c>
      <c r="Q367" s="32">
        <f t="shared" si="4"/>
      </c>
    </row>
    <row r="368" spans="1:17" x14ac:dyDescent="0.25">
      <c r="A368" s="27"/>
      <c r="B368" s="29"/>
      <c r="C368" s="29"/>
      <c r="D368" s="29"/>
      <c r="E368" s="31"/>
      <c r="F368" s="30"/>
      <c r="G368" s="30"/>
      <c r="H368" s="38"/>
      <c r="I368" s="29"/>
      <c r="J368" s="28"/>
      <c r="K368" s="31"/>
      <c r="L368" s="31"/>
      <c r="M368" s="37">
        <f t="shared" si="0"/>
      </c>
      <c r="N368" s="37">
        <f t="shared" si="1"/>
      </c>
      <c r="O368" s="32">
        <f t="shared" si="2"/>
      </c>
      <c r="P368" s="32">
        <f t="shared" si="3"/>
      </c>
      <c r="Q368" s="32">
        <f t="shared" si="4"/>
      </c>
    </row>
    <row r="369" spans="1:17" x14ac:dyDescent="0.25">
      <c r="A369" s="27"/>
      <c r="B369" s="29"/>
      <c r="C369" s="29"/>
      <c r="D369" s="29"/>
      <c r="E369" s="31"/>
      <c r="F369" s="30"/>
      <c r="G369" s="30"/>
      <c r="H369" s="38"/>
      <c r="I369" s="29"/>
      <c r="J369" s="28"/>
      <c r="K369" s="31"/>
      <c r="L369" s="31"/>
      <c r="M369" s="37">
        <f t="shared" si="0"/>
      </c>
      <c r="N369" s="37">
        <f t="shared" si="1"/>
      </c>
      <c r="O369" s="32">
        <f t="shared" si="2"/>
      </c>
      <c r="P369" s="32">
        <f t="shared" si="3"/>
      </c>
      <c r="Q369" s="32">
        <f t="shared" si="4"/>
      </c>
    </row>
    <row r="370" spans="1:17" x14ac:dyDescent="0.25">
      <c r="A370" s="27"/>
      <c r="B370" s="29"/>
      <c r="C370" s="29"/>
      <c r="D370" s="29"/>
      <c r="E370" s="31"/>
      <c r="F370" s="30"/>
      <c r="G370" s="30"/>
      <c r="H370" s="38"/>
      <c r="I370" s="29"/>
      <c r="J370" s="28"/>
      <c r="K370" s="31"/>
      <c r="L370" s="31"/>
      <c r="M370" s="37">
        <f t="shared" si="0"/>
      </c>
      <c r="N370" s="37">
        <f t="shared" si="1"/>
      </c>
      <c r="O370" s="32">
        <f t="shared" si="2"/>
      </c>
      <c r="P370" s="32">
        <f t="shared" si="3"/>
      </c>
      <c r="Q370" s="32">
        <f t="shared" si="4"/>
      </c>
    </row>
    <row r="371" spans="1:17" x14ac:dyDescent="0.25">
      <c r="A371" s="27"/>
      <c r="B371" s="29"/>
      <c r="C371" s="29"/>
      <c r="D371" s="29"/>
      <c r="E371" s="31"/>
      <c r="F371" s="30"/>
      <c r="G371" s="30"/>
      <c r="H371" s="38"/>
      <c r="I371" s="29"/>
      <c r="J371" s="28"/>
      <c r="K371" s="31"/>
      <c r="L371" s="31"/>
      <c r="M371" s="37">
        <f t="shared" si="0"/>
      </c>
      <c r="N371" s="37">
        <f t="shared" si="1"/>
      </c>
      <c r="O371" s="32">
        <f t="shared" si="2"/>
      </c>
      <c r="P371" s="32">
        <f t="shared" si="3"/>
      </c>
      <c r="Q371" s="32">
        <f t="shared" si="4"/>
      </c>
    </row>
    <row r="372" spans="1:17" x14ac:dyDescent="0.25">
      <c r="A372" s="27"/>
      <c r="B372" s="29"/>
      <c r="C372" s="29"/>
      <c r="D372" s="29"/>
      <c r="E372" s="31"/>
      <c r="F372" s="30"/>
      <c r="G372" s="30"/>
      <c r="H372" s="38"/>
      <c r="I372" s="29"/>
      <c r="J372" s="28"/>
      <c r="K372" s="31"/>
      <c r="L372" s="31"/>
      <c r="M372" s="37">
        <f t="shared" si="0"/>
      </c>
      <c r="N372" s="37">
        <f t="shared" si="1"/>
      </c>
      <c r="O372" s="32">
        <f t="shared" si="2"/>
      </c>
      <c r="P372" s="32">
        <f t="shared" si="3"/>
      </c>
      <c r="Q372" s="32">
        <f t="shared" si="4"/>
      </c>
    </row>
    <row r="373" spans="1:17" x14ac:dyDescent="0.25">
      <c r="A373" s="27"/>
      <c r="B373" s="29"/>
      <c r="C373" s="29"/>
      <c r="D373" s="29"/>
      <c r="E373" s="31"/>
      <c r="F373" s="30"/>
      <c r="G373" s="30"/>
      <c r="H373" s="38"/>
      <c r="I373" s="29"/>
      <c r="J373" s="28"/>
      <c r="K373" s="31"/>
      <c r="L373" s="31"/>
      <c r="M373" s="37">
        <f t="shared" si="0"/>
      </c>
      <c r="N373" s="37">
        <f t="shared" si="1"/>
      </c>
      <c r="O373" s="32">
        <f t="shared" si="2"/>
      </c>
      <c r="P373" s="32">
        <f t="shared" si="3"/>
      </c>
      <c r="Q373" s="32">
        <f t="shared" si="4"/>
      </c>
    </row>
    <row r="374" spans="1:17" x14ac:dyDescent="0.25">
      <c r="A374" s="27"/>
      <c r="B374" s="29"/>
      <c r="C374" s="29"/>
      <c r="D374" s="29"/>
      <c r="E374" s="31"/>
      <c r="F374" s="30"/>
      <c r="G374" s="30"/>
      <c r="H374" s="38"/>
      <c r="I374" s="29"/>
      <c r="J374" s="28"/>
      <c r="K374" s="31"/>
      <c r="L374" s="31"/>
      <c r="M374" s="37">
        <f t="shared" si="0"/>
      </c>
      <c r="N374" s="37">
        <f t="shared" si="1"/>
      </c>
      <c r="O374" s="32">
        <f t="shared" si="2"/>
      </c>
      <c r="P374" s="32">
        <f t="shared" si="3"/>
      </c>
      <c r="Q374" s="32">
        <f t="shared" si="4"/>
      </c>
    </row>
    <row r="375" spans="1:17" x14ac:dyDescent="0.25">
      <c r="A375" s="27"/>
      <c r="B375" s="29"/>
      <c r="C375" s="29"/>
      <c r="D375" s="29"/>
      <c r="E375" s="31"/>
      <c r="F375" s="30"/>
      <c r="G375" s="30"/>
      <c r="H375" s="38"/>
      <c r="I375" s="29"/>
      <c r="J375" s="28"/>
      <c r="K375" s="31"/>
      <c r="L375" s="31"/>
      <c r="M375" s="37">
        <f t="shared" si="0"/>
      </c>
      <c r="N375" s="37">
        <f t="shared" si="1"/>
      </c>
      <c r="O375" s="32">
        <f t="shared" si="2"/>
      </c>
      <c r="P375" s="32">
        <f t="shared" si="3"/>
      </c>
      <c r="Q375" s="32">
        <f t="shared" si="4"/>
      </c>
    </row>
    <row r="376" spans="1:17" x14ac:dyDescent="0.25">
      <c r="A376" s="27"/>
      <c r="B376" s="29"/>
      <c r="C376" s="29"/>
      <c r="D376" s="29"/>
      <c r="E376" s="31"/>
      <c r="F376" s="30"/>
      <c r="G376" s="30"/>
      <c r="H376" s="38"/>
      <c r="I376" s="29"/>
      <c r="J376" s="28"/>
      <c r="K376" s="31"/>
      <c r="L376" s="31"/>
      <c r="M376" s="37">
        <f t="shared" si="0"/>
      </c>
      <c r="N376" s="37">
        <f t="shared" si="1"/>
      </c>
      <c r="O376" s="32">
        <f t="shared" si="2"/>
      </c>
      <c r="P376" s="32">
        <f t="shared" si="3"/>
      </c>
      <c r="Q376" s="32">
        <f t="shared" si="4"/>
      </c>
    </row>
    <row r="377" spans="1:17" x14ac:dyDescent="0.25">
      <c r="A377" s="27"/>
      <c r="B377" s="29"/>
      <c r="C377" s="29"/>
      <c r="D377" s="29"/>
      <c r="E377" s="31"/>
      <c r="F377" s="30"/>
      <c r="G377" s="30"/>
      <c r="H377" s="38"/>
      <c r="I377" s="29"/>
      <c r="J377" s="28"/>
      <c r="K377" s="31"/>
      <c r="L377" s="31"/>
      <c r="M377" s="37">
        <f t="shared" si="0"/>
      </c>
      <c r="N377" s="37">
        <f t="shared" si="1"/>
      </c>
      <c r="O377" s="32">
        <f t="shared" si="2"/>
      </c>
      <c r="P377" s="32">
        <f t="shared" si="3"/>
      </c>
      <c r="Q377" s="32">
        <f t="shared" si="4"/>
      </c>
    </row>
    <row r="378" spans="1:17" x14ac:dyDescent="0.25">
      <c r="A378" s="27"/>
      <c r="B378" s="29"/>
      <c r="C378" s="29"/>
      <c r="D378" s="29"/>
      <c r="E378" s="31"/>
      <c r="F378" s="30"/>
      <c r="G378" s="30"/>
      <c r="H378" s="38"/>
      <c r="I378" s="29"/>
      <c r="J378" s="28"/>
      <c r="K378" s="31"/>
      <c r="L378" s="31"/>
      <c r="M378" s="37">
        <f t="shared" si="0"/>
      </c>
      <c r="N378" s="37">
        <f t="shared" si="1"/>
      </c>
      <c r="O378" s="32">
        <f t="shared" si="2"/>
      </c>
      <c r="P378" s="32">
        <f t="shared" si="3"/>
      </c>
      <c r="Q378" s="32">
        <f t="shared" si="4"/>
      </c>
    </row>
    <row r="379" spans="1:17" x14ac:dyDescent="0.25">
      <c r="A379" s="27"/>
      <c r="B379" s="29"/>
      <c r="C379" s="29"/>
      <c r="D379" s="29"/>
      <c r="E379" s="31"/>
      <c r="F379" s="30"/>
      <c r="G379" s="30"/>
      <c r="H379" s="38"/>
      <c r="I379" s="29"/>
      <c r="J379" s="28"/>
      <c r="K379" s="31"/>
      <c r="L379" s="31"/>
      <c r="M379" s="37">
        <f t="shared" si="0"/>
      </c>
      <c r="N379" s="37">
        <f t="shared" si="1"/>
      </c>
      <c r="O379" s="32">
        <f t="shared" si="2"/>
      </c>
      <c r="P379" s="32">
        <f t="shared" si="3"/>
      </c>
      <c r="Q379" s="32">
        <f t="shared" si="4"/>
      </c>
    </row>
    <row r="380" spans="1:17" x14ac:dyDescent="0.25">
      <c r="A380" s="27"/>
      <c r="B380" s="29"/>
      <c r="C380" s="29"/>
      <c r="D380" s="29"/>
      <c r="E380" s="31"/>
      <c r="F380" s="30"/>
      <c r="G380" s="30"/>
      <c r="H380" s="38"/>
      <c r="I380" s="29"/>
      <c r="J380" s="28"/>
      <c r="K380" s="31"/>
      <c r="L380" s="31"/>
      <c r="M380" s="37">
        <f t="shared" si="0"/>
      </c>
      <c r="N380" s="37">
        <f t="shared" si="1"/>
      </c>
      <c r="O380" s="32">
        <f t="shared" si="2"/>
      </c>
      <c r="P380" s="32">
        <f t="shared" si="3"/>
      </c>
      <c r="Q380" s="32">
        <f t="shared" si="4"/>
      </c>
    </row>
    <row r="381" spans="1:17" x14ac:dyDescent="0.25">
      <c r="A381" s="27"/>
      <c r="B381" s="29"/>
      <c r="C381" s="29"/>
      <c r="D381" s="29"/>
      <c r="E381" s="31"/>
      <c r="F381" s="30"/>
      <c r="G381" s="30"/>
      <c r="H381" s="38"/>
      <c r="I381" s="29"/>
      <c r="J381" s="28"/>
      <c r="K381" s="31"/>
      <c r="L381" s="31"/>
      <c r="M381" s="37">
        <f t="shared" si="0"/>
      </c>
      <c r="N381" s="37">
        <f t="shared" si="1"/>
      </c>
      <c r="O381" s="32">
        <f t="shared" si="2"/>
      </c>
      <c r="P381" s="32">
        <f t="shared" si="3"/>
      </c>
      <c r="Q381" s="32">
        <f t="shared" si="4"/>
      </c>
    </row>
    <row r="382" spans="1:17" x14ac:dyDescent="0.25">
      <c r="A382" s="27"/>
      <c r="B382" s="29"/>
      <c r="C382" s="29"/>
      <c r="D382" s="29"/>
      <c r="E382" s="31"/>
      <c r="F382" s="30"/>
      <c r="G382" s="30"/>
      <c r="H382" s="38"/>
      <c r="I382" s="29"/>
      <c r="J382" s="28"/>
      <c r="K382" s="31"/>
      <c r="L382" s="31"/>
      <c r="M382" s="37">
        <f t="shared" si="0"/>
      </c>
      <c r="N382" s="37">
        <f t="shared" si="1"/>
      </c>
      <c r="O382" s="32">
        <f t="shared" si="2"/>
      </c>
      <c r="P382" s="32">
        <f t="shared" si="3"/>
      </c>
      <c r="Q382" s="32">
        <f t="shared" si="4"/>
      </c>
    </row>
    <row r="383" spans="1:17" x14ac:dyDescent="0.25">
      <c r="A383" s="27"/>
      <c r="B383" s="29"/>
      <c r="C383" s="29"/>
      <c r="D383" s="29"/>
      <c r="E383" s="31"/>
      <c r="F383" s="30"/>
      <c r="G383" s="30"/>
      <c r="H383" s="38"/>
      <c r="I383" s="29"/>
      <c r="J383" s="28"/>
      <c r="K383" s="31"/>
      <c r="L383" s="31"/>
      <c r="M383" s="37">
        <f t="shared" si="0"/>
      </c>
      <c r="N383" s="37">
        <f t="shared" si="1"/>
      </c>
      <c r="O383" s="32">
        <f t="shared" si="2"/>
      </c>
      <c r="P383" s="32">
        <f t="shared" si="3"/>
      </c>
      <c r="Q383" s="32">
        <f t="shared" si="4"/>
      </c>
    </row>
    <row r="384" spans="1:17" x14ac:dyDescent="0.25">
      <c r="A384" s="27"/>
      <c r="B384" s="29"/>
      <c r="C384" s="29"/>
      <c r="D384" s="29"/>
      <c r="E384" s="31"/>
      <c r="F384" s="30"/>
      <c r="G384" s="30"/>
      <c r="H384" s="38"/>
      <c r="I384" s="29"/>
      <c r="J384" s="28"/>
      <c r="K384" s="31"/>
      <c r="L384" s="31"/>
      <c r="M384" s="37">
        <f t="shared" si="0"/>
      </c>
      <c r="N384" s="37">
        <f t="shared" si="1"/>
      </c>
      <c r="O384" s="32">
        <f t="shared" si="2"/>
      </c>
      <c r="P384" s="32">
        <f t="shared" si="3"/>
      </c>
      <c r="Q384" s="32">
        <f t="shared" si="4"/>
      </c>
    </row>
    <row r="385" spans="1:17" x14ac:dyDescent="0.25">
      <c r="A385" s="27"/>
      <c r="B385" s="29"/>
      <c r="C385" s="29"/>
      <c r="D385" s="29"/>
      <c r="E385" s="31"/>
      <c r="F385" s="30"/>
      <c r="G385" s="30"/>
      <c r="H385" s="38"/>
      <c r="I385" s="29"/>
      <c r="J385" s="28"/>
      <c r="K385" s="31"/>
      <c r="L385" s="31"/>
      <c r="M385" s="37">
        <f t="shared" si="0"/>
      </c>
      <c r="N385" s="37">
        <f t="shared" si="1"/>
      </c>
      <c r="O385" s="32">
        <f t="shared" si="2"/>
      </c>
      <c r="P385" s="32">
        <f t="shared" si="3"/>
      </c>
      <c r="Q385" s="32">
        <f t="shared" si="4"/>
      </c>
    </row>
    <row r="386" spans="1:17" x14ac:dyDescent="0.25">
      <c r="A386" s="27"/>
      <c r="B386" s="29"/>
      <c r="C386" s="29"/>
      <c r="D386" s="29"/>
      <c r="E386" s="31"/>
      <c r="F386" s="30"/>
      <c r="G386" s="30"/>
      <c r="H386" s="38"/>
      <c r="I386" s="29"/>
      <c r="J386" s="28"/>
      <c r="K386" s="31"/>
      <c r="L386" s="31"/>
      <c r="M386" s="37">
        <f t="shared" si="0"/>
      </c>
      <c r="N386" s="37">
        <f t="shared" si="1"/>
      </c>
      <c r="O386" s="32">
        <f t="shared" si="2"/>
      </c>
      <c r="P386" s="32">
        <f t="shared" si="3"/>
      </c>
      <c r="Q386" s="32">
        <f t="shared" si="4"/>
      </c>
    </row>
    <row r="387" spans="1:17" x14ac:dyDescent="0.25">
      <c r="A387" s="27"/>
      <c r="B387" s="29"/>
      <c r="C387" s="29"/>
      <c r="D387" s="29"/>
      <c r="E387" s="31"/>
      <c r="F387" s="30"/>
      <c r="G387" s="30"/>
      <c r="H387" s="38"/>
      <c r="I387" s="29"/>
      <c r="J387" s="28"/>
      <c r="K387" s="31"/>
      <c r="L387" s="31"/>
      <c r="M387" s="37">
        <f t="shared" si="0"/>
      </c>
      <c r="N387" s="37">
        <f t="shared" si="1"/>
      </c>
      <c r="O387" s="32">
        <f t="shared" si="2"/>
      </c>
      <c r="P387" s="32">
        <f t="shared" si="3"/>
      </c>
      <c r="Q387" s="32">
        <f t="shared" si="4"/>
      </c>
    </row>
    <row r="388" spans="1:17" x14ac:dyDescent="0.25">
      <c r="A388" s="27"/>
      <c r="B388" s="29"/>
      <c r="C388" s="29"/>
      <c r="D388" s="29"/>
      <c r="E388" s="31"/>
      <c r="F388" s="30"/>
      <c r="G388" s="30"/>
      <c r="H388" s="38"/>
      <c r="I388" s="29"/>
      <c r="J388" s="28"/>
      <c r="K388" s="31"/>
      <c r="L388" s="31"/>
      <c r="M388" s="37">
        <f t="shared" si="0"/>
      </c>
      <c r="N388" s="37">
        <f t="shared" si="1"/>
      </c>
      <c r="O388" s="32">
        <f t="shared" si="2"/>
      </c>
      <c r="P388" s="32">
        <f t="shared" si="3"/>
      </c>
      <c r="Q388" s="32">
        <f t="shared" si="4"/>
      </c>
    </row>
    <row r="389" spans="1:17" x14ac:dyDescent="0.25">
      <c r="A389" s="27"/>
      <c r="B389" s="29"/>
      <c r="C389" s="29"/>
      <c r="D389" s="29"/>
      <c r="E389" s="31"/>
      <c r="F389" s="30"/>
      <c r="G389" s="30"/>
      <c r="H389" s="38"/>
      <c r="I389" s="29"/>
      <c r="J389" s="28"/>
      <c r="K389" s="31"/>
      <c r="L389" s="31"/>
      <c r="M389" s="37">
        <f t="shared" si="0"/>
      </c>
      <c r="N389" s="37">
        <f t="shared" si="1"/>
      </c>
      <c r="O389" s="32">
        <f t="shared" si="2"/>
      </c>
      <c r="P389" s="32">
        <f t="shared" si="3"/>
      </c>
      <c r="Q389" s="32">
        <f t="shared" si="4"/>
      </c>
    </row>
    <row r="390" spans="1:17" x14ac:dyDescent="0.25">
      <c r="A390" s="27"/>
      <c r="B390" s="29"/>
      <c r="C390" s="29"/>
      <c r="D390" s="29"/>
      <c r="E390" s="31"/>
      <c r="F390" s="30"/>
      <c r="G390" s="30"/>
      <c r="H390" s="38"/>
      <c r="I390" s="29"/>
      <c r="J390" s="28"/>
      <c r="K390" s="31"/>
      <c r="L390" s="31"/>
      <c r="M390" s="37">
        <f t="shared" si="0"/>
      </c>
      <c r="N390" s="37">
        <f t="shared" si="1"/>
      </c>
      <c r="O390" s="32">
        <f t="shared" si="2"/>
      </c>
      <c r="P390" s="32">
        <f t="shared" si="3"/>
      </c>
      <c r="Q390" s="32">
        <f t="shared" si="4"/>
      </c>
    </row>
    <row r="391" spans="1:17" x14ac:dyDescent="0.25">
      <c r="A391" s="27"/>
      <c r="B391" s="29"/>
      <c r="C391" s="29"/>
      <c r="D391" s="29"/>
      <c r="E391" s="31"/>
      <c r="F391" s="30"/>
      <c r="G391" s="30"/>
      <c r="H391" s="38"/>
      <c r="I391" s="29"/>
      <c r="J391" s="28"/>
      <c r="K391" s="31"/>
      <c r="L391" s="31"/>
      <c r="M391" s="37">
        <f t="shared" si="0"/>
      </c>
      <c r="N391" s="37">
        <f t="shared" si="1"/>
      </c>
      <c r="O391" s="32">
        <f t="shared" si="2"/>
      </c>
      <c r="P391" s="32">
        <f t="shared" si="3"/>
      </c>
      <c r="Q391" s="32">
        <f t="shared" si="4"/>
      </c>
    </row>
    <row r="392" spans="1:17" x14ac:dyDescent="0.25">
      <c r="A392" s="27"/>
      <c r="B392" s="29"/>
      <c r="C392" s="29"/>
      <c r="D392" s="29"/>
      <c r="E392" s="31"/>
      <c r="F392" s="30"/>
      <c r="G392" s="30"/>
      <c r="H392" s="38"/>
      <c r="I392" s="29"/>
      <c r="J392" s="28"/>
      <c r="K392" s="31"/>
      <c r="L392" s="31"/>
      <c r="M392" s="37">
        <f t="shared" si="0"/>
      </c>
      <c r="N392" s="37">
        <f t="shared" si="1"/>
      </c>
      <c r="O392" s="32">
        <f t="shared" si="2"/>
      </c>
      <c r="P392" s="32">
        <f t="shared" si="3"/>
      </c>
      <c r="Q392" s="32">
        <f t="shared" si="4"/>
      </c>
    </row>
    <row r="393" spans="1:17" x14ac:dyDescent="0.25">
      <c r="A393" s="27"/>
      <c r="B393" s="29"/>
      <c r="C393" s="29"/>
      <c r="D393" s="29"/>
      <c r="E393" s="31"/>
      <c r="F393" s="30"/>
      <c r="G393" s="30"/>
      <c r="H393" s="38"/>
      <c r="I393" s="29"/>
      <c r="J393" s="28"/>
      <c r="K393" s="31"/>
      <c r="L393" s="31"/>
      <c r="M393" s="37">
        <f t="shared" si="0"/>
      </c>
      <c r="N393" s="37">
        <f t="shared" si="1"/>
      </c>
      <c r="O393" s="32">
        <f t="shared" si="2"/>
      </c>
      <c r="P393" s="32">
        <f t="shared" si="3"/>
      </c>
      <c r="Q393" s="32">
        <f t="shared" si="4"/>
      </c>
    </row>
    <row r="394" spans="1:17" x14ac:dyDescent="0.25">
      <c r="A394" s="27"/>
      <c r="B394" s="29"/>
      <c r="C394" s="29"/>
      <c r="D394" s="29"/>
      <c r="E394" s="31"/>
      <c r="F394" s="30"/>
      <c r="G394" s="30"/>
      <c r="H394" s="38"/>
      <c r="I394" s="29"/>
      <c r="J394" s="28"/>
      <c r="K394" s="31"/>
      <c r="L394" s="31"/>
      <c r="M394" s="37">
        <f t="shared" si="0"/>
      </c>
      <c r="N394" s="37">
        <f t="shared" si="1"/>
      </c>
      <c r="O394" s="32">
        <f t="shared" si="2"/>
      </c>
      <c r="P394" s="32">
        <f t="shared" si="3"/>
      </c>
      <c r="Q394" s="32">
        <f t="shared" si="4"/>
      </c>
    </row>
    <row r="395" spans="1:17" x14ac:dyDescent="0.25">
      <c r="A395" s="27"/>
      <c r="B395" s="29"/>
      <c r="C395" s="29"/>
      <c r="D395" s="29"/>
      <c r="E395" s="31"/>
      <c r="F395" s="30"/>
      <c r="G395" s="30"/>
      <c r="H395" s="38"/>
      <c r="I395" s="29"/>
      <c r="J395" s="28"/>
      <c r="K395" s="31"/>
      <c r="L395" s="31"/>
      <c r="M395" s="37">
        <f t="shared" si="0"/>
      </c>
      <c r="N395" s="37">
        <f t="shared" si="1"/>
      </c>
      <c r="O395" s="32">
        <f t="shared" si="2"/>
      </c>
      <c r="P395" s="32">
        <f t="shared" si="3"/>
      </c>
      <c r="Q395" s="32">
        <f t="shared" si="4"/>
      </c>
    </row>
    <row r="396" spans="1:17" x14ac:dyDescent="0.25">
      <c r="A396" s="27"/>
      <c r="B396" s="29"/>
      <c r="C396" s="29"/>
      <c r="D396" s="29"/>
      <c r="E396" s="31"/>
      <c r="F396" s="30"/>
      <c r="G396" s="30"/>
      <c r="H396" s="38"/>
      <c r="I396" s="29"/>
      <c r="J396" s="28"/>
      <c r="K396" s="31"/>
      <c r="L396" s="31"/>
      <c r="M396" s="37">
        <f t="shared" si="0"/>
      </c>
      <c r="N396" s="37">
        <f t="shared" si="1"/>
      </c>
      <c r="O396" s="32">
        <f t="shared" si="2"/>
      </c>
      <c r="P396" s="32">
        <f t="shared" si="3"/>
      </c>
      <c r="Q396" s="32">
        <f t="shared" si="4"/>
      </c>
    </row>
    <row r="397" spans="1:17" x14ac:dyDescent="0.25">
      <c r="A397" s="27"/>
      <c r="B397" s="29"/>
      <c r="C397" s="29"/>
      <c r="D397" s="29"/>
      <c r="E397" s="31"/>
      <c r="F397" s="30"/>
      <c r="G397" s="30"/>
      <c r="H397" s="38"/>
      <c r="I397" s="29"/>
      <c r="J397" s="28"/>
      <c r="K397" s="31"/>
      <c r="L397" s="31"/>
      <c r="M397" s="37">
        <f t="shared" si="0"/>
      </c>
      <c r="N397" s="37">
        <f t="shared" si="1"/>
      </c>
      <c r="O397" s="32">
        <f t="shared" si="2"/>
      </c>
      <c r="P397" s="32">
        <f t="shared" si="3"/>
      </c>
      <c r="Q397" s="32">
        <f t="shared" si="4"/>
      </c>
    </row>
    <row r="398" spans="1:17" x14ac:dyDescent="0.25">
      <c r="A398" s="27"/>
      <c r="B398" s="29"/>
      <c r="C398" s="29"/>
      <c r="D398" s="29"/>
      <c r="E398" s="31"/>
      <c r="F398" s="30"/>
      <c r="G398" s="30"/>
      <c r="H398" s="38"/>
      <c r="I398" s="29"/>
      <c r="J398" s="28"/>
      <c r="K398" s="31"/>
      <c r="L398" s="31"/>
      <c r="M398" s="37">
        <f t="shared" si="0"/>
      </c>
      <c r="N398" s="37">
        <f t="shared" si="1"/>
      </c>
      <c r="O398" s="32">
        <f t="shared" si="2"/>
      </c>
      <c r="P398" s="32">
        <f t="shared" si="3"/>
      </c>
      <c r="Q398" s="32">
        <f t="shared" si="4"/>
      </c>
    </row>
    <row r="399" spans="1:17" x14ac:dyDescent="0.25">
      <c r="A399" s="27"/>
      <c r="B399" s="29"/>
      <c r="C399" s="29"/>
      <c r="D399" s="29"/>
      <c r="E399" s="31"/>
      <c r="F399" s="30"/>
      <c r="G399" s="30"/>
      <c r="H399" s="38"/>
      <c r="I399" s="29"/>
      <c r="J399" s="28"/>
      <c r="K399" s="31"/>
      <c r="L399" s="31"/>
      <c r="M399" s="37">
        <f t="shared" si="0"/>
      </c>
      <c r="N399" s="37">
        <f t="shared" si="1"/>
      </c>
      <c r="O399" s="32">
        <f t="shared" si="2"/>
      </c>
      <c r="P399" s="32">
        <f t="shared" si="3"/>
      </c>
      <c r="Q399" s="32">
        <f t="shared" si="4"/>
      </c>
    </row>
    <row r="400" spans="1:17" x14ac:dyDescent="0.25">
      <c r="A400" s="27"/>
      <c r="B400" s="29"/>
      <c r="C400" s="29"/>
      <c r="D400" s="29"/>
      <c r="E400" s="31"/>
      <c r="F400" s="30"/>
      <c r="G400" s="30"/>
      <c r="H400" s="38"/>
      <c r="I400" s="29"/>
      <c r="J400" s="28"/>
      <c r="K400" s="31"/>
      <c r="L400" s="31"/>
      <c r="M400" s="37">
        <f t="shared" si="0"/>
      </c>
      <c r="N400" s="37">
        <f t="shared" si="1"/>
      </c>
      <c r="O400" s="32">
        <f t="shared" si="2"/>
      </c>
      <c r="P400" s="32">
        <f t="shared" si="3"/>
      </c>
      <c r="Q400" s="32">
        <f t="shared" si="4"/>
      </c>
    </row>
    <row r="401" spans="1:17" x14ac:dyDescent="0.25">
      <c r="A401" s="27"/>
      <c r="B401" s="29"/>
      <c r="C401" s="29"/>
      <c r="D401" s="29"/>
      <c r="E401" s="31"/>
      <c r="F401" s="30"/>
      <c r="G401" s="30"/>
      <c r="H401" s="38"/>
      <c r="I401" s="29"/>
      <c r="J401" s="28"/>
      <c r="K401" s="31"/>
      <c r="L401" s="31"/>
      <c r="M401" s="37">
        <f t="shared" si="0"/>
      </c>
      <c r="N401" s="37">
        <f t="shared" si="1"/>
      </c>
      <c r="O401" s="32">
        <f t="shared" si="2"/>
      </c>
      <c r="P401" s="32">
        <f t="shared" si="3"/>
      </c>
      <c r="Q401" s="32">
        <f t="shared" si="4"/>
      </c>
    </row>
    <row r="402" spans="1:17" x14ac:dyDescent="0.25">
      <c r="A402" s="27"/>
      <c r="B402" s="29"/>
      <c r="C402" s="29"/>
      <c r="D402" s="29"/>
      <c r="E402" s="31"/>
      <c r="F402" s="30"/>
      <c r="G402" s="30"/>
      <c r="H402" s="38"/>
      <c r="I402" s="29"/>
      <c r="J402" s="28"/>
      <c r="K402" s="31"/>
      <c r="L402" s="31"/>
      <c r="M402" s="37">
        <f t="shared" si="0"/>
      </c>
      <c r="N402" s="37">
        <f t="shared" si="1"/>
      </c>
      <c r="O402" s="32">
        <f t="shared" si="2"/>
      </c>
      <c r="P402" s="32">
        <f t="shared" si="3"/>
      </c>
      <c r="Q402" s="32">
        <f t="shared" si="4"/>
      </c>
    </row>
    <row r="403" spans="1:17" x14ac:dyDescent="0.25">
      <c r="A403" s="27"/>
      <c r="B403" s="29"/>
      <c r="C403" s="29"/>
      <c r="D403" s="29"/>
      <c r="E403" s="31"/>
      <c r="F403" s="30"/>
      <c r="G403" s="30"/>
      <c r="H403" s="38"/>
      <c r="I403" s="29"/>
      <c r="J403" s="28"/>
      <c r="K403" s="31"/>
      <c r="L403" s="31"/>
      <c r="M403" s="37">
        <f t="shared" si="0"/>
      </c>
      <c r="N403" s="37">
        <f t="shared" si="1"/>
      </c>
      <c r="O403" s="32">
        <f t="shared" si="2"/>
      </c>
      <c r="P403" s="32">
        <f t="shared" si="3"/>
      </c>
      <c r="Q403" s="32">
        <f t="shared" si="4"/>
      </c>
    </row>
    <row r="404" spans="1:17" x14ac:dyDescent="0.25">
      <c r="A404" s="27"/>
      <c r="B404" s="29"/>
      <c r="C404" s="29"/>
      <c r="D404" s="29"/>
      <c r="E404" s="31"/>
      <c r="F404" s="30"/>
      <c r="G404" s="30"/>
      <c r="H404" s="38"/>
      <c r="I404" s="29"/>
      <c r="J404" s="28"/>
      <c r="K404" s="31"/>
      <c r="L404" s="31"/>
      <c r="M404" s="37">
        <f t="shared" si="0"/>
      </c>
      <c r="N404" s="37">
        <f t="shared" si="1"/>
      </c>
      <c r="O404" s="32">
        <f t="shared" si="2"/>
      </c>
      <c r="P404" s="32">
        <f t="shared" si="3"/>
      </c>
      <c r="Q404" s="32">
        <f t="shared" si="4"/>
      </c>
    </row>
    <row r="405" spans="1:17" x14ac:dyDescent="0.25">
      <c r="A405" s="27"/>
      <c r="B405" s="29"/>
      <c r="C405" s="29"/>
      <c r="D405" s="29"/>
      <c r="E405" s="31"/>
      <c r="F405" s="30"/>
      <c r="G405" s="30"/>
      <c r="H405" s="38"/>
      <c r="I405" s="29"/>
      <c r="J405" s="28"/>
      <c r="K405" s="31"/>
      <c r="L405" s="31"/>
      <c r="M405" s="37">
        <f t="shared" si="0"/>
      </c>
      <c r="N405" s="37">
        <f t="shared" si="1"/>
      </c>
      <c r="O405" s="32">
        <f t="shared" si="2"/>
      </c>
      <c r="P405" s="32">
        <f t="shared" si="3"/>
      </c>
      <c r="Q405" s="32">
        <f t="shared" si="4"/>
      </c>
    </row>
    <row r="406" spans="1:17" x14ac:dyDescent="0.25">
      <c r="A406" s="27"/>
      <c r="B406" s="29"/>
      <c r="C406" s="29"/>
      <c r="D406" s="29"/>
      <c r="E406" s="31"/>
      <c r="F406" s="30"/>
      <c r="G406" s="30"/>
      <c r="H406" s="38"/>
      <c r="I406" s="29"/>
      <c r="J406" s="28"/>
      <c r="K406" s="31"/>
      <c r="L406" s="31"/>
      <c r="M406" s="37">
        <f t="shared" si="0"/>
      </c>
      <c r="N406" s="37">
        <f t="shared" si="1"/>
      </c>
      <c r="O406" s="32">
        <f t="shared" si="2"/>
      </c>
      <c r="P406" s="32">
        <f t="shared" si="3"/>
      </c>
      <c r="Q406" s="32">
        <f t="shared" si="4"/>
      </c>
    </row>
    <row r="407" spans="1:17" x14ac:dyDescent="0.25">
      <c r="A407" s="27"/>
      <c r="B407" s="29"/>
      <c r="C407" s="29"/>
      <c r="D407" s="29"/>
      <c r="E407" s="31"/>
      <c r="F407" s="30"/>
      <c r="G407" s="30"/>
      <c r="H407" s="38"/>
      <c r="I407" s="29"/>
      <c r="J407" s="28"/>
      <c r="K407" s="31"/>
      <c r="L407" s="31"/>
      <c r="M407" s="37">
        <f t="shared" si="0"/>
      </c>
      <c r="N407" s="37">
        <f t="shared" si="1"/>
      </c>
      <c r="O407" s="32">
        <f t="shared" si="2"/>
      </c>
      <c r="P407" s="32">
        <f t="shared" si="3"/>
      </c>
      <c r="Q407" s="32">
        <f t="shared" si="4"/>
      </c>
    </row>
    <row r="408" spans="1:17" x14ac:dyDescent="0.25">
      <c r="A408" s="27"/>
      <c r="B408" s="29"/>
      <c r="C408" s="29"/>
      <c r="D408" s="29"/>
      <c r="E408" s="31"/>
      <c r="F408" s="30"/>
      <c r="G408" s="30"/>
      <c r="H408" s="38"/>
      <c r="I408" s="29"/>
      <c r="J408" s="28"/>
      <c r="K408" s="31"/>
      <c r="L408" s="31"/>
      <c r="M408" s="37">
        <f t="shared" si="0"/>
      </c>
      <c r="N408" s="37">
        <f t="shared" si="1"/>
      </c>
      <c r="O408" s="32">
        <f t="shared" si="2"/>
      </c>
      <c r="P408" s="32">
        <f t="shared" si="3"/>
      </c>
      <c r="Q408" s="32">
        <f t="shared" si="4"/>
      </c>
    </row>
    <row r="409" spans="1:17" x14ac:dyDescent="0.25">
      <c r="A409" s="27"/>
      <c r="B409" s="29"/>
      <c r="C409" s="29"/>
      <c r="D409" s="29"/>
      <c r="E409" s="31"/>
      <c r="F409" s="30"/>
      <c r="G409" s="30"/>
      <c r="H409" s="38"/>
      <c r="I409" s="29"/>
      <c r="J409" s="28"/>
      <c r="K409" s="31"/>
      <c r="L409" s="31"/>
      <c r="M409" s="37">
        <f t="shared" si="0"/>
      </c>
      <c r="N409" s="37">
        <f t="shared" si="1"/>
      </c>
      <c r="O409" s="32">
        <f t="shared" si="2"/>
      </c>
      <c r="P409" s="32">
        <f t="shared" si="3"/>
      </c>
      <c r="Q409" s="32">
        <f t="shared" si="4"/>
      </c>
    </row>
    <row r="410" spans="1:17" x14ac:dyDescent="0.25">
      <c r="A410" s="27"/>
      <c r="B410" s="29"/>
      <c r="C410" s="29"/>
      <c r="D410" s="29"/>
      <c r="E410" s="31"/>
      <c r="F410" s="30"/>
      <c r="G410" s="30"/>
      <c r="H410" s="38"/>
      <c r="I410" s="29"/>
      <c r="J410" s="28"/>
      <c r="K410" s="31"/>
      <c r="L410" s="31"/>
      <c r="M410" s="37">
        <f t="shared" si="0"/>
      </c>
      <c r="N410" s="37">
        <f t="shared" si="1"/>
      </c>
      <c r="O410" s="32">
        <f t="shared" si="2"/>
      </c>
      <c r="P410" s="32">
        <f t="shared" si="3"/>
      </c>
      <c r="Q410" s="32">
        <f t="shared" si="4"/>
      </c>
    </row>
    <row r="411" spans="1:17" x14ac:dyDescent="0.25">
      <c r="A411" s="27"/>
      <c r="B411" s="29"/>
      <c r="C411" s="29"/>
      <c r="D411" s="29"/>
      <c r="E411" s="31"/>
      <c r="F411" s="30"/>
      <c r="G411" s="30"/>
      <c r="H411" s="38"/>
      <c r="I411" s="29"/>
      <c r="J411" s="28"/>
      <c r="K411" s="31"/>
      <c r="L411" s="31"/>
      <c r="M411" s="37">
        <f t="shared" si="0"/>
      </c>
      <c r="N411" s="37">
        <f t="shared" si="1"/>
      </c>
      <c r="O411" s="32">
        <f t="shared" si="2"/>
      </c>
      <c r="P411" s="32">
        <f t="shared" si="3"/>
      </c>
      <c r="Q411" s="32">
        <f t="shared" si="4"/>
      </c>
    </row>
    <row r="412" spans="1:17" x14ac:dyDescent="0.25">
      <c r="A412" s="27"/>
      <c r="B412" s="29"/>
      <c r="C412" s="29"/>
      <c r="D412" s="29"/>
      <c r="E412" s="31"/>
      <c r="F412" s="30"/>
      <c r="G412" s="30"/>
      <c r="H412" s="38"/>
      <c r="I412" s="29"/>
      <c r="J412" s="28"/>
      <c r="K412" s="31"/>
      <c r="L412" s="31"/>
      <c r="M412" s="37">
        <f t="shared" si="0"/>
      </c>
      <c r="N412" s="37">
        <f t="shared" si="1"/>
      </c>
      <c r="O412" s="32">
        <f t="shared" si="2"/>
      </c>
      <c r="P412" s="32">
        <f t="shared" si="3"/>
      </c>
      <c r="Q412" s="32">
        <f t="shared" si="4"/>
      </c>
    </row>
    <row r="413" spans="1:17" x14ac:dyDescent="0.25">
      <c r="A413" s="27"/>
      <c r="B413" s="29"/>
      <c r="C413" s="29"/>
      <c r="D413" s="29"/>
      <c r="E413" s="31"/>
      <c r="F413" s="30"/>
      <c r="G413" s="30"/>
      <c r="H413" s="38"/>
      <c r="I413" s="29"/>
      <c r="J413" s="28"/>
      <c r="K413" s="31"/>
      <c r="L413" s="31"/>
      <c r="M413" s="37">
        <f t="shared" si="0"/>
      </c>
      <c r="N413" s="37">
        <f t="shared" si="1"/>
      </c>
      <c r="O413" s="32">
        <f t="shared" si="2"/>
      </c>
      <c r="P413" s="32">
        <f t="shared" si="3"/>
      </c>
      <c r="Q413" s="32">
        <f t="shared" si="4"/>
      </c>
    </row>
    <row r="414" spans="1:17" x14ac:dyDescent="0.25">
      <c r="A414" s="27"/>
      <c r="B414" s="29"/>
      <c r="C414" s="29"/>
      <c r="D414" s="29"/>
      <c r="E414" s="31"/>
      <c r="F414" s="30"/>
      <c r="G414" s="30"/>
      <c r="H414" s="38"/>
      <c r="I414" s="29"/>
      <c r="J414" s="28"/>
      <c r="K414" s="31"/>
      <c r="L414" s="31"/>
      <c r="M414" s="37">
        <f t="shared" si="0"/>
      </c>
      <c r="N414" s="37">
        <f t="shared" si="1"/>
      </c>
      <c r="O414" s="32">
        <f t="shared" si="2"/>
      </c>
      <c r="P414" s="32">
        <f t="shared" si="3"/>
      </c>
      <c r="Q414" s="32">
        <f t="shared" si="4"/>
      </c>
    </row>
    <row r="415" spans="1:17" x14ac:dyDescent="0.25">
      <c r="A415" s="27"/>
      <c r="B415" s="29"/>
      <c r="C415" s="29"/>
      <c r="D415" s="29"/>
      <c r="E415" s="31"/>
      <c r="F415" s="30"/>
      <c r="G415" s="30"/>
      <c r="H415" s="38"/>
      <c r="I415" s="29"/>
      <c r="J415" s="28"/>
      <c r="K415" s="31"/>
      <c r="L415" s="31"/>
      <c r="M415" s="37">
        <f t="shared" si="0"/>
      </c>
      <c r="N415" s="37">
        <f t="shared" si="1"/>
      </c>
      <c r="O415" s="32">
        <f t="shared" si="2"/>
      </c>
      <c r="P415" s="32">
        <f t="shared" si="3"/>
      </c>
      <c r="Q415" s="32">
        <f t="shared" si="4"/>
      </c>
    </row>
    <row r="416" spans="1:17" x14ac:dyDescent="0.25">
      <c r="A416" s="27"/>
      <c r="B416" s="29"/>
      <c r="C416" s="29"/>
      <c r="D416" s="29"/>
      <c r="E416" s="31"/>
      <c r="F416" s="30"/>
      <c r="G416" s="30"/>
      <c r="H416" s="38"/>
      <c r="I416" s="29"/>
      <c r="J416" s="28"/>
      <c r="K416" s="31"/>
      <c r="L416" s="31"/>
      <c r="M416" s="37">
        <f t="shared" si="0"/>
      </c>
      <c r="N416" s="37">
        <f t="shared" si="1"/>
      </c>
      <c r="O416" s="32">
        <f t="shared" si="2"/>
      </c>
      <c r="P416" s="32">
        <f t="shared" si="3"/>
      </c>
      <c r="Q416" s="32">
        <f t="shared" si="4"/>
      </c>
    </row>
    <row r="417" spans="1:17" x14ac:dyDescent="0.25">
      <c r="A417" s="27"/>
      <c r="B417" s="29"/>
      <c r="C417" s="29"/>
      <c r="D417" s="29"/>
      <c r="E417" s="31"/>
      <c r="F417" s="30"/>
      <c r="G417" s="30"/>
      <c r="H417" s="38"/>
      <c r="I417" s="29"/>
      <c r="J417" s="28"/>
      <c r="K417" s="31"/>
      <c r="L417" s="31"/>
      <c r="M417" s="37">
        <f t="shared" si="0"/>
      </c>
      <c r="N417" s="37">
        <f t="shared" si="1"/>
      </c>
      <c r="O417" s="32">
        <f t="shared" si="2"/>
      </c>
      <c r="P417" s="32">
        <f t="shared" si="3"/>
      </c>
      <c r="Q417" s="32">
        <f t="shared" si="4"/>
      </c>
    </row>
    <row r="418" spans="1:17" x14ac:dyDescent="0.25">
      <c r="A418" s="27"/>
      <c r="B418" s="29"/>
      <c r="C418" s="29"/>
      <c r="D418" s="29"/>
      <c r="E418" s="31"/>
      <c r="F418" s="30"/>
      <c r="G418" s="30"/>
      <c r="H418" s="38"/>
      <c r="I418" s="29"/>
      <c r="J418" s="28"/>
      <c r="K418" s="31"/>
      <c r="L418" s="31"/>
      <c r="M418" s="37">
        <f t="shared" si="0"/>
      </c>
      <c r="N418" s="37">
        <f t="shared" si="1"/>
      </c>
      <c r="O418" s="32">
        <f t="shared" si="2"/>
      </c>
      <c r="P418" s="32">
        <f t="shared" si="3"/>
      </c>
      <c r="Q418" s="32">
        <f t="shared" si="4"/>
      </c>
    </row>
    <row r="419" spans="1:17" x14ac:dyDescent="0.25">
      <c r="A419" s="27"/>
      <c r="B419" s="29"/>
      <c r="C419" s="29"/>
      <c r="D419" s="29"/>
      <c r="E419" s="31"/>
      <c r="F419" s="30"/>
      <c r="G419" s="30"/>
      <c r="H419" s="38"/>
      <c r="I419" s="29"/>
      <c r="J419" s="28"/>
      <c r="K419" s="31"/>
      <c r="L419" s="31"/>
      <c r="M419" s="37">
        <f t="shared" si="0"/>
      </c>
      <c r="N419" s="37">
        <f t="shared" si="1"/>
      </c>
      <c r="O419" s="32">
        <f t="shared" si="2"/>
      </c>
      <c r="P419" s="32">
        <f t="shared" si="3"/>
      </c>
      <c r="Q419" s="32">
        <f t="shared" si="4"/>
      </c>
    </row>
    <row r="420" spans="1:17" x14ac:dyDescent="0.25">
      <c r="A420" s="27"/>
      <c r="B420" s="29"/>
      <c r="C420" s="29"/>
      <c r="D420" s="29"/>
      <c r="E420" s="31"/>
      <c r="F420" s="30"/>
      <c r="G420" s="30"/>
      <c r="H420" s="38"/>
      <c r="I420" s="29"/>
      <c r="J420" s="28"/>
      <c r="K420" s="31"/>
      <c r="L420" s="31"/>
      <c r="M420" s="37">
        <f t="shared" si="0"/>
      </c>
      <c r="N420" s="37">
        <f t="shared" si="1"/>
      </c>
      <c r="O420" s="32">
        <f t="shared" si="2"/>
      </c>
      <c r="P420" s="32">
        <f t="shared" si="3"/>
      </c>
      <c r="Q420" s="32">
        <f t="shared" si="4"/>
      </c>
    </row>
    <row r="421" spans="1:17" x14ac:dyDescent="0.25">
      <c r="A421" s="27"/>
      <c r="B421" s="29"/>
      <c r="C421" s="29"/>
      <c r="D421" s="29"/>
      <c r="E421" s="31"/>
      <c r="F421" s="30"/>
      <c r="G421" s="30"/>
      <c r="H421" s="38"/>
      <c r="I421" s="29"/>
      <c r="J421" s="28"/>
      <c r="K421" s="31"/>
      <c r="L421" s="31"/>
      <c r="M421" s="37">
        <f t="shared" si="0"/>
      </c>
      <c r="N421" s="37">
        <f t="shared" si="1"/>
      </c>
      <c r="O421" s="32">
        <f t="shared" si="2"/>
      </c>
      <c r="P421" s="32">
        <f t="shared" si="3"/>
      </c>
      <c r="Q421" s="32">
        <f t="shared" si="4"/>
      </c>
    </row>
    <row r="422" spans="1:17" x14ac:dyDescent="0.25">
      <c r="A422" s="27"/>
      <c r="B422" s="29"/>
      <c r="C422" s="29"/>
      <c r="D422" s="29"/>
      <c r="E422" s="31"/>
      <c r="F422" s="30"/>
      <c r="G422" s="30"/>
      <c r="H422" s="38"/>
      <c r="I422" s="29"/>
      <c r="J422" s="28"/>
      <c r="K422" s="31"/>
      <c r="L422" s="31"/>
      <c r="M422" s="37">
        <f t="shared" si="0"/>
      </c>
      <c r="N422" s="37">
        <f t="shared" si="1"/>
      </c>
      <c r="O422" s="32">
        <f t="shared" si="2"/>
      </c>
      <c r="P422" s="32">
        <f t="shared" si="3"/>
      </c>
      <c r="Q422" s="32">
        <f t="shared" si="4"/>
      </c>
    </row>
    <row r="423" spans="1:17" x14ac:dyDescent="0.25">
      <c r="A423" s="27"/>
      <c r="B423" s="29"/>
      <c r="C423" s="29"/>
      <c r="D423" s="29"/>
      <c r="E423" s="31"/>
      <c r="F423" s="30"/>
      <c r="G423" s="30"/>
      <c r="H423" s="38"/>
      <c r="I423" s="29"/>
      <c r="J423" s="28"/>
      <c r="K423" s="31"/>
      <c r="L423" s="31"/>
      <c r="M423" s="37">
        <f t="shared" si="0"/>
      </c>
      <c r="N423" s="37">
        <f t="shared" si="1"/>
      </c>
      <c r="O423" s="32">
        <f t="shared" si="2"/>
      </c>
      <c r="P423" s="32">
        <f t="shared" si="3"/>
      </c>
      <c r="Q423" s="32">
        <f t="shared" si="4"/>
      </c>
    </row>
    <row r="424" spans="1:17" x14ac:dyDescent="0.25">
      <c r="A424" s="27"/>
      <c r="B424" s="29"/>
      <c r="C424" s="29"/>
      <c r="D424" s="29"/>
      <c r="E424" s="31"/>
      <c r="F424" s="30"/>
      <c r="G424" s="30"/>
      <c r="H424" s="38"/>
      <c r="I424" s="29"/>
      <c r="J424" s="28"/>
      <c r="K424" s="31"/>
      <c r="L424" s="31"/>
      <c r="M424" s="37">
        <f t="shared" si="0"/>
      </c>
      <c r="N424" s="37">
        <f t="shared" si="1"/>
      </c>
      <c r="O424" s="32">
        <f t="shared" si="2"/>
      </c>
      <c r="P424" s="32">
        <f t="shared" si="3"/>
      </c>
      <c r="Q424" s="32">
        <f t="shared" si="4"/>
      </c>
    </row>
    <row r="425" spans="1:17" x14ac:dyDescent="0.25">
      <c r="A425" s="27"/>
      <c r="B425" s="29"/>
      <c r="C425" s="29"/>
      <c r="D425" s="29"/>
      <c r="E425" s="31"/>
      <c r="F425" s="30"/>
      <c r="G425" s="30"/>
      <c r="H425" s="38"/>
      <c r="I425" s="29"/>
      <c r="J425" s="28"/>
      <c r="K425" s="31"/>
      <c r="L425" s="31"/>
      <c r="M425" s="37">
        <f t="shared" si="0"/>
      </c>
      <c r="N425" s="37">
        <f t="shared" si="1"/>
      </c>
      <c r="O425" s="32">
        <f t="shared" si="2"/>
      </c>
      <c r="P425" s="32">
        <f t="shared" si="3"/>
      </c>
      <c r="Q425" s="32">
        <f t="shared" si="4"/>
      </c>
    </row>
    <row r="426" spans="1:17" x14ac:dyDescent="0.25">
      <c r="A426" s="27"/>
      <c r="B426" s="29"/>
      <c r="C426" s="29"/>
      <c r="D426" s="29"/>
      <c r="E426" s="31"/>
      <c r="F426" s="30"/>
      <c r="G426" s="30"/>
      <c r="H426" s="38"/>
      <c r="I426" s="29"/>
      <c r="J426" s="28"/>
      <c r="K426" s="31"/>
      <c r="L426" s="31"/>
      <c r="M426" s="37">
        <f t="shared" si="0"/>
      </c>
      <c r="N426" s="37">
        <f t="shared" si="1"/>
      </c>
      <c r="O426" s="32">
        <f t="shared" si="2"/>
      </c>
      <c r="P426" s="32">
        <f t="shared" si="3"/>
      </c>
      <c r="Q426" s="32">
        <f t="shared" si="4"/>
      </c>
    </row>
    <row r="427" spans="1:17" x14ac:dyDescent="0.25">
      <c r="A427" s="27"/>
      <c r="B427" s="29"/>
      <c r="C427" s="29"/>
      <c r="D427" s="29"/>
      <c r="E427" s="31"/>
      <c r="F427" s="30"/>
      <c r="G427" s="30"/>
      <c r="H427" s="38"/>
      <c r="I427" s="29"/>
      <c r="J427" s="28"/>
      <c r="K427" s="31"/>
      <c r="L427" s="31"/>
      <c r="M427" s="37">
        <f t="shared" si="0"/>
      </c>
      <c r="N427" s="37">
        <f t="shared" si="1"/>
      </c>
      <c r="O427" s="32">
        <f t="shared" si="2"/>
      </c>
      <c r="P427" s="32">
        <f t="shared" si="3"/>
      </c>
      <c r="Q427" s="32">
        <f t="shared" si="4"/>
      </c>
    </row>
    <row r="428" spans="1:17" x14ac:dyDescent="0.25">
      <c r="A428" s="27"/>
      <c r="B428" s="29"/>
      <c r="C428" s="29"/>
      <c r="D428" s="29"/>
      <c r="E428" s="31"/>
      <c r="F428" s="30"/>
      <c r="G428" s="30"/>
      <c r="H428" s="38"/>
      <c r="I428" s="29"/>
      <c r="J428" s="28"/>
      <c r="K428" s="31"/>
      <c r="L428" s="31"/>
      <c r="M428" s="37">
        <f t="shared" si="0"/>
      </c>
      <c r="N428" s="37">
        <f t="shared" si="1"/>
      </c>
      <c r="O428" s="32">
        <f t="shared" si="2"/>
      </c>
      <c r="P428" s="32">
        <f t="shared" si="3"/>
      </c>
      <c r="Q428" s="32">
        <f t="shared" si="4"/>
      </c>
    </row>
    <row r="429" spans="1:17" x14ac:dyDescent="0.25">
      <c r="A429" s="27"/>
      <c r="B429" s="29"/>
      <c r="C429" s="29"/>
      <c r="D429" s="29"/>
      <c r="E429" s="31"/>
      <c r="F429" s="30"/>
      <c r="G429" s="30"/>
      <c r="H429" s="38"/>
      <c r="I429" s="29"/>
      <c r="J429" s="28"/>
      <c r="K429" s="31"/>
      <c r="L429" s="31"/>
      <c r="M429" s="37">
        <f t="shared" si="0"/>
      </c>
      <c r="N429" s="37">
        <f t="shared" si="1"/>
      </c>
      <c r="O429" s="32">
        <f t="shared" si="2"/>
      </c>
      <c r="P429" s="32">
        <f t="shared" si="3"/>
      </c>
      <c r="Q429" s="32">
        <f t="shared" si="4"/>
      </c>
    </row>
    <row r="430" spans="1:17" x14ac:dyDescent="0.25">
      <c r="A430" s="27"/>
      <c r="B430" s="29"/>
      <c r="C430" s="29"/>
      <c r="D430" s="29"/>
      <c r="E430" s="31"/>
      <c r="F430" s="30"/>
      <c r="G430" s="30"/>
      <c r="H430" s="38"/>
      <c r="I430" s="29"/>
      <c r="J430" s="28"/>
      <c r="K430" s="31"/>
      <c r="L430" s="31"/>
      <c r="M430" s="37">
        <f t="shared" si="0"/>
      </c>
      <c r="N430" s="37">
        <f t="shared" si="1"/>
      </c>
      <c r="O430" s="32">
        <f t="shared" si="2"/>
      </c>
      <c r="P430" s="32">
        <f t="shared" si="3"/>
      </c>
      <c r="Q430" s="32">
        <f t="shared" si="4"/>
      </c>
    </row>
    <row r="431" spans="1:17" x14ac:dyDescent="0.25">
      <c r="A431" s="27"/>
      <c r="B431" s="29"/>
      <c r="C431" s="29"/>
      <c r="D431" s="29"/>
      <c r="E431" s="31"/>
      <c r="F431" s="30"/>
      <c r="G431" s="30"/>
      <c r="H431" s="38"/>
      <c r="I431" s="29"/>
      <c r="J431" s="28"/>
      <c r="K431" s="31"/>
      <c r="L431" s="31"/>
      <c r="M431" s="37">
        <f t="shared" si="0"/>
      </c>
      <c r="N431" s="37">
        <f t="shared" si="1"/>
      </c>
      <c r="O431" s="32">
        <f t="shared" si="2"/>
      </c>
      <c r="P431" s="32">
        <f t="shared" si="3"/>
      </c>
      <c r="Q431" s="32">
        <f t="shared" si="4"/>
      </c>
    </row>
    <row r="432" spans="1:17" x14ac:dyDescent="0.25">
      <c r="A432" s="27"/>
      <c r="B432" s="29"/>
      <c r="C432" s="29"/>
      <c r="D432" s="29"/>
      <c r="E432" s="31"/>
      <c r="F432" s="30"/>
      <c r="G432" s="30"/>
      <c r="H432" s="38"/>
      <c r="I432" s="29"/>
      <c r="J432" s="28"/>
      <c r="K432" s="31"/>
      <c r="L432" s="31"/>
      <c r="M432" s="37">
        <f t="shared" si="0"/>
      </c>
      <c r="N432" s="37">
        <f t="shared" si="1"/>
      </c>
      <c r="O432" s="32">
        <f t="shared" si="2"/>
      </c>
      <c r="P432" s="32">
        <f t="shared" si="3"/>
      </c>
      <c r="Q432" s="32">
        <f t="shared" si="4"/>
      </c>
    </row>
    <row r="433" spans="1:17" x14ac:dyDescent="0.25">
      <c r="A433" s="27"/>
      <c r="B433" s="29"/>
      <c r="C433" s="29"/>
      <c r="D433" s="29"/>
      <c r="E433" s="31"/>
      <c r="F433" s="30"/>
      <c r="G433" s="30"/>
      <c r="H433" s="38"/>
      <c r="I433" s="29"/>
      <c r="J433" s="28"/>
      <c r="K433" s="31"/>
      <c r="L433" s="31"/>
      <c r="M433" s="37">
        <f t="shared" si="0"/>
      </c>
      <c r="N433" s="37">
        <f t="shared" si="1"/>
      </c>
      <c r="O433" s="32">
        <f t="shared" si="2"/>
      </c>
      <c r="P433" s="32">
        <f t="shared" si="3"/>
      </c>
      <c r="Q433" s="32">
        <f t="shared" si="4"/>
      </c>
    </row>
    <row r="434" spans="1:17" x14ac:dyDescent="0.25">
      <c r="A434" s="27"/>
      <c r="B434" s="29"/>
      <c r="C434" s="29"/>
      <c r="D434" s="29"/>
      <c r="E434" s="31"/>
      <c r="F434" s="30"/>
      <c r="G434" s="30"/>
      <c r="H434" s="38"/>
      <c r="I434" s="29"/>
      <c r="J434" s="28"/>
      <c r="K434" s="31"/>
      <c r="L434" s="31"/>
      <c r="M434" s="37">
        <f t="shared" si="0"/>
      </c>
      <c r="N434" s="37">
        <f t="shared" si="1"/>
      </c>
      <c r="O434" s="32">
        <f t="shared" si="2"/>
      </c>
      <c r="P434" s="32">
        <f t="shared" si="3"/>
      </c>
      <c r="Q434" s="32">
        <f t="shared" si="4"/>
      </c>
    </row>
    <row r="435" spans="1:17" x14ac:dyDescent="0.25">
      <c r="A435" s="27"/>
      <c r="B435" s="29"/>
      <c r="C435" s="29"/>
      <c r="D435" s="29"/>
      <c r="E435" s="31"/>
      <c r="F435" s="30"/>
      <c r="G435" s="30"/>
      <c r="H435" s="38"/>
      <c r="I435" s="29"/>
      <c r="J435" s="28"/>
      <c r="K435" s="31"/>
      <c r="L435" s="31"/>
      <c r="M435" s="37">
        <f t="shared" si="0"/>
      </c>
      <c r="N435" s="37">
        <f t="shared" si="1"/>
      </c>
      <c r="O435" s="32">
        <f t="shared" si="2"/>
      </c>
      <c r="P435" s="32">
        <f t="shared" si="3"/>
      </c>
      <c r="Q435" s="32">
        <f t="shared" si="4"/>
      </c>
    </row>
    <row r="436" spans="1:17" x14ac:dyDescent="0.25">
      <c r="A436" s="27"/>
      <c r="B436" s="29"/>
      <c r="C436" s="29"/>
      <c r="D436" s="29"/>
      <c r="E436" s="31"/>
      <c r="F436" s="30"/>
      <c r="G436" s="30"/>
      <c r="H436" s="38"/>
      <c r="I436" s="29"/>
      <c r="J436" s="28"/>
      <c r="K436" s="31"/>
      <c r="L436" s="31"/>
      <c r="M436" s="37">
        <f t="shared" si="0"/>
      </c>
      <c r="N436" s="37">
        <f t="shared" si="1"/>
      </c>
      <c r="O436" s="32">
        <f t="shared" si="2"/>
      </c>
      <c r="P436" s="32">
        <f t="shared" si="3"/>
      </c>
      <c r="Q436" s="32">
        <f t="shared" si="4"/>
      </c>
    </row>
    <row r="437" spans="1:17" x14ac:dyDescent="0.25">
      <c r="A437" s="27"/>
      <c r="B437" s="29"/>
      <c r="C437" s="29"/>
      <c r="D437" s="29"/>
      <c r="E437" s="31"/>
      <c r="F437" s="30"/>
      <c r="G437" s="30"/>
      <c r="H437" s="38"/>
      <c r="I437" s="29"/>
      <c r="J437" s="28"/>
      <c r="K437" s="31"/>
      <c r="L437" s="31"/>
      <c r="M437" s="37">
        <f t="shared" si="0"/>
      </c>
      <c r="N437" s="37">
        <f t="shared" si="1"/>
      </c>
      <c r="O437" s="32">
        <f t="shared" si="2"/>
      </c>
      <c r="P437" s="32">
        <f t="shared" si="3"/>
      </c>
      <c r="Q437" s="32">
        <f t="shared" si="4"/>
      </c>
    </row>
    <row r="438" spans="1:17" x14ac:dyDescent="0.25">
      <c r="A438" s="27"/>
      <c r="B438" s="29"/>
      <c r="C438" s="29"/>
      <c r="D438" s="29"/>
      <c r="E438" s="31"/>
      <c r="F438" s="30"/>
      <c r="G438" s="30"/>
      <c r="H438" s="38"/>
      <c r="I438" s="29"/>
      <c r="J438" s="28"/>
      <c r="K438" s="31"/>
      <c r="L438" s="31"/>
      <c r="M438" s="37">
        <f t="shared" si="0"/>
      </c>
      <c r="N438" s="37">
        <f t="shared" si="1"/>
      </c>
      <c r="O438" s="32">
        <f t="shared" si="2"/>
      </c>
      <c r="P438" s="32">
        <f t="shared" si="3"/>
      </c>
      <c r="Q438" s="32">
        <f t="shared" si="4"/>
      </c>
    </row>
    <row r="439" spans="1:17" x14ac:dyDescent="0.25">
      <c r="A439" s="27"/>
      <c r="B439" s="29"/>
      <c r="C439" s="29"/>
      <c r="D439" s="29"/>
      <c r="E439" s="31"/>
      <c r="F439" s="30"/>
      <c r="G439" s="30"/>
      <c r="H439" s="38"/>
      <c r="I439" s="29"/>
      <c r="J439" s="28"/>
      <c r="K439" s="31"/>
      <c r="L439" s="31"/>
      <c r="M439" s="37">
        <f t="shared" si="0"/>
      </c>
      <c r="N439" s="37">
        <f t="shared" si="1"/>
      </c>
      <c r="O439" s="32">
        <f t="shared" si="2"/>
      </c>
      <c r="P439" s="32">
        <f t="shared" si="3"/>
      </c>
      <c r="Q439" s="32">
        <f t="shared" si="4"/>
      </c>
    </row>
    <row r="440" spans="1:17" x14ac:dyDescent="0.25">
      <c r="A440" s="27"/>
      <c r="B440" s="29"/>
      <c r="C440" s="29"/>
      <c r="D440" s="29"/>
      <c r="E440" s="31"/>
      <c r="F440" s="30"/>
      <c r="G440" s="30"/>
      <c r="H440" s="38"/>
      <c r="I440" s="29"/>
      <c r="J440" s="28"/>
      <c r="K440" s="31"/>
      <c r="L440" s="31"/>
      <c r="M440" s="37">
        <f t="shared" si="0"/>
      </c>
      <c r="N440" s="37">
        <f t="shared" si="1"/>
      </c>
      <c r="O440" s="32">
        <f t="shared" si="2"/>
      </c>
      <c r="P440" s="32">
        <f t="shared" si="3"/>
      </c>
      <c r="Q440" s="32">
        <f t="shared" si="4"/>
      </c>
    </row>
    <row r="441" spans="1:17" x14ac:dyDescent="0.25">
      <c r="A441" s="27"/>
      <c r="B441" s="29"/>
      <c r="C441" s="29"/>
      <c r="D441" s="29"/>
      <c r="E441" s="31"/>
      <c r="F441" s="30"/>
      <c r="G441" s="30"/>
      <c r="H441" s="38"/>
      <c r="I441" s="29"/>
      <c r="J441" s="28"/>
      <c r="K441" s="31"/>
      <c r="L441" s="31"/>
      <c r="M441" s="37">
        <f t="shared" si="0"/>
      </c>
      <c r="N441" s="37">
        <f t="shared" si="1"/>
      </c>
      <c r="O441" s="32">
        <f t="shared" si="2"/>
      </c>
      <c r="P441" s="32">
        <f t="shared" si="3"/>
      </c>
      <c r="Q441" s="32">
        <f t="shared" si="4"/>
      </c>
    </row>
    <row r="442" spans="1:17" x14ac:dyDescent="0.25">
      <c r="A442" s="27"/>
      <c r="B442" s="29"/>
      <c r="C442" s="29"/>
      <c r="D442" s="29"/>
      <c r="E442" s="31"/>
      <c r="F442" s="30"/>
      <c r="G442" s="30"/>
      <c r="H442" s="38"/>
      <c r="I442" s="29"/>
      <c r="J442" s="28"/>
      <c r="K442" s="31"/>
      <c r="L442" s="31"/>
      <c r="M442" s="37">
        <f t="shared" si="0"/>
      </c>
      <c r="N442" s="37">
        <f t="shared" si="1"/>
      </c>
      <c r="O442" s="32">
        <f t="shared" si="2"/>
      </c>
      <c r="P442" s="32">
        <f t="shared" si="3"/>
      </c>
      <c r="Q442" s="32">
        <f t="shared" si="4"/>
      </c>
    </row>
    <row r="443" spans="1:17" x14ac:dyDescent="0.25">
      <c r="A443" s="27"/>
      <c r="B443" s="29"/>
      <c r="C443" s="29"/>
      <c r="D443" s="29"/>
      <c r="E443" s="31"/>
      <c r="F443" s="30"/>
      <c r="G443" s="30"/>
      <c r="H443" s="38"/>
      <c r="I443" s="29"/>
      <c r="J443" s="28"/>
      <c r="K443" s="31"/>
      <c r="L443" s="31"/>
      <c r="M443" s="37">
        <f t="shared" si="0"/>
      </c>
      <c r="N443" s="37">
        <f t="shared" si="1"/>
      </c>
      <c r="O443" s="32">
        <f t="shared" si="2"/>
      </c>
      <c r="P443" s="32">
        <f t="shared" si="3"/>
      </c>
      <c r="Q443" s="32">
        <f t="shared" si="4"/>
      </c>
    </row>
    <row r="444" spans="1:17" x14ac:dyDescent="0.25">
      <c r="A444" s="27"/>
      <c r="B444" s="29"/>
      <c r="C444" s="29"/>
      <c r="D444" s="29"/>
      <c r="E444" s="31"/>
      <c r="F444" s="30"/>
      <c r="G444" s="30"/>
      <c r="H444" s="38"/>
      <c r="I444" s="29"/>
      <c r="J444" s="28"/>
      <c r="K444" s="31"/>
      <c r="L444" s="31"/>
      <c r="M444" s="37">
        <f t="shared" si="0"/>
      </c>
      <c r="N444" s="37">
        <f t="shared" si="1"/>
      </c>
      <c r="O444" s="32">
        <f t="shared" si="2"/>
      </c>
      <c r="P444" s="32">
        <f t="shared" si="3"/>
      </c>
      <c r="Q444" s="32">
        <f t="shared" si="4"/>
      </c>
    </row>
    <row r="445" spans="1:17" x14ac:dyDescent="0.25">
      <c r="A445" s="27"/>
      <c r="B445" s="29"/>
      <c r="C445" s="29"/>
      <c r="D445" s="29"/>
      <c r="E445" s="31"/>
      <c r="F445" s="30"/>
      <c r="G445" s="30"/>
      <c r="H445" s="38"/>
      <c r="I445" s="29"/>
      <c r="J445" s="28"/>
      <c r="K445" s="31"/>
      <c r="L445" s="31"/>
      <c r="M445" s="37">
        <f t="shared" si="0"/>
      </c>
      <c r="N445" s="37">
        <f t="shared" si="1"/>
      </c>
      <c r="O445" s="32">
        <f t="shared" si="2"/>
      </c>
      <c r="P445" s="32">
        <f t="shared" si="3"/>
      </c>
      <c r="Q445" s="32">
        <f t="shared" si="4"/>
      </c>
    </row>
    <row r="446" spans="1:17" x14ac:dyDescent="0.25">
      <c r="A446" s="27"/>
      <c r="B446" s="29"/>
      <c r="C446" s="29"/>
      <c r="D446" s="29"/>
      <c r="E446" s="31"/>
      <c r="F446" s="30"/>
      <c r="G446" s="30"/>
      <c r="H446" s="38"/>
      <c r="I446" s="29"/>
      <c r="J446" s="28"/>
      <c r="K446" s="31"/>
      <c r="L446" s="31"/>
      <c r="M446" s="37">
        <f t="shared" si="0"/>
      </c>
      <c r="N446" s="37">
        <f t="shared" si="1"/>
      </c>
      <c r="O446" s="32">
        <f t="shared" si="2"/>
      </c>
      <c r="P446" s="32">
        <f t="shared" si="3"/>
      </c>
      <c r="Q446" s="32">
        <f t="shared" si="4"/>
      </c>
    </row>
    <row r="447" spans="1:17" x14ac:dyDescent="0.25">
      <c r="A447" s="27"/>
      <c r="B447" s="29"/>
      <c r="C447" s="29"/>
      <c r="D447" s="29"/>
      <c r="E447" s="31"/>
      <c r="F447" s="30"/>
      <c r="G447" s="30"/>
      <c r="H447" s="38"/>
      <c r="I447" s="29"/>
      <c r="J447" s="28"/>
      <c r="K447" s="31"/>
      <c r="L447" s="31"/>
      <c r="M447" s="37">
        <f t="shared" si="0"/>
      </c>
      <c r="N447" s="37">
        <f t="shared" si="1"/>
      </c>
      <c r="O447" s="32">
        <f t="shared" si="2"/>
      </c>
      <c r="P447" s="32">
        <f t="shared" si="3"/>
      </c>
      <c r="Q447" s="32">
        <f t="shared" si="4"/>
      </c>
    </row>
    <row r="448" spans="1:17" x14ac:dyDescent="0.25">
      <c r="A448" s="27"/>
      <c r="B448" s="29"/>
      <c r="C448" s="29"/>
      <c r="D448" s="29"/>
      <c r="E448" s="31"/>
      <c r="F448" s="30"/>
      <c r="G448" s="30"/>
      <c r="H448" s="38"/>
      <c r="I448" s="29"/>
      <c r="J448" s="28"/>
      <c r="K448" s="31"/>
      <c r="L448" s="31"/>
      <c r="M448" s="37">
        <f t="shared" si="0"/>
      </c>
      <c r="N448" s="37">
        <f t="shared" si="1"/>
      </c>
      <c r="O448" s="32">
        <f t="shared" si="2"/>
      </c>
      <c r="P448" s="32">
        <f t="shared" si="3"/>
      </c>
      <c r="Q448" s="32">
        <f t="shared" si="4"/>
      </c>
    </row>
    <row r="449" spans="1:17" x14ac:dyDescent="0.25">
      <c r="A449" s="27"/>
      <c r="B449" s="29"/>
      <c r="C449" s="29"/>
      <c r="D449" s="29"/>
      <c r="E449" s="31"/>
      <c r="F449" s="30"/>
      <c r="G449" s="30"/>
      <c r="H449" s="38"/>
      <c r="I449" s="29"/>
      <c r="J449" s="28"/>
      <c r="K449" s="31"/>
      <c r="L449" s="31"/>
      <c r="M449" s="37">
        <f t="shared" si="0"/>
      </c>
      <c r="N449" s="37">
        <f t="shared" si="1"/>
      </c>
      <c r="O449" s="32">
        <f t="shared" si="2"/>
      </c>
      <c r="P449" s="32">
        <f t="shared" si="3"/>
      </c>
      <c r="Q449" s="32">
        <f t="shared" si="4"/>
      </c>
    </row>
    <row r="450" spans="1:17" x14ac:dyDescent="0.25">
      <c r="A450" s="27"/>
      <c r="B450" s="29"/>
      <c r="C450" s="29"/>
      <c r="D450" s="29"/>
      <c r="E450" s="31"/>
      <c r="F450" s="30"/>
      <c r="G450" s="30"/>
      <c r="H450" s="38"/>
      <c r="I450" s="29"/>
      <c r="J450" s="28"/>
      <c r="K450" s="31"/>
      <c r="L450" s="31"/>
      <c r="M450" s="37">
        <f t="shared" si="0"/>
      </c>
      <c r="N450" s="37">
        <f t="shared" si="1"/>
      </c>
      <c r="O450" s="32">
        <f t="shared" si="2"/>
      </c>
      <c r="P450" s="32">
        <f t="shared" si="3"/>
      </c>
      <c r="Q450" s="32">
        <f t="shared" si="4"/>
      </c>
    </row>
    <row r="451" spans="1:17" x14ac:dyDescent="0.25">
      <c r="A451" s="27"/>
      <c r="B451" s="29"/>
      <c r="C451" s="29"/>
      <c r="D451" s="29"/>
      <c r="E451" s="31"/>
      <c r="F451" s="30"/>
      <c r="G451" s="30"/>
      <c r="H451" s="38"/>
      <c r="I451" s="29"/>
      <c r="J451" s="28"/>
      <c r="K451" s="31"/>
      <c r="L451" s="31"/>
      <c r="M451" s="37">
        <f t="shared" si="0"/>
      </c>
      <c r="N451" s="37">
        <f t="shared" si="1"/>
      </c>
      <c r="O451" s="32">
        <f t="shared" si="2"/>
      </c>
      <c r="P451" s="32">
        <f t="shared" si="3"/>
      </c>
      <c r="Q451" s="32">
        <f t="shared" si="4"/>
      </c>
    </row>
    <row r="452" spans="1:17" x14ac:dyDescent="0.25">
      <c r="A452" s="27"/>
      <c r="B452" s="29"/>
      <c r="C452" s="29"/>
      <c r="D452" s="29"/>
      <c r="E452" s="31"/>
      <c r="F452" s="30"/>
      <c r="G452" s="30"/>
      <c r="H452" s="38"/>
      <c r="I452" s="29"/>
      <c r="J452" s="28"/>
      <c r="K452" s="31"/>
      <c r="L452" s="31"/>
      <c r="M452" s="37">
        <f t="shared" si="0"/>
      </c>
      <c r="N452" s="37">
        <f t="shared" si="1"/>
      </c>
      <c r="O452" s="32">
        <f t="shared" si="2"/>
      </c>
      <c r="P452" s="32">
        <f t="shared" si="3"/>
      </c>
      <c r="Q452" s="32">
        <f t="shared" si="4"/>
      </c>
    </row>
    <row r="453" spans="1:17" x14ac:dyDescent="0.25">
      <c r="A453" s="27"/>
      <c r="B453" s="29"/>
      <c r="C453" s="29"/>
      <c r="D453" s="29"/>
      <c r="E453" s="31"/>
      <c r="F453" s="30"/>
      <c r="G453" s="30"/>
      <c r="H453" s="38"/>
      <c r="I453" s="29"/>
      <c r="J453" s="28"/>
      <c r="K453" s="31"/>
      <c r="L453" s="31"/>
      <c r="M453" s="37">
        <f t="shared" si="0"/>
      </c>
      <c r="N453" s="37">
        <f t="shared" si="1"/>
      </c>
      <c r="O453" s="32">
        <f t="shared" si="2"/>
      </c>
      <c r="P453" s="32">
        <f t="shared" si="3"/>
      </c>
      <c r="Q453" s="32">
        <f t="shared" si="4"/>
      </c>
    </row>
    <row r="454" spans="1:17" x14ac:dyDescent="0.25">
      <c r="A454" s="27"/>
      <c r="B454" s="29"/>
      <c r="C454" s="29"/>
      <c r="D454" s="29"/>
      <c r="E454" s="31"/>
      <c r="F454" s="30"/>
      <c r="G454" s="30"/>
      <c r="H454" s="38"/>
      <c r="I454" s="29"/>
      <c r="J454" s="28"/>
      <c r="K454" s="31"/>
      <c r="L454" s="31"/>
      <c r="M454" s="37">
        <f t="shared" si="0"/>
      </c>
      <c r="N454" s="37">
        <f t="shared" si="1"/>
      </c>
      <c r="O454" s="32">
        <f t="shared" si="2"/>
      </c>
      <c r="P454" s="32">
        <f t="shared" si="3"/>
      </c>
      <c r="Q454" s="32">
        <f t="shared" si="4"/>
      </c>
    </row>
    <row r="455" spans="1:17" x14ac:dyDescent="0.25">
      <c r="A455" s="27"/>
      <c r="B455" s="29"/>
      <c r="C455" s="29"/>
      <c r="D455" s="29"/>
      <c r="E455" s="31"/>
      <c r="F455" s="30"/>
      <c r="G455" s="30"/>
      <c r="H455" s="38"/>
      <c r="I455" s="29"/>
      <c r="J455" s="28"/>
      <c r="K455" s="31"/>
      <c r="L455" s="31"/>
      <c r="M455" s="37">
        <f t="shared" si="0"/>
      </c>
      <c r="N455" s="37">
        <f t="shared" si="1"/>
      </c>
      <c r="O455" s="32">
        <f t="shared" si="2"/>
      </c>
      <c r="P455" s="32">
        <f t="shared" si="3"/>
      </c>
      <c r="Q455" s="32">
        <f t="shared" si="4"/>
      </c>
    </row>
    <row r="456" spans="1:17" x14ac:dyDescent="0.25">
      <c r="A456" s="27"/>
      <c r="B456" s="29"/>
      <c r="C456" s="29"/>
      <c r="D456" s="29"/>
      <c r="E456" s="31"/>
      <c r="F456" s="30"/>
      <c r="G456" s="30"/>
      <c r="H456" s="38"/>
      <c r="I456" s="29"/>
      <c r="J456" s="28"/>
      <c r="K456" s="31"/>
      <c r="L456" s="31"/>
      <c r="M456" s="37">
        <f t="shared" si="0"/>
      </c>
      <c r="N456" s="37">
        <f t="shared" si="1"/>
      </c>
      <c r="O456" s="32">
        <f t="shared" si="2"/>
      </c>
      <c r="P456" s="32">
        <f t="shared" si="3"/>
      </c>
      <c r="Q456" s="32">
        <f t="shared" si="4"/>
      </c>
    </row>
    <row r="457" spans="1:17" x14ac:dyDescent="0.25">
      <c r="A457" s="27"/>
      <c r="B457" s="29"/>
      <c r="C457" s="29"/>
      <c r="D457" s="29"/>
      <c r="E457" s="31"/>
      <c r="F457" s="30"/>
      <c r="G457" s="30"/>
      <c r="H457" s="38"/>
      <c r="I457" s="29"/>
      <c r="J457" s="28"/>
      <c r="K457" s="31"/>
      <c r="L457" s="31"/>
      <c r="M457" s="37">
        <f t="shared" si="0"/>
      </c>
      <c r="N457" s="37">
        <f t="shared" si="1"/>
      </c>
      <c r="O457" s="32">
        <f t="shared" si="2"/>
      </c>
      <c r="P457" s="32">
        <f t="shared" si="3"/>
      </c>
      <c r="Q457" s="32">
        <f t="shared" si="4"/>
      </c>
    </row>
    <row r="458" spans="1:17" x14ac:dyDescent="0.25">
      <c r="A458" s="27"/>
      <c r="B458" s="29"/>
      <c r="C458" s="29"/>
      <c r="D458" s="29"/>
      <c r="E458" s="31"/>
      <c r="F458" s="30"/>
      <c r="G458" s="30"/>
      <c r="H458" s="38"/>
      <c r="I458" s="29"/>
      <c r="J458" s="28"/>
      <c r="K458" s="31"/>
      <c r="L458" s="31"/>
      <c r="M458" s="37">
        <f t="shared" si="0"/>
      </c>
      <c r="N458" s="37">
        <f t="shared" si="1"/>
      </c>
      <c r="O458" s="32">
        <f t="shared" si="2"/>
      </c>
      <c r="P458" s="32">
        <f t="shared" si="3"/>
      </c>
      <c r="Q458" s="32">
        <f t="shared" si="4"/>
      </c>
    </row>
    <row r="459" spans="1:17" x14ac:dyDescent="0.25">
      <c r="A459" s="27"/>
      <c r="B459" s="29"/>
      <c r="C459" s="29"/>
      <c r="D459" s="29"/>
      <c r="E459" s="31"/>
      <c r="F459" s="30"/>
      <c r="G459" s="30"/>
      <c r="H459" s="38"/>
      <c r="I459" s="29"/>
      <c r="J459" s="28"/>
      <c r="K459" s="31"/>
      <c r="L459" s="31"/>
      <c r="M459" s="37">
        <f t="shared" si="0"/>
      </c>
      <c r="N459" s="37">
        <f t="shared" si="1"/>
      </c>
      <c r="O459" s="32">
        <f t="shared" si="2"/>
      </c>
      <c r="P459" s="32">
        <f t="shared" si="3"/>
      </c>
      <c r="Q459" s="32">
        <f t="shared" si="4"/>
      </c>
    </row>
    <row r="460" spans="1:17" x14ac:dyDescent="0.25">
      <c r="A460" s="27"/>
      <c r="B460" s="29"/>
      <c r="C460" s="29"/>
      <c r="D460" s="29"/>
      <c r="E460" s="31"/>
      <c r="F460" s="30"/>
      <c r="G460" s="30"/>
      <c r="H460" s="38"/>
      <c r="I460" s="29"/>
      <c r="J460" s="28"/>
      <c r="K460" s="31"/>
      <c r="L460" s="31"/>
      <c r="M460" s="37">
        <f t="shared" si="0"/>
      </c>
      <c r="N460" s="37">
        <f t="shared" si="1"/>
      </c>
      <c r="O460" s="32">
        <f t="shared" si="2"/>
      </c>
      <c r="P460" s="32">
        <f t="shared" si="3"/>
      </c>
      <c r="Q460" s="32">
        <f t="shared" si="4"/>
      </c>
    </row>
    <row r="461" spans="1:17" x14ac:dyDescent="0.25">
      <c r="A461" s="27"/>
      <c r="B461" s="29"/>
      <c r="C461" s="29"/>
      <c r="D461" s="29"/>
      <c r="E461" s="31"/>
      <c r="F461" s="30"/>
      <c r="G461" s="30"/>
      <c r="H461" s="38"/>
      <c r="I461" s="29"/>
      <c r="J461" s="28"/>
      <c r="K461" s="31"/>
      <c r="L461" s="31"/>
      <c r="M461" s="37">
        <f t="shared" si="0"/>
      </c>
      <c r="N461" s="37">
        <f t="shared" si="1"/>
      </c>
      <c r="O461" s="32">
        <f t="shared" si="2"/>
      </c>
      <c r="P461" s="32">
        <f t="shared" si="3"/>
      </c>
      <c r="Q461" s="32">
        <f t="shared" si="4"/>
      </c>
    </row>
    <row r="462" spans="1:17" x14ac:dyDescent="0.25">
      <c r="A462" s="27"/>
      <c r="B462" s="29"/>
      <c r="C462" s="29"/>
      <c r="D462" s="29"/>
      <c r="E462" s="31"/>
      <c r="F462" s="30"/>
      <c r="G462" s="30"/>
      <c r="H462" s="38"/>
      <c r="I462" s="29"/>
      <c r="J462" s="28"/>
      <c r="K462" s="31"/>
      <c r="L462" s="31"/>
      <c r="M462" s="37">
        <f t="shared" si="0"/>
      </c>
      <c r="N462" s="37">
        <f t="shared" si="1"/>
      </c>
      <c r="O462" s="32">
        <f t="shared" si="2"/>
      </c>
      <c r="P462" s="32">
        <f t="shared" si="3"/>
      </c>
      <c r="Q462" s="32">
        <f t="shared" si="4"/>
      </c>
    </row>
    <row r="463" spans="1:17" x14ac:dyDescent="0.25">
      <c r="A463" s="27"/>
      <c r="B463" s="29"/>
      <c r="C463" s="29"/>
      <c r="D463" s="29"/>
      <c r="E463" s="31"/>
      <c r="F463" s="30"/>
      <c r="G463" s="30"/>
      <c r="H463" s="38"/>
      <c r="I463" s="29"/>
      <c r="J463" s="28"/>
      <c r="K463" s="31"/>
      <c r="L463" s="31"/>
      <c r="M463" s="37">
        <f t="shared" si="0"/>
      </c>
      <c r="N463" s="37">
        <f t="shared" si="1"/>
      </c>
      <c r="O463" s="32">
        <f t="shared" si="2"/>
      </c>
      <c r="P463" s="32">
        <f t="shared" si="3"/>
      </c>
      <c r="Q463" s="32">
        <f t="shared" si="4"/>
      </c>
    </row>
    <row r="464" spans="1:17" x14ac:dyDescent="0.25">
      <c r="A464" s="27"/>
      <c r="B464" s="29"/>
      <c r="C464" s="29"/>
      <c r="D464" s="29"/>
      <c r="E464" s="31"/>
      <c r="F464" s="30"/>
      <c r="G464" s="30"/>
      <c r="H464" s="38"/>
      <c r="I464" s="29"/>
      <c r="J464" s="28"/>
      <c r="K464" s="31"/>
      <c r="L464" s="31"/>
      <c r="M464" s="37">
        <f t="shared" si="0"/>
      </c>
      <c r="N464" s="37">
        <f t="shared" si="1"/>
      </c>
      <c r="O464" s="32">
        <f t="shared" si="2"/>
      </c>
      <c r="P464" s="32">
        <f t="shared" si="3"/>
      </c>
      <c r="Q464" s="32">
        <f t="shared" si="4"/>
      </c>
    </row>
    <row r="465" spans="1:17" x14ac:dyDescent="0.25">
      <c r="A465" s="27"/>
      <c r="B465" s="29"/>
      <c r="C465" s="29"/>
      <c r="D465" s="29"/>
      <c r="E465" s="31"/>
      <c r="F465" s="30"/>
      <c r="G465" s="30"/>
      <c r="H465" s="38"/>
      <c r="I465" s="29"/>
      <c r="J465" s="28"/>
      <c r="K465" s="31"/>
      <c r="L465" s="31"/>
      <c r="M465" s="37">
        <f t="shared" si="0"/>
      </c>
      <c r="N465" s="37">
        <f t="shared" si="1"/>
      </c>
      <c r="O465" s="32">
        <f t="shared" si="2"/>
      </c>
      <c r="P465" s="32">
        <f t="shared" si="3"/>
      </c>
      <c r="Q465" s="32">
        <f t="shared" si="4"/>
      </c>
    </row>
    <row r="466" spans="1:17" x14ac:dyDescent="0.25">
      <c r="A466" s="27"/>
      <c r="B466" s="29"/>
      <c r="C466" s="29"/>
      <c r="D466" s="29"/>
      <c r="E466" s="31"/>
      <c r="F466" s="30"/>
      <c r="G466" s="30"/>
      <c r="H466" s="38"/>
      <c r="I466" s="29"/>
      <c r="J466" s="28"/>
      <c r="K466" s="31"/>
      <c r="L466" s="31"/>
      <c r="M466" s="37">
        <f t="shared" si="0"/>
      </c>
      <c r="N466" s="37">
        <f t="shared" si="1"/>
      </c>
      <c r="O466" s="32">
        <f t="shared" si="2"/>
      </c>
      <c r="P466" s="32">
        <f t="shared" si="3"/>
      </c>
      <c r="Q466" s="32">
        <f t="shared" si="4"/>
      </c>
    </row>
    <row r="467" spans="1:17" x14ac:dyDescent="0.25">
      <c r="A467" s="27"/>
      <c r="B467" s="29"/>
      <c r="C467" s="29"/>
      <c r="D467" s="29"/>
      <c r="E467" s="31"/>
      <c r="F467" s="30"/>
      <c r="G467" s="30"/>
      <c r="H467" s="38"/>
      <c r="I467" s="29"/>
      <c r="J467" s="28"/>
      <c r="K467" s="31"/>
      <c r="L467" s="31"/>
      <c r="M467" s="37">
        <f t="shared" si="0"/>
      </c>
      <c r="N467" s="37">
        <f t="shared" si="1"/>
      </c>
      <c r="O467" s="32">
        <f t="shared" si="2"/>
      </c>
      <c r="P467" s="32">
        <f t="shared" si="3"/>
      </c>
      <c r="Q467" s="32">
        <f t="shared" si="4"/>
      </c>
    </row>
    <row r="468" spans="1:17" x14ac:dyDescent="0.25">
      <c r="A468" s="27"/>
      <c r="B468" s="29"/>
      <c r="C468" s="29"/>
      <c r="D468" s="29"/>
      <c r="E468" s="31"/>
      <c r="F468" s="30"/>
      <c r="G468" s="30"/>
      <c r="H468" s="38"/>
      <c r="I468" s="29"/>
      <c r="J468" s="28"/>
      <c r="K468" s="31"/>
      <c r="L468" s="31"/>
      <c r="M468" s="37">
        <f t="shared" si="0"/>
      </c>
      <c r="N468" s="37">
        <f t="shared" si="1"/>
      </c>
      <c r="O468" s="32">
        <f t="shared" si="2"/>
      </c>
      <c r="P468" s="32">
        <f t="shared" si="3"/>
      </c>
      <c r="Q468" s="32">
        <f t="shared" si="4"/>
      </c>
    </row>
    <row r="469" spans="1:17" x14ac:dyDescent="0.25">
      <c r="A469" s="27"/>
      <c r="B469" s="29"/>
      <c r="C469" s="29"/>
      <c r="D469" s="29"/>
      <c r="E469" s="31"/>
      <c r="F469" s="30"/>
      <c r="G469" s="30"/>
      <c r="H469" s="38"/>
      <c r="I469" s="29"/>
      <c r="J469" s="28"/>
      <c r="K469" s="31"/>
      <c r="L469" s="31"/>
      <c r="M469" s="37">
        <f t="shared" si="0"/>
      </c>
      <c r="N469" s="37">
        <f t="shared" si="1"/>
      </c>
      <c r="O469" s="32">
        <f t="shared" si="2"/>
      </c>
      <c r="P469" s="32">
        <f t="shared" si="3"/>
      </c>
      <c r="Q469" s="32">
        <f t="shared" si="4"/>
      </c>
    </row>
    <row r="470" spans="1:17" x14ac:dyDescent="0.25">
      <c r="A470" s="27"/>
      <c r="B470" s="29"/>
      <c r="C470" s="29"/>
      <c r="D470" s="29"/>
      <c r="E470" s="31"/>
      <c r="F470" s="30"/>
      <c r="G470" s="30"/>
      <c r="H470" s="38"/>
      <c r="I470" s="29"/>
      <c r="J470" s="28"/>
      <c r="K470" s="31"/>
      <c r="L470" s="31"/>
      <c r="M470" s="37">
        <f t="shared" si="0"/>
      </c>
      <c r="N470" s="37">
        <f t="shared" si="1"/>
      </c>
      <c r="O470" s="32">
        <f t="shared" si="2"/>
      </c>
      <c r="P470" s="32">
        <f t="shared" si="3"/>
      </c>
      <c r="Q470" s="32">
        <f t="shared" si="4"/>
      </c>
    </row>
    <row r="471" spans="1:17" x14ac:dyDescent="0.25">
      <c r="A471" s="27"/>
      <c r="B471" s="29"/>
      <c r="C471" s="29"/>
      <c r="D471" s="29"/>
      <c r="E471" s="31"/>
      <c r="F471" s="30"/>
      <c r="G471" s="30"/>
      <c r="H471" s="38"/>
      <c r="I471" s="29"/>
      <c r="J471" s="28"/>
      <c r="K471" s="31"/>
      <c r="L471" s="31"/>
      <c r="M471" s="37">
        <f t="shared" si="0"/>
      </c>
      <c r="N471" s="37">
        <f t="shared" si="1"/>
      </c>
      <c r="O471" s="32">
        <f t="shared" si="2"/>
      </c>
      <c r="P471" s="32">
        <f t="shared" si="3"/>
      </c>
      <c r="Q471" s="32">
        <f t="shared" si="4"/>
      </c>
    </row>
    <row r="472" spans="1:17" x14ac:dyDescent="0.25">
      <c r="A472" s="27"/>
      <c r="B472" s="29"/>
      <c r="C472" s="29"/>
      <c r="D472" s="29"/>
      <c r="E472" s="31"/>
      <c r="F472" s="30"/>
      <c r="G472" s="30"/>
      <c r="H472" s="38"/>
      <c r="I472" s="29"/>
      <c r="J472" s="28"/>
      <c r="K472" s="31"/>
      <c r="L472" s="31"/>
      <c r="M472" s="37">
        <f t="shared" si="0"/>
      </c>
      <c r="N472" s="37">
        <f t="shared" si="1"/>
      </c>
      <c r="O472" s="32">
        <f t="shared" si="2"/>
      </c>
      <c r="P472" s="32">
        <f t="shared" si="3"/>
      </c>
      <c r="Q472" s="32">
        <f t="shared" si="4"/>
      </c>
    </row>
    <row r="473" spans="1:17" x14ac:dyDescent="0.25">
      <c r="A473" s="27"/>
      <c r="B473" s="29"/>
      <c r="C473" s="29"/>
      <c r="D473" s="29"/>
      <c r="E473" s="31"/>
      <c r="F473" s="30"/>
      <c r="G473" s="30"/>
      <c r="H473" s="38"/>
      <c r="I473" s="29"/>
      <c r="J473" s="28"/>
      <c r="K473" s="31"/>
      <c r="L473" s="31"/>
      <c r="M473" s="37">
        <f t="shared" si="0"/>
      </c>
      <c r="N473" s="37">
        <f t="shared" si="1"/>
      </c>
      <c r="O473" s="32">
        <f t="shared" si="2"/>
      </c>
      <c r="P473" s="32">
        <f t="shared" si="3"/>
      </c>
      <c r="Q473" s="32">
        <f t="shared" si="4"/>
      </c>
    </row>
    <row r="474" spans="1:17" x14ac:dyDescent="0.25">
      <c r="A474" s="27"/>
      <c r="B474" s="29"/>
      <c r="C474" s="29"/>
      <c r="D474" s="29"/>
      <c r="E474" s="31"/>
      <c r="F474" s="30"/>
      <c r="G474" s="30"/>
      <c r="H474" s="38"/>
      <c r="I474" s="29"/>
      <c r="J474" s="28"/>
      <c r="K474" s="31"/>
      <c r="L474" s="31"/>
      <c r="M474" s="37">
        <f t="shared" si="0"/>
      </c>
      <c r="N474" s="37">
        <f t="shared" si="1"/>
      </c>
      <c r="O474" s="32">
        <f t="shared" si="2"/>
      </c>
      <c r="P474" s="32">
        <f t="shared" si="3"/>
      </c>
      <c r="Q474" s="32">
        <f t="shared" si="4"/>
      </c>
    </row>
    <row r="475" spans="1:17" x14ac:dyDescent="0.25">
      <c r="A475" s="27"/>
      <c r="B475" s="29"/>
      <c r="C475" s="29"/>
      <c r="D475" s="29"/>
      <c r="E475" s="31"/>
      <c r="F475" s="30"/>
      <c r="G475" s="30"/>
      <c r="H475" s="38"/>
      <c r="I475" s="29"/>
      <c r="J475" s="28"/>
      <c r="K475" s="31"/>
      <c r="L475" s="31"/>
      <c r="M475" s="37">
        <f t="shared" si="0"/>
      </c>
      <c r="N475" s="37">
        <f t="shared" si="1"/>
      </c>
      <c r="O475" s="32">
        <f t="shared" si="2"/>
      </c>
      <c r="P475" s="32">
        <f t="shared" si="3"/>
      </c>
      <c r="Q475" s="32">
        <f t="shared" si="4"/>
      </c>
    </row>
    <row r="476" spans="1:17" x14ac:dyDescent="0.25">
      <c r="A476" s="27"/>
      <c r="B476" s="29"/>
      <c r="C476" s="29"/>
      <c r="D476" s="29"/>
      <c r="E476" s="31"/>
      <c r="F476" s="30"/>
      <c r="G476" s="30"/>
      <c r="H476" s="38"/>
      <c r="I476" s="29"/>
      <c r="J476" s="28"/>
      <c r="K476" s="31"/>
      <c r="L476" s="31"/>
      <c r="M476" s="37">
        <f t="shared" si="0"/>
      </c>
      <c r="N476" s="37">
        <f t="shared" si="1"/>
      </c>
      <c r="O476" s="32">
        <f t="shared" si="2"/>
      </c>
      <c r="P476" s="32">
        <f t="shared" si="3"/>
      </c>
      <c r="Q476" s="32">
        <f t="shared" si="4"/>
      </c>
    </row>
    <row r="477" spans="1:17" x14ac:dyDescent="0.25">
      <c r="A477" s="27"/>
      <c r="B477" s="29"/>
      <c r="C477" s="29"/>
      <c r="D477" s="29"/>
      <c r="E477" s="31"/>
      <c r="F477" s="30"/>
      <c r="G477" s="30"/>
      <c r="H477" s="38"/>
      <c r="I477" s="29"/>
      <c r="J477" s="28"/>
      <c r="K477" s="31"/>
      <c r="L477" s="31"/>
      <c r="M477" s="37">
        <f t="shared" si="0"/>
      </c>
      <c r="N477" s="37">
        <f t="shared" si="1"/>
      </c>
      <c r="O477" s="32">
        <f t="shared" si="2"/>
      </c>
      <c r="P477" s="32">
        <f t="shared" si="3"/>
      </c>
      <c r="Q477" s="32">
        <f t="shared" si="4"/>
      </c>
    </row>
    <row r="478" spans="1:17" x14ac:dyDescent="0.25">
      <c r="A478" s="27"/>
      <c r="B478" s="29"/>
      <c r="C478" s="29"/>
      <c r="D478" s="29"/>
      <c r="E478" s="31"/>
      <c r="F478" s="30"/>
      <c r="G478" s="30"/>
      <c r="H478" s="38"/>
      <c r="I478" s="29"/>
      <c r="J478" s="28"/>
      <c r="K478" s="31"/>
      <c r="L478" s="31"/>
      <c r="M478" s="37">
        <f t="shared" si="0"/>
      </c>
      <c r="N478" s="37">
        <f t="shared" si="1"/>
      </c>
      <c r="O478" s="32">
        <f t="shared" si="2"/>
      </c>
      <c r="P478" s="32">
        <f t="shared" si="3"/>
      </c>
      <c r="Q478" s="32">
        <f t="shared" si="4"/>
      </c>
    </row>
    <row r="479" spans="1:17" x14ac:dyDescent="0.25">
      <c r="A479" s="27"/>
      <c r="B479" s="29"/>
      <c r="C479" s="29"/>
      <c r="D479" s="29"/>
      <c r="E479" s="31"/>
      <c r="F479" s="30"/>
      <c r="G479" s="30"/>
      <c r="H479" s="38"/>
      <c r="I479" s="29"/>
      <c r="J479" s="28"/>
      <c r="K479" s="31"/>
      <c r="L479" s="31"/>
      <c r="M479" s="37">
        <f t="shared" si="0"/>
      </c>
      <c r="N479" s="37">
        <f t="shared" si="1"/>
      </c>
      <c r="O479" s="32">
        <f t="shared" si="2"/>
      </c>
      <c r="P479" s="32">
        <f t="shared" si="3"/>
      </c>
      <c r="Q479" s="32">
        <f t="shared" si="4"/>
      </c>
    </row>
    <row r="480" spans="1:17" x14ac:dyDescent="0.25">
      <c r="A480" s="27"/>
      <c r="B480" s="29"/>
      <c r="C480" s="29"/>
      <c r="D480" s="29"/>
      <c r="E480" s="31"/>
      <c r="F480" s="30"/>
      <c r="G480" s="30"/>
      <c r="H480" s="38"/>
      <c r="I480" s="29"/>
      <c r="J480" s="28"/>
      <c r="K480" s="31"/>
      <c r="L480" s="31"/>
      <c r="M480" s="37">
        <f t="shared" si="0"/>
      </c>
      <c r="N480" s="37">
        <f t="shared" si="1"/>
      </c>
      <c r="O480" s="32">
        <f t="shared" si="2"/>
      </c>
      <c r="P480" s="32">
        <f t="shared" si="3"/>
      </c>
      <c r="Q480" s="32">
        <f t="shared" si="4"/>
      </c>
    </row>
    <row r="481" spans="1:17" x14ac:dyDescent="0.25">
      <c r="A481" s="27"/>
      <c r="B481" s="29"/>
      <c r="C481" s="29"/>
      <c r="D481" s="29"/>
      <c r="E481" s="31"/>
      <c r="F481" s="30"/>
      <c r="G481" s="30"/>
      <c r="H481" s="38"/>
      <c r="I481" s="29"/>
      <c r="J481" s="28"/>
      <c r="K481" s="31"/>
      <c r="L481" s="31"/>
      <c r="M481" s="37">
        <f t="shared" si="0"/>
      </c>
      <c r="N481" s="37">
        <f t="shared" si="1"/>
      </c>
      <c r="O481" s="32">
        <f t="shared" si="2"/>
      </c>
      <c r="P481" s="32">
        <f t="shared" si="3"/>
      </c>
      <c r="Q481" s="32">
        <f t="shared" si="4"/>
      </c>
    </row>
    <row r="482" spans="1:17" x14ac:dyDescent="0.25">
      <c r="A482" s="27"/>
      <c r="B482" s="29"/>
      <c r="C482" s="29"/>
      <c r="D482" s="29"/>
      <c r="E482" s="31"/>
      <c r="F482" s="30"/>
      <c r="G482" s="30"/>
      <c r="H482" s="38"/>
      <c r="I482" s="29"/>
      <c r="J482" s="28"/>
      <c r="K482" s="31"/>
      <c r="L482" s="31"/>
      <c r="M482" s="37">
        <f t="shared" si="0"/>
      </c>
      <c r="N482" s="37">
        <f t="shared" si="1"/>
      </c>
      <c r="O482" s="32">
        <f t="shared" si="2"/>
      </c>
      <c r="P482" s="32">
        <f t="shared" si="3"/>
      </c>
      <c r="Q482" s="32">
        <f t="shared" si="4"/>
      </c>
    </row>
    <row r="483" spans="1:17" x14ac:dyDescent="0.25">
      <c r="A483" s="27"/>
      <c r="B483" s="29"/>
      <c r="C483" s="29"/>
      <c r="D483" s="29"/>
      <c r="E483" s="31"/>
      <c r="F483" s="30"/>
      <c r="G483" s="30"/>
      <c r="H483" s="38"/>
      <c r="I483" s="29"/>
      <c r="J483" s="28"/>
      <c r="K483" s="31"/>
      <c r="L483" s="31"/>
      <c r="M483" s="37">
        <f t="shared" si="0"/>
      </c>
      <c r="N483" s="37">
        <f t="shared" si="1"/>
      </c>
      <c r="O483" s="32">
        <f t="shared" si="2"/>
      </c>
      <c r="P483" s="32">
        <f t="shared" si="3"/>
      </c>
      <c r="Q483" s="32">
        <f t="shared" si="4"/>
      </c>
    </row>
    <row r="484" spans="1:17" x14ac:dyDescent="0.25">
      <c r="A484" s="27"/>
      <c r="B484" s="29"/>
      <c r="C484" s="29"/>
      <c r="D484" s="29"/>
      <c r="E484" s="31"/>
      <c r="F484" s="30"/>
      <c r="G484" s="30"/>
      <c r="H484" s="38"/>
      <c r="I484" s="29"/>
      <c r="J484" s="28"/>
      <c r="K484" s="31"/>
      <c r="L484" s="31"/>
      <c r="M484" s="37">
        <f t="shared" si="0"/>
      </c>
      <c r="N484" s="37">
        <f t="shared" si="1"/>
      </c>
      <c r="O484" s="32">
        <f t="shared" si="2"/>
      </c>
      <c r="P484" s="32">
        <f t="shared" si="3"/>
      </c>
      <c r="Q484" s="32">
        <f t="shared" si="4"/>
      </c>
    </row>
    <row r="485" spans="1:17" x14ac:dyDescent="0.25">
      <c r="A485" s="27"/>
      <c r="B485" s="29"/>
      <c r="C485" s="29"/>
      <c r="D485" s="29"/>
      <c r="E485" s="31"/>
      <c r="F485" s="30"/>
      <c r="G485" s="30"/>
      <c r="H485" s="38"/>
      <c r="I485" s="29"/>
      <c r="J485" s="28"/>
      <c r="K485" s="31"/>
      <c r="L485" s="31"/>
      <c r="M485" s="37">
        <f t="shared" si="0"/>
      </c>
      <c r="N485" s="37">
        <f t="shared" si="1"/>
      </c>
      <c r="O485" s="32">
        <f t="shared" si="2"/>
      </c>
      <c r="P485" s="32">
        <f t="shared" si="3"/>
      </c>
      <c r="Q485" s="32">
        <f t="shared" si="4"/>
      </c>
    </row>
    <row r="486" spans="1:17" x14ac:dyDescent="0.25">
      <c r="A486" s="27"/>
      <c r="B486" s="29"/>
      <c r="C486" s="29"/>
      <c r="D486" s="29"/>
      <c r="E486" s="31"/>
      <c r="F486" s="30"/>
      <c r="G486" s="30"/>
      <c r="H486" s="38"/>
      <c r="I486" s="29"/>
      <c r="J486" s="28"/>
      <c r="K486" s="31"/>
      <c r="L486" s="31"/>
      <c r="M486" s="37">
        <f t="shared" si="0"/>
      </c>
      <c r="N486" s="37">
        <f t="shared" si="1"/>
      </c>
      <c r="O486" s="32">
        <f t="shared" si="2"/>
      </c>
      <c r="P486" s="32">
        <f t="shared" si="3"/>
      </c>
      <c r="Q486" s="32">
        <f t="shared" si="4"/>
      </c>
    </row>
    <row r="487" spans="1:17" x14ac:dyDescent="0.25">
      <c r="A487" s="27"/>
      <c r="B487" s="29"/>
      <c r="C487" s="29"/>
      <c r="D487" s="29"/>
      <c r="E487" s="31"/>
      <c r="F487" s="30"/>
      <c r="G487" s="30"/>
      <c r="H487" s="38"/>
      <c r="I487" s="29"/>
      <c r="J487" s="28"/>
      <c r="K487" s="31"/>
      <c r="L487" s="31"/>
      <c r="M487" s="37">
        <f t="shared" si="0"/>
      </c>
      <c r="N487" s="37">
        <f t="shared" si="1"/>
      </c>
      <c r="O487" s="32">
        <f t="shared" si="2"/>
      </c>
      <c r="P487" s="32">
        <f t="shared" si="3"/>
      </c>
      <c r="Q487" s="32">
        <f t="shared" si="4"/>
      </c>
    </row>
    <row r="488" spans="1:17" x14ac:dyDescent="0.25">
      <c r="A488" s="27"/>
      <c r="B488" s="29"/>
      <c r="C488" s="29"/>
      <c r="D488" s="29"/>
      <c r="E488" s="31"/>
      <c r="F488" s="30"/>
      <c r="G488" s="30"/>
      <c r="H488" s="38"/>
      <c r="I488" s="29"/>
      <c r="J488" s="28"/>
      <c r="K488" s="31"/>
      <c r="L488" s="31"/>
      <c r="M488" s="37">
        <f t="shared" si="0"/>
      </c>
      <c r="N488" s="37">
        <f t="shared" si="1"/>
      </c>
      <c r="O488" s="32">
        <f t="shared" si="2"/>
      </c>
      <c r="P488" s="32">
        <f t="shared" si="3"/>
      </c>
      <c r="Q488" s="32">
        <f t="shared" si="4"/>
      </c>
    </row>
    <row r="489" spans="1:17" x14ac:dyDescent="0.25">
      <c r="A489" s="27"/>
      <c r="B489" s="29"/>
      <c r="C489" s="29"/>
      <c r="D489" s="29"/>
      <c r="E489" s="31"/>
      <c r="F489" s="30"/>
      <c r="G489" s="30"/>
      <c r="H489" s="38"/>
      <c r="I489" s="29"/>
      <c r="J489" s="28"/>
      <c r="K489" s="31"/>
      <c r="L489" s="31"/>
      <c r="M489" s="37">
        <f t="shared" si="0"/>
      </c>
      <c r="N489" s="37">
        <f t="shared" si="1"/>
      </c>
      <c r="O489" s="32">
        <f t="shared" si="2"/>
      </c>
      <c r="P489" s="32">
        <f t="shared" si="3"/>
      </c>
      <c r="Q489" s="32">
        <f t="shared" si="4"/>
      </c>
    </row>
    <row r="490" spans="1:17" x14ac:dyDescent="0.25">
      <c r="A490" s="27"/>
      <c r="B490" s="29"/>
      <c r="C490" s="29"/>
      <c r="D490" s="29"/>
      <c r="E490" s="31"/>
      <c r="F490" s="30"/>
      <c r="G490" s="30"/>
      <c r="H490" s="38"/>
      <c r="I490" s="29"/>
      <c r="J490" s="28"/>
      <c r="K490" s="31"/>
      <c r="L490" s="31"/>
      <c r="M490" s="37">
        <f t="shared" si="0"/>
      </c>
      <c r="N490" s="37">
        <f t="shared" si="1"/>
      </c>
      <c r="O490" s="32">
        <f t="shared" si="2"/>
      </c>
      <c r="P490" s="32">
        <f t="shared" si="3"/>
      </c>
      <c r="Q490" s="32">
        <f t="shared" si="4"/>
      </c>
    </row>
    <row r="491" spans="1:17" x14ac:dyDescent="0.25">
      <c r="A491" s="27"/>
      <c r="B491" s="29"/>
      <c r="C491" s="29"/>
      <c r="D491" s="29"/>
      <c r="E491" s="31"/>
      <c r="F491" s="30"/>
      <c r="G491" s="30"/>
      <c r="H491" s="38"/>
      <c r="I491" s="29"/>
      <c r="J491" s="28"/>
      <c r="K491" s="31"/>
      <c r="L491" s="31"/>
      <c r="M491" s="37">
        <f t="shared" si="0"/>
      </c>
      <c r="N491" s="37">
        <f t="shared" si="1"/>
      </c>
      <c r="O491" s="32">
        <f t="shared" si="2"/>
      </c>
      <c r="P491" s="32">
        <f t="shared" si="3"/>
      </c>
      <c r="Q491" s="32">
        <f t="shared" si="4"/>
      </c>
    </row>
    <row r="492" spans="1:17" x14ac:dyDescent="0.25">
      <c r="A492" s="27"/>
      <c r="B492" s="29"/>
      <c r="C492" s="29"/>
      <c r="D492" s="29"/>
      <c r="E492" s="31"/>
      <c r="F492" s="30"/>
      <c r="G492" s="30"/>
      <c r="H492" s="38"/>
      <c r="I492" s="29"/>
      <c r="J492" s="28"/>
      <c r="K492" s="31"/>
      <c r="L492" s="31"/>
      <c r="M492" s="37">
        <f t="shared" si="0"/>
      </c>
      <c r="N492" s="37">
        <f t="shared" si="1"/>
      </c>
      <c r="O492" s="32">
        <f t="shared" si="2"/>
      </c>
      <c r="P492" s="32">
        <f t="shared" si="3"/>
      </c>
      <c r="Q492" s="32">
        <f t="shared" si="4"/>
      </c>
    </row>
    <row r="493" spans="1:17" x14ac:dyDescent="0.25">
      <c r="A493" s="27"/>
      <c r="B493" s="29"/>
      <c r="C493" s="29"/>
      <c r="D493" s="29"/>
      <c r="E493" s="31"/>
      <c r="F493" s="30"/>
      <c r="G493" s="30"/>
      <c r="H493" s="38"/>
      <c r="I493" s="29"/>
      <c r="J493" s="28"/>
      <c r="K493" s="31"/>
      <c r="L493" s="31"/>
      <c r="M493" s="37">
        <f t="shared" si="0"/>
      </c>
      <c r="N493" s="37">
        <f t="shared" si="1"/>
      </c>
      <c r="O493" s="32">
        <f t="shared" si="2"/>
      </c>
      <c r="P493" s="32">
        <f t="shared" si="3"/>
      </c>
      <c r="Q493" s="32">
        <f t="shared" si="4"/>
      </c>
    </row>
    <row r="494" spans="1:17" x14ac:dyDescent="0.25">
      <c r="A494" s="27"/>
      <c r="B494" s="29"/>
      <c r="C494" s="29"/>
      <c r="D494" s="29"/>
      <c r="E494" s="31"/>
      <c r="F494" s="30"/>
      <c r="G494" s="30"/>
      <c r="H494" s="38"/>
      <c r="I494" s="29"/>
      <c r="J494" s="28"/>
      <c r="K494" s="31"/>
      <c r="L494" s="31"/>
      <c r="M494" s="37">
        <f t="shared" si="0"/>
      </c>
      <c r="N494" s="37">
        <f t="shared" si="1"/>
      </c>
      <c r="O494" s="32">
        <f t="shared" si="2"/>
      </c>
      <c r="P494" s="32">
        <f t="shared" si="3"/>
      </c>
      <c r="Q494" s="32">
        <f t="shared" si="4"/>
      </c>
    </row>
    <row r="495" spans="1:17" x14ac:dyDescent="0.25">
      <c r="A495" s="27"/>
      <c r="B495" s="29"/>
      <c r="C495" s="29"/>
      <c r="D495" s="29"/>
      <c r="E495" s="31"/>
      <c r="F495" s="30"/>
      <c r="G495" s="30"/>
      <c r="H495" s="38"/>
      <c r="I495" s="29"/>
      <c r="J495" s="28"/>
      <c r="K495" s="31"/>
      <c r="L495" s="31"/>
      <c r="M495" s="37">
        <f t="shared" si="0"/>
      </c>
      <c r="N495" s="37">
        <f t="shared" si="1"/>
      </c>
      <c r="O495" s="32">
        <f t="shared" si="2"/>
      </c>
      <c r="P495" s="32">
        <f t="shared" si="3"/>
      </c>
      <c r="Q495" s="32">
        <f t="shared" si="4"/>
      </c>
    </row>
    <row r="496" spans="1:17" x14ac:dyDescent="0.25">
      <c r="A496" s="27"/>
      <c r="B496" s="29"/>
      <c r="C496" s="29"/>
      <c r="D496" s="29"/>
      <c r="E496" s="31"/>
      <c r="F496" s="30"/>
      <c r="G496" s="30"/>
      <c r="H496" s="38"/>
      <c r="I496" s="29"/>
      <c r="J496" s="28"/>
      <c r="K496" s="31"/>
      <c r="L496" s="31"/>
      <c r="M496" s="37">
        <f t="shared" si="0"/>
      </c>
      <c r="N496" s="37">
        <f t="shared" si="1"/>
      </c>
      <c r="O496" s="32">
        <f t="shared" si="2"/>
      </c>
      <c r="P496" s="32">
        <f t="shared" si="3"/>
      </c>
      <c r="Q496" s="32">
        <f t="shared" si="4"/>
      </c>
    </row>
    <row r="497" spans="1:17" x14ac:dyDescent="0.25">
      <c r="A497" s="27"/>
      <c r="B497" s="29"/>
      <c r="C497" s="29"/>
      <c r="D497" s="29"/>
      <c r="E497" s="31"/>
      <c r="F497" s="30"/>
      <c r="G497" s="30"/>
      <c r="H497" s="38"/>
      <c r="I497" s="29"/>
      <c r="J497" s="28"/>
      <c r="K497" s="31"/>
      <c r="L497" s="31"/>
      <c r="M497" s="37">
        <f t="shared" si="0"/>
      </c>
      <c r="N497" s="37">
        <f t="shared" si="1"/>
      </c>
      <c r="O497" s="32">
        <f t="shared" si="2"/>
      </c>
      <c r="P497" s="32">
        <f t="shared" si="3"/>
      </c>
      <c r="Q497" s="32">
        <f t="shared" si="4"/>
      </c>
    </row>
    <row r="498" spans="1:17" x14ac:dyDescent="0.25">
      <c r="A498" s="27"/>
      <c r="B498" s="29"/>
      <c r="C498" s="29"/>
      <c r="D498" s="29"/>
      <c r="E498" s="31"/>
      <c r="F498" s="30"/>
      <c r="G498" s="30"/>
      <c r="H498" s="38"/>
      <c r="I498" s="29"/>
      <c r="J498" s="28"/>
      <c r="K498" s="31"/>
      <c r="L498" s="31"/>
      <c r="M498" s="37">
        <f t="shared" si="0"/>
      </c>
      <c r="N498" s="37">
        <f t="shared" si="1"/>
      </c>
      <c r="O498" s="32">
        <f t="shared" si="2"/>
      </c>
      <c r="P498" s="32">
        <f t="shared" si="3"/>
      </c>
      <c r="Q498" s="32">
        <f t="shared" si="4"/>
      </c>
    </row>
    <row r="499" spans="1:17" x14ac:dyDescent="0.25">
      <c r="A499" s="27"/>
      <c r="B499" s="29"/>
      <c r="C499" s="29"/>
      <c r="D499" s="29"/>
      <c r="E499" s="31"/>
      <c r="F499" s="30"/>
      <c r="G499" s="30"/>
      <c r="H499" s="38"/>
      <c r="I499" s="29"/>
      <c r="J499" s="28"/>
      <c r="K499" s="31"/>
      <c r="L499" s="31"/>
      <c r="M499" s="37">
        <f t="shared" si="0"/>
      </c>
      <c r="N499" s="37">
        <f t="shared" si="1"/>
      </c>
      <c r="O499" s="32">
        <f t="shared" si="2"/>
      </c>
      <c r="P499" s="32">
        <f t="shared" si="3"/>
      </c>
      <c r="Q499" s="32">
        <f t="shared" si="4"/>
      </c>
    </row>
    <row r="500" spans="1:17" x14ac:dyDescent="0.25">
      <c r="A500" s="27"/>
      <c r="B500" s="29"/>
      <c r="C500" s="29"/>
      <c r="D500" s="29"/>
      <c r="E500" s="31"/>
      <c r="F500" s="30"/>
      <c r="G500" s="30"/>
      <c r="H500" s="38"/>
      <c r="I500" s="29"/>
      <c r="J500" s="28"/>
      <c r="K500" s="31"/>
      <c r="L500" s="31"/>
      <c r="M500" s="37">
        <f t="shared" si="0"/>
      </c>
      <c r="N500" s="37">
        <f t="shared" si="1"/>
      </c>
      <c r="O500" s="32">
        <f t="shared" si="2"/>
      </c>
      <c r="P500" s="32">
        <f t="shared" si="3"/>
      </c>
      <c r="Q500" s="32">
        <f t="shared" si="4"/>
      </c>
    </row>
    <row r="501" spans="1:17" x14ac:dyDescent="0.25">
      <c r="A501" s="27"/>
      <c r="B501" s="29"/>
      <c r="C501" s="29"/>
      <c r="D501" s="29"/>
      <c r="E501" s="31"/>
      <c r="F501" s="30"/>
      <c r="G501" s="30"/>
      <c r="H501" s="38"/>
      <c r="I501" s="29"/>
      <c r="J501" s="28"/>
      <c r="K501" s="31"/>
      <c r="L501" s="31"/>
      <c r="M501" s="37">
        <f t="shared" si="0"/>
      </c>
      <c r="N501" s="37">
        <f t="shared" si="1"/>
      </c>
      <c r="O501" s="32">
        <f t="shared" si="2"/>
      </c>
      <c r="P501" s="32">
        <f t="shared" si="3"/>
      </c>
      <c r="Q501" s="32">
        <f t="shared" si="4"/>
      </c>
    </row>
    <row r="502" spans="1:17" x14ac:dyDescent="0.25">
      <c r="A502" s="27"/>
      <c r="B502" s="29"/>
      <c r="C502" s="29"/>
      <c r="D502" s="29"/>
      <c r="E502" s="31"/>
      <c r="F502" s="30"/>
      <c r="G502" s="30"/>
      <c r="H502" s="38"/>
      <c r="I502" s="29"/>
      <c r="J502" s="28"/>
      <c r="K502" s="31"/>
      <c r="L502" s="31"/>
      <c r="M502" s="37">
        <f t="shared" si="0"/>
      </c>
      <c r="N502" s="37">
        <f t="shared" si="1"/>
      </c>
      <c r="O502" s="32">
        <f t="shared" si="2"/>
      </c>
      <c r="P502" s="32">
        <f t="shared" si="3"/>
      </c>
      <c r="Q502" s="32">
        <f t="shared" si="4"/>
      </c>
    </row>
    <row r="503" spans="1:17" x14ac:dyDescent="0.25">
      <c r="A503" s="27"/>
      <c r="B503" s="29"/>
      <c r="C503" s="29"/>
      <c r="D503" s="29"/>
      <c r="E503" s="31"/>
      <c r="F503" s="30"/>
      <c r="G503" s="30"/>
      <c r="H503" s="38"/>
      <c r="I503" s="29"/>
      <c r="J503" s="28"/>
      <c r="K503" s="31"/>
      <c r="L503" s="31"/>
      <c r="M503" s="37">
        <f t="shared" si="0"/>
      </c>
      <c r="N503" s="37">
        <f t="shared" si="1"/>
      </c>
      <c r="O503" s="32">
        <f t="shared" si="2"/>
      </c>
      <c r="P503" s="32">
        <f t="shared" si="3"/>
      </c>
      <c r="Q503" s="32">
        <f t="shared" si="4"/>
      </c>
    </row>
  </sheetData>
  <sheetProtection sheet="1" formatColumns="0" formatRows="0" autoFilter="0"/>
  <autoFilter ref="A3:O503"/>
  <mergeCells count="2">
    <mergeCell ref="A1:B2"/>
    <mergeCell ref="C1:P2"/>
  </mergeCells>
  <conditionalFormatting sqref="N4:N503">
    <cfRule type="expression" dxfId="37" priority="10">
      <formula>N4="Atrasado"</formula>
    </cfRule>
    <cfRule type="expression" dxfId="38" priority="11">
      <formula>N4="Concluído"</formula>
    </cfRule>
    <cfRule type="expression" dxfId="39" priority="12">
      <formula>N4="Em andamento"</formula>
    </cfRule>
    <cfRule type="expression" dxfId="40" priority="13">
      <formula>N4="Backlog"</formula>
    </cfRule>
  </conditionalFormatting>
  <conditionalFormatting sqref="O4:O503">
    <cfRule type="expression" dxfId="41" priority="1">
      <formula>OR(LEFT(O4,4)="ERRO",LEFT(O4,7)="ATENÇÃO")</formula>
    </cfRule>
    <cfRule type="expression" dxfId="42" priority="2">
      <formula>OR(LEFT(O4,8)="Pendente",LEFT(O4,9)="Verificar",LEFT(O4,9)="Duplicada",LEFT(O4,7)="Tarefa ",LEFT(O4,13)="Fora do plano",LEFT(O4,8)="Previsão",LEFT(O4,11)="Sem vínculo",LEFT(O4,14)="Não verificado",LEFT(O4,7)="Informe",LEFT(O4,9)="A definir")</formula>
    </cfRule>
    <cfRule type="expression" dxfId="43" priority="3">
      <formula>OR(O4="OK",LEFT(O4,4)="Nada",LEFT(O4,3)="OK:")</formula>
    </cfRule>
  </conditionalFormatting>
  <dataValidations count="8">
    <dataValidation type="list" allowBlank="1" showErrorMessage="1" errorStyle="stop" errorTitle="Valor fora da lista" error="Escolha um plano cadastrado (opcional para corretivas)." sqref="B4:B503">
      <formula1>OFFSET(pl_codigo,0,0,MAX(1,COUNTA(pl_codigo)),1)</formula1>
    </dataValidation>
    <dataValidation type="list" allowBlank="1" showErrorMessage="1" errorStyle="stop" errorTitle="Valor fora da lista" error="Escolha um item da lista suspensa (aba Listas)." sqref="C4:C503">
      <formula1>OFFSET(at_codigo,0,0,MAX(1,COUNTA(at_codigo)),1)</formula1>
    </dataValidation>
    <dataValidation type="list" allowBlank="1" showErrorMessage="1" errorStyle="stop" errorTitle="Valor fora da lista" error="Escolha um item da lista suspensa (aba Listas)." sqref="D4:D503">
      <formula1>OFFSET(lst_tipo_os,0,0,MAX(1,COUNTA(lst_tipo_os)),1)</formula1>
    </dataValidation>
    <dataValidation type="date" allowBlank="1" showErrorMessage="1" errorStyle="stop" errorTitle="Data inválida" error="Digite uma data válida no formato dd/mm/aaaa." sqref="F4:F503">
      <formula1>32874</formula1>
      <formula2>73050</formula2>
    </dataValidation>
    <dataValidation type="date" allowBlank="1" showErrorMessage="1" errorStyle="stop" errorTitle="Data inválida" error="Digite uma data válida no formato dd/mm/aaaa." sqref="G4:G503">
      <formula1>32874</formula1>
      <formula2>73050</formula2>
    </dataValidation>
    <dataValidation type="decimal" operator="greaterThanOrEqual" allowBlank="1" showErrorMessage="1" errorStyle="stop" errorTitle="Valor inválido" error="Informe um número maior ou igual a zero." sqref="H4:H503">
      <formula1>0</formula1>
    </dataValidation>
    <dataValidation type="list" allowBlank="1" showErrorMessage="1" errorStyle="stop" errorTitle="Valor fora da lista" error="Escolha um item da lista suspensa (aba Listas)." sqref="I4:I503">
      <formula1>OFFSET(lst_status_os,0,0,MAX(1,COUNTA(lst_status_os)),1)</formula1>
    </dataValidation>
    <dataValidation type="list" allowBlank="1" showErrorMessage="1" errorStyle="stop" errorTitle="Valor fora da lista" error="Cadastre o técnico na aba Equipe." sqref="J4:J503">
      <formula1>OFFSET(eq_nome,0,0,MAX(1,COUNTA(eq_nome)),1)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workbookViewId="0" showGridLines="0" zoomScale="100" zoomScaleNormal="10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6" customWidth="1"/>
    <col min="2" max="6" width="30" customWidth="1"/>
  </cols>
  <sheetData>
    <row r="1" ht="36" customHeight="1" spans="1:6" x14ac:dyDescent="0.25">
      <c r="A1" s="1"/>
      <c r="B1" s="1"/>
      <c r="C1" s="2" t="s">
        <v>166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24" customHeight="1" spans="1:6" x14ac:dyDescent="0.25">
      <c r="A3" s="8" t="s">
        <v>167</v>
      </c>
      <c r="B3" s="8">
        <f>"Programado ("&amp;COUNTIF(os_chave,"Programado|*")&amp;")"</f>
      </c>
      <c r="C3" s="8">
        <f>"Em andamento ("&amp;COUNTIF(os_chave,"Em andamento|*")&amp;")"</f>
      </c>
      <c r="D3" s="8">
        <f>"Atrasado ("&amp;COUNTIF(os_chave,"Atrasado|*")&amp;")"</f>
      </c>
      <c r="E3" s="8">
        <f>"Concluído ("&amp;COUNTIF(os_chave,"Concluído|*")&amp;")"</f>
      </c>
      <c r="F3" s="8">
        <f>"Backlog ("&amp;COUNTIF(os_chave,"Backlog|*")&amp;")"</f>
      </c>
    </row>
    <row r="4" spans="1:6" x14ac:dyDescent="0.25">
      <c r="A4" s="45">
        <f>"Setor: "&amp;IF(OR(kanban_setor="",kanban_setor="Todos"),"Todos",kanban_setor)</f>
      </c>
      <c r="B4" s="45"/>
      <c r="C4" s="45"/>
      <c r="D4" s="45"/>
      <c r="E4" s="45"/>
      <c r="F4" s="45"/>
    </row>
    <row r="5" ht="46" customHeight="1" spans="1:6" x14ac:dyDescent="0.25">
      <c r="A5" s="43">
        <v>1</v>
      </c>
      <c r="B5" s="46">
        <f>IFERROR(INDEX(Programação!$A$4:$A$503,MATCH("Programado|1",os_chave,0))&amp;" — "&amp;INDEX(Programação!$C$4:$C$503,MATCH("Programado|1",os_chave,0))&amp;CHAR(10)&amp;LEFT(INDEX(Programação!$E$4:$E$503,MATCH("Programado|1",os_chave,0)),60)&amp;CHAR(10)&amp;"Prazo: "&amp;IF(ISNUMBER(INDEX(Programação!$F$4:$F$503,MATCH("Programado|1",os_chave,0))),RIGHT("0"&amp;DAY(INDEX(Programação!$F$4:$F$503,MATCH("Programado|1",os_chave,0))),2)&amp;"/"&amp;RIGHT("0"&amp;MONTH(INDEX(Programação!$F$4:$F$503,MATCH("Programado|1",os_chave,0))),2)&amp;"/"&amp;YEAR(INDEX(Programação!$F$4:$F$503,MATCH("Programado|1",os_chave,0))),"—")&amp;"  |  "&amp;INDEX(Programação!$J$4:$J$503,MATCH("Programado|1",os_chave,0)),"")</f>
      </c>
      <c r="C5" s="46">
        <f>IFERROR(INDEX(Programação!$A$4:$A$503,MATCH("Em andamento|1",os_chave,0))&amp;" — "&amp;INDEX(Programação!$C$4:$C$503,MATCH("Em andamento|1",os_chave,0))&amp;CHAR(10)&amp;LEFT(INDEX(Programação!$E$4:$E$503,MATCH("Em andamento|1",os_chave,0)),60)&amp;CHAR(10)&amp;"Prazo: "&amp;IF(ISNUMBER(INDEX(Programação!$F$4:$F$503,MATCH("Em andamento|1",os_chave,0))),RIGHT("0"&amp;DAY(INDEX(Programação!$F$4:$F$503,MATCH("Em andamento|1",os_chave,0))),2)&amp;"/"&amp;RIGHT("0"&amp;MONTH(INDEX(Programação!$F$4:$F$503,MATCH("Em andamento|1",os_chave,0))),2)&amp;"/"&amp;YEAR(INDEX(Programação!$F$4:$F$503,MATCH("Em andamento|1",os_chave,0))),"—")&amp;"  |  "&amp;INDEX(Programação!$J$4:$J$503,MATCH("Em andamento|1",os_chave,0)),"")</f>
      </c>
      <c r="D5" s="46">
        <f>IFERROR(INDEX(Programação!$A$4:$A$503,MATCH("Atrasado|1",os_chave,0))&amp;" — "&amp;INDEX(Programação!$C$4:$C$503,MATCH("Atrasado|1",os_chave,0))&amp;CHAR(10)&amp;LEFT(INDEX(Programação!$E$4:$E$503,MATCH("Atrasado|1",os_chave,0)),60)&amp;CHAR(10)&amp;"Prazo: "&amp;IF(ISNUMBER(INDEX(Programação!$F$4:$F$503,MATCH("Atrasado|1",os_chave,0))),RIGHT("0"&amp;DAY(INDEX(Programação!$F$4:$F$503,MATCH("Atrasado|1",os_chave,0))),2)&amp;"/"&amp;RIGHT("0"&amp;MONTH(INDEX(Programação!$F$4:$F$503,MATCH("Atrasado|1",os_chave,0))),2)&amp;"/"&amp;YEAR(INDEX(Programação!$F$4:$F$503,MATCH("Atrasado|1",os_chave,0))),"—")&amp;"  |  "&amp;INDEX(Programação!$J$4:$J$503,MATCH("Atrasado|1",os_chave,0)),"")</f>
      </c>
      <c r="E5" s="46">
        <f>IFERROR(INDEX(Programação!$A$4:$A$503,MATCH("Concluído|1",os_chave,0))&amp;" — "&amp;INDEX(Programação!$C$4:$C$503,MATCH("Concluído|1",os_chave,0))&amp;CHAR(10)&amp;LEFT(INDEX(Programação!$E$4:$E$503,MATCH("Concluído|1",os_chave,0)),60)&amp;CHAR(10)&amp;"Prazo: "&amp;IF(ISNUMBER(INDEX(Programação!$F$4:$F$503,MATCH("Concluído|1",os_chave,0))),RIGHT("0"&amp;DAY(INDEX(Programação!$F$4:$F$503,MATCH("Concluído|1",os_chave,0))),2)&amp;"/"&amp;RIGHT("0"&amp;MONTH(INDEX(Programação!$F$4:$F$503,MATCH("Concluído|1",os_chave,0))),2)&amp;"/"&amp;YEAR(INDEX(Programação!$F$4:$F$503,MATCH("Concluído|1",os_chave,0))),"—")&amp;"  |  "&amp;INDEX(Programação!$J$4:$J$503,MATCH("Concluído|1",os_chave,0)),"")</f>
      </c>
      <c r="F5" s="46">
        <f>IFERROR(INDEX(Programação!$A$4:$A$503,MATCH("Backlog|1",os_chave,0))&amp;" — "&amp;INDEX(Programação!$C$4:$C$503,MATCH("Backlog|1",os_chave,0))&amp;CHAR(10)&amp;LEFT(INDEX(Programação!$E$4:$E$503,MATCH("Backlog|1",os_chave,0)),60)&amp;CHAR(10)&amp;"Prazo: "&amp;IF(ISNUMBER(INDEX(Programação!$F$4:$F$503,MATCH("Backlog|1",os_chave,0))),RIGHT("0"&amp;DAY(INDEX(Programação!$F$4:$F$503,MATCH("Backlog|1",os_chave,0))),2)&amp;"/"&amp;RIGHT("0"&amp;MONTH(INDEX(Programação!$F$4:$F$503,MATCH("Backlog|1",os_chave,0))),2)&amp;"/"&amp;YEAR(INDEX(Programação!$F$4:$F$503,MATCH("Backlog|1",os_chave,0))),"—")&amp;"  |  "&amp;INDEX(Programação!$J$4:$J$503,MATCH("Backlog|1",os_chave,0)),"")</f>
      </c>
    </row>
    <row r="6" ht="46" customHeight="1" spans="1:6" x14ac:dyDescent="0.25">
      <c r="A6" s="43">
        <v>2</v>
      </c>
      <c r="B6" s="46">
        <f>IFERROR(INDEX(Programação!$A$4:$A$503,MATCH("Programado|2",os_chave,0))&amp;" — "&amp;INDEX(Programação!$C$4:$C$503,MATCH("Programado|2",os_chave,0))&amp;CHAR(10)&amp;LEFT(INDEX(Programação!$E$4:$E$503,MATCH("Programado|2",os_chave,0)),60)&amp;CHAR(10)&amp;"Prazo: "&amp;IF(ISNUMBER(INDEX(Programação!$F$4:$F$503,MATCH("Programado|2",os_chave,0))),RIGHT("0"&amp;DAY(INDEX(Programação!$F$4:$F$503,MATCH("Programado|2",os_chave,0))),2)&amp;"/"&amp;RIGHT("0"&amp;MONTH(INDEX(Programação!$F$4:$F$503,MATCH("Programado|2",os_chave,0))),2)&amp;"/"&amp;YEAR(INDEX(Programação!$F$4:$F$503,MATCH("Programado|2",os_chave,0))),"—")&amp;"  |  "&amp;INDEX(Programação!$J$4:$J$503,MATCH("Programado|2",os_chave,0)),"")</f>
      </c>
      <c r="C6" s="46">
        <f>IFERROR(INDEX(Programação!$A$4:$A$503,MATCH("Em andamento|2",os_chave,0))&amp;" — "&amp;INDEX(Programação!$C$4:$C$503,MATCH("Em andamento|2",os_chave,0))&amp;CHAR(10)&amp;LEFT(INDEX(Programação!$E$4:$E$503,MATCH("Em andamento|2",os_chave,0)),60)&amp;CHAR(10)&amp;"Prazo: "&amp;IF(ISNUMBER(INDEX(Programação!$F$4:$F$503,MATCH("Em andamento|2",os_chave,0))),RIGHT("0"&amp;DAY(INDEX(Programação!$F$4:$F$503,MATCH("Em andamento|2",os_chave,0))),2)&amp;"/"&amp;RIGHT("0"&amp;MONTH(INDEX(Programação!$F$4:$F$503,MATCH("Em andamento|2",os_chave,0))),2)&amp;"/"&amp;YEAR(INDEX(Programação!$F$4:$F$503,MATCH("Em andamento|2",os_chave,0))),"—")&amp;"  |  "&amp;INDEX(Programação!$J$4:$J$503,MATCH("Em andamento|2",os_chave,0)),"")</f>
      </c>
      <c r="D6" s="46">
        <f>IFERROR(INDEX(Programação!$A$4:$A$503,MATCH("Atrasado|2",os_chave,0))&amp;" — "&amp;INDEX(Programação!$C$4:$C$503,MATCH("Atrasado|2",os_chave,0))&amp;CHAR(10)&amp;LEFT(INDEX(Programação!$E$4:$E$503,MATCH("Atrasado|2",os_chave,0)),60)&amp;CHAR(10)&amp;"Prazo: "&amp;IF(ISNUMBER(INDEX(Programação!$F$4:$F$503,MATCH("Atrasado|2",os_chave,0))),RIGHT("0"&amp;DAY(INDEX(Programação!$F$4:$F$503,MATCH("Atrasado|2",os_chave,0))),2)&amp;"/"&amp;RIGHT("0"&amp;MONTH(INDEX(Programação!$F$4:$F$503,MATCH("Atrasado|2",os_chave,0))),2)&amp;"/"&amp;YEAR(INDEX(Programação!$F$4:$F$503,MATCH("Atrasado|2",os_chave,0))),"—")&amp;"  |  "&amp;INDEX(Programação!$J$4:$J$503,MATCH("Atrasado|2",os_chave,0)),"")</f>
      </c>
      <c r="E6" s="46">
        <f>IFERROR(INDEX(Programação!$A$4:$A$503,MATCH("Concluído|2",os_chave,0))&amp;" — "&amp;INDEX(Programação!$C$4:$C$503,MATCH("Concluído|2",os_chave,0))&amp;CHAR(10)&amp;LEFT(INDEX(Programação!$E$4:$E$503,MATCH("Concluído|2",os_chave,0)),60)&amp;CHAR(10)&amp;"Prazo: "&amp;IF(ISNUMBER(INDEX(Programação!$F$4:$F$503,MATCH("Concluído|2",os_chave,0))),RIGHT("0"&amp;DAY(INDEX(Programação!$F$4:$F$503,MATCH("Concluído|2",os_chave,0))),2)&amp;"/"&amp;RIGHT("0"&amp;MONTH(INDEX(Programação!$F$4:$F$503,MATCH("Concluído|2",os_chave,0))),2)&amp;"/"&amp;YEAR(INDEX(Programação!$F$4:$F$503,MATCH("Concluído|2",os_chave,0))),"—")&amp;"  |  "&amp;INDEX(Programação!$J$4:$J$503,MATCH("Concluído|2",os_chave,0)),"")</f>
      </c>
      <c r="F6" s="46">
        <f>IFERROR(INDEX(Programação!$A$4:$A$503,MATCH("Backlog|2",os_chave,0))&amp;" — "&amp;INDEX(Programação!$C$4:$C$503,MATCH("Backlog|2",os_chave,0))&amp;CHAR(10)&amp;LEFT(INDEX(Programação!$E$4:$E$503,MATCH("Backlog|2",os_chave,0)),60)&amp;CHAR(10)&amp;"Prazo: "&amp;IF(ISNUMBER(INDEX(Programação!$F$4:$F$503,MATCH("Backlog|2",os_chave,0))),RIGHT("0"&amp;DAY(INDEX(Programação!$F$4:$F$503,MATCH("Backlog|2",os_chave,0))),2)&amp;"/"&amp;RIGHT("0"&amp;MONTH(INDEX(Programação!$F$4:$F$503,MATCH("Backlog|2",os_chave,0))),2)&amp;"/"&amp;YEAR(INDEX(Programação!$F$4:$F$503,MATCH("Backlog|2",os_chave,0))),"—")&amp;"  |  "&amp;INDEX(Programação!$J$4:$J$503,MATCH("Backlog|2",os_chave,0)),"")</f>
      </c>
    </row>
    <row r="7" ht="46" customHeight="1" spans="1:6" x14ac:dyDescent="0.25">
      <c r="A7" s="43">
        <v>3</v>
      </c>
      <c r="B7" s="46">
        <f>IFERROR(INDEX(Programação!$A$4:$A$503,MATCH("Programado|3",os_chave,0))&amp;" — "&amp;INDEX(Programação!$C$4:$C$503,MATCH("Programado|3",os_chave,0))&amp;CHAR(10)&amp;LEFT(INDEX(Programação!$E$4:$E$503,MATCH("Programado|3",os_chave,0)),60)&amp;CHAR(10)&amp;"Prazo: "&amp;IF(ISNUMBER(INDEX(Programação!$F$4:$F$503,MATCH("Programado|3",os_chave,0))),RIGHT("0"&amp;DAY(INDEX(Programação!$F$4:$F$503,MATCH("Programado|3",os_chave,0))),2)&amp;"/"&amp;RIGHT("0"&amp;MONTH(INDEX(Programação!$F$4:$F$503,MATCH("Programado|3",os_chave,0))),2)&amp;"/"&amp;YEAR(INDEX(Programação!$F$4:$F$503,MATCH("Programado|3",os_chave,0))),"—")&amp;"  |  "&amp;INDEX(Programação!$J$4:$J$503,MATCH("Programado|3",os_chave,0)),"")</f>
      </c>
      <c r="C7" s="46">
        <f>IFERROR(INDEX(Programação!$A$4:$A$503,MATCH("Em andamento|3",os_chave,0))&amp;" — "&amp;INDEX(Programação!$C$4:$C$503,MATCH("Em andamento|3",os_chave,0))&amp;CHAR(10)&amp;LEFT(INDEX(Programação!$E$4:$E$503,MATCH("Em andamento|3",os_chave,0)),60)&amp;CHAR(10)&amp;"Prazo: "&amp;IF(ISNUMBER(INDEX(Programação!$F$4:$F$503,MATCH("Em andamento|3",os_chave,0))),RIGHT("0"&amp;DAY(INDEX(Programação!$F$4:$F$503,MATCH("Em andamento|3",os_chave,0))),2)&amp;"/"&amp;RIGHT("0"&amp;MONTH(INDEX(Programação!$F$4:$F$503,MATCH("Em andamento|3",os_chave,0))),2)&amp;"/"&amp;YEAR(INDEX(Programação!$F$4:$F$503,MATCH("Em andamento|3",os_chave,0))),"—")&amp;"  |  "&amp;INDEX(Programação!$J$4:$J$503,MATCH("Em andamento|3",os_chave,0)),"")</f>
      </c>
      <c r="D7" s="46">
        <f>IFERROR(INDEX(Programação!$A$4:$A$503,MATCH("Atrasado|3",os_chave,0))&amp;" — "&amp;INDEX(Programação!$C$4:$C$503,MATCH("Atrasado|3",os_chave,0))&amp;CHAR(10)&amp;LEFT(INDEX(Programação!$E$4:$E$503,MATCH("Atrasado|3",os_chave,0)),60)&amp;CHAR(10)&amp;"Prazo: "&amp;IF(ISNUMBER(INDEX(Programação!$F$4:$F$503,MATCH("Atrasado|3",os_chave,0))),RIGHT("0"&amp;DAY(INDEX(Programação!$F$4:$F$503,MATCH("Atrasado|3",os_chave,0))),2)&amp;"/"&amp;RIGHT("0"&amp;MONTH(INDEX(Programação!$F$4:$F$503,MATCH("Atrasado|3",os_chave,0))),2)&amp;"/"&amp;YEAR(INDEX(Programação!$F$4:$F$503,MATCH("Atrasado|3",os_chave,0))),"—")&amp;"  |  "&amp;INDEX(Programação!$J$4:$J$503,MATCH("Atrasado|3",os_chave,0)),"")</f>
      </c>
      <c r="E7" s="46">
        <f>IFERROR(INDEX(Programação!$A$4:$A$503,MATCH("Concluído|3",os_chave,0))&amp;" — "&amp;INDEX(Programação!$C$4:$C$503,MATCH("Concluído|3",os_chave,0))&amp;CHAR(10)&amp;LEFT(INDEX(Programação!$E$4:$E$503,MATCH("Concluído|3",os_chave,0)),60)&amp;CHAR(10)&amp;"Prazo: "&amp;IF(ISNUMBER(INDEX(Programação!$F$4:$F$503,MATCH("Concluído|3",os_chave,0))),RIGHT("0"&amp;DAY(INDEX(Programação!$F$4:$F$503,MATCH("Concluído|3",os_chave,0))),2)&amp;"/"&amp;RIGHT("0"&amp;MONTH(INDEX(Programação!$F$4:$F$503,MATCH("Concluído|3",os_chave,0))),2)&amp;"/"&amp;YEAR(INDEX(Programação!$F$4:$F$503,MATCH("Concluído|3",os_chave,0))),"—")&amp;"  |  "&amp;INDEX(Programação!$J$4:$J$503,MATCH("Concluído|3",os_chave,0)),"")</f>
      </c>
      <c r="F7" s="46">
        <f>IFERROR(INDEX(Programação!$A$4:$A$503,MATCH("Backlog|3",os_chave,0))&amp;" — "&amp;INDEX(Programação!$C$4:$C$503,MATCH("Backlog|3",os_chave,0))&amp;CHAR(10)&amp;LEFT(INDEX(Programação!$E$4:$E$503,MATCH("Backlog|3",os_chave,0)),60)&amp;CHAR(10)&amp;"Prazo: "&amp;IF(ISNUMBER(INDEX(Programação!$F$4:$F$503,MATCH("Backlog|3",os_chave,0))),RIGHT("0"&amp;DAY(INDEX(Programação!$F$4:$F$503,MATCH("Backlog|3",os_chave,0))),2)&amp;"/"&amp;RIGHT("0"&amp;MONTH(INDEX(Programação!$F$4:$F$503,MATCH("Backlog|3",os_chave,0))),2)&amp;"/"&amp;YEAR(INDEX(Programação!$F$4:$F$503,MATCH("Backlog|3",os_chave,0))),"—")&amp;"  |  "&amp;INDEX(Programação!$J$4:$J$503,MATCH("Backlog|3",os_chave,0)),"")</f>
      </c>
    </row>
    <row r="8" ht="46" customHeight="1" spans="1:6" x14ac:dyDescent="0.25">
      <c r="A8" s="43">
        <v>4</v>
      </c>
      <c r="B8" s="46">
        <f>IFERROR(INDEX(Programação!$A$4:$A$503,MATCH("Programado|4",os_chave,0))&amp;" — "&amp;INDEX(Programação!$C$4:$C$503,MATCH("Programado|4",os_chave,0))&amp;CHAR(10)&amp;LEFT(INDEX(Programação!$E$4:$E$503,MATCH("Programado|4",os_chave,0)),60)&amp;CHAR(10)&amp;"Prazo: "&amp;IF(ISNUMBER(INDEX(Programação!$F$4:$F$503,MATCH("Programado|4",os_chave,0))),RIGHT("0"&amp;DAY(INDEX(Programação!$F$4:$F$503,MATCH("Programado|4",os_chave,0))),2)&amp;"/"&amp;RIGHT("0"&amp;MONTH(INDEX(Programação!$F$4:$F$503,MATCH("Programado|4",os_chave,0))),2)&amp;"/"&amp;YEAR(INDEX(Programação!$F$4:$F$503,MATCH("Programado|4",os_chave,0))),"—")&amp;"  |  "&amp;INDEX(Programação!$J$4:$J$503,MATCH("Programado|4",os_chave,0)),"")</f>
      </c>
      <c r="C8" s="46">
        <f>IFERROR(INDEX(Programação!$A$4:$A$503,MATCH("Em andamento|4",os_chave,0))&amp;" — "&amp;INDEX(Programação!$C$4:$C$503,MATCH("Em andamento|4",os_chave,0))&amp;CHAR(10)&amp;LEFT(INDEX(Programação!$E$4:$E$503,MATCH("Em andamento|4",os_chave,0)),60)&amp;CHAR(10)&amp;"Prazo: "&amp;IF(ISNUMBER(INDEX(Programação!$F$4:$F$503,MATCH("Em andamento|4",os_chave,0))),RIGHT("0"&amp;DAY(INDEX(Programação!$F$4:$F$503,MATCH("Em andamento|4",os_chave,0))),2)&amp;"/"&amp;RIGHT("0"&amp;MONTH(INDEX(Programação!$F$4:$F$503,MATCH("Em andamento|4",os_chave,0))),2)&amp;"/"&amp;YEAR(INDEX(Programação!$F$4:$F$503,MATCH("Em andamento|4",os_chave,0))),"—")&amp;"  |  "&amp;INDEX(Programação!$J$4:$J$503,MATCH("Em andamento|4",os_chave,0)),"")</f>
      </c>
      <c r="D8" s="46">
        <f>IFERROR(INDEX(Programação!$A$4:$A$503,MATCH("Atrasado|4",os_chave,0))&amp;" — "&amp;INDEX(Programação!$C$4:$C$503,MATCH("Atrasado|4",os_chave,0))&amp;CHAR(10)&amp;LEFT(INDEX(Programação!$E$4:$E$503,MATCH("Atrasado|4",os_chave,0)),60)&amp;CHAR(10)&amp;"Prazo: "&amp;IF(ISNUMBER(INDEX(Programação!$F$4:$F$503,MATCH("Atrasado|4",os_chave,0))),RIGHT("0"&amp;DAY(INDEX(Programação!$F$4:$F$503,MATCH("Atrasado|4",os_chave,0))),2)&amp;"/"&amp;RIGHT("0"&amp;MONTH(INDEX(Programação!$F$4:$F$503,MATCH("Atrasado|4",os_chave,0))),2)&amp;"/"&amp;YEAR(INDEX(Programação!$F$4:$F$503,MATCH("Atrasado|4",os_chave,0))),"—")&amp;"  |  "&amp;INDEX(Programação!$J$4:$J$503,MATCH("Atrasado|4",os_chave,0)),"")</f>
      </c>
      <c r="E8" s="46">
        <f>IFERROR(INDEX(Programação!$A$4:$A$503,MATCH("Concluído|4",os_chave,0))&amp;" — "&amp;INDEX(Programação!$C$4:$C$503,MATCH("Concluído|4",os_chave,0))&amp;CHAR(10)&amp;LEFT(INDEX(Programação!$E$4:$E$503,MATCH("Concluído|4",os_chave,0)),60)&amp;CHAR(10)&amp;"Prazo: "&amp;IF(ISNUMBER(INDEX(Programação!$F$4:$F$503,MATCH("Concluído|4",os_chave,0))),RIGHT("0"&amp;DAY(INDEX(Programação!$F$4:$F$503,MATCH("Concluído|4",os_chave,0))),2)&amp;"/"&amp;RIGHT("0"&amp;MONTH(INDEX(Programação!$F$4:$F$503,MATCH("Concluído|4",os_chave,0))),2)&amp;"/"&amp;YEAR(INDEX(Programação!$F$4:$F$503,MATCH("Concluído|4",os_chave,0))),"—")&amp;"  |  "&amp;INDEX(Programação!$J$4:$J$503,MATCH("Concluído|4",os_chave,0)),"")</f>
      </c>
      <c r="F8" s="46">
        <f>IFERROR(INDEX(Programação!$A$4:$A$503,MATCH("Backlog|4",os_chave,0))&amp;" — "&amp;INDEX(Programação!$C$4:$C$503,MATCH("Backlog|4",os_chave,0))&amp;CHAR(10)&amp;LEFT(INDEX(Programação!$E$4:$E$503,MATCH("Backlog|4",os_chave,0)),60)&amp;CHAR(10)&amp;"Prazo: "&amp;IF(ISNUMBER(INDEX(Programação!$F$4:$F$503,MATCH("Backlog|4",os_chave,0))),RIGHT("0"&amp;DAY(INDEX(Programação!$F$4:$F$503,MATCH("Backlog|4",os_chave,0))),2)&amp;"/"&amp;RIGHT("0"&amp;MONTH(INDEX(Programação!$F$4:$F$503,MATCH("Backlog|4",os_chave,0))),2)&amp;"/"&amp;YEAR(INDEX(Programação!$F$4:$F$503,MATCH("Backlog|4",os_chave,0))),"—")&amp;"  |  "&amp;INDEX(Programação!$J$4:$J$503,MATCH("Backlog|4",os_chave,0)),"")</f>
      </c>
    </row>
    <row r="9" ht="46" customHeight="1" spans="1:6" x14ac:dyDescent="0.25">
      <c r="A9" s="43">
        <v>5</v>
      </c>
      <c r="B9" s="46">
        <f>IFERROR(INDEX(Programação!$A$4:$A$503,MATCH("Programado|5",os_chave,0))&amp;" — "&amp;INDEX(Programação!$C$4:$C$503,MATCH("Programado|5",os_chave,0))&amp;CHAR(10)&amp;LEFT(INDEX(Programação!$E$4:$E$503,MATCH("Programado|5",os_chave,0)),60)&amp;CHAR(10)&amp;"Prazo: "&amp;IF(ISNUMBER(INDEX(Programação!$F$4:$F$503,MATCH("Programado|5",os_chave,0))),RIGHT("0"&amp;DAY(INDEX(Programação!$F$4:$F$503,MATCH("Programado|5",os_chave,0))),2)&amp;"/"&amp;RIGHT("0"&amp;MONTH(INDEX(Programação!$F$4:$F$503,MATCH("Programado|5",os_chave,0))),2)&amp;"/"&amp;YEAR(INDEX(Programação!$F$4:$F$503,MATCH("Programado|5",os_chave,0))),"—")&amp;"  |  "&amp;INDEX(Programação!$J$4:$J$503,MATCH("Programado|5",os_chave,0)),"")</f>
      </c>
      <c r="C9" s="46">
        <f>IFERROR(INDEX(Programação!$A$4:$A$503,MATCH("Em andamento|5",os_chave,0))&amp;" — "&amp;INDEX(Programação!$C$4:$C$503,MATCH("Em andamento|5",os_chave,0))&amp;CHAR(10)&amp;LEFT(INDEX(Programação!$E$4:$E$503,MATCH("Em andamento|5",os_chave,0)),60)&amp;CHAR(10)&amp;"Prazo: "&amp;IF(ISNUMBER(INDEX(Programação!$F$4:$F$503,MATCH("Em andamento|5",os_chave,0))),RIGHT("0"&amp;DAY(INDEX(Programação!$F$4:$F$503,MATCH("Em andamento|5",os_chave,0))),2)&amp;"/"&amp;RIGHT("0"&amp;MONTH(INDEX(Programação!$F$4:$F$503,MATCH("Em andamento|5",os_chave,0))),2)&amp;"/"&amp;YEAR(INDEX(Programação!$F$4:$F$503,MATCH("Em andamento|5",os_chave,0))),"—")&amp;"  |  "&amp;INDEX(Programação!$J$4:$J$503,MATCH("Em andamento|5",os_chave,0)),"")</f>
      </c>
      <c r="D9" s="46">
        <f>IFERROR(INDEX(Programação!$A$4:$A$503,MATCH("Atrasado|5",os_chave,0))&amp;" — "&amp;INDEX(Programação!$C$4:$C$503,MATCH("Atrasado|5",os_chave,0))&amp;CHAR(10)&amp;LEFT(INDEX(Programação!$E$4:$E$503,MATCH("Atrasado|5",os_chave,0)),60)&amp;CHAR(10)&amp;"Prazo: "&amp;IF(ISNUMBER(INDEX(Programação!$F$4:$F$503,MATCH("Atrasado|5",os_chave,0))),RIGHT("0"&amp;DAY(INDEX(Programação!$F$4:$F$503,MATCH("Atrasado|5",os_chave,0))),2)&amp;"/"&amp;RIGHT("0"&amp;MONTH(INDEX(Programação!$F$4:$F$503,MATCH("Atrasado|5",os_chave,0))),2)&amp;"/"&amp;YEAR(INDEX(Programação!$F$4:$F$503,MATCH("Atrasado|5",os_chave,0))),"—")&amp;"  |  "&amp;INDEX(Programação!$J$4:$J$503,MATCH("Atrasado|5",os_chave,0)),"")</f>
      </c>
      <c r="E9" s="46">
        <f>IFERROR(INDEX(Programação!$A$4:$A$503,MATCH("Concluído|5",os_chave,0))&amp;" — "&amp;INDEX(Programação!$C$4:$C$503,MATCH("Concluído|5",os_chave,0))&amp;CHAR(10)&amp;LEFT(INDEX(Programação!$E$4:$E$503,MATCH("Concluído|5",os_chave,0)),60)&amp;CHAR(10)&amp;"Prazo: "&amp;IF(ISNUMBER(INDEX(Programação!$F$4:$F$503,MATCH("Concluído|5",os_chave,0))),RIGHT("0"&amp;DAY(INDEX(Programação!$F$4:$F$503,MATCH("Concluído|5",os_chave,0))),2)&amp;"/"&amp;RIGHT("0"&amp;MONTH(INDEX(Programação!$F$4:$F$503,MATCH("Concluído|5",os_chave,0))),2)&amp;"/"&amp;YEAR(INDEX(Programação!$F$4:$F$503,MATCH("Concluído|5",os_chave,0))),"—")&amp;"  |  "&amp;INDEX(Programação!$J$4:$J$503,MATCH("Concluído|5",os_chave,0)),"")</f>
      </c>
      <c r="F9" s="46">
        <f>IFERROR(INDEX(Programação!$A$4:$A$503,MATCH("Backlog|5",os_chave,0))&amp;" — "&amp;INDEX(Programação!$C$4:$C$503,MATCH("Backlog|5",os_chave,0))&amp;CHAR(10)&amp;LEFT(INDEX(Programação!$E$4:$E$503,MATCH("Backlog|5",os_chave,0)),60)&amp;CHAR(10)&amp;"Prazo: "&amp;IF(ISNUMBER(INDEX(Programação!$F$4:$F$503,MATCH("Backlog|5",os_chave,0))),RIGHT("0"&amp;DAY(INDEX(Programação!$F$4:$F$503,MATCH("Backlog|5",os_chave,0))),2)&amp;"/"&amp;RIGHT("0"&amp;MONTH(INDEX(Programação!$F$4:$F$503,MATCH("Backlog|5",os_chave,0))),2)&amp;"/"&amp;YEAR(INDEX(Programação!$F$4:$F$503,MATCH("Backlog|5",os_chave,0))),"—")&amp;"  |  "&amp;INDEX(Programação!$J$4:$J$503,MATCH("Backlog|5",os_chave,0)),"")</f>
      </c>
    </row>
    <row r="10" ht="46" customHeight="1" spans="1:6" x14ac:dyDescent="0.25">
      <c r="A10" s="43">
        <v>6</v>
      </c>
      <c r="B10" s="46">
        <f>IFERROR(INDEX(Programação!$A$4:$A$503,MATCH("Programado|6",os_chave,0))&amp;" — "&amp;INDEX(Programação!$C$4:$C$503,MATCH("Programado|6",os_chave,0))&amp;CHAR(10)&amp;LEFT(INDEX(Programação!$E$4:$E$503,MATCH("Programado|6",os_chave,0)),60)&amp;CHAR(10)&amp;"Prazo: "&amp;IF(ISNUMBER(INDEX(Programação!$F$4:$F$503,MATCH("Programado|6",os_chave,0))),RIGHT("0"&amp;DAY(INDEX(Programação!$F$4:$F$503,MATCH("Programado|6",os_chave,0))),2)&amp;"/"&amp;RIGHT("0"&amp;MONTH(INDEX(Programação!$F$4:$F$503,MATCH("Programado|6",os_chave,0))),2)&amp;"/"&amp;YEAR(INDEX(Programação!$F$4:$F$503,MATCH("Programado|6",os_chave,0))),"—")&amp;"  |  "&amp;INDEX(Programação!$J$4:$J$503,MATCH("Programado|6",os_chave,0)),"")</f>
      </c>
      <c r="C10" s="46">
        <f>IFERROR(INDEX(Programação!$A$4:$A$503,MATCH("Em andamento|6",os_chave,0))&amp;" — "&amp;INDEX(Programação!$C$4:$C$503,MATCH("Em andamento|6",os_chave,0))&amp;CHAR(10)&amp;LEFT(INDEX(Programação!$E$4:$E$503,MATCH("Em andamento|6",os_chave,0)),60)&amp;CHAR(10)&amp;"Prazo: "&amp;IF(ISNUMBER(INDEX(Programação!$F$4:$F$503,MATCH("Em andamento|6",os_chave,0))),RIGHT("0"&amp;DAY(INDEX(Programação!$F$4:$F$503,MATCH("Em andamento|6",os_chave,0))),2)&amp;"/"&amp;RIGHT("0"&amp;MONTH(INDEX(Programação!$F$4:$F$503,MATCH("Em andamento|6",os_chave,0))),2)&amp;"/"&amp;YEAR(INDEX(Programação!$F$4:$F$503,MATCH("Em andamento|6",os_chave,0))),"—")&amp;"  |  "&amp;INDEX(Programação!$J$4:$J$503,MATCH("Em andamento|6",os_chave,0)),"")</f>
      </c>
      <c r="D10" s="46">
        <f>IFERROR(INDEX(Programação!$A$4:$A$503,MATCH("Atrasado|6",os_chave,0))&amp;" — "&amp;INDEX(Programação!$C$4:$C$503,MATCH("Atrasado|6",os_chave,0))&amp;CHAR(10)&amp;LEFT(INDEX(Programação!$E$4:$E$503,MATCH("Atrasado|6",os_chave,0)),60)&amp;CHAR(10)&amp;"Prazo: "&amp;IF(ISNUMBER(INDEX(Programação!$F$4:$F$503,MATCH("Atrasado|6",os_chave,0))),RIGHT("0"&amp;DAY(INDEX(Programação!$F$4:$F$503,MATCH("Atrasado|6",os_chave,0))),2)&amp;"/"&amp;RIGHT("0"&amp;MONTH(INDEX(Programação!$F$4:$F$503,MATCH("Atrasado|6",os_chave,0))),2)&amp;"/"&amp;YEAR(INDEX(Programação!$F$4:$F$503,MATCH("Atrasado|6",os_chave,0))),"—")&amp;"  |  "&amp;INDEX(Programação!$J$4:$J$503,MATCH("Atrasado|6",os_chave,0)),"")</f>
      </c>
      <c r="E10" s="46">
        <f>IFERROR(INDEX(Programação!$A$4:$A$503,MATCH("Concluído|6",os_chave,0))&amp;" — "&amp;INDEX(Programação!$C$4:$C$503,MATCH("Concluído|6",os_chave,0))&amp;CHAR(10)&amp;LEFT(INDEX(Programação!$E$4:$E$503,MATCH("Concluído|6",os_chave,0)),60)&amp;CHAR(10)&amp;"Prazo: "&amp;IF(ISNUMBER(INDEX(Programação!$F$4:$F$503,MATCH("Concluído|6",os_chave,0))),RIGHT("0"&amp;DAY(INDEX(Programação!$F$4:$F$503,MATCH("Concluído|6",os_chave,0))),2)&amp;"/"&amp;RIGHT("0"&amp;MONTH(INDEX(Programação!$F$4:$F$503,MATCH("Concluído|6",os_chave,0))),2)&amp;"/"&amp;YEAR(INDEX(Programação!$F$4:$F$503,MATCH("Concluído|6",os_chave,0))),"—")&amp;"  |  "&amp;INDEX(Programação!$J$4:$J$503,MATCH("Concluído|6",os_chave,0)),"")</f>
      </c>
      <c r="F10" s="46">
        <f>IFERROR(INDEX(Programação!$A$4:$A$503,MATCH("Backlog|6",os_chave,0))&amp;" — "&amp;INDEX(Programação!$C$4:$C$503,MATCH("Backlog|6",os_chave,0))&amp;CHAR(10)&amp;LEFT(INDEX(Programação!$E$4:$E$503,MATCH("Backlog|6",os_chave,0)),60)&amp;CHAR(10)&amp;"Prazo: "&amp;IF(ISNUMBER(INDEX(Programação!$F$4:$F$503,MATCH("Backlog|6",os_chave,0))),RIGHT("0"&amp;DAY(INDEX(Programação!$F$4:$F$503,MATCH("Backlog|6",os_chave,0))),2)&amp;"/"&amp;RIGHT("0"&amp;MONTH(INDEX(Programação!$F$4:$F$503,MATCH("Backlog|6",os_chave,0))),2)&amp;"/"&amp;YEAR(INDEX(Programação!$F$4:$F$503,MATCH("Backlog|6",os_chave,0))),"—")&amp;"  |  "&amp;INDEX(Programação!$J$4:$J$503,MATCH("Backlog|6",os_chave,0)),"")</f>
      </c>
    </row>
    <row r="11" ht="46" customHeight="1" spans="1:6" x14ac:dyDescent="0.25">
      <c r="A11" s="43">
        <v>7</v>
      </c>
      <c r="B11" s="46">
        <f>IFERROR(INDEX(Programação!$A$4:$A$503,MATCH("Programado|7",os_chave,0))&amp;" — "&amp;INDEX(Programação!$C$4:$C$503,MATCH("Programado|7",os_chave,0))&amp;CHAR(10)&amp;LEFT(INDEX(Programação!$E$4:$E$503,MATCH("Programado|7",os_chave,0)),60)&amp;CHAR(10)&amp;"Prazo: "&amp;IF(ISNUMBER(INDEX(Programação!$F$4:$F$503,MATCH("Programado|7",os_chave,0))),RIGHT("0"&amp;DAY(INDEX(Programação!$F$4:$F$503,MATCH("Programado|7",os_chave,0))),2)&amp;"/"&amp;RIGHT("0"&amp;MONTH(INDEX(Programação!$F$4:$F$503,MATCH("Programado|7",os_chave,0))),2)&amp;"/"&amp;YEAR(INDEX(Programação!$F$4:$F$503,MATCH("Programado|7",os_chave,0))),"—")&amp;"  |  "&amp;INDEX(Programação!$J$4:$J$503,MATCH("Programado|7",os_chave,0)),"")</f>
      </c>
      <c r="C11" s="46">
        <f>IFERROR(INDEX(Programação!$A$4:$A$503,MATCH("Em andamento|7",os_chave,0))&amp;" — "&amp;INDEX(Programação!$C$4:$C$503,MATCH("Em andamento|7",os_chave,0))&amp;CHAR(10)&amp;LEFT(INDEX(Programação!$E$4:$E$503,MATCH("Em andamento|7",os_chave,0)),60)&amp;CHAR(10)&amp;"Prazo: "&amp;IF(ISNUMBER(INDEX(Programação!$F$4:$F$503,MATCH("Em andamento|7",os_chave,0))),RIGHT("0"&amp;DAY(INDEX(Programação!$F$4:$F$503,MATCH("Em andamento|7",os_chave,0))),2)&amp;"/"&amp;RIGHT("0"&amp;MONTH(INDEX(Programação!$F$4:$F$503,MATCH("Em andamento|7",os_chave,0))),2)&amp;"/"&amp;YEAR(INDEX(Programação!$F$4:$F$503,MATCH("Em andamento|7",os_chave,0))),"—")&amp;"  |  "&amp;INDEX(Programação!$J$4:$J$503,MATCH("Em andamento|7",os_chave,0)),"")</f>
      </c>
      <c r="D11" s="46">
        <f>IFERROR(INDEX(Programação!$A$4:$A$503,MATCH("Atrasado|7",os_chave,0))&amp;" — "&amp;INDEX(Programação!$C$4:$C$503,MATCH("Atrasado|7",os_chave,0))&amp;CHAR(10)&amp;LEFT(INDEX(Programação!$E$4:$E$503,MATCH("Atrasado|7",os_chave,0)),60)&amp;CHAR(10)&amp;"Prazo: "&amp;IF(ISNUMBER(INDEX(Programação!$F$4:$F$503,MATCH("Atrasado|7",os_chave,0))),RIGHT("0"&amp;DAY(INDEX(Programação!$F$4:$F$503,MATCH("Atrasado|7",os_chave,0))),2)&amp;"/"&amp;RIGHT("0"&amp;MONTH(INDEX(Programação!$F$4:$F$503,MATCH("Atrasado|7",os_chave,0))),2)&amp;"/"&amp;YEAR(INDEX(Programação!$F$4:$F$503,MATCH("Atrasado|7",os_chave,0))),"—")&amp;"  |  "&amp;INDEX(Programação!$J$4:$J$503,MATCH("Atrasado|7",os_chave,0)),"")</f>
      </c>
      <c r="E11" s="46">
        <f>IFERROR(INDEX(Programação!$A$4:$A$503,MATCH("Concluído|7",os_chave,0))&amp;" — "&amp;INDEX(Programação!$C$4:$C$503,MATCH("Concluído|7",os_chave,0))&amp;CHAR(10)&amp;LEFT(INDEX(Programação!$E$4:$E$503,MATCH("Concluído|7",os_chave,0)),60)&amp;CHAR(10)&amp;"Prazo: "&amp;IF(ISNUMBER(INDEX(Programação!$F$4:$F$503,MATCH("Concluído|7",os_chave,0))),RIGHT("0"&amp;DAY(INDEX(Programação!$F$4:$F$503,MATCH("Concluído|7",os_chave,0))),2)&amp;"/"&amp;RIGHT("0"&amp;MONTH(INDEX(Programação!$F$4:$F$503,MATCH("Concluído|7",os_chave,0))),2)&amp;"/"&amp;YEAR(INDEX(Programação!$F$4:$F$503,MATCH("Concluído|7",os_chave,0))),"—")&amp;"  |  "&amp;INDEX(Programação!$J$4:$J$503,MATCH("Concluído|7",os_chave,0)),"")</f>
      </c>
      <c r="F11" s="46">
        <f>IFERROR(INDEX(Programação!$A$4:$A$503,MATCH("Backlog|7",os_chave,0))&amp;" — "&amp;INDEX(Programação!$C$4:$C$503,MATCH("Backlog|7",os_chave,0))&amp;CHAR(10)&amp;LEFT(INDEX(Programação!$E$4:$E$503,MATCH("Backlog|7",os_chave,0)),60)&amp;CHAR(10)&amp;"Prazo: "&amp;IF(ISNUMBER(INDEX(Programação!$F$4:$F$503,MATCH("Backlog|7",os_chave,0))),RIGHT("0"&amp;DAY(INDEX(Programação!$F$4:$F$503,MATCH("Backlog|7",os_chave,0))),2)&amp;"/"&amp;RIGHT("0"&amp;MONTH(INDEX(Programação!$F$4:$F$503,MATCH("Backlog|7",os_chave,0))),2)&amp;"/"&amp;YEAR(INDEX(Programação!$F$4:$F$503,MATCH("Backlog|7",os_chave,0))),"—")&amp;"  |  "&amp;INDEX(Programação!$J$4:$J$503,MATCH("Backlog|7",os_chave,0)),"")</f>
      </c>
    </row>
    <row r="12" ht="46" customHeight="1" spans="1:6" x14ac:dyDescent="0.25">
      <c r="A12" s="43">
        <v>8</v>
      </c>
      <c r="B12" s="46">
        <f>IFERROR(INDEX(Programação!$A$4:$A$503,MATCH("Programado|8",os_chave,0))&amp;" — "&amp;INDEX(Programação!$C$4:$C$503,MATCH("Programado|8",os_chave,0))&amp;CHAR(10)&amp;LEFT(INDEX(Programação!$E$4:$E$503,MATCH("Programado|8",os_chave,0)),60)&amp;CHAR(10)&amp;"Prazo: "&amp;IF(ISNUMBER(INDEX(Programação!$F$4:$F$503,MATCH("Programado|8",os_chave,0))),RIGHT("0"&amp;DAY(INDEX(Programação!$F$4:$F$503,MATCH("Programado|8",os_chave,0))),2)&amp;"/"&amp;RIGHT("0"&amp;MONTH(INDEX(Programação!$F$4:$F$503,MATCH("Programado|8",os_chave,0))),2)&amp;"/"&amp;YEAR(INDEX(Programação!$F$4:$F$503,MATCH("Programado|8",os_chave,0))),"—")&amp;"  |  "&amp;INDEX(Programação!$J$4:$J$503,MATCH("Programado|8",os_chave,0)),"")</f>
      </c>
      <c r="C12" s="46">
        <f>IFERROR(INDEX(Programação!$A$4:$A$503,MATCH("Em andamento|8",os_chave,0))&amp;" — "&amp;INDEX(Programação!$C$4:$C$503,MATCH("Em andamento|8",os_chave,0))&amp;CHAR(10)&amp;LEFT(INDEX(Programação!$E$4:$E$503,MATCH("Em andamento|8",os_chave,0)),60)&amp;CHAR(10)&amp;"Prazo: "&amp;IF(ISNUMBER(INDEX(Programação!$F$4:$F$503,MATCH("Em andamento|8",os_chave,0))),RIGHT("0"&amp;DAY(INDEX(Programação!$F$4:$F$503,MATCH("Em andamento|8",os_chave,0))),2)&amp;"/"&amp;RIGHT("0"&amp;MONTH(INDEX(Programação!$F$4:$F$503,MATCH("Em andamento|8",os_chave,0))),2)&amp;"/"&amp;YEAR(INDEX(Programação!$F$4:$F$503,MATCH("Em andamento|8",os_chave,0))),"—")&amp;"  |  "&amp;INDEX(Programação!$J$4:$J$503,MATCH("Em andamento|8",os_chave,0)),"")</f>
      </c>
      <c r="D12" s="46">
        <f>IFERROR(INDEX(Programação!$A$4:$A$503,MATCH("Atrasado|8",os_chave,0))&amp;" — "&amp;INDEX(Programação!$C$4:$C$503,MATCH("Atrasado|8",os_chave,0))&amp;CHAR(10)&amp;LEFT(INDEX(Programação!$E$4:$E$503,MATCH("Atrasado|8",os_chave,0)),60)&amp;CHAR(10)&amp;"Prazo: "&amp;IF(ISNUMBER(INDEX(Programação!$F$4:$F$503,MATCH("Atrasado|8",os_chave,0))),RIGHT("0"&amp;DAY(INDEX(Programação!$F$4:$F$503,MATCH("Atrasado|8",os_chave,0))),2)&amp;"/"&amp;RIGHT("0"&amp;MONTH(INDEX(Programação!$F$4:$F$503,MATCH("Atrasado|8",os_chave,0))),2)&amp;"/"&amp;YEAR(INDEX(Programação!$F$4:$F$503,MATCH("Atrasado|8",os_chave,0))),"—")&amp;"  |  "&amp;INDEX(Programação!$J$4:$J$503,MATCH("Atrasado|8",os_chave,0)),"")</f>
      </c>
      <c r="E12" s="46">
        <f>IFERROR(INDEX(Programação!$A$4:$A$503,MATCH("Concluído|8",os_chave,0))&amp;" — "&amp;INDEX(Programação!$C$4:$C$503,MATCH("Concluído|8",os_chave,0))&amp;CHAR(10)&amp;LEFT(INDEX(Programação!$E$4:$E$503,MATCH("Concluído|8",os_chave,0)),60)&amp;CHAR(10)&amp;"Prazo: "&amp;IF(ISNUMBER(INDEX(Programação!$F$4:$F$503,MATCH("Concluído|8",os_chave,0))),RIGHT("0"&amp;DAY(INDEX(Programação!$F$4:$F$503,MATCH("Concluído|8",os_chave,0))),2)&amp;"/"&amp;RIGHT("0"&amp;MONTH(INDEX(Programação!$F$4:$F$503,MATCH("Concluído|8",os_chave,0))),2)&amp;"/"&amp;YEAR(INDEX(Programação!$F$4:$F$503,MATCH("Concluído|8",os_chave,0))),"—")&amp;"  |  "&amp;INDEX(Programação!$J$4:$J$503,MATCH("Concluído|8",os_chave,0)),"")</f>
      </c>
      <c r="F12" s="46">
        <f>IFERROR(INDEX(Programação!$A$4:$A$503,MATCH("Backlog|8",os_chave,0))&amp;" — "&amp;INDEX(Programação!$C$4:$C$503,MATCH("Backlog|8",os_chave,0))&amp;CHAR(10)&amp;LEFT(INDEX(Programação!$E$4:$E$503,MATCH("Backlog|8",os_chave,0)),60)&amp;CHAR(10)&amp;"Prazo: "&amp;IF(ISNUMBER(INDEX(Programação!$F$4:$F$503,MATCH("Backlog|8",os_chave,0))),RIGHT("0"&amp;DAY(INDEX(Programação!$F$4:$F$503,MATCH("Backlog|8",os_chave,0))),2)&amp;"/"&amp;RIGHT("0"&amp;MONTH(INDEX(Programação!$F$4:$F$503,MATCH("Backlog|8",os_chave,0))),2)&amp;"/"&amp;YEAR(INDEX(Programação!$F$4:$F$503,MATCH("Backlog|8",os_chave,0))),"—")&amp;"  |  "&amp;INDEX(Programação!$J$4:$J$503,MATCH("Backlog|8",os_chave,0)),"")</f>
      </c>
    </row>
    <row r="13" ht="46" customHeight="1" spans="1:6" x14ac:dyDescent="0.25">
      <c r="A13" s="43">
        <v>9</v>
      </c>
      <c r="B13" s="46">
        <f>IFERROR(INDEX(Programação!$A$4:$A$503,MATCH("Programado|9",os_chave,0))&amp;" — "&amp;INDEX(Programação!$C$4:$C$503,MATCH("Programado|9",os_chave,0))&amp;CHAR(10)&amp;LEFT(INDEX(Programação!$E$4:$E$503,MATCH("Programado|9",os_chave,0)),60)&amp;CHAR(10)&amp;"Prazo: "&amp;IF(ISNUMBER(INDEX(Programação!$F$4:$F$503,MATCH("Programado|9",os_chave,0))),RIGHT("0"&amp;DAY(INDEX(Programação!$F$4:$F$503,MATCH("Programado|9",os_chave,0))),2)&amp;"/"&amp;RIGHT("0"&amp;MONTH(INDEX(Programação!$F$4:$F$503,MATCH("Programado|9",os_chave,0))),2)&amp;"/"&amp;YEAR(INDEX(Programação!$F$4:$F$503,MATCH("Programado|9",os_chave,0))),"—")&amp;"  |  "&amp;INDEX(Programação!$J$4:$J$503,MATCH("Programado|9",os_chave,0)),"")</f>
      </c>
      <c r="C13" s="46">
        <f>IFERROR(INDEX(Programação!$A$4:$A$503,MATCH("Em andamento|9",os_chave,0))&amp;" — "&amp;INDEX(Programação!$C$4:$C$503,MATCH("Em andamento|9",os_chave,0))&amp;CHAR(10)&amp;LEFT(INDEX(Programação!$E$4:$E$503,MATCH("Em andamento|9",os_chave,0)),60)&amp;CHAR(10)&amp;"Prazo: "&amp;IF(ISNUMBER(INDEX(Programação!$F$4:$F$503,MATCH("Em andamento|9",os_chave,0))),RIGHT("0"&amp;DAY(INDEX(Programação!$F$4:$F$503,MATCH("Em andamento|9",os_chave,0))),2)&amp;"/"&amp;RIGHT("0"&amp;MONTH(INDEX(Programação!$F$4:$F$503,MATCH("Em andamento|9",os_chave,0))),2)&amp;"/"&amp;YEAR(INDEX(Programação!$F$4:$F$503,MATCH("Em andamento|9",os_chave,0))),"—")&amp;"  |  "&amp;INDEX(Programação!$J$4:$J$503,MATCH("Em andamento|9",os_chave,0)),"")</f>
      </c>
      <c r="D13" s="46">
        <f>IFERROR(INDEX(Programação!$A$4:$A$503,MATCH("Atrasado|9",os_chave,0))&amp;" — "&amp;INDEX(Programação!$C$4:$C$503,MATCH("Atrasado|9",os_chave,0))&amp;CHAR(10)&amp;LEFT(INDEX(Programação!$E$4:$E$503,MATCH("Atrasado|9",os_chave,0)),60)&amp;CHAR(10)&amp;"Prazo: "&amp;IF(ISNUMBER(INDEX(Programação!$F$4:$F$503,MATCH("Atrasado|9",os_chave,0))),RIGHT("0"&amp;DAY(INDEX(Programação!$F$4:$F$503,MATCH("Atrasado|9",os_chave,0))),2)&amp;"/"&amp;RIGHT("0"&amp;MONTH(INDEX(Programação!$F$4:$F$503,MATCH("Atrasado|9",os_chave,0))),2)&amp;"/"&amp;YEAR(INDEX(Programação!$F$4:$F$503,MATCH("Atrasado|9",os_chave,0))),"—")&amp;"  |  "&amp;INDEX(Programação!$J$4:$J$503,MATCH("Atrasado|9",os_chave,0)),"")</f>
      </c>
      <c r="E13" s="46">
        <f>IFERROR(INDEX(Programação!$A$4:$A$503,MATCH("Concluído|9",os_chave,0))&amp;" — "&amp;INDEX(Programação!$C$4:$C$503,MATCH("Concluído|9",os_chave,0))&amp;CHAR(10)&amp;LEFT(INDEX(Programação!$E$4:$E$503,MATCH("Concluído|9",os_chave,0)),60)&amp;CHAR(10)&amp;"Prazo: "&amp;IF(ISNUMBER(INDEX(Programação!$F$4:$F$503,MATCH("Concluído|9",os_chave,0))),RIGHT("0"&amp;DAY(INDEX(Programação!$F$4:$F$503,MATCH("Concluído|9",os_chave,0))),2)&amp;"/"&amp;RIGHT("0"&amp;MONTH(INDEX(Programação!$F$4:$F$503,MATCH("Concluído|9",os_chave,0))),2)&amp;"/"&amp;YEAR(INDEX(Programação!$F$4:$F$503,MATCH("Concluído|9",os_chave,0))),"—")&amp;"  |  "&amp;INDEX(Programação!$J$4:$J$503,MATCH("Concluído|9",os_chave,0)),"")</f>
      </c>
      <c r="F13" s="46">
        <f>IFERROR(INDEX(Programação!$A$4:$A$503,MATCH("Backlog|9",os_chave,0))&amp;" — "&amp;INDEX(Programação!$C$4:$C$503,MATCH("Backlog|9",os_chave,0))&amp;CHAR(10)&amp;LEFT(INDEX(Programação!$E$4:$E$503,MATCH("Backlog|9",os_chave,0)),60)&amp;CHAR(10)&amp;"Prazo: "&amp;IF(ISNUMBER(INDEX(Programação!$F$4:$F$503,MATCH("Backlog|9",os_chave,0))),RIGHT("0"&amp;DAY(INDEX(Programação!$F$4:$F$503,MATCH("Backlog|9",os_chave,0))),2)&amp;"/"&amp;RIGHT("0"&amp;MONTH(INDEX(Programação!$F$4:$F$503,MATCH("Backlog|9",os_chave,0))),2)&amp;"/"&amp;YEAR(INDEX(Programação!$F$4:$F$503,MATCH("Backlog|9",os_chave,0))),"—")&amp;"  |  "&amp;INDEX(Programação!$J$4:$J$503,MATCH("Backlog|9",os_chave,0)),"")</f>
      </c>
    </row>
    <row r="14" ht="46" customHeight="1" spans="1:6" x14ac:dyDescent="0.25">
      <c r="A14" s="43">
        <v>10</v>
      </c>
      <c r="B14" s="46">
        <f>IFERROR(INDEX(Programação!$A$4:$A$503,MATCH("Programado|10",os_chave,0))&amp;" — "&amp;INDEX(Programação!$C$4:$C$503,MATCH("Programado|10",os_chave,0))&amp;CHAR(10)&amp;LEFT(INDEX(Programação!$E$4:$E$503,MATCH("Programado|10",os_chave,0)),60)&amp;CHAR(10)&amp;"Prazo: "&amp;IF(ISNUMBER(INDEX(Programação!$F$4:$F$503,MATCH("Programado|10",os_chave,0))),RIGHT("0"&amp;DAY(INDEX(Programação!$F$4:$F$503,MATCH("Programado|10",os_chave,0))),2)&amp;"/"&amp;RIGHT("0"&amp;MONTH(INDEX(Programação!$F$4:$F$503,MATCH("Programado|10",os_chave,0))),2)&amp;"/"&amp;YEAR(INDEX(Programação!$F$4:$F$503,MATCH("Programado|10",os_chave,0))),"—")&amp;"  |  "&amp;INDEX(Programação!$J$4:$J$503,MATCH("Programado|10",os_chave,0)),"")</f>
      </c>
      <c r="C14" s="46">
        <f>IFERROR(INDEX(Programação!$A$4:$A$503,MATCH("Em andamento|10",os_chave,0))&amp;" — "&amp;INDEX(Programação!$C$4:$C$503,MATCH("Em andamento|10",os_chave,0))&amp;CHAR(10)&amp;LEFT(INDEX(Programação!$E$4:$E$503,MATCH("Em andamento|10",os_chave,0)),60)&amp;CHAR(10)&amp;"Prazo: "&amp;IF(ISNUMBER(INDEX(Programação!$F$4:$F$503,MATCH("Em andamento|10",os_chave,0))),RIGHT("0"&amp;DAY(INDEX(Programação!$F$4:$F$503,MATCH("Em andamento|10",os_chave,0))),2)&amp;"/"&amp;RIGHT("0"&amp;MONTH(INDEX(Programação!$F$4:$F$503,MATCH("Em andamento|10",os_chave,0))),2)&amp;"/"&amp;YEAR(INDEX(Programação!$F$4:$F$503,MATCH("Em andamento|10",os_chave,0))),"—")&amp;"  |  "&amp;INDEX(Programação!$J$4:$J$503,MATCH("Em andamento|10",os_chave,0)),"")</f>
      </c>
      <c r="D14" s="46">
        <f>IFERROR(INDEX(Programação!$A$4:$A$503,MATCH("Atrasado|10",os_chave,0))&amp;" — "&amp;INDEX(Programação!$C$4:$C$503,MATCH("Atrasado|10",os_chave,0))&amp;CHAR(10)&amp;LEFT(INDEX(Programação!$E$4:$E$503,MATCH("Atrasado|10",os_chave,0)),60)&amp;CHAR(10)&amp;"Prazo: "&amp;IF(ISNUMBER(INDEX(Programação!$F$4:$F$503,MATCH("Atrasado|10",os_chave,0))),RIGHT("0"&amp;DAY(INDEX(Programação!$F$4:$F$503,MATCH("Atrasado|10",os_chave,0))),2)&amp;"/"&amp;RIGHT("0"&amp;MONTH(INDEX(Programação!$F$4:$F$503,MATCH("Atrasado|10",os_chave,0))),2)&amp;"/"&amp;YEAR(INDEX(Programação!$F$4:$F$503,MATCH("Atrasado|10",os_chave,0))),"—")&amp;"  |  "&amp;INDEX(Programação!$J$4:$J$503,MATCH("Atrasado|10",os_chave,0)),"")</f>
      </c>
      <c r="E14" s="46">
        <f>IFERROR(INDEX(Programação!$A$4:$A$503,MATCH("Concluído|10",os_chave,0))&amp;" — "&amp;INDEX(Programação!$C$4:$C$503,MATCH("Concluído|10",os_chave,0))&amp;CHAR(10)&amp;LEFT(INDEX(Programação!$E$4:$E$503,MATCH("Concluído|10",os_chave,0)),60)&amp;CHAR(10)&amp;"Prazo: "&amp;IF(ISNUMBER(INDEX(Programação!$F$4:$F$503,MATCH("Concluído|10",os_chave,0))),RIGHT("0"&amp;DAY(INDEX(Programação!$F$4:$F$503,MATCH("Concluído|10",os_chave,0))),2)&amp;"/"&amp;RIGHT("0"&amp;MONTH(INDEX(Programação!$F$4:$F$503,MATCH("Concluído|10",os_chave,0))),2)&amp;"/"&amp;YEAR(INDEX(Programação!$F$4:$F$503,MATCH("Concluído|10",os_chave,0))),"—")&amp;"  |  "&amp;INDEX(Programação!$J$4:$J$503,MATCH("Concluído|10",os_chave,0)),"")</f>
      </c>
      <c r="F14" s="46">
        <f>IFERROR(INDEX(Programação!$A$4:$A$503,MATCH("Backlog|10",os_chave,0))&amp;" — "&amp;INDEX(Programação!$C$4:$C$503,MATCH("Backlog|10",os_chave,0))&amp;CHAR(10)&amp;LEFT(INDEX(Programação!$E$4:$E$503,MATCH("Backlog|10",os_chave,0)),60)&amp;CHAR(10)&amp;"Prazo: "&amp;IF(ISNUMBER(INDEX(Programação!$F$4:$F$503,MATCH("Backlog|10",os_chave,0))),RIGHT("0"&amp;DAY(INDEX(Programação!$F$4:$F$503,MATCH("Backlog|10",os_chave,0))),2)&amp;"/"&amp;RIGHT("0"&amp;MONTH(INDEX(Programação!$F$4:$F$503,MATCH("Backlog|10",os_chave,0))),2)&amp;"/"&amp;YEAR(INDEX(Programação!$F$4:$F$503,MATCH("Backlog|10",os_chave,0))),"—")&amp;"  |  "&amp;INDEX(Programação!$J$4:$J$503,MATCH("Backlog|10",os_chave,0)),"")</f>
      </c>
    </row>
    <row r="15" ht="46" customHeight="1" spans="1:6" x14ac:dyDescent="0.25">
      <c r="A15" s="43">
        <v>11</v>
      </c>
      <c r="B15" s="46">
        <f>IFERROR(INDEX(Programação!$A$4:$A$503,MATCH("Programado|11",os_chave,0))&amp;" — "&amp;INDEX(Programação!$C$4:$C$503,MATCH("Programado|11",os_chave,0))&amp;CHAR(10)&amp;LEFT(INDEX(Programação!$E$4:$E$503,MATCH("Programado|11",os_chave,0)),60)&amp;CHAR(10)&amp;"Prazo: "&amp;IF(ISNUMBER(INDEX(Programação!$F$4:$F$503,MATCH("Programado|11",os_chave,0))),RIGHT("0"&amp;DAY(INDEX(Programação!$F$4:$F$503,MATCH("Programado|11",os_chave,0))),2)&amp;"/"&amp;RIGHT("0"&amp;MONTH(INDEX(Programação!$F$4:$F$503,MATCH("Programado|11",os_chave,0))),2)&amp;"/"&amp;YEAR(INDEX(Programação!$F$4:$F$503,MATCH("Programado|11",os_chave,0))),"—")&amp;"  |  "&amp;INDEX(Programação!$J$4:$J$503,MATCH("Programado|11",os_chave,0)),"")</f>
      </c>
      <c r="C15" s="46">
        <f>IFERROR(INDEX(Programação!$A$4:$A$503,MATCH("Em andamento|11",os_chave,0))&amp;" — "&amp;INDEX(Programação!$C$4:$C$503,MATCH("Em andamento|11",os_chave,0))&amp;CHAR(10)&amp;LEFT(INDEX(Programação!$E$4:$E$503,MATCH("Em andamento|11",os_chave,0)),60)&amp;CHAR(10)&amp;"Prazo: "&amp;IF(ISNUMBER(INDEX(Programação!$F$4:$F$503,MATCH("Em andamento|11",os_chave,0))),RIGHT("0"&amp;DAY(INDEX(Programação!$F$4:$F$503,MATCH("Em andamento|11",os_chave,0))),2)&amp;"/"&amp;RIGHT("0"&amp;MONTH(INDEX(Programação!$F$4:$F$503,MATCH("Em andamento|11",os_chave,0))),2)&amp;"/"&amp;YEAR(INDEX(Programação!$F$4:$F$503,MATCH("Em andamento|11",os_chave,0))),"—")&amp;"  |  "&amp;INDEX(Programação!$J$4:$J$503,MATCH("Em andamento|11",os_chave,0)),"")</f>
      </c>
      <c r="D15" s="46">
        <f>IFERROR(INDEX(Programação!$A$4:$A$503,MATCH("Atrasado|11",os_chave,0))&amp;" — "&amp;INDEX(Programação!$C$4:$C$503,MATCH("Atrasado|11",os_chave,0))&amp;CHAR(10)&amp;LEFT(INDEX(Programação!$E$4:$E$503,MATCH("Atrasado|11",os_chave,0)),60)&amp;CHAR(10)&amp;"Prazo: "&amp;IF(ISNUMBER(INDEX(Programação!$F$4:$F$503,MATCH("Atrasado|11",os_chave,0))),RIGHT("0"&amp;DAY(INDEX(Programação!$F$4:$F$503,MATCH("Atrasado|11",os_chave,0))),2)&amp;"/"&amp;RIGHT("0"&amp;MONTH(INDEX(Programação!$F$4:$F$503,MATCH("Atrasado|11",os_chave,0))),2)&amp;"/"&amp;YEAR(INDEX(Programação!$F$4:$F$503,MATCH("Atrasado|11",os_chave,0))),"—")&amp;"  |  "&amp;INDEX(Programação!$J$4:$J$503,MATCH("Atrasado|11",os_chave,0)),"")</f>
      </c>
      <c r="E15" s="46">
        <f>IFERROR(INDEX(Programação!$A$4:$A$503,MATCH("Concluído|11",os_chave,0))&amp;" — "&amp;INDEX(Programação!$C$4:$C$503,MATCH("Concluído|11",os_chave,0))&amp;CHAR(10)&amp;LEFT(INDEX(Programação!$E$4:$E$503,MATCH("Concluído|11",os_chave,0)),60)&amp;CHAR(10)&amp;"Prazo: "&amp;IF(ISNUMBER(INDEX(Programação!$F$4:$F$503,MATCH("Concluído|11",os_chave,0))),RIGHT("0"&amp;DAY(INDEX(Programação!$F$4:$F$503,MATCH("Concluído|11",os_chave,0))),2)&amp;"/"&amp;RIGHT("0"&amp;MONTH(INDEX(Programação!$F$4:$F$503,MATCH("Concluído|11",os_chave,0))),2)&amp;"/"&amp;YEAR(INDEX(Programação!$F$4:$F$503,MATCH("Concluído|11",os_chave,0))),"—")&amp;"  |  "&amp;INDEX(Programação!$J$4:$J$503,MATCH("Concluído|11",os_chave,0)),"")</f>
      </c>
      <c r="F15" s="46">
        <f>IFERROR(INDEX(Programação!$A$4:$A$503,MATCH("Backlog|11",os_chave,0))&amp;" — "&amp;INDEX(Programação!$C$4:$C$503,MATCH("Backlog|11",os_chave,0))&amp;CHAR(10)&amp;LEFT(INDEX(Programação!$E$4:$E$503,MATCH("Backlog|11",os_chave,0)),60)&amp;CHAR(10)&amp;"Prazo: "&amp;IF(ISNUMBER(INDEX(Programação!$F$4:$F$503,MATCH("Backlog|11",os_chave,0))),RIGHT("0"&amp;DAY(INDEX(Programação!$F$4:$F$503,MATCH("Backlog|11",os_chave,0))),2)&amp;"/"&amp;RIGHT("0"&amp;MONTH(INDEX(Programação!$F$4:$F$503,MATCH("Backlog|11",os_chave,0))),2)&amp;"/"&amp;YEAR(INDEX(Programação!$F$4:$F$503,MATCH("Backlog|11",os_chave,0))),"—")&amp;"  |  "&amp;INDEX(Programação!$J$4:$J$503,MATCH("Backlog|11",os_chave,0)),"")</f>
      </c>
    </row>
    <row r="16" ht="46" customHeight="1" spans="1:6" x14ac:dyDescent="0.25">
      <c r="A16" s="43">
        <v>12</v>
      </c>
      <c r="B16" s="46">
        <f>IFERROR(INDEX(Programação!$A$4:$A$503,MATCH("Programado|12",os_chave,0))&amp;" — "&amp;INDEX(Programação!$C$4:$C$503,MATCH("Programado|12",os_chave,0))&amp;CHAR(10)&amp;LEFT(INDEX(Programação!$E$4:$E$503,MATCH("Programado|12",os_chave,0)),60)&amp;CHAR(10)&amp;"Prazo: "&amp;IF(ISNUMBER(INDEX(Programação!$F$4:$F$503,MATCH("Programado|12",os_chave,0))),RIGHT("0"&amp;DAY(INDEX(Programação!$F$4:$F$503,MATCH("Programado|12",os_chave,0))),2)&amp;"/"&amp;RIGHT("0"&amp;MONTH(INDEX(Programação!$F$4:$F$503,MATCH("Programado|12",os_chave,0))),2)&amp;"/"&amp;YEAR(INDEX(Programação!$F$4:$F$503,MATCH("Programado|12",os_chave,0))),"—")&amp;"  |  "&amp;INDEX(Programação!$J$4:$J$503,MATCH("Programado|12",os_chave,0)),"")</f>
      </c>
      <c r="C16" s="46">
        <f>IFERROR(INDEX(Programação!$A$4:$A$503,MATCH("Em andamento|12",os_chave,0))&amp;" — "&amp;INDEX(Programação!$C$4:$C$503,MATCH("Em andamento|12",os_chave,0))&amp;CHAR(10)&amp;LEFT(INDEX(Programação!$E$4:$E$503,MATCH("Em andamento|12",os_chave,0)),60)&amp;CHAR(10)&amp;"Prazo: "&amp;IF(ISNUMBER(INDEX(Programação!$F$4:$F$503,MATCH("Em andamento|12",os_chave,0))),RIGHT("0"&amp;DAY(INDEX(Programação!$F$4:$F$503,MATCH("Em andamento|12",os_chave,0))),2)&amp;"/"&amp;RIGHT("0"&amp;MONTH(INDEX(Programação!$F$4:$F$503,MATCH("Em andamento|12",os_chave,0))),2)&amp;"/"&amp;YEAR(INDEX(Programação!$F$4:$F$503,MATCH("Em andamento|12",os_chave,0))),"—")&amp;"  |  "&amp;INDEX(Programação!$J$4:$J$503,MATCH("Em andamento|12",os_chave,0)),"")</f>
      </c>
      <c r="D16" s="46">
        <f>IFERROR(INDEX(Programação!$A$4:$A$503,MATCH("Atrasado|12",os_chave,0))&amp;" — "&amp;INDEX(Programação!$C$4:$C$503,MATCH("Atrasado|12",os_chave,0))&amp;CHAR(10)&amp;LEFT(INDEX(Programação!$E$4:$E$503,MATCH("Atrasado|12",os_chave,0)),60)&amp;CHAR(10)&amp;"Prazo: "&amp;IF(ISNUMBER(INDEX(Programação!$F$4:$F$503,MATCH("Atrasado|12",os_chave,0))),RIGHT("0"&amp;DAY(INDEX(Programação!$F$4:$F$503,MATCH("Atrasado|12",os_chave,0))),2)&amp;"/"&amp;RIGHT("0"&amp;MONTH(INDEX(Programação!$F$4:$F$503,MATCH("Atrasado|12",os_chave,0))),2)&amp;"/"&amp;YEAR(INDEX(Programação!$F$4:$F$503,MATCH("Atrasado|12",os_chave,0))),"—")&amp;"  |  "&amp;INDEX(Programação!$J$4:$J$503,MATCH("Atrasado|12",os_chave,0)),"")</f>
      </c>
      <c r="E16" s="46">
        <f>IFERROR(INDEX(Programação!$A$4:$A$503,MATCH("Concluído|12",os_chave,0))&amp;" — "&amp;INDEX(Programação!$C$4:$C$503,MATCH("Concluído|12",os_chave,0))&amp;CHAR(10)&amp;LEFT(INDEX(Programação!$E$4:$E$503,MATCH("Concluído|12",os_chave,0)),60)&amp;CHAR(10)&amp;"Prazo: "&amp;IF(ISNUMBER(INDEX(Programação!$F$4:$F$503,MATCH("Concluído|12",os_chave,0))),RIGHT("0"&amp;DAY(INDEX(Programação!$F$4:$F$503,MATCH("Concluído|12",os_chave,0))),2)&amp;"/"&amp;RIGHT("0"&amp;MONTH(INDEX(Programação!$F$4:$F$503,MATCH("Concluído|12",os_chave,0))),2)&amp;"/"&amp;YEAR(INDEX(Programação!$F$4:$F$503,MATCH("Concluído|12",os_chave,0))),"—")&amp;"  |  "&amp;INDEX(Programação!$J$4:$J$503,MATCH("Concluído|12",os_chave,0)),"")</f>
      </c>
      <c r="F16" s="46">
        <f>IFERROR(INDEX(Programação!$A$4:$A$503,MATCH("Backlog|12",os_chave,0))&amp;" — "&amp;INDEX(Programação!$C$4:$C$503,MATCH("Backlog|12",os_chave,0))&amp;CHAR(10)&amp;LEFT(INDEX(Programação!$E$4:$E$503,MATCH("Backlog|12",os_chave,0)),60)&amp;CHAR(10)&amp;"Prazo: "&amp;IF(ISNUMBER(INDEX(Programação!$F$4:$F$503,MATCH("Backlog|12",os_chave,0))),RIGHT("0"&amp;DAY(INDEX(Programação!$F$4:$F$503,MATCH("Backlog|12",os_chave,0))),2)&amp;"/"&amp;RIGHT("0"&amp;MONTH(INDEX(Programação!$F$4:$F$503,MATCH("Backlog|12",os_chave,0))),2)&amp;"/"&amp;YEAR(INDEX(Programação!$F$4:$F$503,MATCH("Backlog|12",os_chave,0))),"—")&amp;"  |  "&amp;INDEX(Programação!$J$4:$J$503,MATCH("Backlog|12",os_chave,0)),"")</f>
      </c>
    </row>
    <row r="17" ht="46" customHeight="1" spans="1:6" x14ac:dyDescent="0.25">
      <c r="A17" s="43">
        <v>13</v>
      </c>
      <c r="B17" s="46">
        <f>IFERROR(INDEX(Programação!$A$4:$A$503,MATCH("Programado|13",os_chave,0))&amp;" — "&amp;INDEX(Programação!$C$4:$C$503,MATCH("Programado|13",os_chave,0))&amp;CHAR(10)&amp;LEFT(INDEX(Programação!$E$4:$E$503,MATCH("Programado|13",os_chave,0)),60)&amp;CHAR(10)&amp;"Prazo: "&amp;IF(ISNUMBER(INDEX(Programação!$F$4:$F$503,MATCH("Programado|13",os_chave,0))),RIGHT("0"&amp;DAY(INDEX(Programação!$F$4:$F$503,MATCH("Programado|13",os_chave,0))),2)&amp;"/"&amp;RIGHT("0"&amp;MONTH(INDEX(Programação!$F$4:$F$503,MATCH("Programado|13",os_chave,0))),2)&amp;"/"&amp;YEAR(INDEX(Programação!$F$4:$F$503,MATCH("Programado|13",os_chave,0))),"—")&amp;"  |  "&amp;INDEX(Programação!$J$4:$J$503,MATCH("Programado|13",os_chave,0)),"")</f>
      </c>
      <c r="C17" s="46">
        <f>IFERROR(INDEX(Programação!$A$4:$A$503,MATCH("Em andamento|13",os_chave,0))&amp;" — "&amp;INDEX(Programação!$C$4:$C$503,MATCH("Em andamento|13",os_chave,0))&amp;CHAR(10)&amp;LEFT(INDEX(Programação!$E$4:$E$503,MATCH("Em andamento|13",os_chave,0)),60)&amp;CHAR(10)&amp;"Prazo: "&amp;IF(ISNUMBER(INDEX(Programação!$F$4:$F$503,MATCH("Em andamento|13",os_chave,0))),RIGHT("0"&amp;DAY(INDEX(Programação!$F$4:$F$503,MATCH("Em andamento|13",os_chave,0))),2)&amp;"/"&amp;RIGHT("0"&amp;MONTH(INDEX(Programação!$F$4:$F$503,MATCH("Em andamento|13",os_chave,0))),2)&amp;"/"&amp;YEAR(INDEX(Programação!$F$4:$F$503,MATCH("Em andamento|13",os_chave,0))),"—")&amp;"  |  "&amp;INDEX(Programação!$J$4:$J$503,MATCH("Em andamento|13",os_chave,0)),"")</f>
      </c>
      <c r="D17" s="46">
        <f>IFERROR(INDEX(Programação!$A$4:$A$503,MATCH("Atrasado|13",os_chave,0))&amp;" — "&amp;INDEX(Programação!$C$4:$C$503,MATCH("Atrasado|13",os_chave,0))&amp;CHAR(10)&amp;LEFT(INDEX(Programação!$E$4:$E$503,MATCH("Atrasado|13",os_chave,0)),60)&amp;CHAR(10)&amp;"Prazo: "&amp;IF(ISNUMBER(INDEX(Programação!$F$4:$F$503,MATCH("Atrasado|13",os_chave,0))),RIGHT("0"&amp;DAY(INDEX(Programação!$F$4:$F$503,MATCH("Atrasado|13",os_chave,0))),2)&amp;"/"&amp;RIGHT("0"&amp;MONTH(INDEX(Programação!$F$4:$F$503,MATCH("Atrasado|13",os_chave,0))),2)&amp;"/"&amp;YEAR(INDEX(Programação!$F$4:$F$503,MATCH("Atrasado|13",os_chave,0))),"—")&amp;"  |  "&amp;INDEX(Programação!$J$4:$J$503,MATCH("Atrasado|13",os_chave,0)),"")</f>
      </c>
      <c r="E17" s="46">
        <f>IFERROR(INDEX(Programação!$A$4:$A$503,MATCH("Concluído|13",os_chave,0))&amp;" — "&amp;INDEX(Programação!$C$4:$C$503,MATCH("Concluído|13",os_chave,0))&amp;CHAR(10)&amp;LEFT(INDEX(Programação!$E$4:$E$503,MATCH("Concluído|13",os_chave,0)),60)&amp;CHAR(10)&amp;"Prazo: "&amp;IF(ISNUMBER(INDEX(Programação!$F$4:$F$503,MATCH("Concluído|13",os_chave,0))),RIGHT("0"&amp;DAY(INDEX(Programação!$F$4:$F$503,MATCH("Concluído|13",os_chave,0))),2)&amp;"/"&amp;RIGHT("0"&amp;MONTH(INDEX(Programação!$F$4:$F$503,MATCH("Concluído|13",os_chave,0))),2)&amp;"/"&amp;YEAR(INDEX(Programação!$F$4:$F$503,MATCH("Concluído|13",os_chave,0))),"—")&amp;"  |  "&amp;INDEX(Programação!$J$4:$J$503,MATCH("Concluído|13",os_chave,0)),"")</f>
      </c>
      <c r="F17" s="46">
        <f>IFERROR(INDEX(Programação!$A$4:$A$503,MATCH("Backlog|13",os_chave,0))&amp;" — "&amp;INDEX(Programação!$C$4:$C$503,MATCH("Backlog|13",os_chave,0))&amp;CHAR(10)&amp;LEFT(INDEX(Programação!$E$4:$E$503,MATCH("Backlog|13",os_chave,0)),60)&amp;CHAR(10)&amp;"Prazo: "&amp;IF(ISNUMBER(INDEX(Programação!$F$4:$F$503,MATCH("Backlog|13",os_chave,0))),RIGHT("0"&amp;DAY(INDEX(Programação!$F$4:$F$503,MATCH("Backlog|13",os_chave,0))),2)&amp;"/"&amp;RIGHT("0"&amp;MONTH(INDEX(Programação!$F$4:$F$503,MATCH("Backlog|13",os_chave,0))),2)&amp;"/"&amp;YEAR(INDEX(Programação!$F$4:$F$503,MATCH("Backlog|13",os_chave,0))),"—")&amp;"  |  "&amp;INDEX(Programação!$J$4:$J$503,MATCH("Backlog|13",os_chave,0)),"")</f>
      </c>
    </row>
    <row r="18" ht="46" customHeight="1" spans="1:6" x14ac:dyDescent="0.25">
      <c r="A18" s="43">
        <v>14</v>
      </c>
      <c r="B18" s="46">
        <f>IFERROR(INDEX(Programação!$A$4:$A$503,MATCH("Programado|14",os_chave,0))&amp;" — "&amp;INDEX(Programação!$C$4:$C$503,MATCH("Programado|14",os_chave,0))&amp;CHAR(10)&amp;LEFT(INDEX(Programação!$E$4:$E$503,MATCH("Programado|14",os_chave,0)),60)&amp;CHAR(10)&amp;"Prazo: "&amp;IF(ISNUMBER(INDEX(Programação!$F$4:$F$503,MATCH("Programado|14",os_chave,0))),RIGHT("0"&amp;DAY(INDEX(Programação!$F$4:$F$503,MATCH("Programado|14",os_chave,0))),2)&amp;"/"&amp;RIGHT("0"&amp;MONTH(INDEX(Programação!$F$4:$F$503,MATCH("Programado|14",os_chave,0))),2)&amp;"/"&amp;YEAR(INDEX(Programação!$F$4:$F$503,MATCH("Programado|14",os_chave,0))),"—")&amp;"  |  "&amp;INDEX(Programação!$J$4:$J$503,MATCH("Programado|14",os_chave,0)),"")</f>
      </c>
      <c r="C18" s="46">
        <f>IFERROR(INDEX(Programação!$A$4:$A$503,MATCH("Em andamento|14",os_chave,0))&amp;" — "&amp;INDEX(Programação!$C$4:$C$503,MATCH("Em andamento|14",os_chave,0))&amp;CHAR(10)&amp;LEFT(INDEX(Programação!$E$4:$E$503,MATCH("Em andamento|14",os_chave,0)),60)&amp;CHAR(10)&amp;"Prazo: "&amp;IF(ISNUMBER(INDEX(Programação!$F$4:$F$503,MATCH("Em andamento|14",os_chave,0))),RIGHT("0"&amp;DAY(INDEX(Programação!$F$4:$F$503,MATCH("Em andamento|14",os_chave,0))),2)&amp;"/"&amp;RIGHT("0"&amp;MONTH(INDEX(Programação!$F$4:$F$503,MATCH("Em andamento|14",os_chave,0))),2)&amp;"/"&amp;YEAR(INDEX(Programação!$F$4:$F$503,MATCH("Em andamento|14",os_chave,0))),"—")&amp;"  |  "&amp;INDEX(Programação!$J$4:$J$503,MATCH("Em andamento|14",os_chave,0)),"")</f>
      </c>
      <c r="D18" s="46">
        <f>IFERROR(INDEX(Programação!$A$4:$A$503,MATCH("Atrasado|14",os_chave,0))&amp;" — "&amp;INDEX(Programação!$C$4:$C$503,MATCH("Atrasado|14",os_chave,0))&amp;CHAR(10)&amp;LEFT(INDEX(Programação!$E$4:$E$503,MATCH("Atrasado|14",os_chave,0)),60)&amp;CHAR(10)&amp;"Prazo: "&amp;IF(ISNUMBER(INDEX(Programação!$F$4:$F$503,MATCH("Atrasado|14",os_chave,0))),RIGHT("0"&amp;DAY(INDEX(Programação!$F$4:$F$503,MATCH("Atrasado|14",os_chave,0))),2)&amp;"/"&amp;RIGHT("0"&amp;MONTH(INDEX(Programação!$F$4:$F$503,MATCH("Atrasado|14",os_chave,0))),2)&amp;"/"&amp;YEAR(INDEX(Programação!$F$4:$F$503,MATCH("Atrasado|14",os_chave,0))),"—")&amp;"  |  "&amp;INDEX(Programação!$J$4:$J$503,MATCH("Atrasado|14",os_chave,0)),"")</f>
      </c>
      <c r="E18" s="46">
        <f>IFERROR(INDEX(Programação!$A$4:$A$503,MATCH("Concluído|14",os_chave,0))&amp;" — "&amp;INDEX(Programação!$C$4:$C$503,MATCH("Concluído|14",os_chave,0))&amp;CHAR(10)&amp;LEFT(INDEX(Programação!$E$4:$E$503,MATCH("Concluído|14",os_chave,0)),60)&amp;CHAR(10)&amp;"Prazo: "&amp;IF(ISNUMBER(INDEX(Programação!$F$4:$F$503,MATCH("Concluído|14",os_chave,0))),RIGHT("0"&amp;DAY(INDEX(Programação!$F$4:$F$503,MATCH("Concluído|14",os_chave,0))),2)&amp;"/"&amp;RIGHT("0"&amp;MONTH(INDEX(Programação!$F$4:$F$503,MATCH("Concluído|14",os_chave,0))),2)&amp;"/"&amp;YEAR(INDEX(Programação!$F$4:$F$503,MATCH("Concluído|14",os_chave,0))),"—")&amp;"  |  "&amp;INDEX(Programação!$J$4:$J$503,MATCH("Concluído|14",os_chave,0)),"")</f>
      </c>
      <c r="F18" s="46">
        <f>IFERROR(INDEX(Programação!$A$4:$A$503,MATCH("Backlog|14",os_chave,0))&amp;" — "&amp;INDEX(Programação!$C$4:$C$503,MATCH("Backlog|14",os_chave,0))&amp;CHAR(10)&amp;LEFT(INDEX(Programação!$E$4:$E$503,MATCH("Backlog|14",os_chave,0)),60)&amp;CHAR(10)&amp;"Prazo: "&amp;IF(ISNUMBER(INDEX(Programação!$F$4:$F$503,MATCH("Backlog|14",os_chave,0))),RIGHT("0"&amp;DAY(INDEX(Programação!$F$4:$F$503,MATCH("Backlog|14",os_chave,0))),2)&amp;"/"&amp;RIGHT("0"&amp;MONTH(INDEX(Programação!$F$4:$F$503,MATCH("Backlog|14",os_chave,0))),2)&amp;"/"&amp;YEAR(INDEX(Programação!$F$4:$F$503,MATCH("Backlog|14",os_chave,0))),"—")&amp;"  |  "&amp;INDEX(Programação!$J$4:$J$503,MATCH("Backlog|14",os_chave,0)),"")</f>
      </c>
    </row>
    <row r="19" ht="46" customHeight="1" spans="1:6" x14ac:dyDescent="0.25">
      <c r="A19" s="43">
        <v>15</v>
      </c>
      <c r="B19" s="46">
        <f>IFERROR(INDEX(Programação!$A$4:$A$503,MATCH("Programado|15",os_chave,0))&amp;" — "&amp;INDEX(Programação!$C$4:$C$503,MATCH("Programado|15",os_chave,0))&amp;CHAR(10)&amp;LEFT(INDEX(Programação!$E$4:$E$503,MATCH("Programado|15",os_chave,0)),60)&amp;CHAR(10)&amp;"Prazo: "&amp;IF(ISNUMBER(INDEX(Programação!$F$4:$F$503,MATCH("Programado|15",os_chave,0))),RIGHT("0"&amp;DAY(INDEX(Programação!$F$4:$F$503,MATCH("Programado|15",os_chave,0))),2)&amp;"/"&amp;RIGHT("0"&amp;MONTH(INDEX(Programação!$F$4:$F$503,MATCH("Programado|15",os_chave,0))),2)&amp;"/"&amp;YEAR(INDEX(Programação!$F$4:$F$503,MATCH("Programado|15",os_chave,0))),"—")&amp;"  |  "&amp;INDEX(Programação!$J$4:$J$503,MATCH("Programado|15",os_chave,0)),"")</f>
      </c>
      <c r="C19" s="46">
        <f>IFERROR(INDEX(Programação!$A$4:$A$503,MATCH("Em andamento|15",os_chave,0))&amp;" — "&amp;INDEX(Programação!$C$4:$C$503,MATCH("Em andamento|15",os_chave,0))&amp;CHAR(10)&amp;LEFT(INDEX(Programação!$E$4:$E$503,MATCH("Em andamento|15",os_chave,0)),60)&amp;CHAR(10)&amp;"Prazo: "&amp;IF(ISNUMBER(INDEX(Programação!$F$4:$F$503,MATCH("Em andamento|15",os_chave,0))),RIGHT("0"&amp;DAY(INDEX(Programação!$F$4:$F$503,MATCH("Em andamento|15",os_chave,0))),2)&amp;"/"&amp;RIGHT("0"&amp;MONTH(INDEX(Programação!$F$4:$F$503,MATCH("Em andamento|15",os_chave,0))),2)&amp;"/"&amp;YEAR(INDEX(Programação!$F$4:$F$503,MATCH("Em andamento|15",os_chave,0))),"—")&amp;"  |  "&amp;INDEX(Programação!$J$4:$J$503,MATCH("Em andamento|15",os_chave,0)),"")</f>
      </c>
      <c r="D19" s="46">
        <f>IFERROR(INDEX(Programação!$A$4:$A$503,MATCH("Atrasado|15",os_chave,0))&amp;" — "&amp;INDEX(Programação!$C$4:$C$503,MATCH("Atrasado|15",os_chave,0))&amp;CHAR(10)&amp;LEFT(INDEX(Programação!$E$4:$E$503,MATCH("Atrasado|15",os_chave,0)),60)&amp;CHAR(10)&amp;"Prazo: "&amp;IF(ISNUMBER(INDEX(Programação!$F$4:$F$503,MATCH("Atrasado|15",os_chave,0))),RIGHT("0"&amp;DAY(INDEX(Programação!$F$4:$F$503,MATCH("Atrasado|15",os_chave,0))),2)&amp;"/"&amp;RIGHT("0"&amp;MONTH(INDEX(Programação!$F$4:$F$503,MATCH("Atrasado|15",os_chave,0))),2)&amp;"/"&amp;YEAR(INDEX(Programação!$F$4:$F$503,MATCH("Atrasado|15",os_chave,0))),"—")&amp;"  |  "&amp;INDEX(Programação!$J$4:$J$503,MATCH("Atrasado|15",os_chave,0)),"")</f>
      </c>
      <c r="E19" s="46">
        <f>IFERROR(INDEX(Programação!$A$4:$A$503,MATCH("Concluído|15",os_chave,0))&amp;" — "&amp;INDEX(Programação!$C$4:$C$503,MATCH("Concluído|15",os_chave,0))&amp;CHAR(10)&amp;LEFT(INDEX(Programação!$E$4:$E$503,MATCH("Concluído|15",os_chave,0)),60)&amp;CHAR(10)&amp;"Prazo: "&amp;IF(ISNUMBER(INDEX(Programação!$F$4:$F$503,MATCH("Concluído|15",os_chave,0))),RIGHT("0"&amp;DAY(INDEX(Programação!$F$4:$F$503,MATCH("Concluído|15",os_chave,0))),2)&amp;"/"&amp;RIGHT("0"&amp;MONTH(INDEX(Programação!$F$4:$F$503,MATCH("Concluído|15",os_chave,0))),2)&amp;"/"&amp;YEAR(INDEX(Programação!$F$4:$F$503,MATCH("Concluído|15",os_chave,0))),"—")&amp;"  |  "&amp;INDEX(Programação!$J$4:$J$503,MATCH("Concluído|15",os_chave,0)),"")</f>
      </c>
      <c r="F19" s="46">
        <f>IFERROR(INDEX(Programação!$A$4:$A$503,MATCH("Backlog|15",os_chave,0))&amp;" — "&amp;INDEX(Programação!$C$4:$C$503,MATCH("Backlog|15",os_chave,0))&amp;CHAR(10)&amp;LEFT(INDEX(Programação!$E$4:$E$503,MATCH("Backlog|15",os_chave,0)),60)&amp;CHAR(10)&amp;"Prazo: "&amp;IF(ISNUMBER(INDEX(Programação!$F$4:$F$503,MATCH("Backlog|15",os_chave,0))),RIGHT("0"&amp;DAY(INDEX(Programação!$F$4:$F$503,MATCH("Backlog|15",os_chave,0))),2)&amp;"/"&amp;RIGHT("0"&amp;MONTH(INDEX(Programação!$F$4:$F$503,MATCH("Backlog|15",os_chave,0))),2)&amp;"/"&amp;YEAR(INDEX(Programação!$F$4:$F$503,MATCH("Backlog|15",os_chave,0))),"—")&amp;"  |  "&amp;INDEX(Programação!$J$4:$J$503,MATCH("Backlog|15",os_chave,0)),"")</f>
      </c>
    </row>
    <row r="20" ht="46" customHeight="1" spans="1:6" x14ac:dyDescent="0.25">
      <c r="A20" s="43">
        <v>16</v>
      </c>
      <c r="B20" s="46">
        <f>IFERROR(INDEX(Programação!$A$4:$A$503,MATCH("Programado|16",os_chave,0))&amp;" — "&amp;INDEX(Programação!$C$4:$C$503,MATCH("Programado|16",os_chave,0))&amp;CHAR(10)&amp;LEFT(INDEX(Programação!$E$4:$E$503,MATCH("Programado|16",os_chave,0)),60)&amp;CHAR(10)&amp;"Prazo: "&amp;IF(ISNUMBER(INDEX(Programação!$F$4:$F$503,MATCH("Programado|16",os_chave,0))),RIGHT("0"&amp;DAY(INDEX(Programação!$F$4:$F$503,MATCH("Programado|16",os_chave,0))),2)&amp;"/"&amp;RIGHT("0"&amp;MONTH(INDEX(Programação!$F$4:$F$503,MATCH("Programado|16",os_chave,0))),2)&amp;"/"&amp;YEAR(INDEX(Programação!$F$4:$F$503,MATCH("Programado|16",os_chave,0))),"—")&amp;"  |  "&amp;INDEX(Programação!$J$4:$J$503,MATCH("Programado|16",os_chave,0)),"")</f>
      </c>
      <c r="C20" s="46">
        <f>IFERROR(INDEX(Programação!$A$4:$A$503,MATCH("Em andamento|16",os_chave,0))&amp;" — "&amp;INDEX(Programação!$C$4:$C$503,MATCH("Em andamento|16",os_chave,0))&amp;CHAR(10)&amp;LEFT(INDEX(Programação!$E$4:$E$503,MATCH("Em andamento|16",os_chave,0)),60)&amp;CHAR(10)&amp;"Prazo: "&amp;IF(ISNUMBER(INDEX(Programação!$F$4:$F$503,MATCH("Em andamento|16",os_chave,0))),RIGHT("0"&amp;DAY(INDEX(Programação!$F$4:$F$503,MATCH("Em andamento|16",os_chave,0))),2)&amp;"/"&amp;RIGHT("0"&amp;MONTH(INDEX(Programação!$F$4:$F$503,MATCH("Em andamento|16",os_chave,0))),2)&amp;"/"&amp;YEAR(INDEX(Programação!$F$4:$F$503,MATCH("Em andamento|16",os_chave,0))),"—")&amp;"  |  "&amp;INDEX(Programação!$J$4:$J$503,MATCH("Em andamento|16",os_chave,0)),"")</f>
      </c>
      <c r="D20" s="46">
        <f>IFERROR(INDEX(Programação!$A$4:$A$503,MATCH("Atrasado|16",os_chave,0))&amp;" — "&amp;INDEX(Programação!$C$4:$C$503,MATCH("Atrasado|16",os_chave,0))&amp;CHAR(10)&amp;LEFT(INDEX(Programação!$E$4:$E$503,MATCH("Atrasado|16",os_chave,0)),60)&amp;CHAR(10)&amp;"Prazo: "&amp;IF(ISNUMBER(INDEX(Programação!$F$4:$F$503,MATCH("Atrasado|16",os_chave,0))),RIGHT("0"&amp;DAY(INDEX(Programação!$F$4:$F$503,MATCH("Atrasado|16",os_chave,0))),2)&amp;"/"&amp;RIGHT("0"&amp;MONTH(INDEX(Programação!$F$4:$F$503,MATCH("Atrasado|16",os_chave,0))),2)&amp;"/"&amp;YEAR(INDEX(Programação!$F$4:$F$503,MATCH("Atrasado|16",os_chave,0))),"—")&amp;"  |  "&amp;INDEX(Programação!$J$4:$J$503,MATCH("Atrasado|16",os_chave,0)),"")</f>
      </c>
      <c r="E20" s="46">
        <f>IFERROR(INDEX(Programação!$A$4:$A$503,MATCH("Concluído|16",os_chave,0))&amp;" — "&amp;INDEX(Programação!$C$4:$C$503,MATCH("Concluído|16",os_chave,0))&amp;CHAR(10)&amp;LEFT(INDEX(Programação!$E$4:$E$503,MATCH("Concluído|16",os_chave,0)),60)&amp;CHAR(10)&amp;"Prazo: "&amp;IF(ISNUMBER(INDEX(Programação!$F$4:$F$503,MATCH("Concluído|16",os_chave,0))),RIGHT("0"&amp;DAY(INDEX(Programação!$F$4:$F$503,MATCH("Concluído|16",os_chave,0))),2)&amp;"/"&amp;RIGHT("0"&amp;MONTH(INDEX(Programação!$F$4:$F$503,MATCH("Concluído|16",os_chave,0))),2)&amp;"/"&amp;YEAR(INDEX(Programação!$F$4:$F$503,MATCH("Concluído|16",os_chave,0))),"—")&amp;"  |  "&amp;INDEX(Programação!$J$4:$J$503,MATCH("Concluído|16",os_chave,0)),"")</f>
      </c>
      <c r="F20" s="46">
        <f>IFERROR(INDEX(Programação!$A$4:$A$503,MATCH("Backlog|16",os_chave,0))&amp;" — "&amp;INDEX(Programação!$C$4:$C$503,MATCH("Backlog|16",os_chave,0))&amp;CHAR(10)&amp;LEFT(INDEX(Programação!$E$4:$E$503,MATCH("Backlog|16",os_chave,0)),60)&amp;CHAR(10)&amp;"Prazo: "&amp;IF(ISNUMBER(INDEX(Programação!$F$4:$F$503,MATCH("Backlog|16",os_chave,0))),RIGHT("0"&amp;DAY(INDEX(Programação!$F$4:$F$503,MATCH("Backlog|16",os_chave,0))),2)&amp;"/"&amp;RIGHT("0"&amp;MONTH(INDEX(Programação!$F$4:$F$503,MATCH("Backlog|16",os_chave,0))),2)&amp;"/"&amp;YEAR(INDEX(Programação!$F$4:$F$503,MATCH("Backlog|16",os_chave,0))),"—")&amp;"  |  "&amp;INDEX(Programação!$J$4:$J$503,MATCH("Backlog|16",os_chave,0)),"")</f>
      </c>
    </row>
    <row r="21" ht="46" customHeight="1" spans="1:6" x14ac:dyDescent="0.25">
      <c r="A21" s="43">
        <v>17</v>
      </c>
      <c r="B21" s="46">
        <f>IFERROR(INDEX(Programação!$A$4:$A$503,MATCH("Programado|17",os_chave,0))&amp;" — "&amp;INDEX(Programação!$C$4:$C$503,MATCH("Programado|17",os_chave,0))&amp;CHAR(10)&amp;LEFT(INDEX(Programação!$E$4:$E$503,MATCH("Programado|17",os_chave,0)),60)&amp;CHAR(10)&amp;"Prazo: "&amp;IF(ISNUMBER(INDEX(Programação!$F$4:$F$503,MATCH("Programado|17",os_chave,0))),RIGHT("0"&amp;DAY(INDEX(Programação!$F$4:$F$503,MATCH("Programado|17",os_chave,0))),2)&amp;"/"&amp;RIGHT("0"&amp;MONTH(INDEX(Programação!$F$4:$F$503,MATCH("Programado|17",os_chave,0))),2)&amp;"/"&amp;YEAR(INDEX(Programação!$F$4:$F$503,MATCH("Programado|17",os_chave,0))),"—")&amp;"  |  "&amp;INDEX(Programação!$J$4:$J$503,MATCH("Programado|17",os_chave,0)),"")</f>
      </c>
      <c r="C21" s="46">
        <f>IFERROR(INDEX(Programação!$A$4:$A$503,MATCH("Em andamento|17",os_chave,0))&amp;" — "&amp;INDEX(Programação!$C$4:$C$503,MATCH("Em andamento|17",os_chave,0))&amp;CHAR(10)&amp;LEFT(INDEX(Programação!$E$4:$E$503,MATCH("Em andamento|17",os_chave,0)),60)&amp;CHAR(10)&amp;"Prazo: "&amp;IF(ISNUMBER(INDEX(Programação!$F$4:$F$503,MATCH("Em andamento|17",os_chave,0))),RIGHT("0"&amp;DAY(INDEX(Programação!$F$4:$F$503,MATCH("Em andamento|17",os_chave,0))),2)&amp;"/"&amp;RIGHT("0"&amp;MONTH(INDEX(Programação!$F$4:$F$503,MATCH("Em andamento|17",os_chave,0))),2)&amp;"/"&amp;YEAR(INDEX(Programação!$F$4:$F$503,MATCH("Em andamento|17",os_chave,0))),"—")&amp;"  |  "&amp;INDEX(Programação!$J$4:$J$503,MATCH("Em andamento|17",os_chave,0)),"")</f>
      </c>
      <c r="D21" s="46">
        <f>IFERROR(INDEX(Programação!$A$4:$A$503,MATCH("Atrasado|17",os_chave,0))&amp;" — "&amp;INDEX(Programação!$C$4:$C$503,MATCH("Atrasado|17",os_chave,0))&amp;CHAR(10)&amp;LEFT(INDEX(Programação!$E$4:$E$503,MATCH("Atrasado|17",os_chave,0)),60)&amp;CHAR(10)&amp;"Prazo: "&amp;IF(ISNUMBER(INDEX(Programação!$F$4:$F$503,MATCH("Atrasado|17",os_chave,0))),RIGHT("0"&amp;DAY(INDEX(Programação!$F$4:$F$503,MATCH("Atrasado|17",os_chave,0))),2)&amp;"/"&amp;RIGHT("0"&amp;MONTH(INDEX(Programação!$F$4:$F$503,MATCH("Atrasado|17",os_chave,0))),2)&amp;"/"&amp;YEAR(INDEX(Programação!$F$4:$F$503,MATCH("Atrasado|17",os_chave,0))),"—")&amp;"  |  "&amp;INDEX(Programação!$J$4:$J$503,MATCH("Atrasado|17",os_chave,0)),"")</f>
      </c>
      <c r="E21" s="46">
        <f>IFERROR(INDEX(Programação!$A$4:$A$503,MATCH("Concluído|17",os_chave,0))&amp;" — "&amp;INDEX(Programação!$C$4:$C$503,MATCH("Concluído|17",os_chave,0))&amp;CHAR(10)&amp;LEFT(INDEX(Programação!$E$4:$E$503,MATCH("Concluído|17",os_chave,0)),60)&amp;CHAR(10)&amp;"Prazo: "&amp;IF(ISNUMBER(INDEX(Programação!$F$4:$F$503,MATCH("Concluído|17",os_chave,0))),RIGHT("0"&amp;DAY(INDEX(Programação!$F$4:$F$503,MATCH("Concluído|17",os_chave,0))),2)&amp;"/"&amp;RIGHT("0"&amp;MONTH(INDEX(Programação!$F$4:$F$503,MATCH("Concluído|17",os_chave,0))),2)&amp;"/"&amp;YEAR(INDEX(Programação!$F$4:$F$503,MATCH("Concluído|17",os_chave,0))),"—")&amp;"  |  "&amp;INDEX(Programação!$J$4:$J$503,MATCH("Concluído|17",os_chave,0)),"")</f>
      </c>
      <c r="F21" s="46">
        <f>IFERROR(INDEX(Programação!$A$4:$A$503,MATCH("Backlog|17",os_chave,0))&amp;" — "&amp;INDEX(Programação!$C$4:$C$503,MATCH("Backlog|17",os_chave,0))&amp;CHAR(10)&amp;LEFT(INDEX(Programação!$E$4:$E$503,MATCH("Backlog|17",os_chave,0)),60)&amp;CHAR(10)&amp;"Prazo: "&amp;IF(ISNUMBER(INDEX(Programação!$F$4:$F$503,MATCH("Backlog|17",os_chave,0))),RIGHT("0"&amp;DAY(INDEX(Programação!$F$4:$F$503,MATCH("Backlog|17",os_chave,0))),2)&amp;"/"&amp;RIGHT("0"&amp;MONTH(INDEX(Programação!$F$4:$F$503,MATCH("Backlog|17",os_chave,0))),2)&amp;"/"&amp;YEAR(INDEX(Programação!$F$4:$F$503,MATCH("Backlog|17",os_chave,0))),"—")&amp;"  |  "&amp;INDEX(Programação!$J$4:$J$503,MATCH("Backlog|17",os_chave,0)),"")</f>
      </c>
    </row>
    <row r="22" ht="46" customHeight="1" spans="1:6" x14ac:dyDescent="0.25">
      <c r="A22" s="43">
        <v>18</v>
      </c>
      <c r="B22" s="46">
        <f>IFERROR(INDEX(Programação!$A$4:$A$503,MATCH("Programado|18",os_chave,0))&amp;" — "&amp;INDEX(Programação!$C$4:$C$503,MATCH("Programado|18",os_chave,0))&amp;CHAR(10)&amp;LEFT(INDEX(Programação!$E$4:$E$503,MATCH("Programado|18",os_chave,0)),60)&amp;CHAR(10)&amp;"Prazo: "&amp;IF(ISNUMBER(INDEX(Programação!$F$4:$F$503,MATCH("Programado|18",os_chave,0))),RIGHT("0"&amp;DAY(INDEX(Programação!$F$4:$F$503,MATCH("Programado|18",os_chave,0))),2)&amp;"/"&amp;RIGHT("0"&amp;MONTH(INDEX(Programação!$F$4:$F$503,MATCH("Programado|18",os_chave,0))),2)&amp;"/"&amp;YEAR(INDEX(Programação!$F$4:$F$503,MATCH("Programado|18",os_chave,0))),"—")&amp;"  |  "&amp;INDEX(Programação!$J$4:$J$503,MATCH("Programado|18",os_chave,0)),"")</f>
      </c>
      <c r="C22" s="46">
        <f>IFERROR(INDEX(Programação!$A$4:$A$503,MATCH("Em andamento|18",os_chave,0))&amp;" — "&amp;INDEX(Programação!$C$4:$C$503,MATCH("Em andamento|18",os_chave,0))&amp;CHAR(10)&amp;LEFT(INDEX(Programação!$E$4:$E$503,MATCH("Em andamento|18",os_chave,0)),60)&amp;CHAR(10)&amp;"Prazo: "&amp;IF(ISNUMBER(INDEX(Programação!$F$4:$F$503,MATCH("Em andamento|18",os_chave,0))),RIGHT("0"&amp;DAY(INDEX(Programação!$F$4:$F$503,MATCH("Em andamento|18",os_chave,0))),2)&amp;"/"&amp;RIGHT("0"&amp;MONTH(INDEX(Programação!$F$4:$F$503,MATCH("Em andamento|18",os_chave,0))),2)&amp;"/"&amp;YEAR(INDEX(Programação!$F$4:$F$503,MATCH("Em andamento|18",os_chave,0))),"—")&amp;"  |  "&amp;INDEX(Programação!$J$4:$J$503,MATCH("Em andamento|18",os_chave,0)),"")</f>
      </c>
      <c r="D22" s="46">
        <f>IFERROR(INDEX(Programação!$A$4:$A$503,MATCH("Atrasado|18",os_chave,0))&amp;" — "&amp;INDEX(Programação!$C$4:$C$503,MATCH("Atrasado|18",os_chave,0))&amp;CHAR(10)&amp;LEFT(INDEX(Programação!$E$4:$E$503,MATCH("Atrasado|18",os_chave,0)),60)&amp;CHAR(10)&amp;"Prazo: "&amp;IF(ISNUMBER(INDEX(Programação!$F$4:$F$503,MATCH("Atrasado|18",os_chave,0))),RIGHT("0"&amp;DAY(INDEX(Programação!$F$4:$F$503,MATCH("Atrasado|18",os_chave,0))),2)&amp;"/"&amp;RIGHT("0"&amp;MONTH(INDEX(Programação!$F$4:$F$503,MATCH("Atrasado|18",os_chave,0))),2)&amp;"/"&amp;YEAR(INDEX(Programação!$F$4:$F$503,MATCH("Atrasado|18",os_chave,0))),"—")&amp;"  |  "&amp;INDEX(Programação!$J$4:$J$503,MATCH("Atrasado|18",os_chave,0)),"")</f>
      </c>
      <c r="E22" s="46">
        <f>IFERROR(INDEX(Programação!$A$4:$A$503,MATCH("Concluído|18",os_chave,0))&amp;" — "&amp;INDEX(Programação!$C$4:$C$503,MATCH("Concluído|18",os_chave,0))&amp;CHAR(10)&amp;LEFT(INDEX(Programação!$E$4:$E$503,MATCH("Concluído|18",os_chave,0)),60)&amp;CHAR(10)&amp;"Prazo: "&amp;IF(ISNUMBER(INDEX(Programação!$F$4:$F$503,MATCH("Concluído|18",os_chave,0))),RIGHT("0"&amp;DAY(INDEX(Programação!$F$4:$F$503,MATCH("Concluído|18",os_chave,0))),2)&amp;"/"&amp;RIGHT("0"&amp;MONTH(INDEX(Programação!$F$4:$F$503,MATCH("Concluído|18",os_chave,0))),2)&amp;"/"&amp;YEAR(INDEX(Programação!$F$4:$F$503,MATCH("Concluído|18",os_chave,0))),"—")&amp;"  |  "&amp;INDEX(Programação!$J$4:$J$503,MATCH("Concluído|18",os_chave,0)),"")</f>
      </c>
      <c r="F22" s="46">
        <f>IFERROR(INDEX(Programação!$A$4:$A$503,MATCH("Backlog|18",os_chave,0))&amp;" — "&amp;INDEX(Programação!$C$4:$C$503,MATCH("Backlog|18",os_chave,0))&amp;CHAR(10)&amp;LEFT(INDEX(Programação!$E$4:$E$503,MATCH("Backlog|18",os_chave,0)),60)&amp;CHAR(10)&amp;"Prazo: "&amp;IF(ISNUMBER(INDEX(Programação!$F$4:$F$503,MATCH("Backlog|18",os_chave,0))),RIGHT("0"&amp;DAY(INDEX(Programação!$F$4:$F$503,MATCH("Backlog|18",os_chave,0))),2)&amp;"/"&amp;RIGHT("0"&amp;MONTH(INDEX(Programação!$F$4:$F$503,MATCH("Backlog|18",os_chave,0))),2)&amp;"/"&amp;YEAR(INDEX(Programação!$F$4:$F$503,MATCH("Backlog|18",os_chave,0))),"—")&amp;"  |  "&amp;INDEX(Programação!$J$4:$J$503,MATCH("Backlog|18",os_chave,0)),"")</f>
      </c>
    </row>
    <row r="23" ht="46" customHeight="1" spans="1:6" x14ac:dyDescent="0.25">
      <c r="A23" s="43">
        <v>19</v>
      </c>
      <c r="B23" s="46">
        <f>IFERROR(INDEX(Programação!$A$4:$A$503,MATCH("Programado|19",os_chave,0))&amp;" — "&amp;INDEX(Programação!$C$4:$C$503,MATCH("Programado|19",os_chave,0))&amp;CHAR(10)&amp;LEFT(INDEX(Programação!$E$4:$E$503,MATCH("Programado|19",os_chave,0)),60)&amp;CHAR(10)&amp;"Prazo: "&amp;IF(ISNUMBER(INDEX(Programação!$F$4:$F$503,MATCH("Programado|19",os_chave,0))),RIGHT("0"&amp;DAY(INDEX(Programação!$F$4:$F$503,MATCH("Programado|19",os_chave,0))),2)&amp;"/"&amp;RIGHT("0"&amp;MONTH(INDEX(Programação!$F$4:$F$503,MATCH("Programado|19",os_chave,0))),2)&amp;"/"&amp;YEAR(INDEX(Programação!$F$4:$F$503,MATCH("Programado|19",os_chave,0))),"—")&amp;"  |  "&amp;INDEX(Programação!$J$4:$J$503,MATCH("Programado|19",os_chave,0)),"")</f>
      </c>
      <c r="C23" s="46">
        <f>IFERROR(INDEX(Programação!$A$4:$A$503,MATCH("Em andamento|19",os_chave,0))&amp;" — "&amp;INDEX(Programação!$C$4:$C$503,MATCH("Em andamento|19",os_chave,0))&amp;CHAR(10)&amp;LEFT(INDEX(Programação!$E$4:$E$503,MATCH("Em andamento|19",os_chave,0)),60)&amp;CHAR(10)&amp;"Prazo: "&amp;IF(ISNUMBER(INDEX(Programação!$F$4:$F$503,MATCH("Em andamento|19",os_chave,0))),RIGHT("0"&amp;DAY(INDEX(Programação!$F$4:$F$503,MATCH("Em andamento|19",os_chave,0))),2)&amp;"/"&amp;RIGHT("0"&amp;MONTH(INDEX(Programação!$F$4:$F$503,MATCH("Em andamento|19",os_chave,0))),2)&amp;"/"&amp;YEAR(INDEX(Programação!$F$4:$F$503,MATCH("Em andamento|19",os_chave,0))),"—")&amp;"  |  "&amp;INDEX(Programação!$J$4:$J$503,MATCH("Em andamento|19",os_chave,0)),"")</f>
      </c>
      <c r="D23" s="46">
        <f>IFERROR(INDEX(Programação!$A$4:$A$503,MATCH("Atrasado|19",os_chave,0))&amp;" — "&amp;INDEX(Programação!$C$4:$C$503,MATCH("Atrasado|19",os_chave,0))&amp;CHAR(10)&amp;LEFT(INDEX(Programação!$E$4:$E$503,MATCH("Atrasado|19",os_chave,0)),60)&amp;CHAR(10)&amp;"Prazo: "&amp;IF(ISNUMBER(INDEX(Programação!$F$4:$F$503,MATCH("Atrasado|19",os_chave,0))),RIGHT("0"&amp;DAY(INDEX(Programação!$F$4:$F$503,MATCH("Atrasado|19",os_chave,0))),2)&amp;"/"&amp;RIGHT("0"&amp;MONTH(INDEX(Programação!$F$4:$F$503,MATCH("Atrasado|19",os_chave,0))),2)&amp;"/"&amp;YEAR(INDEX(Programação!$F$4:$F$503,MATCH("Atrasado|19",os_chave,0))),"—")&amp;"  |  "&amp;INDEX(Programação!$J$4:$J$503,MATCH("Atrasado|19",os_chave,0)),"")</f>
      </c>
      <c r="E23" s="46">
        <f>IFERROR(INDEX(Programação!$A$4:$A$503,MATCH("Concluído|19",os_chave,0))&amp;" — "&amp;INDEX(Programação!$C$4:$C$503,MATCH("Concluído|19",os_chave,0))&amp;CHAR(10)&amp;LEFT(INDEX(Programação!$E$4:$E$503,MATCH("Concluído|19",os_chave,0)),60)&amp;CHAR(10)&amp;"Prazo: "&amp;IF(ISNUMBER(INDEX(Programação!$F$4:$F$503,MATCH("Concluído|19",os_chave,0))),RIGHT("0"&amp;DAY(INDEX(Programação!$F$4:$F$503,MATCH("Concluído|19",os_chave,0))),2)&amp;"/"&amp;RIGHT("0"&amp;MONTH(INDEX(Programação!$F$4:$F$503,MATCH("Concluído|19",os_chave,0))),2)&amp;"/"&amp;YEAR(INDEX(Programação!$F$4:$F$503,MATCH("Concluído|19",os_chave,0))),"—")&amp;"  |  "&amp;INDEX(Programação!$J$4:$J$503,MATCH("Concluído|19",os_chave,0)),"")</f>
      </c>
      <c r="F23" s="46">
        <f>IFERROR(INDEX(Programação!$A$4:$A$503,MATCH("Backlog|19",os_chave,0))&amp;" — "&amp;INDEX(Programação!$C$4:$C$503,MATCH("Backlog|19",os_chave,0))&amp;CHAR(10)&amp;LEFT(INDEX(Programação!$E$4:$E$503,MATCH("Backlog|19",os_chave,0)),60)&amp;CHAR(10)&amp;"Prazo: "&amp;IF(ISNUMBER(INDEX(Programação!$F$4:$F$503,MATCH("Backlog|19",os_chave,0))),RIGHT("0"&amp;DAY(INDEX(Programação!$F$4:$F$503,MATCH("Backlog|19",os_chave,0))),2)&amp;"/"&amp;RIGHT("0"&amp;MONTH(INDEX(Programação!$F$4:$F$503,MATCH("Backlog|19",os_chave,0))),2)&amp;"/"&amp;YEAR(INDEX(Programação!$F$4:$F$503,MATCH("Backlog|19",os_chave,0))),"—")&amp;"  |  "&amp;INDEX(Programação!$J$4:$J$503,MATCH("Backlog|19",os_chave,0)),"")</f>
      </c>
    </row>
    <row r="24" ht="46" customHeight="1" spans="1:6" x14ac:dyDescent="0.25">
      <c r="A24" s="43">
        <v>20</v>
      </c>
      <c r="B24" s="46">
        <f>IFERROR(INDEX(Programação!$A$4:$A$503,MATCH("Programado|20",os_chave,0))&amp;" — "&amp;INDEX(Programação!$C$4:$C$503,MATCH("Programado|20",os_chave,0))&amp;CHAR(10)&amp;LEFT(INDEX(Programação!$E$4:$E$503,MATCH("Programado|20",os_chave,0)),60)&amp;CHAR(10)&amp;"Prazo: "&amp;IF(ISNUMBER(INDEX(Programação!$F$4:$F$503,MATCH("Programado|20",os_chave,0))),RIGHT("0"&amp;DAY(INDEX(Programação!$F$4:$F$503,MATCH("Programado|20",os_chave,0))),2)&amp;"/"&amp;RIGHT("0"&amp;MONTH(INDEX(Programação!$F$4:$F$503,MATCH("Programado|20",os_chave,0))),2)&amp;"/"&amp;YEAR(INDEX(Programação!$F$4:$F$503,MATCH("Programado|20",os_chave,0))),"—")&amp;"  |  "&amp;INDEX(Programação!$J$4:$J$503,MATCH("Programado|20",os_chave,0)),"")</f>
      </c>
      <c r="C24" s="46">
        <f>IFERROR(INDEX(Programação!$A$4:$A$503,MATCH("Em andamento|20",os_chave,0))&amp;" — "&amp;INDEX(Programação!$C$4:$C$503,MATCH("Em andamento|20",os_chave,0))&amp;CHAR(10)&amp;LEFT(INDEX(Programação!$E$4:$E$503,MATCH("Em andamento|20",os_chave,0)),60)&amp;CHAR(10)&amp;"Prazo: "&amp;IF(ISNUMBER(INDEX(Programação!$F$4:$F$503,MATCH("Em andamento|20",os_chave,0))),RIGHT("0"&amp;DAY(INDEX(Programação!$F$4:$F$503,MATCH("Em andamento|20",os_chave,0))),2)&amp;"/"&amp;RIGHT("0"&amp;MONTH(INDEX(Programação!$F$4:$F$503,MATCH("Em andamento|20",os_chave,0))),2)&amp;"/"&amp;YEAR(INDEX(Programação!$F$4:$F$503,MATCH("Em andamento|20",os_chave,0))),"—")&amp;"  |  "&amp;INDEX(Programação!$J$4:$J$503,MATCH("Em andamento|20",os_chave,0)),"")</f>
      </c>
      <c r="D24" s="46">
        <f>IFERROR(INDEX(Programação!$A$4:$A$503,MATCH("Atrasado|20",os_chave,0))&amp;" — "&amp;INDEX(Programação!$C$4:$C$503,MATCH("Atrasado|20",os_chave,0))&amp;CHAR(10)&amp;LEFT(INDEX(Programação!$E$4:$E$503,MATCH("Atrasado|20",os_chave,0)),60)&amp;CHAR(10)&amp;"Prazo: "&amp;IF(ISNUMBER(INDEX(Programação!$F$4:$F$503,MATCH("Atrasado|20",os_chave,0))),RIGHT("0"&amp;DAY(INDEX(Programação!$F$4:$F$503,MATCH("Atrasado|20",os_chave,0))),2)&amp;"/"&amp;RIGHT("0"&amp;MONTH(INDEX(Programação!$F$4:$F$503,MATCH("Atrasado|20",os_chave,0))),2)&amp;"/"&amp;YEAR(INDEX(Programação!$F$4:$F$503,MATCH("Atrasado|20",os_chave,0))),"—")&amp;"  |  "&amp;INDEX(Programação!$J$4:$J$503,MATCH("Atrasado|20",os_chave,0)),"")</f>
      </c>
      <c r="E24" s="46">
        <f>IFERROR(INDEX(Programação!$A$4:$A$503,MATCH("Concluído|20",os_chave,0))&amp;" — "&amp;INDEX(Programação!$C$4:$C$503,MATCH("Concluído|20",os_chave,0))&amp;CHAR(10)&amp;LEFT(INDEX(Programação!$E$4:$E$503,MATCH("Concluído|20",os_chave,0)),60)&amp;CHAR(10)&amp;"Prazo: "&amp;IF(ISNUMBER(INDEX(Programação!$F$4:$F$503,MATCH("Concluído|20",os_chave,0))),RIGHT("0"&amp;DAY(INDEX(Programação!$F$4:$F$503,MATCH("Concluído|20",os_chave,0))),2)&amp;"/"&amp;RIGHT("0"&amp;MONTH(INDEX(Programação!$F$4:$F$503,MATCH("Concluído|20",os_chave,0))),2)&amp;"/"&amp;YEAR(INDEX(Programação!$F$4:$F$503,MATCH("Concluído|20",os_chave,0))),"—")&amp;"  |  "&amp;INDEX(Programação!$J$4:$J$503,MATCH("Concluído|20",os_chave,0)),"")</f>
      </c>
      <c r="F24" s="46">
        <f>IFERROR(INDEX(Programação!$A$4:$A$503,MATCH("Backlog|20",os_chave,0))&amp;" — "&amp;INDEX(Programação!$C$4:$C$503,MATCH("Backlog|20",os_chave,0))&amp;CHAR(10)&amp;LEFT(INDEX(Programação!$E$4:$E$503,MATCH("Backlog|20",os_chave,0)),60)&amp;CHAR(10)&amp;"Prazo: "&amp;IF(ISNUMBER(INDEX(Programação!$F$4:$F$503,MATCH("Backlog|20",os_chave,0))),RIGHT("0"&amp;DAY(INDEX(Programação!$F$4:$F$503,MATCH("Backlog|20",os_chave,0))),2)&amp;"/"&amp;RIGHT("0"&amp;MONTH(INDEX(Programação!$F$4:$F$503,MATCH("Backlog|20",os_chave,0))),2)&amp;"/"&amp;YEAR(INDEX(Programação!$F$4:$F$503,MATCH("Backlog|20",os_chave,0))),"—")&amp;"  |  "&amp;INDEX(Programação!$J$4:$J$503,MATCH("Backlog|20",os_chave,0)),"")</f>
      </c>
    </row>
    <row r="25" ht="46" customHeight="1" spans="1:6" x14ac:dyDescent="0.25">
      <c r="A25" s="43">
        <v>21</v>
      </c>
      <c r="B25" s="46">
        <f>IFERROR(INDEX(Programação!$A$4:$A$503,MATCH("Programado|21",os_chave,0))&amp;" — "&amp;INDEX(Programação!$C$4:$C$503,MATCH("Programado|21",os_chave,0))&amp;CHAR(10)&amp;LEFT(INDEX(Programação!$E$4:$E$503,MATCH("Programado|21",os_chave,0)),60)&amp;CHAR(10)&amp;"Prazo: "&amp;IF(ISNUMBER(INDEX(Programação!$F$4:$F$503,MATCH("Programado|21",os_chave,0))),RIGHT("0"&amp;DAY(INDEX(Programação!$F$4:$F$503,MATCH("Programado|21",os_chave,0))),2)&amp;"/"&amp;RIGHT("0"&amp;MONTH(INDEX(Programação!$F$4:$F$503,MATCH("Programado|21",os_chave,0))),2)&amp;"/"&amp;YEAR(INDEX(Programação!$F$4:$F$503,MATCH("Programado|21",os_chave,0))),"—")&amp;"  |  "&amp;INDEX(Programação!$J$4:$J$503,MATCH("Programado|21",os_chave,0)),"")</f>
      </c>
      <c r="C25" s="46">
        <f>IFERROR(INDEX(Programação!$A$4:$A$503,MATCH("Em andamento|21",os_chave,0))&amp;" — "&amp;INDEX(Programação!$C$4:$C$503,MATCH("Em andamento|21",os_chave,0))&amp;CHAR(10)&amp;LEFT(INDEX(Programação!$E$4:$E$503,MATCH("Em andamento|21",os_chave,0)),60)&amp;CHAR(10)&amp;"Prazo: "&amp;IF(ISNUMBER(INDEX(Programação!$F$4:$F$503,MATCH("Em andamento|21",os_chave,0))),RIGHT("0"&amp;DAY(INDEX(Programação!$F$4:$F$503,MATCH("Em andamento|21",os_chave,0))),2)&amp;"/"&amp;RIGHT("0"&amp;MONTH(INDEX(Programação!$F$4:$F$503,MATCH("Em andamento|21",os_chave,0))),2)&amp;"/"&amp;YEAR(INDEX(Programação!$F$4:$F$503,MATCH("Em andamento|21",os_chave,0))),"—")&amp;"  |  "&amp;INDEX(Programação!$J$4:$J$503,MATCH("Em andamento|21",os_chave,0)),"")</f>
      </c>
      <c r="D25" s="46">
        <f>IFERROR(INDEX(Programação!$A$4:$A$503,MATCH("Atrasado|21",os_chave,0))&amp;" — "&amp;INDEX(Programação!$C$4:$C$503,MATCH("Atrasado|21",os_chave,0))&amp;CHAR(10)&amp;LEFT(INDEX(Programação!$E$4:$E$503,MATCH("Atrasado|21",os_chave,0)),60)&amp;CHAR(10)&amp;"Prazo: "&amp;IF(ISNUMBER(INDEX(Programação!$F$4:$F$503,MATCH("Atrasado|21",os_chave,0))),RIGHT("0"&amp;DAY(INDEX(Programação!$F$4:$F$503,MATCH("Atrasado|21",os_chave,0))),2)&amp;"/"&amp;RIGHT("0"&amp;MONTH(INDEX(Programação!$F$4:$F$503,MATCH("Atrasado|21",os_chave,0))),2)&amp;"/"&amp;YEAR(INDEX(Programação!$F$4:$F$503,MATCH("Atrasado|21",os_chave,0))),"—")&amp;"  |  "&amp;INDEX(Programação!$J$4:$J$503,MATCH("Atrasado|21",os_chave,0)),"")</f>
      </c>
      <c r="E25" s="46">
        <f>IFERROR(INDEX(Programação!$A$4:$A$503,MATCH("Concluído|21",os_chave,0))&amp;" — "&amp;INDEX(Programação!$C$4:$C$503,MATCH("Concluído|21",os_chave,0))&amp;CHAR(10)&amp;LEFT(INDEX(Programação!$E$4:$E$503,MATCH("Concluído|21",os_chave,0)),60)&amp;CHAR(10)&amp;"Prazo: "&amp;IF(ISNUMBER(INDEX(Programação!$F$4:$F$503,MATCH("Concluído|21",os_chave,0))),RIGHT("0"&amp;DAY(INDEX(Programação!$F$4:$F$503,MATCH("Concluído|21",os_chave,0))),2)&amp;"/"&amp;RIGHT("0"&amp;MONTH(INDEX(Programação!$F$4:$F$503,MATCH("Concluído|21",os_chave,0))),2)&amp;"/"&amp;YEAR(INDEX(Programação!$F$4:$F$503,MATCH("Concluído|21",os_chave,0))),"—")&amp;"  |  "&amp;INDEX(Programação!$J$4:$J$503,MATCH("Concluído|21",os_chave,0)),"")</f>
      </c>
      <c r="F25" s="46">
        <f>IFERROR(INDEX(Programação!$A$4:$A$503,MATCH("Backlog|21",os_chave,0))&amp;" — "&amp;INDEX(Programação!$C$4:$C$503,MATCH("Backlog|21",os_chave,0))&amp;CHAR(10)&amp;LEFT(INDEX(Programação!$E$4:$E$503,MATCH("Backlog|21",os_chave,0)),60)&amp;CHAR(10)&amp;"Prazo: "&amp;IF(ISNUMBER(INDEX(Programação!$F$4:$F$503,MATCH("Backlog|21",os_chave,0))),RIGHT("0"&amp;DAY(INDEX(Programação!$F$4:$F$503,MATCH("Backlog|21",os_chave,0))),2)&amp;"/"&amp;RIGHT("0"&amp;MONTH(INDEX(Programação!$F$4:$F$503,MATCH("Backlog|21",os_chave,0))),2)&amp;"/"&amp;YEAR(INDEX(Programação!$F$4:$F$503,MATCH("Backlog|21",os_chave,0))),"—")&amp;"  |  "&amp;INDEX(Programação!$J$4:$J$503,MATCH("Backlog|21",os_chave,0)),"")</f>
      </c>
    </row>
    <row r="26" ht="46" customHeight="1" spans="1:6" x14ac:dyDescent="0.25">
      <c r="A26" s="43">
        <v>22</v>
      </c>
      <c r="B26" s="46">
        <f>IFERROR(INDEX(Programação!$A$4:$A$503,MATCH("Programado|22",os_chave,0))&amp;" — "&amp;INDEX(Programação!$C$4:$C$503,MATCH("Programado|22",os_chave,0))&amp;CHAR(10)&amp;LEFT(INDEX(Programação!$E$4:$E$503,MATCH("Programado|22",os_chave,0)),60)&amp;CHAR(10)&amp;"Prazo: "&amp;IF(ISNUMBER(INDEX(Programação!$F$4:$F$503,MATCH("Programado|22",os_chave,0))),RIGHT("0"&amp;DAY(INDEX(Programação!$F$4:$F$503,MATCH("Programado|22",os_chave,0))),2)&amp;"/"&amp;RIGHT("0"&amp;MONTH(INDEX(Programação!$F$4:$F$503,MATCH("Programado|22",os_chave,0))),2)&amp;"/"&amp;YEAR(INDEX(Programação!$F$4:$F$503,MATCH("Programado|22",os_chave,0))),"—")&amp;"  |  "&amp;INDEX(Programação!$J$4:$J$503,MATCH("Programado|22",os_chave,0)),"")</f>
      </c>
      <c r="C26" s="46">
        <f>IFERROR(INDEX(Programação!$A$4:$A$503,MATCH("Em andamento|22",os_chave,0))&amp;" — "&amp;INDEX(Programação!$C$4:$C$503,MATCH("Em andamento|22",os_chave,0))&amp;CHAR(10)&amp;LEFT(INDEX(Programação!$E$4:$E$503,MATCH("Em andamento|22",os_chave,0)),60)&amp;CHAR(10)&amp;"Prazo: "&amp;IF(ISNUMBER(INDEX(Programação!$F$4:$F$503,MATCH("Em andamento|22",os_chave,0))),RIGHT("0"&amp;DAY(INDEX(Programação!$F$4:$F$503,MATCH("Em andamento|22",os_chave,0))),2)&amp;"/"&amp;RIGHT("0"&amp;MONTH(INDEX(Programação!$F$4:$F$503,MATCH("Em andamento|22",os_chave,0))),2)&amp;"/"&amp;YEAR(INDEX(Programação!$F$4:$F$503,MATCH("Em andamento|22",os_chave,0))),"—")&amp;"  |  "&amp;INDEX(Programação!$J$4:$J$503,MATCH("Em andamento|22",os_chave,0)),"")</f>
      </c>
      <c r="D26" s="46">
        <f>IFERROR(INDEX(Programação!$A$4:$A$503,MATCH("Atrasado|22",os_chave,0))&amp;" — "&amp;INDEX(Programação!$C$4:$C$503,MATCH("Atrasado|22",os_chave,0))&amp;CHAR(10)&amp;LEFT(INDEX(Programação!$E$4:$E$503,MATCH("Atrasado|22",os_chave,0)),60)&amp;CHAR(10)&amp;"Prazo: "&amp;IF(ISNUMBER(INDEX(Programação!$F$4:$F$503,MATCH("Atrasado|22",os_chave,0))),RIGHT("0"&amp;DAY(INDEX(Programação!$F$4:$F$503,MATCH("Atrasado|22",os_chave,0))),2)&amp;"/"&amp;RIGHT("0"&amp;MONTH(INDEX(Programação!$F$4:$F$503,MATCH("Atrasado|22",os_chave,0))),2)&amp;"/"&amp;YEAR(INDEX(Programação!$F$4:$F$503,MATCH("Atrasado|22",os_chave,0))),"—")&amp;"  |  "&amp;INDEX(Programação!$J$4:$J$503,MATCH("Atrasado|22",os_chave,0)),"")</f>
      </c>
      <c r="E26" s="46">
        <f>IFERROR(INDEX(Programação!$A$4:$A$503,MATCH("Concluído|22",os_chave,0))&amp;" — "&amp;INDEX(Programação!$C$4:$C$503,MATCH("Concluído|22",os_chave,0))&amp;CHAR(10)&amp;LEFT(INDEX(Programação!$E$4:$E$503,MATCH("Concluído|22",os_chave,0)),60)&amp;CHAR(10)&amp;"Prazo: "&amp;IF(ISNUMBER(INDEX(Programação!$F$4:$F$503,MATCH("Concluído|22",os_chave,0))),RIGHT("0"&amp;DAY(INDEX(Programação!$F$4:$F$503,MATCH("Concluído|22",os_chave,0))),2)&amp;"/"&amp;RIGHT("0"&amp;MONTH(INDEX(Programação!$F$4:$F$503,MATCH("Concluído|22",os_chave,0))),2)&amp;"/"&amp;YEAR(INDEX(Programação!$F$4:$F$503,MATCH("Concluído|22",os_chave,0))),"—")&amp;"  |  "&amp;INDEX(Programação!$J$4:$J$503,MATCH("Concluído|22",os_chave,0)),"")</f>
      </c>
      <c r="F26" s="46">
        <f>IFERROR(INDEX(Programação!$A$4:$A$503,MATCH("Backlog|22",os_chave,0))&amp;" — "&amp;INDEX(Programação!$C$4:$C$503,MATCH("Backlog|22",os_chave,0))&amp;CHAR(10)&amp;LEFT(INDEX(Programação!$E$4:$E$503,MATCH("Backlog|22",os_chave,0)),60)&amp;CHAR(10)&amp;"Prazo: "&amp;IF(ISNUMBER(INDEX(Programação!$F$4:$F$503,MATCH("Backlog|22",os_chave,0))),RIGHT("0"&amp;DAY(INDEX(Programação!$F$4:$F$503,MATCH("Backlog|22",os_chave,0))),2)&amp;"/"&amp;RIGHT("0"&amp;MONTH(INDEX(Programação!$F$4:$F$503,MATCH("Backlog|22",os_chave,0))),2)&amp;"/"&amp;YEAR(INDEX(Programação!$F$4:$F$503,MATCH("Backlog|22",os_chave,0))),"—")&amp;"  |  "&amp;INDEX(Programação!$J$4:$J$503,MATCH("Backlog|22",os_chave,0)),"")</f>
      </c>
    </row>
    <row r="27" ht="46" customHeight="1" spans="1:6" x14ac:dyDescent="0.25">
      <c r="A27" s="43">
        <v>23</v>
      </c>
      <c r="B27" s="46">
        <f>IFERROR(INDEX(Programação!$A$4:$A$503,MATCH("Programado|23",os_chave,0))&amp;" — "&amp;INDEX(Programação!$C$4:$C$503,MATCH("Programado|23",os_chave,0))&amp;CHAR(10)&amp;LEFT(INDEX(Programação!$E$4:$E$503,MATCH("Programado|23",os_chave,0)),60)&amp;CHAR(10)&amp;"Prazo: "&amp;IF(ISNUMBER(INDEX(Programação!$F$4:$F$503,MATCH("Programado|23",os_chave,0))),RIGHT("0"&amp;DAY(INDEX(Programação!$F$4:$F$503,MATCH("Programado|23",os_chave,0))),2)&amp;"/"&amp;RIGHT("0"&amp;MONTH(INDEX(Programação!$F$4:$F$503,MATCH("Programado|23",os_chave,0))),2)&amp;"/"&amp;YEAR(INDEX(Programação!$F$4:$F$503,MATCH("Programado|23",os_chave,0))),"—")&amp;"  |  "&amp;INDEX(Programação!$J$4:$J$503,MATCH("Programado|23",os_chave,0)),"")</f>
      </c>
      <c r="C27" s="46">
        <f>IFERROR(INDEX(Programação!$A$4:$A$503,MATCH("Em andamento|23",os_chave,0))&amp;" — "&amp;INDEX(Programação!$C$4:$C$503,MATCH("Em andamento|23",os_chave,0))&amp;CHAR(10)&amp;LEFT(INDEX(Programação!$E$4:$E$503,MATCH("Em andamento|23",os_chave,0)),60)&amp;CHAR(10)&amp;"Prazo: "&amp;IF(ISNUMBER(INDEX(Programação!$F$4:$F$503,MATCH("Em andamento|23",os_chave,0))),RIGHT("0"&amp;DAY(INDEX(Programação!$F$4:$F$503,MATCH("Em andamento|23",os_chave,0))),2)&amp;"/"&amp;RIGHT("0"&amp;MONTH(INDEX(Programação!$F$4:$F$503,MATCH("Em andamento|23",os_chave,0))),2)&amp;"/"&amp;YEAR(INDEX(Programação!$F$4:$F$503,MATCH("Em andamento|23",os_chave,0))),"—")&amp;"  |  "&amp;INDEX(Programação!$J$4:$J$503,MATCH("Em andamento|23",os_chave,0)),"")</f>
      </c>
      <c r="D27" s="46">
        <f>IFERROR(INDEX(Programação!$A$4:$A$503,MATCH("Atrasado|23",os_chave,0))&amp;" — "&amp;INDEX(Programação!$C$4:$C$503,MATCH("Atrasado|23",os_chave,0))&amp;CHAR(10)&amp;LEFT(INDEX(Programação!$E$4:$E$503,MATCH("Atrasado|23",os_chave,0)),60)&amp;CHAR(10)&amp;"Prazo: "&amp;IF(ISNUMBER(INDEX(Programação!$F$4:$F$503,MATCH("Atrasado|23",os_chave,0))),RIGHT("0"&amp;DAY(INDEX(Programação!$F$4:$F$503,MATCH("Atrasado|23",os_chave,0))),2)&amp;"/"&amp;RIGHT("0"&amp;MONTH(INDEX(Programação!$F$4:$F$503,MATCH("Atrasado|23",os_chave,0))),2)&amp;"/"&amp;YEAR(INDEX(Programação!$F$4:$F$503,MATCH("Atrasado|23",os_chave,0))),"—")&amp;"  |  "&amp;INDEX(Programação!$J$4:$J$503,MATCH("Atrasado|23",os_chave,0)),"")</f>
      </c>
      <c r="E27" s="46">
        <f>IFERROR(INDEX(Programação!$A$4:$A$503,MATCH("Concluído|23",os_chave,0))&amp;" — "&amp;INDEX(Programação!$C$4:$C$503,MATCH("Concluído|23",os_chave,0))&amp;CHAR(10)&amp;LEFT(INDEX(Programação!$E$4:$E$503,MATCH("Concluído|23",os_chave,0)),60)&amp;CHAR(10)&amp;"Prazo: "&amp;IF(ISNUMBER(INDEX(Programação!$F$4:$F$503,MATCH("Concluído|23",os_chave,0))),RIGHT("0"&amp;DAY(INDEX(Programação!$F$4:$F$503,MATCH("Concluído|23",os_chave,0))),2)&amp;"/"&amp;RIGHT("0"&amp;MONTH(INDEX(Programação!$F$4:$F$503,MATCH("Concluído|23",os_chave,0))),2)&amp;"/"&amp;YEAR(INDEX(Programação!$F$4:$F$503,MATCH("Concluído|23",os_chave,0))),"—")&amp;"  |  "&amp;INDEX(Programação!$J$4:$J$503,MATCH("Concluído|23",os_chave,0)),"")</f>
      </c>
      <c r="F27" s="46">
        <f>IFERROR(INDEX(Programação!$A$4:$A$503,MATCH("Backlog|23",os_chave,0))&amp;" — "&amp;INDEX(Programação!$C$4:$C$503,MATCH("Backlog|23",os_chave,0))&amp;CHAR(10)&amp;LEFT(INDEX(Programação!$E$4:$E$503,MATCH("Backlog|23",os_chave,0)),60)&amp;CHAR(10)&amp;"Prazo: "&amp;IF(ISNUMBER(INDEX(Programação!$F$4:$F$503,MATCH("Backlog|23",os_chave,0))),RIGHT("0"&amp;DAY(INDEX(Programação!$F$4:$F$503,MATCH("Backlog|23",os_chave,0))),2)&amp;"/"&amp;RIGHT("0"&amp;MONTH(INDEX(Programação!$F$4:$F$503,MATCH("Backlog|23",os_chave,0))),2)&amp;"/"&amp;YEAR(INDEX(Programação!$F$4:$F$503,MATCH("Backlog|23",os_chave,0))),"—")&amp;"  |  "&amp;INDEX(Programação!$J$4:$J$503,MATCH("Backlog|23",os_chave,0)),"")</f>
      </c>
    </row>
    <row r="28" ht="46" customHeight="1" spans="1:6" x14ac:dyDescent="0.25">
      <c r="A28" s="43">
        <v>24</v>
      </c>
      <c r="B28" s="46">
        <f>IFERROR(INDEX(Programação!$A$4:$A$503,MATCH("Programado|24",os_chave,0))&amp;" — "&amp;INDEX(Programação!$C$4:$C$503,MATCH("Programado|24",os_chave,0))&amp;CHAR(10)&amp;LEFT(INDEX(Programação!$E$4:$E$503,MATCH("Programado|24",os_chave,0)),60)&amp;CHAR(10)&amp;"Prazo: "&amp;IF(ISNUMBER(INDEX(Programação!$F$4:$F$503,MATCH("Programado|24",os_chave,0))),RIGHT("0"&amp;DAY(INDEX(Programação!$F$4:$F$503,MATCH("Programado|24",os_chave,0))),2)&amp;"/"&amp;RIGHT("0"&amp;MONTH(INDEX(Programação!$F$4:$F$503,MATCH("Programado|24",os_chave,0))),2)&amp;"/"&amp;YEAR(INDEX(Programação!$F$4:$F$503,MATCH("Programado|24",os_chave,0))),"—")&amp;"  |  "&amp;INDEX(Programação!$J$4:$J$503,MATCH("Programado|24",os_chave,0)),"")</f>
      </c>
      <c r="C28" s="46">
        <f>IFERROR(INDEX(Programação!$A$4:$A$503,MATCH("Em andamento|24",os_chave,0))&amp;" — "&amp;INDEX(Programação!$C$4:$C$503,MATCH("Em andamento|24",os_chave,0))&amp;CHAR(10)&amp;LEFT(INDEX(Programação!$E$4:$E$503,MATCH("Em andamento|24",os_chave,0)),60)&amp;CHAR(10)&amp;"Prazo: "&amp;IF(ISNUMBER(INDEX(Programação!$F$4:$F$503,MATCH("Em andamento|24",os_chave,0))),RIGHT("0"&amp;DAY(INDEX(Programação!$F$4:$F$503,MATCH("Em andamento|24",os_chave,0))),2)&amp;"/"&amp;RIGHT("0"&amp;MONTH(INDEX(Programação!$F$4:$F$503,MATCH("Em andamento|24",os_chave,0))),2)&amp;"/"&amp;YEAR(INDEX(Programação!$F$4:$F$503,MATCH("Em andamento|24",os_chave,0))),"—")&amp;"  |  "&amp;INDEX(Programação!$J$4:$J$503,MATCH("Em andamento|24",os_chave,0)),"")</f>
      </c>
      <c r="D28" s="46">
        <f>IFERROR(INDEX(Programação!$A$4:$A$503,MATCH("Atrasado|24",os_chave,0))&amp;" — "&amp;INDEX(Programação!$C$4:$C$503,MATCH("Atrasado|24",os_chave,0))&amp;CHAR(10)&amp;LEFT(INDEX(Programação!$E$4:$E$503,MATCH("Atrasado|24",os_chave,0)),60)&amp;CHAR(10)&amp;"Prazo: "&amp;IF(ISNUMBER(INDEX(Programação!$F$4:$F$503,MATCH("Atrasado|24",os_chave,0))),RIGHT("0"&amp;DAY(INDEX(Programação!$F$4:$F$503,MATCH("Atrasado|24",os_chave,0))),2)&amp;"/"&amp;RIGHT("0"&amp;MONTH(INDEX(Programação!$F$4:$F$503,MATCH("Atrasado|24",os_chave,0))),2)&amp;"/"&amp;YEAR(INDEX(Programação!$F$4:$F$503,MATCH("Atrasado|24",os_chave,0))),"—")&amp;"  |  "&amp;INDEX(Programação!$J$4:$J$503,MATCH("Atrasado|24",os_chave,0)),"")</f>
      </c>
      <c r="E28" s="46">
        <f>IFERROR(INDEX(Programação!$A$4:$A$503,MATCH("Concluído|24",os_chave,0))&amp;" — "&amp;INDEX(Programação!$C$4:$C$503,MATCH("Concluído|24",os_chave,0))&amp;CHAR(10)&amp;LEFT(INDEX(Programação!$E$4:$E$503,MATCH("Concluído|24",os_chave,0)),60)&amp;CHAR(10)&amp;"Prazo: "&amp;IF(ISNUMBER(INDEX(Programação!$F$4:$F$503,MATCH("Concluído|24",os_chave,0))),RIGHT("0"&amp;DAY(INDEX(Programação!$F$4:$F$503,MATCH("Concluído|24",os_chave,0))),2)&amp;"/"&amp;RIGHT("0"&amp;MONTH(INDEX(Programação!$F$4:$F$503,MATCH("Concluído|24",os_chave,0))),2)&amp;"/"&amp;YEAR(INDEX(Programação!$F$4:$F$503,MATCH("Concluído|24",os_chave,0))),"—")&amp;"  |  "&amp;INDEX(Programação!$J$4:$J$503,MATCH("Concluído|24",os_chave,0)),"")</f>
      </c>
      <c r="F28" s="46">
        <f>IFERROR(INDEX(Programação!$A$4:$A$503,MATCH("Backlog|24",os_chave,0))&amp;" — "&amp;INDEX(Programação!$C$4:$C$503,MATCH("Backlog|24",os_chave,0))&amp;CHAR(10)&amp;LEFT(INDEX(Programação!$E$4:$E$503,MATCH("Backlog|24",os_chave,0)),60)&amp;CHAR(10)&amp;"Prazo: "&amp;IF(ISNUMBER(INDEX(Programação!$F$4:$F$503,MATCH("Backlog|24",os_chave,0))),RIGHT("0"&amp;DAY(INDEX(Programação!$F$4:$F$503,MATCH("Backlog|24",os_chave,0))),2)&amp;"/"&amp;RIGHT("0"&amp;MONTH(INDEX(Programação!$F$4:$F$503,MATCH("Backlog|24",os_chave,0))),2)&amp;"/"&amp;YEAR(INDEX(Programação!$F$4:$F$503,MATCH("Backlog|24",os_chave,0))),"—")&amp;"  |  "&amp;INDEX(Programação!$J$4:$J$503,MATCH("Backlog|24",os_chave,0)),"")</f>
      </c>
    </row>
    <row r="29" ht="46" customHeight="1" spans="1:6" x14ac:dyDescent="0.25">
      <c r="A29" s="43">
        <v>25</v>
      </c>
      <c r="B29" s="46">
        <f>IFERROR(INDEX(Programação!$A$4:$A$503,MATCH("Programado|25",os_chave,0))&amp;" — "&amp;INDEX(Programação!$C$4:$C$503,MATCH("Programado|25",os_chave,0))&amp;CHAR(10)&amp;LEFT(INDEX(Programação!$E$4:$E$503,MATCH("Programado|25",os_chave,0)),60)&amp;CHAR(10)&amp;"Prazo: "&amp;IF(ISNUMBER(INDEX(Programação!$F$4:$F$503,MATCH("Programado|25",os_chave,0))),RIGHT("0"&amp;DAY(INDEX(Programação!$F$4:$F$503,MATCH("Programado|25",os_chave,0))),2)&amp;"/"&amp;RIGHT("0"&amp;MONTH(INDEX(Programação!$F$4:$F$503,MATCH("Programado|25",os_chave,0))),2)&amp;"/"&amp;YEAR(INDEX(Programação!$F$4:$F$503,MATCH("Programado|25",os_chave,0))),"—")&amp;"  |  "&amp;INDEX(Programação!$J$4:$J$503,MATCH("Programado|25",os_chave,0)),"")</f>
      </c>
      <c r="C29" s="46">
        <f>IFERROR(INDEX(Programação!$A$4:$A$503,MATCH("Em andamento|25",os_chave,0))&amp;" — "&amp;INDEX(Programação!$C$4:$C$503,MATCH("Em andamento|25",os_chave,0))&amp;CHAR(10)&amp;LEFT(INDEX(Programação!$E$4:$E$503,MATCH("Em andamento|25",os_chave,0)),60)&amp;CHAR(10)&amp;"Prazo: "&amp;IF(ISNUMBER(INDEX(Programação!$F$4:$F$503,MATCH("Em andamento|25",os_chave,0))),RIGHT("0"&amp;DAY(INDEX(Programação!$F$4:$F$503,MATCH("Em andamento|25",os_chave,0))),2)&amp;"/"&amp;RIGHT("0"&amp;MONTH(INDEX(Programação!$F$4:$F$503,MATCH("Em andamento|25",os_chave,0))),2)&amp;"/"&amp;YEAR(INDEX(Programação!$F$4:$F$503,MATCH("Em andamento|25",os_chave,0))),"—")&amp;"  |  "&amp;INDEX(Programação!$J$4:$J$503,MATCH("Em andamento|25",os_chave,0)),"")</f>
      </c>
      <c r="D29" s="46">
        <f>IFERROR(INDEX(Programação!$A$4:$A$503,MATCH("Atrasado|25",os_chave,0))&amp;" — "&amp;INDEX(Programação!$C$4:$C$503,MATCH("Atrasado|25",os_chave,0))&amp;CHAR(10)&amp;LEFT(INDEX(Programação!$E$4:$E$503,MATCH("Atrasado|25",os_chave,0)),60)&amp;CHAR(10)&amp;"Prazo: "&amp;IF(ISNUMBER(INDEX(Programação!$F$4:$F$503,MATCH("Atrasado|25",os_chave,0))),RIGHT("0"&amp;DAY(INDEX(Programação!$F$4:$F$503,MATCH("Atrasado|25",os_chave,0))),2)&amp;"/"&amp;RIGHT("0"&amp;MONTH(INDEX(Programação!$F$4:$F$503,MATCH("Atrasado|25",os_chave,0))),2)&amp;"/"&amp;YEAR(INDEX(Programação!$F$4:$F$503,MATCH("Atrasado|25",os_chave,0))),"—")&amp;"  |  "&amp;INDEX(Programação!$J$4:$J$503,MATCH("Atrasado|25",os_chave,0)),"")</f>
      </c>
      <c r="E29" s="46">
        <f>IFERROR(INDEX(Programação!$A$4:$A$503,MATCH("Concluído|25",os_chave,0))&amp;" — "&amp;INDEX(Programação!$C$4:$C$503,MATCH("Concluído|25",os_chave,0))&amp;CHAR(10)&amp;LEFT(INDEX(Programação!$E$4:$E$503,MATCH("Concluído|25",os_chave,0)),60)&amp;CHAR(10)&amp;"Prazo: "&amp;IF(ISNUMBER(INDEX(Programação!$F$4:$F$503,MATCH("Concluído|25",os_chave,0))),RIGHT("0"&amp;DAY(INDEX(Programação!$F$4:$F$503,MATCH("Concluído|25",os_chave,0))),2)&amp;"/"&amp;RIGHT("0"&amp;MONTH(INDEX(Programação!$F$4:$F$503,MATCH("Concluído|25",os_chave,0))),2)&amp;"/"&amp;YEAR(INDEX(Programação!$F$4:$F$503,MATCH("Concluído|25",os_chave,0))),"—")&amp;"  |  "&amp;INDEX(Programação!$J$4:$J$503,MATCH("Concluído|25",os_chave,0)),"")</f>
      </c>
      <c r="F29" s="46">
        <f>IFERROR(INDEX(Programação!$A$4:$A$503,MATCH("Backlog|25",os_chave,0))&amp;" — "&amp;INDEX(Programação!$C$4:$C$503,MATCH("Backlog|25",os_chave,0))&amp;CHAR(10)&amp;LEFT(INDEX(Programação!$E$4:$E$503,MATCH("Backlog|25",os_chave,0)),60)&amp;CHAR(10)&amp;"Prazo: "&amp;IF(ISNUMBER(INDEX(Programação!$F$4:$F$503,MATCH("Backlog|25",os_chave,0))),RIGHT("0"&amp;DAY(INDEX(Programação!$F$4:$F$503,MATCH("Backlog|25",os_chave,0))),2)&amp;"/"&amp;RIGHT("0"&amp;MONTH(INDEX(Programação!$F$4:$F$503,MATCH("Backlog|25",os_chave,0))),2)&amp;"/"&amp;YEAR(INDEX(Programação!$F$4:$F$503,MATCH("Backlog|25",os_chave,0))),"—")&amp;"  |  "&amp;INDEX(Programação!$J$4:$J$503,MATCH("Backlog|25",os_chave,0)),"")</f>
      </c>
    </row>
    <row r="30" ht="46" customHeight="1" spans="1:6" x14ac:dyDescent="0.25">
      <c r="A30" s="43">
        <v>26</v>
      </c>
      <c r="B30" s="46">
        <f>IFERROR(INDEX(Programação!$A$4:$A$503,MATCH("Programado|26",os_chave,0))&amp;" — "&amp;INDEX(Programação!$C$4:$C$503,MATCH("Programado|26",os_chave,0))&amp;CHAR(10)&amp;LEFT(INDEX(Programação!$E$4:$E$503,MATCH("Programado|26",os_chave,0)),60)&amp;CHAR(10)&amp;"Prazo: "&amp;IF(ISNUMBER(INDEX(Programação!$F$4:$F$503,MATCH("Programado|26",os_chave,0))),RIGHT("0"&amp;DAY(INDEX(Programação!$F$4:$F$503,MATCH("Programado|26",os_chave,0))),2)&amp;"/"&amp;RIGHT("0"&amp;MONTH(INDEX(Programação!$F$4:$F$503,MATCH("Programado|26",os_chave,0))),2)&amp;"/"&amp;YEAR(INDEX(Programação!$F$4:$F$503,MATCH("Programado|26",os_chave,0))),"—")&amp;"  |  "&amp;INDEX(Programação!$J$4:$J$503,MATCH("Programado|26",os_chave,0)),"")</f>
      </c>
      <c r="C30" s="46">
        <f>IFERROR(INDEX(Programação!$A$4:$A$503,MATCH("Em andamento|26",os_chave,0))&amp;" — "&amp;INDEX(Programação!$C$4:$C$503,MATCH("Em andamento|26",os_chave,0))&amp;CHAR(10)&amp;LEFT(INDEX(Programação!$E$4:$E$503,MATCH("Em andamento|26",os_chave,0)),60)&amp;CHAR(10)&amp;"Prazo: "&amp;IF(ISNUMBER(INDEX(Programação!$F$4:$F$503,MATCH("Em andamento|26",os_chave,0))),RIGHT("0"&amp;DAY(INDEX(Programação!$F$4:$F$503,MATCH("Em andamento|26",os_chave,0))),2)&amp;"/"&amp;RIGHT("0"&amp;MONTH(INDEX(Programação!$F$4:$F$503,MATCH("Em andamento|26",os_chave,0))),2)&amp;"/"&amp;YEAR(INDEX(Programação!$F$4:$F$503,MATCH("Em andamento|26",os_chave,0))),"—")&amp;"  |  "&amp;INDEX(Programação!$J$4:$J$503,MATCH("Em andamento|26",os_chave,0)),"")</f>
      </c>
      <c r="D30" s="46">
        <f>IFERROR(INDEX(Programação!$A$4:$A$503,MATCH("Atrasado|26",os_chave,0))&amp;" — "&amp;INDEX(Programação!$C$4:$C$503,MATCH("Atrasado|26",os_chave,0))&amp;CHAR(10)&amp;LEFT(INDEX(Programação!$E$4:$E$503,MATCH("Atrasado|26",os_chave,0)),60)&amp;CHAR(10)&amp;"Prazo: "&amp;IF(ISNUMBER(INDEX(Programação!$F$4:$F$503,MATCH("Atrasado|26",os_chave,0))),RIGHT("0"&amp;DAY(INDEX(Programação!$F$4:$F$503,MATCH("Atrasado|26",os_chave,0))),2)&amp;"/"&amp;RIGHT("0"&amp;MONTH(INDEX(Programação!$F$4:$F$503,MATCH("Atrasado|26",os_chave,0))),2)&amp;"/"&amp;YEAR(INDEX(Programação!$F$4:$F$503,MATCH("Atrasado|26",os_chave,0))),"—")&amp;"  |  "&amp;INDEX(Programação!$J$4:$J$503,MATCH("Atrasado|26",os_chave,0)),"")</f>
      </c>
      <c r="E30" s="46">
        <f>IFERROR(INDEX(Programação!$A$4:$A$503,MATCH("Concluído|26",os_chave,0))&amp;" — "&amp;INDEX(Programação!$C$4:$C$503,MATCH("Concluído|26",os_chave,0))&amp;CHAR(10)&amp;LEFT(INDEX(Programação!$E$4:$E$503,MATCH("Concluído|26",os_chave,0)),60)&amp;CHAR(10)&amp;"Prazo: "&amp;IF(ISNUMBER(INDEX(Programação!$F$4:$F$503,MATCH("Concluído|26",os_chave,0))),RIGHT("0"&amp;DAY(INDEX(Programação!$F$4:$F$503,MATCH("Concluído|26",os_chave,0))),2)&amp;"/"&amp;RIGHT("0"&amp;MONTH(INDEX(Programação!$F$4:$F$503,MATCH("Concluído|26",os_chave,0))),2)&amp;"/"&amp;YEAR(INDEX(Programação!$F$4:$F$503,MATCH("Concluído|26",os_chave,0))),"—")&amp;"  |  "&amp;INDEX(Programação!$J$4:$J$503,MATCH("Concluído|26",os_chave,0)),"")</f>
      </c>
      <c r="F30" s="46">
        <f>IFERROR(INDEX(Programação!$A$4:$A$503,MATCH("Backlog|26",os_chave,0))&amp;" — "&amp;INDEX(Programação!$C$4:$C$503,MATCH("Backlog|26",os_chave,0))&amp;CHAR(10)&amp;LEFT(INDEX(Programação!$E$4:$E$503,MATCH("Backlog|26",os_chave,0)),60)&amp;CHAR(10)&amp;"Prazo: "&amp;IF(ISNUMBER(INDEX(Programação!$F$4:$F$503,MATCH("Backlog|26",os_chave,0))),RIGHT("0"&amp;DAY(INDEX(Programação!$F$4:$F$503,MATCH("Backlog|26",os_chave,0))),2)&amp;"/"&amp;RIGHT("0"&amp;MONTH(INDEX(Programação!$F$4:$F$503,MATCH("Backlog|26",os_chave,0))),2)&amp;"/"&amp;YEAR(INDEX(Programação!$F$4:$F$503,MATCH("Backlog|26",os_chave,0))),"—")&amp;"  |  "&amp;INDEX(Programação!$J$4:$J$503,MATCH("Backlog|26",os_chave,0)),"")</f>
      </c>
    </row>
    <row r="31" ht="46" customHeight="1" spans="1:6" x14ac:dyDescent="0.25">
      <c r="A31" s="43">
        <v>27</v>
      </c>
      <c r="B31" s="46">
        <f>IFERROR(INDEX(Programação!$A$4:$A$503,MATCH("Programado|27",os_chave,0))&amp;" — "&amp;INDEX(Programação!$C$4:$C$503,MATCH("Programado|27",os_chave,0))&amp;CHAR(10)&amp;LEFT(INDEX(Programação!$E$4:$E$503,MATCH("Programado|27",os_chave,0)),60)&amp;CHAR(10)&amp;"Prazo: "&amp;IF(ISNUMBER(INDEX(Programação!$F$4:$F$503,MATCH("Programado|27",os_chave,0))),RIGHT("0"&amp;DAY(INDEX(Programação!$F$4:$F$503,MATCH("Programado|27",os_chave,0))),2)&amp;"/"&amp;RIGHT("0"&amp;MONTH(INDEX(Programação!$F$4:$F$503,MATCH("Programado|27",os_chave,0))),2)&amp;"/"&amp;YEAR(INDEX(Programação!$F$4:$F$503,MATCH("Programado|27",os_chave,0))),"—")&amp;"  |  "&amp;INDEX(Programação!$J$4:$J$503,MATCH("Programado|27",os_chave,0)),"")</f>
      </c>
      <c r="C31" s="46">
        <f>IFERROR(INDEX(Programação!$A$4:$A$503,MATCH("Em andamento|27",os_chave,0))&amp;" — "&amp;INDEX(Programação!$C$4:$C$503,MATCH("Em andamento|27",os_chave,0))&amp;CHAR(10)&amp;LEFT(INDEX(Programação!$E$4:$E$503,MATCH("Em andamento|27",os_chave,0)),60)&amp;CHAR(10)&amp;"Prazo: "&amp;IF(ISNUMBER(INDEX(Programação!$F$4:$F$503,MATCH("Em andamento|27",os_chave,0))),RIGHT("0"&amp;DAY(INDEX(Programação!$F$4:$F$503,MATCH("Em andamento|27",os_chave,0))),2)&amp;"/"&amp;RIGHT("0"&amp;MONTH(INDEX(Programação!$F$4:$F$503,MATCH("Em andamento|27",os_chave,0))),2)&amp;"/"&amp;YEAR(INDEX(Programação!$F$4:$F$503,MATCH("Em andamento|27",os_chave,0))),"—")&amp;"  |  "&amp;INDEX(Programação!$J$4:$J$503,MATCH("Em andamento|27",os_chave,0)),"")</f>
      </c>
      <c r="D31" s="46">
        <f>IFERROR(INDEX(Programação!$A$4:$A$503,MATCH("Atrasado|27",os_chave,0))&amp;" — "&amp;INDEX(Programação!$C$4:$C$503,MATCH("Atrasado|27",os_chave,0))&amp;CHAR(10)&amp;LEFT(INDEX(Programação!$E$4:$E$503,MATCH("Atrasado|27",os_chave,0)),60)&amp;CHAR(10)&amp;"Prazo: "&amp;IF(ISNUMBER(INDEX(Programação!$F$4:$F$503,MATCH("Atrasado|27",os_chave,0))),RIGHT("0"&amp;DAY(INDEX(Programação!$F$4:$F$503,MATCH("Atrasado|27",os_chave,0))),2)&amp;"/"&amp;RIGHT("0"&amp;MONTH(INDEX(Programação!$F$4:$F$503,MATCH("Atrasado|27",os_chave,0))),2)&amp;"/"&amp;YEAR(INDEX(Programação!$F$4:$F$503,MATCH("Atrasado|27",os_chave,0))),"—")&amp;"  |  "&amp;INDEX(Programação!$J$4:$J$503,MATCH("Atrasado|27",os_chave,0)),"")</f>
      </c>
      <c r="E31" s="46">
        <f>IFERROR(INDEX(Programação!$A$4:$A$503,MATCH("Concluído|27",os_chave,0))&amp;" — "&amp;INDEX(Programação!$C$4:$C$503,MATCH("Concluído|27",os_chave,0))&amp;CHAR(10)&amp;LEFT(INDEX(Programação!$E$4:$E$503,MATCH("Concluído|27",os_chave,0)),60)&amp;CHAR(10)&amp;"Prazo: "&amp;IF(ISNUMBER(INDEX(Programação!$F$4:$F$503,MATCH("Concluído|27",os_chave,0))),RIGHT("0"&amp;DAY(INDEX(Programação!$F$4:$F$503,MATCH("Concluído|27",os_chave,0))),2)&amp;"/"&amp;RIGHT("0"&amp;MONTH(INDEX(Programação!$F$4:$F$503,MATCH("Concluído|27",os_chave,0))),2)&amp;"/"&amp;YEAR(INDEX(Programação!$F$4:$F$503,MATCH("Concluído|27",os_chave,0))),"—")&amp;"  |  "&amp;INDEX(Programação!$J$4:$J$503,MATCH("Concluído|27",os_chave,0)),"")</f>
      </c>
      <c r="F31" s="46">
        <f>IFERROR(INDEX(Programação!$A$4:$A$503,MATCH("Backlog|27",os_chave,0))&amp;" — "&amp;INDEX(Programação!$C$4:$C$503,MATCH("Backlog|27",os_chave,0))&amp;CHAR(10)&amp;LEFT(INDEX(Programação!$E$4:$E$503,MATCH("Backlog|27",os_chave,0)),60)&amp;CHAR(10)&amp;"Prazo: "&amp;IF(ISNUMBER(INDEX(Programação!$F$4:$F$503,MATCH("Backlog|27",os_chave,0))),RIGHT("0"&amp;DAY(INDEX(Programação!$F$4:$F$503,MATCH("Backlog|27",os_chave,0))),2)&amp;"/"&amp;RIGHT("0"&amp;MONTH(INDEX(Programação!$F$4:$F$503,MATCH("Backlog|27",os_chave,0))),2)&amp;"/"&amp;YEAR(INDEX(Programação!$F$4:$F$503,MATCH("Backlog|27",os_chave,0))),"—")&amp;"  |  "&amp;INDEX(Programação!$J$4:$J$503,MATCH("Backlog|27",os_chave,0)),"")</f>
      </c>
    </row>
    <row r="32" ht="46" customHeight="1" spans="1:6" x14ac:dyDescent="0.25">
      <c r="A32" s="43">
        <v>28</v>
      </c>
      <c r="B32" s="46">
        <f>IFERROR(INDEX(Programação!$A$4:$A$503,MATCH("Programado|28",os_chave,0))&amp;" — "&amp;INDEX(Programação!$C$4:$C$503,MATCH("Programado|28",os_chave,0))&amp;CHAR(10)&amp;LEFT(INDEX(Programação!$E$4:$E$503,MATCH("Programado|28",os_chave,0)),60)&amp;CHAR(10)&amp;"Prazo: "&amp;IF(ISNUMBER(INDEX(Programação!$F$4:$F$503,MATCH("Programado|28",os_chave,0))),RIGHT("0"&amp;DAY(INDEX(Programação!$F$4:$F$503,MATCH("Programado|28",os_chave,0))),2)&amp;"/"&amp;RIGHT("0"&amp;MONTH(INDEX(Programação!$F$4:$F$503,MATCH("Programado|28",os_chave,0))),2)&amp;"/"&amp;YEAR(INDEX(Programação!$F$4:$F$503,MATCH("Programado|28",os_chave,0))),"—")&amp;"  |  "&amp;INDEX(Programação!$J$4:$J$503,MATCH("Programado|28",os_chave,0)),"")</f>
      </c>
      <c r="C32" s="46">
        <f>IFERROR(INDEX(Programação!$A$4:$A$503,MATCH("Em andamento|28",os_chave,0))&amp;" — "&amp;INDEX(Programação!$C$4:$C$503,MATCH("Em andamento|28",os_chave,0))&amp;CHAR(10)&amp;LEFT(INDEX(Programação!$E$4:$E$503,MATCH("Em andamento|28",os_chave,0)),60)&amp;CHAR(10)&amp;"Prazo: "&amp;IF(ISNUMBER(INDEX(Programação!$F$4:$F$503,MATCH("Em andamento|28",os_chave,0))),RIGHT("0"&amp;DAY(INDEX(Programação!$F$4:$F$503,MATCH("Em andamento|28",os_chave,0))),2)&amp;"/"&amp;RIGHT("0"&amp;MONTH(INDEX(Programação!$F$4:$F$503,MATCH("Em andamento|28",os_chave,0))),2)&amp;"/"&amp;YEAR(INDEX(Programação!$F$4:$F$503,MATCH("Em andamento|28",os_chave,0))),"—")&amp;"  |  "&amp;INDEX(Programação!$J$4:$J$503,MATCH("Em andamento|28",os_chave,0)),"")</f>
      </c>
      <c r="D32" s="46">
        <f>IFERROR(INDEX(Programação!$A$4:$A$503,MATCH("Atrasado|28",os_chave,0))&amp;" — "&amp;INDEX(Programação!$C$4:$C$503,MATCH("Atrasado|28",os_chave,0))&amp;CHAR(10)&amp;LEFT(INDEX(Programação!$E$4:$E$503,MATCH("Atrasado|28",os_chave,0)),60)&amp;CHAR(10)&amp;"Prazo: "&amp;IF(ISNUMBER(INDEX(Programação!$F$4:$F$503,MATCH("Atrasado|28",os_chave,0))),RIGHT("0"&amp;DAY(INDEX(Programação!$F$4:$F$503,MATCH("Atrasado|28",os_chave,0))),2)&amp;"/"&amp;RIGHT("0"&amp;MONTH(INDEX(Programação!$F$4:$F$503,MATCH("Atrasado|28",os_chave,0))),2)&amp;"/"&amp;YEAR(INDEX(Programação!$F$4:$F$503,MATCH("Atrasado|28",os_chave,0))),"—")&amp;"  |  "&amp;INDEX(Programação!$J$4:$J$503,MATCH("Atrasado|28",os_chave,0)),"")</f>
      </c>
      <c r="E32" s="46">
        <f>IFERROR(INDEX(Programação!$A$4:$A$503,MATCH("Concluído|28",os_chave,0))&amp;" — "&amp;INDEX(Programação!$C$4:$C$503,MATCH("Concluído|28",os_chave,0))&amp;CHAR(10)&amp;LEFT(INDEX(Programação!$E$4:$E$503,MATCH("Concluído|28",os_chave,0)),60)&amp;CHAR(10)&amp;"Prazo: "&amp;IF(ISNUMBER(INDEX(Programação!$F$4:$F$503,MATCH("Concluído|28",os_chave,0))),RIGHT("0"&amp;DAY(INDEX(Programação!$F$4:$F$503,MATCH("Concluído|28",os_chave,0))),2)&amp;"/"&amp;RIGHT("0"&amp;MONTH(INDEX(Programação!$F$4:$F$503,MATCH("Concluído|28",os_chave,0))),2)&amp;"/"&amp;YEAR(INDEX(Programação!$F$4:$F$503,MATCH("Concluído|28",os_chave,0))),"—")&amp;"  |  "&amp;INDEX(Programação!$J$4:$J$503,MATCH("Concluído|28",os_chave,0)),"")</f>
      </c>
      <c r="F32" s="46">
        <f>IFERROR(INDEX(Programação!$A$4:$A$503,MATCH("Backlog|28",os_chave,0))&amp;" — "&amp;INDEX(Programação!$C$4:$C$503,MATCH("Backlog|28",os_chave,0))&amp;CHAR(10)&amp;LEFT(INDEX(Programação!$E$4:$E$503,MATCH("Backlog|28",os_chave,0)),60)&amp;CHAR(10)&amp;"Prazo: "&amp;IF(ISNUMBER(INDEX(Programação!$F$4:$F$503,MATCH("Backlog|28",os_chave,0))),RIGHT("0"&amp;DAY(INDEX(Programação!$F$4:$F$503,MATCH("Backlog|28",os_chave,0))),2)&amp;"/"&amp;RIGHT("0"&amp;MONTH(INDEX(Programação!$F$4:$F$503,MATCH("Backlog|28",os_chave,0))),2)&amp;"/"&amp;YEAR(INDEX(Programação!$F$4:$F$503,MATCH("Backlog|28",os_chave,0))),"—")&amp;"  |  "&amp;INDEX(Programação!$J$4:$J$503,MATCH("Backlog|28",os_chave,0)),"")</f>
      </c>
    </row>
    <row r="33" ht="46" customHeight="1" spans="1:6" x14ac:dyDescent="0.25">
      <c r="A33" s="43">
        <v>29</v>
      </c>
      <c r="B33" s="46">
        <f>IFERROR(INDEX(Programação!$A$4:$A$503,MATCH("Programado|29",os_chave,0))&amp;" — "&amp;INDEX(Programação!$C$4:$C$503,MATCH("Programado|29",os_chave,0))&amp;CHAR(10)&amp;LEFT(INDEX(Programação!$E$4:$E$503,MATCH("Programado|29",os_chave,0)),60)&amp;CHAR(10)&amp;"Prazo: "&amp;IF(ISNUMBER(INDEX(Programação!$F$4:$F$503,MATCH("Programado|29",os_chave,0))),RIGHT("0"&amp;DAY(INDEX(Programação!$F$4:$F$503,MATCH("Programado|29",os_chave,0))),2)&amp;"/"&amp;RIGHT("0"&amp;MONTH(INDEX(Programação!$F$4:$F$503,MATCH("Programado|29",os_chave,0))),2)&amp;"/"&amp;YEAR(INDEX(Programação!$F$4:$F$503,MATCH("Programado|29",os_chave,0))),"—")&amp;"  |  "&amp;INDEX(Programação!$J$4:$J$503,MATCH("Programado|29",os_chave,0)),"")</f>
      </c>
      <c r="C33" s="46">
        <f>IFERROR(INDEX(Programação!$A$4:$A$503,MATCH("Em andamento|29",os_chave,0))&amp;" — "&amp;INDEX(Programação!$C$4:$C$503,MATCH("Em andamento|29",os_chave,0))&amp;CHAR(10)&amp;LEFT(INDEX(Programação!$E$4:$E$503,MATCH("Em andamento|29",os_chave,0)),60)&amp;CHAR(10)&amp;"Prazo: "&amp;IF(ISNUMBER(INDEX(Programação!$F$4:$F$503,MATCH("Em andamento|29",os_chave,0))),RIGHT("0"&amp;DAY(INDEX(Programação!$F$4:$F$503,MATCH("Em andamento|29",os_chave,0))),2)&amp;"/"&amp;RIGHT("0"&amp;MONTH(INDEX(Programação!$F$4:$F$503,MATCH("Em andamento|29",os_chave,0))),2)&amp;"/"&amp;YEAR(INDEX(Programação!$F$4:$F$503,MATCH("Em andamento|29",os_chave,0))),"—")&amp;"  |  "&amp;INDEX(Programação!$J$4:$J$503,MATCH("Em andamento|29",os_chave,0)),"")</f>
      </c>
      <c r="D33" s="46">
        <f>IFERROR(INDEX(Programação!$A$4:$A$503,MATCH("Atrasado|29",os_chave,0))&amp;" — "&amp;INDEX(Programação!$C$4:$C$503,MATCH("Atrasado|29",os_chave,0))&amp;CHAR(10)&amp;LEFT(INDEX(Programação!$E$4:$E$503,MATCH("Atrasado|29",os_chave,0)),60)&amp;CHAR(10)&amp;"Prazo: "&amp;IF(ISNUMBER(INDEX(Programação!$F$4:$F$503,MATCH("Atrasado|29",os_chave,0))),RIGHT("0"&amp;DAY(INDEX(Programação!$F$4:$F$503,MATCH("Atrasado|29",os_chave,0))),2)&amp;"/"&amp;RIGHT("0"&amp;MONTH(INDEX(Programação!$F$4:$F$503,MATCH("Atrasado|29",os_chave,0))),2)&amp;"/"&amp;YEAR(INDEX(Programação!$F$4:$F$503,MATCH("Atrasado|29",os_chave,0))),"—")&amp;"  |  "&amp;INDEX(Programação!$J$4:$J$503,MATCH("Atrasado|29",os_chave,0)),"")</f>
      </c>
      <c r="E33" s="46">
        <f>IFERROR(INDEX(Programação!$A$4:$A$503,MATCH("Concluído|29",os_chave,0))&amp;" — "&amp;INDEX(Programação!$C$4:$C$503,MATCH("Concluído|29",os_chave,0))&amp;CHAR(10)&amp;LEFT(INDEX(Programação!$E$4:$E$503,MATCH("Concluído|29",os_chave,0)),60)&amp;CHAR(10)&amp;"Prazo: "&amp;IF(ISNUMBER(INDEX(Programação!$F$4:$F$503,MATCH("Concluído|29",os_chave,0))),RIGHT("0"&amp;DAY(INDEX(Programação!$F$4:$F$503,MATCH("Concluído|29",os_chave,0))),2)&amp;"/"&amp;RIGHT("0"&amp;MONTH(INDEX(Programação!$F$4:$F$503,MATCH("Concluído|29",os_chave,0))),2)&amp;"/"&amp;YEAR(INDEX(Programação!$F$4:$F$503,MATCH("Concluído|29",os_chave,0))),"—")&amp;"  |  "&amp;INDEX(Programação!$J$4:$J$503,MATCH("Concluído|29",os_chave,0)),"")</f>
      </c>
      <c r="F33" s="46">
        <f>IFERROR(INDEX(Programação!$A$4:$A$503,MATCH("Backlog|29",os_chave,0))&amp;" — "&amp;INDEX(Programação!$C$4:$C$503,MATCH("Backlog|29",os_chave,0))&amp;CHAR(10)&amp;LEFT(INDEX(Programação!$E$4:$E$503,MATCH("Backlog|29",os_chave,0)),60)&amp;CHAR(10)&amp;"Prazo: "&amp;IF(ISNUMBER(INDEX(Programação!$F$4:$F$503,MATCH("Backlog|29",os_chave,0))),RIGHT("0"&amp;DAY(INDEX(Programação!$F$4:$F$503,MATCH("Backlog|29",os_chave,0))),2)&amp;"/"&amp;RIGHT("0"&amp;MONTH(INDEX(Programação!$F$4:$F$503,MATCH("Backlog|29",os_chave,0))),2)&amp;"/"&amp;YEAR(INDEX(Programação!$F$4:$F$503,MATCH("Backlog|29",os_chave,0))),"—")&amp;"  |  "&amp;INDEX(Programação!$J$4:$J$503,MATCH("Backlog|29",os_chave,0)),"")</f>
      </c>
    </row>
    <row r="34" ht="46" customHeight="1" spans="1:6" x14ac:dyDescent="0.25">
      <c r="A34" s="43">
        <v>30</v>
      </c>
      <c r="B34" s="46">
        <f>IFERROR(INDEX(Programação!$A$4:$A$503,MATCH("Programado|30",os_chave,0))&amp;" — "&amp;INDEX(Programação!$C$4:$C$503,MATCH("Programado|30",os_chave,0))&amp;CHAR(10)&amp;LEFT(INDEX(Programação!$E$4:$E$503,MATCH("Programado|30",os_chave,0)),60)&amp;CHAR(10)&amp;"Prazo: "&amp;IF(ISNUMBER(INDEX(Programação!$F$4:$F$503,MATCH("Programado|30",os_chave,0))),RIGHT("0"&amp;DAY(INDEX(Programação!$F$4:$F$503,MATCH("Programado|30",os_chave,0))),2)&amp;"/"&amp;RIGHT("0"&amp;MONTH(INDEX(Programação!$F$4:$F$503,MATCH("Programado|30",os_chave,0))),2)&amp;"/"&amp;YEAR(INDEX(Programação!$F$4:$F$503,MATCH("Programado|30",os_chave,0))),"—")&amp;"  |  "&amp;INDEX(Programação!$J$4:$J$503,MATCH("Programado|30",os_chave,0)),"")</f>
      </c>
      <c r="C34" s="46">
        <f>IFERROR(INDEX(Programação!$A$4:$A$503,MATCH("Em andamento|30",os_chave,0))&amp;" — "&amp;INDEX(Programação!$C$4:$C$503,MATCH("Em andamento|30",os_chave,0))&amp;CHAR(10)&amp;LEFT(INDEX(Programação!$E$4:$E$503,MATCH("Em andamento|30",os_chave,0)),60)&amp;CHAR(10)&amp;"Prazo: "&amp;IF(ISNUMBER(INDEX(Programação!$F$4:$F$503,MATCH("Em andamento|30",os_chave,0))),RIGHT("0"&amp;DAY(INDEX(Programação!$F$4:$F$503,MATCH("Em andamento|30",os_chave,0))),2)&amp;"/"&amp;RIGHT("0"&amp;MONTH(INDEX(Programação!$F$4:$F$503,MATCH("Em andamento|30",os_chave,0))),2)&amp;"/"&amp;YEAR(INDEX(Programação!$F$4:$F$503,MATCH("Em andamento|30",os_chave,0))),"—")&amp;"  |  "&amp;INDEX(Programação!$J$4:$J$503,MATCH("Em andamento|30",os_chave,0)),"")</f>
      </c>
      <c r="D34" s="46">
        <f>IFERROR(INDEX(Programação!$A$4:$A$503,MATCH("Atrasado|30",os_chave,0))&amp;" — "&amp;INDEX(Programação!$C$4:$C$503,MATCH("Atrasado|30",os_chave,0))&amp;CHAR(10)&amp;LEFT(INDEX(Programação!$E$4:$E$503,MATCH("Atrasado|30",os_chave,0)),60)&amp;CHAR(10)&amp;"Prazo: "&amp;IF(ISNUMBER(INDEX(Programação!$F$4:$F$503,MATCH("Atrasado|30",os_chave,0))),RIGHT("0"&amp;DAY(INDEX(Programação!$F$4:$F$503,MATCH("Atrasado|30",os_chave,0))),2)&amp;"/"&amp;RIGHT("0"&amp;MONTH(INDEX(Programação!$F$4:$F$503,MATCH("Atrasado|30",os_chave,0))),2)&amp;"/"&amp;YEAR(INDEX(Programação!$F$4:$F$503,MATCH("Atrasado|30",os_chave,0))),"—")&amp;"  |  "&amp;INDEX(Programação!$J$4:$J$503,MATCH("Atrasado|30",os_chave,0)),"")</f>
      </c>
      <c r="E34" s="46">
        <f>IFERROR(INDEX(Programação!$A$4:$A$503,MATCH("Concluído|30",os_chave,0))&amp;" — "&amp;INDEX(Programação!$C$4:$C$503,MATCH("Concluído|30",os_chave,0))&amp;CHAR(10)&amp;LEFT(INDEX(Programação!$E$4:$E$503,MATCH("Concluído|30",os_chave,0)),60)&amp;CHAR(10)&amp;"Prazo: "&amp;IF(ISNUMBER(INDEX(Programação!$F$4:$F$503,MATCH("Concluído|30",os_chave,0))),RIGHT("0"&amp;DAY(INDEX(Programação!$F$4:$F$503,MATCH("Concluído|30",os_chave,0))),2)&amp;"/"&amp;RIGHT("0"&amp;MONTH(INDEX(Programação!$F$4:$F$503,MATCH("Concluído|30",os_chave,0))),2)&amp;"/"&amp;YEAR(INDEX(Programação!$F$4:$F$503,MATCH("Concluído|30",os_chave,0))),"—")&amp;"  |  "&amp;INDEX(Programação!$J$4:$J$503,MATCH("Concluído|30",os_chave,0)),"")</f>
      </c>
      <c r="F34" s="46">
        <f>IFERROR(INDEX(Programação!$A$4:$A$503,MATCH("Backlog|30",os_chave,0))&amp;" — "&amp;INDEX(Programação!$C$4:$C$503,MATCH("Backlog|30",os_chave,0))&amp;CHAR(10)&amp;LEFT(INDEX(Programação!$E$4:$E$503,MATCH("Backlog|30",os_chave,0)),60)&amp;CHAR(10)&amp;"Prazo: "&amp;IF(ISNUMBER(INDEX(Programação!$F$4:$F$503,MATCH("Backlog|30",os_chave,0))),RIGHT("0"&amp;DAY(INDEX(Programação!$F$4:$F$503,MATCH("Backlog|30",os_chave,0))),2)&amp;"/"&amp;RIGHT("0"&amp;MONTH(INDEX(Programação!$F$4:$F$503,MATCH("Backlog|30",os_chave,0))),2)&amp;"/"&amp;YEAR(INDEX(Programação!$F$4:$F$503,MATCH("Backlog|30",os_chave,0))),"—")&amp;"  |  "&amp;INDEX(Programação!$J$4:$J$503,MATCH("Backlog|30",os_chave,0)),"")</f>
      </c>
    </row>
  </sheetData>
  <sheetProtection sheet="1" formatColumns="0" formatRows="0" autoFilter="0"/>
  <mergeCells count="3">
    <mergeCell ref="A1:B2"/>
    <mergeCell ref="C1:E2"/>
    <mergeCell ref="A4:F4"/>
  </mergeCells>
  <conditionalFormatting sqref="B5:B34">
    <cfRule type="expression" dxfId="44" priority="1">
      <formula>B5&lt;&gt;""</formula>
    </cfRule>
  </conditionalFormatting>
  <conditionalFormatting sqref="C5:C34">
    <cfRule type="expression" dxfId="45" priority="1">
      <formula>C5&lt;&gt;""</formula>
    </cfRule>
  </conditionalFormatting>
  <conditionalFormatting sqref="D5:D34">
    <cfRule type="expression" dxfId="46" priority="1">
      <formula>D5&lt;&gt;""</formula>
    </cfRule>
  </conditionalFormatting>
  <conditionalFormatting sqref="E5:E34">
    <cfRule type="expression" dxfId="47" priority="1">
      <formula>E5&lt;&gt;""</formula>
    </cfRule>
  </conditionalFormatting>
  <conditionalFormatting sqref="F5:F34">
    <cfRule type="expression" dxfId="48" priority="1">
      <formula>F5&lt;&gt;""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7" width="16" customWidth="1"/>
  </cols>
  <sheetData>
    <row r="1" ht="36" customHeight="1" spans="1:7" x14ac:dyDescent="0.25">
      <c r="A1" s="1"/>
      <c r="B1" s="1"/>
      <c r="C1" s="2" t="s">
        <v>168</v>
      </c>
      <c r="D1" s="2"/>
      <c r="E1" s="2"/>
      <c r="F1" s="2"/>
      <c r="G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7" x14ac:dyDescent="0.25">
      <c r="A2" s="1"/>
      <c r="B2" s="1"/>
      <c r="C2" s="2"/>
      <c r="D2" s="2"/>
      <c r="E2" s="2"/>
      <c r="F2" s="2"/>
      <c r="G2" s="4">
        <f>"Elaborado: "&amp;IF(cfg_elaborado="","A definir",cfg_elaborado)&amp;CHAR(10)&amp;"Aprovado: "&amp;IF(cfg_aprovado="","A definir",cfg_aprovado)</f>
      </c>
    </row>
    <row r="3" ht="8" customHeight="1" x14ac:dyDescent="0.25"/>
    <row r="4" ht="22" customHeight="1" spans="1:7" x14ac:dyDescent="0.25">
      <c r="A4" s="9" t="s">
        <v>169</v>
      </c>
      <c r="B4" s="47"/>
      <c r="C4" s="9" t="s">
        <v>170</v>
      </c>
      <c r="D4" s="47"/>
      <c r="E4" s="19">
        <f>IF(AND(ISNUMBER(B4),ISNUMBER(D4)),"Mês exibido: "&amp;B4&amp;"/"&amp;D4,"Vazio = mês atual: "&amp;MONTH(TODAY())&amp;"/"&amp;YEAR(TODAY()))</f>
      </c>
      <c r="F4" s="19"/>
      <c r="G4" s="19"/>
    </row>
    <row r="5" ht="8" customHeight="1" x14ac:dyDescent="0.25"/>
    <row r="6" ht="22" customHeight="1" spans="1:7" x14ac:dyDescent="0.25">
      <c r="A6" s="8" t="s">
        <v>171</v>
      </c>
      <c r="B6" s="8" t="s">
        <v>172</v>
      </c>
      <c r="C6" s="8" t="s">
        <v>173</v>
      </c>
      <c r="D6" s="8" t="s">
        <v>174</v>
      </c>
      <c r="E6" s="8" t="s">
        <v>175</v>
      </c>
      <c r="F6" s="8" t="s">
        <v>176</v>
      </c>
      <c r="G6" s="8" t="s">
        <v>177</v>
      </c>
    </row>
    <row r="7" ht="48" customHeight="1" spans="1:7" x14ac:dyDescent="0.25">
      <c r="A7" s="48">
        <f>IF(MONTH(DATE(IF(ISNUMBER(cal_ano),cal_ano,YEAR(TODAY())),IF(ISNUMBER(cal_mes),cal_mes,MONTH(TODAY())),1)-(WEEKDAY(DATE(IF(ISNUMBER(cal_ano),cal_ano,YEAR(TODAY())),IF(ISNUMBER(cal_mes),cal_mes,MONTH(TODAY())),1),2)-1)+0)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+0),2)&amp;IF(COUNTIF(Programação!$F$4:$F$503,DATE(IF(ISNUMBER(cal_ano),cal_ano,YEAR(TODAY())),IF(ISNUMBER(cal_mes),cal_mes,MONTH(TODAY())),1)-(WEEKDAY(DATE(IF(ISNUMBER(cal_ano),cal_ano,YEAR(TODAY())),IF(ISNUMBER(cal_mes),cal_mes,MONTH(TODAY())),1),2)-1)+0)=0,"",CHAR(10)&amp;COUNTIF(Programação!$F$4:$F$503,DATE(IF(ISNUMBER(cal_ano),cal_ano,YEAR(TODAY())),IF(ISNUMBER(cal_mes),cal_mes,MONTH(TODAY())),1)-(WEEKDAY(DATE(IF(ISNUMBER(cal_ano),cal_ano,YEAR(TODAY())),IF(ISNUMBER(cal_mes),cal_mes,MONTH(TODAY())),1),2)-1)+0)&amp;" OS"))</f>
      </c>
      <c r="B7" s="48">
        <f>IF(MONTH(DATE(IF(ISNUMBER(cal_ano),cal_ano,YEAR(TODAY())),IF(ISNUMBER(cal_mes),cal_mes,MONTH(TODAY())),1)-(WEEKDAY(DATE(IF(ISNUMBER(cal_ano),cal_ano,YEAR(TODAY())),IF(ISNUMBER(cal_mes),cal_mes,MONTH(TODAY())),1),2)-1)+1)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+1),2)&amp;IF(COUNTIF(Programação!$F$4:$F$503,DATE(IF(ISNUMBER(cal_ano),cal_ano,YEAR(TODAY())),IF(ISNUMBER(cal_mes),cal_mes,MONTH(TODAY())),1)-(WEEKDAY(DATE(IF(ISNUMBER(cal_ano),cal_ano,YEAR(TODAY())),IF(ISNUMBER(cal_mes),cal_mes,MONTH(TODAY())),1),2)-1)+1)=0,"",CHAR(10)&amp;COUNTIF(Programação!$F$4:$F$503,DATE(IF(ISNUMBER(cal_ano),cal_ano,YEAR(TODAY())),IF(ISNUMBER(cal_mes),cal_mes,MONTH(TODAY())),1)-(WEEKDAY(DATE(IF(ISNUMBER(cal_ano),cal_ano,YEAR(TODAY())),IF(ISNUMBER(cal_mes),cal_mes,MONTH(TODAY())),1),2)-1)+1)&amp;" OS"))</f>
      </c>
      <c r="C7" s="48">
        <f>IF(MONTH(DATE(IF(ISNUMBER(cal_ano),cal_ano,YEAR(TODAY())),IF(ISNUMBER(cal_mes),cal_mes,MONTH(TODAY())),1)-(WEEKDAY(DATE(IF(ISNUMBER(cal_ano),cal_ano,YEAR(TODAY())),IF(ISNUMBER(cal_mes),cal_mes,MONTH(TODAY())),1),2)-1)+2)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+2),2)&amp;IF(COUNTIF(Programação!$F$4:$F$503,DATE(IF(ISNUMBER(cal_ano),cal_ano,YEAR(TODAY())),IF(ISNUMBER(cal_mes),cal_mes,MONTH(TODAY())),1)-(WEEKDAY(DATE(IF(ISNUMBER(cal_ano),cal_ano,YEAR(TODAY())),IF(ISNUMBER(cal_mes),cal_mes,MONTH(TODAY())),1),2)-1)+2)=0,"",CHAR(10)&amp;COUNTIF(Programação!$F$4:$F$503,DATE(IF(ISNUMBER(cal_ano),cal_ano,YEAR(TODAY())),IF(ISNUMBER(cal_mes),cal_mes,MONTH(TODAY())),1)-(WEEKDAY(DATE(IF(ISNUMBER(cal_ano),cal_ano,YEAR(TODAY())),IF(ISNUMBER(cal_mes),cal_mes,MONTH(TODAY())),1),2)-1)+2)&amp;" OS"))</f>
      </c>
      <c r="D7" s="48">
        <f>IF(MONTH(DATE(IF(ISNUMBER(cal_ano),cal_ano,YEAR(TODAY())),IF(ISNUMBER(cal_mes),cal_mes,MONTH(TODAY())),1)-(WEEKDAY(DATE(IF(ISNUMBER(cal_ano),cal_ano,YEAR(TODAY())),IF(ISNUMBER(cal_mes),cal_mes,MONTH(TODAY())),1),2)-1)+3)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+3),2)&amp;IF(COUNTIF(Programação!$F$4:$F$503,DATE(IF(ISNUMBER(cal_ano),cal_ano,YEAR(TODAY())),IF(ISNUMBER(cal_mes),cal_mes,MONTH(TODAY())),1)-(WEEKDAY(DATE(IF(ISNUMBER(cal_ano),cal_ano,YEAR(TODAY())),IF(ISNUMBER(cal_mes),cal_mes,MONTH(TODAY())),1),2)-1)+3)=0,"",CHAR(10)&amp;COUNTIF(Programação!$F$4:$F$503,DATE(IF(ISNUMBER(cal_ano),cal_ano,YEAR(TODAY())),IF(ISNUMBER(cal_mes),cal_mes,MONTH(TODAY())),1)-(WEEKDAY(DATE(IF(ISNUMBER(cal_ano),cal_ano,YEAR(TODAY())),IF(ISNUMBER(cal_mes),cal_mes,MONTH(TODAY())),1),2)-1)+3)&amp;" OS"))</f>
      </c>
      <c r="E7" s="48">
        <f>IF(MONTH(DATE(IF(ISNUMBER(cal_ano),cal_ano,YEAR(TODAY())),IF(ISNUMBER(cal_mes),cal_mes,MONTH(TODAY())),1)-(WEEKDAY(DATE(IF(ISNUMBER(cal_ano),cal_ano,YEAR(TODAY())),IF(ISNUMBER(cal_mes),cal_mes,MONTH(TODAY())),1),2)-1)+4)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+4),2)&amp;IF(COUNTIF(Programação!$F$4:$F$503,DATE(IF(ISNUMBER(cal_ano),cal_ano,YEAR(TODAY())),IF(ISNUMBER(cal_mes),cal_mes,MONTH(TODAY())),1)-(WEEKDAY(DATE(IF(ISNUMBER(cal_ano),cal_ano,YEAR(TODAY())),IF(ISNUMBER(cal_mes),cal_mes,MONTH(TODAY())),1),2)-1)+4)=0,"",CHAR(10)&amp;COUNTIF(Programação!$F$4:$F$503,DATE(IF(ISNUMBER(cal_ano),cal_ano,YEAR(TODAY())),IF(ISNUMBER(cal_mes),cal_mes,MONTH(TODAY())),1)-(WEEKDAY(DATE(IF(ISNUMBER(cal_ano),cal_ano,YEAR(TODAY())),IF(ISNUMBER(cal_mes),cal_mes,MONTH(TODAY())),1),2)-1)+4)&amp;" OS"))</f>
      </c>
      <c r="F7" s="48">
        <f>IF(MONTH(DATE(IF(ISNUMBER(cal_ano),cal_ano,YEAR(TODAY())),IF(ISNUMBER(cal_mes),cal_mes,MONTH(TODAY())),1)-(WEEKDAY(DATE(IF(ISNUMBER(cal_ano),cal_ano,YEAR(TODAY())),IF(ISNUMBER(cal_mes),cal_mes,MONTH(TODAY())),1),2)-1)+5)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+5),2)&amp;IF(COUNTIF(Programação!$F$4:$F$503,DATE(IF(ISNUMBER(cal_ano),cal_ano,YEAR(TODAY())),IF(ISNUMBER(cal_mes),cal_mes,MONTH(TODAY())),1)-(WEEKDAY(DATE(IF(ISNUMBER(cal_ano),cal_ano,YEAR(TODAY())),IF(ISNUMBER(cal_mes),cal_mes,MONTH(TODAY())),1),2)-1)+5)=0,"",CHAR(10)&amp;COUNTIF(Programação!$F$4:$F$503,DATE(IF(ISNUMBER(cal_ano),cal_ano,YEAR(TODAY())),IF(ISNUMBER(cal_mes),cal_mes,MONTH(TODAY())),1)-(WEEKDAY(DATE(IF(ISNUMBER(cal_ano),cal_ano,YEAR(TODAY())),IF(ISNUMBER(cal_mes),cal_mes,MONTH(TODAY())),1),2)-1)+5)&amp;" OS"))</f>
      </c>
      <c r="G7" s="48">
        <f>IF(MONTH(DATE(IF(ISNUMBER(cal_ano),cal_ano,YEAR(TODAY())),IF(ISNUMBER(cal_mes),cal_mes,MONTH(TODAY())),1)-(WEEKDAY(DATE(IF(ISNUMBER(cal_ano),cal_ano,YEAR(TODAY())),IF(ISNUMBER(cal_mes),cal_mes,MONTH(TODAY())),1),2)-1)+6)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+6),2)&amp;IF(COUNTIF(Programação!$F$4:$F$503,DATE(IF(ISNUMBER(cal_ano),cal_ano,YEAR(TODAY())),IF(ISNUMBER(cal_mes),cal_mes,MONTH(TODAY())),1)-(WEEKDAY(DATE(IF(ISNUMBER(cal_ano),cal_ano,YEAR(TODAY())),IF(ISNUMBER(cal_mes),cal_mes,MONTH(TODAY())),1),2)-1)+6)=0,"",CHAR(10)&amp;COUNTIF(Programação!$F$4:$F$503,DATE(IF(ISNUMBER(cal_ano),cal_ano,YEAR(TODAY())),IF(ISNUMBER(cal_mes),cal_mes,MONTH(TODAY())),1)-(WEEKDAY(DATE(IF(ISNUMBER(cal_ano),cal_ano,YEAR(TODAY())),IF(ISNUMBER(cal_mes),cal_mes,MONTH(TODAY())),1),2)-1)+6)&amp;" OS"))</f>
      </c>
    </row>
    <row r="8" ht="48" customHeight="1" spans="1:7" x14ac:dyDescent="0.25">
      <c r="A8" s="48">
        <f>IF(MONTH(DATE(IF(ISNUMBER(cal_ano),cal_ano,YEAR(TODAY())),IF(ISNUMBER(cal_mes),cal_mes,MONTH(TODAY())),1)-(WEEKDAY(DATE(IF(ISNUMBER(cal_ano),cal_ano,YEAR(TODAY())),IF(ISNUMBER(cal_mes),cal_mes,MONTH(TODAY())),1),2)-1)+7)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+7),2)&amp;IF(COUNTIF(Programação!$F$4:$F$503,DATE(IF(ISNUMBER(cal_ano),cal_ano,YEAR(TODAY())),IF(ISNUMBER(cal_mes),cal_mes,MONTH(TODAY())),1)-(WEEKDAY(DATE(IF(ISNUMBER(cal_ano),cal_ano,YEAR(TODAY())),IF(ISNUMBER(cal_mes),cal_mes,MONTH(TODAY())),1),2)-1)+7)=0,"",CHAR(10)&amp;COUNTIF(Programação!$F$4:$F$503,DATE(IF(ISNUMBER(cal_ano),cal_ano,YEAR(TODAY())),IF(ISNUMBER(cal_mes),cal_mes,MONTH(TODAY())),1)-(WEEKDAY(DATE(IF(ISNUMBER(cal_ano),cal_ano,YEAR(TODAY())),IF(ISNUMBER(cal_mes),cal_mes,MONTH(TODAY())),1),2)-1)+7)&amp;" OS"))</f>
      </c>
      <c r="B8" s="48">
        <f>IF(MONTH(DATE(IF(ISNUMBER(cal_ano),cal_ano,YEAR(TODAY())),IF(ISNUMBER(cal_mes),cal_mes,MONTH(TODAY())),1)-(WEEKDAY(DATE(IF(ISNUMBER(cal_ano),cal_ano,YEAR(TODAY())),IF(ISNUMBER(cal_mes),cal_mes,MONTH(TODAY())),1),2)-1)+8)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+8),2)&amp;IF(COUNTIF(Programação!$F$4:$F$503,DATE(IF(ISNUMBER(cal_ano),cal_ano,YEAR(TODAY())),IF(ISNUMBER(cal_mes),cal_mes,MONTH(TODAY())),1)-(WEEKDAY(DATE(IF(ISNUMBER(cal_ano),cal_ano,YEAR(TODAY())),IF(ISNUMBER(cal_mes),cal_mes,MONTH(TODAY())),1),2)-1)+8)=0,"",CHAR(10)&amp;COUNTIF(Programação!$F$4:$F$503,DATE(IF(ISNUMBER(cal_ano),cal_ano,YEAR(TODAY())),IF(ISNUMBER(cal_mes),cal_mes,MONTH(TODAY())),1)-(WEEKDAY(DATE(IF(ISNUMBER(cal_ano),cal_ano,YEAR(TODAY())),IF(ISNUMBER(cal_mes),cal_mes,MONTH(TODAY())),1),2)-1)+8)&amp;" OS"))</f>
      </c>
      <c r="C8" s="48">
        <f>IF(MONTH(DATE(IF(ISNUMBER(cal_ano),cal_ano,YEAR(TODAY())),IF(ISNUMBER(cal_mes),cal_mes,MONTH(TODAY())),1)-(WEEKDAY(DATE(IF(ISNUMBER(cal_ano),cal_ano,YEAR(TODAY())),IF(ISNUMBER(cal_mes),cal_mes,MONTH(TODAY())),1),2)-1)+9)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+9),2)&amp;IF(COUNTIF(Programação!$F$4:$F$503,DATE(IF(ISNUMBER(cal_ano),cal_ano,YEAR(TODAY())),IF(ISNUMBER(cal_mes),cal_mes,MONTH(TODAY())),1)-(WEEKDAY(DATE(IF(ISNUMBER(cal_ano),cal_ano,YEAR(TODAY())),IF(ISNUMBER(cal_mes),cal_mes,MONTH(TODAY())),1),2)-1)+9)=0,"",CHAR(10)&amp;COUNTIF(Programação!$F$4:$F$503,DATE(IF(ISNUMBER(cal_ano),cal_ano,YEAR(TODAY())),IF(ISNUMBER(cal_mes),cal_mes,MONTH(TODAY())),1)-(WEEKDAY(DATE(IF(ISNUMBER(cal_ano),cal_ano,YEAR(TODAY())),IF(ISNUMBER(cal_mes),cal_mes,MONTH(TODAY())),1),2)-1)+9)&amp;" OS"))</f>
      </c>
      <c r="D8" s="48">
        <f>IF(MONTH(DATE(IF(ISNUMBER(cal_ano),cal_ano,YEAR(TODAY())),IF(ISNUMBER(cal_mes),cal_mes,MONTH(TODAY())),1)-(WEEKDAY(DATE(IF(ISNUMBER(cal_ano),cal_ano,YEAR(TODAY())),IF(ISNUMBER(cal_mes),cal_mes,MONTH(TODAY())),1),2)-1)+10)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+10),2)&amp;IF(COUNTIF(Programação!$F$4:$F$503,DATE(IF(ISNUMBER(cal_ano),cal_ano,YEAR(TODAY())),IF(ISNUMBER(cal_mes),cal_mes,MONTH(TODAY())),1)-(WEEKDAY(DATE(IF(ISNUMBER(cal_ano),cal_ano,YEAR(TODAY())),IF(ISNUMBER(cal_mes),cal_mes,MONTH(TODAY())),1),2)-1)+10)=0,"",CHAR(10)&amp;COUNTIF(Programação!$F$4:$F$503,DATE(IF(ISNUMBER(cal_ano),cal_ano,YEAR(TODAY())),IF(ISNUMBER(cal_mes),cal_mes,MONTH(TODAY())),1)-(WEEKDAY(DATE(IF(ISNUMBER(cal_ano),cal_ano,YEAR(TODAY())),IF(ISNUMBER(cal_mes),cal_mes,MONTH(TODAY())),1),2)-1)+10)&amp;" OS"))</f>
      </c>
      <c r="E8" s="48">
        <f>IF(MONTH(DATE(IF(ISNUMBER(cal_ano),cal_ano,YEAR(TODAY())),IF(ISNUMBER(cal_mes),cal_mes,MONTH(TODAY())),1)-(WEEKDAY(DATE(IF(ISNUMBER(cal_ano),cal_ano,YEAR(TODAY())),IF(ISNUMBER(cal_mes),cal_mes,MONTH(TODAY())),1),2)-1)+11)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+11),2)&amp;IF(COUNTIF(Programação!$F$4:$F$503,DATE(IF(ISNUMBER(cal_ano),cal_ano,YEAR(TODAY())),IF(ISNUMBER(cal_mes),cal_mes,MONTH(TODAY())),1)-(WEEKDAY(DATE(IF(ISNUMBER(cal_ano),cal_ano,YEAR(TODAY())),IF(ISNUMBER(cal_mes),cal_mes,MONTH(TODAY())),1),2)-1)+11)=0,"",CHAR(10)&amp;COUNTIF(Programação!$F$4:$F$503,DATE(IF(ISNUMBER(cal_ano),cal_ano,YEAR(TODAY())),IF(ISNUMBER(cal_mes),cal_mes,MONTH(TODAY())),1)-(WEEKDAY(DATE(IF(ISNUMBER(cal_ano),cal_ano,YEAR(TODAY())),IF(ISNUMBER(cal_mes),cal_mes,MONTH(TODAY())),1),2)-1)+11)&amp;" OS"))</f>
      </c>
      <c r="F8" s="48">
        <f>IF(MONTH(DATE(IF(ISNUMBER(cal_ano),cal_ano,YEAR(TODAY())),IF(ISNUMBER(cal_mes),cal_mes,MONTH(TODAY())),1)-(WEEKDAY(DATE(IF(ISNUMBER(cal_ano),cal_ano,YEAR(TODAY())),IF(ISNUMBER(cal_mes),cal_mes,MONTH(TODAY())),1),2)-1)+12)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+12),2)&amp;IF(COUNTIF(Programação!$F$4:$F$503,DATE(IF(ISNUMBER(cal_ano),cal_ano,YEAR(TODAY())),IF(ISNUMBER(cal_mes),cal_mes,MONTH(TODAY())),1)-(WEEKDAY(DATE(IF(ISNUMBER(cal_ano),cal_ano,YEAR(TODAY())),IF(ISNUMBER(cal_mes),cal_mes,MONTH(TODAY())),1),2)-1)+12)=0,"",CHAR(10)&amp;COUNTIF(Programação!$F$4:$F$503,DATE(IF(ISNUMBER(cal_ano),cal_ano,YEAR(TODAY())),IF(ISNUMBER(cal_mes),cal_mes,MONTH(TODAY())),1)-(WEEKDAY(DATE(IF(ISNUMBER(cal_ano),cal_ano,YEAR(TODAY())),IF(ISNUMBER(cal_mes),cal_mes,MONTH(TODAY())),1),2)-1)+12)&amp;" OS"))</f>
      </c>
      <c r="G8" s="48">
        <f>IF(MONTH(DATE(IF(ISNUMBER(cal_ano),cal_ano,YEAR(TODAY())),IF(ISNUMBER(cal_mes),cal_mes,MONTH(TODAY())),1)-(WEEKDAY(DATE(IF(ISNUMBER(cal_ano),cal_ano,YEAR(TODAY())),IF(ISNUMBER(cal_mes),cal_mes,MONTH(TODAY())),1),2)-1)+13)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+13),2)&amp;IF(COUNTIF(Programação!$F$4:$F$503,DATE(IF(ISNUMBER(cal_ano),cal_ano,YEAR(TODAY())),IF(ISNUMBER(cal_mes),cal_mes,MONTH(TODAY())),1)-(WEEKDAY(DATE(IF(ISNUMBER(cal_ano),cal_ano,YEAR(TODAY())),IF(ISNUMBER(cal_mes),cal_mes,MONTH(TODAY())),1),2)-1)+13)=0,"",CHAR(10)&amp;COUNTIF(Programação!$F$4:$F$503,DATE(IF(ISNUMBER(cal_ano),cal_ano,YEAR(TODAY())),IF(ISNUMBER(cal_mes),cal_mes,MONTH(TODAY())),1)-(WEEKDAY(DATE(IF(ISNUMBER(cal_ano),cal_ano,YEAR(TODAY())),IF(ISNUMBER(cal_mes),cal_mes,MONTH(TODAY())),1),2)-1)+13)&amp;" OS"))</f>
      </c>
    </row>
    <row r="9" ht="48" customHeight="1" spans="1:7" x14ac:dyDescent="0.25">
      <c r="A9" s="48">
        <f>IF(MONTH(DATE(IF(ISNUMBER(cal_ano),cal_ano,YEAR(TODAY())),IF(ISNUMBER(cal_mes),cal_mes,MONTH(TODAY())),1)-(WEEKDAY(DATE(IF(ISNUMBER(cal_ano),cal_ano,YEAR(TODAY())),IF(ISNUMBER(cal_mes),cal_mes,MONTH(TODAY())),1),2)-1)+14)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+14),2)&amp;IF(COUNTIF(Programação!$F$4:$F$503,DATE(IF(ISNUMBER(cal_ano),cal_ano,YEAR(TODAY())),IF(ISNUMBER(cal_mes),cal_mes,MONTH(TODAY())),1)-(WEEKDAY(DATE(IF(ISNUMBER(cal_ano),cal_ano,YEAR(TODAY())),IF(ISNUMBER(cal_mes),cal_mes,MONTH(TODAY())),1),2)-1)+14)=0,"",CHAR(10)&amp;COUNTIF(Programação!$F$4:$F$503,DATE(IF(ISNUMBER(cal_ano),cal_ano,YEAR(TODAY())),IF(ISNUMBER(cal_mes),cal_mes,MONTH(TODAY())),1)-(WEEKDAY(DATE(IF(ISNUMBER(cal_ano),cal_ano,YEAR(TODAY())),IF(ISNUMBER(cal_mes),cal_mes,MONTH(TODAY())),1),2)-1)+14)&amp;" OS"))</f>
      </c>
      <c r="B9" s="48">
        <f>IF(MONTH(DATE(IF(ISNUMBER(cal_ano),cal_ano,YEAR(TODAY())),IF(ISNUMBER(cal_mes),cal_mes,MONTH(TODAY())),1)-(WEEKDAY(DATE(IF(ISNUMBER(cal_ano),cal_ano,YEAR(TODAY())),IF(ISNUMBER(cal_mes),cal_mes,MONTH(TODAY())),1),2)-1)+15)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+15),2)&amp;IF(COUNTIF(Programação!$F$4:$F$503,DATE(IF(ISNUMBER(cal_ano),cal_ano,YEAR(TODAY())),IF(ISNUMBER(cal_mes),cal_mes,MONTH(TODAY())),1)-(WEEKDAY(DATE(IF(ISNUMBER(cal_ano),cal_ano,YEAR(TODAY())),IF(ISNUMBER(cal_mes),cal_mes,MONTH(TODAY())),1),2)-1)+15)=0,"",CHAR(10)&amp;COUNTIF(Programação!$F$4:$F$503,DATE(IF(ISNUMBER(cal_ano),cal_ano,YEAR(TODAY())),IF(ISNUMBER(cal_mes),cal_mes,MONTH(TODAY())),1)-(WEEKDAY(DATE(IF(ISNUMBER(cal_ano),cal_ano,YEAR(TODAY())),IF(ISNUMBER(cal_mes),cal_mes,MONTH(TODAY())),1),2)-1)+15)&amp;" OS"))</f>
      </c>
      <c r="C9" s="48">
        <f>IF(MONTH(DATE(IF(ISNUMBER(cal_ano),cal_ano,YEAR(TODAY())),IF(ISNUMBER(cal_mes),cal_mes,MONTH(TODAY())),1)-(WEEKDAY(DATE(IF(ISNUMBER(cal_ano),cal_ano,YEAR(TODAY())),IF(ISNUMBER(cal_mes),cal_mes,MONTH(TODAY())),1),2)-1)+16)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+16),2)&amp;IF(COUNTIF(Programação!$F$4:$F$503,DATE(IF(ISNUMBER(cal_ano),cal_ano,YEAR(TODAY())),IF(ISNUMBER(cal_mes),cal_mes,MONTH(TODAY())),1)-(WEEKDAY(DATE(IF(ISNUMBER(cal_ano),cal_ano,YEAR(TODAY())),IF(ISNUMBER(cal_mes),cal_mes,MONTH(TODAY())),1),2)-1)+16)=0,"",CHAR(10)&amp;COUNTIF(Programação!$F$4:$F$503,DATE(IF(ISNUMBER(cal_ano),cal_ano,YEAR(TODAY())),IF(ISNUMBER(cal_mes),cal_mes,MONTH(TODAY())),1)-(WEEKDAY(DATE(IF(ISNUMBER(cal_ano),cal_ano,YEAR(TODAY())),IF(ISNUMBER(cal_mes),cal_mes,MONTH(TODAY())),1),2)-1)+16)&amp;" OS"))</f>
      </c>
      <c r="D9" s="48">
        <f>IF(MONTH(DATE(IF(ISNUMBER(cal_ano),cal_ano,YEAR(TODAY())),IF(ISNUMBER(cal_mes),cal_mes,MONTH(TODAY())),1)-(WEEKDAY(DATE(IF(ISNUMBER(cal_ano),cal_ano,YEAR(TODAY())),IF(ISNUMBER(cal_mes),cal_mes,MONTH(TODAY())),1),2)-1)+17)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+17),2)&amp;IF(COUNTIF(Programação!$F$4:$F$503,DATE(IF(ISNUMBER(cal_ano),cal_ano,YEAR(TODAY())),IF(ISNUMBER(cal_mes),cal_mes,MONTH(TODAY())),1)-(WEEKDAY(DATE(IF(ISNUMBER(cal_ano),cal_ano,YEAR(TODAY())),IF(ISNUMBER(cal_mes),cal_mes,MONTH(TODAY())),1),2)-1)+17)=0,"",CHAR(10)&amp;COUNTIF(Programação!$F$4:$F$503,DATE(IF(ISNUMBER(cal_ano),cal_ano,YEAR(TODAY())),IF(ISNUMBER(cal_mes),cal_mes,MONTH(TODAY())),1)-(WEEKDAY(DATE(IF(ISNUMBER(cal_ano),cal_ano,YEAR(TODAY())),IF(ISNUMBER(cal_mes),cal_mes,MONTH(TODAY())),1),2)-1)+17)&amp;" OS"))</f>
      </c>
      <c r="E9" s="48">
        <f>IF(MONTH(DATE(IF(ISNUMBER(cal_ano),cal_ano,YEAR(TODAY())),IF(ISNUMBER(cal_mes),cal_mes,MONTH(TODAY())),1)-(WEEKDAY(DATE(IF(ISNUMBER(cal_ano),cal_ano,YEAR(TODAY())),IF(ISNUMBER(cal_mes),cal_mes,MONTH(TODAY())),1),2)-1)+18)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+18),2)&amp;IF(COUNTIF(Programação!$F$4:$F$503,DATE(IF(ISNUMBER(cal_ano),cal_ano,YEAR(TODAY())),IF(ISNUMBER(cal_mes),cal_mes,MONTH(TODAY())),1)-(WEEKDAY(DATE(IF(ISNUMBER(cal_ano),cal_ano,YEAR(TODAY())),IF(ISNUMBER(cal_mes),cal_mes,MONTH(TODAY())),1),2)-1)+18)=0,"",CHAR(10)&amp;COUNTIF(Programação!$F$4:$F$503,DATE(IF(ISNUMBER(cal_ano),cal_ano,YEAR(TODAY())),IF(ISNUMBER(cal_mes),cal_mes,MONTH(TODAY())),1)-(WEEKDAY(DATE(IF(ISNUMBER(cal_ano),cal_ano,YEAR(TODAY())),IF(ISNUMBER(cal_mes),cal_mes,MONTH(TODAY())),1),2)-1)+18)&amp;" OS"))</f>
      </c>
      <c r="F9" s="48">
        <f>IF(MONTH(DATE(IF(ISNUMBER(cal_ano),cal_ano,YEAR(TODAY())),IF(ISNUMBER(cal_mes),cal_mes,MONTH(TODAY())),1)-(WEEKDAY(DATE(IF(ISNUMBER(cal_ano),cal_ano,YEAR(TODAY())),IF(ISNUMBER(cal_mes),cal_mes,MONTH(TODAY())),1),2)-1)+19)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+19),2)&amp;IF(COUNTIF(Programação!$F$4:$F$503,DATE(IF(ISNUMBER(cal_ano),cal_ano,YEAR(TODAY())),IF(ISNUMBER(cal_mes),cal_mes,MONTH(TODAY())),1)-(WEEKDAY(DATE(IF(ISNUMBER(cal_ano),cal_ano,YEAR(TODAY())),IF(ISNUMBER(cal_mes),cal_mes,MONTH(TODAY())),1),2)-1)+19)=0,"",CHAR(10)&amp;COUNTIF(Programação!$F$4:$F$503,DATE(IF(ISNUMBER(cal_ano),cal_ano,YEAR(TODAY())),IF(ISNUMBER(cal_mes),cal_mes,MONTH(TODAY())),1)-(WEEKDAY(DATE(IF(ISNUMBER(cal_ano),cal_ano,YEAR(TODAY())),IF(ISNUMBER(cal_mes),cal_mes,MONTH(TODAY())),1),2)-1)+19)&amp;" OS"))</f>
      </c>
      <c r="G9" s="48">
        <f>IF(MONTH(DATE(IF(ISNUMBER(cal_ano),cal_ano,YEAR(TODAY())),IF(ISNUMBER(cal_mes),cal_mes,MONTH(TODAY())),1)-(WEEKDAY(DATE(IF(ISNUMBER(cal_ano),cal_ano,YEAR(TODAY())),IF(ISNUMBER(cal_mes),cal_mes,MONTH(TODAY())),1),2)-1)+20)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+20),2)&amp;IF(COUNTIF(Programação!$F$4:$F$503,DATE(IF(ISNUMBER(cal_ano),cal_ano,YEAR(TODAY())),IF(ISNUMBER(cal_mes),cal_mes,MONTH(TODAY())),1)-(WEEKDAY(DATE(IF(ISNUMBER(cal_ano),cal_ano,YEAR(TODAY())),IF(ISNUMBER(cal_mes),cal_mes,MONTH(TODAY())),1),2)-1)+20)=0,"",CHAR(10)&amp;COUNTIF(Programação!$F$4:$F$503,DATE(IF(ISNUMBER(cal_ano),cal_ano,YEAR(TODAY())),IF(ISNUMBER(cal_mes),cal_mes,MONTH(TODAY())),1)-(WEEKDAY(DATE(IF(ISNUMBER(cal_ano),cal_ano,YEAR(TODAY())),IF(ISNUMBER(cal_mes),cal_mes,MONTH(TODAY())),1),2)-1)+20)&amp;" OS"))</f>
      </c>
    </row>
    <row r="10" ht="48" customHeight="1" spans="1:7" x14ac:dyDescent="0.25">
      <c r="A10" s="48">
        <f>IF(MONTH(DATE(IF(ISNUMBER(cal_ano),cal_ano,YEAR(TODAY())),IF(ISNUMBER(cal_mes),cal_mes,MONTH(TODAY())),1)-(WEEKDAY(DATE(IF(ISNUMBER(cal_ano),cal_ano,YEAR(TODAY())),IF(ISNUMBER(cal_mes),cal_mes,MONTH(TODAY())),1),2)-1)+21)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+21),2)&amp;IF(COUNTIF(Programação!$F$4:$F$503,DATE(IF(ISNUMBER(cal_ano),cal_ano,YEAR(TODAY())),IF(ISNUMBER(cal_mes),cal_mes,MONTH(TODAY())),1)-(WEEKDAY(DATE(IF(ISNUMBER(cal_ano),cal_ano,YEAR(TODAY())),IF(ISNUMBER(cal_mes),cal_mes,MONTH(TODAY())),1),2)-1)+21)=0,"",CHAR(10)&amp;COUNTIF(Programação!$F$4:$F$503,DATE(IF(ISNUMBER(cal_ano),cal_ano,YEAR(TODAY())),IF(ISNUMBER(cal_mes),cal_mes,MONTH(TODAY())),1)-(WEEKDAY(DATE(IF(ISNUMBER(cal_ano),cal_ano,YEAR(TODAY())),IF(ISNUMBER(cal_mes),cal_mes,MONTH(TODAY())),1),2)-1)+21)&amp;" OS"))</f>
      </c>
      <c r="B10" s="48">
        <f>IF(MONTH(DATE(IF(ISNUMBER(cal_ano),cal_ano,YEAR(TODAY())),IF(ISNUMBER(cal_mes),cal_mes,MONTH(TODAY())),1)-(WEEKDAY(DATE(IF(ISNUMBER(cal_ano),cal_ano,YEAR(TODAY())),IF(ISNUMBER(cal_mes),cal_mes,MONTH(TODAY())),1),2)-1)+22)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+22),2)&amp;IF(COUNTIF(Programação!$F$4:$F$503,DATE(IF(ISNUMBER(cal_ano),cal_ano,YEAR(TODAY())),IF(ISNUMBER(cal_mes),cal_mes,MONTH(TODAY())),1)-(WEEKDAY(DATE(IF(ISNUMBER(cal_ano),cal_ano,YEAR(TODAY())),IF(ISNUMBER(cal_mes),cal_mes,MONTH(TODAY())),1),2)-1)+22)=0,"",CHAR(10)&amp;COUNTIF(Programação!$F$4:$F$503,DATE(IF(ISNUMBER(cal_ano),cal_ano,YEAR(TODAY())),IF(ISNUMBER(cal_mes),cal_mes,MONTH(TODAY())),1)-(WEEKDAY(DATE(IF(ISNUMBER(cal_ano),cal_ano,YEAR(TODAY())),IF(ISNUMBER(cal_mes),cal_mes,MONTH(TODAY())),1),2)-1)+22)&amp;" OS"))</f>
      </c>
      <c r="C10" s="48">
        <f>IF(MONTH(DATE(IF(ISNUMBER(cal_ano),cal_ano,YEAR(TODAY())),IF(ISNUMBER(cal_mes),cal_mes,MONTH(TODAY())),1)-(WEEKDAY(DATE(IF(ISNUMBER(cal_ano),cal_ano,YEAR(TODAY())),IF(ISNUMBER(cal_mes),cal_mes,MONTH(TODAY())),1),2)-1)+23)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+23),2)&amp;IF(COUNTIF(Programação!$F$4:$F$503,DATE(IF(ISNUMBER(cal_ano),cal_ano,YEAR(TODAY())),IF(ISNUMBER(cal_mes),cal_mes,MONTH(TODAY())),1)-(WEEKDAY(DATE(IF(ISNUMBER(cal_ano),cal_ano,YEAR(TODAY())),IF(ISNUMBER(cal_mes),cal_mes,MONTH(TODAY())),1),2)-1)+23)=0,"",CHAR(10)&amp;COUNTIF(Programação!$F$4:$F$503,DATE(IF(ISNUMBER(cal_ano),cal_ano,YEAR(TODAY())),IF(ISNUMBER(cal_mes),cal_mes,MONTH(TODAY())),1)-(WEEKDAY(DATE(IF(ISNUMBER(cal_ano),cal_ano,YEAR(TODAY())),IF(ISNUMBER(cal_mes),cal_mes,MONTH(TODAY())),1),2)-1)+23)&amp;" OS"))</f>
      </c>
      <c r="D10" s="48">
        <f>IF(MONTH(DATE(IF(ISNUMBER(cal_ano),cal_ano,YEAR(TODAY())),IF(ISNUMBER(cal_mes),cal_mes,MONTH(TODAY())),1)-(WEEKDAY(DATE(IF(ISNUMBER(cal_ano),cal_ano,YEAR(TODAY())),IF(ISNUMBER(cal_mes),cal_mes,MONTH(TODAY())),1),2)-1)+24)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+24),2)&amp;IF(COUNTIF(Programação!$F$4:$F$503,DATE(IF(ISNUMBER(cal_ano),cal_ano,YEAR(TODAY())),IF(ISNUMBER(cal_mes),cal_mes,MONTH(TODAY())),1)-(WEEKDAY(DATE(IF(ISNUMBER(cal_ano),cal_ano,YEAR(TODAY())),IF(ISNUMBER(cal_mes),cal_mes,MONTH(TODAY())),1),2)-1)+24)=0,"",CHAR(10)&amp;COUNTIF(Programação!$F$4:$F$503,DATE(IF(ISNUMBER(cal_ano),cal_ano,YEAR(TODAY())),IF(ISNUMBER(cal_mes),cal_mes,MONTH(TODAY())),1)-(WEEKDAY(DATE(IF(ISNUMBER(cal_ano),cal_ano,YEAR(TODAY())),IF(ISNUMBER(cal_mes),cal_mes,MONTH(TODAY())),1),2)-1)+24)&amp;" OS"))</f>
      </c>
      <c r="E10" s="48">
        <f>IF(MONTH(DATE(IF(ISNUMBER(cal_ano),cal_ano,YEAR(TODAY())),IF(ISNUMBER(cal_mes),cal_mes,MONTH(TODAY())),1)-(WEEKDAY(DATE(IF(ISNUMBER(cal_ano),cal_ano,YEAR(TODAY())),IF(ISNUMBER(cal_mes),cal_mes,MONTH(TODAY())),1),2)-1)+25)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+25),2)&amp;IF(COUNTIF(Programação!$F$4:$F$503,DATE(IF(ISNUMBER(cal_ano),cal_ano,YEAR(TODAY())),IF(ISNUMBER(cal_mes),cal_mes,MONTH(TODAY())),1)-(WEEKDAY(DATE(IF(ISNUMBER(cal_ano),cal_ano,YEAR(TODAY())),IF(ISNUMBER(cal_mes),cal_mes,MONTH(TODAY())),1),2)-1)+25)=0,"",CHAR(10)&amp;COUNTIF(Programação!$F$4:$F$503,DATE(IF(ISNUMBER(cal_ano),cal_ano,YEAR(TODAY())),IF(ISNUMBER(cal_mes),cal_mes,MONTH(TODAY())),1)-(WEEKDAY(DATE(IF(ISNUMBER(cal_ano),cal_ano,YEAR(TODAY())),IF(ISNUMBER(cal_mes),cal_mes,MONTH(TODAY())),1),2)-1)+25)&amp;" OS"))</f>
      </c>
      <c r="F10" s="48">
        <f>IF(MONTH(DATE(IF(ISNUMBER(cal_ano),cal_ano,YEAR(TODAY())),IF(ISNUMBER(cal_mes),cal_mes,MONTH(TODAY())),1)-(WEEKDAY(DATE(IF(ISNUMBER(cal_ano),cal_ano,YEAR(TODAY())),IF(ISNUMBER(cal_mes),cal_mes,MONTH(TODAY())),1),2)-1)+26)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+26),2)&amp;IF(COUNTIF(Programação!$F$4:$F$503,DATE(IF(ISNUMBER(cal_ano),cal_ano,YEAR(TODAY())),IF(ISNUMBER(cal_mes),cal_mes,MONTH(TODAY())),1)-(WEEKDAY(DATE(IF(ISNUMBER(cal_ano),cal_ano,YEAR(TODAY())),IF(ISNUMBER(cal_mes),cal_mes,MONTH(TODAY())),1),2)-1)+26)=0,"",CHAR(10)&amp;COUNTIF(Programação!$F$4:$F$503,DATE(IF(ISNUMBER(cal_ano),cal_ano,YEAR(TODAY())),IF(ISNUMBER(cal_mes),cal_mes,MONTH(TODAY())),1)-(WEEKDAY(DATE(IF(ISNUMBER(cal_ano),cal_ano,YEAR(TODAY())),IF(ISNUMBER(cal_mes),cal_mes,MONTH(TODAY())),1),2)-1)+26)&amp;" OS"))</f>
      </c>
      <c r="G10" s="48">
        <f>IF(MONTH(DATE(IF(ISNUMBER(cal_ano),cal_ano,YEAR(TODAY())),IF(ISNUMBER(cal_mes),cal_mes,MONTH(TODAY())),1)-(WEEKDAY(DATE(IF(ISNUMBER(cal_ano),cal_ano,YEAR(TODAY())),IF(ISNUMBER(cal_mes),cal_mes,MONTH(TODAY())),1),2)-1)+27)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+27),2)&amp;IF(COUNTIF(Programação!$F$4:$F$503,DATE(IF(ISNUMBER(cal_ano),cal_ano,YEAR(TODAY())),IF(ISNUMBER(cal_mes),cal_mes,MONTH(TODAY())),1)-(WEEKDAY(DATE(IF(ISNUMBER(cal_ano),cal_ano,YEAR(TODAY())),IF(ISNUMBER(cal_mes),cal_mes,MONTH(TODAY())),1),2)-1)+27)=0,"",CHAR(10)&amp;COUNTIF(Programação!$F$4:$F$503,DATE(IF(ISNUMBER(cal_ano),cal_ano,YEAR(TODAY())),IF(ISNUMBER(cal_mes),cal_mes,MONTH(TODAY())),1)-(WEEKDAY(DATE(IF(ISNUMBER(cal_ano),cal_ano,YEAR(TODAY())),IF(ISNUMBER(cal_mes),cal_mes,MONTH(TODAY())),1),2)-1)+27)&amp;" OS"))</f>
      </c>
    </row>
    <row r="11" ht="48" customHeight="1" spans="1:7" x14ac:dyDescent="0.25">
      <c r="A11" s="48">
        <f>IF(MONTH(DATE(IF(ISNUMBER(cal_ano),cal_ano,YEAR(TODAY())),IF(ISNUMBER(cal_mes),cal_mes,MONTH(TODAY())),1)-(WEEKDAY(DATE(IF(ISNUMBER(cal_ano),cal_ano,YEAR(TODAY())),IF(ISNUMBER(cal_mes),cal_mes,MONTH(TODAY())),1),2)-1)+28)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+28),2)&amp;IF(COUNTIF(Programação!$F$4:$F$503,DATE(IF(ISNUMBER(cal_ano),cal_ano,YEAR(TODAY())),IF(ISNUMBER(cal_mes),cal_mes,MONTH(TODAY())),1)-(WEEKDAY(DATE(IF(ISNUMBER(cal_ano),cal_ano,YEAR(TODAY())),IF(ISNUMBER(cal_mes),cal_mes,MONTH(TODAY())),1),2)-1)+28)=0,"",CHAR(10)&amp;COUNTIF(Programação!$F$4:$F$503,DATE(IF(ISNUMBER(cal_ano),cal_ano,YEAR(TODAY())),IF(ISNUMBER(cal_mes),cal_mes,MONTH(TODAY())),1)-(WEEKDAY(DATE(IF(ISNUMBER(cal_ano),cal_ano,YEAR(TODAY())),IF(ISNUMBER(cal_mes),cal_mes,MONTH(TODAY())),1),2)-1)+28)&amp;" OS"))</f>
      </c>
      <c r="B11" s="48">
        <f>IF(MONTH(DATE(IF(ISNUMBER(cal_ano),cal_ano,YEAR(TODAY())),IF(ISNUMBER(cal_mes),cal_mes,MONTH(TODAY())),1)-(WEEKDAY(DATE(IF(ISNUMBER(cal_ano),cal_ano,YEAR(TODAY())),IF(ISNUMBER(cal_mes),cal_mes,MONTH(TODAY())),1),2)-1)+29)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+29),2)&amp;IF(COUNTIF(Programação!$F$4:$F$503,DATE(IF(ISNUMBER(cal_ano),cal_ano,YEAR(TODAY())),IF(ISNUMBER(cal_mes),cal_mes,MONTH(TODAY())),1)-(WEEKDAY(DATE(IF(ISNUMBER(cal_ano),cal_ano,YEAR(TODAY())),IF(ISNUMBER(cal_mes),cal_mes,MONTH(TODAY())),1),2)-1)+29)=0,"",CHAR(10)&amp;COUNTIF(Programação!$F$4:$F$503,DATE(IF(ISNUMBER(cal_ano),cal_ano,YEAR(TODAY())),IF(ISNUMBER(cal_mes),cal_mes,MONTH(TODAY())),1)-(WEEKDAY(DATE(IF(ISNUMBER(cal_ano),cal_ano,YEAR(TODAY())),IF(ISNUMBER(cal_mes),cal_mes,MONTH(TODAY())),1),2)-1)+29)&amp;" OS"))</f>
      </c>
      <c r="C11" s="48">
        <f>IF(MONTH(DATE(IF(ISNUMBER(cal_ano),cal_ano,YEAR(TODAY())),IF(ISNUMBER(cal_mes),cal_mes,MONTH(TODAY())),1)-(WEEKDAY(DATE(IF(ISNUMBER(cal_ano),cal_ano,YEAR(TODAY())),IF(ISNUMBER(cal_mes),cal_mes,MONTH(TODAY())),1),2)-1)+30)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+30),2)&amp;IF(COUNTIF(Programação!$F$4:$F$503,DATE(IF(ISNUMBER(cal_ano),cal_ano,YEAR(TODAY())),IF(ISNUMBER(cal_mes),cal_mes,MONTH(TODAY())),1)-(WEEKDAY(DATE(IF(ISNUMBER(cal_ano),cal_ano,YEAR(TODAY())),IF(ISNUMBER(cal_mes),cal_mes,MONTH(TODAY())),1),2)-1)+30)=0,"",CHAR(10)&amp;COUNTIF(Programação!$F$4:$F$503,DATE(IF(ISNUMBER(cal_ano),cal_ano,YEAR(TODAY())),IF(ISNUMBER(cal_mes),cal_mes,MONTH(TODAY())),1)-(WEEKDAY(DATE(IF(ISNUMBER(cal_ano),cal_ano,YEAR(TODAY())),IF(ISNUMBER(cal_mes),cal_mes,MONTH(TODAY())),1),2)-1)+30)&amp;" OS"))</f>
      </c>
      <c r="D11" s="48">
        <f>IF(MONTH(DATE(IF(ISNUMBER(cal_ano),cal_ano,YEAR(TODAY())),IF(ISNUMBER(cal_mes),cal_mes,MONTH(TODAY())),1)-(WEEKDAY(DATE(IF(ISNUMBER(cal_ano),cal_ano,YEAR(TODAY())),IF(ISNUMBER(cal_mes),cal_mes,MONTH(TODAY())),1),2)-1)+31)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+31),2)&amp;IF(COUNTIF(Programação!$F$4:$F$503,DATE(IF(ISNUMBER(cal_ano),cal_ano,YEAR(TODAY())),IF(ISNUMBER(cal_mes),cal_mes,MONTH(TODAY())),1)-(WEEKDAY(DATE(IF(ISNUMBER(cal_ano),cal_ano,YEAR(TODAY())),IF(ISNUMBER(cal_mes),cal_mes,MONTH(TODAY())),1),2)-1)+31)=0,"",CHAR(10)&amp;COUNTIF(Programação!$F$4:$F$503,DATE(IF(ISNUMBER(cal_ano),cal_ano,YEAR(TODAY())),IF(ISNUMBER(cal_mes),cal_mes,MONTH(TODAY())),1)-(WEEKDAY(DATE(IF(ISNUMBER(cal_ano),cal_ano,YEAR(TODAY())),IF(ISNUMBER(cal_mes),cal_mes,MONTH(TODAY())),1),2)-1)+31)&amp;" OS"))</f>
      </c>
      <c r="E11" s="48">
        <f>IF(MONTH(DATE(IF(ISNUMBER(cal_ano),cal_ano,YEAR(TODAY())),IF(ISNUMBER(cal_mes),cal_mes,MONTH(TODAY())),1)-(WEEKDAY(DATE(IF(ISNUMBER(cal_ano),cal_ano,YEAR(TODAY())),IF(ISNUMBER(cal_mes),cal_mes,MONTH(TODAY())),1),2)-1)+32)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+32),2)&amp;IF(COUNTIF(Programação!$F$4:$F$503,DATE(IF(ISNUMBER(cal_ano),cal_ano,YEAR(TODAY())),IF(ISNUMBER(cal_mes),cal_mes,MONTH(TODAY())),1)-(WEEKDAY(DATE(IF(ISNUMBER(cal_ano),cal_ano,YEAR(TODAY())),IF(ISNUMBER(cal_mes),cal_mes,MONTH(TODAY())),1),2)-1)+32)=0,"",CHAR(10)&amp;COUNTIF(Programação!$F$4:$F$503,DATE(IF(ISNUMBER(cal_ano),cal_ano,YEAR(TODAY())),IF(ISNUMBER(cal_mes),cal_mes,MONTH(TODAY())),1)-(WEEKDAY(DATE(IF(ISNUMBER(cal_ano),cal_ano,YEAR(TODAY())),IF(ISNUMBER(cal_mes),cal_mes,MONTH(TODAY())),1),2)-1)+32)&amp;" OS"))</f>
      </c>
      <c r="F11" s="48">
        <f>IF(MONTH(DATE(IF(ISNUMBER(cal_ano),cal_ano,YEAR(TODAY())),IF(ISNUMBER(cal_mes),cal_mes,MONTH(TODAY())),1)-(WEEKDAY(DATE(IF(ISNUMBER(cal_ano),cal_ano,YEAR(TODAY())),IF(ISNUMBER(cal_mes),cal_mes,MONTH(TODAY())),1),2)-1)+33)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+33),2)&amp;IF(COUNTIF(Programação!$F$4:$F$503,DATE(IF(ISNUMBER(cal_ano),cal_ano,YEAR(TODAY())),IF(ISNUMBER(cal_mes),cal_mes,MONTH(TODAY())),1)-(WEEKDAY(DATE(IF(ISNUMBER(cal_ano),cal_ano,YEAR(TODAY())),IF(ISNUMBER(cal_mes),cal_mes,MONTH(TODAY())),1),2)-1)+33)=0,"",CHAR(10)&amp;COUNTIF(Programação!$F$4:$F$503,DATE(IF(ISNUMBER(cal_ano),cal_ano,YEAR(TODAY())),IF(ISNUMBER(cal_mes),cal_mes,MONTH(TODAY())),1)-(WEEKDAY(DATE(IF(ISNUMBER(cal_ano),cal_ano,YEAR(TODAY())),IF(ISNUMBER(cal_mes),cal_mes,MONTH(TODAY())),1),2)-1)+33)&amp;" OS"))</f>
      </c>
      <c r="G11" s="48">
        <f>IF(MONTH(DATE(IF(ISNUMBER(cal_ano),cal_ano,YEAR(TODAY())),IF(ISNUMBER(cal_mes),cal_mes,MONTH(TODAY())),1)-(WEEKDAY(DATE(IF(ISNUMBER(cal_ano),cal_ano,YEAR(TODAY())),IF(ISNUMBER(cal_mes),cal_mes,MONTH(TODAY())),1),2)-1)+34)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+34),2)&amp;IF(COUNTIF(Programação!$F$4:$F$503,DATE(IF(ISNUMBER(cal_ano),cal_ano,YEAR(TODAY())),IF(ISNUMBER(cal_mes),cal_mes,MONTH(TODAY())),1)-(WEEKDAY(DATE(IF(ISNUMBER(cal_ano),cal_ano,YEAR(TODAY())),IF(ISNUMBER(cal_mes),cal_mes,MONTH(TODAY())),1),2)-1)+34)=0,"",CHAR(10)&amp;COUNTIF(Programação!$F$4:$F$503,DATE(IF(ISNUMBER(cal_ano),cal_ano,YEAR(TODAY())),IF(ISNUMBER(cal_mes),cal_mes,MONTH(TODAY())),1)-(WEEKDAY(DATE(IF(ISNUMBER(cal_ano),cal_ano,YEAR(TODAY())),IF(ISNUMBER(cal_mes),cal_mes,MONTH(TODAY())),1),2)-1)+34)&amp;" OS"))</f>
      </c>
    </row>
    <row r="12" ht="48" customHeight="1" spans="1:7" x14ac:dyDescent="0.25">
      <c r="A12" s="48">
        <f>IF(MONTH(DATE(IF(ISNUMBER(cal_ano),cal_ano,YEAR(TODAY())),IF(ISNUMBER(cal_mes),cal_mes,MONTH(TODAY())),1)-(WEEKDAY(DATE(IF(ISNUMBER(cal_ano),cal_ano,YEAR(TODAY())),IF(ISNUMBER(cal_mes),cal_mes,MONTH(TODAY())),1),2)-1)+35)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+35),2)&amp;IF(COUNTIF(Programação!$F$4:$F$503,DATE(IF(ISNUMBER(cal_ano),cal_ano,YEAR(TODAY())),IF(ISNUMBER(cal_mes),cal_mes,MONTH(TODAY())),1)-(WEEKDAY(DATE(IF(ISNUMBER(cal_ano),cal_ano,YEAR(TODAY())),IF(ISNUMBER(cal_mes),cal_mes,MONTH(TODAY())),1),2)-1)+35)=0,"",CHAR(10)&amp;COUNTIF(Programação!$F$4:$F$503,DATE(IF(ISNUMBER(cal_ano),cal_ano,YEAR(TODAY())),IF(ISNUMBER(cal_mes),cal_mes,MONTH(TODAY())),1)-(WEEKDAY(DATE(IF(ISNUMBER(cal_ano),cal_ano,YEAR(TODAY())),IF(ISNUMBER(cal_mes),cal_mes,MONTH(TODAY())),1),2)-1)+35)&amp;" OS"))</f>
      </c>
      <c r="B12" s="48">
        <f>IF(MONTH(DATE(IF(ISNUMBER(cal_ano),cal_ano,YEAR(TODAY())),IF(ISNUMBER(cal_mes),cal_mes,MONTH(TODAY())),1)-(WEEKDAY(DATE(IF(ISNUMBER(cal_ano),cal_ano,YEAR(TODAY())),IF(ISNUMBER(cal_mes),cal_mes,MONTH(TODAY())),1),2)-1)+36)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+36),2)&amp;IF(COUNTIF(Programação!$F$4:$F$503,DATE(IF(ISNUMBER(cal_ano),cal_ano,YEAR(TODAY())),IF(ISNUMBER(cal_mes),cal_mes,MONTH(TODAY())),1)-(WEEKDAY(DATE(IF(ISNUMBER(cal_ano),cal_ano,YEAR(TODAY())),IF(ISNUMBER(cal_mes),cal_mes,MONTH(TODAY())),1),2)-1)+36)=0,"",CHAR(10)&amp;COUNTIF(Programação!$F$4:$F$503,DATE(IF(ISNUMBER(cal_ano),cal_ano,YEAR(TODAY())),IF(ISNUMBER(cal_mes),cal_mes,MONTH(TODAY())),1)-(WEEKDAY(DATE(IF(ISNUMBER(cal_ano),cal_ano,YEAR(TODAY())),IF(ISNUMBER(cal_mes),cal_mes,MONTH(TODAY())),1),2)-1)+36)&amp;" OS"))</f>
      </c>
      <c r="C12" s="48">
        <f>IF(MONTH(DATE(IF(ISNUMBER(cal_ano),cal_ano,YEAR(TODAY())),IF(ISNUMBER(cal_mes),cal_mes,MONTH(TODAY())),1)-(WEEKDAY(DATE(IF(ISNUMBER(cal_ano),cal_ano,YEAR(TODAY())),IF(ISNUMBER(cal_mes),cal_mes,MONTH(TODAY())),1),2)-1)+37)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+37),2)&amp;IF(COUNTIF(Programação!$F$4:$F$503,DATE(IF(ISNUMBER(cal_ano),cal_ano,YEAR(TODAY())),IF(ISNUMBER(cal_mes),cal_mes,MONTH(TODAY())),1)-(WEEKDAY(DATE(IF(ISNUMBER(cal_ano),cal_ano,YEAR(TODAY())),IF(ISNUMBER(cal_mes),cal_mes,MONTH(TODAY())),1),2)-1)+37)=0,"",CHAR(10)&amp;COUNTIF(Programação!$F$4:$F$503,DATE(IF(ISNUMBER(cal_ano),cal_ano,YEAR(TODAY())),IF(ISNUMBER(cal_mes),cal_mes,MONTH(TODAY())),1)-(WEEKDAY(DATE(IF(ISNUMBER(cal_ano),cal_ano,YEAR(TODAY())),IF(ISNUMBER(cal_mes),cal_mes,MONTH(TODAY())),1),2)-1)+37)&amp;" OS"))</f>
      </c>
      <c r="D12" s="48">
        <f>IF(MONTH(DATE(IF(ISNUMBER(cal_ano),cal_ano,YEAR(TODAY())),IF(ISNUMBER(cal_mes),cal_mes,MONTH(TODAY())),1)-(WEEKDAY(DATE(IF(ISNUMBER(cal_ano),cal_ano,YEAR(TODAY())),IF(ISNUMBER(cal_mes),cal_mes,MONTH(TODAY())),1),2)-1)+38)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+38),2)&amp;IF(COUNTIF(Programação!$F$4:$F$503,DATE(IF(ISNUMBER(cal_ano),cal_ano,YEAR(TODAY())),IF(ISNUMBER(cal_mes),cal_mes,MONTH(TODAY())),1)-(WEEKDAY(DATE(IF(ISNUMBER(cal_ano),cal_ano,YEAR(TODAY())),IF(ISNUMBER(cal_mes),cal_mes,MONTH(TODAY())),1),2)-1)+38)=0,"",CHAR(10)&amp;COUNTIF(Programação!$F$4:$F$503,DATE(IF(ISNUMBER(cal_ano),cal_ano,YEAR(TODAY())),IF(ISNUMBER(cal_mes),cal_mes,MONTH(TODAY())),1)-(WEEKDAY(DATE(IF(ISNUMBER(cal_ano),cal_ano,YEAR(TODAY())),IF(ISNUMBER(cal_mes),cal_mes,MONTH(TODAY())),1),2)-1)+38)&amp;" OS"))</f>
      </c>
      <c r="E12" s="48">
        <f>IF(MONTH(DATE(IF(ISNUMBER(cal_ano),cal_ano,YEAR(TODAY())),IF(ISNUMBER(cal_mes),cal_mes,MONTH(TODAY())),1)-(WEEKDAY(DATE(IF(ISNUMBER(cal_ano),cal_ano,YEAR(TODAY())),IF(ISNUMBER(cal_mes),cal_mes,MONTH(TODAY())),1),2)-1)+39)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+39),2)&amp;IF(COUNTIF(Programação!$F$4:$F$503,DATE(IF(ISNUMBER(cal_ano),cal_ano,YEAR(TODAY())),IF(ISNUMBER(cal_mes),cal_mes,MONTH(TODAY())),1)-(WEEKDAY(DATE(IF(ISNUMBER(cal_ano),cal_ano,YEAR(TODAY())),IF(ISNUMBER(cal_mes),cal_mes,MONTH(TODAY())),1),2)-1)+39)=0,"",CHAR(10)&amp;COUNTIF(Programação!$F$4:$F$503,DATE(IF(ISNUMBER(cal_ano),cal_ano,YEAR(TODAY())),IF(ISNUMBER(cal_mes),cal_mes,MONTH(TODAY())),1)-(WEEKDAY(DATE(IF(ISNUMBER(cal_ano),cal_ano,YEAR(TODAY())),IF(ISNUMBER(cal_mes),cal_mes,MONTH(TODAY())),1),2)-1)+39)&amp;" OS"))</f>
      </c>
      <c r="F12" s="48">
        <f>IF(MONTH(DATE(IF(ISNUMBER(cal_ano),cal_ano,YEAR(TODAY())),IF(ISNUMBER(cal_mes),cal_mes,MONTH(TODAY())),1)-(WEEKDAY(DATE(IF(ISNUMBER(cal_ano),cal_ano,YEAR(TODAY())),IF(ISNUMBER(cal_mes),cal_mes,MONTH(TODAY())),1),2)-1)+40)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+40),2)&amp;IF(COUNTIF(Programação!$F$4:$F$503,DATE(IF(ISNUMBER(cal_ano),cal_ano,YEAR(TODAY())),IF(ISNUMBER(cal_mes),cal_mes,MONTH(TODAY())),1)-(WEEKDAY(DATE(IF(ISNUMBER(cal_ano),cal_ano,YEAR(TODAY())),IF(ISNUMBER(cal_mes),cal_mes,MONTH(TODAY())),1),2)-1)+40)=0,"",CHAR(10)&amp;COUNTIF(Programação!$F$4:$F$503,DATE(IF(ISNUMBER(cal_ano),cal_ano,YEAR(TODAY())),IF(ISNUMBER(cal_mes),cal_mes,MONTH(TODAY())),1)-(WEEKDAY(DATE(IF(ISNUMBER(cal_ano),cal_ano,YEAR(TODAY())),IF(ISNUMBER(cal_mes),cal_mes,MONTH(TODAY())),1),2)-1)+40)&amp;" OS"))</f>
      </c>
      <c r="G12" s="48">
        <f>IF(MONTH(DATE(IF(ISNUMBER(cal_ano),cal_ano,YEAR(TODAY())),IF(ISNUMBER(cal_mes),cal_mes,MONTH(TODAY())),1)-(WEEKDAY(DATE(IF(ISNUMBER(cal_ano),cal_ano,YEAR(TODAY())),IF(ISNUMBER(cal_mes),cal_mes,MONTH(TODAY())),1),2)-1)+41)&lt;&gt;MONTH(DATE(IF(ISNUMBER(cal_ano),cal_ano,YEAR(TODAY())),IF(ISNUMBER(cal_mes),cal_mes,MONTH(TODAY())),1)),"",RIGHT("0"&amp;DAY(DATE(IF(ISNUMBER(cal_ano),cal_ano,YEAR(TODAY())),IF(ISNUMBER(cal_mes),cal_mes,MONTH(TODAY())),1)-(WEEKDAY(DATE(IF(ISNUMBER(cal_ano),cal_ano,YEAR(TODAY())),IF(ISNUMBER(cal_mes),cal_mes,MONTH(TODAY())),1),2)-1)+41),2)&amp;IF(COUNTIF(Programação!$F$4:$F$503,DATE(IF(ISNUMBER(cal_ano),cal_ano,YEAR(TODAY())),IF(ISNUMBER(cal_mes),cal_mes,MONTH(TODAY())),1)-(WEEKDAY(DATE(IF(ISNUMBER(cal_ano),cal_ano,YEAR(TODAY())),IF(ISNUMBER(cal_mes),cal_mes,MONTH(TODAY())),1),2)-1)+41)=0,"",CHAR(10)&amp;COUNTIF(Programação!$F$4:$F$503,DATE(IF(ISNUMBER(cal_ano),cal_ano,YEAR(TODAY())),IF(ISNUMBER(cal_mes),cal_mes,MONTH(TODAY())),1)-(WEEKDAY(DATE(IF(ISNUMBER(cal_ano),cal_ano,YEAR(TODAY())),IF(ISNUMBER(cal_mes),cal_mes,MONTH(TODAY())),1),2)-1)+41)&amp;" OS"))</f>
      </c>
    </row>
  </sheetData>
  <sheetProtection sheet="1" formatColumns="0" formatRows="0" autoFilter="0"/>
  <mergeCells count="3">
    <mergeCell ref="A1:B2"/>
    <mergeCell ref="C1:F2"/>
    <mergeCell ref="E4:G4"/>
  </mergeCells>
  <conditionalFormatting sqref="A7:G12">
    <cfRule type="expression" dxfId="49" priority="1">
      <formula>ISNUMBER(SEARCH("OS",A7))</formula>
    </cfRule>
    <cfRule type="expression" dxfId="50" priority="2">
      <formula>A7=""</formula>
    </cfRule>
  </conditionalFormatting>
  <dataValidations count="2">
    <dataValidation type="whole" allowBlank="1" showErrorMessage="1" errorTitle="Mês inválido" error="Informe de 1 a 12." sqref="B4">
      <formula1>1</formula1>
      <formula2>12</formula2>
    </dataValidation>
    <dataValidation type="whole" allowBlank="1" showErrorMessage="1" errorTitle="Ano inválido" error="Ano com 4 dígitos." sqref="D4">
      <formula1>2000</formula1>
      <formula2>2100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0" customWidth="1"/>
    <col min="5" max="6" width="12" customWidth="1"/>
    <col min="7" max="9" width="13" customWidth="1"/>
    <col min="10" max="10" width="12" customWidth="1"/>
    <col min="11" max="11" width="11" customWidth="1"/>
    <col min="12" max="12" width="10" customWidth="1"/>
    <col min="13" max="13" width="30" customWidth="1"/>
  </cols>
  <sheetData>
    <row r="1" ht="36" customHeight="1" spans="1:13" x14ac:dyDescent="0.25">
      <c r="A1" s="1"/>
      <c r="B1" s="1"/>
      <c r="C1" s="2" t="s">
        <v>178</v>
      </c>
      <c r="D1" s="2"/>
      <c r="E1" s="2"/>
      <c r="F1" s="2"/>
      <c r="G1" s="2"/>
      <c r="H1" s="2"/>
      <c r="I1" s="2"/>
      <c r="J1" s="2"/>
      <c r="K1" s="2"/>
      <c r="L1" s="2"/>
      <c r="M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3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4">
        <f>"Elaborado: "&amp;IF(cfg_elaborado="","A definir",cfg_elaborado)&amp;CHAR(10)&amp;"Aprovado: "&amp;IF(cfg_aprovado="","A definir",cfg_aprovado)</f>
      </c>
    </row>
    <row r="3" ht="40" customHeight="1" spans="1:13" x14ac:dyDescent="0.25">
      <c r="A3" s="8" t="s">
        <v>87</v>
      </c>
      <c r="B3" s="8" t="s">
        <v>179</v>
      </c>
      <c r="C3" s="8" t="s">
        <v>159</v>
      </c>
      <c r="D3" s="8" t="s">
        <v>180</v>
      </c>
      <c r="E3" s="8" t="s">
        <v>181</v>
      </c>
      <c r="F3" s="8" t="s">
        <v>182</v>
      </c>
      <c r="G3" s="8" t="s">
        <v>183</v>
      </c>
      <c r="H3" s="8" t="s">
        <v>184</v>
      </c>
      <c r="I3" s="8" t="s">
        <v>185</v>
      </c>
      <c r="J3" s="8" t="s">
        <v>186</v>
      </c>
      <c r="K3" s="8" t="s">
        <v>187</v>
      </c>
      <c r="L3" s="8" t="s">
        <v>188</v>
      </c>
      <c r="M3" s="8" t="s">
        <v>189</v>
      </c>
    </row>
    <row r="4" spans="1:13" x14ac:dyDescent="0.25">
      <c r="A4" s="36">
        <f t="shared" ref="A4:A63" si="0">IF(INDEX(at_codigo,ROW()-3)="","",INDEX(at_codigo,ROW()-3))</f>
      </c>
      <c r="B4" s="37">
        <f>IF(A4="","",COUNTIFS(Programação!$C$4:$C$503,A4,Programação!$D$4:$D$503,"Corretiva"))</f>
      </c>
      <c r="C4" s="49">
        <f>IF(A4="","",SUMIFS(Programação!$H$4:$H$503,Programação!$C$4:$C$503,A4,Programação!$D$4:$D$503,"Corretiva"))</f>
      </c>
      <c r="D4" s="49">
        <f t="shared" ref="D4:D63" si="1">IF(N(B4)=0,"",C4/B4)</f>
      </c>
      <c r="E4" s="39">
        <f>IF(N(B4)=0,"",IFERROR(_xlfn.AGGREGATE(15,6,Programação!$G$4:$G$503/((Programação!$C$4:$C$503=A4)*(Programação!$D$4:$D$503="Corretiva")*ISNUMBER(Programação!$G$4:$G$503)),1),""))</f>
      </c>
      <c r="F4" s="39">
        <f>IF(N(B4)=0,"",IFERROR(_xlfn.AGGREGATE(14,6,Programação!$G$4:$G$503/((Programação!$C$4:$C$503=A4)*(Programação!$D$4:$D$503="Corretiva")*ISNUMBER(Programação!$G$4:$G$503)),1),""))</f>
      </c>
      <c r="G4" s="49">
        <f t="shared" ref="G4:G63" si="2">IF(OR(E4="",F4=""),"",(F4-E4)*24)</f>
      </c>
      <c r="H4" s="49">
        <f t="shared" ref="H4:H63" si="3">IF(OR(G4="",N(B4)&lt;2),"",G4/(B4-1))</f>
      </c>
      <c r="I4" s="35">
        <f>IF(A4="","",IFERROR(IF(AND(SUMIF('Apontamento de Produção'!$A$4:$A$503,$A4,'Apontamento de Produção'!$C$4:$C$503)&gt;0,SUMIF('Apontamento de Produção'!$A$4:$A$503,$A4,'Apontamento de Produção'!$D$4:$D$503)&lt;=SUMIF('Apontamento de Produção'!$A$4:$A$503,$A4,'Apontamento de Produção'!$C$4:$C$503)),SUMIF('Apontamento de Produção'!$A$4:$A$503,$A4,'Apontamento de Produção'!$D$4:$D$503)/SUMIF('Apontamento de Produção'!$A$4:$A$503,$A4,'Apontamento de Produção'!$C$4:$C$503),""),""))</f>
      </c>
      <c r="J4" s="35">
        <f>IF(A4="","",IFERROR(IF(AND(SUMIF('Apontamento de Produção'!$A$4:$A$503,$A4,'Apontamento de Produção'!$F$4:$F$503)&gt;0,SUMIF('Apontamento de Produção'!$A$4:$A$503,$A4,'Apontamento de Produção'!$E$4:$E$503)&lt;=SUMIF('Apontamento de Produção'!$A$4:$A$503,$A4,'Apontamento de Produção'!$F$4:$F$503)),SUMIF('Apontamento de Produção'!$A$4:$A$503,$A4,'Apontamento de Produção'!$E$4:$E$503)/SUMIF('Apontamento de Produção'!$A$4:$A$503,$A4,'Apontamento de Produção'!$F$4:$F$503),""),""))</f>
      </c>
      <c r="K4" s="35">
        <f>IF(A4="","",IFERROR(IF(AND(SUMIF('Apontamento de Produção'!$A$4:$A$503,$A4,'Apontamento de Produção'!$E$4:$E$503)&gt;0,SUMIF('Apontamento de Produção'!$A$4:$A$503,$A4,'Apontamento de Produção'!$G$4:$G$503)&lt;=SUMIF('Apontamento de Produção'!$A$4:$A$503,$A4,'Apontamento de Produção'!$E$4:$E$503)),SUMIF('Apontamento de Produção'!$A$4:$A$503,$A4,'Apontamento de Produção'!$G$4:$G$503)/SUMIF('Apontamento de Produção'!$A$4:$A$503,$A4,'Apontamento de Produção'!$E$4:$E$503),""),""))</f>
      </c>
      <c r="L4" s="50">
        <f t="shared" ref="L4:L63" si="4">IF(OR(I4="",J4="",K4=""),"",I4*J4*K4)</f>
      </c>
      <c r="M4" s="32">
        <f t="shared" ref="M4:M63" si="5">IF(A4="","",IF(AND(N(B4)=0,I4=""),"Pendente: sem apontamentos",IF(L4="","Pendente: produção incompleta para o OEE",IF(N(B4)&lt;2,"OK: intervalo entre falhas exige 2+ corretivas","OK"))))</f>
      </c>
    </row>
    <row r="5" spans="1:13" x14ac:dyDescent="0.25">
      <c r="A5" s="36">
        <f t="shared" si="0"/>
      </c>
      <c r="B5" s="37">
        <f>IF(A5="","",COUNTIFS(Programação!$C$4:$C$503,A5,Programação!$D$4:$D$503,"Corretiva"))</f>
      </c>
      <c r="C5" s="49">
        <f>IF(A5="","",SUMIFS(Programação!$H$4:$H$503,Programação!$C$4:$C$503,A5,Programação!$D$4:$D$503,"Corretiva"))</f>
      </c>
      <c r="D5" s="49">
        <f t="shared" si="1"/>
      </c>
      <c r="E5" s="39">
        <f>IF(N(B5)=0,"",IFERROR(_xlfn.AGGREGATE(15,6,Programação!$G$4:$G$503/((Programação!$C$4:$C$503=A5)*(Programação!$D$4:$D$503="Corretiva")*ISNUMBER(Programação!$G$4:$G$503)),1),""))</f>
      </c>
      <c r="F5" s="39">
        <f>IF(N(B5)=0,"",IFERROR(_xlfn.AGGREGATE(14,6,Programação!$G$4:$G$503/((Programação!$C$4:$C$503=A5)*(Programação!$D$4:$D$503="Corretiva")*ISNUMBER(Programação!$G$4:$G$503)),1),""))</f>
      </c>
      <c r="G5" s="49">
        <f t="shared" si="2"/>
      </c>
      <c r="H5" s="49">
        <f t="shared" si="3"/>
      </c>
      <c r="I5" s="35">
        <f>IF(A5="","",IFERROR(IF(AND(SUMIF('Apontamento de Produção'!$A$4:$A$503,$A5,'Apontamento de Produção'!$C$4:$C$503)&gt;0,SUMIF('Apontamento de Produção'!$A$4:$A$503,$A5,'Apontamento de Produção'!$D$4:$D$503)&lt;=SUMIF('Apontamento de Produção'!$A$4:$A$503,$A5,'Apontamento de Produção'!$C$4:$C$503)),SUMIF('Apontamento de Produção'!$A$4:$A$503,$A5,'Apontamento de Produção'!$D$4:$D$503)/SUMIF('Apontamento de Produção'!$A$4:$A$503,$A5,'Apontamento de Produção'!$C$4:$C$503),""),""))</f>
      </c>
      <c r="J5" s="35">
        <f>IF(A5="","",IFERROR(IF(AND(SUMIF('Apontamento de Produção'!$A$4:$A$503,$A5,'Apontamento de Produção'!$F$4:$F$503)&gt;0,SUMIF('Apontamento de Produção'!$A$4:$A$503,$A5,'Apontamento de Produção'!$E$4:$E$503)&lt;=SUMIF('Apontamento de Produção'!$A$4:$A$503,$A5,'Apontamento de Produção'!$F$4:$F$503)),SUMIF('Apontamento de Produção'!$A$4:$A$503,$A5,'Apontamento de Produção'!$E$4:$E$503)/SUMIF('Apontamento de Produção'!$A$4:$A$503,$A5,'Apontamento de Produção'!$F$4:$F$503),""),""))</f>
      </c>
      <c r="K5" s="35">
        <f>IF(A5="","",IFERROR(IF(AND(SUMIF('Apontamento de Produção'!$A$4:$A$503,$A5,'Apontamento de Produção'!$E$4:$E$503)&gt;0,SUMIF('Apontamento de Produção'!$A$4:$A$503,$A5,'Apontamento de Produção'!$G$4:$G$503)&lt;=SUMIF('Apontamento de Produção'!$A$4:$A$503,$A5,'Apontamento de Produção'!$E$4:$E$503)),SUMIF('Apontamento de Produção'!$A$4:$A$503,$A5,'Apontamento de Produção'!$G$4:$G$503)/SUMIF('Apontamento de Produção'!$A$4:$A$503,$A5,'Apontamento de Produção'!$E$4:$E$503),""),""))</f>
      </c>
      <c r="L5" s="50">
        <f t="shared" si="4"/>
      </c>
      <c r="M5" s="32">
        <f t="shared" si="5"/>
      </c>
    </row>
    <row r="6" spans="1:13" x14ac:dyDescent="0.25">
      <c r="A6" s="36">
        <f t="shared" si="0"/>
      </c>
      <c r="B6" s="37">
        <f>IF(A6="","",COUNTIFS(Programação!$C$4:$C$503,A6,Programação!$D$4:$D$503,"Corretiva"))</f>
      </c>
      <c r="C6" s="49">
        <f>IF(A6="","",SUMIFS(Programação!$H$4:$H$503,Programação!$C$4:$C$503,A6,Programação!$D$4:$D$503,"Corretiva"))</f>
      </c>
      <c r="D6" s="49">
        <f t="shared" si="1"/>
      </c>
      <c r="E6" s="39">
        <f>IF(N(B6)=0,"",IFERROR(_xlfn.AGGREGATE(15,6,Programação!$G$4:$G$503/((Programação!$C$4:$C$503=A6)*(Programação!$D$4:$D$503="Corretiva")*ISNUMBER(Programação!$G$4:$G$503)),1),""))</f>
      </c>
      <c r="F6" s="39">
        <f>IF(N(B6)=0,"",IFERROR(_xlfn.AGGREGATE(14,6,Programação!$G$4:$G$503/((Programação!$C$4:$C$503=A6)*(Programação!$D$4:$D$503="Corretiva")*ISNUMBER(Programação!$G$4:$G$503)),1),""))</f>
      </c>
      <c r="G6" s="49">
        <f t="shared" si="2"/>
      </c>
      <c r="H6" s="49">
        <f t="shared" si="3"/>
      </c>
      <c r="I6" s="35">
        <f>IF(A6="","",IFERROR(IF(AND(SUMIF('Apontamento de Produção'!$A$4:$A$503,$A6,'Apontamento de Produção'!$C$4:$C$503)&gt;0,SUMIF('Apontamento de Produção'!$A$4:$A$503,$A6,'Apontamento de Produção'!$D$4:$D$503)&lt;=SUMIF('Apontamento de Produção'!$A$4:$A$503,$A6,'Apontamento de Produção'!$C$4:$C$503)),SUMIF('Apontamento de Produção'!$A$4:$A$503,$A6,'Apontamento de Produção'!$D$4:$D$503)/SUMIF('Apontamento de Produção'!$A$4:$A$503,$A6,'Apontamento de Produção'!$C$4:$C$503),""),""))</f>
      </c>
      <c r="J6" s="35">
        <f>IF(A6="","",IFERROR(IF(AND(SUMIF('Apontamento de Produção'!$A$4:$A$503,$A6,'Apontamento de Produção'!$F$4:$F$503)&gt;0,SUMIF('Apontamento de Produção'!$A$4:$A$503,$A6,'Apontamento de Produção'!$E$4:$E$503)&lt;=SUMIF('Apontamento de Produção'!$A$4:$A$503,$A6,'Apontamento de Produção'!$F$4:$F$503)),SUMIF('Apontamento de Produção'!$A$4:$A$503,$A6,'Apontamento de Produção'!$E$4:$E$503)/SUMIF('Apontamento de Produção'!$A$4:$A$503,$A6,'Apontamento de Produção'!$F$4:$F$503),""),""))</f>
      </c>
      <c r="K6" s="35">
        <f>IF(A6="","",IFERROR(IF(AND(SUMIF('Apontamento de Produção'!$A$4:$A$503,$A6,'Apontamento de Produção'!$E$4:$E$503)&gt;0,SUMIF('Apontamento de Produção'!$A$4:$A$503,$A6,'Apontamento de Produção'!$G$4:$G$503)&lt;=SUMIF('Apontamento de Produção'!$A$4:$A$503,$A6,'Apontamento de Produção'!$E$4:$E$503)),SUMIF('Apontamento de Produção'!$A$4:$A$503,$A6,'Apontamento de Produção'!$G$4:$G$503)/SUMIF('Apontamento de Produção'!$A$4:$A$503,$A6,'Apontamento de Produção'!$E$4:$E$503),""),""))</f>
      </c>
      <c r="L6" s="50">
        <f t="shared" si="4"/>
      </c>
      <c r="M6" s="32">
        <f t="shared" si="5"/>
      </c>
    </row>
    <row r="7" spans="1:13" x14ac:dyDescent="0.25">
      <c r="A7" s="36">
        <f t="shared" si="0"/>
      </c>
      <c r="B7" s="37">
        <f>IF(A7="","",COUNTIFS(Programação!$C$4:$C$503,A7,Programação!$D$4:$D$503,"Corretiva"))</f>
      </c>
      <c r="C7" s="49">
        <f>IF(A7="","",SUMIFS(Programação!$H$4:$H$503,Programação!$C$4:$C$503,A7,Programação!$D$4:$D$503,"Corretiva"))</f>
      </c>
      <c r="D7" s="49">
        <f t="shared" si="1"/>
      </c>
      <c r="E7" s="39">
        <f>IF(N(B7)=0,"",IFERROR(_xlfn.AGGREGATE(15,6,Programação!$G$4:$G$503/((Programação!$C$4:$C$503=A7)*(Programação!$D$4:$D$503="Corretiva")*ISNUMBER(Programação!$G$4:$G$503)),1),""))</f>
      </c>
      <c r="F7" s="39">
        <f>IF(N(B7)=0,"",IFERROR(_xlfn.AGGREGATE(14,6,Programação!$G$4:$G$503/((Programação!$C$4:$C$503=A7)*(Programação!$D$4:$D$503="Corretiva")*ISNUMBER(Programação!$G$4:$G$503)),1),""))</f>
      </c>
      <c r="G7" s="49">
        <f t="shared" si="2"/>
      </c>
      <c r="H7" s="49">
        <f t="shared" si="3"/>
      </c>
      <c r="I7" s="35">
        <f>IF(A7="","",IFERROR(IF(AND(SUMIF('Apontamento de Produção'!$A$4:$A$503,$A7,'Apontamento de Produção'!$C$4:$C$503)&gt;0,SUMIF('Apontamento de Produção'!$A$4:$A$503,$A7,'Apontamento de Produção'!$D$4:$D$503)&lt;=SUMIF('Apontamento de Produção'!$A$4:$A$503,$A7,'Apontamento de Produção'!$C$4:$C$503)),SUMIF('Apontamento de Produção'!$A$4:$A$503,$A7,'Apontamento de Produção'!$D$4:$D$503)/SUMIF('Apontamento de Produção'!$A$4:$A$503,$A7,'Apontamento de Produção'!$C$4:$C$503),""),""))</f>
      </c>
      <c r="J7" s="35">
        <f>IF(A7="","",IFERROR(IF(AND(SUMIF('Apontamento de Produção'!$A$4:$A$503,$A7,'Apontamento de Produção'!$F$4:$F$503)&gt;0,SUMIF('Apontamento de Produção'!$A$4:$A$503,$A7,'Apontamento de Produção'!$E$4:$E$503)&lt;=SUMIF('Apontamento de Produção'!$A$4:$A$503,$A7,'Apontamento de Produção'!$F$4:$F$503)),SUMIF('Apontamento de Produção'!$A$4:$A$503,$A7,'Apontamento de Produção'!$E$4:$E$503)/SUMIF('Apontamento de Produção'!$A$4:$A$503,$A7,'Apontamento de Produção'!$F$4:$F$503),""),""))</f>
      </c>
      <c r="K7" s="35">
        <f>IF(A7="","",IFERROR(IF(AND(SUMIF('Apontamento de Produção'!$A$4:$A$503,$A7,'Apontamento de Produção'!$E$4:$E$503)&gt;0,SUMIF('Apontamento de Produção'!$A$4:$A$503,$A7,'Apontamento de Produção'!$G$4:$G$503)&lt;=SUMIF('Apontamento de Produção'!$A$4:$A$503,$A7,'Apontamento de Produção'!$E$4:$E$503)),SUMIF('Apontamento de Produção'!$A$4:$A$503,$A7,'Apontamento de Produção'!$G$4:$G$503)/SUMIF('Apontamento de Produção'!$A$4:$A$503,$A7,'Apontamento de Produção'!$E$4:$E$503),""),""))</f>
      </c>
      <c r="L7" s="50">
        <f t="shared" si="4"/>
      </c>
      <c r="M7" s="32">
        <f t="shared" si="5"/>
      </c>
    </row>
    <row r="8" spans="1:13" x14ac:dyDescent="0.25">
      <c r="A8" s="36">
        <f t="shared" si="0"/>
      </c>
      <c r="B8" s="37">
        <f>IF(A8="","",COUNTIFS(Programação!$C$4:$C$503,A8,Programação!$D$4:$D$503,"Corretiva"))</f>
      </c>
      <c r="C8" s="49">
        <f>IF(A8="","",SUMIFS(Programação!$H$4:$H$503,Programação!$C$4:$C$503,A8,Programação!$D$4:$D$503,"Corretiva"))</f>
      </c>
      <c r="D8" s="49">
        <f t="shared" si="1"/>
      </c>
      <c r="E8" s="39">
        <f>IF(N(B8)=0,"",IFERROR(_xlfn.AGGREGATE(15,6,Programação!$G$4:$G$503/((Programação!$C$4:$C$503=A8)*(Programação!$D$4:$D$503="Corretiva")*ISNUMBER(Programação!$G$4:$G$503)),1),""))</f>
      </c>
      <c r="F8" s="39">
        <f>IF(N(B8)=0,"",IFERROR(_xlfn.AGGREGATE(14,6,Programação!$G$4:$G$503/((Programação!$C$4:$C$503=A8)*(Programação!$D$4:$D$503="Corretiva")*ISNUMBER(Programação!$G$4:$G$503)),1),""))</f>
      </c>
      <c r="G8" s="49">
        <f t="shared" si="2"/>
      </c>
      <c r="H8" s="49">
        <f t="shared" si="3"/>
      </c>
      <c r="I8" s="35">
        <f>IF(A8="","",IFERROR(IF(AND(SUMIF('Apontamento de Produção'!$A$4:$A$503,$A8,'Apontamento de Produção'!$C$4:$C$503)&gt;0,SUMIF('Apontamento de Produção'!$A$4:$A$503,$A8,'Apontamento de Produção'!$D$4:$D$503)&lt;=SUMIF('Apontamento de Produção'!$A$4:$A$503,$A8,'Apontamento de Produção'!$C$4:$C$503)),SUMIF('Apontamento de Produção'!$A$4:$A$503,$A8,'Apontamento de Produção'!$D$4:$D$503)/SUMIF('Apontamento de Produção'!$A$4:$A$503,$A8,'Apontamento de Produção'!$C$4:$C$503),""),""))</f>
      </c>
      <c r="J8" s="35">
        <f>IF(A8="","",IFERROR(IF(AND(SUMIF('Apontamento de Produção'!$A$4:$A$503,$A8,'Apontamento de Produção'!$F$4:$F$503)&gt;0,SUMIF('Apontamento de Produção'!$A$4:$A$503,$A8,'Apontamento de Produção'!$E$4:$E$503)&lt;=SUMIF('Apontamento de Produção'!$A$4:$A$503,$A8,'Apontamento de Produção'!$F$4:$F$503)),SUMIF('Apontamento de Produção'!$A$4:$A$503,$A8,'Apontamento de Produção'!$E$4:$E$503)/SUMIF('Apontamento de Produção'!$A$4:$A$503,$A8,'Apontamento de Produção'!$F$4:$F$503),""),""))</f>
      </c>
      <c r="K8" s="35">
        <f>IF(A8="","",IFERROR(IF(AND(SUMIF('Apontamento de Produção'!$A$4:$A$503,$A8,'Apontamento de Produção'!$E$4:$E$503)&gt;0,SUMIF('Apontamento de Produção'!$A$4:$A$503,$A8,'Apontamento de Produção'!$G$4:$G$503)&lt;=SUMIF('Apontamento de Produção'!$A$4:$A$503,$A8,'Apontamento de Produção'!$E$4:$E$503)),SUMIF('Apontamento de Produção'!$A$4:$A$503,$A8,'Apontamento de Produção'!$G$4:$G$503)/SUMIF('Apontamento de Produção'!$A$4:$A$503,$A8,'Apontamento de Produção'!$E$4:$E$503),""),""))</f>
      </c>
      <c r="L8" s="50">
        <f t="shared" si="4"/>
      </c>
      <c r="M8" s="32">
        <f t="shared" si="5"/>
      </c>
    </row>
    <row r="9" spans="1:13" x14ac:dyDescent="0.25">
      <c r="A9" s="36">
        <f t="shared" si="0"/>
      </c>
      <c r="B9" s="37">
        <f>IF(A9="","",COUNTIFS(Programação!$C$4:$C$503,A9,Programação!$D$4:$D$503,"Corretiva"))</f>
      </c>
      <c r="C9" s="49">
        <f>IF(A9="","",SUMIFS(Programação!$H$4:$H$503,Programação!$C$4:$C$503,A9,Programação!$D$4:$D$503,"Corretiva"))</f>
      </c>
      <c r="D9" s="49">
        <f t="shared" si="1"/>
      </c>
      <c r="E9" s="39">
        <f>IF(N(B9)=0,"",IFERROR(_xlfn.AGGREGATE(15,6,Programação!$G$4:$G$503/((Programação!$C$4:$C$503=A9)*(Programação!$D$4:$D$503="Corretiva")*ISNUMBER(Programação!$G$4:$G$503)),1),""))</f>
      </c>
      <c r="F9" s="39">
        <f>IF(N(B9)=0,"",IFERROR(_xlfn.AGGREGATE(14,6,Programação!$G$4:$G$503/((Programação!$C$4:$C$503=A9)*(Programação!$D$4:$D$503="Corretiva")*ISNUMBER(Programação!$G$4:$G$503)),1),""))</f>
      </c>
      <c r="G9" s="49">
        <f t="shared" si="2"/>
      </c>
      <c r="H9" s="49">
        <f t="shared" si="3"/>
      </c>
      <c r="I9" s="35">
        <f>IF(A9="","",IFERROR(IF(AND(SUMIF('Apontamento de Produção'!$A$4:$A$503,$A9,'Apontamento de Produção'!$C$4:$C$503)&gt;0,SUMIF('Apontamento de Produção'!$A$4:$A$503,$A9,'Apontamento de Produção'!$D$4:$D$503)&lt;=SUMIF('Apontamento de Produção'!$A$4:$A$503,$A9,'Apontamento de Produção'!$C$4:$C$503)),SUMIF('Apontamento de Produção'!$A$4:$A$503,$A9,'Apontamento de Produção'!$D$4:$D$503)/SUMIF('Apontamento de Produção'!$A$4:$A$503,$A9,'Apontamento de Produção'!$C$4:$C$503),""),""))</f>
      </c>
      <c r="J9" s="35">
        <f>IF(A9="","",IFERROR(IF(AND(SUMIF('Apontamento de Produção'!$A$4:$A$503,$A9,'Apontamento de Produção'!$F$4:$F$503)&gt;0,SUMIF('Apontamento de Produção'!$A$4:$A$503,$A9,'Apontamento de Produção'!$E$4:$E$503)&lt;=SUMIF('Apontamento de Produção'!$A$4:$A$503,$A9,'Apontamento de Produção'!$F$4:$F$503)),SUMIF('Apontamento de Produção'!$A$4:$A$503,$A9,'Apontamento de Produção'!$E$4:$E$503)/SUMIF('Apontamento de Produção'!$A$4:$A$503,$A9,'Apontamento de Produção'!$F$4:$F$503),""),""))</f>
      </c>
      <c r="K9" s="35">
        <f>IF(A9="","",IFERROR(IF(AND(SUMIF('Apontamento de Produção'!$A$4:$A$503,$A9,'Apontamento de Produção'!$E$4:$E$503)&gt;0,SUMIF('Apontamento de Produção'!$A$4:$A$503,$A9,'Apontamento de Produção'!$G$4:$G$503)&lt;=SUMIF('Apontamento de Produção'!$A$4:$A$503,$A9,'Apontamento de Produção'!$E$4:$E$503)),SUMIF('Apontamento de Produção'!$A$4:$A$503,$A9,'Apontamento de Produção'!$G$4:$G$503)/SUMIF('Apontamento de Produção'!$A$4:$A$503,$A9,'Apontamento de Produção'!$E$4:$E$503),""),""))</f>
      </c>
      <c r="L9" s="50">
        <f t="shared" si="4"/>
      </c>
      <c r="M9" s="32">
        <f t="shared" si="5"/>
      </c>
    </row>
    <row r="10" spans="1:13" x14ac:dyDescent="0.25">
      <c r="A10" s="36">
        <f t="shared" si="0"/>
      </c>
      <c r="B10" s="37">
        <f>IF(A10="","",COUNTIFS(Programação!$C$4:$C$503,A10,Programação!$D$4:$D$503,"Corretiva"))</f>
      </c>
      <c r="C10" s="49">
        <f>IF(A10="","",SUMIFS(Programação!$H$4:$H$503,Programação!$C$4:$C$503,A10,Programação!$D$4:$D$503,"Corretiva"))</f>
      </c>
      <c r="D10" s="49">
        <f t="shared" si="1"/>
      </c>
      <c r="E10" s="39">
        <f>IF(N(B10)=0,"",IFERROR(_xlfn.AGGREGATE(15,6,Programação!$G$4:$G$503/((Programação!$C$4:$C$503=A10)*(Programação!$D$4:$D$503="Corretiva")*ISNUMBER(Programação!$G$4:$G$503)),1),""))</f>
      </c>
      <c r="F10" s="39">
        <f>IF(N(B10)=0,"",IFERROR(_xlfn.AGGREGATE(14,6,Programação!$G$4:$G$503/((Programação!$C$4:$C$503=A10)*(Programação!$D$4:$D$503="Corretiva")*ISNUMBER(Programação!$G$4:$G$503)),1),""))</f>
      </c>
      <c r="G10" s="49">
        <f t="shared" si="2"/>
      </c>
      <c r="H10" s="49">
        <f t="shared" si="3"/>
      </c>
      <c r="I10" s="35">
        <f>IF(A10="","",IFERROR(IF(AND(SUMIF('Apontamento de Produção'!$A$4:$A$503,$A10,'Apontamento de Produção'!$C$4:$C$503)&gt;0,SUMIF('Apontamento de Produção'!$A$4:$A$503,$A10,'Apontamento de Produção'!$D$4:$D$503)&lt;=SUMIF('Apontamento de Produção'!$A$4:$A$503,$A10,'Apontamento de Produção'!$C$4:$C$503)),SUMIF('Apontamento de Produção'!$A$4:$A$503,$A10,'Apontamento de Produção'!$D$4:$D$503)/SUMIF('Apontamento de Produção'!$A$4:$A$503,$A10,'Apontamento de Produção'!$C$4:$C$503),""),""))</f>
      </c>
      <c r="J10" s="35">
        <f>IF(A10="","",IFERROR(IF(AND(SUMIF('Apontamento de Produção'!$A$4:$A$503,$A10,'Apontamento de Produção'!$F$4:$F$503)&gt;0,SUMIF('Apontamento de Produção'!$A$4:$A$503,$A10,'Apontamento de Produção'!$E$4:$E$503)&lt;=SUMIF('Apontamento de Produção'!$A$4:$A$503,$A10,'Apontamento de Produção'!$F$4:$F$503)),SUMIF('Apontamento de Produção'!$A$4:$A$503,$A10,'Apontamento de Produção'!$E$4:$E$503)/SUMIF('Apontamento de Produção'!$A$4:$A$503,$A10,'Apontamento de Produção'!$F$4:$F$503),""),""))</f>
      </c>
      <c r="K10" s="35">
        <f>IF(A10="","",IFERROR(IF(AND(SUMIF('Apontamento de Produção'!$A$4:$A$503,$A10,'Apontamento de Produção'!$E$4:$E$503)&gt;0,SUMIF('Apontamento de Produção'!$A$4:$A$503,$A10,'Apontamento de Produção'!$G$4:$G$503)&lt;=SUMIF('Apontamento de Produção'!$A$4:$A$503,$A10,'Apontamento de Produção'!$E$4:$E$503)),SUMIF('Apontamento de Produção'!$A$4:$A$503,$A10,'Apontamento de Produção'!$G$4:$G$503)/SUMIF('Apontamento de Produção'!$A$4:$A$503,$A10,'Apontamento de Produção'!$E$4:$E$503),""),""))</f>
      </c>
      <c r="L10" s="50">
        <f t="shared" si="4"/>
      </c>
      <c r="M10" s="32">
        <f t="shared" si="5"/>
      </c>
    </row>
    <row r="11" spans="1:13" x14ac:dyDescent="0.25">
      <c r="A11" s="36">
        <f t="shared" si="0"/>
      </c>
      <c r="B11" s="37">
        <f>IF(A11="","",COUNTIFS(Programação!$C$4:$C$503,A11,Programação!$D$4:$D$503,"Corretiva"))</f>
      </c>
      <c r="C11" s="49">
        <f>IF(A11="","",SUMIFS(Programação!$H$4:$H$503,Programação!$C$4:$C$503,A11,Programação!$D$4:$D$503,"Corretiva"))</f>
      </c>
      <c r="D11" s="49">
        <f t="shared" si="1"/>
      </c>
      <c r="E11" s="39">
        <f>IF(N(B11)=0,"",IFERROR(_xlfn.AGGREGATE(15,6,Programação!$G$4:$G$503/((Programação!$C$4:$C$503=A11)*(Programação!$D$4:$D$503="Corretiva")*ISNUMBER(Programação!$G$4:$G$503)),1),""))</f>
      </c>
      <c r="F11" s="39">
        <f>IF(N(B11)=0,"",IFERROR(_xlfn.AGGREGATE(14,6,Programação!$G$4:$G$503/((Programação!$C$4:$C$503=A11)*(Programação!$D$4:$D$503="Corretiva")*ISNUMBER(Programação!$G$4:$G$503)),1),""))</f>
      </c>
      <c r="G11" s="49">
        <f t="shared" si="2"/>
      </c>
      <c r="H11" s="49">
        <f t="shared" si="3"/>
      </c>
      <c r="I11" s="35">
        <f>IF(A11="","",IFERROR(IF(AND(SUMIF('Apontamento de Produção'!$A$4:$A$503,$A11,'Apontamento de Produção'!$C$4:$C$503)&gt;0,SUMIF('Apontamento de Produção'!$A$4:$A$503,$A11,'Apontamento de Produção'!$D$4:$D$503)&lt;=SUMIF('Apontamento de Produção'!$A$4:$A$503,$A11,'Apontamento de Produção'!$C$4:$C$503)),SUMIF('Apontamento de Produção'!$A$4:$A$503,$A11,'Apontamento de Produção'!$D$4:$D$503)/SUMIF('Apontamento de Produção'!$A$4:$A$503,$A11,'Apontamento de Produção'!$C$4:$C$503),""),""))</f>
      </c>
      <c r="J11" s="35">
        <f>IF(A11="","",IFERROR(IF(AND(SUMIF('Apontamento de Produção'!$A$4:$A$503,$A11,'Apontamento de Produção'!$F$4:$F$503)&gt;0,SUMIF('Apontamento de Produção'!$A$4:$A$503,$A11,'Apontamento de Produção'!$E$4:$E$503)&lt;=SUMIF('Apontamento de Produção'!$A$4:$A$503,$A11,'Apontamento de Produção'!$F$4:$F$503)),SUMIF('Apontamento de Produção'!$A$4:$A$503,$A11,'Apontamento de Produção'!$E$4:$E$503)/SUMIF('Apontamento de Produção'!$A$4:$A$503,$A11,'Apontamento de Produção'!$F$4:$F$503),""),""))</f>
      </c>
      <c r="K11" s="35">
        <f>IF(A11="","",IFERROR(IF(AND(SUMIF('Apontamento de Produção'!$A$4:$A$503,$A11,'Apontamento de Produção'!$E$4:$E$503)&gt;0,SUMIF('Apontamento de Produção'!$A$4:$A$503,$A11,'Apontamento de Produção'!$G$4:$G$503)&lt;=SUMIF('Apontamento de Produção'!$A$4:$A$503,$A11,'Apontamento de Produção'!$E$4:$E$503)),SUMIF('Apontamento de Produção'!$A$4:$A$503,$A11,'Apontamento de Produção'!$G$4:$G$503)/SUMIF('Apontamento de Produção'!$A$4:$A$503,$A11,'Apontamento de Produção'!$E$4:$E$503),""),""))</f>
      </c>
      <c r="L11" s="50">
        <f t="shared" si="4"/>
      </c>
      <c r="M11" s="32">
        <f t="shared" si="5"/>
      </c>
    </row>
    <row r="12" spans="1:13" x14ac:dyDescent="0.25">
      <c r="A12" s="36">
        <f t="shared" si="0"/>
      </c>
      <c r="B12" s="37">
        <f>IF(A12="","",COUNTIFS(Programação!$C$4:$C$503,A12,Programação!$D$4:$D$503,"Corretiva"))</f>
      </c>
      <c r="C12" s="49">
        <f>IF(A12="","",SUMIFS(Programação!$H$4:$H$503,Programação!$C$4:$C$503,A12,Programação!$D$4:$D$503,"Corretiva"))</f>
      </c>
      <c r="D12" s="49">
        <f t="shared" si="1"/>
      </c>
      <c r="E12" s="39">
        <f>IF(N(B12)=0,"",IFERROR(_xlfn.AGGREGATE(15,6,Programação!$G$4:$G$503/((Programação!$C$4:$C$503=A12)*(Programação!$D$4:$D$503="Corretiva")*ISNUMBER(Programação!$G$4:$G$503)),1),""))</f>
      </c>
      <c r="F12" s="39">
        <f>IF(N(B12)=0,"",IFERROR(_xlfn.AGGREGATE(14,6,Programação!$G$4:$G$503/((Programação!$C$4:$C$503=A12)*(Programação!$D$4:$D$503="Corretiva")*ISNUMBER(Programação!$G$4:$G$503)),1),""))</f>
      </c>
      <c r="G12" s="49">
        <f t="shared" si="2"/>
      </c>
      <c r="H12" s="49">
        <f t="shared" si="3"/>
      </c>
      <c r="I12" s="35">
        <f>IF(A12="","",IFERROR(IF(AND(SUMIF('Apontamento de Produção'!$A$4:$A$503,$A12,'Apontamento de Produção'!$C$4:$C$503)&gt;0,SUMIF('Apontamento de Produção'!$A$4:$A$503,$A12,'Apontamento de Produção'!$D$4:$D$503)&lt;=SUMIF('Apontamento de Produção'!$A$4:$A$503,$A12,'Apontamento de Produção'!$C$4:$C$503)),SUMIF('Apontamento de Produção'!$A$4:$A$503,$A12,'Apontamento de Produção'!$D$4:$D$503)/SUMIF('Apontamento de Produção'!$A$4:$A$503,$A12,'Apontamento de Produção'!$C$4:$C$503),""),""))</f>
      </c>
      <c r="J12" s="35">
        <f>IF(A12="","",IFERROR(IF(AND(SUMIF('Apontamento de Produção'!$A$4:$A$503,$A12,'Apontamento de Produção'!$F$4:$F$503)&gt;0,SUMIF('Apontamento de Produção'!$A$4:$A$503,$A12,'Apontamento de Produção'!$E$4:$E$503)&lt;=SUMIF('Apontamento de Produção'!$A$4:$A$503,$A12,'Apontamento de Produção'!$F$4:$F$503)),SUMIF('Apontamento de Produção'!$A$4:$A$503,$A12,'Apontamento de Produção'!$E$4:$E$503)/SUMIF('Apontamento de Produção'!$A$4:$A$503,$A12,'Apontamento de Produção'!$F$4:$F$503),""),""))</f>
      </c>
      <c r="K12" s="35">
        <f>IF(A12="","",IFERROR(IF(AND(SUMIF('Apontamento de Produção'!$A$4:$A$503,$A12,'Apontamento de Produção'!$E$4:$E$503)&gt;0,SUMIF('Apontamento de Produção'!$A$4:$A$503,$A12,'Apontamento de Produção'!$G$4:$G$503)&lt;=SUMIF('Apontamento de Produção'!$A$4:$A$503,$A12,'Apontamento de Produção'!$E$4:$E$503)),SUMIF('Apontamento de Produção'!$A$4:$A$503,$A12,'Apontamento de Produção'!$G$4:$G$503)/SUMIF('Apontamento de Produção'!$A$4:$A$503,$A12,'Apontamento de Produção'!$E$4:$E$503),""),""))</f>
      </c>
      <c r="L12" s="50">
        <f t="shared" si="4"/>
      </c>
      <c r="M12" s="32">
        <f t="shared" si="5"/>
      </c>
    </row>
    <row r="13" spans="1:13" x14ac:dyDescent="0.25">
      <c r="A13" s="36">
        <f t="shared" si="0"/>
      </c>
      <c r="B13" s="37">
        <f>IF(A13="","",COUNTIFS(Programação!$C$4:$C$503,A13,Programação!$D$4:$D$503,"Corretiva"))</f>
      </c>
      <c r="C13" s="49">
        <f>IF(A13="","",SUMIFS(Programação!$H$4:$H$503,Programação!$C$4:$C$503,A13,Programação!$D$4:$D$503,"Corretiva"))</f>
      </c>
      <c r="D13" s="49">
        <f t="shared" si="1"/>
      </c>
      <c r="E13" s="39">
        <f>IF(N(B13)=0,"",IFERROR(_xlfn.AGGREGATE(15,6,Programação!$G$4:$G$503/((Programação!$C$4:$C$503=A13)*(Programação!$D$4:$D$503="Corretiva")*ISNUMBER(Programação!$G$4:$G$503)),1),""))</f>
      </c>
      <c r="F13" s="39">
        <f>IF(N(B13)=0,"",IFERROR(_xlfn.AGGREGATE(14,6,Programação!$G$4:$G$503/((Programação!$C$4:$C$503=A13)*(Programação!$D$4:$D$503="Corretiva")*ISNUMBER(Programação!$G$4:$G$503)),1),""))</f>
      </c>
      <c r="G13" s="49">
        <f t="shared" si="2"/>
      </c>
      <c r="H13" s="49">
        <f t="shared" si="3"/>
      </c>
      <c r="I13" s="35">
        <f>IF(A13="","",IFERROR(IF(AND(SUMIF('Apontamento de Produção'!$A$4:$A$503,$A13,'Apontamento de Produção'!$C$4:$C$503)&gt;0,SUMIF('Apontamento de Produção'!$A$4:$A$503,$A13,'Apontamento de Produção'!$D$4:$D$503)&lt;=SUMIF('Apontamento de Produção'!$A$4:$A$503,$A13,'Apontamento de Produção'!$C$4:$C$503)),SUMIF('Apontamento de Produção'!$A$4:$A$503,$A13,'Apontamento de Produção'!$D$4:$D$503)/SUMIF('Apontamento de Produção'!$A$4:$A$503,$A13,'Apontamento de Produção'!$C$4:$C$503),""),""))</f>
      </c>
      <c r="J13" s="35">
        <f>IF(A13="","",IFERROR(IF(AND(SUMIF('Apontamento de Produção'!$A$4:$A$503,$A13,'Apontamento de Produção'!$F$4:$F$503)&gt;0,SUMIF('Apontamento de Produção'!$A$4:$A$503,$A13,'Apontamento de Produção'!$E$4:$E$503)&lt;=SUMIF('Apontamento de Produção'!$A$4:$A$503,$A13,'Apontamento de Produção'!$F$4:$F$503)),SUMIF('Apontamento de Produção'!$A$4:$A$503,$A13,'Apontamento de Produção'!$E$4:$E$503)/SUMIF('Apontamento de Produção'!$A$4:$A$503,$A13,'Apontamento de Produção'!$F$4:$F$503),""),""))</f>
      </c>
      <c r="K13" s="35">
        <f>IF(A13="","",IFERROR(IF(AND(SUMIF('Apontamento de Produção'!$A$4:$A$503,$A13,'Apontamento de Produção'!$E$4:$E$503)&gt;0,SUMIF('Apontamento de Produção'!$A$4:$A$503,$A13,'Apontamento de Produção'!$G$4:$G$503)&lt;=SUMIF('Apontamento de Produção'!$A$4:$A$503,$A13,'Apontamento de Produção'!$E$4:$E$503)),SUMIF('Apontamento de Produção'!$A$4:$A$503,$A13,'Apontamento de Produção'!$G$4:$G$503)/SUMIF('Apontamento de Produção'!$A$4:$A$503,$A13,'Apontamento de Produção'!$E$4:$E$503),""),""))</f>
      </c>
      <c r="L13" s="50">
        <f t="shared" si="4"/>
      </c>
      <c r="M13" s="32">
        <f t="shared" si="5"/>
      </c>
    </row>
    <row r="14" spans="1:13" x14ac:dyDescent="0.25">
      <c r="A14" s="36">
        <f t="shared" si="0"/>
      </c>
      <c r="B14" s="37">
        <f>IF(A14="","",COUNTIFS(Programação!$C$4:$C$503,A14,Programação!$D$4:$D$503,"Corretiva"))</f>
      </c>
      <c r="C14" s="49">
        <f>IF(A14="","",SUMIFS(Programação!$H$4:$H$503,Programação!$C$4:$C$503,A14,Programação!$D$4:$D$503,"Corretiva"))</f>
      </c>
      <c r="D14" s="49">
        <f t="shared" si="1"/>
      </c>
      <c r="E14" s="39">
        <f>IF(N(B14)=0,"",IFERROR(_xlfn.AGGREGATE(15,6,Programação!$G$4:$G$503/((Programação!$C$4:$C$503=A14)*(Programação!$D$4:$D$503="Corretiva")*ISNUMBER(Programação!$G$4:$G$503)),1),""))</f>
      </c>
      <c r="F14" s="39">
        <f>IF(N(B14)=0,"",IFERROR(_xlfn.AGGREGATE(14,6,Programação!$G$4:$G$503/((Programação!$C$4:$C$503=A14)*(Programação!$D$4:$D$503="Corretiva")*ISNUMBER(Programação!$G$4:$G$503)),1),""))</f>
      </c>
      <c r="G14" s="49">
        <f t="shared" si="2"/>
      </c>
      <c r="H14" s="49">
        <f t="shared" si="3"/>
      </c>
      <c r="I14" s="35">
        <f>IF(A14="","",IFERROR(IF(AND(SUMIF('Apontamento de Produção'!$A$4:$A$503,$A14,'Apontamento de Produção'!$C$4:$C$503)&gt;0,SUMIF('Apontamento de Produção'!$A$4:$A$503,$A14,'Apontamento de Produção'!$D$4:$D$503)&lt;=SUMIF('Apontamento de Produção'!$A$4:$A$503,$A14,'Apontamento de Produção'!$C$4:$C$503)),SUMIF('Apontamento de Produção'!$A$4:$A$503,$A14,'Apontamento de Produção'!$D$4:$D$503)/SUMIF('Apontamento de Produção'!$A$4:$A$503,$A14,'Apontamento de Produção'!$C$4:$C$503),""),""))</f>
      </c>
      <c r="J14" s="35">
        <f>IF(A14="","",IFERROR(IF(AND(SUMIF('Apontamento de Produção'!$A$4:$A$503,$A14,'Apontamento de Produção'!$F$4:$F$503)&gt;0,SUMIF('Apontamento de Produção'!$A$4:$A$503,$A14,'Apontamento de Produção'!$E$4:$E$503)&lt;=SUMIF('Apontamento de Produção'!$A$4:$A$503,$A14,'Apontamento de Produção'!$F$4:$F$503)),SUMIF('Apontamento de Produção'!$A$4:$A$503,$A14,'Apontamento de Produção'!$E$4:$E$503)/SUMIF('Apontamento de Produção'!$A$4:$A$503,$A14,'Apontamento de Produção'!$F$4:$F$503),""),""))</f>
      </c>
      <c r="K14" s="35">
        <f>IF(A14="","",IFERROR(IF(AND(SUMIF('Apontamento de Produção'!$A$4:$A$503,$A14,'Apontamento de Produção'!$E$4:$E$503)&gt;0,SUMIF('Apontamento de Produção'!$A$4:$A$503,$A14,'Apontamento de Produção'!$G$4:$G$503)&lt;=SUMIF('Apontamento de Produção'!$A$4:$A$503,$A14,'Apontamento de Produção'!$E$4:$E$503)),SUMIF('Apontamento de Produção'!$A$4:$A$503,$A14,'Apontamento de Produção'!$G$4:$G$503)/SUMIF('Apontamento de Produção'!$A$4:$A$503,$A14,'Apontamento de Produção'!$E$4:$E$503),""),""))</f>
      </c>
      <c r="L14" s="50">
        <f t="shared" si="4"/>
      </c>
      <c r="M14" s="32">
        <f t="shared" si="5"/>
      </c>
    </row>
    <row r="15" spans="1:13" x14ac:dyDescent="0.25">
      <c r="A15" s="36">
        <f t="shared" si="0"/>
      </c>
      <c r="B15" s="37">
        <f>IF(A15="","",COUNTIFS(Programação!$C$4:$C$503,A15,Programação!$D$4:$D$503,"Corretiva"))</f>
      </c>
      <c r="C15" s="49">
        <f>IF(A15="","",SUMIFS(Programação!$H$4:$H$503,Programação!$C$4:$C$503,A15,Programação!$D$4:$D$503,"Corretiva"))</f>
      </c>
      <c r="D15" s="49">
        <f t="shared" si="1"/>
      </c>
      <c r="E15" s="39">
        <f>IF(N(B15)=0,"",IFERROR(_xlfn.AGGREGATE(15,6,Programação!$G$4:$G$503/((Programação!$C$4:$C$503=A15)*(Programação!$D$4:$D$503="Corretiva")*ISNUMBER(Programação!$G$4:$G$503)),1),""))</f>
      </c>
      <c r="F15" s="39">
        <f>IF(N(B15)=0,"",IFERROR(_xlfn.AGGREGATE(14,6,Programação!$G$4:$G$503/((Programação!$C$4:$C$503=A15)*(Programação!$D$4:$D$503="Corretiva")*ISNUMBER(Programação!$G$4:$G$503)),1),""))</f>
      </c>
      <c r="G15" s="49">
        <f t="shared" si="2"/>
      </c>
      <c r="H15" s="49">
        <f t="shared" si="3"/>
      </c>
      <c r="I15" s="35">
        <f>IF(A15="","",IFERROR(IF(AND(SUMIF('Apontamento de Produção'!$A$4:$A$503,$A15,'Apontamento de Produção'!$C$4:$C$503)&gt;0,SUMIF('Apontamento de Produção'!$A$4:$A$503,$A15,'Apontamento de Produção'!$D$4:$D$503)&lt;=SUMIF('Apontamento de Produção'!$A$4:$A$503,$A15,'Apontamento de Produção'!$C$4:$C$503)),SUMIF('Apontamento de Produção'!$A$4:$A$503,$A15,'Apontamento de Produção'!$D$4:$D$503)/SUMIF('Apontamento de Produção'!$A$4:$A$503,$A15,'Apontamento de Produção'!$C$4:$C$503),""),""))</f>
      </c>
      <c r="J15" s="35">
        <f>IF(A15="","",IFERROR(IF(AND(SUMIF('Apontamento de Produção'!$A$4:$A$503,$A15,'Apontamento de Produção'!$F$4:$F$503)&gt;0,SUMIF('Apontamento de Produção'!$A$4:$A$503,$A15,'Apontamento de Produção'!$E$4:$E$503)&lt;=SUMIF('Apontamento de Produção'!$A$4:$A$503,$A15,'Apontamento de Produção'!$F$4:$F$503)),SUMIF('Apontamento de Produção'!$A$4:$A$503,$A15,'Apontamento de Produção'!$E$4:$E$503)/SUMIF('Apontamento de Produção'!$A$4:$A$503,$A15,'Apontamento de Produção'!$F$4:$F$503),""),""))</f>
      </c>
      <c r="K15" s="35">
        <f>IF(A15="","",IFERROR(IF(AND(SUMIF('Apontamento de Produção'!$A$4:$A$503,$A15,'Apontamento de Produção'!$E$4:$E$503)&gt;0,SUMIF('Apontamento de Produção'!$A$4:$A$503,$A15,'Apontamento de Produção'!$G$4:$G$503)&lt;=SUMIF('Apontamento de Produção'!$A$4:$A$503,$A15,'Apontamento de Produção'!$E$4:$E$503)),SUMIF('Apontamento de Produção'!$A$4:$A$503,$A15,'Apontamento de Produção'!$G$4:$G$503)/SUMIF('Apontamento de Produção'!$A$4:$A$503,$A15,'Apontamento de Produção'!$E$4:$E$503),""),""))</f>
      </c>
      <c r="L15" s="50">
        <f t="shared" si="4"/>
      </c>
      <c r="M15" s="32">
        <f t="shared" si="5"/>
      </c>
    </row>
    <row r="16" spans="1:13" x14ac:dyDescent="0.25">
      <c r="A16" s="36">
        <f t="shared" si="0"/>
      </c>
      <c r="B16" s="37">
        <f>IF(A16="","",COUNTIFS(Programação!$C$4:$C$503,A16,Programação!$D$4:$D$503,"Corretiva"))</f>
      </c>
      <c r="C16" s="49">
        <f>IF(A16="","",SUMIFS(Programação!$H$4:$H$503,Programação!$C$4:$C$503,A16,Programação!$D$4:$D$503,"Corretiva"))</f>
      </c>
      <c r="D16" s="49">
        <f t="shared" si="1"/>
      </c>
      <c r="E16" s="39">
        <f>IF(N(B16)=0,"",IFERROR(_xlfn.AGGREGATE(15,6,Programação!$G$4:$G$503/((Programação!$C$4:$C$503=A16)*(Programação!$D$4:$D$503="Corretiva")*ISNUMBER(Programação!$G$4:$G$503)),1),""))</f>
      </c>
      <c r="F16" s="39">
        <f>IF(N(B16)=0,"",IFERROR(_xlfn.AGGREGATE(14,6,Programação!$G$4:$G$503/((Programação!$C$4:$C$503=A16)*(Programação!$D$4:$D$503="Corretiva")*ISNUMBER(Programação!$G$4:$G$503)),1),""))</f>
      </c>
      <c r="G16" s="49">
        <f t="shared" si="2"/>
      </c>
      <c r="H16" s="49">
        <f t="shared" si="3"/>
      </c>
      <c r="I16" s="35">
        <f>IF(A16="","",IFERROR(IF(AND(SUMIF('Apontamento de Produção'!$A$4:$A$503,$A16,'Apontamento de Produção'!$C$4:$C$503)&gt;0,SUMIF('Apontamento de Produção'!$A$4:$A$503,$A16,'Apontamento de Produção'!$D$4:$D$503)&lt;=SUMIF('Apontamento de Produção'!$A$4:$A$503,$A16,'Apontamento de Produção'!$C$4:$C$503)),SUMIF('Apontamento de Produção'!$A$4:$A$503,$A16,'Apontamento de Produção'!$D$4:$D$503)/SUMIF('Apontamento de Produção'!$A$4:$A$503,$A16,'Apontamento de Produção'!$C$4:$C$503),""),""))</f>
      </c>
      <c r="J16" s="35">
        <f>IF(A16="","",IFERROR(IF(AND(SUMIF('Apontamento de Produção'!$A$4:$A$503,$A16,'Apontamento de Produção'!$F$4:$F$503)&gt;0,SUMIF('Apontamento de Produção'!$A$4:$A$503,$A16,'Apontamento de Produção'!$E$4:$E$503)&lt;=SUMIF('Apontamento de Produção'!$A$4:$A$503,$A16,'Apontamento de Produção'!$F$4:$F$503)),SUMIF('Apontamento de Produção'!$A$4:$A$503,$A16,'Apontamento de Produção'!$E$4:$E$503)/SUMIF('Apontamento de Produção'!$A$4:$A$503,$A16,'Apontamento de Produção'!$F$4:$F$503),""),""))</f>
      </c>
      <c r="K16" s="35">
        <f>IF(A16="","",IFERROR(IF(AND(SUMIF('Apontamento de Produção'!$A$4:$A$503,$A16,'Apontamento de Produção'!$E$4:$E$503)&gt;0,SUMIF('Apontamento de Produção'!$A$4:$A$503,$A16,'Apontamento de Produção'!$G$4:$G$503)&lt;=SUMIF('Apontamento de Produção'!$A$4:$A$503,$A16,'Apontamento de Produção'!$E$4:$E$503)),SUMIF('Apontamento de Produção'!$A$4:$A$503,$A16,'Apontamento de Produção'!$G$4:$G$503)/SUMIF('Apontamento de Produção'!$A$4:$A$503,$A16,'Apontamento de Produção'!$E$4:$E$503),""),""))</f>
      </c>
      <c r="L16" s="50">
        <f t="shared" si="4"/>
      </c>
      <c r="M16" s="32">
        <f t="shared" si="5"/>
      </c>
    </row>
    <row r="17" spans="1:13" x14ac:dyDescent="0.25">
      <c r="A17" s="36">
        <f t="shared" si="0"/>
      </c>
      <c r="B17" s="37">
        <f>IF(A17="","",COUNTIFS(Programação!$C$4:$C$503,A17,Programação!$D$4:$D$503,"Corretiva"))</f>
      </c>
      <c r="C17" s="49">
        <f>IF(A17="","",SUMIFS(Programação!$H$4:$H$503,Programação!$C$4:$C$503,A17,Programação!$D$4:$D$503,"Corretiva"))</f>
      </c>
      <c r="D17" s="49">
        <f t="shared" si="1"/>
      </c>
      <c r="E17" s="39">
        <f>IF(N(B17)=0,"",IFERROR(_xlfn.AGGREGATE(15,6,Programação!$G$4:$G$503/((Programação!$C$4:$C$503=A17)*(Programação!$D$4:$D$503="Corretiva")*ISNUMBER(Programação!$G$4:$G$503)),1),""))</f>
      </c>
      <c r="F17" s="39">
        <f>IF(N(B17)=0,"",IFERROR(_xlfn.AGGREGATE(14,6,Programação!$G$4:$G$503/((Programação!$C$4:$C$503=A17)*(Programação!$D$4:$D$503="Corretiva")*ISNUMBER(Programação!$G$4:$G$503)),1),""))</f>
      </c>
      <c r="G17" s="49">
        <f t="shared" si="2"/>
      </c>
      <c r="H17" s="49">
        <f t="shared" si="3"/>
      </c>
      <c r="I17" s="35">
        <f>IF(A17="","",IFERROR(IF(AND(SUMIF('Apontamento de Produção'!$A$4:$A$503,$A17,'Apontamento de Produção'!$C$4:$C$503)&gt;0,SUMIF('Apontamento de Produção'!$A$4:$A$503,$A17,'Apontamento de Produção'!$D$4:$D$503)&lt;=SUMIF('Apontamento de Produção'!$A$4:$A$503,$A17,'Apontamento de Produção'!$C$4:$C$503)),SUMIF('Apontamento de Produção'!$A$4:$A$503,$A17,'Apontamento de Produção'!$D$4:$D$503)/SUMIF('Apontamento de Produção'!$A$4:$A$503,$A17,'Apontamento de Produção'!$C$4:$C$503),""),""))</f>
      </c>
      <c r="J17" s="35">
        <f>IF(A17="","",IFERROR(IF(AND(SUMIF('Apontamento de Produção'!$A$4:$A$503,$A17,'Apontamento de Produção'!$F$4:$F$503)&gt;0,SUMIF('Apontamento de Produção'!$A$4:$A$503,$A17,'Apontamento de Produção'!$E$4:$E$503)&lt;=SUMIF('Apontamento de Produção'!$A$4:$A$503,$A17,'Apontamento de Produção'!$F$4:$F$503)),SUMIF('Apontamento de Produção'!$A$4:$A$503,$A17,'Apontamento de Produção'!$E$4:$E$503)/SUMIF('Apontamento de Produção'!$A$4:$A$503,$A17,'Apontamento de Produção'!$F$4:$F$503),""),""))</f>
      </c>
      <c r="K17" s="35">
        <f>IF(A17="","",IFERROR(IF(AND(SUMIF('Apontamento de Produção'!$A$4:$A$503,$A17,'Apontamento de Produção'!$E$4:$E$503)&gt;0,SUMIF('Apontamento de Produção'!$A$4:$A$503,$A17,'Apontamento de Produção'!$G$4:$G$503)&lt;=SUMIF('Apontamento de Produção'!$A$4:$A$503,$A17,'Apontamento de Produção'!$E$4:$E$503)),SUMIF('Apontamento de Produção'!$A$4:$A$503,$A17,'Apontamento de Produção'!$G$4:$G$503)/SUMIF('Apontamento de Produção'!$A$4:$A$503,$A17,'Apontamento de Produção'!$E$4:$E$503),""),""))</f>
      </c>
      <c r="L17" s="50">
        <f t="shared" si="4"/>
      </c>
      <c r="M17" s="32">
        <f t="shared" si="5"/>
      </c>
    </row>
    <row r="18" spans="1:13" x14ac:dyDescent="0.25">
      <c r="A18" s="36">
        <f t="shared" si="0"/>
      </c>
      <c r="B18" s="37">
        <f>IF(A18="","",COUNTIFS(Programação!$C$4:$C$503,A18,Programação!$D$4:$D$503,"Corretiva"))</f>
      </c>
      <c r="C18" s="49">
        <f>IF(A18="","",SUMIFS(Programação!$H$4:$H$503,Programação!$C$4:$C$503,A18,Programação!$D$4:$D$503,"Corretiva"))</f>
      </c>
      <c r="D18" s="49">
        <f t="shared" si="1"/>
      </c>
      <c r="E18" s="39">
        <f>IF(N(B18)=0,"",IFERROR(_xlfn.AGGREGATE(15,6,Programação!$G$4:$G$503/((Programação!$C$4:$C$503=A18)*(Programação!$D$4:$D$503="Corretiva")*ISNUMBER(Programação!$G$4:$G$503)),1),""))</f>
      </c>
      <c r="F18" s="39">
        <f>IF(N(B18)=0,"",IFERROR(_xlfn.AGGREGATE(14,6,Programação!$G$4:$G$503/((Programação!$C$4:$C$503=A18)*(Programação!$D$4:$D$503="Corretiva")*ISNUMBER(Programação!$G$4:$G$503)),1),""))</f>
      </c>
      <c r="G18" s="49">
        <f t="shared" si="2"/>
      </c>
      <c r="H18" s="49">
        <f t="shared" si="3"/>
      </c>
      <c r="I18" s="35">
        <f>IF(A18="","",IFERROR(IF(AND(SUMIF('Apontamento de Produção'!$A$4:$A$503,$A18,'Apontamento de Produção'!$C$4:$C$503)&gt;0,SUMIF('Apontamento de Produção'!$A$4:$A$503,$A18,'Apontamento de Produção'!$D$4:$D$503)&lt;=SUMIF('Apontamento de Produção'!$A$4:$A$503,$A18,'Apontamento de Produção'!$C$4:$C$503)),SUMIF('Apontamento de Produção'!$A$4:$A$503,$A18,'Apontamento de Produção'!$D$4:$D$503)/SUMIF('Apontamento de Produção'!$A$4:$A$503,$A18,'Apontamento de Produção'!$C$4:$C$503),""),""))</f>
      </c>
      <c r="J18" s="35">
        <f>IF(A18="","",IFERROR(IF(AND(SUMIF('Apontamento de Produção'!$A$4:$A$503,$A18,'Apontamento de Produção'!$F$4:$F$503)&gt;0,SUMIF('Apontamento de Produção'!$A$4:$A$503,$A18,'Apontamento de Produção'!$E$4:$E$503)&lt;=SUMIF('Apontamento de Produção'!$A$4:$A$503,$A18,'Apontamento de Produção'!$F$4:$F$503)),SUMIF('Apontamento de Produção'!$A$4:$A$503,$A18,'Apontamento de Produção'!$E$4:$E$503)/SUMIF('Apontamento de Produção'!$A$4:$A$503,$A18,'Apontamento de Produção'!$F$4:$F$503),""),""))</f>
      </c>
      <c r="K18" s="35">
        <f>IF(A18="","",IFERROR(IF(AND(SUMIF('Apontamento de Produção'!$A$4:$A$503,$A18,'Apontamento de Produção'!$E$4:$E$503)&gt;0,SUMIF('Apontamento de Produção'!$A$4:$A$503,$A18,'Apontamento de Produção'!$G$4:$G$503)&lt;=SUMIF('Apontamento de Produção'!$A$4:$A$503,$A18,'Apontamento de Produção'!$E$4:$E$503)),SUMIF('Apontamento de Produção'!$A$4:$A$503,$A18,'Apontamento de Produção'!$G$4:$G$503)/SUMIF('Apontamento de Produção'!$A$4:$A$503,$A18,'Apontamento de Produção'!$E$4:$E$503),""),""))</f>
      </c>
      <c r="L18" s="50">
        <f t="shared" si="4"/>
      </c>
      <c r="M18" s="32">
        <f t="shared" si="5"/>
      </c>
    </row>
    <row r="19" spans="1:13" x14ac:dyDescent="0.25">
      <c r="A19" s="36">
        <f t="shared" si="0"/>
      </c>
      <c r="B19" s="37">
        <f>IF(A19="","",COUNTIFS(Programação!$C$4:$C$503,A19,Programação!$D$4:$D$503,"Corretiva"))</f>
      </c>
      <c r="C19" s="49">
        <f>IF(A19="","",SUMIFS(Programação!$H$4:$H$503,Programação!$C$4:$C$503,A19,Programação!$D$4:$D$503,"Corretiva"))</f>
      </c>
      <c r="D19" s="49">
        <f t="shared" si="1"/>
      </c>
      <c r="E19" s="39">
        <f>IF(N(B19)=0,"",IFERROR(_xlfn.AGGREGATE(15,6,Programação!$G$4:$G$503/((Programação!$C$4:$C$503=A19)*(Programação!$D$4:$D$503="Corretiva")*ISNUMBER(Programação!$G$4:$G$503)),1),""))</f>
      </c>
      <c r="F19" s="39">
        <f>IF(N(B19)=0,"",IFERROR(_xlfn.AGGREGATE(14,6,Programação!$G$4:$G$503/((Programação!$C$4:$C$503=A19)*(Programação!$D$4:$D$503="Corretiva")*ISNUMBER(Programação!$G$4:$G$503)),1),""))</f>
      </c>
      <c r="G19" s="49">
        <f t="shared" si="2"/>
      </c>
      <c r="H19" s="49">
        <f t="shared" si="3"/>
      </c>
      <c r="I19" s="35">
        <f>IF(A19="","",IFERROR(IF(AND(SUMIF('Apontamento de Produção'!$A$4:$A$503,$A19,'Apontamento de Produção'!$C$4:$C$503)&gt;0,SUMIF('Apontamento de Produção'!$A$4:$A$503,$A19,'Apontamento de Produção'!$D$4:$D$503)&lt;=SUMIF('Apontamento de Produção'!$A$4:$A$503,$A19,'Apontamento de Produção'!$C$4:$C$503)),SUMIF('Apontamento de Produção'!$A$4:$A$503,$A19,'Apontamento de Produção'!$D$4:$D$503)/SUMIF('Apontamento de Produção'!$A$4:$A$503,$A19,'Apontamento de Produção'!$C$4:$C$503),""),""))</f>
      </c>
      <c r="J19" s="35">
        <f>IF(A19="","",IFERROR(IF(AND(SUMIF('Apontamento de Produção'!$A$4:$A$503,$A19,'Apontamento de Produção'!$F$4:$F$503)&gt;0,SUMIF('Apontamento de Produção'!$A$4:$A$503,$A19,'Apontamento de Produção'!$E$4:$E$503)&lt;=SUMIF('Apontamento de Produção'!$A$4:$A$503,$A19,'Apontamento de Produção'!$F$4:$F$503)),SUMIF('Apontamento de Produção'!$A$4:$A$503,$A19,'Apontamento de Produção'!$E$4:$E$503)/SUMIF('Apontamento de Produção'!$A$4:$A$503,$A19,'Apontamento de Produção'!$F$4:$F$503),""),""))</f>
      </c>
      <c r="K19" s="35">
        <f>IF(A19="","",IFERROR(IF(AND(SUMIF('Apontamento de Produção'!$A$4:$A$503,$A19,'Apontamento de Produção'!$E$4:$E$503)&gt;0,SUMIF('Apontamento de Produção'!$A$4:$A$503,$A19,'Apontamento de Produção'!$G$4:$G$503)&lt;=SUMIF('Apontamento de Produção'!$A$4:$A$503,$A19,'Apontamento de Produção'!$E$4:$E$503)),SUMIF('Apontamento de Produção'!$A$4:$A$503,$A19,'Apontamento de Produção'!$G$4:$G$503)/SUMIF('Apontamento de Produção'!$A$4:$A$503,$A19,'Apontamento de Produção'!$E$4:$E$503),""),""))</f>
      </c>
      <c r="L19" s="50">
        <f t="shared" si="4"/>
      </c>
      <c r="M19" s="32">
        <f t="shared" si="5"/>
      </c>
    </row>
    <row r="20" spans="1:13" x14ac:dyDescent="0.25">
      <c r="A20" s="36">
        <f t="shared" si="0"/>
      </c>
      <c r="B20" s="37">
        <f>IF(A20="","",COUNTIFS(Programação!$C$4:$C$503,A20,Programação!$D$4:$D$503,"Corretiva"))</f>
      </c>
      <c r="C20" s="49">
        <f>IF(A20="","",SUMIFS(Programação!$H$4:$H$503,Programação!$C$4:$C$503,A20,Programação!$D$4:$D$503,"Corretiva"))</f>
      </c>
      <c r="D20" s="49">
        <f t="shared" si="1"/>
      </c>
      <c r="E20" s="39">
        <f>IF(N(B20)=0,"",IFERROR(_xlfn.AGGREGATE(15,6,Programação!$G$4:$G$503/((Programação!$C$4:$C$503=A20)*(Programação!$D$4:$D$503="Corretiva")*ISNUMBER(Programação!$G$4:$G$503)),1),""))</f>
      </c>
      <c r="F20" s="39">
        <f>IF(N(B20)=0,"",IFERROR(_xlfn.AGGREGATE(14,6,Programação!$G$4:$G$503/((Programação!$C$4:$C$503=A20)*(Programação!$D$4:$D$503="Corretiva")*ISNUMBER(Programação!$G$4:$G$503)),1),""))</f>
      </c>
      <c r="G20" s="49">
        <f t="shared" si="2"/>
      </c>
      <c r="H20" s="49">
        <f t="shared" si="3"/>
      </c>
      <c r="I20" s="35">
        <f>IF(A20="","",IFERROR(IF(AND(SUMIF('Apontamento de Produção'!$A$4:$A$503,$A20,'Apontamento de Produção'!$C$4:$C$503)&gt;0,SUMIF('Apontamento de Produção'!$A$4:$A$503,$A20,'Apontamento de Produção'!$D$4:$D$503)&lt;=SUMIF('Apontamento de Produção'!$A$4:$A$503,$A20,'Apontamento de Produção'!$C$4:$C$503)),SUMIF('Apontamento de Produção'!$A$4:$A$503,$A20,'Apontamento de Produção'!$D$4:$D$503)/SUMIF('Apontamento de Produção'!$A$4:$A$503,$A20,'Apontamento de Produção'!$C$4:$C$503),""),""))</f>
      </c>
      <c r="J20" s="35">
        <f>IF(A20="","",IFERROR(IF(AND(SUMIF('Apontamento de Produção'!$A$4:$A$503,$A20,'Apontamento de Produção'!$F$4:$F$503)&gt;0,SUMIF('Apontamento de Produção'!$A$4:$A$503,$A20,'Apontamento de Produção'!$E$4:$E$503)&lt;=SUMIF('Apontamento de Produção'!$A$4:$A$503,$A20,'Apontamento de Produção'!$F$4:$F$503)),SUMIF('Apontamento de Produção'!$A$4:$A$503,$A20,'Apontamento de Produção'!$E$4:$E$503)/SUMIF('Apontamento de Produção'!$A$4:$A$503,$A20,'Apontamento de Produção'!$F$4:$F$503),""),""))</f>
      </c>
      <c r="K20" s="35">
        <f>IF(A20="","",IFERROR(IF(AND(SUMIF('Apontamento de Produção'!$A$4:$A$503,$A20,'Apontamento de Produção'!$E$4:$E$503)&gt;0,SUMIF('Apontamento de Produção'!$A$4:$A$503,$A20,'Apontamento de Produção'!$G$4:$G$503)&lt;=SUMIF('Apontamento de Produção'!$A$4:$A$503,$A20,'Apontamento de Produção'!$E$4:$E$503)),SUMIF('Apontamento de Produção'!$A$4:$A$503,$A20,'Apontamento de Produção'!$G$4:$G$503)/SUMIF('Apontamento de Produção'!$A$4:$A$503,$A20,'Apontamento de Produção'!$E$4:$E$503),""),""))</f>
      </c>
      <c r="L20" s="50">
        <f t="shared" si="4"/>
      </c>
      <c r="M20" s="32">
        <f t="shared" si="5"/>
      </c>
    </row>
    <row r="21" spans="1:13" x14ac:dyDescent="0.25">
      <c r="A21" s="36">
        <f t="shared" si="0"/>
      </c>
      <c r="B21" s="37">
        <f>IF(A21="","",COUNTIFS(Programação!$C$4:$C$503,A21,Programação!$D$4:$D$503,"Corretiva"))</f>
      </c>
      <c r="C21" s="49">
        <f>IF(A21="","",SUMIFS(Programação!$H$4:$H$503,Programação!$C$4:$C$503,A21,Programação!$D$4:$D$503,"Corretiva"))</f>
      </c>
      <c r="D21" s="49">
        <f t="shared" si="1"/>
      </c>
      <c r="E21" s="39">
        <f>IF(N(B21)=0,"",IFERROR(_xlfn.AGGREGATE(15,6,Programação!$G$4:$G$503/((Programação!$C$4:$C$503=A21)*(Programação!$D$4:$D$503="Corretiva")*ISNUMBER(Programação!$G$4:$G$503)),1),""))</f>
      </c>
      <c r="F21" s="39">
        <f>IF(N(B21)=0,"",IFERROR(_xlfn.AGGREGATE(14,6,Programação!$G$4:$G$503/((Programação!$C$4:$C$503=A21)*(Programação!$D$4:$D$503="Corretiva")*ISNUMBER(Programação!$G$4:$G$503)),1),""))</f>
      </c>
      <c r="G21" s="49">
        <f t="shared" si="2"/>
      </c>
      <c r="H21" s="49">
        <f t="shared" si="3"/>
      </c>
      <c r="I21" s="35">
        <f>IF(A21="","",IFERROR(IF(AND(SUMIF('Apontamento de Produção'!$A$4:$A$503,$A21,'Apontamento de Produção'!$C$4:$C$503)&gt;0,SUMIF('Apontamento de Produção'!$A$4:$A$503,$A21,'Apontamento de Produção'!$D$4:$D$503)&lt;=SUMIF('Apontamento de Produção'!$A$4:$A$503,$A21,'Apontamento de Produção'!$C$4:$C$503)),SUMIF('Apontamento de Produção'!$A$4:$A$503,$A21,'Apontamento de Produção'!$D$4:$D$503)/SUMIF('Apontamento de Produção'!$A$4:$A$503,$A21,'Apontamento de Produção'!$C$4:$C$503),""),""))</f>
      </c>
      <c r="J21" s="35">
        <f>IF(A21="","",IFERROR(IF(AND(SUMIF('Apontamento de Produção'!$A$4:$A$503,$A21,'Apontamento de Produção'!$F$4:$F$503)&gt;0,SUMIF('Apontamento de Produção'!$A$4:$A$503,$A21,'Apontamento de Produção'!$E$4:$E$503)&lt;=SUMIF('Apontamento de Produção'!$A$4:$A$503,$A21,'Apontamento de Produção'!$F$4:$F$503)),SUMIF('Apontamento de Produção'!$A$4:$A$503,$A21,'Apontamento de Produção'!$E$4:$E$503)/SUMIF('Apontamento de Produção'!$A$4:$A$503,$A21,'Apontamento de Produção'!$F$4:$F$503),""),""))</f>
      </c>
      <c r="K21" s="35">
        <f>IF(A21="","",IFERROR(IF(AND(SUMIF('Apontamento de Produção'!$A$4:$A$503,$A21,'Apontamento de Produção'!$E$4:$E$503)&gt;0,SUMIF('Apontamento de Produção'!$A$4:$A$503,$A21,'Apontamento de Produção'!$G$4:$G$503)&lt;=SUMIF('Apontamento de Produção'!$A$4:$A$503,$A21,'Apontamento de Produção'!$E$4:$E$503)),SUMIF('Apontamento de Produção'!$A$4:$A$503,$A21,'Apontamento de Produção'!$G$4:$G$503)/SUMIF('Apontamento de Produção'!$A$4:$A$503,$A21,'Apontamento de Produção'!$E$4:$E$503),""),""))</f>
      </c>
      <c r="L21" s="50">
        <f t="shared" si="4"/>
      </c>
      <c r="M21" s="32">
        <f t="shared" si="5"/>
      </c>
    </row>
    <row r="22" spans="1:13" x14ac:dyDescent="0.25">
      <c r="A22" s="36">
        <f t="shared" si="0"/>
      </c>
      <c r="B22" s="37">
        <f>IF(A22="","",COUNTIFS(Programação!$C$4:$C$503,A22,Programação!$D$4:$D$503,"Corretiva"))</f>
      </c>
      <c r="C22" s="49">
        <f>IF(A22="","",SUMIFS(Programação!$H$4:$H$503,Programação!$C$4:$C$503,A22,Programação!$D$4:$D$503,"Corretiva"))</f>
      </c>
      <c r="D22" s="49">
        <f t="shared" si="1"/>
      </c>
      <c r="E22" s="39">
        <f>IF(N(B22)=0,"",IFERROR(_xlfn.AGGREGATE(15,6,Programação!$G$4:$G$503/((Programação!$C$4:$C$503=A22)*(Programação!$D$4:$D$503="Corretiva")*ISNUMBER(Programação!$G$4:$G$503)),1),""))</f>
      </c>
      <c r="F22" s="39">
        <f>IF(N(B22)=0,"",IFERROR(_xlfn.AGGREGATE(14,6,Programação!$G$4:$G$503/((Programação!$C$4:$C$503=A22)*(Programação!$D$4:$D$503="Corretiva")*ISNUMBER(Programação!$G$4:$G$503)),1),""))</f>
      </c>
      <c r="G22" s="49">
        <f t="shared" si="2"/>
      </c>
      <c r="H22" s="49">
        <f t="shared" si="3"/>
      </c>
      <c r="I22" s="35">
        <f>IF(A22="","",IFERROR(IF(AND(SUMIF('Apontamento de Produção'!$A$4:$A$503,$A22,'Apontamento de Produção'!$C$4:$C$503)&gt;0,SUMIF('Apontamento de Produção'!$A$4:$A$503,$A22,'Apontamento de Produção'!$D$4:$D$503)&lt;=SUMIF('Apontamento de Produção'!$A$4:$A$503,$A22,'Apontamento de Produção'!$C$4:$C$503)),SUMIF('Apontamento de Produção'!$A$4:$A$503,$A22,'Apontamento de Produção'!$D$4:$D$503)/SUMIF('Apontamento de Produção'!$A$4:$A$503,$A22,'Apontamento de Produção'!$C$4:$C$503),""),""))</f>
      </c>
      <c r="J22" s="35">
        <f>IF(A22="","",IFERROR(IF(AND(SUMIF('Apontamento de Produção'!$A$4:$A$503,$A22,'Apontamento de Produção'!$F$4:$F$503)&gt;0,SUMIF('Apontamento de Produção'!$A$4:$A$503,$A22,'Apontamento de Produção'!$E$4:$E$503)&lt;=SUMIF('Apontamento de Produção'!$A$4:$A$503,$A22,'Apontamento de Produção'!$F$4:$F$503)),SUMIF('Apontamento de Produção'!$A$4:$A$503,$A22,'Apontamento de Produção'!$E$4:$E$503)/SUMIF('Apontamento de Produção'!$A$4:$A$503,$A22,'Apontamento de Produção'!$F$4:$F$503),""),""))</f>
      </c>
      <c r="K22" s="35">
        <f>IF(A22="","",IFERROR(IF(AND(SUMIF('Apontamento de Produção'!$A$4:$A$503,$A22,'Apontamento de Produção'!$E$4:$E$503)&gt;0,SUMIF('Apontamento de Produção'!$A$4:$A$503,$A22,'Apontamento de Produção'!$G$4:$G$503)&lt;=SUMIF('Apontamento de Produção'!$A$4:$A$503,$A22,'Apontamento de Produção'!$E$4:$E$503)),SUMIF('Apontamento de Produção'!$A$4:$A$503,$A22,'Apontamento de Produção'!$G$4:$G$503)/SUMIF('Apontamento de Produção'!$A$4:$A$503,$A22,'Apontamento de Produção'!$E$4:$E$503),""),""))</f>
      </c>
      <c r="L22" s="50">
        <f t="shared" si="4"/>
      </c>
      <c r="M22" s="32">
        <f t="shared" si="5"/>
      </c>
    </row>
    <row r="23" spans="1:13" x14ac:dyDescent="0.25">
      <c r="A23" s="36">
        <f t="shared" si="0"/>
      </c>
      <c r="B23" s="37">
        <f>IF(A23="","",COUNTIFS(Programação!$C$4:$C$503,A23,Programação!$D$4:$D$503,"Corretiva"))</f>
      </c>
      <c r="C23" s="49">
        <f>IF(A23="","",SUMIFS(Programação!$H$4:$H$503,Programação!$C$4:$C$503,A23,Programação!$D$4:$D$503,"Corretiva"))</f>
      </c>
      <c r="D23" s="49">
        <f t="shared" si="1"/>
      </c>
      <c r="E23" s="39">
        <f>IF(N(B23)=0,"",IFERROR(_xlfn.AGGREGATE(15,6,Programação!$G$4:$G$503/((Programação!$C$4:$C$503=A23)*(Programação!$D$4:$D$503="Corretiva")*ISNUMBER(Programação!$G$4:$G$503)),1),""))</f>
      </c>
      <c r="F23" s="39">
        <f>IF(N(B23)=0,"",IFERROR(_xlfn.AGGREGATE(14,6,Programação!$G$4:$G$503/((Programação!$C$4:$C$503=A23)*(Programação!$D$4:$D$503="Corretiva")*ISNUMBER(Programação!$G$4:$G$503)),1),""))</f>
      </c>
      <c r="G23" s="49">
        <f t="shared" si="2"/>
      </c>
      <c r="H23" s="49">
        <f t="shared" si="3"/>
      </c>
      <c r="I23" s="35">
        <f>IF(A23="","",IFERROR(IF(AND(SUMIF('Apontamento de Produção'!$A$4:$A$503,$A23,'Apontamento de Produção'!$C$4:$C$503)&gt;0,SUMIF('Apontamento de Produção'!$A$4:$A$503,$A23,'Apontamento de Produção'!$D$4:$D$503)&lt;=SUMIF('Apontamento de Produção'!$A$4:$A$503,$A23,'Apontamento de Produção'!$C$4:$C$503)),SUMIF('Apontamento de Produção'!$A$4:$A$503,$A23,'Apontamento de Produção'!$D$4:$D$503)/SUMIF('Apontamento de Produção'!$A$4:$A$503,$A23,'Apontamento de Produção'!$C$4:$C$503),""),""))</f>
      </c>
      <c r="J23" s="35">
        <f>IF(A23="","",IFERROR(IF(AND(SUMIF('Apontamento de Produção'!$A$4:$A$503,$A23,'Apontamento de Produção'!$F$4:$F$503)&gt;0,SUMIF('Apontamento de Produção'!$A$4:$A$503,$A23,'Apontamento de Produção'!$E$4:$E$503)&lt;=SUMIF('Apontamento de Produção'!$A$4:$A$503,$A23,'Apontamento de Produção'!$F$4:$F$503)),SUMIF('Apontamento de Produção'!$A$4:$A$503,$A23,'Apontamento de Produção'!$E$4:$E$503)/SUMIF('Apontamento de Produção'!$A$4:$A$503,$A23,'Apontamento de Produção'!$F$4:$F$503),""),""))</f>
      </c>
      <c r="K23" s="35">
        <f>IF(A23="","",IFERROR(IF(AND(SUMIF('Apontamento de Produção'!$A$4:$A$503,$A23,'Apontamento de Produção'!$E$4:$E$503)&gt;0,SUMIF('Apontamento de Produção'!$A$4:$A$503,$A23,'Apontamento de Produção'!$G$4:$G$503)&lt;=SUMIF('Apontamento de Produção'!$A$4:$A$503,$A23,'Apontamento de Produção'!$E$4:$E$503)),SUMIF('Apontamento de Produção'!$A$4:$A$503,$A23,'Apontamento de Produção'!$G$4:$G$503)/SUMIF('Apontamento de Produção'!$A$4:$A$503,$A23,'Apontamento de Produção'!$E$4:$E$503),""),""))</f>
      </c>
      <c r="L23" s="50">
        <f t="shared" si="4"/>
      </c>
      <c r="M23" s="32">
        <f t="shared" si="5"/>
      </c>
    </row>
    <row r="24" spans="1:13" x14ac:dyDescent="0.25">
      <c r="A24" s="36">
        <f t="shared" si="0"/>
      </c>
      <c r="B24" s="37">
        <f>IF(A24="","",COUNTIFS(Programação!$C$4:$C$503,A24,Programação!$D$4:$D$503,"Corretiva"))</f>
      </c>
      <c r="C24" s="49">
        <f>IF(A24="","",SUMIFS(Programação!$H$4:$H$503,Programação!$C$4:$C$503,A24,Programação!$D$4:$D$503,"Corretiva"))</f>
      </c>
      <c r="D24" s="49">
        <f t="shared" si="1"/>
      </c>
      <c r="E24" s="39">
        <f>IF(N(B24)=0,"",IFERROR(_xlfn.AGGREGATE(15,6,Programação!$G$4:$G$503/((Programação!$C$4:$C$503=A24)*(Programação!$D$4:$D$503="Corretiva")*ISNUMBER(Programação!$G$4:$G$503)),1),""))</f>
      </c>
      <c r="F24" s="39">
        <f>IF(N(B24)=0,"",IFERROR(_xlfn.AGGREGATE(14,6,Programação!$G$4:$G$503/((Programação!$C$4:$C$503=A24)*(Programação!$D$4:$D$503="Corretiva")*ISNUMBER(Programação!$G$4:$G$503)),1),""))</f>
      </c>
      <c r="G24" s="49">
        <f t="shared" si="2"/>
      </c>
      <c r="H24" s="49">
        <f t="shared" si="3"/>
      </c>
      <c r="I24" s="35">
        <f>IF(A24="","",IFERROR(IF(AND(SUMIF('Apontamento de Produção'!$A$4:$A$503,$A24,'Apontamento de Produção'!$C$4:$C$503)&gt;0,SUMIF('Apontamento de Produção'!$A$4:$A$503,$A24,'Apontamento de Produção'!$D$4:$D$503)&lt;=SUMIF('Apontamento de Produção'!$A$4:$A$503,$A24,'Apontamento de Produção'!$C$4:$C$503)),SUMIF('Apontamento de Produção'!$A$4:$A$503,$A24,'Apontamento de Produção'!$D$4:$D$503)/SUMIF('Apontamento de Produção'!$A$4:$A$503,$A24,'Apontamento de Produção'!$C$4:$C$503),""),""))</f>
      </c>
      <c r="J24" s="35">
        <f>IF(A24="","",IFERROR(IF(AND(SUMIF('Apontamento de Produção'!$A$4:$A$503,$A24,'Apontamento de Produção'!$F$4:$F$503)&gt;0,SUMIF('Apontamento de Produção'!$A$4:$A$503,$A24,'Apontamento de Produção'!$E$4:$E$503)&lt;=SUMIF('Apontamento de Produção'!$A$4:$A$503,$A24,'Apontamento de Produção'!$F$4:$F$503)),SUMIF('Apontamento de Produção'!$A$4:$A$503,$A24,'Apontamento de Produção'!$E$4:$E$503)/SUMIF('Apontamento de Produção'!$A$4:$A$503,$A24,'Apontamento de Produção'!$F$4:$F$503),""),""))</f>
      </c>
      <c r="K24" s="35">
        <f>IF(A24="","",IFERROR(IF(AND(SUMIF('Apontamento de Produção'!$A$4:$A$503,$A24,'Apontamento de Produção'!$E$4:$E$503)&gt;0,SUMIF('Apontamento de Produção'!$A$4:$A$503,$A24,'Apontamento de Produção'!$G$4:$G$503)&lt;=SUMIF('Apontamento de Produção'!$A$4:$A$503,$A24,'Apontamento de Produção'!$E$4:$E$503)),SUMIF('Apontamento de Produção'!$A$4:$A$503,$A24,'Apontamento de Produção'!$G$4:$G$503)/SUMIF('Apontamento de Produção'!$A$4:$A$503,$A24,'Apontamento de Produção'!$E$4:$E$503),""),""))</f>
      </c>
      <c r="L24" s="50">
        <f t="shared" si="4"/>
      </c>
      <c r="M24" s="32">
        <f t="shared" si="5"/>
      </c>
    </row>
    <row r="25" spans="1:13" x14ac:dyDescent="0.25">
      <c r="A25" s="36">
        <f t="shared" si="0"/>
      </c>
      <c r="B25" s="37">
        <f>IF(A25="","",COUNTIFS(Programação!$C$4:$C$503,A25,Programação!$D$4:$D$503,"Corretiva"))</f>
      </c>
      <c r="C25" s="49">
        <f>IF(A25="","",SUMIFS(Programação!$H$4:$H$503,Programação!$C$4:$C$503,A25,Programação!$D$4:$D$503,"Corretiva"))</f>
      </c>
      <c r="D25" s="49">
        <f t="shared" si="1"/>
      </c>
      <c r="E25" s="39">
        <f>IF(N(B25)=0,"",IFERROR(_xlfn.AGGREGATE(15,6,Programação!$G$4:$G$503/((Programação!$C$4:$C$503=A25)*(Programação!$D$4:$D$503="Corretiva")*ISNUMBER(Programação!$G$4:$G$503)),1),""))</f>
      </c>
      <c r="F25" s="39">
        <f>IF(N(B25)=0,"",IFERROR(_xlfn.AGGREGATE(14,6,Programação!$G$4:$G$503/((Programação!$C$4:$C$503=A25)*(Programação!$D$4:$D$503="Corretiva")*ISNUMBER(Programação!$G$4:$G$503)),1),""))</f>
      </c>
      <c r="G25" s="49">
        <f t="shared" si="2"/>
      </c>
      <c r="H25" s="49">
        <f t="shared" si="3"/>
      </c>
      <c r="I25" s="35">
        <f>IF(A25="","",IFERROR(IF(AND(SUMIF('Apontamento de Produção'!$A$4:$A$503,$A25,'Apontamento de Produção'!$C$4:$C$503)&gt;0,SUMIF('Apontamento de Produção'!$A$4:$A$503,$A25,'Apontamento de Produção'!$D$4:$D$503)&lt;=SUMIF('Apontamento de Produção'!$A$4:$A$503,$A25,'Apontamento de Produção'!$C$4:$C$503)),SUMIF('Apontamento de Produção'!$A$4:$A$503,$A25,'Apontamento de Produção'!$D$4:$D$503)/SUMIF('Apontamento de Produção'!$A$4:$A$503,$A25,'Apontamento de Produção'!$C$4:$C$503),""),""))</f>
      </c>
      <c r="J25" s="35">
        <f>IF(A25="","",IFERROR(IF(AND(SUMIF('Apontamento de Produção'!$A$4:$A$503,$A25,'Apontamento de Produção'!$F$4:$F$503)&gt;0,SUMIF('Apontamento de Produção'!$A$4:$A$503,$A25,'Apontamento de Produção'!$E$4:$E$503)&lt;=SUMIF('Apontamento de Produção'!$A$4:$A$503,$A25,'Apontamento de Produção'!$F$4:$F$503)),SUMIF('Apontamento de Produção'!$A$4:$A$503,$A25,'Apontamento de Produção'!$E$4:$E$503)/SUMIF('Apontamento de Produção'!$A$4:$A$503,$A25,'Apontamento de Produção'!$F$4:$F$503),""),""))</f>
      </c>
      <c r="K25" s="35">
        <f>IF(A25="","",IFERROR(IF(AND(SUMIF('Apontamento de Produção'!$A$4:$A$503,$A25,'Apontamento de Produção'!$E$4:$E$503)&gt;0,SUMIF('Apontamento de Produção'!$A$4:$A$503,$A25,'Apontamento de Produção'!$G$4:$G$503)&lt;=SUMIF('Apontamento de Produção'!$A$4:$A$503,$A25,'Apontamento de Produção'!$E$4:$E$503)),SUMIF('Apontamento de Produção'!$A$4:$A$503,$A25,'Apontamento de Produção'!$G$4:$G$503)/SUMIF('Apontamento de Produção'!$A$4:$A$503,$A25,'Apontamento de Produção'!$E$4:$E$503),""),""))</f>
      </c>
      <c r="L25" s="50">
        <f t="shared" si="4"/>
      </c>
      <c r="M25" s="32">
        <f t="shared" si="5"/>
      </c>
    </row>
    <row r="26" spans="1:13" x14ac:dyDescent="0.25">
      <c r="A26" s="36">
        <f t="shared" si="0"/>
      </c>
      <c r="B26" s="37">
        <f>IF(A26="","",COUNTIFS(Programação!$C$4:$C$503,A26,Programação!$D$4:$D$503,"Corretiva"))</f>
      </c>
      <c r="C26" s="49">
        <f>IF(A26="","",SUMIFS(Programação!$H$4:$H$503,Programação!$C$4:$C$503,A26,Programação!$D$4:$D$503,"Corretiva"))</f>
      </c>
      <c r="D26" s="49">
        <f t="shared" si="1"/>
      </c>
      <c r="E26" s="39">
        <f>IF(N(B26)=0,"",IFERROR(_xlfn.AGGREGATE(15,6,Programação!$G$4:$G$503/((Programação!$C$4:$C$503=A26)*(Programação!$D$4:$D$503="Corretiva")*ISNUMBER(Programação!$G$4:$G$503)),1),""))</f>
      </c>
      <c r="F26" s="39">
        <f>IF(N(B26)=0,"",IFERROR(_xlfn.AGGREGATE(14,6,Programação!$G$4:$G$503/((Programação!$C$4:$C$503=A26)*(Programação!$D$4:$D$503="Corretiva")*ISNUMBER(Programação!$G$4:$G$503)),1),""))</f>
      </c>
      <c r="G26" s="49">
        <f t="shared" si="2"/>
      </c>
      <c r="H26" s="49">
        <f t="shared" si="3"/>
      </c>
      <c r="I26" s="35">
        <f>IF(A26="","",IFERROR(IF(AND(SUMIF('Apontamento de Produção'!$A$4:$A$503,$A26,'Apontamento de Produção'!$C$4:$C$503)&gt;0,SUMIF('Apontamento de Produção'!$A$4:$A$503,$A26,'Apontamento de Produção'!$D$4:$D$503)&lt;=SUMIF('Apontamento de Produção'!$A$4:$A$503,$A26,'Apontamento de Produção'!$C$4:$C$503)),SUMIF('Apontamento de Produção'!$A$4:$A$503,$A26,'Apontamento de Produção'!$D$4:$D$503)/SUMIF('Apontamento de Produção'!$A$4:$A$503,$A26,'Apontamento de Produção'!$C$4:$C$503),""),""))</f>
      </c>
      <c r="J26" s="35">
        <f>IF(A26="","",IFERROR(IF(AND(SUMIF('Apontamento de Produção'!$A$4:$A$503,$A26,'Apontamento de Produção'!$F$4:$F$503)&gt;0,SUMIF('Apontamento de Produção'!$A$4:$A$503,$A26,'Apontamento de Produção'!$E$4:$E$503)&lt;=SUMIF('Apontamento de Produção'!$A$4:$A$503,$A26,'Apontamento de Produção'!$F$4:$F$503)),SUMIF('Apontamento de Produção'!$A$4:$A$503,$A26,'Apontamento de Produção'!$E$4:$E$503)/SUMIF('Apontamento de Produção'!$A$4:$A$503,$A26,'Apontamento de Produção'!$F$4:$F$503),""),""))</f>
      </c>
      <c r="K26" s="35">
        <f>IF(A26="","",IFERROR(IF(AND(SUMIF('Apontamento de Produção'!$A$4:$A$503,$A26,'Apontamento de Produção'!$E$4:$E$503)&gt;0,SUMIF('Apontamento de Produção'!$A$4:$A$503,$A26,'Apontamento de Produção'!$G$4:$G$503)&lt;=SUMIF('Apontamento de Produção'!$A$4:$A$503,$A26,'Apontamento de Produção'!$E$4:$E$503)),SUMIF('Apontamento de Produção'!$A$4:$A$503,$A26,'Apontamento de Produção'!$G$4:$G$503)/SUMIF('Apontamento de Produção'!$A$4:$A$503,$A26,'Apontamento de Produção'!$E$4:$E$503),""),""))</f>
      </c>
      <c r="L26" s="50">
        <f t="shared" si="4"/>
      </c>
      <c r="M26" s="32">
        <f t="shared" si="5"/>
      </c>
    </row>
    <row r="27" spans="1:13" x14ac:dyDescent="0.25">
      <c r="A27" s="36">
        <f t="shared" si="0"/>
      </c>
      <c r="B27" s="37">
        <f>IF(A27="","",COUNTIFS(Programação!$C$4:$C$503,A27,Programação!$D$4:$D$503,"Corretiva"))</f>
      </c>
      <c r="C27" s="49">
        <f>IF(A27="","",SUMIFS(Programação!$H$4:$H$503,Programação!$C$4:$C$503,A27,Programação!$D$4:$D$503,"Corretiva"))</f>
      </c>
      <c r="D27" s="49">
        <f t="shared" si="1"/>
      </c>
      <c r="E27" s="39">
        <f>IF(N(B27)=0,"",IFERROR(_xlfn.AGGREGATE(15,6,Programação!$G$4:$G$503/((Programação!$C$4:$C$503=A27)*(Programação!$D$4:$D$503="Corretiva")*ISNUMBER(Programação!$G$4:$G$503)),1),""))</f>
      </c>
      <c r="F27" s="39">
        <f>IF(N(B27)=0,"",IFERROR(_xlfn.AGGREGATE(14,6,Programação!$G$4:$G$503/((Programação!$C$4:$C$503=A27)*(Programação!$D$4:$D$503="Corretiva")*ISNUMBER(Programação!$G$4:$G$503)),1),""))</f>
      </c>
      <c r="G27" s="49">
        <f t="shared" si="2"/>
      </c>
      <c r="H27" s="49">
        <f t="shared" si="3"/>
      </c>
      <c r="I27" s="35">
        <f>IF(A27="","",IFERROR(IF(AND(SUMIF('Apontamento de Produção'!$A$4:$A$503,$A27,'Apontamento de Produção'!$C$4:$C$503)&gt;0,SUMIF('Apontamento de Produção'!$A$4:$A$503,$A27,'Apontamento de Produção'!$D$4:$D$503)&lt;=SUMIF('Apontamento de Produção'!$A$4:$A$503,$A27,'Apontamento de Produção'!$C$4:$C$503)),SUMIF('Apontamento de Produção'!$A$4:$A$503,$A27,'Apontamento de Produção'!$D$4:$D$503)/SUMIF('Apontamento de Produção'!$A$4:$A$503,$A27,'Apontamento de Produção'!$C$4:$C$503),""),""))</f>
      </c>
      <c r="J27" s="35">
        <f>IF(A27="","",IFERROR(IF(AND(SUMIF('Apontamento de Produção'!$A$4:$A$503,$A27,'Apontamento de Produção'!$F$4:$F$503)&gt;0,SUMIF('Apontamento de Produção'!$A$4:$A$503,$A27,'Apontamento de Produção'!$E$4:$E$503)&lt;=SUMIF('Apontamento de Produção'!$A$4:$A$503,$A27,'Apontamento de Produção'!$F$4:$F$503)),SUMIF('Apontamento de Produção'!$A$4:$A$503,$A27,'Apontamento de Produção'!$E$4:$E$503)/SUMIF('Apontamento de Produção'!$A$4:$A$503,$A27,'Apontamento de Produção'!$F$4:$F$503),""),""))</f>
      </c>
      <c r="K27" s="35">
        <f>IF(A27="","",IFERROR(IF(AND(SUMIF('Apontamento de Produção'!$A$4:$A$503,$A27,'Apontamento de Produção'!$E$4:$E$503)&gt;0,SUMIF('Apontamento de Produção'!$A$4:$A$503,$A27,'Apontamento de Produção'!$G$4:$G$503)&lt;=SUMIF('Apontamento de Produção'!$A$4:$A$503,$A27,'Apontamento de Produção'!$E$4:$E$503)),SUMIF('Apontamento de Produção'!$A$4:$A$503,$A27,'Apontamento de Produção'!$G$4:$G$503)/SUMIF('Apontamento de Produção'!$A$4:$A$503,$A27,'Apontamento de Produção'!$E$4:$E$503),""),""))</f>
      </c>
      <c r="L27" s="50">
        <f t="shared" si="4"/>
      </c>
      <c r="M27" s="32">
        <f t="shared" si="5"/>
      </c>
    </row>
    <row r="28" spans="1:13" x14ac:dyDescent="0.25">
      <c r="A28" s="36">
        <f t="shared" si="0"/>
      </c>
      <c r="B28" s="37">
        <f>IF(A28="","",COUNTIFS(Programação!$C$4:$C$503,A28,Programação!$D$4:$D$503,"Corretiva"))</f>
      </c>
      <c r="C28" s="49">
        <f>IF(A28="","",SUMIFS(Programação!$H$4:$H$503,Programação!$C$4:$C$503,A28,Programação!$D$4:$D$503,"Corretiva"))</f>
      </c>
      <c r="D28" s="49">
        <f t="shared" si="1"/>
      </c>
      <c r="E28" s="39">
        <f>IF(N(B28)=0,"",IFERROR(_xlfn.AGGREGATE(15,6,Programação!$G$4:$G$503/((Programação!$C$4:$C$503=A28)*(Programação!$D$4:$D$503="Corretiva")*ISNUMBER(Programação!$G$4:$G$503)),1),""))</f>
      </c>
      <c r="F28" s="39">
        <f>IF(N(B28)=0,"",IFERROR(_xlfn.AGGREGATE(14,6,Programação!$G$4:$G$503/((Programação!$C$4:$C$503=A28)*(Programação!$D$4:$D$503="Corretiva")*ISNUMBER(Programação!$G$4:$G$503)),1),""))</f>
      </c>
      <c r="G28" s="49">
        <f t="shared" si="2"/>
      </c>
      <c r="H28" s="49">
        <f t="shared" si="3"/>
      </c>
      <c r="I28" s="35">
        <f>IF(A28="","",IFERROR(IF(AND(SUMIF('Apontamento de Produção'!$A$4:$A$503,$A28,'Apontamento de Produção'!$C$4:$C$503)&gt;0,SUMIF('Apontamento de Produção'!$A$4:$A$503,$A28,'Apontamento de Produção'!$D$4:$D$503)&lt;=SUMIF('Apontamento de Produção'!$A$4:$A$503,$A28,'Apontamento de Produção'!$C$4:$C$503)),SUMIF('Apontamento de Produção'!$A$4:$A$503,$A28,'Apontamento de Produção'!$D$4:$D$503)/SUMIF('Apontamento de Produção'!$A$4:$A$503,$A28,'Apontamento de Produção'!$C$4:$C$503),""),""))</f>
      </c>
      <c r="J28" s="35">
        <f>IF(A28="","",IFERROR(IF(AND(SUMIF('Apontamento de Produção'!$A$4:$A$503,$A28,'Apontamento de Produção'!$F$4:$F$503)&gt;0,SUMIF('Apontamento de Produção'!$A$4:$A$503,$A28,'Apontamento de Produção'!$E$4:$E$503)&lt;=SUMIF('Apontamento de Produção'!$A$4:$A$503,$A28,'Apontamento de Produção'!$F$4:$F$503)),SUMIF('Apontamento de Produção'!$A$4:$A$503,$A28,'Apontamento de Produção'!$E$4:$E$503)/SUMIF('Apontamento de Produção'!$A$4:$A$503,$A28,'Apontamento de Produção'!$F$4:$F$503),""),""))</f>
      </c>
      <c r="K28" s="35">
        <f>IF(A28="","",IFERROR(IF(AND(SUMIF('Apontamento de Produção'!$A$4:$A$503,$A28,'Apontamento de Produção'!$E$4:$E$503)&gt;0,SUMIF('Apontamento de Produção'!$A$4:$A$503,$A28,'Apontamento de Produção'!$G$4:$G$503)&lt;=SUMIF('Apontamento de Produção'!$A$4:$A$503,$A28,'Apontamento de Produção'!$E$4:$E$503)),SUMIF('Apontamento de Produção'!$A$4:$A$503,$A28,'Apontamento de Produção'!$G$4:$G$503)/SUMIF('Apontamento de Produção'!$A$4:$A$503,$A28,'Apontamento de Produção'!$E$4:$E$503),""),""))</f>
      </c>
      <c r="L28" s="50">
        <f t="shared" si="4"/>
      </c>
      <c r="M28" s="32">
        <f t="shared" si="5"/>
      </c>
    </row>
    <row r="29" spans="1:13" x14ac:dyDescent="0.25">
      <c r="A29" s="36">
        <f t="shared" si="0"/>
      </c>
      <c r="B29" s="37">
        <f>IF(A29="","",COUNTIFS(Programação!$C$4:$C$503,A29,Programação!$D$4:$D$503,"Corretiva"))</f>
      </c>
      <c r="C29" s="49">
        <f>IF(A29="","",SUMIFS(Programação!$H$4:$H$503,Programação!$C$4:$C$503,A29,Programação!$D$4:$D$503,"Corretiva"))</f>
      </c>
      <c r="D29" s="49">
        <f t="shared" si="1"/>
      </c>
      <c r="E29" s="39">
        <f>IF(N(B29)=0,"",IFERROR(_xlfn.AGGREGATE(15,6,Programação!$G$4:$G$503/((Programação!$C$4:$C$503=A29)*(Programação!$D$4:$D$503="Corretiva")*ISNUMBER(Programação!$G$4:$G$503)),1),""))</f>
      </c>
      <c r="F29" s="39">
        <f>IF(N(B29)=0,"",IFERROR(_xlfn.AGGREGATE(14,6,Programação!$G$4:$G$503/((Programação!$C$4:$C$503=A29)*(Programação!$D$4:$D$503="Corretiva")*ISNUMBER(Programação!$G$4:$G$503)),1),""))</f>
      </c>
      <c r="G29" s="49">
        <f t="shared" si="2"/>
      </c>
      <c r="H29" s="49">
        <f t="shared" si="3"/>
      </c>
      <c r="I29" s="35">
        <f>IF(A29="","",IFERROR(IF(AND(SUMIF('Apontamento de Produção'!$A$4:$A$503,$A29,'Apontamento de Produção'!$C$4:$C$503)&gt;0,SUMIF('Apontamento de Produção'!$A$4:$A$503,$A29,'Apontamento de Produção'!$D$4:$D$503)&lt;=SUMIF('Apontamento de Produção'!$A$4:$A$503,$A29,'Apontamento de Produção'!$C$4:$C$503)),SUMIF('Apontamento de Produção'!$A$4:$A$503,$A29,'Apontamento de Produção'!$D$4:$D$503)/SUMIF('Apontamento de Produção'!$A$4:$A$503,$A29,'Apontamento de Produção'!$C$4:$C$503),""),""))</f>
      </c>
      <c r="J29" s="35">
        <f>IF(A29="","",IFERROR(IF(AND(SUMIF('Apontamento de Produção'!$A$4:$A$503,$A29,'Apontamento de Produção'!$F$4:$F$503)&gt;0,SUMIF('Apontamento de Produção'!$A$4:$A$503,$A29,'Apontamento de Produção'!$E$4:$E$503)&lt;=SUMIF('Apontamento de Produção'!$A$4:$A$503,$A29,'Apontamento de Produção'!$F$4:$F$503)),SUMIF('Apontamento de Produção'!$A$4:$A$503,$A29,'Apontamento de Produção'!$E$4:$E$503)/SUMIF('Apontamento de Produção'!$A$4:$A$503,$A29,'Apontamento de Produção'!$F$4:$F$503),""),""))</f>
      </c>
      <c r="K29" s="35">
        <f>IF(A29="","",IFERROR(IF(AND(SUMIF('Apontamento de Produção'!$A$4:$A$503,$A29,'Apontamento de Produção'!$E$4:$E$503)&gt;0,SUMIF('Apontamento de Produção'!$A$4:$A$503,$A29,'Apontamento de Produção'!$G$4:$G$503)&lt;=SUMIF('Apontamento de Produção'!$A$4:$A$503,$A29,'Apontamento de Produção'!$E$4:$E$503)),SUMIF('Apontamento de Produção'!$A$4:$A$503,$A29,'Apontamento de Produção'!$G$4:$G$503)/SUMIF('Apontamento de Produção'!$A$4:$A$503,$A29,'Apontamento de Produção'!$E$4:$E$503),""),""))</f>
      </c>
      <c r="L29" s="50">
        <f t="shared" si="4"/>
      </c>
      <c r="M29" s="32">
        <f t="shared" si="5"/>
      </c>
    </row>
    <row r="30" spans="1:13" x14ac:dyDescent="0.25">
      <c r="A30" s="36">
        <f t="shared" si="0"/>
      </c>
      <c r="B30" s="37">
        <f>IF(A30="","",COUNTIFS(Programação!$C$4:$C$503,A30,Programação!$D$4:$D$503,"Corretiva"))</f>
      </c>
      <c r="C30" s="49">
        <f>IF(A30="","",SUMIFS(Programação!$H$4:$H$503,Programação!$C$4:$C$503,A30,Programação!$D$4:$D$503,"Corretiva"))</f>
      </c>
      <c r="D30" s="49">
        <f t="shared" si="1"/>
      </c>
      <c r="E30" s="39">
        <f>IF(N(B30)=0,"",IFERROR(_xlfn.AGGREGATE(15,6,Programação!$G$4:$G$503/((Programação!$C$4:$C$503=A30)*(Programação!$D$4:$D$503="Corretiva")*ISNUMBER(Programação!$G$4:$G$503)),1),""))</f>
      </c>
      <c r="F30" s="39">
        <f>IF(N(B30)=0,"",IFERROR(_xlfn.AGGREGATE(14,6,Programação!$G$4:$G$503/((Programação!$C$4:$C$503=A30)*(Programação!$D$4:$D$503="Corretiva")*ISNUMBER(Programação!$G$4:$G$503)),1),""))</f>
      </c>
      <c r="G30" s="49">
        <f t="shared" si="2"/>
      </c>
      <c r="H30" s="49">
        <f t="shared" si="3"/>
      </c>
      <c r="I30" s="35">
        <f>IF(A30="","",IFERROR(IF(AND(SUMIF('Apontamento de Produção'!$A$4:$A$503,$A30,'Apontamento de Produção'!$C$4:$C$503)&gt;0,SUMIF('Apontamento de Produção'!$A$4:$A$503,$A30,'Apontamento de Produção'!$D$4:$D$503)&lt;=SUMIF('Apontamento de Produção'!$A$4:$A$503,$A30,'Apontamento de Produção'!$C$4:$C$503)),SUMIF('Apontamento de Produção'!$A$4:$A$503,$A30,'Apontamento de Produção'!$D$4:$D$503)/SUMIF('Apontamento de Produção'!$A$4:$A$503,$A30,'Apontamento de Produção'!$C$4:$C$503),""),""))</f>
      </c>
      <c r="J30" s="35">
        <f>IF(A30="","",IFERROR(IF(AND(SUMIF('Apontamento de Produção'!$A$4:$A$503,$A30,'Apontamento de Produção'!$F$4:$F$503)&gt;0,SUMIF('Apontamento de Produção'!$A$4:$A$503,$A30,'Apontamento de Produção'!$E$4:$E$503)&lt;=SUMIF('Apontamento de Produção'!$A$4:$A$503,$A30,'Apontamento de Produção'!$F$4:$F$503)),SUMIF('Apontamento de Produção'!$A$4:$A$503,$A30,'Apontamento de Produção'!$E$4:$E$503)/SUMIF('Apontamento de Produção'!$A$4:$A$503,$A30,'Apontamento de Produção'!$F$4:$F$503),""),""))</f>
      </c>
      <c r="K30" s="35">
        <f>IF(A30="","",IFERROR(IF(AND(SUMIF('Apontamento de Produção'!$A$4:$A$503,$A30,'Apontamento de Produção'!$E$4:$E$503)&gt;0,SUMIF('Apontamento de Produção'!$A$4:$A$503,$A30,'Apontamento de Produção'!$G$4:$G$503)&lt;=SUMIF('Apontamento de Produção'!$A$4:$A$503,$A30,'Apontamento de Produção'!$E$4:$E$503)),SUMIF('Apontamento de Produção'!$A$4:$A$503,$A30,'Apontamento de Produção'!$G$4:$G$503)/SUMIF('Apontamento de Produção'!$A$4:$A$503,$A30,'Apontamento de Produção'!$E$4:$E$503),""),""))</f>
      </c>
      <c r="L30" s="50">
        <f t="shared" si="4"/>
      </c>
      <c r="M30" s="32">
        <f t="shared" si="5"/>
      </c>
    </row>
    <row r="31" spans="1:13" x14ac:dyDescent="0.25">
      <c r="A31" s="36">
        <f t="shared" si="0"/>
      </c>
      <c r="B31" s="37">
        <f>IF(A31="","",COUNTIFS(Programação!$C$4:$C$503,A31,Programação!$D$4:$D$503,"Corretiva"))</f>
      </c>
      <c r="C31" s="49">
        <f>IF(A31="","",SUMIFS(Programação!$H$4:$H$503,Programação!$C$4:$C$503,A31,Programação!$D$4:$D$503,"Corretiva"))</f>
      </c>
      <c r="D31" s="49">
        <f t="shared" si="1"/>
      </c>
      <c r="E31" s="39">
        <f>IF(N(B31)=0,"",IFERROR(_xlfn.AGGREGATE(15,6,Programação!$G$4:$G$503/((Programação!$C$4:$C$503=A31)*(Programação!$D$4:$D$503="Corretiva")*ISNUMBER(Programação!$G$4:$G$503)),1),""))</f>
      </c>
      <c r="F31" s="39">
        <f>IF(N(B31)=0,"",IFERROR(_xlfn.AGGREGATE(14,6,Programação!$G$4:$G$503/((Programação!$C$4:$C$503=A31)*(Programação!$D$4:$D$503="Corretiva")*ISNUMBER(Programação!$G$4:$G$503)),1),""))</f>
      </c>
      <c r="G31" s="49">
        <f t="shared" si="2"/>
      </c>
      <c r="H31" s="49">
        <f t="shared" si="3"/>
      </c>
      <c r="I31" s="35">
        <f>IF(A31="","",IFERROR(IF(AND(SUMIF('Apontamento de Produção'!$A$4:$A$503,$A31,'Apontamento de Produção'!$C$4:$C$503)&gt;0,SUMIF('Apontamento de Produção'!$A$4:$A$503,$A31,'Apontamento de Produção'!$D$4:$D$503)&lt;=SUMIF('Apontamento de Produção'!$A$4:$A$503,$A31,'Apontamento de Produção'!$C$4:$C$503)),SUMIF('Apontamento de Produção'!$A$4:$A$503,$A31,'Apontamento de Produção'!$D$4:$D$503)/SUMIF('Apontamento de Produção'!$A$4:$A$503,$A31,'Apontamento de Produção'!$C$4:$C$503),""),""))</f>
      </c>
      <c r="J31" s="35">
        <f>IF(A31="","",IFERROR(IF(AND(SUMIF('Apontamento de Produção'!$A$4:$A$503,$A31,'Apontamento de Produção'!$F$4:$F$503)&gt;0,SUMIF('Apontamento de Produção'!$A$4:$A$503,$A31,'Apontamento de Produção'!$E$4:$E$503)&lt;=SUMIF('Apontamento de Produção'!$A$4:$A$503,$A31,'Apontamento de Produção'!$F$4:$F$503)),SUMIF('Apontamento de Produção'!$A$4:$A$503,$A31,'Apontamento de Produção'!$E$4:$E$503)/SUMIF('Apontamento de Produção'!$A$4:$A$503,$A31,'Apontamento de Produção'!$F$4:$F$503),""),""))</f>
      </c>
      <c r="K31" s="35">
        <f>IF(A31="","",IFERROR(IF(AND(SUMIF('Apontamento de Produção'!$A$4:$A$503,$A31,'Apontamento de Produção'!$E$4:$E$503)&gt;0,SUMIF('Apontamento de Produção'!$A$4:$A$503,$A31,'Apontamento de Produção'!$G$4:$G$503)&lt;=SUMIF('Apontamento de Produção'!$A$4:$A$503,$A31,'Apontamento de Produção'!$E$4:$E$503)),SUMIF('Apontamento de Produção'!$A$4:$A$503,$A31,'Apontamento de Produção'!$G$4:$G$503)/SUMIF('Apontamento de Produção'!$A$4:$A$503,$A31,'Apontamento de Produção'!$E$4:$E$503),""),""))</f>
      </c>
      <c r="L31" s="50">
        <f t="shared" si="4"/>
      </c>
      <c r="M31" s="32">
        <f t="shared" si="5"/>
      </c>
    </row>
    <row r="32" spans="1:13" x14ac:dyDescent="0.25">
      <c r="A32" s="36">
        <f t="shared" si="0"/>
      </c>
      <c r="B32" s="37">
        <f>IF(A32="","",COUNTIFS(Programação!$C$4:$C$503,A32,Programação!$D$4:$D$503,"Corretiva"))</f>
      </c>
      <c r="C32" s="49">
        <f>IF(A32="","",SUMIFS(Programação!$H$4:$H$503,Programação!$C$4:$C$503,A32,Programação!$D$4:$D$503,"Corretiva"))</f>
      </c>
      <c r="D32" s="49">
        <f t="shared" si="1"/>
      </c>
      <c r="E32" s="39">
        <f>IF(N(B32)=0,"",IFERROR(_xlfn.AGGREGATE(15,6,Programação!$G$4:$G$503/((Programação!$C$4:$C$503=A32)*(Programação!$D$4:$D$503="Corretiva")*ISNUMBER(Programação!$G$4:$G$503)),1),""))</f>
      </c>
      <c r="F32" s="39">
        <f>IF(N(B32)=0,"",IFERROR(_xlfn.AGGREGATE(14,6,Programação!$G$4:$G$503/((Programação!$C$4:$C$503=A32)*(Programação!$D$4:$D$503="Corretiva")*ISNUMBER(Programação!$G$4:$G$503)),1),""))</f>
      </c>
      <c r="G32" s="49">
        <f t="shared" si="2"/>
      </c>
      <c r="H32" s="49">
        <f t="shared" si="3"/>
      </c>
      <c r="I32" s="35">
        <f>IF(A32="","",IFERROR(IF(AND(SUMIF('Apontamento de Produção'!$A$4:$A$503,$A32,'Apontamento de Produção'!$C$4:$C$503)&gt;0,SUMIF('Apontamento de Produção'!$A$4:$A$503,$A32,'Apontamento de Produção'!$D$4:$D$503)&lt;=SUMIF('Apontamento de Produção'!$A$4:$A$503,$A32,'Apontamento de Produção'!$C$4:$C$503)),SUMIF('Apontamento de Produção'!$A$4:$A$503,$A32,'Apontamento de Produção'!$D$4:$D$503)/SUMIF('Apontamento de Produção'!$A$4:$A$503,$A32,'Apontamento de Produção'!$C$4:$C$503),""),""))</f>
      </c>
      <c r="J32" s="35">
        <f>IF(A32="","",IFERROR(IF(AND(SUMIF('Apontamento de Produção'!$A$4:$A$503,$A32,'Apontamento de Produção'!$F$4:$F$503)&gt;0,SUMIF('Apontamento de Produção'!$A$4:$A$503,$A32,'Apontamento de Produção'!$E$4:$E$503)&lt;=SUMIF('Apontamento de Produção'!$A$4:$A$503,$A32,'Apontamento de Produção'!$F$4:$F$503)),SUMIF('Apontamento de Produção'!$A$4:$A$503,$A32,'Apontamento de Produção'!$E$4:$E$503)/SUMIF('Apontamento de Produção'!$A$4:$A$503,$A32,'Apontamento de Produção'!$F$4:$F$503),""),""))</f>
      </c>
      <c r="K32" s="35">
        <f>IF(A32="","",IFERROR(IF(AND(SUMIF('Apontamento de Produção'!$A$4:$A$503,$A32,'Apontamento de Produção'!$E$4:$E$503)&gt;0,SUMIF('Apontamento de Produção'!$A$4:$A$503,$A32,'Apontamento de Produção'!$G$4:$G$503)&lt;=SUMIF('Apontamento de Produção'!$A$4:$A$503,$A32,'Apontamento de Produção'!$E$4:$E$503)),SUMIF('Apontamento de Produção'!$A$4:$A$503,$A32,'Apontamento de Produção'!$G$4:$G$503)/SUMIF('Apontamento de Produção'!$A$4:$A$503,$A32,'Apontamento de Produção'!$E$4:$E$503),""),""))</f>
      </c>
      <c r="L32" s="50">
        <f t="shared" si="4"/>
      </c>
      <c r="M32" s="32">
        <f t="shared" si="5"/>
      </c>
    </row>
    <row r="33" spans="1:13" x14ac:dyDescent="0.25">
      <c r="A33" s="36">
        <f t="shared" si="0"/>
      </c>
      <c r="B33" s="37">
        <f>IF(A33="","",COUNTIFS(Programação!$C$4:$C$503,A33,Programação!$D$4:$D$503,"Corretiva"))</f>
      </c>
      <c r="C33" s="49">
        <f>IF(A33="","",SUMIFS(Programação!$H$4:$H$503,Programação!$C$4:$C$503,A33,Programação!$D$4:$D$503,"Corretiva"))</f>
      </c>
      <c r="D33" s="49">
        <f t="shared" si="1"/>
      </c>
      <c r="E33" s="39">
        <f>IF(N(B33)=0,"",IFERROR(_xlfn.AGGREGATE(15,6,Programação!$G$4:$G$503/((Programação!$C$4:$C$503=A33)*(Programação!$D$4:$D$503="Corretiva")*ISNUMBER(Programação!$G$4:$G$503)),1),""))</f>
      </c>
      <c r="F33" s="39">
        <f>IF(N(B33)=0,"",IFERROR(_xlfn.AGGREGATE(14,6,Programação!$G$4:$G$503/((Programação!$C$4:$C$503=A33)*(Programação!$D$4:$D$503="Corretiva")*ISNUMBER(Programação!$G$4:$G$503)),1),""))</f>
      </c>
      <c r="G33" s="49">
        <f t="shared" si="2"/>
      </c>
      <c r="H33" s="49">
        <f t="shared" si="3"/>
      </c>
      <c r="I33" s="35">
        <f>IF(A33="","",IFERROR(IF(AND(SUMIF('Apontamento de Produção'!$A$4:$A$503,$A33,'Apontamento de Produção'!$C$4:$C$503)&gt;0,SUMIF('Apontamento de Produção'!$A$4:$A$503,$A33,'Apontamento de Produção'!$D$4:$D$503)&lt;=SUMIF('Apontamento de Produção'!$A$4:$A$503,$A33,'Apontamento de Produção'!$C$4:$C$503)),SUMIF('Apontamento de Produção'!$A$4:$A$503,$A33,'Apontamento de Produção'!$D$4:$D$503)/SUMIF('Apontamento de Produção'!$A$4:$A$503,$A33,'Apontamento de Produção'!$C$4:$C$503),""),""))</f>
      </c>
      <c r="J33" s="35">
        <f>IF(A33="","",IFERROR(IF(AND(SUMIF('Apontamento de Produção'!$A$4:$A$503,$A33,'Apontamento de Produção'!$F$4:$F$503)&gt;0,SUMIF('Apontamento de Produção'!$A$4:$A$503,$A33,'Apontamento de Produção'!$E$4:$E$503)&lt;=SUMIF('Apontamento de Produção'!$A$4:$A$503,$A33,'Apontamento de Produção'!$F$4:$F$503)),SUMIF('Apontamento de Produção'!$A$4:$A$503,$A33,'Apontamento de Produção'!$E$4:$E$503)/SUMIF('Apontamento de Produção'!$A$4:$A$503,$A33,'Apontamento de Produção'!$F$4:$F$503),""),""))</f>
      </c>
      <c r="K33" s="35">
        <f>IF(A33="","",IFERROR(IF(AND(SUMIF('Apontamento de Produção'!$A$4:$A$503,$A33,'Apontamento de Produção'!$E$4:$E$503)&gt;0,SUMIF('Apontamento de Produção'!$A$4:$A$503,$A33,'Apontamento de Produção'!$G$4:$G$503)&lt;=SUMIF('Apontamento de Produção'!$A$4:$A$503,$A33,'Apontamento de Produção'!$E$4:$E$503)),SUMIF('Apontamento de Produção'!$A$4:$A$503,$A33,'Apontamento de Produção'!$G$4:$G$503)/SUMIF('Apontamento de Produção'!$A$4:$A$503,$A33,'Apontamento de Produção'!$E$4:$E$503),""),""))</f>
      </c>
      <c r="L33" s="50">
        <f t="shared" si="4"/>
      </c>
      <c r="M33" s="32">
        <f t="shared" si="5"/>
      </c>
    </row>
    <row r="34" spans="1:13" x14ac:dyDescent="0.25">
      <c r="A34" s="36">
        <f t="shared" si="0"/>
      </c>
      <c r="B34" s="37">
        <f>IF(A34="","",COUNTIFS(Programação!$C$4:$C$503,A34,Programação!$D$4:$D$503,"Corretiva"))</f>
      </c>
      <c r="C34" s="49">
        <f>IF(A34="","",SUMIFS(Programação!$H$4:$H$503,Programação!$C$4:$C$503,A34,Programação!$D$4:$D$503,"Corretiva"))</f>
      </c>
      <c r="D34" s="49">
        <f t="shared" si="1"/>
      </c>
      <c r="E34" s="39">
        <f>IF(N(B34)=0,"",IFERROR(_xlfn.AGGREGATE(15,6,Programação!$G$4:$G$503/((Programação!$C$4:$C$503=A34)*(Programação!$D$4:$D$503="Corretiva")*ISNUMBER(Programação!$G$4:$G$503)),1),""))</f>
      </c>
      <c r="F34" s="39">
        <f>IF(N(B34)=0,"",IFERROR(_xlfn.AGGREGATE(14,6,Programação!$G$4:$G$503/((Programação!$C$4:$C$503=A34)*(Programação!$D$4:$D$503="Corretiva")*ISNUMBER(Programação!$G$4:$G$503)),1),""))</f>
      </c>
      <c r="G34" s="49">
        <f t="shared" si="2"/>
      </c>
      <c r="H34" s="49">
        <f t="shared" si="3"/>
      </c>
      <c r="I34" s="35">
        <f>IF(A34="","",IFERROR(IF(AND(SUMIF('Apontamento de Produção'!$A$4:$A$503,$A34,'Apontamento de Produção'!$C$4:$C$503)&gt;0,SUMIF('Apontamento de Produção'!$A$4:$A$503,$A34,'Apontamento de Produção'!$D$4:$D$503)&lt;=SUMIF('Apontamento de Produção'!$A$4:$A$503,$A34,'Apontamento de Produção'!$C$4:$C$503)),SUMIF('Apontamento de Produção'!$A$4:$A$503,$A34,'Apontamento de Produção'!$D$4:$D$503)/SUMIF('Apontamento de Produção'!$A$4:$A$503,$A34,'Apontamento de Produção'!$C$4:$C$503),""),""))</f>
      </c>
      <c r="J34" s="35">
        <f>IF(A34="","",IFERROR(IF(AND(SUMIF('Apontamento de Produção'!$A$4:$A$503,$A34,'Apontamento de Produção'!$F$4:$F$503)&gt;0,SUMIF('Apontamento de Produção'!$A$4:$A$503,$A34,'Apontamento de Produção'!$E$4:$E$503)&lt;=SUMIF('Apontamento de Produção'!$A$4:$A$503,$A34,'Apontamento de Produção'!$F$4:$F$503)),SUMIF('Apontamento de Produção'!$A$4:$A$503,$A34,'Apontamento de Produção'!$E$4:$E$503)/SUMIF('Apontamento de Produção'!$A$4:$A$503,$A34,'Apontamento de Produção'!$F$4:$F$503),""),""))</f>
      </c>
      <c r="K34" s="35">
        <f>IF(A34="","",IFERROR(IF(AND(SUMIF('Apontamento de Produção'!$A$4:$A$503,$A34,'Apontamento de Produção'!$E$4:$E$503)&gt;0,SUMIF('Apontamento de Produção'!$A$4:$A$503,$A34,'Apontamento de Produção'!$G$4:$G$503)&lt;=SUMIF('Apontamento de Produção'!$A$4:$A$503,$A34,'Apontamento de Produção'!$E$4:$E$503)),SUMIF('Apontamento de Produção'!$A$4:$A$503,$A34,'Apontamento de Produção'!$G$4:$G$503)/SUMIF('Apontamento de Produção'!$A$4:$A$503,$A34,'Apontamento de Produção'!$E$4:$E$503),""),""))</f>
      </c>
      <c r="L34" s="50">
        <f t="shared" si="4"/>
      </c>
      <c r="M34" s="32">
        <f t="shared" si="5"/>
      </c>
    </row>
    <row r="35" spans="1:13" x14ac:dyDescent="0.25">
      <c r="A35" s="36">
        <f t="shared" si="0"/>
      </c>
      <c r="B35" s="37">
        <f>IF(A35="","",COUNTIFS(Programação!$C$4:$C$503,A35,Programação!$D$4:$D$503,"Corretiva"))</f>
      </c>
      <c r="C35" s="49">
        <f>IF(A35="","",SUMIFS(Programação!$H$4:$H$503,Programação!$C$4:$C$503,A35,Programação!$D$4:$D$503,"Corretiva"))</f>
      </c>
      <c r="D35" s="49">
        <f t="shared" si="1"/>
      </c>
      <c r="E35" s="39">
        <f>IF(N(B35)=0,"",IFERROR(_xlfn.AGGREGATE(15,6,Programação!$G$4:$G$503/((Programação!$C$4:$C$503=A35)*(Programação!$D$4:$D$503="Corretiva")*ISNUMBER(Programação!$G$4:$G$503)),1),""))</f>
      </c>
      <c r="F35" s="39">
        <f>IF(N(B35)=0,"",IFERROR(_xlfn.AGGREGATE(14,6,Programação!$G$4:$G$503/((Programação!$C$4:$C$503=A35)*(Programação!$D$4:$D$503="Corretiva")*ISNUMBER(Programação!$G$4:$G$503)),1),""))</f>
      </c>
      <c r="G35" s="49">
        <f t="shared" si="2"/>
      </c>
      <c r="H35" s="49">
        <f t="shared" si="3"/>
      </c>
      <c r="I35" s="35">
        <f>IF(A35="","",IFERROR(IF(AND(SUMIF('Apontamento de Produção'!$A$4:$A$503,$A35,'Apontamento de Produção'!$C$4:$C$503)&gt;0,SUMIF('Apontamento de Produção'!$A$4:$A$503,$A35,'Apontamento de Produção'!$D$4:$D$503)&lt;=SUMIF('Apontamento de Produção'!$A$4:$A$503,$A35,'Apontamento de Produção'!$C$4:$C$503)),SUMIF('Apontamento de Produção'!$A$4:$A$503,$A35,'Apontamento de Produção'!$D$4:$D$503)/SUMIF('Apontamento de Produção'!$A$4:$A$503,$A35,'Apontamento de Produção'!$C$4:$C$503),""),""))</f>
      </c>
      <c r="J35" s="35">
        <f>IF(A35="","",IFERROR(IF(AND(SUMIF('Apontamento de Produção'!$A$4:$A$503,$A35,'Apontamento de Produção'!$F$4:$F$503)&gt;0,SUMIF('Apontamento de Produção'!$A$4:$A$503,$A35,'Apontamento de Produção'!$E$4:$E$503)&lt;=SUMIF('Apontamento de Produção'!$A$4:$A$503,$A35,'Apontamento de Produção'!$F$4:$F$503)),SUMIF('Apontamento de Produção'!$A$4:$A$503,$A35,'Apontamento de Produção'!$E$4:$E$503)/SUMIF('Apontamento de Produção'!$A$4:$A$503,$A35,'Apontamento de Produção'!$F$4:$F$503),""),""))</f>
      </c>
      <c r="K35" s="35">
        <f>IF(A35="","",IFERROR(IF(AND(SUMIF('Apontamento de Produção'!$A$4:$A$503,$A35,'Apontamento de Produção'!$E$4:$E$503)&gt;0,SUMIF('Apontamento de Produção'!$A$4:$A$503,$A35,'Apontamento de Produção'!$G$4:$G$503)&lt;=SUMIF('Apontamento de Produção'!$A$4:$A$503,$A35,'Apontamento de Produção'!$E$4:$E$503)),SUMIF('Apontamento de Produção'!$A$4:$A$503,$A35,'Apontamento de Produção'!$G$4:$G$503)/SUMIF('Apontamento de Produção'!$A$4:$A$503,$A35,'Apontamento de Produção'!$E$4:$E$503),""),""))</f>
      </c>
      <c r="L35" s="50">
        <f t="shared" si="4"/>
      </c>
      <c r="M35" s="32">
        <f t="shared" si="5"/>
      </c>
    </row>
    <row r="36" spans="1:13" x14ac:dyDescent="0.25">
      <c r="A36" s="36">
        <f t="shared" si="0"/>
      </c>
      <c r="B36" s="37">
        <f>IF(A36="","",COUNTIFS(Programação!$C$4:$C$503,A36,Programação!$D$4:$D$503,"Corretiva"))</f>
      </c>
      <c r="C36" s="49">
        <f>IF(A36="","",SUMIFS(Programação!$H$4:$H$503,Programação!$C$4:$C$503,A36,Programação!$D$4:$D$503,"Corretiva"))</f>
      </c>
      <c r="D36" s="49">
        <f t="shared" si="1"/>
      </c>
      <c r="E36" s="39">
        <f>IF(N(B36)=0,"",IFERROR(_xlfn.AGGREGATE(15,6,Programação!$G$4:$G$503/((Programação!$C$4:$C$503=A36)*(Programação!$D$4:$D$503="Corretiva")*ISNUMBER(Programação!$G$4:$G$503)),1),""))</f>
      </c>
      <c r="F36" s="39">
        <f>IF(N(B36)=0,"",IFERROR(_xlfn.AGGREGATE(14,6,Programação!$G$4:$G$503/((Programação!$C$4:$C$503=A36)*(Programação!$D$4:$D$503="Corretiva")*ISNUMBER(Programação!$G$4:$G$503)),1),""))</f>
      </c>
      <c r="G36" s="49">
        <f t="shared" si="2"/>
      </c>
      <c r="H36" s="49">
        <f t="shared" si="3"/>
      </c>
      <c r="I36" s="35">
        <f>IF(A36="","",IFERROR(IF(AND(SUMIF('Apontamento de Produção'!$A$4:$A$503,$A36,'Apontamento de Produção'!$C$4:$C$503)&gt;0,SUMIF('Apontamento de Produção'!$A$4:$A$503,$A36,'Apontamento de Produção'!$D$4:$D$503)&lt;=SUMIF('Apontamento de Produção'!$A$4:$A$503,$A36,'Apontamento de Produção'!$C$4:$C$503)),SUMIF('Apontamento de Produção'!$A$4:$A$503,$A36,'Apontamento de Produção'!$D$4:$D$503)/SUMIF('Apontamento de Produção'!$A$4:$A$503,$A36,'Apontamento de Produção'!$C$4:$C$503),""),""))</f>
      </c>
      <c r="J36" s="35">
        <f>IF(A36="","",IFERROR(IF(AND(SUMIF('Apontamento de Produção'!$A$4:$A$503,$A36,'Apontamento de Produção'!$F$4:$F$503)&gt;0,SUMIF('Apontamento de Produção'!$A$4:$A$503,$A36,'Apontamento de Produção'!$E$4:$E$503)&lt;=SUMIF('Apontamento de Produção'!$A$4:$A$503,$A36,'Apontamento de Produção'!$F$4:$F$503)),SUMIF('Apontamento de Produção'!$A$4:$A$503,$A36,'Apontamento de Produção'!$E$4:$E$503)/SUMIF('Apontamento de Produção'!$A$4:$A$503,$A36,'Apontamento de Produção'!$F$4:$F$503),""),""))</f>
      </c>
      <c r="K36" s="35">
        <f>IF(A36="","",IFERROR(IF(AND(SUMIF('Apontamento de Produção'!$A$4:$A$503,$A36,'Apontamento de Produção'!$E$4:$E$503)&gt;0,SUMIF('Apontamento de Produção'!$A$4:$A$503,$A36,'Apontamento de Produção'!$G$4:$G$503)&lt;=SUMIF('Apontamento de Produção'!$A$4:$A$503,$A36,'Apontamento de Produção'!$E$4:$E$503)),SUMIF('Apontamento de Produção'!$A$4:$A$503,$A36,'Apontamento de Produção'!$G$4:$G$503)/SUMIF('Apontamento de Produção'!$A$4:$A$503,$A36,'Apontamento de Produção'!$E$4:$E$503),""),""))</f>
      </c>
      <c r="L36" s="50">
        <f t="shared" si="4"/>
      </c>
      <c r="M36" s="32">
        <f t="shared" si="5"/>
      </c>
    </row>
    <row r="37" spans="1:13" x14ac:dyDescent="0.25">
      <c r="A37" s="36">
        <f t="shared" si="0"/>
      </c>
      <c r="B37" s="37">
        <f>IF(A37="","",COUNTIFS(Programação!$C$4:$C$503,A37,Programação!$D$4:$D$503,"Corretiva"))</f>
      </c>
      <c r="C37" s="49">
        <f>IF(A37="","",SUMIFS(Programação!$H$4:$H$503,Programação!$C$4:$C$503,A37,Programação!$D$4:$D$503,"Corretiva"))</f>
      </c>
      <c r="D37" s="49">
        <f t="shared" si="1"/>
      </c>
      <c r="E37" s="39">
        <f>IF(N(B37)=0,"",IFERROR(_xlfn.AGGREGATE(15,6,Programação!$G$4:$G$503/((Programação!$C$4:$C$503=A37)*(Programação!$D$4:$D$503="Corretiva")*ISNUMBER(Programação!$G$4:$G$503)),1),""))</f>
      </c>
      <c r="F37" s="39">
        <f>IF(N(B37)=0,"",IFERROR(_xlfn.AGGREGATE(14,6,Programação!$G$4:$G$503/((Programação!$C$4:$C$503=A37)*(Programação!$D$4:$D$503="Corretiva")*ISNUMBER(Programação!$G$4:$G$503)),1),""))</f>
      </c>
      <c r="G37" s="49">
        <f t="shared" si="2"/>
      </c>
      <c r="H37" s="49">
        <f t="shared" si="3"/>
      </c>
      <c r="I37" s="35">
        <f>IF(A37="","",IFERROR(IF(AND(SUMIF('Apontamento de Produção'!$A$4:$A$503,$A37,'Apontamento de Produção'!$C$4:$C$503)&gt;0,SUMIF('Apontamento de Produção'!$A$4:$A$503,$A37,'Apontamento de Produção'!$D$4:$D$503)&lt;=SUMIF('Apontamento de Produção'!$A$4:$A$503,$A37,'Apontamento de Produção'!$C$4:$C$503)),SUMIF('Apontamento de Produção'!$A$4:$A$503,$A37,'Apontamento de Produção'!$D$4:$D$503)/SUMIF('Apontamento de Produção'!$A$4:$A$503,$A37,'Apontamento de Produção'!$C$4:$C$503),""),""))</f>
      </c>
      <c r="J37" s="35">
        <f>IF(A37="","",IFERROR(IF(AND(SUMIF('Apontamento de Produção'!$A$4:$A$503,$A37,'Apontamento de Produção'!$F$4:$F$503)&gt;0,SUMIF('Apontamento de Produção'!$A$4:$A$503,$A37,'Apontamento de Produção'!$E$4:$E$503)&lt;=SUMIF('Apontamento de Produção'!$A$4:$A$503,$A37,'Apontamento de Produção'!$F$4:$F$503)),SUMIF('Apontamento de Produção'!$A$4:$A$503,$A37,'Apontamento de Produção'!$E$4:$E$503)/SUMIF('Apontamento de Produção'!$A$4:$A$503,$A37,'Apontamento de Produção'!$F$4:$F$503),""),""))</f>
      </c>
      <c r="K37" s="35">
        <f>IF(A37="","",IFERROR(IF(AND(SUMIF('Apontamento de Produção'!$A$4:$A$503,$A37,'Apontamento de Produção'!$E$4:$E$503)&gt;0,SUMIF('Apontamento de Produção'!$A$4:$A$503,$A37,'Apontamento de Produção'!$G$4:$G$503)&lt;=SUMIF('Apontamento de Produção'!$A$4:$A$503,$A37,'Apontamento de Produção'!$E$4:$E$503)),SUMIF('Apontamento de Produção'!$A$4:$A$503,$A37,'Apontamento de Produção'!$G$4:$G$503)/SUMIF('Apontamento de Produção'!$A$4:$A$503,$A37,'Apontamento de Produção'!$E$4:$E$503),""),""))</f>
      </c>
      <c r="L37" s="50">
        <f t="shared" si="4"/>
      </c>
      <c r="M37" s="32">
        <f t="shared" si="5"/>
      </c>
    </row>
    <row r="38" spans="1:13" x14ac:dyDescent="0.25">
      <c r="A38" s="36">
        <f t="shared" si="0"/>
      </c>
      <c r="B38" s="37">
        <f>IF(A38="","",COUNTIFS(Programação!$C$4:$C$503,A38,Programação!$D$4:$D$503,"Corretiva"))</f>
      </c>
      <c r="C38" s="49">
        <f>IF(A38="","",SUMIFS(Programação!$H$4:$H$503,Programação!$C$4:$C$503,A38,Programação!$D$4:$D$503,"Corretiva"))</f>
      </c>
      <c r="D38" s="49">
        <f t="shared" si="1"/>
      </c>
      <c r="E38" s="39">
        <f>IF(N(B38)=0,"",IFERROR(_xlfn.AGGREGATE(15,6,Programação!$G$4:$G$503/((Programação!$C$4:$C$503=A38)*(Programação!$D$4:$D$503="Corretiva")*ISNUMBER(Programação!$G$4:$G$503)),1),""))</f>
      </c>
      <c r="F38" s="39">
        <f>IF(N(B38)=0,"",IFERROR(_xlfn.AGGREGATE(14,6,Programação!$G$4:$G$503/((Programação!$C$4:$C$503=A38)*(Programação!$D$4:$D$503="Corretiva")*ISNUMBER(Programação!$G$4:$G$503)),1),""))</f>
      </c>
      <c r="G38" s="49">
        <f t="shared" si="2"/>
      </c>
      <c r="H38" s="49">
        <f t="shared" si="3"/>
      </c>
      <c r="I38" s="35">
        <f>IF(A38="","",IFERROR(IF(AND(SUMIF('Apontamento de Produção'!$A$4:$A$503,$A38,'Apontamento de Produção'!$C$4:$C$503)&gt;0,SUMIF('Apontamento de Produção'!$A$4:$A$503,$A38,'Apontamento de Produção'!$D$4:$D$503)&lt;=SUMIF('Apontamento de Produção'!$A$4:$A$503,$A38,'Apontamento de Produção'!$C$4:$C$503)),SUMIF('Apontamento de Produção'!$A$4:$A$503,$A38,'Apontamento de Produção'!$D$4:$D$503)/SUMIF('Apontamento de Produção'!$A$4:$A$503,$A38,'Apontamento de Produção'!$C$4:$C$503),""),""))</f>
      </c>
      <c r="J38" s="35">
        <f>IF(A38="","",IFERROR(IF(AND(SUMIF('Apontamento de Produção'!$A$4:$A$503,$A38,'Apontamento de Produção'!$F$4:$F$503)&gt;0,SUMIF('Apontamento de Produção'!$A$4:$A$503,$A38,'Apontamento de Produção'!$E$4:$E$503)&lt;=SUMIF('Apontamento de Produção'!$A$4:$A$503,$A38,'Apontamento de Produção'!$F$4:$F$503)),SUMIF('Apontamento de Produção'!$A$4:$A$503,$A38,'Apontamento de Produção'!$E$4:$E$503)/SUMIF('Apontamento de Produção'!$A$4:$A$503,$A38,'Apontamento de Produção'!$F$4:$F$503),""),""))</f>
      </c>
      <c r="K38" s="35">
        <f>IF(A38="","",IFERROR(IF(AND(SUMIF('Apontamento de Produção'!$A$4:$A$503,$A38,'Apontamento de Produção'!$E$4:$E$503)&gt;0,SUMIF('Apontamento de Produção'!$A$4:$A$503,$A38,'Apontamento de Produção'!$G$4:$G$503)&lt;=SUMIF('Apontamento de Produção'!$A$4:$A$503,$A38,'Apontamento de Produção'!$E$4:$E$503)),SUMIF('Apontamento de Produção'!$A$4:$A$503,$A38,'Apontamento de Produção'!$G$4:$G$503)/SUMIF('Apontamento de Produção'!$A$4:$A$503,$A38,'Apontamento de Produção'!$E$4:$E$503),""),""))</f>
      </c>
      <c r="L38" s="50">
        <f t="shared" si="4"/>
      </c>
      <c r="M38" s="32">
        <f t="shared" si="5"/>
      </c>
    </row>
    <row r="39" spans="1:13" x14ac:dyDescent="0.25">
      <c r="A39" s="36">
        <f t="shared" si="0"/>
      </c>
      <c r="B39" s="37">
        <f>IF(A39="","",COUNTIFS(Programação!$C$4:$C$503,A39,Programação!$D$4:$D$503,"Corretiva"))</f>
      </c>
      <c r="C39" s="49">
        <f>IF(A39="","",SUMIFS(Programação!$H$4:$H$503,Programação!$C$4:$C$503,A39,Programação!$D$4:$D$503,"Corretiva"))</f>
      </c>
      <c r="D39" s="49">
        <f t="shared" si="1"/>
      </c>
      <c r="E39" s="39">
        <f>IF(N(B39)=0,"",IFERROR(_xlfn.AGGREGATE(15,6,Programação!$G$4:$G$503/((Programação!$C$4:$C$503=A39)*(Programação!$D$4:$D$503="Corretiva")*ISNUMBER(Programação!$G$4:$G$503)),1),""))</f>
      </c>
      <c r="F39" s="39">
        <f>IF(N(B39)=0,"",IFERROR(_xlfn.AGGREGATE(14,6,Programação!$G$4:$G$503/((Programação!$C$4:$C$503=A39)*(Programação!$D$4:$D$503="Corretiva")*ISNUMBER(Programação!$G$4:$G$503)),1),""))</f>
      </c>
      <c r="G39" s="49">
        <f t="shared" si="2"/>
      </c>
      <c r="H39" s="49">
        <f t="shared" si="3"/>
      </c>
      <c r="I39" s="35">
        <f>IF(A39="","",IFERROR(IF(AND(SUMIF('Apontamento de Produção'!$A$4:$A$503,$A39,'Apontamento de Produção'!$C$4:$C$503)&gt;0,SUMIF('Apontamento de Produção'!$A$4:$A$503,$A39,'Apontamento de Produção'!$D$4:$D$503)&lt;=SUMIF('Apontamento de Produção'!$A$4:$A$503,$A39,'Apontamento de Produção'!$C$4:$C$503)),SUMIF('Apontamento de Produção'!$A$4:$A$503,$A39,'Apontamento de Produção'!$D$4:$D$503)/SUMIF('Apontamento de Produção'!$A$4:$A$503,$A39,'Apontamento de Produção'!$C$4:$C$503),""),""))</f>
      </c>
      <c r="J39" s="35">
        <f>IF(A39="","",IFERROR(IF(AND(SUMIF('Apontamento de Produção'!$A$4:$A$503,$A39,'Apontamento de Produção'!$F$4:$F$503)&gt;0,SUMIF('Apontamento de Produção'!$A$4:$A$503,$A39,'Apontamento de Produção'!$E$4:$E$503)&lt;=SUMIF('Apontamento de Produção'!$A$4:$A$503,$A39,'Apontamento de Produção'!$F$4:$F$503)),SUMIF('Apontamento de Produção'!$A$4:$A$503,$A39,'Apontamento de Produção'!$E$4:$E$503)/SUMIF('Apontamento de Produção'!$A$4:$A$503,$A39,'Apontamento de Produção'!$F$4:$F$503),""),""))</f>
      </c>
      <c r="K39" s="35">
        <f>IF(A39="","",IFERROR(IF(AND(SUMIF('Apontamento de Produção'!$A$4:$A$503,$A39,'Apontamento de Produção'!$E$4:$E$503)&gt;0,SUMIF('Apontamento de Produção'!$A$4:$A$503,$A39,'Apontamento de Produção'!$G$4:$G$503)&lt;=SUMIF('Apontamento de Produção'!$A$4:$A$503,$A39,'Apontamento de Produção'!$E$4:$E$503)),SUMIF('Apontamento de Produção'!$A$4:$A$503,$A39,'Apontamento de Produção'!$G$4:$G$503)/SUMIF('Apontamento de Produção'!$A$4:$A$503,$A39,'Apontamento de Produção'!$E$4:$E$503),""),""))</f>
      </c>
      <c r="L39" s="50">
        <f t="shared" si="4"/>
      </c>
      <c r="M39" s="32">
        <f t="shared" si="5"/>
      </c>
    </row>
    <row r="40" spans="1:13" x14ac:dyDescent="0.25">
      <c r="A40" s="36">
        <f t="shared" si="0"/>
      </c>
      <c r="B40" s="37">
        <f>IF(A40="","",COUNTIFS(Programação!$C$4:$C$503,A40,Programação!$D$4:$D$503,"Corretiva"))</f>
      </c>
      <c r="C40" s="49">
        <f>IF(A40="","",SUMIFS(Programação!$H$4:$H$503,Programação!$C$4:$C$503,A40,Programação!$D$4:$D$503,"Corretiva"))</f>
      </c>
      <c r="D40" s="49">
        <f t="shared" si="1"/>
      </c>
      <c r="E40" s="39">
        <f>IF(N(B40)=0,"",IFERROR(_xlfn.AGGREGATE(15,6,Programação!$G$4:$G$503/((Programação!$C$4:$C$503=A40)*(Programação!$D$4:$D$503="Corretiva")*ISNUMBER(Programação!$G$4:$G$503)),1),""))</f>
      </c>
      <c r="F40" s="39">
        <f>IF(N(B40)=0,"",IFERROR(_xlfn.AGGREGATE(14,6,Programação!$G$4:$G$503/((Programação!$C$4:$C$503=A40)*(Programação!$D$4:$D$503="Corretiva")*ISNUMBER(Programação!$G$4:$G$503)),1),""))</f>
      </c>
      <c r="G40" s="49">
        <f t="shared" si="2"/>
      </c>
      <c r="H40" s="49">
        <f t="shared" si="3"/>
      </c>
      <c r="I40" s="35">
        <f>IF(A40="","",IFERROR(IF(AND(SUMIF('Apontamento de Produção'!$A$4:$A$503,$A40,'Apontamento de Produção'!$C$4:$C$503)&gt;0,SUMIF('Apontamento de Produção'!$A$4:$A$503,$A40,'Apontamento de Produção'!$D$4:$D$503)&lt;=SUMIF('Apontamento de Produção'!$A$4:$A$503,$A40,'Apontamento de Produção'!$C$4:$C$503)),SUMIF('Apontamento de Produção'!$A$4:$A$503,$A40,'Apontamento de Produção'!$D$4:$D$503)/SUMIF('Apontamento de Produção'!$A$4:$A$503,$A40,'Apontamento de Produção'!$C$4:$C$503),""),""))</f>
      </c>
      <c r="J40" s="35">
        <f>IF(A40="","",IFERROR(IF(AND(SUMIF('Apontamento de Produção'!$A$4:$A$503,$A40,'Apontamento de Produção'!$F$4:$F$503)&gt;0,SUMIF('Apontamento de Produção'!$A$4:$A$503,$A40,'Apontamento de Produção'!$E$4:$E$503)&lt;=SUMIF('Apontamento de Produção'!$A$4:$A$503,$A40,'Apontamento de Produção'!$F$4:$F$503)),SUMIF('Apontamento de Produção'!$A$4:$A$503,$A40,'Apontamento de Produção'!$E$4:$E$503)/SUMIF('Apontamento de Produção'!$A$4:$A$503,$A40,'Apontamento de Produção'!$F$4:$F$503),""),""))</f>
      </c>
      <c r="K40" s="35">
        <f>IF(A40="","",IFERROR(IF(AND(SUMIF('Apontamento de Produção'!$A$4:$A$503,$A40,'Apontamento de Produção'!$E$4:$E$503)&gt;0,SUMIF('Apontamento de Produção'!$A$4:$A$503,$A40,'Apontamento de Produção'!$G$4:$G$503)&lt;=SUMIF('Apontamento de Produção'!$A$4:$A$503,$A40,'Apontamento de Produção'!$E$4:$E$503)),SUMIF('Apontamento de Produção'!$A$4:$A$503,$A40,'Apontamento de Produção'!$G$4:$G$503)/SUMIF('Apontamento de Produção'!$A$4:$A$503,$A40,'Apontamento de Produção'!$E$4:$E$503),""),""))</f>
      </c>
      <c r="L40" s="50">
        <f t="shared" si="4"/>
      </c>
      <c r="M40" s="32">
        <f t="shared" si="5"/>
      </c>
    </row>
    <row r="41" spans="1:13" x14ac:dyDescent="0.25">
      <c r="A41" s="36">
        <f t="shared" si="0"/>
      </c>
      <c r="B41" s="37">
        <f>IF(A41="","",COUNTIFS(Programação!$C$4:$C$503,A41,Programação!$D$4:$D$503,"Corretiva"))</f>
      </c>
      <c r="C41" s="49">
        <f>IF(A41="","",SUMIFS(Programação!$H$4:$H$503,Programação!$C$4:$C$503,A41,Programação!$D$4:$D$503,"Corretiva"))</f>
      </c>
      <c r="D41" s="49">
        <f t="shared" si="1"/>
      </c>
      <c r="E41" s="39">
        <f>IF(N(B41)=0,"",IFERROR(_xlfn.AGGREGATE(15,6,Programação!$G$4:$G$503/((Programação!$C$4:$C$503=A41)*(Programação!$D$4:$D$503="Corretiva")*ISNUMBER(Programação!$G$4:$G$503)),1),""))</f>
      </c>
      <c r="F41" s="39">
        <f>IF(N(B41)=0,"",IFERROR(_xlfn.AGGREGATE(14,6,Programação!$G$4:$G$503/((Programação!$C$4:$C$503=A41)*(Programação!$D$4:$D$503="Corretiva")*ISNUMBER(Programação!$G$4:$G$503)),1),""))</f>
      </c>
      <c r="G41" s="49">
        <f t="shared" si="2"/>
      </c>
      <c r="H41" s="49">
        <f t="shared" si="3"/>
      </c>
      <c r="I41" s="35">
        <f>IF(A41="","",IFERROR(IF(AND(SUMIF('Apontamento de Produção'!$A$4:$A$503,$A41,'Apontamento de Produção'!$C$4:$C$503)&gt;0,SUMIF('Apontamento de Produção'!$A$4:$A$503,$A41,'Apontamento de Produção'!$D$4:$D$503)&lt;=SUMIF('Apontamento de Produção'!$A$4:$A$503,$A41,'Apontamento de Produção'!$C$4:$C$503)),SUMIF('Apontamento de Produção'!$A$4:$A$503,$A41,'Apontamento de Produção'!$D$4:$D$503)/SUMIF('Apontamento de Produção'!$A$4:$A$503,$A41,'Apontamento de Produção'!$C$4:$C$503),""),""))</f>
      </c>
      <c r="J41" s="35">
        <f>IF(A41="","",IFERROR(IF(AND(SUMIF('Apontamento de Produção'!$A$4:$A$503,$A41,'Apontamento de Produção'!$F$4:$F$503)&gt;0,SUMIF('Apontamento de Produção'!$A$4:$A$503,$A41,'Apontamento de Produção'!$E$4:$E$503)&lt;=SUMIF('Apontamento de Produção'!$A$4:$A$503,$A41,'Apontamento de Produção'!$F$4:$F$503)),SUMIF('Apontamento de Produção'!$A$4:$A$503,$A41,'Apontamento de Produção'!$E$4:$E$503)/SUMIF('Apontamento de Produção'!$A$4:$A$503,$A41,'Apontamento de Produção'!$F$4:$F$503),""),""))</f>
      </c>
      <c r="K41" s="35">
        <f>IF(A41="","",IFERROR(IF(AND(SUMIF('Apontamento de Produção'!$A$4:$A$503,$A41,'Apontamento de Produção'!$E$4:$E$503)&gt;0,SUMIF('Apontamento de Produção'!$A$4:$A$503,$A41,'Apontamento de Produção'!$G$4:$G$503)&lt;=SUMIF('Apontamento de Produção'!$A$4:$A$503,$A41,'Apontamento de Produção'!$E$4:$E$503)),SUMIF('Apontamento de Produção'!$A$4:$A$503,$A41,'Apontamento de Produção'!$G$4:$G$503)/SUMIF('Apontamento de Produção'!$A$4:$A$503,$A41,'Apontamento de Produção'!$E$4:$E$503),""),""))</f>
      </c>
      <c r="L41" s="50">
        <f t="shared" si="4"/>
      </c>
      <c r="M41" s="32">
        <f t="shared" si="5"/>
      </c>
    </row>
    <row r="42" spans="1:13" x14ac:dyDescent="0.25">
      <c r="A42" s="36">
        <f t="shared" si="0"/>
      </c>
      <c r="B42" s="37">
        <f>IF(A42="","",COUNTIFS(Programação!$C$4:$C$503,A42,Programação!$D$4:$D$503,"Corretiva"))</f>
      </c>
      <c r="C42" s="49">
        <f>IF(A42="","",SUMIFS(Programação!$H$4:$H$503,Programação!$C$4:$C$503,A42,Programação!$D$4:$D$503,"Corretiva"))</f>
      </c>
      <c r="D42" s="49">
        <f t="shared" si="1"/>
      </c>
      <c r="E42" s="39">
        <f>IF(N(B42)=0,"",IFERROR(_xlfn.AGGREGATE(15,6,Programação!$G$4:$G$503/((Programação!$C$4:$C$503=A42)*(Programação!$D$4:$D$503="Corretiva")*ISNUMBER(Programação!$G$4:$G$503)),1),""))</f>
      </c>
      <c r="F42" s="39">
        <f>IF(N(B42)=0,"",IFERROR(_xlfn.AGGREGATE(14,6,Programação!$G$4:$G$503/((Programação!$C$4:$C$503=A42)*(Programação!$D$4:$D$503="Corretiva")*ISNUMBER(Programação!$G$4:$G$503)),1),""))</f>
      </c>
      <c r="G42" s="49">
        <f t="shared" si="2"/>
      </c>
      <c r="H42" s="49">
        <f t="shared" si="3"/>
      </c>
      <c r="I42" s="35">
        <f>IF(A42="","",IFERROR(IF(AND(SUMIF('Apontamento de Produção'!$A$4:$A$503,$A42,'Apontamento de Produção'!$C$4:$C$503)&gt;0,SUMIF('Apontamento de Produção'!$A$4:$A$503,$A42,'Apontamento de Produção'!$D$4:$D$503)&lt;=SUMIF('Apontamento de Produção'!$A$4:$A$503,$A42,'Apontamento de Produção'!$C$4:$C$503)),SUMIF('Apontamento de Produção'!$A$4:$A$503,$A42,'Apontamento de Produção'!$D$4:$D$503)/SUMIF('Apontamento de Produção'!$A$4:$A$503,$A42,'Apontamento de Produção'!$C$4:$C$503),""),""))</f>
      </c>
      <c r="J42" s="35">
        <f>IF(A42="","",IFERROR(IF(AND(SUMIF('Apontamento de Produção'!$A$4:$A$503,$A42,'Apontamento de Produção'!$F$4:$F$503)&gt;0,SUMIF('Apontamento de Produção'!$A$4:$A$503,$A42,'Apontamento de Produção'!$E$4:$E$503)&lt;=SUMIF('Apontamento de Produção'!$A$4:$A$503,$A42,'Apontamento de Produção'!$F$4:$F$503)),SUMIF('Apontamento de Produção'!$A$4:$A$503,$A42,'Apontamento de Produção'!$E$4:$E$503)/SUMIF('Apontamento de Produção'!$A$4:$A$503,$A42,'Apontamento de Produção'!$F$4:$F$503),""),""))</f>
      </c>
      <c r="K42" s="35">
        <f>IF(A42="","",IFERROR(IF(AND(SUMIF('Apontamento de Produção'!$A$4:$A$503,$A42,'Apontamento de Produção'!$E$4:$E$503)&gt;0,SUMIF('Apontamento de Produção'!$A$4:$A$503,$A42,'Apontamento de Produção'!$G$4:$G$503)&lt;=SUMIF('Apontamento de Produção'!$A$4:$A$503,$A42,'Apontamento de Produção'!$E$4:$E$503)),SUMIF('Apontamento de Produção'!$A$4:$A$503,$A42,'Apontamento de Produção'!$G$4:$G$503)/SUMIF('Apontamento de Produção'!$A$4:$A$503,$A42,'Apontamento de Produção'!$E$4:$E$503),""),""))</f>
      </c>
      <c r="L42" s="50">
        <f t="shared" si="4"/>
      </c>
      <c r="M42" s="32">
        <f t="shared" si="5"/>
      </c>
    </row>
    <row r="43" spans="1:13" x14ac:dyDescent="0.25">
      <c r="A43" s="36">
        <f t="shared" si="0"/>
      </c>
      <c r="B43" s="37">
        <f>IF(A43="","",COUNTIFS(Programação!$C$4:$C$503,A43,Programação!$D$4:$D$503,"Corretiva"))</f>
      </c>
      <c r="C43" s="49">
        <f>IF(A43="","",SUMIFS(Programação!$H$4:$H$503,Programação!$C$4:$C$503,A43,Programação!$D$4:$D$503,"Corretiva"))</f>
      </c>
      <c r="D43" s="49">
        <f t="shared" si="1"/>
      </c>
      <c r="E43" s="39">
        <f>IF(N(B43)=0,"",IFERROR(_xlfn.AGGREGATE(15,6,Programação!$G$4:$G$503/((Programação!$C$4:$C$503=A43)*(Programação!$D$4:$D$503="Corretiva")*ISNUMBER(Programação!$G$4:$G$503)),1),""))</f>
      </c>
      <c r="F43" s="39">
        <f>IF(N(B43)=0,"",IFERROR(_xlfn.AGGREGATE(14,6,Programação!$G$4:$G$503/((Programação!$C$4:$C$503=A43)*(Programação!$D$4:$D$503="Corretiva")*ISNUMBER(Programação!$G$4:$G$503)),1),""))</f>
      </c>
      <c r="G43" s="49">
        <f t="shared" si="2"/>
      </c>
      <c r="H43" s="49">
        <f t="shared" si="3"/>
      </c>
      <c r="I43" s="35">
        <f>IF(A43="","",IFERROR(IF(AND(SUMIF('Apontamento de Produção'!$A$4:$A$503,$A43,'Apontamento de Produção'!$C$4:$C$503)&gt;0,SUMIF('Apontamento de Produção'!$A$4:$A$503,$A43,'Apontamento de Produção'!$D$4:$D$503)&lt;=SUMIF('Apontamento de Produção'!$A$4:$A$503,$A43,'Apontamento de Produção'!$C$4:$C$503)),SUMIF('Apontamento de Produção'!$A$4:$A$503,$A43,'Apontamento de Produção'!$D$4:$D$503)/SUMIF('Apontamento de Produção'!$A$4:$A$503,$A43,'Apontamento de Produção'!$C$4:$C$503),""),""))</f>
      </c>
      <c r="J43" s="35">
        <f>IF(A43="","",IFERROR(IF(AND(SUMIF('Apontamento de Produção'!$A$4:$A$503,$A43,'Apontamento de Produção'!$F$4:$F$503)&gt;0,SUMIF('Apontamento de Produção'!$A$4:$A$503,$A43,'Apontamento de Produção'!$E$4:$E$503)&lt;=SUMIF('Apontamento de Produção'!$A$4:$A$503,$A43,'Apontamento de Produção'!$F$4:$F$503)),SUMIF('Apontamento de Produção'!$A$4:$A$503,$A43,'Apontamento de Produção'!$E$4:$E$503)/SUMIF('Apontamento de Produção'!$A$4:$A$503,$A43,'Apontamento de Produção'!$F$4:$F$503),""),""))</f>
      </c>
      <c r="K43" s="35">
        <f>IF(A43="","",IFERROR(IF(AND(SUMIF('Apontamento de Produção'!$A$4:$A$503,$A43,'Apontamento de Produção'!$E$4:$E$503)&gt;0,SUMIF('Apontamento de Produção'!$A$4:$A$503,$A43,'Apontamento de Produção'!$G$4:$G$503)&lt;=SUMIF('Apontamento de Produção'!$A$4:$A$503,$A43,'Apontamento de Produção'!$E$4:$E$503)),SUMIF('Apontamento de Produção'!$A$4:$A$503,$A43,'Apontamento de Produção'!$G$4:$G$503)/SUMIF('Apontamento de Produção'!$A$4:$A$503,$A43,'Apontamento de Produção'!$E$4:$E$503),""),""))</f>
      </c>
      <c r="L43" s="50">
        <f t="shared" si="4"/>
      </c>
      <c r="M43" s="32">
        <f t="shared" si="5"/>
      </c>
    </row>
    <row r="44" spans="1:13" x14ac:dyDescent="0.25">
      <c r="A44" s="36">
        <f t="shared" si="0"/>
      </c>
      <c r="B44" s="37">
        <f>IF(A44="","",COUNTIFS(Programação!$C$4:$C$503,A44,Programação!$D$4:$D$503,"Corretiva"))</f>
      </c>
      <c r="C44" s="49">
        <f>IF(A44="","",SUMIFS(Programação!$H$4:$H$503,Programação!$C$4:$C$503,A44,Programação!$D$4:$D$503,"Corretiva"))</f>
      </c>
      <c r="D44" s="49">
        <f t="shared" si="1"/>
      </c>
      <c r="E44" s="39">
        <f>IF(N(B44)=0,"",IFERROR(_xlfn.AGGREGATE(15,6,Programação!$G$4:$G$503/((Programação!$C$4:$C$503=A44)*(Programação!$D$4:$D$503="Corretiva")*ISNUMBER(Programação!$G$4:$G$503)),1),""))</f>
      </c>
      <c r="F44" s="39">
        <f>IF(N(B44)=0,"",IFERROR(_xlfn.AGGREGATE(14,6,Programação!$G$4:$G$503/((Programação!$C$4:$C$503=A44)*(Programação!$D$4:$D$503="Corretiva")*ISNUMBER(Programação!$G$4:$G$503)),1),""))</f>
      </c>
      <c r="G44" s="49">
        <f t="shared" si="2"/>
      </c>
      <c r="H44" s="49">
        <f t="shared" si="3"/>
      </c>
      <c r="I44" s="35">
        <f>IF(A44="","",IFERROR(IF(AND(SUMIF('Apontamento de Produção'!$A$4:$A$503,$A44,'Apontamento de Produção'!$C$4:$C$503)&gt;0,SUMIF('Apontamento de Produção'!$A$4:$A$503,$A44,'Apontamento de Produção'!$D$4:$D$503)&lt;=SUMIF('Apontamento de Produção'!$A$4:$A$503,$A44,'Apontamento de Produção'!$C$4:$C$503)),SUMIF('Apontamento de Produção'!$A$4:$A$503,$A44,'Apontamento de Produção'!$D$4:$D$503)/SUMIF('Apontamento de Produção'!$A$4:$A$503,$A44,'Apontamento de Produção'!$C$4:$C$503),""),""))</f>
      </c>
      <c r="J44" s="35">
        <f>IF(A44="","",IFERROR(IF(AND(SUMIF('Apontamento de Produção'!$A$4:$A$503,$A44,'Apontamento de Produção'!$F$4:$F$503)&gt;0,SUMIF('Apontamento de Produção'!$A$4:$A$503,$A44,'Apontamento de Produção'!$E$4:$E$503)&lt;=SUMIF('Apontamento de Produção'!$A$4:$A$503,$A44,'Apontamento de Produção'!$F$4:$F$503)),SUMIF('Apontamento de Produção'!$A$4:$A$503,$A44,'Apontamento de Produção'!$E$4:$E$503)/SUMIF('Apontamento de Produção'!$A$4:$A$503,$A44,'Apontamento de Produção'!$F$4:$F$503),""),""))</f>
      </c>
      <c r="K44" s="35">
        <f>IF(A44="","",IFERROR(IF(AND(SUMIF('Apontamento de Produção'!$A$4:$A$503,$A44,'Apontamento de Produção'!$E$4:$E$503)&gt;0,SUMIF('Apontamento de Produção'!$A$4:$A$503,$A44,'Apontamento de Produção'!$G$4:$G$503)&lt;=SUMIF('Apontamento de Produção'!$A$4:$A$503,$A44,'Apontamento de Produção'!$E$4:$E$503)),SUMIF('Apontamento de Produção'!$A$4:$A$503,$A44,'Apontamento de Produção'!$G$4:$G$503)/SUMIF('Apontamento de Produção'!$A$4:$A$503,$A44,'Apontamento de Produção'!$E$4:$E$503),""),""))</f>
      </c>
      <c r="L44" s="50">
        <f t="shared" si="4"/>
      </c>
      <c r="M44" s="32">
        <f t="shared" si="5"/>
      </c>
    </row>
    <row r="45" spans="1:13" x14ac:dyDescent="0.25">
      <c r="A45" s="36">
        <f t="shared" si="0"/>
      </c>
      <c r="B45" s="37">
        <f>IF(A45="","",COUNTIFS(Programação!$C$4:$C$503,A45,Programação!$D$4:$D$503,"Corretiva"))</f>
      </c>
      <c r="C45" s="49">
        <f>IF(A45="","",SUMIFS(Programação!$H$4:$H$503,Programação!$C$4:$C$503,A45,Programação!$D$4:$D$503,"Corretiva"))</f>
      </c>
      <c r="D45" s="49">
        <f t="shared" si="1"/>
      </c>
      <c r="E45" s="39">
        <f>IF(N(B45)=0,"",IFERROR(_xlfn.AGGREGATE(15,6,Programação!$G$4:$G$503/((Programação!$C$4:$C$503=A45)*(Programação!$D$4:$D$503="Corretiva")*ISNUMBER(Programação!$G$4:$G$503)),1),""))</f>
      </c>
      <c r="F45" s="39">
        <f>IF(N(B45)=0,"",IFERROR(_xlfn.AGGREGATE(14,6,Programação!$G$4:$G$503/((Programação!$C$4:$C$503=A45)*(Programação!$D$4:$D$503="Corretiva")*ISNUMBER(Programação!$G$4:$G$503)),1),""))</f>
      </c>
      <c r="G45" s="49">
        <f t="shared" si="2"/>
      </c>
      <c r="H45" s="49">
        <f t="shared" si="3"/>
      </c>
      <c r="I45" s="35">
        <f>IF(A45="","",IFERROR(IF(AND(SUMIF('Apontamento de Produção'!$A$4:$A$503,$A45,'Apontamento de Produção'!$C$4:$C$503)&gt;0,SUMIF('Apontamento de Produção'!$A$4:$A$503,$A45,'Apontamento de Produção'!$D$4:$D$503)&lt;=SUMIF('Apontamento de Produção'!$A$4:$A$503,$A45,'Apontamento de Produção'!$C$4:$C$503)),SUMIF('Apontamento de Produção'!$A$4:$A$503,$A45,'Apontamento de Produção'!$D$4:$D$503)/SUMIF('Apontamento de Produção'!$A$4:$A$503,$A45,'Apontamento de Produção'!$C$4:$C$503),""),""))</f>
      </c>
      <c r="J45" s="35">
        <f>IF(A45="","",IFERROR(IF(AND(SUMIF('Apontamento de Produção'!$A$4:$A$503,$A45,'Apontamento de Produção'!$F$4:$F$503)&gt;0,SUMIF('Apontamento de Produção'!$A$4:$A$503,$A45,'Apontamento de Produção'!$E$4:$E$503)&lt;=SUMIF('Apontamento de Produção'!$A$4:$A$503,$A45,'Apontamento de Produção'!$F$4:$F$503)),SUMIF('Apontamento de Produção'!$A$4:$A$503,$A45,'Apontamento de Produção'!$E$4:$E$503)/SUMIF('Apontamento de Produção'!$A$4:$A$503,$A45,'Apontamento de Produção'!$F$4:$F$503),""),""))</f>
      </c>
      <c r="K45" s="35">
        <f>IF(A45="","",IFERROR(IF(AND(SUMIF('Apontamento de Produção'!$A$4:$A$503,$A45,'Apontamento de Produção'!$E$4:$E$503)&gt;0,SUMIF('Apontamento de Produção'!$A$4:$A$503,$A45,'Apontamento de Produção'!$G$4:$G$503)&lt;=SUMIF('Apontamento de Produção'!$A$4:$A$503,$A45,'Apontamento de Produção'!$E$4:$E$503)),SUMIF('Apontamento de Produção'!$A$4:$A$503,$A45,'Apontamento de Produção'!$G$4:$G$503)/SUMIF('Apontamento de Produção'!$A$4:$A$503,$A45,'Apontamento de Produção'!$E$4:$E$503),""),""))</f>
      </c>
      <c r="L45" s="50">
        <f t="shared" si="4"/>
      </c>
      <c r="M45" s="32">
        <f t="shared" si="5"/>
      </c>
    </row>
    <row r="46" spans="1:13" x14ac:dyDescent="0.25">
      <c r="A46" s="36">
        <f t="shared" si="0"/>
      </c>
      <c r="B46" s="37">
        <f>IF(A46="","",COUNTIFS(Programação!$C$4:$C$503,A46,Programação!$D$4:$D$503,"Corretiva"))</f>
      </c>
      <c r="C46" s="49">
        <f>IF(A46="","",SUMIFS(Programação!$H$4:$H$503,Programação!$C$4:$C$503,A46,Programação!$D$4:$D$503,"Corretiva"))</f>
      </c>
      <c r="D46" s="49">
        <f t="shared" si="1"/>
      </c>
      <c r="E46" s="39">
        <f>IF(N(B46)=0,"",IFERROR(_xlfn.AGGREGATE(15,6,Programação!$G$4:$G$503/((Programação!$C$4:$C$503=A46)*(Programação!$D$4:$D$503="Corretiva")*ISNUMBER(Programação!$G$4:$G$503)),1),""))</f>
      </c>
      <c r="F46" s="39">
        <f>IF(N(B46)=0,"",IFERROR(_xlfn.AGGREGATE(14,6,Programação!$G$4:$G$503/((Programação!$C$4:$C$503=A46)*(Programação!$D$4:$D$503="Corretiva")*ISNUMBER(Programação!$G$4:$G$503)),1),""))</f>
      </c>
      <c r="G46" s="49">
        <f t="shared" si="2"/>
      </c>
      <c r="H46" s="49">
        <f t="shared" si="3"/>
      </c>
      <c r="I46" s="35">
        <f>IF(A46="","",IFERROR(IF(AND(SUMIF('Apontamento de Produção'!$A$4:$A$503,$A46,'Apontamento de Produção'!$C$4:$C$503)&gt;0,SUMIF('Apontamento de Produção'!$A$4:$A$503,$A46,'Apontamento de Produção'!$D$4:$D$503)&lt;=SUMIF('Apontamento de Produção'!$A$4:$A$503,$A46,'Apontamento de Produção'!$C$4:$C$503)),SUMIF('Apontamento de Produção'!$A$4:$A$503,$A46,'Apontamento de Produção'!$D$4:$D$503)/SUMIF('Apontamento de Produção'!$A$4:$A$503,$A46,'Apontamento de Produção'!$C$4:$C$503),""),""))</f>
      </c>
      <c r="J46" s="35">
        <f>IF(A46="","",IFERROR(IF(AND(SUMIF('Apontamento de Produção'!$A$4:$A$503,$A46,'Apontamento de Produção'!$F$4:$F$503)&gt;0,SUMIF('Apontamento de Produção'!$A$4:$A$503,$A46,'Apontamento de Produção'!$E$4:$E$503)&lt;=SUMIF('Apontamento de Produção'!$A$4:$A$503,$A46,'Apontamento de Produção'!$F$4:$F$503)),SUMIF('Apontamento de Produção'!$A$4:$A$503,$A46,'Apontamento de Produção'!$E$4:$E$503)/SUMIF('Apontamento de Produção'!$A$4:$A$503,$A46,'Apontamento de Produção'!$F$4:$F$503),""),""))</f>
      </c>
      <c r="K46" s="35">
        <f>IF(A46="","",IFERROR(IF(AND(SUMIF('Apontamento de Produção'!$A$4:$A$503,$A46,'Apontamento de Produção'!$E$4:$E$503)&gt;0,SUMIF('Apontamento de Produção'!$A$4:$A$503,$A46,'Apontamento de Produção'!$G$4:$G$503)&lt;=SUMIF('Apontamento de Produção'!$A$4:$A$503,$A46,'Apontamento de Produção'!$E$4:$E$503)),SUMIF('Apontamento de Produção'!$A$4:$A$503,$A46,'Apontamento de Produção'!$G$4:$G$503)/SUMIF('Apontamento de Produção'!$A$4:$A$503,$A46,'Apontamento de Produção'!$E$4:$E$503),""),""))</f>
      </c>
      <c r="L46" s="50">
        <f t="shared" si="4"/>
      </c>
      <c r="M46" s="32">
        <f t="shared" si="5"/>
      </c>
    </row>
    <row r="47" spans="1:13" x14ac:dyDescent="0.25">
      <c r="A47" s="36">
        <f t="shared" si="0"/>
      </c>
      <c r="B47" s="37">
        <f>IF(A47="","",COUNTIFS(Programação!$C$4:$C$503,A47,Programação!$D$4:$D$503,"Corretiva"))</f>
      </c>
      <c r="C47" s="49">
        <f>IF(A47="","",SUMIFS(Programação!$H$4:$H$503,Programação!$C$4:$C$503,A47,Programação!$D$4:$D$503,"Corretiva"))</f>
      </c>
      <c r="D47" s="49">
        <f t="shared" si="1"/>
      </c>
      <c r="E47" s="39">
        <f>IF(N(B47)=0,"",IFERROR(_xlfn.AGGREGATE(15,6,Programação!$G$4:$G$503/((Programação!$C$4:$C$503=A47)*(Programação!$D$4:$D$503="Corretiva")*ISNUMBER(Programação!$G$4:$G$503)),1),""))</f>
      </c>
      <c r="F47" s="39">
        <f>IF(N(B47)=0,"",IFERROR(_xlfn.AGGREGATE(14,6,Programação!$G$4:$G$503/((Programação!$C$4:$C$503=A47)*(Programação!$D$4:$D$503="Corretiva")*ISNUMBER(Programação!$G$4:$G$503)),1),""))</f>
      </c>
      <c r="G47" s="49">
        <f t="shared" si="2"/>
      </c>
      <c r="H47" s="49">
        <f t="shared" si="3"/>
      </c>
      <c r="I47" s="35">
        <f>IF(A47="","",IFERROR(IF(AND(SUMIF('Apontamento de Produção'!$A$4:$A$503,$A47,'Apontamento de Produção'!$C$4:$C$503)&gt;0,SUMIF('Apontamento de Produção'!$A$4:$A$503,$A47,'Apontamento de Produção'!$D$4:$D$503)&lt;=SUMIF('Apontamento de Produção'!$A$4:$A$503,$A47,'Apontamento de Produção'!$C$4:$C$503)),SUMIF('Apontamento de Produção'!$A$4:$A$503,$A47,'Apontamento de Produção'!$D$4:$D$503)/SUMIF('Apontamento de Produção'!$A$4:$A$503,$A47,'Apontamento de Produção'!$C$4:$C$503),""),""))</f>
      </c>
      <c r="J47" s="35">
        <f>IF(A47="","",IFERROR(IF(AND(SUMIF('Apontamento de Produção'!$A$4:$A$503,$A47,'Apontamento de Produção'!$F$4:$F$503)&gt;0,SUMIF('Apontamento de Produção'!$A$4:$A$503,$A47,'Apontamento de Produção'!$E$4:$E$503)&lt;=SUMIF('Apontamento de Produção'!$A$4:$A$503,$A47,'Apontamento de Produção'!$F$4:$F$503)),SUMIF('Apontamento de Produção'!$A$4:$A$503,$A47,'Apontamento de Produção'!$E$4:$E$503)/SUMIF('Apontamento de Produção'!$A$4:$A$503,$A47,'Apontamento de Produção'!$F$4:$F$503),""),""))</f>
      </c>
      <c r="K47" s="35">
        <f>IF(A47="","",IFERROR(IF(AND(SUMIF('Apontamento de Produção'!$A$4:$A$503,$A47,'Apontamento de Produção'!$E$4:$E$503)&gt;0,SUMIF('Apontamento de Produção'!$A$4:$A$503,$A47,'Apontamento de Produção'!$G$4:$G$503)&lt;=SUMIF('Apontamento de Produção'!$A$4:$A$503,$A47,'Apontamento de Produção'!$E$4:$E$503)),SUMIF('Apontamento de Produção'!$A$4:$A$503,$A47,'Apontamento de Produção'!$G$4:$G$503)/SUMIF('Apontamento de Produção'!$A$4:$A$503,$A47,'Apontamento de Produção'!$E$4:$E$503),""),""))</f>
      </c>
      <c r="L47" s="50">
        <f t="shared" si="4"/>
      </c>
      <c r="M47" s="32">
        <f t="shared" si="5"/>
      </c>
    </row>
    <row r="48" spans="1:13" x14ac:dyDescent="0.25">
      <c r="A48" s="36">
        <f t="shared" si="0"/>
      </c>
      <c r="B48" s="37">
        <f>IF(A48="","",COUNTIFS(Programação!$C$4:$C$503,A48,Programação!$D$4:$D$503,"Corretiva"))</f>
      </c>
      <c r="C48" s="49">
        <f>IF(A48="","",SUMIFS(Programação!$H$4:$H$503,Programação!$C$4:$C$503,A48,Programação!$D$4:$D$503,"Corretiva"))</f>
      </c>
      <c r="D48" s="49">
        <f t="shared" si="1"/>
      </c>
      <c r="E48" s="39">
        <f>IF(N(B48)=0,"",IFERROR(_xlfn.AGGREGATE(15,6,Programação!$G$4:$G$503/((Programação!$C$4:$C$503=A48)*(Programação!$D$4:$D$503="Corretiva")*ISNUMBER(Programação!$G$4:$G$503)),1),""))</f>
      </c>
      <c r="F48" s="39">
        <f>IF(N(B48)=0,"",IFERROR(_xlfn.AGGREGATE(14,6,Programação!$G$4:$G$503/((Programação!$C$4:$C$503=A48)*(Programação!$D$4:$D$503="Corretiva")*ISNUMBER(Programação!$G$4:$G$503)),1),""))</f>
      </c>
      <c r="G48" s="49">
        <f t="shared" si="2"/>
      </c>
      <c r="H48" s="49">
        <f t="shared" si="3"/>
      </c>
      <c r="I48" s="35">
        <f>IF(A48="","",IFERROR(IF(AND(SUMIF('Apontamento de Produção'!$A$4:$A$503,$A48,'Apontamento de Produção'!$C$4:$C$503)&gt;0,SUMIF('Apontamento de Produção'!$A$4:$A$503,$A48,'Apontamento de Produção'!$D$4:$D$503)&lt;=SUMIF('Apontamento de Produção'!$A$4:$A$503,$A48,'Apontamento de Produção'!$C$4:$C$503)),SUMIF('Apontamento de Produção'!$A$4:$A$503,$A48,'Apontamento de Produção'!$D$4:$D$503)/SUMIF('Apontamento de Produção'!$A$4:$A$503,$A48,'Apontamento de Produção'!$C$4:$C$503),""),""))</f>
      </c>
      <c r="J48" s="35">
        <f>IF(A48="","",IFERROR(IF(AND(SUMIF('Apontamento de Produção'!$A$4:$A$503,$A48,'Apontamento de Produção'!$F$4:$F$503)&gt;0,SUMIF('Apontamento de Produção'!$A$4:$A$503,$A48,'Apontamento de Produção'!$E$4:$E$503)&lt;=SUMIF('Apontamento de Produção'!$A$4:$A$503,$A48,'Apontamento de Produção'!$F$4:$F$503)),SUMIF('Apontamento de Produção'!$A$4:$A$503,$A48,'Apontamento de Produção'!$E$4:$E$503)/SUMIF('Apontamento de Produção'!$A$4:$A$503,$A48,'Apontamento de Produção'!$F$4:$F$503),""),""))</f>
      </c>
      <c r="K48" s="35">
        <f>IF(A48="","",IFERROR(IF(AND(SUMIF('Apontamento de Produção'!$A$4:$A$503,$A48,'Apontamento de Produção'!$E$4:$E$503)&gt;0,SUMIF('Apontamento de Produção'!$A$4:$A$503,$A48,'Apontamento de Produção'!$G$4:$G$503)&lt;=SUMIF('Apontamento de Produção'!$A$4:$A$503,$A48,'Apontamento de Produção'!$E$4:$E$503)),SUMIF('Apontamento de Produção'!$A$4:$A$503,$A48,'Apontamento de Produção'!$G$4:$G$503)/SUMIF('Apontamento de Produção'!$A$4:$A$503,$A48,'Apontamento de Produção'!$E$4:$E$503),""),""))</f>
      </c>
      <c r="L48" s="50">
        <f t="shared" si="4"/>
      </c>
      <c r="M48" s="32">
        <f t="shared" si="5"/>
      </c>
    </row>
    <row r="49" spans="1:13" x14ac:dyDescent="0.25">
      <c r="A49" s="36">
        <f t="shared" si="0"/>
      </c>
      <c r="B49" s="37">
        <f>IF(A49="","",COUNTIFS(Programação!$C$4:$C$503,A49,Programação!$D$4:$D$503,"Corretiva"))</f>
      </c>
      <c r="C49" s="49">
        <f>IF(A49="","",SUMIFS(Programação!$H$4:$H$503,Programação!$C$4:$C$503,A49,Programação!$D$4:$D$503,"Corretiva"))</f>
      </c>
      <c r="D49" s="49">
        <f t="shared" si="1"/>
      </c>
      <c r="E49" s="39">
        <f>IF(N(B49)=0,"",IFERROR(_xlfn.AGGREGATE(15,6,Programação!$G$4:$G$503/((Programação!$C$4:$C$503=A49)*(Programação!$D$4:$D$503="Corretiva")*ISNUMBER(Programação!$G$4:$G$503)),1),""))</f>
      </c>
      <c r="F49" s="39">
        <f>IF(N(B49)=0,"",IFERROR(_xlfn.AGGREGATE(14,6,Programação!$G$4:$G$503/((Programação!$C$4:$C$503=A49)*(Programação!$D$4:$D$503="Corretiva")*ISNUMBER(Programação!$G$4:$G$503)),1),""))</f>
      </c>
      <c r="G49" s="49">
        <f t="shared" si="2"/>
      </c>
      <c r="H49" s="49">
        <f t="shared" si="3"/>
      </c>
      <c r="I49" s="35">
        <f>IF(A49="","",IFERROR(IF(AND(SUMIF('Apontamento de Produção'!$A$4:$A$503,$A49,'Apontamento de Produção'!$C$4:$C$503)&gt;0,SUMIF('Apontamento de Produção'!$A$4:$A$503,$A49,'Apontamento de Produção'!$D$4:$D$503)&lt;=SUMIF('Apontamento de Produção'!$A$4:$A$503,$A49,'Apontamento de Produção'!$C$4:$C$503)),SUMIF('Apontamento de Produção'!$A$4:$A$503,$A49,'Apontamento de Produção'!$D$4:$D$503)/SUMIF('Apontamento de Produção'!$A$4:$A$503,$A49,'Apontamento de Produção'!$C$4:$C$503),""),""))</f>
      </c>
      <c r="J49" s="35">
        <f>IF(A49="","",IFERROR(IF(AND(SUMIF('Apontamento de Produção'!$A$4:$A$503,$A49,'Apontamento de Produção'!$F$4:$F$503)&gt;0,SUMIF('Apontamento de Produção'!$A$4:$A$503,$A49,'Apontamento de Produção'!$E$4:$E$503)&lt;=SUMIF('Apontamento de Produção'!$A$4:$A$503,$A49,'Apontamento de Produção'!$F$4:$F$503)),SUMIF('Apontamento de Produção'!$A$4:$A$503,$A49,'Apontamento de Produção'!$E$4:$E$503)/SUMIF('Apontamento de Produção'!$A$4:$A$503,$A49,'Apontamento de Produção'!$F$4:$F$503),""),""))</f>
      </c>
      <c r="K49" s="35">
        <f>IF(A49="","",IFERROR(IF(AND(SUMIF('Apontamento de Produção'!$A$4:$A$503,$A49,'Apontamento de Produção'!$E$4:$E$503)&gt;0,SUMIF('Apontamento de Produção'!$A$4:$A$503,$A49,'Apontamento de Produção'!$G$4:$G$503)&lt;=SUMIF('Apontamento de Produção'!$A$4:$A$503,$A49,'Apontamento de Produção'!$E$4:$E$503)),SUMIF('Apontamento de Produção'!$A$4:$A$503,$A49,'Apontamento de Produção'!$G$4:$G$503)/SUMIF('Apontamento de Produção'!$A$4:$A$503,$A49,'Apontamento de Produção'!$E$4:$E$503),""),""))</f>
      </c>
      <c r="L49" s="50">
        <f t="shared" si="4"/>
      </c>
      <c r="M49" s="32">
        <f t="shared" si="5"/>
      </c>
    </row>
    <row r="50" spans="1:13" x14ac:dyDescent="0.25">
      <c r="A50" s="36">
        <f t="shared" si="0"/>
      </c>
      <c r="B50" s="37">
        <f>IF(A50="","",COUNTIFS(Programação!$C$4:$C$503,A50,Programação!$D$4:$D$503,"Corretiva"))</f>
      </c>
      <c r="C50" s="49">
        <f>IF(A50="","",SUMIFS(Programação!$H$4:$H$503,Programação!$C$4:$C$503,A50,Programação!$D$4:$D$503,"Corretiva"))</f>
      </c>
      <c r="D50" s="49">
        <f t="shared" si="1"/>
      </c>
      <c r="E50" s="39">
        <f>IF(N(B50)=0,"",IFERROR(_xlfn.AGGREGATE(15,6,Programação!$G$4:$G$503/((Programação!$C$4:$C$503=A50)*(Programação!$D$4:$D$503="Corretiva")*ISNUMBER(Programação!$G$4:$G$503)),1),""))</f>
      </c>
      <c r="F50" s="39">
        <f>IF(N(B50)=0,"",IFERROR(_xlfn.AGGREGATE(14,6,Programação!$G$4:$G$503/((Programação!$C$4:$C$503=A50)*(Programação!$D$4:$D$503="Corretiva")*ISNUMBER(Programação!$G$4:$G$503)),1),""))</f>
      </c>
      <c r="G50" s="49">
        <f t="shared" si="2"/>
      </c>
      <c r="H50" s="49">
        <f t="shared" si="3"/>
      </c>
      <c r="I50" s="35">
        <f>IF(A50="","",IFERROR(IF(AND(SUMIF('Apontamento de Produção'!$A$4:$A$503,$A50,'Apontamento de Produção'!$C$4:$C$503)&gt;0,SUMIF('Apontamento de Produção'!$A$4:$A$503,$A50,'Apontamento de Produção'!$D$4:$D$503)&lt;=SUMIF('Apontamento de Produção'!$A$4:$A$503,$A50,'Apontamento de Produção'!$C$4:$C$503)),SUMIF('Apontamento de Produção'!$A$4:$A$503,$A50,'Apontamento de Produção'!$D$4:$D$503)/SUMIF('Apontamento de Produção'!$A$4:$A$503,$A50,'Apontamento de Produção'!$C$4:$C$503),""),""))</f>
      </c>
      <c r="J50" s="35">
        <f>IF(A50="","",IFERROR(IF(AND(SUMIF('Apontamento de Produção'!$A$4:$A$503,$A50,'Apontamento de Produção'!$F$4:$F$503)&gt;0,SUMIF('Apontamento de Produção'!$A$4:$A$503,$A50,'Apontamento de Produção'!$E$4:$E$503)&lt;=SUMIF('Apontamento de Produção'!$A$4:$A$503,$A50,'Apontamento de Produção'!$F$4:$F$503)),SUMIF('Apontamento de Produção'!$A$4:$A$503,$A50,'Apontamento de Produção'!$E$4:$E$503)/SUMIF('Apontamento de Produção'!$A$4:$A$503,$A50,'Apontamento de Produção'!$F$4:$F$503),""),""))</f>
      </c>
      <c r="K50" s="35">
        <f>IF(A50="","",IFERROR(IF(AND(SUMIF('Apontamento de Produção'!$A$4:$A$503,$A50,'Apontamento de Produção'!$E$4:$E$503)&gt;0,SUMIF('Apontamento de Produção'!$A$4:$A$503,$A50,'Apontamento de Produção'!$G$4:$G$503)&lt;=SUMIF('Apontamento de Produção'!$A$4:$A$503,$A50,'Apontamento de Produção'!$E$4:$E$503)),SUMIF('Apontamento de Produção'!$A$4:$A$503,$A50,'Apontamento de Produção'!$G$4:$G$503)/SUMIF('Apontamento de Produção'!$A$4:$A$503,$A50,'Apontamento de Produção'!$E$4:$E$503),""),""))</f>
      </c>
      <c r="L50" s="50">
        <f t="shared" si="4"/>
      </c>
      <c r="M50" s="32">
        <f t="shared" si="5"/>
      </c>
    </row>
    <row r="51" spans="1:13" x14ac:dyDescent="0.25">
      <c r="A51" s="36">
        <f t="shared" si="0"/>
      </c>
      <c r="B51" s="37">
        <f>IF(A51="","",COUNTIFS(Programação!$C$4:$C$503,A51,Programação!$D$4:$D$503,"Corretiva"))</f>
      </c>
      <c r="C51" s="49">
        <f>IF(A51="","",SUMIFS(Programação!$H$4:$H$503,Programação!$C$4:$C$503,A51,Programação!$D$4:$D$503,"Corretiva"))</f>
      </c>
      <c r="D51" s="49">
        <f t="shared" si="1"/>
      </c>
      <c r="E51" s="39">
        <f>IF(N(B51)=0,"",IFERROR(_xlfn.AGGREGATE(15,6,Programação!$G$4:$G$503/((Programação!$C$4:$C$503=A51)*(Programação!$D$4:$D$503="Corretiva")*ISNUMBER(Programação!$G$4:$G$503)),1),""))</f>
      </c>
      <c r="F51" s="39">
        <f>IF(N(B51)=0,"",IFERROR(_xlfn.AGGREGATE(14,6,Programação!$G$4:$G$503/((Programação!$C$4:$C$503=A51)*(Programação!$D$4:$D$503="Corretiva")*ISNUMBER(Programação!$G$4:$G$503)),1),""))</f>
      </c>
      <c r="G51" s="49">
        <f t="shared" si="2"/>
      </c>
      <c r="H51" s="49">
        <f t="shared" si="3"/>
      </c>
      <c r="I51" s="35">
        <f>IF(A51="","",IFERROR(IF(AND(SUMIF('Apontamento de Produção'!$A$4:$A$503,$A51,'Apontamento de Produção'!$C$4:$C$503)&gt;0,SUMIF('Apontamento de Produção'!$A$4:$A$503,$A51,'Apontamento de Produção'!$D$4:$D$503)&lt;=SUMIF('Apontamento de Produção'!$A$4:$A$503,$A51,'Apontamento de Produção'!$C$4:$C$503)),SUMIF('Apontamento de Produção'!$A$4:$A$503,$A51,'Apontamento de Produção'!$D$4:$D$503)/SUMIF('Apontamento de Produção'!$A$4:$A$503,$A51,'Apontamento de Produção'!$C$4:$C$503),""),""))</f>
      </c>
      <c r="J51" s="35">
        <f>IF(A51="","",IFERROR(IF(AND(SUMIF('Apontamento de Produção'!$A$4:$A$503,$A51,'Apontamento de Produção'!$F$4:$F$503)&gt;0,SUMIF('Apontamento de Produção'!$A$4:$A$503,$A51,'Apontamento de Produção'!$E$4:$E$503)&lt;=SUMIF('Apontamento de Produção'!$A$4:$A$503,$A51,'Apontamento de Produção'!$F$4:$F$503)),SUMIF('Apontamento de Produção'!$A$4:$A$503,$A51,'Apontamento de Produção'!$E$4:$E$503)/SUMIF('Apontamento de Produção'!$A$4:$A$503,$A51,'Apontamento de Produção'!$F$4:$F$503),""),""))</f>
      </c>
      <c r="K51" s="35">
        <f>IF(A51="","",IFERROR(IF(AND(SUMIF('Apontamento de Produção'!$A$4:$A$503,$A51,'Apontamento de Produção'!$E$4:$E$503)&gt;0,SUMIF('Apontamento de Produção'!$A$4:$A$503,$A51,'Apontamento de Produção'!$G$4:$G$503)&lt;=SUMIF('Apontamento de Produção'!$A$4:$A$503,$A51,'Apontamento de Produção'!$E$4:$E$503)),SUMIF('Apontamento de Produção'!$A$4:$A$503,$A51,'Apontamento de Produção'!$G$4:$G$503)/SUMIF('Apontamento de Produção'!$A$4:$A$503,$A51,'Apontamento de Produção'!$E$4:$E$503),""),""))</f>
      </c>
      <c r="L51" s="50">
        <f t="shared" si="4"/>
      </c>
      <c r="M51" s="32">
        <f t="shared" si="5"/>
      </c>
    </row>
    <row r="52" spans="1:13" x14ac:dyDescent="0.25">
      <c r="A52" s="36">
        <f t="shared" si="0"/>
      </c>
      <c r="B52" s="37">
        <f>IF(A52="","",COUNTIFS(Programação!$C$4:$C$503,A52,Programação!$D$4:$D$503,"Corretiva"))</f>
      </c>
      <c r="C52" s="49">
        <f>IF(A52="","",SUMIFS(Programação!$H$4:$H$503,Programação!$C$4:$C$503,A52,Programação!$D$4:$D$503,"Corretiva"))</f>
      </c>
      <c r="D52" s="49">
        <f t="shared" si="1"/>
      </c>
      <c r="E52" s="39">
        <f>IF(N(B52)=0,"",IFERROR(_xlfn.AGGREGATE(15,6,Programação!$G$4:$G$503/((Programação!$C$4:$C$503=A52)*(Programação!$D$4:$D$503="Corretiva")*ISNUMBER(Programação!$G$4:$G$503)),1),""))</f>
      </c>
      <c r="F52" s="39">
        <f>IF(N(B52)=0,"",IFERROR(_xlfn.AGGREGATE(14,6,Programação!$G$4:$G$503/((Programação!$C$4:$C$503=A52)*(Programação!$D$4:$D$503="Corretiva")*ISNUMBER(Programação!$G$4:$G$503)),1),""))</f>
      </c>
      <c r="G52" s="49">
        <f t="shared" si="2"/>
      </c>
      <c r="H52" s="49">
        <f t="shared" si="3"/>
      </c>
      <c r="I52" s="35">
        <f>IF(A52="","",IFERROR(IF(AND(SUMIF('Apontamento de Produção'!$A$4:$A$503,$A52,'Apontamento de Produção'!$C$4:$C$503)&gt;0,SUMIF('Apontamento de Produção'!$A$4:$A$503,$A52,'Apontamento de Produção'!$D$4:$D$503)&lt;=SUMIF('Apontamento de Produção'!$A$4:$A$503,$A52,'Apontamento de Produção'!$C$4:$C$503)),SUMIF('Apontamento de Produção'!$A$4:$A$503,$A52,'Apontamento de Produção'!$D$4:$D$503)/SUMIF('Apontamento de Produção'!$A$4:$A$503,$A52,'Apontamento de Produção'!$C$4:$C$503),""),""))</f>
      </c>
      <c r="J52" s="35">
        <f>IF(A52="","",IFERROR(IF(AND(SUMIF('Apontamento de Produção'!$A$4:$A$503,$A52,'Apontamento de Produção'!$F$4:$F$503)&gt;0,SUMIF('Apontamento de Produção'!$A$4:$A$503,$A52,'Apontamento de Produção'!$E$4:$E$503)&lt;=SUMIF('Apontamento de Produção'!$A$4:$A$503,$A52,'Apontamento de Produção'!$F$4:$F$503)),SUMIF('Apontamento de Produção'!$A$4:$A$503,$A52,'Apontamento de Produção'!$E$4:$E$503)/SUMIF('Apontamento de Produção'!$A$4:$A$503,$A52,'Apontamento de Produção'!$F$4:$F$503),""),""))</f>
      </c>
      <c r="K52" s="35">
        <f>IF(A52="","",IFERROR(IF(AND(SUMIF('Apontamento de Produção'!$A$4:$A$503,$A52,'Apontamento de Produção'!$E$4:$E$503)&gt;0,SUMIF('Apontamento de Produção'!$A$4:$A$503,$A52,'Apontamento de Produção'!$G$4:$G$503)&lt;=SUMIF('Apontamento de Produção'!$A$4:$A$503,$A52,'Apontamento de Produção'!$E$4:$E$503)),SUMIF('Apontamento de Produção'!$A$4:$A$503,$A52,'Apontamento de Produção'!$G$4:$G$503)/SUMIF('Apontamento de Produção'!$A$4:$A$503,$A52,'Apontamento de Produção'!$E$4:$E$503),""),""))</f>
      </c>
      <c r="L52" s="50">
        <f t="shared" si="4"/>
      </c>
      <c r="M52" s="32">
        <f t="shared" si="5"/>
      </c>
    </row>
    <row r="53" spans="1:13" x14ac:dyDescent="0.25">
      <c r="A53" s="36">
        <f t="shared" si="0"/>
      </c>
      <c r="B53" s="37">
        <f>IF(A53="","",COUNTIFS(Programação!$C$4:$C$503,A53,Programação!$D$4:$D$503,"Corretiva"))</f>
      </c>
      <c r="C53" s="49">
        <f>IF(A53="","",SUMIFS(Programação!$H$4:$H$503,Programação!$C$4:$C$503,A53,Programação!$D$4:$D$503,"Corretiva"))</f>
      </c>
      <c r="D53" s="49">
        <f t="shared" si="1"/>
      </c>
      <c r="E53" s="39">
        <f>IF(N(B53)=0,"",IFERROR(_xlfn.AGGREGATE(15,6,Programação!$G$4:$G$503/((Programação!$C$4:$C$503=A53)*(Programação!$D$4:$D$503="Corretiva")*ISNUMBER(Programação!$G$4:$G$503)),1),""))</f>
      </c>
      <c r="F53" s="39">
        <f>IF(N(B53)=0,"",IFERROR(_xlfn.AGGREGATE(14,6,Programação!$G$4:$G$503/((Programação!$C$4:$C$503=A53)*(Programação!$D$4:$D$503="Corretiva")*ISNUMBER(Programação!$G$4:$G$503)),1),""))</f>
      </c>
      <c r="G53" s="49">
        <f t="shared" si="2"/>
      </c>
      <c r="H53" s="49">
        <f t="shared" si="3"/>
      </c>
      <c r="I53" s="35">
        <f>IF(A53="","",IFERROR(IF(AND(SUMIF('Apontamento de Produção'!$A$4:$A$503,$A53,'Apontamento de Produção'!$C$4:$C$503)&gt;0,SUMIF('Apontamento de Produção'!$A$4:$A$503,$A53,'Apontamento de Produção'!$D$4:$D$503)&lt;=SUMIF('Apontamento de Produção'!$A$4:$A$503,$A53,'Apontamento de Produção'!$C$4:$C$503)),SUMIF('Apontamento de Produção'!$A$4:$A$503,$A53,'Apontamento de Produção'!$D$4:$D$503)/SUMIF('Apontamento de Produção'!$A$4:$A$503,$A53,'Apontamento de Produção'!$C$4:$C$503),""),""))</f>
      </c>
      <c r="J53" s="35">
        <f>IF(A53="","",IFERROR(IF(AND(SUMIF('Apontamento de Produção'!$A$4:$A$503,$A53,'Apontamento de Produção'!$F$4:$F$503)&gt;0,SUMIF('Apontamento de Produção'!$A$4:$A$503,$A53,'Apontamento de Produção'!$E$4:$E$503)&lt;=SUMIF('Apontamento de Produção'!$A$4:$A$503,$A53,'Apontamento de Produção'!$F$4:$F$503)),SUMIF('Apontamento de Produção'!$A$4:$A$503,$A53,'Apontamento de Produção'!$E$4:$E$503)/SUMIF('Apontamento de Produção'!$A$4:$A$503,$A53,'Apontamento de Produção'!$F$4:$F$503),""),""))</f>
      </c>
      <c r="K53" s="35">
        <f>IF(A53="","",IFERROR(IF(AND(SUMIF('Apontamento de Produção'!$A$4:$A$503,$A53,'Apontamento de Produção'!$E$4:$E$503)&gt;0,SUMIF('Apontamento de Produção'!$A$4:$A$503,$A53,'Apontamento de Produção'!$G$4:$G$503)&lt;=SUMIF('Apontamento de Produção'!$A$4:$A$503,$A53,'Apontamento de Produção'!$E$4:$E$503)),SUMIF('Apontamento de Produção'!$A$4:$A$503,$A53,'Apontamento de Produção'!$G$4:$G$503)/SUMIF('Apontamento de Produção'!$A$4:$A$503,$A53,'Apontamento de Produção'!$E$4:$E$503),""),""))</f>
      </c>
      <c r="L53" s="50">
        <f t="shared" si="4"/>
      </c>
      <c r="M53" s="32">
        <f t="shared" si="5"/>
      </c>
    </row>
    <row r="54" spans="1:13" x14ac:dyDescent="0.25">
      <c r="A54" s="36">
        <f t="shared" si="0"/>
      </c>
      <c r="B54" s="37">
        <f>IF(A54="","",COUNTIFS(Programação!$C$4:$C$503,A54,Programação!$D$4:$D$503,"Corretiva"))</f>
      </c>
      <c r="C54" s="49">
        <f>IF(A54="","",SUMIFS(Programação!$H$4:$H$503,Programação!$C$4:$C$503,A54,Programação!$D$4:$D$503,"Corretiva"))</f>
      </c>
      <c r="D54" s="49">
        <f t="shared" si="1"/>
      </c>
      <c r="E54" s="39">
        <f>IF(N(B54)=0,"",IFERROR(_xlfn.AGGREGATE(15,6,Programação!$G$4:$G$503/((Programação!$C$4:$C$503=A54)*(Programação!$D$4:$D$503="Corretiva")*ISNUMBER(Programação!$G$4:$G$503)),1),""))</f>
      </c>
      <c r="F54" s="39">
        <f>IF(N(B54)=0,"",IFERROR(_xlfn.AGGREGATE(14,6,Programação!$G$4:$G$503/((Programação!$C$4:$C$503=A54)*(Programação!$D$4:$D$503="Corretiva")*ISNUMBER(Programação!$G$4:$G$503)),1),""))</f>
      </c>
      <c r="G54" s="49">
        <f t="shared" si="2"/>
      </c>
      <c r="H54" s="49">
        <f t="shared" si="3"/>
      </c>
      <c r="I54" s="35">
        <f>IF(A54="","",IFERROR(IF(AND(SUMIF('Apontamento de Produção'!$A$4:$A$503,$A54,'Apontamento de Produção'!$C$4:$C$503)&gt;0,SUMIF('Apontamento de Produção'!$A$4:$A$503,$A54,'Apontamento de Produção'!$D$4:$D$503)&lt;=SUMIF('Apontamento de Produção'!$A$4:$A$503,$A54,'Apontamento de Produção'!$C$4:$C$503)),SUMIF('Apontamento de Produção'!$A$4:$A$503,$A54,'Apontamento de Produção'!$D$4:$D$503)/SUMIF('Apontamento de Produção'!$A$4:$A$503,$A54,'Apontamento de Produção'!$C$4:$C$503),""),""))</f>
      </c>
      <c r="J54" s="35">
        <f>IF(A54="","",IFERROR(IF(AND(SUMIF('Apontamento de Produção'!$A$4:$A$503,$A54,'Apontamento de Produção'!$F$4:$F$503)&gt;0,SUMIF('Apontamento de Produção'!$A$4:$A$503,$A54,'Apontamento de Produção'!$E$4:$E$503)&lt;=SUMIF('Apontamento de Produção'!$A$4:$A$503,$A54,'Apontamento de Produção'!$F$4:$F$503)),SUMIF('Apontamento de Produção'!$A$4:$A$503,$A54,'Apontamento de Produção'!$E$4:$E$503)/SUMIF('Apontamento de Produção'!$A$4:$A$503,$A54,'Apontamento de Produção'!$F$4:$F$503),""),""))</f>
      </c>
      <c r="K54" s="35">
        <f>IF(A54="","",IFERROR(IF(AND(SUMIF('Apontamento de Produção'!$A$4:$A$503,$A54,'Apontamento de Produção'!$E$4:$E$503)&gt;0,SUMIF('Apontamento de Produção'!$A$4:$A$503,$A54,'Apontamento de Produção'!$G$4:$G$503)&lt;=SUMIF('Apontamento de Produção'!$A$4:$A$503,$A54,'Apontamento de Produção'!$E$4:$E$503)),SUMIF('Apontamento de Produção'!$A$4:$A$503,$A54,'Apontamento de Produção'!$G$4:$G$503)/SUMIF('Apontamento de Produção'!$A$4:$A$503,$A54,'Apontamento de Produção'!$E$4:$E$503),""),""))</f>
      </c>
      <c r="L54" s="50">
        <f t="shared" si="4"/>
      </c>
      <c r="M54" s="32">
        <f t="shared" si="5"/>
      </c>
    </row>
    <row r="55" spans="1:13" x14ac:dyDescent="0.25">
      <c r="A55" s="36">
        <f t="shared" si="0"/>
      </c>
      <c r="B55" s="37">
        <f>IF(A55="","",COUNTIFS(Programação!$C$4:$C$503,A55,Programação!$D$4:$D$503,"Corretiva"))</f>
      </c>
      <c r="C55" s="49">
        <f>IF(A55="","",SUMIFS(Programação!$H$4:$H$503,Programação!$C$4:$C$503,A55,Programação!$D$4:$D$503,"Corretiva"))</f>
      </c>
      <c r="D55" s="49">
        <f t="shared" si="1"/>
      </c>
      <c r="E55" s="39">
        <f>IF(N(B55)=0,"",IFERROR(_xlfn.AGGREGATE(15,6,Programação!$G$4:$G$503/((Programação!$C$4:$C$503=A55)*(Programação!$D$4:$D$503="Corretiva")*ISNUMBER(Programação!$G$4:$G$503)),1),""))</f>
      </c>
      <c r="F55" s="39">
        <f>IF(N(B55)=0,"",IFERROR(_xlfn.AGGREGATE(14,6,Programação!$G$4:$G$503/((Programação!$C$4:$C$503=A55)*(Programação!$D$4:$D$503="Corretiva")*ISNUMBER(Programação!$G$4:$G$503)),1),""))</f>
      </c>
      <c r="G55" s="49">
        <f t="shared" si="2"/>
      </c>
      <c r="H55" s="49">
        <f t="shared" si="3"/>
      </c>
      <c r="I55" s="35">
        <f>IF(A55="","",IFERROR(IF(AND(SUMIF('Apontamento de Produção'!$A$4:$A$503,$A55,'Apontamento de Produção'!$C$4:$C$503)&gt;0,SUMIF('Apontamento de Produção'!$A$4:$A$503,$A55,'Apontamento de Produção'!$D$4:$D$503)&lt;=SUMIF('Apontamento de Produção'!$A$4:$A$503,$A55,'Apontamento de Produção'!$C$4:$C$503)),SUMIF('Apontamento de Produção'!$A$4:$A$503,$A55,'Apontamento de Produção'!$D$4:$D$503)/SUMIF('Apontamento de Produção'!$A$4:$A$503,$A55,'Apontamento de Produção'!$C$4:$C$503),""),""))</f>
      </c>
      <c r="J55" s="35">
        <f>IF(A55="","",IFERROR(IF(AND(SUMIF('Apontamento de Produção'!$A$4:$A$503,$A55,'Apontamento de Produção'!$F$4:$F$503)&gt;0,SUMIF('Apontamento de Produção'!$A$4:$A$503,$A55,'Apontamento de Produção'!$E$4:$E$503)&lt;=SUMIF('Apontamento de Produção'!$A$4:$A$503,$A55,'Apontamento de Produção'!$F$4:$F$503)),SUMIF('Apontamento de Produção'!$A$4:$A$503,$A55,'Apontamento de Produção'!$E$4:$E$503)/SUMIF('Apontamento de Produção'!$A$4:$A$503,$A55,'Apontamento de Produção'!$F$4:$F$503),""),""))</f>
      </c>
      <c r="K55" s="35">
        <f>IF(A55="","",IFERROR(IF(AND(SUMIF('Apontamento de Produção'!$A$4:$A$503,$A55,'Apontamento de Produção'!$E$4:$E$503)&gt;0,SUMIF('Apontamento de Produção'!$A$4:$A$503,$A55,'Apontamento de Produção'!$G$4:$G$503)&lt;=SUMIF('Apontamento de Produção'!$A$4:$A$503,$A55,'Apontamento de Produção'!$E$4:$E$503)),SUMIF('Apontamento de Produção'!$A$4:$A$503,$A55,'Apontamento de Produção'!$G$4:$G$503)/SUMIF('Apontamento de Produção'!$A$4:$A$503,$A55,'Apontamento de Produção'!$E$4:$E$503),""),""))</f>
      </c>
      <c r="L55" s="50">
        <f t="shared" si="4"/>
      </c>
      <c r="M55" s="32">
        <f t="shared" si="5"/>
      </c>
    </row>
    <row r="56" spans="1:13" x14ac:dyDescent="0.25">
      <c r="A56" s="36">
        <f t="shared" si="0"/>
      </c>
      <c r="B56" s="37">
        <f>IF(A56="","",COUNTIFS(Programação!$C$4:$C$503,A56,Programação!$D$4:$D$503,"Corretiva"))</f>
      </c>
      <c r="C56" s="49">
        <f>IF(A56="","",SUMIFS(Programação!$H$4:$H$503,Programação!$C$4:$C$503,A56,Programação!$D$4:$D$503,"Corretiva"))</f>
      </c>
      <c r="D56" s="49">
        <f t="shared" si="1"/>
      </c>
      <c r="E56" s="39">
        <f>IF(N(B56)=0,"",IFERROR(_xlfn.AGGREGATE(15,6,Programação!$G$4:$G$503/((Programação!$C$4:$C$503=A56)*(Programação!$D$4:$D$503="Corretiva")*ISNUMBER(Programação!$G$4:$G$503)),1),""))</f>
      </c>
      <c r="F56" s="39">
        <f>IF(N(B56)=0,"",IFERROR(_xlfn.AGGREGATE(14,6,Programação!$G$4:$G$503/((Programação!$C$4:$C$503=A56)*(Programação!$D$4:$D$503="Corretiva")*ISNUMBER(Programação!$G$4:$G$503)),1),""))</f>
      </c>
      <c r="G56" s="49">
        <f t="shared" si="2"/>
      </c>
      <c r="H56" s="49">
        <f t="shared" si="3"/>
      </c>
      <c r="I56" s="35">
        <f>IF(A56="","",IFERROR(IF(AND(SUMIF('Apontamento de Produção'!$A$4:$A$503,$A56,'Apontamento de Produção'!$C$4:$C$503)&gt;0,SUMIF('Apontamento de Produção'!$A$4:$A$503,$A56,'Apontamento de Produção'!$D$4:$D$503)&lt;=SUMIF('Apontamento de Produção'!$A$4:$A$503,$A56,'Apontamento de Produção'!$C$4:$C$503)),SUMIF('Apontamento de Produção'!$A$4:$A$503,$A56,'Apontamento de Produção'!$D$4:$D$503)/SUMIF('Apontamento de Produção'!$A$4:$A$503,$A56,'Apontamento de Produção'!$C$4:$C$503),""),""))</f>
      </c>
      <c r="J56" s="35">
        <f>IF(A56="","",IFERROR(IF(AND(SUMIF('Apontamento de Produção'!$A$4:$A$503,$A56,'Apontamento de Produção'!$F$4:$F$503)&gt;0,SUMIF('Apontamento de Produção'!$A$4:$A$503,$A56,'Apontamento de Produção'!$E$4:$E$503)&lt;=SUMIF('Apontamento de Produção'!$A$4:$A$503,$A56,'Apontamento de Produção'!$F$4:$F$503)),SUMIF('Apontamento de Produção'!$A$4:$A$503,$A56,'Apontamento de Produção'!$E$4:$E$503)/SUMIF('Apontamento de Produção'!$A$4:$A$503,$A56,'Apontamento de Produção'!$F$4:$F$503),""),""))</f>
      </c>
      <c r="K56" s="35">
        <f>IF(A56="","",IFERROR(IF(AND(SUMIF('Apontamento de Produção'!$A$4:$A$503,$A56,'Apontamento de Produção'!$E$4:$E$503)&gt;0,SUMIF('Apontamento de Produção'!$A$4:$A$503,$A56,'Apontamento de Produção'!$G$4:$G$503)&lt;=SUMIF('Apontamento de Produção'!$A$4:$A$503,$A56,'Apontamento de Produção'!$E$4:$E$503)),SUMIF('Apontamento de Produção'!$A$4:$A$503,$A56,'Apontamento de Produção'!$G$4:$G$503)/SUMIF('Apontamento de Produção'!$A$4:$A$503,$A56,'Apontamento de Produção'!$E$4:$E$503),""),""))</f>
      </c>
      <c r="L56" s="50">
        <f t="shared" si="4"/>
      </c>
      <c r="M56" s="32">
        <f t="shared" si="5"/>
      </c>
    </row>
    <row r="57" spans="1:13" x14ac:dyDescent="0.25">
      <c r="A57" s="36">
        <f t="shared" si="0"/>
      </c>
      <c r="B57" s="37">
        <f>IF(A57="","",COUNTIFS(Programação!$C$4:$C$503,A57,Programação!$D$4:$D$503,"Corretiva"))</f>
      </c>
      <c r="C57" s="49">
        <f>IF(A57="","",SUMIFS(Programação!$H$4:$H$503,Programação!$C$4:$C$503,A57,Programação!$D$4:$D$503,"Corretiva"))</f>
      </c>
      <c r="D57" s="49">
        <f t="shared" si="1"/>
      </c>
      <c r="E57" s="39">
        <f>IF(N(B57)=0,"",IFERROR(_xlfn.AGGREGATE(15,6,Programação!$G$4:$G$503/((Programação!$C$4:$C$503=A57)*(Programação!$D$4:$D$503="Corretiva")*ISNUMBER(Programação!$G$4:$G$503)),1),""))</f>
      </c>
      <c r="F57" s="39">
        <f>IF(N(B57)=0,"",IFERROR(_xlfn.AGGREGATE(14,6,Programação!$G$4:$G$503/((Programação!$C$4:$C$503=A57)*(Programação!$D$4:$D$503="Corretiva")*ISNUMBER(Programação!$G$4:$G$503)),1),""))</f>
      </c>
      <c r="G57" s="49">
        <f t="shared" si="2"/>
      </c>
      <c r="H57" s="49">
        <f t="shared" si="3"/>
      </c>
      <c r="I57" s="35">
        <f>IF(A57="","",IFERROR(IF(AND(SUMIF('Apontamento de Produção'!$A$4:$A$503,$A57,'Apontamento de Produção'!$C$4:$C$503)&gt;0,SUMIF('Apontamento de Produção'!$A$4:$A$503,$A57,'Apontamento de Produção'!$D$4:$D$503)&lt;=SUMIF('Apontamento de Produção'!$A$4:$A$503,$A57,'Apontamento de Produção'!$C$4:$C$503)),SUMIF('Apontamento de Produção'!$A$4:$A$503,$A57,'Apontamento de Produção'!$D$4:$D$503)/SUMIF('Apontamento de Produção'!$A$4:$A$503,$A57,'Apontamento de Produção'!$C$4:$C$503),""),""))</f>
      </c>
      <c r="J57" s="35">
        <f>IF(A57="","",IFERROR(IF(AND(SUMIF('Apontamento de Produção'!$A$4:$A$503,$A57,'Apontamento de Produção'!$F$4:$F$503)&gt;0,SUMIF('Apontamento de Produção'!$A$4:$A$503,$A57,'Apontamento de Produção'!$E$4:$E$503)&lt;=SUMIF('Apontamento de Produção'!$A$4:$A$503,$A57,'Apontamento de Produção'!$F$4:$F$503)),SUMIF('Apontamento de Produção'!$A$4:$A$503,$A57,'Apontamento de Produção'!$E$4:$E$503)/SUMIF('Apontamento de Produção'!$A$4:$A$503,$A57,'Apontamento de Produção'!$F$4:$F$503),""),""))</f>
      </c>
      <c r="K57" s="35">
        <f>IF(A57="","",IFERROR(IF(AND(SUMIF('Apontamento de Produção'!$A$4:$A$503,$A57,'Apontamento de Produção'!$E$4:$E$503)&gt;0,SUMIF('Apontamento de Produção'!$A$4:$A$503,$A57,'Apontamento de Produção'!$G$4:$G$503)&lt;=SUMIF('Apontamento de Produção'!$A$4:$A$503,$A57,'Apontamento de Produção'!$E$4:$E$503)),SUMIF('Apontamento de Produção'!$A$4:$A$503,$A57,'Apontamento de Produção'!$G$4:$G$503)/SUMIF('Apontamento de Produção'!$A$4:$A$503,$A57,'Apontamento de Produção'!$E$4:$E$503),""),""))</f>
      </c>
      <c r="L57" s="50">
        <f t="shared" si="4"/>
      </c>
      <c r="M57" s="32">
        <f t="shared" si="5"/>
      </c>
    </row>
    <row r="58" spans="1:13" x14ac:dyDescent="0.25">
      <c r="A58" s="36">
        <f t="shared" si="0"/>
      </c>
      <c r="B58" s="37">
        <f>IF(A58="","",COUNTIFS(Programação!$C$4:$C$503,A58,Programação!$D$4:$D$503,"Corretiva"))</f>
      </c>
      <c r="C58" s="49">
        <f>IF(A58="","",SUMIFS(Programação!$H$4:$H$503,Programação!$C$4:$C$503,A58,Programação!$D$4:$D$503,"Corretiva"))</f>
      </c>
      <c r="D58" s="49">
        <f t="shared" si="1"/>
      </c>
      <c r="E58" s="39">
        <f>IF(N(B58)=0,"",IFERROR(_xlfn.AGGREGATE(15,6,Programação!$G$4:$G$503/((Programação!$C$4:$C$503=A58)*(Programação!$D$4:$D$503="Corretiva")*ISNUMBER(Programação!$G$4:$G$503)),1),""))</f>
      </c>
      <c r="F58" s="39">
        <f>IF(N(B58)=0,"",IFERROR(_xlfn.AGGREGATE(14,6,Programação!$G$4:$G$503/((Programação!$C$4:$C$503=A58)*(Programação!$D$4:$D$503="Corretiva")*ISNUMBER(Programação!$G$4:$G$503)),1),""))</f>
      </c>
      <c r="G58" s="49">
        <f t="shared" si="2"/>
      </c>
      <c r="H58" s="49">
        <f t="shared" si="3"/>
      </c>
      <c r="I58" s="35">
        <f>IF(A58="","",IFERROR(IF(AND(SUMIF('Apontamento de Produção'!$A$4:$A$503,$A58,'Apontamento de Produção'!$C$4:$C$503)&gt;0,SUMIF('Apontamento de Produção'!$A$4:$A$503,$A58,'Apontamento de Produção'!$D$4:$D$503)&lt;=SUMIF('Apontamento de Produção'!$A$4:$A$503,$A58,'Apontamento de Produção'!$C$4:$C$503)),SUMIF('Apontamento de Produção'!$A$4:$A$503,$A58,'Apontamento de Produção'!$D$4:$D$503)/SUMIF('Apontamento de Produção'!$A$4:$A$503,$A58,'Apontamento de Produção'!$C$4:$C$503),""),""))</f>
      </c>
      <c r="J58" s="35">
        <f>IF(A58="","",IFERROR(IF(AND(SUMIF('Apontamento de Produção'!$A$4:$A$503,$A58,'Apontamento de Produção'!$F$4:$F$503)&gt;0,SUMIF('Apontamento de Produção'!$A$4:$A$503,$A58,'Apontamento de Produção'!$E$4:$E$503)&lt;=SUMIF('Apontamento de Produção'!$A$4:$A$503,$A58,'Apontamento de Produção'!$F$4:$F$503)),SUMIF('Apontamento de Produção'!$A$4:$A$503,$A58,'Apontamento de Produção'!$E$4:$E$503)/SUMIF('Apontamento de Produção'!$A$4:$A$503,$A58,'Apontamento de Produção'!$F$4:$F$503),""),""))</f>
      </c>
      <c r="K58" s="35">
        <f>IF(A58="","",IFERROR(IF(AND(SUMIF('Apontamento de Produção'!$A$4:$A$503,$A58,'Apontamento de Produção'!$E$4:$E$503)&gt;0,SUMIF('Apontamento de Produção'!$A$4:$A$503,$A58,'Apontamento de Produção'!$G$4:$G$503)&lt;=SUMIF('Apontamento de Produção'!$A$4:$A$503,$A58,'Apontamento de Produção'!$E$4:$E$503)),SUMIF('Apontamento de Produção'!$A$4:$A$503,$A58,'Apontamento de Produção'!$G$4:$G$503)/SUMIF('Apontamento de Produção'!$A$4:$A$503,$A58,'Apontamento de Produção'!$E$4:$E$503),""),""))</f>
      </c>
      <c r="L58" s="50">
        <f t="shared" si="4"/>
      </c>
      <c r="M58" s="32">
        <f t="shared" si="5"/>
      </c>
    </row>
    <row r="59" spans="1:13" x14ac:dyDescent="0.25">
      <c r="A59" s="36">
        <f t="shared" si="0"/>
      </c>
      <c r="B59" s="37">
        <f>IF(A59="","",COUNTIFS(Programação!$C$4:$C$503,A59,Programação!$D$4:$D$503,"Corretiva"))</f>
      </c>
      <c r="C59" s="49">
        <f>IF(A59="","",SUMIFS(Programação!$H$4:$H$503,Programação!$C$4:$C$503,A59,Programação!$D$4:$D$503,"Corretiva"))</f>
      </c>
      <c r="D59" s="49">
        <f t="shared" si="1"/>
      </c>
      <c r="E59" s="39">
        <f>IF(N(B59)=0,"",IFERROR(_xlfn.AGGREGATE(15,6,Programação!$G$4:$G$503/((Programação!$C$4:$C$503=A59)*(Programação!$D$4:$D$503="Corretiva")*ISNUMBER(Programação!$G$4:$G$503)),1),""))</f>
      </c>
      <c r="F59" s="39">
        <f>IF(N(B59)=0,"",IFERROR(_xlfn.AGGREGATE(14,6,Programação!$G$4:$G$503/((Programação!$C$4:$C$503=A59)*(Programação!$D$4:$D$503="Corretiva")*ISNUMBER(Programação!$G$4:$G$503)),1),""))</f>
      </c>
      <c r="G59" s="49">
        <f t="shared" si="2"/>
      </c>
      <c r="H59" s="49">
        <f t="shared" si="3"/>
      </c>
      <c r="I59" s="35">
        <f>IF(A59="","",IFERROR(IF(AND(SUMIF('Apontamento de Produção'!$A$4:$A$503,$A59,'Apontamento de Produção'!$C$4:$C$503)&gt;0,SUMIF('Apontamento de Produção'!$A$4:$A$503,$A59,'Apontamento de Produção'!$D$4:$D$503)&lt;=SUMIF('Apontamento de Produção'!$A$4:$A$503,$A59,'Apontamento de Produção'!$C$4:$C$503)),SUMIF('Apontamento de Produção'!$A$4:$A$503,$A59,'Apontamento de Produção'!$D$4:$D$503)/SUMIF('Apontamento de Produção'!$A$4:$A$503,$A59,'Apontamento de Produção'!$C$4:$C$503),""),""))</f>
      </c>
      <c r="J59" s="35">
        <f>IF(A59="","",IFERROR(IF(AND(SUMIF('Apontamento de Produção'!$A$4:$A$503,$A59,'Apontamento de Produção'!$F$4:$F$503)&gt;0,SUMIF('Apontamento de Produção'!$A$4:$A$503,$A59,'Apontamento de Produção'!$E$4:$E$503)&lt;=SUMIF('Apontamento de Produção'!$A$4:$A$503,$A59,'Apontamento de Produção'!$F$4:$F$503)),SUMIF('Apontamento de Produção'!$A$4:$A$503,$A59,'Apontamento de Produção'!$E$4:$E$503)/SUMIF('Apontamento de Produção'!$A$4:$A$503,$A59,'Apontamento de Produção'!$F$4:$F$503),""),""))</f>
      </c>
      <c r="K59" s="35">
        <f>IF(A59="","",IFERROR(IF(AND(SUMIF('Apontamento de Produção'!$A$4:$A$503,$A59,'Apontamento de Produção'!$E$4:$E$503)&gt;0,SUMIF('Apontamento de Produção'!$A$4:$A$503,$A59,'Apontamento de Produção'!$G$4:$G$503)&lt;=SUMIF('Apontamento de Produção'!$A$4:$A$503,$A59,'Apontamento de Produção'!$E$4:$E$503)),SUMIF('Apontamento de Produção'!$A$4:$A$503,$A59,'Apontamento de Produção'!$G$4:$G$503)/SUMIF('Apontamento de Produção'!$A$4:$A$503,$A59,'Apontamento de Produção'!$E$4:$E$503),""),""))</f>
      </c>
      <c r="L59" s="50">
        <f t="shared" si="4"/>
      </c>
      <c r="M59" s="32">
        <f t="shared" si="5"/>
      </c>
    </row>
    <row r="60" spans="1:13" x14ac:dyDescent="0.25">
      <c r="A60" s="36">
        <f t="shared" si="0"/>
      </c>
      <c r="B60" s="37">
        <f>IF(A60="","",COUNTIFS(Programação!$C$4:$C$503,A60,Programação!$D$4:$D$503,"Corretiva"))</f>
      </c>
      <c r="C60" s="49">
        <f>IF(A60="","",SUMIFS(Programação!$H$4:$H$503,Programação!$C$4:$C$503,A60,Programação!$D$4:$D$503,"Corretiva"))</f>
      </c>
      <c r="D60" s="49">
        <f t="shared" si="1"/>
      </c>
      <c r="E60" s="39">
        <f>IF(N(B60)=0,"",IFERROR(_xlfn.AGGREGATE(15,6,Programação!$G$4:$G$503/((Programação!$C$4:$C$503=A60)*(Programação!$D$4:$D$503="Corretiva")*ISNUMBER(Programação!$G$4:$G$503)),1),""))</f>
      </c>
      <c r="F60" s="39">
        <f>IF(N(B60)=0,"",IFERROR(_xlfn.AGGREGATE(14,6,Programação!$G$4:$G$503/((Programação!$C$4:$C$503=A60)*(Programação!$D$4:$D$503="Corretiva")*ISNUMBER(Programação!$G$4:$G$503)),1),""))</f>
      </c>
      <c r="G60" s="49">
        <f t="shared" si="2"/>
      </c>
      <c r="H60" s="49">
        <f t="shared" si="3"/>
      </c>
      <c r="I60" s="35">
        <f>IF(A60="","",IFERROR(IF(AND(SUMIF('Apontamento de Produção'!$A$4:$A$503,$A60,'Apontamento de Produção'!$C$4:$C$503)&gt;0,SUMIF('Apontamento de Produção'!$A$4:$A$503,$A60,'Apontamento de Produção'!$D$4:$D$503)&lt;=SUMIF('Apontamento de Produção'!$A$4:$A$503,$A60,'Apontamento de Produção'!$C$4:$C$503)),SUMIF('Apontamento de Produção'!$A$4:$A$503,$A60,'Apontamento de Produção'!$D$4:$D$503)/SUMIF('Apontamento de Produção'!$A$4:$A$503,$A60,'Apontamento de Produção'!$C$4:$C$503),""),""))</f>
      </c>
      <c r="J60" s="35">
        <f>IF(A60="","",IFERROR(IF(AND(SUMIF('Apontamento de Produção'!$A$4:$A$503,$A60,'Apontamento de Produção'!$F$4:$F$503)&gt;0,SUMIF('Apontamento de Produção'!$A$4:$A$503,$A60,'Apontamento de Produção'!$E$4:$E$503)&lt;=SUMIF('Apontamento de Produção'!$A$4:$A$503,$A60,'Apontamento de Produção'!$F$4:$F$503)),SUMIF('Apontamento de Produção'!$A$4:$A$503,$A60,'Apontamento de Produção'!$E$4:$E$503)/SUMIF('Apontamento de Produção'!$A$4:$A$503,$A60,'Apontamento de Produção'!$F$4:$F$503),""),""))</f>
      </c>
      <c r="K60" s="35">
        <f>IF(A60="","",IFERROR(IF(AND(SUMIF('Apontamento de Produção'!$A$4:$A$503,$A60,'Apontamento de Produção'!$E$4:$E$503)&gt;0,SUMIF('Apontamento de Produção'!$A$4:$A$503,$A60,'Apontamento de Produção'!$G$4:$G$503)&lt;=SUMIF('Apontamento de Produção'!$A$4:$A$503,$A60,'Apontamento de Produção'!$E$4:$E$503)),SUMIF('Apontamento de Produção'!$A$4:$A$503,$A60,'Apontamento de Produção'!$G$4:$G$503)/SUMIF('Apontamento de Produção'!$A$4:$A$503,$A60,'Apontamento de Produção'!$E$4:$E$503),""),""))</f>
      </c>
      <c r="L60" s="50">
        <f t="shared" si="4"/>
      </c>
      <c r="M60" s="32">
        <f t="shared" si="5"/>
      </c>
    </row>
    <row r="61" spans="1:13" x14ac:dyDescent="0.25">
      <c r="A61" s="36">
        <f t="shared" si="0"/>
      </c>
      <c r="B61" s="37">
        <f>IF(A61="","",COUNTIFS(Programação!$C$4:$C$503,A61,Programação!$D$4:$D$503,"Corretiva"))</f>
      </c>
      <c r="C61" s="49">
        <f>IF(A61="","",SUMIFS(Programação!$H$4:$H$503,Programação!$C$4:$C$503,A61,Programação!$D$4:$D$503,"Corretiva"))</f>
      </c>
      <c r="D61" s="49">
        <f t="shared" si="1"/>
      </c>
      <c r="E61" s="39">
        <f>IF(N(B61)=0,"",IFERROR(_xlfn.AGGREGATE(15,6,Programação!$G$4:$G$503/((Programação!$C$4:$C$503=A61)*(Programação!$D$4:$D$503="Corretiva")*ISNUMBER(Programação!$G$4:$G$503)),1),""))</f>
      </c>
      <c r="F61" s="39">
        <f>IF(N(B61)=0,"",IFERROR(_xlfn.AGGREGATE(14,6,Programação!$G$4:$G$503/((Programação!$C$4:$C$503=A61)*(Programação!$D$4:$D$503="Corretiva")*ISNUMBER(Programação!$G$4:$G$503)),1),""))</f>
      </c>
      <c r="G61" s="49">
        <f t="shared" si="2"/>
      </c>
      <c r="H61" s="49">
        <f t="shared" si="3"/>
      </c>
      <c r="I61" s="35">
        <f>IF(A61="","",IFERROR(IF(AND(SUMIF('Apontamento de Produção'!$A$4:$A$503,$A61,'Apontamento de Produção'!$C$4:$C$503)&gt;0,SUMIF('Apontamento de Produção'!$A$4:$A$503,$A61,'Apontamento de Produção'!$D$4:$D$503)&lt;=SUMIF('Apontamento de Produção'!$A$4:$A$503,$A61,'Apontamento de Produção'!$C$4:$C$503)),SUMIF('Apontamento de Produção'!$A$4:$A$503,$A61,'Apontamento de Produção'!$D$4:$D$503)/SUMIF('Apontamento de Produção'!$A$4:$A$503,$A61,'Apontamento de Produção'!$C$4:$C$503),""),""))</f>
      </c>
      <c r="J61" s="35">
        <f>IF(A61="","",IFERROR(IF(AND(SUMIF('Apontamento de Produção'!$A$4:$A$503,$A61,'Apontamento de Produção'!$F$4:$F$503)&gt;0,SUMIF('Apontamento de Produção'!$A$4:$A$503,$A61,'Apontamento de Produção'!$E$4:$E$503)&lt;=SUMIF('Apontamento de Produção'!$A$4:$A$503,$A61,'Apontamento de Produção'!$F$4:$F$503)),SUMIF('Apontamento de Produção'!$A$4:$A$503,$A61,'Apontamento de Produção'!$E$4:$E$503)/SUMIF('Apontamento de Produção'!$A$4:$A$503,$A61,'Apontamento de Produção'!$F$4:$F$503),""),""))</f>
      </c>
      <c r="K61" s="35">
        <f>IF(A61="","",IFERROR(IF(AND(SUMIF('Apontamento de Produção'!$A$4:$A$503,$A61,'Apontamento de Produção'!$E$4:$E$503)&gt;0,SUMIF('Apontamento de Produção'!$A$4:$A$503,$A61,'Apontamento de Produção'!$G$4:$G$503)&lt;=SUMIF('Apontamento de Produção'!$A$4:$A$503,$A61,'Apontamento de Produção'!$E$4:$E$503)),SUMIF('Apontamento de Produção'!$A$4:$A$503,$A61,'Apontamento de Produção'!$G$4:$G$503)/SUMIF('Apontamento de Produção'!$A$4:$A$503,$A61,'Apontamento de Produção'!$E$4:$E$503),""),""))</f>
      </c>
      <c r="L61" s="50">
        <f t="shared" si="4"/>
      </c>
      <c r="M61" s="32">
        <f t="shared" si="5"/>
      </c>
    </row>
    <row r="62" spans="1:13" x14ac:dyDescent="0.25">
      <c r="A62" s="36">
        <f t="shared" si="0"/>
      </c>
      <c r="B62" s="37">
        <f>IF(A62="","",COUNTIFS(Programação!$C$4:$C$503,A62,Programação!$D$4:$D$503,"Corretiva"))</f>
      </c>
      <c r="C62" s="49">
        <f>IF(A62="","",SUMIFS(Programação!$H$4:$H$503,Programação!$C$4:$C$503,A62,Programação!$D$4:$D$503,"Corretiva"))</f>
      </c>
      <c r="D62" s="49">
        <f t="shared" si="1"/>
      </c>
      <c r="E62" s="39">
        <f>IF(N(B62)=0,"",IFERROR(_xlfn.AGGREGATE(15,6,Programação!$G$4:$G$503/((Programação!$C$4:$C$503=A62)*(Programação!$D$4:$D$503="Corretiva")*ISNUMBER(Programação!$G$4:$G$503)),1),""))</f>
      </c>
      <c r="F62" s="39">
        <f>IF(N(B62)=0,"",IFERROR(_xlfn.AGGREGATE(14,6,Programação!$G$4:$G$503/((Programação!$C$4:$C$503=A62)*(Programação!$D$4:$D$503="Corretiva")*ISNUMBER(Programação!$G$4:$G$503)),1),""))</f>
      </c>
      <c r="G62" s="49">
        <f t="shared" si="2"/>
      </c>
      <c r="H62" s="49">
        <f t="shared" si="3"/>
      </c>
      <c r="I62" s="35">
        <f>IF(A62="","",IFERROR(IF(AND(SUMIF('Apontamento de Produção'!$A$4:$A$503,$A62,'Apontamento de Produção'!$C$4:$C$503)&gt;0,SUMIF('Apontamento de Produção'!$A$4:$A$503,$A62,'Apontamento de Produção'!$D$4:$D$503)&lt;=SUMIF('Apontamento de Produção'!$A$4:$A$503,$A62,'Apontamento de Produção'!$C$4:$C$503)),SUMIF('Apontamento de Produção'!$A$4:$A$503,$A62,'Apontamento de Produção'!$D$4:$D$503)/SUMIF('Apontamento de Produção'!$A$4:$A$503,$A62,'Apontamento de Produção'!$C$4:$C$503),""),""))</f>
      </c>
      <c r="J62" s="35">
        <f>IF(A62="","",IFERROR(IF(AND(SUMIF('Apontamento de Produção'!$A$4:$A$503,$A62,'Apontamento de Produção'!$F$4:$F$503)&gt;0,SUMIF('Apontamento de Produção'!$A$4:$A$503,$A62,'Apontamento de Produção'!$E$4:$E$503)&lt;=SUMIF('Apontamento de Produção'!$A$4:$A$503,$A62,'Apontamento de Produção'!$F$4:$F$503)),SUMIF('Apontamento de Produção'!$A$4:$A$503,$A62,'Apontamento de Produção'!$E$4:$E$503)/SUMIF('Apontamento de Produção'!$A$4:$A$503,$A62,'Apontamento de Produção'!$F$4:$F$503),""),""))</f>
      </c>
      <c r="K62" s="35">
        <f>IF(A62="","",IFERROR(IF(AND(SUMIF('Apontamento de Produção'!$A$4:$A$503,$A62,'Apontamento de Produção'!$E$4:$E$503)&gt;0,SUMIF('Apontamento de Produção'!$A$4:$A$503,$A62,'Apontamento de Produção'!$G$4:$G$503)&lt;=SUMIF('Apontamento de Produção'!$A$4:$A$503,$A62,'Apontamento de Produção'!$E$4:$E$503)),SUMIF('Apontamento de Produção'!$A$4:$A$503,$A62,'Apontamento de Produção'!$G$4:$G$503)/SUMIF('Apontamento de Produção'!$A$4:$A$503,$A62,'Apontamento de Produção'!$E$4:$E$503),""),""))</f>
      </c>
      <c r="L62" s="50">
        <f t="shared" si="4"/>
      </c>
      <c r="M62" s="32">
        <f t="shared" si="5"/>
      </c>
    </row>
    <row r="63" spans="1:13" x14ac:dyDescent="0.25">
      <c r="A63" s="36">
        <f t="shared" si="0"/>
      </c>
      <c r="B63" s="37">
        <f>IF(A63="","",COUNTIFS(Programação!$C$4:$C$503,A63,Programação!$D$4:$D$503,"Corretiva"))</f>
      </c>
      <c r="C63" s="49">
        <f>IF(A63="","",SUMIFS(Programação!$H$4:$H$503,Programação!$C$4:$C$503,A63,Programação!$D$4:$D$503,"Corretiva"))</f>
      </c>
      <c r="D63" s="49">
        <f t="shared" si="1"/>
      </c>
      <c r="E63" s="39">
        <f>IF(N(B63)=0,"",IFERROR(_xlfn.AGGREGATE(15,6,Programação!$G$4:$G$503/((Programação!$C$4:$C$503=A63)*(Programação!$D$4:$D$503="Corretiva")*ISNUMBER(Programação!$G$4:$G$503)),1),""))</f>
      </c>
      <c r="F63" s="39">
        <f>IF(N(B63)=0,"",IFERROR(_xlfn.AGGREGATE(14,6,Programação!$G$4:$G$503/((Programação!$C$4:$C$503=A63)*(Programação!$D$4:$D$503="Corretiva")*ISNUMBER(Programação!$G$4:$G$503)),1),""))</f>
      </c>
      <c r="G63" s="49">
        <f t="shared" si="2"/>
      </c>
      <c r="H63" s="49">
        <f t="shared" si="3"/>
      </c>
      <c r="I63" s="35">
        <f>IF(A63="","",IFERROR(IF(AND(SUMIF('Apontamento de Produção'!$A$4:$A$503,$A63,'Apontamento de Produção'!$C$4:$C$503)&gt;0,SUMIF('Apontamento de Produção'!$A$4:$A$503,$A63,'Apontamento de Produção'!$D$4:$D$503)&lt;=SUMIF('Apontamento de Produção'!$A$4:$A$503,$A63,'Apontamento de Produção'!$C$4:$C$503)),SUMIF('Apontamento de Produção'!$A$4:$A$503,$A63,'Apontamento de Produção'!$D$4:$D$503)/SUMIF('Apontamento de Produção'!$A$4:$A$503,$A63,'Apontamento de Produção'!$C$4:$C$503),""),""))</f>
      </c>
      <c r="J63" s="35">
        <f>IF(A63="","",IFERROR(IF(AND(SUMIF('Apontamento de Produção'!$A$4:$A$503,$A63,'Apontamento de Produção'!$F$4:$F$503)&gt;0,SUMIF('Apontamento de Produção'!$A$4:$A$503,$A63,'Apontamento de Produção'!$E$4:$E$503)&lt;=SUMIF('Apontamento de Produção'!$A$4:$A$503,$A63,'Apontamento de Produção'!$F$4:$F$503)),SUMIF('Apontamento de Produção'!$A$4:$A$503,$A63,'Apontamento de Produção'!$E$4:$E$503)/SUMIF('Apontamento de Produção'!$A$4:$A$503,$A63,'Apontamento de Produção'!$F$4:$F$503),""),""))</f>
      </c>
      <c r="K63" s="35">
        <f>IF(A63="","",IFERROR(IF(AND(SUMIF('Apontamento de Produção'!$A$4:$A$503,$A63,'Apontamento de Produção'!$E$4:$E$503)&gt;0,SUMIF('Apontamento de Produção'!$A$4:$A$503,$A63,'Apontamento de Produção'!$G$4:$G$503)&lt;=SUMIF('Apontamento de Produção'!$A$4:$A$503,$A63,'Apontamento de Produção'!$E$4:$E$503)),SUMIF('Apontamento de Produção'!$A$4:$A$503,$A63,'Apontamento de Produção'!$G$4:$G$503)/SUMIF('Apontamento de Produção'!$A$4:$A$503,$A63,'Apontamento de Produção'!$E$4:$E$503),""),""))</f>
      </c>
      <c r="L63" s="50">
        <f t="shared" si="4"/>
      </c>
      <c r="M63" s="32">
        <f t="shared" si="5"/>
      </c>
    </row>
  </sheetData>
  <sheetProtection sheet="1" formatColumns="0" formatRows="0" autoFilter="0"/>
  <mergeCells count="2">
    <mergeCell ref="A1:B2"/>
    <mergeCell ref="C1:L2"/>
  </mergeCells>
  <conditionalFormatting sqref="M4:M63">
    <cfRule type="expression" dxfId="51" priority="1">
      <formula>OR(LEFT(M4,4)="ERRO",LEFT(M4,7)="ATENÇÃO")</formula>
    </cfRule>
    <cfRule type="expression" dxfId="52" priority="2">
      <formula>OR(LEFT(M4,8)="Pendente",LEFT(M4,9)="Verificar",LEFT(M4,9)="Duplicada",LEFT(M4,7)="Tarefa ",LEFT(M4,13)="Fora do plano",LEFT(M4,8)="Previsão",LEFT(M4,11)="Sem vínculo",LEFT(M4,14)="Não verificado",LEFT(M4,7)="Informe",LEFT(M4,9)="A definir")</formula>
    </cfRule>
    <cfRule type="expression" dxfId="53" priority="3">
      <formula>OR(M4="OK",LEFT(M4,4)="Nada",LEFT(M4,3)="OK:")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2" max="2" width="10" customWidth="1"/>
    <col min="3" max="3" width="12" customWidth="1"/>
    <col min="4" max="4" width="40" customWidth="1"/>
    <col min="5" max="5" width="11" customWidth="1"/>
    <col min="6" max="6" width="32" customWidth="1"/>
    <col min="7" max="7" width="14" customWidth="1"/>
  </cols>
  <sheetData>
    <row r="1" ht="36" customHeight="1" spans="1:7" x14ac:dyDescent="0.25">
      <c r="A1" s="1"/>
      <c r="B1" s="1"/>
      <c r="C1" s="2" t="s">
        <v>190</v>
      </c>
      <c r="D1" s="2"/>
      <c r="E1" s="2"/>
      <c r="F1" s="2"/>
      <c r="G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7" x14ac:dyDescent="0.25">
      <c r="A2" s="1"/>
      <c r="B2" s="1"/>
      <c r="C2" s="2"/>
      <c r="D2" s="2"/>
      <c r="E2" s="2"/>
      <c r="F2" s="2"/>
      <c r="G2" s="4">
        <f>"Elaborado: "&amp;IF(cfg_elaborado="","A definir",cfg_elaborado)&amp;CHAR(10)&amp;"Aprovado: "&amp;IF(cfg_aprovado="","A definir",cfg_aprovado)</f>
      </c>
    </row>
    <row r="3" ht="30" customHeight="1" spans="1:7" x14ac:dyDescent="0.25">
      <c r="A3" s="8" t="s">
        <v>191</v>
      </c>
      <c r="B3" s="8" t="s">
        <v>154</v>
      </c>
      <c r="C3" s="8" t="s">
        <v>87</v>
      </c>
      <c r="D3" s="8" t="s">
        <v>192</v>
      </c>
      <c r="E3" s="8" t="s">
        <v>159</v>
      </c>
      <c r="F3" s="8" t="s">
        <v>193</v>
      </c>
      <c r="G3" s="8" t="s">
        <v>194</v>
      </c>
    </row>
    <row r="4" ht="22" customHeight="1" spans="1:7" x14ac:dyDescent="0.25">
      <c r="A4" s="43">
        <v>1</v>
      </c>
      <c r="B4" s="43">
        <f>IFERROR(INDEX(Programação!$A$4:$A$503,MATCH(LARGE(os_rank,1),os_rank,0)),"")&amp;""</f>
      </c>
      <c r="C4" s="43">
        <f>IFERROR(INDEX(Programação!$C$4:$C$503,MATCH(LARGE(os_rank,1),os_rank,0)),"")&amp;""</f>
      </c>
      <c r="D4" s="24">
        <f>IFERROR(INDEX(Programação!$E$4:$E$503,MATCH(LARGE(os_rank,1),os_rank,0)),"")&amp;""</f>
      </c>
      <c r="E4" s="51">
        <f>IFERROR(INDEX(Programação!$H$4:$H$503,MATCH(LARGE(os_rank,1),os_rank,0)),"")</f>
      </c>
      <c r="F4" s="24">
        <f>IFERROR(INDEX(Programação!$K$4:$K$503,MATCH(LARGE(os_rank,1),os_rank,0)),"")&amp;""</f>
      </c>
      <c r="G4" s="43">
        <f>IF(B4="","",IF(COUNTIF(rca_os,B4)&gt;0,"OK","Pendente: registrar RCA"))</f>
      </c>
    </row>
    <row r="5" ht="22" customHeight="1" spans="1:7" x14ac:dyDescent="0.25">
      <c r="A5" s="43">
        <v>2</v>
      </c>
      <c r="B5" s="43">
        <f>IFERROR(INDEX(Programação!$A$4:$A$503,MATCH(LARGE(os_rank,2),os_rank,0)),"")&amp;""</f>
      </c>
      <c r="C5" s="43">
        <f>IFERROR(INDEX(Programação!$C$4:$C$503,MATCH(LARGE(os_rank,2),os_rank,0)),"")&amp;""</f>
      </c>
      <c r="D5" s="24">
        <f>IFERROR(INDEX(Programação!$E$4:$E$503,MATCH(LARGE(os_rank,2),os_rank,0)),"")&amp;""</f>
      </c>
      <c r="E5" s="51">
        <f>IFERROR(INDEX(Programação!$H$4:$H$503,MATCH(LARGE(os_rank,2),os_rank,0)),"")</f>
      </c>
      <c r="F5" s="24">
        <f>IFERROR(INDEX(Programação!$K$4:$K$503,MATCH(LARGE(os_rank,2),os_rank,0)),"")&amp;""</f>
      </c>
      <c r="G5" s="43">
        <f>IF(B5="","",IF(COUNTIF(rca_os,B5)&gt;0,"OK","Pendente: registrar RCA"))</f>
      </c>
    </row>
    <row r="6" ht="22" customHeight="1" spans="1:7" x14ac:dyDescent="0.25">
      <c r="A6" s="43">
        <v>3</v>
      </c>
      <c r="B6" s="43">
        <f>IFERROR(INDEX(Programação!$A$4:$A$503,MATCH(LARGE(os_rank,3),os_rank,0)),"")&amp;""</f>
      </c>
      <c r="C6" s="43">
        <f>IFERROR(INDEX(Programação!$C$4:$C$503,MATCH(LARGE(os_rank,3),os_rank,0)),"")&amp;""</f>
      </c>
      <c r="D6" s="24">
        <f>IFERROR(INDEX(Programação!$E$4:$E$503,MATCH(LARGE(os_rank,3),os_rank,0)),"")&amp;""</f>
      </c>
      <c r="E6" s="51">
        <f>IFERROR(INDEX(Programação!$H$4:$H$503,MATCH(LARGE(os_rank,3),os_rank,0)),"")</f>
      </c>
      <c r="F6" s="24">
        <f>IFERROR(INDEX(Programação!$K$4:$K$503,MATCH(LARGE(os_rank,3),os_rank,0)),"")&amp;""</f>
      </c>
      <c r="G6" s="43">
        <f>IF(B6="","",IF(COUNTIF(rca_os,B6)&gt;0,"OK","Pendente: registrar RCA"))</f>
      </c>
    </row>
    <row r="7" ht="22" customHeight="1" spans="1:7" x14ac:dyDescent="0.25">
      <c r="A7" s="43">
        <v>4</v>
      </c>
      <c r="B7" s="43">
        <f>IFERROR(INDEX(Programação!$A$4:$A$503,MATCH(LARGE(os_rank,4),os_rank,0)),"")&amp;""</f>
      </c>
      <c r="C7" s="43">
        <f>IFERROR(INDEX(Programação!$C$4:$C$503,MATCH(LARGE(os_rank,4),os_rank,0)),"")&amp;""</f>
      </c>
      <c r="D7" s="24">
        <f>IFERROR(INDEX(Programação!$E$4:$E$503,MATCH(LARGE(os_rank,4),os_rank,0)),"")&amp;""</f>
      </c>
      <c r="E7" s="51">
        <f>IFERROR(INDEX(Programação!$H$4:$H$503,MATCH(LARGE(os_rank,4),os_rank,0)),"")</f>
      </c>
      <c r="F7" s="24">
        <f>IFERROR(INDEX(Programação!$K$4:$K$503,MATCH(LARGE(os_rank,4),os_rank,0)),"")&amp;""</f>
      </c>
      <c r="G7" s="43">
        <f>IF(B7="","",IF(COUNTIF(rca_os,B7)&gt;0,"OK","Pendente: registrar RCA"))</f>
      </c>
    </row>
    <row r="8" ht="22" customHeight="1" spans="1:7" x14ac:dyDescent="0.25">
      <c r="A8" s="43">
        <v>5</v>
      </c>
      <c r="B8" s="43">
        <f>IFERROR(INDEX(Programação!$A$4:$A$503,MATCH(LARGE(os_rank,5),os_rank,0)),"")&amp;""</f>
      </c>
      <c r="C8" s="43">
        <f>IFERROR(INDEX(Programação!$C$4:$C$503,MATCH(LARGE(os_rank,5),os_rank,0)),"")&amp;""</f>
      </c>
      <c r="D8" s="24">
        <f>IFERROR(INDEX(Programação!$E$4:$E$503,MATCH(LARGE(os_rank,5),os_rank,0)),"")&amp;""</f>
      </c>
      <c r="E8" s="51">
        <f>IFERROR(INDEX(Programação!$H$4:$H$503,MATCH(LARGE(os_rank,5),os_rank,0)),"")</f>
      </c>
      <c r="F8" s="24">
        <f>IFERROR(INDEX(Programação!$K$4:$K$503,MATCH(LARGE(os_rank,5),os_rank,0)),"")&amp;""</f>
      </c>
      <c r="G8" s="43">
        <f>IF(B8="","",IF(COUNTIF(rca_os,B8)&gt;0,"OK","Pendente: registrar RCA"))</f>
      </c>
    </row>
    <row r="9" ht="22" customHeight="1" spans="1:7" x14ac:dyDescent="0.25">
      <c r="A9" s="43">
        <v>6</v>
      </c>
      <c r="B9" s="43">
        <f>IFERROR(INDEX(Programação!$A$4:$A$503,MATCH(LARGE(os_rank,6),os_rank,0)),"")&amp;""</f>
      </c>
      <c r="C9" s="43">
        <f>IFERROR(INDEX(Programação!$C$4:$C$503,MATCH(LARGE(os_rank,6),os_rank,0)),"")&amp;""</f>
      </c>
      <c r="D9" s="24">
        <f>IFERROR(INDEX(Programação!$E$4:$E$503,MATCH(LARGE(os_rank,6),os_rank,0)),"")&amp;""</f>
      </c>
      <c r="E9" s="51">
        <f>IFERROR(INDEX(Programação!$H$4:$H$503,MATCH(LARGE(os_rank,6),os_rank,0)),"")</f>
      </c>
      <c r="F9" s="24">
        <f>IFERROR(INDEX(Programação!$K$4:$K$503,MATCH(LARGE(os_rank,6),os_rank,0)),"")&amp;""</f>
      </c>
      <c r="G9" s="43">
        <f>IF(B9="","",IF(COUNTIF(rca_os,B9)&gt;0,"OK","Pendente: registrar RCA"))</f>
      </c>
    </row>
    <row r="10" ht="22" customHeight="1" spans="1:7" x14ac:dyDescent="0.25">
      <c r="A10" s="43">
        <v>7</v>
      </c>
      <c r="B10" s="43">
        <f>IFERROR(INDEX(Programação!$A$4:$A$503,MATCH(LARGE(os_rank,7),os_rank,0)),"")&amp;""</f>
      </c>
      <c r="C10" s="43">
        <f>IFERROR(INDEX(Programação!$C$4:$C$503,MATCH(LARGE(os_rank,7),os_rank,0)),"")&amp;""</f>
      </c>
      <c r="D10" s="24">
        <f>IFERROR(INDEX(Programação!$E$4:$E$503,MATCH(LARGE(os_rank,7),os_rank,0)),"")&amp;""</f>
      </c>
      <c r="E10" s="51">
        <f>IFERROR(INDEX(Programação!$H$4:$H$503,MATCH(LARGE(os_rank,7),os_rank,0)),"")</f>
      </c>
      <c r="F10" s="24">
        <f>IFERROR(INDEX(Programação!$K$4:$K$503,MATCH(LARGE(os_rank,7),os_rank,0)),"")&amp;""</f>
      </c>
      <c r="G10" s="43">
        <f>IF(B10="","",IF(COUNTIF(rca_os,B10)&gt;0,"OK","Pendente: registrar RCA"))</f>
      </c>
    </row>
    <row r="11" ht="22" customHeight="1" spans="1:7" x14ac:dyDescent="0.25">
      <c r="A11" s="43">
        <v>8</v>
      </c>
      <c r="B11" s="43">
        <f>IFERROR(INDEX(Programação!$A$4:$A$503,MATCH(LARGE(os_rank,8),os_rank,0)),"")&amp;""</f>
      </c>
      <c r="C11" s="43">
        <f>IFERROR(INDEX(Programação!$C$4:$C$503,MATCH(LARGE(os_rank,8),os_rank,0)),"")&amp;""</f>
      </c>
      <c r="D11" s="24">
        <f>IFERROR(INDEX(Programação!$E$4:$E$503,MATCH(LARGE(os_rank,8),os_rank,0)),"")&amp;""</f>
      </c>
      <c r="E11" s="51">
        <f>IFERROR(INDEX(Programação!$H$4:$H$503,MATCH(LARGE(os_rank,8),os_rank,0)),"")</f>
      </c>
      <c r="F11" s="24">
        <f>IFERROR(INDEX(Programação!$K$4:$K$503,MATCH(LARGE(os_rank,8),os_rank,0)),"")&amp;""</f>
      </c>
      <c r="G11" s="43">
        <f>IF(B11="","",IF(COUNTIF(rca_os,B11)&gt;0,"OK","Pendente: registrar RCA"))</f>
      </c>
    </row>
    <row r="12" ht="22" customHeight="1" spans="1:7" x14ac:dyDescent="0.25">
      <c r="A12" s="43">
        <v>9</v>
      </c>
      <c r="B12" s="43">
        <f>IFERROR(INDEX(Programação!$A$4:$A$503,MATCH(LARGE(os_rank,9),os_rank,0)),"")&amp;""</f>
      </c>
      <c r="C12" s="43">
        <f>IFERROR(INDEX(Programação!$C$4:$C$503,MATCH(LARGE(os_rank,9),os_rank,0)),"")&amp;""</f>
      </c>
      <c r="D12" s="24">
        <f>IFERROR(INDEX(Programação!$E$4:$E$503,MATCH(LARGE(os_rank,9),os_rank,0)),"")&amp;""</f>
      </c>
      <c r="E12" s="51">
        <f>IFERROR(INDEX(Programação!$H$4:$H$503,MATCH(LARGE(os_rank,9),os_rank,0)),"")</f>
      </c>
      <c r="F12" s="24">
        <f>IFERROR(INDEX(Programação!$K$4:$K$503,MATCH(LARGE(os_rank,9),os_rank,0)),"")&amp;""</f>
      </c>
      <c r="G12" s="43">
        <f>IF(B12="","",IF(COUNTIF(rca_os,B12)&gt;0,"OK","Pendente: registrar RCA"))</f>
      </c>
    </row>
    <row r="13" ht="22" customHeight="1" spans="1:7" x14ac:dyDescent="0.25">
      <c r="A13" s="43">
        <v>10</v>
      </c>
      <c r="B13" s="43">
        <f>IFERROR(INDEX(Programação!$A$4:$A$503,MATCH(LARGE(os_rank,10),os_rank,0)),"")&amp;""</f>
      </c>
      <c r="C13" s="43">
        <f>IFERROR(INDEX(Programação!$C$4:$C$503,MATCH(LARGE(os_rank,10),os_rank,0)),"")&amp;""</f>
      </c>
      <c r="D13" s="24">
        <f>IFERROR(INDEX(Programação!$E$4:$E$503,MATCH(LARGE(os_rank,10),os_rank,0)),"")&amp;""</f>
      </c>
      <c r="E13" s="51">
        <f>IFERROR(INDEX(Programação!$H$4:$H$503,MATCH(LARGE(os_rank,10),os_rank,0)),"")</f>
      </c>
      <c r="F13" s="24">
        <f>IFERROR(INDEX(Programação!$K$4:$K$503,MATCH(LARGE(os_rank,10),os_rank,0)),"")&amp;""</f>
      </c>
      <c r="G13" s="43">
        <f>IF(B13="","",IF(COUNTIF(rca_os,B13)&gt;0,"OK","Pendente: registrar RCA"))</f>
      </c>
    </row>
  </sheetData>
  <sheetProtection sheet="1" formatColumns="0" formatRows="0" autoFilter="0"/>
  <mergeCells count="2">
    <mergeCell ref="A1:B2"/>
    <mergeCell ref="C1:F2"/>
  </mergeCells>
  <conditionalFormatting sqref="G4:G13">
    <cfRule type="expression" dxfId="54" priority="1">
      <formula>OR(LEFT(G4,4)="ERRO",LEFT(G4,7)="ATENÇÃO")</formula>
    </cfRule>
    <cfRule type="expression" dxfId="55" priority="2">
      <formula>OR(LEFT(G4,8)="Pendente",LEFT(G4,9)="Verificar",LEFT(G4,9)="Duplicada",LEFT(G4,7)="Tarefa ",LEFT(G4,13)="Fora do plano",LEFT(G4,8)="Previsão",LEFT(G4,11)="Sem vínculo",LEFT(G4,14)="Não verificado",LEFT(G4,7)="Informe",LEFT(G4,9)="A definir")</formula>
    </cfRule>
    <cfRule type="expression" dxfId="56" priority="3">
      <formula>OR(G4="OK",LEFT(G4,4)="Nada",LEFT(G4,3)="OK:")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30" customWidth="1"/>
    <col min="4" max="4" width="10" customWidth="1"/>
    <col min="5" max="7" width="28" customWidth="1"/>
    <col min="8" max="8" width="16" customWidth="1"/>
    <col min="9" max="9" width="12" customWidth="1"/>
    <col min="10" max="10" width="13" customWidth="1"/>
    <col min="11" max="11" width="30" customWidth="1"/>
  </cols>
  <sheetData>
    <row r="1" ht="36" customHeight="1" spans="1:11" x14ac:dyDescent="0.25">
      <c r="A1" s="1"/>
      <c r="B1" s="1"/>
      <c r="C1" s="2" t="s">
        <v>195</v>
      </c>
      <c r="D1" s="2"/>
      <c r="E1" s="2"/>
      <c r="F1" s="2"/>
      <c r="G1" s="2"/>
      <c r="H1" s="2"/>
      <c r="I1" s="2"/>
      <c r="J1" s="2"/>
      <c r="K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4">
        <f>"Elaborado: "&amp;IF(cfg_elaborado="","A definir",cfg_elaborado)&amp;CHAR(10)&amp;"Aprovado: "&amp;IF(cfg_aprovado="","A definir",cfg_aprovado)</f>
      </c>
    </row>
    <row r="3" ht="34" customHeight="1" spans="1:11" x14ac:dyDescent="0.25">
      <c r="A3" s="8" t="s">
        <v>154</v>
      </c>
      <c r="B3" s="8" t="s">
        <v>87</v>
      </c>
      <c r="C3" s="8" t="s">
        <v>192</v>
      </c>
      <c r="D3" s="8" t="s">
        <v>159</v>
      </c>
      <c r="E3" s="8" t="s">
        <v>196</v>
      </c>
      <c r="F3" s="8" t="s">
        <v>197</v>
      </c>
      <c r="G3" s="8" t="s">
        <v>127</v>
      </c>
      <c r="H3" s="8" t="s">
        <v>198</v>
      </c>
      <c r="I3" s="8" t="s">
        <v>199</v>
      </c>
      <c r="J3" s="8" t="s">
        <v>107</v>
      </c>
      <c r="K3" s="8" t="s">
        <v>106</v>
      </c>
    </row>
    <row r="4" spans="1:11" x14ac:dyDescent="0.25">
      <c r="A4" s="29"/>
      <c r="B4" s="37">
        <f>IF(A4="","",IFERROR(INDEX(Programação!$C$4:$C$503,MATCH($A4,os_numero,0)),"")&amp;"")</f>
      </c>
      <c r="C4" s="32">
        <f>IF(A4="","",IFERROR(INDEX(Programação!$E$4:$E$503,MATCH($A4,os_numero,0)),"")&amp;"")</f>
      </c>
      <c r="D4" s="49">
        <f>IF(A4="","",IFERROR(INDEX(Programação!$H$4:$H$503,MATCH($A4,os_numero,0)),""))</f>
      </c>
      <c r="E4" s="31"/>
      <c r="F4" s="31"/>
      <c r="G4" s="28"/>
      <c r="H4" s="30"/>
      <c r="I4" s="29"/>
      <c r="J4" s="32">
        <f t="shared" ref="J4:J103" si="0">IF(A4="","",IF(ISNA(MATCH(A4,os_numero,0)),"ERRO: OS não encontrada",IF(COUNTIF(rca_os,A4)&gt;1,"ERRO: OS analisada em duplicidade",IF(OR(E4="",F4=""),"Pendente: causa raiz e ação",IF(I4="","Pendente: verificar recorrência",IF(I4="Sim","Verificar: falha recorreu, refaça a análise","OK"))))))</f>
      </c>
      <c r="K4" s="31"/>
    </row>
    <row r="5" spans="1:11" x14ac:dyDescent="0.25">
      <c r="A5" s="29"/>
      <c r="B5" s="37">
        <f>IF(A5="","",IFERROR(INDEX(Programação!$C$4:$C$503,MATCH($A5,os_numero,0)),"")&amp;"")</f>
      </c>
      <c r="C5" s="32">
        <f>IF(A5="","",IFERROR(INDEX(Programação!$E$4:$E$503,MATCH($A5,os_numero,0)),"")&amp;"")</f>
      </c>
      <c r="D5" s="49">
        <f>IF(A5="","",IFERROR(INDEX(Programação!$H$4:$H$503,MATCH($A5,os_numero,0)),""))</f>
      </c>
      <c r="E5" s="31"/>
      <c r="F5" s="31"/>
      <c r="G5" s="28"/>
      <c r="H5" s="30"/>
      <c r="I5" s="29"/>
      <c r="J5" s="32">
        <f t="shared" si="0"/>
      </c>
      <c r="K5" s="31"/>
    </row>
    <row r="6" spans="1:11" x14ac:dyDescent="0.25">
      <c r="A6" s="29"/>
      <c r="B6" s="37">
        <f>IF(A6="","",IFERROR(INDEX(Programação!$C$4:$C$503,MATCH($A6,os_numero,0)),"")&amp;"")</f>
      </c>
      <c r="C6" s="32">
        <f>IF(A6="","",IFERROR(INDEX(Programação!$E$4:$E$503,MATCH($A6,os_numero,0)),"")&amp;"")</f>
      </c>
      <c r="D6" s="49">
        <f>IF(A6="","",IFERROR(INDEX(Programação!$H$4:$H$503,MATCH($A6,os_numero,0)),""))</f>
      </c>
      <c r="E6" s="31"/>
      <c r="F6" s="31"/>
      <c r="G6" s="28"/>
      <c r="H6" s="30"/>
      <c r="I6" s="29"/>
      <c r="J6" s="32">
        <f t="shared" si="0"/>
      </c>
      <c r="K6" s="31"/>
    </row>
    <row r="7" spans="1:11" x14ac:dyDescent="0.25">
      <c r="A7" s="29"/>
      <c r="B7" s="37">
        <f>IF(A7="","",IFERROR(INDEX(Programação!$C$4:$C$503,MATCH($A7,os_numero,0)),"")&amp;"")</f>
      </c>
      <c r="C7" s="32">
        <f>IF(A7="","",IFERROR(INDEX(Programação!$E$4:$E$503,MATCH($A7,os_numero,0)),"")&amp;"")</f>
      </c>
      <c r="D7" s="49">
        <f>IF(A7="","",IFERROR(INDEX(Programação!$H$4:$H$503,MATCH($A7,os_numero,0)),""))</f>
      </c>
      <c r="E7" s="31"/>
      <c r="F7" s="31"/>
      <c r="G7" s="28"/>
      <c r="H7" s="30"/>
      <c r="I7" s="29"/>
      <c r="J7" s="32">
        <f t="shared" si="0"/>
      </c>
      <c r="K7" s="31"/>
    </row>
    <row r="8" spans="1:11" x14ac:dyDescent="0.25">
      <c r="A8" s="29"/>
      <c r="B8" s="37">
        <f>IF(A8="","",IFERROR(INDEX(Programação!$C$4:$C$503,MATCH($A8,os_numero,0)),"")&amp;"")</f>
      </c>
      <c r="C8" s="32">
        <f>IF(A8="","",IFERROR(INDEX(Programação!$E$4:$E$503,MATCH($A8,os_numero,0)),"")&amp;"")</f>
      </c>
      <c r="D8" s="49">
        <f>IF(A8="","",IFERROR(INDEX(Programação!$H$4:$H$503,MATCH($A8,os_numero,0)),""))</f>
      </c>
      <c r="E8" s="31"/>
      <c r="F8" s="31"/>
      <c r="G8" s="28"/>
      <c r="H8" s="30"/>
      <c r="I8" s="29"/>
      <c r="J8" s="32">
        <f t="shared" si="0"/>
      </c>
      <c r="K8" s="31"/>
    </row>
    <row r="9" spans="1:11" x14ac:dyDescent="0.25">
      <c r="A9" s="29"/>
      <c r="B9" s="37">
        <f>IF(A9="","",IFERROR(INDEX(Programação!$C$4:$C$503,MATCH($A9,os_numero,0)),"")&amp;"")</f>
      </c>
      <c r="C9" s="32">
        <f>IF(A9="","",IFERROR(INDEX(Programação!$E$4:$E$503,MATCH($A9,os_numero,0)),"")&amp;"")</f>
      </c>
      <c r="D9" s="49">
        <f>IF(A9="","",IFERROR(INDEX(Programação!$H$4:$H$503,MATCH($A9,os_numero,0)),""))</f>
      </c>
      <c r="E9" s="31"/>
      <c r="F9" s="31"/>
      <c r="G9" s="28"/>
      <c r="H9" s="30"/>
      <c r="I9" s="29"/>
      <c r="J9" s="32">
        <f t="shared" si="0"/>
      </c>
      <c r="K9" s="31"/>
    </row>
    <row r="10" spans="1:11" x14ac:dyDescent="0.25">
      <c r="A10" s="29"/>
      <c r="B10" s="37">
        <f>IF(A10="","",IFERROR(INDEX(Programação!$C$4:$C$503,MATCH($A10,os_numero,0)),"")&amp;"")</f>
      </c>
      <c r="C10" s="32">
        <f>IF(A10="","",IFERROR(INDEX(Programação!$E$4:$E$503,MATCH($A10,os_numero,0)),"")&amp;"")</f>
      </c>
      <c r="D10" s="49">
        <f>IF(A10="","",IFERROR(INDEX(Programação!$H$4:$H$503,MATCH($A10,os_numero,0)),""))</f>
      </c>
      <c r="E10" s="31"/>
      <c r="F10" s="31"/>
      <c r="G10" s="28"/>
      <c r="H10" s="30"/>
      <c r="I10" s="29"/>
      <c r="J10" s="32">
        <f t="shared" si="0"/>
      </c>
      <c r="K10" s="31"/>
    </row>
    <row r="11" spans="1:11" x14ac:dyDescent="0.25">
      <c r="A11" s="29"/>
      <c r="B11" s="37">
        <f>IF(A11="","",IFERROR(INDEX(Programação!$C$4:$C$503,MATCH($A11,os_numero,0)),"")&amp;"")</f>
      </c>
      <c r="C11" s="32">
        <f>IF(A11="","",IFERROR(INDEX(Programação!$E$4:$E$503,MATCH($A11,os_numero,0)),"")&amp;"")</f>
      </c>
      <c r="D11" s="49">
        <f>IF(A11="","",IFERROR(INDEX(Programação!$H$4:$H$503,MATCH($A11,os_numero,0)),""))</f>
      </c>
      <c r="E11" s="31"/>
      <c r="F11" s="31"/>
      <c r="G11" s="28"/>
      <c r="H11" s="30"/>
      <c r="I11" s="29"/>
      <c r="J11" s="32">
        <f t="shared" si="0"/>
      </c>
      <c r="K11" s="31"/>
    </row>
    <row r="12" spans="1:11" x14ac:dyDescent="0.25">
      <c r="A12" s="29"/>
      <c r="B12" s="37">
        <f>IF(A12="","",IFERROR(INDEX(Programação!$C$4:$C$503,MATCH($A12,os_numero,0)),"")&amp;"")</f>
      </c>
      <c r="C12" s="32">
        <f>IF(A12="","",IFERROR(INDEX(Programação!$E$4:$E$503,MATCH($A12,os_numero,0)),"")&amp;"")</f>
      </c>
      <c r="D12" s="49">
        <f>IF(A12="","",IFERROR(INDEX(Programação!$H$4:$H$503,MATCH($A12,os_numero,0)),""))</f>
      </c>
      <c r="E12" s="31"/>
      <c r="F12" s="31"/>
      <c r="G12" s="28"/>
      <c r="H12" s="30"/>
      <c r="I12" s="29"/>
      <c r="J12" s="32">
        <f t="shared" si="0"/>
      </c>
      <c r="K12" s="31"/>
    </row>
    <row r="13" spans="1:11" x14ac:dyDescent="0.25">
      <c r="A13" s="29"/>
      <c r="B13" s="37">
        <f>IF(A13="","",IFERROR(INDEX(Programação!$C$4:$C$503,MATCH($A13,os_numero,0)),"")&amp;"")</f>
      </c>
      <c r="C13" s="32">
        <f>IF(A13="","",IFERROR(INDEX(Programação!$E$4:$E$503,MATCH($A13,os_numero,0)),"")&amp;"")</f>
      </c>
      <c r="D13" s="49">
        <f>IF(A13="","",IFERROR(INDEX(Programação!$H$4:$H$503,MATCH($A13,os_numero,0)),""))</f>
      </c>
      <c r="E13" s="31"/>
      <c r="F13" s="31"/>
      <c r="G13" s="28"/>
      <c r="H13" s="30"/>
      <c r="I13" s="29"/>
      <c r="J13" s="32">
        <f t="shared" si="0"/>
      </c>
      <c r="K13" s="31"/>
    </row>
    <row r="14" spans="1:11" x14ac:dyDescent="0.25">
      <c r="A14" s="29"/>
      <c r="B14" s="37">
        <f>IF(A14="","",IFERROR(INDEX(Programação!$C$4:$C$503,MATCH($A14,os_numero,0)),"")&amp;"")</f>
      </c>
      <c r="C14" s="32">
        <f>IF(A14="","",IFERROR(INDEX(Programação!$E$4:$E$503,MATCH($A14,os_numero,0)),"")&amp;"")</f>
      </c>
      <c r="D14" s="49">
        <f>IF(A14="","",IFERROR(INDEX(Programação!$H$4:$H$503,MATCH($A14,os_numero,0)),""))</f>
      </c>
      <c r="E14" s="31"/>
      <c r="F14" s="31"/>
      <c r="G14" s="28"/>
      <c r="H14" s="30"/>
      <c r="I14" s="29"/>
      <c r="J14" s="32">
        <f t="shared" si="0"/>
      </c>
      <c r="K14" s="31"/>
    </row>
    <row r="15" spans="1:11" x14ac:dyDescent="0.25">
      <c r="A15" s="29"/>
      <c r="B15" s="37">
        <f>IF(A15="","",IFERROR(INDEX(Programação!$C$4:$C$503,MATCH($A15,os_numero,0)),"")&amp;"")</f>
      </c>
      <c r="C15" s="32">
        <f>IF(A15="","",IFERROR(INDEX(Programação!$E$4:$E$503,MATCH($A15,os_numero,0)),"")&amp;"")</f>
      </c>
      <c r="D15" s="49">
        <f>IF(A15="","",IFERROR(INDEX(Programação!$H$4:$H$503,MATCH($A15,os_numero,0)),""))</f>
      </c>
      <c r="E15" s="31"/>
      <c r="F15" s="31"/>
      <c r="G15" s="28"/>
      <c r="H15" s="30"/>
      <c r="I15" s="29"/>
      <c r="J15" s="32">
        <f t="shared" si="0"/>
      </c>
      <c r="K15" s="31"/>
    </row>
    <row r="16" spans="1:11" x14ac:dyDescent="0.25">
      <c r="A16" s="29"/>
      <c r="B16" s="37">
        <f>IF(A16="","",IFERROR(INDEX(Programação!$C$4:$C$503,MATCH($A16,os_numero,0)),"")&amp;"")</f>
      </c>
      <c r="C16" s="32">
        <f>IF(A16="","",IFERROR(INDEX(Programação!$E$4:$E$503,MATCH($A16,os_numero,0)),"")&amp;"")</f>
      </c>
      <c r="D16" s="49">
        <f>IF(A16="","",IFERROR(INDEX(Programação!$H$4:$H$503,MATCH($A16,os_numero,0)),""))</f>
      </c>
      <c r="E16" s="31"/>
      <c r="F16" s="31"/>
      <c r="G16" s="28"/>
      <c r="H16" s="30"/>
      <c r="I16" s="29"/>
      <c r="J16" s="32">
        <f t="shared" si="0"/>
      </c>
      <c r="K16" s="31"/>
    </row>
    <row r="17" spans="1:11" x14ac:dyDescent="0.25">
      <c r="A17" s="29"/>
      <c r="B17" s="37">
        <f>IF(A17="","",IFERROR(INDEX(Programação!$C$4:$C$503,MATCH($A17,os_numero,0)),"")&amp;"")</f>
      </c>
      <c r="C17" s="32">
        <f>IF(A17="","",IFERROR(INDEX(Programação!$E$4:$E$503,MATCH($A17,os_numero,0)),"")&amp;"")</f>
      </c>
      <c r="D17" s="49">
        <f>IF(A17="","",IFERROR(INDEX(Programação!$H$4:$H$503,MATCH($A17,os_numero,0)),""))</f>
      </c>
      <c r="E17" s="31"/>
      <c r="F17" s="31"/>
      <c r="G17" s="28"/>
      <c r="H17" s="30"/>
      <c r="I17" s="29"/>
      <c r="J17" s="32">
        <f t="shared" si="0"/>
      </c>
      <c r="K17" s="31"/>
    </row>
    <row r="18" spans="1:11" x14ac:dyDescent="0.25">
      <c r="A18" s="29"/>
      <c r="B18" s="37">
        <f>IF(A18="","",IFERROR(INDEX(Programação!$C$4:$C$503,MATCH($A18,os_numero,0)),"")&amp;"")</f>
      </c>
      <c r="C18" s="32">
        <f>IF(A18="","",IFERROR(INDEX(Programação!$E$4:$E$503,MATCH($A18,os_numero,0)),"")&amp;"")</f>
      </c>
      <c r="D18" s="49">
        <f>IF(A18="","",IFERROR(INDEX(Programação!$H$4:$H$503,MATCH($A18,os_numero,0)),""))</f>
      </c>
      <c r="E18" s="31"/>
      <c r="F18" s="31"/>
      <c r="G18" s="28"/>
      <c r="H18" s="30"/>
      <c r="I18" s="29"/>
      <c r="J18" s="32">
        <f t="shared" si="0"/>
      </c>
      <c r="K18" s="31"/>
    </row>
    <row r="19" spans="1:11" x14ac:dyDescent="0.25">
      <c r="A19" s="29"/>
      <c r="B19" s="37">
        <f>IF(A19="","",IFERROR(INDEX(Programação!$C$4:$C$503,MATCH($A19,os_numero,0)),"")&amp;"")</f>
      </c>
      <c r="C19" s="32">
        <f>IF(A19="","",IFERROR(INDEX(Programação!$E$4:$E$503,MATCH($A19,os_numero,0)),"")&amp;"")</f>
      </c>
      <c r="D19" s="49">
        <f>IF(A19="","",IFERROR(INDEX(Programação!$H$4:$H$503,MATCH($A19,os_numero,0)),""))</f>
      </c>
      <c r="E19" s="31"/>
      <c r="F19" s="31"/>
      <c r="G19" s="28"/>
      <c r="H19" s="30"/>
      <c r="I19" s="29"/>
      <c r="J19" s="32">
        <f t="shared" si="0"/>
      </c>
      <c r="K19" s="31"/>
    </row>
    <row r="20" spans="1:11" x14ac:dyDescent="0.25">
      <c r="A20" s="29"/>
      <c r="B20" s="37">
        <f>IF(A20="","",IFERROR(INDEX(Programação!$C$4:$C$503,MATCH($A20,os_numero,0)),"")&amp;"")</f>
      </c>
      <c r="C20" s="32">
        <f>IF(A20="","",IFERROR(INDEX(Programação!$E$4:$E$503,MATCH($A20,os_numero,0)),"")&amp;"")</f>
      </c>
      <c r="D20" s="49">
        <f>IF(A20="","",IFERROR(INDEX(Programação!$H$4:$H$503,MATCH($A20,os_numero,0)),""))</f>
      </c>
      <c r="E20" s="31"/>
      <c r="F20" s="31"/>
      <c r="G20" s="28"/>
      <c r="H20" s="30"/>
      <c r="I20" s="29"/>
      <c r="J20" s="32">
        <f t="shared" si="0"/>
      </c>
      <c r="K20" s="31"/>
    </row>
    <row r="21" spans="1:11" x14ac:dyDescent="0.25">
      <c r="A21" s="29"/>
      <c r="B21" s="37">
        <f>IF(A21="","",IFERROR(INDEX(Programação!$C$4:$C$503,MATCH($A21,os_numero,0)),"")&amp;"")</f>
      </c>
      <c r="C21" s="32">
        <f>IF(A21="","",IFERROR(INDEX(Programação!$E$4:$E$503,MATCH($A21,os_numero,0)),"")&amp;"")</f>
      </c>
      <c r="D21" s="49">
        <f>IF(A21="","",IFERROR(INDEX(Programação!$H$4:$H$503,MATCH($A21,os_numero,0)),""))</f>
      </c>
      <c r="E21" s="31"/>
      <c r="F21" s="31"/>
      <c r="G21" s="28"/>
      <c r="H21" s="30"/>
      <c r="I21" s="29"/>
      <c r="J21" s="32">
        <f t="shared" si="0"/>
      </c>
      <c r="K21" s="31"/>
    </row>
    <row r="22" spans="1:11" x14ac:dyDescent="0.25">
      <c r="A22" s="29"/>
      <c r="B22" s="37">
        <f>IF(A22="","",IFERROR(INDEX(Programação!$C$4:$C$503,MATCH($A22,os_numero,0)),"")&amp;"")</f>
      </c>
      <c r="C22" s="32">
        <f>IF(A22="","",IFERROR(INDEX(Programação!$E$4:$E$503,MATCH($A22,os_numero,0)),"")&amp;"")</f>
      </c>
      <c r="D22" s="49">
        <f>IF(A22="","",IFERROR(INDEX(Programação!$H$4:$H$503,MATCH($A22,os_numero,0)),""))</f>
      </c>
      <c r="E22" s="31"/>
      <c r="F22" s="31"/>
      <c r="G22" s="28"/>
      <c r="H22" s="30"/>
      <c r="I22" s="29"/>
      <c r="J22" s="32">
        <f t="shared" si="0"/>
      </c>
      <c r="K22" s="31"/>
    </row>
    <row r="23" spans="1:11" x14ac:dyDescent="0.25">
      <c r="A23" s="29"/>
      <c r="B23" s="37">
        <f>IF(A23="","",IFERROR(INDEX(Programação!$C$4:$C$503,MATCH($A23,os_numero,0)),"")&amp;"")</f>
      </c>
      <c r="C23" s="32">
        <f>IF(A23="","",IFERROR(INDEX(Programação!$E$4:$E$503,MATCH($A23,os_numero,0)),"")&amp;"")</f>
      </c>
      <c r="D23" s="49">
        <f>IF(A23="","",IFERROR(INDEX(Programação!$H$4:$H$503,MATCH($A23,os_numero,0)),""))</f>
      </c>
      <c r="E23" s="31"/>
      <c r="F23" s="31"/>
      <c r="G23" s="28"/>
      <c r="H23" s="30"/>
      <c r="I23" s="29"/>
      <c r="J23" s="32">
        <f t="shared" si="0"/>
      </c>
      <c r="K23" s="31"/>
    </row>
    <row r="24" spans="1:11" x14ac:dyDescent="0.25">
      <c r="A24" s="29"/>
      <c r="B24" s="37">
        <f>IF(A24="","",IFERROR(INDEX(Programação!$C$4:$C$503,MATCH($A24,os_numero,0)),"")&amp;"")</f>
      </c>
      <c r="C24" s="32">
        <f>IF(A24="","",IFERROR(INDEX(Programação!$E$4:$E$503,MATCH($A24,os_numero,0)),"")&amp;"")</f>
      </c>
      <c r="D24" s="49">
        <f>IF(A24="","",IFERROR(INDEX(Programação!$H$4:$H$503,MATCH($A24,os_numero,0)),""))</f>
      </c>
      <c r="E24" s="31"/>
      <c r="F24" s="31"/>
      <c r="G24" s="28"/>
      <c r="H24" s="30"/>
      <c r="I24" s="29"/>
      <c r="J24" s="32">
        <f t="shared" si="0"/>
      </c>
      <c r="K24" s="31"/>
    </row>
    <row r="25" spans="1:11" x14ac:dyDescent="0.25">
      <c r="A25" s="29"/>
      <c r="B25" s="37">
        <f>IF(A25="","",IFERROR(INDEX(Programação!$C$4:$C$503,MATCH($A25,os_numero,0)),"")&amp;"")</f>
      </c>
      <c r="C25" s="32">
        <f>IF(A25="","",IFERROR(INDEX(Programação!$E$4:$E$503,MATCH($A25,os_numero,0)),"")&amp;"")</f>
      </c>
      <c r="D25" s="49">
        <f>IF(A25="","",IFERROR(INDEX(Programação!$H$4:$H$503,MATCH($A25,os_numero,0)),""))</f>
      </c>
      <c r="E25" s="31"/>
      <c r="F25" s="31"/>
      <c r="G25" s="28"/>
      <c r="H25" s="30"/>
      <c r="I25" s="29"/>
      <c r="J25" s="32">
        <f t="shared" si="0"/>
      </c>
      <c r="K25" s="31"/>
    </row>
    <row r="26" spans="1:11" x14ac:dyDescent="0.25">
      <c r="A26" s="29"/>
      <c r="B26" s="37">
        <f>IF(A26="","",IFERROR(INDEX(Programação!$C$4:$C$503,MATCH($A26,os_numero,0)),"")&amp;"")</f>
      </c>
      <c r="C26" s="32">
        <f>IF(A26="","",IFERROR(INDEX(Programação!$E$4:$E$503,MATCH($A26,os_numero,0)),"")&amp;"")</f>
      </c>
      <c r="D26" s="49">
        <f>IF(A26="","",IFERROR(INDEX(Programação!$H$4:$H$503,MATCH($A26,os_numero,0)),""))</f>
      </c>
      <c r="E26" s="31"/>
      <c r="F26" s="31"/>
      <c r="G26" s="28"/>
      <c r="H26" s="30"/>
      <c r="I26" s="29"/>
      <c r="J26" s="32">
        <f t="shared" si="0"/>
      </c>
      <c r="K26" s="31"/>
    </row>
    <row r="27" spans="1:11" x14ac:dyDescent="0.25">
      <c r="A27" s="29"/>
      <c r="B27" s="37">
        <f>IF(A27="","",IFERROR(INDEX(Programação!$C$4:$C$503,MATCH($A27,os_numero,0)),"")&amp;"")</f>
      </c>
      <c r="C27" s="32">
        <f>IF(A27="","",IFERROR(INDEX(Programação!$E$4:$E$503,MATCH($A27,os_numero,0)),"")&amp;"")</f>
      </c>
      <c r="D27" s="49">
        <f>IF(A27="","",IFERROR(INDEX(Programação!$H$4:$H$503,MATCH($A27,os_numero,0)),""))</f>
      </c>
      <c r="E27" s="31"/>
      <c r="F27" s="31"/>
      <c r="G27" s="28"/>
      <c r="H27" s="30"/>
      <c r="I27" s="29"/>
      <c r="J27" s="32">
        <f t="shared" si="0"/>
      </c>
      <c r="K27" s="31"/>
    </row>
    <row r="28" spans="1:11" x14ac:dyDescent="0.25">
      <c r="A28" s="29"/>
      <c r="B28" s="37">
        <f>IF(A28="","",IFERROR(INDEX(Programação!$C$4:$C$503,MATCH($A28,os_numero,0)),"")&amp;"")</f>
      </c>
      <c r="C28" s="32">
        <f>IF(A28="","",IFERROR(INDEX(Programação!$E$4:$E$503,MATCH($A28,os_numero,0)),"")&amp;"")</f>
      </c>
      <c r="D28" s="49">
        <f>IF(A28="","",IFERROR(INDEX(Programação!$H$4:$H$503,MATCH($A28,os_numero,0)),""))</f>
      </c>
      <c r="E28" s="31"/>
      <c r="F28" s="31"/>
      <c r="G28" s="28"/>
      <c r="H28" s="30"/>
      <c r="I28" s="29"/>
      <c r="J28" s="32">
        <f t="shared" si="0"/>
      </c>
      <c r="K28" s="31"/>
    </row>
    <row r="29" spans="1:11" x14ac:dyDescent="0.25">
      <c r="A29" s="29"/>
      <c r="B29" s="37">
        <f>IF(A29="","",IFERROR(INDEX(Programação!$C$4:$C$503,MATCH($A29,os_numero,0)),"")&amp;"")</f>
      </c>
      <c r="C29" s="32">
        <f>IF(A29="","",IFERROR(INDEX(Programação!$E$4:$E$503,MATCH($A29,os_numero,0)),"")&amp;"")</f>
      </c>
      <c r="D29" s="49">
        <f>IF(A29="","",IFERROR(INDEX(Programação!$H$4:$H$503,MATCH($A29,os_numero,0)),""))</f>
      </c>
      <c r="E29" s="31"/>
      <c r="F29" s="31"/>
      <c r="G29" s="28"/>
      <c r="H29" s="30"/>
      <c r="I29" s="29"/>
      <c r="J29" s="32">
        <f t="shared" si="0"/>
      </c>
      <c r="K29" s="31"/>
    </row>
    <row r="30" spans="1:11" x14ac:dyDescent="0.25">
      <c r="A30" s="29"/>
      <c r="B30" s="37">
        <f>IF(A30="","",IFERROR(INDEX(Programação!$C$4:$C$503,MATCH($A30,os_numero,0)),"")&amp;"")</f>
      </c>
      <c r="C30" s="32">
        <f>IF(A30="","",IFERROR(INDEX(Programação!$E$4:$E$503,MATCH($A30,os_numero,0)),"")&amp;"")</f>
      </c>
      <c r="D30" s="49">
        <f>IF(A30="","",IFERROR(INDEX(Programação!$H$4:$H$503,MATCH($A30,os_numero,0)),""))</f>
      </c>
      <c r="E30" s="31"/>
      <c r="F30" s="31"/>
      <c r="G30" s="28"/>
      <c r="H30" s="30"/>
      <c r="I30" s="29"/>
      <c r="J30" s="32">
        <f t="shared" si="0"/>
      </c>
      <c r="K30" s="31"/>
    </row>
    <row r="31" spans="1:11" x14ac:dyDescent="0.25">
      <c r="A31" s="29"/>
      <c r="B31" s="37">
        <f>IF(A31="","",IFERROR(INDEX(Programação!$C$4:$C$503,MATCH($A31,os_numero,0)),"")&amp;"")</f>
      </c>
      <c r="C31" s="32">
        <f>IF(A31="","",IFERROR(INDEX(Programação!$E$4:$E$503,MATCH($A31,os_numero,0)),"")&amp;"")</f>
      </c>
      <c r="D31" s="49">
        <f>IF(A31="","",IFERROR(INDEX(Programação!$H$4:$H$503,MATCH($A31,os_numero,0)),""))</f>
      </c>
      <c r="E31" s="31"/>
      <c r="F31" s="31"/>
      <c r="G31" s="28"/>
      <c r="H31" s="30"/>
      <c r="I31" s="29"/>
      <c r="J31" s="32">
        <f t="shared" si="0"/>
      </c>
      <c r="K31" s="31"/>
    </row>
    <row r="32" spans="1:11" x14ac:dyDescent="0.25">
      <c r="A32" s="29"/>
      <c r="B32" s="37">
        <f>IF(A32="","",IFERROR(INDEX(Programação!$C$4:$C$503,MATCH($A32,os_numero,0)),"")&amp;"")</f>
      </c>
      <c r="C32" s="32">
        <f>IF(A32="","",IFERROR(INDEX(Programação!$E$4:$E$503,MATCH($A32,os_numero,0)),"")&amp;"")</f>
      </c>
      <c r="D32" s="49">
        <f>IF(A32="","",IFERROR(INDEX(Programação!$H$4:$H$503,MATCH($A32,os_numero,0)),""))</f>
      </c>
      <c r="E32" s="31"/>
      <c r="F32" s="31"/>
      <c r="G32" s="28"/>
      <c r="H32" s="30"/>
      <c r="I32" s="29"/>
      <c r="J32" s="32">
        <f t="shared" si="0"/>
      </c>
      <c r="K32" s="31"/>
    </row>
    <row r="33" spans="1:11" x14ac:dyDescent="0.25">
      <c r="A33" s="29"/>
      <c r="B33" s="37">
        <f>IF(A33="","",IFERROR(INDEX(Programação!$C$4:$C$503,MATCH($A33,os_numero,0)),"")&amp;"")</f>
      </c>
      <c r="C33" s="32">
        <f>IF(A33="","",IFERROR(INDEX(Programação!$E$4:$E$503,MATCH($A33,os_numero,0)),"")&amp;"")</f>
      </c>
      <c r="D33" s="49">
        <f>IF(A33="","",IFERROR(INDEX(Programação!$H$4:$H$503,MATCH($A33,os_numero,0)),""))</f>
      </c>
      <c r="E33" s="31"/>
      <c r="F33" s="31"/>
      <c r="G33" s="28"/>
      <c r="H33" s="30"/>
      <c r="I33" s="29"/>
      <c r="J33" s="32">
        <f t="shared" si="0"/>
      </c>
      <c r="K33" s="31"/>
    </row>
    <row r="34" spans="1:11" x14ac:dyDescent="0.25">
      <c r="A34" s="29"/>
      <c r="B34" s="37">
        <f>IF(A34="","",IFERROR(INDEX(Programação!$C$4:$C$503,MATCH($A34,os_numero,0)),"")&amp;"")</f>
      </c>
      <c r="C34" s="32">
        <f>IF(A34="","",IFERROR(INDEX(Programação!$E$4:$E$503,MATCH($A34,os_numero,0)),"")&amp;"")</f>
      </c>
      <c r="D34" s="49">
        <f>IF(A34="","",IFERROR(INDEX(Programação!$H$4:$H$503,MATCH($A34,os_numero,0)),""))</f>
      </c>
      <c r="E34" s="31"/>
      <c r="F34" s="31"/>
      <c r="G34" s="28"/>
      <c r="H34" s="30"/>
      <c r="I34" s="29"/>
      <c r="J34" s="32">
        <f t="shared" si="0"/>
      </c>
      <c r="K34" s="31"/>
    </row>
    <row r="35" spans="1:11" x14ac:dyDescent="0.25">
      <c r="A35" s="29"/>
      <c r="B35" s="37">
        <f>IF(A35="","",IFERROR(INDEX(Programação!$C$4:$C$503,MATCH($A35,os_numero,0)),"")&amp;"")</f>
      </c>
      <c r="C35" s="32">
        <f>IF(A35="","",IFERROR(INDEX(Programação!$E$4:$E$503,MATCH($A35,os_numero,0)),"")&amp;"")</f>
      </c>
      <c r="D35" s="49">
        <f>IF(A35="","",IFERROR(INDEX(Programação!$H$4:$H$503,MATCH($A35,os_numero,0)),""))</f>
      </c>
      <c r="E35" s="31"/>
      <c r="F35" s="31"/>
      <c r="G35" s="28"/>
      <c r="H35" s="30"/>
      <c r="I35" s="29"/>
      <c r="J35" s="32">
        <f t="shared" si="0"/>
      </c>
      <c r="K35" s="31"/>
    </row>
    <row r="36" spans="1:11" x14ac:dyDescent="0.25">
      <c r="A36" s="29"/>
      <c r="B36" s="37">
        <f>IF(A36="","",IFERROR(INDEX(Programação!$C$4:$C$503,MATCH($A36,os_numero,0)),"")&amp;"")</f>
      </c>
      <c r="C36" s="32">
        <f>IF(A36="","",IFERROR(INDEX(Programação!$E$4:$E$503,MATCH($A36,os_numero,0)),"")&amp;"")</f>
      </c>
      <c r="D36" s="49">
        <f>IF(A36="","",IFERROR(INDEX(Programação!$H$4:$H$503,MATCH($A36,os_numero,0)),""))</f>
      </c>
      <c r="E36" s="31"/>
      <c r="F36" s="31"/>
      <c r="G36" s="28"/>
      <c r="H36" s="30"/>
      <c r="I36" s="29"/>
      <c r="J36" s="32">
        <f t="shared" si="0"/>
      </c>
      <c r="K36" s="31"/>
    </row>
    <row r="37" spans="1:11" x14ac:dyDescent="0.25">
      <c r="A37" s="29"/>
      <c r="B37" s="37">
        <f>IF(A37="","",IFERROR(INDEX(Programação!$C$4:$C$503,MATCH($A37,os_numero,0)),"")&amp;"")</f>
      </c>
      <c r="C37" s="32">
        <f>IF(A37="","",IFERROR(INDEX(Programação!$E$4:$E$503,MATCH($A37,os_numero,0)),"")&amp;"")</f>
      </c>
      <c r="D37" s="49">
        <f>IF(A37="","",IFERROR(INDEX(Programação!$H$4:$H$503,MATCH($A37,os_numero,0)),""))</f>
      </c>
      <c r="E37" s="31"/>
      <c r="F37" s="31"/>
      <c r="G37" s="28"/>
      <c r="H37" s="30"/>
      <c r="I37" s="29"/>
      <c r="J37" s="32">
        <f t="shared" si="0"/>
      </c>
      <c r="K37" s="31"/>
    </row>
    <row r="38" spans="1:11" x14ac:dyDescent="0.25">
      <c r="A38" s="29"/>
      <c r="B38" s="37">
        <f>IF(A38="","",IFERROR(INDEX(Programação!$C$4:$C$503,MATCH($A38,os_numero,0)),"")&amp;"")</f>
      </c>
      <c r="C38" s="32">
        <f>IF(A38="","",IFERROR(INDEX(Programação!$E$4:$E$503,MATCH($A38,os_numero,0)),"")&amp;"")</f>
      </c>
      <c r="D38" s="49">
        <f>IF(A38="","",IFERROR(INDEX(Programação!$H$4:$H$503,MATCH($A38,os_numero,0)),""))</f>
      </c>
      <c r="E38" s="31"/>
      <c r="F38" s="31"/>
      <c r="G38" s="28"/>
      <c r="H38" s="30"/>
      <c r="I38" s="29"/>
      <c r="J38" s="32">
        <f t="shared" si="0"/>
      </c>
      <c r="K38" s="31"/>
    </row>
    <row r="39" spans="1:11" x14ac:dyDescent="0.25">
      <c r="A39" s="29"/>
      <c r="B39" s="37">
        <f>IF(A39="","",IFERROR(INDEX(Programação!$C$4:$C$503,MATCH($A39,os_numero,0)),"")&amp;"")</f>
      </c>
      <c r="C39" s="32">
        <f>IF(A39="","",IFERROR(INDEX(Programação!$E$4:$E$503,MATCH($A39,os_numero,0)),"")&amp;"")</f>
      </c>
      <c r="D39" s="49">
        <f>IF(A39="","",IFERROR(INDEX(Programação!$H$4:$H$503,MATCH($A39,os_numero,0)),""))</f>
      </c>
      <c r="E39" s="31"/>
      <c r="F39" s="31"/>
      <c r="G39" s="28"/>
      <c r="H39" s="30"/>
      <c r="I39" s="29"/>
      <c r="J39" s="32">
        <f t="shared" si="0"/>
      </c>
      <c r="K39" s="31"/>
    </row>
    <row r="40" spans="1:11" x14ac:dyDescent="0.25">
      <c r="A40" s="29"/>
      <c r="B40" s="37">
        <f>IF(A40="","",IFERROR(INDEX(Programação!$C$4:$C$503,MATCH($A40,os_numero,0)),"")&amp;"")</f>
      </c>
      <c r="C40" s="32">
        <f>IF(A40="","",IFERROR(INDEX(Programação!$E$4:$E$503,MATCH($A40,os_numero,0)),"")&amp;"")</f>
      </c>
      <c r="D40" s="49">
        <f>IF(A40="","",IFERROR(INDEX(Programação!$H$4:$H$503,MATCH($A40,os_numero,0)),""))</f>
      </c>
      <c r="E40" s="31"/>
      <c r="F40" s="31"/>
      <c r="G40" s="28"/>
      <c r="H40" s="30"/>
      <c r="I40" s="29"/>
      <c r="J40" s="32">
        <f t="shared" si="0"/>
      </c>
      <c r="K40" s="31"/>
    </row>
    <row r="41" spans="1:11" x14ac:dyDescent="0.25">
      <c r="A41" s="29"/>
      <c r="B41" s="37">
        <f>IF(A41="","",IFERROR(INDEX(Programação!$C$4:$C$503,MATCH($A41,os_numero,0)),"")&amp;"")</f>
      </c>
      <c r="C41" s="32">
        <f>IF(A41="","",IFERROR(INDEX(Programação!$E$4:$E$503,MATCH($A41,os_numero,0)),"")&amp;"")</f>
      </c>
      <c r="D41" s="49">
        <f>IF(A41="","",IFERROR(INDEX(Programação!$H$4:$H$503,MATCH($A41,os_numero,0)),""))</f>
      </c>
      <c r="E41" s="31"/>
      <c r="F41" s="31"/>
      <c r="G41" s="28"/>
      <c r="H41" s="30"/>
      <c r="I41" s="29"/>
      <c r="J41" s="32">
        <f t="shared" si="0"/>
      </c>
      <c r="K41" s="31"/>
    </row>
    <row r="42" spans="1:11" x14ac:dyDescent="0.25">
      <c r="A42" s="29"/>
      <c r="B42" s="37">
        <f>IF(A42="","",IFERROR(INDEX(Programação!$C$4:$C$503,MATCH($A42,os_numero,0)),"")&amp;"")</f>
      </c>
      <c r="C42" s="32">
        <f>IF(A42="","",IFERROR(INDEX(Programação!$E$4:$E$503,MATCH($A42,os_numero,0)),"")&amp;"")</f>
      </c>
      <c r="D42" s="49">
        <f>IF(A42="","",IFERROR(INDEX(Programação!$H$4:$H$503,MATCH($A42,os_numero,0)),""))</f>
      </c>
      <c r="E42" s="31"/>
      <c r="F42" s="31"/>
      <c r="G42" s="28"/>
      <c r="H42" s="30"/>
      <c r="I42" s="29"/>
      <c r="J42" s="32">
        <f t="shared" si="0"/>
      </c>
      <c r="K42" s="31"/>
    </row>
    <row r="43" spans="1:11" x14ac:dyDescent="0.25">
      <c r="A43" s="29"/>
      <c r="B43" s="37">
        <f>IF(A43="","",IFERROR(INDEX(Programação!$C$4:$C$503,MATCH($A43,os_numero,0)),"")&amp;"")</f>
      </c>
      <c r="C43" s="32">
        <f>IF(A43="","",IFERROR(INDEX(Programação!$E$4:$E$503,MATCH($A43,os_numero,0)),"")&amp;"")</f>
      </c>
      <c r="D43" s="49">
        <f>IF(A43="","",IFERROR(INDEX(Programação!$H$4:$H$503,MATCH($A43,os_numero,0)),""))</f>
      </c>
      <c r="E43" s="31"/>
      <c r="F43" s="31"/>
      <c r="G43" s="28"/>
      <c r="H43" s="30"/>
      <c r="I43" s="29"/>
      <c r="J43" s="32">
        <f t="shared" si="0"/>
      </c>
      <c r="K43" s="31"/>
    </row>
    <row r="44" spans="1:11" x14ac:dyDescent="0.25">
      <c r="A44" s="29"/>
      <c r="B44" s="37">
        <f>IF(A44="","",IFERROR(INDEX(Programação!$C$4:$C$503,MATCH($A44,os_numero,0)),"")&amp;"")</f>
      </c>
      <c r="C44" s="32">
        <f>IF(A44="","",IFERROR(INDEX(Programação!$E$4:$E$503,MATCH($A44,os_numero,0)),"")&amp;"")</f>
      </c>
      <c r="D44" s="49">
        <f>IF(A44="","",IFERROR(INDEX(Programação!$H$4:$H$503,MATCH($A44,os_numero,0)),""))</f>
      </c>
      <c r="E44" s="31"/>
      <c r="F44" s="31"/>
      <c r="G44" s="28"/>
      <c r="H44" s="30"/>
      <c r="I44" s="29"/>
      <c r="J44" s="32">
        <f t="shared" si="0"/>
      </c>
      <c r="K44" s="31"/>
    </row>
    <row r="45" spans="1:11" x14ac:dyDescent="0.25">
      <c r="A45" s="29"/>
      <c r="B45" s="37">
        <f>IF(A45="","",IFERROR(INDEX(Programação!$C$4:$C$503,MATCH($A45,os_numero,0)),"")&amp;"")</f>
      </c>
      <c r="C45" s="32">
        <f>IF(A45="","",IFERROR(INDEX(Programação!$E$4:$E$503,MATCH($A45,os_numero,0)),"")&amp;"")</f>
      </c>
      <c r="D45" s="49">
        <f>IF(A45="","",IFERROR(INDEX(Programação!$H$4:$H$503,MATCH($A45,os_numero,0)),""))</f>
      </c>
      <c r="E45" s="31"/>
      <c r="F45" s="31"/>
      <c r="G45" s="28"/>
      <c r="H45" s="30"/>
      <c r="I45" s="29"/>
      <c r="J45" s="32">
        <f t="shared" si="0"/>
      </c>
      <c r="K45" s="31"/>
    </row>
    <row r="46" spans="1:11" x14ac:dyDescent="0.25">
      <c r="A46" s="29"/>
      <c r="B46" s="37">
        <f>IF(A46="","",IFERROR(INDEX(Programação!$C$4:$C$503,MATCH($A46,os_numero,0)),"")&amp;"")</f>
      </c>
      <c r="C46" s="32">
        <f>IF(A46="","",IFERROR(INDEX(Programação!$E$4:$E$503,MATCH($A46,os_numero,0)),"")&amp;"")</f>
      </c>
      <c r="D46" s="49">
        <f>IF(A46="","",IFERROR(INDEX(Programação!$H$4:$H$503,MATCH($A46,os_numero,0)),""))</f>
      </c>
      <c r="E46" s="31"/>
      <c r="F46" s="31"/>
      <c r="G46" s="28"/>
      <c r="H46" s="30"/>
      <c r="I46" s="29"/>
      <c r="J46" s="32">
        <f t="shared" si="0"/>
      </c>
      <c r="K46" s="31"/>
    </row>
    <row r="47" spans="1:11" x14ac:dyDescent="0.25">
      <c r="A47" s="29"/>
      <c r="B47" s="37">
        <f>IF(A47="","",IFERROR(INDEX(Programação!$C$4:$C$503,MATCH($A47,os_numero,0)),"")&amp;"")</f>
      </c>
      <c r="C47" s="32">
        <f>IF(A47="","",IFERROR(INDEX(Programação!$E$4:$E$503,MATCH($A47,os_numero,0)),"")&amp;"")</f>
      </c>
      <c r="D47" s="49">
        <f>IF(A47="","",IFERROR(INDEX(Programação!$H$4:$H$503,MATCH($A47,os_numero,0)),""))</f>
      </c>
      <c r="E47" s="31"/>
      <c r="F47" s="31"/>
      <c r="G47" s="28"/>
      <c r="H47" s="30"/>
      <c r="I47" s="29"/>
      <c r="J47" s="32">
        <f t="shared" si="0"/>
      </c>
      <c r="K47" s="31"/>
    </row>
    <row r="48" spans="1:11" x14ac:dyDescent="0.25">
      <c r="A48" s="29"/>
      <c r="B48" s="37">
        <f>IF(A48="","",IFERROR(INDEX(Programação!$C$4:$C$503,MATCH($A48,os_numero,0)),"")&amp;"")</f>
      </c>
      <c r="C48" s="32">
        <f>IF(A48="","",IFERROR(INDEX(Programação!$E$4:$E$503,MATCH($A48,os_numero,0)),"")&amp;"")</f>
      </c>
      <c r="D48" s="49">
        <f>IF(A48="","",IFERROR(INDEX(Programação!$H$4:$H$503,MATCH($A48,os_numero,0)),""))</f>
      </c>
      <c r="E48" s="31"/>
      <c r="F48" s="31"/>
      <c r="G48" s="28"/>
      <c r="H48" s="30"/>
      <c r="I48" s="29"/>
      <c r="J48" s="32">
        <f t="shared" si="0"/>
      </c>
      <c r="K48" s="31"/>
    </row>
    <row r="49" spans="1:11" x14ac:dyDescent="0.25">
      <c r="A49" s="29"/>
      <c r="B49" s="37">
        <f>IF(A49="","",IFERROR(INDEX(Programação!$C$4:$C$503,MATCH($A49,os_numero,0)),"")&amp;"")</f>
      </c>
      <c r="C49" s="32">
        <f>IF(A49="","",IFERROR(INDEX(Programação!$E$4:$E$503,MATCH($A49,os_numero,0)),"")&amp;"")</f>
      </c>
      <c r="D49" s="49">
        <f>IF(A49="","",IFERROR(INDEX(Programação!$H$4:$H$503,MATCH($A49,os_numero,0)),""))</f>
      </c>
      <c r="E49" s="31"/>
      <c r="F49" s="31"/>
      <c r="G49" s="28"/>
      <c r="H49" s="30"/>
      <c r="I49" s="29"/>
      <c r="J49" s="32">
        <f t="shared" si="0"/>
      </c>
      <c r="K49" s="31"/>
    </row>
    <row r="50" spans="1:11" x14ac:dyDescent="0.25">
      <c r="A50" s="29"/>
      <c r="B50" s="37">
        <f>IF(A50="","",IFERROR(INDEX(Programação!$C$4:$C$503,MATCH($A50,os_numero,0)),"")&amp;"")</f>
      </c>
      <c r="C50" s="32">
        <f>IF(A50="","",IFERROR(INDEX(Programação!$E$4:$E$503,MATCH($A50,os_numero,0)),"")&amp;"")</f>
      </c>
      <c r="D50" s="49">
        <f>IF(A50="","",IFERROR(INDEX(Programação!$H$4:$H$503,MATCH($A50,os_numero,0)),""))</f>
      </c>
      <c r="E50" s="31"/>
      <c r="F50" s="31"/>
      <c r="G50" s="28"/>
      <c r="H50" s="30"/>
      <c r="I50" s="29"/>
      <c r="J50" s="32">
        <f t="shared" si="0"/>
      </c>
      <c r="K50" s="31"/>
    </row>
    <row r="51" spans="1:11" x14ac:dyDescent="0.25">
      <c r="A51" s="29"/>
      <c r="B51" s="37">
        <f>IF(A51="","",IFERROR(INDEX(Programação!$C$4:$C$503,MATCH($A51,os_numero,0)),"")&amp;"")</f>
      </c>
      <c r="C51" s="32">
        <f>IF(A51="","",IFERROR(INDEX(Programação!$E$4:$E$503,MATCH($A51,os_numero,0)),"")&amp;"")</f>
      </c>
      <c r="D51" s="49">
        <f>IF(A51="","",IFERROR(INDEX(Programação!$H$4:$H$503,MATCH($A51,os_numero,0)),""))</f>
      </c>
      <c r="E51" s="31"/>
      <c r="F51" s="31"/>
      <c r="G51" s="28"/>
      <c r="H51" s="30"/>
      <c r="I51" s="29"/>
      <c r="J51" s="32">
        <f t="shared" si="0"/>
      </c>
      <c r="K51" s="31"/>
    </row>
    <row r="52" spans="1:11" x14ac:dyDescent="0.25">
      <c r="A52" s="29"/>
      <c r="B52" s="37">
        <f>IF(A52="","",IFERROR(INDEX(Programação!$C$4:$C$503,MATCH($A52,os_numero,0)),"")&amp;"")</f>
      </c>
      <c r="C52" s="32">
        <f>IF(A52="","",IFERROR(INDEX(Programação!$E$4:$E$503,MATCH($A52,os_numero,0)),"")&amp;"")</f>
      </c>
      <c r="D52" s="49">
        <f>IF(A52="","",IFERROR(INDEX(Programação!$H$4:$H$503,MATCH($A52,os_numero,0)),""))</f>
      </c>
      <c r="E52" s="31"/>
      <c r="F52" s="31"/>
      <c r="G52" s="28"/>
      <c r="H52" s="30"/>
      <c r="I52" s="29"/>
      <c r="J52" s="32">
        <f t="shared" si="0"/>
      </c>
      <c r="K52" s="31"/>
    </row>
    <row r="53" spans="1:11" x14ac:dyDescent="0.25">
      <c r="A53" s="29"/>
      <c r="B53" s="37">
        <f>IF(A53="","",IFERROR(INDEX(Programação!$C$4:$C$503,MATCH($A53,os_numero,0)),"")&amp;"")</f>
      </c>
      <c r="C53" s="32">
        <f>IF(A53="","",IFERROR(INDEX(Programação!$E$4:$E$503,MATCH($A53,os_numero,0)),"")&amp;"")</f>
      </c>
      <c r="D53" s="49">
        <f>IF(A53="","",IFERROR(INDEX(Programação!$H$4:$H$503,MATCH($A53,os_numero,0)),""))</f>
      </c>
      <c r="E53" s="31"/>
      <c r="F53" s="31"/>
      <c r="G53" s="28"/>
      <c r="H53" s="30"/>
      <c r="I53" s="29"/>
      <c r="J53" s="32">
        <f t="shared" si="0"/>
      </c>
      <c r="K53" s="31"/>
    </row>
    <row r="54" spans="1:11" x14ac:dyDescent="0.25">
      <c r="A54" s="29"/>
      <c r="B54" s="37">
        <f>IF(A54="","",IFERROR(INDEX(Programação!$C$4:$C$503,MATCH($A54,os_numero,0)),"")&amp;"")</f>
      </c>
      <c r="C54" s="32">
        <f>IF(A54="","",IFERROR(INDEX(Programação!$E$4:$E$503,MATCH($A54,os_numero,0)),"")&amp;"")</f>
      </c>
      <c r="D54" s="49">
        <f>IF(A54="","",IFERROR(INDEX(Programação!$H$4:$H$503,MATCH($A54,os_numero,0)),""))</f>
      </c>
      <c r="E54" s="31"/>
      <c r="F54" s="31"/>
      <c r="G54" s="28"/>
      <c r="H54" s="30"/>
      <c r="I54" s="29"/>
      <c r="J54" s="32">
        <f t="shared" si="0"/>
      </c>
      <c r="K54" s="31"/>
    </row>
    <row r="55" spans="1:11" x14ac:dyDescent="0.25">
      <c r="A55" s="29"/>
      <c r="B55" s="37">
        <f>IF(A55="","",IFERROR(INDEX(Programação!$C$4:$C$503,MATCH($A55,os_numero,0)),"")&amp;"")</f>
      </c>
      <c r="C55" s="32">
        <f>IF(A55="","",IFERROR(INDEX(Programação!$E$4:$E$503,MATCH($A55,os_numero,0)),"")&amp;"")</f>
      </c>
      <c r="D55" s="49">
        <f>IF(A55="","",IFERROR(INDEX(Programação!$H$4:$H$503,MATCH($A55,os_numero,0)),""))</f>
      </c>
      <c r="E55" s="31"/>
      <c r="F55" s="31"/>
      <c r="G55" s="28"/>
      <c r="H55" s="30"/>
      <c r="I55" s="29"/>
      <c r="J55" s="32">
        <f t="shared" si="0"/>
      </c>
      <c r="K55" s="31"/>
    </row>
    <row r="56" spans="1:11" x14ac:dyDescent="0.25">
      <c r="A56" s="29"/>
      <c r="B56" s="37">
        <f>IF(A56="","",IFERROR(INDEX(Programação!$C$4:$C$503,MATCH($A56,os_numero,0)),"")&amp;"")</f>
      </c>
      <c r="C56" s="32">
        <f>IF(A56="","",IFERROR(INDEX(Programação!$E$4:$E$503,MATCH($A56,os_numero,0)),"")&amp;"")</f>
      </c>
      <c r="D56" s="49">
        <f>IF(A56="","",IFERROR(INDEX(Programação!$H$4:$H$503,MATCH($A56,os_numero,0)),""))</f>
      </c>
      <c r="E56" s="31"/>
      <c r="F56" s="31"/>
      <c r="G56" s="28"/>
      <c r="H56" s="30"/>
      <c r="I56" s="29"/>
      <c r="J56" s="32">
        <f t="shared" si="0"/>
      </c>
      <c r="K56" s="31"/>
    </row>
    <row r="57" spans="1:11" x14ac:dyDescent="0.25">
      <c r="A57" s="29"/>
      <c r="B57" s="37">
        <f>IF(A57="","",IFERROR(INDEX(Programação!$C$4:$C$503,MATCH($A57,os_numero,0)),"")&amp;"")</f>
      </c>
      <c r="C57" s="32">
        <f>IF(A57="","",IFERROR(INDEX(Programação!$E$4:$E$503,MATCH($A57,os_numero,0)),"")&amp;"")</f>
      </c>
      <c r="D57" s="49">
        <f>IF(A57="","",IFERROR(INDEX(Programação!$H$4:$H$503,MATCH($A57,os_numero,0)),""))</f>
      </c>
      <c r="E57" s="31"/>
      <c r="F57" s="31"/>
      <c r="G57" s="28"/>
      <c r="H57" s="30"/>
      <c r="I57" s="29"/>
      <c r="J57" s="32">
        <f t="shared" si="0"/>
      </c>
      <c r="K57" s="31"/>
    </row>
    <row r="58" spans="1:11" x14ac:dyDescent="0.25">
      <c r="A58" s="29"/>
      <c r="B58" s="37">
        <f>IF(A58="","",IFERROR(INDEX(Programação!$C$4:$C$503,MATCH($A58,os_numero,0)),"")&amp;"")</f>
      </c>
      <c r="C58" s="32">
        <f>IF(A58="","",IFERROR(INDEX(Programação!$E$4:$E$503,MATCH($A58,os_numero,0)),"")&amp;"")</f>
      </c>
      <c r="D58" s="49">
        <f>IF(A58="","",IFERROR(INDEX(Programação!$H$4:$H$503,MATCH($A58,os_numero,0)),""))</f>
      </c>
      <c r="E58" s="31"/>
      <c r="F58" s="31"/>
      <c r="G58" s="28"/>
      <c r="H58" s="30"/>
      <c r="I58" s="29"/>
      <c r="J58" s="32">
        <f t="shared" si="0"/>
      </c>
      <c r="K58" s="31"/>
    </row>
    <row r="59" spans="1:11" x14ac:dyDescent="0.25">
      <c r="A59" s="29"/>
      <c r="B59" s="37">
        <f>IF(A59="","",IFERROR(INDEX(Programação!$C$4:$C$503,MATCH($A59,os_numero,0)),"")&amp;"")</f>
      </c>
      <c r="C59" s="32">
        <f>IF(A59="","",IFERROR(INDEX(Programação!$E$4:$E$503,MATCH($A59,os_numero,0)),"")&amp;"")</f>
      </c>
      <c r="D59" s="49">
        <f>IF(A59="","",IFERROR(INDEX(Programação!$H$4:$H$503,MATCH($A59,os_numero,0)),""))</f>
      </c>
      <c r="E59" s="31"/>
      <c r="F59" s="31"/>
      <c r="G59" s="28"/>
      <c r="H59" s="30"/>
      <c r="I59" s="29"/>
      <c r="J59" s="32">
        <f t="shared" si="0"/>
      </c>
      <c r="K59" s="31"/>
    </row>
    <row r="60" spans="1:11" x14ac:dyDescent="0.25">
      <c r="A60" s="29"/>
      <c r="B60" s="37">
        <f>IF(A60="","",IFERROR(INDEX(Programação!$C$4:$C$503,MATCH($A60,os_numero,0)),"")&amp;"")</f>
      </c>
      <c r="C60" s="32">
        <f>IF(A60="","",IFERROR(INDEX(Programação!$E$4:$E$503,MATCH($A60,os_numero,0)),"")&amp;"")</f>
      </c>
      <c r="D60" s="49">
        <f>IF(A60="","",IFERROR(INDEX(Programação!$H$4:$H$503,MATCH($A60,os_numero,0)),""))</f>
      </c>
      <c r="E60" s="31"/>
      <c r="F60" s="31"/>
      <c r="G60" s="28"/>
      <c r="H60" s="30"/>
      <c r="I60" s="29"/>
      <c r="J60" s="32">
        <f t="shared" si="0"/>
      </c>
      <c r="K60" s="31"/>
    </row>
    <row r="61" spans="1:11" x14ac:dyDescent="0.25">
      <c r="A61" s="29"/>
      <c r="B61" s="37">
        <f>IF(A61="","",IFERROR(INDEX(Programação!$C$4:$C$503,MATCH($A61,os_numero,0)),"")&amp;"")</f>
      </c>
      <c r="C61" s="32">
        <f>IF(A61="","",IFERROR(INDEX(Programação!$E$4:$E$503,MATCH($A61,os_numero,0)),"")&amp;"")</f>
      </c>
      <c r="D61" s="49">
        <f>IF(A61="","",IFERROR(INDEX(Programação!$H$4:$H$503,MATCH($A61,os_numero,0)),""))</f>
      </c>
      <c r="E61" s="31"/>
      <c r="F61" s="31"/>
      <c r="G61" s="28"/>
      <c r="H61" s="30"/>
      <c r="I61" s="29"/>
      <c r="J61" s="32">
        <f t="shared" si="0"/>
      </c>
      <c r="K61" s="31"/>
    </row>
    <row r="62" spans="1:11" x14ac:dyDescent="0.25">
      <c r="A62" s="29"/>
      <c r="B62" s="37">
        <f>IF(A62="","",IFERROR(INDEX(Programação!$C$4:$C$503,MATCH($A62,os_numero,0)),"")&amp;"")</f>
      </c>
      <c r="C62" s="32">
        <f>IF(A62="","",IFERROR(INDEX(Programação!$E$4:$E$503,MATCH($A62,os_numero,0)),"")&amp;"")</f>
      </c>
      <c r="D62" s="49">
        <f>IF(A62="","",IFERROR(INDEX(Programação!$H$4:$H$503,MATCH($A62,os_numero,0)),""))</f>
      </c>
      <c r="E62" s="31"/>
      <c r="F62" s="31"/>
      <c r="G62" s="28"/>
      <c r="H62" s="30"/>
      <c r="I62" s="29"/>
      <c r="J62" s="32">
        <f t="shared" si="0"/>
      </c>
      <c r="K62" s="31"/>
    </row>
    <row r="63" spans="1:11" x14ac:dyDescent="0.25">
      <c r="A63" s="29"/>
      <c r="B63" s="37">
        <f>IF(A63="","",IFERROR(INDEX(Programação!$C$4:$C$503,MATCH($A63,os_numero,0)),"")&amp;"")</f>
      </c>
      <c r="C63" s="32">
        <f>IF(A63="","",IFERROR(INDEX(Programação!$E$4:$E$503,MATCH($A63,os_numero,0)),"")&amp;"")</f>
      </c>
      <c r="D63" s="49">
        <f>IF(A63="","",IFERROR(INDEX(Programação!$H$4:$H$503,MATCH($A63,os_numero,0)),""))</f>
      </c>
      <c r="E63" s="31"/>
      <c r="F63" s="31"/>
      <c r="G63" s="28"/>
      <c r="H63" s="30"/>
      <c r="I63" s="29"/>
      <c r="J63" s="32">
        <f t="shared" si="0"/>
      </c>
      <c r="K63" s="31"/>
    </row>
    <row r="64" spans="1:11" x14ac:dyDescent="0.25">
      <c r="A64" s="29"/>
      <c r="B64" s="37">
        <f>IF(A64="","",IFERROR(INDEX(Programação!$C$4:$C$503,MATCH($A64,os_numero,0)),"")&amp;"")</f>
      </c>
      <c r="C64" s="32">
        <f>IF(A64="","",IFERROR(INDEX(Programação!$E$4:$E$503,MATCH($A64,os_numero,0)),"")&amp;"")</f>
      </c>
      <c r="D64" s="49">
        <f>IF(A64="","",IFERROR(INDEX(Programação!$H$4:$H$503,MATCH($A64,os_numero,0)),""))</f>
      </c>
      <c r="E64" s="31"/>
      <c r="F64" s="31"/>
      <c r="G64" s="28"/>
      <c r="H64" s="30"/>
      <c r="I64" s="29"/>
      <c r="J64" s="32">
        <f t="shared" si="0"/>
      </c>
      <c r="K64" s="31"/>
    </row>
    <row r="65" spans="1:11" x14ac:dyDescent="0.25">
      <c r="A65" s="29"/>
      <c r="B65" s="37">
        <f>IF(A65="","",IFERROR(INDEX(Programação!$C$4:$C$503,MATCH($A65,os_numero,0)),"")&amp;"")</f>
      </c>
      <c r="C65" s="32">
        <f>IF(A65="","",IFERROR(INDEX(Programação!$E$4:$E$503,MATCH($A65,os_numero,0)),"")&amp;"")</f>
      </c>
      <c r="D65" s="49">
        <f>IF(A65="","",IFERROR(INDEX(Programação!$H$4:$H$503,MATCH($A65,os_numero,0)),""))</f>
      </c>
      <c r="E65" s="31"/>
      <c r="F65" s="31"/>
      <c r="G65" s="28"/>
      <c r="H65" s="30"/>
      <c r="I65" s="29"/>
      <c r="J65" s="32">
        <f t="shared" si="0"/>
      </c>
      <c r="K65" s="31"/>
    </row>
    <row r="66" spans="1:11" x14ac:dyDescent="0.25">
      <c r="A66" s="29"/>
      <c r="B66" s="37">
        <f>IF(A66="","",IFERROR(INDEX(Programação!$C$4:$C$503,MATCH($A66,os_numero,0)),"")&amp;"")</f>
      </c>
      <c r="C66" s="32">
        <f>IF(A66="","",IFERROR(INDEX(Programação!$E$4:$E$503,MATCH($A66,os_numero,0)),"")&amp;"")</f>
      </c>
      <c r="D66" s="49">
        <f>IF(A66="","",IFERROR(INDEX(Programação!$H$4:$H$503,MATCH($A66,os_numero,0)),""))</f>
      </c>
      <c r="E66" s="31"/>
      <c r="F66" s="31"/>
      <c r="G66" s="28"/>
      <c r="H66" s="30"/>
      <c r="I66" s="29"/>
      <c r="J66" s="32">
        <f t="shared" si="0"/>
      </c>
      <c r="K66" s="31"/>
    </row>
    <row r="67" spans="1:11" x14ac:dyDescent="0.25">
      <c r="A67" s="29"/>
      <c r="B67" s="37">
        <f>IF(A67="","",IFERROR(INDEX(Programação!$C$4:$C$503,MATCH($A67,os_numero,0)),"")&amp;"")</f>
      </c>
      <c r="C67" s="32">
        <f>IF(A67="","",IFERROR(INDEX(Programação!$E$4:$E$503,MATCH($A67,os_numero,0)),"")&amp;"")</f>
      </c>
      <c r="D67" s="49">
        <f>IF(A67="","",IFERROR(INDEX(Programação!$H$4:$H$503,MATCH($A67,os_numero,0)),""))</f>
      </c>
      <c r="E67" s="31"/>
      <c r="F67" s="31"/>
      <c r="G67" s="28"/>
      <c r="H67" s="30"/>
      <c r="I67" s="29"/>
      <c r="J67" s="32">
        <f t="shared" si="0"/>
      </c>
      <c r="K67" s="31"/>
    </row>
    <row r="68" spans="1:11" x14ac:dyDescent="0.25">
      <c r="A68" s="29"/>
      <c r="B68" s="37">
        <f>IF(A68="","",IFERROR(INDEX(Programação!$C$4:$C$503,MATCH($A68,os_numero,0)),"")&amp;"")</f>
      </c>
      <c r="C68" s="32">
        <f>IF(A68="","",IFERROR(INDEX(Programação!$E$4:$E$503,MATCH($A68,os_numero,0)),"")&amp;"")</f>
      </c>
      <c r="D68" s="49">
        <f>IF(A68="","",IFERROR(INDEX(Programação!$H$4:$H$503,MATCH($A68,os_numero,0)),""))</f>
      </c>
      <c r="E68" s="31"/>
      <c r="F68" s="31"/>
      <c r="G68" s="28"/>
      <c r="H68" s="30"/>
      <c r="I68" s="29"/>
      <c r="J68" s="32">
        <f t="shared" si="0"/>
      </c>
      <c r="K68" s="31"/>
    </row>
    <row r="69" spans="1:11" x14ac:dyDescent="0.25">
      <c r="A69" s="29"/>
      <c r="B69" s="37">
        <f>IF(A69="","",IFERROR(INDEX(Programação!$C$4:$C$503,MATCH($A69,os_numero,0)),"")&amp;"")</f>
      </c>
      <c r="C69" s="32">
        <f>IF(A69="","",IFERROR(INDEX(Programação!$E$4:$E$503,MATCH($A69,os_numero,0)),"")&amp;"")</f>
      </c>
      <c r="D69" s="49">
        <f>IF(A69="","",IFERROR(INDEX(Programação!$H$4:$H$503,MATCH($A69,os_numero,0)),""))</f>
      </c>
      <c r="E69" s="31"/>
      <c r="F69" s="31"/>
      <c r="G69" s="28"/>
      <c r="H69" s="30"/>
      <c r="I69" s="29"/>
      <c r="J69" s="32">
        <f t="shared" si="0"/>
      </c>
      <c r="K69" s="31"/>
    </row>
    <row r="70" spans="1:11" x14ac:dyDescent="0.25">
      <c r="A70" s="29"/>
      <c r="B70" s="37">
        <f>IF(A70="","",IFERROR(INDEX(Programação!$C$4:$C$503,MATCH($A70,os_numero,0)),"")&amp;"")</f>
      </c>
      <c r="C70" s="32">
        <f>IF(A70="","",IFERROR(INDEX(Programação!$E$4:$E$503,MATCH($A70,os_numero,0)),"")&amp;"")</f>
      </c>
      <c r="D70" s="49">
        <f>IF(A70="","",IFERROR(INDEX(Programação!$H$4:$H$503,MATCH($A70,os_numero,0)),""))</f>
      </c>
      <c r="E70" s="31"/>
      <c r="F70" s="31"/>
      <c r="G70" s="28"/>
      <c r="H70" s="30"/>
      <c r="I70" s="29"/>
      <c r="J70" s="32">
        <f t="shared" si="0"/>
      </c>
      <c r="K70" s="31"/>
    </row>
    <row r="71" spans="1:11" x14ac:dyDescent="0.25">
      <c r="A71" s="29"/>
      <c r="B71" s="37">
        <f>IF(A71="","",IFERROR(INDEX(Programação!$C$4:$C$503,MATCH($A71,os_numero,0)),"")&amp;"")</f>
      </c>
      <c r="C71" s="32">
        <f>IF(A71="","",IFERROR(INDEX(Programação!$E$4:$E$503,MATCH($A71,os_numero,0)),"")&amp;"")</f>
      </c>
      <c r="D71" s="49">
        <f>IF(A71="","",IFERROR(INDEX(Programação!$H$4:$H$503,MATCH($A71,os_numero,0)),""))</f>
      </c>
      <c r="E71" s="31"/>
      <c r="F71" s="31"/>
      <c r="G71" s="28"/>
      <c r="H71" s="30"/>
      <c r="I71" s="29"/>
      <c r="J71" s="32">
        <f t="shared" si="0"/>
      </c>
      <c r="K71" s="31"/>
    </row>
    <row r="72" spans="1:11" x14ac:dyDescent="0.25">
      <c r="A72" s="29"/>
      <c r="B72" s="37">
        <f>IF(A72="","",IFERROR(INDEX(Programação!$C$4:$C$503,MATCH($A72,os_numero,0)),"")&amp;"")</f>
      </c>
      <c r="C72" s="32">
        <f>IF(A72="","",IFERROR(INDEX(Programação!$E$4:$E$503,MATCH($A72,os_numero,0)),"")&amp;"")</f>
      </c>
      <c r="D72" s="49">
        <f>IF(A72="","",IFERROR(INDEX(Programação!$H$4:$H$503,MATCH($A72,os_numero,0)),""))</f>
      </c>
      <c r="E72" s="31"/>
      <c r="F72" s="31"/>
      <c r="G72" s="28"/>
      <c r="H72" s="30"/>
      <c r="I72" s="29"/>
      <c r="J72" s="32">
        <f t="shared" si="0"/>
      </c>
      <c r="K72" s="31"/>
    </row>
    <row r="73" spans="1:11" x14ac:dyDescent="0.25">
      <c r="A73" s="29"/>
      <c r="B73" s="37">
        <f>IF(A73="","",IFERROR(INDEX(Programação!$C$4:$C$503,MATCH($A73,os_numero,0)),"")&amp;"")</f>
      </c>
      <c r="C73" s="32">
        <f>IF(A73="","",IFERROR(INDEX(Programação!$E$4:$E$503,MATCH($A73,os_numero,0)),"")&amp;"")</f>
      </c>
      <c r="D73" s="49">
        <f>IF(A73="","",IFERROR(INDEX(Programação!$H$4:$H$503,MATCH($A73,os_numero,0)),""))</f>
      </c>
      <c r="E73" s="31"/>
      <c r="F73" s="31"/>
      <c r="G73" s="28"/>
      <c r="H73" s="30"/>
      <c r="I73" s="29"/>
      <c r="J73" s="32">
        <f t="shared" si="0"/>
      </c>
      <c r="K73" s="31"/>
    </row>
    <row r="74" spans="1:11" x14ac:dyDescent="0.25">
      <c r="A74" s="29"/>
      <c r="B74" s="37">
        <f>IF(A74="","",IFERROR(INDEX(Programação!$C$4:$C$503,MATCH($A74,os_numero,0)),"")&amp;"")</f>
      </c>
      <c r="C74" s="32">
        <f>IF(A74="","",IFERROR(INDEX(Programação!$E$4:$E$503,MATCH($A74,os_numero,0)),"")&amp;"")</f>
      </c>
      <c r="D74" s="49">
        <f>IF(A74="","",IFERROR(INDEX(Programação!$H$4:$H$503,MATCH($A74,os_numero,0)),""))</f>
      </c>
      <c r="E74" s="31"/>
      <c r="F74" s="31"/>
      <c r="G74" s="28"/>
      <c r="H74" s="30"/>
      <c r="I74" s="29"/>
      <c r="J74" s="32">
        <f t="shared" si="0"/>
      </c>
      <c r="K74" s="31"/>
    </row>
    <row r="75" spans="1:11" x14ac:dyDescent="0.25">
      <c r="A75" s="29"/>
      <c r="B75" s="37">
        <f>IF(A75="","",IFERROR(INDEX(Programação!$C$4:$C$503,MATCH($A75,os_numero,0)),"")&amp;"")</f>
      </c>
      <c r="C75" s="32">
        <f>IF(A75="","",IFERROR(INDEX(Programação!$E$4:$E$503,MATCH($A75,os_numero,0)),"")&amp;"")</f>
      </c>
      <c r="D75" s="49">
        <f>IF(A75="","",IFERROR(INDEX(Programação!$H$4:$H$503,MATCH($A75,os_numero,0)),""))</f>
      </c>
      <c r="E75" s="31"/>
      <c r="F75" s="31"/>
      <c r="G75" s="28"/>
      <c r="H75" s="30"/>
      <c r="I75" s="29"/>
      <c r="J75" s="32">
        <f t="shared" si="0"/>
      </c>
      <c r="K75" s="31"/>
    </row>
    <row r="76" spans="1:11" x14ac:dyDescent="0.25">
      <c r="A76" s="29"/>
      <c r="B76" s="37">
        <f>IF(A76="","",IFERROR(INDEX(Programação!$C$4:$C$503,MATCH($A76,os_numero,0)),"")&amp;"")</f>
      </c>
      <c r="C76" s="32">
        <f>IF(A76="","",IFERROR(INDEX(Programação!$E$4:$E$503,MATCH($A76,os_numero,0)),"")&amp;"")</f>
      </c>
      <c r="D76" s="49">
        <f>IF(A76="","",IFERROR(INDEX(Programação!$H$4:$H$503,MATCH($A76,os_numero,0)),""))</f>
      </c>
      <c r="E76" s="31"/>
      <c r="F76" s="31"/>
      <c r="G76" s="28"/>
      <c r="H76" s="30"/>
      <c r="I76" s="29"/>
      <c r="J76" s="32">
        <f t="shared" si="0"/>
      </c>
      <c r="K76" s="31"/>
    </row>
    <row r="77" spans="1:11" x14ac:dyDescent="0.25">
      <c r="A77" s="29"/>
      <c r="B77" s="37">
        <f>IF(A77="","",IFERROR(INDEX(Programação!$C$4:$C$503,MATCH($A77,os_numero,0)),"")&amp;"")</f>
      </c>
      <c r="C77" s="32">
        <f>IF(A77="","",IFERROR(INDEX(Programação!$E$4:$E$503,MATCH($A77,os_numero,0)),"")&amp;"")</f>
      </c>
      <c r="D77" s="49">
        <f>IF(A77="","",IFERROR(INDEX(Programação!$H$4:$H$503,MATCH($A77,os_numero,0)),""))</f>
      </c>
      <c r="E77" s="31"/>
      <c r="F77" s="31"/>
      <c r="G77" s="28"/>
      <c r="H77" s="30"/>
      <c r="I77" s="29"/>
      <c r="J77" s="32">
        <f t="shared" si="0"/>
      </c>
      <c r="K77" s="31"/>
    </row>
    <row r="78" spans="1:11" x14ac:dyDescent="0.25">
      <c r="A78" s="29"/>
      <c r="B78" s="37">
        <f>IF(A78="","",IFERROR(INDEX(Programação!$C$4:$C$503,MATCH($A78,os_numero,0)),"")&amp;"")</f>
      </c>
      <c r="C78" s="32">
        <f>IF(A78="","",IFERROR(INDEX(Programação!$E$4:$E$503,MATCH($A78,os_numero,0)),"")&amp;"")</f>
      </c>
      <c r="D78" s="49">
        <f>IF(A78="","",IFERROR(INDEX(Programação!$H$4:$H$503,MATCH($A78,os_numero,0)),""))</f>
      </c>
      <c r="E78" s="31"/>
      <c r="F78" s="31"/>
      <c r="G78" s="28"/>
      <c r="H78" s="30"/>
      <c r="I78" s="29"/>
      <c r="J78" s="32">
        <f t="shared" si="0"/>
      </c>
      <c r="K78" s="31"/>
    </row>
    <row r="79" spans="1:11" x14ac:dyDescent="0.25">
      <c r="A79" s="29"/>
      <c r="B79" s="37">
        <f>IF(A79="","",IFERROR(INDEX(Programação!$C$4:$C$503,MATCH($A79,os_numero,0)),"")&amp;"")</f>
      </c>
      <c r="C79" s="32">
        <f>IF(A79="","",IFERROR(INDEX(Programação!$E$4:$E$503,MATCH($A79,os_numero,0)),"")&amp;"")</f>
      </c>
      <c r="D79" s="49">
        <f>IF(A79="","",IFERROR(INDEX(Programação!$H$4:$H$503,MATCH($A79,os_numero,0)),""))</f>
      </c>
      <c r="E79" s="31"/>
      <c r="F79" s="31"/>
      <c r="G79" s="28"/>
      <c r="H79" s="30"/>
      <c r="I79" s="29"/>
      <c r="J79" s="32">
        <f t="shared" si="0"/>
      </c>
      <c r="K79" s="31"/>
    </row>
    <row r="80" spans="1:11" x14ac:dyDescent="0.25">
      <c r="A80" s="29"/>
      <c r="B80" s="37">
        <f>IF(A80="","",IFERROR(INDEX(Programação!$C$4:$C$503,MATCH($A80,os_numero,0)),"")&amp;"")</f>
      </c>
      <c r="C80" s="32">
        <f>IF(A80="","",IFERROR(INDEX(Programação!$E$4:$E$503,MATCH($A80,os_numero,0)),"")&amp;"")</f>
      </c>
      <c r="D80" s="49">
        <f>IF(A80="","",IFERROR(INDEX(Programação!$H$4:$H$503,MATCH($A80,os_numero,0)),""))</f>
      </c>
      <c r="E80" s="31"/>
      <c r="F80" s="31"/>
      <c r="G80" s="28"/>
      <c r="H80" s="30"/>
      <c r="I80" s="29"/>
      <c r="J80" s="32">
        <f t="shared" si="0"/>
      </c>
      <c r="K80" s="31"/>
    </row>
    <row r="81" spans="1:11" x14ac:dyDescent="0.25">
      <c r="A81" s="29"/>
      <c r="B81" s="37">
        <f>IF(A81="","",IFERROR(INDEX(Programação!$C$4:$C$503,MATCH($A81,os_numero,0)),"")&amp;"")</f>
      </c>
      <c r="C81" s="32">
        <f>IF(A81="","",IFERROR(INDEX(Programação!$E$4:$E$503,MATCH($A81,os_numero,0)),"")&amp;"")</f>
      </c>
      <c r="D81" s="49">
        <f>IF(A81="","",IFERROR(INDEX(Programação!$H$4:$H$503,MATCH($A81,os_numero,0)),""))</f>
      </c>
      <c r="E81" s="31"/>
      <c r="F81" s="31"/>
      <c r="G81" s="28"/>
      <c r="H81" s="30"/>
      <c r="I81" s="29"/>
      <c r="J81" s="32">
        <f t="shared" si="0"/>
      </c>
      <c r="K81" s="31"/>
    </row>
    <row r="82" spans="1:11" x14ac:dyDescent="0.25">
      <c r="A82" s="29"/>
      <c r="B82" s="37">
        <f>IF(A82="","",IFERROR(INDEX(Programação!$C$4:$C$503,MATCH($A82,os_numero,0)),"")&amp;"")</f>
      </c>
      <c r="C82" s="32">
        <f>IF(A82="","",IFERROR(INDEX(Programação!$E$4:$E$503,MATCH($A82,os_numero,0)),"")&amp;"")</f>
      </c>
      <c r="D82" s="49">
        <f>IF(A82="","",IFERROR(INDEX(Programação!$H$4:$H$503,MATCH($A82,os_numero,0)),""))</f>
      </c>
      <c r="E82" s="31"/>
      <c r="F82" s="31"/>
      <c r="G82" s="28"/>
      <c r="H82" s="30"/>
      <c r="I82" s="29"/>
      <c r="J82" s="32">
        <f t="shared" si="0"/>
      </c>
      <c r="K82" s="31"/>
    </row>
    <row r="83" spans="1:11" x14ac:dyDescent="0.25">
      <c r="A83" s="29"/>
      <c r="B83" s="37">
        <f>IF(A83="","",IFERROR(INDEX(Programação!$C$4:$C$503,MATCH($A83,os_numero,0)),"")&amp;"")</f>
      </c>
      <c r="C83" s="32">
        <f>IF(A83="","",IFERROR(INDEX(Programação!$E$4:$E$503,MATCH($A83,os_numero,0)),"")&amp;"")</f>
      </c>
      <c r="D83" s="49">
        <f>IF(A83="","",IFERROR(INDEX(Programação!$H$4:$H$503,MATCH($A83,os_numero,0)),""))</f>
      </c>
      <c r="E83" s="31"/>
      <c r="F83" s="31"/>
      <c r="G83" s="28"/>
      <c r="H83" s="30"/>
      <c r="I83" s="29"/>
      <c r="J83" s="32">
        <f t="shared" si="0"/>
      </c>
      <c r="K83" s="31"/>
    </row>
    <row r="84" spans="1:11" x14ac:dyDescent="0.25">
      <c r="A84" s="29"/>
      <c r="B84" s="37">
        <f>IF(A84="","",IFERROR(INDEX(Programação!$C$4:$C$503,MATCH($A84,os_numero,0)),"")&amp;"")</f>
      </c>
      <c r="C84" s="32">
        <f>IF(A84="","",IFERROR(INDEX(Programação!$E$4:$E$503,MATCH($A84,os_numero,0)),"")&amp;"")</f>
      </c>
      <c r="D84" s="49">
        <f>IF(A84="","",IFERROR(INDEX(Programação!$H$4:$H$503,MATCH($A84,os_numero,0)),""))</f>
      </c>
      <c r="E84" s="31"/>
      <c r="F84" s="31"/>
      <c r="G84" s="28"/>
      <c r="H84" s="30"/>
      <c r="I84" s="29"/>
      <c r="J84" s="32">
        <f t="shared" si="0"/>
      </c>
      <c r="K84" s="31"/>
    </row>
    <row r="85" spans="1:11" x14ac:dyDescent="0.25">
      <c r="A85" s="29"/>
      <c r="B85" s="37">
        <f>IF(A85="","",IFERROR(INDEX(Programação!$C$4:$C$503,MATCH($A85,os_numero,0)),"")&amp;"")</f>
      </c>
      <c r="C85" s="32">
        <f>IF(A85="","",IFERROR(INDEX(Programação!$E$4:$E$503,MATCH($A85,os_numero,0)),"")&amp;"")</f>
      </c>
      <c r="D85" s="49">
        <f>IF(A85="","",IFERROR(INDEX(Programação!$H$4:$H$503,MATCH($A85,os_numero,0)),""))</f>
      </c>
      <c r="E85" s="31"/>
      <c r="F85" s="31"/>
      <c r="G85" s="28"/>
      <c r="H85" s="30"/>
      <c r="I85" s="29"/>
      <c r="J85" s="32">
        <f t="shared" si="0"/>
      </c>
      <c r="K85" s="31"/>
    </row>
    <row r="86" spans="1:11" x14ac:dyDescent="0.25">
      <c r="A86" s="29"/>
      <c r="B86" s="37">
        <f>IF(A86="","",IFERROR(INDEX(Programação!$C$4:$C$503,MATCH($A86,os_numero,0)),"")&amp;"")</f>
      </c>
      <c r="C86" s="32">
        <f>IF(A86="","",IFERROR(INDEX(Programação!$E$4:$E$503,MATCH($A86,os_numero,0)),"")&amp;"")</f>
      </c>
      <c r="D86" s="49">
        <f>IF(A86="","",IFERROR(INDEX(Programação!$H$4:$H$503,MATCH($A86,os_numero,0)),""))</f>
      </c>
      <c r="E86" s="31"/>
      <c r="F86" s="31"/>
      <c r="G86" s="28"/>
      <c r="H86" s="30"/>
      <c r="I86" s="29"/>
      <c r="J86" s="32">
        <f t="shared" si="0"/>
      </c>
      <c r="K86" s="31"/>
    </row>
    <row r="87" spans="1:11" x14ac:dyDescent="0.25">
      <c r="A87" s="29"/>
      <c r="B87" s="37">
        <f>IF(A87="","",IFERROR(INDEX(Programação!$C$4:$C$503,MATCH($A87,os_numero,0)),"")&amp;"")</f>
      </c>
      <c r="C87" s="32">
        <f>IF(A87="","",IFERROR(INDEX(Programação!$E$4:$E$503,MATCH($A87,os_numero,0)),"")&amp;"")</f>
      </c>
      <c r="D87" s="49">
        <f>IF(A87="","",IFERROR(INDEX(Programação!$H$4:$H$503,MATCH($A87,os_numero,0)),""))</f>
      </c>
      <c r="E87" s="31"/>
      <c r="F87" s="31"/>
      <c r="G87" s="28"/>
      <c r="H87" s="30"/>
      <c r="I87" s="29"/>
      <c r="J87" s="32">
        <f t="shared" si="0"/>
      </c>
      <c r="K87" s="31"/>
    </row>
    <row r="88" spans="1:11" x14ac:dyDescent="0.25">
      <c r="A88" s="29"/>
      <c r="B88" s="37">
        <f>IF(A88="","",IFERROR(INDEX(Programação!$C$4:$C$503,MATCH($A88,os_numero,0)),"")&amp;"")</f>
      </c>
      <c r="C88" s="32">
        <f>IF(A88="","",IFERROR(INDEX(Programação!$E$4:$E$503,MATCH($A88,os_numero,0)),"")&amp;"")</f>
      </c>
      <c r="D88" s="49">
        <f>IF(A88="","",IFERROR(INDEX(Programação!$H$4:$H$503,MATCH($A88,os_numero,0)),""))</f>
      </c>
      <c r="E88" s="31"/>
      <c r="F88" s="31"/>
      <c r="G88" s="28"/>
      <c r="H88" s="30"/>
      <c r="I88" s="29"/>
      <c r="J88" s="32">
        <f t="shared" si="0"/>
      </c>
      <c r="K88" s="31"/>
    </row>
    <row r="89" spans="1:11" x14ac:dyDescent="0.25">
      <c r="A89" s="29"/>
      <c r="B89" s="37">
        <f>IF(A89="","",IFERROR(INDEX(Programação!$C$4:$C$503,MATCH($A89,os_numero,0)),"")&amp;"")</f>
      </c>
      <c r="C89" s="32">
        <f>IF(A89="","",IFERROR(INDEX(Programação!$E$4:$E$503,MATCH($A89,os_numero,0)),"")&amp;"")</f>
      </c>
      <c r="D89" s="49">
        <f>IF(A89="","",IFERROR(INDEX(Programação!$H$4:$H$503,MATCH($A89,os_numero,0)),""))</f>
      </c>
      <c r="E89" s="31"/>
      <c r="F89" s="31"/>
      <c r="G89" s="28"/>
      <c r="H89" s="30"/>
      <c r="I89" s="29"/>
      <c r="J89" s="32">
        <f t="shared" si="0"/>
      </c>
      <c r="K89" s="31"/>
    </row>
    <row r="90" spans="1:11" x14ac:dyDescent="0.25">
      <c r="A90" s="29"/>
      <c r="B90" s="37">
        <f>IF(A90="","",IFERROR(INDEX(Programação!$C$4:$C$503,MATCH($A90,os_numero,0)),"")&amp;"")</f>
      </c>
      <c r="C90" s="32">
        <f>IF(A90="","",IFERROR(INDEX(Programação!$E$4:$E$503,MATCH($A90,os_numero,0)),"")&amp;"")</f>
      </c>
      <c r="D90" s="49">
        <f>IF(A90="","",IFERROR(INDEX(Programação!$H$4:$H$503,MATCH($A90,os_numero,0)),""))</f>
      </c>
      <c r="E90" s="31"/>
      <c r="F90" s="31"/>
      <c r="G90" s="28"/>
      <c r="H90" s="30"/>
      <c r="I90" s="29"/>
      <c r="J90" s="32">
        <f t="shared" si="0"/>
      </c>
      <c r="K90" s="31"/>
    </row>
    <row r="91" spans="1:11" x14ac:dyDescent="0.25">
      <c r="A91" s="29"/>
      <c r="B91" s="37">
        <f>IF(A91="","",IFERROR(INDEX(Programação!$C$4:$C$503,MATCH($A91,os_numero,0)),"")&amp;"")</f>
      </c>
      <c r="C91" s="32">
        <f>IF(A91="","",IFERROR(INDEX(Programação!$E$4:$E$503,MATCH($A91,os_numero,0)),"")&amp;"")</f>
      </c>
      <c r="D91" s="49">
        <f>IF(A91="","",IFERROR(INDEX(Programação!$H$4:$H$503,MATCH($A91,os_numero,0)),""))</f>
      </c>
      <c r="E91" s="31"/>
      <c r="F91" s="31"/>
      <c r="G91" s="28"/>
      <c r="H91" s="30"/>
      <c r="I91" s="29"/>
      <c r="J91" s="32">
        <f t="shared" si="0"/>
      </c>
      <c r="K91" s="31"/>
    </row>
    <row r="92" spans="1:11" x14ac:dyDescent="0.25">
      <c r="A92" s="29"/>
      <c r="B92" s="37">
        <f>IF(A92="","",IFERROR(INDEX(Programação!$C$4:$C$503,MATCH($A92,os_numero,0)),"")&amp;"")</f>
      </c>
      <c r="C92" s="32">
        <f>IF(A92="","",IFERROR(INDEX(Programação!$E$4:$E$503,MATCH($A92,os_numero,0)),"")&amp;"")</f>
      </c>
      <c r="D92" s="49">
        <f>IF(A92="","",IFERROR(INDEX(Programação!$H$4:$H$503,MATCH($A92,os_numero,0)),""))</f>
      </c>
      <c r="E92" s="31"/>
      <c r="F92" s="31"/>
      <c r="G92" s="28"/>
      <c r="H92" s="30"/>
      <c r="I92" s="29"/>
      <c r="J92" s="32">
        <f t="shared" si="0"/>
      </c>
      <c r="K92" s="31"/>
    </row>
    <row r="93" spans="1:11" x14ac:dyDescent="0.25">
      <c r="A93" s="29"/>
      <c r="B93" s="37">
        <f>IF(A93="","",IFERROR(INDEX(Programação!$C$4:$C$503,MATCH($A93,os_numero,0)),"")&amp;"")</f>
      </c>
      <c r="C93" s="32">
        <f>IF(A93="","",IFERROR(INDEX(Programação!$E$4:$E$503,MATCH($A93,os_numero,0)),"")&amp;"")</f>
      </c>
      <c r="D93" s="49">
        <f>IF(A93="","",IFERROR(INDEX(Programação!$H$4:$H$503,MATCH($A93,os_numero,0)),""))</f>
      </c>
      <c r="E93" s="31"/>
      <c r="F93" s="31"/>
      <c r="G93" s="28"/>
      <c r="H93" s="30"/>
      <c r="I93" s="29"/>
      <c r="J93" s="32">
        <f t="shared" si="0"/>
      </c>
      <c r="K93" s="31"/>
    </row>
    <row r="94" spans="1:11" x14ac:dyDescent="0.25">
      <c r="A94" s="29"/>
      <c r="B94" s="37">
        <f>IF(A94="","",IFERROR(INDEX(Programação!$C$4:$C$503,MATCH($A94,os_numero,0)),"")&amp;"")</f>
      </c>
      <c r="C94" s="32">
        <f>IF(A94="","",IFERROR(INDEX(Programação!$E$4:$E$503,MATCH($A94,os_numero,0)),"")&amp;"")</f>
      </c>
      <c r="D94" s="49">
        <f>IF(A94="","",IFERROR(INDEX(Programação!$H$4:$H$503,MATCH($A94,os_numero,0)),""))</f>
      </c>
      <c r="E94" s="31"/>
      <c r="F94" s="31"/>
      <c r="G94" s="28"/>
      <c r="H94" s="30"/>
      <c r="I94" s="29"/>
      <c r="J94" s="32">
        <f t="shared" si="0"/>
      </c>
      <c r="K94" s="31"/>
    </row>
    <row r="95" spans="1:11" x14ac:dyDescent="0.25">
      <c r="A95" s="29"/>
      <c r="B95" s="37">
        <f>IF(A95="","",IFERROR(INDEX(Programação!$C$4:$C$503,MATCH($A95,os_numero,0)),"")&amp;"")</f>
      </c>
      <c r="C95" s="32">
        <f>IF(A95="","",IFERROR(INDEX(Programação!$E$4:$E$503,MATCH($A95,os_numero,0)),"")&amp;"")</f>
      </c>
      <c r="D95" s="49">
        <f>IF(A95="","",IFERROR(INDEX(Programação!$H$4:$H$503,MATCH($A95,os_numero,0)),""))</f>
      </c>
      <c r="E95" s="31"/>
      <c r="F95" s="31"/>
      <c r="G95" s="28"/>
      <c r="H95" s="30"/>
      <c r="I95" s="29"/>
      <c r="J95" s="32">
        <f t="shared" si="0"/>
      </c>
      <c r="K95" s="31"/>
    </row>
    <row r="96" spans="1:11" x14ac:dyDescent="0.25">
      <c r="A96" s="29"/>
      <c r="B96" s="37">
        <f>IF(A96="","",IFERROR(INDEX(Programação!$C$4:$C$503,MATCH($A96,os_numero,0)),"")&amp;"")</f>
      </c>
      <c r="C96" s="32">
        <f>IF(A96="","",IFERROR(INDEX(Programação!$E$4:$E$503,MATCH($A96,os_numero,0)),"")&amp;"")</f>
      </c>
      <c r="D96" s="49">
        <f>IF(A96="","",IFERROR(INDEX(Programação!$H$4:$H$503,MATCH($A96,os_numero,0)),""))</f>
      </c>
      <c r="E96" s="31"/>
      <c r="F96" s="31"/>
      <c r="G96" s="28"/>
      <c r="H96" s="30"/>
      <c r="I96" s="29"/>
      <c r="J96" s="32">
        <f t="shared" si="0"/>
      </c>
      <c r="K96" s="31"/>
    </row>
    <row r="97" spans="1:11" x14ac:dyDescent="0.25">
      <c r="A97" s="29"/>
      <c r="B97" s="37">
        <f>IF(A97="","",IFERROR(INDEX(Programação!$C$4:$C$503,MATCH($A97,os_numero,0)),"")&amp;"")</f>
      </c>
      <c r="C97" s="32">
        <f>IF(A97="","",IFERROR(INDEX(Programação!$E$4:$E$503,MATCH($A97,os_numero,0)),"")&amp;"")</f>
      </c>
      <c r="D97" s="49">
        <f>IF(A97="","",IFERROR(INDEX(Programação!$H$4:$H$503,MATCH($A97,os_numero,0)),""))</f>
      </c>
      <c r="E97" s="31"/>
      <c r="F97" s="31"/>
      <c r="G97" s="28"/>
      <c r="H97" s="30"/>
      <c r="I97" s="29"/>
      <c r="J97" s="32">
        <f t="shared" si="0"/>
      </c>
      <c r="K97" s="31"/>
    </row>
    <row r="98" spans="1:11" x14ac:dyDescent="0.25">
      <c r="A98" s="29"/>
      <c r="B98" s="37">
        <f>IF(A98="","",IFERROR(INDEX(Programação!$C$4:$C$503,MATCH($A98,os_numero,0)),"")&amp;"")</f>
      </c>
      <c r="C98" s="32">
        <f>IF(A98="","",IFERROR(INDEX(Programação!$E$4:$E$503,MATCH($A98,os_numero,0)),"")&amp;"")</f>
      </c>
      <c r="D98" s="49">
        <f>IF(A98="","",IFERROR(INDEX(Programação!$H$4:$H$503,MATCH($A98,os_numero,0)),""))</f>
      </c>
      <c r="E98" s="31"/>
      <c r="F98" s="31"/>
      <c r="G98" s="28"/>
      <c r="H98" s="30"/>
      <c r="I98" s="29"/>
      <c r="J98" s="32">
        <f t="shared" si="0"/>
      </c>
      <c r="K98" s="31"/>
    </row>
    <row r="99" spans="1:11" x14ac:dyDescent="0.25">
      <c r="A99" s="29"/>
      <c r="B99" s="37">
        <f>IF(A99="","",IFERROR(INDEX(Programação!$C$4:$C$503,MATCH($A99,os_numero,0)),"")&amp;"")</f>
      </c>
      <c r="C99" s="32">
        <f>IF(A99="","",IFERROR(INDEX(Programação!$E$4:$E$503,MATCH($A99,os_numero,0)),"")&amp;"")</f>
      </c>
      <c r="D99" s="49">
        <f>IF(A99="","",IFERROR(INDEX(Programação!$H$4:$H$503,MATCH($A99,os_numero,0)),""))</f>
      </c>
      <c r="E99" s="31"/>
      <c r="F99" s="31"/>
      <c r="G99" s="28"/>
      <c r="H99" s="30"/>
      <c r="I99" s="29"/>
      <c r="J99" s="32">
        <f t="shared" si="0"/>
      </c>
      <c r="K99" s="31"/>
    </row>
    <row r="100" spans="1:11" x14ac:dyDescent="0.25">
      <c r="A100" s="29"/>
      <c r="B100" s="37">
        <f>IF(A100="","",IFERROR(INDEX(Programação!$C$4:$C$503,MATCH($A100,os_numero,0)),"")&amp;"")</f>
      </c>
      <c r="C100" s="32">
        <f>IF(A100="","",IFERROR(INDEX(Programação!$E$4:$E$503,MATCH($A100,os_numero,0)),"")&amp;"")</f>
      </c>
      <c r="D100" s="49">
        <f>IF(A100="","",IFERROR(INDEX(Programação!$H$4:$H$503,MATCH($A100,os_numero,0)),""))</f>
      </c>
      <c r="E100" s="31"/>
      <c r="F100" s="31"/>
      <c r="G100" s="28"/>
      <c r="H100" s="30"/>
      <c r="I100" s="29"/>
      <c r="J100" s="32">
        <f t="shared" si="0"/>
      </c>
      <c r="K100" s="31"/>
    </row>
    <row r="101" spans="1:11" x14ac:dyDescent="0.25">
      <c r="A101" s="29"/>
      <c r="B101" s="37">
        <f>IF(A101="","",IFERROR(INDEX(Programação!$C$4:$C$503,MATCH($A101,os_numero,0)),"")&amp;"")</f>
      </c>
      <c r="C101" s="32">
        <f>IF(A101="","",IFERROR(INDEX(Programação!$E$4:$E$503,MATCH($A101,os_numero,0)),"")&amp;"")</f>
      </c>
      <c r="D101" s="49">
        <f>IF(A101="","",IFERROR(INDEX(Programação!$H$4:$H$503,MATCH($A101,os_numero,0)),""))</f>
      </c>
      <c r="E101" s="31"/>
      <c r="F101" s="31"/>
      <c r="G101" s="28"/>
      <c r="H101" s="30"/>
      <c r="I101" s="29"/>
      <c r="J101" s="32">
        <f t="shared" si="0"/>
      </c>
      <c r="K101" s="31"/>
    </row>
    <row r="102" spans="1:11" x14ac:dyDescent="0.25">
      <c r="A102" s="29"/>
      <c r="B102" s="37">
        <f>IF(A102="","",IFERROR(INDEX(Programação!$C$4:$C$503,MATCH($A102,os_numero,0)),"")&amp;"")</f>
      </c>
      <c r="C102" s="32">
        <f>IF(A102="","",IFERROR(INDEX(Programação!$E$4:$E$503,MATCH($A102,os_numero,0)),"")&amp;"")</f>
      </c>
      <c r="D102" s="49">
        <f>IF(A102="","",IFERROR(INDEX(Programação!$H$4:$H$503,MATCH($A102,os_numero,0)),""))</f>
      </c>
      <c r="E102" s="31"/>
      <c r="F102" s="31"/>
      <c r="G102" s="28"/>
      <c r="H102" s="30"/>
      <c r="I102" s="29"/>
      <c r="J102" s="32">
        <f t="shared" si="0"/>
      </c>
      <c r="K102" s="31"/>
    </row>
    <row r="103" spans="1:11" x14ac:dyDescent="0.25">
      <c r="A103" s="29"/>
      <c r="B103" s="37">
        <f>IF(A103="","",IFERROR(INDEX(Programação!$C$4:$C$503,MATCH($A103,os_numero,0)),"")&amp;"")</f>
      </c>
      <c r="C103" s="32">
        <f>IF(A103="","",IFERROR(INDEX(Programação!$E$4:$E$503,MATCH($A103,os_numero,0)),"")&amp;"")</f>
      </c>
      <c r="D103" s="49">
        <f>IF(A103="","",IFERROR(INDEX(Programação!$H$4:$H$503,MATCH($A103,os_numero,0)),""))</f>
      </c>
      <c r="E103" s="31"/>
      <c r="F103" s="31"/>
      <c r="G103" s="28"/>
      <c r="H103" s="30"/>
      <c r="I103" s="29"/>
      <c r="J103" s="32">
        <f t="shared" si="0"/>
      </c>
      <c r="K103" s="31"/>
    </row>
  </sheetData>
  <sheetProtection sheet="1" formatColumns="0" formatRows="0" autoFilter="0"/>
  <autoFilter ref="A3:K103"/>
  <mergeCells count="2">
    <mergeCell ref="A1:B2"/>
    <mergeCell ref="C1:J2"/>
  </mergeCells>
  <conditionalFormatting sqref="I4:I103">
    <cfRule type="expression" dxfId="57" priority="10">
      <formula>I4="Sim"</formula>
    </cfRule>
    <cfRule type="expression" dxfId="58" priority="11">
      <formula>I4="Não"</formula>
    </cfRule>
  </conditionalFormatting>
  <conditionalFormatting sqref="J4:J103">
    <cfRule type="expression" dxfId="59" priority="1">
      <formula>OR(LEFT(J4,4)="ERRO",LEFT(J4,7)="ATENÇÃO")</formula>
    </cfRule>
    <cfRule type="expression" dxfId="60" priority="2">
      <formula>OR(LEFT(J4,8)="Pendente",LEFT(J4,9)="Verificar",LEFT(J4,9)="Duplicada",LEFT(J4,7)="Tarefa ",LEFT(J4,13)="Fora do plano",LEFT(J4,8)="Previsão",LEFT(J4,11)="Sem vínculo",LEFT(J4,14)="Não verificado",LEFT(J4,7)="Informe",LEFT(J4,9)="A definir")</formula>
    </cfRule>
    <cfRule type="expression" dxfId="61" priority="3">
      <formula>OR(J4="OK",LEFT(J4,4)="Nada",LEFT(J4,3)="OK:")</formula>
    </cfRule>
  </conditionalFormatting>
  <dataValidations count="3">
    <dataValidation type="list" allowBlank="1" showErrorMessage="1" errorStyle="stop" errorTitle="Valor fora da lista" error="Escolha uma OS da aba Programação." sqref="A4:A103">
      <formula1>OFFSET(os_numero,0,0,MAX(1,COUNTA(os_numero)),1)</formula1>
    </dataValidation>
    <dataValidation type="date" allowBlank="1" showErrorMessage="1" errorStyle="stop" errorTitle="Data inválida" error="Digite uma data válida no formato dd/mm/aaaa." sqref="H4:H103">
      <formula1>32874</formula1>
      <formula2>73050</formula2>
    </dataValidation>
    <dataValidation type="list" allowBlank="1" showErrorMessage="1" errorStyle="stop" errorTitle="Valor fora da lista" error="Escolha um item da lista suspensa (aba Listas)." sqref="I4:I103">
      <formula1>"Sim,Não"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1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24" customWidth="1"/>
    <col min="2" max="3" width="14" customWidth="1"/>
    <col min="4" max="4" width="22" customWidth="1"/>
    <col min="5" max="5" width="12" customWidth="1"/>
    <col min="7" max="7" width="12" customWidth="1"/>
    <col min="8" max="8" width="18" customWidth="1"/>
    <col min="9" max="9" width="30" customWidth="1"/>
  </cols>
  <sheetData>
    <row r="1" ht="36" customHeight="1" spans="1:9" x14ac:dyDescent="0.25">
      <c r="A1" s="1"/>
      <c r="B1" s="1"/>
      <c r="C1" s="2" t="s">
        <v>200</v>
      </c>
      <c r="D1" s="2"/>
      <c r="E1" s="2"/>
      <c r="F1" s="2"/>
      <c r="G1" s="2"/>
      <c r="H1" s="2"/>
      <c r="I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9" x14ac:dyDescent="0.25">
      <c r="A2" s="1"/>
      <c r="B2" s="1"/>
      <c r="C2" s="2"/>
      <c r="D2" s="2"/>
      <c r="E2" s="2"/>
      <c r="F2" s="2"/>
      <c r="G2" s="2"/>
      <c r="H2" s="2"/>
      <c r="I2" s="4">
        <f>"Elaborado: "&amp;IF(cfg_elaborado="","A definir",cfg_elaborado)&amp;CHAR(10)&amp;"Aprovado: "&amp;IF(cfg_aprovado="","A definir",cfg_aprovado)</f>
      </c>
    </row>
    <row r="3" ht="8" customHeight="1" x14ac:dyDescent="0.25"/>
    <row r="4" ht="20" customHeight="1" spans="1:9" x14ac:dyDescent="0.25">
      <c r="A4" s="5" t="s">
        <v>201</v>
      </c>
      <c r="B4" s="5"/>
      <c r="C4" s="5"/>
      <c r="D4" s="5"/>
      <c r="E4" s="5"/>
      <c r="F4" s="5"/>
      <c r="G4" s="5"/>
      <c r="H4" s="5"/>
      <c r="I4" s="5"/>
    </row>
    <row r="5" ht="22" customHeight="1" spans="1:9" x14ac:dyDescent="0.25">
      <c r="A5" s="8" t="s">
        <v>202</v>
      </c>
      <c r="B5" s="8" t="s">
        <v>203</v>
      </c>
      <c r="C5" s="8" t="s">
        <v>204</v>
      </c>
      <c r="D5" s="8" t="s">
        <v>205</v>
      </c>
      <c r="E5" s="8"/>
      <c r="F5" s="8" t="s">
        <v>107</v>
      </c>
      <c r="G5" s="8"/>
      <c r="H5" s="8"/>
      <c r="I5" s="8"/>
    </row>
    <row r="6" spans="1:9" x14ac:dyDescent="0.25">
      <c r="A6" s="28"/>
      <c r="B6" s="29"/>
      <c r="C6" s="29"/>
      <c r="D6" s="28"/>
      <c r="E6" s="28"/>
      <c r="F6" s="24">
        <f>IF(A6="","",IF(COUNTIF(eq_nome,A6)&gt;1,"ERRO: nome repetido",IF(B6="","Pendente: turno","OK")))</f>
      </c>
      <c r="G6" s="24"/>
      <c r="H6" s="24"/>
      <c r="I6" s="24"/>
    </row>
    <row r="7" spans="1:9" x14ac:dyDescent="0.25">
      <c r="A7" s="28"/>
      <c r="B7" s="29"/>
      <c r="C7" s="29"/>
      <c r="D7" s="28"/>
      <c r="E7" s="28"/>
      <c r="F7" s="24">
        <f>IF(A7="","",IF(COUNTIF(eq_nome,A7)&gt;1,"ERRO: nome repetido",IF(B7="","Pendente: turno","OK")))</f>
      </c>
      <c r="G7" s="24"/>
      <c r="H7" s="24"/>
      <c r="I7" s="24"/>
    </row>
    <row r="8" spans="1:9" x14ac:dyDescent="0.25">
      <c r="A8" s="28"/>
      <c r="B8" s="29"/>
      <c r="C8" s="29"/>
      <c r="D8" s="28"/>
      <c r="E8" s="28"/>
      <c r="F8" s="24">
        <f>IF(A8="","",IF(COUNTIF(eq_nome,A8)&gt;1,"ERRO: nome repetido",IF(B8="","Pendente: turno","OK")))</f>
      </c>
      <c r="G8" s="24"/>
      <c r="H8" s="24"/>
      <c r="I8" s="24"/>
    </row>
    <row r="9" spans="1:9" x14ac:dyDescent="0.25">
      <c r="A9" s="28"/>
      <c r="B9" s="29"/>
      <c r="C9" s="29"/>
      <c r="D9" s="28"/>
      <c r="E9" s="28"/>
      <c r="F9" s="24">
        <f>IF(A9="","",IF(COUNTIF(eq_nome,A9)&gt;1,"ERRO: nome repetido",IF(B9="","Pendente: turno","OK")))</f>
      </c>
      <c r="G9" s="24"/>
      <c r="H9" s="24"/>
      <c r="I9" s="24"/>
    </row>
    <row r="10" spans="1:9" x14ac:dyDescent="0.25">
      <c r="A10" s="28"/>
      <c r="B10" s="29"/>
      <c r="C10" s="29"/>
      <c r="D10" s="28"/>
      <c r="E10" s="28"/>
      <c r="F10" s="24">
        <f>IF(A10="","",IF(COUNTIF(eq_nome,A10)&gt;1,"ERRO: nome repetido",IF(B10="","Pendente: turno","OK")))</f>
      </c>
      <c r="G10" s="24"/>
      <c r="H10" s="24"/>
      <c r="I10" s="24"/>
    </row>
    <row r="11" spans="1:9" x14ac:dyDescent="0.25">
      <c r="A11" s="28"/>
      <c r="B11" s="29"/>
      <c r="C11" s="29"/>
      <c r="D11" s="28"/>
      <c r="E11" s="28"/>
      <c r="F11" s="24">
        <f>IF(A11="","",IF(COUNTIF(eq_nome,A11)&gt;1,"ERRO: nome repetido",IF(B11="","Pendente: turno","OK")))</f>
      </c>
      <c r="G11" s="24"/>
      <c r="H11" s="24"/>
      <c r="I11" s="24"/>
    </row>
    <row r="12" spans="1:9" x14ac:dyDescent="0.25">
      <c r="A12" s="28"/>
      <c r="B12" s="29"/>
      <c r="C12" s="29"/>
      <c r="D12" s="28"/>
      <c r="E12" s="28"/>
      <c r="F12" s="24">
        <f>IF(A12="","",IF(COUNTIF(eq_nome,A12)&gt;1,"ERRO: nome repetido",IF(B12="","Pendente: turno","OK")))</f>
      </c>
      <c r="G12" s="24"/>
      <c r="H12" s="24"/>
      <c r="I12" s="24"/>
    </row>
    <row r="13" spans="1:9" x14ac:dyDescent="0.25">
      <c r="A13" s="28"/>
      <c r="B13" s="29"/>
      <c r="C13" s="29"/>
      <c r="D13" s="28"/>
      <c r="E13" s="28"/>
      <c r="F13" s="24">
        <f>IF(A13="","",IF(COUNTIF(eq_nome,A13)&gt;1,"ERRO: nome repetido",IF(B13="","Pendente: turno","OK")))</f>
      </c>
      <c r="G13" s="24"/>
      <c r="H13" s="24"/>
      <c r="I13" s="24"/>
    </row>
    <row r="14" spans="1:9" x14ac:dyDescent="0.25">
      <c r="A14" s="28"/>
      <c r="B14" s="29"/>
      <c r="C14" s="29"/>
      <c r="D14" s="28"/>
      <c r="E14" s="28"/>
      <c r="F14" s="24">
        <f>IF(A14="","",IF(COUNTIF(eq_nome,A14)&gt;1,"ERRO: nome repetido",IF(B14="","Pendente: turno","OK")))</f>
      </c>
      <c r="G14" s="24"/>
      <c r="H14" s="24"/>
      <c r="I14" s="24"/>
    </row>
    <row r="15" spans="1:9" x14ac:dyDescent="0.25">
      <c r="A15" s="28"/>
      <c r="B15" s="29"/>
      <c r="C15" s="29"/>
      <c r="D15" s="28"/>
      <c r="E15" s="28"/>
      <c r="F15" s="24">
        <f>IF(A15="","",IF(COUNTIF(eq_nome,A15)&gt;1,"ERRO: nome repetido",IF(B15="","Pendente: turno","OK")))</f>
      </c>
      <c r="G15" s="24"/>
      <c r="H15" s="24"/>
      <c r="I15" s="24"/>
    </row>
    <row r="16" spans="1:9" x14ac:dyDescent="0.25">
      <c r="A16" s="28"/>
      <c r="B16" s="29"/>
      <c r="C16" s="29"/>
      <c r="D16" s="28"/>
      <c r="E16" s="28"/>
      <c r="F16" s="24">
        <f>IF(A16="","",IF(COUNTIF(eq_nome,A16)&gt;1,"ERRO: nome repetido",IF(B16="","Pendente: turno","OK")))</f>
      </c>
      <c r="G16" s="24"/>
      <c r="H16" s="24"/>
      <c r="I16" s="24"/>
    </row>
    <row r="17" spans="1:9" x14ac:dyDescent="0.25">
      <c r="A17" s="28"/>
      <c r="B17" s="29"/>
      <c r="C17" s="29"/>
      <c r="D17" s="28"/>
      <c r="E17" s="28"/>
      <c r="F17" s="24">
        <f>IF(A17="","",IF(COUNTIF(eq_nome,A17)&gt;1,"ERRO: nome repetido",IF(B17="","Pendente: turno","OK")))</f>
      </c>
      <c r="G17" s="24"/>
      <c r="H17" s="24"/>
      <c r="I17" s="24"/>
    </row>
    <row r="18" spans="1:9" x14ac:dyDescent="0.25">
      <c r="A18" s="28"/>
      <c r="B18" s="29"/>
      <c r="C18" s="29"/>
      <c r="D18" s="28"/>
      <c r="E18" s="28"/>
      <c r="F18" s="24">
        <f>IF(A18="","",IF(COUNTIF(eq_nome,A18)&gt;1,"ERRO: nome repetido",IF(B18="","Pendente: turno","OK")))</f>
      </c>
      <c r="G18" s="24"/>
      <c r="H18" s="24"/>
      <c r="I18" s="24"/>
    </row>
    <row r="19" spans="1:9" x14ac:dyDescent="0.25">
      <c r="A19" s="28"/>
      <c r="B19" s="29"/>
      <c r="C19" s="29"/>
      <c r="D19" s="28"/>
      <c r="E19" s="28"/>
      <c r="F19" s="24">
        <f>IF(A19="","",IF(COUNTIF(eq_nome,A19)&gt;1,"ERRO: nome repetido",IF(B19="","Pendente: turno","OK")))</f>
      </c>
      <c r="G19" s="24"/>
      <c r="H19" s="24"/>
      <c r="I19" s="24"/>
    </row>
    <row r="20" spans="1:9" x14ac:dyDescent="0.25">
      <c r="A20" s="28"/>
      <c r="B20" s="29"/>
      <c r="C20" s="29"/>
      <c r="D20" s="28"/>
      <c r="E20" s="28"/>
      <c r="F20" s="24">
        <f>IF(A20="","",IF(COUNTIF(eq_nome,A20)&gt;1,"ERRO: nome repetido",IF(B20="","Pendente: turno","OK")))</f>
      </c>
      <c r="G20" s="24"/>
      <c r="H20" s="24"/>
      <c r="I20" s="24"/>
    </row>
    <row r="21" spans="1:9" x14ac:dyDescent="0.25">
      <c r="A21" s="28"/>
      <c r="B21" s="29"/>
      <c r="C21" s="29"/>
      <c r="D21" s="28"/>
      <c r="E21" s="28"/>
      <c r="F21" s="24">
        <f>IF(A21="","",IF(COUNTIF(eq_nome,A21)&gt;1,"ERRO: nome repetido",IF(B21="","Pendente: turno","OK")))</f>
      </c>
      <c r="G21" s="24"/>
      <c r="H21" s="24"/>
      <c r="I21" s="24"/>
    </row>
    <row r="22" spans="1:9" x14ac:dyDescent="0.25">
      <c r="A22" s="28"/>
      <c r="B22" s="29"/>
      <c r="C22" s="29"/>
      <c r="D22" s="28"/>
      <c r="E22" s="28"/>
      <c r="F22" s="24">
        <f>IF(A22="","",IF(COUNTIF(eq_nome,A22)&gt;1,"ERRO: nome repetido",IF(B22="","Pendente: turno","OK")))</f>
      </c>
      <c r="G22" s="24"/>
      <c r="H22" s="24"/>
      <c r="I22" s="24"/>
    </row>
    <row r="23" spans="1:9" x14ac:dyDescent="0.25">
      <c r="A23" s="28"/>
      <c r="B23" s="29"/>
      <c r="C23" s="29"/>
      <c r="D23" s="28"/>
      <c r="E23" s="28"/>
      <c r="F23" s="24">
        <f>IF(A23="","",IF(COUNTIF(eq_nome,A23)&gt;1,"ERRO: nome repetido",IF(B23="","Pendente: turno","OK")))</f>
      </c>
      <c r="G23" s="24"/>
      <c r="H23" s="24"/>
      <c r="I23" s="24"/>
    </row>
    <row r="24" spans="1:9" x14ac:dyDescent="0.25">
      <c r="A24" s="28"/>
      <c r="B24" s="29"/>
      <c r="C24" s="29"/>
      <c r="D24" s="28"/>
      <c r="E24" s="28"/>
      <c r="F24" s="24">
        <f>IF(A24="","",IF(COUNTIF(eq_nome,A24)&gt;1,"ERRO: nome repetido",IF(B24="","Pendente: turno","OK")))</f>
      </c>
      <c r="G24" s="24"/>
      <c r="H24" s="24"/>
      <c r="I24" s="24"/>
    </row>
    <row r="25" spans="1:9" x14ac:dyDescent="0.25">
      <c r="A25" s="28"/>
      <c r="B25" s="29"/>
      <c r="C25" s="29"/>
      <c r="D25" s="28"/>
      <c r="E25" s="28"/>
      <c r="F25" s="24">
        <f>IF(A25="","",IF(COUNTIF(eq_nome,A25)&gt;1,"ERRO: nome repetido",IF(B25="","Pendente: turno","OK")))</f>
      </c>
      <c r="G25" s="24"/>
      <c r="H25" s="24"/>
      <c r="I25" s="24"/>
    </row>
    <row r="26" spans="1:9" x14ac:dyDescent="0.25">
      <c r="A26" s="28"/>
      <c r="B26" s="29"/>
      <c r="C26" s="29"/>
      <c r="D26" s="28"/>
      <c r="E26" s="28"/>
      <c r="F26" s="24">
        <f>IF(A26="","",IF(COUNTIF(eq_nome,A26)&gt;1,"ERRO: nome repetido",IF(B26="","Pendente: turno","OK")))</f>
      </c>
      <c r="G26" s="24"/>
      <c r="H26" s="24"/>
      <c r="I26" s="24"/>
    </row>
    <row r="27" spans="1:9" x14ac:dyDescent="0.25">
      <c r="A27" s="28"/>
      <c r="B27" s="29"/>
      <c r="C27" s="29"/>
      <c r="D27" s="28"/>
      <c r="E27" s="28"/>
      <c r="F27" s="24">
        <f>IF(A27="","",IF(COUNTIF(eq_nome,A27)&gt;1,"ERRO: nome repetido",IF(B27="","Pendente: turno","OK")))</f>
      </c>
      <c r="G27" s="24"/>
      <c r="H27" s="24"/>
      <c r="I27" s="24"/>
    </row>
    <row r="28" spans="1:9" x14ac:dyDescent="0.25">
      <c r="A28" s="28"/>
      <c r="B28" s="29"/>
      <c r="C28" s="29"/>
      <c r="D28" s="28"/>
      <c r="E28" s="28"/>
      <c r="F28" s="24">
        <f>IF(A28="","",IF(COUNTIF(eq_nome,A28)&gt;1,"ERRO: nome repetido",IF(B28="","Pendente: turno","OK")))</f>
      </c>
      <c r="G28" s="24"/>
      <c r="H28" s="24"/>
      <c r="I28" s="24"/>
    </row>
    <row r="29" spans="1:9" x14ac:dyDescent="0.25">
      <c r="A29" s="28"/>
      <c r="B29" s="29"/>
      <c r="C29" s="29"/>
      <c r="D29" s="28"/>
      <c r="E29" s="28"/>
      <c r="F29" s="24">
        <f>IF(A29="","",IF(COUNTIF(eq_nome,A29)&gt;1,"ERRO: nome repetido",IF(B29="","Pendente: turno","OK")))</f>
      </c>
      <c r="G29" s="24"/>
      <c r="H29" s="24"/>
      <c r="I29" s="24"/>
    </row>
    <row r="30" spans="1:9" x14ac:dyDescent="0.25">
      <c r="A30" s="28"/>
      <c r="B30" s="29"/>
      <c r="C30" s="29"/>
      <c r="D30" s="28"/>
      <c r="E30" s="28"/>
      <c r="F30" s="24">
        <f>IF(A30="","",IF(COUNTIF(eq_nome,A30)&gt;1,"ERRO: nome repetido",IF(B30="","Pendente: turno","OK")))</f>
      </c>
      <c r="G30" s="24"/>
      <c r="H30" s="24"/>
      <c r="I30" s="24"/>
    </row>
    <row r="31" spans="1:9" x14ac:dyDescent="0.25">
      <c r="A31" s="28"/>
      <c r="B31" s="29"/>
      <c r="C31" s="29"/>
      <c r="D31" s="28"/>
      <c r="E31" s="28"/>
      <c r="F31" s="24">
        <f>IF(A31="","",IF(COUNTIF(eq_nome,A31)&gt;1,"ERRO: nome repetido",IF(B31="","Pendente: turno","OK")))</f>
      </c>
      <c r="G31" s="24"/>
      <c r="H31" s="24"/>
      <c r="I31" s="24"/>
    </row>
    <row r="32" spans="1:9" x14ac:dyDescent="0.25">
      <c r="A32" s="28"/>
      <c r="B32" s="29"/>
      <c r="C32" s="29"/>
      <c r="D32" s="28"/>
      <c r="E32" s="28"/>
      <c r="F32" s="24">
        <f>IF(A32="","",IF(COUNTIF(eq_nome,A32)&gt;1,"ERRO: nome repetido",IF(B32="","Pendente: turno","OK")))</f>
      </c>
      <c r="G32" s="24"/>
      <c r="H32" s="24"/>
      <c r="I32" s="24"/>
    </row>
    <row r="33" spans="1:9" x14ac:dyDescent="0.25">
      <c r="A33" s="28"/>
      <c r="B33" s="29"/>
      <c r="C33" s="29"/>
      <c r="D33" s="28"/>
      <c r="E33" s="28"/>
      <c r="F33" s="24">
        <f>IF(A33="","",IF(COUNTIF(eq_nome,A33)&gt;1,"ERRO: nome repetido",IF(B33="","Pendente: turno","OK")))</f>
      </c>
      <c r="G33" s="24"/>
      <c r="H33" s="24"/>
      <c r="I33" s="24"/>
    </row>
    <row r="34" spans="1:9" x14ac:dyDescent="0.25">
      <c r="A34" s="28"/>
      <c r="B34" s="29"/>
      <c r="C34" s="29"/>
      <c r="D34" s="28"/>
      <c r="E34" s="28"/>
      <c r="F34" s="24">
        <f>IF(A34="","",IF(COUNTIF(eq_nome,A34)&gt;1,"ERRO: nome repetido",IF(B34="","Pendente: turno","OK")))</f>
      </c>
      <c r="G34" s="24"/>
      <c r="H34" s="24"/>
      <c r="I34" s="24"/>
    </row>
    <row r="35" spans="1:9" x14ac:dyDescent="0.25">
      <c r="A35" s="28"/>
      <c r="B35" s="29"/>
      <c r="C35" s="29"/>
      <c r="D35" s="28"/>
      <c r="E35" s="28"/>
      <c r="F35" s="24">
        <f>IF(A35="","",IF(COUNTIF(eq_nome,A35)&gt;1,"ERRO: nome repetido",IF(B35="","Pendente: turno","OK")))</f>
      </c>
      <c r="G35" s="24"/>
      <c r="H35" s="24"/>
      <c r="I35" s="24"/>
    </row>
    <row r="36" spans="1:9" x14ac:dyDescent="0.25">
      <c r="A36" s="28"/>
      <c r="B36" s="29"/>
      <c r="C36" s="29"/>
      <c r="D36" s="28"/>
      <c r="E36" s="28"/>
      <c r="F36" s="24">
        <f>IF(A36="","",IF(COUNTIF(eq_nome,A36)&gt;1,"ERRO: nome repetido",IF(B36="","Pendente: turno","OK")))</f>
      </c>
      <c r="G36" s="24"/>
      <c r="H36" s="24"/>
      <c r="I36" s="24"/>
    </row>
    <row r="37" spans="1:9" x14ac:dyDescent="0.25">
      <c r="A37" s="28"/>
      <c r="B37" s="29"/>
      <c r="C37" s="29"/>
      <c r="D37" s="28"/>
      <c r="E37" s="28"/>
      <c r="F37" s="24">
        <f>IF(A37="","",IF(COUNTIF(eq_nome,A37)&gt;1,"ERRO: nome repetido",IF(B37="","Pendente: turno","OK")))</f>
      </c>
      <c r="G37" s="24"/>
      <c r="H37" s="24"/>
      <c r="I37" s="24"/>
    </row>
    <row r="38" spans="1:9" x14ac:dyDescent="0.25">
      <c r="A38" s="28"/>
      <c r="B38" s="29"/>
      <c r="C38" s="29"/>
      <c r="D38" s="28"/>
      <c r="E38" s="28"/>
      <c r="F38" s="24">
        <f>IF(A38="","",IF(COUNTIF(eq_nome,A38)&gt;1,"ERRO: nome repetido",IF(B38="","Pendente: turno","OK")))</f>
      </c>
      <c r="G38" s="24"/>
      <c r="H38" s="24"/>
      <c r="I38" s="24"/>
    </row>
    <row r="39" spans="1:9" x14ac:dyDescent="0.25">
      <c r="A39" s="28"/>
      <c r="B39" s="29"/>
      <c r="C39" s="29"/>
      <c r="D39" s="28"/>
      <c r="E39" s="28"/>
      <c r="F39" s="24">
        <f>IF(A39="","",IF(COUNTIF(eq_nome,A39)&gt;1,"ERRO: nome repetido",IF(B39="","Pendente: turno","OK")))</f>
      </c>
      <c r="G39" s="24"/>
      <c r="H39" s="24"/>
      <c r="I39" s="24"/>
    </row>
    <row r="40" spans="1:9" x14ac:dyDescent="0.25">
      <c r="A40" s="28"/>
      <c r="B40" s="29"/>
      <c r="C40" s="29"/>
      <c r="D40" s="28"/>
      <c r="E40" s="28"/>
      <c r="F40" s="24">
        <f>IF(A40="","",IF(COUNTIF(eq_nome,A40)&gt;1,"ERRO: nome repetido",IF(B40="","Pendente: turno","OK")))</f>
      </c>
      <c r="G40" s="24"/>
      <c r="H40" s="24"/>
      <c r="I40" s="24"/>
    </row>
    <row r="41" spans="1:9" x14ac:dyDescent="0.25">
      <c r="A41" s="28"/>
      <c r="B41" s="29"/>
      <c r="C41" s="29"/>
      <c r="D41" s="28"/>
      <c r="E41" s="28"/>
      <c r="F41" s="24">
        <f>IF(A41="","",IF(COUNTIF(eq_nome,A41)&gt;1,"ERRO: nome repetido",IF(B41="","Pendente: turno","OK")))</f>
      </c>
      <c r="G41" s="24"/>
      <c r="H41" s="24"/>
      <c r="I41" s="24"/>
    </row>
    <row r="42" spans="1:9" x14ac:dyDescent="0.25">
      <c r="A42" s="28"/>
      <c r="B42" s="29"/>
      <c r="C42" s="29"/>
      <c r="D42" s="28"/>
      <c r="E42" s="28"/>
      <c r="F42" s="24">
        <f>IF(A42="","",IF(COUNTIF(eq_nome,A42)&gt;1,"ERRO: nome repetido",IF(B42="","Pendente: turno","OK")))</f>
      </c>
      <c r="G42" s="24"/>
      <c r="H42" s="24"/>
      <c r="I42" s="24"/>
    </row>
    <row r="43" spans="1:9" x14ac:dyDescent="0.25">
      <c r="A43" s="28"/>
      <c r="B43" s="29"/>
      <c r="C43" s="29"/>
      <c r="D43" s="28"/>
      <c r="E43" s="28"/>
      <c r="F43" s="24">
        <f>IF(A43="","",IF(COUNTIF(eq_nome,A43)&gt;1,"ERRO: nome repetido",IF(B43="","Pendente: turno","OK")))</f>
      </c>
      <c r="G43" s="24"/>
      <c r="H43" s="24"/>
      <c r="I43" s="24"/>
    </row>
    <row r="44" spans="1:9" x14ac:dyDescent="0.25">
      <c r="A44" s="28"/>
      <c r="B44" s="29"/>
      <c r="C44" s="29"/>
      <c r="D44" s="28"/>
      <c r="E44" s="28"/>
      <c r="F44" s="24">
        <f>IF(A44="","",IF(COUNTIF(eq_nome,A44)&gt;1,"ERRO: nome repetido",IF(B44="","Pendente: turno","OK")))</f>
      </c>
      <c r="G44" s="24"/>
      <c r="H44" s="24"/>
      <c r="I44" s="24"/>
    </row>
    <row r="45" spans="1:9" x14ac:dyDescent="0.25">
      <c r="A45" s="28"/>
      <c r="B45" s="29"/>
      <c r="C45" s="29"/>
      <c r="D45" s="28"/>
      <c r="E45" s="28"/>
      <c r="F45" s="24">
        <f>IF(A45="","",IF(COUNTIF(eq_nome,A45)&gt;1,"ERRO: nome repetido",IF(B45="","Pendente: turno","OK")))</f>
      </c>
      <c r="G45" s="24"/>
      <c r="H45" s="24"/>
      <c r="I45" s="24"/>
    </row>
    <row r="47" ht="20" customHeight="1" spans="1:9" x14ac:dyDescent="0.25">
      <c r="A47" s="5" t="s">
        <v>206</v>
      </c>
      <c r="B47" s="5"/>
      <c r="C47" s="5"/>
      <c r="D47" s="5"/>
      <c r="E47" s="5"/>
      <c r="F47" s="5"/>
      <c r="G47" s="5"/>
      <c r="H47" s="5"/>
      <c r="I47" s="5"/>
    </row>
    <row r="48" ht="22" customHeight="1" spans="1:9" x14ac:dyDescent="0.25">
      <c r="A48" s="8" t="s">
        <v>202</v>
      </c>
      <c r="B48" s="8" t="s">
        <v>207</v>
      </c>
      <c r="C48" s="8" t="s">
        <v>208</v>
      </c>
      <c r="D48" s="8" t="s">
        <v>85</v>
      </c>
      <c r="E48" s="8" t="s">
        <v>209</v>
      </c>
      <c r="F48" s="8" t="s">
        <v>210</v>
      </c>
      <c r="G48" s="8" t="s">
        <v>211</v>
      </c>
      <c r="H48" s="8"/>
      <c r="I48" s="8" t="s">
        <v>107</v>
      </c>
    </row>
    <row r="49" spans="1:9" x14ac:dyDescent="0.25">
      <c r="A49" s="28"/>
      <c r="B49" s="43">
        <f>IF(A49="","",IFERROR(INDEX($B$6:$B$45,MATCH(A49,eq_nome,0))&amp;"",""))</f>
      </c>
      <c r="C49" s="30"/>
      <c r="D49" s="29"/>
      <c r="E49" s="52"/>
      <c r="F49" s="53">
        <f>IF(OR(NOT(ISNUMBER(C49)),N(E49)&lt;=0),"",C49+E49-1)</f>
      </c>
      <c r="G49" s="43">
        <f>IF(F49="","",IF(COUNTIFS(Programação!$J$4:$J$503,A49,Programação!$F$4:$F$503,"&gt;="&amp;C49,Programação!$F$4:$F$503,"&lt;="&amp;F49,Programação!$N$4:$N$503,"&lt;&gt;Concluído")&gt;0,"Sim — revisar agenda","Não"))</f>
      </c>
      <c r="H49" s="43"/>
      <c r="I49" s="24">
        <f>IF(A49="","",IF(ISNA(MATCH(A49,eq_nome,0)),"ERRO: funcionário não cadastrado",IF(F49="","Pendente: início e dias",IF(G49="Sim — revisar agenda","Verificar: há OS no período","OK"))))</f>
      </c>
    </row>
    <row r="50" spans="1:9" x14ac:dyDescent="0.25">
      <c r="A50" s="28"/>
      <c r="B50" s="43">
        <f>IF(A50="","",IFERROR(INDEX($B$6:$B$45,MATCH(A50,eq_nome,0))&amp;"",""))</f>
      </c>
      <c r="C50" s="30"/>
      <c r="D50" s="29"/>
      <c r="E50" s="52"/>
      <c r="F50" s="53">
        <f>IF(OR(NOT(ISNUMBER(C50)),N(E50)&lt;=0),"",C50+E50-1)</f>
      </c>
      <c r="G50" s="43">
        <f>IF(F50="","",IF(COUNTIFS(Programação!$J$4:$J$503,A50,Programação!$F$4:$F$503,"&gt;="&amp;C50,Programação!$F$4:$F$503,"&lt;="&amp;F50,Programação!$N$4:$N$503,"&lt;&gt;Concluído")&gt;0,"Sim — revisar agenda","Não"))</f>
      </c>
      <c r="H50" s="43"/>
      <c r="I50" s="24">
        <f>IF(A50="","",IF(ISNA(MATCH(A50,eq_nome,0)),"ERRO: funcionário não cadastrado",IF(F50="","Pendente: início e dias",IF(G50="Sim — revisar agenda","Verificar: há OS no período","OK"))))</f>
      </c>
    </row>
    <row r="51" spans="1:9" x14ac:dyDescent="0.25">
      <c r="A51" s="28"/>
      <c r="B51" s="43">
        <f>IF(A51="","",IFERROR(INDEX($B$6:$B$45,MATCH(A51,eq_nome,0))&amp;"",""))</f>
      </c>
      <c r="C51" s="30"/>
      <c r="D51" s="29"/>
      <c r="E51" s="52"/>
      <c r="F51" s="53">
        <f>IF(OR(NOT(ISNUMBER(C51)),N(E51)&lt;=0),"",C51+E51-1)</f>
      </c>
      <c r="G51" s="43">
        <f>IF(F51="","",IF(COUNTIFS(Programação!$J$4:$J$503,A51,Programação!$F$4:$F$503,"&gt;="&amp;C51,Programação!$F$4:$F$503,"&lt;="&amp;F51,Programação!$N$4:$N$503,"&lt;&gt;Concluído")&gt;0,"Sim — revisar agenda","Não"))</f>
      </c>
      <c r="H51" s="43"/>
      <c r="I51" s="24">
        <f>IF(A51="","",IF(ISNA(MATCH(A51,eq_nome,0)),"ERRO: funcionário não cadastrado",IF(F51="","Pendente: início e dias",IF(G51="Sim — revisar agenda","Verificar: há OS no período","OK"))))</f>
      </c>
    </row>
    <row r="52" spans="1:9" x14ac:dyDescent="0.25">
      <c r="A52" s="28"/>
      <c r="B52" s="43">
        <f>IF(A52="","",IFERROR(INDEX($B$6:$B$45,MATCH(A52,eq_nome,0))&amp;"",""))</f>
      </c>
      <c r="C52" s="30"/>
      <c r="D52" s="29"/>
      <c r="E52" s="52"/>
      <c r="F52" s="53">
        <f>IF(OR(NOT(ISNUMBER(C52)),N(E52)&lt;=0),"",C52+E52-1)</f>
      </c>
      <c r="G52" s="43">
        <f>IF(F52="","",IF(COUNTIFS(Programação!$J$4:$J$503,A52,Programação!$F$4:$F$503,"&gt;="&amp;C52,Programação!$F$4:$F$503,"&lt;="&amp;F52,Programação!$N$4:$N$503,"&lt;&gt;Concluído")&gt;0,"Sim — revisar agenda","Não"))</f>
      </c>
      <c r="H52" s="43"/>
      <c r="I52" s="24">
        <f>IF(A52="","",IF(ISNA(MATCH(A52,eq_nome,0)),"ERRO: funcionário não cadastrado",IF(F52="","Pendente: início e dias",IF(G52="Sim — revisar agenda","Verificar: há OS no período","OK"))))</f>
      </c>
    </row>
    <row r="53" spans="1:9" x14ac:dyDescent="0.25">
      <c r="A53" s="28"/>
      <c r="B53" s="43">
        <f>IF(A53="","",IFERROR(INDEX($B$6:$B$45,MATCH(A53,eq_nome,0))&amp;"",""))</f>
      </c>
      <c r="C53" s="30"/>
      <c r="D53" s="29"/>
      <c r="E53" s="52"/>
      <c r="F53" s="53">
        <f>IF(OR(NOT(ISNUMBER(C53)),N(E53)&lt;=0),"",C53+E53-1)</f>
      </c>
      <c r="G53" s="43">
        <f>IF(F53="","",IF(COUNTIFS(Programação!$J$4:$J$503,A53,Programação!$F$4:$F$503,"&gt;="&amp;C53,Programação!$F$4:$F$503,"&lt;="&amp;F53,Programação!$N$4:$N$503,"&lt;&gt;Concluído")&gt;0,"Sim — revisar agenda","Não"))</f>
      </c>
      <c r="H53" s="43"/>
      <c r="I53" s="24">
        <f>IF(A53="","",IF(ISNA(MATCH(A53,eq_nome,0)),"ERRO: funcionário não cadastrado",IF(F53="","Pendente: início e dias",IF(G53="Sim — revisar agenda","Verificar: há OS no período","OK"))))</f>
      </c>
    </row>
    <row r="54" spans="1:9" x14ac:dyDescent="0.25">
      <c r="A54" s="28"/>
      <c r="B54" s="43">
        <f>IF(A54="","",IFERROR(INDEX($B$6:$B$45,MATCH(A54,eq_nome,0))&amp;"",""))</f>
      </c>
      <c r="C54" s="30"/>
      <c r="D54" s="29"/>
      <c r="E54" s="52"/>
      <c r="F54" s="53">
        <f>IF(OR(NOT(ISNUMBER(C54)),N(E54)&lt;=0),"",C54+E54-1)</f>
      </c>
      <c r="G54" s="43">
        <f>IF(F54="","",IF(COUNTIFS(Programação!$J$4:$J$503,A54,Programação!$F$4:$F$503,"&gt;="&amp;C54,Programação!$F$4:$F$503,"&lt;="&amp;F54,Programação!$N$4:$N$503,"&lt;&gt;Concluído")&gt;0,"Sim — revisar agenda","Não"))</f>
      </c>
      <c r="H54" s="43"/>
      <c r="I54" s="24">
        <f>IF(A54="","",IF(ISNA(MATCH(A54,eq_nome,0)),"ERRO: funcionário não cadastrado",IF(F54="","Pendente: início e dias",IF(G54="Sim — revisar agenda","Verificar: há OS no período","OK"))))</f>
      </c>
    </row>
    <row r="55" spans="1:9" x14ac:dyDescent="0.25">
      <c r="A55" s="28"/>
      <c r="B55" s="43">
        <f>IF(A55="","",IFERROR(INDEX($B$6:$B$45,MATCH(A55,eq_nome,0))&amp;"",""))</f>
      </c>
      <c r="C55" s="30"/>
      <c r="D55" s="29"/>
      <c r="E55" s="52"/>
      <c r="F55" s="53">
        <f>IF(OR(NOT(ISNUMBER(C55)),N(E55)&lt;=0),"",C55+E55-1)</f>
      </c>
      <c r="G55" s="43">
        <f>IF(F55="","",IF(COUNTIFS(Programação!$J$4:$J$503,A55,Programação!$F$4:$F$503,"&gt;="&amp;C55,Programação!$F$4:$F$503,"&lt;="&amp;F55,Programação!$N$4:$N$503,"&lt;&gt;Concluído")&gt;0,"Sim — revisar agenda","Não"))</f>
      </c>
      <c r="H55" s="43"/>
      <c r="I55" s="24">
        <f>IF(A55="","",IF(ISNA(MATCH(A55,eq_nome,0)),"ERRO: funcionário não cadastrado",IF(F55="","Pendente: início e dias",IF(G55="Sim — revisar agenda","Verificar: há OS no período","OK"))))</f>
      </c>
    </row>
    <row r="56" spans="1:9" x14ac:dyDescent="0.25">
      <c r="A56" s="28"/>
      <c r="B56" s="43">
        <f>IF(A56="","",IFERROR(INDEX($B$6:$B$45,MATCH(A56,eq_nome,0))&amp;"",""))</f>
      </c>
      <c r="C56" s="30"/>
      <c r="D56" s="29"/>
      <c r="E56" s="52"/>
      <c r="F56" s="53">
        <f>IF(OR(NOT(ISNUMBER(C56)),N(E56)&lt;=0),"",C56+E56-1)</f>
      </c>
      <c r="G56" s="43">
        <f>IF(F56="","",IF(COUNTIFS(Programação!$J$4:$J$503,A56,Programação!$F$4:$F$503,"&gt;="&amp;C56,Programação!$F$4:$F$503,"&lt;="&amp;F56,Programação!$N$4:$N$503,"&lt;&gt;Concluído")&gt;0,"Sim — revisar agenda","Não"))</f>
      </c>
      <c r="H56" s="43"/>
      <c r="I56" s="24">
        <f>IF(A56="","",IF(ISNA(MATCH(A56,eq_nome,0)),"ERRO: funcionário não cadastrado",IF(F56="","Pendente: início e dias",IF(G56="Sim — revisar agenda","Verificar: há OS no período","OK"))))</f>
      </c>
    </row>
    <row r="57" spans="1:9" x14ac:dyDescent="0.25">
      <c r="A57" s="28"/>
      <c r="B57" s="43">
        <f>IF(A57="","",IFERROR(INDEX($B$6:$B$45,MATCH(A57,eq_nome,0))&amp;"",""))</f>
      </c>
      <c r="C57" s="30"/>
      <c r="D57" s="29"/>
      <c r="E57" s="52"/>
      <c r="F57" s="53">
        <f>IF(OR(NOT(ISNUMBER(C57)),N(E57)&lt;=0),"",C57+E57-1)</f>
      </c>
      <c r="G57" s="43">
        <f>IF(F57="","",IF(COUNTIFS(Programação!$J$4:$J$503,A57,Programação!$F$4:$F$503,"&gt;="&amp;C57,Programação!$F$4:$F$503,"&lt;="&amp;F57,Programação!$N$4:$N$503,"&lt;&gt;Concluído")&gt;0,"Sim — revisar agenda","Não"))</f>
      </c>
      <c r="H57" s="43"/>
      <c r="I57" s="24">
        <f>IF(A57="","",IF(ISNA(MATCH(A57,eq_nome,0)),"ERRO: funcionário não cadastrado",IF(F57="","Pendente: início e dias",IF(G57="Sim — revisar agenda","Verificar: há OS no período","OK"))))</f>
      </c>
    </row>
    <row r="58" spans="1:9" x14ac:dyDescent="0.25">
      <c r="A58" s="28"/>
      <c r="B58" s="43">
        <f>IF(A58="","",IFERROR(INDEX($B$6:$B$45,MATCH(A58,eq_nome,0))&amp;"",""))</f>
      </c>
      <c r="C58" s="30"/>
      <c r="D58" s="29"/>
      <c r="E58" s="52"/>
      <c r="F58" s="53">
        <f>IF(OR(NOT(ISNUMBER(C58)),N(E58)&lt;=0),"",C58+E58-1)</f>
      </c>
      <c r="G58" s="43">
        <f>IF(F58="","",IF(COUNTIFS(Programação!$J$4:$J$503,A58,Programação!$F$4:$F$503,"&gt;="&amp;C58,Programação!$F$4:$F$503,"&lt;="&amp;F58,Programação!$N$4:$N$503,"&lt;&gt;Concluído")&gt;0,"Sim — revisar agenda","Não"))</f>
      </c>
      <c r="H58" s="43"/>
      <c r="I58" s="24">
        <f>IF(A58="","",IF(ISNA(MATCH(A58,eq_nome,0)),"ERRO: funcionário não cadastrado",IF(F58="","Pendente: início e dias",IF(G58="Sim — revisar agenda","Verificar: há OS no período","OK"))))</f>
      </c>
    </row>
    <row r="59" spans="1:9" x14ac:dyDescent="0.25">
      <c r="A59" s="28"/>
      <c r="B59" s="43">
        <f>IF(A59="","",IFERROR(INDEX($B$6:$B$45,MATCH(A59,eq_nome,0))&amp;"",""))</f>
      </c>
      <c r="C59" s="30"/>
      <c r="D59" s="29"/>
      <c r="E59" s="52"/>
      <c r="F59" s="53">
        <f>IF(OR(NOT(ISNUMBER(C59)),N(E59)&lt;=0),"",C59+E59-1)</f>
      </c>
      <c r="G59" s="43">
        <f>IF(F59="","",IF(COUNTIFS(Programação!$J$4:$J$503,A59,Programação!$F$4:$F$503,"&gt;="&amp;C59,Programação!$F$4:$F$503,"&lt;="&amp;F59,Programação!$N$4:$N$503,"&lt;&gt;Concluído")&gt;0,"Sim — revisar agenda","Não"))</f>
      </c>
      <c r="H59" s="43"/>
      <c r="I59" s="24">
        <f>IF(A59="","",IF(ISNA(MATCH(A59,eq_nome,0)),"ERRO: funcionário não cadastrado",IF(F59="","Pendente: início e dias",IF(G59="Sim — revisar agenda","Verificar: há OS no período","OK"))))</f>
      </c>
    </row>
    <row r="60" spans="1:9" x14ac:dyDescent="0.25">
      <c r="A60" s="28"/>
      <c r="B60" s="43">
        <f>IF(A60="","",IFERROR(INDEX($B$6:$B$45,MATCH(A60,eq_nome,0))&amp;"",""))</f>
      </c>
      <c r="C60" s="30"/>
      <c r="D60" s="29"/>
      <c r="E60" s="52"/>
      <c r="F60" s="53">
        <f>IF(OR(NOT(ISNUMBER(C60)),N(E60)&lt;=0),"",C60+E60-1)</f>
      </c>
      <c r="G60" s="43">
        <f>IF(F60="","",IF(COUNTIFS(Programação!$J$4:$J$503,A60,Programação!$F$4:$F$503,"&gt;="&amp;C60,Programação!$F$4:$F$503,"&lt;="&amp;F60,Programação!$N$4:$N$503,"&lt;&gt;Concluído")&gt;0,"Sim — revisar agenda","Não"))</f>
      </c>
      <c r="H60" s="43"/>
      <c r="I60" s="24">
        <f>IF(A60="","",IF(ISNA(MATCH(A60,eq_nome,0)),"ERRO: funcionário não cadastrado",IF(F60="","Pendente: início e dias",IF(G60="Sim — revisar agenda","Verificar: há OS no período","OK"))))</f>
      </c>
    </row>
    <row r="61" spans="1:9" x14ac:dyDescent="0.25">
      <c r="A61" s="28"/>
      <c r="B61" s="43">
        <f>IF(A61="","",IFERROR(INDEX($B$6:$B$45,MATCH(A61,eq_nome,0))&amp;"",""))</f>
      </c>
      <c r="C61" s="30"/>
      <c r="D61" s="29"/>
      <c r="E61" s="52"/>
      <c r="F61" s="53">
        <f>IF(OR(NOT(ISNUMBER(C61)),N(E61)&lt;=0),"",C61+E61-1)</f>
      </c>
      <c r="G61" s="43">
        <f>IF(F61="","",IF(COUNTIFS(Programação!$J$4:$J$503,A61,Programação!$F$4:$F$503,"&gt;="&amp;C61,Programação!$F$4:$F$503,"&lt;="&amp;F61,Programação!$N$4:$N$503,"&lt;&gt;Concluído")&gt;0,"Sim — revisar agenda","Não"))</f>
      </c>
      <c r="H61" s="43"/>
      <c r="I61" s="24">
        <f>IF(A61="","",IF(ISNA(MATCH(A61,eq_nome,0)),"ERRO: funcionário não cadastrado",IF(F61="","Pendente: início e dias",IF(G61="Sim — revisar agenda","Verificar: há OS no período","OK"))))</f>
      </c>
    </row>
    <row r="62" spans="1:9" x14ac:dyDescent="0.25">
      <c r="A62" s="28"/>
      <c r="B62" s="43">
        <f>IF(A62="","",IFERROR(INDEX($B$6:$B$45,MATCH(A62,eq_nome,0))&amp;"",""))</f>
      </c>
      <c r="C62" s="30"/>
      <c r="D62" s="29"/>
      <c r="E62" s="52"/>
      <c r="F62" s="53">
        <f>IF(OR(NOT(ISNUMBER(C62)),N(E62)&lt;=0),"",C62+E62-1)</f>
      </c>
      <c r="G62" s="43">
        <f>IF(F62="","",IF(COUNTIFS(Programação!$J$4:$J$503,A62,Programação!$F$4:$F$503,"&gt;="&amp;C62,Programação!$F$4:$F$503,"&lt;="&amp;F62,Programação!$N$4:$N$503,"&lt;&gt;Concluído")&gt;0,"Sim — revisar agenda","Não"))</f>
      </c>
      <c r="H62" s="43"/>
      <c r="I62" s="24">
        <f>IF(A62="","",IF(ISNA(MATCH(A62,eq_nome,0)),"ERRO: funcionário não cadastrado",IF(F62="","Pendente: início e dias",IF(G62="Sim — revisar agenda","Verificar: há OS no período","OK"))))</f>
      </c>
    </row>
    <row r="63" spans="1:9" x14ac:dyDescent="0.25">
      <c r="A63" s="28"/>
      <c r="B63" s="43">
        <f>IF(A63="","",IFERROR(INDEX($B$6:$B$45,MATCH(A63,eq_nome,0))&amp;"",""))</f>
      </c>
      <c r="C63" s="30"/>
      <c r="D63" s="29"/>
      <c r="E63" s="52"/>
      <c r="F63" s="53">
        <f>IF(OR(NOT(ISNUMBER(C63)),N(E63)&lt;=0),"",C63+E63-1)</f>
      </c>
      <c r="G63" s="43">
        <f>IF(F63="","",IF(COUNTIFS(Programação!$J$4:$J$503,A63,Programação!$F$4:$F$503,"&gt;="&amp;C63,Programação!$F$4:$F$503,"&lt;="&amp;F63,Programação!$N$4:$N$503,"&lt;&gt;Concluído")&gt;0,"Sim — revisar agenda","Não"))</f>
      </c>
      <c r="H63" s="43"/>
      <c r="I63" s="24">
        <f>IF(A63="","",IF(ISNA(MATCH(A63,eq_nome,0)),"ERRO: funcionário não cadastrado",IF(F63="","Pendente: início e dias",IF(G63="Sim — revisar agenda","Verificar: há OS no período","OK"))))</f>
      </c>
    </row>
    <row r="64" spans="1:9" x14ac:dyDescent="0.25">
      <c r="A64" s="28"/>
      <c r="B64" s="43">
        <f>IF(A64="","",IFERROR(INDEX($B$6:$B$45,MATCH(A64,eq_nome,0))&amp;"",""))</f>
      </c>
      <c r="C64" s="30"/>
      <c r="D64" s="29"/>
      <c r="E64" s="52"/>
      <c r="F64" s="53">
        <f>IF(OR(NOT(ISNUMBER(C64)),N(E64)&lt;=0),"",C64+E64-1)</f>
      </c>
      <c r="G64" s="43">
        <f>IF(F64="","",IF(COUNTIFS(Programação!$J$4:$J$503,A64,Programação!$F$4:$F$503,"&gt;="&amp;C64,Programação!$F$4:$F$503,"&lt;="&amp;F64,Programação!$N$4:$N$503,"&lt;&gt;Concluído")&gt;0,"Sim — revisar agenda","Não"))</f>
      </c>
      <c r="H64" s="43"/>
      <c r="I64" s="24">
        <f>IF(A64="","",IF(ISNA(MATCH(A64,eq_nome,0)),"ERRO: funcionário não cadastrado",IF(F64="","Pendente: início e dias",IF(G64="Sim — revisar agenda","Verificar: há OS no período","OK"))))</f>
      </c>
    </row>
    <row r="65" spans="1:9" x14ac:dyDescent="0.25">
      <c r="A65" s="28"/>
      <c r="B65" s="43">
        <f>IF(A65="","",IFERROR(INDEX($B$6:$B$45,MATCH(A65,eq_nome,0))&amp;"",""))</f>
      </c>
      <c r="C65" s="30"/>
      <c r="D65" s="29"/>
      <c r="E65" s="52"/>
      <c r="F65" s="53">
        <f>IF(OR(NOT(ISNUMBER(C65)),N(E65)&lt;=0),"",C65+E65-1)</f>
      </c>
      <c r="G65" s="43">
        <f>IF(F65="","",IF(COUNTIFS(Programação!$J$4:$J$503,A65,Programação!$F$4:$F$503,"&gt;="&amp;C65,Programação!$F$4:$F$503,"&lt;="&amp;F65,Programação!$N$4:$N$503,"&lt;&gt;Concluído")&gt;0,"Sim — revisar agenda","Não"))</f>
      </c>
      <c r="H65" s="43"/>
      <c r="I65" s="24">
        <f>IF(A65="","",IF(ISNA(MATCH(A65,eq_nome,0)),"ERRO: funcionário não cadastrado",IF(F65="","Pendente: início e dias",IF(G65="Sim — revisar agenda","Verificar: há OS no período","OK"))))</f>
      </c>
    </row>
    <row r="66" spans="1:9" x14ac:dyDescent="0.25">
      <c r="A66" s="28"/>
      <c r="B66" s="43">
        <f>IF(A66="","",IFERROR(INDEX($B$6:$B$45,MATCH(A66,eq_nome,0))&amp;"",""))</f>
      </c>
      <c r="C66" s="30"/>
      <c r="D66" s="29"/>
      <c r="E66" s="52"/>
      <c r="F66" s="53">
        <f>IF(OR(NOT(ISNUMBER(C66)),N(E66)&lt;=0),"",C66+E66-1)</f>
      </c>
      <c r="G66" s="43">
        <f>IF(F66="","",IF(COUNTIFS(Programação!$J$4:$J$503,A66,Programação!$F$4:$F$503,"&gt;="&amp;C66,Programação!$F$4:$F$503,"&lt;="&amp;F66,Programação!$N$4:$N$503,"&lt;&gt;Concluído")&gt;0,"Sim — revisar agenda","Não"))</f>
      </c>
      <c r="H66" s="43"/>
      <c r="I66" s="24">
        <f>IF(A66="","",IF(ISNA(MATCH(A66,eq_nome,0)),"ERRO: funcionário não cadastrado",IF(F66="","Pendente: início e dias",IF(G66="Sim — revisar agenda","Verificar: há OS no período","OK"))))</f>
      </c>
    </row>
    <row r="67" spans="1:9" x14ac:dyDescent="0.25">
      <c r="A67" s="28"/>
      <c r="B67" s="43">
        <f>IF(A67="","",IFERROR(INDEX($B$6:$B$45,MATCH(A67,eq_nome,0))&amp;"",""))</f>
      </c>
      <c r="C67" s="30"/>
      <c r="D67" s="29"/>
      <c r="E67" s="52"/>
      <c r="F67" s="53">
        <f>IF(OR(NOT(ISNUMBER(C67)),N(E67)&lt;=0),"",C67+E67-1)</f>
      </c>
      <c r="G67" s="43">
        <f>IF(F67="","",IF(COUNTIFS(Programação!$J$4:$J$503,A67,Programação!$F$4:$F$503,"&gt;="&amp;C67,Programação!$F$4:$F$503,"&lt;="&amp;F67,Programação!$N$4:$N$503,"&lt;&gt;Concluído")&gt;0,"Sim — revisar agenda","Não"))</f>
      </c>
      <c r="H67" s="43"/>
      <c r="I67" s="24">
        <f>IF(A67="","",IF(ISNA(MATCH(A67,eq_nome,0)),"ERRO: funcionário não cadastrado",IF(F67="","Pendente: início e dias",IF(G67="Sim — revisar agenda","Verificar: há OS no período","OK"))))</f>
      </c>
    </row>
    <row r="68" spans="1:9" x14ac:dyDescent="0.25">
      <c r="A68" s="28"/>
      <c r="B68" s="43">
        <f>IF(A68="","",IFERROR(INDEX($B$6:$B$45,MATCH(A68,eq_nome,0))&amp;"",""))</f>
      </c>
      <c r="C68" s="30"/>
      <c r="D68" s="29"/>
      <c r="E68" s="52"/>
      <c r="F68" s="53">
        <f>IF(OR(NOT(ISNUMBER(C68)),N(E68)&lt;=0),"",C68+E68-1)</f>
      </c>
      <c r="G68" s="43">
        <f>IF(F68="","",IF(COUNTIFS(Programação!$J$4:$J$503,A68,Programação!$F$4:$F$503,"&gt;="&amp;C68,Programação!$F$4:$F$503,"&lt;="&amp;F68,Programação!$N$4:$N$503,"&lt;&gt;Concluído")&gt;0,"Sim — revisar agenda","Não"))</f>
      </c>
      <c r="H68" s="43"/>
      <c r="I68" s="24">
        <f>IF(A68="","",IF(ISNA(MATCH(A68,eq_nome,0)),"ERRO: funcionário não cadastrado",IF(F68="","Pendente: início e dias",IF(G68="Sim — revisar agenda","Verificar: há OS no período","OK"))))</f>
      </c>
    </row>
    <row r="69" spans="1:9" x14ac:dyDescent="0.25">
      <c r="A69" s="28"/>
      <c r="B69" s="43">
        <f>IF(A69="","",IFERROR(INDEX($B$6:$B$45,MATCH(A69,eq_nome,0))&amp;"",""))</f>
      </c>
      <c r="C69" s="30"/>
      <c r="D69" s="29"/>
      <c r="E69" s="52"/>
      <c r="F69" s="53">
        <f>IF(OR(NOT(ISNUMBER(C69)),N(E69)&lt;=0),"",C69+E69-1)</f>
      </c>
      <c r="G69" s="43">
        <f>IF(F69="","",IF(COUNTIFS(Programação!$J$4:$J$503,A69,Programação!$F$4:$F$503,"&gt;="&amp;C69,Programação!$F$4:$F$503,"&lt;="&amp;F69,Programação!$N$4:$N$503,"&lt;&gt;Concluído")&gt;0,"Sim — revisar agenda","Não"))</f>
      </c>
      <c r="H69" s="43"/>
      <c r="I69" s="24">
        <f>IF(A69="","",IF(ISNA(MATCH(A69,eq_nome,0)),"ERRO: funcionário não cadastrado",IF(F69="","Pendente: início e dias",IF(G69="Sim — revisar agenda","Verificar: há OS no período","OK"))))</f>
      </c>
    </row>
    <row r="70" spans="1:9" x14ac:dyDescent="0.25">
      <c r="A70" s="28"/>
      <c r="B70" s="43">
        <f>IF(A70="","",IFERROR(INDEX($B$6:$B$45,MATCH(A70,eq_nome,0))&amp;"",""))</f>
      </c>
      <c r="C70" s="30"/>
      <c r="D70" s="29"/>
      <c r="E70" s="52"/>
      <c r="F70" s="53">
        <f>IF(OR(NOT(ISNUMBER(C70)),N(E70)&lt;=0),"",C70+E70-1)</f>
      </c>
      <c r="G70" s="43">
        <f>IF(F70="","",IF(COUNTIFS(Programação!$J$4:$J$503,A70,Programação!$F$4:$F$503,"&gt;="&amp;C70,Programação!$F$4:$F$503,"&lt;="&amp;F70,Programação!$N$4:$N$503,"&lt;&gt;Concluído")&gt;0,"Sim — revisar agenda","Não"))</f>
      </c>
      <c r="H70" s="43"/>
      <c r="I70" s="24">
        <f>IF(A70="","",IF(ISNA(MATCH(A70,eq_nome,0)),"ERRO: funcionário não cadastrado",IF(F70="","Pendente: início e dias",IF(G70="Sim — revisar agenda","Verificar: há OS no período","OK"))))</f>
      </c>
    </row>
    <row r="71" spans="1:9" x14ac:dyDescent="0.25">
      <c r="A71" s="28"/>
      <c r="B71" s="43">
        <f>IF(A71="","",IFERROR(INDEX($B$6:$B$45,MATCH(A71,eq_nome,0))&amp;"",""))</f>
      </c>
      <c r="C71" s="30"/>
      <c r="D71" s="29"/>
      <c r="E71" s="52"/>
      <c r="F71" s="53">
        <f>IF(OR(NOT(ISNUMBER(C71)),N(E71)&lt;=0),"",C71+E71-1)</f>
      </c>
      <c r="G71" s="43">
        <f>IF(F71="","",IF(COUNTIFS(Programação!$J$4:$J$503,A71,Programação!$F$4:$F$503,"&gt;="&amp;C71,Programação!$F$4:$F$503,"&lt;="&amp;F71,Programação!$N$4:$N$503,"&lt;&gt;Concluído")&gt;0,"Sim — revisar agenda","Não"))</f>
      </c>
      <c r="H71" s="43"/>
      <c r="I71" s="24">
        <f>IF(A71="","",IF(ISNA(MATCH(A71,eq_nome,0)),"ERRO: funcionário não cadastrado",IF(F71="","Pendente: início e dias",IF(G71="Sim — revisar agenda","Verificar: há OS no período","OK"))))</f>
      </c>
    </row>
    <row r="72" spans="1:9" x14ac:dyDescent="0.25">
      <c r="A72" s="28"/>
      <c r="B72" s="43">
        <f>IF(A72="","",IFERROR(INDEX($B$6:$B$45,MATCH(A72,eq_nome,0))&amp;"",""))</f>
      </c>
      <c r="C72" s="30"/>
      <c r="D72" s="29"/>
      <c r="E72" s="52"/>
      <c r="F72" s="53">
        <f>IF(OR(NOT(ISNUMBER(C72)),N(E72)&lt;=0),"",C72+E72-1)</f>
      </c>
      <c r="G72" s="43">
        <f>IF(F72="","",IF(COUNTIFS(Programação!$J$4:$J$503,A72,Programação!$F$4:$F$503,"&gt;="&amp;C72,Programação!$F$4:$F$503,"&lt;="&amp;F72,Programação!$N$4:$N$503,"&lt;&gt;Concluído")&gt;0,"Sim — revisar agenda","Não"))</f>
      </c>
      <c r="H72" s="43"/>
      <c r="I72" s="24">
        <f>IF(A72="","",IF(ISNA(MATCH(A72,eq_nome,0)),"ERRO: funcionário não cadastrado",IF(F72="","Pendente: início e dias",IF(G72="Sim — revisar agenda","Verificar: há OS no período","OK"))))</f>
      </c>
    </row>
    <row r="73" spans="1:9" x14ac:dyDescent="0.25">
      <c r="A73" s="28"/>
      <c r="B73" s="43">
        <f>IF(A73="","",IFERROR(INDEX($B$6:$B$45,MATCH(A73,eq_nome,0))&amp;"",""))</f>
      </c>
      <c r="C73" s="30"/>
      <c r="D73" s="29"/>
      <c r="E73" s="52"/>
      <c r="F73" s="53">
        <f>IF(OR(NOT(ISNUMBER(C73)),N(E73)&lt;=0),"",C73+E73-1)</f>
      </c>
      <c r="G73" s="43">
        <f>IF(F73="","",IF(COUNTIFS(Programação!$J$4:$J$503,A73,Programação!$F$4:$F$503,"&gt;="&amp;C73,Programação!$F$4:$F$503,"&lt;="&amp;F73,Programação!$N$4:$N$503,"&lt;&gt;Concluído")&gt;0,"Sim — revisar agenda","Não"))</f>
      </c>
      <c r="H73" s="43"/>
      <c r="I73" s="24">
        <f>IF(A73="","",IF(ISNA(MATCH(A73,eq_nome,0)),"ERRO: funcionário não cadastrado",IF(F73="","Pendente: início e dias",IF(G73="Sim — revisar agenda","Verificar: há OS no período","OK"))))</f>
      </c>
    </row>
    <row r="74" spans="1:9" x14ac:dyDescent="0.25">
      <c r="A74" s="28"/>
      <c r="B74" s="43">
        <f>IF(A74="","",IFERROR(INDEX($B$6:$B$45,MATCH(A74,eq_nome,0))&amp;"",""))</f>
      </c>
      <c r="C74" s="30"/>
      <c r="D74" s="29"/>
      <c r="E74" s="52"/>
      <c r="F74" s="53">
        <f>IF(OR(NOT(ISNUMBER(C74)),N(E74)&lt;=0),"",C74+E74-1)</f>
      </c>
      <c r="G74" s="43">
        <f>IF(F74="","",IF(COUNTIFS(Programação!$J$4:$J$503,A74,Programação!$F$4:$F$503,"&gt;="&amp;C74,Programação!$F$4:$F$503,"&lt;="&amp;F74,Programação!$N$4:$N$503,"&lt;&gt;Concluído")&gt;0,"Sim — revisar agenda","Não"))</f>
      </c>
      <c r="H74" s="43"/>
      <c r="I74" s="24">
        <f>IF(A74="","",IF(ISNA(MATCH(A74,eq_nome,0)),"ERRO: funcionário não cadastrado",IF(F74="","Pendente: início e dias",IF(G74="Sim — revisar agenda","Verificar: há OS no período","OK"))))</f>
      </c>
    </row>
    <row r="75" spans="1:9" x14ac:dyDescent="0.25">
      <c r="A75" s="28"/>
      <c r="B75" s="43">
        <f>IF(A75="","",IFERROR(INDEX($B$6:$B$45,MATCH(A75,eq_nome,0))&amp;"",""))</f>
      </c>
      <c r="C75" s="30"/>
      <c r="D75" s="29"/>
      <c r="E75" s="52"/>
      <c r="F75" s="53">
        <f>IF(OR(NOT(ISNUMBER(C75)),N(E75)&lt;=0),"",C75+E75-1)</f>
      </c>
      <c r="G75" s="43">
        <f>IF(F75="","",IF(COUNTIFS(Programação!$J$4:$J$503,A75,Programação!$F$4:$F$503,"&gt;="&amp;C75,Programação!$F$4:$F$503,"&lt;="&amp;F75,Programação!$N$4:$N$503,"&lt;&gt;Concluído")&gt;0,"Sim — revisar agenda","Não"))</f>
      </c>
      <c r="H75" s="43"/>
      <c r="I75" s="24">
        <f>IF(A75="","",IF(ISNA(MATCH(A75,eq_nome,0)),"ERRO: funcionário não cadastrado",IF(F75="","Pendente: início e dias",IF(G75="Sim — revisar agenda","Verificar: há OS no período","OK"))))</f>
      </c>
    </row>
    <row r="76" spans="1:9" x14ac:dyDescent="0.25">
      <c r="A76" s="28"/>
      <c r="B76" s="43">
        <f>IF(A76="","",IFERROR(INDEX($B$6:$B$45,MATCH(A76,eq_nome,0))&amp;"",""))</f>
      </c>
      <c r="C76" s="30"/>
      <c r="D76" s="29"/>
      <c r="E76" s="52"/>
      <c r="F76" s="53">
        <f>IF(OR(NOT(ISNUMBER(C76)),N(E76)&lt;=0),"",C76+E76-1)</f>
      </c>
      <c r="G76" s="43">
        <f>IF(F76="","",IF(COUNTIFS(Programação!$J$4:$J$503,A76,Programação!$F$4:$F$503,"&gt;="&amp;C76,Programação!$F$4:$F$503,"&lt;="&amp;F76,Programação!$N$4:$N$503,"&lt;&gt;Concluído")&gt;0,"Sim — revisar agenda","Não"))</f>
      </c>
      <c r="H76" s="43"/>
      <c r="I76" s="24">
        <f>IF(A76="","",IF(ISNA(MATCH(A76,eq_nome,0)),"ERRO: funcionário não cadastrado",IF(F76="","Pendente: início e dias",IF(G76="Sim — revisar agenda","Verificar: há OS no período","OK"))))</f>
      </c>
    </row>
    <row r="77" spans="1:9" x14ac:dyDescent="0.25">
      <c r="A77" s="28"/>
      <c r="B77" s="43">
        <f>IF(A77="","",IFERROR(INDEX($B$6:$B$45,MATCH(A77,eq_nome,0))&amp;"",""))</f>
      </c>
      <c r="C77" s="30"/>
      <c r="D77" s="29"/>
      <c r="E77" s="52"/>
      <c r="F77" s="53">
        <f>IF(OR(NOT(ISNUMBER(C77)),N(E77)&lt;=0),"",C77+E77-1)</f>
      </c>
      <c r="G77" s="43">
        <f>IF(F77="","",IF(COUNTIFS(Programação!$J$4:$J$503,A77,Programação!$F$4:$F$503,"&gt;="&amp;C77,Programação!$F$4:$F$503,"&lt;="&amp;F77,Programação!$N$4:$N$503,"&lt;&gt;Concluído")&gt;0,"Sim — revisar agenda","Não"))</f>
      </c>
      <c r="H77" s="43"/>
      <c r="I77" s="24">
        <f>IF(A77="","",IF(ISNA(MATCH(A77,eq_nome,0)),"ERRO: funcionário não cadastrado",IF(F77="","Pendente: início e dias",IF(G77="Sim — revisar agenda","Verificar: há OS no período","OK"))))</f>
      </c>
    </row>
    <row r="78" spans="1:9" x14ac:dyDescent="0.25">
      <c r="A78" s="28"/>
      <c r="B78" s="43">
        <f>IF(A78="","",IFERROR(INDEX($B$6:$B$45,MATCH(A78,eq_nome,0))&amp;"",""))</f>
      </c>
      <c r="C78" s="30"/>
      <c r="D78" s="29"/>
      <c r="E78" s="52"/>
      <c r="F78" s="53">
        <f>IF(OR(NOT(ISNUMBER(C78)),N(E78)&lt;=0),"",C78+E78-1)</f>
      </c>
      <c r="G78" s="43">
        <f>IF(F78="","",IF(COUNTIFS(Programação!$J$4:$J$503,A78,Programação!$F$4:$F$503,"&gt;="&amp;C78,Programação!$F$4:$F$503,"&lt;="&amp;F78,Programação!$N$4:$N$503,"&lt;&gt;Concluído")&gt;0,"Sim — revisar agenda","Não"))</f>
      </c>
      <c r="H78" s="43"/>
      <c r="I78" s="24">
        <f>IF(A78="","",IF(ISNA(MATCH(A78,eq_nome,0)),"ERRO: funcionário não cadastrado",IF(F78="","Pendente: início e dias",IF(G78="Sim — revisar agenda","Verificar: há OS no período","OK"))))</f>
      </c>
    </row>
    <row r="79" spans="1:9" x14ac:dyDescent="0.25">
      <c r="A79" s="28"/>
      <c r="B79" s="43">
        <f>IF(A79="","",IFERROR(INDEX($B$6:$B$45,MATCH(A79,eq_nome,0))&amp;"",""))</f>
      </c>
      <c r="C79" s="30"/>
      <c r="D79" s="29"/>
      <c r="E79" s="52"/>
      <c r="F79" s="53">
        <f>IF(OR(NOT(ISNUMBER(C79)),N(E79)&lt;=0),"",C79+E79-1)</f>
      </c>
      <c r="G79" s="43">
        <f>IF(F79="","",IF(COUNTIFS(Programação!$J$4:$J$503,A79,Programação!$F$4:$F$503,"&gt;="&amp;C79,Programação!$F$4:$F$503,"&lt;="&amp;F79,Programação!$N$4:$N$503,"&lt;&gt;Concluído")&gt;0,"Sim — revisar agenda","Não"))</f>
      </c>
      <c r="H79" s="43"/>
      <c r="I79" s="24">
        <f>IF(A79="","",IF(ISNA(MATCH(A79,eq_nome,0)),"ERRO: funcionário não cadastrado",IF(F79="","Pendente: início e dias",IF(G79="Sim — revisar agenda","Verificar: há OS no período","OK"))))</f>
      </c>
    </row>
    <row r="80" spans="1:9" x14ac:dyDescent="0.25">
      <c r="A80" s="28"/>
      <c r="B80" s="43">
        <f>IF(A80="","",IFERROR(INDEX($B$6:$B$45,MATCH(A80,eq_nome,0))&amp;"",""))</f>
      </c>
      <c r="C80" s="30"/>
      <c r="D80" s="29"/>
      <c r="E80" s="52"/>
      <c r="F80" s="53">
        <f>IF(OR(NOT(ISNUMBER(C80)),N(E80)&lt;=0),"",C80+E80-1)</f>
      </c>
      <c r="G80" s="43">
        <f>IF(F80="","",IF(COUNTIFS(Programação!$J$4:$J$503,A80,Programação!$F$4:$F$503,"&gt;="&amp;C80,Programação!$F$4:$F$503,"&lt;="&amp;F80,Programação!$N$4:$N$503,"&lt;&gt;Concluído")&gt;0,"Sim — revisar agenda","Não"))</f>
      </c>
      <c r="H80" s="43"/>
      <c r="I80" s="24">
        <f>IF(A80="","",IF(ISNA(MATCH(A80,eq_nome,0)),"ERRO: funcionário não cadastrado",IF(F80="","Pendente: início e dias",IF(G80="Sim — revisar agenda","Verificar: há OS no período","OK"))))</f>
      </c>
    </row>
    <row r="81" spans="1:9" x14ac:dyDescent="0.25">
      <c r="A81" s="28"/>
      <c r="B81" s="43">
        <f>IF(A81="","",IFERROR(INDEX($B$6:$B$45,MATCH(A81,eq_nome,0))&amp;"",""))</f>
      </c>
      <c r="C81" s="30"/>
      <c r="D81" s="29"/>
      <c r="E81" s="52"/>
      <c r="F81" s="53">
        <f>IF(OR(NOT(ISNUMBER(C81)),N(E81)&lt;=0),"",C81+E81-1)</f>
      </c>
      <c r="G81" s="43">
        <f>IF(F81="","",IF(COUNTIFS(Programação!$J$4:$J$503,A81,Programação!$F$4:$F$503,"&gt;="&amp;C81,Programação!$F$4:$F$503,"&lt;="&amp;F81,Programação!$N$4:$N$503,"&lt;&gt;Concluído")&gt;0,"Sim — revisar agenda","Não"))</f>
      </c>
      <c r="H81" s="43"/>
      <c r="I81" s="24">
        <f>IF(A81="","",IF(ISNA(MATCH(A81,eq_nome,0)),"ERRO: funcionário não cadastrado",IF(F81="","Pendente: início e dias",IF(G81="Sim — revisar agenda","Verificar: há OS no período","OK"))))</f>
      </c>
    </row>
    <row r="82" spans="1:9" x14ac:dyDescent="0.25">
      <c r="A82" s="28"/>
      <c r="B82" s="43">
        <f>IF(A82="","",IFERROR(INDEX($B$6:$B$45,MATCH(A82,eq_nome,0))&amp;"",""))</f>
      </c>
      <c r="C82" s="30"/>
      <c r="D82" s="29"/>
      <c r="E82" s="52"/>
      <c r="F82" s="53">
        <f>IF(OR(NOT(ISNUMBER(C82)),N(E82)&lt;=0),"",C82+E82-1)</f>
      </c>
      <c r="G82" s="43">
        <f>IF(F82="","",IF(COUNTIFS(Programação!$J$4:$J$503,A82,Programação!$F$4:$F$503,"&gt;="&amp;C82,Programação!$F$4:$F$503,"&lt;="&amp;F82,Programação!$N$4:$N$503,"&lt;&gt;Concluído")&gt;0,"Sim — revisar agenda","Não"))</f>
      </c>
      <c r="H82" s="43"/>
      <c r="I82" s="24">
        <f>IF(A82="","",IF(ISNA(MATCH(A82,eq_nome,0)),"ERRO: funcionário não cadastrado",IF(F82="","Pendente: início e dias",IF(G82="Sim — revisar agenda","Verificar: há OS no período","OK"))))</f>
      </c>
    </row>
    <row r="83" spans="1:9" x14ac:dyDescent="0.25">
      <c r="A83" s="28"/>
      <c r="B83" s="43">
        <f>IF(A83="","",IFERROR(INDEX($B$6:$B$45,MATCH(A83,eq_nome,0))&amp;"",""))</f>
      </c>
      <c r="C83" s="30"/>
      <c r="D83" s="29"/>
      <c r="E83" s="52"/>
      <c r="F83" s="53">
        <f>IF(OR(NOT(ISNUMBER(C83)),N(E83)&lt;=0),"",C83+E83-1)</f>
      </c>
      <c r="G83" s="43">
        <f>IF(F83="","",IF(COUNTIFS(Programação!$J$4:$J$503,A83,Programação!$F$4:$F$503,"&gt;="&amp;C83,Programação!$F$4:$F$503,"&lt;="&amp;F83,Programação!$N$4:$N$503,"&lt;&gt;Concluído")&gt;0,"Sim — revisar agenda","Não"))</f>
      </c>
      <c r="H83" s="43"/>
      <c r="I83" s="24">
        <f>IF(A83="","",IF(ISNA(MATCH(A83,eq_nome,0)),"ERRO: funcionário não cadastrado",IF(F83="","Pendente: início e dias",IF(G83="Sim — revisar agenda","Verificar: há OS no período","OK"))))</f>
      </c>
    </row>
    <row r="84" spans="1:9" x14ac:dyDescent="0.25">
      <c r="A84" s="28"/>
      <c r="B84" s="43">
        <f>IF(A84="","",IFERROR(INDEX($B$6:$B$45,MATCH(A84,eq_nome,0))&amp;"",""))</f>
      </c>
      <c r="C84" s="30"/>
      <c r="D84" s="29"/>
      <c r="E84" s="52"/>
      <c r="F84" s="53">
        <f>IF(OR(NOT(ISNUMBER(C84)),N(E84)&lt;=0),"",C84+E84-1)</f>
      </c>
      <c r="G84" s="43">
        <f>IF(F84="","",IF(COUNTIFS(Programação!$J$4:$J$503,A84,Programação!$F$4:$F$503,"&gt;="&amp;C84,Programação!$F$4:$F$503,"&lt;="&amp;F84,Programação!$N$4:$N$503,"&lt;&gt;Concluído")&gt;0,"Sim — revisar agenda","Não"))</f>
      </c>
      <c r="H84" s="43"/>
      <c r="I84" s="24">
        <f>IF(A84="","",IF(ISNA(MATCH(A84,eq_nome,0)),"ERRO: funcionário não cadastrado",IF(F84="","Pendente: início e dias",IF(G84="Sim — revisar agenda","Verificar: há OS no período","OK"))))</f>
      </c>
    </row>
    <row r="85" spans="1:9" x14ac:dyDescent="0.25">
      <c r="A85" s="28"/>
      <c r="B85" s="43">
        <f>IF(A85="","",IFERROR(INDEX($B$6:$B$45,MATCH(A85,eq_nome,0))&amp;"",""))</f>
      </c>
      <c r="C85" s="30"/>
      <c r="D85" s="29"/>
      <c r="E85" s="52"/>
      <c r="F85" s="53">
        <f>IF(OR(NOT(ISNUMBER(C85)),N(E85)&lt;=0),"",C85+E85-1)</f>
      </c>
      <c r="G85" s="43">
        <f>IF(F85="","",IF(COUNTIFS(Programação!$J$4:$J$503,A85,Programação!$F$4:$F$503,"&gt;="&amp;C85,Programação!$F$4:$F$503,"&lt;="&amp;F85,Programação!$N$4:$N$503,"&lt;&gt;Concluído")&gt;0,"Sim — revisar agenda","Não"))</f>
      </c>
      <c r="H85" s="43"/>
      <c r="I85" s="24">
        <f>IF(A85="","",IF(ISNA(MATCH(A85,eq_nome,0)),"ERRO: funcionário não cadastrado",IF(F85="","Pendente: início e dias",IF(G85="Sim — revisar agenda","Verificar: há OS no período","OK"))))</f>
      </c>
    </row>
    <row r="86" spans="1:9" x14ac:dyDescent="0.25">
      <c r="A86" s="28"/>
      <c r="B86" s="43">
        <f>IF(A86="","",IFERROR(INDEX($B$6:$B$45,MATCH(A86,eq_nome,0))&amp;"",""))</f>
      </c>
      <c r="C86" s="30"/>
      <c r="D86" s="29"/>
      <c r="E86" s="52"/>
      <c r="F86" s="53">
        <f>IF(OR(NOT(ISNUMBER(C86)),N(E86)&lt;=0),"",C86+E86-1)</f>
      </c>
      <c r="G86" s="43">
        <f>IF(F86="","",IF(COUNTIFS(Programação!$J$4:$J$503,A86,Programação!$F$4:$F$503,"&gt;="&amp;C86,Programação!$F$4:$F$503,"&lt;="&amp;F86,Programação!$N$4:$N$503,"&lt;&gt;Concluído")&gt;0,"Sim — revisar agenda","Não"))</f>
      </c>
      <c r="H86" s="43"/>
      <c r="I86" s="24">
        <f>IF(A86="","",IF(ISNA(MATCH(A86,eq_nome,0)),"ERRO: funcionário não cadastrado",IF(F86="","Pendente: início e dias",IF(G86="Sim — revisar agenda","Verificar: há OS no período","OK"))))</f>
      </c>
    </row>
    <row r="87" spans="1:9" x14ac:dyDescent="0.25">
      <c r="A87" s="28"/>
      <c r="B87" s="43">
        <f>IF(A87="","",IFERROR(INDEX($B$6:$B$45,MATCH(A87,eq_nome,0))&amp;"",""))</f>
      </c>
      <c r="C87" s="30"/>
      <c r="D87" s="29"/>
      <c r="E87" s="52"/>
      <c r="F87" s="53">
        <f>IF(OR(NOT(ISNUMBER(C87)),N(E87)&lt;=0),"",C87+E87-1)</f>
      </c>
      <c r="G87" s="43">
        <f>IF(F87="","",IF(COUNTIFS(Programação!$J$4:$J$503,A87,Programação!$F$4:$F$503,"&gt;="&amp;C87,Programação!$F$4:$F$503,"&lt;="&amp;F87,Programação!$N$4:$N$503,"&lt;&gt;Concluído")&gt;0,"Sim — revisar agenda","Não"))</f>
      </c>
      <c r="H87" s="43"/>
      <c r="I87" s="24">
        <f>IF(A87="","",IF(ISNA(MATCH(A87,eq_nome,0)),"ERRO: funcionário não cadastrado",IF(F87="","Pendente: início e dias",IF(G87="Sim — revisar agenda","Verificar: há OS no período","OK"))))</f>
      </c>
    </row>
    <row r="88" spans="1:9" x14ac:dyDescent="0.25">
      <c r="A88" s="28"/>
      <c r="B88" s="43">
        <f>IF(A88="","",IFERROR(INDEX($B$6:$B$45,MATCH(A88,eq_nome,0))&amp;"",""))</f>
      </c>
      <c r="C88" s="30"/>
      <c r="D88" s="29"/>
      <c r="E88" s="52"/>
      <c r="F88" s="53">
        <f>IF(OR(NOT(ISNUMBER(C88)),N(E88)&lt;=0),"",C88+E88-1)</f>
      </c>
      <c r="G88" s="43">
        <f>IF(F88="","",IF(COUNTIFS(Programação!$J$4:$J$503,A88,Programação!$F$4:$F$503,"&gt;="&amp;C88,Programação!$F$4:$F$503,"&lt;="&amp;F88,Programação!$N$4:$N$503,"&lt;&gt;Concluído")&gt;0,"Sim — revisar agenda","Não"))</f>
      </c>
      <c r="H88" s="43"/>
      <c r="I88" s="24">
        <f>IF(A88="","",IF(ISNA(MATCH(A88,eq_nome,0)),"ERRO: funcionário não cadastrado",IF(F88="","Pendente: início e dias",IF(G88="Sim — revisar agenda","Verificar: há OS no período","OK"))))</f>
      </c>
    </row>
    <row r="89" spans="1:9" x14ac:dyDescent="0.25">
      <c r="A89" s="28"/>
      <c r="B89" s="43">
        <f>IF(A89="","",IFERROR(INDEX($B$6:$B$45,MATCH(A89,eq_nome,0))&amp;"",""))</f>
      </c>
      <c r="C89" s="30"/>
      <c r="D89" s="29"/>
      <c r="E89" s="52"/>
      <c r="F89" s="53">
        <f>IF(OR(NOT(ISNUMBER(C89)),N(E89)&lt;=0),"",C89+E89-1)</f>
      </c>
      <c r="G89" s="43">
        <f>IF(F89="","",IF(COUNTIFS(Programação!$J$4:$J$503,A89,Programação!$F$4:$F$503,"&gt;="&amp;C89,Programação!$F$4:$F$503,"&lt;="&amp;F89,Programação!$N$4:$N$503,"&lt;&gt;Concluído")&gt;0,"Sim — revisar agenda","Não"))</f>
      </c>
      <c r="H89" s="43"/>
      <c r="I89" s="24">
        <f>IF(A89="","",IF(ISNA(MATCH(A89,eq_nome,0)),"ERRO: funcionário não cadastrado",IF(F89="","Pendente: início e dias",IF(G89="Sim — revisar agenda","Verificar: há OS no período","OK"))))</f>
      </c>
    </row>
    <row r="90" spans="1:9" x14ac:dyDescent="0.25">
      <c r="A90" s="28"/>
      <c r="B90" s="43">
        <f>IF(A90="","",IFERROR(INDEX($B$6:$B$45,MATCH(A90,eq_nome,0))&amp;"",""))</f>
      </c>
      <c r="C90" s="30"/>
      <c r="D90" s="29"/>
      <c r="E90" s="52"/>
      <c r="F90" s="53">
        <f>IF(OR(NOT(ISNUMBER(C90)),N(E90)&lt;=0),"",C90+E90-1)</f>
      </c>
      <c r="G90" s="43">
        <f>IF(F90="","",IF(COUNTIFS(Programação!$J$4:$J$503,A90,Programação!$F$4:$F$503,"&gt;="&amp;C90,Programação!$F$4:$F$503,"&lt;="&amp;F90,Programação!$N$4:$N$503,"&lt;&gt;Concluído")&gt;0,"Sim — revisar agenda","Não"))</f>
      </c>
      <c r="H90" s="43"/>
      <c r="I90" s="24">
        <f>IF(A90="","",IF(ISNA(MATCH(A90,eq_nome,0)),"ERRO: funcionário não cadastrado",IF(F90="","Pendente: início e dias",IF(G90="Sim — revisar agenda","Verificar: há OS no período","OK"))))</f>
      </c>
    </row>
    <row r="91" spans="1:9" x14ac:dyDescent="0.25">
      <c r="A91" s="28"/>
      <c r="B91" s="43">
        <f>IF(A91="","",IFERROR(INDEX($B$6:$B$45,MATCH(A91,eq_nome,0))&amp;"",""))</f>
      </c>
      <c r="C91" s="30"/>
      <c r="D91" s="29"/>
      <c r="E91" s="52"/>
      <c r="F91" s="53">
        <f>IF(OR(NOT(ISNUMBER(C91)),N(E91)&lt;=0),"",C91+E91-1)</f>
      </c>
      <c r="G91" s="43">
        <f>IF(F91="","",IF(COUNTIFS(Programação!$J$4:$J$503,A91,Programação!$F$4:$F$503,"&gt;="&amp;C91,Programação!$F$4:$F$503,"&lt;="&amp;F91,Programação!$N$4:$N$503,"&lt;&gt;Concluído")&gt;0,"Sim — revisar agenda","Não"))</f>
      </c>
      <c r="H91" s="43"/>
      <c r="I91" s="24">
        <f>IF(A91="","",IF(ISNA(MATCH(A91,eq_nome,0)),"ERRO: funcionário não cadastrado",IF(F91="","Pendente: início e dias",IF(G91="Sim — revisar agenda","Verificar: há OS no período","OK"))))</f>
      </c>
    </row>
    <row r="92" spans="1:9" x14ac:dyDescent="0.25">
      <c r="A92" s="28"/>
      <c r="B92" s="43">
        <f>IF(A92="","",IFERROR(INDEX($B$6:$B$45,MATCH(A92,eq_nome,0))&amp;"",""))</f>
      </c>
      <c r="C92" s="30"/>
      <c r="D92" s="29"/>
      <c r="E92" s="52"/>
      <c r="F92" s="53">
        <f>IF(OR(NOT(ISNUMBER(C92)),N(E92)&lt;=0),"",C92+E92-1)</f>
      </c>
      <c r="G92" s="43">
        <f>IF(F92="","",IF(COUNTIFS(Programação!$J$4:$J$503,A92,Programação!$F$4:$F$503,"&gt;="&amp;C92,Programação!$F$4:$F$503,"&lt;="&amp;F92,Programação!$N$4:$N$503,"&lt;&gt;Concluído")&gt;0,"Sim — revisar agenda","Não"))</f>
      </c>
      <c r="H92" s="43"/>
      <c r="I92" s="24">
        <f>IF(A92="","",IF(ISNA(MATCH(A92,eq_nome,0)),"ERRO: funcionário não cadastrado",IF(F92="","Pendente: início e dias",IF(G92="Sim — revisar agenda","Verificar: há OS no período","OK"))))</f>
      </c>
    </row>
    <row r="93" spans="1:9" x14ac:dyDescent="0.25">
      <c r="A93" s="28"/>
      <c r="B93" s="43">
        <f>IF(A93="","",IFERROR(INDEX($B$6:$B$45,MATCH(A93,eq_nome,0))&amp;"",""))</f>
      </c>
      <c r="C93" s="30"/>
      <c r="D93" s="29"/>
      <c r="E93" s="52"/>
      <c r="F93" s="53">
        <f>IF(OR(NOT(ISNUMBER(C93)),N(E93)&lt;=0),"",C93+E93-1)</f>
      </c>
      <c r="G93" s="43">
        <f>IF(F93="","",IF(COUNTIFS(Programação!$J$4:$J$503,A93,Programação!$F$4:$F$503,"&gt;="&amp;C93,Programação!$F$4:$F$503,"&lt;="&amp;F93,Programação!$N$4:$N$503,"&lt;&gt;Concluído")&gt;0,"Sim — revisar agenda","Não"))</f>
      </c>
      <c r="H93" s="43"/>
      <c r="I93" s="24">
        <f>IF(A93="","",IF(ISNA(MATCH(A93,eq_nome,0)),"ERRO: funcionário não cadastrado",IF(F93="","Pendente: início e dias",IF(G93="Sim — revisar agenda","Verificar: há OS no período","OK"))))</f>
      </c>
    </row>
    <row r="94" spans="1:9" x14ac:dyDescent="0.25">
      <c r="A94" s="28"/>
      <c r="B94" s="43">
        <f>IF(A94="","",IFERROR(INDEX($B$6:$B$45,MATCH(A94,eq_nome,0))&amp;"",""))</f>
      </c>
      <c r="C94" s="30"/>
      <c r="D94" s="29"/>
      <c r="E94" s="52"/>
      <c r="F94" s="53">
        <f>IF(OR(NOT(ISNUMBER(C94)),N(E94)&lt;=0),"",C94+E94-1)</f>
      </c>
      <c r="G94" s="43">
        <f>IF(F94="","",IF(COUNTIFS(Programação!$J$4:$J$503,A94,Programação!$F$4:$F$503,"&gt;="&amp;C94,Programação!$F$4:$F$503,"&lt;="&amp;F94,Programação!$N$4:$N$503,"&lt;&gt;Concluído")&gt;0,"Sim — revisar agenda","Não"))</f>
      </c>
      <c r="H94" s="43"/>
      <c r="I94" s="24">
        <f>IF(A94="","",IF(ISNA(MATCH(A94,eq_nome,0)),"ERRO: funcionário não cadastrado",IF(F94="","Pendente: início e dias",IF(G94="Sim — revisar agenda","Verificar: há OS no período","OK"))))</f>
      </c>
    </row>
    <row r="95" spans="1:9" x14ac:dyDescent="0.25">
      <c r="A95" s="28"/>
      <c r="B95" s="43">
        <f>IF(A95="","",IFERROR(INDEX($B$6:$B$45,MATCH(A95,eq_nome,0))&amp;"",""))</f>
      </c>
      <c r="C95" s="30"/>
      <c r="D95" s="29"/>
      <c r="E95" s="52"/>
      <c r="F95" s="53">
        <f>IF(OR(NOT(ISNUMBER(C95)),N(E95)&lt;=0),"",C95+E95-1)</f>
      </c>
      <c r="G95" s="43">
        <f>IF(F95="","",IF(COUNTIFS(Programação!$J$4:$J$503,A95,Programação!$F$4:$F$503,"&gt;="&amp;C95,Programação!$F$4:$F$503,"&lt;="&amp;F95,Programação!$N$4:$N$503,"&lt;&gt;Concluído")&gt;0,"Sim — revisar agenda","Não"))</f>
      </c>
      <c r="H95" s="43"/>
      <c r="I95" s="24">
        <f>IF(A95="","",IF(ISNA(MATCH(A95,eq_nome,0)),"ERRO: funcionário não cadastrado",IF(F95="","Pendente: início e dias",IF(G95="Sim — revisar agenda","Verificar: há OS no período","OK"))))</f>
      </c>
    </row>
    <row r="96" spans="1:9" x14ac:dyDescent="0.25">
      <c r="A96" s="28"/>
      <c r="B96" s="43">
        <f>IF(A96="","",IFERROR(INDEX($B$6:$B$45,MATCH(A96,eq_nome,0))&amp;"",""))</f>
      </c>
      <c r="C96" s="30"/>
      <c r="D96" s="29"/>
      <c r="E96" s="52"/>
      <c r="F96" s="53">
        <f>IF(OR(NOT(ISNUMBER(C96)),N(E96)&lt;=0),"",C96+E96-1)</f>
      </c>
      <c r="G96" s="43">
        <f>IF(F96="","",IF(COUNTIFS(Programação!$J$4:$J$503,A96,Programação!$F$4:$F$503,"&gt;="&amp;C96,Programação!$F$4:$F$503,"&lt;="&amp;F96,Programação!$N$4:$N$503,"&lt;&gt;Concluído")&gt;0,"Sim — revisar agenda","Não"))</f>
      </c>
      <c r="H96" s="43"/>
      <c r="I96" s="24">
        <f>IF(A96="","",IF(ISNA(MATCH(A96,eq_nome,0)),"ERRO: funcionário não cadastrado",IF(F96="","Pendente: início e dias",IF(G96="Sim — revisar agenda","Verificar: há OS no período","OK"))))</f>
      </c>
    </row>
    <row r="97" spans="1:9" x14ac:dyDescent="0.25">
      <c r="A97" s="28"/>
      <c r="B97" s="43">
        <f>IF(A97="","",IFERROR(INDEX($B$6:$B$45,MATCH(A97,eq_nome,0))&amp;"",""))</f>
      </c>
      <c r="C97" s="30"/>
      <c r="D97" s="29"/>
      <c r="E97" s="52"/>
      <c r="F97" s="53">
        <f>IF(OR(NOT(ISNUMBER(C97)),N(E97)&lt;=0),"",C97+E97-1)</f>
      </c>
      <c r="G97" s="43">
        <f>IF(F97="","",IF(COUNTIFS(Programação!$J$4:$J$503,A97,Programação!$F$4:$F$503,"&gt;="&amp;C97,Programação!$F$4:$F$503,"&lt;="&amp;F97,Programação!$N$4:$N$503,"&lt;&gt;Concluído")&gt;0,"Sim — revisar agenda","Não"))</f>
      </c>
      <c r="H97" s="43"/>
      <c r="I97" s="24">
        <f>IF(A97="","",IF(ISNA(MATCH(A97,eq_nome,0)),"ERRO: funcionário não cadastrado",IF(F97="","Pendente: início e dias",IF(G97="Sim — revisar agenda","Verificar: há OS no período","OK"))))</f>
      </c>
    </row>
    <row r="98" spans="1:9" x14ac:dyDescent="0.25">
      <c r="A98" s="28"/>
      <c r="B98" s="43">
        <f>IF(A98="","",IFERROR(INDEX($B$6:$B$45,MATCH(A98,eq_nome,0))&amp;"",""))</f>
      </c>
      <c r="C98" s="30"/>
      <c r="D98" s="29"/>
      <c r="E98" s="52"/>
      <c r="F98" s="53">
        <f>IF(OR(NOT(ISNUMBER(C98)),N(E98)&lt;=0),"",C98+E98-1)</f>
      </c>
      <c r="G98" s="43">
        <f>IF(F98="","",IF(COUNTIFS(Programação!$J$4:$J$503,A98,Programação!$F$4:$F$503,"&gt;="&amp;C98,Programação!$F$4:$F$503,"&lt;="&amp;F98,Programação!$N$4:$N$503,"&lt;&gt;Concluído")&gt;0,"Sim — revisar agenda","Não"))</f>
      </c>
      <c r="H98" s="43"/>
      <c r="I98" s="24">
        <f>IF(A98="","",IF(ISNA(MATCH(A98,eq_nome,0)),"ERRO: funcionário não cadastrado",IF(F98="","Pendente: início e dias",IF(G98="Sim — revisar agenda","Verificar: há OS no período","OK"))))</f>
      </c>
    </row>
    <row r="99" spans="1:9" x14ac:dyDescent="0.25">
      <c r="A99" s="28"/>
      <c r="B99" s="43">
        <f>IF(A99="","",IFERROR(INDEX($B$6:$B$45,MATCH(A99,eq_nome,0))&amp;"",""))</f>
      </c>
      <c r="C99" s="30"/>
      <c r="D99" s="29"/>
      <c r="E99" s="52"/>
      <c r="F99" s="53">
        <f>IF(OR(NOT(ISNUMBER(C99)),N(E99)&lt;=0),"",C99+E99-1)</f>
      </c>
      <c r="G99" s="43">
        <f>IF(F99="","",IF(COUNTIFS(Programação!$J$4:$J$503,A99,Programação!$F$4:$F$503,"&gt;="&amp;C99,Programação!$F$4:$F$503,"&lt;="&amp;F99,Programação!$N$4:$N$503,"&lt;&gt;Concluído")&gt;0,"Sim — revisar agenda","Não"))</f>
      </c>
      <c r="H99" s="43"/>
      <c r="I99" s="24">
        <f>IF(A99="","",IF(ISNA(MATCH(A99,eq_nome,0)),"ERRO: funcionário não cadastrado",IF(F99="","Pendente: início e dias",IF(G99="Sim — revisar agenda","Verificar: há OS no período","OK"))))</f>
      </c>
    </row>
    <row r="100" spans="1:9" x14ac:dyDescent="0.25">
      <c r="A100" s="28"/>
      <c r="B100" s="43">
        <f>IF(A100="","",IFERROR(INDEX($B$6:$B$45,MATCH(A100,eq_nome,0))&amp;"",""))</f>
      </c>
      <c r="C100" s="30"/>
      <c r="D100" s="29"/>
      <c r="E100" s="52"/>
      <c r="F100" s="53">
        <f>IF(OR(NOT(ISNUMBER(C100)),N(E100)&lt;=0),"",C100+E100-1)</f>
      </c>
      <c r="G100" s="43">
        <f>IF(F100="","",IF(COUNTIFS(Programação!$J$4:$J$503,A100,Programação!$F$4:$F$503,"&gt;="&amp;C100,Programação!$F$4:$F$503,"&lt;="&amp;F100,Programação!$N$4:$N$503,"&lt;&gt;Concluído")&gt;0,"Sim — revisar agenda","Não"))</f>
      </c>
      <c r="H100" s="43"/>
      <c r="I100" s="24">
        <f>IF(A100="","",IF(ISNA(MATCH(A100,eq_nome,0)),"ERRO: funcionário não cadastrado",IF(F100="","Pendente: início e dias",IF(G100="Sim — revisar agenda","Verificar: há OS no período","OK"))))</f>
      </c>
    </row>
    <row r="101" spans="1:9" x14ac:dyDescent="0.25">
      <c r="A101" s="28"/>
      <c r="B101" s="43">
        <f>IF(A101="","",IFERROR(INDEX($B$6:$B$45,MATCH(A101,eq_nome,0))&amp;"",""))</f>
      </c>
      <c r="C101" s="30"/>
      <c r="D101" s="29"/>
      <c r="E101" s="52"/>
      <c r="F101" s="53">
        <f>IF(OR(NOT(ISNUMBER(C101)),N(E101)&lt;=0),"",C101+E101-1)</f>
      </c>
      <c r="G101" s="43">
        <f>IF(F101="","",IF(COUNTIFS(Programação!$J$4:$J$503,A101,Programação!$F$4:$F$503,"&gt;="&amp;C101,Programação!$F$4:$F$503,"&lt;="&amp;F101,Programação!$N$4:$N$503,"&lt;&gt;Concluído")&gt;0,"Sim — revisar agenda","Não"))</f>
      </c>
      <c r="H101" s="43"/>
      <c r="I101" s="24">
        <f>IF(A101="","",IF(ISNA(MATCH(A101,eq_nome,0)),"ERRO: funcionário não cadastrado",IF(F101="","Pendente: início e dias",IF(G101="Sim — revisar agenda","Verificar: há OS no período","OK"))))</f>
      </c>
    </row>
    <row r="102" spans="1:9" x14ac:dyDescent="0.25">
      <c r="A102" s="28"/>
      <c r="B102" s="43">
        <f>IF(A102="","",IFERROR(INDEX($B$6:$B$45,MATCH(A102,eq_nome,0))&amp;"",""))</f>
      </c>
      <c r="C102" s="30"/>
      <c r="D102" s="29"/>
      <c r="E102" s="52"/>
      <c r="F102" s="53">
        <f>IF(OR(NOT(ISNUMBER(C102)),N(E102)&lt;=0),"",C102+E102-1)</f>
      </c>
      <c r="G102" s="43">
        <f>IF(F102="","",IF(COUNTIFS(Programação!$J$4:$J$503,A102,Programação!$F$4:$F$503,"&gt;="&amp;C102,Programação!$F$4:$F$503,"&lt;="&amp;F102,Programação!$N$4:$N$503,"&lt;&gt;Concluído")&gt;0,"Sim — revisar agenda","Não"))</f>
      </c>
      <c r="H102" s="43"/>
      <c r="I102" s="24">
        <f>IF(A102="","",IF(ISNA(MATCH(A102,eq_nome,0)),"ERRO: funcionário não cadastrado",IF(F102="","Pendente: início e dias",IF(G102="Sim — revisar agenda","Verificar: há OS no período","OK"))))</f>
      </c>
    </row>
    <row r="103" spans="1:9" x14ac:dyDescent="0.25">
      <c r="A103" s="28"/>
      <c r="B103" s="43">
        <f>IF(A103="","",IFERROR(INDEX($B$6:$B$45,MATCH(A103,eq_nome,0))&amp;"",""))</f>
      </c>
      <c r="C103" s="30"/>
      <c r="D103" s="29"/>
      <c r="E103" s="52"/>
      <c r="F103" s="53">
        <f>IF(OR(NOT(ISNUMBER(C103)),N(E103)&lt;=0),"",C103+E103-1)</f>
      </c>
      <c r="G103" s="43">
        <f>IF(F103="","",IF(COUNTIFS(Programação!$J$4:$J$503,A103,Programação!$F$4:$F$503,"&gt;="&amp;C103,Programação!$F$4:$F$503,"&lt;="&amp;F103,Programação!$N$4:$N$503,"&lt;&gt;Concluído")&gt;0,"Sim — revisar agenda","Não"))</f>
      </c>
      <c r="H103" s="43"/>
      <c r="I103" s="24">
        <f>IF(A103="","",IF(ISNA(MATCH(A103,eq_nome,0)),"ERRO: funcionário não cadastrado",IF(F103="","Pendente: início e dias",IF(G103="Sim — revisar agenda","Verificar: há OS no período","OK"))))</f>
      </c>
    </row>
    <row r="104" spans="1:9" x14ac:dyDescent="0.25">
      <c r="A104" s="28"/>
      <c r="B104" s="43">
        <f>IF(A104="","",IFERROR(INDEX($B$6:$B$45,MATCH(A104,eq_nome,0))&amp;"",""))</f>
      </c>
      <c r="C104" s="30"/>
      <c r="D104" s="29"/>
      <c r="E104" s="52"/>
      <c r="F104" s="53">
        <f>IF(OR(NOT(ISNUMBER(C104)),N(E104)&lt;=0),"",C104+E104-1)</f>
      </c>
      <c r="G104" s="43">
        <f>IF(F104="","",IF(COUNTIFS(Programação!$J$4:$J$503,A104,Programação!$F$4:$F$503,"&gt;="&amp;C104,Programação!$F$4:$F$503,"&lt;="&amp;F104,Programação!$N$4:$N$503,"&lt;&gt;Concluído")&gt;0,"Sim — revisar agenda","Não"))</f>
      </c>
      <c r="H104" s="43"/>
      <c r="I104" s="24">
        <f>IF(A104="","",IF(ISNA(MATCH(A104,eq_nome,0)),"ERRO: funcionário não cadastrado",IF(F104="","Pendente: início e dias",IF(G104="Sim — revisar agenda","Verificar: há OS no período","OK"))))</f>
      </c>
    </row>
    <row r="105" spans="1:9" x14ac:dyDescent="0.25">
      <c r="A105" s="28"/>
      <c r="B105" s="43">
        <f>IF(A105="","",IFERROR(INDEX($B$6:$B$45,MATCH(A105,eq_nome,0))&amp;"",""))</f>
      </c>
      <c r="C105" s="30"/>
      <c r="D105" s="29"/>
      <c r="E105" s="52"/>
      <c r="F105" s="53">
        <f>IF(OR(NOT(ISNUMBER(C105)),N(E105)&lt;=0),"",C105+E105-1)</f>
      </c>
      <c r="G105" s="43">
        <f>IF(F105="","",IF(COUNTIFS(Programação!$J$4:$J$503,A105,Programação!$F$4:$F$503,"&gt;="&amp;C105,Programação!$F$4:$F$503,"&lt;="&amp;F105,Programação!$N$4:$N$503,"&lt;&gt;Concluído")&gt;0,"Sim — revisar agenda","Não"))</f>
      </c>
      <c r="H105" s="43"/>
      <c r="I105" s="24">
        <f>IF(A105="","",IF(ISNA(MATCH(A105,eq_nome,0)),"ERRO: funcionário não cadastrado",IF(F105="","Pendente: início e dias",IF(G105="Sim — revisar agenda","Verificar: há OS no período","OK"))))</f>
      </c>
    </row>
    <row r="106" spans="1:9" x14ac:dyDescent="0.25">
      <c r="A106" s="28"/>
      <c r="B106" s="43">
        <f>IF(A106="","",IFERROR(INDEX($B$6:$B$45,MATCH(A106,eq_nome,0))&amp;"",""))</f>
      </c>
      <c r="C106" s="30"/>
      <c r="D106" s="29"/>
      <c r="E106" s="52"/>
      <c r="F106" s="53">
        <f>IF(OR(NOT(ISNUMBER(C106)),N(E106)&lt;=0),"",C106+E106-1)</f>
      </c>
      <c r="G106" s="43">
        <f>IF(F106="","",IF(COUNTIFS(Programação!$J$4:$J$503,A106,Programação!$F$4:$F$503,"&gt;="&amp;C106,Programação!$F$4:$F$503,"&lt;="&amp;F106,Programação!$N$4:$N$503,"&lt;&gt;Concluído")&gt;0,"Sim — revisar agenda","Não"))</f>
      </c>
      <c r="H106" s="43"/>
      <c r="I106" s="24">
        <f>IF(A106="","",IF(ISNA(MATCH(A106,eq_nome,0)),"ERRO: funcionário não cadastrado",IF(F106="","Pendente: início e dias",IF(G106="Sim — revisar agenda","Verificar: há OS no período","OK"))))</f>
      </c>
    </row>
    <row r="107" spans="1:9" x14ac:dyDescent="0.25">
      <c r="A107" s="28"/>
      <c r="B107" s="43">
        <f>IF(A107="","",IFERROR(INDEX($B$6:$B$45,MATCH(A107,eq_nome,0))&amp;"",""))</f>
      </c>
      <c r="C107" s="30"/>
      <c r="D107" s="29"/>
      <c r="E107" s="52"/>
      <c r="F107" s="53">
        <f>IF(OR(NOT(ISNUMBER(C107)),N(E107)&lt;=0),"",C107+E107-1)</f>
      </c>
      <c r="G107" s="43">
        <f>IF(F107="","",IF(COUNTIFS(Programação!$J$4:$J$503,A107,Programação!$F$4:$F$503,"&gt;="&amp;C107,Programação!$F$4:$F$503,"&lt;="&amp;F107,Programação!$N$4:$N$503,"&lt;&gt;Concluído")&gt;0,"Sim — revisar agenda","Não"))</f>
      </c>
      <c r="H107" s="43"/>
      <c r="I107" s="24">
        <f>IF(A107="","",IF(ISNA(MATCH(A107,eq_nome,0)),"ERRO: funcionário não cadastrado",IF(F107="","Pendente: início e dias",IF(G107="Sim — revisar agenda","Verificar: há OS no período","OK"))))</f>
      </c>
    </row>
    <row r="108" spans="1:9" x14ac:dyDescent="0.25">
      <c r="A108" s="28"/>
      <c r="B108" s="43">
        <f>IF(A108="","",IFERROR(INDEX($B$6:$B$45,MATCH(A108,eq_nome,0))&amp;"",""))</f>
      </c>
      <c r="C108" s="30"/>
      <c r="D108" s="29"/>
      <c r="E108" s="52"/>
      <c r="F108" s="53">
        <f>IF(OR(NOT(ISNUMBER(C108)),N(E108)&lt;=0),"",C108+E108-1)</f>
      </c>
      <c r="G108" s="43">
        <f>IF(F108="","",IF(COUNTIFS(Programação!$J$4:$J$503,A108,Programação!$F$4:$F$503,"&gt;="&amp;C108,Programação!$F$4:$F$503,"&lt;="&amp;F108,Programação!$N$4:$N$503,"&lt;&gt;Concluído")&gt;0,"Sim — revisar agenda","Não"))</f>
      </c>
      <c r="H108" s="43"/>
      <c r="I108" s="24">
        <f>IF(A108="","",IF(ISNA(MATCH(A108,eq_nome,0)),"ERRO: funcionário não cadastrado",IF(F108="","Pendente: início e dias",IF(G108="Sim — revisar agenda","Verificar: há OS no período","OK"))))</f>
      </c>
    </row>
    <row r="110" ht="20" customHeight="1" spans="1:9" x14ac:dyDescent="0.25">
      <c r="A110" s="5" t="s">
        <v>212</v>
      </c>
      <c r="B110" s="5"/>
      <c r="C110" s="5"/>
      <c r="D110" s="5"/>
      <c r="E110" s="5"/>
      <c r="F110" s="5"/>
      <c r="G110" s="5"/>
      <c r="H110" s="5"/>
      <c r="I110" s="5"/>
    </row>
    <row r="111" ht="22" customHeight="1" spans="1:9" x14ac:dyDescent="0.25">
      <c r="A111" s="8" t="s">
        <v>213</v>
      </c>
      <c r="B111" s="8" t="s">
        <v>110</v>
      </c>
      <c r="C111" s="8"/>
      <c r="D111" s="8"/>
      <c r="E111" s="8" t="s">
        <v>100</v>
      </c>
      <c r="F111" s="8"/>
      <c r="G111" s="8" t="s">
        <v>214</v>
      </c>
      <c r="H111" s="8"/>
      <c r="I111" s="8" t="s">
        <v>107</v>
      </c>
    </row>
    <row r="112" spans="1:9" x14ac:dyDescent="0.25">
      <c r="A112" s="30"/>
      <c r="B112" s="28"/>
      <c r="C112" s="28"/>
      <c r="D112" s="28"/>
      <c r="E112" s="29"/>
      <c r="F112" s="29"/>
      <c r="G112" s="43">
        <f>IF(NOT(ISNUMBER(A112)),"",COUNTIF(Programação!$F$4:$F$503,A112))</f>
      </c>
      <c r="H112" s="43"/>
      <c r="I112" s="24">
        <f>IF(NOT(ISNUMBER(A112)),"",IF(N(G112)&gt;0,"Verificar: há OS programadas no feriado","OK"))</f>
      </c>
    </row>
    <row r="113" spans="1:9" x14ac:dyDescent="0.25">
      <c r="A113" s="30"/>
      <c r="B113" s="28"/>
      <c r="C113" s="28"/>
      <c r="D113" s="28"/>
      <c r="E113" s="29"/>
      <c r="F113" s="29"/>
      <c r="G113" s="43">
        <f>IF(NOT(ISNUMBER(A113)),"",COUNTIF(Programação!$F$4:$F$503,A113))</f>
      </c>
      <c r="H113" s="43"/>
      <c r="I113" s="24">
        <f>IF(NOT(ISNUMBER(A113)),"",IF(N(G113)&gt;0,"Verificar: há OS programadas no feriado","OK"))</f>
      </c>
    </row>
    <row r="114" spans="1:9" x14ac:dyDescent="0.25">
      <c r="A114" s="30"/>
      <c r="B114" s="28"/>
      <c r="C114" s="28"/>
      <c r="D114" s="28"/>
      <c r="E114" s="29"/>
      <c r="F114" s="29"/>
      <c r="G114" s="43">
        <f>IF(NOT(ISNUMBER(A114)),"",COUNTIF(Programação!$F$4:$F$503,A114))</f>
      </c>
      <c r="H114" s="43"/>
      <c r="I114" s="24">
        <f>IF(NOT(ISNUMBER(A114)),"",IF(N(G114)&gt;0,"Verificar: há OS programadas no feriado","OK"))</f>
      </c>
    </row>
    <row r="115" spans="1:9" x14ac:dyDescent="0.25">
      <c r="A115" s="30"/>
      <c r="B115" s="28"/>
      <c r="C115" s="28"/>
      <c r="D115" s="28"/>
      <c r="E115" s="29"/>
      <c r="F115" s="29"/>
      <c r="G115" s="43">
        <f>IF(NOT(ISNUMBER(A115)),"",COUNTIF(Programação!$F$4:$F$503,A115))</f>
      </c>
      <c r="H115" s="43"/>
      <c r="I115" s="24">
        <f>IF(NOT(ISNUMBER(A115)),"",IF(N(G115)&gt;0,"Verificar: há OS programadas no feriado","OK"))</f>
      </c>
    </row>
    <row r="116" spans="1:9" x14ac:dyDescent="0.25">
      <c r="A116" s="30"/>
      <c r="B116" s="28"/>
      <c r="C116" s="28"/>
      <c r="D116" s="28"/>
      <c r="E116" s="29"/>
      <c r="F116" s="29"/>
      <c r="G116" s="43">
        <f>IF(NOT(ISNUMBER(A116)),"",COUNTIF(Programação!$F$4:$F$503,A116))</f>
      </c>
      <c r="H116" s="43"/>
      <c r="I116" s="24">
        <f>IF(NOT(ISNUMBER(A116)),"",IF(N(G116)&gt;0,"Verificar: há OS programadas no feriado","OK"))</f>
      </c>
    </row>
    <row r="117" spans="1:9" x14ac:dyDescent="0.25">
      <c r="A117" s="30"/>
      <c r="B117" s="28"/>
      <c r="C117" s="28"/>
      <c r="D117" s="28"/>
      <c r="E117" s="29"/>
      <c r="F117" s="29"/>
      <c r="G117" s="43">
        <f>IF(NOT(ISNUMBER(A117)),"",COUNTIF(Programação!$F$4:$F$503,A117))</f>
      </c>
      <c r="H117" s="43"/>
      <c r="I117" s="24">
        <f>IF(NOT(ISNUMBER(A117)),"",IF(N(G117)&gt;0,"Verificar: há OS programadas no feriado","OK"))</f>
      </c>
    </row>
    <row r="118" spans="1:9" x14ac:dyDescent="0.25">
      <c r="A118" s="30"/>
      <c r="B118" s="28"/>
      <c r="C118" s="28"/>
      <c r="D118" s="28"/>
      <c r="E118" s="29"/>
      <c r="F118" s="29"/>
      <c r="G118" s="43">
        <f>IF(NOT(ISNUMBER(A118)),"",COUNTIF(Programação!$F$4:$F$503,A118))</f>
      </c>
      <c r="H118" s="43"/>
      <c r="I118" s="24">
        <f>IF(NOT(ISNUMBER(A118)),"",IF(N(G118)&gt;0,"Verificar: há OS programadas no feriado","OK"))</f>
      </c>
    </row>
    <row r="119" spans="1:9" x14ac:dyDescent="0.25">
      <c r="A119" s="30"/>
      <c r="B119" s="28"/>
      <c r="C119" s="28"/>
      <c r="D119" s="28"/>
      <c r="E119" s="29"/>
      <c r="F119" s="29"/>
      <c r="G119" s="43">
        <f>IF(NOT(ISNUMBER(A119)),"",COUNTIF(Programação!$F$4:$F$503,A119))</f>
      </c>
      <c r="H119" s="43"/>
      <c r="I119" s="24">
        <f>IF(NOT(ISNUMBER(A119)),"",IF(N(G119)&gt;0,"Verificar: há OS programadas no feriado","OK"))</f>
      </c>
    </row>
    <row r="120" spans="1:9" x14ac:dyDescent="0.25">
      <c r="A120" s="30"/>
      <c r="B120" s="28"/>
      <c r="C120" s="28"/>
      <c r="D120" s="28"/>
      <c r="E120" s="29"/>
      <c r="F120" s="29"/>
      <c r="G120" s="43">
        <f>IF(NOT(ISNUMBER(A120)),"",COUNTIF(Programação!$F$4:$F$503,A120))</f>
      </c>
      <c r="H120" s="43"/>
      <c r="I120" s="24">
        <f>IF(NOT(ISNUMBER(A120)),"",IF(N(G120)&gt;0,"Verificar: há OS programadas no feriado","OK"))</f>
      </c>
    </row>
    <row r="121" spans="1:9" x14ac:dyDescent="0.25">
      <c r="A121" s="30"/>
      <c r="B121" s="28"/>
      <c r="C121" s="28"/>
      <c r="D121" s="28"/>
      <c r="E121" s="29"/>
      <c r="F121" s="29"/>
      <c r="G121" s="43">
        <f>IF(NOT(ISNUMBER(A121)),"",COUNTIF(Programação!$F$4:$F$503,A121))</f>
      </c>
      <c r="H121" s="43"/>
      <c r="I121" s="24">
        <f>IF(NOT(ISNUMBER(A121)),"",IF(N(G121)&gt;0,"Verificar: há OS programadas no feriado","OK"))</f>
      </c>
    </row>
    <row r="122" spans="1:9" x14ac:dyDescent="0.25">
      <c r="A122" s="30"/>
      <c r="B122" s="28"/>
      <c r="C122" s="28"/>
      <c r="D122" s="28"/>
      <c r="E122" s="29"/>
      <c r="F122" s="29"/>
      <c r="G122" s="43">
        <f>IF(NOT(ISNUMBER(A122)),"",COUNTIF(Programação!$F$4:$F$503,A122))</f>
      </c>
      <c r="H122" s="43"/>
      <c r="I122" s="24">
        <f>IF(NOT(ISNUMBER(A122)),"",IF(N(G122)&gt;0,"Verificar: há OS programadas no feriado","OK"))</f>
      </c>
    </row>
    <row r="123" spans="1:9" x14ac:dyDescent="0.25">
      <c r="A123" s="30"/>
      <c r="B123" s="28"/>
      <c r="C123" s="28"/>
      <c r="D123" s="28"/>
      <c r="E123" s="29"/>
      <c r="F123" s="29"/>
      <c r="G123" s="43">
        <f>IF(NOT(ISNUMBER(A123)),"",COUNTIF(Programação!$F$4:$F$503,A123))</f>
      </c>
      <c r="H123" s="43"/>
      <c r="I123" s="24">
        <f>IF(NOT(ISNUMBER(A123)),"",IF(N(G123)&gt;0,"Verificar: há OS programadas no feriado","OK"))</f>
      </c>
    </row>
    <row r="124" spans="1:9" x14ac:dyDescent="0.25">
      <c r="A124" s="30"/>
      <c r="B124" s="28"/>
      <c r="C124" s="28"/>
      <c r="D124" s="28"/>
      <c r="E124" s="29"/>
      <c r="F124" s="29"/>
      <c r="G124" s="43">
        <f>IF(NOT(ISNUMBER(A124)),"",COUNTIF(Programação!$F$4:$F$503,A124))</f>
      </c>
      <c r="H124" s="43"/>
      <c r="I124" s="24">
        <f>IF(NOT(ISNUMBER(A124)),"",IF(N(G124)&gt;0,"Verificar: há OS programadas no feriado","OK"))</f>
      </c>
    </row>
    <row r="125" spans="1:9" x14ac:dyDescent="0.25">
      <c r="A125" s="30"/>
      <c r="B125" s="28"/>
      <c r="C125" s="28"/>
      <c r="D125" s="28"/>
      <c r="E125" s="29"/>
      <c r="F125" s="29"/>
      <c r="G125" s="43">
        <f>IF(NOT(ISNUMBER(A125)),"",COUNTIF(Programação!$F$4:$F$503,A125))</f>
      </c>
      <c r="H125" s="43"/>
      <c r="I125" s="24">
        <f>IF(NOT(ISNUMBER(A125)),"",IF(N(G125)&gt;0,"Verificar: há OS programadas no feriado","OK"))</f>
      </c>
    </row>
    <row r="126" spans="1:9" x14ac:dyDescent="0.25">
      <c r="A126" s="30"/>
      <c r="B126" s="28"/>
      <c r="C126" s="28"/>
      <c r="D126" s="28"/>
      <c r="E126" s="29"/>
      <c r="F126" s="29"/>
      <c r="G126" s="43">
        <f>IF(NOT(ISNUMBER(A126)),"",COUNTIF(Programação!$F$4:$F$503,A126))</f>
      </c>
      <c r="H126" s="43"/>
      <c r="I126" s="24">
        <f>IF(NOT(ISNUMBER(A126)),"",IF(N(G126)&gt;0,"Verificar: há OS programadas no feriado","OK"))</f>
      </c>
    </row>
    <row r="127" spans="1:9" x14ac:dyDescent="0.25">
      <c r="A127" s="30"/>
      <c r="B127" s="28"/>
      <c r="C127" s="28"/>
      <c r="D127" s="28"/>
      <c r="E127" s="29"/>
      <c r="F127" s="29"/>
      <c r="G127" s="43">
        <f>IF(NOT(ISNUMBER(A127)),"",COUNTIF(Programação!$F$4:$F$503,A127))</f>
      </c>
      <c r="H127" s="43"/>
      <c r="I127" s="24">
        <f>IF(NOT(ISNUMBER(A127)),"",IF(N(G127)&gt;0,"Verificar: há OS programadas no feriado","OK"))</f>
      </c>
    </row>
    <row r="128" spans="1:9" x14ac:dyDescent="0.25">
      <c r="A128" s="30"/>
      <c r="B128" s="28"/>
      <c r="C128" s="28"/>
      <c r="D128" s="28"/>
      <c r="E128" s="29"/>
      <c r="F128" s="29"/>
      <c r="G128" s="43">
        <f>IF(NOT(ISNUMBER(A128)),"",COUNTIF(Programação!$F$4:$F$503,A128))</f>
      </c>
      <c r="H128" s="43"/>
      <c r="I128" s="24">
        <f>IF(NOT(ISNUMBER(A128)),"",IF(N(G128)&gt;0,"Verificar: há OS programadas no feriado","OK"))</f>
      </c>
    </row>
    <row r="129" spans="1:9" x14ac:dyDescent="0.25">
      <c r="A129" s="30"/>
      <c r="B129" s="28"/>
      <c r="C129" s="28"/>
      <c r="D129" s="28"/>
      <c r="E129" s="29"/>
      <c r="F129" s="29"/>
      <c r="G129" s="43">
        <f>IF(NOT(ISNUMBER(A129)),"",COUNTIF(Programação!$F$4:$F$503,A129))</f>
      </c>
      <c r="H129" s="43"/>
      <c r="I129" s="24">
        <f>IF(NOT(ISNUMBER(A129)),"",IF(N(G129)&gt;0,"Verificar: há OS programadas no feriado","OK"))</f>
      </c>
    </row>
    <row r="130" spans="1:9" x14ac:dyDescent="0.25">
      <c r="A130" s="30"/>
      <c r="B130" s="28"/>
      <c r="C130" s="28"/>
      <c r="D130" s="28"/>
      <c r="E130" s="29"/>
      <c r="F130" s="29"/>
      <c r="G130" s="43">
        <f>IF(NOT(ISNUMBER(A130)),"",COUNTIF(Programação!$F$4:$F$503,A130))</f>
      </c>
      <c r="H130" s="43"/>
      <c r="I130" s="24">
        <f>IF(NOT(ISNUMBER(A130)),"",IF(N(G130)&gt;0,"Verificar: há OS programadas no feriado","OK"))</f>
      </c>
    </row>
    <row r="131" spans="1:9" x14ac:dyDescent="0.25">
      <c r="A131" s="30"/>
      <c r="B131" s="28"/>
      <c r="C131" s="28"/>
      <c r="D131" s="28"/>
      <c r="E131" s="29"/>
      <c r="F131" s="29"/>
      <c r="G131" s="43">
        <f>IF(NOT(ISNUMBER(A131)),"",COUNTIF(Programação!$F$4:$F$503,A131))</f>
      </c>
      <c r="H131" s="43"/>
      <c r="I131" s="24">
        <f>IF(NOT(ISNUMBER(A131)),"",IF(N(G131)&gt;0,"Verificar: há OS programadas no feriado","OK"))</f>
      </c>
    </row>
    <row r="132" spans="1:9" x14ac:dyDescent="0.25">
      <c r="A132" s="30"/>
      <c r="B132" s="28"/>
      <c r="C132" s="28"/>
      <c r="D132" s="28"/>
      <c r="E132" s="29"/>
      <c r="F132" s="29"/>
      <c r="G132" s="43">
        <f>IF(NOT(ISNUMBER(A132)),"",COUNTIF(Programação!$F$4:$F$503,A132))</f>
      </c>
      <c r="H132" s="43"/>
      <c r="I132" s="24">
        <f>IF(NOT(ISNUMBER(A132)),"",IF(N(G132)&gt;0,"Verificar: há OS programadas no feriado","OK"))</f>
      </c>
    </row>
    <row r="133" spans="1:9" x14ac:dyDescent="0.25">
      <c r="A133" s="30"/>
      <c r="B133" s="28"/>
      <c r="C133" s="28"/>
      <c r="D133" s="28"/>
      <c r="E133" s="29"/>
      <c r="F133" s="29"/>
      <c r="G133" s="43">
        <f>IF(NOT(ISNUMBER(A133)),"",COUNTIF(Programação!$F$4:$F$503,A133))</f>
      </c>
      <c r="H133" s="43"/>
      <c r="I133" s="24">
        <f>IF(NOT(ISNUMBER(A133)),"",IF(N(G133)&gt;0,"Verificar: há OS programadas no feriado","OK"))</f>
      </c>
    </row>
    <row r="134" spans="1:9" x14ac:dyDescent="0.25">
      <c r="A134" s="30"/>
      <c r="B134" s="28"/>
      <c r="C134" s="28"/>
      <c r="D134" s="28"/>
      <c r="E134" s="29"/>
      <c r="F134" s="29"/>
      <c r="G134" s="43">
        <f>IF(NOT(ISNUMBER(A134)),"",COUNTIF(Programação!$F$4:$F$503,A134))</f>
      </c>
      <c r="H134" s="43"/>
      <c r="I134" s="24">
        <f>IF(NOT(ISNUMBER(A134)),"",IF(N(G134)&gt;0,"Verificar: há OS programadas no feriado","OK"))</f>
      </c>
    </row>
    <row r="135" spans="1:9" x14ac:dyDescent="0.25">
      <c r="A135" s="30"/>
      <c r="B135" s="28"/>
      <c r="C135" s="28"/>
      <c r="D135" s="28"/>
      <c r="E135" s="29"/>
      <c r="F135" s="29"/>
      <c r="G135" s="43">
        <f>IF(NOT(ISNUMBER(A135)),"",COUNTIF(Programação!$F$4:$F$503,A135))</f>
      </c>
      <c r="H135" s="43"/>
      <c r="I135" s="24">
        <f>IF(NOT(ISNUMBER(A135)),"",IF(N(G135)&gt;0,"Verificar: há OS programadas no feriado","OK"))</f>
      </c>
    </row>
    <row r="136" spans="1:9" x14ac:dyDescent="0.25">
      <c r="A136" s="30"/>
      <c r="B136" s="28"/>
      <c r="C136" s="28"/>
      <c r="D136" s="28"/>
      <c r="E136" s="29"/>
      <c r="F136" s="29"/>
      <c r="G136" s="43">
        <f>IF(NOT(ISNUMBER(A136)),"",COUNTIF(Programação!$F$4:$F$503,A136))</f>
      </c>
      <c r="H136" s="43"/>
      <c r="I136" s="24">
        <f>IF(NOT(ISNUMBER(A136)),"",IF(N(G136)&gt;0,"Verificar: há OS programadas no feriado","OK"))</f>
      </c>
    </row>
    <row r="137" spans="1:9" x14ac:dyDescent="0.25">
      <c r="A137" s="30"/>
      <c r="B137" s="28"/>
      <c r="C137" s="28"/>
      <c r="D137" s="28"/>
      <c r="E137" s="29"/>
      <c r="F137" s="29"/>
      <c r="G137" s="43">
        <f>IF(NOT(ISNUMBER(A137)),"",COUNTIF(Programação!$F$4:$F$503,A137))</f>
      </c>
      <c r="H137" s="43"/>
      <c r="I137" s="24">
        <f>IF(NOT(ISNUMBER(A137)),"",IF(N(G137)&gt;0,"Verificar: há OS programadas no feriado","OK"))</f>
      </c>
    </row>
    <row r="138" spans="1:9" x14ac:dyDescent="0.25">
      <c r="A138" s="30"/>
      <c r="B138" s="28"/>
      <c r="C138" s="28"/>
      <c r="D138" s="28"/>
      <c r="E138" s="29"/>
      <c r="F138" s="29"/>
      <c r="G138" s="43">
        <f>IF(NOT(ISNUMBER(A138)),"",COUNTIF(Programação!$F$4:$F$503,A138))</f>
      </c>
      <c r="H138" s="43"/>
      <c r="I138" s="24">
        <f>IF(NOT(ISNUMBER(A138)),"",IF(N(G138)&gt;0,"Verificar: há OS programadas no feriado","OK"))</f>
      </c>
    </row>
    <row r="139" spans="1:9" x14ac:dyDescent="0.25">
      <c r="A139" s="30"/>
      <c r="B139" s="28"/>
      <c r="C139" s="28"/>
      <c r="D139" s="28"/>
      <c r="E139" s="29"/>
      <c r="F139" s="29"/>
      <c r="G139" s="43">
        <f>IF(NOT(ISNUMBER(A139)),"",COUNTIF(Programação!$F$4:$F$503,A139))</f>
      </c>
      <c r="H139" s="43"/>
      <c r="I139" s="24">
        <f>IF(NOT(ISNUMBER(A139)),"",IF(N(G139)&gt;0,"Verificar: há OS programadas no feriado","OK"))</f>
      </c>
    </row>
    <row r="140" spans="1:9" x14ac:dyDescent="0.25">
      <c r="A140" s="30"/>
      <c r="B140" s="28"/>
      <c r="C140" s="28"/>
      <c r="D140" s="28"/>
      <c r="E140" s="29"/>
      <c r="F140" s="29"/>
      <c r="G140" s="43">
        <f>IF(NOT(ISNUMBER(A140)),"",COUNTIF(Programação!$F$4:$F$503,A140))</f>
      </c>
      <c r="H140" s="43"/>
      <c r="I140" s="24">
        <f>IF(NOT(ISNUMBER(A140)),"",IF(N(G140)&gt;0,"Verificar: há OS programadas no feriado","OK"))</f>
      </c>
    </row>
    <row r="141" spans="1:9" x14ac:dyDescent="0.25">
      <c r="A141" s="30"/>
      <c r="B141" s="28"/>
      <c r="C141" s="28"/>
      <c r="D141" s="28"/>
      <c r="E141" s="29"/>
      <c r="F141" s="29"/>
      <c r="G141" s="43">
        <f>IF(NOT(ISNUMBER(A141)),"",COUNTIF(Programação!$F$4:$F$503,A141))</f>
      </c>
      <c r="H141" s="43"/>
      <c r="I141" s="24">
        <f>IF(NOT(ISNUMBER(A141)),"",IF(N(G141)&gt;0,"Verificar: há OS programadas no feriado","OK"))</f>
      </c>
    </row>
    <row r="142" spans="1:9" x14ac:dyDescent="0.25">
      <c r="A142" s="30"/>
      <c r="B142" s="28"/>
      <c r="C142" s="28"/>
      <c r="D142" s="28"/>
      <c r="E142" s="29"/>
      <c r="F142" s="29"/>
      <c r="G142" s="43">
        <f>IF(NOT(ISNUMBER(A142)),"",COUNTIF(Programação!$F$4:$F$503,A142))</f>
      </c>
      <c r="H142" s="43"/>
      <c r="I142" s="24">
        <f>IF(NOT(ISNUMBER(A142)),"",IF(N(G142)&gt;0,"Verificar: há OS programadas no feriado","OK"))</f>
      </c>
    </row>
    <row r="143" spans="1:9" x14ac:dyDescent="0.25">
      <c r="A143" s="30"/>
      <c r="B143" s="28"/>
      <c r="C143" s="28"/>
      <c r="D143" s="28"/>
      <c r="E143" s="29"/>
      <c r="F143" s="29"/>
      <c r="G143" s="43">
        <f>IF(NOT(ISNUMBER(A143)),"",COUNTIF(Programação!$F$4:$F$503,A143))</f>
      </c>
      <c r="H143" s="43"/>
      <c r="I143" s="24">
        <f>IF(NOT(ISNUMBER(A143)),"",IF(N(G143)&gt;0,"Verificar: há OS programadas no feriado","OK"))</f>
      </c>
    </row>
    <row r="144" spans="1:9" x14ac:dyDescent="0.25">
      <c r="A144" s="30"/>
      <c r="B144" s="28"/>
      <c r="C144" s="28"/>
      <c r="D144" s="28"/>
      <c r="E144" s="29"/>
      <c r="F144" s="29"/>
      <c r="G144" s="43">
        <f>IF(NOT(ISNUMBER(A144)),"",COUNTIF(Programação!$F$4:$F$503,A144))</f>
      </c>
      <c r="H144" s="43"/>
      <c r="I144" s="24">
        <f>IF(NOT(ISNUMBER(A144)),"",IF(N(G144)&gt;0,"Verificar: há OS programadas no feriado","OK"))</f>
      </c>
    </row>
    <row r="145" spans="1:9" x14ac:dyDescent="0.25">
      <c r="A145" s="30"/>
      <c r="B145" s="28"/>
      <c r="C145" s="28"/>
      <c r="D145" s="28"/>
      <c r="E145" s="29"/>
      <c r="F145" s="29"/>
      <c r="G145" s="43">
        <f>IF(NOT(ISNUMBER(A145)),"",COUNTIF(Programação!$F$4:$F$503,A145))</f>
      </c>
      <c r="H145" s="43"/>
      <c r="I145" s="24">
        <f>IF(NOT(ISNUMBER(A145)),"",IF(N(G145)&gt;0,"Verificar: há OS programadas no feriado","OK"))</f>
      </c>
    </row>
    <row r="146" spans="1:9" x14ac:dyDescent="0.25">
      <c r="A146" s="30"/>
      <c r="B146" s="28"/>
      <c r="C146" s="28"/>
      <c r="D146" s="28"/>
      <c r="E146" s="29"/>
      <c r="F146" s="29"/>
      <c r="G146" s="43">
        <f>IF(NOT(ISNUMBER(A146)),"",COUNTIF(Programação!$F$4:$F$503,A146))</f>
      </c>
      <c r="H146" s="43"/>
      <c r="I146" s="24">
        <f>IF(NOT(ISNUMBER(A146)),"",IF(N(G146)&gt;0,"Verificar: há OS programadas no feriado","OK"))</f>
      </c>
    </row>
    <row r="147" spans="1:9" x14ac:dyDescent="0.25">
      <c r="A147" s="30"/>
      <c r="B147" s="28"/>
      <c r="C147" s="28"/>
      <c r="D147" s="28"/>
      <c r="E147" s="29"/>
      <c r="F147" s="29"/>
      <c r="G147" s="43">
        <f>IF(NOT(ISNUMBER(A147)),"",COUNTIF(Programação!$F$4:$F$503,A147))</f>
      </c>
      <c r="H147" s="43"/>
      <c r="I147" s="24">
        <f>IF(NOT(ISNUMBER(A147)),"",IF(N(G147)&gt;0,"Verificar: há OS programadas no feriado","OK"))</f>
      </c>
    </row>
    <row r="148" spans="1:9" x14ac:dyDescent="0.25">
      <c r="A148" s="30"/>
      <c r="B148" s="28"/>
      <c r="C148" s="28"/>
      <c r="D148" s="28"/>
      <c r="E148" s="29"/>
      <c r="F148" s="29"/>
      <c r="G148" s="43">
        <f>IF(NOT(ISNUMBER(A148)),"",COUNTIF(Programação!$F$4:$F$503,A148))</f>
      </c>
      <c r="H148" s="43"/>
      <c r="I148" s="24">
        <f>IF(NOT(ISNUMBER(A148)),"",IF(N(G148)&gt;0,"Verificar: há OS programadas no feriado","OK"))</f>
      </c>
    </row>
    <row r="149" spans="1:9" x14ac:dyDescent="0.25">
      <c r="A149" s="30"/>
      <c r="B149" s="28"/>
      <c r="C149" s="28"/>
      <c r="D149" s="28"/>
      <c r="E149" s="29"/>
      <c r="F149" s="29"/>
      <c r="G149" s="43">
        <f>IF(NOT(ISNUMBER(A149)),"",COUNTIF(Programação!$F$4:$F$503,A149))</f>
      </c>
      <c r="H149" s="43"/>
      <c r="I149" s="24">
        <f>IF(NOT(ISNUMBER(A149)),"",IF(N(G149)&gt;0,"Verificar: há OS programadas no feriado","OK"))</f>
      </c>
    </row>
    <row r="150" spans="1:9" x14ac:dyDescent="0.25">
      <c r="A150" s="30"/>
      <c r="B150" s="28"/>
      <c r="C150" s="28"/>
      <c r="D150" s="28"/>
      <c r="E150" s="29"/>
      <c r="F150" s="29"/>
      <c r="G150" s="43">
        <f>IF(NOT(ISNUMBER(A150)),"",COUNTIF(Programação!$F$4:$F$503,A150))</f>
      </c>
      <c r="H150" s="43"/>
      <c r="I150" s="24">
        <f>IF(NOT(ISNUMBER(A150)),"",IF(N(G150)&gt;0,"Verificar: há OS programadas no feriado","OK"))</f>
      </c>
    </row>
    <row r="151" spans="1:9" x14ac:dyDescent="0.25">
      <c r="A151" s="30"/>
      <c r="B151" s="28"/>
      <c r="C151" s="28"/>
      <c r="D151" s="28"/>
      <c r="E151" s="29"/>
      <c r="F151" s="29"/>
      <c r="G151" s="43">
        <f>IF(NOT(ISNUMBER(A151)),"",COUNTIF(Programação!$F$4:$F$503,A151))</f>
      </c>
      <c r="H151" s="43"/>
      <c r="I151" s="24">
        <f>IF(NOT(ISNUMBER(A151)),"",IF(N(G151)&gt;0,"Verificar: há OS programadas no feriado","OK"))</f>
      </c>
    </row>
  </sheetData>
  <sheetProtection sheet="1" formatColumns="0" formatRows="0" autoFilter="0"/>
  <mergeCells count="271">
    <mergeCell ref="A1:B2"/>
    <mergeCell ref="C1:H2"/>
    <mergeCell ref="A4:I4"/>
    <mergeCell ref="D5:E5"/>
    <mergeCell ref="F5:I5"/>
    <mergeCell ref="D6:E6"/>
    <mergeCell ref="F6:I6"/>
    <mergeCell ref="D7:E7"/>
    <mergeCell ref="F7:I7"/>
    <mergeCell ref="D8:E8"/>
    <mergeCell ref="F8:I8"/>
    <mergeCell ref="D9:E9"/>
    <mergeCell ref="F9:I9"/>
    <mergeCell ref="D10:E10"/>
    <mergeCell ref="F10:I10"/>
    <mergeCell ref="D11:E11"/>
    <mergeCell ref="F11:I11"/>
    <mergeCell ref="D12:E12"/>
    <mergeCell ref="F12:I12"/>
    <mergeCell ref="D13:E13"/>
    <mergeCell ref="F13:I13"/>
    <mergeCell ref="D14:E14"/>
    <mergeCell ref="F14:I14"/>
    <mergeCell ref="D15:E15"/>
    <mergeCell ref="F15:I15"/>
    <mergeCell ref="D16:E16"/>
    <mergeCell ref="F16:I16"/>
    <mergeCell ref="D17:E17"/>
    <mergeCell ref="F17:I17"/>
    <mergeCell ref="D18:E18"/>
    <mergeCell ref="F18:I18"/>
    <mergeCell ref="D19:E19"/>
    <mergeCell ref="F19:I19"/>
    <mergeCell ref="D20:E20"/>
    <mergeCell ref="F20:I20"/>
    <mergeCell ref="D21:E21"/>
    <mergeCell ref="F21:I21"/>
    <mergeCell ref="D22:E22"/>
    <mergeCell ref="F22:I22"/>
    <mergeCell ref="D23:E23"/>
    <mergeCell ref="F23:I23"/>
    <mergeCell ref="D24:E24"/>
    <mergeCell ref="F24:I24"/>
    <mergeCell ref="D25:E25"/>
    <mergeCell ref="F25:I25"/>
    <mergeCell ref="D26:E26"/>
    <mergeCell ref="F26:I26"/>
    <mergeCell ref="D27:E27"/>
    <mergeCell ref="F27:I27"/>
    <mergeCell ref="D28:E28"/>
    <mergeCell ref="F28:I28"/>
    <mergeCell ref="D29:E29"/>
    <mergeCell ref="F29:I29"/>
    <mergeCell ref="D30:E30"/>
    <mergeCell ref="F30:I30"/>
    <mergeCell ref="D31:E31"/>
    <mergeCell ref="F31:I31"/>
    <mergeCell ref="D32:E32"/>
    <mergeCell ref="F32:I32"/>
    <mergeCell ref="D33:E33"/>
    <mergeCell ref="F33:I33"/>
    <mergeCell ref="D34:E34"/>
    <mergeCell ref="F34:I34"/>
    <mergeCell ref="D35:E35"/>
    <mergeCell ref="F35:I35"/>
    <mergeCell ref="D36:E36"/>
    <mergeCell ref="F36:I36"/>
    <mergeCell ref="D37:E37"/>
    <mergeCell ref="F37:I37"/>
    <mergeCell ref="D38:E38"/>
    <mergeCell ref="F38:I38"/>
    <mergeCell ref="D39:E39"/>
    <mergeCell ref="F39:I39"/>
    <mergeCell ref="D40:E40"/>
    <mergeCell ref="F40:I40"/>
    <mergeCell ref="D41:E41"/>
    <mergeCell ref="F41:I41"/>
    <mergeCell ref="D42:E42"/>
    <mergeCell ref="F42:I42"/>
    <mergeCell ref="D43:E43"/>
    <mergeCell ref="F43:I43"/>
    <mergeCell ref="D44:E44"/>
    <mergeCell ref="F44:I44"/>
    <mergeCell ref="D45:E45"/>
    <mergeCell ref="F45:I45"/>
    <mergeCell ref="A47:I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A110:I110"/>
    <mergeCell ref="B111:D111"/>
    <mergeCell ref="E111:F111"/>
    <mergeCell ref="G111:H111"/>
    <mergeCell ref="B112:D112"/>
    <mergeCell ref="E112:F112"/>
    <mergeCell ref="G112:H112"/>
    <mergeCell ref="B113:D113"/>
    <mergeCell ref="E113:F113"/>
    <mergeCell ref="G113:H113"/>
    <mergeCell ref="B114:D114"/>
    <mergeCell ref="E114:F114"/>
    <mergeCell ref="G114:H114"/>
    <mergeCell ref="B115:D115"/>
    <mergeCell ref="E115:F115"/>
    <mergeCell ref="G115:H115"/>
    <mergeCell ref="B116:D116"/>
    <mergeCell ref="E116:F116"/>
    <mergeCell ref="G116:H116"/>
    <mergeCell ref="B117:D117"/>
    <mergeCell ref="E117:F117"/>
    <mergeCell ref="G117:H117"/>
    <mergeCell ref="B118:D118"/>
    <mergeCell ref="E118:F118"/>
    <mergeCell ref="G118:H118"/>
    <mergeCell ref="B119:D119"/>
    <mergeCell ref="E119:F119"/>
    <mergeCell ref="G119:H119"/>
    <mergeCell ref="B120:D120"/>
    <mergeCell ref="E120:F120"/>
    <mergeCell ref="G120:H120"/>
    <mergeCell ref="B121:D121"/>
    <mergeCell ref="E121:F121"/>
    <mergeCell ref="G121:H121"/>
    <mergeCell ref="B122:D122"/>
    <mergeCell ref="E122:F122"/>
    <mergeCell ref="G122:H122"/>
    <mergeCell ref="B123:D123"/>
    <mergeCell ref="E123:F123"/>
    <mergeCell ref="G123:H123"/>
    <mergeCell ref="B124:D124"/>
    <mergeCell ref="E124:F124"/>
    <mergeCell ref="G124:H124"/>
    <mergeCell ref="B125:D125"/>
    <mergeCell ref="E125:F125"/>
    <mergeCell ref="G125:H125"/>
    <mergeCell ref="B126:D126"/>
    <mergeCell ref="E126:F126"/>
    <mergeCell ref="G126:H126"/>
    <mergeCell ref="B127:D127"/>
    <mergeCell ref="E127:F127"/>
    <mergeCell ref="G127:H127"/>
    <mergeCell ref="B128:D128"/>
    <mergeCell ref="E128:F128"/>
    <mergeCell ref="G128:H128"/>
    <mergeCell ref="B129:D129"/>
    <mergeCell ref="E129:F129"/>
    <mergeCell ref="G129:H129"/>
    <mergeCell ref="B130:D130"/>
    <mergeCell ref="E130:F130"/>
    <mergeCell ref="G130:H130"/>
    <mergeCell ref="B131:D131"/>
    <mergeCell ref="E131:F131"/>
    <mergeCell ref="G131:H131"/>
    <mergeCell ref="B132:D132"/>
    <mergeCell ref="E132:F132"/>
    <mergeCell ref="G132:H132"/>
    <mergeCell ref="B133:D133"/>
    <mergeCell ref="E133:F133"/>
    <mergeCell ref="G133:H133"/>
    <mergeCell ref="B134:D134"/>
    <mergeCell ref="E134:F134"/>
    <mergeCell ref="G134:H134"/>
    <mergeCell ref="B135:D135"/>
    <mergeCell ref="E135:F135"/>
    <mergeCell ref="G135:H135"/>
    <mergeCell ref="B136:D136"/>
    <mergeCell ref="E136:F136"/>
    <mergeCell ref="G136:H136"/>
    <mergeCell ref="B137:D137"/>
    <mergeCell ref="E137:F137"/>
    <mergeCell ref="G137:H137"/>
    <mergeCell ref="B138:D138"/>
    <mergeCell ref="E138:F138"/>
    <mergeCell ref="G138:H138"/>
    <mergeCell ref="B139:D139"/>
    <mergeCell ref="E139:F139"/>
    <mergeCell ref="G139:H139"/>
    <mergeCell ref="B140:D140"/>
    <mergeCell ref="E140:F140"/>
    <mergeCell ref="G140:H140"/>
    <mergeCell ref="B141:D141"/>
    <mergeCell ref="E141:F141"/>
    <mergeCell ref="G141:H141"/>
    <mergeCell ref="B142:D142"/>
    <mergeCell ref="E142:F142"/>
    <mergeCell ref="G142:H142"/>
    <mergeCell ref="B143:D143"/>
    <mergeCell ref="E143:F143"/>
    <mergeCell ref="G143:H143"/>
    <mergeCell ref="B144:D144"/>
    <mergeCell ref="E144:F144"/>
    <mergeCell ref="G144:H144"/>
    <mergeCell ref="B145:D145"/>
    <mergeCell ref="E145:F145"/>
    <mergeCell ref="G145:H145"/>
    <mergeCell ref="B146:D146"/>
    <mergeCell ref="E146:F146"/>
    <mergeCell ref="G146:H146"/>
    <mergeCell ref="B147:D147"/>
    <mergeCell ref="E147:F147"/>
    <mergeCell ref="G147:H147"/>
    <mergeCell ref="B148:D148"/>
    <mergeCell ref="E148:F148"/>
    <mergeCell ref="G148:H148"/>
    <mergeCell ref="B149:D149"/>
    <mergeCell ref="E149:F149"/>
    <mergeCell ref="G149:H149"/>
    <mergeCell ref="B150:D150"/>
    <mergeCell ref="E150:F150"/>
    <mergeCell ref="G150:H150"/>
    <mergeCell ref="B151:D151"/>
    <mergeCell ref="E151:F151"/>
    <mergeCell ref="G151:H151"/>
  </mergeCells>
  <conditionalFormatting sqref="F6:F45">
    <cfRule type="expression" dxfId="62" priority="1">
      <formula>OR(LEFT(F6,4)="ERRO",LEFT(F6,7)="ATENÇÃO")</formula>
    </cfRule>
    <cfRule type="expression" dxfId="63" priority="2">
      <formula>OR(LEFT(F6,8)="Pendente",LEFT(F6,9)="Verificar",LEFT(F6,9)="Duplicada",LEFT(F6,7)="Tarefa ",LEFT(F6,13)="Fora do plano",LEFT(F6,8)="Previsão",LEFT(F6,11)="Sem vínculo",LEFT(F6,14)="Não verificado",LEFT(F6,7)="Informe",LEFT(F6,9)="A definir")</formula>
    </cfRule>
    <cfRule type="expression" dxfId="64" priority="3">
      <formula>OR(F6="OK",LEFT(F6,4)="Nada",LEFT(F6,3)="OK:")</formula>
    </cfRule>
  </conditionalFormatting>
  <conditionalFormatting sqref="G49:G108">
    <cfRule type="expression" dxfId="65" priority="1">
      <formula>LEFT(G49,3)="Sim"</formula>
    </cfRule>
    <cfRule type="expression" dxfId="66" priority="2">
      <formula>G49="Não"</formula>
    </cfRule>
  </conditionalFormatting>
  <conditionalFormatting sqref="I49:I108">
    <cfRule type="expression" dxfId="67" priority="1">
      <formula>OR(LEFT(I49,4)="ERRO",LEFT(I49,7)="ATENÇÃO")</formula>
    </cfRule>
    <cfRule type="expression" dxfId="68" priority="2">
      <formula>OR(LEFT(I49,8)="Pendente",LEFT(I49,9)="Verificar",LEFT(I49,9)="Duplicada",LEFT(I49,7)="Tarefa ",LEFT(I49,13)="Fora do plano",LEFT(I49,8)="Previsão",LEFT(I49,11)="Sem vínculo",LEFT(I49,14)="Não verificado",LEFT(I49,7)="Informe",LEFT(I49,9)="A definir")</formula>
    </cfRule>
    <cfRule type="expression" dxfId="69" priority="3">
      <formula>OR(I49="OK",LEFT(I49,4)="Nada",LEFT(I49,3)="OK:")</formula>
    </cfRule>
  </conditionalFormatting>
  <conditionalFormatting sqref="I112:I151">
    <cfRule type="expression" dxfId="70" priority="1">
      <formula>OR(LEFT(I112,4)="ERRO",LEFT(I112,7)="ATENÇÃO")</formula>
    </cfRule>
    <cfRule type="expression" dxfId="71" priority="2">
      <formula>OR(LEFT(I112,8)="Pendente",LEFT(I112,9)="Verificar",LEFT(I112,9)="Duplicada",LEFT(I112,7)="Tarefa ",LEFT(I112,13)="Fora do plano",LEFT(I112,8)="Previsão",LEFT(I112,11)="Sem vínculo",LEFT(I112,14)="Não verificado",LEFT(I112,7)="Informe",LEFT(I112,9)="A definir")</formula>
    </cfRule>
    <cfRule type="expression" dxfId="72" priority="3">
      <formula>OR(I112="OK",LEFT(I112,4)="Nada",LEFT(I112,3)="OK:")</formula>
    </cfRule>
  </conditionalFormatting>
  <dataValidations count="7">
    <dataValidation type="date" allowBlank="1" showErrorMessage="1" errorTitle="Data inválida" error="Digite uma data válida." sqref="A112:A151">
      <formula1>32874</formula1>
      <formula2>73050</formula2>
    </dataValidation>
    <dataValidation type="list" allowBlank="1" showErrorMessage="1" errorTitle="Funcionário não cadastrado" error="Cadastre na Equipe por turno." sqref="A49:A108">
      <formula1>OFFSET(eq_nome,0,0,MAX(1,COUNTA(eq_nome)),1)</formula1>
    </dataValidation>
    <dataValidation type="list" allowBlank="1" showErrorMessage="1" errorTitle="Valor fora da lista" error="Escolha um turno." sqref="B6:B45">
      <formula1>OFFSET(lst_turno,0,0,MAX(1,COUNTA(lst_turno)),1)</formula1>
    </dataValidation>
    <dataValidation type="date" allowBlank="1" showErrorMessage="1" errorTitle="Data inválida" error="Digite uma data válida." sqref="C49:C108">
      <formula1>32874</formula1>
      <formula2>73050</formula2>
    </dataValidation>
    <dataValidation type="list" allowBlank="1" showErrorMessage="1" errorTitle="Valor fora da lista" error="Escolha uma situação." sqref="D49:D108">
      <formula1>OFFSET(lst_status_ferias,0,0,MAX(1,COUNTA(lst_status_ferias)),1)</formula1>
    </dataValidation>
    <dataValidation type="list" allowBlank="1" showErrorMessage="1" errorTitle="Valor fora da lista" error="Escolha o tipo." sqref="E112:E151">
      <formula1>OFFSET(lst_tipo_feriado,0,0,MAX(1,COUNTA(lst_tipo_feriado)),1)</formula1>
    </dataValidation>
    <dataValidation type="whole" allowBlank="1" showErrorMessage="1" errorTitle="Dias inválidos" error="De 1 a 60 dias." sqref="E49:E108">
      <formula1>1</formula1>
      <formula2>60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5" width="12" customWidth="1"/>
    <col min="6" max="6" width="13" customWidth="1"/>
    <col min="7" max="8" width="12" customWidth="1"/>
    <col min="9" max="9" width="34" customWidth="1"/>
  </cols>
  <sheetData>
    <row r="1" ht="36" customHeight="1" spans="1:9" x14ac:dyDescent="0.25">
      <c r="A1" s="1"/>
      <c r="B1" s="1"/>
      <c r="C1" s="2" t="s">
        <v>215</v>
      </c>
      <c r="D1" s="2"/>
      <c r="E1" s="2"/>
      <c r="F1" s="2"/>
      <c r="G1" s="2"/>
      <c r="H1" s="2"/>
      <c r="I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9" x14ac:dyDescent="0.25">
      <c r="A2" s="1"/>
      <c r="B2" s="1"/>
      <c r="C2" s="2"/>
      <c r="D2" s="2"/>
      <c r="E2" s="2"/>
      <c r="F2" s="2"/>
      <c r="G2" s="2"/>
      <c r="H2" s="2"/>
      <c r="I2" s="4">
        <f>"Elaborado: "&amp;IF(cfg_elaborado="","A definir",cfg_elaborado)&amp;CHAR(10)&amp;"Aprovado: "&amp;IF(cfg_aprovado="","A definir",cfg_aprovado)</f>
      </c>
    </row>
    <row r="3" ht="36" customHeight="1" spans="1:9" x14ac:dyDescent="0.25">
      <c r="A3" s="8" t="s">
        <v>87</v>
      </c>
      <c r="B3" s="8" t="s">
        <v>213</v>
      </c>
      <c r="C3" s="8" t="s">
        <v>216</v>
      </c>
      <c r="D3" s="8" t="s">
        <v>217</v>
      </c>
      <c r="E3" s="8" t="s">
        <v>218</v>
      </c>
      <c r="F3" s="8" t="s">
        <v>219</v>
      </c>
      <c r="G3" s="8" t="s">
        <v>220</v>
      </c>
      <c r="H3" s="8" t="s">
        <v>221</v>
      </c>
      <c r="I3" s="8" t="s">
        <v>107</v>
      </c>
    </row>
    <row r="4" spans="1:9" x14ac:dyDescent="0.25">
      <c r="A4" s="29"/>
      <c r="B4" s="30"/>
      <c r="C4" s="38"/>
      <c r="D4" s="38"/>
      <c r="E4" s="54"/>
      <c r="F4" s="54"/>
      <c r="G4" s="54"/>
      <c r="H4" s="55">
        <f t="shared" ref="H4:H503" si="0">IF(AND(ISNUMBER(E4),ISNUMBER(G4)),E4-G4,"")</f>
      </c>
      <c r="I4" s="32">
        <f t="shared" ref="I4:I503" si="1">IF(A4&amp;B4&amp;C4&amp;D4="","",IF(ISNA(MATCH(A4,at_codigo,0)),"ERRO: ativo não cadastrado",IF(NOT(ISNUMBER(B4)),"ERRO: data ausente",IF(COUNTIFS($A$4:$A$503,A4,$B$4:$B$503,B4)&gt;1,"ERRO: ativo e data repetidos",IF(N(D4)&gt;N(C4),"ERRO: rodando maior que disponível",IF(AND(ISNUMBER(E4),ISNUMBER(F4),E4&gt;F4),"ERRO: real maior que teórica",IF(AND(ISNUMBER(G4),ISNUMBER(E4),G4&gt;E4),"ERRO: boas maior que produção",IF(COUNT(C4:G4)&lt;5,"Pendente: dados incompletos","OK"))))))))</f>
      </c>
    </row>
    <row r="5" spans="1:9" x14ac:dyDescent="0.25">
      <c r="A5" s="29"/>
      <c r="B5" s="30"/>
      <c r="C5" s="38"/>
      <c r="D5" s="38"/>
      <c r="E5" s="54"/>
      <c r="F5" s="54"/>
      <c r="G5" s="54"/>
      <c r="H5" s="55">
        <f t="shared" si="0"/>
      </c>
      <c r="I5" s="32">
        <f t="shared" si="1"/>
      </c>
    </row>
    <row r="6" spans="1:9" x14ac:dyDescent="0.25">
      <c r="A6" s="29"/>
      <c r="B6" s="30"/>
      <c r="C6" s="38"/>
      <c r="D6" s="38"/>
      <c r="E6" s="54"/>
      <c r="F6" s="54"/>
      <c r="G6" s="54"/>
      <c r="H6" s="55">
        <f t="shared" si="0"/>
      </c>
      <c r="I6" s="32">
        <f t="shared" si="1"/>
      </c>
    </row>
    <row r="7" spans="1:9" x14ac:dyDescent="0.25">
      <c r="A7" s="29"/>
      <c r="B7" s="30"/>
      <c r="C7" s="38"/>
      <c r="D7" s="38"/>
      <c r="E7" s="54"/>
      <c r="F7" s="54"/>
      <c r="G7" s="54"/>
      <c r="H7" s="55">
        <f t="shared" si="0"/>
      </c>
      <c r="I7" s="32">
        <f t="shared" si="1"/>
      </c>
    </row>
    <row r="8" spans="1:9" x14ac:dyDescent="0.25">
      <c r="A8" s="29"/>
      <c r="B8" s="30"/>
      <c r="C8" s="38"/>
      <c r="D8" s="38"/>
      <c r="E8" s="54"/>
      <c r="F8" s="54"/>
      <c r="G8" s="54"/>
      <c r="H8" s="55">
        <f t="shared" si="0"/>
      </c>
      <c r="I8" s="32">
        <f t="shared" si="1"/>
      </c>
    </row>
    <row r="9" spans="1:9" x14ac:dyDescent="0.25">
      <c r="A9" s="29"/>
      <c r="B9" s="30"/>
      <c r="C9" s="38"/>
      <c r="D9" s="38"/>
      <c r="E9" s="54"/>
      <c r="F9" s="54"/>
      <c r="G9" s="54"/>
      <c r="H9" s="55">
        <f t="shared" si="0"/>
      </c>
      <c r="I9" s="32">
        <f t="shared" si="1"/>
      </c>
    </row>
    <row r="10" spans="1:9" x14ac:dyDescent="0.25">
      <c r="A10" s="29"/>
      <c r="B10" s="30"/>
      <c r="C10" s="38"/>
      <c r="D10" s="38"/>
      <c r="E10" s="54"/>
      <c r="F10" s="54"/>
      <c r="G10" s="54"/>
      <c r="H10" s="55">
        <f t="shared" si="0"/>
      </c>
      <c r="I10" s="32">
        <f t="shared" si="1"/>
      </c>
    </row>
    <row r="11" spans="1:9" x14ac:dyDescent="0.25">
      <c r="A11" s="29"/>
      <c r="B11" s="30"/>
      <c r="C11" s="38"/>
      <c r="D11" s="38"/>
      <c r="E11" s="54"/>
      <c r="F11" s="54"/>
      <c r="G11" s="54"/>
      <c r="H11" s="55">
        <f t="shared" si="0"/>
      </c>
      <c r="I11" s="32">
        <f t="shared" si="1"/>
      </c>
    </row>
    <row r="12" spans="1:9" x14ac:dyDescent="0.25">
      <c r="A12" s="29"/>
      <c r="B12" s="30"/>
      <c r="C12" s="38"/>
      <c r="D12" s="38"/>
      <c r="E12" s="54"/>
      <c r="F12" s="54"/>
      <c r="G12" s="54"/>
      <c r="H12" s="55">
        <f t="shared" si="0"/>
      </c>
      <c r="I12" s="32">
        <f t="shared" si="1"/>
      </c>
    </row>
    <row r="13" spans="1:9" x14ac:dyDescent="0.25">
      <c r="A13" s="29"/>
      <c r="B13" s="30"/>
      <c r="C13" s="38"/>
      <c r="D13" s="38"/>
      <c r="E13" s="54"/>
      <c r="F13" s="54"/>
      <c r="G13" s="54"/>
      <c r="H13" s="55">
        <f t="shared" si="0"/>
      </c>
      <c r="I13" s="32">
        <f t="shared" si="1"/>
      </c>
    </row>
    <row r="14" spans="1:9" x14ac:dyDescent="0.25">
      <c r="A14" s="29"/>
      <c r="B14" s="30"/>
      <c r="C14" s="38"/>
      <c r="D14" s="38"/>
      <c r="E14" s="54"/>
      <c r="F14" s="54"/>
      <c r="G14" s="54"/>
      <c r="H14" s="55">
        <f t="shared" si="0"/>
      </c>
      <c r="I14" s="32">
        <f t="shared" si="1"/>
      </c>
    </row>
    <row r="15" spans="1:9" x14ac:dyDescent="0.25">
      <c r="A15" s="29"/>
      <c r="B15" s="30"/>
      <c r="C15" s="38"/>
      <c r="D15" s="38"/>
      <c r="E15" s="54"/>
      <c r="F15" s="54"/>
      <c r="G15" s="54"/>
      <c r="H15" s="55">
        <f t="shared" si="0"/>
      </c>
      <c r="I15" s="32">
        <f t="shared" si="1"/>
      </c>
    </row>
    <row r="16" spans="1:9" x14ac:dyDescent="0.25">
      <c r="A16" s="29"/>
      <c r="B16" s="30"/>
      <c r="C16" s="38"/>
      <c r="D16" s="38"/>
      <c r="E16" s="54"/>
      <c r="F16" s="54"/>
      <c r="G16" s="54"/>
      <c r="H16" s="55">
        <f t="shared" si="0"/>
      </c>
      <c r="I16" s="32">
        <f t="shared" si="1"/>
      </c>
    </row>
    <row r="17" spans="1:9" x14ac:dyDescent="0.25">
      <c r="A17" s="29"/>
      <c r="B17" s="30"/>
      <c r="C17" s="38"/>
      <c r="D17" s="38"/>
      <c r="E17" s="54"/>
      <c r="F17" s="54"/>
      <c r="G17" s="54"/>
      <c r="H17" s="55">
        <f t="shared" si="0"/>
      </c>
      <c r="I17" s="32">
        <f t="shared" si="1"/>
      </c>
    </row>
    <row r="18" spans="1:9" x14ac:dyDescent="0.25">
      <c r="A18" s="29"/>
      <c r="B18" s="30"/>
      <c r="C18" s="38"/>
      <c r="D18" s="38"/>
      <c r="E18" s="54"/>
      <c r="F18" s="54"/>
      <c r="G18" s="54"/>
      <c r="H18" s="55">
        <f t="shared" si="0"/>
      </c>
      <c r="I18" s="32">
        <f t="shared" si="1"/>
      </c>
    </row>
    <row r="19" spans="1:9" x14ac:dyDescent="0.25">
      <c r="A19" s="29"/>
      <c r="B19" s="30"/>
      <c r="C19" s="38"/>
      <c r="D19" s="38"/>
      <c r="E19" s="54"/>
      <c r="F19" s="54"/>
      <c r="G19" s="54"/>
      <c r="H19" s="55">
        <f t="shared" si="0"/>
      </c>
      <c r="I19" s="32">
        <f t="shared" si="1"/>
      </c>
    </row>
    <row r="20" spans="1:9" x14ac:dyDescent="0.25">
      <c r="A20" s="29"/>
      <c r="B20" s="30"/>
      <c r="C20" s="38"/>
      <c r="D20" s="38"/>
      <c r="E20" s="54"/>
      <c r="F20" s="54"/>
      <c r="G20" s="54"/>
      <c r="H20" s="55">
        <f t="shared" si="0"/>
      </c>
      <c r="I20" s="32">
        <f t="shared" si="1"/>
      </c>
    </row>
    <row r="21" spans="1:9" x14ac:dyDescent="0.25">
      <c r="A21" s="29"/>
      <c r="B21" s="30"/>
      <c r="C21" s="38"/>
      <c r="D21" s="38"/>
      <c r="E21" s="54"/>
      <c r="F21" s="54"/>
      <c r="G21" s="54"/>
      <c r="H21" s="55">
        <f t="shared" si="0"/>
      </c>
      <c r="I21" s="32">
        <f t="shared" si="1"/>
      </c>
    </row>
    <row r="22" spans="1:9" x14ac:dyDescent="0.25">
      <c r="A22" s="29"/>
      <c r="B22" s="30"/>
      <c r="C22" s="38"/>
      <c r="D22" s="38"/>
      <c r="E22" s="54"/>
      <c r="F22" s="54"/>
      <c r="G22" s="54"/>
      <c r="H22" s="55">
        <f t="shared" si="0"/>
      </c>
      <c r="I22" s="32">
        <f t="shared" si="1"/>
      </c>
    </row>
    <row r="23" spans="1:9" x14ac:dyDescent="0.25">
      <c r="A23" s="29"/>
      <c r="B23" s="30"/>
      <c r="C23" s="38"/>
      <c r="D23" s="38"/>
      <c r="E23" s="54"/>
      <c r="F23" s="54"/>
      <c r="G23" s="54"/>
      <c r="H23" s="55">
        <f t="shared" si="0"/>
      </c>
      <c r="I23" s="32">
        <f t="shared" si="1"/>
      </c>
    </row>
    <row r="24" spans="1:9" x14ac:dyDescent="0.25">
      <c r="A24" s="29"/>
      <c r="B24" s="30"/>
      <c r="C24" s="38"/>
      <c r="D24" s="38"/>
      <c r="E24" s="54"/>
      <c r="F24" s="54"/>
      <c r="G24" s="54"/>
      <c r="H24" s="55">
        <f t="shared" si="0"/>
      </c>
      <c r="I24" s="32">
        <f t="shared" si="1"/>
      </c>
    </row>
    <row r="25" spans="1:9" x14ac:dyDescent="0.25">
      <c r="A25" s="29"/>
      <c r="B25" s="30"/>
      <c r="C25" s="38"/>
      <c r="D25" s="38"/>
      <c r="E25" s="54"/>
      <c r="F25" s="54"/>
      <c r="G25" s="54"/>
      <c r="H25" s="55">
        <f t="shared" si="0"/>
      </c>
      <c r="I25" s="32">
        <f t="shared" si="1"/>
      </c>
    </row>
    <row r="26" spans="1:9" x14ac:dyDescent="0.25">
      <c r="A26" s="29"/>
      <c r="B26" s="30"/>
      <c r="C26" s="38"/>
      <c r="D26" s="38"/>
      <c r="E26" s="54"/>
      <c r="F26" s="54"/>
      <c r="G26" s="54"/>
      <c r="H26" s="55">
        <f t="shared" si="0"/>
      </c>
      <c r="I26" s="32">
        <f t="shared" si="1"/>
      </c>
    </row>
    <row r="27" spans="1:9" x14ac:dyDescent="0.25">
      <c r="A27" s="29"/>
      <c r="B27" s="30"/>
      <c r="C27" s="38"/>
      <c r="D27" s="38"/>
      <c r="E27" s="54"/>
      <c r="F27" s="54"/>
      <c r="G27" s="54"/>
      <c r="H27" s="55">
        <f t="shared" si="0"/>
      </c>
      <c r="I27" s="32">
        <f t="shared" si="1"/>
      </c>
    </row>
    <row r="28" spans="1:9" x14ac:dyDescent="0.25">
      <c r="A28" s="29"/>
      <c r="B28" s="30"/>
      <c r="C28" s="38"/>
      <c r="D28" s="38"/>
      <c r="E28" s="54"/>
      <c r="F28" s="54"/>
      <c r="G28" s="54"/>
      <c r="H28" s="55">
        <f t="shared" si="0"/>
      </c>
      <c r="I28" s="32">
        <f t="shared" si="1"/>
      </c>
    </row>
    <row r="29" spans="1:9" x14ac:dyDescent="0.25">
      <c r="A29" s="29"/>
      <c r="B29" s="30"/>
      <c r="C29" s="38"/>
      <c r="D29" s="38"/>
      <c r="E29" s="54"/>
      <c r="F29" s="54"/>
      <c r="G29" s="54"/>
      <c r="H29" s="55">
        <f t="shared" si="0"/>
      </c>
      <c r="I29" s="32">
        <f t="shared" si="1"/>
      </c>
    </row>
    <row r="30" spans="1:9" x14ac:dyDescent="0.25">
      <c r="A30" s="29"/>
      <c r="B30" s="30"/>
      <c r="C30" s="38"/>
      <c r="D30" s="38"/>
      <c r="E30" s="54"/>
      <c r="F30" s="54"/>
      <c r="G30" s="54"/>
      <c r="H30" s="55">
        <f t="shared" si="0"/>
      </c>
      <c r="I30" s="32">
        <f t="shared" si="1"/>
      </c>
    </row>
    <row r="31" spans="1:9" x14ac:dyDescent="0.25">
      <c r="A31" s="29"/>
      <c r="B31" s="30"/>
      <c r="C31" s="38"/>
      <c r="D31" s="38"/>
      <c r="E31" s="54"/>
      <c r="F31" s="54"/>
      <c r="G31" s="54"/>
      <c r="H31" s="55">
        <f t="shared" si="0"/>
      </c>
      <c r="I31" s="32">
        <f t="shared" si="1"/>
      </c>
    </row>
    <row r="32" spans="1:9" x14ac:dyDescent="0.25">
      <c r="A32" s="29"/>
      <c r="B32" s="30"/>
      <c r="C32" s="38"/>
      <c r="D32" s="38"/>
      <c r="E32" s="54"/>
      <c r="F32" s="54"/>
      <c r="G32" s="54"/>
      <c r="H32" s="55">
        <f t="shared" si="0"/>
      </c>
      <c r="I32" s="32">
        <f t="shared" si="1"/>
      </c>
    </row>
    <row r="33" spans="1:9" x14ac:dyDescent="0.25">
      <c r="A33" s="29"/>
      <c r="B33" s="30"/>
      <c r="C33" s="38"/>
      <c r="D33" s="38"/>
      <c r="E33" s="54"/>
      <c r="F33" s="54"/>
      <c r="G33" s="54"/>
      <c r="H33" s="55">
        <f t="shared" si="0"/>
      </c>
      <c r="I33" s="32">
        <f t="shared" si="1"/>
      </c>
    </row>
    <row r="34" spans="1:9" x14ac:dyDescent="0.25">
      <c r="A34" s="29"/>
      <c r="B34" s="30"/>
      <c r="C34" s="38"/>
      <c r="D34" s="38"/>
      <c r="E34" s="54"/>
      <c r="F34" s="54"/>
      <c r="G34" s="54"/>
      <c r="H34" s="55">
        <f t="shared" si="0"/>
      </c>
      <c r="I34" s="32">
        <f t="shared" si="1"/>
      </c>
    </row>
    <row r="35" spans="1:9" x14ac:dyDescent="0.25">
      <c r="A35" s="29"/>
      <c r="B35" s="30"/>
      <c r="C35" s="38"/>
      <c r="D35" s="38"/>
      <c r="E35" s="54"/>
      <c r="F35" s="54"/>
      <c r="G35" s="54"/>
      <c r="H35" s="55">
        <f t="shared" si="0"/>
      </c>
      <c r="I35" s="32">
        <f t="shared" si="1"/>
      </c>
    </row>
    <row r="36" spans="1:9" x14ac:dyDescent="0.25">
      <c r="A36" s="29"/>
      <c r="B36" s="30"/>
      <c r="C36" s="38"/>
      <c r="D36" s="38"/>
      <c r="E36" s="54"/>
      <c r="F36" s="54"/>
      <c r="G36" s="54"/>
      <c r="H36" s="55">
        <f t="shared" si="0"/>
      </c>
      <c r="I36" s="32">
        <f t="shared" si="1"/>
      </c>
    </row>
    <row r="37" spans="1:9" x14ac:dyDescent="0.25">
      <c r="A37" s="29"/>
      <c r="B37" s="30"/>
      <c r="C37" s="38"/>
      <c r="D37" s="38"/>
      <c r="E37" s="54"/>
      <c r="F37" s="54"/>
      <c r="G37" s="54"/>
      <c r="H37" s="55">
        <f t="shared" si="0"/>
      </c>
      <c r="I37" s="32">
        <f t="shared" si="1"/>
      </c>
    </row>
    <row r="38" spans="1:9" x14ac:dyDescent="0.25">
      <c r="A38" s="29"/>
      <c r="B38" s="30"/>
      <c r="C38" s="38"/>
      <c r="D38" s="38"/>
      <c r="E38" s="54"/>
      <c r="F38" s="54"/>
      <c r="G38" s="54"/>
      <c r="H38" s="55">
        <f t="shared" si="0"/>
      </c>
      <c r="I38" s="32">
        <f t="shared" si="1"/>
      </c>
    </row>
    <row r="39" spans="1:9" x14ac:dyDescent="0.25">
      <c r="A39" s="29"/>
      <c r="B39" s="30"/>
      <c r="C39" s="38"/>
      <c r="D39" s="38"/>
      <c r="E39" s="54"/>
      <c r="F39" s="54"/>
      <c r="G39" s="54"/>
      <c r="H39" s="55">
        <f t="shared" si="0"/>
      </c>
      <c r="I39" s="32">
        <f t="shared" si="1"/>
      </c>
    </row>
    <row r="40" spans="1:9" x14ac:dyDescent="0.25">
      <c r="A40" s="29"/>
      <c r="B40" s="30"/>
      <c r="C40" s="38"/>
      <c r="D40" s="38"/>
      <c r="E40" s="54"/>
      <c r="F40" s="54"/>
      <c r="G40" s="54"/>
      <c r="H40" s="55">
        <f t="shared" si="0"/>
      </c>
      <c r="I40" s="32">
        <f t="shared" si="1"/>
      </c>
    </row>
    <row r="41" spans="1:9" x14ac:dyDescent="0.25">
      <c r="A41" s="29"/>
      <c r="B41" s="30"/>
      <c r="C41" s="38"/>
      <c r="D41" s="38"/>
      <c r="E41" s="54"/>
      <c r="F41" s="54"/>
      <c r="G41" s="54"/>
      <c r="H41" s="55">
        <f t="shared" si="0"/>
      </c>
      <c r="I41" s="32">
        <f t="shared" si="1"/>
      </c>
    </row>
    <row r="42" spans="1:9" x14ac:dyDescent="0.25">
      <c r="A42" s="29"/>
      <c r="B42" s="30"/>
      <c r="C42" s="38"/>
      <c r="D42" s="38"/>
      <c r="E42" s="54"/>
      <c r="F42" s="54"/>
      <c r="G42" s="54"/>
      <c r="H42" s="55">
        <f t="shared" si="0"/>
      </c>
      <c r="I42" s="32">
        <f t="shared" si="1"/>
      </c>
    </row>
    <row r="43" spans="1:9" x14ac:dyDescent="0.25">
      <c r="A43" s="29"/>
      <c r="B43" s="30"/>
      <c r="C43" s="38"/>
      <c r="D43" s="38"/>
      <c r="E43" s="54"/>
      <c r="F43" s="54"/>
      <c r="G43" s="54"/>
      <c r="H43" s="55">
        <f t="shared" si="0"/>
      </c>
      <c r="I43" s="32">
        <f t="shared" si="1"/>
      </c>
    </row>
    <row r="44" spans="1:9" x14ac:dyDescent="0.25">
      <c r="A44" s="29"/>
      <c r="B44" s="30"/>
      <c r="C44" s="38"/>
      <c r="D44" s="38"/>
      <c r="E44" s="54"/>
      <c r="F44" s="54"/>
      <c r="G44" s="54"/>
      <c r="H44" s="55">
        <f t="shared" si="0"/>
      </c>
      <c r="I44" s="32">
        <f t="shared" si="1"/>
      </c>
    </row>
    <row r="45" spans="1:9" x14ac:dyDescent="0.25">
      <c r="A45" s="29"/>
      <c r="B45" s="30"/>
      <c r="C45" s="38"/>
      <c r="D45" s="38"/>
      <c r="E45" s="54"/>
      <c r="F45" s="54"/>
      <c r="G45" s="54"/>
      <c r="H45" s="55">
        <f t="shared" si="0"/>
      </c>
      <c r="I45" s="32">
        <f t="shared" si="1"/>
      </c>
    </row>
    <row r="46" spans="1:9" x14ac:dyDescent="0.25">
      <c r="A46" s="29"/>
      <c r="B46" s="30"/>
      <c r="C46" s="38"/>
      <c r="D46" s="38"/>
      <c r="E46" s="54"/>
      <c r="F46" s="54"/>
      <c r="G46" s="54"/>
      <c r="H46" s="55">
        <f t="shared" si="0"/>
      </c>
      <c r="I46" s="32">
        <f t="shared" si="1"/>
      </c>
    </row>
    <row r="47" spans="1:9" x14ac:dyDescent="0.25">
      <c r="A47" s="29"/>
      <c r="B47" s="30"/>
      <c r="C47" s="38"/>
      <c r="D47" s="38"/>
      <c r="E47" s="54"/>
      <c r="F47" s="54"/>
      <c r="G47" s="54"/>
      <c r="H47" s="55">
        <f t="shared" si="0"/>
      </c>
      <c r="I47" s="32">
        <f t="shared" si="1"/>
      </c>
    </row>
    <row r="48" spans="1:9" x14ac:dyDescent="0.25">
      <c r="A48" s="29"/>
      <c r="B48" s="30"/>
      <c r="C48" s="38"/>
      <c r="D48" s="38"/>
      <c r="E48" s="54"/>
      <c r="F48" s="54"/>
      <c r="G48" s="54"/>
      <c r="H48" s="55">
        <f t="shared" si="0"/>
      </c>
      <c r="I48" s="32">
        <f t="shared" si="1"/>
      </c>
    </row>
    <row r="49" spans="1:9" x14ac:dyDescent="0.25">
      <c r="A49" s="29"/>
      <c r="B49" s="30"/>
      <c r="C49" s="38"/>
      <c r="D49" s="38"/>
      <c r="E49" s="54"/>
      <c r="F49" s="54"/>
      <c r="G49" s="54"/>
      <c r="H49" s="55">
        <f t="shared" si="0"/>
      </c>
      <c r="I49" s="32">
        <f t="shared" si="1"/>
      </c>
    </row>
    <row r="50" spans="1:9" x14ac:dyDescent="0.25">
      <c r="A50" s="29"/>
      <c r="B50" s="30"/>
      <c r="C50" s="38"/>
      <c r="D50" s="38"/>
      <c r="E50" s="54"/>
      <c r="F50" s="54"/>
      <c r="G50" s="54"/>
      <c r="H50" s="55">
        <f t="shared" si="0"/>
      </c>
      <c r="I50" s="32">
        <f t="shared" si="1"/>
      </c>
    </row>
    <row r="51" spans="1:9" x14ac:dyDescent="0.25">
      <c r="A51" s="29"/>
      <c r="B51" s="30"/>
      <c r="C51" s="38"/>
      <c r="D51" s="38"/>
      <c r="E51" s="54"/>
      <c r="F51" s="54"/>
      <c r="G51" s="54"/>
      <c r="H51" s="55">
        <f t="shared" si="0"/>
      </c>
      <c r="I51" s="32">
        <f t="shared" si="1"/>
      </c>
    </row>
    <row r="52" spans="1:9" x14ac:dyDescent="0.25">
      <c r="A52" s="29"/>
      <c r="B52" s="30"/>
      <c r="C52" s="38"/>
      <c r="D52" s="38"/>
      <c r="E52" s="54"/>
      <c r="F52" s="54"/>
      <c r="G52" s="54"/>
      <c r="H52" s="55">
        <f t="shared" si="0"/>
      </c>
      <c r="I52" s="32">
        <f t="shared" si="1"/>
      </c>
    </row>
    <row r="53" spans="1:9" x14ac:dyDescent="0.25">
      <c r="A53" s="29"/>
      <c r="B53" s="30"/>
      <c r="C53" s="38"/>
      <c r="D53" s="38"/>
      <c r="E53" s="54"/>
      <c r="F53" s="54"/>
      <c r="G53" s="54"/>
      <c r="H53" s="55">
        <f t="shared" si="0"/>
      </c>
      <c r="I53" s="32">
        <f t="shared" si="1"/>
      </c>
    </row>
    <row r="54" spans="1:9" x14ac:dyDescent="0.25">
      <c r="A54" s="29"/>
      <c r="B54" s="30"/>
      <c r="C54" s="38"/>
      <c r="D54" s="38"/>
      <c r="E54" s="54"/>
      <c r="F54" s="54"/>
      <c r="G54" s="54"/>
      <c r="H54" s="55">
        <f t="shared" si="0"/>
      </c>
      <c r="I54" s="32">
        <f t="shared" si="1"/>
      </c>
    </row>
    <row r="55" spans="1:9" x14ac:dyDescent="0.25">
      <c r="A55" s="29"/>
      <c r="B55" s="30"/>
      <c r="C55" s="38"/>
      <c r="D55" s="38"/>
      <c r="E55" s="54"/>
      <c r="F55" s="54"/>
      <c r="G55" s="54"/>
      <c r="H55" s="55">
        <f t="shared" si="0"/>
      </c>
      <c r="I55" s="32">
        <f t="shared" si="1"/>
      </c>
    </row>
    <row r="56" spans="1:9" x14ac:dyDescent="0.25">
      <c r="A56" s="29"/>
      <c r="B56" s="30"/>
      <c r="C56" s="38"/>
      <c r="D56" s="38"/>
      <c r="E56" s="54"/>
      <c r="F56" s="54"/>
      <c r="G56" s="54"/>
      <c r="H56" s="55">
        <f t="shared" si="0"/>
      </c>
      <c r="I56" s="32">
        <f t="shared" si="1"/>
      </c>
    </row>
    <row r="57" spans="1:9" x14ac:dyDescent="0.25">
      <c r="A57" s="29"/>
      <c r="B57" s="30"/>
      <c r="C57" s="38"/>
      <c r="D57" s="38"/>
      <c r="E57" s="54"/>
      <c r="F57" s="54"/>
      <c r="G57" s="54"/>
      <c r="H57" s="55">
        <f t="shared" si="0"/>
      </c>
      <c r="I57" s="32">
        <f t="shared" si="1"/>
      </c>
    </row>
    <row r="58" spans="1:9" x14ac:dyDescent="0.25">
      <c r="A58" s="29"/>
      <c r="B58" s="30"/>
      <c r="C58" s="38"/>
      <c r="D58" s="38"/>
      <c r="E58" s="54"/>
      <c r="F58" s="54"/>
      <c r="G58" s="54"/>
      <c r="H58" s="55">
        <f t="shared" si="0"/>
      </c>
      <c r="I58" s="32">
        <f t="shared" si="1"/>
      </c>
    </row>
    <row r="59" spans="1:9" x14ac:dyDescent="0.25">
      <c r="A59" s="29"/>
      <c r="B59" s="30"/>
      <c r="C59" s="38"/>
      <c r="D59" s="38"/>
      <c r="E59" s="54"/>
      <c r="F59" s="54"/>
      <c r="G59" s="54"/>
      <c r="H59" s="55">
        <f t="shared" si="0"/>
      </c>
      <c r="I59" s="32">
        <f t="shared" si="1"/>
      </c>
    </row>
    <row r="60" spans="1:9" x14ac:dyDescent="0.25">
      <c r="A60" s="29"/>
      <c r="B60" s="30"/>
      <c r="C60" s="38"/>
      <c r="D60" s="38"/>
      <c r="E60" s="54"/>
      <c r="F60" s="54"/>
      <c r="G60" s="54"/>
      <c r="H60" s="55">
        <f t="shared" si="0"/>
      </c>
      <c r="I60" s="32">
        <f t="shared" si="1"/>
      </c>
    </row>
    <row r="61" spans="1:9" x14ac:dyDescent="0.25">
      <c r="A61" s="29"/>
      <c r="B61" s="30"/>
      <c r="C61" s="38"/>
      <c r="D61" s="38"/>
      <c r="E61" s="54"/>
      <c r="F61" s="54"/>
      <c r="G61" s="54"/>
      <c r="H61" s="55">
        <f t="shared" si="0"/>
      </c>
      <c r="I61" s="32">
        <f t="shared" si="1"/>
      </c>
    </row>
    <row r="62" spans="1:9" x14ac:dyDescent="0.25">
      <c r="A62" s="29"/>
      <c r="B62" s="30"/>
      <c r="C62" s="38"/>
      <c r="D62" s="38"/>
      <c r="E62" s="54"/>
      <c r="F62" s="54"/>
      <c r="G62" s="54"/>
      <c r="H62" s="55">
        <f t="shared" si="0"/>
      </c>
      <c r="I62" s="32">
        <f t="shared" si="1"/>
      </c>
    </row>
    <row r="63" spans="1:9" x14ac:dyDescent="0.25">
      <c r="A63" s="29"/>
      <c r="B63" s="30"/>
      <c r="C63" s="38"/>
      <c r="D63" s="38"/>
      <c r="E63" s="54"/>
      <c r="F63" s="54"/>
      <c r="G63" s="54"/>
      <c r="H63" s="55">
        <f t="shared" si="0"/>
      </c>
      <c r="I63" s="32">
        <f t="shared" si="1"/>
      </c>
    </row>
    <row r="64" spans="1:9" x14ac:dyDescent="0.25">
      <c r="A64" s="29"/>
      <c r="B64" s="30"/>
      <c r="C64" s="38"/>
      <c r="D64" s="38"/>
      <c r="E64" s="54"/>
      <c r="F64" s="54"/>
      <c r="G64" s="54"/>
      <c r="H64" s="55">
        <f t="shared" si="0"/>
      </c>
      <c r="I64" s="32">
        <f t="shared" si="1"/>
      </c>
    </row>
    <row r="65" spans="1:9" x14ac:dyDescent="0.25">
      <c r="A65" s="29"/>
      <c r="B65" s="30"/>
      <c r="C65" s="38"/>
      <c r="D65" s="38"/>
      <c r="E65" s="54"/>
      <c r="F65" s="54"/>
      <c r="G65" s="54"/>
      <c r="H65" s="55">
        <f t="shared" si="0"/>
      </c>
      <c r="I65" s="32">
        <f t="shared" si="1"/>
      </c>
    </row>
    <row r="66" spans="1:9" x14ac:dyDescent="0.25">
      <c r="A66" s="29"/>
      <c r="B66" s="30"/>
      <c r="C66" s="38"/>
      <c r="D66" s="38"/>
      <c r="E66" s="54"/>
      <c r="F66" s="54"/>
      <c r="G66" s="54"/>
      <c r="H66" s="55">
        <f t="shared" si="0"/>
      </c>
      <c r="I66" s="32">
        <f t="shared" si="1"/>
      </c>
    </row>
    <row r="67" spans="1:9" x14ac:dyDescent="0.25">
      <c r="A67" s="29"/>
      <c r="B67" s="30"/>
      <c r="C67" s="38"/>
      <c r="D67" s="38"/>
      <c r="E67" s="54"/>
      <c r="F67" s="54"/>
      <c r="G67" s="54"/>
      <c r="H67" s="55">
        <f t="shared" si="0"/>
      </c>
      <c r="I67" s="32">
        <f t="shared" si="1"/>
      </c>
    </row>
    <row r="68" spans="1:9" x14ac:dyDescent="0.25">
      <c r="A68" s="29"/>
      <c r="B68" s="30"/>
      <c r="C68" s="38"/>
      <c r="D68" s="38"/>
      <c r="E68" s="54"/>
      <c r="F68" s="54"/>
      <c r="G68" s="54"/>
      <c r="H68" s="55">
        <f t="shared" si="0"/>
      </c>
      <c r="I68" s="32">
        <f t="shared" si="1"/>
      </c>
    </row>
    <row r="69" spans="1:9" x14ac:dyDescent="0.25">
      <c r="A69" s="29"/>
      <c r="B69" s="30"/>
      <c r="C69" s="38"/>
      <c r="D69" s="38"/>
      <c r="E69" s="54"/>
      <c r="F69" s="54"/>
      <c r="G69" s="54"/>
      <c r="H69" s="55">
        <f t="shared" si="0"/>
      </c>
      <c r="I69" s="32">
        <f t="shared" si="1"/>
      </c>
    </row>
    <row r="70" spans="1:9" x14ac:dyDescent="0.25">
      <c r="A70" s="29"/>
      <c r="B70" s="30"/>
      <c r="C70" s="38"/>
      <c r="D70" s="38"/>
      <c r="E70" s="54"/>
      <c r="F70" s="54"/>
      <c r="G70" s="54"/>
      <c r="H70" s="55">
        <f t="shared" si="0"/>
      </c>
      <c r="I70" s="32">
        <f t="shared" si="1"/>
      </c>
    </row>
    <row r="71" spans="1:9" x14ac:dyDescent="0.25">
      <c r="A71" s="29"/>
      <c r="B71" s="30"/>
      <c r="C71" s="38"/>
      <c r="D71" s="38"/>
      <c r="E71" s="54"/>
      <c r="F71" s="54"/>
      <c r="G71" s="54"/>
      <c r="H71" s="55">
        <f t="shared" si="0"/>
      </c>
      <c r="I71" s="32">
        <f t="shared" si="1"/>
      </c>
    </row>
    <row r="72" spans="1:9" x14ac:dyDescent="0.25">
      <c r="A72" s="29"/>
      <c r="B72" s="30"/>
      <c r="C72" s="38"/>
      <c r="D72" s="38"/>
      <c r="E72" s="54"/>
      <c r="F72" s="54"/>
      <c r="G72" s="54"/>
      <c r="H72" s="55">
        <f t="shared" si="0"/>
      </c>
      <c r="I72" s="32">
        <f t="shared" si="1"/>
      </c>
    </row>
    <row r="73" spans="1:9" x14ac:dyDescent="0.25">
      <c r="A73" s="29"/>
      <c r="B73" s="30"/>
      <c r="C73" s="38"/>
      <c r="D73" s="38"/>
      <c r="E73" s="54"/>
      <c r="F73" s="54"/>
      <c r="G73" s="54"/>
      <c r="H73" s="55">
        <f t="shared" si="0"/>
      </c>
      <c r="I73" s="32">
        <f t="shared" si="1"/>
      </c>
    </row>
    <row r="74" spans="1:9" x14ac:dyDescent="0.25">
      <c r="A74" s="29"/>
      <c r="B74" s="30"/>
      <c r="C74" s="38"/>
      <c r="D74" s="38"/>
      <c r="E74" s="54"/>
      <c r="F74" s="54"/>
      <c r="G74" s="54"/>
      <c r="H74" s="55">
        <f t="shared" si="0"/>
      </c>
      <c r="I74" s="32">
        <f t="shared" si="1"/>
      </c>
    </row>
    <row r="75" spans="1:9" x14ac:dyDescent="0.25">
      <c r="A75" s="29"/>
      <c r="B75" s="30"/>
      <c r="C75" s="38"/>
      <c r="D75" s="38"/>
      <c r="E75" s="54"/>
      <c r="F75" s="54"/>
      <c r="G75" s="54"/>
      <c r="H75" s="55">
        <f t="shared" si="0"/>
      </c>
      <c r="I75" s="32">
        <f t="shared" si="1"/>
      </c>
    </row>
    <row r="76" spans="1:9" x14ac:dyDescent="0.25">
      <c r="A76" s="29"/>
      <c r="B76" s="30"/>
      <c r="C76" s="38"/>
      <c r="D76" s="38"/>
      <c r="E76" s="54"/>
      <c r="F76" s="54"/>
      <c r="G76" s="54"/>
      <c r="H76" s="55">
        <f t="shared" si="0"/>
      </c>
      <c r="I76" s="32">
        <f t="shared" si="1"/>
      </c>
    </row>
    <row r="77" spans="1:9" x14ac:dyDescent="0.25">
      <c r="A77" s="29"/>
      <c r="B77" s="30"/>
      <c r="C77" s="38"/>
      <c r="D77" s="38"/>
      <c r="E77" s="54"/>
      <c r="F77" s="54"/>
      <c r="G77" s="54"/>
      <c r="H77" s="55">
        <f t="shared" si="0"/>
      </c>
      <c r="I77" s="32">
        <f t="shared" si="1"/>
      </c>
    </row>
    <row r="78" spans="1:9" x14ac:dyDescent="0.25">
      <c r="A78" s="29"/>
      <c r="B78" s="30"/>
      <c r="C78" s="38"/>
      <c r="D78" s="38"/>
      <c r="E78" s="54"/>
      <c r="F78" s="54"/>
      <c r="G78" s="54"/>
      <c r="H78" s="55">
        <f t="shared" si="0"/>
      </c>
      <c r="I78" s="32">
        <f t="shared" si="1"/>
      </c>
    </row>
    <row r="79" spans="1:9" x14ac:dyDescent="0.25">
      <c r="A79" s="29"/>
      <c r="B79" s="30"/>
      <c r="C79" s="38"/>
      <c r="D79" s="38"/>
      <c r="E79" s="54"/>
      <c r="F79" s="54"/>
      <c r="G79" s="54"/>
      <c r="H79" s="55">
        <f t="shared" si="0"/>
      </c>
      <c r="I79" s="32">
        <f t="shared" si="1"/>
      </c>
    </row>
    <row r="80" spans="1:9" x14ac:dyDescent="0.25">
      <c r="A80" s="29"/>
      <c r="B80" s="30"/>
      <c r="C80" s="38"/>
      <c r="D80" s="38"/>
      <c r="E80" s="54"/>
      <c r="F80" s="54"/>
      <c r="G80" s="54"/>
      <c r="H80" s="55">
        <f t="shared" si="0"/>
      </c>
      <c r="I80" s="32">
        <f t="shared" si="1"/>
      </c>
    </row>
    <row r="81" spans="1:9" x14ac:dyDescent="0.25">
      <c r="A81" s="29"/>
      <c r="B81" s="30"/>
      <c r="C81" s="38"/>
      <c r="D81" s="38"/>
      <c r="E81" s="54"/>
      <c r="F81" s="54"/>
      <c r="G81" s="54"/>
      <c r="H81" s="55">
        <f t="shared" si="0"/>
      </c>
      <c r="I81" s="32">
        <f t="shared" si="1"/>
      </c>
    </row>
    <row r="82" spans="1:9" x14ac:dyDescent="0.25">
      <c r="A82" s="29"/>
      <c r="B82" s="30"/>
      <c r="C82" s="38"/>
      <c r="D82" s="38"/>
      <c r="E82" s="54"/>
      <c r="F82" s="54"/>
      <c r="G82" s="54"/>
      <c r="H82" s="55">
        <f t="shared" si="0"/>
      </c>
      <c r="I82" s="32">
        <f t="shared" si="1"/>
      </c>
    </row>
    <row r="83" spans="1:9" x14ac:dyDescent="0.25">
      <c r="A83" s="29"/>
      <c r="B83" s="30"/>
      <c r="C83" s="38"/>
      <c r="D83" s="38"/>
      <c r="E83" s="54"/>
      <c r="F83" s="54"/>
      <c r="G83" s="54"/>
      <c r="H83" s="55">
        <f t="shared" si="0"/>
      </c>
      <c r="I83" s="32">
        <f t="shared" si="1"/>
      </c>
    </row>
    <row r="84" spans="1:9" x14ac:dyDescent="0.25">
      <c r="A84" s="29"/>
      <c r="B84" s="30"/>
      <c r="C84" s="38"/>
      <c r="D84" s="38"/>
      <c r="E84" s="54"/>
      <c r="F84" s="54"/>
      <c r="G84" s="54"/>
      <c r="H84" s="55">
        <f t="shared" si="0"/>
      </c>
      <c r="I84" s="32">
        <f t="shared" si="1"/>
      </c>
    </row>
    <row r="85" spans="1:9" x14ac:dyDescent="0.25">
      <c r="A85" s="29"/>
      <c r="B85" s="30"/>
      <c r="C85" s="38"/>
      <c r="D85" s="38"/>
      <c r="E85" s="54"/>
      <c r="F85" s="54"/>
      <c r="G85" s="54"/>
      <c r="H85" s="55">
        <f t="shared" si="0"/>
      </c>
      <c r="I85" s="32">
        <f t="shared" si="1"/>
      </c>
    </row>
    <row r="86" spans="1:9" x14ac:dyDescent="0.25">
      <c r="A86" s="29"/>
      <c r="B86" s="30"/>
      <c r="C86" s="38"/>
      <c r="D86" s="38"/>
      <c r="E86" s="54"/>
      <c r="F86" s="54"/>
      <c r="G86" s="54"/>
      <c r="H86" s="55">
        <f t="shared" si="0"/>
      </c>
      <c r="I86" s="32">
        <f t="shared" si="1"/>
      </c>
    </row>
    <row r="87" spans="1:9" x14ac:dyDescent="0.25">
      <c r="A87" s="29"/>
      <c r="B87" s="30"/>
      <c r="C87" s="38"/>
      <c r="D87" s="38"/>
      <c r="E87" s="54"/>
      <c r="F87" s="54"/>
      <c r="G87" s="54"/>
      <c r="H87" s="55">
        <f t="shared" si="0"/>
      </c>
      <c r="I87" s="32">
        <f t="shared" si="1"/>
      </c>
    </row>
    <row r="88" spans="1:9" x14ac:dyDescent="0.25">
      <c r="A88" s="29"/>
      <c r="B88" s="30"/>
      <c r="C88" s="38"/>
      <c r="D88" s="38"/>
      <c r="E88" s="54"/>
      <c r="F88" s="54"/>
      <c r="G88" s="54"/>
      <c r="H88" s="55">
        <f t="shared" si="0"/>
      </c>
      <c r="I88" s="32">
        <f t="shared" si="1"/>
      </c>
    </row>
    <row r="89" spans="1:9" x14ac:dyDescent="0.25">
      <c r="A89" s="29"/>
      <c r="B89" s="30"/>
      <c r="C89" s="38"/>
      <c r="D89" s="38"/>
      <c r="E89" s="54"/>
      <c r="F89" s="54"/>
      <c r="G89" s="54"/>
      <c r="H89" s="55">
        <f t="shared" si="0"/>
      </c>
      <c r="I89" s="32">
        <f t="shared" si="1"/>
      </c>
    </row>
    <row r="90" spans="1:9" x14ac:dyDescent="0.25">
      <c r="A90" s="29"/>
      <c r="B90" s="30"/>
      <c r="C90" s="38"/>
      <c r="D90" s="38"/>
      <c r="E90" s="54"/>
      <c r="F90" s="54"/>
      <c r="G90" s="54"/>
      <c r="H90" s="55">
        <f t="shared" si="0"/>
      </c>
      <c r="I90" s="32">
        <f t="shared" si="1"/>
      </c>
    </row>
    <row r="91" spans="1:9" x14ac:dyDescent="0.25">
      <c r="A91" s="29"/>
      <c r="B91" s="30"/>
      <c r="C91" s="38"/>
      <c r="D91" s="38"/>
      <c r="E91" s="54"/>
      <c r="F91" s="54"/>
      <c r="G91" s="54"/>
      <c r="H91" s="55">
        <f t="shared" si="0"/>
      </c>
      <c r="I91" s="32">
        <f t="shared" si="1"/>
      </c>
    </row>
    <row r="92" spans="1:9" x14ac:dyDescent="0.25">
      <c r="A92" s="29"/>
      <c r="B92" s="30"/>
      <c r="C92" s="38"/>
      <c r="D92" s="38"/>
      <c r="E92" s="54"/>
      <c r="F92" s="54"/>
      <c r="G92" s="54"/>
      <c r="H92" s="55">
        <f t="shared" si="0"/>
      </c>
      <c r="I92" s="32">
        <f t="shared" si="1"/>
      </c>
    </row>
    <row r="93" spans="1:9" x14ac:dyDescent="0.25">
      <c r="A93" s="29"/>
      <c r="B93" s="30"/>
      <c r="C93" s="38"/>
      <c r="D93" s="38"/>
      <c r="E93" s="54"/>
      <c r="F93" s="54"/>
      <c r="G93" s="54"/>
      <c r="H93" s="55">
        <f t="shared" si="0"/>
      </c>
      <c r="I93" s="32">
        <f t="shared" si="1"/>
      </c>
    </row>
    <row r="94" spans="1:9" x14ac:dyDescent="0.25">
      <c r="A94" s="29"/>
      <c r="B94" s="30"/>
      <c r="C94" s="38"/>
      <c r="D94" s="38"/>
      <c r="E94" s="54"/>
      <c r="F94" s="54"/>
      <c r="G94" s="54"/>
      <c r="H94" s="55">
        <f t="shared" si="0"/>
      </c>
      <c r="I94" s="32">
        <f t="shared" si="1"/>
      </c>
    </row>
    <row r="95" spans="1:9" x14ac:dyDescent="0.25">
      <c r="A95" s="29"/>
      <c r="B95" s="30"/>
      <c r="C95" s="38"/>
      <c r="D95" s="38"/>
      <c r="E95" s="54"/>
      <c r="F95" s="54"/>
      <c r="G95" s="54"/>
      <c r="H95" s="55">
        <f t="shared" si="0"/>
      </c>
      <c r="I95" s="32">
        <f t="shared" si="1"/>
      </c>
    </row>
    <row r="96" spans="1:9" x14ac:dyDescent="0.25">
      <c r="A96" s="29"/>
      <c r="B96" s="30"/>
      <c r="C96" s="38"/>
      <c r="D96" s="38"/>
      <c r="E96" s="54"/>
      <c r="F96" s="54"/>
      <c r="G96" s="54"/>
      <c r="H96" s="55">
        <f t="shared" si="0"/>
      </c>
      <c r="I96" s="32">
        <f t="shared" si="1"/>
      </c>
    </row>
    <row r="97" spans="1:9" x14ac:dyDescent="0.25">
      <c r="A97" s="29"/>
      <c r="B97" s="30"/>
      <c r="C97" s="38"/>
      <c r="D97" s="38"/>
      <c r="E97" s="54"/>
      <c r="F97" s="54"/>
      <c r="G97" s="54"/>
      <c r="H97" s="55">
        <f t="shared" si="0"/>
      </c>
      <c r="I97" s="32">
        <f t="shared" si="1"/>
      </c>
    </row>
    <row r="98" spans="1:9" x14ac:dyDescent="0.25">
      <c r="A98" s="29"/>
      <c r="B98" s="30"/>
      <c r="C98" s="38"/>
      <c r="D98" s="38"/>
      <c r="E98" s="54"/>
      <c r="F98" s="54"/>
      <c r="G98" s="54"/>
      <c r="H98" s="55">
        <f t="shared" si="0"/>
      </c>
      <c r="I98" s="32">
        <f t="shared" si="1"/>
      </c>
    </row>
    <row r="99" spans="1:9" x14ac:dyDescent="0.25">
      <c r="A99" s="29"/>
      <c r="B99" s="30"/>
      <c r="C99" s="38"/>
      <c r="D99" s="38"/>
      <c r="E99" s="54"/>
      <c r="F99" s="54"/>
      <c r="G99" s="54"/>
      <c r="H99" s="55">
        <f t="shared" si="0"/>
      </c>
      <c r="I99" s="32">
        <f t="shared" si="1"/>
      </c>
    </row>
    <row r="100" spans="1:9" x14ac:dyDescent="0.25">
      <c r="A100" s="29"/>
      <c r="B100" s="30"/>
      <c r="C100" s="38"/>
      <c r="D100" s="38"/>
      <c r="E100" s="54"/>
      <c r="F100" s="54"/>
      <c r="G100" s="54"/>
      <c r="H100" s="55">
        <f t="shared" si="0"/>
      </c>
      <c r="I100" s="32">
        <f t="shared" si="1"/>
      </c>
    </row>
    <row r="101" spans="1:9" x14ac:dyDescent="0.25">
      <c r="A101" s="29"/>
      <c r="B101" s="30"/>
      <c r="C101" s="38"/>
      <c r="D101" s="38"/>
      <c r="E101" s="54"/>
      <c r="F101" s="54"/>
      <c r="G101" s="54"/>
      <c r="H101" s="55">
        <f t="shared" si="0"/>
      </c>
      <c r="I101" s="32">
        <f t="shared" si="1"/>
      </c>
    </row>
    <row r="102" spans="1:9" x14ac:dyDescent="0.25">
      <c r="A102" s="29"/>
      <c r="B102" s="30"/>
      <c r="C102" s="38"/>
      <c r="D102" s="38"/>
      <c r="E102" s="54"/>
      <c r="F102" s="54"/>
      <c r="G102" s="54"/>
      <c r="H102" s="55">
        <f t="shared" si="0"/>
      </c>
      <c r="I102" s="32">
        <f t="shared" si="1"/>
      </c>
    </row>
    <row r="103" spans="1:9" x14ac:dyDescent="0.25">
      <c r="A103" s="29"/>
      <c r="B103" s="30"/>
      <c r="C103" s="38"/>
      <c r="D103" s="38"/>
      <c r="E103" s="54"/>
      <c r="F103" s="54"/>
      <c r="G103" s="54"/>
      <c r="H103" s="55">
        <f t="shared" si="0"/>
      </c>
      <c r="I103" s="32">
        <f t="shared" si="1"/>
      </c>
    </row>
    <row r="104" spans="1:9" x14ac:dyDescent="0.25">
      <c r="A104" s="29"/>
      <c r="B104" s="30"/>
      <c r="C104" s="38"/>
      <c r="D104" s="38"/>
      <c r="E104" s="54"/>
      <c r="F104" s="54"/>
      <c r="G104" s="54"/>
      <c r="H104" s="55">
        <f t="shared" si="0"/>
      </c>
      <c r="I104" s="32">
        <f t="shared" si="1"/>
      </c>
    </row>
    <row r="105" spans="1:9" x14ac:dyDescent="0.25">
      <c r="A105" s="29"/>
      <c r="B105" s="30"/>
      <c r="C105" s="38"/>
      <c r="D105" s="38"/>
      <c r="E105" s="54"/>
      <c r="F105" s="54"/>
      <c r="G105" s="54"/>
      <c r="H105" s="55">
        <f t="shared" si="0"/>
      </c>
      <c r="I105" s="32">
        <f t="shared" si="1"/>
      </c>
    </row>
    <row r="106" spans="1:9" x14ac:dyDescent="0.25">
      <c r="A106" s="29"/>
      <c r="B106" s="30"/>
      <c r="C106" s="38"/>
      <c r="D106" s="38"/>
      <c r="E106" s="54"/>
      <c r="F106" s="54"/>
      <c r="G106" s="54"/>
      <c r="H106" s="55">
        <f t="shared" si="0"/>
      </c>
      <c r="I106" s="32">
        <f t="shared" si="1"/>
      </c>
    </row>
    <row r="107" spans="1:9" x14ac:dyDescent="0.25">
      <c r="A107" s="29"/>
      <c r="B107" s="30"/>
      <c r="C107" s="38"/>
      <c r="D107" s="38"/>
      <c r="E107" s="54"/>
      <c r="F107" s="54"/>
      <c r="G107" s="54"/>
      <c r="H107" s="55">
        <f t="shared" si="0"/>
      </c>
      <c r="I107" s="32">
        <f t="shared" si="1"/>
      </c>
    </row>
    <row r="108" spans="1:9" x14ac:dyDescent="0.25">
      <c r="A108" s="29"/>
      <c r="B108" s="30"/>
      <c r="C108" s="38"/>
      <c r="D108" s="38"/>
      <c r="E108" s="54"/>
      <c r="F108" s="54"/>
      <c r="G108" s="54"/>
      <c r="H108" s="55">
        <f t="shared" si="0"/>
      </c>
      <c r="I108" s="32">
        <f t="shared" si="1"/>
      </c>
    </row>
    <row r="109" spans="1:9" x14ac:dyDescent="0.25">
      <c r="A109" s="29"/>
      <c r="B109" s="30"/>
      <c r="C109" s="38"/>
      <c r="D109" s="38"/>
      <c r="E109" s="54"/>
      <c r="F109" s="54"/>
      <c r="G109" s="54"/>
      <c r="H109" s="55">
        <f t="shared" si="0"/>
      </c>
      <c r="I109" s="32">
        <f t="shared" si="1"/>
      </c>
    </row>
    <row r="110" spans="1:9" x14ac:dyDescent="0.25">
      <c r="A110" s="29"/>
      <c r="B110" s="30"/>
      <c r="C110" s="38"/>
      <c r="D110" s="38"/>
      <c r="E110" s="54"/>
      <c r="F110" s="54"/>
      <c r="G110" s="54"/>
      <c r="H110" s="55">
        <f t="shared" si="0"/>
      </c>
      <c r="I110" s="32">
        <f t="shared" si="1"/>
      </c>
    </row>
    <row r="111" spans="1:9" x14ac:dyDescent="0.25">
      <c r="A111" s="29"/>
      <c r="B111" s="30"/>
      <c r="C111" s="38"/>
      <c r="D111" s="38"/>
      <c r="E111" s="54"/>
      <c r="F111" s="54"/>
      <c r="G111" s="54"/>
      <c r="H111" s="55">
        <f t="shared" si="0"/>
      </c>
      <c r="I111" s="32">
        <f t="shared" si="1"/>
      </c>
    </row>
    <row r="112" spans="1:9" x14ac:dyDescent="0.25">
      <c r="A112" s="29"/>
      <c r="B112" s="30"/>
      <c r="C112" s="38"/>
      <c r="D112" s="38"/>
      <c r="E112" s="54"/>
      <c r="F112" s="54"/>
      <c r="G112" s="54"/>
      <c r="H112" s="55">
        <f t="shared" si="0"/>
      </c>
      <c r="I112" s="32">
        <f t="shared" si="1"/>
      </c>
    </row>
    <row r="113" spans="1:9" x14ac:dyDescent="0.25">
      <c r="A113" s="29"/>
      <c r="B113" s="30"/>
      <c r="C113" s="38"/>
      <c r="D113" s="38"/>
      <c r="E113" s="54"/>
      <c r="F113" s="54"/>
      <c r="G113" s="54"/>
      <c r="H113" s="55">
        <f t="shared" si="0"/>
      </c>
      <c r="I113" s="32">
        <f t="shared" si="1"/>
      </c>
    </row>
    <row r="114" spans="1:9" x14ac:dyDescent="0.25">
      <c r="A114" s="29"/>
      <c r="B114" s="30"/>
      <c r="C114" s="38"/>
      <c r="D114" s="38"/>
      <c r="E114" s="54"/>
      <c r="F114" s="54"/>
      <c r="G114" s="54"/>
      <c r="H114" s="55">
        <f t="shared" si="0"/>
      </c>
      <c r="I114" s="32">
        <f t="shared" si="1"/>
      </c>
    </row>
    <row r="115" spans="1:9" x14ac:dyDescent="0.25">
      <c r="A115" s="29"/>
      <c r="B115" s="30"/>
      <c r="C115" s="38"/>
      <c r="D115" s="38"/>
      <c r="E115" s="54"/>
      <c r="F115" s="54"/>
      <c r="G115" s="54"/>
      <c r="H115" s="55">
        <f t="shared" si="0"/>
      </c>
      <c r="I115" s="32">
        <f t="shared" si="1"/>
      </c>
    </row>
    <row r="116" spans="1:9" x14ac:dyDescent="0.25">
      <c r="A116" s="29"/>
      <c r="B116" s="30"/>
      <c r="C116" s="38"/>
      <c r="D116" s="38"/>
      <c r="E116" s="54"/>
      <c r="F116" s="54"/>
      <c r="G116" s="54"/>
      <c r="H116" s="55">
        <f t="shared" si="0"/>
      </c>
      <c r="I116" s="32">
        <f t="shared" si="1"/>
      </c>
    </row>
    <row r="117" spans="1:9" x14ac:dyDescent="0.25">
      <c r="A117" s="29"/>
      <c r="B117" s="30"/>
      <c r="C117" s="38"/>
      <c r="D117" s="38"/>
      <c r="E117" s="54"/>
      <c r="F117" s="54"/>
      <c r="G117" s="54"/>
      <c r="H117" s="55">
        <f t="shared" si="0"/>
      </c>
      <c r="I117" s="32">
        <f t="shared" si="1"/>
      </c>
    </row>
    <row r="118" spans="1:9" x14ac:dyDescent="0.25">
      <c r="A118" s="29"/>
      <c r="B118" s="30"/>
      <c r="C118" s="38"/>
      <c r="D118" s="38"/>
      <c r="E118" s="54"/>
      <c r="F118" s="54"/>
      <c r="G118" s="54"/>
      <c r="H118" s="55">
        <f t="shared" si="0"/>
      </c>
      <c r="I118" s="32">
        <f t="shared" si="1"/>
      </c>
    </row>
    <row r="119" spans="1:9" x14ac:dyDescent="0.25">
      <c r="A119" s="29"/>
      <c r="B119" s="30"/>
      <c r="C119" s="38"/>
      <c r="D119" s="38"/>
      <c r="E119" s="54"/>
      <c r="F119" s="54"/>
      <c r="G119" s="54"/>
      <c r="H119" s="55">
        <f t="shared" si="0"/>
      </c>
      <c r="I119" s="32">
        <f t="shared" si="1"/>
      </c>
    </row>
    <row r="120" spans="1:9" x14ac:dyDescent="0.25">
      <c r="A120" s="29"/>
      <c r="B120" s="30"/>
      <c r="C120" s="38"/>
      <c r="D120" s="38"/>
      <c r="E120" s="54"/>
      <c r="F120" s="54"/>
      <c r="G120" s="54"/>
      <c r="H120" s="55">
        <f t="shared" si="0"/>
      </c>
      <c r="I120" s="32">
        <f t="shared" si="1"/>
      </c>
    </row>
    <row r="121" spans="1:9" x14ac:dyDescent="0.25">
      <c r="A121" s="29"/>
      <c r="B121" s="30"/>
      <c r="C121" s="38"/>
      <c r="D121" s="38"/>
      <c r="E121" s="54"/>
      <c r="F121" s="54"/>
      <c r="G121" s="54"/>
      <c r="H121" s="55">
        <f t="shared" si="0"/>
      </c>
      <c r="I121" s="32">
        <f t="shared" si="1"/>
      </c>
    </row>
    <row r="122" spans="1:9" x14ac:dyDescent="0.25">
      <c r="A122" s="29"/>
      <c r="B122" s="30"/>
      <c r="C122" s="38"/>
      <c r="D122" s="38"/>
      <c r="E122" s="54"/>
      <c r="F122" s="54"/>
      <c r="G122" s="54"/>
      <c r="H122" s="55">
        <f t="shared" si="0"/>
      </c>
      <c r="I122" s="32">
        <f t="shared" si="1"/>
      </c>
    </row>
    <row r="123" spans="1:9" x14ac:dyDescent="0.25">
      <c r="A123" s="29"/>
      <c r="B123" s="30"/>
      <c r="C123" s="38"/>
      <c r="D123" s="38"/>
      <c r="E123" s="54"/>
      <c r="F123" s="54"/>
      <c r="G123" s="54"/>
      <c r="H123" s="55">
        <f t="shared" si="0"/>
      </c>
      <c r="I123" s="32">
        <f t="shared" si="1"/>
      </c>
    </row>
    <row r="124" spans="1:9" x14ac:dyDescent="0.25">
      <c r="A124" s="29"/>
      <c r="B124" s="30"/>
      <c r="C124" s="38"/>
      <c r="D124" s="38"/>
      <c r="E124" s="54"/>
      <c r="F124" s="54"/>
      <c r="G124" s="54"/>
      <c r="H124" s="55">
        <f t="shared" si="0"/>
      </c>
      <c r="I124" s="32">
        <f t="shared" si="1"/>
      </c>
    </row>
    <row r="125" spans="1:9" x14ac:dyDescent="0.25">
      <c r="A125" s="29"/>
      <c r="B125" s="30"/>
      <c r="C125" s="38"/>
      <c r="D125" s="38"/>
      <c r="E125" s="54"/>
      <c r="F125" s="54"/>
      <c r="G125" s="54"/>
      <c r="H125" s="55">
        <f t="shared" si="0"/>
      </c>
      <c r="I125" s="32">
        <f t="shared" si="1"/>
      </c>
    </row>
    <row r="126" spans="1:9" x14ac:dyDescent="0.25">
      <c r="A126" s="29"/>
      <c r="B126" s="30"/>
      <c r="C126" s="38"/>
      <c r="D126" s="38"/>
      <c r="E126" s="54"/>
      <c r="F126" s="54"/>
      <c r="G126" s="54"/>
      <c r="H126" s="55">
        <f t="shared" si="0"/>
      </c>
      <c r="I126" s="32">
        <f t="shared" si="1"/>
      </c>
    </row>
    <row r="127" spans="1:9" x14ac:dyDescent="0.25">
      <c r="A127" s="29"/>
      <c r="B127" s="30"/>
      <c r="C127" s="38"/>
      <c r="D127" s="38"/>
      <c r="E127" s="54"/>
      <c r="F127" s="54"/>
      <c r="G127" s="54"/>
      <c r="H127" s="55">
        <f t="shared" si="0"/>
      </c>
      <c r="I127" s="32">
        <f t="shared" si="1"/>
      </c>
    </row>
    <row r="128" spans="1:9" x14ac:dyDescent="0.25">
      <c r="A128" s="29"/>
      <c r="B128" s="30"/>
      <c r="C128" s="38"/>
      <c r="D128" s="38"/>
      <c r="E128" s="54"/>
      <c r="F128" s="54"/>
      <c r="G128" s="54"/>
      <c r="H128" s="55">
        <f t="shared" si="0"/>
      </c>
      <c r="I128" s="32">
        <f t="shared" si="1"/>
      </c>
    </row>
    <row r="129" spans="1:9" x14ac:dyDescent="0.25">
      <c r="A129" s="29"/>
      <c r="B129" s="30"/>
      <c r="C129" s="38"/>
      <c r="D129" s="38"/>
      <c r="E129" s="54"/>
      <c r="F129" s="54"/>
      <c r="G129" s="54"/>
      <c r="H129" s="55">
        <f t="shared" si="0"/>
      </c>
      <c r="I129" s="32">
        <f t="shared" si="1"/>
      </c>
    </row>
    <row r="130" spans="1:9" x14ac:dyDescent="0.25">
      <c r="A130" s="29"/>
      <c r="B130" s="30"/>
      <c r="C130" s="38"/>
      <c r="D130" s="38"/>
      <c r="E130" s="54"/>
      <c r="F130" s="54"/>
      <c r="G130" s="54"/>
      <c r="H130" s="55">
        <f t="shared" si="0"/>
      </c>
      <c r="I130" s="32">
        <f t="shared" si="1"/>
      </c>
    </row>
    <row r="131" spans="1:9" x14ac:dyDescent="0.25">
      <c r="A131" s="29"/>
      <c r="B131" s="30"/>
      <c r="C131" s="38"/>
      <c r="D131" s="38"/>
      <c r="E131" s="54"/>
      <c r="F131" s="54"/>
      <c r="G131" s="54"/>
      <c r="H131" s="55">
        <f t="shared" si="0"/>
      </c>
      <c r="I131" s="32">
        <f t="shared" si="1"/>
      </c>
    </row>
    <row r="132" spans="1:9" x14ac:dyDescent="0.25">
      <c r="A132" s="29"/>
      <c r="B132" s="30"/>
      <c r="C132" s="38"/>
      <c r="D132" s="38"/>
      <c r="E132" s="54"/>
      <c r="F132" s="54"/>
      <c r="G132" s="54"/>
      <c r="H132" s="55">
        <f t="shared" si="0"/>
      </c>
      <c r="I132" s="32">
        <f t="shared" si="1"/>
      </c>
    </row>
    <row r="133" spans="1:9" x14ac:dyDescent="0.25">
      <c r="A133" s="29"/>
      <c r="B133" s="30"/>
      <c r="C133" s="38"/>
      <c r="D133" s="38"/>
      <c r="E133" s="54"/>
      <c r="F133" s="54"/>
      <c r="G133" s="54"/>
      <c r="H133" s="55">
        <f t="shared" si="0"/>
      </c>
      <c r="I133" s="32">
        <f t="shared" si="1"/>
      </c>
    </row>
    <row r="134" spans="1:9" x14ac:dyDescent="0.25">
      <c r="A134" s="29"/>
      <c r="B134" s="30"/>
      <c r="C134" s="38"/>
      <c r="D134" s="38"/>
      <c r="E134" s="54"/>
      <c r="F134" s="54"/>
      <c r="G134" s="54"/>
      <c r="H134" s="55">
        <f t="shared" si="0"/>
      </c>
      <c r="I134" s="32">
        <f t="shared" si="1"/>
      </c>
    </row>
    <row r="135" spans="1:9" x14ac:dyDescent="0.25">
      <c r="A135" s="29"/>
      <c r="B135" s="30"/>
      <c r="C135" s="38"/>
      <c r="D135" s="38"/>
      <c r="E135" s="54"/>
      <c r="F135" s="54"/>
      <c r="G135" s="54"/>
      <c r="H135" s="55">
        <f t="shared" si="0"/>
      </c>
      <c r="I135" s="32">
        <f t="shared" si="1"/>
      </c>
    </row>
    <row r="136" spans="1:9" x14ac:dyDescent="0.25">
      <c r="A136" s="29"/>
      <c r="B136" s="30"/>
      <c r="C136" s="38"/>
      <c r="D136" s="38"/>
      <c r="E136" s="54"/>
      <c r="F136" s="54"/>
      <c r="G136" s="54"/>
      <c r="H136" s="55">
        <f t="shared" si="0"/>
      </c>
      <c r="I136" s="32">
        <f t="shared" si="1"/>
      </c>
    </row>
    <row r="137" spans="1:9" x14ac:dyDescent="0.25">
      <c r="A137" s="29"/>
      <c r="B137" s="30"/>
      <c r="C137" s="38"/>
      <c r="D137" s="38"/>
      <c r="E137" s="54"/>
      <c r="F137" s="54"/>
      <c r="G137" s="54"/>
      <c r="H137" s="55">
        <f t="shared" si="0"/>
      </c>
      <c r="I137" s="32">
        <f t="shared" si="1"/>
      </c>
    </row>
    <row r="138" spans="1:9" x14ac:dyDescent="0.25">
      <c r="A138" s="29"/>
      <c r="B138" s="30"/>
      <c r="C138" s="38"/>
      <c r="D138" s="38"/>
      <c r="E138" s="54"/>
      <c r="F138" s="54"/>
      <c r="G138" s="54"/>
      <c r="H138" s="55">
        <f t="shared" si="0"/>
      </c>
      <c r="I138" s="32">
        <f t="shared" si="1"/>
      </c>
    </row>
    <row r="139" spans="1:9" x14ac:dyDescent="0.25">
      <c r="A139" s="29"/>
      <c r="B139" s="30"/>
      <c r="C139" s="38"/>
      <c r="D139" s="38"/>
      <c r="E139" s="54"/>
      <c r="F139" s="54"/>
      <c r="G139" s="54"/>
      <c r="H139" s="55">
        <f t="shared" si="0"/>
      </c>
      <c r="I139" s="32">
        <f t="shared" si="1"/>
      </c>
    </row>
    <row r="140" spans="1:9" x14ac:dyDescent="0.25">
      <c r="A140" s="29"/>
      <c r="B140" s="30"/>
      <c r="C140" s="38"/>
      <c r="D140" s="38"/>
      <c r="E140" s="54"/>
      <c r="F140" s="54"/>
      <c r="G140" s="54"/>
      <c r="H140" s="55">
        <f t="shared" si="0"/>
      </c>
      <c r="I140" s="32">
        <f t="shared" si="1"/>
      </c>
    </row>
    <row r="141" spans="1:9" x14ac:dyDescent="0.25">
      <c r="A141" s="29"/>
      <c r="B141" s="30"/>
      <c r="C141" s="38"/>
      <c r="D141" s="38"/>
      <c r="E141" s="54"/>
      <c r="F141" s="54"/>
      <c r="G141" s="54"/>
      <c r="H141" s="55">
        <f t="shared" si="0"/>
      </c>
      <c r="I141" s="32">
        <f t="shared" si="1"/>
      </c>
    </row>
    <row r="142" spans="1:9" x14ac:dyDescent="0.25">
      <c r="A142" s="29"/>
      <c r="B142" s="30"/>
      <c r="C142" s="38"/>
      <c r="D142" s="38"/>
      <c r="E142" s="54"/>
      <c r="F142" s="54"/>
      <c r="G142" s="54"/>
      <c r="H142" s="55">
        <f t="shared" si="0"/>
      </c>
      <c r="I142" s="32">
        <f t="shared" si="1"/>
      </c>
    </row>
    <row r="143" spans="1:9" x14ac:dyDescent="0.25">
      <c r="A143" s="29"/>
      <c r="B143" s="30"/>
      <c r="C143" s="38"/>
      <c r="D143" s="38"/>
      <c r="E143" s="54"/>
      <c r="F143" s="54"/>
      <c r="G143" s="54"/>
      <c r="H143" s="55">
        <f t="shared" si="0"/>
      </c>
      <c r="I143" s="32">
        <f t="shared" si="1"/>
      </c>
    </row>
    <row r="144" spans="1:9" x14ac:dyDescent="0.25">
      <c r="A144" s="29"/>
      <c r="B144" s="30"/>
      <c r="C144" s="38"/>
      <c r="D144" s="38"/>
      <c r="E144" s="54"/>
      <c r="F144" s="54"/>
      <c r="G144" s="54"/>
      <c r="H144" s="55">
        <f t="shared" si="0"/>
      </c>
      <c r="I144" s="32">
        <f t="shared" si="1"/>
      </c>
    </row>
    <row r="145" spans="1:9" x14ac:dyDescent="0.25">
      <c r="A145" s="29"/>
      <c r="B145" s="30"/>
      <c r="C145" s="38"/>
      <c r="D145" s="38"/>
      <c r="E145" s="54"/>
      <c r="F145" s="54"/>
      <c r="G145" s="54"/>
      <c r="H145" s="55">
        <f t="shared" si="0"/>
      </c>
      <c r="I145" s="32">
        <f t="shared" si="1"/>
      </c>
    </row>
    <row r="146" spans="1:9" x14ac:dyDescent="0.25">
      <c r="A146" s="29"/>
      <c r="B146" s="30"/>
      <c r="C146" s="38"/>
      <c r="D146" s="38"/>
      <c r="E146" s="54"/>
      <c r="F146" s="54"/>
      <c r="G146" s="54"/>
      <c r="H146" s="55">
        <f t="shared" si="0"/>
      </c>
      <c r="I146" s="32">
        <f t="shared" si="1"/>
      </c>
    </row>
    <row r="147" spans="1:9" x14ac:dyDescent="0.25">
      <c r="A147" s="29"/>
      <c r="B147" s="30"/>
      <c r="C147" s="38"/>
      <c r="D147" s="38"/>
      <c r="E147" s="54"/>
      <c r="F147" s="54"/>
      <c r="G147" s="54"/>
      <c r="H147" s="55">
        <f t="shared" si="0"/>
      </c>
      <c r="I147" s="32">
        <f t="shared" si="1"/>
      </c>
    </row>
    <row r="148" spans="1:9" x14ac:dyDescent="0.25">
      <c r="A148" s="29"/>
      <c r="B148" s="30"/>
      <c r="C148" s="38"/>
      <c r="D148" s="38"/>
      <c r="E148" s="54"/>
      <c r="F148" s="54"/>
      <c r="G148" s="54"/>
      <c r="H148" s="55">
        <f t="shared" si="0"/>
      </c>
      <c r="I148" s="32">
        <f t="shared" si="1"/>
      </c>
    </row>
    <row r="149" spans="1:9" x14ac:dyDescent="0.25">
      <c r="A149" s="29"/>
      <c r="B149" s="30"/>
      <c r="C149" s="38"/>
      <c r="D149" s="38"/>
      <c r="E149" s="54"/>
      <c r="F149" s="54"/>
      <c r="G149" s="54"/>
      <c r="H149" s="55">
        <f t="shared" si="0"/>
      </c>
      <c r="I149" s="32">
        <f t="shared" si="1"/>
      </c>
    </row>
    <row r="150" spans="1:9" x14ac:dyDescent="0.25">
      <c r="A150" s="29"/>
      <c r="B150" s="30"/>
      <c r="C150" s="38"/>
      <c r="D150" s="38"/>
      <c r="E150" s="54"/>
      <c r="F150" s="54"/>
      <c r="G150" s="54"/>
      <c r="H150" s="55">
        <f t="shared" si="0"/>
      </c>
      <c r="I150" s="32">
        <f t="shared" si="1"/>
      </c>
    </row>
    <row r="151" spans="1:9" x14ac:dyDescent="0.25">
      <c r="A151" s="29"/>
      <c r="B151" s="30"/>
      <c r="C151" s="38"/>
      <c r="D151" s="38"/>
      <c r="E151" s="54"/>
      <c r="F151" s="54"/>
      <c r="G151" s="54"/>
      <c r="H151" s="55">
        <f t="shared" si="0"/>
      </c>
      <c r="I151" s="32">
        <f t="shared" si="1"/>
      </c>
    </row>
    <row r="152" spans="1:9" x14ac:dyDescent="0.25">
      <c r="A152" s="29"/>
      <c r="B152" s="30"/>
      <c r="C152" s="38"/>
      <c r="D152" s="38"/>
      <c r="E152" s="54"/>
      <c r="F152" s="54"/>
      <c r="G152" s="54"/>
      <c r="H152" s="55">
        <f t="shared" si="0"/>
      </c>
      <c r="I152" s="32">
        <f t="shared" si="1"/>
      </c>
    </row>
    <row r="153" spans="1:9" x14ac:dyDescent="0.25">
      <c r="A153" s="29"/>
      <c r="B153" s="30"/>
      <c r="C153" s="38"/>
      <c r="D153" s="38"/>
      <c r="E153" s="54"/>
      <c r="F153" s="54"/>
      <c r="G153" s="54"/>
      <c r="H153" s="55">
        <f t="shared" si="0"/>
      </c>
      <c r="I153" s="32">
        <f t="shared" si="1"/>
      </c>
    </row>
    <row r="154" spans="1:9" x14ac:dyDescent="0.25">
      <c r="A154" s="29"/>
      <c r="B154" s="30"/>
      <c r="C154" s="38"/>
      <c r="D154" s="38"/>
      <c r="E154" s="54"/>
      <c r="F154" s="54"/>
      <c r="G154" s="54"/>
      <c r="H154" s="55">
        <f t="shared" si="0"/>
      </c>
      <c r="I154" s="32">
        <f t="shared" si="1"/>
      </c>
    </row>
    <row r="155" spans="1:9" x14ac:dyDescent="0.25">
      <c r="A155" s="29"/>
      <c r="B155" s="30"/>
      <c r="C155" s="38"/>
      <c r="D155" s="38"/>
      <c r="E155" s="54"/>
      <c r="F155" s="54"/>
      <c r="G155" s="54"/>
      <c r="H155" s="55">
        <f t="shared" si="0"/>
      </c>
      <c r="I155" s="32">
        <f t="shared" si="1"/>
      </c>
    </row>
    <row r="156" spans="1:9" x14ac:dyDescent="0.25">
      <c r="A156" s="29"/>
      <c r="B156" s="30"/>
      <c r="C156" s="38"/>
      <c r="D156" s="38"/>
      <c r="E156" s="54"/>
      <c r="F156" s="54"/>
      <c r="G156" s="54"/>
      <c r="H156" s="55">
        <f t="shared" si="0"/>
      </c>
      <c r="I156" s="32">
        <f t="shared" si="1"/>
      </c>
    </row>
    <row r="157" spans="1:9" x14ac:dyDescent="0.25">
      <c r="A157" s="29"/>
      <c r="B157" s="30"/>
      <c r="C157" s="38"/>
      <c r="D157" s="38"/>
      <c r="E157" s="54"/>
      <c r="F157" s="54"/>
      <c r="G157" s="54"/>
      <c r="H157" s="55">
        <f t="shared" si="0"/>
      </c>
      <c r="I157" s="32">
        <f t="shared" si="1"/>
      </c>
    </row>
    <row r="158" spans="1:9" x14ac:dyDescent="0.25">
      <c r="A158" s="29"/>
      <c r="B158" s="30"/>
      <c r="C158" s="38"/>
      <c r="D158" s="38"/>
      <c r="E158" s="54"/>
      <c r="F158" s="54"/>
      <c r="G158" s="54"/>
      <c r="H158" s="55">
        <f t="shared" si="0"/>
      </c>
      <c r="I158" s="32">
        <f t="shared" si="1"/>
      </c>
    </row>
    <row r="159" spans="1:9" x14ac:dyDescent="0.25">
      <c r="A159" s="29"/>
      <c r="B159" s="30"/>
      <c r="C159" s="38"/>
      <c r="D159" s="38"/>
      <c r="E159" s="54"/>
      <c r="F159" s="54"/>
      <c r="G159" s="54"/>
      <c r="H159" s="55">
        <f t="shared" si="0"/>
      </c>
      <c r="I159" s="32">
        <f t="shared" si="1"/>
      </c>
    </row>
    <row r="160" spans="1:9" x14ac:dyDescent="0.25">
      <c r="A160" s="29"/>
      <c r="B160" s="30"/>
      <c r="C160" s="38"/>
      <c r="D160" s="38"/>
      <c r="E160" s="54"/>
      <c r="F160" s="54"/>
      <c r="G160" s="54"/>
      <c r="H160" s="55">
        <f t="shared" si="0"/>
      </c>
      <c r="I160" s="32">
        <f t="shared" si="1"/>
      </c>
    </row>
    <row r="161" spans="1:9" x14ac:dyDescent="0.25">
      <c r="A161" s="29"/>
      <c r="B161" s="30"/>
      <c r="C161" s="38"/>
      <c r="D161" s="38"/>
      <c r="E161" s="54"/>
      <c r="F161" s="54"/>
      <c r="G161" s="54"/>
      <c r="H161" s="55">
        <f t="shared" si="0"/>
      </c>
      <c r="I161" s="32">
        <f t="shared" si="1"/>
      </c>
    </row>
    <row r="162" spans="1:9" x14ac:dyDescent="0.25">
      <c r="A162" s="29"/>
      <c r="B162" s="30"/>
      <c r="C162" s="38"/>
      <c r="D162" s="38"/>
      <c r="E162" s="54"/>
      <c r="F162" s="54"/>
      <c r="G162" s="54"/>
      <c r="H162" s="55">
        <f t="shared" si="0"/>
      </c>
      <c r="I162" s="32">
        <f t="shared" si="1"/>
      </c>
    </row>
    <row r="163" spans="1:9" x14ac:dyDescent="0.25">
      <c r="A163" s="29"/>
      <c r="B163" s="30"/>
      <c r="C163" s="38"/>
      <c r="D163" s="38"/>
      <c r="E163" s="54"/>
      <c r="F163" s="54"/>
      <c r="G163" s="54"/>
      <c r="H163" s="55">
        <f t="shared" si="0"/>
      </c>
      <c r="I163" s="32">
        <f t="shared" si="1"/>
      </c>
    </row>
    <row r="164" spans="1:9" x14ac:dyDescent="0.25">
      <c r="A164" s="29"/>
      <c r="B164" s="30"/>
      <c r="C164" s="38"/>
      <c r="D164" s="38"/>
      <c r="E164" s="54"/>
      <c r="F164" s="54"/>
      <c r="G164" s="54"/>
      <c r="H164" s="55">
        <f t="shared" si="0"/>
      </c>
      <c r="I164" s="32">
        <f t="shared" si="1"/>
      </c>
    </row>
    <row r="165" spans="1:9" x14ac:dyDescent="0.25">
      <c r="A165" s="29"/>
      <c r="B165" s="30"/>
      <c r="C165" s="38"/>
      <c r="D165" s="38"/>
      <c r="E165" s="54"/>
      <c r="F165" s="54"/>
      <c r="G165" s="54"/>
      <c r="H165" s="55">
        <f t="shared" si="0"/>
      </c>
      <c r="I165" s="32">
        <f t="shared" si="1"/>
      </c>
    </row>
    <row r="166" spans="1:9" x14ac:dyDescent="0.25">
      <c r="A166" s="29"/>
      <c r="B166" s="30"/>
      <c r="C166" s="38"/>
      <c r="D166" s="38"/>
      <c r="E166" s="54"/>
      <c r="F166" s="54"/>
      <c r="G166" s="54"/>
      <c r="H166" s="55">
        <f t="shared" si="0"/>
      </c>
      <c r="I166" s="32">
        <f t="shared" si="1"/>
      </c>
    </row>
    <row r="167" spans="1:9" x14ac:dyDescent="0.25">
      <c r="A167" s="29"/>
      <c r="B167" s="30"/>
      <c r="C167" s="38"/>
      <c r="D167" s="38"/>
      <c r="E167" s="54"/>
      <c r="F167" s="54"/>
      <c r="G167" s="54"/>
      <c r="H167" s="55">
        <f t="shared" si="0"/>
      </c>
      <c r="I167" s="32">
        <f t="shared" si="1"/>
      </c>
    </row>
    <row r="168" spans="1:9" x14ac:dyDescent="0.25">
      <c r="A168" s="29"/>
      <c r="B168" s="30"/>
      <c r="C168" s="38"/>
      <c r="D168" s="38"/>
      <c r="E168" s="54"/>
      <c r="F168" s="54"/>
      <c r="G168" s="54"/>
      <c r="H168" s="55">
        <f t="shared" si="0"/>
      </c>
      <c r="I168" s="32">
        <f t="shared" si="1"/>
      </c>
    </row>
    <row r="169" spans="1:9" x14ac:dyDescent="0.25">
      <c r="A169" s="29"/>
      <c r="B169" s="30"/>
      <c r="C169" s="38"/>
      <c r="D169" s="38"/>
      <c r="E169" s="54"/>
      <c r="F169" s="54"/>
      <c r="G169" s="54"/>
      <c r="H169" s="55">
        <f t="shared" si="0"/>
      </c>
      <c r="I169" s="32">
        <f t="shared" si="1"/>
      </c>
    </row>
    <row r="170" spans="1:9" x14ac:dyDescent="0.25">
      <c r="A170" s="29"/>
      <c r="B170" s="30"/>
      <c r="C170" s="38"/>
      <c r="D170" s="38"/>
      <c r="E170" s="54"/>
      <c r="F170" s="54"/>
      <c r="G170" s="54"/>
      <c r="H170" s="55">
        <f t="shared" si="0"/>
      </c>
      <c r="I170" s="32">
        <f t="shared" si="1"/>
      </c>
    </row>
    <row r="171" spans="1:9" x14ac:dyDescent="0.25">
      <c r="A171" s="29"/>
      <c r="B171" s="30"/>
      <c r="C171" s="38"/>
      <c r="D171" s="38"/>
      <c r="E171" s="54"/>
      <c r="F171" s="54"/>
      <c r="G171" s="54"/>
      <c r="H171" s="55">
        <f t="shared" si="0"/>
      </c>
      <c r="I171" s="32">
        <f t="shared" si="1"/>
      </c>
    </row>
    <row r="172" spans="1:9" x14ac:dyDescent="0.25">
      <c r="A172" s="29"/>
      <c r="B172" s="30"/>
      <c r="C172" s="38"/>
      <c r="D172" s="38"/>
      <c r="E172" s="54"/>
      <c r="F172" s="54"/>
      <c r="G172" s="54"/>
      <c r="H172" s="55">
        <f t="shared" si="0"/>
      </c>
      <c r="I172" s="32">
        <f t="shared" si="1"/>
      </c>
    </row>
    <row r="173" spans="1:9" x14ac:dyDescent="0.25">
      <c r="A173" s="29"/>
      <c r="B173" s="30"/>
      <c r="C173" s="38"/>
      <c r="D173" s="38"/>
      <c r="E173" s="54"/>
      <c r="F173" s="54"/>
      <c r="G173" s="54"/>
      <c r="H173" s="55">
        <f t="shared" si="0"/>
      </c>
      <c r="I173" s="32">
        <f t="shared" si="1"/>
      </c>
    </row>
    <row r="174" spans="1:9" x14ac:dyDescent="0.25">
      <c r="A174" s="29"/>
      <c r="B174" s="30"/>
      <c r="C174" s="38"/>
      <c r="D174" s="38"/>
      <c r="E174" s="54"/>
      <c r="F174" s="54"/>
      <c r="G174" s="54"/>
      <c r="H174" s="55">
        <f t="shared" si="0"/>
      </c>
      <c r="I174" s="32">
        <f t="shared" si="1"/>
      </c>
    </row>
    <row r="175" spans="1:9" x14ac:dyDescent="0.25">
      <c r="A175" s="29"/>
      <c r="B175" s="30"/>
      <c r="C175" s="38"/>
      <c r="D175" s="38"/>
      <c r="E175" s="54"/>
      <c r="F175" s="54"/>
      <c r="G175" s="54"/>
      <c r="H175" s="55">
        <f t="shared" si="0"/>
      </c>
      <c r="I175" s="32">
        <f t="shared" si="1"/>
      </c>
    </row>
    <row r="176" spans="1:9" x14ac:dyDescent="0.25">
      <c r="A176" s="29"/>
      <c r="B176" s="30"/>
      <c r="C176" s="38"/>
      <c r="D176" s="38"/>
      <c r="E176" s="54"/>
      <c r="F176" s="54"/>
      <c r="G176" s="54"/>
      <c r="H176" s="55">
        <f t="shared" si="0"/>
      </c>
      <c r="I176" s="32">
        <f t="shared" si="1"/>
      </c>
    </row>
    <row r="177" spans="1:9" x14ac:dyDescent="0.25">
      <c r="A177" s="29"/>
      <c r="B177" s="30"/>
      <c r="C177" s="38"/>
      <c r="D177" s="38"/>
      <c r="E177" s="54"/>
      <c r="F177" s="54"/>
      <c r="G177" s="54"/>
      <c r="H177" s="55">
        <f t="shared" si="0"/>
      </c>
      <c r="I177" s="32">
        <f t="shared" si="1"/>
      </c>
    </row>
    <row r="178" spans="1:9" x14ac:dyDescent="0.25">
      <c r="A178" s="29"/>
      <c r="B178" s="30"/>
      <c r="C178" s="38"/>
      <c r="D178" s="38"/>
      <c r="E178" s="54"/>
      <c r="F178" s="54"/>
      <c r="G178" s="54"/>
      <c r="H178" s="55">
        <f t="shared" si="0"/>
      </c>
      <c r="I178" s="32">
        <f t="shared" si="1"/>
      </c>
    </row>
    <row r="179" spans="1:9" x14ac:dyDescent="0.25">
      <c r="A179" s="29"/>
      <c r="B179" s="30"/>
      <c r="C179" s="38"/>
      <c r="D179" s="38"/>
      <c r="E179" s="54"/>
      <c r="F179" s="54"/>
      <c r="G179" s="54"/>
      <c r="H179" s="55">
        <f t="shared" si="0"/>
      </c>
      <c r="I179" s="32">
        <f t="shared" si="1"/>
      </c>
    </row>
    <row r="180" spans="1:9" x14ac:dyDescent="0.25">
      <c r="A180" s="29"/>
      <c r="B180" s="30"/>
      <c r="C180" s="38"/>
      <c r="D180" s="38"/>
      <c r="E180" s="54"/>
      <c r="F180" s="54"/>
      <c r="G180" s="54"/>
      <c r="H180" s="55">
        <f t="shared" si="0"/>
      </c>
      <c r="I180" s="32">
        <f t="shared" si="1"/>
      </c>
    </row>
    <row r="181" spans="1:9" x14ac:dyDescent="0.25">
      <c r="A181" s="29"/>
      <c r="B181" s="30"/>
      <c r="C181" s="38"/>
      <c r="D181" s="38"/>
      <c r="E181" s="54"/>
      <c r="F181" s="54"/>
      <c r="G181" s="54"/>
      <c r="H181" s="55">
        <f t="shared" si="0"/>
      </c>
      <c r="I181" s="32">
        <f t="shared" si="1"/>
      </c>
    </row>
    <row r="182" spans="1:9" x14ac:dyDescent="0.25">
      <c r="A182" s="29"/>
      <c r="B182" s="30"/>
      <c r="C182" s="38"/>
      <c r="D182" s="38"/>
      <c r="E182" s="54"/>
      <c r="F182" s="54"/>
      <c r="G182" s="54"/>
      <c r="H182" s="55">
        <f t="shared" si="0"/>
      </c>
      <c r="I182" s="32">
        <f t="shared" si="1"/>
      </c>
    </row>
    <row r="183" spans="1:9" x14ac:dyDescent="0.25">
      <c r="A183" s="29"/>
      <c r="B183" s="30"/>
      <c r="C183" s="38"/>
      <c r="D183" s="38"/>
      <c r="E183" s="54"/>
      <c r="F183" s="54"/>
      <c r="G183" s="54"/>
      <c r="H183" s="55">
        <f t="shared" si="0"/>
      </c>
      <c r="I183" s="32">
        <f t="shared" si="1"/>
      </c>
    </row>
    <row r="184" spans="1:9" x14ac:dyDescent="0.25">
      <c r="A184" s="29"/>
      <c r="B184" s="30"/>
      <c r="C184" s="38"/>
      <c r="D184" s="38"/>
      <c r="E184" s="54"/>
      <c r="F184" s="54"/>
      <c r="G184" s="54"/>
      <c r="H184" s="55">
        <f t="shared" si="0"/>
      </c>
      <c r="I184" s="32">
        <f t="shared" si="1"/>
      </c>
    </row>
    <row r="185" spans="1:9" x14ac:dyDescent="0.25">
      <c r="A185" s="29"/>
      <c r="B185" s="30"/>
      <c r="C185" s="38"/>
      <c r="D185" s="38"/>
      <c r="E185" s="54"/>
      <c r="F185" s="54"/>
      <c r="G185" s="54"/>
      <c r="H185" s="55">
        <f t="shared" si="0"/>
      </c>
      <c r="I185" s="32">
        <f t="shared" si="1"/>
      </c>
    </row>
    <row r="186" spans="1:9" x14ac:dyDescent="0.25">
      <c r="A186" s="29"/>
      <c r="B186" s="30"/>
      <c r="C186" s="38"/>
      <c r="D186" s="38"/>
      <c r="E186" s="54"/>
      <c r="F186" s="54"/>
      <c r="G186" s="54"/>
      <c r="H186" s="55">
        <f t="shared" si="0"/>
      </c>
      <c r="I186" s="32">
        <f t="shared" si="1"/>
      </c>
    </row>
    <row r="187" spans="1:9" x14ac:dyDescent="0.25">
      <c r="A187" s="29"/>
      <c r="B187" s="30"/>
      <c r="C187" s="38"/>
      <c r="D187" s="38"/>
      <c r="E187" s="54"/>
      <c r="F187" s="54"/>
      <c r="G187" s="54"/>
      <c r="H187" s="55">
        <f t="shared" si="0"/>
      </c>
      <c r="I187" s="32">
        <f t="shared" si="1"/>
      </c>
    </row>
    <row r="188" spans="1:9" x14ac:dyDescent="0.25">
      <c r="A188" s="29"/>
      <c r="B188" s="30"/>
      <c r="C188" s="38"/>
      <c r="D188" s="38"/>
      <c r="E188" s="54"/>
      <c r="F188" s="54"/>
      <c r="G188" s="54"/>
      <c r="H188" s="55">
        <f t="shared" si="0"/>
      </c>
      <c r="I188" s="32">
        <f t="shared" si="1"/>
      </c>
    </row>
    <row r="189" spans="1:9" x14ac:dyDescent="0.25">
      <c r="A189" s="29"/>
      <c r="B189" s="30"/>
      <c r="C189" s="38"/>
      <c r="D189" s="38"/>
      <c r="E189" s="54"/>
      <c r="F189" s="54"/>
      <c r="G189" s="54"/>
      <c r="H189" s="55">
        <f t="shared" si="0"/>
      </c>
      <c r="I189" s="32">
        <f t="shared" si="1"/>
      </c>
    </row>
    <row r="190" spans="1:9" x14ac:dyDescent="0.25">
      <c r="A190" s="29"/>
      <c r="B190" s="30"/>
      <c r="C190" s="38"/>
      <c r="D190" s="38"/>
      <c r="E190" s="54"/>
      <c r="F190" s="54"/>
      <c r="G190" s="54"/>
      <c r="H190" s="55">
        <f t="shared" si="0"/>
      </c>
      <c r="I190" s="32">
        <f t="shared" si="1"/>
      </c>
    </row>
    <row r="191" spans="1:9" x14ac:dyDescent="0.25">
      <c r="A191" s="29"/>
      <c r="B191" s="30"/>
      <c r="C191" s="38"/>
      <c r="D191" s="38"/>
      <c r="E191" s="54"/>
      <c r="F191" s="54"/>
      <c r="G191" s="54"/>
      <c r="H191" s="55">
        <f t="shared" si="0"/>
      </c>
      <c r="I191" s="32">
        <f t="shared" si="1"/>
      </c>
    </row>
    <row r="192" spans="1:9" x14ac:dyDescent="0.25">
      <c r="A192" s="29"/>
      <c r="B192" s="30"/>
      <c r="C192" s="38"/>
      <c r="D192" s="38"/>
      <c r="E192" s="54"/>
      <c r="F192" s="54"/>
      <c r="G192" s="54"/>
      <c r="H192" s="55">
        <f t="shared" si="0"/>
      </c>
      <c r="I192" s="32">
        <f t="shared" si="1"/>
      </c>
    </row>
    <row r="193" spans="1:9" x14ac:dyDescent="0.25">
      <c r="A193" s="29"/>
      <c r="B193" s="30"/>
      <c r="C193" s="38"/>
      <c r="D193" s="38"/>
      <c r="E193" s="54"/>
      <c r="F193" s="54"/>
      <c r="G193" s="54"/>
      <c r="H193" s="55">
        <f t="shared" si="0"/>
      </c>
      <c r="I193" s="32">
        <f t="shared" si="1"/>
      </c>
    </row>
    <row r="194" spans="1:9" x14ac:dyDescent="0.25">
      <c r="A194" s="29"/>
      <c r="B194" s="30"/>
      <c r="C194" s="38"/>
      <c r="D194" s="38"/>
      <c r="E194" s="54"/>
      <c r="F194" s="54"/>
      <c r="G194" s="54"/>
      <c r="H194" s="55">
        <f t="shared" si="0"/>
      </c>
      <c r="I194" s="32">
        <f t="shared" si="1"/>
      </c>
    </row>
    <row r="195" spans="1:9" x14ac:dyDescent="0.25">
      <c r="A195" s="29"/>
      <c r="B195" s="30"/>
      <c r="C195" s="38"/>
      <c r="D195" s="38"/>
      <c r="E195" s="54"/>
      <c r="F195" s="54"/>
      <c r="G195" s="54"/>
      <c r="H195" s="55">
        <f t="shared" si="0"/>
      </c>
      <c r="I195" s="32">
        <f t="shared" si="1"/>
      </c>
    </row>
    <row r="196" spans="1:9" x14ac:dyDescent="0.25">
      <c r="A196" s="29"/>
      <c r="B196" s="30"/>
      <c r="C196" s="38"/>
      <c r="D196" s="38"/>
      <c r="E196" s="54"/>
      <c r="F196" s="54"/>
      <c r="G196" s="54"/>
      <c r="H196" s="55">
        <f t="shared" si="0"/>
      </c>
      <c r="I196" s="32">
        <f t="shared" si="1"/>
      </c>
    </row>
    <row r="197" spans="1:9" x14ac:dyDescent="0.25">
      <c r="A197" s="29"/>
      <c r="B197" s="30"/>
      <c r="C197" s="38"/>
      <c r="D197" s="38"/>
      <c r="E197" s="54"/>
      <c r="F197" s="54"/>
      <c r="G197" s="54"/>
      <c r="H197" s="55">
        <f t="shared" si="0"/>
      </c>
      <c r="I197" s="32">
        <f t="shared" si="1"/>
      </c>
    </row>
    <row r="198" spans="1:9" x14ac:dyDescent="0.25">
      <c r="A198" s="29"/>
      <c r="B198" s="30"/>
      <c r="C198" s="38"/>
      <c r="D198" s="38"/>
      <c r="E198" s="54"/>
      <c r="F198" s="54"/>
      <c r="G198" s="54"/>
      <c r="H198" s="55">
        <f t="shared" si="0"/>
      </c>
      <c r="I198" s="32">
        <f t="shared" si="1"/>
      </c>
    </row>
    <row r="199" spans="1:9" x14ac:dyDescent="0.25">
      <c r="A199" s="29"/>
      <c r="B199" s="30"/>
      <c r="C199" s="38"/>
      <c r="D199" s="38"/>
      <c r="E199" s="54"/>
      <c r="F199" s="54"/>
      <c r="G199" s="54"/>
      <c r="H199" s="55">
        <f t="shared" si="0"/>
      </c>
      <c r="I199" s="32">
        <f t="shared" si="1"/>
      </c>
    </row>
    <row r="200" spans="1:9" x14ac:dyDescent="0.25">
      <c r="A200" s="29"/>
      <c r="B200" s="30"/>
      <c r="C200" s="38"/>
      <c r="D200" s="38"/>
      <c r="E200" s="54"/>
      <c r="F200" s="54"/>
      <c r="G200" s="54"/>
      <c r="H200" s="55">
        <f t="shared" si="0"/>
      </c>
      <c r="I200" s="32">
        <f t="shared" si="1"/>
      </c>
    </row>
    <row r="201" spans="1:9" x14ac:dyDescent="0.25">
      <c r="A201" s="29"/>
      <c r="B201" s="30"/>
      <c r="C201" s="38"/>
      <c r="D201" s="38"/>
      <c r="E201" s="54"/>
      <c r="F201" s="54"/>
      <c r="G201" s="54"/>
      <c r="H201" s="55">
        <f t="shared" si="0"/>
      </c>
      <c r="I201" s="32">
        <f t="shared" si="1"/>
      </c>
    </row>
    <row r="202" spans="1:9" x14ac:dyDescent="0.25">
      <c r="A202" s="29"/>
      <c r="B202" s="30"/>
      <c r="C202" s="38"/>
      <c r="D202" s="38"/>
      <c r="E202" s="54"/>
      <c r="F202" s="54"/>
      <c r="G202" s="54"/>
      <c r="H202" s="55">
        <f t="shared" si="0"/>
      </c>
      <c r="I202" s="32">
        <f t="shared" si="1"/>
      </c>
    </row>
    <row r="203" spans="1:9" x14ac:dyDescent="0.25">
      <c r="A203" s="29"/>
      <c r="B203" s="30"/>
      <c r="C203" s="38"/>
      <c r="D203" s="38"/>
      <c r="E203" s="54"/>
      <c r="F203" s="54"/>
      <c r="G203" s="54"/>
      <c r="H203" s="55">
        <f t="shared" si="0"/>
      </c>
      <c r="I203" s="32">
        <f t="shared" si="1"/>
      </c>
    </row>
    <row r="204" spans="1:9" x14ac:dyDescent="0.25">
      <c r="A204" s="29"/>
      <c r="B204" s="30"/>
      <c r="C204" s="38"/>
      <c r="D204" s="38"/>
      <c r="E204" s="54"/>
      <c r="F204" s="54"/>
      <c r="G204" s="54"/>
      <c r="H204" s="55">
        <f t="shared" si="0"/>
      </c>
      <c r="I204" s="32">
        <f t="shared" si="1"/>
      </c>
    </row>
    <row r="205" spans="1:9" x14ac:dyDescent="0.25">
      <c r="A205" s="29"/>
      <c r="B205" s="30"/>
      <c r="C205" s="38"/>
      <c r="D205" s="38"/>
      <c r="E205" s="54"/>
      <c r="F205" s="54"/>
      <c r="G205" s="54"/>
      <c r="H205" s="55">
        <f t="shared" si="0"/>
      </c>
      <c r="I205" s="32">
        <f t="shared" si="1"/>
      </c>
    </row>
    <row r="206" spans="1:9" x14ac:dyDescent="0.25">
      <c r="A206" s="29"/>
      <c r="B206" s="30"/>
      <c r="C206" s="38"/>
      <c r="D206" s="38"/>
      <c r="E206" s="54"/>
      <c r="F206" s="54"/>
      <c r="G206" s="54"/>
      <c r="H206" s="55">
        <f t="shared" si="0"/>
      </c>
      <c r="I206" s="32">
        <f t="shared" si="1"/>
      </c>
    </row>
    <row r="207" spans="1:9" x14ac:dyDescent="0.25">
      <c r="A207" s="29"/>
      <c r="B207" s="30"/>
      <c r="C207" s="38"/>
      <c r="D207" s="38"/>
      <c r="E207" s="54"/>
      <c r="F207" s="54"/>
      <c r="G207" s="54"/>
      <c r="H207" s="55">
        <f t="shared" si="0"/>
      </c>
      <c r="I207" s="32">
        <f t="shared" si="1"/>
      </c>
    </row>
    <row r="208" spans="1:9" x14ac:dyDescent="0.25">
      <c r="A208" s="29"/>
      <c r="B208" s="30"/>
      <c r="C208" s="38"/>
      <c r="D208" s="38"/>
      <c r="E208" s="54"/>
      <c r="F208" s="54"/>
      <c r="G208" s="54"/>
      <c r="H208" s="55">
        <f t="shared" si="0"/>
      </c>
      <c r="I208" s="32">
        <f t="shared" si="1"/>
      </c>
    </row>
    <row r="209" spans="1:9" x14ac:dyDescent="0.25">
      <c r="A209" s="29"/>
      <c r="B209" s="30"/>
      <c r="C209" s="38"/>
      <c r="D209" s="38"/>
      <c r="E209" s="54"/>
      <c r="F209" s="54"/>
      <c r="G209" s="54"/>
      <c r="H209" s="55">
        <f t="shared" si="0"/>
      </c>
      <c r="I209" s="32">
        <f t="shared" si="1"/>
      </c>
    </row>
    <row r="210" spans="1:9" x14ac:dyDescent="0.25">
      <c r="A210" s="29"/>
      <c r="B210" s="30"/>
      <c r="C210" s="38"/>
      <c r="D210" s="38"/>
      <c r="E210" s="54"/>
      <c r="F210" s="54"/>
      <c r="G210" s="54"/>
      <c r="H210" s="55">
        <f t="shared" si="0"/>
      </c>
      <c r="I210" s="32">
        <f t="shared" si="1"/>
      </c>
    </row>
    <row r="211" spans="1:9" x14ac:dyDescent="0.25">
      <c r="A211" s="29"/>
      <c r="B211" s="30"/>
      <c r="C211" s="38"/>
      <c r="D211" s="38"/>
      <c r="E211" s="54"/>
      <c r="F211" s="54"/>
      <c r="G211" s="54"/>
      <c r="H211" s="55">
        <f t="shared" si="0"/>
      </c>
      <c r="I211" s="32">
        <f t="shared" si="1"/>
      </c>
    </row>
    <row r="212" spans="1:9" x14ac:dyDescent="0.25">
      <c r="A212" s="29"/>
      <c r="B212" s="30"/>
      <c r="C212" s="38"/>
      <c r="D212" s="38"/>
      <c r="E212" s="54"/>
      <c r="F212" s="54"/>
      <c r="G212" s="54"/>
      <c r="H212" s="55">
        <f t="shared" si="0"/>
      </c>
      <c r="I212" s="32">
        <f t="shared" si="1"/>
      </c>
    </row>
    <row r="213" spans="1:9" x14ac:dyDescent="0.25">
      <c r="A213" s="29"/>
      <c r="B213" s="30"/>
      <c r="C213" s="38"/>
      <c r="D213" s="38"/>
      <c r="E213" s="54"/>
      <c r="F213" s="54"/>
      <c r="G213" s="54"/>
      <c r="H213" s="55">
        <f t="shared" si="0"/>
      </c>
      <c r="I213" s="32">
        <f t="shared" si="1"/>
      </c>
    </row>
    <row r="214" spans="1:9" x14ac:dyDescent="0.25">
      <c r="A214" s="29"/>
      <c r="B214" s="30"/>
      <c r="C214" s="38"/>
      <c r="D214" s="38"/>
      <c r="E214" s="54"/>
      <c r="F214" s="54"/>
      <c r="G214" s="54"/>
      <c r="H214" s="55">
        <f t="shared" si="0"/>
      </c>
      <c r="I214" s="32">
        <f t="shared" si="1"/>
      </c>
    </row>
    <row r="215" spans="1:9" x14ac:dyDescent="0.25">
      <c r="A215" s="29"/>
      <c r="B215" s="30"/>
      <c r="C215" s="38"/>
      <c r="D215" s="38"/>
      <c r="E215" s="54"/>
      <c r="F215" s="54"/>
      <c r="G215" s="54"/>
      <c r="H215" s="55">
        <f t="shared" si="0"/>
      </c>
      <c r="I215" s="32">
        <f t="shared" si="1"/>
      </c>
    </row>
    <row r="216" spans="1:9" x14ac:dyDescent="0.25">
      <c r="A216" s="29"/>
      <c r="B216" s="30"/>
      <c r="C216" s="38"/>
      <c r="D216" s="38"/>
      <c r="E216" s="54"/>
      <c r="F216" s="54"/>
      <c r="G216" s="54"/>
      <c r="H216" s="55">
        <f t="shared" si="0"/>
      </c>
      <c r="I216" s="32">
        <f t="shared" si="1"/>
      </c>
    </row>
    <row r="217" spans="1:9" x14ac:dyDescent="0.25">
      <c r="A217" s="29"/>
      <c r="B217" s="30"/>
      <c r="C217" s="38"/>
      <c r="D217" s="38"/>
      <c r="E217" s="54"/>
      <c r="F217" s="54"/>
      <c r="G217" s="54"/>
      <c r="H217" s="55">
        <f t="shared" si="0"/>
      </c>
      <c r="I217" s="32">
        <f t="shared" si="1"/>
      </c>
    </row>
    <row r="218" spans="1:9" x14ac:dyDescent="0.25">
      <c r="A218" s="29"/>
      <c r="B218" s="30"/>
      <c r="C218" s="38"/>
      <c r="D218" s="38"/>
      <c r="E218" s="54"/>
      <c r="F218" s="54"/>
      <c r="G218" s="54"/>
      <c r="H218" s="55">
        <f t="shared" si="0"/>
      </c>
      <c r="I218" s="32">
        <f t="shared" si="1"/>
      </c>
    </row>
    <row r="219" spans="1:9" x14ac:dyDescent="0.25">
      <c r="A219" s="29"/>
      <c r="B219" s="30"/>
      <c r="C219" s="38"/>
      <c r="D219" s="38"/>
      <c r="E219" s="54"/>
      <c r="F219" s="54"/>
      <c r="G219" s="54"/>
      <c r="H219" s="55">
        <f t="shared" si="0"/>
      </c>
      <c r="I219" s="32">
        <f t="shared" si="1"/>
      </c>
    </row>
    <row r="220" spans="1:9" x14ac:dyDescent="0.25">
      <c r="A220" s="29"/>
      <c r="B220" s="30"/>
      <c r="C220" s="38"/>
      <c r="D220" s="38"/>
      <c r="E220" s="54"/>
      <c r="F220" s="54"/>
      <c r="G220" s="54"/>
      <c r="H220" s="55">
        <f t="shared" si="0"/>
      </c>
      <c r="I220" s="32">
        <f t="shared" si="1"/>
      </c>
    </row>
    <row r="221" spans="1:9" x14ac:dyDescent="0.25">
      <c r="A221" s="29"/>
      <c r="B221" s="30"/>
      <c r="C221" s="38"/>
      <c r="D221" s="38"/>
      <c r="E221" s="54"/>
      <c r="F221" s="54"/>
      <c r="G221" s="54"/>
      <c r="H221" s="55">
        <f t="shared" si="0"/>
      </c>
      <c r="I221" s="32">
        <f t="shared" si="1"/>
      </c>
    </row>
    <row r="222" spans="1:9" x14ac:dyDescent="0.25">
      <c r="A222" s="29"/>
      <c r="B222" s="30"/>
      <c r="C222" s="38"/>
      <c r="D222" s="38"/>
      <c r="E222" s="54"/>
      <c r="F222" s="54"/>
      <c r="G222" s="54"/>
      <c r="H222" s="55">
        <f t="shared" si="0"/>
      </c>
      <c r="I222" s="32">
        <f t="shared" si="1"/>
      </c>
    </row>
    <row r="223" spans="1:9" x14ac:dyDescent="0.25">
      <c r="A223" s="29"/>
      <c r="B223" s="30"/>
      <c r="C223" s="38"/>
      <c r="D223" s="38"/>
      <c r="E223" s="54"/>
      <c r="F223" s="54"/>
      <c r="G223" s="54"/>
      <c r="H223" s="55">
        <f t="shared" si="0"/>
      </c>
      <c r="I223" s="32">
        <f t="shared" si="1"/>
      </c>
    </row>
    <row r="224" spans="1:9" x14ac:dyDescent="0.25">
      <c r="A224" s="29"/>
      <c r="B224" s="30"/>
      <c r="C224" s="38"/>
      <c r="D224" s="38"/>
      <c r="E224" s="54"/>
      <c r="F224" s="54"/>
      <c r="G224" s="54"/>
      <c r="H224" s="55">
        <f t="shared" si="0"/>
      </c>
      <c r="I224" s="32">
        <f t="shared" si="1"/>
      </c>
    </row>
    <row r="225" spans="1:9" x14ac:dyDescent="0.25">
      <c r="A225" s="29"/>
      <c r="B225" s="30"/>
      <c r="C225" s="38"/>
      <c r="D225" s="38"/>
      <c r="E225" s="54"/>
      <c r="F225" s="54"/>
      <c r="G225" s="54"/>
      <c r="H225" s="55">
        <f t="shared" si="0"/>
      </c>
      <c r="I225" s="32">
        <f t="shared" si="1"/>
      </c>
    </row>
    <row r="226" spans="1:9" x14ac:dyDescent="0.25">
      <c r="A226" s="29"/>
      <c r="B226" s="30"/>
      <c r="C226" s="38"/>
      <c r="D226" s="38"/>
      <c r="E226" s="54"/>
      <c r="F226" s="54"/>
      <c r="G226" s="54"/>
      <c r="H226" s="55">
        <f t="shared" si="0"/>
      </c>
      <c r="I226" s="32">
        <f t="shared" si="1"/>
      </c>
    </row>
    <row r="227" spans="1:9" x14ac:dyDescent="0.25">
      <c r="A227" s="29"/>
      <c r="B227" s="30"/>
      <c r="C227" s="38"/>
      <c r="D227" s="38"/>
      <c r="E227" s="54"/>
      <c r="F227" s="54"/>
      <c r="G227" s="54"/>
      <c r="H227" s="55">
        <f t="shared" si="0"/>
      </c>
      <c r="I227" s="32">
        <f t="shared" si="1"/>
      </c>
    </row>
    <row r="228" spans="1:9" x14ac:dyDescent="0.25">
      <c r="A228" s="29"/>
      <c r="B228" s="30"/>
      <c r="C228" s="38"/>
      <c r="D228" s="38"/>
      <c r="E228" s="54"/>
      <c r="F228" s="54"/>
      <c r="G228" s="54"/>
      <c r="H228" s="55">
        <f t="shared" si="0"/>
      </c>
      <c r="I228" s="32">
        <f t="shared" si="1"/>
      </c>
    </row>
    <row r="229" spans="1:9" x14ac:dyDescent="0.25">
      <c r="A229" s="29"/>
      <c r="B229" s="30"/>
      <c r="C229" s="38"/>
      <c r="D229" s="38"/>
      <c r="E229" s="54"/>
      <c r="F229" s="54"/>
      <c r="G229" s="54"/>
      <c r="H229" s="55">
        <f t="shared" si="0"/>
      </c>
      <c r="I229" s="32">
        <f t="shared" si="1"/>
      </c>
    </row>
    <row r="230" spans="1:9" x14ac:dyDescent="0.25">
      <c r="A230" s="29"/>
      <c r="B230" s="30"/>
      <c r="C230" s="38"/>
      <c r="D230" s="38"/>
      <c r="E230" s="54"/>
      <c r="F230" s="54"/>
      <c r="G230" s="54"/>
      <c r="H230" s="55">
        <f t="shared" si="0"/>
      </c>
      <c r="I230" s="32">
        <f t="shared" si="1"/>
      </c>
    </row>
    <row r="231" spans="1:9" x14ac:dyDescent="0.25">
      <c r="A231" s="29"/>
      <c r="B231" s="30"/>
      <c r="C231" s="38"/>
      <c r="D231" s="38"/>
      <c r="E231" s="54"/>
      <c r="F231" s="54"/>
      <c r="G231" s="54"/>
      <c r="H231" s="55">
        <f t="shared" si="0"/>
      </c>
      <c r="I231" s="32">
        <f t="shared" si="1"/>
      </c>
    </row>
    <row r="232" spans="1:9" x14ac:dyDescent="0.25">
      <c r="A232" s="29"/>
      <c r="B232" s="30"/>
      <c r="C232" s="38"/>
      <c r="D232" s="38"/>
      <c r="E232" s="54"/>
      <c r="F232" s="54"/>
      <c r="G232" s="54"/>
      <c r="H232" s="55">
        <f t="shared" si="0"/>
      </c>
      <c r="I232" s="32">
        <f t="shared" si="1"/>
      </c>
    </row>
    <row r="233" spans="1:9" x14ac:dyDescent="0.25">
      <c r="A233" s="29"/>
      <c r="B233" s="30"/>
      <c r="C233" s="38"/>
      <c r="D233" s="38"/>
      <c r="E233" s="54"/>
      <c r="F233" s="54"/>
      <c r="G233" s="54"/>
      <c r="H233" s="55">
        <f t="shared" si="0"/>
      </c>
      <c r="I233" s="32">
        <f t="shared" si="1"/>
      </c>
    </row>
    <row r="234" spans="1:9" x14ac:dyDescent="0.25">
      <c r="A234" s="29"/>
      <c r="B234" s="30"/>
      <c r="C234" s="38"/>
      <c r="D234" s="38"/>
      <c r="E234" s="54"/>
      <c r="F234" s="54"/>
      <c r="G234" s="54"/>
      <c r="H234" s="55">
        <f t="shared" si="0"/>
      </c>
      <c r="I234" s="32">
        <f t="shared" si="1"/>
      </c>
    </row>
    <row r="235" spans="1:9" x14ac:dyDescent="0.25">
      <c r="A235" s="29"/>
      <c r="B235" s="30"/>
      <c r="C235" s="38"/>
      <c r="D235" s="38"/>
      <c r="E235" s="54"/>
      <c r="F235" s="54"/>
      <c r="G235" s="54"/>
      <c r="H235" s="55">
        <f t="shared" si="0"/>
      </c>
      <c r="I235" s="32">
        <f t="shared" si="1"/>
      </c>
    </row>
    <row r="236" spans="1:9" x14ac:dyDescent="0.25">
      <c r="A236" s="29"/>
      <c r="B236" s="30"/>
      <c r="C236" s="38"/>
      <c r="D236" s="38"/>
      <c r="E236" s="54"/>
      <c r="F236" s="54"/>
      <c r="G236" s="54"/>
      <c r="H236" s="55">
        <f t="shared" si="0"/>
      </c>
      <c r="I236" s="32">
        <f t="shared" si="1"/>
      </c>
    </row>
    <row r="237" spans="1:9" x14ac:dyDescent="0.25">
      <c r="A237" s="29"/>
      <c r="B237" s="30"/>
      <c r="C237" s="38"/>
      <c r="D237" s="38"/>
      <c r="E237" s="54"/>
      <c r="F237" s="54"/>
      <c r="G237" s="54"/>
      <c r="H237" s="55">
        <f t="shared" si="0"/>
      </c>
      <c r="I237" s="32">
        <f t="shared" si="1"/>
      </c>
    </row>
    <row r="238" spans="1:9" x14ac:dyDescent="0.25">
      <c r="A238" s="29"/>
      <c r="B238" s="30"/>
      <c r="C238" s="38"/>
      <c r="D238" s="38"/>
      <c r="E238" s="54"/>
      <c r="F238" s="54"/>
      <c r="G238" s="54"/>
      <c r="H238" s="55">
        <f t="shared" si="0"/>
      </c>
      <c r="I238" s="32">
        <f t="shared" si="1"/>
      </c>
    </row>
    <row r="239" spans="1:9" x14ac:dyDescent="0.25">
      <c r="A239" s="29"/>
      <c r="B239" s="30"/>
      <c r="C239" s="38"/>
      <c r="D239" s="38"/>
      <c r="E239" s="54"/>
      <c r="F239" s="54"/>
      <c r="G239" s="54"/>
      <c r="H239" s="55">
        <f t="shared" si="0"/>
      </c>
      <c r="I239" s="32">
        <f t="shared" si="1"/>
      </c>
    </row>
    <row r="240" spans="1:9" x14ac:dyDescent="0.25">
      <c r="A240" s="29"/>
      <c r="B240" s="30"/>
      <c r="C240" s="38"/>
      <c r="D240" s="38"/>
      <c r="E240" s="54"/>
      <c r="F240" s="54"/>
      <c r="G240" s="54"/>
      <c r="H240" s="55">
        <f t="shared" si="0"/>
      </c>
      <c r="I240" s="32">
        <f t="shared" si="1"/>
      </c>
    </row>
    <row r="241" spans="1:9" x14ac:dyDescent="0.25">
      <c r="A241" s="29"/>
      <c r="B241" s="30"/>
      <c r="C241" s="38"/>
      <c r="D241" s="38"/>
      <c r="E241" s="54"/>
      <c r="F241" s="54"/>
      <c r="G241" s="54"/>
      <c r="H241" s="55">
        <f t="shared" si="0"/>
      </c>
      <c r="I241" s="32">
        <f t="shared" si="1"/>
      </c>
    </row>
    <row r="242" spans="1:9" x14ac:dyDescent="0.25">
      <c r="A242" s="29"/>
      <c r="B242" s="30"/>
      <c r="C242" s="38"/>
      <c r="D242" s="38"/>
      <c r="E242" s="54"/>
      <c r="F242" s="54"/>
      <c r="G242" s="54"/>
      <c r="H242" s="55">
        <f t="shared" si="0"/>
      </c>
      <c r="I242" s="32">
        <f t="shared" si="1"/>
      </c>
    </row>
    <row r="243" spans="1:9" x14ac:dyDescent="0.25">
      <c r="A243" s="29"/>
      <c r="B243" s="30"/>
      <c r="C243" s="38"/>
      <c r="D243" s="38"/>
      <c r="E243" s="54"/>
      <c r="F243" s="54"/>
      <c r="G243" s="54"/>
      <c r="H243" s="55">
        <f t="shared" si="0"/>
      </c>
      <c r="I243" s="32">
        <f t="shared" si="1"/>
      </c>
    </row>
    <row r="244" spans="1:9" x14ac:dyDescent="0.25">
      <c r="A244" s="29"/>
      <c r="B244" s="30"/>
      <c r="C244" s="38"/>
      <c r="D244" s="38"/>
      <c r="E244" s="54"/>
      <c r="F244" s="54"/>
      <c r="G244" s="54"/>
      <c r="H244" s="55">
        <f t="shared" si="0"/>
      </c>
      <c r="I244" s="32">
        <f t="shared" si="1"/>
      </c>
    </row>
    <row r="245" spans="1:9" x14ac:dyDescent="0.25">
      <c r="A245" s="29"/>
      <c r="B245" s="30"/>
      <c r="C245" s="38"/>
      <c r="D245" s="38"/>
      <c r="E245" s="54"/>
      <c r="F245" s="54"/>
      <c r="G245" s="54"/>
      <c r="H245" s="55">
        <f t="shared" si="0"/>
      </c>
      <c r="I245" s="32">
        <f t="shared" si="1"/>
      </c>
    </row>
    <row r="246" spans="1:9" x14ac:dyDescent="0.25">
      <c r="A246" s="29"/>
      <c r="B246" s="30"/>
      <c r="C246" s="38"/>
      <c r="D246" s="38"/>
      <c r="E246" s="54"/>
      <c r="F246" s="54"/>
      <c r="G246" s="54"/>
      <c r="H246" s="55">
        <f t="shared" si="0"/>
      </c>
      <c r="I246" s="32">
        <f t="shared" si="1"/>
      </c>
    </row>
    <row r="247" spans="1:9" x14ac:dyDescent="0.25">
      <c r="A247" s="29"/>
      <c r="B247" s="30"/>
      <c r="C247" s="38"/>
      <c r="D247" s="38"/>
      <c r="E247" s="54"/>
      <c r="F247" s="54"/>
      <c r="G247" s="54"/>
      <c r="H247" s="55">
        <f t="shared" si="0"/>
      </c>
      <c r="I247" s="32">
        <f t="shared" si="1"/>
      </c>
    </row>
    <row r="248" spans="1:9" x14ac:dyDescent="0.25">
      <c r="A248" s="29"/>
      <c r="B248" s="30"/>
      <c r="C248" s="38"/>
      <c r="D248" s="38"/>
      <c r="E248" s="54"/>
      <c r="F248" s="54"/>
      <c r="G248" s="54"/>
      <c r="H248" s="55">
        <f t="shared" si="0"/>
      </c>
      <c r="I248" s="32">
        <f t="shared" si="1"/>
      </c>
    </row>
    <row r="249" spans="1:9" x14ac:dyDescent="0.25">
      <c r="A249" s="29"/>
      <c r="B249" s="30"/>
      <c r="C249" s="38"/>
      <c r="D249" s="38"/>
      <c r="E249" s="54"/>
      <c r="F249" s="54"/>
      <c r="G249" s="54"/>
      <c r="H249" s="55">
        <f t="shared" si="0"/>
      </c>
      <c r="I249" s="32">
        <f t="shared" si="1"/>
      </c>
    </row>
    <row r="250" spans="1:9" x14ac:dyDescent="0.25">
      <c r="A250" s="29"/>
      <c r="B250" s="30"/>
      <c r="C250" s="38"/>
      <c r="D250" s="38"/>
      <c r="E250" s="54"/>
      <c r="F250" s="54"/>
      <c r="G250" s="54"/>
      <c r="H250" s="55">
        <f t="shared" si="0"/>
      </c>
      <c r="I250" s="32">
        <f t="shared" si="1"/>
      </c>
    </row>
    <row r="251" spans="1:9" x14ac:dyDescent="0.25">
      <c r="A251" s="29"/>
      <c r="B251" s="30"/>
      <c r="C251" s="38"/>
      <c r="D251" s="38"/>
      <c r="E251" s="54"/>
      <c r="F251" s="54"/>
      <c r="G251" s="54"/>
      <c r="H251" s="55">
        <f t="shared" si="0"/>
      </c>
      <c r="I251" s="32">
        <f t="shared" si="1"/>
      </c>
    </row>
    <row r="252" spans="1:9" x14ac:dyDescent="0.25">
      <c r="A252" s="29"/>
      <c r="B252" s="30"/>
      <c r="C252" s="38"/>
      <c r="D252" s="38"/>
      <c r="E252" s="54"/>
      <c r="F252" s="54"/>
      <c r="G252" s="54"/>
      <c r="H252" s="55">
        <f t="shared" si="0"/>
      </c>
      <c r="I252" s="32">
        <f t="shared" si="1"/>
      </c>
    </row>
    <row r="253" spans="1:9" x14ac:dyDescent="0.25">
      <c r="A253" s="29"/>
      <c r="B253" s="30"/>
      <c r="C253" s="38"/>
      <c r="D253" s="38"/>
      <c r="E253" s="54"/>
      <c r="F253" s="54"/>
      <c r="G253" s="54"/>
      <c r="H253" s="55">
        <f t="shared" si="0"/>
      </c>
      <c r="I253" s="32">
        <f t="shared" si="1"/>
      </c>
    </row>
    <row r="254" spans="1:9" x14ac:dyDescent="0.25">
      <c r="A254" s="29"/>
      <c r="B254" s="30"/>
      <c r="C254" s="38"/>
      <c r="D254" s="38"/>
      <c r="E254" s="54"/>
      <c r="F254" s="54"/>
      <c r="G254" s="54"/>
      <c r="H254" s="55">
        <f t="shared" si="0"/>
      </c>
      <c r="I254" s="32">
        <f t="shared" si="1"/>
      </c>
    </row>
    <row r="255" spans="1:9" x14ac:dyDescent="0.25">
      <c r="A255" s="29"/>
      <c r="B255" s="30"/>
      <c r="C255" s="38"/>
      <c r="D255" s="38"/>
      <c r="E255" s="54"/>
      <c r="F255" s="54"/>
      <c r="G255" s="54"/>
      <c r="H255" s="55">
        <f t="shared" si="0"/>
      </c>
      <c r="I255" s="32">
        <f t="shared" si="1"/>
      </c>
    </row>
    <row r="256" spans="1:9" x14ac:dyDescent="0.25">
      <c r="A256" s="29"/>
      <c r="B256" s="30"/>
      <c r="C256" s="38"/>
      <c r="D256" s="38"/>
      <c r="E256" s="54"/>
      <c r="F256" s="54"/>
      <c r="G256" s="54"/>
      <c r="H256" s="55">
        <f t="shared" si="0"/>
      </c>
      <c r="I256" s="32">
        <f t="shared" si="1"/>
      </c>
    </row>
    <row r="257" spans="1:9" x14ac:dyDescent="0.25">
      <c r="A257" s="29"/>
      <c r="B257" s="30"/>
      <c r="C257" s="38"/>
      <c r="D257" s="38"/>
      <c r="E257" s="54"/>
      <c r="F257" s="54"/>
      <c r="G257" s="54"/>
      <c r="H257" s="55">
        <f t="shared" si="0"/>
      </c>
      <c r="I257" s="32">
        <f t="shared" si="1"/>
      </c>
    </row>
    <row r="258" spans="1:9" x14ac:dyDescent="0.25">
      <c r="A258" s="29"/>
      <c r="B258" s="30"/>
      <c r="C258" s="38"/>
      <c r="D258" s="38"/>
      <c r="E258" s="54"/>
      <c r="F258" s="54"/>
      <c r="G258" s="54"/>
      <c r="H258" s="55">
        <f t="shared" si="0"/>
      </c>
      <c r="I258" s="32">
        <f t="shared" si="1"/>
      </c>
    </row>
    <row r="259" spans="1:9" x14ac:dyDescent="0.25">
      <c r="A259" s="29"/>
      <c r="B259" s="30"/>
      <c r="C259" s="38"/>
      <c r="D259" s="38"/>
      <c r="E259" s="54"/>
      <c r="F259" s="54"/>
      <c r="G259" s="54"/>
      <c r="H259" s="55">
        <f t="shared" si="0"/>
      </c>
      <c r="I259" s="32">
        <f t="shared" si="1"/>
      </c>
    </row>
    <row r="260" spans="1:9" x14ac:dyDescent="0.25">
      <c r="A260" s="29"/>
      <c r="B260" s="30"/>
      <c r="C260" s="38"/>
      <c r="D260" s="38"/>
      <c r="E260" s="54"/>
      <c r="F260" s="54"/>
      <c r="G260" s="54"/>
      <c r="H260" s="55">
        <f t="shared" si="0"/>
      </c>
      <c r="I260" s="32">
        <f t="shared" si="1"/>
      </c>
    </row>
    <row r="261" spans="1:9" x14ac:dyDescent="0.25">
      <c r="A261" s="29"/>
      <c r="B261" s="30"/>
      <c r="C261" s="38"/>
      <c r="D261" s="38"/>
      <c r="E261" s="54"/>
      <c r="F261" s="54"/>
      <c r="G261" s="54"/>
      <c r="H261" s="55">
        <f t="shared" si="0"/>
      </c>
      <c r="I261" s="32">
        <f t="shared" si="1"/>
      </c>
    </row>
    <row r="262" spans="1:9" x14ac:dyDescent="0.25">
      <c r="A262" s="29"/>
      <c r="B262" s="30"/>
      <c r="C262" s="38"/>
      <c r="D262" s="38"/>
      <c r="E262" s="54"/>
      <c r="F262" s="54"/>
      <c r="G262" s="54"/>
      <c r="H262" s="55">
        <f t="shared" si="0"/>
      </c>
      <c r="I262" s="32">
        <f t="shared" si="1"/>
      </c>
    </row>
    <row r="263" spans="1:9" x14ac:dyDescent="0.25">
      <c r="A263" s="29"/>
      <c r="B263" s="30"/>
      <c r="C263" s="38"/>
      <c r="D263" s="38"/>
      <c r="E263" s="54"/>
      <c r="F263" s="54"/>
      <c r="G263" s="54"/>
      <c r="H263" s="55">
        <f t="shared" si="0"/>
      </c>
      <c r="I263" s="32">
        <f t="shared" si="1"/>
      </c>
    </row>
    <row r="264" spans="1:9" x14ac:dyDescent="0.25">
      <c r="A264" s="29"/>
      <c r="B264" s="30"/>
      <c r="C264" s="38"/>
      <c r="D264" s="38"/>
      <c r="E264" s="54"/>
      <c r="F264" s="54"/>
      <c r="G264" s="54"/>
      <c r="H264" s="55">
        <f t="shared" si="0"/>
      </c>
      <c r="I264" s="32">
        <f t="shared" si="1"/>
      </c>
    </row>
    <row r="265" spans="1:9" x14ac:dyDescent="0.25">
      <c r="A265" s="29"/>
      <c r="B265" s="30"/>
      <c r="C265" s="38"/>
      <c r="D265" s="38"/>
      <c r="E265" s="54"/>
      <c r="F265" s="54"/>
      <c r="G265" s="54"/>
      <c r="H265" s="55">
        <f t="shared" si="0"/>
      </c>
      <c r="I265" s="32">
        <f t="shared" si="1"/>
      </c>
    </row>
    <row r="266" spans="1:9" x14ac:dyDescent="0.25">
      <c r="A266" s="29"/>
      <c r="B266" s="30"/>
      <c r="C266" s="38"/>
      <c r="D266" s="38"/>
      <c r="E266" s="54"/>
      <c r="F266" s="54"/>
      <c r="G266" s="54"/>
      <c r="H266" s="55">
        <f t="shared" si="0"/>
      </c>
      <c r="I266" s="32">
        <f t="shared" si="1"/>
      </c>
    </row>
    <row r="267" spans="1:9" x14ac:dyDescent="0.25">
      <c r="A267" s="29"/>
      <c r="B267" s="30"/>
      <c r="C267" s="38"/>
      <c r="D267" s="38"/>
      <c r="E267" s="54"/>
      <c r="F267" s="54"/>
      <c r="G267" s="54"/>
      <c r="H267" s="55">
        <f t="shared" si="0"/>
      </c>
      <c r="I267" s="32">
        <f t="shared" si="1"/>
      </c>
    </row>
    <row r="268" spans="1:9" x14ac:dyDescent="0.25">
      <c r="A268" s="29"/>
      <c r="B268" s="30"/>
      <c r="C268" s="38"/>
      <c r="D268" s="38"/>
      <c r="E268" s="54"/>
      <c r="F268" s="54"/>
      <c r="G268" s="54"/>
      <c r="H268" s="55">
        <f t="shared" si="0"/>
      </c>
      <c r="I268" s="32">
        <f t="shared" si="1"/>
      </c>
    </row>
    <row r="269" spans="1:9" x14ac:dyDescent="0.25">
      <c r="A269" s="29"/>
      <c r="B269" s="30"/>
      <c r="C269" s="38"/>
      <c r="D269" s="38"/>
      <c r="E269" s="54"/>
      <c r="F269" s="54"/>
      <c r="G269" s="54"/>
      <c r="H269" s="55">
        <f t="shared" si="0"/>
      </c>
      <c r="I269" s="32">
        <f t="shared" si="1"/>
      </c>
    </row>
    <row r="270" spans="1:9" x14ac:dyDescent="0.25">
      <c r="A270" s="29"/>
      <c r="B270" s="30"/>
      <c r="C270" s="38"/>
      <c r="D270" s="38"/>
      <c r="E270" s="54"/>
      <c r="F270" s="54"/>
      <c r="G270" s="54"/>
      <c r="H270" s="55">
        <f t="shared" si="0"/>
      </c>
      <c r="I270" s="32">
        <f t="shared" si="1"/>
      </c>
    </row>
    <row r="271" spans="1:9" x14ac:dyDescent="0.25">
      <c r="A271" s="29"/>
      <c r="B271" s="30"/>
      <c r="C271" s="38"/>
      <c r="D271" s="38"/>
      <c r="E271" s="54"/>
      <c r="F271" s="54"/>
      <c r="G271" s="54"/>
      <c r="H271" s="55">
        <f t="shared" si="0"/>
      </c>
      <c r="I271" s="32">
        <f t="shared" si="1"/>
      </c>
    </row>
    <row r="272" spans="1:9" x14ac:dyDescent="0.25">
      <c r="A272" s="29"/>
      <c r="B272" s="30"/>
      <c r="C272" s="38"/>
      <c r="D272" s="38"/>
      <c r="E272" s="54"/>
      <c r="F272" s="54"/>
      <c r="G272" s="54"/>
      <c r="H272" s="55">
        <f t="shared" si="0"/>
      </c>
      <c r="I272" s="32">
        <f t="shared" si="1"/>
      </c>
    </row>
    <row r="273" spans="1:9" x14ac:dyDescent="0.25">
      <c r="A273" s="29"/>
      <c r="B273" s="30"/>
      <c r="C273" s="38"/>
      <c r="D273" s="38"/>
      <c r="E273" s="54"/>
      <c r="F273" s="54"/>
      <c r="G273" s="54"/>
      <c r="H273" s="55">
        <f t="shared" si="0"/>
      </c>
      <c r="I273" s="32">
        <f t="shared" si="1"/>
      </c>
    </row>
    <row r="274" spans="1:9" x14ac:dyDescent="0.25">
      <c r="A274" s="29"/>
      <c r="B274" s="30"/>
      <c r="C274" s="38"/>
      <c r="D274" s="38"/>
      <c r="E274" s="54"/>
      <c r="F274" s="54"/>
      <c r="G274" s="54"/>
      <c r="H274" s="55">
        <f t="shared" si="0"/>
      </c>
      <c r="I274" s="32">
        <f t="shared" si="1"/>
      </c>
    </row>
    <row r="275" spans="1:9" x14ac:dyDescent="0.25">
      <c r="A275" s="29"/>
      <c r="B275" s="30"/>
      <c r="C275" s="38"/>
      <c r="D275" s="38"/>
      <c r="E275" s="54"/>
      <c r="F275" s="54"/>
      <c r="G275" s="54"/>
      <c r="H275" s="55">
        <f t="shared" si="0"/>
      </c>
      <c r="I275" s="32">
        <f t="shared" si="1"/>
      </c>
    </row>
    <row r="276" spans="1:9" x14ac:dyDescent="0.25">
      <c r="A276" s="29"/>
      <c r="B276" s="30"/>
      <c r="C276" s="38"/>
      <c r="D276" s="38"/>
      <c r="E276" s="54"/>
      <c r="F276" s="54"/>
      <c r="G276" s="54"/>
      <c r="H276" s="55">
        <f t="shared" si="0"/>
      </c>
      <c r="I276" s="32">
        <f t="shared" si="1"/>
      </c>
    </row>
    <row r="277" spans="1:9" x14ac:dyDescent="0.25">
      <c r="A277" s="29"/>
      <c r="B277" s="30"/>
      <c r="C277" s="38"/>
      <c r="D277" s="38"/>
      <c r="E277" s="54"/>
      <c r="F277" s="54"/>
      <c r="G277" s="54"/>
      <c r="H277" s="55">
        <f t="shared" si="0"/>
      </c>
      <c r="I277" s="32">
        <f t="shared" si="1"/>
      </c>
    </row>
    <row r="278" spans="1:9" x14ac:dyDescent="0.25">
      <c r="A278" s="29"/>
      <c r="B278" s="30"/>
      <c r="C278" s="38"/>
      <c r="D278" s="38"/>
      <c r="E278" s="54"/>
      <c r="F278" s="54"/>
      <c r="G278" s="54"/>
      <c r="H278" s="55">
        <f t="shared" si="0"/>
      </c>
      <c r="I278" s="32">
        <f t="shared" si="1"/>
      </c>
    </row>
    <row r="279" spans="1:9" x14ac:dyDescent="0.25">
      <c r="A279" s="29"/>
      <c r="B279" s="30"/>
      <c r="C279" s="38"/>
      <c r="D279" s="38"/>
      <c r="E279" s="54"/>
      <c r="F279" s="54"/>
      <c r="G279" s="54"/>
      <c r="H279" s="55">
        <f t="shared" si="0"/>
      </c>
      <c r="I279" s="32">
        <f t="shared" si="1"/>
      </c>
    </row>
    <row r="280" spans="1:9" x14ac:dyDescent="0.25">
      <c r="A280" s="29"/>
      <c r="B280" s="30"/>
      <c r="C280" s="38"/>
      <c r="D280" s="38"/>
      <c r="E280" s="54"/>
      <c r="F280" s="54"/>
      <c r="G280" s="54"/>
      <c r="H280" s="55">
        <f t="shared" si="0"/>
      </c>
      <c r="I280" s="32">
        <f t="shared" si="1"/>
      </c>
    </row>
    <row r="281" spans="1:9" x14ac:dyDescent="0.25">
      <c r="A281" s="29"/>
      <c r="B281" s="30"/>
      <c r="C281" s="38"/>
      <c r="D281" s="38"/>
      <c r="E281" s="54"/>
      <c r="F281" s="54"/>
      <c r="G281" s="54"/>
      <c r="H281" s="55">
        <f t="shared" si="0"/>
      </c>
      <c r="I281" s="32">
        <f t="shared" si="1"/>
      </c>
    </row>
    <row r="282" spans="1:9" x14ac:dyDescent="0.25">
      <c r="A282" s="29"/>
      <c r="B282" s="30"/>
      <c r="C282" s="38"/>
      <c r="D282" s="38"/>
      <c r="E282" s="54"/>
      <c r="F282" s="54"/>
      <c r="G282" s="54"/>
      <c r="H282" s="55">
        <f t="shared" si="0"/>
      </c>
      <c r="I282" s="32">
        <f t="shared" si="1"/>
      </c>
    </row>
    <row r="283" spans="1:9" x14ac:dyDescent="0.25">
      <c r="A283" s="29"/>
      <c r="B283" s="30"/>
      <c r="C283" s="38"/>
      <c r="D283" s="38"/>
      <c r="E283" s="54"/>
      <c r="F283" s="54"/>
      <c r="G283" s="54"/>
      <c r="H283" s="55">
        <f t="shared" si="0"/>
      </c>
      <c r="I283" s="32">
        <f t="shared" si="1"/>
      </c>
    </row>
    <row r="284" spans="1:9" x14ac:dyDescent="0.25">
      <c r="A284" s="29"/>
      <c r="B284" s="30"/>
      <c r="C284" s="38"/>
      <c r="D284" s="38"/>
      <c r="E284" s="54"/>
      <c r="F284" s="54"/>
      <c r="G284" s="54"/>
      <c r="H284" s="55">
        <f t="shared" si="0"/>
      </c>
      <c r="I284" s="32">
        <f t="shared" si="1"/>
      </c>
    </row>
    <row r="285" spans="1:9" x14ac:dyDescent="0.25">
      <c r="A285" s="29"/>
      <c r="B285" s="30"/>
      <c r="C285" s="38"/>
      <c r="D285" s="38"/>
      <c r="E285" s="54"/>
      <c r="F285" s="54"/>
      <c r="G285" s="54"/>
      <c r="H285" s="55">
        <f t="shared" si="0"/>
      </c>
      <c r="I285" s="32">
        <f t="shared" si="1"/>
      </c>
    </row>
    <row r="286" spans="1:9" x14ac:dyDescent="0.25">
      <c r="A286" s="29"/>
      <c r="B286" s="30"/>
      <c r="C286" s="38"/>
      <c r="D286" s="38"/>
      <c r="E286" s="54"/>
      <c r="F286" s="54"/>
      <c r="G286" s="54"/>
      <c r="H286" s="55">
        <f t="shared" si="0"/>
      </c>
      <c r="I286" s="32">
        <f t="shared" si="1"/>
      </c>
    </row>
    <row r="287" spans="1:9" x14ac:dyDescent="0.25">
      <c r="A287" s="29"/>
      <c r="B287" s="30"/>
      <c r="C287" s="38"/>
      <c r="D287" s="38"/>
      <c r="E287" s="54"/>
      <c r="F287" s="54"/>
      <c r="G287" s="54"/>
      <c r="H287" s="55">
        <f t="shared" si="0"/>
      </c>
      <c r="I287" s="32">
        <f t="shared" si="1"/>
      </c>
    </row>
    <row r="288" spans="1:9" x14ac:dyDescent="0.25">
      <c r="A288" s="29"/>
      <c r="B288" s="30"/>
      <c r="C288" s="38"/>
      <c r="D288" s="38"/>
      <c r="E288" s="54"/>
      <c r="F288" s="54"/>
      <c r="G288" s="54"/>
      <c r="H288" s="55">
        <f t="shared" si="0"/>
      </c>
      <c r="I288" s="32">
        <f t="shared" si="1"/>
      </c>
    </row>
    <row r="289" spans="1:9" x14ac:dyDescent="0.25">
      <c r="A289" s="29"/>
      <c r="B289" s="30"/>
      <c r="C289" s="38"/>
      <c r="D289" s="38"/>
      <c r="E289" s="54"/>
      <c r="F289" s="54"/>
      <c r="G289" s="54"/>
      <c r="H289" s="55">
        <f t="shared" si="0"/>
      </c>
      <c r="I289" s="32">
        <f t="shared" si="1"/>
      </c>
    </row>
    <row r="290" spans="1:9" x14ac:dyDescent="0.25">
      <c r="A290" s="29"/>
      <c r="B290" s="30"/>
      <c r="C290" s="38"/>
      <c r="D290" s="38"/>
      <c r="E290" s="54"/>
      <c r="F290" s="54"/>
      <c r="G290" s="54"/>
      <c r="H290" s="55">
        <f t="shared" si="0"/>
      </c>
      <c r="I290" s="32">
        <f t="shared" si="1"/>
      </c>
    </row>
    <row r="291" spans="1:9" x14ac:dyDescent="0.25">
      <c r="A291" s="29"/>
      <c r="B291" s="30"/>
      <c r="C291" s="38"/>
      <c r="D291" s="38"/>
      <c r="E291" s="54"/>
      <c r="F291" s="54"/>
      <c r="G291" s="54"/>
      <c r="H291" s="55">
        <f t="shared" si="0"/>
      </c>
      <c r="I291" s="32">
        <f t="shared" si="1"/>
      </c>
    </row>
    <row r="292" spans="1:9" x14ac:dyDescent="0.25">
      <c r="A292" s="29"/>
      <c r="B292" s="30"/>
      <c r="C292" s="38"/>
      <c r="D292" s="38"/>
      <c r="E292" s="54"/>
      <c r="F292" s="54"/>
      <c r="G292" s="54"/>
      <c r="H292" s="55">
        <f t="shared" si="0"/>
      </c>
      <c r="I292" s="32">
        <f t="shared" si="1"/>
      </c>
    </row>
    <row r="293" spans="1:9" x14ac:dyDescent="0.25">
      <c r="A293" s="29"/>
      <c r="B293" s="30"/>
      <c r="C293" s="38"/>
      <c r="D293" s="38"/>
      <c r="E293" s="54"/>
      <c r="F293" s="54"/>
      <c r="G293" s="54"/>
      <c r="H293" s="55">
        <f t="shared" si="0"/>
      </c>
      <c r="I293" s="32">
        <f t="shared" si="1"/>
      </c>
    </row>
    <row r="294" spans="1:9" x14ac:dyDescent="0.25">
      <c r="A294" s="29"/>
      <c r="B294" s="30"/>
      <c r="C294" s="38"/>
      <c r="D294" s="38"/>
      <c r="E294" s="54"/>
      <c r="F294" s="54"/>
      <c r="G294" s="54"/>
      <c r="H294" s="55">
        <f t="shared" si="0"/>
      </c>
      <c r="I294" s="32">
        <f t="shared" si="1"/>
      </c>
    </row>
    <row r="295" spans="1:9" x14ac:dyDescent="0.25">
      <c r="A295" s="29"/>
      <c r="B295" s="30"/>
      <c r="C295" s="38"/>
      <c r="D295" s="38"/>
      <c r="E295" s="54"/>
      <c r="F295" s="54"/>
      <c r="G295" s="54"/>
      <c r="H295" s="55">
        <f t="shared" si="0"/>
      </c>
      <c r="I295" s="32">
        <f t="shared" si="1"/>
      </c>
    </row>
    <row r="296" spans="1:9" x14ac:dyDescent="0.25">
      <c r="A296" s="29"/>
      <c r="B296" s="30"/>
      <c r="C296" s="38"/>
      <c r="D296" s="38"/>
      <c r="E296" s="54"/>
      <c r="F296" s="54"/>
      <c r="G296" s="54"/>
      <c r="H296" s="55">
        <f t="shared" si="0"/>
      </c>
      <c r="I296" s="32">
        <f t="shared" si="1"/>
      </c>
    </row>
    <row r="297" spans="1:9" x14ac:dyDescent="0.25">
      <c r="A297" s="29"/>
      <c r="B297" s="30"/>
      <c r="C297" s="38"/>
      <c r="D297" s="38"/>
      <c r="E297" s="54"/>
      <c r="F297" s="54"/>
      <c r="G297" s="54"/>
      <c r="H297" s="55">
        <f t="shared" si="0"/>
      </c>
      <c r="I297" s="32">
        <f t="shared" si="1"/>
      </c>
    </row>
    <row r="298" spans="1:9" x14ac:dyDescent="0.25">
      <c r="A298" s="29"/>
      <c r="B298" s="30"/>
      <c r="C298" s="38"/>
      <c r="D298" s="38"/>
      <c r="E298" s="54"/>
      <c r="F298" s="54"/>
      <c r="G298" s="54"/>
      <c r="H298" s="55">
        <f t="shared" si="0"/>
      </c>
      <c r="I298" s="32">
        <f t="shared" si="1"/>
      </c>
    </row>
    <row r="299" spans="1:9" x14ac:dyDescent="0.25">
      <c r="A299" s="29"/>
      <c r="B299" s="30"/>
      <c r="C299" s="38"/>
      <c r="D299" s="38"/>
      <c r="E299" s="54"/>
      <c r="F299" s="54"/>
      <c r="G299" s="54"/>
      <c r="H299" s="55">
        <f t="shared" si="0"/>
      </c>
      <c r="I299" s="32">
        <f t="shared" si="1"/>
      </c>
    </row>
    <row r="300" spans="1:9" x14ac:dyDescent="0.25">
      <c r="A300" s="29"/>
      <c r="B300" s="30"/>
      <c r="C300" s="38"/>
      <c r="D300" s="38"/>
      <c r="E300" s="54"/>
      <c r="F300" s="54"/>
      <c r="G300" s="54"/>
      <c r="H300" s="55">
        <f t="shared" si="0"/>
      </c>
      <c r="I300" s="32">
        <f t="shared" si="1"/>
      </c>
    </row>
    <row r="301" spans="1:9" x14ac:dyDescent="0.25">
      <c r="A301" s="29"/>
      <c r="B301" s="30"/>
      <c r="C301" s="38"/>
      <c r="D301" s="38"/>
      <c r="E301" s="54"/>
      <c r="F301" s="54"/>
      <c r="G301" s="54"/>
      <c r="H301" s="55">
        <f t="shared" si="0"/>
      </c>
      <c r="I301" s="32">
        <f t="shared" si="1"/>
      </c>
    </row>
    <row r="302" spans="1:9" x14ac:dyDescent="0.25">
      <c r="A302" s="29"/>
      <c r="B302" s="30"/>
      <c r="C302" s="38"/>
      <c r="D302" s="38"/>
      <c r="E302" s="54"/>
      <c r="F302" s="54"/>
      <c r="G302" s="54"/>
      <c r="H302" s="55">
        <f t="shared" si="0"/>
      </c>
      <c r="I302" s="32">
        <f t="shared" si="1"/>
      </c>
    </row>
    <row r="303" spans="1:9" x14ac:dyDescent="0.25">
      <c r="A303" s="29"/>
      <c r="B303" s="30"/>
      <c r="C303" s="38"/>
      <c r="D303" s="38"/>
      <c r="E303" s="54"/>
      <c r="F303" s="54"/>
      <c r="G303" s="54"/>
      <c r="H303" s="55">
        <f t="shared" si="0"/>
      </c>
      <c r="I303" s="32">
        <f t="shared" si="1"/>
      </c>
    </row>
    <row r="304" spans="1:9" x14ac:dyDescent="0.25">
      <c r="A304" s="29"/>
      <c r="B304" s="30"/>
      <c r="C304" s="38"/>
      <c r="D304" s="38"/>
      <c r="E304" s="54"/>
      <c r="F304" s="54"/>
      <c r="G304" s="54"/>
      <c r="H304" s="55">
        <f t="shared" si="0"/>
      </c>
      <c r="I304" s="32">
        <f t="shared" si="1"/>
      </c>
    </row>
    <row r="305" spans="1:9" x14ac:dyDescent="0.25">
      <c r="A305" s="29"/>
      <c r="B305" s="30"/>
      <c r="C305" s="38"/>
      <c r="D305" s="38"/>
      <c r="E305" s="54"/>
      <c r="F305" s="54"/>
      <c r="G305" s="54"/>
      <c r="H305" s="55">
        <f t="shared" si="0"/>
      </c>
      <c r="I305" s="32">
        <f t="shared" si="1"/>
      </c>
    </row>
    <row r="306" spans="1:9" x14ac:dyDescent="0.25">
      <c r="A306" s="29"/>
      <c r="B306" s="30"/>
      <c r="C306" s="38"/>
      <c r="D306" s="38"/>
      <c r="E306" s="54"/>
      <c r="F306" s="54"/>
      <c r="G306" s="54"/>
      <c r="H306" s="55">
        <f t="shared" si="0"/>
      </c>
      <c r="I306" s="32">
        <f t="shared" si="1"/>
      </c>
    </row>
    <row r="307" spans="1:9" x14ac:dyDescent="0.25">
      <c r="A307" s="29"/>
      <c r="B307" s="30"/>
      <c r="C307" s="38"/>
      <c r="D307" s="38"/>
      <c r="E307" s="54"/>
      <c r="F307" s="54"/>
      <c r="G307" s="54"/>
      <c r="H307" s="55">
        <f t="shared" si="0"/>
      </c>
      <c r="I307" s="32">
        <f t="shared" si="1"/>
      </c>
    </row>
    <row r="308" spans="1:9" x14ac:dyDescent="0.25">
      <c r="A308" s="29"/>
      <c r="B308" s="30"/>
      <c r="C308" s="38"/>
      <c r="D308" s="38"/>
      <c r="E308" s="54"/>
      <c r="F308" s="54"/>
      <c r="G308" s="54"/>
      <c r="H308" s="55">
        <f t="shared" si="0"/>
      </c>
      <c r="I308" s="32">
        <f t="shared" si="1"/>
      </c>
    </row>
    <row r="309" spans="1:9" x14ac:dyDescent="0.25">
      <c r="A309" s="29"/>
      <c r="B309" s="30"/>
      <c r="C309" s="38"/>
      <c r="D309" s="38"/>
      <c r="E309" s="54"/>
      <c r="F309" s="54"/>
      <c r="G309" s="54"/>
      <c r="H309" s="55">
        <f t="shared" si="0"/>
      </c>
      <c r="I309" s="32">
        <f t="shared" si="1"/>
      </c>
    </row>
    <row r="310" spans="1:9" x14ac:dyDescent="0.25">
      <c r="A310" s="29"/>
      <c r="B310" s="30"/>
      <c r="C310" s="38"/>
      <c r="D310" s="38"/>
      <c r="E310" s="54"/>
      <c r="F310" s="54"/>
      <c r="G310" s="54"/>
      <c r="H310" s="55">
        <f t="shared" si="0"/>
      </c>
      <c r="I310" s="32">
        <f t="shared" si="1"/>
      </c>
    </row>
    <row r="311" spans="1:9" x14ac:dyDescent="0.25">
      <c r="A311" s="29"/>
      <c r="B311" s="30"/>
      <c r="C311" s="38"/>
      <c r="D311" s="38"/>
      <c r="E311" s="54"/>
      <c r="F311" s="54"/>
      <c r="G311" s="54"/>
      <c r="H311" s="55">
        <f t="shared" si="0"/>
      </c>
      <c r="I311" s="32">
        <f t="shared" si="1"/>
      </c>
    </row>
    <row r="312" spans="1:9" x14ac:dyDescent="0.25">
      <c r="A312" s="29"/>
      <c r="B312" s="30"/>
      <c r="C312" s="38"/>
      <c r="D312" s="38"/>
      <c r="E312" s="54"/>
      <c r="F312" s="54"/>
      <c r="G312" s="54"/>
      <c r="H312" s="55">
        <f t="shared" si="0"/>
      </c>
      <c r="I312" s="32">
        <f t="shared" si="1"/>
      </c>
    </row>
    <row r="313" spans="1:9" x14ac:dyDescent="0.25">
      <c r="A313" s="29"/>
      <c r="B313" s="30"/>
      <c r="C313" s="38"/>
      <c r="D313" s="38"/>
      <c r="E313" s="54"/>
      <c r="F313" s="54"/>
      <c r="G313" s="54"/>
      <c r="H313" s="55">
        <f t="shared" si="0"/>
      </c>
      <c r="I313" s="32">
        <f t="shared" si="1"/>
      </c>
    </row>
    <row r="314" spans="1:9" x14ac:dyDescent="0.25">
      <c r="A314" s="29"/>
      <c r="B314" s="30"/>
      <c r="C314" s="38"/>
      <c r="D314" s="38"/>
      <c r="E314" s="54"/>
      <c r="F314" s="54"/>
      <c r="G314" s="54"/>
      <c r="H314" s="55">
        <f t="shared" si="0"/>
      </c>
      <c r="I314" s="32">
        <f t="shared" si="1"/>
      </c>
    </row>
    <row r="315" spans="1:9" x14ac:dyDescent="0.25">
      <c r="A315" s="29"/>
      <c r="B315" s="30"/>
      <c r="C315" s="38"/>
      <c r="D315" s="38"/>
      <c r="E315" s="54"/>
      <c r="F315" s="54"/>
      <c r="G315" s="54"/>
      <c r="H315" s="55">
        <f t="shared" si="0"/>
      </c>
      <c r="I315" s="32">
        <f t="shared" si="1"/>
      </c>
    </row>
    <row r="316" spans="1:9" x14ac:dyDescent="0.25">
      <c r="A316" s="29"/>
      <c r="B316" s="30"/>
      <c r="C316" s="38"/>
      <c r="D316" s="38"/>
      <c r="E316" s="54"/>
      <c r="F316" s="54"/>
      <c r="G316" s="54"/>
      <c r="H316" s="55">
        <f t="shared" si="0"/>
      </c>
      <c r="I316" s="32">
        <f t="shared" si="1"/>
      </c>
    </row>
    <row r="317" spans="1:9" x14ac:dyDescent="0.25">
      <c r="A317" s="29"/>
      <c r="B317" s="30"/>
      <c r="C317" s="38"/>
      <c r="D317" s="38"/>
      <c r="E317" s="54"/>
      <c r="F317" s="54"/>
      <c r="G317" s="54"/>
      <c r="H317" s="55">
        <f t="shared" si="0"/>
      </c>
      <c r="I317" s="32">
        <f t="shared" si="1"/>
      </c>
    </row>
    <row r="318" spans="1:9" x14ac:dyDescent="0.25">
      <c r="A318" s="29"/>
      <c r="B318" s="30"/>
      <c r="C318" s="38"/>
      <c r="D318" s="38"/>
      <c r="E318" s="54"/>
      <c r="F318" s="54"/>
      <c r="G318" s="54"/>
      <c r="H318" s="55">
        <f t="shared" si="0"/>
      </c>
      <c r="I318" s="32">
        <f t="shared" si="1"/>
      </c>
    </row>
    <row r="319" spans="1:9" x14ac:dyDescent="0.25">
      <c r="A319" s="29"/>
      <c r="B319" s="30"/>
      <c r="C319" s="38"/>
      <c r="D319" s="38"/>
      <c r="E319" s="54"/>
      <c r="F319" s="54"/>
      <c r="G319" s="54"/>
      <c r="H319" s="55">
        <f t="shared" si="0"/>
      </c>
      <c r="I319" s="32">
        <f t="shared" si="1"/>
      </c>
    </row>
    <row r="320" spans="1:9" x14ac:dyDescent="0.25">
      <c r="A320" s="29"/>
      <c r="B320" s="30"/>
      <c r="C320" s="38"/>
      <c r="D320" s="38"/>
      <c r="E320" s="54"/>
      <c r="F320" s="54"/>
      <c r="G320" s="54"/>
      <c r="H320" s="55">
        <f t="shared" si="0"/>
      </c>
      <c r="I320" s="32">
        <f t="shared" si="1"/>
      </c>
    </row>
    <row r="321" spans="1:9" x14ac:dyDescent="0.25">
      <c r="A321" s="29"/>
      <c r="B321" s="30"/>
      <c r="C321" s="38"/>
      <c r="D321" s="38"/>
      <c r="E321" s="54"/>
      <c r="F321" s="54"/>
      <c r="G321" s="54"/>
      <c r="H321" s="55">
        <f t="shared" si="0"/>
      </c>
      <c r="I321" s="32">
        <f t="shared" si="1"/>
      </c>
    </row>
    <row r="322" spans="1:9" x14ac:dyDescent="0.25">
      <c r="A322" s="29"/>
      <c r="B322" s="30"/>
      <c r="C322" s="38"/>
      <c r="D322" s="38"/>
      <c r="E322" s="54"/>
      <c r="F322" s="54"/>
      <c r="G322" s="54"/>
      <c r="H322" s="55">
        <f t="shared" si="0"/>
      </c>
      <c r="I322" s="32">
        <f t="shared" si="1"/>
      </c>
    </row>
    <row r="323" spans="1:9" x14ac:dyDescent="0.25">
      <c r="A323" s="29"/>
      <c r="B323" s="30"/>
      <c r="C323" s="38"/>
      <c r="D323" s="38"/>
      <c r="E323" s="54"/>
      <c r="F323" s="54"/>
      <c r="G323" s="54"/>
      <c r="H323" s="55">
        <f t="shared" si="0"/>
      </c>
      <c r="I323" s="32">
        <f t="shared" si="1"/>
      </c>
    </row>
    <row r="324" spans="1:9" x14ac:dyDescent="0.25">
      <c r="A324" s="29"/>
      <c r="B324" s="30"/>
      <c r="C324" s="38"/>
      <c r="D324" s="38"/>
      <c r="E324" s="54"/>
      <c r="F324" s="54"/>
      <c r="G324" s="54"/>
      <c r="H324" s="55">
        <f t="shared" si="0"/>
      </c>
      <c r="I324" s="32">
        <f t="shared" si="1"/>
      </c>
    </row>
    <row r="325" spans="1:9" x14ac:dyDescent="0.25">
      <c r="A325" s="29"/>
      <c r="B325" s="30"/>
      <c r="C325" s="38"/>
      <c r="D325" s="38"/>
      <c r="E325" s="54"/>
      <c r="F325" s="54"/>
      <c r="G325" s="54"/>
      <c r="H325" s="55">
        <f t="shared" si="0"/>
      </c>
      <c r="I325" s="32">
        <f t="shared" si="1"/>
      </c>
    </row>
    <row r="326" spans="1:9" x14ac:dyDescent="0.25">
      <c r="A326" s="29"/>
      <c r="B326" s="30"/>
      <c r="C326" s="38"/>
      <c r="D326" s="38"/>
      <c r="E326" s="54"/>
      <c r="F326" s="54"/>
      <c r="G326" s="54"/>
      <c r="H326" s="55">
        <f t="shared" si="0"/>
      </c>
      <c r="I326" s="32">
        <f t="shared" si="1"/>
      </c>
    </row>
    <row r="327" spans="1:9" x14ac:dyDescent="0.25">
      <c r="A327" s="29"/>
      <c r="B327" s="30"/>
      <c r="C327" s="38"/>
      <c r="D327" s="38"/>
      <c r="E327" s="54"/>
      <c r="F327" s="54"/>
      <c r="G327" s="54"/>
      <c r="H327" s="55">
        <f t="shared" si="0"/>
      </c>
      <c r="I327" s="32">
        <f t="shared" si="1"/>
      </c>
    </row>
    <row r="328" spans="1:9" x14ac:dyDescent="0.25">
      <c r="A328" s="29"/>
      <c r="B328" s="30"/>
      <c r="C328" s="38"/>
      <c r="D328" s="38"/>
      <c r="E328" s="54"/>
      <c r="F328" s="54"/>
      <c r="G328" s="54"/>
      <c r="H328" s="55">
        <f t="shared" si="0"/>
      </c>
      <c r="I328" s="32">
        <f t="shared" si="1"/>
      </c>
    </row>
    <row r="329" spans="1:9" x14ac:dyDescent="0.25">
      <c r="A329" s="29"/>
      <c r="B329" s="30"/>
      <c r="C329" s="38"/>
      <c r="D329" s="38"/>
      <c r="E329" s="54"/>
      <c r="F329" s="54"/>
      <c r="G329" s="54"/>
      <c r="H329" s="55">
        <f t="shared" si="0"/>
      </c>
      <c r="I329" s="32">
        <f t="shared" si="1"/>
      </c>
    </row>
    <row r="330" spans="1:9" x14ac:dyDescent="0.25">
      <c r="A330" s="29"/>
      <c r="B330" s="30"/>
      <c r="C330" s="38"/>
      <c r="D330" s="38"/>
      <c r="E330" s="54"/>
      <c r="F330" s="54"/>
      <c r="G330" s="54"/>
      <c r="H330" s="55">
        <f t="shared" si="0"/>
      </c>
      <c r="I330" s="32">
        <f t="shared" si="1"/>
      </c>
    </row>
    <row r="331" spans="1:9" x14ac:dyDescent="0.25">
      <c r="A331" s="29"/>
      <c r="B331" s="30"/>
      <c r="C331" s="38"/>
      <c r="D331" s="38"/>
      <c r="E331" s="54"/>
      <c r="F331" s="54"/>
      <c r="G331" s="54"/>
      <c r="H331" s="55">
        <f t="shared" si="0"/>
      </c>
      <c r="I331" s="32">
        <f t="shared" si="1"/>
      </c>
    </row>
    <row r="332" spans="1:9" x14ac:dyDescent="0.25">
      <c r="A332" s="29"/>
      <c r="B332" s="30"/>
      <c r="C332" s="38"/>
      <c r="D332" s="38"/>
      <c r="E332" s="54"/>
      <c r="F332" s="54"/>
      <c r="G332" s="54"/>
      <c r="H332" s="55">
        <f t="shared" si="0"/>
      </c>
      <c r="I332" s="32">
        <f t="shared" si="1"/>
      </c>
    </row>
    <row r="333" spans="1:9" x14ac:dyDescent="0.25">
      <c r="A333" s="29"/>
      <c r="B333" s="30"/>
      <c r="C333" s="38"/>
      <c r="D333" s="38"/>
      <c r="E333" s="54"/>
      <c r="F333" s="54"/>
      <c r="G333" s="54"/>
      <c r="H333" s="55">
        <f t="shared" si="0"/>
      </c>
      <c r="I333" s="32">
        <f t="shared" si="1"/>
      </c>
    </row>
    <row r="334" spans="1:9" x14ac:dyDescent="0.25">
      <c r="A334" s="29"/>
      <c r="B334" s="30"/>
      <c r="C334" s="38"/>
      <c r="D334" s="38"/>
      <c r="E334" s="54"/>
      <c r="F334" s="54"/>
      <c r="G334" s="54"/>
      <c r="H334" s="55">
        <f t="shared" si="0"/>
      </c>
      <c r="I334" s="32">
        <f t="shared" si="1"/>
      </c>
    </row>
    <row r="335" spans="1:9" x14ac:dyDescent="0.25">
      <c r="A335" s="29"/>
      <c r="B335" s="30"/>
      <c r="C335" s="38"/>
      <c r="D335" s="38"/>
      <c r="E335" s="54"/>
      <c r="F335" s="54"/>
      <c r="G335" s="54"/>
      <c r="H335" s="55">
        <f t="shared" si="0"/>
      </c>
      <c r="I335" s="32">
        <f t="shared" si="1"/>
      </c>
    </row>
    <row r="336" spans="1:9" x14ac:dyDescent="0.25">
      <c r="A336" s="29"/>
      <c r="B336" s="30"/>
      <c r="C336" s="38"/>
      <c r="D336" s="38"/>
      <c r="E336" s="54"/>
      <c r="F336" s="54"/>
      <c r="G336" s="54"/>
      <c r="H336" s="55">
        <f t="shared" si="0"/>
      </c>
      <c r="I336" s="32">
        <f t="shared" si="1"/>
      </c>
    </row>
    <row r="337" spans="1:9" x14ac:dyDescent="0.25">
      <c r="A337" s="29"/>
      <c r="B337" s="30"/>
      <c r="C337" s="38"/>
      <c r="D337" s="38"/>
      <c r="E337" s="54"/>
      <c r="F337" s="54"/>
      <c r="G337" s="54"/>
      <c r="H337" s="55">
        <f t="shared" si="0"/>
      </c>
      <c r="I337" s="32">
        <f t="shared" si="1"/>
      </c>
    </row>
    <row r="338" spans="1:9" x14ac:dyDescent="0.25">
      <c r="A338" s="29"/>
      <c r="B338" s="30"/>
      <c r="C338" s="38"/>
      <c r="D338" s="38"/>
      <c r="E338" s="54"/>
      <c r="F338" s="54"/>
      <c r="G338" s="54"/>
      <c r="H338" s="55">
        <f t="shared" si="0"/>
      </c>
      <c r="I338" s="32">
        <f t="shared" si="1"/>
      </c>
    </row>
    <row r="339" spans="1:9" x14ac:dyDescent="0.25">
      <c r="A339" s="29"/>
      <c r="B339" s="30"/>
      <c r="C339" s="38"/>
      <c r="D339" s="38"/>
      <c r="E339" s="54"/>
      <c r="F339" s="54"/>
      <c r="G339" s="54"/>
      <c r="H339" s="55">
        <f t="shared" si="0"/>
      </c>
      <c r="I339" s="32">
        <f t="shared" si="1"/>
      </c>
    </row>
    <row r="340" spans="1:9" x14ac:dyDescent="0.25">
      <c r="A340" s="29"/>
      <c r="B340" s="30"/>
      <c r="C340" s="38"/>
      <c r="D340" s="38"/>
      <c r="E340" s="54"/>
      <c r="F340" s="54"/>
      <c r="G340" s="54"/>
      <c r="H340" s="55">
        <f t="shared" si="0"/>
      </c>
      <c r="I340" s="32">
        <f t="shared" si="1"/>
      </c>
    </row>
    <row r="341" spans="1:9" x14ac:dyDescent="0.25">
      <c r="A341" s="29"/>
      <c r="B341" s="30"/>
      <c r="C341" s="38"/>
      <c r="D341" s="38"/>
      <c r="E341" s="54"/>
      <c r="F341" s="54"/>
      <c r="G341" s="54"/>
      <c r="H341" s="55">
        <f t="shared" si="0"/>
      </c>
      <c r="I341" s="32">
        <f t="shared" si="1"/>
      </c>
    </row>
    <row r="342" spans="1:9" x14ac:dyDescent="0.25">
      <c r="A342" s="29"/>
      <c r="B342" s="30"/>
      <c r="C342" s="38"/>
      <c r="D342" s="38"/>
      <c r="E342" s="54"/>
      <c r="F342" s="54"/>
      <c r="G342" s="54"/>
      <c r="H342" s="55">
        <f t="shared" si="0"/>
      </c>
      <c r="I342" s="32">
        <f t="shared" si="1"/>
      </c>
    </row>
    <row r="343" spans="1:9" x14ac:dyDescent="0.25">
      <c r="A343" s="29"/>
      <c r="B343" s="30"/>
      <c r="C343" s="38"/>
      <c r="D343" s="38"/>
      <c r="E343" s="54"/>
      <c r="F343" s="54"/>
      <c r="G343" s="54"/>
      <c r="H343" s="55">
        <f t="shared" si="0"/>
      </c>
      <c r="I343" s="32">
        <f t="shared" si="1"/>
      </c>
    </row>
    <row r="344" spans="1:9" x14ac:dyDescent="0.25">
      <c r="A344" s="29"/>
      <c r="B344" s="30"/>
      <c r="C344" s="38"/>
      <c r="D344" s="38"/>
      <c r="E344" s="54"/>
      <c r="F344" s="54"/>
      <c r="G344" s="54"/>
      <c r="H344" s="55">
        <f t="shared" si="0"/>
      </c>
      <c r="I344" s="32">
        <f t="shared" si="1"/>
      </c>
    </row>
    <row r="345" spans="1:9" x14ac:dyDescent="0.25">
      <c r="A345" s="29"/>
      <c r="B345" s="30"/>
      <c r="C345" s="38"/>
      <c r="D345" s="38"/>
      <c r="E345" s="54"/>
      <c r="F345" s="54"/>
      <c r="G345" s="54"/>
      <c r="H345" s="55">
        <f t="shared" si="0"/>
      </c>
      <c r="I345" s="32">
        <f t="shared" si="1"/>
      </c>
    </row>
    <row r="346" spans="1:9" x14ac:dyDescent="0.25">
      <c r="A346" s="29"/>
      <c r="B346" s="30"/>
      <c r="C346" s="38"/>
      <c r="D346" s="38"/>
      <c r="E346" s="54"/>
      <c r="F346" s="54"/>
      <c r="G346" s="54"/>
      <c r="H346" s="55">
        <f t="shared" si="0"/>
      </c>
      <c r="I346" s="32">
        <f t="shared" si="1"/>
      </c>
    </row>
    <row r="347" spans="1:9" x14ac:dyDescent="0.25">
      <c r="A347" s="29"/>
      <c r="B347" s="30"/>
      <c r="C347" s="38"/>
      <c r="D347" s="38"/>
      <c r="E347" s="54"/>
      <c r="F347" s="54"/>
      <c r="G347" s="54"/>
      <c r="H347" s="55">
        <f t="shared" si="0"/>
      </c>
      <c r="I347" s="32">
        <f t="shared" si="1"/>
      </c>
    </row>
    <row r="348" spans="1:9" x14ac:dyDescent="0.25">
      <c r="A348" s="29"/>
      <c r="B348" s="30"/>
      <c r="C348" s="38"/>
      <c r="D348" s="38"/>
      <c r="E348" s="54"/>
      <c r="F348" s="54"/>
      <c r="G348" s="54"/>
      <c r="H348" s="55">
        <f t="shared" si="0"/>
      </c>
      <c r="I348" s="32">
        <f t="shared" si="1"/>
      </c>
    </row>
    <row r="349" spans="1:9" x14ac:dyDescent="0.25">
      <c r="A349" s="29"/>
      <c r="B349" s="30"/>
      <c r="C349" s="38"/>
      <c r="D349" s="38"/>
      <c r="E349" s="54"/>
      <c r="F349" s="54"/>
      <c r="G349" s="54"/>
      <c r="H349" s="55">
        <f t="shared" si="0"/>
      </c>
      <c r="I349" s="32">
        <f t="shared" si="1"/>
      </c>
    </row>
    <row r="350" spans="1:9" x14ac:dyDescent="0.25">
      <c r="A350" s="29"/>
      <c r="B350" s="30"/>
      <c r="C350" s="38"/>
      <c r="D350" s="38"/>
      <c r="E350" s="54"/>
      <c r="F350" s="54"/>
      <c r="G350" s="54"/>
      <c r="H350" s="55">
        <f t="shared" si="0"/>
      </c>
      <c r="I350" s="32">
        <f t="shared" si="1"/>
      </c>
    </row>
    <row r="351" spans="1:9" x14ac:dyDescent="0.25">
      <c r="A351" s="29"/>
      <c r="B351" s="30"/>
      <c r="C351" s="38"/>
      <c r="D351" s="38"/>
      <c r="E351" s="54"/>
      <c r="F351" s="54"/>
      <c r="G351" s="54"/>
      <c r="H351" s="55">
        <f t="shared" si="0"/>
      </c>
      <c r="I351" s="32">
        <f t="shared" si="1"/>
      </c>
    </row>
    <row r="352" spans="1:9" x14ac:dyDescent="0.25">
      <c r="A352" s="29"/>
      <c r="B352" s="30"/>
      <c r="C352" s="38"/>
      <c r="D352" s="38"/>
      <c r="E352" s="54"/>
      <c r="F352" s="54"/>
      <c r="G352" s="54"/>
      <c r="H352" s="55">
        <f t="shared" si="0"/>
      </c>
      <c r="I352" s="32">
        <f t="shared" si="1"/>
      </c>
    </row>
    <row r="353" spans="1:9" x14ac:dyDescent="0.25">
      <c r="A353" s="29"/>
      <c r="B353" s="30"/>
      <c r="C353" s="38"/>
      <c r="D353" s="38"/>
      <c r="E353" s="54"/>
      <c r="F353" s="54"/>
      <c r="G353" s="54"/>
      <c r="H353" s="55">
        <f t="shared" si="0"/>
      </c>
      <c r="I353" s="32">
        <f t="shared" si="1"/>
      </c>
    </row>
    <row r="354" spans="1:9" x14ac:dyDescent="0.25">
      <c r="A354" s="29"/>
      <c r="B354" s="30"/>
      <c r="C354" s="38"/>
      <c r="D354" s="38"/>
      <c r="E354" s="54"/>
      <c r="F354" s="54"/>
      <c r="G354" s="54"/>
      <c r="H354" s="55">
        <f t="shared" si="0"/>
      </c>
      <c r="I354" s="32">
        <f t="shared" si="1"/>
      </c>
    </row>
    <row r="355" spans="1:9" x14ac:dyDescent="0.25">
      <c r="A355" s="29"/>
      <c r="B355" s="30"/>
      <c r="C355" s="38"/>
      <c r="D355" s="38"/>
      <c r="E355" s="54"/>
      <c r="F355" s="54"/>
      <c r="G355" s="54"/>
      <c r="H355" s="55">
        <f t="shared" si="0"/>
      </c>
      <c r="I355" s="32">
        <f t="shared" si="1"/>
      </c>
    </row>
    <row r="356" spans="1:9" x14ac:dyDescent="0.25">
      <c r="A356" s="29"/>
      <c r="B356" s="30"/>
      <c r="C356" s="38"/>
      <c r="D356" s="38"/>
      <c r="E356" s="54"/>
      <c r="F356" s="54"/>
      <c r="G356" s="54"/>
      <c r="H356" s="55">
        <f t="shared" si="0"/>
      </c>
      <c r="I356" s="32">
        <f t="shared" si="1"/>
      </c>
    </row>
    <row r="357" spans="1:9" x14ac:dyDescent="0.25">
      <c r="A357" s="29"/>
      <c r="B357" s="30"/>
      <c r="C357" s="38"/>
      <c r="D357" s="38"/>
      <c r="E357" s="54"/>
      <c r="F357" s="54"/>
      <c r="G357" s="54"/>
      <c r="H357" s="55">
        <f t="shared" si="0"/>
      </c>
      <c r="I357" s="32">
        <f t="shared" si="1"/>
      </c>
    </row>
    <row r="358" spans="1:9" x14ac:dyDescent="0.25">
      <c r="A358" s="29"/>
      <c r="B358" s="30"/>
      <c r="C358" s="38"/>
      <c r="D358" s="38"/>
      <c r="E358" s="54"/>
      <c r="F358" s="54"/>
      <c r="G358" s="54"/>
      <c r="H358" s="55">
        <f t="shared" si="0"/>
      </c>
      <c r="I358" s="32">
        <f t="shared" si="1"/>
      </c>
    </row>
    <row r="359" spans="1:9" x14ac:dyDescent="0.25">
      <c r="A359" s="29"/>
      <c r="B359" s="30"/>
      <c r="C359" s="38"/>
      <c r="D359" s="38"/>
      <c r="E359" s="54"/>
      <c r="F359" s="54"/>
      <c r="G359" s="54"/>
      <c r="H359" s="55">
        <f t="shared" si="0"/>
      </c>
      <c r="I359" s="32">
        <f t="shared" si="1"/>
      </c>
    </row>
    <row r="360" spans="1:9" x14ac:dyDescent="0.25">
      <c r="A360" s="29"/>
      <c r="B360" s="30"/>
      <c r="C360" s="38"/>
      <c r="D360" s="38"/>
      <c r="E360" s="54"/>
      <c r="F360" s="54"/>
      <c r="G360" s="54"/>
      <c r="H360" s="55">
        <f t="shared" si="0"/>
      </c>
      <c r="I360" s="32">
        <f t="shared" si="1"/>
      </c>
    </row>
    <row r="361" spans="1:9" x14ac:dyDescent="0.25">
      <c r="A361" s="29"/>
      <c r="B361" s="30"/>
      <c r="C361" s="38"/>
      <c r="D361" s="38"/>
      <c r="E361" s="54"/>
      <c r="F361" s="54"/>
      <c r="G361" s="54"/>
      <c r="H361" s="55">
        <f t="shared" si="0"/>
      </c>
      <c r="I361" s="32">
        <f t="shared" si="1"/>
      </c>
    </row>
    <row r="362" spans="1:9" x14ac:dyDescent="0.25">
      <c r="A362" s="29"/>
      <c r="B362" s="30"/>
      <c r="C362" s="38"/>
      <c r="D362" s="38"/>
      <c r="E362" s="54"/>
      <c r="F362" s="54"/>
      <c r="G362" s="54"/>
      <c r="H362" s="55">
        <f t="shared" si="0"/>
      </c>
      <c r="I362" s="32">
        <f t="shared" si="1"/>
      </c>
    </row>
    <row r="363" spans="1:9" x14ac:dyDescent="0.25">
      <c r="A363" s="29"/>
      <c r="B363" s="30"/>
      <c r="C363" s="38"/>
      <c r="D363" s="38"/>
      <c r="E363" s="54"/>
      <c r="F363" s="54"/>
      <c r="G363" s="54"/>
      <c r="H363" s="55">
        <f t="shared" si="0"/>
      </c>
      <c r="I363" s="32">
        <f t="shared" si="1"/>
      </c>
    </row>
    <row r="364" spans="1:9" x14ac:dyDescent="0.25">
      <c r="A364" s="29"/>
      <c r="B364" s="30"/>
      <c r="C364" s="38"/>
      <c r="D364" s="38"/>
      <c r="E364" s="54"/>
      <c r="F364" s="54"/>
      <c r="G364" s="54"/>
      <c r="H364" s="55">
        <f t="shared" si="0"/>
      </c>
      <c r="I364" s="32">
        <f t="shared" si="1"/>
      </c>
    </row>
    <row r="365" spans="1:9" x14ac:dyDescent="0.25">
      <c r="A365" s="29"/>
      <c r="B365" s="30"/>
      <c r="C365" s="38"/>
      <c r="D365" s="38"/>
      <c r="E365" s="54"/>
      <c r="F365" s="54"/>
      <c r="G365" s="54"/>
      <c r="H365" s="55">
        <f t="shared" si="0"/>
      </c>
      <c r="I365" s="32">
        <f t="shared" si="1"/>
      </c>
    </row>
    <row r="366" spans="1:9" x14ac:dyDescent="0.25">
      <c r="A366" s="29"/>
      <c r="B366" s="30"/>
      <c r="C366" s="38"/>
      <c r="D366" s="38"/>
      <c r="E366" s="54"/>
      <c r="F366" s="54"/>
      <c r="G366" s="54"/>
      <c r="H366" s="55">
        <f t="shared" si="0"/>
      </c>
      <c r="I366" s="32">
        <f t="shared" si="1"/>
      </c>
    </row>
    <row r="367" spans="1:9" x14ac:dyDescent="0.25">
      <c r="A367" s="29"/>
      <c r="B367" s="30"/>
      <c r="C367" s="38"/>
      <c r="D367" s="38"/>
      <c r="E367" s="54"/>
      <c r="F367" s="54"/>
      <c r="G367" s="54"/>
      <c r="H367" s="55">
        <f t="shared" si="0"/>
      </c>
      <c r="I367" s="32">
        <f t="shared" si="1"/>
      </c>
    </row>
    <row r="368" spans="1:9" x14ac:dyDescent="0.25">
      <c r="A368" s="29"/>
      <c r="B368" s="30"/>
      <c r="C368" s="38"/>
      <c r="D368" s="38"/>
      <c r="E368" s="54"/>
      <c r="F368" s="54"/>
      <c r="G368" s="54"/>
      <c r="H368" s="55">
        <f t="shared" si="0"/>
      </c>
      <c r="I368" s="32">
        <f t="shared" si="1"/>
      </c>
    </row>
    <row r="369" spans="1:9" x14ac:dyDescent="0.25">
      <c r="A369" s="29"/>
      <c r="B369" s="30"/>
      <c r="C369" s="38"/>
      <c r="D369" s="38"/>
      <c r="E369" s="54"/>
      <c r="F369" s="54"/>
      <c r="G369" s="54"/>
      <c r="H369" s="55">
        <f t="shared" si="0"/>
      </c>
      <c r="I369" s="32">
        <f t="shared" si="1"/>
      </c>
    </row>
    <row r="370" spans="1:9" x14ac:dyDescent="0.25">
      <c r="A370" s="29"/>
      <c r="B370" s="30"/>
      <c r="C370" s="38"/>
      <c r="D370" s="38"/>
      <c r="E370" s="54"/>
      <c r="F370" s="54"/>
      <c r="G370" s="54"/>
      <c r="H370" s="55">
        <f t="shared" si="0"/>
      </c>
      <c r="I370" s="32">
        <f t="shared" si="1"/>
      </c>
    </row>
    <row r="371" spans="1:9" x14ac:dyDescent="0.25">
      <c r="A371" s="29"/>
      <c r="B371" s="30"/>
      <c r="C371" s="38"/>
      <c r="D371" s="38"/>
      <c r="E371" s="54"/>
      <c r="F371" s="54"/>
      <c r="G371" s="54"/>
      <c r="H371" s="55">
        <f t="shared" si="0"/>
      </c>
      <c r="I371" s="32">
        <f t="shared" si="1"/>
      </c>
    </row>
    <row r="372" spans="1:9" x14ac:dyDescent="0.25">
      <c r="A372" s="29"/>
      <c r="B372" s="30"/>
      <c r="C372" s="38"/>
      <c r="D372" s="38"/>
      <c r="E372" s="54"/>
      <c r="F372" s="54"/>
      <c r="G372" s="54"/>
      <c r="H372" s="55">
        <f t="shared" si="0"/>
      </c>
      <c r="I372" s="32">
        <f t="shared" si="1"/>
      </c>
    </row>
    <row r="373" spans="1:9" x14ac:dyDescent="0.25">
      <c r="A373" s="29"/>
      <c r="B373" s="30"/>
      <c r="C373" s="38"/>
      <c r="D373" s="38"/>
      <c r="E373" s="54"/>
      <c r="F373" s="54"/>
      <c r="G373" s="54"/>
      <c r="H373" s="55">
        <f t="shared" si="0"/>
      </c>
      <c r="I373" s="32">
        <f t="shared" si="1"/>
      </c>
    </row>
    <row r="374" spans="1:9" x14ac:dyDescent="0.25">
      <c r="A374" s="29"/>
      <c r="B374" s="30"/>
      <c r="C374" s="38"/>
      <c r="D374" s="38"/>
      <c r="E374" s="54"/>
      <c r="F374" s="54"/>
      <c r="G374" s="54"/>
      <c r="H374" s="55">
        <f t="shared" si="0"/>
      </c>
      <c r="I374" s="32">
        <f t="shared" si="1"/>
      </c>
    </row>
    <row r="375" spans="1:9" x14ac:dyDescent="0.25">
      <c r="A375" s="29"/>
      <c r="B375" s="30"/>
      <c r="C375" s="38"/>
      <c r="D375" s="38"/>
      <c r="E375" s="54"/>
      <c r="F375" s="54"/>
      <c r="G375" s="54"/>
      <c r="H375" s="55">
        <f t="shared" si="0"/>
      </c>
      <c r="I375" s="32">
        <f t="shared" si="1"/>
      </c>
    </row>
    <row r="376" spans="1:9" x14ac:dyDescent="0.25">
      <c r="A376" s="29"/>
      <c r="B376" s="30"/>
      <c r="C376" s="38"/>
      <c r="D376" s="38"/>
      <c r="E376" s="54"/>
      <c r="F376" s="54"/>
      <c r="G376" s="54"/>
      <c r="H376" s="55">
        <f t="shared" si="0"/>
      </c>
      <c r="I376" s="32">
        <f t="shared" si="1"/>
      </c>
    </row>
    <row r="377" spans="1:9" x14ac:dyDescent="0.25">
      <c r="A377" s="29"/>
      <c r="B377" s="30"/>
      <c r="C377" s="38"/>
      <c r="D377" s="38"/>
      <c r="E377" s="54"/>
      <c r="F377" s="54"/>
      <c r="G377" s="54"/>
      <c r="H377" s="55">
        <f t="shared" si="0"/>
      </c>
      <c r="I377" s="32">
        <f t="shared" si="1"/>
      </c>
    </row>
    <row r="378" spans="1:9" x14ac:dyDescent="0.25">
      <c r="A378" s="29"/>
      <c r="B378" s="30"/>
      <c r="C378" s="38"/>
      <c r="D378" s="38"/>
      <c r="E378" s="54"/>
      <c r="F378" s="54"/>
      <c r="G378" s="54"/>
      <c r="H378" s="55">
        <f t="shared" si="0"/>
      </c>
      <c r="I378" s="32">
        <f t="shared" si="1"/>
      </c>
    </row>
    <row r="379" spans="1:9" x14ac:dyDescent="0.25">
      <c r="A379" s="29"/>
      <c r="B379" s="30"/>
      <c r="C379" s="38"/>
      <c r="D379" s="38"/>
      <c r="E379" s="54"/>
      <c r="F379" s="54"/>
      <c r="G379" s="54"/>
      <c r="H379" s="55">
        <f t="shared" si="0"/>
      </c>
      <c r="I379" s="32">
        <f t="shared" si="1"/>
      </c>
    </row>
    <row r="380" spans="1:9" x14ac:dyDescent="0.25">
      <c r="A380" s="29"/>
      <c r="B380" s="30"/>
      <c r="C380" s="38"/>
      <c r="D380" s="38"/>
      <c r="E380" s="54"/>
      <c r="F380" s="54"/>
      <c r="G380" s="54"/>
      <c r="H380" s="55">
        <f t="shared" si="0"/>
      </c>
      <c r="I380" s="32">
        <f t="shared" si="1"/>
      </c>
    </row>
    <row r="381" spans="1:9" x14ac:dyDescent="0.25">
      <c r="A381" s="29"/>
      <c r="B381" s="30"/>
      <c r="C381" s="38"/>
      <c r="D381" s="38"/>
      <c r="E381" s="54"/>
      <c r="F381" s="54"/>
      <c r="G381" s="54"/>
      <c r="H381" s="55">
        <f t="shared" si="0"/>
      </c>
      <c r="I381" s="32">
        <f t="shared" si="1"/>
      </c>
    </row>
    <row r="382" spans="1:9" x14ac:dyDescent="0.25">
      <c r="A382" s="29"/>
      <c r="B382" s="30"/>
      <c r="C382" s="38"/>
      <c r="D382" s="38"/>
      <c r="E382" s="54"/>
      <c r="F382" s="54"/>
      <c r="G382" s="54"/>
      <c r="H382" s="55">
        <f t="shared" si="0"/>
      </c>
      <c r="I382" s="32">
        <f t="shared" si="1"/>
      </c>
    </row>
    <row r="383" spans="1:9" x14ac:dyDescent="0.25">
      <c r="A383" s="29"/>
      <c r="B383" s="30"/>
      <c r="C383" s="38"/>
      <c r="D383" s="38"/>
      <c r="E383" s="54"/>
      <c r="F383" s="54"/>
      <c r="G383" s="54"/>
      <c r="H383" s="55">
        <f t="shared" si="0"/>
      </c>
      <c r="I383" s="32">
        <f t="shared" si="1"/>
      </c>
    </row>
    <row r="384" spans="1:9" x14ac:dyDescent="0.25">
      <c r="A384" s="29"/>
      <c r="B384" s="30"/>
      <c r="C384" s="38"/>
      <c r="D384" s="38"/>
      <c r="E384" s="54"/>
      <c r="F384" s="54"/>
      <c r="G384" s="54"/>
      <c r="H384" s="55">
        <f t="shared" si="0"/>
      </c>
      <c r="I384" s="32">
        <f t="shared" si="1"/>
      </c>
    </row>
    <row r="385" spans="1:9" x14ac:dyDescent="0.25">
      <c r="A385" s="29"/>
      <c r="B385" s="30"/>
      <c r="C385" s="38"/>
      <c r="D385" s="38"/>
      <c r="E385" s="54"/>
      <c r="F385" s="54"/>
      <c r="G385" s="54"/>
      <c r="H385" s="55">
        <f t="shared" si="0"/>
      </c>
      <c r="I385" s="32">
        <f t="shared" si="1"/>
      </c>
    </row>
    <row r="386" spans="1:9" x14ac:dyDescent="0.25">
      <c r="A386" s="29"/>
      <c r="B386" s="30"/>
      <c r="C386" s="38"/>
      <c r="D386" s="38"/>
      <c r="E386" s="54"/>
      <c r="F386" s="54"/>
      <c r="G386" s="54"/>
      <c r="H386" s="55">
        <f t="shared" si="0"/>
      </c>
      <c r="I386" s="32">
        <f t="shared" si="1"/>
      </c>
    </row>
    <row r="387" spans="1:9" x14ac:dyDescent="0.25">
      <c r="A387" s="29"/>
      <c r="B387" s="30"/>
      <c r="C387" s="38"/>
      <c r="D387" s="38"/>
      <c r="E387" s="54"/>
      <c r="F387" s="54"/>
      <c r="G387" s="54"/>
      <c r="H387" s="55">
        <f t="shared" si="0"/>
      </c>
      <c r="I387" s="32">
        <f t="shared" si="1"/>
      </c>
    </row>
    <row r="388" spans="1:9" x14ac:dyDescent="0.25">
      <c r="A388" s="29"/>
      <c r="B388" s="30"/>
      <c r="C388" s="38"/>
      <c r="D388" s="38"/>
      <c r="E388" s="54"/>
      <c r="F388" s="54"/>
      <c r="G388" s="54"/>
      <c r="H388" s="55">
        <f t="shared" si="0"/>
      </c>
      <c r="I388" s="32">
        <f t="shared" si="1"/>
      </c>
    </row>
    <row r="389" spans="1:9" x14ac:dyDescent="0.25">
      <c r="A389" s="29"/>
      <c r="B389" s="30"/>
      <c r="C389" s="38"/>
      <c r="D389" s="38"/>
      <c r="E389" s="54"/>
      <c r="F389" s="54"/>
      <c r="G389" s="54"/>
      <c r="H389" s="55">
        <f t="shared" si="0"/>
      </c>
      <c r="I389" s="32">
        <f t="shared" si="1"/>
      </c>
    </row>
    <row r="390" spans="1:9" x14ac:dyDescent="0.25">
      <c r="A390" s="29"/>
      <c r="B390" s="30"/>
      <c r="C390" s="38"/>
      <c r="D390" s="38"/>
      <c r="E390" s="54"/>
      <c r="F390" s="54"/>
      <c r="G390" s="54"/>
      <c r="H390" s="55">
        <f t="shared" si="0"/>
      </c>
      <c r="I390" s="32">
        <f t="shared" si="1"/>
      </c>
    </row>
    <row r="391" spans="1:9" x14ac:dyDescent="0.25">
      <c r="A391" s="29"/>
      <c r="B391" s="30"/>
      <c r="C391" s="38"/>
      <c r="D391" s="38"/>
      <c r="E391" s="54"/>
      <c r="F391" s="54"/>
      <c r="G391" s="54"/>
      <c r="H391" s="55">
        <f t="shared" si="0"/>
      </c>
      <c r="I391" s="32">
        <f t="shared" si="1"/>
      </c>
    </row>
    <row r="392" spans="1:9" x14ac:dyDescent="0.25">
      <c r="A392" s="29"/>
      <c r="B392" s="30"/>
      <c r="C392" s="38"/>
      <c r="D392" s="38"/>
      <c r="E392" s="54"/>
      <c r="F392" s="54"/>
      <c r="G392" s="54"/>
      <c r="H392" s="55">
        <f t="shared" si="0"/>
      </c>
      <c r="I392" s="32">
        <f t="shared" si="1"/>
      </c>
    </row>
    <row r="393" spans="1:9" x14ac:dyDescent="0.25">
      <c r="A393" s="29"/>
      <c r="B393" s="30"/>
      <c r="C393" s="38"/>
      <c r="D393" s="38"/>
      <c r="E393" s="54"/>
      <c r="F393" s="54"/>
      <c r="G393" s="54"/>
      <c r="H393" s="55">
        <f t="shared" si="0"/>
      </c>
      <c r="I393" s="32">
        <f t="shared" si="1"/>
      </c>
    </row>
    <row r="394" spans="1:9" x14ac:dyDescent="0.25">
      <c r="A394" s="29"/>
      <c r="B394" s="30"/>
      <c r="C394" s="38"/>
      <c r="D394" s="38"/>
      <c r="E394" s="54"/>
      <c r="F394" s="54"/>
      <c r="G394" s="54"/>
      <c r="H394" s="55">
        <f t="shared" si="0"/>
      </c>
      <c r="I394" s="32">
        <f t="shared" si="1"/>
      </c>
    </row>
    <row r="395" spans="1:9" x14ac:dyDescent="0.25">
      <c r="A395" s="29"/>
      <c r="B395" s="30"/>
      <c r="C395" s="38"/>
      <c r="D395" s="38"/>
      <c r="E395" s="54"/>
      <c r="F395" s="54"/>
      <c r="G395" s="54"/>
      <c r="H395" s="55">
        <f t="shared" si="0"/>
      </c>
      <c r="I395" s="32">
        <f t="shared" si="1"/>
      </c>
    </row>
    <row r="396" spans="1:9" x14ac:dyDescent="0.25">
      <c r="A396" s="29"/>
      <c r="B396" s="30"/>
      <c r="C396" s="38"/>
      <c r="D396" s="38"/>
      <c r="E396" s="54"/>
      <c r="F396" s="54"/>
      <c r="G396" s="54"/>
      <c r="H396" s="55">
        <f t="shared" si="0"/>
      </c>
      <c r="I396" s="32">
        <f t="shared" si="1"/>
      </c>
    </row>
    <row r="397" spans="1:9" x14ac:dyDescent="0.25">
      <c r="A397" s="29"/>
      <c r="B397" s="30"/>
      <c r="C397" s="38"/>
      <c r="D397" s="38"/>
      <c r="E397" s="54"/>
      <c r="F397" s="54"/>
      <c r="G397" s="54"/>
      <c r="H397" s="55">
        <f t="shared" si="0"/>
      </c>
      <c r="I397" s="32">
        <f t="shared" si="1"/>
      </c>
    </row>
    <row r="398" spans="1:9" x14ac:dyDescent="0.25">
      <c r="A398" s="29"/>
      <c r="B398" s="30"/>
      <c r="C398" s="38"/>
      <c r="D398" s="38"/>
      <c r="E398" s="54"/>
      <c r="F398" s="54"/>
      <c r="G398" s="54"/>
      <c r="H398" s="55">
        <f t="shared" si="0"/>
      </c>
      <c r="I398" s="32">
        <f t="shared" si="1"/>
      </c>
    </row>
    <row r="399" spans="1:9" x14ac:dyDescent="0.25">
      <c r="A399" s="29"/>
      <c r="B399" s="30"/>
      <c r="C399" s="38"/>
      <c r="D399" s="38"/>
      <c r="E399" s="54"/>
      <c r="F399" s="54"/>
      <c r="G399" s="54"/>
      <c r="H399" s="55">
        <f t="shared" si="0"/>
      </c>
      <c r="I399" s="32">
        <f t="shared" si="1"/>
      </c>
    </row>
    <row r="400" spans="1:9" x14ac:dyDescent="0.25">
      <c r="A400" s="29"/>
      <c r="B400" s="30"/>
      <c r="C400" s="38"/>
      <c r="D400" s="38"/>
      <c r="E400" s="54"/>
      <c r="F400" s="54"/>
      <c r="G400" s="54"/>
      <c r="H400" s="55">
        <f t="shared" si="0"/>
      </c>
      <c r="I400" s="32">
        <f t="shared" si="1"/>
      </c>
    </row>
    <row r="401" spans="1:9" x14ac:dyDescent="0.25">
      <c r="A401" s="29"/>
      <c r="B401" s="30"/>
      <c r="C401" s="38"/>
      <c r="D401" s="38"/>
      <c r="E401" s="54"/>
      <c r="F401" s="54"/>
      <c r="G401" s="54"/>
      <c r="H401" s="55">
        <f t="shared" si="0"/>
      </c>
      <c r="I401" s="32">
        <f t="shared" si="1"/>
      </c>
    </row>
    <row r="402" spans="1:9" x14ac:dyDescent="0.25">
      <c r="A402" s="29"/>
      <c r="B402" s="30"/>
      <c r="C402" s="38"/>
      <c r="D402" s="38"/>
      <c r="E402" s="54"/>
      <c r="F402" s="54"/>
      <c r="G402" s="54"/>
      <c r="H402" s="55">
        <f t="shared" si="0"/>
      </c>
      <c r="I402" s="32">
        <f t="shared" si="1"/>
      </c>
    </row>
    <row r="403" spans="1:9" x14ac:dyDescent="0.25">
      <c r="A403" s="29"/>
      <c r="B403" s="30"/>
      <c r="C403" s="38"/>
      <c r="D403" s="38"/>
      <c r="E403" s="54"/>
      <c r="F403" s="54"/>
      <c r="G403" s="54"/>
      <c r="H403" s="55">
        <f t="shared" si="0"/>
      </c>
      <c r="I403" s="32">
        <f t="shared" si="1"/>
      </c>
    </row>
    <row r="404" spans="1:9" x14ac:dyDescent="0.25">
      <c r="A404" s="29"/>
      <c r="B404" s="30"/>
      <c r="C404" s="38"/>
      <c r="D404" s="38"/>
      <c r="E404" s="54"/>
      <c r="F404" s="54"/>
      <c r="G404" s="54"/>
      <c r="H404" s="55">
        <f t="shared" si="0"/>
      </c>
      <c r="I404" s="32">
        <f t="shared" si="1"/>
      </c>
    </row>
    <row r="405" spans="1:9" x14ac:dyDescent="0.25">
      <c r="A405" s="29"/>
      <c r="B405" s="30"/>
      <c r="C405" s="38"/>
      <c r="D405" s="38"/>
      <c r="E405" s="54"/>
      <c r="F405" s="54"/>
      <c r="G405" s="54"/>
      <c r="H405" s="55">
        <f t="shared" si="0"/>
      </c>
      <c r="I405" s="32">
        <f t="shared" si="1"/>
      </c>
    </row>
    <row r="406" spans="1:9" x14ac:dyDescent="0.25">
      <c r="A406" s="29"/>
      <c r="B406" s="30"/>
      <c r="C406" s="38"/>
      <c r="D406" s="38"/>
      <c r="E406" s="54"/>
      <c r="F406" s="54"/>
      <c r="G406" s="54"/>
      <c r="H406" s="55">
        <f t="shared" si="0"/>
      </c>
      <c r="I406" s="32">
        <f t="shared" si="1"/>
      </c>
    </row>
    <row r="407" spans="1:9" x14ac:dyDescent="0.25">
      <c r="A407" s="29"/>
      <c r="B407" s="30"/>
      <c r="C407" s="38"/>
      <c r="D407" s="38"/>
      <c r="E407" s="54"/>
      <c r="F407" s="54"/>
      <c r="G407" s="54"/>
      <c r="H407" s="55">
        <f t="shared" si="0"/>
      </c>
      <c r="I407" s="32">
        <f t="shared" si="1"/>
      </c>
    </row>
    <row r="408" spans="1:9" x14ac:dyDescent="0.25">
      <c r="A408" s="29"/>
      <c r="B408" s="30"/>
      <c r="C408" s="38"/>
      <c r="D408" s="38"/>
      <c r="E408" s="54"/>
      <c r="F408" s="54"/>
      <c r="G408" s="54"/>
      <c r="H408" s="55">
        <f t="shared" si="0"/>
      </c>
      <c r="I408" s="32">
        <f t="shared" si="1"/>
      </c>
    </row>
    <row r="409" spans="1:9" x14ac:dyDescent="0.25">
      <c r="A409" s="29"/>
      <c r="B409" s="30"/>
      <c r="C409" s="38"/>
      <c r="D409" s="38"/>
      <c r="E409" s="54"/>
      <c r="F409" s="54"/>
      <c r="G409" s="54"/>
      <c r="H409" s="55">
        <f t="shared" si="0"/>
      </c>
      <c r="I409" s="32">
        <f t="shared" si="1"/>
      </c>
    </row>
    <row r="410" spans="1:9" x14ac:dyDescent="0.25">
      <c r="A410" s="29"/>
      <c r="B410" s="30"/>
      <c r="C410" s="38"/>
      <c r="D410" s="38"/>
      <c r="E410" s="54"/>
      <c r="F410" s="54"/>
      <c r="G410" s="54"/>
      <c r="H410" s="55">
        <f t="shared" si="0"/>
      </c>
      <c r="I410" s="32">
        <f t="shared" si="1"/>
      </c>
    </row>
    <row r="411" spans="1:9" x14ac:dyDescent="0.25">
      <c r="A411" s="29"/>
      <c r="B411" s="30"/>
      <c r="C411" s="38"/>
      <c r="D411" s="38"/>
      <c r="E411" s="54"/>
      <c r="F411" s="54"/>
      <c r="G411" s="54"/>
      <c r="H411" s="55">
        <f t="shared" si="0"/>
      </c>
      <c r="I411" s="32">
        <f t="shared" si="1"/>
      </c>
    </row>
    <row r="412" spans="1:9" x14ac:dyDescent="0.25">
      <c r="A412" s="29"/>
      <c r="B412" s="30"/>
      <c r="C412" s="38"/>
      <c r="D412" s="38"/>
      <c r="E412" s="54"/>
      <c r="F412" s="54"/>
      <c r="G412" s="54"/>
      <c r="H412" s="55">
        <f t="shared" si="0"/>
      </c>
      <c r="I412" s="32">
        <f t="shared" si="1"/>
      </c>
    </row>
    <row r="413" spans="1:9" x14ac:dyDescent="0.25">
      <c r="A413" s="29"/>
      <c r="B413" s="30"/>
      <c r="C413" s="38"/>
      <c r="D413" s="38"/>
      <c r="E413" s="54"/>
      <c r="F413" s="54"/>
      <c r="G413" s="54"/>
      <c r="H413" s="55">
        <f t="shared" si="0"/>
      </c>
      <c r="I413" s="32">
        <f t="shared" si="1"/>
      </c>
    </row>
    <row r="414" spans="1:9" x14ac:dyDescent="0.25">
      <c r="A414" s="29"/>
      <c r="B414" s="30"/>
      <c r="C414" s="38"/>
      <c r="D414" s="38"/>
      <c r="E414" s="54"/>
      <c r="F414" s="54"/>
      <c r="G414" s="54"/>
      <c r="H414" s="55">
        <f t="shared" si="0"/>
      </c>
      <c r="I414" s="32">
        <f t="shared" si="1"/>
      </c>
    </row>
    <row r="415" spans="1:9" x14ac:dyDescent="0.25">
      <c r="A415" s="29"/>
      <c r="B415" s="30"/>
      <c r="C415" s="38"/>
      <c r="D415" s="38"/>
      <c r="E415" s="54"/>
      <c r="F415" s="54"/>
      <c r="G415" s="54"/>
      <c r="H415" s="55">
        <f t="shared" si="0"/>
      </c>
      <c r="I415" s="32">
        <f t="shared" si="1"/>
      </c>
    </row>
    <row r="416" spans="1:9" x14ac:dyDescent="0.25">
      <c r="A416" s="29"/>
      <c r="B416" s="30"/>
      <c r="C416" s="38"/>
      <c r="D416" s="38"/>
      <c r="E416" s="54"/>
      <c r="F416" s="54"/>
      <c r="G416" s="54"/>
      <c r="H416" s="55">
        <f t="shared" si="0"/>
      </c>
      <c r="I416" s="32">
        <f t="shared" si="1"/>
      </c>
    </row>
    <row r="417" spans="1:9" x14ac:dyDescent="0.25">
      <c r="A417" s="29"/>
      <c r="B417" s="30"/>
      <c r="C417" s="38"/>
      <c r="D417" s="38"/>
      <c r="E417" s="54"/>
      <c r="F417" s="54"/>
      <c r="G417" s="54"/>
      <c r="H417" s="55">
        <f t="shared" si="0"/>
      </c>
      <c r="I417" s="32">
        <f t="shared" si="1"/>
      </c>
    </row>
    <row r="418" spans="1:9" x14ac:dyDescent="0.25">
      <c r="A418" s="29"/>
      <c r="B418" s="30"/>
      <c r="C418" s="38"/>
      <c r="D418" s="38"/>
      <c r="E418" s="54"/>
      <c r="F418" s="54"/>
      <c r="G418" s="54"/>
      <c r="H418" s="55">
        <f t="shared" si="0"/>
      </c>
      <c r="I418" s="32">
        <f t="shared" si="1"/>
      </c>
    </row>
    <row r="419" spans="1:9" x14ac:dyDescent="0.25">
      <c r="A419" s="29"/>
      <c r="B419" s="30"/>
      <c r="C419" s="38"/>
      <c r="D419" s="38"/>
      <c r="E419" s="54"/>
      <c r="F419" s="54"/>
      <c r="G419" s="54"/>
      <c r="H419" s="55">
        <f t="shared" si="0"/>
      </c>
      <c r="I419" s="32">
        <f t="shared" si="1"/>
      </c>
    </row>
    <row r="420" spans="1:9" x14ac:dyDescent="0.25">
      <c r="A420" s="29"/>
      <c r="B420" s="30"/>
      <c r="C420" s="38"/>
      <c r="D420" s="38"/>
      <c r="E420" s="54"/>
      <c r="F420" s="54"/>
      <c r="G420" s="54"/>
      <c r="H420" s="55">
        <f t="shared" si="0"/>
      </c>
      <c r="I420" s="32">
        <f t="shared" si="1"/>
      </c>
    </row>
    <row r="421" spans="1:9" x14ac:dyDescent="0.25">
      <c r="A421" s="29"/>
      <c r="B421" s="30"/>
      <c r="C421" s="38"/>
      <c r="D421" s="38"/>
      <c r="E421" s="54"/>
      <c r="F421" s="54"/>
      <c r="G421" s="54"/>
      <c r="H421" s="55">
        <f t="shared" si="0"/>
      </c>
      <c r="I421" s="32">
        <f t="shared" si="1"/>
      </c>
    </row>
    <row r="422" spans="1:9" x14ac:dyDescent="0.25">
      <c r="A422" s="29"/>
      <c r="B422" s="30"/>
      <c r="C422" s="38"/>
      <c r="D422" s="38"/>
      <c r="E422" s="54"/>
      <c r="F422" s="54"/>
      <c r="G422" s="54"/>
      <c r="H422" s="55">
        <f t="shared" si="0"/>
      </c>
      <c r="I422" s="32">
        <f t="shared" si="1"/>
      </c>
    </row>
    <row r="423" spans="1:9" x14ac:dyDescent="0.25">
      <c r="A423" s="29"/>
      <c r="B423" s="30"/>
      <c r="C423" s="38"/>
      <c r="D423" s="38"/>
      <c r="E423" s="54"/>
      <c r="F423" s="54"/>
      <c r="G423" s="54"/>
      <c r="H423" s="55">
        <f t="shared" si="0"/>
      </c>
      <c r="I423" s="32">
        <f t="shared" si="1"/>
      </c>
    </row>
    <row r="424" spans="1:9" x14ac:dyDescent="0.25">
      <c r="A424" s="29"/>
      <c r="B424" s="30"/>
      <c r="C424" s="38"/>
      <c r="D424" s="38"/>
      <c r="E424" s="54"/>
      <c r="F424" s="54"/>
      <c r="G424" s="54"/>
      <c r="H424" s="55">
        <f t="shared" si="0"/>
      </c>
      <c r="I424" s="32">
        <f t="shared" si="1"/>
      </c>
    </row>
    <row r="425" spans="1:9" x14ac:dyDescent="0.25">
      <c r="A425" s="29"/>
      <c r="B425" s="30"/>
      <c r="C425" s="38"/>
      <c r="D425" s="38"/>
      <c r="E425" s="54"/>
      <c r="F425" s="54"/>
      <c r="G425" s="54"/>
      <c r="H425" s="55">
        <f t="shared" si="0"/>
      </c>
      <c r="I425" s="32">
        <f t="shared" si="1"/>
      </c>
    </row>
    <row r="426" spans="1:9" x14ac:dyDescent="0.25">
      <c r="A426" s="29"/>
      <c r="B426" s="30"/>
      <c r="C426" s="38"/>
      <c r="D426" s="38"/>
      <c r="E426" s="54"/>
      <c r="F426" s="54"/>
      <c r="G426" s="54"/>
      <c r="H426" s="55">
        <f t="shared" si="0"/>
      </c>
      <c r="I426" s="32">
        <f t="shared" si="1"/>
      </c>
    </row>
    <row r="427" spans="1:9" x14ac:dyDescent="0.25">
      <c r="A427" s="29"/>
      <c r="B427" s="30"/>
      <c r="C427" s="38"/>
      <c r="D427" s="38"/>
      <c r="E427" s="54"/>
      <c r="F427" s="54"/>
      <c r="G427" s="54"/>
      <c r="H427" s="55">
        <f t="shared" si="0"/>
      </c>
      <c r="I427" s="32">
        <f t="shared" si="1"/>
      </c>
    </row>
    <row r="428" spans="1:9" x14ac:dyDescent="0.25">
      <c r="A428" s="29"/>
      <c r="B428" s="30"/>
      <c r="C428" s="38"/>
      <c r="D428" s="38"/>
      <c r="E428" s="54"/>
      <c r="F428" s="54"/>
      <c r="G428" s="54"/>
      <c r="H428" s="55">
        <f t="shared" si="0"/>
      </c>
      <c r="I428" s="32">
        <f t="shared" si="1"/>
      </c>
    </row>
    <row r="429" spans="1:9" x14ac:dyDescent="0.25">
      <c r="A429" s="29"/>
      <c r="B429" s="30"/>
      <c r="C429" s="38"/>
      <c r="D429" s="38"/>
      <c r="E429" s="54"/>
      <c r="F429" s="54"/>
      <c r="G429" s="54"/>
      <c r="H429" s="55">
        <f t="shared" si="0"/>
      </c>
      <c r="I429" s="32">
        <f t="shared" si="1"/>
      </c>
    </row>
    <row r="430" spans="1:9" x14ac:dyDescent="0.25">
      <c r="A430" s="29"/>
      <c r="B430" s="30"/>
      <c r="C430" s="38"/>
      <c r="D430" s="38"/>
      <c r="E430" s="54"/>
      <c r="F430" s="54"/>
      <c r="G430" s="54"/>
      <c r="H430" s="55">
        <f t="shared" si="0"/>
      </c>
      <c r="I430" s="32">
        <f t="shared" si="1"/>
      </c>
    </row>
    <row r="431" spans="1:9" x14ac:dyDescent="0.25">
      <c r="A431" s="29"/>
      <c r="B431" s="30"/>
      <c r="C431" s="38"/>
      <c r="D431" s="38"/>
      <c r="E431" s="54"/>
      <c r="F431" s="54"/>
      <c r="G431" s="54"/>
      <c r="H431" s="55">
        <f t="shared" si="0"/>
      </c>
      <c r="I431" s="32">
        <f t="shared" si="1"/>
      </c>
    </row>
    <row r="432" spans="1:9" x14ac:dyDescent="0.25">
      <c r="A432" s="29"/>
      <c r="B432" s="30"/>
      <c r="C432" s="38"/>
      <c r="D432" s="38"/>
      <c r="E432" s="54"/>
      <c r="F432" s="54"/>
      <c r="G432" s="54"/>
      <c r="H432" s="55">
        <f t="shared" si="0"/>
      </c>
      <c r="I432" s="32">
        <f t="shared" si="1"/>
      </c>
    </row>
    <row r="433" spans="1:9" x14ac:dyDescent="0.25">
      <c r="A433" s="29"/>
      <c r="B433" s="30"/>
      <c r="C433" s="38"/>
      <c r="D433" s="38"/>
      <c r="E433" s="54"/>
      <c r="F433" s="54"/>
      <c r="G433" s="54"/>
      <c r="H433" s="55">
        <f t="shared" si="0"/>
      </c>
      <c r="I433" s="32">
        <f t="shared" si="1"/>
      </c>
    </row>
    <row r="434" spans="1:9" x14ac:dyDescent="0.25">
      <c r="A434" s="29"/>
      <c r="B434" s="30"/>
      <c r="C434" s="38"/>
      <c r="D434" s="38"/>
      <c r="E434" s="54"/>
      <c r="F434" s="54"/>
      <c r="G434" s="54"/>
      <c r="H434" s="55">
        <f t="shared" si="0"/>
      </c>
      <c r="I434" s="32">
        <f t="shared" si="1"/>
      </c>
    </row>
    <row r="435" spans="1:9" x14ac:dyDescent="0.25">
      <c r="A435" s="29"/>
      <c r="B435" s="30"/>
      <c r="C435" s="38"/>
      <c r="D435" s="38"/>
      <c r="E435" s="54"/>
      <c r="F435" s="54"/>
      <c r="G435" s="54"/>
      <c r="H435" s="55">
        <f t="shared" si="0"/>
      </c>
      <c r="I435" s="32">
        <f t="shared" si="1"/>
      </c>
    </row>
    <row r="436" spans="1:9" x14ac:dyDescent="0.25">
      <c r="A436" s="29"/>
      <c r="B436" s="30"/>
      <c r="C436" s="38"/>
      <c r="D436" s="38"/>
      <c r="E436" s="54"/>
      <c r="F436" s="54"/>
      <c r="G436" s="54"/>
      <c r="H436" s="55">
        <f t="shared" si="0"/>
      </c>
      <c r="I436" s="32">
        <f t="shared" si="1"/>
      </c>
    </row>
    <row r="437" spans="1:9" x14ac:dyDescent="0.25">
      <c r="A437" s="29"/>
      <c r="B437" s="30"/>
      <c r="C437" s="38"/>
      <c r="D437" s="38"/>
      <c r="E437" s="54"/>
      <c r="F437" s="54"/>
      <c r="G437" s="54"/>
      <c r="H437" s="55">
        <f t="shared" si="0"/>
      </c>
      <c r="I437" s="32">
        <f t="shared" si="1"/>
      </c>
    </row>
    <row r="438" spans="1:9" x14ac:dyDescent="0.25">
      <c r="A438" s="29"/>
      <c r="B438" s="30"/>
      <c r="C438" s="38"/>
      <c r="D438" s="38"/>
      <c r="E438" s="54"/>
      <c r="F438" s="54"/>
      <c r="G438" s="54"/>
      <c r="H438" s="55">
        <f t="shared" si="0"/>
      </c>
      <c r="I438" s="32">
        <f t="shared" si="1"/>
      </c>
    </row>
    <row r="439" spans="1:9" x14ac:dyDescent="0.25">
      <c r="A439" s="29"/>
      <c r="B439" s="30"/>
      <c r="C439" s="38"/>
      <c r="D439" s="38"/>
      <c r="E439" s="54"/>
      <c r="F439" s="54"/>
      <c r="G439" s="54"/>
      <c r="H439" s="55">
        <f t="shared" si="0"/>
      </c>
      <c r="I439" s="32">
        <f t="shared" si="1"/>
      </c>
    </row>
    <row r="440" spans="1:9" x14ac:dyDescent="0.25">
      <c r="A440" s="29"/>
      <c r="B440" s="30"/>
      <c r="C440" s="38"/>
      <c r="D440" s="38"/>
      <c r="E440" s="54"/>
      <c r="F440" s="54"/>
      <c r="G440" s="54"/>
      <c r="H440" s="55">
        <f t="shared" si="0"/>
      </c>
      <c r="I440" s="32">
        <f t="shared" si="1"/>
      </c>
    </row>
    <row r="441" spans="1:9" x14ac:dyDescent="0.25">
      <c r="A441" s="29"/>
      <c r="B441" s="30"/>
      <c r="C441" s="38"/>
      <c r="D441" s="38"/>
      <c r="E441" s="54"/>
      <c r="F441" s="54"/>
      <c r="G441" s="54"/>
      <c r="H441" s="55">
        <f t="shared" si="0"/>
      </c>
      <c r="I441" s="32">
        <f t="shared" si="1"/>
      </c>
    </row>
    <row r="442" spans="1:9" x14ac:dyDescent="0.25">
      <c r="A442" s="29"/>
      <c r="B442" s="30"/>
      <c r="C442" s="38"/>
      <c r="D442" s="38"/>
      <c r="E442" s="54"/>
      <c r="F442" s="54"/>
      <c r="G442" s="54"/>
      <c r="H442" s="55">
        <f t="shared" si="0"/>
      </c>
      <c r="I442" s="32">
        <f t="shared" si="1"/>
      </c>
    </row>
    <row r="443" spans="1:9" x14ac:dyDescent="0.25">
      <c r="A443" s="29"/>
      <c r="B443" s="30"/>
      <c r="C443" s="38"/>
      <c r="D443" s="38"/>
      <c r="E443" s="54"/>
      <c r="F443" s="54"/>
      <c r="G443" s="54"/>
      <c r="H443" s="55">
        <f t="shared" si="0"/>
      </c>
      <c r="I443" s="32">
        <f t="shared" si="1"/>
      </c>
    </row>
    <row r="444" spans="1:9" x14ac:dyDescent="0.25">
      <c r="A444" s="29"/>
      <c r="B444" s="30"/>
      <c r="C444" s="38"/>
      <c r="D444" s="38"/>
      <c r="E444" s="54"/>
      <c r="F444" s="54"/>
      <c r="G444" s="54"/>
      <c r="H444" s="55">
        <f t="shared" si="0"/>
      </c>
      <c r="I444" s="32">
        <f t="shared" si="1"/>
      </c>
    </row>
    <row r="445" spans="1:9" x14ac:dyDescent="0.25">
      <c r="A445" s="29"/>
      <c r="B445" s="30"/>
      <c r="C445" s="38"/>
      <c r="D445" s="38"/>
      <c r="E445" s="54"/>
      <c r="F445" s="54"/>
      <c r="G445" s="54"/>
      <c r="H445" s="55">
        <f t="shared" si="0"/>
      </c>
      <c r="I445" s="32">
        <f t="shared" si="1"/>
      </c>
    </row>
    <row r="446" spans="1:9" x14ac:dyDescent="0.25">
      <c r="A446" s="29"/>
      <c r="B446" s="30"/>
      <c r="C446" s="38"/>
      <c r="D446" s="38"/>
      <c r="E446" s="54"/>
      <c r="F446" s="54"/>
      <c r="G446" s="54"/>
      <c r="H446" s="55">
        <f t="shared" si="0"/>
      </c>
      <c r="I446" s="32">
        <f t="shared" si="1"/>
      </c>
    </row>
    <row r="447" spans="1:9" x14ac:dyDescent="0.25">
      <c r="A447" s="29"/>
      <c r="B447" s="30"/>
      <c r="C447" s="38"/>
      <c r="D447" s="38"/>
      <c r="E447" s="54"/>
      <c r="F447" s="54"/>
      <c r="G447" s="54"/>
      <c r="H447" s="55">
        <f t="shared" si="0"/>
      </c>
      <c r="I447" s="32">
        <f t="shared" si="1"/>
      </c>
    </row>
    <row r="448" spans="1:9" x14ac:dyDescent="0.25">
      <c r="A448" s="29"/>
      <c r="B448" s="30"/>
      <c r="C448" s="38"/>
      <c r="D448" s="38"/>
      <c r="E448" s="54"/>
      <c r="F448" s="54"/>
      <c r="G448" s="54"/>
      <c r="H448" s="55">
        <f t="shared" si="0"/>
      </c>
      <c r="I448" s="32">
        <f t="shared" si="1"/>
      </c>
    </row>
    <row r="449" spans="1:9" x14ac:dyDescent="0.25">
      <c r="A449" s="29"/>
      <c r="B449" s="30"/>
      <c r="C449" s="38"/>
      <c r="D449" s="38"/>
      <c r="E449" s="54"/>
      <c r="F449" s="54"/>
      <c r="G449" s="54"/>
      <c r="H449" s="55">
        <f t="shared" si="0"/>
      </c>
      <c r="I449" s="32">
        <f t="shared" si="1"/>
      </c>
    </row>
    <row r="450" spans="1:9" x14ac:dyDescent="0.25">
      <c r="A450" s="29"/>
      <c r="B450" s="30"/>
      <c r="C450" s="38"/>
      <c r="D450" s="38"/>
      <c r="E450" s="54"/>
      <c r="F450" s="54"/>
      <c r="G450" s="54"/>
      <c r="H450" s="55">
        <f t="shared" si="0"/>
      </c>
      <c r="I450" s="32">
        <f t="shared" si="1"/>
      </c>
    </row>
    <row r="451" spans="1:9" x14ac:dyDescent="0.25">
      <c r="A451" s="29"/>
      <c r="B451" s="30"/>
      <c r="C451" s="38"/>
      <c r="D451" s="38"/>
      <c r="E451" s="54"/>
      <c r="F451" s="54"/>
      <c r="G451" s="54"/>
      <c r="H451" s="55">
        <f t="shared" si="0"/>
      </c>
      <c r="I451" s="32">
        <f t="shared" si="1"/>
      </c>
    </row>
    <row r="452" spans="1:9" x14ac:dyDescent="0.25">
      <c r="A452" s="29"/>
      <c r="B452" s="30"/>
      <c r="C452" s="38"/>
      <c r="D452" s="38"/>
      <c r="E452" s="54"/>
      <c r="F452" s="54"/>
      <c r="G452" s="54"/>
      <c r="H452" s="55">
        <f t="shared" si="0"/>
      </c>
      <c r="I452" s="32">
        <f t="shared" si="1"/>
      </c>
    </row>
    <row r="453" spans="1:9" x14ac:dyDescent="0.25">
      <c r="A453" s="29"/>
      <c r="B453" s="30"/>
      <c r="C453" s="38"/>
      <c r="D453" s="38"/>
      <c r="E453" s="54"/>
      <c r="F453" s="54"/>
      <c r="G453" s="54"/>
      <c r="H453" s="55">
        <f t="shared" si="0"/>
      </c>
      <c r="I453" s="32">
        <f t="shared" si="1"/>
      </c>
    </row>
    <row r="454" spans="1:9" x14ac:dyDescent="0.25">
      <c r="A454" s="29"/>
      <c r="B454" s="30"/>
      <c r="C454" s="38"/>
      <c r="D454" s="38"/>
      <c r="E454" s="54"/>
      <c r="F454" s="54"/>
      <c r="G454" s="54"/>
      <c r="H454" s="55">
        <f t="shared" si="0"/>
      </c>
      <c r="I454" s="32">
        <f t="shared" si="1"/>
      </c>
    </row>
    <row r="455" spans="1:9" x14ac:dyDescent="0.25">
      <c r="A455" s="29"/>
      <c r="B455" s="30"/>
      <c r="C455" s="38"/>
      <c r="D455" s="38"/>
      <c r="E455" s="54"/>
      <c r="F455" s="54"/>
      <c r="G455" s="54"/>
      <c r="H455" s="55">
        <f t="shared" si="0"/>
      </c>
      <c r="I455" s="32">
        <f t="shared" si="1"/>
      </c>
    </row>
    <row r="456" spans="1:9" x14ac:dyDescent="0.25">
      <c r="A456" s="29"/>
      <c r="B456" s="30"/>
      <c r="C456" s="38"/>
      <c r="D456" s="38"/>
      <c r="E456" s="54"/>
      <c r="F456" s="54"/>
      <c r="G456" s="54"/>
      <c r="H456" s="55">
        <f t="shared" si="0"/>
      </c>
      <c r="I456" s="32">
        <f t="shared" si="1"/>
      </c>
    </row>
    <row r="457" spans="1:9" x14ac:dyDescent="0.25">
      <c r="A457" s="29"/>
      <c r="B457" s="30"/>
      <c r="C457" s="38"/>
      <c r="D457" s="38"/>
      <c r="E457" s="54"/>
      <c r="F457" s="54"/>
      <c r="G457" s="54"/>
      <c r="H457" s="55">
        <f t="shared" si="0"/>
      </c>
      <c r="I457" s="32">
        <f t="shared" si="1"/>
      </c>
    </row>
    <row r="458" spans="1:9" x14ac:dyDescent="0.25">
      <c r="A458" s="29"/>
      <c r="B458" s="30"/>
      <c r="C458" s="38"/>
      <c r="D458" s="38"/>
      <c r="E458" s="54"/>
      <c r="F458" s="54"/>
      <c r="G458" s="54"/>
      <c r="H458" s="55">
        <f t="shared" si="0"/>
      </c>
      <c r="I458" s="32">
        <f t="shared" si="1"/>
      </c>
    </row>
    <row r="459" spans="1:9" x14ac:dyDescent="0.25">
      <c r="A459" s="29"/>
      <c r="B459" s="30"/>
      <c r="C459" s="38"/>
      <c r="D459" s="38"/>
      <c r="E459" s="54"/>
      <c r="F459" s="54"/>
      <c r="G459" s="54"/>
      <c r="H459" s="55">
        <f t="shared" si="0"/>
      </c>
      <c r="I459" s="32">
        <f t="shared" si="1"/>
      </c>
    </row>
    <row r="460" spans="1:9" x14ac:dyDescent="0.25">
      <c r="A460" s="29"/>
      <c r="B460" s="30"/>
      <c r="C460" s="38"/>
      <c r="D460" s="38"/>
      <c r="E460" s="54"/>
      <c r="F460" s="54"/>
      <c r="G460" s="54"/>
      <c r="H460" s="55">
        <f t="shared" si="0"/>
      </c>
      <c r="I460" s="32">
        <f t="shared" si="1"/>
      </c>
    </row>
    <row r="461" spans="1:9" x14ac:dyDescent="0.25">
      <c r="A461" s="29"/>
      <c r="B461" s="30"/>
      <c r="C461" s="38"/>
      <c r="D461" s="38"/>
      <c r="E461" s="54"/>
      <c r="F461" s="54"/>
      <c r="G461" s="54"/>
      <c r="H461" s="55">
        <f t="shared" si="0"/>
      </c>
      <c r="I461" s="32">
        <f t="shared" si="1"/>
      </c>
    </row>
    <row r="462" spans="1:9" x14ac:dyDescent="0.25">
      <c r="A462" s="29"/>
      <c r="B462" s="30"/>
      <c r="C462" s="38"/>
      <c r="D462" s="38"/>
      <c r="E462" s="54"/>
      <c r="F462" s="54"/>
      <c r="G462" s="54"/>
      <c r="H462" s="55">
        <f t="shared" si="0"/>
      </c>
      <c r="I462" s="32">
        <f t="shared" si="1"/>
      </c>
    </row>
    <row r="463" spans="1:9" x14ac:dyDescent="0.25">
      <c r="A463" s="29"/>
      <c r="B463" s="30"/>
      <c r="C463" s="38"/>
      <c r="D463" s="38"/>
      <c r="E463" s="54"/>
      <c r="F463" s="54"/>
      <c r="G463" s="54"/>
      <c r="H463" s="55">
        <f t="shared" si="0"/>
      </c>
      <c r="I463" s="32">
        <f t="shared" si="1"/>
      </c>
    </row>
    <row r="464" spans="1:9" x14ac:dyDescent="0.25">
      <c r="A464" s="29"/>
      <c r="B464" s="30"/>
      <c r="C464" s="38"/>
      <c r="D464" s="38"/>
      <c r="E464" s="54"/>
      <c r="F464" s="54"/>
      <c r="G464" s="54"/>
      <c r="H464" s="55">
        <f t="shared" si="0"/>
      </c>
      <c r="I464" s="32">
        <f t="shared" si="1"/>
      </c>
    </row>
    <row r="465" spans="1:9" x14ac:dyDescent="0.25">
      <c r="A465" s="29"/>
      <c r="B465" s="30"/>
      <c r="C465" s="38"/>
      <c r="D465" s="38"/>
      <c r="E465" s="54"/>
      <c r="F465" s="54"/>
      <c r="G465" s="54"/>
      <c r="H465" s="55">
        <f t="shared" si="0"/>
      </c>
      <c r="I465" s="32">
        <f t="shared" si="1"/>
      </c>
    </row>
    <row r="466" spans="1:9" x14ac:dyDescent="0.25">
      <c r="A466" s="29"/>
      <c r="B466" s="30"/>
      <c r="C466" s="38"/>
      <c r="D466" s="38"/>
      <c r="E466" s="54"/>
      <c r="F466" s="54"/>
      <c r="G466" s="54"/>
      <c r="H466" s="55">
        <f t="shared" si="0"/>
      </c>
      <c r="I466" s="32">
        <f t="shared" si="1"/>
      </c>
    </row>
    <row r="467" spans="1:9" x14ac:dyDescent="0.25">
      <c r="A467" s="29"/>
      <c r="B467" s="30"/>
      <c r="C467" s="38"/>
      <c r="D467" s="38"/>
      <c r="E467" s="54"/>
      <c r="F467" s="54"/>
      <c r="G467" s="54"/>
      <c r="H467" s="55">
        <f t="shared" si="0"/>
      </c>
      <c r="I467" s="32">
        <f t="shared" si="1"/>
      </c>
    </row>
    <row r="468" spans="1:9" x14ac:dyDescent="0.25">
      <c r="A468" s="29"/>
      <c r="B468" s="30"/>
      <c r="C468" s="38"/>
      <c r="D468" s="38"/>
      <c r="E468" s="54"/>
      <c r="F468" s="54"/>
      <c r="G468" s="54"/>
      <c r="H468" s="55">
        <f t="shared" si="0"/>
      </c>
      <c r="I468" s="32">
        <f t="shared" si="1"/>
      </c>
    </row>
    <row r="469" spans="1:9" x14ac:dyDescent="0.25">
      <c r="A469" s="29"/>
      <c r="B469" s="30"/>
      <c r="C469" s="38"/>
      <c r="D469" s="38"/>
      <c r="E469" s="54"/>
      <c r="F469" s="54"/>
      <c r="G469" s="54"/>
      <c r="H469" s="55">
        <f t="shared" si="0"/>
      </c>
      <c r="I469" s="32">
        <f t="shared" si="1"/>
      </c>
    </row>
    <row r="470" spans="1:9" x14ac:dyDescent="0.25">
      <c r="A470" s="29"/>
      <c r="B470" s="30"/>
      <c r="C470" s="38"/>
      <c r="D470" s="38"/>
      <c r="E470" s="54"/>
      <c r="F470" s="54"/>
      <c r="G470" s="54"/>
      <c r="H470" s="55">
        <f t="shared" si="0"/>
      </c>
      <c r="I470" s="32">
        <f t="shared" si="1"/>
      </c>
    </row>
    <row r="471" spans="1:9" x14ac:dyDescent="0.25">
      <c r="A471" s="29"/>
      <c r="B471" s="30"/>
      <c r="C471" s="38"/>
      <c r="D471" s="38"/>
      <c r="E471" s="54"/>
      <c r="F471" s="54"/>
      <c r="G471" s="54"/>
      <c r="H471" s="55">
        <f t="shared" si="0"/>
      </c>
      <c r="I471" s="32">
        <f t="shared" si="1"/>
      </c>
    </row>
    <row r="472" spans="1:9" x14ac:dyDescent="0.25">
      <c r="A472" s="29"/>
      <c r="B472" s="30"/>
      <c r="C472" s="38"/>
      <c r="D472" s="38"/>
      <c r="E472" s="54"/>
      <c r="F472" s="54"/>
      <c r="G472" s="54"/>
      <c r="H472" s="55">
        <f t="shared" si="0"/>
      </c>
      <c r="I472" s="32">
        <f t="shared" si="1"/>
      </c>
    </row>
    <row r="473" spans="1:9" x14ac:dyDescent="0.25">
      <c r="A473" s="29"/>
      <c r="B473" s="30"/>
      <c r="C473" s="38"/>
      <c r="D473" s="38"/>
      <c r="E473" s="54"/>
      <c r="F473" s="54"/>
      <c r="G473" s="54"/>
      <c r="H473" s="55">
        <f t="shared" si="0"/>
      </c>
      <c r="I473" s="32">
        <f t="shared" si="1"/>
      </c>
    </row>
    <row r="474" spans="1:9" x14ac:dyDescent="0.25">
      <c r="A474" s="29"/>
      <c r="B474" s="30"/>
      <c r="C474" s="38"/>
      <c r="D474" s="38"/>
      <c r="E474" s="54"/>
      <c r="F474" s="54"/>
      <c r="G474" s="54"/>
      <c r="H474" s="55">
        <f t="shared" si="0"/>
      </c>
      <c r="I474" s="32">
        <f t="shared" si="1"/>
      </c>
    </row>
    <row r="475" spans="1:9" x14ac:dyDescent="0.25">
      <c r="A475" s="29"/>
      <c r="B475" s="30"/>
      <c r="C475" s="38"/>
      <c r="D475" s="38"/>
      <c r="E475" s="54"/>
      <c r="F475" s="54"/>
      <c r="G475" s="54"/>
      <c r="H475" s="55">
        <f t="shared" si="0"/>
      </c>
      <c r="I475" s="32">
        <f t="shared" si="1"/>
      </c>
    </row>
    <row r="476" spans="1:9" x14ac:dyDescent="0.25">
      <c r="A476" s="29"/>
      <c r="B476" s="30"/>
      <c r="C476" s="38"/>
      <c r="D476" s="38"/>
      <c r="E476" s="54"/>
      <c r="F476" s="54"/>
      <c r="G476" s="54"/>
      <c r="H476" s="55">
        <f t="shared" si="0"/>
      </c>
      <c r="I476" s="32">
        <f t="shared" si="1"/>
      </c>
    </row>
    <row r="477" spans="1:9" x14ac:dyDescent="0.25">
      <c r="A477" s="29"/>
      <c r="B477" s="30"/>
      <c r="C477" s="38"/>
      <c r="D477" s="38"/>
      <c r="E477" s="54"/>
      <c r="F477" s="54"/>
      <c r="G477" s="54"/>
      <c r="H477" s="55">
        <f t="shared" si="0"/>
      </c>
      <c r="I477" s="32">
        <f t="shared" si="1"/>
      </c>
    </row>
    <row r="478" spans="1:9" x14ac:dyDescent="0.25">
      <c r="A478" s="29"/>
      <c r="B478" s="30"/>
      <c r="C478" s="38"/>
      <c r="D478" s="38"/>
      <c r="E478" s="54"/>
      <c r="F478" s="54"/>
      <c r="G478" s="54"/>
      <c r="H478" s="55">
        <f t="shared" si="0"/>
      </c>
      <c r="I478" s="32">
        <f t="shared" si="1"/>
      </c>
    </row>
    <row r="479" spans="1:9" x14ac:dyDescent="0.25">
      <c r="A479" s="29"/>
      <c r="B479" s="30"/>
      <c r="C479" s="38"/>
      <c r="D479" s="38"/>
      <c r="E479" s="54"/>
      <c r="F479" s="54"/>
      <c r="G479" s="54"/>
      <c r="H479" s="55">
        <f t="shared" si="0"/>
      </c>
      <c r="I479" s="32">
        <f t="shared" si="1"/>
      </c>
    </row>
    <row r="480" spans="1:9" x14ac:dyDescent="0.25">
      <c r="A480" s="29"/>
      <c r="B480" s="30"/>
      <c r="C480" s="38"/>
      <c r="D480" s="38"/>
      <c r="E480" s="54"/>
      <c r="F480" s="54"/>
      <c r="G480" s="54"/>
      <c r="H480" s="55">
        <f t="shared" si="0"/>
      </c>
      <c r="I480" s="32">
        <f t="shared" si="1"/>
      </c>
    </row>
    <row r="481" spans="1:9" x14ac:dyDescent="0.25">
      <c r="A481" s="29"/>
      <c r="B481" s="30"/>
      <c r="C481" s="38"/>
      <c r="D481" s="38"/>
      <c r="E481" s="54"/>
      <c r="F481" s="54"/>
      <c r="G481" s="54"/>
      <c r="H481" s="55">
        <f t="shared" si="0"/>
      </c>
      <c r="I481" s="32">
        <f t="shared" si="1"/>
      </c>
    </row>
    <row r="482" spans="1:9" x14ac:dyDescent="0.25">
      <c r="A482" s="29"/>
      <c r="B482" s="30"/>
      <c r="C482" s="38"/>
      <c r="D482" s="38"/>
      <c r="E482" s="54"/>
      <c r="F482" s="54"/>
      <c r="G482" s="54"/>
      <c r="H482" s="55">
        <f t="shared" si="0"/>
      </c>
      <c r="I482" s="32">
        <f t="shared" si="1"/>
      </c>
    </row>
    <row r="483" spans="1:9" x14ac:dyDescent="0.25">
      <c r="A483" s="29"/>
      <c r="B483" s="30"/>
      <c r="C483" s="38"/>
      <c r="D483" s="38"/>
      <c r="E483" s="54"/>
      <c r="F483" s="54"/>
      <c r="G483" s="54"/>
      <c r="H483" s="55">
        <f t="shared" si="0"/>
      </c>
      <c r="I483" s="32">
        <f t="shared" si="1"/>
      </c>
    </row>
    <row r="484" spans="1:9" x14ac:dyDescent="0.25">
      <c r="A484" s="29"/>
      <c r="B484" s="30"/>
      <c r="C484" s="38"/>
      <c r="D484" s="38"/>
      <c r="E484" s="54"/>
      <c r="F484" s="54"/>
      <c r="G484" s="54"/>
      <c r="H484" s="55">
        <f t="shared" si="0"/>
      </c>
      <c r="I484" s="32">
        <f t="shared" si="1"/>
      </c>
    </row>
    <row r="485" spans="1:9" x14ac:dyDescent="0.25">
      <c r="A485" s="29"/>
      <c r="B485" s="30"/>
      <c r="C485" s="38"/>
      <c r="D485" s="38"/>
      <c r="E485" s="54"/>
      <c r="F485" s="54"/>
      <c r="G485" s="54"/>
      <c r="H485" s="55">
        <f t="shared" si="0"/>
      </c>
      <c r="I485" s="32">
        <f t="shared" si="1"/>
      </c>
    </row>
    <row r="486" spans="1:9" x14ac:dyDescent="0.25">
      <c r="A486" s="29"/>
      <c r="B486" s="30"/>
      <c r="C486" s="38"/>
      <c r="D486" s="38"/>
      <c r="E486" s="54"/>
      <c r="F486" s="54"/>
      <c r="G486" s="54"/>
      <c r="H486" s="55">
        <f t="shared" si="0"/>
      </c>
      <c r="I486" s="32">
        <f t="shared" si="1"/>
      </c>
    </row>
    <row r="487" spans="1:9" x14ac:dyDescent="0.25">
      <c r="A487" s="29"/>
      <c r="B487" s="30"/>
      <c r="C487" s="38"/>
      <c r="D487" s="38"/>
      <c r="E487" s="54"/>
      <c r="F487" s="54"/>
      <c r="G487" s="54"/>
      <c r="H487" s="55">
        <f t="shared" si="0"/>
      </c>
      <c r="I487" s="32">
        <f t="shared" si="1"/>
      </c>
    </row>
    <row r="488" spans="1:9" x14ac:dyDescent="0.25">
      <c r="A488" s="29"/>
      <c r="B488" s="30"/>
      <c r="C488" s="38"/>
      <c r="D488" s="38"/>
      <c r="E488" s="54"/>
      <c r="F488" s="54"/>
      <c r="G488" s="54"/>
      <c r="H488" s="55">
        <f t="shared" si="0"/>
      </c>
      <c r="I488" s="32">
        <f t="shared" si="1"/>
      </c>
    </row>
    <row r="489" spans="1:9" x14ac:dyDescent="0.25">
      <c r="A489" s="29"/>
      <c r="B489" s="30"/>
      <c r="C489" s="38"/>
      <c r="D489" s="38"/>
      <c r="E489" s="54"/>
      <c r="F489" s="54"/>
      <c r="G489" s="54"/>
      <c r="H489" s="55">
        <f t="shared" si="0"/>
      </c>
      <c r="I489" s="32">
        <f t="shared" si="1"/>
      </c>
    </row>
    <row r="490" spans="1:9" x14ac:dyDescent="0.25">
      <c r="A490" s="29"/>
      <c r="B490" s="30"/>
      <c r="C490" s="38"/>
      <c r="D490" s="38"/>
      <c r="E490" s="54"/>
      <c r="F490" s="54"/>
      <c r="G490" s="54"/>
      <c r="H490" s="55">
        <f t="shared" si="0"/>
      </c>
      <c r="I490" s="32">
        <f t="shared" si="1"/>
      </c>
    </row>
    <row r="491" spans="1:9" x14ac:dyDescent="0.25">
      <c r="A491" s="29"/>
      <c r="B491" s="30"/>
      <c r="C491" s="38"/>
      <c r="D491" s="38"/>
      <c r="E491" s="54"/>
      <c r="F491" s="54"/>
      <c r="G491" s="54"/>
      <c r="H491" s="55">
        <f t="shared" si="0"/>
      </c>
      <c r="I491" s="32">
        <f t="shared" si="1"/>
      </c>
    </row>
    <row r="492" spans="1:9" x14ac:dyDescent="0.25">
      <c r="A492" s="29"/>
      <c r="B492" s="30"/>
      <c r="C492" s="38"/>
      <c r="D492" s="38"/>
      <c r="E492" s="54"/>
      <c r="F492" s="54"/>
      <c r="G492" s="54"/>
      <c r="H492" s="55">
        <f t="shared" si="0"/>
      </c>
      <c r="I492" s="32">
        <f t="shared" si="1"/>
      </c>
    </row>
    <row r="493" spans="1:9" x14ac:dyDescent="0.25">
      <c r="A493" s="29"/>
      <c r="B493" s="30"/>
      <c r="C493" s="38"/>
      <c r="D493" s="38"/>
      <c r="E493" s="54"/>
      <c r="F493" s="54"/>
      <c r="G493" s="54"/>
      <c r="H493" s="55">
        <f t="shared" si="0"/>
      </c>
      <c r="I493" s="32">
        <f t="shared" si="1"/>
      </c>
    </row>
    <row r="494" spans="1:9" x14ac:dyDescent="0.25">
      <c r="A494" s="29"/>
      <c r="B494" s="30"/>
      <c r="C494" s="38"/>
      <c r="D494" s="38"/>
      <c r="E494" s="54"/>
      <c r="F494" s="54"/>
      <c r="G494" s="54"/>
      <c r="H494" s="55">
        <f t="shared" si="0"/>
      </c>
      <c r="I494" s="32">
        <f t="shared" si="1"/>
      </c>
    </row>
    <row r="495" spans="1:9" x14ac:dyDescent="0.25">
      <c r="A495" s="29"/>
      <c r="B495" s="30"/>
      <c r="C495" s="38"/>
      <c r="D495" s="38"/>
      <c r="E495" s="54"/>
      <c r="F495" s="54"/>
      <c r="G495" s="54"/>
      <c r="H495" s="55">
        <f t="shared" si="0"/>
      </c>
      <c r="I495" s="32">
        <f t="shared" si="1"/>
      </c>
    </row>
    <row r="496" spans="1:9" x14ac:dyDescent="0.25">
      <c r="A496" s="29"/>
      <c r="B496" s="30"/>
      <c r="C496" s="38"/>
      <c r="D496" s="38"/>
      <c r="E496" s="54"/>
      <c r="F496" s="54"/>
      <c r="G496" s="54"/>
      <c r="H496" s="55">
        <f t="shared" si="0"/>
      </c>
      <c r="I496" s="32">
        <f t="shared" si="1"/>
      </c>
    </row>
    <row r="497" spans="1:9" x14ac:dyDescent="0.25">
      <c r="A497" s="29"/>
      <c r="B497" s="30"/>
      <c r="C497" s="38"/>
      <c r="D497" s="38"/>
      <c r="E497" s="54"/>
      <c r="F497" s="54"/>
      <c r="G497" s="54"/>
      <c r="H497" s="55">
        <f t="shared" si="0"/>
      </c>
      <c r="I497" s="32">
        <f t="shared" si="1"/>
      </c>
    </row>
    <row r="498" spans="1:9" x14ac:dyDescent="0.25">
      <c r="A498" s="29"/>
      <c r="B498" s="30"/>
      <c r="C498" s="38"/>
      <c r="D498" s="38"/>
      <c r="E498" s="54"/>
      <c r="F498" s="54"/>
      <c r="G498" s="54"/>
      <c r="H498" s="55">
        <f t="shared" si="0"/>
      </c>
      <c r="I498" s="32">
        <f t="shared" si="1"/>
      </c>
    </row>
    <row r="499" spans="1:9" x14ac:dyDescent="0.25">
      <c r="A499" s="29"/>
      <c r="B499" s="30"/>
      <c r="C499" s="38"/>
      <c r="D499" s="38"/>
      <c r="E499" s="54"/>
      <c r="F499" s="54"/>
      <c r="G499" s="54"/>
      <c r="H499" s="55">
        <f t="shared" si="0"/>
      </c>
      <c r="I499" s="32">
        <f t="shared" si="1"/>
      </c>
    </row>
    <row r="500" spans="1:9" x14ac:dyDescent="0.25">
      <c r="A500" s="29"/>
      <c r="B500" s="30"/>
      <c r="C500" s="38"/>
      <c r="D500" s="38"/>
      <c r="E500" s="54"/>
      <c r="F500" s="54"/>
      <c r="G500" s="54"/>
      <c r="H500" s="55">
        <f t="shared" si="0"/>
      </c>
      <c r="I500" s="32">
        <f t="shared" si="1"/>
      </c>
    </row>
    <row r="501" spans="1:9" x14ac:dyDescent="0.25">
      <c r="A501" s="29"/>
      <c r="B501" s="30"/>
      <c r="C501" s="38"/>
      <c r="D501" s="38"/>
      <c r="E501" s="54"/>
      <c r="F501" s="54"/>
      <c r="G501" s="54"/>
      <c r="H501" s="55">
        <f t="shared" si="0"/>
      </c>
      <c r="I501" s="32">
        <f t="shared" si="1"/>
      </c>
    </row>
    <row r="502" spans="1:9" x14ac:dyDescent="0.25">
      <c r="A502" s="29"/>
      <c r="B502" s="30"/>
      <c r="C502" s="38"/>
      <c r="D502" s="38"/>
      <c r="E502" s="54"/>
      <c r="F502" s="54"/>
      <c r="G502" s="54"/>
      <c r="H502" s="55">
        <f t="shared" si="0"/>
      </c>
      <c r="I502" s="32">
        <f t="shared" si="1"/>
      </c>
    </row>
    <row r="503" spans="1:9" x14ac:dyDescent="0.25">
      <c r="A503" s="29"/>
      <c r="B503" s="30"/>
      <c r="C503" s="38"/>
      <c r="D503" s="38"/>
      <c r="E503" s="54"/>
      <c r="F503" s="54"/>
      <c r="G503" s="54"/>
      <c r="H503" s="55">
        <f t="shared" si="0"/>
      </c>
      <c r="I503" s="32">
        <f t="shared" si="1"/>
      </c>
    </row>
  </sheetData>
  <sheetProtection sheet="1" formatColumns="0" formatRows="0" autoFilter="0"/>
  <autoFilter ref="A3:I503"/>
  <mergeCells count="2">
    <mergeCell ref="A1:B2"/>
    <mergeCell ref="C1:H2"/>
  </mergeCells>
  <conditionalFormatting sqref="I4:I503">
    <cfRule type="expression" dxfId="73" priority="1">
      <formula>OR(LEFT(I4,4)="ERRO",LEFT(I4,7)="ATENÇÃO")</formula>
    </cfRule>
    <cfRule type="expression" dxfId="74" priority="2">
      <formula>OR(LEFT(I4,8)="Pendente",LEFT(I4,9)="Verificar",LEFT(I4,9)="Duplicada",LEFT(I4,7)="Tarefa ",LEFT(I4,13)="Fora do plano",LEFT(I4,8)="Previsão",LEFT(I4,11)="Sem vínculo",LEFT(I4,14)="Não verificado",LEFT(I4,7)="Informe",LEFT(I4,9)="A definir")</formula>
    </cfRule>
    <cfRule type="expression" dxfId="75" priority="3">
      <formula>OR(I4="OK",LEFT(I4,4)="Nada",LEFT(I4,3)="OK:")</formula>
    </cfRule>
  </conditionalFormatting>
  <dataValidations count="7">
    <dataValidation type="list" allowBlank="1" showErrorMessage="1" errorStyle="stop" errorTitle="Valor fora da lista" error="Escolha um item da lista suspensa (aba Listas)." sqref="A4:A503">
      <formula1>OFFSET(at_codigo,0,0,MAX(1,COUNTA(at_codigo)),1)</formula1>
    </dataValidation>
    <dataValidation type="date" allowBlank="1" showErrorMessage="1" errorStyle="stop" errorTitle="Data inválida" error="Digite uma data válida no formato dd/mm/aaaa." sqref="B4:B503">
      <formula1>32874</formula1>
      <formula2>73050</formula2>
    </dataValidation>
    <dataValidation type="decimal" allowBlank="1" showErrorMessage="1" errorStyle="stop" errorTitle="Valor inválido" error="De 0 a 24 horas." sqref="C4:C503">
      <formula1>0</formula1>
      <formula2>24</formula2>
    </dataValidation>
    <dataValidation type="decimal" allowBlank="1" showErrorMessage="1" errorStyle="stop" errorTitle="Valor inválido" error="De 0 a 24 horas." sqref="D4:D503">
      <formula1>0</formula1>
      <formula2>24</formula2>
    </dataValidation>
    <dataValidation type="decimal" operator="greaterThanOrEqual" allowBlank="1" showErrorMessage="1" errorStyle="stop" errorTitle="Valor inválido" error="Informe um número maior ou igual a zero." sqref="E4:E503">
      <formula1>0</formula1>
    </dataValidation>
    <dataValidation type="decimal" operator="greaterThanOrEqual" allowBlank="1" showErrorMessage="1" errorStyle="stop" errorTitle="Valor inválido" error="Informe um número maior ou igual a zero." sqref="F4:F503">
      <formula1>0</formula1>
    </dataValidation>
    <dataValidation type="decimal" operator="greaterThanOrEqual" allowBlank="1" showErrorMessage="1" errorStyle="stop" errorTitle="Valor inválido" error="Informe um número maior ou igual a zero." sqref="G4:G503">
      <formula1>0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3" customWidth="1"/>
    <col min="4" max="4" width="16" customWidth="1"/>
    <col min="5" max="5" width="3" customWidth="1"/>
    <col min="6" max="6" width="16" customWidth="1"/>
    <col min="7" max="7" width="3" customWidth="1"/>
    <col min="8" max="8" width="18" customWidth="1"/>
    <col min="9" max="9" width="3" customWidth="1"/>
    <col min="10" max="10" width="16" customWidth="1"/>
    <col min="11" max="11" width="3" customWidth="1"/>
    <col min="12" max="12" width="18" customWidth="1"/>
    <col min="13" max="13" width="3" customWidth="1"/>
    <col min="14" max="14" width="14" customWidth="1"/>
    <col min="15" max="15" width="3" customWidth="1"/>
    <col min="16" max="16" width="16" customWidth="1"/>
    <col min="17" max="17" width="3" customWidth="1"/>
    <col min="18" max="18" width="16" customWidth="1"/>
    <col min="19" max="19" width="3" customWidth="1"/>
    <col min="20" max="20" width="18" customWidth="1"/>
    <col min="21" max="21" width="3" customWidth="1"/>
    <col min="22" max="22" width="18" customWidth="1"/>
    <col min="23" max="23" width="3" customWidth="1"/>
    <col min="24" max="24" width="10" customWidth="1"/>
    <col min="25" max="25" width="60" customWidth="1"/>
  </cols>
  <sheetData>
    <row r="1" ht="36" customHeight="1" spans="1:25" x14ac:dyDescent="0.25">
      <c r="A1" s="1"/>
      <c r="B1" s="1"/>
      <c r="C1" s="2" t="s">
        <v>222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25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4">
        <f>"Elaborado: "&amp;IF(cfg_elaborado="","A definir",cfg_elaborado)&amp;CHAR(10)&amp;"Aprovado: "&amp;IF(cfg_aprovado="","A definir",cfg_aprovado)</f>
      </c>
    </row>
    <row r="3" ht="30" customHeight="1" spans="1:25" x14ac:dyDescent="0.25">
      <c r="A3" s="8" t="s">
        <v>133</v>
      </c>
      <c r="B3" s="8" t="s">
        <v>223</v>
      </c>
      <c r="D3" s="8" t="s">
        <v>224</v>
      </c>
      <c r="F3" s="8" t="s">
        <v>225</v>
      </c>
      <c r="H3" s="8" t="s">
        <v>226</v>
      </c>
      <c r="J3" s="8" t="s">
        <v>227</v>
      </c>
      <c r="L3" s="8" t="s">
        <v>132</v>
      </c>
      <c r="N3" s="8" t="s">
        <v>228</v>
      </c>
      <c r="P3" s="8" t="s">
        <v>229</v>
      </c>
      <c r="R3" s="8" t="s">
        <v>203</v>
      </c>
      <c r="T3" s="8" t="s">
        <v>230</v>
      </c>
      <c r="V3" s="8" t="s">
        <v>231</v>
      </c>
      <c r="X3" s="8" t="s">
        <v>232</v>
      </c>
      <c r="Y3" s="8" t="s">
        <v>233</v>
      </c>
    </row>
    <row r="4" spans="1:25" x14ac:dyDescent="0.25">
      <c r="A4" s="28" t="s">
        <v>234</v>
      </c>
      <c r="B4" s="52">
        <v>1</v>
      </c>
      <c r="D4" s="28" t="s">
        <v>235</v>
      </c>
      <c r="F4" s="28"/>
      <c r="H4" s="56" t="s">
        <v>27</v>
      </c>
      <c r="J4" s="28" t="s">
        <v>87</v>
      </c>
      <c r="L4" s="28" t="s">
        <v>236</v>
      </c>
      <c r="N4" s="56" t="s">
        <v>237</v>
      </c>
      <c r="P4" s="56" t="s">
        <v>88</v>
      </c>
      <c r="R4" s="28" t="s">
        <v>238</v>
      </c>
      <c r="T4" s="28" t="s">
        <v>239</v>
      </c>
      <c r="V4" s="28" t="s">
        <v>240</v>
      </c>
      <c r="X4" s="56">
        <v>1</v>
      </c>
      <c r="Y4" s="57" t="s">
        <v>241</v>
      </c>
    </row>
    <row r="5" spans="1:25" x14ac:dyDescent="0.25">
      <c r="A5" s="28" t="s">
        <v>242</v>
      </c>
      <c r="B5" s="52">
        <v>2</v>
      </c>
      <c r="D5" s="28" t="s">
        <v>243</v>
      </c>
      <c r="F5" s="28"/>
      <c r="H5" s="56">
        <f>IF(INDEX(lst_setor,1)="","",INDEX(lst_setor,1))</f>
      </c>
      <c r="J5" s="28" t="s">
        <v>244</v>
      </c>
      <c r="L5" s="28" t="s">
        <v>245</v>
      </c>
      <c r="N5" s="56" t="s">
        <v>246</v>
      </c>
      <c r="P5" s="56" t="s">
        <v>90</v>
      </c>
      <c r="R5" s="28" t="s">
        <v>247</v>
      </c>
      <c r="T5" s="28" t="s">
        <v>248</v>
      </c>
      <c r="V5" s="28" t="s">
        <v>249</v>
      </c>
      <c r="X5" s="56">
        <v>3</v>
      </c>
      <c r="Y5" s="57" t="s">
        <v>250</v>
      </c>
    </row>
    <row r="6" spans="1:25" x14ac:dyDescent="0.25">
      <c r="A6" s="28" t="s">
        <v>251</v>
      </c>
      <c r="B6" s="52">
        <v>3</v>
      </c>
      <c r="D6" s="28" t="s">
        <v>252</v>
      </c>
      <c r="F6" s="28"/>
      <c r="H6" s="56">
        <f>IF(INDEX(lst_setor,2)="","",INDEX(lst_setor,2))</f>
      </c>
      <c r="J6" s="28" t="s">
        <v>253</v>
      </c>
      <c r="L6" s="28" t="s">
        <v>254</v>
      </c>
      <c r="N6" s="56" t="s">
        <v>255</v>
      </c>
      <c r="P6" s="56" t="s">
        <v>94</v>
      </c>
      <c r="R6" s="28" t="s">
        <v>256</v>
      </c>
      <c r="T6" s="28" t="s">
        <v>90</v>
      </c>
      <c r="V6" s="28" t="s">
        <v>257</v>
      </c>
      <c r="X6" s="56">
        <v>5</v>
      </c>
      <c r="Y6" s="57" t="s">
        <v>258</v>
      </c>
    </row>
    <row r="7" spans="1:25" x14ac:dyDescent="0.25">
      <c r="A7" s="28" t="s">
        <v>259</v>
      </c>
      <c r="B7" s="52">
        <v>6</v>
      </c>
      <c r="D7" s="28" t="s">
        <v>260</v>
      </c>
      <c r="F7" s="28"/>
      <c r="H7" s="56">
        <f>IF(INDEX(lst_setor,3)="","",INDEX(lst_setor,3))</f>
      </c>
      <c r="J7" s="28"/>
      <c r="L7" s="28" t="s">
        <v>261</v>
      </c>
      <c r="N7" s="56" t="s">
        <v>262</v>
      </c>
      <c r="P7" s="56" t="s">
        <v>96</v>
      </c>
      <c r="R7" s="28" t="s">
        <v>263</v>
      </c>
      <c r="T7" s="28" t="s">
        <v>264</v>
      </c>
      <c r="V7" s="28" t="s">
        <v>265</v>
      </c>
      <c r="X7" s="56">
        <v>7</v>
      </c>
      <c r="Y7" s="57" t="s">
        <v>266</v>
      </c>
    </row>
    <row r="8" spans="1:25" x14ac:dyDescent="0.25">
      <c r="A8" s="28" t="s">
        <v>267</v>
      </c>
      <c r="B8" s="52">
        <v>12</v>
      </c>
      <c r="D8" s="28" t="s">
        <v>268</v>
      </c>
      <c r="F8" s="28"/>
      <c r="H8" s="56">
        <f>IF(INDEX(lst_setor,4)="","",INDEX(lst_setor,4))</f>
      </c>
      <c r="J8" s="28"/>
      <c r="L8" s="28" t="s">
        <v>269</v>
      </c>
      <c r="N8" s="56"/>
      <c r="P8" s="56"/>
      <c r="R8" s="28"/>
      <c r="T8" s="28"/>
      <c r="V8" s="28"/>
      <c r="X8" s="56">
        <v>10</v>
      </c>
      <c r="Y8" s="57" t="s">
        <v>270</v>
      </c>
    </row>
    <row r="9" spans="1:25" x14ac:dyDescent="0.25">
      <c r="A9" s="28" t="s">
        <v>271</v>
      </c>
      <c r="B9" s="52">
        <v>24</v>
      </c>
      <c r="D9" s="28" t="s">
        <v>272</v>
      </c>
      <c r="F9" s="28"/>
      <c r="H9" s="56">
        <f>IF(INDEX(lst_setor,5)="","",INDEX(lst_setor,5))</f>
      </c>
      <c r="J9" s="28"/>
      <c r="L9" s="28" t="s">
        <v>273</v>
      </c>
      <c r="N9" s="56"/>
      <c r="P9" s="56"/>
      <c r="R9" s="28"/>
      <c r="T9" s="28"/>
      <c r="V9" s="28"/>
      <c r="X9" s="56"/>
      <c r="Y9" s="57"/>
    </row>
    <row r="10" spans="1:25" x14ac:dyDescent="0.25">
      <c r="A10" s="28" t="s">
        <v>274</v>
      </c>
      <c r="B10" s="52">
        <v>48</v>
      </c>
      <c r="D10" s="28"/>
      <c r="F10" s="28"/>
      <c r="H10" s="56">
        <f>IF(INDEX(lst_setor,6)="","",INDEX(lst_setor,6))</f>
      </c>
      <c r="J10" s="28"/>
      <c r="L10" s="28" t="s">
        <v>275</v>
      </c>
      <c r="N10" s="56"/>
      <c r="P10" s="56"/>
      <c r="R10" s="28"/>
      <c r="T10" s="28"/>
      <c r="V10" s="28"/>
      <c r="X10" s="56"/>
      <c r="Y10" s="57"/>
    </row>
    <row r="11" spans="1:25" x14ac:dyDescent="0.25">
      <c r="A11" s="28"/>
      <c r="B11" s="52"/>
      <c r="D11" s="28"/>
      <c r="F11" s="28"/>
      <c r="H11" s="56">
        <f>IF(INDEX(lst_setor,7)="","",INDEX(lst_setor,7))</f>
      </c>
      <c r="J11" s="28"/>
      <c r="L11" s="28"/>
      <c r="N11" s="56"/>
      <c r="P11" s="56"/>
      <c r="R11" s="28"/>
      <c r="T11" s="28"/>
      <c r="V11" s="28"/>
      <c r="X11" s="56"/>
      <c r="Y11" s="57"/>
    </row>
    <row r="12" spans="1:25" x14ac:dyDescent="0.25">
      <c r="A12" s="28"/>
      <c r="B12" s="52"/>
      <c r="D12" s="28"/>
      <c r="F12" s="28"/>
      <c r="H12" s="56">
        <f>IF(INDEX(lst_setor,8)="","",INDEX(lst_setor,8))</f>
      </c>
      <c r="J12" s="28"/>
      <c r="L12" s="28"/>
      <c r="N12" s="56"/>
      <c r="P12" s="56"/>
      <c r="R12" s="28"/>
      <c r="T12" s="28"/>
      <c r="V12" s="28"/>
      <c r="X12" s="56"/>
      <c r="Y12" s="57"/>
    </row>
    <row r="13" spans="1:25" x14ac:dyDescent="0.25">
      <c r="A13" s="28"/>
      <c r="B13" s="52"/>
      <c r="D13" s="28"/>
      <c r="F13" s="28"/>
      <c r="H13" s="56">
        <f>IF(INDEX(lst_setor,9)="","",INDEX(lst_setor,9))</f>
      </c>
      <c r="J13" s="28"/>
      <c r="L13" s="28"/>
      <c r="N13" s="56"/>
      <c r="P13" s="56"/>
      <c r="R13" s="28"/>
      <c r="T13" s="28"/>
      <c r="V13" s="28"/>
      <c r="X13" s="56"/>
      <c r="Y13" s="57"/>
    </row>
    <row r="14" spans="1:25" x14ac:dyDescent="0.25">
      <c r="A14" s="28"/>
      <c r="B14" s="52"/>
      <c r="D14" s="28"/>
      <c r="F14" s="28"/>
      <c r="H14" s="56">
        <f>IF(INDEX(lst_setor,10)="","",INDEX(lst_setor,10))</f>
      </c>
      <c r="J14" s="28"/>
      <c r="L14" s="28"/>
      <c r="N14" s="56"/>
      <c r="P14" s="56"/>
      <c r="R14" s="28"/>
      <c r="T14" s="28"/>
      <c r="V14" s="28"/>
      <c r="X14" s="56"/>
      <c r="Y14" s="57"/>
    </row>
    <row r="15" spans="1:25" x14ac:dyDescent="0.25">
      <c r="A15" s="28"/>
      <c r="B15" s="52"/>
      <c r="D15" s="28"/>
      <c r="F15" s="28"/>
      <c r="H15" s="56">
        <f>IF(INDEX(lst_setor,11)="","",INDEX(lst_setor,11))</f>
      </c>
      <c r="J15" s="28"/>
      <c r="L15" s="28"/>
      <c r="N15" s="56"/>
      <c r="P15" s="56"/>
      <c r="R15" s="28"/>
      <c r="T15" s="28"/>
      <c r="V15" s="28"/>
      <c r="X15" s="56"/>
      <c r="Y15" s="57"/>
    </row>
    <row r="16" spans="1:25" x14ac:dyDescent="0.25">
      <c r="A16" s="28"/>
      <c r="B16" s="52"/>
      <c r="D16" s="28"/>
      <c r="F16" s="28"/>
      <c r="H16" s="56">
        <f>IF(INDEX(lst_setor,12)="","",INDEX(lst_setor,12))</f>
      </c>
      <c r="J16" s="28"/>
      <c r="L16" s="28"/>
      <c r="N16" s="56"/>
      <c r="P16" s="56"/>
      <c r="R16" s="28"/>
      <c r="T16" s="28"/>
      <c r="V16" s="28"/>
      <c r="X16" s="56"/>
      <c r="Y16" s="57"/>
    </row>
    <row r="17" spans="1:25" x14ac:dyDescent="0.25">
      <c r="A17" s="28"/>
      <c r="B17" s="52"/>
      <c r="D17" s="28"/>
      <c r="F17" s="28"/>
      <c r="H17" s="56">
        <f>IF(INDEX(lst_setor,13)="","",INDEX(lst_setor,13))</f>
      </c>
      <c r="J17" s="28"/>
      <c r="L17" s="28"/>
      <c r="N17" s="56"/>
      <c r="P17" s="56"/>
      <c r="R17" s="28"/>
      <c r="T17" s="28"/>
      <c r="V17" s="28"/>
      <c r="X17" s="56"/>
      <c r="Y17" s="57"/>
    </row>
    <row r="18" spans="1:25" x14ac:dyDescent="0.25">
      <c r="A18" s="28"/>
      <c r="B18" s="52"/>
      <c r="D18" s="28"/>
      <c r="F18" s="28"/>
      <c r="H18" s="56">
        <f>IF(INDEX(lst_setor,14)="","",INDEX(lst_setor,14))</f>
      </c>
      <c r="J18" s="28"/>
      <c r="L18" s="28"/>
      <c r="N18" s="56"/>
      <c r="P18" s="56"/>
      <c r="R18" s="28"/>
      <c r="T18" s="28"/>
      <c r="V18" s="28"/>
      <c r="X18" s="56"/>
      <c r="Y18" s="57"/>
    </row>
    <row r="19" spans="1:25" x14ac:dyDescent="0.25">
      <c r="A19" s="28"/>
      <c r="B19" s="52"/>
      <c r="D19" s="28"/>
      <c r="F19" s="28"/>
      <c r="H19" s="56">
        <f>IF(INDEX(lst_setor,15)="","",INDEX(lst_setor,15))</f>
      </c>
      <c r="J19" s="28"/>
      <c r="L19" s="28"/>
      <c r="N19" s="56"/>
      <c r="P19" s="56"/>
      <c r="R19" s="28"/>
      <c r="T19" s="28"/>
      <c r="V19" s="28"/>
      <c r="X19" s="56"/>
      <c r="Y19" s="57"/>
    </row>
    <row r="20" spans="1:25" x14ac:dyDescent="0.25">
      <c r="A20" s="28"/>
      <c r="B20" s="52"/>
      <c r="D20" s="28"/>
      <c r="F20" s="28"/>
      <c r="H20" s="56">
        <f>IF(INDEX(lst_setor,16)="","",INDEX(lst_setor,16))</f>
      </c>
      <c r="J20" s="28"/>
      <c r="L20" s="28"/>
      <c r="N20" s="56"/>
      <c r="P20" s="56"/>
      <c r="R20" s="28"/>
      <c r="T20" s="28"/>
      <c r="V20" s="28"/>
      <c r="X20" s="56"/>
      <c r="Y20" s="57"/>
    </row>
    <row r="21" spans="1:25" x14ac:dyDescent="0.25">
      <c r="A21" s="28"/>
      <c r="B21" s="52"/>
      <c r="D21" s="28"/>
      <c r="F21" s="28"/>
      <c r="H21" s="56">
        <f>IF(INDEX(lst_setor,17)="","",INDEX(lst_setor,17))</f>
      </c>
      <c r="J21" s="28"/>
      <c r="L21" s="28"/>
      <c r="N21" s="56"/>
      <c r="P21" s="56"/>
      <c r="R21" s="28"/>
      <c r="T21" s="28"/>
      <c r="V21" s="28"/>
      <c r="X21" s="56"/>
      <c r="Y21" s="57"/>
    </row>
    <row r="22" spans="1:25" x14ac:dyDescent="0.25">
      <c r="A22" s="28"/>
      <c r="B22" s="52"/>
      <c r="D22" s="28"/>
      <c r="F22" s="28"/>
      <c r="H22" s="56">
        <f>IF(INDEX(lst_setor,18)="","",INDEX(lst_setor,18))</f>
      </c>
      <c r="J22" s="28"/>
      <c r="L22" s="28"/>
      <c r="N22" s="56"/>
      <c r="P22" s="56"/>
      <c r="R22" s="28"/>
      <c r="T22" s="28"/>
      <c r="V22" s="28"/>
      <c r="X22" s="56"/>
      <c r="Y22" s="57"/>
    </row>
    <row r="23" spans="1:25" x14ac:dyDescent="0.25">
      <c r="A23" s="28"/>
      <c r="B23" s="52"/>
      <c r="D23" s="28"/>
      <c r="F23" s="28"/>
      <c r="H23" s="56">
        <f>IF(INDEX(lst_setor,19)="","",INDEX(lst_setor,19))</f>
      </c>
      <c r="J23" s="28"/>
      <c r="L23" s="28"/>
      <c r="N23" s="56"/>
      <c r="P23" s="56"/>
      <c r="R23" s="28"/>
      <c r="T23" s="28"/>
      <c r="V23" s="28"/>
      <c r="X23" s="56"/>
      <c r="Y23" s="57"/>
    </row>
    <row r="24" spans="1:25" x14ac:dyDescent="0.25">
      <c r="A24" s="28"/>
      <c r="B24" s="52"/>
      <c r="D24" s="28"/>
      <c r="F24" s="28"/>
      <c r="H24" s="56">
        <f>IF(INDEX(lst_setor,20)="","",INDEX(lst_setor,20))</f>
      </c>
      <c r="J24" s="28"/>
      <c r="L24" s="28"/>
      <c r="N24" s="56"/>
      <c r="P24" s="56"/>
      <c r="R24" s="28"/>
      <c r="T24" s="28"/>
      <c r="V24" s="28"/>
      <c r="X24" s="56"/>
      <c r="Y24" s="57"/>
    </row>
    <row r="25" spans="1:25" x14ac:dyDescent="0.25">
      <c r="A25" s="28"/>
      <c r="B25" s="52"/>
      <c r="D25" s="28"/>
      <c r="F25" s="28"/>
      <c r="H25" s="56">
        <f>IF(INDEX(lst_setor,21)="","",INDEX(lst_setor,21))</f>
      </c>
      <c r="J25" s="28"/>
      <c r="L25" s="28"/>
      <c r="N25" s="56"/>
      <c r="P25" s="56"/>
      <c r="R25" s="28"/>
      <c r="T25" s="28"/>
      <c r="V25" s="28"/>
      <c r="X25" s="56"/>
      <c r="Y25" s="57"/>
    </row>
    <row r="26" spans="1:25" x14ac:dyDescent="0.25">
      <c r="A26" s="28"/>
      <c r="B26" s="52"/>
      <c r="D26" s="28"/>
      <c r="F26" s="28"/>
      <c r="H26" s="56">
        <f>IF(INDEX(lst_setor,22)="","",INDEX(lst_setor,22))</f>
      </c>
      <c r="J26" s="28"/>
      <c r="L26" s="28"/>
      <c r="N26" s="56"/>
      <c r="P26" s="56"/>
      <c r="R26" s="28"/>
      <c r="T26" s="28"/>
      <c r="V26" s="28"/>
      <c r="X26" s="56"/>
      <c r="Y26" s="57"/>
    </row>
    <row r="27" spans="1:25" x14ac:dyDescent="0.25">
      <c r="A27" s="28"/>
      <c r="B27" s="52"/>
      <c r="D27" s="28"/>
      <c r="F27" s="28"/>
      <c r="H27" s="56">
        <f>IF(INDEX(lst_setor,23)="","",INDEX(lst_setor,23))</f>
      </c>
      <c r="J27" s="28"/>
      <c r="L27" s="28"/>
      <c r="N27" s="56"/>
      <c r="P27" s="56"/>
      <c r="R27" s="28"/>
      <c r="T27" s="28"/>
      <c r="V27" s="28"/>
      <c r="X27" s="56"/>
      <c r="Y27" s="57"/>
    </row>
    <row r="28" spans="1:25" x14ac:dyDescent="0.25">
      <c r="A28" s="28"/>
      <c r="B28" s="52"/>
      <c r="D28" s="28"/>
      <c r="F28" s="28"/>
      <c r="H28" s="56">
        <f>IF(INDEX(lst_setor,24)="","",INDEX(lst_setor,24))</f>
      </c>
      <c r="J28" s="28"/>
      <c r="L28" s="28"/>
      <c r="N28" s="56"/>
      <c r="P28" s="56"/>
      <c r="R28" s="28"/>
      <c r="T28" s="28"/>
      <c r="V28" s="28"/>
      <c r="X28" s="56"/>
      <c r="Y28" s="57"/>
    </row>
    <row r="29" spans="1:25" x14ac:dyDescent="0.25">
      <c r="A29" s="28"/>
      <c r="B29" s="52"/>
      <c r="D29" s="28"/>
      <c r="F29" s="28"/>
      <c r="H29" s="56">
        <f>IF(INDEX(lst_setor,25)="","",INDEX(lst_setor,25))</f>
      </c>
      <c r="J29" s="28"/>
      <c r="L29" s="28"/>
      <c r="N29" s="56"/>
      <c r="P29" s="56"/>
      <c r="R29" s="28"/>
      <c r="T29" s="28"/>
      <c r="V29" s="28"/>
      <c r="X29" s="56"/>
      <c r="Y29" s="57"/>
    </row>
    <row r="30" spans="1:25" x14ac:dyDescent="0.25">
      <c r="A30" s="28"/>
      <c r="B30" s="52"/>
      <c r="D30" s="28"/>
      <c r="F30" s="28"/>
      <c r="H30" s="56">
        <f>IF(INDEX(lst_setor,26)="","",INDEX(lst_setor,26))</f>
      </c>
      <c r="J30" s="28"/>
      <c r="L30" s="28"/>
      <c r="N30" s="56"/>
      <c r="P30" s="56"/>
      <c r="R30" s="28"/>
      <c r="T30" s="28"/>
      <c r="V30" s="28"/>
      <c r="X30" s="56"/>
      <c r="Y30" s="57"/>
    </row>
    <row r="31" spans="1:25" x14ac:dyDescent="0.25">
      <c r="A31" s="28"/>
      <c r="B31" s="52"/>
      <c r="D31" s="28"/>
      <c r="F31" s="28"/>
      <c r="H31" s="56">
        <f>IF(INDEX(lst_setor,27)="","",INDEX(lst_setor,27))</f>
      </c>
      <c r="J31" s="28"/>
      <c r="L31" s="28"/>
      <c r="N31" s="56"/>
      <c r="P31" s="56"/>
      <c r="R31" s="28"/>
      <c r="T31" s="28"/>
      <c r="V31" s="28"/>
      <c r="X31" s="56"/>
      <c r="Y31" s="57"/>
    </row>
    <row r="32" spans="1:25" x14ac:dyDescent="0.25">
      <c r="A32" s="28"/>
      <c r="B32" s="52"/>
      <c r="D32" s="28"/>
      <c r="F32" s="28"/>
      <c r="H32" s="56">
        <f>IF(INDEX(lst_setor,28)="","",INDEX(lst_setor,28))</f>
      </c>
      <c r="J32" s="28"/>
      <c r="L32" s="28"/>
      <c r="N32" s="56"/>
      <c r="P32" s="56"/>
      <c r="R32" s="28"/>
      <c r="T32" s="28"/>
      <c r="V32" s="28"/>
      <c r="X32" s="56"/>
      <c r="Y32" s="57"/>
    </row>
    <row r="33" spans="1:25" x14ac:dyDescent="0.25">
      <c r="A33" s="28"/>
      <c r="B33" s="52"/>
      <c r="D33" s="28"/>
      <c r="F33" s="28"/>
      <c r="H33" s="56">
        <f>IF(INDEX(lst_setor,29)="","",INDEX(lst_setor,29))</f>
      </c>
      <c r="J33" s="28"/>
      <c r="L33" s="28"/>
      <c r="N33" s="56"/>
      <c r="P33" s="56"/>
      <c r="R33" s="28"/>
      <c r="T33" s="28"/>
      <c r="V33" s="28"/>
      <c r="X33" s="56"/>
      <c r="Y33" s="57"/>
    </row>
  </sheetData>
  <sheetProtection sheet="1" formatColumns="0" formatRows="0" autoFilter="0"/>
  <mergeCells count="2">
    <mergeCell ref="A1:B2"/>
    <mergeCell ref="C1:X2"/>
  </mergeCells>
  <conditionalFormatting sqref="A4:A33">
    <cfRule type="expression" dxfId="76" priority="1">
      <formula>AND(A4&lt;&gt;"",COUNTIF(A$4:A$33,A4)&gt;1)</formula>
    </cfRule>
  </conditionalFormatting>
  <conditionalFormatting sqref="D4:D33">
    <cfRule type="expression" dxfId="77" priority="1">
      <formula>AND(D4&lt;&gt;"",COUNTIF(D$4:D$33,D4)&gt;1)</formula>
    </cfRule>
  </conditionalFormatting>
  <conditionalFormatting sqref="F4:F33">
    <cfRule type="expression" dxfId="78" priority="1">
      <formula>AND(F4&lt;&gt;"",COUNTIF(F$4:F$33,F4)&gt;1)</formula>
    </cfRule>
  </conditionalFormatting>
  <conditionalFormatting sqref="H4:H33">
    <cfRule type="expression" dxfId="79" priority="1">
      <formula>AND(H4&lt;&gt;"",COUNTIF(H$4:H$33,H4)&gt;1)</formula>
    </cfRule>
  </conditionalFormatting>
  <conditionalFormatting sqref="J4:J33">
    <cfRule type="expression" dxfId="80" priority="1">
      <formula>AND(J4&lt;&gt;"",COUNTIF(J$4:J$33,J4)&gt;1)</formula>
    </cfRule>
  </conditionalFormatting>
  <conditionalFormatting sqref="L4:L33">
    <cfRule type="expression" dxfId="81" priority="1">
      <formula>AND(L4&lt;&gt;"",COUNTIF(L$4:L$33,L4)&gt;1)</formula>
    </cfRule>
  </conditionalFormatting>
  <conditionalFormatting sqref="N4:N33">
    <cfRule type="expression" dxfId="82" priority="1">
      <formula>AND(N4&lt;&gt;"",COUNTIF(N$4:N$33,N4)&gt;1)</formula>
    </cfRule>
  </conditionalFormatting>
  <conditionalFormatting sqref="P4:P33">
    <cfRule type="expression" dxfId="83" priority="1">
      <formula>AND(P4&lt;&gt;"",COUNTIF(P$4:P$33,P4)&gt;1)</formula>
    </cfRule>
  </conditionalFormatting>
  <conditionalFormatting sqref="R4:R33">
    <cfRule type="expression" dxfId="84" priority="1">
      <formula>AND(R4&lt;&gt;"",COUNTIF(R$4:R$33,R4)&gt;1)</formula>
    </cfRule>
  </conditionalFormatting>
  <conditionalFormatting sqref="T4:T33">
    <cfRule type="expression" dxfId="85" priority="1">
      <formula>AND(T4&lt;&gt;"",COUNTIF(T$4:T$33,T4)&gt;1)</formula>
    </cfRule>
  </conditionalFormatting>
  <conditionalFormatting sqref="V4:V33">
    <cfRule type="expression" dxfId="86" priority="1">
      <formula>AND(V4&lt;&gt;"",COUNTIF(V$4:V$33,V4)&gt;1)</formula>
    </cfRule>
  </conditionalFormatting>
  <conditionalFormatting sqref="X4:X33">
    <cfRule type="expression" dxfId="87" priority="1">
      <formula>AND(X4&lt;&gt;"",COUNTIF(X$4:X$33,X4)&gt;1)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276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8" t="s">
        <v>277</v>
      </c>
      <c r="B3" s="8" t="s">
        <v>213</v>
      </c>
      <c r="C3" s="8" t="s">
        <v>278</v>
      </c>
      <c r="D3" s="8" t="s">
        <v>279</v>
      </c>
      <c r="E3" s="8" t="s">
        <v>280</v>
      </c>
    </row>
    <row r="4" ht="26" customHeight="1" spans="1:5" x14ac:dyDescent="0.25">
      <c r="A4" s="58" t="s">
        <v>281</v>
      </c>
      <c r="B4" s="30">
        <v>46321</v>
      </c>
      <c r="C4" s="31" t="s">
        <v>282</v>
      </c>
      <c r="D4" s="28"/>
      <c r="E4" s="28"/>
    </row>
    <row r="5" spans="1:5" x14ac:dyDescent="0.25">
      <c r="A5" s="58"/>
      <c r="B5" s="30"/>
      <c r="C5" s="31"/>
      <c r="D5" s="28"/>
      <c r="E5" s="28"/>
    </row>
    <row r="6" spans="1:5" x14ac:dyDescent="0.25">
      <c r="A6" s="58"/>
      <c r="B6" s="30"/>
      <c r="C6" s="31"/>
      <c r="D6" s="28"/>
      <c r="E6" s="28"/>
    </row>
    <row r="7" spans="1:5" x14ac:dyDescent="0.25">
      <c r="A7" s="58"/>
      <c r="B7" s="30"/>
      <c r="C7" s="31"/>
      <c r="D7" s="28"/>
      <c r="E7" s="28"/>
    </row>
    <row r="8" spans="1:5" x14ac:dyDescent="0.25">
      <c r="A8" s="58"/>
      <c r="B8" s="30"/>
      <c r="C8" s="31"/>
      <c r="D8" s="28"/>
      <c r="E8" s="28"/>
    </row>
    <row r="9" spans="1:5" x14ac:dyDescent="0.25">
      <c r="A9" s="58"/>
      <c r="B9" s="30"/>
      <c r="C9" s="31"/>
      <c r="D9" s="28"/>
      <c r="E9" s="28"/>
    </row>
    <row r="10" spans="1:5" x14ac:dyDescent="0.25">
      <c r="A10" s="58"/>
      <c r="B10" s="30"/>
      <c r="C10" s="31"/>
      <c r="D10" s="28"/>
      <c r="E10" s="28"/>
    </row>
    <row r="11" spans="1:5" x14ac:dyDescent="0.25">
      <c r="A11" s="58"/>
      <c r="B11" s="30"/>
      <c r="C11" s="31"/>
      <c r="D11" s="28"/>
      <c r="E11" s="28"/>
    </row>
    <row r="12" spans="1:5" x14ac:dyDescent="0.25">
      <c r="A12" s="58"/>
      <c r="B12" s="30"/>
      <c r="C12" s="31"/>
      <c r="D12" s="28"/>
      <c r="E12" s="28"/>
    </row>
    <row r="13" spans="1:5" x14ac:dyDescent="0.25">
      <c r="A13" s="58"/>
      <c r="B13" s="30"/>
      <c r="C13" s="31"/>
      <c r="D13" s="28"/>
      <c r="E13" s="28"/>
    </row>
    <row r="14" spans="1:5" x14ac:dyDescent="0.25">
      <c r="A14" s="58"/>
      <c r="B14" s="30"/>
      <c r="C14" s="31"/>
      <c r="D14" s="28"/>
      <c r="E14" s="28"/>
    </row>
    <row r="15" spans="1:5" x14ac:dyDescent="0.25">
      <c r="A15" s="58"/>
      <c r="B15" s="30"/>
      <c r="C15" s="31"/>
      <c r="D15" s="28"/>
      <c r="E15" s="28"/>
    </row>
    <row r="16" spans="1:5" x14ac:dyDescent="0.25">
      <c r="A16" s="58"/>
      <c r="B16" s="30"/>
      <c r="C16" s="31"/>
      <c r="D16" s="28"/>
      <c r="E16" s="28"/>
    </row>
    <row r="17" spans="1:5" x14ac:dyDescent="0.25">
      <c r="A17" s="58"/>
      <c r="B17" s="30"/>
      <c r="C17" s="31"/>
      <c r="D17" s="28"/>
      <c r="E17" s="28"/>
    </row>
    <row r="18" spans="1:5" x14ac:dyDescent="0.25">
      <c r="A18" s="58"/>
      <c r="B18" s="30"/>
      <c r="C18" s="31"/>
      <c r="D18" s="28"/>
      <c r="E18" s="28"/>
    </row>
    <row r="19" spans="1:5" x14ac:dyDescent="0.25">
      <c r="A19" s="58"/>
      <c r="B19" s="30"/>
      <c r="C19" s="31"/>
      <c r="D19" s="28"/>
      <c r="E19" s="28"/>
    </row>
    <row r="20" spans="1:5" x14ac:dyDescent="0.25">
      <c r="A20" s="58"/>
      <c r="B20" s="30"/>
      <c r="C20" s="31"/>
      <c r="D20" s="28"/>
      <c r="E20" s="28"/>
    </row>
    <row r="21" spans="1:5" x14ac:dyDescent="0.25">
      <c r="A21" s="58"/>
      <c r="B21" s="30"/>
      <c r="C21" s="31"/>
      <c r="D21" s="28"/>
      <c r="E21" s="28"/>
    </row>
    <row r="22" spans="1:5" x14ac:dyDescent="0.25">
      <c r="A22" s="58"/>
      <c r="B22" s="30"/>
      <c r="C22" s="31"/>
      <c r="D22" s="28"/>
      <c r="E22" s="28"/>
    </row>
    <row r="23" spans="1:5" x14ac:dyDescent="0.25">
      <c r="A23" s="58"/>
      <c r="B23" s="30"/>
      <c r="C23" s="31"/>
      <c r="D23" s="28"/>
      <c r="E23" s="28"/>
    </row>
    <row r="24" spans="1:5" x14ac:dyDescent="0.25">
      <c r="A24" s="58"/>
      <c r="B24" s="30"/>
      <c r="C24" s="31"/>
      <c r="D24" s="28"/>
      <c r="E24" s="28"/>
    </row>
    <row r="25" spans="1:5" x14ac:dyDescent="0.25">
      <c r="A25" s="58"/>
      <c r="B25" s="30"/>
      <c r="C25" s="31"/>
      <c r="D25" s="28"/>
      <c r="E25" s="28"/>
    </row>
    <row r="26" spans="1:5" x14ac:dyDescent="0.25">
      <c r="A26" s="58"/>
      <c r="B26" s="30"/>
      <c r="C26" s="31"/>
      <c r="D26" s="28"/>
      <c r="E26" s="28"/>
    </row>
    <row r="27" spans="1:5" x14ac:dyDescent="0.25">
      <c r="A27" s="58"/>
      <c r="B27" s="30"/>
      <c r="C27" s="31"/>
      <c r="D27" s="28"/>
      <c r="E27" s="28"/>
    </row>
    <row r="28" spans="1:5" x14ac:dyDescent="0.25">
      <c r="A28" s="58"/>
      <c r="B28" s="30"/>
      <c r="C28" s="31"/>
      <c r="D28" s="28"/>
      <c r="E28" s="28"/>
    </row>
    <row r="29" spans="1:5" x14ac:dyDescent="0.25">
      <c r="A29" s="58"/>
      <c r="B29" s="30"/>
      <c r="C29" s="31"/>
      <c r="D29" s="28"/>
      <c r="E29" s="28"/>
    </row>
    <row r="30" spans="1:5" x14ac:dyDescent="0.25">
      <c r="A30" s="58"/>
      <c r="B30" s="30"/>
      <c r="C30" s="31"/>
      <c r="D30" s="28"/>
      <c r="E30" s="28"/>
    </row>
    <row r="31" spans="1:5" x14ac:dyDescent="0.25">
      <c r="A31" s="58"/>
      <c r="B31" s="30"/>
      <c r="C31" s="31"/>
      <c r="D31" s="28"/>
      <c r="E31" s="28"/>
    </row>
    <row r="32" spans="1:5" x14ac:dyDescent="0.25">
      <c r="A32" s="58"/>
      <c r="B32" s="30"/>
      <c r="C32" s="31"/>
      <c r="D32" s="28"/>
      <c r="E32" s="28"/>
    </row>
    <row r="33" spans="1:5" x14ac:dyDescent="0.25">
      <c r="A33" s="58"/>
      <c r="B33" s="30"/>
      <c r="C33" s="31"/>
      <c r="D33" s="28"/>
      <c r="E33" s="28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0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6" ht="8" customHeight="1" x14ac:dyDescent="0.25"/>
    <row r="7" ht="20" customHeight="1" spans="1:6" x14ac:dyDescent="0.25">
      <c r="A7" s="5" t="s">
        <v>1</v>
      </c>
      <c r="B7" s="5"/>
      <c r="C7" s="5"/>
      <c r="D7" s="5"/>
      <c r="E7" s="5"/>
      <c r="F7" s="5"/>
    </row>
    <row r="8" ht="28" customHeight="1" spans="1:6" x14ac:dyDescent="0.25">
      <c r="A8" s="6" t="s">
        <v>2</v>
      </c>
      <c r="B8" s="6"/>
      <c r="C8" s="6"/>
      <c r="D8" s="6"/>
      <c r="E8" s="6"/>
      <c r="F8" s="6"/>
    </row>
    <row r="9" ht="28" customHeight="1" spans="1:6" x14ac:dyDescent="0.25">
      <c r="A9" s="6" t="s">
        <v>3</v>
      </c>
      <c r="B9" s="6"/>
      <c r="C9" s="6"/>
      <c r="D9" s="6"/>
      <c r="E9" s="6"/>
      <c r="F9" s="6"/>
    </row>
    <row r="10" ht="28" customHeight="1" spans="1:6" x14ac:dyDescent="0.25">
      <c r="A10" s="6" t="s">
        <v>4</v>
      </c>
      <c r="B10" s="6"/>
      <c r="C10" s="6"/>
      <c r="D10" s="6"/>
      <c r="E10" s="6"/>
      <c r="F10" s="6"/>
    </row>
    <row r="11" ht="24" customHeight="1" spans="1:6" x14ac:dyDescent="0.25">
      <c r="A11" s="7" t="s">
        <v>5</v>
      </c>
      <c r="B11" s="7"/>
      <c r="C11" s="7"/>
      <c r="D11" s="7"/>
      <c r="E11" s="7"/>
      <c r="F11" s="7"/>
    </row>
    <row r="12" ht="8" customHeight="1" x14ac:dyDescent="0.25"/>
    <row r="13" ht="20" customHeight="1" spans="1:6" x14ac:dyDescent="0.25">
      <c r="A13" s="5" t="s">
        <v>6</v>
      </c>
      <c r="B13" s="5"/>
      <c r="C13" s="5"/>
      <c r="D13" s="5"/>
      <c r="E13" s="5"/>
      <c r="F13" s="5"/>
    </row>
    <row r="14" ht="22" customHeight="1" spans="1:6" x14ac:dyDescent="0.25">
      <c r="A14" s="8" t="s">
        <v>7</v>
      </c>
      <c r="B14" s="8"/>
      <c r="C14" s="8" t="s">
        <v>8</v>
      </c>
      <c r="D14" s="8"/>
      <c r="E14" s="8" t="s">
        <v>9</v>
      </c>
      <c r="F14" s="8"/>
    </row>
    <row r="15" ht="20" customHeight="1" spans="1:6" x14ac:dyDescent="0.25">
      <c r="A15" s="9" t="s">
        <v>10</v>
      </c>
      <c r="B15" s="9"/>
      <c r="C15" s="10"/>
      <c r="D15" s="10"/>
      <c r="E15" s="11" t="s">
        <v>11</v>
      </c>
      <c r="F15" s="11"/>
    </row>
    <row r="16" ht="20" customHeight="1" spans="1:6" x14ac:dyDescent="0.25">
      <c r="A16" s="9" t="s">
        <v>12</v>
      </c>
      <c r="B16" s="9"/>
      <c r="C16" s="10"/>
      <c r="D16" s="10"/>
      <c r="E16" s="11" t="s">
        <v>13</v>
      </c>
      <c r="F16" s="11"/>
    </row>
    <row r="17" ht="20" customHeight="1" spans="1:6" x14ac:dyDescent="0.25">
      <c r="A17" s="9" t="s">
        <v>14</v>
      </c>
      <c r="B17" s="9"/>
      <c r="C17" s="12">
        <f>IFERROR(LOOKUP(2,1/(rv_revisao&lt;&gt;""),rv_revisao)&amp;"","")</f>
      </c>
      <c r="D17" s="12"/>
      <c r="E17" s="11" t="s">
        <v>15</v>
      </c>
      <c r="F17" s="11"/>
    </row>
    <row r="18" ht="20" customHeight="1" spans="1:6" x14ac:dyDescent="0.25">
      <c r="A18" s="9" t="s">
        <v>16</v>
      </c>
      <c r="B18" s="9"/>
      <c r="C18" s="13">
        <f>IFERROR(1/(1/LOOKUP(2,1/(rv_revisao&lt;&gt;""),rv_data)),"")</f>
      </c>
      <c r="D18" s="13"/>
      <c r="E18" s="11" t="s">
        <v>17</v>
      </c>
      <c r="F18" s="11"/>
    </row>
    <row r="19" ht="20" customHeight="1" spans="1:6" x14ac:dyDescent="0.25">
      <c r="A19" s="9" t="s">
        <v>18</v>
      </c>
      <c r="B19" s="9"/>
      <c r="C19" s="10"/>
      <c r="D19" s="10"/>
      <c r="E19" s="11" t="s">
        <v>19</v>
      </c>
      <c r="F19" s="11"/>
    </row>
    <row r="20" ht="20" customHeight="1" spans="1:6" x14ac:dyDescent="0.25">
      <c r="A20" s="9" t="s">
        <v>20</v>
      </c>
      <c r="B20" s="9"/>
      <c r="C20" s="14"/>
      <c r="D20" s="14"/>
      <c r="E20" s="11" t="s">
        <v>21</v>
      </c>
      <c r="F20" s="11"/>
    </row>
    <row r="21" ht="20" customHeight="1" spans="1:6" x14ac:dyDescent="0.25">
      <c r="A21" s="9" t="s">
        <v>22</v>
      </c>
      <c r="B21" s="9"/>
      <c r="C21" s="15"/>
      <c r="D21" s="15"/>
      <c r="E21" s="11" t="s">
        <v>23</v>
      </c>
      <c r="F21" s="11"/>
    </row>
    <row r="22" ht="20" customHeight="1" spans="1:6" x14ac:dyDescent="0.25">
      <c r="A22" s="9" t="s">
        <v>24</v>
      </c>
      <c r="B22" s="9"/>
      <c r="C22" s="16">
        <f>IF(ISNUMBER(ano_crono),ano_crono,YEAR(TODAY()))</f>
      </c>
      <c r="D22" s="16"/>
      <c r="E22" s="11" t="s">
        <v>25</v>
      </c>
      <c r="F22" s="11"/>
    </row>
    <row r="23" ht="20" customHeight="1" spans="1:6" x14ac:dyDescent="0.25">
      <c r="A23" s="9" t="s">
        <v>26</v>
      </c>
      <c r="B23" s="9"/>
      <c r="C23" s="17" t="s">
        <v>27</v>
      </c>
      <c r="D23" s="17"/>
      <c r="E23" s="11" t="s">
        <v>28</v>
      </c>
      <c r="F23" s="11"/>
    </row>
    <row r="24" ht="8" customHeight="1" x14ac:dyDescent="0.25"/>
    <row r="25" ht="20" customHeight="1" spans="1:6" x14ac:dyDescent="0.25">
      <c r="A25" s="5" t="s">
        <v>29</v>
      </c>
      <c r="B25" s="5"/>
      <c r="C25" s="5"/>
      <c r="D25" s="5"/>
      <c r="E25" s="5"/>
      <c r="F25" s="5"/>
    </row>
    <row r="26" ht="22" customHeight="1" spans="1:6" x14ac:dyDescent="0.25">
      <c r="A26" s="8" t="s">
        <v>30</v>
      </c>
      <c r="B26" s="8" t="s">
        <v>31</v>
      </c>
      <c r="C26" s="8" t="s">
        <v>32</v>
      </c>
      <c r="D26" s="8" t="s">
        <v>33</v>
      </c>
      <c r="E26" s="8"/>
      <c r="F26" s="8"/>
    </row>
    <row r="27" ht="20" customHeight="1" spans="1:6" x14ac:dyDescent="0.25">
      <c r="A27" s="9" t="s">
        <v>34</v>
      </c>
      <c r="B27" s="18">
        <f>COUNTA(at_codigo)</f>
      </c>
      <c r="C27" s="18">
        <f>COUNTIF(at_conferencia,"ERRO*")+COUNTIF('Peças Críticas'!$I$4:$I$203,"ERRO*")</f>
      </c>
      <c r="D27" s="19">
        <f>"Peças: "&amp;COUNTA('Peças Críticas'!$A$4:$A$203)</f>
      </c>
      <c r="E27" s="19"/>
      <c r="F27" s="19"/>
    </row>
    <row r="28" ht="20" customHeight="1" spans="1:6" x14ac:dyDescent="0.25">
      <c r="A28" s="9" t="s">
        <v>35</v>
      </c>
      <c r="B28" s="18">
        <f>COUNTA(FMEA!$A$4:$A$303)+COUNTA(pl_codigo)</f>
      </c>
      <c r="C28" s="18">
        <f>COUNTIF(fm_conferencia,"ERRO*")+COUNTIF(pl_conferencia,"ERRO*")</f>
      </c>
      <c r="D28" s="19">
        <f>IF(COUNTIF(pl_situacao,"Vencido")&gt;0,"Verificar: há planos vencidos","OK")</f>
      </c>
      <c r="E28" s="19"/>
      <c r="F28" s="19"/>
    </row>
    <row r="29" ht="20" customHeight="1" spans="1:6" x14ac:dyDescent="0.25">
      <c r="A29" s="9" t="s">
        <v>36</v>
      </c>
      <c r="B29" s="18">
        <f>COUNTA(os_numero)</f>
      </c>
      <c r="C29" s="18">
        <f>COUNTIF(os_conferencia,"ERRO*")</f>
      </c>
      <c r="D29" s="19">
        <f>IF(COUNTA(Programação!$A$504:$A$2503)&gt;0,"ATENÇÃO: há OS além da linha 503","OK")</f>
      </c>
      <c r="E29" s="19"/>
      <c r="F29" s="19"/>
    </row>
    <row r="30" ht="20" customHeight="1" spans="1:6" x14ac:dyDescent="0.25">
      <c r="A30" s="9" t="s">
        <v>37</v>
      </c>
      <c r="B30" s="18">
        <f>COUNTA(rca_os)+COUNTA(eq_nome)</f>
      </c>
      <c r="C30" s="18">
        <f>COUNTIF(rca_conferencia,"ERRO*")+COUNTIF(eq_ferias_conf,"ERRO*")+COUNTIF(pr_conferencia,"ERRO*")</f>
      </c>
      <c r="D30" s="19">
        <f>IF(COUNTIF('Piores Falhas'!$G$4:$G$13,"Pendente*")&gt;0,"Pendente: piores falhas sem RCA","OK")</f>
      </c>
      <c r="E30" s="19"/>
      <c r="F30" s="19"/>
    </row>
    <row r="31" ht="8" customHeight="1" x14ac:dyDescent="0.25"/>
    <row r="32" ht="20" customHeight="1" spans="1:6" x14ac:dyDescent="0.25">
      <c r="A32" s="5" t="s">
        <v>38</v>
      </c>
      <c r="B32" s="5"/>
      <c r="C32" s="5"/>
      <c r="D32" s="5"/>
      <c r="E32" s="5"/>
      <c r="F32" s="5"/>
    </row>
    <row r="33" ht="20" customHeight="1" spans="1:6" x14ac:dyDescent="0.25">
      <c r="A33" s="20" t="s">
        <v>39</v>
      </c>
      <c r="B33" s="11" t="s">
        <v>40</v>
      </c>
      <c r="C33" s="11"/>
      <c r="D33" s="11"/>
      <c r="E33" s="11"/>
      <c r="F33" s="11"/>
    </row>
    <row r="34" ht="20" customHeight="1" spans="1:6" x14ac:dyDescent="0.25">
      <c r="A34" s="20" t="s">
        <v>41</v>
      </c>
      <c r="B34" s="11" t="s">
        <v>42</v>
      </c>
      <c r="C34" s="11"/>
      <c r="D34" s="11"/>
      <c r="E34" s="11"/>
      <c r="F34" s="11"/>
    </row>
    <row r="35" ht="20" customHeight="1" spans="1:6" x14ac:dyDescent="0.25">
      <c r="A35" s="20" t="s">
        <v>43</v>
      </c>
      <c r="B35" s="11" t="s">
        <v>44</v>
      </c>
      <c r="C35" s="11"/>
      <c r="D35" s="11"/>
      <c r="E35" s="11"/>
      <c r="F35" s="11"/>
    </row>
    <row r="36" ht="20" customHeight="1" spans="1:6" x14ac:dyDescent="0.25">
      <c r="A36" s="20" t="s">
        <v>45</v>
      </c>
      <c r="B36" s="11" t="s">
        <v>46</v>
      </c>
      <c r="C36" s="11"/>
      <c r="D36" s="11"/>
      <c r="E36" s="11"/>
      <c r="F36" s="11"/>
    </row>
    <row r="37" ht="20" customHeight="1" spans="1:6" x14ac:dyDescent="0.25">
      <c r="A37" s="20" t="s">
        <v>47</v>
      </c>
      <c r="B37" s="11" t="s">
        <v>48</v>
      </c>
      <c r="C37" s="11"/>
      <c r="D37" s="11"/>
      <c r="E37" s="11"/>
      <c r="F37" s="11"/>
    </row>
    <row r="38" ht="20" customHeight="1" spans="1:6" x14ac:dyDescent="0.25">
      <c r="A38" s="20" t="s">
        <v>49</v>
      </c>
      <c r="B38" s="11" t="s">
        <v>50</v>
      </c>
      <c r="C38" s="11"/>
      <c r="D38" s="11"/>
      <c r="E38" s="11"/>
      <c r="F38" s="11"/>
    </row>
    <row r="39" ht="20" customHeight="1" spans="1:6" x14ac:dyDescent="0.25">
      <c r="A39" s="20" t="s">
        <v>51</v>
      </c>
      <c r="B39" s="11" t="s">
        <v>52</v>
      </c>
      <c r="C39" s="11"/>
      <c r="D39" s="11"/>
      <c r="E39" s="11"/>
      <c r="F39" s="11"/>
    </row>
    <row r="40" ht="20" customHeight="1" spans="1:6" x14ac:dyDescent="0.25">
      <c r="A40" s="20" t="s">
        <v>53</v>
      </c>
      <c r="B40" s="11" t="s">
        <v>54</v>
      </c>
      <c r="C40" s="11"/>
      <c r="D40" s="11"/>
      <c r="E40" s="11"/>
      <c r="F40" s="11"/>
    </row>
    <row r="41" ht="20" customHeight="1" spans="1:6" x14ac:dyDescent="0.25">
      <c r="A41" s="20" t="s">
        <v>55</v>
      </c>
      <c r="B41" s="11" t="s">
        <v>56</v>
      </c>
      <c r="C41" s="11"/>
      <c r="D41" s="11"/>
      <c r="E41" s="11"/>
      <c r="F41" s="11"/>
    </row>
    <row r="42" ht="20" customHeight="1" spans="1:6" x14ac:dyDescent="0.25">
      <c r="A42" s="20" t="s">
        <v>57</v>
      </c>
      <c r="B42" s="11" t="s">
        <v>58</v>
      </c>
      <c r="C42" s="11"/>
      <c r="D42" s="11"/>
      <c r="E42" s="11"/>
      <c r="F42" s="11"/>
    </row>
    <row r="43" ht="20" customHeight="1" spans="1:6" x14ac:dyDescent="0.25">
      <c r="A43" s="20" t="s">
        <v>59</v>
      </c>
      <c r="B43" s="11" t="s">
        <v>60</v>
      </c>
      <c r="C43" s="11"/>
      <c r="D43" s="11"/>
      <c r="E43" s="11"/>
      <c r="F43" s="11"/>
    </row>
    <row r="44" ht="20" customHeight="1" spans="1:6" x14ac:dyDescent="0.25">
      <c r="A44" s="20" t="s">
        <v>61</v>
      </c>
      <c r="B44" s="11" t="s">
        <v>62</v>
      </c>
      <c r="C44" s="11"/>
      <c r="D44" s="11"/>
      <c r="E44" s="11"/>
      <c r="F44" s="11"/>
    </row>
    <row r="45" ht="20" customHeight="1" spans="1:6" x14ac:dyDescent="0.25">
      <c r="A45" s="20" t="s">
        <v>63</v>
      </c>
      <c r="B45" s="11" t="s">
        <v>64</v>
      </c>
      <c r="C45" s="11"/>
      <c r="D45" s="11"/>
      <c r="E45" s="11"/>
      <c r="F45" s="11"/>
    </row>
    <row r="46" ht="20" customHeight="1" spans="1:6" x14ac:dyDescent="0.25">
      <c r="A46" s="20" t="s">
        <v>65</v>
      </c>
      <c r="B46" s="11" t="s">
        <v>66</v>
      </c>
      <c r="C46" s="11"/>
      <c r="D46" s="11"/>
      <c r="E46" s="11"/>
      <c r="F46" s="11"/>
    </row>
    <row r="47" ht="20" customHeight="1" spans="1:6" x14ac:dyDescent="0.25">
      <c r="A47" s="20" t="s">
        <v>67</v>
      </c>
      <c r="B47" s="11" t="s">
        <v>68</v>
      </c>
      <c r="C47" s="11"/>
      <c r="D47" s="11"/>
      <c r="E47" s="11"/>
      <c r="F47" s="11"/>
    </row>
    <row r="48" ht="20" customHeight="1" spans="1:6" x14ac:dyDescent="0.25">
      <c r="A48" s="20" t="s">
        <v>69</v>
      </c>
      <c r="B48" s="11" t="s">
        <v>70</v>
      </c>
      <c r="C48" s="11"/>
      <c r="D48" s="11"/>
      <c r="E48" s="11"/>
      <c r="F48" s="11"/>
    </row>
    <row r="49" ht="8" customHeight="1" x14ac:dyDescent="0.25"/>
    <row r="50" ht="24" customHeight="1" spans="1:6" x14ac:dyDescent="0.25">
      <c r="A50" s="7" t="s">
        <v>71</v>
      </c>
      <c r="B50" s="7"/>
      <c r="C50" s="7"/>
      <c r="D50" s="7"/>
      <c r="E50" s="7"/>
      <c r="F50" s="7"/>
    </row>
  </sheetData>
  <sheetProtection sheet="1" formatColumns="0" formatRows="0" autoFilter="0"/>
  <mergeCells count="62">
    <mergeCell ref="A1:B2"/>
    <mergeCell ref="C1:E2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5:F25"/>
    <mergeCell ref="D26:F26"/>
    <mergeCell ref="D27:F27"/>
    <mergeCell ref="D28:F28"/>
    <mergeCell ref="D29:F29"/>
    <mergeCell ref="D30:F30"/>
    <mergeCell ref="A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A50:F50"/>
  </mergeCells>
  <conditionalFormatting sqref="C27:C30">
    <cfRule type="expression" dxfId="0" priority="1">
      <formula>N(C27)&gt;0</formula>
    </cfRule>
  </conditionalFormatting>
  <conditionalFormatting sqref="D27:D30">
    <cfRule type="expression" dxfId="1" priority="1">
      <formula>OR(LEFT(D27,4)="ERRO",LEFT(D27,7)="ATENÇÃO")</formula>
    </cfRule>
    <cfRule type="expression" dxfId="2" priority="2">
      <formula>OR(LEFT(D27,8)="Pendente",LEFT(D27,9)="Verificar",LEFT(D27,9)="Duplicada",LEFT(D27,7)="Tarefa ",LEFT(D27,13)="Fora do plano",LEFT(D27,8)="Previsão",LEFT(D27,11)="Sem vínculo",LEFT(D27,14)="Não verificado",LEFT(D27,7)="Informe",LEFT(D27,9)="A definir")</formula>
    </cfRule>
    <cfRule type="expression" dxfId="3" priority="3">
      <formula>OR(D27="OK",LEFT(D27,4)="Nada",LEFT(D27,3)="OK:")</formula>
    </cfRule>
  </conditionalFormatting>
  <dataValidations count="3">
    <dataValidation type="date" allowBlank="1" showErrorMessage="1" errorStyle="stop" errorTitle="Data inválida" error="Digite uma data válida no formato dd/mm/aaaa." sqref="C20">
      <formula1>32874</formula1>
      <formula2>73050</formula2>
    </dataValidation>
    <dataValidation type="whole" allowBlank="1" showErrorMessage="1" errorStyle="stop" errorTitle="Valor inválido" error="Informe um número inteiro de 2000 a 2100." sqref="C21">
      <formula1>2000</formula1>
      <formula2>2100</formula2>
    </dataValidation>
    <dataValidation type="list" allowBlank="1" showErrorMessage="1" errorStyle="stop" errorTitle="Valor fora da lista" error="Escolha Todos ou um setor cadastrado em Listas." sqref="C23">
      <formula1>OFFSET(lst_setor_filtro,0,0,MAX(1,COUNTIF(lst_setor_filtro,"?*")),1)</formula1>
    </dataValidation>
  </dataValidations>
  <hyperlinks>
    <hyperlink ref="A33" r:id="rId1" location="#'Painel'!A1"/>
    <hyperlink ref="A34" r:id="rId2" location="#'Ativos'!A1"/>
    <hyperlink ref="A35" r:id="rId3" location="#'Peças Críticas'!A1"/>
    <hyperlink ref="A36" r:id="rId4" location="#'FMEA'!A1"/>
    <hyperlink ref="A37" r:id="rId5" location="#'Planos'!A1"/>
    <hyperlink ref="A38" r:id="rId6" location="#'Cronograma Anual'!A1"/>
    <hyperlink ref="A39" r:id="rId7" location="#'Programação'!A1"/>
    <hyperlink ref="A40" r:id="rId8" location="#'Kanban'!A1"/>
    <hyperlink ref="A41" r:id="rId9" location="#'Calendário'!A1"/>
    <hyperlink ref="A42" r:id="rId10" location="#'KPIs por Ativo'!A1"/>
    <hyperlink ref="A43" r:id="rId11" location="#'Piores Falhas'!A1"/>
    <hyperlink ref="A44" r:id="rId12" location="#'RCA'!A1"/>
    <hyperlink ref="A45" r:id="rId13" location="#'Equipe'!A1"/>
    <hyperlink ref="A46" r:id="rId14" location="#'Apontamento de Produção'!A1"/>
    <hyperlink ref="A47" r:id="rId15" location="#'Listas'!A1"/>
    <hyperlink ref="A48" r:id="rId16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PCMD-K09&amp;R&amp;"Arial,Regular"&amp;7&amp;K4A5668Impresso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Instruções</vt:lpstr>
      <vt:lpstr>Painel</vt:lpstr>
      <vt:lpstr>Ativos</vt:lpstr>
      <vt:lpstr>Peças Críticas</vt:lpstr>
      <vt:lpstr>FMEA</vt:lpstr>
      <vt:lpstr>Planos</vt:lpstr>
      <vt:lpstr>Cronograma Anual</vt:lpstr>
      <vt:lpstr>Programação</vt:lpstr>
      <vt:lpstr>Kanban</vt:lpstr>
      <vt:lpstr>Calendário</vt:lpstr>
      <vt:lpstr>KPIs por Ativo</vt:lpstr>
      <vt:lpstr>Piores Falhas</vt:lpstr>
      <vt:lpstr>RCA</vt:lpstr>
      <vt:lpstr>Equipe</vt:lpstr>
      <vt:lpstr>Apontamento de Produção</vt:lpstr>
      <vt:lpstr>Listas</vt:lpstr>
      <vt:lpstr>Revisões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PCMD-K09 · CMMS completo</dc:title>
  <dc:subject>PCM Direto</dc:subject>
  <dc:description/>
  <cp:keywords>PCMD-K09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