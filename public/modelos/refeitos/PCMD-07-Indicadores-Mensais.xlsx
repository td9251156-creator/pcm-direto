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dicadores" state="visible" r:id="rId4"/>
    <sheet sheetId="2" name="Revisões" state="visible" r:id="rId5"/>
    <sheet sheetId="3" name="Config" state="visible" r:id="rId6"/>
  </sheets>
  <definedNames>
    <definedName name="in_mes">Indicadores!$A$4:$A$39</definedName>
    <definedName name="in_conferencia">Indicadores!$N$4:$N$39</definedName>
    <definedName name="rv_revisao">'Revisões'!$A$4:$A$33</definedName>
    <definedName name="rv_data">'Revisões'!$B$4:$B$33</definedName>
    <definedName name="cfg_elaborado">Config!$C$15</definedName>
    <definedName name="cfg_aprovado">Config!$C$16</definedName>
    <definedName name="cfg_revisao">Config!$C$17</definedName>
    <definedName name="cfg_data_revisao">Config!$C$18</definedName>
    <definedName name="pcmd_origem">Config!$C$19</definedName>
    <definedName name="pcmd_emissao">Config!$C$20</definedName>
    <definedName name="_xlnm.Print_Area" localSheetId="0">'Indicadores'!$A1:$N39</definedName>
    <definedName name="_xlnm.Print_Titles" localSheetId="0">'Indicadores'!$1:$3</definedName>
    <definedName name="_xlnm.Print_Area" localSheetId="1">'Revisões'!$A1:$E33</definedName>
    <definedName name="_xlnm.Print_Titles" localSheetId="1">'Revisões'!$1:$3</definedName>
    <definedName name="_xlnm.Print_Area" localSheetId="2">'Config'!$A1:$F26</definedName>
    <definedName name="_xlnm.Print_Titles" localSheetId="2">'Config'!$1:$3</definedName>
  </definedNames>
  <calcPr calcId="171027" fullCalcOnLoad="1"/>
</workbook>
</file>

<file path=xl/sharedStrings.xml><?xml version="1.0" encoding="utf-8"?>
<sst xmlns="http://schemas.openxmlformats.org/spreadsheetml/2006/main" count="55" uniqueCount="55">
  <si>
    <r>
      <rPr>
        <b/>
        <color rgb="FF0B2A5B"/>
        <sz val="16"/>
        <rFont val="Arial"/>
      </rPr>
      <t>Indicadores mensais de manutenção</t>
    </r>
    <r>
      <rPr>
        <color rgb="FF4A5668"/>
        <sz val="8.5"/>
        <rFont val="Arial"/>
      </rPr>
      <t xml:space="preserve">
Preencha os dados do mês; MTBF, MTTR, disponibilidade e aderência são calculados.</t>
    </r>
  </si>
  <si>
    <t>Mês (1º dia)</t>
  </si>
  <si>
    <t>Horas programadas</t>
  </si>
  <si>
    <t>Nº de falhas</t>
  </si>
  <si>
    <t>Parada corretiva (h)</t>
  </si>
  <si>
    <t>Preventivas planejadas</t>
  </si>
  <si>
    <t>Preventivas executadas</t>
  </si>
  <si>
    <t>Meta de disponib.</t>
  </si>
  <si>
    <t>MTBF (h)</t>
  </si>
  <si>
    <t>MTTR (h)</t>
  </si>
  <si>
    <t>Disponibilidade</t>
  </si>
  <si>
    <t>Aderência preventiva</t>
  </si>
  <si>
    <t>Resultado vs. meta</t>
  </si>
  <si>
    <t>Análise e ação</t>
  </si>
  <si>
    <t>Conferência</t>
  </si>
  <si>
    <r>
      <rPr>
        <b/>
        <color rgb="FF0B2A5B"/>
        <sz val="16"/>
        <rFont val="Arial"/>
      </rPr>
      <t>Histórico de revisões</t>
    </r>
    <r>
      <rPr>
        <color rgb="FF4A5668"/>
        <sz val="8.5"/>
        <rFont val="Arial"/>
      </rPr>
      <t xml:space="preserve">
Uma linha por revisão. A última linha preenchida aparece no cabeçalho de todas as abas.</t>
    </r>
  </si>
  <si>
    <t>Revisão</t>
  </si>
  <si>
    <t>Data</t>
  </si>
  <si>
    <t>Descrição da alteração</t>
  </si>
  <si>
    <t>Revisado por</t>
  </si>
  <si>
    <t>Aprovado por</t>
  </si>
  <si>
    <t>00</t>
  </si>
  <si>
    <t>Emissão no padrão PCM Direto (PCMD-Modelo-Padrão): layout, cores, fontes e conferências revisados.</t>
  </si>
  <si>
    <r>
      <rPr>
        <b/>
        <color rgb="FF0B2A5B"/>
        <sz val="16"/>
        <rFont val="Arial"/>
      </rPr>
      <t>Indicadores mensais</t>
    </r>
    <r>
      <rPr>
        <color rgb="FF4A5668"/>
        <sz val="8.5"/>
        <rFont val="Arial"/>
      </rPr>
      <t xml:space="preserve">
Como usar, parâmetros do documento e conferências gerais.</t>
    </r>
  </si>
  <si>
    <t>Abas deste arquivo</t>
  </si>
  <si>
    <t>→ Indicadores</t>
  </si>
  <si>
    <t>→ Revisões</t>
  </si>
  <si>
    <t>1. COMO USAR</t>
  </si>
  <si>
    <t>1) Informe o 1º dia do mês e as horas programadas (uma linha por mês, sem repetir).</t>
  </si>
  <si>
    <t>2) Lance falhas, horas de parada corretiva e preventivas planejadas e executadas. Campo vazio não é tratado como zero.</t>
  </si>
  <si>
    <t>3) Defina a meta de disponibilidade e registre a análise. Confirme a metodologia antes de usar os resultados.</t>
  </si>
  <si>
    <t>Azul-claro: preencher. Cinza: automático (fórmula protegida, não digite). ERRO em vermelho e Pendente em amarelo pedem ação; OK em verde.</t>
  </si>
  <si>
    <t>2. PARÂMETROS DO DOCUMENTO</t>
  </si>
  <si>
    <t>Parâmetro</t>
  </si>
  <si>
    <t>Valor</t>
  </si>
  <si>
    <t>Orientação</t>
  </si>
  <si>
    <t>Elaborado por</t>
  </si>
  <si>
    <t>Nome de quem preparou o documento.</t>
  </si>
  <si>
    <t>Aprovado por (só após aprovação)</t>
  </si>
  <si>
    <t>Preencha somente após a aprovação efetiva.</t>
  </si>
  <si>
    <t>Revisão atual (automática)</t>
  </si>
  <si>
    <t>Última linha preenchida em Revisões.</t>
  </si>
  <si>
    <t>Data da revisão (automática)</t>
  </si>
  <si>
    <t>Data da mesma linha da revisão atual.</t>
  </si>
  <si>
    <t>Origem dos dados</t>
  </si>
  <si>
    <t>Ex.: preenchimento manual, exportação do sistema.</t>
  </si>
  <si>
    <t>Data de emissão</t>
  </si>
  <si>
    <t>Data em que este arquivo foi emitido.</t>
  </si>
  <si>
    <t>3. CONFERÊNCIAS</t>
  </si>
  <si>
    <t>Aba / verificação</t>
  </si>
  <si>
    <t>Linhas preenchidas</t>
  </si>
  <si>
    <t>Linhas com ERRO</t>
  </si>
  <si>
    <t>Capacidade / resultado</t>
  </si>
  <si>
    <t>Indicadores</t>
  </si>
  <si>
    <t>PCMD-07 · Modelo 2.0.0 · PCM Direto · Thiago Oliveira Lima · pcmdireto@gmail.com · Licença MIT · Sem macros, vínculos externos ou envio de dados.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</si>
</sst>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/yyyy"/>
    <numFmt numFmtId="165" formatCode="0.0"/>
    <numFmt numFmtId="166" formatCode="0.0%"/>
    <numFmt numFmtId="167" formatCode="dd/mm/yyyy"/>
  </numFmts>
  <fonts count="11" x14ac:knownFonts="1">
    <font>
      <color theme="1"/>
      <family val="2"/>
      <scheme val="minor"/>
      <sz val="11"/>
      <name val="Calibri"/>
    </font>
    <font>
      <b/>
      <color rgb="FF0B2A5B"/>
      <sz val="16"/>
      <name val="Arial"/>
    </font>
    <font>
      <b/>
      <color rgb="FF0B2A5B"/>
      <sz val="10"/>
      <name val="Arial"/>
    </font>
    <font>
      <color rgb="FF4A5668"/>
      <sz val="8"/>
      <name val="Arial"/>
    </font>
    <font>
      <b/>
      <color rgb="FFFFFFFF"/>
      <sz val="9"/>
      <name val="Arial"/>
    </font>
    <font>
      <color rgb="FF0E1726"/>
      <sz val="9"/>
      <name val="Arial"/>
    </font>
    <font>
      <color rgb="FF4A5668"/>
      <sz val="9"/>
      <name val="Arial"/>
    </font>
    <font>
      <b/>
      <color rgb="FF0B2A5B"/>
      <sz val="9"/>
      <name val="Arial"/>
    </font>
    <font>
      <u/>
      <color rgb="FF0B2A5B"/>
      <sz val="9"/>
      <name val="Arial"/>
    </font>
    <font>
      <color rgb="FF4A5668"/>
      <sz val="8.5"/>
      <name val="Arial"/>
    </font>
    <font>
      <b/>
      <color rgb="FFFFFFFF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2A5B"/>
      </patternFill>
    </fill>
    <fill>
      <patternFill patternType="solid">
        <fgColor rgb="FFF4F6F9"/>
      </patternFill>
    </fill>
    <fill>
      <patternFill patternType="solid">
        <fgColor rgb="FFEEF2F8"/>
      </patternFill>
    </fill>
  </fills>
  <borders count="6">
    <border>
      <left/>
      <right/>
      <top/>
      <bottom/>
      <diagonal/>
    </border>
    <border>
      <left style="thin">
        <color rgb="FF0B2A5B"/>
      </left>
      <right/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/>
      <bottom style="medium">
        <color rgb="FFE2701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bottom" shrinkToFit="1"/>
    </xf>
    <xf numFmtId="0" fontId="3" fillId="0" borderId="3" xfId="0" applyFont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center" wrapText="1"/>
    </xf>
    <xf numFmtId="164" fontId="5" fillId="0" borderId="5" xfId="0" applyNumberFormat="1" applyFont="1" applyBorder="1" applyAlignment="1" applyProtection="1">
      <alignment horizontal="center" vertical="center"/>
      <protection locked="0"/>
    </xf>
    <xf numFmtId="165" fontId="5" fillId="0" borderId="5" xfId="0" applyNumberFormat="1" applyFont="1" applyBorder="1" applyAlignment="1" applyProtection="1">
      <alignment horizontal="center" vertical="center"/>
      <protection locked="0"/>
    </xf>
    <xf numFmtId="1" fontId="5" fillId="0" borderId="5" xfId="0" applyNumberFormat="1" applyFont="1" applyBorder="1" applyAlignment="1" applyProtection="1">
      <alignment horizontal="center" vertical="center"/>
      <protection locked="0"/>
    </xf>
    <xf numFmtId="166" fontId="5" fillId="0" borderId="5" xfId="0" applyNumberFormat="1" applyFont="1" applyBorder="1" applyAlignment="1" applyProtection="1">
      <alignment horizontal="center" vertical="center"/>
      <protection locked="0"/>
    </xf>
    <xf numFmtId="165" fontId="6" fillId="3" borderId="5" xfId="0" applyNumberFormat="1" applyFont="1" applyFill="1" applyBorder="1" applyAlignment="1" applyProtection="1">
      <alignment horizontal="center" vertical="center"/>
    </xf>
    <xf numFmtId="166" fontId="6" fillId="3" borderId="5" xfId="0" applyNumberFormat="1" applyFont="1" applyFill="1" applyBorder="1" applyAlignment="1" applyProtection="1">
      <alignment horizontal="center" vertical="center"/>
    </xf>
    <xf numFmtId="0" fontId="6" fillId="3" borderId="5" xfId="0" applyFont="1" applyFill="1" applyBorder="1" applyAlignment="1" applyProtection="1">
      <alignment horizontal="center" vertical="center"/>
    </xf>
    <xf numFmtId="0" fontId="5" fillId="0" borderId="5" xfId="0" applyFont="1" applyBorder="1" applyAlignment="1" applyProtection="1">
      <alignment horizontal="left" vertical="center" wrapText="1" indent="1"/>
      <protection locked="0"/>
    </xf>
    <xf numFmtId="0" fontId="6" fillId="3" borderId="5" xfId="0" applyFont="1" applyFill="1" applyBorder="1" applyAlignment="1" applyProtection="1">
      <alignment horizontal="left" vertical="center" indent="1"/>
    </xf>
    <xf numFmtId="49" fontId="5" fillId="0" borderId="5" xfId="0" applyNumberFormat="1" applyFont="1" applyBorder="1" applyAlignment="1" applyProtection="1">
      <alignment horizontal="center" vertical="center"/>
      <protection locked="0"/>
    </xf>
    <xf numFmtId="167" fontId="5" fillId="0" borderId="5" xfId="0" applyNumberFormat="1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left" vertical="center" indent="1"/>
      <protection locked="0"/>
    </xf>
    <xf numFmtId="0" fontId="7" fillId="3" borderId="5" xfId="0" applyFont="1" applyFill="1" applyBorder="1" applyAlignment="1">
      <alignment vertical="center" wrapText="1" indent="1"/>
    </xf>
    <xf numFmtId="0" fontId="8" fillId="0" borderId="5" xfId="0" applyFont="1" applyBorder="1" applyAlignment="1">
      <alignment vertical="center" wrapText="1" indent="1"/>
    </xf>
    <xf numFmtId="0" fontId="9" fillId="0" borderId="5" xfId="0" applyFont="1" applyBorder="1" applyAlignment="1">
      <alignment vertical="center" wrapText="1" indent="1"/>
    </xf>
    <xf numFmtId="0" fontId="10" fillId="2" borderId="4" xfId="0" applyFont="1" applyFill="1" applyBorder="1" applyAlignment="1">
      <alignment horizontal="left" vertical="center" indent="1"/>
    </xf>
    <xf numFmtId="0" fontId="5" fillId="0" borderId="0" xfId="0" applyFont="1" applyAlignment="1">
      <alignment vertical="center" wrapText="1" indent="1"/>
    </xf>
    <xf numFmtId="0" fontId="3" fillId="0" borderId="0" xfId="0" applyFont="1" applyAlignment="1">
      <alignment vertical="center" wrapText="1" indent="1"/>
    </xf>
    <xf numFmtId="0" fontId="5" fillId="3" borderId="5" xfId="0" applyFont="1" applyFill="1" applyBorder="1" applyAlignment="1">
      <alignment vertical="center" wrapText="1" indent="1"/>
    </xf>
    <xf numFmtId="49" fontId="7" fillId="4" borderId="5" xfId="0" applyNumberFormat="1" applyFont="1" applyFill="1" applyBorder="1" applyAlignment="1" applyProtection="1">
      <alignment horizontal="left" vertical="center" wrapText="1" indent="1"/>
      <protection locked="0"/>
    </xf>
    <xf numFmtId="49" fontId="6" fillId="3" borderId="5" xfId="0" applyNumberFormat="1" applyFont="1" applyFill="1" applyBorder="1" applyAlignment="1">
      <alignment horizontal="left" vertical="center" wrapText="1" indent="1"/>
    </xf>
    <xf numFmtId="167" fontId="6" fillId="3" borderId="5" xfId="0" applyNumberFormat="1" applyFont="1" applyFill="1" applyBorder="1" applyAlignment="1">
      <alignment horizontal="left" vertical="center" wrapText="1" indent="1"/>
    </xf>
    <xf numFmtId="167" fontId="7" fillId="4" borderId="5" xfId="0" applyNumberFormat="1" applyFont="1" applyFill="1" applyBorder="1" applyAlignment="1" applyProtection="1">
      <alignment horizontal="left" vertical="center" wrapText="1" indent="1"/>
      <protection locked="0"/>
    </xf>
    <xf numFmtId="0" fontId="6" fillId="3" borderId="5" xfId="0" applyFont="1" applyFill="1" applyBorder="1" applyAlignment="1">
      <alignment horizontal="center" vertical="center" wrapText="1" indent="1"/>
    </xf>
    <xf numFmtId="0" fontId="6" fillId="3" borderId="5" xfId="0" applyFont="1" applyFill="1" applyBorder="1" applyAlignment="1">
      <alignment vertical="center" wrapText="1" indent="1"/>
    </xf>
  </cellXfs>
  <cellStyles count="1">
    <cellStyle name="Normal" xfId="0" builtinId="0"/>
  </cellStyles>
  <dxfs count="10"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10786</xdr:colOff>
      <xdr:row>0</xdr:row>
      <xdr:rowOff>187500</xdr:rowOff>
    </xdr:from>
    <xdr:ext cx="1543050" cy="447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13592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92093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Indicadores&apos;!A1" TargetMode="External"/><Relationship Id="rId2" Type="http://schemas.openxmlformats.org/officeDocument/2006/relationships/hyperlink" Target="#&apos;Revis&#245;es&apos;!A1" TargetMode="External"/><Relationship Id="rId3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9"/>
  <sheetViews>
    <sheetView workbookViewId="0" showGridLines="0" zoomScale="100" zoomScaleNormal="100">
      <pane xSplit="1" ySplit="3" topLeftCell="B4" activePane="bottomRight" state="frozen"/>
      <selection pane="bottomRight" activeCell="B4" sqref="B4"/>
    </sheetView>
  </sheetViews>
  <sheetFormatPr defaultRowHeight="15" outlineLevelRow="0" outlineLevelCol="0" x14ac:dyDescent="55"/>
  <cols>
    <col min="1" max="2" width="12" customWidth="1"/>
    <col min="3" max="3" width="10" customWidth="1"/>
    <col min="4" max="6" width="12" customWidth="1"/>
    <col min="7" max="9" width="11" customWidth="1"/>
    <col min="10" max="11" width="13" customWidth="1"/>
    <col min="12" max="12" width="15" customWidth="1"/>
    <col min="13" max="13" width="34" customWidth="1"/>
    <col min="14" max="14" width="38" customWidth="1"/>
  </cols>
  <sheetData>
    <row r="1" ht="36" customHeight="1" spans="1:14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4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">
        <f>"Elaborado: "&amp;IF(cfg_elaborado="","A definir",cfg_elaborado)&amp;CHAR(10)&amp;"Aprovado: "&amp;IF(cfg_aprovado="","A definir",cfg_aprovado)</f>
      </c>
    </row>
    <row r="3" ht="40" customHeight="1" spans="1:14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</row>
    <row r="4" spans="1:14" x14ac:dyDescent="0.25">
      <c r="A4" s="6"/>
      <c r="B4" s="7"/>
      <c r="C4" s="8"/>
      <c r="D4" s="7"/>
      <c r="E4" s="8"/>
      <c r="F4" s="8"/>
      <c r="G4" s="9"/>
      <c r="H4" s="10">
        <f t="shared" ref="H4:H39" si="0">IF(LEFT(N4,4)="ERRO","",IF(OR(NOT(ISNUMBER(B4)),NOT(ISNUMBER(C4)),NOT(ISNUMBER(D4))),"",IF(C4=0,"Sem falhas",(B4-D4)/C4)))</f>
      </c>
      <c r="I4" s="10">
        <f t="shared" ref="I4:I39" si="1">IF(LEFT(N4,4)="ERRO","",IF(OR(NOT(ISNUMBER(C4)),NOT(ISNUMBER(D4))),"",IF(C4=0,"Sem falhas",D4/C4)))</f>
      </c>
      <c r="J4" s="11">
        <f t="shared" ref="J4:J39" si="2">IF(LEFT(N4,4)="ERRO","",IF(OR(NOT(ISNUMBER(B4)),NOT(ISNUMBER(D4))),"",IF(B4&lt;=0,"",(B4-D4)/B4)))</f>
      </c>
      <c r="K4" s="11">
        <f t="shared" ref="K4:K39" si="3">IF(LEFT(N4,4)="ERRO","",IF(OR(NOT(ISNUMBER(E4)),NOT(ISNUMBER(F4))),"",IF(E4&lt;=0,"",F4/E4)))</f>
      </c>
      <c r="L4" s="12">
        <f t="shared" ref="L4:L39" si="4">IF(LEFT(N4,4)="ERRO","",IF(NOT(ISNUMBER(J4)),"",IF(NOT(ISNUMBER(G4)),"A definir: meta",IF(J4&gt;=G4,"Atende a meta","Abaixo da meta"))))</f>
      </c>
      <c r="M4" s="13"/>
      <c r="N4" s="14">
        <f t="shared" ref="N4:N39" si="5">IF(A4&amp;B4&amp;C4&amp;D4&amp;E4&amp;F4="","",IF(OR(N(B4)&lt;0,N(C4)&lt;0,N(D4)&lt;0,N(E4)&lt;0,N(F4)&lt;0),"ERRO: valores devem ser não negativos",IF(OR(AND(ISNUMBER(C4),C4&lt;&gt;INT(C4)),AND(ISNUMBER(E4),E4&lt;&gt;INT(E4)),AND(ISNUMBER(F4),F4&lt;&gt;INT(F4))),"ERRO: contagens devem ser inteiras",IF(NOT(ISNUMBER(A4)),"ERRO: informe o mês",IF(COUNTIF(in_mes,A4)&gt;1,"ERRO: mês repetido",IF(AND(ISNUMBER(B4),ISNUMBER(D4),D4&gt;B4),"ERRO: parada maior que as horas programadas",IF(AND(ISNUMBER(E4),ISNUMBER(F4),F4&gt;E4),"Verificar: executadas maior que planejadas",IF(OR(NOT(ISNUMBER(B4)),NOT(ISNUMBER(C4)),NOT(ISNUMBER(D4))),"Pendente: falta dado","OK"))))))))</f>
      </c>
    </row>
    <row r="5" spans="1:14" x14ac:dyDescent="0.25">
      <c r="A5" s="6"/>
      <c r="B5" s="7"/>
      <c r="C5" s="8"/>
      <c r="D5" s="7"/>
      <c r="E5" s="8"/>
      <c r="F5" s="8"/>
      <c r="G5" s="9"/>
      <c r="H5" s="10">
        <f t="shared" si="0"/>
      </c>
      <c r="I5" s="10">
        <f t="shared" si="1"/>
      </c>
      <c r="J5" s="11">
        <f t="shared" si="2"/>
      </c>
      <c r="K5" s="11">
        <f t="shared" si="3"/>
      </c>
      <c r="L5" s="12">
        <f t="shared" si="4"/>
      </c>
      <c r="M5" s="13"/>
      <c r="N5" s="14">
        <f t="shared" si="5"/>
      </c>
    </row>
    <row r="6" spans="1:14" x14ac:dyDescent="0.25">
      <c r="A6" s="6"/>
      <c r="B6" s="7"/>
      <c r="C6" s="8"/>
      <c r="D6" s="7"/>
      <c r="E6" s="8"/>
      <c r="F6" s="8"/>
      <c r="G6" s="9"/>
      <c r="H6" s="10">
        <f t="shared" si="0"/>
      </c>
      <c r="I6" s="10">
        <f t="shared" si="1"/>
      </c>
      <c r="J6" s="11">
        <f t="shared" si="2"/>
      </c>
      <c r="K6" s="11">
        <f t="shared" si="3"/>
      </c>
      <c r="L6" s="12">
        <f t="shared" si="4"/>
      </c>
      <c r="M6" s="13"/>
      <c r="N6" s="14">
        <f t="shared" si="5"/>
      </c>
    </row>
    <row r="7" spans="1:14" x14ac:dyDescent="0.25">
      <c r="A7" s="6"/>
      <c r="B7" s="7"/>
      <c r="C7" s="8"/>
      <c r="D7" s="7"/>
      <c r="E7" s="8"/>
      <c r="F7" s="8"/>
      <c r="G7" s="9"/>
      <c r="H7" s="10">
        <f t="shared" si="0"/>
      </c>
      <c r="I7" s="10">
        <f t="shared" si="1"/>
      </c>
      <c r="J7" s="11">
        <f t="shared" si="2"/>
      </c>
      <c r="K7" s="11">
        <f t="shared" si="3"/>
      </c>
      <c r="L7" s="12">
        <f t="shared" si="4"/>
      </c>
      <c r="M7" s="13"/>
      <c r="N7" s="14">
        <f t="shared" si="5"/>
      </c>
    </row>
    <row r="8" spans="1:14" x14ac:dyDescent="0.25">
      <c r="A8" s="6"/>
      <c r="B8" s="7"/>
      <c r="C8" s="8"/>
      <c r="D8" s="7"/>
      <c r="E8" s="8"/>
      <c r="F8" s="8"/>
      <c r="G8" s="9"/>
      <c r="H8" s="10">
        <f t="shared" si="0"/>
      </c>
      <c r="I8" s="10">
        <f t="shared" si="1"/>
      </c>
      <c r="J8" s="11">
        <f t="shared" si="2"/>
      </c>
      <c r="K8" s="11">
        <f t="shared" si="3"/>
      </c>
      <c r="L8" s="12">
        <f t="shared" si="4"/>
      </c>
      <c r="M8" s="13"/>
      <c r="N8" s="14">
        <f t="shared" si="5"/>
      </c>
    </row>
    <row r="9" spans="1:14" x14ac:dyDescent="0.25">
      <c r="A9" s="6"/>
      <c r="B9" s="7"/>
      <c r="C9" s="8"/>
      <c r="D9" s="7"/>
      <c r="E9" s="8"/>
      <c r="F9" s="8"/>
      <c r="G9" s="9"/>
      <c r="H9" s="10">
        <f t="shared" si="0"/>
      </c>
      <c r="I9" s="10">
        <f t="shared" si="1"/>
      </c>
      <c r="J9" s="11">
        <f t="shared" si="2"/>
      </c>
      <c r="K9" s="11">
        <f t="shared" si="3"/>
      </c>
      <c r="L9" s="12">
        <f t="shared" si="4"/>
      </c>
      <c r="M9" s="13"/>
      <c r="N9" s="14">
        <f t="shared" si="5"/>
      </c>
    </row>
    <row r="10" spans="1:14" x14ac:dyDescent="0.25">
      <c r="A10" s="6"/>
      <c r="B10" s="7"/>
      <c r="C10" s="8"/>
      <c r="D10" s="7"/>
      <c r="E10" s="8"/>
      <c r="F10" s="8"/>
      <c r="G10" s="9"/>
      <c r="H10" s="10">
        <f t="shared" si="0"/>
      </c>
      <c r="I10" s="10">
        <f t="shared" si="1"/>
      </c>
      <c r="J10" s="11">
        <f t="shared" si="2"/>
      </c>
      <c r="K10" s="11">
        <f t="shared" si="3"/>
      </c>
      <c r="L10" s="12">
        <f t="shared" si="4"/>
      </c>
      <c r="M10" s="13"/>
      <c r="N10" s="14">
        <f t="shared" si="5"/>
      </c>
    </row>
    <row r="11" spans="1:14" x14ac:dyDescent="0.25">
      <c r="A11" s="6"/>
      <c r="B11" s="7"/>
      <c r="C11" s="8"/>
      <c r="D11" s="7"/>
      <c r="E11" s="8"/>
      <c r="F11" s="8"/>
      <c r="G11" s="9"/>
      <c r="H11" s="10">
        <f t="shared" si="0"/>
      </c>
      <c r="I11" s="10">
        <f t="shared" si="1"/>
      </c>
      <c r="J11" s="11">
        <f t="shared" si="2"/>
      </c>
      <c r="K11" s="11">
        <f t="shared" si="3"/>
      </c>
      <c r="L11" s="12">
        <f t="shared" si="4"/>
      </c>
      <c r="M11" s="13"/>
      <c r="N11" s="14">
        <f t="shared" si="5"/>
      </c>
    </row>
    <row r="12" spans="1:14" x14ac:dyDescent="0.25">
      <c r="A12" s="6"/>
      <c r="B12" s="7"/>
      <c r="C12" s="8"/>
      <c r="D12" s="7"/>
      <c r="E12" s="8"/>
      <c r="F12" s="8"/>
      <c r="G12" s="9"/>
      <c r="H12" s="10">
        <f t="shared" si="0"/>
      </c>
      <c r="I12" s="10">
        <f t="shared" si="1"/>
      </c>
      <c r="J12" s="11">
        <f t="shared" si="2"/>
      </c>
      <c r="K12" s="11">
        <f t="shared" si="3"/>
      </c>
      <c r="L12" s="12">
        <f t="shared" si="4"/>
      </c>
      <c r="M12" s="13"/>
      <c r="N12" s="14">
        <f t="shared" si="5"/>
      </c>
    </row>
    <row r="13" spans="1:14" x14ac:dyDescent="0.25">
      <c r="A13" s="6"/>
      <c r="B13" s="7"/>
      <c r="C13" s="8"/>
      <c r="D13" s="7"/>
      <c r="E13" s="8"/>
      <c r="F13" s="8"/>
      <c r="G13" s="9"/>
      <c r="H13" s="10">
        <f t="shared" si="0"/>
      </c>
      <c r="I13" s="10">
        <f t="shared" si="1"/>
      </c>
      <c r="J13" s="11">
        <f t="shared" si="2"/>
      </c>
      <c r="K13" s="11">
        <f t="shared" si="3"/>
      </c>
      <c r="L13" s="12">
        <f t="shared" si="4"/>
      </c>
      <c r="M13" s="13"/>
      <c r="N13" s="14">
        <f t="shared" si="5"/>
      </c>
    </row>
    <row r="14" spans="1:14" x14ac:dyDescent="0.25">
      <c r="A14" s="6"/>
      <c r="B14" s="7"/>
      <c r="C14" s="8"/>
      <c r="D14" s="7"/>
      <c r="E14" s="8"/>
      <c r="F14" s="8"/>
      <c r="G14" s="9"/>
      <c r="H14" s="10">
        <f t="shared" si="0"/>
      </c>
      <c r="I14" s="10">
        <f t="shared" si="1"/>
      </c>
      <c r="J14" s="11">
        <f t="shared" si="2"/>
      </c>
      <c r="K14" s="11">
        <f t="shared" si="3"/>
      </c>
      <c r="L14" s="12">
        <f t="shared" si="4"/>
      </c>
      <c r="M14" s="13"/>
      <c r="N14" s="14">
        <f t="shared" si="5"/>
      </c>
    </row>
    <row r="15" spans="1:14" x14ac:dyDescent="0.25">
      <c r="A15" s="6"/>
      <c r="B15" s="7"/>
      <c r="C15" s="8"/>
      <c r="D15" s="7"/>
      <c r="E15" s="8"/>
      <c r="F15" s="8"/>
      <c r="G15" s="9"/>
      <c r="H15" s="10">
        <f t="shared" si="0"/>
      </c>
      <c r="I15" s="10">
        <f t="shared" si="1"/>
      </c>
      <c r="J15" s="11">
        <f t="shared" si="2"/>
      </c>
      <c r="K15" s="11">
        <f t="shared" si="3"/>
      </c>
      <c r="L15" s="12">
        <f t="shared" si="4"/>
      </c>
      <c r="M15" s="13"/>
      <c r="N15" s="14">
        <f t="shared" si="5"/>
      </c>
    </row>
    <row r="16" spans="1:14" x14ac:dyDescent="0.25">
      <c r="A16" s="6"/>
      <c r="B16" s="7"/>
      <c r="C16" s="8"/>
      <c r="D16" s="7"/>
      <c r="E16" s="8"/>
      <c r="F16" s="8"/>
      <c r="G16" s="9"/>
      <c r="H16" s="10">
        <f t="shared" si="0"/>
      </c>
      <c r="I16" s="10">
        <f t="shared" si="1"/>
      </c>
      <c r="J16" s="11">
        <f t="shared" si="2"/>
      </c>
      <c r="K16" s="11">
        <f t="shared" si="3"/>
      </c>
      <c r="L16" s="12">
        <f t="shared" si="4"/>
      </c>
      <c r="M16" s="13"/>
      <c r="N16" s="14">
        <f t="shared" si="5"/>
      </c>
    </row>
    <row r="17" spans="1:14" x14ac:dyDescent="0.25">
      <c r="A17" s="6"/>
      <c r="B17" s="7"/>
      <c r="C17" s="8"/>
      <c r="D17" s="7"/>
      <c r="E17" s="8"/>
      <c r="F17" s="8"/>
      <c r="G17" s="9"/>
      <c r="H17" s="10">
        <f t="shared" si="0"/>
      </c>
      <c r="I17" s="10">
        <f t="shared" si="1"/>
      </c>
      <c r="J17" s="11">
        <f t="shared" si="2"/>
      </c>
      <c r="K17" s="11">
        <f t="shared" si="3"/>
      </c>
      <c r="L17" s="12">
        <f t="shared" si="4"/>
      </c>
      <c r="M17" s="13"/>
      <c r="N17" s="14">
        <f t="shared" si="5"/>
      </c>
    </row>
    <row r="18" spans="1:14" x14ac:dyDescent="0.25">
      <c r="A18" s="6"/>
      <c r="B18" s="7"/>
      <c r="C18" s="8"/>
      <c r="D18" s="7"/>
      <c r="E18" s="8"/>
      <c r="F18" s="8"/>
      <c r="G18" s="9"/>
      <c r="H18" s="10">
        <f t="shared" si="0"/>
      </c>
      <c r="I18" s="10">
        <f t="shared" si="1"/>
      </c>
      <c r="J18" s="11">
        <f t="shared" si="2"/>
      </c>
      <c r="K18" s="11">
        <f t="shared" si="3"/>
      </c>
      <c r="L18" s="12">
        <f t="shared" si="4"/>
      </c>
      <c r="M18" s="13"/>
      <c r="N18" s="14">
        <f t="shared" si="5"/>
      </c>
    </row>
    <row r="19" spans="1:14" x14ac:dyDescent="0.25">
      <c r="A19" s="6"/>
      <c r="B19" s="7"/>
      <c r="C19" s="8"/>
      <c r="D19" s="7"/>
      <c r="E19" s="8"/>
      <c r="F19" s="8"/>
      <c r="G19" s="9"/>
      <c r="H19" s="10">
        <f t="shared" si="0"/>
      </c>
      <c r="I19" s="10">
        <f t="shared" si="1"/>
      </c>
      <c r="J19" s="11">
        <f t="shared" si="2"/>
      </c>
      <c r="K19" s="11">
        <f t="shared" si="3"/>
      </c>
      <c r="L19" s="12">
        <f t="shared" si="4"/>
      </c>
      <c r="M19" s="13"/>
      <c r="N19" s="14">
        <f t="shared" si="5"/>
      </c>
    </row>
    <row r="20" spans="1:14" x14ac:dyDescent="0.25">
      <c r="A20" s="6"/>
      <c r="B20" s="7"/>
      <c r="C20" s="8"/>
      <c r="D20" s="7"/>
      <c r="E20" s="8"/>
      <c r="F20" s="8"/>
      <c r="G20" s="9"/>
      <c r="H20" s="10">
        <f t="shared" si="0"/>
      </c>
      <c r="I20" s="10">
        <f t="shared" si="1"/>
      </c>
      <c r="J20" s="11">
        <f t="shared" si="2"/>
      </c>
      <c r="K20" s="11">
        <f t="shared" si="3"/>
      </c>
      <c r="L20" s="12">
        <f t="shared" si="4"/>
      </c>
      <c r="M20" s="13"/>
      <c r="N20" s="14">
        <f t="shared" si="5"/>
      </c>
    </row>
    <row r="21" spans="1:14" x14ac:dyDescent="0.25">
      <c r="A21" s="6"/>
      <c r="B21" s="7"/>
      <c r="C21" s="8"/>
      <c r="D21" s="7"/>
      <c r="E21" s="8"/>
      <c r="F21" s="8"/>
      <c r="G21" s="9"/>
      <c r="H21" s="10">
        <f t="shared" si="0"/>
      </c>
      <c r="I21" s="10">
        <f t="shared" si="1"/>
      </c>
      <c r="J21" s="11">
        <f t="shared" si="2"/>
      </c>
      <c r="K21" s="11">
        <f t="shared" si="3"/>
      </c>
      <c r="L21" s="12">
        <f t="shared" si="4"/>
      </c>
      <c r="M21" s="13"/>
      <c r="N21" s="14">
        <f t="shared" si="5"/>
      </c>
    </row>
    <row r="22" spans="1:14" x14ac:dyDescent="0.25">
      <c r="A22" s="6"/>
      <c r="B22" s="7"/>
      <c r="C22" s="8"/>
      <c r="D22" s="7"/>
      <c r="E22" s="8"/>
      <c r="F22" s="8"/>
      <c r="G22" s="9"/>
      <c r="H22" s="10">
        <f t="shared" si="0"/>
      </c>
      <c r="I22" s="10">
        <f t="shared" si="1"/>
      </c>
      <c r="J22" s="11">
        <f t="shared" si="2"/>
      </c>
      <c r="K22" s="11">
        <f t="shared" si="3"/>
      </c>
      <c r="L22" s="12">
        <f t="shared" si="4"/>
      </c>
      <c r="M22" s="13"/>
      <c r="N22" s="14">
        <f t="shared" si="5"/>
      </c>
    </row>
    <row r="23" spans="1:14" x14ac:dyDescent="0.25">
      <c r="A23" s="6"/>
      <c r="B23" s="7"/>
      <c r="C23" s="8"/>
      <c r="D23" s="7"/>
      <c r="E23" s="8"/>
      <c r="F23" s="8"/>
      <c r="G23" s="9"/>
      <c r="H23" s="10">
        <f t="shared" si="0"/>
      </c>
      <c r="I23" s="10">
        <f t="shared" si="1"/>
      </c>
      <c r="J23" s="11">
        <f t="shared" si="2"/>
      </c>
      <c r="K23" s="11">
        <f t="shared" si="3"/>
      </c>
      <c r="L23" s="12">
        <f t="shared" si="4"/>
      </c>
      <c r="M23" s="13"/>
      <c r="N23" s="14">
        <f t="shared" si="5"/>
      </c>
    </row>
    <row r="24" spans="1:14" x14ac:dyDescent="0.25">
      <c r="A24" s="6"/>
      <c r="B24" s="7"/>
      <c r="C24" s="8"/>
      <c r="D24" s="7"/>
      <c r="E24" s="8"/>
      <c r="F24" s="8"/>
      <c r="G24" s="9"/>
      <c r="H24" s="10">
        <f t="shared" si="0"/>
      </c>
      <c r="I24" s="10">
        <f t="shared" si="1"/>
      </c>
      <c r="J24" s="11">
        <f t="shared" si="2"/>
      </c>
      <c r="K24" s="11">
        <f t="shared" si="3"/>
      </c>
      <c r="L24" s="12">
        <f t="shared" si="4"/>
      </c>
      <c r="M24" s="13"/>
      <c r="N24" s="14">
        <f t="shared" si="5"/>
      </c>
    </row>
    <row r="25" spans="1:14" x14ac:dyDescent="0.25">
      <c r="A25" s="6"/>
      <c r="B25" s="7"/>
      <c r="C25" s="8"/>
      <c r="D25" s="7"/>
      <c r="E25" s="8"/>
      <c r="F25" s="8"/>
      <c r="G25" s="9"/>
      <c r="H25" s="10">
        <f t="shared" si="0"/>
      </c>
      <c r="I25" s="10">
        <f t="shared" si="1"/>
      </c>
      <c r="J25" s="11">
        <f t="shared" si="2"/>
      </c>
      <c r="K25" s="11">
        <f t="shared" si="3"/>
      </c>
      <c r="L25" s="12">
        <f t="shared" si="4"/>
      </c>
      <c r="M25" s="13"/>
      <c r="N25" s="14">
        <f t="shared" si="5"/>
      </c>
    </row>
    <row r="26" spans="1:14" x14ac:dyDescent="0.25">
      <c r="A26" s="6"/>
      <c r="B26" s="7"/>
      <c r="C26" s="8"/>
      <c r="D26" s="7"/>
      <c r="E26" s="8"/>
      <c r="F26" s="8"/>
      <c r="G26" s="9"/>
      <c r="H26" s="10">
        <f t="shared" si="0"/>
      </c>
      <c r="I26" s="10">
        <f t="shared" si="1"/>
      </c>
      <c r="J26" s="11">
        <f t="shared" si="2"/>
      </c>
      <c r="K26" s="11">
        <f t="shared" si="3"/>
      </c>
      <c r="L26" s="12">
        <f t="shared" si="4"/>
      </c>
      <c r="M26" s="13"/>
      <c r="N26" s="14">
        <f t="shared" si="5"/>
      </c>
    </row>
    <row r="27" spans="1:14" x14ac:dyDescent="0.25">
      <c r="A27" s="6"/>
      <c r="B27" s="7"/>
      <c r="C27" s="8"/>
      <c r="D27" s="7"/>
      <c r="E27" s="8"/>
      <c r="F27" s="8"/>
      <c r="G27" s="9"/>
      <c r="H27" s="10">
        <f t="shared" si="0"/>
      </c>
      <c r="I27" s="10">
        <f t="shared" si="1"/>
      </c>
      <c r="J27" s="11">
        <f t="shared" si="2"/>
      </c>
      <c r="K27" s="11">
        <f t="shared" si="3"/>
      </c>
      <c r="L27" s="12">
        <f t="shared" si="4"/>
      </c>
      <c r="M27" s="13"/>
      <c r="N27" s="14">
        <f t="shared" si="5"/>
      </c>
    </row>
    <row r="28" spans="1:14" x14ac:dyDescent="0.25">
      <c r="A28" s="6"/>
      <c r="B28" s="7"/>
      <c r="C28" s="8"/>
      <c r="D28" s="7"/>
      <c r="E28" s="8"/>
      <c r="F28" s="8"/>
      <c r="G28" s="9"/>
      <c r="H28" s="10">
        <f t="shared" si="0"/>
      </c>
      <c r="I28" s="10">
        <f t="shared" si="1"/>
      </c>
      <c r="J28" s="11">
        <f t="shared" si="2"/>
      </c>
      <c r="K28" s="11">
        <f t="shared" si="3"/>
      </c>
      <c r="L28" s="12">
        <f t="shared" si="4"/>
      </c>
      <c r="M28" s="13"/>
      <c r="N28" s="14">
        <f t="shared" si="5"/>
      </c>
    </row>
    <row r="29" spans="1:14" x14ac:dyDescent="0.25">
      <c r="A29" s="6"/>
      <c r="B29" s="7"/>
      <c r="C29" s="8"/>
      <c r="D29" s="7"/>
      <c r="E29" s="8"/>
      <c r="F29" s="8"/>
      <c r="G29" s="9"/>
      <c r="H29" s="10">
        <f t="shared" si="0"/>
      </c>
      <c r="I29" s="10">
        <f t="shared" si="1"/>
      </c>
      <c r="J29" s="11">
        <f t="shared" si="2"/>
      </c>
      <c r="K29" s="11">
        <f t="shared" si="3"/>
      </c>
      <c r="L29" s="12">
        <f t="shared" si="4"/>
      </c>
      <c r="M29" s="13"/>
      <c r="N29" s="14">
        <f t="shared" si="5"/>
      </c>
    </row>
    <row r="30" spans="1:14" x14ac:dyDescent="0.25">
      <c r="A30" s="6"/>
      <c r="B30" s="7"/>
      <c r="C30" s="8"/>
      <c r="D30" s="7"/>
      <c r="E30" s="8"/>
      <c r="F30" s="8"/>
      <c r="G30" s="9"/>
      <c r="H30" s="10">
        <f t="shared" si="0"/>
      </c>
      <c r="I30" s="10">
        <f t="shared" si="1"/>
      </c>
      <c r="J30" s="11">
        <f t="shared" si="2"/>
      </c>
      <c r="K30" s="11">
        <f t="shared" si="3"/>
      </c>
      <c r="L30" s="12">
        <f t="shared" si="4"/>
      </c>
      <c r="M30" s="13"/>
      <c r="N30" s="14">
        <f t="shared" si="5"/>
      </c>
    </row>
    <row r="31" spans="1:14" x14ac:dyDescent="0.25">
      <c r="A31" s="6"/>
      <c r="B31" s="7"/>
      <c r="C31" s="8"/>
      <c r="D31" s="7"/>
      <c r="E31" s="8"/>
      <c r="F31" s="8"/>
      <c r="G31" s="9"/>
      <c r="H31" s="10">
        <f t="shared" si="0"/>
      </c>
      <c r="I31" s="10">
        <f t="shared" si="1"/>
      </c>
      <c r="J31" s="11">
        <f t="shared" si="2"/>
      </c>
      <c r="K31" s="11">
        <f t="shared" si="3"/>
      </c>
      <c r="L31" s="12">
        <f t="shared" si="4"/>
      </c>
      <c r="M31" s="13"/>
      <c r="N31" s="14">
        <f t="shared" si="5"/>
      </c>
    </row>
    <row r="32" spans="1:14" x14ac:dyDescent="0.25">
      <c r="A32" s="6"/>
      <c r="B32" s="7"/>
      <c r="C32" s="8"/>
      <c r="D32" s="7"/>
      <c r="E32" s="8"/>
      <c r="F32" s="8"/>
      <c r="G32" s="9"/>
      <c r="H32" s="10">
        <f t="shared" si="0"/>
      </c>
      <c r="I32" s="10">
        <f t="shared" si="1"/>
      </c>
      <c r="J32" s="11">
        <f t="shared" si="2"/>
      </c>
      <c r="K32" s="11">
        <f t="shared" si="3"/>
      </c>
      <c r="L32" s="12">
        <f t="shared" si="4"/>
      </c>
      <c r="M32" s="13"/>
      <c r="N32" s="14">
        <f t="shared" si="5"/>
      </c>
    </row>
    <row r="33" spans="1:14" x14ac:dyDescent="0.25">
      <c r="A33" s="6"/>
      <c r="B33" s="7"/>
      <c r="C33" s="8"/>
      <c r="D33" s="7"/>
      <c r="E33" s="8"/>
      <c r="F33" s="8"/>
      <c r="G33" s="9"/>
      <c r="H33" s="10">
        <f t="shared" si="0"/>
      </c>
      <c r="I33" s="10">
        <f t="shared" si="1"/>
      </c>
      <c r="J33" s="11">
        <f t="shared" si="2"/>
      </c>
      <c r="K33" s="11">
        <f t="shared" si="3"/>
      </c>
      <c r="L33" s="12">
        <f t="shared" si="4"/>
      </c>
      <c r="M33" s="13"/>
      <c r="N33" s="14">
        <f t="shared" si="5"/>
      </c>
    </row>
    <row r="34" spans="1:14" x14ac:dyDescent="0.25">
      <c r="A34" s="6"/>
      <c r="B34" s="7"/>
      <c r="C34" s="8"/>
      <c r="D34" s="7"/>
      <c r="E34" s="8"/>
      <c r="F34" s="8"/>
      <c r="G34" s="9"/>
      <c r="H34" s="10">
        <f t="shared" si="0"/>
      </c>
      <c r="I34" s="10">
        <f t="shared" si="1"/>
      </c>
      <c r="J34" s="11">
        <f t="shared" si="2"/>
      </c>
      <c r="K34" s="11">
        <f t="shared" si="3"/>
      </c>
      <c r="L34" s="12">
        <f t="shared" si="4"/>
      </c>
      <c r="M34" s="13"/>
      <c r="N34" s="14">
        <f t="shared" si="5"/>
      </c>
    </row>
    <row r="35" spans="1:14" x14ac:dyDescent="0.25">
      <c r="A35" s="6"/>
      <c r="B35" s="7"/>
      <c r="C35" s="8"/>
      <c r="D35" s="7"/>
      <c r="E35" s="8"/>
      <c r="F35" s="8"/>
      <c r="G35" s="9"/>
      <c r="H35" s="10">
        <f t="shared" si="0"/>
      </c>
      <c r="I35" s="10">
        <f t="shared" si="1"/>
      </c>
      <c r="J35" s="11">
        <f t="shared" si="2"/>
      </c>
      <c r="K35" s="11">
        <f t="shared" si="3"/>
      </c>
      <c r="L35" s="12">
        <f t="shared" si="4"/>
      </c>
      <c r="M35" s="13"/>
      <c r="N35" s="14">
        <f t="shared" si="5"/>
      </c>
    </row>
    <row r="36" spans="1:14" x14ac:dyDescent="0.25">
      <c r="A36" s="6"/>
      <c r="B36" s="7"/>
      <c r="C36" s="8"/>
      <c r="D36" s="7"/>
      <c r="E36" s="8"/>
      <c r="F36" s="8"/>
      <c r="G36" s="9"/>
      <c r="H36" s="10">
        <f t="shared" si="0"/>
      </c>
      <c r="I36" s="10">
        <f t="shared" si="1"/>
      </c>
      <c r="J36" s="11">
        <f t="shared" si="2"/>
      </c>
      <c r="K36" s="11">
        <f t="shared" si="3"/>
      </c>
      <c r="L36" s="12">
        <f t="shared" si="4"/>
      </c>
      <c r="M36" s="13"/>
      <c r="N36" s="14">
        <f t="shared" si="5"/>
      </c>
    </row>
    <row r="37" spans="1:14" x14ac:dyDescent="0.25">
      <c r="A37" s="6"/>
      <c r="B37" s="7"/>
      <c r="C37" s="8"/>
      <c r="D37" s="7"/>
      <c r="E37" s="8"/>
      <c r="F37" s="8"/>
      <c r="G37" s="9"/>
      <c r="H37" s="10">
        <f t="shared" si="0"/>
      </c>
      <c r="I37" s="10">
        <f t="shared" si="1"/>
      </c>
      <c r="J37" s="11">
        <f t="shared" si="2"/>
      </c>
      <c r="K37" s="11">
        <f t="shared" si="3"/>
      </c>
      <c r="L37" s="12">
        <f t="shared" si="4"/>
      </c>
      <c r="M37" s="13"/>
      <c r="N37" s="14">
        <f t="shared" si="5"/>
      </c>
    </row>
    <row r="38" spans="1:14" x14ac:dyDescent="0.25">
      <c r="A38" s="6"/>
      <c r="B38" s="7"/>
      <c r="C38" s="8"/>
      <c r="D38" s="7"/>
      <c r="E38" s="8"/>
      <c r="F38" s="8"/>
      <c r="G38" s="9"/>
      <c r="H38" s="10">
        <f t="shared" si="0"/>
      </c>
      <c r="I38" s="10">
        <f t="shared" si="1"/>
      </c>
      <c r="J38" s="11">
        <f t="shared" si="2"/>
      </c>
      <c r="K38" s="11">
        <f t="shared" si="3"/>
      </c>
      <c r="L38" s="12">
        <f t="shared" si="4"/>
      </c>
      <c r="M38" s="13"/>
      <c r="N38" s="14">
        <f t="shared" si="5"/>
      </c>
    </row>
    <row r="39" spans="1:14" x14ac:dyDescent="0.25">
      <c r="A39" s="6"/>
      <c r="B39" s="7"/>
      <c r="C39" s="8"/>
      <c r="D39" s="7"/>
      <c r="E39" s="8"/>
      <c r="F39" s="8"/>
      <c r="G39" s="9"/>
      <c r="H39" s="10">
        <f t="shared" si="0"/>
      </c>
      <c r="I39" s="10">
        <f t="shared" si="1"/>
      </c>
      <c r="J39" s="11">
        <f t="shared" si="2"/>
      </c>
      <c r="K39" s="11">
        <f t="shared" si="3"/>
      </c>
      <c r="L39" s="12">
        <f t="shared" si="4"/>
      </c>
      <c r="M39" s="13"/>
      <c r="N39" s="14">
        <f t="shared" si="5"/>
      </c>
    </row>
  </sheetData>
  <sheetProtection sheet="1" formatColumns="0" formatRows="0" autoFilter="0"/>
  <autoFilter ref="A3:N39"/>
  <mergeCells count="2">
    <mergeCell ref="A1:B2"/>
    <mergeCell ref="C1:M2"/>
  </mergeCells>
  <conditionalFormatting sqref="L4:L39">
    <cfRule type="expression" dxfId="0" priority="10">
      <formula>L4="Atende a meta"</formula>
    </cfRule>
    <cfRule type="expression" dxfId="1" priority="11">
      <formula>L4="Abaixo da meta"</formula>
    </cfRule>
    <cfRule type="expression" dxfId="2" priority="12">
      <formula>L4="A definir: meta"</formula>
    </cfRule>
  </conditionalFormatting>
  <conditionalFormatting sqref="N4:N39">
    <cfRule type="expression" dxfId="3" priority="1">
      <formula>OR(LEFT(N4,4)="ERRO",LEFT(N4,7)="ATENÇÃO")</formula>
    </cfRule>
    <cfRule type="expression" dxfId="4" priority="2">
      <formula>OR(LEFT(N4,8)="Pendente",LEFT(N4,9)="Verificar",LEFT(N4,9)="Duplicada",LEFT(N4,7)="Tarefa ",LEFT(N4,13)="Fora do plano",LEFT(N4,8)="Previsão",LEFT(N4,11)="Sem vínculo",LEFT(N4,14)="Não verificado",LEFT(N4,7)="Informe",LEFT(N4,9)="A definir")</formula>
    </cfRule>
    <cfRule type="expression" dxfId="5" priority="3">
      <formula>OR(N4="OK",LEFT(N4,4)="Nada",LEFT(N4,3)="OK:")</formula>
    </cfRule>
  </conditionalFormatting>
  <dataValidations count="7">
    <dataValidation type="custom" allowBlank="1" showErrorMessage="1" errorStyle="stop" errorTitle="Valor inválido" error="Informe o 1º dia do mês (ex.: 01/10/2026)." sqref="A4:A39">
      <formula1>AND(ISNUMBER(A4),DAY(A4)=1)</formula1>
    </dataValidation>
    <dataValidation type="decimal" operator="greaterThanOrEqual" allowBlank="1" showErrorMessage="1" errorStyle="stop" errorTitle="Valor inválido" error="Informe um número maior ou igual a zero." sqref="B4:B39">
      <formula1>0</formula1>
    </dataValidation>
    <dataValidation type="whole" operator="greaterThanOrEqual" allowBlank="1" showErrorMessage="1" errorStyle="stop" errorTitle="Valor inválido" error="Informe um número inteiro maior ou igual a zero." sqref="C4:C39">
      <formula1>0</formula1>
    </dataValidation>
    <dataValidation type="decimal" operator="greaterThanOrEqual" allowBlank="1" showErrorMessage="1" errorStyle="stop" errorTitle="Valor inválido" error="Informe um número maior ou igual a zero." sqref="D4:D39">
      <formula1>0</formula1>
    </dataValidation>
    <dataValidation type="whole" operator="greaterThanOrEqual" allowBlank="1" showErrorMessage="1" errorStyle="stop" errorTitle="Valor inválido" error="Informe um número inteiro maior ou igual a zero." sqref="E4:E39">
      <formula1>0</formula1>
    </dataValidation>
    <dataValidation type="whole" operator="greaterThanOrEqual" allowBlank="1" showErrorMessage="1" errorStyle="stop" errorTitle="Valor inválido" error="Informe um número inteiro maior ou igual a zero." sqref="F4:F39">
      <formula1>0</formula1>
    </dataValidation>
    <dataValidation type="decimal" allowBlank="1" showErrorMessage="1" errorStyle="stop" errorTitle="Percentual inválido" error="Informe um percentual entre 0% e 100%." sqref="G4:G39">
      <formula1>0</formula1>
      <formula2>1</formula2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PCMD-07&amp;R&amp;"Arial,Regular"&amp;7&amp;K4A5668Impresso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Views>
    <sheetView workbookViewId="0" showGridLines="0" zoomScale="100" zoomScaleNormal="10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56" customWidth="1"/>
    <col min="4" max="4" width="24" customWidth="1"/>
    <col min="5" max="5" width="28" customWidth="1"/>
  </cols>
  <sheetData>
    <row r="1" ht="36" customHeight="1" spans="1:5" x14ac:dyDescent="0.25">
      <c r="A1" s="1"/>
      <c r="B1" s="1"/>
      <c r="C1" s="2" t="s">
        <v>15</v>
      </c>
      <c r="D1" s="2"/>
      <c r="E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5" x14ac:dyDescent="0.25">
      <c r="A2" s="1"/>
      <c r="B2" s="1"/>
      <c r="C2" s="2"/>
      <c r="D2" s="2"/>
      <c r="E2" s="4">
        <f>"Elaborado: "&amp;IF(cfg_elaborado="","A definir",cfg_elaborado)&amp;CHAR(10)&amp;"Aprovado: "&amp;IF(cfg_aprovado="","A definir",cfg_aprovado)</f>
      </c>
    </row>
    <row r="3" ht="30" customHeight="1" spans="1:5" x14ac:dyDescent="0.25">
      <c r="A3" s="5" t="s">
        <v>16</v>
      </c>
      <c r="B3" s="5" t="s">
        <v>17</v>
      </c>
      <c r="C3" s="5" t="s">
        <v>18</v>
      </c>
      <c r="D3" s="5" t="s">
        <v>19</v>
      </c>
      <c r="E3" s="5" t="s">
        <v>20</v>
      </c>
    </row>
    <row r="4" ht="26" customHeight="1" spans="1:5" x14ac:dyDescent="0.25">
      <c r="A4" s="15" t="s">
        <v>21</v>
      </c>
      <c r="B4" s="16">
        <v>46321</v>
      </c>
      <c r="C4" s="13" t="s">
        <v>22</v>
      </c>
      <c r="D4" s="17"/>
      <c r="E4" s="17"/>
    </row>
    <row r="5" spans="1:5" x14ac:dyDescent="0.25">
      <c r="A5" s="15"/>
      <c r="B5" s="16"/>
      <c r="C5" s="13"/>
      <c r="D5" s="17"/>
      <c r="E5" s="17"/>
    </row>
    <row r="6" spans="1:5" x14ac:dyDescent="0.25">
      <c r="A6" s="15"/>
      <c r="B6" s="16"/>
      <c r="C6" s="13"/>
      <c r="D6" s="17"/>
      <c r="E6" s="17"/>
    </row>
    <row r="7" spans="1:5" x14ac:dyDescent="0.25">
      <c r="A7" s="15"/>
      <c r="B7" s="16"/>
      <c r="C7" s="13"/>
      <c r="D7" s="17"/>
      <c r="E7" s="17"/>
    </row>
    <row r="8" spans="1:5" x14ac:dyDescent="0.25">
      <c r="A8" s="15"/>
      <c r="B8" s="16"/>
      <c r="C8" s="13"/>
      <c r="D8" s="17"/>
      <c r="E8" s="17"/>
    </row>
    <row r="9" spans="1:5" x14ac:dyDescent="0.25">
      <c r="A9" s="15"/>
      <c r="B9" s="16"/>
      <c r="C9" s="13"/>
      <c r="D9" s="17"/>
      <c r="E9" s="17"/>
    </row>
    <row r="10" spans="1:5" x14ac:dyDescent="0.25">
      <c r="A10" s="15"/>
      <c r="B10" s="16"/>
      <c r="C10" s="13"/>
      <c r="D10" s="17"/>
      <c r="E10" s="17"/>
    </row>
    <row r="11" spans="1:5" x14ac:dyDescent="0.25">
      <c r="A11" s="15"/>
      <c r="B11" s="16"/>
      <c r="C11" s="13"/>
      <c r="D11" s="17"/>
      <c r="E11" s="17"/>
    </row>
    <row r="12" spans="1:5" x14ac:dyDescent="0.25">
      <c r="A12" s="15"/>
      <c r="B12" s="16"/>
      <c r="C12" s="13"/>
      <c r="D12" s="17"/>
      <c r="E12" s="17"/>
    </row>
    <row r="13" spans="1:5" x14ac:dyDescent="0.25">
      <c r="A13" s="15"/>
      <c r="B13" s="16"/>
      <c r="C13" s="13"/>
      <c r="D13" s="17"/>
      <c r="E13" s="17"/>
    </row>
    <row r="14" spans="1:5" x14ac:dyDescent="0.25">
      <c r="A14" s="15"/>
      <c r="B14" s="16"/>
      <c r="C14" s="13"/>
      <c r="D14" s="17"/>
      <c r="E14" s="17"/>
    </row>
    <row r="15" spans="1:5" x14ac:dyDescent="0.25">
      <c r="A15" s="15"/>
      <c r="B15" s="16"/>
      <c r="C15" s="13"/>
      <c r="D15" s="17"/>
      <c r="E15" s="17"/>
    </row>
    <row r="16" spans="1:5" x14ac:dyDescent="0.25">
      <c r="A16" s="15"/>
      <c r="B16" s="16"/>
      <c r="C16" s="13"/>
      <c r="D16" s="17"/>
      <c r="E16" s="17"/>
    </row>
    <row r="17" spans="1:5" x14ac:dyDescent="0.25">
      <c r="A17" s="15"/>
      <c r="B17" s="16"/>
      <c r="C17" s="13"/>
      <c r="D17" s="17"/>
      <c r="E17" s="17"/>
    </row>
    <row r="18" spans="1:5" x14ac:dyDescent="0.25">
      <c r="A18" s="15"/>
      <c r="B18" s="16"/>
      <c r="C18" s="13"/>
      <c r="D18" s="17"/>
      <c r="E18" s="17"/>
    </row>
    <row r="19" spans="1:5" x14ac:dyDescent="0.25">
      <c r="A19" s="15"/>
      <c r="B19" s="16"/>
      <c r="C19" s="13"/>
      <c r="D19" s="17"/>
      <c r="E19" s="17"/>
    </row>
    <row r="20" spans="1:5" x14ac:dyDescent="0.25">
      <c r="A20" s="15"/>
      <c r="B20" s="16"/>
      <c r="C20" s="13"/>
      <c r="D20" s="17"/>
      <c r="E20" s="17"/>
    </row>
    <row r="21" spans="1:5" x14ac:dyDescent="0.25">
      <c r="A21" s="15"/>
      <c r="B21" s="16"/>
      <c r="C21" s="13"/>
      <c r="D21" s="17"/>
      <c r="E21" s="17"/>
    </row>
    <row r="22" spans="1:5" x14ac:dyDescent="0.25">
      <c r="A22" s="15"/>
      <c r="B22" s="16"/>
      <c r="C22" s="13"/>
      <c r="D22" s="17"/>
      <c r="E22" s="17"/>
    </row>
    <row r="23" spans="1:5" x14ac:dyDescent="0.25">
      <c r="A23" s="15"/>
      <c r="B23" s="16"/>
      <c r="C23" s="13"/>
      <c r="D23" s="17"/>
      <c r="E23" s="17"/>
    </row>
    <row r="24" spans="1:5" x14ac:dyDescent="0.25">
      <c r="A24" s="15"/>
      <c r="B24" s="16"/>
      <c r="C24" s="13"/>
      <c r="D24" s="17"/>
      <c r="E24" s="17"/>
    </row>
    <row r="25" spans="1:5" x14ac:dyDescent="0.25">
      <c r="A25" s="15"/>
      <c r="B25" s="16"/>
      <c r="C25" s="13"/>
      <c r="D25" s="17"/>
      <c r="E25" s="17"/>
    </row>
    <row r="26" spans="1:5" x14ac:dyDescent="0.25">
      <c r="A26" s="15"/>
      <c r="B26" s="16"/>
      <c r="C26" s="13"/>
      <c r="D26" s="17"/>
      <c r="E26" s="17"/>
    </row>
    <row r="27" spans="1:5" x14ac:dyDescent="0.25">
      <c r="A27" s="15"/>
      <c r="B27" s="16"/>
      <c r="C27" s="13"/>
      <c r="D27" s="17"/>
      <c r="E27" s="17"/>
    </row>
    <row r="28" spans="1:5" x14ac:dyDescent="0.25">
      <c r="A28" s="15"/>
      <c r="B28" s="16"/>
      <c r="C28" s="13"/>
      <c r="D28" s="17"/>
      <c r="E28" s="17"/>
    </row>
    <row r="29" spans="1:5" x14ac:dyDescent="0.25">
      <c r="A29" s="15"/>
      <c r="B29" s="16"/>
      <c r="C29" s="13"/>
      <c r="D29" s="17"/>
      <c r="E29" s="17"/>
    </row>
    <row r="30" spans="1:5" x14ac:dyDescent="0.25">
      <c r="A30" s="15"/>
      <c r="B30" s="16"/>
      <c r="C30" s="13"/>
      <c r="D30" s="17"/>
      <c r="E30" s="17"/>
    </row>
    <row r="31" spans="1:5" x14ac:dyDescent="0.25">
      <c r="A31" s="15"/>
      <c r="B31" s="16"/>
      <c r="C31" s="13"/>
      <c r="D31" s="17"/>
      <c r="E31" s="17"/>
    </row>
    <row r="32" spans="1:5" x14ac:dyDescent="0.25">
      <c r="A32" s="15"/>
      <c r="B32" s="16"/>
      <c r="C32" s="13"/>
      <c r="D32" s="17"/>
      <c r="E32" s="17"/>
    </row>
    <row r="33" spans="1:5" x14ac:dyDescent="0.25">
      <c r="A33" s="15"/>
      <c r="B33" s="16"/>
      <c r="C33" s="13"/>
      <c r="D33" s="17"/>
      <c r="E33" s="17"/>
    </row>
  </sheetData>
  <sheetProtection sheet="1" formatColumns="0" formatRows="0" autoFilter="0"/>
  <autoFilter ref="A3:E33"/>
  <mergeCells count="2">
    <mergeCell ref="A1:B2"/>
    <mergeCell ref="C1:D2"/>
  </mergeCells>
  <dataValidations count="1">
    <dataValidation type="date" allowBlank="1" showErrorMessage="1" errorStyle="stop" errorTitle="Data inválida" error="Digite uma data válida no formato dd/mm/aaaa." sqref="B4:B33">
      <formula1>32874</formula1>
      <formula2>73050</formula2>
    </dataValidation>
  </dataValidation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PCMD-07&amp;R&amp;"Arial,Regular"&amp;7&amp;K4A5668Impresso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6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4" customWidth="1"/>
    <col min="4" max="4" width="30" customWidth="1"/>
    <col min="5" max="5" width="4" customWidth="1"/>
    <col min="6" max="6" width="32" customWidth="1"/>
  </cols>
  <sheetData>
    <row r="1" ht="36" customHeight="1" spans="1:6" x14ac:dyDescent="0.25">
      <c r="A1" s="1"/>
      <c r="B1" s="1"/>
      <c r="C1" s="2" t="s">
        <v>23</v>
      </c>
      <c r="D1" s="2"/>
      <c r="E1" s="2"/>
      <c r="F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6" x14ac:dyDescent="0.25">
      <c r="A2" s="1"/>
      <c r="B2" s="1"/>
      <c r="C2" s="2"/>
      <c r="D2" s="2"/>
      <c r="E2" s="2"/>
      <c r="F2" s="4">
        <f>"Elaborado: "&amp;IF(cfg_elaborado="","A definir",cfg_elaborado)&amp;CHAR(10)&amp;"Aprovado: "&amp;IF(cfg_aprovado="","A definir",cfg_aprovado)</f>
      </c>
    </row>
    <row r="3" ht="8" customHeight="1" x14ac:dyDescent="0.25"/>
    <row r="4" ht="18" customHeight="1" spans="1:6" x14ac:dyDescent="0.25">
      <c r="A4" s="18" t="s">
        <v>24</v>
      </c>
      <c r="B4" s="19" t="s">
        <v>25</v>
      </c>
      <c r="C4" s="19"/>
      <c r="D4" s="19" t="s">
        <v>26</v>
      </c>
      <c r="E4" s="20"/>
      <c r="F4" s="20"/>
    </row>
    <row r="6" ht="8" customHeight="1" x14ac:dyDescent="0.25"/>
    <row r="7" ht="20" customHeight="1" spans="1:6" x14ac:dyDescent="0.25">
      <c r="A7" s="21" t="s">
        <v>27</v>
      </c>
      <c r="B7" s="21"/>
      <c r="C7" s="21"/>
      <c r="D7" s="21"/>
      <c r="E7" s="21"/>
      <c r="F7" s="21"/>
    </row>
    <row r="8" ht="28" customHeight="1" spans="1:6" x14ac:dyDescent="0.25">
      <c r="A8" s="22" t="s">
        <v>28</v>
      </c>
      <c r="B8" s="22"/>
      <c r="C8" s="22"/>
      <c r="D8" s="22"/>
      <c r="E8" s="22"/>
      <c r="F8" s="22"/>
    </row>
    <row r="9" ht="28" customHeight="1" spans="1:6" x14ac:dyDescent="0.25">
      <c r="A9" s="22" t="s">
        <v>29</v>
      </c>
      <c r="B9" s="22"/>
      <c r="C9" s="22"/>
      <c r="D9" s="22"/>
      <c r="E9" s="22"/>
      <c r="F9" s="22"/>
    </row>
    <row r="10" ht="28" customHeight="1" spans="1:6" x14ac:dyDescent="0.25">
      <c r="A10" s="22" t="s">
        <v>30</v>
      </c>
      <c r="B10" s="22"/>
      <c r="C10" s="22"/>
      <c r="D10" s="22"/>
      <c r="E10" s="22"/>
      <c r="F10" s="22"/>
    </row>
    <row r="11" ht="24" customHeight="1" spans="1:6" x14ac:dyDescent="0.25">
      <c r="A11" s="23" t="s">
        <v>31</v>
      </c>
      <c r="B11" s="23"/>
      <c r="C11" s="23"/>
      <c r="D11" s="23"/>
      <c r="E11" s="23"/>
      <c r="F11" s="23"/>
    </row>
    <row r="12" ht="8" customHeight="1" x14ac:dyDescent="0.25"/>
    <row r="13" ht="20" customHeight="1" spans="1:6" x14ac:dyDescent="0.25">
      <c r="A13" s="21" t="s">
        <v>32</v>
      </c>
      <c r="B13" s="21"/>
      <c r="C13" s="21"/>
      <c r="D13" s="21"/>
      <c r="E13" s="21"/>
      <c r="F13" s="21"/>
    </row>
    <row r="14" ht="22" customHeight="1" spans="1:6" x14ac:dyDescent="0.25">
      <c r="A14" s="5" t="s">
        <v>33</v>
      </c>
      <c r="B14" s="5"/>
      <c r="C14" s="5" t="s">
        <v>34</v>
      </c>
      <c r="D14" s="5"/>
      <c r="E14" s="5" t="s">
        <v>35</v>
      </c>
      <c r="F14" s="5"/>
    </row>
    <row r="15" ht="20" customHeight="1" spans="1:6" x14ac:dyDescent="0.25">
      <c r="A15" s="24" t="s">
        <v>36</v>
      </c>
      <c r="B15" s="24"/>
      <c r="C15" s="25"/>
      <c r="D15" s="25"/>
      <c r="E15" s="20" t="s">
        <v>37</v>
      </c>
      <c r="F15" s="20"/>
    </row>
    <row r="16" ht="20" customHeight="1" spans="1:6" x14ac:dyDescent="0.25">
      <c r="A16" s="24" t="s">
        <v>38</v>
      </c>
      <c r="B16" s="24"/>
      <c r="C16" s="25"/>
      <c r="D16" s="25"/>
      <c r="E16" s="20" t="s">
        <v>39</v>
      </c>
      <c r="F16" s="20"/>
    </row>
    <row r="17" ht="20" customHeight="1" spans="1:6" x14ac:dyDescent="0.25">
      <c r="A17" s="24" t="s">
        <v>40</v>
      </c>
      <c r="B17" s="24"/>
      <c r="C17" s="26">
        <f>IFERROR(LOOKUP(2,1/(rv_revisao&lt;&gt;""),rv_revisao)&amp;"","")</f>
      </c>
      <c r="D17" s="26"/>
      <c r="E17" s="20" t="s">
        <v>41</v>
      </c>
      <c r="F17" s="20"/>
    </row>
    <row r="18" ht="20" customHeight="1" spans="1:6" x14ac:dyDescent="0.25">
      <c r="A18" s="24" t="s">
        <v>42</v>
      </c>
      <c r="B18" s="24"/>
      <c r="C18" s="27">
        <f>IFERROR(1/(1/LOOKUP(2,1/(rv_revisao&lt;&gt;""),rv_data)),"")</f>
      </c>
      <c r="D18" s="27"/>
      <c r="E18" s="20" t="s">
        <v>43</v>
      </c>
      <c r="F18" s="20"/>
    </row>
    <row r="19" ht="20" customHeight="1" spans="1:6" x14ac:dyDescent="0.25">
      <c r="A19" s="24" t="s">
        <v>44</v>
      </c>
      <c r="B19" s="24"/>
      <c r="C19" s="25"/>
      <c r="D19" s="25"/>
      <c r="E19" s="20" t="s">
        <v>45</v>
      </c>
      <c r="F19" s="20"/>
    </row>
    <row r="20" ht="20" customHeight="1" spans="1:6" x14ac:dyDescent="0.25">
      <c r="A20" s="24" t="s">
        <v>46</v>
      </c>
      <c r="B20" s="24"/>
      <c r="C20" s="28"/>
      <c r="D20" s="28"/>
      <c r="E20" s="20" t="s">
        <v>47</v>
      </c>
      <c r="F20" s="20"/>
    </row>
    <row r="21" ht="8" customHeight="1" x14ac:dyDescent="0.25"/>
    <row r="22" ht="20" customHeight="1" spans="1:6" x14ac:dyDescent="0.25">
      <c r="A22" s="21" t="s">
        <v>48</v>
      </c>
      <c r="B22" s="21"/>
      <c r="C22" s="21"/>
      <c r="D22" s="21"/>
      <c r="E22" s="21"/>
      <c r="F22" s="21"/>
    </row>
    <row r="23" ht="22" customHeight="1" spans="1:6" x14ac:dyDescent="0.25">
      <c r="A23" s="5" t="s">
        <v>49</v>
      </c>
      <c r="B23" s="5" t="s">
        <v>50</v>
      </c>
      <c r="C23" s="5" t="s">
        <v>51</v>
      </c>
      <c r="D23" s="5" t="s">
        <v>52</v>
      </c>
      <c r="E23" s="5"/>
      <c r="F23" s="5"/>
    </row>
    <row r="24" ht="20" customHeight="1" spans="1:6" x14ac:dyDescent="0.25">
      <c r="A24" s="24" t="s">
        <v>53</v>
      </c>
      <c r="B24" s="29">
        <f>COUNT(in_mes)</f>
      </c>
      <c r="C24" s="29">
        <f>COUNTIF(in_conferencia,"ERRO*")</f>
      </c>
      <c r="D24" s="30">
        <f>IF(COUNTA('Indicadores'!$A$40:$A$2039)&gt;0,"ATENÇÃO: há dados além da linha 39; estenda fórmulas e nomes","OK")</f>
      </c>
      <c r="E24" s="30"/>
      <c r="F24" s="30"/>
    </row>
    <row r="25" ht="8" customHeight="1" x14ac:dyDescent="0.25"/>
    <row r="26" ht="24" customHeight="1" spans="1:6" x14ac:dyDescent="0.25">
      <c r="A26" s="23" t="s">
        <v>54</v>
      </c>
      <c r="B26" s="23"/>
      <c r="C26" s="23"/>
      <c r="D26" s="23"/>
      <c r="E26" s="23"/>
      <c r="F26" s="23"/>
    </row>
  </sheetData>
  <sheetProtection sheet="1" formatColumns="0" formatRows="0" autoFilter="0"/>
  <mergeCells count="35">
    <mergeCell ref="A1:B2"/>
    <mergeCell ref="C1:E2"/>
    <mergeCell ref="B4:C4"/>
    <mergeCell ref="E4:F4"/>
    <mergeCell ref="A7:F7"/>
    <mergeCell ref="A8:F8"/>
    <mergeCell ref="A9:F9"/>
    <mergeCell ref="A10:F10"/>
    <mergeCell ref="A11:F11"/>
    <mergeCell ref="A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2:F22"/>
    <mergeCell ref="D23:F23"/>
    <mergeCell ref="D24:F24"/>
    <mergeCell ref="A26:F26"/>
  </mergeCells>
  <conditionalFormatting sqref="C24:C24">
    <cfRule type="expression" dxfId="6" priority="1">
      <formula>N(C24)&gt;0</formula>
    </cfRule>
  </conditionalFormatting>
  <conditionalFormatting sqref="D24:D24">
    <cfRule type="expression" dxfId="7" priority="1">
      <formula>OR(LEFT(D24,4)="ERRO",LEFT(D24,7)="ATENÇÃO")</formula>
    </cfRule>
    <cfRule type="expression" dxfId="8" priority="2">
      <formula>OR(LEFT(D24,8)="Pendente",LEFT(D24,9)="Verificar",LEFT(D24,9)="Duplicada",LEFT(D24,7)="Tarefa ",LEFT(D24,13)="Fora do plano",LEFT(D24,8)="Previsão",LEFT(D24,11)="Sem vínculo",LEFT(D24,14)="Não verificado",LEFT(D24,7)="Informe",LEFT(D24,9)="A definir")</formula>
    </cfRule>
    <cfRule type="expression" dxfId="9" priority="3">
      <formula>OR(D24="OK",LEFT(D24,4)="Nada",LEFT(D24,3)="OK:")</formula>
    </cfRule>
  </conditionalFormatting>
  <dataValidations count="1">
    <dataValidation type="date" allowBlank="1" showErrorMessage="1" errorStyle="stop" errorTitle="Data inválida" error="Digite uma data válida no formato dd/mm/aaaa." sqref="C20">
      <formula1>32874</formula1>
      <formula2>73050</formula2>
    </dataValidation>
  </dataValidations>
  <hyperlinks>
    <hyperlink ref="B4" r:id="rId1" location="#'Indicadores'!A1"/>
    <hyperlink ref="D4" r:id="rId2" location="#'Revisões'!A1"/>
  </hyperlink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PCMD-07&amp;R&amp;"Arial,Regular"&amp;7&amp;K4A5668Impresso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Indicadores</vt:lpstr>
      <vt:lpstr>Revisões</vt:lpstr>
      <vt:lpstr>Config</vt:lpstr>
    </vt:vector>
  </TitlesOfParts>
  <Company>PCM Direto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 Direto</dc:creator>
  <dc:title>PCMD-07 · Indicadores mensais</dc:title>
  <dc:subject>PCM Direto</dc:subject>
  <dc:description/>
  <cp:keywords>PCMD-07</cp:keywords>
  <cp:category/>
  <cp:lastModifiedBy>PCM Direto</cp:lastModifiedBy>
  <dcterms:created xsi:type="dcterms:W3CDTF">2026-10-26T12:00:00Z</dcterms:created>
  <dcterms:modified xsi:type="dcterms:W3CDTF">2026-10-26T12:00:00Z</dcterms:modified>
</cp:coreProperties>
</file>