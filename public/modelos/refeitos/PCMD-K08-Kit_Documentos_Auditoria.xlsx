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5" name="Instruções" state="visible" r:id="rId4"/>
    <sheet sheetId="1" name="Painel" state="visible" r:id="rId5"/>
    <sheet sheetId="2" name="Matriz de Criticidade" state="visible" r:id="rId6"/>
    <sheet sheetId="3" name="Plano de Calibração" state="visible" r:id="rId7"/>
    <sheet sheetId="4" name="NC e Ação Corretiva" state="visible" r:id="rId8"/>
    <sheet sheetId="5" name="Competência e Treinamento" state="visible" r:id="rId9"/>
    <sheet sheetId="6" name="Requisitos Legais" state="visible" r:id="rId10"/>
    <sheet sheetId="7" name="Máquinas e riscos" state="visible" r:id="rId11"/>
    <sheet sheetId="8" name="Avaliação de Fornecedores" state="visible" r:id="rId12"/>
    <sheet sheetId="9" name="Checklist de Auditoria" state="visible" r:id="rId13"/>
    <sheet sheetId="10" name="Lista Mestra de Documentos" state="visible" r:id="rId14"/>
    <sheet sheetId="11" name="Manutenção Autônoma (TPM)" state="visible" r:id="rId15"/>
    <sheet sheetId="12" name="A3 - Resolução de Problemas" state="visible" r:id="rId16"/>
    <sheet sheetId="13" name="Listas" state="visible" r:id="rId17"/>
    <sheet sheetId="14" name="Revisões" state="visible" r:id="rId18"/>
  </sheets>
  <definedNames>
    <definedName name="lst_funcao">Listas!$H$4:$H$33</definedName>
    <definedName name="lst_treinamento">Listas!$J$4:$J$33</definedName>
    <definedName name="lst_orgao">Listas!$L$4:$L$33</definedName>
    <definedName name="lst_setor">Listas!$N$4:$N$33</definedName>
    <definedName name="lst_origem_nc">Listas!$P$4:$P$33</definedName>
    <definedName name="lst_metodo_causa">Listas!$R$4:$R$33</definedName>
    <definedName name="lst_status_acao">Listas!$T$4:$T$33</definedName>
    <definedName name="crit_matriz">Listas!$B$4:$F$8</definedName>
    <definedName name="rv_revisao">'Revisões'!$A$4:$A$33</definedName>
    <definedName name="rv_data">'Revisões'!$B$4:$B$33</definedName>
    <definedName name="cfg_elaborado">'Instruções'!$C$15</definedName>
    <definedName name="cfg_aprovado">'Instruções'!$C$16</definedName>
    <definedName name="cfg_revisao">'Instruções'!$C$17</definedName>
    <definedName name="cfg_data_revisao">'Instruções'!$C$18</definedName>
    <definedName name="pcmd_origem">'Instruções'!$C$19</definedName>
    <definedName name="pcmd_emissao">'Instruções'!$C$20</definedName>
    <definedName name="_xlnm.Print_Area" localSheetId="0">'Instruções'!$A1:$F49</definedName>
    <definedName name="_xlnm.Print_Titles" localSheetId="0">'Instruções'!$1:$3</definedName>
    <definedName name="_xlnm.Print_Area" localSheetId="1">'Painel'!$A1:$L26</definedName>
    <definedName name="_xlnm.Print_Titles" localSheetId="1">'Painel'!$1:$2</definedName>
    <definedName name="_xlnm.Print_Area" localSheetId="2">'Matriz de Criticidade'!$A1:$O103</definedName>
    <definedName name="_xlnm.Print_Titles" localSheetId="2">'Matriz de Criticidade'!$1:$3</definedName>
    <definedName name="_xlnm.Print_Area" localSheetId="3">'Plano de Calibração'!$A1:$K103</definedName>
    <definedName name="_xlnm.Print_Titles" localSheetId="3">'Plano de Calibração'!$1:$3</definedName>
    <definedName name="_xlnm.Print_Area" localSheetId="4">'NC e Ação Corretiva'!$A1:$H33</definedName>
    <definedName name="_xlnm.Print_Area" localSheetId="5">'Competência e Treinamento'!$A1:$J203</definedName>
    <definedName name="_xlnm.Print_Titles" localSheetId="5">'Competência e Treinamento'!$1:$3</definedName>
    <definedName name="_xlnm.Print_Area" localSheetId="6">'Requisitos Legais'!$A1:$I103</definedName>
    <definedName name="_xlnm.Print_Titles" localSheetId="6">'Requisitos Legais'!$1:$3</definedName>
    <definedName name="_xlnm.Print_Area" localSheetId="7">'Máquinas e riscos'!$A1:$L103</definedName>
    <definedName name="_xlnm.Print_Titles" localSheetId="7">'Máquinas e riscos'!$1:$3</definedName>
    <definedName name="_xlnm.Print_Area" localSheetId="8">'Avaliação de Fornecedores'!$A1:$K63</definedName>
    <definedName name="_xlnm.Print_Titles" localSheetId="8">'Avaliação de Fornecedores'!$1:$3</definedName>
    <definedName name="_xlnm.Print_Area" localSheetId="9">'Checklist de Auditoria'!$A1:$D34</definedName>
    <definedName name="_xlnm.Print_Area" localSheetId="10">'Lista Mestra de Documentos'!$A1:$I63</definedName>
    <definedName name="_xlnm.Print_Titles" localSheetId="10">'Lista Mestra de Documentos'!$1:$3</definedName>
    <definedName name="_xlnm.Print_Area" localSheetId="11">'Manutenção Autônoma (TPM)'!$A1:$J303</definedName>
    <definedName name="_xlnm.Print_Titles" localSheetId="11">'Manutenção Autônoma (TPM)'!$1:$3</definedName>
    <definedName name="_xlnm.Print_Area" localSheetId="12">'A3 - Resolução de Problemas'!$A1:$H28</definedName>
    <definedName name="_xlnm.Print_Area" localSheetId="13">'Listas'!$A1:$T33</definedName>
    <definedName name="_xlnm.Print_Titles" localSheetId="13">'Listas'!$1:$3</definedName>
    <definedName name="_xlnm.Print_Area" localSheetId="14">'Revisões'!$A1:$E33</definedName>
    <definedName name="_xlnm.Print_Titles" localSheetId="14">'Revisões'!$1:$3</definedName>
  </definedNames>
  <calcPr calcId="171027" fullCalcOnLoad="1"/>
</workbook>
</file>

<file path=xl/sharedStrings.xml><?xml version="1.0" encoding="utf-8"?>
<sst xmlns="http://schemas.openxmlformats.org/spreadsheetml/2006/main" count="366" uniqueCount="312">
  <si>
    <r>
      <rPr>
        <b/>
        <color rgb="FF0B2A5B"/>
        <sz val="16"/>
        <rFont val="Arial"/>
      </rPr>
      <t>Kit de documentos de manutenção para auditoria</t>
    </r>
    <r>
      <rPr>
        <color rgb="FF4A5668"/>
        <sz val="8.5"/>
        <rFont val="Arial"/>
      </rPr>
      <t xml:space="preserve">
Como usar, parâmetros do documento e conferências gerais.</t>
    </r>
  </si>
  <si>
    <t>1. COMO USAR</t>
  </si>
  <si>
    <t>1) Preencha cada aba do kit com os registros da sua unidade. Campos azul-claro são editáveis; status e conferências são calculados (aviso 30 dias antes de vencer).</t>
  </si>
  <si>
    <t>2) Responda o Checklist de Auditoria (Sim, Não ou Parcial) e acompanhe a prontidão no Painel. Regularize primeiro os itens Não.</t>
  </si>
  <si>
    <t>3) Confirme requisitos legais e normas na fonte oficial, com versão e data. Este kit apoia a gestão e não certifica conformidade.</t>
  </si>
  <si>
    <t>Azul-claro: preencher. Cinza: automático (fórmula protegida sem senha: Revisão › Desproteger Planilha se precisar mudar a estrutura). ERRO em vermelho e Pendente em amarelo pedem ação.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</si>
  <si>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</si>
  <si>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</si>
  <si>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</si>
  <si>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</si>
  <si>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</si>
  <si>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</si>
  <si>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</si>
  <si>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</si>
  <si>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</si>
  <si>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</si>
  <si>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</si>
  <si>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</si>
  <si>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</si>
  <si>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</si>
  <si>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</si>
  <si>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</si>
  <si>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Site / unidade</t>
  </si>
  <si>
    <t>Usado na Matriz de Criticidade.</t>
  </si>
  <si>
    <t>Líder do workshop de criticidade</t>
  </si>
  <si>
    <t>Quem conduziu a pontuação.</t>
  </si>
  <si>
    <t>Data do workshop</t>
  </si>
  <si>
    <t>Data da última pontuação.</t>
  </si>
  <si>
    <t>3. CONFERÊNCIAS</t>
  </si>
  <si>
    <t>Aba / verificação</t>
  </si>
  <si>
    <t>Linhas preenchidas</t>
  </si>
  <si>
    <t>Linhas com ERRO</t>
  </si>
  <si>
    <t>Capacidade / resultado</t>
  </si>
  <si>
    <t>Matriz de Criticidade</t>
  </si>
  <si>
    <t>Plano de Calibração</t>
  </si>
  <si>
    <t>Competência e Treinamento</t>
  </si>
  <si>
    <t>Requisitos Legais</t>
  </si>
  <si>
    <t>Demais registros</t>
  </si>
  <si>
    <t>4. ÍNDICE DAS ABAS (clique no nome)</t>
  </si>
  <si>
    <t>Painel</t>
  </si>
  <si>
    <t>Prontidão, vencidos e pendências do kit.</t>
  </si>
  <si>
    <t>Como a criticidade dos ativos foi definida.</t>
  </si>
  <si>
    <t>Instrumentos, certificados e vencimentos.</t>
  </si>
  <si>
    <t>NC e Ação Corretiva</t>
  </si>
  <si>
    <t>Formulário CAPA: causa, ação e eficácia.</t>
  </si>
  <si>
    <t>Treinamentos e certificações da equipe.</t>
  </si>
  <si>
    <t>Licenças, NRs e laudos com fonte oficial.</t>
  </si>
  <si>
    <t>Máquinas e riscos</t>
  </si>
  <si>
    <t>Inventário de máquinas, riscos e proteções.</t>
  </si>
  <si>
    <t>Avaliação de Fornecedores</t>
  </si>
  <si>
    <t>Critério documentado de avaliação de terceiros.</t>
  </si>
  <si>
    <t>Checklist de Auditoria</t>
  </si>
  <si>
    <t>Autoavaliação antes da auditoria externa.</t>
  </si>
  <si>
    <t>Lista Mestra de Documentos</t>
  </si>
  <si>
    <t>Documentos controlados e revisões.</t>
  </si>
  <si>
    <t>Manutenção Autônoma (TPM)</t>
  </si>
  <si>
    <t>Checklist diário do operador.</t>
  </si>
  <si>
    <t>A3 - Resolução de Problemas</t>
  </si>
  <si>
    <t>Análise PDCA de uma página.</t>
  </si>
  <si>
    <t>Listas</t>
  </si>
  <si>
    <t>Listas suspensas e matriz de referência.</t>
  </si>
  <si>
    <t>Revisões</t>
  </si>
  <si>
    <t>Histórico de revisões.</t>
  </si>
  <si>
    <t>PCMD-K08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</si>
  <si>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Painel de prontidão para auditoria</t>
    </r>
    <r>
      <rPr>
        <color rgb="FF4A5668"/>
        <sz val="8.5"/>
        <rFont val="Arial"/>
      </rPr>
      <t xml:space="preserve">
Resumo automático do que está vencido ou pendente nas abas do kit. Nada para preencher aqui.</t>
    </r>
  </si>
  <si>
    <t>PRONTIDÃO GERAL</t>
  </si>
  <si>
    <t>CALIBRAÇÕES VENCIDAS</t>
  </si>
  <si>
    <t>TREINAMENTOS VENCIDOS</t>
  </si>
  <si>
    <t>REQUISITOS LEGAIS VENCIDOS</t>
  </si>
  <si>
    <t>itens Sim ÷ itens do checklist interno</t>
  </si>
  <si>
    <t>instrumentos fora do prazo</t>
  </si>
  <si>
    <t>certificações expiradas</t>
  </si>
  <si>
    <t>licenças e laudos</t>
  </si>
  <si>
    <t>PENDÊNCIAS POR DOCUMENTO</t>
  </si>
  <si>
    <t>CHECKLIST INTERNO</t>
  </si>
  <si>
    <t>ATIVOS POR CRITICIDADE</t>
  </si>
  <si>
    <t>DADOS DOS GRÁFICOS (automático, não digite)</t>
  </si>
  <si>
    <t>Pendência</t>
  </si>
  <si>
    <t>Resposta</t>
  </si>
  <si>
    <t>Criticidade</t>
  </si>
  <si>
    <t>Calibração vencida</t>
  </si>
  <si>
    <t>Sim</t>
  </si>
  <si>
    <t>Nível 5</t>
  </si>
  <si>
    <t>Treinamento vencido</t>
  </si>
  <si>
    <t>Parcial</t>
  </si>
  <si>
    <t>Nível 4</t>
  </si>
  <si>
    <t>Requisito legal vencido</t>
  </si>
  <si>
    <t>Não</t>
  </si>
  <si>
    <t>Nível 3</t>
  </si>
  <si>
    <t>Revisão de documento vencida</t>
  </si>
  <si>
    <t>Sem resposta</t>
  </si>
  <si>
    <t>Nível 2</t>
  </si>
  <si>
    <t>Fornecedor com ressalva/reprovado</t>
  </si>
  <si>
    <t>Nível 1</t>
  </si>
  <si>
    <t>Análise de risco a revisar</t>
  </si>
  <si>
    <t>TPM: falha/alerta sem repasse</t>
  </si>
  <si>
    <r>
      <rPr>
        <b/>
        <color rgb="FF0B2A5B"/>
        <sz val="16"/>
        <rFont val="Arial"/>
      </rPr>
      <t>Matriz de criticidade de ativos</t>
    </r>
    <r>
      <rPr>
        <color rgb="FF4A5668"/>
        <sz val="8.5"/>
        <rFont val="Arial"/>
      </rPr>
      <t xml:space="preserve">
Pontue S, E, P, Q e C de 1 a 5 e a probabilidade L de 1 a 5. A maior consequência cruza com L na matriz de referência (aba Listas).</t>
    </r>
  </si>
  <si>
    <t>ID do ativo</t>
  </si>
  <si>
    <t>Descrição</t>
  </si>
  <si>
    <t>Local</t>
  </si>
  <si>
    <t>Função (frase única)</t>
  </si>
  <si>
    <t>S Segurança</t>
  </si>
  <si>
    <t>E Meio ambiente</t>
  </si>
  <si>
    <t>P Produção</t>
  </si>
  <si>
    <t>Q Qualidade</t>
  </si>
  <si>
    <t>C Custo</t>
  </si>
  <si>
    <t>L Probabilidade</t>
  </si>
  <si>
    <t>Consequência (maior)</t>
  </si>
  <si>
    <t>Criticidade (1-5)</t>
  </si>
  <si>
    <t>Estratégia recomendada</t>
  </si>
  <si>
    <t>Responsável</t>
  </si>
  <si>
    <t>Conferência</t>
  </si>
  <si>
    <r>
      <rPr>
        <b/>
        <color rgb="FF0B2A5B"/>
        <sz val="16"/>
        <rFont val="Arial"/>
      </rPr>
      <t>Plano de calibração de instrumentos</t>
    </r>
    <r>
      <rPr>
        <color rgb="FF4A5668"/>
        <sz val="8.5"/>
        <rFont val="Arial"/>
      </rPr>
      <t xml:space="preserve">
Próxima calibração = última + frequência. Status com aviso de 30 dias.</t>
    </r>
  </si>
  <si>
    <t>Código do instrumento</t>
  </si>
  <si>
    <t>Ativo / local vinculado</t>
  </si>
  <si>
    <t>Faixa de medição</t>
  </si>
  <si>
    <t>Frequência (meses)</t>
  </si>
  <si>
    <t>Última calibração</t>
  </si>
  <si>
    <t>Próxima calibração</t>
  </si>
  <si>
    <t>Laboratório / responsável</t>
  </si>
  <si>
    <t>Nº do certificado</t>
  </si>
  <si>
    <t>Status</t>
  </si>
  <si>
    <r>
      <rPr>
        <b/>
        <color rgb="FF0B2A5B"/>
        <sz val="16"/>
        <rFont val="Arial"/>
      </rPr>
      <t>Não conformidade e ação corretiva (CAPA)</t>
    </r>
    <r>
      <rPr>
        <color rgb="FF4A5668"/>
        <sz val="8.5"/>
        <rFont val="Arial"/>
      </rPr>
      <t xml:space="preserve">
Um registro por não conformidade. Imprima ou salve uma cópia por NC.</t>
    </r>
  </si>
  <si>
    <t>1. DADOS DO REGISTRO</t>
  </si>
  <si>
    <t>Nº da NC</t>
  </si>
  <si>
    <t>Data de abertura</t>
  </si>
  <si>
    <t>Origem</t>
  </si>
  <si>
    <t>Ativo / local</t>
  </si>
  <si>
    <t>Aberta por</t>
  </si>
  <si>
    <t>Requisito / referência</t>
  </si>
  <si>
    <t>2. DESCRIÇÃO DA NÃO CONFORMIDADE</t>
  </si>
  <si>
    <t>3. CONTENÇÃO IMEDIATA</t>
  </si>
  <si>
    <t>Data</t>
  </si>
  <si>
    <t>4. ANÁLISE DE CAUSA</t>
  </si>
  <si>
    <t>Método</t>
  </si>
  <si>
    <t>Causa raiz</t>
  </si>
  <si>
    <t>5. PLANO DE AÇÃO</t>
  </si>
  <si>
    <t>Ação</t>
  </si>
  <si>
    <t>Prazo</t>
  </si>
  <si>
    <t>6. VERIFICAÇÃO DE EFICÁCIA</t>
  </si>
  <si>
    <t>Data da verificação</t>
  </si>
  <si>
    <t>A ação foi eficaz?</t>
  </si>
  <si>
    <t>Evidência</t>
  </si>
  <si>
    <t>Verificado por</t>
  </si>
  <si>
    <t>7. ENCERRAMENTO (automático)</t>
  </si>
  <si>
    <t>Situação da NC</t>
  </si>
  <si>
    <r>
      <rPr>
        <b/>
        <color rgb="FF0B2A5B"/>
        <sz val="16"/>
        <rFont val="Arial"/>
      </rPr>
      <t>Competência e treinamento da equipe</t>
    </r>
    <r>
      <rPr>
        <color rgb="FF4A5668"/>
        <sz val="8.5"/>
        <rFont val="Arial"/>
      </rPr>
      <t xml:space="preserve">
Uma linha por treinamento ou certificação. Status com aviso de 30 dias.</t>
    </r>
  </si>
  <si>
    <t>Colaborador</t>
  </si>
  <si>
    <t>Função</t>
  </si>
  <si>
    <t>Treinamento / certificação</t>
  </si>
  <si>
    <t>Data de realização</t>
  </si>
  <si>
    <t>Validade</t>
  </si>
  <si>
    <t>Carga horária (h)</t>
  </si>
  <si>
    <t>Instrutor / instituição</t>
  </si>
  <si>
    <t>Evidência (nº certificado)</t>
  </si>
  <si>
    <r>
      <rPr>
        <b/>
        <color rgb="FF0B2A5B"/>
        <sz val="16"/>
        <rFont val="Arial"/>
      </rPr>
      <t>Requisitos legais e normativos aplicáveis</t>
    </r>
    <r>
      <rPr>
        <color rgb="FF4A5668"/>
        <sz val="8.5"/>
        <rFont val="Arial"/>
      </rPr>
      <t xml:space="preserve">
Confirme cada requisito na fonte oficial (HTTPS), com versão e data. Este modelo não certifica conformidade.</t>
    </r>
  </si>
  <si>
    <t>Ativo / instalação</t>
  </si>
  <si>
    <t>Requisito aplicável</t>
  </si>
  <si>
    <t>Órgão fiscalizador</t>
  </si>
  <si>
    <t>Documento / comprovante</t>
  </si>
  <si>
    <t>Fonte oficial (HTTPS)</t>
  </si>
  <si>
    <t>Data de validade</t>
  </si>
  <si>
    <r>
      <rPr>
        <b/>
        <color rgb="FF0B2A5B"/>
        <sz val="16"/>
        <rFont val="Arial"/>
      </rPr>
      <t>Inventário de máquinas e riscos</t>
    </r>
    <r>
      <rPr>
        <color rgb="FF4A5668"/>
        <sz val="8.5"/>
        <rFont val="Arial"/>
      </rPr>
      <t xml:space="preserve">
Identificação, localização e riscos de cada máquina. Análise de risco com mais de 24 meses pede revisão.</t>
    </r>
  </si>
  <si>
    <t>Código do ativo</t>
  </si>
  <si>
    <t>Nome / tipo da máquina</t>
  </si>
  <si>
    <t>Fabricante</t>
  </si>
  <si>
    <t>Nº de série</t>
  </si>
  <si>
    <t>Ano</t>
  </si>
  <si>
    <t>Modelo</t>
  </si>
  <si>
    <t>Localização</t>
  </si>
  <si>
    <t>Pontos de risco identificados</t>
  </si>
  <si>
    <t>Medida de proteção existente</t>
  </si>
  <si>
    <t>Última análise de risco</t>
  </si>
  <si>
    <t>Situação da análise</t>
  </si>
  <si>
    <r>
      <rPr>
        <b/>
        <color rgb="FF0B2A5B"/>
        <sz val="16"/>
        <rFont val="Arial"/>
      </rPr>
      <t>Avaliação de fornecedores de manutenção</t>
    </r>
    <r>
      <rPr>
        <color rgb="FF4A5668"/>
        <sz val="8.5"/>
        <rFont val="Arial"/>
      </rPr>
      <t xml:space="preserve">
Notas de 1 a 5. Média ≥ 4 aprovado; ≥ 3 com ressalva; abaixo de 3 reprovado.</t>
    </r>
  </si>
  <si>
    <t>Fornecedor</t>
  </si>
  <si>
    <t>Serviço / produto fornecido</t>
  </si>
  <si>
    <t>Data da avaliação</t>
  </si>
  <si>
    <t>Prazo de entrega (1-5)</t>
  </si>
  <si>
    <t>Qualidade do serviço (1-5)</t>
  </si>
  <si>
    <t>Conformidade documental (1-5)</t>
  </si>
  <si>
    <t>Nota média</t>
  </si>
  <si>
    <t>Classificação</t>
  </si>
  <si>
    <t>Próxima avaliação</t>
  </si>
  <si>
    <t>Situação</t>
  </si>
  <si>
    <r>
      <rPr>
        <b/>
        <color rgb="FF0B2A5B"/>
        <sz val="16"/>
        <rFont val="Arial"/>
      </rPr>
      <t>Checklist de auditoria interna de manutenção</t>
    </r>
    <r>
      <rPr>
        <color rgb="FF4A5668"/>
        <sz val="8.5"/>
        <rFont val="Arial"/>
      </rPr>
      <t xml:space="preserve">
Responda Sim, Não ou Parcial para cada item e veja o nível de prontidão antes da auditoria externa.</t>
    </r>
  </si>
  <si>
    <t>DADOS DA AUDITORIA</t>
  </si>
  <si>
    <t>Site / setor</t>
  </si>
  <si>
    <t>Data da auditoria</t>
  </si>
  <si>
    <t>Auditor</t>
  </si>
  <si>
    <t>Responsável pela manutenção</t>
  </si>
  <si>
    <t>Período coberto</t>
  </si>
  <si>
    <t>Última auditoria</t>
  </si>
  <si>
    <t>AUTOAVALIAÇÃO</t>
  </si>
  <si>
    <t>Item verificado</t>
  </si>
  <si>
    <t>Documento / aba relacionada</t>
  </si>
  <si>
    <t>Observação</t>
  </si>
  <si>
    <t>Existe cadastro atualizado de todos os ativos, com criticidade definida?</t>
  </si>
  <si>
    <t>As OS registram causa, ação e evidência de execução?</t>
  </si>
  <si>
    <t>Sistema de OS (PCMD-K02 / K09)</t>
  </si>
  <si>
    <t>Os instrumentos de medição têm plano de calibração em dia?</t>
  </si>
  <si>
    <t>Há inventário de máquinas com riscos e proteções identificados?</t>
  </si>
  <si>
    <t>As não conformidades têm ação corretiva com verificação de eficácia registrada?</t>
  </si>
  <si>
    <t>A equipe tem treinamento/certificação válida e registrada?</t>
  </si>
  <si>
    <t>As licenças e requisitos legais estão mapeados, com fonte oficial, e no prazo?</t>
  </si>
  <si>
    <t>Fornecedores terceirizados de manutenção são avaliados periodicamente?</t>
  </si>
  <si>
    <t>Os indicadores (MTBF, MTTR, disponibilidade) são calculados com dados reais?</t>
  </si>
  <si>
    <t>Dashboard de KPIs (PCMD-K06)</t>
  </si>
  <si>
    <t>Existe análise de causa raiz para as piores falhas recorrentes?</t>
  </si>
  <si>
    <t>RESULTADO DA AUTOAVALIAÇÃO (automático)</t>
  </si>
  <si>
    <t>Itens respondidos</t>
  </si>
  <si>
    <t>Sim / Parcial / Não</t>
  </si>
  <si>
    <t>Itens a regularizar primeiro</t>
  </si>
  <si>
    <t>Nível de prontidão (% de itens Sim)</t>
  </si>
  <si>
    <t>ASSINATURAS</t>
  </si>
  <si>
    <t>Nome</t>
  </si>
  <si>
    <t>Assinatura</t>
  </si>
  <si>
    <r>
      <rPr>
        <b/>
        <color rgb="FF0B2A5B"/>
        <sz val="16"/>
        <rFont val="Arial"/>
      </rPr>
      <t>Lista mestra de documentos</t>
    </r>
    <r>
      <rPr>
        <color rgb="FF4A5668"/>
        <sz val="8.5"/>
        <rFont val="Arial"/>
      </rPr>
      <t xml:space="preserve">
Documentos controlados do sistema de manutenção, revisão vigente e próxima revisão.</t>
    </r>
  </si>
  <si>
    <t>Código do documento</t>
  </si>
  <si>
    <t>Nome do documento</t>
  </si>
  <si>
    <t>Revisão</t>
  </si>
  <si>
    <t>Data da revisão</t>
  </si>
  <si>
    <t>Aprovado por</t>
  </si>
  <si>
    <t>Local de arquivamento</t>
  </si>
  <si>
    <t>Próxima revisão prevista</t>
  </si>
  <si>
    <r>
      <rPr>
        <b/>
        <color rgb="FF0B2A5B"/>
        <sz val="16"/>
        <rFont val="Arial"/>
      </rPr>
      <t>Plano de manutenção autônoma (TPM)</t>
    </r>
    <r>
      <rPr>
        <color rgb="FF4A5668"/>
        <sz val="8.5"/>
        <rFont val="Arial"/>
      </rPr>
      <t xml:space="preserve">
Checklist do operador: limpeza, inspeção visual e lubrificação básica. Falha ou alerta deve ser repassado à manutenção.</t>
    </r>
  </si>
  <si>
    <t>Ativo</t>
  </si>
  <si>
    <t>Item verificado (limpeza, inspeção, lubrificação)</t>
  </si>
  <si>
    <t>Frequência</t>
  </si>
  <si>
    <t>Turno</t>
  </si>
  <si>
    <t>Operador</t>
  </si>
  <si>
    <t>O que foi observado</t>
  </si>
  <si>
    <t>Repassado à manutenção?</t>
  </si>
  <si>
    <r>
      <rPr>
        <b/>
        <color rgb="FF0B2A5B"/>
        <sz val="16"/>
        <rFont val="Arial"/>
      </rPr>
      <t>A3 de resolução de problemas</t>
    </r>
    <r>
      <rPr>
        <color rgb="FF4A5668"/>
        <sz val="8.5"/>
        <rFont val="Arial"/>
      </rPr>
      <t xml:space="preserve">
Uma página PDCA para falhas recorrentes ou não conformidades que pedem análise mais profunda.</t>
    </r>
  </si>
  <si>
    <t>DADOS DO A3</t>
  </si>
  <si>
    <t>Título / tema</t>
  </si>
  <si>
    <t>Patrocinador</t>
  </si>
  <si>
    <t>Equipe</t>
  </si>
  <si>
    <t>Ativo / processo de referência</t>
  </si>
  <si>
    <t>1. CONTEXTO (por que importa agora)</t>
  </si>
  <si>
    <t>3. ANÁLISE DE CAUSA RAIZ (5 porquês / espinha de peixe)</t>
  </si>
  <si>
    <t>2. SITUAÇÃO ATUAL (dados) E META (mensurável, com prazo)</t>
  </si>
  <si>
    <t>4. CONTRAMEDIDAS PROPOSTAS</t>
  </si>
  <si>
    <t>5. PLANO DE IMPLEMENTAÇÃO</t>
  </si>
  <si>
    <t>O quê</t>
  </si>
  <si>
    <t>Quem</t>
  </si>
  <si>
    <t>Quando</t>
  </si>
  <si>
    <t>Onde</t>
  </si>
  <si>
    <t>6. ACOMPANHAMENTO (indicador de sucesso e checagens)</t>
  </si>
  <si>
    <t>7. RESULTADOS (comparado à meta, data da análise)</t>
  </si>
  <si>
    <t>APROVAÇÃO</t>
  </si>
  <si>
    <t>Responsável pelo A3</t>
  </si>
  <si>
    <r>
      <rPr>
        <b/>
        <color rgb="FF0B2A5B"/>
        <sz val="16"/>
        <rFont val="Arial"/>
      </rPr>
      <t>Listas</t>
    </r>
    <r>
      <rPr>
        <color rgb="FF4A5668"/>
        <sz val="8.5"/>
        <rFont val="Arial"/>
      </rPr>
      <t xml:space="preserve">
Listas suspensas e a matriz de referência Consequência × Probabilidade (usada pela Matriz de Criticidade — não apague).</t>
    </r>
  </si>
  <si>
    <t>C \ L</t>
  </si>
  <si>
    <t>L=1</t>
  </si>
  <si>
    <t>L=2</t>
  </si>
  <si>
    <t>L=3</t>
  </si>
  <si>
    <t>L=4</t>
  </si>
  <si>
    <t>L=5</t>
  </si>
  <si>
    <t>Treinamento</t>
  </si>
  <si>
    <t>Setor / localização</t>
  </si>
  <si>
    <t>Origem da NC</t>
  </si>
  <si>
    <t>Método de causa</t>
  </si>
  <si>
    <t>Status da ação</t>
  </si>
  <si>
    <t>C=5</t>
  </si>
  <si>
    <t>Mecânico</t>
  </si>
  <si>
    <t>NR-06</t>
  </si>
  <si>
    <t>Ministério do Trabalho</t>
  </si>
  <si>
    <t>Auditoria</t>
  </si>
  <si>
    <t>5 Porquês</t>
  </si>
  <si>
    <t>Não iniciado</t>
  </si>
  <si>
    <t>C=4</t>
  </si>
  <si>
    <t>Eletricista</t>
  </si>
  <si>
    <t>NR-10</t>
  </si>
  <si>
    <t>Corpo de Bombeiros</t>
  </si>
  <si>
    <t>Investigação de incidente</t>
  </si>
  <si>
    <t>Espinha de peixe</t>
  </si>
  <si>
    <t>Em andamento</t>
  </si>
  <si>
    <t>C=3</t>
  </si>
  <si>
    <t>Instrumentista</t>
  </si>
  <si>
    <t>NR-11</t>
  </si>
  <si>
    <t>Órgão ambiental estadual</t>
  </si>
  <si>
    <t>Reclamação de cliente</t>
  </si>
  <si>
    <t>Árvore de falhas</t>
  </si>
  <si>
    <t>Concluído</t>
  </si>
  <si>
    <t>C=2</t>
  </si>
  <si>
    <t>Técnico eletrônico</t>
  </si>
  <si>
    <t>NR-12</t>
  </si>
  <si>
    <t>IBAMA</t>
  </si>
  <si>
    <t>Inspeção</t>
  </si>
  <si>
    <t>Outro</t>
  </si>
  <si>
    <t>C=1</t>
  </si>
  <si>
    <t>NR-13</t>
  </si>
  <si>
    <t>Prefeitura</t>
  </si>
  <si>
    <t>Análise crítica</t>
  </si>
  <si>
    <t>Encarregado</t>
  </si>
  <si>
    <t>NR-33</t>
  </si>
  <si>
    <t>ANEEL</t>
  </si>
  <si>
    <t>Supervisor</t>
  </si>
  <si>
    <t>NR-35</t>
  </si>
  <si>
    <t>ANVISA</t>
  </si>
  <si>
    <t>Planejador (PCM)</t>
  </si>
  <si>
    <t>Operação de máquina</t>
  </si>
  <si>
    <t>Certificadora</t>
  </si>
  <si>
    <t>Terceiro</t>
  </si>
  <si>
    <t>Interpretação de desenho</t>
  </si>
  <si>
    <t>Primeiros socorros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</si>
  <si>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</si>
  <si>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Descrição da alteração</t>
  </si>
  <si>
    <t>Revisado por</t>
  </si>
  <si>
    <t>00</t>
  </si>
  <si>
    <t>Emissão no padrão PCM Direto (PCMD-Modelo-Padrão): layout, cores, fontes e conferências revisados.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</si>
</sst>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16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10"/>
      <name val="Arial"/>
    </font>
    <font>
      <color rgb="FF0E1726"/>
      <sz val="9"/>
      <name val="Arial"/>
    </font>
    <font>
      <b/>
      <color rgb="FFFFFFFF"/>
      <sz val="9"/>
      <name val="Arial"/>
    </font>
    <font>
      <b/>
      <color rgb="FF0B2A5B"/>
      <sz val="9"/>
      <name val="Arial"/>
    </font>
    <font>
      <color rgb="FF4A5668"/>
      <sz val="8.5"/>
      <name val="Arial"/>
    </font>
    <font>
      <color rgb="FF4A5668"/>
      <sz val="9"/>
      <name val="Arial"/>
    </font>
    <font>
      <b/>
      <u/>
      <color rgb="FF0B2A5B"/>
      <sz val="9"/>
      <name val="Arial"/>
    </font>
    <font>
      <b/>
      <color rgb="FF4A5668"/>
      <sz val="8"/>
      <name val="Arial"/>
    </font>
    <font>
      <b/>
      <color rgb="FF0B2A5B"/>
      <sz val="20"/>
      <name val="Arial"/>
    </font>
    <font>
      <b/>
      <color rgb="FF0E1726"/>
      <sz val="9"/>
      <name val="Arial"/>
    </font>
    <font>
      <b/>
      <color rgb="FF4A5668"/>
      <sz val="9"/>
      <name val="Arial"/>
    </font>
    <font>
      <b/>
      <color rgb="FF0B2A5B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center" indent="1"/>
    </xf>
    <xf numFmtId="0" fontId="5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6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 indent="1"/>
    </xf>
    <xf numFmtId="49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8" fillId="0" borderId="5" xfId="0" applyFont="1" applyBorder="1" applyAlignment="1">
      <alignment vertical="center" wrapText="1" indent="1"/>
    </xf>
    <xf numFmtId="49" fontId="9" fillId="3" borderId="5" xfId="0" applyNumberFormat="1" applyFont="1" applyFill="1" applyBorder="1" applyAlignment="1">
      <alignment horizontal="left" vertical="center" wrapText="1" indent="1"/>
    </xf>
    <xf numFmtId="164" fontId="9" fillId="3" borderId="5" xfId="0" applyNumberFormat="1" applyFont="1" applyFill="1" applyBorder="1" applyAlignment="1">
      <alignment horizontal="left" vertical="center" wrapText="1" indent="1"/>
    </xf>
    <xf numFmtId="164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49" fontId="7" fillId="4" borderId="5" xfId="0" applyNumberFormat="1" applyFont="1" applyFill="1" applyBorder="1" applyAlignment="1" applyProtection="1">
      <alignment vertical="center" wrapText="1" indent="1"/>
      <protection locked="0"/>
    </xf>
    <xf numFmtId="164" fontId="7" fillId="4" borderId="5" xfId="0" applyNumberFormat="1" applyFont="1" applyFill="1" applyBorder="1" applyAlignment="1" applyProtection="1">
      <alignment vertical="center" wrapText="1" indent="1"/>
      <protection locked="0"/>
    </xf>
    <xf numFmtId="0" fontId="9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vertical="center" wrapText="1" indent="1"/>
    </xf>
    <xf numFmtId="0" fontId="10" fillId="3" borderId="5" xfId="0" applyFont="1" applyFill="1" applyBorder="1" applyAlignment="1">
      <alignment vertical="center" wrapText="1" indent="1"/>
    </xf>
    <xf numFmtId="0" fontId="11" fillId="3" borderId="5" xfId="0" applyFont="1" applyFill="1" applyBorder="1" applyAlignment="1">
      <alignment horizontal="center" vertical="center" wrapText="1" indent="1"/>
    </xf>
    <xf numFmtId="9" fontId="12" fillId="3" borderId="5" xfId="0" applyNumberFormat="1" applyFont="1" applyFill="1" applyBorder="1" applyAlignment="1">
      <alignment horizontal="center" vertical="center" wrapText="1" indent="1"/>
    </xf>
    <xf numFmtId="3" fontId="12" fillId="3" borderId="5" xfId="0" applyNumberFormat="1" applyFont="1" applyFill="1" applyBorder="1" applyAlignment="1">
      <alignment horizontal="center" vertical="center" wrapText="1" indent="1"/>
    </xf>
    <xf numFmtId="0" fontId="3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horizontal="left" vertical="center" indent="1"/>
    </xf>
    <xf numFmtId="3" fontId="9" fillId="3" borderId="5" xfId="0" applyNumberFormat="1" applyFont="1" applyFill="1" applyBorder="1" applyAlignment="1">
      <alignment horizontal="center" vertical="center"/>
    </xf>
    <xf numFmtId="49" fontId="13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1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wrapText="1" indent="1"/>
      <protection locked="0"/>
    </xf>
    <xf numFmtId="0" fontId="9" fillId="3" borderId="5" xfId="0" applyFont="1" applyFill="1" applyBorder="1" applyAlignment="1" applyProtection="1">
      <alignment horizontal="center" vertical="center"/>
    </xf>
    <xf numFmtId="0" fontId="14" fillId="3" borderId="5" xfId="0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 applyProtection="1">
      <alignment horizontal="left" vertical="center" indent="1"/>
    </xf>
    <xf numFmtId="164" fontId="5" fillId="0" borderId="5" xfId="0" applyNumberFormat="1" applyFont="1" applyBorder="1" applyAlignment="1" applyProtection="1">
      <alignment horizontal="center" vertical="center"/>
      <protection locked="0"/>
    </xf>
    <xf numFmtId="164" fontId="9" fillId="3" borderId="5" xfId="0" applyNumberFormat="1" applyFont="1" applyFill="1" applyBorder="1" applyAlignment="1" applyProtection="1">
      <alignment horizontal="center" vertical="center"/>
    </xf>
    <xf numFmtId="49" fontId="5" fillId="0" borderId="5" xfId="0" applyNumberFormat="1" applyFont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 applyProtection="1">
      <alignment vertical="center" wrapText="1" indent="1"/>
      <protection locked="0"/>
    </xf>
    <xf numFmtId="0" fontId="7" fillId="4" borderId="5" xfId="0" applyFont="1" applyFill="1" applyBorder="1" applyAlignment="1" applyProtection="1">
      <alignment vertical="top" wrapText="1" indent="1"/>
      <protection locked="0"/>
    </xf>
    <xf numFmtId="0" fontId="13" fillId="0" borderId="5" xfId="0" applyFont="1" applyBorder="1" applyAlignment="1" applyProtection="1">
      <alignment horizontal="left" vertical="center" indent="1"/>
      <protection locked="0"/>
    </xf>
    <xf numFmtId="165" fontId="5" fillId="0" borderId="5" xfId="0" applyNumberFormat="1" applyFont="1" applyBorder="1" applyAlignment="1" applyProtection="1">
      <alignment horizontal="center" vertical="center"/>
      <protection locked="0"/>
    </xf>
    <xf numFmtId="1" fontId="5" fillId="0" borderId="5" xfId="0" applyNumberFormat="1" applyFont="1" applyBorder="1" applyAlignment="1" applyProtection="1">
      <alignment horizontal="center" vertical="center"/>
      <protection locked="0"/>
    </xf>
    <xf numFmtId="165" fontId="9" fillId="3" borderId="5" xfId="0" applyNumberFormat="1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4" borderId="5" xfId="0" applyFont="1" applyFill="1" applyBorder="1" applyAlignment="1" applyProtection="1">
      <alignment horizontal="center" vertical="center" wrapText="1" indent="1"/>
      <protection locked="0"/>
    </xf>
    <xf numFmtId="9" fontId="15" fillId="3" borderId="5" xfId="0" applyNumberFormat="1" applyFont="1" applyFill="1" applyBorder="1" applyAlignment="1">
      <alignment vertical="center" wrapText="1" indent="1"/>
    </xf>
    <xf numFmtId="0" fontId="5" fillId="0" borderId="5" xfId="0" applyFont="1" applyBorder="1" applyAlignment="1" applyProtection="1">
      <alignment horizontal="left" vertical="center" indent="1"/>
    </xf>
    <xf numFmtId="0" fontId="5" fillId="0" borderId="5" xfId="0" applyFont="1" applyBorder="1" applyAlignment="1" applyProtection="1">
      <alignment horizontal="center" vertical="center"/>
    </xf>
  </cellXfs>
  <cellStyles count="1">
    <cellStyle name="Normal" xfId="0" builtinId="0"/>
  </cellStyles>
  <dxfs count="93"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85600"/>
      </font>
      <fill>
        <patternFill patternType="solid">
          <bgColor rgb="FFFDF1DC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B42318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'Painel'!$A$30:$A$36</c:f>
            </c:strRef>
          </c:cat>
          <c:val>
            <c:numRef>
              <c:f>'Painel'!$C$30:$C$36</c:f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doughnutChart>
        <c:varyColors val="1"/>
        <c:ser>
          <c:idx val="0"/>
          <c:order val="0"/>
          <c:tx>
            <c:v>Valor</c:v>
          </c:tx>
          <c:dPt>
            <c:idx val="0"/>
            <c:bubble3D val="0"/>
            <c:spPr>
              <a:solidFill>
                <a:srgbClr val="1E7A4C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E2701F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B42318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DDE3EA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'Painel'!$E$30:$E$33</c:f>
            </c:strRef>
          </c:cat>
          <c:val>
            <c:numRef>
              <c:f>'Painel'!$G$30:$G$33</c:f>
            </c:numRef>
          </c:val>
        </c:ser>
        <c:firstSliceAng val="0"/>
        <c:holeSize val="58"/>
      </c:doughnutChart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800" b="0">
              <a:solidFill>
                <a:srgbClr val="4A5668"/>
              </a:solidFill>
              <a:latin typeface="Arial"/>
              <a:cs typeface="Arial"/>
            </a:defRPr>
          </a:pPr>
          <a:endParaRPr lang="pt-BR"/>
        </a:p>
      </c:txPr>
    </c:legend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0B2A5B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'Painel'!$I$30:$I$34</c:f>
            </c:strRef>
          </c:cat>
          <c:val>
            <c:numRef>
              <c:f>'Painel'!$K$30:$K$34</c:f>
            </c:numRef>
          </c:val>
        </c:ser>
        <c:gapWidth val="60"/>
        <c:axId val="111"/>
        <c:axId val="222"/>
      </c:barChart>
      <c:catAx>
        <c:axId val="1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l"/>
        <c:majorGridlines>
          <c:spPr>
            <a:ln w="9525">
              <a:solidFill>
                <a:srgbClr val="EEF2F8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PcmdChart1" Type="http://schemas.openxmlformats.org/officeDocument/2006/relationships/chart" Target="../charts/chart1.xml"/><Relationship Id="rIdPcmdChart2" Type="http://schemas.openxmlformats.org/officeDocument/2006/relationships/chart" Target="../charts/chart2.xml"/><Relationship Id="rIdPcmdChart3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 editAs="oneCell">
    <xdr:from>
      <xdr:col>0</xdr:col>
      <xdr:colOff>10810</xdr:colOff>
      <xdr:row>0</xdr:row>
      <xdr:rowOff>180000</xdr:rowOff>
    </xdr:from>
    <xdr:ext cx="1609725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10</xdr:row>
      <xdr:rowOff>38100</xdr:rowOff>
    </xdr:from>
    <xdr:to>
      <xdr:col>4</xdr:col>
      <xdr:colOff>0</xdr:colOff>
      <xdr:row>26</xdr:row>
      <xdr:rowOff>0</xdr:rowOff>
    </xdr:to>
    <xdr:graphicFrame macro="">
      <xdr:nvGraphicFramePr>
        <xdr:cNvPr id="101" name="Gráfico 101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1"/>
        </a:graphicData>
      </a:graphic>
    </xdr:graphicFrame>
    <xdr:clientData/>
  </xdr:twoCellAnchor>
  <xdr:twoCellAnchor editAs="oneCell">
    <xdr:from>
      <xdr:col>4</xdr:col>
      <xdr:colOff>76200</xdr:colOff>
      <xdr:row>10</xdr:row>
      <xdr:rowOff>38100</xdr:rowOff>
    </xdr:from>
    <xdr:to>
      <xdr:col>8</xdr:col>
      <xdr:colOff>0</xdr:colOff>
      <xdr:row>26</xdr:row>
      <xdr:rowOff>0</xdr:rowOff>
    </xdr:to>
    <xdr:graphicFrame macro="">
      <xdr:nvGraphicFramePr>
        <xdr:cNvPr id="102" name="Gráfico 102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2"/>
        </a:graphicData>
      </a:graphic>
    </xdr:graphicFrame>
    <xdr:clientData/>
  </xdr:twoCellAnchor>
  <xdr:twoCellAnchor editAs="oneCell">
    <xdr:from>
      <xdr:col>8</xdr:col>
      <xdr:colOff>76200</xdr:colOff>
      <xdr:row>10</xdr:row>
      <xdr:rowOff>38100</xdr:rowOff>
    </xdr:from>
    <xdr:to>
      <xdr:col>12</xdr:col>
      <xdr:colOff>0</xdr:colOff>
      <xdr:row>26</xdr:row>
      <xdr:rowOff>0</xdr:rowOff>
    </xdr:to>
    <xdr:graphicFrame macro="">
      <xdr:nvGraphicFramePr>
        <xdr:cNvPr id="103" name="Gráfico 103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61165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70679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52578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82032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149433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51235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130695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250557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99223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108737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72299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10666</xdr:colOff>
      <xdr:row>0</xdr:row>
      <xdr:rowOff>240000</xdr:rowOff>
    </xdr:from>
    <xdr:ext cx="1076325" cy="314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Painel&apos;!A1" TargetMode="External"/><Relationship Id="rId2" Type="http://schemas.openxmlformats.org/officeDocument/2006/relationships/hyperlink" Target="#&apos;Matriz de Criticidade&apos;!A1" TargetMode="External"/><Relationship Id="rId3" Type="http://schemas.openxmlformats.org/officeDocument/2006/relationships/hyperlink" Target="#&apos;Plano de Calibra&#231;&#227;o&apos;!A1" TargetMode="External"/><Relationship Id="rId4" Type="http://schemas.openxmlformats.org/officeDocument/2006/relationships/hyperlink" Target="#&apos;NC e A&#231;&#227;o Corretiva&apos;!A1" TargetMode="External"/><Relationship Id="rId5" Type="http://schemas.openxmlformats.org/officeDocument/2006/relationships/hyperlink" Target="#&apos;Compet&#234;ncia e Treinamento&apos;!A1" TargetMode="External"/><Relationship Id="rId6" Type="http://schemas.openxmlformats.org/officeDocument/2006/relationships/hyperlink" Target="#&apos;Requisitos Legais&apos;!A1" TargetMode="External"/><Relationship Id="rId7" Type="http://schemas.openxmlformats.org/officeDocument/2006/relationships/hyperlink" Target="#&apos;M&#225;quinas e riscos&apos;!A1" TargetMode="External"/><Relationship Id="rId8" Type="http://schemas.openxmlformats.org/officeDocument/2006/relationships/hyperlink" Target="#&apos;Avalia&#231;&#227;o de Fornecedores&apos;!A1" TargetMode="External"/><Relationship Id="rId9" Type="http://schemas.openxmlformats.org/officeDocument/2006/relationships/hyperlink" Target="#&apos;Checklist de Auditoria&apos;!A1" TargetMode="External"/><Relationship Id="rId10" Type="http://schemas.openxmlformats.org/officeDocument/2006/relationships/hyperlink" Target="#&apos;Lista Mestra de Documentos&apos;!A1" TargetMode="External"/><Relationship Id="rId11" Type="http://schemas.openxmlformats.org/officeDocument/2006/relationships/hyperlink" Target="#&apos;Manuten&#231;&#227;o Aut&#244;noma (TPM)&apos;!A1" TargetMode="External"/><Relationship Id="rId12" Type="http://schemas.openxmlformats.org/officeDocument/2006/relationships/hyperlink" Target="#&apos;A3 - Resolu&#231;&#227;o de Problemas&apos;!A1" TargetMode="External"/><Relationship Id="rId13" Type="http://schemas.openxmlformats.org/officeDocument/2006/relationships/hyperlink" Target="#&apos;Listas&apos;!A1" TargetMode="External"/><Relationship Id="rId14" Type="http://schemas.openxmlformats.org/officeDocument/2006/relationships/hyperlink" Target="#&apos;Revis&#245;es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1" width="12.5" customWidth="1"/>
    <col min="12" max="12" width="20" customWidth="1"/>
  </cols>
  <sheetData>
    <row r="1" ht="36" customHeight="1" spans="1:12" x14ac:dyDescent="0.25">
      <c r="A1" s="1"/>
      <c r="B1" s="1"/>
      <c r="C1" s="2" t="s">
        <v>64</v>
      </c>
      <c r="D1" s="2"/>
      <c r="E1" s="2"/>
      <c r="F1" s="2"/>
      <c r="G1" s="2"/>
      <c r="H1" s="2"/>
      <c r="I1" s="2"/>
      <c r="J1" s="2"/>
      <c r="K1" s="2"/>
      <c r="L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2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4">
        <f>"Elaborado: "&amp;IF(cfg_elaborado="","A definir",cfg_elaborado)&amp;CHAR(10)&amp;"Aprovado: "&amp;IF(cfg_aprovado="","A definir",cfg_aprovado)</f>
      </c>
    </row>
    <row r="3" ht="10" customHeight="1" x14ac:dyDescent="0.25"/>
    <row r="4" ht="18" customHeight="1" spans="1:12" x14ac:dyDescent="0.25">
      <c r="A4" s="20" t="s">
        <v>65</v>
      </c>
      <c r="B4" s="20"/>
      <c r="C4" s="20"/>
      <c r="D4" s="20" t="s">
        <v>66</v>
      </c>
      <c r="E4" s="20"/>
      <c r="F4" s="20"/>
      <c r="G4" s="20" t="s">
        <v>67</v>
      </c>
      <c r="H4" s="20"/>
      <c r="I4" s="20"/>
      <c r="J4" s="20" t="s">
        <v>68</v>
      </c>
      <c r="K4" s="20"/>
      <c r="L4" s="20"/>
    </row>
    <row r="5" ht="38" customHeight="1" spans="1:12" x14ac:dyDescent="0.25">
      <c r="A5" s="21">
        <f>'Checklist de Auditoria'!C29</f>
      </c>
      <c r="B5" s="21"/>
      <c r="C5" s="21"/>
      <c r="D5" s="22">
        <f>COUNTIF('Plano de Calibração'!$J$4:$J$103,"Vencido")</f>
      </c>
      <c r="E5" s="22"/>
      <c r="F5" s="22"/>
      <c r="G5" s="22">
        <f>COUNTIF('Competência e Treinamento'!$I$4:$I$203,"Vencido")</f>
      </c>
      <c r="H5" s="22"/>
      <c r="I5" s="22"/>
      <c r="J5" s="22">
        <f>COUNTIF('Requisitos Legais'!$G$4:$G$103,"Vencido")</f>
      </c>
      <c r="K5" s="22"/>
      <c r="L5" s="22"/>
    </row>
    <row r="6" ht="18" customHeight="1" spans="1:12" x14ac:dyDescent="0.25">
      <c r="A6" s="23" t="s">
        <v>69</v>
      </c>
      <c r="B6" s="23"/>
      <c r="C6" s="23"/>
      <c r="D6" s="23" t="s">
        <v>70</v>
      </c>
      <c r="E6" s="23"/>
      <c r="F6" s="23"/>
      <c r="G6" s="23" t="s">
        <v>71</v>
      </c>
      <c r="H6" s="23"/>
      <c r="I6" s="23"/>
      <c r="J6" s="23" t="s">
        <v>72</v>
      </c>
      <c r="K6" s="23"/>
      <c r="L6" s="23"/>
    </row>
    <row r="7" ht="8" customHeight="1" x14ac:dyDescent="0.25"/>
    <row r="8" ht="20" customHeight="1" spans="1:12" x14ac:dyDescent="0.25">
      <c r="A8" s="17">
        <f>"Revisões de documento vencidas: "&amp;COUNTIF('Lista Mestra de Documentos'!$H$4:$H$63,"Revisão vencida")&amp;"   ·   Fornecedores com ressalva ou reprovados: "&amp;(COUNTIF('Avaliação de Fornecedores'!$H$4:$H$63,"Aprovado com ressalva")+COUNTIF('Avaliação de Fornecedores'!$H$4:$H$63,"Reprovado"))&amp;"   ·   Ativos pontuados na criticidade: "&amp;COUNT('Matriz de Criticidade'!$L$4:$L$103)</f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ht="8" customHeight="1" x14ac:dyDescent="0.25"/>
    <row r="10" ht="20" customHeight="1" spans="1:12" x14ac:dyDescent="0.25">
      <c r="A10" s="5" t="s">
        <v>73</v>
      </c>
      <c r="B10" s="5"/>
      <c r="C10" s="5"/>
      <c r="D10" s="5"/>
      <c r="E10" s="5" t="s">
        <v>74</v>
      </c>
      <c r="F10" s="5"/>
      <c r="G10" s="5"/>
      <c r="H10" s="5"/>
      <c r="I10" s="5" t="s">
        <v>75</v>
      </c>
      <c r="J10" s="5"/>
      <c r="K10" s="5"/>
      <c r="L10" s="5"/>
    </row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8" customHeight="1" x14ac:dyDescent="0.25"/>
    <row r="28" ht="20" customHeight="1" spans="1:12" x14ac:dyDescent="0.25">
      <c r="A28" s="5" t="s">
        <v>76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8" t="s">
        <v>77</v>
      </c>
      <c r="B29" s="8"/>
      <c r="C29" s="8" t="s">
        <v>8</v>
      </c>
      <c r="D29" s="8"/>
      <c r="E29" s="8" t="s">
        <v>78</v>
      </c>
      <c r="F29" s="8"/>
      <c r="G29" s="8" t="s">
        <v>8</v>
      </c>
      <c r="H29" s="8"/>
      <c r="I29" s="8" t="s">
        <v>79</v>
      </c>
      <c r="J29" s="8"/>
      <c r="K29" s="8" t="s">
        <v>8</v>
      </c>
      <c r="L29" s="8"/>
    </row>
    <row r="30" spans="1:12" x14ac:dyDescent="0.25">
      <c r="A30" s="24" t="s">
        <v>80</v>
      </c>
      <c r="B30" s="24"/>
      <c r="C30" s="25">
        <f>COUNTIF('Plano de Calibração'!$J$4:$J$103,"Vencido")</f>
      </c>
      <c r="D30" s="25"/>
      <c r="E30" s="24" t="s">
        <v>81</v>
      </c>
      <c r="F30" s="24"/>
      <c r="G30" s="25">
        <f>COUNTIF('Checklist de Auditoria'!$C$13:$C$22,"Sim")</f>
      </c>
      <c r="H30" s="25"/>
      <c r="I30" s="24" t="s">
        <v>82</v>
      </c>
      <c r="J30" s="24"/>
      <c r="K30" s="25">
        <f>COUNTIF('Matriz de Criticidade'!$L$4:$L$103,5)</f>
      </c>
      <c r="L30" s="25"/>
    </row>
    <row r="31" spans="1:12" x14ac:dyDescent="0.25">
      <c r="A31" s="24" t="s">
        <v>83</v>
      </c>
      <c r="B31" s="24"/>
      <c r="C31" s="25">
        <f>COUNTIF('Competência e Treinamento'!$I$4:$I$203,"Vencido")</f>
      </c>
      <c r="D31" s="25"/>
      <c r="E31" s="24" t="s">
        <v>84</v>
      </c>
      <c r="F31" s="24"/>
      <c r="G31" s="25">
        <f>COUNTIF('Checklist de Auditoria'!$C$13:$C$22,"Parcial")</f>
      </c>
      <c r="H31" s="25"/>
      <c r="I31" s="24" t="s">
        <v>85</v>
      </c>
      <c r="J31" s="24"/>
      <c r="K31" s="25">
        <f>COUNTIF('Matriz de Criticidade'!$L$4:$L$103,4)</f>
      </c>
      <c r="L31" s="25"/>
    </row>
    <row r="32" spans="1:12" x14ac:dyDescent="0.25">
      <c r="A32" s="24" t="s">
        <v>86</v>
      </c>
      <c r="B32" s="24"/>
      <c r="C32" s="25">
        <f>COUNTIF('Requisitos Legais'!$G$4:$G$103,"Vencido")</f>
      </c>
      <c r="D32" s="25"/>
      <c r="E32" s="24" t="s">
        <v>87</v>
      </c>
      <c r="F32" s="24"/>
      <c r="G32" s="25">
        <f>COUNTIF('Checklist de Auditoria'!$C$13:$C$22,"Não")</f>
      </c>
      <c r="H32" s="25"/>
      <c r="I32" s="24" t="s">
        <v>88</v>
      </c>
      <c r="J32" s="24"/>
      <c r="K32" s="25">
        <f>COUNTIF('Matriz de Criticidade'!$L$4:$L$103,3)</f>
      </c>
      <c r="L32" s="25"/>
    </row>
    <row r="33" spans="1:12" x14ac:dyDescent="0.25">
      <c r="A33" s="24" t="s">
        <v>89</v>
      </c>
      <c r="B33" s="24"/>
      <c r="C33" s="25">
        <f>COUNTIF('Lista Mestra de Documentos'!$H$4:$H$63,"Revisão vencida")</f>
      </c>
      <c r="D33" s="25"/>
      <c r="E33" s="24" t="s">
        <v>90</v>
      </c>
      <c r="F33" s="24"/>
      <c r="G33" s="25">
        <f>10-COUNTA('Checklist de Auditoria'!$C$13:$C$22)</f>
      </c>
      <c r="H33" s="25"/>
      <c r="I33" s="24" t="s">
        <v>91</v>
      </c>
      <c r="J33" s="24"/>
      <c r="K33" s="25">
        <f>COUNTIF('Matriz de Criticidade'!$L$4:$L$103,2)</f>
      </c>
      <c r="L33" s="25"/>
    </row>
    <row r="34" spans="1:12" x14ac:dyDescent="0.25">
      <c r="A34" s="24" t="s">
        <v>92</v>
      </c>
      <c r="B34" s="24"/>
      <c r="C34" s="25">
        <f>COUNTIF('Avaliação de Fornecedores'!$H$4:$H$63,"Aprovado com ressalva")+COUNTIF('Avaliação de Fornecedores'!$H$4:$H$63,"Reprovado")</f>
      </c>
      <c r="D34" s="25"/>
      <c r="I34" s="24" t="s">
        <v>93</v>
      </c>
      <c r="J34" s="24"/>
      <c r="K34" s="25">
        <f>COUNTIF('Matriz de Criticidade'!$L$4:$L$103,1)</f>
      </c>
      <c r="L34" s="25"/>
    </row>
    <row r="35" spans="1:4" x14ac:dyDescent="0.25">
      <c r="A35" s="24" t="s">
        <v>94</v>
      </c>
      <c r="B35" s="24"/>
      <c r="C35" s="25">
        <f>COUNTIF('Máquinas e riscos'!$K$4:$K$103,"Revisar*")</f>
      </c>
      <c r="D35" s="25"/>
    </row>
    <row r="36" spans="1:4" x14ac:dyDescent="0.25">
      <c r="A36" s="24" t="s">
        <v>95</v>
      </c>
      <c r="B36" s="24"/>
      <c r="C36" s="25">
        <f>COUNTIF('Manutenção Autônoma (TPM)'!$J$4:$J$303,"Pendente*")</f>
      </c>
      <c r="D36" s="25"/>
    </row>
  </sheetData>
  <sheetProtection sheet="1" formatColumns="0" formatRows="0" autoFilter="0"/>
  <mergeCells count="38">
    <mergeCell ref="A1:B2"/>
    <mergeCell ref="C1:K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L8"/>
    <mergeCell ref="A10:D10"/>
    <mergeCell ref="E10:H10"/>
    <mergeCell ref="I10:L10"/>
    <mergeCell ref="A28:L28"/>
    <mergeCell ref="A29:B29"/>
    <mergeCell ref="E29:F29"/>
    <mergeCell ref="I29:J29"/>
    <mergeCell ref="A30:B30"/>
    <mergeCell ref="E30:F30"/>
    <mergeCell ref="I30:J30"/>
    <mergeCell ref="A31:B31"/>
    <mergeCell ref="E31:F31"/>
    <mergeCell ref="I31:J31"/>
    <mergeCell ref="A32:B32"/>
    <mergeCell ref="E32:F32"/>
    <mergeCell ref="I32:J32"/>
    <mergeCell ref="A33:B33"/>
    <mergeCell ref="E33:F33"/>
    <mergeCell ref="I33:J33"/>
    <mergeCell ref="A34:B34"/>
    <mergeCell ref="I34:J34"/>
    <mergeCell ref="A35:B35"/>
    <mergeCell ref="A36:B36"/>
  </mergeCells>
  <conditionalFormatting sqref="D5">
    <cfRule type="expression" dxfId="4" priority="1">
      <formula>AND(ISNUMBER(D5),D5&gt;0)</formula>
    </cfRule>
  </conditionalFormatting>
  <conditionalFormatting sqref="G5">
    <cfRule type="expression" dxfId="5" priority="1">
      <formula>AND(ISNUMBER(G5),G5&gt;0)</formula>
    </cfRule>
  </conditionalFormatting>
  <conditionalFormatting sqref="J5">
    <cfRule type="expression" dxfId="6" priority="1">
      <formula>AND(ISNUMBER(J5),J5&gt;0)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4" customWidth="1"/>
    <col min="4" max="4" width="30" customWidth="1"/>
    <col min="5" max="10" width="6" customWidth="1"/>
    <col min="11" max="12" width="11" customWidth="1"/>
    <col min="13" max="13" width="26" customWidth="1"/>
    <col min="14" max="14" width="18" customWidth="1"/>
    <col min="15" max="15" width="30" customWidth="1"/>
  </cols>
  <sheetData>
    <row r="1" ht="36" customHeight="1" spans="1:15" x14ac:dyDescent="0.25">
      <c r="A1" s="1"/>
      <c r="B1" s="1"/>
      <c r="C1" s="2" t="s">
        <v>96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5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">
        <f>"Elaborado: "&amp;IF(cfg_elaborado="","A definir",cfg_elaborado)&amp;CHAR(10)&amp;"Aprovado: "&amp;IF(cfg_aprovado="","A definir",cfg_aprovado)</f>
      </c>
    </row>
    <row r="3" ht="40" customHeight="1" spans="1:15" x14ac:dyDescent="0.25">
      <c r="A3" s="8" t="s">
        <v>97</v>
      </c>
      <c r="B3" s="8" t="s">
        <v>98</v>
      </c>
      <c r="C3" s="8" t="s">
        <v>99</v>
      </c>
      <c r="D3" s="8" t="s">
        <v>100</v>
      </c>
      <c r="E3" s="8" t="s">
        <v>101</v>
      </c>
      <c r="F3" s="8" t="s">
        <v>102</v>
      </c>
      <c r="G3" s="8" t="s">
        <v>103</v>
      </c>
      <c r="H3" s="8" t="s">
        <v>104</v>
      </c>
      <c r="I3" s="8" t="s">
        <v>105</v>
      </c>
      <c r="J3" s="8" t="s">
        <v>106</v>
      </c>
      <c r="K3" s="8" t="s">
        <v>107</v>
      </c>
      <c r="L3" s="8" t="s">
        <v>108</v>
      </c>
      <c r="M3" s="8" t="s">
        <v>109</v>
      </c>
      <c r="N3" s="8" t="s">
        <v>110</v>
      </c>
      <c r="O3" s="8" t="s">
        <v>111</v>
      </c>
    </row>
    <row r="4" spans="1:15" x14ac:dyDescent="0.25">
      <c r="A4" s="26"/>
      <c r="B4" s="27"/>
      <c r="C4" s="28"/>
      <c r="D4" s="29"/>
      <c r="E4" s="28"/>
      <c r="F4" s="28"/>
      <c r="G4" s="28"/>
      <c r="H4" s="28"/>
      <c r="I4" s="28"/>
      <c r="J4" s="28"/>
      <c r="K4" s="30">
        <f t="shared" ref="K4:K103" si="0">IF(COUNT(E4:I4)=0,"",MAX(E4:I4))</f>
      </c>
      <c r="L4" s="31">
        <f t="shared" ref="L4:L103" si="1">IF(OR(COUNT(E4:I4)&lt;5,NOT(ISNUMBER(J4))),"",IF(E4=5,5,INDEX(crit_matriz,6-K4,J4)))</f>
      </c>
      <c r="M4" s="32">
        <f t="shared" ref="M4:M103" si="2">IF(L4="","",IF(L4&gt;=4,"Preditiva + redundância",IF(L4=3,"Preventiva por tempo/condição","Corretiva planejada")))</f>
      </c>
      <c r="N4" s="27"/>
      <c r="O4" s="32">
        <f t="shared" ref="O4:O103" si="3">IF(A4&amp;B4="","",IF(A4="","ERRO: falta o ID do ativo",IF(COUNTIF($A$4:$A$103,A4)&gt;1,"ERRO: ativo repetido",IF(COUNT(E4:J4)&lt;6,"Pendente: pontue S, E, P, Q, C e L",IF(E4=5,"OK: criticidade 5 por Segurança = 5","OK")))))</f>
      </c>
    </row>
    <row r="5" spans="1:15" x14ac:dyDescent="0.25">
      <c r="A5" s="26"/>
      <c r="B5" s="27"/>
      <c r="C5" s="28"/>
      <c r="D5" s="29"/>
      <c r="E5" s="28"/>
      <c r="F5" s="28"/>
      <c r="G5" s="28"/>
      <c r="H5" s="28"/>
      <c r="I5" s="28"/>
      <c r="J5" s="28"/>
      <c r="K5" s="30">
        <f t="shared" si="0"/>
      </c>
      <c r="L5" s="31">
        <f t="shared" si="1"/>
      </c>
      <c r="M5" s="32">
        <f t="shared" si="2"/>
      </c>
      <c r="N5" s="27"/>
      <c r="O5" s="32">
        <f t="shared" si="3"/>
      </c>
    </row>
    <row r="6" spans="1:15" x14ac:dyDescent="0.25">
      <c r="A6" s="26"/>
      <c r="B6" s="27"/>
      <c r="C6" s="28"/>
      <c r="D6" s="29"/>
      <c r="E6" s="28"/>
      <c r="F6" s="28"/>
      <c r="G6" s="28"/>
      <c r="H6" s="28"/>
      <c r="I6" s="28"/>
      <c r="J6" s="28"/>
      <c r="K6" s="30">
        <f t="shared" si="0"/>
      </c>
      <c r="L6" s="31">
        <f t="shared" si="1"/>
      </c>
      <c r="M6" s="32">
        <f t="shared" si="2"/>
      </c>
      <c r="N6" s="27"/>
      <c r="O6" s="32">
        <f t="shared" si="3"/>
      </c>
    </row>
    <row r="7" spans="1:15" x14ac:dyDescent="0.25">
      <c r="A7" s="26"/>
      <c r="B7" s="27"/>
      <c r="C7" s="28"/>
      <c r="D7" s="29"/>
      <c r="E7" s="28"/>
      <c r="F7" s="28"/>
      <c r="G7" s="28"/>
      <c r="H7" s="28"/>
      <c r="I7" s="28"/>
      <c r="J7" s="28"/>
      <c r="K7" s="30">
        <f t="shared" si="0"/>
      </c>
      <c r="L7" s="31">
        <f t="shared" si="1"/>
      </c>
      <c r="M7" s="32">
        <f t="shared" si="2"/>
      </c>
      <c r="N7" s="27"/>
      <c r="O7" s="32">
        <f t="shared" si="3"/>
      </c>
    </row>
    <row r="8" spans="1:15" x14ac:dyDescent="0.25">
      <c r="A8" s="26"/>
      <c r="B8" s="27"/>
      <c r="C8" s="28"/>
      <c r="D8" s="29"/>
      <c r="E8" s="28"/>
      <c r="F8" s="28"/>
      <c r="G8" s="28"/>
      <c r="H8" s="28"/>
      <c r="I8" s="28"/>
      <c r="J8" s="28"/>
      <c r="K8" s="30">
        <f t="shared" si="0"/>
      </c>
      <c r="L8" s="31">
        <f t="shared" si="1"/>
      </c>
      <c r="M8" s="32">
        <f t="shared" si="2"/>
      </c>
      <c r="N8" s="27"/>
      <c r="O8" s="32">
        <f t="shared" si="3"/>
      </c>
    </row>
    <row r="9" spans="1:15" x14ac:dyDescent="0.25">
      <c r="A9" s="26"/>
      <c r="B9" s="27"/>
      <c r="C9" s="28"/>
      <c r="D9" s="29"/>
      <c r="E9" s="28"/>
      <c r="F9" s="28"/>
      <c r="G9" s="28"/>
      <c r="H9" s="28"/>
      <c r="I9" s="28"/>
      <c r="J9" s="28"/>
      <c r="K9" s="30">
        <f t="shared" si="0"/>
      </c>
      <c r="L9" s="31">
        <f t="shared" si="1"/>
      </c>
      <c r="M9" s="32">
        <f t="shared" si="2"/>
      </c>
      <c r="N9" s="27"/>
      <c r="O9" s="32">
        <f t="shared" si="3"/>
      </c>
    </row>
    <row r="10" spans="1:15" x14ac:dyDescent="0.25">
      <c r="A10" s="26"/>
      <c r="B10" s="27"/>
      <c r="C10" s="28"/>
      <c r="D10" s="29"/>
      <c r="E10" s="28"/>
      <c r="F10" s="28"/>
      <c r="G10" s="28"/>
      <c r="H10" s="28"/>
      <c r="I10" s="28"/>
      <c r="J10" s="28"/>
      <c r="K10" s="30">
        <f t="shared" si="0"/>
      </c>
      <c r="L10" s="31">
        <f t="shared" si="1"/>
      </c>
      <c r="M10" s="32">
        <f t="shared" si="2"/>
      </c>
      <c r="N10" s="27"/>
      <c r="O10" s="32">
        <f t="shared" si="3"/>
      </c>
    </row>
    <row r="11" spans="1:15" x14ac:dyDescent="0.25">
      <c r="A11" s="26"/>
      <c r="B11" s="27"/>
      <c r="C11" s="28"/>
      <c r="D11" s="29"/>
      <c r="E11" s="28"/>
      <c r="F11" s="28"/>
      <c r="G11" s="28"/>
      <c r="H11" s="28"/>
      <c r="I11" s="28"/>
      <c r="J11" s="28"/>
      <c r="K11" s="30">
        <f t="shared" si="0"/>
      </c>
      <c r="L11" s="31">
        <f t="shared" si="1"/>
      </c>
      <c r="M11" s="32">
        <f t="shared" si="2"/>
      </c>
      <c r="N11" s="27"/>
      <c r="O11" s="32">
        <f t="shared" si="3"/>
      </c>
    </row>
    <row r="12" spans="1:15" x14ac:dyDescent="0.25">
      <c r="A12" s="26"/>
      <c r="B12" s="27"/>
      <c r="C12" s="28"/>
      <c r="D12" s="29"/>
      <c r="E12" s="28"/>
      <c r="F12" s="28"/>
      <c r="G12" s="28"/>
      <c r="H12" s="28"/>
      <c r="I12" s="28"/>
      <c r="J12" s="28"/>
      <c r="K12" s="30">
        <f t="shared" si="0"/>
      </c>
      <c r="L12" s="31">
        <f t="shared" si="1"/>
      </c>
      <c r="M12" s="32">
        <f t="shared" si="2"/>
      </c>
      <c r="N12" s="27"/>
      <c r="O12" s="32">
        <f t="shared" si="3"/>
      </c>
    </row>
    <row r="13" spans="1:15" x14ac:dyDescent="0.25">
      <c r="A13" s="26"/>
      <c r="B13" s="27"/>
      <c r="C13" s="28"/>
      <c r="D13" s="29"/>
      <c r="E13" s="28"/>
      <c r="F13" s="28"/>
      <c r="G13" s="28"/>
      <c r="H13" s="28"/>
      <c r="I13" s="28"/>
      <c r="J13" s="28"/>
      <c r="K13" s="30">
        <f t="shared" si="0"/>
      </c>
      <c r="L13" s="31">
        <f t="shared" si="1"/>
      </c>
      <c r="M13" s="32">
        <f t="shared" si="2"/>
      </c>
      <c r="N13" s="27"/>
      <c r="O13" s="32">
        <f t="shared" si="3"/>
      </c>
    </row>
    <row r="14" spans="1:15" x14ac:dyDescent="0.25">
      <c r="A14" s="26"/>
      <c r="B14" s="27"/>
      <c r="C14" s="28"/>
      <c r="D14" s="29"/>
      <c r="E14" s="28"/>
      <c r="F14" s="28"/>
      <c r="G14" s="28"/>
      <c r="H14" s="28"/>
      <c r="I14" s="28"/>
      <c r="J14" s="28"/>
      <c r="K14" s="30">
        <f t="shared" si="0"/>
      </c>
      <c r="L14" s="31">
        <f t="shared" si="1"/>
      </c>
      <c r="M14" s="32">
        <f t="shared" si="2"/>
      </c>
      <c r="N14" s="27"/>
      <c r="O14" s="32">
        <f t="shared" si="3"/>
      </c>
    </row>
    <row r="15" spans="1:15" x14ac:dyDescent="0.25">
      <c r="A15" s="26"/>
      <c r="B15" s="27"/>
      <c r="C15" s="28"/>
      <c r="D15" s="29"/>
      <c r="E15" s="28"/>
      <c r="F15" s="28"/>
      <c r="G15" s="28"/>
      <c r="H15" s="28"/>
      <c r="I15" s="28"/>
      <c r="J15" s="28"/>
      <c r="K15" s="30">
        <f t="shared" si="0"/>
      </c>
      <c r="L15" s="31">
        <f t="shared" si="1"/>
      </c>
      <c r="M15" s="32">
        <f t="shared" si="2"/>
      </c>
      <c r="N15" s="27"/>
      <c r="O15" s="32">
        <f t="shared" si="3"/>
      </c>
    </row>
    <row r="16" spans="1:15" x14ac:dyDescent="0.25">
      <c r="A16" s="26"/>
      <c r="B16" s="27"/>
      <c r="C16" s="28"/>
      <c r="D16" s="29"/>
      <c r="E16" s="28"/>
      <c r="F16" s="28"/>
      <c r="G16" s="28"/>
      <c r="H16" s="28"/>
      <c r="I16" s="28"/>
      <c r="J16" s="28"/>
      <c r="K16" s="30">
        <f t="shared" si="0"/>
      </c>
      <c r="L16" s="31">
        <f t="shared" si="1"/>
      </c>
      <c r="M16" s="32">
        <f t="shared" si="2"/>
      </c>
      <c r="N16" s="27"/>
      <c r="O16" s="32">
        <f t="shared" si="3"/>
      </c>
    </row>
    <row r="17" spans="1:15" x14ac:dyDescent="0.25">
      <c r="A17" s="26"/>
      <c r="B17" s="27"/>
      <c r="C17" s="28"/>
      <c r="D17" s="29"/>
      <c r="E17" s="28"/>
      <c r="F17" s="28"/>
      <c r="G17" s="28"/>
      <c r="H17" s="28"/>
      <c r="I17" s="28"/>
      <c r="J17" s="28"/>
      <c r="K17" s="30">
        <f t="shared" si="0"/>
      </c>
      <c r="L17" s="31">
        <f t="shared" si="1"/>
      </c>
      <c r="M17" s="32">
        <f t="shared" si="2"/>
      </c>
      <c r="N17" s="27"/>
      <c r="O17" s="32">
        <f t="shared" si="3"/>
      </c>
    </row>
    <row r="18" spans="1:15" x14ac:dyDescent="0.25">
      <c r="A18" s="26"/>
      <c r="B18" s="27"/>
      <c r="C18" s="28"/>
      <c r="D18" s="29"/>
      <c r="E18" s="28"/>
      <c r="F18" s="28"/>
      <c r="G18" s="28"/>
      <c r="H18" s="28"/>
      <c r="I18" s="28"/>
      <c r="J18" s="28"/>
      <c r="K18" s="30">
        <f t="shared" si="0"/>
      </c>
      <c r="L18" s="31">
        <f t="shared" si="1"/>
      </c>
      <c r="M18" s="32">
        <f t="shared" si="2"/>
      </c>
      <c r="N18" s="27"/>
      <c r="O18" s="32">
        <f t="shared" si="3"/>
      </c>
    </row>
    <row r="19" spans="1:15" x14ac:dyDescent="0.25">
      <c r="A19" s="26"/>
      <c r="B19" s="27"/>
      <c r="C19" s="28"/>
      <c r="D19" s="29"/>
      <c r="E19" s="28"/>
      <c r="F19" s="28"/>
      <c r="G19" s="28"/>
      <c r="H19" s="28"/>
      <c r="I19" s="28"/>
      <c r="J19" s="28"/>
      <c r="K19" s="30">
        <f t="shared" si="0"/>
      </c>
      <c r="L19" s="31">
        <f t="shared" si="1"/>
      </c>
      <c r="M19" s="32">
        <f t="shared" si="2"/>
      </c>
      <c r="N19" s="27"/>
      <c r="O19" s="32">
        <f t="shared" si="3"/>
      </c>
    </row>
    <row r="20" spans="1:15" x14ac:dyDescent="0.25">
      <c r="A20" s="26"/>
      <c r="B20" s="27"/>
      <c r="C20" s="28"/>
      <c r="D20" s="29"/>
      <c r="E20" s="28"/>
      <c r="F20" s="28"/>
      <c r="G20" s="28"/>
      <c r="H20" s="28"/>
      <c r="I20" s="28"/>
      <c r="J20" s="28"/>
      <c r="K20" s="30">
        <f t="shared" si="0"/>
      </c>
      <c r="L20" s="31">
        <f t="shared" si="1"/>
      </c>
      <c r="M20" s="32">
        <f t="shared" si="2"/>
      </c>
      <c r="N20" s="27"/>
      <c r="O20" s="32">
        <f t="shared" si="3"/>
      </c>
    </row>
    <row r="21" spans="1:15" x14ac:dyDescent="0.25">
      <c r="A21" s="26"/>
      <c r="B21" s="27"/>
      <c r="C21" s="28"/>
      <c r="D21" s="29"/>
      <c r="E21" s="28"/>
      <c r="F21" s="28"/>
      <c r="G21" s="28"/>
      <c r="H21" s="28"/>
      <c r="I21" s="28"/>
      <c r="J21" s="28"/>
      <c r="K21" s="30">
        <f t="shared" si="0"/>
      </c>
      <c r="L21" s="31">
        <f t="shared" si="1"/>
      </c>
      <c r="M21" s="32">
        <f t="shared" si="2"/>
      </c>
      <c r="N21" s="27"/>
      <c r="O21" s="32">
        <f t="shared" si="3"/>
      </c>
    </row>
    <row r="22" spans="1:15" x14ac:dyDescent="0.25">
      <c r="A22" s="26"/>
      <c r="B22" s="27"/>
      <c r="C22" s="28"/>
      <c r="D22" s="29"/>
      <c r="E22" s="28"/>
      <c r="F22" s="28"/>
      <c r="G22" s="28"/>
      <c r="H22" s="28"/>
      <c r="I22" s="28"/>
      <c r="J22" s="28"/>
      <c r="K22" s="30">
        <f t="shared" si="0"/>
      </c>
      <c r="L22" s="31">
        <f t="shared" si="1"/>
      </c>
      <c r="M22" s="32">
        <f t="shared" si="2"/>
      </c>
      <c r="N22" s="27"/>
      <c r="O22" s="32">
        <f t="shared" si="3"/>
      </c>
    </row>
    <row r="23" spans="1:15" x14ac:dyDescent="0.25">
      <c r="A23" s="26"/>
      <c r="B23" s="27"/>
      <c r="C23" s="28"/>
      <c r="D23" s="29"/>
      <c r="E23" s="28"/>
      <c r="F23" s="28"/>
      <c r="G23" s="28"/>
      <c r="H23" s="28"/>
      <c r="I23" s="28"/>
      <c r="J23" s="28"/>
      <c r="K23" s="30">
        <f t="shared" si="0"/>
      </c>
      <c r="L23" s="31">
        <f t="shared" si="1"/>
      </c>
      <c r="M23" s="32">
        <f t="shared" si="2"/>
      </c>
      <c r="N23" s="27"/>
      <c r="O23" s="32">
        <f t="shared" si="3"/>
      </c>
    </row>
    <row r="24" spans="1:15" x14ac:dyDescent="0.25">
      <c r="A24" s="26"/>
      <c r="B24" s="27"/>
      <c r="C24" s="28"/>
      <c r="D24" s="29"/>
      <c r="E24" s="28"/>
      <c r="F24" s="28"/>
      <c r="G24" s="28"/>
      <c r="H24" s="28"/>
      <c r="I24" s="28"/>
      <c r="J24" s="28"/>
      <c r="K24" s="30">
        <f t="shared" si="0"/>
      </c>
      <c r="L24" s="31">
        <f t="shared" si="1"/>
      </c>
      <c r="M24" s="32">
        <f t="shared" si="2"/>
      </c>
      <c r="N24" s="27"/>
      <c r="O24" s="32">
        <f t="shared" si="3"/>
      </c>
    </row>
    <row r="25" spans="1:15" x14ac:dyDescent="0.25">
      <c r="A25" s="26"/>
      <c r="B25" s="27"/>
      <c r="C25" s="28"/>
      <c r="D25" s="29"/>
      <c r="E25" s="28"/>
      <c r="F25" s="28"/>
      <c r="G25" s="28"/>
      <c r="H25" s="28"/>
      <c r="I25" s="28"/>
      <c r="J25" s="28"/>
      <c r="K25" s="30">
        <f t="shared" si="0"/>
      </c>
      <c r="L25" s="31">
        <f t="shared" si="1"/>
      </c>
      <c r="M25" s="32">
        <f t="shared" si="2"/>
      </c>
      <c r="N25" s="27"/>
      <c r="O25" s="32">
        <f t="shared" si="3"/>
      </c>
    </row>
    <row r="26" spans="1:15" x14ac:dyDescent="0.25">
      <c r="A26" s="26"/>
      <c r="B26" s="27"/>
      <c r="C26" s="28"/>
      <c r="D26" s="29"/>
      <c r="E26" s="28"/>
      <c r="F26" s="28"/>
      <c r="G26" s="28"/>
      <c r="H26" s="28"/>
      <c r="I26" s="28"/>
      <c r="J26" s="28"/>
      <c r="K26" s="30">
        <f t="shared" si="0"/>
      </c>
      <c r="L26" s="31">
        <f t="shared" si="1"/>
      </c>
      <c r="M26" s="32">
        <f t="shared" si="2"/>
      </c>
      <c r="N26" s="27"/>
      <c r="O26" s="32">
        <f t="shared" si="3"/>
      </c>
    </row>
    <row r="27" spans="1:15" x14ac:dyDescent="0.25">
      <c r="A27" s="26"/>
      <c r="B27" s="27"/>
      <c r="C27" s="28"/>
      <c r="D27" s="29"/>
      <c r="E27" s="28"/>
      <c r="F27" s="28"/>
      <c r="G27" s="28"/>
      <c r="H27" s="28"/>
      <c r="I27" s="28"/>
      <c r="J27" s="28"/>
      <c r="K27" s="30">
        <f t="shared" si="0"/>
      </c>
      <c r="L27" s="31">
        <f t="shared" si="1"/>
      </c>
      <c r="M27" s="32">
        <f t="shared" si="2"/>
      </c>
      <c r="N27" s="27"/>
      <c r="O27" s="32">
        <f t="shared" si="3"/>
      </c>
    </row>
    <row r="28" spans="1:15" x14ac:dyDescent="0.25">
      <c r="A28" s="26"/>
      <c r="B28" s="27"/>
      <c r="C28" s="28"/>
      <c r="D28" s="29"/>
      <c r="E28" s="28"/>
      <c r="F28" s="28"/>
      <c r="G28" s="28"/>
      <c r="H28" s="28"/>
      <c r="I28" s="28"/>
      <c r="J28" s="28"/>
      <c r="K28" s="30">
        <f t="shared" si="0"/>
      </c>
      <c r="L28" s="31">
        <f t="shared" si="1"/>
      </c>
      <c r="M28" s="32">
        <f t="shared" si="2"/>
      </c>
      <c r="N28" s="27"/>
      <c r="O28" s="32">
        <f t="shared" si="3"/>
      </c>
    </row>
    <row r="29" spans="1:15" x14ac:dyDescent="0.25">
      <c r="A29" s="26"/>
      <c r="B29" s="27"/>
      <c r="C29" s="28"/>
      <c r="D29" s="29"/>
      <c r="E29" s="28"/>
      <c r="F29" s="28"/>
      <c r="G29" s="28"/>
      <c r="H29" s="28"/>
      <c r="I29" s="28"/>
      <c r="J29" s="28"/>
      <c r="K29" s="30">
        <f t="shared" si="0"/>
      </c>
      <c r="L29" s="31">
        <f t="shared" si="1"/>
      </c>
      <c r="M29" s="32">
        <f t="shared" si="2"/>
      </c>
      <c r="N29" s="27"/>
      <c r="O29" s="32">
        <f t="shared" si="3"/>
      </c>
    </row>
    <row r="30" spans="1:15" x14ac:dyDescent="0.25">
      <c r="A30" s="26"/>
      <c r="B30" s="27"/>
      <c r="C30" s="28"/>
      <c r="D30" s="29"/>
      <c r="E30" s="28"/>
      <c r="F30" s="28"/>
      <c r="G30" s="28"/>
      <c r="H30" s="28"/>
      <c r="I30" s="28"/>
      <c r="J30" s="28"/>
      <c r="K30" s="30">
        <f t="shared" si="0"/>
      </c>
      <c r="L30" s="31">
        <f t="shared" si="1"/>
      </c>
      <c r="M30" s="32">
        <f t="shared" si="2"/>
      </c>
      <c r="N30" s="27"/>
      <c r="O30" s="32">
        <f t="shared" si="3"/>
      </c>
    </row>
    <row r="31" spans="1:15" x14ac:dyDescent="0.25">
      <c r="A31" s="26"/>
      <c r="B31" s="27"/>
      <c r="C31" s="28"/>
      <c r="D31" s="29"/>
      <c r="E31" s="28"/>
      <c r="F31" s="28"/>
      <c r="G31" s="28"/>
      <c r="H31" s="28"/>
      <c r="I31" s="28"/>
      <c r="J31" s="28"/>
      <c r="K31" s="30">
        <f t="shared" si="0"/>
      </c>
      <c r="L31" s="31">
        <f t="shared" si="1"/>
      </c>
      <c r="M31" s="32">
        <f t="shared" si="2"/>
      </c>
      <c r="N31" s="27"/>
      <c r="O31" s="32">
        <f t="shared" si="3"/>
      </c>
    </row>
    <row r="32" spans="1:15" x14ac:dyDescent="0.25">
      <c r="A32" s="26"/>
      <c r="B32" s="27"/>
      <c r="C32" s="28"/>
      <c r="D32" s="29"/>
      <c r="E32" s="28"/>
      <c r="F32" s="28"/>
      <c r="G32" s="28"/>
      <c r="H32" s="28"/>
      <c r="I32" s="28"/>
      <c r="J32" s="28"/>
      <c r="K32" s="30">
        <f t="shared" si="0"/>
      </c>
      <c r="L32" s="31">
        <f t="shared" si="1"/>
      </c>
      <c r="M32" s="32">
        <f t="shared" si="2"/>
      </c>
      <c r="N32" s="27"/>
      <c r="O32" s="32">
        <f t="shared" si="3"/>
      </c>
    </row>
    <row r="33" spans="1:15" x14ac:dyDescent="0.25">
      <c r="A33" s="26"/>
      <c r="B33" s="27"/>
      <c r="C33" s="28"/>
      <c r="D33" s="29"/>
      <c r="E33" s="28"/>
      <c r="F33" s="28"/>
      <c r="G33" s="28"/>
      <c r="H33" s="28"/>
      <c r="I33" s="28"/>
      <c r="J33" s="28"/>
      <c r="K33" s="30">
        <f t="shared" si="0"/>
      </c>
      <c r="L33" s="31">
        <f t="shared" si="1"/>
      </c>
      <c r="M33" s="32">
        <f t="shared" si="2"/>
      </c>
      <c r="N33" s="27"/>
      <c r="O33" s="32">
        <f t="shared" si="3"/>
      </c>
    </row>
    <row r="34" spans="1:15" x14ac:dyDescent="0.25">
      <c r="A34" s="26"/>
      <c r="B34" s="27"/>
      <c r="C34" s="28"/>
      <c r="D34" s="29"/>
      <c r="E34" s="28"/>
      <c r="F34" s="28"/>
      <c r="G34" s="28"/>
      <c r="H34" s="28"/>
      <c r="I34" s="28"/>
      <c r="J34" s="28"/>
      <c r="K34" s="30">
        <f t="shared" si="0"/>
      </c>
      <c r="L34" s="31">
        <f t="shared" si="1"/>
      </c>
      <c r="M34" s="32">
        <f t="shared" si="2"/>
      </c>
      <c r="N34" s="27"/>
      <c r="O34" s="32">
        <f t="shared" si="3"/>
      </c>
    </row>
    <row r="35" spans="1:15" x14ac:dyDescent="0.25">
      <c r="A35" s="26"/>
      <c r="B35" s="27"/>
      <c r="C35" s="28"/>
      <c r="D35" s="29"/>
      <c r="E35" s="28"/>
      <c r="F35" s="28"/>
      <c r="G35" s="28"/>
      <c r="H35" s="28"/>
      <c r="I35" s="28"/>
      <c r="J35" s="28"/>
      <c r="K35" s="30">
        <f t="shared" si="0"/>
      </c>
      <c r="L35" s="31">
        <f t="shared" si="1"/>
      </c>
      <c r="M35" s="32">
        <f t="shared" si="2"/>
      </c>
      <c r="N35" s="27"/>
      <c r="O35" s="32">
        <f t="shared" si="3"/>
      </c>
    </row>
    <row r="36" spans="1:15" x14ac:dyDescent="0.25">
      <c r="A36" s="26"/>
      <c r="B36" s="27"/>
      <c r="C36" s="28"/>
      <c r="D36" s="29"/>
      <c r="E36" s="28"/>
      <c r="F36" s="28"/>
      <c r="G36" s="28"/>
      <c r="H36" s="28"/>
      <c r="I36" s="28"/>
      <c r="J36" s="28"/>
      <c r="K36" s="30">
        <f t="shared" si="0"/>
      </c>
      <c r="L36" s="31">
        <f t="shared" si="1"/>
      </c>
      <c r="M36" s="32">
        <f t="shared" si="2"/>
      </c>
      <c r="N36" s="27"/>
      <c r="O36" s="32">
        <f t="shared" si="3"/>
      </c>
    </row>
    <row r="37" spans="1:15" x14ac:dyDescent="0.25">
      <c r="A37" s="26"/>
      <c r="B37" s="27"/>
      <c r="C37" s="28"/>
      <c r="D37" s="29"/>
      <c r="E37" s="28"/>
      <c r="F37" s="28"/>
      <c r="G37" s="28"/>
      <c r="H37" s="28"/>
      <c r="I37" s="28"/>
      <c r="J37" s="28"/>
      <c r="K37" s="30">
        <f t="shared" si="0"/>
      </c>
      <c r="L37" s="31">
        <f t="shared" si="1"/>
      </c>
      <c r="M37" s="32">
        <f t="shared" si="2"/>
      </c>
      <c r="N37" s="27"/>
      <c r="O37" s="32">
        <f t="shared" si="3"/>
      </c>
    </row>
    <row r="38" spans="1:15" x14ac:dyDescent="0.25">
      <c r="A38" s="26"/>
      <c r="B38" s="27"/>
      <c r="C38" s="28"/>
      <c r="D38" s="29"/>
      <c r="E38" s="28"/>
      <c r="F38" s="28"/>
      <c r="G38" s="28"/>
      <c r="H38" s="28"/>
      <c r="I38" s="28"/>
      <c r="J38" s="28"/>
      <c r="K38" s="30">
        <f t="shared" si="0"/>
      </c>
      <c r="L38" s="31">
        <f t="shared" si="1"/>
      </c>
      <c r="M38" s="32">
        <f t="shared" si="2"/>
      </c>
      <c r="N38" s="27"/>
      <c r="O38" s="32">
        <f t="shared" si="3"/>
      </c>
    </row>
    <row r="39" spans="1:15" x14ac:dyDescent="0.25">
      <c r="A39" s="26"/>
      <c r="B39" s="27"/>
      <c r="C39" s="28"/>
      <c r="D39" s="29"/>
      <c r="E39" s="28"/>
      <c r="F39" s="28"/>
      <c r="G39" s="28"/>
      <c r="H39" s="28"/>
      <c r="I39" s="28"/>
      <c r="J39" s="28"/>
      <c r="K39" s="30">
        <f t="shared" si="0"/>
      </c>
      <c r="L39" s="31">
        <f t="shared" si="1"/>
      </c>
      <c r="M39" s="32">
        <f t="shared" si="2"/>
      </c>
      <c r="N39" s="27"/>
      <c r="O39" s="32">
        <f t="shared" si="3"/>
      </c>
    </row>
    <row r="40" spans="1:15" x14ac:dyDescent="0.25">
      <c r="A40" s="26"/>
      <c r="B40" s="27"/>
      <c r="C40" s="28"/>
      <c r="D40" s="29"/>
      <c r="E40" s="28"/>
      <c r="F40" s="28"/>
      <c r="G40" s="28"/>
      <c r="H40" s="28"/>
      <c r="I40" s="28"/>
      <c r="J40" s="28"/>
      <c r="K40" s="30">
        <f t="shared" si="0"/>
      </c>
      <c r="L40" s="31">
        <f t="shared" si="1"/>
      </c>
      <c r="M40" s="32">
        <f t="shared" si="2"/>
      </c>
      <c r="N40" s="27"/>
      <c r="O40" s="32">
        <f t="shared" si="3"/>
      </c>
    </row>
    <row r="41" spans="1:15" x14ac:dyDescent="0.25">
      <c r="A41" s="26"/>
      <c r="B41" s="27"/>
      <c r="C41" s="28"/>
      <c r="D41" s="29"/>
      <c r="E41" s="28"/>
      <c r="F41" s="28"/>
      <c r="G41" s="28"/>
      <c r="H41" s="28"/>
      <c r="I41" s="28"/>
      <c r="J41" s="28"/>
      <c r="K41" s="30">
        <f t="shared" si="0"/>
      </c>
      <c r="L41" s="31">
        <f t="shared" si="1"/>
      </c>
      <c r="M41" s="32">
        <f t="shared" si="2"/>
      </c>
      <c r="N41" s="27"/>
      <c r="O41" s="32">
        <f t="shared" si="3"/>
      </c>
    </row>
    <row r="42" spans="1:15" x14ac:dyDescent="0.25">
      <c r="A42" s="26"/>
      <c r="B42" s="27"/>
      <c r="C42" s="28"/>
      <c r="D42" s="29"/>
      <c r="E42" s="28"/>
      <c r="F42" s="28"/>
      <c r="G42" s="28"/>
      <c r="H42" s="28"/>
      <c r="I42" s="28"/>
      <c r="J42" s="28"/>
      <c r="K42" s="30">
        <f t="shared" si="0"/>
      </c>
      <c r="L42" s="31">
        <f t="shared" si="1"/>
      </c>
      <c r="M42" s="32">
        <f t="shared" si="2"/>
      </c>
      <c r="N42" s="27"/>
      <c r="O42" s="32">
        <f t="shared" si="3"/>
      </c>
    </row>
    <row r="43" spans="1:15" x14ac:dyDescent="0.25">
      <c r="A43" s="26"/>
      <c r="B43" s="27"/>
      <c r="C43" s="28"/>
      <c r="D43" s="29"/>
      <c r="E43" s="28"/>
      <c r="F43" s="28"/>
      <c r="G43" s="28"/>
      <c r="H43" s="28"/>
      <c r="I43" s="28"/>
      <c r="J43" s="28"/>
      <c r="K43" s="30">
        <f t="shared" si="0"/>
      </c>
      <c r="L43" s="31">
        <f t="shared" si="1"/>
      </c>
      <c r="M43" s="32">
        <f t="shared" si="2"/>
      </c>
      <c r="N43" s="27"/>
      <c r="O43" s="32">
        <f t="shared" si="3"/>
      </c>
    </row>
    <row r="44" spans="1:15" x14ac:dyDescent="0.25">
      <c r="A44" s="26"/>
      <c r="B44" s="27"/>
      <c r="C44" s="28"/>
      <c r="D44" s="29"/>
      <c r="E44" s="28"/>
      <c r="F44" s="28"/>
      <c r="G44" s="28"/>
      <c r="H44" s="28"/>
      <c r="I44" s="28"/>
      <c r="J44" s="28"/>
      <c r="K44" s="30">
        <f t="shared" si="0"/>
      </c>
      <c r="L44" s="31">
        <f t="shared" si="1"/>
      </c>
      <c r="M44" s="32">
        <f t="shared" si="2"/>
      </c>
      <c r="N44" s="27"/>
      <c r="O44" s="32">
        <f t="shared" si="3"/>
      </c>
    </row>
    <row r="45" spans="1:15" x14ac:dyDescent="0.25">
      <c r="A45" s="26"/>
      <c r="B45" s="27"/>
      <c r="C45" s="28"/>
      <c r="D45" s="29"/>
      <c r="E45" s="28"/>
      <c r="F45" s="28"/>
      <c r="G45" s="28"/>
      <c r="H45" s="28"/>
      <c r="I45" s="28"/>
      <c r="J45" s="28"/>
      <c r="K45" s="30">
        <f t="shared" si="0"/>
      </c>
      <c r="L45" s="31">
        <f t="shared" si="1"/>
      </c>
      <c r="M45" s="32">
        <f t="shared" si="2"/>
      </c>
      <c r="N45" s="27"/>
      <c r="O45" s="32">
        <f t="shared" si="3"/>
      </c>
    </row>
    <row r="46" spans="1:15" x14ac:dyDescent="0.25">
      <c r="A46" s="26"/>
      <c r="B46" s="27"/>
      <c r="C46" s="28"/>
      <c r="D46" s="29"/>
      <c r="E46" s="28"/>
      <c r="F46" s="28"/>
      <c r="G46" s="28"/>
      <c r="H46" s="28"/>
      <c r="I46" s="28"/>
      <c r="J46" s="28"/>
      <c r="K46" s="30">
        <f t="shared" si="0"/>
      </c>
      <c r="L46" s="31">
        <f t="shared" si="1"/>
      </c>
      <c r="M46" s="32">
        <f t="shared" si="2"/>
      </c>
      <c r="N46" s="27"/>
      <c r="O46" s="32">
        <f t="shared" si="3"/>
      </c>
    </row>
    <row r="47" spans="1:15" x14ac:dyDescent="0.25">
      <c r="A47" s="26"/>
      <c r="B47" s="27"/>
      <c r="C47" s="28"/>
      <c r="D47" s="29"/>
      <c r="E47" s="28"/>
      <c r="F47" s="28"/>
      <c r="G47" s="28"/>
      <c r="H47" s="28"/>
      <c r="I47" s="28"/>
      <c r="J47" s="28"/>
      <c r="K47" s="30">
        <f t="shared" si="0"/>
      </c>
      <c r="L47" s="31">
        <f t="shared" si="1"/>
      </c>
      <c r="M47" s="32">
        <f t="shared" si="2"/>
      </c>
      <c r="N47" s="27"/>
      <c r="O47" s="32">
        <f t="shared" si="3"/>
      </c>
    </row>
    <row r="48" spans="1:15" x14ac:dyDescent="0.25">
      <c r="A48" s="26"/>
      <c r="B48" s="27"/>
      <c r="C48" s="28"/>
      <c r="D48" s="29"/>
      <c r="E48" s="28"/>
      <c r="F48" s="28"/>
      <c r="G48" s="28"/>
      <c r="H48" s="28"/>
      <c r="I48" s="28"/>
      <c r="J48" s="28"/>
      <c r="K48" s="30">
        <f t="shared" si="0"/>
      </c>
      <c r="L48" s="31">
        <f t="shared" si="1"/>
      </c>
      <c r="M48" s="32">
        <f t="shared" si="2"/>
      </c>
      <c r="N48" s="27"/>
      <c r="O48" s="32">
        <f t="shared" si="3"/>
      </c>
    </row>
    <row r="49" spans="1:15" x14ac:dyDescent="0.25">
      <c r="A49" s="26"/>
      <c r="B49" s="27"/>
      <c r="C49" s="28"/>
      <c r="D49" s="29"/>
      <c r="E49" s="28"/>
      <c r="F49" s="28"/>
      <c r="G49" s="28"/>
      <c r="H49" s="28"/>
      <c r="I49" s="28"/>
      <c r="J49" s="28"/>
      <c r="K49" s="30">
        <f t="shared" si="0"/>
      </c>
      <c r="L49" s="31">
        <f t="shared" si="1"/>
      </c>
      <c r="M49" s="32">
        <f t="shared" si="2"/>
      </c>
      <c r="N49" s="27"/>
      <c r="O49" s="32">
        <f t="shared" si="3"/>
      </c>
    </row>
    <row r="50" spans="1:15" x14ac:dyDescent="0.25">
      <c r="A50" s="26"/>
      <c r="B50" s="27"/>
      <c r="C50" s="28"/>
      <c r="D50" s="29"/>
      <c r="E50" s="28"/>
      <c r="F50" s="28"/>
      <c r="G50" s="28"/>
      <c r="H50" s="28"/>
      <c r="I50" s="28"/>
      <c r="J50" s="28"/>
      <c r="K50" s="30">
        <f t="shared" si="0"/>
      </c>
      <c r="L50" s="31">
        <f t="shared" si="1"/>
      </c>
      <c r="M50" s="32">
        <f t="shared" si="2"/>
      </c>
      <c r="N50" s="27"/>
      <c r="O50" s="32">
        <f t="shared" si="3"/>
      </c>
    </row>
    <row r="51" spans="1:15" x14ac:dyDescent="0.25">
      <c r="A51" s="26"/>
      <c r="B51" s="27"/>
      <c r="C51" s="28"/>
      <c r="D51" s="29"/>
      <c r="E51" s="28"/>
      <c r="F51" s="28"/>
      <c r="G51" s="28"/>
      <c r="H51" s="28"/>
      <c r="I51" s="28"/>
      <c r="J51" s="28"/>
      <c r="K51" s="30">
        <f t="shared" si="0"/>
      </c>
      <c r="L51" s="31">
        <f t="shared" si="1"/>
      </c>
      <c r="M51" s="32">
        <f t="shared" si="2"/>
      </c>
      <c r="N51" s="27"/>
      <c r="O51" s="32">
        <f t="shared" si="3"/>
      </c>
    </row>
    <row r="52" spans="1:15" x14ac:dyDescent="0.25">
      <c r="A52" s="26"/>
      <c r="B52" s="27"/>
      <c r="C52" s="28"/>
      <c r="D52" s="29"/>
      <c r="E52" s="28"/>
      <c r="F52" s="28"/>
      <c r="G52" s="28"/>
      <c r="H52" s="28"/>
      <c r="I52" s="28"/>
      <c r="J52" s="28"/>
      <c r="K52" s="30">
        <f t="shared" si="0"/>
      </c>
      <c r="L52" s="31">
        <f t="shared" si="1"/>
      </c>
      <c r="M52" s="32">
        <f t="shared" si="2"/>
      </c>
      <c r="N52" s="27"/>
      <c r="O52" s="32">
        <f t="shared" si="3"/>
      </c>
    </row>
    <row r="53" spans="1:15" x14ac:dyDescent="0.25">
      <c r="A53" s="26"/>
      <c r="B53" s="27"/>
      <c r="C53" s="28"/>
      <c r="D53" s="29"/>
      <c r="E53" s="28"/>
      <c r="F53" s="28"/>
      <c r="G53" s="28"/>
      <c r="H53" s="28"/>
      <c r="I53" s="28"/>
      <c r="J53" s="28"/>
      <c r="K53" s="30">
        <f t="shared" si="0"/>
      </c>
      <c r="L53" s="31">
        <f t="shared" si="1"/>
      </c>
      <c r="M53" s="32">
        <f t="shared" si="2"/>
      </c>
      <c r="N53" s="27"/>
      <c r="O53" s="32">
        <f t="shared" si="3"/>
      </c>
    </row>
    <row r="54" spans="1:15" x14ac:dyDescent="0.25">
      <c r="A54" s="26"/>
      <c r="B54" s="27"/>
      <c r="C54" s="28"/>
      <c r="D54" s="29"/>
      <c r="E54" s="28"/>
      <c r="F54" s="28"/>
      <c r="G54" s="28"/>
      <c r="H54" s="28"/>
      <c r="I54" s="28"/>
      <c r="J54" s="28"/>
      <c r="K54" s="30">
        <f t="shared" si="0"/>
      </c>
      <c r="L54" s="31">
        <f t="shared" si="1"/>
      </c>
      <c r="M54" s="32">
        <f t="shared" si="2"/>
      </c>
      <c r="N54" s="27"/>
      <c r="O54" s="32">
        <f t="shared" si="3"/>
      </c>
    </row>
    <row r="55" spans="1:15" x14ac:dyDescent="0.25">
      <c r="A55" s="26"/>
      <c r="B55" s="27"/>
      <c r="C55" s="28"/>
      <c r="D55" s="29"/>
      <c r="E55" s="28"/>
      <c r="F55" s="28"/>
      <c r="G55" s="28"/>
      <c r="H55" s="28"/>
      <c r="I55" s="28"/>
      <c r="J55" s="28"/>
      <c r="K55" s="30">
        <f t="shared" si="0"/>
      </c>
      <c r="L55" s="31">
        <f t="shared" si="1"/>
      </c>
      <c r="M55" s="32">
        <f t="shared" si="2"/>
      </c>
      <c r="N55" s="27"/>
      <c r="O55" s="32">
        <f t="shared" si="3"/>
      </c>
    </row>
    <row r="56" spans="1:15" x14ac:dyDescent="0.25">
      <c r="A56" s="26"/>
      <c r="B56" s="27"/>
      <c r="C56" s="28"/>
      <c r="D56" s="29"/>
      <c r="E56" s="28"/>
      <c r="F56" s="28"/>
      <c r="G56" s="28"/>
      <c r="H56" s="28"/>
      <c r="I56" s="28"/>
      <c r="J56" s="28"/>
      <c r="K56" s="30">
        <f t="shared" si="0"/>
      </c>
      <c r="L56" s="31">
        <f t="shared" si="1"/>
      </c>
      <c r="M56" s="32">
        <f t="shared" si="2"/>
      </c>
      <c r="N56" s="27"/>
      <c r="O56" s="32">
        <f t="shared" si="3"/>
      </c>
    </row>
    <row r="57" spans="1:15" x14ac:dyDescent="0.25">
      <c r="A57" s="26"/>
      <c r="B57" s="27"/>
      <c r="C57" s="28"/>
      <c r="D57" s="29"/>
      <c r="E57" s="28"/>
      <c r="F57" s="28"/>
      <c r="G57" s="28"/>
      <c r="H57" s="28"/>
      <c r="I57" s="28"/>
      <c r="J57" s="28"/>
      <c r="K57" s="30">
        <f t="shared" si="0"/>
      </c>
      <c r="L57" s="31">
        <f t="shared" si="1"/>
      </c>
      <c r="M57" s="32">
        <f t="shared" si="2"/>
      </c>
      <c r="N57" s="27"/>
      <c r="O57" s="32">
        <f t="shared" si="3"/>
      </c>
    </row>
    <row r="58" spans="1:15" x14ac:dyDescent="0.25">
      <c r="A58" s="26"/>
      <c r="B58" s="27"/>
      <c r="C58" s="28"/>
      <c r="D58" s="29"/>
      <c r="E58" s="28"/>
      <c r="F58" s="28"/>
      <c r="G58" s="28"/>
      <c r="H58" s="28"/>
      <c r="I58" s="28"/>
      <c r="J58" s="28"/>
      <c r="K58" s="30">
        <f t="shared" si="0"/>
      </c>
      <c r="L58" s="31">
        <f t="shared" si="1"/>
      </c>
      <c r="M58" s="32">
        <f t="shared" si="2"/>
      </c>
      <c r="N58" s="27"/>
      <c r="O58" s="32">
        <f t="shared" si="3"/>
      </c>
    </row>
    <row r="59" spans="1:15" x14ac:dyDescent="0.25">
      <c r="A59" s="26"/>
      <c r="B59" s="27"/>
      <c r="C59" s="28"/>
      <c r="D59" s="29"/>
      <c r="E59" s="28"/>
      <c r="F59" s="28"/>
      <c r="G59" s="28"/>
      <c r="H59" s="28"/>
      <c r="I59" s="28"/>
      <c r="J59" s="28"/>
      <c r="K59" s="30">
        <f t="shared" si="0"/>
      </c>
      <c r="L59" s="31">
        <f t="shared" si="1"/>
      </c>
      <c r="M59" s="32">
        <f t="shared" si="2"/>
      </c>
      <c r="N59" s="27"/>
      <c r="O59" s="32">
        <f t="shared" si="3"/>
      </c>
    </row>
    <row r="60" spans="1:15" x14ac:dyDescent="0.25">
      <c r="A60" s="26"/>
      <c r="B60" s="27"/>
      <c r="C60" s="28"/>
      <c r="D60" s="29"/>
      <c r="E60" s="28"/>
      <c r="F60" s="28"/>
      <c r="G60" s="28"/>
      <c r="H60" s="28"/>
      <c r="I60" s="28"/>
      <c r="J60" s="28"/>
      <c r="K60" s="30">
        <f t="shared" si="0"/>
      </c>
      <c r="L60" s="31">
        <f t="shared" si="1"/>
      </c>
      <c r="M60" s="32">
        <f t="shared" si="2"/>
      </c>
      <c r="N60" s="27"/>
      <c r="O60" s="32">
        <f t="shared" si="3"/>
      </c>
    </row>
    <row r="61" spans="1:15" x14ac:dyDescent="0.25">
      <c r="A61" s="26"/>
      <c r="B61" s="27"/>
      <c r="C61" s="28"/>
      <c r="D61" s="29"/>
      <c r="E61" s="28"/>
      <c r="F61" s="28"/>
      <c r="G61" s="28"/>
      <c r="H61" s="28"/>
      <c r="I61" s="28"/>
      <c r="J61" s="28"/>
      <c r="K61" s="30">
        <f t="shared" si="0"/>
      </c>
      <c r="L61" s="31">
        <f t="shared" si="1"/>
      </c>
      <c r="M61" s="32">
        <f t="shared" si="2"/>
      </c>
      <c r="N61" s="27"/>
      <c r="O61" s="32">
        <f t="shared" si="3"/>
      </c>
    </row>
    <row r="62" spans="1:15" x14ac:dyDescent="0.25">
      <c r="A62" s="26"/>
      <c r="B62" s="27"/>
      <c r="C62" s="28"/>
      <c r="D62" s="29"/>
      <c r="E62" s="28"/>
      <c r="F62" s="28"/>
      <c r="G62" s="28"/>
      <c r="H62" s="28"/>
      <c r="I62" s="28"/>
      <c r="J62" s="28"/>
      <c r="K62" s="30">
        <f t="shared" si="0"/>
      </c>
      <c r="L62" s="31">
        <f t="shared" si="1"/>
      </c>
      <c r="M62" s="32">
        <f t="shared" si="2"/>
      </c>
      <c r="N62" s="27"/>
      <c r="O62" s="32">
        <f t="shared" si="3"/>
      </c>
    </row>
    <row r="63" spans="1:15" x14ac:dyDescent="0.25">
      <c r="A63" s="26"/>
      <c r="B63" s="27"/>
      <c r="C63" s="28"/>
      <c r="D63" s="29"/>
      <c r="E63" s="28"/>
      <c r="F63" s="28"/>
      <c r="G63" s="28"/>
      <c r="H63" s="28"/>
      <c r="I63" s="28"/>
      <c r="J63" s="28"/>
      <c r="K63" s="30">
        <f t="shared" si="0"/>
      </c>
      <c r="L63" s="31">
        <f t="shared" si="1"/>
      </c>
      <c r="M63" s="32">
        <f t="shared" si="2"/>
      </c>
      <c r="N63" s="27"/>
      <c r="O63" s="32">
        <f t="shared" si="3"/>
      </c>
    </row>
    <row r="64" spans="1:15" x14ac:dyDescent="0.25">
      <c r="A64" s="26"/>
      <c r="B64" s="27"/>
      <c r="C64" s="28"/>
      <c r="D64" s="29"/>
      <c r="E64" s="28"/>
      <c r="F64" s="28"/>
      <c r="G64" s="28"/>
      <c r="H64" s="28"/>
      <c r="I64" s="28"/>
      <c r="J64" s="28"/>
      <c r="K64" s="30">
        <f t="shared" si="0"/>
      </c>
      <c r="L64" s="31">
        <f t="shared" si="1"/>
      </c>
      <c r="M64" s="32">
        <f t="shared" si="2"/>
      </c>
      <c r="N64" s="27"/>
      <c r="O64" s="32">
        <f t="shared" si="3"/>
      </c>
    </row>
    <row r="65" spans="1:15" x14ac:dyDescent="0.25">
      <c r="A65" s="26"/>
      <c r="B65" s="27"/>
      <c r="C65" s="28"/>
      <c r="D65" s="29"/>
      <c r="E65" s="28"/>
      <c r="F65" s="28"/>
      <c r="G65" s="28"/>
      <c r="H65" s="28"/>
      <c r="I65" s="28"/>
      <c r="J65" s="28"/>
      <c r="K65" s="30">
        <f t="shared" si="0"/>
      </c>
      <c r="L65" s="31">
        <f t="shared" si="1"/>
      </c>
      <c r="M65" s="32">
        <f t="shared" si="2"/>
      </c>
      <c r="N65" s="27"/>
      <c r="O65" s="32">
        <f t="shared" si="3"/>
      </c>
    </row>
    <row r="66" spans="1:15" x14ac:dyDescent="0.25">
      <c r="A66" s="26"/>
      <c r="B66" s="27"/>
      <c r="C66" s="28"/>
      <c r="D66" s="29"/>
      <c r="E66" s="28"/>
      <c r="F66" s="28"/>
      <c r="G66" s="28"/>
      <c r="H66" s="28"/>
      <c r="I66" s="28"/>
      <c r="J66" s="28"/>
      <c r="K66" s="30">
        <f t="shared" si="0"/>
      </c>
      <c r="L66" s="31">
        <f t="shared" si="1"/>
      </c>
      <c r="M66" s="32">
        <f t="shared" si="2"/>
      </c>
      <c r="N66" s="27"/>
      <c r="O66" s="32">
        <f t="shared" si="3"/>
      </c>
    </row>
    <row r="67" spans="1:15" x14ac:dyDescent="0.25">
      <c r="A67" s="26"/>
      <c r="B67" s="27"/>
      <c r="C67" s="28"/>
      <c r="D67" s="29"/>
      <c r="E67" s="28"/>
      <c r="F67" s="28"/>
      <c r="G67" s="28"/>
      <c r="H67" s="28"/>
      <c r="I67" s="28"/>
      <c r="J67" s="28"/>
      <c r="K67" s="30">
        <f t="shared" si="0"/>
      </c>
      <c r="L67" s="31">
        <f t="shared" si="1"/>
      </c>
      <c r="M67" s="32">
        <f t="shared" si="2"/>
      </c>
      <c r="N67" s="27"/>
      <c r="O67" s="32">
        <f t="shared" si="3"/>
      </c>
    </row>
    <row r="68" spans="1:15" x14ac:dyDescent="0.25">
      <c r="A68" s="26"/>
      <c r="B68" s="27"/>
      <c r="C68" s="28"/>
      <c r="D68" s="29"/>
      <c r="E68" s="28"/>
      <c r="F68" s="28"/>
      <c r="G68" s="28"/>
      <c r="H68" s="28"/>
      <c r="I68" s="28"/>
      <c r="J68" s="28"/>
      <c r="K68" s="30">
        <f t="shared" si="0"/>
      </c>
      <c r="L68" s="31">
        <f t="shared" si="1"/>
      </c>
      <c r="M68" s="32">
        <f t="shared" si="2"/>
      </c>
      <c r="N68" s="27"/>
      <c r="O68" s="32">
        <f t="shared" si="3"/>
      </c>
    </row>
    <row r="69" spans="1:15" x14ac:dyDescent="0.25">
      <c r="A69" s="26"/>
      <c r="B69" s="27"/>
      <c r="C69" s="28"/>
      <c r="D69" s="29"/>
      <c r="E69" s="28"/>
      <c r="F69" s="28"/>
      <c r="G69" s="28"/>
      <c r="H69" s="28"/>
      <c r="I69" s="28"/>
      <c r="J69" s="28"/>
      <c r="K69" s="30">
        <f t="shared" si="0"/>
      </c>
      <c r="L69" s="31">
        <f t="shared" si="1"/>
      </c>
      <c r="M69" s="32">
        <f t="shared" si="2"/>
      </c>
      <c r="N69" s="27"/>
      <c r="O69" s="32">
        <f t="shared" si="3"/>
      </c>
    </row>
    <row r="70" spans="1:15" x14ac:dyDescent="0.25">
      <c r="A70" s="26"/>
      <c r="B70" s="27"/>
      <c r="C70" s="28"/>
      <c r="D70" s="29"/>
      <c r="E70" s="28"/>
      <c r="F70" s="28"/>
      <c r="G70" s="28"/>
      <c r="H70" s="28"/>
      <c r="I70" s="28"/>
      <c r="J70" s="28"/>
      <c r="K70" s="30">
        <f t="shared" si="0"/>
      </c>
      <c r="L70" s="31">
        <f t="shared" si="1"/>
      </c>
      <c r="M70" s="32">
        <f t="shared" si="2"/>
      </c>
      <c r="N70" s="27"/>
      <c r="O70" s="32">
        <f t="shared" si="3"/>
      </c>
    </row>
    <row r="71" spans="1:15" x14ac:dyDescent="0.25">
      <c r="A71" s="26"/>
      <c r="B71" s="27"/>
      <c r="C71" s="28"/>
      <c r="D71" s="29"/>
      <c r="E71" s="28"/>
      <c r="F71" s="28"/>
      <c r="G71" s="28"/>
      <c r="H71" s="28"/>
      <c r="I71" s="28"/>
      <c r="J71" s="28"/>
      <c r="K71" s="30">
        <f t="shared" si="0"/>
      </c>
      <c r="L71" s="31">
        <f t="shared" si="1"/>
      </c>
      <c r="M71" s="32">
        <f t="shared" si="2"/>
      </c>
      <c r="N71" s="27"/>
      <c r="O71" s="32">
        <f t="shared" si="3"/>
      </c>
    </row>
    <row r="72" spans="1:15" x14ac:dyDescent="0.25">
      <c r="A72" s="26"/>
      <c r="B72" s="27"/>
      <c r="C72" s="28"/>
      <c r="D72" s="29"/>
      <c r="E72" s="28"/>
      <c r="F72" s="28"/>
      <c r="G72" s="28"/>
      <c r="H72" s="28"/>
      <c r="I72" s="28"/>
      <c r="J72" s="28"/>
      <c r="K72" s="30">
        <f t="shared" si="0"/>
      </c>
      <c r="L72" s="31">
        <f t="shared" si="1"/>
      </c>
      <c r="M72" s="32">
        <f t="shared" si="2"/>
      </c>
      <c r="N72" s="27"/>
      <c r="O72" s="32">
        <f t="shared" si="3"/>
      </c>
    </row>
    <row r="73" spans="1:15" x14ac:dyDescent="0.25">
      <c r="A73" s="26"/>
      <c r="B73" s="27"/>
      <c r="C73" s="28"/>
      <c r="D73" s="29"/>
      <c r="E73" s="28"/>
      <c r="F73" s="28"/>
      <c r="G73" s="28"/>
      <c r="H73" s="28"/>
      <c r="I73" s="28"/>
      <c r="J73" s="28"/>
      <c r="K73" s="30">
        <f t="shared" si="0"/>
      </c>
      <c r="L73" s="31">
        <f t="shared" si="1"/>
      </c>
      <c r="M73" s="32">
        <f t="shared" si="2"/>
      </c>
      <c r="N73" s="27"/>
      <c r="O73" s="32">
        <f t="shared" si="3"/>
      </c>
    </row>
    <row r="74" spans="1:15" x14ac:dyDescent="0.25">
      <c r="A74" s="26"/>
      <c r="B74" s="27"/>
      <c r="C74" s="28"/>
      <c r="D74" s="29"/>
      <c r="E74" s="28"/>
      <c r="F74" s="28"/>
      <c r="G74" s="28"/>
      <c r="H74" s="28"/>
      <c r="I74" s="28"/>
      <c r="J74" s="28"/>
      <c r="K74" s="30">
        <f t="shared" si="0"/>
      </c>
      <c r="L74" s="31">
        <f t="shared" si="1"/>
      </c>
      <c r="M74" s="32">
        <f t="shared" si="2"/>
      </c>
      <c r="N74" s="27"/>
      <c r="O74" s="32">
        <f t="shared" si="3"/>
      </c>
    </row>
    <row r="75" spans="1:15" x14ac:dyDescent="0.25">
      <c r="A75" s="26"/>
      <c r="B75" s="27"/>
      <c r="C75" s="28"/>
      <c r="D75" s="29"/>
      <c r="E75" s="28"/>
      <c r="F75" s="28"/>
      <c r="G75" s="28"/>
      <c r="H75" s="28"/>
      <c r="I75" s="28"/>
      <c r="J75" s="28"/>
      <c r="K75" s="30">
        <f t="shared" si="0"/>
      </c>
      <c r="L75" s="31">
        <f t="shared" si="1"/>
      </c>
      <c r="M75" s="32">
        <f t="shared" si="2"/>
      </c>
      <c r="N75" s="27"/>
      <c r="O75" s="32">
        <f t="shared" si="3"/>
      </c>
    </row>
    <row r="76" spans="1:15" x14ac:dyDescent="0.25">
      <c r="A76" s="26"/>
      <c r="B76" s="27"/>
      <c r="C76" s="28"/>
      <c r="D76" s="29"/>
      <c r="E76" s="28"/>
      <c r="F76" s="28"/>
      <c r="G76" s="28"/>
      <c r="H76" s="28"/>
      <c r="I76" s="28"/>
      <c r="J76" s="28"/>
      <c r="K76" s="30">
        <f t="shared" si="0"/>
      </c>
      <c r="L76" s="31">
        <f t="shared" si="1"/>
      </c>
      <c r="M76" s="32">
        <f t="shared" si="2"/>
      </c>
      <c r="N76" s="27"/>
      <c r="O76" s="32">
        <f t="shared" si="3"/>
      </c>
    </row>
    <row r="77" spans="1:15" x14ac:dyDescent="0.25">
      <c r="A77" s="26"/>
      <c r="B77" s="27"/>
      <c r="C77" s="28"/>
      <c r="D77" s="29"/>
      <c r="E77" s="28"/>
      <c r="F77" s="28"/>
      <c r="G77" s="28"/>
      <c r="H77" s="28"/>
      <c r="I77" s="28"/>
      <c r="J77" s="28"/>
      <c r="K77" s="30">
        <f t="shared" si="0"/>
      </c>
      <c r="L77" s="31">
        <f t="shared" si="1"/>
      </c>
      <c r="M77" s="32">
        <f t="shared" si="2"/>
      </c>
      <c r="N77" s="27"/>
      <c r="O77" s="32">
        <f t="shared" si="3"/>
      </c>
    </row>
    <row r="78" spans="1:15" x14ac:dyDescent="0.25">
      <c r="A78" s="26"/>
      <c r="B78" s="27"/>
      <c r="C78" s="28"/>
      <c r="D78" s="29"/>
      <c r="E78" s="28"/>
      <c r="F78" s="28"/>
      <c r="G78" s="28"/>
      <c r="H78" s="28"/>
      <c r="I78" s="28"/>
      <c r="J78" s="28"/>
      <c r="K78" s="30">
        <f t="shared" si="0"/>
      </c>
      <c r="L78" s="31">
        <f t="shared" si="1"/>
      </c>
      <c r="M78" s="32">
        <f t="shared" si="2"/>
      </c>
      <c r="N78" s="27"/>
      <c r="O78" s="32">
        <f t="shared" si="3"/>
      </c>
    </row>
    <row r="79" spans="1:15" x14ac:dyDescent="0.25">
      <c r="A79" s="26"/>
      <c r="B79" s="27"/>
      <c r="C79" s="28"/>
      <c r="D79" s="29"/>
      <c r="E79" s="28"/>
      <c r="F79" s="28"/>
      <c r="G79" s="28"/>
      <c r="H79" s="28"/>
      <c r="I79" s="28"/>
      <c r="J79" s="28"/>
      <c r="K79" s="30">
        <f t="shared" si="0"/>
      </c>
      <c r="L79" s="31">
        <f t="shared" si="1"/>
      </c>
      <c r="M79" s="32">
        <f t="shared" si="2"/>
      </c>
      <c r="N79" s="27"/>
      <c r="O79" s="32">
        <f t="shared" si="3"/>
      </c>
    </row>
    <row r="80" spans="1:15" x14ac:dyDescent="0.25">
      <c r="A80" s="26"/>
      <c r="B80" s="27"/>
      <c r="C80" s="28"/>
      <c r="D80" s="29"/>
      <c r="E80" s="28"/>
      <c r="F80" s="28"/>
      <c r="G80" s="28"/>
      <c r="H80" s="28"/>
      <c r="I80" s="28"/>
      <c r="J80" s="28"/>
      <c r="K80" s="30">
        <f t="shared" si="0"/>
      </c>
      <c r="L80" s="31">
        <f t="shared" si="1"/>
      </c>
      <c r="M80" s="32">
        <f t="shared" si="2"/>
      </c>
      <c r="N80" s="27"/>
      <c r="O80" s="32">
        <f t="shared" si="3"/>
      </c>
    </row>
    <row r="81" spans="1:15" x14ac:dyDescent="0.25">
      <c r="A81" s="26"/>
      <c r="B81" s="27"/>
      <c r="C81" s="28"/>
      <c r="D81" s="29"/>
      <c r="E81" s="28"/>
      <c r="F81" s="28"/>
      <c r="G81" s="28"/>
      <c r="H81" s="28"/>
      <c r="I81" s="28"/>
      <c r="J81" s="28"/>
      <c r="K81" s="30">
        <f t="shared" si="0"/>
      </c>
      <c r="L81" s="31">
        <f t="shared" si="1"/>
      </c>
      <c r="M81" s="32">
        <f t="shared" si="2"/>
      </c>
      <c r="N81" s="27"/>
      <c r="O81" s="32">
        <f t="shared" si="3"/>
      </c>
    </row>
    <row r="82" spans="1:15" x14ac:dyDescent="0.25">
      <c r="A82" s="26"/>
      <c r="B82" s="27"/>
      <c r="C82" s="28"/>
      <c r="D82" s="29"/>
      <c r="E82" s="28"/>
      <c r="F82" s="28"/>
      <c r="G82" s="28"/>
      <c r="H82" s="28"/>
      <c r="I82" s="28"/>
      <c r="J82" s="28"/>
      <c r="K82" s="30">
        <f t="shared" si="0"/>
      </c>
      <c r="L82" s="31">
        <f t="shared" si="1"/>
      </c>
      <c r="M82" s="32">
        <f t="shared" si="2"/>
      </c>
      <c r="N82" s="27"/>
      <c r="O82" s="32">
        <f t="shared" si="3"/>
      </c>
    </row>
    <row r="83" spans="1:15" x14ac:dyDescent="0.25">
      <c r="A83" s="26"/>
      <c r="B83" s="27"/>
      <c r="C83" s="28"/>
      <c r="D83" s="29"/>
      <c r="E83" s="28"/>
      <c r="F83" s="28"/>
      <c r="G83" s="28"/>
      <c r="H83" s="28"/>
      <c r="I83" s="28"/>
      <c r="J83" s="28"/>
      <c r="K83" s="30">
        <f t="shared" si="0"/>
      </c>
      <c r="L83" s="31">
        <f t="shared" si="1"/>
      </c>
      <c r="M83" s="32">
        <f t="shared" si="2"/>
      </c>
      <c r="N83" s="27"/>
      <c r="O83" s="32">
        <f t="shared" si="3"/>
      </c>
    </row>
    <row r="84" spans="1:15" x14ac:dyDescent="0.25">
      <c r="A84" s="26"/>
      <c r="B84" s="27"/>
      <c r="C84" s="28"/>
      <c r="D84" s="29"/>
      <c r="E84" s="28"/>
      <c r="F84" s="28"/>
      <c r="G84" s="28"/>
      <c r="H84" s="28"/>
      <c r="I84" s="28"/>
      <c r="J84" s="28"/>
      <c r="K84" s="30">
        <f t="shared" si="0"/>
      </c>
      <c r="L84" s="31">
        <f t="shared" si="1"/>
      </c>
      <c r="M84" s="32">
        <f t="shared" si="2"/>
      </c>
      <c r="N84" s="27"/>
      <c r="O84" s="32">
        <f t="shared" si="3"/>
      </c>
    </row>
    <row r="85" spans="1:15" x14ac:dyDescent="0.25">
      <c r="A85" s="26"/>
      <c r="B85" s="27"/>
      <c r="C85" s="28"/>
      <c r="D85" s="29"/>
      <c r="E85" s="28"/>
      <c r="F85" s="28"/>
      <c r="G85" s="28"/>
      <c r="H85" s="28"/>
      <c r="I85" s="28"/>
      <c r="J85" s="28"/>
      <c r="K85" s="30">
        <f t="shared" si="0"/>
      </c>
      <c r="L85" s="31">
        <f t="shared" si="1"/>
      </c>
      <c r="M85" s="32">
        <f t="shared" si="2"/>
      </c>
      <c r="N85" s="27"/>
      <c r="O85" s="32">
        <f t="shared" si="3"/>
      </c>
    </row>
    <row r="86" spans="1:15" x14ac:dyDescent="0.25">
      <c r="A86" s="26"/>
      <c r="B86" s="27"/>
      <c r="C86" s="28"/>
      <c r="D86" s="29"/>
      <c r="E86" s="28"/>
      <c r="F86" s="28"/>
      <c r="G86" s="28"/>
      <c r="H86" s="28"/>
      <c r="I86" s="28"/>
      <c r="J86" s="28"/>
      <c r="K86" s="30">
        <f t="shared" si="0"/>
      </c>
      <c r="L86" s="31">
        <f t="shared" si="1"/>
      </c>
      <c r="M86" s="32">
        <f t="shared" si="2"/>
      </c>
      <c r="N86" s="27"/>
      <c r="O86" s="32">
        <f t="shared" si="3"/>
      </c>
    </row>
    <row r="87" spans="1:15" x14ac:dyDescent="0.25">
      <c r="A87" s="26"/>
      <c r="B87" s="27"/>
      <c r="C87" s="28"/>
      <c r="D87" s="29"/>
      <c r="E87" s="28"/>
      <c r="F87" s="28"/>
      <c r="G87" s="28"/>
      <c r="H87" s="28"/>
      <c r="I87" s="28"/>
      <c r="J87" s="28"/>
      <c r="K87" s="30">
        <f t="shared" si="0"/>
      </c>
      <c r="L87" s="31">
        <f t="shared" si="1"/>
      </c>
      <c r="M87" s="32">
        <f t="shared" si="2"/>
      </c>
      <c r="N87" s="27"/>
      <c r="O87" s="32">
        <f t="shared" si="3"/>
      </c>
    </row>
    <row r="88" spans="1:15" x14ac:dyDescent="0.25">
      <c r="A88" s="26"/>
      <c r="B88" s="27"/>
      <c r="C88" s="28"/>
      <c r="D88" s="29"/>
      <c r="E88" s="28"/>
      <c r="F88" s="28"/>
      <c r="G88" s="28"/>
      <c r="H88" s="28"/>
      <c r="I88" s="28"/>
      <c r="J88" s="28"/>
      <c r="K88" s="30">
        <f t="shared" si="0"/>
      </c>
      <c r="L88" s="31">
        <f t="shared" si="1"/>
      </c>
      <c r="M88" s="32">
        <f t="shared" si="2"/>
      </c>
      <c r="N88" s="27"/>
      <c r="O88" s="32">
        <f t="shared" si="3"/>
      </c>
    </row>
    <row r="89" spans="1:15" x14ac:dyDescent="0.25">
      <c r="A89" s="26"/>
      <c r="B89" s="27"/>
      <c r="C89" s="28"/>
      <c r="D89" s="29"/>
      <c r="E89" s="28"/>
      <c r="F89" s="28"/>
      <c r="G89" s="28"/>
      <c r="H89" s="28"/>
      <c r="I89" s="28"/>
      <c r="J89" s="28"/>
      <c r="K89" s="30">
        <f t="shared" si="0"/>
      </c>
      <c r="L89" s="31">
        <f t="shared" si="1"/>
      </c>
      <c r="M89" s="32">
        <f t="shared" si="2"/>
      </c>
      <c r="N89" s="27"/>
      <c r="O89" s="32">
        <f t="shared" si="3"/>
      </c>
    </row>
    <row r="90" spans="1:15" x14ac:dyDescent="0.25">
      <c r="A90" s="26"/>
      <c r="B90" s="27"/>
      <c r="C90" s="28"/>
      <c r="D90" s="29"/>
      <c r="E90" s="28"/>
      <c r="F90" s="28"/>
      <c r="G90" s="28"/>
      <c r="H90" s="28"/>
      <c r="I90" s="28"/>
      <c r="J90" s="28"/>
      <c r="K90" s="30">
        <f t="shared" si="0"/>
      </c>
      <c r="L90" s="31">
        <f t="shared" si="1"/>
      </c>
      <c r="M90" s="32">
        <f t="shared" si="2"/>
      </c>
      <c r="N90" s="27"/>
      <c r="O90" s="32">
        <f t="shared" si="3"/>
      </c>
    </row>
    <row r="91" spans="1:15" x14ac:dyDescent="0.25">
      <c r="A91" s="26"/>
      <c r="B91" s="27"/>
      <c r="C91" s="28"/>
      <c r="D91" s="29"/>
      <c r="E91" s="28"/>
      <c r="F91" s="28"/>
      <c r="G91" s="28"/>
      <c r="H91" s="28"/>
      <c r="I91" s="28"/>
      <c r="J91" s="28"/>
      <c r="K91" s="30">
        <f t="shared" si="0"/>
      </c>
      <c r="L91" s="31">
        <f t="shared" si="1"/>
      </c>
      <c r="M91" s="32">
        <f t="shared" si="2"/>
      </c>
      <c r="N91" s="27"/>
      <c r="O91" s="32">
        <f t="shared" si="3"/>
      </c>
    </row>
    <row r="92" spans="1:15" x14ac:dyDescent="0.25">
      <c r="A92" s="26"/>
      <c r="B92" s="27"/>
      <c r="C92" s="28"/>
      <c r="D92" s="29"/>
      <c r="E92" s="28"/>
      <c r="F92" s="28"/>
      <c r="G92" s="28"/>
      <c r="H92" s="28"/>
      <c r="I92" s="28"/>
      <c r="J92" s="28"/>
      <c r="K92" s="30">
        <f t="shared" si="0"/>
      </c>
      <c r="L92" s="31">
        <f t="shared" si="1"/>
      </c>
      <c r="M92" s="32">
        <f t="shared" si="2"/>
      </c>
      <c r="N92" s="27"/>
      <c r="O92" s="32">
        <f t="shared" si="3"/>
      </c>
    </row>
    <row r="93" spans="1:15" x14ac:dyDescent="0.25">
      <c r="A93" s="26"/>
      <c r="B93" s="27"/>
      <c r="C93" s="28"/>
      <c r="D93" s="29"/>
      <c r="E93" s="28"/>
      <c r="F93" s="28"/>
      <c r="G93" s="28"/>
      <c r="H93" s="28"/>
      <c r="I93" s="28"/>
      <c r="J93" s="28"/>
      <c r="K93" s="30">
        <f t="shared" si="0"/>
      </c>
      <c r="L93" s="31">
        <f t="shared" si="1"/>
      </c>
      <c r="M93" s="32">
        <f t="shared" si="2"/>
      </c>
      <c r="N93" s="27"/>
      <c r="O93" s="32">
        <f t="shared" si="3"/>
      </c>
    </row>
    <row r="94" spans="1:15" x14ac:dyDescent="0.25">
      <c r="A94" s="26"/>
      <c r="B94" s="27"/>
      <c r="C94" s="28"/>
      <c r="D94" s="29"/>
      <c r="E94" s="28"/>
      <c r="F94" s="28"/>
      <c r="G94" s="28"/>
      <c r="H94" s="28"/>
      <c r="I94" s="28"/>
      <c r="J94" s="28"/>
      <c r="K94" s="30">
        <f t="shared" si="0"/>
      </c>
      <c r="L94" s="31">
        <f t="shared" si="1"/>
      </c>
      <c r="M94" s="32">
        <f t="shared" si="2"/>
      </c>
      <c r="N94" s="27"/>
      <c r="O94" s="32">
        <f t="shared" si="3"/>
      </c>
    </row>
    <row r="95" spans="1:15" x14ac:dyDescent="0.25">
      <c r="A95" s="26"/>
      <c r="B95" s="27"/>
      <c r="C95" s="28"/>
      <c r="D95" s="29"/>
      <c r="E95" s="28"/>
      <c r="F95" s="28"/>
      <c r="G95" s="28"/>
      <c r="H95" s="28"/>
      <c r="I95" s="28"/>
      <c r="J95" s="28"/>
      <c r="K95" s="30">
        <f t="shared" si="0"/>
      </c>
      <c r="L95" s="31">
        <f t="shared" si="1"/>
      </c>
      <c r="M95" s="32">
        <f t="shared" si="2"/>
      </c>
      <c r="N95" s="27"/>
      <c r="O95" s="32">
        <f t="shared" si="3"/>
      </c>
    </row>
    <row r="96" spans="1:15" x14ac:dyDescent="0.25">
      <c r="A96" s="26"/>
      <c r="B96" s="27"/>
      <c r="C96" s="28"/>
      <c r="D96" s="29"/>
      <c r="E96" s="28"/>
      <c r="F96" s="28"/>
      <c r="G96" s="28"/>
      <c r="H96" s="28"/>
      <c r="I96" s="28"/>
      <c r="J96" s="28"/>
      <c r="K96" s="30">
        <f t="shared" si="0"/>
      </c>
      <c r="L96" s="31">
        <f t="shared" si="1"/>
      </c>
      <c r="M96" s="32">
        <f t="shared" si="2"/>
      </c>
      <c r="N96" s="27"/>
      <c r="O96" s="32">
        <f t="shared" si="3"/>
      </c>
    </row>
    <row r="97" spans="1:15" x14ac:dyDescent="0.25">
      <c r="A97" s="26"/>
      <c r="B97" s="27"/>
      <c r="C97" s="28"/>
      <c r="D97" s="29"/>
      <c r="E97" s="28"/>
      <c r="F97" s="28"/>
      <c r="G97" s="28"/>
      <c r="H97" s="28"/>
      <c r="I97" s="28"/>
      <c r="J97" s="28"/>
      <c r="K97" s="30">
        <f t="shared" si="0"/>
      </c>
      <c r="L97" s="31">
        <f t="shared" si="1"/>
      </c>
      <c r="M97" s="32">
        <f t="shared" si="2"/>
      </c>
      <c r="N97" s="27"/>
      <c r="O97" s="32">
        <f t="shared" si="3"/>
      </c>
    </row>
    <row r="98" spans="1:15" x14ac:dyDescent="0.25">
      <c r="A98" s="26"/>
      <c r="B98" s="27"/>
      <c r="C98" s="28"/>
      <c r="D98" s="29"/>
      <c r="E98" s="28"/>
      <c r="F98" s="28"/>
      <c r="G98" s="28"/>
      <c r="H98" s="28"/>
      <c r="I98" s="28"/>
      <c r="J98" s="28"/>
      <c r="K98" s="30">
        <f t="shared" si="0"/>
      </c>
      <c r="L98" s="31">
        <f t="shared" si="1"/>
      </c>
      <c r="M98" s="32">
        <f t="shared" si="2"/>
      </c>
      <c r="N98" s="27"/>
      <c r="O98" s="32">
        <f t="shared" si="3"/>
      </c>
    </row>
    <row r="99" spans="1:15" x14ac:dyDescent="0.25">
      <c r="A99" s="26"/>
      <c r="B99" s="27"/>
      <c r="C99" s="28"/>
      <c r="D99" s="29"/>
      <c r="E99" s="28"/>
      <c r="F99" s="28"/>
      <c r="G99" s="28"/>
      <c r="H99" s="28"/>
      <c r="I99" s="28"/>
      <c r="J99" s="28"/>
      <c r="K99" s="30">
        <f t="shared" si="0"/>
      </c>
      <c r="L99" s="31">
        <f t="shared" si="1"/>
      </c>
      <c r="M99" s="32">
        <f t="shared" si="2"/>
      </c>
      <c r="N99" s="27"/>
      <c r="O99" s="32">
        <f t="shared" si="3"/>
      </c>
    </row>
    <row r="100" spans="1:15" x14ac:dyDescent="0.25">
      <c r="A100" s="26"/>
      <c r="B100" s="27"/>
      <c r="C100" s="28"/>
      <c r="D100" s="29"/>
      <c r="E100" s="28"/>
      <c r="F100" s="28"/>
      <c r="G100" s="28"/>
      <c r="H100" s="28"/>
      <c r="I100" s="28"/>
      <c r="J100" s="28"/>
      <c r="K100" s="30">
        <f t="shared" si="0"/>
      </c>
      <c r="L100" s="31">
        <f t="shared" si="1"/>
      </c>
      <c r="M100" s="32">
        <f t="shared" si="2"/>
      </c>
      <c r="N100" s="27"/>
      <c r="O100" s="32">
        <f t="shared" si="3"/>
      </c>
    </row>
    <row r="101" spans="1:15" x14ac:dyDescent="0.25">
      <c r="A101" s="26"/>
      <c r="B101" s="27"/>
      <c r="C101" s="28"/>
      <c r="D101" s="29"/>
      <c r="E101" s="28"/>
      <c r="F101" s="28"/>
      <c r="G101" s="28"/>
      <c r="H101" s="28"/>
      <c r="I101" s="28"/>
      <c r="J101" s="28"/>
      <c r="K101" s="30">
        <f t="shared" si="0"/>
      </c>
      <c r="L101" s="31">
        <f t="shared" si="1"/>
      </c>
      <c r="M101" s="32">
        <f t="shared" si="2"/>
      </c>
      <c r="N101" s="27"/>
      <c r="O101" s="32">
        <f t="shared" si="3"/>
      </c>
    </row>
    <row r="102" spans="1:15" x14ac:dyDescent="0.25">
      <c r="A102" s="26"/>
      <c r="B102" s="27"/>
      <c r="C102" s="28"/>
      <c r="D102" s="29"/>
      <c r="E102" s="28"/>
      <c r="F102" s="28"/>
      <c r="G102" s="28"/>
      <c r="H102" s="28"/>
      <c r="I102" s="28"/>
      <c r="J102" s="28"/>
      <c r="K102" s="30">
        <f t="shared" si="0"/>
      </c>
      <c r="L102" s="31">
        <f t="shared" si="1"/>
      </c>
      <c r="M102" s="32">
        <f t="shared" si="2"/>
      </c>
      <c r="N102" s="27"/>
      <c r="O102" s="32">
        <f t="shared" si="3"/>
      </c>
    </row>
    <row r="103" spans="1:15" x14ac:dyDescent="0.25">
      <c r="A103" s="26"/>
      <c r="B103" s="27"/>
      <c r="C103" s="28"/>
      <c r="D103" s="29"/>
      <c r="E103" s="28"/>
      <c r="F103" s="28"/>
      <c r="G103" s="28"/>
      <c r="H103" s="28"/>
      <c r="I103" s="28"/>
      <c r="J103" s="28"/>
      <c r="K103" s="30">
        <f t="shared" si="0"/>
      </c>
      <c r="L103" s="31">
        <f t="shared" si="1"/>
      </c>
      <c r="M103" s="32">
        <f t="shared" si="2"/>
      </c>
      <c r="N103" s="27"/>
      <c r="O103" s="32">
        <f t="shared" si="3"/>
      </c>
    </row>
  </sheetData>
  <sheetProtection sheet="1" formatColumns="0" formatRows="0" autoFilter="0"/>
  <autoFilter ref="A3:O103"/>
  <mergeCells count="2">
    <mergeCell ref="A1:B2"/>
    <mergeCell ref="C1:N2"/>
  </mergeCells>
  <conditionalFormatting sqref="L4:L103">
    <cfRule type="expression" dxfId="7" priority="10">
      <formula>L4=5</formula>
    </cfRule>
    <cfRule type="expression" dxfId="8" priority="11">
      <formula>L4=4</formula>
    </cfRule>
    <cfRule type="expression" dxfId="9" priority="12">
      <formula>L4=3</formula>
    </cfRule>
    <cfRule type="expression" dxfId="10" priority="13">
      <formula>AND(ISNUMBER(L4),L4&lt;=2)</formula>
    </cfRule>
  </conditionalFormatting>
  <conditionalFormatting sqref="O4:O103">
    <cfRule type="expression" dxfId="11" priority="1">
      <formula>OR(LEFT(O4,4)="ERRO",LEFT(O4,7)="ATENÇÃO")</formula>
    </cfRule>
    <cfRule type="expression" dxfId="12" priority="2">
      <formula>OR(LEFT(O4,8)="Pendente",LEFT(O4,9)="Verificar",LEFT(O4,9)="Duplicada",LEFT(O4,7)="Tarefa ",LEFT(O4,13)="Fora do plano",LEFT(O4,8)="Previsão",LEFT(O4,11)="Sem vínculo",LEFT(O4,14)="Não verificado",LEFT(O4,7)="Informe",LEFT(O4,9)="A definir")</formula>
    </cfRule>
    <cfRule type="expression" dxfId="13" priority="3">
      <formula>OR(O4="OK",LEFT(O4,4)="Nada",LEFT(O4,3)="OK:")</formula>
    </cfRule>
  </conditionalFormatting>
  <dataValidations count="6">
    <dataValidation type="whole" allowBlank="1" showErrorMessage="1" errorStyle="stop" errorTitle="Valor inválido" error="Nota inteira de 1 (baixo impacto) a 5 (altíssimo)." sqref="E4:E103">
      <formula1>1</formula1>
      <formula2>5</formula2>
    </dataValidation>
    <dataValidation type="whole" allowBlank="1" showErrorMessage="1" errorStyle="stop" errorTitle="Valor inválido" error="Nota inteira de 1 (baixo impacto) a 5 (altíssimo)." sqref="F4:F103">
      <formula1>1</formula1>
      <formula2>5</formula2>
    </dataValidation>
    <dataValidation type="whole" allowBlank="1" showErrorMessage="1" errorStyle="stop" errorTitle="Valor inválido" error="Nota inteira de 1 (baixo impacto) a 5 (altíssimo)." sqref="G4:G103">
      <formula1>1</formula1>
      <formula2>5</formula2>
    </dataValidation>
    <dataValidation type="whole" allowBlank="1" showErrorMessage="1" errorStyle="stop" errorTitle="Valor inválido" error="Nota inteira de 1 (baixo impacto) a 5 (altíssimo)." sqref="H4:H103">
      <formula1>1</formula1>
      <formula2>5</formula2>
    </dataValidation>
    <dataValidation type="whole" allowBlank="1" showErrorMessage="1" errorStyle="stop" errorTitle="Valor inválido" error="Nota inteira de 1 (baixo impacto) a 5 (altíssimo)." sqref="I4:I103">
      <formula1>1</formula1>
      <formula2>5</formula2>
    </dataValidation>
    <dataValidation type="whole" allowBlank="1" showErrorMessage="1" errorStyle="stop" errorTitle="Valor inválido" error="Probabilidade de 1 (rara) a 5 (frequente)." sqref="J4:J103">
      <formula1>1</formula1>
      <formula2>5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8" customWidth="1"/>
    <col min="4" max="4" width="14" customWidth="1"/>
    <col min="5" max="5" width="11" customWidth="1"/>
    <col min="6" max="7" width="13" customWidth="1"/>
    <col min="8" max="8" width="24" customWidth="1"/>
    <col min="9" max="9" width="18" customWidth="1"/>
    <col min="10" max="10" width="16" customWidth="1"/>
    <col min="11" max="11" width="30" customWidth="1"/>
  </cols>
  <sheetData>
    <row r="1" ht="36" customHeight="1" spans="1:11" x14ac:dyDescent="0.25">
      <c r="A1" s="1"/>
      <c r="B1" s="1"/>
      <c r="C1" s="2" t="s">
        <v>112</v>
      </c>
      <c r="D1" s="2"/>
      <c r="E1" s="2"/>
      <c r="F1" s="2"/>
      <c r="G1" s="2"/>
      <c r="H1" s="2"/>
      <c r="I1" s="2"/>
      <c r="J1" s="2"/>
      <c r="K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1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4">
        <f>"Elaborado: "&amp;IF(cfg_elaborado="","A definir",cfg_elaborado)&amp;CHAR(10)&amp;"Aprovado: "&amp;IF(cfg_aprovado="","A definir",cfg_aprovado)</f>
      </c>
    </row>
    <row r="3" ht="34" customHeight="1" spans="1:11" x14ac:dyDescent="0.25">
      <c r="A3" s="8" t="s">
        <v>113</v>
      </c>
      <c r="B3" s="8" t="s">
        <v>98</v>
      </c>
      <c r="C3" s="8" t="s">
        <v>114</v>
      </c>
      <c r="D3" s="8" t="s">
        <v>115</v>
      </c>
      <c r="E3" s="8" t="s">
        <v>116</v>
      </c>
      <c r="F3" s="8" t="s">
        <v>117</v>
      </c>
      <c r="G3" s="8" t="s">
        <v>118</v>
      </c>
      <c r="H3" s="8" t="s">
        <v>119</v>
      </c>
      <c r="I3" s="8" t="s">
        <v>120</v>
      </c>
      <c r="J3" s="8" t="s">
        <v>121</v>
      </c>
      <c r="K3" s="8" t="s">
        <v>111</v>
      </c>
    </row>
    <row r="4" spans="1:11" x14ac:dyDescent="0.25">
      <c r="A4" s="26"/>
      <c r="B4" s="27"/>
      <c r="C4" s="28"/>
      <c r="D4" s="28"/>
      <c r="E4" s="28"/>
      <c r="F4" s="33"/>
      <c r="G4" s="34">
        <f t="shared" ref="G4:G103" si="0">IF(OR(NOT(ISNUMBER(F4)),N(E4)&lt;=0),"",EDATE(F4,E4))</f>
      </c>
      <c r="H4" s="27"/>
      <c r="I4" s="35"/>
      <c r="J4" s="30">
        <f t="shared" ref="J4:J103" si="1">IF(NOT(ISNUMBER(G4)),"",IF(G4&lt;TODAY(),"Vencido",IF(G4-TODAY()&lt;=30,"Vence em 30 dias","Em dia")))</f>
      </c>
      <c r="K4" s="32">
        <f t="shared" ref="K4:K103" si="2">IF(A4&amp;B4="","",IF(A4="","ERRO: falta o código",IF(COUNTIF($A$4:$A$103,A4)&gt;1,"ERRO: código repetido",IF(AND(ISNUMBER(F4),F4&gt;TODAY()),"ERRO: calibração no futuro",IF(OR(E4="",NOT(ISNUMBER(F4))),"Pendente: frequência e última calibração",IF(I4="","Pendente: informe o nº do certificado","OK"))))))</f>
      </c>
    </row>
    <row r="5" spans="1:11" x14ac:dyDescent="0.25">
      <c r="A5" s="26"/>
      <c r="B5" s="27"/>
      <c r="C5" s="28"/>
      <c r="D5" s="28"/>
      <c r="E5" s="28"/>
      <c r="F5" s="33"/>
      <c r="G5" s="34">
        <f t="shared" si="0"/>
      </c>
      <c r="H5" s="27"/>
      <c r="I5" s="35"/>
      <c r="J5" s="30">
        <f t="shared" si="1"/>
      </c>
      <c r="K5" s="32">
        <f t="shared" si="2"/>
      </c>
    </row>
    <row r="6" spans="1:11" x14ac:dyDescent="0.25">
      <c r="A6" s="26"/>
      <c r="B6" s="27"/>
      <c r="C6" s="28"/>
      <c r="D6" s="28"/>
      <c r="E6" s="28"/>
      <c r="F6" s="33"/>
      <c r="G6" s="34">
        <f t="shared" si="0"/>
      </c>
      <c r="H6" s="27"/>
      <c r="I6" s="35"/>
      <c r="J6" s="30">
        <f t="shared" si="1"/>
      </c>
      <c r="K6" s="32">
        <f t="shared" si="2"/>
      </c>
    </row>
    <row r="7" spans="1:11" x14ac:dyDescent="0.25">
      <c r="A7" s="26"/>
      <c r="B7" s="27"/>
      <c r="C7" s="28"/>
      <c r="D7" s="28"/>
      <c r="E7" s="28"/>
      <c r="F7" s="33"/>
      <c r="G7" s="34">
        <f t="shared" si="0"/>
      </c>
      <c r="H7" s="27"/>
      <c r="I7" s="35"/>
      <c r="J7" s="30">
        <f t="shared" si="1"/>
      </c>
      <c r="K7" s="32">
        <f t="shared" si="2"/>
      </c>
    </row>
    <row r="8" spans="1:11" x14ac:dyDescent="0.25">
      <c r="A8" s="26"/>
      <c r="B8" s="27"/>
      <c r="C8" s="28"/>
      <c r="D8" s="28"/>
      <c r="E8" s="28"/>
      <c r="F8" s="33"/>
      <c r="G8" s="34">
        <f t="shared" si="0"/>
      </c>
      <c r="H8" s="27"/>
      <c r="I8" s="35"/>
      <c r="J8" s="30">
        <f t="shared" si="1"/>
      </c>
      <c r="K8" s="32">
        <f t="shared" si="2"/>
      </c>
    </row>
    <row r="9" spans="1:11" x14ac:dyDescent="0.25">
      <c r="A9" s="26"/>
      <c r="B9" s="27"/>
      <c r="C9" s="28"/>
      <c r="D9" s="28"/>
      <c r="E9" s="28"/>
      <c r="F9" s="33"/>
      <c r="G9" s="34">
        <f t="shared" si="0"/>
      </c>
      <c r="H9" s="27"/>
      <c r="I9" s="35"/>
      <c r="J9" s="30">
        <f t="shared" si="1"/>
      </c>
      <c r="K9" s="32">
        <f t="shared" si="2"/>
      </c>
    </row>
    <row r="10" spans="1:11" x14ac:dyDescent="0.25">
      <c r="A10" s="26"/>
      <c r="B10" s="27"/>
      <c r="C10" s="28"/>
      <c r="D10" s="28"/>
      <c r="E10" s="28"/>
      <c r="F10" s="33"/>
      <c r="G10" s="34">
        <f t="shared" si="0"/>
      </c>
      <c r="H10" s="27"/>
      <c r="I10" s="35"/>
      <c r="J10" s="30">
        <f t="shared" si="1"/>
      </c>
      <c r="K10" s="32">
        <f t="shared" si="2"/>
      </c>
    </row>
    <row r="11" spans="1:11" x14ac:dyDescent="0.25">
      <c r="A11" s="26"/>
      <c r="B11" s="27"/>
      <c r="C11" s="28"/>
      <c r="D11" s="28"/>
      <c r="E11" s="28"/>
      <c r="F11" s="33"/>
      <c r="G11" s="34">
        <f t="shared" si="0"/>
      </c>
      <c r="H11" s="27"/>
      <c r="I11" s="35"/>
      <c r="J11" s="30">
        <f t="shared" si="1"/>
      </c>
      <c r="K11" s="32">
        <f t="shared" si="2"/>
      </c>
    </row>
    <row r="12" spans="1:11" x14ac:dyDescent="0.25">
      <c r="A12" s="26"/>
      <c r="B12" s="27"/>
      <c r="C12" s="28"/>
      <c r="D12" s="28"/>
      <c r="E12" s="28"/>
      <c r="F12" s="33"/>
      <c r="G12" s="34">
        <f t="shared" si="0"/>
      </c>
      <c r="H12" s="27"/>
      <c r="I12" s="35"/>
      <c r="J12" s="30">
        <f t="shared" si="1"/>
      </c>
      <c r="K12" s="32">
        <f t="shared" si="2"/>
      </c>
    </row>
    <row r="13" spans="1:11" x14ac:dyDescent="0.25">
      <c r="A13" s="26"/>
      <c r="B13" s="27"/>
      <c r="C13" s="28"/>
      <c r="D13" s="28"/>
      <c r="E13" s="28"/>
      <c r="F13" s="33"/>
      <c r="G13" s="34">
        <f t="shared" si="0"/>
      </c>
      <c r="H13" s="27"/>
      <c r="I13" s="35"/>
      <c r="J13" s="30">
        <f t="shared" si="1"/>
      </c>
      <c r="K13" s="32">
        <f t="shared" si="2"/>
      </c>
    </row>
    <row r="14" spans="1:11" x14ac:dyDescent="0.25">
      <c r="A14" s="26"/>
      <c r="B14" s="27"/>
      <c r="C14" s="28"/>
      <c r="D14" s="28"/>
      <c r="E14" s="28"/>
      <c r="F14" s="33"/>
      <c r="G14" s="34">
        <f t="shared" si="0"/>
      </c>
      <c r="H14" s="27"/>
      <c r="I14" s="35"/>
      <c r="J14" s="30">
        <f t="shared" si="1"/>
      </c>
      <c r="K14" s="32">
        <f t="shared" si="2"/>
      </c>
    </row>
    <row r="15" spans="1:11" x14ac:dyDescent="0.25">
      <c r="A15" s="26"/>
      <c r="B15" s="27"/>
      <c r="C15" s="28"/>
      <c r="D15" s="28"/>
      <c r="E15" s="28"/>
      <c r="F15" s="33"/>
      <c r="G15" s="34">
        <f t="shared" si="0"/>
      </c>
      <c r="H15" s="27"/>
      <c r="I15" s="35"/>
      <c r="J15" s="30">
        <f t="shared" si="1"/>
      </c>
      <c r="K15" s="32">
        <f t="shared" si="2"/>
      </c>
    </row>
    <row r="16" spans="1:11" x14ac:dyDescent="0.25">
      <c r="A16" s="26"/>
      <c r="B16" s="27"/>
      <c r="C16" s="28"/>
      <c r="D16" s="28"/>
      <c r="E16" s="28"/>
      <c r="F16" s="33"/>
      <c r="G16" s="34">
        <f t="shared" si="0"/>
      </c>
      <c r="H16" s="27"/>
      <c r="I16" s="35"/>
      <c r="J16" s="30">
        <f t="shared" si="1"/>
      </c>
      <c r="K16" s="32">
        <f t="shared" si="2"/>
      </c>
    </row>
    <row r="17" spans="1:11" x14ac:dyDescent="0.25">
      <c r="A17" s="26"/>
      <c r="B17" s="27"/>
      <c r="C17" s="28"/>
      <c r="D17" s="28"/>
      <c r="E17" s="28"/>
      <c r="F17" s="33"/>
      <c r="G17" s="34">
        <f t="shared" si="0"/>
      </c>
      <c r="H17" s="27"/>
      <c r="I17" s="35"/>
      <c r="J17" s="30">
        <f t="shared" si="1"/>
      </c>
      <c r="K17" s="32">
        <f t="shared" si="2"/>
      </c>
    </row>
    <row r="18" spans="1:11" x14ac:dyDescent="0.25">
      <c r="A18" s="26"/>
      <c r="B18" s="27"/>
      <c r="C18" s="28"/>
      <c r="D18" s="28"/>
      <c r="E18" s="28"/>
      <c r="F18" s="33"/>
      <c r="G18" s="34">
        <f t="shared" si="0"/>
      </c>
      <c r="H18" s="27"/>
      <c r="I18" s="35"/>
      <c r="J18" s="30">
        <f t="shared" si="1"/>
      </c>
      <c r="K18" s="32">
        <f t="shared" si="2"/>
      </c>
    </row>
    <row r="19" spans="1:11" x14ac:dyDescent="0.25">
      <c r="A19" s="26"/>
      <c r="B19" s="27"/>
      <c r="C19" s="28"/>
      <c r="D19" s="28"/>
      <c r="E19" s="28"/>
      <c r="F19" s="33"/>
      <c r="G19" s="34">
        <f t="shared" si="0"/>
      </c>
      <c r="H19" s="27"/>
      <c r="I19" s="35"/>
      <c r="J19" s="30">
        <f t="shared" si="1"/>
      </c>
      <c r="K19" s="32">
        <f t="shared" si="2"/>
      </c>
    </row>
    <row r="20" spans="1:11" x14ac:dyDescent="0.25">
      <c r="A20" s="26"/>
      <c r="B20" s="27"/>
      <c r="C20" s="28"/>
      <c r="D20" s="28"/>
      <c r="E20" s="28"/>
      <c r="F20" s="33"/>
      <c r="G20" s="34">
        <f t="shared" si="0"/>
      </c>
      <c r="H20" s="27"/>
      <c r="I20" s="35"/>
      <c r="J20" s="30">
        <f t="shared" si="1"/>
      </c>
      <c r="K20" s="32">
        <f t="shared" si="2"/>
      </c>
    </row>
    <row r="21" spans="1:11" x14ac:dyDescent="0.25">
      <c r="A21" s="26"/>
      <c r="B21" s="27"/>
      <c r="C21" s="28"/>
      <c r="D21" s="28"/>
      <c r="E21" s="28"/>
      <c r="F21" s="33"/>
      <c r="G21" s="34">
        <f t="shared" si="0"/>
      </c>
      <c r="H21" s="27"/>
      <c r="I21" s="35"/>
      <c r="J21" s="30">
        <f t="shared" si="1"/>
      </c>
      <c r="K21" s="32">
        <f t="shared" si="2"/>
      </c>
    </row>
    <row r="22" spans="1:11" x14ac:dyDescent="0.25">
      <c r="A22" s="26"/>
      <c r="B22" s="27"/>
      <c r="C22" s="28"/>
      <c r="D22" s="28"/>
      <c r="E22" s="28"/>
      <c r="F22" s="33"/>
      <c r="G22" s="34">
        <f t="shared" si="0"/>
      </c>
      <c r="H22" s="27"/>
      <c r="I22" s="35"/>
      <c r="J22" s="30">
        <f t="shared" si="1"/>
      </c>
      <c r="K22" s="32">
        <f t="shared" si="2"/>
      </c>
    </row>
    <row r="23" spans="1:11" x14ac:dyDescent="0.25">
      <c r="A23" s="26"/>
      <c r="B23" s="27"/>
      <c r="C23" s="28"/>
      <c r="D23" s="28"/>
      <c r="E23" s="28"/>
      <c r="F23" s="33"/>
      <c r="G23" s="34">
        <f t="shared" si="0"/>
      </c>
      <c r="H23" s="27"/>
      <c r="I23" s="35"/>
      <c r="J23" s="30">
        <f t="shared" si="1"/>
      </c>
      <c r="K23" s="32">
        <f t="shared" si="2"/>
      </c>
    </row>
    <row r="24" spans="1:11" x14ac:dyDescent="0.25">
      <c r="A24" s="26"/>
      <c r="B24" s="27"/>
      <c r="C24" s="28"/>
      <c r="D24" s="28"/>
      <c r="E24" s="28"/>
      <c r="F24" s="33"/>
      <c r="G24" s="34">
        <f t="shared" si="0"/>
      </c>
      <c r="H24" s="27"/>
      <c r="I24" s="35"/>
      <c r="J24" s="30">
        <f t="shared" si="1"/>
      </c>
      <c r="K24" s="32">
        <f t="shared" si="2"/>
      </c>
    </row>
    <row r="25" spans="1:11" x14ac:dyDescent="0.25">
      <c r="A25" s="26"/>
      <c r="B25" s="27"/>
      <c r="C25" s="28"/>
      <c r="D25" s="28"/>
      <c r="E25" s="28"/>
      <c r="F25" s="33"/>
      <c r="G25" s="34">
        <f t="shared" si="0"/>
      </c>
      <c r="H25" s="27"/>
      <c r="I25" s="35"/>
      <c r="J25" s="30">
        <f t="shared" si="1"/>
      </c>
      <c r="K25" s="32">
        <f t="shared" si="2"/>
      </c>
    </row>
    <row r="26" spans="1:11" x14ac:dyDescent="0.25">
      <c r="A26" s="26"/>
      <c r="B26" s="27"/>
      <c r="C26" s="28"/>
      <c r="D26" s="28"/>
      <c r="E26" s="28"/>
      <c r="F26" s="33"/>
      <c r="G26" s="34">
        <f t="shared" si="0"/>
      </c>
      <c r="H26" s="27"/>
      <c r="I26" s="35"/>
      <c r="J26" s="30">
        <f t="shared" si="1"/>
      </c>
      <c r="K26" s="32">
        <f t="shared" si="2"/>
      </c>
    </row>
    <row r="27" spans="1:11" x14ac:dyDescent="0.25">
      <c r="A27" s="26"/>
      <c r="B27" s="27"/>
      <c r="C27" s="28"/>
      <c r="D27" s="28"/>
      <c r="E27" s="28"/>
      <c r="F27" s="33"/>
      <c r="G27" s="34">
        <f t="shared" si="0"/>
      </c>
      <c r="H27" s="27"/>
      <c r="I27" s="35"/>
      <c r="J27" s="30">
        <f t="shared" si="1"/>
      </c>
      <c r="K27" s="32">
        <f t="shared" si="2"/>
      </c>
    </row>
    <row r="28" spans="1:11" x14ac:dyDescent="0.25">
      <c r="A28" s="26"/>
      <c r="B28" s="27"/>
      <c r="C28" s="28"/>
      <c r="D28" s="28"/>
      <c r="E28" s="28"/>
      <c r="F28" s="33"/>
      <c r="G28" s="34">
        <f t="shared" si="0"/>
      </c>
      <c r="H28" s="27"/>
      <c r="I28" s="35"/>
      <c r="J28" s="30">
        <f t="shared" si="1"/>
      </c>
      <c r="K28" s="32">
        <f t="shared" si="2"/>
      </c>
    </row>
    <row r="29" spans="1:11" x14ac:dyDescent="0.25">
      <c r="A29" s="26"/>
      <c r="B29" s="27"/>
      <c r="C29" s="28"/>
      <c r="D29" s="28"/>
      <c r="E29" s="28"/>
      <c r="F29" s="33"/>
      <c r="G29" s="34">
        <f t="shared" si="0"/>
      </c>
      <c r="H29" s="27"/>
      <c r="I29" s="35"/>
      <c r="J29" s="30">
        <f t="shared" si="1"/>
      </c>
      <c r="K29" s="32">
        <f t="shared" si="2"/>
      </c>
    </row>
    <row r="30" spans="1:11" x14ac:dyDescent="0.25">
      <c r="A30" s="26"/>
      <c r="B30" s="27"/>
      <c r="C30" s="28"/>
      <c r="D30" s="28"/>
      <c r="E30" s="28"/>
      <c r="F30" s="33"/>
      <c r="G30" s="34">
        <f t="shared" si="0"/>
      </c>
      <c r="H30" s="27"/>
      <c r="I30" s="35"/>
      <c r="J30" s="30">
        <f t="shared" si="1"/>
      </c>
      <c r="K30" s="32">
        <f t="shared" si="2"/>
      </c>
    </row>
    <row r="31" spans="1:11" x14ac:dyDescent="0.25">
      <c r="A31" s="26"/>
      <c r="B31" s="27"/>
      <c r="C31" s="28"/>
      <c r="D31" s="28"/>
      <c r="E31" s="28"/>
      <c r="F31" s="33"/>
      <c r="G31" s="34">
        <f t="shared" si="0"/>
      </c>
      <c r="H31" s="27"/>
      <c r="I31" s="35"/>
      <c r="J31" s="30">
        <f t="shared" si="1"/>
      </c>
      <c r="K31" s="32">
        <f t="shared" si="2"/>
      </c>
    </row>
    <row r="32" spans="1:11" x14ac:dyDescent="0.25">
      <c r="A32" s="26"/>
      <c r="B32" s="27"/>
      <c r="C32" s="28"/>
      <c r="D32" s="28"/>
      <c r="E32" s="28"/>
      <c r="F32" s="33"/>
      <c r="G32" s="34">
        <f t="shared" si="0"/>
      </c>
      <c r="H32" s="27"/>
      <c r="I32" s="35"/>
      <c r="J32" s="30">
        <f t="shared" si="1"/>
      </c>
      <c r="K32" s="32">
        <f t="shared" si="2"/>
      </c>
    </row>
    <row r="33" spans="1:11" x14ac:dyDescent="0.25">
      <c r="A33" s="26"/>
      <c r="B33" s="27"/>
      <c r="C33" s="28"/>
      <c r="D33" s="28"/>
      <c r="E33" s="28"/>
      <c r="F33" s="33"/>
      <c r="G33" s="34">
        <f t="shared" si="0"/>
      </c>
      <c r="H33" s="27"/>
      <c r="I33" s="35"/>
      <c r="J33" s="30">
        <f t="shared" si="1"/>
      </c>
      <c r="K33" s="32">
        <f t="shared" si="2"/>
      </c>
    </row>
    <row r="34" spans="1:11" x14ac:dyDescent="0.25">
      <c r="A34" s="26"/>
      <c r="B34" s="27"/>
      <c r="C34" s="28"/>
      <c r="D34" s="28"/>
      <c r="E34" s="28"/>
      <c r="F34" s="33"/>
      <c r="G34" s="34">
        <f t="shared" si="0"/>
      </c>
      <c r="H34" s="27"/>
      <c r="I34" s="35"/>
      <c r="J34" s="30">
        <f t="shared" si="1"/>
      </c>
      <c r="K34" s="32">
        <f t="shared" si="2"/>
      </c>
    </row>
    <row r="35" spans="1:11" x14ac:dyDescent="0.25">
      <c r="A35" s="26"/>
      <c r="B35" s="27"/>
      <c r="C35" s="28"/>
      <c r="D35" s="28"/>
      <c r="E35" s="28"/>
      <c r="F35" s="33"/>
      <c r="G35" s="34">
        <f t="shared" si="0"/>
      </c>
      <c r="H35" s="27"/>
      <c r="I35" s="35"/>
      <c r="J35" s="30">
        <f t="shared" si="1"/>
      </c>
      <c r="K35" s="32">
        <f t="shared" si="2"/>
      </c>
    </row>
    <row r="36" spans="1:11" x14ac:dyDescent="0.25">
      <c r="A36" s="26"/>
      <c r="B36" s="27"/>
      <c r="C36" s="28"/>
      <c r="D36" s="28"/>
      <c r="E36" s="28"/>
      <c r="F36" s="33"/>
      <c r="G36" s="34">
        <f t="shared" si="0"/>
      </c>
      <c r="H36" s="27"/>
      <c r="I36" s="35"/>
      <c r="J36" s="30">
        <f t="shared" si="1"/>
      </c>
      <c r="K36" s="32">
        <f t="shared" si="2"/>
      </c>
    </row>
    <row r="37" spans="1:11" x14ac:dyDescent="0.25">
      <c r="A37" s="26"/>
      <c r="B37" s="27"/>
      <c r="C37" s="28"/>
      <c r="D37" s="28"/>
      <c r="E37" s="28"/>
      <c r="F37" s="33"/>
      <c r="G37" s="34">
        <f t="shared" si="0"/>
      </c>
      <c r="H37" s="27"/>
      <c r="I37" s="35"/>
      <c r="J37" s="30">
        <f t="shared" si="1"/>
      </c>
      <c r="K37" s="32">
        <f t="shared" si="2"/>
      </c>
    </row>
    <row r="38" spans="1:11" x14ac:dyDescent="0.25">
      <c r="A38" s="26"/>
      <c r="B38" s="27"/>
      <c r="C38" s="28"/>
      <c r="D38" s="28"/>
      <c r="E38" s="28"/>
      <c r="F38" s="33"/>
      <c r="G38" s="34">
        <f t="shared" si="0"/>
      </c>
      <c r="H38" s="27"/>
      <c r="I38" s="35"/>
      <c r="J38" s="30">
        <f t="shared" si="1"/>
      </c>
      <c r="K38" s="32">
        <f t="shared" si="2"/>
      </c>
    </row>
    <row r="39" spans="1:11" x14ac:dyDescent="0.25">
      <c r="A39" s="26"/>
      <c r="B39" s="27"/>
      <c r="C39" s="28"/>
      <c r="D39" s="28"/>
      <c r="E39" s="28"/>
      <c r="F39" s="33"/>
      <c r="G39" s="34">
        <f t="shared" si="0"/>
      </c>
      <c r="H39" s="27"/>
      <c r="I39" s="35"/>
      <c r="J39" s="30">
        <f t="shared" si="1"/>
      </c>
      <c r="K39" s="32">
        <f t="shared" si="2"/>
      </c>
    </row>
    <row r="40" spans="1:11" x14ac:dyDescent="0.25">
      <c r="A40" s="26"/>
      <c r="B40" s="27"/>
      <c r="C40" s="28"/>
      <c r="D40" s="28"/>
      <c r="E40" s="28"/>
      <c r="F40" s="33"/>
      <c r="G40" s="34">
        <f t="shared" si="0"/>
      </c>
      <c r="H40" s="27"/>
      <c r="I40" s="35"/>
      <c r="J40" s="30">
        <f t="shared" si="1"/>
      </c>
      <c r="K40" s="32">
        <f t="shared" si="2"/>
      </c>
    </row>
    <row r="41" spans="1:11" x14ac:dyDescent="0.25">
      <c r="A41" s="26"/>
      <c r="B41" s="27"/>
      <c r="C41" s="28"/>
      <c r="D41" s="28"/>
      <c r="E41" s="28"/>
      <c r="F41" s="33"/>
      <c r="G41" s="34">
        <f t="shared" si="0"/>
      </c>
      <c r="H41" s="27"/>
      <c r="I41" s="35"/>
      <c r="J41" s="30">
        <f t="shared" si="1"/>
      </c>
      <c r="K41" s="32">
        <f t="shared" si="2"/>
      </c>
    </row>
    <row r="42" spans="1:11" x14ac:dyDescent="0.25">
      <c r="A42" s="26"/>
      <c r="B42" s="27"/>
      <c r="C42" s="28"/>
      <c r="D42" s="28"/>
      <c r="E42" s="28"/>
      <c r="F42" s="33"/>
      <c r="G42" s="34">
        <f t="shared" si="0"/>
      </c>
      <c r="H42" s="27"/>
      <c r="I42" s="35"/>
      <c r="J42" s="30">
        <f t="shared" si="1"/>
      </c>
      <c r="K42" s="32">
        <f t="shared" si="2"/>
      </c>
    </row>
    <row r="43" spans="1:11" x14ac:dyDescent="0.25">
      <c r="A43" s="26"/>
      <c r="B43" s="27"/>
      <c r="C43" s="28"/>
      <c r="D43" s="28"/>
      <c r="E43" s="28"/>
      <c r="F43" s="33"/>
      <c r="G43" s="34">
        <f t="shared" si="0"/>
      </c>
      <c r="H43" s="27"/>
      <c r="I43" s="35"/>
      <c r="J43" s="30">
        <f t="shared" si="1"/>
      </c>
      <c r="K43" s="32">
        <f t="shared" si="2"/>
      </c>
    </row>
    <row r="44" spans="1:11" x14ac:dyDescent="0.25">
      <c r="A44" s="26"/>
      <c r="B44" s="27"/>
      <c r="C44" s="28"/>
      <c r="D44" s="28"/>
      <c r="E44" s="28"/>
      <c r="F44" s="33"/>
      <c r="G44" s="34">
        <f t="shared" si="0"/>
      </c>
      <c r="H44" s="27"/>
      <c r="I44" s="35"/>
      <c r="J44" s="30">
        <f t="shared" si="1"/>
      </c>
      <c r="K44" s="32">
        <f t="shared" si="2"/>
      </c>
    </row>
    <row r="45" spans="1:11" x14ac:dyDescent="0.25">
      <c r="A45" s="26"/>
      <c r="B45" s="27"/>
      <c r="C45" s="28"/>
      <c r="D45" s="28"/>
      <c r="E45" s="28"/>
      <c r="F45" s="33"/>
      <c r="G45" s="34">
        <f t="shared" si="0"/>
      </c>
      <c r="H45" s="27"/>
      <c r="I45" s="35"/>
      <c r="J45" s="30">
        <f t="shared" si="1"/>
      </c>
      <c r="K45" s="32">
        <f t="shared" si="2"/>
      </c>
    </row>
    <row r="46" spans="1:11" x14ac:dyDescent="0.25">
      <c r="A46" s="26"/>
      <c r="B46" s="27"/>
      <c r="C46" s="28"/>
      <c r="D46" s="28"/>
      <c r="E46" s="28"/>
      <c r="F46" s="33"/>
      <c r="G46" s="34">
        <f t="shared" si="0"/>
      </c>
      <c r="H46" s="27"/>
      <c r="I46" s="35"/>
      <c r="J46" s="30">
        <f t="shared" si="1"/>
      </c>
      <c r="K46" s="32">
        <f t="shared" si="2"/>
      </c>
    </row>
    <row r="47" spans="1:11" x14ac:dyDescent="0.25">
      <c r="A47" s="26"/>
      <c r="B47" s="27"/>
      <c r="C47" s="28"/>
      <c r="D47" s="28"/>
      <c r="E47" s="28"/>
      <c r="F47" s="33"/>
      <c r="G47" s="34">
        <f t="shared" si="0"/>
      </c>
      <c r="H47" s="27"/>
      <c r="I47" s="35"/>
      <c r="J47" s="30">
        <f t="shared" si="1"/>
      </c>
      <c r="K47" s="32">
        <f t="shared" si="2"/>
      </c>
    </row>
    <row r="48" spans="1:11" x14ac:dyDescent="0.25">
      <c r="A48" s="26"/>
      <c r="B48" s="27"/>
      <c r="C48" s="28"/>
      <c r="D48" s="28"/>
      <c r="E48" s="28"/>
      <c r="F48" s="33"/>
      <c r="G48" s="34">
        <f t="shared" si="0"/>
      </c>
      <c r="H48" s="27"/>
      <c r="I48" s="35"/>
      <c r="J48" s="30">
        <f t="shared" si="1"/>
      </c>
      <c r="K48" s="32">
        <f t="shared" si="2"/>
      </c>
    </row>
    <row r="49" spans="1:11" x14ac:dyDescent="0.25">
      <c r="A49" s="26"/>
      <c r="B49" s="27"/>
      <c r="C49" s="28"/>
      <c r="D49" s="28"/>
      <c r="E49" s="28"/>
      <c r="F49" s="33"/>
      <c r="G49" s="34">
        <f t="shared" si="0"/>
      </c>
      <c r="H49" s="27"/>
      <c r="I49" s="35"/>
      <c r="J49" s="30">
        <f t="shared" si="1"/>
      </c>
      <c r="K49" s="32">
        <f t="shared" si="2"/>
      </c>
    </row>
    <row r="50" spans="1:11" x14ac:dyDescent="0.25">
      <c r="A50" s="26"/>
      <c r="B50" s="27"/>
      <c r="C50" s="28"/>
      <c r="D50" s="28"/>
      <c r="E50" s="28"/>
      <c r="F50" s="33"/>
      <c r="G50" s="34">
        <f t="shared" si="0"/>
      </c>
      <c r="H50" s="27"/>
      <c r="I50" s="35"/>
      <c r="J50" s="30">
        <f t="shared" si="1"/>
      </c>
      <c r="K50" s="32">
        <f t="shared" si="2"/>
      </c>
    </row>
    <row r="51" spans="1:11" x14ac:dyDescent="0.25">
      <c r="A51" s="26"/>
      <c r="B51" s="27"/>
      <c r="C51" s="28"/>
      <c r="D51" s="28"/>
      <c r="E51" s="28"/>
      <c r="F51" s="33"/>
      <c r="G51" s="34">
        <f t="shared" si="0"/>
      </c>
      <c r="H51" s="27"/>
      <c r="I51" s="35"/>
      <c r="J51" s="30">
        <f t="shared" si="1"/>
      </c>
      <c r="K51" s="32">
        <f t="shared" si="2"/>
      </c>
    </row>
    <row r="52" spans="1:11" x14ac:dyDescent="0.25">
      <c r="A52" s="26"/>
      <c r="B52" s="27"/>
      <c r="C52" s="28"/>
      <c r="D52" s="28"/>
      <c r="E52" s="28"/>
      <c r="F52" s="33"/>
      <c r="G52" s="34">
        <f t="shared" si="0"/>
      </c>
      <c r="H52" s="27"/>
      <c r="I52" s="35"/>
      <c r="J52" s="30">
        <f t="shared" si="1"/>
      </c>
      <c r="K52" s="32">
        <f t="shared" si="2"/>
      </c>
    </row>
    <row r="53" spans="1:11" x14ac:dyDescent="0.25">
      <c r="A53" s="26"/>
      <c r="B53" s="27"/>
      <c r="C53" s="28"/>
      <c r="D53" s="28"/>
      <c r="E53" s="28"/>
      <c r="F53" s="33"/>
      <c r="G53" s="34">
        <f t="shared" si="0"/>
      </c>
      <c r="H53" s="27"/>
      <c r="I53" s="35"/>
      <c r="J53" s="30">
        <f t="shared" si="1"/>
      </c>
      <c r="K53" s="32">
        <f t="shared" si="2"/>
      </c>
    </row>
    <row r="54" spans="1:11" x14ac:dyDescent="0.25">
      <c r="A54" s="26"/>
      <c r="B54" s="27"/>
      <c r="C54" s="28"/>
      <c r="D54" s="28"/>
      <c r="E54" s="28"/>
      <c r="F54" s="33"/>
      <c r="G54" s="34">
        <f t="shared" si="0"/>
      </c>
      <c r="H54" s="27"/>
      <c r="I54" s="35"/>
      <c r="J54" s="30">
        <f t="shared" si="1"/>
      </c>
      <c r="K54" s="32">
        <f t="shared" si="2"/>
      </c>
    </row>
    <row r="55" spans="1:11" x14ac:dyDescent="0.25">
      <c r="A55" s="26"/>
      <c r="B55" s="27"/>
      <c r="C55" s="28"/>
      <c r="D55" s="28"/>
      <c r="E55" s="28"/>
      <c r="F55" s="33"/>
      <c r="G55" s="34">
        <f t="shared" si="0"/>
      </c>
      <c r="H55" s="27"/>
      <c r="I55" s="35"/>
      <c r="J55" s="30">
        <f t="shared" si="1"/>
      </c>
      <c r="K55" s="32">
        <f t="shared" si="2"/>
      </c>
    </row>
    <row r="56" spans="1:11" x14ac:dyDescent="0.25">
      <c r="A56" s="26"/>
      <c r="B56" s="27"/>
      <c r="C56" s="28"/>
      <c r="D56" s="28"/>
      <c r="E56" s="28"/>
      <c r="F56" s="33"/>
      <c r="G56" s="34">
        <f t="shared" si="0"/>
      </c>
      <c r="H56" s="27"/>
      <c r="I56" s="35"/>
      <c r="J56" s="30">
        <f t="shared" si="1"/>
      </c>
      <c r="K56" s="32">
        <f t="shared" si="2"/>
      </c>
    </row>
    <row r="57" spans="1:11" x14ac:dyDescent="0.25">
      <c r="A57" s="26"/>
      <c r="B57" s="27"/>
      <c r="C57" s="28"/>
      <c r="D57" s="28"/>
      <c r="E57" s="28"/>
      <c r="F57" s="33"/>
      <c r="G57" s="34">
        <f t="shared" si="0"/>
      </c>
      <c r="H57" s="27"/>
      <c r="I57" s="35"/>
      <c r="J57" s="30">
        <f t="shared" si="1"/>
      </c>
      <c r="K57" s="32">
        <f t="shared" si="2"/>
      </c>
    </row>
    <row r="58" spans="1:11" x14ac:dyDescent="0.25">
      <c r="A58" s="26"/>
      <c r="B58" s="27"/>
      <c r="C58" s="28"/>
      <c r="D58" s="28"/>
      <c r="E58" s="28"/>
      <c r="F58" s="33"/>
      <c r="G58" s="34">
        <f t="shared" si="0"/>
      </c>
      <c r="H58" s="27"/>
      <c r="I58" s="35"/>
      <c r="J58" s="30">
        <f t="shared" si="1"/>
      </c>
      <c r="K58" s="32">
        <f t="shared" si="2"/>
      </c>
    </row>
    <row r="59" spans="1:11" x14ac:dyDescent="0.25">
      <c r="A59" s="26"/>
      <c r="B59" s="27"/>
      <c r="C59" s="28"/>
      <c r="D59" s="28"/>
      <c r="E59" s="28"/>
      <c r="F59" s="33"/>
      <c r="G59" s="34">
        <f t="shared" si="0"/>
      </c>
      <c r="H59" s="27"/>
      <c r="I59" s="35"/>
      <c r="J59" s="30">
        <f t="shared" si="1"/>
      </c>
      <c r="K59" s="32">
        <f t="shared" si="2"/>
      </c>
    </row>
    <row r="60" spans="1:11" x14ac:dyDescent="0.25">
      <c r="A60" s="26"/>
      <c r="B60" s="27"/>
      <c r="C60" s="28"/>
      <c r="D60" s="28"/>
      <c r="E60" s="28"/>
      <c r="F60" s="33"/>
      <c r="G60" s="34">
        <f t="shared" si="0"/>
      </c>
      <c r="H60" s="27"/>
      <c r="I60" s="35"/>
      <c r="J60" s="30">
        <f t="shared" si="1"/>
      </c>
      <c r="K60" s="32">
        <f t="shared" si="2"/>
      </c>
    </row>
    <row r="61" spans="1:11" x14ac:dyDescent="0.25">
      <c r="A61" s="26"/>
      <c r="B61" s="27"/>
      <c r="C61" s="28"/>
      <c r="D61" s="28"/>
      <c r="E61" s="28"/>
      <c r="F61" s="33"/>
      <c r="G61" s="34">
        <f t="shared" si="0"/>
      </c>
      <c r="H61" s="27"/>
      <c r="I61" s="35"/>
      <c r="J61" s="30">
        <f t="shared" si="1"/>
      </c>
      <c r="K61" s="32">
        <f t="shared" si="2"/>
      </c>
    </row>
    <row r="62" spans="1:11" x14ac:dyDescent="0.25">
      <c r="A62" s="26"/>
      <c r="B62" s="27"/>
      <c r="C62" s="28"/>
      <c r="D62" s="28"/>
      <c r="E62" s="28"/>
      <c r="F62" s="33"/>
      <c r="G62" s="34">
        <f t="shared" si="0"/>
      </c>
      <c r="H62" s="27"/>
      <c r="I62" s="35"/>
      <c r="J62" s="30">
        <f t="shared" si="1"/>
      </c>
      <c r="K62" s="32">
        <f t="shared" si="2"/>
      </c>
    </row>
    <row r="63" spans="1:11" x14ac:dyDescent="0.25">
      <c r="A63" s="26"/>
      <c r="B63" s="27"/>
      <c r="C63" s="28"/>
      <c r="D63" s="28"/>
      <c r="E63" s="28"/>
      <c r="F63" s="33"/>
      <c r="G63" s="34">
        <f t="shared" si="0"/>
      </c>
      <c r="H63" s="27"/>
      <c r="I63" s="35"/>
      <c r="J63" s="30">
        <f t="shared" si="1"/>
      </c>
      <c r="K63" s="32">
        <f t="shared" si="2"/>
      </c>
    </row>
    <row r="64" spans="1:11" x14ac:dyDescent="0.25">
      <c r="A64" s="26"/>
      <c r="B64" s="27"/>
      <c r="C64" s="28"/>
      <c r="D64" s="28"/>
      <c r="E64" s="28"/>
      <c r="F64" s="33"/>
      <c r="G64" s="34">
        <f t="shared" si="0"/>
      </c>
      <c r="H64" s="27"/>
      <c r="I64" s="35"/>
      <c r="J64" s="30">
        <f t="shared" si="1"/>
      </c>
      <c r="K64" s="32">
        <f t="shared" si="2"/>
      </c>
    </row>
    <row r="65" spans="1:11" x14ac:dyDescent="0.25">
      <c r="A65" s="26"/>
      <c r="B65" s="27"/>
      <c r="C65" s="28"/>
      <c r="D65" s="28"/>
      <c r="E65" s="28"/>
      <c r="F65" s="33"/>
      <c r="G65" s="34">
        <f t="shared" si="0"/>
      </c>
      <c r="H65" s="27"/>
      <c r="I65" s="35"/>
      <c r="J65" s="30">
        <f t="shared" si="1"/>
      </c>
      <c r="K65" s="32">
        <f t="shared" si="2"/>
      </c>
    </row>
    <row r="66" spans="1:11" x14ac:dyDescent="0.25">
      <c r="A66" s="26"/>
      <c r="B66" s="27"/>
      <c r="C66" s="28"/>
      <c r="D66" s="28"/>
      <c r="E66" s="28"/>
      <c r="F66" s="33"/>
      <c r="G66" s="34">
        <f t="shared" si="0"/>
      </c>
      <c r="H66" s="27"/>
      <c r="I66" s="35"/>
      <c r="J66" s="30">
        <f t="shared" si="1"/>
      </c>
      <c r="K66" s="32">
        <f t="shared" si="2"/>
      </c>
    </row>
    <row r="67" spans="1:11" x14ac:dyDescent="0.25">
      <c r="A67" s="26"/>
      <c r="B67" s="27"/>
      <c r="C67" s="28"/>
      <c r="D67" s="28"/>
      <c r="E67" s="28"/>
      <c r="F67" s="33"/>
      <c r="G67" s="34">
        <f t="shared" si="0"/>
      </c>
      <c r="H67" s="27"/>
      <c r="I67" s="35"/>
      <c r="J67" s="30">
        <f t="shared" si="1"/>
      </c>
      <c r="K67" s="32">
        <f t="shared" si="2"/>
      </c>
    </row>
    <row r="68" spans="1:11" x14ac:dyDescent="0.25">
      <c r="A68" s="26"/>
      <c r="B68" s="27"/>
      <c r="C68" s="28"/>
      <c r="D68" s="28"/>
      <c r="E68" s="28"/>
      <c r="F68" s="33"/>
      <c r="G68" s="34">
        <f t="shared" si="0"/>
      </c>
      <c r="H68" s="27"/>
      <c r="I68" s="35"/>
      <c r="J68" s="30">
        <f t="shared" si="1"/>
      </c>
      <c r="K68" s="32">
        <f t="shared" si="2"/>
      </c>
    </row>
    <row r="69" spans="1:11" x14ac:dyDescent="0.25">
      <c r="A69" s="26"/>
      <c r="B69" s="27"/>
      <c r="C69" s="28"/>
      <c r="D69" s="28"/>
      <c r="E69" s="28"/>
      <c r="F69" s="33"/>
      <c r="G69" s="34">
        <f t="shared" si="0"/>
      </c>
      <c r="H69" s="27"/>
      <c r="I69" s="35"/>
      <c r="J69" s="30">
        <f t="shared" si="1"/>
      </c>
      <c r="K69" s="32">
        <f t="shared" si="2"/>
      </c>
    </row>
    <row r="70" spans="1:11" x14ac:dyDescent="0.25">
      <c r="A70" s="26"/>
      <c r="B70" s="27"/>
      <c r="C70" s="28"/>
      <c r="D70" s="28"/>
      <c r="E70" s="28"/>
      <c r="F70" s="33"/>
      <c r="G70" s="34">
        <f t="shared" si="0"/>
      </c>
      <c r="H70" s="27"/>
      <c r="I70" s="35"/>
      <c r="J70" s="30">
        <f t="shared" si="1"/>
      </c>
      <c r="K70" s="32">
        <f t="shared" si="2"/>
      </c>
    </row>
    <row r="71" spans="1:11" x14ac:dyDescent="0.25">
      <c r="A71" s="26"/>
      <c r="B71" s="27"/>
      <c r="C71" s="28"/>
      <c r="D71" s="28"/>
      <c r="E71" s="28"/>
      <c r="F71" s="33"/>
      <c r="G71" s="34">
        <f t="shared" si="0"/>
      </c>
      <c r="H71" s="27"/>
      <c r="I71" s="35"/>
      <c r="J71" s="30">
        <f t="shared" si="1"/>
      </c>
      <c r="K71" s="32">
        <f t="shared" si="2"/>
      </c>
    </row>
    <row r="72" spans="1:11" x14ac:dyDescent="0.25">
      <c r="A72" s="26"/>
      <c r="B72" s="27"/>
      <c r="C72" s="28"/>
      <c r="D72" s="28"/>
      <c r="E72" s="28"/>
      <c r="F72" s="33"/>
      <c r="G72" s="34">
        <f t="shared" si="0"/>
      </c>
      <c r="H72" s="27"/>
      <c r="I72" s="35"/>
      <c r="J72" s="30">
        <f t="shared" si="1"/>
      </c>
      <c r="K72" s="32">
        <f t="shared" si="2"/>
      </c>
    </row>
    <row r="73" spans="1:11" x14ac:dyDescent="0.25">
      <c r="A73" s="26"/>
      <c r="B73" s="27"/>
      <c r="C73" s="28"/>
      <c r="D73" s="28"/>
      <c r="E73" s="28"/>
      <c r="F73" s="33"/>
      <c r="G73" s="34">
        <f t="shared" si="0"/>
      </c>
      <c r="H73" s="27"/>
      <c r="I73" s="35"/>
      <c r="J73" s="30">
        <f t="shared" si="1"/>
      </c>
      <c r="K73" s="32">
        <f t="shared" si="2"/>
      </c>
    </row>
    <row r="74" spans="1:11" x14ac:dyDescent="0.25">
      <c r="A74" s="26"/>
      <c r="B74" s="27"/>
      <c r="C74" s="28"/>
      <c r="D74" s="28"/>
      <c r="E74" s="28"/>
      <c r="F74" s="33"/>
      <c r="G74" s="34">
        <f t="shared" si="0"/>
      </c>
      <c r="H74" s="27"/>
      <c r="I74" s="35"/>
      <c r="J74" s="30">
        <f t="shared" si="1"/>
      </c>
      <c r="K74" s="32">
        <f t="shared" si="2"/>
      </c>
    </row>
    <row r="75" spans="1:11" x14ac:dyDescent="0.25">
      <c r="A75" s="26"/>
      <c r="B75" s="27"/>
      <c r="C75" s="28"/>
      <c r="D75" s="28"/>
      <c r="E75" s="28"/>
      <c r="F75" s="33"/>
      <c r="G75" s="34">
        <f t="shared" si="0"/>
      </c>
      <c r="H75" s="27"/>
      <c r="I75" s="35"/>
      <c r="J75" s="30">
        <f t="shared" si="1"/>
      </c>
      <c r="K75" s="32">
        <f t="shared" si="2"/>
      </c>
    </row>
    <row r="76" spans="1:11" x14ac:dyDescent="0.25">
      <c r="A76" s="26"/>
      <c r="B76" s="27"/>
      <c r="C76" s="28"/>
      <c r="D76" s="28"/>
      <c r="E76" s="28"/>
      <c r="F76" s="33"/>
      <c r="G76" s="34">
        <f t="shared" si="0"/>
      </c>
      <c r="H76" s="27"/>
      <c r="I76" s="35"/>
      <c r="J76" s="30">
        <f t="shared" si="1"/>
      </c>
      <c r="K76" s="32">
        <f t="shared" si="2"/>
      </c>
    </row>
    <row r="77" spans="1:11" x14ac:dyDescent="0.25">
      <c r="A77" s="26"/>
      <c r="B77" s="27"/>
      <c r="C77" s="28"/>
      <c r="D77" s="28"/>
      <c r="E77" s="28"/>
      <c r="F77" s="33"/>
      <c r="G77" s="34">
        <f t="shared" si="0"/>
      </c>
      <c r="H77" s="27"/>
      <c r="I77" s="35"/>
      <c r="J77" s="30">
        <f t="shared" si="1"/>
      </c>
      <c r="K77" s="32">
        <f t="shared" si="2"/>
      </c>
    </row>
    <row r="78" spans="1:11" x14ac:dyDescent="0.25">
      <c r="A78" s="26"/>
      <c r="B78" s="27"/>
      <c r="C78" s="28"/>
      <c r="D78" s="28"/>
      <c r="E78" s="28"/>
      <c r="F78" s="33"/>
      <c r="G78" s="34">
        <f t="shared" si="0"/>
      </c>
      <c r="H78" s="27"/>
      <c r="I78" s="35"/>
      <c r="J78" s="30">
        <f t="shared" si="1"/>
      </c>
      <c r="K78" s="32">
        <f t="shared" si="2"/>
      </c>
    </row>
    <row r="79" spans="1:11" x14ac:dyDescent="0.25">
      <c r="A79" s="26"/>
      <c r="B79" s="27"/>
      <c r="C79" s="28"/>
      <c r="D79" s="28"/>
      <c r="E79" s="28"/>
      <c r="F79" s="33"/>
      <c r="G79" s="34">
        <f t="shared" si="0"/>
      </c>
      <c r="H79" s="27"/>
      <c r="I79" s="35"/>
      <c r="J79" s="30">
        <f t="shared" si="1"/>
      </c>
      <c r="K79" s="32">
        <f t="shared" si="2"/>
      </c>
    </row>
    <row r="80" spans="1:11" x14ac:dyDescent="0.25">
      <c r="A80" s="26"/>
      <c r="B80" s="27"/>
      <c r="C80" s="28"/>
      <c r="D80" s="28"/>
      <c r="E80" s="28"/>
      <c r="F80" s="33"/>
      <c r="G80" s="34">
        <f t="shared" si="0"/>
      </c>
      <c r="H80" s="27"/>
      <c r="I80" s="35"/>
      <c r="J80" s="30">
        <f t="shared" si="1"/>
      </c>
      <c r="K80" s="32">
        <f t="shared" si="2"/>
      </c>
    </row>
    <row r="81" spans="1:11" x14ac:dyDescent="0.25">
      <c r="A81" s="26"/>
      <c r="B81" s="27"/>
      <c r="C81" s="28"/>
      <c r="D81" s="28"/>
      <c r="E81" s="28"/>
      <c r="F81" s="33"/>
      <c r="G81" s="34">
        <f t="shared" si="0"/>
      </c>
      <c r="H81" s="27"/>
      <c r="I81" s="35"/>
      <c r="J81" s="30">
        <f t="shared" si="1"/>
      </c>
      <c r="K81" s="32">
        <f t="shared" si="2"/>
      </c>
    </row>
    <row r="82" spans="1:11" x14ac:dyDescent="0.25">
      <c r="A82" s="26"/>
      <c r="B82" s="27"/>
      <c r="C82" s="28"/>
      <c r="D82" s="28"/>
      <c r="E82" s="28"/>
      <c r="F82" s="33"/>
      <c r="G82" s="34">
        <f t="shared" si="0"/>
      </c>
      <c r="H82" s="27"/>
      <c r="I82" s="35"/>
      <c r="J82" s="30">
        <f t="shared" si="1"/>
      </c>
      <c r="K82" s="32">
        <f t="shared" si="2"/>
      </c>
    </row>
    <row r="83" spans="1:11" x14ac:dyDescent="0.25">
      <c r="A83" s="26"/>
      <c r="B83" s="27"/>
      <c r="C83" s="28"/>
      <c r="D83" s="28"/>
      <c r="E83" s="28"/>
      <c r="F83" s="33"/>
      <c r="G83" s="34">
        <f t="shared" si="0"/>
      </c>
      <c r="H83" s="27"/>
      <c r="I83" s="35"/>
      <c r="J83" s="30">
        <f t="shared" si="1"/>
      </c>
      <c r="K83" s="32">
        <f t="shared" si="2"/>
      </c>
    </row>
    <row r="84" spans="1:11" x14ac:dyDescent="0.25">
      <c r="A84" s="26"/>
      <c r="B84" s="27"/>
      <c r="C84" s="28"/>
      <c r="D84" s="28"/>
      <c r="E84" s="28"/>
      <c r="F84" s="33"/>
      <c r="G84" s="34">
        <f t="shared" si="0"/>
      </c>
      <c r="H84" s="27"/>
      <c r="I84" s="35"/>
      <c r="J84" s="30">
        <f t="shared" si="1"/>
      </c>
      <c r="K84" s="32">
        <f t="shared" si="2"/>
      </c>
    </row>
    <row r="85" spans="1:11" x14ac:dyDescent="0.25">
      <c r="A85" s="26"/>
      <c r="B85" s="27"/>
      <c r="C85" s="28"/>
      <c r="D85" s="28"/>
      <c r="E85" s="28"/>
      <c r="F85" s="33"/>
      <c r="G85" s="34">
        <f t="shared" si="0"/>
      </c>
      <c r="H85" s="27"/>
      <c r="I85" s="35"/>
      <c r="J85" s="30">
        <f t="shared" si="1"/>
      </c>
      <c r="K85" s="32">
        <f t="shared" si="2"/>
      </c>
    </row>
    <row r="86" spans="1:11" x14ac:dyDescent="0.25">
      <c r="A86" s="26"/>
      <c r="B86" s="27"/>
      <c r="C86" s="28"/>
      <c r="D86" s="28"/>
      <c r="E86" s="28"/>
      <c r="F86" s="33"/>
      <c r="G86" s="34">
        <f t="shared" si="0"/>
      </c>
      <c r="H86" s="27"/>
      <c r="I86" s="35"/>
      <c r="J86" s="30">
        <f t="shared" si="1"/>
      </c>
      <c r="K86" s="32">
        <f t="shared" si="2"/>
      </c>
    </row>
    <row r="87" spans="1:11" x14ac:dyDescent="0.25">
      <c r="A87" s="26"/>
      <c r="B87" s="27"/>
      <c r="C87" s="28"/>
      <c r="D87" s="28"/>
      <c r="E87" s="28"/>
      <c r="F87" s="33"/>
      <c r="G87" s="34">
        <f t="shared" si="0"/>
      </c>
      <c r="H87" s="27"/>
      <c r="I87" s="35"/>
      <c r="J87" s="30">
        <f t="shared" si="1"/>
      </c>
      <c r="K87" s="32">
        <f t="shared" si="2"/>
      </c>
    </row>
    <row r="88" spans="1:11" x14ac:dyDescent="0.25">
      <c r="A88" s="26"/>
      <c r="B88" s="27"/>
      <c r="C88" s="28"/>
      <c r="D88" s="28"/>
      <c r="E88" s="28"/>
      <c r="F88" s="33"/>
      <c r="G88" s="34">
        <f t="shared" si="0"/>
      </c>
      <c r="H88" s="27"/>
      <c r="I88" s="35"/>
      <c r="J88" s="30">
        <f t="shared" si="1"/>
      </c>
      <c r="K88" s="32">
        <f t="shared" si="2"/>
      </c>
    </row>
    <row r="89" spans="1:11" x14ac:dyDescent="0.25">
      <c r="A89" s="26"/>
      <c r="B89" s="27"/>
      <c r="C89" s="28"/>
      <c r="D89" s="28"/>
      <c r="E89" s="28"/>
      <c r="F89" s="33"/>
      <c r="G89" s="34">
        <f t="shared" si="0"/>
      </c>
      <c r="H89" s="27"/>
      <c r="I89" s="35"/>
      <c r="J89" s="30">
        <f t="shared" si="1"/>
      </c>
      <c r="K89" s="32">
        <f t="shared" si="2"/>
      </c>
    </row>
    <row r="90" spans="1:11" x14ac:dyDescent="0.25">
      <c r="A90" s="26"/>
      <c r="B90" s="27"/>
      <c r="C90" s="28"/>
      <c r="D90" s="28"/>
      <c r="E90" s="28"/>
      <c r="F90" s="33"/>
      <c r="G90" s="34">
        <f t="shared" si="0"/>
      </c>
      <c r="H90" s="27"/>
      <c r="I90" s="35"/>
      <c r="J90" s="30">
        <f t="shared" si="1"/>
      </c>
      <c r="K90" s="32">
        <f t="shared" si="2"/>
      </c>
    </row>
    <row r="91" spans="1:11" x14ac:dyDescent="0.25">
      <c r="A91" s="26"/>
      <c r="B91" s="27"/>
      <c r="C91" s="28"/>
      <c r="D91" s="28"/>
      <c r="E91" s="28"/>
      <c r="F91" s="33"/>
      <c r="G91" s="34">
        <f t="shared" si="0"/>
      </c>
      <c r="H91" s="27"/>
      <c r="I91" s="35"/>
      <c r="J91" s="30">
        <f t="shared" si="1"/>
      </c>
      <c r="K91" s="32">
        <f t="shared" si="2"/>
      </c>
    </row>
    <row r="92" spans="1:11" x14ac:dyDescent="0.25">
      <c r="A92" s="26"/>
      <c r="B92" s="27"/>
      <c r="C92" s="28"/>
      <c r="D92" s="28"/>
      <c r="E92" s="28"/>
      <c r="F92" s="33"/>
      <c r="G92" s="34">
        <f t="shared" si="0"/>
      </c>
      <c r="H92" s="27"/>
      <c r="I92" s="35"/>
      <c r="J92" s="30">
        <f t="shared" si="1"/>
      </c>
      <c r="K92" s="32">
        <f t="shared" si="2"/>
      </c>
    </row>
    <row r="93" spans="1:11" x14ac:dyDescent="0.25">
      <c r="A93" s="26"/>
      <c r="B93" s="27"/>
      <c r="C93" s="28"/>
      <c r="D93" s="28"/>
      <c r="E93" s="28"/>
      <c r="F93" s="33"/>
      <c r="G93" s="34">
        <f t="shared" si="0"/>
      </c>
      <c r="H93" s="27"/>
      <c r="I93" s="35"/>
      <c r="J93" s="30">
        <f t="shared" si="1"/>
      </c>
      <c r="K93" s="32">
        <f t="shared" si="2"/>
      </c>
    </row>
    <row r="94" spans="1:11" x14ac:dyDescent="0.25">
      <c r="A94" s="26"/>
      <c r="B94" s="27"/>
      <c r="C94" s="28"/>
      <c r="D94" s="28"/>
      <c r="E94" s="28"/>
      <c r="F94" s="33"/>
      <c r="G94" s="34">
        <f t="shared" si="0"/>
      </c>
      <c r="H94" s="27"/>
      <c r="I94" s="35"/>
      <c r="J94" s="30">
        <f t="shared" si="1"/>
      </c>
      <c r="K94" s="32">
        <f t="shared" si="2"/>
      </c>
    </row>
    <row r="95" spans="1:11" x14ac:dyDescent="0.25">
      <c r="A95" s="26"/>
      <c r="B95" s="27"/>
      <c r="C95" s="28"/>
      <c r="D95" s="28"/>
      <c r="E95" s="28"/>
      <c r="F95" s="33"/>
      <c r="G95" s="34">
        <f t="shared" si="0"/>
      </c>
      <c r="H95" s="27"/>
      <c r="I95" s="35"/>
      <c r="J95" s="30">
        <f t="shared" si="1"/>
      </c>
      <c r="K95" s="32">
        <f t="shared" si="2"/>
      </c>
    </row>
    <row r="96" spans="1:11" x14ac:dyDescent="0.25">
      <c r="A96" s="26"/>
      <c r="B96" s="27"/>
      <c r="C96" s="28"/>
      <c r="D96" s="28"/>
      <c r="E96" s="28"/>
      <c r="F96" s="33"/>
      <c r="G96" s="34">
        <f t="shared" si="0"/>
      </c>
      <c r="H96" s="27"/>
      <c r="I96" s="35"/>
      <c r="J96" s="30">
        <f t="shared" si="1"/>
      </c>
      <c r="K96" s="32">
        <f t="shared" si="2"/>
      </c>
    </row>
    <row r="97" spans="1:11" x14ac:dyDescent="0.25">
      <c r="A97" s="26"/>
      <c r="B97" s="27"/>
      <c r="C97" s="28"/>
      <c r="D97" s="28"/>
      <c r="E97" s="28"/>
      <c r="F97" s="33"/>
      <c r="G97" s="34">
        <f t="shared" si="0"/>
      </c>
      <c r="H97" s="27"/>
      <c r="I97" s="35"/>
      <c r="J97" s="30">
        <f t="shared" si="1"/>
      </c>
      <c r="K97" s="32">
        <f t="shared" si="2"/>
      </c>
    </row>
    <row r="98" spans="1:11" x14ac:dyDescent="0.25">
      <c r="A98" s="26"/>
      <c r="B98" s="27"/>
      <c r="C98" s="28"/>
      <c r="D98" s="28"/>
      <c r="E98" s="28"/>
      <c r="F98" s="33"/>
      <c r="G98" s="34">
        <f t="shared" si="0"/>
      </c>
      <c r="H98" s="27"/>
      <c r="I98" s="35"/>
      <c r="J98" s="30">
        <f t="shared" si="1"/>
      </c>
      <c r="K98" s="32">
        <f t="shared" si="2"/>
      </c>
    </row>
    <row r="99" spans="1:11" x14ac:dyDescent="0.25">
      <c r="A99" s="26"/>
      <c r="B99" s="27"/>
      <c r="C99" s="28"/>
      <c r="D99" s="28"/>
      <c r="E99" s="28"/>
      <c r="F99" s="33"/>
      <c r="G99" s="34">
        <f t="shared" si="0"/>
      </c>
      <c r="H99" s="27"/>
      <c r="I99" s="35"/>
      <c r="J99" s="30">
        <f t="shared" si="1"/>
      </c>
      <c r="K99" s="32">
        <f t="shared" si="2"/>
      </c>
    </row>
    <row r="100" spans="1:11" x14ac:dyDescent="0.25">
      <c r="A100" s="26"/>
      <c r="B100" s="27"/>
      <c r="C100" s="28"/>
      <c r="D100" s="28"/>
      <c r="E100" s="28"/>
      <c r="F100" s="33"/>
      <c r="G100" s="34">
        <f t="shared" si="0"/>
      </c>
      <c r="H100" s="27"/>
      <c r="I100" s="35"/>
      <c r="J100" s="30">
        <f t="shared" si="1"/>
      </c>
      <c r="K100" s="32">
        <f t="shared" si="2"/>
      </c>
    </row>
    <row r="101" spans="1:11" x14ac:dyDescent="0.25">
      <c r="A101" s="26"/>
      <c r="B101" s="27"/>
      <c r="C101" s="28"/>
      <c r="D101" s="28"/>
      <c r="E101" s="28"/>
      <c r="F101" s="33"/>
      <c r="G101" s="34">
        <f t="shared" si="0"/>
      </c>
      <c r="H101" s="27"/>
      <c r="I101" s="35"/>
      <c r="J101" s="30">
        <f t="shared" si="1"/>
      </c>
      <c r="K101" s="32">
        <f t="shared" si="2"/>
      </c>
    </row>
    <row r="102" spans="1:11" x14ac:dyDescent="0.25">
      <c r="A102" s="26"/>
      <c r="B102" s="27"/>
      <c r="C102" s="28"/>
      <c r="D102" s="28"/>
      <c r="E102" s="28"/>
      <c r="F102" s="33"/>
      <c r="G102" s="34">
        <f t="shared" si="0"/>
      </c>
      <c r="H102" s="27"/>
      <c r="I102" s="35"/>
      <c r="J102" s="30">
        <f t="shared" si="1"/>
      </c>
      <c r="K102" s="32">
        <f t="shared" si="2"/>
      </c>
    </row>
    <row r="103" spans="1:11" x14ac:dyDescent="0.25">
      <c r="A103" s="26"/>
      <c r="B103" s="27"/>
      <c r="C103" s="28"/>
      <c r="D103" s="28"/>
      <c r="E103" s="28"/>
      <c r="F103" s="33"/>
      <c r="G103" s="34">
        <f t="shared" si="0"/>
      </c>
      <c r="H103" s="27"/>
      <c r="I103" s="35"/>
      <c r="J103" s="30">
        <f t="shared" si="1"/>
      </c>
      <c r="K103" s="32">
        <f t="shared" si="2"/>
      </c>
    </row>
  </sheetData>
  <sheetProtection sheet="1" formatColumns="0" formatRows="0" autoFilter="0"/>
  <autoFilter ref="A3:K103"/>
  <mergeCells count="2">
    <mergeCell ref="A1:B2"/>
    <mergeCell ref="C1:J2"/>
  </mergeCells>
  <conditionalFormatting sqref="J4:J103">
    <cfRule type="expression" dxfId="14" priority="10">
      <formula>J4="Vencido"</formula>
    </cfRule>
    <cfRule type="expression" dxfId="15" priority="11">
      <formula>J4="Vence em 30 dias"</formula>
    </cfRule>
    <cfRule type="expression" dxfId="16" priority="12">
      <formula>J4="Em dia"</formula>
    </cfRule>
    <cfRule type="expression" dxfId="17" priority="13">
      <formula>J4="Válido"</formula>
    </cfRule>
    <cfRule type="expression" dxfId="18" priority="14">
      <formula>J4="Revisão vencida"</formula>
    </cfRule>
    <cfRule type="expression" dxfId="19" priority="15">
      <formula>J4="Avaliação vencida"</formula>
    </cfRule>
  </conditionalFormatting>
  <conditionalFormatting sqref="K4:K103">
    <cfRule type="expression" dxfId="20" priority="1">
      <formula>OR(LEFT(K4,4)="ERRO",LEFT(K4,7)="ATENÇÃO")</formula>
    </cfRule>
    <cfRule type="expression" dxfId="21" priority="2">
      <formula>OR(LEFT(K4,8)="Pendente",LEFT(K4,9)="Verificar",LEFT(K4,9)="Duplicada",LEFT(K4,7)="Tarefa ",LEFT(K4,13)="Fora do plano",LEFT(K4,8)="Previsão",LEFT(K4,11)="Sem vínculo",LEFT(K4,14)="Não verificado",LEFT(K4,7)="Informe",LEFT(K4,9)="A definir")</formula>
    </cfRule>
    <cfRule type="expression" dxfId="22" priority="3">
      <formula>OR(K4="OK",LEFT(K4,4)="Nada",LEFT(K4,3)="OK:")</formula>
    </cfRule>
  </conditionalFormatting>
  <dataValidations count="2">
    <dataValidation type="list" allowBlank="1" showErrorMessage="1" errorStyle="stop" errorTitle="Valor fora da lista" error="Escolha 3, 6, 12, 24 ou 36 meses." sqref="E4:E103">
      <formula1>"3,6,12,24,36"</formula1>
    </dataValidation>
    <dataValidation type="date" allowBlank="1" showErrorMessage="1" errorStyle="stop" errorTitle="Data inválida" error="Digite uma data válida no formato dd/mm/aaaa." sqref="F4:F10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22" customWidth="1"/>
    <col min="2" max="6" width="16" customWidth="1"/>
    <col min="7" max="7" width="14" customWidth="1"/>
    <col min="8" max="8" width="18" customWidth="1"/>
  </cols>
  <sheetData>
    <row r="1" ht="36" customHeight="1" spans="1:8" x14ac:dyDescent="0.25">
      <c r="A1" s="1"/>
      <c r="B1" s="1"/>
      <c r="C1" s="2" t="s">
        <v>122</v>
      </c>
      <c r="D1" s="2"/>
      <c r="E1" s="2"/>
      <c r="F1" s="2"/>
      <c r="G1" s="2"/>
      <c r="H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8" x14ac:dyDescent="0.25">
      <c r="A2" s="1"/>
      <c r="B2" s="1"/>
      <c r="C2" s="2"/>
      <c r="D2" s="2"/>
      <c r="E2" s="2"/>
      <c r="F2" s="2"/>
      <c r="G2" s="2"/>
      <c r="H2" s="4">
        <f>"Elaborado: "&amp;IF(cfg_elaborado="","A definir",cfg_elaborado)&amp;CHAR(10)&amp;"Aprovado: "&amp;IF(cfg_aprovado="","A definir",cfg_aprovado)</f>
      </c>
    </row>
    <row r="3" ht="8" customHeight="1" x14ac:dyDescent="0.25"/>
    <row r="4" ht="20" customHeight="1" spans="1:8" x14ac:dyDescent="0.25">
      <c r="A4" s="5" t="s">
        <v>123</v>
      </c>
      <c r="B4" s="5"/>
      <c r="C4" s="5"/>
      <c r="D4" s="5"/>
      <c r="E4" s="5"/>
      <c r="F4" s="5"/>
      <c r="G4" s="5"/>
      <c r="H4" s="5"/>
    </row>
    <row r="5" spans="1:8" x14ac:dyDescent="0.25">
      <c r="A5" s="9" t="s">
        <v>124</v>
      </c>
      <c r="B5" s="36"/>
      <c r="C5" s="36"/>
      <c r="D5" s="9" t="s">
        <v>125</v>
      </c>
      <c r="E5" s="9"/>
      <c r="F5" s="16"/>
      <c r="G5" s="16"/>
      <c r="H5" s="16"/>
    </row>
    <row r="6" spans="1:8" x14ac:dyDescent="0.25">
      <c r="A6" s="9" t="s">
        <v>126</v>
      </c>
      <c r="B6" s="36"/>
      <c r="C6" s="36"/>
      <c r="D6" s="9" t="s">
        <v>127</v>
      </c>
      <c r="E6" s="9"/>
      <c r="F6" s="36"/>
      <c r="G6" s="36"/>
      <c r="H6" s="36"/>
    </row>
    <row r="7" spans="1:8" x14ac:dyDescent="0.25">
      <c r="A7" s="9" t="s">
        <v>128</v>
      </c>
      <c r="B7" s="36"/>
      <c r="C7" s="36"/>
      <c r="D7" s="9" t="s">
        <v>129</v>
      </c>
      <c r="E7" s="9"/>
      <c r="F7" s="36"/>
      <c r="G7" s="36"/>
      <c r="H7" s="36"/>
    </row>
    <row r="9" ht="20" customHeight="1" spans="1:8" x14ac:dyDescent="0.25">
      <c r="A9" s="5" t="s">
        <v>130</v>
      </c>
      <c r="B9" s="5"/>
      <c r="C9" s="5"/>
      <c r="D9" s="5"/>
      <c r="E9" s="5"/>
      <c r="F9" s="5"/>
      <c r="G9" s="5"/>
      <c r="H9" s="5"/>
    </row>
    <row r="10" ht="60" customHeight="1" spans="1:8" x14ac:dyDescent="0.25">
      <c r="A10" s="37"/>
      <c r="B10" s="37"/>
      <c r="C10" s="37"/>
      <c r="D10" s="37"/>
      <c r="E10" s="37"/>
      <c r="F10" s="37"/>
      <c r="G10" s="37"/>
      <c r="H10" s="37"/>
    </row>
    <row r="12" ht="20" customHeight="1" spans="1:8" x14ac:dyDescent="0.25">
      <c r="A12" s="5" t="s">
        <v>131</v>
      </c>
      <c r="B12" s="5"/>
      <c r="C12" s="5"/>
      <c r="D12" s="5"/>
      <c r="E12" s="5"/>
      <c r="F12" s="5"/>
      <c r="G12" s="5"/>
      <c r="H12" s="5"/>
    </row>
    <row r="13" ht="40" customHeight="1" spans="1:8" x14ac:dyDescent="0.25">
      <c r="A13" s="37"/>
      <c r="B13" s="37"/>
      <c r="C13" s="37"/>
      <c r="D13" s="37"/>
      <c r="E13" s="37"/>
      <c r="F13" s="37"/>
      <c r="G13" s="37"/>
      <c r="H13" s="37"/>
    </row>
    <row r="14" spans="1:8" x14ac:dyDescent="0.25">
      <c r="A14" s="9" t="s">
        <v>110</v>
      </c>
      <c r="B14" s="36"/>
      <c r="C14" s="36"/>
      <c r="D14" s="9" t="s">
        <v>132</v>
      </c>
      <c r="E14" s="9"/>
      <c r="F14" s="16"/>
      <c r="G14" s="16"/>
      <c r="H14" s="16"/>
    </row>
    <row r="16" ht="20" customHeight="1" spans="1:8" x14ac:dyDescent="0.25">
      <c r="A16" s="5" t="s">
        <v>133</v>
      </c>
      <c r="B16" s="5"/>
      <c r="C16" s="5"/>
      <c r="D16" s="5"/>
      <c r="E16" s="5"/>
      <c r="F16" s="5"/>
      <c r="G16" s="5"/>
      <c r="H16" s="5"/>
    </row>
    <row r="17" spans="1:3" x14ac:dyDescent="0.25">
      <c r="A17" s="9" t="s">
        <v>134</v>
      </c>
      <c r="B17" s="36"/>
      <c r="C17" s="36"/>
    </row>
    <row r="18" ht="50" customHeight="1" spans="1:8" x14ac:dyDescent="0.25">
      <c r="A18" s="9" t="s">
        <v>135</v>
      </c>
      <c r="B18" s="37"/>
      <c r="C18" s="37"/>
      <c r="D18" s="37"/>
      <c r="E18" s="37"/>
      <c r="F18" s="37"/>
      <c r="G18" s="37"/>
      <c r="H18" s="37"/>
    </row>
    <row r="20" ht="20" customHeight="1" spans="1:8" x14ac:dyDescent="0.25">
      <c r="A20" s="5" t="s">
        <v>136</v>
      </c>
      <c r="B20" s="5"/>
      <c r="C20" s="5"/>
      <c r="D20" s="5"/>
      <c r="E20" s="5"/>
      <c r="F20" s="5"/>
      <c r="G20" s="5"/>
      <c r="H20" s="5"/>
    </row>
    <row r="21" ht="22" customHeight="1" spans="1:8" x14ac:dyDescent="0.25">
      <c r="A21" s="8" t="s">
        <v>137</v>
      </c>
      <c r="B21" s="8"/>
      <c r="C21" s="8"/>
      <c r="D21" s="8"/>
      <c r="E21" s="8" t="s">
        <v>110</v>
      </c>
      <c r="F21" s="8" t="s">
        <v>138</v>
      </c>
      <c r="G21" s="8" t="s">
        <v>121</v>
      </c>
      <c r="H21" s="8"/>
    </row>
    <row r="22" ht="22" customHeight="1" spans="1:8" x14ac:dyDescent="0.25">
      <c r="A22" s="36"/>
      <c r="B22" s="36"/>
      <c r="C22" s="36"/>
      <c r="D22" s="36"/>
      <c r="E22" s="36"/>
      <c r="F22" s="16"/>
      <c r="G22" s="36"/>
      <c r="H22" s="36"/>
    </row>
    <row r="23" ht="22" customHeight="1" spans="1:8" x14ac:dyDescent="0.25">
      <c r="A23" s="36"/>
      <c r="B23" s="36"/>
      <c r="C23" s="36"/>
      <c r="D23" s="36"/>
      <c r="E23" s="36"/>
      <c r="F23" s="16"/>
      <c r="G23" s="36"/>
      <c r="H23" s="36"/>
    </row>
    <row r="24" ht="22" customHeight="1" spans="1:8" x14ac:dyDescent="0.25">
      <c r="A24" s="36"/>
      <c r="B24" s="36"/>
      <c r="C24" s="36"/>
      <c r="D24" s="36"/>
      <c r="E24" s="36"/>
      <c r="F24" s="16"/>
      <c r="G24" s="36"/>
      <c r="H24" s="36"/>
    </row>
    <row r="25" ht="22" customHeight="1" spans="1:8" x14ac:dyDescent="0.25">
      <c r="A25" s="36"/>
      <c r="B25" s="36"/>
      <c r="C25" s="36"/>
      <c r="D25" s="36"/>
      <c r="E25" s="36"/>
      <c r="F25" s="16"/>
      <c r="G25" s="36"/>
      <c r="H25" s="36"/>
    </row>
    <row r="27" ht="20" customHeight="1" spans="1:8" x14ac:dyDescent="0.25">
      <c r="A27" s="5" t="s">
        <v>139</v>
      </c>
      <c r="B27" s="5"/>
      <c r="C27" s="5"/>
      <c r="D27" s="5"/>
      <c r="E27" s="5"/>
      <c r="F27" s="5"/>
      <c r="G27" s="5"/>
      <c r="H27" s="5"/>
    </row>
    <row r="28" spans="1:8" x14ac:dyDescent="0.25">
      <c r="A28" s="9" t="s">
        <v>140</v>
      </c>
      <c r="B28" s="16"/>
      <c r="C28" s="16"/>
      <c r="D28" s="9" t="s">
        <v>141</v>
      </c>
      <c r="E28" s="9"/>
      <c r="F28" s="36"/>
      <c r="G28" s="36"/>
      <c r="H28" s="36"/>
    </row>
    <row r="29" ht="36" customHeight="1" spans="1:8" x14ac:dyDescent="0.25">
      <c r="A29" s="9" t="s">
        <v>142</v>
      </c>
      <c r="B29" s="37"/>
      <c r="C29" s="37"/>
      <c r="D29" s="37"/>
      <c r="E29" s="37"/>
      <c r="F29" s="37"/>
      <c r="G29" s="37"/>
      <c r="H29" s="37"/>
    </row>
    <row r="30" spans="1:3" x14ac:dyDescent="0.25">
      <c r="A30" s="9" t="s">
        <v>143</v>
      </c>
      <c r="B30" s="36"/>
      <c r="C30" s="36"/>
    </row>
    <row r="32" ht="20" customHeight="1" spans="1:8" x14ac:dyDescent="0.25">
      <c r="A32" s="5" t="s">
        <v>144</v>
      </c>
      <c r="B32" s="5"/>
      <c r="C32" s="5"/>
      <c r="D32" s="5"/>
      <c r="E32" s="5"/>
      <c r="F32" s="5"/>
      <c r="G32" s="5"/>
      <c r="H32" s="5"/>
    </row>
    <row r="33" spans="1:8" x14ac:dyDescent="0.25">
      <c r="A33" s="9" t="s">
        <v>145</v>
      </c>
      <c r="B33" s="18">
        <f>IF(B5="","",IF(OR(A10="",NOT(ISNUMBER(F5))),"Pendente: descreva a NC e a data de abertura",IF(B18="","Pendente: análise de causa",IF(COUNTA(A22:A25)=0,"Pendente: plano de ação",IF(COUNTIF(G22:G25,"Concluído")&lt;COUNTA(A22:A25),"Pendente: ações em andamento",IF(F28="","Pendente: verificar a eficácia",IF(F28="Sim","OK: encerrada com eficácia comprovada","ERRO: ação não eficaz, reabra a análise de causa")))))))</f>
      </c>
      <c r="C33" s="18"/>
      <c r="D33" s="18"/>
      <c r="E33" s="18"/>
      <c r="F33" s="18"/>
      <c r="G33" s="18"/>
      <c r="H33" s="18"/>
    </row>
  </sheetData>
  <sheetProtection sheet="1" formatColumns="0" formatRows="0" autoFilter="0"/>
  <mergeCells count="41">
    <mergeCell ref="A1:B2"/>
    <mergeCell ref="C1:G2"/>
    <mergeCell ref="A4:H4"/>
    <mergeCell ref="B5:C5"/>
    <mergeCell ref="D5:E5"/>
    <mergeCell ref="F5:H5"/>
    <mergeCell ref="B6:C6"/>
    <mergeCell ref="D6:E6"/>
    <mergeCell ref="F6:H6"/>
    <mergeCell ref="B7:C7"/>
    <mergeCell ref="D7:E7"/>
    <mergeCell ref="F7:H7"/>
    <mergeCell ref="A9:H9"/>
    <mergeCell ref="A10:H10"/>
    <mergeCell ref="A12:H12"/>
    <mergeCell ref="A13:H13"/>
    <mergeCell ref="B14:C14"/>
    <mergeCell ref="D14:E14"/>
    <mergeCell ref="F14:H14"/>
    <mergeCell ref="A16:H16"/>
    <mergeCell ref="B17:C17"/>
    <mergeCell ref="B18:H18"/>
    <mergeCell ref="A20:H20"/>
    <mergeCell ref="A21:D21"/>
    <mergeCell ref="G21:H21"/>
    <mergeCell ref="A22:D22"/>
    <mergeCell ref="G22:H22"/>
    <mergeCell ref="A23:D23"/>
    <mergeCell ref="G23:H23"/>
    <mergeCell ref="A24:D24"/>
    <mergeCell ref="G24:H24"/>
    <mergeCell ref="A25:D25"/>
    <mergeCell ref="G25:H25"/>
    <mergeCell ref="A27:H27"/>
    <mergeCell ref="B28:C28"/>
    <mergeCell ref="D28:E28"/>
    <mergeCell ref="F28:H28"/>
    <mergeCell ref="B29:H29"/>
    <mergeCell ref="B30:C30"/>
    <mergeCell ref="A32:H32"/>
    <mergeCell ref="B33:H33"/>
  </mergeCells>
  <conditionalFormatting sqref="B33">
    <cfRule type="expression" dxfId="23" priority="1">
      <formula>OR(LEFT(B33,4)="ERRO",LEFT(B33,7)="ATENÇÃO")</formula>
    </cfRule>
    <cfRule type="expression" dxfId="24" priority="2">
      <formula>OR(LEFT(B33,8)="Pendente",LEFT(B33,9)="Verificar",LEFT(B33,9)="Duplicada",LEFT(B33,7)="Tarefa ",LEFT(B33,13)="Fora do plano",LEFT(B33,8)="Previsão",LEFT(B33,11)="Sem vínculo",LEFT(B33,14)="Não verificado",LEFT(B33,7)="Informe",LEFT(B33,9)="A definir")</formula>
    </cfRule>
    <cfRule type="expression" dxfId="25" priority="3">
      <formula>OR(B33="OK",LEFT(B33,4)="Nada",LEFT(B33,3)="OK:")</formula>
    </cfRule>
  </conditionalFormatting>
  <dataValidations count="8">
    <dataValidation type="list" allowBlank="1" showErrorMessage="1" errorTitle="Valor fora da lista" error="Escolha um item da lista." sqref="B17">
      <formula1>OFFSET(lst_metodo_causa,0,0,MAX(1,COUNTA(lst_metodo_causa)),1)</formula1>
    </dataValidation>
    <dataValidation type="date" allowBlank="1" showErrorMessage="1" errorTitle="Data inválida" error="Digite uma data válida." sqref="B28">
      <formula1>32874</formula1>
      <formula2>73050</formula2>
    </dataValidation>
    <dataValidation type="list" allowBlank="1" showErrorMessage="1" errorTitle="Valor fora da lista" error="Escolha um item da lista." sqref="B6">
      <formula1>OFFSET(lst_origem_nc,0,0,MAX(1,COUNTA(lst_origem_nc)),1)</formula1>
    </dataValidation>
    <dataValidation type="date" allowBlank="1" showErrorMessage="1" errorTitle="Data inválida" error="Digite uma data válida." sqref="F14">
      <formula1>32874</formula1>
      <formula2>73050</formula2>
    </dataValidation>
    <dataValidation type="date" allowBlank="1" showErrorMessage="1" errorTitle="Data inválida" error="Digite uma data válida." sqref="F22:F25">
      <formula1>32874</formula1>
      <formula2>73050</formula2>
    </dataValidation>
    <dataValidation type="list" allowBlank="1" showErrorMessage="1" errorTitle="Valor fora da lista" error="Escolha um item da lista." sqref="F28">
      <formula1>"Sim,Não"</formula1>
    </dataValidation>
    <dataValidation type="date" allowBlank="1" showErrorMessage="1" errorTitle="Data inválida" error="Digite uma data válida." sqref="F5">
      <formula1>32874</formula1>
      <formula2>73050</formula2>
    </dataValidation>
    <dataValidation type="list" allowBlank="1" showErrorMessage="1" errorTitle="Valor fora da lista" error="Escolha um item da lista." sqref="G22:G25">
      <formula1>OFFSET(lst_status_acao,0,0,MAX(1,COUNTA(lst_status_acao)),1)</formula1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1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26" customWidth="1"/>
    <col min="4" max="5" width="12" customWidth="1"/>
    <col min="6" max="6" width="10" customWidth="1"/>
    <col min="7" max="7" width="24" customWidth="1"/>
    <col min="8" max="8" width="18" customWidth="1"/>
    <col min="9" max="9" width="16" customWidth="1"/>
    <col min="10" max="10" width="30" customWidth="1"/>
  </cols>
  <sheetData>
    <row r="1" ht="36" customHeight="1" spans="1:10" x14ac:dyDescent="0.25">
      <c r="A1" s="1"/>
      <c r="B1" s="1"/>
      <c r="C1" s="2" t="s">
        <v>146</v>
      </c>
      <c r="D1" s="2"/>
      <c r="E1" s="2"/>
      <c r="F1" s="2"/>
      <c r="G1" s="2"/>
      <c r="H1" s="2"/>
      <c r="I1" s="2"/>
      <c r="J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0" x14ac:dyDescent="0.25">
      <c r="A2" s="1"/>
      <c r="B2" s="1"/>
      <c r="C2" s="2"/>
      <c r="D2" s="2"/>
      <c r="E2" s="2"/>
      <c r="F2" s="2"/>
      <c r="G2" s="2"/>
      <c r="H2" s="2"/>
      <c r="I2" s="2"/>
      <c r="J2" s="4">
        <f>"Elaborado: "&amp;IF(cfg_elaborado="","A definir",cfg_elaborado)&amp;CHAR(10)&amp;"Aprovado: "&amp;IF(cfg_aprovado="","A definir",cfg_aprovado)</f>
      </c>
    </row>
    <row r="3" ht="34" customHeight="1" spans="1:10" x14ac:dyDescent="0.25">
      <c r="A3" s="8" t="s">
        <v>147</v>
      </c>
      <c r="B3" s="8" t="s">
        <v>148</v>
      </c>
      <c r="C3" s="8" t="s">
        <v>149</v>
      </c>
      <c r="D3" s="8" t="s">
        <v>150</v>
      </c>
      <c r="E3" s="8" t="s">
        <v>151</v>
      </c>
      <c r="F3" s="8" t="s">
        <v>152</v>
      </c>
      <c r="G3" s="8" t="s">
        <v>153</v>
      </c>
      <c r="H3" s="8" t="s">
        <v>154</v>
      </c>
      <c r="I3" s="8" t="s">
        <v>121</v>
      </c>
      <c r="J3" s="8" t="s">
        <v>111</v>
      </c>
    </row>
    <row r="4" spans="1:10" x14ac:dyDescent="0.25">
      <c r="A4" s="38"/>
      <c r="B4" s="27"/>
      <c r="C4" s="27"/>
      <c r="D4" s="33"/>
      <c r="E4" s="33"/>
      <c r="F4" s="39"/>
      <c r="G4" s="27"/>
      <c r="H4" s="35"/>
      <c r="I4" s="30">
        <f t="shared" ref="I4:I203" si="0">IF(A4="","",IF(NOT(ISNUMBER(E4)),"Sem validade",IF(NOT(ISNUMBER(E4)),"",IF(E4&lt;TODAY(),"Vencido",IF(E4-TODAY()&lt;=30,"Vence em 30 dias","Válido")))))</f>
      </c>
      <c r="J4" s="32">
        <f t="shared" ref="J4:J203" si="1">IF(A4&amp;C4="","",IF(OR(A4="",C4=""),"ERRO: informe colaborador e treinamento",IF(NOT(ISNUMBER(D4)),"Pendente: data de realização",IF(AND(ISNUMBER(E4),E4&lt;D4),"ERRO: validade anterior à realização",IF(H4="","Pendente: registre a evidência","OK")))))</f>
      </c>
    </row>
    <row r="5" spans="1:10" x14ac:dyDescent="0.25">
      <c r="A5" s="38"/>
      <c r="B5" s="27"/>
      <c r="C5" s="27"/>
      <c r="D5" s="33"/>
      <c r="E5" s="33"/>
      <c r="F5" s="39"/>
      <c r="G5" s="27"/>
      <c r="H5" s="35"/>
      <c r="I5" s="30">
        <f t="shared" si="0"/>
      </c>
      <c r="J5" s="32">
        <f t="shared" si="1"/>
      </c>
    </row>
    <row r="6" spans="1:10" x14ac:dyDescent="0.25">
      <c r="A6" s="38"/>
      <c r="B6" s="27"/>
      <c r="C6" s="27"/>
      <c r="D6" s="33"/>
      <c r="E6" s="33"/>
      <c r="F6" s="39"/>
      <c r="G6" s="27"/>
      <c r="H6" s="35"/>
      <c r="I6" s="30">
        <f t="shared" si="0"/>
      </c>
      <c r="J6" s="32">
        <f t="shared" si="1"/>
      </c>
    </row>
    <row r="7" spans="1:10" x14ac:dyDescent="0.25">
      <c r="A7" s="38"/>
      <c r="B7" s="27"/>
      <c r="C7" s="27"/>
      <c r="D7" s="33"/>
      <c r="E7" s="33"/>
      <c r="F7" s="39"/>
      <c r="G7" s="27"/>
      <c r="H7" s="35"/>
      <c r="I7" s="30">
        <f t="shared" si="0"/>
      </c>
      <c r="J7" s="32">
        <f t="shared" si="1"/>
      </c>
    </row>
    <row r="8" spans="1:10" x14ac:dyDescent="0.25">
      <c r="A8" s="38"/>
      <c r="B8" s="27"/>
      <c r="C8" s="27"/>
      <c r="D8" s="33"/>
      <c r="E8" s="33"/>
      <c r="F8" s="39"/>
      <c r="G8" s="27"/>
      <c r="H8" s="35"/>
      <c r="I8" s="30">
        <f t="shared" si="0"/>
      </c>
      <c r="J8" s="32">
        <f t="shared" si="1"/>
      </c>
    </row>
    <row r="9" spans="1:10" x14ac:dyDescent="0.25">
      <c r="A9" s="38"/>
      <c r="B9" s="27"/>
      <c r="C9" s="27"/>
      <c r="D9" s="33"/>
      <c r="E9" s="33"/>
      <c r="F9" s="39"/>
      <c r="G9" s="27"/>
      <c r="H9" s="35"/>
      <c r="I9" s="30">
        <f t="shared" si="0"/>
      </c>
      <c r="J9" s="32">
        <f t="shared" si="1"/>
      </c>
    </row>
    <row r="10" spans="1:10" x14ac:dyDescent="0.25">
      <c r="A10" s="38"/>
      <c r="B10" s="27"/>
      <c r="C10" s="27"/>
      <c r="D10" s="33"/>
      <c r="E10" s="33"/>
      <c r="F10" s="39"/>
      <c r="G10" s="27"/>
      <c r="H10" s="35"/>
      <c r="I10" s="30">
        <f t="shared" si="0"/>
      </c>
      <c r="J10" s="32">
        <f t="shared" si="1"/>
      </c>
    </row>
    <row r="11" spans="1:10" x14ac:dyDescent="0.25">
      <c r="A11" s="38"/>
      <c r="B11" s="27"/>
      <c r="C11" s="27"/>
      <c r="D11" s="33"/>
      <c r="E11" s="33"/>
      <c r="F11" s="39"/>
      <c r="G11" s="27"/>
      <c r="H11" s="35"/>
      <c r="I11" s="30">
        <f t="shared" si="0"/>
      </c>
      <c r="J11" s="32">
        <f t="shared" si="1"/>
      </c>
    </row>
    <row r="12" spans="1:10" x14ac:dyDescent="0.25">
      <c r="A12" s="38"/>
      <c r="B12" s="27"/>
      <c r="C12" s="27"/>
      <c r="D12" s="33"/>
      <c r="E12" s="33"/>
      <c r="F12" s="39"/>
      <c r="G12" s="27"/>
      <c r="H12" s="35"/>
      <c r="I12" s="30">
        <f t="shared" si="0"/>
      </c>
      <c r="J12" s="32">
        <f t="shared" si="1"/>
      </c>
    </row>
    <row r="13" spans="1:10" x14ac:dyDescent="0.25">
      <c r="A13" s="38"/>
      <c r="B13" s="27"/>
      <c r="C13" s="27"/>
      <c r="D13" s="33"/>
      <c r="E13" s="33"/>
      <c r="F13" s="39"/>
      <c r="G13" s="27"/>
      <c r="H13" s="35"/>
      <c r="I13" s="30">
        <f t="shared" si="0"/>
      </c>
      <c r="J13" s="32">
        <f t="shared" si="1"/>
      </c>
    </row>
    <row r="14" spans="1:10" x14ac:dyDescent="0.25">
      <c r="A14" s="38"/>
      <c r="B14" s="27"/>
      <c r="C14" s="27"/>
      <c r="D14" s="33"/>
      <c r="E14" s="33"/>
      <c r="F14" s="39"/>
      <c r="G14" s="27"/>
      <c r="H14" s="35"/>
      <c r="I14" s="30">
        <f t="shared" si="0"/>
      </c>
      <c r="J14" s="32">
        <f t="shared" si="1"/>
      </c>
    </row>
    <row r="15" spans="1:10" x14ac:dyDescent="0.25">
      <c r="A15" s="38"/>
      <c r="B15" s="27"/>
      <c r="C15" s="27"/>
      <c r="D15" s="33"/>
      <c r="E15" s="33"/>
      <c r="F15" s="39"/>
      <c r="G15" s="27"/>
      <c r="H15" s="35"/>
      <c r="I15" s="30">
        <f t="shared" si="0"/>
      </c>
      <c r="J15" s="32">
        <f t="shared" si="1"/>
      </c>
    </row>
    <row r="16" spans="1:10" x14ac:dyDescent="0.25">
      <c r="A16" s="38"/>
      <c r="B16" s="27"/>
      <c r="C16" s="27"/>
      <c r="D16" s="33"/>
      <c r="E16" s="33"/>
      <c r="F16" s="39"/>
      <c r="G16" s="27"/>
      <c r="H16" s="35"/>
      <c r="I16" s="30">
        <f t="shared" si="0"/>
      </c>
      <c r="J16" s="32">
        <f t="shared" si="1"/>
      </c>
    </row>
    <row r="17" spans="1:10" x14ac:dyDescent="0.25">
      <c r="A17" s="38"/>
      <c r="B17" s="27"/>
      <c r="C17" s="27"/>
      <c r="D17" s="33"/>
      <c r="E17" s="33"/>
      <c r="F17" s="39"/>
      <c r="G17" s="27"/>
      <c r="H17" s="35"/>
      <c r="I17" s="30">
        <f t="shared" si="0"/>
      </c>
      <c r="J17" s="32">
        <f t="shared" si="1"/>
      </c>
    </row>
    <row r="18" spans="1:10" x14ac:dyDescent="0.25">
      <c r="A18" s="38"/>
      <c r="B18" s="27"/>
      <c r="C18" s="27"/>
      <c r="D18" s="33"/>
      <c r="E18" s="33"/>
      <c r="F18" s="39"/>
      <c r="G18" s="27"/>
      <c r="H18" s="35"/>
      <c r="I18" s="30">
        <f t="shared" si="0"/>
      </c>
      <c r="J18" s="32">
        <f t="shared" si="1"/>
      </c>
    </row>
    <row r="19" spans="1:10" x14ac:dyDescent="0.25">
      <c r="A19" s="38"/>
      <c r="B19" s="27"/>
      <c r="C19" s="27"/>
      <c r="D19" s="33"/>
      <c r="E19" s="33"/>
      <c r="F19" s="39"/>
      <c r="G19" s="27"/>
      <c r="H19" s="35"/>
      <c r="I19" s="30">
        <f t="shared" si="0"/>
      </c>
      <c r="J19" s="32">
        <f t="shared" si="1"/>
      </c>
    </row>
    <row r="20" spans="1:10" x14ac:dyDescent="0.25">
      <c r="A20" s="38"/>
      <c r="B20" s="27"/>
      <c r="C20" s="27"/>
      <c r="D20" s="33"/>
      <c r="E20" s="33"/>
      <c r="F20" s="39"/>
      <c r="G20" s="27"/>
      <c r="H20" s="35"/>
      <c r="I20" s="30">
        <f t="shared" si="0"/>
      </c>
      <c r="J20" s="32">
        <f t="shared" si="1"/>
      </c>
    </row>
    <row r="21" spans="1:10" x14ac:dyDescent="0.25">
      <c r="A21" s="38"/>
      <c r="B21" s="27"/>
      <c r="C21" s="27"/>
      <c r="D21" s="33"/>
      <c r="E21" s="33"/>
      <c r="F21" s="39"/>
      <c r="G21" s="27"/>
      <c r="H21" s="35"/>
      <c r="I21" s="30">
        <f t="shared" si="0"/>
      </c>
      <c r="J21" s="32">
        <f t="shared" si="1"/>
      </c>
    </row>
    <row r="22" spans="1:10" x14ac:dyDescent="0.25">
      <c r="A22" s="38"/>
      <c r="B22" s="27"/>
      <c r="C22" s="27"/>
      <c r="D22" s="33"/>
      <c r="E22" s="33"/>
      <c r="F22" s="39"/>
      <c r="G22" s="27"/>
      <c r="H22" s="35"/>
      <c r="I22" s="30">
        <f t="shared" si="0"/>
      </c>
      <c r="J22" s="32">
        <f t="shared" si="1"/>
      </c>
    </row>
    <row r="23" spans="1:10" x14ac:dyDescent="0.25">
      <c r="A23" s="38"/>
      <c r="B23" s="27"/>
      <c r="C23" s="27"/>
      <c r="D23" s="33"/>
      <c r="E23" s="33"/>
      <c r="F23" s="39"/>
      <c r="G23" s="27"/>
      <c r="H23" s="35"/>
      <c r="I23" s="30">
        <f t="shared" si="0"/>
      </c>
      <c r="J23" s="32">
        <f t="shared" si="1"/>
      </c>
    </row>
    <row r="24" spans="1:10" x14ac:dyDescent="0.25">
      <c r="A24" s="38"/>
      <c r="B24" s="27"/>
      <c r="C24" s="27"/>
      <c r="D24" s="33"/>
      <c r="E24" s="33"/>
      <c r="F24" s="39"/>
      <c r="G24" s="27"/>
      <c r="H24" s="35"/>
      <c r="I24" s="30">
        <f t="shared" si="0"/>
      </c>
      <c r="J24" s="32">
        <f t="shared" si="1"/>
      </c>
    </row>
    <row r="25" spans="1:10" x14ac:dyDescent="0.25">
      <c r="A25" s="38"/>
      <c r="B25" s="27"/>
      <c r="C25" s="27"/>
      <c r="D25" s="33"/>
      <c r="E25" s="33"/>
      <c r="F25" s="39"/>
      <c r="G25" s="27"/>
      <c r="H25" s="35"/>
      <c r="I25" s="30">
        <f t="shared" si="0"/>
      </c>
      <c r="J25" s="32">
        <f t="shared" si="1"/>
      </c>
    </row>
    <row r="26" spans="1:10" x14ac:dyDescent="0.25">
      <c r="A26" s="38"/>
      <c r="B26" s="27"/>
      <c r="C26" s="27"/>
      <c r="D26" s="33"/>
      <c r="E26" s="33"/>
      <c r="F26" s="39"/>
      <c r="G26" s="27"/>
      <c r="H26" s="35"/>
      <c r="I26" s="30">
        <f t="shared" si="0"/>
      </c>
      <c r="J26" s="32">
        <f t="shared" si="1"/>
      </c>
    </row>
    <row r="27" spans="1:10" x14ac:dyDescent="0.25">
      <c r="A27" s="38"/>
      <c r="B27" s="27"/>
      <c r="C27" s="27"/>
      <c r="D27" s="33"/>
      <c r="E27" s="33"/>
      <c r="F27" s="39"/>
      <c r="G27" s="27"/>
      <c r="H27" s="35"/>
      <c r="I27" s="30">
        <f t="shared" si="0"/>
      </c>
      <c r="J27" s="32">
        <f t="shared" si="1"/>
      </c>
    </row>
    <row r="28" spans="1:10" x14ac:dyDescent="0.25">
      <c r="A28" s="38"/>
      <c r="B28" s="27"/>
      <c r="C28" s="27"/>
      <c r="D28" s="33"/>
      <c r="E28" s="33"/>
      <c r="F28" s="39"/>
      <c r="G28" s="27"/>
      <c r="H28" s="35"/>
      <c r="I28" s="30">
        <f t="shared" si="0"/>
      </c>
      <c r="J28" s="32">
        <f t="shared" si="1"/>
      </c>
    </row>
    <row r="29" spans="1:10" x14ac:dyDescent="0.25">
      <c r="A29" s="38"/>
      <c r="B29" s="27"/>
      <c r="C29" s="27"/>
      <c r="D29" s="33"/>
      <c r="E29" s="33"/>
      <c r="F29" s="39"/>
      <c r="G29" s="27"/>
      <c r="H29" s="35"/>
      <c r="I29" s="30">
        <f t="shared" si="0"/>
      </c>
      <c r="J29" s="32">
        <f t="shared" si="1"/>
      </c>
    </row>
    <row r="30" spans="1:10" x14ac:dyDescent="0.25">
      <c r="A30" s="38"/>
      <c r="B30" s="27"/>
      <c r="C30" s="27"/>
      <c r="D30" s="33"/>
      <c r="E30" s="33"/>
      <c r="F30" s="39"/>
      <c r="G30" s="27"/>
      <c r="H30" s="35"/>
      <c r="I30" s="30">
        <f t="shared" si="0"/>
      </c>
      <c r="J30" s="32">
        <f t="shared" si="1"/>
      </c>
    </row>
    <row r="31" spans="1:10" x14ac:dyDescent="0.25">
      <c r="A31" s="38"/>
      <c r="B31" s="27"/>
      <c r="C31" s="27"/>
      <c r="D31" s="33"/>
      <c r="E31" s="33"/>
      <c r="F31" s="39"/>
      <c r="G31" s="27"/>
      <c r="H31" s="35"/>
      <c r="I31" s="30">
        <f t="shared" si="0"/>
      </c>
      <c r="J31" s="32">
        <f t="shared" si="1"/>
      </c>
    </row>
    <row r="32" spans="1:10" x14ac:dyDescent="0.25">
      <c r="A32" s="38"/>
      <c r="B32" s="27"/>
      <c r="C32" s="27"/>
      <c r="D32" s="33"/>
      <c r="E32" s="33"/>
      <c r="F32" s="39"/>
      <c r="G32" s="27"/>
      <c r="H32" s="35"/>
      <c r="I32" s="30">
        <f t="shared" si="0"/>
      </c>
      <c r="J32" s="32">
        <f t="shared" si="1"/>
      </c>
    </row>
    <row r="33" spans="1:10" x14ac:dyDescent="0.25">
      <c r="A33" s="38"/>
      <c r="B33" s="27"/>
      <c r="C33" s="27"/>
      <c r="D33" s="33"/>
      <c r="E33" s="33"/>
      <c r="F33" s="39"/>
      <c r="G33" s="27"/>
      <c r="H33" s="35"/>
      <c r="I33" s="30">
        <f t="shared" si="0"/>
      </c>
      <c r="J33" s="32">
        <f t="shared" si="1"/>
      </c>
    </row>
    <row r="34" spans="1:10" x14ac:dyDescent="0.25">
      <c r="A34" s="38"/>
      <c r="B34" s="27"/>
      <c r="C34" s="27"/>
      <c r="D34" s="33"/>
      <c r="E34" s="33"/>
      <c r="F34" s="39"/>
      <c r="G34" s="27"/>
      <c r="H34" s="35"/>
      <c r="I34" s="30">
        <f t="shared" si="0"/>
      </c>
      <c r="J34" s="32">
        <f t="shared" si="1"/>
      </c>
    </row>
    <row r="35" spans="1:10" x14ac:dyDescent="0.25">
      <c r="A35" s="38"/>
      <c r="B35" s="27"/>
      <c r="C35" s="27"/>
      <c r="D35" s="33"/>
      <c r="E35" s="33"/>
      <c r="F35" s="39"/>
      <c r="G35" s="27"/>
      <c r="H35" s="35"/>
      <c r="I35" s="30">
        <f t="shared" si="0"/>
      </c>
      <c r="J35" s="32">
        <f t="shared" si="1"/>
      </c>
    </row>
    <row r="36" spans="1:10" x14ac:dyDescent="0.25">
      <c r="A36" s="38"/>
      <c r="B36" s="27"/>
      <c r="C36" s="27"/>
      <c r="D36" s="33"/>
      <c r="E36" s="33"/>
      <c r="F36" s="39"/>
      <c r="G36" s="27"/>
      <c r="H36" s="35"/>
      <c r="I36" s="30">
        <f t="shared" si="0"/>
      </c>
      <c r="J36" s="32">
        <f t="shared" si="1"/>
      </c>
    </row>
    <row r="37" spans="1:10" x14ac:dyDescent="0.25">
      <c r="A37" s="38"/>
      <c r="B37" s="27"/>
      <c r="C37" s="27"/>
      <c r="D37" s="33"/>
      <c r="E37" s="33"/>
      <c r="F37" s="39"/>
      <c r="G37" s="27"/>
      <c r="H37" s="35"/>
      <c r="I37" s="30">
        <f t="shared" si="0"/>
      </c>
      <c r="J37" s="32">
        <f t="shared" si="1"/>
      </c>
    </row>
    <row r="38" spans="1:10" x14ac:dyDescent="0.25">
      <c r="A38" s="38"/>
      <c r="B38" s="27"/>
      <c r="C38" s="27"/>
      <c r="D38" s="33"/>
      <c r="E38" s="33"/>
      <c r="F38" s="39"/>
      <c r="G38" s="27"/>
      <c r="H38" s="35"/>
      <c r="I38" s="30">
        <f t="shared" si="0"/>
      </c>
      <c r="J38" s="32">
        <f t="shared" si="1"/>
      </c>
    </row>
    <row r="39" spans="1:10" x14ac:dyDescent="0.25">
      <c r="A39" s="38"/>
      <c r="B39" s="27"/>
      <c r="C39" s="27"/>
      <c r="D39" s="33"/>
      <c r="E39" s="33"/>
      <c r="F39" s="39"/>
      <c r="G39" s="27"/>
      <c r="H39" s="35"/>
      <c r="I39" s="30">
        <f t="shared" si="0"/>
      </c>
      <c r="J39" s="32">
        <f t="shared" si="1"/>
      </c>
    </row>
    <row r="40" spans="1:10" x14ac:dyDescent="0.25">
      <c r="A40" s="38"/>
      <c r="B40" s="27"/>
      <c r="C40" s="27"/>
      <c r="D40" s="33"/>
      <c r="E40" s="33"/>
      <c r="F40" s="39"/>
      <c r="G40" s="27"/>
      <c r="H40" s="35"/>
      <c r="I40" s="30">
        <f t="shared" si="0"/>
      </c>
      <c r="J40" s="32">
        <f t="shared" si="1"/>
      </c>
    </row>
    <row r="41" spans="1:10" x14ac:dyDescent="0.25">
      <c r="A41" s="38"/>
      <c r="B41" s="27"/>
      <c r="C41" s="27"/>
      <c r="D41" s="33"/>
      <c r="E41" s="33"/>
      <c r="F41" s="39"/>
      <c r="G41" s="27"/>
      <c r="H41" s="35"/>
      <c r="I41" s="30">
        <f t="shared" si="0"/>
      </c>
      <c r="J41" s="32">
        <f t="shared" si="1"/>
      </c>
    </row>
    <row r="42" spans="1:10" x14ac:dyDescent="0.25">
      <c r="A42" s="38"/>
      <c r="B42" s="27"/>
      <c r="C42" s="27"/>
      <c r="D42" s="33"/>
      <c r="E42" s="33"/>
      <c r="F42" s="39"/>
      <c r="G42" s="27"/>
      <c r="H42" s="35"/>
      <c r="I42" s="30">
        <f t="shared" si="0"/>
      </c>
      <c r="J42" s="32">
        <f t="shared" si="1"/>
      </c>
    </row>
    <row r="43" spans="1:10" x14ac:dyDescent="0.25">
      <c r="A43" s="38"/>
      <c r="B43" s="27"/>
      <c r="C43" s="27"/>
      <c r="D43" s="33"/>
      <c r="E43" s="33"/>
      <c r="F43" s="39"/>
      <c r="G43" s="27"/>
      <c r="H43" s="35"/>
      <c r="I43" s="30">
        <f t="shared" si="0"/>
      </c>
      <c r="J43" s="32">
        <f t="shared" si="1"/>
      </c>
    </row>
    <row r="44" spans="1:10" x14ac:dyDescent="0.25">
      <c r="A44" s="38"/>
      <c r="B44" s="27"/>
      <c r="C44" s="27"/>
      <c r="D44" s="33"/>
      <c r="E44" s="33"/>
      <c r="F44" s="39"/>
      <c r="G44" s="27"/>
      <c r="H44" s="35"/>
      <c r="I44" s="30">
        <f t="shared" si="0"/>
      </c>
      <c r="J44" s="32">
        <f t="shared" si="1"/>
      </c>
    </row>
    <row r="45" spans="1:10" x14ac:dyDescent="0.25">
      <c r="A45" s="38"/>
      <c r="B45" s="27"/>
      <c r="C45" s="27"/>
      <c r="D45" s="33"/>
      <c r="E45" s="33"/>
      <c r="F45" s="39"/>
      <c r="G45" s="27"/>
      <c r="H45" s="35"/>
      <c r="I45" s="30">
        <f t="shared" si="0"/>
      </c>
      <c r="J45" s="32">
        <f t="shared" si="1"/>
      </c>
    </row>
    <row r="46" spans="1:10" x14ac:dyDescent="0.25">
      <c r="A46" s="38"/>
      <c r="B46" s="27"/>
      <c r="C46" s="27"/>
      <c r="D46" s="33"/>
      <c r="E46" s="33"/>
      <c r="F46" s="39"/>
      <c r="G46" s="27"/>
      <c r="H46" s="35"/>
      <c r="I46" s="30">
        <f t="shared" si="0"/>
      </c>
      <c r="J46" s="32">
        <f t="shared" si="1"/>
      </c>
    </row>
    <row r="47" spans="1:10" x14ac:dyDescent="0.25">
      <c r="A47" s="38"/>
      <c r="B47" s="27"/>
      <c r="C47" s="27"/>
      <c r="D47" s="33"/>
      <c r="E47" s="33"/>
      <c r="F47" s="39"/>
      <c r="G47" s="27"/>
      <c r="H47" s="35"/>
      <c r="I47" s="30">
        <f t="shared" si="0"/>
      </c>
      <c r="J47" s="32">
        <f t="shared" si="1"/>
      </c>
    </row>
    <row r="48" spans="1:10" x14ac:dyDescent="0.25">
      <c r="A48" s="38"/>
      <c r="B48" s="27"/>
      <c r="C48" s="27"/>
      <c r="D48" s="33"/>
      <c r="E48" s="33"/>
      <c r="F48" s="39"/>
      <c r="G48" s="27"/>
      <c r="H48" s="35"/>
      <c r="I48" s="30">
        <f t="shared" si="0"/>
      </c>
      <c r="J48" s="32">
        <f t="shared" si="1"/>
      </c>
    </row>
    <row r="49" spans="1:10" x14ac:dyDescent="0.25">
      <c r="A49" s="38"/>
      <c r="B49" s="27"/>
      <c r="C49" s="27"/>
      <c r="D49" s="33"/>
      <c r="E49" s="33"/>
      <c r="F49" s="39"/>
      <c r="G49" s="27"/>
      <c r="H49" s="35"/>
      <c r="I49" s="30">
        <f t="shared" si="0"/>
      </c>
      <c r="J49" s="32">
        <f t="shared" si="1"/>
      </c>
    </row>
    <row r="50" spans="1:10" x14ac:dyDescent="0.25">
      <c r="A50" s="38"/>
      <c r="B50" s="27"/>
      <c r="C50" s="27"/>
      <c r="D50" s="33"/>
      <c r="E50" s="33"/>
      <c r="F50" s="39"/>
      <c r="G50" s="27"/>
      <c r="H50" s="35"/>
      <c r="I50" s="30">
        <f t="shared" si="0"/>
      </c>
      <c r="J50" s="32">
        <f t="shared" si="1"/>
      </c>
    </row>
    <row r="51" spans="1:10" x14ac:dyDescent="0.25">
      <c r="A51" s="38"/>
      <c r="B51" s="27"/>
      <c r="C51" s="27"/>
      <c r="D51" s="33"/>
      <c r="E51" s="33"/>
      <c r="F51" s="39"/>
      <c r="G51" s="27"/>
      <c r="H51" s="35"/>
      <c r="I51" s="30">
        <f t="shared" si="0"/>
      </c>
      <c r="J51" s="32">
        <f t="shared" si="1"/>
      </c>
    </row>
    <row r="52" spans="1:10" x14ac:dyDescent="0.25">
      <c r="A52" s="38"/>
      <c r="B52" s="27"/>
      <c r="C52" s="27"/>
      <c r="D52" s="33"/>
      <c r="E52" s="33"/>
      <c r="F52" s="39"/>
      <c r="G52" s="27"/>
      <c r="H52" s="35"/>
      <c r="I52" s="30">
        <f t="shared" si="0"/>
      </c>
      <c r="J52" s="32">
        <f t="shared" si="1"/>
      </c>
    </row>
    <row r="53" spans="1:10" x14ac:dyDescent="0.25">
      <c r="A53" s="38"/>
      <c r="B53" s="27"/>
      <c r="C53" s="27"/>
      <c r="D53" s="33"/>
      <c r="E53" s="33"/>
      <c r="F53" s="39"/>
      <c r="G53" s="27"/>
      <c r="H53" s="35"/>
      <c r="I53" s="30">
        <f t="shared" si="0"/>
      </c>
      <c r="J53" s="32">
        <f t="shared" si="1"/>
      </c>
    </row>
    <row r="54" spans="1:10" x14ac:dyDescent="0.25">
      <c r="A54" s="38"/>
      <c r="B54" s="27"/>
      <c r="C54" s="27"/>
      <c r="D54" s="33"/>
      <c r="E54" s="33"/>
      <c r="F54" s="39"/>
      <c r="G54" s="27"/>
      <c r="H54" s="35"/>
      <c r="I54" s="30">
        <f t="shared" si="0"/>
      </c>
      <c r="J54" s="32">
        <f t="shared" si="1"/>
      </c>
    </row>
    <row r="55" spans="1:10" x14ac:dyDescent="0.25">
      <c r="A55" s="38"/>
      <c r="B55" s="27"/>
      <c r="C55" s="27"/>
      <c r="D55" s="33"/>
      <c r="E55" s="33"/>
      <c r="F55" s="39"/>
      <c r="G55" s="27"/>
      <c r="H55" s="35"/>
      <c r="I55" s="30">
        <f t="shared" si="0"/>
      </c>
      <c r="J55" s="32">
        <f t="shared" si="1"/>
      </c>
    </row>
    <row r="56" spans="1:10" x14ac:dyDescent="0.25">
      <c r="A56" s="38"/>
      <c r="B56" s="27"/>
      <c r="C56" s="27"/>
      <c r="D56" s="33"/>
      <c r="E56" s="33"/>
      <c r="F56" s="39"/>
      <c r="G56" s="27"/>
      <c r="H56" s="35"/>
      <c r="I56" s="30">
        <f t="shared" si="0"/>
      </c>
      <c r="J56" s="32">
        <f t="shared" si="1"/>
      </c>
    </row>
    <row r="57" spans="1:10" x14ac:dyDescent="0.25">
      <c r="A57" s="38"/>
      <c r="B57" s="27"/>
      <c r="C57" s="27"/>
      <c r="D57" s="33"/>
      <c r="E57" s="33"/>
      <c r="F57" s="39"/>
      <c r="G57" s="27"/>
      <c r="H57" s="35"/>
      <c r="I57" s="30">
        <f t="shared" si="0"/>
      </c>
      <c r="J57" s="32">
        <f t="shared" si="1"/>
      </c>
    </row>
    <row r="58" spans="1:10" x14ac:dyDescent="0.25">
      <c r="A58" s="38"/>
      <c r="B58" s="27"/>
      <c r="C58" s="27"/>
      <c r="D58" s="33"/>
      <c r="E58" s="33"/>
      <c r="F58" s="39"/>
      <c r="G58" s="27"/>
      <c r="H58" s="35"/>
      <c r="I58" s="30">
        <f t="shared" si="0"/>
      </c>
      <c r="J58" s="32">
        <f t="shared" si="1"/>
      </c>
    </row>
    <row r="59" spans="1:10" x14ac:dyDescent="0.25">
      <c r="A59" s="38"/>
      <c r="B59" s="27"/>
      <c r="C59" s="27"/>
      <c r="D59" s="33"/>
      <c r="E59" s="33"/>
      <c r="F59" s="39"/>
      <c r="G59" s="27"/>
      <c r="H59" s="35"/>
      <c r="I59" s="30">
        <f t="shared" si="0"/>
      </c>
      <c r="J59" s="32">
        <f t="shared" si="1"/>
      </c>
    </row>
    <row r="60" spans="1:10" x14ac:dyDescent="0.25">
      <c r="A60" s="38"/>
      <c r="B60" s="27"/>
      <c r="C60" s="27"/>
      <c r="D60" s="33"/>
      <c r="E60" s="33"/>
      <c r="F60" s="39"/>
      <c r="G60" s="27"/>
      <c r="H60" s="35"/>
      <c r="I60" s="30">
        <f t="shared" si="0"/>
      </c>
      <c r="J60" s="32">
        <f t="shared" si="1"/>
      </c>
    </row>
    <row r="61" spans="1:10" x14ac:dyDescent="0.25">
      <c r="A61" s="38"/>
      <c r="B61" s="27"/>
      <c r="C61" s="27"/>
      <c r="D61" s="33"/>
      <c r="E61" s="33"/>
      <c r="F61" s="39"/>
      <c r="G61" s="27"/>
      <c r="H61" s="35"/>
      <c r="I61" s="30">
        <f t="shared" si="0"/>
      </c>
      <c r="J61" s="32">
        <f t="shared" si="1"/>
      </c>
    </row>
    <row r="62" spans="1:10" x14ac:dyDescent="0.25">
      <c r="A62" s="38"/>
      <c r="B62" s="27"/>
      <c r="C62" s="27"/>
      <c r="D62" s="33"/>
      <c r="E62" s="33"/>
      <c r="F62" s="39"/>
      <c r="G62" s="27"/>
      <c r="H62" s="35"/>
      <c r="I62" s="30">
        <f t="shared" si="0"/>
      </c>
      <c r="J62" s="32">
        <f t="shared" si="1"/>
      </c>
    </row>
    <row r="63" spans="1:10" x14ac:dyDescent="0.25">
      <c r="A63" s="38"/>
      <c r="B63" s="27"/>
      <c r="C63" s="27"/>
      <c r="D63" s="33"/>
      <c r="E63" s="33"/>
      <c r="F63" s="39"/>
      <c r="G63" s="27"/>
      <c r="H63" s="35"/>
      <c r="I63" s="30">
        <f t="shared" si="0"/>
      </c>
      <c r="J63" s="32">
        <f t="shared" si="1"/>
      </c>
    </row>
    <row r="64" spans="1:10" x14ac:dyDescent="0.25">
      <c r="A64" s="38"/>
      <c r="B64" s="27"/>
      <c r="C64" s="27"/>
      <c r="D64" s="33"/>
      <c r="E64" s="33"/>
      <c r="F64" s="39"/>
      <c r="G64" s="27"/>
      <c r="H64" s="35"/>
      <c r="I64" s="30">
        <f t="shared" si="0"/>
      </c>
      <c r="J64" s="32">
        <f t="shared" si="1"/>
      </c>
    </row>
    <row r="65" spans="1:10" x14ac:dyDescent="0.25">
      <c r="A65" s="38"/>
      <c r="B65" s="27"/>
      <c r="C65" s="27"/>
      <c r="D65" s="33"/>
      <c r="E65" s="33"/>
      <c r="F65" s="39"/>
      <c r="G65" s="27"/>
      <c r="H65" s="35"/>
      <c r="I65" s="30">
        <f t="shared" si="0"/>
      </c>
      <c r="J65" s="32">
        <f t="shared" si="1"/>
      </c>
    </row>
    <row r="66" spans="1:10" x14ac:dyDescent="0.25">
      <c r="A66" s="38"/>
      <c r="B66" s="27"/>
      <c r="C66" s="27"/>
      <c r="D66" s="33"/>
      <c r="E66" s="33"/>
      <c r="F66" s="39"/>
      <c r="G66" s="27"/>
      <c r="H66" s="35"/>
      <c r="I66" s="30">
        <f t="shared" si="0"/>
      </c>
      <c r="J66" s="32">
        <f t="shared" si="1"/>
      </c>
    </row>
    <row r="67" spans="1:10" x14ac:dyDescent="0.25">
      <c r="A67" s="38"/>
      <c r="B67" s="27"/>
      <c r="C67" s="27"/>
      <c r="D67" s="33"/>
      <c r="E67" s="33"/>
      <c r="F67" s="39"/>
      <c r="G67" s="27"/>
      <c r="H67" s="35"/>
      <c r="I67" s="30">
        <f t="shared" si="0"/>
      </c>
      <c r="J67" s="32">
        <f t="shared" si="1"/>
      </c>
    </row>
    <row r="68" spans="1:10" x14ac:dyDescent="0.25">
      <c r="A68" s="38"/>
      <c r="B68" s="27"/>
      <c r="C68" s="27"/>
      <c r="D68" s="33"/>
      <c r="E68" s="33"/>
      <c r="F68" s="39"/>
      <c r="G68" s="27"/>
      <c r="H68" s="35"/>
      <c r="I68" s="30">
        <f t="shared" si="0"/>
      </c>
      <c r="J68" s="32">
        <f t="shared" si="1"/>
      </c>
    </row>
    <row r="69" spans="1:10" x14ac:dyDescent="0.25">
      <c r="A69" s="38"/>
      <c r="B69" s="27"/>
      <c r="C69" s="27"/>
      <c r="D69" s="33"/>
      <c r="E69" s="33"/>
      <c r="F69" s="39"/>
      <c r="G69" s="27"/>
      <c r="H69" s="35"/>
      <c r="I69" s="30">
        <f t="shared" si="0"/>
      </c>
      <c r="J69" s="32">
        <f t="shared" si="1"/>
      </c>
    </row>
    <row r="70" spans="1:10" x14ac:dyDescent="0.25">
      <c r="A70" s="38"/>
      <c r="B70" s="27"/>
      <c r="C70" s="27"/>
      <c r="D70" s="33"/>
      <c r="E70" s="33"/>
      <c r="F70" s="39"/>
      <c r="G70" s="27"/>
      <c r="H70" s="35"/>
      <c r="I70" s="30">
        <f t="shared" si="0"/>
      </c>
      <c r="J70" s="32">
        <f t="shared" si="1"/>
      </c>
    </row>
    <row r="71" spans="1:10" x14ac:dyDescent="0.25">
      <c r="A71" s="38"/>
      <c r="B71" s="27"/>
      <c r="C71" s="27"/>
      <c r="D71" s="33"/>
      <c r="E71" s="33"/>
      <c r="F71" s="39"/>
      <c r="G71" s="27"/>
      <c r="H71" s="35"/>
      <c r="I71" s="30">
        <f t="shared" si="0"/>
      </c>
      <c r="J71" s="32">
        <f t="shared" si="1"/>
      </c>
    </row>
    <row r="72" spans="1:10" x14ac:dyDescent="0.25">
      <c r="A72" s="38"/>
      <c r="B72" s="27"/>
      <c r="C72" s="27"/>
      <c r="D72" s="33"/>
      <c r="E72" s="33"/>
      <c r="F72" s="39"/>
      <c r="G72" s="27"/>
      <c r="H72" s="35"/>
      <c r="I72" s="30">
        <f t="shared" si="0"/>
      </c>
      <c r="J72" s="32">
        <f t="shared" si="1"/>
      </c>
    </row>
    <row r="73" spans="1:10" x14ac:dyDescent="0.25">
      <c r="A73" s="38"/>
      <c r="B73" s="27"/>
      <c r="C73" s="27"/>
      <c r="D73" s="33"/>
      <c r="E73" s="33"/>
      <c r="F73" s="39"/>
      <c r="G73" s="27"/>
      <c r="H73" s="35"/>
      <c r="I73" s="30">
        <f t="shared" si="0"/>
      </c>
      <c r="J73" s="32">
        <f t="shared" si="1"/>
      </c>
    </row>
    <row r="74" spans="1:10" x14ac:dyDescent="0.25">
      <c r="A74" s="38"/>
      <c r="B74" s="27"/>
      <c r="C74" s="27"/>
      <c r="D74" s="33"/>
      <c r="E74" s="33"/>
      <c r="F74" s="39"/>
      <c r="G74" s="27"/>
      <c r="H74" s="35"/>
      <c r="I74" s="30">
        <f t="shared" si="0"/>
      </c>
      <c r="J74" s="32">
        <f t="shared" si="1"/>
      </c>
    </row>
    <row r="75" spans="1:10" x14ac:dyDescent="0.25">
      <c r="A75" s="38"/>
      <c r="B75" s="27"/>
      <c r="C75" s="27"/>
      <c r="D75" s="33"/>
      <c r="E75" s="33"/>
      <c r="F75" s="39"/>
      <c r="G75" s="27"/>
      <c r="H75" s="35"/>
      <c r="I75" s="30">
        <f t="shared" si="0"/>
      </c>
      <c r="J75" s="32">
        <f t="shared" si="1"/>
      </c>
    </row>
    <row r="76" spans="1:10" x14ac:dyDescent="0.25">
      <c r="A76" s="38"/>
      <c r="B76" s="27"/>
      <c r="C76" s="27"/>
      <c r="D76" s="33"/>
      <c r="E76" s="33"/>
      <c r="F76" s="39"/>
      <c r="G76" s="27"/>
      <c r="H76" s="35"/>
      <c r="I76" s="30">
        <f t="shared" si="0"/>
      </c>
      <c r="J76" s="32">
        <f t="shared" si="1"/>
      </c>
    </row>
    <row r="77" spans="1:10" x14ac:dyDescent="0.25">
      <c r="A77" s="38"/>
      <c r="B77" s="27"/>
      <c r="C77" s="27"/>
      <c r="D77" s="33"/>
      <c r="E77" s="33"/>
      <c r="F77" s="39"/>
      <c r="G77" s="27"/>
      <c r="H77" s="35"/>
      <c r="I77" s="30">
        <f t="shared" si="0"/>
      </c>
      <c r="J77" s="32">
        <f t="shared" si="1"/>
      </c>
    </row>
    <row r="78" spans="1:10" x14ac:dyDescent="0.25">
      <c r="A78" s="38"/>
      <c r="B78" s="27"/>
      <c r="C78" s="27"/>
      <c r="D78" s="33"/>
      <c r="E78" s="33"/>
      <c r="F78" s="39"/>
      <c r="G78" s="27"/>
      <c r="H78" s="35"/>
      <c r="I78" s="30">
        <f t="shared" si="0"/>
      </c>
      <c r="J78" s="32">
        <f t="shared" si="1"/>
      </c>
    </row>
    <row r="79" spans="1:10" x14ac:dyDescent="0.25">
      <c r="A79" s="38"/>
      <c r="B79" s="27"/>
      <c r="C79" s="27"/>
      <c r="D79" s="33"/>
      <c r="E79" s="33"/>
      <c r="F79" s="39"/>
      <c r="G79" s="27"/>
      <c r="H79" s="35"/>
      <c r="I79" s="30">
        <f t="shared" si="0"/>
      </c>
      <c r="J79" s="32">
        <f t="shared" si="1"/>
      </c>
    </row>
    <row r="80" spans="1:10" x14ac:dyDescent="0.25">
      <c r="A80" s="38"/>
      <c r="B80" s="27"/>
      <c r="C80" s="27"/>
      <c r="D80" s="33"/>
      <c r="E80" s="33"/>
      <c r="F80" s="39"/>
      <c r="G80" s="27"/>
      <c r="H80" s="35"/>
      <c r="I80" s="30">
        <f t="shared" si="0"/>
      </c>
      <c r="J80" s="32">
        <f t="shared" si="1"/>
      </c>
    </row>
    <row r="81" spans="1:10" x14ac:dyDescent="0.25">
      <c r="A81" s="38"/>
      <c r="B81" s="27"/>
      <c r="C81" s="27"/>
      <c r="D81" s="33"/>
      <c r="E81" s="33"/>
      <c r="F81" s="39"/>
      <c r="G81" s="27"/>
      <c r="H81" s="35"/>
      <c r="I81" s="30">
        <f t="shared" si="0"/>
      </c>
      <c r="J81" s="32">
        <f t="shared" si="1"/>
      </c>
    </row>
    <row r="82" spans="1:10" x14ac:dyDescent="0.25">
      <c r="A82" s="38"/>
      <c r="B82" s="27"/>
      <c r="C82" s="27"/>
      <c r="D82" s="33"/>
      <c r="E82" s="33"/>
      <c r="F82" s="39"/>
      <c r="G82" s="27"/>
      <c r="H82" s="35"/>
      <c r="I82" s="30">
        <f t="shared" si="0"/>
      </c>
      <c r="J82" s="32">
        <f t="shared" si="1"/>
      </c>
    </row>
    <row r="83" spans="1:10" x14ac:dyDescent="0.25">
      <c r="A83" s="38"/>
      <c r="B83" s="27"/>
      <c r="C83" s="27"/>
      <c r="D83" s="33"/>
      <c r="E83" s="33"/>
      <c r="F83" s="39"/>
      <c r="G83" s="27"/>
      <c r="H83" s="35"/>
      <c r="I83" s="30">
        <f t="shared" si="0"/>
      </c>
      <c r="J83" s="32">
        <f t="shared" si="1"/>
      </c>
    </row>
    <row r="84" spans="1:10" x14ac:dyDescent="0.25">
      <c r="A84" s="38"/>
      <c r="B84" s="27"/>
      <c r="C84" s="27"/>
      <c r="D84" s="33"/>
      <c r="E84" s="33"/>
      <c r="F84" s="39"/>
      <c r="G84" s="27"/>
      <c r="H84" s="35"/>
      <c r="I84" s="30">
        <f t="shared" si="0"/>
      </c>
      <c r="J84" s="32">
        <f t="shared" si="1"/>
      </c>
    </row>
    <row r="85" spans="1:10" x14ac:dyDescent="0.25">
      <c r="A85" s="38"/>
      <c r="B85" s="27"/>
      <c r="C85" s="27"/>
      <c r="D85" s="33"/>
      <c r="E85" s="33"/>
      <c r="F85" s="39"/>
      <c r="G85" s="27"/>
      <c r="H85" s="35"/>
      <c r="I85" s="30">
        <f t="shared" si="0"/>
      </c>
      <c r="J85" s="32">
        <f t="shared" si="1"/>
      </c>
    </row>
    <row r="86" spans="1:10" x14ac:dyDescent="0.25">
      <c r="A86" s="38"/>
      <c r="B86" s="27"/>
      <c r="C86" s="27"/>
      <c r="D86" s="33"/>
      <c r="E86" s="33"/>
      <c r="F86" s="39"/>
      <c r="G86" s="27"/>
      <c r="H86" s="35"/>
      <c r="I86" s="30">
        <f t="shared" si="0"/>
      </c>
      <c r="J86" s="32">
        <f t="shared" si="1"/>
      </c>
    </row>
    <row r="87" spans="1:10" x14ac:dyDescent="0.25">
      <c r="A87" s="38"/>
      <c r="B87" s="27"/>
      <c r="C87" s="27"/>
      <c r="D87" s="33"/>
      <c r="E87" s="33"/>
      <c r="F87" s="39"/>
      <c r="G87" s="27"/>
      <c r="H87" s="35"/>
      <c r="I87" s="30">
        <f t="shared" si="0"/>
      </c>
      <c r="J87" s="32">
        <f t="shared" si="1"/>
      </c>
    </row>
    <row r="88" spans="1:10" x14ac:dyDescent="0.25">
      <c r="A88" s="38"/>
      <c r="B88" s="27"/>
      <c r="C88" s="27"/>
      <c r="D88" s="33"/>
      <c r="E88" s="33"/>
      <c r="F88" s="39"/>
      <c r="G88" s="27"/>
      <c r="H88" s="35"/>
      <c r="I88" s="30">
        <f t="shared" si="0"/>
      </c>
      <c r="J88" s="32">
        <f t="shared" si="1"/>
      </c>
    </row>
    <row r="89" spans="1:10" x14ac:dyDescent="0.25">
      <c r="A89" s="38"/>
      <c r="B89" s="27"/>
      <c r="C89" s="27"/>
      <c r="D89" s="33"/>
      <c r="E89" s="33"/>
      <c r="F89" s="39"/>
      <c r="G89" s="27"/>
      <c r="H89" s="35"/>
      <c r="I89" s="30">
        <f t="shared" si="0"/>
      </c>
      <c r="J89" s="32">
        <f t="shared" si="1"/>
      </c>
    </row>
    <row r="90" spans="1:10" x14ac:dyDescent="0.25">
      <c r="A90" s="38"/>
      <c r="B90" s="27"/>
      <c r="C90" s="27"/>
      <c r="D90" s="33"/>
      <c r="E90" s="33"/>
      <c r="F90" s="39"/>
      <c r="G90" s="27"/>
      <c r="H90" s="35"/>
      <c r="I90" s="30">
        <f t="shared" si="0"/>
      </c>
      <c r="J90" s="32">
        <f t="shared" si="1"/>
      </c>
    </row>
    <row r="91" spans="1:10" x14ac:dyDescent="0.25">
      <c r="A91" s="38"/>
      <c r="B91" s="27"/>
      <c r="C91" s="27"/>
      <c r="D91" s="33"/>
      <c r="E91" s="33"/>
      <c r="F91" s="39"/>
      <c r="G91" s="27"/>
      <c r="H91" s="35"/>
      <c r="I91" s="30">
        <f t="shared" si="0"/>
      </c>
      <c r="J91" s="32">
        <f t="shared" si="1"/>
      </c>
    </row>
    <row r="92" spans="1:10" x14ac:dyDescent="0.25">
      <c r="A92" s="38"/>
      <c r="B92" s="27"/>
      <c r="C92" s="27"/>
      <c r="D92" s="33"/>
      <c r="E92" s="33"/>
      <c r="F92" s="39"/>
      <c r="G92" s="27"/>
      <c r="H92" s="35"/>
      <c r="I92" s="30">
        <f t="shared" si="0"/>
      </c>
      <c r="J92" s="32">
        <f t="shared" si="1"/>
      </c>
    </row>
    <row r="93" spans="1:10" x14ac:dyDescent="0.25">
      <c r="A93" s="38"/>
      <c r="B93" s="27"/>
      <c r="C93" s="27"/>
      <c r="D93" s="33"/>
      <c r="E93" s="33"/>
      <c r="F93" s="39"/>
      <c r="G93" s="27"/>
      <c r="H93" s="35"/>
      <c r="I93" s="30">
        <f t="shared" si="0"/>
      </c>
      <c r="J93" s="32">
        <f t="shared" si="1"/>
      </c>
    </row>
    <row r="94" spans="1:10" x14ac:dyDescent="0.25">
      <c r="A94" s="38"/>
      <c r="B94" s="27"/>
      <c r="C94" s="27"/>
      <c r="D94" s="33"/>
      <c r="E94" s="33"/>
      <c r="F94" s="39"/>
      <c r="G94" s="27"/>
      <c r="H94" s="35"/>
      <c r="I94" s="30">
        <f t="shared" si="0"/>
      </c>
      <c r="J94" s="32">
        <f t="shared" si="1"/>
      </c>
    </row>
    <row r="95" spans="1:10" x14ac:dyDescent="0.25">
      <c r="A95" s="38"/>
      <c r="B95" s="27"/>
      <c r="C95" s="27"/>
      <c r="D95" s="33"/>
      <c r="E95" s="33"/>
      <c r="F95" s="39"/>
      <c r="G95" s="27"/>
      <c r="H95" s="35"/>
      <c r="I95" s="30">
        <f t="shared" si="0"/>
      </c>
      <c r="J95" s="32">
        <f t="shared" si="1"/>
      </c>
    </row>
    <row r="96" spans="1:10" x14ac:dyDescent="0.25">
      <c r="A96" s="38"/>
      <c r="B96" s="27"/>
      <c r="C96" s="27"/>
      <c r="D96" s="33"/>
      <c r="E96" s="33"/>
      <c r="F96" s="39"/>
      <c r="G96" s="27"/>
      <c r="H96" s="35"/>
      <c r="I96" s="30">
        <f t="shared" si="0"/>
      </c>
      <c r="J96" s="32">
        <f t="shared" si="1"/>
      </c>
    </row>
    <row r="97" spans="1:10" x14ac:dyDescent="0.25">
      <c r="A97" s="38"/>
      <c r="B97" s="27"/>
      <c r="C97" s="27"/>
      <c r="D97" s="33"/>
      <c r="E97" s="33"/>
      <c r="F97" s="39"/>
      <c r="G97" s="27"/>
      <c r="H97" s="35"/>
      <c r="I97" s="30">
        <f t="shared" si="0"/>
      </c>
      <c r="J97" s="32">
        <f t="shared" si="1"/>
      </c>
    </row>
    <row r="98" spans="1:10" x14ac:dyDescent="0.25">
      <c r="A98" s="38"/>
      <c r="B98" s="27"/>
      <c r="C98" s="27"/>
      <c r="D98" s="33"/>
      <c r="E98" s="33"/>
      <c r="F98" s="39"/>
      <c r="G98" s="27"/>
      <c r="H98" s="35"/>
      <c r="I98" s="30">
        <f t="shared" si="0"/>
      </c>
      <c r="J98" s="32">
        <f t="shared" si="1"/>
      </c>
    </row>
    <row r="99" spans="1:10" x14ac:dyDescent="0.25">
      <c r="A99" s="38"/>
      <c r="B99" s="27"/>
      <c r="C99" s="27"/>
      <c r="D99" s="33"/>
      <c r="E99" s="33"/>
      <c r="F99" s="39"/>
      <c r="G99" s="27"/>
      <c r="H99" s="35"/>
      <c r="I99" s="30">
        <f t="shared" si="0"/>
      </c>
      <c r="J99" s="32">
        <f t="shared" si="1"/>
      </c>
    </row>
    <row r="100" spans="1:10" x14ac:dyDescent="0.25">
      <c r="A100" s="38"/>
      <c r="B100" s="27"/>
      <c r="C100" s="27"/>
      <c r="D100" s="33"/>
      <c r="E100" s="33"/>
      <c r="F100" s="39"/>
      <c r="G100" s="27"/>
      <c r="H100" s="35"/>
      <c r="I100" s="30">
        <f t="shared" si="0"/>
      </c>
      <c r="J100" s="32">
        <f t="shared" si="1"/>
      </c>
    </row>
    <row r="101" spans="1:10" x14ac:dyDescent="0.25">
      <c r="A101" s="38"/>
      <c r="B101" s="27"/>
      <c r="C101" s="27"/>
      <c r="D101" s="33"/>
      <c r="E101" s="33"/>
      <c r="F101" s="39"/>
      <c r="G101" s="27"/>
      <c r="H101" s="35"/>
      <c r="I101" s="30">
        <f t="shared" si="0"/>
      </c>
      <c r="J101" s="32">
        <f t="shared" si="1"/>
      </c>
    </row>
    <row r="102" spans="1:10" x14ac:dyDescent="0.25">
      <c r="A102" s="38"/>
      <c r="B102" s="27"/>
      <c r="C102" s="27"/>
      <c r="D102" s="33"/>
      <c r="E102" s="33"/>
      <c r="F102" s="39"/>
      <c r="G102" s="27"/>
      <c r="H102" s="35"/>
      <c r="I102" s="30">
        <f t="shared" si="0"/>
      </c>
      <c r="J102" s="32">
        <f t="shared" si="1"/>
      </c>
    </row>
    <row r="103" spans="1:10" x14ac:dyDescent="0.25">
      <c r="A103" s="38"/>
      <c r="B103" s="27"/>
      <c r="C103" s="27"/>
      <c r="D103" s="33"/>
      <c r="E103" s="33"/>
      <c r="F103" s="39"/>
      <c r="G103" s="27"/>
      <c r="H103" s="35"/>
      <c r="I103" s="30">
        <f t="shared" si="0"/>
      </c>
      <c r="J103" s="32">
        <f t="shared" si="1"/>
      </c>
    </row>
    <row r="104" spans="1:10" x14ac:dyDescent="0.25">
      <c r="A104" s="38"/>
      <c r="B104" s="27"/>
      <c r="C104" s="27"/>
      <c r="D104" s="33"/>
      <c r="E104" s="33"/>
      <c r="F104" s="39"/>
      <c r="G104" s="27"/>
      <c r="H104" s="35"/>
      <c r="I104" s="30">
        <f t="shared" si="0"/>
      </c>
      <c r="J104" s="32">
        <f t="shared" si="1"/>
      </c>
    </row>
    <row r="105" spans="1:10" x14ac:dyDescent="0.25">
      <c r="A105" s="38"/>
      <c r="B105" s="27"/>
      <c r="C105" s="27"/>
      <c r="D105" s="33"/>
      <c r="E105" s="33"/>
      <c r="F105" s="39"/>
      <c r="G105" s="27"/>
      <c r="H105" s="35"/>
      <c r="I105" s="30">
        <f t="shared" si="0"/>
      </c>
      <c r="J105" s="32">
        <f t="shared" si="1"/>
      </c>
    </row>
    <row r="106" spans="1:10" x14ac:dyDescent="0.25">
      <c r="A106" s="38"/>
      <c r="B106" s="27"/>
      <c r="C106" s="27"/>
      <c r="D106" s="33"/>
      <c r="E106" s="33"/>
      <c r="F106" s="39"/>
      <c r="G106" s="27"/>
      <c r="H106" s="35"/>
      <c r="I106" s="30">
        <f t="shared" si="0"/>
      </c>
      <c r="J106" s="32">
        <f t="shared" si="1"/>
      </c>
    </row>
    <row r="107" spans="1:10" x14ac:dyDescent="0.25">
      <c r="A107" s="38"/>
      <c r="B107" s="27"/>
      <c r="C107" s="27"/>
      <c r="D107" s="33"/>
      <c r="E107" s="33"/>
      <c r="F107" s="39"/>
      <c r="G107" s="27"/>
      <c r="H107" s="35"/>
      <c r="I107" s="30">
        <f t="shared" si="0"/>
      </c>
      <c r="J107" s="32">
        <f t="shared" si="1"/>
      </c>
    </row>
    <row r="108" spans="1:10" x14ac:dyDescent="0.25">
      <c r="A108" s="38"/>
      <c r="B108" s="27"/>
      <c r="C108" s="27"/>
      <c r="D108" s="33"/>
      <c r="E108" s="33"/>
      <c r="F108" s="39"/>
      <c r="G108" s="27"/>
      <c r="H108" s="35"/>
      <c r="I108" s="30">
        <f t="shared" si="0"/>
      </c>
      <c r="J108" s="32">
        <f t="shared" si="1"/>
      </c>
    </row>
    <row r="109" spans="1:10" x14ac:dyDescent="0.25">
      <c r="A109" s="38"/>
      <c r="B109" s="27"/>
      <c r="C109" s="27"/>
      <c r="D109" s="33"/>
      <c r="E109" s="33"/>
      <c r="F109" s="39"/>
      <c r="G109" s="27"/>
      <c r="H109" s="35"/>
      <c r="I109" s="30">
        <f t="shared" si="0"/>
      </c>
      <c r="J109" s="32">
        <f t="shared" si="1"/>
      </c>
    </row>
    <row r="110" spans="1:10" x14ac:dyDescent="0.25">
      <c r="A110" s="38"/>
      <c r="B110" s="27"/>
      <c r="C110" s="27"/>
      <c r="D110" s="33"/>
      <c r="E110" s="33"/>
      <c r="F110" s="39"/>
      <c r="G110" s="27"/>
      <c r="H110" s="35"/>
      <c r="I110" s="30">
        <f t="shared" si="0"/>
      </c>
      <c r="J110" s="32">
        <f t="shared" si="1"/>
      </c>
    </row>
    <row r="111" spans="1:10" x14ac:dyDescent="0.25">
      <c r="A111" s="38"/>
      <c r="B111" s="27"/>
      <c r="C111" s="27"/>
      <c r="D111" s="33"/>
      <c r="E111" s="33"/>
      <c r="F111" s="39"/>
      <c r="G111" s="27"/>
      <c r="H111" s="35"/>
      <c r="I111" s="30">
        <f t="shared" si="0"/>
      </c>
      <c r="J111" s="32">
        <f t="shared" si="1"/>
      </c>
    </row>
    <row r="112" spans="1:10" x14ac:dyDescent="0.25">
      <c r="A112" s="38"/>
      <c r="B112" s="27"/>
      <c r="C112" s="27"/>
      <c r="D112" s="33"/>
      <c r="E112" s="33"/>
      <c r="F112" s="39"/>
      <c r="G112" s="27"/>
      <c r="H112" s="35"/>
      <c r="I112" s="30">
        <f t="shared" si="0"/>
      </c>
      <c r="J112" s="32">
        <f t="shared" si="1"/>
      </c>
    </row>
    <row r="113" spans="1:10" x14ac:dyDescent="0.25">
      <c r="A113" s="38"/>
      <c r="B113" s="27"/>
      <c r="C113" s="27"/>
      <c r="D113" s="33"/>
      <c r="E113" s="33"/>
      <c r="F113" s="39"/>
      <c r="G113" s="27"/>
      <c r="H113" s="35"/>
      <c r="I113" s="30">
        <f t="shared" si="0"/>
      </c>
      <c r="J113" s="32">
        <f t="shared" si="1"/>
      </c>
    </row>
    <row r="114" spans="1:10" x14ac:dyDescent="0.25">
      <c r="A114" s="38"/>
      <c r="B114" s="27"/>
      <c r="C114" s="27"/>
      <c r="D114" s="33"/>
      <c r="E114" s="33"/>
      <c r="F114" s="39"/>
      <c r="G114" s="27"/>
      <c r="H114" s="35"/>
      <c r="I114" s="30">
        <f t="shared" si="0"/>
      </c>
      <c r="J114" s="32">
        <f t="shared" si="1"/>
      </c>
    </row>
    <row r="115" spans="1:10" x14ac:dyDescent="0.25">
      <c r="A115" s="38"/>
      <c r="B115" s="27"/>
      <c r="C115" s="27"/>
      <c r="D115" s="33"/>
      <c r="E115" s="33"/>
      <c r="F115" s="39"/>
      <c r="G115" s="27"/>
      <c r="H115" s="35"/>
      <c r="I115" s="30">
        <f t="shared" si="0"/>
      </c>
      <c r="J115" s="32">
        <f t="shared" si="1"/>
      </c>
    </row>
    <row r="116" spans="1:10" x14ac:dyDescent="0.25">
      <c r="A116" s="38"/>
      <c r="B116" s="27"/>
      <c r="C116" s="27"/>
      <c r="D116" s="33"/>
      <c r="E116" s="33"/>
      <c r="F116" s="39"/>
      <c r="G116" s="27"/>
      <c r="H116" s="35"/>
      <c r="I116" s="30">
        <f t="shared" si="0"/>
      </c>
      <c r="J116" s="32">
        <f t="shared" si="1"/>
      </c>
    </row>
    <row r="117" spans="1:10" x14ac:dyDescent="0.25">
      <c r="A117" s="38"/>
      <c r="B117" s="27"/>
      <c r="C117" s="27"/>
      <c r="D117" s="33"/>
      <c r="E117" s="33"/>
      <c r="F117" s="39"/>
      <c r="G117" s="27"/>
      <c r="H117" s="35"/>
      <c r="I117" s="30">
        <f t="shared" si="0"/>
      </c>
      <c r="J117" s="32">
        <f t="shared" si="1"/>
      </c>
    </row>
    <row r="118" spans="1:10" x14ac:dyDescent="0.25">
      <c r="A118" s="38"/>
      <c r="B118" s="27"/>
      <c r="C118" s="27"/>
      <c r="D118" s="33"/>
      <c r="E118" s="33"/>
      <c r="F118" s="39"/>
      <c r="G118" s="27"/>
      <c r="H118" s="35"/>
      <c r="I118" s="30">
        <f t="shared" si="0"/>
      </c>
      <c r="J118" s="32">
        <f t="shared" si="1"/>
      </c>
    </row>
    <row r="119" spans="1:10" x14ac:dyDescent="0.25">
      <c r="A119" s="38"/>
      <c r="B119" s="27"/>
      <c r="C119" s="27"/>
      <c r="D119" s="33"/>
      <c r="E119" s="33"/>
      <c r="F119" s="39"/>
      <c r="G119" s="27"/>
      <c r="H119" s="35"/>
      <c r="I119" s="30">
        <f t="shared" si="0"/>
      </c>
      <c r="J119" s="32">
        <f t="shared" si="1"/>
      </c>
    </row>
    <row r="120" spans="1:10" x14ac:dyDescent="0.25">
      <c r="A120" s="38"/>
      <c r="B120" s="27"/>
      <c r="C120" s="27"/>
      <c r="D120" s="33"/>
      <c r="E120" s="33"/>
      <c r="F120" s="39"/>
      <c r="G120" s="27"/>
      <c r="H120" s="35"/>
      <c r="I120" s="30">
        <f t="shared" si="0"/>
      </c>
      <c r="J120" s="32">
        <f t="shared" si="1"/>
      </c>
    </row>
    <row r="121" spans="1:10" x14ac:dyDescent="0.25">
      <c r="A121" s="38"/>
      <c r="B121" s="27"/>
      <c r="C121" s="27"/>
      <c r="D121" s="33"/>
      <c r="E121" s="33"/>
      <c r="F121" s="39"/>
      <c r="G121" s="27"/>
      <c r="H121" s="35"/>
      <c r="I121" s="30">
        <f t="shared" si="0"/>
      </c>
      <c r="J121" s="32">
        <f t="shared" si="1"/>
      </c>
    </row>
    <row r="122" spans="1:10" x14ac:dyDescent="0.25">
      <c r="A122" s="38"/>
      <c r="B122" s="27"/>
      <c r="C122" s="27"/>
      <c r="D122" s="33"/>
      <c r="E122" s="33"/>
      <c r="F122" s="39"/>
      <c r="G122" s="27"/>
      <c r="H122" s="35"/>
      <c r="I122" s="30">
        <f t="shared" si="0"/>
      </c>
      <c r="J122" s="32">
        <f t="shared" si="1"/>
      </c>
    </row>
    <row r="123" spans="1:10" x14ac:dyDescent="0.25">
      <c r="A123" s="38"/>
      <c r="B123" s="27"/>
      <c r="C123" s="27"/>
      <c r="D123" s="33"/>
      <c r="E123" s="33"/>
      <c r="F123" s="39"/>
      <c r="G123" s="27"/>
      <c r="H123" s="35"/>
      <c r="I123" s="30">
        <f t="shared" si="0"/>
      </c>
      <c r="J123" s="32">
        <f t="shared" si="1"/>
      </c>
    </row>
    <row r="124" spans="1:10" x14ac:dyDescent="0.25">
      <c r="A124" s="38"/>
      <c r="B124" s="27"/>
      <c r="C124" s="27"/>
      <c r="D124" s="33"/>
      <c r="E124" s="33"/>
      <c r="F124" s="39"/>
      <c r="G124" s="27"/>
      <c r="H124" s="35"/>
      <c r="I124" s="30">
        <f t="shared" si="0"/>
      </c>
      <c r="J124" s="32">
        <f t="shared" si="1"/>
      </c>
    </row>
    <row r="125" spans="1:10" x14ac:dyDescent="0.25">
      <c r="A125" s="38"/>
      <c r="B125" s="27"/>
      <c r="C125" s="27"/>
      <c r="D125" s="33"/>
      <c r="E125" s="33"/>
      <c r="F125" s="39"/>
      <c r="G125" s="27"/>
      <c r="H125" s="35"/>
      <c r="I125" s="30">
        <f t="shared" si="0"/>
      </c>
      <c r="J125" s="32">
        <f t="shared" si="1"/>
      </c>
    </row>
    <row r="126" spans="1:10" x14ac:dyDescent="0.25">
      <c r="A126" s="38"/>
      <c r="B126" s="27"/>
      <c r="C126" s="27"/>
      <c r="D126" s="33"/>
      <c r="E126" s="33"/>
      <c r="F126" s="39"/>
      <c r="G126" s="27"/>
      <c r="H126" s="35"/>
      <c r="I126" s="30">
        <f t="shared" si="0"/>
      </c>
      <c r="J126" s="32">
        <f t="shared" si="1"/>
      </c>
    </row>
    <row r="127" spans="1:10" x14ac:dyDescent="0.25">
      <c r="A127" s="38"/>
      <c r="B127" s="27"/>
      <c r="C127" s="27"/>
      <c r="D127" s="33"/>
      <c r="E127" s="33"/>
      <c r="F127" s="39"/>
      <c r="G127" s="27"/>
      <c r="H127" s="35"/>
      <c r="I127" s="30">
        <f t="shared" si="0"/>
      </c>
      <c r="J127" s="32">
        <f t="shared" si="1"/>
      </c>
    </row>
    <row r="128" spans="1:10" x14ac:dyDescent="0.25">
      <c r="A128" s="38"/>
      <c r="B128" s="27"/>
      <c r="C128" s="27"/>
      <c r="D128" s="33"/>
      <c r="E128" s="33"/>
      <c r="F128" s="39"/>
      <c r="G128" s="27"/>
      <c r="H128" s="35"/>
      <c r="I128" s="30">
        <f t="shared" si="0"/>
      </c>
      <c r="J128" s="32">
        <f t="shared" si="1"/>
      </c>
    </row>
    <row r="129" spans="1:10" x14ac:dyDescent="0.25">
      <c r="A129" s="38"/>
      <c r="B129" s="27"/>
      <c r="C129" s="27"/>
      <c r="D129" s="33"/>
      <c r="E129" s="33"/>
      <c r="F129" s="39"/>
      <c r="G129" s="27"/>
      <c r="H129" s="35"/>
      <c r="I129" s="30">
        <f t="shared" si="0"/>
      </c>
      <c r="J129" s="32">
        <f t="shared" si="1"/>
      </c>
    </row>
    <row r="130" spans="1:10" x14ac:dyDescent="0.25">
      <c r="A130" s="38"/>
      <c r="B130" s="27"/>
      <c r="C130" s="27"/>
      <c r="D130" s="33"/>
      <c r="E130" s="33"/>
      <c r="F130" s="39"/>
      <c r="G130" s="27"/>
      <c r="H130" s="35"/>
      <c r="I130" s="30">
        <f t="shared" si="0"/>
      </c>
      <c r="J130" s="32">
        <f t="shared" si="1"/>
      </c>
    </row>
    <row r="131" spans="1:10" x14ac:dyDescent="0.25">
      <c r="A131" s="38"/>
      <c r="B131" s="27"/>
      <c r="C131" s="27"/>
      <c r="D131" s="33"/>
      <c r="E131" s="33"/>
      <c r="F131" s="39"/>
      <c r="G131" s="27"/>
      <c r="H131" s="35"/>
      <c r="I131" s="30">
        <f t="shared" si="0"/>
      </c>
      <c r="J131" s="32">
        <f t="shared" si="1"/>
      </c>
    </row>
    <row r="132" spans="1:10" x14ac:dyDescent="0.25">
      <c r="A132" s="38"/>
      <c r="B132" s="27"/>
      <c r="C132" s="27"/>
      <c r="D132" s="33"/>
      <c r="E132" s="33"/>
      <c r="F132" s="39"/>
      <c r="G132" s="27"/>
      <c r="H132" s="35"/>
      <c r="I132" s="30">
        <f t="shared" si="0"/>
      </c>
      <c r="J132" s="32">
        <f t="shared" si="1"/>
      </c>
    </row>
    <row r="133" spans="1:10" x14ac:dyDescent="0.25">
      <c r="A133" s="38"/>
      <c r="B133" s="27"/>
      <c r="C133" s="27"/>
      <c r="D133" s="33"/>
      <c r="E133" s="33"/>
      <c r="F133" s="39"/>
      <c r="G133" s="27"/>
      <c r="H133" s="35"/>
      <c r="I133" s="30">
        <f t="shared" si="0"/>
      </c>
      <c r="J133" s="32">
        <f t="shared" si="1"/>
      </c>
    </row>
    <row r="134" spans="1:10" x14ac:dyDescent="0.25">
      <c r="A134" s="38"/>
      <c r="B134" s="27"/>
      <c r="C134" s="27"/>
      <c r="D134" s="33"/>
      <c r="E134" s="33"/>
      <c r="F134" s="39"/>
      <c r="G134" s="27"/>
      <c r="H134" s="35"/>
      <c r="I134" s="30">
        <f t="shared" si="0"/>
      </c>
      <c r="J134" s="32">
        <f t="shared" si="1"/>
      </c>
    </row>
    <row r="135" spans="1:10" x14ac:dyDescent="0.25">
      <c r="A135" s="38"/>
      <c r="B135" s="27"/>
      <c r="C135" s="27"/>
      <c r="D135" s="33"/>
      <c r="E135" s="33"/>
      <c r="F135" s="39"/>
      <c r="G135" s="27"/>
      <c r="H135" s="35"/>
      <c r="I135" s="30">
        <f t="shared" si="0"/>
      </c>
      <c r="J135" s="32">
        <f t="shared" si="1"/>
      </c>
    </row>
    <row r="136" spans="1:10" x14ac:dyDescent="0.25">
      <c r="A136" s="38"/>
      <c r="B136" s="27"/>
      <c r="C136" s="27"/>
      <c r="D136" s="33"/>
      <c r="E136" s="33"/>
      <c r="F136" s="39"/>
      <c r="G136" s="27"/>
      <c r="H136" s="35"/>
      <c r="I136" s="30">
        <f t="shared" si="0"/>
      </c>
      <c r="J136" s="32">
        <f t="shared" si="1"/>
      </c>
    </row>
    <row r="137" spans="1:10" x14ac:dyDescent="0.25">
      <c r="A137" s="38"/>
      <c r="B137" s="27"/>
      <c r="C137" s="27"/>
      <c r="D137" s="33"/>
      <c r="E137" s="33"/>
      <c r="F137" s="39"/>
      <c r="G137" s="27"/>
      <c r="H137" s="35"/>
      <c r="I137" s="30">
        <f t="shared" si="0"/>
      </c>
      <c r="J137" s="32">
        <f t="shared" si="1"/>
      </c>
    </row>
    <row r="138" spans="1:10" x14ac:dyDescent="0.25">
      <c r="A138" s="38"/>
      <c r="B138" s="27"/>
      <c r="C138" s="27"/>
      <c r="D138" s="33"/>
      <c r="E138" s="33"/>
      <c r="F138" s="39"/>
      <c r="G138" s="27"/>
      <c r="H138" s="35"/>
      <c r="I138" s="30">
        <f t="shared" si="0"/>
      </c>
      <c r="J138" s="32">
        <f t="shared" si="1"/>
      </c>
    </row>
    <row r="139" spans="1:10" x14ac:dyDescent="0.25">
      <c r="A139" s="38"/>
      <c r="B139" s="27"/>
      <c r="C139" s="27"/>
      <c r="D139" s="33"/>
      <c r="E139" s="33"/>
      <c r="F139" s="39"/>
      <c r="G139" s="27"/>
      <c r="H139" s="35"/>
      <c r="I139" s="30">
        <f t="shared" si="0"/>
      </c>
      <c r="J139" s="32">
        <f t="shared" si="1"/>
      </c>
    </row>
    <row r="140" spans="1:10" x14ac:dyDescent="0.25">
      <c r="A140" s="38"/>
      <c r="B140" s="27"/>
      <c r="C140" s="27"/>
      <c r="D140" s="33"/>
      <c r="E140" s="33"/>
      <c r="F140" s="39"/>
      <c r="G140" s="27"/>
      <c r="H140" s="35"/>
      <c r="I140" s="30">
        <f t="shared" si="0"/>
      </c>
      <c r="J140" s="32">
        <f t="shared" si="1"/>
      </c>
    </row>
    <row r="141" spans="1:10" x14ac:dyDescent="0.25">
      <c r="A141" s="38"/>
      <c r="B141" s="27"/>
      <c r="C141" s="27"/>
      <c r="D141" s="33"/>
      <c r="E141" s="33"/>
      <c r="F141" s="39"/>
      <c r="G141" s="27"/>
      <c r="H141" s="35"/>
      <c r="I141" s="30">
        <f t="shared" si="0"/>
      </c>
      <c r="J141" s="32">
        <f t="shared" si="1"/>
      </c>
    </row>
    <row r="142" spans="1:10" x14ac:dyDescent="0.25">
      <c r="A142" s="38"/>
      <c r="B142" s="27"/>
      <c r="C142" s="27"/>
      <c r="D142" s="33"/>
      <c r="E142" s="33"/>
      <c r="F142" s="39"/>
      <c r="G142" s="27"/>
      <c r="H142" s="35"/>
      <c r="I142" s="30">
        <f t="shared" si="0"/>
      </c>
      <c r="J142" s="32">
        <f t="shared" si="1"/>
      </c>
    </row>
    <row r="143" spans="1:10" x14ac:dyDescent="0.25">
      <c r="A143" s="38"/>
      <c r="B143" s="27"/>
      <c r="C143" s="27"/>
      <c r="D143" s="33"/>
      <c r="E143" s="33"/>
      <c r="F143" s="39"/>
      <c r="G143" s="27"/>
      <c r="H143" s="35"/>
      <c r="I143" s="30">
        <f t="shared" si="0"/>
      </c>
      <c r="J143" s="32">
        <f t="shared" si="1"/>
      </c>
    </row>
    <row r="144" spans="1:10" x14ac:dyDescent="0.25">
      <c r="A144" s="38"/>
      <c r="B144" s="27"/>
      <c r="C144" s="27"/>
      <c r="D144" s="33"/>
      <c r="E144" s="33"/>
      <c r="F144" s="39"/>
      <c r="G144" s="27"/>
      <c r="H144" s="35"/>
      <c r="I144" s="30">
        <f t="shared" si="0"/>
      </c>
      <c r="J144" s="32">
        <f t="shared" si="1"/>
      </c>
    </row>
    <row r="145" spans="1:10" x14ac:dyDescent="0.25">
      <c r="A145" s="38"/>
      <c r="B145" s="27"/>
      <c r="C145" s="27"/>
      <c r="D145" s="33"/>
      <c r="E145" s="33"/>
      <c r="F145" s="39"/>
      <c r="G145" s="27"/>
      <c r="H145" s="35"/>
      <c r="I145" s="30">
        <f t="shared" si="0"/>
      </c>
      <c r="J145" s="32">
        <f t="shared" si="1"/>
      </c>
    </row>
    <row r="146" spans="1:10" x14ac:dyDescent="0.25">
      <c r="A146" s="38"/>
      <c r="B146" s="27"/>
      <c r="C146" s="27"/>
      <c r="D146" s="33"/>
      <c r="E146" s="33"/>
      <c r="F146" s="39"/>
      <c r="G146" s="27"/>
      <c r="H146" s="35"/>
      <c r="I146" s="30">
        <f t="shared" si="0"/>
      </c>
      <c r="J146" s="32">
        <f t="shared" si="1"/>
      </c>
    </row>
    <row r="147" spans="1:10" x14ac:dyDescent="0.25">
      <c r="A147" s="38"/>
      <c r="B147" s="27"/>
      <c r="C147" s="27"/>
      <c r="D147" s="33"/>
      <c r="E147" s="33"/>
      <c r="F147" s="39"/>
      <c r="G147" s="27"/>
      <c r="H147" s="35"/>
      <c r="I147" s="30">
        <f t="shared" si="0"/>
      </c>
      <c r="J147" s="32">
        <f t="shared" si="1"/>
      </c>
    </row>
    <row r="148" spans="1:10" x14ac:dyDescent="0.25">
      <c r="A148" s="38"/>
      <c r="B148" s="27"/>
      <c r="C148" s="27"/>
      <c r="D148" s="33"/>
      <c r="E148" s="33"/>
      <c r="F148" s="39"/>
      <c r="G148" s="27"/>
      <c r="H148" s="35"/>
      <c r="I148" s="30">
        <f t="shared" si="0"/>
      </c>
      <c r="J148" s="32">
        <f t="shared" si="1"/>
      </c>
    </row>
    <row r="149" spans="1:10" x14ac:dyDescent="0.25">
      <c r="A149" s="38"/>
      <c r="B149" s="27"/>
      <c r="C149" s="27"/>
      <c r="D149" s="33"/>
      <c r="E149" s="33"/>
      <c r="F149" s="39"/>
      <c r="G149" s="27"/>
      <c r="H149" s="35"/>
      <c r="I149" s="30">
        <f t="shared" si="0"/>
      </c>
      <c r="J149" s="32">
        <f t="shared" si="1"/>
      </c>
    </row>
    <row r="150" spans="1:10" x14ac:dyDescent="0.25">
      <c r="A150" s="38"/>
      <c r="B150" s="27"/>
      <c r="C150" s="27"/>
      <c r="D150" s="33"/>
      <c r="E150" s="33"/>
      <c r="F150" s="39"/>
      <c r="G150" s="27"/>
      <c r="H150" s="35"/>
      <c r="I150" s="30">
        <f t="shared" si="0"/>
      </c>
      <c r="J150" s="32">
        <f t="shared" si="1"/>
      </c>
    </row>
    <row r="151" spans="1:10" x14ac:dyDescent="0.25">
      <c r="A151" s="38"/>
      <c r="B151" s="27"/>
      <c r="C151" s="27"/>
      <c r="D151" s="33"/>
      <c r="E151" s="33"/>
      <c r="F151" s="39"/>
      <c r="G151" s="27"/>
      <c r="H151" s="35"/>
      <c r="I151" s="30">
        <f t="shared" si="0"/>
      </c>
      <c r="J151" s="32">
        <f t="shared" si="1"/>
      </c>
    </row>
    <row r="152" spans="1:10" x14ac:dyDescent="0.25">
      <c r="A152" s="38"/>
      <c r="B152" s="27"/>
      <c r="C152" s="27"/>
      <c r="D152" s="33"/>
      <c r="E152" s="33"/>
      <c r="F152" s="39"/>
      <c r="G152" s="27"/>
      <c r="H152" s="35"/>
      <c r="I152" s="30">
        <f t="shared" si="0"/>
      </c>
      <c r="J152" s="32">
        <f t="shared" si="1"/>
      </c>
    </row>
    <row r="153" spans="1:10" x14ac:dyDescent="0.25">
      <c r="A153" s="38"/>
      <c r="B153" s="27"/>
      <c r="C153" s="27"/>
      <c r="D153" s="33"/>
      <c r="E153" s="33"/>
      <c r="F153" s="39"/>
      <c r="G153" s="27"/>
      <c r="H153" s="35"/>
      <c r="I153" s="30">
        <f t="shared" si="0"/>
      </c>
      <c r="J153" s="32">
        <f t="shared" si="1"/>
      </c>
    </row>
    <row r="154" spans="1:10" x14ac:dyDescent="0.25">
      <c r="A154" s="38"/>
      <c r="B154" s="27"/>
      <c r="C154" s="27"/>
      <c r="D154" s="33"/>
      <c r="E154" s="33"/>
      <c r="F154" s="39"/>
      <c r="G154" s="27"/>
      <c r="H154" s="35"/>
      <c r="I154" s="30">
        <f t="shared" si="0"/>
      </c>
      <c r="J154" s="32">
        <f t="shared" si="1"/>
      </c>
    </row>
    <row r="155" spans="1:10" x14ac:dyDescent="0.25">
      <c r="A155" s="38"/>
      <c r="B155" s="27"/>
      <c r="C155" s="27"/>
      <c r="D155" s="33"/>
      <c r="E155" s="33"/>
      <c r="F155" s="39"/>
      <c r="G155" s="27"/>
      <c r="H155" s="35"/>
      <c r="I155" s="30">
        <f t="shared" si="0"/>
      </c>
      <c r="J155" s="32">
        <f t="shared" si="1"/>
      </c>
    </row>
    <row r="156" spans="1:10" x14ac:dyDescent="0.25">
      <c r="A156" s="38"/>
      <c r="B156" s="27"/>
      <c r="C156" s="27"/>
      <c r="D156" s="33"/>
      <c r="E156" s="33"/>
      <c r="F156" s="39"/>
      <c r="G156" s="27"/>
      <c r="H156" s="35"/>
      <c r="I156" s="30">
        <f t="shared" si="0"/>
      </c>
      <c r="J156" s="32">
        <f t="shared" si="1"/>
      </c>
    </row>
    <row r="157" spans="1:10" x14ac:dyDescent="0.25">
      <c r="A157" s="38"/>
      <c r="B157" s="27"/>
      <c r="C157" s="27"/>
      <c r="D157" s="33"/>
      <c r="E157" s="33"/>
      <c r="F157" s="39"/>
      <c r="G157" s="27"/>
      <c r="H157" s="35"/>
      <c r="I157" s="30">
        <f t="shared" si="0"/>
      </c>
      <c r="J157" s="32">
        <f t="shared" si="1"/>
      </c>
    </row>
    <row r="158" spans="1:10" x14ac:dyDescent="0.25">
      <c r="A158" s="38"/>
      <c r="B158" s="27"/>
      <c r="C158" s="27"/>
      <c r="D158" s="33"/>
      <c r="E158" s="33"/>
      <c r="F158" s="39"/>
      <c r="G158" s="27"/>
      <c r="H158" s="35"/>
      <c r="I158" s="30">
        <f t="shared" si="0"/>
      </c>
      <c r="J158" s="32">
        <f t="shared" si="1"/>
      </c>
    </row>
    <row r="159" spans="1:10" x14ac:dyDescent="0.25">
      <c r="A159" s="38"/>
      <c r="B159" s="27"/>
      <c r="C159" s="27"/>
      <c r="D159" s="33"/>
      <c r="E159" s="33"/>
      <c r="F159" s="39"/>
      <c r="G159" s="27"/>
      <c r="H159" s="35"/>
      <c r="I159" s="30">
        <f t="shared" si="0"/>
      </c>
      <c r="J159" s="32">
        <f t="shared" si="1"/>
      </c>
    </row>
    <row r="160" spans="1:10" x14ac:dyDescent="0.25">
      <c r="A160" s="38"/>
      <c r="B160" s="27"/>
      <c r="C160" s="27"/>
      <c r="D160" s="33"/>
      <c r="E160" s="33"/>
      <c r="F160" s="39"/>
      <c r="G160" s="27"/>
      <c r="H160" s="35"/>
      <c r="I160" s="30">
        <f t="shared" si="0"/>
      </c>
      <c r="J160" s="32">
        <f t="shared" si="1"/>
      </c>
    </row>
    <row r="161" spans="1:10" x14ac:dyDescent="0.25">
      <c r="A161" s="38"/>
      <c r="B161" s="27"/>
      <c r="C161" s="27"/>
      <c r="D161" s="33"/>
      <c r="E161" s="33"/>
      <c r="F161" s="39"/>
      <c r="G161" s="27"/>
      <c r="H161" s="35"/>
      <c r="I161" s="30">
        <f t="shared" si="0"/>
      </c>
      <c r="J161" s="32">
        <f t="shared" si="1"/>
      </c>
    </row>
    <row r="162" spans="1:10" x14ac:dyDescent="0.25">
      <c r="A162" s="38"/>
      <c r="B162" s="27"/>
      <c r="C162" s="27"/>
      <c r="D162" s="33"/>
      <c r="E162" s="33"/>
      <c r="F162" s="39"/>
      <c r="G162" s="27"/>
      <c r="H162" s="35"/>
      <c r="I162" s="30">
        <f t="shared" si="0"/>
      </c>
      <c r="J162" s="32">
        <f t="shared" si="1"/>
      </c>
    </row>
    <row r="163" spans="1:10" x14ac:dyDescent="0.25">
      <c r="A163" s="38"/>
      <c r="B163" s="27"/>
      <c r="C163" s="27"/>
      <c r="D163" s="33"/>
      <c r="E163" s="33"/>
      <c r="F163" s="39"/>
      <c r="G163" s="27"/>
      <c r="H163" s="35"/>
      <c r="I163" s="30">
        <f t="shared" si="0"/>
      </c>
      <c r="J163" s="32">
        <f t="shared" si="1"/>
      </c>
    </row>
    <row r="164" spans="1:10" x14ac:dyDescent="0.25">
      <c r="A164" s="38"/>
      <c r="B164" s="27"/>
      <c r="C164" s="27"/>
      <c r="D164" s="33"/>
      <c r="E164" s="33"/>
      <c r="F164" s="39"/>
      <c r="G164" s="27"/>
      <c r="H164" s="35"/>
      <c r="I164" s="30">
        <f t="shared" si="0"/>
      </c>
      <c r="J164" s="32">
        <f t="shared" si="1"/>
      </c>
    </row>
    <row r="165" spans="1:10" x14ac:dyDescent="0.25">
      <c r="A165" s="38"/>
      <c r="B165" s="27"/>
      <c r="C165" s="27"/>
      <c r="D165" s="33"/>
      <c r="E165" s="33"/>
      <c r="F165" s="39"/>
      <c r="G165" s="27"/>
      <c r="H165" s="35"/>
      <c r="I165" s="30">
        <f t="shared" si="0"/>
      </c>
      <c r="J165" s="32">
        <f t="shared" si="1"/>
      </c>
    </row>
    <row r="166" spans="1:10" x14ac:dyDescent="0.25">
      <c r="A166" s="38"/>
      <c r="B166" s="27"/>
      <c r="C166" s="27"/>
      <c r="D166" s="33"/>
      <c r="E166" s="33"/>
      <c r="F166" s="39"/>
      <c r="G166" s="27"/>
      <c r="H166" s="35"/>
      <c r="I166" s="30">
        <f t="shared" si="0"/>
      </c>
      <c r="J166" s="32">
        <f t="shared" si="1"/>
      </c>
    </row>
    <row r="167" spans="1:10" x14ac:dyDescent="0.25">
      <c r="A167" s="38"/>
      <c r="B167" s="27"/>
      <c r="C167" s="27"/>
      <c r="D167" s="33"/>
      <c r="E167" s="33"/>
      <c r="F167" s="39"/>
      <c r="G167" s="27"/>
      <c r="H167" s="35"/>
      <c r="I167" s="30">
        <f t="shared" si="0"/>
      </c>
      <c r="J167" s="32">
        <f t="shared" si="1"/>
      </c>
    </row>
    <row r="168" spans="1:10" x14ac:dyDescent="0.25">
      <c r="A168" s="38"/>
      <c r="B168" s="27"/>
      <c r="C168" s="27"/>
      <c r="D168" s="33"/>
      <c r="E168" s="33"/>
      <c r="F168" s="39"/>
      <c r="G168" s="27"/>
      <c r="H168" s="35"/>
      <c r="I168" s="30">
        <f t="shared" si="0"/>
      </c>
      <c r="J168" s="32">
        <f t="shared" si="1"/>
      </c>
    </row>
    <row r="169" spans="1:10" x14ac:dyDescent="0.25">
      <c r="A169" s="38"/>
      <c r="B169" s="27"/>
      <c r="C169" s="27"/>
      <c r="D169" s="33"/>
      <c r="E169" s="33"/>
      <c r="F169" s="39"/>
      <c r="G169" s="27"/>
      <c r="H169" s="35"/>
      <c r="I169" s="30">
        <f t="shared" si="0"/>
      </c>
      <c r="J169" s="32">
        <f t="shared" si="1"/>
      </c>
    </row>
    <row r="170" spans="1:10" x14ac:dyDescent="0.25">
      <c r="A170" s="38"/>
      <c r="B170" s="27"/>
      <c r="C170" s="27"/>
      <c r="D170" s="33"/>
      <c r="E170" s="33"/>
      <c r="F170" s="39"/>
      <c r="G170" s="27"/>
      <c r="H170" s="35"/>
      <c r="I170" s="30">
        <f t="shared" si="0"/>
      </c>
      <c r="J170" s="32">
        <f t="shared" si="1"/>
      </c>
    </row>
    <row r="171" spans="1:10" x14ac:dyDescent="0.25">
      <c r="A171" s="38"/>
      <c r="B171" s="27"/>
      <c r="C171" s="27"/>
      <c r="D171" s="33"/>
      <c r="E171" s="33"/>
      <c r="F171" s="39"/>
      <c r="G171" s="27"/>
      <c r="H171" s="35"/>
      <c r="I171" s="30">
        <f t="shared" si="0"/>
      </c>
      <c r="J171" s="32">
        <f t="shared" si="1"/>
      </c>
    </row>
    <row r="172" spans="1:10" x14ac:dyDescent="0.25">
      <c r="A172" s="38"/>
      <c r="B172" s="27"/>
      <c r="C172" s="27"/>
      <c r="D172" s="33"/>
      <c r="E172" s="33"/>
      <c r="F172" s="39"/>
      <c r="G172" s="27"/>
      <c r="H172" s="35"/>
      <c r="I172" s="30">
        <f t="shared" si="0"/>
      </c>
      <c r="J172" s="32">
        <f t="shared" si="1"/>
      </c>
    </row>
    <row r="173" spans="1:10" x14ac:dyDescent="0.25">
      <c r="A173" s="38"/>
      <c r="B173" s="27"/>
      <c r="C173" s="27"/>
      <c r="D173" s="33"/>
      <c r="E173" s="33"/>
      <c r="F173" s="39"/>
      <c r="G173" s="27"/>
      <c r="H173" s="35"/>
      <c r="I173" s="30">
        <f t="shared" si="0"/>
      </c>
      <c r="J173" s="32">
        <f t="shared" si="1"/>
      </c>
    </row>
    <row r="174" spans="1:10" x14ac:dyDescent="0.25">
      <c r="A174" s="38"/>
      <c r="B174" s="27"/>
      <c r="C174" s="27"/>
      <c r="D174" s="33"/>
      <c r="E174" s="33"/>
      <c r="F174" s="39"/>
      <c r="G174" s="27"/>
      <c r="H174" s="35"/>
      <c r="I174" s="30">
        <f t="shared" si="0"/>
      </c>
      <c r="J174" s="32">
        <f t="shared" si="1"/>
      </c>
    </row>
    <row r="175" spans="1:10" x14ac:dyDescent="0.25">
      <c r="A175" s="38"/>
      <c r="B175" s="27"/>
      <c r="C175" s="27"/>
      <c r="D175" s="33"/>
      <c r="E175" s="33"/>
      <c r="F175" s="39"/>
      <c r="G175" s="27"/>
      <c r="H175" s="35"/>
      <c r="I175" s="30">
        <f t="shared" si="0"/>
      </c>
      <c r="J175" s="32">
        <f t="shared" si="1"/>
      </c>
    </row>
    <row r="176" spans="1:10" x14ac:dyDescent="0.25">
      <c r="A176" s="38"/>
      <c r="B176" s="27"/>
      <c r="C176" s="27"/>
      <c r="D176" s="33"/>
      <c r="E176" s="33"/>
      <c r="F176" s="39"/>
      <c r="G176" s="27"/>
      <c r="H176" s="35"/>
      <c r="I176" s="30">
        <f t="shared" si="0"/>
      </c>
      <c r="J176" s="32">
        <f t="shared" si="1"/>
      </c>
    </row>
    <row r="177" spans="1:10" x14ac:dyDescent="0.25">
      <c r="A177" s="38"/>
      <c r="B177" s="27"/>
      <c r="C177" s="27"/>
      <c r="D177" s="33"/>
      <c r="E177" s="33"/>
      <c r="F177" s="39"/>
      <c r="G177" s="27"/>
      <c r="H177" s="35"/>
      <c r="I177" s="30">
        <f t="shared" si="0"/>
      </c>
      <c r="J177" s="32">
        <f t="shared" si="1"/>
      </c>
    </row>
    <row r="178" spans="1:10" x14ac:dyDescent="0.25">
      <c r="A178" s="38"/>
      <c r="B178" s="27"/>
      <c r="C178" s="27"/>
      <c r="D178" s="33"/>
      <c r="E178" s="33"/>
      <c r="F178" s="39"/>
      <c r="G178" s="27"/>
      <c r="H178" s="35"/>
      <c r="I178" s="30">
        <f t="shared" si="0"/>
      </c>
      <c r="J178" s="32">
        <f t="shared" si="1"/>
      </c>
    </row>
    <row r="179" spans="1:10" x14ac:dyDescent="0.25">
      <c r="A179" s="38"/>
      <c r="B179" s="27"/>
      <c r="C179" s="27"/>
      <c r="D179" s="33"/>
      <c r="E179" s="33"/>
      <c r="F179" s="39"/>
      <c r="G179" s="27"/>
      <c r="H179" s="35"/>
      <c r="I179" s="30">
        <f t="shared" si="0"/>
      </c>
      <c r="J179" s="32">
        <f t="shared" si="1"/>
      </c>
    </row>
    <row r="180" spans="1:10" x14ac:dyDescent="0.25">
      <c r="A180" s="38"/>
      <c r="B180" s="27"/>
      <c r="C180" s="27"/>
      <c r="D180" s="33"/>
      <c r="E180" s="33"/>
      <c r="F180" s="39"/>
      <c r="G180" s="27"/>
      <c r="H180" s="35"/>
      <c r="I180" s="30">
        <f t="shared" si="0"/>
      </c>
      <c r="J180" s="32">
        <f t="shared" si="1"/>
      </c>
    </row>
    <row r="181" spans="1:10" x14ac:dyDescent="0.25">
      <c r="A181" s="38"/>
      <c r="B181" s="27"/>
      <c r="C181" s="27"/>
      <c r="D181" s="33"/>
      <c r="E181" s="33"/>
      <c r="F181" s="39"/>
      <c r="G181" s="27"/>
      <c r="H181" s="35"/>
      <c r="I181" s="30">
        <f t="shared" si="0"/>
      </c>
      <c r="J181" s="32">
        <f t="shared" si="1"/>
      </c>
    </row>
    <row r="182" spans="1:10" x14ac:dyDescent="0.25">
      <c r="A182" s="38"/>
      <c r="B182" s="27"/>
      <c r="C182" s="27"/>
      <c r="D182" s="33"/>
      <c r="E182" s="33"/>
      <c r="F182" s="39"/>
      <c r="G182" s="27"/>
      <c r="H182" s="35"/>
      <c r="I182" s="30">
        <f t="shared" si="0"/>
      </c>
      <c r="J182" s="32">
        <f t="shared" si="1"/>
      </c>
    </row>
    <row r="183" spans="1:10" x14ac:dyDescent="0.25">
      <c r="A183" s="38"/>
      <c r="B183" s="27"/>
      <c r="C183" s="27"/>
      <c r="D183" s="33"/>
      <c r="E183" s="33"/>
      <c r="F183" s="39"/>
      <c r="G183" s="27"/>
      <c r="H183" s="35"/>
      <c r="I183" s="30">
        <f t="shared" si="0"/>
      </c>
      <c r="J183" s="32">
        <f t="shared" si="1"/>
      </c>
    </row>
    <row r="184" spans="1:10" x14ac:dyDescent="0.25">
      <c r="A184" s="38"/>
      <c r="B184" s="27"/>
      <c r="C184" s="27"/>
      <c r="D184" s="33"/>
      <c r="E184" s="33"/>
      <c r="F184" s="39"/>
      <c r="G184" s="27"/>
      <c r="H184" s="35"/>
      <c r="I184" s="30">
        <f t="shared" si="0"/>
      </c>
      <c r="J184" s="32">
        <f t="shared" si="1"/>
      </c>
    </row>
    <row r="185" spans="1:10" x14ac:dyDescent="0.25">
      <c r="A185" s="38"/>
      <c r="B185" s="27"/>
      <c r="C185" s="27"/>
      <c r="D185" s="33"/>
      <c r="E185" s="33"/>
      <c r="F185" s="39"/>
      <c r="G185" s="27"/>
      <c r="H185" s="35"/>
      <c r="I185" s="30">
        <f t="shared" si="0"/>
      </c>
      <c r="J185" s="32">
        <f t="shared" si="1"/>
      </c>
    </row>
    <row r="186" spans="1:10" x14ac:dyDescent="0.25">
      <c r="A186" s="38"/>
      <c r="B186" s="27"/>
      <c r="C186" s="27"/>
      <c r="D186" s="33"/>
      <c r="E186" s="33"/>
      <c r="F186" s="39"/>
      <c r="G186" s="27"/>
      <c r="H186" s="35"/>
      <c r="I186" s="30">
        <f t="shared" si="0"/>
      </c>
      <c r="J186" s="32">
        <f t="shared" si="1"/>
      </c>
    </row>
    <row r="187" spans="1:10" x14ac:dyDescent="0.25">
      <c r="A187" s="38"/>
      <c r="B187" s="27"/>
      <c r="C187" s="27"/>
      <c r="D187" s="33"/>
      <c r="E187" s="33"/>
      <c r="F187" s="39"/>
      <c r="G187" s="27"/>
      <c r="H187" s="35"/>
      <c r="I187" s="30">
        <f t="shared" si="0"/>
      </c>
      <c r="J187" s="32">
        <f t="shared" si="1"/>
      </c>
    </row>
    <row r="188" spans="1:10" x14ac:dyDescent="0.25">
      <c r="A188" s="38"/>
      <c r="B188" s="27"/>
      <c r="C188" s="27"/>
      <c r="D188" s="33"/>
      <c r="E188" s="33"/>
      <c r="F188" s="39"/>
      <c r="G188" s="27"/>
      <c r="H188" s="35"/>
      <c r="I188" s="30">
        <f t="shared" si="0"/>
      </c>
      <c r="J188" s="32">
        <f t="shared" si="1"/>
      </c>
    </row>
    <row r="189" spans="1:10" x14ac:dyDescent="0.25">
      <c r="A189" s="38"/>
      <c r="B189" s="27"/>
      <c r="C189" s="27"/>
      <c r="D189" s="33"/>
      <c r="E189" s="33"/>
      <c r="F189" s="39"/>
      <c r="G189" s="27"/>
      <c r="H189" s="35"/>
      <c r="I189" s="30">
        <f t="shared" si="0"/>
      </c>
      <c r="J189" s="32">
        <f t="shared" si="1"/>
      </c>
    </row>
    <row r="190" spans="1:10" x14ac:dyDescent="0.25">
      <c r="A190" s="38"/>
      <c r="B190" s="27"/>
      <c r="C190" s="27"/>
      <c r="D190" s="33"/>
      <c r="E190" s="33"/>
      <c r="F190" s="39"/>
      <c r="G190" s="27"/>
      <c r="H190" s="35"/>
      <c r="I190" s="30">
        <f t="shared" si="0"/>
      </c>
      <c r="J190" s="32">
        <f t="shared" si="1"/>
      </c>
    </row>
    <row r="191" spans="1:10" x14ac:dyDescent="0.25">
      <c r="A191" s="38"/>
      <c r="B191" s="27"/>
      <c r="C191" s="27"/>
      <c r="D191" s="33"/>
      <c r="E191" s="33"/>
      <c r="F191" s="39"/>
      <c r="G191" s="27"/>
      <c r="H191" s="35"/>
      <c r="I191" s="30">
        <f t="shared" si="0"/>
      </c>
      <c r="J191" s="32">
        <f t="shared" si="1"/>
      </c>
    </row>
    <row r="192" spans="1:10" x14ac:dyDescent="0.25">
      <c r="A192" s="38"/>
      <c r="B192" s="27"/>
      <c r="C192" s="27"/>
      <c r="D192" s="33"/>
      <c r="E192" s="33"/>
      <c r="F192" s="39"/>
      <c r="G192" s="27"/>
      <c r="H192" s="35"/>
      <c r="I192" s="30">
        <f t="shared" si="0"/>
      </c>
      <c r="J192" s="32">
        <f t="shared" si="1"/>
      </c>
    </row>
    <row r="193" spans="1:10" x14ac:dyDescent="0.25">
      <c r="A193" s="38"/>
      <c r="B193" s="27"/>
      <c r="C193" s="27"/>
      <c r="D193" s="33"/>
      <c r="E193" s="33"/>
      <c r="F193" s="39"/>
      <c r="G193" s="27"/>
      <c r="H193" s="35"/>
      <c r="I193" s="30">
        <f t="shared" si="0"/>
      </c>
      <c r="J193" s="32">
        <f t="shared" si="1"/>
      </c>
    </row>
    <row r="194" spans="1:10" x14ac:dyDescent="0.25">
      <c r="A194" s="38"/>
      <c r="B194" s="27"/>
      <c r="C194" s="27"/>
      <c r="D194" s="33"/>
      <c r="E194" s="33"/>
      <c r="F194" s="39"/>
      <c r="G194" s="27"/>
      <c r="H194" s="35"/>
      <c r="I194" s="30">
        <f t="shared" si="0"/>
      </c>
      <c r="J194" s="32">
        <f t="shared" si="1"/>
      </c>
    </row>
    <row r="195" spans="1:10" x14ac:dyDescent="0.25">
      <c r="A195" s="38"/>
      <c r="B195" s="27"/>
      <c r="C195" s="27"/>
      <c r="D195" s="33"/>
      <c r="E195" s="33"/>
      <c r="F195" s="39"/>
      <c r="G195" s="27"/>
      <c r="H195" s="35"/>
      <c r="I195" s="30">
        <f t="shared" si="0"/>
      </c>
      <c r="J195" s="32">
        <f t="shared" si="1"/>
      </c>
    </row>
    <row r="196" spans="1:10" x14ac:dyDescent="0.25">
      <c r="A196" s="38"/>
      <c r="B196" s="27"/>
      <c r="C196" s="27"/>
      <c r="D196" s="33"/>
      <c r="E196" s="33"/>
      <c r="F196" s="39"/>
      <c r="G196" s="27"/>
      <c r="H196" s="35"/>
      <c r="I196" s="30">
        <f t="shared" si="0"/>
      </c>
      <c r="J196" s="32">
        <f t="shared" si="1"/>
      </c>
    </row>
    <row r="197" spans="1:10" x14ac:dyDescent="0.25">
      <c r="A197" s="38"/>
      <c r="B197" s="27"/>
      <c r="C197" s="27"/>
      <c r="D197" s="33"/>
      <c r="E197" s="33"/>
      <c r="F197" s="39"/>
      <c r="G197" s="27"/>
      <c r="H197" s="35"/>
      <c r="I197" s="30">
        <f t="shared" si="0"/>
      </c>
      <c r="J197" s="32">
        <f t="shared" si="1"/>
      </c>
    </row>
    <row r="198" spans="1:10" x14ac:dyDescent="0.25">
      <c r="A198" s="38"/>
      <c r="B198" s="27"/>
      <c r="C198" s="27"/>
      <c r="D198" s="33"/>
      <c r="E198" s="33"/>
      <c r="F198" s="39"/>
      <c r="G198" s="27"/>
      <c r="H198" s="35"/>
      <c r="I198" s="30">
        <f t="shared" si="0"/>
      </c>
      <c r="J198" s="32">
        <f t="shared" si="1"/>
      </c>
    </row>
    <row r="199" spans="1:10" x14ac:dyDescent="0.25">
      <c r="A199" s="38"/>
      <c r="B199" s="27"/>
      <c r="C199" s="27"/>
      <c r="D199" s="33"/>
      <c r="E199" s="33"/>
      <c r="F199" s="39"/>
      <c r="G199" s="27"/>
      <c r="H199" s="35"/>
      <c r="I199" s="30">
        <f t="shared" si="0"/>
      </c>
      <c r="J199" s="32">
        <f t="shared" si="1"/>
      </c>
    </row>
    <row r="200" spans="1:10" x14ac:dyDescent="0.25">
      <c r="A200" s="38"/>
      <c r="B200" s="27"/>
      <c r="C200" s="27"/>
      <c r="D200" s="33"/>
      <c r="E200" s="33"/>
      <c r="F200" s="39"/>
      <c r="G200" s="27"/>
      <c r="H200" s="35"/>
      <c r="I200" s="30">
        <f t="shared" si="0"/>
      </c>
      <c r="J200" s="32">
        <f t="shared" si="1"/>
      </c>
    </row>
    <row r="201" spans="1:10" x14ac:dyDescent="0.25">
      <c r="A201" s="38"/>
      <c r="B201" s="27"/>
      <c r="C201" s="27"/>
      <c r="D201" s="33"/>
      <c r="E201" s="33"/>
      <c r="F201" s="39"/>
      <c r="G201" s="27"/>
      <c r="H201" s="35"/>
      <c r="I201" s="30">
        <f t="shared" si="0"/>
      </c>
      <c r="J201" s="32">
        <f t="shared" si="1"/>
      </c>
    </row>
    <row r="202" spans="1:10" x14ac:dyDescent="0.25">
      <c r="A202" s="38"/>
      <c r="B202" s="27"/>
      <c r="C202" s="27"/>
      <c r="D202" s="33"/>
      <c r="E202" s="33"/>
      <c r="F202" s="39"/>
      <c r="G202" s="27"/>
      <c r="H202" s="35"/>
      <c r="I202" s="30">
        <f t="shared" si="0"/>
      </c>
      <c r="J202" s="32">
        <f t="shared" si="1"/>
      </c>
    </row>
    <row r="203" spans="1:10" x14ac:dyDescent="0.25">
      <c r="A203" s="38"/>
      <c r="B203" s="27"/>
      <c r="C203" s="27"/>
      <c r="D203" s="33"/>
      <c r="E203" s="33"/>
      <c r="F203" s="39"/>
      <c r="G203" s="27"/>
      <c r="H203" s="35"/>
      <c r="I203" s="30">
        <f t="shared" si="0"/>
      </c>
      <c r="J203" s="32">
        <f t="shared" si="1"/>
      </c>
    </row>
  </sheetData>
  <sheetProtection sheet="1" formatColumns="0" formatRows="0" autoFilter="0"/>
  <autoFilter ref="A3:J203"/>
  <mergeCells count="2">
    <mergeCell ref="A1:B2"/>
    <mergeCell ref="C1:I2"/>
  </mergeCells>
  <conditionalFormatting sqref="I4:I203">
    <cfRule type="expression" dxfId="26" priority="10">
      <formula>I4="Vencido"</formula>
    </cfRule>
    <cfRule type="expression" dxfId="27" priority="11">
      <formula>I4="Vence em 30 dias"</formula>
    </cfRule>
    <cfRule type="expression" dxfId="28" priority="12">
      <formula>I4="Em dia"</formula>
    </cfRule>
    <cfRule type="expression" dxfId="29" priority="13">
      <formula>I4="Válido"</formula>
    </cfRule>
    <cfRule type="expression" dxfId="30" priority="14">
      <formula>I4="Revisão vencida"</formula>
    </cfRule>
    <cfRule type="expression" dxfId="31" priority="15">
      <formula>I4="Avaliação vencida"</formula>
    </cfRule>
    <cfRule type="expression" dxfId="32" priority="16">
      <formula>I4="Sem validade"</formula>
    </cfRule>
  </conditionalFormatting>
  <conditionalFormatting sqref="J4:J203">
    <cfRule type="expression" dxfId="33" priority="1">
      <formula>OR(LEFT(J4,4)="ERRO",LEFT(J4,7)="ATENÇÃO")</formula>
    </cfRule>
    <cfRule type="expression" dxfId="34" priority="2">
      <formula>OR(LEFT(J4,8)="Pendente",LEFT(J4,9)="Verificar",LEFT(J4,9)="Duplicada",LEFT(J4,7)="Tarefa ",LEFT(J4,13)="Fora do plano",LEFT(J4,8)="Previsão",LEFT(J4,11)="Sem vínculo",LEFT(J4,14)="Não verificado",LEFT(J4,7)="Informe",LEFT(J4,9)="A definir")</formula>
    </cfRule>
    <cfRule type="expression" dxfId="35" priority="3">
      <formula>OR(J4="OK",LEFT(J4,4)="Nada",LEFT(J4,3)="OK:")</formula>
    </cfRule>
  </conditionalFormatting>
  <dataValidations count="5">
    <dataValidation type="list" allowBlank="1" showErrorMessage="1" errorStyle="stop" errorTitle="Valor fora da lista" error="Escolha um item da lista suspensa (aba Listas)." sqref="B4:B203">
      <formula1>OFFSET(lst_funcao,0,0,MAX(1,COUNTA(lst_funcao)),1)</formula1>
    </dataValidation>
    <dataValidation type="list" allowBlank="1" showErrorMessage="1" errorStyle="stop" errorTitle="Valor fora da lista" error="Escolha um item da lista suspensa (aba Listas)." sqref="C4:C203">
      <formula1>OFFSET(lst_treinamento,0,0,MAX(1,COUNTA(lst_treinamento)),1)</formula1>
    </dataValidation>
    <dataValidation type="date" allowBlank="1" showErrorMessage="1" errorStyle="stop" errorTitle="Data inválida" error="Digite uma data válida no formato dd/mm/aaaa." sqref="D4:D203">
      <formula1>32874</formula1>
      <formula2>73050</formula2>
    </dataValidation>
    <dataValidation type="date" allowBlank="1" showErrorMessage="1" errorStyle="stop" errorTitle="Data inválida" error="Digite uma data válida no formato dd/mm/aaaa." sqref="E4:E203">
      <formula1>32874</formula1>
      <formula2>73050</formula2>
    </dataValidation>
    <dataValidation type="decimal" operator="greaterThanOrEqual" allowBlank="1" showErrorMessage="1" errorStyle="stop" errorTitle="Valor inválido" error="Informe um número maior ou igual a zero." sqref="F4:F203">
      <formula1>0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6" customWidth="1"/>
    <col min="5" max="5" width="30" customWidth="1"/>
    <col min="6" max="6" width="12" customWidth="1"/>
    <col min="7" max="7" width="16" customWidth="1"/>
    <col min="8" max="8" width="18" customWidth="1"/>
    <col min="9" max="9" width="30" customWidth="1"/>
  </cols>
  <sheetData>
    <row r="1" ht="36" customHeight="1" spans="1:9" x14ac:dyDescent="0.25">
      <c r="A1" s="1"/>
      <c r="B1" s="1"/>
      <c r="C1" s="2" t="s">
        <v>155</v>
      </c>
      <c r="D1" s="2"/>
      <c r="E1" s="2"/>
      <c r="F1" s="2"/>
      <c r="G1" s="2"/>
      <c r="H1" s="2"/>
      <c r="I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9" x14ac:dyDescent="0.25">
      <c r="A2" s="1"/>
      <c r="B2" s="1"/>
      <c r="C2" s="2"/>
      <c r="D2" s="2"/>
      <c r="E2" s="2"/>
      <c r="F2" s="2"/>
      <c r="G2" s="2"/>
      <c r="H2" s="2"/>
      <c r="I2" s="4">
        <f>"Elaborado: "&amp;IF(cfg_elaborado="","A definir",cfg_elaborado)&amp;CHAR(10)&amp;"Aprovado: "&amp;IF(cfg_aprovado="","A definir",cfg_aprovado)</f>
      </c>
    </row>
    <row r="3" ht="34" customHeight="1" spans="1:9" x14ac:dyDescent="0.2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121</v>
      </c>
      <c r="H3" s="8" t="s">
        <v>110</v>
      </c>
      <c r="I3" s="8" t="s">
        <v>111</v>
      </c>
    </row>
    <row r="4" spans="1:9" x14ac:dyDescent="0.25">
      <c r="A4" s="38"/>
      <c r="B4" s="29"/>
      <c r="C4" s="27"/>
      <c r="D4" s="27"/>
      <c r="E4" s="27"/>
      <c r="F4" s="33"/>
      <c r="G4" s="30">
        <f t="shared" ref="G4:G103" si="0">IF(NOT(ISNUMBER(F4)),"",IF(F4&lt;TODAY(),"Vencido",IF(F4-TODAY()&lt;=30,"Vence em 30 dias","Em dia")))</f>
      </c>
      <c r="H4" s="27"/>
      <c r="I4" s="32">
        <f t="shared" ref="I4:I103" si="1">IF(A4&amp;B4="","",IF(OR(A4="",B4=""),"ERRO: informe instalação e requisito",IF(E4="","Não verificado: registre a fonte oficial",IF(NOT(ISNUMBER(F4)),"Pendente: data de validade",IF(H4="","Pendente: responsável","OK")))))</f>
      </c>
    </row>
    <row r="5" spans="1:9" x14ac:dyDescent="0.25">
      <c r="A5" s="38"/>
      <c r="B5" s="29"/>
      <c r="C5" s="27"/>
      <c r="D5" s="27"/>
      <c r="E5" s="27"/>
      <c r="F5" s="33"/>
      <c r="G5" s="30">
        <f t="shared" si="0"/>
      </c>
      <c r="H5" s="27"/>
      <c r="I5" s="32">
        <f t="shared" si="1"/>
      </c>
    </row>
    <row r="6" spans="1:9" x14ac:dyDescent="0.25">
      <c r="A6" s="38"/>
      <c r="B6" s="29"/>
      <c r="C6" s="27"/>
      <c r="D6" s="27"/>
      <c r="E6" s="27"/>
      <c r="F6" s="33"/>
      <c r="G6" s="30">
        <f t="shared" si="0"/>
      </c>
      <c r="H6" s="27"/>
      <c r="I6" s="32">
        <f t="shared" si="1"/>
      </c>
    </row>
    <row r="7" spans="1:9" x14ac:dyDescent="0.25">
      <c r="A7" s="38"/>
      <c r="B7" s="29"/>
      <c r="C7" s="27"/>
      <c r="D7" s="27"/>
      <c r="E7" s="27"/>
      <c r="F7" s="33"/>
      <c r="G7" s="30">
        <f t="shared" si="0"/>
      </c>
      <c r="H7" s="27"/>
      <c r="I7" s="32">
        <f t="shared" si="1"/>
      </c>
    </row>
    <row r="8" spans="1:9" x14ac:dyDescent="0.25">
      <c r="A8" s="38"/>
      <c r="B8" s="29"/>
      <c r="C8" s="27"/>
      <c r="D8" s="27"/>
      <c r="E8" s="27"/>
      <c r="F8" s="33"/>
      <c r="G8" s="30">
        <f t="shared" si="0"/>
      </c>
      <c r="H8" s="27"/>
      <c r="I8" s="32">
        <f t="shared" si="1"/>
      </c>
    </row>
    <row r="9" spans="1:9" x14ac:dyDescent="0.25">
      <c r="A9" s="38"/>
      <c r="B9" s="29"/>
      <c r="C9" s="27"/>
      <c r="D9" s="27"/>
      <c r="E9" s="27"/>
      <c r="F9" s="33"/>
      <c r="G9" s="30">
        <f t="shared" si="0"/>
      </c>
      <c r="H9" s="27"/>
      <c r="I9" s="32">
        <f t="shared" si="1"/>
      </c>
    </row>
    <row r="10" spans="1:9" x14ac:dyDescent="0.25">
      <c r="A10" s="38"/>
      <c r="B10" s="29"/>
      <c r="C10" s="27"/>
      <c r="D10" s="27"/>
      <c r="E10" s="27"/>
      <c r="F10" s="33"/>
      <c r="G10" s="30">
        <f t="shared" si="0"/>
      </c>
      <c r="H10" s="27"/>
      <c r="I10" s="32">
        <f t="shared" si="1"/>
      </c>
    </row>
    <row r="11" spans="1:9" x14ac:dyDescent="0.25">
      <c r="A11" s="38"/>
      <c r="B11" s="29"/>
      <c r="C11" s="27"/>
      <c r="D11" s="27"/>
      <c r="E11" s="27"/>
      <c r="F11" s="33"/>
      <c r="G11" s="30">
        <f t="shared" si="0"/>
      </c>
      <c r="H11" s="27"/>
      <c r="I11" s="32">
        <f t="shared" si="1"/>
      </c>
    </row>
    <row r="12" spans="1:9" x14ac:dyDescent="0.25">
      <c r="A12" s="38"/>
      <c r="B12" s="29"/>
      <c r="C12" s="27"/>
      <c r="D12" s="27"/>
      <c r="E12" s="27"/>
      <c r="F12" s="33"/>
      <c r="G12" s="30">
        <f t="shared" si="0"/>
      </c>
      <c r="H12" s="27"/>
      <c r="I12" s="32">
        <f t="shared" si="1"/>
      </c>
    </row>
    <row r="13" spans="1:9" x14ac:dyDescent="0.25">
      <c r="A13" s="38"/>
      <c r="B13" s="29"/>
      <c r="C13" s="27"/>
      <c r="D13" s="27"/>
      <c r="E13" s="27"/>
      <c r="F13" s="33"/>
      <c r="G13" s="30">
        <f t="shared" si="0"/>
      </c>
      <c r="H13" s="27"/>
      <c r="I13" s="32">
        <f t="shared" si="1"/>
      </c>
    </row>
    <row r="14" spans="1:9" x14ac:dyDescent="0.25">
      <c r="A14" s="38"/>
      <c r="B14" s="29"/>
      <c r="C14" s="27"/>
      <c r="D14" s="27"/>
      <c r="E14" s="27"/>
      <c r="F14" s="33"/>
      <c r="G14" s="30">
        <f t="shared" si="0"/>
      </c>
      <c r="H14" s="27"/>
      <c r="I14" s="32">
        <f t="shared" si="1"/>
      </c>
    </row>
    <row r="15" spans="1:9" x14ac:dyDescent="0.25">
      <c r="A15" s="38"/>
      <c r="B15" s="29"/>
      <c r="C15" s="27"/>
      <c r="D15" s="27"/>
      <c r="E15" s="27"/>
      <c r="F15" s="33"/>
      <c r="G15" s="30">
        <f t="shared" si="0"/>
      </c>
      <c r="H15" s="27"/>
      <c r="I15" s="32">
        <f t="shared" si="1"/>
      </c>
    </row>
    <row r="16" spans="1:9" x14ac:dyDescent="0.25">
      <c r="A16" s="38"/>
      <c r="B16" s="29"/>
      <c r="C16" s="27"/>
      <c r="D16" s="27"/>
      <c r="E16" s="27"/>
      <c r="F16" s="33"/>
      <c r="G16" s="30">
        <f t="shared" si="0"/>
      </c>
      <c r="H16" s="27"/>
      <c r="I16" s="32">
        <f t="shared" si="1"/>
      </c>
    </row>
    <row r="17" spans="1:9" x14ac:dyDescent="0.25">
      <c r="A17" s="38"/>
      <c r="B17" s="29"/>
      <c r="C17" s="27"/>
      <c r="D17" s="27"/>
      <c r="E17" s="27"/>
      <c r="F17" s="33"/>
      <c r="G17" s="30">
        <f t="shared" si="0"/>
      </c>
      <c r="H17" s="27"/>
      <c r="I17" s="32">
        <f t="shared" si="1"/>
      </c>
    </row>
    <row r="18" spans="1:9" x14ac:dyDescent="0.25">
      <c r="A18" s="38"/>
      <c r="B18" s="29"/>
      <c r="C18" s="27"/>
      <c r="D18" s="27"/>
      <c r="E18" s="27"/>
      <c r="F18" s="33"/>
      <c r="G18" s="30">
        <f t="shared" si="0"/>
      </c>
      <c r="H18" s="27"/>
      <c r="I18" s="32">
        <f t="shared" si="1"/>
      </c>
    </row>
    <row r="19" spans="1:9" x14ac:dyDescent="0.25">
      <c r="A19" s="38"/>
      <c r="B19" s="29"/>
      <c r="C19" s="27"/>
      <c r="D19" s="27"/>
      <c r="E19" s="27"/>
      <c r="F19" s="33"/>
      <c r="G19" s="30">
        <f t="shared" si="0"/>
      </c>
      <c r="H19" s="27"/>
      <c r="I19" s="32">
        <f t="shared" si="1"/>
      </c>
    </row>
    <row r="20" spans="1:9" x14ac:dyDescent="0.25">
      <c r="A20" s="38"/>
      <c r="B20" s="29"/>
      <c r="C20" s="27"/>
      <c r="D20" s="27"/>
      <c r="E20" s="27"/>
      <c r="F20" s="33"/>
      <c r="G20" s="30">
        <f t="shared" si="0"/>
      </c>
      <c r="H20" s="27"/>
      <c r="I20" s="32">
        <f t="shared" si="1"/>
      </c>
    </row>
    <row r="21" spans="1:9" x14ac:dyDescent="0.25">
      <c r="A21" s="38"/>
      <c r="B21" s="29"/>
      <c r="C21" s="27"/>
      <c r="D21" s="27"/>
      <c r="E21" s="27"/>
      <c r="F21" s="33"/>
      <c r="G21" s="30">
        <f t="shared" si="0"/>
      </c>
      <c r="H21" s="27"/>
      <c r="I21" s="32">
        <f t="shared" si="1"/>
      </c>
    </row>
    <row r="22" spans="1:9" x14ac:dyDescent="0.25">
      <c r="A22" s="38"/>
      <c r="B22" s="29"/>
      <c r="C22" s="27"/>
      <c r="D22" s="27"/>
      <c r="E22" s="27"/>
      <c r="F22" s="33"/>
      <c r="G22" s="30">
        <f t="shared" si="0"/>
      </c>
      <c r="H22" s="27"/>
      <c r="I22" s="32">
        <f t="shared" si="1"/>
      </c>
    </row>
    <row r="23" spans="1:9" x14ac:dyDescent="0.25">
      <c r="A23" s="38"/>
      <c r="B23" s="29"/>
      <c r="C23" s="27"/>
      <c r="D23" s="27"/>
      <c r="E23" s="27"/>
      <c r="F23" s="33"/>
      <c r="G23" s="30">
        <f t="shared" si="0"/>
      </c>
      <c r="H23" s="27"/>
      <c r="I23" s="32">
        <f t="shared" si="1"/>
      </c>
    </row>
    <row r="24" spans="1:9" x14ac:dyDescent="0.25">
      <c r="A24" s="38"/>
      <c r="B24" s="29"/>
      <c r="C24" s="27"/>
      <c r="D24" s="27"/>
      <c r="E24" s="27"/>
      <c r="F24" s="33"/>
      <c r="G24" s="30">
        <f t="shared" si="0"/>
      </c>
      <c r="H24" s="27"/>
      <c r="I24" s="32">
        <f t="shared" si="1"/>
      </c>
    </row>
    <row r="25" spans="1:9" x14ac:dyDescent="0.25">
      <c r="A25" s="38"/>
      <c r="B25" s="29"/>
      <c r="C25" s="27"/>
      <c r="D25" s="27"/>
      <c r="E25" s="27"/>
      <c r="F25" s="33"/>
      <c r="G25" s="30">
        <f t="shared" si="0"/>
      </c>
      <c r="H25" s="27"/>
      <c r="I25" s="32">
        <f t="shared" si="1"/>
      </c>
    </row>
    <row r="26" spans="1:9" x14ac:dyDescent="0.25">
      <c r="A26" s="38"/>
      <c r="B26" s="29"/>
      <c r="C26" s="27"/>
      <c r="D26" s="27"/>
      <c r="E26" s="27"/>
      <c r="F26" s="33"/>
      <c r="G26" s="30">
        <f t="shared" si="0"/>
      </c>
      <c r="H26" s="27"/>
      <c r="I26" s="32">
        <f t="shared" si="1"/>
      </c>
    </row>
    <row r="27" spans="1:9" x14ac:dyDescent="0.25">
      <c r="A27" s="38"/>
      <c r="B27" s="29"/>
      <c r="C27" s="27"/>
      <c r="D27" s="27"/>
      <c r="E27" s="27"/>
      <c r="F27" s="33"/>
      <c r="G27" s="30">
        <f t="shared" si="0"/>
      </c>
      <c r="H27" s="27"/>
      <c r="I27" s="32">
        <f t="shared" si="1"/>
      </c>
    </row>
    <row r="28" spans="1:9" x14ac:dyDescent="0.25">
      <c r="A28" s="38"/>
      <c r="B28" s="29"/>
      <c r="C28" s="27"/>
      <c r="D28" s="27"/>
      <c r="E28" s="27"/>
      <c r="F28" s="33"/>
      <c r="G28" s="30">
        <f t="shared" si="0"/>
      </c>
      <c r="H28" s="27"/>
      <c r="I28" s="32">
        <f t="shared" si="1"/>
      </c>
    </row>
    <row r="29" spans="1:9" x14ac:dyDescent="0.25">
      <c r="A29" s="38"/>
      <c r="B29" s="29"/>
      <c r="C29" s="27"/>
      <c r="D29" s="27"/>
      <c r="E29" s="27"/>
      <c r="F29" s="33"/>
      <c r="G29" s="30">
        <f t="shared" si="0"/>
      </c>
      <c r="H29" s="27"/>
      <c r="I29" s="32">
        <f t="shared" si="1"/>
      </c>
    </row>
    <row r="30" spans="1:9" x14ac:dyDescent="0.25">
      <c r="A30" s="38"/>
      <c r="B30" s="29"/>
      <c r="C30" s="27"/>
      <c r="D30" s="27"/>
      <c r="E30" s="27"/>
      <c r="F30" s="33"/>
      <c r="G30" s="30">
        <f t="shared" si="0"/>
      </c>
      <c r="H30" s="27"/>
      <c r="I30" s="32">
        <f t="shared" si="1"/>
      </c>
    </row>
    <row r="31" spans="1:9" x14ac:dyDescent="0.25">
      <c r="A31" s="38"/>
      <c r="B31" s="29"/>
      <c r="C31" s="27"/>
      <c r="D31" s="27"/>
      <c r="E31" s="27"/>
      <c r="F31" s="33"/>
      <c r="G31" s="30">
        <f t="shared" si="0"/>
      </c>
      <c r="H31" s="27"/>
      <c r="I31" s="32">
        <f t="shared" si="1"/>
      </c>
    </row>
    <row r="32" spans="1:9" x14ac:dyDescent="0.25">
      <c r="A32" s="38"/>
      <c r="B32" s="29"/>
      <c r="C32" s="27"/>
      <c r="D32" s="27"/>
      <c r="E32" s="27"/>
      <c r="F32" s="33"/>
      <c r="G32" s="30">
        <f t="shared" si="0"/>
      </c>
      <c r="H32" s="27"/>
      <c r="I32" s="32">
        <f t="shared" si="1"/>
      </c>
    </row>
    <row r="33" spans="1:9" x14ac:dyDescent="0.25">
      <c r="A33" s="38"/>
      <c r="B33" s="29"/>
      <c r="C33" s="27"/>
      <c r="D33" s="27"/>
      <c r="E33" s="27"/>
      <c r="F33" s="33"/>
      <c r="G33" s="30">
        <f t="shared" si="0"/>
      </c>
      <c r="H33" s="27"/>
      <c r="I33" s="32">
        <f t="shared" si="1"/>
      </c>
    </row>
    <row r="34" spans="1:9" x14ac:dyDescent="0.25">
      <c r="A34" s="38"/>
      <c r="B34" s="29"/>
      <c r="C34" s="27"/>
      <c r="D34" s="27"/>
      <c r="E34" s="27"/>
      <c r="F34" s="33"/>
      <c r="G34" s="30">
        <f t="shared" si="0"/>
      </c>
      <c r="H34" s="27"/>
      <c r="I34" s="32">
        <f t="shared" si="1"/>
      </c>
    </row>
    <row r="35" spans="1:9" x14ac:dyDescent="0.25">
      <c r="A35" s="38"/>
      <c r="B35" s="29"/>
      <c r="C35" s="27"/>
      <c r="D35" s="27"/>
      <c r="E35" s="27"/>
      <c r="F35" s="33"/>
      <c r="G35" s="30">
        <f t="shared" si="0"/>
      </c>
      <c r="H35" s="27"/>
      <c r="I35" s="32">
        <f t="shared" si="1"/>
      </c>
    </row>
    <row r="36" spans="1:9" x14ac:dyDescent="0.25">
      <c r="A36" s="38"/>
      <c r="B36" s="29"/>
      <c r="C36" s="27"/>
      <c r="D36" s="27"/>
      <c r="E36" s="27"/>
      <c r="F36" s="33"/>
      <c r="G36" s="30">
        <f t="shared" si="0"/>
      </c>
      <c r="H36" s="27"/>
      <c r="I36" s="32">
        <f t="shared" si="1"/>
      </c>
    </row>
    <row r="37" spans="1:9" x14ac:dyDescent="0.25">
      <c r="A37" s="38"/>
      <c r="B37" s="29"/>
      <c r="C37" s="27"/>
      <c r="D37" s="27"/>
      <c r="E37" s="27"/>
      <c r="F37" s="33"/>
      <c r="G37" s="30">
        <f t="shared" si="0"/>
      </c>
      <c r="H37" s="27"/>
      <c r="I37" s="32">
        <f t="shared" si="1"/>
      </c>
    </row>
    <row r="38" spans="1:9" x14ac:dyDescent="0.25">
      <c r="A38" s="38"/>
      <c r="B38" s="29"/>
      <c r="C38" s="27"/>
      <c r="D38" s="27"/>
      <c r="E38" s="27"/>
      <c r="F38" s="33"/>
      <c r="G38" s="30">
        <f t="shared" si="0"/>
      </c>
      <c r="H38" s="27"/>
      <c r="I38" s="32">
        <f t="shared" si="1"/>
      </c>
    </row>
    <row r="39" spans="1:9" x14ac:dyDescent="0.25">
      <c r="A39" s="38"/>
      <c r="B39" s="29"/>
      <c r="C39" s="27"/>
      <c r="D39" s="27"/>
      <c r="E39" s="27"/>
      <c r="F39" s="33"/>
      <c r="G39" s="30">
        <f t="shared" si="0"/>
      </c>
      <c r="H39" s="27"/>
      <c r="I39" s="32">
        <f t="shared" si="1"/>
      </c>
    </row>
    <row r="40" spans="1:9" x14ac:dyDescent="0.25">
      <c r="A40" s="38"/>
      <c r="B40" s="29"/>
      <c r="C40" s="27"/>
      <c r="D40" s="27"/>
      <c r="E40" s="27"/>
      <c r="F40" s="33"/>
      <c r="G40" s="30">
        <f t="shared" si="0"/>
      </c>
      <c r="H40" s="27"/>
      <c r="I40" s="32">
        <f t="shared" si="1"/>
      </c>
    </row>
    <row r="41" spans="1:9" x14ac:dyDescent="0.25">
      <c r="A41" s="38"/>
      <c r="B41" s="29"/>
      <c r="C41" s="27"/>
      <c r="D41" s="27"/>
      <c r="E41" s="27"/>
      <c r="F41" s="33"/>
      <c r="G41" s="30">
        <f t="shared" si="0"/>
      </c>
      <c r="H41" s="27"/>
      <c r="I41" s="32">
        <f t="shared" si="1"/>
      </c>
    </row>
    <row r="42" spans="1:9" x14ac:dyDescent="0.25">
      <c r="A42" s="38"/>
      <c r="B42" s="29"/>
      <c r="C42" s="27"/>
      <c r="D42" s="27"/>
      <c r="E42" s="27"/>
      <c r="F42" s="33"/>
      <c r="G42" s="30">
        <f t="shared" si="0"/>
      </c>
      <c r="H42" s="27"/>
      <c r="I42" s="32">
        <f t="shared" si="1"/>
      </c>
    </row>
    <row r="43" spans="1:9" x14ac:dyDescent="0.25">
      <c r="A43" s="38"/>
      <c r="B43" s="29"/>
      <c r="C43" s="27"/>
      <c r="D43" s="27"/>
      <c r="E43" s="27"/>
      <c r="F43" s="33"/>
      <c r="G43" s="30">
        <f t="shared" si="0"/>
      </c>
      <c r="H43" s="27"/>
      <c r="I43" s="32">
        <f t="shared" si="1"/>
      </c>
    </row>
    <row r="44" spans="1:9" x14ac:dyDescent="0.25">
      <c r="A44" s="38"/>
      <c r="B44" s="29"/>
      <c r="C44" s="27"/>
      <c r="D44" s="27"/>
      <c r="E44" s="27"/>
      <c r="F44" s="33"/>
      <c r="G44" s="30">
        <f t="shared" si="0"/>
      </c>
      <c r="H44" s="27"/>
      <c r="I44" s="32">
        <f t="shared" si="1"/>
      </c>
    </row>
    <row r="45" spans="1:9" x14ac:dyDescent="0.25">
      <c r="A45" s="38"/>
      <c r="B45" s="29"/>
      <c r="C45" s="27"/>
      <c r="D45" s="27"/>
      <c r="E45" s="27"/>
      <c r="F45" s="33"/>
      <c r="G45" s="30">
        <f t="shared" si="0"/>
      </c>
      <c r="H45" s="27"/>
      <c r="I45" s="32">
        <f t="shared" si="1"/>
      </c>
    </row>
    <row r="46" spans="1:9" x14ac:dyDescent="0.25">
      <c r="A46" s="38"/>
      <c r="B46" s="29"/>
      <c r="C46" s="27"/>
      <c r="D46" s="27"/>
      <c r="E46" s="27"/>
      <c r="F46" s="33"/>
      <c r="G46" s="30">
        <f t="shared" si="0"/>
      </c>
      <c r="H46" s="27"/>
      <c r="I46" s="32">
        <f t="shared" si="1"/>
      </c>
    </row>
    <row r="47" spans="1:9" x14ac:dyDescent="0.25">
      <c r="A47" s="38"/>
      <c r="B47" s="29"/>
      <c r="C47" s="27"/>
      <c r="D47" s="27"/>
      <c r="E47" s="27"/>
      <c r="F47" s="33"/>
      <c r="G47" s="30">
        <f t="shared" si="0"/>
      </c>
      <c r="H47" s="27"/>
      <c r="I47" s="32">
        <f t="shared" si="1"/>
      </c>
    </row>
    <row r="48" spans="1:9" x14ac:dyDescent="0.25">
      <c r="A48" s="38"/>
      <c r="B48" s="29"/>
      <c r="C48" s="27"/>
      <c r="D48" s="27"/>
      <c r="E48" s="27"/>
      <c r="F48" s="33"/>
      <c r="G48" s="30">
        <f t="shared" si="0"/>
      </c>
      <c r="H48" s="27"/>
      <c r="I48" s="32">
        <f t="shared" si="1"/>
      </c>
    </row>
    <row r="49" spans="1:9" x14ac:dyDescent="0.25">
      <c r="A49" s="38"/>
      <c r="B49" s="29"/>
      <c r="C49" s="27"/>
      <c r="D49" s="27"/>
      <c r="E49" s="27"/>
      <c r="F49" s="33"/>
      <c r="G49" s="30">
        <f t="shared" si="0"/>
      </c>
      <c r="H49" s="27"/>
      <c r="I49" s="32">
        <f t="shared" si="1"/>
      </c>
    </row>
    <row r="50" spans="1:9" x14ac:dyDescent="0.25">
      <c r="A50" s="38"/>
      <c r="B50" s="29"/>
      <c r="C50" s="27"/>
      <c r="D50" s="27"/>
      <c r="E50" s="27"/>
      <c r="F50" s="33"/>
      <c r="G50" s="30">
        <f t="shared" si="0"/>
      </c>
      <c r="H50" s="27"/>
      <c r="I50" s="32">
        <f t="shared" si="1"/>
      </c>
    </row>
    <row r="51" spans="1:9" x14ac:dyDescent="0.25">
      <c r="A51" s="38"/>
      <c r="B51" s="29"/>
      <c r="C51" s="27"/>
      <c r="D51" s="27"/>
      <c r="E51" s="27"/>
      <c r="F51" s="33"/>
      <c r="G51" s="30">
        <f t="shared" si="0"/>
      </c>
      <c r="H51" s="27"/>
      <c r="I51" s="32">
        <f t="shared" si="1"/>
      </c>
    </row>
    <row r="52" spans="1:9" x14ac:dyDescent="0.25">
      <c r="A52" s="38"/>
      <c r="B52" s="29"/>
      <c r="C52" s="27"/>
      <c r="D52" s="27"/>
      <c r="E52" s="27"/>
      <c r="F52" s="33"/>
      <c r="G52" s="30">
        <f t="shared" si="0"/>
      </c>
      <c r="H52" s="27"/>
      <c r="I52" s="32">
        <f t="shared" si="1"/>
      </c>
    </row>
    <row r="53" spans="1:9" x14ac:dyDescent="0.25">
      <c r="A53" s="38"/>
      <c r="B53" s="29"/>
      <c r="C53" s="27"/>
      <c r="D53" s="27"/>
      <c r="E53" s="27"/>
      <c r="F53" s="33"/>
      <c r="G53" s="30">
        <f t="shared" si="0"/>
      </c>
      <c r="H53" s="27"/>
      <c r="I53" s="32">
        <f t="shared" si="1"/>
      </c>
    </row>
    <row r="54" spans="1:9" x14ac:dyDescent="0.25">
      <c r="A54" s="38"/>
      <c r="B54" s="29"/>
      <c r="C54" s="27"/>
      <c r="D54" s="27"/>
      <c r="E54" s="27"/>
      <c r="F54" s="33"/>
      <c r="G54" s="30">
        <f t="shared" si="0"/>
      </c>
      <c r="H54" s="27"/>
      <c r="I54" s="32">
        <f t="shared" si="1"/>
      </c>
    </row>
    <row r="55" spans="1:9" x14ac:dyDescent="0.25">
      <c r="A55" s="38"/>
      <c r="B55" s="29"/>
      <c r="C55" s="27"/>
      <c r="D55" s="27"/>
      <c r="E55" s="27"/>
      <c r="F55" s="33"/>
      <c r="G55" s="30">
        <f t="shared" si="0"/>
      </c>
      <c r="H55" s="27"/>
      <c r="I55" s="32">
        <f t="shared" si="1"/>
      </c>
    </row>
    <row r="56" spans="1:9" x14ac:dyDescent="0.25">
      <c r="A56" s="38"/>
      <c r="B56" s="29"/>
      <c r="C56" s="27"/>
      <c r="D56" s="27"/>
      <c r="E56" s="27"/>
      <c r="F56" s="33"/>
      <c r="G56" s="30">
        <f t="shared" si="0"/>
      </c>
      <c r="H56" s="27"/>
      <c r="I56" s="32">
        <f t="shared" si="1"/>
      </c>
    </row>
    <row r="57" spans="1:9" x14ac:dyDescent="0.25">
      <c r="A57" s="38"/>
      <c r="B57" s="29"/>
      <c r="C57" s="27"/>
      <c r="D57" s="27"/>
      <c r="E57" s="27"/>
      <c r="F57" s="33"/>
      <c r="G57" s="30">
        <f t="shared" si="0"/>
      </c>
      <c r="H57" s="27"/>
      <c r="I57" s="32">
        <f t="shared" si="1"/>
      </c>
    </row>
    <row r="58" spans="1:9" x14ac:dyDescent="0.25">
      <c r="A58" s="38"/>
      <c r="B58" s="29"/>
      <c r="C58" s="27"/>
      <c r="D58" s="27"/>
      <c r="E58" s="27"/>
      <c r="F58" s="33"/>
      <c r="G58" s="30">
        <f t="shared" si="0"/>
      </c>
      <c r="H58" s="27"/>
      <c r="I58" s="32">
        <f t="shared" si="1"/>
      </c>
    </row>
    <row r="59" spans="1:9" x14ac:dyDescent="0.25">
      <c r="A59" s="38"/>
      <c r="B59" s="29"/>
      <c r="C59" s="27"/>
      <c r="D59" s="27"/>
      <c r="E59" s="27"/>
      <c r="F59" s="33"/>
      <c r="G59" s="30">
        <f t="shared" si="0"/>
      </c>
      <c r="H59" s="27"/>
      <c r="I59" s="32">
        <f t="shared" si="1"/>
      </c>
    </row>
    <row r="60" spans="1:9" x14ac:dyDescent="0.25">
      <c r="A60" s="38"/>
      <c r="B60" s="29"/>
      <c r="C60" s="27"/>
      <c r="D60" s="27"/>
      <c r="E60" s="27"/>
      <c r="F60" s="33"/>
      <c r="G60" s="30">
        <f t="shared" si="0"/>
      </c>
      <c r="H60" s="27"/>
      <c r="I60" s="32">
        <f t="shared" si="1"/>
      </c>
    </row>
    <row r="61" spans="1:9" x14ac:dyDescent="0.25">
      <c r="A61" s="38"/>
      <c r="B61" s="29"/>
      <c r="C61" s="27"/>
      <c r="D61" s="27"/>
      <c r="E61" s="27"/>
      <c r="F61" s="33"/>
      <c r="G61" s="30">
        <f t="shared" si="0"/>
      </c>
      <c r="H61" s="27"/>
      <c r="I61" s="32">
        <f t="shared" si="1"/>
      </c>
    </row>
    <row r="62" spans="1:9" x14ac:dyDescent="0.25">
      <c r="A62" s="38"/>
      <c r="B62" s="29"/>
      <c r="C62" s="27"/>
      <c r="D62" s="27"/>
      <c r="E62" s="27"/>
      <c r="F62" s="33"/>
      <c r="G62" s="30">
        <f t="shared" si="0"/>
      </c>
      <c r="H62" s="27"/>
      <c r="I62" s="32">
        <f t="shared" si="1"/>
      </c>
    </row>
    <row r="63" spans="1:9" x14ac:dyDescent="0.25">
      <c r="A63" s="38"/>
      <c r="B63" s="29"/>
      <c r="C63" s="27"/>
      <c r="D63" s="27"/>
      <c r="E63" s="27"/>
      <c r="F63" s="33"/>
      <c r="G63" s="30">
        <f t="shared" si="0"/>
      </c>
      <c r="H63" s="27"/>
      <c r="I63" s="32">
        <f t="shared" si="1"/>
      </c>
    </row>
    <row r="64" spans="1:9" x14ac:dyDescent="0.25">
      <c r="A64" s="38"/>
      <c r="B64" s="29"/>
      <c r="C64" s="27"/>
      <c r="D64" s="27"/>
      <c r="E64" s="27"/>
      <c r="F64" s="33"/>
      <c r="G64" s="30">
        <f t="shared" si="0"/>
      </c>
      <c r="H64" s="27"/>
      <c r="I64" s="32">
        <f t="shared" si="1"/>
      </c>
    </row>
    <row r="65" spans="1:9" x14ac:dyDescent="0.25">
      <c r="A65" s="38"/>
      <c r="B65" s="29"/>
      <c r="C65" s="27"/>
      <c r="D65" s="27"/>
      <c r="E65" s="27"/>
      <c r="F65" s="33"/>
      <c r="G65" s="30">
        <f t="shared" si="0"/>
      </c>
      <c r="H65" s="27"/>
      <c r="I65" s="32">
        <f t="shared" si="1"/>
      </c>
    </row>
    <row r="66" spans="1:9" x14ac:dyDescent="0.25">
      <c r="A66" s="38"/>
      <c r="B66" s="29"/>
      <c r="C66" s="27"/>
      <c r="D66" s="27"/>
      <c r="E66" s="27"/>
      <c r="F66" s="33"/>
      <c r="G66" s="30">
        <f t="shared" si="0"/>
      </c>
      <c r="H66" s="27"/>
      <c r="I66" s="32">
        <f t="shared" si="1"/>
      </c>
    </row>
    <row r="67" spans="1:9" x14ac:dyDescent="0.25">
      <c r="A67" s="38"/>
      <c r="B67" s="29"/>
      <c r="C67" s="27"/>
      <c r="D67" s="27"/>
      <c r="E67" s="27"/>
      <c r="F67" s="33"/>
      <c r="G67" s="30">
        <f t="shared" si="0"/>
      </c>
      <c r="H67" s="27"/>
      <c r="I67" s="32">
        <f t="shared" si="1"/>
      </c>
    </row>
    <row r="68" spans="1:9" x14ac:dyDescent="0.25">
      <c r="A68" s="38"/>
      <c r="B68" s="29"/>
      <c r="C68" s="27"/>
      <c r="D68" s="27"/>
      <c r="E68" s="27"/>
      <c r="F68" s="33"/>
      <c r="G68" s="30">
        <f t="shared" si="0"/>
      </c>
      <c r="H68" s="27"/>
      <c r="I68" s="32">
        <f t="shared" si="1"/>
      </c>
    </row>
    <row r="69" spans="1:9" x14ac:dyDescent="0.25">
      <c r="A69" s="38"/>
      <c r="B69" s="29"/>
      <c r="C69" s="27"/>
      <c r="D69" s="27"/>
      <c r="E69" s="27"/>
      <c r="F69" s="33"/>
      <c r="G69" s="30">
        <f t="shared" si="0"/>
      </c>
      <c r="H69" s="27"/>
      <c r="I69" s="32">
        <f t="shared" si="1"/>
      </c>
    </row>
    <row r="70" spans="1:9" x14ac:dyDescent="0.25">
      <c r="A70" s="38"/>
      <c r="B70" s="29"/>
      <c r="C70" s="27"/>
      <c r="D70" s="27"/>
      <c r="E70" s="27"/>
      <c r="F70" s="33"/>
      <c r="G70" s="30">
        <f t="shared" si="0"/>
      </c>
      <c r="H70" s="27"/>
      <c r="I70" s="32">
        <f t="shared" si="1"/>
      </c>
    </row>
    <row r="71" spans="1:9" x14ac:dyDescent="0.25">
      <c r="A71" s="38"/>
      <c r="B71" s="29"/>
      <c r="C71" s="27"/>
      <c r="D71" s="27"/>
      <c r="E71" s="27"/>
      <c r="F71" s="33"/>
      <c r="G71" s="30">
        <f t="shared" si="0"/>
      </c>
      <c r="H71" s="27"/>
      <c r="I71" s="32">
        <f t="shared" si="1"/>
      </c>
    </row>
    <row r="72" spans="1:9" x14ac:dyDescent="0.25">
      <c r="A72" s="38"/>
      <c r="B72" s="29"/>
      <c r="C72" s="27"/>
      <c r="D72" s="27"/>
      <c r="E72" s="27"/>
      <c r="F72" s="33"/>
      <c r="G72" s="30">
        <f t="shared" si="0"/>
      </c>
      <c r="H72" s="27"/>
      <c r="I72" s="32">
        <f t="shared" si="1"/>
      </c>
    </row>
    <row r="73" spans="1:9" x14ac:dyDescent="0.25">
      <c r="A73" s="38"/>
      <c r="B73" s="29"/>
      <c r="C73" s="27"/>
      <c r="D73" s="27"/>
      <c r="E73" s="27"/>
      <c r="F73" s="33"/>
      <c r="G73" s="30">
        <f t="shared" si="0"/>
      </c>
      <c r="H73" s="27"/>
      <c r="I73" s="32">
        <f t="shared" si="1"/>
      </c>
    </row>
    <row r="74" spans="1:9" x14ac:dyDescent="0.25">
      <c r="A74" s="38"/>
      <c r="B74" s="29"/>
      <c r="C74" s="27"/>
      <c r="D74" s="27"/>
      <c r="E74" s="27"/>
      <c r="F74" s="33"/>
      <c r="G74" s="30">
        <f t="shared" si="0"/>
      </c>
      <c r="H74" s="27"/>
      <c r="I74" s="32">
        <f t="shared" si="1"/>
      </c>
    </row>
    <row r="75" spans="1:9" x14ac:dyDescent="0.25">
      <c r="A75" s="38"/>
      <c r="B75" s="29"/>
      <c r="C75" s="27"/>
      <c r="D75" s="27"/>
      <c r="E75" s="27"/>
      <c r="F75" s="33"/>
      <c r="G75" s="30">
        <f t="shared" si="0"/>
      </c>
      <c r="H75" s="27"/>
      <c r="I75" s="32">
        <f t="shared" si="1"/>
      </c>
    </row>
    <row r="76" spans="1:9" x14ac:dyDescent="0.25">
      <c r="A76" s="38"/>
      <c r="B76" s="29"/>
      <c r="C76" s="27"/>
      <c r="D76" s="27"/>
      <c r="E76" s="27"/>
      <c r="F76" s="33"/>
      <c r="G76" s="30">
        <f t="shared" si="0"/>
      </c>
      <c r="H76" s="27"/>
      <c r="I76" s="32">
        <f t="shared" si="1"/>
      </c>
    </row>
    <row r="77" spans="1:9" x14ac:dyDescent="0.25">
      <c r="A77" s="38"/>
      <c r="B77" s="29"/>
      <c r="C77" s="27"/>
      <c r="D77" s="27"/>
      <c r="E77" s="27"/>
      <c r="F77" s="33"/>
      <c r="G77" s="30">
        <f t="shared" si="0"/>
      </c>
      <c r="H77" s="27"/>
      <c r="I77" s="32">
        <f t="shared" si="1"/>
      </c>
    </row>
    <row r="78" spans="1:9" x14ac:dyDescent="0.25">
      <c r="A78" s="38"/>
      <c r="B78" s="29"/>
      <c r="C78" s="27"/>
      <c r="D78" s="27"/>
      <c r="E78" s="27"/>
      <c r="F78" s="33"/>
      <c r="G78" s="30">
        <f t="shared" si="0"/>
      </c>
      <c r="H78" s="27"/>
      <c r="I78" s="32">
        <f t="shared" si="1"/>
      </c>
    </row>
    <row r="79" spans="1:9" x14ac:dyDescent="0.25">
      <c r="A79" s="38"/>
      <c r="B79" s="29"/>
      <c r="C79" s="27"/>
      <c r="D79" s="27"/>
      <c r="E79" s="27"/>
      <c r="F79" s="33"/>
      <c r="G79" s="30">
        <f t="shared" si="0"/>
      </c>
      <c r="H79" s="27"/>
      <c r="I79" s="32">
        <f t="shared" si="1"/>
      </c>
    </row>
    <row r="80" spans="1:9" x14ac:dyDescent="0.25">
      <c r="A80" s="38"/>
      <c r="B80" s="29"/>
      <c r="C80" s="27"/>
      <c r="D80" s="27"/>
      <c r="E80" s="27"/>
      <c r="F80" s="33"/>
      <c r="G80" s="30">
        <f t="shared" si="0"/>
      </c>
      <c r="H80" s="27"/>
      <c r="I80" s="32">
        <f t="shared" si="1"/>
      </c>
    </row>
    <row r="81" spans="1:9" x14ac:dyDescent="0.25">
      <c r="A81" s="38"/>
      <c r="B81" s="29"/>
      <c r="C81" s="27"/>
      <c r="D81" s="27"/>
      <c r="E81" s="27"/>
      <c r="F81" s="33"/>
      <c r="G81" s="30">
        <f t="shared" si="0"/>
      </c>
      <c r="H81" s="27"/>
      <c r="I81" s="32">
        <f t="shared" si="1"/>
      </c>
    </row>
    <row r="82" spans="1:9" x14ac:dyDescent="0.25">
      <c r="A82" s="38"/>
      <c r="B82" s="29"/>
      <c r="C82" s="27"/>
      <c r="D82" s="27"/>
      <c r="E82" s="27"/>
      <c r="F82" s="33"/>
      <c r="G82" s="30">
        <f t="shared" si="0"/>
      </c>
      <c r="H82" s="27"/>
      <c r="I82" s="32">
        <f t="shared" si="1"/>
      </c>
    </row>
    <row r="83" spans="1:9" x14ac:dyDescent="0.25">
      <c r="A83" s="38"/>
      <c r="B83" s="29"/>
      <c r="C83" s="27"/>
      <c r="D83" s="27"/>
      <c r="E83" s="27"/>
      <c r="F83" s="33"/>
      <c r="G83" s="30">
        <f t="shared" si="0"/>
      </c>
      <c r="H83" s="27"/>
      <c r="I83" s="32">
        <f t="shared" si="1"/>
      </c>
    </row>
    <row r="84" spans="1:9" x14ac:dyDescent="0.25">
      <c r="A84" s="38"/>
      <c r="B84" s="29"/>
      <c r="C84" s="27"/>
      <c r="D84" s="27"/>
      <c r="E84" s="27"/>
      <c r="F84" s="33"/>
      <c r="G84" s="30">
        <f t="shared" si="0"/>
      </c>
      <c r="H84" s="27"/>
      <c r="I84" s="32">
        <f t="shared" si="1"/>
      </c>
    </row>
    <row r="85" spans="1:9" x14ac:dyDescent="0.25">
      <c r="A85" s="38"/>
      <c r="B85" s="29"/>
      <c r="C85" s="27"/>
      <c r="D85" s="27"/>
      <c r="E85" s="27"/>
      <c r="F85" s="33"/>
      <c r="G85" s="30">
        <f t="shared" si="0"/>
      </c>
      <c r="H85" s="27"/>
      <c r="I85" s="32">
        <f t="shared" si="1"/>
      </c>
    </row>
    <row r="86" spans="1:9" x14ac:dyDescent="0.25">
      <c r="A86" s="38"/>
      <c r="B86" s="29"/>
      <c r="C86" s="27"/>
      <c r="D86" s="27"/>
      <c r="E86" s="27"/>
      <c r="F86" s="33"/>
      <c r="G86" s="30">
        <f t="shared" si="0"/>
      </c>
      <c r="H86" s="27"/>
      <c r="I86" s="32">
        <f t="shared" si="1"/>
      </c>
    </row>
    <row r="87" spans="1:9" x14ac:dyDescent="0.25">
      <c r="A87" s="38"/>
      <c r="B87" s="29"/>
      <c r="C87" s="27"/>
      <c r="D87" s="27"/>
      <c r="E87" s="27"/>
      <c r="F87" s="33"/>
      <c r="G87" s="30">
        <f t="shared" si="0"/>
      </c>
      <c r="H87" s="27"/>
      <c r="I87" s="32">
        <f t="shared" si="1"/>
      </c>
    </row>
    <row r="88" spans="1:9" x14ac:dyDescent="0.25">
      <c r="A88" s="38"/>
      <c r="B88" s="29"/>
      <c r="C88" s="27"/>
      <c r="D88" s="27"/>
      <c r="E88" s="27"/>
      <c r="F88" s="33"/>
      <c r="G88" s="30">
        <f t="shared" si="0"/>
      </c>
      <c r="H88" s="27"/>
      <c r="I88" s="32">
        <f t="shared" si="1"/>
      </c>
    </row>
    <row r="89" spans="1:9" x14ac:dyDescent="0.25">
      <c r="A89" s="38"/>
      <c r="B89" s="29"/>
      <c r="C89" s="27"/>
      <c r="D89" s="27"/>
      <c r="E89" s="27"/>
      <c r="F89" s="33"/>
      <c r="G89" s="30">
        <f t="shared" si="0"/>
      </c>
      <c r="H89" s="27"/>
      <c r="I89" s="32">
        <f t="shared" si="1"/>
      </c>
    </row>
    <row r="90" spans="1:9" x14ac:dyDescent="0.25">
      <c r="A90" s="38"/>
      <c r="B90" s="29"/>
      <c r="C90" s="27"/>
      <c r="D90" s="27"/>
      <c r="E90" s="27"/>
      <c r="F90" s="33"/>
      <c r="G90" s="30">
        <f t="shared" si="0"/>
      </c>
      <c r="H90" s="27"/>
      <c r="I90" s="32">
        <f t="shared" si="1"/>
      </c>
    </row>
    <row r="91" spans="1:9" x14ac:dyDescent="0.25">
      <c r="A91" s="38"/>
      <c r="B91" s="29"/>
      <c r="C91" s="27"/>
      <c r="D91" s="27"/>
      <c r="E91" s="27"/>
      <c r="F91" s="33"/>
      <c r="G91" s="30">
        <f t="shared" si="0"/>
      </c>
      <c r="H91" s="27"/>
      <c r="I91" s="32">
        <f t="shared" si="1"/>
      </c>
    </row>
    <row r="92" spans="1:9" x14ac:dyDescent="0.25">
      <c r="A92" s="38"/>
      <c r="B92" s="29"/>
      <c r="C92" s="27"/>
      <c r="D92" s="27"/>
      <c r="E92" s="27"/>
      <c r="F92" s="33"/>
      <c r="G92" s="30">
        <f t="shared" si="0"/>
      </c>
      <c r="H92" s="27"/>
      <c r="I92" s="32">
        <f t="shared" si="1"/>
      </c>
    </row>
    <row r="93" spans="1:9" x14ac:dyDescent="0.25">
      <c r="A93" s="38"/>
      <c r="B93" s="29"/>
      <c r="C93" s="27"/>
      <c r="D93" s="27"/>
      <c r="E93" s="27"/>
      <c r="F93" s="33"/>
      <c r="G93" s="30">
        <f t="shared" si="0"/>
      </c>
      <c r="H93" s="27"/>
      <c r="I93" s="32">
        <f t="shared" si="1"/>
      </c>
    </row>
    <row r="94" spans="1:9" x14ac:dyDescent="0.25">
      <c r="A94" s="38"/>
      <c r="B94" s="29"/>
      <c r="C94" s="27"/>
      <c r="D94" s="27"/>
      <c r="E94" s="27"/>
      <c r="F94" s="33"/>
      <c r="G94" s="30">
        <f t="shared" si="0"/>
      </c>
      <c r="H94" s="27"/>
      <c r="I94" s="32">
        <f t="shared" si="1"/>
      </c>
    </row>
    <row r="95" spans="1:9" x14ac:dyDescent="0.25">
      <c r="A95" s="38"/>
      <c r="B95" s="29"/>
      <c r="C95" s="27"/>
      <c r="D95" s="27"/>
      <c r="E95" s="27"/>
      <c r="F95" s="33"/>
      <c r="G95" s="30">
        <f t="shared" si="0"/>
      </c>
      <c r="H95" s="27"/>
      <c r="I95" s="32">
        <f t="shared" si="1"/>
      </c>
    </row>
    <row r="96" spans="1:9" x14ac:dyDescent="0.25">
      <c r="A96" s="38"/>
      <c r="B96" s="29"/>
      <c r="C96" s="27"/>
      <c r="D96" s="27"/>
      <c r="E96" s="27"/>
      <c r="F96" s="33"/>
      <c r="G96" s="30">
        <f t="shared" si="0"/>
      </c>
      <c r="H96" s="27"/>
      <c r="I96" s="32">
        <f t="shared" si="1"/>
      </c>
    </row>
    <row r="97" spans="1:9" x14ac:dyDescent="0.25">
      <c r="A97" s="38"/>
      <c r="B97" s="29"/>
      <c r="C97" s="27"/>
      <c r="D97" s="27"/>
      <c r="E97" s="27"/>
      <c r="F97" s="33"/>
      <c r="G97" s="30">
        <f t="shared" si="0"/>
      </c>
      <c r="H97" s="27"/>
      <c r="I97" s="32">
        <f t="shared" si="1"/>
      </c>
    </row>
    <row r="98" spans="1:9" x14ac:dyDescent="0.25">
      <c r="A98" s="38"/>
      <c r="B98" s="29"/>
      <c r="C98" s="27"/>
      <c r="D98" s="27"/>
      <c r="E98" s="27"/>
      <c r="F98" s="33"/>
      <c r="G98" s="30">
        <f t="shared" si="0"/>
      </c>
      <c r="H98" s="27"/>
      <c r="I98" s="32">
        <f t="shared" si="1"/>
      </c>
    </row>
    <row r="99" spans="1:9" x14ac:dyDescent="0.25">
      <c r="A99" s="38"/>
      <c r="B99" s="29"/>
      <c r="C99" s="27"/>
      <c r="D99" s="27"/>
      <c r="E99" s="27"/>
      <c r="F99" s="33"/>
      <c r="G99" s="30">
        <f t="shared" si="0"/>
      </c>
      <c r="H99" s="27"/>
      <c r="I99" s="32">
        <f t="shared" si="1"/>
      </c>
    </row>
    <row r="100" spans="1:9" x14ac:dyDescent="0.25">
      <c r="A100" s="38"/>
      <c r="B100" s="29"/>
      <c r="C100" s="27"/>
      <c r="D100" s="27"/>
      <c r="E100" s="27"/>
      <c r="F100" s="33"/>
      <c r="G100" s="30">
        <f t="shared" si="0"/>
      </c>
      <c r="H100" s="27"/>
      <c r="I100" s="32">
        <f t="shared" si="1"/>
      </c>
    </row>
    <row r="101" spans="1:9" x14ac:dyDescent="0.25">
      <c r="A101" s="38"/>
      <c r="B101" s="29"/>
      <c r="C101" s="27"/>
      <c r="D101" s="27"/>
      <c r="E101" s="27"/>
      <c r="F101" s="33"/>
      <c r="G101" s="30">
        <f t="shared" si="0"/>
      </c>
      <c r="H101" s="27"/>
      <c r="I101" s="32">
        <f t="shared" si="1"/>
      </c>
    </row>
    <row r="102" spans="1:9" x14ac:dyDescent="0.25">
      <c r="A102" s="38"/>
      <c r="B102" s="29"/>
      <c r="C102" s="27"/>
      <c r="D102" s="27"/>
      <c r="E102" s="27"/>
      <c r="F102" s="33"/>
      <c r="G102" s="30">
        <f t="shared" si="0"/>
      </c>
      <c r="H102" s="27"/>
      <c r="I102" s="32">
        <f t="shared" si="1"/>
      </c>
    </row>
    <row r="103" spans="1:9" x14ac:dyDescent="0.25">
      <c r="A103" s="38"/>
      <c r="B103" s="29"/>
      <c r="C103" s="27"/>
      <c r="D103" s="27"/>
      <c r="E103" s="27"/>
      <c r="F103" s="33"/>
      <c r="G103" s="30">
        <f t="shared" si="0"/>
      </c>
      <c r="H103" s="27"/>
      <c r="I103" s="32">
        <f t="shared" si="1"/>
      </c>
    </row>
  </sheetData>
  <sheetProtection sheet="1" formatColumns="0" formatRows="0" autoFilter="0"/>
  <autoFilter ref="A3:I103"/>
  <mergeCells count="2">
    <mergeCell ref="A1:B2"/>
    <mergeCell ref="C1:H2"/>
  </mergeCells>
  <conditionalFormatting sqref="G4:G103">
    <cfRule type="expression" dxfId="36" priority="10">
      <formula>G4="Vencido"</formula>
    </cfRule>
    <cfRule type="expression" dxfId="37" priority="11">
      <formula>G4="Vence em 30 dias"</formula>
    </cfRule>
    <cfRule type="expression" dxfId="38" priority="12">
      <formula>G4="Em dia"</formula>
    </cfRule>
    <cfRule type="expression" dxfId="39" priority="13">
      <formula>G4="Válido"</formula>
    </cfRule>
    <cfRule type="expression" dxfId="40" priority="14">
      <formula>G4="Revisão vencida"</formula>
    </cfRule>
    <cfRule type="expression" dxfId="41" priority="15">
      <formula>G4="Avaliação vencida"</formula>
    </cfRule>
  </conditionalFormatting>
  <conditionalFormatting sqref="I4:I103">
    <cfRule type="expression" dxfId="42" priority="1">
      <formula>OR(LEFT(I4,4)="ERRO",LEFT(I4,7)="ATENÇÃO")</formula>
    </cfRule>
    <cfRule type="expression" dxfId="43" priority="2">
      <formula>OR(LEFT(I4,8)="Pendente",LEFT(I4,9)="Verificar",LEFT(I4,9)="Duplicada",LEFT(I4,7)="Tarefa ",LEFT(I4,13)="Fora do plano",LEFT(I4,8)="Previsão",LEFT(I4,11)="Sem vínculo",LEFT(I4,14)="Não verificado",LEFT(I4,7)="Informe",LEFT(I4,9)="A definir")</formula>
    </cfRule>
    <cfRule type="expression" dxfId="44" priority="3">
      <formula>OR(I4="OK",LEFT(I4,4)="Nada",LEFT(I4,3)="OK:")</formula>
    </cfRule>
  </conditionalFormatting>
  <dataValidations count="3">
    <dataValidation type="list" allowBlank="1" showErrorMessage="1" errorStyle="stop" errorTitle="Valor fora da lista" error="Escolha um item da lista suspensa (aba Listas)." sqref="C4:C103">
      <formula1>OFFSET(lst_orgao,0,0,MAX(1,COUNTA(lst_orgao)),1)</formula1>
    </dataValidation>
    <dataValidation type="custom" allowBlank="1" showErrorMessage="1" errorStyle="stop" errorTitle="Valor inválido" error="Informe o endereço oficial começando por https://" sqref="E4:E103">
      <formula1>LEFT(E4,8)="https://"</formula1>
    </dataValidation>
    <dataValidation type="date" allowBlank="1" showErrorMessage="1" errorStyle="stop" errorTitle="Data inválida" error="Digite uma data válida no formato dd/mm/aaaa." sqref="F4:F10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6" customWidth="1"/>
    <col min="4" max="4" width="14" customWidth="1"/>
    <col min="6" max="6" width="14" customWidth="1"/>
    <col min="7" max="7" width="16" customWidth="1"/>
    <col min="8" max="9" width="32" customWidth="1"/>
    <col min="10" max="10" width="13" customWidth="1"/>
    <col min="11" max="11" width="20" customWidth="1"/>
    <col min="12" max="12" width="28" customWidth="1"/>
  </cols>
  <sheetData>
    <row r="1" ht="36" customHeight="1" spans="1:12" x14ac:dyDescent="0.25">
      <c r="A1" s="1"/>
      <c r="B1" s="1"/>
      <c r="C1" s="2" t="s">
        <v>162</v>
      </c>
      <c r="D1" s="2"/>
      <c r="E1" s="2"/>
      <c r="F1" s="2"/>
      <c r="G1" s="2"/>
      <c r="H1" s="2"/>
      <c r="I1" s="2"/>
      <c r="J1" s="2"/>
      <c r="K1" s="2"/>
      <c r="L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2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4">
        <f>"Elaborado: "&amp;IF(cfg_elaborado="","A definir",cfg_elaborado)&amp;CHAR(10)&amp;"Aprovado: "&amp;IF(cfg_aprovado="","A definir",cfg_aprovado)</f>
      </c>
    </row>
    <row r="3" ht="34" customHeight="1" spans="1:12" x14ac:dyDescent="0.25">
      <c r="A3" s="8" t="s">
        <v>163</v>
      </c>
      <c r="B3" s="8" t="s">
        <v>164</v>
      </c>
      <c r="C3" s="8" t="s">
        <v>165</v>
      </c>
      <c r="D3" s="8" t="s">
        <v>166</v>
      </c>
      <c r="E3" s="8" t="s">
        <v>167</v>
      </c>
      <c r="F3" s="8" t="s">
        <v>168</v>
      </c>
      <c r="G3" s="8" t="s">
        <v>169</v>
      </c>
      <c r="H3" s="8" t="s">
        <v>170</v>
      </c>
      <c r="I3" s="8" t="s">
        <v>171</v>
      </c>
      <c r="J3" s="8" t="s">
        <v>172</v>
      </c>
      <c r="K3" s="8" t="s">
        <v>173</v>
      </c>
      <c r="L3" s="8" t="s">
        <v>111</v>
      </c>
    </row>
    <row r="4" spans="1:12" x14ac:dyDescent="0.25">
      <c r="A4" s="26"/>
      <c r="B4" s="27"/>
      <c r="C4" s="27"/>
      <c r="D4" s="35"/>
      <c r="E4" s="40"/>
      <c r="F4" s="27"/>
      <c r="G4" s="27"/>
      <c r="H4" s="29"/>
      <c r="I4" s="29"/>
      <c r="J4" s="33"/>
      <c r="K4" s="30">
        <f t="shared" ref="K4:K103" si="0">IF(A4="","",IF(NOT(ISNUMBER(J4)),"Pendente: sem análise",IF(J4&lt;EDATE(TODAY(),-24),"Revisar: mais de 24 meses","Em dia")))</f>
      </c>
      <c r="L4" s="32">
        <f t="shared" ref="L4:L103" si="1">IF(A4&amp;B4="","",IF(A4="","ERRO: falta o código",IF(COUNTIF($A$4:$A$103,A4)&gt;1,"ERRO: código repetido",IF(OR(H4="",I4=""),"Pendente: riscos e proteções","OK"))))</f>
      </c>
    </row>
    <row r="5" spans="1:12" x14ac:dyDescent="0.25">
      <c r="A5" s="26"/>
      <c r="B5" s="27"/>
      <c r="C5" s="27"/>
      <c r="D5" s="35"/>
      <c r="E5" s="40"/>
      <c r="F5" s="27"/>
      <c r="G5" s="27"/>
      <c r="H5" s="29"/>
      <c r="I5" s="29"/>
      <c r="J5" s="33"/>
      <c r="K5" s="30">
        <f t="shared" si="0"/>
      </c>
      <c r="L5" s="32">
        <f t="shared" si="1"/>
      </c>
    </row>
    <row r="6" spans="1:12" x14ac:dyDescent="0.25">
      <c r="A6" s="26"/>
      <c r="B6" s="27"/>
      <c r="C6" s="27"/>
      <c r="D6" s="35"/>
      <c r="E6" s="40"/>
      <c r="F6" s="27"/>
      <c r="G6" s="27"/>
      <c r="H6" s="29"/>
      <c r="I6" s="29"/>
      <c r="J6" s="33"/>
      <c r="K6" s="30">
        <f t="shared" si="0"/>
      </c>
      <c r="L6" s="32">
        <f t="shared" si="1"/>
      </c>
    </row>
    <row r="7" spans="1:12" x14ac:dyDescent="0.25">
      <c r="A7" s="26"/>
      <c r="B7" s="27"/>
      <c r="C7" s="27"/>
      <c r="D7" s="35"/>
      <c r="E7" s="40"/>
      <c r="F7" s="27"/>
      <c r="G7" s="27"/>
      <c r="H7" s="29"/>
      <c r="I7" s="29"/>
      <c r="J7" s="33"/>
      <c r="K7" s="30">
        <f t="shared" si="0"/>
      </c>
      <c r="L7" s="32">
        <f t="shared" si="1"/>
      </c>
    </row>
    <row r="8" spans="1:12" x14ac:dyDescent="0.25">
      <c r="A8" s="26"/>
      <c r="B8" s="27"/>
      <c r="C8" s="27"/>
      <c r="D8" s="35"/>
      <c r="E8" s="40"/>
      <c r="F8" s="27"/>
      <c r="G8" s="27"/>
      <c r="H8" s="29"/>
      <c r="I8" s="29"/>
      <c r="J8" s="33"/>
      <c r="K8" s="30">
        <f t="shared" si="0"/>
      </c>
      <c r="L8" s="32">
        <f t="shared" si="1"/>
      </c>
    </row>
    <row r="9" spans="1:12" x14ac:dyDescent="0.25">
      <c r="A9" s="26"/>
      <c r="B9" s="27"/>
      <c r="C9" s="27"/>
      <c r="D9" s="35"/>
      <c r="E9" s="40"/>
      <c r="F9" s="27"/>
      <c r="G9" s="27"/>
      <c r="H9" s="29"/>
      <c r="I9" s="29"/>
      <c r="J9" s="33"/>
      <c r="K9" s="30">
        <f t="shared" si="0"/>
      </c>
      <c r="L9" s="32">
        <f t="shared" si="1"/>
      </c>
    </row>
    <row r="10" spans="1:12" x14ac:dyDescent="0.25">
      <c r="A10" s="26"/>
      <c r="B10" s="27"/>
      <c r="C10" s="27"/>
      <c r="D10" s="35"/>
      <c r="E10" s="40"/>
      <c r="F10" s="27"/>
      <c r="G10" s="27"/>
      <c r="H10" s="29"/>
      <c r="I10" s="29"/>
      <c r="J10" s="33"/>
      <c r="K10" s="30">
        <f t="shared" si="0"/>
      </c>
      <c r="L10" s="32">
        <f t="shared" si="1"/>
      </c>
    </row>
    <row r="11" spans="1:12" x14ac:dyDescent="0.25">
      <c r="A11" s="26"/>
      <c r="B11" s="27"/>
      <c r="C11" s="27"/>
      <c r="D11" s="35"/>
      <c r="E11" s="40"/>
      <c r="F11" s="27"/>
      <c r="G11" s="27"/>
      <c r="H11" s="29"/>
      <c r="I11" s="29"/>
      <c r="J11" s="33"/>
      <c r="K11" s="30">
        <f t="shared" si="0"/>
      </c>
      <c r="L11" s="32">
        <f t="shared" si="1"/>
      </c>
    </row>
    <row r="12" spans="1:12" x14ac:dyDescent="0.25">
      <c r="A12" s="26"/>
      <c r="B12" s="27"/>
      <c r="C12" s="27"/>
      <c r="D12" s="35"/>
      <c r="E12" s="40"/>
      <c r="F12" s="27"/>
      <c r="G12" s="27"/>
      <c r="H12" s="29"/>
      <c r="I12" s="29"/>
      <c r="J12" s="33"/>
      <c r="K12" s="30">
        <f t="shared" si="0"/>
      </c>
      <c r="L12" s="32">
        <f t="shared" si="1"/>
      </c>
    </row>
    <row r="13" spans="1:12" x14ac:dyDescent="0.25">
      <c r="A13" s="26"/>
      <c r="B13" s="27"/>
      <c r="C13" s="27"/>
      <c r="D13" s="35"/>
      <c r="E13" s="40"/>
      <c r="F13" s="27"/>
      <c r="G13" s="27"/>
      <c r="H13" s="29"/>
      <c r="I13" s="29"/>
      <c r="J13" s="33"/>
      <c r="K13" s="30">
        <f t="shared" si="0"/>
      </c>
      <c r="L13" s="32">
        <f t="shared" si="1"/>
      </c>
    </row>
    <row r="14" spans="1:12" x14ac:dyDescent="0.25">
      <c r="A14" s="26"/>
      <c r="B14" s="27"/>
      <c r="C14" s="27"/>
      <c r="D14" s="35"/>
      <c r="E14" s="40"/>
      <c r="F14" s="27"/>
      <c r="G14" s="27"/>
      <c r="H14" s="29"/>
      <c r="I14" s="29"/>
      <c r="J14" s="33"/>
      <c r="K14" s="30">
        <f t="shared" si="0"/>
      </c>
      <c r="L14" s="32">
        <f t="shared" si="1"/>
      </c>
    </row>
    <row r="15" spans="1:12" x14ac:dyDescent="0.25">
      <c r="A15" s="26"/>
      <c r="B15" s="27"/>
      <c r="C15" s="27"/>
      <c r="D15" s="35"/>
      <c r="E15" s="40"/>
      <c r="F15" s="27"/>
      <c r="G15" s="27"/>
      <c r="H15" s="29"/>
      <c r="I15" s="29"/>
      <c r="J15" s="33"/>
      <c r="K15" s="30">
        <f t="shared" si="0"/>
      </c>
      <c r="L15" s="32">
        <f t="shared" si="1"/>
      </c>
    </row>
    <row r="16" spans="1:12" x14ac:dyDescent="0.25">
      <c r="A16" s="26"/>
      <c r="B16" s="27"/>
      <c r="C16" s="27"/>
      <c r="D16" s="35"/>
      <c r="E16" s="40"/>
      <c r="F16" s="27"/>
      <c r="G16" s="27"/>
      <c r="H16" s="29"/>
      <c r="I16" s="29"/>
      <c r="J16" s="33"/>
      <c r="K16" s="30">
        <f t="shared" si="0"/>
      </c>
      <c r="L16" s="32">
        <f t="shared" si="1"/>
      </c>
    </row>
    <row r="17" spans="1:12" x14ac:dyDescent="0.25">
      <c r="A17" s="26"/>
      <c r="B17" s="27"/>
      <c r="C17" s="27"/>
      <c r="D17" s="35"/>
      <c r="E17" s="40"/>
      <c r="F17" s="27"/>
      <c r="G17" s="27"/>
      <c r="H17" s="29"/>
      <c r="I17" s="29"/>
      <c r="J17" s="33"/>
      <c r="K17" s="30">
        <f t="shared" si="0"/>
      </c>
      <c r="L17" s="32">
        <f t="shared" si="1"/>
      </c>
    </row>
    <row r="18" spans="1:12" x14ac:dyDescent="0.25">
      <c r="A18" s="26"/>
      <c r="B18" s="27"/>
      <c r="C18" s="27"/>
      <c r="D18" s="35"/>
      <c r="E18" s="40"/>
      <c r="F18" s="27"/>
      <c r="G18" s="27"/>
      <c r="H18" s="29"/>
      <c r="I18" s="29"/>
      <c r="J18" s="33"/>
      <c r="K18" s="30">
        <f t="shared" si="0"/>
      </c>
      <c r="L18" s="32">
        <f t="shared" si="1"/>
      </c>
    </row>
    <row r="19" spans="1:12" x14ac:dyDescent="0.25">
      <c r="A19" s="26"/>
      <c r="B19" s="27"/>
      <c r="C19" s="27"/>
      <c r="D19" s="35"/>
      <c r="E19" s="40"/>
      <c r="F19" s="27"/>
      <c r="G19" s="27"/>
      <c r="H19" s="29"/>
      <c r="I19" s="29"/>
      <c r="J19" s="33"/>
      <c r="K19" s="30">
        <f t="shared" si="0"/>
      </c>
      <c r="L19" s="32">
        <f t="shared" si="1"/>
      </c>
    </row>
    <row r="20" spans="1:12" x14ac:dyDescent="0.25">
      <c r="A20" s="26"/>
      <c r="B20" s="27"/>
      <c r="C20" s="27"/>
      <c r="D20" s="35"/>
      <c r="E20" s="40"/>
      <c r="F20" s="27"/>
      <c r="G20" s="27"/>
      <c r="H20" s="29"/>
      <c r="I20" s="29"/>
      <c r="J20" s="33"/>
      <c r="K20" s="30">
        <f t="shared" si="0"/>
      </c>
      <c r="L20" s="32">
        <f t="shared" si="1"/>
      </c>
    </row>
    <row r="21" spans="1:12" x14ac:dyDescent="0.25">
      <c r="A21" s="26"/>
      <c r="B21" s="27"/>
      <c r="C21" s="27"/>
      <c r="D21" s="35"/>
      <c r="E21" s="40"/>
      <c r="F21" s="27"/>
      <c r="G21" s="27"/>
      <c r="H21" s="29"/>
      <c r="I21" s="29"/>
      <c r="J21" s="33"/>
      <c r="K21" s="30">
        <f t="shared" si="0"/>
      </c>
      <c r="L21" s="32">
        <f t="shared" si="1"/>
      </c>
    </row>
    <row r="22" spans="1:12" x14ac:dyDescent="0.25">
      <c r="A22" s="26"/>
      <c r="B22" s="27"/>
      <c r="C22" s="27"/>
      <c r="D22" s="35"/>
      <c r="E22" s="40"/>
      <c r="F22" s="27"/>
      <c r="G22" s="27"/>
      <c r="H22" s="29"/>
      <c r="I22" s="29"/>
      <c r="J22" s="33"/>
      <c r="K22" s="30">
        <f t="shared" si="0"/>
      </c>
      <c r="L22" s="32">
        <f t="shared" si="1"/>
      </c>
    </row>
    <row r="23" spans="1:12" x14ac:dyDescent="0.25">
      <c r="A23" s="26"/>
      <c r="B23" s="27"/>
      <c r="C23" s="27"/>
      <c r="D23" s="35"/>
      <c r="E23" s="40"/>
      <c r="F23" s="27"/>
      <c r="G23" s="27"/>
      <c r="H23" s="29"/>
      <c r="I23" s="29"/>
      <c r="J23" s="33"/>
      <c r="K23" s="30">
        <f t="shared" si="0"/>
      </c>
      <c r="L23" s="32">
        <f t="shared" si="1"/>
      </c>
    </row>
    <row r="24" spans="1:12" x14ac:dyDescent="0.25">
      <c r="A24" s="26"/>
      <c r="B24" s="27"/>
      <c r="C24" s="27"/>
      <c r="D24" s="35"/>
      <c r="E24" s="40"/>
      <c r="F24" s="27"/>
      <c r="G24" s="27"/>
      <c r="H24" s="29"/>
      <c r="I24" s="29"/>
      <c r="J24" s="33"/>
      <c r="K24" s="30">
        <f t="shared" si="0"/>
      </c>
      <c r="L24" s="32">
        <f t="shared" si="1"/>
      </c>
    </row>
    <row r="25" spans="1:12" x14ac:dyDescent="0.25">
      <c r="A25" s="26"/>
      <c r="B25" s="27"/>
      <c r="C25" s="27"/>
      <c r="D25" s="35"/>
      <c r="E25" s="40"/>
      <c r="F25" s="27"/>
      <c r="G25" s="27"/>
      <c r="H25" s="29"/>
      <c r="I25" s="29"/>
      <c r="J25" s="33"/>
      <c r="K25" s="30">
        <f t="shared" si="0"/>
      </c>
      <c r="L25" s="32">
        <f t="shared" si="1"/>
      </c>
    </row>
    <row r="26" spans="1:12" x14ac:dyDescent="0.25">
      <c r="A26" s="26"/>
      <c r="B26" s="27"/>
      <c r="C26" s="27"/>
      <c r="D26" s="35"/>
      <c r="E26" s="40"/>
      <c r="F26" s="27"/>
      <c r="G26" s="27"/>
      <c r="H26" s="29"/>
      <c r="I26" s="29"/>
      <c r="J26" s="33"/>
      <c r="K26" s="30">
        <f t="shared" si="0"/>
      </c>
      <c r="L26" s="32">
        <f t="shared" si="1"/>
      </c>
    </row>
    <row r="27" spans="1:12" x14ac:dyDescent="0.25">
      <c r="A27" s="26"/>
      <c r="B27" s="27"/>
      <c r="C27" s="27"/>
      <c r="D27" s="35"/>
      <c r="E27" s="40"/>
      <c r="F27" s="27"/>
      <c r="G27" s="27"/>
      <c r="H27" s="29"/>
      <c r="I27" s="29"/>
      <c r="J27" s="33"/>
      <c r="K27" s="30">
        <f t="shared" si="0"/>
      </c>
      <c r="L27" s="32">
        <f t="shared" si="1"/>
      </c>
    </row>
    <row r="28" spans="1:12" x14ac:dyDescent="0.25">
      <c r="A28" s="26"/>
      <c r="B28" s="27"/>
      <c r="C28" s="27"/>
      <c r="D28" s="35"/>
      <c r="E28" s="40"/>
      <c r="F28" s="27"/>
      <c r="G28" s="27"/>
      <c r="H28" s="29"/>
      <c r="I28" s="29"/>
      <c r="J28" s="33"/>
      <c r="K28" s="30">
        <f t="shared" si="0"/>
      </c>
      <c r="L28" s="32">
        <f t="shared" si="1"/>
      </c>
    </row>
    <row r="29" spans="1:12" x14ac:dyDescent="0.25">
      <c r="A29" s="26"/>
      <c r="B29" s="27"/>
      <c r="C29" s="27"/>
      <c r="D29" s="35"/>
      <c r="E29" s="40"/>
      <c r="F29" s="27"/>
      <c r="G29" s="27"/>
      <c r="H29" s="29"/>
      <c r="I29" s="29"/>
      <c r="J29" s="33"/>
      <c r="K29" s="30">
        <f t="shared" si="0"/>
      </c>
      <c r="L29" s="32">
        <f t="shared" si="1"/>
      </c>
    </row>
    <row r="30" spans="1:12" x14ac:dyDescent="0.25">
      <c r="A30" s="26"/>
      <c r="B30" s="27"/>
      <c r="C30" s="27"/>
      <c r="D30" s="35"/>
      <c r="E30" s="40"/>
      <c r="F30" s="27"/>
      <c r="G30" s="27"/>
      <c r="H30" s="29"/>
      <c r="I30" s="29"/>
      <c r="J30" s="33"/>
      <c r="K30" s="30">
        <f t="shared" si="0"/>
      </c>
      <c r="L30" s="32">
        <f t="shared" si="1"/>
      </c>
    </row>
    <row r="31" spans="1:12" x14ac:dyDescent="0.25">
      <c r="A31" s="26"/>
      <c r="B31" s="27"/>
      <c r="C31" s="27"/>
      <c r="D31" s="35"/>
      <c r="E31" s="40"/>
      <c r="F31" s="27"/>
      <c r="G31" s="27"/>
      <c r="H31" s="29"/>
      <c r="I31" s="29"/>
      <c r="J31" s="33"/>
      <c r="K31" s="30">
        <f t="shared" si="0"/>
      </c>
      <c r="L31" s="32">
        <f t="shared" si="1"/>
      </c>
    </row>
    <row r="32" spans="1:12" x14ac:dyDescent="0.25">
      <c r="A32" s="26"/>
      <c r="B32" s="27"/>
      <c r="C32" s="27"/>
      <c r="D32" s="35"/>
      <c r="E32" s="40"/>
      <c r="F32" s="27"/>
      <c r="G32" s="27"/>
      <c r="H32" s="29"/>
      <c r="I32" s="29"/>
      <c r="J32" s="33"/>
      <c r="K32" s="30">
        <f t="shared" si="0"/>
      </c>
      <c r="L32" s="32">
        <f t="shared" si="1"/>
      </c>
    </row>
    <row r="33" spans="1:12" x14ac:dyDescent="0.25">
      <c r="A33" s="26"/>
      <c r="B33" s="27"/>
      <c r="C33" s="27"/>
      <c r="D33" s="35"/>
      <c r="E33" s="40"/>
      <c r="F33" s="27"/>
      <c r="G33" s="27"/>
      <c r="H33" s="29"/>
      <c r="I33" s="29"/>
      <c r="J33" s="33"/>
      <c r="K33" s="30">
        <f t="shared" si="0"/>
      </c>
      <c r="L33" s="32">
        <f t="shared" si="1"/>
      </c>
    </row>
    <row r="34" spans="1:12" x14ac:dyDescent="0.25">
      <c r="A34" s="26"/>
      <c r="B34" s="27"/>
      <c r="C34" s="27"/>
      <c r="D34" s="35"/>
      <c r="E34" s="40"/>
      <c r="F34" s="27"/>
      <c r="G34" s="27"/>
      <c r="H34" s="29"/>
      <c r="I34" s="29"/>
      <c r="J34" s="33"/>
      <c r="K34" s="30">
        <f t="shared" si="0"/>
      </c>
      <c r="L34" s="32">
        <f t="shared" si="1"/>
      </c>
    </row>
    <row r="35" spans="1:12" x14ac:dyDescent="0.25">
      <c r="A35" s="26"/>
      <c r="B35" s="27"/>
      <c r="C35" s="27"/>
      <c r="D35" s="35"/>
      <c r="E35" s="40"/>
      <c r="F35" s="27"/>
      <c r="G35" s="27"/>
      <c r="H35" s="29"/>
      <c r="I35" s="29"/>
      <c r="J35" s="33"/>
      <c r="K35" s="30">
        <f t="shared" si="0"/>
      </c>
      <c r="L35" s="32">
        <f t="shared" si="1"/>
      </c>
    </row>
    <row r="36" spans="1:12" x14ac:dyDescent="0.25">
      <c r="A36" s="26"/>
      <c r="B36" s="27"/>
      <c r="C36" s="27"/>
      <c r="D36" s="35"/>
      <c r="E36" s="40"/>
      <c r="F36" s="27"/>
      <c r="G36" s="27"/>
      <c r="H36" s="29"/>
      <c r="I36" s="29"/>
      <c r="J36" s="33"/>
      <c r="K36" s="30">
        <f t="shared" si="0"/>
      </c>
      <c r="L36" s="32">
        <f t="shared" si="1"/>
      </c>
    </row>
    <row r="37" spans="1:12" x14ac:dyDescent="0.25">
      <c r="A37" s="26"/>
      <c r="B37" s="27"/>
      <c r="C37" s="27"/>
      <c r="D37" s="35"/>
      <c r="E37" s="40"/>
      <c r="F37" s="27"/>
      <c r="G37" s="27"/>
      <c r="H37" s="29"/>
      <c r="I37" s="29"/>
      <c r="J37" s="33"/>
      <c r="K37" s="30">
        <f t="shared" si="0"/>
      </c>
      <c r="L37" s="32">
        <f t="shared" si="1"/>
      </c>
    </row>
    <row r="38" spans="1:12" x14ac:dyDescent="0.25">
      <c r="A38" s="26"/>
      <c r="B38" s="27"/>
      <c r="C38" s="27"/>
      <c r="D38" s="35"/>
      <c r="E38" s="40"/>
      <c r="F38" s="27"/>
      <c r="G38" s="27"/>
      <c r="H38" s="29"/>
      <c r="I38" s="29"/>
      <c r="J38" s="33"/>
      <c r="K38" s="30">
        <f t="shared" si="0"/>
      </c>
      <c r="L38" s="32">
        <f t="shared" si="1"/>
      </c>
    </row>
    <row r="39" spans="1:12" x14ac:dyDescent="0.25">
      <c r="A39" s="26"/>
      <c r="B39" s="27"/>
      <c r="C39" s="27"/>
      <c r="D39" s="35"/>
      <c r="E39" s="40"/>
      <c r="F39" s="27"/>
      <c r="G39" s="27"/>
      <c r="H39" s="29"/>
      <c r="I39" s="29"/>
      <c r="J39" s="33"/>
      <c r="K39" s="30">
        <f t="shared" si="0"/>
      </c>
      <c r="L39" s="32">
        <f t="shared" si="1"/>
      </c>
    </row>
    <row r="40" spans="1:12" x14ac:dyDescent="0.25">
      <c r="A40" s="26"/>
      <c r="B40" s="27"/>
      <c r="C40" s="27"/>
      <c r="D40" s="35"/>
      <c r="E40" s="40"/>
      <c r="F40" s="27"/>
      <c r="G40" s="27"/>
      <c r="H40" s="29"/>
      <c r="I40" s="29"/>
      <c r="J40" s="33"/>
      <c r="K40" s="30">
        <f t="shared" si="0"/>
      </c>
      <c r="L40" s="32">
        <f t="shared" si="1"/>
      </c>
    </row>
    <row r="41" spans="1:12" x14ac:dyDescent="0.25">
      <c r="A41" s="26"/>
      <c r="B41" s="27"/>
      <c r="C41" s="27"/>
      <c r="D41" s="35"/>
      <c r="E41" s="40"/>
      <c r="F41" s="27"/>
      <c r="G41" s="27"/>
      <c r="H41" s="29"/>
      <c r="I41" s="29"/>
      <c r="J41" s="33"/>
      <c r="K41" s="30">
        <f t="shared" si="0"/>
      </c>
      <c r="L41" s="32">
        <f t="shared" si="1"/>
      </c>
    </row>
    <row r="42" spans="1:12" x14ac:dyDescent="0.25">
      <c r="A42" s="26"/>
      <c r="B42" s="27"/>
      <c r="C42" s="27"/>
      <c r="D42" s="35"/>
      <c r="E42" s="40"/>
      <c r="F42" s="27"/>
      <c r="G42" s="27"/>
      <c r="H42" s="29"/>
      <c r="I42" s="29"/>
      <c r="J42" s="33"/>
      <c r="K42" s="30">
        <f t="shared" si="0"/>
      </c>
      <c r="L42" s="32">
        <f t="shared" si="1"/>
      </c>
    </row>
    <row r="43" spans="1:12" x14ac:dyDescent="0.25">
      <c r="A43" s="26"/>
      <c r="B43" s="27"/>
      <c r="C43" s="27"/>
      <c r="D43" s="35"/>
      <c r="E43" s="40"/>
      <c r="F43" s="27"/>
      <c r="G43" s="27"/>
      <c r="H43" s="29"/>
      <c r="I43" s="29"/>
      <c r="J43" s="33"/>
      <c r="K43" s="30">
        <f t="shared" si="0"/>
      </c>
      <c r="L43" s="32">
        <f t="shared" si="1"/>
      </c>
    </row>
    <row r="44" spans="1:12" x14ac:dyDescent="0.25">
      <c r="A44" s="26"/>
      <c r="B44" s="27"/>
      <c r="C44" s="27"/>
      <c r="D44" s="35"/>
      <c r="E44" s="40"/>
      <c r="F44" s="27"/>
      <c r="G44" s="27"/>
      <c r="H44" s="29"/>
      <c r="I44" s="29"/>
      <c r="J44" s="33"/>
      <c r="K44" s="30">
        <f t="shared" si="0"/>
      </c>
      <c r="L44" s="32">
        <f t="shared" si="1"/>
      </c>
    </row>
    <row r="45" spans="1:12" x14ac:dyDescent="0.25">
      <c r="A45" s="26"/>
      <c r="B45" s="27"/>
      <c r="C45" s="27"/>
      <c r="D45" s="35"/>
      <c r="E45" s="40"/>
      <c r="F45" s="27"/>
      <c r="G45" s="27"/>
      <c r="H45" s="29"/>
      <c r="I45" s="29"/>
      <c r="J45" s="33"/>
      <c r="K45" s="30">
        <f t="shared" si="0"/>
      </c>
      <c r="L45" s="32">
        <f t="shared" si="1"/>
      </c>
    </row>
    <row r="46" spans="1:12" x14ac:dyDescent="0.25">
      <c r="A46" s="26"/>
      <c r="B46" s="27"/>
      <c r="C46" s="27"/>
      <c r="D46" s="35"/>
      <c r="E46" s="40"/>
      <c r="F46" s="27"/>
      <c r="G46" s="27"/>
      <c r="H46" s="29"/>
      <c r="I46" s="29"/>
      <c r="J46" s="33"/>
      <c r="K46" s="30">
        <f t="shared" si="0"/>
      </c>
      <c r="L46" s="32">
        <f t="shared" si="1"/>
      </c>
    </row>
    <row r="47" spans="1:12" x14ac:dyDescent="0.25">
      <c r="A47" s="26"/>
      <c r="B47" s="27"/>
      <c r="C47" s="27"/>
      <c r="D47" s="35"/>
      <c r="E47" s="40"/>
      <c r="F47" s="27"/>
      <c r="G47" s="27"/>
      <c r="H47" s="29"/>
      <c r="I47" s="29"/>
      <c r="J47" s="33"/>
      <c r="K47" s="30">
        <f t="shared" si="0"/>
      </c>
      <c r="L47" s="32">
        <f t="shared" si="1"/>
      </c>
    </row>
    <row r="48" spans="1:12" x14ac:dyDescent="0.25">
      <c r="A48" s="26"/>
      <c r="B48" s="27"/>
      <c r="C48" s="27"/>
      <c r="D48" s="35"/>
      <c r="E48" s="40"/>
      <c r="F48" s="27"/>
      <c r="G48" s="27"/>
      <c r="H48" s="29"/>
      <c r="I48" s="29"/>
      <c r="J48" s="33"/>
      <c r="K48" s="30">
        <f t="shared" si="0"/>
      </c>
      <c r="L48" s="32">
        <f t="shared" si="1"/>
      </c>
    </row>
    <row r="49" spans="1:12" x14ac:dyDescent="0.25">
      <c r="A49" s="26"/>
      <c r="B49" s="27"/>
      <c r="C49" s="27"/>
      <c r="D49" s="35"/>
      <c r="E49" s="40"/>
      <c r="F49" s="27"/>
      <c r="G49" s="27"/>
      <c r="H49" s="29"/>
      <c r="I49" s="29"/>
      <c r="J49" s="33"/>
      <c r="K49" s="30">
        <f t="shared" si="0"/>
      </c>
      <c r="L49" s="32">
        <f t="shared" si="1"/>
      </c>
    </row>
    <row r="50" spans="1:12" x14ac:dyDescent="0.25">
      <c r="A50" s="26"/>
      <c r="B50" s="27"/>
      <c r="C50" s="27"/>
      <c r="D50" s="35"/>
      <c r="E50" s="40"/>
      <c r="F50" s="27"/>
      <c r="G50" s="27"/>
      <c r="H50" s="29"/>
      <c r="I50" s="29"/>
      <c r="J50" s="33"/>
      <c r="K50" s="30">
        <f t="shared" si="0"/>
      </c>
      <c r="L50" s="32">
        <f t="shared" si="1"/>
      </c>
    </row>
    <row r="51" spans="1:12" x14ac:dyDescent="0.25">
      <c r="A51" s="26"/>
      <c r="B51" s="27"/>
      <c r="C51" s="27"/>
      <c r="D51" s="35"/>
      <c r="E51" s="40"/>
      <c r="F51" s="27"/>
      <c r="G51" s="27"/>
      <c r="H51" s="29"/>
      <c r="I51" s="29"/>
      <c r="J51" s="33"/>
      <c r="K51" s="30">
        <f t="shared" si="0"/>
      </c>
      <c r="L51" s="32">
        <f t="shared" si="1"/>
      </c>
    </row>
    <row r="52" spans="1:12" x14ac:dyDescent="0.25">
      <c r="A52" s="26"/>
      <c r="B52" s="27"/>
      <c r="C52" s="27"/>
      <c r="D52" s="35"/>
      <c r="E52" s="40"/>
      <c r="F52" s="27"/>
      <c r="G52" s="27"/>
      <c r="H52" s="29"/>
      <c r="I52" s="29"/>
      <c r="J52" s="33"/>
      <c r="K52" s="30">
        <f t="shared" si="0"/>
      </c>
      <c r="L52" s="32">
        <f t="shared" si="1"/>
      </c>
    </row>
    <row r="53" spans="1:12" x14ac:dyDescent="0.25">
      <c r="A53" s="26"/>
      <c r="B53" s="27"/>
      <c r="C53" s="27"/>
      <c r="D53" s="35"/>
      <c r="E53" s="40"/>
      <c r="F53" s="27"/>
      <c r="G53" s="27"/>
      <c r="H53" s="29"/>
      <c r="I53" s="29"/>
      <c r="J53" s="33"/>
      <c r="K53" s="30">
        <f t="shared" si="0"/>
      </c>
      <c r="L53" s="32">
        <f t="shared" si="1"/>
      </c>
    </row>
    <row r="54" spans="1:12" x14ac:dyDescent="0.25">
      <c r="A54" s="26"/>
      <c r="B54" s="27"/>
      <c r="C54" s="27"/>
      <c r="D54" s="35"/>
      <c r="E54" s="40"/>
      <c r="F54" s="27"/>
      <c r="G54" s="27"/>
      <c r="H54" s="29"/>
      <c r="I54" s="29"/>
      <c r="J54" s="33"/>
      <c r="K54" s="30">
        <f t="shared" si="0"/>
      </c>
      <c r="L54" s="32">
        <f t="shared" si="1"/>
      </c>
    </row>
    <row r="55" spans="1:12" x14ac:dyDescent="0.25">
      <c r="A55" s="26"/>
      <c r="B55" s="27"/>
      <c r="C55" s="27"/>
      <c r="D55" s="35"/>
      <c r="E55" s="40"/>
      <c r="F55" s="27"/>
      <c r="G55" s="27"/>
      <c r="H55" s="29"/>
      <c r="I55" s="29"/>
      <c r="J55" s="33"/>
      <c r="K55" s="30">
        <f t="shared" si="0"/>
      </c>
      <c r="L55" s="32">
        <f t="shared" si="1"/>
      </c>
    </row>
    <row r="56" spans="1:12" x14ac:dyDescent="0.25">
      <c r="A56" s="26"/>
      <c r="B56" s="27"/>
      <c r="C56" s="27"/>
      <c r="D56" s="35"/>
      <c r="E56" s="40"/>
      <c r="F56" s="27"/>
      <c r="G56" s="27"/>
      <c r="H56" s="29"/>
      <c r="I56" s="29"/>
      <c r="J56" s="33"/>
      <c r="K56" s="30">
        <f t="shared" si="0"/>
      </c>
      <c r="L56" s="32">
        <f t="shared" si="1"/>
      </c>
    </row>
    <row r="57" spans="1:12" x14ac:dyDescent="0.25">
      <c r="A57" s="26"/>
      <c r="B57" s="27"/>
      <c r="C57" s="27"/>
      <c r="D57" s="35"/>
      <c r="E57" s="40"/>
      <c r="F57" s="27"/>
      <c r="G57" s="27"/>
      <c r="H57" s="29"/>
      <c r="I57" s="29"/>
      <c r="J57" s="33"/>
      <c r="K57" s="30">
        <f t="shared" si="0"/>
      </c>
      <c r="L57" s="32">
        <f t="shared" si="1"/>
      </c>
    </row>
    <row r="58" spans="1:12" x14ac:dyDescent="0.25">
      <c r="A58" s="26"/>
      <c r="B58" s="27"/>
      <c r="C58" s="27"/>
      <c r="D58" s="35"/>
      <c r="E58" s="40"/>
      <c r="F58" s="27"/>
      <c r="G58" s="27"/>
      <c r="H58" s="29"/>
      <c r="I58" s="29"/>
      <c r="J58" s="33"/>
      <c r="K58" s="30">
        <f t="shared" si="0"/>
      </c>
      <c r="L58" s="32">
        <f t="shared" si="1"/>
      </c>
    </row>
    <row r="59" spans="1:12" x14ac:dyDescent="0.25">
      <c r="A59" s="26"/>
      <c r="B59" s="27"/>
      <c r="C59" s="27"/>
      <c r="D59" s="35"/>
      <c r="E59" s="40"/>
      <c r="F59" s="27"/>
      <c r="G59" s="27"/>
      <c r="H59" s="29"/>
      <c r="I59" s="29"/>
      <c r="J59" s="33"/>
      <c r="K59" s="30">
        <f t="shared" si="0"/>
      </c>
      <c r="L59" s="32">
        <f t="shared" si="1"/>
      </c>
    </row>
    <row r="60" spans="1:12" x14ac:dyDescent="0.25">
      <c r="A60" s="26"/>
      <c r="B60" s="27"/>
      <c r="C60" s="27"/>
      <c r="D60" s="35"/>
      <c r="E60" s="40"/>
      <c r="F60" s="27"/>
      <c r="G60" s="27"/>
      <c r="H60" s="29"/>
      <c r="I60" s="29"/>
      <c r="J60" s="33"/>
      <c r="K60" s="30">
        <f t="shared" si="0"/>
      </c>
      <c r="L60" s="32">
        <f t="shared" si="1"/>
      </c>
    </row>
    <row r="61" spans="1:12" x14ac:dyDescent="0.25">
      <c r="A61" s="26"/>
      <c r="B61" s="27"/>
      <c r="C61" s="27"/>
      <c r="D61" s="35"/>
      <c r="E61" s="40"/>
      <c r="F61" s="27"/>
      <c r="G61" s="27"/>
      <c r="H61" s="29"/>
      <c r="I61" s="29"/>
      <c r="J61" s="33"/>
      <c r="K61" s="30">
        <f t="shared" si="0"/>
      </c>
      <c r="L61" s="32">
        <f t="shared" si="1"/>
      </c>
    </row>
    <row r="62" spans="1:12" x14ac:dyDescent="0.25">
      <c r="A62" s="26"/>
      <c r="B62" s="27"/>
      <c r="C62" s="27"/>
      <c r="D62" s="35"/>
      <c r="E62" s="40"/>
      <c r="F62" s="27"/>
      <c r="G62" s="27"/>
      <c r="H62" s="29"/>
      <c r="I62" s="29"/>
      <c r="J62" s="33"/>
      <c r="K62" s="30">
        <f t="shared" si="0"/>
      </c>
      <c r="L62" s="32">
        <f t="shared" si="1"/>
      </c>
    </row>
    <row r="63" spans="1:12" x14ac:dyDescent="0.25">
      <c r="A63" s="26"/>
      <c r="B63" s="27"/>
      <c r="C63" s="27"/>
      <c r="D63" s="35"/>
      <c r="E63" s="40"/>
      <c r="F63" s="27"/>
      <c r="G63" s="27"/>
      <c r="H63" s="29"/>
      <c r="I63" s="29"/>
      <c r="J63" s="33"/>
      <c r="K63" s="30">
        <f t="shared" si="0"/>
      </c>
      <c r="L63" s="32">
        <f t="shared" si="1"/>
      </c>
    </row>
    <row r="64" spans="1:12" x14ac:dyDescent="0.25">
      <c r="A64" s="26"/>
      <c r="B64" s="27"/>
      <c r="C64" s="27"/>
      <c r="D64" s="35"/>
      <c r="E64" s="40"/>
      <c r="F64" s="27"/>
      <c r="G64" s="27"/>
      <c r="H64" s="29"/>
      <c r="I64" s="29"/>
      <c r="J64" s="33"/>
      <c r="K64" s="30">
        <f t="shared" si="0"/>
      </c>
      <c r="L64" s="32">
        <f t="shared" si="1"/>
      </c>
    </row>
    <row r="65" spans="1:12" x14ac:dyDescent="0.25">
      <c r="A65" s="26"/>
      <c r="B65" s="27"/>
      <c r="C65" s="27"/>
      <c r="D65" s="35"/>
      <c r="E65" s="40"/>
      <c r="F65" s="27"/>
      <c r="G65" s="27"/>
      <c r="H65" s="29"/>
      <c r="I65" s="29"/>
      <c r="J65" s="33"/>
      <c r="K65" s="30">
        <f t="shared" si="0"/>
      </c>
      <c r="L65" s="32">
        <f t="shared" si="1"/>
      </c>
    </row>
    <row r="66" spans="1:12" x14ac:dyDescent="0.25">
      <c r="A66" s="26"/>
      <c r="B66" s="27"/>
      <c r="C66" s="27"/>
      <c r="D66" s="35"/>
      <c r="E66" s="40"/>
      <c r="F66" s="27"/>
      <c r="G66" s="27"/>
      <c r="H66" s="29"/>
      <c r="I66" s="29"/>
      <c r="J66" s="33"/>
      <c r="K66" s="30">
        <f t="shared" si="0"/>
      </c>
      <c r="L66" s="32">
        <f t="shared" si="1"/>
      </c>
    </row>
    <row r="67" spans="1:12" x14ac:dyDescent="0.25">
      <c r="A67" s="26"/>
      <c r="B67" s="27"/>
      <c r="C67" s="27"/>
      <c r="D67" s="35"/>
      <c r="E67" s="40"/>
      <c r="F67" s="27"/>
      <c r="G67" s="27"/>
      <c r="H67" s="29"/>
      <c r="I67" s="29"/>
      <c r="J67" s="33"/>
      <c r="K67" s="30">
        <f t="shared" si="0"/>
      </c>
      <c r="L67" s="32">
        <f t="shared" si="1"/>
      </c>
    </row>
    <row r="68" spans="1:12" x14ac:dyDescent="0.25">
      <c r="A68" s="26"/>
      <c r="B68" s="27"/>
      <c r="C68" s="27"/>
      <c r="D68" s="35"/>
      <c r="E68" s="40"/>
      <c r="F68" s="27"/>
      <c r="G68" s="27"/>
      <c r="H68" s="29"/>
      <c r="I68" s="29"/>
      <c r="J68" s="33"/>
      <c r="K68" s="30">
        <f t="shared" si="0"/>
      </c>
      <c r="L68" s="32">
        <f t="shared" si="1"/>
      </c>
    </row>
    <row r="69" spans="1:12" x14ac:dyDescent="0.25">
      <c r="A69" s="26"/>
      <c r="B69" s="27"/>
      <c r="C69" s="27"/>
      <c r="D69" s="35"/>
      <c r="E69" s="40"/>
      <c r="F69" s="27"/>
      <c r="G69" s="27"/>
      <c r="H69" s="29"/>
      <c r="I69" s="29"/>
      <c r="J69" s="33"/>
      <c r="K69" s="30">
        <f t="shared" si="0"/>
      </c>
      <c r="L69" s="32">
        <f t="shared" si="1"/>
      </c>
    </row>
    <row r="70" spans="1:12" x14ac:dyDescent="0.25">
      <c r="A70" s="26"/>
      <c r="B70" s="27"/>
      <c r="C70" s="27"/>
      <c r="D70" s="35"/>
      <c r="E70" s="40"/>
      <c r="F70" s="27"/>
      <c r="G70" s="27"/>
      <c r="H70" s="29"/>
      <c r="I70" s="29"/>
      <c r="J70" s="33"/>
      <c r="K70" s="30">
        <f t="shared" si="0"/>
      </c>
      <c r="L70" s="32">
        <f t="shared" si="1"/>
      </c>
    </row>
    <row r="71" spans="1:12" x14ac:dyDescent="0.25">
      <c r="A71" s="26"/>
      <c r="B71" s="27"/>
      <c r="C71" s="27"/>
      <c r="D71" s="35"/>
      <c r="E71" s="40"/>
      <c r="F71" s="27"/>
      <c r="G71" s="27"/>
      <c r="H71" s="29"/>
      <c r="I71" s="29"/>
      <c r="J71" s="33"/>
      <c r="K71" s="30">
        <f t="shared" si="0"/>
      </c>
      <c r="L71" s="32">
        <f t="shared" si="1"/>
      </c>
    </row>
    <row r="72" spans="1:12" x14ac:dyDescent="0.25">
      <c r="A72" s="26"/>
      <c r="B72" s="27"/>
      <c r="C72" s="27"/>
      <c r="D72" s="35"/>
      <c r="E72" s="40"/>
      <c r="F72" s="27"/>
      <c r="G72" s="27"/>
      <c r="H72" s="29"/>
      <c r="I72" s="29"/>
      <c r="J72" s="33"/>
      <c r="K72" s="30">
        <f t="shared" si="0"/>
      </c>
      <c r="L72" s="32">
        <f t="shared" si="1"/>
      </c>
    </row>
    <row r="73" spans="1:12" x14ac:dyDescent="0.25">
      <c r="A73" s="26"/>
      <c r="B73" s="27"/>
      <c r="C73" s="27"/>
      <c r="D73" s="35"/>
      <c r="E73" s="40"/>
      <c r="F73" s="27"/>
      <c r="G73" s="27"/>
      <c r="H73" s="29"/>
      <c r="I73" s="29"/>
      <c r="J73" s="33"/>
      <c r="K73" s="30">
        <f t="shared" si="0"/>
      </c>
      <c r="L73" s="32">
        <f t="shared" si="1"/>
      </c>
    </row>
    <row r="74" spans="1:12" x14ac:dyDescent="0.25">
      <c r="A74" s="26"/>
      <c r="B74" s="27"/>
      <c r="C74" s="27"/>
      <c r="D74" s="35"/>
      <c r="E74" s="40"/>
      <c r="F74" s="27"/>
      <c r="G74" s="27"/>
      <c r="H74" s="29"/>
      <c r="I74" s="29"/>
      <c r="J74" s="33"/>
      <c r="K74" s="30">
        <f t="shared" si="0"/>
      </c>
      <c r="L74" s="32">
        <f t="shared" si="1"/>
      </c>
    </row>
    <row r="75" spans="1:12" x14ac:dyDescent="0.25">
      <c r="A75" s="26"/>
      <c r="B75" s="27"/>
      <c r="C75" s="27"/>
      <c r="D75" s="35"/>
      <c r="E75" s="40"/>
      <c r="F75" s="27"/>
      <c r="G75" s="27"/>
      <c r="H75" s="29"/>
      <c r="I75" s="29"/>
      <c r="J75" s="33"/>
      <c r="K75" s="30">
        <f t="shared" si="0"/>
      </c>
      <c r="L75" s="32">
        <f t="shared" si="1"/>
      </c>
    </row>
    <row r="76" spans="1:12" x14ac:dyDescent="0.25">
      <c r="A76" s="26"/>
      <c r="B76" s="27"/>
      <c r="C76" s="27"/>
      <c r="D76" s="35"/>
      <c r="E76" s="40"/>
      <c r="F76" s="27"/>
      <c r="G76" s="27"/>
      <c r="H76" s="29"/>
      <c r="I76" s="29"/>
      <c r="J76" s="33"/>
      <c r="K76" s="30">
        <f t="shared" si="0"/>
      </c>
      <c r="L76" s="32">
        <f t="shared" si="1"/>
      </c>
    </row>
    <row r="77" spans="1:12" x14ac:dyDescent="0.25">
      <c r="A77" s="26"/>
      <c r="B77" s="27"/>
      <c r="C77" s="27"/>
      <c r="D77" s="35"/>
      <c r="E77" s="40"/>
      <c r="F77" s="27"/>
      <c r="G77" s="27"/>
      <c r="H77" s="29"/>
      <c r="I77" s="29"/>
      <c r="J77" s="33"/>
      <c r="K77" s="30">
        <f t="shared" si="0"/>
      </c>
      <c r="L77" s="32">
        <f t="shared" si="1"/>
      </c>
    </row>
    <row r="78" spans="1:12" x14ac:dyDescent="0.25">
      <c r="A78" s="26"/>
      <c r="B78" s="27"/>
      <c r="C78" s="27"/>
      <c r="D78" s="35"/>
      <c r="E78" s="40"/>
      <c r="F78" s="27"/>
      <c r="G78" s="27"/>
      <c r="H78" s="29"/>
      <c r="I78" s="29"/>
      <c r="J78" s="33"/>
      <c r="K78" s="30">
        <f t="shared" si="0"/>
      </c>
      <c r="L78" s="32">
        <f t="shared" si="1"/>
      </c>
    </row>
    <row r="79" spans="1:12" x14ac:dyDescent="0.25">
      <c r="A79" s="26"/>
      <c r="B79" s="27"/>
      <c r="C79" s="27"/>
      <c r="D79" s="35"/>
      <c r="E79" s="40"/>
      <c r="F79" s="27"/>
      <c r="G79" s="27"/>
      <c r="H79" s="29"/>
      <c r="I79" s="29"/>
      <c r="J79" s="33"/>
      <c r="K79" s="30">
        <f t="shared" si="0"/>
      </c>
      <c r="L79" s="32">
        <f t="shared" si="1"/>
      </c>
    </row>
    <row r="80" spans="1:12" x14ac:dyDescent="0.25">
      <c r="A80" s="26"/>
      <c r="B80" s="27"/>
      <c r="C80" s="27"/>
      <c r="D80" s="35"/>
      <c r="E80" s="40"/>
      <c r="F80" s="27"/>
      <c r="G80" s="27"/>
      <c r="H80" s="29"/>
      <c r="I80" s="29"/>
      <c r="J80" s="33"/>
      <c r="K80" s="30">
        <f t="shared" si="0"/>
      </c>
      <c r="L80" s="32">
        <f t="shared" si="1"/>
      </c>
    </row>
    <row r="81" spans="1:12" x14ac:dyDescent="0.25">
      <c r="A81" s="26"/>
      <c r="B81" s="27"/>
      <c r="C81" s="27"/>
      <c r="D81" s="35"/>
      <c r="E81" s="40"/>
      <c r="F81" s="27"/>
      <c r="G81" s="27"/>
      <c r="H81" s="29"/>
      <c r="I81" s="29"/>
      <c r="J81" s="33"/>
      <c r="K81" s="30">
        <f t="shared" si="0"/>
      </c>
      <c r="L81" s="32">
        <f t="shared" si="1"/>
      </c>
    </row>
    <row r="82" spans="1:12" x14ac:dyDescent="0.25">
      <c r="A82" s="26"/>
      <c r="B82" s="27"/>
      <c r="C82" s="27"/>
      <c r="D82" s="35"/>
      <c r="E82" s="40"/>
      <c r="F82" s="27"/>
      <c r="G82" s="27"/>
      <c r="H82" s="29"/>
      <c r="I82" s="29"/>
      <c r="J82" s="33"/>
      <c r="K82" s="30">
        <f t="shared" si="0"/>
      </c>
      <c r="L82" s="32">
        <f t="shared" si="1"/>
      </c>
    </row>
    <row r="83" spans="1:12" x14ac:dyDescent="0.25">
      <c r="A83" s="26"/>
      <c r="B83" s="27"/>
      <c r="C83" s="27"/>
      <c r="D83" s="35"/>
      <c r="E83" s="40"/>
      <c r="F83" s="27"/>
      <c r="G83" s="27"/>
      <c r="H83" s="29"/>
      <c r="I83" s="29"/>
      <c r="J83" s="33"/>
      <c r="K83" s="30">
        <f t="shared" si="0"/>
      </c>
      <c r="L83" s="32">
        <f t="shared" si="1"/>
      </c>
    </row>
    <row r="84" spans="1:12" x14ac:dyDescent="0.25">
      <c r="A84" s="26"/>
      <c r="B84" s="27"/>
      <c r="C84" s="27"/>
      <c r="D84" s="35"/>
      <c r="E84" s="40"/>
      <c r="F84" s="27"/>
      <c r="G84" s="27"/>
      <c r="H84" s="29"/>
      <c r="I84" s="29"/>
      <c r="J84" s="33"/>
      <c r="K84" s="30">
        <f t="shared" si="0"/>
      </c>
      <c r="L84" s="32">
        <f t="shared" si="1"/>
      </c>
    </row>
    <row r="85" spans="1:12" x14ac:dyDescent="0.25">
      <c r="A85" s="26"/>
      <c r="B85" s="27"/>
      <c r="C85" s="27"/>
      <c r="D85" s="35"/>
      <c r="E85" s="40"/>
      <c r="F85" s="27"/>
      <c r="G85" s="27"/>
      <c r="H85" s="29"/>
      <c r="I85" s="29"/>
      <c r="J85" s="33"/>
      <c r="K85" s="30">
        <f t="shared" si="0"/>
      </c>
      <c r="L85" s="32">
        <f t="shared" si="1"/>
      </c>
    </row>
    <row r="86" spans="1:12" x14ac:dyDescent="0.25">
      <c r="A86" s="26"/>
      <c r="B86" s="27"/>
      <c r="C86" s="27"/>
      <c r="D86" s="35"/>
      <c r="E86" s="40"/>
      <c r="F86" s="27"/>
      <c r="G86" s="27"/>
      <c r="H86" s="29"/>
      <c r="I86" s="29"/>
      <c r="J86" s="33"/>
      <c r="K86" s="30">
        <f t="shared" si="0"/>
      </c>
      <c r="L86" s="32">
        <f t="shared" si="1"/>
      </c>
    </row>
    <row r="87" spans="1:12" x14ac:dyDescent="0.25">
      <c r="A87" s="26"/>
      <c r="B87" s="27"/>
      <c r="C87" s="27"/>
      <c r="D87" s="35"/>
      <c r="E87" s="40"/>
      <c r="F87" s="27"/>
      <c r="G87" s="27"/>
      <c r="H87" s="29"/>
      <c r="I87" s="29"/>
      <c r="J87" s="33"/>
      <c r="K87" s="30">
        <f t="shared" si="0"/>
      </c>
      <c r="L87" s="32">
        <f t="shared" si="1"/>
      </c>
    </row>
    <row r="88" spans="1:12" x14ac:dyDescent="0.25">
      <c r="A88" s="26"/>
      <c r="B88" s="27"/>
      <c r="C88" s="27"/>
      <c r="D88" s="35"/>
      <c r="E88" s="40"/>
      <c r="F88" s="27"/>
      <c r="G88" s="27"/>
      <c r="H88" s="29"/>
      <c r="I88" s="29"/>
      <c r="J88" s="33"/>
      <c r="K88" s="30">
        <f t="shared" si="0"/>
      </c>
      <c r="L88" s="32">
        <f t="shared" si="1"/>
      </c>
    </row>
    <row r="89" spans="1:12" x14ac:dyDescent="0.25">
      <c r="A89" s="26"/>
      <c r="B89" s="27"/>
      <c r="C89" s="27"/>
      <c r="D89" s="35"/>
      <c r="E89" s="40"/>
      <c r="F89" s="27"/>
      <c r="G89" s="27"/>
      <c r="H89" s="29"/>
      <c r="I89" s="29"/>
      <c r="J89" s="33"/>
      <c r="K89" s="30">
        <f t="shared" si="0"/>
      </c>
      <c r="L89" s="32">
        <f t="shared" si="1"/>
      </c>
    </row>
    <row r="90" spans="1:12" x14ac:dyDescent="0.25">
      <c r="A90" s="26"/>
      <c r="B90" s="27"/>
      <c r="C90" s="27"/>
      <c r="D90" s="35"/>
      <c r="E90" s="40"/>
      <c r="F90" s="27"/>
      <c r="G90" s="27"/>
      <c r="H90" s="29"/>
      <c r="I90" s="29"/>
      <c r="J90" s="33"/>
      <c r="K90" s="30">
        <f t="shared" si="0"/>
      </c>
      <c r="L90" s="32">
        <f t="shared" si="1"/>
      </c>
    </row>
    <row r="91" spans="1:12" x14ac:dyDescent="0.25">
      <c r="A91" s="26"/>
      <c r="B91" s="27"/>
      <c r="C91" s="27"/>
      <c r="D91" s="35"/>
      <c r="E91" s="40"/>
      <c r="F91" s="27"/>
      <c r="G91" s="27"/>
      <c r="H91" s="29"/>
      <c r="I91" s="29"/>
      <c r="J91" s="33"/>
      <c r="K91" s="30">
        <f t="shared" si="0"/>
      </c>
      <c r="L91" s="32">
        <f t="shared" si="1"/>
      </c>
    </row>
    <row r="92" spans="1:12" x14ac:dyDescent="0.25">
      <c r="A92" s="26"/>
      <c r="B92" s="27"/>
      <c r="C92" s="27"/>
      <c r="D92" s="35"/>
      <c r="E92" s="40"/>
      <c r="F92" s="27"/>
      <c r="G92" s="27"/>
      <c r="H92" s="29"/>
      <c r="I92" s="29"/>
      <c r="J92" s="33"/>
      <c r="K92" s="30">
        <f t="shared" si="0"/>
      </c>
      <c r="L92" s="32">
        <f t="shared" si="1"/>
      </c>
    </row>
    <row r="93" spans="1:12" x14ac:dyDescent="0.25">
      <c r="A93" s="26"/>
      <c r="B93" s="27"/>
      <c r="C93" s="27"/>
      <c r="D93" s="35"/>
      <c r="E93" s="40"/>
      <c r="F93" s="27"/>
      <c r="G93" s="27"/>
      <c r="H93" s="29"/>
      <c r="I93" s="29"/>
      <c r="J93" s="33"/>
      <c r="K93" s="30">
        <f t="shared" si="0"/>
      </c>
      <c r="L93" s="32">
        <f t="shared" si="1"/>
      </c>
    </row>
    <row r="94" spans="1:12" x14ac:dyDescent="0.25">
      <c r="A94" s="26"/>
      <c r="B94" s="27"/>
      <c r="C94" s="27"/>
      <c r="D94" s="35"/>
      <c r="E94" s="40"/>
      <c r="F94" s="27"/>
      <c r="G94" s="27"/>
      <c r="H94" s="29"/>
      <c r="I94" s="29"/>
      <c r="J94" s="33"/>
      <c r="K94" s="30">
        <f t="shared" si="0"/>
      </c>
      <c r="L94" s="32">
        <f t="shared" si="1"/>
      </c>
    </row>
    <row r="95" spans="1:12" x14ac:dyDescent="0.25">
      <c r="A95" s="26"/>
      <c r="B95" s="27"/>
      <c r="C95" s="27"/>
      <c r="D95" s="35"/>
      <c r="E95" s="40"/>
      <c r="F95" s="27"/>
      <c r="G95" s="27"/>
      <c r="H95" s="29"/>
      <c r="I95" s="29"/>
      <c r="J95" s="33"/>
      <c r="K95" s="30">
        <f t="shared" si="0"/>
      </c>
      <c r="L95" s="32">
        <f t="shared" si="1"/>
      </c>
    </row>
    <row r="96" spans="1:12" x14ac:dyDescent="0.25">
      <c r="A96" s="26"/>
      <c r="B96" s="27"/>
      <c r="C96" s="27"/>
      <c r="D96" s="35"/>
      <c r="E96" s="40"/>
      <c r="F96" s="27"/>
      <c r="G96" s="27"/>
      <c r="H96" s="29"/>
      <c r="I96" s="29"/>
      <c r="J96" s="33"/>
      <c r="K96" s="30">
        <f t="shared" si="0"/>
      </c>
      <c r="L96" s="32">
        <f t="shared" si="1"/>
      </c>
    </row>
    <row r="97" spans="1:12" x14ac:dyDescent="0.25">
      <c r="A97" s="26"/>
      <c r="B97" s="27"/>
      <c r="C97" s="27"/>
      <c r="D97" s="35"/>
      <c r="E97" s="40"/>
      <c r="F97" s="27"/>
      <c r="G97" s="27"/>
      <c r="H97" s="29"/>
      <c r="I97" s="29"/>
      <c r="J97" s="33"/>
      <c r="K97" s="30">
        <f t="shared" si="0"/>
      </c>
      <c r="L97" s="32">
        <f t="shared" si="1"/>
      </c>
    </row>
    <row r="98" spans="1:12" x14ac:dyDescent="0.25">
      <c r="A98" s="26"/>
      <c r="B98" s="27"/>
      <c r="C98" s="27"/>
      <c r="D98" s="35"/>
      <c r="E98" s="40"/>
      <c r="F98" s="27"/>
      <c r="G98" s="27"/>
      <c r="H98" s="29"/>
      <c r="I98" s="29"/>
      <c r="J98" s="33"/>
      <c r="K98" s="30">
        <f t="shared" si="0"/>
      </c>
      <c r="L98" s="32">
        <f t="shared" si="1"/>
      </c>
    </row>
    <row r="99" spans="1:12" x14ac:dyDescent="0.25">
      <c r="A99" s="26"/>
      <c r="B99" s="27"/>
      <c r="C99" s="27"/>
      <c r="D99" s="35"/>
      <c r="E99" s="40"/>
      <c r="F99" s="27"/>
      <c r="G99" s="27"/>
      <c r="H99" s="29"/>
      <c r="I99" s="29"/>
      <c r="J99" s="33"/>
      <c r="K99" s="30">
        <f t="shared" si="0"/>
      </c>
      <c r="L99" s="32">
        <f t="shared" si="1"/>
      </c>
    </row>
    <row r="100" spans="1:12" x14ac:dyDescent="0.25">
      <c r="A100" s="26"/>
      <c r="B100" s="27"/>
      <c r="C100" s="27"/>
      <c r="D100" s="35"/>
      <c r="E100" s="40"/>
      <c r="F100" s="27"/>
      <c r="G100" s="27"/>
      <c r="H100" s="29"/>
      <c r="I100" s="29"/>
      <c r="J100" s="33"/>
      <c r="K100" s="30">
        <f t="shared" si="0"/>
      </c>
      <c r="L100" s="32">
        <f t="shared" si="1"/>
      </c>
    </row>
    <row r="101" spans="1:12" x14ac:dyDescent="0.25">
      <c r="A101" s="26"/>
      <c r="B101" s="27"/>
      <c r="C101" s="27"/>
      <c r="D101" s="35"/>
      <c r="E101" s="40"/>
      <c r="F101" s="27"/>
      <c r="G101" s="27"/>
      <c r="H101" s="29"/>
      <c r="I101" s="29"/>
      <c r="J101" s="33"/>
      <c r="K101" s="30">
        <f t="shared" si="0"/>
      </c>
      <c r="L101" s="32">
        <f t="shared" si="1"/>
      </c>
    </row>
    <row r="102" spans="1:12" x14ac:dyDescent="0.25">
      <c r="A102" s="26"/>
      <c r="B102" s="27"/>
      <c r="C102" s="27"/>
      <c r="D102" s="35"/>
      <c r="E102" s="40"/>
      <c r="F102" s="27"/>
      <c r="G102" s="27"/>
      <c r="H102" s="29"/>
      <c r="I102" s="29"/>
      <c r="J102" s="33"/>
      <c r="K102" s="30">
        <f t="shared" si="0"/>
      </c>
      <c r="L102" s="32">
        <f t="shared" si="1"/>
      </c>
    </row>
    <row r="103" spans="1:12" x14ac:dyDescent="0.25">
      <c r="A103" s="26"/>
      <c r="B103" s="27"/>
      <c r="C103" s="27"/>
      <c r="D103" s="35"/>
      <c r="E103" s="40"/>
      <c r="F103" s="27"/>
      <c r="G103" s="27"/>
      <c r="H103" s="29"/>
      <c r="I103" s="29"/>
      <c r="J103" s="33"/>
      <c r="K103" s="30">
        <f t="shared" si="0"/>
      </c>
      <c r="L103" s="32">
        <f t="shared" si="1"/>
      </c>
    </row>
  </sheetData>
  <sheetProtection sheet="1" formatColumns="0" formatRows="0" autoFilter="0"/>
  <autoFilter ref="A3:L103"/>
  <mergeCells count="2">
    <mergeCell ref="A1:B2"/>
    <mergeCell ref="C1:K2"/>
  </mergeCells>
  <conditionalFormatting sqref="K4:K103">
    <cfRule type="expression" dxfId="45" priority="1">
      <formula>OR(LEFT(K4,4)="ERRO",LEFT(K4,7)="ATENÇÃO")</formula>
    </cfRule>
    <cfRule type="expression" dxfId="46" priority="2">
      <formula>OR(LEFT(K4,8)="Pendente",LEFT(K4,9)="Verificar",LEFT(K4,9)="Duplicada",LEFT(K4,7)="Tarefa ",LEFT(K4,13)="Fora do plano",LEFT(K4,8)="Previsão",LEFT(K4,11)="Sem vínculo",LEFT(K4,14)="Não verificado",LEFT(K4,7)="Informe",LEFT(K4,9)="A definir")</formula>
    </cfRule>
    <cfRule type="expression" dxfId="47" priority="3">
      <formula>OR(K4="OK",LEFT(K4,4)="Nada",LEFT(K4,3)="OK:")</formula>
    </cfRule>
  </conditionalFormatting>
  <conditionalFormatting sqref="K4:K103">
    <cfRule type="expression" dxfId="48" priority="10">
      <formula>K4="Em dia"</formula>
    </cfRule>
  </conditionalFormatting>
  <conditionalFormatting sqref="L4:L103">
    <cfRule type="expression" dxfId="49" priority="1">
      <formula>OR(LEFT(L4,4)="ERRO",LEFT(L4,7)="ATENÇÃO")</formula>
    </cfRule>
    <cfRule type="expression" dxfId="50" priority="2">
      <formula>OR(LEFT(L4,8)="Pendente",LEFT(L4,9)="Verificar",LEFT(L4,9)="Duplicada",LEFT(L4,7)="Tarefa ",LEFT(L4,13)="Fora do plano",LEFT(L4,8)="Previsão",LEFT(L4,11)="Sem vínculo",LEFT(L4,14)="Não verificado",LEFT(L4,7)="Informe",LEFT(L4,9)="A definir")</formula>
    </cfRule>
    <cfRule type="expression" dxfId="51" priority="3">
      <formula>OR(L4="OK",LEFT(L4,4)="Nada",LEFT(L4,3)="OK:")</formula>
    </cfRule>
  </conditionalFormatting>
  <dataValidations count="3">
    <dataValidation type="whole" allowBlank="1" showErrorMessage="1" errorStyle="stop" errorTitle="Valor inválido" error="Ano com 4 dígitos." sqref="E4:E103">
      <formula1>1900</formula1>
      <formula2>2100</formula2>
    </dataValidation>
    <dataValidation type="list" allowBlank="1" showErrorMessage="1" errorStyle="stop" errorTitle="Valor fora da lista" error="Escolha um item da lista suspensa (aba Listas)." sqref="G4:G103">
      <formula1>OFFSET(lst_setor,0,0,MAX(1,COUNTA(lst_setor)),1)</formula1>
    </dataValidation>
    <dataValidation type="date" allowBlank="1" showErrorMessage="1" errorStyle="stop" errorTitle="Data inválida" error="Digite uma data válida no formato dd/mm/aaaa." sqref="J4:J10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2" customWidth="1"/>
    <col min="4" max="5" width="11" customWidth="1"/>
    <col min="6" max="6" width="12" customWidth="1"/>
    <col min="8" max="8" width="20" customWidth="1"/>
    <col min="9" max="9" width="13" customWidth="1"/>
    <col min="10" max="10" width="16" customWidth="1"/>
    <col min="11" max="11" width="30" customWidth="1"/>
  </cols>
  <sheetData>
    <row r="1" ht="36" customHeight="1" spans="1:11" x14ac:dyDescent="0.25">
      <c r="A1" s="1"/>
      <c r="B1" s="1"/>
      <c r="C1" s="2" t="s">
        <v>174</v>
      </c>
      <c r="D1" s="2"/>
      <c r="E1" s="2"/>
      <c r="F1" s="2"/>
      <c r="G1" s="2"/>
      <c r="H1" s="2"/>
      <c r="I1" s="2"/>
      <c r="J1" s="2"/>
      <c r="K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1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4">
        <f>"Elaborado: "&amp;IF(cfg_elaborado="","A definir",cfg_elaborado)&amp;CHAR(10)&amp;"Aprovado: "&amp;IF(cfg_aprovado="","A definir",cfg_aprovado)</f>
      </c>
    </row>
    <row r="3" ht="40" customHeight="1" spans="1:11" x14ac:dyDescent="0.25">
      <c r="A3" s="8" t="s">
        <v>175</v>
      </c>
      <c r="B3" s="8" t="s">
        <v>176</v>
      </c>
      <c r="C3" s="8" t="s">
        <v>177</v>
      </c>
      <c r="D3" s="8" t="s">
        <v>178</v>
      </c>
      <c r="E3" s="8" t="s">
        <v>179</v>
      </c>
      <c r="F3" s="8" t="s">
        <v>180</v>
      </c>
      <c r="G3" s="8" t="s">
        <v>181</v>
      </c>
      <c r="H3" s="8" t="s">
        <v>182</v>
      </c>
      <c r="I3" s="8" t="s">
        <v>183</v>
      </c>
      <c r="J3" s="8" t="s">
        <v>184</v>
      </c>
      <c r="K3" s="8" t="s">
        <v>111</v>
      </c>
    </row>
    <row r="4" spans="1:11" x14ac:dyDescent="0.25">
      <c r="A4" s="38"/>
      <c r="B4" s="27"/>
      <c r="C4" s="33"/>
      <c r="D4" s="28"/>
      <c r="E4" s="28"/>
      <c r="F4" s="28"/>
      <c r="G4" s="41">
        <f t="shared" ref="G4:G63" si="0">IF(COUNT(D4:F4)&lt;3,"",AVERAGE(D4:F4))</f>
      </c>
      <c r="H4" s="30">
        <f t="shared" ref="H4:H63" si="1">IF(G4="","",IF(G4&gt;=4,"Aprovado",IF(G4&gt;=3,"Aprovado com ressalva","Reprovado")))</f>
      </c>
      <c r="I4" s="33"/>
      <c r="J4" s="30">
        <f t="shared" ref="J4:J63" si="2">IF(NOT(ISNUMBER(I4)),"",IF(I4&lt;TODAY(),"Avaliação vencida",IF(I4-TODAY()&lt;=30,"Vence em 30 dias","Em dia")))</f>
      </c>
      <c r="K4" s="32">
        <f t="shared" ref="K4:K63" si="3">IF(A4&amp;B4="","",IF(A4="","ERRO: falta o fornecedor",IF(NOT(ISNUMBER(C4)),"Pendente: data da avaliação",IF(COUNT(D4:F4)&lt;3,"Pendente: dê as três notas",IF(AND(ISNUMBER(I4),I4&lt;C4),"ERRO: próxima avaliação anterior à avaliação",IF(NOT(ISNUMBER(I4)),"Pendente: agende a próxima avaliação","OK"))))))</f>
      </c>
    </row>
    <row r="5" spans="1:11" x14ac:dyDescent="0.25">
      <c r="A5" s="38"/>
      <c r="B5" s="27"/>
      <c r="C5" s="33"/>
      <c r="D5" s="28"/>
      <c r="E5" s="28"/>
      <c r="F5" s="28"/>
      <c r="G5" s="41">
        <f t="shared" si="0"/>
      </c>
      <c r="H5" s="30">
        <f t="shared" si="1"/>
      </c>
      <c r="I5" s="33"/>
      <c r="J5" s="30">
        <f t="shared" si="2"/>
      </c>
      <c r="K5" s="32">
        <f t="shared" si="3"/>
      </c>
    </row>
    <row r="6" spans="1:11" x14ac:dyDescent="0.25">
      <c r="A6" s="38"/>
      <c r="B6" s="27"/>
      <c r="C6" s="33"/>
      <c r="D6" s="28"/>
      <c r="E6" s="28"/>
      <c r="F6" s="28"/>
      <c r="G6" s="41">
        <f t="shared" si="0"/>
      </c>
      <c r="H6" s="30">
        <f t="shared" si="1"/>
      </c>
      <c r="I6" s="33"/>
      <c r="J6" s="30">
        <f t="shared" si="2"/>
      </c>
      <c r="K6" s="32">
        <f t="shared" si="3"/>
      </c>
    </row>
    <row r="7" spans="1:11" x14ac:dyDescent="0.25">
      <c r="A7" s="38"/>
      <c r="B7" s="27"/>
      <c r="C7" s="33"/>
      <c r="D7" s="28"/>
      <c r="E7" s="28"/>
      <c r="F7" s="28"/>
      <c r="G7" s="41">
        <f t="shared" si="0"/>
      </c>
      <c r="H7" s="30">
        <f t="shared" si="1"/>
      </c>
      <c r="I7" s="33"/>
      <c r="J7" s="30">
        <f t="shared" si="2"/>
      </c>
      <c r="K7" s="32">
        <f t="shared" si="3"/>
      </c>
    </row>
    <row r="8" spans="1:11" x14ac:dyDescent="0.25">
      <c r="A8" s="38"/>
      <c r="B8" s="27"/>
      <c r="C8" s="33"/>
      <c r="D8" s="28"/>
      <c r="E8" s="28"/>
      <c r="F8" s="28"/>
      <c r="G8" s="41">
        <f t="shared" si="0"/>
      </c>
      <c r="H8" s="30">
        <f t="shared" si="1"/>
      </c>
      <c r="I8" s="33"/>
      <c r="J8" s="30">
        <f t="shared" si="2"/>
      </c>
      <c r="K8" s="32">
        <f t="shared" si="3"/>
      </c>
    </row>
    <row r="9" spans="1:11" x14ac:dyDescent="0.25">
      <c r="A9" s="38"/>
      <c r="B9" s="27"/>
      <c r="C9" s="33"/>
      <c r="D9" s="28"/>
      <c r="E9" s="28"/>
      <c r="F9" s="28"/>
      <c r="G9" s="41">
        <f t="shared" si="0"/>
      </c>
      <c r="H9" s="30">
        <f t="shared" si="1"/>
      </c>
      <c r="I9" s="33"/>
      <c r="J9" s="30">
        <f t="shared" si="2"/>
      </c>
      <c r="K9" s="32">
        <f t="shared" si="3"/>
      </c>
    </row>
    <row r="10" spans="1:11" x14ac:dyDescent="0.25">
      <c r="A10" s="38"/>
      <c r="B10" s="27"/>
      <c r="C10" s="33"/>
      <c r="D10" s="28"/>
      <c r="E10" s="28"/>
      <c r="F10" s="28"/>
      <c r="G10" s="41">
        <f t="shared" si="0"/>
      </c>
      <c r="H10" s="30">
        <f t="shared" si="1"/>
      </c>
      <c r="I10" s="33"/>
      <c r="J10" s="30">
        <f t="shared" si="2"/>
      </c>
      <c r="K10" s="32">
        <f t="shared" si="3"/>
      </c>
    </row>
    <row r="11" spans="1:11" x14ac:dyDescent="0.25">
      <c r="A11" s="38"/>
      <c r="B11" s="27"/>
      <c r="C11" s="33"/>
      <c r="D11" s="28"/>
      <c r="E11" s="28"/>
      <c r="F11" s="28"/>
      <c r="G11" s="41">
        <f t="shared" si="0"/>
      </c>
      <c r="H11" s="30">
        <f t="shared" si="1"/>
      </c>
      <c r="I11" s="33"/>
      <c r="J11" s="30">
        <f t="shared" si="2"/>
      </c>
      <c r="K11" s="32">
        <f t="shared" si="3"/>
      </c>
    </row>
    <row r="12" spans="1:11" x14ac:dyDescent="0.25">
      <c r="A12" s="38"/>
      <c r="B12" s="27"/>
      <c r="C12" s="33"/>
      <c r="D12" s="28"/>
      <c r="E12" s="28"/>
      <c r="F12" s="28"/>
      <c r="G12" s="41">
        <f t="shared" si="0"/>
      </c>
      <c r="H12" s="30">
        <f t="shared" si="1"/>
      </c>
      <c r="I12" s="33"/>
      <c r="J12" s="30">
        <f t="shared" si="2"/>
      </c>
      <c r="K12" s="32">
        <f t="shared" si="3"/>
      </c>
    </row>
    <row r="13" spans="1:11" x14ac:dyDescent="0.25">
      <c r="A13" s="38"/>
      <c r="B13" s="27"/>
      <c r="C13" s="33"/>
      <c r="D13" s="28"/>
      <c r="E13" s="28"/>
      <c r="F13" s="28"/>
      <c r="G13" s="41">
        <f t="shared" si="0"/>
      </c>
      <c r="H13" s="30">
        <f t="shared" si="1"/>
      </c>
      <c r="I13" s="33"/>
      <c r="J13" s="30">
        <f t="shared" si="2"/>
      </c>
      <c r="K13" s="32">
        <f t="shared" si="3"/>
      </c>
    </row>
    <row r="14" spans="1:11" x14ac:dyDescent="0.25">
      <c r="A14" s="38"/>
      <c r="B14" s="27"/>
      <c r="C14" s="33"/>
      <c r="D14" s="28"/>
      <c r="E14" s="28"/>
      <c r="F14" s="28"/>
      <c r="G14" s="41">
        <f t="shared" si="0"/>
      </c>
      <c r="H14" s="30">
        <f t="shared" si="1"/>
      </c>
      <c r="I14" s="33"/>
      <c r="J14" s="30">
        <f t="shared" si="2"/>
      </c>
      <c r="K14" s="32">
        <f t="shared" si="3"/>
      </c>
    </row>
    <row r="15" spans="1:11" x14ac:dyDescent="0.25">
      <c r="A15" s="38"/>
      <c r="B15" s="27"/>
      <c r="C15" s="33"/>
      <c r="D15" s="28"/>
      <c r="E15" s="28"/>
      <c r="F15" s="28"/>
      <c r="G15" s="41">
        <f t="shared" si="0"/>
      </c>
      <c r="H15" s="30">
        <f t="shared" si="1"/>
      </c>
      <c r="I15" s="33"/>
      <c r="J15" s="30">
        <f t="shared" si="2"/>
      </c>
      <c r="K15" s="32">
        <f t="shared" si="3"/>
      </c>
    </row>
    <row r="16" spans="1:11" x14ac:dyDescent="0.25">
      <c r="A16" s="38"/>
      <c r="B16" s="27"/>
      <c r="C16" s="33"/>
      <c r="D16" s="28"/>
      <c r="E16" s="28"/>
      <c r="F16" s="28"/>
      <c r="G16" s="41">
        <f t="shared" si="0"/>
      </c>
      <c r="H16" s="30">
        <f t="shared" si="1"/>
      </c>
      <c r="I16" s="33"/>
      <c r="J16" s="30">
        <f t="shared" si="2"/>
      </c>
      <c r="K16" s="32">
        <f t="shared" si="3"/>
      </c>
    </row>
    <row r="17" spans="1:11" x14ac:dyDescent="0.25">
      <c r="A17" s="38"/>
      <c r="B17" s="27"/>
      <c r="C17" s="33"/>
      <c r="D17" s="28"/>
      <c r="E17" s="28"/>
      <c r="F17" s="28"/>
      <c r="G17" s="41">
        <f t="shared" si="0"/>
      </c>
      <c r="H17" s="30">
        <f t="shared" si="1"/>
      </c>
      <c r="I17" s="33"/>
      <c r="J17" s="30">
        <f t="shared" si="2"/>
      </c>
      <c r="K17" s="32">
        <f t="shared" si="3"/>
      </c>
    </row>
    <row r="18" spans="1:11" x14ac:dyDescent="0.25">
      <c r="A18" s="38"/>
      <c r="B18" s="27"/>
      <c r="C18" s="33"/>
      <c r="D18" s="28"/>
      <c r="E18" s="28"/>
      <c r="F18" s="28"/>
      <c r="G18" s="41">
        <f t="shared" si="0"/>
      </c>
      <c r="H18" s="30">
        <f t="shared" si="1"/>
      </c>
      <c r="I18" s="33"/>
      <c r="J18" s="30">
        <f t="shared" si="2"/>
      </c>
      <c r="K18" s="32">
        <f t="shared" si="3"/>
      </c>
    </row>
    <row r="19" spans="1:11" x14ac:dyDescent="0.25">
      <c r="A19" s="38"/>
      <c r="B19" s="27"/>
      <c r="C19" s="33"/>
      <c r="D19" s="28"/>
      <c r="E19" s="28"/>
      <c r="F19" s="28"/>
      <c r="G19" s="41">
        <f t="shared" si="0"/>
      </c>
      <c r="H19" s="30">
        <f t="shared" si="1"/>
      </c>
      <c r="I19" s="33"/>
      <c r="J19" s="30">
        <f t="shared" si="2"/>
      </c>
      <c r="K19" s="32">
        <f t="shared" si="3"/>
      </c>
    </row>
    <row r="20" spans="1:11" x14ac:dyDescent="0.25">
      <c r="A20" s="38"/>
      <c r="B20" s="27"/>
      <c r="C20" s="33"/>
      <c r="D20" s="28"/>
      <c r="E20" s="28"/>
      <c r="F20" s="28"/>
      <c r="G20" s="41">
        <f t="shared" si="0"/>
      </c>
      <c r="H20" s="30">
        <f t="shared" si="1"/>
      </c>
      <c r="I20" s="33"/>
      <c r="J20" s="30">
        <f t="shared" si="2"/>
      </c>
      <c r="K20" s="32">
        <f t="shared" si="3"/>
      </c>
    </row>
    <row r="21" spans="1:11" x14ac:dyDescent="0.25">
      <c r="A21" s="38"/>
      <c r="B21" s="27"/>
      <c r="C21" s="33"/>
      <c r="D21" s="28"/>
      <c r="E21" s="28"/>
      <c r="F21" s="28"/>
      <c r="G21" s="41">
        <f t="shared" si="0"/>
      </c>
      <c r="H21" s="30">
        <f t="shared" si="1"/>
      </c>
      <c r="I21" s="33"/>
      <c r="J21" s="30">
        <f t="shared" si="2"/>
      </c>
      <c r="K21" s="32">
        <f t="shared" si="3"/>
      </c>
    </row>
    <row r="22" spans="1:11" x14ac:dyDescent="0.25">
      <c r="A22" s="38"/>
      <c r="B22" s="27"/>
      <c r="C22" s="33"/>
      <c r="D22" s="28"/>
      <c r="E22" s="28"/>
      <c r="F22" s="28"/>
      <c r="G22" s="41">
        <f t="shared" si="0"/>
      </c>
      <c r="H22" s="30">
        <f t="shared" si="1"/>
      </c>
      <c r="I22" s="33"/>
      <c r="J22" s="30">
        <f t="shared" si="2"/>
      </c>
      <c r="K22" s="32">
        <f t="shared" si="3"/>
      </c>
    </row>
    <row r="23" spans="1:11" x14ac:dyDescent="0.25">
      <c r="A23" s="38"/>
      <c r="B23" s="27"/>
      <c r="C23" s="33"/>
      <c r="D23" s="28"/>
      <c r="E23" s="28"/>
      <c r="F23" s="28"/>
      <c r="G23" s="41">
        <f t="shared" si="0"/>
      </c>
      <c r="H23" s="30">
        <f t="shared" si="1"/>
      </c>
      <c r="I23" s="33"/>
      <c r="J23" s="30">
        <f t="shared" si="2"/>
      </c>
      <c r="K23" s="32">
        <f t="shared" si="3"/>
      </c>
    </row>
    <row r="24" spans="1:11" x14ac:dyDescent="0.25">
      <c r="A24" s="38"/>
      <c r="B24" s="27"/>
      <c r="C24" s="33"/>
      <c r="D24" s="28"/>
      <c r="E24" s="28"/>
      <c r="F24" s="28"/>
      <c r="G24" s="41">
        <f t="shared" si="0"/>
      </c>
      <c r="H24" s="30">
        <f t="shared" si="1"/>
      </c>
      <c r="I24" s="33"/>
      <c r="J24" s="30">
        <f t="shared" si="2"/>
      </c>
      <c r="K24" s="32">
        <f t="shared" si="3"/>
      </c>
    </row>
    <row r="25" spans="1:11" x14ac:dyDescent="0.25">
      <c r="A25" s="38"/>
      <c r="B25" s="27"/>
      <c r="C25" s="33"/>
      <c r="D25" s="28"/>
      <c r="E25" s="28"/>
      <c r="F25" s="28"/>
      <c r="G25" s="41">
        <f t="shared" si="0"/>
      </c>
      <c r="H25" s="30">
        <f t="shared" si="1"/>
      </c>
      <c r="I25" s="33"/>
      <c r="J25" s="30">
        <f t="shared" si="2"/>
      </c>
      <c r="K25" s="32">
        <f t="shared" si="3"/>
      </c>
    </row>
    <row r="26" spans="1:11" x14ac:dyDescent="0.25">
      <c r="A26" s="38"/>
      <c r="B26" s="27"/>
      <c r="C26" s="33"/>
      <c r="D26" s="28"/>
      <c r="E26" s="28"/>
      <c r="F26" s="28"/>
      <c r="G26" s="41">
        <f t="shared" si="0"/>
      </c>
      <c r="H26" s="30">
        <f t="shared" si="1"/>
      </c>
      <c r="I26" s="33"/>
      <c r="J26" s="30">
        <f t="shared" si="2"/>
      </c>
      <c r="K26" s="32">
        <f t="shared" si="3"/>
      </c>
    </row>
    <row r="27" spans="1:11" x14ac:dyDescent="0.25">
      <c r="A27" s="38"/>
      <c r="B27" s="27"/>
      <c r="C27" s="33"/>
      <c r="D27" s="28"/>
      <c r="E27" s="28"/>
      <c r="F27" s="28"/>
      <c r="G27" s="41">
        <f t="shared" si="0"/>
      </c>
      <c r="H27" s="30">
        <f t="shared" si="1"/>
      </c>
      <c r="I27" s="33"/>
      <c r="J27" s="30">
        <f t="shared" si="2"/>
      </c>
      <c r="K27" s="32">
        <f t="shared" si="3"/>
      </c>
    </row>
    <row r="28" spans="1:11" x14ac:dyDescent="0.25">
      <c r="A28" s="38"/>
      <c r="B28" s="27"/>
      <c r="C28" s="33"/>
      <c r="D28" s="28"/>
      <c r="E28" s="28"/>
      <c r="F28" s="28"/>
      <c r="G28" s="41">
        <f t="shared" si="0"/>
      </c>
      <c r="H28" s="30">
        <f t="shared" si="1"/>
      </c>
      <c r="I28" s="33"/>
      <c r="J28" s="30">
        <f t="shared" si="2"/>
      </c>
      <c r="K28" s="32">
        <f t="shared" si="3"/>
      </c>
    </row>
    <row r="29" spans="1:11" x14ac:dyDescent="0.25">
      <c r="A29" s="38"/>
      <c r="B29" s="27"/>
      <c r="C29" s="33"/>
      <c r="D29" s="28"/>
      <c r="E29" s="28"/>
      <c r="F29" s="28"/>
      <c r="G29" s="41">
        <f t="shared" si="0"/>
      </c>
      <c r="H29" s="30">
        <f t="shared" si="1"/>
      </c>
      <c r="I29" s="33"/>
      <c r="J29" s="30">
        <f t="shared" si="2"/>
      </c>
      <c r="K29" s="32">
        <f t="shared" si="3"/>
      </c>
    </row>
    <row r="30" spans="1:11" x14ac:dyDescent="0.25">
      <c r="A30" s="38"/>
      <c r="B30" s="27"/>
      <c r="C30" s="33"/>
      <c r="D30" s="28"/>
      <c r="E30" s="28"/>
      <c r="F30" s="28"/>
      <c r="G30" s="41">
        <f t="shared" si="0"/>
      </c>
      <c r="H30" s="30">
        <f t="shared" si="1"/>
      </c>
      <c r="I30" s="33"/>
      <c r="J30" s="30">
        <f t="shared" si="2"/>
      </c>
      <c r="K30" s="32">
        <f t="shared" si="3"/>
      </c>
    </row>
    <row r="31" spans="1:11" x14ac:dyDescent="0.25">
      <c r="A31" s="38"/>
      <c r="B31" s="27"/>
      <c r="C31" s="33"/>
      <c r="D31" s="28"/>
      <c r="E31" s="28"/>
      <c r="F31" s="28"/>
      <c r="G31" s="41">
        <f t="shared" si="0"/>
      </c>
      <c r="H31" s="30">
        <f t="shared" si="1"/>
      </c>
      <c r="I31" s="33"/>
      <c r="J31" s="30">
        <f t="shared" si="2"/>
      </c>
      <c r="K31" s="32">
        <f t="shared" si="3"/>
      </c>
    </row>
    <row r="32" spans="1:11" x14ac:dyDescent="0.25">
      <c r="A32" s="38"/>
      <c r="B32" s="27"/>
      <c r="C32" s="33"/>
      <c r="D32" s="28"/>
      <c r="E32" s="28"/>
      <c r="F32" s="28"/>
      <c r="G32" s="41">
        <f t="shared" si="0"/>
      </c>
      <c r="H32" s="30">
        <f t="shared" si="1"/>
      </c>
      <c r="I32" s="33"/>
      <c r="J32" s="30">
        <f t="shared" si="2"/>
      </c>
      <c r="K32" s="32">
        <f t="shared" si="3"/>
      </c>
    </row>
    <row r="33" spans="1:11" x14ac:dyDescent="0.25">
      <c r="A33" s="38"/>
      <c r="B33" s="27"/>
      <c r="C33" s="33"/>
      <c r="D33" s="28"/>
      <c r="E33" s="28"/>
      <c r="F33" s="28"/>
      <c r="G33" s="41">
        <f t="shared" si="0"/>
      </c>
      <c r="H33" s="30">
        <f t="shared" si="1"/>
      </c>
      <c r="I33" s="33"/>
      <c r="J33" s="30">
        <f t="shared" si="2"/>
      </c>
      <c r="K33" s="32">
        <f t="shared" si="3"/>
      </c>
    </row>
    <row r="34" spans="1:11" x14ac:dyDescent="0.25">
      <c r="A34" s="38"/>
      <c r="B34" s="27"/>
      <c r="C34" s="33"/>
      <c r="D34" s="28"/>
      <c r="E34" s="28"/>
      <c r="F34" s="28"/>
      <c r="G34" s="41">
        <f t="shared" si="0"/>
      </c>
      <c r="H34" s="30">
        <f t="shared" si="1"/>
      </c>
      <c r="I34" s="33"/>
      <c r="J34" s="30">
        <f t="shared" si="2"/>
      </c>
      <c r="K34" s="32">
        <f t="shared" si="3"/>
      </c>
    </row>
    <row r="35" spans="1:11" x14ac:dyDescent="0.25">
      <c r="A35" s="38"/>
      <c r="B35" s="27"/>
      <c r="C35" s="33"/>
      <c r="D35" s="28"/>
      <c r="E35" s="28"/>
      <c r="F35" s="28"/>
      <c r="G35" s="41">
        <f t="shared" si="0"/>
      </c>
      <c r="H35" s="30">
        <f t="shared" si="1"/>
      </c>
      <c r="I35" s="33"/>
      <c r="J35" s="30">
        <f t="shared" si="2"/>
      </c>
      <c r="K35" s="32">
        <f t="shared" si="3"/>
      </c>
    </row>
    <row r="36" spans="1:11" x14ac:dyDescent="0.25">
      <c r="A36" s="38"/>
      <c r="B36" s="27"/>
      <c r="C36" s="33"/>
      <c r="D36" s="28"/>
      <c r="E36" s="28"/>
      <c r="F36" s="28"/>
      <c r="G36" s="41">
        <f t="shared" si="0"/>
      </c>
      <c r="H36" s="30">
        <f t="shared" si="1"/>
      </c>
      <c r="I36" s="33"/>
      <c r="J36" s="30">
        <f t="shared" si="2"/>
      </c>
      <c r="K36" s="32">
        <f t="shared" si="3"/>
      </c>
    </row>
    <row r="37" spans="1:11" x14ac:dyDescent="0.25">
      <c r="A37" s="38"/>
      <c r="B37" s="27"/>
      <c r="C37" s="33"/>
      <c r="D37" s="28"/>
      <c r="E37" s="28"/>
      <c r="F37" s="28"/>
      <c r="G37" s="41">
        <f t="shared" si="0"/>
      </c>
      <c r="H37" s="30">
        <f t="shared" si="1"/>
      </c>
      <c r="I37" s="33"/>
      <c r="J37" s="30">
        <f t="shared" si="2"/>
      </c>
      <c r="K37" s="32">
        <f t="shared" si="3"/>
      </c>
    </row>
    <row r="38" spans="1:11" x14ac:dyDescent="0.25">
      <c r="A38" s="38"/>
      <c r="B38" s="27"/>
      <c r="C38" s="33"/>
      <c r="D38" s="28"/>
      <c r="E38" s="28"/>
      <c r="F38" s="28"/>
      <c r="G38" s="41">
        <f t="shared" si="0"/>
      </c>
      <c r="H38" s="30">
        <f t="shared" si="1"/>
      </c>
      <c r="I38" s="33"/>
      <c r="J38" s="30">
        <f t="shared" si="2"/>
      </c>
      <c r="K38" s="32">
        <f t="shared" si="3"/>
      </c>
    </row>
    <row r="39" spans="1:11" x14ac:dyDescent="0.25">
      <c r="A39" s="38"/>
      <c r="B39" s="27"/>
      <c r="C39" s="33"/>
      <c r="D39" s="28"/>
      <c r="E39" s="28"/>
      <c r="F39" s="28"/>
      <c r="G39" s="41">
        <f t="shared" si="0"/>
      </c>
      <c r="H39" s="30">
        <f t="shared" si="1"/>
      </c>
      <c r="I39" s="33"/>
      <c r="J39" s="30">
        <f t="shared" si="2"/>
      </c>
      <c r="K39" s="32">
        <f t="shared" si="3"/>
      </c>
    </row>
    <row r="40" spans="1:11" x14ac:dyDescent="0.25">
      <c r="A40" s="38"/>
      <c r="B40" s="27"/>
      <c r="C40" s="33"/>
      <c r="D40" s="28"/>
      <c r="E40" s="28"/>
      <c r="F40" s="28"/>
      <c r="G40" s="41">
        <f t="shared" si="0"/>
      </c>
      <c r="H40" s="30">
        <f t="shared" si="1"/>
      </c>
      <c r="I40" s="33"/>
      <c r="J40" s="30">
        <f t="shared" si="2"/>
      </c>
      <c r="K40" s="32">
        <f t="shared" si="3"/>
      </c>
    </row>
    <row r="41" spans="1:11" x14ac:dyDescent="0.25">
      <c r="A41" s="38"/>
      <c r="B41" s="27"/>
      <c r="C41" s="33"/>
      <c r="D41" s="28"/>
      <c r="E41" s="28"/>
      <c r="F41" s="28"/>
      <c r="G41" s="41">
        <f t="shared" si="0"/>
      </c>
      <c r="H41" s="30">
        <f t="shared" si="1"/>
      </c>
      <c r="I41" s="33"/>
      <c r="J41" s="30">
        <f t="shared" si="2"/>
      </c>
      <c r="K41" s="32">
        <f t="shared" si="3"/>
      </c>
    </row>
    <row r="42" spans="1:11" x14ac:dyDescent="0.25">
      <c r="A42" s="38"/>
      <c r="B42" s="27"/>
      <c r="C42" s="33"/>
      <c r="D42" s="28"/>
      <c r="E42" s="28"/>
      <c r="F42" s="28"/>
      <c r="G42" s="41">
        <f t="shared" si="0"/>
      </c>
      <c r="H42" s="30">
        <f t="shared" si="1"/>
      </c>
      <c r="I42" s="33"/>
      <c r="J42" s="30">
        <f t="shared" si="2"/>
      </c>
      <c r="K42" s="32">
        <f t="shared" si="3"/>
      </c>
    </row>
    <row r="43" spans="1:11" x14ac:dyDescent="0.25">
      <c r="A43" s="38"/>
      <c r="B43" s="27"/>
      <c r="C43" s="33"/>
      <c r="D43" s="28"/>
      <c r="E43" s="28"/>
      <c r="F43" s="28"/>
      <c r="G43" s="41">
        <f t="shared" si="0"/>
      </c>
      <c r="H43" s="30">
        <f t="shared" si="1"/>
      </c>
      <c r="I43" s="33"/>
      <c r="J43" s="30">
        <f t="shared" si="2"/>
      </c>
      <c r="K43" s="32">
        <f t="shared" si="3"/>
      </c>
    </row>
    <row r="44" spans="1:11" x14ac:dyDescent="0.25">
      <c r="A44" s="38"/>
      <c r="B44" s="27"/>
      <c r="C44" s="33"/>
      <c r="D44" s="28"/>
      <c r="E44" s="28"/>
      <c r="F44" s="28"/>
      <c r="G44" s="41">
        <f t="shared" si="0"/>
      </c>
      <c r="H44" s="30">
        <f t="shared" si="1"/>
      </c>
      <c r="I44" s="33"/>
      <c r="J44" s="30">
        <f t="shared" si="2"/>
      </c>
      <c r="K44" s="32">
        <f t="shared" si="3"/>
      </c>
    </row>
    <row r="45" spans="1:11" x14ac:dyDescent="0.25">
      <c r="A45" s="38"/>
      <c r="B45" s="27"/>
      <c r="C45" s="33"/>
      <c r="D45" s="28"/>
      <c r="E45" s="28"/>
      <c r="F45" s="28"/>
      <c r="G45" s="41">
        <f t="shared" si="0"/>
      </c>
      <c r="H45" s="30">
        <f t="shared" si="1"/>
      </c>
      <c r="I45" s="33"/>
      <c r="J45" s="30">
        <f t="shared" si="2"/>
      </c>
      <c r="K45" s="32">
        <f t="shared" si="3"/>
      </c>
    </row>
    <row r="46" spans="1:11" x14ac:dyDescent="0.25">
      <c r="A46" s="38"/>
      <c r="B46" s="27"/>
      <c r="C46" s="33"/>
      <c r="D46" s="28"/>
      <c r="E46" s="28"/>
      <c r="F46" s="28"/>
      <c r="G46" s="41">
        <f t="shared" si="0"/>
      </c>
      <c r="H46" s="30">
        <f t="shared" si="1"/>
      </c>
      <c r="I46" s="33"/>
      <c r="J46" s="30">
        <f t="shared" si="2"/>
      </c>
      <c r="K46" s="32">
        <f t="shared" si="3"/>
      </c>
    </row>
    <row r="47" spans="1:11" x14ac:dyDescent="0.25">
      <c r="A47" s="38"/>
      <c r="B47" s="27"/>
      <c r="C47" s="33"/>
      <c r="D47" s="28"/>
      <c r="E47" s="28"/>
      <c r="F47" s="28"/>
      <c r="G47" s="41">
        <f t="shared" si="0"/>
      </c>
      <c r="H47" s="30">
        <f t="shared" si="1"/>
      </c>
      <c r="I47" s="33"/>
      <c r="J47" s="30">
        <f t="shared" si="2"/>
      </c>
      <c r="K47" s="32">
        <f t="shared" si="3"/>
      </c>
    </row>
    <row r="48" spans="1:11" x14ac:dyDescent="0.25">
      <c r="A48" s="38"/>
      <c r="B48" s="27"/>
      <c r="C48" s="33"/>
      <c r="D48" s="28"/>
      <c r="E48" s="28"/>
      <c r="F48" s="28"/>
      <c r="G48" s="41">
        <f t="shared" si="0"/>
      </c>
      <c r="H48" s="30">
        <f t="shared" si="1"/>
      </c>
      <c r="I48" s="33"/>
      <c r="J48" s="30">
        <f t="shared" si="2"/>
      </c>
      <c r="K48" s="32">
        <f t="shared" si="3"/>
      </c>
    </row>
    <row r="49" spans="1:11" x14ac:dyDescent="0.25">
      <c r="A49" s="38"/>
      <c r="B49" s="27"/>
      <c r="C49" s="33"/>
      <c r="D49" s="28"/>
      <c r="E49" s="28"/>
      <c r="F49" s="28"/>
      <c r="G49" s="41">
        <f t="shared" si="0"/>
      </c>
      <c r="H49" s="30">
        <f t="shared" si="1"/>
      </c>
      <c r="I49" s="33"/>
      <c r="J49" s="30">
        <f t="shared" si="2"/>
      </c>
      <c r="K49" s="32">
        <f t="shared" si="3"/>
      </c>
    </row>
    <row r="50" spans="1:11" x14ac:dyDescent="0.25">
      <c r="A50" s="38"/>
      <c r="B50" s="27"/>
      <c r="C50" s="33"/>
      <c r="D50" s="28"/>
      <c r="E50" s="28"/>
      <c r="F50" s="28"/>
      <c r="G50" s="41">
        <f t="shared" si="0"/>
      </c>
      <c r="H50" s="30">
        <f t="shared" si="1"/>
      </c>
      <c r="I50" s="33"/>
      <c r="J50" s="30">
        <f t="shared" si="2"/>
      </c>
      <c r="K50" s="32">
        <f t="shared" si="3"/>
      </c>
    </row>
    <row r="51" spans="1:11" x14ac:dyDescent="0.25">
      <c r="A51" s="38"/>
      <c r="B51" s="27"/>
      <c r="C51" s="33"/>
      <c r="D51" s="28"/>
      <c r="E51" s="28"/>
      <c r="F51" s="28"/>
      <c r="G51" s="41">
        <f t="shared" si="0"/>
      </c>
      <c r="H51" s="30">
        <f t="shared" si="1"/>
      </c>
      <c r="I51" s="33"/>
      <c r="J51" s="30">
        <f t="shared" si="2"/>
      </c>
      <c r="K51" s="32">
        <f t="shared" si="3"/>
      </c>
    </row>
    <row r="52" spans="1:11" x14ac:dyDescent="0.25">
      <c r="A52" s="38"/>
      <c r="B52" s="27"/>
      <c r="C52" s="33"/>
      <c r="D52" s="28"/>
      <c r="E52" s="28"/>
      <c r="F52" s="28"/>
      <c r="G52" s="41">
        <f t="shared" si="0"/>
      </c>
      <c r="H52" s="30">
        <f t="shared" si="1"/>
      </c>
      <c r="I52" s="33"/>
      <c r="J52" s="30">
        <f t="shared" si="2"/>
      </c>
      <c r="K52" s="32">
        <f t="shared" si="3"/>
      </c>
    </row>
    <row r="53" spans="1:11" x14ac:dyDescent="0.25">
      <c r="A53" s="38"/>
      <c r="B53" s="27"/>
      <c r="C53" s="33"/>
      <c r="D53" s="28"/>
      <c r="E53" s="28"/>
      <c r="F53" s="28"/>
      <c r="G53" s="41">
        <f t="shared" si="0"/>
      </c>
      <c r="H53" s="30">
        <f t="shared" si="1"/>
      </c>
      <c r="I53" s="33"/>
      <c r="J53" s="30">
        <f t="shared" si="2"/>
      </c>
      <c r="K53" s="32">
        <f t="shared" si="3"/>
      </c>
    </row>
    <row r="54" spans="1:11" x14ac:dyDescent="0.25">
      <c r="A54" s="38"/>
      <c r="B54" s="27"/>
      <c r="C54" s="33"/>
      <c r="D54" s="28"/>
      <c r="E54" s="28"/>
      <c r="F54" s="28"/>
      <c r="G54" s="41">
        <f t="shared" si="0"/>
      </c>
      <c r="H54" s="30">
        <f t="shared" si="1"/>
      </c>
      <c r="I54" s="33"/>
      <c r="J54" s="30">
        <f t="shared" si="2"/>
      </c>
      <c r="K54" s="32">
        <f t="shared" si="3"/>
      </c>
    </row>
    <row r="55" spans="1:11" x14ac:dyDescent="0.25">
      <c r="A55" s="38"/>
      <c r="B55" s="27"/>
      <c r="C55" s="33"/>
      <c r="D55" s="28"/>
      <c r="E55" s="28"/>
      <c r="F55" s="28"/>
      <c r="G55" s="41">
        <f t="shared" si="0"/>
      </c>
      <c r="H55" s="30">
        <f t="shared" si="1"/>
      </c>
      <c r="I55" s="33"/>
      <c r="J55" s="30">
        <f t="shared" si="2"/>
      </c>
      <c r="K55" s="32">
        <f t="shared" si="3"/>
      </c>
    </row>
    <row r="56" spans="1:11" x14ac:dyDescent="0.25">
      <c r="A56" s="38"/>
      <c r="B56" s="27"/>
      <c r="C56" s="33"/>
      <c r="D56" s="28"/>
      <c r="E56" s="28"/>
      <c r="F56" s="28"/>
      <c r="G56" s="41">
        <f t="shared" si="0"/>
      </c>
      <c r="H56" s="30">
        <f t="shared" si="1"/>
      </c>
      <c r="I56" s="33"/>
      <c r="J56" s="30">
        <f t="shared" si="2"/>
      </c>
      <c r="K56" s="32">
        <f t="shared" si="3"/>
      </c>
    </row>
    <row r="57" spans="1:11" x14ac:dyDescent="0.25">
      <c r="A57" s="38"/>
      <c r="B57" s="27"/>
      <c r="C57" s="33"/>
      <c r="D57" s="28"/>
      <c r="E57" s="28"/>
      <c r="F57" s="28"/>
      <c r="G57" s="41">
        <f t="shared" si="0"/>
      </c>
      <c r="H57" s="30">
        <f t="shared" si="1"/>
      </c>
      <c r="I57" s="33"/>
      <c r="J57" s="30">
        <f t="shared" si="2"/>
      </c>
      <c r="K57" s="32">
        <f t="shared" si="3"/>
      </c>
    </row>
    <row r="58" spans="1:11" x14ac:dyDescent="0.25">
      <c r="A58" s="38"/>
      <c r="B58" s="27"/>
      <c r="C58" s="33"/>
      <c r="D58" s="28"/>
      <c r="E58" s="28"/>
      <c r="F58" s="28"/>
      <c r="G58" s="41">
        <f t="shared" si="0"/>
      </c>
      <c r="H58" s="30">
        <f t="shared" si="1"/>
      </c>
      <c r="I58" s="33"/>
      <c r="J58" s="30">
        <f t="shared" si="2"/>
      </c>
      <c r="K58" s="32">
        <f t="shared" si="3"/>
      </c>
    </row>
    <row r="59" spans="1:11" x14ac:dyDescent="0.25">
      <c r="A59" s="38"/>
      <c r="B59" s="27"/>
      <c r="C59" s="33"/>
      <c r="D59" s="28"/>
      <c r="E59" s="28"/>
      <c r="F59" s="28"/>
      <c r="G59" s="41">
        <f t="shared" si="0"/>
      </c>
      <c r="H59" s="30">
        <f t="shared" si="1"/>
      </c>
      <c r="I59" s="33"/>
      <c r="J59" s="30">
        <f t="shared" si="2"/>
      </c>
      <c r="K59" s="32">
        <f t="shared" si="3"/>
      </c>
    </row>
    <row r="60" spans="1:11" x14ac:dyDescent="0.25">
      <c r="A60" s="38"/>
      <c r="B60" s="27"/>
      <c r="C60" s="33"/>
      <c r="D60" s="28"/>
      <c r="E60" s="28"/>
      <c r="F60" s="28"/>
      <c r="G60" s="41">
        <f t="shared" si="0"/>
      </c>
      <c r="H60" s="30">
        <f t="shared" si="1"/>
      </c>
      <c r="I60" s="33"/>
      <c r="J60" s="30">
        <f t="shared" si="2"/>
      </c>
      <c r="K60" s="32">
        <f t="shared" si="3"/>
      </c>
    </row>
    <row r="61" spans="1:11" x14ac:dyDescent="0.25">
      <c r="A61" s="38"/>
      <c r="B61" s="27"/>
      <c r="C61" s="33"/>
      <c r="D61" s="28"/>
      <c r="E61" s="28"/>
      <c r="F61" s="28"/>
      <c r="G61" s="41">
        <f t="shared" si="0"/>
      </c>
      <c r="H61" s="30">
        <f t="shared" si="1"/>
      </c>
      <c r="I61" s="33"/>
      <c r="J61" s="30">
        <f t="shared" si="2"/>
      </c>
      <c r="K61" s="32">
        <f t="shared" si="3"/>
      </c>
    </row>
    <row r="62" spans="1:11" x14ac:dyDescent="0.25">
      <c r="A62" s="38"/>
      <c r="B62" s="27"/>
      <c r="C62" s="33"/>
      <c r="D62" s="28"/>
      <c r="E62" s="28"/>
      <c r="F62" s="28"/>
      <c r="G62" s="41">
        <f t="shared" si="0"/>
      </c>
      <c r="H62" s="30">
        <f t="shared" si="1"/>
      </c>
      <c r="I62" s="33"/>
      <c r="J62" s="30">
        <f t="shared" si="2"/>
      </c>
      <c r="K62" s="32">
        <f t="shared" si="3"/>
      </c>
    </row>
    <row r="63" spans="1:11" x14ac:dyDescent="0.25">
      <c r="A63" s="38"/>
      <c r="B63" s="27"/>
      <c r="C63" s="33"/>
      <c r="D63" s="28"/>
      <c r="E63" s="28"/>
      <c r="F63" s="28"/>
      <c r="G63" s="41">
        <f t="shared" si="0"/>
      </c>
      <c r="H63" s="30">
        <f t="shared" si="1"/>
      </c>
      <c r="I63" s="33"/>
      <c r="J63" s="30">
        <f t="shared" si="2"/>
      </c>
      <c r="K63" s="32">
        <f t="shared" si="3"/>
      </c>
    </row>
  </sheetData>
  <sheetProtection sheet="1" formatColumns="0" formatRows="0" autoFilter="0"/>
  <autoFilter ref="A3:K63"/>
  <mergeCells count="2">
    <mergeCell ref="A1:B2"/>
    <mergeCell ref="C1:J2"/>
  </mergeCells>
  <conditionalFormatting sqref="H4:H63">
    <cfRule type="expression" dxfId="52" priority="10">
      <formula>H4="Aprovado"</formula>
    </cfRule>
    <cfRule type="expression" dxfId="53" priority="11">
      <formula>H4="Aprovado com ressalva"</formula>
    </cfRule>
    <cfRule type="expression" dxfId="54" priority="12">
      <formula>H4="Reprovado"</formula>
    </cfRule>
  </conditionalFormatting>
  <conditionalFormatting sqref="J4:J63">
    <cfRule type="expression" dxfId="55" priority="10">
      <formula>J4="Vencido"</formula>
    </cfRule>
    <cfRule type="expression" dxfId="56" priority="11">
      <formula>J4="Vence em 30 dias"</formula>
    </cfRule>
    <cfRule type="expression" dxfId="57" priority="12">
      <formula>J4="Em dia"</formula>
    </cfRule>
    <cfRule type="expression" dxfId="58" priority="13">
      <formula>J4="Válido"</formula>
    </cfRule>
    <cfRule type="expression" dxfId="59" priority="14">
      <formula>J4="Revisão vencida"</formula>
    </cfRule>
    <cfRule type="expression" dxfId="60" priority="15">
      <formula>J4="Avaliação vencida"</formula>
    </cfRule>
  </conditionalFormatting>
  <conditionalFormatting sqref="K4:K63">
    <cfRule type="expression" dxfId="61" priority="1">
      <formula>OR(LEFT(K4,4)="ERRO",LEFT(K4,7)="ATENÇÃO")</formula>
    </cfRule>
    <cfRule type="expression" dxfId="62" priority="2">
      <formula>OR(LEFT(K4,8)="Pendente",LEFT(K4,9)="Verificar",LEFT(K4,9)="Duplicada",LEFT(K4,7)="Tarefa ",LEFT(K4,13)="Fora do plano",LEFT(K4,8)="Previsão",LEFT(K4,11)="Sem vínculo",LEFT(K4,14)="Não verificado",LEFT(K4,7)="Informe",LEFT(K4,9)="A definir")</formula>
    </cfRule>
    <cfRule type="expression" dxfId="63" priority="3">
      <formula>OR(K4="OK",LEFT(K4,4)="Nada",LEFT(K4,3)="OK:")</formula>
    </cfRule>
  </conditionalFormatting>
  <dataValidations count="5">
    <dataValidation type="date" allowBlank="1" showErrorMessage="1" errorStyle="stop" errorTitle="Data inválida" error="Digite uma data válida no formato dd/mm/aaaa." sqref="C4:C63">
      <formula1>32874</formula1>
      <formula2>73050</formula2>
    </dataValidation>
    <dataValidation type="whole" allowBlank="1" showErrorMessage="1" errorStyle="stop" errorTitle="Valor inválido" error="Nota inteira de 1 a 5." sqref="D4:D63">
      <formula1>1</formula1>
      <formula2>5</formula2>
    </dataValidation>
    <dataValidation type="whole" allowBlank="1" showErrorMessage="1" errorStyle="stop" errorTitle="Valor inválido" error="Nota inteira de 1 a 5." sqref="E4:E63">
      <formula1>1</formula1>
      <formula2>5</formula2>
    </dataValidation>
    <dataValidation type="whole" allowBlank="1" showErrorMessage="1" errorStyle="stop" errorTitle="Valor inválido" error="Nota inteira de 1 a 5." sqref="F4:F63">
      <formula1>1</formula1>
      <formula2>5</formula2>
    </dataValidation>
    <dataValidation type="date" allowBlank="1" showErrorMessage="1" errorStyle="stop" errorTitle="Data inválida" error="Digite uma data válida no formato dd/mm/aaaa." sqref="I4:I6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48" customWidth="1"/>
    <col min="2" max="2" width="30" customWidth="1"/>
    <col min="3" max="3" width="14" customWidth="1"/>
    <col min="4" max="4" width="40" customWidth="1"/>
  </cols>
  <sheetData>
    <row r="1" ht="36" customHeight="1" spans="1:4" x14ac:dyDescent="0.25">
      <c r="A1" s="1"/>
      <c r="B1" s="1"/>
      <c r="C1" s="42" t="s">
        <v>185</v>
      </c>
      <c r="D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4" x14ac:dyDescent="0.25">
      <c r="A2" s="1"/>
      <c r="B2" s="1"/>
      <c r="C2" s="42"/>
      <c r="D2" s="4">
        <f>"Elaborado: "&amp;IF(cfg_elaborado="","A definir",cfg_elaborado)&amp;CHAR(10)&amp;"Aprovado: "&amp;IF(cfg_aprovado="","A definir",cfg_aprovado)</f>
      </c>
    </row>
    <row r="3" ht="8" customHeight="1" x14ac:dyDescent="0.25"/>
    <row r="4" ht="20" customHeight="1" spans="1:4" x14ac:dyDescent="0.25">
      <c r="A4" s="5" t="s">
        <v>186</v>
      </c>
      <c r="B4" s="5"/>
      <c r="C4" s="5"/>
      <c r="D4" s="5"/>
    </row>
    <row r="5" ht="20" customHeight="1" spans="1:4" x14ac:dyDescent="0.25">
      <c r="A5" s="9" t="s">
        <v>187</v>
      </c>
      <c r="B5" s="36"/>
      <c r="C5" s="9" t="s">
        <v>188</v>
      </c>
      <c r="D5" s="14"/>
    </row>
    <row r="6" ht="20" customHeight="1" spans="1:4" x14ac:dyDescent="0.25">
      <c r="A6" s="9" t="s">
        <v>189</v>
      </c>
      <c r="B6" s="36"/>
      <c r="C6" s="9" t="s">
        <v>190</v>
      </c>
      <c r="D6" s="36"/>
    </row>
    <row r="7" ht="20" customHeight="1" spans="1:4" x14ac:dyDescent="0.25">
      <c r="A7" s="9" t="s">
        <v>191</v>
      </c>
      <c r="B7" s="36"/>
      <c r="C7" s="9" t="s">
        <v>192</v>
      </c>
      <c r="D7" s="14"/>
    </row>
    <row r="8" ht="8" customHeight="1" x14ac:dyDescent="0.25"/>
    <row r="9" ht="20" customHeight="1" spans="1:4" x14ac:dyDescent="0.25">
      <c r="A9" s="5" t="s">
        <v>193</v>
      </c>
      <c r="B9" s="5"/>
      <c r="C9" s="5"/>
      <c r="D9" s="5"/>
    </row>
    <row r="10" ht="8" customHeight="1" x14ac:dyDescent="0.25"/>
    <row r="11" ht="8" customHeight="1" x14ac:dyDescent="0.25"/>
    <row r="12" ht="24" customHeight="1" spans="1:4" x14ac:dyDescent="0.25">
      <c r="A12" s="8" t="s">
        <v>194</v>
      </c>
      <c r="B12" s="8" t="s">
        <v>195</v>
      </c>
      <c r="C12" s="8" t="s">
        <v>184</v>
      </c>
      <c r="D12" s="8" t="s">
        <v>196</v>
      </c>
    </row>
    <row r="13" ht="30" customHeight="1" spans="1:4" x14ac:dyDescent="0.25">
      <c r="A13" s="29" t="s">
        <v>197</v>
      </c>
      <c r="B13" s="27" t="s">
        <v>33</v>
      </c>
      <c r="C13" s="43"/>
      <c r="D13" s="36"/>
    </row>
    <row r="14" ht="30" customHeight="1" spans="1:4" x14ac:dyDescent="0.25">
      <c r="A14" s="29" t="s">
        <v>198</v>
      </c>
      <c r="B14" s="27" t="s">
        <v>199</v>
      </c>
      <c r="C14" s="43"/>
      <c r="D14" s="36"/>
    </row>
    <row r="15" ht="30" customHeight="1" spans="1:4" x14ac:dyDescent="0.25">
      <c r="A15" s="29" t="s">
        <v>200</v>
      </c>
      <c r="B15" s="27" t="s">
        <v>34</v>
      </c>
      <c r="C15" s="43"/>
      <c r="D15" s="36"/>
    </row>
    <row r="16" ht="30" customHeight="1" spans="1:4" x14ac:dyDescent="0.25">
      <c r="A16" s="29" t="s">
        <v>201</v>
      </c>
      <c r="B16" s="27" t="s">
        <v>47</v>
      </c>
      <c r="C16" s="43"/>
      <c r="D16" s="36"/>
    </row>
    <row r="17" ht="30" customHeight="1" spans="1:4" x14ac:dyDescent="0.25">
      <c r="A17" s="29" t="s">
        <v>202</v>
      </c>
      <c r="B17" s="27" t="s">
        <v>43</v>
      </c>
      <c r="C17" s="43"/>
      <c r="D17" s="36"/>
    </row>
    <row r="18" ht="30" customHeight="1" spans="1:4" x14ac:dyDescent="0.25">
      <c r="A18" s="29" t="s">
        <v>203</v>
      </c>
      <c r="B18" s="27" t="s">
        <v>35</v>
      </c>
      <c r="C18" s="43"/>
      <c r="D18" s="36"/>
    </row>
    <row r="19" ht="30" customHeight="1" spans="1:4" x14ac:dyDescent="0.25">
      <c r="A19" s="29" t="s">
        <v>204</v>
      </c>
      <c r="B19" s="27" t="s">
        <v>36</v>
      </c>
      <c r="C19" s="43"/>
      <c r="D19" s="36"/>
    </row>
    <row r="20" ht="30" customHeight="1" spans="1:4" x14ac:dyDescent="0.25">
      <c r="A20" s="29" t="s">
        <v>205</v>
      </c>
      <c r="B20" s="27" t="s">
        <v>49</v>
      </c>
      <c r="C20" s="43"/>
      <c r="D20" s="36"/>
    </row>
    <row r="21" ht="30" customHeight="1" spans="1:4" x14ac:dyDescent="0.25">
      <c r="A21" s="29" t="s">
        <v>206</v>
      </c>
      <c r="B21" s="27" t="s">
        <v>207</v>
      </c>
      <c r="C21" s="43"/>
      <c r="D21" s="36"/>
    </row>
    <row r="22" ht="30" customHeight="1" spans="1:4" x14ac:dyDescent="0.25">
      <c r="A22" s="29" t="s">
        <v>208</v>
      </c>
      <c r="B22" s="27" t="s">
        <v>57</v>
      </c>
      <c r="C22" s="43"/>
      <c r="D22" s="36"/>
    </row>
    <row r="23" ht="8" customHeight="1" x14ac:dyDescent="0.25"/>
    <row r="24" ht="20" customHeight="1" spans="1:4" x14ac:dyDescent="0.25">
      <c r="A24" s="5" t="s">
        <v>209</v>
      </c>
      <c r="B24" s="5"/>
      <c r="C24" s="5"/>
      <c r="D24" s="5"/>
    </row>
    <row r="25" ht="20" customHeight="1" spans="1:4" x14ac:dyDescent="0.25">
      <c r="A25" s="9" t="s">
        <v>210</v>
      </c>
      <c r="B25" s="9"/>
      <c r="C25" s="18">
        <f>COUNTA(C13:C22)&amp;" de 10"</f>
      </c>
      <c r="D25" s="18"/>
    </row>
    <row r="26" ht="20" customHeight="1" spans="1:4" x14ac:dyDescent="0.25">
      <c r="A26" s="9" t="s">
        <v>211</v>
      </c>
      <c r="B26" s="9"/>
      <c r="C26" s="18">
        <f>COUNTIF(C13:C22,"Sim")&amp;" / "&amp;COUNTIF(C13:C22,"Parcial")&amp;" / "&amp;COUNTIF(C13:C22,"Não")</f>
      </c>
      <c r="D26" s="18"/>
    </row>
    <row r="27" ht="20" customHeight="1" spans="1:4" x14ac:dyDescent="0.25">
      <c r="A27" s="9" t="s">
        <v>212</v>
      </c>
      <c r="B27" s="9"/>
      <c r="C27" s="18">
        <f>IF(COUNTIF(C13:C22,"Não")&gt;0,"Priorize os "&amp;COUNTIF(C13:C22,"Não")&amp;" item(ns) Não antes da auditoria externa","")</f>
      </c>
      <c r="D27" s="18"/>
    </row>
    <row r="28" ht="20" customHeight="1" spans="1:4" x14ac:dyDescent="0.25">
      <c r="A28" s="9" t="s">
        <v>184</v>
      </c>
      <c r="B28" s="9"/>
      <c r="C28" s="18">
        <f>IF(COUNTA(C13:C22)&lt;10,"Pendente: responda todos os itens",IF(COUNTIF(C13:C22,"Não")&gt;0,"Verificar: há itens Não","OK"))</f>
      </c>
      <c r="D28" s="18"/>
    </row>
    <row r="29" ht="20" customHeight="1" spans="1:4" x14ac:dyDescent="0.25">
      <c r="A29" s="9" t="s">
        <v>213</v>
      </c>
      <c r="B29" s="9"/>
      <c r="C29" s="44">
        <f>COUNTIF(C13:C22,"Sim")/10</f>
      </c>
      <c r="D29" s="44"/>
    </row>
    <row r="30" ht="8" customHeight="1" x14ac:dyDescent="0.25"/>
    <row r="31" ht="20" customHeight="1" spans="1:4" x14ac:dyDescent="0.25">
      <c r="A31" s="5" t="s">
        <v>214</v>
      </c>
      <c r="B31" s="5"/>
      <c r="C31" s="5"/>
      <c r="D31" s="5"/>
    </row>
    <row r="32" ht="22" customHeight="1" spans="1:4" x14ac:dyDescent="0.25">
      <c r="A32" s="8" t="s">
        <v>148</v>
      </c>
      <c r="B32" s="8" t="s">
        <v>215</v>
      </c>
      <c r="C32" s="8" t="s">
        <v>132</v>
      </c>
      <c r="D32" s="8" t="s">
        <v>216</v>
      </c>
    </row>
    <row r="33" ht="30" customHeight="1" spans="1:4" x14ac:dyDescent="0.25">
      <c r="A33" s="9" t="s">
        <v>189</v>
      </c>
      <c r="B33" s="36"/>
      <c r="C33" s="16"/>
      <c r="D33" s="36"/>
    </row>
    <row r="34" ht="30" customHeight="1" spans="1:4" x14ac:dyDescent="0.25">
      <c r="A34" s="9" t="s">
        <v>190</v>
      </c>
      <c r="B34" s="36"/>
      <c r="C34" s="16"/>
      <c r="D34" s="36"/>
    </row>
  </sheetData>
  <sheetProtection sheet="1" formatColumns="0" formatRows="0" autoFilter="0"/>
  <mergeCells count="16">
    <mergeCell ref="A1:B2"/>
    <mergeCell ref="C1:C2"/>
    <mergeCell ref="A4:D4"/>
    <mergeCell ref="A9:D9"/>
    <mergeCell ref="A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1:D31"/>
  </mergeCells>
  <conditionalFormatting sqref="C13:C22">
    <cfRule type="expression" dxfId="64" priority="1">
      <formula>C13="Não"</formula>
    </cfRule>
    <cfRule type="expression" dxfId="65" priority="2">
      <formula>C13="Parcial"</formula>
    </cfRule>
    <cfRule type="expression" dxfId="66" priority="3">
      <formula>C13="Sim"</formula>
    </cfRule>
  </conditionalFormatting>
  <conditionalFormatting sqref="C28">
    <cfRule type="expression" dxfId="67" priority="1">
      <formula>OR(LEFT(C28,4)="ERRO",LEFT(C28,7)="ATENÇÃO")</formula>
    </cfRule>
    <cfRule type="expression" dxfId="68" priority="2">
      <formula>OR(LEFT(C28,8)="Pendente",LEFT(C28,9)="Verificar",LEFT(C28,9)="Duplicada",LEFT(C28,7)="Tarefa ",LEFT(C28,13)="Fora do plano",LEFT(C28,8)="Previsão",LEFT(C28,11)="Sem vínculo",LEFT(C28,14)="Não verificado",LEFT(C28,7)="Informe",LEFT(C28,9)="A definir")</formula>
    </cfRule>
    <cfRule type="expression" dxfId="69" priority="3">
      <formula>OR(C28="OK",LEFT(C28,4)="Nada",LEFT(C28,3)="OK:")</formula>
    </cfRule>
  </conditionalFormatting>
  <dataValidations count="1">
    <dataValidation type="list" allowBlank="1" showErrorMessage="1" errorTitle="Resposta inválida" error="Escolha Sim, Não ou Parcial." sqref="C13:C22">
      <formula1>"Sim,Não,Parcial"</formula1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1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10" customWidth="1"/>
    <col min="4" max="4" width="13" customWidth="1"/>
    <col min="5" max="5" width="20" customWidth="1"/>
    <col min="6" max="6" width="28" customWidth="1"/>
    <col min="7" max="7" width="13" customWidth="1"/>
    <col min="8" max="8" width="16" customWidth="1"/>
    <col min="9" max="9" width="30" customWidth="1"/>
  </cols>
  <sheetData>
    <row r="1" ht="36" customHeight="1" spans="1:9" x14ac:dyDescent="0.25">
      <c r="A1" s="1"/>
      <c r="B1" s="1"/>
      <c r="C1" s="2" t="s">
        <v>217</v>
      </c>
      <c r="D1" s="2"/>
      <c r="E1" s="2"/>
      <c r="F1" s="2"/>
      <c r="G1" s="2"/>
      <c r="H1" s="2"/>
      <c r="I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9" x14ac:dyDescent="0.25">
      <c r="A2" s="1"/>
      <c r="B2" s="1"/>
      <c r="C2" s="2"/>
      <c r="D2" s="2"/>
      <c r="E2" s="2"/>
      <c r="F2" s="2"/>
      <c r="G2" s="2"/>
      <c r="H2" s="2"/>
      <c r="I2" s="4">
        <f>"Elaborado: "&amp;IF(cfg_elaborado="","A definir",cfg_elaborado)&amp;CHAR(10)&amp;"Aprovado: "&amp;IF(cfg_aprovado="","A definir",cfg_aprovado)</f>
      </c>
    </row>
    <row r="3" ht="34" customHeight="1" spans="1:9" x14ac:dyDescent="0.25">
      <c r="A3" s="8" t="s">
        <v>218</v>
      </c>
      <c r="B3" s="8" t="s">
        <v>219</v>
      </c>
      <c r="C3" s="8" t="s">
        <v>220</v>
      </c>
      <c r="D3" s="8" t="s">
        <v>221</v>
      </c>
      <c r="E3" s="8" t="s">
        <v>222</v>
      </c>
      <c r="F3" s="8" t="s">
        <v>223</v>
      </c>
      <c r="G3" s="8" t="s">
        <v>224</v>
      </c>
      <c r="H3" s="8" t="s">
        <v>121</v>
      </c>
      <c r="I3" s="8" t="s">
        <v>111</v>
      </c>
    </row>
    <row r="4" spans="1:9" x14ac:dyDescent="0.25">
      <c r="A4" s="26"/>
      <c r="B4" s="27"/>
      <c r="C4" s="35"/>
      <c r="D4" s="33"/>
      <c r="E4" s="27"/>
      <c r="F4" s="27"/>
      <c r="G4" s="33"/>
      <c r="H4" s="30">
        <f t="shared" ref="H4:H63" si="0">IF(NOT(ISNUMBER(G4)),"",IF(G4&lt;TODAY(),"Revisão vencida",IF(G4-TODAY()&lt;=30,"Vence em 30 dias","Em dia")))</f>
      </c>
      <c r="I4" s="32">
        <f t="shared" ref="I4:I63" si="1">IF(A4&amp;B4="","",IF(A4="","ERRO: falta o código",IF(COUNTIF($A$4:$A$63,A4)&gt;1,"ERRO: código repetido",IF(AND(ISNUMBER(D4),ISNUMBER(G4),G4&lt;D4),"ERRO: próxima revisão anterior à revisão",IF(OR(C4="",NOT(ISNUMBER(D4)),E4=""),"Pendente: revisão, data e aprovador","OK")))))</f>
      </c>
    </row>
    <row r="5" spans="1:9" x14ac:dyDescent="0.25">
      <c r="A5" s="26"/>
      <c r="B5" s="27"/>
      <c r="C5" s="35"/>
      <c r="D5" s="33"/>
      <c r="E5" s="27"/>
      <c r="F5" s="27"/>
      <c r="G5" s="33"/>
      <c r="H5" s="30">
        <f t="shared" si="0"/>
      </c>
      <c r="I5" s="32">
        <f t="shared" si="1"/>
      </c>
    </row>
    <row r="6" spans="1:9" x14ac:dyDescent="0.25">
      <c r="A6" s="26"/>
      <c r="B6" s="27"/>
      <c r="C6" s="35"/>
      <c r="D6" s="33"/>
      <c r="E6" s="27"/>
      <c r="F6" s="27"/>
      <c r="G6" s="33"/>
      <c r="H6" s="30">
        <f t="shared" si="0"/>
      </c>
      <c r="I6" s="32">
        <f t="shared" si="1"/>
      </c>
    </row>
    <row r="7" spans="1:9" x14ac:dyDescent="0.25">
      <c r="A7" s="26"/>
      <c r="B7" s="27"/>
      <c r="C7" s="35"/>
      <c r="D7" s="33"/>
      <c r="E7" s="27"/>
      <c r="F7" s="27"/>
      <c r="G7" s="33"/>
      <c r="H7" s="30">
        <f t="shared" si="0"/>
      </c>
      <c r="I7" s="32">
        <f t="shared" si="1"/>
      </c>
    </row>
    <row r="8" spans="1:9" x14ac:dyDescent="0.25">
      <c r="A8" s="26"/>
      <c r="B8" s="27"/>
      <c r="C8" s="35"/>
      <c r="D8" s="33"/>
      <c r="E8" s="27"/>
      <c r="F8" s="27"/>
      <c r="G8" s="33"/>
      <c r="H8" s="30">
        <f t="shared" si="0"/>
      </c>
      <c r="I8" s="32">
        <f t="shared" si="1"/>
      </c>
    </row>
    <row r="9" spans="1:9" x14ac:dyDescent="0.25">
      <c r="A9" s="26"/>
      <c r="B9" s="27"/>
      <c r="C9" s="35"/>
      <c r="D9" s="33"/>
      <c r="E9" s="27"/>
      <c r="F9" s="27"/>
      <c r="G9" s="33"/>
      <c r="H9" s="30">
        <f t="shared" si="0"/>
      </c>
      <c r="I9" s="32">
        <f t="shared" si="1"/>
      </c>
    </row>
    <row r="10" spans="1:9" x14ac:dyDescent="0.25">
      <c r="A10" s="26"/>
      <c r="B10" s="27"/>
      <c r="C10" s="35"/>
      <c r="D10" s="33"/>
      <c r="E10" s="27"/>
      <c r="F10" s="27"/>
      <c r="G10" s="33"/>
      <c r="H10" s="30">
        <f t="shared" si="0"/>
      </c>
      <c r="I10" s="32">
        <f t="shared" si="1"/>
      </c>
    </row>
    <row r="11" spans="1:9" x14ac:dyDescent="0.25">
      <c r="A11" s="26"/>
      <c r="B11" s="27"/>
      <c r="C11" s="35"/>
      <c r="D11" s="33"/>
      <c r="E11" s="27"/>
      <c r="F11" s="27"/>
      <c r="G11" s="33"/>
      <c r="H11" s="30">
        <f t="shared" si="0"/>
      </c>
      <c r="I11" s="32">
        <f t="shared" si="1"/>
      </c>
    </row>
    <row r="12" spans="1:9" x14ac:dyDescent="0.25">
      <c r="A12" s="26"/>
      <c r="B12" s="27"/>
      <c r="C12" s="35"/>
      <c r="D12" s="33"/>
      <c r="E12" s="27"/>
      <c r="F12" s="27"/>
      <c r="G12" s="33"/>
      <c r="H12" s="30">
        <f t="shared" si="0"/>
      </c>
      <c r="I12" s="32">
        <f t="shared" si="1"/>
      </c>
    </row>
    <row r="13" spans="1:9" x14ac:dyDescent="0.25">
      <c r="A13" s="26"/>
      <c r="B13" s="27"/>
      <c r="C13" s="35"/>
      <c r="D13" s="33"/>
      <c r="E13" s="27"/>
      <c r="F13" s="27"/>
      <c r="G13" s="33"/>
      <c r="H13" s="30">
        <f t="shared" si="0"/>
      </c>
      <c r="I13" s="32">
        <f t="shared" si="1"/>
      </c>
    </row>
    <row r="14" spans="1:9" x14ac:dyDescent="0.25">
      <c r="A14" s="26"/>
      <c r="B14" s="27"/>
      <c r="C14" s="35"/>
      <c r="D14" s="33"/>
      <c r="E14" s="27"/>
      <c r="F14" s="27"/>
      <c r="G14" s="33"/>
      <c r="H14" s="30">
        <f t="shared" si="0"/>
      </c>
      <c r="I14" s="32">
        <f t="shared" si="1"/>
      </c>
    </row>
    <row r="15" spans="1:9" x14ac:dyDescent="0.25">
      <c r="A15" s="26"/>
      <c r="B15" s="27"/>
      <c r="C15" s="35"/>
      <c r="D15" s="33"/>
      <c r="E15" s="27"/>
      <c r="F15" s="27"/>
      <c r="G15" s="33"/>
      <c r="H15" s="30">
        <f t="shared" si="0"/>
      </c>
      <c r="I15" s="32">
        <f t="shared" si="1"/>
      </c>
    </row>
    <row r="16" spans="1:9" x14ac:dyDescent="0.25">
      <c r="A16" s="26"/>
      <c r="B16" s="27"/>
      <c r="C16" s="35"/>
      <c r="D16" s="33"/>
      <c r="E16" s="27"/>
      <c r="F16" s="27"/>
      <c r="G16" s="33"/>
      <c r="H16" s="30">
        <f t="shared" si="0"/>
      </c>
      <c r="I16" s="32">
        <f t="shared" si="1"/>
      </c>
    </row>
    <row r="17" spans="1:9" x14ac:dyDescent="0.25">
      <c r="A17" s="26"/>
      <c r="B17" s="27"/>
      <c r="C17" s="35"/>
      <c r="D17" s="33"/>
      <c r="E17" s="27"/>
      <c r="F17" s="27"/>
      <c r="G17" s="33"/>
      <c r="H17" s="30">
        <f t="shared" si="0"/>
      </c>
      <c r="I17" s="32">
        <f t="shared" si="1"/>
      </c>
    </row>
    <row r="18" spans="1:9" x14ac:dyDescent="0.25">
      <c r="A18" s="26"/>
      <c r="B18" s="27"/>
      <c r="C18" s="35"/>
      <c r="D18" s="33"/>
      <c r="E18" s="27"/>
      <c r="F18" s="27"/>
      <c r="G18" s="33"/>
      <c r="H18" s="30">
        <f t="shared" si="0"/>
      </c>
      <c r="I18" s="32">
        <f t="shared" si="1"/>
      </c>
    </row>
    <row r="19" spans="1:9" x14ac:dyDescent="0.25">
      <c r="A19" s="26"/>
      <c r="B19" s="27"/>
      <c r="C19" s="35"/>
      <c r="D19" s="33"/>
      <c r="E19" s="27"/>
      <c r="F19" s="27"/>
      <c r="G19" s="33"/>
      <c r="H19" s="30">
        <f t="shared" si="0"/>
      </c>
      <c r="I19" s="32">
        <f t="shared" si="1"/>
      </c>
    </row>
    <row r="20" spans="1:9" x14ac:dyDescent="0.25">
      <c r="A20" s="26"/>
      <c r="B20" s="27"/>
      <c r="C20" s="35"/>
      <c r="D20" s="33"/>
      <c r="E20" s="27"/>
      <c r="F20" s="27"/>
      <c r="G20" s="33"/>
      <c r="H20" s="30">
        <f t="shared" si="0"/>
      </c>
      <c r="I20" s="32">
        <f t="shared" si="1"/>
      </c>
    </row>
    <row r="21" spans="1:9" x14ac:dyDescent="0.25">
      <c r="A21" s="26"/>
      <c r="B21" s="27"/>
      <c r="C21" s="35"/>
      <c r="D21" s="33"/>
      <c r="E21" s="27"/>
      <c r="F21" s="27"/>
      <c r="G21" s="33"/>
      <c r="H21" s="30">
        <f t="shared" si="0"/>
      </c>
      <c r="I21" s="32">
        <f t="shared" si="1"/>
      </c>
    </row>
    <row r="22" spans="1:9" x14ac:dyDescent="0.25">
      <c r="A22" s="26"/>
      <c r="B22" s="27"/>
      <c r="C22" s="35"/>
      <c r="D22" s="33"/>
      <c r="E22" s="27"/>
      <c r="F22" s="27"/>
      <c r="G22" s="33"/>
      <c r="H22" s="30">
        <f t="shared" si="0"/>
      </c>
      <c r="I22" s="32">
        <f t="shared" si="1"/>
      </c>
    </row>
    <row r="23" spans="1:9" x14ac:dyDescent="0.25">
      <c r="A23" s="26"/>
      <c r="B23" s="27"/>
      <c r="C23" s="35"/>
      <c r="D23" s="33"/>
      <c r="E23" s="27"/>
      <c r="F23" s="27"/>
      <c r="G23" s="33"/>
      <c r="H23" s="30">
        <f t="shared" si="0"/>
      </c>
      <c r="I23" s="32">
        <f t="shared" si="1"/>
      </c>
    </row>
    <row r="24" spans="1:9" x14ac:dyDescent="0.25">
      <c r="A24" s="26"/>
      <c r="B24" s="27"/>
      <c r="C24" s="35"/>
      <c r="D24" s="33"/>
      <c r="E24" s="27"/>
      <c r="F24" s="27"/>
      <c r="G24" s="33"/>
      <c r="H24" s="30">
        <f t="shared" si="0"/>
      </c>
      <c r="I24" s="32">
        <f t="shared" si="1"/>
      </c>
    </row>
    <row r="25" spans="1:9" x14ac:dyDescent="0.25">
      <c r="A25" s="26"/>
      <c r="B25" s="27"/>
      <c r="C25" s="35"/>
      <c r="D25" s="33"/>
      <c r="E25" s="27"/>
      <c r="F25" s="27"/>
      <c r="G25" s="33"/>
      <c r="H25" s="30">
        <f t="shared" si="0"/>
      </c>
      <c r="I25" s="32">
        <f t="shared" si="1"/>
      </c>
    </row>
    <row r="26" spans="1:9" x14ac:dyDescent="0.25">
      <c r="A26" s="26"/>
      <c r="B26" s="27"/>
      <c r="C26" s="35"/>
      <c r="D26" s="33"/>
      <c r="E26" s="27"/>
      <c r="F26" s="27"/>
      <c r="G26" s="33"/>
      <c r="H26" s="30">
        <f t="shared" si="0"/>
      </c>
      <c r="I26" s="32">
        <f t="shared" si="1"/>
      </c>
    </row>
    <row r="27" spans="1:9" x14ac:dyDescent="0.25">
      <c r="A27" s="26"/>
      <c r="B27" s="27"/>
      <c r="C27" s="35"/>
      <c r="D27" s="33"/>
      <c r="E27" s="27"/>
      <c r="F27" s="27"/>
      <c r="G27" s="33"/>
      <c r="H27" s="30">
        <f t="shared" si="0"/>
      </c>
      <c r="I27" s="32">
        <f t="shared" si="1"/>
      </c>
    </row>
    <row r="28" spans="1:9" x14ac:dyDescent="0.25">
      <c r="A28" s="26"/>
      <c r="B28" s="27"/>
      <c r="C28" s="35"/>
      <c r="D28" s="33"/>
      <c r="E28" s="27"/>
      <c r="F28" s="27"/>
      <c r="G28" s="33"/>
      <c r="H28" s="30">
        <f t="shared" si="0"/>
      </c>
      <c r="I28" s="32">
        <f t="shared" si="1"/>
      </c>
    </row>
    <row r="29" spans="1:9" x14ac:dyDescent="0.25">
      <c r="A29" s="26"/>
      <c r="B29" s="27"/>
      <c r="C29" s="35"/>
      <c r="D29" s="33"/>
      <c r="E29" s="27"/>
      <c r="F29" s="27"/>
      <c r="G29" s="33"/>
      <c r="H29" s="30">
        <f t="shared" si="0"/>
      </c>
      <c r="I29" s="32">
        <f t="shared" si="1"/>
      </c>
    </row>
    <row r="30" spans="1:9" x14ac:dyDescent="0.25">
      <c r="A30" s="26"/>
      <c r="B30" s="27"/>
      <c r="C30" s="35"/>
      <c r="D30" s="33"/>
      <c r="E30" s="27"/>
      <c r="F30" s="27"/>
      <c r="G30" s="33"/>
      <c r="H30" s="30">
        <f t="shared" si="0"/>
      </c>
      <c r="I30" s="32">
        <f t="shared" si="1"/>
      </c>
    </row>
    <row r="31" spans="1:9" x14ac:dyDescent="0.25">
      <c r="A31" s="26"/>
      <c r="B31" s="27"/>
      <c r="C31" s="35"/>
      <c r="D31" s="33"/>
      <c r="E31" s="27"/>
      <c r="F31" s="27"/>
      <c r="G31" s="33"/>
      <c r="H31" s="30">
        <f t="shared" si="0"/>
      </c>
      <c r="I31" s="32">
        <f t="shared" si="1"/>
      </c>
    </row>
    <row r="32" spans="1:9" x14ac:dyDescent="0.25">
      <c r="A32" s="26"/>
      <c r="B32" s="27"/>
      <c r="C32" s="35"/>
      <c r="D32" s="33"/>
      <c r="E32" s="27"/>
      <c r="F32" s="27"/>
      <c r="G32" s="33"/>
      <c r="H32" s="30">
        <f t="shared" si="0"/>
      </c>
      <c r="I32" s="32">
        <f t="shared" si="1"/>
      </c>
    </row>
    <row r="33" spans="1:9" x14ac:dyDescent="0.25">
      <c r="A33" s="26"/>
      <c r="B33" s="27"/>
      <c r="C33" s="35"/>
      <c r="D33" s="33"/>
      <c r="E33" s="27"/>
      <c r="F33" s="27"/>
      <c r="G33" s="33"/>
      <c r="H33" s="30">
        <f t="shared" si="0"/>
      </c>
      <c r="I33" s="32">
        <f t="shared" si="1"/>
      </c>
    </row>
    <row r="34" spans="1:9" x14ac:dyDescent="0.25">
      <c r="A34" s="26"/>
      <c r="B34" s="27"/>
      <c r="C34" s="35"/>
      <c r="D34" s="33"/>
      <c r="E34" s="27"/>
      <c r="F34" s="27"/>
      <c r="G34" s="33"/>
      <c r="H34" s="30">
        <f t="shared" si="0"/>
      </c>
      <c r="I34" s="32">
        <f t="shared" si="1"/>
      </c>
    </row>
    <row r="35" spans="1:9" x14ac:dyDescent="0.25">
      <c r="A35" s="26"/>
      <c r="B35" s="27"/>
      <c r="C35" s="35"/>
      <c r="D35" s="33"/>
      <c r="E35" s="27"/>
      <c r="F35" s="27"/>
      <c r="G35" s="33"/>
      <c r="H35" s="30">
        <f t="shared" si="0"/>
      </c>
      <c r="I35" s="32">
        <f t="shared" si="1"/>
      </c>
    </row>
    <row r="36" spans="1:9" x14ac:dyDescent="0.25">
      <c r="A36" s="26"/>
      <c r="B36" s="27"/>
      <c r="C36" s="35"/>
      <c r="D36" s="33"/>
      <c r="E36" s="27"/>
      <c r="F36" s="27"/>
      <c r="G36" s="33"/>
      <c r="H36" s="30">
        <f t="shared" si="0"/>
      </c>
      <c r="I36" s="32">
        <f t="shared" si="1"/>
      </c>
    </row>
    <row r="37" spans="1:9" x14ac:dyDescent="0.25">
      <c r="A37" s="26"/>
      <c r="B37" s="27"/>
      <c r="C37" s="35"/>
      <c r="D37" s="33"/>
      <c r="E37" s="27"/>
      <c r="F37" s="27"/>
      <c r="G37" s="33"/>
      <c r="H37" s="30">
        <f t="shared" si="0"/>
      </c>
      <c r="I37" s="32">
        <f t="shared" si="1"/>
      </c>
    </row>
    <row r="38" spans="1:9" x14ac:dyDescent="0.25">
      <c r="A38" s="26"/>
      <c r="B38" s="27"/>
      <c r="C38" s="35"/>
      <c r="D38" s="33"/>
      <c r="E38" s="27"/>
      <c r="F38" s="27"/>
      <c r="G38" s="33"/>
      <c r="H38" s="30">
        <f t="shared" si="0"/>
      </c>
      <c r="I38" s="32">
        <f t="shared" si="1"/>
      </c>
    </row>
    <row r="39" spans="1:9" x14ac:dyDescent="0.25">
      <c r="A39" s="26"/>
      <c r="B39" s="27"/>
      <c r="C39" s="35"/>
      <c r="D39" s="33"/>
      <c r="E39" s="27"/>
      <c r="F39" s="27"/>
      <c r="G39" s="33"/>
      <c r="H39" s="30">
        <f t="shared" si="0"/>
      </c>
      <c r="I39" s="32">
        <f t="shared" si="1"/>
      </c>
    </row>
    <row r="40" spans="1:9" x14ac:dyDescent="0.25">
      <c r="A40" s="26"/>
      <c r="B40" s="27"/>
      <c r="C40" s="35"/>
      <c r="D40" s="33"/>
      <c r="E40" s="27"/>
      <c r="F40" s="27"/>
      <c r="G40" s="33"/>
      <c r="H40" s="30">
        <f t="shared" si="0"/>
      </c>
      <c r="I40" s="32">
        <f t="shared" si="1"/>
      </c>
    </row>
    <row r="41" spans="1:9" x14ac:dyDescent="0.25">
      <c r="A41" s="26"/>
      <c r="B41" s="27"/>
      <c r="C41" s="35"/>
      <c r="D41" s="33"/>
      <c r="E41" s="27"/>
      <c r="F41" s="27"/>
      <c r="G41" s="33"/>
      <c r="H41" s="30">
        <f t="shared" si="0"/>
      </c>
      <c r="I41" s="32">
        <f t="shared" si="1"/>
      </c>
    </row>
    <row r="42" spans="1:9" x14ac:dyDescent="0.25">
      <c r="A42" s="26"/>
      <c r="B42" s="27"/>
      <c r="C42" s="35"/>
      <c r="D42" s="33"/>
      <c r="E42" s="27"/>
      <c r="F42" s="27"/>
      <c r="G42" s="33"/>
      <c r="H42" s="30">
        <f t="shared" si="0"/>
      </c>
      <c r="I42" s="32">
        <f t="shared" si="1"/>
      </c>
    </row>
    <row r="43" spans="1:9" x14ac:dyDescent="0.25">
      <c r="A43" s="26"/>
      <c r="B43" s="27"/>
      <c r="C43" s="35"/>
      <c r="D43" s="33"/>
      <c r="E43" s="27"/>
      <c r="F43" s="27"/>
      <c r="G43" s="33"/>
      <c r="H43" s="30">
        <f t="shared" si="0"/>
      </c>
      <c r="I43" s="32">
        <f t="shared" si="1"/>
      </c>
    </row>
    <row r="44" spans="1:9" x14ac:dyDescent="0.25">
      <c r="A44" s="26"/>
      <c r="B44" s="27"/>
      <c r="C44" s="35"/>
      <c r="D44" s="33"/>
      <c r="E44" s="27"/>
      <c r="F44" s="27"/>
      <c r="G44" s="33"/>
      <c r="H44" s="30">
        <f t="shared" si="0"/>
      </c>
      <c r="I44" s="32">
        <f t="shared" si="1"/>
      </c>
    </row>
    <row r="45" spans="1:9" x14ac:dyDescent="0.25">
      <c r="A45" s="26"/>
      <c r="B45" s="27"/>
      <c r="C45" s="35"/>
      <c r="D45" s="33"/>
      <c r="E45" s="27"/>
      <c r="F45" s="27"/>
      <c r="G45" s="33"/>
      <c r="H45" s="30">
        <f t="shared" si="0"/>
      </c>
      <c r="I45" s="32">
        <f t="shared" si="1"/>
      </c>
    </row>
    <row r="46" spans="1:9" x14ac:dyDescent="0.25">
      <c r="A46" s="26"/>
      <c r="B46" s="27"/>
      <c r="C46" s="35"/>
      <c r="D46" s="33"/>
      <c r="E46" s="27"/>
      <c r="F46" s="27"/>
      <c r="G46" s="33"/>
      <c r="H46" s="30">
        <f t="shared" si="0"/>
      </c>
      <c r="I46" s="32">
        <f t="shared" si="1"/>
      </c>
    </row>
    <row r="47" spans="1:9" x14ac:dyDescent="0.25">
      <c r="A47" s="26"/>
      <c r="B47" s="27"/>
      <c r="C47" s="35"/>
      <c r="D47" s="33"/>
      <c r="E47" s="27"/>
      <c r="F47" s="27"/>
      <c r="G47" s="33"/>
      <c r="H47" s="30">
        <f t="shared" si="0"/>
      </c>
      <c r="I47" s="32">
        <f t="shared" si="1"/>
      </c>
    </row>
    <row r="48" spans="1:9" x14ac:dyDescent="0.25">
      <c r="A48" s="26"/>
      <c r="B48" s="27"/>
      <c r="C48" s="35"/>
      <c r="D48" s="33"/>
      <c r="E48" s="27"/>
      <c r="F48" s="27"/>
      <c r="G48" s="33"/>
      <c r="H48" s="30">
        <f t="shared" si="0"/>
      </c>
      <c r="I48" s="32">
        <f t="shared" si="1"/>
      </c>
    </row>
    <row r="49" spans="1:9" x14ac:dyDescent="0.25">
      <c r="A49" s="26"/>
      <c r="B49" s="27"/>
      <c r="C49" s="35"/>
      <c r="D49" s="33"/>
      <c r="E49" s="27"/>
      <c r="F49" s="27"/>
      <c r="G49" s="33"/>
      <c r="H49" s="30">
        <f t="shared" si="0"/>
      </c>
      <c r="I49" s="32">
        <f t="shared" si="1"/>
      </c>
    </row>
    <row r="50" spans="1:9" x14ac:dyDescent="0.25">
      <c r="A50" s="26"/>
      <c r="B50" s="27"/>
      <c r="C50" s="35"/>
      <c r="D50" s="33"/>
      <c r="E50" s="27"/>
      <c r="F50" s="27"/>
      <c r="G50" s="33"/>
      <c r="H50" s="30">
        <f t="shared" si="0"/>
      </c>
      <c r="I50" s="32">
        <f t="shared" si="1"/>
      </c>
    </row>
    <row r="51" spans="1:9" x14ac:dyDescent="0.25">
      <c r="A51" s="26"/>
      <c r="B51" s="27"/>
      <c r="C51" s="35"/>
      <c r="D51" s="33"/>
      <c r="E51" s="27"/>
      <c r="F51" s="27"/>
      <c r="G51" s="33"/>
      <c r="H51" s="30">
        <f t="shared" si="0"/>
      </c>
      <c r="I51" s="32">
        <f t="shared" si="1"/>
      </c>
    </row>
    <row r="52" spans="1:9" x14ac:dyDescent="0.25">
      <c r="A52" s="26"/>
      <c r="B52" s="27"/>
      <c r="C52" s="35"/>
      <c r="D52" s="33"/>
      <c r="E52" s="27"/>
      <c r="F52" s="27"/>
      <c r="G52" s="33"/>
      <c r="H52" s="30">
        <f t="shared" si="0"/>
      </c>
      <c r="I52" s="32">
        <f t="shared" si="1"/>
      </c>
    </row>
    <row r="53" spans="1:9" x14ac:dyDescent="0.25">
      <c r="A53" s="26"/>
      <c r="B53" s="27"/>
      <c r="C53" s="35"/>
      <c r="D53" s="33"/>
      <c r="E53" s="27"/>
      <c r="F53" s="27"/>
      <c r="G53" s="33"/>
      <c r="H53" s="30">
        <f t="shared" si="0"/>
      </c>
      <c r="I53" s="32">
        <f t="shared" si="1"/>
      </c>
    </row>
    <row r="54" spans="1:9" x14ac:dyDescent="0.25">
      <c r="A54" s="26"/>
      <c r="B54" s="27"/>
      <c r="C54" s="35"/>
      <c r="D54" s="33"/>
      <c r="E54" s="27"/>
      <c r="F54" s="27"/>
      <c r="G54" s="33"/>
      <c r="H54" s="30">
        <f t="shared" si="0"/>
      </c>
      <c r="I54" s="32">
        <f t="shared" si="1"/>
      </c>
    </row>
    <row r="55" spans="1:9" x14ac:dyDescent="0.25">
      <c r="A55" s="26"/>
      <c r="B55" s="27"/>
      <c r="C55" s="35"/>
      <c r="D55" s="33"/>
      <c r="E55" s="27"/>
      <c r="F55" s="27"/>
      <c r="G55" s="33"/>
      <c r="H55" s="30">
        <f t="shared" si="0"/>
      </c>
      <c r="I55" s="32">
        <f t="shared" si="1"/>
      </c>
    </row>
    <row r="56" spans="1:9" x14ac:dyDescent="0.25">
      <c r="A56" s="26"/>
      <c r="B56" s="27"/>
      <c r="C56" s="35"/>
      <c r="D56" s="33"/>
      <c r="E56" s="27"/>
      <c r="F56" s="27"/>
      <c r="G56" s="33"/>
      <c r="H56" s="30">
        <f t="shared" si="0"/>
      </c>
      <c r="I56" s="32">
        <f t="shared" si="1"/>
      </c>
    </row>
    <row r="57" spans="1:9" x14ac:dyDescent="0.25">
      <c r="A57" s="26"/>
      <c r="B57" s="27"/>
      <c r="C57" s="35"/>
      <c r="D57" s="33"/>
      <c r="E57" s="27"/>
      <c r="F57" s="27"/>
      <c r="G57" s="33"/>
      <c r="H57" s="30">
        <f t="shared" si="0"/>
      </c>
      <c r="I57" s="32">
        <f t="shared" si="1"/>
      </c>
    </row>
    <row r="58" spans="1:9" x14ac:dyDescent="0.25">
      <c r="A58" s="26"/>
      <c r="B58" s="27"/>
      <c r="C58" s="35"/>
      <c r="D58" s="33"/>
      <c r="E58" s="27"/>
      <c r="F58" s="27"/>
      <c r="G58" s="33"/>
      <c r="H58" s="30">
        <f t="shared" si="0"/>
      </c>
      <c r="I58" s="32">
        <f t="shared" si="1"/>
      </c>
    </row>
    <row r="59" spans="1:9" x14ac:dyDescent="0.25">
      <c r="A59" s="26"/>
      <c r="B59" s="27"/>
      <c r="C59" s="35"/>
      <c r="D59" s="33"/>
      <c r="E59" s="27"/>
      <c r="F59" s="27"/>
      <c r="G59" s="33"/>
      <c r="H59" s="30">
        <f t="shared" si="0"/>
      </c>
      <c r="I59" s="32">
        <f t="shared" si="1"/>
      </c>
    </row>
    <row r="60" spans="1:9" x14ac:dyDescent="0.25">
      <c r="A60" s="26"/>
      <c r="B60" s="27"/>
      <c r="C60" s="35"/>
      <c r="D60" s="33"/>
      <c r="E60" s="27"/>
      <c r="F60" s="27"/>
      <c r="G60" s="33"/>
      <c r="H60" s="30">
        <f t="shared" si="0"/>
      </c>
      <c r="I60" s="32">
        <f t="shared" si="1"/>
      </c>
    </row>
    <row r="61" spans="1:9" x14ac:dyDescent="0.25">
      <c r="A61" s="26"/>
      <c r="B61" s="27"/>
      <c r="C61" s="35"/>
      <c r="D61" s="33"/>
      <c r="E61" s="27"/>
      <c r="F61" s="27"/>
      <c r="G61" s="33"/>
      <c r="H61" s="30">
        <f t="shared" si="0"/>
      </c>
      <c r="I61" s="32">
        <f t="shared" si="1"/>
      </c>
    </row>
    <row r="62" spans="1:9" x14ac:dyDescent="0.25">
      <c r="A62" s="26"/>
      <c r="B62" s="27"/>
      <c r="C62" s="35"/>
      <c r="D62" s="33"/>
      <c r="E62" s="27"/>
      <c r="F62" s="27"/>
      <c r="G62" s="33"/>
      <c r="H62" s="30">
        <f t="shared" si="0"/>
      </c>
      <c r="I62" s="32">
        <f t="shared" si="1"/>
      </c>
    </row>
    <row r="63" spans="1:9" x14ac:dyDescent="0.25">
      <c r="A63" s="26"/>
      <c r="B63" s="27"/>
      <c r="C63" s="35"/>
      <c r="D63" s="33"/>
      <c r="E63" s="27"/>
      <c r="F63" s="27"/>
      <c r="G63" s="33"/>
      <c r="H63" s="30">
        <f t="shared" si="0"/>
      </c>
      <c r="I63" s="32">
        <f t="shared" si="1"/>
      </c>
    </row>
  </sheetData>
  <sheetProtection sheet="1" formatColumns="0" formatRows="0" autoFilter="0"/>
  <autoFilter ref="A3:I63"/>
  <mergeCells count="2">
    <mergeCell ref="A1:B2"/>
    <mergeCell ref="C1:H2"/>
  </mergeCells>
  <conditionalFormatting sqref="H4:H63">
    <cfRule type="expression" dxfId="70" priority="10">
      <formula>H4="Vencido"</formula>
    </cfRule>
    <cfRule type="expression" dxfId="71" priority="11">
      <formula>H4="Vence em 30 dias"</formula>
    </cfRule>
    <cfRule type="expression" dxfId="72" priority="12">
      <formula>H4="Em dia"</formula>
    </cfRule>
    <cfRule type="expression" dxfId="73" priority="13">
      <formula>H4="Válido"</formula>
    </cfRule>
    <cfRule type="expression" dxfId="74" priority="14">
      <formula>H4="Revisão vencida"</formula>
    </cfRule>
    <cfRule type="expression" dxfId="75" priority="15">
      <formula>H4="Avaliação vencida"</formula>
    </cfRule>
  </conditionalFormatting>
  <conditionalFormatting sqref="I4:I63">
    <cfRule type="expression" dxfId="76" priority="1">
      <formula>OR(LEFT(I4,4)="ERRO",LEFT(I4,7)="ATENÇÃO")</formula>
    </cfRule>
    <cfRule type="expression" dxfId="77" priority="2">
      <formula>OR(LEFT(I4,8)="Pendente",LEFT(I4,9)="Verificar",LEFT(I4,9)="Duplicada",LEFT(I4,7)="Tarefa ",LEFT(I4,13)="Fora do plano",LEFT(I4,8)="Previsão",LEFT(I4,11)="Sem vínculo",LEFT(I4,14)="Não verificado",LEFT(I4,7)="Informe",LEFT(I4,9)="A definir")</formula>
    </cfRule>
    <cfRule type="expression" dxfId="78" priority="3">
      <formula>OR(I4="OK",LEFT(I4,4)="Nada",LEFT(I4,3)="OK:")</formula>
    </cfRule>
  </conditionalFormatting>
  <dataValidations count="2">
    <dataValidation type="date" allowBlank="1" showErrorMessage="1" errorStyle="stop" errorTitle="Data inválida" error="Digite uma data válida no formato dd/mm/aaaa." sqref="D4:D63">
      <formula1>32874</formula1>
      <formula2>73050</formula2>
    </dataValidation>
    <dataValidation type="date" allowBlank="1" showErrorMessage="1" errorStyle="stop" errorTitle="Data inválida" error="Digite uma data válida no formato dd/mm/aaaa." sqref="G4:G6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1" customWidth="1"/>
    <col min="4" max="4" width="8" customWidth="1"/>
    <col min="5" max="5" width="12" customWidth="1"/>
    <col min="6" max="6" width="18" customWidth="1"/>
    <col min="7" max="7" width="13" customWidth="1"/>
    <col min="8" max="8" width="32" customWidth="1"/>
    <col min="9" max="9" width="14" customWidth="1"/>
    <col min="10" max="10" width="30" customWidth="1"/>
  </cols>
  <sheetData>
    <row r="1" ht="36" customHeight="1" spans="1:10" x14ac:dyDescent="0.25">
      <c r="A1" s="1"/>
      <c r="B1" s="1"/>
      <c r="C1" s="2" t="s">
        <v>225</v>
      </c>
      <c r="D1" s="2"/>
      <c r="E1" s="2"/>
      <c r="F1" s="2"/>
      <c r="G1" s="2"/>
      <c r="H1" s="2"/>
      <c r="I1" s="2"/>
      <c r="J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0" x14ac:dyDescent="0.25">
      <c r="A2" s="1"/>
      <c r="B2" s="1"/>
      <c r="C2" s="2"/>
      <c r="D2" s="2"/>
      <c r="E2" s="2"/>
      <c r="F2" s="2"/>
      <c r="G2" s="2"/>
      <c r="H2" s="2"/>
      <c r="I2" s="2"/>
      <c r="J2" s="4">
        <f>"Elaborado: "&amp;IF(cfg_elaborado="","A definir",cfg_elaborado)&amp;CHAR(10)&amp;"Aprovado: "&amp;IF(cfg_aprovado="","A definir",cfg_aprovado)</f>
      </c>
    </row>
    <row r="3" ht="34" customHeight="1" spans="1:10" x14ac:dyDescent="0.25">
      <c r="A3" s="8" t="s">
        <v>226</v>
      </c>
      <c r="B3" s="8" t="s">
        <v>227</v>
      </c>
      <c r="C3" s="8" t="s">
        <v>228</v>
      </c>
      <c r="D3" s="8" t="s">
        <v>229</v>
      </c>
      <c r="E3" s="8" t="s">
        <v>132</v>
      </c>
      <c r="F3" s="8" t="s">
        <v>230</v>
      </c>
      <c r="G3" s="8" t="s">
        <v>184</v>
      </c>
      <c r="H3" s="8" t="s">
        <v>231</v>
      </c>
      <c r="I3" s="8" t="s">
        <v>232</v>
      </c>
      <c r="J3" s="8" t="s">
        <v>111</v>
      </c>
    </row>
    <row r="4" spans="1:10" x14ac:dyDescent="0.25">
      <c r="A4" s="26"/>
      <c r="B4" s="29"/>
      <c r="C4" s="28"/>
      <c r="D4" s="28"/>
      <c r="E4" s="33"/>
      <c r="F4" s="27"/>
      <c r="G4" s="28"/>
      <c r="H4" s="29"/>
      <c r="I4" s="28"/>
      <c r="J4" s="32">
        <f t="shared" ref="J4:J303" si="0">IF(A4&amp;B4="","",IF(OR(A4="",B4=""),"ERRO: informe ativo e item",IF(NOT(ISNUMBER(E4)),"Pendente: data",IF(AND(OR(G4="Falha",G4="Alerta"),I4&lt;&gt;"Sim"),"Pendente: repasse a falha/alerta à manutenção",IF(G4="","Pendente: situação","OK")))))</f>
      </c>
    </row>
    <row r="5" spans="1:10" x14ac:dyDescent="0.25">
      <c r="A5" s="26"/>
      <c r="B5" s="29"/>
      <c r="C5" s="28"/>
      <c r="D5" s="28"/>
      <c r="E5" s="33"/>
      <c r="F5" s="27"/>
      <c r="G5" s="28"/>
      <c r="H5" s="29"/>
      <c r="I5" s="28"/>
      <c r="J5" s="32">
        <f t="shared" si="0"/>
      </c>
    </row>
    <row r="6" spans="1:10" x14ac:dyDescent="0.25">
      <c r="A6" s="26"/>
      <c r="B6" s="29"/>
      <c r="C6" s="28"/>
      <c r="D6" s="28"/>
      <c r="E6" s="33"/>
      <c r="F6" s="27"/>
      <c r="G6" s="28"/>
      <c r="H6" s="29"/>
      <c r="I6" s="28"/>
      <c r="J6" s="32">
        <f t="shared" si="0"/>
      </c>
    </row>
    <row r="7" spans="1:10" x14ac:dyDescent="0.25">
      <c r="A7" s="26"/>
      <c r="B7" s="29"/>
      <c r="C7" s="28"/>
      <c r="D7" s="28"/>
      <c r="E7" s="33"/>
      <c r="F7" s="27"/>
      <c r="G7" s="28"/>
      <c r="H7" s="29"/>
      <c r="I7" s="28"/>
      <c r="J7" s="32">
        <f t="shared" si="0"/>
      </c>
    </row>
    <row r="8" spans="1:10" x14ac:dyDescent="0.25">
      <c r="A8" s="26"/>
      <c r="B8" s="29"/>
      <c r="C8" s="28"/>
      <c r="D8" s="28"/>
      <c r="E8" s="33"/>
      <c r="F8" s="27"/>
      <c r="G8" s="28"/>
      <c r="H8" s="29"/>
      <c r="I8" s="28"/>
      <c r="J8" s="32">
        <f t="shared" si="0"/>
      </c>
    </row>
    <row r="9" spans="1:10" x14ac:dyDescent="0.25">
      <c r="A9" s="26"/>
      <c r="B9" s="29"/>
      <c r="C9" s="28"/>
      <c r="D9" s="28"/>
      <c r="E9" s="33"/>
      <c r="F9" s="27"/>
      <c r="G9" s="28"/>
      <c r="H9" s="29"/>
      <c r="I9" s="28"/>
      <c r="J9" s="32">
        <f t="shared" si="0"/>
      </c>
    </row>
    <row r="10" spans="1:10" x14ac:dyDescent="0.25">
      <c r="A10" s="26"/>
      <c r="B10" s="29"/>
      <c r="C10" s="28"/>
      <c r="D10" s="28"/>
      <c r="E10" s="33"/>
      <c r="F10" s="27"/>
      <c r="G10" s="28"/>
      <c r="H10" s="29"/>
      <c r="I10" s="28"/>
      <c r="J10" s="32">
        <f t="shared" si="0"/>
      </c>
    </row>
    <row r="11" spans="1:10" x14ac:dyDescent="0.25">
      <c r="A11" s="26"/>
      <c r="B11" s="29"/>
      <c r="C11" s="28"/>
      <c r="D11" s="28"/>
      <c r="E11" s="33"/>
      <c r="F11" s="27"/>
      <c r="G11" s="28"/>
      <c r="H11" s="29"/>
      <c r="I11" s="28"/>
      <c r="J11" s="32">
        <f t="shared" si="0"/>
      </c>
    </row>
    <row r="12" spans="1:10" x14ac:dyDescent="0.25">
      <c r="A12" s="26"/>
      <c r="B12" s="29"/>
      <c r="C12" s="28"/>
      <c r="D12" s="28"/>
      <c r="E12" s="33"/>
      <c r="F12" s="27"/>
      <c r="G12" s="28"/>
      <c r="H12" s="29"/>
      <c r="I12" s="28"/>
      <c r="J12" s="32">
        <f t="shared" si="0"/>
      </c>
    </row>
    <row r="13" spans="1:10" x14ac:dyDescent="0.25">
      <c r="A13" s="26"/>
      <c r="B13" s="29"/>
      <c r="C13" s="28"/>
      <c r="D13" s="28"/>
      <c r="E13" s="33"/>
      <c r="F13" s="27"/>
      <c r="G13" s="28"/>
      <c r="H13" s="29"/>
      <c r="I13" s="28"/>
      <c r="J13" s="32">
        <f t="shared" si="0"/>
      </c>
    </row>
    <row r="14" spans="1:10" x14ac:dyDescent="0.25">
      <c r="A14" s="26"/>
      <c r="B14" s="29"/>
      <c r="C14" s="28"/>
      <c r="D14" s="28"/>
      <c r="E14" s="33"/>
      <c r="F14" s="27"/>
      <c r="G14" s="28"/>
      <c r="H14" s="29"/>
      <c r="I14" s="28"/>
      <c r="J14" s="32">
        <f t="shared" si="0"/>
      </c>
    </row>
    <row r="15" spans="1:10" x14ac:dyDescent="0.25">
      <c r="A15" s="26"/>
      <c r="B15" s="29"/>
      <c r="C15" s="28"/>
      <c r="D15" s="28"/>
      <c r="E15" s="33"/>
      <c r="F15" s="27"/>
      <c r="G15" s="28"/>
      <c r="H15" s="29"/>
      <c r="I15" s="28"/>
      <c r="J15" s="32">
        <f t="shared" si="0"/>
      </c>
    </row>
    <row r="16" spans="1:10" x14ac:dyDescent="0.25">
      <c r="A16" s="26"/>
      <c r="B16" s="29"/>
      <c r="C16" s="28"/>
      <c r="D16" s="28"/>
      <c r="E16" s="33"/>
      <c r="F16" s="27"/>
      <c r="G16" s="28"/>
      <c r="H16" s="29"/>
      <c r="I16" s="28"/>
      <c r="J16" s="32">
        <f t="shared" si="0"/>
      </c>
    </row>
    <row r="17" spans="1:10" x14ac:dyDescent="0.25">
      <c r="A17" s="26"/>
      <c r="B17" s="29"/>
      <c r="C17" s="28"/>
      <c r="D17" s="28"/>
      <c r="E17" s="33"/>
      <c r="F17" s="27"/>
      <c r="G17" s="28"/>
      <c r="H17" s="29"/>
      <c r="I17" s="28"/>
      <c r="J17" s="32">
        <f t="shared" si="0"/>
      </c>
    </row>
    <row r="18" spans="1:10" x14ac:dyDescent="0.25">
      <c r="A18" s="26"/>
      <c r="B18" s="29"/>
      <c r="C18" s="28"/>
      <c r="D18" s="28"/>
      <c r="E18" s="33"/>
      <c r="F18" s="27"/>
      <c r="G18" s="28"/>
      <c r="H18" s="29"/>
      <c r="I18" s="28"/>
      <c r="J18" s="32">
        <f t="shared" si="0"/>
      </c>
    </row>
    <row r="19" spans="1:10" x14ac:dyDescent="0.25">
      <c r="A19" s="26"/>
      <c r="B19" s="29"/>
      <c r="C19" s="28"/>
      <c r="D19" s="28"/>
      <c r="E19" s="33"/>
      <c r="F19" s="27"/>
      <c r="G19" s="28"/>
      <c r="H19" s="29"/>
      <c r="I19" s="28"/>
      <c r="J19" s="32">
        <f t="shared" si="0"/>
      </c>
    </row>
    <row r="20" spans="1:10" x14ac:dyDescent="0.25">
      <c r="A20" s="26"/>
      <c r="B20" s="29"/>
      <c r="C20" s="28"/>
      <c r="D20" s="28"/>
      <c r="E20" s="33"/>
      <c r="F20" s="27"/>
      <c r="G20" s="28"/>
      <c r="H20" s="29"/>
      <c r="I20" s="28"/>
      <c r="J20" s="32">
        <f t="shared" si="0"/>
      </c>
    </row>
    <row r="21" spans="1:10" x14ac:dyDescent="0.25">
      <c r="A21" s="26"/>
      <c r="B21" s="29"/>
      <c r="C21" s="28"/>
      <c r="D21" s="28"/>
      <c r="E21" s="33"/>
      <c r="F21" s="27"/>
      <c r="G21" s="28"/>
      <c r="H21" s="29"/>
      <c r="I21" s="28"/>
      <c r="J21" s="32">
        <f t="shared" si="0"/>
      </c>
    </row>
    <row r="22" spans="1:10" x14ac:dyDescent="0.25">
      <c r="A22" s="26"/>
      <c r="B22" s="29"/>
      <c r="C22" s="28"/>
      <c r="D22" s="28"/>
      <c r="E22" s="33"/>
      <c r="F22" s="27"/>
      <c r="G22" s="28"/>
      <c r="H22" s="29"/>
      <c r="I22" s="28"/>
      <c r="J22" s="32">
        <f t="shared" si="0"/>
      </c>
    </row>
    <row r="23" spans="1:10" x14ac:dyDescent="0.25">
      <c r="A23" s="26"/>
      <c r="B23" s="29"/>
      <c r="C23" s="28"/>
      <c r="D23" s="28"/>
      <c r="E23" s="33"/>
      <c r="F23" s="27"/>
      <c r="G23" s="28"/>
      <c r="H23" s="29"/>
      <c r="I23" s="28"/>
      <c r="J23" s="32">
        <f t="shared" si="0"/>
      </c>
    </row>
    <row r="24" spans="1:10" x14ac:dyDescent="0.25">
      <c r="A24" s="26"/>
      <c r="B24" s="29"/>
      <c r="C24" s="28"/>
      <c r="D24" s="28"/>
      <c r="E24" s="33"/>
      <c r="F24" s="27"/>
      <c r="G24" s="28"/>
      <c r="H24" s="29"/>
      <c r="I24" s="28"/>
      <c r="J24" s="32">
        <f t="shared" si="0"/>
      </c>
    </row>
    <row r="25" spans="1:10" x14ac:dyDescent="0.25">
      <c r="A25" s="26"/>
      <c r="B25" s="29"/>
      <c r="C25" s="28"/>
      <c r="D25" s="28"/>
      <c r="E25" s="33"/>
      <c r="F25" s="27"/>
      <c r="G25" s="28"/>
      <c r="H25" s="29"/>
      <c r="I25" s="28"/>
      <c r="J25" s="32">
        <f t="shared" si="0"/>
      </c>
    </row>
    <row r="26" spans="1:10" x14ac:dyDescent="0.25">
      <c r="A26" s="26"/>
      <c r="B26" s="29"/>
      <c r="C26" s="28"/>
      <c r="D26" s="28"/>
      <c r="E26" s="33"/>
      <c r="F26" s="27"/>
      <c r="G26" s="28"/>
      <c r="H26" s="29"/>
      <c r="I26" s="28"/>
      <c r="J26" s="32">
        <f t="shared" si="0"/>
      </c>
    </row>
    <row r="27" spans="1:10" x14ac:dyDescent="0.25">
      <c r="A27" s="26"/>
      <c r="B27" s="29"/>
      <c r="C27" s="28"/>
      <c r="D27" s="28"/>
      <c r="E27" s="33"/>
      <c r="F27" s="27"/>
      <c r="G27" s="28"/>
      <c r="H27" s="29"/>
      <c r="I27" s="28"/>
      <c r="J27" s="32">
        <f t="shared" si="0"/>
      </c>
    </row>
    <row r="28" spans="1:10" x14ac:dyDescent="0.25">
      <c r="A28" s="26"/>
      <c r="B28" s="29"/>
      <c r="C28" s="28"/>
      <c r="D28" s="28"/>
      <c r="E28" s="33"/>
      <c r="F28" s="27"/>
      <c r="G28" s="28"/>
      <c r="H28" s="29"/>
      <c r="I28" s="28"/>
      <c r="J28" s="32">
        <f t="shared" si="0"/>
      </c>
    </row>
    <row r="29" spans="1:10" x14ac:dyDescent="0.25">
      <c r="A29" s="26"/>
      <c r="B29" s="29"/>
      <c r="C29" s="28"/>
      <c r="D29" s="28"/>
      <c r="E29" s="33"/>
      <c r="F29" s="27"/>
      <c r="G29" s="28"/>
      <c r="H29" s="29"/>
      <c r="I29" s="28"/>
      <c r="J29" s="32">
        <f t="shared" si="0"/>
      </c>
    </row>
    <row r="30" spans="1:10" x14ac:dyDescent="0.25">
      <c r="A30" s="26"/>
      <c r="B30" s="29"/>
      <c r="C30" s="28"/>
      <c r="D30" s="28"/>
      <c r="E30" s="33"/>
      <c r="F30" s="27"/>
      <c r="G30" s="28"/>
      <c r="H30" s="29"/>
      <c r="I30" s="28"/>
      <c r="J30" s="32">
        <f t="shared" si="0"/>
      </c>
    </row>
    <row r="31" spans="1:10" x14ac:dyDescent="0.25">
      <c r="A31" s="26"/>
      <c r="B31" s="29"/>
      <c r="C31" s="28"/>
      <c r="D31" s="28"/>
      <c r="E31" s="33"/>
      <c r="F31" s="27"/>
      <c r="G31" s="28"/>
      <c r="H31" s="29"/>
      <c r="I31" s="28"/>
      <c r="J31" s="32">
        <f t="shared" si="0"/>
      </c>
    </row>
    <row r="32" spans="1:10" x14ac:dyDescent="0.25">
      <c r="A32" s="26"/>
      <c r="B32" s="29"/>
      <c r="C32" s="28"/>
      <c r="D32" s="28"/>
      <c r="E32" s="33"/>
      <c r="F32" s="27"/>
      <c r="G32" s="28"/>
      <c r="H32" s="29"/>
      <c r="I32" s="28"/>
      <c r="J32" s="32">
        <f t="shared" si="0"/>
      </c>
    </row>
    <row r="33" spans="1:10" x14ac:dyDescent="0.25">
      <c r="A33" s="26"/>
      <c r="B33" s="29"/>
      <c r="C33" s="28"/>
      <c r="D33" s="28"/>
      <c r="E33" s="33"/>
      <c r="F33" s="27"/>
      <c r="G33" s="28"/>
      <c r="H33" s="29"/>
      <c r="I33" s="28"/>
      <c r="J33" s="32">
        <f t="shared" si="0"/>
      </c>
    </row>
    <row r="34" spans="1:10" x14ac:dyDescent="0.25">
      <c r="A34" s="26"/>
      <c r="B34" s="29"/>
      <c r="C34" s="28"/>
      <c r="D34" s="28"/>
      <c r="E34" s="33"/>
      <c r="F34" s="27"/>
      <c r="G34" s="28"/>
      <c r="H34" s="29"/>
      <c r="I34" s="28"/>
      <c r="J34" s="32">
        <f t="shared" si="0"/>
      </c>
    </row>
    <row r="35" spans="1:10" x14ac:dyDescent="0.25">
      <c r="A35" s="26"/>
      <c r="B35" s="29"/>
      <c r="C35" s="28"/>
      <c r="D35" s="28"/>
      <c r="E35" s="33"/>
      <c r="F35" s="27"/>
      <c r="G35" s="28"/>
      <c r="H35" s="29"/>
      <c r="I35" s="28"/>
      <c r="J35" s="32">
        <f t="shared" si="0"/>
      </c>
    </row>
    <row r="36" spans="1:10" x14ac:dyDescent="0.25">
      <c r="A36" s="26"/>
      <c r="B36" s="29"/>
      <c r="C36" s="28"/>
      <c r="D36" s="28"/>
      <c r="E36" s="33"/>
      <c r="F36" s="27"/>
      <c r="G36" s="28"/>
      <c r="H36" s="29"/>
      <c r="I36" s="28"/>
      <c r="J36" s="32">
        <f t="shared" si="0"/>
      </c>
    </row>
    <row r="37" spans="1:10" x14ac:dyDescent="0.25">
      <c r="A37" s="26"/>
      <c r="B37" s="29"/>
      <c r="C37" s="28"/>
      <c r="D37" s="28"/>
      <c r="E37" s="33"/>
      <c r="F37" s="27"/>
      <c r="G37" s="28"/>
      <c r="H37" s="29"/>
      <c r="I37" s="28"/>
      <c r="J37" s="32">
        <f t="shared" si="0"/>
      </c>
    </row>
    <row r="38" spans="1:10" x14ac:dyDescent="0.25">
      <c r="A38" s="26"/>
      <c r="B38" s="29"/>
      <c r="C38" s="28"/>
      <c r="D38" s="28"/>
      <c r="E38" s="33"/>
      <c r="F38" s="27"/>
      <c r="G38" s="28"/>
      <c r="H38" s="29"/>
      <c r="I38" s="28"/>
      <c r="J38" s="32">
        <f t="shared" si="0"/>
      </c>
    </row>
    <row r="39" spans="1:10" x14ac:dyDescent="0.25">
      <c r="A39" s="26"/>
      <c r="B39" s="29"/>
      <c r="C39" s="28"/>
      <c r="D39" s="28"/>
      <c r="E39" s="33"/>
      <c r="F39" s="27"/>
      <c r="G39" s="28"/>
      <c r="H39" s="29"/>
      <c r="I39" s="28"/>
      <c r="J39" s="32">
        <f t="shared" si="0"/>
      </c>
    </row>
    <row r="40" spans="1:10" x14ac:dyDescent="0.25">
      <c r="A40" s="26"/>
      <c r="B40" s="29"/>
      <c r="C40" s="28"/>
      <c r="D40" s="28"/>
      <c r="E40" s="33"/>
      <c r="F40" s="27"/>
      <c r="G40" s="28"/>
      <c r="H40" s="29"/>
      <c r="I40" s="28"/>
      <c r="J40" s="32">
        <f t="shared" si="0"/>
      </c>
    </row>
    <row r="41" spans="1:10" x14ac:dyDescent="0.25">
      <c r="A41" s="26"/>
      <c r="B41" s="29"/>
      <c r="C41" s="28"/>
      <c r="D41" s="28"/>
      <c r="E41" s="33"/>
      <c r="F41" s="27"/>
      <c r="G41" s="28"/>
      <c r="H41" s="29"/>
      <c r="I41" s="28"/>
      <c r="J41" s="32">
        <f t="shared" si="0"/>
      </c>
    </row>
    <row r="42" spans="1:10" x14ac:dyDescent="0.25">
      <c r="A42" s="26"/>
      <c r="B42" s="29"/>
      <c r="C42" s="28"/>
      <c r="D42" s="28"/>
      <c r="E42" s="33"/>
      <c r="F42" s="27"/>
      <c r="G42" s="28"/>
      <c r="H42" s="29"/>
      <c r="I42" s="28"/>
      <c r="J42" s="32">
        <f t="shared" si="0"/>
      </c>
    </row>
    <row r="43" spans="1:10" x14ac:dyDescent="0.25">
      <c r="A43" s="26"/>
      <c r="B43" s="29"/>
      <c r="C43" s="28"/>
      <c r="D43" s="28"/>
      <c r="E43" s="33"/>
      <c r="F43" s="27"/>
      <c r="G43" s="28"/>
      <c r="H43" s="29"/>
      <c r="I43" s="28"/>
      <c r="J43" s="32">
        <f t="shared" si="0"/>
      </c>
    </row>
    <row r="44" spans="1:10" x14ac:dyDescent="0.25">
      <c r="A44" s="26"/>
      <c r="B44" s="29"/>
      <c r="C44" s="28"/>
      <c r="D44" s="28"/>
      <c r="E44" s="33"/>
      <c r="F44" s="27"/>
      <c r="G44" s="28"/>
      <c r="H44" s="29"/>
      <c r="I44" s="28"/>
      <c r="J44" s="32">
        <f t="shared" si="0"/>
      </c>
    </row>
    <row r="45" spans="1:10" x14ac:dyDescent="0.25">
      <c r="A45" s="26"/>
      <c r="B45" s="29"/>
      <c r="C45" s="28"/>
      <c r="D45" s="28"/>
      <c r="E45" s="33"/>
      <c r="F45" s="27"/>
      <c r="G45" s="28"/>
      <c r="H45" s="29"/>
      <c r="I45" s="28"/>
      <c r="J45" s="32">
        <f t="shared" si="0"/>
      </c>
    </row>
    <row r="46" spans="1:10" x14ac:dyDescent="0.25">
      <c r="A46" s="26"/>
      <c r="B46" s="29"/>
      <c r="C46" s="28"/>
      <c r="D46" s="28"/>
      <c r="E46" s="33"/>
      <c r="F46" s="27"/>
      <c r="G46" s="28"/>
      <c r="H46" s="29"/>
      <c r="I46" s="28"/>
      <c r="J46" s="32">
        <f t="shared" si="0"/>
      </c>
    </row>
    <row r="47" spans="1:10" x14ac:dyDescent="0.25">
      <c r="A47" s="26"/>
      <c r="B47" s="29"/>
      <c r="C47" s="28"/>
      <c r="D47" s="28"/>
      <c r="E47" s="33"/>
      <c r="F47" s="27"/>
      <c r="G47" s="28"/>
      <c r="H47" s="29"/>
      <c r="I47" s="28"/>
      <c r="J47" s="32">
        <f t="shared" si="0"/>
      </c>
    </row>
    <row r="48" spans="1:10" x14ac:dyDescent="0.25">
      <c r="A48" s="26"/>
      <c r="B48" s="29"/>
      <c r="C48" s="28"/>
      <c r="D48" s="28"/>
      <c r="E48" s="33"/>
      <c r="F48" s="27"/>
      <c r="G48" s="28"/>
      <c r="H48" s="29"/>
      <c r="I48" s="28"/>
      <c r="J48" s="32">
        <f t="shared" si="0"/>
      </c>
    </row>
    <row r="49" spans="1:10" x14ac:dyDescent="0.25">
      <c r="A49" s="26"/>
      <c r="B49" s="29"/>
      <c r="C49" s="28"/>
      <c r="D49" s="28"/>
      <c r="E49" s="33"/>
      <c r="F49" s="27"/>
      <c r="G49" s="28"/>
      <c r="H49" s="29"/>
      <c r="I49" s="28"/>
      <c r="J49" s="32">
        <f t="shared" si="0"/>
      </c>
    </row>
    <row r="50" spans="1:10" x14ac:dyDescent="0.25">
      <c r="A50" s="26"/>
      <c r="B50" s="29"/>
      <c r="C50" s="28"/>
      <c r="D50" s="28"/>
      <c r="E50" s="33"/>
      <c r="F50" s="27"/>
      <c r="G50" s="28"/>
      <c r="H50" s="29"/>
      <c r="I50" s="28"/>
      <c r="J50" s="32">
        <f t="shared" si="0"/>
      </c>
    </row>
    <row r="51" spans="1:10" x14ac:dyDescent="0.25">
      <c r="A51" s="26"/>
      <c r="B51" s="29"/>
      <c r="C51" s="28"/>
      <c r="D51" s="28"/>
      <c r="E51" s="33"/>
      <c r="F51" s="27"/>
      <c r="G51" s="28"/>
      <c r="H51" s="29"/>
      <c r="I51" s="28"/>
      <c r="J51" s="32">
        <f t="shared" si="0"/>
      </c>
    </row>
    <row r="52" spans="1:10" x14ac:dyDescent="0.25">
      <c r="A52" s="26"/>
      <c r="B52" s="29"/>
      <c r="C52" s="28"/>
      <c r="D52" s="28"/>
      <c r="E52" s="33"/>
      <c r="F52" s="27"/>
      <c r="G52" s="28"/>
      <c r="H52" s="29"/>
      <c r="I52" s="28"/>
      <c r="J52" s="32">
        <f t="shared" si="0"/>
      </c>
    </row>
    <row r="53" spans="1:10" x14ac:dyDescent="0.25">
      <c r="A53" s="26"/>
      <c r="B53" s="29"/>
      <c r="C53" s="28"/>
      <c r="D53" s="28"/>
      <c r="E53" s="33"/>
      <c r="F53" s="27"/>
      <c r="G53" s="28"/>
      <c r="H53" s="29"/>
      <c r="I53" s="28"/>
      <c r="J53" s="32">
        <f t="shared" si="0"/>
      </c>
    </row>
    <row r="54" spans="1:10" x14ac:dyDescent="0.25">
      <c r="A54" s="26"/>
      <c r="B54" s="29"/>
      <c r="C54" s="28"/>
      <c r="D54" s="28"/>
      <c r="E54" s="33"/>
      <c r="F54" s="27"/>
      <c r="G54" s="28"/>
      <c r="H54" s="29"/>
      <c r="I54" s="28"/>
      <c r="J54" s="32">
        <f t="shared" si="0"/>
      </c>
    </row>
    <row r="55" spans="1:10" x14ac:dyDescent="0.25">
      <c r="A55" s="26"/>
      <c r="B55" s="29"/>
      <c r="C55" s="28"/>
      <c r="D55" s="28"/>
      <c r="E55" s="33"/>
      <c r="F55" s="27"/>
      <c r="G55" s="28"/>
      <c r="H55" s="29"/>
      <c r="I55" s="28"/>
      <c r="J55" s="32">
        <f t="shared" si="0"/>
      </c>
    </row>
    <row r="56" spans="1:10" x14ac:dyDescent="0.25">
      <c r="A56" s="26"/>
      <c r="B56" s="29"/>
      <c r="C56" s="28"/>
      <c r="D56" s="28"/>
      <c r="E56" s="33"/>
      <c r="F56" s="27"/>
      <c r="G56" s="28"/>
      <c r="H56" s="29"/>
      <c r="I56" s="28"/>
      <c r="J56" s="32">
        <f t="shared" si="0"/>
      </c>
    </row>
    <row r="57" spans="1:10" x14ac:dyDescent="0.25">
      <c r="A57" s="26"/>
      <c r="B57" s="29"/>
      <c r="C57" s="28"/>
      <c r="D57" s="28"/>
      <c r="E57" s="33"/>
      <c r="F57" s="27"/>
      <c r="G57" s="28"/>
      <c r="H57" s="29"/>
      <c r="I57" s="28"/>
      <c r="J57" s="32">
        <f t="shared" si="0"/>
      </c>
    </row>
    <row r="58" spans="1:10" x14ac:dyDescent="0.25">
      <c r="A58" s="26"/>
      <c r="B58" s="29"/>
      <c r="C58" s="28"/>
      <c r="D58" s="28"/>
      <c r="E58" s="33"/>
      <c r="F58" s="27"/>
      <c r="G58" s="28"/>
      <c r="H58" s="29"/>
      <c r="I58" s="28"/>
      <c r="J58" s="32">
        <f t="shared" si="0"/>
      </c>
    </row>
    <row r="59" spans="1:10" x14ac:dyDescent="0.25">
      <c r="A59" s="26"/>
      <c r="B59" s="29"/>
      <c r="C59" s="28"/>
      <c r="D59" s="28"/>
      <c r="E59" s="33"/>
      <c r="F59" s="27"/>
      <c r="G59" s="28"/>
      <c r="H59" s="29"/>
      <c r="I59" s="28"/>
      <c r="J59" s="32">
        <f t="shared" si="0"/>
      </c>
    </row>
    <row r="60" spans="1:10" x14ac:dyDescent="0.25">
      <c r="A60" s="26"/>
      <c r="B60" s="29"/>
      <c r="C60" s="28"/>
      <c r="D60" s="28"/>
      <c r="E60" s="33"/>
      <c r="F60" s="27"/>
      <c r="G60" s="28"/>
      <c r="H60" s="29"/>
      <c r="I60" s="28"/>
      <c r="J60" s="32">
        <f t="shared" si="0"/>
      </c>
    </row>
    <row r="61" spans="1:10" x14ac:dyDescent="0.25">
      <c r="A61" s="26"/>
      <c r="B61" s="29"/>
      <c r="C61" s="28"/>
      <c r="D61" s="28"/>
      <c r="E61" s="33"/>
      <c r="F61" s="27"/>
      <c r="G61" s="28"/>
      <c r="H61" s="29"/>
      <c r="I61" s="28"/>
      <c r="J61" s="32">
        <f t="shared" si="0"/>
      </c>
    </row>
    <row r="62" spans="1:10" x14ac:dyDescent="0.25">
      <c r="A62" s="26"/>
      <c r="B62" s="29"/>
      <c r="C62" s="28"/>
      <c r="D62" s="28"/>
      <c r="E62" s="33"/>
      <c r="F62" s="27"/>
      <c r="G62" s="28"/>
      <c r="H62" s="29"/>
      <c r="I62" s="28"/>
      <c r="J62" s="32">
        <f t="shared" si="0"/>
      </c>
    </row>
    <row r="63" spans="1:10" x14ac:dyDescent="0.25">
      <c r="A63" s="26"/>
      <c r="B63" s="29"/>
      <c r="C63" s="28"/>
      <c r="D63" s="28"/>
      <c r="E63" s="33"/>
      <c r="F63" s="27"/>
      <c r="G63" s="28"/>
      <c r="H63" s="29"/>
      <c r="I63" s="28"/>
      <c r="J63" s="32">
        <f t="shared" si="0"/>
      </c>
    </row>
    <row r="64" spans="1:10" x14ac:dyDescent="0.25">
      <c r="A64" s="26"/>
      <c r="B64" s="29"/>
      <c r="C64" s="28"/>
      <c r="D64" s="28"/>
      <c r="E64" s="33"/>
      <c r="F64" s="27"/>
      <c r="G64" s="28"/>
      <c r="H64" s="29"/>
      <c r="I64" s="28"/>
      <c r="J64" s="32">
        <f t="shared" si="0"/>
      </c>
    </row>
    <row r="65" spans="1:10" x14ac:dyDescent="0.25">
      <c r="A65" s="26"/>
      <c r="B65" s="29"/>
      <c r="C65" s="28"/>
      <c r="D65" s="28"/>
      <c r="E65" s="33"/>
      <c r="F65" s="27"/>
      <c r="G65" s="28"/>
      <c r="H65" s="29"/>
      <c r="I65" s="28"/>
      <c r="J65" s="32">
        <f t="shared" si="0"/>
      </c>
    </row>
    <row r="66" spans="1:10" x14ac:dyDescent="0.25">
      <c r="A66" s="26"/>
      <c r="B66" s="29"/>
      <c r="C66" s="28"/>
      <c r="D66" s="28"/>
      <c r="E66" s="33"/>
      <c r="F66" s="27"/>
      <c r="G66" s="28"/>
      <c r="H66" s="29"/>
      <c r="I66" s="28"/>
      <c r="J66" s="32">
        <f t="shared" si="0"/>
      </c>
    </row>
    <row r="67" spans="1:10" x14ac:dyDescent="0.25">
      <c r="A67" s="26"/>
      <c r="B67" s="29"/>
      <c r="C67" s="28"/>
      <c r="D67" s="28"/>
      <c r="E67" s="33"/>
      <c r="F67" s="27"/>
      <c r="G67" s="28"/>
      <c r="H67" s="29"/>
      <c r="I67" s="28"/>
      <c r="J67" s="32">
        <f t="shared" si="0"/>
      </c>
    </row>
    <row r="68" spans="1:10" x14ac:dyDescent="0.25">
      <c r="A68" s="26"/>
      <c r="B68" s="29"/>
      <c r="C68" s="28"/>
      <c r="D68" s="28"/>
      <c r="E68" s="33"/>
      <c r="F68" s="27"/>
      <c r="G68" s="28"/>
      <c r="H68" s="29"/>
      <c r="I68" s="28"/>
      <c r="J68" s="32">
        <f t="shared" si="0"/>
      </c>
    </row>
    <row r="69" spans="1:10" x14ac:dyDescent="0.25">
      <c r="A69" s="26"/>
      <c r="B69" s="29"/>
      <c r="C69" s="28"/>
      <c r="D69" s="28"/>
      <c r="E69" s="33"/>
      <c r="F69" s="27"/>
      <c r="G69" s="28"/>
      <c r="H69" s="29"/>
      <c r="I69" s="28"/>
      <c r="J69" s="32">
        <f t="shared" si="0"/>
      </c>
    </row>
    <row r="70" spans="1:10" x14ac:dyDescent="0.25">
      <c r="A70" s="26"/>
      <c r="B70" s="29"/>
      <c r="C70" s="28"/>
      <c r="D70" s="28"/>
      <c r="E70" s="33"/>
      <c r="F70" s="27"/>
      <c r="G70" s="28"/>
      <c r="H70" s="29"/>
      <c r="I70" s="28"/>
      <c r="J70" s="32">
        <f t="shared" si="0"/>
      </c>
    </row>
    <row r="71" spans="1:10" x14ac:dyDescent="0.25">
      <c r="A71" s="26"/>
      <c r="B71" s="29"/>
      <c r="C71" s="28"/>
      <c r="D71" s="28"/>
      <c r="E71" s="33"/>
      <c r="F71" s="27"/>
      <c r="G71" s="28"/>
      <c r="H71" s="29"/>
      <c r="I71" s="28"/>
      <c r="J71" s="32">
        <f t="shared" si="0"/>
      </c>
    </row>
    <row r="72" spans="1:10" x14ac:dyDescent="0.25">
      <c r="A72" s="26"/>
      <c r="B72" s="29"/>
      <c r="C72" s="28"/>
      <c r="D72" s="28"/>
      <c r="E72" s="33"/>
      <c r="F72" s="27"/>
      <c r="G72" s="28"/>
      <c r="H72" s="29"/>
      <c r="I72" s="28"/>
      <c r="J72" s="32">
        <f t="shared" si="0"/>
      </c>
    </row>
    <row r="73" spans="1:10" x14ac:dyDescent="0.25">
      <c r="A73" s="26"/>
      <c r="B73" s="29"/>
      <c r="C73" s="28"/>
      <c r="D73" s="28"/>
      <c r="E73" s="33"/>
      <c r="F73" s="27"/>
      <c r="G73" s="28"/>
      <c r="H73" s="29"/>
      <c r="I73" s="28"/>
      <c r="J73" s="32">
        <f t="shared" si="0"/>
      </c>
    </row>
    <row r="74" spans="1:10" x14ac:dyDescent="0.25">
      <c r="A74" s="26"/>
      <c r="B74" s="29"/>
      <c r="C74" s="28"/>
      <c r="D74" s="28"/>
      <c r="E74" s="33"/>
      <c r="F74" s="27"/>
      <c r="G74" s="28"/>
      <c r="H74" s="29"/>
      <c r="I74" s="28"/>
      <c r="J74" s="32">
        <f t="shared" si="0"/>
      </c>
    </row>
    <row r="75" spans="1:10" x14ac:dyDescent="0.25">
      <c r="A75" s="26"/>
      <c r="B75" s="29"/>
      <c r="C75" s="28"/>
      <c r="D75" s="28"/>
      <c r="E75" s="33"/>
      <c r="F75" s="27"/>
      <c r="G75" s="28"/>
      <c r="H75" s="29"/>
      <c r="I75" s="28"/>
      <c r="J75" s="32">
        <f t="shared" si="0"/>
      </c>
    </row>
    <row r="76" spans="1:10" x14ac:dyDescent="0.25">
      <c r="A76" s="26"/>
      <c r="B76" s="29"/>
      <c r="C76" s="28"/>
      <c r="D76" s="28"/>
      <c r="E76" s="33"/>
      <c r="F76" s="27"/>
      <c r="G76" s="28"/>
      <c r="H76" s="29"/>
      <c r="I76" s="28"/>
      <c r="J76" s="32">
        <f t="shared" si="0"/>
      </c>
    </row>
    <row r="77" spans="1:10" x14ac:dyDescent="0.25">
      <c r="A77" s="26"/>
      <c r="B77" s="29"/>
      <c r="C77" s="28"/>
      <c r="D77" s="28"/>
      <c r="E77" s="33"/>
      <c r="F77" s="27"/>
      <c r="G77" s="28"/>
      <c r="H77" s="29"/>
      <c r="I77" s="28"/>
      <c r="J77" s="32">
        <f t="shared" si="0"/>
      </c>
    </row>
    <row r="78" spans="1:10" x14ac:dyDescent="0.25">
      <c r="A78" s="26"/>
      <c r="B78" s="29"/>
      <c r="C78" s="28"/>
      <c r="D78" s="28"/>
      <c r="E78" s="33"/>
      <c r="F78" s="27"/>
      <c r="G78" s="28"/>
      <c r="H78" s="29"/>
      <c r="I78" s="28"/>
      <c r="J78" s="32">
        <f t="shared" si="0"/>
      </c>
    </row>
    <row r="79" spans="1:10" x14ac:dyDescent="0.25">
      <c r="A79" s="26"/>
      <c r="B79" s="29"/>
      <c r="C79" s="28"/>
      <c r="D79" s="28"/>
      <c r="E79" s="33"/>
      <c r="F79" s="27"/>
      <c r="G79" s="28"/>
      <c r="H79" s="29"/>
      <c r="I79" s="28"/>
      <c r="J79" s="32">
        <f t="shared" si="0"/>
      </c>
    </row>
    <row r="80" spans="1:10" x14ac:dyDescent="0.25">
      <c r="A80" s="26"/>
      <c r="B80" s="29"/>
      <c r="C80" s="28"/>
      <c r="D80" s="28"/>
      <c r="E80" s="33"/>
      <c r="F80" s="27"/>
      <c r="G80" s="28"/>
      <c r="H80" s="29"/>
      <c r="I80" s="28"/>
      <c r="J80" s="32">
        <f t="shared" si="0"/>
      </c>
    </row>
    <row r="81" spans="1:10" x14ac:dyDescent="0.25">
      <c r="A81" s="26"/>
      <c r="B81" s="29"/>
      <c r="C81" s="28"/>
      <c r="D81" s="28"/>
      <c r="E81" s="33"/>
      <c r="F81" s="27"/>
      <c r="G81" s="28"/>
      <c r="H81" s="29"/>
      <c r="I81" s="28"/>
      <c r="J81" s="32">
        <f t="shared" si="0"/>
      </c>
    </row>
    <row r="82" spans="1:10" x14ac:dyDescent="0.25">
      <c r="A82" s="26"/>
      <c r="B82" s="29"/>
      <c r="C82" s="28"/>
      <c r="D82" s="28"/>
      <c r="E82" s="33"/>
      <c r="F82" s="27"/>
      <c r="G82" s="28"/>
      <c r="H82" s="29"/>
      <c r="I82" s="28"/>
      <c r="J82" s="32">
        <f t="shared" si="0"/>
      </c>
    </row>
    <row r="83" spans="1:10" x14ac:dyDescent="0.25">
      <c r="A83" s="26"/>
      <c r="B83" s="29"/>
      <c r="C83" s="28"/>
      <c r="D83" s="28"/>
      <c r="E83" s="33"/>
      <c r="F83" s="27"/>
      <c r="G83" s="28"/>
      <c r="H83" s="29"/>
      <c r="I83" s="28"/>
      <c r="J83" s="32">
        <f t="shared" si="0"/>
      </c>
    </row>
    <row r="84" spans="1:10" x14ac:dyDescent="0.25">
      <c r="A84" s="26"/>
      <c r="B84" s="29"/>
      <c r="C84" s="28"/>
      <c r="D84" s="28"/>
      <c r="E84" s="33"/>
      <c r="F84" s="27"/>
      <c r="G84" s="28"/>
      <c r="H84" s="29"/>
      <c r="I84" s="28"/>
      <c r="J84" s="32">
        <f t="shared" si="0"/>
      </c>
    </row>
    <row r="85" spans="1:10" x14ac:dyDescent="0.25">
      <c r="A85" s="26"/>
      <c r="B85" s="29"/>
      <c r="C85" s="28"/>
      <c r="D85" s="28"/>
      <c r="E85" s="33"/>
      <c r="F85" s="27"/>
      <c r="G85" s="28"/>
      <c r="H85" s="29"/>
      <c r="I85" s="28"/>
      <c r="J85" s="32">
        <f t="shared" si="0"/>
      </c>
    </row>
    <row r="86" spans="1:10" x14ac:dyDescent="0.25">
      <c r="A86" s="26"/>
      <c r="B86" s="29"/>
      <c r="C86" s="28"/>
      <c r="D86" s="28"/>
      <c r="E86" s="33"/>
      <c r="F86" s="27"/>
      <c r="G86" s="28"/>
      <c r="H86" s="29"/>
      <c r="I86" s="28"/>
      <c r="J86" s="32">
        <f t="shared" si="0"/>
      </c>
    </row>
    <row r="87" spans="1:10" x14ac:dyDescent="0.25">
      <c r="A87" s="26"/>
      <c r="B87" s="29"/>
      <c r="C87" s="28"/>
      <c r="D87" s="28"/>
      <c r="E87" s="33"/>
      <c r="F87" s="27"/>
      <c r="G87" s="28"/>
      <c r="H87" s="29"/>
      <c r="I87" s="28"/>
      <c r="J87" s="32">
        <f t="shared" si="0"/>
      </c>
    </row>
    <row r="88" spans="1:10" x14ac:dyDescent="0.25">
      <c r="A88" s="26"/>
      <c r="B88" s="29"/>
      <c r="C88" s="28"/>
      <c r="D88" s="28"/>
      <c r="E88" s="33"/>
      <c r="F88" s="27"/>
      <c r="G88" s="28"/>
      <c r="H88" s="29"/>
      <c r="I88" s="28"/>
      <c r="J88" s="32">
        <f t="shared" si="0"/>
      </c>
    </row>
    <row r="89" spans="1:10" x14ac:dyDescent="0.25">
      <c r="A89" s="26"/>
      <c r="B89" s="29"/>
      <c r="C89" s="28"/>
      <c r="D89" s="28"/>
      <c r="E89" s="33"/>
      <c r="F89" s="27"/>
      <c r="G89" s="28"/>
      <c r="H89" s="29"/>
      <c r="I89" s="28"/>
      <c r="J89" s="32">
        <f t="shared" si="0"/>
      </c>
    </row>
    <row r="90" spans="1:10" x14ac:dyDescent="0.25">
      <c r="A90" s="26"/>
      <c r="B90" s="29"/>
      <c r="C90" s="28"/>
      <c r="D90" s="28"/>
      <c r="E90" s="33"/>
      <c r="F90" s="27"/>
      <c r="G90" s="28"/>
      <c r="H90" s="29"/>
      <c r="I90" s="28"/>
      <c r="J90" s="32">
        <f t="shared" si="0"/>
      </c>
    </row>
    <row r="91" spans="1:10" x14ac:dyDescent="0.25">
      <c r="A91" s="26"/>
      <c r="B91" s="29"/>
      <c r="C91" s="28"/>
      <c r="D91" s="28"/>
      <c r="E91" s="33"/>
      <c r="F91" s="27"/>
      <c r="G91" s="28"/>
      <c r="H91" s="29"/>
      <c r="I91" s="28"/>
      <c r="J91" s="32">
        <f t="shared" si="0"/>
      </c>
    </row>
    <row r="92" spans="1:10" x14ac:dyDescent="0.25">
      <c r="A92" s="26"/>
      <c r="B92" s="29"/>
      <c r="C92" s="28"/>
      <c r="D92" s="28"/>
      <c r="E92" s="33"/>
      <c r="F92" s="27"/>
      <c r="G92" s="28"/>
      <c r="H92" s="29"/>
      <c r="I92" s="28"/>
      <c r="J92" s="32">
        <f t="shared" si="0"/>
      </c>
    </row>
    <row r="93" spans="1:10" x14ac:dyDescent="0.25">
      <c r="A93" s="26"/>
      <c r="B93" s="29"/>
      <c r="C93" s="28"/>
      <c r="D93" s="28"/>
      <c r="E93" s="33"/>
      <c r="F93" s="27"/>
      <c r="G93" s="28"/>
      <c r="H93" s="29"/>
      <c r="I93" s="28"/>
      <c r="J93" s="32">
        <f t="shared" si="0"/>
      </c>
    </row>
    <row r="94" spans="1:10" x14ac:dyDescent="0.25">
      <c r="A94" s="26"/>
      <c r="B94" s="29"/>
      <c r="C94" s="28"/>
      <c r="D94" s="28"/>
      <c r="E94" s="33"/>
      <c r="F94" s="27"/>
      <c r="G94" s="28"/>
      <c r="H94" s="29"/>
      <c r="I94" s="28"/>
      <c r="J94" s="32">
        <f t="shared" si="0"/>
      </c>
    </row>
    <row r="95" spans="1:10" x14ac:dyDescent="0.25">
      <c r="A95" s="26"/>
      <c r="B95" s="29"/>
      <c r="C95" s="28"/>
      <c r="D95" s="28"/>
      <c r="E95" s="33"/>
      <c r="F95" s="27"/>
      <c r="G95" s="28"/>
      <c r="H95" s="29"/>
      <c r="I95" s="28"/>
      <c r="J95" s="32">
        <f t="shared" si="0"/>
      </c>
    </row>
    <row r="96" spans="1:10" x14ac:dyDescent="0.25">
      <c r="A96" s="26"/>
      <c r="B96" s="29"/>
      <c r="C96" s="28"/>
      <c r="D96" s="28"/>
      <c r="E96" s="33"/>
      <c r="F96" s="27"/>
      <c r="G96" s="28"/>
      <c r="H96" s="29"/>
      <c r="I96" s="28"/>
      <c r="J96" s="32">
        <f t="shared" si="0"/>
      </c>
    </row>
    <row r="97" spans="1:10" x14ac:dyDescent="0.25">
      <c r="A97" s="26"/>
      <c r="B97" s="29"/>
      <c r="C97" s="28"/>
      <c r="D97" s="28"/>
      <c r="E97" s="33"/>
      <c r="F97" s="27"/>
      <c r="G97" s="28"/>
      <c r="H97" s="29"/>
      <c r="I97" s="28"/>
      <c r="J97" s="32">
        <f t="shared" si="0"/>
      </c>
    </row>
    <row r="98" spans="1:10" x14ac:dyDescent="0.25">
      <c r="A98" s="26"/>
      <c r="B98" s="29"/>
      <c r="C98" s="28"/>
      <c r="D98" s="28"/>
      <c r="E98" s="33"/>
      <c r="F98" s="27"/>
      <c r="G98" s="28"/>
      <c r="H98" s="29"/>
      <c r="I98" s="28"/>
      <c r="J98" s="32">
        <f t="shared" si="0"/>
      </c>
    </row>
    <row r="99" spans="1:10" x14ac:dyDescent="0.25">
      <c r="A99" s="26"/>
      <c r="B99" s="29"/>
      <c r="C99" s="28"/>
      <c r="D99" s="28"/>
      <c r="E99" s="33"/>
      <c r="F99" s="27"/>
      <c r="G99" s="28"/>
      <c r="H99" s="29"/>
      <c r="I99" s="28"/>
      <c r="J99" s="32">
        <f t="shared" si="0"/>
      </c>
    </row>
    <row r="100" spans="1:10" x14ac:dyDescent="0.25">
      <c r="A100" s="26"/>
      <c r="B100" s="29"/>
      <c r="C100" s="28"/>
      <c r="D100" s="28"/>
      <c r="E100" s="33"/>
      <c r="F100" s="27"/>
      <c r="G100" s="28"/>
      <c r="H100" s="29"/>
      <c r="I100" s="28"/>
      <c r="J100" s="32">
        <f t="shared" si="0"/>
      </c>
    </row>
    <row r="101" spans="1:10" x14ac:dyDescent="0.25">
      <c r="A101" s="26"/>
      <c r="B101" s="29"/>
      <c r="C101" s="28"/>
      <c r="D101" s="28"/>
      <c r="E101" s="33"/>
      <c r="F101" s="27"/>
      <c r="G101" s="28"/>
      <c r="H101" s="29"/>
      <c r="I101" s="28"/>
      <c r="J101" s="32">
        <f t="shared" si="0"/>
      </c>
    </row>
    <row r="102" spans="1:10" x14ac:dyDescent="0.25">
      <c r="A102" s="26"/>
      <c r="B102" s="29"/>
      <c r="C102" s="28"/>
      <c r="D102" s="28"/>
      <c r="E102" s="33"/>
      <c r="F102" s="27"/>
      <c r="G102" s="28"/>
      <c r="H102" s="29"/>
      <c r="I102" s="28"/>
      <c r="J102" s="32">
        <f t="shared" si="0"/>
      </c>
    </row>
    <row r="103" spans="1:10" x14ac:dyDescent="0.25">
      <c r="A103" s="26"/>
      <c r="B103" s="29"/>
      <c r="C103" s="28"/>
      <c r="D103" s="28"/>
      <c r="E103" s="33"/>
      <c r="F103" s="27"/>
      <c r="G103" s="28"/>
      <c r="H103" s="29"/>
      <c r="I103" s="28"/>
      <c r="J103" s="32">
        <f t="shared" si="0"/>
      </c>
    </row>
    <row r="104" spans="1:10" x14ac:dyDescent="0.25">
      <c r="A104" s="26"/>
      <c r="B104" s="29"/>
      <c r="C104" s="28"/>
      <c r="D104" s="28"/>
      <c r="E104" s="33"/>
      <c r="F104" s="27"/>
      <c r="G104" s="28"/>
      <c r="H104" s="29"/>
      <c r="I104" s="28"/>
      <c r="J104" s="32">
        <f t="shared" si="0"/>
      </c>
    </row>
    <row r="105" spans="1:10" x14ac:dyDescent="0.25">
      <c r="A105" s="26"/>
      <c r="B105" s="29"/>
      <c r="C105" s="28"/>
      <c r="D105" s="28"/>
      <c r="E105" s="33"/>
      <c r="F105" s="27"/>
      <c r="G105" s="28"/>
      <c r="H105" s="29"/>
      <c r="I105" s="28"/>
      <c r="J105" s="32">
        <f t="shared" si="0"/>
      </c>
    </row>
    <row r="106" spans="1:10" x14ac:dyDescent="0.25">
      <c r="A106" s="26"/>
      <c r="B106" s="29"/>
      <c r="C106" s="28"/>
      <c r="D106" s="28"/>
      <c r="E106" s="33"/>
      <c r="F106" s="27"/>
      <c r="G106" s="28"/>
      <c r="H106" s="29"/>
      <c r="I106" s="28"/>
      <c r="J106" s="32">
        <f t="shared" si="0"/>
      </c>
    </row>
    <row r="107" spans="1:10" x14ac:dyDescent="0.25">
      <c r="A107" s="26"/>
      <c r="B107" s="29"/>
      <c r="C107" s="28"/>
      <c r="D107" s="28"/>
      <c r="E107" s="33"/>
      <c r="F107" s="27"/>
      <c r="G107" s="28"/>
      <c r="H107" s="29"/>
      <c r="I107" s="28"/>
      <c r="J107" s="32">
        <f t="shared" si="0"/>
      </c>
    </row>
    <row r="108" spans="1:10" x14ac:dyDescent="0.25">
      <c r="A108" s="26"/>
      <c r="B108" s="29"/>
      <c r="C108" s="28"/>
      <c r="D108" s="28"/>
      <c r="E108" s="33"/>
      <c r="F108" s="27"/>
      <c r="G108" s="28"/>
      <c r="H108" s="29"/>
      <c r="I108" s="28"/>
      <c r="J108" s="32">
        <f t="shared" si="0"/>
      </c>
    </row>
    <row r="109" spans="1:10" x14ac:dyDescent="0.25">
      <c r="A109" s="26"/>
      <c r="B109" s="29"/>
      <c r="C109" s="28"/>
      <c r="D109" s="28"/>
      <c r="E109" s="33"/>
      <c r="F109" s="27"/>
      <c r="G109" s="28"/>
      <c r="H109" s="29"/>
      <c r="I109" s="28"/>
      <c r="J109" s="32">
        <f t="shared" si="0"/>
      </c>
    </row>
    <row r="110" spans="1:10" x14ac:dyDescent="0.25">
      <c r="A110" s="26"/>
      <c r="B110" s="29"/>
      <c r="C110" s="28"/>
      <c r="D110" s="28"/>
      <c r="E110" s="33"/>
      <c r="F110" s="27"/>
      <c r="G110" s="28"/>
      <c r="H110" s="29"/>
      <c r="I110" s="28"/>
      <c r="J110" s="32">
        <f t="shared" si="0"/>
      </c>
    </row>
    <row r="111" spans="1:10" x14ac:dyDescent="0.25">
      <c r="A111" s="26"/>
      <c r="B111" s="29"/>
      <c r="C111" s="28"/>
      <c r="D111" s="28"/>
      <c r="E111" s="33"/>
      <c r="F111" s="27"/>
      <c r="G111" s="28"/>
      <c r="H111" s="29"/>
      <c r="I111" s="28"/>
      <c r="J111" s="32">
        <f t="shared" si="0"/>
      </c>
    </row>
    <row r="112" spans="1:10" x14ac:dyDescent="0.25">
      <c r="A112" s="26"/>
      <c r="B112" s="29"/>
      <c r="C112" s="28"/>
      <c r="D112" s="28"/>
      <c r="E112" s="33"/>
      <c r="F112" s="27"/>
      <c r="G112" s="28"/>
      <c r="H112" s="29"/>
      <c r="I112" s="28"/>
      <c r="J112" s="32">
        <f t="shared" si="0"/>
      </c>
    </row>
    <row r="113" spans="1:10" x14ac:dyDescent="0.25">
      <c r="A113" s="26"/>
      <c r="B113" s="29"/>
      <c r="C113" s="28"/>
      <c r="D113" s="28"/>
      <c r="E113" s="33"/>
      <c r="F113" s="27"/>
      <c r="G113" s="28"/>
      <c r="H113" s="29"/>
      <c r="I113" s="28"/>
      <c r="J113" s="32">
        <f t="shared" si="0"/>
      </c>
    </row>
    <row r="114" spans="1:10" x14ac:dyDescent="0.25">
      <c r="A114" s="26"/>
      <c r="B114" s="29"/>
      <c r="C114" s="28"/>
      <c r="D114" s="28"/>
      <c r="E114" s="33"/>
      <c r="F114" s="27"/>
      <c r="G114" s="28"/>
      <c r="H114" s="29"/>
      <c r="I114" s="28"/>
      <c r="J114" s="32">
        <f t="shared" si="0"/>
      </c>
    </row>
    <row r="115" spans="1:10" x14ac:dyDescent="0.25">
      <c r="A115" s="26"/>
      <c r="B115" s="29"/>
      <c r="C115" s="28"/>
      <c r="D115" s="28"/>
      <c r="E115" s="33"/>
      <c r="F115" s="27"/>
      <c r="G115" s="28"/>
      <c r="H115" s="29"/>
      <c r="I115" s="28"/>
      <c r="J115" s="32">
        <f t="shared" si="0"/>
      </c>
    </row>
    <row r="116" spans="1:10" x14ac:dyDescent="0.25">
      <c r="A116" s="26"/>
      <c r="B116" s="29"/>
      <c r="C116" s="28"/>
      <c r="D116" s="28"/>
      <c r="E116" s="33"/>
      <c r="F116" s="27"/>
      <c r="G116" s="28"/>
      <c r="H116" s="29"/>
      <c r="I116" s="28"/>
      <c r="J116" s="32">
        <f t="shared" si="0"/>
      </c>
    </row>
    <row r="117" spans="1:10" x14ac:dyDescent="0.25">
      <c r="A117" s="26"/>
      <c r="B117" s="29"/>
      <c r="C117" s="28"/>
      <c r="D117" s="28"/>
      <c r="E117" s="33"/>
      <c r="F117" s="27"/>
      <c r="G117" s="28"/>
      <c r="H117" s="29"/>
      <c r="I117" s="28"/>
      <c r="J117" s="32">
        <f t="shared" si="0"/>
      </c>
    </row>
    <row r="118" spans="1:10" x14ac:dyDescent="0.25">
      <c r="A118" s="26"/>
      <c r="B118" s="29"/>
      <c r="C118" s="28"/>
      <c r="D118" s="28"/>
      <c r="E118" s="33"/>
      <c r="F118" s="27"/>
      <c r="G118" s="28"/>
      <c r="H118" s="29"/>
      <c r="I118" s="28"/>
      <c r="J118" s="32">
        <f t="shared" si="0"/>
      </c>
    </row>
    <row r="119" spans="1:10" x14ac:dyDescent="0.25">
      <c r="A119" s="26"/>
      <c r="B119" s="29"/>
      <c r="C119" s="28"/>
      <c r="D119" s="28"/>
      <c r="E119" s="33"/>
      <c r="F119" s="27"/>
      <c r="G119" s="28"/>
      <c r="H119" s="29"/>
      <c r="I119" s="28"/>
      <c r="J119" s="32">
        <f t="shared" si="0"/>
      </c>
    </row>
    <row r="120" spans="1:10" x14ac:dyDescent="0.25">
      <c r="A120" s="26"/>
      <c r="B120" s="29"/>
      <c r="C120" s="28"/>
      <c r="D120" s="28"/>
      <c r="E120" s="33"/>
      <c r="F120" s="27"/>
      <c r="G120" s="28"/>
      <c r="H120" s="29"/>
      <c r="I120" s="28"/>
      <c r="J120" s="32">
        <f t="shared" si="0"/>
      </c>
    </row>
    <row r="121" spans="1:10" x14ac:dyDescent="0.25">
      <c r="A121" s="26"/>
      <c r="B121" s="29"/>
      <c r="C121" s="28"/>
      <c r="D121" s="28"/>
      <c r="E121" s="33"/>
      <c r="F121" s="27"/>
      <c r="G121" s="28"/>
      <c r="H121" s="29"/>
      <c r="I121" s="28"/>
      <c r="J121" s="32">
        <f t="shared" si="0"/>
      </c>
    </row>
    <row r="122" spans="1:10" x14ac:dyDescent="0.25">
      <c r="A122" s="26"/>
      <c r="B122" s="29"/>
      <c r="C122" s="28"/>
      <c r="D122" s="28"/>
      <c r="E122" s="33"/>
      <c r="F122" s="27"/>
      <c r="G122" s="28"/>
      <c r="H122" s="29"/>
      <c r="I122" s="28"/>
      <c r="J122" s="32">
        <f t="shared" si="0"/>
      </c>
    </row>
    <row r="123" spans="1:10" x14ac:dyDescent="0.25">
      <c r="A123" s="26"/>
      <c r="B123" s="29"/>
      <c r="C123" s="28"/>
      <c r="D123" s="28"/>
      <c r="E123" s="33"/>
      <c r="F123" s="27"/>
      <c r="G123" s="28"/>
      <c r="H123" s="29"/>
      <c r="I123" s="28"/>
      <c r="J123" s="32">
        <f t="shared" si="0"/>
      </c>
    </row>
    <row r="124" spans="1:10" x14ac:dyDescent="0.25">
      <c r="A124" s="26"/>
      <c r="B124" s="29"/>
      <c r="C124" s="28"/>
      <c r="D124" s="28"/>
      <c r="E124" s="33"/>
      <c r="F124" s="27"/>
      <c r="G124" s="28"/>
      <c r="H124" s="29"/>
      <c r="I124" s="28"/>
      <c r="J124" s="32">
        <f t="shared" si="0"/>
      </c>
    </row>
    <row r="125" spans="1:10" x14ac:dyDescent="0.25">
      <c r="A125" s="26"/>
      <c r="B125" s="29"/>
      <c r="C125" s="28"/>
      <c r="D125" s="28"/>
      <c r="E125" s="33"/>
      <c r="F125" s="27"/>
      <c r="G125" s="28"/>
      <c r="H125" s="29"/>
      <c r="I125" s="28"/>
      <c r="J125" s="32">
        <f t="shared" si="0"/>
      </c>
    </row>
    <row r="126" spans="1:10" x14ac:dyDescent="0.25">
      <c r="A126" s="26"/>
      <c r="B126" s="29"/>
      <c r="C126" s="28"/>
      <c r="D126" s="28"/>
      <c r="E126" s="33"/>
      <c r="F126" s="27"/>
      <c r="G126" s="28"/>
      <c r="H126" s="29"/>
      <c r="I126" s="28"/>
      <c r="J126" s="32">
        <f t="shared" si="0"/>
      </c>
    </row>
    <row r="127" spans="1:10" x14ac:dyDescent="0.25">
      <c r="A127" s="26"/>
      <c r="B127" s="29"/>
      <c r="C127" s="28"/>
      <c r="D127" s="28"/>
      <c r="E127" s="33"/>
      <c r="F127" s="27"/>
      <c r="G127" s="28"/>
      <c r="H127" s="29"/>
      <c r="I127" s="28"/>
      <c r="J127" s="32">
        <f t="shared" si="0"/>
      </c>
    </row>
    <row r="128" spans="1:10" x14ac:dyDescent="0.25">
      <c r="A128" s="26"/>
      <c r="B128" s="29"/>
      <c r="C128" s="28"/>
      <c r="D128" s="28"/>
      <c r="E128" s="33"/>
      <c r="F128" s="27"/>
      <c r="G128" s="28"/>
      <c r="H128" s="29"/>
      <c r="I128" s="28"/>
      <c r="J128" s="32">
        <f t="shared" si="0"/>
      </c>
    </row>
    <row r="129" spans="1:10" x14ac:dyDescent="0.25">
      <c r="A129" s="26"/>
      <c r="B129" s="29"/>
      <c r="C129" s="28"/>
      <c r="D129" s="28"/>
      <c r="E129" s="33"/>
      <c r="F129" s="27"/>
      <c r="G129" s="28"/>
      <c r="H129" s="29"/>
      <c r="I129" s="28"/>
      <c r="J129" s="32">
        <f t="shared" si="0"/>
      </c>
    </row>
    <row r="130" spans="1:10" x14ac:dyDescent="0.25">
      <c r="A130" s="26"/>
      <c r="B130" s="29"/>
      <c r="C130" s="28"/>
      <c r="D130" s="28"/>
      <c r="E130" s="33"/>
      <c r="F130" s="27"/>
      <c r="G130" s="28"/>
      <c r="H130" s="29"/>
      <c r="I130" s="28"/>
      <c r="J130" s="32">
        <f t="shared" si="0"/>
      </c>
    </row>
    <row r="131" spans="1:10" x14ac:dyDescent="0.25">
      <c r="A131" s="26"/>
      <c r="B131" s="29"/>
      <c r="C131" s="28"/>
      <c r="D131" s="28"/>
      <c r="E131" s="33"/>
      <c r="F131" s="27"/>
      <c r="G131" s="28"/>
      <c r="H131" s="29"/>
      <c r="I131" s="28"/>
      <c r="J131" s="32">
        <f t="shared" si="0"/>
      </c>
    </row>
    <row r="132" spans="1:10" x14ac:dyDescent="0.25">
      <c r="A132" s="26"/>
      <c r="B132" s="29"/>
      <c r="C132" s="28"/>
      <c r="D132" s="28"/>
      <c r="E132" s="33"/>
      <c r="F132" s="27"/>
      <c r="G132" s="28"/>
      <c r="H132" s="29"/>
      <c r="I132" s="28"/>
      <c r="J132" s="32">
        <f t="shared" si="0"/>
      </c>
    </row>
    <row r="133" spans="1:10" x14ac:dyDescent="0.25">
      <c r="A133" s="26"/>
      <c r="B133" s="29"/>
      <c r="C133" s="28"/>
      <c r="D133" s="28"/>
      <c r="E133" s="33"/>
      <c r="F133" s="27"/>
      <c r="G133" s="28"/>
      <c r="H133" s="29"/>
      <c r="I133" s="28"/>
      <c r="J133" s="32">
        <f t="shared" si="0"/>
      </c>
    </row>
    <row r="134" spans="1:10" x14ac:dyDescent="0.25">
      <c r="A134" s="26"/>
      <c r="B134" s="29"/>
      <c r="C134" s="28"/>
      <c r="D134" s="28"/>
      <c r="E134" s="33"/>
      <c r="F134" s="27"/>
      <c r="G134" s="28"/>
      <c r="H134" s="29"/>
      <c r="I134" s="28"/>
      <c r="J134" s="32">
        <f t="shared" si="0"/>
      </c>
    </row>
    <row r="135" spans="1:10" x14ac:dyDescent="0.25">
      <c r="A135" s="26"/>
      <c r="B135" s="29"/>
      <c r="C135" s="28"/>
      <c r="D135" s="28"/>
      <c r="E135" s="33"/>
      <c r="F135" s="27"/>
      <c r="G135" s="28"/>
      <c r="H135" s="29"/>
      <c r="I135" s="28"/>
      <c r="J135" s="32">
        <f t="shared" si="0"/>
      </c>
    </row>
    <row r="136" spans="1:10" x14ac:dyDescent="0.25">
      <c r="A136" s="26"/>
      <c r="B136" s="29"/>
      <c r="C136" s="28"/>
      <c r="D136" s="28"/>
      <c r="E136" s="33"/>
      <c r="F136" s="27"/>
      <c r="G136" s="28"/>
      <c r="H136" s="29"/>
      <c r="I136" s="28"/>
      <c r="J136" s="32">
        <f t="shared" si="0"/>
      </c>
    </row>
    <row r="137" spans="1:10" x14ac:dyDescent="0.25">
      <c r="A137" s="26"/>
      <c r="B137" s="29"/>
      <c r="C137" s="28"/>
      <c r="D137" s="28"/>
      <c r="E137" s="33"/>
      <c r="F137" s="27"/>
      <c r="G137" s="28"/>
      <c r="H137" s="29"/>
      <c r="I137" s="28"/>
      <c r="J137" s="32">
        <f t="shared" si="0"/>
      </c>
    </row>
    <row r="138" spans="1:10" x14ac:dyDescent="0.25">
      <c r="A138" s="26"/>
      <c r="B138" s="29"/>
      <c r="C138" s="28"/>
      <c r="D138" s="28"/>
      <c r="E138" s="33"/>
      <c r="F138" s="27"/>
      <c r="G138" s="28"/>
      <c r="H138" s="29"/>
      <c r="I138" s="28"/>
      <c r="J138" s="32">
        <f t="shared" si="0"/>
      </c>
    </row>
    <row r="139" spans="1:10" x14ac:dyDescent="0.25">
      <c r="A139" s="26"/>
      <c r="B139" s="29"/>
      <c r="C139" s="28"/>
      <c r="D139" s="28"/>
      <c r="E139" s="33"/>
      <c r="F139" s="27"/>
      <c r="G139" s="28"/>
      <c r="H139" s="29"/>
      <c r="I139" s="28"/>
      <c r="J139" s="32">
        <f t="shared" si="0"/>
      </c>
    </row>
    <row r="140" spans="1:10" x14ac:dyDescent="0.25">
      <c r="A140" s="26"/>
      <c r="B140" s="29"/>
      <c r="C140" s="28"/>
      <c r="D140" s="28"/>
      <c r="E140" s="33"/>
      <c r="F140" s="27"/>
      <c r="G140" s="28"/>
      <c r="H140" s="29"/>
      <c r="I140" s="28"/>
      <c r="J140" s="32">
        <f t="shared" si="0"/>
      </c>
    </row>
    <row r="141" spans="1:10" x14ac:dyDescent="0.25">
      <c r="A141" s="26"/>
      <c r="B141" s="29"/>
      <c r="C141" s="28"/>
      <c r="D141" s="28"/>
      <c r="E141" s="33"/>
      <c r="F141" s="27"/>
      <c r="G141" s="28"/>
      <c r="H141" s="29"/>
      <c r="I141" s="28"/>
      <c r="J141" s="32">
        <f t="shared" si="0"/>
      </c>
    </row>
    <row r="142" spans="1:10" x14ac:dyDescent="0.25">
      <c r="A142" s="26"/>
      <c r="B142" s="29"/>
      <c r="C142" s="28"/>
      <c r="D142" s="28"/>
      <c r="E142" s="33"/>
      <c r="F142" s="27"/>
      <c r="G142" s="28"/>
      <c r="H142" s="29"/>
      <c r="I142" s="28"/>
      <c r="J142" s="32">
        <f t="shared" si="0"/>
      </c>
    </row>
    <row r="143" spans="1:10" x14ac:dyDescent="0.25">
      <c r="A143" s="26"/>
      <c r="B143" s="29"/>
      <c r="C143" s="28"/>
      <c r="D143" s="28"/>
      <c r="E143" s="33"/>
      <c r="F143" s="27"/>
      <c r="G143" s="28"/>
      <c r="H143" s="29"/>
      <c r="I143" s="28"/>
      <c r="J143" s="32">
        <f t="shared" si="0"/>
      </c>
    </row>
    <row r="144" spans="1:10" x14ac:dyDescent="0.25">
      <c r="A144" s="26"/>
      <c r="B144" s="29"/>
      <c r="C144" s="28"/>
      <c r="D144" s="28"/>
      <c r="E144" s="33"/>
      <c r="F144" s="27"/>
      <c r="G144" s="28"/>
      <c r="H144" s="29"/>
      <c r="I144" s="28"/>
      <c r="J144" s="32">
        <f t="shared" si="0"/>
      </c>
    </row>
    <row r="145" spans="1:10" x14ac:dyDescent="0.25">
      <c r="A145" s="26"/>
      <c r="B145" s="29"/>
      <c r="C145" s="28"/>
      <c r="D145" s="28"/>
      <c r="E145" s="33"/>
      <c r="F145" s="27"/>
      <c r="G145" s="28"/>
      <c r="H145" s="29"/>
      <c r="I145" s="28"/>
      <c r="J145" s="32">
        <f t="shared" si="0"/>
      </c>
    </row>
    <row r="146" spans="1:10" x14ac:dyDescent="0.25">
      <c r="A146" s="26"/>
      <c r="B146" s="29"/>
      <c r="C146" s="28"/>
      <c r="D146" s="28"/>
      <c r="E146" s="33"/>
      <c r="F146" s="27"/>
      <c r="G146" s="28"/>
      <c r="H146" s="29"/>
      <c r="I146" s="28"/>
      <c r="J146" s="32">
        <f t="shared" si="0"/>
      </c>
    </row>
    <row r="147" spans="1:10" x14ac:dyDescent="0.25">
      <c r="A147" s="26"/>
      <c r="B147" s="29"/>
      <c r="C147" s="28"/>
      <c r="D147" s="28"/>
      <c r="E147" s="33"/>
      <c r="F147" s="27"/>
      <c r="G147" s="28"/>
      <c r="H147" s="29"/>
      <c r="I147" s="28"/>
      <c r="J147" s="32">
        <f t="shared" si="0"/>
      </c>
    </row>
    <row r="148" spans="1:10" x14ac:dyDescent="0.25">
      <c r="A148" s="26"/>
      <c r="B148" s="29"/>
      <c r="C148" s="28"/>
      <c r="D148" s="28"/>
      <c r="E148" s="33"/>
      <c r="F148" s="27"/>
      <c r="G148" s="28"/>
      <c r="H148" s="29"/>
      <c r="I148" s="28"/>
      <c r="J148" s="32">
        <f t="shared" si="0"/>
      </c>
    </row>
    <row r="149" spans="1:10" x14ac:dyDescent="0.25">
      <c r="A149" s="26"/>
      <c r="B149" s="29"/>
      <c r="C149" s="28"/>
      <c r="D149" s="28"/>
      <c r="E149" s="33"/>
      <c r="F149" s="27"/>
      <c r="G149" s="28"/>
      <c r="H149" s="29"/>
      <c r="I149" s="28"/>
      <c r="J149" s="32">
        <f t="shared" si="0"/>
      </c>
    </row>
    <row r="150" spans="1:10" x14ac:dyDescent="0.25">
      <c r="A150" s="26"/>
      <c r="B150" s="29"/>
      <c r="C150" s="28"/>
      <c r="D150" s="28"/>
      <c r="E150" s="33"/>
      <c r="F150" s="27"/>
      <c r="G150" s="28"/>
      <c r="H150" s="29"/>
      <c r="I150" s="28"/>
      <c r="J150" s="32">
        <f t="shared" si="0"/>
      </c>
    </row>
    <row r="151" spans="1:10" x14ac:dyDescent="0.25">
      <c r="A151" s="26"/>
      <c r="B151" s="29"/>
      <c r="C151" s="28"/>
      <c r="D151" s="28"/>
      <c r="E151" s="33"/>
      <c r="F151" s="27"/>
      <c r="G151" s="28"/>
      <c r="H151" s="29"/>
      <c r="I151" s="28"/>
      <c r="J151" s="32">
        <f t="shared" si="0"/>
      </c>
    </row>
    <row r="152" spans="1:10" x14ac:dyDescent="0.25">
      <c r="A152" s="26"/>
      <c r="B152" s="29"/>
      <c r="C152" s="28"/>
      <c r="D152" s="28"/>
      <c r="E152" s="33"/>
      <c r="F152" s="27"/>
      <c r="G152" s="28"/>
      <c r="H152" s="29"/>
      <c r="I152" s="28"/>
      <c r="J152" s="32">
        <f t="shared" si="0"/>
      </c>
    </row>
    <row r="153" spans="1:10" x14ac:dyDescent="0.25">
      <c r="A153" s="26"/>
      <c r="B153" s="29"/>
      <c r="C153" s="28"/>
      <c r="D153" s="28"/>
      <c r="E153" s="33"/>
      <c r="F153" s="27"/>
      <c r="G153" s="28"/>
      <c r="H153" s="29"/>
      <c r="I153" s="28"/>
      <c r="J153" s="32">
        <f t="shared" si="0"/>
      </c>
    </row>
    <row r="154" spans="1:10" x14ac:dyDescent="0.25">
      <c r="A154" s="26"/>
      <c r="B154" s="29"/>
      <c r="C154" s="28"/>
      <c r="D154" s="28"/>
      <c r="E154" s="33"/>
      <c r="F154" s="27"/>
      <c r="G154" s="28"/>
      <c r="H154" s="29"/>
      <c r="I154" s="28"/>
      <c r="J154" s="32">
        <f t="shared" si="0"/>
      </c>
    </row>
    <row r="155" spans="1:10" x14ac:dyDescent="0.25">
      <c r="A155" s="26"/>
      <c r="B155" s="29"/>
      <c r="C155" s="28"/>
      <c r="D155" s="28"/>
      <c r="E155" s="33"/>
      <c r="F155" s="27"/>
      <c r="G155" s="28"/>
      <c r="H155" s="29"/>
      <c r="I155" s="28"/>
      <c r="J155" s="32">
        <f t="shared" si="0"/>
      </c>
    </row>
    <row r="156" spans="1:10" x14ac:dyDescent="0.25">
      <c r="A156" s="26"/>
      <c r="B156" s="29"/>
      <c r="C156" s="28"/>
      <c r="D156" s="28"/>
      <c r="E156" s="33"/>
      <c r="F156" s="27"/>
      <c r="G156" s="28"/>
      <c r="H156" s="29"/>
      <c r="I156" s="28"/>
      <c r="J156" s="32">
        <f t="shared" si="0"/>
      </c>
    </row>
    <row r="157" spans="1:10" x14ac:dyDescent="0.25">
      <c r="A157" s="26"/>
      <c r="B157" s="29"/>
      <c r="C157" s="28"/>
      <c r="D157" s="28"/>
      <c r="E157" s="33"/>
      <c r="F157" s="27"/>
      <c r="G157" s="28"/>
      <c r="H157" s="29"/>
      <c r="I157" s="28"/>
      <c r="J157" s="32">
        <f t="shared" si="0"/>
      </c>
    </row>
    <row r="158" spans="1:10" x14ac:dyDescent="0.25">
      <c r="A158" s="26"/>
      <c r="B158" s="29"/>
      <c r="C158" s="28"/>
      <c r="D158" s="28"/>
      <c r="E158" s="33"/>
      <c r="F158" s="27"/>
      <c r="G158" s="28"/>
      <c r="H158" s="29"/>
      <c r="I158" s="28"/>
      <c r="J158" s="32">
        <f t="shared" si="0"/>
      </c>
    </row>
    <row r="159" spans="1:10" x14ac:dyDescent="0.25">
      <c r="A159" s="26"/>
      <c r="B159" s="29"/>
      <c r="C159" s="28"/>
      <c r="D159" s="28"/>
      <c r="E159" s="33"/>
      <c r="F159" s="27"/>
      <c r="G159" s="28"/>
      <c r="H159" s="29"/>
      <c r="I159" s="28"/>
      <c r="J159" s="32">
        <f t="shared" si="0"/>
      </c>
    </row>
    <row r="160" spans="1:10" x14ac:dyDescent="0.25">
      <c r="A160" s="26"/>
      <c r="B160" s="29"/>
      <c r="C160" s="28"/>
      <c r="D160" s="28"/>
      <c r="E160" s="33"/>
      <c r="F160" s="27"/>
      <c r="G160" s="28"/>
      <c r="H160" s="29"/>
      <c r="I160" s="28"/>
      <c r="J160" s="32">
        <f t="shared" si="0"/>
      </c>
    </row>
    <row r="161" spans="1:10" x14ac:dyDescent="0.25">
      <c r="A161" s="26"/>
      <c r="B161" s="29"/>
      <c r="C161" s="28"/>
      <c r="D161" s="28"/>
      <c r="E161" s="33"/>
      <c r="F161" s="27"/>
      <c r="G161" s="28"/>
      <c r="H161" s="29"/>
      <c r="I161" s="28"/>
      <c r="J161" s="32">
        <f t="shared" si="0"/>
      </c>
    </row>
    <row r="162" spans="1:10" x14ac:dyDescent="0.25">
      <c r="A162" s="26"/>
      <c r="B162" s="29"/>
      <c r="C162" s="28"/>
      <c r="D162" s="28"/>
      <c r="E162" s="33"/>
      <c r="F162" s="27"/>
      <c r="G162" s="28"/>
      <c r="H162" s="29"/>
      <c r="I162" s="28"/>
      <c r="J162" s="32">
        <f t="shared" si="0"/>
      </c>
    </row>
    <row r="163" spans="1:10" x14ac:dyDescent="0.25">
      <c r="A163" s="26"/>
      <c r="B163" s="29"/>
      <c r="C163" s="28"/>
      <c r="D163" s="28"/>
      <c r="E163" s="33"/>
      <c r="F163" s="27"/>
      <c r="G163" s="28"/>
      <c r="H163" s="29"/>
      <c r="I163" s="28"/>
      <c r="J163" s="32">
        <f t="shared" si="0"/>
      </c>
    </row>
    <row r="164" spans="1:10" x14ac:dyDescent="0.25">
      <c r="A164" s="26"/>
      <c r="B164" s="29"/>
      <c r="C164" s="28"/>
      <c r="D164" s="28"/>
      <c r="E164" s="33"/>
      <c r="F164" s="27"/>
      <c r="G164" s="28"/>
      <c r="H164" s="29"/>
      <c r="I164" s="28"/>
      <c r="J164" s="32">
        <f t="shared" si="0"/>
      </c>
    </row>
    <row r="165" spans="1:10" x14ac:dyDescent="0.25">
      <c r="A165" s="26"/>
      <c r="B165" s="29"/>
      <c r="C165" s="28"/>
      <c r="D165" s="28"/>
      <c r="E165" s="33"/>
      <c r="F165" s="27"/>
      <c r="G165" s="28"/>
      <c r="H165" s="29"/>
      <c r="I165" s="28"/>
      <c r="J165" s="32">
        <f t="shared" si="0"/>
      </c>
    </row>
    <row r="166" spans="1:10" x14ac:dyDescent="0.25">
      <c r="A166" s="26"/>
      <c r="B166" s="29"/>
      <c r="C166" s="28"/>
      <c r="D166" s="28"/>
      <c r="E166" s="33"/>
      <c r="F166" s="27"/>
      <c r="G166" s="28"/>
      <c r="H166" s="29"/>
      <c r="I166" s="28"/>
      <c r="J166" s="32">
        <f t="shared" si="0"/>
      </c>
    </row>
    <row r="167" spans="1:10" x14ac:dyDescent="0.25">
      <c r="A167" s="26"/>
      <c r="B167" s="29"/>
      <c r="C167" s="28"/>
      <c r="D167" s="28"/>
      <c r="E167" s="33"/>
      <c r="F167" s="27"/>
      <c r="G167" s="28"/>
      <c r="H167" s="29"/>
      <c r="I167" s="28"/>
      <c r="J167" s="32">
        <f t="shared" si="0"/>
      </c>
    </row>
    <row r="168" spans="1:10" x14ac:dyDescent="0.25">
      <c r="A168" s="26"/>
      <c r="B168" s="29"/>
      <c r="C168" s="28"/>
      <c r="D168" s="28"/>
      <c r="E168" s="33"/>
      <c r="F168" s="27"/>
      <c r="G168" s="28"/>
      <c r="H168" s="29"/>
      <c r="I168" s="28"/>
      <c r="J168" s="32">
        <f t="shared" si="0"/>
      </c>
    </row>
    <row r="169" spans="1:10" x14ac:dyDescent="0.25">
      <c r="A169" s="26"/>
      <c r="B169" s="29"/>
      <c r="C169" s="28"/>
      <c r="D169" s="28"/>
      <c r="E169" s="33"/>
      <c r="F169" s="27"/>
      <c r="G169" s="28"/>
      <c r="H169" s="29"/>
      <c r="I169" s="28"/>
      <c r="J169" s="32">
        <f t="shared" si="0"/>
      </c>
    </row>
    <row r="170" spans="1:10" x14ac:dyDescent="0.25">
      <c r="A170" s="26"/>
      <c r="B170" s="29"/>
      <c r="C170" s="28"/>
      <c r="D170" s="28"/>
      <c r="E170" s="33"/>
      <c r="F170" s="27"/>
      <c r="G170" s="28"/>
      <c r="H170" s="29"/>
      <c r="I170" s="28"/>
      <c r="J170" s="32">
        <f t="shared" si="0"/>
      </c>
    </row>
    <row r="171" spans="1:10" x14ac:dyDescent="0.25">
      <c r="A171" s="26"/>
      <c r="B171" s="29"/>
      <c r="C171" s="28"/>
      <c r="D171" s="28"/>
      <c r="E171" s="33"/>
      <c r="F171" s="27"/>
      <c r="G171" s="28"/>
      <c r="H171" s="29"/>
      <c r="I171" s="28"/>
      <c r="J171" s="32">
        <f t="shared" si="0"/>
      </c>
    </row>
    <row r="172" spans="1:10" x14ac:dyDescent="0.25">
      <c r="A172" s="26"/>
      <c r="B172" s="29"/>
      <c r="C172" s="28"/>
      <c r="D172" s="28"/>
      <c r="E172" s="33"/>
      <c r="F172" s="27"/>
      <c r="G172" s="28"/>
      <c r="H172" s="29"/>
      <c r="I172" s="28"/>
      <c r="J172" s="32">
        <f t="shared" si="0"/>
      </c>
    </row>
    <row r="173" spans="1:10" x14ac:dyDescent="0.25">
      <c r="A173" s="26"/>
      <c r="B173" s="29"/>
      <c r="C173" s="28"/>
      <c r="D173" s="28"/>
      <c r="E173" s="33"/>
      <c r="F173" s="27"/>
      <c r="G173" s="28"/>
      <c r="H173" s="29"/>
      <c r="I173" s="28"/>
      <c r="J173" s="32">
        <f t="shared" si="0"/>
      </c>
    </row>
    <row r="174" spans="1:10" x14ac:dyDescent="0.25">
      <c r="A174" s="26"/>
      <c r="B174" s="29"/>
      <c r="C174" s="28"/>
      <c r="D174" s="28"/>
      <c r="E174" s="33"/>
      <c r="F174" s="27"/>
      <c r="G174" s="28"/>
      <c r="H174" s="29"/>
      <c r="I174" s="28"/>
      <c r="J174" s="32">
        <f t="shared" si="0"/>
      </c>
    </row>
    <row r="175" spans="1:10" x14ac:dyDescent="0.25">
      <c r="A175" s="26"/>
      <c r="B175" s="29"/>
      <c r="C175" s="28"/>
      <c r="D175" s="28"/>
      <c r="E175" s="33"/>
      <c r="F175" s="27"/>
      <c r="G175" s="28"/>
      <c r="H175" s="29"/>
      <c r="I175" s="28"/>
      <c r="J175" s="32">
        <f t="shared" si="0"/>
      </c>
    </row>
    <row r="176" spans="1:10" x14ac:dyDescent="0.25">
      <c r="A176" s="26"/>
      <c r="B176" s="29"/>
      <c r="C176" s="28"/>
      <c r="D176" s="28"/>
      <c r="E176" s="33"/>
      <c r="F176" s="27"/>
      <c r="G176" s="28"/>
      <c r="H176" s="29"/>
      <c r="I176" s="28"/>
      <c r="J176" s="32">
        <f t="shared" si="0"/>
      </c>
    </row>
    <row r="177" spans="1:10" x14ac:dyDescent="0.25">
      <c r="A177" s="26"/>
      <c r="B177" s="29"/>
      <c r="C177" s="28"/>
      <c r="D177" s="28"/>
      <c r="E177" s="33"/>
      <c r="F177" s="27"/>
      <c r="G177" s="28"/>
      <c r="H177" s="29"/>
      <c r="I177" s="28"/>
      <c r="J177" s="32">
        <f t="shared" si="0"/>
      </c>
    </row>
    <row r="178" spans="1:10" x14ac:dyDescent="0.25">
      <c r="A178" s="26"/>
      <c r="B178" s="29"/>
      <c r="C178" s="28"/>
      <c r="D178" s="28"/>
      <c r="E178" s="33"/>
      <c r="F178" s="27"/>
      <c r="G178" s="28"/>
      <c r="H178" s="29"/>
      <c r="I178" s="28"/>
      <c r="J178" s="32">
        <f t="shared" si="0"/>
      </c>
    </row>
    <row r="179" spans="1:10" x14ac:dyDescent="0.25">
      <c r="A179" s="26"/>
      <c r="B179" s="29"/>
      <c r="C179" s="28"/>
      <c r="D179" s="28"/>
      <c r="E179" s="33"/>
      <c r="F179" s="27"/>
      <c r="G179" s="28"/>
      <c r="H179" s="29"/>
      <c r="I179" s="28"/>
      <c r="J179" s="32">
        <f t="shared" si="0"/>
      </c>
    </row>
    <row r="180" spans="1:10" x14ac:dyDescent="0.25">
      <c r="A180" s="26"/>
      <c r="B180" s="29"/>
      <c r="C180" s="28"/>
      <c r="D180" s="28"/>
      <c r="E180" s="33"/>
      <c r="F180" s="27"/>
      <c r="G180" s="28"/>
      <c r="H180" s="29"/>
      <c r="I180" s="28"/>
      <c r="J180" s="32">
        <f t="shared" si="0"/>
      </c>
    </row>
    <row r="181" spans="1:10" x14ac:dyDescent="0.25">
      <c r="A181" s="26"/>
      <c r="B181" s="29"/>
      <c r="C181" s="28"/>
      <c r="D181" s="28"/>
      <c r="E181" s="33"/>
      <c r="F181" s="27"/>
      <c r="G181" s="28"/>
      <c r="H181" s="29"/>
      <c r="I181" s="28"/>
      <c r="J181" s="32">
        <f t="shared" si="0"/>
      </c>
    </row>
    <row r="182" spans="1:10" x14ac:dyDescent="0.25">
      <c r="A182" s="26"/>
      <c r="B182" s="29"/>
      <c r="C182" s="28"/>
      <c r="D182" s="28"/>
      <c r="E182" s="33"/>
      <c r="F182" s="27"/>
      <c r="G182" s="28"/>
      <c r="H182" s="29"/>
      <c r="I182" s="28"/>
      <c r="J182" s="32">
        <f t="shared" si="0"/>
      </c>
    </row>
    <row r="183" spans="1:10" x14ac:dyDescent="0.25">
      <c r="A183" s="26"/>
      <c r="B183" s="29"/>
      <c r="C183" s="28"/>
      <c r="D183" s="28"/>
      <c r="E183" s="33"/>
      <c r="F183" s="27"/>
      <c r="G183" s="28"/>
      <c r="H183" s="29"/>
      <c r="I183" s="28"/>
      <c r="J183" s="32">
        <f t="shared" si="0"/>
      </c>
    </row>
    <row r="184" spans="1:10" x14ac:dyDescent="0.25">
      <c r="A184" s="26"/>
      <c r="B184" s="29"/>
      <c r="C184" s="28"/>
      <c r="D184" s="28"/>
      <c r="E184" s="33"/>
      <c r="F184" s="27"/>
      <c r="G184" s="28"/>
      <c r="H184" s="29"/>
      <c r="I184" s="28"/>
      <c r="J184" s="32">
        <f t="shared" si="0"/>
      </c>
    </row>
    <row r="185" spans="1:10" x14ac:dyDescent="0.25">
      <c r="A185" s="26"/>
      <c r="B185" s="29"/>
      <c r="C185" s="28"/>
      <c r="D185" s="28"/>
      <c r="E185" s="33"/>
      <c r="F185" s="27"/>
      <c r="G185" s="28"/>
      <c r="H185" s="29"/>
      <c r="I185" s="28"/>
      <c r="J185" s="32">
        <f t="shared" si="0"/>
      </c>
    </row>
    <row r="186" spans="1:10" x14ac:dyDescent="0.25">
      <c r="A186" s="26"/>
      <c r="B186" s="29"/>
      <c r="C186" s="28"/>
      <c r="D186" s="28"/>
      <c r="E186" s="33"/>
      <c r="F186" s="27"/>
      <c r="G186" s="28"/>
      <c r="H186" s="29"/>
      <c r="I186" s="28"/>
      <c r="J186" s="32">
        <f t="shared" si="0"/>
      </c>
    </row>
    <row r="187" spans="1:10" x14ac:dyDescent="0.25">
      <c r="A187" s="26"/>
      <c r="B187" s="29"/>
      <c r="C187" s="28"/>
      <c r="D187" s="28"/>
      <c r="E187" s="33"/>
      <c r="F187" s="27"/>
      <c r="G187" s="28"/>
      <c r="H187" s="29"/>
      <c r="I187" s="28"/>
      <c r="J187" s="32">
        <f t="shared" si="0"/>
      </c>
    </row>
    <row r="188" spans="1:10" x14ac:dyDescent="0.25">
      <c r="A188" s="26"/>
      <c r="B188" s="29"/>
      <c r="C188" s="28"/>
      <c r="D188" s="28"/>
      <c r="E188" s="33"/>
      <c r="F188" s="27"/>
      <c r="G188" s="28"/>
      <c r="H188" s="29"/>
      <c r="I188" s="28"/>
      <c r="J188" s="32">
        <f t="shared" si="0"/>
      </c>
    </row>
    <row r="189" spans="1:10" x14ac:dyDescent="0.25">
      <c r="A189" s="26"/>
      <c r="B189" s="29"/>
      <c r="C189" s="28"/>
      <c r="D189" s="28"/>
      <c r="E189" s="33"/>
      <c r="F189" s="27"/>
      <c r="G189" s="28"/>
      <c r="H189" s="29"/>
      <c r="I189" s="28"/>
      <c r="J189" s="32">
        <f t="shared" si="0"/>
      </c>
    </row>
    <row r="190" spans="1:10" x14ac:dyDescent="0.25">
      <c r="A190" s="26"/>
      <c r="B190" s="29"/>
      <c r="C190" s="28"/>
      <c r="D190" s="28"/>
      <c r="E190" s="33"/>
      <c r="F190" s="27"/>
      <c r="G190" s="28"/>
      <c r="H190" s="29"/>
      <c r="I190" s="28"/>
      <c r="J190" s="32">
        <f t="shared" si="0"/>
      </c>
    </row>
    <row r="191" spans="1:10" x14ac:dyDescent="0.25">
      <c r="A191" s="26"/>
      <c r="B191" s="29"/>
      <c r="C191" s="28"/>
      <c r="D191" s="28"/>
      <c r="E191" s="33"/>
      <c r="F191" s="27"/>
      <c r="G191" s="28"/>
      <c r="H191" s="29"/>
      <c r="I191" s="28"/>
      <c r="J191" s="32">
        <f t="shared" si="0"/>
      </c>
    </row>
    <row r="192" spans="1:10" x14ac:dyDescent="0.25">
      <c r="A192" s="26"/>
      <c r="B192" s="29"/>
      <c r="C192" s="28"/>
      <c r="D192" s="28"/>
      <c r="E192" s="33"/>
      <c r="F192" s="27"/>
      <c r="G192" s="28"/>
      <c r="H192" s="29"/>
      <c r="I192" s="28"/>
      <c r="J192" s="32">
        <f t="shared" si="0"/>
      </c>
    </row>
    <row r="193" spans="1:10" x14ac:dyDescent="0.25">
      <c r="A193" s="26"/>
      <c r="B193" s="29"/>
      <c r="C193" s="28"/>
      <c r="D193" s="28"/>
      <c r="E193" s="33"/>
      <c r="F193" s="27"/>
      <c r="G193" s="28"/>
      <c r="H193" s="29"/>
      <c r="I193" s="28"/>
      <c r="J193" s="32">
        <f t="shared" si="0"/>
      </c>
    </row>
    <row r="194" spans="1:10" x14ac:dyDescent="0.25">
      <c r="A194" s="26"/>
      <c r="B194" s="29"/>
      <c r="C194" s="28"/>
      <c r="D194" s="28"/>
      <c r="E194" s="33"/>
      <c r="F194" s="27"/>
      <c r="G194" s="28"/>
      <c r="H194" s="29"/>
      <c r="I194" s="28"/>
      <c r="J194" s="32">
        <f t="shared" si="0"/>
      </c>
    </row>
    <row r="195" spans="1:10" x14ac:dyDescent="0.25">
      <c r="A195" s="26"/>
      <c r="B195" s="29"/>
      <c r="C195" s="28"/>
      <c r="D195" s="28"/>
      <c r="E195" s="33"/>
      <c r="F195" s="27"/>
      <c r="G195" s="28"/>
      <c r="H195" s="29"/>
      <c r="I195" s="28"/>
      <c r="J195" s="32">
        <f t="shared" si="0"/>
      </c>
    </row>
    <row r="196" spans="1:10" x14ac:dyDescent="0.25">
      <c r="A196" s="26"/>
      <c r="B196" s="29"/>
      <c r="C196" s="28"/>
      <c r="D196" s="28"/>
      <c r="E196" s="33"/>
      <c r="F196" s="27"/>
      <c r="G196" s="28"/>
      <c r="H196" s="29"/>
      <c r="I196" s="28"/>
      <c r="J196" s="32">
        <f t="shared" si="0"/>
      </c>
    </row>
    <row r="197" spans="1:10" x14ac:dyDescent="0.25">
      <c r="A197" s="26"/>
      <c r="B197" s="29"/>
      <c r="C197" s="28"/>
      <c r="D197" s="28"/>
      <c r="E197" s="33"/>
      <c r="F197" s="27"/>
      <c r="G197" s="28"/>
      <c r="H197" s="29"/>
      <c r="I197" s="28"/>
      <c r="J197" s="32">
        <f t="shared" si="0"/>
      </c>
    </row>
    <row r="198" spans="1:10" x14ac:dyDescent="0.25">
      <c r="A198" s="26"/>
      <c r="B198" s="29"/>
      <c r="C198" s="28"/>
      <c r="D198" s="28"/>
      <c r="E198" s="33"/>
      <c r="F198" s="27"/>
      <c r="G198" s="28"/>
      <c r="H198" s="29"/>
      <c r="I198" s="28"/>
      <c r="J198" s="32">
        <f t="shared" si="0"/>
      </c>
    </row>
    <row r="199" spans="1:10" x14ac:dyDescent="0.25">
      <c r="A199" s="26"/>
      <c r="B199" s="29"/>
      <c r="C199" s="28"/>
      <c r="D199" s="28"/>
      <c r="E199" s="33"/>
      <c r="F199" s="27"/>
      <c r="G199" s="28"/>
      <c r="H199" s="29"/>
      <c r="I199" s="28"/>
      <c r="J199" s="32">
        <f t="shared" si="0"/>
      </c>
    </row>
    <row r="200" spans="1:10" x14ac:dyDescent="0.25">
      <c r="A200" s="26"/>
      <c r="B200" s="29"/>
      <c r="C200" s="28"/>
      <c r="D200" s="28"/>
      <c r="E200" s="33"/>
      <c r="F200" s="27"/>
      <c r="G200" s="28"/>
      <c r="H200" s="29"/>
      <c r="I200" s="28"/>
      <c r="J200" s="32">
        <f t="shared" si="0"/>
      </c>
    </row>
    <row r="201" spans="1:10" x14ac:dyDescent="0.25">
      <c r="A201" s="26"/>
      <c r="B201" s="29"/>
      <c r="C201" s="28"/>
      <c r="D201" s="28"/>
      <c r="E201" s="33"/>
      <c r="F201" s="27"/>
      <c r="G201" s="28"/>
      <c r="H201" s="29"/>
      <c r="I201" s="28"/>
      <c r="J201" s="32">
        <f t="shared" si="0"/>
      </c>
    </row>
    <row r="202" spans="1:10" x14ac:dyDescent="0.25">
      <c r="A202" s="26"/>
      <c r="B202" s="29"/>
      <c r="C202" s="28"/>
      <c r="D202" s="28"/>
      <c r="E202" s="33"/>
      <c r="F202" s="27"/>
      <c r="G202" s="28"/>
      <c r="H202" s="29"/>
      <c r="I202" s="28"/>
      <c r="J202" s="32">
        <f t="shared" si="0"/>
      </c>
    </row>
    <row r="203" spans="1:10" x14ac:dyDescent="0.25">
      <c r="A203" s="26"/>
      <c r="B203" s="29"/>
      <c r="C203" s="28"/>
      <c r="D203" s="28"/>
      <c r="E203" s="33"/>
      <c r="F203" s="27"/>
      <c r="G203" s="28"/>
      <c r="H203" s="29"/>
      <c r="I203" s="28"/>
      <c r="J203" s="32">
        <f t="shared" si="0"/>
      </c>
    </row>
    <row r="204" spans="1:10" x14ac:dyDescent="0.25">
      <c r="A204" s="26"/>
      <c r="B204" s="29"/>
      <c r="C204" s="28"/>
      <c r="D204" s="28"/>
      <c r="E204" s="33"/>
      <c r="F204" s="27"/>
      <c r="G204" s="28"/>
      <c r="H204" s="29"/>
      <c r="I204" s="28"/>
      <c r="J204" s="32">
        <f t="shared" si="0"/>
      </c>
    </row>
    <row r="205" spans="1:10" x14ac:dyDescent="0.25">
      <c r="A205" s="26"/>
      <c r="B205" s="29"/>
      <c r="C205" s="28"/>
      <c r="D205" s="28"/>
      <c r="E205" s="33"/>
      <c r="F205" s="27"/>
      <c r="G205" s="28"/>
      <c r="H205" s="29"/>
      <c r="I205" s="28"/>
      <c r="J205" s="32">
        <f t="shared" si="0"/>
      </c>
    </row>
    <row r="206" spans="1:10" x14ac:dyDescent="0.25">
      <c r="A206" s="26"/>
      <c r="B206" s="29"/>
      <c r="C206" s="28"/>
      <c r="D206" s="28"/>
      <c r="E206" s="33"/>
      <c r="F206" s="27"/>
      <c r="G206" s="28"/>
      <c r="H206" s="29"/>
      <c r="I206" s="28"/>
      <c r="J206" s="32">
        <f t="shared" si="0"/>
      </c>
    </row>
    <row r="207" spans="1:10" x14ac:dyDescent="0.25">
      <c r="A207" s="26"/>
      <c r="B207" s="29"/>
      <c r="C207" s="28"/>
      <c r="D207" s="28"/>
      <c r="E207" s="33"/>
      <c r="F207" s="27"/>
      <c r="G207" s="28"/>
      <c r="H207" s="29"/>
      <c r="I207" s="28"/>
      <c r="J207" s="32">
        <f t="shared" si="0"/>
      </c>
    </row>
    <row r="208" spans="1:10" x14ac:dyDescent="0.25">
      <c r="A208" s="26"/>
      <c r="B208" s="29"/>
      <c r="C208" s="28"/>
      <c r="D208" s="28"/>
      <c r="E208" s="33"/>
      <c r="F208" s="27"/>
      <c r="G208" s="28"/>
      <c r="H208" s="29"/>
      <c r="I208" s="28"/>
      <c r="J208" s="32">
        <f t="shared" si="0"/>
      </c>
    </row>
    <row r="209" spans="1:10" x14ac:dyDescent="0.25">
      <c r="A209" s="26"/>
      <c r="B209" s="29"/>
      <c r="C209" s="28"/>
      <c r="D209" s="28"/>
      <c r="E209" s="33"/>
      <c r="F209" s="27"/>
      <c r="G209" s="28"/>
      <c r="H209" s="29"/>
      <c r="I209" s="28"/>
      <c r="J209" s="32">
        <f t="shared" si="0"/>
      </c>
    </row>
    <row r="210" spans="1:10" x14ac:dyDescent="0.25">
      <c r="A210" s="26"/>
      <c r="B210" s="29"/>
      <c r="C210" s="28"/>
      <c r="D210" s="28"/>
      <c r="E210" s="33"/>
      <c r="F210" s="27"/>
      <c r="G210" s="28"/>
      <c r="H210" s="29"/>
      <c r="I210" s="28"/>
      <c r="J210" s="32">
        <f t="shared" si="0"/>
      </c>
    </row>
    <row r="211" spans="1:10" x14ac:dyDescent="0.25">
      <c r="A211" s="26"/>
      <c r="B211" s="29"/>
      <c r="C211" s="28"/>
      <c r="D211" s="28"/>
      <c r="E211" s="33"/>
      <c r="F211" s="27"/>
      <c r="G211" s="28"/>
      <c r="H211" s="29"/>
      <c r="I211" s="28"/>
      <c r="J211" s="32">
        <f t="shared" si="0"/>
      </c>
    </row>
    <row r="212" spans="1:10" x14ac:dyDescent="0.25">
      <c r="A212" s="26"/>
      <c r="B212" s="29"/>
      <c r="C212" s="28"/>
      <c r="D212" s="28"/>
      <c r="E212" s="33"/>
      <c r="F212" s="27"/>
      <c r="G212" s="28"/>
      <c r="H212" s="29"/>
      <c r="I212" s="28"/>
      <c r="J212" s="32">
        <f t="shared" si="0"/>
      </c>
    </row>
    <row r="213" spans="1:10" x14ac:dyDescent="0.25">
      <c r="A213" s="26"/>
      <c r="B213" s="29"/>
      <c r="C213" s="28"/>
      <c r="D213" s="28"/>
      <c r="E213" s="33"/>
      <c r="F213" s="27"/>
      <c r="G213" s="28"/>
      <c r="H213" s="29"/>
      <c r="I213" s="28"/>
      <c r="J213" s="32">
        <f t="shared" si="0"/>
      </c>
    </row>
    <row r="214" spans="1:10" x14ac:dyDescent="0.25">
      <c r="A214" s="26"/>
      <c r="B214" s="29"/>
      <c r="C214" s="28"/>
      <c r="D214" s="28"/>
      <c r="E214" s="33"/>
      <c r="F214" s="27"/>
      <c r="G214" s="28"/>
      <c r="H214" s="29"/>
      <c r="I214" s="28"/>
      <c r="J214" s="32">
        <f t="shared" si="0"/>
      </c>
    </row>
    <row r="215" spans="1:10" x14ac:dyDescent="0.25">
      <c r="A215" s="26"/>
      <c r="B215" s="29"/>
      <c r="C215" s="28"/>
      <c r="D215" s="28"/>
      <c r="E215" s="33"/>
      <c r="F215" s="27"/>
      <c r="G215" s="28"/>
      <c r="H215" s="29"/>
      <c r="I215" s="28"/>
      <c r="J215" s="32">
        <f t="shared" si="0"/>
      </c>
    </row>
    <row r="216" spans="1:10" x14ac:dyDescent="0.25">
      <c r="A216" s="26"/>
      <c r="B216" s="29"/>
      <c r="C216" s="28"/>
      <c r="D216" s="28"/>
      <c r="E216" s="33"/>
      <c r="F216" s="27"/>
      <c r="G216" s="28"/>
      <c r="H216" s="29"/>
      <c r="I216" s="28"/>
      <c r="J216" s="32">
        <f t="shared" si="0"/>
      </c>
    </row>
    <row r="217" spans="1:10" x14ac:dyDescent="0.25">
      <c r="A217" s="26"/>
      <c r="B217" s="29"/>
      <c r="C217" s="28"/>
      <c r="D217" s="28"/>
      <c r="E217" s="33"/>
      <c r="F217" s="27"/>
      <c r="G217" s="28"/>
      <c r="H217" s="29"/>
      <c r="I217" s="28"/>
      <c r="J217" s="32">
        <f t="shared" si="0"/>
      </c>
    </row>
    <row r="218" spans="1:10" x14ac:dyDescent="0.25">
      <c r="A218" s="26"/>
      <c r="B218" s="29"/>
      <c r="C218" s="28"/>
      <c r="D218" s="28"/>
      <c r="E218" s="33"/>
      <c r="F218" s="27"/>
      <c r="G218" s="28"/>
      <c r="H218" s="29"/>
      <c r="I218" s="28"/>
      <c r="J218" s="32">
        <f t="shared" si="0"/>
      </c>
    </row>
    <row r="219" spans="1:10" x14ac:dyDescent="0.25">
      <c r="A219" s="26"/>
      <c r="B219" s="29"/>
      <c r="C219" s="28"/>
      <c r="D219" s="28"/>
      <c r="E219" s="33"/>
      <c r="F219" s="27"/>
      <c r="G219" s="28"/>
      <c r="H219" s="29"/>
      <c r="I219" s="28"/>
      <c r="J219" s="32">
        <f t="shared" si="0"/>
      </c>
    </row>
    <row r="220" spans="1:10" x14ac:dyDescent="0.25">
      <c r="A220" s="26"/>
      <c r="B220" s="29"/>
      <c r="C220" s="28"/>
      <c r="D220" s="28"/>
      <c r="E220" s="33"/>
      <c r="F220" s="27"/>
      <c r="G220" s="28"/>
      <c r="H220" s="29"/>
      <c r="I220" s="28"/>
      <c r="J220" s="32">
        <f t="shared" si="0"/>
      </c>
    </row>
    <row r="221" spans="1:10" x14ac:dyDescent="0.25">
      <c r="A221" s="26"/>
      <c r="B221" s="29"/>
      <c r="C221" s="28"/>
      <c r="D221" s="28"/>
      <c r="E221" s="33"/>
      <c r="F221" s="27"/>
      <c r="G221" s="28"/>
      <c r="H221" s="29"/>
      <c r="I221" s="28"/>
      <c r="J221" s="32">
        <f t="shared" si="0"/>
      </c>
    </row>
    <row r="222" spans="1:10" x14ac:dyDescent="0.25">
      <c r="A222" s="26"/>
      <c r="B222" s="29"/>
      <c r="C222" s="28"/>
      <c r="D222" s="28"/>
      <c r="E222" s="33"/>
      <c r="F222" s="27"/>
      <c r="G222" s="28"/>
      <c r="H222" s="29"/>
      <c r="I222" s="28"/>
      <c r="J222" s="32">
        <f t="shared" si="0"/>
      </c>
    </row>
    <row r="223" spans="1:10" x14ac:dyDescent="0.25">
      <c r="A223" s="26"/>
      <c r="B223" s="29"/>
      <c r="C223" s="28"/>
      <c r="D223" s="28"/>
      <c r="E223" s="33"/>
      <c r="F223" s="27"/>
      <c r="G223" s="28"/>
      <c r="H223" s="29"/>
      <c r="I223" s="28"/>
      <c r="J223" s="32">
        <f t="shared" si="0"/>
      </c>
    </row>
    <row r="224" spans="1:10" x14ac:dyDescent="0.25">
      <c r="A224" s="26"/>
      <c r="B224" s="29"/>
      <c r="C224" s="28"/>
      <c r="D224" s="28"/>
      <c r="E224" s="33"/>
      <c r="F224" s="27"/>
      <c r="G224" s="28"/>
      <c r="H224" s="29"/>
      <c r="I224" s="28"/>
      <c r="J224" s="32">
        <f t="shared" si="0"/>
      </c>
    </row>
    <row r="225" spans="1:10" x14ac:dyDescent="0.25">
      <c r="A225" s="26"/>
      <c r="B225" s="29"/>
      <c r="C225" s="28"/>
      <c r="D225" s="28"/>
      <c r="E225" s="33"/>
      <c r="F225" s="27"/>
      <c r="G225" s="28"/>
      <c r="H225" s="29"/>
      <c r="I225" s="28"/>
      <c r="J225" s="32">
        <f t="shared" si="0"/>
      </c>
    </row>
    <row r="226" spans="1:10" x14ac:dyDescent="0.25">
      <c r="A226" s="26"/>
      <c r="B226" s="29"/>
      <c r="C226" s="28"/>
      <c r="D226" s="28"/>
      <c r="E226" s="33"/>
      <c r="F226" s="27"/>
      <c r="G226" s="28"/>
      <c r="H226" s="29"/>
      <c r="I226" s="28"/>
      <c r="J226" s="32">
        <f t="shared" si="0"/>
      </c>
    </row>
    <row r="227" spans="1:10" x14ac:dyDescent="0.25">
      <c r="A227" s="26"/>
      <c r="B227" s="29"/>
      <c r="C227" s="28"/>
      <c r="D227" s="28"/>
      <c r="E227" s="33"/>
      <c r="F227" s="27"/>
      <c r="G227" s="28"/>
      <c r="H227" s="29"/>
      <c r="I227" s="28"/>
      <c r="J227" s="32">
        <f t="shared" si="0"/>
      </c>
    </row>
    <row r="228" spans="1:10" x14ac:dyDescent="0.25">
      <c r="A228" s="26"/>
      <c r="B228" s="29"/>
      <c r="C228" s="28"/>
      <c r="D228" s="28"/>
      <c r="E228" s="33"/>
      <c r="F228" s="27"/>
      <c r="G228" s="28"/>
      <c r="H228" s="29"/>
      <c r="I228" s="28"/>
      <c r="J228" s="32">
        <f t="shared" si="0"/>
      </c>
    </row>
    <row r="229" spans="1:10" x14ac:dyDescent="0.25">
      <c r="A229" s="26"/>
      <c r="B229" s="29"/>
      <c r="C229" s="28"/>
      <c r="D229" s="28"/>
      <c r="E229" s="33"/>
      <c r="F229" s="27"/>
      <c r="G229" s="28"/>
      <c r="H229" s="29"/>
      <c r="I229" s="28"/>
      <c r="J229" s="32">
        <f t="shared" si="0"/>
      </c>
    </row>
    <row r="230" spans="1:10" x14ac:dyDescent="0.25">
      <c r="A230" s="26"/>
      <c r="B230" s="29"/>
      <c r="C230" s="28"/>
      <c r="D230" s="28"/>
      <c r="E230" s="33"/>
      <c r="F230" s="27"/>
      <c r="G230" s="28"/>
      <c r="H230" s="29"/>
      <c r="I230" s="28"/>
      <c r="J230" s="32">
        <f t="shared" si="0"/>
      </c>
    </row>
    <row r="231" spans="1:10" x14ac:dyDescent="0.25">
      <c r="A231" s="26"/>
      <c r="B231" s="29"/>
      <c r="C231" s="28"/>
      <c r="D231" s="28"/>
      <c r="E231" s="33"/>
      <c r="F231" s="27"/>
      <c r="G231" s="28"/>
      <c r="H231" s="29"/>
      <c r="I231" s="28"/>
      <c r="J231" s="32">
        <f t="shared" si="0"/>
      </c>
    </row>
    <row r="232" spans="1:10" x14ac:dyDescent="0.25">
      <c r="A232" s="26"/>
      <c r="B232" s="29"/>
      <c r="C232" s="28"/>
      <c r="D232" s="28"/>
      <c r="E232" s="33"/>
      <c r="F232" s="27"/>
      <c r="G232" s="28"/>
      <c r="H232" s="29"/>
      <c r="I232" s="28"/>
      <c r="J232" s="32">
        <f t="shared" si="0"/>
      </c>
    </row>
    <row r="233" spans="1:10" x14ac:dyDescent="0.25">
      <c r="A233" s="26"/>
      <c r="B233" s="29"/>
      <c r="C233" s="28"/>
      <c r="D233" s="28"/>
      <c r="E233" s="33"/>
      <c r="F233" s="27"/>
      <c r="G233" s="28"/>
      <c r="H233" s="29"/>
      <c r="I233" s="28"/>
      <c r="J233" s="32">
        <f t="shared" si="0"/>
      </c>
    </row>
    <row r="234" spans="1:10" x14ac:dyDescent="0.25">
      <c r="A234" s="26"/>
      <c r="B234" s="29"/>
      <c r="C234" s="28"/>
      <c r="D234" s="28"/>
      <c r="E234" s="33"/>
      <c r="F234" s="27"/>
      <c r="G234" s="28"/>
      <c r="H234" s="29"/>
      <c r="I234" s="28"/>
      <c r="J234" s="32">
        <f t="shared" si="0"/>
      </c>
    </row>
    <row r="235" spans="1:10" x14ac:dyDescent="0.25">
      <c r="A235" s="26"/>
      <c r="B235" s="29"/>
      <c r="C235" s="28"/>
      <c r="D235" s="28"/>
      <c r="E235" s="33"/>
      <c r="F235" s="27"/>
      <c r="G235" s="28"/>
      <c r="H235" s="29"/>
      <c r="I235" s="28"/>
      <c r="J235" s="32">
        <f t="shared" si="0"/>
      </c>
    </row>
    <row r="236" spans="1:10" x14ac:dyDescent="0.25">
      <c r="A236" s="26"/>
      <c r="B236" s="29"/>
      <c r="C236" s="28"/>
      <c r="D236" s="28"/>
      <c r="E236" s="33"/>
      <c r="F236" s="27"/>
      <c r="G236" s="28"/>
      <c r="H236" s="29"/>
      <c r="I236" s="28"/>
      <c r="J236" s="32">
        <f t="shared" si="0"/>
      </c>
    </row>
    <row r="237" spans="1:10" x14ac:dyDescent="0.25">
      <c r="A237" s="26"/>
      <c r="B237" s="29"/>
      <c r="C237" s="28"/>
      <c r="D237" s="28"/>
      <c r="E237" s="33"/>
      <c r="F237" s="27"/>
      <c r="G237" s="28"/>
      <c r="H237" s="29"/>
      <c r="I237" s="28"/>
      <c r="J237" s="32">
        <f t="shared" si="0"/>
      </c>
    </row>
    <row r="238" spans="1:10" x14ac:dyDescent="0.25">
      <c r="A238" s="26"/>
      <c r="B238" s="29"/>
      <c r="C238" s="28"/>
      <c r="D238" s="28"/>
      <c r="E238" s="33"/>
      <c r="F238" s="27"/>
      <c r="G238" s="28"/>
      <c r="H238" s="29"/>
      <c r="I238" s="28"/>
      <c r="J238" s="32">
        <f t="shared" si="0"/>
      </c>
    </row>
    <row r="239" spans="1:10" x14ac:dyDescent="0.25">
      <c r="A239" s="26"/>
      <c r="B239" s="29"/>
      <c r="C239" s="28"/>
      <c r="D239" s="28"/>
      <c r="E239" s="33"/>
      <c r="F239" s="27"/>
      <c r="G239" s="28"/>
      <c r="H239" s="29"/>
      <c r="I239" s="28"/>
      <c r="J239" s="32">
        <f t="shared" si="0"/>
      </c>
    </row>
    <row r="240" spans="1:10" x14ac:dyDescent="0.25">
      <c r="A240" s="26"/>
      <c r="B240" s="29"/>
      <c r="C240" s="28"/>
      <c r="D240" s="28"/>
      <c r="E240" s="33"/>
      <c r="F240" s="27"/>
      <c r="G240" s="28"/>
      <c r="H240" s="29"/>
      <c r="I240" s="28"/>
      <c r="J240" s="32">
        <f t="shared" si="0"/>
      </c>
    </row>
    <row r="241" spans="1:10" x14ac:dyDescent="0.25">
      <c r="A241" s="26"/>
      <c r="B241" s="29"/>
      <c r="C241" s="28"/>
      <c r="D241" s="28"/>
      <c r="E241" s="33"/>
      <c r="F241" s="27"/>
      <c r="G241" s="28"/>
      <c r="H241" s="29"/>
      <c r="I241" s="28"/>
      <c r="J241" s="32">
        <f t="shared" si="0"/>
      </c>
    </row>
    <row r="242" spans="1:10" x14ac:dyDescent="0.25">
      <c r="A242" s="26"/>
      <c r="B242" s="29"/>
      <c r="C242" s="28"/>
      <c r="D242" s="28"/>
      <c r="E242" s="33"/>
      <c r="F242" s="27"/>
      <c r="G242" s="28"/>
      <c r="H242" s="29"/>
      <c r="I242" s="28"/>
      <c r="J242" s="32">
        <f t="shared" si="0"/>
      </c>
    </row>
    <row r="243" spans="1:10" x14ac:dyDescent="0.25">
      <c r="A243" s="26"/>
      <c r="B243" s="29"/>
      <c r="C243" s="28"/>
      <c r="D243" s="28"/>
      <c r="E243" s="33"/>
      <c r="F243" s="27"/>
      <c r="G243" s="28"/>
      <c r="H243" s="29"/>
      <c r="I243" s="28"/>
      <c r="J243" s="32">
        <f t="shared" si="0"/>
      </c>
    </row>
    <row r="244" spans="1:10" x14ac:dyDescent="0.25">
      <c r="A244" s="26"/>
      <c r="B244" s="29"/>
      <c r="C244" s="28"/>
      <c r="D244" s="28"/>
      <c r="E244" s="33"/>
      <c r="F244" s="27"/>
      <c r="G244" s="28"/>
      <c r="H244" s="29"/>
      <c r="I244" s="28"/>
      <c r="J244" s="32">
        <f t="shared" si="0"/>
      </c>
    </row>
    <row r="245" spans="1:10" x14ac:dyDescent="0.25">
      <c r="A245" s="26"/>
      <c r="B245" s="29"/>
      <c r="C245" s="28"/>
      <c r="D245" s="28"/>
      <c r="E245" s="33"/>
      <c r="F245" s="27"/>
      <c r="G245" s="28"/>
      <c r="H245" s="29"/>
      <c r="I245" s="28"/>
      <c r="J245" s="32">
        <f t="shared" si="0"/>
      </c>
    </row>
    <row r="246" spans="1:10" x14ac:dyDescent="0.25">
      <c r="A246" s="26"/>
      <c r="B246" s="29"/>
      <c r="C246" s="28"/>
      <c r="D246" s="28"/>
      <c r="E246" s="33"/>
      <c r="F246" s="27"/>
      <c r="G246" s="28"/>
      <c r="H246" s="29"/>
      <c r="I246" s="28"/>
      <c r="J246" s="32">
        <f t="shared" si="0"/>
      </c>
    </row>
    <row r="247" spans="1:10" x14ac:dyDescent="0.25">
      <c r="A247" s="26"/>
      <c r="B247" s="29"/>
      <c r="C247" s="28"/>
      <c r="D247" s="28"/>
      <c r="E247" s="33"/>
      <c r="F247" s="27"/>
      <c r="G247" s="28"/>
      <c r="H247" s="29"/>
      <c r="I247" s="28"/>
      <c r="J247" s="32">
        <f t="shared" si="0"/>
      </c>
    </row>
    <row r="248" spans="1:10" x14ac:dyDescent="0.25">
      <c r="A248" s="26"/>
      <c r="B248" s="29"/>
      <c r="C248" s="28"/>
      <c r="D248" s="28"/>
      <c r="E248" s="33"/>
      <c r="F248" s="27"/>
      <c r="G248" s="28"/>
      <c r="H248" s="29"/>
      <c r="I248" s="28"/>
      <c r="J248" s="32">
        <f t="shared" si="0"/>
      </c>
    </row>
    <row r="249" spans="1:10" x14ac:dyDescent="0.25">
      <c r="A249" s="26"/>
      <c r="B249" s="29"/>
      <c r="C249" s="28"/>
      <c r="D249" s="28"/>
      <c r="E249" s="33"/>
      <c r="F249" s="27"/>
      <c r="G249" s="28"/>
      <c r="H249" s="29"/>
      <c r="I249" s="28"/>
      <c r="J249" s="32">
        <f t="shared" si="0"/>
      </c>
    </row>
    <row r="250" spans="1:10" x14ac:dyDescent="0.25">
      <c r="A250" s="26"/>
      <c r="B250" s="29"/>
      <c r="C250" s="28"/>
      <c r="D250" s="28"/>
      <c r="E250" s="33"/>
      <c r="F250" s="27"/>
      <c r="G250" s="28"/>
      <c r="H250" s="29"/>
      <c r="I250" s="28"/>
      <c r="J250" s="32">
        <f t="shared" si="0"/>
      </c>
    </row>
    <row r="251" spans="1:10" x14ac:dyDescent="0.25">
      <c r="A251" s="26"/>
      <c r="B251" s="29"/>
      <c r="C251" s="28"/>
      <c r="D251" s="28"/>
      <c r="E251" s="33"/>
      <c r="F251" s="27"/>
      <c r="G251" s="28"/>
      <c r="H251" s="29"/>
      <c r="I251" s="28"/>
      <c r="J251" s="32">
        <f t="shared" si="0"/>
      </c>
    </row>
    <row r="252" spans="1:10" x14ac:dyDescent="0.25">
      <c r="A252" s="26"/>
      <c r="B252" s="29"/>
      <c r="C252" s="28"/>
      <c r="D252" s="28"/>
      <c r="E252" s="33"/>
      <c r="F252" s="27"/>
      <c r="G252" s="28"/>
      <c r="H252" s="29"/>
      <c r="I252" s="28"/>
      <c r="J252" s="32">
        <f t="shared" si="0"/>
      </c>
    </row>
    <row r="253" spans="1:10" x14ac:dyDescent="0.25">
      <c r="A253" s="26"/>
      <c r="B253" s="29"/>
      <c r="C253" s="28"/>
      <c r="D253" s="28"/>
      <c r="E253" s="33"/>
      <c r="F253" s="27"/>
      <c r="G253" s="28"/>
      <c r="H253" s="29"/>
      <c r="I253" s="28"/>
      <c r="J253" s="32">
        <f t="shared" si="0"/>
      </c>
    </row>
    <row r="254" spans="1:10" x14ac:dyDescent="0.25">
      <c r="A254" s="26"/>
      <c r="B254" s="29"/>
      <c r="C254" s="28"/>
      <c r="D254" s="28"/>
      <c r="E254" s="33"/>
      <c r="F254" s="27"/>
      <c r="G254" s="28"/>
      <c r="H254" s="29"/>
      <c r="I254" s="28"/>
      <c r="J254" s="32">
        <f t="shared" si="0"/>
      </c>
    </row>
    <row r="255" spans="1:10" x14ac:dyDescent="0.25">
      <c r="A255" s="26"/>
      <c r="B255" s="29"/>
      <c r="C255" s="28"/>
      <c r="D255" s="28"/>
      <c r="E255" s="33"/>
      <c r="F255" s="27"/>
      <c r="G255" s="28"/>
      <c r="H255" s="29"/>
      <c r="I255" s="28"/>
      <c r="J255" s="32">
        <f t="shared" si="0"/>
      </c>
    </row>
    <row r="256" spans="1:10" x14ac:dyDescent="0.25">
      <c r="A256" s="26"/>
      <c r="B256" s="29"/>
      <c r="C256" s="28"/>
      <c r="D256" s="28"/>
      <c r="E256" s="33"/>
      <c r="F256" s="27"/>
      <c r="G256" s="28"/>
      <c r="H256" s="29"/>
      <c r="I256" s="28"/>
      <c r="J256" s="32">
        <f t="shared" si="0"/>
      </c>
    </row>
    <row r="257" spans="1:10" x14ac:dyDescent="0.25">
      <c r="A257" s="26"/>
      <c r="B257" s="29"/>
      <c r="C257" s="28"/>
      <c r="D257" s="28"/>
      <c r="E257" s="33"/>
      <c r="F257" s="27"/>
      <c r="G257" s="28"/>
      <c r="H257" s="29"/>
      <c r="I257" s="28"/>
      <c r="J257" s="32">
        <f t="shared" si="0"/>
      </c>
    </row>
    <row r="258" spans="1:10" x14ac:dyDescent="0.25">
      <c r="A258" s="26"/>
      <c r="B258" s="29"/>
      <c r="C258" s="28"/>
      <c r="D258" s="28"/>
      <c r="E258" s="33"/>
      <c r="F258" s="27"/>
      <c r="G258" s="28"/>
      <c r="H258" s="29"/>
      <c r="I258" s="28"/>
      <c r="J258" s="32">
        <f t="shared" si="0"/>
      </c>
    </row>
    <row r="259" spans="1:10" x14ac:dyDescent="0.25">
      <c r="A259" s="26"/>
      <c r="B259" s="29"/>
      <c r="C259" s="28"/>
      <c r="D259" s="28"/>
      <c r="E259" s="33"/>
      <c r="F259" s="27"/>
      <c r="G259" s="28"/>
      <c r="H259" s="29"/>
      <c r="I259" s="28"/>
      <c r="J259" s="32">
        <f t="shared" si="0"/>
      </c>
    </row>
    <row r="260" spans="1:10" x14ac:dyDescent="0.25">
      <c r="A260" s="26"/>
      <c r="B260" s="29"/>
      <c r="C260" s="28"/>
      <c r="D260" s="28"/>
      <c r="E260" s="33"/>
      <c r="F260" s="27"/>
      <c r="G260" s="28"/>
      <c r="H260" s="29"/>
      <c r="I260" s="28"/>
      <c r="J260" s="32">
        <f t="shared" si="0"/>
      </c>
    </row>
    <row r="261" spans="1:10" x14ac:dyDescent="0.25">
      <c r="A261" s="26"/>
      <c r="B261" s="29"/>
      <c r="C261" s="28"/>
      <c r="D261" s="28"/>
      <c r="E261" s="33"/>
      <c r="F261" s="27"/>
      <c r="G261" s="28"/>
      <c r="H261" s="29"/>
      <c r="I261" s="28"/>
      <c r="J261" s="32">
        <f t="shared" si="0"/>
      </c>
    </row>
    <row r="262" spans="1:10" x14ac:dyDescent="0.25">
      <c r="A262" s="26"/>
      <c r="B262" s="29"/>
      <c r="C262" s="28"/>
      <c r="D262" s="28"/>
      <c r="E262" s="33"/>
      <c r="F262" s="27"/>
      <c r="G262" s="28"/>
      <c r="H262" s="29"/>
      <c r="I262" s="28"/>
      <c r="J262" s="32">
        <f t="shared" si="0"/>
      </c>
    </row>
    <row r="263" spans="1:10" x14ac:dyDescent="0.25">
      <c r="A263" s="26"/>
      <c r="B263" s="29"/>
      <c r="C263" s="28"/>
      <c r="D263" s="28"/>
      <c r="E263" s="33"/>
      <c r="F263" s="27"/>
      <c r="G263" s="28"/>
      <c r="H263" s="29"/>
      <c r="I263" s="28"/>
      <c r="J263" s="32">
        <f t="shared" si="0"/>
      </c>
    </row>
    <row r="264" spans="1:10" x14ac:dyDescent="0.25">
      <c r="A264" s="26"/>
      <c r="B264" s="29"/>
      <c r="C264" s="28"/>
      <c r="D264" s="28"/>
      <c r="E264" s="33"/>
      <c r="F264" s="27"/>
      <c r="G264" s="28"/>
      <c r="H264" s="29"/>
      <c r="I264" s="28"/>
      <c r="J264" s="32">
        <f t="shared" si="0"/>
      </c>
    </row>
    <row r="265" spans="1:10" x14ac:dyDescent="0.25">
      <c r="A265" s="26"/>
      <c r="B265" s="29"/>
      <c r="C265" s="28"/>
      <c r="D265" s="28"/>
      <c r="E265" s="33"/>
      <c r="F265" s="27"/>
      <c r="G265" s="28"/>
      <c r="H265" s="29"/>
      <c r="I265" s="28"/>
      <c r="J265" s="32">
        <f t="shared" si="0"/>
      </c>
    </row>
    <row r="266" spans="1:10" x14ac:dyDescent="0.25">
      <c r="A266" s="26"/>
      <c r="B266" s="29"/>
      <c r="C266" s="28"/>
      <c r="D266" s="28"/>
      <c r="E266" s="33"/>
      <c r="F266" s="27"/>
      <c r="G266" s="28"/>
      <c r="H266" s="29"/>
      <c r="I266" s="28"/>
      <c r="J266" s="32">
        <f t="shared" si="0"/>
      </c>
    </row>
    <row r="267" spans="1:10" x14ac:dyDescent="0.25">
      <c r="A267" s="26"/>
      <c r="B267" s="29"/>
      <c r="C267" s="28"/>
      <c r="D267" s="28"/>
      <c r="E267" s="33"/>
      <c r="F267" s="27"/>
      <c r="G267" s="28"/>
      <c r="H267" s="29"/>
      <c r="I267" s="28"/>
      <c r="J267" s="32">
        <f t="shared" si="0"/>
      </c>
    </row>
    <row r="268" spans="1:10" x14ac:dyDescent="0.25">
      <c r="A268" s="26"/>
      <c r="B268" s="29"/>
      <c r="C268" s="28"/>
      <c r="D268" s="28"/>
      <c r="E268" s="33"/>
      <c r="F268" s="27"/>
      <c r="G268" s="28"/>
      <c r="H268" s="29"/>
      <c r="I268" s="28"/>
      <c r="J268" s="32">
        <f t="shared" si="0"/>
      </c>
    </row>
    <row r="269" spans="1:10" x14ac:dyDescent="0.25">
      <c r="A269" s="26"/>
      <c r="B269" s="29"/>
      <c r="C269" s="28"/>
      <c r="D269" s="28"/>
      <c r="E269" s="33"/>
      <c r="F269" s="27"/>
      <c r="G269" s="28"/>
      <c r="H269" s="29"/>
      <c r="I269" s="28"/>
      <c r="J269" s="32">
        <f t="shared" si="0"/>
      </c>
    </row>
    <row r="270" spans="1:10" x14ac:dyDescent="0.25">
      <c r="A270" s="26"/>
      <c r="B270" s="29"/>
      <c r="C270" s="28"/>
      <c r="D270" s="28"/>
      <c r="E270" s="33"/>
      <c r="F270" s="27"/>
      <c r="G270" s="28"/>
      <c r="H270" s="29"/>
      <c r="I270" s="28"/>
      <c r="J270" s="32">
        <f t="shared" si="0"/>
      </c>
    </row>
    <row r="271" spans="1:10" x14ac:dyDescent="0.25">
      <c r="A271" s="26"/>
      <c r="B271" s="29"/>
      <c r="C271" s="28"/>
      <c r="D271" s="28"/>
      <c r="E271" s="33"/>
      <c r="F271" s="27"/>
      <c r="G271" s="28"/>
      <c r="H271" s="29"/>
      <c r="I271" s="28"/>
      <c r="J271" s="32">
        <f t="shared" si="0"/>
      </c>
    </row>
    <row r="272" spans="1:10" x14ac:dyDescent="0.25">
      <c r="A272" s="26"/>
      <c r="B272" s="29"/>
      <c r="C272" s="28"/>
      <c r="D272" s="28"/>
      <c r="E272" s="33"/>
      <c r="F272" s="27"/>
      <c r="G272" s="28"/>
      <c r="H272" s="29"/>
      <c r="I272" s="28"/>
      <c r="J272" s="32">
        <f t="shared" si="0"/>
      </c>
    </row>
    <row r="273" spans="1:10" x14ac:dyDescent="0.25">
      <c r="A273" s="26"/>
      <c r="B273" s="29"/>
      <c r="C273" s="28"/>
      <c r="D273" s="28"/>
      <c r="E273" s="33"/>
      <c r="F273" s="27"/>
      <c r="G273" s="28"/>
      <c r="H273" s="29"/>
      <c r="I273" s="28"/>
      <c r="J273" s="32">
        <f t="shared" si="0"/>
      </c>
    </row>
    <row r="274" spans="1:10" x14ac:dyDescent="0.25">
      <c r="A274" s="26"/>
      <c r="B274" s="29"/>
      <c r="C274" s="28"/>
      <c r="D274" s="28"/>
      <c r="E274" s="33"/>
      <c r="F274" s="27"/>
      <c r="G274" s="28"/>
      <c r="H274" s="29"/>
      <c r="I274" s="28"/>
      <c r="J274" s="32">
        <f t="shared" si="0"/>
      </c>
    </row>
    <row r="275" spans="1:10" x14ac:dyDescent="0.25">
      <c r="A275" s="26"/>
      <c r="B275" s="29"/>
      <c r="C275" s="28"/>
      <c r="D275" s="28"/>
      <c r="E275" s="33"/>
      <c r="F275" s="27"/>
      <c r="G275" s="28"/>
      <c r="H275" s="29"/>
      <c r="I275" s="28"/>
      <c r="J275" s="32">
        <f t="shared" si="0"/>
      </c>
    </row>
    <row r="276" spans="1:10" x14ac:dyDescent="0.25">
      <c r="A276" s="26"/>
      <c r="B276" s="29"/>
      <c r="C276" s="28"/>
      <c r="D276" s="28"/>
      <c r="E276" s="33"/>
      <c r="F276" s="27"/>
      <c r="G276" s="28"/>
      <c r="H276" s="29"/>
      <c r="I276" s="28"/>
      <c r="J276" s="32">
        <f t="shared" si="0"/>
      </c>
    </row>
    <row r="277" spans="1:10" x14ac:dyDescent="0.25">
      <c r="A277" s="26"/>
      <c r="B277" s="29"/>
      <c r="C277" s="28"/>
      <c r="D277" s="28"/>
      <c r="E277" s="33"/>
      <c r="F277" s="27"/>
      <c r="G277" s="28"/>
      <c r="H277" s="29"/>
      <c r="I277" s="28"/>
      <c r="J277" s="32">
        <f t="shared" si="0"/>
      </c>
    </row>
    <row r="278" spans="1:10" x14ac:dyDescent="0.25">
      <c r="A278" s="26"/>
      <c r="B278" s="29"/>
      <c r="C278" s="28"/>
      <c r="D278" s="28"/>
      <c r="E278" s="33"/>
      <c r="F278" s="27"/>
      <c r="G278" s="28"/>
      <c r="H278" s="29"/>
      <c r="I278" s="28"/>
      <c r="J278" s="32">
        <f t="shared" si="0"/>
      </c>
    </row>
    <row r="279" spans="1:10" x14ac:dyDescent="0.25">
      <c r="A279" s="26"/>
      <c r="B279" s="29"/>
      <c r="C279" s="28"/>
      <c r="D279" s="28"/>
      <c r="E279" s="33"/>
      <c r="F279" s="27"/>
      <c r="G279" s="28"/>
      <c r="H279" s="29"/>
      <c r="I279" s="28"/>
      <c r="J279" s="32">
        <f t="shared" si="0"/>
      </c>
    </row>
    <row r="280" spans="1:10" x14ac:dyDescent="0.25">
      <c r="A280" s="26"/>
      <c r="B280" s="29"/>
      <c r="C280" s="28"/>
      <c r="D280" s="28"/>
      <c r="E280" s="33"/>
      <c r="F280" s="27"/>
      <c r="G280" s="28"/>
      <c r="H280" s="29"/>
      <c r="I280" s="28"/>
      <c r="J280" s="32">
        <f t="shared" si="0"/>
      </c>
    </row>
    <row r="281" spans="1:10" x14ac:dyDescent="0.25">
      <c r="A281" s="26"/>
      <c r="B281" s="29"/>
      <c r="C281" s="28"/>
      <c r="D281" s="28"/>
      <c r="E281" s="33"/>
      <c r="F281" s="27"/>
      <c r="G281" s="28"/>
      <c r="H281" s="29"/>
      <c r="I281" s="28"/>
      <c r="J281" s="32">
        <f t="shared" si="0"/>
      </c>
    </row>
    <row r="282" spans="1:10" x14ac:dyDescent="0.25">
      <c r="A282" s="26"/>
      <c r="B282" s="29"/>
      <c r="C282" s="28"/>
      <c r="D282" s="28"/>
      <c r="E282" s="33"/>
      <c r="F282" s="27"/>
      <c r="G282" s="28"/>
      <c r="H282" s="29"/>
      <c r="I282" s="28"/>
      <c r="J282" s="32">
        <f t="shared" si="0"/>
      </c>
    </row>
    <row r="283" spans="1:10" x14ac:dyDescent="0.25">
      <c r="A283" s="26"/>
      <c r="B283" s="29"/>
      <c r="C283" s="28"/>
      <c r="D283" s="28"/>
      <c r="E283" s="33"/>
      <c r="F283" s="27"/>
      <c r="G283" s="28"/>
      <c r="H283" s="29"/>
      <c r="I283" s="28"/>
      <c r="J283" s="32">
        <f t="shared" si="0"/>
      </c>
    </row>
    <row r="284" spans="1:10" x14ac:dyDescent="0.25">
      <c r="A284" s="26"/>
      <c r="B284" s="29"/>
      <c r="C284" s="28"/>
      <c r="D284" s="28"/>
      <c r="E284" s="33"/>
      <c r="F284" s="27"/>
      <c r="G284" s="28"/>
      <c r="H284" s="29"/>
      <c r="I284" s="28"/>
      <c r="J284" s="32">
        <f t="shared" si="0"/>
      </c>
    </row>
    <row r="285" spans="1:10" x14ac:dyDescent="0.25">
      <c r="A285" s="26"/>
      <c r="B285" s="29"/>
      <c r="C285" s="28"/>
      <c r="D285" s="28"/>
      <c r="E285" s="33"/>
      <c r="F285" s="27"/>
      <c r="G285" s="28"/>
      <c r="H285" s="29"/>
      <c r="I285" s="28"/>
      <c r="J285" s="32">
        <f t="shared" si="0"/>
      </c>
    </row>
    <row r="286" spans="1:10" x14ac:dyDescent="0.25">
      <c r="A286" s="26"/>
      <c r="B286" s="29"/>
      <c r="C286" s="28"/>
      <c r="D286" s="28"/>
      <c r="E286" s="33"/>
      <c r="F286" s="27"/>
      <c r="G286" s="28"/>
      <c r="H286" s="29"/>
      <c r="I286" s="28"/>
      <c r="J286" s="32">
        <f t="shared" si="0"/>
      </c>
    </row>
    <row r="287" spans="1:10" x14ac:dyDescent="0.25">
      <c r="A287" s="26"/>
      <c r="B287" s="29"/>
      <c r="C287" s="28"/>
      <c r="D287" s="28"/>
      <c r="E287" s="33"/>
      <c r="F287" s="27"/>
      <c r="G287" s="28"/>
      <c r="H287" s="29"/>
      <c r="I287" s="28"/>
      <c r="J287" s="32">
        <f t="shared" si="0"/>
      </c>
    </row>
    <row r="288" spans="1:10" x14ac:dyDescent="0.25">
      <c r="A288" s="26"/>
      <c r="B288" s="29"/>
      <c r="C288" s="28"/>
      <c r="D288" s="28"/>
      <c r="E288" s="33"/>
      <c r="F288" s="27"/>
      <c r="G288" s="28"/>
      <c r="H288" s="29"/>
      <c r="I288" s="28"/>
      <c r="J288" s="32">
        <f t="shared" si="0"/>
      </c>
    </row>
    <row r="289" spans="1:10" x14ac:dyDescent="0.25">
      <c r="A289" s="26"/>
      <c r="B289" s="29"/>
      <c r="C289" s="28"/>
      <c r="D289" s="28"/>
      <c r="E289" s="33"/>
      <c r="F289" s="27"/>
      <c r="G289" s="28"/>
      <c r="H289" s="29"/>
      <c r="I289" s="28"/>
      <c r="J289" s="32">
        <f t="shared" si="0"/>
      </c>
    </row>
    <row r="290" spans="1:10" x14ac:dyDescent="0.25">
      <c r="A290" s="26"/>
      <c r="B290" s="29"/>
      <c r="C290" s="28"/>
      <c r="D290" s="28"/>
      <c r="E290" s="33"/>
      <c r="F290" s="27"/>
      <c r="G290" s="28"/>
      <c r="H290" s="29"/>
      <c r="I290" s="28"/>
      <c r="J290" s="32">
        <f t="shared" si="0"/>
      </c>
    </row>
    <row r="291" spans="1:10" x14ac:dyDescent="0.25">
      <c r="A291" s="26"/>
      <c r="B291" s="29"/>
      <c r="C291" s="28"/>
      <c r="D291" s="28"/>
      <c r="E291" s="33"/>
      <c r="F291" s="27"/>
      <c r="G291" s="28"/>
      <c r="H291" s="29"/>
      <c r="I291" s="28"/>
      <c r="J291" s="32">
        <f t="shared" si="0"/>
      </c>
    </row>
    <row r="292" spans="1:10" x14ac:dyDescent="0.25">
      <c r="A292" s="26"/>
      <c r="B292" s="29"/>
      <c r="C292" s="28"/>
      <c r="D292" s="28"/>
      <c r="E292" s="33"/>
      <c r="F292" s="27"/>
      <c r="G292" s="28"/>
      <c r="H292" s="29"/>
      <c r="I292" s="28"/>
      <c r="J292" s="32">
        <f t="shared" si="0"/>
      </c>
    </row>
    <row r="293" spans="1:10" x14ac:dyDescent="0.25">
      <c r="A293" s="26"/>
      <c r="B293" s="29"/>
      <c r="C293" s="28"/>
      <c r="D293" s="28"/>
      <c r="E293" s="33"/>
      <c r="F293" s="27"/>
      <c r="G293" s="28"/>
      <c r="H293" s="29"/>
      <c r="I293" s="28"/>
      <c r="J293" s="32">
        <f t="shared" si="0"/>
      </c>
    </row>
    <row r="294" spans="1:10" x14ac:dyDescent="0.25">
      <c r="A294" s="26"/>
      <c r="B294" s="29"/>
      <c r="C294" s="28"/>
      <c r="D294" s="28"/>
      <c r="E294" s="33"/>
      <c r="F294" s="27"/>
      <c r="G294" s="28"/>
      <c r="H294" s="29"/>
      <c r="I294" s="28"/>
      <c r="J294" s="32">
        <f t="shared" si="0"/>
      </c>
    </row>
    <row r="295" spans="1:10" x14ac:dyDescent="0.25">
      <c r="A295" s="26"/>
      <c r="B295" s="29"/>
      <c r="C295" s="28"/>
      <c r="D295" s="28"/>
      <c r="E295" s="33"/>
      <c r="F295" s="27"/>
      <c r="G295" s="28"/>
      <c r="H295" s="29"/>
      <c r="I295" s="28"/>
      <c r="J295" s="32">
        <f t="shared" si="0"/>
      </c>
    </row>
    <row r="296" spans="1:10" x14ac:dyDescent="0.25">
      <c r="A296" s="26"/>
      <c r="B296" s="29"/>
      <c r="C296" s="28"/>
      <c r="D296" s="28"/>
      <c r="E296" s="33"/>
      <c r="F296" s="27"/>
      <c r="G296" s="28"/>
      <c r="H296" s="29"/>
      <c r="I296" s="28"/>
      <c r="J296" s="32">
        <f t="shared" si="0"/>
      </c>
    </row>
    <row r="297" spans="1:10" x14ac:dyDescent="0.25">
      <c r="A297" s="26"/>
      <c r="B297" s="29"/>
      <c r="C297" s="28"/>
      <c r="D297" s="28"/>
      <c r="E297" s="33"/>
      <c r="F297" s="27"/>
      <c r="G297" s="28"/>
      <c r="H297" s="29"/>
      <c r="I297" s="28"/>
      <c r="J297" s="32">
        <f t="shared" si="0"/>
      </c>
    </row>
    <row r="298" spans="1:10" x14ac:dyDescent="0.25">
      <c r="A298" s="26"/>
      <c r="B298" s="29"/>
      <c r="C298" s="28"/>
      <c r="D298" s="28"/>
      <c r="E298" s="33"/>
      <c r="F298" s="27"/>
      <c r="G298" s="28"/>
      <c r="H298" s="29"/>
      <c r="I298" s="28"/>
      <c r="J298" s="32">
        <f t="shared" si="0"/>
      </c>
    </row>
    <row r="299" spans="1:10" x14ac:dyDescent="0.25">
      <c r="A299" s="26"/>
      <c r="B299" s="29"/>
      <c r="C299" s="28"/>
      <c r="D299" s="28"/>
      <c r="E299" s="33"/>
      <c r="F299" s="27"/>
      <c r="G299" s="28"/>
      <c r="H299" s="29"/>
      <c r="I299" s="28"/>
      <c r="J299" s="32">
        <f t="shared" si="0"/>
      </c>
    </row>
    <row r="300" spans="1:10" x14ac:dyDescent="0.25">
      <c r="A300" s="26"/>
      <c r="B300" s="29"/>
      <c r="C300" s="28"/>
      <c r="D300" s="28"/>
      <c r="E300" s="33"/>
      <c r="F300" s="27"/>
      <c r="G300" s="28"/>
      <c r="H300" s="29"/>
      <c r="I300" s="28"/>
      <c r="J300" s="32">
        <f t="shared" si="0"/>
      </c>
    </row>
    <row r="301" spans="1:10" x14ac:dyDescent="0.25">
      <c r="A301" s="26"/>
      <c r="B301" s="29"/>
      <c r="C301" s="28"/>
      <c r="D301" s="28"/>
      <c r="E301" s="33"/>
      <c r="F301" s="27"/>
      <c r="G301" s="28"/>
      <c r="H301" s="29"/>
      <c r="I301" s="28"/>
      <c r="J301" s="32">
        <f t="shared" si="0"/>
      </c>
    </row>
    <row r="302" spans="1:10" x14ac:dyDescent="0.25">
      <c r="A302" s="26"/>
      <c r="B302" s="29"/>
      <c r="C302" s="28"/>
      <c r="D302" s="28"/>
      <c r="E302" s="33"/>
      <c r="F302" s="27"/>
      <c r="G302" s="28"/>
      <c r="H302" s="29"/>
      <c r="I302" s="28"/>
      <c r="J302" s="32">
        <f t="shared" si="0"/>
      </c>
    </row>
    <row r="303" spans="1:10" x14ac:dyDescent="0.25">
      <c r="A303" s="26"/>
      <c r="B303" s="29"/>
      <c r="C303" s="28"/>
      <c r="D303" s="28"/>
      <c r="E303" s="33"/>
      <c r="F303" s="27"/>
      <c r="G303" s="28"/>
      <c r="H303" s="29"/>
      <c r="I303" s="28"/>
      <c r="J303" s="32">
        <f t="shared" si="0"/>
      </c>
    </row>
  </sheetData>
  <sheetProtection sheet="1" formatColumns="0" formatRows="0" autoFilter="0"/>
  <autoFilter ref="A3:J303"/>
  <mergeCells count="2">
    <mergeCell ref="A1:B2"/>
    <mergeCell ref="C1:I2"/>
  </mergeCells>
  <conditionalFormatting sqref="G4:G303">
    <cfRule type="expression" dxfId="79" priority="10">
      <formula>G4="OK"</formula>
    </cfRule>
    <cfRule type="expression" dxfId="80" priority="11">
      <formula>G4="Alerta"</formula>
    </cfRule>
    <cfRule type="expression" dxfId="81" priority="12">
      <formula>G4="Falha"</formula>
    </cfRule>
  </conditionalFormatting>
  <conditionalFormatting sqref="J4:J303">
    <cfRule type="expression" dxfId="82" priority="1">
      <formula>OR(LEFT(J4,4)="ERRO",LEFT(J4,7)="ATENÇÃO")</formula>
    </cfRule>
    <cfRule type="expression" dxfId="83" priority="2">
      <formula>OR(LEFT(J4,8)="Pendente",LEFT(J4,9)="Verificar",LEFT(J4,9)="Duplicada",LEFT(J4,7)="Tarefa ",LEFT(J4,13)="Fora do plano",LEFT(J4,8)="Previsão",LEFT(J4,11)="Sem vínculo",LEFT(J4,14)="Não verificado",LEFT(J4,7)="Informe",LEFT(J4,9)="A definir")</formula>
    </cfRule>
    <cfRule type="expression" dxfId="84" priority="3">
      <formula>OR(J4="OK",LEFT(J4,4)="Nada",LEFT(J4,3)="OK:")</formula>
    </cfRule>
  </conditionalFormatting>
  <dataValidations count="5">
    <dataValidation type="list" allowBlank="1" showErrorMessage="1" errorStyle="stop" errorTitle="Valor fora da lista" error="Escolha um item da lista suspensa (aba Listas)." sqref="C4:C303">
      <formula1>"Diária,Semanal,Mensal"</formula1>
    </dataValidation>
    <dataValidation type="list" allowBlank="1" showErrorMessage="1" errorStyle="stop" errorTitle="Valor fora da lista" error="Escolha um item da lista suspensa (aba Listas)." sqref="D4:D303">
      <formula1>"1º,2º,3º"</formula1>
    </dataValidation>
    <dataValidation type="date" allowBlank="1" showErrorMessage="1" errorStyle="stop" errorTitle="Data inválida" error="Digite uma data válida no formato dd/mm/aaaa." sqref="E4:E303">
      <formula1>32874</formula1>
      <formula2>73050</formula2>
    </dataValidation>
    <dataValidation type="list" allowBlank="1" showErrorMessage="1" errorStyle="stop" errorTitle="Valor fora da lista" error="Escolha um item da lista suspensa (aba Listas)." sqref="G4:G303">
      <formula1>"OK,Alerta,Falha"</formula1>
    </dataValidation>
    <dataValidation type="list" allowBlank="1" showErrorMessage="1" errorStyle="stop" errorTitle="Valor fora da lista" error="Escolha um item da lista suspensa (aba Listas)." sqref="I4:I303">
      <formula1>"Sim,Não,Não se aplica"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14" customWidth="1"/>
    <col min="4" max="4" width="16" customWidth="1"/>
    <col min="5" max="5" width="26" customWidth="1"/>
    <col min="6" max="6" width="16" customWidth="1"/>
    <col min="7" max="7" width="14" customWidth="1"/>
    <col min="8" max="8" width="18" customWidth="1"/>
  </cols>
  <sheetData>
    <row r="1" ht="36" customHeight="1" spans="1:8" x14ac:dyDescent="0.25">
      <c r="A1" s="1"/>
      <c r="B1" s="1"/>
      <c r="C1" s="2" t="s">
        <v>233</v>
      </c>
      <c r="D1" s="2"/>
      <c r="E1" s="2"/>
      <c r="F1" s="2"/>
      <c r="G1" s="2"/>
      <c r="H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8" x14ac:dyDescent="0.25">
      <c r="A2" s="1"/>
      <c r="B2" s="1"/>
      <c r="C2" s="2"/>
      <c r="D2" s="2"/>
      <c r="E2" s="2"/>
      <c r="F2" s="2"/>
      <c r="G2" s="2"/>
      <c r="H2" s="4">
        <f>"Elaborado: "&amp;IF(cfg_elaborado="","A definir",cfg_elaborado)&amp;CHAR(10)&amp;"Aprovado: "&amp;IF(cfg_aprovado="","A definir",cfg_aprovado)</f>
      </c>
    </row>
    <row r="3" ht="8" customHeight="1" x14ac:dyDescent="0.25"/>
    <row r="4" ht="20" customHeight="1" spans="1:8" x14ac:dyDescent="0.25">
      <c r="A4" s="5" t="s">
        <v>234</v>
      </c>
      <c r="B4" s="5"/>
      <c r="C4" s="5"/>
      <c r="D4" s="5"/>
      <c r="E4" s="5"/>
      <c r="F4" s="5"/>
      <c r="G4" s="5"/>
      <c r="H4" s="5"/>
    </row>
    <row r="5" ht="20" customHeight="1" spans="1:8" x14ac:dyDescent="0.25">
      <c r="A5" s="9" t="s">
        <v>235</v>
      </c>
      <c r="B5" s="36"/>
      <c r="C5" s="36"/>
      <c r="D5" s="36"/>
      <c r="E5" s="9" t="s">
        <v>132</v>
      </c>
      <c r="F5" s="14"/>
      <c r="G5" s="14"/>
      <c r="H5" s="14"/>
    </row>
    <row r="6" ht="20" customHeight="1" spans="1:8" x14ac:dyDescent="0.25">
      <c r="A6" s="9" t="s">
        <v>110</v>
      </c>
      <c r="B6" s="36"/>
      <c r="C6" s="36"/>
      <c r="D6" s="36"/>
      <c r="E6" s="9" t="s">
        <v>236</v>
      </c>
      <c r="F6" s="36"/>
      <c r="G6" s="36"/>
      <c r="H6" s="36"/>
    </row>
    <row r="7" ht="20" customHeight="1" spans="1:8" x14ac:dyDescent="0.25">
      <c r="A7" s="9" t="s">
        <v>237</v>
      </c>
      <c r="B7" s="36"/>
      <c r="C7" s="36"/>
      <c r="D7" s="36"/>
      <c r="E7" s="9" t="s">
        <v>238</v>
      </c>
      <c r="F7" s="36"/>
      <c r="G7" s="36"/>
      <c r="H7" s="36"/>
    </row>
    <row r="9" ht="20" customHeight="1" spans="1:8" x14ac:dyDescent="0.25">
      <c r="A9" s="5" t="s">
        <v>239</v>
      </c>
      <c r="B9" s="5"/>
      <c r="C9" s="5"/>
      <c r="D9" s="5"/>
      <c r="E9" s="5" t="s">
        <v>240</v>
      </c>
      <c r="F9" s="5"/>
      <c r="G9" s="5"/>
      <c r="H9" s="5"/>
    </row>
    <row r="10" ht="80" customHeight="1" spans="1:8" x14ac:dyDescent="0.25">
      <c r="A10" s="37"/>
      <c r="B10" s="37"/>
      <c r="C10" s="37"/>
      <c r="D10" s="37"/>
      <c r="E10" s="37"/>
      <c r="F10" s="37"/>
      <c r="G10" s="37"/>
      <c r="H10" s="37"/>
    </row>
    <row r="11" ht="20" customHeight="1" spans="1:8" x14ac:dyDescent="0.25">
      <c r="A11" s="5" t="s">
        <v>241</v>
      </c>
      <c r="B11" s="5"/>
      <c r="C11" s="5"/>
      <c r="D11" s="5"/>
      <c r="E11" s="5" t="s">
        <v>242</v>
      </c>
      <c r="F11" s="5"/>
      <c r="G11" s="5"/>
      <c r="H11" s="5"/>
    </row>
    <row r="12" ht="80" customHeight="1" spans="1:8" x14ac:dyDescent="0.25">
      <c r="A12" s="37"/>
      <c r="B12" s="37"/>
      <c r="C12" s="37"/>
      <c r="D12" s="37"/>
      <c r="E12" s="37"/>
      <c r="F12" s="37"/>
      <c r="G12" s="37"/>
      <c r="H12" s="37"/>
    </row>
    <row r="14" ht="20" customHeight="1" spans="1:8" x14ac:dyDescent="0.25">
      <c r="A14" s="5" t="s">
        <v>243</v>
      </c>
      <c r="B14" s="5"/>
      <c r="C14" s="5"/>
      <c r="D14" s="5"/>
      <c r="E14" s="5"/>
      <c r="F14" s="5"/>
      <c r="G14" s="5"/>
      <c r="H14" s="5"/>
    </row>
    <row r="15" ht="22" customHeight="1" spans="1:8" x14ac:dyDescent="0.25">
      <c r="A15" s="8" t="s">
        <v>244</v>
      </c>
      <c r="B15" s="8"/>
      <c r="C15" s="8"/>
      <c r="D15" s="8" t="s">
        <v>245</v>
      </c>
      <c r="E15" s="8" t="s">
        <v>246</v>
      </c>
      <c r="F15" s="8" t="s">
        <v>247</v>
      </c>
      <c r="G15" s="8" t="s">
        <v>121</v>
      </c>
      <c r="H15" s="8"/>
    </row>
    <row r="16" ht="20" customHeight="1" spans="1:8" x14ac:dyDescent="0.25">
      <c r="A16" s="36"/>
      <c r="B16" s="36"/>
      <c r="C16" s="36"/>
      <c r="D16" s="36"/>
      <c r="E16" s="16"/>
      <c r="F16" s="36"/>
      <c r="G16" s="36"/>
      <c r="H16" s="36"/>
    </row>
    <row r="17" ht="20" customHeight="1" spans="1:8" x14ac:dyDescent="0.25">
      <c r="A17" s="36"/>
      <c r="B17" s="36"/>
      <c r="C17" s="36"/>
      <c r="D17" s="36"/>
      <c r="E17" s="16"/>
      <c r="F17" s="36"/>
      <c r="G17" s="36"/>
      <c r="H17" s="36"/>
    </row>
    <row r="18" ht="20" customHeight="1" spans="1:8" x14ac:dyDescent="0.25">
      <c r="A18" s="36"/>
      <c r="B18" s="36"/>
      <c r="C18" s="36"/>
      <c r="D18" s="36"/>
      <c r="E18" s="16"/>
      <c r="F18" s="36"/>
      <c r="G18" s="36"/>
      <c r="H18" s="36"/>
    </row>
    <row r="19" ht="20" customHeight="1" spans="1:8" x14ac:dyDescent="0.25">
      <c r="A19" s="36"/>
      <c r="B19" s="36"/>
      <c r="C19" s="36"/>
      <c r="D19" s="36"/>
      <c r="E19" s="16"/>
      <c r="F19" s="36"/>
      <c r="G19" s="36"/>
      <c r="H19" s="36"/>
    </row>
    <row r="20" ht="20" customHeight="1" spans="1:8" x14ac:dyDescent="0.25">
      <c r="A20" s="36"/>
      <c r="B20" s="36"/>
      <c r="C20" s="36"/>
      <c r="D20" s="36"/>
      <c r="E20" s="16"/>
      <c r="F20" s="36"/>
      <c r="G20" s="36"/>
      <c r="H20" s="36"/>
    </row>
    <row r="22" ht="20" customHeight="1" spans="1:8" x14ac:dyDescent="0.25">
      <c r="A22" s="5" t="s">
        <v>248</v>
      </c>
      <c r="B22" s="5"/>
      <c r="C22" s="5"/>
      <c r="D22" s="5"/>
      <c r="E22" s="5" t="s">
        <v>249</v>
      </c>
      <c r="F22" s="5"/>
      <c r="G22" s="5"/>
      <c r="H22" s="5"/>
    </row>
    <row r="23" ht="80" customHeight="1" spans="1:8" x14ac:dyDescent="0.25">
      <c r="A23" s="37"/>
      <c r="B23" s="37"/>
      <c r="C23" s="37"/>
      <c r="D23" s="37"/>
      <c r="E23" s="37"/>
      <c r="F23" s="37"/>
      <c r="G23" s="37"/>
      <c r="H23" s="37"/>
    </row>
    <row r="25" ht="20" customHeight="1" spans="1:8" x14ac:dyDescent="0.25">
      <c r="A25" s="5" t="s">
        <v>250</v>
      </c>
      <c r="B25" s="5"/>
      <c r="C25" s="5"/>
      <c r="D25" s="5"/>
      <c r="E25" s="5"/>
      <c r="F25" s="5"/>
      <c r="G25" s="5"/>
      <c r="H25" s="5"/>
    </row>
    <row r="26" ht="22" customHeight="1" spans="1:8" x14ac:dyDescent="0.25">
      <c r="A26" s="8" t="s">
        <v>148</v>
      </c>
      <c r="B26" s="8" t="s">
        <v>215</v>
      </c>
      <c r="C26" s="8"/>
      <c r="D26" s="8"/>
      <c r="E26" s="8" t="s">
        <v>216</v>
      </c>
      <c r="F26" s="8"/>
      <c r="G26" s="8" t="s">
        <v>132</v>
      </c>
      <c r="H26" s="8"/>
    </row>
    <row r="27" ht="26" customHeight="1" spans="1:8" x14ac:dyDescent="0.25">
      <c r="A27" s="9" t="s">
        <v>251</v>
      </c>
      <c r="B27" s="36"/>
      <c r="C27" s="36"/>
      <c r="D27" s="36"/>
      <c r="E27" s="36"/>
      <c r="F27" s="36"/>
      <c r="G27" s="16"/>
      <c r="H27" s="16"/>
    </row>
    <row r="28" ht="26" customHeight="1" spans="1:8" x14ac:dyDescent="0.25">
      <c r="A28" s="9" t="s">
        <v>236</v>
      </c>
      <c r="B28" s="36"/>
      <c r="C28" s="36"/>
      <c r="D28" s="36"/>
      <c r="E28" s="36"/>
      <c r="F28" s="36"/>
      <c r="G28" s="16"/>
      <c r="H28" s="16"/>
    </row>
  </sheetData>
  <sheetProtection sheet="1" formatColumns="0" formatRows="0" autoFilter="0"/>
  <mergeCells count="44">
    <mergeCell ref="A1:B2"/>
    <mergeCell ref="C1:G2"/>
    <mergeCell ref="A4:H4"/>
    <mergeCell ref="B5:D5"/>
    <mergeCell ref="F5:H5"/>
    <mergeCell ref="B6:D6"/>
    <mergeCell ref="F6:H6"/>
    <mergeCell ref="B7:D7"/>
    <mergeCell ref="F7:H7"/>
    <mergeCell ref="A9:D9"/>
    <mergeCell ref="E9:H9"/>
    <mergeCell ref="A10:D10"/>
    <mergeCell ref="E10:H10"/>
    <mergeCell ref="A11:D11"/>
    <mergeCell ref="E11:H11"/>
    <mergeCell ref="A12:D12"/>
    <mergeCell ref="E12:H12"/>
    <mergeCell ref="A14:H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  <mergeCell ref="A20:C20"/>
    <mergeCell ref="G20:H20"/>
    <mergeCell ref="A22:D22"/>
    <mergeCell ref="E22:H22"/>
    <mergeCell ref="A23:D23"/>
    <mergeCell ref="E23:H23"/>
    <mergeCell ref="A25:H25"/>
    <mergeCell ref="B26:D26"/>
    <mergeCell ref="E26:F26"/>
    <mergeCell ref="G26:H26"/>
    <mergeCell ref="B27:D27"/>
    <mergeCell ref="E27:F27"/>
    <mergeCell ref="G27:H27"/>
    <mergeCell ref="B28:D28"/>
    <mergeCell ref="E28:F28"/>
    <mergeCell ref="G28:H28"/>
  </mergeCells>
  <dataValidations count="2">
    <dataValidation type="date" allowBlank="1" showErrorMessage="1" errorTitle="Data inválida" error="Digite uma data válida." sqref="E16:E20">
      <formula1>32874</formula1>
      <formula2>73050</formula2>
    </dataValidation>
    <dataValidation type="list" allowBlank="1" showErrorMessage="1" errorTitle="Valor fora da lista" error="Escolha um status." sqref="G16:G20">
      <formula1>OFFSET(lst_status_acao,0,0,MAX(1,COUNTA(lst_status_acao)),1)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1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0" customWidth="1"/>
    <col min="2" max="6" width="7" customWidth="1"/>
    <col min="7" max="7" width="3" customWidth="1"/>
    <col min="8" max="8" width="20" customWidth="1"/>
    <col min="9" max="9" width="3" customWidth="1"/>
    <col min="10" max="10" width="24" customWidth="1"/>
    <col min="11" max="11" width="3" customWidth="1"/>
    <col min="12" max="12" width="24" customWidth="1"/>
    <col min="13" max="13" width="3" customWidth="1"/>
    <col min="14" max="14" width="20" customWidth="1"/>
    <col min="15" max="15" width="3" customWidth="1"/>
    <col min="16" max="16" width="24" customWidth="1"/>
    <col min="17" max="17" width="3" customWidth="1"/>
    <col min="18" max="18" width="18" customWidth="1"/>
    <col min="19" max="19" width="3" customWidth="1"/>
    <col min="20" max="20" width="16" customWidth="1"/>
  </cols>
  <sheetData>
    <row r="1" ht="36" customHeight="1" spans="1:20" x14ac:dyDescent="0.25">
      <c r="A1" s="1"/>
      <c r="B1" s="1"/>
      <c r="C1" s="2" t="s">
        <v>252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20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4">
        <f>"Elaborado: "&amp;IF(cfg_elaborado="","A definir",cfg_elaborado)&amp;CHAR(10)&amp;"Aprovado: "&amp;IF(cfg_aprovado="","A definir",cfg_aprovado)</f>
      </c>
    </row>
    <row r="3" ht="30" customHeight="1" spans="1:20" x14ac:dyDescent="0.25">
      <c r="A3" s="8" t="s">
        <v>253</v>
      </c>
      <c r="B3" s="8" t="s">
        <v>254</v>
      </c>
      <c r="C3" s="8" t="s">
        <v>255</v>
      </c>
      <c r="D3" s="8" t="s">
        <v>256</v>
      </c>
      <c r="E3" s="8" t="s">
        <v>257</v>
      </c>
      <c r="F3" s="8" t="s">
        <v>258</v>
      </c>
      <c r="H3" s="8" t="s">
        <v>148</v>
      </c>
      <c r="J3" s="8" t="s">
        <v>259</v>
      </c>
      <c r="L3" s="8" t="s">
        <v>158</v>
      </c>
      <c r="N3" s="8" t="s">
        <v>260</v>
      </c>
      <c r="P3" s="8" t="s">
        <v>261</v>
      </c>
      <c r="R3" s="8" t="s">
        <v>262</v>
      </c>
      <c r="T3" s="8" t="s">
        <v>263</v>
      </c>
    </row>
    <row r="4" spans="1:20" x14ac:dyDescent="0.25">
      <c r="A4" s="45" t="s">
        <v>264</v>
      </c>
      <c r="B4" s="46">
        <v>3</v>
      </c>
      <c r="C4" s="46">
        <v>4</v>
      </c>
      <c r="D4" s="46">
        <v>5</v>
      </c>
      <c r="E4" s="46">
        <v>5</v>
      </c>
      <c r="F4" s="46">
        <v>5</v>
      </c>
      <c r="H4" s="27" t="s">
        <v>265</v>
      </c>
      <c r="J4" s="27" t="s">
        <v>266</v>
      </c>
      <c r="L4" s="27" t="s">
        <v>267</v>
      </c>
      <c r="N4" s="27"/>
      <c r="P4" s="27" t="s">
        <v>268</v>
      </c>
      <c r="R4" s="27" t="s">
        <v>269</v>
      </c>
      <c r="T4" s="45" t="s">
        <v>270</v>
      </c>
    </row>
    <row r="5" spans="1:20" x14ac:dyDescent="0.25">
      <c r="A5" s="45" t="s">
        <v>271</v>
      </c>
      <c r="B5" s="46">
        <v>2</v>
      </c>
      <c r="C5" s="46">
        <v>3</v>
      </c>
      <c r="D5" s="46">
        <v>4</v>
      </c>
      <c r="E5" s="46">
        <v>5</v>
      </c>
      <c r="F5" s="46">
        <v>5</v>
      </c>
      <c r="H5" s="27" t="s">
        <v>272</v>
      </c>
      <c r="J5" s="27" t="s">
        <v>273</v>
      </c>
      <c r="L5" s="27" t="s">
        <v>274</v>
      </c>
      <c r="N5" s="27"/>
      <c r="P5" s="27" t="s">
        <v>275</v>
      </c>
      <c r="R5" s="27" t="s">
        <v>276</v>
      </c>
      <c r="T5" s="45" t="s">
        <v>277</v>
      </c>
    </row>
    <row r="6" spans="1:20" x14ac:dyDescent="0.25">
      <c r="A6" s="45" t="s">
        <v>278</v>
      </c>
      <c r="B6" s="46">
        <v>2</v>
      </c>
      <c r="C6" s="46">
        <v>2</v>
      </c>
      <c r="D6" s="46">
        <v>3</v>
      </c>
      <c r="E6" s="46">
        <v>4</v>
      </c>
      <c r="F6" s="46">
        <v>5</v>
      </c>
      <c r="H6" s="27" t="s">
        <v>279</v>
      </c>
      <c r="J6" s="27" t="s">
        <v>280</v>
      </c>
      <c r="L6" s="27" t="s">
        <v>281</v>
      </c>
      <c r="N6" s="27"/>
      <c r="P6" s="27" t="s">
        <v>282</v>
      </c>
      <c r="R6" s="27" t="s">
        <v>283</v>
      </c>
      <c r="T6" s="45" t="s">
        <v>284</v>
      </c>
    </row>
    <row r="7" spans="1:20" x14ac:dyDescent="0.25">
      <c r="A7" s="45" t="s">
        <v>285</v>
      </c>
      <c r="B7" s="46">
        <v>1</v>
      </c>
      <c r="C7" s="46">
        <v>2</v>
      </c>
      <c r="D7" s="46">
        <v>2</v>
      </c>
      <c r="E7" s="46">
        <v>3</v>
      </c>
      <c r="F7" s="46">
        <v>4</v>
      </c>
      <c r="H7" s="27" t="s">
        <v>286</v>
      </c>
      <c r="J7" s="27" t="s">
        <v>287</v>
      </c>
      <c r="L7" s="27" t="s">
        <v>288</v>
      </c>
      <c r="N7" s="27"/>
      <c r="P7" s="27" t="s">
        <v>289</v>
      </c>
      <c r="R7" s="27" t="s">
        <v>290</v>
      </c>
      <c r="T7" s="45"/>
    </row>
    <row r="8" spans="1:20" x14ac:dyDescent="0.25">
      <c r="A8" s="45" t="s">
        <v>291</v>
      </c>
      <c r="B8" s="46">
        <v>1</v>
      </c>
      <c r="C8" s="46">
        <v>1</v>
      </c>
      <c r="D8" s="46">
        <v>2</v>
      </c>
      <c r="E8" s="46">
        <v>2</v>
      </c>
      <c r="F8" s="46">
        <v>3</v>
      </c>
      <c r="H8" s="27" t="s">
        <v>230</v>
      </c>
      <c r="J8" s="27" t="s">
        <v>292</v>
      </c>
      <c r="L8" s="27" t="s">
        <v>293</v>
      </c>
      <c r="N8" s="27"/>
      <c r="P8" s="27" t="s">
        <v>294</v>
      </c>
      <c r="R8" s="27"/>
      <c r="T8" s="45"/>
    </row>
    <row r="9" spans="1:20" x14ac:dyDescent="0.25">
      <c r="A9" s="45"/>
      <c r="B9" s="46"/>
      <c r="C9" s="46"/>
      <c r="D9" s="46"/>
      <c r="E9" s="46"/>
      <c r="F9" s="46"/>
      <c r="H9" s="27" t="s">
        <v>295</v>
      </c>
      <c r="J9" s="27" t="s">
        <v>296</v>
      </c>
      <c r="L9" s="27" t="s">
        <v>297</v>
      </c>
      <c r="N9" s="27"/>
      <c r="P9" s="27" t="s">
        <v>290</v>
      </c>
      <c r="R9" s="27"/>
      <c r="T9" s="45"/>
    </row>
    <row r="10" spans="1:20" x14ac:dyDescent="0.25">
      <c r="A10" s="45"/>
      <c r="B10" s="46"/>
      <c r="C10" s="46"/>
      <c r="D10" s="46"/>
      <c r="E10" s="46"/>
      <c r="F10" s="46"/>
      <c r="H10" s="27" t="s">
        <v>298</v>
      </c>
      <c r="J10" s="27" t="s">
        <v>299</v>
      </c>
      <c r="L10" s="27" t="s">
        <v>300</v>
      </c>
      <c r="N10" s="27"/>
      <c r="P10" s="27"/>
      <c r="R10" s="27"/>
      <c r="T10" s="45"/>
    </row>
    <row r="11" spans="1:20" x14ac:dyDescent="0.25">
      <c r="A11" s="45"/>
      <c r="B11" s="46"/>
      <c r="C11" s="46"/>
      <c r="D11" s="46"/>
      <c r="E11" s="46"/>
      <c r="F11" s="46"/>
      <c r="H11" s="27" t="s">
        <v>301</v>
      </c>
      <c r="J11" s="27" t="s">
        <v>302</v>
      </c>
      <c r="L11" s="27" t="s">
        <v>303</v>
      </c>
      <c r="N11" s="27"/>
      <c r="P11" s="27"/>
      <c r="R11" s="27"/>
      <c r="T11" s="45"/>
    </row>
    <row r="12" spans="1:20" x14ac:dyDescent="0.25">
      <c r="A12" s="45"/>
      <c r="B12" s="46"/>
      <c r="C12" s="46"/>
      <c r="D12" s="46"/>
      <c r="E12" s="46"/>
      <c r="F12" s="46"/>
      <c r="H12" s="27" t="s">
        <v>304</v>
      </c>
      <c r="J12" s="27" t="s">
        <v>305</v>
      </c>
      <c r="L12" s="27"/>
      <c r="N12" s="27"/>
      <c r="P12" s="27"/>
      <c r="R12" s="27"/>
      <c r="T12" s="45"/>
    </row>
    <row r="13" spans="1:20" x14ac:dyDescent="0.25">
      <c r="A13" s="45"/>
      <c r="B13" s="46"/>
      <c r="C13" s="46"/>
      <c r="D13" s="46"/>
      <c r="E13" s="46"/>
      <c r="F13" s="46"/>
      <c r="H13" s="27"/>
      <c r="J13" s="27" t="s">
        <v>306</v>
      </c>
      <c r="L13" s="27"/>
      <c r="N13" s="27"/>
      <c r="P13" s="27"/>
      <c r="R13" s="27"/>
      <c r="T13" s="45"/>
    </row>
    <row r="14" spans="1:20" x14ac:dyDescent="0.25">
      <c r="A14" s="45"/>
      <c r="B14" s="46"/>
      <c r="C14" s="46"/>
      <c r="D14" s="46"/>
      <c r="E14" s="46"/>
      <c r="F14" s="46"/>
      <c r="H14" s="27"/>
      <c r="J14" s="27" t="s">
        <v>290</v>
      </c>
      <c r="L14" s="27"/>
      <c r="N14" s="27"/>
      <c r="P14" s="27"/>
      <c r="R14" s="27"/>
      <c r="T14" s="45"/>
    </row>
    <row r="15" spans="1:20" x14ac:dyDescent="0.25">
      <c r="A15" s="45"/>
      <c r="B15" s="46"/>
      <c r="C15" s="46"/>
      <c r="D15" s="46"/>
      <c r="E15" s="46"/>
      <c r="F15" s="46"/>
      <c r="H15" s="27"/>
      <c r="J15" s="27"/>
      <c r="L15" s="27"/>
      <c r="N15" s="27"/>
      <c r="P15" s="27"/>
      <c r="R15" s="27"/>
      <c r="T15" s="45"/>
    </row>
    <row r="16" spans="1:20" x14ac:dyDescent="0.25">
      <c r="A16" s="45"/>
      <c r="B16" s="46"/>
      <c r="C16" s="46"/>
      <c r="D16" s="46"/>
      <c r="E16" s="46"/>
      <c r="F16" s="46"/>
      <c r="H16" s="27"/>
      <c r="J16" s="27"/>
      <c r="L16" s="27"/>
      <c r="N16" s="27"/>
      <c r="P16" s="27"/>
      <c r="R16" s="27"/>
      <c r="T16" s="45"/>
    </row>
    <row r="17" spans="1:20" x14ac:dyDescent="0.25">
      <c r="A17" s="45"/>
      <c r="B17" s="46"/>
      <c r="C17" s="46"/>
      <c r="D17" s="46"/>
      <c r="E17" s="46"/>
      <c r="F17" s="46"/>
      <c r="H17" s="27"/>
      <c r="J17" s="27"/>
      <c r="L17" s="27"/>
      <c r="N17" s="27"/>
      <c r="P17" s="27"/>
      <c r="R17" s="27"/>
      <c r="T17" s="45"/>
    </row>
    <row r="18" spans="1:20" x14ac:dyDescent="0.25">
      <c r="A18" s="45"/>
      <c r="B18" s="46"/>
      <c r="C18" s="46"/>
      <c r="D18" s="46"/>
      <c r="E18" s="46"/>
      <c r="F18" s="46"/>
      <c r="H18" s="27"/>
      <c r="J18" s="27"/>
      <c r="L18" s="27"/>
      <c r="N18" s="27"/>
      <c r="P18" s="27"/>
      <c r="R18" s="27"/>
      <c r="T18" s="45"/>
    </row>
    <row r="19" spans="1:20" x14ac:dyDescent="0.25">
      <c r="A19" s="45"/>
      <c r="B19" s="46"/>
      <c r="C19" s="46"/>
      <c r="D19" s="46"/>
      <c r="E19" s="46"/>
      <c r="F19" s="46"/>
      <c r="H19" s="27"/>
      <c r="J19" s="27"/>
      <c r="L19" s="27"/>
      <c r="N19" s="27"/>
      <c r="P19" s="27"/>
      <c r="R19" s="27"/>
      <c r="T19" s="45"/>
    </row>
    <row r="20" spans="1:20" x14ac:dyDescent="0.25">
      <c r="A20" s="45"/>
      <c r="B20" s="46"/>
      <c r="C20" s="46"/>
      <c r="D20" s="46"/>
      <c r="E20" s="46"/>
      <c r="F20" s="46"/>
      <c r="H20" s="27"/>
      <c r="J20" s="27"/>
      <c r="L20" s="27"/>
      <c r="N20" s="27"/>
      <c r="P20" s="27"/>
      <c r="R20" s="27"/>
      <c r="T20" s="45"/>
    </row>
    <row r="21" spans="1:20" x14ac:dyDescent="0.25">
      <c r="A21" s="45"/>
      <c r="B21" s="46"/>
      <c r="C21" s="46"/>
      <c r="D21" s="46"/>
      <c r="E21" s="46"/>
      <c r="F21" s="46"/>
      <c r="H21" s="27"/>
      <c r="J21" s="27"/>
      <c r="L21" s="27"/>
      <c r="N21" s="27"/>
      <c r="P21" s="27"/>
      <c r="R21" s="27"/>
      <c r="T21" s="45"/>
    </row>
    <row r="22" spans="1:20" x14ac:dyDescent="0.25">
      <c r="A22" s="45"/>
      <c r="B22" s="46"/>
      <c r="C22" s="46"/>
      <c r="D22" s="46"/>
      <c r="E22" s="46"/>
      <c r="F22" s="46"/>
      <c r="H22" s="27"/>
      <c r="J22" s="27"/>
      <c r="L22" s="27"/>
      <c r="N22" s="27"/>
      <c r="P22" s="27"/>
      <c r="R22" s="27"/>
      <c r="T22" s="45"/>
    </row>
    <row r="23" spans="1:20" x14ac:dyDescent="0.25">
      <c r="A23" s="45"/>
      <c r="B23" s="46"/>
      <c r="C23" s="46"/>
      <c r="D23" s="46"/>
      <c r="E23" s="46"/>
      <c r="F23" s="46"/>
      <c r="H23" s="27"/>
      <c r="J23" s="27"/>
      <c r="L23" s="27"/>
      <c r="N23" s="27"/>
      <c r="P23" s="27"/>
      <c r="R23" s="27"/>
      <c r="T23" s="45"/>
    </row>
    <row r="24" spans="1:20" x14ac:dyDescent="0.25">
      <c r="A24" s="45"/>
      <c r="B24" s="46"/>
      <c r="C24" s="46"/>
      <c r="D24" s="46"/>
      <c r="E24" s="46"/>
      <c r="F24" s="46"/>
      <c r="H24" s="27"/>
      <c r="J24" s="27"/>
      <c r="L24" s="27"/>
      <c r="N24" s="27"/>
      <c r="P24" s="27"/>
      <c r="R24" s="27"/>
      <c r="T24" s="45"/>
    </row>
    <row r="25" spans="1:20" x14ac:dyDescent="0.25">
      <c r="A25" s="45"/>
      <c r="B25" s="46"/>
      <c r="C25" s="46"/>
      <c r="D25" s="46"/>
      <c r="E25" s="46"/>
      <c r="F25" s="46"/>
      <c r="H25" s="27"/>
      <c r="J25" s="27"/>
      <c r="L25" s="27"/>
      <c r="N25" s="27"/>
      <c r="P25" s="27"/>
      <c r="R25" s="27"/>
      <c r="T25" s="45"/>
    </row>
    <row r="26" spans="1:20" x14ac:dyDescent="0.25">
      <c r="A26" s="45"/>
      <c r="B26" s="46"/>
      <c r="C26" s="46"/>
      <c r="D26" s="46"/>
      <c r="E26" s="46"/>
      <c r="F26" s="46"/>
      <c r="H26" s="27"/>
      <c r="J26" s="27"/>
      <c r="L26" s="27"/>
      <c r="N26" s="27"/>
      <c r="P26" s="27"/>
      <c r="R26" s="27"/>
      <c r="T26" s="45"/>
    </row>
    <row r="27" spans="1:20" x14ac:dyDescent="0.25">
      <c r="A27" s="45"/>
      <c r="B27" s="46"/>
      <c r="C27" s="46"/>
      <c r="D27" s="46"/>
      <c r="E27" s="46"/>
      <c r="F27" s="46"/>
      <c r="H27" s="27"/>
      <c r="J27" s="27"/>
      <c r="L27" s="27"/>
      <c r="N27" s="27"/>
      <c r="P27" s="27"/>
      <c r="R27" s="27"/>
      <c r="T27" s="45"/>
    </row>
    <row r="28" spans="1:20" x14ac:dyDescent="0.25">
      <c r="A28" s="45"/>
      <c r="B28" s="46"/>
      <c r="C28" s="46"/>
      <c r="D28" s="46"/>
      <c r="E28" s="46"/>
      <c r="F28" s="46"/>
      <c r="H28" s="27"/>
      <c r="J28" s="27"/>
      <c r="L28" s="27"/>
      <c r="N28" s="27"/>
      <c r="P28" s="27"/>
      <c r="R28" s="27"/>
      <c r="T28" s="45"/>
    </row>
    <row r="29" spans="1:20" x14ac:dyDescent="0.25">
      <c r="A29" s="45"/>
      <c r="B29" s="46"/>
      <c r="C29" s="46"/>
      <c r="D29" s="46"/>
      <c r="E29" s="46"/>
      <c r="F29" s="46"/>
      <c r="H29" s="27"/>
      <c r="J29" s="27"/>
      <c r="L29" s="27"/>
      <c r="N29" s="27"/>
      <c r="P29" s="27"/>
      <c r="R29" s="27"/>
      <c r="T29" s="45"/>
    </row>
    <row r="30" spans="1:20" x14ac:dyDescent="0.25">
      <c r="A30" s="45"/>
      <c r="B30" s="46"/>
      <c r="C30" s="46"/>
      <c r="D30" s="46"/>
      <c r="E30" s="46"/>
      <c r="F30" s="46"/>
      <c r="H30" s="27"/>
      <c r="J30" s="27"/>
      <c r="L30" s="27"/>
      <c r="N30" s="27"/>
      <c r="P30" s="27"/>
      <c r="R30" s="27"/>
      <c r="T30" s="45"/>
    </row>
    <row r="31" spans="1:20" x14ac:dyDescent="0.25">
      <c r="A31" s="45"/>
      <c r="B31" s="46"/>
      <c r="C31" s="46"/>
      <c r="D31" s="46"/>
      <c r="E31" s="46"/>
      <c r="F31" s="46"/>
      <c r="H31" s="27"/>
      <c r="J31" s="27"/>
      <c r="L31" s="27"/>
      <c r="N31" s="27"/>
      <c r="P31" s="27"/>
      <c r="R31" s="27"/>
      <c r="T31" s="45"/>
    </row>
    <row r="32" spans="1:20" x14ac:dyDescent="0.25">
      <c r="A32" s="45"/>
      <c r="B32" s="46"/>
      <c r="C32" s="46"/>
      <c r="D32" s="46"/>
      <c r="E32" s="46"/>
      <c r="F32" s="46"/>
      <c r="H32" s="27"/>
      <c r="J32" s="27"/>
      <c r="L32" s="27"/>
      <c r="N32" s="27"/>
      <c r="P32" s="27"/>
      <c r="R32" s="27"/>
      <c r="T32" s="45"/>
    </row>
    <row r="33" spans="1:20" x14ac:dyDescent="0.25">
      <c r="A33" s="45"/>
      <c r="B33" s="46"/>
      <c r="C33" s="46"/>
      <c r="D33" s="46"/>
      <c r="E33" s="46"/>
      <c r="F33" s="46"/>
      <c r="H33" s="27"/>
      <c r="J33" s="27"/>
      <c r="L33" s="27"/>
      <c r="N33" s="27"/>
      <c r="P33" s="27"/>
      <c r="R33" s="27"/>
      <c r="T33" s="45"/>
    </row>
  </sheetData>
  <sheetProtection sheet="1" formatColumns="0" formatRows="0" autoFilter="0"/>
  <mergeCells count="2">
    <mergeCell ref="A1:B2"/>
    <mergeCell ref="C1:S2"/>
  </mergeCells>
  <conditionalFormatting sqref="A4:A33">
    <cfRule type="expression" dxfId="85" priority="1">
      <formula>AND(A4&lt;&gt;"",COUNTIF(A$4:A$33,A4)&gt;1)</formula>
    </cfRule>
  </conditionalFormatting>
  <conditionalFormatting sqref="H4:H33">
    <cfRule type="expression" dxfId="86" priority="1">
      <formula>AND(H4&lt;&gt;"",COUNTIF(H$4:H$33,H4)&gt;1)</formula>
    </cfRule>
  </conditionalFormatting>
  <conditionalFormatting sqref="J4:J33">
    <cfRule type="expression" dxfId="87" priority="1">
      <formula>AND(J4&lt;&gt;"",COUNTIF(J$4:J$33,J4)&gt;1)</formula>
    </cfRule>
  </conditionalFormatting>
  <conditionalFormatting sqref="L4:L33">
    <cfRule type="expression" dxfId="88" priority="1">
      <formula>AND(L4&lt;&gt;"",COUNTIF(L$4:L$33,L4)&gt;1)</formula>
    </cfRule>
  </conditionalFormatting>
  <conditionalFormatting sqref="N4:N33">
    <cfRule type="expression" dxfId="89" priority="1">
      <formula>AND(N4&lt;&gt;"",COUNTIF(N$4:N$33,N4)&gt;1)</formula>
    </cfRule>
  </conditionalFormatting>
  <conditionalFormatting sqref="P4:P33">
    <cfRule type="expression" dxfId="90" priority="1">
      <formula>AND(P4&lt;&gt;"",COUNTIF(P$4:P$33,P4)&gt;1)</formula>
    </cfRule>
  </conditionalFormatting>
  <conditionalFormatting sqref="R4:R33">
    <cfRule type="expression" dxfId="91" priority="1">
      <formula>AND(R4&lt;&gt;"",COUNTIF(R$4:R$33,R4)&gt;1)</formula>
    </cfRule>
  </conditionalFormatting>
  <conditionalFormatting sqref="T4:T33">
    <cfRule type="expression" dxfId="92" priority="1">
      <formula>AND(T4&lt;&gt;"",COUNTIF(T$4:T$33,T4)&gt;1)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307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8" t="s">
        <v>220</v>
      </c>
      <c r="B3" s="8" t="s">
        <v>132</v>
      </c>
      <c r="C3" s="8" t="s">
        <v>308</v>
      </c>
      <c r="D3" s="8" t="s">
        <v>309</v>
      </c>
      <c r="E3" s="8" t="s">
        <v>222</v>
      </c>
    </row>
    <row r="4" ht="26" customHeight="1" spans="1:5" x14ac:dyDescent="0.25">
      <c r="A4" s="35" t="s">
        <v>310</v>
      </c>
      <c r="B4" s="33">
        <v>46321</v>
      </c>
      <c r="C4" s="29" t="s">
        <v>311</v>
      </c>
      <c r="D4" s="27"/>
      <c r="E4" s="27"/>
    </row>
    <row r="5" spans="1:5" x14ac:dyDescent="0.25">
      <c r="A5" s="35"/>
      <c r="B5" s="33"/>
      <c r="C5" s="29"/>
      <c r="D5" s="27"/>
      <c r="E5" s="27"/>
    </row>
    <row r="6" spans="1:5" x14ac:dyDescent="0.25">
      <c r="A6" s="35"/>
      <c r="B6" s="33"/>
      <c r="C6" s="29"/>
      <c r="D6" s="27"/>
      <c r="E6" s="27"/>
    </row>
    <row r="7" spans="1:5" x14ac:dyDescent="0.25">
      <c r="A7" s="35"/>
      <c r="B7" s="33"/>
      <c r="C7" s="29"/>
      <c r="D7" s="27"/>
      <c r="E7" s="27"/>
    </row>
    <row r="8" spans="1:5" x14ac:dyDescent="0.25">
      <c r="A8" s="35"/>
      <c r="B8" s="33"/>
      <c r="C8" s="29"/>
      <c r="D8" s="27"/>
      <c r="E8" s="27"/>
    </row>
    <row r="9" spans="1:5" x14ac:dyDescent="0.25">
      <c r="A9" s="35"/>
      <c r="B9" s="33"/>
      <c r="C9" s="29"/>
      <c r="D9" s="27"/>
      <c r="E9" s="27"/>
    </row>
    <row r="10" spans="1:5" x14ac:dyDescent="0.25">
      <c r="A10" s="35"/>
      <c r="B10" s="33"/>
      <c r="C10" s="29"/>
      <c r="D10" s="27"/>
      <c r="E10" s="27"/>
    </row>
    <row r="11" spans="1:5" x14ac:dyDescent="0.25">
      <c r="A11" s="35"/>
      <c r="B11" s="33"/>
      <c r="C11" s="29"/>
      <c r="D11" s="27"/>
      <c r="E11" s="27"/>
    </row>
    <row r="12" spans="1:5" x14ac:dyDescent="0.25">
      <c r="A12" s="35"/>
      <c r="B12" s="33"/>
      <c r="C12" s="29"/>
      <c r="D12" s="27"/>
      <c r="E12" s="27"/>
    </row>
    <row r="13" spans="1:5" x14ac:dyDescent="0.25">
      <c r="A13" s="35"/>
      <c r="B13" s="33"/>
      <c r="C13" s="29"/>
      <c r="D13" s="27"/>
      <c r="E13" s="27"/>
    </row>
    <row r="14" spans="1:5" x14ac:dyDescent="0.25">
      <c r="A14" s="35"/>
      <c r="B14" s="33"/>
      <c r="C14" s="29"/>
      <c r="D14" s="27"/>
      <c r="E14" s="27"/>
    </row>
    <row r="15" spans="1:5" x14ac:dyDescent="0.25">
      <c r="A15" s="35"/>
      <c r="B15" s="33"/>
      <c r="C15" s="29"/>
      <c r="D15" s="27"/>
      <c r="E15" s="27"/>
    </row>
    <row r="16" spans="1:5" x14ac:dyDescent="0.25">
      <c r="A16" s="35"/>
      <c r="B16" s="33"/>
      <c r="C16" s="29"/>
      <c r="D16" s="27"/>
      <c r="E16" s="27"/>
    </row>
    <row r="17" spans="1:5" x14ac:dyDescent="0.25">
      <c r="A17" s="35"/>
      <c r="B17" s="33"/>
      <c r="C17" s="29"/>
      <c r="D17" s="27"/>
      <c r="E17" s="27"/>
    </row>
    <row r="18" spans="1:5" x14ac:dyDescent="0.25">
      <c r="A18" s="35"/>
      <c r="B18" s="33"/>
      <c r="C18" s="29"/>
      <c r="D18" s="27"/>
      <c r="E18" s="27"/>
    </row>
    <row r="19" spans="1:5" x14ac:dyDescent="0.25">
      <c r="A19" s="35"/>
      <c r="B19" s="33"/>
      <c r="C19" s="29"/>
      <c r="D19" s="27"/>
      <c r="E19" s="27"/>
    </row>
    <row r="20" spans="1:5" x14ac:dyDescent="0.25">
      <c r="A20" s="35"/>
      <c r="B20" s="33"/>
      <c r="C20" s="29"/>
      <c r="D20" s="27"/>
      <c r="E20" s="27"/>
    </row>
    <row r="21" spans="1:5" x14ac:dyDescent="0.25">
      <c r="A21" s="35"/>
      <c r="B21" s="33"/>
      <c r="C21" s="29"/>
      <c r="D21" s="27"/>
      <c r="E21" s="27"/>
    </row>
    <row r="22" spans="1:5" x14ac:dyDescent="0.25">
      <c r="A22" s="35"/>
      <c r="B22" s="33"/>
      <c r="C22" s="29"/>
      <c r="D22" s="27"/>
      <c r="E22" s="27"/>
    </row>
    <row r="23" spans="1:5" x14ac:dyDescent="0.25">
      <c r="A23" s="35"/>
      <c r="B23" s="33"/>
      <c r="C23" s="29"/>
      <c r="D23" s="27"/>
      <c r="E23" s="27"/>
    </row>
    <row r="24" spans="1:5" x14ac:dyDescent="0.25">
      <c r="A24" s="35"/>
      <c r="B24" s="33"/>
      <c r="C24" s="29"/>
      <c r="D24" s="27"/>
      <c r="E24" s="27"/>
    </row>
    <row r="25" spans="1:5" x14ac:dyDescent="0.25">
      <c r="A25" s="35"/>
      <c r="B25" s="33"/>
      <c r="C25" s="29"/>
      <c r="D25" s="27"/>
      <c r="E25" s="27"/>
    </row>
    <row r="26" spans="1:5" x14ac:dyDescent="0.25">
      <c r="A26" s="35"/>
      <c r="B26" s="33"/>
      <c r="C26" s="29"/>
      <c r="D26" s="27"/>
      <c r="E26" s="27"/>
    </row>
    <row r="27" spans="1:5" x14ac:dyDescent="0.25">
      <c r="A27" s="35"/>
      <c r="B27" s="33"/>
      <c r="C27" s="29"/>
      <c r="D27" s="27"/>
      <c r="E27" s="27"/>
    </row>
    <row r="28" spans="1:5" x14ac:dyDescent="0.25">
      <c r="A28" s="35"/>
      <c r="B28" s="33"/>
      <c r="C28" s="29"/>
      <c r="D28" s="27"/>
      <c r="E28" s="27"/>
    </row>
    <row r="29" spans="1:5" x14ac:dyDescent="0.25">
      <c r="A29" s="35"/>
      <c r="B29" s="33"/>
      <c r="C29" s="29"/>
      <c r="D29" s="27"/>
      <c r="E29" s="27"/>
    </row>
    <row r="30" spans="1:5" x14ac:dyDescent="0.25">
      <c r="A30" s="35"/>
      <c r="B30" s="33"/>
      <c r="C30" s="29"/>
      <c r="D30" s="27"/>
      <c r="E30" s="27"/>
    </row>
    <row r="31" spans="1:5" x14ac:dyDescent="0.25">
      <c r="A31" s="35"/>
      <c r="B31" s="33"/>
      <c r="C31" s="29"/>
      <c r="D31" s="27"/>
      <c r="E31" s="27"/>
    </row>
    <row r="32" spans="1:5" x14ac:dyDescent="0.25">
      <c r="A32" s="35"/>
      <c r="B32" s="33"/>
      <c r="C32" s="29"/>
      <c r="D32" s="27"/>
      <c r="E32" s="27"/>
    </row>
    <row r="33" spans="1:5" x14ac:dyDescent="0.25">
      <c r="A33" s="35"/>
      <c r="B33" s="33"/>
      <c r="C33" s="29"/>
      <c r="D33" s="27"/>
      <c r="E33" s="27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0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6" ht="8" customHeight="1" x14ac:dyDescent="0.25"/>
    <row r="7" ht="20" customHeight="1" spans="1:6" x14ac:dyDescent="0.25">
      <c r="A7" s="5" t="s">
        <v>1</v>
      </c>
      <c r="B7" s="5"/>
      <c r="C7" s="5"/>
      <c r="D7" s="5"/>
      <c r="E7" s="5"/>
      <c r="F7" s="5"/>
    </row>
    <row r="8" ht="28" customHeight="1" spans="1:6" x14ac:dyDescent="0.25">
      <c r="A8" s="6" t="s">
        <v>2</v>
      </c>
      <c r="B8" s="6"/>
      <c r="C8" s="6"/>
      <c r="D8" s="6"/>
      <c r="E8" s="6"/>
      <c r="F8" s="6"/>
    </row>
    <row r="9" ht="28" customHeight="1" spans="1:6" x14ac:dyDescent="0.25">
      <c r="A9" s="6" t="s">
        <v>3</v>
      </c>
      <c r="B9" s="6"/>
      <c r="C9" s="6"/>
      <c r="D9" s="6"/>
      <c r="E9" s="6"/>
      <c r="F9" s="6"/>
    </row>
    <row r="10" ht="28" customHeight="1" spans="1:6" x14ac:dyDescent="0.25">
      <c r="A10" s="6" t="s">
        <v>4</v>
      </c>
      <c r="B10" s="6"/>
      <c r="C10" s="6"/>
      <c r="D10" s="6"/>
      <c r="E10" s="6"/>
      <c r="F10" s="6"/>
    </row>
    <row r="11" ht="24" customHeight="1" spans="1:6" x14ac:dyDescent="0.25">
      <c r="A11" s="7" t="s">
        <v>5</v>
      </c>
      <c r="B11" s="7"/>
      <c r="C11" s="7"/>
      <c r="D11" s="7"/>
      <c r="E11" s="7"/>
      <c r="F11" s="7"/>
    </row>
    <row r="12" ht="8" customHeight="1" x14ac:dyDescent="0.25"/>
    <row r="13" ht="20" customHeight="1" spans="1:6" x14ac:dyDescent="0.25">
      <c r="A13" s="5" t="s">
        <v>6</v>
      </c>
      <c r="B13" s="5"/>
      <c r="C13" s="5"/>
      <c r="D13" s="5"/>
      <c r="E13" s="5"/>
      <c r="F13" s="5"/>
    </row>
    <row r="14" ht="22" customHeight="1" spans="1:6" x14ac:dyDescent="0.25">
      <c r="A14" s="8" t="s">
        <v>7</v>
      </c>
      <c r="B14" s="8"/>
      <c r="C14" s="8" t="s">
        <v>8</v>
      </c>
      <c r="D14" s="8"/>
      <c r="E14" s="8" t="s">
        <v>9</v>
      </c>
      <c r="F14" s="8"/>
    </row>
    <row r="15" ht="20" customHeight="1" spans="1:6" x14ac:dyDescent="0.25">
      <c r="A15" s="9" t="s">
        <v>10</v>
      </c>
      <c r="B15" s="9"/>
      <c r="C15" s="10"/>
      <c r="D15" s="10"/>
      <c r="E15" s="11" t="s">
        <v>11</v>
      </c>
      <c r="F15" s="11"/>
    </row>
    <row r="16" ht="20" customHeight="1" spans="1:6" x14ac:dyDescent="0.25">
      <c r="A16" s="9" t="s">
        <v>12</v>
      </c>
      <c r="B16" s="9"/>
      <c r="C16" s="10"/>
      <c r="D16" s="10"/>
      <c r="E16" s="11" t="s">
        <v>13</v>
      </c>
      <c r="F16" s="11"/>
    </row>
    <row r="17" ht="20" customHeight="1" spans="1:6" x14ac:dyDescent="0.25">
      <c r="A17" s="9" t="s">
        <v>14</v>
      </c>
      <c r="B17" s="9"/>
      <c r="C17" s="12">
        <f>IFERROR(LOOKUP(2,1/(rv_revisao&lt;&gt;""),rv_revisao)&amp;"","")</f>
      </c>
      <c r="D17" s="12"/>
      <c r="E17" s="11" t="s">
        <v>15</v>
      </c>
      <c r="F17" s="11"/>
    </row>
    <row r="18" ht="20" customHeight="1" spans="1:6" x14ac:dyDescent="0.25">
      <c r="A18" s="9" t="s">
        <v>16</v>
      </c>
      <c r="B18" s="9"/>
      <c r="C18" s="13">
        <f>IFERROR(1/(1/LOOKUP(2,1/(rv_revisao&lt;&gt;""),rv_data)),"")</f>
      </c>
      <c r="D18" s="13"/>
      <c r="E18" s="11" t="s">
        <v>17</v>
      </c>
      <c r="F18" s="11"/>
    </row>
    <row r="19" ht="20" customHeight="1" spans="1:6" x14ac:dyDescent="0.25">
      <c r="A19" s="9" t="s">
        <v>18</v>
      </c>
      <c r="B19" s="9"/>
      <c r="C19" s="10"/>
      <c r="D19" s="10"/>
      <c r="E19" s="11" t="s">
        <v>19</v>
      </c>
      <c r="F19" s="11"/>
    </row>
    <row r="20" ht="20" customHeight="1" spans="1:6" x14ac:dyDescent="0.25">
      <c r="A20" s="9" t="s">
        <v>20</v>
      </c>
      <c r="B20" s="9"/>
      <c r="C20" s="14"/>
      <c r="D20" s="14"/>
      <c r="E20" s="11" t="s">
        <v>21</v>
      </c>
      <c r="F20" s="11"/>
    </row>
    <row r="21" ht="20" customHeight="1" spans="1:6" x14ac:dyDescent="0.25">
      <c r="A21" s="9" t="s">
        <v>22</v>
      </c>
      <c r="B21" s="9"/>
      <c r="C21" s="15"/>
      <c r="D21" s="15"/>
      <c r="E21" s="11" t="s">
        <v>23</v>
      </c>
      <c r="F21" s="11"/>
    </row>
    <row r="22" ht="20" customHeight="1" spans="1:6" x14ac:dyDescent="0.25">
      <c r="A22" s="9" t="s">
        <v>24</v>
      </c>
      <c r="B22" s="9"/>
      <c r="C22" s="15"/>
      <c r="D22" s="15"/>
      <c r="E22" s="11" t="s">
        <v>25</v>
      </c>
      <c r="F22" s="11"/>
    </row>
    <row r="23" ht="20" customHeight="1" spans="1:6" x14ac:dyDescent="0.25">
      <c r="A23" s="9" t="s">
        <v>26</v>
      </c>
      <c r="B23" s="9"/>
      <c r="C23" s="16"/>
      <c r="D23" s="16"/>
      <c r="E23" s="11" t="s">
        <v>27</v>
      </c>
      <c r="F23" s="11"/>
    </row>
    <row r="24" ht="8" customHeight="1" x14ac:dyDescent="0.25"/>
    <row r="25" ht="20" customHeight="1" spans="1:6" x14ac:dyDescent="0.25">
      <c r="A25" s="5" t="s">
        <v>28</v>
      </c>
      <c r="B25" s="5"/>
      <c r="C25" s="5"/>
      <c r="D25" s="5"/>
      <c r="E25" s="5"/>
      <c r="F25" s="5"/>
    </row>
    <row r="26" ht="22" customHeight="1" spans="1:6" x14ac:dyDescent="0.25">
      <c r="A26" s="8" t="s">
        <v>29</v>
      </c>
      <c r="B26" s="8" t="s">
        <v>30</v>
      </c>
      <c r="C26" s="8" t="s">
        <v>31</v>
      </c>
      <c r="D26" s="8" t="s">
        <v>32</v>
      </c>
      <c r="E26" s="8"/>
      <c r="F26" s="8"/>
    </row>
    <row r="27" ht="20" customHeight="1" spans="1:6" x14ac:dyDescent="0.25">
      <c r="A27" s="9" t="s">
        <v>33</v>
      </c>
      <c r="B27" s="17">
        <f>COUNTA('Matriz de Criticidade'!$A$4:$A$103)</f>
      </c>
      <c r="C27" s="17">
        <f>COUNTIF('Matriz de Criticidade'!$O$4:$O$103,"ERRO*")</f>
      </c>
      <c r="D27" s="18">
        <f>"Pontuados: "&amp;COUNT('Matriz de Criticidade'!$L$4:$L$103)</f>
      </c>
      <c r="E27" s="18"/>
      <c r="F27" s="18"/>
    </row>
    <row r="28" ht="20" customHeight="1" spans="1:6" x14ac:dyDescent="0.25">
      <c r="A28" s="9" t="s">
        <v>34</v>
      </c>
      <c r="B28" s="17">
        <f>COUNTA('Plano de Calibração'!$A$4:$A$103)</f>
      </c>
      <c r="C28" s="17">
        <f>COUNTIF('Plano de Calibração'!$K$4:$K$103,"ERRO*")</f>
      </c>
      <c r="D28" s="18">
        <f>IF(COUNTIF('Plano de Calibração'!$J$4:$J$103,"Vencido")&gt;0,"Verificar: calibrações vencidas","OK")</f>
      </c>
      <c r="E28" s="18"/>
      <c r="F28" s="18"/>
    </row>
    <row r="29" ht="20" customHeight="1" spans="1:6" x14ac:dyDescent="0.25">
      <c r="A29" s="9" t="s">
        <v>35</v>
      </c>
      <c r="B29" s="17">
        <f>COUNTA('Competência e Treinamento'!$A$4:$A$203)</f>
      </c>
      <c r="C29" s="17">
        <f>COUNTIF('Competência e Treinamento'!$J$4:$J$203,"ERRO*")</f>
      </c>
      <c r="D29" s="18">
        <f>IF(COUNTIF('Competência e Treinamento'!$I$4:$I$203,"Vencido")&gt;0,"Verificar: treinamentos vencidos","OK")</f>
      </c>
      <c r="E29" s="18"/>
      <c r="F29" s="18"/>
    </row>
    <row r="30" ht="20" customHeight="1" spans="1:6" x14ac:dyDescent="0.25">
      <c r="A30" s="9" t="s">
        <v>36</v>
      </c>
      <c r="B30" s="17">
        <f>COUNTA('Requisitos Legais'!$A$4:$A$103)</f>
      </c>
      <c r="C30" s="17">
        <f>COUNTIF('Requisitos Legais'!$I$4:$I$103,"ERRO*")</f>
      </c>
      <c r="D30" s="18">
        <f>IF(COUNTIF('Requisitos Legais'!$G$4:$G$103,"Vencido")&gt;0,"Verificar: requisitos vencidos","OK")</f>
      </c>
      <c r="E30" s="18"/>
      <c r="F30" s="18"/>
    </row>
    <row r="31" ht="20" customHeight="1" spans="1:6" x14ac:dyDescent="0.25">
      <c r="A31" s="9" t="s">
        <v>37</v>
      </c>
      <c r="B31" s="17">
        <f>COUNTA('Máquinas e riscos'!$A$4:$A$103)+COUNTA('Avaliação de Fornecedores'!$A$4:$A$63)+COUNTA('Lista Mestra de Documentos'!$A$4:$A$63)+COUNTA('Manutenção Autônoma (TPM)'!$A$4:$A$303)</f>
      </c>
      <c r="C31" s="17">
        <f>COUNTIF('Máquinas e riscos'!$L$4:$L$103,"ERRO*")+COUNTIF('Avaliação de Fornecedores'!$K$4:$K$63,"ERRO*")+COUNTIF('Lista Mestra de Documentos'!$I$4:$I$63,"ERRO*")+COUNTIF('Manutenção Autônoma (TPM)'!$J$4:$J$303,"ERRO*")</f>
      </c>
      <c r="D31" s="18">
        <f>"Máquinas, fornecedores, documentos e TPM"</f>
      </c>
      <c r="E31" s="18"/>
      <c r="F31" s="18"/>
    </row>
    <row r="32" ht="8" customHeight="1" x14ac:dyDescent="0.25"/>
    <row r="33" ht="20" customHeight="1" spans="1:6" x14ac:dyDescent="0.25">
      <c r="A33" s="5" t="s">
        <v>38</v>
      </c>
      <c r="B33" s="5"/>
      <c r="C33" s="5"/>
      <c r="D33" s="5"/>
      <c r="E33" s="5"/>
      <c r="F33" s="5"/>
    </row>
    <row r="34" ht="20" customHeight="1" spans="1:6" x14ac:dyDescent="0.25">
      <c r="A34" s="19" t="s">
        <v>39</v>
      </c>
      <c r="B34" s="11" t="s">
        <v>40</v>
      </c>
      <c r="C34" s="11"/>
      <c r="D34" s="11"/>
      <c r="E34" s="11"/>
      <c r="F34" s="11"/>
    </row>
    <row r="35" ht="20" customHeight="1" spans="1:6" x14ac:dyDescent="0.25">
      <c r="A35" s="19" t="s">
        <v>33</v>
      </c>
      <c r="B35" s="11" t="s">
        <v>41</v>
      </c>
      <c r="C35" s="11"/>
      <c r="D35" s="11"/>
      <c r="E35" s="11"/>
      <c r="F35" s="11"/>
    </row>
    <row r="36" ht="20" customHeight="1" spans="1:6" x14ac:dyDescent="0.25">
      <c r="A36" s="19" t="s">
        <v>34</v>
      </c>
      <c r="B36" s="11" t="s">
        <v>42</v>
      </c>
      <c r="C36" s="11"/>
      <c r="D36" s="11"/>
      <c r="E36" s="11"/>
      <c r="F36" s="11"/>
    </row>
    <row r="37" ht="20" customHeight="1" spans="1:6" x14ac:dyDescent="0.25">
      <c r="A37" s="19" t="s">
        <v>43</v>
      </c>
      <c r="B37" s="11" t="s">
        <v>44</v>
      </c>
      <c r="C37" s="11"/>
      <c r="D37" s="11"/>
      <c r="E37" s="11"/>
      <c r="F37" s="11"/>
    </row>
    <row r="38" ht="20" customHeight="1" spans="1:6" x14ac:dyDescent="0.25">
      <c r="A38" s="19" t="s">
        <v>35</v>
      </c>
      <c r="B38" s="11" t="s">
        <v>45</v>
      </c>
      <c r="C38" s="11"/>
      <c r="D38" s="11"/>
      <c r="E38" s="11"/>
      <c r="F38" s="11"/>
    </row>
    <row r="39" ht="20" customHeight="1" spans="1:6" x14ac:dyDescent="0.25">
      <c r="A39" s="19" t="s">
        <v>36</v>
      </c>
      <c r="B39" s="11" t="s">
        <v>46</v>
      </c>
      <c r="C39" s="11"/>
      <c r="D39" s="11"/>
      <c r="E39" s="11"/>
      <c r="F39" s="11"/>
    </row>
    <row r="40" ht="20" customHeight="1" spans="1:6" x14ac:dyDescent="0.25">
      <c r="A40" s="19" t="s">
        <v>47</v>
      </c>
      <c r="B40" s="11" t="s">
        <v>48</v>
      </c>
      <c r="C40" s="11"/>
      <c r="D40" s="11"/>
      <c r="E40" s="11"/>
      <c r="F40" s="11"/>
    </row>
    <row r="41" ht="20" customHeight="1" spans="1:6" x14ac:dyDescent="0.25">
      <c r="A41" s="19" t="s">
        <v>49</v>
      </c>
      <c r="B41" s="11" t="s">
        <v>50</v>
      </c>
      <c r="C41" s="11"/>
      <c r="D41" s="11"/>
      <c r="E41" s="11"/>
      <c r="F41" s="11"/>
    </row>
    <row r="42" ht="20" customHeight="1" spans="1:6" x14ac:dyDescent="0.25">
      <c r="A42" s="19" t="s">
        <v>51</v>
      </c>
      <c r="B42" s="11" t="s">
        <v>52</v>
      </c>
      <c r="C42" s="11"/>
      <c r="D42" s="11"/>
      <c r="E42" s="11"/>
      <c r="F42" s="11"/>
    </row>
    <row r="43" ht="20" customHeight="1" spans="1:6" x14ac:dyDescent="0.25">
      <c r="A43" s="19" t="s">
        <v>53</v>
      </c>
      <c r="B43" s="11" t="s">
        <v>54</v>
      </c>
      <c r="C43" s="11"/>
      <c r="D43" s="11"/>
      <c r="E43" s="11"/>
      <c r="F43" s="11"/>
    </row>
    <row r="44" ht="20" customHeight="1" spans="1:6" x14ac:dyDescent="0.25">
      <c r="A44" s="19" t="s">
        <v>55</v>
      </c>
      <c r="B44" s="11" t="s">
        <v>56</v>
      </c>
      <c r="C44" s="11"/>
      <c r="D44" s="11"/>
      <c r="E44" s="11"/>
      <c r="F44" s="11"/>
    </row>
    <row r="45" ht="20" customHeight="1" spans="1:6" x14ac:dyDescent="0.25">
      <c r="A45" s="19" t="s">
        <v>57</v>
      </c>
      <c r="B45" s="11" t="s">
        <v>58</v>
      </c>
      <c r="C45" s="11"/>
      <c r="D45" s="11"/>
      <c r="E45" s="11"/>
      <c r="F45" s="11"/>
    </row>
    <row r="46" ht="20" customHeight="1" spans="1:6" x14ac:dyDescent="0.25">
      <c r="A46" s="19" t="s">
        <v>59</v>
      </c>
      <c r="B46" s="11" t="s">
        <v>60</v>
      </c>
      <c r="C46" s="11"/>
      <c r="D46" s="11"/>
      <c r="E46" s="11"/>
      <c r="F46" s="11"/>
    </row>
    <row r="47" ht="20" customHeight="1" spans="1:6" x14ac:dyDescent="0.25">
      <c r="A47" s="19" t="s">
        <v>61</v>
      </c>
      <c r="B47" s="11" t="s">
        <v>62</v>
      </c>
      <c r="C47" s="11"/>
      <c r="D47" s="11"/>
      <c r="E47" s="11"/>
      <c r="F47" s="11"/>
    </row>
    <row r="48" ht="8" customHeight="1" x14ac:dyDescent="0.25"/>
    <row r="49" ht="24" customHeight="1" spans="1:6" x14ac:dyDescent="0.25">
      <c r="A49" s="7" t="s">
        <v>63</v>
      </c>
      <c r="B49" s="7"/>
      <c r="C49" s="7"/>
      <c r="D49" s="7"/>
      <c r="E49" s="7"/>
      <c r="F49" s="7"/>
    </row>
  </sheetData>
  <sheetProtection sheet="1" formatColumns="0" formatRows="0" autoFilter="0"/>
  <mergeCells count="61">
    <mergeCell ref="A1:B2"/>
    <mergeCell ref="C1:E2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5:F25"/>
    <mergeCell ref="D26:F26"/>
    <mergeCell ref="D27:F27"/>
    <mergeCell ref="D28:F28"/>
    <mergeCell ref="D29:F29"/>
    <mergeCell ref="D30:F30"/>
    <mergeCell ref="D31:F31"/>
    <mergeCell ref="A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A49:F49"/>
  </mergeCells>
  <conditionalFormatting sqref="C27:C31">
    <cfRule type="expression" dxfId="0" priority="1">
      <formula>N(C27)&gt;0</formula>
    </cfRule>
  </conditionalFormatting>
  <conditionalFormatting sqref="D27:D31">
    <cfRule type="expression" dxfId="1" priority="1">
      <formula>OR(LEFT(D27,4)="ERRO",LEFT(D27,7)="ATENÇÃO")</formula>
    </cfRule>
    <cfRule type="expression" dxfId="2" priority="2">
      <formula>OR(LEFT(D27,8)="Pendente",LEFT(D27,9)="Verificar",LEFT(D27,9)="Duplicada",LEFT(D27,7)="Tarefa ",LEFT(D27,13)="Fora do plano",LEFT(D27,8)="Previsão",LEFT(D27,11)="Sem vínculo",LEFT(D27,14)="Não verificado",LEFT(D27,7)="Informe",LEFT(D27,9)="A definir")</formula>
    </cfRule>
    <cfRule type="expression" dxfId="3" priority="3">
      <formula>OR(D27="OK",LEFT(D27,4)="Nada",LEFT(D27,3)="OK:")</formula>
    </cfRule>
  </conditionalFormatting>
  <dataValidations count="2">
    <dataValidation type="date" allowBlank="1" showErrorMessage="1" errorStyle="stop" errorTitle="Data inválida" error="Digite uma data válida no formato dd/mm/aaaa." sqref="C20">
      <formula1>32874</formula1>
      <formula2>73050</formula2>
    </dataValidation>
    <dataValidation type="date" allowBlank="1" showErrorMessage="1" errorStyle="stop" errorTitle="Data inválida" error="Digite uma data válida no formato dd/mm/aaaa." sqref="C23">
      <formula1>32874</formula1>
      <formula2>73050</formula2>
    </dataValidation>
  </dataValidations>
  <hyperlinks>
    <hyperlink ref="A34" r:id="rId1" location="#'Painel'!A1"/>
    <hyperlink ref="A35" r:id="rId2" location="#'Matriz de Criticidade'!A1"/>
    <hyperlink ref="A36" r:id="rId3" location="#'Plano de Calibração'!A1"/>
    <hyperlink ref="A37" r:id="rId4" location="#'NC e Ação Corretiva'!A1"/>
    <hyperlink ref="A38" r:id="rId5" location="#'Competência e Treinamento'!A1"/>
    <hyperlink ref="A39" r:id="rId6" location="#'Requisitos Legais'!A1"/>
    <hyperlink ref="A40" r:id="rId7" location="#'Máquinas e riscos'!A1"/>
    <hyperlink ref="A41" r:id="rId8" location="#'Avaliação de Fornecedores'!A1"/>
    <hyperlink ref="A42" r:id="rId9" location="#'Checklist de Auditoria'!A1"/>
    <hyperlink ref="A43" r:id="rId10" location="#'Lista Mestra de Documentos'!A1"/>
    <hyperlink ref="A44" r:id="rId11" location="#'Manutenção Autônoma (TPM)'!A1"/>
    <hyperlink ref="A45" r:id="rId12" location="#'A3 - Resolução de Problemas'!A1"/>
    <hyperlink ref="A46" r:id="rId13" location="#'Listas'!A1"/>
    <hyperlink ref="A47" r:id="rId14" location="#'Revisõe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Instruções</vt:lpstr>
      <vt:lpstr>Painel</vt:lpstr>
      <vt:lpstr>Matriz de Criticidade</vt:lpstr>
      <vt:lpstr>Plano de Calibração</vt:lpstr>
      <vt:lpstr>NC e Ação Corretiva</vt:lpstr>
      <vt:lpstr>Competência e Treinamento</vt:lpstr>
      <vt:lpstr>Requisitos Legais</vt:lpstr>
      <vt:lpstr>Máquinas e riscos</vt:lpstr>
      <vt:lpstr>Avaliação de Fornecedores</vt:lpstr>
      <vt:lpstr>Checklist de Auditoria</vt:lpstr>
      <vt:lpstr>Lista Mestra de Documentos</vt:lpstr>
      <vt:lpstr>Manutenção Autônoma (TPM)</vt:lpstr>
      <vt:lpstr>A3 - Resolução de Problemas</vt:lpstr>
      <vt:lpstr>Listas</vt:lpstr>
      <vt:lpstr>Revisões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PCMD-K08 · Kit de documentos para auditoria</dc:title>
  <dc:subject>PCM Direto</dc:subject>
  <dc:description/>
  <cp:keywords>PCMD-K08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