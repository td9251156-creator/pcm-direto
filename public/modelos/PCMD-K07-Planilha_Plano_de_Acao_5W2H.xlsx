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6.xml" ContentType="application/vnd.openxmlformats-officedocument.spreadsheetml.worksheet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6" name="Instruções" state="visible" r:id="rId4"/>
    <sheet sheetId="1" name="Painel" state="visible" r:id="rId5"/>
    <sheet sheetId="2" name="Plano de Ação" state="visible" r:id="rId6"/>
    <sheet sheetId="3" name="Cronograma" state="visible" r:id="rId7"/>
    <sheet sheetId="4" name="Listas" state="visible" r:id="rId8"/>
    <sheet sheetId="5" name="Revisões" state="visible" r:id="rId9"/>
  </sheets>
  <definedNames>
    <definedName name="pa_situacao">'Plano de Ação'!$L$4:$L$303</definedName>
    <definedName name="pa_conferencia">'Plano de Ação'!$O$4:$O$303</definedName>
    <definedName name="lst_status_acao">Listas!$A$4:$A$43</definedName>
    <definedName name="lst_responsavel">Listas!$C$4:$C$43</definedName>
    <definedName name="rv_revisao">'Revisões'!$A$4:$A$33</definedName>
    <definedName name="rv_data">'Revisões'!$B$4:$B$33</definedName>
    <definedName name="cfg_elaborado">'Instruções'!$C$15</definedName>
    <definedName name="cfg_aprovado">'Instruções'!$C$16</definedName>
    <definedName name="cfg_revisao">'Instruções'!$C$17</definedName>
    <definedName name="cfg_data_revisao">'Instruções'!$C$18</definedName>
    <definedName name="pcmd_origem">'Instruções'!$C$19</definedName>
    <definedName name="pcmd_emissao">'Instruções'!$C$20</definedName>
    <definedName name="ano_crono">'Instruções'!$C$21</definedName>
    <definedName name="ano_ref">'Instruções'!$C$22</definedName>
    <definedName name="_xlnm.Print_Area" localSheetId="0">'Instruções'!$A1:$F35</definedName>
    <definedName name="_xlnm.Print_Titles" localSheetId="0">'Instruções'!$1:$3</definedName>
    <definedName name="_xlnm.Print_Area" localSheetId="1">'Painel'!$A1:$L26</definedName>
    <definedName name="_xlnm.Print_Titles" localSheetId="1">'Painel'!$1:$2</definedName>
    <definedName name="_xlnm.Print_Area" localSheetId="2">'Plano de Ação'!$A1:$O303</definedName>
    <definedName name="_xlnm.Print_Titles" localSheetId="2">'Plano de Ação'!$1:$3</definedName>
    <definedName name="_xlnm.Print_Area" localSheetId="3">'Cronograma'!$A1:$P304</definedName>
    <definedName name="_xlnm.Print_Titles" localSheetId="3">'Cronograma'!$1:$4</definedName>
    <definedName name="_xlnm.Print_Area" localSheetId="4">'Listas'!$A1:$D43</definedName>
    <definedName name="_xlnm.Print_Titles" localSheetId="4">'Listas'!$1:$3</definedName>
    <definedName name="_xlnm.Print_Area" localSheetId="5">'Revisões'!$A1:$E33</definedName>
    <definedName name="_xlnm.Print_Titles" localSheetId="5">'Revisões'!$1:$3</definedName>
  </definedNames>
  <calcPr calcId="171027" fullCalcOnLoad="1"/>
</workbook>
</file>

<file path=xl/sharedStrings.xml><?xml version="1.0" encoding="utf-8"?>
<sst xmlns="http://schemas.openxmlformats.org/spreadsheetml/2006/main" count="127" uniqueCount="103">
  <si>
    <r>
      <rPr>
        <b/>
        <color rgb="FF0B2A5B"/>
        <sz val="16"/>
        <rFont val="Arial"/>
      </rPr>
      <t>Plano de ação 5W2H com cronograma</t>
    </r>
    <r>
      <rPr>
        <color rgb="FF4A5668"/>
        <sz val="8.5"/>
        <rFont val="Arial"/>
      </rPr>
      <t xml:space="preserve">
Como usar, parâmetros do documento e conferências gerais.</t>
    </r>
  </si>
  <si>
    <t>1. COMO USAR</t>
  </si>
  <si>
    <t>1) Em Listas, cadastre os responsáveis. Em Plano de Ação, uma linha por ação com as sete colunas do 5W2H (o quê, por quê, onde, quem, quando, como, quanto).</t>
  </si>
  <si>
    <t>2) Escolha o status e informe o % concluído. Situação do prazo e dias restantes são calculados; Atrasada aparece sozinha quando o prazo vence.</t>
  </si>
  <si>
    <t>3) O Cronograma desenha as barras do ano abaixo e o Painel resume o plano para a reunião.</t>
  </si>
  <si>
    <t>Azul-claro: preencher. Cinza: automático (fórmula protegida, não digite). ERRO em vermelho e Pendente em amarelo pedem ação; OK em verde.</t>
  </si>
  <si>
    <t>2. PARÂMETROS DO DOCUMENTO</t>
  </si>
  <si>
    <t>Parâmetro</t>
  </si>
  <si>
    <t>Valor</t>
  </si>
  <si>
    <t>Orientação</t>
  </si>
  <si>
    <t>Elaborado por</t>
  </si>
  <si>
    <t>Nome de quem preparou o documento.</t>
  </si>
  <si>
    <t>Aprovado por (só após aprovação)</t>
  </si>
  <si>
    <t>Preencha somente após a aprovação efetiva.</t>
  </si>
  <si>
    <t>Revisão atual (automática)</t>
  </si>
  <si>
    <t>Última linha preenchida em Revisões.</t>
  </si>
  <si>
    <t>Data da revisão (automática)</t>
  </si>
  <si>
    <t>Data da mesma linha da revisão atual.</t>
  </si>
  <si>
    <t>Origem dos dados</t>
  </si>
  <si>
    <t>Ex.: preenchimento manual, exportação do sistema.</t>
  </si>
  <si>
    <t>Data de emissão</t>
  </si>
  <si>
    <t>Data em que este arquivo foi emitido.</t>
  </si>
  <si>
    <t>Ano do cronograma</t>
  </si>
  <si>
    <t>Vazio = ano atual.</t>
  </si>
  <si>
    <t>Ano usado (automático)</t>
  </si>
  <si>
    <t>Ano aplicado no Cronograma e no Painel.</t>
  </si>
  <si>
    <t>3. CONFERÊNCIAS</t>
  </si>
  <si>
    <t>Aba / verificação</t>
  </si>
  <si>
    <t>Linhas preenchidas</t>
  </si>
  <si>
    <t>Linhas com ERRO</t>
  </si>
  <si>
    <t>Capacidade / resultado</t>
  </si>
  <si>
    <t>Plano de Ação</t>
  </si>
  <si>
    <t>4. ÍNDICE DAS ABAS (clique no nome)</t>
  </si>
  <si>
    <t>Painel</t>
  </si>
  <si>
    <t>Avanço, atrasos, investimento e gráficos.</t>
  </si>
  <si>
    <t>Uma linha por ação no formato 5W2H.</t>
  </si>
  <si>
    <t>Cronograma</t>
  </si>
  <si>
    <t>Barras mensais entre início e prazo.</t>
  </si>
  <si>
    <t>Listas</t>
  </si>
  <si>
    <t>Status e responsáveis.</t>
  </si>
  <si>
    <t>Revisões</t>
  </si>
  <si>
    <t>Histórico de revisões.</t>
  </si>
  <si>
    <t>PCMD-K07 · Modelo 2.0.0 · PCM Direto · Thiago Oliveira Lima · pcmdireto@gmail.com · Licença MIT · Sem macros, vínculos externos ou envio de dados.</t>
  </si>
  <si>
    <r>
      <rPr>
        <b/>
        <color rgb="FF0B2A5B"/>
        <sz val="16"/>
        <rFont val="Arial"/>
      </rPr>
      <t>Painel do plano de ação</t>
    </r>
    <r>
      <rPr>
        <color rgb="FF4A5668"/>
        <sz val="8.5"/>
        <rFont val="Arial"/>
      </rPr>
      <t xml:space="preserve">
Consolidado da aba Plano de Ação, pronto para a reunião. Nenhum número é digitado aqui.</t>
    </r>
  </si>
  <si>
    <t>AVANÇO MÉDIO DO PLANO</t>
  </si>
  <si>
    <t>AÇÕES ATRASADAS</t>
  </si>
  <si>
    <t>VENCEM EM 7 DIAS</t>
  </si>
  <si>
    <t>INVESTIMENTO PREVISTO</t>
  </si>
  <si>
    <t>média do % concluído (sem canceladas)</t>
  </si>
  <si>
    <t>prazo vencido e não concluídas</t>
  </si>
  <si>
    <t>prazo nos próximos 7 dias</t>
  </si>
  <si>
    <t>soma do quanto custa</t>
  </si>
  <si>
    <t>AÇÕES POR STATUS</t>
  </si>
  <si>
    <t>AVANÇO POR RESPONSÁVEL</t>
  </si>
  <si>
    <t>AÇÕES ATIVAS POR MÊS</t>
  </si>
  <si>
    <t>DADOS DOS GRÁFICOS (automático, não digite)</t>
  </si>
  <si>
    <t>Status</t>
  </si>
  <si>
    <t>Responsável</t>
  </si>
  <si>
    <t>Mês</t>
  </si>
  <si>
    <t>Não iniciada</t>
  </si>
  <si>
    <t>Jan</t>
  </si>
  <si>
    <t>Em andamento</t>
  </si>
  <si>
    <t>Fev</t>
  </si>
  <si>
    <t>Concluída</t>
  </si>
  <si>
    <t>Mar</t>
  </si>
  <si>
    <t>Cancelada</t>
  </si>
  <si>
    <t>Abr</t>
  </si>
  <si>
    <t>Mai</t>
  </si>
  <si>
    <t>Jun</t>
  </si>
  <si>
    <t>Jul</t>
  </si>
  <si>
    <t>Ago</t>
  </si>
  <si>
    <t>Set</t>
  </si>
  <si>
    <t>Out</t>
  </si>
  <si>
    <t>Nov</t>
  </si>
  <si>
    <t>Dez</t>
  </si>
  <si>
    <r>
      <rPr>
        <b/>
        <color rgb="FF0B2A5B"/>
        <sz val="16"/>
        <rFont val="Arial"/>
      </rPr>
      <t>Plano de ação 5W2H</t>
    </r>
    <r>
      <rPr>
        <color rgb="FF4A5668"/>
        <sz val="8.5"/>
        <rFont val="Arial"/>
      </rPr>
      <t xml:space="preserve">
Uma linha por ação: o quê, por quê, onde, quem, quando, como e quanto custa.</t>
    </r>
  </si>
  <si>
    <t>Nº</t>
  </si>
  <si>
    <t>O quê (What)</t>
  </si>
  <si>
    <t>Por quê (Why)</t>
  </si>
  <si>
    <t>Onde (Where)</t>
  </si>
  <si>
    <t>Quem (Who)</t>
  </si>
  <si>
    <t>Quando — início</t>
  </si>
  <si>
    <t>Quando — prazo</t>
  </si>
  <si>
    <t>Como (How)</t>
  </si>
  <si>
    <t>Quanto custa (How much)</t>
  </si>
  <si>
    <t>% concluído</t>
  </si>
  <si>
    <t>Situação do prazo</t>
  </si>
  <si>
    <t>Dias restantes</t>
  </si>
  <si>
    <t>Observação</t>
  </si>
  <si>
    <t>Conferência</t>
  </si>
  <si>
    <r>
      <rPr>
        <b/>
        <color rgb="FF0B2A5B"/>
        <sz val="16"/>
        <rFont val="Arial"/>
      </rPr>
      <t>Cronograma das ações</t>
    </r>
    <r>
      <rPr>
        <color rgb="FF4A5668"/>
        <sz val="8.5"/>
        <rFont val="Arial"/>
      </rPr>
      <t xml:space="preserve">
Barra desenhada entre o início e o prazo de cada ação, na cor da situação. Não marque à mão.</t>
    </r>
  </si>
  <si>
    <t>Ação</t>
  </si>
  <si>
    <t>Situação</t>
  </si>
  <si>
    <r>
      <rPr>
        <b/>
        <color rgb="FF0B2A5B"/>
        <sz val="16"/>
        <rFont val="Arial"/>
      </rPr>
      <t>Listas</t>
    </r>
    <r>
      <rPr>
        <color rgb="FF4A5668"/>
        <sz val="8.5"/>
        <rFont val="Arial"/>
      </rPr>
      <t xml:space="preserve">
Itens das listas suspensas. Inclua novos itens nas linhas vazias de cada bloco.</t>
    </r>
  </si>
  <si>
    <t>Status da ação</t>
  </si>
  <si>
    <r>
      <rPr>
        <b/>
        <color rgb="FF0B2A5B"/>
        <sz val="16"/>
        <rFont val="Arial"/>
      </rPr>
      <t>Histórico de revisões</t>
    </r>
    <r>
      <rPr>
        <color rgb="FF4A5668"/>
        <sz val="8.5"/>
        <rFont val="Arial"/>
      </rPr>
      <t xml:space="preserve">
Uma linha por revisão. A última linha preenchida aparece no cabeçalho de todas as abas.</t>
    </r>
  </si>
  <si>
    <t>Revisão</t>
  </si>
  <si>
    <t>Data</t>
  </si>
  <si>
    <t>Descrição da alteração</t>
  </si>
  <si>
    <t>Revisado por</t>
  </si>
  <si>
    <t>Aprovado por</t>
  </si>
  <si>
    <t>00</t>
  </si>
  <si>
    <t>Emissão no padrão PCM Direto (PCMD-Modelo-Padrão): layout, cores, fontes e conferências revisados.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</si>
</sst>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dd/mm/yyyy"/>
    <numFmt numFmtId="165" formatCode="&quot;R$&quot; #,##0.00"/>
    <numFmt numFmtId="166" formatCode=";;;"/>
  </numFmts>
  <fonts count="14" x14ac:knownFonts="1">
    <font>
      <color theme="1"/>
      <family val="2"/>
      <scheme val="minor"/>
      <sz val="11"/>
      <name val="Calibri"/>
    </font>
    <font>
      <b/>
      <color rgb="FF0B2A5B"/>
      <sz val="16"/>
      <name val="Arial"/>
    </font>
    <font>
      <b/>
      <color rgb="FF0B2A5B"/>
      <sz val="10"/>
      <name val="Arial"/>
    </font>
    <font>
      <color rgb="FF4A5668"/>
      <sz val="8"/>
      <name val="Arial"/>
    </font>
    <font>
      <b/>
      <color rgb="FFFFFFFF"/>
      <sz val="10"/>
      <name val="Arial"/>
    </font>
    <font>
      <color rgb="FF0E1726"/>
      <sz val="9"/>
      <name val="Arial"/>
    </font>
    <font>
      <b/>
      <color rgb="FFFFFFFF"/>
      <sz val="9"/>
      <name val="Arial"/>
    </font>
    <font>
      <b/>
      <color rgb="FF0B2A5B"/>
      <sz val="9"/>
      <name val="Arial"/>
    </font>
    <font>
      <color rgb="FF4A5668"/>
      <sz val="8.5"/>
      <name val="Arial"/>
    </font>
    <font>
      <color rgb="FF4A5668"/>
      <sz val="9"/>
      <name val="Arial"/>
    </font>
    <font>
      <b/>
      <u/>
      <color rgb="FF0B2A5B"/>
      <sz val="9"/>
      <name val="Arial"/>
    </font>
    <font>
      <b/>
      <color rgb="FF4A5668"/>
      <sz val="8"/>
      <name val="Arial"/>
    </font>
    <font>
      <b/>
      <color rgb="FF0B2A5B"/>
      <sz val="20"/>
      <name val="Arial"/>
    </font>
    <font>
      <b/>
      <color rgb="FF0E1726"/>
      <sz val="9"/>
      <name val="Arial"/>
    </font>
  </fonts>
  <fills count="5">
    <fill>
      <patternFill patternType="none"/>
    </fill>
    <fill>
      <patternFill patternType="gray125"/>
    </fill>
    <fill>
      <patternFill patternType="solid">
        <fgColor rgb="FF0B2A5B"/>
      </patternFill>
    </fill>
    <fill>
      <patternFill patternType="solid">
        <fgColor rgb="FFF4F6F9"/>
      </patternFill>
    </fill>
    <fill>
      <patternFill patternType="solid">
        <fgColor rgb="FFEEF2F8"/>
      </patternFill>
    </fill>
  </fills>
  <borders count="6">
    <border>
      <left/>
      <right/>
      <top/>
      <bottom/>
      <diagonal/>
    </border>
    <border>
      <left style="thin">
        <color rgb="FF0B2A5B"/>
      </left>
      <right/>
      <top style="thin">
        <color rgb="FF0B2A5B"/>
      </top>
      <bottom/>
      <diagonal/>
    </border>
    <border>
      <left style="thin">
        <color rgb="FF0B2A5B"/>
      </left>
      <right style="thin">
        <color rgb="FF0B2A5B"/>
      </right>
      <top style="thin">
        <color rgb="FF0B2A5B"/>
      </top>
      <bottom/>
      <diagonal/>
    </border>
    <border>
      <left style="thin">
        <color rgb="FF0B2A5B"/>
      </left>
      <right style="thin">
        <color rgb="FF0B2A5B"/>
      </right>
      <top/>
      <bottom style="medium">
        <color rgb="FFE2701F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DDE3EA"/>
      </left>
      <right style="thin">
        <color rgb="FFDDE3EA"/>
      </right>
      <top style="thin">
        <color rgb="FFDDE3EA"/>
      </top>
      <bottom style="thin">
        <color rgb="FFDDE3EA"/>
      </bottom>
      <diagonal/>
    </border>
  </borders>
  <cellStyleXfs count="1">
    <xf numFmtId="0" fontId="0" fillId="0" borderId="0"/>
  </cellStyleXfs>
  <cellXfs count="45">
    <xf numFmtId="0" fontId="0" fillId="0" borderId="0" xfId="0"/>
    <xf numFmtId="0" fontId="0" fillId="0" borderId="1" xfId="0" applyBorder="1"/>
    <xf numFmtId="0" fontId="1" fillId="0" borderId="1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bottom" shrinkToFit="1"/>
    </xf>
    <xf numFmtId="0" fontId="3" fillId="0" borderId="3" xfId="0" applyFont="1" applyBorder="1" applyAlignment="1">
      <alignment horizontal="center" vertical="top" wrapText="1"/>
    </xf>
    <xf numFmtId="0" fontId="4" fillId="2" borderId="4" xfId="0" applyFont="1" applyFill="1" applyBorder="1" applyAlignment="1">
      <alignment horizontal="left" vertical="center" indent="1"/>
    </xf>
    <xf numFmtId="0" fontId="5" fillId="0" borderId="0" xfId="0" applyFont="1" applyAlignment="1">
      <alignment vertical="center" wrapText="1" indent="1"/>
    </xf>
    <xf numFmtId="0" fontId="3" fillId="0" borderId="0" xfId="0" applyFont="1" applyAlignment="1">
      <alignment vertical="center" wrapText="1" indent="1"/>
    </xf>
    <xf numFmtId="0" fontId="6" fillId="2" borderId="4" xfId="0" applyFont="1" applyFill="1" applyBorder="1" applyAlignment="1">
      <alignment horizontal="center" vertical="center" wrapText="1"/>
    </xf>
    <xf numFmtId="0" fontId="5" fillId="3" borderId="5" xfId="0" applyFont="1" applyFill="1" applyBorder="1" applyAlignment="1">
      <alignment vertical="center" wrapText="1" indent="1"/>
    </xf>
    <xf numFmtId="49" fontId="7" fillId="4" borderId="5" xfId="0" applyNumberFormat="1" applyFont="1" applyFill="1" applyBorder="1" applyAlignment="1" applyProtection="1">
      <alignment horizontal="left" vertical="center" wrapText="1" indent="1"/>
      <protection locked="0"/>
    </xf>
    <xf numFmtId="0" fontId="8" fillId="0" borderId="5" xfId="0" applyFont="1" applyBorder="1" applyAlignment="1">
      <alignment vertical="center" wrapText="1" indent="1"/>
    </xf>
    <xf numFmtId="49" fontId="9" fillId="3" borderId="5" xfId="0" applyNumberFormat="1" applyFont="1" applyFill="1" applyBorder="1" applyAlignment="1">
      <alignment horizontal="left" vertical="center" wrapText="1" indent="1"/>
    </xf>
    <xf numFmtId="164" fontId="9" fillId="3" borderId="5" xfId="0" applyNumberFormat="1" applyFont="1" applyFill="1" applyBorder="1" applyAlignment="1">
      <alignment horizontal="left" vertical="center" wrapText="1" indent="1"/>
    </xf>
    <xf numFmtId="164" fontId="7" fillId="4" borderId="5" xfId="0" applyNumberFormat="1" applyFont="1" applyFill="1" applyBorder="1" applyAlignment="1" applyProtection="1">
      <alignment horizontal="left" vertical="center" wrapText="1" indent="1"/>
      <protection locked="0"/>
    </xf>
    <xf numFmtId="1" fontId="7" fillId="4" borderId="5" xfId="0" applyNumberFormat="1" applyFont="1" applyFill="1" applyBorder="1" applyAlignment="1" applyProtection="1">
      <alignment vertical="center" wrapText="1" indent="1"/>
      <protection locked="0"/>
    </xf>
    <xf numFmtId="1" fontId="9" fillId="3" borderId="5" xfId="0" applyNumberFormat="1" applyFont="1" applyFill="1" applyBorder="1" applyAlignment="1">
      <alignment vertical="center" wrapText="1" indent="1"/>
    </xf>
    <xf numFmtId="0" fontId="9" fillId="3" borderId="5" xfId="0" applyFont="1" applyFill="1" applyBorder="1" applyAlignment="1">
      <alignment horizontal="center" vertical="center" wrapText="1" indent="1"/>
    </xf>
    <xf numFmtId="0" fontId="9" fillId="3" borderId="5" xfId="0" applyFont="1" applyFill="1" applyBorder="1" applyAlignment="1">
      <alignment vertical="center" wrapText="1" indent="1"/>
    </xf>
    <xf numFmtId="0" fontId="10" fillId="3" borderId="5" xfId="0" applyFont="1" applyFill="1" applyBorder="1" applyAlignment="1">
      <alignment vertical="center" wrapText="1" indent="1"/>
    </xf>
    <xf numFmtId="0" fontId="11" fillId="3" borderId="5" xfId="0" applyFont="1" applyFill="1" applyBorder="1" applyAlignment="1">
      <alignment horizontal="center" vertical="center" wrapText="1" indent="1"/>
    </xf>
    <xf numFmtId="9" fontId="12" fillId="3" borderId="5" xfId="0" applyNumberFormat="1" applyFont="1" applyFill="1" applyBorder="1" applyAlignment="1">
      <alignment horizontal="center" vertical="center" wrapText="1" indent="1"/>
    </xf>
    <xf numFmtId="3" fontId="12" fillId="3" borderId="5" xfId="0" applyNumberFormat="1" applyFont="1" applyFill="1" applyBorder="1" applyAlignment="1">
      <alignment horizontal="center" vertical="center" wrapText="1" indent="1"/>
    </xf>
    <xf numFmtId="165" fontId="12" fillId="3" borderId="5" xfId="0" applyNumberFormat="1" applyFont="1" applyFill="1" applyBorder="1" applyAlignment="1">
      <alignment horizontal="center" vertical="center" wrapText="1" indent="1"/>
    </xf>
    <xf numFmtId="0" fontId="3" fillId="3" borderId="5" xfId="0" applyFont="1" applyFill="1" applyBorder="1" applyAlignment="1">
      <alignment horizontal="center" vertical="center" wrapText="1" indent="1"/>
    </xf>
    <xf numFmtId="0" fontId="9" fillId="3" borderId="5" xfId="0" applyFont="1" applyFill="1" applyBorder="1" applyAlignment="1">
      <alignment horizontal="left" vertical="center" indent="1"/>
    </xf>
    <xf numFmtId="3" fontId="9" fillId="3" borderId="5" xfId="0" applyNumberFormat="1" applyFont="1" applyFill="1" applyBorder="1" applyAlignment="1">
      <alignment horizontal="center" vertical="center"/>
    </xf>
    <xf numFmtId="9" fontId="9" fillId="3" borderId="5" xfId="0" applyNumberFormat="1" applyFont="1" applyFill="1" applyBorder="1" applyAlignment="1">
      <alignment horizontal="center" vertical="center"/>
    </xf>
    <xf numFmtId="49" fontId="13" fillId="0" borderId="5" xfId="0" applyNumberFormat="1" applyFont="1" applyBorder="1" applyAlignment="1" applyProtection="1">
      <alignment horizontal="center" vertical="center"/>
      <protection locked="0"/>
    </xf>
    <xf numFmtId="0" fontId="5" fillId="0" borderId="5" xfId="0" applyFont="1" applyBorder="1" applyAlignment="1" applyProtection="1">
      <alignment horizontal="left" vertical="center" wrapText="1" indent="1"/>
      <protection locked="0"/>
    </xf>
    <xf numFmtId="0" fontId="5" fillId="0" borderId="5" xfId="0" applyFont="1" applyBorder="1" applyAlignment="1" applyProtection="1">
      <alignment horizontal="left" vertical="center" indent="1"/>
      <protection locked="0"/>
    </xf>
    <xf numFmtId="164" fontId="5" fillId="0" borderId="5" xfId="0" applyNumberFormat="1" applyFont="1" applyBorder="1" applyAlignment="1" applyProtection="1">
      <alignment horizontal="center" vertical="center"/>
      <protection locked="0"/>
    </xf>
    <xf numFmtId="165" fontId="5" fillId="0" borderId="5" xfId="0" applyNumberFormat="1" applyFont="1" applyBorder="1" applyAlignment="1" applyProtection="1">
      <alignment horizontal="center" vertical="center"/>
      <protection locked="0"/>
    </xf>
    <xf numFmtId="0" fontId="5" fillId="0" borderId="5" xfId="0" applyFont="1" applyBorder="1" applyAlignment="1" applyProtection="1">
      <alignment horizontal="center" vertical="center"/>
      <protection locked="0"/>
    </xf>
    <xf numFmtId="9" fontId="5" fillId="0" borderId="5" xfId="0" applyNumberFormat="1" applyFont="1" applyBorder="1" applyAlignment="1" applyProtection="1">
      <alignment horizontal="center" vertical="center"/>
      <protection locked="0"/>
    </xf>
    <xf numFmtId="0" fontId="9" fillId="3" borderId="5" xfId="0" applyFont="1" applyFill="1" applyBorder="1" applyAlignment="1" applyProtection="1">
      <alignment horizontal="center" vertical="center"/>
    </xf>
    <xf numFmtId="1" fontId="9" fillId="3" borderId="5" xfId="0" applyNumberFormat="1" applyFont="1" applyFill="1" applyBorder="1" applyAlignment="1" applyProtection="1">
      <alignment horizontal="center" vertical="center"/>
    </xf>
    <xf numFmtId="0" fontId="9" fillId="3" borderId="5" xfId="0" applyFont="1" applyFill="1" applyBorder="1" applyAlignment="1" applyProtection="1">
      <alignment horizontal="left" vertical="center" indent="1"/>
    </xf>
    <xf numFmtId="0" fontId="7" fillId="3" borderId="5" xfId="0" applyFont="1" applyFill="1" applyBorder="1" applyAlignment="1">
      <alignment horizontal="right" vertical="center" wrapText="1" indent="1"/>
    </xf>
    <xf numFmtId="0" fontId="7" fillId="3" borderId="5" xfId="0" applyFont="1" applyFill="1" applyBorder="1" applyAlignment="1">
      <alignment horizontal="center" vertical="center"/>
    </xf>
    <xf numFmtId="0" fontId="9" fillId="3" borderId="5" xfId="0" applyFont="1" applyFill="1" applyBorder="1" applyAlignment="1">
      <alignment horizontal="center" vertical="center"/>
    </xf>
    <xf numFmtId="166" fontId="9" fillId="3" borderId="5" xfId="0" applyNumberFormat="1" applyFont="1" applyFill="1" applyBorder="1" applyAlignment="1">
      <alignment horizontal="center" vertical="center"/>
    </xf>
    <xf numFmtId="0" fontId="1" fillId="0" borderId="2" xfId="0" applyFont="1" applyBorder="1" applyAlignment="1">
      <alignment horizontal="center" vertical="center" wrapText="1"/>
    </xf>
    <xf numFmtId="0" fontId="5" fillId="0" borderId="5" xfId="0" applyFont="1" applyBorder="1" applyAlignment="1" applyProtection="1">
      <alignment horizontal="left" vertical="center" indent="1"/>
    </xf>
    <xf numFmtId="49" fontId="5" fillId="0" borderId="5" xfId="0" applyNumberFormat="1" applyFont="1" applyBorder="1" applyAlignment="1" applyProtection="1">
      <alignment horizontal="center" vertical="center"/>
      <protection locked="0"/>
    </xf>
  </cellXfs>
  <cellStyles count="1">
    <cellStyle name="Normal" xfId="0" builtinId="0"/>
  </cellStyles>
  <dxfs count="24">
    <dxf>
      <font>
        <b/>
        <color rgb="FFB42318"/>
      </font>
      <fill>
        <patternFill patternType="solid">
          <bgColor rgb="FFFDECEA"/>
        </patternFill>
      </fill>
    </dxf>
    <dxf>
      <font>
        <b/>
        <color rgb="FFB42318"/>
      </font>
      <fill>
        <patternFill patternType="solid">
          <bgColor rgb="FFFDECEA"/>
        </patternFill>
      </fill>
    </dxf>
    <dxf>
      <font>
        <color rgb="FF8A5A00"/>
      </font>
      <fill>
        <patternFill patternType="solid">
          <bgColor rgb="FFFDF1DC"/>
        </patternFill>
      </fill>
    </dxf>
    <dxf>
      <font>
        <b/>
        <color rgb="FF1E7A4C"/>
      </font>
      <fill>
        <patternFill patternType="solid">
          <bgColor rgb="FFE6F4EC"/>
        </patternFill>
      </fill>
    </dxf>
    <dxf>
      <font>
        <b/>
        <color rgb="FFB42318"/>
      </font>
      <fill>
        <patternFill patternType="solid">
          <bgColor rgb="FFFDECEA"/>
        </patternFill>
      </fill>
    </dxf>
    <dxf>
      <font>
        <b/>
        <color rgb="FF1E7A4C"/>
      </font>
      <fill>
        <patternFill patternType="solid">
          <bgColor rgb="FFE6F4EC"/>
        </patternFill>
      </fill>
    </dxf>
    <dxf>
      <font>
        <b/>
        <color rgb="FF0B2A5B"/>
      </font>
      <fill>
        <patternFill patternType="solid">
          <bgColor rgb="FFEEF2F8"/>
        </patternFill>
      </fill>
    </dxf>
    <dxf>
      <font>
        <color rgb="FF4A5668"/>
      </font>
      <fill>
        <patternFill patternType="solid">
          <bgColor rgb="FFF4F6F9"/>
        </patternFill>
      </fill>
    </dxf>
    <dxf>
      <font>
        <color rgb="FF4A5668"/>
      </font>
      <fill>
        <patternFill patternType="solid">
          <bgColor rgb="FFF4F6F9"/>
        </patternFill>
      </fill>
    </dxf>
    <dxf>
      <font>
        <b/>
        <color rgb="FFB42318"/>
      </font>
      <fill>
        <patternFill patternType="solid">
          <bgColor rgb="FFFDECEA"/>
        </patternFill>
      </fill>
    </dxf>
    <dxf>
      <font>
        <color rgb="FF8A5A00"/>
      </font>
      <fill>
        <patternFill patternType="solid">
          <bgColor rgb="FFFDF1DC"/>
        </patternFill>
      </fill>
    </dxf>
    <dxf>
      <font>
        <b/>
        <color rgb="FF0B2A5B"/>
      </font>
      <fill>
        <patternFill patternType="solid">
          <bgColor rgb="FFEEF2F8"/>
        </patternFill>
      </fill>
    </dxf>
    <dxf>
      <font>
        <b/>
        <color rgb="FF1E7A4C"/>
      </font>
      <fill>
        <patternFill patternType="solid">
          <bgColor rgb="FFE6F4EC"/>
        </patternFill>
      </fill>
    </dxf>
    <dxf>
      <font>
        <color rgb="FF8A5A00"/>
      </font>
      <fill>
        <patternFill patternType="solid">
          <bgColor rgb="FFFDF1DC"/>
        </patternFill>
      </fill>
    </dxf>
    <dxf>
      <font>
        <b/>
        <color rgb="FFB42318"/>
      </font>
      <fill>
        <patternFill patternType="solid">
          <bgColor rgb="FFFDECEA"/>
        </patternFill>
      </fill>
    </dxf>
    <dxf>
      <font>
        <color rgb="FF8A5A00"/>
      </font>
      <fill>
        <patternFill patternType="solid">
          <bgColor rgb="FFFDF1DC"/>
        </patternFill>
      </fill>
    </dxf>
    <dxf>
      <font>
        <b/>
        <color rgb="FF1E7A4C"/>
      </font>
      <fill>
        <patternFill patternType="solid">
          <bgColor rgb="FFE6F4EC"/>
        </patternFill>
      </fill>
    </dxf>
    <dxf>
      <fill>
        <patternFill patternType="solid">
          <bgColor rgb="FFB42318"/>
        </patternFill>
      </fill>
    </dxf>
    <dxf>
      <fill>
        <patternFill patternType="solid">
          <bgColor rgb="FF1E7A4C"/>
        </patternFill>
      </fill>
    </dxf>
    <dxf>
      <fill>
        <patternFill patternType="solid">
          <bgColor rgb="FFE2701F"/>
        </patternFill>
      </fill>
    </dxf>
    <dxf>
      <fill>
        <patternFill patternType="solid">
          <bgColor rgb="FF0B2A5B"/>
        </patternFill>
      </fill>
    </dxf>
    <dxf>
      <font>
        <b/>
        <color rgb="FFB42318"/>
      </font>
      <fill>
        <patternFill patternType="solid">
          <bgColor rgb="FFFDECEA"/>
        </patternFill>
      </fill>
    </dxf>
    <dxf>
      <font>
        <b/>
        <color rgb="FFB42318"/>
      </font>
      <fill>
        <patternFill patternType="solid">
          <bgColor rgb="FFFDECEA"/>
        </patternFill>
      </fill>
    </dxf>
    <dxf>
      <font>
        <b/>
        <color rgb="FFB42318"/>
      </font>
      <fill>
        <patternFill patternType="solid">
          <bgColor rgb="FFFDECEA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6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Relationship Id="rId9" Type="http://schemas.openxmlformats.org/officeDocument/2006/relationships/worksheet" Target="worksheets/sheet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pt-BR"/>
  <c:roundedCorners val="0"/>
  <c:chart>
    <c:autoTitleDeleted val="1"/>
    <c:plotArea>
      <c:layout/>
      <c:doughnutChart>
        <c:varyColors val="1"/>
        <c:ser>
          <c:idx val="0"/>
          <c:order val="0"/>
          <c:tx>
            <c:v>Valor</c:v>
          </c:tx>
          <c:dPt>
            <c:idx val="0"/>
            <c:bubble3D val="0"/>
            <c:spPr>
              <a:solidFill>
                <a:srgbClr val="8FA3BF"/>
              </a:solidFill>
              <a:ln w="12700" cap="rnd">
                <a:solidFill>
                  <a:srgbClr val="FFFFFF"/>
                </a:solidFill>
                <a:round/>
              </a:ln>
            </c:spPr>
          </c:dPt>
          <c:dPt>
            <c:idx val="1"/>
            <c:bubble3D val="0"/>
            <c:spPr>
              <a:solidFill>
                <a:srgbClr val="0B2A5B"/>
              </a:solidFill>
              <a:ln w="12700" cap="rnd">
                <a:solidFill>
                  <a:srgbClr val="FFFFFF"/>
                </a:solidFill>
                <a:round/>
              </a:ln>
            </c:spPr>
          </c:dPt>
          <c:dPt>
            <c:idx val="2"/>
            <c:bubble3D val="0"/>
            <c:spPr>
              <a:solidFill>
                <a:srgbClr val="1E7A4C"/>
              </a:solidFill>
              <a:ln w="12700" cap="rnd">
                <a:solidFill>
                  <a:srgbClr val="FFFFFF"/>
                </a:solidFill>
                <a:round/>
              </a:ln>
            </c:spPr>
          </c:dPt>
          <c:dPt>
            <c:idx val="3"/>
            <c:bubble3D val="0"/>
            <c:spPr>
              <a:solidFill>
                <a:srgbClr val="DDE3EA"/>
              </a:solidFill>
              <a:ln w="12700" cap="rnd">
                <a:solidFill>
                  <a:srgbClr val="FFFFFF"/>
                </a:solidFill>
                <a:round/>
              </a:ln>
            </c:spPr>
          </c:dPt>
          <c:dLbls>
            <c:numFmt formatCode="0" sourceLinked="0"/>
            <c:spPr>
              <a:noFill/>
              <a:ln>
                <a:noFill/>
              </a:ln>
            </c:spPr>
            <c:txPr>
              <a:bodyPr/>
              <a:lstStyle/>
              <a:p>
                <a:pPr>
                  <a:defRPr sz="800" b="1">
                    <a:solidFill>
                      <a:srgbClr val="FFFFFF"/>
                    </a:solidFill>
                    <a:latin typeface="Arial"/>
                    <a:cs typeface="Arial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'Painel'!$A$30:$A$33</c:f>
            </c:strRef>
          </c:cat>
          <c:val>
            <c:numRef>
              <c:f>'Painel'!$C$30:$C$33</c:f>
            </c:numRef>
          </c:val>
        </c:ser>
        <c:firstSliceAng val="0"/>
        <c:holeSize val="58"/>
      </c:doughnutChart>
      <c:spPr>
        <a:noFill/>
        <a:ln>
          <a:noFill/>
        </a:ln>
      </c:spPr>
    </c:plotArea>
    <c:legend>
      <c:legendPos val="r"/>
      <c:overlay val="0"/>
      <c:txPr>
        <a:bodyPr/>
        <a:lstStyle/>
        <a:p>
          <a:pPr>
            <a:defRPr sz="800" b="0">
              <a:solidFill>
                <a:srgbClr val="4A5668"/>
              </a:solidFill>
              <a:latin typeface="Arial"/>
              <a:cs typeface="Arial"/>
            </a:defRPr>
          </a:pPr>
          <a:endParaRPr lang="pt-BR"/>
        </a:p>
      </c:txPr>
    </c:legend>
    <c:plotVisOnly val="1"/>
    <c:dispBlanksAs val="gap"/>
  </c:chart>
  <c:spPr>
    <a:solidFill>
      <a:srgbClr val="FFFFFF"/>
    </a:solidFill>
    <a:ln w="9525">
      <a:solidFill>
        <a:srgbClr val="DDE3EA"/>
      </a:solidFill>
    </a:ln>
  </c:spPr>
  <c:txPr>
    <a:bodyPr/>
    <a:lstStyle/>
    <a:p>
      <a:pPr>
        <a:defRPr sz="800" b="0">
          <a:solidFill>
            <a:srgbClr val="4A5668"/>
          </a:solidFill>
          <a:latin typeface="Arial"/>
          <a:cs typeface="Arial"/>
        </a:defRPr>
      </a:pPr>
      <a:endParaRPr lang="pt-B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pt-BR"/>
  <c:roundedCorners val="0"/>
  <c:chart>
    <c:autoTitleDeleted val="1"/>
    <c:plotArea>
      <c:layout/>
      <c:barChart>
        <c:barDir val="bar"/>
        <c:grouping val="clustered"/>
        <c:varyColors val="0"/>
        <c:ser>
          <c:idx val="0"/>
          <c:order val="0"/>
          <c:tx>
            <c:v>Valor</c:v>
          </c:tx>
          <c:spPr>
            <a:solidFill>
              <a:srgbClr val="0B2A5B"/>
            </a:solidFill>
            <a:ln>
              <a:noFill/>
            </a:ln>
          </c:spPr>
          <c:invertIfNegative val="0"/>
          <c:dLbls>
            <c:numFmt formatCode="0%" sourceLinked="0"/>
            <c:spPr>
              <a:noFill/>
              <a:ln>
                <a:noFill/>
              </a:ln>
            </c:spPr>
            <c:txPr>
              <a:bodyPr/>
              <a:lstStyle/>
              <a:p>
                <a:pPr>
                  <a:defRPr sz="800" b="0">
                    <a:solidFill>
                      <a:srgbClr val="0E1726"/>
                    </a:solidFill>
                    <a:latin typeface="Arial"/>
                    <a:cs typeface="Arial"/>
                  </a:defRPr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'Painel'!$E$30:$E$39</c:f>
            </c:strRef>
          </c:cat>
          <c:val>
            <c:numRef>
              <c:f>'Painel'!$G$30:$G$39</c:f>
            </c:numRef>
          </c:val>
        </c:ser>
        <c:gapWidth val="60"/>
        <c:axId val="111"/>
        <c:axId val="222"/>
      </c:barChart>
      <c:catAx>
        <c:axId val="111"/>
        <c:scaling>
          <c:orientation val="maxMin"/>
        </c:scaling>
        <c:delete val="0"/>
        <c:axPos val="l"/>
        <c:numFmt formatCode="General" sourceLinked="0"/>
        <c:majorTickMark val="none"/>
        <c:minorTickMark val="none"/>
        <c:tickLblPos val="nextTo"/>
        <c:spPr>
          <a:ln w="9525">
            <a:solidFill>
              <a:srgbClr val="DDE3EA"/>
            </a:solidFill>
          </a:ln>
        </c:spPr>
        <c:txPr>
          <a:bodyPr/>
          <a:lstStyle/>
          <a:p>
            <a:pPr>
              <a:defRPr sz="800" b="0">
                <a:solidFill>
                  <a:srgbClr val="4A5668"/>
                </a:solidFill>
                <a:latin typeface="Arial"/>
                <a:cs typeface="Arial"/>
              </a:defRPr>
            </a:pPr>
            <a:endParaRPr lang="pt-BR"/>
          </a:p>
        </c:txPr>
        <c:crossAx val="222"/>
        <c:crosses val="autoZero"/>
        <c:auto val="1"/>
        <c:lblAlgn val="ctr"/>
        <c:lblOffset val="100"/>
        <c:noMultiLvlLbl val="0"/>
      </c:catAx>
      <c:valAx>
        <c:axId val="222"/>
        <c:scaling>
          <c:orientation val="minMax"/>
          <c:min val="0"/>
        </c:scaling>
        <c:delete val="1"/>
        <c:axPos val="t"/>
        <c:majorGridlines>
          <c:spPr>
            <a:ln w="9525">
              <a:solidFill>
                <a:srgbClr val="EEF2F8"/>
              </a:solidFill>
            </a:ln>
          </c:spPr>
        </c:majorGridlines>
        <c:numFmt formatCode="0%" sourceLinked="0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>
              <a:defRPr sz="800" b="0">
                <a:solidFill>
                  <a:srgbClr val="4A5668"/>
                </a:solidFill>
                <a:latin typeface="Arial"/>
                <a:cs typeface="Arial"/>
              </a:defRPr>
            </a:pPr>
            <a:endParaRPr lang="pt-BR"/>
          </a:p>
        </c:txPr>
        <c:crossAx val="111"/>
        <c:crosses val="autoZero"/>
        <c:crossBetween val="between"/>
      </c:valAx>
      <c:spPr>
        <a:noFill/>
        <a:ln>
          <a:noFill/>
        </a:ln>
      </c:spPr>
    </c:plotArea>
    <c:plotVisOnly val="1"/>
    <c:dispBlanksAs val="gap"/>
  </c:chart>
  <c:spPr>
    <a:solidFill>
      <a:srgbClr val="FFFFFF"/>
    </a:solidFill>
    <a:ln w="9525">
      <a:solidFill>
        <a:srgbClr val="DDE3EA"/>
      </a:solidFill>
    </a:ln>
  </c:spPr>
  <c:txPr>
    <a:bodyPr/>
    <a:lstStyle/>
    <a:p>
      <a:pPr>
        <a:defRPr sz="800" b="0">
          <a:solidFill>
            <a:srgbClr val="4A5668"/>
          </a:solidFill>
          <a:latin typeface="Arial"/>
          <a:cs typeface="Arial"/>
        </a:defRPr>
      </a:pPr>
      <a:endParaRPr lang="pt-B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pt-BR"/>
  <c:roundedCorners val="0"/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v>Valor</c:v>
          </c:tx>
          <c:spPr>
            <a:solidFill>
              <a:srgbClr val="E2701F"/>
            </a:solidFill>
            <a:ln>
              <a:noFill/>
            </a:ln>
          </c:spPr>
          <c:invertIfNegative val="0"/>
          <c:dLbls>
            <c:numFmt formatCode="0" sourceLinked="0"/>
            <c:spPr>
              <a:noFill/>
              <a:ln>
                <a:noFill/>
              </a:ln>
            </c:spPr>
            <c:txPr>
              <a:bodyPr/>
              <a:lstStyle/>
              <a:p>
                <a:pPr>
                  <a:defRPr sz="800" b="0">
                    <a:solidFill>
                      <a:srgbClr val="0E1726"/>
                    </a:solidFill>
                    <a:latin typeface="Arial"/>
                    <a:cs typeface="Arial"/>
                  </a:defRPr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'Painel'!$I$30:$I$41</c:f>
            </c:strRef>
          </c:cat>
          <c:val>
            <c:numRef>
              <c:f>'Painel'!$K$30:$K$41</c:f>
            </c:numRef>
          </c:val>
        </c:ser>
        <c:gapWidth val="60"/>
        <c:axId val="111"/>
        <c:axId val="222"/>
      </c:barChart>
      <c:catAx>
        <c:axId val="111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525">
            <a:solidFill>
              <a:srgbClr val="DDE3EA"/>
            </a:solidFill>
          </a:ln>
        </c:spPr>
        <c:txPr>
          <a:bodyPr/>
          <a:lstStyle/>
          <a:p>
            <a:pPr>
              <a:defRPr sz="800" b="0">
                <a:solidFill>
                  <a:srgbClr val="4A5668"/>
                </a:solidFill>
                <a:latin typeface="Arial"/>
                <a:cs typeface="Arial"/>
              </a:defRPr>
            </a:pPr>
            <a:endParaRPr lang="pt-BR"/>
          </a:p>
        </c:txPr>
        <c:crossAx val="222"/>
        <c:crosses val="autoZero"/>
        <c:auto val="1"/>
        <c:lblAlgn val="ctr"/>
        <c:lblOffset val="100"/>
        <c:noMultiLvlLbl val="0"/>
      </c:catAx>
      <c:valAx>
        <c:axId val="222"/>
        <c:scaling>
          <c:orientation val="minMax"/>
          <c:min val="0"/>
        </c:scaling>
        <c:delete val="1"/>
        <c:axPos val="l"/>
        <c:majorGridlines>
          <c:spPr>
            <a:ln w="9525">
              <a:solidFill>
                <a:srgbClr val="EEF2F8"/>
              </a:solidFill>
            </a:ln>
          </c:spPr>
        </c:majorGridlines>
        <c:numFmt formatCode="0" sourceLinked="0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>
              <a:defRPr sz="800" b="0">
                <a:solidFill>
                  <a:srgbClr val="4A5668"/>
                </a:solidFill>
                <a:latin typeface="Arial"/>
                <a:cs typeface="Arial"/>
              </a:defRPr>
            </a:pPr>
            <a:endParaRPr lang="pt-BR"/>
          </a:p>
        </c:txPr>
        <c:crossAx val="111"/>
        <c:crosses val="autoZero"/>
        <c:crossBetween val="between"/>
      </c:valAx>
      <c:spPr>
        <a:noFill/>
        <a:ln>
          <a:noFill/>
        </a:ln>
      </c:spPr>
    </c:plotArea>
    <c:plotVisOnly val="1"/>
    <c:dispBlanksAs val="gap"/>
  </c:chart>
  <c:spPr>
    <a:solidFill>
      <a:srgbClr val="FFFFFF"/>
    </a:solidFill>
    <a:ln w="9525">
      <a:solidFill>
        <a:srgbClr val="DDE3EA"/>
      </a:solidFill>
    </a:ln>
  </c:spPr>
  <c:txPr>
    <a:bodyPr/>
    <a:lstStyle/>
    <a:p>
      <a:pPr>
        <a:defRPr sz="800" b="0">
          <a:solidFill>
            <a:srgbClr val="4A5668"/>
          </a:solidFill>
          <a:latin typeface="Arial"/>
          <a:cs typeface="Arial"/>
        </a:defRPr>
      </a:pPr>
      <a:endParaRPr lang="pt-BR"/>
    </a:p>
  </c:tx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Relationship Id="rIdPcmdChart1" Type="http://schemas.openxmlformats.org/officeDocument/2006/relationships/chart" Target="../charts/chart1.xml"/><Relationship Id="rIdPcmdChart2" Type="http://schemas.openxmlformats.org/officeDocument/2006/relationships/chart" Target="../charts/chart2.xml"/><Relationship Id="rIdPcmdChart3" Type="http://schemas.openxmlformats.org/officeDocument/2006/relationships/chart" Target="../charts/chart3.xml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92093</xdr:colOff>
      <xdr:row>0</xdr:row>
      <xdr:rowOff>142500</xdr:rowOff>
    </xdr:from>
    <xdr:ext cx="1905000" cy="55245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2.xml><?xml version="1.0" encoding="utf-8"?>
<xdr:wsDr xmlns:r="http://schemas.openxmlformats.org/officeDocument/2006/relationships" xmlns:xdr="http://schemas.openxmlformats.org/drawingml/2006/spreadsheetDrawing" xmlns:a="http://schemas.openxmlformats.org/drawingml/2006/main">
  <xdr:oneCellAnchor editAs="oneCell">
    <xdr:from>
      <xdr:col>0</xdr:col>
      <xdr:colOff>10810</xdr:colOff>
      <xdr:row>0</xdr:row>
      <xdr:rowOff>180000</xdr:rowOff>
    </xdr:from>
    <xdr:ext cx="1609725" cy="466725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twoCellAnchor editAs="oneCell">
    <xdr:from>
      <xdr:col>0</xdr:col>
      <xdr:colOff>76200</xdr:colOff>
      <xdr:row>10</xdr:row>
      <xdr:rowOff>38100</xdr:rowOff>
    </xdr:from>
    <xdr:to>
      <xdr:col>4</xdr:col>
      <xdr:colOff>0</xdr:colOff>
      <xdr:row>26</xdr:row>
      <xdr:rowOff>0</xdr:rowOff>
    </xdr:to>
    <xdr:graphicFrame macro="">
      <xdr:nvGraphicFramePr>
        <xdr:cNvPr id="101" name="Gráfico 101" descr="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r:id="rIdPcmdChart1"/>
        </a:graphicData>
      </a:graphic>
    </xdr:graphicFrame>
    <xdr:clientData/>
  </xdr:twoCellAnchor>
  <xdr:twoCellAnchor editAs="oneCell">
    <xdr:from>
      <xdr:col>4</xdr:col>
      <xdr:colOff>76200</xdr:colOff>
      <xdr:row>10</xdr:row>
      <xdr:rowOff>38100</xdr:rowOff>
    </xdr:from>
    <xdr:to>
      <xdr:col>8</xdr:col>
      <xdr:colOff>0</xdr:colOff>
      <xdr:row>26</xdr:row>
      <xdr:rowOff>0</xdr:rowOff>
    </xdr:to>
    <xdr:graphicFrame macro="">
      <xdr:nvGraphicFramePr>
        <xdr:cNvPr id="102" name="Gráfico 102" descr="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r:id="rIdPcmdChart2"/>
        </a:graphicData>
      </a:graphic>
    </xdr:graphicFrame>
    <xdr:clientData/>
  </xdr:twoCellAnchor>
  <xdr:twoCellAnchor editAs="oneCell">
    <xdr:from>
      <xdr:col>8</xdr:col>
      <xdr:colOff>76200</xdr:colOff>
      <xdr:row>10</xdr:row>
      <xdr:rowOff>38100</xdr:rowOff>
    </xdr:from>
    <xdr:to>
      <xdr:col>12</xdr:col>
      <xdr:colOff>0</xdr:colOff>
      <xdr:row>26</xdr:row>
      <xdr:rowOff>0</xdr:rowOff>
    </xdr:to>
    <xdr:graphicFrame macro="">
      <xdr:nvGraphicFramePr>
        <xdr:cNvPr id="103" name="Gráfico 103" descr="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r:id="rIdPcmdChart3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63518</xdr:colOff>
      <xdr:row>0</xdr:row>
      <xdr:rowOff>142500</xdr:rowOff>
    </xdr:from>
    <xdr:ext cx="1905000" cy="55245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 editAs="oneCell">
    <xdr:from>
      <xdr:col>1</xdr:col>
      <xdr:colOff>2801</xdr:colOff>
      <xdr:row>0</xdr:row>
      <xdr:rowOff>142500</xdr:rowOff>
    </xdr:from>
    <xdr:ext cx="1905000" cy="55245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10992</xdr:colOff>
      <xdr:row>0</xdr:row>
      <xdr:rowOff>210000</xdr:rowOff>
    </xdr:from>
    <xdr:ext cx="1343025" cy="390525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13592</xdr:colOff>
      <xdr:row>0</xdr:row>
      <xdr:rowOff>142500</xdr:rowOff>
    </xdr:from>
    <xdr:ext cx="1905000" cy="55245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6.xml.rels><?xml version="1.0" encoding="UTF-8" standalone="yes"?>
<Relationships xmlns="http://schemas.openxmlformats.org/package/2006/relationships"><Relationship Id="rId1" Type="http://schemas.openxmlformats.org/officeDocument/2006/relationships/hyperlink" Target="#&apos;Painel&apos;!A1" TargetMode="External"/><Relationship Id="rId2" Type="http://schemas.openxmlformats.org/officeDocument/2006/relationships/hyperlink" Target="#&apos;Plano de A&#231;&#227;o&apos;!A1" TargetMode="External"/><Relationship Id="rId3" Type="http://schemas.openxmlformats.org/officeDocument/2006/relationships/hyperlink" Target="#&apos;Cronograma&apos;!A1" TargetMode="External"/><Relationship Id="rId4" Type="http://schemas.openxmlformats.org/officeDocument/2006/relationships/hyperlink" Target="#&apos;Listas&apos;!A1" TargetMode="External"/><Relationship Id="rId5" Type="http://schemas.openxmlformats.org/officeDocument/2006/relationships/hyperlink" Target="#&apos;Revis&#245;es&apos;!A1" TargetMode="External"/><Relationship Id="rId6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L41"/>
  <sheetViews>
    <sheetView workbookViewId="0" showGridLines="0" zoomScale="100" zoomScaleNormal="100">
      <selection activeCell="A4" sqref="A4"/>
    </sheetView>
  </sheetViews>
  <sheetFormatPr defaultRowHeight="15" outlineLevelRow="0" outlineLevelCol="0" x14ac:dyDescent="55"/>
  <cols>
    <col min="1" max="11" width="12.5" customWidth="1"/>
    <col min="12" max="12" width="20" customWidth="1"/>
  </cols>
  <sheetData>
    <row r="1" ht="36" customHeight="1" spans="1:12" x14ac:dyDescent="0.25">
      <c r="A1" s="1"/>
      <c r="B1" s="1"/>
      <c r="C1" s="2" t="s">
        <v>43</v>
      </c>
      <c r="D1" s="2"/>
      <c r="E1" s="2"/>
      <c r="F1" s="2"/>
      <c r="G1" s="2"/>
      <c r="H1" s="2"/>
      <c r="I1" s="2"/>
      <c r="J1" s="2"/>
      <c r="K1" s="2"/>
      <c r="L1" s="3">
        <f>"Rev. "&amp;IF(cfg_revisao="","—",cfg_revisao)&amp;IF(ISNUMBER(cfg_data_revisao),"  ·  "&amp;RIGHT("0"&amp;DAY(cfg_data_revisao),2)&amp;"/"&amp;RIGHT("0"&amp;MONTH(cfg_data_revisao),2)&amp;"/"&amp;YEAR(cfg_data_revisao),"")</f>
      </c>
    </row>
    <row r="2" ht="36" customHeight="1" spans="1:12" x14ac:dyDescent="0.25">
      <c r="A2" s="1"/>
      <c r="B2" s="1"/>
      <c r="C2" s="2"/>
      <c r="D2" s="2"/>
      <c r="E2" s="2"/>
      <c r="F2" s="2"/>
      <c r="G2" s="2"/>
      <c r="H2" s="2"/>
      <c r="I2" s="2"/>
      <c r="J2" s="2"/>
      <c r="K2" s="2"/>
      <c r="L2" s="4">
        <f>"Elaborado: "&amp;IF(cfg_elaborado="","A definir",cfg_elaborado)&amp;CHAR(10)&amp;"Aprovado: "&amp;IF(cfg_aprovado="","A definir",cfg_aprovado)</f>
      </c>
    </row>
    <row r="3" ht="10" customHeight="1" x14ac:dyDescent="0.25"/>
    <row r="4" ht="18" customHeight="1" spans="1:12" x14ac:dyDescent="0.25">
      <c r="A4" s="20" t="s">
        <v>44</v>
      </c>
      <c r="B4" s="20"/>
      <c r="C4" s="20"/>
      <c r="D4" s="20" t="s">
        <v>45</v>
      </c>
      <c r="E4" s="20"/>
      <c r="F4" s="20"/>
      <c r="G4" s="20" t="s">
        <v>46</v>
      </c>
      <c r="H4" s="20"/>
      <c r="I4" s="20"/>
      <c r="J4" s="20" t="s">
        <v>47</v>
      </c>
      <c r="K4" s="20"/>
      <c r="L4" s="20"/>
    </row>
    <row r="5" ht="38" customHeight="1" spans="1:12" x14ac:dyDescent="0.25">
      <c r="A5" s="21">
        <f>IFERROR(AVERAGEIFS('Plano de Ação'!$K$4:$K$303,'Plano de Ação'!$B$4:$B$303,"&lt;&gt;",'Plano de Ação'!$J$4:$J$303,"&lt;&gt;Cancelada"),"—")</f>
      </c>
      <c r="B5" s="21"/>
      <c r="C5" s="21"/>
      <c r="D5" s="22">
        <f>COUNTIF(pa_situacao,"Atrasada")</f>
      </c>
      <c r="E5" s="22"/>
      <c r="F5" s="22"/>
      <c r="G5" s="22">
        <f>COUNTIF(pa_situacao,"Vence esta semana")</f>
      </c>
      <c r="H5" s="22"/>
      <c r="I5" s="22"/>
      <c r="J5" s="23">
        <f>SUMIFS('Plano de Ação'!$I$4:$I$303,'Plano de Ação'!$J$4:$J$303,"&lt;&gt;Cancelada")</f>
      </c>
      <c r="K5" s="23"/>
      <c r="L5" s="23"/>
    </row>
    <row r="6" ht="18" customHeight="1" spans="1:12" x14ac:dyDescent="0.25">
      <c r="A6" s="24" t="s">
        <v>48</v>
      </c>
      <c r="B6" s="24"/>
      <c r="C6" s="24"/>
      <c r="D6" s="24" t="s">
        <v>49</v>
      </c>
      <c r="E6" s="24"/>
      <c r="F6" s="24"/>
      <c r="G6" s="24" t="s">
        <v>50</v>
      </c>
      <c r="H6" s="24"/>
      <c r="I6" s="24"/>
      <c r="J6" s="24" t="s">
        <v>51</v>
      </c>
      <c r="K6" s="24"/>
      <c r="L6" s="24"/>
    </row>
    <row r="7" ht="8" customHeight="1" x14ac:dyDescent="0.25"/>
    <row r="8" ht="20" customHeight="1" spans="1:12" x14ac:dyDescent="0.25">
      <c r="A8" s="17">
        <f>"Ações no plano: "&amp;COUNTA('Plano de Ação'!$B$4:$B$303)&amp;"   ·   Concluídas: "&amp;COUNTIF('Plano de Ação'!$J$4:$J$303,"Concluída")&amp;"   ·   Em andamento: "&amp;COUNTIF('Plano de Ação'!$J$4:$J$303,"Em andamento")&amp;"   ·   Não iniciadas: "&amp;COUNTIF('Plano de Ação'!$J$4:$J$303,"Não iniciada")&amp;"   ·   Já investido (concluídas): R$ "&amp;FIXED(SUMIFS('Plano de Ação'!$I$4:$I$303,'Plano de Ação'!$J$4:$J$303,"Concluída"),2)</f>
      </c>
      <c r="B8" s="17"/>
      <c r="C8" s="17"/>
      <c r="D8" s="17"/>
      <c r="E8" s="17"/>
      <c r="F8" s="17"/>
      <c r="G8" s="17"/>
      <c r="H8" s="17"/>
      <c r="I8" s="17"/>
      <c r="J8" s="17"/>
      <c r="K8" s="17"/>
      <c r="L8" s="17"/>
    </row>
    <row r="9" ht="8" customHeight="1" x14ac:dyDescent="0.25"/>
    <row r="10" ht="20" customHeight="1" spans="1:12" x14ac:dyDescent="0.25">
      <c r="A10" s="5" t="s">
        <v>52</v>
      </c>
      <c r="B10" s="5"/>
      <c r="C10" s="5"/>
      <c r="D10" s="5"/>
      <c r="E10" s="5" t="s">
        <v>53</v>
      </c>
      <c r="F10" s="5"/>
      <c r="G10" s="5"/>
      <c r="H10" s="5"/>
      <c r="I10" s="5" t="s">
        <v>54</v>
      </c>
      <c r="J10" s="5"/>
      <c r="K10" s="5"/>
      <c r="L10" s="5"/>
    </row>
    <row r="11" ht="16" customHeight="1" x14ac:dyDescent="0.25"/>
    <row r="12" ht="16" customHeight="1" x14ac:dyDescent="0.25"/>
    <row r="13" ht="16" customHeight="1" x14ac:dyDescent="0.25"/>
    <row r="14" ht="16" customHeight="1" x14ac:dyDescent="0.25"/>
    <row r="15" ht="16" customHeight="1" x14ac:dyDescent="0.25"/>
    <row r="16" ht="16" customHeight="1" x14ac:dyDescent="0.25"/>
    <row r="17" ht="16" customHeight="1" x14ac:dyDescent="0.25"/>
    <row r="18" ht="16" customHeight="1" x14ac:dyDescent="0.25"/>
    <row r="19" ht="16" customHeight="1" x14ac:dyDescent="0.25"/>
    <row r="20" ht="16" customHeight="1" x14ac:dyDescent="0.25"/>
    <row r="21" ht="16" customHeight="1" x14ac:dyDescent="0.25"/>
    <row r="22" ht="16" customHeight="1" x14ac:dyDescent="0.25"/>
    <row r="23" ht="16" customHeight="1" x14ac:dyDescent="0.25"/>
    <row r="24" ht="16" customHeight="1" x14ac:dyDescent="0.25"/>
    <row r="25" ht="16" customHeight="1" x14ac:dyDescent="0.25"/>
    <row r="26" ht="16" customHeight="1" x14ac:dyDescent="0.25"/>
    <row r="27" ht="8" customHeight="1" x14ac:dyDescent="0.25"/>
    <row r="28" ht="20" customHeight="1" spans="1:12" x14ac:dyDescent="0.25">
      <c r="A28" s="5" t="s">
        <v>55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</row>
    <row r="29" spans="1:12" x14ac:dyDescent="0.25">
      <c r="A29" s="8" t="s">
        <v>56</v>
      </c>
      <c r="B29" s="8"/>
      <c r="C29" s="8" t="s">
        <v>8</v>
      </c>
      <c r="D29" s="8"/>
      <c r="E29" s="8" t="s">
        <v>57</v>
      </c>
      <c r="F29" s="8"/>
      <c r="G29" s="8" t="s">
        <v>8</v>
      </c>
      <c r="H29" s="8"/>
      <c r="I29" s="8" t="s">
        <v>58</v>
      </c>
      <c r="J29" s="8"/>
      <c r="K29" s="8" t="s">
        <v>8</v>
      </c>
      <c r="L29" s="8"/>
    </row>
    <row r="30" spans="1:12" x14ac:dyDescent="0.25">
      <c r="A30" s="25" t="s">
        <v>59</v>
      </c>
      <c r="B30" s="25"/>
      <c r="C30" s="26">
        <f>COUNTIF('Plano de Ação'!$J$4:$J$303,"Não iniciada")</f>
      </c>
      <c r="D30" s="26"/>
      <c r="E30" s="25">
        <f>IF(INDEX(lst_responsavel,1)="","",INDEX(lst_responsavel,1))</f>
      </c>
      <c r="F30" s="25"/>
      <c r="G30" s="27">
        <f>IF(INDEX(lst_responsavel,1)="",0,IFERROR(AVERAGEIFS('Plano de Ação'!$K$4:$K$303,'Plano de Ação'!$E$4:$E$303,INDEX(lst_responsavel,1),'Plano de Ação'!$J$4:$J$303,"&lt;&gt;Cancelada"),0))</f>
      </c>
      <c r="H30" s="27"/>
      <c r="I30" s="25" t="s">
        <v>60</v>
      </c>
      <c r="J30" s="25"/>
      <c r="K30" s="26">
        <f>Cronograma!E4</f>
      </c>
      <c r="L30" s="26"/>
    </row>
    <row r="31" spans="1:12" x14ac:dyDescent="0.25">
      <c r="A31" s="25" t="s">
        <v>61</v>
      </c>
      <c r="B31" s="25"/>
      <c r="C31" s="26">
        <f>COUNTIF('Plano de Ação'!$J$4:$J$303,"Em andamento")</f>
      </c>
      <c r="D31" s="26"/>
      <c r="E31" s="25">
        <f>IF(INDEX(lst_responsavel,2)="","",INDEX(lst_responsavel,2))</f>
      </c>
      <c r="F31" s="25"/>
      <c r="G31" s="27">
        <f>IF(INDEX(lst_responsavel,2)="",0,IFERROR(AVERAGEIFS('Plano de Ação'!$K$4:$K$303,'Plano de Ação'!$E$4:$E$303,INDEX(lst_responsavel,2),'Plano de Ação'!$J$4:$J$303,"&lt;&gt;Cancelada"),0))</f>
      </c>
      <c r="H31" s="27"/>
      <c r="I31" s="25" t="s">
        <v>62</v>
      </c>
      <c r="J31" s="25"/>
      <c r="K31" s="26">
        <f>Cronograma!F4</f>
      </c>
      <c r="L31" s="26"/>
    </row>
    <row r="32" spans="1:12" x14ac:dyDescent="0.25">
      <c r="A32" s="25" t="s">
        <v>63</v>
      </c>
      <c r="B32" s="25"/>
      <c r="C32" s="26">
        <f>COUNTIF('Plano de Ação'!$J$4:$J$303,"Concluída")</f>
      </c>
      <c r="D32" s="26"/>
      <c r="E32" s="25">
        <f>IF(INDEX(lst_responsavel,3)="","",INDEX(lst_responsavel,3))</f>
      </c>
      <c r="F32" s="25"/>
      <c r="G32" s="27">
        <f>IF(INDEX(lst_responsavel,3)="",0,IFERROR(AVERAGEIFS('Plano de Ação'!$K$4:$K$303,'Plano de Ação'!$E$4:$E$303,INDEX(lst_responsavel,3),'Plano de Ação'!$J$4:$J$303,"&lt;&gt;Cancelada"),0))</f>
      </c>
      <c r="H32" s="27"/>
      <c r="I32" s="25" t="s">
        <v>64</v>
      </c>
      <c r="J32" s="25"/>
      <c r="K32" s="26">
        <f>Cronograma!G4</f>
      </c>
      <c r="L32" s="26"/>
    </row>
    <row r="33" spans="1:12" x14ac:dyDescent="0.25">
      <c r="A33" s="25" t="s">
        <v>65</v>
      </c>
      <c r="B33" s="25"/>
      <c r="C33" s="26">
        <f>COUNTIF('Plano de Ação'!$J$4:$J$303,"Cancelada")</f>
      </c>
      <c r="D33" s="26"/>
      <c r="E33" s="25">
        <f>IF(INDEX(lst_responsavel,4)="","",INDEX(lst_responsavel,4))</f>
      </c>
      <c r="F33" s="25"/>
      <c r="G33" s="27">
        <f>IF(INDEX(lst_responsavel,4)="",0,IFERROR(AVERAGEIFS('Plano de Ação'!$K$4:$K$303,'Plano de Ação'!$E$4:$E$303,INDEX(lst_responsavel,4),'Plano de Ação'!$J$4:$J$303,"&lt;&gt;Cancelada"),0))</f>
      </c>
      <c r="H33" s="27"/>
      <c r="I33" s="25" t="s">
        <v>66</v>
      </c>
      <c r="J33" s="25"/>
      <c r="K33" s="26">
        <f>Cronograma!H4</f>
      </c>
      <c r="L33" s="26"/>
    </row>
    <row r="34" spans="5:12" x14ac:dyDescent="0.25">
      <c r="E34" s="25">
        <f>IF(INDEX(lst_responsavel,5)="","",INDEX(lst_responsavel,5))</f>
      </c>
      <c r="F34" s="25"/>
      <c r="G34" s="27">
        <f>IF(INDEX(lst_responsavel,5)="",0,IFERROR(AVERAGEIFS('Plano de Ação'!$K$4:$K$303,'Plano de Ação'!$E$4:$E$303,INDEX(lst_responsavel,5),'Plano de Ação'!$J$4:$J$303,"&lt;&gt;Cancelada"),0))</f>
      </c>
      <c r="H34" s="27"/>
      <c r="I34" s="25" t="s">
        <v>67</v>
      </c>
      <c r="J34" s="25"/>
      <c r="K34" s="26">
        <f>Cronograma!I4</f>
      </c>
      <c r="L34" s="26"/>
    </row>
    <row r="35" spans="5:12" x14ac:dyDescent="0.25">
      <c r="E35" s="25">
        <f>IF(INDEX(lst_responsavel,6)="","",INDEX(lst_responsavel,6))</f>
      </c>
      <c r="F35" s="25"/>
      <c r="G35" s="27">
        <f>IF(INDEX(lst_responsavel,6)="",0,IFERROR(AVERAGEIFS('Plano de Ação'!$K$4:$K$303,'Plano de Ação'!$E$4:$E$303,INDEX(lst_responsavel,6),'Plano de Ação'!$J$4:$J$303,"&lt;&gt;Cancelada"),0))</f>
      </c>
      <c r="H35" s="27"/>
      <c r="I35" s="25" t="s">
        <v>68</v>
      </c>
      <c r="J35" s="25"/>
      <c r="K35" s="26">
        <f>Cronograma!J4</f>
      </c>
      <c r="L35" s="26"/>
    </row>
    <row r="36" spans="5:12" x14ac:dyDescent="0.25">
      <c r="E36" s="25">
        <f>IF(INDEX(lst_responsavel,7)="","",INDEX(lst_responsavel,7))</f>
      </c>
      <c r="F36" s="25"/>
      <c r="G36" s="27">
        <f>IF(INDEX(lst_responsavel,7)="",0,IFERROR(AVERAGEIFS('Plano de Ação'!$K$4:$K$303,'Plano de Ação'!$E$4:$E$303,INDEX(lst_responsavel,7),'Plano de Ação'!$J$4:$J$303,"&lt;&gt;Cancelada"),0))</f>
      </c>
      <c r="H36" s="27"/>
      <c r="I36" s="25" t="s">
        <v>69</v>
      </c>
      <c r="J36" s="25"/>
      <c r="K36" s="26">
        <f>Cronograma!K4</f>
      </c>
      <c r="L36" s="26"/>
    </row>
    <row r="37" spans="5:12" x14ac:dyDescent="0.25">
      <c r="E37" s="25">
        <f>IF(INDEX(lst_responsavel,8)="","",INDEX(lst_responsavel,8))</f>
      </c>
      <c r="F37" s="25"/>
      <c r="G37" s="27">
        <f>IF(INDEX(lst_responsavel,8)="",0,IFERROR(AVERAGEIFS('Plano de Ação'!$K$4:$K$303,'Plano de Ação'!$E$4:$E$303,INDEX(lst_responsavel,8),'Plano de Ação'!$J$4:$J$303,"&lt;&gt;Cancelada"),0))</f>
      </c>
      <c r="H37" s="27"/>
      <c r="I37" s="25" t="s">
        <v>70</v>
      </c>
      <c r="J37" s="25"/>
      <c r="K37" s="26">
        <f>Cronograma!L4</f>
      </c>
      <c r="L37" s="26"/>
    </row>
    <row r="38" spans="5:12" x14ac:dyDescent="0.25">
      <c r="E38" s="25">
        <f>IF(INDEX(lst_responsavel,9)="","",INDEX(lst_responsavel,9))</f>
      </c>
      <c r="F38" s="25"/>
      <c r="G38" s="27">
        <f>IF(INDEX(lst_responsavel,9)="",0,IFERROR(AVERAGEIFS('Plano de Ação'!$K$4:$K$303,'Plano de Ação'!$E$4:$E$303,INDEX(lst_responsavel,9),'Plano de Ação'!$J$4:$J$303,"&lt;&gt;Cancelada"),0))</f>
      </c>
      <c r="H38" s="27"/>
      <c r="I38" s="25" t="s">
        <v>71</v>
      </c>
      <c r="J38" s="25"/>
      <c r="K38" s="26">
        <f>Cronograma!M4</f>
      </c>
      <c r="L38" s="26"/>
    </row>
    <row r="39" spans="5:12" x14ac:dyDescent="0.25">
      <c r="E39" s="25">
        <f>IF(INDEX(lst_responsavel,10)="","",INDEX(lst_responsavel,10))</f>
      </c>
      <c r="F39" s="25"/>
      <c r="G39" s="27">
        <f>IF(INDEX(lst_responsavel,10)="",0,IFERROR(AVERAGEIFS('Plano de Ação'!$K$4:$K$303,'Plano de Ação'!$E$4:$E$303,INDEX(lst_responsavel,10),'Plano de Ação'!$J$4:$J$303,"&lt;&gt;Cancelada"),0))</f>
      </c>
      <c r="H39" s="27"/>
      <c r="I39" s="25" t="s">
        <v>72</v>
      </c>
      <c r="J39" s="25"/>
      <c r="K39" s="26">
        <f>Cronograma!N4</f>
      </c>
      <c r="L39" s="26"/>
    </row>
    <row r="40" spans="9:12" x14ac:dyDescent="0.25">
      <c r="I40" s="25" t="s">
        <v>73</v>
      </c>
      <c r="J40" s="25"/>
      <c r="K40" s="26">
        <f>Cronograma!O4</f>
      </c>
      <c r="L40" s="26"/>
    </row>
    <row r="41" spans="9:12" x14ac:dyDescent="0.25">
      <c r="I41" s="25" t="s">
        <v>74</v>
      </c>
      <c r="J41" s="25"/>
      <c r="K41" s="26">
        <f>Cronograma!P4</f>
      </c>
      <c r="L41" s="26"/>
    </row>
  </sheetData>
  <sheetProtection sheet="1" formatColumns="0" formatRows="0" autoFilter="0"/>
  <mergeCells count="48">
    <mergeCell ref="A1:B2"/>
    <mergeCell ref="C1:K2"/>
    <mergeCell ref="A4:C4"/>
    <mergeCell ref="D4:F4"/>
    <mergeCell ref="G4:I4"/>
    <mergeCell ref="J4:L4"/>
    <mergeCell ref="A5:C5"/>
    <mergeCell ref="D5:F5"/>
    <mergeCell ref="G5:I5"/>
    <mergeCell ref="J5:L5"/>
    <mergeCell ref="A6:C6"/>
    <mergeCell ref="D6:F6"/>
    <mergeCell ref="G6:I6"/>
    <mergeCell ref="J6:L6"/>
    <mergeCell ref="A8:L8"/>
    <mergeCell ref="A10:D10"/>
    <mergeCell ref="E10:H10"/>
    <mergeCell ref="I10:L10"/>
    <mergeCell ref="A28:L28"/>
    <mergeCell ref="A29:B29"/>
    <mergeCell ref="E29:F29"/>
    <mergeCell ref="I29:J29"/>
    <mergeCell ref="A30:B30"/>
    <mergeCell ref="E30:F30"/>
    <mergeCell ref="I30:J30"/>
    <mergeCell ref="A31:B31"/>
    <mergeCell ref="E31:F31"/>
    <mergeCell ref="I31:J31"/>
    <mergeCell ref="A32:B32"/>
    <mergeCell ref="E32:F32"/>
    <mergeCell ref="I32:J32"/>
    <mergeCell ref="A33:B33"/>
    <mergeCell ref="E33:F33"/>
    <mergeCell ref="I33:J33"/>
    <mergeCell ref="E34:F34"/>
    <mergeCell ref="I34:J34"/>
    <mergeCell ref="E35:F35"/>
    <mergeCell ref="I35:J35"/>
    <mergeCell ref="E36:F36"/>
    <mergeCell ref="I36:J36"/>
    <mergeCell ref="E37:F37"/>
    <mergeCell ref="I37:J37"/>
    <mergeCell ref="E38:F38"/>
    <mergeCell ref="I38:J38"/>
    <mergeCell ref="E39:F39"/>
    <mergeCell ref="I39:J39"/>
    <mergeCell ref="I40:J40"/>
    <mergeCell ref="I41:J41"/>
  </mergeCells>
  <conditionalFormatting sqref="D5">
    <cfRule type="expression" dxfId="4" priority="1">
      <formula>AND(ISNUMBER(D5),D5&gt;0)</formula>
    </cfRule>
  </conditionalFormatting>
  <printOptions horizontalCentered="1"/>
  <pageMargins left="0.45" right="0.45" top="0.75" bottom="0.85" header="0.3" footer="0.3"/>
  <pageSetup paperSize="9" orientation="landscape" pageOrder="overThenDown" fitToWidth="1" fitToHeight="0"/>
  <headerFooter>
    <oddHeader>&amp;L&amp;"Arial,Regular"&amp;7&amp;K4A5668&amp;F  ·  &amp;A&amp;C&amp;"Arial,Regular"&amp;7&amp;K4A5668PCM Direto  ·  PCMD-K07&amp;R&amp;"Arial,Regular"&amp;7&amp;K4A5668Impresso em &amp;D  ·  Pág. &amp;P de &amp;N</oddHeader>
    <oddFooter>&amp;L&amp;"Arial,Regular"&amp;7&amp;K4A5668O material apoia a organização do PCM e não substitui a avaliação de profissional habilitado nem o texto oficial das normas. As periodicidades são base genérica e devem ser confirmadas com o manual do fabricante.</oddFoot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O303"/>
  <sheetViews>
    <sheetView workbookViewId="0" showGridLines="0" zoomScale="100" zoomScaleNormal="100">
      <pane xSplit="2" ySplit="3" topLeftCell="C4" activePane="bottomRight" state="frozen"/>
      <selection pane="bottomRight" activeCell="C4" sqref="C4"/>
    </sheetView>
  </sheetViews>
  <sheetFormatPr defaultRowHeight="15" outlineLevelRow="0" outlineLevelCol="0" x14ac:dyDescent="55"/>
  <cols>
    <col min="1" max="1" width="7" customWidth="1"/>
    <col min="2" max="2" width="34" customWidth="1"/>
    <col min="3" max="3" width="30" customWidth="1"/>
    <col min="4" max="4" width="14" customWidth="1"/>
    <col min="5" max="5" width="20" customWidth="1"/>
    <col min="6" max="7" width="12" customWidth="1"/>
    <col min="8" max="8" width="34" customWidth="1"/>
    <col min="9" max="9" width="13" customWidth="1"/>
    <col min="10" max="10" width="14" customWidth="1"/>
    <col min="11" max="11" width="11" customWidth="1"/>
    <col min="12" max="12" width="16" customWidth="1"/>
    <col min="13" max="13" width="10" customWidth="1"/>
    <col min="14" max="14" width="28" customWidth="1"/>
    <col min="15" max="15" width="34" customWidth="1"/>
  </cols>
  <sheetData>
    <row r="1" ht="36" customHeight="1" spans="1:15" x14ac:dyDescent="0.25">
      <c r="A1" s="1"/>
      <c r="B1" s="1"/>
      <c r="C1" s="2" t="s">
        <v>75</v>
      </c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3">
        <f>"Rev. "&amp;IF(cfg_revisao="","—",cfg_revisao)&amp;IF(ISNUMBER(cfg_data_revisao),"  ·  "&amp;RIGHT("0"&amp;DAY(cfg_data_revisao),2)&amp;"/"&amp;RIGHT("0"&amp;MONTH(cfg_data_revisao),2)&amp;"/"&amp;YEAR(cfg_data_revisao),"")</f>
      </c>
    </row>
    <row r="2" ht="36" customHeight="1" spans="1:15" x14ac:dyDescent="0.25">
      <c r="A2" s="1"/>
      <c r="B2" s="1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4">
        <f>"Elaborado: "&amp;IF(cfg_elaborado="","A definir",cfg_elaborado)&amp;CHAR(10)&amp;"Aprovado: "&amp;IF(cfg_aprovado="","A definir",cfg_aprovado)</f>
      </c>
    </row>
    <row r="3" ht="34" customHeight="1" spans="1:15" x14ac:dyDescent="0.25">
      <c r="A3" s="8" t="s">
        <v>76</v>
      </c>
      <c r="B3" s="8" t="s">
        <v>77</v>
      </c>
      <c r="C3" s="8" t="s">
        <v>78</v>
      </c>
      <c r="D3" s="8" t="s">
        <v>79</v>
      </c>
      <c r="E3" s="8" t="s">
        <v>80</v>
      </c>
      <c r="F3" s="8" t="s">
        <v>81</v>
      </c>
      <c r="G3" s="8" t="s">
        <v>82</v>
      </c>
      <c r="H3" s="8" t="s">
        <v>83</v>
      </c>
      <c r="I3" s="8" t="s">
        <v>84</v>
      </c>
      <c r="J3" s="8" t="s">
        <v>56</v>
      </c>
      <c r="K3" s="8" t="s">
        <v>85</v>
      </c>
      <c r="L3" s="8" t="s">
        <v>86</v>
      </c>
      <c r="M3" s="8" t="s">
        <v>87</v>
      </c>
      <c r="N3" s="8" t="s">
        <v>88</v>
      </c>
      <c r="O3" s="8" t="s">
        <v>89</v>
      </c>
    </row>
    <row r="4" spans="1:15" x14ac:dyDescent="0.25">
      <c r="A4" s="28"/>
      <c r="B4" s="29"/>
      <c r="C4" s="29"/>
      <c r="D4" s="30"/>
      <c r="E4" s="30"/>
      <c r="F4" s="31"/>
      <c r="G4" s="31"/>
      <c r="H4" s="29"/>
      <c r="I4" s="32"/>
      <c r="J4" s="33"/>
      <c r="K4" s="34"/>
      <c r="L4" s="35">
        <f t="shared" ref="L4:L303" si="0">IF(B4="","",IF(J4="Concluída","Concluída",IF(J4="Cancelada","—",IF(NOT(ISNUMBER(G4)),"Sem prazo",IF(G4&lt;TODAY(),"Atrasada",IF(G4-TODAY()&lt;=7,"Vence esta semana","No prazo"))))))</f>
      </c>
      <c r="M4" s="36">
        <f t="shared" ref="M4:M303" si="1">IF(OR(B4="",NOT(ISNUMBER(G4)),J4="Concluída",J4="Cancelada"),"",G4-TODAY())</f>
      </c>
      <c r="N4" s="29"/>
      <c r="O4" s="37">
        <f t="shared" ref="O4:O303" si="2">IF(A4&amp;B4="","",IF(A4="","ERRO: falta o número",IF(COUNTIF($A$4:$A$303,A4)&gt;1,"ERRO: número repetido",IF(B4="","ERRO: falta o quê",IF(AND(ISNUMBER(F4),ISNUMBER(G4),G4&lt;F4),"ERRO: prazo anterior ao início",IF(AND(J4="Concluída",N(K4)&lt;1),"Verificar: concluída com % menor que 100%",IF(AND(N(K4)=1,J4&lt;&gt;"Concluída"),"Verificar: 100% sem status Concluída",IF(OR(E4="",NOT(ISNUMBER(F4)),NOT(ISNUMBER(G4)),J4=""),"Pendente: quem, início, prazo e status","OK"))))))))</f>
      </c>
    </row>
    <row r="5" spans="1:15" x14ac:dyDescent="0.25">
      <c r="A5" s="28"/>
      <c r="B5" s="29"/>
      <c r="C5" s="29"/>
      <c r="D5" s="30"/>
      <c r="E5" s="30"/>
      <c r="F5" s="31"/>
      <c r="G5" s="31"/>
      <c r="H5" s="29"/>
      <c r="I5" s="32"/>
      <c r="J5" s="33"/>
      <c r="K5" s="34"/>
      <c r="L5" s="35">
        <f t="shared" si="0"/>
      </c>
      <c r="M5" s="36">
        <f t="shared" si="1"/>
      </c>
      <c r="N5" s="29"/>
      <c r="O5" s="37">
        <f t="shared" si="2"/>
      </c>
    </row>
    <row r="6" spans="1:15" x14ac:dyDescent="0.25">
      <c r="A6" s="28"/>
      <c r="B6" s="29"/>
      <c r="C6" s="29"/>
      <c r="D6" s="30"/>
      <c r="E6" s="30"/>
      <c r="F6" s="31"/>
      <c r="G6" s="31"/>
      <c r="H6" s="29"/>
      <c r="I6" s="32"/>
      <c r="J6" s="33"/>
      <c r="K6" s="34"/>
      <c r="L6" s="35">
        <f t="shared" si="0"/>
      </c>
      <c r="M6" s="36">
        <f t="shared" si="1"/>
      </c>
      <c r="N6" s="29"/>
      <c r="O6" s="37">
        <f t="shared" si="2"/>
      </c>
    </row>
    <row r="7" spans="1:15" x14ac:dyDescent="0.25">
      <c r="A7" s="28"/>
      <c r="B7" s="29"/>
      <c r="C7" s="29"/>
      <c r="D7" s="30"/>
      <c r="E7" s="30"/>
      <c r="F7" s="31"/>
      <c r="G7" s="31"/>
      <c r="H7" s="29"/>
      <c r="I7" s="32"/>
      <c r="J7" s="33"/>
      <c r="K7" s="34"/>
      <c r="L7" s="35">
        <f t="shared" si="0"/>
      </c>
      <c r="M7" s="36">
        <f t="shared" si="1"/>
      </c>
      <c r="N7" s="29"/>
      <c r="O7" s="37">
        <f t="shared" si="2"/>
      </c>
    </row>
    <row r="8" spans="1:15" x14ac:dyDescent="0.25">
      <c r="A8" s="28"/>
      <c r="B8" s="29"/>
      <c r="C8" s="29"/>
      <c r="D8" s="30"/>
      <c r="E8" s="30"/>
      <c r="F8" s="31"/>
      <c r="G8" s="31"/>
      <c r="H8" s="29"/>
      <c r="I8" s="32"/>
      <c r="J8" s="33"/>
      <c r="K8" s="34"/>
      <c r="L8" s="35">
        <f t="shared" si="0"/>
      </c>
      <c r="M8" s="36">
        <f t="shared" si="1"/>
      </c>
      <c r="N8" s="29"/>
      <c r="O8" s="37">
        <f t="shared" si="2"/>
      </c>
    </row>
    <row r="9" spans="1:15" x14ac:dyDescent="0.25">
      <c r="A9" s="28"/>
      <c r="B9" s="29"/>
      <c r="C9" s="29"/>
      <c r="D9" s="30"/>
      <c r="E9" s="30"/>
      <c r="F9" s="31"/>
      <c r="G9" s="31"/>
      <c r="H9" s="29"/>
      <c r="I9" s="32"/>
      <c r="J9" s="33"/>
      <c r="K9" s="34"/>
      <c r="L9" s="35">
        <f t="shared" si="0"/>
      </c>
      <c r="M9" s="36">
        <f t="shared" si="1"/>
      </c>
      <c r="N9" s="29"/>
      <c r="O9" s="37">
        <f t="shared" si="2"/>
      </c>
    </row>
    <row r="10" spans="1:15" x14ac:dyDescent="0.25">
      <c r="A10" s="28"/>
      <c r="B10" s="29"/>
      <c r="C10" s="29"/>
      <c r="D10" s="30"/>
      <c r="E10" s="30"/>
      <c r="F10" s="31"/>
      <c r="G10" s="31"/>
      <c r="H10" s="29"/>
      <c r="I10" s="32"/>
      <c r="J10" s="33"/>
      <c r="K10" s="34"/>
      <c r="L10" s="35">
        <f t="shared" si="0"/>
      </c>
      <c r="M10" s="36">
        <f t="shared" si="1"/>
      </c>
      <c r="N10" s="29"/>
      <c r="O10" s="37">
        <f t="shared" si="2"/>
      </c>
    </row>
    <row r="11" spans="1:15" x14ac:dyDescent="0.25">
      <c r="A11" s="28"/>
      <c r="B11" s="29"/>
      <c r="C11" s="29"/>
      <c r="D11" s="30"/>
      <c r="E11" s="30"/>
      <c r="F11" s="31"/>
      <c r="G11" s="31"/>
      <c r="H11" s="29"/>
      <c r="I11" s="32"/>
      <c r="J11" s="33"/>
      <c r="K11" s="34"/>
      <c r="L11" s="35">
        <f t="shared" si="0"/>
      </c>
      <c r="M11" s="36">
        <f t="shared" si="1"/>
      </c>
      <c r="N11" s="29"/>
      <c r="O11" s="37">
        <f t="shared" si="2"/>
      </c>
    </row>
    <row r="12" spans="1:15" x14ac:dyDescent="0.25">
      <c r="A12" s="28"/>
      <c r="B12" s="29"/>
      <c r="C12" s="29"/>
      <c r="D12" s="30"/>
      <c r="E12" s="30"/>
      <c r="F12" s="31"/>
      <c r="G12" s="31"/>
      <c r="H12" s="29"/>
      <c r="I12" s="32"/>
      <c r="J12" s="33"/>
      <c r="K12" s="34"/>
      <c r="L12" s="35">
        <f t="shared" si="0"/>
      </c>
      <c r="M12" s="36">
        <f t="shared" si="1"/>
      </c>
      <c r="N12" s="29"/>
      <c r="O12" s="37">
        <f t="shared" si="2"/>
      </c>
    </row>
    <row r="13" spans="1:15" x14ac:dyDescent="0.25">
      <c r="A13" s="28"/>
      <c r="B13" s="29"/>
      <c r="C13" s="29"/>
      <c r="D13" s="30"/>
      <c r="E13" s="30"/>
      <c r="F13" s="31"/>
      <c r="G13" s="31"/>
      <c r="H13" s="29"/>
      <c r="I13" s="32"/>
      <c r="J13" s="33"/>
      <c r="K13" s="34"/>
      <c r="L13" s="35">
        <f t="shared" si="0"/>
      </c>
      <c r="M13" s="36">
        <f t="shared" si="1"/>
      </c>
      <c r="N13" s="29"/>
      <c r="O13" s="37">
        <f t="shared" si="2"/>
      </c>
    </row>
    <row r="14" spans="1:15" x14ac:dyDescent="0.25">
      <c r="A14" s="28"/>
      <c r="B14" s="29"/>
      <c r="C14" s="29"/>
      <c r="D14" s="30"/>
      <c r="E14" s="30"/>
      <c r="F14" s="31"/>
      <c r="G14" s="31"/>
      <c r="H14" s="29"/>
      <c r="I14" s="32"/>
      <c r="J14" s="33"/>
      <c r="K14" s="34"/>
      <c r="L14" s="35">
        <f t="shared" si="0"/>
      </c>
      <c r="M14" s="36">
        <f t="shared" si="1"/>
      </c>
      <c r="N14" s="29"/>
      <c r="O14" s="37">
        <f t="shared" si="2"/>
      </c>
    </row>
    <row r="15" spans="1:15" x14ac:dyDescent="0.25">
      <c r="A15" s="28"/>
      <c r="B15" s="29"/>
      <c r="C15" s="29"/>
      <c r="D15" s="30"/>
      <c r="E15" s="30"/>
      <c r="F15" s="31"/>
      <c r="G15" s="31"/>
      <c r="H15" s="29"/>
      <c r="I15" s="32"/>
      <c r="J15" s="33"/>
      <c r="K15" s="34"/>
      <c r="L15" s="35">
        <f t="shared" si="0"/>
      </c>
      <c r="M15" s="36">
        <f t="shared" si="1"/>
      </c>
      <c r="N15" s="29"/>
      <c r="O15" s="37">
        <f t="shared" si="2"/>
      </c>
    </row>
    <row r="16" spans="1:15" x14ac:dyDescent="0.25">
      <c r="A16" s="28"/>
      <c r="B16" s="29"/>
      <c r="C16" s="29"/>
      <c r="D16" s="30"/>
      <c r="E16" s="30"/>
      <c r="F16" s="31"/>
      <c r="G16" s="31"/>
      <c r="H16" s="29"/>
      <c r="I16" s="32"/>
      <c r="J16" s="33"/>
      <c r="K16" s="34"/>
      <c r="L16" s="35">
        <f t="shared" si="0"/>
      </c>
      <c r="M16" s="36">
        <f t="shared" si="1"/>
      </c>
      <c r="N16" s="29"/>
      <c r="O16" s="37">
        <f t="shared" si="2"/>
      </c>
    </row>
    <row r="17" spans="1:15" x14ac:dyDescent="0.25">
      <c r="A17" s="28"/>
      <c r="B17" s="29"/>
      <c r="C17" s="29"/>
      <c r="D17" s="30"/>
      <c r="E17" s="30"/>
      <c r="F17" s="31"/>
      <c r="G17" s="31"/>
      <c r="H17" s="29"/>
      <c r="I17" s="32"/>
      <c r="J17" s="33"/>
      <c r="K17" s="34"/>
      <c r="L17" s="35">
        <f t="shared" si="0"/>
      </c>
      <c r="M17" s="36">
        <f t="shared" si="1"/>
      </c>
      <c r="N17" s="29"/>
      <c r="O17" s="37">
        <f t="shared" si="2"/>
      </c>
    </row>
    <row r="18" spans="1:15" x14ac:dyDescent="0.25">
      <c r="A18" s="28"/>
      <c r="B18" s="29"/>
      <c r="C18" s="29"/>
      <c r="D18" s="30"/>
      <c r="E18" s="30"/>
      <c r="F18" s="31"/>
      <c r="G18" s="31"/>
      <c r="H18" s="29"/>
      <c r="I18" s="32"/>
      <c r="J18" s="33"/>
      <c r="K18" s="34"/>
      <c r="L18" s="35">
        <f t="shared" si="0"/>
      </c>
      <c r="M18" s="36">
        <f t="shared" si="1"/>
      </c>
      <c r="N18" s="29"/>
      <c r="O18" s="37">
        <f t="shared" si="2"/>
      </c>
    </row>
    <row r="19" spans="1:15" x14ac:dyDescent="0.25">
      <c r="A19" s="28"/>
      <c r="B19" s="29"/>
      <c r="C19" s="29"/>
      <c r="D19" s="30"/>
      <c r="E19" s="30"/>
      <c r="F19" s="31"/>
      <c r="G19" s="31"/>
      <c r="H19" s="29"/>
      <c r="I19" s="32"/>
      <c r="J19" s="33"/>
      <c r="K19" s="34"/>
      <c r="L19" s="35">
        <f t="shared" si="0"/>
      </c>
      <c r="M19" s="36">
        <f t="shared" si="1"/>
      </c>
      <c r="N19" s="29"/>
      <c r="O19" s="37">
        <f t="shared" si="2"/>
      </c>
    </row>
    <row r="20" spans="1:15" x14ac:dyDescent="0.25">
      <c r="A20" s="28"/>
      <c r="B20" s="29"/>
      <c r="C20" s="29"/>
      <c r="D20" s="30"/>
      <c r="E20" s="30"/>
      <c r="F20" s="31"/>
      <c r="G20" s="31"/>
      <c r="H20" s="29"/>
      <c r="I20" s="32"/>
      <c r="J20" s="33"/>
      <c r="K20" s="34"/>
      <c r="L20" s="35">
        <f t="shared" si="0"/>
      </c>
      <c r="M20" s="36">
        <f t="shared" si="1"/>
      </c>
      <c r="N20" s="29"/>
      <c r="O20" s="37">
        <f t="shared" si="2"/>
      </c>
    </row>
    <row r="21" spans="1:15" x14ac:dyDescent="0.25">
      <c r="A21" s="28"/>
      <c r="B21" s="29"/>
      <c r="C21" s="29"/>
      <c r="D21" s="30"/>
      <c r="E21" s="30"/>
      <c r="F21" s="31"/>
      <c r="G21" s="31"/>
      <c r="H21" s="29"/>
      <c r="I21" s="32"/>
      <c r="J21" s="33"/>
      <c r="K21" s="34"/>
      <c r="L21" s="35">
        <f t="shared" si="0"/>
      </c>
      <c r="M21" s="36">
        <f t="shared" si="1"/>
      </c>
      <c r="N21" s="29"/>
      <c r="O21" s="37">
        <f t="shared" si="2"/>
      </c>
    </row>
    <row r="22" spans="1:15" x14ac:dyDescent="0.25">
      <c r="A22" s="28"/>
      <c r="B22" s="29"/>
      <c r="C22" s="29"/>
      <c r="D22" s="30"/>
      <c r="E22" s="30"/>
      <c r="F22" s="31"/>
      <c r="G22" s="31"/>
      <c r="H22" s="29"/>
      <c r="I22" s="32"/>
      <c r="J22" s="33"/>
      <c r="K22" s="34"/>
      <c r="L22" s="35">
        <f t="shared" si="0"/>
      </c>
      <c r="M22" s="36">
        <f t="shared" si="1"/>
      </c>
      <c r="N22" s="29"/>
      <c r="O22" s="37">
        <f t="shared" si="2"/>
      </c>
    </row>
    <row r="23" spans="1:15" x14ac:dyDescent="0.25">
      <c r="A23" s="28"/>
      <c r="B23" s="29"/>
      <c r="C23" s="29"/>
      <c r="D23" s="30"/>
      <c r="E23" s="30"/>
      <c r="F23" s="31"/>
      <c r="G23" s="31"/>
      <c r="H23" s="29"/>
      <c r="I23" s="32"/>
      <c r="J23" s="33"/>
      <c r="K23" s="34"/>
      <c r="L23" s="35">
        <f t="shared" si="0"/>
      </c>
      <c r="M23" s="36">
        <f t="shared" si="1"/>
      </c>
      <c r="N23" s="29"/>
      <c r="O23" s="37">
        <f t="shared" si="2"/>
      </c>
    </row>
    <row r="24" spans="1:15" x14ac:dyDescent="0.25">
      <c r="A24" s="28"/>
      <c r="B24" s="29"/>
      <c r="C24" s="29"/>
      <c r="D24" s="30"/>
      <c r="E24" s="30"/>
      <c r="F24" s="31"/>
      <c r="G24" s="31"/>
      <c r="H24" s="29"/>
      <c r="I24" s="32"/>
      <c r="J24" s="33"/>
      <c r="K24" s="34"/>
      <c r="L24" s="35">
        <f t="shared" si="0"/>
      </c>
      <c r="M24" s="36">
        <f t="shared" si="1"/>
      </c>
      <c r="N24" s="29"/>
      <c r="O24" s="37">
        <f t="shared" si="2"/>
      </c>
    </row>
    <row r="25" spans="1:15" x14ac:dyDescent="0.25">
      <c r="A25" s="28"/>
      <c r="B25" s="29"/>
      <c r="C25" s="29"/>
      <c r="D25" s="30"/>
      <c r="E25" s="30"/>
      <c r="F25" s="31"/>
      <c r="G25" s="31"/>
      <c r="H25" s="29"/>
      <c r="I25" s="32"/>
      <c r="J25" s="33"/>
      <c r="K25" s="34"/>
      <c r="L25" s="35">
        <f t="shared" si="0"/>
      </c>
      <c r="M25" s="36">
        <f t="shared" si="1"/>
      </c>
      <c r="N25" s="29"/>
      <c r="O25" s="37">
        <f t="shared" si="2"/>
      </c>
    </row>
    <row r="26" spans="1:15" x14ac:dyDescent="0.25">
      <c r="A26" s="28"/>
      <c r="B26" s="29"/>
      <c r="C26" s="29"/>
      <c r="D26" s="30"/>
      <c r="E26" s="30"/>
      <c r="F26" s="31"/>
      <c r="G26" s="31"/>
      <c r="H26" s="29"/>
      <c r="I26" s="32"/>
      <c r="J26" s="33"/>
      <c r="K26" s="34"/>
      <c r="L26" s="35">
        <f t="shared" si="0"/>
      </c>
      <c r="M26" s="36">
        <f t="shared" si="1"/>
      </c>
      <c r="N26" s="29"/>
      <c r="O26" s="37">
        <f t="shared" si="2"/>
      </c>
    </row>
    <row r="27" spans="1:15" x14ac:dyDescent="0.25">
      <c r="A27" s="28"/>
      <c r="B27" s="29"/>
      <c r="C27" s="29"/>
      <c r="D27" s="30"/>
      <c r="E27" s="30"/>
      <c r="F27" s="31"/>
      <c r="G27" s="31"/>
      <c r="H27" s="29"/>
      <c r="I27" s="32"/>
      <c r="J27" s="33"/>
      <c r="K27" s="34"/>
      <c r="L27" s="35">
        <f t="shared" si="0"/>
      </c>
      <c r="M27" s="36">
        <f t="shared" si="1"/>
      </c>
      <c r="N27" s="29"/>
      <c r="O27" s="37">
        <f t="shared" si="2"/>
      </c>
    </row>
    <row r="28" spans="1:15" x14ac:dyDescent="0.25">
      <c r="A28" s="28"/>
      <c r="B28" s="29"/>
      <c r="C28" s="29"/>
      <c r="D28" s="30"/>
      <c r="E28" s="30"/>
      <c r="F28" s="31"/>
      <c r="G28" s="31"/>
      <c r="H28" s="29"/>
      <c r="I28" s="32"/>
      <c r="J28" s="33"/>
      <c r="K28" s="34"/>
      <c r="L28" s="35">
        <f t="shared" si="0"/>
      </c>
      <c r="M28" s="36">
        <f t="shared" si="1"/>
      </c>
      <c r="N28" s="29"/>
      <c r="O28" s="37">
        <f t="shared" si="2"/>
      </c>
    </row>
    <row r="29" spans="1:15" x14ac:dyDescent="0.25">
      <c r="A29" s="28"/>
      <c r="B29" s="29"/>
      <c r="C29" s="29"/>
      <c r="D29" s="30"/>
      <c r="E29" s="30"/>
      <c r="F29" s="31"/>
      <c r="G29" s="31"/>
      <c r="H29" s="29"/>
      <c r="I29" s="32"/>
      <c r="J29" s="33"/>
      <c r="K29" s="34"/>
      <c r="L29" s="35">
        <f t="shared" si="0"/>
      </c>
      <c r="M29" s="36">
        <f t="shared" si="1"/>
      </c>
      <c r="N29" s="29"/>
      <c r="O29" s="37">
        <f t="shared" si="2"/>
      </c>
    </row>
    <row r="30" spans="1:15" x14ac:dyDescent="0.25">
      <c r="A30" s="28"/>
      <c r="B30" s="29"/>
      <c r="C30" s="29"/>
      <c r="D30" s="30"/>
      <c r="E30" s="30"/>
      <c r="F30" s="31"/>
      <c r="G30" s="31"/>
      <c r="H30" s="29"/>
      <c r="I30" s="32"/>
      <c r="J30" s="33"/>
      <c r="K30" s="34"/>
      <c r="L30" s="35">
        <f t="shared" si="0"/>
      </c>
      <c r="M30" s="36">
        <f t="shared" si="1"/>
      </c>
      <c r="N30" s="29"/>
      <c r="O30" s="37">
        <f t="shared" si="2"/>
      </c>
    </row>
    <row r="31" spans="1:15" x14ac:dyDescent="0.25">
      <c r="A31" s="28"/>
      <c r="B31" s="29"/>
      <c r="C31" s="29"/>
      <c r="D31" s="30"/>
      <c r="E31" s="30"/>
      <c r="F31" s="31"/>
      <c r="G31" s="31"/>
      <c r="H31" s="29"/>
      <c r="I31" s="32"/>
      <c r="J31" s="33"/>
      <c r="K31" s="34"/>
      <c r="L31" s="35">
        <f t="shared" si="0"/>
      </c>
      <c r="M31" s="36">
        <f t="shared" si="1"/>
      </c>
      <c r="N31" s="29"/>
      <c r="O31" s="37">
        <f t="shared" si="2"/>
      </c>
    </row>
    <row r="32" spans="1:15" x14ac:dyDescent="0.25">
      <c r="A32" s="28"/>
      <c r="B32" s="29"/>
      <c r="C32" s="29"/>
      <c r="D32" s="30"/>
      <c r="E32" s="30"/>
      <c r="F32" s="31"/>
      <c r="G32" s="31"/>
      <c r="H32" s="29"/>
      <c r="I32" s="32"/>
      <c r="J32" s="33"/>
      <c r="K32" s="34"/>
      <c r="L32" s="35">
        <f t="shared" si="0"/>
      </c>
      <c r="M32" s="36">
        <f t="shared" si="1"/>
      </c>
      <c r="N32" s="29"/>
      <c r="O32" s="37">
        <f t="shared" si="2"/>
      </c>
    </row>
    <row r="33" spans="1:15" x14ac:dyDescent="0.25">
      <c r="A33" s="28"/>
      <c r="B33" s="29"/>
      <c r="C33" s="29"/>
      <c r="D33" s="30"/>
      <c r="E33" s="30"/>
      <c r="F33" s="31"/>
      <c r="G33" s="31"/>
      <c r="H33" s="29"/>
      <c r="I33" s="32"/>
      <c r="J33" s="33"/>
      <c r="K33" s="34"/>
      <c r="L33" s="35">
        <f t="shared" si="0"/>
      </c>
      <c r="M33" s="36">
        <f t="shared" si="1"/>
      </c>
      <c r="N33" s="29"/>
      <c r="O33" s="37">
        <f t="shared" si="2"/>
      </c>
    </row>
    <row r="34" spans="1:15" x14ac:dyDescent="0.25">
      <c r="A34" s="28"/>
      <c r="B34" s="29"/>
      <c r="C34" s="29"/>
      <c r="D34" s="30"/>
      <c r="E34" s="30"/>
      <c r="F34" s="31"/>
      <c r="G34" s="31"/>
      <c r="H34" s="29"/>
      <c r="I34" s="32"/>
      <c r="J34" s="33"/>
      <c r="K34" s="34"/>
      <c r="L34" s="35">
        <f t="shared" si="0"/>
      </c>
      <c r="M34" s="36">
        <f t="shared" si="1"/>
      </c>
      <c r="N34" s="29"/>
      <c r="O34" s="37">
        <f t="shared" si="2"/>
      </c>
    </row>
    <row r="35" spans="1:15" x14ac:dyDescent="0.25">
      <c r="A35" s="28"/>
      <c r="B35" s="29"/>
      <c r="C35" s="29"/>
      <c r="D35" s="30"/>
      <c r="E35" s="30"/>
      <c r="F35" s="31"/>
      <c r="G35" s="31"/>
      <c r="H35" s="29"/>
      <c r="I35" s="32"/>
      <c r="J35" s="33"/>
      <c r="K35" s="34"/>
      <c r="L35" s="35">
        <f t="shared" si="0"/>
      </c>
      <c r="M35" s="36">
        <f t="shared" si="1"/>
      </c>
      <c r="N35" s="29"/>
      <c r="O35" s="37">
        <f t="shared" si="2"/>
      </c>
    </row>
    <row r="36" spans="1:15" x14ac:dyDescent="0.25">
      <c r="A36" s="28"/>
      <c r="B36" s="29"/>
      <c r="C36" s="29"/>
      <c r="D36" s="30"/>
      <c r="E36" s="30"/>
      <c r="F36" s="31"/>
      <c r="G36" s="31"/>
      <c r="H36" s="29"/>
      <c r="I36" s="32"/>
      <c r="J36" s="33"/>
      <c r="K36" s="34"/>
      <c r="L36" s="35">
        <f t="shared" si="0"/>
      </c>
      <c r="M36" s="36">
        <f t="shared" si="1"/>
      </c>
      <c r="N36" s="29"/>
      <c r="O36" s="37">
        <f t="shared" si="2"/>
      </c>
    </row>
    <row r="37" spans="1:15" x14ac:dyDescent="0.25">
      <c r="A37" s="28"/>
      <c r="B37" s="29"/>
      <c r="C37" s="29"/>
      <c r="D37" s="30"/>
      <c r="E37" s="30"/>
      <c r="F37" s="31"/>
      <c r="G37" s="31"/>
      <c r="H37" s="29"/>
      <c r="I37" s="32"/>
      <c r="J37" s="33"/>
      <c r="K37" s="34"/>
      <c r="L37" s="35">
        <f t="shared" si="0"/>
      </c>
      <c r="M37" s="36">
        <f t="shared" si="1"/>
      </c>
      <c r="N37" s="29"/>
      <c r="O37" s="37">
        <f t="shared" si="2"/>
      </c>
    </row>
    <row r="38" spans="1:15" x14ac:dyDescent="0.25">
      <c r="A38" s="28"/>
      <c r="B38" s="29"/>
      <c r="C38" s="29"/>
      <c r="D38" s="30"/>
      <c r="E38" s="30"/>
      <c r="F38" s="31"/>
      <c r="G38" s="31"/>
      <c r="H38" s="29"/>
      <c r="I38" s="32"/>
      <c r="J38" s="33"/>
      <c r="K38" s="34"/>
      <c r="L38" s="35">
        <f t="shared" si="0"/>
      </c>
      <c r="M38" s="36">
        <f t="shared" si="1"/>
      </c>
      <c r="N38" s="29"/>
      <c r="O38" s="37">
        <f t="shared" si="2"/>
      </c>
    </row>
    <row r="39" spans="1:15" x14ac:dyDescent="0.25">
      <c r="A39" s="28"/>
      <c r="B39" s="29"/>
      <c r="C39" s="29"/>
      <c r="D39" s="30"/>
      <c r="E39" s="30"/>
      <c r="F39" s="31"/>
      <c r="G39" s="31"/>
      <c r="H39" s="29"/>
      <c r="I39" s="32"/>
      <c r="J39" s="33"/>
      <c r="K39" s="34"/>
      <c r="L39" s="35">
        <f t="shared" si="0"/>
      </c>
      <c r="M39" s="36">
        <f t="shared" si="1"/>
      </c>
      <c r="N39" s="29"/>
      <c r="O39" s="37">
        <f t="shared" si="2"/>
      </c>
    </row>
    <row r="40" spans="1:15" x14ac:dyDescent="0.25">
      <c r="A40" s="28"/>
      <c r="B40" s="29"/>
      <c r="C40" s="29"/>
      <c r="D40" s="30"/>
      <c r="E40" s="30"/>
      <c r="F40" s="31"/>
      <c r="G40" s="31"/>
      <c r="H40" s="29"/>
      <c r="I40" s="32"/>
      <c r="J40" s="33"/>
      <c r="K40" s="34"/>
      <c r="L40" s="35">
        <f t="shared" si="0"/>
      </c>
      <c r="M40" s="36">
        <f t="shared" si="1"/>
      </c>
      <c r="N40" s="29"/>
      <c r="O40" s="37">
        <f t="shared" si="2"/>
      </c>
    </row>
    <row r="41" spans="1:15" x14ac:dyDescent="0.25">
      <c r="A41" s="28"/>
      <c r="B41" s="29"/>
      <c r="C41" s="29"/>
      <c r="D41" s="30"/>
      <c r="E41" s="30"/>
      <c r="F41" s="31"/>
      <c r="G41" s="31"/>
      <c r="H41" s="29"/>
      <c r="I41" s="32"/>
      <c r="J41" s="33"/>
      <c r="K41" s="34"/>
      <c r="L41" s="35">
        <f t="shared" si="0"/>
      </c>
      <c r="M41" s="36">
        <f t="shared" si="1"/>
      </c>
      <c r="N41" s="29"/>
      <c r="O41" s="37">
        <f t="shared" si="2"/>
      </c>
    </row>
    <row r="42" spans="1:15" x14ac:dyDescent="0.25">
      <c r="A42" s="28"/>
      <c r="B42" s="29"/>
      <c r="C42" s="29"/>
      <c r="D42" s="30"/>
      <c r="E42" s="30"/>
      <c r="F42" s="31"/>
      <c r="G42" s="31"/>
      <c r="H42" s="29"/>
      <c r="I42" s="32"/>
      <c r="J42" s="33"/>
      <c r="K42" s="34"/>
      <c r="L42" s="35">
        <f t="shared" si="0"/>
      </c>
      <c r="M42" s="36">
        <f t="shared" si="1"/>
      </c>
      <c r="N42" s="29"/>
      <c r="O42" s="37">
        <f t="shared" si="2"/>
      </c>
    </row>
    <row r="43" spans="1:15" x14ac:dyDescent="0.25">
      <c r="A43" s="28"/>
      <c r="B43" s="29"/>
      <c r="C43" s="29"/>
      <c r="D43" s="30"/>
      <c r="E43" s="30"/>
      <c r="F43" s="31"/>
      <c r="G43" s="31"/>
      <c r="H43" s="29"/>
      <c r="I43" s="32"/>
      <c r="J43" s="33"/>
      <c r="K43" s="34"/>
      <c r="L43" s="35">
        <f t="shared" si="0"/>
      </c>
      <c r="M43" s="36">
        <f t="shared" si="1"/>
      </c>
      <c r="N43" s="29"/>
      <c r="O43" s="37">
        <f t="shared" si="2"/>
      </c>
    </row>
    <row r="44" spans="1:15" x14ac:dyDescent="0.25">
      <c r="A44" s="28"/>
      <c r="B44" s="29"/>
      <c r="C44" s="29"/>
      <c r="D44" s="30"/>
      <c r="E44" s="30"/>
      <c r="F44" s="31"/>
      <c r="G44" s="31"/>
      <c r="H44" s="29"/>
      <c r="I44" s="32"/>
      <c r="J44" s="33"/>
      <c r="K44" s="34"/>
      <c r="L44" s="35">
        <f t="shared" si="0"/>
      </c>
      <c r="M44" s="36">
        <f t="shared" si="1"/>
      </c>
      <c r="N44" s="29"/>
      <c r="O44" s="37">
        <f t="shared" si="2"/>
      </c>
    </row>
    <row r="45" spans="1:15" x14ac:dyDescent="0.25">
      <c r="A45" s="28"/>
      <c r="B45" s="29"/>
      <c r="C45" s="29"/>
      <c r="D45" s="30"/>
      <c r="E45" s="30"/>
      <c r="F45" s="31"/>
      <c r="G45" s="31"/>
      <c r="H45" s="29"/>
      <c r="I45" s="32"/>
      <c r="J45" s="33"/>
      <c r="K45" s="34"/>
      <c r="L45" s="35">
        <f t="shared" si="0"/>
      </c>
      <c r="M45" s="36">
        <f t="shared" si="1"/>
      </c>
      <c r="N45" s="29"/>
      <c r="O45" s="37">
        <f t="shared" si="2"/>
      </c>
    </row>
    <row r="46" spans="1:15" x14ac:dyDescent="0.25">
      <c r="A46" s="28"/>
      <c r="B46" s="29"/>
      <c r="C46" s="29"/>
      <c r="D46" s="30"/>
      <c r="E46" s="30"/>
      <c r="F46" s="31"/>
      <c r="G46" s="31"/>
      <c r="H46" s="29"/>
      <c r="I46" s="32"/>
      <c r="J46" s="33"/>
      <c r="K46" s="34"/>
      <c r="L46" s="35">
        <f t="shared" si="0"/>
      </c>
      <c r="M46" s="36">
        <f t="shared" si="1"/>
      </c>
      <c r="N46" s="29"/>
      <c r="O46" s="37">
        <f t="shared" si="2"/>
      </c>
    </row>
    <row r="47" spans="1:15" x14ac:dyDescent="0.25">
      <c r="A47" s="28"/>
      <c r="B47" s="29"/>
      <c r="C47" s="29"/>
      <c r="D47" s="30"/>
      <c r="E47" s="30"/>
      <c r="F47" s="31"/>
      <c r="G47" s="31"/>
      <c r="H47" s="29"/>
      <c r="I47" s="32"/>
      <c r="J47" s="33"/>
      <c r="K47" s="34"/>
      <c r="L47" s="35">
        <f t="shared" si="0"/>
      </c>
      <c r="M47" s="36">
        <f t="shared" si="1"/>
      </c>
      <c r="N47" s="29"/>
      <c r="O47" s="37">
        <f t="shared" si="2"/>
      </c>
    </row>
    <row r="48" spans="1:15" x14ac:dyDescent="0.25">
      <c r="A48" s="28"/>
      <c r="B48" s="29"/>
      <c r="C48" s="29"/>
      <c r="D48" s="30"/>
      <c r="E48" s="30"/>
      <c r="F48" s="31"/>
      <c r="G48" s="31"/>
      <c r="H48" s="29"/>
      <c r="I48" s="32"/>
      <c r="J48" s="33"/>
      <c r="K48" s="34"/>
      <c r="L48" s="35">
        <f t="shared" si="0"/>
      </c>
      <c r="M48" s="36">
        <f t="shared" si="1"/>
      </c>
      <c r="N48" s="29"/>
      <c r="O48" s="37">
        <f t="shared" si="2"/>
      </c>
    </row>
    <row r="49" spans="1:15" x14ac:dyDescent="0.25">
      <c r="A49" s="28"/>
      <c r="B49" s="29"/>
      <c r="C49" s="29"/>
      <c r="D49" s="30"/>
      <c r="E49" s="30"/>
      <c r="F49" s="31"/>
      <c r="G49" s="31"/>
      <c r="H49" s="29"/>
      <c r="I49" s="32"/>
      <c r="J49" s="33"/>
      <c r="K49" s="34"/>
      <c r="L49" s="35">
        <f t="shared" si="0"/>
      </c>
      <c r="M49" s="36">
        <f t="shared" si="1"/>
      </c>
      <c r="N49" s="29"/>
      <c r="O49" s="37">
        <f t="shared" si="2"/>
      </c>
    </row>
    <row r="50" spans="1:15" x14ac:dyDescent="0.25">
      <c r="A50" s="28"/>
      <c r="B50" s="29"/>
      <c r="C50" s="29"/>
      <c r="D50" s="30"/>
      <c r="E50" s="30"/>
      <c r="F50" s="31"/>
      <c r="G50" s="31"/>
      <c r="H50" s="29"/>
      <c r="I50" s="32"/>
      <c r="J50" s="33"/>
      <c r="K50" s="34"/>
      <c r="L50" s="35">
        <f t="shared" si="0"/>
      </c>
      <c r="M50" s="36">
        <f t="shared" si="1"/>
      </c>
      <c r="N50" s="29"/>
      <c r="O50" s="37">
        <f t="shared" si="2"/>
      </c>
    </row>
    <row r="51" spans="1:15" x14ac:dyDescent="0.25">
      <c r="A51" s="28"/>
      <c r="B51" s="29"/>
      <c r="C51" s="29"/>
      <c r="D51" s="30"/>
      <c r="E51" s="30"/>
      <c r="F51" s="31"/>
      <c r="G51" s="31"/>
      <c r="H51" s="29"/>
      <c r="I51" s="32"/>
      <c r="J51" s="33"/>
      <c r="K51" s="34"/>
      <c r="L51" s="35">
        <f t="shared" si="0"/>
      </c>
      <c r="M51" s="36">
        <f t="shared" si="1"/>
      </c>
      <c r="N51" s="29"/>
      <c r="O51" s="37">
        <f t="shared" si="2"/>
      </c>
    </row>
    <row r="52" spans="1:15" x14ac:dyDescent="0.25">
      <c r="A52" s="28"/>
      <c r="B52" s="29"/>
      <c r="C52" s="29"/>
      <c r="D52" s="30"/>
      <c r="E52" s="30"/>
      <c r="F52" s="31"/>
      <c r="G52" s="31"/>
      <c r="H52" s="29"/>
      <c r="I52" s="32"/>
      <c r="J52" s="33"/>
      <c r="K52" s="34"/>
      <c r="L52" s="35">
        <f t="shared" si="0"/>
      </c>
      <c r="M52" s="36">
        <f t="shared" si="1"/>
      </c>
      <c r="N52" s="29"/>
      <c r="O52" s="37">
        <f t="shared" si="2"/>
      </c>
    </row>
    <row r="53" spans="1:15" x14ac:dyDescent="0.25">
      <c r="A53" s="28"/>
      <c r="B53" s="29"/>
      <c r="C53" s="29"/>
      <c r="D53" s="30"/>
      <c r="E53" s="30"/>
      <c r="F53" s="31"/>
      <c r="G53" s="31"/>
      <c r="H53" s="29"/>
      <c r="I53" s="32"/>
      <c r="J53" s="33"/>
      <c r="K53" s="34"/>
      <c r="L53" s="35">
        <f t="shared" si="0"/>
      </c>
      <c r="M53" s="36">
        <f t="shared" si="1"/>
      </c>
      <c r="N53" s="29"/>
      <c r="O53" s="37">
        <f t="shared" si="2"/>
      </c>
    </row>
    <row r="54" spans="1:15" x14ac:dyDescent="0.25">
      <c r="A54" s="28"/>
      <c r="B54" s="29"/>
      <c r="C54" s="29"/>
      <c r="D54" s="30"/>
      <c r="E54" s="30"/>
      <c r="F54" s="31"/>
      <c r="G54" s="31"/>
      <c r="H54" s="29"/>
      <c r="I54" s="32"/>
      <c r="J54" s="33"/>
      <c r="K54" s="34"/>
      <c r="L54" s="35">
        <f t="shared" si="0"/>
      </c>
      <c r="M54" s="36">
        <f t="shared" si="1"/>
      </c>
      <c r="N54" s="29"/>
      <c r="O54" s="37">
        <f t="shared" si="2"/>
      </c>
    </row>
    <row r="55" spans="1:15" x14ac:dyDescent="0.25">
      <c r="A55" s="28"/>
      <c r="B55" s="29"/>
      <c r="C55" s="29"/>
      <c r="D55" s="30"/>
      <c r="E55" s="30"/>
      <c r="F55" s="31"/>
      <c r="G55" s="31"/>
      <c r="H55" s="29"/>
      <c r="I55" s="32"/>
      <c r="J55" s="33"/>
      <c r="K55" s="34"/>
      <c r="L55" s="35">
        <f t="shared" si="0"/>
      </c>
      <c r="M55" s="36">
        <f t="shared" si="1"/>
      </c>
      <c r="N55" s="29"/>
      <c r="O55" s="37">
        <f t="shared" si="2"/>
      </c>
    </row>
    <row r="56" spans="1:15" x14ac:dyDescent="0.25">
      <c r="A56" s="28"/>
      <c r="B56" s="29"/>
      <c r="C56" s="29"/>
      <c r="D56" s="30"/>
      <c r="E56" s="30"/>
      <c r="F56" s="31"/>
      <c r="G56" s="31"/>
      <c r="H56" s="29"/>
      <c r="I56" s="32"/>
      <c r="J56" s="33"/>
      <c r="K56" s="34"/>
      <c r="L56" s="35">
        <f t="shared" si="0"/>
      </c>
      <c r="M56" s="36">
        <f t="shared" si="1"/>
      </c>
      <c r="N56" s="29"/>
      <c r="O56" s="37">
        <f t="shared" si="2"/>
      </c>
    </row>
    <row r="57" spans="1:15" x14ac:dyDescent="0.25">
      <c r="A57" s="28"/>
      <c r="B57" s="29"/>
      <c r="C57" s="29"/>
      <c r="D57" s="30"/>
      <c r="E57" s="30"/>
      <c r="F57" s="31"/>
      <c r="G57" s="31"/>
      <c r="H57" s="29"/>
      <c r="I57" s="32"/>
      <c r="J57" s="33"/>
      <c r="K57" s="34"/>
      <c r="L57" s="35">
        <f t="shared" si="0"/>
      </c>
      <c r="M57" s="36">
        <f t="shared" si="1"/>
      </c>
      <c r="N57" s="29"/>
      <c r="O57" s="37">
        <f t="shared" si="2"/>
      </c>
    </row>
    <row r="58" spans="1:15" x14ac:dyDescent="0.25">
      <c r="A58" s="28"/>
      <c r="B58" s="29"/>
      <c r="C58" s="29"/>
      <c r="D58" s="30"/>
      <c r="E58" s="30"/>
      <c r="F58" s="31"/>
      <c r="G58" s="31"/>
      <c r="H58" s="29"/>
      <c r="I58" s="32"/>
      <c r="J58" s="33"/>
      <c r="K58" s="34"/>
      <c r="L58" s="35">
        <f t="shared" si="0"/>
      </c>
      <c r="M58" s="36">
        <f t="shared" si="1"/>
      </c>
      <c r="N58" s="29"/>
      <c r="O58" s="37">
        <f t="shared" si="2"/>
      </c>
    </row>
    <row r="59" spans="1:15" x14ac:dyDescent="0.25">
      <c r="A59" s="28"/>
      <c r="B59" s="29"/>
      <c r="C59" s="29"/>
      <c r="D59" s="30"/>
      <c r="E59" s="30"/>
      <c r="F59" s="31"/>
      <c r="G59" s="31"/>
      <c r="H59" s="29"/>
      <c r="I59" s="32"/>
      <c r="J59" s="33"/>
      <c r="K59" s="34"/>
      <c r="L59" s="35">
        <f t="shared" si="0"/>
      </c>
      <c r="M59" s="36">
        <f t="shared" si="1"/>
      </c>
      <c r="N59" s="29"/>
      <c r="O59" s="37">
        <f t="shared" si="2"/>
      </c>
    </row>
    <row r="60" spans="1:15" x14ac:dyDescent="0.25">
      <c r="A60" s="28"/>
      <c r="B60" s="29"/>
      <c r="C60" s="29"/>
      <c r="D60" s="30"/>
      <c r="E60" s="30"/>
      <c r="F60" s="31"/>
      <c r="G60" s="31"/>
      <c r="H60" s="29"/>
      <c r="I60" s="32"/>
      <c r="J60" s="33"/>
      <c r="K60" s="34"/>
      <c r="L60" s="35">
        <f t="shared" si="0"/>
      </c>
      <c r="M60" s="36">
        <f t="shared" si="1"/>
      </c>
      <c r="N60" s="29"/>
      <c r="O60" s="37">
        <f t="shared" si="2"/>
      </c>
    </row>
    <row r="61" spans="1:15" x14ac:dyDescent="0.25">
      <c r="A61" s="28"/>
      <c r="B61" s="29"/>
      <c r="C61" s="29"/>
      <c r="D61" s="30"/>
      <c r="E61" s="30"/>
      <c r="F61" s="31"/>
      <c r="G61" s="31"/>
      <c r="H61" s="29"/>
      <c r="I61" s="32"/>
      <c r="J61" s="33"/>
      <c r="K61" s="34"/>
      <c r="L61" s="35">
        <f t="shared" si="0"/>
      </c>
      <c r="M61" s="36">
        <f t="shared" si="1"/>
      </c>
      <c r="N61" s="29"/>
      <c r="O61" s="37">
        <f t="shared" si="2"/>
      </c>
    </row>
    <row r="62" spans="1:15" x14ac:dyDescent="0.25">
      <c r="A62" s="28"/>
      <c r="B62" s="29"/>
      <c r="C62" s="29"/>
      <c r="D62" s="30"/>
      <c r="E62" s="30"/>
      <c r="F62" s="31"/>
      <c r="G62" s="31"/>
      <c r="H62" s="29"/>
      <c r="I62" s="32"/>
      <c r="J62" s="33"/>
      <c r="K62" s="34"/>
      <c r="L62" s="35">
        <f t="shared" si="0"/>
      </c>
      <c r="M62" s="36">
        <f t="shared" si="1"/>
      </c>
      <c r="N62" s="29"/>
      <c r="O62" s="37">
        <f t="shared" si="2"/>
      </c>
    </row>
    <row r="63" spans="1:15" x14ac:dyDescent="0.25">
      <c r="A63" s="28"/>
      <c r="B63" s="29"/>
      <c r="C63" s="29"/>
      <c r="D63" s="30"/>
      <c r="E63" s="30"/>
      <c r="F63" s="31"/>
      <c r="G63" s="31"/>
      <c r="H63" s="29"/>
      <c r="I63" s="32"/>
      <c r="J63" s="33"/>
      <c r="K63" s="34"/>
      <c r="L63" s="35">
        <f t="shared" si="0"/>
      </c>
      <c r="M63" s="36">
        <f t="shared" si="1"/>
      </c>
      <c r="N63" s="29"/>
      <c r="O63" s="37">
        <f t="shared" si="2"/>
      </c>
    </row>
    <row r="64" spans="1:15" x14ac:dyDescent="0.25">
      <c r="A64" s="28"/>
      <c r="B64" s="29"/>
      <c r="C64" s="29"/>
      <c r="D64" s="30"/>
      <c r="E64" s="30"/>
      <c r="F64" s="31"/>
      <c r="G64" s="31"/>
      <c r="H64" s="29"/>
      <c r="I64" s="32"/>
      <c r="J64" s="33"/>
      <c r="K64" s="34"/>
      <c r="L64" s="35">
        <f t="shared" si="0"/>
      </c>
      <c r="M64" s="36">
        <f t="shared" si="1"/>
      </c>
      <c r="N64" s="29"/>
      <c r="O64" s="37">
        <f t="shared" si="2"/>
      </c>
    </row>
    <row r="65" spans="1:15" x14ac:dyDescent="0.25">
      <c r="A65" s="28"/>
      <c r="B65" s="29"/>
      <c r="C65" s="29"/>
      <c r="D65" s="30"/>
      <c r="E65" s="30"/>
      <c r="F65" s="31"/>
      <c r="G65" s="31"/>
      <c r="H65" s="29"/>
      <c r="I65" s="32"/>
      <c r="J65" s="33"/>
      <c r="K65" s="34"/>
      <c r="L65" s="35">
        <f t="shared" si="0"/>
      </c>
      <c r="M65" s="36">
        <f t="shared" si="1"/>
      </c>
      <c r="N65" s="29"/>
      <c r="O65" s="37">
        <f t="shared" si="2"/>
      </c>
    </row>
    <row r="66" spans="1:15" x14ac:dyDescent="0.25">
      <c r="A66" s="28"/>
      <c r="B66" s="29"/>
      <c r="C66" s="29"/>
      <c r="D66" s="30"/>
      <c r="E66" s="30"/>
      <c r="F66" s="31"/>
      <c r="G66" s="31"/>
      <c r="H66" s="29"/>
      <c r="I66" s="32"/>
      <c r="J66" s="33"/>
      <c r="K66" s="34"/>
      <c r="L66" s="35">
        <f t="shared" si="0"/>
      </c>
      <c r="M66" s="36">
        <f t="shared" si="1"/>
      </c>
      <c r="N66" s="29"/>
      <c r="O66" s="37">
        <f t="shared" si="2"/>
      </c>
    </row>
    <row r="67" spans="1:15" x14ac:dyDescent="0.25">
      <c r="A67" s="28"/>
      <c r="B67" s="29"/>
      <c r="C67" s="29"/>
      <c r="D67" s="30"/>
      <c r="E67" s="30"/>
      <c r="F67" s="31"/>
      <c r="G67" s="31"/>
      <c r="H67" s="29"/>
      <c r="I67" s="32"/>
      <c r="J67" s="33"/>
      <c r="K67" s="34"/>
      <c r="L67" s="35">
        <f t="shared" si="0"/>
      </c>
      <c r="M67" s="36">
        <f t="shared" si="1"/>
      </c>
      <c r="N67" s="29"/>
      <c r="O67" s="37">
        <f t="shared" si="2"/>
      </c>
    </row>
    <row r="68" spans="1:15" x14ac:dyDescent="0.25">
      <c r="A68" s="28"/>
      <c r="B68" s="29"/>
      <c r="C68" s="29"/>
      <c r="D68" s="30"/>
      <c r="E68" s="30"/>
      <c r="F68" s="31"/>
      <c r="G68" s="31"/>
      <c r="H68" s="29"/>
      <c r="I68" s="32"/>
      <c r="J68" s="33"/>
      <c r="K68" s="34"/>
      <c r="L68" s="35">
        <f t="shared" si="0"/>
      </c>
      <c r="M68" s="36">
        <f t="shared" si="1"/>
      </c>
      <c r="N68" s="29"/>
      <c r="O68" s="37">
        <f t="shared" si="2"/>
      </c>
    </row>
    <row r="69" spans="1:15" x14ac:dyDescent="0.25">
      <c r="A69" s="28"/>
      <c r="B69" s="29"/>
      <c r="C69" s="29"/>
      <c r="D69" s="30"/>
      <c r="E69" s="30"/>
      <c r="F69" s="31"/>
      <c r="G69" s="31"/>
      <c r="H69" s="29"/>
      <c r="I69" s="32"/>
      <c r="J69" s="33"/>
      <c r="K69" s="34"/>
      <c r="L69" s="35">
        <f t="shared" si="0"/>
      </c>
      <c r="M69" s="36">
        <f t="shared" si="1"/>
      </c>
      <c r="N69" s="29"/>
      <c r="O69" s="37">
        <f t="shared" si="2"/>
      </c>
    </row>
    <row r="70" spans="1:15" x14ac:dyDescent="0.25">
      <c r="A70" s="28"/>
      <c r="B70" s="29"/>
      <c r="C70" s="29"/>
      <c r="D70" s="30"/>
      <c r="E70" s="30"/>
      <c r="F70" s="31"/>
      <c r="G70" s="31"/>
      <c r="H70" s="29"/>
      <c r="I70" s="32"/>
      <c r="J70" s="33"/>
      <c r="K70" s="34"/>
      <c r="L70" s="35">
        <f t="shared" si="0"/>
      </c>
      <c r="M70" s="36">
        <f t="shared" si="1"/>
      </c>
      <c r="N70" s="29"/>
      <c r="O70" s="37">
        <f t="shared" si="2"/>
      </c>
    </row>
    <row r="71" spans="1:15" x14ac:dyDescent="0.25">
      <c r="A71" s="28"/>
      <c r="B71" s="29"/>
      <c r="C71" s="29"/>
      <c r="D71" s="30"/>
      <c r="E71" s="30"/>
      <c r="F71" s="31"/>
      <c r="G71" s="31"/>
      <c r="H71" s="29"/>
      <c r="I71" s="32"/>
      <c r="J71" s="33"/>
      <c r="K71" s="34"/>
      <c r="L71" s="35">
        <f t="shared" si="0"/>
      </c>
      <c r="M71" s="36">
        <f t="shared" si="1"/>
      </c>
      <c r="N71" s="29"/>
      <c r="O71" s="37">
        <f t="shared" si="2"/>
      </c>
    </row>
    <row r="72" spans="1:15" x14ac:dyDescent="0.25">
      <c r="A72" s="28"/>
      <c r="B72" s="29"/>
      <c r="C72" s="29"/>
      <c r="D72" s="30"/>
      <c r="E72" s="30"/>
      <c r="F72" s="31"/>
      <c r="G72" s="31"/>
      <c r="H72" s="29"/>
      <c r="I72" s="32"/>
      <c r="J72" s="33"/>
      <c r="K72" s="34"/>
      <c r="L72" s="35">
        <f t="shared" si="0"/>
      </c>
      <c r="M72" s="36">
        <f t="shared" si="1"/>
      </c>
      <c r="N72" s="29"/>
      <c r="O72" s="37">
        <f t="shared" si="2"/>
      </c>
    </row>
    <row r="73" spans="1:15" x14ac:dyDescent="0.25">
      <c r="A73" s="28"/>
      <c r="B73" s="29"/>
      <c r="C73" s="29"/>
      <c r="D73" s="30"/>
      <c r="E73" s="30"/>
      <c r="F73" s="31"/>
      <c r="G73" s="31"/>
      <c r="H73" s="29"/>
      <c r="I73" s="32"/>
      <c r="J73" s="33"/>
      <c r="K73" s="34"/>
      <c r="L73" s="35">
        <f t="shared" si="0"/>
      </c>
      <c r="M73" s="36">
        <f t="shared" si="1"/>
      </c>
      <c r="N73" s="29"/>
      <c r="O73" s="37">
        <f t="shared" si="2"/>
      </c>
    </row>
    <row r="74" spans="1:15" x14ac:dyDescent="0.25">
      <c r="A74" s="28"/>
      <c r="B74" s="29"/>
      <c r="C74" s="29"/>
      <c r="D74" s="30"/>
      <c r="E74" s="30"/>
      <c r="F74" s="31"/>
      <c r="G74" s="31"/>
      <c r="H74" s="29"/>
      <c r="I74" s="32"/>
      <c r="J74" s="33"/>
      <c r="K74" s="34"/>
      <c r="L74" s="35">
        <f t="shared" si="0"/>
      </c>
      <c r="M74" s="36">
        <f t="shared" si="1"/>
      </c>
      <c r="N74" s="29"/>
      <c r="O74" s="37">
        <f t="shared" si="2"/>
      </c>
    </row>
    <row r="75" spans="1:15" x14ac:dyDescent="0.25">
      <c r="A75" s="28"/>
      <c r="B75" s="29"/>
      <c r="C75" s="29"/>
      <c r="D75" s="30"/>
      <c r="E75" s="30"/>
      <c r="F75" s="31"/>
      <c r="G75" s="31"/>
      <c r="H75" s="29"/>
      <c r="I75" s="32"/>
      <c r="J75" s="33"/>
      <c r="K75" s="34"/>
      <c r="L75" s="35">
        <f t="shared" si="0"/>
      </c>
      <c r="M75" s="36">
        <f t="shared" si="1"/>
      </c>
      <c r="N75" s="29"/>
      <c r="O75" s="37">
        <f t="shared" si="2"/>
      </c>
    </row>
    <row r="76" spans="1:15" x14ac:dyDescent="0.25">
      <c r="A76" s="28"/>
      <c r="B76" s="29"/>
      <c r="C76" s="29"/>
      <c r="D76" s="30"/>
      <c r="E76" s="30"/>
      <c r="F76" s="31"/>
      <c r="G76" s="31"/>
      <c r="H76" s="29"/>
      <c r="I76" s="32"/>
      <c r="J76" s="33"/>
      <c r="K76" s="34"/>
      <c r="L76" s="35">
        <f t="shared" si="0"/>
      </c>
      <c r="M76" s="36">
        <f t="shared" si="1"/>
      </c>
      <c r="N76" s="29"/>
      <c r="O76" s="37">
        <f t="shared" si="2"/>
      </c>
    </row>
    <row r="77" spans="1:15" x14ac:dyDescent="0.25">
      <c r="A77" s="28"/>
      <c r="B77" s="29"/>
      <c r="C77" s="29"/>
      <c r="D77" s="30"/>
      <c r="E77" s="30"/>
      <c r="F77" s="31"/>
      <c r="G77" s="31"/>
      <c r="H77" s="29"/>
      <c r="I77" s="32"/>
      <c r="J77" s="33"/>
      <c r="K77" s="34"/>
      <c r="L77" s="35">
        <f t="shared" si="0"/>
      </c>
      <c r="M77" s="36">
        <f t="shared" si="1"/>
      </c>
      <c r="N77" s="29"/>
      <c r="O77" s="37">
        <f t="shared" si="2"/>
      </c>
    </row>
    <row r="78" spans="1:15" x14ac:dyDescent="0.25">
      <c r="A78" s="28"/>
      <c r="B78" s="29"/>
      <c r="C78" s="29"/>
      <c r="D78" s="30"/>
      <c r="E78" s="30"/>
      <c r="F78" s="31"/>
      <c r="G78" s="31"/>
      <c r="H78" s="29"/>
      <c r="I78" s="32"/>
      <c r="J78" s="33"/>
      <c r="K78" s="34"/>
      <c r="L78" s="35">
        <f t="shared" si="0"/>
      </c>
      <c r="M78" s="36">
        <f t="shared" si="1"/>
      </c>
      <c r="N78" s="29"/>
      <c r="O78" s="37">
        <f t="shared" si="2"/>
      </c>
    </row>
    <row r="79" spans="1:15" x14ac:dyDescent="0.25">
      <c r="A79" s="28"/>
      <c r="B79" s="29"/>
      <c r="C79" s="29"/>
      <c r="D79" s="30"/>
      <c r="E79" s="30"/>
      <c r="F79" s="31"/>
      <c r="G79" s="31"/>
      <c r="H79" s="29"/>
      <c r="I79" s="32"/>
      <c r="J79" s="33"/>
      <c r="K79" s="34"/>
      <c r="L79" s="35">
        <f t="shared" si="0"/>
      </c>
      <c r="M79" s="36">
        <f t="shared" si="1"/>
      </c>
      <c r="N79" s="29"/>
      <c r="O79" s="37">
        <f t="shared" si="2"/>
      </c>
    </row>
    <row r="80" spans="1:15" x14ac:dyDescent="0.25">
      <c r="A80" s="28"/>
      <c r="B80" s="29"/>
      <c r="C80" s="29"/>
      <c r="D80" s="30"/>
      <c r="E80" s="30"/>
      <c r="F80" s="31"/>
      <c r="G80" s="31"/>
      <c r="H80" s="29"/>
      <c r="I80" s="32"/>
      <c r="J80" s="33"/>
      <c r="K80" s="34"/>
      <c r="L80" s="35">
        <f t="shared" si="0"/>
      </c>
      <c r="M80" s="36">
        <f t="shared" si="1"/>
      </c>
      <c r="N80" s="29"/>
      <c r="O80" s="37">
        <f t="shared" si="2"/>
      </c>
    </row>
    <row r="81" spans="1:15" x14ac:dyDescent="0.25">
      <c r="A81" s="28"/>
      <c r="B81" s="29"/>
      <c r="C81" s="29"/>
      <c r="D81" s="30"/>
      <c r="E81" s="30"/>
      <c r="F81" s="31"/>
      <c r="G81" s="31"/>
      <c r="H81" s="29"/>
      <c r="I81" s="32"/>
      <c r="J81" s="33"/>
      <c r="K81" s="34"/>
      <c r="L81" s="35">
        <f t="shared" si="0"/>
      </c>
      <c r="M81" s="36">
        <f t="shared" si="1"/>
      </c>
      <c r="N81" s="29"/>
      <c r="O81" s="37">
        <f t="shared" si="2"/>
      </c>
    </row>
    <row r="82" spans="1:15" x14ac:dyDescent="0.25">
      <c r="A82" s="28"/>
      <c r="B82" s="29"/>
      <c r="C82" s="29"/>
      <c r="D82" s="30"/>
      <c r="E82" s="30"/>
      <c r="F82" s="31"/>
      <c r="G82" s="31"/>
      <c r="H82" s="29"/>
      <c r="I82" s="32"/>
      <c r="J82" s="33"/>
      <c r="K82" s="34"/>
      <c r="L82" s="35">
        <f t="shared" si="0"/>
      </c>
      <c r="M82" s="36">
        <f t="shared" si="1"/>
      </c>
      <c r="N82" s="29"/>
      <c r="O82" s="37">
        <f t="shared" si="2"/>
      </c>
    </row>
    <row r="83" spans="1:15" x14ac:dyDescent="0.25">
      <c r="A83" s="28"/>
      <c r="B83" s="29"/>
      <c r="C83" s="29"/>
      <c r="D83" s="30"/>
      <c r="E83" s="30"/>
      <c r="F83" s="31"/>
      <c r="G83" s="31"/>
      <c r="H83" s="29"/>
      <c r="I83" s="32"/>
      <c r="J83" s="33"/>
      <c r="K83" s="34"/>
      <c r="L83" s="35">
        <f t="shared" si="0"/>
      </c>
      <c r="M83" s="36">
        <f t="shared" si="1"/>
      </c>
      <c r="N83" s="29"/>
      <c r="O83" s="37">
        <f t="shared" si="2"/>
      </c>
    </row>
    <row r="84" spans="1:15" x14ac:dyDescent="0.25">
      <c r="A84" s="28"/>
      <c r="B84" s="29"/>
      <c r="C84" s="29"/>
      <c r="D84" s="30"/>
      <c r="E84" s="30"/>
      <c r="F84" s="31"/>
      <c r="G84" s="31"/>
      <c r="H84" s="29"/>
      <c r="I84" s="32"/>
      <c r="J84" s="33"/>
      <c r="K84" s="34"/>
      <c r="L84" s="35">
        <f t="shared" si="0"/>
      </c>
      <c r="M84" s="36">
        <f t="shared" si="1"/>
      </c>
      <c r="N84" s="29"/>
      <c r="O84" s="37">
        <f t="shared" si="2"/>
      </c>
    </row>
    <row r="85" spans="1:15" x14ac:dyDescent="0.25">
      <c r="A85" s="28"/>
      <c r="B85" s="29"/>
      <c r="C85" s="29"/>
      <c r="D85" s="30"/>
      <c r="E85" s="30"/>
      <c r="F85" s="31"/>
      <c r="G85" s="31"/>
      <c r="H85" s="29"/>
      <c r="I85" s="32"/>
      <c r="J85" s="33"/>
      <c r="K85" s="34"/>
      <c r="L85" s="35">
        <f t="shared" si="0"/>
      </c>
      <c r="M85" s="36">
        <f t="shared" si="1"/>
      </c>
      <c r="N85" s="29"/>
      <c r="O85" s="37">
        <f t="shared" si="2"/>
      </c>
    </row>
    <row r="86" spans="1:15" x14ac:dyDescent="0.25">
      <c r="A86" s="28"/>
      <c r="B86" s="29"/>
      <c r="C86" s="29"/>
      <c r="D86" s="30"/>
      <c r="E86" s="30"/>
      <c r="F86" s="31"/>
      <c r="G86" s="31"/>
      <c r="H86" s="29"/>
      <c r="I86" s="32"/>
      <c r="J86" s="33"/>
      <c r="K86" s="34"/>
      <c r="L86" s="35">
        <f t="shared" si="0"/>
      </c>
      <c r="M86" s="36">
        <f t="shared" si="1"/>
      </c>
      <c r="N86" s="29"/>
      <c r="O86" s="37">
        <f t="shared" si="2"/>
      </c>
    </row>
    <row r="87" spans="1:15" x14ac:dyDescent="0.25">
      <c r="A87" s="28"/>
      <c r="B87" s="29"/>
      <c r="C87" s="29"/>
      <c r="D87" s="30"/>
      <c r="E87" s="30"/>
      <c r="F87" s="31"/>
      <c r="G87" s="31"/>
      <c r="H87" s="29"/>
      <c r="I87" s="32"/>
      <c r="J87" s="33"/>
      <c r="K87" s="34"/>
      <c r="L87" s="35">
        <f t="shared" si="0"/>
      </c>
      <c r="M87" s="36">
        <f t="shared" si="1"/>
      </c>
      <c r="N87" s="29"/>
      <c r="O87" s="37">
        <f t="shared" si="2"/>
      </c>
    </row>
    <row r="88" spans="1:15" x14ac:dyDescent="0.25">
      <c r="A88" s="28"/>
      <c r="B88" s="29"/>
      <c r="C88" s="29"/>
      <c r="D88" s="30"/>
      <c r="E88" s="30"/>
      <c r="F88" s="31"/>
      <c r="G88" s="31"/>
      <c r="H88" s="29"/>
      <c r="I88" s="32"/>
      <c r="J88" s="33"/>
      <c r="K88" s="34"/>
      <c r="L88" s="35">
        <f t="shared" si="0"/>
      </c>
      <c r="M88" s="36">
        <f t="shared" si="1"/>
      </c>
      <c r="N88" s="29"/>
      <c r="O88" s="37">
        <f t="shared" si="2"/>
      </c>
    </row>
    <row r="89" spans="1:15" x14ac:dyDescent="0.25">
      <c r="A89" s="28"/>
      <c r="B89" s="29"/>
      <c r="C89" s="29"/>
      <c r="D89" s="30"/>
      <c r="E89" s="30"/>
      <c r="F89" s="31"/>
      <c r="G89" s="31"/>
      <c r="H89" s="29"/>
      <c r="I89" s="32"/>
      <c r="J89" s="33"/>
      <c r="K89" s="34"/>
      <c r="L89" s="35">
        <f t="shared" si="0"/>
      </c>
      <c r="M89" s="36">
        <f t="shared" si="1"/>
      </c>
      <c r="N89" s="29"/>
      <c r="O89" s="37">
        <f t="shared" si="2"/>
      </c>
    </row>
    <row r="90" spans="1:15" x14ac:dyDescent="0.25">
      <c r="A90" s="28"/>
      <c r="B90" s="29"/>
      <c r="C90" s="29"/>
      <c r="D90" s="30"/>
      <c r="E90" s="30"/>
      <c r="F90" s="31"/>
      <c r="G90" s="31"/>
      <c r="H90" s="29"/>
      <c r="I90" s="32"/>
      <c r="J90" s="33"/>
      <c r="K90" s="34"/>
      <c r="L90" s="35">
        <f t="shared" si="0"/>
      </c>
      <c r="M90" s="36">
        <f t="shared" si="1"/>
      </c>
      <c r="N90" s="29"/>
      <c r="O90" s="37">
        <f t="shared" si="2"/>
      </c>
    </row>
    <row r="91" spans="1:15" x14ac:dyDescent="0.25">
      <c r="A91" s="28"/>
      <c r="B91" s="29"/>
      <c r="C91" s="29"/>
      <c r="D91" s="30"/>
      <c r="E91" s="30"/>
      <c r="F91" s="31"/>
      <c r="G91" s="31"/>
      <c r="H91" s="29"/>
      <c r="I91" s="32"/>
      <c r="J91" s="33"/>
      <c r="K91" s="34"/>
      <c r="L91" s="35">
        <f t="shared" si="0"/>
      </c>
      <c r="M91" s="36">
        <f t="shared" si="1"/>
      </c>
      <c r="N91" s="29"/>
      <c r="O91" s="37">
        <f t="shared" si="2"/>
      </c>
    </row>
    <row r="92" spans="1:15" x14ac:dyDescent="0.25">
      <c r="A92" s="28"/>
      <c r="B92" s="29"/>
      <c r="C92" s="29"/>
      <c r="D92" s="30"/>
      <c r="E92" s="30"/>
      <c r="F92" s="31"/>
      <c r="G92" s="31"/>
      <c r="H92" s="29"/>
      <c r="I92" s="32"/>
      <c r="J92" s="33"/>
      <c r="K92" s="34"/>
      <c r="L92" s="35">
        <f t="shared" si="0"/>
      </c>
      <c r="M92" s="36">
        <f t="shared" si="1"/>
      </c>
      <c r="N92" s="29"/>
      <c r="O92" s="37">
        <f t="shared" si="2"/>
      </c>
    </row>
    <row r="93" spans="1:15" x14ac:dyDescent="0.25">
      <c r="A93" s="28"/>
      <c r="B93" s="29"/>
      <c r="C93" s="29"/>
      <c r="D93" s="30"/>
      <c r="E93" s="30"/>
      <c r="F93" s="31"/>
      <c r="G93" s="31"/>
      <c r="H93" s="29"/>
      <c r="I93" s="32"/>
      <c r="J93" s="33"/>
      <c r="K93" s="34"/>
      <c r="L93" s="35">
        <f t="shared" si="0"/>
      </c>
      <c r="M93" s="36">
        <f t="shared" si="1"/>
      </c>
      <c r="N93" s="29"/>
      <c r="O93" s="37">
        <f t="shared" si="2"/>
      </c>
    </row>
    <row r="94" spans="1:15" x14ac:dyDescent="0.25">
      <c r="A94" s="28"/>
      <c r="B94" s="29"/>
      <c r="C94" s="29"/>
      <c r="D94" s="30"/>
      <c r="E94" s="30"/>
      <c r="F94" s="31"/>
      <c r="G94" s="31"/>
      <c r="H94" s="29"/>
      <c r="I94" s="32"/>
      <c r="J94" s="33"/>
      <c r="K94" s="34"/>
      <c r="L94" s="35">
        <f t="shared" si="0"/>
      </c>
      <c r="M94" s="36">
        <f t="shared" si="1"/>
      </c>
      <c r="N94" s="29"/>
      <c r="O94" s="37">
        <f t="shared" si="2"/>
      </c>
    </row>
    <row r="95" spans="1:15" x14ac:dyDescent="0.25">
      <c r="A95" s="28"/>
      <c r="B95" s="29"/>
      <c r="C95" s="29"/>
      <c r="D95" s="30"/>
      <c r="E95" s="30"/>
      <c r="F95" s="31"/>
      <c r="G95" s="31"/>
      <c r="H95" s="29"/>
      <c r="I95" s="32"/>
      <c r="J95" s="33"/>
      <c r="K95" s="34"/>
      <c r="L95" s="35">
        <f t="shared" si="0"/>
      </c>
      <c r="M95" s="36">
        <f t="shared" si="1"/>
      </c>
      <c r="N95" s="29"/>
      <c r="O95" s="37">
        <f t="shared" si="2"/>
      </c>
    </row>
    <row r="96" spans="1:15" x14ac:dyDescent="0.25">
      <c r="A96" s="28"/>
      <c r="B96" s="29"/>
      <c r="C96" s="29"/>
      <c r="D96" s="30"/>
      <c r="E96" s="30"/>
      <c r="F96" s="31"/>
      <c r="G96" s="31"/>
      <c r="H96" s="29"/>
      <c r="I96" s="32"/>
      <c r="J96" s="33"/>
      <c r="K96" s="34"/>
      <c r="L96" s="35">
        <f t="shared" si="0"/>
      </c>
      <c r="M96" s="36">
        <f t="shared" si="1"/>
      </c>
      <c r="N96" s="29"/>
      <c r="O96" s="37">
        <f t="shared" si="2"/>
      </c>
    </row>
    <row r="97" spans="1:15" x14ac:dyDescent="0.25">
      <c r="A97" s="28"/>
      <c r="B97" s="29"/>
      <c r="C97" s="29"/>
      <c r="D97" s="30"/>
      <c r="E97" s="30"/>
      <c r="F97" s="31"/>
      <c r="G97" s="31"/>
      <c r="H97" s="29"/>
      <c r="I97" s="32"/>
      <c r="J97" s="33"/>
      <c r="K97" s="34"/>
      <c r="L97" s="35">
        <f t="shared" si="0"/>
      </c>
      <c r="M97" s="36">
        <f t="shared" si="1"/>
      </c>
      <c r="N97" s="29"/>
      <c r="O97" s="37">
        <f t="shared" si="2"/>
      </c>
    </row>
    <row r="98" spans="1:15" x14ac:dyDescent="0.25">
      <c r="A98" s="28"/>
      <c r="B98" s="29"/>
      <c r="C98" s="29"/>
      <c r="D98" s="30"/>
      <c r="E98" s="30"/>
      <c r="F98" s="31"/>
      <c r="G98" s="31"/>
      <c r="H98" s="29"/>
      <c r="I98" s="32"/>
      <c r="J98" s="33"/>
      <c r="K98" s="34"/>
      <c r="L98" s="35">
        <f t="shared" si="0"/>
      </c>
      <c r="M98" s="36">
        <f t="shared" si="1"/>
      </c>
      <c r="N98" s="29"/>
      <c r="O98" s="37">
        <f t="shared" si="2"/>
      </c>
    </row>
    <row r="99" spans="1:15" x14ac:dyDescent="0.25">
      <c r="A99" s="28"/>
      <c r="B99" s="29"/>
      <c r="C99" s="29"/>
      <c r="D99" s="30"/>
      <c r="E99" s="30"/>
      <c r="F99" s="31"/>
      <c r="G99" s="31"/>
      <c r="H99" s="29"/>
      <c r="I99" s="32"/>
      <c r="J99" s="33"/>
      <c r="K99" s="34"/>
      <c r="L99" s="35">
        <f t="shared" si="0"/>
      </c>
      <c r="M99" s="36">
        <f t="shared" si="1"/>
      </c>
      <c r="N99" s="29"/>
      <c r="O99" s="37">
        <f t="shared" si="2"/>
      </c>
    </row>
    <row r="100" spans="1:15" x14ac:dyDescent="0.25">
      <c r="A100" s="28"/>
      <c r="B100" s="29"/>
      <c r="C100" s="29"/>
      <c r="D100" s="30"/>
      <c r="E100" s="30"/>
      <c r="F100" s="31"/>
      <c r="G100" s="31"/>
      <c r="H100" s="29"/>
      <c r="I100" s="32"/>
      <c r="J100" s="33"/>
      <c r="K100" s="34"/>
      <c r="L100" s="35">
        <f t="shared" si="0"/>
      </c>
      <c r="M100" s="36">
        <f t="shared" si="1"/>
      </c>
      <c r="N100" s="29"/>
      <c r="O100" s="37">
        <f t="shared" si="2"/>
      </c>
    </row>
    <row r="101" spans="1:15" x14ac:dyDescent="0.25">
      <c r="A101" s="28"/>
      <c r="B101" s="29"/>
      <c r="C101" s="29"/>
      <c r="D101" s="30"/>
      <c r="E101" s="30"/>
      <c r="F101" s="31"/>
      <c r="G101" s="31"/>
      <c r="H101" s="29"/>
      <c r="I101" s="32"/>
      <c r="J101" s="33"/>
      <c r="K101" s="34"/>
      <c r="L101" s="35">
        <f t="shared" si="0"/>
      </c>
      <c r="M101" s="36">
        <f t="shared" si="1"/>
      </c>
      <c r="N101" s="29"/>
      <c r="O101" s="37">
        <f t="shared" si="2"/>
      </c>
    </row>
    <row r="102" spans="1:15" x14ac:dyDescent="0.25">
      <c r="A102" s="28"/>
      <c r="B102" s="29"/>
      <c r="C102" s="29"/>
      <c r="D102" s="30"/>
      <c r="E102" s="30"/>
      <c r="F102" s="31"/>
      <c r="G102" s="31"/>
      <c r="H102" s="29"/>
      <c r="I102" s="32"/>
      <c r="J102" s="33"/>
      <c r="K102" s="34"/>
      <c r="L102" s="35">
        <f t="shared" si="0"/>
      </c>
      <c r="M102" s="36">
        <f t="shared" si="1"/>
      </c>
      <c r="N102" s="29"/>
      <c r="O102" s="37">
        <f t="shared" si="2"/>
      </c>
    </row>
    <row r="103" spans="1:15" x14ac:dyDescent="0.25">
      <c r="A103" s="28"/>
      <c r="B103" s="29"/>
      <c r="C103" s="29"/>
      <c r="D103" s="30"/>
      <c r="E103" s="30"/>
      <c r="F103" s="31"/>
      <c r="G103" s="31"/>
      <c r="H103" s="29"/>
      <c r="I103" s="32"/>
      <c r="J103" s="33"/>
      <c r="K103" s="34"/>
      <c r="L103" s="35">
        <f t="shared" si="0"/>
      </c>
      <c r="M103" s="36">
        <f t="shared" si="1"/>
      </c>
      <c r="N103" s="29"/>
      <c r="O103" s="37">
        <f t="shared" si="2"/>
      </c>
    </row>
    <row r="104" spans="1:15" x14ac:dyDescent="0.25">
      <c r="A104" s="28"/>
      <c r="B104" s="29"/>
      <c r="C104" s="29"/>
      <c r="D104" s="30"/>
      <c r="E104" s="30"/>
      <c r="F104" s="31"/>
      <c r="G104" s="31"/>
      <c r="H104" s="29"/>
      <c r="I104" s="32"/>
      <c r="J104" s="33"/>
      <c r="K104" s="34"/>
      <c r="L104" s="35">
        <f t="shared" si="0"/>
      </c>
      <c r="M104" s="36">
        <f t="shared" si="1"/>
      </c>
      <c r="N104" s="29"/>
      <c r="O104" s="37">
        <f t="shared" si="2"/>
      </c>
    </row>
    <row r="105" spans="1:15" x14ac:dyDescent="0.25">
      <c r="A105" s="28"/>
      <c r="B105" s="29"/>
      <c r="C105" s="29"/>
      <c r="D105" s="30"/>
      <c r="E105" s="30"/>
      <c r="F105" s="31"/>
      <c r="G105" s="31"/>
      <c r="H105" s="29"/>
      <c r="I105" s="32"/>
      <c r="J105" s="33"/>
      <c r="K105" s="34"/>
      <c r="L105" s="35">
        <f t="shared" si="0"/>
      </c>
      <c r="M105" s="36">
        <f t="shared" si="1"/>
      </c>
      <c r="N105" s="29"/>
      <c r="O105" s="37">
        <f t="shared" si="2"/>
      </c>
    </row>
    <row r="106" spans="1:15" x14ac:dyDescent="0.25">
      <c r="A106" s="28"/>
      <c r="B106" s="29"/>
      <c r="C106" s="29"/>
      <c r="D106" s="30"/>
      <c r="E106" s="30"/>
      <c r="F106" s="31"/>
      <c r="G106" s="31"/>
      <c r="H106" s="29"/>
      <c r="I106" s="32"/>
      <c r="J106" s="33"/>
      <c r="K106" s="34"/>
      <c r="L106" s="35">
        <f t="shared" si="0"/>
      </c>
      <c r="M106" s="36">
        <f t="shared" si="1"/>
      </c>
      <c r="N106" s="29"/>
      <c r="O106" s="37">
        <f t="shared" si="2"/>
      </c>
    </row>
    <row r="107" spans="1:15" x14ac:dyDescent="0.25">
      <c r="A107" s="28"/>
      <c r="B107" s="29"/>
      <c r="C107" s="29"/>
      <c r="D107" s="30"/>
      <c r="E107" s="30"/>
      <c r="F107" s="31"/>
      <c r="G107" s="31"/>
      <c r="H107" s="29"/>
      <c r="I107" s="32"/>
      <c r="J107" s="33"/>
      <c r="K107" s="34"/>
      <c r="L107" s="35">
        <f t="shared" si="0"/>
      </c>
      <c r="M107" s="36">
        <f t="shared" si="1"/>
      </c>
      <c r="N107" s="29"/>
      <c r="O107" s="37">
        <f t="shared" si="2"/>
      </c>
    </row>
    <row r="108" spans="1:15" x14ac:dyDescent="0.25">
      <c r="A108" s="28"/>
      <c r="B108" s="29"/>
      <c r="C108" s="29"/>
      <c r="D108" s="30"/>
      <c r="E108" s="30"/>
      <c r="F108" s="31"/>
      <c r="G108" s="31"/>
      <c r="H108" s="29"/>
      <c r="I108" s="32"/>
      <c r="J108" s="33"/>
      <c r="K108" s="34"/>
      <c r="L108" s="35">
        <f t="shared" si="0"/>
      </c>
      <c r="M108" s="36">
        <f t="shared" si="1"/>
      </c>
      <c r="N108" s="29"/>
      <c r="O108" s="37">
        <f t="shared" si="2"/>
      </c>
    </row>
    <row r="109" spans="1:15" x14ac:dyDescent="0.25">
      <c r="A109" s="28"/>
      <c r="B109" s="29"/>
      <c r="C109" s="29"/>
      <c r="D109" s="30"/>
      <c r="E109" s="30"/>
      <c r="F109" s="31"/>
      <c r="G109" s="31"/>
      <c r="H109" s="29"/>
      <c r="I109" s="32"/>
      <c r="J109" s="33"/>
      <c r="K109" s="34"/>
      <c r="L109" s="35">
        <f t="shared" si="0"/>
      </c>
      <c r="M109" s="36">
        <f t="shared" si="1"/>
      </c>
      <c r="N109" s="29"/>
      <c r="O109" s="37">
        <f t="shared" si="2"/>
      </c>
    </row>
    <row r="110" spans="1:15" x14ac:dyDescent="0.25">
      <c r="A110" s="28"/>
      <c r="B110" s="29"/>
      <c r="C110" s="29"/>
      <c r="D110" s="30"/>
      <c r="E110" s="30"/>
      <c r="F110" s="31"/>
      <c r="G110" s="31"/>
      <c r="H110" s="29"/>
      <c r="I110" s="32"/>
      <c r="J110" s="33"/>
      <c r="K110" s="34"/>
      <c r="L110" s="35">
        <f t="shared" si="0"/>
      </c>
      <c r="M110" s="36">
        <f t="shared" si="1"/>
      </c>
      <c r="N110" s="29"/>
      <c r="O110" s="37">
        <f t="shared" si="2"/>
      </c>
    </row>
    <row r="111" spans="1:15" x14ac:dyDescent="0.25">
      <c r="A111" s="28"/>
      <c r="B111" s="29"/>
      <c r="C111" s="29"/>
      <c r="D111" s="30"/>
      <c r="E111" s="30"/>
      <c r="F111" s="31"/>
      <c r="G111" s="31"/>
      <c r="H111" s="29"/>
      <c r="I111" s="32"/>
      <c r="J111" s="33"/>
      <c r="K111" s="34"/>
      <c r="L111" s="35">
        <f t="shared" si="0"/>
      </c>
      <c r="M111" s="36">
        <f t="shared" si="1"/>
      </c>
      <c r="N111" s="29"/>
      <c r="O111" s="37">
        <f t="shared" si="2"/>
      </c>
    </row>
    <row r="112" spans="1:15" x14ac:dyDescent="0.25">
      <c r="A112" s="28"/>
      <c r="B112" s="29"/>
      <c r="C112" s="29"/>
      <c r="D112" s="30"/>
      <c r="E112" s="30"/>
      <c r="F112" s="31"/>
      <c r="G112" s="31"/>
      <c r="H112" s="29"/>
      <c r="I112" s="32"/>
      <c r="J112" s="33"/>
      <c r="K112" s="34"/>
      <c r="L112" s="35">
        <f t="shared" si="0"/>
      </c>
      <c r="M112" s="36">
        <f t="shared" si="1"/>
      </c>
      <c r="N112" s="29"/>
      <c r="O112" s="37">
        <f t="shared" si="2"/>
      </c>
    </row>
    <row r="113" spans="1:15" x14ac:dyDescent="0.25">
      <c r="A113" s="28"/>
      <c r="B113" s="29"/>
      <c r="C113" s="29"/>
      <c r="D113" s="30"/>
      <c r="E113" s="30"/>
      <c r="F113" s="31"/>
      <c r="G113" s="31"/>
      <c r="H113" s="29"/>
      <c r="I113" s="32"/>
      <c r="J113" s="33"/>
      <c r="K113" s="34"/>
      <c r="L113" s="35">
        <f t="shared" si="0"/>
      </c>
      <c r="M113" s="36">
        <f t="shared" si="1"/>
      </c>
      <c r="N113" s="29"/>
      <c r="O113" s="37">
        <f t="shared" si="2"/>
      </c>
    </row>
    <row r="114" spans="1:15" x14ac:dyDescent="0.25">
      <c r="A114" s="28"/>
      <c r="B114" s="29"/>
      <c r="C114" s="29"/>
      <c r="D114" s="30"/>
      <c r="E114" s="30"/>
      <c r="F114" s="31"/>
      <c r="G114" s="31"/>
      <c r="H114" s="29"/>
      <c r="I114" s="32"/>
      <c r="J114" s="33"/>
      <c r="K114" s="34"/>
      <c r="L114" s="35">
        <f t="shared" si="0"/>
      </c>
      <c r="M114" s="36">
        <f t="shared" si="1"/>
      </c>
      <c r="N114" s="29"/>
      <c r="O114" s="37">
        <f t="shared" si="2"/>
      </c>
    </row>
    <row r="115" spans="1:15" x14ac:dyDescent="0.25">
      <c r="A115" s="28"/>
      <c r="B115" s="29"/>
      <c r="C115" s="29"/>
      <c r="D115" s="30"/>
      <c r="E115" s="30"/>
      <c r="F115" s="31"/>
      <c r="G115" s="31"/>
      <c r="H115" s="29"/>
      <c r="I115" s="32"/>
      <c r="J115" s="33"/>
      <c r="K115" s="34"/>
      <c r="L115" s="35">
        <f t="shared" si="0"/>
      </c>
      <c r="M115" s="36">
        <f t="shared" si="1"/>
      </c>
      <c r="N115" s="29"/>
      <c r="O115" s="37">
        <f t="shared" si="2"/>
      </c>
    </row>
    <row r="116" spans="1:15" x14ac:dyDescent="0.25">
      <c r="A116" s="28"/>
      <c r="B116" s="29"/>
      <c r="C116" s="29"/>
      <c r="D116" s="30"/>
      <c r="E116" s="30"/>
      <c r="F116" s="31"/>
      <c r="G116" s="31"/>
      <c r="H116" s="29"/>
      <c r="I116" s="32"/>
      <c r="J116" s="33"/>
      <c r="K116" s="34"/>
      <c r="L116" s="35">
        <f t="shared" si="0"/>
      </c>
      <c r="M116" s="36">
        <f t="shared" si="1"/>
      </c>
      <c r="N116" s="29"/>
      <c r="O116" s="37">
        <f t="shared" si="2"/>
      </c>
    </row>
    <row r="117" spans="1:15" x14ac:dyDescent="0.25">
      <c r="A117" s="28"/>
      <c r="B117" s="29"/>
      <c r="C117" s="29"/>
      <c r="D117" s="30"/>
      <c r="E117" s="30"/>
      <c r="F117" s="31"/>
      <c r="G117" s="31"/>
      <c r="H117" s="29"/>
      <c r="I117" s="32"/>
      <c r="J117" s="33"/>
      <c r="K117" s="34"/>
      <c r="L117" s="35">
        <f t="shared" si="0"/>
      </c>
      <c r="M117" s="36">
        <f t="shared" si="1"/>
      </c>
      <c r="N117" s="29"/>
      <c r="O117" s="37">
        <f t="shared" si="2"/>
      </c>
    </row>
    <row r="118" spans="1:15" x14ac:dyDescent="0.25">
      <c r="A118" s="28"/>
      <c r="B118" s="29"/>
      <c r="C118" s="29"/>
      <c r="D118" s="30"/>
      <c r="E118" s="30"/>
      <c r="F118" s="31"/>
      <c r="G118" s="31"/>
      <c r="H118" s="29"/>
      <c r="I118" s="32"/>
      <c r="J118" s="33"/>
      <c r="K118" s="34"/>
      <c r="L118" s="35">
        <f t="shared" si="0"/>
      </c>
      <c r="M118" s="36">
        <f t="shared" si="1"/>
      </c>
      <c r="N118" s="29"/>
      <c r="O118" s="37">
        <f t="shared" si="2"/>
      </c>
    </row>
    <row r="119" spans="1:15" x14ac:dyDescent="0.25">
      <c r="A119" s="28"/>
      <c r="B119" s="29"/>
      <c r="C119" s="29"/>
      <c r="D119" s="30"/>
      <c r="E119" s="30"/>
      <c r="F119" s="31"/>
      <c r="G119" s="31"/>
      <c r="H119" s="29"/>
      <c r="I119" s="32"/>
      <c r="J119" s="33"/>
      <c r="K119" s="34"/>
      <c r="L119" s="35">
        <f t="shared" si="0"/>
      </c>
      <c r="M119" s="36">
        <f t="shared" si="1"/>
      </c>
      <c r="N119" s="29"/>
      <c r="O119" s="37">
        <f t="shared" si="2"/>
      </c>
    </row>
    <row r="120" spans="1:15" x14ac:dyDescent="0.25">
      <c r="A120" s="28"/>
      <c r="B120" s="29"/>
      <c r="C120" s="29"/>
      <c r="D120" s="30"/>
      <c r="E120" s="30"/>
      <c r="F120" s="31"/>
      <c r="G120" s="31"/>
      <c r="H120" s="29"/>
      <c r="I120" s="32"/>
      <c r="J120" s="33"/>
      <c r="K120" s="34"/>
      <c r="L120" s="35">
        <f t="shared" si="0"/>
      </c>
      <c r="M120" s="36">
        <f t="shared" si="1"/>
      </c>
      <c r="N120" s="29"/>
      <c r="O120" s="37">
        <f t="shared" si="2"/>
      </c>
    </row>
    <row r="121" spans="1:15" x14ac:dyDescent="0.25">
      <c r="A121" s="28"/>
      <c r="B121" s="29"/>
      <c r="C121" s="29"/>
      <c r="D121" s="30"/>
      <c r="E121" s="30"/>
      <c r="F121" s="31"/>
      <c r="G121" s="31"/>
      <c r="H121" s="29"/>
      <c r="I121" s="32"/>
      <c r="J121" s="33"/>
      <c r="K121" s="34"/>
      <c r="L121" s="35">
        <f t="shared" si="0"/>
      </c>
      <c r="M121" s="36">
        <f t="shared" si="1"/>
      </c>
      <c r="N121" s="29"/>
      <c r="O121" s="37">
        <f t="shared" si="2"/>
      </c>
    </row>
    <row r="122" spans="1:15" x14ac:dyDescent="0.25">
      <c r="A122" s="28"/>
      <c r="B122" s="29"/>
      <c r="C122" s="29"/>
      <c r="D122" s="30"/>
      <c r="E122" s="30"/>
      <c r="F122" s="31"/>
      <c r="G122" s="31"/>
      <c r="H122" s="29"/>
      <c r="I122" s="32"/>
      <c r="J122" s="33"/>
      <c r="K122" s="34"/>
      <c r="L122" s="35">
        <f t="shared" si="0"/>
      </c>
      <c r="M122" s="36">
        <f t="shared" si="1"/>
      </c>
      <c r="N122" s="29"/>
      <c r="O122" s="37">
        <f t="shared" si="2"/>
      </c>
    </row>
    <row r="123" spans="1:15" x14ac:dyDescent="0.25">
      <c r="A123" s="28"/>
      <c r="B123" s="29"/>
      <c r="C123" s="29"/>
      <c r="D123" s="30"/>
      <c r="E123" s="30"/>
      <c r="F123" s="31"/>
      <c r="G123" s="31"/>
      <c r="H123" s="29"/>
      <c r="I123" s="32"/>
      <c r="J123" s="33"/>
      <c r="K123" s="34"/>
      <c r="L123" s="35">
        <f t="shared" si="0"/>
      </c>
      <c r="M123" s="36">
        <f t="shared" si="1"/>
      </c>
      <c r="N123" s="29"/>
      <c r="O123" s="37">
        <f t="shared" si="2"/>
      </c>
    </row>
    <row r="124" spans="1:15" x14ac:dyDescent="0.25">
      <c r="A124" s="28"/>
      <c r="B124" s="29"/>
      <c r="C124" s="29"/>
      <c r="D124" s="30"/>
      <c r="E124" s="30"/>
      <c r="F124" s="31"/>
      <c r="G124" s="31"/>
      <c r="H124" s="29"/>
      <c r="I124" s="32"/>
      <c r="J124" s="33"/>
      <c r="K124" s="34"/>
      <c r="L124" s="35">
        <f t="shared" si="0"/>
      </c>
      <c r="M124" s="36">
        <f t="shared" si="1"/>
      </c>
      <c r="N124" s="29"/>
      <c r="O124" s="37">
        <f t="shared" si="2"/>
      </c>
    </row>
    <row r="125" spans="1:15" x14ac:dyDescent="0.25">
      <c r="A125" s="28"/>
      <c r="B125" s="29"/>
      <c r="C125" s="29"/>
      <c r="D125" s="30"/>
      <c r="E125" s="30"/>
      <c r="F125" s="31"/>
      <c r="G125" s="31"/>
      <c r="H125" s="29"/>
      <c r="I125" s="32"/>
      <c r="J125" s="33"/>
      <c r="K125" s="34"/>
      <c r="L125" s="35">
        <f t="shared" si="0"/>
      </c>
      <c r="M125" s="36">
        <f t="shared" si="1"/>
      </c>
      <c r="N125" s="29"/>
      <c r="O125" s="37">
        <f t="shared" si="2"/>
      </c>
    </row>
    <row r="126" spans="1:15" x14ac:dyDescent="0.25">
      <c r="A126" s="28"/>
      <c r="B126" s="29"/>
      <c r="C126" s="29"/>
      <c r="D126" s="30"/>
      <c r="E126" s="30"/>
      <c r="F126" s="31"/>
      <c r="G126" s="31"/>
      <c r="H126" s="29"/>
      <c r="I126" s="32"/>
      <c r="J126" s="33"/>
      <c r="K126" s="34"/>
      <c r="L126" s="35">
        <f t="shared" si="0"/>
      </c>
      <c r="M126" s="36">
        <f t="shared" si="1"/>
      </c>
      <c r="N126" s="29"/>
      <c r="O126" s="37">
        <f t="shared" si="2"/>
      </c>
    </row>
    <row r="127" spans="1:15" x14ac:dyDescent="0.25">
      <c r="A127" s="28"/>
      <c r="B127" s="29"/>
      <c r="C127" s="29"/>
      <c r="D127" s="30"/>
      <c r="E127" s="30"/>
      <c r="F127" s="31"/>
      <c r="G127" s="31"/>
      <c r="H127" s="29"/>
      <c r="I127" s="32"/>
      <c r="J127" s="33"/>
      <c r="K127" s="34"/>
      <c r="L127" s="35">
        <f t="shared" si="0"/>
      </c>
      <c r="M127" s="36">
        <f t="shared" si="1"/>
      </c>
      <c r="N127" s="29"/>
      <c r="O127" s="37">
        <f t="shared" si="2"/>
      </c>
    </row>
    <row r="128" spans="1:15" x14ac:dyDescent="0.25">
      <c r="A128" s="28"/>
      <c r="B128" s="29"/>
      <c r="C128" s="29"/>
      <c r="D128" s="30"/>
      <c r="E128" s="30"/>
      <c r="F128" s="31"/>
      <c r="G128" s="31"/>
      <c r="H128" s="29"/>
      <c r="I128" s="32"/>
      <c r="J128" s="33"/>
      <c r="K128" s="34"/>
      <c r="L128" s="35">
        <f t="shared" si="0"/>
      </c>
      <c r="M128" s="36">
        <f t="shared" si="1"/>
      </c>
      <c r="N128" s="29"/>
      <c r="O128" s="37">
        <f t="shared" si="2"/>
      </c>
    </row>
    <row r="129" spans="1:15" x14ac:dyDescent="0.25">
      <c r="A129" s="28"/>
      <c r="B129" s="29"/>
      <c r="C129" s="29"/>
      <c r="D129" s="30"/>
      <c r="E129" s="30"/>
      <c r="F129" s="31"/>
      <c r="G129" s="31"/>
      <c r="H129" s="29"/>
      <c r="I129" s="32"/>
      <c r="J129" s="33"/>
      <c r="K129" s="34"/>
      <c r="L129" s="35">
        <f t="shared" si="0"/>
      </c>
      <c r="M129" s="36">
        <f t="shared" si="1"/>
      </c>
      <c r="N129" s="29"/>
      <c r="O129" s="37">
        <f t="shared" si="2"/>
      </c>
    </row>
    <row r="130" spans="1:15" x14ac:dyDescent="0.25">
      <c r="A130" s="28"/>
      <c r="B130" s="29"/>
      <c r="C130" s="29"/>
      <c r="D130" s="30"/>
      <c r="E130" s="30"/>
      <c r="F130" s="31"/>
      <c r="G130" s="31"/>
      <c r="H130" s="29"/>
      <c r="I130" s="32"/>
      <c r="J130" s="33"/>
      <c r="K130" s="34"/>
      <c r="L130" s="35">
        <f t="shared" si="0"/>
      </c>
      <c r="M130" s="36">
        <f t="shared" si="1"/>
      </c>
      <c r="N130" s="29"/>
      <c r="O130" s="37">
        <f t="shared" si="2"/>
      </c>
    </row>
    <row r="131" spans="1:15" x14ac:dyDescent="0.25">
      <c r="A131" s="28"/>
      <c r="B131" s="29"/>
      <c r="C131" s="29"/>
      <c r="D131" s="30"/>
      <c r="E131" s="30"/>
      <c r="F131" s="31"/>
      <c r="G131" s="31"/>
      <c r="H131" s="29"/>
      <c r="I131" s="32"/>
      <c r="J131" s="33"/>
      <c r="K131" s="34"/>
      <c r="L131" s="35">
        <f t="shared" si="0"/>
      </c>
      <c r="M131" s="36">
        <f t="shared" si="1"/>
      </c>
      <c r="N131" s="29"/>
      <c r="O131" s="37">
        <f t="shared" si="2"/>
      </c>
    </row>
    <row r="132" spans="1:15" x14ac:dyDescent="0.25">
      <c r="A132" s="28"/>
      <c r="B132" s="29"/>
      <c r="C132" s="29"/>
      <c r="D132" s="30"/>
      <c r="E132" s="30"/>
      <c r="F132" s="31"/>
      <c r="G132" s="31"/>
      <c r="H132" s="29"/>
      <c r="I132" s="32"/>
      <c r="J132" s="33"/>
      <c r="K132" s="34"/>
      <c r="L132" s="35">
        <f t="shared" si="0"/>
      </c>
      <c r="M132" s="36">
        <f t="shared" si="1"/>
      </c>
      <c r="N132" s="29"/>
      <c r="O132" s="37">
        <f t="shared" si="2"/>
      </c>
    </row>
    <row r="133" spans="1:15" x14ac:dyDescent="0.25">
      <c r="A133" s="28"/>
      <c r="B133" s="29"/>
      <c r="C133" s="29"/>
      <c r="D133" s="30"/>
      <c r="E133" s="30"/>
      <c r="F133" s="31"/>
      <c r="G133" s="31"/>
      <c r="H133" s="29"/>
      <c r="I133" s="32"/>
      <c r="J133" s="33"/>
      <c r="K133" s="34"/>
      <c r="L133" s="35">
        <f t="shared" si="0"/>
      </c>
      <c r="M133" s="36">
        <f t="shared" si="1"/>
      </c>
      <c r="N133" s="29"/>
      <c r="O133" s="37">
        <f t="shared" si="2"/>
      </c>
    </row>
    <row r="134" spans="1:15" x14ac:dyDescent="0.25">
      <c r="A134" s="28"/>
      <c r="B134" s="29"/>
      <c r="C134" s="29"/>
      <c r="D134" s="30"/>
      <c r="E134" s="30"/>
      <c r="F134" s="31"/>
      <c r="G134" s="31"/>
      <c r="H134" s="29"/>
      <c r="I134" s="32"/>
      <c r="J134" s="33"/>
      <c r="K134" s="34"/>
      <c r="L134" s="35">
        <f t="shared" si="0"/>
      </c>
      <c r="M134" s="36">
        <f t="shared" si="1"/>
      </c>
      <c r="N134" s="29"/>
      <c r="O134" s="37">
        <f t="shared" si="2"/>
      </c>
    </row>
    <row r="135" spans="1:15" x14ac:dyDescent="0.25">
      <c r="A135" s="28"/>
      <c r="B135" s="29"/>
      <c r="C135" s="29"/>
      <c r="D135" s="30"/>
      <c r="E135" s="30"/>
      <c r="F135" s="31"/>
      <c r="G135" s="31"/>
      <c r="H135" s="29"/>
      <c r="I135" s="32"/>
      <c r="J135" s="33"/>
      <c r="K135" s="34"/>
      <c r="L135" s="35">
        <f t="shared" si="0"/>
      </c>
      <c r="M135" s="36">
        <f t="shared" si="1"/>
      </c>
      <c r="N135" s="29"/>
      <c r="O135" s="37">
        <f t="shared" si="2"/>
      </c>
    </row>
    <row r="136" spans="1:15" x14ac:dyDescent="0.25">
      <c r="A136" s="28"/>
      <c r="B136" s="29"/>
      <c r="C136" s="29"/>
      <c r="D136" s="30"/>
      <c r="E136" s="30"/>
      <c r="F136" s="31"/>
      <c r="G136" s="31"/>
      <c r="H136" s="29"/>
      <c r="I136" s="32"/>
      <c r="J136" s="33"/>
      <c r="K136" s="34"/>
      <c r="L136" s="35">
        <f t="shared" si="0"/>
      </c>
      <c r="M136" s="36">
        <f t="shared" si="1"/>
      </c>
      <c r="N136" s="29"/>
      <c r="O136" s="37">
        <f t="shared" si="2"/>
      </c>
    </row>
    <row r="137" spans="1:15" x14ac:dyDescent="0.25">
      <c r="A137" s="28"/>
      <c r="B137" s="29"/>
      <c r="C137" s="29"/>
      <c r="D137" s="30"/>
      <c r="E137" s="30"/>
      <c r="F137" s="31"/>
      <c r="G137" s="31"/>
      <c r="H137" s="29"/>
      <c r="I137" s="32"/>
      <c r="J137" s="33"/>
      <c r="K137" s="34"/>
      <c r="L137" s="35">
        <f t="shared" si="0"/>
      </c>
      <c r="M137" s="36">
        <f t="shared" si="1"/>
      </c>
      <c r="N137" s="29"/>
      <c r="O137" s="37">
        <f t="shared" si="2"/>
      </c>
    </row>
    <row r="138" spans="1:15" x14ac:dyDescent="0.25">
      <c r="A138" s="28"/>
      <c r="B138" s="29"/>
      <c r="C138" s="29"/>
      <c r="D138" s="30"/>
      <c r="E138" s="30"/>
      <c r="F138" s="31"/>
      <c r="G138" s="31"/>
      <c r="H138" s="29"/>
      <c r="I138" s="32"/>
      <c r="J138" s="33"/>
      <c r="K138" s="34"/>
      <c r="L138" s="35">
        <f t="shared" si="0"/>
      </c>
      <c r="M138" s="36">
        <f t="shared" si="1"/>
      </c>
      <c r="N138" s="29"/>
      <c r="O138" s="37">
        <f t="shared" si="2"/>
      </c>
    </row>
    <row r="139" spans="1:15" x14ac:dyDescent="0.25">
      <c r="A139" s="28"/>
      <c r="B139" s="29"/>
      <c r="C139" s="29"/>
      <c r="D139" s="30"/>
      <c r="E139" s="30"/>
      <c r="F139" s="31"/>
      <c r="G139" s="31"/>
      <c r="H139" s="29"/>
      <c r="I139" s="32"/>
      <c r="J139" s="33"/>
      <c r="K139" s="34"/>
      <c r="L139" s="35">
        <f t="shared" si="0"/>
      </c>
      <c r="M139" s="36">
        <f t="shared" si="1"/>
      </c>
      <c r="N139" s="29"/>
      <c r="O139" s="37">
        <f t="shared" si="2"/>
      </c>
    </row>
    <row r="140" spans="1:15" x14ac:dyDescent="0.25">
      <c r="A140" s="28"/>
      <c r="B140" s="29"/>
      <c r="C140" s="29"/>
      <c r="D140" s="30"/>
      <c r="E140" s="30"/>
      <c r="F140" s="31"/>
      <c r="G140" s="31"/>
      <c r="H140" s="29"/>
      <c r="I140" s="32"/>
      <c r="J140" s="33"/>
      <c r="K140" s="34"/>
      <c r="L140" s="35">
        <f t="shared" si="0"/>
      </c>
      <c r="M140" s="36">
        <f t="shared" si="1"/>
      </c>
      <c r="N140" s="29"/>
      <c r="O140" s="37">
        <f t="shared" si="2"/>
      </c>
    </row>
    <row r="141" spans="1:15" x14ac:dyDescent="0.25">
      <c r="A141" s="28"/>
      <c r="B141" s="29"/>
      <c r="C141" s="29"/>
      <c r="D141" s="30"/>
      <c r="E141" s="30"/>
      <c r="F141" s="31"/>
      <c r="G141" s="31"/>
      <c r="H141" s="29"/>
      <c r="I141" s="32"/>
      <c r="J141" s="33"/>
      <c r="K141" s="34"/>
      <c r="L141" s="35">
        <f t="shared" si="0"/>
      </c>
      <c r="M141" s="36">
        <f t="shared" si="1"/>
      </c>
      <c r="N141" s="29"/>
      <c r="O141" s="37">
        <f t="shared" si="2"/>
      </c>
    </row>
    <row r="142" spans="1:15" x14ac:dyDescent="0.25">
      <c r="A142" s="28"/>
      <c r="B142" s="29"/>
      <c r="C142" s="29"/>
      <c r="D142" s="30"/>
      <c r="E142" s="30"/>
      <c r="F142" s="31"/>
      <c r="G142" s="31"/>
      <c r="H142" s="29"/>
      <c r="I142" s="32"/>
      <c r="J142" s="33"/>
      <c r="K142" s="34"/>
      <c r="L142" s="35">
        <f t="shared" si="0"/>
      </c>
      <c r="M142" s="36">
        <f t="shared" si="1"/>
      </c>
      <c r="N142" s="29"/>
      <c r="O142" s="37">
        <f t="shared" si="2"/>
      </c>
    </row>
    <row r="143" spans="1:15" x14ac:dyDescent="0.25">
      <c r="A143" s="28"/>
      <c r="B143" s="29"/>
      <c r="C143" s="29"/>
      <c r="D143" s="30"/>
      <c r="E143" s="30"/>
      <c r="F143" s="31"/>
      <c r="G143" s="31"/>
      <c r="H143" s="29"/>
      <c r="I143" s="32"/>
      <c r="J143" s="33"/>
      <c r="K143" s="34"/>
      <c r="L143" s="35">
        <f t="shared" si="0"/>
      </c>
      <c r="M143" s="36">
        <f t="shared" si="1"/>
      </c>
      <c r="N143" s="29"/>
      <c r="O143" s="37">
        <f t="shared" si="2"/>
      </c>
    </row>
    <row r="144" spans="1:15" x14ac:dyDescent="0.25">
      <c r="A144" s="28"/>
      <c r="B144" s="29"/>
      <c r="C144" s="29"/>
      <c r="D144" s="30"/>
      <c r="E144" s="30"/>
      <c r="F144" s="31"/>
      <c r="G144" s="31"/>
      <c r="H144" s="29"/>
      <c r="I144" s="32"/>
      <c r="J144" s="33"/>
      <c r="K144" s="34"/>
      <c r="L144" s="35">
        <f t="shared" si="0"/>
      </c>
      <c r="M144" s="36">
        <f t="shared" si="1"/>
      </c>
      <c r="N144" s="29"/>
      <c r="O144" s="37">
        <f t="shared" si="2"/>
      </c>
    </row>
    <row r="145" spans="1:15" x14ac:dyDescent="0.25">
      <c r="A145" s="28"/>
      <c r="B145" s="29"/>
      <c r="C145" s="29"/>
      <c r="D145" s="30"/>
      <c r="E145" s="30"/>
      <c r="F145" s="31"/>
      <c r="G145" s="31"/>
      <c r="H145" s="29"/>
      <c r="I145" s="32"/>
      <c r="J145" s="33"/>
      <c r="K145" s="34"/>
      <c r="L145" s="35">
        <f t="shared" si="0"/>
      </c>
      <c r="M145" s="36">
        <f t="shared" si="1"/>
      </c>
      <c r="N145" s="29"/>
      <c r="O145" s="37">
        <f t="shared" si="2"/>
      </c>
    </row>
    <row r="146" spans="1:15" x14ac:dyDescent="0.25">
      <c r="A146" s="28"/>
      <c r="B146" s="29"/>
      <c r="C146" s="29"/>
      <c r="D146" s="30"/>
      <c r="E146" s="30"/>
      <c r="F146" s="31"/>
      <c r="G146" s="31"/>
      <c r="H146" s="29"/>
      <c r="I146" s="32"/>
      <c r="J146" s="33"/>
      <c r="K146" s="34"/>
      <c r="L146" s="35">
        <f t="shared" si="0"/>
      </c>
      <c r="M146" s="36">
        <f t="shared" si="1"/>
      </c>
      <c r="N146" s="29"/>
      <c r="O146" s="37">
        <f t="shared" si="2"/>
      </c>
    </row>
    <row r="147" spans="1:15" x14ac:dyDescent="0.25">
      <c r="A147" s="28"/>
      <c r="B147" s="29"/>
      <c r="C147" s="29"/>
      <c r="D147" s="30"/>
      <c r="E147" s="30"/>
      <c r="F147" s="31"/>
      <c r="G147" s="31"/>
      <c r="H147" s="29"/>
      <c r="I147" s="32"/>
      <c r="J147" s="33"/>
      <c r="K147" s="34"/>
      <c r="L147" s="35">
        <f t="shared" si="0"/>
      </c>
      <c r="M147" s="36">
        <f t="shared" si="1"/>
      </c>
      <c r="N147" s="29"/>
      <c r="O147" s="37">
        <f t="shared" si="2"/>
      </c>
    </row>
    <row r="148" spans="1:15" x14ac:dyDescent="0.25">
      <c r="A148" s="28"/>
      <c r="B148" s="29"/>
      <c r="C148" s="29"/>
      <c r="D148" s="30"/>
      <c r="E148" s="30"/>
      <c r="F148" s="31"/>
      <c r="G148" s="31"/>
      <c r="H148" s="29"/>
      <c r="I148" s="32"/>
      <c r="J148" s="33"/>
      <c r="K148" s="34"/>
      <c r="L148" s="35">
        <f t="shared" si="0"/>
      </c>
      <c r="M148" s="36">
        <f t="shared" si="1"/>
      </c>
      <c r="N148" s="29"/>
      <c r="O148" s="37">
        <f t="shared" si="2"/>
      </c>
    </row>
    <row r="149" spans="1:15" x14ac:dyDescent="0.25">
      <c r="A149" s="28"/>
      <c r="B149" s="29"/>
      <c r="C149" s="29"/>
      <c r="D149" s="30"/>
      <c r="E149" s="30"/>
      <c r="F149" s="31"/>
      <c r="G149" s="31"/>
      <c r="H149" s="29"/>
      <c r="I149" s="32"/>
      <c r="J149" s="33"/>
      <c r="K149" s="34"/>
      <c r="L149" s="35">
        <f t="shared" si="0"/>
      </c>
      <c r="M149" s="36">
        <f t="shared" si="1"/>
      </c>
      <c r="N149" s="29"/>
      <c r="O149" s="37">
        <f t="shared" si="2"/>
      </c>
    </row>
    <row r="150" spans="1:15" x14ac:dyDescent="0.25">
      <c r="A150" s="28"/>
      <c r="B150" s="29"/>
      <c r="C150" s="29"/>
      <c r="D150" s="30"/>
      <c r="E150" s="30"/>
      <c r="F150" s="31"/>
      <c r="G150" s="31"/>
      <c r="H150" s="29"/>
      <c r="I150" s="32"/>
      <c r="J150" s="33"/>
      <c r="K150" s="34"/>
      <c r="L150" s="35">
        <f t="shared" si="0"/>
      </c>
      <c r="M150" s="36">
        <f t="shared" si="1"/>
      </c>
      <c r="N150" s="29"/>
      <c r="O150" s="37">
        <f t="shared" si="2"/>
      </c>
    </row>
    <row r="151" spans="1:15" x14ac:dyDescent="0.25">
      <c r="A151" s="28"/>
      <c r="B151" s="29"/>
      <c r="C151" s="29"/>
      <c r="D151" s="30"/>
      <c r="E151" s="30"/>
      <c r="F151" s="31"/>
      <c r="G151" s="31"/>
      <c r="H151" s="29"/>
      <c r="I151" s="32"/>
      <c r="J151" s="33"/>
      <c r="K151" s="34"/>
      <c r="L151" s="35">
        <f t="shared" si="0"/>
      </c>
      <c r="M151" s="36">
        <f t="shared" si="1"/>
      </c>
      <c r="N151" s="29"/>
      <c r="O151" s="37">
        <f t="shared" si="2"/>
      </c>
    </row>
    <row r="152" spans="1:15" x14ac:dyDescent="0.25">
      <c r="A152" s="28"/>
      <c r="B152" s="29"/>
      <c r="C152" s="29"/>
      <c r="D152" s="30"/>
      <c r="E152" s="30"/>
      <c r="F152" s="31"/>
      <c r="G152" s="31"/>
      <c r="H152" s="29"/>
      <c r="I152" s="32"/>
      <c r="J152" s="33"/>
      <c r="K152" s="34"/>
      <c r="L152" s="35">
        <f t="shared" si="0"/>
      </c>
      <c r="M152" s="36">
        <f t="shared" si="1"/>
      </c>
      <c r="N152" s="29"/>
      <c r="O152" s="37">
        <f t="shared" si="2"/>
      </c>
    </row>
    <row r="153" spans="1:15" x14ac:dyDescent="0.25">
      <c r="A153" s="28"/>
      <c r="B153" s="29"/>
      <c r="C153" s="29"/>
      <c r="D153" s="30"/>
      <c r="E153" s="30"/>
      <c r="F153" s="31"/>
      <c r="G153" s="31"/>
      <c r="H153" s="29"/>
      <c r="I153" s="32"/>
      <c r="J153" s="33"/>
      <c r="K153" s="34"/>
      <c r="L153" s="35">
        <f t="shared" si="0"/>
      </c>
      <c r="M153" s="36">
        <f t="shared" si="1"/>
      </c>
      <c r="N153" s="29"/>
      <c r="O153" s="37">
        <f t="shared" si="2"/>
      </c>
    </row>
    <row r="154" spans="1:15" x14ac:dyDescent="0.25">
      <c r="A154" s="28"/>
      <c r="B154" s="29"/>
      <c r="C154" s="29"/>
      <c r="D154" s="30"/>
      <c r="E154" s="30"/>
      <c r="F154" s="31"/>
      <c r="G154" s="31"/>
      <c r="H154" s="29"/>
      <c r="I154" s="32"/>
      <c r="J154" s="33"/>
      <c r="K154" s="34"/>
      <c r="L154" s="35">
        <f t="shared" si="0"/>
      </c>
      <c r="M154" s="36">
        <f t="shared" si="1"/>
      </c>
      <c r="N154" s="29"/>
      <c r="O154" s="37">
        <f t="shared" si="2"/>
      </c>
    </row>
    <row r="155" spans="1:15" x14ac:dyDescent="0.25">
      <c r="A155" s="28"/>
      <c r="B155" s="29"/>
      <c r="C155" s="29"/>
      <c r="D155" s="30"/>
      <c r="E155" s="30"/>
      <c r="F155" s="31"/>
      <c r="G155" s="31"/>
      <c r="H155" s="29"/>
      <c r="I155" s="32"/>
      <c r="J155" s="33"/>
      <c r="K155" s="34"/>
      <c r="L155" s="35">
        <f t="shared" si="0"/>
      </c>
      <c r="M155" s="36">
        <f t="shared" si="1"/>
      </c>
      <c r="N155" s="29"/>
      <c r="O155" s="37">
        <f t="shared" si="2"/>
      </c>
    </row>
    <row r="156" spans="1:15" x14ac:dyDescent="0.25">
      <c r="A156" s="28"/>
      <c r="B156" s="29"/>
      <c r="C156" s="29"/>
      <c r="D156" s="30"/>
      <c r="E156" s="30"/>
      <c r="F156" s="31"/>
      <c r="G156" s="31"/>
      <c r="H156" s="29"/>
      <c r="I156" s="32"/>
      <c r="J156" s="33"/>
      <c r="K156" s="34"/>
      <c r="L156" s="35">
        <f t="shared" si="0"/>
      </c>
      <c r="M156" s="36">
        <f t="shared" si="1"/>
      </c>
      <c r="N156" s="29"/>
      <c r="O156" s="37">
        <f t="shared" si="2"/>
      </c>
    </row>
    <row r="157" spans="1:15" x14ac:dyDescent="0.25">
      <c r="A157" s="28"/>
      <c r="B157" s="29"/>
      <c r="C157" s="29"/>
      <c r="D157" s="30"/>
      <c r="E157" s="30"/>
      <c r="F157" s="31"/>
      <c r="G157" s="31"/>
      <c r="H157" s="29"/>
      <c r="I157" s="32"/>
      <c r="J157" s="33"/>
      <c r="K157" s="34"/>
      <c r="L157" s="35">
        <f t="shared" si="0"/>
      </c>
      <c r="M157" s="36">
        <f t="shared" si="1"/>
      </c>
      <c r="N157" s="29"/>
      <c r="O157" s="37">
        <f t="shared" si="2"/>
      </c>
    </row>
    <row r="158" spans="1:15" x14ac:dyDescent="0.25">
      <c r="A158" s="28"/>
      <c r="B158" s="29"/>
      <c r="C158" s="29"/>
      <c r="D158" s="30"/>
      <c r="E158" s="30"/>
      <c r="F158" s="31"/>
      <c r="G158" s="31"/>
      <c r="H158" s="29"/>
      <c r="I158" s="32"/>
      <c r="J158" s="33"/>
      <c r="K158" s="34"/>
      <c r="L158" s="35">
        <f t="shared" si="0"/>
      </c>
      <c r="M158" s="36">
        <f t="shared" si="1"/>
      </c>
      <c r="N158" s="29"/>
      <c r="O158" s="37">
        <f t="shared" si="2"/>
      </c>
    </row>
    <row r="159" spans="1:15" x14ac:dyDescent="0.25">
      <c r="A159" s="28"/>
      <c r="B159" s="29"/>
      <c r="C159" s="29"/>
      <c r="D159" s="30"/>
      <c r="E159" s="30"/>
      <c r="F159" s="31"/>
      <c r="G159" s="31"/>
      <c r="H159" s="29"/>
      <c r="I159" s="32"/>
      <c r="J159" s="33"/>
      <c r="K159" s="34"/>
      <c r="L159" s="35">
        <f t="shared" si="0"/>
      </c>
      <c r="M159" s="36">
        <f t="shared" si="1"/>
      </c>
      <c r="N159" s="29"/>
      <c r="O159" s="37">
        <f t="shared" si="2"/>
      </c>
    </row>
    <row r="160" spans="1:15" x14ac:dyDescent="0.25">
      <c r="A160" s="28"/>
      <c r="B160" s="29"/>
      <c r="C160" s="29"/>
      <c r="D160" s="30"/>
      <c r="E160" s="30"/>
      <c r="F160" s="31"/>
      <c r="G160" s="31"/>
      <c r="H160" s="29"/>
      <c r="I160" s="32"/>
      <c r="J160" s="33"/>
      <c r="K160" s="34"/>
      <c r="L160" s="35">
        <f t="shared" si="0"/>
      </c>
      <c r="M160" s="36">
        <f t="shared" si="1"/>
      </c>
      <c r="N160" s="29"/>
      <c r="O160" s="37">
        <f t="shared" si="2"/>
      </c>
    </row>
    <row r="161" spans="1:15" x14ac:dyDescent="0.25">
      <c r="A161" s="28"/>
      <c r="B161" s="29"/>
      <c r="C161" s="29"/>
      <c r="D161" s="30"/>
      <c r="E161" s="30"/>
      <c r="F161" s="31"/>
      <c r="G161" s="31"/>
      <c r="H161" s="29"/>
      <c r="I161" s="32"/>
      <c r="J161" s="33"/>
      <c r="K161" s="34"/>
      <c r="L161" s="35">
        <f t="shared" si="0"/>
      </c>
      <c r="M161" s="36">
        <f t="shared" si="1"/>
      </c>
      <c r="N161" s="29"/>
      <c r="O161" s="37">
        <f t="shared" si="2"/>
      </c>
    </row>
    <row r="162" spans="1:15" x14ac:dyDescent="0.25">
      <c r="A162" s="28"/>
      <c r="B162" s="29"/>
      <c r="C162" s="29"/>
      <c r="D162" s="30"/>
      <c r="E162" s="30"/>
      <c r="F162" s="31"/>
      <c r="G162" s="31"/>
      <c r="H162" s="29"/>
      <c r="I162" s="32"/>
      <c r="J162" s="33"/>
      <c r="K162" s="34"/>
      <c r="L162" s="35">
        <f t="shared" si="0"/>
      </c>
      <c r="M162" s="36">
        <f t="shared" si="1"/>
      </c>
      <c r="N162" s="29"/>
      <c r="O162" s="37">
        <f t="shared" si="2"/>
      </c>
    </row>
    <row r="163" spans="1:15" x14ac:dyDescent="0.25">
      <c r="A163" s="28"/>
      <c r="B163" s="29"/>
      <c r="C163" s="29"/>
      <c r="D163" s="30"/>
      <c r="E163" s="30"/>
      <c r="F163" s="31"/>
      <c r="G163" s="31"/>
      <c r="H163" s="29"/>
      <c r="I163" s="32"/>
      <c r="J163" s="33"/>
      <c r="K163" s="34"/>
      <c r="L163" s="35">
        <f t="shared" si="0"/>
      </c>
      <c r="M163" s="36">
        <f t="shared" si="1"/>
      </c>
      <c r="N163" s="29"/>
      <c r="O163" s="37">
        <f t="shared" si="2"/>
      </c>
    </row>
    <row r="164" spans="1:15" x14ac:dyDescent="0.25">
      <c r="A164" s="28"/>
      <c r="B164" s="29"/>
      <c r="C164" s="29"/>
      <c r="D164" s="30"/>
      <c r="E164" s="30"/>
      <c r="F164" s="31"/>
      <c r="G164" s="31"/>
      <c r="H164" s="29"/>
      <c r="I164" s="32"/>
      <c r="J164" s="33"/>
      <c r="K164" s="34"/>
      <c r="L164" s="35">
        <f t="shared" si="0"/>
      </c>
      <c r="M164" s="36">
        <f t="shared" si="1"/>
      </c>
      <c r="N164" s="29"/>
      <c r="O164" s="37">
        <f t="shared" si="2"/>
      </c>
    </row>
    <row r="165" spans="1:15" x14ac:dyDescent="0.25">
      <c r="A165" s="28"/>
      <c r="B165" s="29"/>
      <c r="C165" s="29"/>
      <c r="D165" s="30"/>
      <c r="E165" s="30"/>
      <c r="F165" s="31"/>
      <c r="G165" s="31"/>
      <c r="H165" s="29"/>
      <c r="I165" s="32"/>
      <c r="J165" s="33"/>
      <c r="K165" s="34"/>
      <c r="L165" s="35">
        <f t="shared" si="0"/>
      </c>
      <c r="M165" s="36">
        <f t="shared" si="1"/>
      </c>
      <c r="N165" s="29"/>
      <c r="O165" s="37">
        <f t="shared" si="2"/>
      </c>
    </row>
    <row r="166" spans="1:15" x14ac:dyDescent="0.25">
      <c r="A166" s="28"/>
      <c r="B166" s="29"/>
      <c r="C166" s="29"/>
      <c r="D166" s="30"/>
      <c r="E166" s="30"/>
      <c r="F166" s="31"/>
      <c r="G166" s="31"/>
      <c r="H166" s="29"/>
      <c r="I166" s="32"/>
      <c r="J166" s="33"/>
      <c r="K166" s="34"/>
      <c r="L166" s="35">
        <f t="shared" si="0"/>
      </c>
      <c r="M166" s="36">
        <f t="shared" si="1"/>
      </c>
      <c r="N166" s="29"/>
      <c r="O166" s="37">
        <f t="shared" si="2"/>
      </c>
    </row>
    <row r="167" spans="1:15" x14ac:dyDescent="0.25">
      <c r="A167" s="28"/>
      <c r="B167" s="29"/>
      <c r="C167" s="29"/>
      <c r="D167" s="30"/>
      <c r="E167" s="30"/>
      <c r="F167" s="31"/>
      <c r="G167" s="31"/>
      <c r="H167" s="29"/>
      <c r="I167" s="32"/>
      <c r="J167" s="33"/>
      <c r="K167" s="34"/>
      <c r="L167" s="35">
        <f t="shared" si="0"/>
      </c>
      <c r="M167" s="36">
        <f t="shared" si="1"/>
      </c>
      <c r="N167" s="29"/>
      <c r="O167" s="37">
        <f t="shared" si="2"/>
      </c>
    </row>
    <row r="168" spans="1:15" x14ac:dyDescent="0.25">
      <c r="A168" s="28"/>
      <c r="B168" s="29"/>
      <c r="C168" s="29"/>
      <c r="D168" s="30"/>
      <c r="E168" s="30"/>
      <c r="F168" s="31"/>
      <c r="G168" s="31"/>
      <c r="H168" s="29"/>
      <c r="I168" s="32"/>
      <c r="J168" s="33"/>
      <c r="K168" s="34"/>
      <c r="L168" s="35">
        <f t="shared" si="0"/>
      </c>
      <c r="M168" s="36">
        <f t="shared" si="1"/>
      </c>
      <c r="N168" s="29"/>
      <c r="O168" s="37">
        <f t="shared" si="2"/>
      </c>
    </row>
    <row r="169" spans="1:15" x14ac:dyDescent="0.25">
      <c r="A169" s="28"/>
      <c r="B169" s="29"/>
      <c r="C169" s="29"/>
      <c r="D169" s="30"/>
      <c r="E169" s="30"/>
      <c r="F169" s="31"/>
      <c r="G169" s="31"/>
      <c r="H169" s="29"/>
      <c r="I169" s="32"/>
      <c r="J169" s="33"/>
      <c r="K169" s="34"/>
      <c r="L169" s="35">
        <f t="shared" si="0"/>
      </c>
      <c r="M169" s="36">
        <f t="shared" si="1"/>
      </c>
      <c r="N169" s="29"/>
      <c r="O169" s="37">
        <f t="shared" si="2"/>
      </c>
    </row>
    <row r="170" spans="1:15" x14ac:dyDescent="0.25">
      <c r="A170" s="28"/>
      <c r="B170" s="29"/>
      <c r="C170" s="29"/>
      <c r="D170" s="30"/>
      <c r="E170" s="30"/>
      <c r="F170" s="31"/>
      <c r="G170" s="31"/>
      <c r="H170" s="29"/>
      <c r="I170" s="32"/>
      <c r="J170" s="33"/>
      <c r="K170" s="34"/>
      <c r="L170" s="35">
        <f t="shared" si="0"/>
      </c>
      <c r="M170" s="36">
        <f t="shared" si="1"/>
      </c>
      <c r="N170" s="29"/>
      <c r="O170" s="37">
        <f t="shared" si="2"/>
      </c>
    </row>
    <row r="171" spans="1:15" x14ac:dyDescent="0.25">
      <c r="A171" s="28"/>
      <c r="B171" s="29"/>
      <c r="C171" s="29"/>
      <c r="D171" s="30"/>
      <c r="E171" s="30"/>
      <c r="F171" s="31"/>
      <c r="G171" s="31"/>
      <c r="H171" s="29"/>
      <c r="I171" s="32"/>
      <c r="J171" s="33"/>
      <c r="K171" s="34"/>
      <c r="L171" s="35">
        <f t="shared" si="0"/>
      </c>
      <c r="M171" s="36">
        <f t="shared" si="1"/>
      </c>
      <c r="N171" s="29"/>
      <c r="O171" s="37">
        <f t="shared" si="2"/>
      </c>
    </row>
    <row r="172" spans="1:15" x14ac:dyDescent="0.25">
      <c r="A172" s="28"/>
      <c r="B172" s="29"/>
      <c r="C172" s="29"/>
      <c r="D172" s="30"/>
      <c r="E172" s="30"/>
      <c r="F172" s="31"/>
      <c r="G172" s="31"/>
      <c r="H172" s="29"/>
      <c r="I172" s="32"/>
      <c r="J172" s="33"/>
      <c r="K172" s="34"/>
      <c r="L172" s="35">
        <f t="shared" si="0"/>
      </c>
      <c r="M172" s="36">
        <f t="shared" si="1"/>
      </c>
      <c r="N172" s="29"/>
      <c r="O172" s="37">
        <f t="shared" si="2"/>
      </c>
    </row>
    <row r="173" spans="1:15" x14ac:dyDescent="0.25">
      <c r="A173" s="28"/>
      <c r="B173" s="29"/>
      <c r="C173" s="29"/>
      <c r="D173" s="30"/>
      <c r="E173" s="30"/>
      <c r="F173" s="31"/>
      <c r="G173" s="31"/>
      <c r="H173" s="29"/>
      <c r="I173" s="32"/>
      <c r="J173" s="33"/>
      <c r="K173" s="34"/>
      <c r="L173" s="35">
        <f t="shared" si="0"/>
      </c>
      <c r="M173" s="36">
        <f t="shared" si="1"/>
      </c>
      <c r="N173" s="29"/>
      <c r="O173" s="37">
        <f t="shared" si="2"/>
      </c>
    </row>
    <row r="174" spans="1:15" x14ac:dyDescent="0.25">
      <c r="A174" s="28"/>
      <c r="B174" s="29"/>
      <c r="C174" s="29"/>
      <c r="D174" s="30"/>
      <c r="E174" s="30"/>
      <c r="F174" s="31"/>
      <c r="G174" s="31"/>
      <c r="H174" s="29"/>
      <c r="I174" s="32"/>
      <c r="J174" s="33"/>
      <c r="K174" s="34"/>
      <c r="L174" s="35">
        <f t="shared" si="0"/>
      </c>
      <c r="M174" s="36">
        <f t="shared" si="1"/>
      </c>
      <c r="N174" s="29"/>
      <c r="O174" s="37">
        <f t="shared" si="2"/>
      </c>
    </row>
    <row r="175" spans="1:15" x14ac:dyDescent="0.25">
      <c r="A175" s="28"/>
      <c r="B175" s="29"/>
      <c r="C175" s="29"/>
      <c r="D175" s="30"/>
      <c r="E175" s="30"/>
      <c r="F175" s="31"/>
      <c r="G175" s="31"/>
      <c r="H175" s="29"/>
      <c r="I175" s="32"/>
      <c r="J175" s="33"/>
      <c r="K175" s="34"/>
      <c r="L175" s="35">
        <f t="shared" si="0"/>
      </c>
      <c r="M175" s="36">
        <f t="shared" si="1"/>
      </c>
      <c r="N175" s="29"/>
      <c r="O175" s="37">
        <f t="shared" si="2"/>
      </c>
    </row>
    <row r="176" spans="1:15" x14ac:dyDescent="0.25">
      <c r="A176" s="28"/>
      <c r="B176" s="29"/>
      <c r="C176" s="29"/>
      <c r="D176" s="30"/>
      <c r="E176" s="30"/>
      <c r="F176" s="31"/>
      <c r="G176" s="31"/>
      <c r="H176" s="29"/>
      <c r="I176" s="32"/>
      <c r="J176" s="33"/>
      <c r="K176" s="34"/>
      <c r="L176" s="35">
        <f t="shared" si="0"/>
      </c>
      <c r="M176" s="36">
        <f t="shared" si="1"/>
      </c>
      <c r="N176" s="29"/>
      <c r="O176" s="37">
        <f t="shared" si="2"/>
      </c>
    </row>
    <row r="177" spans="1:15" x14ac:dyDescent="0.25">
      <c r="A177" s="28"/>
      <c r="B177" s="29"/>
      <c r="C177" s="29"/>
      <c r="D177" s="30"/>
      <c r="E177" s="30"/>
      <c r="F177" s="31"/>
      <c r="G177" s="31"/>
      <c r="H177" s="29"/>
      <c r="I177" s="32"/>
      <c r="J177" s="33"/>
      <c r="K177" s="34"/>
      <c r="L177" s="35">
        <f t="shared" si="0"/>
      </c>
      <c r="M177" s="36">
        <f t="shared" si="1"/>
      </c>
      <c r="N177" s="29"/>
      <c r="O177" s="37">
        <f t="shared" si="2"/>
      </c>
    </row>
    <row r="178" spans="1:15" x14ac:dyDescent="0.25">
      <c r="A178" s="28"/>
      <c r="B178" s="29"/>
      <c r="C178" s="29"/>
      <c r="D178" s="30"/>
      <c r="E178" s="30"/>
      <c r="F178" s="31"/>
      <c r="G178" s="31"/>
      <c r="H178" s="29"/>
      <c r="I178" s="32"/>
      <c r="J178" s="33"/>
      <c r="K178" s="34"/>
      <c r="L178" s="35">
        <f t="shared" si="0"/>
      </c>
      <c r="M178" s="36">
        <f t="shared" si="1"/>
      </c>
      <c r="N178" s="29"/>
      <c r="O178" s="37">
        <f t="shared" si="2"/>
      </c>
    </row>
    <row r="179" spans="1:15" x14ac:dyDescent="0.25">
      <c r="A179" s="28"/>
      <c r="B179" s="29"/>
      <c r="C179" s="29"/>
      <c r="D179" s="30"/>
      <c r="E179" s="30"/>
      <c r="F179" s="31"/>
      <c r="G179" s="31"/>
      <c r="H179" s="29"/>
      <c r="I179" s="32"/>
      <c r="J179" s="33"/>
      <c r="K179" s="34"/>
      <c r="L179" s="35">
        <f t="shared" si="0"/>
      </c>
      <c r="M179" s="36">
        <f t="shared" si="1"/>
      </c>
      <c r="N179" s="29"/>
      <c r="O179" s="37">
        <f t="shared" si="2"/>
      </c>
    </row>
    <row r="180" spans="1:15" x14ac:dyDescent="0.25">
      <c r="A180" s="28"/>
      <c r="B180" s="29"/>
      <c r="C180" s="29"/>
      <c r="D180" s="30"/>
      <c r="E180" s="30"/>
      <c r="F180" s="31"/>
      <c r="G180" s="31"/>
      <c r="H180" s="29"/>
      <c r="I180" s="32"/>
      <c r="J180" s="33"/>
      <c r="K180" s="34"/>
      <c r="L180" s="35">
        <f t="shared" si="0"/>
      </c>
      <c r="M180" s="36">
        <f t="shared" si="1"/>
      </c>
      <c r="N180" s="29"/>
      <c r="O180" s="37">
        <f t="shared" si="2"/>
      </c>
    </row>
    <row r="181" spans="1:15" x14ac:dyDescent="0.25">
      <c r="A181" s="28"/>
      <c r="B181" s="29"/>
      <c r="C181" s="29"/>
      <c r="D181" s="30"/>
      <c r="E181" s="30"/>
      <c r="F181" s="31"/>
      <c r="G181" s="31"/>
      <c r="H181" s="29"/>
      <c r="I181" s="32"/>
      <c r="J181" s="33"/>
      <c r="K181" s="34"/>
      <c r="L181" s="35">
        <f t="shared" si="0"/>
      </c>
      <c r="M181" s="36">
        <f t="shared" si="1"/>
      </c>
      <c r="N181" s="29"/>
      <c r="O181" s="37">
        <f t="shared" si="2"/>
      </c>
    </row>
    <row r="182" spans="1:15" x14ac:dyDescent="0.25">
      <c r="A182" s="28"/>
      <c r="B182" s="29"/>
      <c r="C182" s="29"/>
      <c r="D182" s="30"/>
      <c r="E182" s="30"/>
      <c r="F182" s="31"/>
      <c r="G182" s="31"/>
      <c r="H182" s="29"/>
      <c r="I182" s="32"/>
      <c r="J182" s="33"/>
      <c r="K182" s="34"/>
      <c r="L182" s="35">
        <f t="shared" si="0"/>
      </c>
      <c r="M182" s="36">
        <f t="shared" si="1"/>
      </c>
      <c r="N182" s="29"/>
      <c r="O182" s="37">
        <f t="shared" si="2"/>
      </c>
    </row>
    <row r="183" spans="1:15" x14ac:dyDescent="0.25">
      <c r="A183" s="28"/>
      <c r="B183" s="29"/>
      <c r="C183" s="29"/>
      <c r="D183" s="30"/>
      <c r="E183" s="30"/>
      <c r="F183" s="31"/>
      <c r="G183" s="31"/>
      <c r="H183" s="29"/>
      <c r="I183" s="32"/>
      <c r="J183" s="33"/>
      <c r="K183" s="34"/>
      <c r="L183" s="35">
        <f t="shared" si="0"/>
      </c>
      <c r="M183" s="36">
        <f t="shared" si="1"/>
      </c>
      <c r="N183" s="29"/>
      <c r="O183" s="37">
        <f t="shared" si="2"/>
      </c>
    </row>
    <row r="184" spans="1:15" x14ac:dyDescent="0.25">
      <c r="A184" s="28"/>
      <c r="B184" s="29"/>
      <c r="C184" s="29"/>
      <c r="D184" s="30"/>
      <c r="E184" s="30"/>
      <c r="F184" s="31"/>
      <c r="G184" s="31"/>
      <c r="H184" s="29"/>
      <c r="I184" s="32"/>
      <c r="J184" s="33"/>
      <c r="K184" s="34"/>
      <c r="L184" s="35">
        <f t="shared" si="0"/>
      </c>
      <c r="M184" s="36">
        <f t="shared" si="1"/>
      </c>
      <c r="N184" s="29"/>
      <c r="O184" s="37">
        <f t="shared" si="2"/>
      </c>
    </row>
    <row r="185" spans="1:15" x14ac:dyDescent="0.25">
      <c r="A185" s="28"/>
      <c r="B185" s="29"/>
      <c r="C185" s="29"/>
      <c r="D185" s="30"/>
      <c r="E185" s="30"/>
      <c r="F185" s="31"/>
      <c r="G185" s="31"/>
      <c r="H185" s="29"/>
      <c r="I185" s="32"/>
      <c r="J185" s="33"/>
      <c r="K185" s="34"/>
      <c r="L185" s="35">
        <f t="shared" si="0"/>
      </c>
      <c r="M185" s="36">
        <f t="shared" si="1"/>
      </c>
      <c r="N185" s="29"/>
      <c r="O185" s="37">
        <f t="shared" si="2"/>
      </c>
    </row>
    <row r="186" spans="1:15" x14ac:dyDescent="0.25">
      <c r="A186" s="28"/>
      <c r="B186" s="29"/>
      <c r="C186" s="29"/>
      <c r="D186" s="30"/>
      <c r="E186" s="30"/>
      <c r="F186" s="31"/>
      <c r="G186" s="31"/>
      <c r="H186" s="29"/>
      <c r="I186" s="32"/>
      <c r="J186" s="33"/>
      <c r="K186" s="34"/>
      <c r="L186" s="35">
        <f t="shared" si="0"/>
      </c>
      <c r="M186" s="36">
        <f t="shared" si="1"/>
      </c>
      <c r="N186" s="29"/>
      <c r="O186" s="37">
        <f t="shared" si="2"/>
      </c>
    </row>
    <row r="187" spans="1:15" x14ac:dyDescent="0.25">
      <c r="A187" s="28"/>
      <c r="B187" s="29"/>
      <c r="C187" s="29"/>
      <c r="D187" s="30"/>
      <c r="E187" s="30"/>
      <c r="F187" s="31"/>
      <c r="G187" s="31"/>
      <c r="H187" s="29"/>
      <c r="I187" s="32"/>
      <c r="J187" s="33"/>
      <c r="K187" s="34"/>
      <c r="L187" s="35">
        <f t="shared" si="0"/>
      </c>
      <c r="M187" s="36">
        <f t="shared" si="1"/>
      </c>
      <c r="N187" s="29"/>
      <c r="O187" s="37">
        <f t="shared" si="2"/>
      </c>
    </row>
    <row r="188" spans="1:15" x14ac:dyDescent="0.25">
      <c r="A188" s="28"/>
      <c r="B188" s="29"/>
      <c r="C188" s="29"/>
      <c r="D188" s="30"/>
      <c r="E188" s="30"/>
      <c r="F188" s="31"/>
      <c r="G188" s="31"/>
      <c r="H188" s="29"/>
      <c r="I188" s="32"/>
      <c r="J188" s="33"/>
      <c r="K188" s="34"/>
      <c r="L188" s="35">
        <f t="shared" si="0"/>
      </c>
      <c r="M188" s="36">
        <f t="shared" si="1"/>
      </c>
      <c r="N188" s="29"/>
      <c r="O188" s="37">
        <f t="shared" si="2"/>
      </c>
    </row>
    <row r="189" spans="1:15" x14ac:dyDescent="0.25">
      <c r="A189" s="28"/>
      <c r="B189" s="29"/>
      <c r="C189" s="29"/>
      <c r="D189" s="30"/>
      <c r="E189" s="30"/>
      <c r="F189" s="31"/>
      <c r="G189" s="31"/>
      <c r="H189" s="29"/>
      <c r="I189" s="32"/>
      <c r="J189" s="33"/>
      <c r="K189" s="34"/>
      <c r="L189" s="35">
        <f t="shared" si="0"/>
      </c>
      <c r="M189" s="36">
        <f t="shared" si="1"/>
      </c>
      <c r="N189" s="29"/>
      <c r="O189" s="37">
        <f t="shared" si="2"/>
      </c>
    </row>
    <row r="190" spans="1:15" x14ac:dyDescent="0.25">
      <c r="A190" s="28"/>
      <c r="B190" s="29"/>
      <c r="C190" s="29"/>
      <c r="D190" s="30"/>
      <c r="E190" s="30"/>
      <c r="F190" s="31"/>
      <c r="G190" s="31"/>
      <c r="H190" s="29"/>
      <c r="I190" s="32"/>
      <c r="J190" s="33"/>
      <c r="K190" s="34"/>
      <c r="L190" s="35">
        <f t="shared" si="0"/>
      </c>
      <c r="M190" s="36">
        <f t="shared" si="1"/>
      </c>
      <c r="N190" s="29"/>
      <c r="O190" s="37">
        <f t="shared" si="2"/>
      </c>
    </row>
    <row r="191" spans="1:15" x14ac:dyDescent="0.25">
      <c r="A191" s="28"/>
      <c r="B191" s="29"/>
      <c r="C191" s="29"/>
      <c r="D191" s="30"/>
      <c r="E191" s="30"/>
      <c r="F191" s="31"/>
      <c r="G191" s="31"/>
      <c r="H191" s="29"/>
      <c r="I191" s="32"/>
      <c r="J191" s="33"/>
      <c r="K191" s="34"/>
      <c r="L191" s="35">
        <f t="shared" si="0"/>
      </c>
      <c r="M191" s="36">
        <f t="shared" si="1"/>
      </c>
      <c r="N191" s="29"/>
      <c r="O191" s="37">
        <f t="shared" si="2"/>
      </c>
    </row>
    <row r="192" spans="1:15" x14ac:dyDescent="0.25">
      <c r="A192" s="28"/>
      <c r="B192" s="29"/>
      <c r="C192" s="29"/>
      <c r="D192" s="30"/>
      <c r="E192" s="30"/>
      <c r="F192" s="31"/>
      <c r="G192" s="31"/>
      <c r="H192" s="29"/>
      <c r="I192" s="32"/>
      <c r="J192" s="33"/>
      <c r="K192" s="34"/>
      <c r="L192" s="35">
        <f t="shared" si="0"/>
      </c>
      <c r="M192" s="36">
        <f t="shared" si="1"/>
      </c>
      <c r="N192" s="29"/>
      <c r="O192" s="37">
        <f t="shared" si="2"/>
      </c>
    </row>
    <row r="193" spans="1:15" x14ac:dyDescent="0.25">
      <c r="A193" s="28"/>
      <c r="B193" s="29"/>
      <c r="C193" s="29"/>
      <c r="D193" s="30"/>
      <c r="E193" s="30"/>
      <c r="F193" s="31"/>
      <c r="G193" s="31"/>
      <c r="H193" s="29"/>
      <c r="I193" s="32"/>
      <c r="J193" s="33"/>
      <c r="K193" s="34"/>
      <c r="L193" s="35">
        <f t="shared" si="0"/>
      </c>
      <c r="M193" s="36">
        <f t="shared" si="1"/>
      </c>
      <c r="N193" s="29"/>
      <c r="O193" s="37">
        <f t="shared" si="2"/>
      </c>
    </row>
    <row r="194" spans="1:15" x14ac:dyDescent="0.25">
      <c r="A194" s="28"/>
      <c r="B194" s="29"/>
      <c r="C194" s="29"/>
      <c r="D194" s="30"/>
      <c r="E194" s="30"/>
      <c r="F194" s="31"/>
      <c r="G194" s="31"/>
      <c r="H194" s="29"/>
      <c r="I194" s="32"/>
      <c r="J194" s="33"/>
      <c r="K194" s="34"/>
      <c r="L194" s="35">
        <f t="shared" si="0"/>
      </c>
      <c r="M194" s="36">
        <f t="shared" si="1"/>
      </c>
      <c r="N194" s="29"/>
      <c r="O194" s="37">
        <f t="shared" si="2"/>
      </c>
    </row>
    <row r="195" spans="1:15" x14ac:dyDescent="0.25">
      <c r="A195" s="28"/>
      <c r="B195" s="29"/>
      <c r="C195" s="29"/>
      <c r="D195" s="30"/>
      <c r="E195" s="30"/>
      <c r="F195" s="31"/>
      <c r="G195" s="31"/>
      <c r="H195" s="29"/>
      <c r="I195" s="32"/>
      <c r="J195" s="33"/>
      <c r="K195" s="34"/>
      <c r="L195" s="35">
        <f t="shared" si="0"/>
      </c>
      <c r="M195" s="36">
        <f t="shared" si="1"/>
      </c>
      <c r="N195" s="29"/>
      <c r="O195" s="37">
        <f t="shared" si="2"/>
      </c>
    </row>
    <row r="196" spans="1:15" x14ac:dyDescent="0.25">
      <c r="A196" s="28"/>
      <c r="B196" s="29"/>
      <c r="C196" s="29"/>
      <c r="D196" s="30"/>
      <c r="E196" s="30"/>
      <c r="F196" s="31"/>
      <c r="G196" s="31"/>
      <c r="H196" s="29"/>
      <c r="I196" s="32"/>
      <c r="J196" s="33"/>
      <c r="K196" s="34"/>
      <c r="L196" s="35">
        <f t="shared" si="0"/>
      </c>
      <c r="M196" s="36">
        <f t="shared" si="1"/>
      </c>
      <c r="N196" s="29"/>
      <c r="O196" s="37">
        <f t="shared" si="2"/>
      </c>
    </row>
    <row r="197" spans="1:15" x14ac:dyDescent="0.25">
      <c r="A197" s="28"/>
      <c r="B197" s="29"/>
      <c r="C197" s="29"/>
      <c r="D197" s="30"/>
      <c r="E197" s="30"/>
      <c r="F197" s="31"/>
      <c r="G197" s="31"/>
      <c r="H197" s="29"/>
      <c r="I197" s="32"/>
      <c r="J197" s="33"/>
      <c r="K197" s="34"/>
      <c r="L197" s="35">
        <f t="shared" si="0"/>
      </c>
      <c r="M197" s="36">
        <f t="shared" si="1"/>
      </c>
      <c r="N197" s="29"/>
      <c r="O197" s="37">
        <f t="shared" si="2"/>
      </c>
    </row>
    <row r="198" spans="1:15" x14ac:dyDescent="0.25">
      <c r="A198" s="28"/>
      <c r="B198" s="29"/>
      <c r="C198" s="29"/>
      <c r="D198" s="30"/>
      <c r="E198" s="30"/>
      <c r="F198" s="31"/>
      <c r="G198" s="31"/>
      <c r="H198" s="29"/>
      <c r="I198" s="32"/>
      <c r="J198" s="33"/>
      <c r="K198" s="34"/>
      <c r="L198" s="35">
        <f t="shared" si="0"/>
      </c>
      <c r="M198" s="36">
        <f t="shared" si="1"/>
      </c>
      <c r="N198" s="29"/>
      <c r="O198" s="37">
        <f t="shared" si="2"/>
      </c>
    </row>
    <row r="199" spans="1:15" x14ac:dyDescent="0.25">
      <c r="A199" s="28"/>
      <c r="B199" s="29"/>
      <c r="C199" s="29"/>
      <c r="D199" s="30"/>
      <c r="E199" s="30"/>
      <c r="F199" s="31"/>
      <c r="G199" s="31"/>
      <c r="H199" s="29"/>
      <c r="I199" s="32"/>
      <c r="J199" s="33"/>
      <c r="K199" s="34"/>
      <c r="L199" s="35">
        <f t="shared" si="0"/>
      </c>
      <c r="M199" s="36">
        <f t="shared" si="1"/>
      </c>
      <c r="N199" s="29"/>
      <c r="O199" s="37">
        <f t="shared" si="2"/>
      </c>
    </row>
    <row r="200" spans="1:15" x14ac:dyDescent="0.25">
      <c r="A200" s="28"/>
      <c r="B200" s="29"/>
      <c r="C200" s="29"/>
      <c r="D200" s="30"/>
      <c r="E200" s="30"/>
      <c r="F200" s="31"/>
      <c r="G200" s="31"/>
      <c r="H200" s="29"/>
      <c r="I200" s="32"/>
      <c r="J200" s="33"/>
      <c r="K200" s="34"/>
      <c r="L200" s="35">
        <f t="shared" si="0"/>
      </c>
      <c r="M200" s="36">
        <f t="shared" si="1"/>
      </c>
      <c r="N200" s="29"/>
      <c r="O200" s="37">
        <f t="shared" si="2"/>
      </c>
    </row>
    <row r="201" spans="1:15" x14ac:dyDescent="0.25">
      <c r="A201" s="28"/>
      <c r="B201" s="29"/>
      <c r="C201" s="29"/>
      <c r="D201" s="30"/>
      <c r="E201" s="30"/>
      <c r="F201" s="31"/>
      <c r="G201" s="31"/>
      <c r="H201" s="29"/>
      <c r="I201" s="32"/>
      <c r="J201" s="33"/>
      <c r="K201" s="34"/>
      <c r="L201" s="35">
        <f t="shared" si="0"/>
      </c>
      <c r="M201" s="36">
        <f t="shared" si="1"/>
      </c>
      <c r="N201" s="29"/>
      <c r="O201" s="37">
        <f t="shared" si="2"/>
      </c>
    </row>
    <row r="202" spans="1:15" x14ac:dyDescent="0.25">
      <c r="A202" s="28"/>
      <c r="B202" s="29"/>
      <c r="C202" s="29"/>
      <c r="D202" s="30"/>
      <c r="E202" s="30"/>
      <c r="F202" s="31"/>
      <c r="G202" s="31"/>
      <c r="H202" s="29"/>
      <c r="I202" s="32"/>
      <c r="J202" s="33"/>
      <c r="K202" s="34"/>
      <c r="L202" s="35">
        <f t="shared" si="0"/>
      </c>
      <c r="M202" s="36">
        <f t="shared" si="1"/>
      </c>
      <c r="N202" s="29"/>
      <c r="O202" s="37">
        <f t="shared" si="2"/>
      </c>
    </row>
    <row r="203" spans="1:15" x14ac:dyDescent="0.25">
      <c r="A203" s="28"/>
      <c r="B203" s="29"/>
      <c r="C203" s="29"/>
      <c r="D203" s="30"/>
      <c r="E203" s="30"/>
      <c r="F203" s="31"/>
      <c r="G203" s="31"/>
      <c r="H203" s="29"/>
      <c r="I203" s="32"/>
      <c r="J203" s="33"/>
      <c r="K203" s="34"/>
      <c r="L203" s="35">
        <f t="shared" si="0"/>
      </c>
      <c r="M203" s="36">
        <f t="shared" si="1"/>
      </c>
      <c r="N203" s="29"/>
      <c r="O203" s="37">
        <f t="shared" si="2"/>
      </c>
    </row>
    <row r="204" spans="1:15" x14ac:dyDescent="0.25">
      <c r="A204" s="28"/>
      <c r="B204" s="29"/>
      <c r="C204" s="29"/>
      <c r="D204" s="30"/>
      <c r="E204" s="30"/>
      <c r="F204" s="31"/>
      <c r="G204" s="31"/>
      <c r="H204" s="29"/>
      <c r="I204" s="32"/>
      <c r="J204" s="33"/>
      <c r="K204" s="34"/>
      <c r="L204" s="35">
        <f t="shared" si="0"/>
      </c>
      <c r="M204" s="36">
        <f t="shared" si="1"/>
      </c>
      <c r="N204" s="29"/>
      <c r="O204" s="37">
        <f t="shared" si="2"/>
      </c>
    </row>
    <row r="205" spans="1:15" x14ac:dyDescent="0.25">
      <c r="A205" s="28"/>
      <c r="B205" s="29"/>
      <c r="C205" s="29"/>
      <c r="D205" s="30"/>
      <c r="E205" s="30"/>
      <c r="F205" s="31"/>
      <c r="G205" s="31"/>
      <c r="H205" s="29"/>
      <c r="I205" s="32"/>
      <c r="J205" s="33"/>
      <c r="K205" s="34"/>
      <c r="L205" s="35">
        <f t="shared" si="0"/>
      </c>
      <c r="M205" s="36">
        <f t="shared" si="1"/>
      </c>
      <c r="N205" s="29"/>
      <c r="O205" s="37">
        <f t="shared" si="2"/>
      </c>
    </row>
    <row r="206" spans="1:15" x14ac:dyDescent="0.25">
      <c r="A206" s="28"/>
      <c r="B206" s="29"/>
      <c r="C206" s="29"/>
      <c r="D206" s="30"/>
      <c r="E206" s="30"/>
      <c r="F206" s="31"/>
      <c r="G206" s="31"/>
      <c r="H206" s="29"/>
      <c r="I206" s="32"/>
      <c r="J206" s="33"/>
      <c r="K206" s="34"/>
      <c r="L206" s="35">
        <f t="shared" si="0"/>
      </c>
      <c r="M206" s="36">
        <f t="shared" si="1"/>
      </c>
      <c r="N206" s="29"/>
      <c r="O206" s="37">
        <f t="shared" si="2"/>
      </c>
    </row>
    <row r="207" spans="1:15" x14ac:dyDescent="0.25">
      <c r="A207" s="28"/>
      <c r="B207" s="29"/>
      <c r="C207" s="29"/>
      <c r="D207" s="30"/>
      <c r="E207" s="30"/>
      <c r="F207" s="31"/>
      <c r="G207" s="31"/>
      <c r="H207" s="29"/>
      <c r="I207" s="32"/>
      <c r="J207" s="33"/>
      <c r="K207" s="34"/>
      <c r="L207" s="35">
        <f t="shared" si="0"/>
      </c>
      <c r="M207" s="36">
        <f t="shared" si="1"/>
      </c>
      <c r="N207" s="29"/>
      <c r="O207" s="37">
        <f t="shared" si="2"/>
      </c>
    </row>
    <row r="208" spans="1:15" x14ac:dyDescent="0.25">
      <c r="A208" s="28"/>
      <c r="B208" s="29"/>
      <c r="C208" s="29"/>
      <c r="D208" s="30"/>
      <c r="E208" s="30"/>
      <c r="F208" s="31"/>
      <c r="G208" s="31"/>
      <c r="H208" s="29"/>
      <c r="I208" s="32"/>
      <c r="J208" s="33"/>
      <c r="K208" s="34"/>
      <c r="L208" s="35">
        <f t="shared" si="0"/>
      </c>
      <c r="M208" s="36">
        <f t="shared" si="1"/>
      </c>
      <c r="N208" s="29"/>
      <c r="O208" s="37">
        <f t="shared" si="2"/>
      </c>
    </row>
    <row r="209" spans="1:15" x14ac:dyDescent="0.25">
      <c r="A209" s="28"/>
      <c r="B209" s="29"/>
      <c r="C209" s="29"/>
      <c r="D209" s="30"/>
      <c r="E209" s="30"/>
      <c r="F209" s="31"/>
      <c r="G209" s="31"/>
      <c r="H209" s="29"/>
      <c r="I209" s="32"/>
      <c r="J209" s="33"/>
      <c r="K209" s="34"/>
      <c r="L209" s="35">
        <f t="shared" si="0"/>
      </c>
      <c r="M209" s="36">
        <f t="shared" si="1"/>
      </c>
      <c r="N209" s="29"/>
      <c r="O209" s="37">
        <f t="shared" si="2"/>
      </c>
    </row>
    <row r="210" spans="1:15" x14ac:dyDescent="0.25">
      <c r="A210" s="28"/>
      <c r="B210" s="29"/>
      <c r="C210" s="29"/>
      <c r="D210" s="30"/>
      <c r="E210" s="30"/>
      <c r="F210" s="31"/>
      <c r="G210" s="31"/>
      <c r="H210" s="29"/>
      <c r="I210" s="32"/>
      <c r="J210" s="33"/>
      <c r="K210" s="34"/>
      <c r="L210" s="35">
        <f t="shared" si="0"/>
      </c>
      <c r="M210" s="36">
        <f t="shared" si="1"/>
      </c>
      <c r="N210" s="29"/>
      <c r="O210" s="37">
        <f t="shared" si="2"/>
      </c>
    </row>
    <row r="211" spans="1:15" x14ac:dyDescent="0.25">
      <c r="A211" s="28"/>
      <c r="B211" s="29"/>
      <c r="C211" s="29"/>
      <c r="D211" s="30"/>
      <c r="E211" s="30"/>
      <c r="F211" s="31"/>
      <c r="G211" s="31"/>
      <c r="H211" s="29"/>
      <c r="I211" s="32"/>
      <c r="J211" s="33"/>
      <c r="K211" s="34"/>
      <c r="L211" s="35">
        <f t="shared" si="0"/>
      </c>
      <c r="M211" s="36">
        <f t="shared" si="1"/>
      </c>
      <c r="N211" s="29"/>
      <c r="O211" s="37">
        <f t="shared" si="2"/>
      </c>
    </row>
    <row r="212" spans="1:15" x14ac:dyDescent="0.25">
      <c r="A212" s="28"/>
      <c r="B212" s="29"/>
      <c r="C212" s="29"/>
      <c r="D212" s="30"/>
      <c r="E212" s="30"/>
      <c r="F212" s="31"/>
      <c r="G212" s="31"/>
      <c r="H212" s="29"/>
      <c r="I212" s="32"/>
      <c r="J212" s="33"/>
      <c r="K212" s="34"/>
      <c r="L212" s="35">
        <f t="shared" si="0"/>
      </c>
      <c r="M212" s="36">
        <f t="shared" si="1"/>
      </c>
      <c r="N212" s="29"/>
      <c r="O212" s="37">
        <f t="shared" si="2"/>
      </c>
    </row>
    <row r="213" spans="1:15" x14ac:dyDescent="0.25">
      <c r="A213" s="28"/>
      <c r="B213" s="29"/>
      <c r="C213" s="29"/>
      <c r="D213" s="30"/>
      <c r="E213" s="30"/>
      <c r="F213" s="31"/>
      <c r="G213" s="31"/>
      <c r="H213" s="29"/>
      <c r="I213" s="32"/>
      <c r="J213" s="33"/>
      <c r="K213" s="34"/>
      <c r="L213" s="35">
        <f t="shared" si="0"/>
      </c>
      <c r="M213" s="36">
        <f t="shared" si="1"/>
      </c>
      <c r="N213" s="29"/>
      <c r="O213" s="37">
        <f t="shared" si="2"/>
      </c>
    </row>
    <row r="214" spans="1:15" x14ac:dyDescent="0.25">
      <c r="A214" s="28"/>
      <c r="B214" s="29"/>
      <c r="C214" s="29"/>
      <c r="D214" s="30"/>
      <c r="E214" s="30"/>
      <c r="F214" s="31"/>
      <c r="G214" s="31"/>
      <c r="H214" s="29"/>
      <c r="I214" s="32"/>
      <c r="J214" s="33"/>
      <c r="K214" s="34"/>
      <c r="L214" s="35">
        <f t="shared" si="0"/>
      </c>
      <c r="M214" s="36">
        <f t="shared" si="1"/>
      </c>
      <c r="N214" s="29"/>
      <c r="O214" s="37">
        <f t="shared" si="2"/>
      </c>
    </row>
    <row r="215" spans="1:15" x14ac:dyDescent="0.25">
      <c r="A215" s="28"/>
      <c r="B215" s="29"/>
      <c r="C215" s="29"/>
      <c r="D215" s="30"/>
      <c r="E215" s="30"/>
      <c r="F215" s="31"/>
      <c r="G215" s="31"/>
      <c r="H215" s="29"/>
      <c r="I215" s="32"/>
      <c r="J215" s="33"/>
      <c r="K215" s="34"/>
      <c r="L215" s="35">
        <f t="shared" si="0"/>
      </c>
      <c r="M215" s="36">
        <f t="shared" si="1"/>
      </c>
      <c r="N215" s="29"/>
      <c r="O215" s="37">
        <f t="shared" si="2"/>
      </c>
    </row>
    <row r="216" spans="1:15" x14ac:dyDescent="0.25">
      <c r="A216" s="28"/>
      <c r="B216" s="29"/>
      <c r="C216" s="29"/>
      <c r="D216" s="30"/>
      <c r="E216" s="30"/>
      <c r="F216" s="31"/>
      <c r="G216" s="31"/>
      <c r="H216" s="29"/>
      <c r="I216" s="32"/>
      <c r="J216" s="33"/>
      <c r="K216" s="34"/>
      <c r="L216" s="35">
        <f t="shared" si="0"/>
      </c>
      <c r="M216" s="36">
        <f t="shared" si="1"/>
      </c>
      <c r="N216" s="29"/>
      <c r="O216" s="37">
        <f t="shared" si="2"/>
      </c>
    </row>
    <row r="217" spans="1:15" x14ac:dyDescent="0.25">
      <c r="A217" s="28"/>
      <c r="B217" s="29"/>
      <c r="C217" s="29"/>
      <c r="D217" s="30"/>
      <c r="E217" s="30"/>
      <c r="F217" s="31"/>
      <c r="G217" s="31"/>
      <c r="H217" s="29"/>
      <c r="I217" s="32"/>
      <c r="J217" s="33"/>
      <c r="K217" s="34"/>
      <c r="L217" s="35">
        <f t="shared" si="0"/>
      </c>
      <c r="M217" s="36">
        <f t="shared" si="1"/>
      </c>
      <c r="N217" s="29"/>
      <c r="O217" s="37">
        <f t="shared" si="2"/>
      </c>
    </row>
    <row r="218" spans="1:15" x14ac:dyDescent="0.25">
      <c r="A218" s="28"/>
      <c r="B218" s="29"/>
      <c r="C218" s="29"/>
      <c r="D218" s="30"/>
      <c r="E218" s="30"/>
      <c r="F218" s="31"/>
      <c r="G218" s="31"/>
      <c r="H218" s="29"/>
      <c r="I218" s="32"/>
      <c r="J218" s="33"/>
      <c r="K218" s="34"/>
      <c r="L218" s="35">
        <f t="shared" si="0"/>
      </c>
      <c r="M218" s="36">
        <f t="shared" si="1"/>
      </c>
      <c r="N218" s="29"/>
      <c r="O218" s="37">
        <f t="shared" si="2"/>
      </c>
    </row>
    <row r="219" spans="1:15" x14ac:dyDescent="0.25">
      <c r="A219" s="28"/>
      <c r="B219" s="29"/>
      <c r="C219" s="29"/>
      <c r="D219" s="30"/>
      <c r="E219" s="30"/>
      <c r="F219" s="31"/>
      <c r="G219" s="31"/>
      <c r="H219" s="29"/>
      <c r="I219" s="32"/>
      <c r="J219" s="33"/>
      <c r="K219" s="34"/>
      <c r="L219" s="35">
        <f t="shared" si="0"/>
      </c>
      <c r="M219" s="36">
        <f t="shared" si="1"/>
      </c>
      <c r="N219" s="29"/>
      <c r="O219" s="37">
        <f t="shared" si="2"/>
      </c>
    </row>
    <row r="220" spans="1:15" x14ac:dyDescent="0.25">
      <c r="A220" s="28"/>
      <c r="B220" s="29"/>
      <c r="C220" s="29"/>
      <c r="D220" s="30"/>
      <c r="E220" s="30"/>
      <c r="F220" s="31"/>
      <c r="G220" s="31"/>
      <c r="H220" s="29"/>
      <c r="I220" s="32"/>
      <c r="J220" s="33"/>
      <c r="K220" s="34"/>
      <c r="L220" s="35">
        <f t="shared" si="0"/>
      </c>
      <c r="M220" s="36">
        <f t="shared" si="1"/>
      </c>
      <c r="N220" s="29"/>
      <c r="O220" s="37">
        <f t="shared" si="2"/>
      </c>
    </row>
    <row r="221" spans="1:15" x14ac:dyDescent="0.25">
      <c r="A221" s="28"/>
      <c r="B221" s="29"/>
      <c r="C221" s="29"/>
      <c r="D221" s="30"/>
      <c r="E221" s="30"/>
      <c r="F221" s="31"/>
      <c r="G221" s="31"/>
      <c r="H221" s="29"/>
      <c r="I221" s="32"/>
      <c r="J221" s="33"/>
      <c r="K221" s="34"/>
      <c r="L221" s="35">
        <f t="shared" si="0"/>
      </c>
      <c r="M221" s="36">
        <f t="shared" si="1"/>
      </c>
      <c r="N221" s="29"/>
      <c r="O221" s="37">
        <f t="shared" si="2"/>
      </c>
    </row>
    <row r="222" spans="1:15" x14ac:dyDescent="0.25">
      <c r="A222" s="28"/>
      <c r="B222" s="29"/>
      <c r="C222" s="29"/>
      <c r="D222" s="30"/>
      <c r="E222" s="30"/>
      <c r="F222" s="31"/>
      <c r="G222" s="31"/>
      <c r="H222" s="29"/>
      <c r="I222" s="32"/>
      <c r="J222" s="33"/>
      <c r="K222" s="34"/>
      <c r="L222" s="35">
        <f t="shared" si="0"/>
      </c>
      <c r="M222" s="36">
        <f t="shared" si="1"/>
      </c>
      <c r="N222" s="29"/>
      <c r="O222" s="37">
        <f t="shared" si="2"/>
      </c>
    </row>
    <row r="223" spans="1:15" x14ac:dyDescent="0.25">
      <c r="A223" s="28"/>
      <c r="B223" s="29"/>
      <c r="C223" s="29"/>
      <c r="D223" s="30"/>
      <c r="E223" s="30"/>
      <c r="F223" s="31"/>
      <c r="G223" s="31"/>
      <c r="H223" s="29"/>
      <c r="I223" s="32"/>
      <c r="J223" s="33"/>
      <c r="K223" s="34"/>
      <c r="L223" s="35">
        <f t="shared" si="0"/>
      </c>
      <c r="M223" s="36">
        <f t="shared" si="1"/>
      </c>
      <c r="N223" s="29"/>
      <c r="O223" s="37">
        <f t="shared" si="2"/>
      </c>
    </row>
    <row r="224" spans="1:15" x14ac:dyDescent="0.25">
      <c r="A224" s="28"/>
      <c r="B224" s="29"/>
      <c r="C224" s="29"/>
      <c r="D224" s="30"/>
      <c r="E224" s="30"/>
      <c r="F224" s="31"/>
      <c r="G224" s="31"/>
      <c r="H224" s="29"/>
      <c r="I224" s="32"/>
      <c r="J224" s="33"/>
      <c r="K224" s="34"/>
      <c r="L224" s="35">
        <f t="shared" si="0"/>
      </c>
      <c r="M224" s="36">
        <f t="shared" si="1"/>
      </c>
      <c r="N224" s="29"/>
      <c r="O224" s="37">
        <f t="shared" si="2"/>
      </c>
    </row>
    <row r="225" spans="1:15" x14ac:dyDescent="0.25">
      <c r="A225" s="28"/>
      <c r="B225" s="29"/>
      <c r="C225" s="29"/>
      <c r="D225" s="30"/>
      <c r="E225" s="30"/>
      <c r="F225" s="31"/>
      <c r="G225" s="31"/>
      <c r="H225" s="29"/>
      <c r="I225" s="32"/>
      <c r="J225" s="33"/>
      <c r="K225" s="34"/>
      <c r="L225" s="35">
        <f t="shared" si="0"/>
      </c>
      <c r="M225" s="36">
        <f t="shared" si="1"/>
      </c>
      <c r="N225" s="29"/>
      <c r="O225" s="37">
        <f t="shared" si="2"/>
      </c>
    </row>
    <row r="226" spans="1:15" x14ac:dyDescent="0.25">
      <c r="A226" s="28"/>
      <c r="B226" s="29"/>
      <c r="C226" s="29"/>
      <c r="D226" s="30"/>
      <c r="E226" s="30"/>
      <c r="F226" s="31"/>
      <c r="G226" s="31"/>
      <c r="H226" s="29"/>
      <c r="I226" s="32"/>
      <c r="J226" s="33"/>
      <c r="K226" s="34"/>
      <c r="L226" s="35">
        <f t="shared" si="0"/>
      </c>
      <c r="M226" s="36">
        <f t="shared" si="1"/>
      </c>
      <c r="N226" s="29"/>
      <c r="O226" s="37">
        <f t="shared" si="2"/>
      </c>
    </row>
    <row r="227" spans="1:15" x14ac:dyDescent="0.25">
      <c r="A227" s="28"/>
      <c r="B227" s="29"/>
      <c r="C227" s="29"/>
      <c r="D227" s="30"/>
      <c r="E227" s="30"/>
      <c r="F227" s="31"/>
      <c r="G227" s="31"/>
      <c r="H227" s="29"/>
      <c r="I227" s="32"/>
      <c r="J227" s="33"/>
      <c r="K227" s="34"/>
      <c r="L227" s="35">
        <f t="shared" si="0"/>
      </c>
      <c r="M227" s="36">
        <f t="shared" si="1"/>
      </c>
      <c r="N227" s="29"/>
      <c r="O227" s="37">
        <f t="shared" si="2"/>
      </c>
    </row>
    <row r="228" spans="1:15" x14ac:dyDescent="0.25">
      <c r="A228" s="28"/>
      <c r="B228" s="29"/>
      <c r="C228" s="29"/>
      <c r="D228" s="30"/>
      <c r="E228" s="30"/>
      <c r="F228" s="31"/>
      <c r="G228" s="31"/>
      <c r="H228" s="29"/>
      <c r="I228" s="32"/>
      <c r="J228" s="33"/>
      <c r="K228" s="34"/>
      <c r="L228" s="35">
        <f t="shared" si="0"/>
      </c>
      <c r="M228" s="36">
        <f t="shared" si="1"/>
      </c>
      <c r="N228" s="29"/>
      <c r="O228" s="37">
        <f t="shared" si="2"/>
      </c>
    </row>
    <row r="229" spans="1:15" x14ac:dyDescent="0.25">
      <c r="A229" s="28"/>
      <c r="B229" s="29"/>
      <c r="C229" s="29"/>
      <c r="D229" s="30"/>
      <c r="E229" s="30"/>
      <c r="F229" s="31"/>
      <c r="G229" s="31"/>
      <c r="H229" s="29"/>
      <c r="I229" s="32"/>
      <c r="J229" s="33"/>
      <c r="K229" s="34"/>
      <c r="L229" s="35">
        <f t="shared" si="0"/>
      </c>
      <c r="M229" s="36">
        <f t="shared" si="1"/>
      </c>
      <c r="N229" s="29"/>
      <c r="O229" s="37">
        <f t="shared" si="2"/>
      </c>
    </row>
    <row r="230" spans="1:15" x14ac:dyDescent="0.25">
      <c r="A230" s="28"/>
      <c r="B230" s="29"/>
      <c r="C230" s="29"/>
      <c r="D230" s="30"/>
      <c r="E230" s="30"/>
      <c r="F230" s="31"/>
      <c r="G230" s="31"/>
      <c r="H230" s="29"/>
      <c r="I230" s="32"/>
      <c r="J230" s="33"/>
      <c r="K230" s="34"/>
      <c r="L230" s="35">
        <f t="shared" si="0"/>
      </c>
      <c r="M230" s="36">
        <f t="shared" si="1"/>
      </c>
      <c r="N230" s="29"/>
      <c r="O230" s="37">
        <f t="shared" si="2"/>
      </c>
    </row>
    <row r="231" spans="1:15" x14ac:dyDescent="0.25">
      <c r="A231" s="28"/>
      <c r="B231" s="29"/>
      <c r="C231" s="29"/>
      <c r="D231" s="30"/>
      <c r="E231" s="30"/>
      <c r="F231" s="31"/>
      <c r="G231" s="31"/>
      <c r="H231" s="29"/>
      <c r="I231" s="32"/>
      <c r="J231" s="33"/>
      <c r="K231" s="34"/>
      <c r="L231" s="35">
        <f t="shared" si="0"/>
      </c>
      <c r="M231" s="36">
        <f t="shared" si="1"/>
      </c>
      <c r="N231" s="29"/>
      <c r="O231" s="37">
        <f t="shared" si="2"/>
      </c>
    </row>
    <row r="232" spans="1:15" x14ac:dyDescent="0.25">
      <c r="A232" s="28"/>
      <c r="B232" s="29"/>
      <c r="C232" s="29"/>
      <c r="D232" s="30"/>
      <c r="E232" s="30"/>
      <c r="F232" s="31"/>
      <c r="G232" s="31"/>
      <c r="H232" s="29"/>
      <c r="I232" s="32"/>
      <c r="J232" s="33"/>
      <c r="K232" s="34"/>
      <c r="L232" s="35">
        <f t="shared" si="0"/>
      </c>
      <c r="M232" s="36">
        <f t="shared" si="1"/>
      </c>
      <c r="N232" s="29"/>
      <c r="O232" s="37">
        <f t="shared" si="2"/>
      </c>
    </row>
    <row r="233" spans="1:15" x14ac:dyDescent="0.25">
      <c r="A233" s="28"/>
      <c r="B233" s="29"/>
      <c r="C233" s="29"/>
      <c r="D233" s="30"/>
      <c r="E233" s="30"/>
      <c r="F233" s="31"/>
      <c r="G233" s="31"/>
      <c r="H233" s="29"/>
      <c r="I233" s="32"/>
      <c r="J233" s="33"/>
      <c r="K233" s="34"/>
      <c r="L233" s="35">
        <f t="shared" si="0"/>
      </c>
      <c r="M233" s="36">
        <f t="shared" si="1"/>
      </c>
      <c r="N233" s="29"/>
      <c r="O233" s="37">
        <f t="shared" si="2"/>
      </c>
    </row>
    <row r="234" spans="1:15" x14ac:dyDescent="0.25">
      <c r="A234" s="28"/>
      <c r="B234" s="29"/>
      <c r="C234" s="29"/>
      <c r="D234" s="30"/>
      <c r="E234" s="30"/>
      <c r="F234" s="31"/>
      <c r="G234" s="31"/>
      <c r="H234" s="29"/>
      <c r="I234" s="32"/>
      <c r="J234" s="33"/>
      <c r="K234" s="34"/>
      <c r="L234" s="35">
        <f t="shared" si="0"/>
      </c>
      <c r="M234" s="36">
        <f t="shared" si="1"/>
      </c>
      <c r="N234" s="29"/>
      <c r="O234" s="37">
        <f t="shared" si="2"/>
      </c>
    </row>
    <row r="235" spans="1:15" x14ac:dyDescent="0.25">
      <c r="A235" s="28"/>
      <c r="B235" s="29"/>
      <c r="C235" s="29"/>
      <c r="D235" s="30"/>
      <c r="E235" s="30"/>
      <c r="F235" s="31"/>
      <c r="G235" s="31"/>
      <c r="H235" s="29"/>
      <c r="I235" s="32"/>
      <c r="J235" s="33"/>
      <c r="K235" s="34"/>
      <c r="L235" s="35">
        <f t="shared" si="0"/>
      </c>
      <c r="M235" s="36">
        <f t="shared" si="1"/>
      </c>
      <c r="N235" s="29"/>
      <c r="O235" s="37">
        <f t="shared" si="2"/>
      </c>
    </row>
    <row r="236" spans="1:15" x14ac:dyDescent="0.25">
      <c r="A236" s="28"/>
      <c r="B236" s="29"/>
      <c r="C236" s="29"/>
      <c r="D236" s="30"/>
      <c r="E236" s="30"/>
      <c r="F236" s="31"/>
      <c r="G236" s="31"/>
      <c r="H236" s="29"/>
      <c r="I236" s="32"/>
      <c r="J236" s="33"/>
      <c r="K236" s="34"/>
      <c r="L236" s="35">
        <f t="shared" si="0"/>
      </c>
      <c r="M236" s="36">
        <f t="shared" si="1"/>
      </c>
      <c r="N236" s="29"/>
      <c r="O236" s="37">
        <f t="shared" si="2"/>
      </c>
    </row>
    <row r="237" spans="1:15" x14ac:dyDescent="0.25">
      <c r="A237" s="28"/>
      <c r="B237" s="29"/>
      <c r="C237" s="29"/>
      <c r="D237" s="30"/>
      <c r="E237" s="30"/>
      <c r="F237" s="31"/>
      <c r="G237" s="31"/>
      <c r="H237" s="29"/>
      <c r="I237" s="32"/>
      <c r="J237" s="33"/>
      <c r="K237" s="34"/>
      <c r="L237" s="35">
        <f t="shared" si="0"/>
      </c>
      <c r="M237" s="36">
        <f t="shared" si="1"/>
      </c>
      <c r="N237" s="29"/>
      <c r="O237" s="37">
        <f t="shared" si="2"/>
      </c>
    </row>
    <row r="238" spans="1:15" x14ac:dyDescent="0.25">
      <c r="A238" s="28"/>
      <c r="B238" s="29"/>
      <c r="C238" s="29"/>
      <c r="D238" s="30"/>
      <c r="E238" s="30"/>
      <c r="F238" s="31"/>
      <c r="G238" s="31"/>
      <c r="H238" s="29"/>
      <c r="I238" s="32"/>
      <c r="J238" s="33"/>
      <c r="K238" s="34"/>
      <c r="L238" s="35">
        <f t="shared" si="0"/>
      </c>
      <c r="M238" s="36">
        <f t="shared" si="1"/>
      </c>
      <c r="N238" s="29"/>
      <c r="O238" s="37">
        <f t="shared" si="2"/>
      </c>
    </row>
    <row r="239" spans="1:15" x14ac:dyDescent="0.25">
      <c r="A239" s="28"/>
      <c r="B239" s="29"/>
      <c r="C239" s="29"/>
      <c r="D239" s="30"/>
      <c r="E239" s="30"/>
      <c r="F239" s="31"/>
      <c r="G239" s="31"/>
      <c r="H239" s="29"/>
      <c r="I239" s="32"/>
      <c r="J239" s="33"/>
      <c r="K239" s="34"/>
      <c r="L239" s="35">
        <f t="shared" si="0"/>
      </c>
      <c r="M239" s="36">
        <f t="shared" si="1"/>
      </c>
      <c r="N239" s="29"/>
      <c r="O239" s="37">
        <f t="shared" si="2"/>
      </c>
    </row>
    <row r="240" spans="1:15" x14ac:dyDescent="0.25">
      <c r="A240" s="28"/>
      <c r="B240" s="29"/>
      <c r="C240" s="29"/>
      <c r="D240" s="30"/>
      <c r="E240" s="30"/>
      <c r="F240" s="31"/>
      <c r="G240" s="31"/>
      <c r="H240" s="29"/>
      <c r="I240" s="32"/>
      <c r="J240" s="33"/>
      <c r="K240" s="34"/>
      <c r="L240" s="35">
        <f t="shared" si="0"/>
      </c>
      <c r="M240" s="36">
        <f t="shared" si="1"/>
      </c>
      <c r="N240" s="29"/>
      <c r="O240" s="37">
        <f t="shared" si="2"/>
      </c>
    </row>
    <row r="241" spans="1:15" x14ac:dyDescent="0.25">
      <c r="A241" s="28"/>
      <c r="B241" s="29"/>
      <c r="C241" s="29"/>
      <c r="D241" s="30"/>
      <c r="E241" s="30"/>
      <c r="F241" s="31"/>
      <c r="G241" s="31"/>
      <c r="H241" s="29"/>
      <c r="I241" s="32"/>
      <c r="J241" s="33"/>
      <c r="K241" s="34"/>
      <c r="L241" s="35">
        <f t="shared" si="0"/>
      </c>
      <c r="M241" s="36">
        <f t="shared" si="1"/>
      </c>
      <c r="N241" s="29"/>
      <c r="O241" s="37">
        <f t="shared" si="2"/>
      </c>
    </row>
    <row r="242" spans="1:15" x14ac:dyDescent="0.25">
      <c r="A242" s="28"/>
      <c r="B242" s="29"/>
      <c r="C242" s="29"/>
      <c r="D242" s="30"/>
      <c r="E242" s="30"/>
      <c r="F242" s="31"/>
      <c r="G242" s="31"/>
      <c r="H242" s="29"/>
      <c r="I242" s="32"/>
      <c r="J242" s="33"/>
      <c r="K242" s="34"/>
      <c r="L242" s="35">
        <f t="shared" si="0"/>
      </c>
      <c r="M242" s="36">
        <f t="shared" si="1"/>
      </c>
      <c r="N242" s="29"/>
      <c r="O242" s="37">
        <f t="shared" si="2"/>
      </c>
    </row>
    <row r="243" spans="1:15" x14ac:dyDescent="0.25">
      <c r="A243" s="28"/>
      <c r="B243" s="29"/>
      <c r="C243" s="29"/>
      <c r="D243" s="30"/>
      <c r="E243" s="30"/>
      <c r="F243" s="31"/>
      <c r="G243" s="31"/>
      <c r="H243" s="29"/>
      <c r="I243" s="32"/>
      <c r="J243" s="33"/>
      <c r="K243" s="34"/>
      <c r="L243" s="35">
        <f t="shared" si="0"/>
      </c>
      <c r="M243" s="36">
        <f t="shared" si="1"/>
      </c>
      <c r="N243" s="29"/>
      <c r="O243" s="37">
        <f t="shared" si="2"/>
      </c>
    </row>
    <row r="244" spans="1:15" x14ac:dyDescent="0.25">
      <c r="A244" s="28"/>
      <c r="B244" s="29"/>
      <c r="C244" s="29"/>
      <c r="D244" s="30"/>
      <c r="E244" s="30"/>
      <c r="F244" s="31"/>
      <c r="G244" s="31"/>
      <c r="H244" s="29"/>
      <c r="I244" s="32"/>
      <c r="J244" s="33"/>
      <c r="K244" s="34"/>
      <c r="L244" s="35">
        <f t="shared" si="0"/>
      </c>
      <c r="M244" s="36">
        <f t="shared" si="1"/>
      </c>
      <c r="N244" s="29"/>
      <c r="O244" s="37">
        <f t="shared" si="2"/>
      </c>
    </row>
    <row r="245" spans="1:15" x14ac:dyDescent="0.25">
      <c r="A245" s="28"/>
      <c r="B245" s="29"/>
      <c r="C245" s="29"/>
      <c r="D245" s="30"/>
      <c r="E245" s="30"/>
      <c r="F245" s="31"/>
      <c r="G245" s="31"/>
      <c r="H245" s="29"/>
      <c r="I245" s="32"/>
      <c r="J245" s="33"/>
      <c r="K245" s="34"/>
      <c r="L245" s="35">
        <f t="shared" si="0"/>
      </c>
      <c r="M245" s="36">
        <f t="shared" si="1"/>
      </c>
      <c r="N245" s="29"/>
      <c r="O245" s="37">
        <f t="shared" si="2"/>
      </c>
    </row>
    <row r="246" spans="1:15" x14ac:dyDescent="0.25">
      <c r="A246" s="28"/>
      <c r="B246" s="29"/>
      <c r="C246" s="29"/>
      <c r="D246" s="30"/>
      <c r="E246" s="30"/>
      <c r="F246" s="31"/>
      <c r="G246" s="31"/>
      <c r="H246" s="29"/>
      <c r="I246" s="32"/>
      <c r="J246" s="33"/>
      <c r="K246" s="34"/>
      <c r="L246" s="35">
        <f t="shared" si="0"/>
      </c>
      <c r="M246" s="36">
        <f t="shared" si="1"/>
      </c>
      <c r="N246" s="29"/>
      <c r="O246" s="37">
        <f t="shared" si="2"/>
      </c>
    </row>
    <row r="247" spans="1:15" x14ac:dyDescent="0.25">
      <c r="A247" s="28"/>
      <c r="B247" s="29"/>
      <c r="C247" s="29"/>
      <c r="D247" s="30"/>
      <c r="E247" s="30"/>
      <c r="F247" s="31"/>
      <c r="G247" s="31"/>
      <c r="H247" s="29"/>
      <c r="I247" s="32"/>
      <c r="J247" s="33"/>
      <c r="K247" s="34"/>
      <c r="L247" s="35">
        <f t="shared" si="0"/>
      </c>
      <c r="M247" s="36">
        <f t="shared" si="1"/>
      </c>
      <c r="N247" s="29"/>
      <c r="O247" s="37">
        <f t="shared" si="2"/>
      </c>
    </row>
    <row r="248" spans="1:15" x14ac:dyDescent="0.25">
      <c r="A248" s="28"/>
      <c r="B248" s="29"/>
      <c r="C248" s="29"/>
      <c r="D248" s="30"/>
      <c r="E248" s="30"/>
      <c r="F248" s="31"/>
      <c r="G248" s="31"/>
      <c r="H248" s="29"/>
      <c r="I248" s="32"/>
      <c r="J248" s="33"/>
      <c r="K248" s="34"/>
      <c r="L248" s="35">
        <f t="shared" si="0"/>
      </c>
      <c r="M248" s="36">
        <f t="shared" si="1"/>
      </c>
      <c r="N248" s="29"/>
      <c r="O248" s="37">
        <f t="shared" si="2"/>
      </c>
    </row>
    <row r="249" spans="1:15" x14ac:dyDescent="0.25">
      <c r="A249" s="28"/>
      <c r="B249" s="29"/>
      <c r="C249" s="29"/>
      <c r="D249" s="30"/>
      <c r="E249" s="30"/>
      <c r="F249" s="31"/>
      <c r="G249" s="31"/>
      <c r="H249" s="29"/>
      <c r="I249" s="32"/>
      <c r="J249" s="33"/>
      <c r="K249" s="34"/>
      <c r="L249" s="35">
        <f t="shared" si="0"/>
      </c>
      <c r="M249" s="36">
        <f t="shared" si="1"/>
      </c>
      <c r="N249" s="29"/>
      <c r="O249" s="37">
        <f t="shared" si="2"/>
      </c>
    </row>
    <row r="250" spans="1:15" x14ac:dyDescent="0.25">
      <c r="A250" s="28"/>
      <c r="B250" s="29"/>
      <c r="C250" s="29"/>
      <c r="D250" s="30"/>
      <c r="E250" s="30"/>
      <c r="F250" s="31"/>
      <c r="G250" s="31"/>
      <c r="H250" s="29"/>
      <c r="I250" s="32"/>
      <c r="J250" s="33"/>
      <c r="K250" s="34"/>
      <c r="L250" s="35">
        <f t="shared" si="0"/>
      </c>
      <c r="M250" s="36">
        <f t="shared" si="1"/>
      </c>
      <c r="N250" s="29"/>
      <c r="O250" s="37">
        <f t="shared" si="2"/>
      </c>
    </row>
    <row r="251" spans="1:15" x14ac:dyDescent="0.25">
      <c r="A251" s="28"/>
      <c r="B251" s="29"/>
      <c r="C251" s="29"/>
      <c r="D251" s="30"/>
      <c r="E251" s="30"/>
      <c r="F251" s="31"/>
      <c r="G251" s="31"/>
      <c r="H251" s="29"/>
      <c r="I251" s="32"/>
      <c r="J251" s="33"/>
      <c r="K251" s="34"/>
      <c r="L251" s="35">
        <f t="shared" si="0"/>
      </c>
      <c r="M251" s="36">
        <f t="shared" si="1"/>
      </c>
      <c r="N251" s="29"/>
      <c r="O251" s="37">
        <f t="shared" si="2"/>
      </c>
    </row>
    <row r="252" spans="1:15" x14ac:dyDescent="0.25">
      <c r="A252" s="28"/>
      <c r="B252" s="29"/>
      <c r="C252" s="29"/>
      <c r="D252" s="30"/>
      <c r="E252" s="30"/>
      <c r="F252" s="31"/>
      <c r="G252" s="31"/>
      <c r="H252" s="29"/>
      <c r="I252" s="32"/>
      <c r="J252" s="33"/>
      <c r="K252" s="34"/>
      <c r="L252" s="35">
        <f t="shared" si="0"/>
      </c>
      <c r="M252" s="36">
        <f t="shared" si="1"/>
      </c>
      <c r="N252" s="29"/>
      <c r="O252" s="37">
        <f t="shared" si="2"/>
      </c>
    </row>
    <row r="253" spans="1:15" x14ac:dyDescent="0.25">
      <c r="A253" s="28"/>
      <c r="B253" s="29"/>
      <c r="C253" s="29"/>
      <c r="D253" s="30"/>
      <c r="E253" s="30"/>
      <c r="F253" s="31"/>
      <c r="G253" s="31"/>
      <c r="H253" s="29"/>
      <c r="I253" s="32"/>
      <c r="J253" s="33"/>
      <c r="K253" s="34"/>
      <c r="L253" s="35">
        <f t="shared" si="0"/>
      </c>
      <c r="M253" s="36">
        <f t="shared" si="1"/>
      </c>
      <c r="N253" s="29"/>
      <c r="O253" s="37">
        <f t="shared" si="2"/>
      </c>
    </row>
    <row r="254" spans="1:15" x14ac:dyDescent="0.25">
      <c r="A254" s="28"/>
      <c r="B254" s="29"/>
      <c r="C254" s="29"/>
      <c r="D254" s="30"/>
      <c r="E254" s="30"/>
      <c r="F254" s="31"/>
      <c r="G254" s="31"/>
      <c r="H254" s="29"/>
      <c r="I254" s="32"/>
      <c r="J254" s="33"/>
      <c r="K254" s="34"/>
      <c r="L254" s="35">
        <f t="shared" si="0"/>
      </c>
      <c r="M254" s="36">
        <f t="shared" si="1"/>
      </c>
      <c r="N254" s="29"/>
      <c r="O254" s="37">
        <f t="shared" si="2"/>
      </c>
    </row>
    <row r="255" spans="1:15" x14ac:dyDescent="0.25">
      <c r="A255" s="28"/>
      <c r="B255" s="29"/>
      <c r="C255" s="29"/>
      <c r="D255" s="30"/>
      <c r="E255" s="30"/>
      <c r="F255" s="31"/>
      <c r="G255" s="31"/>
      <c r="H255" s="29"/>
      <c r="I255" s="32"/>
      <c r="J255" s="33"/>
      <c r="K255" s="34"/>
      <c r="L255" s="35">
        <f t="shared" si="0"/>
      </c>
      <c r="M255" s="36">
        <f t="shared" si="1"/>
      </c>
      <c r="N255" s="29"/>
      <c r="O255" s="37">
        <f t="shared" si="2"/>
      </c>
    </row>
    <row r="256" spans="1:15" x14ac:dyDescent="0.25">
      <c r="A256" s="28"/>
      <c r="B256" s="29"/>
      <c r="C256" s="29"/>
      <c r="D256" s="30"/>
      <c r="E256" s="30"/>
      <c r="F256" s="31"/>
      <c r="G256" s="31"/>
      <c r="H256" s="29"/>
      <c r="I256" s="32"/>
      <c r="J256" s="33"/>
      <c r="K256" s="34"/>
      <c r="L256" s="35">
        <f t="shared" si="0"/>
      </c>
      <c r="M256" s="36">
        <f t="shared" si="1"/>
      </c>
      <c r="N256" s="29"/>
      <c r="O256" s="37">
        <f t="shared" si="2"/>
      </c>
    </row>
    <row r="257" spans="1:15" x14ac:dyDescent="0.25">
      <c r="A257" s="28"/>
      <c r="B257" s="29"/>
      <c r="C257" s="29"/>
      <c r="D257" s="30"/>
      <c r="E257" s="30"/>
      <c r="F257" s="31"/>
      <c r="G257" s="31"/>
      <c r="H257" s="29"/>
      <c r="I257" s="32"/>
      <c r="J257" s="33"/>
      <c r="K257" s="34"/>
      <c r="L257" s="35">
        <f t="shared" si="0"/>
      </c>
      <c r="M257" s="36">
        <f t="shared" si="1"/>
      </c>
      <c r="N257" s="29"/>
      <c r="O257" s="37">
        <f t="shared" si="2"/>
      </c>
    </row>
    <row r="258" spans="1:15" x14ac:dyDescent="0.25">
      <c r="A258" s="28"/>
      <c r="B258" s="29"/>
      <c r="C258" s="29"/>
      <c r="D258" s="30"/>
      <c r="E258" s="30"/>
      <c r="F258" s="31"/>
      <c r="G258" s="31"/>
      <c r="H258" s="29"/>
      <c r="I258" s="32"/>
      <c r="J258" s="33"/>
      <c r="K258" s="34"/>
      <c r="L258" s="35">
        <f t="shared" si="0"/>
      </c>
      <c r="M258" s="36">
        <f t="shared" si="1"/>
      </c>
      <c r="N258" s="29"/>
      <c r="O258" s="37">
        <f t="shared" si="2"/>
      </c>
    </row>
    <row r="259" spans="1:15" x14ac:dyDescent="0.25">
      <c r="A259" s="28"/>
      <c r="B259" s="29"/>
      <c r="C259" s="29"/>
      <c r="D259" s="30"/>
      <c r="E259" s="30"/>
      <c r="F259" s="31"/>
      <c r="G259" s="31"/>
      <c r="H259" s="29"/>
      <c r="I259" s="32"/>
      <c r="J259" s="33"/>
      <c r="K259" s="34"/>
      <c r="L259" s="35">
        <f t="shared" si="0"/>
      </c>
      <c r="M259" s="36">
        <f t="shared" si="1"/>
      </c>
      <c r="N259" s="29"/>
      <c r="O259" s="37">
        <f t="shared" si="2"/>
      </c>
    </row>
    <row r="260" spans="1:15" x14ac:dyDescent="0.25">
      <c r="A260" s="28"/>
      <c r="B260" s="29"/>
      <c r="C260" s="29"/>
      <c r="D260" s="30"/>
      <c r="E260" s="30"/>
      <c r="F260" s="31"/>
      <c r="G260" s="31"/>
      <c r="H260" s="29"/>
      <c r="I260" s="32"/>
      <c r="J260" s="33"/>
      <c r="K260" s="34"/>
      <c r="L260" s="35">
        <f t="shared" si="0"/>
      </c>
      <c r="M260" s="36">
        <f t="shared" si="1"/>
      </c>
      <c r="N260" s="29"/>
      <c r="O260" s="37">
        <f t="shared" si="2"/>
      </c>
    </row>
    <row r="261" spans="1:15" x14ac:dyDescent="0.25">
      <c r="A261" s="28"/>
      <c r="B261" s="29"/>
      <c r="C261" s="29"/>
      <c r="D261" s="30"/>
      <c r="E261" s="30"/>
      <c r="F261" s="31"/>
      <c r="G261" s="31"/>
      <c r="H261" s="29"/>
      <c r="I261" s="32"/>
      <c r="J261" s="33"/>
      <c r="K261" s="34"/>
      <c r="L261" s="35">
        <f t="shared" si="0"/>
      </c>
      <c r="M261" s="36">
        <f t="shared" si="1"/>
      </c>
      <c r="N261" s="29"/>
      <c r="O261" s="37">
        <f t="shared" si="2"/>
      </c>
    </row>
    <row r="262" spans="1:15" x14ac:dyDescent="0.25">
      <c r="A262" s="28"/>
      <c r="B262" s="29"/>
      <c r="C262" s="29"/>
      <c r="D262" s="30"/>
      <c r="E262" s="30"/>
      <c r="F262" s="31"/>
      <c r="G262" s="31"/>
      <c r="H262" s="29"/>
      <c r="I262" s="32"/>
      <c r="J262" s="33"/>
      <c r="K262" s="34"/>
      <c r="L262" s="35">
        <f t="shared" si="0"/>
      </c>
      <c r="M262" s="36">
        <f t="shared" si="1"/>
      </c>
      <c r="N262" s="29"/>
      <c r="O262" s="37">
        <f t="shared" si="2"/>
      </c>
    </row>
    <row r="263" spans="1:15" x14ac:dyDescent="0.25">
      <c r="A263" s="28"/>
      <c r="B263" s="29"/>
      <c r="C263" s="29"/>
      <c r="D263" s="30"/>
      <c r="E263" s="30"/>
      <c r="F263" s="31"/>
      <c r="G263" s="31"/>
      <c r="H263" s="29"/>
      <c r="I263" s="32"/>
      <c r="J263" s="33"/>
      <c r="K263" s="34"/>
      <c r="L263" s="35">
        <f t="shared" si="0"/>
      </c>
      <c r="M263" s="36">
        <f t="shared" si="1"/>
      </c>
      <c r="N263" s="29"/>
      <c r="O263" s="37">
        <f t="shared" si="2"/>
      </c>
    </row>
    <row r="264" spans="1:15" x14ac:dyDescent="0.25">
      <c r="A264" s="28"/>
      <c r="B264" s="29"/>
      <c r="C264" s="29"/>
      <c r="D264" s="30"/>
      <c r="E264" s="30"/>
      <c r="F264" s="31"/>
      <c r="G264" s="31"/>
      <c r="H264" s="29"/>
      <c r="I264" s="32"/>
      <c r="J264" s="33"/>
      <c r="K264" s="34"/>
      <c r="L264" s="35">
        <f t="shared" si="0"/>
      </c>
      <c r="M264" s="36">
        <f t="shared" si="1"/>
      </c>
      <c r="N264" s="29"/>
      <c r="O264" s="37">
        <f t="shared" si="2"/>
      </c>
    </row>
    <row r="265" spans="1:15" x14ac:dyDescent="0.25">
      <c r="A265" s="28"/>
      <c r="B265" s="29"/>
      <c r="C265" s="29"/>
      <c r="D265" s="30"/>
      <c r="E265" s="30"/>
      <c r="F265" s="31"/>
      <c r="G265" s="31"/>
      <c r="H265" s="29"/>
      <c r="I265" s="32"/>
      <c r="J265" s="33"/>
      <c r="K265" s="34"/>
      <c r="L265" s="35">
        <f t="shared" si="0"/>
      </c>
      <c r="M265" s="36">
        <f t="shared" si="1"/>
      </c>
      <c r="N265" s="29"/>
      <c r="O265" s="37">
        <f t="shared" si="2"/>
      </c>
    </row>
    <row r="266" spans="1:15" x14ac:dyDescent="0.25">
      <c r="A266" s="28"/>
      <c r="B266" s="29"/>
      <c r="C266" s="29"/>
      <c r="D266" s="30"/>
      <c r="E266" s="30"/>
      <c r="F266" s="31"/>
      <c r="G266" s="31"/>
      <c r="H266" s="29"/>
      <c r="I266" s="32"/>
      <c r="J266" s="33"/>
      <c r="K266" s="34"/>
      <c r="L266" s="35">
        <f t="shared" si="0"/>
      </c>
      <c r="M266" s="36">
        <f t="shared" si="1"/>
      </c>
      <c r="N266" s="29"/>
      <c r="O266" s="37">
        <f t="shared" si="2"/>
      </c>
    </row>
    <row r="267" spans="1:15" x14ac:dyDescent="0.25">
      <c r="A267" s="28"/>
      <c r="B267" s="29"/>
      <c r="C267" s="29"/>
      <c r="D267" s="30"/>
      <c r="E267" s="30"/>
      <c r="F267" s="31"/>
      <c r="G267" s="31"/>
      <c r="H267" s="29"/>
      <c r="I267" s="32"/>
      <c r="J267" s="33"/>
      <c r="K267" s="34"/>
      <c r="L267" s="35">
        <f t="shared" si="0"/>
      </c>
      <c r="M267" s="36">
        <f t="shared" si="1"/>
      </c>
      <c r="N267" s="29"/>
      <c r="O267" s="37">
        <f t="shared" si="2"/>
      </c>
    </row>
    <row r="268" spans="1:15" x14ac:dyDescent="0.25">
      <c r="A268" s="28"/>
      <c r="B268" s="29"/>
      <c r="C268" s="29"/>
      <c r="D268" s="30"/>
      <c r="E268" s="30"/>
      <c r="F268" s="31"/>
      <c r="G268" s="31"/>
      <c r="H268" s="29"/>
      <c r="I268" s="32"/>
      <c r="J268" s="33"/>
      <c r="K268" s="34"/>
      <c r="L268" s="35">
        <f t="shared" si="0"/>
      </c>
      <c r="M268" s="36">
        <f t="shared" si="1"/>
      </c>
      <c r="N268" s="29"/>
      <c r="O268" s="37">
        <f t="shared" si="2"/>
      </c>
    </row>
    <row r="269" spans="1:15" x14ac:dyDescent="0.25">
      <c r="A269" s="28"/>
      <c r="B269" s="29"/>
      <c r="C269" s="29"/>
      <c r="D269" s="30"/>
      <c r="E269" s="30"/>
      <c r="F269" s="31"/>
      <c r="G269" s="31"/>
      <c r="H269" s="29"/>
      <c r="I269" s="32"/>
      <c r="J269" s="33"/>
      <c r="K269" s="34"/>
      <c r="L269" s="35">
        <f t="shared" si="0"/>
      </c>
      <c r="M269" s="36">
        <f t="shared" si="1"/>
      </c>
      <c r="N269" s="29"/>
      <c r="O269" s="37">
        <f t="shared" si="2"/>
      </c>
    </row>
    <row r="270" spans="1:15" x14ac:dyDescent="0.25">
      <c r="A270" s="28"/>
      <c r="B270" s="29"/>
      <c r="C270" s="29"/>
      <c r="D270" s="30"/>
      <c r="E270" s="30"/>
      <c r="F270" s="31"/>
      <c r="G270" s="31"/>
      <c r="H270" s="29"/>
      <c r="I270" s="32"/>
      <c r="J270" s="33"/>
      <c r="K270" s="34"/>
      <c r="L270" s="35">
        <f t="shared" si="0"/>
      </c>
      <c r="M270" s="36">
        <f t="shared" si="1"/>
      </c>
      <c r="N270" s="29"/>
      <c r="O270" s="37">
        <f t="shared" si="2"/>
      </c>
    </row>
    <row r="271" spans="1:15" x14ac:dyDescent="0.25">
      <c r="A271" s="28"/>
      <c r="B271" s="29"/>
      <c r="C271" s="29"/>
      <c r="D271" s="30"/>
      <c r="E271" s="30"/>
      <c r="F271" s="31"/>
      <c r="G271" s="31"/>
      <c r="H271" s="29"/>
      <c r="I271" s="32"/>
      <c r="J271" s="33"/>
      <c r="K271" s="34"/>
      <c r="L271" s="35">
        <f t="shared" si="0"/>
      </c>
      <c r="M271" s="36">
        <f t="shared" si="1"/>
      </c>
      <c r="N271" s="29"/>
      <c r="O271" s="37">
        <f t="shared" si="2"/>
      </c>
    </row>
    <row r="272" spans="1:15" x14ac:dyDescent="0.25">
      <c r="A272" s="28"/>
      <c r="B272" s="29"/>
      <c r="C272" s="29"/>
      <c r="D272" s="30"/>
      <c r="E272" s="30"/>
      <c r="F272" s="31"/>
      <c r="G272" s="31"/>
      <c r="H272" s="29"/>
      <c r="I272" s="32"/>
      <c r="J272" s="33"/>
      <c r="K272" s="34"/>
      <c r="L272" s="35">
        <f t="shared" si="0"/>
      </c>
      <c r="M272" s="36">
        <f t="shared" si="1"/>
      </c>
      <c r="N272" s="29"/>
      <c r="O272" s="37">
        <f t="shared" si="2"/>
      </c>
    </row>
    <row r="273" spans="1:15" x14ac:dyDescent="0.25">
      <c r="A273" s="28"/>
      <c r="B273" s="29"/>
      <c r="C273" s="29"/>
      <c r="D273" s="30"/>
      <c r="E273" s="30"/>
      <c r="F273" s="31"/>
      <c r="G273" s="31"/>
      <c r="H273" s="29"/>
      <c r="I273" s="32"/>
      <c r="J273" s="33"/>
      <c r="K273" s="34"/>
      <c r="L273" s="35">
        <f t="shared" si="0"/>
      </c>
      <c r="M273" s="36">
        <f t="shared" si="1"/>
      </c>
      <c r="N273" s="29"/>
      <c r="O273" s="37">
        <f t="shared" si="2"/>
      </c>
    </row>
    <row r="274" spans="1:15" x14ac:dyDescent="0.25">
      <c r="A274" s="28"/>
      <c r="B274" s="29"/>
      <c r="C274" s="29"/>
      <c r="D274" s="30"/>
      <c r="E274" s="30"/>
      <c r="F274" s="31"/>
      <c r="G274" s="31"/>
      <c r="H274" s="29"/>
      <c r="I274" s="32"/>
      <c r="J274" s="33"/>
      <c r="K274" s="34"/>
      <c r="L274" s="35">
        <f t="shared" si="0"/>
      </c>
      <c r="M274" s="36">
        <f t="shared" si="1"/>
      </c>
      <c r="N274" s="29"/>
      <c r="O274" s="37">
        <f t="shared" si="2"/>
      </c>
    </row>
    <row r="275" spans="1:15" x14ac:dyDescent="0.25">
      <c r="A275" s="28"/>
      <c r="B275" s="29"/>
      <c r="C275" s="29"/>
      <c r="D275" s="30"/>
      <c r="E275" s="30"/>
      <c r="F275" s="31"/>
      <c r="G275" s="31"/>
      <c r="H275" s="29"/>
      <c r="I275" s="32"/>
      <c r="J275" s="33"/>
      <c r="K275" s="34"/>
      <c r="L275" s="35">
        <f t="shared" si="0"/>
      </c>
      <c r="M275" s="36">
        <f t="shared" si="1"/>
      </c>
      <c r="N275" s="29"/>
      <c r="O275" s="37">
        <f t="shared" si="2"/>
      </c>
    </row>
    <row r="276" spans="1:15" x14ac:dyDescent="0.25">
      <c r="A276" s="28"/>
      <c r="B276" s="29"/>
      <c r="C276" s="29"/>
      <c r="D276" s="30"/>
      <c r="E276" s="30"/>
      <c r="F276" s="31"/>
      <c r="G276" s="31"/>
      <c r="H276" s="29"/>
      <c r="I276" s="32"/>
      <c r="J276" s="33"/>
      <c r="K276" s="34"/>
      <c r="L276" s="35">
        <f t="shared" si="0"/>
      </c>
      <c r="M276" s="36">
        <f t="shared" si="1"/>
      </c>
      <c r="N276" s="29"/>
      <c r="O276" s="37">
        <f t="shared" si="2"/>
      </c>
    </row>
    <row r="277" spans="1:15" x14ac:dyDescent="0.25">
      <c r="A277" s="28"/>
      <c r="B277" s="29"/>
      <c r="C277" s="29"/>
      <c r="D277" s="30"/>
      <c r="E277" s="30"/>
      <c r="F277" s="31"/>
      <c r="G277" s="31"/>
      <c r="H277" s="29"/>
      <c r="I277" s="32"/>
      <c r="J277" s="33"/>
      <c r="K277" s="34"/>
      <c r="L277" s="35">
        <f t="shared" si="0"/>
      </c>
      <c r="M277" s="36">
        <f t="shared" si="1"/>
      </c>
      <c r="N277" s="29"/>
      <c r="O277" s="37">
        <f t="shared" si="2"/>
      </c>
    </row>
    <row r="278" spans="1:15" x14ac:dyDescent="0.25">
      <c r="A278" s="28"/>
      <c r="B278" s="29"/>
      <c r="C278" s="29"/>
      <c r="D278" s="30"/>
      <c r="E278" s="30"/>
      <c r="F278" s="31"/>
      <c r="G278" s="31"/>
      <c r="H278" s="29"/>
      <c r="I278" s="32"/>
      <c r="J278" s="33"/>
      <c r="K278" s="34"/>
      <c r="L278" s="35">
        <f t="shared" si="0"/>
      </c>
      <c r="M278" s="36">
        <f t="shared" si="1"/>
      </c>
      <c r="N278" s="29"/>
      <c r="O278" s="37">
        <f t="shared" si="2"/>
      </c>
    </row>
    <row r="279" spans="1:15" x14ac:dyDescent="0.25">
      <c r="A279" s="28"/>
      <c r="B279" s="29"/>
      <c r="C279" s="29"/>
      <c r="D279" s="30"/>
      <c r="E279" s="30"/>
      <c r="F279" s="31"/>
      <c r="G279" s="31"/>
      <c r="H279" s="29"/>
      <c r="I279" s="32"/>
      <c r="J279" s="33"/>
      <c r="K279" s="34"/>
      <c r="L279" s="35">
        <f t="shared" si="0"/>
      </c>
      <c r="M279" s="36">
        <f t="shared" si="1"/>
      </c>
      <c r="N279" s="29"/>
      <c r="O279" s="37">
        <f t="shared" si="2"/>
      </c>
    </row>
    <row r="280" spans="1:15" x14ac:dyDescent="0.25">
      <c r="A280" s="28"/>
      <c r="B280" s="29"/>
      <c r="C280" s="29"/>
      <c r="D280" s="30"/>
      <c r="E280" s="30"/>
      <c r="F280" s="31"/>
      <c r="G280" s="31"/>
      <c r="H280" s="29"/>
      <c r="I280" s="32"/>
      <c r="J280" s="33"/>
      <c r="K280" s="34"/>
      <c r="L280" s="35">
        <f t="shared" si="0"/>
      </c>
      <c r="M280" s="36">
        <f t="shared" si="1"/>
      </c>
      <c r="N280" s="29"/>
      <c r="O280" s="37">
        <f t="shared" si="2"/>
      </c>
    </row>
    <row r="281" spans="1:15" x14ac:dyDescent="0.25">
      <c r="A281" s="28"/>
      <c r="B281" s="29"/>
      <c r="C281" s="29"/>
      <c r="D281" s="30"/>
      <c r="E281" s="30"/>
      <c r="F281" s="31"/>
      <c r="G281" s="31"/>
      <c r="H281" s="29"/>
      <c r="I281" s="32"/>
      <c r="J281" s="33"/>
      <c r="K281" s="34"/>
      <c r="L281" s="35">
        <f t="shared" si="0"/>
      </c>
      <c r="M281" s="36">
        <f t="shared" si="1"/>
      </c>
      <c r="N281" s="29"/>
      <c r="O281" s="37">
        <f t="shared" si="2"/>
      </c>
    </row>
    <row r="282" spans="1:15" x14ac:dyDescent="0.25">
      <c r="A282" s="28"/>
      <c r="B282" s="29"/>
      <c r="C282" s="29"/>
      <c r="D282" s="30"/>
      <c r="E282" s="30"/>
      <c r="F282" s="31"/>
      <c r="G282" s="31"/>
      <c r="H282" s="29"/>
      <c r="I282" s="32"/>
      <c r="J282" s="33"/>
      <c r="K282" s="34"/>
      <c r="L282" s="35">
        <f t="shared" si="0"/>
      </c>
      <c r="M282" s="36">
        <f t="shared" si="1"/>
      </c>
      <c r="N282" s="29"/>
      <c r="O282" s="37">
        <f t="shared" si="2"/>
      </c>
    </row>
    <row r="283" spans="1:15" x14ac:dyDescent="0.25">
      <c r="A283" s="28"/>
      <c r="B283" s="29"/>
      <c r="C283" s="29"/>
      <c r="D283" s="30"/>
      <c r="E283" s="30"/>
      <c r="F283" s="31"/>
      <c r="G283" s="31"/>
      <c r="H283" s="29"/>
      <c r="I283" s="32"/>
      <c r="J283" s="33"/>
      <c r="K283" s="34"/>
      <c r="L283" s="35">
        <f t="shared" si="0"/>
      </c>
      <c r="M283" s="36">
        <f t="shared" si="1"/>
      </c>
      <c r="N283" s="29"/>
      <c r="O283" s="37">
        <f t="shared" si="2"/>
      </c>
    </row>
    <row r="284" spans="1:15" x14ac:dyDescent="0.25">
      <c r="A284" s="28"/>
      <c r="B284" s="29"/>
      <c r="C284" s="29"/>
      <c r="D284" s="30"/>
      <c r="E284" s="30"/>
      <c r="F284" s="31"/>
      <c r="G284" s="31"/>
      <c r="H284" s="29"/>
      <c r="I284" s="32"/>
      <c r="J284" s="33"/>
      <c r="K284" s="34"/>
      <c r="L284" s="35">
        <f t="shared" si="0"/>
      </c>
      <c r="M284" s="36">
        <f t="shared" si="1"/>
      </c>
      <c r="N284" s="29"/>
      <c r="O284" s="37">
        <f t="shared" si="2"/>
      </c>
    </row>
    <row r="285" spans="1:15" x14ac:dyDescent="0.25">
      <c r="A285" s="28"/>
      <c r="B285" s="29"/>
      <c r="C285" s="29"/>
      <c r="D285" s="30"/>
      <c r="E285" s="30"/>
      <c r="F285" s="31"/>
      <c r="G285" s="31"/>
      <c r="H285" s="29"/>
      <c r="I285" s="32"/>
      <c r="J285" s="33"/>
      <c r="K285" s="34"/>
      <c r="L285" s="35">
        <f t="shared" si="0"/>
      </c>
      <c r="M285" s="36">
        <f t="shared" si="1"/>
      </c>
      <c r="N285" s="29"/>
      <c r="O285" s="37">
        <f t="shared" si="2"/>
      </c>
    </row>
    <row r="286" spans="1:15" x14ac:dyDescent="0.25">
      <c r="A286" s="28"/>
      <c r="B286" s="29"/>
      <c r="C286" s="29"/>
      <c r="D286" s="30"/>
      <c r="E286" s="30"/>
      <c r="F286" s="31"/>
      <c r="G286" s="31"/>
      <c r="H286" s="29"/>
      <c r="I286" s="32"/>
      <c r="J286" s="33"/>
      <c r="K286" s="34"/>
      <c r="L286" s="35">
        <f t="shared" si="0"/>
      </c>
      <c r="M286" s="36">
        <f t="shared" si="1"/>
      </c>
      <c r="N286" s="29"/>
      <c r="O286" s="37">
        <f t="shared" si="2"/>
      </c>
    </row>
    <row r="287" spans="1:15" x14ac:dyDescent="0.25">
      <c r="A287" s="28"/>
      <c r="B287" s="29"/>
      <c r="C287" s="29"/>
      <c r="D287" s="30"/>
      <c r="E287" s="30"/>
      <c r="F287" s="31"/>
      <c r="G287" s="31"/>
      <c r="H287" s="29"/>
      <c r="I287" s="32"/>
      <c r="J287" s="33"/>
      <c r="K287" s="34"/>
      <c r="L287" s="35">
        <f t="shared" si="0"/>
      </c>
      <c r="M287" s="36">
        <f t="shared" si="1"/>
      </c>
      <c r="N287" s="29"/>
      <c r="O287" s="37">
        <f t="shared" si="2"/>
      </c>
    </row>
    <row r="288" spans="1:15" x14ac:dyDescent="0.25">
      <c r="A288" s="28"/>
      <c r="B288" s="29"/>
      <c r="C288" s="29"/>
      <c r="D288" s="30"/>
      <c r="E288" s="30"/>
      <c r="F288" s="31"/>
      <c r="G288" s="31"/>
      <c r="H288" s="29"/>
      <c r="I288" s="32"/>
      <c r="J288" s="33"/>
      <c r="K288" s="34"/>
      <c r="L288" s="35">
        <f t="shared" si="0"/>
      </c>
      <c r="M288" s="36">
        <f t="shared" si="1"/>
      </c>
      <c r="N288" s="29"/>
      <c r="O288" s="37">
        <f t="shared" si="2"/>
      </c>
    </row>
    <row r="289" spans="1:15" x14ac:dyDescent="0.25">
      <c r="A289" s="28"/>
      <c r="B289" s="29"/>
      <c r="C289" s="29"/>
      <c r="D289" s="30"/>
      <c r="E289" s="30"/>
      <c r="F289" s="31"/>
      <c r="G289" s="31"/>
      <c r="H289" s="29"/>
      <c r="I289" s="32"/>
      <c r="J289" s="33"/>
      <c r="K289" s="34"/>
      <c r="L289" s="35">
        <f t="shared" si="0"/>
      </c>
      <c r="M289" s="36">
        <f t="shared" si="1"/>
      </c>
      <c r="N289" s="29"/>
      <c r="O289" s="37">
        <f t="shared" si="2"/>
      </c>
    </row>
    <row r="290" spans="1:15" x14ac:dyDescent="0.25">
      <c r="A290" s="28"/>
      <c r="B290" s="29"/>
      <c r="C290" s="29"/>
      <c r="D290" s="30"/>
      <c r="E290" s="30"/>
      <c r="F290" s="31"/>
      <c r="G290" s="31"/>
      <c r="H290" s="29"/>
      <c r="I290" s="32"/>
      <c r="J290" s="33"/>
      <c r="K290" s="34"/>
      <c r="L290" s="35">
        <f t="shared" si="0"/>
      </c>
      <c r="M290" s="36">
        <f t="shared" si="1"/>
      </c>
      <c r="N290" s="29"/>
      <c r="O290" s="37">
        <f t="shared" si="2"/>
      </c>
    </row>
    <row r="291" spans="1:15" x14ac:dyDescent="0.25">
      <c r="A291" s="28"/>
      <c r="B291" s="29"/>
      <c r="C291" s="29"/>
      <c r="D291" s="30"/>
      <c r="E291" s="30"/>
      <c r="F291" s="31"/>
      <c r="G291" s="31"/>
      <c r="H291" s="29"/>
      <c r="I291" s="32"/>
      <c r="J291" s="33"/>
      <c r="K291" s="34"/>
      <c r="L291" s="35">
        <f t="shared" si="0"/>
      </c>
      <c r="M291" s="36">
        <f t="shared" si="1"/>
      </c>
      <c r="N291" s="29"/>
      <c r="O291" s="37">
        <f t="shared" si="2"/>
      </c>
    </row>
    <row r="292" spans="1:15" x14ac:dyDescent="0.25">
      <c r="A292" s="28"/>
      <c r="B292" s="29"/>
      <c r="C292" s="29"/>
      <c r="D292" s="30"/>
      <c r="E292" s="30"/>
      <c r="F292" s="31"/>
      <c r="G292" s="31"/>
      <c r="H292" s="29"/>
      <c r="I292" s="32"/>
      <c r="J292" s="33"/>
      <c r="K292" s="34"/>
      <c r="L292" s="35">
        <f t="shared" si="0"/>
      </c>
      <c r="M292" s="36">
        <f t="shared" si="1"/>
      </c>
      <c r="N292" s="29"/>
      <c r="O292" s="37">
        <f t="shared" si="2"/>
      </c>
    </row>
    <row r="293" spans="1:15" x14ac:dyDescent="0.25">
      <c r="A293" s="28"/>
      <c r="B293" s="29"/>
      <c r="C293" s="29"/>
      <c r="D293" s="30"/>
      <c r="E293" s="30"/>
      <c r="F293" s="31"/>
      <c r="G293" s="31"/>
      <c r="H293" s="29"/>
      <c r="I293" s="32"/>
      <c r="J293" s="33"/>
      <c r="K293" s="34"/>
      <c r="L293" s="35">
        <f t="shared" si="0"/>
      </c>
      <c r="M293" s="36">
        <f t="shared" si="1"/>
      </c>
      <c r="N293" s="29"/>
      <c r="O293" s="37">
        <f t="shared" si="2"/>
      </c>
    </row>
    <row r="294" spans="1:15" x14ac:dyDescent="0.25">
      <c r="A294" s="28"/>
      <c r="B294" s="29"/>
      <c r="C294" s="29"/>
      <c r="D294" s="30"/>
      <c r="E294" s="30"/>
      <c r="F294" s="31"/>
      <c r="G294" s="31"/>
      <c r="H294" s="29"/>
      <c r="I294" s="32"/>
      <c r="J294" s="33"/>
      <c r="K294" s="34"/>
      <c r="L294" s="35">
        <f t="shared" si="0"/>
      </c>
      <c r="M294" s="36">
        <f t="shared" si="1"/>
      </c>
      <c r="N294" s="29"/>
      <c r="O294" s="37">
        <f t="shared" si="2"/>
      </c>
    </row>
    <row r="295" spans="1:15" x14ac:dyDescent="0.25">
      <c r="A295" s="28"/>
      <c r="B295" s="29"/>
      <c r="C295" s="29"/>
      <c r="D295" s="30"/>
      <c r="E295" s="30"/>
      <c r="F295" s="31"/>
      <c r="G295" s="31"/>
      <c r="H295" s="29"/>
      <c r="I295" s="32"/>
      <c r="J295" s="33"/>
      <c r="K295" s="34"/>
      <c r="L295" s="35">
        <f t="shared" si="0"/>
      </c>
      <c r="M295" s="36">
        <f t="shared" si="1"/>
      </c>
      <c r="N295" s="29"/>
      <c r="O295" s="37">
        <f t="shared" si="2"/>
      </c>
    </row>
    <row r="296" spans="1:15" x14ac:dyDescent="0.25">
      <c r="A296" s="28"/>
      <c r="B296" s="29"/>
      <c r="C296" s="29"/>
      <c r="D296" s="30"/>
      <c r="E296" s="30"/>
      <c r="F296" s="31"/>
      <c r="G296" s="31"/>
      <c r="H296" s="29"/>
      <c r="I296" s="32"/>
      <c r="J296" s="33"/>
      <c r="K296" s="34"/>
      <c r="L296" s="35">
        <f t="shared" si="0"/>
      </c>
      <c r="M296" s="36">
        <f t="shared" si="1"/>
      </c>
      <c r="N296" s="29"/>
      <c r="O296" s="37">
        <f t="shared" si="2"/>
      </c>
    </row>
    <row r="297" spans="1:15" x14ac:dyDescent="0.25">
      <c r="A297" s="28"/>
      <c r="B297" s="29"/>
      <c r="C297" s="29"/>
      <c r="D297" s="30"/>
      <c r="E297" s="30"/>
      <c r="F297" s="31"/>
      <c r="G297" s="31"/>
      <c r="H297" s="29"/>
      <c r="I297" s="32"/>
      <c r="J297" s="33"/>
      <c r="K297" s="34"/>
      <c r="L297" s="35">
        <f t="shared" si="0"/>
      </c>
      <c r="M297" s="36">
        <f t="shared" si="1"/>
      </c>
      <c r="N297" s="29"/>
      <c r="O297" s="37">
        <f t="shared" si="2"/>
      </c>
    </row>
    <row r="298" spans="1:15" x14ac:dyDescent="0.25">
      <c r="A298" s="28"/>
      <c r="B298" s="29"/>
      <c r="C298" s="29"/>
      <c r="D298" s="30"/>
      <c r="E298" s="30"/>
      <c r="F298" s="31"/>
      <c r="G298" s="31"/>
      <c r="H298" s="29"/>
      <c r="I298" s="32"/>
      <c r="J298" s="33"/>
      <c r="K298" s="34"/>
      <c r="L298" s="35">
        <f t="shared" si="0"/>
      </c>
      <c r="M298" s="36">
        <f t="shared" si="1"/>
      </c>
      <c r="N298" s="29"/>
      <c r="O298" s="37">
        <f t="shared" si="2"/>
      </c>
    </row>
    <row r="299" spans="1:15" x14ac:dyDescent="0.25">
      <c r="A299" s="28"/>
      <c r="B299" s="29"/>
      <c r="C299" s="29"/>
      <c r="D299" s="30"/>
      <c r="E299" s="30"/>
      <c r="F299" s="31"/>
      <c r="G299" s="31"/>
      <c r="H299" s="29"/>
      <c r="I299" s="32"/>
      <c r="J299" s="33"/>
      <c r="K299" s="34"/>
      <c r="L299" s="35">
        <f t="shared" si="0"/>
      </c>
      <c r="M299" s="36">
        <f t="shared" si="1"/>
      </c>
      <c r="N299" s="29"/>
      <c r="O299" s="37">
        <f t="shared" si="2"/>
      </c>
    </row>
    <row r="300" spans="1:15" x14ac:dyDescent="0.25">
      <c r="A300" s="28"/>
      <c r="B300" s="29"/>
      <c r="C300" s="29"/>
      <c r="D300" s="30"/>
      <c r="E300" s="30"/>
      <c r="F300" s="31"/>
      <c r="G300" s="31"/>
      <c r="H300" s="29"/>
      <c r="I300" s="32"/>
      <c r="J300" s="33"/>
      <c r="K300" s="34"/>
      <c r="L300" s="35">
        <f t="shared" si="0"/>
      </c>
      <c r="M300" s="36">
        <f t="shared" si="1"/>
      </c>
      <c r="N300" s="29"/>
      <c r="O300" s="37">
        <f t="shared" si="2"/>
      </c>
    </row>
    <row r="301" spans="1:15" x14ac:dyDescent="0.25">
      <c r="A301" s="28"/>
      <c r="B301" s="29"/>
      <c r="C301" s="29"/>
      <c r="D301" s="30"/>
      <c r="E301" s="30"/>
      <c r="F301" s="31"/>
      <c r="G301" s="31"/>
      <c r="H301" s="29"/>
      <c r="I301" s="32"/>
      <c r="J301" s="33"/>
      <c r="K301" s="34"/>
      <c r="L301" s="35">
        <f t="shared" si="0"/>
      </c>
      <c r="M301" s="36">
        <f t="shared" si="1"/>
      </c>
      <c r="N301" s="29"/>
      <c r="O301" s="37">
        <f t="shared" si="2"/>
      </c>
    </row>
    <row r="302" spans="1:15" x14ac:dyDescent="0.25">
      <c r="A302" s="28"/>
      <c r="B302" s="29"/>
      <c r="C302" s="29"/>
      <c r="D302" s="30"/>
      <c r="E302" s="30"/>
      <c r="F302" s="31"/>
      <c r="G302" s="31"/>
      <c r="H302" s="29"/>
      <c r="I302" s="32"/>
      <c r="J302" s="33"/>
      <c r="K302" s="34"/>
      <c r="L302" s="35">
        <f t="shared" si="0"/>
      </c>
      <c r="M302" s="36">
        <f t="shared" si="1"/>
      </c>
      <c r="N302" s="29"/>
      <c r="O302" s="37">
        <f t="shared" si="2"/>
      </c>
    </row>
    <row r="303" spans="1:15" x14ac:dyDescent="0.25">
      <c r="A303" s="28"/>
      <c r="B303" s="29"/>
      <c r="C303" s="29"/>
      <c r="D303" s="30"/>
      <c r="E303" s="30"/>
      <c r="F303" s="31"/>
      <c r="G303" s="31"/>
      <c r="H303" s="29"/>
      <c r="I303" s="32"/>
      <c r="J303" s="33"/>
      <c r="K303" s="34"/>
      <c r="L303" s="35">
        <f t="shared" si="0"/>
      </c>
      <c r="M303" s="36">
        <f t="shared" si="1"/>
      </c>
      <c r="N303" s="29"/>
      <c r="O303" s="37">
        <f t="shared" si="2"/>
      </c>
    </row>
  </sheetData>
  <sheetProtection sheet="1" formatColumns="0" formatRows="0" autoFilter="0"/>
  <autoFilter ref="A3:O303"/>
  <mergeCells count="2">
    <mergeCell ref="A1:B2"/>
    <mergeCell ref="C1:N2"/>
  </mergeCells>
  <conditionalFormatting sqref="J4:J303">
    <cfRule type="expression" dxfId="5" priority="10">
      <formula>J4="Concluída"</formula>
    </cfRule>
    <cfRule type="expression" dxfId="6" priority="11">
      <formula>J4="Em andamento"</formula>
    </cfRule>
    <cfRule type="expression" dxfId="7" priority="12">
      <formula>J4="Não iniciada"</formula>
    </cfRule>
    <cfRule type="expression" dxfId="8" priority="13">
      <formula>J4="Cancelada"</formula>
    </cfRule>
  </conditionalFormatting>
  <conditionalFormatting sqref="L4:L303">
    <cfRule type="expression" dxfId="9" priority="10">
      <formula>L4="Atrasada"</formula>
    </cfRule>
    <cfRule type="expression" dxfId="10" priority="11">
      <formula>L4="Vence esta semana"</formula>
    </cfRule>
    <cfRule type="expression" dxfId="11" priority="12">
      <formula>L4="No prazo"</formula>
    </cfRule>
    <cfRule type="expression" dxfId="12" priority="13">
      <formula>L4="Concluída"</formula>
    </cfRule>
    <cfRule type="expression" dxfId="13" priority="14">
      <formula>L4="Sem prazo"</formula>
    </cfRule>
  </conditionalFormatting>
  <conditionalFormatting sqref="O4:O303">
    <cfRule type="expression" dxfId="14" priority="1">
      <formula>OR(LEFT(O4,4)="ERRO",LEFT(O4,7)="ATENÇÃO")</formula>
    </cfRule>
    <cfRule type="expression" dxfId="15" priority="2">
      <formula>OR(LEFT(O4,8)="Pendente",LEFT(O4,9)="Verificar",LEFT(O4,9)="Duplicada",LEFT(O4,7)="Tarefa ",LEFT(O4,13)="Fora do plano",LEFT(O4,8)="Previsão",LEFT(O4,11)="Sem vínculo",LEFT(O4,14)="Não verificado",LEFT(O4,7)="Informe",LEFT(O4,9)="A definir")</formula>
    </cfRule>
    <cfRule type="expression" dxfId="16" priority="3">
      <formula>OR(O4="OK",LEFT(O4,4)="Nada",LEFT(O4,3)="OK:")</formula>
    </cfRule>
  </conditionalFormatting>
  <dataValidations count="6">
    <dataValidation type="list" allowBlank="1" showErrorMessage="1" errorStyle="stop" errorTitle="Valor fora da lista" error="Cadastre o responsável na aba Listas." sqref="E4:E303">
      <formula1>OFFSET(lst_responsavel,0,0,MAX(1,COUNTA(lst_responsavel)),1)</formula1>
    </dataValidation>
    <dataValidation type="date" allowBlank="1" showErrorMessage="1" errorStyle="stop" errorTitle="Data inválida" error="Digite uma data válida no formato dd/mm/aaaa." sqref="F4:F303">
      <formula1>32874</formula1>
      <formula2>73050</formula2>
    </dataValidation>
    <dataValidation type="date" allowBlank="1" showErrorMessage="1" errorStyle="stop" errorTitle="Data inválida" error="Digite uma data válida no formato dd/mm/aaaa." sqref="G4:G303">
      <formula1>32874</formula1>
      <formula2>73050</formula2>
    </dataValidation>
    <dataValidation type="decimal" operator="greaterThanOrEqual" allowBlank="1" showErrorMessage="1" errorStyle="stop" errorTitle="Valor inválido" error="Informe um número maior ou igual a zero." sqref="I4:I303">
      <formula1>0</formula1>
    </dataValidation>
    <dataValidation type="list" allowBlank="1" showErrorMessage="1" errorStyle="stop" errorTitle="Valor fora da lista" error="Escolha um item da lista suspensa (aba Listas)." sqref="J4:J303">
      <formula1>OFFSET(lst_status_acao,0,0,MAX(1,COUNTA(lst_status_acao)),1)</formula1>
    </dataValidation>
    <dataValidation type="decimal" allowBlank="1" showErrorMessage="1" errorStyle="stop" errorTitle="Percentual inválido" error="Informe um percentual entre 0% e 100%." sqref="K4:K303">
      <formula1>0</formula1>
      <formula2>1</formula2>
    </dataValidation>
  </dataValidations>
  <printOptions horizontalCentered="1"/>
  <pageMargins left="0.45" right="0.45" top="0.75" bottom="0.85" header="0.3" footer="0.3"/>
  <pageSetup paperSize="9" orientation="landscape" pageOrder="overThenDown" fitToWidth="1" fitToHeight="0"/>
  <headerFooter>
    <oddHeader>&amp;L&amp;"Arial,Regular"&amp;7&amp;K4A5668&amp;F  ·  &amp;A&amp;C&amp;"Arial,Regular"&amp;7&amp;K4A5668PCM Direto  ·  PCMD-K07&amp;R&amp;"Arial,Regular"&amp;7&amp;K4A5668Impresso em &amp;D  ·  Pág. &amp;P de &amp;N</oddHeader>
    <oddFooter>&amp;L&amp;"Arial,Regular"&amp;7&amp;K4A5668O material apoia a organização do PCM e não substitui a avaliação de profissional habilitado nem o texto oficial das normas. As periodicidades são base genérica e devem ser confirmadas com o manual do fabricante.</oddFooter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P304"/>
  <sheetViews>
    <sheetView workbookViewId="0" showGridLines="0" zoomScale="100" zoomScaleNormal="100">
      <pane xSplit="4" ySplit="4" topLeftCell="E5" activePane="bottomRight" state="frozen"/>
      <selection pane="bottomRight" activeCell="E5" sqref="E5"/>
    </sheetView>
  </sheetViews>
  <sheetFormatPr defaultRowHeight="15" outlineLevelRow="0" outlineLevelCol="0" x14ac:dyDescent="55"/>
  <cols>
    <col min="1" max="1" width="7" customWidth="1"/>
    <col min="2" max="2" width="36" customWidth="1"/>
    <col min="3" max="3" width="20" customWidth="1"/>
    <col min="4" max="4" width="16" customWidth="1"/>
    <col min="5" max="16" width="6.5" customWidth="1"/>
  </cols>
  <sheetData>
    <row r="1" ht="36" customHeight="1" spans="1:16" x14ac:dyDescent="0.25">
      <c r="A1" s="1"/>
      <c r="B1" s="1"/>
      <c r="C1" s="2" t="s">
        <v>90</v>
      </c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3">
        <f>"Rev. "&amp;IF(cfg_revisao="","—",cfg_revisao)&amp;IF(ISNUMBER(cfg_data_revisao),"  ·  "&amp;RIGHT("0"&amp;DAY(cfg_data_revisao),2)&amp;"/"&amp;RIGHT("0"&amp;MONTH(cfg_data_revisao),2)&amp;"/"&amp;YEAR(cfg_data_revisao),"")</f>
      </c>
    </row>
    <row r="2" ht="36" customHeight="1" spans="1:16" x14ac:dyDescent="0.25">
      <c r="A2" s="1"/>
      <c r="B2" s="1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4">
        <f>"Elaborado: "&amp;IF(cfg_elaborado="","A definir",cfg_elaborado)&amp;CHAR(10)&amp;"Aprovado: "&amp;IF(cfg_aprovado="","A definir",cfg_aprovado)</f>
      </c>
    </row>
    <row r="3" ht="24" customHeight="1" spans="1:16" x14ac:dyDescent="0.25">
      <c r="A3" s="8" t="s">
        <v>76</v>
      </c>
      <c r="B3" s="8" t="s">
        <v>91</v>
      </c>
      <c r="C3" s="8" t="s">
        <v>57</v>
      </c>
      <c r="D3" s="8" t="s">
        <v>92</v>
      </c>
      <c r="E3" s="8" t="s">
        <v>60</v>
      </c>
      <c r="F3" s="8" t="s">
        <v>62</v>
      </c>
      <c r="G3" s="8" t="s">
        <v>64</v>
      </c>
      <c r="H3" s="8" t="s">
        <v>66</v>
      </c>
      <c r="I3" s="8" t="s">
        <v>67</v>
      </c>
      <c r="J3" s="8" t="s">
        <v>68</v>
      </c>
      <c r="K3" s="8" t="s">
        <v>69</v>
      </c>
      <c r="L3" s="8" t="s">
        <v>70</v>
      </c>
      <c r="M3" s="8" t="s">
        <v>71</v>
      </c>
      <c r="N3" s="8" t="s">
        <v>72</v>
      </c>
      <c r="O3" s="8" t="s">
        <v>73</v>
      </c>
      <c r="P3" s="8" t="s">
        <v>74</v>
      </c>
    </row>
    <row r="4" spans="1:16" x14ac:dyDescent="0.25">
      <c r="A4" s="38">
        <f>"Ações ativas no mês · ano "&amp;ano_ref</f>
      </c>
      <c r="B4" s="38"/>
      <c r="C4" s="38"/>
      <c r="D4" s="38"/>
      <c r="E4" s="39">
        <f>COUNTIF(E5:E304,1)</f>
      </c>
      <c r="F4" s="39">
        <f>COUNTIF(F5:F304,1)</f>
      </c>
      <c r="G4" s="39">
        <f>COUNTIF(G5:G304,1)</f>
      </c>
      <c r="H4" s="39">
        <f>COUNTIF(H5:H304,1)</f>
      </c>
      <c r="I4" s="39">
        <f>COUNTIF(I5:I304,1)</f>
      </c>
      <c r="J4" s="39">
        <f>COUNTIF(J5:J304,1)</f>
      </c>
      <c r="K4" s="39">
        <f>COUNTIF(K5:K304,1)</f>
      </c>
      <c r="L4" s="39">
        <f>COUNTIF(L5:L304,1)</f>
      </c>
      <c r="M4" s="39">
        <f>COUNTIF(M5:M304,1)</f>
      </c>
      <c r="N4" s="39">
        <f>COUNTIF(N5:N304,1)</f>
      </c>
      <c r="O4" s="39">
        <f>COUNTIF(O5:O304,1)</f>
      </c>
      <c r="P4" s="39">
        <f>COUNTIF(P5:P304,1)</f>
      </c>
    </row>
    <row r="5" spans="1:16" x14ac:dyDescent="0.25">
      <c r="A5" s="40">
        <f>IF('Plano de Ação'!$B4&lt;&gt;"",'Plano de Ação'!A4&amp;"","")</f>
      </c>
      <c r="B5" s="25">
        <f>IF('Plano de Ação'!$B4&lt;&gt;"",'Plano de Ação'!B4,"")</f>
      </c>
      <c r="C5" s="25">
        <f>IF('Plano de Ação'!$B4&lt;&gt;"",'Plano de Ação'!E4&amp;"","")</f>
      </c>
      <c r="D5" s="40">
        <f>IF('Plano de Ação'!$B4&lt;&gt;"",'Plano de Ação'!L4,"")</f>
      </c>
      <c r="E5" s="41">
        <f>IF(OR(NOT('Plano de Ação'!$B4&lt;&gt;""),NOT(ISNUMBER('Plano de Ação'!$F4)),NOT(ISNUMBER('Plano de Ação'!$G4)),'Plano de Ação'!$J4="Cancelada"),0,IF(AND('Plano de Ação'!$F4&lt;=EOMONTH(DATE(ano_ref,1,1),0),'Plano de Ação'!$G4&gt;=DATE(ano_ref,1,1)),1,0))</f>
      </c>
      <c r="F5" s="41">
        <f>IF(OR(NOT('Plano de Ação'!$B4&lt;&gt;""),NOT(ISNUMBER('Plano de Ação'!$F4)),NOT(ISNUMBER('Plano de Ação'!$G4)),'Plano de Ação'!$J4="Cancelada"),0,IF(AND('Plano de Ação'!$F4&lt;=EOMONTH(DATE(ano_ref,2,1),0),'Plano de Ação'!$G4&gt;=DATE(ano_ref,2,1)),1,0))</f>
      </c>
      <c r="G5" s="41">
        <f>IF(OR(NOT('Plano de Ação'!$B4&lt;&gt;""),NOT(ISNUMBER('Plano de Ação'!$F4)),NOT(ISNUMBER('Plano de Ação'!$G4)),'Plano de Ação'!$J4="Cancelada"),0,IF(AND('Plano de Ação'!$F4&lt;=EOMONTH(DATE(ano_ref,3,1),0),'Plano de Ação'!$G4&gt;=DATE(ano_ref,3,1)),1,0))</f>
      </c>
      <c r="H5" s="41">
        <f>IF(OR(NOT('Plano de Ação'!$B4&lt;&gt;""),NOT(ISNUMBER('Plano de Ação'!$F4)),NOT(ISNUMBER('Plano de Ação'!$G4)),'Plano de Ação'!$J4="Cancelada"),0,IF(AND('Plano de Ação'!$F4&lt;=EOMONTH(DATE(ano_ref,4,1),0),'Plano de Ação'!$G4&gt;=DATE(ano_ref,4,1)),1,0))</f>
      </c>
      <c r="I5" s="41">
        <f>IF(OR(NOT('Plano de Ação'!$B4&lt;&gt;""),NOT(ISNUMBER('Plano de Ação'!$F4)),NOT(ISNUMBER('Plano de Ação'!$G4)),'Plano de Ação'!$J4="Cancelada"),0,IF(AND('Plano de Ação'!$F4&lt;=EOMONTH(DATE(ano_ref,5,1),0),'Plano de Ação'!$G4&gt;=DATE(ano_ref,5,1)),1,0))</f>
      </c>
      <c r="J5" s="41">
        <f>IF(OR(NOT('Plano de Ação'!$B4&lt;&gt;""),NOT(ISNUMBER('Plano de Ação'!$F4)),NOT(ISNUMBER('Plano de Ação'!$G4)),'Plano de Ação'!$J4="Cancelada"),0,IF(AND('Plano de Ação'!$F4&lt;=EOMONTH(DATE(ano_ref,6,1),0),'Plano de Ação'!$G4&gt;=DATE(ano_ref,6,1)),1,0))</f>
      </c>
      <c r="K5" s="41">
        <f>IF(OR(NOT('Plano de Ação'!$B4&lt;&gt;""),NOT(ISNUMBER('Plano de Ação'!$F4)),NOT(ISNUMBER('Plano de Ação'!$G4)),'Plano de Ação'!$J4="Cancelada"),0,IF(AND('Plano de Ação'!$F4&lt;=EOMONTH(DATE(ano_ref,7,1),0),'Plano de Ação'!$G4&gt;=DATE(ano_ref,7,1)),1,0))</f>
      </c>
      <c r="L5" s="41">
        <f>IF(OR(NOT('Plano de Ação'!$B4&lt;&gt;""),NOT(ISNUMBER('Plano de Ação'!$F4)),NOT(ISNUMBER('Plano de Ação'!$G4)),'Plano de Ação'!$J4="Cancelada"),0,IF(AND('Plano de Ação'!$F4&lt;=EOMONTH(DATE(ano_ref,8,1),0),'Plano de Ação'!$G4&gt;=DATE(ano_ref,8,1)),1,0))</f>
      </c>
      <c r="M5" s="41">
        <f>IF(OR(NOT('Plano de Ação'!$B4&lt;&gt;""),NOT(ISNUMBER('Plano de Ação'!$F4)),NOT(ISNUMBER('Plano de Ação'!$G4)),'Plano de Ação'!$J4="Cancelada"),0,IF(AND('Plano de Ação'!$F4&lt;=EOMONTH(DATE(ano_ref,9,1),0),'Plano de Ação'!$G4&gt;=DATE(ano_ref,9,1)),1,0))</f>
      </c>
      <c r="N5" s="41">
        <f>IF(OR(NOT('Plano de Ação'!$B4&lt;&gt;""),NOT(ISNUMBER('Plano de Ação'!$F4)),NOT(ISNUMBER('Plano de Ação'!$G4)),'Plano de Ação'!$J4="Cancelada"),0,IF(AND('Plano de Ação'!$F4&lt;=EOMONTH(DATE(ano_ref,10,1),0),'Plano de Ação'!$G4&gt;=DATE(ano_ref,10,1)),1,0))</f>
      </c>
      <c r="O5" s="41">
        <f>IF(OR(NOT('Plano de Ação'!$B4&lt;&gt;""),NOT(ISNUMBER('Plano de Ação'!$F4)),NOT(ISNUMBER('Plano de Ação'!$G4)),'Plano de Ação'!$J4="Cancelada"),0,IF(AND('Plano de Ação'!$F4&lt;=EOMONTH(DATE(ano_ref,11,1),0),'Plano de Ação'!$G4&gt;=DATE(ano_ref,11,1)),1,0))</f>
      </c>
      <c r="P5" s="41">
        <f>IF(OR(NOT('Plano de Ação'!$B4&lt;&gt;""),NOT(ISNUMBER('Plano de Ação'!$F4)),NOT(ISNUMBER('Plano de Ação'!$G4)),'Plano de Ação'!$J4="Cancelada"),0,IF(AND('Plano de Ação'!$F4&lt;=EOMONTH(DATE(ano_ref,12,1),0),'Plano de Ação'!$G4&gt;=DATE(ano_ref,12,1)),1,0))</f>
      </c>
    </row>
    <row r="6" spans="1:16" x14ac:dyDescent="0.25">
      <c r="A6" s="40">
        <f>IF('Plano de Ação'!$B5&lt;&gt;"",'Plano de Ação'!A5&amp;"","")</f>
      </c>
      <c r="B6" s="25">
        <f>IF('Plano de Ação'!$B5&lt;&gt;"",'Plano de Ação'!B5,"")</f>
      </c>
      <c r="C6" s="25">
        <f>IF('Plano de Ação'!$B5&lt;&gt;"",'Plano de Ação'!E5&amp;"","")</f>
      </c>
      <c r="D6" s="40">
        <f>IF('Plano de Ação'!$B5&lt;&gt;"",'Plano de Ação'!L5,"")</f>
      </c>
      <c r="E6" s="41">
        <f>IF(OR(NOT('Plano de Ação'!$B5&lt;&gt;""),NOT(ISNUMBER('Plano de Ação'!$F5)),NOT(ISNUMBER('Plano de Ação'!$G5)),'Plano de Ação'!$J5="Cancelada"),0,IF(AND('Plano de Ação'!$F5&lt;=EOMONTH(DATE(ano_ref,1,1),0),'Plano de Ação'!$G5&gt;=DATE(ano_ref,1,1)),1,0))</f>
      </c>
      <c r="F6" s="41">
        <f>IF(OR(NOT('Plano de Ação'!$B5&lt;&gt;""),NOT(ISNUMBER('Plano de Ação'!$F5)),NOT(ISNUMBER('Plano de Ação'!$G5)),'Plano de Ação'!$J5="Cancelada"),0,IF(AND('Plano de Ação'!$F5&lt;=EOMONTH(DATE(ano_ref,2,1),0),'Plano de Ação'!$G5&gt;=DATE(ano_ref,2,1)),1,0))</f>
      </c>
      <c r="G6" s="41">
        <f>IF(OR(NOT('Plano de Ação'!$B5&lt;&gt;""),NOT(ISNUMBER('Plano de Ação'!$F5)),NOT(ISNUMBER('Plano de Ação'!$G5)),'Plano de Ação'!$J5="Cancelada"),0,IF(AND('Plano de Ação'!$F5&lt;=EOMONTH(DATE(ano_ref,3,1),0),'Plano de Ação'!$G5&gt;=DATE(ano_ref,3,1)),1,0))</f>
      </c>
      <c r="H6" s="41">
        <f>IF(OR(NOT('Plano de Ação'!$B5&lt;&gt;""),NOT(ISNUMBER('Plano de Ação'!$F5)),NOT(ISNUMBER('Plano de Ação'!$G5)),'Plano de Ação'!$J5="Cancelada"),0,IF(AND('Plano de Ação'!$F5&lt;=EOMONTH(DATE(ano_ref,4,1),0),'Plano de Ação'!$G5&gt;=DATE(ano_ref,4,1)),1,0))</f>
      </c>
      <c r="I6" s="41">
        <f>IF(OR(NOT('Plano de Ação'!$B5&lt;&gt;""),NOT(ISNUMBER('Plano de Ação'!$F5)),NOT(ISNUMBER('Plano de Ação'!$G5)),'Plano de Ação'!$J5="Cancelada"),0,IF(AND('Plano de Ação'!$F5&lt;=EOMONTH(DATE(ano_ref,5,1),0),'Plano de Ação'!$G5&gt;=DATE(ano_ref,5,1)),1,0))</f>
      </c>
      <c r="J6" s="41">
        <f>IF(OR(NOT('Plano de Ação'!$B5&lt;&gt;""),NOT(ISNUMBER('Plano de Ação'!$F5)),NOT(ISNUMBER('Plano de Ação'!$G5)),'Plano de Ação'!$J5="Cancelada"),0,IF(AND('Plano de Ação'!$F5&lt;=EOMONTH(DATE(ano_ref,6,1),0),'Plano de Ação'!$G5&gt;=DATE(ano_ref,6,1)),1,0))</f>
      </c>
      <c r="K6" s="41">
        <f>IF(OR(NOT('Plano de Ação'!$B5&lt;&gt;""),NOT(ISNUMBER('Plano de Ação'!$F5)),NOT(ISNUMBER('Plano de Ação'!$G5)),'Plano de Ação'!$J5="Cancelada"),0,IF(AND('Plano de Ação'!$F5&lt;=EOMONTH(DATE(ano_ref,7,1),0),'Plano de Ação'!$G5&gt;=DATE(ano_ref,7,1)),1,0))</f>
      </c>
      <c r="L6" s="41">
        <f>IF(OR(NOT('Plano de Ação'!$B5&lt;&gt;""),NOT(ISNUMBER('Plano de Ação'!$F5)),NOT(ISNUMBER('Plano de Ação'!$G5)),'Plano de Ação'!$J5="Cancelada"),0,IF(AND('Plano de Ação'!$F5&lt;=EOMONTH(DATE(ano_ref,8,1),0),'Plano de Ação'!$G5&gt;=DATE(ano_ref,8,1)),1,0))</f>
      </c>
      <c r="M6" s="41">
        <f>IF(OR(NOT('Plano de Ação'!$B5&lt;&gt;""),NOT(ISNUMBER('Plano de Ação'!$F5)),NOT(ISNUMBER('Plano de Ação'!$G5)),'Plano de Ação'!$J5="Cancelada"),0,IF(AND('Plano de Ação'!$F5&lt;=EOMONTH(DATE(ano_ref,9,1),0),'Plano de Ação'!$G5&gt;=DATE(ano_ref,9,1)),1,0))</f>
      </c>
      <c r="N6" s="41">
        <f>IF(OR(NOT('Plano de Ação'!$B5&lt;&gt;""),NOT(ISNUMBER('Plano de Ação'!$F5)),NOT(ISNUMBER('Plano de Ação'!$G5)),'Plano de Ação'!$J5="Cancelada"),0,IF(AND('Plano de Ação'!$F5&lt;=EOMONTH(DATE(ano_ref,10,1),0),'Plano de Ação'!$G5&gt;=DATE(ano_ref,10,1)),1,0))</f>
      </c>
      <c r="O6" s="41">
        <f>IF(OR(NOT('Plano de Ação'!$B5&lt;&gt;""),NOT(ISNUMBER('Plano de Ação'!$F5)),NOT(ISNUMBER('Plano de Ação'!$G5)),'Plano de Ação'!$J5="Cancelada"),0,IF(AND('Plano de Ação'!$F5&lt;=EOMONTH(DATE(ano_ref,11,1),0),'Plano de Ação'!$G5&gt;=DATE(ano_ref,11,1)),1,0))</f>
      </c>
      <c r="P6" s="41">
        <f>IF(OR(NOT('Plano de Ação'!$B5&lt;&gt;""),NOT(ISNUMBER('Plano de Ação'!$F5)),NOT(ISNUMBER('Plano de Ação'!$G5)),'Plano de Ação'!$J5="Cancelada"),0,IF(AND('Plano de Ação'!$F5&lt;=EOMONTH(DATE(ano_ref,12,1),0),'Plano de Ação'!$G5&gt;=DATE(ano_ref,12,1)),1,0))</f>
      </c>
    </row>
    <row r="7" spans="1:16" x14ac:dyDescent="0.25">
      <c r="A7" s="40">
        <f>IF('Plano de Ação'!$B6&lt;&gt;"",'Plano de Ação'!A6&amp;"","")</f>
      </c>
      <c r="B7" s="25">
        <f>IF('Plano de Ação'!$B6&lt;&gt;"",'Plano de Ação'!B6,"")</f>
      </c>
      <c r="C7" s="25">
        <f>IF('Plano de Ação'!$B6&lt;&gt;"",'Plano de Ação'!E6&amp;"","")</f>
      </c>
      <c r="D7" s="40">
        <f>IF('Plano de Ação'!$B6&lt;&gt;"",'Plano de Ação'!L6,"")</f>
      </c>
      <c r="E7" s="41">
        <f>IF(OR(NOT('Plano de Ação'!$B6&lt;&gt;""),NOT(ISNUMBER('Plano de Ação'!$F6)),NOT(ISNUMBER('Plano de Ação'!$G6)),'Plano de Ação'!$J6="Cancelada"),0,IF(AND('Plano de Ação'!$F6&lt;=EOMONTH(DATE(ano_ref,1,1),0),'Plano de Ação'!$G6&gt;=DATE(ano_ref,1,1)),1,0))</f>
      </c>
      <c r="F7" s="41">
        <f>IF(OR(NOT('Plano de Ação'!$B6&lt;&gt;""),NOT(ISNUMBER('Plano de Ação'!$F6)),NOT(ISNUMBER('Plano de Ação'!$G6)),'Plano de Ação'!$J6="Cancelada"),0,IF(AND('Plano de Ação'!$F6&lt;=EOMONTH(DATE(ano_ref,2,1),0),'Plano de Ação'!$G6&gt;=DATE(ano_ref,2,1)),1,0))</f>
      </c>
      <c r="G7" s="41">
        <f>IF(OR(NOT('Plano de Ação'!$B6&lt;&gt;""),NOT(ISNUMBER('Plano de Ação'!$F6)),NOT(ISNUMBER('Plano de Ação'!$G6)),'Plano de Ação'!$J6="Cancelada"),0,IF(AND('Plano de Ação'!$F6&lt;=EOMONTH(DATE(ano_ref,3,1),0),'Plano de Ação'!$G6&gt;=DATE(ano_ref,3,1)),1,0))</f>
      </c>
      <c r="H7" s="41">
        <f>IF(OR(NOT('Plano de Ação'!$B6&lt;&gt;""),NOT(ISNUMBER('Plano de Ação'!$F6)),NOT(ISNUMBER('Plano de Ação'!$G6)),'Plano de Ação'!$J6="Cancelada"),0,IF(AND('Plano de Ação'!$F6&lt;=EOMONTH(DATE(ano_ref,4,1),0),'Plano de Ação'!$G6&gt;=DATE(ano_ref,4,1)),1,0))</f>
      </c>
      <c r="I7" s="41">
        <f>IF(OR(NOT('Plano de Ação'!$B6&lt;&gt;""),NOT(ISNUMBER('Plano de Ação'!$F6)),NOT(ISNUMBER('Plano de Ação'!$G6)),'Plano de Ação'!$J6="Cancelada"),0,IF(AND('Plano de Ação'!$F6&lt;=EOMONTH(DATE(ano_ref,5,1),0),'Plano de Ação'!$G6&gt;=DATE(ano_ref,5,1)),1,0))</f>
      </c>
      <c r="J7" s="41">
        <f>IF(OR(NOT('Plano de Ação'!$B6&lt;&gt;""),NOT(ISNUMBER('Plano de Ação'!$F6)),NOT(ISNUMBER('Plano de Ação'!$G6)),'Plano de Ação'!$J6="Cancelada"),0,IF(AND('Plano de Ação'!$F6&lt;=EOMONTH(DATE(ano_ref,6,1),0),'Plano de Ação'!$G6&gt;=DATE(ano_ref,6,1)),1,0))</f>
      </c>
      <c r="K7" s="41">
        <f>IF(OR(NOT('Plano de Ação'!$B6&lt;&gt;""),NOT(ISNUMBER('Plano de Ação'!$F6)),NOT(ISNUMBER('Plano de Ação'!$G6)),'Plano de Ação'!$J6="Cancelada"),0,IF(AND('Plano de Ação'!$F6&lt;=EOMONTH(DATE(ano_ref,7,1),0),'Plano de Ação'!$G6&gt;=DATE(ano_ref,7,1)),1,0))</f>
      </c>
      <c r="L7" s="41">
        <f>IF(OR(NOT('Plano de Ação'!$B6&lt;&gt;""),NOT(ISNUMBER('Plano de Ação'!$F6)),NOT(ISNUMBER('Plano de Ação'!$G6)),'Plano de Ação'!$J6="Cancelada"),0,IF(AND('Plano de Ação'!$F6&lt;=EOMONTH(DATE(ano_ref,8,1),0),'Plano de Ação'!$G6&gt;=DATE(ano_ref,8,1)),1,0))</f>
      </c>
      <c r="M7" s="41">
        <f>IF(OR(NOT('Plano de Ação'!$B6&lt;&gt;""),NOT(ISNUMBER('Plano de Ação'!$F6)),NOT(ISNUMBER('Plano de Ação'!$G6)),'Plano de Ação'!$J6="Cancelada"),0,IF(AND('Plano de Ação'!$F6&lt;=EOMONTH(DATE(ano_ref,9,1),0),'Plano de Ação'!$G6&gt;=DATE(ano_ref,9,1)),1,0))</f>
      </c>
      <c r="N7" s="41">
        <f>IF(OR(NOT('Plano de Ação'!$B6&lt;&gt;""),NOT(ISNUMBER('Plano de Ação'!$F6)),NOT(ISNUMBER('Plano de Ação'!$G6)),'Plano de Ação'!$J6="Cancelada"),0,IF(AND('Plano de Ação'!$F6&lt;=EOMONTH(DATE(ano_ref,10,1),0),'Plano de Ação'!$G6&gt;=DATE(ano_ref,10,1)),1,0))</f>
      </c>
      <c r="O7" s="41">
        <f>IF(OR(NOT('Plano de Ação'!$B6&lt;&gt;""),NOT(ISNUMBER('Plano de Ação'!$F6)),NOT(ISNUMBER('Plano de Ação'!$G6)),'Plano de Ação'!$J6="Cancelada"),0,IF(AND('Plano de Ação'!$F6&lt;=EOMONTH(DATE(ano_ref,11,1),0),'Plano de Ação'!$G6&gt;=DATE(ano_ref,11,1)),1,0))</f>
      </c>
      <c r="P7" s="41">
        <f>IF(OR(NOT('Plano de Ação'!$B6&lt;&gt;""),NOT(ISNUMBER('Plano de Ação'!$F6)),NOT(ISNUMBER('Plano de Ação'!$G6)),'Plano de Ação'!$J6="Cancelada"),0,IF(AND('Plano de Ação'!$F6&lt;=EOMONTH(DATE(ano_ref,12,1),0),'Plano de Ação'!$G6&gt;=DATE(ano_ref,12,1)),1,0))</f>
      </c>
    </row>
    <row r="8" spans="1:16" x14ac:dyDescent="0.25">
      <c r="A8" s="40">
        <f>IF('Plano de Ação'!$B7&lt;&gt;"",'Plano de Ação'!A7&amp;"","")</f>
      </c>
      <c r="B8" s="25">
        <f>IF('Plano de Ação'!$B7&lt;&gt;"",'Plano de Ação'!B7,"")</f>
      </c>
      <c r="C8" s="25">
        <f>IF('Plano de Ação'!$B7&lt;&gt;"",'Plano de Ação'!E7&amp;"","")</f>
      </c>
      <c r="D8" s="40">
        <f>IF('Plano de Ação'!$B7&lt;&gt;"",'Plano de Ação'!L7,"")</f>
      </c>
      <c r="E8" s="41">
        <f>IF(OR(NOT('Plano de Ação'!$B7&lt;&gt;""),NOT(ISNUMBER('Plano de Ação'!$F7)),NOT(ISNUMBER('Plano de Ação'!$G7)),'Plano de Ação'!$J7="Cancelada"),0,IF(AND('Plano de Ação'!$F7&lt;=EOMONTH(DATE(ano_ref,1,1),0),'Plano de Ação'!$G7&gt;=DATE(ano_ref,1,1)),1,0))</f>
      </c>
      <c r="F8" s="41">
        <f>IF(OR(NOT('Plano de Ação'!$B7&lt;&gt;""),NOT(ISNUMBER('Plano de Ação'!$F7)),NOT(ISNUMBER('Plano de Ação'!$G7)),'Plano de Ação'!$J7="Cancelada"),0,IF(AND('Plano de Ação'!$F7&lt;=EOMONTH(DATE(ano_ref,2,1),0),'Plano de Ação'!$G7&gt;=DATE(ano_ref,2,1)),1,0))</f>
      </c>
      <c r="G8" s="41">
        <f>IF(OR(NOT('Plano de Ação'!$B7&lt;&gt;""),NOT(ISNUMBER('Plano de Ação'!$F7)),NOT(ISNUMBER('Plano de Ação'!$G7)),'Plano de Ação'!$J7="Cancelada"),0,IF(AND('Plano de Ação'!$F7&lt;=EOMONTH(DATE(ano_ref,3,1),0),'Plano de Ação'!$G7&gt;=DATE(ano_ref,3,1)),1,0))</f>
      </c>
      <c r="H8" s="41">
        <f>IF(OR(NOT('Plano de Ação'!$B7&lt;&gt;""),NOT(ISNUMBER('Plano de Ação'!$F7)),NOT(ISNUMBER('Plano de Ação'!$G7)),'Plano de Ação'!$J7="Cancelada"),0,IF(AND('Plano de Ação'!$F7&lt;=EOMONTH(DATE(ano_ref,4,1),0),'Plano de Ação'!$G7&gt;=DATE(ano_ref,4,1)),1,0))</f>
      </c>
      <c r="I8" s="41">
        <f>IF(OR(NOT('Plano de Ação'!$B7&lt;&gt;""),NOT(ISNUMBER('Plano de Ação'!$F7)),NOT(ISNUMBER('Plano de Ação'!$G7)),'Plano de Ação'!$J7="Cancelada"),0,IF(AND('Plano de Ação'!$F7&lt;=EOMONTH(DATE(ano_ref,5,1),0),'Plano de Ação'!$G7&gt;=DATE(ano_ref,5,1)),1,0))</f>
      </c>
      <c r="J8" s="41">
        <f>IF(OR(NOT('Plano de Ação'!$B7&lt;&gt;""),NOT(ISNUMBER('Plano de Ação'!$F7)),NOT(ISNUMBER('Plano de Ação'!$G7)),'Plano de Ação'!$J7="Cancelada"),0,IF(AND('Plano de Ação'!$F7&lt;=EOMONTH(DATE(ano_ref,6,1),0),'Plano de Ação'!$G7&gt;=DATE(ano_ref,6,1)),1,0))</f>
      </c>
      <c r="K8" s="41">
        <f>IF(OR(NOT('Plano de Ação'!$B7&lt;&gt;""),NOT(ISNUMBER('Plano de Ação'!$F7)),NOT(ISNUMBER('Plano de Ação'!$G7)),'Plano de Ação'!$J7="Cancelada"),0,IF(AND('Plano de Ação'!$F7&lt;=EOMONTH(DATE(ano_ref,7,1),0),'Plano de Ação'!$G7&gt;=DATE(ano_ref,7,1)),1,0))</f>
      </c>
      <c r="L8" s="41">
        <f>IF(OR(NOT('Plano de Ação'!$B7&lt;&gt;""),NOT(ISNUMBER('Plano de Ação'!$F7)),NOT(ISNUMBER('Plano de Ação'!$G7)),'Plano de Ação'!$J7="Cancelada"),0,IF(AND('Plano de Ação'!$F7&lt;=EOMONTH(DATE(ano_ref,8,1),0),'Plano de Ação'!$G7&gt;=DATE(ano_ref,8,1)),1,0))</f>
      </c>
      <c r="M8" s="41">
        <f>IF(OR(NOT('Plano de Ação'!$B7&lt;&gt;""),NOT(ISNUMBER('Plano de Ação'!$F7)),NOT(ISNUMBER('Plano de Ação'!$G7)),'Plano de Ação'!$J7="Cancelada"),0,IF(AND('Plano de Ação'!$F7&lt;=EOMONTH(DATE(ano_ref,9,1),0),'Plano de Ação'!$G7&gt;=DATE(ano_ref,9,1)),1,0))</f>
      </c>
      <c r="N8" s="41">
        <f>IF(OR(NOT('Plano de Ação'!$B7&lt;&gt;""),NOT(ISNUMBER('Plano de Ação'!$F7)),NOT(ISNUMBER('Plano de Ação'!$G7)),'Plano de Ação'!$J7="Cancelada"),0,IF(AND('Plano de Ação'!$F7&lt;=EOMONTH(DATE(ano_ref,10,1),0),'Plano de Ação'!$G7&gt;=DATE(ano_ref,10,1)),1,0))</f>
      </c>
      <c r="O8" s="41">
        <f>IF(OR(NOT('Plano de Ação'!$B7&lt;&gt;""),NOT(ISNUMBER('Plano de Ação'!$F7)),NOT(ISNUMBER('Plano de Ação'!$G7)),'Plano de Ação'!$J7="Cancelada"),0,IF(AND('Plano de Ação'!$F7&lt;=EOMONTH(DATE(ano_ref,11,1),0),'Plano de Ação'!$G7&gt;=DATE(ano_ref,11,1)),1,0))</f>
      </c>
      <c r="P8" s="41">
        <f>IF(OR(NOT('Plano de Ação'!$B7&lt;&gt;""),NOT(ISNUMBER('Plano de Ação'!$F7)),NOT(ISNUMBER('Plano de Ação'!$G7)),'Plano de Ação'!$J7="Cancelada"),0,IF(AND('Plano de Ação'!$F7&lt;=EOMONTH(DATE(ano_ref,12,1),0),'Plano de Ação'!$G7&gt;=DATE(ano_ref,12,1)),1,0))</f>
      </c>
    </row>
    <row r="9" spans="1:16" x14ac:dyDescent="0.25">
      <c r="A9" s="40">
        <f>IF('Plano de Ação'!$B8&lt;&gt;"",'Plano de Ação'!A8&amp;"","")</f>
      </c>
      <c r="B9" s="25">
        <f>IF('Plano de Ação'!$B8&lt;&gt;"",'Plano de Ação'!B8,"")</f>
      </c>
      <c r="C9" s="25">
        <f>IF('Plano de Ação'!$B8&lt;&gt;"",'Plano de Ação'!E8&amp;"","")</f>
      </c>
      <c r="D9" s="40">
        <f>IF('Plano de Ação'!$B8&lt;&gt;"",'Plano de Ação'!L8,"")</f>
      </c>
      <c r="E9" s="41">
        <f>IF(OR(NOT('Plano de Ação'!$B8&lt;&gt;""),NOT(ISNUMBER('Plano de Ação'!$F8)),NOT(ISNUMBER('Plano de Ação'!$G8)),'Plano de Ação'!$J8="Cancelada"),0,IF(AND('Plano de Ação'!$F8&lt;=EOMONTH(DATE(ano_ref,1,1),0),'Plano de Ação'!$G8&gt;=DATE(ano_ref,1,1)),1,0))</f>
      </c>
      <c r="F9" s="41">
        <f>IF(OR(NOT('Plano de Ação'!$B8&lt;&gt;""),NOT(ISNUMBER('Plano de Ação'!$F8)),NOT(ISNUMBER('Plano de Ação'!$G8)),'Plano de Ação'!$J8="Cancelada"),0,IF(AND('Plano de Ação'!$F8&lt;=EOMONTH(DATE(ano_ref,2,1),0),'Plano de Ação'!$G8&gt;=DATE(ano_ref,2,1)),1,0))</f>
      </c>
      <c r="G9" s="41">
        <f>IF(OR(NOT('Plano de Ação'!$B8&lt;&gt;""),NOT(ISNUMBER('Plano de Ação'!$F8)),NOT(ISNUMBER('Plano de Ação'!$G8)),'Plano de Ação'!$J8="Cancelada"),0,IF(AND('Plano de Ação'!$F8&lt;=EOMONTH(DATE(ano_ref,3,1),0),'Plano de Ação'!$G8&gt;=DATE(ano_ref,3,1)),1,0))</f>
      </c>
      <c r="H9" s="41">
        <f>IF(OR(NOT('Plano de Ação'!$B8&lt;&gt;""),NOT(ISNUMBER('Plano de Ação'!$F8)),NOT(ISNUMBER('Plano de Ação'!$G8)),'Plano de Ação'!$J8="Cancelada"),0,IF(AND('Plano de Ação'!$F8&lt;=EOMONTH(DATE(ano_ref,4,1),0),'Plano de Ação'!$G8&gt;=DATE(ano_ref,4,1)),1,0))</f>
      </c>
      <c r="I9" s="41">
        <f>IF(OR(NOT('Plano de Ação'!$B8&lt;&gt;""),NOT(ISNUMBER('Plano de Ação'!$F8)),NOT(ISNUMBER('Plano de Ação'!$G8)),'Plano de Ação'!$J8="Cancelada"),0,IF(AND('Plano de Ação'!$F8&lt;=EOMONTH(DATE(ano_ref,5,1),0),'Plano de Ação'!$G8&gt;=DATE(ano_ref,5,1)),1,0))</f>
      </c>
      <c r="J9" s="41">
        <f>IF(OR(NOT('Plano de Ação'!$B8&lt;&gt;""),NOT(ISNUMBER('Plano de Ação'!$F8)),NOT(ISNUMBER('Plano de Ação'!$G8)),'Plano de Ação'!$J8="Cancelada"),0,IF(AND('Plano de Ação'!$F8&lt;=EOMONTH(DATE(ano_ref,6,1),0),'Plano de Ação'!$G8&gt;=DATE(ano_ref,6,1)),1,0))</f>
      </c>
      <c r="K9" s="41">
        <f>IF(OR(NOT('Plano de Ação'!$B8&lt;&gt;""),NOT(ISNUMBER('Plano de Ação'!$F8)),NOT(ISNUMBER('Plano de Ação'!$G8)),'Plano de Ação'!$J8="Cancelada"),0,IF(AND('Plano de Ação'!$F8&lt;=EOMONTH(DATE(ano_ref,7,1),0),'Plano de Ação'!$G8&gt;=DATE(ano_ref,7,1)),1,0))</f>
      </c>
      <c r="L9" s="41">
        <f>IF(OR(NOT('Plano de Ação'!$B8&lt;&gt;""),NOT(ISNUMBER('Plano de Ação'!$F8)),NOT(ISNUMBER('Plano de Ação'!$G8)),'Plano de Ação'!$J8="Cancelada"),0,IF(AND('Plano de Ação'!$F8&lt;=EOMONTH(DATE(ano_ref,8,1),0),'Plano de Ação'!$G8&gt;=DATE(ano_ref,8,1)),1,0))</f>
      </c>
      <c r="M9" s="41">
        <f>IF(OR(NOT('Plano de Ação'!$B8&lt;&gt;""),NOT(ISNUMBER('Plano de Ação'!$F8)),NOT(ISNUMBER('Plano de Ação'!$G8)),'Plano de Ação'!$J8="Cancelada"),0,IF(AND('Plano de Ação'!$F8&lt;=EOMONTH(DATE(ano_ref,9,1),0),'Plano de Ação'!$G8&gt;=DATE(ano_ref,9,1)),1,0))</f>
      </c>
      <c r="N9" s="41">
        <f>IF(OR(NOT('Plano de Ação'!$B8&lt;&gt;""),NOT(ISNUMBER('Plano de Ação'!$F8)),NOT(ISNUMBER('Plano de Ação'!$G8)),'Plano de Ação'!$J8="Cancelada"),0,IF(AND('Plano de Ação'!$F8&lt;=EOMONTH(DATE(ano_ref,10,1),0),'Plano de Ação'!$G8&gt;=DATE(ano_ref,10,1)),1,0))</f>
      </c>
      <c r="O9" s="41">
        <f>IF(OR(NOT('Plano de Ação'!$B8&lt;&gt;""),NOT(ISNUMBER('Plano de Ação'!$F8)),NOT(ISNUMBER('Plano de Ação'!$G8)),'Plano de Ação'!$J8="Cancelada"),0,IF(AND('Plano de Ação'!$F8&lt;=EOMONTH(DATE(ano_ref,11,1),0),'Plano de Ação'!$G8&gt;=DATE(ano_ref,11,1)),1,0))</f>
      </c>
      <c r="P9" s="41">
        <f>IF(OR(NOT('Plano de Ação'!$B8&lt;&gt;""),NOT(ISNUMBER('Plano de Ação'!$F8)),NOT(ISNUMBER('Plano de Ação'!$G8)),'Plano de Ação'!$J8="Cancelada"),0,IF(AND('Plano de Ação'!$F8&lt;=EOMONTH(DATE(ano_ref,12,1),0),'Plano de Ação'!$G8&gt;=DATE(ano_ref,12,1)),1,0))</f>
      </c>
    </row>
    <row r="10" spans="1:16" x14ac:dyDescent="0.25">
      <c r="A10" s="40">
        <f>IF('Plano de Ação'!$B9&lt;&gt;"",'Plano de Ação'!A9&amp;"","")</f>
      </c>
      <c r="B10" s="25">
        <f>IF('Plano de Ação'!$B9&lt;&gt;"",'Plano de Ação'!B9,"")</f>
      </c>
      <c r="C10" s="25">
        <f>IF('Plano de Ação'!$B9&lt;&gt;"",'Plano de Ação'!E9&amp;"","")</f>
      </c>
      <c r="D10" s="40">
        <f>IF('Plano de Ação'!$B9&lt;&gt;"",'Plano de Ação'!L9,"")</f>
      </c>
      <c r="E10" s="41">
        <f>IF(OR(NOT('Plano de Ação'!$B9&lt;&gt;""),NOT(ISNUMBER('Plano de Ação'!$F9)),NOT(ISNUMBER('Plano de Ação'!$G9)),'Plano de Ação'!$J9="Cancelada"),0,IF(AND('Plano de Ação'!$F9&lt;=EOMONTH(DATE(ano_ref,1,1),0),'Plano de Ação'!$G9&gt;=DATE(ano_ref,1,1)),1,0))</f>
      </c>
      <c r="F10" s="41">
        <f>IF(OR(NOT('Plano de Ação'!$B9&lt;&gt;""),NOT(ISNUMBER('Plano de Ação'!$F9)),NOT(ISNUMBER('Plano de Ação'!$G9)),'Plano de Ação'!$J9="Cancelada"),0,IF(AND('Plano de Ação'!$F9&lt;=EOMONTH(DATE(ano_ref,2,1),0),'Plano de Ação'!$G9&gt;=DATE(ano_ref,2,1)),1,0))</f>
      </c>
      <c r="G10" s="41">
        <f>IF(OR(NOT('Plano de Ação'!$B9&lt;&gt;""),NOT(ISNUMBER('Plano de Ação'!$F9)),NOT(ISNUMBER('Plano de Ação'!$G9)),'Plano de Ação'!$J9="Cancelada"),0,IF(AND('Plano de Ação'!$F9&lt;=EOMONTH(DATE(ano_ref,3,1),0),'Plano de Ação'!$G9&gt;=DATE(ano_ref,3,1)),1,0))</f>
      </c>
      <c r="H10" s="41">
        <f>IF(OR(NOT('Plano de Ação'!$B9&lt;&gt;""),NOT(ISNUMBER('Plano de Ação'!$F9)),NOT(ISNUMBER('Plano de Ação'!$G9)),'Plano de Ação'!$J9="Cancelada"),0,IF(AND('Plano de Ação'!$F9&lt;=EOMONTH(DATE(ano_ref,4,1),0),'Plano de Ação'!$G9&gt;=DATE(ano_ref,4,1)),1,0))</f>
      </c>
      <c r="I10" s="41">
        <f>IF(OR(NOT('Plano de Ação'!$B9&lt;&gt;""),NOT(ISNUMBER('Plano de Ação'!$F9)),NOT(ISNUMBER('Plano de Ação'!$G9)),'Plano de Ação'!$J9="Cancelada"),0,IF(AND('Plano de Ação'!$F9&lt;=EOMONTH(DATE(ano_ref,5,1),0),'Plano de Ação'!$G9&gt;=DATE(ano_ref,5,1)),1,0))</f>
      </c>
      <c r="J10" s="41">
        <f>IF(OR(NOT('Plano de Ação'!$B9&lt;&gt;""),NOT(ISNUMBER('Plano de Ação'!$F9)),NOT(ISNUMBER('Plano de Ação'!$G9)),'Plano de Ação'!$J9="Cancelada"),0,IF(AND('Plano de Ação'!$F9&lt;=EOMONTH(DATE(ano_ref,6,1),0),'Plano de Ação'!$G9&gt;=DATE(ano_ref,6,1)),1,0))</f>
      </c>
      <c r="K10" s="41">
        <f>IF(OR(NOT('Plano de Ação'!$B9&lt;&gt;""),NOT(ISNUMBER('Plano de Ação'!$F9)),NOT(ISNUMBER('Plano de Ação'!$G9)),'Plano de Ação'!$J9="Cancelada"),0,IF(AND('Plano de Ação'!$F9&lt;=EOMONTH(DATE(ano_ref,7,1),0),'Plano de Ação'!$G9&gt;=DATE(ano_ref,7,1)),1,0))</f>
      </c>
      <c r="L10" s="41">
        <f>IF(OR(NOT('Plano de Ação'!$B9&lt;&gt;""),NOT(ISNUMBER('Plano de Ação'!$F9)),NOT(ISNUMBER('Plano de Ação'!$G9)),'Plano de Ação'!$J9="Cancelada"),0,IF(AND('Plano de Ação'!$F9&lt;=EOMONTH(DATE(ano_ref,8,1),0),'Plano de Ação'!$G9&gt;=DATE(ano_ref,8,1)),1,0))</f>
      </c>
      <c r="M10" s="41">
        <f>IF(OR(NOT('Plano de Ação'!$B9&lt;&gt;""),NOT(ISNUMBER('Plano de Ação'!$F9)),NOT(ISNUMBER('Plano de Ação'!$G9)),'Plano de Ação'!$J9="Cancelada"),0,IF(AND('Plano de Ação'!$F9&lt;=EOMONTH(DATE(ano_ref,9,1),0),'Plano de Ação'!$G9&gt;=DATE(ano_ref,9,1)),1,0))</f>
      </c>
      <c r="N10" s="41">
        <f>IF(OR(NOT('Plano de Ação'!$B9&lt;&gt;""),NOT(ISNUMBER('Plano de Ação'!$F9)),NOT(ISNUMBER('Plano de Ação'!$G9)),'Plano de Ação'!$J9="Cancelada"),0,IF(AND('Plano de Ação'!$F9&lt;=EOMONTH(DATE(ano_ref,10,1),0),'Plano de Ação'!$G9&gt;=DATE(ano_ref,10,1)),1,0))</f>
      </c>
      <c r="O10" s="41">
        <f>IF(OR(NOT('Plano de Ação'!$B9&lt;&gt;""),NOT(ISNUMBER('Plano de Ação'!$F9)),NOT(ISNUMBER('Plano de Ação'!$G9)),'Plano de Ação'!$J9="Cancelada"),0,IF(AND('Plano de Ação'!$F9&lt;=EOMONTH(DATE(ano_ref,11,1),0),'Plano de Ação'!$G9&gt;=DATE(ano_ref,11,1)),1,0))</f>
      </c>
      <c r="P10" s="41">
        <f>IF(OR(NOT('Plano de Ação'!$B9&lt;&gt;""),NOT(ISNUMBER('Plano de Ação'!$F9)),NOT(ISNUMBER('Plano de Ação'!$G9)),'Plano de Ação'!$J9="Cancelada"),0,IF(AND('Plano de Ação'!$F9&lt;=EOMONTH(DATE(ano_ref,12,1),0),'Plano de Ação'!$G9&gt;=DATE(ano_ref,12,1)),1,0))</f>
      </c>
    </row>
    <row r="11" spans="1:16" x14ac:dyDescent="0.25">
      <c r="A11" s="40">
        <f>IF('Plano de Ação'!$B10&lt;&gt;"",'Plano de Ação'!A10&amp;"","")</f>
      </c>
      <c r="B11" s="25">
        <f>IF('Plano de Ação'!$B10&lt;&gt;"",'Plano de Ação'!B10,"")</f>
      </c>
      <c r="C11" s="25">
        <f>IF('Plano de Ação'!$B10&lt;&gt;"",'Plano de Ação'!E10&amp;"","")</f>
      </c>
      <c r="D11" s="40">
        <f>IF('Plano de Ação'!$B10&lt;&gt;"",'Plano de Ação'!L10,"")</f>
      </c>
      <c r="E11" s="41">
        <f>IF(OR(NOT('Plano de Ação'!$B10&lt;&gt;""),NOT(ISNUMBER('Plano de Ação'!$F10)),NOT(ISNUMBER('Plano de Ação'!$G10)),'Plano de Ação'!$J10="Cancelada"),0,IF(AND('Plano de Ação'!$F10&lt;=EOMONTH(DATE(ano_ref,1,1),0),'Plano de Ação'!$G10&gt;=DATE(ano_ref,1,1)),1,0))</f>
      </c>
      <c r="F11" s="41">
        <f>IF(OR(NOT('Plano de Ação'!$B10&lt;&gt;""),NOT(ISNUMBER('Plano de Ação'!$F10)),NOT(ISNUMBER('Plano de Ação'!$G10)),'Plano de Ação'!$J10="Cancelada"),0,IF(AND('Plano de Ação'!$F10&lt;=EOMONTH(DATE(ano_ref,2,1),0),'Plano de Ação'!$G10&gt;=DATE(ano_ref,2,1)),1,0))</f>
      </c>
      <c r="G11" s="41">
        <f>IF(OR(NOT('Plano de Ação'!$B10&lt;&gt;""),NOT(ISNUMBER('Plano de Ação'!$F10)),NOT(ISNUMBER('Plano de Ação'!$G10)),'Plano de Ação'!$J10="Cancelada"),0,IF(AND('Plano de Ação'!$F10&lt;=EOMONTH(DATE(ano_ref,3,1),0),'Plano de Ação'!$G10&gt;=DATE(ano_ref,3,1)),1,0))</f>
      </c>
      <c r="H11" s="41">
        <f>IF(OR(NOT('Plano de Ação'!$B10&lt;&gt;""),NOT(ISNUMBER('Plano de Ação'!$F10)),NOT(ISNUMBER('Plano de Ação'!$G10)),'Plano de Ação'!$J10="Cancelada"),0,IF(AND('Plano de Ação'!$F10&lt;=EOMONTH(DATE(ano_ref,4,1),0),'Plano de Ação'!$G10&gt;=DATE(ano_ref,4,1)),1,0))</f>
      </c>
      <c r="I11" s="41">
        <f>IF(OR(NOT('Plano de Ação'!$B10&lt;&gt;""),NOT(ISNUMBER('Plano de Ação'!$F10)),NOT(ISNUMBER('Plano de Ação'!$G10)),'Plano de Ação'!$J10="Cancelada"),0,IF(AND('Plano de Ação'!$F10&lt;=EOMONTH(DATE(ano_ref,5,1),0),'Plano de Ação'!$G10&gt;=DATE(ano_ref,5,1)),1,0))</f>
      </c>
      <c r="J11" s="41">
        <f>IF(OR(NOT('Plano de Ação'!$B10&lt;&gt;""),NOT(ISNUMBER('Plano de Ação'!$F10)),NOT(ISNUMBER('Plano de Ação'!$G10)),'Plano de Ação'!$J10="Cancelada"),0,IF(AND('Plano de Ação'!$F10&lt;=EOMONTH(DATE(ano_ref,6,1),0),'Plano de Ação'!$G10&gt;=DATE(ano_ref,6,1)),1,0))</f>
      </c>
      <c r="K11" s="41">
        <f>IF(OR(NOT('Plano de Ação'!$B10&lt;&gt;""),NOT(ISNUMBER('Plano de Ação'!$F10)),NOT(ISNUMBER('Plano de Ação'!$G10)),'Plano de Ação'!$J10="Cancelada"),0,IF(AND('Plano de Ação'!$F10&lt;=EOMONTH(DATE(ano_ref,7,1),0),'Plano de Ação'!$G10&gt;=DATE(ano_ref,7,1)),1,0))</f>
      </c>
      <c r="L11" s="41">
        <f>IF(OR(NOT('Plano de Ação'!$B10&lt;&gt;""),NOT(ISNUMBER('Plano de Ação'!$F10)),NOT(ISNUMBER('Plano de Ação'!$G10)),'Plano de Ação'!$J10="Cancelada"),0,IF(AND('Plano de Ação'!$F10&lt;=EOMONTH(DATE(ano_ref,8,1),0),'Plano de Ação'!$G10&gt;=DATE(ano_ref,8,1)),1,0))</f>
      </c>
      <c r="M11" s="41">
        <f>IF(OR(NOT('Plano de Ação'!$B10&lt;&gt;""),NOT(ISNUMBER('Plano de Ação'!$F10)),NOT(ISNUMBER('Plano de Ação'!$G10)),'Plano de Ação'!$J10="Cancelada"),0,IF(AND('Plano de Ação'!$F10&lt;=EOMONTH(DATE(ano_ref,9,1),0),'Plano de Ação'!$G10&gt;=DATE(ano_ref,9,1)),1,0))</f>
      </c>
      <c r="N11" s="41">
        <f>IF(OR(NOT('Plano de Ação'!$B10&lt;&gt;""),NOT(ISNUMBER('Plano de Ação'!$F10)),NOT(ISNUMBER('Plano de Ação'!$G10)),'Plano de Ação'!$J10="Cancelada"),0,IF(AND('Plano de Ação'!$F10&lt;=EOMONTH(DATE(ano_ref,10,1),0),'Plano de Ação'!$G10&gt;=DATE(ano_ref,10,1)),1,0))</f>
      </c>
      <c r="O11" s="41">
        <f>IF(OR(NOT('Plano de Ação'!$B10&lt;&gt;""),NOT(ISNUMBER('Plano de Ação'!$F10)),NOT(ISNUMBER('Plano de Ação'!$G10)),'Plano de Ação'!$J10="Cancelada"),0,IF(AND('Plano de Ação'!$F10&lt;=EOMONTH(DATE(ano_ref,11,1),0),'Plano de Ação'!$G10&gt;=DATE(ano_ref,11,1)),1,0))</f>
      </c>
      <c r="P11" s="41">
        <f>IF(OR(NOT('Plano de Ação'!$B10&lt;&gt;""),NOT(ISNUMBER('Plano de Ação'!$F10)),NOT(ISNUMBER('Plano de Ação'!$G10)),'Plano de Ação'!$J10="Cancelada"),0,IF(AND('Plano de Ação'!$F10&lt;=EOMONTH(DATE(ano_ref,12,1),0),'Plano de Ação'!$G10&gt;=DATE(ano_ref,12,1)),1,0))</f>
      </c>
    </row>
    <row r="12" spans="1:16" x14ac:dyDescent="0.25">
      <c r="A12" s="40">
        <f>IF('Plano de Ação'!$B11&lt;&gt;"",'Plano de Ação'!A11&amp;"","")</f>
      </c>
      <c r="B12" s="25">
        <f>IF('Plano de Ação'!$B11&lt;&gt;"",'Plano de Ação'!B11,"")</f>
      </c>
      <c r="C12" s="25">
        <f>IF('Plano de Ação'!$B11&lt;&gt;"",'Plano de Ação'!E11&amp;"","")</f>
      </c>
      <c r="D12" s="40">
        <f>IF('Plano de Ação'!$B11&lt;&gt;"",'Plano de Ação'!L11,"")</f>
      </c>
      <c r="E12" s="41">
        <f>IF(OR(NOT('Plano de Ação'!$B11&lt;&gt;""),NOT(ISNUMBER('Plano de Ação'!$F11)),NOT(ISNUMBER('Plano de Ação'!$G11)),'Plano de Ação'!$J11="Cancelada"),0,IF(AND('Plano de Ação'!$F11&lt;=EOMONTH(DATE(ano_ref,1,1),0),'Plano de Ação'!$G11&gt;=DATE(ano_ref,1,1)),1,0))</f>
      </c>
      <c r="F12" s="41">
        <f>IF(OR(NOT('Plano de Ação'!$B11&lt;&gt;""),NOT(ISNUMBER('Plano de Ação'!$F11)),NOT(ISNUMBER('Plano de Ação'!$G11)),'Plano de Ação'!$J11="Cancelada"),0,IF(AND('Plano de Ação'!$F11&lt;=EOMONTH(DATE(ano_ref,2,1),0),'Plano de Ação'!$G11&gt;=DATE(ano_ref,2,1)),1,0))</f>
      </c>
      <c r="G12" s="41">
        <f>IF(OR(NOT('Plano de Ação'!$B11&lt;&gt;""),NOT(ISNUMBER('Plano de Ação'!$F11)),NOT(ISNUMBER('Plano de Ação'!$G11)),'Plano de Ação'!$J11="Cancelada"),0,IF(AND('Plano de Ação'!$F11&lt;=EOMONTH(DATE(ano_ref,3,1),0),'Plano de Ação'!$G11&gt;=DATE(ano_ref,3,1)),1,0))</f>
      </c>
      <c r="H12" s="41">
        <f>IF(OR(NOT('Plano de Ação'!$B11&lt;&gt;""),NOT(ISNUMBER('Plano de Ação'!$F11)),NOT(ISNUMBER('Plano de Ação'!$G11)),'Plano de Ação'!$J11="Cancelada"),0,IF(AND('Plano de Ação'!$F11&lt;=EOMONTH(DATE(ano_ref,4,1),0),'Plano de Ação'!$G11&gt;=DATE(ano_ref,4,1)),1,0))</f>
      </c>
      <c r="I12" s="41">
        <f>IF(OR(NOT('Plano de Ação'!$B11&lt;&gt;""),NOT(ISNUMBER('Plano de Ação'!$F11)),NOT(ISNUMBER('Plano de Ação'!$G11)),'Plano de Ação'!$J11="Cancelada"),0,IF(AND('Plano de Ação'!$F11&lt;=EOMONTH(DATE(ano_ref,5,1),0),'Plano de Ação'!$G11&gt;=DATE(ano_ref,5,1)),1,0))</f>
      </c>
      <c r="J12" s="41">
        <f>IF(OR(NOT('Plano de Ação'!$B11&lt;&gt;""),NOT(ISNUMBER('Plano de Ação'!$F11)),NOT(ISNUMBER('Plano de Ação'!$G11)),'Plano de Ação'!$J11="Cancelada"),0,IF(AND('Plano de Ação'!$F11&lt;=EOMONTH(DATE(ano_ref,6,1),0),'Plano de Ação'!$G11&gt;=DATE(ano_ref,6,1)),1,0))</f>
      </c>
      <c r="K12" s="41">
        <f>IF(OR(NOT('Plano de Ação'!$B11&lt;&gt;""),NOT(ISNUMBER('Plano de Ação'!$F11)),NOT(ISNUMBER('Plano de Ação'!$G11)),'Plano de Ação'!$J11="Cancelada"),0,IF(AND('Plano de Ação'!$F11&lt;=EOMONTH(DATE(ano_ref,7,1),0),'Plano de Ação'!$G11&gt;=DATE(ano_ref,7,1)),1,0))</f>
      </c>
      <c r="L12" s="41">
        <f>IF(OR(NOT('Plano de Ação'!$B11&lt;&gt;""),NOT(ISNUMBER('Plano de Ação'!$F11)),NOT(ISNUMBER('Plano de Ação'!$G11)),'Plano de Ação'!$J11="Cancelada"),0,IF(AND('Plano de Ação'!$F11&lt;=EOMONTH(DATE(ano_ref,8,1),0),'Plano de Ação'!$G11&gt;=DATE(ano_ref,8,1)),1,0))</f>
      </c>
      <c r="M12" s="41">
        <f>IF(OR(NOT('Plano de Ação'!$B11&lt;&gt;""),NOT(ISNUMBER('Plano de Ação'!$F11)),NOT(ISNUMBER('Plano de Ação'!$G11)),'Plano de Ação'!$J11="Cancelada"),0,IF(AND('Plano de Ação'!$F11&lt;=EOMONTH(DATE(ano_ref,9,1),0),'Plano de Ação'!$G11&gt;=DATE(ano_ref,9,1)),1,0))</f>
      </c>
      <c r="N12" s="41">
        <f>IF(OR(NOT('Plano de Ação'!$B11&lt;&gt;""),NOT(ISNUMBER('Plano de Ação'!$F11)),NOT(ISNUMBER('Plano de Ação'!$G11)),'Plano de Ação'!$J11="Cancelada"),0,IF(AND('Plano de Ação'!$F11&lt;=EOMONTH(DATE(ano_ref,10,1),0),'Plano de Ação'!$G11&gt;=DATE(ano_ref,10,1)),1,0))</f>
      </c>
      <c r="O12" s="41">
        <f>IF(OR(NOT('Plano de Ação'!$B11&lt;&gt;""),NOT(ISNUMBER('Plano de Ação'!$F11)),NOT(ISNUMBER('Plano de Ação'!$G11)),'Plano de Ação'!$J11="Cancelada"),0,IF(AND('Plano de Ação'!$F11&lt;=EOMONTH(DATE(ano_ref,11,1),0),'Plano de Ação'!$G11&gt;=DATE(ano_ref,11,1)),1,0))</f>
      </c>
      <c r="P12" s="41">
        <f>IF(OR(NOT('Plano de Ação'!$B11&lt;&gt;""),NOT(ISNUMBER('Plano de Ação'!$F11)),NOT(ISNUMBER('Plano de Ação'!$G11)),'Plano de Ação'!$J11="Cancelada"),0,IF(AND('Plano de Ação'!$F11&lt;=EOMONTH(DATE(ano_ref,12,1),0),'Plano de Ação'!$G11&gt;=DATE(ano_ref,12,1)),1,0))</f>
      </c>
    </row>
    <row r="13" spans="1:16" x14ac:dyDescent="0.25">
      <c r="A13" s="40">
        <f>IF('Plano de Ação'!$B12&lt;&gt;"",'Plano de Ação'!A12&amp;"","")</f>
      </c>
      <c r="B13" s="25">
        <f>IF('Plano de Ação'!$B12&lt;&gt;"",'Plano de Ação'!B12,"")</f>
      </c>
      <c r="C13" s="25">
        <f>IF('Plano de Ação'!$B12&lt;&gt;"",'Plano de Ação'!E12&amp;"","")</f>
      </c>
      <c r="D13" s="40">
        <f>IF('Plano de Ação'!$B12&lt;&gt;"",'Plano de Ação'!L12,"")</f>
      </c>
      <c r="E13" s="41">
        <f>IF(OR(NOT('Plano de Ação'!$B12&lt;&gt;""),NOT(ISNUMBER('Plano de Ação'!$F12)),NOT(ISNUMBER('Plano de Ação'!$G12)),'Plano de Ação'!$J12="Cancelada"),0,IF(AND('Plano de Ação'!$F12&lt;=EOMONTH(DATE(ano_ref,1,1),0),'Plano de Ação'!$G12&gt;=DATE(ano_ref,1,1)),1,0))</f>
      </c>
      <c r="F13" s="41">
        <f>IF(OR(NOT('Plano de Ação'!$B12&lt;&gt;""),NOT(ISNUMBER('Plano de Ação'!$F12)),NOT(ISNUMBER('Plano de Ação'!$G12)),'Plano de Ação'!$J12="Cancelada"),0,IF(AND('Plano de Ação'!$F12&lt;=EOMONTH(DATE(ano_ref,2,1),0),'Plano de Ação'!$G12&gt;=DATE(ano_ref,2,1)),1,0))</f>
      </c>
      <c r="G13" s="41">
        <f>IF(OR(NOT('Plano de Ação'!$B12&lt;&gt;""),NOT(ISNUMBER('Plano de Ação'!$F12)),NOT(ISNUMBER('Plano de Ação'!$G12)),'Plano de Ação'!$J12="Cancelada"),0,IF(AND('Plano de Ação'!$F12&lt;=EOMONTH(DATE(ano_ref,3,1),0),'Plano de Ação'!$G12&gt;=DATE(ano_ref,3,1)),1,0))</f>
      </c>
      <c r="H13" s="41">
        <f>IF(OR(NOT('Plano de Ação'!$B12&lt;&gt;""),NOT(ISNUMBER('Plano de Ação'!$F12)),NOT(ISNUMBER('Plano de Ação'!$G12)),'Plano de Ação'!$J12="Cancelada"),0,IF(AND('Plano de Ação'!$F12&lt;=EOMONTH(DATE(ano_ref,4,1),0),'Plano de Ação'!$G12&gt;=DATE(ano_ref,4,1)),1,0))</f>
      </c>
      <c r="I13" s="41">
        <f>IF(OR(NOT('Plano de Ação'!$B12&lt;&gt;""),NOT(ISNUMBER('Plano de Ação'!$F12)),NOT(ISNUMBER('Plano de Ação'!$G12)),'Plano de Ação'!$J12="Cancelada"),0,IF(AND('Plano de Ação'!$F12&lt;=EOMONTH(DATE(ano_ref,5,1),0),'Plano de Ação'!$G12&gt;=DATE(ano_ref,5,1)),1,0))</f>
      </c>
      <c r="J13" s="41">
        <f>IF(OR(NOT('Plano de Ação'!$B12&lt;&gt;""),NOT(ISNUMBER('Plano de Ação'!$F12)),NOT(ISNUMBER('Plano de Ação'!$G12)),'Plano de Ação'!$J12="Cancelada"),0,IF(AND('Plano de Ação'!$F12&lt;=EOMONTH(DATE(ano_ref,6,1),0),'Plano de Ação'!$G12&gt;=DATE(ano_ref,6,1)),1,0))</f>
      </c>
      <c r="K13" s="41">
        <f>IF(OR(NOT('Plano de Ação'!$B12&lt;&gt;""),NOT(ISNUMBER('Plano de Ação'!$F12)),NOT(ISNUMBER('Plano de Ação'!$G12)),'Plano de Ação'!$J12="Cancelada"),0,IF(AND('Plano de Ação'!$F12&lt;=EOMONTH(DATE(ano_ref,7,1),0),'Plano de Ação'!$G12&gt;=DATE(ano_ref,7,1)),1,0))</f>
      </c>
      <c r="L13" s="41">
        <f>IF(OR(NOT('Plano de Ação'!$B12&lt;&gt;""),NOT(ISNUMBER('Plano de Ação'!$F12)),NOT(ISNUMBER('Plano de Ação'!$G12)),'Plano de Ação'!$J12="Cancelada"),0,IF(AND('Plano de Ação'!$F12&lt;=EOMONTH(DATE(ano_ref,8,1),0),'Plano de Ação'!$G12&gt;=DATE(ano_ref,8,1)),1,0))</f>
      </c>
      <c r="M13" s="41">
        <f>IF(OR(NOT('Plano de Ação'!$B12&lt;&gt;""),NOT(ISNUMBER('Plano de Ação'!$F12)),NOT(ISNUMBER('Plano de Ação'!$G12)),'Plano de Ação'!$J12="Cancelada"),0,IF(AND('Plano de Ação'!$F12&lt;=EOMONTH(DATE(ano_ref,9,1),0),'Plano de Ação'!$G12&gt;=DATE(ano_ref,9,1)),1,0))</f>
      </c>
      <c r="N13" s="41">
        <f>IF(OR(NOT('Plano de Ação'!$B12&lt;&gt;""),NOT(ISNUMBER('Plano de Ação'!$F12)),NOT(ISNUMBER('Plano de Ação'!$G12)),'Plano de Ação'!$J12="Cancelada"),0,IF(AND('Plano de Ação'!$F12&lt;=EOMONTH(DATE(ano_ref,10,1),0),'Plano de Ação'!$G12&gt;=DATE(ano_ref,10,1)),1,0))</f>
      </c>
      <c r="O13" s="41">
        <f>IF(OR(NOT('Plano de Ação'!$B12&lt;&gt;""),NOT(ISNUMBER('Plano de Ação'!$F12)),NOT(ISNUMBER('Plano de Ação'!$G12)),'Plano de Ação'!$J12="Cancelada"),0,IF(AND('Plano de Ação'!$F12&lt;=EOMONTH(DATE(ano_ref,11,1),0),'Plano de Ação'!$G12&gt;=DATE(ano_ref,11,1)),1,0))</f>
      </c>
      <c r="P13" s="41">
        <f>IF(OR(NOT('Plano de Ação'!$B12&lt;&gt;""),NOT(ISNUMBER('Plano de Ação'!$F12)),NOT(ISNUMBER('Plano de Ação'!$G12)),'Plano de Ação'!$J12="Cancelada"),0,IF(AND('Plano de Ação'!$F12&lt;=EOMONTH(DATE(ano_ref,12,1),0),'Plano de Ação'!$G12&gt;=DATE(ano_ref,12,1)),1,0))</f>
      </c>
    </row>
    <row r="14" spans="1:16" x14ac:dyDescent="0.25">
      <c r="A14" s="40">
        <f>IF('Plano de Ação'!$B13&lt;&gt;"",'Plano de Ação'!A13&amp;"","")</f>
      </c>
      <c r="B14" s="25">
        <f>IF('Plano de Ação'!$B13&lt;&gt;"",'Plano de Ação'!B13,"")</f>
      </c>
      <c r="C14" s="25">
        <f>IF('Plano de Ação'!$B13&lt;&gt;"",'Plano de Ação'!E13&amp;"","")</f>
      </c>
      <c r="D14" s="40">
        <f>IF('Plano de Ação'!$B13&lt;&gt;"",'Plano de Ação'!L13,"")</f>
      </c>
      <c r="E14" s="41">
        <f>IF(OR(NOT('Plano de Ação'!$B13&lt;&gt;""),NOT(ISNUMBER('Plano de Ação'!$F13)),NOT(ISNUMBER('Plano de Ação'!$G13)),'Plano de Ação'!$J13="Cancelada"),0,IF(AND('Plano de Ação'!$F13&lt;=EOMONTH(DATE(ano_ref,1,1),0),'Plano de Ação'!$G13&gt;=DATE(ano_ref,1,1)),1,0))</f>
      </c>
      <c r="F14" s="41">
        <f>IF(OR(NOT('Plano de Ação'!$B13&lt;&gt;""),NOT(ISNUMBER('Plano de Ação'!$F13)),NOT(ISNUMBER('Plano de Ação'!$G13)),'Plano de Ação'!$J13="Cancelada"),0,IF(AND('Plano de Ação'!$F13&lt;=EOMONTH(DATE(ano_ref,2,1),0),'Plano de Ação'!$G13&gt;=DATE(ano_ref,2,1)),1,0))</f>
      </c>
      <c r="G14" s="41">
        <f>IF(OR(NOT('Plano de Ação'!$B13&lt;&gt;""),NOT(ISNUMBER('Plano de Ação'!$F13)),NOT(ISNUMBER('Plano de Ação'!$G13)),'Plano de Ação'!$J13="Cancelada"),0,IF(AND('Plano de Ação'!$F13&lt;=EOMONTH(DATE(ano_ref,3,1),0),'Plano de Ação'!$G13&gt;=DATE(ano_ref,3,1)),1,0))</f>
      </c>
      <c r="H14" s="41">
        <f>IF(OR(NOT('Plano de Ação'!$B13&lt;&gt;""),NOT(ISNUMBER('Plano de Ação'!$F13)),NOT(ISNUMBER('Plano de Ação'!$G13)),'Plano de Ação'!$J13="Cancelada"),0,IF(AND('Plano de Ação'!$F13&lt;=EOMONTH(DATE(ano_ref,4,1),0),'Plano de Ação'!$G13&gt;=DATE(ano_ref,4,1)),1,0))</f>
      </c>
      <c r="I14" s="41">
        <f>IF(OR(NOT('Plano de Ação'!$B13&lt;&gt;""),NOT(ISNUMBER('Plano de Ação'!$F13)),NOT(ISNUMBER('Plano de Ação'!$G13)),'Plano de Ação'!$J13="Cancelada"),0,IF(AND('Plano de Ação'!$F13&lt;=EOMONTH(DATE(ano_ref,5,1),0),'Plano de Ação'!$G13&gt;=DATE(ano_ref,5,1)),1,0))</f>
      </c>
      <c r="J14" s="41">
        <f>IF(OR(NOT('Plano de Ação'!$B13&lt;&gt;""),NOT(ISNUMBER('Plano de Ação'!$F13)),NOT(ISNUMBER('Plano de Ação'!$G13)),'Plano de Ação'!$J13="Cancelada"),0,IF(AND('Plano de Ação'!$F13&lt;=EOMONTH(DATE(ano_ref,6,1),0),'Plano de Ação'!$G13&gt;=DATE(ano_ref,6,1)),1,0))</f>
      </c>
      <c r="K14" s="41">
        <f>IF(OR(NOT('Plano de Ação'!$B13&lt;&gt;""),NOT(ISNUMBER('Plano de Ação'!$F13)),NOT(ISNUMBER('Plano de Ação'!$G13)),'Plano de Ação'!$J13="Cancelada"),0,IF(AND('Plano de Ação'!$F13&lt;=EOMONTH(DATE(ano_ref,7,1),0),'Plano de Ação'!$G13&gt;=DATE(ano_ref,7,1)),1,0))</f>
      </c>
      <c r="L14" s="41">
        <f>IF(OR(NOT('Plano de Ação'!$B13&lt;&gt;""),NOT(ISNUMBER('Plano de Ação'!$F13)),NOT(ISNUMBER('Plano de Ação'!$G13)),'Plano de Ação'!$J13="Cancelada"),0,IF(AND('Plano de Ação'!$F13&lt;=EOMONTH(DATE(ano_ref,8,1),0),'Plano de Ação'!$G13&gt;=DATE(ano_ref,8,1)),1,0))</f>
      </c>
      <c r="M14" s="41">
        <f>IF(OR(NOT('Plano de Ação'!$B13&lt;&gt;""),NOT(ISNUMBER('Plano de Ação'!$F13)),NOT(ISNUMBER('Plano de Ação'!$G13)),'Plano de Ação'!$J13="Cancelada"),0,IF(AND('Plano de Ação'!$F13&lt;=EOMONTH(DATE(ano_ref,9,1),0),'Plano de Ação'!$G13&gt;=DATE(ano_ref,9,1)),1,0))</f>
      </c>
      <c r="N14" s="41">
        <f>IF(OR(NOT('Plano de Ação'!$B13&lt;&gt;""),NOT(ISNUMBER('Plano de Ação'!$F13)),NOT(ISNUMBER('Plano de Ação'!$G13)),'Plano de Ação'!$J13="Cancelada"),0,IF(AND('Plano de Ação'!$F13&lt;=EOMONTH(DATE(ano_ref,10,1),0),'Plano de Ação'!$G13&gt;=DATE(ano_ref,10,1)),1,0))</f>
      </c>
      <c r="O14" s="41">
        <f>IF(OR(NOT('Plano de Ação'!$B13&lt;&gt;""),NOT(ISNUMBER('Plano de Ação'!$F13)),NOT(ISNUMBER('Plano de Ação'!$G13)),'Plano de Ação'!$J13="Cancelada"),0,IF(AND('Plano de Ação'!$F13&lt;=EOMONTH(DATE(ano_ref,11,1),0),'Plano de Ação'!$G13&gt;=DATE(ano_ref,11,1)),1,0))</f>
      </c>
      <c r="P14" s="41">
        <f>IF(OR(NOT('Plano de Ação'!$B13&lt;&gt;""),NOT(ISNUMBER('Plano de Ação'!$F13)),NOT(ISNUMBER('Plano de Ação'!$G13)),'Plano de Ação'!$J13="Cancelada"),0,IF(AND('Plano de Ação'!$F13&lt;=EOMONTH(DATE(ano_ref,12,1),0),'Plano de Ação'!$G13&gt;=DATE(ano_ref,12,1)),1,0))</f>
      </c>
    </row>
    <row r="15" spans="1:16" x14ac:dyDescent="0.25">
      <c r="A15" s="40">
        <f>IF('Plano de Ação'!$B14&lt;&gt;"",'Plano de Ação'!A14&amp;"","")</f>
      </c>
      <c r="B15" s="25">
        <f>IF('Plano de Ação'!$B14&lt;&gt;"",'Plano de Ação'!B14,"")</f>
      </c>
      <c r="C15" s="25">
        <f>IF('Plano de Ação'!$B14&lt;&gt;"",'Plano de Ação'!E14&amp;"","")</f>
      </c>
      <c r="D15" s="40">
        <f>IF('Plano de Ação'!$B14&lt;&gt;"",'Plano de Ação'!L14,"")</f>
      </c>
      <c r="E15" s="41">
        <f>IF(OR(NOT('Plano de Ação'!$B14&lt;&gt;""),NOT(ISNUMBER('Plano de Ação'!$F14)),NOT(ISNUMBER('Plano de Ação'!$G14)),'Plano de Ação'!$J14="Cancelada"),0,IF(AND('Plano de Ação'!$F14&lt;=EOMONTH(DATE(ano_ref,1,1),0),'Plano de Ação'!$G14&gt;=DATE(ano_ref,1,1)),1,0))</f>
      </c>
      <c r="F15" s="41">
        <f>IF(OR(NOT('Plano de Ação'!$B14&lt;&gt;""),NOT(ISNUMBER('Plano de Ação'!$F14)),NOT(ISNUMBER('Plano de Ação'!$G14)),'Plano de Ação'!$J14="Cancelada"),0,IF(AND('Plano de Ação'!$F14&lt;=EOMONTH(DATE(ano_ref,2,1),0),'Plano de Ação'!$G14&gt;=DATE(ano_ref,2,1)),1,0))</f>
      </c>
      <c r="G15" s="41">
        <f>IF(OR(NOT('Plano de Ação'!$B14&lt;&gt;""),NOT(ISNUMBER('Plano de Ação'!$F14)),NOT(ISNUMBER('Plano de Ação'!$G14)),'Plano de Ação'!$J14="Cancelada"),0,IF(AND('Plano de Ação'!$F14&lt;=EOMONTH(DATE(ano_ref,3,1),0),'Plano de Ação'!$G14&gt;=DATE(ano_ref,3,1)),1,0))</f>
      </c>
      <c r="H15" s="41">
        <f>IF(OR(NOT('Plano de Ação'!$B14&lt;&gt;""),NOT(ISNUMBER('Plano de Ação'!$F14)),NOT(ISNUMBER('Plano de Ação'!$G14)),'Plano de Ação'!$J14="Cancelada"),0,IF(AND('Plano de Ação'!$F14&lt;=EOMONTH(DATE(ano_ref,4,1),0),'Plano de Ação'!$G14&gt;=DATE(ano_ref,4,1)),1,0))</f>
      </c>
      <c r="I15" s="41">
        <f>IF(OR(NOT('Plano de Ação'!$B14&lt;&gt;""),NOT(ISNUMBER('Plano de Ação'!$F14)),NOT(ISNUMBER('Plano de Ação'!$G14)),'Plano de Ação'!$J14="Cancelada"),0,IF(AND('Plano de Ação'!$F14&lt;=EOMONTH(DATE(ano_ref,5,1),0),'Plano de Ação'!$G14&gt;=DATE(ano_ref,5,1)),1,0))</f>
      </c>
      <c r="J15" s="41">
        <f>IF(OR(NOT('Plano de Ação'!$B14&lt;&gt;""),NOT(ISNUMBER('Plano de Ação'!$F14)),NOT(ISNUMBER('Plano de Ação'!$G14)),'Plano de Ação'!$J14="Cancelada"),0,IF(AND('Plano de Ação'!$F14&lt;=EOMONTH(DATE(ano_ref,6,1),0),'Plano de Ação'!$G14&gt;=DATE(ano_ref,6,1)),1,0))</f>
      </c>
      <c r="K15" s="41">
        <f>IF(OR(NOT('Plano de Ação'!$B14&lt;&gt;""),NOT(ISNUMBER('Plano de Ação'!$F14)),NOT(ISNUMBER('Plano de Ação'!$G14)),'Plano de Ação'!$J14="Cancelada"),0,IF(AND('Plano de Ação'!$F14&lt;=EOMONTH(DATE(ano_ref,7,1),0),'Plano de Ação'!$G14&gt;=DATE(ano_ref,7,1)),1,0))</f>
      </c>
      <c r="L15" s="41">
        <f>IF(OR(NOT('Plano de Ação'!$B14&lt;&gt;""),NOT(ISNUMBER('Plano de Ação'!$F14)),NOT(ISNUMBER('Plano de Ação'!$G14)),'Plano de Ação'!$J14="Cancelada"),0,IF(AND('Plano de Ação'!$F14&lt;=EOMONTH(DATE(ano_ref,8,1),0),'Plano de Ação'!$G14&gt;=DATE(ano_ref,8,1)),1,0))</f>
      </c>
      <c r="M15" s="41">
        <f>IF(OR(NOT('Plano de Ação'!$B14&lt;&gt;""),NOT(ISNUMBER('Plano de Ação'!$F14)),NOT(ISNUMBER('Plano de Ação'!$G14)),'Plano de Ação'!$J14="Cancelada"),0,IF(AND('Plano de Ação'!$F14&lt;=EOMONTH(DATE(ano_ref,9,1),0),'Plano de Ação'!$G14&gt;=DATE(ano_ref,9,1)),1,0))</f>
      </c>
      <c r="N15" s="41">
        <f>IF(OR(NOT('Plano de Ação'!$B14&lt;&gt;""),NOT(ISNUMBER('Plano de Ação'!$F14)),NOT(ISNUMBER('Plano de Ação'!$G14)),'Plano de Ação'!$J14="Cancelada"),0,IF(AND('Plano de Ação'!$F14&lt;=EOMONTH(DATE(ano_ref,10,1),0),'Plano de Ação'!$G14&gt;=DATE(ano_ref,10,1)),1,0))</f>
      </c>
      <c r="O15" s="41">
        <f>IF(OR(NOT('Plano de Ação'!$B14&lt;&gt;""),NOT(ISNUMBER('Plano de Ação'!$F14)),NOT(ISNUMBER('Plano de Ação'!$G14)),'Plano de Ação'!$J14="Cancelada"),0,IF(AND('Plano de Ação'!$F14&lt;=EOMONTH(DATE(ano_ref,11,1),0),'Plano de Ação'!$G14&gt;=DATE(ano_ref,11,1)),1,0))</f>
      </c>
      <c r="P15" s="41">
        <f>IF(OR(NOT('Plano de Ação'!$B14&lt;&gt;""),NOT(ISNUMBER('Plano de Ação'!$F14)),NOT(ISNUMBER('Plano de Ação'!$G14)),'Plano de Ação'!$J14="Cancelada"),0,IF(AND('Plano de Ação'!$F14&lt;=EOMONTH(DATE(ano_ref,12,1),0),'Plano de Ação'!$G14&gt;=DATE(ano_ref,12,1)),1,0))</f>
      </c>
    </row>
    <row r="16" spans="1:16" x14ac:dyDescent="0.25">
      <c r="A16" s="40">
        <f>IF('Plano de Ação'!$B15&lt;&gt;"",'Plano de Ação'!A15&amp;"","")</f>
      </c>
      <c r="B16" s="25">
        <f>IF('Plano de Ação'!$B15&lt;&gt;"",'Plano de Ação'!B15,"")</f>
      </c>
      <c r="C16" s="25">
        <f>IF('Plano de Ação'!$B15&lt;&gt;"",'Plano de Ação'!E15&amp;"","")</f>
      </c>
      <c r="D16" s="40">
        <f>IF('Plano de Ação'!$B15&lt;&gt;"",'Plano de Ação'!L15,"")</f>
      </c>
      <c r="E16" s="41">
        <f>IF(OR(NOT('Plano de Ação'!$B15&lt;&gt;""),NOT(ISNUMBER('Plano de Ação'!$F15)),NOT(ISNUMBER('Plano de Ação'!$G15)),'Plano de Ação'!$J15="Cancelada"),0,IF(AND('Plano de Ação'!$F15&lt;=EOMONTH(DATE(ano_ref,1,1),0),'Plano de Ação'!$G15&gt;=DATE(ano_ref,1,1)),1,0))</f>
      </c>
      <c r="F16" s="41">
        <f>IF(OR(NOT('Plano de Ação'!$B15&lt;&gt;""),NOT(ISNUMBER('Plano de Ação'!$F15)),NOT(ISNUMBER('Plano de Ação'!$G15)),'Plano de Ação'!$J15="Cancelada"),0,IF(AND('Plano de Ação'!$F15&lt;=EOMONTH(DATE(ano_ref,2,1),0),'Plano de Ação'!$G15&gt;=DATE(ano_ref,2,1)),1,0))</f>
      </c>
      <c r="G16" s="41">
        <f>IF(OR(NOT('Plano de Ação'!$B15&lt;&gt;""),NOT(ISNUMBER('Plano de Ação'!$F15)),NOT(ISNUMBER('Plano de Ação'!$G15)),'Plano de Ação'!$J15="Cancelada"),0,IF(AND('Plano de Ação'!$F15&lt;=EOMONTH(DATE(ano_ref,3,1),0),'Plano de Ação'!$G15&gt;=DATE(ano_ref,3,1)),1,0))</f>
      </c>
      <c r="H16" s="41">
        <f>IF(OR(NOT('Plano de Ação'!$B15&lt;&gt;""),NOT(ISNUMBER('Plano de Ação'!$F15)),NOT(ISNUMBER('Plano de Ação'!$G15)),'Plano de Ação'!$J15="Cancelada"),0,IF(AND('Plano de Ação'!$F15&lt;=EOMONTH(DATE(ano_ref,4,1),0),'Plano de Ação'!$G15&gt;=DATE(ano_ref,4,1)),1,0))</f>
      </c>
      <c r="I16" s="41">
        <f>IF(OR(NOT('Plano de Ação'!$B15&lt;&gt;""),NOT(ISNUMBER('Plano de Ação'!$F15)),NOT(ISNUMBER('Plano de Ação'!$G15)),'Plano de Ação'!$J15="Cancelada"),0,IF(AND('Plano de Ação'!$F15&lt;=EOMONTH(DATE(ano_ref,5,1),0),'Plano de Ação'!$G15&gt;=DATE(ano_ref,5,1)),1,0))</f>
      </c>
      <c r="J16" s="41">
        <f>IF(OR(NOT('Plano de Ação'!$B15&lt;&gt;""),NOT(ISNUMBER('Plano de Ação'!$F15)),NOT(ISNUMBER('Plano de Ação'!$G15)),'Plano de Ação'!$J15="Cancelada"),0,IF(AND('Plano de Ação'!$F15&lt;=EOMONTH(DATE(ano_ref,6,1),0),'Plano de Ação'!$G15&gt;=DATE(ano_ref,6,1)),1,0))</f>
      </c>
      <c r="K16" s="41">
        <f>IF(OR(NOT('Plano de Ação'!$B15&lt;&gt;""),NOT(ISNUMBER('Plano de Ação'!$F15)),NOT(ISNUMBER('Plano de Ação'!$G15)),'Plano de Ação'!$J15="Cancelada"),0,IF(AND('Plano de Ação'!$F15&lt;=EOMONTH(DATE(ano_ref,7,1),0),'Plano de Ação'!$G15&gt;=DATE(ano_ref,7,1)),1,0))</f>
      </c>
      <c r="L16" s="41">
        <f>IF(OR(NOT('Plano de Ação'!$B15&lt;&gt;""),NOT(ISNUMBER('Plano de Ação'!$F15)),NOT(ISNUMBER('Plano de Ação'!$G15)),'Plano de Ação'!$J15="Cancelada"),0,IF(AND('Plano de Ação'!$F15&lt;=EOMONTH(DATE(ano_ref,8,1),0),'Plano de Ação'!$G15&gt;=DATE(ano_ref,8,1)),1,0))</f>
      </c>
      <c r="M16" s="41">
        <f>IF(OR(NOT('Plano de Ação'!$B15&lt;&gt;""),NOT(ISNUMBER('Plano de Ação'!$F15)),NOT(ISNUMBER('Plano de Ação'!$G15)),'Plano de Ação'!$J15="Cancelada"),0,IF(AND('Plano de Ação'!$F15&lt;=EOMONTH(DATE(ano_ref,9,1),0),'Plano de Ação'!$G15&gt;=DATE(ano_ref,9,1)),1,0))</f>
      </c>
      <c r="N16" s="41">
        <f>IF(OR(NOT('Plano de Ação'!$B15&lt;&gt;""),NOT(ISNUMBER('Plano de Ação'!$F15)),NOT(ISNUMBER('Plano de Ação'!$G15)),'Plano de Ação'!$J15="Cancelada"),0,IF(AND('Plano de Ação'!$F15&lt;=EOMONTH(DATE(ano_ref,10,1),0),'Plano de Ação'!$G15&gt;=DATE(ano_ref,10,1)),1,0))</f>
      </c>
      <c r="O16" s="41">
        <f>IF(OR(NOT('Plano de Ação'!$B15&lt;&gt;""),NOT(ISNUMBER('Plano de Ação'!$F15)),NOT(ISNUMBER('Plano de Ação'!$G15)),'Plano de Ação'!$J15="Cancelada"),0,IF(AND('Plano de Ação'!$F15&lt;=EOMONTH(DATE(ano_ref,11,1),0),'Plano de Ação'!$G15&gt;=DATE(ano_ref,11,1)),1,0))</f>
      </c>
      <c r="P16" s="41">
        <f>IF(OR(NOT('Plano de Ação'!$B15&lt;&gt;""),NOT(ISNUMBER('Plano de Ação'!$F15)),NOT(ISNUMBER('Plano de Ação'!$G15)),'Plano de Ação'!$J15="Cancelada"),0,IF(AND('Plano de Ação'!$F15&lt;=EOMONTH(DATE(ano_ref,12,1),0),'Plano de Ação'!$G15&gt;=DATE(ano_ref,12,1)),1,0))</f>
      </c>
    </row>
    <row r="17" spans="1:16" x14ac:dyDescent="0.25">
      <c r="A17" s="40">
        <f>IF('Plano de Ação'!$B16&lt;&gt;"",'Plano de Ação'!A16&amp;"","")</f>
      </c>
      <c r="B17" s="25">
        <f>IF('Plano de Ação'!$B16&lt;&gt;"",'Plano de Ação'!B16,"")</f>
      </c>
      <c r="C17" s="25">
        <f>IF('Plano de Ação'!$B16&lt;&gt;"",'Plano de Ação'!E16&amp;"","")</f>
      </c>
      <c r="D17" s="40">
        <f>IF('Plano de Ação'!$B16&lt;&gt;"",'Plano de Ação'!L16,"")</f>
      </c>
      <c r="E17" s="41">
        <f>IF(OR(NOT('Plano de Ação'!$B16&lt;&gt;""),NOT(ISNUMBER('Plano de Ação'!$F16)),NOT(ISNUMBER('Plano de Ação'!$G16)),'Plano de Ação'!$J16="Cancelada"),0,IF(AND('Plano de Ação'!$F16&lt;=EOMONTH(DATE(ano_ref,1,1),0),'Plano de Ação'!$G16&gt;=DATE(ano_ref,1,1)),1,0))</f>
      </c>
      <c r="F17" s="41">
        <f>IF(OR(NOT('Plano de Ação'!$B16&lt;&gt;""),NOT(ISNUMBER('Plano de Ação'!$F16)),NOT(ISNUMBER('Plano de Ação'!$G16)),'Plano de Ação'!$J16="Cancelada"),0,IF(AND('Plano de Ação'!$F16&lt;=EOMONTH(DATE(ano_ref,2,1),0),'Plano de Ação'!$G16&gt;=DATE(ano_ref,2,1)),1,0))</f>
      </c>
      <c r="G17" s="41">
        <f>IF(OR(NOT('Plano de Ação'!$B16&lt;&gt;""),NOT(ISNUMBER('Plano de Ação'!$F16)),NOT(ISNUMBER('Plano de Ação'!$G16)),'Plano de Ação'!$J16="Cancelada"),0,IF(AND('Plano de Ação'!$F16&lt;=EOMONTH(DATE(ano_ref,3,1),0),'Plano de Ação'!$G16&gt;=DATE(ano_ref,3,1)),1,0))</f>
      </c>
      <c r="H17" s="41">
        <f>IF(OR(NOT('Plano de Ação'!$B16&lt;&gt;""),NOT(ISNUMBER('Plano de Ação'!$F16)),NOT(ISNUMBER('Plano de Ação'!$G16)),'Plano de Ação'!$J16="Cancelada"),0,IF(AND('Plano de Ação'!$F16&lt;=EOMONTH(DATE(ano_ref,4,1),0),'Plano de Ação'!$G16&gt;=DATE(ano_ref,4,1)),1,0))</f>
      </c>
      <c r="I17" s="41">
        <f>IF(OR(NOT('Plano de Ação'!$B16&lt;&gt;""),NOT(ISNUMBER('Plano de Ação'!$F16)),NOT(ISNUMBER('Plano de Ação'!$G16)),'Plano de Ação'!$J16="Cancelada"),0,IF(AND('Plano de Ação'!$F16&lt;=EOMONTH(DATE(ano_ref,5,1),0),'Plano de Ação'!$G16&gt;=DATE(ano_ref,5,1)),1,0))</f>
      </c>
      <c r="J17" s="41">
        <f>IF(OR(NOT('Plano de Ação'!$B16&lt;&gt;""),NOT(ISNUMBER('Plano de Ação'!$F16)),NOT(ISNUMBER('Plano de Ação'!$G16)),'Plano de Ação'!$J16="Cancelada"),0,IF(AND('Plano de Ação'!$F16&lt;=EOMONTH(DATE(ano_ref,6,1),0),'Plano de Ação'!$G16&gt;=DATE(ano_ref,6,1)),1,0))</f>
      </c>
      <c r="K17" s="41">
        <f>IF(OR(NOT('Plano de Ação'!$B16&lt;&gt;""),NOT(ISNUMBER('Plano de Ação'!$F16)),NOT(ISNUMBER('Plano de Ação'!$G16)),'Plano de Ação'!$J16="Cancelada"),0,IF(AND('Plano de Ação'!$F16&lt;=EOMONTH(DATE(ano_ref,7,1),0),'Plano de Ação'!$G16&gt;=DATE(ano_ref,7,1)),1,0))</f>
      </c>
      <c r="L17" s="41">
        <f>IF(OR(NOT('Plano de Ação'!$B16&lt;&gt;""),NOT(ISNUMBER('Plano de Ação'!$F16)),NOT(ISNUMBER('Plano de Ação'!$G16)),'Plano de Ação'!$J16="Cancelada"),0,IF(AND('Plano de Ação'!$F16&lt;=EOMONTH(DATE(ano_ref,8,1),0),'Plano de Ação'!$G16&gt;=DATE(ano_ref,8,1)),1,0))</f>
      </c>
      <c r="M17" s="41">
        <f>IF(OR(NOT('Plano de Ação'!$B16&lt;&gt;""),NOT(ISNUMBER('Plano de Ação'!$F16)),NOT(ISNUMBER('Plano de Ação'!$G16)),'Plano de Ação'!$J16="Cancelada"),0,IF(AND('Plano de Ação'!$F16&lt;=EOMONTH(DATE(ano_ref,9,1),0),'Plano de Ação'!$G16&gt;=DATE(ano_ref,9,1)),1,0))</f>
      </c>
      <c r="N17" s="41">
        <f>IF(OR(NOT('Plano de Ação'!$B16&lt;&gt;""),NOT(ISNUMBER('Plano de Ação'!$F16)),NOT(ISNUMBER('Plano de Ação'!$G16)),'Plano de Ação'!$J16="Cancelada"),0,IF(AND('Plano de Ação'!$F16&lt;=EOMONTH(DATE(ano_ref,10,1),0),'Plano de Ação'!$G16&gt;=DATE(ano_ref,10,1)),1,0))</f>
      </c>
      <c r="O17" s="41">
        <f>IF(OR(NOT('Plano de Ação'!$B16&lt;&gt;""),NOT(ISNUMBER('Plano de Ação'!$F16)),NOT(ISNUMBER('Plano de Ação'!$G16)),'Plano de Ação'!$J16="Cancelada"),0,IF(AND('Plano de Ação'!$F16&lt;=EOMONTH(DATE(ano_ref,11,1),0),'Plano de Ação'!$G16&gt;=DATE(ano_ref,11,1)),1,0))</f>
      </c>
      <c r="P17" s="41">
        <f>IF(OR(NOT('Plano de Ação'!$B16&lt;&gt;""),NOT(ISNUMBER('Plano de Ação'!$F16)),NOT(ISNUMBER('Plano de Ação'!$G16)),'Plano de Ação'!$J16="Cancelada"),0,IF(AND('Plano de Ação'!$F16&lt;=EOMONTH(DATE(ano_ref,12,1),0),'Plano de Ação'!$G16&gt;=DATE(ano_ref,12,1)),1,0))</f>
      </c>
    </row>
    <row r="18" spans="1:16" x14ac:dyDescent="0.25">
      <c r="A18" s="40">
        <f>IF('Plano de Ação'!$B17&lt;&gt;"",'Plano de Ação'!A17&amp;"","")</f>
      </c>
      <c r="B18" s="25">
        <f>IF('Plano de Ação'!$B17&lt;&gt;"",'Plano de Ação'!B17,"")</f>
      </c>
      <c r="C18" s="25">
        <f>IF('Plano de Ação'!$B17&lt;&gt;"",'Plano de Ação'!E17&amp;"","")</f>
      </c>
      <c r="D18" s="40">
        <f>IF('Plano de Ação'!$B17&lt;&gt;"",'Plano de Ação'!L17,"")</f>
      </c>
      <c r="E18" s="41">
        <f>IF(OR(NOT('Plano de Ação'!$B17&lt;&gt;""),NOT(ISNUMBER('Plano de Ação'!$F17)),NOT(ISNUMBER('Plano de Ação'!$G17)),'Plano de Ação'!$J17="Cancelada"),0,IF(AND('Plano de Ação'!$F17&lt;=EOMONTH(DATE(ano_ref,1,1),0),'Plano de Ação'!$G17&gt;=DATE(ano_ref,1,1)),1,0))</f>
      </c>
      <c r="F18" s="41">
        <f>IF(OR(NOT('Plano de Ação'!$B17&lt;&gt;""),NOT(ISNUMBER('Plano de Ação'!$F17)),NOT(ISNUMBER('Plano de Ação'!$G17)),'Plano de Ação'!$J17="Cancelada"),0,IF(AND('Plano de Ação'!$F17&lt;=EOMONTH(DATE(ano_ref,2,1),0),'Plano de Ação'!$G17&gt;=DATE(ano_ref,2,1)),1,0))</f>
      </c>
      <c r="G18" s="41">
        <f>IF(OR(NOT('Plano de Ação'!$B17&lt;&gt;""),NOT(ISNUMBER('Plano de Ação'!$F17)),NOT(ISNUMBER('Plano de Ação'!$G17)),'Plano de Ação'!$J17="Cancelada"),0,IF(AND('Plano de Ação'!$F17&lt;=EOMONTH(DATE(ano_ref,3,1),0),'Plano de Ação'!$G17&gt;=DATE(ano_ref,3,1)),1,0))</f>
      </c>
      <c r="H18" s="41">
        <f>IF(OR(NOT('Plano de Ação'!$B17&lt;&gt;""),NOT(ISNUMBER('Plano de Ação'!$F17)),NOT(ISNUMBER('Plano de Ação'!$G17)),'Plano de Ação'!$J17="Cancelada"),0,IF(AND('Plano de Ação'!$F17&lt;=EOMONTH(DATE(ano_ref,4,1),0),'Plano de Ação'!$G17&gt;=DATE(ano_ref,4,1)),1,0))</f>
      </c>
      <c r="I18" s="41">
        <f>IF(OR(NOT('Plano de Ação'!$B17&lt;&gt;""),NOT(ISNUMBER('Plano de Ação'!$F17)),NOT(ISNUMBER('Plano de Ação'!$G17)),'Plano de Ação'!$J17="Cancelada"),0,IF(AND('Plano de Ação'!$F17&lt;=EOMONTH(DATE(ano_ref,5,1),0),'Plano de Ação'!$G17&gt;=DATE(ano_ref,5,1)),1,0))</f>
      </c>
      <c r="J18" s="41">
        <f>IF(OR(NOT('Plano de Ação'!$B17&lt;&gt;""),NOT(ISNUMBER('Plano de Ação'!$F17)),NOT(ISNUMBER('Plano de Ação'!$G17)),'Plano de Ação'!$J17="Cancelada"),0,IF(AND('Plano de Ação'!$F17&lt;=EOMONTH(DATE(ano_ref,6,1),0),'Plano de Ação'!$G17&gt;=DATE(ano_ref,6,1)),1,0))</f>
      </c>
      <c r="K18" s="41">
        <f>IF(OR(NOT('Plano de Ação'!$B17&lt;&gt;""),NOT(ISNUMBER('Plano de Ação'!$F17)),NOT(ISNUMBER('Plano de Ação'!$G17)),'Plano de Ação'!$J17="Cancelada"),0,IF(AND('Plano de Ação'!$F17&lt;=EOMONTH(DATE(ano_ref,7,1),0),'Plano de Ação'!$G17&gt;=DATE(ano_ref,7,1)),1,0))</f>
      </c>
      <c r="L18" s="41">
        <f>IF(OR(NOT('Plano de Ação'!$B17&lt;&gt;""),NOT(ISNUMBER('Plano de Ação'!$F17)),NOT(ISNUMBER('Plano de Ação'!$G17)),'Plano de Ação'!$J17="Cancelada"),0,IF(AND('Plano de Ação'!$F17&lt;=EOMONTH(DATE(ano_ref,8,1),0),'Plano de Ação'!$G17&gt;=DATE(ano_ref,8,1)),1,0))</f>
      </c>
      <c r="M18" s="41">
        <f>IF(OR(NOT('Plano de Ação'!$B17&lt;&gt;""),NOT(ISNUMBER('Plano de Ação'!$F17)),NOT(ISNUMBER('Plano de Ação'!$G17)),'Plano de Ação'!$J17="Cancelada"),0,IF(AND('Plano de Ação'!$F17&lt;=EOMONTH(DATE(ano_ref,9,1),0),'Plano de Ação'!$G17&gt;=DATE(ano_ref,9,1)),1,0))</f>
      </c>
      <c r="N18" s="41">
        <f>IF(OR(NOT('Plano de Ação'!$B17&lt;&gt;""),NOT(ISNUMBER('Plano de Ação'!$F17)),NOT(ISNUMBER('Plano de Ação'!$G17)),'Plano de Ação'!$J17="Cancelada"),0,IF(AND('Plano de Ação'!$F17&lt;=EOMONTH(DATE(ano_ref,10,1),0),'Plano de Ação'!$G17&gt;=DATE(ano_ref,10,1)),1,0))</f>
      </c>
      <c r="O18" s="41">
        <f>IF(OR(NOT('Plano de Ação'!$B17&lt;&gt;""),NOT(ISNUMBER('Plano de Ação'!$F17)),NOT(ISNUMBER('Plano de Ação'!$G17)),'Plano de Ação'!$J17="Cancelada"),0,IF(AND('Plano de Ação'!$F17&lt;=EOMONTH(DATE(ano_ref,11,1),0),'Plano de Ação'!$G17&gt;=DATE(ano_ref,11,1)),1,0))</f>
      </c>
      <c r="P18" s="41">
        <f>IF(OR(NOT('Plano de Ação'!$B17&lt;&gt;""),NOT(ISNUMBER('Plano de Ação'!$F17)),NOT(ISNUMBER('Plano de Ação'!$G17)),'Plano de Ação'!$J17="Cancelada"),0,IF(AND('Plano de Ação'!$F17&lt;=EOMONTH(DATE(ano_ref,12,1),0),'Plano de Ação'!$G17&gt;=DATE(ano_ref,12,1)),1,0))</f>
      </c>
    </row>
    <row r="19" spans="1:16" x14ac:dyDescent="0.25">
      <c r="A19" s="40">
        <f>IF('Plano de Ação'!$B18&lt;&gt;"",'Plano de Ação'!A18&amp;"","")</f>
      </c>
      <c r="B19" s="25">
        <f>IF('Plano de Ação'!$B18&lt;&gt;"",'Plano de Ação'!B18,"")</f>
      </c>
      <c r="C19" s="25">
        <f>IF('Plano de Ação'!$B18&lt;&gt;"",'Plano de Ação'!E18&amp;"","")</f>
      </c>
      <c r="D19" s="40">
        <f>IF('Plano de Ação'!$B18&lt;&gt;"",'Plano de Ação'!L18,"")</f>
      </c>
      <c r="E19" s="41">
        <f>IF(OR(NOT('Plano de Ação'!$B18&lt;&gt;""),NOT(ISNUMBER('Plano de Ação'!$F18)),NOT(ISNUMBER('Plano de Ação'!$G18)),'Plano de Ação'!$J18="Cancelada"),0,IF(AND('Plano de Ação'!$F18&lt;=EOMONTH(DATE(ano_ref,1,1),0),'Plano de Ação'!$G18&gt;=DATE(ano_ref,1,1)),1,0))</f>
      </c>
      <c r="F19" s="41">
        <f>IF(OR(NOT('Plano de Ação'!$B18&lt;&gt;""),NOT(ISNUMBER('Plano de Ação'!$F18)),NOT(ISNUMBER('Plano de Ação'!$G18)),'Plano de Ação'!$J18="Cancelada"),0,IF(AND('Plano de Ação'!$F18&lt;=EOMONTH(DATE(ano_ref,2,1),0),'Plano de Ação'!$G18&gt;=DATE(ano_ref,2,1)),1,0))</f>
      </c>
      <c r="G19" s="41">
        <f>IF(OR(NOT('Plano de Ação'!$B18&lt;&gt;""),NOT(ISNUMBER('Plano de Ação'!$F18)),NOT(ISNUMBER('Plano de Ação'!$G18)),'Plano de Ação'!$J18="Cancelada"),0,IF(AND('Plano de Ação'!$F18&lt;=EOMONTH(DATE(ano_ref,3,1),0),'Plano de Ação'!$G18&gt;=DATE(ano_ref,3,1)),1,0))</f>
      </c>
      <c r="H19" s="41">
        <f>IF(OR(NOT('Plano de Ação'!$B18&lt;&gt;""),NOT(ISNUMBER('Plano de Ação'!$F18)),NOT(ISNUMBER('Plano de Ação'!$G18)),'Plano de Ação'!$J18="Cancelada"),0,IF(AND('Plano de Ação'!$F18&lt;=EOMONTH(DATE(ano_ref,4,1),0),'Plano de Ação'!$G18&gt;=DATE(ano_ref,4,1)),1,0))</f>
      </c>
      <c r="I19" s="41">
        <f>IF(OR(NOT('Plano de Ação'!$B18&lt;&gt;""),NOT(ISNUMBER('Plano de Ação'!$F18)),NOT(ISNUMBER('Plano de Ação'!$G18)),'Plano de Ação'!$J18="Cancelada"),0,IF(AND('Plano de Ação'!$F18&lt;=EOMONTH(DATE(ano_ref,5,1),0),'Plano de Ação'!$G18&gt;=DATE(ano_ref,5,1)),1,0))</f>
      </c>
      <c r="J19" s="41">
        <f>IF(OR(NOT('Plano de Ação'!$B18&lt;&gt;""),NOT(ISNUMBER('Plano de Ação'!$F18)),NOT(ISNUMBER('Plano de Ação'!$G18)),'Plano de Ação'!$J18="Cancelada"),0,IF(AND('Plano de Ação'!$F18&lt;=EOMONTH(DATE(ano_ref,6,1),0),'Plano de Ação'!$G18&gt;=DATE(ano_ref,6,1)),1,0))</f>
      </c>
      <c r="K19" s="41">
        <f>IF(OR(NOT('Plano de Ação'!$B18&lt;&gt;""),NOT(ISNUMBER('Plano de Ação'!$F18)),NOT(ISNUMBER('Plano de Ação'!$G18)),'Plano de Ação'!$J18="Cancelada"),0,IF(AND('Plano de Ação'!$F18&lt;=EOMONTH(DATE(ano_ref,7,1),0),'Plano de Ação'!$G18&gt;=DATE(ano_ref,7,1)),1,0))</f>
      </c>
      <c r="L19" s="41">
        <f>IF(OR(NOT('Plano de Ação'!$B18&lt;&gt;""),NOT(ISNUMBER('Plano de Ação'!$F18)),NOT(ISNUMBER('Plano de Ação'!$G18)),'Plano de Ação'!$J18="Cancelada"),0,IF(AND('Plano de Ação'!$F18&lt;=EOMONTH(DATE(ano_ref,8,1),0),'Plano de Ação'!$G18&gt;=DATE(ano_ref,8,1)),1,0))</f>
      </c>
      <c r="M19" s="41">
        <f>IF(OR(NOT('Plano de Ação'!$B18&lt;&gt;""),NOT(ISNUMBER('Plano de Ação'!$F18)),NOT(ISNUMBER('Plano de Ação'!$G18)),'Plano de Ação'!$J18="Cancelada"),0,IF(AND('Plano de Ação'!$F18&lt;=EOMONTH(DATE(ano_ref,9,1),0),'Plano de Ação'!$G18&gt;=DATE(ano_ref,9,1)),1,0))</f>
      </c>
      <c r="N19" s="41">
        <f>IF(OR(NOT('Plano de Ação'!$B18&lt;&gt;""),NOT(ISNUMBER('Plano de Ação'!$F18)),NOT(ISNUMBER('Plano de Ação'!$G18)),'Plano de Ação'!$J18="Cancelada"),0,IF(AND('Plano de Ação'!$F18&lt;=EOMONTH(DATE(ano_ref,10,1),0),'Plano de Ação'!$G18&gt;=DATE(ano_ref,10,1)),1,0))</f>
      </c>
      <c r="O19" s="41">
        <f>IF(OR(NOT('Plano de Ação'!$B18&lt;&gt;""),NOT(ISNUMBER('Plano de Ação'!$F18)),NOT(ISNUMBER('Plano de Ação'!$G18)),'Plano de Ação'!$J18="Cancelada"),0,IF(AND('Plano de Ação'!$F18&lt;=EOMONTH(DATE(ano_ref,11,1),0),'Plano de Ação'!$G18&gt;=DATE(ano_ref,11,1)),1,0))</f>
      </c>
      <c r="P19" s="41">
        <f>IF(OR(NOT('Plano de Ação'!$B18&lt;&gt;""),NOT(ISNUMBER('Plano de Ação'!$F18)),NOT(ISNUMBER('Plano de Ação'!$G18)),'Plano de Ação'!$J18="Cancelada"),0,IF(AND('Plano de Ação'!$F18&lt;=EOMONTH(DATE(ano_ref,12,1),0),'Plano de Ação'!$G18&gt;=DATE(ano_ref,12,1)),1,0))</f>
      </c>
    </row>
    <row r="20" spans="1:16" x14ac:dyDescent="0.25">
      <c r="A20" s="40">
        <f>IF('Plano de Ação'!$B19&lt;&gt;"",'Plano de Ação'!A19&amp;"","")</f>
      </c>
      <c r="B20" s="25">
        <f>IF('Plano de Ação'!$B19&lt;&gt;"",'Plano de Ação'!B19,"")</f>
      </c>
      <c r="C20" s="25">
        <f>IF('Plano de Ação'!$B19&lt;&gt;"",'Plano de Ação'!E19&amp;"","")</f>
      </c>
      <c r="D20" s="40">
        <f>IF('Plano de Ação'!$B19&lt;&gt;"",'Plano de Ação'!L19,"")</f>
      </c>
      <c r="E20" s="41">
        <f>IF(OR(NOT('Plano de Ação'!$B19&lt;&gt;""),NOT(ISNUMBER('Plano de Ação'!$F19)),NOT(ISNUMBER('Plano de Ação'!$G19)),'Plano de Ação'!$J19="Cancelada"),0,IF(AND('Plano de Ação'!$F19&lt;=EOMONTH(DATE(ano_ref,1,1),0),'Plano de Ação'!$G19&gt;=DATE(ano_ref,1,1)),1,0))</f>
      </c>
      <c r="F20" s="41">
        <f>IF(OR(NOT('Plano de Ação'!$B19&lt;&gt;""),NOT(ISNUMBER('Plano de Ação'!$F19)),NOT(ISNUMBER('Plano de Ação'!$G19)),'Plano de Ação'!$J19="Cancelada"),0,IF(AND('Plano de Ação'!$F19&lt;=EOMONTH(DATE(ano_ref,2,1),0),'Plano de Ação'!$G19&gt;=DATE(ano_ref,2,1)),1,0))</f>
      </c>
      <c r="G20" s="41">
        <f>IF(OR(NOT('Plano de Ação'!$B19&lt;&gt;""),NOT(ISNUMBER('Plano de Ação'!$F19)),NOT(ISNUMBER('Plano de Ação'!$G19)),'Plano de Ação'!$J19="Cancelada"),0,IF(AND('Plano de Ação'!$F19&lt;=EOMONTH(DATE(ano_ref,3,1),0),'Plano de Ação'!$G19&gt;=DATE(ano_ref,3,1)),1,0))</f>
      </c>
      <c r="H20" s="41">
        <f>IF(OR(NOT('Plano de Ação'!$B19&lt;&gt;""),NOT(ISNUMBER('Plano de Ação'!$F19)),NOT(ISNUMBER('Plano de Ação'!$G19)),'Plano de Ação'!$J19="Cancelada"),0,IF(AND('Plano de Ação'!$F19&lt;=EOMONTH(DATE(ano_ref,4,1),0),'Plano de Ação'!$G19&gt;=DATE(ano_ref,4,1)),1,0))</f>
      </c>
      <c r="I20" s="41">
        <f>IF(OR(NOT('Plano de Ação'!$B19&lt;&gt;""),NOT(ISNUMBER('Plano de Ação'!$F19)),NOT(ISNUMBER('Plano de Ação'!$G19)),'Plano de Ação'!$J19="Cancelada"),0,IF(AND('Plano de Ação'!$F19&lt;=EOMONTH(DATE(ano_ref,5,1),0),'Plano de Ação'!$G19&gt;=DATE(ano_ref,5,1)),1,0))</f>
      </c>
      <c r="J20" s="41">
        <f>IF(OR(NOT('Plano de Ação'!$B19&lt;&gt;""),NOT(ISNUMBER('Plano de Ação'!$F19)),NOT(ISNUMBER('Plano de Ação'!$G19)),'Plano de Ação'!$J19="Cancelada"),0,IF(AND('Plano de Ação'!$F19&lt;=EOMONTH(DATE(ano_ref,6,1),0),'Plano de Ação'!$G19&gt;=DATE(ano_ref,6,1)),1,0))</f>
      </c>
      <c r="K20" s="41">
        <f>IF(OR(NOT('Plano de Ação'!$B19&lt;&gt;""),NOT(ISNUMBER('Plano de Ação'!$F19)),NOT(ISNUMBER('Plano de Ação'!$G19)),'Plano de Ação'!$J19="Cancelada"),0,IF(AND('Plano de Ação'!$F19&lt;=EOMONTH(DATE(ano_ref,7,1),0),'Plano de Ação'!$G19&gt;=DATE(ano_ref,7,1)),1,0))</f>
      </c>
      <c r="L20" s="41">
        <f>IF(OR(NOT('Plano de Ação'!$B19&lt;&gt;""),NOT(ISNUMBER('Plano de Ação'!$F19)),NOT(ISNUMBER('Plano de Ação'!$G19)),'Plano de Ação'!$J19="Cancelada"),0,IF(AND('Plano de Ação'!$F19&lt;=EOMONTH(DATE(ano_ref,8,1),0),'Plano de Ação'!$G19&gt;=DATE(ano_ref,8,1)),1,0))</f>
      </c>
      <c r="M20" s="41">
        <f>IF(OR(NOT('Plano de Ação'!$B19&lt;&gt;""),NOT(ISNUMBER('Plano de Ação'!$F19)),NOT(ISNUMBER('Plano de Ação'!$G19)),'Plano de Ação'!$J19="Cancelada"),0,IF(AND('Plano de Ação'!$F19&lt;=EOMONTH(DATE(ano_ref,9,1),0),'Plano de Ação'!$G19&gt;=DATE(ano_ref,9,1)),1,0))</f>
      </c>
      <c r="N20" s="41">
        <f>IF(OR(NOT('Plano de Ação'!$B19&lt;&gt;""),NOT(ISNUMBER('Plano de Ação'!$F19)),NOT(ISNUMBER('Plano de Ação'!$G19)),'Plano de Ação'!$J19="Cancelada"),0,IF(AND('Plano de Ação'!$F19&lt;=EOMONTH(DATE(ano_ref,10,1),0),'Plano de Ação'!$G19&gt;=DATE(ano_ref,10,1)),1,0))</f>
      </c>
      <c r="O20" s="41">
        <f>IF(OR(NOT('Plano de Ação'!$B19&lt;&gt;""),NOT(ISNUMBER('Plano de Ação'!$F19)),NOT(ISNUMBER('Plano de Ação'!$G19)),'Plano de Ação'!$J19="Cancelada"),0,IF(AND('Plano de Ação'!$F19&lt;=EOMONTH(DATE(ano_ref,11,1),0),'Plano de Ação'!$G19&gt;=DATE(ano_ref,11,1)),1,0))</f>
      </c>
      <c r="P20" s="41">
        <f>IF(OR(NOT('Plano de Ação'!$B19&lt;&gt;""),NOT(ISNUMBER('Plano de Ação'!$F19)),NOT(ISNUMBER('Plano de Ação'!$G19)),'Plano de Ação'!$J19="Cancelada"),0,IF(AND('Plano de Ação'!$F19&lt;=EOMONTH(DATE(ano_ref,12,1),0),'Plano de Ação'!$G19&gt;=DATE(ano_ref,12,1)),1,0))</f>
      </c>
    </row>
    <row r="21" spans="1:16" x14ac:dyDescent="0.25">
      <c r="A21" s="40">
        <f>IF('Plano de Ação'!$B20&lt;&gt;"",'Plano de Ação'!A20&amp;"","")</f>
      </c>
      <c r="B21" s="25">
        <f>IF('Plano de Ação'!$B20&lt;&gt;"",'Plano de Ação'!B20,"")</f>
      </c>
      <c r="C21" s="25">
        <f>IF('Plano de Ação'!$B20&lt;&gt;"",'Plano de Ação'!E20&amp;"","")</f>
      </c>
      <c r="D21" s="40">
        <f>IF('Plano de Ação'!$B20&lt;&gt;"",'Plano de Ação'!L20,"")</f>
      </c>
      <c r="E21" s="41">
        <f>IF(OR(NOT('Plano de Ação'!$B20&lt;&gt;""),NOT(ISNUMBER('Plano de Ação'!$F20)),NOT(ISNUMBER('Plano de Ação'!$G20)),'Plano de Ação'!$J20="Cancelada"),0,IF(AND('Plano de Ação'!$F20&lt;=EOMONTH(DATE(ano_ref,1,1),0),'Plano de Ação'!$G20&gt;=DATE(ano_ref,1,1)),1,0))</f>
      </c>
      <c r="F21" s="41">
        <f>IF(OR(NOT('Plano de Ação'!$B20&lt;&gt;""),NOT(ISNUMBER('Plano de Ação'!$F20)),NOT(ISNUMBER('Plano de Ação'!$G20)),'Plano de Ação'!$J20="Cancelada"),0,IF(AND('Plano de Ação'!$F20&lt;=EOMONTH(DATE(ano_ref,2,1),0),'Plano de Ação'!$G20&gt;=DATE(ano_ref,2,1)),1,0))</f>
      </c>
      <c r="G21" s="41">
        <f>IF(OR(NOT('Plano de Ação'!$B20&lt;&gt;""),NOT(ISNUMBER('Plano de Ação'!$F20)),NOT(ISNUMBER('Plano de Ação'!$G20)),'Plano de Ação'!$J20="Cancelada"),0,IF(AND('Plano de Ação'!$F20&lt;=EOMONTH(DATE(ano_ref,3,1),0),'Plano de Ação'!$G20&gt;=DATE(ano_ref,3,1)),1,0))</f>
      </c>
      <c r="H21" s="41">
        <f>IF(OR(NOT('Plano de Ação'!$B20&lt;&gt;""),NOT(ISNUMBER('Plano de Ação'!$F20)),NOT(ISNUMBER('Plano de Ação'!$G20)),'Plano de Ação'!$J20="Cancelada"),0,IF(AND('Plano de Ação'!$F20&lt;=EOMONTH(DATE(ano_ref,4,1),0),'Plano de Ação'!$G20&gt;=DATE(ano_ref,4,1)),1,0))</f>
      </c>
      <c r="I21" s="41">
        <f>IF(OR(NOT('Plano de Ação'!$B20&lt;&gt;""),NOT(ISNUMBER('Plano de Ação'!$F20)),NOT(ISNUMBER('Plano de Ação'!$G20)),'Plano de Ação'!$J20="Cancelada"),0,IF(AND('Plano de Ação'!$F20&lt;=EOMONTH(DATE(ano_ref,5,1),0),'Plano de Ação'!$G20&gt;=DATE(ano_ref,5,1)),1,0))</f>
      </c>
      <c r="J21" s="41">
        <f>IF(OR(NOT('Plano de Ação'!$B20&lt;&gt;""),NOT(ISNUMBER('Plano de Ação'!$F20)),NOT(ISNUMBER('Plano de Ação'!$G20)),'Plano de Ação'!$J20="Cancelada"),0,IF(AND('Plano de Ação'!$F20&lt;=EOMONTH(DATE(ano_ref,6,1),0),'Plano de Ação'!$G20&gt;=DATE(ano_ref,6,1)),1,0))</f>
      </c>
      <c r="K21" s="41">
        <f>IF(OR(NOT('Plano de Ação'!$B20&lt;&gt;""),NOT(ISNUMBER('Plano de Ação'!$F20)),NOT(ISNUMBER('Plano de Ação'!$G20)),'Plano de Ação'!$J20="Cancelada"),0,IF(AND('Plano de Ação'!$F20&lt;=EOMONTH(DATE(ano_ref,7,1),0),'Plano de Ação'!$G20&gt;=DATE(ano_ref,7,1)),1,0))</f>
      </c>
      <c r="L21" s="41">
        <f>IF(OR(NOT('Plano de Ação'!$B20&lt;&gt;""),NOT(ISNUMBER('Plano de Ação'!$F20)),NOT(ISNUMBER('Plano de Ação'!$G20)),'Plano de Ação'!$J20="Cancelada"),0,IF(AND('Plano de Ação'!$F20&lt;=EOMONTH(DATE(ano_ref,8,1),0),'Plano de Ação'!$G20&gt;=DATE(ano_ref,8,1)),1,0))</f>
      </c>
      <c r="M21" s="41">
        <f>IF(OR(NOT('Plano de Ação'!$B20&lt;&gt;""),NOT(ISNUMBER('Plano de Ação'!$F20)),NOT(ISNUMBER('Plano de Ação'!$G20)),'Plano de Ação'!$J20="Cancelada"),0,IF(AND('Plano de Ação'!$F20&lt;=EOMONTH(DATE(ano_ref,9,1),0),'Plano de Ação'!$G20&gt;=DATE(ano_ref,9,1)),1,0))</f>
      </c>
      <c r="N21" s="41">
        <f>IF(OR(NOT('Plano de Ação'!$B20&lt;&gt;""),NOT(ISNUMBER('Plano de Ação'!$F20)),NOT(ISNUMBER('Plano de Ação'!$G20)),'Plano de Ação'!$J20="Cancelada"),0,IF(AND('Plano de Ação'!$F20&lt;=EOMONTH(DATE(ano_ref,10,1),0),'Plano de Ação'!$G20&gt;=DATE(ano_ref,10,1)),1,0))</f>
      </c>
      <c r="O21" s="41">
        <f>IF(OR(NOT('Plano de Ação'!$B20&lt;&gt;""),NOT(ISNUMBER('Plano de Ação'!$F20)),NOT(ISNUMBER('Plano de Ação'!$G20)),'Plano de Ação'!$J20="Cancelada"),0,IF(AND('Plano de Ação'!$F20&lt;=EOMONTH(DATE(ano_ref,11,1),0),'Plano de Ação'!$G20&gt;=DATE(ano_ref,11,1)),1,0))</f>
      </c>
      <c r="P21" s="41">
        <f>IF(OR(NOT('Plano de Ação'!$B20&lt;&gt;""),NOT(ISNUMBER('Plano de Ação'!$F20)),NOT(ISNUMBER('Plano de Ação'!$G20)),'Plano de Ação'!$J20="Cancelada"),0,IF(AND('Plano de Ação'!$F20&lt;=EOMONTH(DATE(ano_ref,12,1),0),'Plano de Ação'!$G20&gt;=DATE(ano_ref,12,1)),1,0))</f>
      </c>
    </row>
    <row r="22" spans="1:16" x14ac:dyDescent="0.25">
      <c r="A22" s="40">
        <f>IF('Plano de Ação'!$B21&lt;&gt;"",'Plano de Ação'!A21&amp;"","")</f>
      </c>
      <c r="B22" s="25">
        <f>IF('Plano de Ação'!$B21&lt;&gt;"",'Plano de Ação'!B21,"")</f>
      </c>
      <c r="C22" s="25">
        <f>IF('Plano de Ação'!$B21&lt;&gt;"",'Plano de Ação'!E21&amp;"","")</f>
      </c>
      <c r="D22" s="40">
        <f>IF('Plano de Ação'!$B21&lt;&gt;"",'Plano de Ação'!L21,"")</f>
      </c>
      <c r="E22" s="41">
        <f>IF(OR(NOT('Plano de Ação'!$B21&lt;&gt;""),NOT(ISNUMBER('Plano de Ação'!$F21)),NOT(ISNUMBER('Plano de Ação'!$G21)),'Plano de Ação'!$J21="Cancelada"),0,IF(AND('Plano de Ação'!$F21&lt;=EOMONTH(DATE(ano_ref,1,1),0),'Plano de Ação'!$G21&gt;=DATE(ano_ref,1,1)),1,0))</f>
      </c>
      <c r="F22" s="41">
        <f>IF(OR(NOT('Plano de Ação'!$B21&lt;&gt;""),NOT(ISNUMBER('Plano de Ação'!$F21)),NOT(ISNUMBER('Plano de Ação'!$G21)),'Plano de Ação'!$J21="Cancelada"),0,IF(AND('Plano de Ação'!$F21&lt;=EOMONTH(DATE(ano_ref,2,1),0),'Plano de Ação'!$G21&gt;=DATE(ano_ref,2,1)),1,0))</f>
      </c>
      <c r="G22" s="41">
        <f>IF(OR(NOT('Plano de Ação'!$B21&lt;&gt;""),NOT(ISNUMBER('Plano de Ação'!$F21)),NOT(ISNUMBER('Plano de Ação'!$G21)),'Plano de Ação'!$J21="Cancelada"),0,IF(AND('Plano de Ação'!$F21&lt;=EOMONTH(DATE(ano_ref,3,1),0),'Plano de Ação'!$G21&gt;=DATE(ano_ref,3,1)),1,0))</f>
      </c>
      <c r="H22" s="41">
        <f>IF(OR(NOT('Plano de Ação'!$B21&lt;&gt;""),NOT(ISNUMBER('Plano de Ação'!$F21)),NOT(ISNUMBER('Plano de Ação'!$G21)),'Plano de Ação'!$J21="Cancelada"),0,IF(AND('Plano de Ação'!$F21&lt;=EOMONTH(DATE(ano_ref,4,1),0),'Plano de Ação'!$G21&gt;=DATE(ano_ref,4,1)),1,0))</f>
      </c>
      <c r="I22" s="41">
        <f>IF(OR(NOT('Plano de Ação'!$B21&lt;&gt;""),NOT(ISNUMBER('Plano de Ação'!$F21)),NOT(ISNUMBER('Plano de Ação'!$G21)),'Plano de Ação'!$J21="Cancelada"),0,IF(AND('Plano de Ação'!$F21&lt;=EOMONTH(DATE(ano_ref,5,1),0),'Plano de Ação'!$G21&gt;=DATE(ano_ref,5,1)),1,0))</f>
      </c>
      <c r="J22" s="41">
        <f>IF(OR(NOT('Plano de Ação'!$B21&lt;&gt;""),NOT(ISNUMBER('Plano de Ação'!$F21)),NOT(ISNUMBER('Plano de Ação'!$G21)),'Plano de Ação'!$J21="Cancelada"),0,IF(AND('Plano de Ação'!$F21&lt;=EOMONTH(DATE(ano_ref,6,1),0),'Plano de Ação'!$G21&gt;=DATE(ano_ref,6,1)),1,0))</f>
      </c>
      <c r="K22" s="41">
        <f>IF(OR(NOT('Plano de Ação'!$B21&lt;&gt;""),NOT(ISNUMBER('Plano de Ação'!$F21)),NOT(ISNUMBER('Plano de Ação'!$G21)),'Plano de Ação'!$J21="Cancelada"),0,IF(AND('Plano de Ação'!$F21&lt;=EOMONTH(DATE(ano_ref,7,1),0),'Plano de Ação'!$G21&gt;=DATE(ano_ref,7,1)),1,0))</f>
      </c>
      <c r="L22" s="41">
        <f>IF(OR(NOT('Plano de Ação'!$B21&lt;&gt;""),NOT(ISNUMBER('Plano de Ação'!$F21)),NOT(ISNUMBER('Plano de Ação'!$G21)),'Plano de Ação'!$J21="Cancelada"),0,IF(AND('Plano de Ação'!$F21&lt;=EOMONTH(DATE(ano_ref,8,1),0),'Plano de Ação'!$G21&gt;=DATE(ano_ref,8,1)),1,0))</f>
      </c>
      <c r="M22" s="41">
        <f>IF(OR(NOT('Plano de Ação'!$B21&lt;&gt;""),NOT(ISNUMBER('Plano de Ação'!$F21)),NOT(ISNUMBER('Plano de Ação'!$G21)),'Plano de Ação'!$J21="Cancelada"),0,IF(AND('Plano de Ação'!$F21&lt;=EOMONTH(DATE(ano_ref,9,1),0),'Plano de Ação'!$G21&gt;=DATE(ano_ref,9,1)),1,0))</f>
      </c>
      <c r="N22" s="41">
        <f>IF(OR(NOT('Plano de Ação'!$B21&lt;&gt;""),NOT(ISNUMBER('Plano de Ação'!$F21)),NOT(ISNUMBER('Plano de Ação'!$G21)),'Plano de Ação'!$J21="Cancelada"),0,IF(AND('Plano de Ação'!$F21&lt;=EOMONTH(DATE(ano_ref,10,1),0),'Plano de Ação'!$G21&gt;=DATE(ano_ref,10,1)),1,0))</f>
      </c>
      <c r="O22" s="41">
        <f>IF(OR(NOT('Plano de Ação'!$B21&lt;&gt;""),NOT(ISNUMBER('Plano de Ação'!$F21)),NOT(ISNUMBER('Plano de Ação'!$G21)),'Plano de Ação'!$J21="Cancelada"),0,IF(AND('Plano de Ação'!$F21&lt;=EOMONTH(DATE(ano_ref,11,1),0),'Plano de Ação'!$G21&gt;=DATE(ano_ref,11,1)),1,0))</f>
      </c>
      <c r="P22" s="41">
        <f>IF(OR(NOT('Plano de Ação'!$B21&lt;&gt;""),NOT(ISNUMBER('Plano de Ação'!$F21)),NOT(ISNUMBER('Plano de Ação'!$G21)),'Plano de Ação'!$J21="Cancelada"),0,IF(AND('Plano de Ação'!$F21&lt;=EOMONTH(DATE(ano_ref,12,1),0),'Plano de Ação'!$G21&gt;=DATE(ano_ref,12,1)),1,0))</f>
      </c>
    </row>
    <row r="23" spans="1:16" x14ac:dyDescent="0.25">
      <c r="A23" s="40">
        <f>IF('Plano de Ação'!$B22&lt;&gt;"",'Plano de Ação'!A22&amp;"","")</f>
      </c>
      <c r="B23" s="25">
        <f>IF('Plano de Ação'!$B22&lt;&gt;"",'Plano de Ação'!B22,"")</f>
      </c>
      <c r="C23" s="25">
        <f>IF('Plano de Ação'!$B22&lt;&gt;"",'Plano de Ação'!E22&amp;"","")</f>
      </c>
      <c r="D23" s="40">
        <f>IF('Plano de Ação'!$B22&lt;&gt;"",'Plano de Ação'!L22,"")</f>
      </c>
      <c r="E23" s="41">
        <f>IF(OR(NOT('Plano de Ação'!$B22&lt;&gt;""),NOT(ISNUMBER('Plano de Ação'!$F22)),NOT(ISNUMBER('Plano de Ação'!$G22)),'Plano de Ação'!$J22="Cancelada"),0,IF(AND('Plano de Ação'!$F22&lt;=EOMONTH(DATE(ano_ref,1,1),0),'Plano de Ação'!$G22&gt;=DATE(ano_ref,1,1)),1,0))</f>
      </c>
      <c r="F23" s="41">
        <f>IF(OR(NOT('Plano de Ação'!$B22&lt;&gt;""),NOT(ISNUMBER('Plano de Ação'!$F22)),NOT(ISNUMBER('Plano de Ação'!$G22)),'Plano de Ação'!$J22="Cancelada"),0,IF(AND('Plano de Ação'!$F22&lt;=EOMONTH(DATE(ano_ref,2,1),0),'Plano de Ação'!$G22&gt;=DATE(ano_ref,2,1)),1,0))</f>
      </c>
      <c r="G23" s="41">
        <f>IF(OR(NOT('Plano de Ação'!$B22&lt;&gt;""),NOT(ISNUMBER('Plano de Ação'!$F22)),NOT(ISNUMBER('Plano de Ação'!$G22)),'Plano de Ação'!$J22="Cancelada"),0,IF(AND('Plano de Ação'!$F22&lt;=EOMONTH(DATE(ano_ref,3,1),0),'Plano de Ação'!$G22&gt;=DATE(ano_ref,3,1)),1,0))</f>
      </c>
      <c r="H23" s="41">
        <f>IF(OR(NOT('Plano de Ação'!$B22&lt;&gt;""),NOT(ISNUMBER('Plano de Ação'!$F22)),NOT(ISNUMBER('Plano de Ação'!$G22)),'Plano de Ação'!$J22="Cancelada"),0,IF(AND('Plano de Ação'!$F22&lt;=EOMONTH(DATE(ano_ref,4,1),0),'Plano de Ação'!$G22&gt;=DATE(ano_ref,4,1)),1,0))</f>
      </c>
      <c r="I23" s="41">
        <f>IF(OR(NOT('Plano de Ação'!$B22&lt;&gt;""),NOT(ISNUMBER('Plano de Ação'!$F22)),NOT(ISNUMBER('Plano de Ação'!$G22)),'Plano de Ação'!$J22="Cancelada"),0,IF(AND('Plano de Ação'!$F22&lt;=EOMONTH(DATE(ano_ref,5,1),0),'Plano de Ação'!$G22&gt;=DATE(ano_ref,5,1)),1,0))</f>
      </c>
      <c r="J23" s="41">
        <f>IF(OR(NOT('Plano de Ação'!$B22&lt;&gt;""),NOT(ISNUMBER('Plano de Ação'!$F22)),NOT(ISNUMBER('Plano de Ação'!$G22)),'Plano de Ação'!$J22="Cancelada"),0,IF(AND('Plano de Ação'!$F22&lt;=EOMONTH(DATE(ano_ref,6,1),0),'Plano de Ação'!$G22&gt;=DATE(ano_ref,6,1)),1,0))</f>
      </c>
      <c r="K23" s="41">
        <f>IF(OR(NOT('Plano de Ação'!$B22&lt;&gt;""),NOT(ISNUMBER('Plano de Ação'!$F22)),NOT(ISNUMBER('Plano de Ação'!$G22)),'Plano de Ação'!$J22="Cancelada"),0,IF(AND('Plano de Ação'!$F22&lt;=EOMONTH(DATE(ano_ref,7,1),0),'Plano de Ação'!$G22&gt;=DATE(ano_ref,7,1)),1,0))</f>
      </c>
      <c r="L23" s="41">
        <f>IF(OR(NOT('Plano de Ação'!$B22&lt;&gt;""),NOT(ISNUMBER('Plano de Ação'!$F22)),NOT(ISNUMBER('Plano de Ação'!$G22)),'Plano de Ação'!$J22="Cancelada"),0,IF(AND('Plano de Ação'!$F22&lt;=EOMONTH(DATE(ano_ref,8,1),0),'Plano de Ação'!$G22&gt;=DATE(ano_ref,8,1)),1,0))</f>
      </c>
      <c r="M23" s="41">
        <f>IF(OR(NOT('Plano de Ação'!$B22&lt;&gt;""),NOT(ISNUMBER('Plano de Ação'!$F22)),NOT(ISNUMBER('Plano de Ação'!$G22)),'Plano de Ação'!$J22="Cancelada"),0,IF(AND('Plano de Ação'!$F22&lt;=EOMONTH(DATE(ano_ref,9,1),0),'Plano de Ação'!$G22&gt;=DATE(ano_ref,9,1)),1,0))</f>
      </c>
      <c r="N23" s="41">
        <f>IF(OR(NOT('Plano de Ação'!$B22&lt;&gt;""),NOT(ISNUMBER('Plano de Ação'!$F22)),NOT(ISNUMBER('Plano de Ação'!$G22)),'Plano de Ação'!$J22="Cancelada"),0,IF(AND('Plano de Ação'!$F22&lt;=EOMONTH(DATE(ano_ref,10,1),0),'Plano de Ação'!$G22&gt;=DATE(ano_ref,10,1)),1,0))</f>
      </c>
      <c r="O23" s="41">
        <f>IF(OR(NOT('Plano de Ação'!$B22&lt;&gt;""),NOT(ISNUMBER('Plano de Ação'!$F22)),NOT(ISNUMBER('Plano de Ação'!$G22)),'Plano de Ação'!$J22="Cancelada"),0,IF(AND('Plano de Ação'!$F22&lt;=EOMONTH(DATE(ano_ref,11,1),0),'Plano de Ação'!$G22&gt;=DATE(ano_ref,11,1)),1,0))</f>
      </c>
      <c r="P23" s="41">
        <f>IF(OR(NOT('Plano de Ação'!$B22&lt;&gt;""),NOT(ISNUMBER('Plano de Ação'!$F22)),NOT(ISNUMBER('Plano de Ação'!$G22)),'Plano de Ação'!$J22="Cancelada"),0,IF(AND('Plano de Ação'!$F22&lt;=EOMONTH(DATE(ano_ref,12,1),0),'Plano de Ação'!$G22&gt;=DATE(ano_ref,12,1)),1,0))</f>
      </c>
    </row>
    <row r="24" spans="1:16" x14ac:dyDescent="0.25">
      <c r="A24" s="40">
        <f>IF('Plano de Ação'!$B23&lt;&gt;"",'Plano de Ação'!A23&amp;"","")</f>
      </c>
      <c r="B24" s="25">
        <f>IF('Plano de Ação'!$B23&lt;&gt;"",'Plano de Ação'!B23,"")</f>
      </c>
      <c r="C24" s="25">
        <f>IF('Plano de Ação'!$B23&lt;&gt;"",'Plano de Ação'!E23&amp;"","")</f>
      </c>
      <c r="D24" s="40">
        <f>IF('Plano de Ação'!$B23&lt;&gt;"",'Plano de Ação'!L23,"")</f>
      </c>
      <c r="E24" s="41">
        <f>IF(OR(NOT('Plano de Ação'!$B23&lt;&gt;""),NOT(ISNUMBER('Plano de Ação'!$F23)),NOT(ISNUMBER('Plano de Ação'!$G23)),'Plano de Ação'!$J23="Cancelada"),0,IF(AND('Plano de Ação'!$F23&lt;=EOMONTH(DATE(ano_ref,1,1),0),'Plano de Ação'!$G23&gt;=DATE(ano_ref,1,1)),1,0))</f>
      </c>
      <c r="F24" s="41">
        <f>IF(OR(NOT('Plano de Ação'!$B23&lt;&gt;""),NOT(ISNUMBER('Plano de Ação'!$F23)),NOT(ISNUMBER('Plano de Ação'!$G23)),'Plano de Ação'!$J23="Cancelada"),0,IF(AND('Plano de Ação'!$F23&lt;=EOMONTH(DATE(ano_ref,2,1),0),'Plano de Ação'!$G23&gt;=DATE(ano_ref,2,1)),1,0))</f>
      </c>
      <c r="G24" s="41">
        <f>IF(OR(NOT('Plano de Ação'!$B23&lt;&gt;""),NOT(ISNUMBER('Plano de Ação'!$F23)),NOT(ISNUMBER('Plano de Ação'!$G23)),'Plano de Ação'!$J23="Cancelada"),0,IF(AND('Plano de Ação'!$F23&lt;=EOMONTH(DATE(ano_ref,3,1),0),'Plano de Ação'!$G23&gt;=DATE(ano_ref,3,1)),1,0))</f>
      </c>
      <c r="H24" s="41">
        <f>IF(OR(NOT('Plano de Ação'!$B23&lt;&gt;""),NOT(ISNUMBER('Plano de Ação'!$F23)),NOT(ISNUMBER('Plano de Ação'!$G23)),'Plano de Ação'!$J23="Cancelada"),0,IF(AND('Plano de Ação'!$F23&lt;=EOMONTH(DATE(ano_ref,4,1),0),'Plano de Ação'!$G23&gt;=DATE(ano_ref,4,1)),1,0))</f>
      </c>
      <c r="I24" s="41">
        <f>IF(OR(NOT('Plano de Ação'!$B23&lt;&gt;""),NOT(ISNUMBER('Plano de Ação'!$F23)),NOT(ISNUMBER('Plano de Ação'!$G23)),'Plano de Ação'!$J23="Cancelada"),0,IF(AND('Plano de Ação'!$F23&lt;=EOMONTH(DATE(ano_ref,5,1),0),'Plano de Ação'!$G23&gt;=DATE(ano_ref,5,1)),1,0))</f>
      </c>
      <c r="J24" s="41">
        <f>IF(OR(NOT('Plano de Ação'!$B23&lt;&gt;""),NOT(ISNUMBER('Plano de Ação'!$F23)),NOT(ISNUMBER('Plano de Ação'!$G23)),'Plano de Ação'!$J23="Cancelada"),0,IF(AND('Plano de Ação'!$F23&lt;=EOMONTH(DATE(ano_ref,6,1),0),'Plano de Ação'!$G23&gt;=DATE(ano_ref,6,1)),1,0))</f>
      </c>
      <c r="K24" s="41">
        <f>IF(OR(NOT('Plano de Ação'!$B23&lt;&gt;""),NOT(ISNUMBER('Plano de Ação'!$F23)),NOT(ISNUMBER('Plano de Ação'!$G23)),'Plano de Ação'!$J23="Cancelada"),0,IF(AND('Plano de Ação'!$F23&lt;=EOMONTH(DATE(ano_ref,7,1),0),'Plano de Ação'!$G23&gt;=DATE(ano_ref,7,1)),1,0))</f>
      </c>
      <c r="L24" s="41">
        <f>IF(OR(NOT('Plano de Ação'!$B23&lt;&gt;""),NOT(ISNUMBER('Plano de Ação'!$F23)),NOT(ISNUMBER('Plano de Ação'!$G23)),'Plano de Ação'!$J23="Cancelada"),0,IF(AND('Plano de Ação'!$F23&lt;=EOMONTH(DATE(ano_ref,8,1),0),'Plano de Ação'!$G23&gt;=DATE(ano_ref,8,1)),1,0))</f>
      </c>
      <c r="M24" s="41">
        <f>IF(OR(NOT('Plano de Ação'!$B23&lt;&gt;""),NOT(ISNUMBER('Plano de Ação'!$F23)),NOT(ISNUMBER('Plano de Ação'!$G23)),'Plano de Ação'!$J23="Cancelada"),0,IF(AND('Plano de Ação'!$F23&lt;=EOMONTH(DATE(ano_ref,9,1),0),'Plano de Ação'!$G23&gt;=DATE(ano_ref,9,1)),1,0))</f>
      </c>
      <c r="N24" s="41">
        <f>IF(OR(NOT('Plano de Ação'!$B23&lt;&gt;""),NOT(ISNUMBER('Plano de Ação'!$F23)),NOT(ISNUMBER('Plano de Ação'!$G23)),'Plano de Ação'!$J23="Cancelada"),0,IF(AND('Plano de Ação'!$F23&lt;=EOMONTH(DATE(ano_ref,10,1),0),'Plano de Ação'!$G23&gt;=DATE(ano_ref,10,1)),1,0))</f>
      </c>
      <c r="O24" s="41">
        <f>IF(OR(NOT('Plano de Ação'!$B23&lt;&gt;""),NOT(ISNUMBER('Plano de Ação'!$F23)),NOT(ISNUMBER('Plano de Ação'!$G23)),'Plano de Ação'!$J23="Cancelada"),0,IF(AND('Plano de Ação'!$F23&lt;=EOMONTH(DATE(ano_ref,11,1),0),'Plano de Ação'!$G23&gt;=DATE(ano_ref,11,1)),1,0))</f>
      </c>
      <c r="P24" s="41">
        <f>IF(OR(NOT('Plano de Ação'!$B23&lt;&gt;""),NOT(ISNUMBER('Plano de Ação'!$F23)),NOT(ISNUMBER('Plano de Ação'!$G23)),'Plano de Ação'!$J23="Cancelada"),0,IF(AND('Plano de Ação'!$F23&lt;=EOMONTH(DATE(ano_ref,12,1),0),'Plano de Ação'!$G23&gt;=DATE(ano_ref,12,1)),1,0))</f>
      </c>
    </row>
    <row r="25" spans="1:16" x14ac:dyDescent="0.25">
      <c r="A25" s="40">
        <f>IF('Plano de Ação'!$B24&lt;&gt;"",'Plano de Ação'!A24&amp;"","")</f>
      </c>
      <c r="B25" s="25">
        <f>IF('Plano de Ação'!$B24&lt;&gt;"",'Plano de Ação'!B24,"")</f>
      </c>
      <c r="C25" s="25">
        <f>IF('Plano de Ação'!$B24&lt;&gt;"",'Plano de Ação'!E24&amp;"","")</f>
      </c>
      <c r="D25" s="40">
        <f>IF('Plano de Ação'!$B24&lt;&gt;"",'Plano de Ação'!L24,"")</f>
      </c>
      <c r="E25" s="41">
        <f>IF(OR(NOT('Plano de Ação'!$B24&lt;&gt;""),NOT(ISNUMBER('Plano de Ação'!$F24)),NOT(ISNUMBER('Plano de Ação'!$G24)),'Plano de Ação'!$J24="Cancelada"),0,IF(AND('Plano de Ação'!$F24&lt;=EOMONTH(DATE(ano_ref,1,1),0),'Plano de Ação'!$G24&gt;=DATE(ano_ref,1,1)),1,0))</f>
      </c>
      <c r="F25" s="41">
        <f>IF(OR(NOT('Plano de Ação'!$B24&lt;&gt;""),NOT(ISNUMBER('Plano de Ação'!$F24)),NOT(ISNUMBER('Plano de Ação'!$G24)),'Plano de Ação'!$J24="Cancelada"),0,IF(AND('Plano de Ação'!$F24&lt;=EOMONTH(DATE(ano_ref,2,1),0),'Plano de Ação'!$G24&gt;=DATE(ano_ref,2,1)),1,0))</f>
      </c>
      <c r="G25" s="41">
        <f>IF(OR(NOT('Plano de Ação'!$B24&lt;&gt;""),NOT(ISNUMBER('Plano de Ação'!$F24)),NOT(ISNUMBER('Plano de Ação'!$G24)),'Plano de Ação'!$J24="Cancelada"),0,IF(AND('Plano de Ação'!$F24&lt;=EOMONTH(DATE(ano_ref,3,1),0),'Plano de Ação'!$G24&gt;=DATE(ano_ref,3,1)),1,0))</f>
      </c>
      <c r="H25" s="41">
        <f>IF(OR(NOT('Plano de Ação'!$B24&lt;&gt;""),NOT(ISNUMBER('Plano de Ação'!$F24)),NOT(ISNUMBER('Plano de Ação'!$G24)),'Plano de Ação'!$J24="Cancelada"),0,IF(AND('Plano de Ação'!$F24&lt;=EOMONTH(DATE(ano_ref,4,1),0),'Plano de Ação'!$G24&gt;=DATE(ano_ref,4,1)),1,0))</f>
      </c>
      <c r="I25" s="41">
        <f>IF(OR(NOT('Plano de Ação'!$B24&lt;&gt;""),NOT(ISNUMBER('Plano de Ação'!$F24)),NOT(ISNUMBER('Plano de Ação'!$G24)),'Plano de Ação'!$J24="Cancelada"),0,IF(AND('Plano de Ação'!$F24&lt;=EOMONTH(DATE(ano_ref,5,1),0),'Plano de Ação'!$G24&gt;=DATE(ano_ref,5,1)),1,0))</f>
      </c>
      <c r="J25" s="41">
        <f>IF(OR(NOT('Plano de Ação'!$B24&lt;&gt;""),NOT(ISNUMBER('Plano de Ação'!$F24)),NOT(ISNUMBER('Plano de Ação'!$G24)),'Plano de Ação'!$J24="Cancelada"),0,IF(AND('Plano de Ação'!$F24&lt;=EOMONTH(DATE(ano_ref,6,1),0),'Plano de Ação'!$G24&gt;=DATE(ano_ref,6,1)),1,0))</f>
      </c>
      <c r="K25" s="41">
        <f>IF(OR(NOT('Plano de Ação'!$B24&lt;&gt;""),NOT(ISNUMBER('Plano de Ação'!$F24)),NOT(ISNUMBER('Plano de Ação'!$G24)),'Plano de Ação'!$J24="Cancelada"),0,IF(AND('Plano de Ação'!$F24&lt;=EOMONTH(DATE(ano_ref,7,1),0),'Plano de Ação'!$G24&gt;=DATE(ano_ref,7,1)),1,0))</f>
      </c>
      <c r="L25" s="41">
        <f>IF(OR(NOT('Plano de Ação'!$B24&lt;&gt;""),NOT(ISNUMBER('Plano de Ação'!$F24)),NOT(ISNUMBER('Plano de Ação'!$G24)),'Plano de Ação'!$J24="Cancelada"),0,IF(AND('Plano de Ação'!$F24&lt;=EOMONTH(DATE(ano_ref,8,1),0),'Plano de Ação'!$G24&gt;=DATE(ano_ref,8,1)),1,0))</f>
      </c>
      <c r="M25" s="41">
        <f>IF(OR(NOT('Plano de Ação'!$B24&lt;&gt;""),NOT(ISNUMBER('Plano de Ação'!$F24)),NOT(ISNUMBER('Plano de Ação'!$G24)),'Plano de Ação'!$J24="Cancelada"),0,IF(AND('Plano de Ação'!$F24&lt;=EOMONTH(DATE(ano_ref,9,1),0),'Plano de Ação'!$G24&gt;=DATE(ano_ref,9,1)),1,0))</f>
      </c>
      <c r="N25" s="41">
        <f>IF(OR(NOT('Plano de Ação'!$B24&lt;&gt;""),NOT(ISNUMBER('Plano de Ação'!$F24)),NOT(ISNUMBER('Plano de Ação'!$G24)),'Plano de Ação'!$J24="Cancelada"),0,IF(AND('Plano de Ação'!$F24&lt;=EOMONTH(DATE(ano_ref,10,1),0),'Plano de Ação'!$G24&gt;=DATE(ano_ref,10,1)),1,0))</f>
      </c>
      <c r="O25" s="41">
        <f>IF(OR(NOT('Plano de Ação'!$B24&lt;&gt;""),NOT(ISNUMBER('Plano de Ação'!$F24)),NOT(ISNUMBER('Plano de Ação'!$G24)),'Plano de Ação'!$J24="Cancelada"),0,IF(AND('Plano de Ação'!$F24&lt;=EOMONTH(DATE(ano_ref,11,1),0),'Plano de Ação'!$G24&gt;=DATE(ano_ref,11,1)),1,0))</f>
      </c>
      <c r="P25" s="41">
        <f>IF(OR(NOT('Plano de Ação'!$B24&lt;&gt;""),NOT(ISNUMBER('Plano de Ação'!$F24)),NOT(ISNUMBER('Plano de Ação'!$G24)),'Plano de Ação'!$J24="Cancelada"),0,IF(AND('Plano de Ação'!$F24&lt;=EOMONTH(DATE(ano_ref,12,1),0),'Plano de Ação'!$G24&gt;=DATE(ano_ref,12,1)),1,0))</f>
      </c>
    </row>
    <row r="26" spans="1:16" x14ac:dyDescent="0.25">
      <c r="A26" s="40">
        <f>IF('Plano de Ação'!$B25&lt;&gt;"",'Plano de Ação'!A25&amp;"","")</f>
      </c>
      <c r="B26" s="25">
        <f>IF('Plano de Ação'!$B25&lt;&gt;"",'Plano de Ação'!B25,"")</f>
      </c>
      <c r="C26" s="25">
        <f>IF('Plano de Ação'!$B25&lt;&gt;"",'Plano de Ação'!E25&amp;"","")</f>
      </c>
      <c r="D26" s="40">
        <f>IF('Plano de Ação'!$B25&lt;&gt;"",'Plano de Ação'!L25,"")</f>
      </c>
      <c r="E26" s="41">
        <f>IF(OR(NOT('Plano de Ação'!$B25&lt;&gt;""),NOT(ISNUMBER('Plano de Ação'!$F25)),NOT(ISNUMBER('Plano de Ação'!$G25)),'Plano de Ação'!$J25="Cancelada"),0,IF(AND('Plano de Ação'!$F25&lt;=EOMONTH(DATE(ano_ref,1,1),0),'Plano de Ação'!$G25&gt;=DATE(ano_ref,1,1)),1,0))</f>
      </c>
      <c r="F26" s="41">
        <f>IF(OR(NOT('Plano de Ação'!$B25&lt;&gt;""),NOT(ISNUMBER('Plano de Ação'!$F25)),NOT(ISNUMBER('Plano de Ação'!$G25)),'Plano de Ação'!$J25="Cancelada"),0,IF(AND('Plano de Ação'!$F25&lt;=EOMONTH(DATE(ano_ref,2,1),0),'Plano de Ação'!$G25&gt;=DATE(ano_ref,2,1)),1,0))</f>
      </c>
      <c r="G26" s="41">
        <f>IF(OR(NOT('Plano de Ação'!$B25&lt;&gt;""),NOT(ISNUMBER('Plano de Ação'!$F25)),NOT(ISNUMBER('Plano de Ação'!$G25)),'Plano de Ação'!$J25="Cancelada"),0,IF(AND('Plano de Ação'!$F25&lt;=EOMONTH(DATE(ano_ref,3,1),0),'Plano de Ação'!$G25&gt;=DATE(ano_ref,3,1)),1,0))</f>
      </c>
      <c r="H26" s="41">
        <f>IF(OR(NOT('Plano de Ação'!$B25&lt;&gt;""),NOT(ISNUMBER('Plano de Ação'!$F25)),NOT(ISNUMBER('Plano de Ação'!$G25)),'Plano de Ação'!$J25="Cancelada"),0,IF(AND('Plano de Ação'!$F25&lt;=EOMONTH(DATE(ano_ref,4,1),0),'Plano de Ação'!$G25&gt;=DATE(ano_ref,4,1)),1,0))</f>
      </c>
      <c r="I26" s="41">
        <f>IF(OR(NOT('Plano de Ação'!$B25&lt;&gt;""),NOT(ISNUMBER('Plano de Ação'!$F25)),NOT(ISNUMBER('Plano de Ação'!$G25)),'Plano de Ação'!$J25="Cancelada"),0,IF(AND('Plano de Ação'!$F25&lt;=EOMONTH(DATE(ano_ref,5,1),0),'Plano de Ação'!$G25&gt;=DATE(ano_ref,5,1)),1,0))</f>
      </c>
      <c r="J26" s="41">
        <f>IF(OR(NOT('Plano de Ação'!$B25&lt;&gt;""),NOT(ISNUMBER('Plano de Ação'!$F25)),NOT(ISNUMBER('Plano de Ação'!$G25)),'Plano de Ação'!$J25="Cancelada"),0,IF(AND('Plano de Ação'!$F25&lt;=EOMONTH(DATE(ano_ref,6,1),0),'Plano de Ação'!$G25&gt;=DATE(ano_ref,6,1)),1,0))</f>
      </c>
      <c r="K26" s="41">
        <f>IF(OR(NOT('Plano de Ação'!$B25&lt;&gt;""),NOT(ISNUMBER('Plano de Ação'!$F25)),NOT(ISNUMBER('Plano de Ação'!$G25)),'Plano de Ação'!$J25="Cancelada"),0,IF(AND('Plano de Ação'!$F25&lt;=EOMONTH(DATE(ano_ref,7,1),0),'Plano de Ação'!$G25&gt;=DATE(ano_ref,7,1)),1,0))</f>
      </c>
      <c r="L26" s="41">
        <f>IF(OR(NOT('Plano de Ação'!$B25&lt;&gt;""),NOT(ISNUMBER('Plano de Ação'!$F25)),NOT(ISNUMBER('Plano de Ação'!$G25)),'Plano de Ação'!$J25="Cancelada"),0,IF(AND('Plano de Ação'!$F25&lt;=EOMONTH(DATE(ano_ref,8,1),0),'Plano de Ação'!$G25&gt;=DATE(ano_ref,8,1)),1,0))</f>
      </c>
      <c r="M26" s="41">
        <f>IF(OR(NOT('Plano de Ação'!$B25&lt;&gt;""),NOT(ISNUMBER('Plano de Ação'!$F25)),NOT(ISNUMBER('Plano de Ação'!$G25)),'Plano de Ação'!$J25="Cancelada"),0,IF(AND('Plano de Ação'!$F25&lt;=EOMONTH(DATE(ano_ref,9,1),0),'Plano de Ação'!$G25&gt;=DATE(ano_ref,9,1)),1,0))</f>
      </c>
      <c r="N26" s="41">
        <f>IF(OR(NOT('Plano de Ação'!$B25&lt;&gt;""),NOT(ISNUMBER('Plano de Ação'!$F25)),NOT(ISNUMBER('Plano de Ação'!$G25)),'Plano de Ação'!$J25="Cancelada"),0,IF(AND('Plano de Ação'!$F25&lt;=EOMONTH(DATE(ano_ref,10,1),0),'Plano de Ação'!$G25&gt;=DATE(ano_ref,10,1)),1,0))</f>
      </c>
      <c r="O26" s="41">
        <f>IF(OR(NOT('Plano de Ação'!$B25&lt;&gt;""),NOT(ISNUMBER('Plano de Ação'!$F25)),NOT(ISNUMBER('Plano de Ação'!$G25)),'Plano de Ação'!$J25="Cancelada"),0,IF(AND('Plano de Ação'!$F25&lt;=EOMONTH(DATE(ano_ref,11,1),0),'Plano de Ação'!$G25&gt;=DATE(ano_ref,11,1)),1,0))</f>
      </c>
      <c r="P26" s="41">
        <f>IF(OR(NOT('Plano de Ação'!$B25&lt;&gt;""),NOT(ISNUMBER('Plano de Ação'!$F25)),NOT(ISNUMBER('Plano de Ação'!$G25)),'Plano de Ação'!$J25="Cancelada"),0,IF(AND('Plano de Ação'!$F25&lt;=EOMONTH(DATE(ano_ref,12,1),0),'Plano de Ação'!$G25&gt;=DATE(ano_ref,12,1)),1,0))</f>
      </c>
    </row>
    <row r="27" spans="1:16" x14ac:dyDescent="0.25">
      <c r="A27" s="40">
        <f>IF('Plano de Ação'!$B26&lt;&gt;"",'Plano de Ação'!A26&amp;"","")</f>
      </c>
      <c r="B27" s="25">
        <f>IF('Plano de Ação'!$B26&lt;&gt;"",'Plano de Ação'!B26,"")</f>
      </c>
      <c r="C27" s="25">
        <f>IF('Plano de Ação'!$B26&lt;&gt;"",'Plano de Ação'!E26&amp;"","")</f>
      </c>
      <c r="D27" s="40">
        <f>IF('Plano de Ação'!$B26&lt;&gt;"",'Plano de Ação'!L26,"")</f>
      </c>
      <c r="E27" s="41">
        <f>IF(OR(NOT('Plano de Ação'!$B26&lt;&gt;""),NOT(ISNUMBER('Plano de Ação'!$F26)),NOT(ISNUMBER('Plano de Ação'!$G26)),'Plano de Ação'!$J26="Cancelada"),0,IF(AND('Plano de Ação'!$F26&lt;=EOMONTH(DATE(ano_ref,1,1),0),'Plano de Ação'!$G26&gt;=DATE(ano_ref,1,1)),1,0))</f>
      </c>
      <c r="F27" s="41">
        <f>IF(OR(NOT('Plano de Ação'!$B26&lt;&gt;""),NOT(ISNUMBER('Plano de Ação'!$F26)),NOT(ISNUMBER('Plano de Ação'!$G26)),'Plano de Ação'!$J26="Cancelada"),0,IF(AND('Plano de Ação'!$F26&lt;=EOMONTH(DATE(ano_ref,2,1),0),'Plano de Ação'!$G26&gt;=DATE(ano_ref,2,1)),1,0))</f>
      </c>
      <c r="G27" s="41">
        <f>IF(OR(NOT('Plano de Ação'!$B26&lt;&gt;""),NOT(ISNUMBER('Plano de Ação'!$F26)),NOT(ISNUMBER('Plano de Ação'!$G26)),'Plano de Ação'!$J26="Cancelada"),0,IF(AND('Plano de Ação'!$F26&lt;=EOMONTH(DATE(ano_ref,3,1),0),'Plano de Ação'!$G26&gt;=DATE(ano_ref,3,1)),1,0))</f>
      </c>
      <c r="H27" s="41">
        <f>IF(OR(NOT('Plano de Ação'!$B26&lt;&gt;""),NOT(ISNUMBER('Plano de Ação'!$F26)),NOT(ISNUMBER('Plano de Ação'!$G26)),'Plano de Ação'!$J26="Cancelada"),0,IF(AND('Plano de Ação'!$F26&lt;=EOMONTH(DATE(ano_ref,4,1),0),'Plano de Ação'!$G26&gt;=DATE(ano_ref,4,1)),1,0))</f>
      </c>
      <c r="I27" s="41">
        <f>IF(OR(NOT('Plano de Ação'!$B26&lt;&gt;""),NOT(ISNUMBER('Plano de Ação'!$F26)),NOT(ISNUMBER('Plano de Ação'!$G26)),'Plano de Ação'!$J26="Cancelada"),0,IF(AND('Plano de Ação'!$F26&lt;=EOMONTH(DATE(ano_ref,5,1),0),'Plano de Ação'!$G26&gt;=DATE(ano_ref,5,1)),1,0))</f>
      </c>
      <c r="J27" s="41">
        <f>IF(OR(NOT('Plano de Ação'!$B26&lt;&gt;""),NOT(ISNUMBER('Plano de Ação'!$F26)),NOT(ISNUMBER('Plano de Ação'!$G26)),'Plano de Ação'!$J26="Cancelada"),0,IF(AND('Plano de Ação'!$F26&lt;=EOMONTH(DATE(ano_ref,6,1),0),'Plano de Ação'!$G26&gt;=DATE(ano_ref,6,1)),1,0))</f>
      </c>
      <c r="K27" s="41">
        <f>IF(OR(NOT('Plano de Ação'!$B26&lt;&gt;""),NOT(ISNUMBER('Plano de Ação'!$F26)),NOT(ISNUMBER('Plano de Ação'!$G26)),'Plano de Ação'!$J26="Cancelada"),0,IF(AND('Plano de Ação'!$F26&lt;=EOMONTH(DATE(ano_ref,7,1),0),'Plano de Ação'!$G26&gt;=DATE(ano_ref,7,1)),1,0))</f>
      </c>
      <c r="L27" s="41">
        <f>IF(OR(NOT('Plano de Ação'!$B26&lt;&gt;""),NOT(ISNUMBER('Plano de Ação'!$F26)),NOT(ISNUMBER('Plano de Ação'!$G26)),'Plano de Ação'!$J26="Cancelada"),0,IF(AND('Plano de Ação'!$F26&lt;=EOMONTH(DATE(ano_ref,8,1),0),'Plano de Ação'!$G26&gt;=DATE(ano_ref,8,1)),1,0))</f>
      </c>
      <c r="M27" s="41">
        <f>IF(OR(NOT('Plano de Ação'!$B26&lt;&gt;""),NOT(ISNUMBER('Plano de Ação'!$F26)),NOT(ISNUMBER('Plano de Ação'!$G26)),'Plano de Ação'!$J26="Cancelada"),0,IF(AND('Plano de Ação'!$F26&lt;=EOMONTH(DATE(ano_ref,9,1),0),'Plano de Ação'!$G26&gt;=DATE(ano_ref,9,1)),1,0))</f>
      </c>
      <c r="N27" s="41">
        <f>IF(OR(NOT('Plano de Ação'!$B26&lt;&gt;""),NOT(ISNUMBER('Plano de Ação'!$F26)),NOT(ISNUMBER('Plano de Ação'!$G26)),'Plano de Ação'!$J26="Cancelada"),0,IF(AND('Plano de Ação'!$F26&lt;=EOMONTH(DATE(ano_ref,10,1),0),'Plano de Ação'!$G26&gt;=DATE(ano_ref,10,1)),1,0))</f>
      </c>
      <c r="O27" s="41">
        <f>IF(OR(NOT('Plano de Ação'!$B26&lt;&gt;""),NOT(ISNUMBER('Plano de Ação'!$F26)),NOT(ISNUMBER('Plano de Ação'!$G26)),'Plano de Ação'!$J26="Cancelada"),0,IF(AND('Plano de Ação'!$F26&lt;=EOMONTH(DATE(ano_ref,11,1),0),'Plano de Ação'!$G26&gt;=DATE(ano_ref,11,1)),1,0))</f>
      </c>
      <c r="P27" s="41">
        <f>IF(OR(NOT('Plano de Ação'!$B26&lt;&gt;""),NOT(ISNUMBER('Plano de Ação'!$F26)),NOT(ISNUMBER('Plano de Ação'!$G26)),'Plano de Ação'!$J26="Cancelada"),0,IF(AND('Plano de Ação'!$F26&lt;=EOMONTH(DATE(ano_ref,12,1),0),'Plano de Ação'!$G26&gt;=DATE(ano_ref,12,1)),1,0))</f>
      </c>
    </row>
    <row r="28" spans="1:16" x14ac:dyDescent="0.25">
      <c r="A28" s="40">
        <f>IF('Plano de Ação'!$B27&lt;&gt;"",'Plano de Ação'!A27&amp;"","")</f>
      </c>
      <c r="B28" s="25">
        <f>IF('Plano de Ação'!$B27&lt;&gt;"",'Plano de Ação'!B27,"")</f>
      </c>
      <c r="C28" s="25">
        <f>IF('Plano de Ação'!$B27&lt;&gt;"",'Plano de Ação'!E27&amp;"","")</f>
      </c>
      <c r="D28" s="40">
        <f>IF('Plano de Ação'!$B27&lt;&gt;"",'Plano de Ação'!L27,"")</f>
      </c>
      <c r="E28" s="41">
        <f>IF(OR(NOT('Plano de Ação'!$B27&lt;&gt;""),NOT(ISNUMBER('Plano de Ação'!$F27)),NOT(ISNUMBER('Plano de Ação'!$G27)),'Plano de Ação'!$J27="Cancelada"),0,IF(AND('Plano de Ação'!$F27&lt;=EOMONTH(DATE(ano_ref,1,1),0),'Plano de Ação'!$G27&gt;=DATE(ano_ref,1,1)),1,0))</f>
      </c>
      <c r="F28" s="41">
        <f>IF(OR(NOT('Plano de Ação'!$B27&lt;&gt;""),NOT(ISNUMBER('Plano de Ação'!$F27)),NOT(ISNUMBER('Plano de Ação'!$G27)),'Plano de Ação'!$J27="Cancelada"),0,IF(AND('Plano de Ação'!$F27&lt;=EOMONTH(DATE(ano_ref,2,1),0),'Plano de Ação'!$G27&gt;=DATE(ano_ref,2,1)),1,0))</f>
      </c>
      <c r="G28" s="41">
        <f>IF(OR(NOT('Plano de Ação'!$B27&lt;&gt;""),NOT(ISNUMBER('Plano de Ação'!$F27)),NOT(ISNUMBER('Plano de Ação'!$G27)),'Plano de Ação'!$J27="Cancelada"),0,IF(AND('Plano de Ação'!$F27&lt;=EOMONTH(DATE(ano_ref,3,1),0),'Plano de Ação'!$G27&gt;=DATE(ano_ref,3,1)),1,0))</f>
      </c>
      <c r="H28" s="41">
        <f>IF(OR(NOT('Plano de Ação'!$B27&lt;&gt;""),NOT(ISNUMBER('Plano de Ação'!$F27)),NOT(ISNUMBER('Plano de Ação'!$G27)),'Plano de Ação'!$J27="Cancelada"),0,IF(AND('Plano de Ação'!$F27&lt;=EOMONTH(DATE(ano_ref,4,1),0),'Plano de Ação'!$G27&gt;=DATE(ano_ref,4,1)),1,0))</f>
      </c>
      <c r="I28" s="41">
        <f>IF(OR(NOT('Plano de Ação'!$B27&lt;&gt;""),NOT(ISNUMBER('Plano de Ação'!$F27)),NOT(ISNUMBER('Plano de Ação'!$G27)),'Plano de Ação'!$J27="Cancelada"),0,IF(AND('Plano de Ação'!$F27&lt;=EOMONTH(DATE(ano_ref,5,1),0),'Plano de Ação'!$G27&gt;=DATE(ano_ref,5,1)),1,0))</f>
      </c>
      <c r="J28" s="41">
        <f>IF(OR(NOT('Plano de Ação'!$B27&lt;&gt;""),NOT(ISNUMBER('Plano de Ação'!$F27)),NOT(ISNUMBER('Plano de Ação'!$G27)),'Plano de Ação'!$J27="Cancelada"),0,IF(AND('Plano de Ação'!$F27&lt;=EOMONTH(DATE(ano_ref,6,1),0),'Plano de Ação'!$G27&gt;=DATE(ano_ref,6,1)),1,0))</f>
      </c>
      <c r="K28" s="41">
        <f>IF(OR(NOT('Plano de Ação'!$B27&lt;&gt;""),NOT(ISNUMBER('Plano de Ação'!$F27)),NOT(ISNUMBER('Plano de Ação'!$G27)),'Plano de Ação'!$J27="Cancelada"),0,IF(AND('Plano de Ação'!$F27&lt;=EOMONTH(DATE(ano_ref,7,1),0),'Plano de Ação'!$G27&gt;=DATE(ano_ref,7,1)),1,0))</f>
      </c>
      <c r="L28" s="41">
        <f>IF(OR(NOT('Plano de Ação'!$B27&lt;&gt;""),NOT(ISNUMBER('Plano de Ação'!$F27)),NOT(ISNUMBER('Plano de Ação'!$G27)),'Plano de Ação'!$J27="Cancelada"),0,IF(AND('Plano de Ação'!$F27&lt;=EOMONTH(DATE(ano_ref,8,1),0),'Plano de Ação'!$G27&gt;=DATE(ano_ref,8,1)),1,0))</f>
      </c>
      <c r="M28" s="41">
        <f>IF(OR(NOT('Plano de Ação'!$B27&lt;&gt;""),NOT(ISNUMBER('Plano de Ação'!$F27)),NOT(ISNUMBER('Plano de Ação'!$G27)),'Plano de Ação'!$J27="Cancelada"),0,IF(AND('Plano de Ação'!$F27&lt;=EOMONTH(DATE(ano_ref,9,1),0),'Plano de Ação'!$G27&gt;=DATE(ano_ref,9,1)),1,0))</f>
      </c>
      <c r="N28" s="41">
        <f>IF(OR(NOT('Plano de Ação'!$B27&lt;&gt;""),NOT(ISNUMBER('Plano de Ação'!$F27)),NOT(ISNUMBER('Plano de Ação'!$G27)),'Plano de Ação'!$J27="Cancelada"),0,IF(AND('Plano de Ação'!$F27&lt;=EOMONTH(DATE(ano_ref,10,1),0),'Plano de Ação'!$G27&gt;=DATE(ano_ref,10,1)),1,0))</f>
      </c>
      <c r="O28" s="41">
        <f>IF(OR(NOT('Plano de Ação'!$B27&lt;&gt;""),NOT(ISNUMBER('Plano de Ação'!$F27)),NOT(ISNUMBER('Plano de Ação'!$G27)),'Plano de Ação'!$J27="Cancelada"),0,IF(AND('Plano de Ação'!$F27&lt;=EOMONTH(DATE(ano_ref,11,1),0),'Plano de Ação'!$G27&gt;=DATE(ano_ref,11,1)),1,0))</f>
      </c>
      <c r="P28" s="41">
        <f>IF(OR(NOT('Plano de Ação'!$B27&lt;&gt;""),NOT(ISNUMBER('Plano de Ação'!$F27)),NOT(ISNUMBER('Plano de Ação'!$G27)),'Plano de Ação'!$J27="Cancelada"),0,IF(AND('Plano de Ação'!$F27&lt;=EOMONTH(DATE(ano_ref,12,1),0),'Plano de Ação'!$G27&gt;=DATE(ano_ref,12,1)),1,0))</f>
      </c>
    </row>
    <row r="29" spans="1:16" x14ac:dyDescent="0.25">
      <c r="A29" s="40">
        <f>IF('Plano de Ação'!$B28&lt;&gt;"",'Plano de Ação'!A28&amp;"","")</f>
      </c>
      <c r="B29" s="25">
        <f>IF('Plano de Ação'!$B28&lt;&gt;"",'Plano de Ação'!B28,"")</f>
      </c>
      <c r="C29" s="25">
        <f>IF('Plano de Ação'!$B28&lt;&gt;"",'Plano de Ação'!E28&amp;"","")</f>
      </c>
      <c r="D29" s="40">
        <f>IF('Plano de Ação'!$B28&lt;&gt;"",'Plano de Ação'!L28,"")</f>
      </c>
      <c r="E29" s="41">
        <f>IF(OR(NOT('Plano de Ação'!$B28&lt;&gt;""),NOT(ISNUMBER('Plano de Ação'!$F28)),NOT(ISNUMBER('Plano de Ação'!$G28)),'Plano de Ação'!$J28="Cancelada"),0,IF(AND('Plano de Ação'!$F28&lt;=EOMONTH(DATE(ano_ref,1,1),0),'Plano de Ação'!$G28&gt;=DATE(ano_ref,1,1)),1,0))</f>
      </c>
      <c r="F29" s="41">
        <f>IF(OR(NOT('Plano de Ação'!$B28&lt;&gt;""),NOT(ISNUMBER('Plano de Ação'!$F28)),NOT(ISNUMBER('Plano de Ação'!$G28)),'Plano de Ação'!$J28="Cancelada"),0,IF(AND('Plano de Ação'!$F28&lt;=EOMONTH(DATE(ano_ref,2,1),0),'Plano de Ação'!$G28&gt;=DATE(ano_ref,2,1)),1,0))</f>
      </c>
      <c r="G29" s="41">
        <f>IF(OR(NOT('Plano de Ação'!$B28&lt;&gt;""),NOT(ISNUMBER('Plano de Ação'!$F28)),NOT(ISNUMBER('Plano de Ação'!$G28)),'Plano de Ação'!$J28="Cancelada"),0,IF(AND('Plano de Ação'!$F28&lt;=EOMONTH(DATE(ano_ref,3,1),0),'Plano de Ação'!$G28&gt;=DATE(ano_ref,3,1)),1,0))</f>
      </c>
      <c r="H29" s="41">
        <f>IF(OR(NOT('Plano de Ação'!$B28&lt;&gt;""),NOT(ISNUMBER('Plano de Ação'!$F28)),NOT(ISNUMBER('Plano de Ação'!$G28)),'Plano de Ação'!$J28="Cancelada"),0,IF(AND('Plano de Ação'!$F28&lt;=EOMONTH(DATE(ano_ref,4,1),0),'Plano de Ação'!$G28&gt;=DATE(ano_ref,4,1)),1,0))</f>
      </c>
      <c r="I29" s="41">
        <f>IF(OR(NOT('Plano de Ação'!$B28&lt;&gt;""),NOT(ISNUMBER('Plano de Ação'!$F28)),NOT(ISNUMBER('Plano de Ação'!$G28)),'Plano de Ação'!$J28="Cancelada"),0,IF(AND('Plano de Ação'!$F28&lt;=EOMONTH(DATE(ano_ref,5,1),0),'Plano de Ação'!$G28&gt;=DATE(ano_ref,5,1)),1,0))</f>
      </c>
      <c r="J29" s="41">
        <f>IF(OR(NOT('Plano de Ação'!$B28&lt;&gt;""),NOT(ISNUMBER('Plano de Ação'!$F28)),NOT(ISNUMBER('Plano de Ação'!$G28)),'Plano de Ação'!$J28="Cancelada"),0,IF(AND('Plano de Ação'!$F28&lt;=EOMONTH(DATE(ano_ref,6,1),0),'Plano de Ação'!$G28&gt;=DATE(ano_ref,6,1)),1,0))</f>
      </c>
      <c r="K29" s="41">
        <f>IF(OR(NOT('Plano de Ação'!$B28&lt;&gt;""),NOT(ISNUMBER('Plano de Ação'!$F28)),NOT(ISNUMBER('Plano de Ação'!$G28)),'Plano de Ação'!$J28="Cancelada"),0,IF(AND('Plano de Ação'!$F28&lt;=EOMONTH(DATE(ano_ref,7,1),0),'Plano de Ação'!$G28&gt;=DATE(ano_ref,7,1)),1,0))</f>
      </c>
      <c r="L29" s="41">
        <f>IF(OR(NOT('Plano de Ação'!$B28&lt;&gt;""),NOT(ISNUMBER('Plano de Ação'!$F28)),NOT(ISNUMBER('Plano de Ação'!$G28)),'Plano de Ação'!$J28="Cancelada"),0,IF(AND('Plano de Ação'!$F28&lt;=EOMONTH(DATE(ano_ref,8,1),0),'Plano de Ação'!$G28&gt;=DATE(ano_ref,8,1)),1,0))</f>
      </c>
      <c r="M29" s="41">
        <f>IF(OR(NOT('Plano de Ação'!$B28&lt;&gt;""),NOT(ISNUMBER('Plano de Ação'!$F28)),NOT(ISNUMBER('Plano de Ação'!$G28)),'Plano de Ação'!$J28="Cancelada"),0,IF(AND('Plano de Ação'!$F28&lt;=EOMONTH(DATE(ano_ref,9,1),0),'Plano de Ação'!$G28&gt;=DATE(ano_ref,9,1)),1,0))</f>
      </c>
      <c r="N29" s="41">
        <f>IF(OR(NOT('Plano de Ação'!$B28&lt;&gt;""),NOT(ISNUMBER('Plano de Ação'!$F28)),NOT(ISNUMBER('Plano de Ação'!$G28)),'Plano de Ação'!$J28="Cancelada"),0,IF(AND('Plano de Ação'!$F28&lt;=EOMONTH(DATE(ano_ref,10,1),0),'Plano de Ação'!$G28&gt;=DATE(ano_ref,10,1)),1,0))</f>
      </c>
      <c r="O29" s="41">
        <f>IF(OR(NOT('Plano de Ação'!$B28&lt;&gt;""),NOT(ISNUMBER('Plano de Ação'!$F28)),NOT(ISNUMBER('Plano de Ação'!$G28)),'Plano de Ação'!$J28="Cancelada"),0,IF(AND('Plano de Ação'!$F28&lt;=EOMONTH(DATE(ano_ref,11,1),0),'Plano de Ação'!$G28&gt;=DATE(ano_ref,11,1)),1,0))</f>
      </c>
      <c r="P29" s="41">
        <f>IF(OR(NOT('Plano de Ação'!$B28&lt;&gt;""),NOT(ISNUMBER('Plano de Ação'!$F28)),NOT(ISNUMBER('Plano de Ação'!$G28)),'Plano de Ação'!$J28="Cancelada"),0,IF(AND('Plano de Ação'!$F28&lt;=EOMONTH(DATE(ano_ref,12,1),0),'Plano de Ação'!$G28&gt;=DATE(ano_ref,12,1)),1,0))</f>
      </c>
    </row>
    <row r="30" spans="1:16" x14ac:dyDescent="0.25">
      <c r="A30" s="40">
        <f>IF('Plano de Ação'!$B29&lt;&gt;"",'Plano de Ação'!A29&amp;"","")</f>
      </c>
      <c r="B30" s="25">
        <f>IF('Plano de Ação'!$B29&lt;&gt;"",'Plano de Ação'!B29,"")</f>
      </c>
      <c r="C30" s="25">
        <f>IF('Plano de Ação'!$B29&lt;&gt;"",'Plano de Ação'!E29&amp;"","")</f>
      </c>
      <c r="D30" s="40">
        <f>IF('Plano de Ação'!$B29&lt;&gt;"",'Plano de Ação'!L29,"")</f>
      </c>
      <c r="E30" s="41">
        <f>IF(OR(NOT('Plano de Ação'!$B29&lt;&gt;""),NOT(ISNUMBER('Plano de Ação'!$F29)),NOT(ISNUMBER('Plano de Ação'!$G29)),'Plano de Ação'!$J29="Cancelada"),0,IF(AND('Plano de Ação'!$F29&lt;=EOMONTH(DATE(ano_ref,1,1),0),'Plano de Ação'!$G29&gt;=DATE(ano_ref,1,1)),1,0))</f>
      </c>
      <c r="F30" s="41">
        <f>IF(OR(NOT('Plano de Ação'!$B29&lt;&gt;""),NOT(ISNUMBER('Plano de Ação'!$F29)),NOT(ISNUMBER('Plano de Ação'!$G29)),'Plano de Ação'!$J29="Cancelada"),0,IF(AND('Plano de Ação'!$F29&lt;=EOMONTH(DATE(ano_ref,2,1),0),'Plano de Ação'!$G29&gt;=DATE(ano_ref,2,1)),1,0))</f>
      </c>
      <c r="G30" s="41">
        <f>IF(OR(NOT('Plano de Ação'!$B29&lt;&gt;""),NOT(ISNUMBER('Plano de Ação'!$F29)),NOT(ISNUMBER('Plano de Ação'!$G29)),'Plano de Ação'!$J29="Cancelada"),0,IF(AND('Plano de Ação'!$F29&lt;=EOMONTH(DATE(ano_ref,3,1),0),'Plano de Ação'!$G29&gt;=DATE(ano_ref,3,1)),1,0))</f>
      </c>
      <c r="H30" s="41">
        <f>IF(OR(NOT('Plano de Ação'!$B29&lt;&gt;""),NOT(ISNUMBER('Plano de Ação'!$F29)),NOT(ISNUMBER('Plano de Ação'!$G29)),'Plano de Ação'!$J29="Cancelada"),0,IF(AND('Plano de Ação'!$F29&lt;=EOMONTH(DATE(ano_ref,4,1),0),'Plano de Ação'!$G29&gt;=DATE(ano_ref,4,1)),1,0))</f>
      </c>
      <c r="I30" s="41">
        <f>IF(OR(NOT('Plano de Ação'!$B29&lt;&gt;""),NOT(ISNUMBER('Plano de Ação'!$F29)),NOT(ISNUMBER('Plano de Ação'!$G29)),'Plano de Ação'!$J29="Cancelada"),0,IF(AND('Plano de Ação'!$F29&lt;=EOMONTH(DATE(ano_ref,5,1),0),'Plano de Ação'!$G29&gt;=DATE(ano_ref,5,1)),1,0))</f>
      </c>
      <c r="J30" s="41">
        <f>IF(OR(NOT('Plano de Ação'!$B29&lt;&gt;""),NOT(ISNUMBER('Plano de Ação'!$F29)),NOT(ISNUMBER('Plano de Ação'!$G29)),'Plano de Ação'!$J29="Cancelada"),0,IF(AND('Plano de Ação'!$F29&lt;=EOMONTH(DATE(ano_ref,6,1),0),'Plano de Ação'!$G29&gt;=DATE(ano_ref,6,1)),1,0))</f>
      </c>
      <c r="K30" s="41">
        <f>IF(OR(NOT('Plano de Ação'!$B29&lt;&gt;""),NOT(ISNUMBER('Plano de Ação'!$F29)),NOT(ISNUMBER('Plano de Ação'!$G29)),'Plano de Ação'!$J29="Cancelada"),0,IF(AND('Plano de Ação'!$F29&lt;=EOMONTH(DATE(ano_ref,7,1),0),'Plano de Ação'!$G29&gt;=DATE(ano_ref,7,1)),1,0))</f>
      </c>
      <c r="L30" s="41">
        <f>IF(OR(NOT('Plano de Ação'!$B29&lt;&gt;""),NOT(ISNUMBER('Plano de Ação'!$F29)),NOT(ISNUMBER('Plano de Ação'!$G29)),'Plano de Ação'!$J29="Cancelada"),0,IF(AND('Plano de Ação'!$F29&lt;=EOMONTH(DATE(ano_ref,8,1),0),'Plano de Ação'!$G29&gt;=DATE(ano_ref,8,1)),1,0))</f>
      </c>
      <c r="M30" s="41">
        <f>IF(OR(NOT('Plano de Ação'!$B29&lt;&gt;""),NOT(ISNUMBER('Plano de Ação'!$F29)),NOT(ISNUMBER('Plano de Ação'!$G29)),'Plano de Ação'!$J29="Cancelada"),0,IF(AND('Plano de Ação'!$F29&lt;=EOMONTH(DATE(ano_ref,9,1),0),'Plano de Ação'!$G29&gt;=DATE(ano_ref,9,1)),1,0))</f>
      </c>
      <c r="N30" s="41">
        <f>IF(OR(NOT('Plano de Ação'!$B29&lt;&gt;""),NOT(ISNUMBER('Plano de Ação'!$F29)),NOT(ISNUMBER('Plano de Ação'!$G29)),'Plano de Ação'!$J29="Cancelada"),0,IF(AND('Plano de Ação'!$F29&lt;=EOMONTH(DATE(ano_ref,10,1),0),'Plano de Ação'!$G29&gt;=DATE(ano_ref,10,1)),1,0))</f>
      </c>
      <c r="O30" s="41">
        <f>IF(OR(NOT('Plano de Ação'!$B29&lt;&gt;""),NOT(ISNUMBER('Plano de Ação'!$F29)),NOT(ISNUMBER('Plano de Ação'!$G29)),'Plano de Ação'!$J29="Cancelada"),0,IF(AND('Plano de Ação'!$F29&lt;=EOMONTH(DATE(ano_ref,11,1),0),'Plano de Ação'!$G29&gt;=DATE(ano_ref,11,1)),1,0))</f>
      </c>
      <c r="P30" s="41">
        <f>IF(OR(NOT('Plano de Ação'!$B29&lt;&gt;""),NOT(ISNUMBER('Plano de Ação'!$F29)),NOT(ISNUMBER('Plano de Ação'!$G29)),'Plano de Ação'!$J29="Cancelada"),0,IF(AND('Plano de Ação'!$F29&lt;=EOMONTH(DATE(ano_ref,12,1),0),'Plano de Ação'!$G29&gt;=DATE(ano_ref,12,1)),1,0))</f>
      </c>
    </row>
    <row r="31" spans="1:16" x14ac:dyDescent="0.25">
      <c r="A31" s="40">
        <f>IF('Plano de Ação'!$B30&lt;&gt;"",'Plano de Ação'!A30&amp;"","")</f>
      </c>
      <c r="B31" s="25">
        <f>IF('Plano de Ação'!$B30&lt;&gt;"",'Plano de Ação'!B30,"")</f>
      </c>
      <c r="C31" s="25">
        <f>IF('Plano de Ação'!$B30&lt;&gt;"",'Plano de Ação'!E30&amp;"","")</f>
      </c>
      <c r="D31" s="40">
        <f>IF('Plano de Ação'!$B30&lt;&gt;"",'Plano de Ação'!L30,"")</f>
      </c>
      <c r="E31" s="41">
        <f>IF(OR(NOT('Plano de Ação'!$B30&lt;&gt;""),NOT(ISNUMBER('Plano de Ação'!$F30)),NOT(ISNUMBER('Plano de Ação'!$G30)),'Plano de Ação'!$J30="Cancelada"),0,IF(AND('Plano de Ação'!$F30&lt;=EOMONTH(DATE(ano_ref,1,1),0),'Plano de Ação'!$G30&gt;=DATE(ano_ref,1,1)),1,0))</f>
      </c>
      <c r="F31" s="41">
        <f>IF(OR(NOT('Plano de Ação'!$B30&lt;&gt;""),NOT(ISNUMBER('Plano de Ação'!$F30)),NOT(ISNUMBER('Plano de Ação'!$G30)),'Plano de Ação'!$J30="Cancelada"),0,IF(AND('Plano de Ação'!$F30&lt;=EOMONTH(DATE(ano_ref,2,1),0),'Plano de Ação'!$G30&gt;=DATE(ano_ref,2,1)),1,0))</f>
      </c>
      <c r="G31" s="41">
        <f>IF(OR(NOT('Plano de Ação'!$B30&lt;&gt;""),NOT(ISNUMBER('Plano de Ação'!$F30)),NOT(ISNUMBER('Plano de Ação'!$G30)),'Plano de Ação'!$J30="Cancelada"),0,IF(AND('Plano de Ação'!$F30&lt;=EOMONTH(DATE(ano_ref,3,1),0),'Plano de Ação'!$G30&gt;=DATE(ano_ref,3,1)),1,0))</f>
      </c>
      <c r="H31" s="41">
        <f>IF(OR(NOT('Plano de Ação'!$B30&lt;&gt;""),NOT(ISNUMBER('Plano de Ação'!$F30)),NOT(ISNUMBER('Plano de Ação'!$G30)),'Plano de Ação'!$J30="Cancelada"),0,IF(AND('Plano de Ação'!$F30&lt;=EOMONTH(DATE(ano_ref,4,1),0),'Plano de Ação'!$G30&gt;=DATE(ano_ref,4,1)),1,0))</f>
      </c>
      <c r="I31" s="41">
        <f>IF(OR(NOT('Plano de Ação'!$B30&lt;&gt;""),NOT(ISNUMBER('Plano de Ação'!$F30)),NOT(ISNUMBER('Plano de Ação'!$G30)),'Plano de Ação'!$J30="Cancelada"),0,IF(AND('Plano de Ação'!$F30&lt;=EOMONTH(DATE(ano_ref,5,1),0),'Plano de Ação'!$G30&gt;=DATE(ano_ref,5,1)),1,0))</f>
      </c>
      <c r="J31" s="41">
        <f>IF(OR(NOT('Plano de Ação'!$B30&lt;&gt;""),NOT(ISNUMBER('Plano de Ação'!$F30)),NOT(ISNUMBER('Plano de Ação'!$G30)),'Plano de Ação'!$J30="Cancelada"),0,IF(AND('Plano de Ação'!$F30&lt;=EOMONTH(DATE(ano_ref,6,1),0),'Plano de Ação'!$G30&gt;=DATE(ano_ref,6,1)),1,0))</f>
      </c>
      <c r="K31" s="41">
        <f>IF(OR(NOT('Plano de Ação'!$B30&lt;&gt;""),NOT(ISNUMBER('Plano de Ação'!$F30)),NOT(ISNUMBER('Plano de Ação'!$G30)),'Plano de Ação'!$J30="Cancelada"),0,IF(AND('Plano de Ação'!$F30&lt;=EOMONTH(DATE(ano_ref,7,1),0),'Plano de Ação'!$G30&gt;=DATE(ano_ref,7,1)),1,0))</f>
      </c>
      <c r="L31" s="41">
        <f>IF(OR(NOT('Plano de Ação'!$B30&lt;&gt;""),NOT(ISNUMBER('Plano de Ação'!$F30)),NOT(ISNUMBER('Plano de Ação'!$G30)),'Plano de Ação'!$J30="Cancelada"),0,IF(AND('Plano de Ação'!$F30&lt;=EOMONTH(DATE(ano_ref,8,1),0),'Plano de Ação'!$G30&gt;=DATE(ano_ref,8,1)),1,0))</f>
      </c>
      <c r="M31" s="41">
        <f>IF(OR(NOT('Plano de Ação'!$B30&lt;&gt;""),NOT(ISNUMBER('Plano de Ação'!$F30)),NOT(ISNUMBER('Plano de Ação'!$G30)),'Plano de Ação'!$J30="Cancelada"),0,IF(AND('Plano de Ação'!$F30&lt;=EOMONTH(DATE(ano_ref,9,1),0),'Plano de Ação'!$G30&gt;=DATE(ano_ref,9,1)),1,0))</f>
      </c>
      <c r="N31" s="41">
        <f>IF(OR(NOT('Plano de Ação'!$B30&lt;&gt;""),NOT(ISNUMBER('Plano de Ação'!$F30)),NOT(ISNUMBER('Plano de Ação'!$G30)),'Plano de Ação'!$J30="Cancelada"),0,IF(AND('Plano de Ação'!$F30&lt;=EOMONTH(DATE(ano_ref,10,1),0),'Plano de Ação'!$G30&gt;=DATE(ano_ref,10,1)),1,0))</f>
      </c>
      <c r="O31" s="41">
        <f>IF(OR(NOT('Plano de Ação'!$B30&lt;&gt;""),NOT(ISNUMBER('Plano de Ação'!$F30)),NOT(ISNUMBER('Plano de Ação'!$G30)),'Plano de Ação'!$J30="Cancelada"),0,IF(AND('Plano de Ação'!$F30&lt;=EOMONTH(DATE(ano_ref,11,1),0),'Plano de Ação'!$G30&gt;=DATE(ano_ref,11,1)),1,0))</f>
      </c>
      <c r="P31" s="41">
        <f>IF(OR(NOT('Plano de Ação'!$B30&lt;&gt;""),NOT(ISNUMBER('Plano de Ação'!$F30)),NOT(ISNUMBER('Plano de Ação'!$G30)),'Plano de Ação'!$J30="Cancelada"),0,IF(AND('Plano de Ação'!$F30&lt;=EOMONTH(DATE(ano_ref,12,1),0),'Plano de Ação'!$G30&gt;=DATE(ano_ref,12,1)),1,0))</f>
      </c>
    </row>
    <row r="32" spans="1:16" x14ac:dyDescent="0.25">
      <c r="A32" s="40">
        <f>IF('Plano de Ação'!$B31&lt;&gt;"",'Plano de Ação'!A31&amp;"","")</f>
      </c>
      <c r="B32" s="25">
        <f>IF('Plano de Ação'!$B31&lt;&gt;"",'Plano de Ação'!B31,"")</f>
      </c>
      <c r="C32" s="25">
        <f>IF('Plano de Ação'!$B31&lt;&gt;"",'Plano de Ação'!E31&amp;"","")</f>
      </c>
      <c r="D32" s="40">
        <f>IF('Plano de Ação'!$B31&lt;&gt;"",'Plano de Ação'!L31,"")</f>
      </c>
      <c r="E32" s="41">
        <f>IF(OR(NOT('Plano de Ação'!$B31&lt;&gt;""),NOT(ISNUMBER('Plano de Ação'!$F31)),NOT(ISNUMBER('Plano de Ação'!$G31)),'Plano de Ação'!$J31="Cancelada"),0,IF(AND('Plano de Ação'!$F31&lt;=EOMONTH(DATE(ano_ref,1,1),0),'Plano de Ação'!$G31&gt;=DATE(ano_ref,1,1)),1,0))</f>
      </c>
      <c r="F32" s="41">
        <f>IF(OR(NOT('Plano de Ação'!$B31&lt;&gt;""),NOT(ISNUMBER('Plano de Ação'!$F31)),NOT(ISNUMBER('Plano de Ação'!$G31)),'Plano de Ação'!$J31="Cancelada"),0,IF(AND('Plano de Ação'!$F31&lt;=EOMONTH(DATE(ano_ref,2,1),0),'Plano de Ação'!$G31&gt;=DATE(ano_ref,2,1)),1,0))</f>
      </c>
      <c r="G32" s="41">
        <f>IF(OR(NOT('Plano de Ação'!$B31&lt;&gt;""),NOT(ISNUMBER('Plano de Ação'!$F31)),NOT(ISNUMBER('Plano de Ação'!$G31)),'Plano de Ação'!$J31="Cancelada"),0,IF(AND('Plano de Ação'!$F31&lt;=EOMONTH(DATE(ano_ref,3,1),0),'Plano de Ação'!$G31&gt;=DATE(ano_ref,3,1)),1,0))</f>
      </c>
      <c r="H32" s="41">
        <f>IF(OR(NOT('Plano de Ação'!$B31&lt;&gt;""),NOT(ISNUMBER('Plano de Ação'!$F31)),NOT(ISNUMBER('Plano de Ação'!$G31)),'Plano de Ação'!$J31="Cancelada"),0,IF(AND('Plano de Ação'!$F31&lt;=EOMONTH(DATE(ano_ref,4,1),0),'Plano de Ação'!$G31&gt;=DATE(ano_ref,4,1)),1,0))</f>
      </c>
      <c r="I32" s="41">
        <f>IF(OR(NOT('Plano de Ação'!$B31&lt;&gt;""),NOT(ISNUMBER('Plano de Ação'!$F31)),NOT(ISNUMBER('Plano de Ação'!$G31)),'Plano de Ação'!$J31="Cancelada"),0,IF(AND('Plano de Ação'!$F31&lt;=EOMONTH(DATE(ano_ref,5,1),0),'Plano de Ação'!$G31&gt;=DATE(ano_ref,5,1)),1,0))</f>
      </c>
      <c r="J32" s="41">
        <f>IF(OR(NOT('Plano de Ação'!$B31&lt;&gt;""),NOT(ISNUMBER('Plano de Ação'!$F31)),NOT(ISNUMBER('Plano de Ação'!$G31)),'Plano de Ação'!$J31="Cancelada"),0,IF(AND('Plano de Ação'!$F31&lt;=EOMONTH(DATE(ano_ref,6,1),0),'Plano de Ação'!$G31&gt;=DATE(ano_ref,6,1)),1,0))</f>
      </c>
      <c r="K32" s="41">
        <f>IF(OR(NOT('Plano de Ação'!$B31&lt;&gt;""),NOT(ISNUMBER('Plano de Ação'!$F31)),NOT(ISNUMBER('Plano de Ação'!$G31)),'Plano de Ação'!$J31="Cancelada"),0,IF(AND('Plano de Ação'!$F31&lt;=EOMONTH(DATE(ano_ref,7,1),0),'Plano de Ação'!$G31&gt;=DATE(ano_ref,7,1)),1,0))</f>
      </c>
      <c r="L32" s="41">
        <f>IF(OR(NOT('Plano de Ação'!$B31&lt;&gt;""),NOT(ISNUMBER('Plano de Ação'!$F31)),NOT(ISNUMBER('Plano de Ação'!$G31)),'Plano de Ação'!$J31="Cancelada"),0,IF(AND('Plano de Ação'!$F31&lt;=EOMONTH(DATE(ano_ref,8,1),0),'Plano de Ação'!$G31&gt;=DATE(ano_ref,8,1)),1,0))</f>
      </c>
      <c r="M32" s="41">
        <f>IF(OR(NOT('Plano de Ação'!$B31&lt;&gt;""),NOT(ISNUMBER('Plano de Ação'!$F31)),NOT(ISNUMBER('Plano de Ação'!$G31)),'Plano de Ação'!$J31="Cancelada"),0,IF(AND('Plano de Ação'!$F31&lt;=EOMONTH(DATE(ano_ref,9,1),0),'Plano de Ação'!$G31&gt;=DATE(ano_ref,9,1)),1,0))</f>
      </c>
      <c r="N32" s="41">
        <f>IF(OR(NOT('Plano de Ação'!$B31&lt;&gt;""),NOT(ISNUMBER('Plano de Ação'!$F31)),NOT(ISNUMBER('Plano de Ação'!$G31)),'Plano de Ação'!$J31="Cancelada"),0,IF(AND('Plano de Ação'!$F31&lt;=EOMONTH(DATE(ano_ref,10,1),0),'Plano de Ação'!$G31&gt;=DATE(ano_ref,10,1)),1,0))</f>
      </c>
      <c r="O32" s="41">
        <f>IF(OR(NOT('Plano de Ação'!$B31&lt;&gt;""),NOT(ISNUMBER('Plano de Ação'!$F31)),NOT(ISNUMBER('Plano de Ação'!$G31)),'Plano de Ação'!$J31="Cancelada"),0,IF(AND('Plano de Ação'!$F31&lt;=EOMONTH(DATE(ano_ref,11,1),0),'Plano de Ação'!$G31&gt;=DATE(ano_ref,11,1)),1,0))</f>
      </c>
      <c r="P32" s="41">
        <f>IF(OR(NOT('Plano de Ação'!$B31&lt;&gt;""),NOT(ISNUMBER('Plano de Ação'!$F31)),NOT(ISNUMBER('Plano de Ação'!$G31)),'Plano de Ação'!$J31="Cancelada"),0,IF(AND('Plano de Ação'!$F31&lt;=EOMONTH(DATE(ano_ref,12,1),0),'Plano de Ação'!$G31&gt;=DATE(ano_ref,12,1)),1,0))</f>
      </c>
    </row>
    <row r="33" spans="1:16" x14ac:dyDescent="0.25">
      <c r="A33" s="40">
        <f>IF('Plano de Ação'!$B32&lt;&gt;"",'Plano de Ação'!A32&amp;"","")</f>
      </c>
      <c r="B33" s="25">
        <f>IF('Plano de Ação'!$B32&lt;&gt;"",'Plano de Ação'!B32,"")</f>
      </c>
      <c r="C33" s="25">
        <f>IF('Plano de Ação'!$B32&lt;&gt;"",'Plano de Ação'!E32&amp;"","")</f>
      </c>
      <c r="D33" s="40">
        <f>IF('Plano de Ação'!$B32&lt;&gt;"",'Plano de Ação'!L32,"")</f>
      </c>
      <c r="E33" s="41">
        <f>IF(OR(NOT('Plano de Ação'!$B32&lt;&gt;""),NOT(ISNUMBER('Plano de Ação'!$F32)),NOT(ISNUMBER('Plano de Ação'!$G32)),'Plano de Ação'!$J32="Cancelada"),0,IF(AND('Plano de Ação'!$F32&lt;=EOMONTH(DATE(ano_ref,1,1),0),'Plano de Ação'!$G32&gt;=DATE(ano_ref,1,1)),1,0))</f>
      </c>
      <c r="F33" s="41">
        <f>IF(OR(NOT('Plano de Ação'!$B32&lt;&gt;""),NOT(ISNUMBER('Plano de Ação'!$F32)),NOT(ISNUMBER('Plano de Ação'!$G32)),'Plano de Ação'!$J32="Cancelada"),0,IF(AND('Plano de Ação'!$F32&lt;=EOMONTH(DATE(ano_ref,2,1),0),'Plano de Ação'!$G32&gt;=DATE(ano_ref,2,1)),1,0))</f>
      </c>
      <c r="G33" s="41">
        <f>IF(OR(NOT('Plano de Ação'!$B32&lt;&gt;""),NOT(ISNUMBER('Plano de Ação'!$F32)),NOT(ISNUMBER('Plano de Ação'!$G32)),'Plano de Ação'!$J32="Cancelada"),0,IF(AND('Plano de Ação'!$F32&lt;=EOMONTH(DATE(ano_ref,3,1),0),'Plano de Ação'!$G32&gt;=DATE(ano_ref,3,1)),1,0))</f>
      </c>
      <c r="H33" s="41">
        <f>IF(OR(NOT('Plano de Ação'!$B32&lt;&gt;""),NOT(ISNUMBER('Plano de Ação'!$F32)),NOT(ISNUMBER('Plano de Ação'!$G32)),'Plano de Ação'!$J32="Cancelada"),0,IF(AND('Plano de Ação'!$F32&lt;=EOMONTH(DATE(ano_ref,4,1),0),'Plano de Ação'!$G32&gt;=DATE(ano_ref,4,1)),1,0))</f>
      </c>
      <c r="I33" s="41">
        <f>IF(OR(NOT('Plano de Ação'!$B32&lt;&gt;""),NOT(ISNUMBER('Plano de Ação'!$F32)),NOT(ISNUMBER('Plano de Ação'!$G32)),'Plano de Ação'!$J32="Cancelada"),0,IF(AND('Plano de Ação'!$F32&lt;=EOMONTH(DATE(ano_ref,5,1),0),'Plano de Ação'!$G32&gt;=DATE(ano_ref,5,1)),1,0))</f>
      </c>
      <c r="J33" s="41">
        <f>IF(OR(NOT('Plano de Ação'!$B32&lt;&gt;""),NOT(ISNUMBER('Plano de Ação'!$F32)),NOT(ISNUMBER('Plano de Ação'!$G32)),'Plano de Ação'!$J32="Cancelada"),0,IF(AND('Plano de Ação'!$F32&lt;=EOMONTH(DATE(ano_ref,6,1),0),'Plano de Ação'!$G32&gt;=DATE(ano_ref,6,1)),1,0))</f>
      </c>
      <c r="K33" s="41">
        <f>IF(OR(NOT('Plano de Ação'!$B32&lt;&gt;""),NOT(ISNUMBER('Plano de Ação'!$F32)),NOT(ISNUMBER('Plano de Ação'!$G32)),'Plano de Ação'!$J32="Cancelada"),0,IF(AND('Plano de Ação'!$F32&lt;=EOMONTH(DATE(ano_ref,7,1),0),'Plano de Ação'!$G32&gt;=DATE(ano_ref,7,1)),1,0))</f>
      </c>
      <c r="L33" s="41">
        <f>IF(OR(NOT('Plano de Ação'!$B32&lt;&gt;""),NOT(ISNUMBER('Plano de Ação'!$F32)),NOT(ISNUMBER('Plano de Ação'!$G32)),'Plano de Ação'!$J32="Cancelada"),0,IF(AND('Plano de Ação'!$F32&lt;=EOMONTH(DATE(ano_ref,8,1),0),'Plano de Ação'!$G32&gt;=DATE(ano_ref,8,1)),1,0))</f>
      </c>
      <c r="M33" s="41">
        <f>IF(OR(NOT('Plano de Ação'!$B32&lt;&gt;""),NOT(ISNUMBER('Plano de Ação'!$F32)),NOT(ISNUMBER('Plano de Ação'!$G32)),'Plano de Ação'!$J32="Cancelada"),0,IF(AND('Plano de Ação'!$F32&lt;=EOMONTH(DATE(ano_ref,9,1),0),'Plano de Ação'!$G32&gt;=DATE(ano_ref,9,1)),1,0))</f>
      </c>
      <c r="N33" s="41">
        <f>IF(OR(NOT('Plano de Ação'!$B32&lt;&gt;""),NOT(ISNUMBER('Plano de Ação'!$F32)),NOT(ISNUMBER('Plano de Ação'!$G32)),'Plano de Ação'!$J32="Cancelada"),0,IF(AND('Plano de Ação'!$F32&lt;=EOMONTH(DATE(ano_ref,10,1),0),'Plano de Ação'!$G32&gt;=DATE(ano_ref,10,1)),1,0))</f>
      </c>
      <c r="O33" s="41">
        <f>IF(OR(NOT('Plano de Ação'!$B32&lt;&gt;""),NOT(ISNUMBER('Plano de Ação'!$F32)),NOT(ISNUMBER('Plano de Ação'!$G32)),'Plano de Ação'!$J32="Cancelada"),0,IF(AND('Plano de Ação'!$F32&lt;=EOMONTH(DATE(ano_ref,11,1),0),'Plano de Ação'!$G32&gt;=DATE(ano_ref,11,1)),1,0))</f>
      </c>
      <c r="P33" s="41">
        <f>IF(OR(NOT('Plano de Ação'!$B32&lt;&gt;""),NOT(ISNUMBER('Plano de Ação'!$F32)),NOT(ISNUMBER('Plano de Ação'!$G32)),'Plano de Ação'!$J32="Cancelada"),0,IF(AND('Plano de Ação'!$F32&lt;=EOMONTH(DATE(ano_ref,12,1),0),'Plano de Ação'!$G32&gt;=DATE(ano_ref,12,1)),1,0))</f>
      </c>
    </row>
    <row r="34" spans="1:16" x14ac:dyDescent="0.25">
      <c r="A34" s="40">
        <f>IF('Plano de Ação'!$B33&lt;&gt;"",'Plano de Ação'!A33&amp;"","")</f>
      </c>
      <c r="B34" s="25">
        <f>IF('Plano de Ação'!$B33&lt;&gt;"",'Plano de Ação'!B33,"")</f>
      </c>
      <c r="C34" s="25">
        <f>IF('Plano de Ação'!$B33&lt;&gt;"",'Plano de Ação'!E33&amp;"","")</f>
      </c>
      <c r="D34" s="40">
        <f>IF('Plano de Ação'!$B33&lt;&gt;"",'Plano de Ação'!L33,"")</f>
      </c>
      <c r="E34" s="41">
        <f>IF(OR(NOT('Plano de Ação'!$B33&lt;&gt;""),NOT(ISNUMBER('Plano de Ação'!$F33)),NOT(ISNUMBER('Plano de Ação'!$G33)),'Plano de Ação'!$J33="Cancelada"),0,IF(AND('Plano de Ação'!$F33&lt;=EOMONTH(DATE(ano_ref,1,1),0),'Plano de Ação'!$G33&gt;=DATE(ano_ref,1,1)),1,0))</f>
      </c>
      <c r="F34" s="41">
        <f>IF(OR(NOT('Plano de Ação'!$B33&lt;&gt;""),NOT(ISNUMBER('Plano de Ação'!$F33)),NOT(ISNUMBER('Plano de Ação'!$G33)),'Plano de Ação'!$J33="Cancelada"),0,IF(AND('Plano de Ação'!$F33&lt;=EOMONTH(DATE(ano_ref,2,1),0),'Plano de Ação'!$G33&gt;=DATE(ano_ref,2,1)),1,0))</f>
      </c>
      <c r="G34" s="41">
        <f>IF(OR(NOT('Plano de Ação'!$B33&lt;&gt;""),NOT(ISNUMBER('Plano de Ação'!$F33)),NOT(ISNUMBER('Plano de Ação'!$G33)),'Plano de Ação'!$J33="Cancelada"),0,IF(AND('Plano de Ação'!$F33&lt;=EOMONTH(DATE(ano_ref,3,1),0),'Plano de Ação'!$G33&gt;=DATE(ano_ref,3,1)),1,0))</f>
      </c>
      <c r="H34" s="41">
        <f>IF(OR(NOT('Plano de Ação'!$B33&lt;&gt;""),NOT(ISNUMBER('Plano de Ação'!$F33)),NOT(ISNUMBER('Plano de Ação'!$G33)),'Plano de Ação'!$J33="Cancelada"),0,IF(AND('Plano de Ação'!$F33&lt;=EOMONTH(DATE(ano_ref,4,1),0),'Plano de Ação'!$G33&gt;=DATE(ano_ref,4,1)),1,0))</f>
      </c>
      <c r="I34" s="41">
        <f>IF(OR(NOT('Plano de Ação'!$B33&lt;&gt;""),NOT(ISNUMBER('Plano de Ação'!$F33)),NOT(ISNUMBER('Plano de Ação'!$G33)),'Plano de Ação'!$J33="Cancelada"),0,IF(AND('Plano de Ação'!$F33&lt;=EOMONTH(DATE(ano_ref,5,1),0),'Plano de Ação'!$G33&gt;=DATE(ano_ref,5,1)),1,0))</f>
      </c>
      <c r="J34" s="41">
        <f>IF(OR(NOT('Plano de Ação'!$B33&lt;&gt;""),NOT(ISNUMBER('Plano de Ação'!$F33)),NOT(ISNUMBER('Plano de Ação'!$G33)),'Plano de Ação'!$J33="Cancelada"),0,IF(AND('Plano de Ação'!$F33&lt;=EOMONTH(DATE(ano_ref,6,1),0),'Plano de Ação'!$G33&gt;=DATE(ano_ref,6,1)),1,0))</f>
      </c>
      <c r="K34" s="41">
        <f>IF(OR(NOT('Plano de Ação'!$B33&lt;&gt;""),NOT(ISNUMBER('Plano de Ação'!$F33)),NOT(ISNUMBER('Plano de Ação'!$G33)),'Plano de Ação'!$J33="Cancelada"),0,IF(AND('Plano de Ação'!$F33&lt;=EOMONTH(DATE(ano_ref,7,1),0),'Plano de Ação'!$G33&gt;=DATE(ano_ref,7,1)),1,0))</f>
      </c>
      <c r="L34" s="41">
        <f>IF(OR(NOT('Plano de Ação'!$B33&lt;&gt;""),NOT(ISNUMBER('Plano de Ação'!$F33)),NOT(ISNUMBER('Plano de Ação'!$G33)),'Plano de Ação'!$J33="Cancelada"),0,IF(AND('Plano de Ação'!$F33&lt;=EOMONTH(DATE(ano_ref,8,1),0),'Plano de Ação'!$G33&gt;=DATE(ano_ref,8,1)),1,0))</f>
      </c>
      <c r="M34" s="41">
        <f>IF(OR(NOT('Plano de Ação'!$B33&lt;&gt;""),NOT(ISNUMBER('Plano de Ação'!$F33)),NOT(ISNUMBER('Plano de Ação'!$G33)),'Plano de Ação'!$J33="Cancelada"),0,IF(AND('Plano de Ação'!$F33&lt;=EOMONTH(DATE(ano_ref,9,1),0),'Plano de Ação'!$G33&gt;=DATE(ano_ref,9,1)),1,0))</f>
      </c>
      <c r="N34" s="41">
        <f>IF(OR(NOT('Plano de Ação'!$B33&lt;&gt;""),NOT(ISNUMBER('Plano de Ação'!$F33)),NOT(ISNUMBER('Plano de Ação'!$G33)),'Plano de Ação'!$J33="Cancelada"),0,IF(AND('Plano de Ação'!$F33&lt;=EOMONTH(DATE(ano_ref,10,1),0),'Plano de Ação'!$G33&gt;=DATE(ano_ref,10,1)),1,0))</f>
      </c>
      <c r="O34" s="41">
        <f>IF(OR(NOT('Plano de Ação'!$B33&lt;&gt;""),NOT(ISNUMBER('Plano de Ação'!$F33)),NOT(ISNUMBER('Plano de Ação'!$G33)),'Plano de Ação'!$J33="Cancelada"),0,IF(AND('Plano de Ação'!$F33&lt;=EOMONTH(DATE(ano_ref,11,1),0),'Plano de Ação'!$G33&gt;=DATE(ano_ref,11,1)),1,0))</f>
      </c>
      <c r="P34" s="41">
        <f>IF(OR(NOT('Plano de Ação'!$B33&lt;&gt;""),NOT(ISNUMBER('Plano de Ação'!$F33)),NOT(ISNUMBER('Plano de Ação'!$G33)),'Plano de Ação'!$J33="Cancelada"),0,IF(AND('Plano de Ação'!$F33&lt;=EOMONTH(DATE(ano_ref,12,1),0),'Plano de Ação'!$G33&gt;=DATE(ano_ref,12,1)),1,0))</f>
      </c>
    </row>
    <row r="35" spans="1:16" x14ac:dyDescent="0.25">
      <c r="A35" s="40">
        <f>IF('Plano de Ação'!$B34&lt;&gt;"",'Plano de Ação'!A34&amp;"","")</f>
      </c>
      <c r="B35" s="25">
        <f>IF('Plano de Ação'!$B34&lt;&gt;"",'Plano de Ação'!B34,"")</f>
      </c>
      <c r="C35" s="25">
        <f>IF('Plano de Ação'!$B34&lt;&gt;"",'Plano de Ação'!E34&amp;"","")</f>
      </c>
      <c r="D35" s="40">
        <f>IF('Plano de Ação'!$B34&lt;&gt;"",'Plano de Ação'!L34,"")</f>
      </c>
      <c r="E35" s="41">
        <f>IF(OR(NOT('Plano de Ação'!$B34&lt;&gt;""),NOT(ISNUMBER('Plano de Ação'!$F34)),NOT(ISNUMBER('Plano de Ação'!$G34)),'Plano de Ação'!$J34="Cancelada"),0,IF(AND('Plano de Ação'!$F34&lt;=EOMONTH(DATE(ano_ref,1,1),0),'Plano de Ação'!$G34&gt;=DATE(ano_ref,1,1)),1,0))</f>
      </c>
      <c r="F35" s="41">
        <f>IF(OR(NOT('Plano de Ação'!$B34&lt;&gt;""),NOT(ISNUMBER('Plano de Ação'!$F34)),NOT(ISNUMBER('Plano de Ação'!$G34)),'Plano de Ação'!$J34="Cancelada"),0,IF(AND('Plano de Ação'!$F34&lt;=EOMONTH(DATE(ano_ref,2,1),0),'Plano de Ação'!$G34&gt;=DATE(ano_ref,2,1)),1,0))</f>
      </c>
      <c r="G35" s="41">
        <f>IF(OR(NOT('Plano de Ação'!$B34&lt;&gt;""),NOT(ISNUMBER('Plano de Ação'!$F34)),NOT(ISNUMBER('Plano de Ação'!$G34)),'Plano de Ação'!$J34="Cancelada"),0,IF(AND('Plano de Ação'!$F34&lt;=EOMONTH(DATE(ano_ref,3,1),0),'Plano de Ação'!$G34&gt;=DATE(ano_ref,3,1)),1,0))</f>
      </c>
      <c r="H35" s="41">
        <f>IF(OR(NOT('Plano de Ação'!$B34&lt;&gt;""),NOT(ISNUMBER('Plano de Ação'!$F34)),NOT(ISNUMBER('Plano de Ação'!$G34)),'Plano de Ação'!$J34="Cancelada"),0,IF(AND('Plano de Ação'!$F34&lt;=EOMONTH(DATE(ano_ref,4,1),0),'Plano de Ação'!$G34&gt;=DATE(ano_ref,4,1)),1,0))</f>
      </c>
      <c r="I35" s="41">
        <f>IF(OR(NOT('Plano de Ação'!$B34&lt;&gt;""),NOT(ISNUMBER('Plano de Ação'!$F34)),NOT(ISNUMBER('Plano de Ação'!$G34)),'Plano de Ação'!$J34="Cancelada"),0,IF(AND('Plano de Ação'!$F34&lt;=EOMONTH(DATE(ano_ref,5,1),0),'Plano de Ação'!$G34&gt;=DATE(ano_ref,5,1)),1,0))</f>
      </c>
      <c r="J35" s="41">
        <f>IF(OR(NOT('Plano de Ação'!$B34&lt;&gt;""),NOT(ISNUMBER('Plano de Ação'!$F34)),NOT(ISNUMBER('Plano de Ação'!$G34)),'Plano de Ação'!$J34="Cancelada"),0,IF(AND('Plano de Ação'!$F34&lt;=EOMONTH(DATE(ano_ref,6,1),0),'Plano de Ação'!$G34&gt;=DATE(ano_ref,6,1)),1,0))</f>
      </c>
      <c r="K35" s="41">
        <f>IF(OR(NOT('Plano de Ação'!$B34&lt;&gt;""),NOT(ISNUMBER('Plano de Ação'!$F34)),NOT(ISNUMBER('Plano de Ação'!$G34)),'Plano de Ação'!$J34="Cancelada"),0,IF(AND('Plano de Ação'!$F34&lt;=EOMONTH(DATE(ano_ref,7,1),0),'Plano de Ação'!$G34&gt;=DATE(ano_ref,7,1)),1,0))</f>
      </c>
      <c r="L35" s="41">
        <f>IF(OR(NOT('Plano de Ação'!$B34&lt;&gt;""),NOT(ISNUMBER('Plano de Ação'!$F34)),NOT(ISNUMBER('Plano de Ação'!$G34)),'Plano de Ação'!$J34="Cancelada"),0,IF(AND('Plano de Ação'!$F34&lt;=EOMONTH(DATE(ano_ref,8,1),0),'Plano de Ação'!$G34&gt;=DATE(ano_ref,8,1)),1,0))</f>
      </c>
      <c r="M35" s="41">
        <f>IF(OR(NOT('Plano de Ação'!$B34&lt;&gt;""),NOT(ISNUMBER('Plano de Ação'!$F34)),NOT(ISNUMBER('Plano de Ação'!$G34)),'Plano de Ação'!$J34="Cancelada"),0,IF(AND('Plano de Ação'!$F34&lt;=EOMONTH(DATE(ano_ref,9,1),0),'Plano de Ação'!$G34&gt;=DATE(ano_ref,9,1)),1,0))</f>
      </c>
      <c r="N35" s="41">
        <f>IF(OR(NOT('Plano de Ação'!$B34&lt;&gt;""),NOT(ISNUMBER('Plano de Ação'!$F34)),NOT(ISNUMBER('Plano de Ação'!$G34)),'Plano de Ação'!$J34="Cancelada"),0,IF(AND('Plano de Ação'!$F34&lt;=EOMONTH(DATE(ano_ref,10,1),0),'Plano de Ação'!$G34&gt;=DATE(ano_ref,10,1)),1,0))</f>
      </c>
      <c r="O35" s="41">
        <f>IF(OR(NOT('Plano de Ação'!$B34&lt;&gt;""),NOT(ISNUMBER('Plano de Ação'!$F34)),NOT(ISNUMBER('Plano de Ação'!$G34)),'Plano de Ação'!$J34="Cancelada"),0,IF(AND('Plano de Ação'!$F34&lt;=EOMONTH(DATE(ano_ref,11,1),0),'Plano de Ação'!$G34&gt;=DATE(ano_ref,11,1)),1,0))</f>
      </c>
      <c r="P35" s="41">
        <f>IF(OR(NOT('Plano de Ação'!$B34&lt;&gt;""),NOT(ISNUMBER('Plano de Ação'!$F34)),NOT(ISNUMBER('Plano de Ação'!$G34)),'Plano de Ação'!$J34="Cancelada"),0,IF(AND('Plano de Ação'!$F34&lt;=EOMONTH(DATE(ano_ref,12,1),0),'Plano de Ação'!$G34&gt;=DATE(ano_ref,12,1)),1,0))</f>
      </c>
    </row>
    <row r="36" spans="1:16" x14ac:dyDescent="0.25">
      <c r="A36" s="40">
        <f>IF('Plano de Ação'!$B35&lt;&gt;"",'Plano de Ação'!A35&amp;"","")</f>
      </c>
      <c r="B36" s="25">
        <f>IF('Plano de Ação'!$B35&lt;&gt;"",'Plano de Ação'!B35,"")</f>
      </c>
      <c r="C36" s="25">
        <f>IF('Plano de Ação'!$B35&lt;&gt;"",'Plano de Ação'!E35&amp;"","")</f>
      </c>
      <c r="D36" s="40">
        <f>IF('Plano de Ação'!$B35&lt;&gt;"",'Plano de Ação'!L35,"")</f>
      </c>
      <c r="E36" s="41">
        <f>IF(OR(NOT('Plano de Ação'!$B35&lt;&gt;""),NOT(ISNUMBER('Plano de Ação'!$F35)),NOT(ISNUMBER('Plano de Ação'!$G35)),'Plano de Ação'!$J35="Cancelada"),0,IF(AND('Plano de Ação'!$F35&lt;=EOMONTH(DATE(ano_ref,1,1),0),'Plano de Ação'!$G35&gt;=DATE(ano_ref,1,1)),1,0))</f>
      </c>
      <c r="F36" s="41">
        <f>IF(OR(NOT('Plano de Ação'!$B35&lt;&gt;""),NOT(ISNUMBER('Plano de Ação'!$F35)),NOT(ISNUMBER('Plano de Ação'!$G35)),'Plano de Ação'!$J35="Cancelada"),0,IF(AND('Plano de Ação'!$F35&lt;=EOMONTH(DATE(ano_ref,2,1),0),'Plano de Ação'!$G35&gt;=DATE(ano_ref,2,1)),1,0))</f>
      </c>
      <c r="G36" s="41">
        <f>IF(OR(NOT('Plano de Ação'!$B35&lt;&gt;""),NOT(ISNUMBER('Plano de Ação'!$F35)),NOT(ISNUMBER('Plano de Ação'!$G35)),'Plano de Ação'!$J35="Cancelada"),0,IF(AND('Plano de Ação'!$F35&lt;=EOMONTH(DATE(ano_ref,3,1),0),'Plano de Ação'!$G35&gt;=DATE(ano_ref,3,1)),1,0))</f>
      </c>
      <c r="H36" s="41">
        <f>IF(OR(NOT('Plano de Ação'!$B35&lt;&gt;""),NOT(ISNUMBER('Plano de Ação'!$F35)),NOT(ISNUMBER('Plano de Ação'!$G35)),'Plano de Ação'!$J35="Cancelada"),0,IF(AND('Plano de Ação'!$F35&lt;=EOMONTH(DATE(ano_ref,4,1),0),'Plano de Ação'!$G35&gt;=DATE(ano_ref,4,1)),1,0))</f>
      </c>
      <c r="I36" s="41">
        <f>IF(OR(NOT('Plano de Ação'!$B35&lt;&gt;""),NOT(ISNUMBER('Plano de Ação'!$F35)),NOT(ISNUMBER('Plano de Ação'!$G35)),'Plano de Ação'!$J35="Cancelada"),0,IF(AND('Plano de Ação'!$F35&lt;=EOMONTH(DATE(ano_ref,5,1),0),'Plano de Ação'!$G35&gt;=DATE(ano_ref,5,1)),1,0))</f>
      </c>
      <c r="J36" s="41">
        <f>IF(OR(NOT('Plano de Ação'!$B35&lt;&gt;""),NOT(ISNUMBER('Plano de Ação'!$F35)),NOT(ISNUMBER('Plano de Ação'!$G35)),'Plano de Ação'!$J35="Cancelada"),0,IF(AND('Plano de Ação'!$F35&lt;=EOMONTH(DATE(ano_ref,6,1),0),'Plano de Ação'!$G35&gt;=DATE(ano_ref,6,1)),1,0))</f>
      </c>
      <c r="K36" s="41">
        <f>IF(OR(NOT('Plano de Ação'!$B35&lt;&gt;""),NOT(ISNUMBER('Plano de Ação'!$F35)),NOT(ISNUMBER('Plano de Ação'!$G35)),'Plano de Ação'!$J35="Cancelada"),0,IF(AND('Plano de Ação'!$F35&lt;=EOMONTH(DATE(ano_ref,7,1),0),'Plano de Ação'!$G35&gt;=DATE(ano_ref,7,1)),1,0))</f>
      </c>
      <c r="L36" s="41">
        <f>IF(OR(NOT('Plano de Ação'!$B35&lt;&gt;""),NOT(ISNUMBER('Plano de Ação'!$F35)),NOT(ISNUMBER('Plano de Ação'!$G35)),'Plano de Ação'!$J35="Cancelada"),0,IF(AND('Plano de Ação'!$F35&lt;=EOMONTH(DATE(ano_ref,8,1),0),'Plano de Ação'!$G35&gt;=DATE(ano_ref,8,1)),1,0))</f>
      </c>
      <c r="M36" s="41">
        <f>IF(OR(NOT('Plano de Ação'!$B35&lt;&gt;""),NOT(ISNUMBER('Plano de Ação'!$F35)),NOT(ISNUMBER('Plano de Ação'!$G35)),'Plano de Ação'!$J35="Cancelada"),0,IF(AND('Plano de Ação'!$F35&lt;=EOMONTH(DATE(ano_ref,9,1),0),'Plano de Ação'!$G35&gt;=DATE(ano_ref,9,1)),1,0))</f>
      </c>
      <c r="N36" s="41">
        <f>IF(OR(NOT('Plano de Ação'!$B35&lt;&gt;""),NOT(ISNUMBER('Plano de Ação'!$F35)),NOT(ISNUMBER('Plano de Ação'!$G35)),'Plano de Ação'!$J35="Cancelada"),0,IF(AND('Plano de Ação'!$F35&lt;=EOMONTH(DATE(ano_ref,10,1),0),'Plano de Ação'!$G35&gt;=DATE(ano_ref,10,1)),1,0))</f>
      </c>
      <c r="O36" s="41">
        <f>IF(OR(NOT('Plano de Ação'!$B35&lt;&gt;""),NOT(ISNUMBER('Plano de Ação'!$F35)),NOT(ISNUMBER('Plano de Ação'!$G35)),'Plano de Ação'!$J35="Cancelada"),0,IF(AND('Plano de Ação'!$F35&lt;=EOMONTH(DATE(ano_ref,11,1),0),'Plano de Ação'!$G35&gt;=DATE(ano_ref,11,1)),1,0))</f>
      </c>
      <c r="P36" s="41">
        <f>IF(OR(NOT('Plano de Ação'!$B35&lt;&gt;""),NOT(ISNUMBER('Plano de Ação'!$F35)),NOT(ISNUMBER('Plano de Ação'!$G35)),'Plano de Ação'!$J35="Cancelada"),0,IF(AND('Plano de Ação'!$F35&lt;=EOMONTH(DATE(ano_ref,12,1),0),'Plano de Ação'!$G35&gt;=DATE(ano_ref,12,1)),1,0))</f>
      </c>
    </row>
    <row r="37" spans="1:16" x14ac:dyDescent="0.25">
      <c r="A37" s="40">
        <f>IF('Plano de Ação'!$B36&lt;&gt;"",'Plano de Ação'!A36&amp;"","")</f>
      </c>
      <c r="B37" s="25">
        <f>IF('Plano de Ação'!$B36&lt;&gt;"",'Plano de Ação'!B36,"")</f>
      </c>
      <c r="C37" s="25">
        <f>IF('Plano de Ação'!$B36&lt;&gt;"",'Plano de Ação'!E36&amp;"","")</f>
      </c>
      <c r="D37" s="40">
        <f>IF('Plano de Ação'!$B36&lt;&gt;"",'Plano de Ação'!L36,"")</f>
      </c>
      <c r="E37" s="41">
        <f>IF(OR(NOT('Plano de Ação'!$B36&lt;&gt;""),NOT(ISNUMBER('Plano de Ação'!$F36)),NOT(ISNUMBER('Plano de Ação'!$G36)),'Plano de Ação'!$J36="Cancelada"),0,IF(AND('Plano de Ação'!$F36&lt;=EOMONTH(DATE(ano_ref,1,1),0),'Plano de Ação'!$G36&gt;=DATE(ano_ref,1,1)),1,0))</f>
      </c>
      <c r="F37" s="41">
        <f>IF(OR(NOT('Plano de Ação'!$B36&lt;&gt;""),NOT(ISNUMBER('Plano de Ação'!$F36)),NOT(ISNUMBER('Plano de Ação'!$G36)),'Plano de Ação'!$J36="Cancelada"),0,IF(AND('Plano de Ação'!$F36&lt;=EOMONTH(DATE(ano_ref,2,1),0),'Plano de Ação'!$G36&gt;=DATE(ano_ref,2,1)),1,0))</f>
      </c>
      <c r="G37" s="41">
        <f>IF(OR(NOT('Plano de Ação'!$B36&lt;&gt;""),NOT(ISNUMBER('Plano de Ação'!$F36)),NOT(ISNUMBER('Plano de Ação'!$G36)),'Plano de Ação'!$J36="Cancelada"),0,IF(AND('Plano de Ação'!$F36&lt;=EOMONTH(DATE(ano_ref,3,1),0),'Plano de Ação'!$G36&gt;=DATE(ano_ref,3,1)),1,0))</f>
      </c>
      <c r="H37" s="41">
        <f>IF(OR(NOT('Plano de Ação'!$B36&lt;&gt;""),NOT(ISNUMBER('Plano de Ação'!$F36)),NOT(ISNUMBER('Plano de Ação'!$G36)),'Plano de Ação'!$J36="Cancelada"),0,IF(AND('Plano de Ação'!$F36&lt;=EOMONTH(DATE(ano_ref,4,1),0),'Plano de Ação'!$G36&gt;=DATE(ano_ref,4,1)),1,0))</f>
      </c>
      <c r="I37" s="41">
        <f>IF(OR(NOT('Plano de Ação'!$B36&lt;&gt;""),NOT(ISNUMBER('Plano de Ação'!$F36)),NOT(ISNUMBER('Plano de Ação'!$G36)),'Plano de Ação'!$J36="Cancelada"),0,IF(AND('Plano de Ação'!$F36&lt;=EOMONTH(DATE(ano_ref,5,1),0),'Plano de Ação'!$G36&gt;=DATE(ano_ref,5,1)),1,0))</f>
      </c>
      <c r="J37" s="41">
        <f>IF(OR(NOT('Plano de Ação'!$B36&lt;&gt;""),NOT(ISNUMBER('Plano de Ação'!$F36)),NOT(ISNUMBER('Plano de Ação'!$G36)),'Plano de Ação'!$J36="Cancelada"),0,IF(AND('Plano de Ação'!$F36&lt;=EOMONTH(DATE(ano_ref,6,1),0),'Plano de Ação'!$G36&gt;=DATE(ano_ref,6,1)),1,0))</f>
      </c>
      <c r="K37" s="41">
        <f>IF(OR(NOT('Plano de Ação'!$B36&lt;&gt;""),NOT(ISNUMBER('Plano de Ação'!$F36)),NOT(ISNUMBER('Plano de Ação'!$G36)),'Plano de Ação'!$J36="Cancelada"),0,IF(AND('Plano de Ação'!$F36&lt;=EOMONTH(DATE(ano_ref,7,1),0),'Plano de Ação'!$G36&gt;=DATE(ano_ref,7,1)),1,0))</f>
      </c>
      <c r="L37" s="41">
        <f>IF(OR(NOT('Plano de Ação'!$B36&lt;&gt;""),NOT(ISNUMBER('Plano de Ação'!$F36)),NOT(ISNUMBER('Plano de Ação'!$G36)),'Plano de Ação'!$J36="Cancelada"),0,IF(AND('Plano de Ação'!$F36&lt;=EOMONTH(DATE(ano_ref,8,1),0),'Plano de Ação'!$G36&gt;=DATE(ano_ref,8,1)),1,0))</f>
      </c>
      <c r="M37" s="41">
        <f>IF(OR(NOT('Plano de Ação'!$B36&lt;&gt;""),NOT(ISNUMBER('Plano de Ação'!$F36)),NOT(ISNUMBER('Plano de Ação'!$G36)),'Plano de Ação'!$J36="Cancelada"),0,IF(AND('Plano de Ação'!$F36&lt;=EOMONTH(DATE(ano_ref,9,1),0),'Plano de Ação'!$G36&gt;=DATE(ano_ref,9,1)),1,0))</f>
      </c>
      <c r="N37" s="41">
        <f>IF(OR(NOT('Plano de Ação'!$B36&lt;&gt;""),NOT(ISNUMBER('Plano de Ação'!$F36)),NOT(ISNUMBER('Plano de Ação'!$G36)),'Plano de Ação'!$J36="Cancelada"),0,IF(AND('Plano de Ação'!$F36&lt;=EOMONTH(DATE(ano_ref,10,1),0),'Plano de Ação'!$G36&gt;=DATE(ano_ref,10,1)),1,0))</f>
      </c>
      <c r="O37" s="41">
        <f>IF(OR(NOT('Plano de Ação'!$B36&lt;&gt;""),NOT(ISNUMBER('Plano de Ação'!$F36)),NOT(ISNUMBER('Plano de Ação'!$G36)),'Plano de Ação'!$J36="Cancelada"),0,IF(AND('Plano de Ação'!$F36&lt;=EOMONTH(DATE(ano_ref,11,1),0),'Plano de Ação'!$G36&gt;=DATE(ano_ref,11,1)),1,0))</f>
      </c>
      <c r="P37" s="41">
        <f>IF(OR(NOT('Plano de Ação'!$B36&lt;&gt;""),NOT(ISNUMBER('Plano de Ação'!$F36)),NOT(ISNUMBER('Plano de Ação'!$G36)),'Plano de Ação'!$J36="Cancelada"),0,IF(AND('Plano de Ação'!$F36&lt;=EOMONTH(DATE(ano_ref,12,1),0),'Plano de Ação'!$G36&gt;=DATE(ano_ref,12,1)),1,0))</f>
      </c>
    </row>
    <row r="38" spans="1:16" x14ac:dyDescent="0.25">
      <c r="A38" s="40">
        <f>IF('Plano de Ação'!$B37&lt;&gt;"",'Plano de Ação'!A37&amp;"","")</f>
      </c>
      <c r="B38" s="25">
        <f>IF('Plano de Ação'!$B37&lt;&gt;"",'Plano de Ação'!B37,"")</f>
      </c>
      <c r="C38" s="25">
        <f>IF('Plano de Ação'!$B37&lt;&gt;"",'Plano de Ação'!E37&amp;"","")</f>
      </c>
      <c r="D38" s="40">
        <f>IF('Plano de Ação'!$B37&lt;&gt;"",'Plano de Ação'!L37,"")</f>
      </c>
      <c r="E38" s="41">
        <f>IF(OR(NOT('Plano de Ação'!$B37&lt;&gt;""),NOT(ISNUMBER('Plano de Ação'!$F37)),NOT(ISNUMBER('Plano de Ação'!$G37)),'Plano de Ação'!$J37="Cancelada"),0,IF(AND('Plano de Ação'!$F37&lt;=EOMONTH(DATE(ano_ref,1,1),0),'Plano de Ação'!$G37&gt;=DATE(ano_ref,1,1)),1,0))</f>
      </c>
      <c r="F38" s="41">
        <f>IF(OR(NOT('Plano de Ação'!$B37&lt;&gt;""),NOT(ISNUMBER('Plano de Ação'!$F37)),NOT(ISNUMBER('Plano de Ação'!$G37)),'Plano de Ação'!$J37="Cancelada"),0,IF(AND('Plano de Ação'!$F37&lt;=EOMONTH(DATE(ano_ref,2,1),0),'Plano de Ação'!$G37&gt;=DATE(ano_ref,2,1)),1,0))</f>
      </c>
      <c r="G38" s="41">
        <f>IF(OR(NOT('Plano de Ação'!$B37&lt;&gt;""),NOT(ISNUMBER('Plano de Ação'!$F37)),NOT(ISNUMBER('Plano de Ação'!$G37)),'Plano de Ação'!$J37="Cancelada"),0,IF(AND('Plano de Ação'!$F37&lt;=EOMONTH(DATE(ano_ref,3,1),0),'Plano de Ação'!$G37&gt;=DATE(ano_ref,3,1)),1,0))</f>
      </c>
      <c r="H38" s="41">
        <f>IF(OR(NOT('Plano de Ação'!$B37&lt;&gt;""),NOT(ISNUMBER('Plano de Ação'!$F37)),NOT(ISNUMBER('Plano de Ação'!$G37)),'Plano de Ação'!$J37="Cancelada"),0,IF(AND('Plano de Ação'!$F37&lt;=EOMONTH(DATE(ano_ref,4,1),0),'Plano de Ação'!$G37&gt;=DATE(ano_ref,4,1)),1,0))</f>
      </c>
      <c r="I38" s="41">
        <f>IF(OR(NOT('Plano de Ação'!$B37&lt;&gt;""),NOT(ISNUMBER('Plano de Ação'!$F37)),NOT(ISNUMBER('Plano de Ação'!$G37)),'Plano de Ação'!$J37="Cancelada"),0,IF(AND('Plano de Ação'!$F37&lt;=EOMONTH(DATE(ano_ref,5,1),0),'Plano de Ação'!$G37&gt;=DATE(ano_ref,5,1)),1,0))</f>
      </c>
      <c r="J38" s="41">
        <f>IF(OR(NOT('Plano de Ação'!$B37&lt;&gt;""),NOT(ISNUMBER('Plano de Ação'!$F37)),NOT(ISNUMBER('Plano de Ação'!$G37)),'Plano de Ação'!$J37="Cancelada"),0,IF(AND('Plano de Ação'!$F37&lt;=EOMONTH(DATE(ano_ref,6,1),0),'Plano de Ação'!$G37&gt;=DATE(ano_ref,6,1)),1,0))</f>
      </c>
      <c r="K38" s="41">
        <f>IF(OR(NOT('Plano de Ação'!$B37&lt;&gt;""),NOT(ISNUMBER('Plano de Ação'!$F37)),NOT(ISNUMBER('Plano de Ação'!$G37)),'Plano de Ação'!$J37="Cancelada"),0,IF(AND('Plano de Ação'!$F37&lt;=EOMONTH(DATE(ano_ref,7,1),0),'Plano de Ação'!$G37&gt;=DATE(ano_ref,7,1)),1,0))</f>
      </c>
      <c r="L38" s="41">
        <f>IF(OR(NOT('Plano de Ação'!$B37&lt;&gt;""),NOT(ISNUMBER('Plano de Ação'!$F37)),NOT(ISNUMBER('Plano de Ação'!$G37)),'Plano de Ação'!$J37="Cancelada"),0,IF(AND('Plano de Ação'!$F37&lt;=EOMONTH(DATE(ano_ref,8,1),0),'Plano de Ação'!$G37&gt;=DATE(ano_ref,8,1)),1,0))</f>
      </c>
      <c r="M38" s="41">
        <f>IF(OR(NOT('Plano de Ação'!$B37&lt;&gt;""),NOT(ISNUMBER('Plano de Ação'!$F37)),NOT(ISNUMBER('Plano de Ação'!$G37)),'Plano de Ação'!$J37="Cancelada"),0,IF(AND('Plano de Ação'!$F37&lt;=EOMONTH(DATE(ano_ref,9,1),0),'Plano de Ação'!$G37&gt;=DATE(ano_ref,9,1)),1,0))</f>
      </c>
      <c r="N38" s="41">
        <f>IF(OR(NOT('Plano de Ação'!$B37&lt;&gt;""),NOT(ISNUMBER('Plano de Ação'!$F37)),NOT(ISNUMBER('Plano de Ação'!$G37)),'Plano de Ação'!$J37="Cancelada"),0,IF(AND('Plano de Ação'!$F37&lt;=EOMONTH(DATE(ano_ref,10,1),0),'Plano de Ação'!$G37&gt;=DATE(ano_ref,10,1)),1,0))</f>
      </c>
      <c r="O38" s="41">
        <f>IF(OR(NOT('Plano de Ação'!$B37&lt;&gt;""),NOT(ISNUMBER('Plano de Ação'!$F37)),NOT(ISNUMBER('Plano de Ação'!$G37)),'Plano de Ação'!$J37="Cancelada"),0,IF(AND('Plano de Ação'!$F37&lt;=EOMONTH(DATE(ano_ref,11,1),0),'Plano de Ação'!$G37&gt;=DATE(ano_ref,11,1)),1,0))</f>
      </c>
      <c r="P38" s="41">
        <f>IF(OR(NOT('Plano de Ação'!$B37&lt;&gt;""),NOT(ISNUMBER('Plano de Ação'!$F37)),NOT(ISNUMBER('Plano de Ação'!$G37)),'Plano de Ação'!$J37="Cancelada"),0,IF(AND('Plano de Ação'!$F37&lt;=EOMONTH(DATE(ano_ref,12,1),0),'Plano de Ação'!$G37&gt;=DATE(ano_ref,12,1)),1,0))</f>
      </c>
    </row>
    <row r="39" spans="1:16" x14ac:dyDescent="0.25">
      <c r="A39" s="40">
        <f>IF('Plano de Ação'!$B38&lt;&gt;"",'Plano de Ação'!A38&amp;"","")</f>
      </c>
      <c r="B39" s="25">
        <f>IF('Plano de Ação'!$B38&lt;&gt;"",'Plano de Ação'!B38,"")</f>
      </c>
      <c r="C39" s="25">
        <f>IF('Plano de Ação'!$B38&lt;&gt;"",'Plano de Ação'!E38&amp;"","")</f>
      </c>
      <c r="D39" s="40">
        <f>IF('Plano de Ação'!$B38&lt;&gt;"",'Plano de Ação'!L38,"")</f>
      </c>
      <c r="E39" s="41">
        <f>IF(OR(NOT('Plano de Ação'!$B38&lt;&gt;""),NOT(ISNUMBER('Plano de Ação'!$F38)),NOT(ISNUMBER('Plano de Ação'!$G38)),'Plano de Ação'!$J38="Cancelada"),0,IF(AND('Plano de Ação'!$F38&lt;=EOMONTH(DATE(ano_ref,1,1),0),'Plano de Ação'!$G38&gt;=DATE(ano_ref,1,1)),1,0))</f>
      </c>
      <c r="F39" s="41">
        <f>IF(OR(NOT('Plano de Ação'!$B38&lt;&gt;""),NOT(ISNUMBER('Plano de Ação'!$F38)),NOT(ISNUMBER('Plano de Ação'!$G38)),'Plano de Ação'!$J38="Cancelada"),0,IF(AND('Plano de Ação'!$F38&lt;=EOMONTH(DATE(ano_ref,2,1),0),'Plano de Ação'!$G38&gt;=DATE(ano_ref,2,1)),1,0))</f>
      </c>
      <c r="G39" s="41">
        <f>IF(OR(NOT('Plano de Ação'!$B38&lt;&gt;""),NOT(ISNUMBER('Plano de Ação'!$F38)),NOT(ISNUMBER('Plano de Ação'!$G38)),'Plano de Ação'!$J38="Cancelada"),0,IF(AND('Plano de Ação'!$F38&lt;=EOMONTH(DATE(ano_ref,3,1),0),'Plano de Ação'!$G38&gt;=DATE(ano_ref,3,1)),1,0))</f>
      </c>
      <c r="H39" s="41">
        <f>IF(OR(NOT('Plano de Ação'!$B38&lt;&gt;""),NOT(ISNUMBER('Plano de Ação'!$F38)),NOT(ISNUMBER('Plano de Ação'!$G38)),'Plano de Ação'!$J38="Cancelada"),0,IF(AND('Plano de Ação'!$F38&lt;=EOMONTH(DATE(ano_ref,4,1),0),'Plano de Ação'!$G38&gt;=DATE(ano_ref,4,1)),1,0))</f>
      </c>
      <c r="I39" s="41">
        <f>IF(OR(NOT('Plano de Ação'!$B38&lt;&gt;""),NOT(ISNUMBER('Plano de Ação'!$F38)),NOT(ISNUMBER('Plano de Ação'!$G38)),'Plano de Ação'!$J38="Cancelada"),0,IF(AND('Plano de Ação'!$F38&lt;=EOMONTH(DATE(ano_ref,5,1),0),'Plano de Ação'!$G38&gt;=DATE(ano_ref,5,1)),1,0))</f>
      </c>
      <c r="J39" s="41">
        <f>IF(OR(NOT('Plano de Ação'!$B38&lt;&gt;""),NOT(ISNUMBER('Plano de Ação'!$F38)),NOT(ISNUMBER('Plano de Ação'!$G38)),'Plano de Ação'!$J38="Cancelada"),0,IF(AND('Plano de Ação'!$F38&lt;=EOMONTH(DATE(ano_ref,6,1),0),'Plano de Ação'!$G38&gt;=DATE(ano_ref,6,1)),1,0))</f>
      </c>
      <c r="K39" s="41">
        <f>IF(OR(NOT('Plano de Ação'!$B38&lt;&gt;""),NOT(ISNUMBER('Plano de Ação'!$F38)),NOT(ISNUMBER('Plano de Ação'!$G38)),'Plano de Ação'!$J38="Cancelada"),0,IF(AND('Plano de Ação'!$F38&lt;=EOMONTH(DATE(ano_ref,7,1),0),'Plano de Ação'!$G38&gt;=DATE(ano_ref,7,1)),1,0))</f>
      </c>
      <c r="L39" s="41">
        <f>IF(OR(NOT('Plano de Ação'!$B38&lt;&gt;""),NOT(ISNUMBER('Plano de Ação'!$F38)),NOT(ISNUMBER('Plano de Ação'!$G38)),'Plano de Ação'!$J38="Cancelada"),0,IF(AND('Plano de Ação'!$F38&lt;=EOMONTH(DATE(ano_ref,8,1),0),'Plano de Ação'!$G38&gt;=DATE(ano_ref,8,1)),1,0))</f>
      </c>
      <c r="M39" s="41">
        <f>IF(OR(NOT('Plano de Ação'!$B38&lt;&gt;""),NOT(ISNUMBER('Plano de Ação'!$F38)),NOT(ISNUMBER('Plano de Ação'!$G38)),'Plano de Ação'!$J38="Cancelada"),0,IF(AND('Plano de Ação'!$F38&lt;=EOMONTH(DATE(ano_ref,9,1),0),'Plano de Ação'!$G38&gt;=DATE(ano_ref,9,1)),1,0))</f>
      </c>
      <c r="N39" s="41">
        <f>IF(OR(NOT('Plano de Ação'!$B38&lt;&gt;""),NOT(ISNUMBER('Plano de Ação'!$F38)),NOT(ISNUMBER('Plano de Ação'!$G38)),'Plano de Ação'!$J38="Cancelada"),0,IF(AND('Plano de Ação'!$F38&lt;=EOMONTH(DATE(ano_ref,10,1),0),'Plano de Ação'!$G38&gt;=DATE(ano_ref,10,1)),1,0))</f>
      </c>
      <c r="O39" s="41">
        <f>IF(OR(NOT('Plano de Ação'!$B38&lt;&gt;""),NOT(ISNUMBER('Plano de Ação'!$F38)),NOT(ISNUMBER('Plano de Ação'!$G38)),'Plano de Ação'!$J38="Cancelada"),0,IF(AND('Plano de Ação'!$F38&lt;=EOMONTH(DATE(ano_ref,11,1),0),'Plano de Ação'!$G38&gt;=DATE(ano_ref,11,1)),1,0))</f>
      </c>
      <c r="P39" s="41">
        <f>IF(OR(NOT('Plano de Ação'!$B38&lt;&gt;""),NOT(ISNUMBER('Plano de Ação'!$F38)),NOT(ISNUMBER('Plano de Ação'!$G38)),'Plano de Ação'!$J38="Cancelada"),0,IF(AND('Plano de Ação'!$F38&lt;=EOMONTH(DATE(ano_ref,12,1),0),'Plano de Ação'!$G38&gt;=DATE(ano_ref,12,1)),1,0))</f>
      </c>
    </row>
    <row r="40" spans="1:16" x14ac:dyDescent="0.25">
      <c r="A40" s="40">
        <f>IF('Plano de Ação'!$B39&lt;&gt;"",'Plano de Ação'!A39&amp;"","")</f>
      </c>
      <c r="B40" s="25">
        <f>IF('Plano de Ação'!$B39&lt;&gt;"",'Plano de Ação'!B39,"")</f>
      </c>
      <c r="C40" s="25">
        <f>IF('Plano de Ação'!$B39&lt;&gt;"",'Plano de Ação'!E39&amp;"","")</f>
      </c>
      <c r="D40" s="40">
        <f>IF('Plano de Ação'!$B39&lt;&gt;"",'Plano de Ação'!L39,"")</f>
      </c>
      <c r="E40" s="41">
        <f>IF(OR(NOT('Plano de Ação'!$B39&lt;&gt;""),NOT(ISNUMBER('Plano de Ação'!$F39)),NOT(ISNUMBER('Plano de Ação'!$G39)),'Plano de Ação'!$J39="Cancelada"),0,IF(AND('Plano de Ação'!$F39&lt;=EOMONTH(DATE(ano_ref,1,1),0),'Plano de Ação'!$G39&gt;=DATE(ano_ref,1,1)),1,0))</f>
      </c>
      <c r="F40" s="41">
        <f>IF(OR(NOT('Plano de Ação'!$B39&lt;&gt;""),NOT(ISNUMBER('Plano de Ação'!$F39)),NOT(ISNUMBER('Plano de Ação'!$G39)),'Plano de Ação'!$J39="Cancelada"),0,IF(AND('Plano de Ação'!$F39&lt;=EOMONTH(DATE(ano_ref,2,1),0),'Plano de Ação'!$G39&gt;=DATE(ano_ref,2,1)),1,0))</f>
      </c>
      <c r="G40" s="41">
        <f>IF(OR(NOT('Plano de Ação'!$B39&lt;&gt;""),NOT(ISNUMBER('Plano de Ação'!$F39)),NOT(ISNUMBER('Plano de Ação'!$G39)),'Plano de Ação'!$J39="Cancelada"),0,IF(AND('Plano de Ação'!$F39&lt;=EOMONTH(DATE(ano_ref,3,1),0),'Plano de Ação'!$G39&gt;=DATE(ano_ref,3,1)),1,0))</f>
      </c>
      <c r="H40" s="41">
        <f>IF(OR(NOT('Plano de Ação'!$B39&lt;&gt;""),NOT(ISNUMBER('Plano de Ação'!$F39)),NOT(ISNUMBER('Plano de Ação'!$G39)),'Plano de Ação'!$J39="Cancelada"),0,IF(AND('Plano de Ação'!$F39&lt;=EOMONTH(DATE(ano_ref,4,1),0),'Plano de Ação'!$G39&gt;=DATE(ano_ref,4,1)),1,0))</f>
      </c>
      <c r="I40" s="41">
        <f>IF(OR(NOT('Plano de Ação'!$B39&lt;&gt;""),NOT(ISNUMBER('Plano de Ação'!$F39)),NOT(ISNUMBER('Plano de Ação'!$G39)),'Plano de Ação'!$J39="Cancelada"),0,IF(AND('Plano de Ação'!$F39&lt;=EOMONTH(DATE(ano_ref,5,1),0),'Plano de Ação'!$G39&gt;=DATE(ano_ref,5,1)),1,0))</f>
      </c>
      <c r="J40" s="41">
        <f>IF(OR(NOT('Plano de Ação'!$B39&lt;&gt;""),NOT(ISNUMBER('Plano de Ação'!$F39)),NOT(ISNUMBER('Plano de Ação'!$G39)),'Plano de Ação'!$J39="Cancelada"),0,IF(AND('Plano de Ação'!$F39&lt;=EOMONTH(DATE(ano_ref,6,1),0),'Plano de Ação'!$G39&gt;=DATE(ano_ref,6,1)),1,0))</f>
      </c>
      <c r="K40" s="41">
        <f>IF(OR(NOT('Plano de Ação'!$B39&lt;&gt;""),NOT(ISNUMBER('Plano de Ação'!$F39)),NOT(ISNUMBER('Plano de Ação'!$G39)),'Plano de Ação'!$J39="Cancelada"),0,IF(AND('Plano de Ação'!$F39&lt;=EOMONTH(DATE(ano_ref,7,1),0),'Plano de Ação'!$G39&gt;=DATE(ano_ref,7,1)),1,0))</f>
      </c>
      <c r="L40" s="41">
        <f>IF(OR(NOT('Plano de Ação'!$B39&lt;&gt;""),NOT(ISNUMBER('Plano de Ação'!$F39)),NOT(ISNUMBER('Plano de Ação'!$G39)),'Plano de Ação'!$J39="Cancelada"),0,IF(AND('Plano de Ação'!$F39&lt;=EOMONTH(DATE(ano_ref,8,1),0),'Plano de Ação'!$G39&gt;=DATE(ano_ref,8,1)),1,0))</f>
      </c>
      <c r="M40" s="41">
        <f>IF(OR(NOT('Plano de Ação'!$B39&lt;&gt;""),NOT(ISNUMBER('Plano de Ação'!$F39)),NOT(ISNUMBER('Plano de Ação'!$G39)),'Plano de Ação'!$J39="Cancelada"),0,IF(AND('Plano de Ação'!$F39&lt;=EOMONTH(DATE(ano_ref,9,1),0),'Plano de Ação'!$G39&gt;=DATE(ano_ref,9,1)),1,0))</f>
      </c>
      <c r="N40" s="41">
        <f>IF(OR(NOT('Plano de Ação'!$B39&lt;&gt;""),NOT(ISNUMBER('Plano de Ação'!$F39)),NOT(ISNUMBER('Plano de Ação'!$G39)),'Plano de Ação'!$J39="Cancelada"),0,IF(AND('Plano de Ação'!$F39&lt;=EOMONTH(DATE(ano_ref,10,1),0),'Plano de Ação'!$G39&gt;=DATE(ano_ref,10,1)),1,0))</f>
      </c>
      <c r="O40" s="41">
        <f>IF(OR(NOT('Plano de Ação'!$B39&lt;&gt;""),NOT(ISNUMBER('Plano de Ação'!$F39)),NOT(ISNUMBER('Plano de Ação'!$G39)),'Plano de Ação'!$J39="Cancelada"),0,IF(AND('Plano de Ação'!$F39&lt;=EOMONTH(DATE(ano_ref,11,1),0),'Plano de Ação'!$G39&gt;=DATE(ano_ref,11,1)),1,0))</f>
      </c>
      <c r="P40" s="41">
        <f>IF(OR(NOT('Plano de Ação'!$B39&lt;&gt;""),NOT(ISNUMBER('Plano de Ação'!$F39)),NOT(ISNUMBER('Plano de Ação'!$G39)),'Plano de Ação'!$J39="Cancelada"),0,IF(AND('Plano de Ação'!$F39&lt;=EOMONTH(DATE(ano_ref,12,1),0),'Plano de Ação'!$G39&gt;=DATE(ano_ref,12,1)),1,0))</f>
      </c>
    </row>
    <row r="41" spans="1:16" x14ac:dyDescent="0.25">
      <c r="A41" s="40">
        <f>IF('Plano de Ação'!$B40&lt;&gt;"",'Plano de Ação'!A40&amp;"","")</f>
      </c>
      <c r="B41" s="25">
        <f>IF('Plano de Ação'!$B40&lt;&gt;"",'Plano de Ação'!B40,"")</f>
      </c>
      <c r="C41" s="25">
        <f>IF('Plano de Ação'!$B40&lt;&gt;"",'Plano de Ação'!E40&amp;"","")</f>
      </c>
      <c r="D41" s="40">
        <f>IF('Plano de Ação'!$B40&lt;&gt;"",'Plano de Ação'!L40,"")</f>
      </c>
      <c r="E41" s="41">
        <f>IF(OR(NOT('Plano de Ação'!$B40&lt;&gt;""),NOT(ISNUMBER('Plano de Ação'!$F40)),NOT(ISNUMBER('Plano de Ação'!$G40)),'Plano de Ação'!$J40="Cancelada"),0,IF(AND('Plano de Ação'!$F40&lt;=EOMONTH(DATE(ano_ref,1,1),0),'Plano de Ação'!$G40&gt;=DATE(ano_ref,1,1)),1,0))</f>
      </c>
      <c r="F41" s="41">
        <f>IF(OR(NOT('Plano de Ação'!$B40&lt;&gt;""),NOT(ISNUMBER('Plano de Ação'!$F40)),NOT(ISNUMBER('Plano de Ação'!$G40)),'Plano de Ação'!$J40="Cancelada"),0,IF(AND('Plano de Ação'!$F40&lt;=EOMONTH(DATE(ano_ref,2,1),0),'Plano de Ação'!$G40&gt;=DATE(ano_ref,2,1)),1,0))</f>
      </c>
      <c r="G41" s="41">
        <f>IF(OR(NOT('Plano de Ação'!$B40&lt;&gt;""),NOT(ISNUMBER('Plano de Ação'!$F40)),NOT(ISNUMBER('Plano de Ação'!$G40)),'Plano de Ação'!$J40="Cancelada"),0,IF(AND('Plano de Ação'!$F40&lt;=EOMONTH(DATE(ano_ref,3,1),0),'Plano de Ação'!$G40&gt;=DATE(ano_ref,3,1)),1,0))</f>
      </c>
      <c r="H41" s="41">
        <f>IF(OR(NOT('Plano de Ação'!$B40&lt;&gt;""),NOT(ISNUMBER('Plano de Ação'!$F40)),NOT(ISNUMBER('Plano de Ação'!$G40)),'Plano de Ação'!$J40="Cancelada"),0,IF(AND('Plano de Ação'!$F40&lt;=EOMONTH(DATE(ano_ref,4,1),0),'Plano de Ação'!$G40&gt;=DATE(ano_ref,4,1)),1,0))</f>
      </c>
      <c r="I41" s="41">
        <f>IF(OR(NOT('Plano de Ação'!$B40&lt;&gt;""),NOT(ISNUMBER('Plano de Ação'!$F40)),NOT(ISNUMBER('Plano de Ação'!$G40)),'Plano de Ação'!$J40="Cancelada"),0,IF(AND('Plano de Ação'!$F40&lt;=EOMONTH(DATE(ano_ref,5,1),0),'Plano de Ação'!$G40&gt;=DATE(ano_ref,5,1)),1,0))</f>
      </c>
      <c r="J41" s="41">
        <f>IF(OR(NOT('Plano de Ação'!$B40&lt;&gt;""),NOT(ISNUMBER('Plano de Ação'!$F40)),NOT(ISNUMBER('Plano de Ação'!$G40)),'Plano de Ação'!$J40="Cancelada"),0,IF(AND('Plano de Ação'!$F40&lt;=EOMONTH(DATE(ano_ref,6,1),0),'Plano de Ação'!$G40&gt;=DATE(ano_ref,6,1)),1,0))</f>
      </c>
      <c r="K41" s="41">
        <f>IF(OR(NOT('Plano de Ação'!$B40&lt;&gt;""),NOT(ISNUMBER('Plano de Ação'!$F40)),NOT(ISNUMBER('Plano de Ação'!$G40)),'Plano de Ação'!$J40="Cancelada"),0,IF(AND('Plano de Ação'!$F40&lt;=EOMONTH(DATE(ano_ref,7,1),0),'Plano de Ação'!$G40&gt;=DATE(ano_ref,7,1)),1,0))</f>
      </c>
      <c r="L41" s="41">
        <f>IF(OR(NOT('Plano de Ação'!$B40&lt;&gt;""),NOT(ISNUMBER('Plano de Ação'!$F40)),NOT(ISNUMBER('Plano de Ação'!$G40)),'Plano de Ação'!$J40="Cancelada"),0,IF(AND('Plano de Ação'!$F40&lt;=EOMONTH(DATE(ano_ref,8,1),0),'Plano de Ação'!$G40&gt;=DATE(ano_ref,8,1)),1,0))</f>
      </c>
      <c r="M41" s="41">
        <f>IF(OR(NOT('Plano de Ação'!$B40&lt;&gt;""),NOT(ISNUMBER('Plano de Ação'!$F40)),NOT(ISNUMBER('Plano de Ação'!$G40)),'Plano de Ação'!$J40="Cancelada"),0,IF(AND('Plano de Ação'!$F40&lt;=EOMONTH(DATE(ano_ref,9,1),0),'Plano de Ação'!$G40&gt;=DATE(ano_ref,9,1)),1,0))</f>
      </c>
      <c r="N41" s="41">
        <f>IF(OR(NOT('Plano de Ação'!$B40&lt;&gt;""),NOT(ISNUMBER('Plano de Ação'!$F40)),NOT(ISNUMBER('Plano de Ação'!$G40)),'Plano de Ação'!$J40="Cancelada"),0,IF(AND('Plano de Ação'!$F40&lt;=EOMONTH(DATE(ano_ref,10,1),0),'Plano de Ação'!$G40&gt;=DATE(ano_ref,10,1)),1,0))</f>
      </c>
      <c r="O41" s="41">
        <f>IF(OR(NOT('Plano de Ação'!$B40&lt;&gt;""),NOT(ISNUMBER('Plano de Ação'!$F40)),NOT(ISNUMBER('Plano de Ação'!$G40)),'Plano de Ação'!$J40="Cancelada"),0,IF(AND('Plano de Ação'!$F40&lt;=EOMONTH(DATE(ano_ref,11,1),0),'Plano de Ação'!$G40&gt;=DATE(ano_ref,11,1)),1,0))</f>
      </c>
      <c r="P41" s="41">
        <f>IF(OR(NOT('Plano de Ação'!$B40&lt;&gt;""),NOT(ISNUMBER('Plano de Ação'!$F40)),NOT(ISNUMBER('Plano de Ação'!$G40)),'Plano de Ação'!$J40="Cancelada"),0,IF(AND('Plano de Ação'!$F40&lt;=EOMONTH(DATE(ano_ref,12,1),0),'Plano de Ação'!$G40&gt;=DATE(ano_ref,12,1)),1,0))</f>
      </c>
    </row>
    <row r="42" spans="1:16" x14ac:dyDescent="0.25">
      <c r="A42" s="40">
        <f>IF('Plano de Ação'!$B41&lt;&gt;"",'Plano de Ação'!A41&amp;"","")</f>
      </c>
      <c r="B42" s="25">
        <f>IF('Plano de Ação'!$B41&lt;&gt;"",'Plano de Ação'!B41,"")</f>
      </c>
      <c r="C42" s="25">
        <f>IF('Plano de Ação'!$B41&lt;&gt;"",'Plano de Ação'!E41&amp;"","")</f>
      </c>
      <c r="D42" s="40">
        <f>IF('Plano de Ação'!$B41&lt;&gt;"",'Plano de Ação'!L41,"")</f>
      </c>
      <c r="E42" s="41">
        <f>IF(OR(NOT('Plano de Ação'!$B41&lt;&gt;""),NOT(ISNUMBER('Plano de Ação'!$F41)),NOT(ISNUMBER('Plano de Ação'!$G41)),'Plano de Ação'!$J41="Cancelada"),0,IF(AND('Plano de Ação'!$F41&lt;=EOMONTH(DATE(ano_ref,1,1),0),'Plano de Ação'!$G41&gt;=DATE(ano_ref,1,1)),1,0))</f>
      </c>
      <c r="F42" s="41">
        <f>IF(OR(NOT('Plano de Ação'!$B41&lt;&gt;""),NOT(ISNUMBER('Plano de Ação'!$F41)),NOT(ISNUMBER('Plano de Ação'!$G41)),'Plano de Ação'!$J41="Cancelada"),0,IF(AND('Plano de Ação'!$F41&lt;=EOMONTH(DATE(ano_ref,2,1),0),'Plano de Ação'!$G41&gt;=DATE(ano_ref,2,1)),1,0))</f>
      </c>
      <c r="G42" s="41">
        <f>IF(OR(NOT('Plano de Ação'!$B41&lt;&gt;""),NOT(ISNUMBER('Plano de Ação'!$F41)),NOT(ISNUMBER('Plano de Ação'!$G41)),'Plano de Ação'!$J41="Cancelada"),0,IF(AND('Plano de Ação'!$F41&lt;=EOMONTH(DATE(ano_ref,3,1),0),'Plano de Ação'!$G41&gt;=DATE(ano_ref,3,1)),1,0))</f>
      </c>
      <c r="H42" s="41">
        <f>IF(OR(NOT('Plano de Ação'!$B41&lt;&gt;""),NOT(ISNUMBER('Plano de Ação'!$F41)),NOT(ISNUMBER('Plano de Ação'!$G41)),'Plano de Ação'!$J41="Cancelada"),0,IF(AND('Plano de Ação'!$F41&lt;=EOMONTH(DATE(ano_ref,4,1),0),'Plano de Ação'!$G41&gt;=DATE(ano_ref,4,1)),1,0))</f>
      </c>
      <c r="I42" s="41">
        <f>IF(OR(NOT('Plano de Ação'!$B41&lt;&gt;""),NOT(ISNUMBER('Plano de Ação'!$F41)),NOT(ISNUMBER('Plano de Ação'!$G41)),'Plano de Ação'!$J41="Cancelada"),0,IF(AND('Plano de Ação'!$F41&lt;=EOMONTH(DATE(ano_ref,5,1),0),'Plano de Ação'!$G41&gt;=DATE(ano_ref,5,1)),1,0))</f>
      </c>
      <c r="J42" s="41">
        <f>IF(OR(NOT('Plano de Ação'!$B41&lt;&gt;""),NOT(ISNUMBER('Plano de Ação'!$F41)),NOT(ISNUMBER('Plano de Ação'!$G41)),'Plano de Ação'!$J41="Cancelada"),0,IF(AND('Plano de Ação'!$F41&lt;=EOMONTH(DATE(ano_ref,6,1),0),'Plano de Ação'!$G41&gt;=DATE(ano_ref,6,1)),1,0))</f>
      </c>
      <c r="K42" s="41">
        <f>IF(OR(NOT('Plano de Ação'!$B41&lt;&gt;""),NOT(ISNUMBER('Plano de Ação'!$F41)),NOT(ISNUMBER('Plano de Ação'!$G41)),'Plano de Ação'!$J41="Cancelada"),0,IF(AND('Plano de Ação'!$F41&lt;=EOMONTH(DATE(ano_ref,7,1),0),'Plano de Ação'!$G41&gt;=DATE(ano_ref,7,1)),1,0))</f>
      </c>
      <c r="L42" s="41">
        <f>IF(OR(NOT('Plano de Ação'!$B41&lt;&gt;""),NOT(ISNUMBER('Plano de Ação'!$F41)),NOT(ISNUMBER('Plano de Ação'!$G41)),'Plano de Ação'!$J41="Cancelada"),0,IF(AND('Plano de Ação'!$F41&lt;=EOMONTH(DATE(ano_ref,8,1),0),'Plano de Ação'!$G41&gt;=DATE(ano_ref,8,1)),1,0))</f>
      </c>
      <c r="M42" s="41">
        <f>IF(OR(NOT('Plano de Ação'!$B41&lt;&gt;""),NOT(ISNUMBER('Plano de Ação'!$F41)),NOT(ISNUMBER('Plano de Ação'!$G41)),'Plano de Ação'!$J41="Cancelada"),0,IF(AND('Plano de Ação'!$F41&lt;=EOMONTH(DATE(ano_ref,9,1),0),'Plano de Ação'!$G41&gt;=DATE(ano_ref,9,1)),1,0))</f>
      </c>
      <c r="N42" s="41">
        <f>IF(OR(NOT('Plano de Ação'!$B41&lt;&gt;""),NOT(ISNUMBER('Plano de Ação'!$F41)),NOT(ISNUMBER('Plano de Ação'!$G41)),'Plano de Ação'!$J41="Cancelada"),0,IF(AND('Plano de Ação'!$F41&lt;=EOMONTH(DATE(ano_ref,10,1),0),'Plano de Ação'!$G41&gt;=DATE(ano_ref,10,1)),1,0))</f>
      </c>
      <c r="O42" s="41">
        <f>IF(OR(NOT('Plano de Ação'!$B41&lt;&gt;""),NOT(ISNUMBER('Plano de Ação'!$F41)),NOT(ISNUMBER('Plano de Ação'!$G41)),'Plano de Ação'!$J41="Cancelada"),0,IF(AND('Plano de Ação'!$F41&lt;=EOMONTH(DATE(ano_ref,11,1),0),'Plano de Ação'!$G41&gt;=DATE(ano_ref,11,1)),1,0))</f>
      </c>
      <c r="P42" s="41">
        <f>IF(OR(NOT('Plano de Ação'!$B41&lt;&gt;""),NOT(ISNUMBER('Plano de Ação'!$F41)),NOT(ISNUMBER('Plano de Ação'!$G41)),'Plano de Ação'!$J41="Cancelada"),0,IF(AND('Plano de Ação'!$F41&lt;=EOMONTH(DATE(ano_ref,12,1),0),'Plano de Ação'!$G41&gt;=DATE(ano_ref,12,1)),1,0))</f>
      </c>
    </row>
    <row r="43" spans="1:16" x14ac:dyDescent="0.25">
      <c r="A43" s="40">
        <f>IF('Plano de Ação'!$B42&lt;&gt;"",'Plano de Ação'!A42&amp;"","")</f>
      </c>
      <c r="B43" s="25">
        <f>IF('Plano de Ação'!$B42&lt;&gt;"",'Plano de Ação'!B42,"")</f>
      </c>
      <c r="C43" s="25">
        <f>IF('Plano de Ação'!$B42&lt;&gt;"",'Plano de Ação'!E42&amp;"","")</f>
      </c>
      <c r="D43" s="40">
        <f>IF('Plano de Ação'!$B42&lt;&gt;"",'Plano de Ação'!L42,"")</f>
      </c>
      <c r="E43" s="41">
        <f>IF(OR(NOT('Plano de Ação'!$B42&lt;&gt;""),NOT(ISNUMBER('Plano de Ação'!$F42)),NOT(ISNUMBER('Plano de Ação'!$G42)),'Plano de Ação'!$J42="Cancelada"),0,IF(AND('Plano de Ação'!$F42&lt;=EOMONTH(DATE(ano_ref,1,1),0),'Plano de Ação'!$G42&gt;=DATE(ano_ref,1,1)),1,0))</f>
      </c>
      <c r="F43" s="41">
        <f>IF(OR(NOT('Plano de Ação'!$B42&lt;&gt;""),NOT(ISNUMBER('Plano de Ação'!$F42)),NOT(ISNUMBER('Plano de Ação'!$G42)),'Plano de Ação'!$J42="Cancelada"),0,IF(AND('Plano de Ação'!$F42&lt;=EOMONTH(DATE(ano_ref,2,1),0),'Plano de Ação'!$G42&gt;=DATE(ano_ref,2,1)),1,0))</f>
      </c>
      <c r="G43" s="41">
        <f>IF(OR(NOT('Plano de Ação'!$B42&lt;&gt;""),NOT(ISNUMBER('Plano de Ação'!$F42)),NOT(ISNUMBER('Plano de Ação'!$G42)),'Plano de Ação'!$J42="Cancelada"),0,IF(AND('Plano de Ação'!$F42&lt;=EOMONTH(DATE(ano_ref,3,1),0),'Plano de Ação'!$G42&gt;=DATE(ano_ref,3,1)),1,0))</f>
      </c>
      <c r="H43" s="41">
        <f>IF(OR(NOT('Plano de Ação'!$B42&lt;&gt;""),NOT(ISNUMBER('Plano de Ação'!$F42)),NOT(ISNUMBER('Plano de Ação'!$G42)),'Plano de Ação'!$J42="Cancelada"),0,IF(AND('Plano de Ação'!$F42&lt;=EOMONTH(DATE(ano_ref,4,1),0),'Plano de Ação'!$G42&gt;=DATE(ano_ref,4,1)),1,0))</f>
      </c>
      <c r="I43" s="41">
        <f>IF(OR(NOT('Plano de Ação'!$B42&lt;&gt;""),NOT(ISNUMBER('Plano de Ação'!$F42)),NOT(ISNUMBER('Plano de Ação'!$G42)),'Plano de Ação'!$J42="Cancelada"),0,IF(AND('Plano de Ação'!$F42&lt;=EOMONTH(DATE(ano_ref,5,1),0),'Plano de Ação'!$G42&gt;=DATE(ano_ref,5,1)),1,0))</f>
      </c>
      <c r="J43" s="41">
        <f>IF(OR(NOT('Plano de Ação'!$B42&lt;&gt;""),NOT(ISNUMBER('Plano de Ação'!$F42)),NOT(ISNUMBER('Plano de Ação'!$G42)),'Plano de Ação'!$J42="Cancelada"),0,IF(AND('Plano de Ação'!$F42&lt;=EOMONTH(DATE(ano_ref,6,1),0),'Plano de Ação'!$G42&gt;=DATE(ano_ref,6,1)),1,0))</f>
      </c>
      <c r="K43" s="41">
        <f>IF(OR(NOT('Plano de Ação'!$B42&lt;&gt;""),NOT(ISNUMBER('Plano de Ação'!$F42)),NOT(ISNUMBER('Plano de Ação'!$G42)),'Plano de Ação'!$J42="Cancelada"),0,IF(AND('Plano de Ação'!$F42&lt;=EOMONTH(DATE(ano_ref,7,1),0),'Plano de Ação'!$G42&gt;=DATE(ano_ref,7,1)),1,0))</f>
      </c>
      <c r="L43" s="41">
        <f>IF(OR(NOT('Plano de Ação'!$B42&lt;&gt;""),NOT(ISNUMBER('Plano de Ação'!$F42)),NOT(ISNUMBER('Plano de Ação'!$G42)),'Plano de Ação'!$J42="Cancelada"),0,IF(AND('Plano de Ação'!$F42&lt;=EOMONTH(DATE(ano_ref,8,1),0),'Plano de Ação'!$G42&gt;=DATE(ano_ref,8,1)),1,0))</f>
      </c>
      <c r="M43" s="41">
        <f>IF(OR(NOT('Plano de Ação'!$B42&lt;&gt;""),NOT(ISNUMBER('Plano de Ação'!$F42)),NOT(ISNUMBER('Plano de Ação'!$G42)),'Plano de Ação'!$J42="Cancelada"),0,IF(AND('Plano de Ação'!$F42&lt;=EOMONTH(DATE(ano_ref,9,1),0),'Plano de Ação'!$G42&gt;=DATE(ano_ref,9,1)),1,0))</f>
      </c>
      <c r="N43" s="41">
        <f>IF(OR(NOT('Plano de Ação'!$B42&lt;&gt;""),NOT(ISNUMBER('Plano de Ação'!$F42)),NOT(ISNUMBER('Plano de Ação'!$G42)),'Plano de Ação'!$J42="Cancelada"),0,IF(AND('Plano de Ação'!$F42&lt;=EOMONTH(DATE(ano_ref,10,1),0),'Plano de Ação'!$G42&gt;=DATE(ano_ref,10,1)),1,0))</f>
      </c>
      <c r="O43" s="41">
        <f>IF(OR(NOT('Plano de Ação'!$B42&lt;&gt;""),NOT(ISNUMBER('Plano de Ação'!$F42)),NOT(ISNUMBER('Plano de Ação'!$G42)),'Plano de Ação'!$J42="Cancelada"),0,IF(AND('Plano de Ação'!$F42&lt;=EOMONTH(DATE(ano_ref,11,1),0),'Plano de Ação'!$G42&gt;=DATE(ano_ref,11,1)),1,0))</f>
      </c>
      <c r="P43" s="41">
        <f>IF(OR(NOT('Plano de Ação'!$B42&lt;&gt;""),NOT(ISNUMBER('Plano de Ação'!$F42)),NOT(ISNUMBER('Plano de Ação'!$G42)),'Plano de Ação'!$J42="Cancelada"),0,IF(AND('Plano de Ação'!$F42&lt;=EOMONTH(DATE(ano_ref,12,1),0),'Plano de Ação'!$G42&gt;=DATE(ano_ref,12,1)),1,0))</f>
      </c>
    </row>
    <row r="44" spans="1:16" x14ac:dyDescent="0.25">
      <c r="A44" s="40">
        <f>IF('Plano de Ação'!$B43&lt;&gt;"",'Plano de Ação'!A43&amp;"","")</f>
      </c>
      <c r="B44" s="25">
        <f>IF('Plano de Ação'!$B43&lt;&gt;"",'Plano de Ação'!B43,"")</f>
      </c>
      <c r="C44" s="25">
        <f>IF('Plano de Ação'!$B43&lt;&gt;"",'Plano de Ação'!E43&amp;"","")</f>
      </c>
      <c r="D44" s="40">
        <f>IF('Plano de Ação'!$B43&lt;&gt;"",'Plano de Ação'!L43,"")</f>
      </c>
      <c r="E44" s="41">
        <f>IF(OR(NOT('Plano de Ação'!$B43&lt;&gt;""),NOT(ISNUMBER('Plano de Ação'!$F43)),NOT(ISNUMBER('Plano de Ação'!$G43)),'Plano de Ação'!$J43="Cancelada"),0,IF(AND('Plano de Ação'!$F43&lt;=EOMONTH(DATE(ano_ref,1,1),0),'Plano de Ação'!$G43&gt;=DATE(ano_ref,1,1)),1,0))</f>
      </c>
      <c r="F44" s="41">
        <f>IF(OR(NOT('Plano de Ação'!$B43&lt;&gt;""),NOT(ISNUMBER('Plano de Ação'!$F43)),NOT(ISNUMBER('Plano de Ação'!$G43)),'Plano de Ação'!$J43="Cancelada"),0,IF(AND('Plano de Ação'!$F43&lt;=EOMONTH(DATE(ano_ref,2,1),0),'Plano de Ação'!$G43&gt;=DATE(ano_ref,2,1)),1,0))</f>
      </c>
      <c r="G44" s="41">
        <f>IF(OR(NOT('Plano de Ação'!$B43&lt;&gt;""),NOT(ISNUMBER('Plano de Ação'!$F43)),NOT(ISNUMBER('Plano de Ação'!$G43)),'Plano de Ação'!$J43="Cancelada"),0,IF(AND('Plano de Ação'!$F43&lt;=EOMONTH(DATE(ano_ref,3,1),0),'Plano de Ação'!$G43&gt;=DATE(ano_ref,3,1)),1,0))</f>
      </c>
      <c r="H44" s="41">
        <f>IF(OR(NOT('Plano de Ação'!$B43&lt;&gt;""),NOT(ISNUMBER('Plano de Ação'!$F43)),NOT(ISNUMBER('Plano de Ação'!$G43)),'Plano de Ação'!$J43="Cancelada"),0,IF(AND('Plano de Ação'!$F43&lt;=EOMONTH(DATE(ano_ref,4,1),0),'Plano de Ação'!$G43&gt;=DATE(ano_ref,4,1)),1,0))</f>
      </c>
      <c r="I44" s="41">
        <f>IF(OR(NOT('Plano de Ação'!$B43&lt;&gt;""),NOT(ISNUMBER('Plano de Ação'!$F43)),NOT(ISNUMBER('Plano de Ação'!$G43)),'Plano de Ação'!$J43="Cancelada"),0,IF(AND('Plano de Ação'!$F43&lt;=EOMONTH(DATE(ano_ref,5,1),0),'Plano de Ação'!$G43&gt;=DATE(ano_ref,5,1)),1,0))</f>
      </c>
      <c r="J44" s="41">
        <f>IF(OR(NOT('Plano de Ação'!$B43&lt;&gt;""),NOT(ISNUMBER('Plano de Ação'!$F43)),NOT(ISNUMBER('Plano de Ação'!$G43)),'Plano de Ação'!$J43="Cancelada"),0,IF(AND('Plano de Ação'!$F43&lt;=EOMONTH(DATE(ano_ref,6,1),0),'Plano de Ação'!$G43&gt;=DATE(ano_ref,6,1)),1,0))</f>
      </c>
      <c r="K44" s="41">
        <f>IF(OR(NOT('Plano de Ação'!$B43&lt;&gt;""),NOT(ISNUMBER('Plano de Ação'!$F43)),NOT(ISNUMBER('Plano de Ação'!$G43)),'Plano de Ação'!$J43="Cancelada"),0,IF(AND('Plano de Ação'!$F43&lt;=EOMONTH(DATE(ano_ref,7,1),0),'Plano de Ação'!$G43&gt;=DATE(ano_ref,7,1)),1,0))</f>
      </c>
      <c r="L44" s="41">
        <f>IF(OR(NOT('Plano de Ação'!$B43&lt;&gt;""),NOT(ISNUMBER('Plano de Ação'!$F43)),NOT(ISNUMBER('Plano de Ação'!$G43)),'Plano de Ação'!$J43="Cancelada"),0,IF(AND('Plano de Ação'!$F43&lt;=EOMONTH(DATE(ano_ref,8,1),0),'Plano de Ação'!$G43&gt;=DATE(ano_ref,8,1)),1,0))</f>
      </c>
      <c r="M44" s="41">
        <f>IF(OR(NOT('Plano de Ação'!$B43&lt;&gt;""),NOT(ISNUMBER('Plano de Ação'!$F43)),NOT(ISNUMBER('Plano de Ação'!$G43)),'Plano de Ação'!$J43="Cancelada"),0,IF(AND('Plano de Ação'!$F43&lt;=EOMONTH(DATE(ano_ref,9,1),0),'Plano de Ação'!$G43&gt;=DATE(ano_ref,9,1)),1,0))</f>
      </c>
      <c r="N44" s="41">
        <f>IF(OR(NOT('Plano de Ação'!$B43&lt;&gt;""),NOT(ISNUMBER('Plano de Ação'!$F43)),NOT(ISNUMBER('Plano de Ação'!$G43)),'Plano de Ação'!$J43="Cancelada"),0,IF(AND('Plano de Ação'!$F43&lt;=EOMONTH(DATE(ano_ref,10,1),0),'Plano de Ação'!$G43&gt;=DATE(ano_ref,10,1)),1,0))</f>
      </c>
      <c r="O44" s="41">
        <f>IF(OR(NOT('Plano de Ação'!$B43&lt;&gt;""),NOT(ISNUMBER('Plano de Ação'!$F43)),NOT(ISNUMBER('Plano de Ação'!$G43)),'Plano de Ação'!$J43="Cancelada"),0,IF(AND('Plano de Ação'!$F43&lt;=EOMONTH(DATE(ano_ref,11,1),0),'Plano de Ação'!$G43&gt;=DATE(ano_ref,11,1)),1,0))</f>
      </c>
      <c r="P44" s="41">
        <f>IF(OR(NOT('Plano de Ação'!$B43&lt;&gt;""),NOT(ISNUMBER('Plano de Ação'!$F43)),NOT(ISNUMBER('Plano de Ação'!$G43)),'Plano de Ação'!$J43="Cancelada"),0,IF(AND('Plano de Ação'!$F43&lt;=EOMONTH(DATE(ano_ref,12,1),0),'Plano de Ação'!$G43&gt;=DATE(ano_ref,12,1)),1,0))</f>
      </c>
    </row>
    <row r="45" spans="1:16" x14ac:dyDescent="0.25">
      <c r="A45" s="40">
        <f>IF('Plano de Ação'!$B44&lt;&gt;"",'Plano de Ação'!A44&amp;"","")</f>
      </c>
      <c r="B45" s="25">
        <f>IF('Plano de Ação'!$B44&lt;&gt;"",'Plano de Ação'!B44,"")</f>
      </c>
      <c r="C45" s="25">
        <f>IF('Plano de Ação'!$B44&lt;&gt;"",'Plano de Ação'!E44&amp;"","")</f>
      </c>
      <c r="D45" s="40">
        <f>IF('Plano de Ação'!$B44&lt;&gt;"",'Plano de Ação'!L44,"")</f>
      </c>
      <c r="E45" s="41">
        <f>IF(OR(NOT('Plano de Ação'!$B44&lt;&gt;""),NOT(ISNUMBER('Plano de Ação'!$F44)),NOT(ISNUMBER('Plano de Ação'!$G44)),'Plano de Ação'!$J44="Cancelada"),0,IF(AND('Plano de Ação'!$F44&lt;=EOMONTH(DATE(ano_ref,1,1),0),'Plano de Ação'!$G44&gt;=DATE(ano_ref,1,1)),1,0))</f>
      </c>
      <c r="F45" s="41">
        <f>IF(OR(NOT('Plano de Ação'!$B44&lt;&gt;""),NOT(ISNUMBER('Plano de Ação'!$F44)),NOT(ISNUMBER('Plano de Ação'!$G44)),'Plano de Ação'!$J44="Cancelada"),0,IF(AND('Plano de Ação'!$F44&lt;=EOMONTH(DATE(ano_ref,2,1),0),'Plano de Ação'!$G44&gt;=DATE(ano_ref,2,1)),1,0))</f>
      </c>
      <c r="G45" s="41">
        <f>IF(OR(NOT('Plano de Ação'!$B44&lt;&gt;""),NOT(ISNUMBER('Plano de Ação'!$F44)),NOT(ISNUMBER('Plano de Ação'!$G44)),'Plano de Ação'!$J44="Cancelada"),0,IF(AND('Plano de Ação'!$F44&lt;=EOMONTH(DATE(ano_ref,3,1),0),'Plano de Ação'!$G44&gt;=DATE(ano_ref,3,1)),1,0))</f>
      </c>
      <c r="H45" s="41">
        <f>IF(OR(NOT('Plano de Ação'!$B44&lt;&gt;""),NOT(ISNUMBER('Plano de Ação'!$F44)),NOT(ISNUMBER('Plano de Ação'!$G44)),'Plano de Ação'!$J44="Cancelada"),0,IF(AND('Plano de Ação'!$F44&lt;=EOMONTH(DATE(ano_ref,4,1),0),'Plano de Ação'!$G44&gt;=DATE(ano_ref,4,1)),1,0))</f>
      </c>
      <c r="I45" s="41">
        <f>IF(OR(NOT('Plano de Ação'!$B44&lt;&gt;""),NOT(ISNUMBER('Plano de Ação'!$F44)),NOT(ISNUMBER('Plano de Ação'!$G44)),'Plano de Ação'!$J44="Cancelada"),0,IF(AND('Plano de Ação'!$F44&lt;=EOMONTH(DATE(ano_ref,5,1),0),'Plano de Ação'!$G44&gt;=DATE(ano_ref,5,1)),1,0))</f>
      </c>
      <c r="J45" s="41">
        <f>IF(OR(NOT('Plano de Ação'!$B44&lt;&gt;""),NOT(ISNUMBER('Plano de Ação'!$F44)),NOT(ISNUMBER('Plano de Ação'!$G44)),'Plano de Ação'!$J44="Cancelada"),0,IF(AND('Plano de Ação'!$F44&lt;=EOMONTH(DATE(ano_ref,6,1),0),'Plano de Ação'!$G44&gt;=DATE(ano_ref,6,1)),1,0))</f>
      </c>
      <c r="K45" s="41">
        <f>IF(OR(NOT('Plano de Ação'!$B44&lt;&gt;""),NOT(ISNUMBER('Plano de Ação'!$F44)),NOT(ISNUMBER('Plano de Ação'!$G44)),'Plano de Ação'!$J44="Cancelada"),0,IF(AND('Plano de Ação'!$F44&lt;=EOMONTH(DATE(ano_ref,7,1),0),'Plano de Ação'!$G44&gt;=DATE(ano_ref,7,1)),1,0))</f>
      </c>
      <c r="L45" s="41">
        <f>IF(OR(NOT('Plano de Ação'!$B44&lt;&gt;""),NOT(ISNUMBER('Plano de Ação'!$F44)),NOT(ISNUMBER('Plano de Ação'!$G44)),'Plano de Ação'!$J44="Cancelada"),0,IF(AND('Plano de Ação'!$F44&lt;=EOMONTH(DATE(ano_ref,8,1),0),'Plano de Ação'!$G44&gt;=DATE(ano_ref,8,1)),1,0))</f>
      </c>
      <c r="M45" s="41">
        <f>IF(OR(NOT('Plano de Ação'!$B44&lt;&gt;""),NOT(ISNUMBER('Plano de Ação'!$F44)),NOT(ISNUMBER('Plano de Ação'!$G44)),'Plano de Ação'!$J44="Cancelada"),0,IF(AND('Plano de Ação'!$F44&lt;=EOMONTH(DATE(ano_ref,9,1),0),'Plano de Ação'!$G44&gt;=DATE(ano_ref,9,1)),1,0))</f>
      </c>
      <c r="N45" s="41">
        <f>IF(OR(NOT('Plano de Ação'!$B44&lt;&gt;""),NOT(ISNUMBER('Plano de Ação'!$F44)),NOT(ISNUMBER('Plano de Ação'!$G44)),'Plano de Ação'!$J44="Cancelada"),0,IF(AND('Plano de Ação'!$F44&lt;=EOMONTH(DATE(ano_ref,10,1),0),'Plano de Ação'!$G44&gt;=DATE(ano_ref,10,1)),1,0))</f>
      </c>
      <c r="O45" s="41">
        <f>IF(OR(NOT('Plano de Ação'!$B44&lt;&gt;""),NOT(ISNUMBER('Plano de Ação'!$F44)),NOT(ISNUMBER('Plano de Ação'!$G44)),'Plano de Ação'!$J44="Cancelada"),0,IF(AND('Plano de Ação'!$F44&lt;=EOMONTH(DATE(ano_ref,11,1),0),'Plano de Ação'!$G44&gt;=DATE(ano_ref,11,1)),1,0))</f>
      </c>
      <c r="P45" s="41">
        <f>IF(OR(NOT('Plano de Ação'!$B44&lt;&gt;""),NOT(ISNUMBER('Plano de Ação'!$F44)),NOT(ISNUMBER('Plano de Ação'!$G44)),'Plano de Ação'!$J44="Cancelada"),0,IF(AND('Plano de Ação'!$F44&lt;=EOMONTH(DATE(ano_ref,12,1),0),'Plano de Ação'!$G44&gt;=DATE(ano_ref,12,1)),1,0))</f>
      </c>
    </row>
    <row r="46" spans="1:16" x14ac:dyDescent="0.25">
      <c r="A46" s="40">
        <f>IF('Plano de Ação'!$B45&lt;&gt;"",'Plano de Ação'!A45&amp;"","")</f>
      </c>
      <c r="B46" s="25">
        <f>IF('Plano de Ação'!$B45&lt;&gt;"",'Plano de Ação'!B45,"")</f>
      </c>
      <c r="C46" s="25">
        <f>IF('Plano de Ação'!$B45&lt;&gt;"",'Plano de Ação'!E45&amp;"","")</f>
      </c>
      <c r="D46" s="40">
        <f>IF('Plano de Ação'!$B45&lt;&gt;"",'Plano de Ação'!L45,"")</f>
      </c>
      <c r="E46" s="41">
        <f>IF(OR(NOT('Plano de Ação'!$B45&lt;&gt;""),NOT(ISNUMBER('Plano de Ação'!$F45)),NOT(ISNUMBER('Plano de Ação'!$G45)),'Plano de Ação'!$J45="Cancelada"),0,IF(AND('Plano de Ação'!$F45&lt;=EOMONTH(DATE(ano_ref,1,1),0),'Plano de Ação'!$G45&gt;=DATE(ano_ref,1,1)),1,0))</f>
      </c>
      <c r="F46" s="41">
        <f>IF(OR(NOT('Plano de Ação'!$B45&lt;&gt;""),NOT(ISNUMBER('Plano de Ação'!$F45)),NOT(ISNUMBER('Plano de Ação'!$G45)),'Plano de Ação'!$J45="Cancelada"),0,IF(AND('Plano de Ação'!$F45&lt;=EOMONTH(DATE(ano_ref,2,1),0),'Plano de Ação'!$G45&gt;=DATE(ano_ref,2,1)),1,0))</f>
      </c>
      <c r="G46" s="41">
        <f>IF(OR(NOT('Plano de Ação'!$B45&lt;&gt;""),NOT(ISNUMBER('Plano de Ação'!$F45)),NOT(ISNUMBER('Plano de Ação'!$G45)),'Plano de Ação'!$J45="Cancelada"),0,IF(AND('Plano de Ação'!$F45&lt;=EOMONTH(DATE(ano_ref,3,1),0),'Plano de Ação'!$G45&gt;=DATE(ano_ref,3,1)),1,0))</f>
      </c>
      <c r="H46" s="41">
        <f>IF(OR(NOT('Plano de Ação'!$B45&lt;&gt;""),NOT(ISNUMBER('Plano de Ação'!$F45)),NOT(ISNUMBER('Plano de Ação'!$G45)),'Plano de Ação'!$J45="Cancelada"),0,IF(AND('Plano de Ação'!$F45&lt;=EOMONTH(DATE(ano_ref,4,1),0),'Plano de Ação'!$G45&gt;=DATE(ano_ref,4,1)),1,0))</f>
      </c>
      <c r="I46" s="41">
        <f>IF(OR(NOT('Plano de Ação'!$B45&lt;&gt;""),NOT(ISNUMBER('Plano de Ação'!$F45)),NOT(ISNUMBER('Plano de Ação'!$G45)),'Plano de Ação'!$J45="Cancelada"),0,IF(AND('Plano de Ação'!$F45&lt;=EOMONTH(DATE(ano_ref,5,1),0),'Plano de Ação'!$G45&gt;=DATE(ano_ref,5,1)),1,0))</f>
      </c>
      <c r="J46" s="41">
        <f>IF(OR(NOT('Plano de Ação'!$B45&lt;&gt;""),NOT(ISNUMBER('Plano de Ação'!$F45)),NOT(ISNUMBER('Plano de Ação'!$G45)),'Plano de Ação'!$J45="Cancelada"),0,IF(AND('Plano de Ação'!$F45&lt;=EOMONTH(DATE(ano_ref,6,1),0),'Plano de Ação'!$G45&gt;=DATE(ano_ref,6,1)),1,0))</f>
      </c>
      <c r="K46" s="41">
        <f>IF(OR(NOT('Plano de Ação'!$B45&lt;&gt;""),NOT(ISNUMBER('Plano de Ação'!$F45)),NOT(ISNUMBER('Plano de Ação'!$G45)),'Plano de Ação'!$J45="Cancelada"),0,IF(AND('Plano de Ação'!$F45&lt;=EOMONTH(DATE(ano_ref,7,1),0),'Plano de Ação'!$G45&gt;=DATE(ano_ref,7,1)),1,0))</f>
      </c>
      <c r="L46" s="41">
        <f>IF(OR(NOT('Plano de Ação'!$B45&lt;&gt;""),NOT(ISNUMBER('Plano de Ação'!$F45)),NOT(ISNUMBER('Plano de Ação'!$G45)),'Plano de Ação'!$J45="Cancelada"),0,IF(AND('Plano de Ação'!$F45&lt;=EOMONTH(DATE(ano_ref,8,1),0),'Plano de Ação'!$G45&gt;=DATE(ano_ref,8,1)),1,0))</f>
      </c>
      <c r="M46" s="41">
        <f>IF(OR(NOT('Plano de Ação'!$B45&lt;&gt;""),NOT(ISNUMBER('Plano de Ação'!$F45)),NOT(ISNUMBER('Plano de Ação'!$G45)),'Plano de Ação'!$J45="Cancelada"),0,IF(AND('Plano de Ação'!$F45&lt;=EOMONTH(DATE(ano_ref,9,1),0),'Plano de Ação'!$G45&gt;=DATE(ano_ref,9,1)),1,0))</f>
      </c>
      <c r="N46" s="41">
        <f>IF(OR(NOT('Plano de Ação'!$B45&lt;&gt;""),NOT(ISNUMBER('Plano de Ação'!$F45)),NOT(ISNUMBER('Plano de Ação'!$G45)),'Plano de Ação'!$J45="Cancelada"),0,IF(AND('Plano de Ação'!$F45&lt;=EOMONTH(DATE(ano_ref,10,1),0),'Plano de Ação'!$G45&gt;=DATE(ano_ref,10,1)),1,0))</f>
      </c>
      <c r="O46" s="41">
        <f>IF(OR(NOT('Plano de Ação'!$B45&lt;&gt;""),NOT(ISNUMBER('Plano de Ação'!$F45)),NOT(ISNUMBER('Plano de Ação'!$G45)),'Plano de Ação'!$J45="Cancelada"),0,IF(AND('Plano de Ação'!$F45&lt;=EOMONTH(DATE(ano_ref,11,1),0),'Plano de Ação'!$G45&gt;=DATE(ano_ref,11,1)),1,0))</f>
      </c>
      <c r="P46" s="41">
        <f>IF(OR(NOT('Plano de Ação'!$B45&lt;&gt;""),NOT(ISNUMBER('Plano de Ação'!$F45)),NOT(ISNUMBER('Plano de Ação'!$G45)),'Plano de Ação'!$J45="Cancelada"),0,IF(AND('Plano de Ação'!$F45&lt;=EOMONTH(DATE(ano_ref,12,1),0),'Plano de Ação'!$G45&gt;=DATE(ano_ref,12,1)),1,0))</f>
      </c>
    </row>
    <row r="47" spans="1:16" x14ac:dyDescent="0.25">
      <c r="A47" s="40">
        <f>IF('Plano de Ação'!$B46&lt;&gt;"",'Plano de Ação'!A46&amp;"","")</f>
      </c>
      <c r="B47" s="25">
        <f>IF('Plano de Ação'!$B46&lt;&gt;"",'Plano de Ação'!B46,"")</f>
      </c>
      <c r="C47" s="25">
        <f>IF('Plano de Ação'!$B46&lt;&gt;"",'Plano de Ação'!E46&amp;"","")</f>
      </c>
      <c r="D47" s="40">
        <f>IF('Plano de Ação'!$B46&lt;&gt;"",'Plano de Ação'!L46,"")</f>
      </c>
      <c r="E47" s="41">
        <f>IF(OR(NOT('Plano de Ação'!$B46&lt;&gt;""),NOT(ISNUMBER('Plano de Ação'!$F46)),NOT(ISNUMBER('Plano de Ação'!$G46)),'Plano de Ação'!$J46="Cancelada"),0,IF(AND('Plano de Ação'!$F46&lt;=EOMONTH(DATE(ano_ref,1,1),0),'Plano de Ação'!$G46&gt;=DATE(ano_ref,1,1)),1,0))</f>
      </c>
      <c r="F47" s="41">
        <f>IF(OR(NOT('Plano de Ação'!$B46&lt;&gt;""),NOT(ISNUMBER('Plano de Ação'!$F46)),NOT(ISNUMBER('Plano de Ação'!$G46)),'Plano de Ação'!$J46="Cancelada"),0,IF(AND('Plano de Ação'!$F46&lt;=EOMONTH(DATE(ano_ref,2,1),0),'Plano de Ação'!$G46&gt;=DATE(ano_ref,2,1)),1,0))</f>
      </c>
      <c r="G47" s="41">
        <f>IF(OR(NOT('Plano de Ação'!$B46&lt;&gt;""),NOT(ISNUMBER('Plano de Ação'!$F46)),NOT(ISNUMBER('Plano de Ação'!$G46)),'Plano de Ação'!$J46="Cancelada"),0,IF(AND('Plano de Ação'!$F46&lt;=EOMONTH(DATE(ano_ref,3,1),0),'Plano de Ação'!$G46&gt;=DATE(ano_ref,3,1)),1,0))</f>
      </c>
      <c r="H47" s="41">
        <f>IF(OR(NOT('Plano de Ação'!$B46&lt;&gt;""),NOT(ISNUMBER('Plano de Ação'!$F46)),NOT(ISNUMBER('Plano de Ação'!$G46)),'Plano de Ação'!$J46="Cancelada"),0,IF(AND('Plano de Ação'!$F46&lt;=EOMONTH(DATE(ano_ref,4,1),0),'Plano de Ação'!$G46&gt;=DATE(ano_ref,4,1)),1,0))</f>
      </c>
      <c r="I47" s="41">
        <f>IF(OR(NOT('Plano de Ação'!$B46&lt;&gt;""),NOT(ISNUMBER('Plano de Ação'!$F46)),NOT(ISNUMBER('Plano de Ação'!$G46)),'Plano de Ação'!$J46="Cancelada"),0,IF(AND('Plano de Ação'!$F46&lt;=EOMONTH(DATE(ano_ref,5,1),0),'Plano de Ação'!$G46&gt;=DATE(ano_ref,5,1)),1,0))</f>
      </c>
      <c r="J47" s="41">
        <f>IF(OR(NOT('Plano de Ação'!$B46&lt;&gt;""),NOT(ISNUMBER('Plano de Ação'!$F46)),NOT(ISNUMBER('Plano de Ação'!$G46)),'Plano de Ação'!$J46="Cancelada"),0,IF(AND('Plano de Ação'!$F46&lt;=EOMONTH(DATE(ano_ref,6,1),0),'Plano de Ação'!$G46&gt;=DATE(ano_ref,6,1)),1,0))</f>
      </c>
      <c r="K47" s="41">
        <f>IF(OR(NOT('Plano de Ação'!$B46&lt;&gt;""),NOT(ISNUMBER('Plano de Ação'!$F46)),NOT(ISNUMBER('Plano de Ação'!$G46)),'Plano de Ação'!$J46="Cancelada"),0,IF(AND('Plano de Ação'!$F46&lt;=EOMONTH(DATE(ano_ref,7,1),0),'Plano de Ação'!$G46&gt;=DATE(ano_ref,7,1)),1,0))</f>
      </c>
      <c r="L47" s="41">
        <f>IF(OR(NOT('Plano de Ação'!$B46&lt;&gt;""),NOT(ISNUMBER('Plano de Ação'!$F46)),NOT(ISNUMBER('Plano de Ação'!$G46)),'Plano de Ação'!$J46="Cancelada"),0,IF(AND('Plano de Ação'!$F46&lt;=EOMONTH(DATE(ano_ref,8,1),0),'Plano de Ação'!$G46&gt;=DATE(ano_ref,8,1)),1,0))</f>
      </c>
      <c r="M47" s="41">
        <f>IF(OR(NOT('Plano de Ação'!$B46&lt;&gt;""),NOT(ISNUMBER('Plano de Ação'!$F46)),NOT(ISNUMBER('Plano de Ação'!$G46)),'Plano de Ação'!$J46="Cancelada"),0,IF(AND('Plano de Ação'!$F46&lt;=EOMONTH(DATE(ano_ref,9,1),0),'Plano de Ação'!$G46&gt;=DATE(ano_ref,9,1)),1,0))</f>
      </c>
      <c r="N47" s="41">
        <f>IF(OR(NOT('Plano de Ação'!$B46&lt;&gt;""),NOT(ISNUMBER('Plano de Ação'!$F46)),NOT(ISNUMBER('Plano de Ação'!$G46)),'Plano de Ação'!$J46="Cancelada"),0,IF(AND('Plano de Ação'!$F46&lt;=EOMONTH(DATE(ano_ref,10,1),0),'Plano de Ação'!$G46&gt;=DATE(ano_ref,10,1)),1,0))</f>
      </c>
      <c r="O47" s="41">
        <f>IF(OR(NOT('Plano de Ação'!$B46&lt;&gt;""),NOT(ISNUMBER('Plano de Ação'!$F46)),NOT(ISNUMBER('Plano de Ação'!$G46)),'Plano de Ação'!$J46="Cancelada"),0,IF(AND('Plano de Ação'!$F46&lt;=EOMONTH(DATE(ano_ref,11,1),0),'Plano de Ação'!$G46&gt;=DATE(ano_ref,11,1)),1,0))</f>
      </c>
      <c r="P47" s="41">
        <f>IF(OR(NOT('Plano de Ação'!$B46&lt;&gt;""),NOT(ISNUMBER('Plano de Ação'!$F46)),NOT(ISNUMBER('Plano de Ação'!$G46)),'Plano de Ação'!$J46="Cancelada"),0,IF(AND('Plano de Ação'!$F46&lt;=EOMONTH(DATE(ano_ref,12,1),0),'Plano de Ação'!$G46&gt;=DATE(ano_ref,12,1)),1,0))</f>
      </c>
    </row>
    <row r="48" spans="1:16" x14ac:dyDescent="0.25">
      <c r="A48" s="40">
        <f>IF('Plano de Ação'!$B47&lt;&gt;"",'Plano de Ação'!A47&amp;"","")</f>
      </c>
      <c r="B48" s="25">
        <f>IF('Plano de Ação'!$B47&lt;&gt;"",'Plano de Ação'!B47,"")</f>
      </c>
      <c r="C48" s="25">
        <f>IF('Plano de Ação'!$B47&lt;&gt;"",'Plano de Ação'!E47&amp;"","")</f>
      </c>
      <c r="D48" s="40">
        <f>IF('Plano de Ação'!$B47&lt;&gt;"",'Plano de Ação'!L47,"")</f>
      </c>
      <c r="E48" s="41">
        <f>IF(OR(NOT('Plano de Ação'!$B47&lt;&gt;""),NOT(ISNUMBER('Plano de Ação'!$F47)),NOT(ISNUMBER('Plano de Ação'!$G47)),'Plano de Ação'!$J47="Cancelada"),0,IF(AND('Plano de Ação'!$F47&lt;=EOMONTH(DATE(ano_ref,1,1),0),'Plano de Ação'!$G47&gt;=DATE(ano_ref,1,1)),1,0))</f>
      </c>
      <c r="F48" s="41">
        <f>IF(OR(NOT('Plano de Ação'!$B47&lt;&gt;""),NOT(ISNUMBER('Plano de Ação'!$F47)),NOT(ISNUMBER('Plano de Ação'!$G47)),'Plano de Ação'!$J47="Cancelada"),0,IF(AND('Plano de Ação'!$F47&lt;=EOMONTH(DATE(ano_ref,2,1),0),'Plano de Ação'!$G47&gt;=DATE(ano_ref,2,1)),1,0))</f>
      </c>
      <c r="G48" s="41">
        <f>IF(OR(NOT('Plano de Ação'!$B47&lt;&gt;""),NOT(ISNUMBER('Plano de Ação'!$F47)),NOT(ISNUMBER('Plano de Ação'!$G47)),'Plano de Ação'!$J47="Cancelada"),0,IF(AND('Plano de Ação'!$F47&lt;=EOMONTH(DATE(ano_ref,3,1),0),'Plano de Ação'!$G47&gt;=DATE(ano_ref,3,1)),1,0))</f>
      </c>
      <c r="H48" s="41">
        <f>IF(OR(NOT('Plano de Ação'!$B47&lt;&gt;""),NOT(ISNUMBER('Plano de Ação'!$F47)),NOT(ISNUMBER('Plano de Ação'!$G47)),'Plano de Ação'!$J47="Cancelada"),0,IF(AND('Plano de Ação'!$F47&lt;=EOMONTH(DATE(ano_ref,4,1),0),'Plano de Ação'!$G47&gt;=DATE(ano_ref,4,1)),1,0))</f>
      </c>
      <c r="I48" s="41">
        <f>IF(OR(NOT('Plano de Ação'!$B47&lt;&gt;""),NOT(ISNUMBER('Plano de Ação'!$F47)),NOT(ISNUMBER('Plano de Ação'!$G47)),'Plano de Ação'!$J47="Cancelada"),0,IF(AND('Plano de Ação'!$F47&lt;=EOMONTH(DATE(ano_ref,5,1),0),'Plano de Ação'!$G47&gt;=DATE(ano_ref,5,1)),1,0))</f>
      </c>
      <c r="J48" s="41">
        <f>IF(OR(NOT('Plano de Ação'!$B47&lt;&gt;""),NOT(ISNUMBER('Plano de Ação'!$F47)),NOT(ISNUMBER('Plano de Ação'!$G47)),'Plano de Ação'!$J47="Cancelada"),0,IF(AND('Plano de Ação'!$F47&lt;=EOMONTH(DATE(ano_ref,6,1),0),'Plano de Ação'!$G47&gt;=DATE(ano_ref,6,1)),1,0))</f>
      </c>
      <c r="K48" s="41">
        <f>IF(OR(NOT('Plano de Ação'!$B47&lt;&gt;""),NOT(ISNUMBER('Plano de Ação'!$F47)),NOT(ISNUMBER('Plano de Ação'!$G47)),'Plano de Ação'!$J47="Cancelada"),0,IF(AND('Plano de Ação'!$F47&lt;=EOMONTH(DATE(ano_ref,7,1),0),'Plano de Ação'!$G47&gt;=DATE(ano_ref,7,1)),1,0))</f>
      </c>
      <c r="L48" s="41">
        <f>IF(OR(NOT('Plano de Ação'!$B47&lt;&gt;""),NOT(ISNUMBER('Plano de Ação'!$F47)),NOT(ISNUMBER('Plano de Ação'!$G47)),'Plano de Ação'!$J47="Cancelada"),0,IF(AND('Plano de Ação'!$F47&lt;=EOMONTH(DATE(ano_ref,8,1),0),'Plano de Ação'!$G47&gt;=DATE(ano_ref,8,1)),1,0))</f>
      </c>
      <c r="M48" s="41">
        <f>IF(OR(NOT('Plano de Ação'!$B47&lt;&gt;""),NOT(ISNUMBER('Plano de Ação'!$F47)),NOT(ISNUMBER('Plano de Ação'!$G47)),'Plano de Ação'!$J47="Cancelada"),0,IF(AND('Plano de Ação'!$F47&lt;=EOMONTH(DATE(ano_ref,9,1),0),'Plano de Ação'!$G47&gt;=DATE(ano_ref,9,1)),1,0))</f>
      </c>
      <c r="N48" s="41">
        <f>IF(OR(NOT('Plano de Ação'!$B47&lt;&gt;""),NOT(ISNUMBER('Plano de Ação'!$F47)),NOT(ISNUMBER('Plano de Ação'!$G47)),'Plano de Ação'!$J47="Cancelada"),0,IF(AND('Plano de Ação'!$F47&lt;=EOMONTH(DATE(ano_ref,10,1),0),'Plano de Ação'!$G47&gt;=DATE(ano_ref,10,1)),1,0))</f>
      </c>
      <c r="O48" s="41">
        <f>IF(OR(NOT('Plano de Ação'!$B47&lt;&gt;""),NOT(ISNUMBER('Plano de Ação'!$F47)),NOT(ISNUMBER('Plano de Ação'!$G47)),'Plano de Ação'!$J47="Cancelada"),0,IF(AND('Plano de Ação'!$F47&lt;=EOMONTH(DATE(ano_ref,11,1),0),'Plano de Ação'!$G47&gt;=DATE(ano_ref,11,1)),1,0))</f>
      </c>
      <c r="P48" s="41">
        <f>IF(OR(NOT('Plano de Ação'!$B47&lt;&gt;""),NOT(ISNUMBER('Plano de Ação'!$F47)),NOT(ISNUMBER('Plano de Ação'!$G47)),'Plano de Ação'!$J47="Cancelada"),0,IF(AND('Plano de Ação'!$F47&lt;=EOMONTH(DATE(ano_ref,12,1),0),'Plano de Ação'!$G47&gt;=DATE(ano_ref,12,1)),1,0))</f>
      </c>
    </row>
    <row r="49" spans="1:16" x14ac:dyDescent="0.25">
      <c r="A49" s="40">
        <f>IF('Plano de Ação'!$B48&lt;&gt;"",'Plano de Ação'!A48&amp;"","")</f>
      </c>
      <c r="B49" s="25">
        <f>IF('Plano de Ação'!$B48&lt;&gt;"",'Plano de Ação'!B48,"")</f>
      </c>
      <c r="C49" s="25">
        <f>IF('Plano de Ação'!$B48&lt;&gt;"",'Plano de Ação'!E48&amp;"","")</f>
      </c>
      <c r="D49" s="40">
        <f>IF('Plano de Ação'!$B48&lt;&gt;"",'Plano de Ação'!L48,"")</f>
      </c>
      <c r="E49" s="41">
        <f>IF(OR(NOT('Plano de Ação'!$B48&lt;&gt;""),NOT(ISNUMBER('Plano de Ação'!$F48)),NOT(ISNUMBER('Plano de Ação'!$G48)),'Plano de Ação'!$J48="Cancelada"),0,IF(AND('Plano de Ação'!$F48&lt;=EOMONTH(DATE(ano_ref,1,1),0),'Plano de Ação'!$G48&gt;=DATE(ano_ref,1,1)),1,0))</f>
      </c>
      <c r="F49" s="41">
        <f>IF(OR(NOT('Plano de Ação'!$B48&lt;&gt;""),NOT(ISNUMBER('Plano de Ação'!$F48)),NOT(ISNUMBER('Plano de Ação'!$G48)),'Plano de Ação'!$J48="Cancelada"),0,IF(AND('Plano de Ação'!$F48&lt;=EOMONTH(DATE(ano_ref,2,1),0),'Plano de Ação'!$G48&gt;=DATE(ano_ref,2,1)),1,0))</f>
      </c>
      <c r="G49" s="41">
        <f>IF(OR(NOT('Plano de Ação'!$B48&lt;&gt;""),NOT(ISNUMBER('Plano de Ação'!$F48)),NOT(ISNUMBER('Plano de Ação'!$G48)),'Plano de Ação'!$J48="Cancelada"),0,IF(AND('Plano de Ação'!$F48&lt;=EOMONTH(DATE(ano_ref,3,1),0),'Plano de Ação'!$G48&gt;=DATE(ano_ref,3,1)),1,0))</f>
      </c>
      <c r="H49" s="41">
        <f>IF(OR(NOT('Plano de Ação'!$B48&lt;&gt;""),NOT(ISNUMBER('Plano de Ação'!$F48)),NOT(ISNUMBER('Plano de Ação'!$G48)),'Plano de Ação'!$J48="Cancelada"),0,IF(AND('Plano de Ação'!$F48&lt;=EOMONTH(DATE(ano_ref,4,1),0),'Plano de Ação'!$G48&gt;=DATE(ano_ref,4,1)),1,0))</f>
      </c>
      <c r="I49" s="41">
        <f>IF(OR(NOT('Plano de Ação'!$B48&lt;&gt;""),NOT(ISNUMBER('Plano de Ação'!$F48)),NOT(ISNUMBER('Plano de Ação'!$G48)),'Plano de Ação'!$J48="Cancelada"),0,IF(AND('Plano de Ação'!$F48&lt;=EOMONTH(DATE(ano_ref,5,1),0),'Plano de Ação'!$G48&gt;=DATE(ano_ref,5,1)),1,0))</f>
      </c>
      <c r="J49" s="41">
        <f>IF(OR(NOT('Plano de Ação'!$B48&lt;&gt;""),NOT(ISNUMBER('Plano de Ação'!$F48)),NOT(ISNUMBER('Plano de Ação'!$G48)),'Plano de Ação'!$J48="Cancelada"),0,IF(AND('Plano de Ação'!$F48&lt;=EOMONTH(DATE(ano_ref,6,1),0),'Plano de Ação'!$G48&gt;=DATE(ano_ref,6,1)),1,0))</f>
      </c>
      <c r="K49" s="41">
        <f>IF(OR(NOT('Plano de Ação'!$B48&lt;&gt;""),NOT(ISNUMBER('Plano de Ação'!$F48)),NOT(ISNUMBER('Plano de Ação'!$G48)),'Plano de Ação'!$J48="Cancelada"),0,IF(AND('Plano de Ação'!$F48&lt;=EOMONTH(DATE(ano_ref,7,1),0),'Plano de Ação'!$G48&gt;=DATE(ano_ref,7,1)),1,0))</f>
      </c>
      <c r="L49" s="41">
        <f>IF(OR(NOT('Plano de Ação'!$B48&lt;&gt;""),NOT(ISNUMBER('Plano de Ação'!$F48)),NOT(ISNUMBER('Plano de Ação'!$G48)),'Plano de Ação'!$J48="Cancelada"),0,IF(AND('Plano de Ação'!$F48&lt;=EOMONTH(DATE(ano_ref,8,1),0),'Plano de Ação'!$G48&gt;=DATE(ano_ref,8,1)),1,0))</f>
      </c>
      <c r="M49" s="41">
        <f>IF(OR(NOT('Plano de Ação'!$B48&lt;&gt;""),NOT(ISNUMBER('Plano de Ação'!$F48)),NOT(ISNUMBER('Plano de Ação'!$G48)),'Plano de Ação'!$J48="Cancelada"),0,IF(AND('Plano de Ação'!$F48&lt;=EOMONTH(DATE(ano_ref,9,1),0),'Plano de Ação'!$G48&gt;=DATE(ano_ref,9,1)),1,0))</f>
      </c>
      <c r="N49" s="41">
        <f>IF(OR(NOT('Plano de Ação'!$B48&lt;&gt;""),NOT(ISNUMBER('Plano de Ação'!$F48)),NOT(ISNUMBER('Plano de Ação'!$G48)),'Plano de Ação'!$J48="Cancelada"),0,IF(AND('Plano de Ação'!$F48&lt;=EOMONTH(DATE(ano_ref,10,1),0),'Plano de Ação'!$G48&gt;=DATE(ano_ref,10,1)),1,0))</f>
      </c>
      <c r="O49" s="41">
        <f>IF(OR(NOT('Plano de Ação'!$B48&lt;&gt;""),NOT(ISNUMBER('Plano de Ação'!$F48)),NOT(ISNUMBER('Plano de Ação'!$G48)),'Plano de Ação'!$J48="Cancelada"),0,IF(AND('Plano de Ação'!$F48&lt;=EOMONTH(DATE(ano_ref,11,1),0),'Plano de Ação'!$G48&gt;=DATE(ano_ref,11,1)),1,0))</f>
      </c>
      <c r="P49" s="41">
        <f>IF(OR(NOT('Plano de Ação'!$B48&lt;&gt;""),NOT(ISNUMBER('Plano de Ação'!$F48)),NOT(ISNUMBER('Plano de Ação'!$G48)),'Plano de Ação'!$J48="Cancelada"),0,IF(AND('Plano de Ação'!$F48&lt;=EOMONTH(DATE(ano_ref,12,1),0),'Plano de Ação'!$G48&gt;=DATE(ano_ref,12,1)),1,0))</f>
      </c>
    </row>
    <row r="50" spans="1:16" x14ac:dyDescent="0.25">
      <c r="A50" s="40">
        <f>IF('Plano de Ação'!$B49&lt;&gt;"",'Plano de Ação'!A49&amp;"","")</f>
      </c>
      <c r="B50" s="25">
        <f>IF('Plano de Ação'!$B49&lt;&gt;"",'Plano de Ação'!B49,"")</f>
      </c>
      <c r="C50" s="25">
        <f>IF('Plano de Ação'!$B49&lt;&gt;"",'Plano de Ação'!E49&amp;"","")</f>
      </c>
      <c r="D50" s="40">
        <f>IF('Plano de Ação'!$B49&lt;&gt;"",'Plano de Ação'!L49,"")</f>
      </c>
      <c r="E50" s="41">
        <f>IF(OR(NOT('Plano de Ação'!$B49&lt;&gt;""),NOT(ISNUMBER('Plano de Ação'!$F49)),NOT(ISNUMBER('Plano de Ação'!$G49)),'Plano de Ação'!$J49="Cancelada"),0,IF(AND('Plano de Ação'!$F49&lt;=EOMONTH(DATE(ano_ref,1,1),0),'Plano de Ação'!$G49&gt;=DATE(ano_ref,1,1)),1,0))</f>
      </c>
      <c r="F50" s="41">
        <f>IF(OR(NOT('Plano de Ação'!$B49&lt;&gt;""),NOT(ISNUMBER('Plano de Ação'!$F49)),NOT(ISNUMBER('Plano de Ação'!$G49)),'Plano de Ação'!$J49="Cancelada"),0,IF(AND('Plano de Ação'!$F49&lt;=EOMONTH(DATE(ano_ref,2,1),0),'Plano de Ação'!$G49&gt;=DATE(ano_ref,2,1)),1,0))</f>
      </c>
      <c r="G50" s="41">
        <f>IF(OR(NOT('Plano de Ação'!$B49&lt;&gt;""),NOT(ISNUMBER('Plano de Ação'!$F49)),NOT(ISNUMBER('Plano de Ação'!$G49)),'Plano de Ação'!$J49="Cancelada"),0,IF(AND('Plano de Ação'!$F49&lt;=EOMONTH(DATE(ano_ref,3,1),0),'Plano de Ação'!$G49&gt;=DATE(ano_ref,3,1)),1,0))</f>
      </c>
      <c r="H50" s="41">
        <f>IF(OR(NOT('Plano de Ação'!$B49&lt;&gt;""),NOT(ISNUMBER('Plano de Ação'!$F49)),NOT(ISNUMBER('Plano de Ação'!$G49)),'Plano de Ação'!$J49="Cancelada"),0,IF(AND('Plano de Ação'!$F49&lt;=EOMONTH(DATE(ano_ref,4,1),0),'Plano de Ação'!$G49&gt;=DATE(ano_ref,4,1)),1,0))</f>
      </c>
      <c r="I50" s="41">
        <f>IF(OR(NOT('Plano de Ação'!$B49&lt;&gt;""),NOT(ISNUMBER('Plano de Ação'!$F49)),NOT(ISNUMBER('Plano de Ação'!$G49)),'Plano de Ação'!$J49="Cancelada"),0,IF(AND('Plano de Ação'!$F49&lt;=EOMONTH(DATE(ano_ref,5,1),0),'Plano de Ação'!$G49&gt;=DATE(ano_ref,5,1)),1,0))</f>
      </c>
      <c r="J50" s="41">
        <f>IF(OR(NOT('Plano de Ação'!$B49&lt;&gt;""),NOT(ISNUMBER('Plano de Ação'!$F49)),NOT(ISNUMBER('Plano de Ação'!$G49)),'Plano de Ação'!$J49="Cancelada"),0,IF(AND('Plano de Ação'!$F49&lt;=EOMONTH(DATE(ano_ref,6,1),0),'Plano de Ação'!$G49&gt;=DATE(ano_ref,6,1)),1,0))</f>
      </c>
      <c r="K50" s="41">
        <f>IF(OR(NOT('Plano de Ação'!$B49&lt;&gt;""),NOT(ISNUMBER('Plano de Ação'!$F49)),NOT(ISNUMBER('Plano de Ação'!$G49)),'Plano de Ação'!$J49="Cancelada"),0,IF(AND('Plano de Ação'!$F49&lt;=EOMONTH(DATE(ano_ref,7,1),0),'Plano de Ação'!$G49&gt;=DATE(ano_ref,7,1)),1,0))</f>
      </c>
      <c r="L50" s="41">
        <f>IF(OR(NOT('Plano de Ação'!$B49&lt;&gt;""),NOT(ISNUMBER('Plano de Ação'!$F49)),NOT(ISNUMBER('Plano de Ação'!$G49)),'Plano de Ação'!$J49="Cancelada"),0,IF(AND('Plano de Ação'!$F49&lt;=EOMONTH(DATE(ano_ref,8,1),0),'Plano de Ação'!$G49&gt;=DATE(ano_ref,8,1)),1,0))</f>
      </c>
      <c r="M50" s="41">
        <f>IF(OR(NOT('Plano de Ação'!$B49&lt;&gt;""),NOT(ISNUMBER('Plano de Ação'!$F49)),NOT(ISNUMBER('Plano de Ação'!$G49)),'Plano de Ação'!$J49="Cancelada"),0,IF(AND('Plano de Ação'!$F49&lt;=EOMONTH(DATE(ano_ref,9,1),0),'Plano de Ação'!$G49&gt;=DATE(ano_ref,9,1)),1,0))</f>
      </c>
      <c r="N50" s="41">
        <f>IF(OR(NOT('Plano de Ação'!$B49&lt;&gt;""),NOT(ISNUMBER('Plano de Ação'!$F49)),NOT(ISNUMBER('Plano de Ação'!$G49)),'Plano de Ação'!$J49="Cancelada"),0,IF(AND('Plano de Ação'!$F49&lt;=EOMONTH(DATE(ano_ref,10,1),0),'Plano de Ação'!$G49&gt;=DATE(ano_ref,10,1)),1,0))</f>
      </c>
      <c r="O50" s="41">
        <f>IF(OR(NOT('Plano de Ação'!$B49&lt;&gt;""),NOT(ISNUMBER('Plano de Ação'!$F49)),NOT(ISNUMBER('Plano de Ação'!$G49)),'Plano de Ação'!$J49="Cancelada"),0,IF(AND('Plano de Ação'!$F49&lt;=EOMONTH(DATE(ano_ref,11,1),0),'Plano de Ação'!$G49&gt;=DATE(ano_ref,11,1)),1,0))</f>
      </c>
      <c r="P50" s="41">
        <f>IF(OR(NOT('Plano de Ação'!$B49&lt;&gt;""),NOT(ISNUMBER('Plano de Ação'!$F49)),NOT(ISNUMBER('Plano de Ação'!$G49)),'Plano de Ação'!$J49="Cancelada"),0,IF(AND('Plano de Ação'!$F49&lt;=EOMONTH(DATE(ano_ref,12,1),0),'Plano de Ação'!$G49&gt;=DATE(ano_ref,12,1)),1,0))</f>
      </c>
    </row>
    <row r="51" spans="1:16" x14ac:dyDescent="0.25">
      <c r="A51" s="40">
        <f>IF('Plano de Ação'!$B50&lt;&gt;"",'Plano de Ação'!A50&amp;"","")</f>
      </c>
      <c r="B51" s="25">
        <f>IF('Plano de Ação'!$B50&lt;&gt;"",'Plano de Ação'!B50,"")</f>
      </c>
      <c r="C51" s="25">
        <f>IF('Plano de Ação'!$B50&lt;&gt;"",'Plano de Ação'!E50&amp;"","")</f>
      </c>
      <c r="D51" s="40">
        <f>IF('Plano de Ação'!$B50&lt;&gt;"",'Plano de Ação'!L50,"")</f>
      </c>
      <c r="E51" s="41">
        <f>IF(OR(NOT('Plano de Ação'!$B50&lt;&gt;""),NOT(ISNUMBER('Plano de Ação'!$F50)),NOT(ISNUMBER('Plano de Ação'!$G50)),'Plano de Ação'!$J50="Cancelada"),0,IF(AND('Plano de Ação'!$F50&lt;=EOMONTH(DATE(ano_ref,1,1),0),'Plano de Ação'!$G50&gt;=DATE(ano_ref,1,1)),1,0))</f>
      </c>
      <c r="F51" s="41">
        <f>IF(OR(NOT('Plano de Ação'!$B50&lt;&gt;""),NOT(ISNUMBER('Plano de Ação'!$F50)),NOT(ISNUMBER('Plano de Ação'!$G50)),'Plano de Ação'!$J50="Cancelada"),0,IF(AND('Plano de Ação'!$F50&lt;=EOMONTH(DATE(ano_ref,2,1),0),'Plano de Ação'!$G50&gt;=DATE(ano_ref,2,1)),1,0))</f>
      </c>
      <c r="G51" s="41">
        <f>IF(OR(NOT('Plano de Ação'!$B50&lt;&gt;""),NOT(ISNUMBER('Plano de Ação'!$F50)),NOT(ISNUMBER('Plano de Ação'!$G50)),'Plano de Ação'!$J50="Cancelada"),0,IF(AND('Plano de Ação'!$F50&lt;=EOMONTH(DATE(ano_ref,3,1),0),'Plano de Ação'!$G50&gt;=DATE(ano_ref,3,1)),1,0))</f>
      </c>
      <c r="H51" s="41">
        <f>IF(OR(NOT('Plano de Ação'!$B50&lt;&gt;""),NOT(ISNUMBER('Plano de Ação'!$F50)),NOT(ISNUMBER('Plano de Ação'!$G50)),'Plano de Ação'!$J50="Cancelada"),0,IF(AND('Plano de Ação'!$F50&lt;=EOMONTH(DATE(ano_ref,4,1),0),'Plano de Ação'!$G50&gt;=DATE(ano_ref,4,1)),1,0))</f>
      </c>
      <c r="I51" s="41">
        <f>IF(OR(NOT('Plano de Ação'!$B50&lt;&gt;""),NOT(ISNUMBER('Plano de Ação'!$F50)),NOT(ISNUMBER('Plano de Ação'!$G50)),'Plano de Ação'!$J50="Cancelada"),0,IF(AND('Plano de Ação'!$F50&lt;=EOMONTH(DATE(ano_ref,5,1),0),'Plano de Ação'!$G50&gt;=DATE(ano_ref,5,1)),1,0))</f>
      </c>
      <c r="J51" s="41">
        <f>IF(OR(NOT('Plano de Ação'!$B50&lt;&gt;""),NOT(ISNUMBER('Plano de Ação'!$F50)),NOT(ISNUMBER('Plano de Ação'!$G50)),'Plano de Ação'!$J50="Cancelada"),0,IF(AND('Plano de Ação'!$F50&lt;=EOMONTH(DATE(ano_ref,6,1),0),'Plano de Ação'!$G50&gt;=DATE(ano_ref,6,1)),1,0))</f>
      </c>
      <c r="K51" s="41">
        <f>IF(OR(NOT('Plano de Ação'!$B50&lt;&gt;""),NOT(ISNUMBER('Plano de Ação'!$F50)),NOT(ISNUMBER('Plano de Ação'!$G50)),'Plano de Ação'!$J50="Cancelada"),0,IF(AND('Plano de Ação'!$F50&lt;=EOMONTH(DATE(ano_ref,7,1),0),'Plano de Ação'!$G50&gt;=DATE(ano_ref,7,1)),1,0))</f>
      </c>
      <c r="L51" s="41">
        <f>IF(OR(NOT('Plano de Ação'!$B50&lt;&gt;""),NOT(ISNUMBER('Plano de Ação'!$F50)),NOT(ISNUMBER('Plano de Ação'!$G50)),'Plano de Ação'!$J50="Cancelada"),0,IF(AND('Plano de Ação'!$F50&lt;=EOMONTH(DATE(ano_ref,8,1),0),'Plano de Ação'!$G50&gt;=DATE(ano_ref,8,1)),1,0))</f>
      </c>
      <c r="M51" s="41">
        <f>IF(OR(NOT('Plano de Ação'!$B50&lt;&gt;""),NOT(ISNUMBER('Plano de Ação'!$F50)),NOT(ISNUMBER('Plano de Ação'!$G50)),'Plano de Ação'!$J50="Cancelada"),0,IF(AND('Plano de Ação'!$F50&lt;=EOMONTH(DATE(ano_ref,9,1),0),'Plano de Ação'!$G50&gt;=DATE(ano_ref,9,1)),1,0))</f>
      </c>
      <c r="N51" s="41">
        <f>IF(OR(NOT('Plano de Ação'!$B50&lt;&gt;""),NOT(ISNUMBER('Plano de Ação'!$F50)),NOT(ISNUMBER('Plano de Ação'!$G50)),'Plano de Ação'!$J50="Cancelada"),0,IF(AND('Plano de Ação'!$F50&lt;=EOMONTH(DATE(ano_ref,10,1),0),'Plano de Ação'!$G50&gt;=DATE(ano_ref,10,1)),1,0))</f>
      </c>
      <c r="O51" s="41">
        <f>IF(OR(NOT('Plano de Ação'!$B50&lt;&gt;""),NOT(ISNUMBER('Plano de Ação'!$F50)),NOT(ISNUMBER('Plano de Ação'!$G50)),'Plano de Ação'!$J50="Cancelada"),0,IF(AND('Plano de Ação'!$F50&lt;=EOMONTH(DATE(ano_ref,11,1),0),'Plano de Ação'!$G50&gt;=DATE(ano_ref,11,1)),1,0))</f>
      </c>
      <c r="P51" s="41">
        <f>IF(OR(NOT('Plano de Ação'!$B50&lt;&gt;""),NOT(ISNUMBER('Plano de Ação'!$F50)),NOT(ISNUMBER('Plano de Ação'!$G50)),'Plano de Ação'!$J50="Cancelada"),0,IF(AND('Plano de Ação'!$F50&lt;=EOMONTH(DATE(ano_ref,12,1),0),'Plano de Ação'!$G50&gt;=DATE(ano_ref,12,1)),1,0))</f>
      </c>
    </row>
    <row r="52" spans="1:16" x14ac:dyDescent="0.25">
      <c r="A52" s="40">
        <f>IF('Plano de Ação'!$B51&lt;&gt;"",'Plano de Ação'!A51&amp;"","")</f>
      </c>
      <c r="B52" s="25">
        <f>IF('Plano de Ação'!$B51&lt;&gt;"",'Plano de Ação'!B51,"")</f>
      </c>
      <c r="C52" s="25">
        <f>IF('Plano de Ação'!$B51&lt;&gt;"",'Plano de Ação'!E51&amp;"","")</f>
      </c>
      <c r="D52" s="40">
        <f>IF('Plano de Ação'!$B51&lt;&gt;"",'Plano de Ação'!L51,"")</f>
      </c>
      <c r="E52" s="41">
        <f>IF(OR(NOT('Plano de Ação'!$B51&lt;&gt;""),NOT(ISNUMBER('Plano de Ação'!$F51)),NOT(ISNUMBER('Plano de Ação'!$G51)),'Plano de Ação'!$J51="Cancelada"),0,IF(AND('Plano de Ação'!$F51&lt;=EOMONTH(DATE(ano_ref,1,1),0),'Plano de Ação'!$G51&gt;=DATE(ano_ref,1,1)),1,0))</f>
      </c>
      <c r="F52" s="41">
        <f>IF(OR(NOT('Plano de Ação'!$B51&lt;&gt;""),NOT(ISNUMBER('Plano de Ação'!$F51)),NOT(ISNUMBER('Plano de Ação'!$G51)),'Plano de Ação'!$J51="Cancelada"),0,IF(AND('Plano de Ação'!$F51&lt;=EOMONTH(DATE(ano_ref,2,1),0),'Plano de Ação'!$G51&gt;=DATE(ano_ref,2,1)),1,0))</f>
      </c>
      <c r="G52" s="41">
        <f>IF(OR(NOT('Plano de Ação'!$B51&lt;&gt;""),NOT(ISNUMBER('Plano de Ação'!$F51)),NOT(ISNUMBER('Plano de Ação'!$G51)),'Plano de Ação'!$J51="Cancelada"),0,IF(AND('Plano de Ação'!$F51&lt;=EOMONTH(DATE(ano_ref,3,1),0),'Plano de Ação'!$G51&gt;=DATE(ano_ref,3,1)),1,0))</f>
      </c>
      <c r="H52" s="41">
        <f>IF(OR(NOT('Plano de Ação'!$B51&lt;&gt;""),NOT(ISNUMBER('Plano de Ação'!$F51)),NOT(ISNUMBER('Plano de Ação'!$G51)),'Plano de Ação'!$J51="Cancelada"),0,IF(AND('Plano de Ação'!$F51&lt;=EOMONTH(DATE(ano_ref,4,1),0),'Plano de Ação'!$G51&gt;=DATE(ano_ref,4,1)),1,0))</f>
      </c>
      <c r="I52" s="41">
        <f>IF(OR(NOT('Plano de Ação'!$B51&lt;&gt;""),NOT(ISNUMBER('Plano de Ação'!$F51)),NOT(ISNUMBER('Plano de Ação'!$G51)),'Plano de Ação'!$J51="Cancelada"),0,IF(AND('Plano de Ação'!$F51&lt;=EOMONTH(DATE(ano_ref,5,1),0),'Plano de Ação'!$G51&gt;=DATE(ano_ref,5,1)),1,0))</f>
      </c>
      <c r="J52" s="41">
        <f>IF(OR(NOT('Plano de Ação'!$B51&lt;&gt;""),NOT(ISNUMBER('Plano de Ação'!$F51)),NOT(ISNUMBER('Plano de Ação'!$G51)),'Plano de Ação'!$J51="Cancelada"),0,IF(AND('Plano de Ação'!$F51&lt;=EOMONTH(DATE(ano_ref,6,1),0),'Plano de Ação'!$G51&gt;=DATE(ano_ref,6,1)),1,0))</f>
      </c>
      <c r="K52" s="41">
        <f>IF(OR(NOT('Plano de Ação'!$B51&lt;&gt;""),NOT(ISNUMBER('Plano de Ação'!$F51)),NOT(ISNUMBER('Plano de Ação'!$G51)),'Plano de Ação'!$J51="Cancelada"),0,IF(AND('Plano de Ação'!$F51&lt;=EOMONTH(DATE(ano_ref,7,1),0),'Plano de Ação'!$G51&gt;=DATE(ano_ref,7,1)),1,0))</f>
      </c>
      <c r="L52" s="41">
        <f>IF(OR(NOT('Plano de Ação'!$B51&lt;&gt;""),NOT(ISNUMBER('Plano de Ação'!$F51)),NOT(ISNUMBER('Plano de Ação'!$G51)),'Plano de Ação'!$J51="Cancelada"),0,IF(AND('Plano de Ação'!$F51&lt;=EOMONTH(DATE(ano_ref,8,1),0),'Plano de Ação'!$G51&gt;=DATE(ano_ref,8,1)),1,0))</f>
      </c>
      <c r="M52" s="41">
        <f>IF(OR(NOT('Plano de Ação'!$B51&lt;&gt;""),NOT(ISNUMBER('Plano de Ação'!$F51)),NOT(ISNUMBER('Plano de Ação'!$G51)),'Plano de Ação'!$J51="Cancelada"),0,IF(AND('Plano de Ação'!$F51&lt;=EOMONTH(DATE(ano_ref,9,1),0),'Plano de Ação'!$G51&gt;=DATE(ano_ref,9,1)),1,0))</f>
      </c>
      <c r="N52" s="41">
        <f>IF(OR(NOT('Plano de Ação'!$B51&lt;&gt;""),NOT(ISNUMBER('Plano de Ação'!$F51)),NOT(ISNUMBER('Plano de Ação'!$G51)),'Plano de Ação'!$J51="Cancelada"),0,IF(AND('Plano de Ação'!$F51&lt;=EOMONTH(DATE(ano_ref,10,1),0),'Plano de Ação'!$G51&gt;=DATE(ano_ref,10,1)),1,0))</f>
      </c>
      <c r="O52" s="41">
        <f>IF(OR(NOT('Plano de Ação'!$B51&lt;&gt;""),NOT(ISNUMBER('Plano de Ação'!$F51)),NOT(ISNUMBER('Plano de Ação'!$G51)),'Plano de Ação'!$J51="Cancelada"),0,IF(AND('Plano de Ação'!$F51&lt;=EOMONTH(DATE(ano_ref,11,1),0),'Plano de Ação'!$G51&gt;=DATE(ano_ref,11,1)),1,0))</f>
      </c>
      <c r="P52" s="41">
        <f>IF(OR(NOT('Plano de Ação'!$B51&lt;&gt;""),NOT(ISNUMBER('Plano de Ação'!$F51)),NOT(ISNUMBER('Plano de Ação'!$G51)),'Plano de Ação'!$J51="Cancelada"),0,IF(AND('Plano de Ação'!$F51&lt;=EOMONTH(DATE(ano_ref,12,1),0),'Plano de Ação'!$G51&gt;=DATE(ano_ref,12,1)),1,0))</f>
      </c>
    </row>
    <row r="53" spans="1:16" x14ac:dyDescent="0.25">
      <c r="A53" s="40">
        <f>IF('Plano de Ação'!$B52&lt;&gt;"",'Plano de Ação'!A52&amp;"","")</f>
      </c>
      <c r="B53" s="25">
        <f>IF('Plano de Ação'!$B52&lt;&gt;"",'Plano de Ação'!B52,"")</f>
      </c>
      <c r="C53" s="25">
        <f>IF('Plano de Ação'!$B52&lt;&gt;"",'Plano de Ação'!E52&amp;"","")</f>
      </c>
      <c r="D53" s="40">
        <f>IF('Plano de Ação'!$B52&lt;&gt;"",'Plano de Ação'!L52,"")</f>
      </c>
      <c r="E53" s="41">
        <f>IF(OR(NOT('Plano de Ação'!$B52&lt;&gt;""),NOT(ISNUMBER('Plano de Ação'!$F52)),NOT(ISNUMBER('Plano de Ação'!$G52)),'Plano de Ação'!$J52="Cancelada"),0,IF(AND('Plano de Ação'!$F52&lt;=EOMONTH(DATE(ano_ref,1,1),0),'Plano de Ação'!$G52&gt;=DATE(ano_ref,1,1)),1,0))</f>
      </c>
      <c r="F53" s="41">
        <f>IF(OR(NOT('Plano de Ação'!$B52&lt;&gt;""),NOT(ISNUMBER('Plano de Ação'!$F52)),NOT(ISNUMBER('Plano de Ação'!$G52)),'Plano de Ação'!$J52="Cancelada"),0,IF(AND('Plano de Ação'!$F52&lt;=EOMONTH(DATE(ano_ref,2,1),0),'Plano de Ação'!$G52&gt;=DATE(ano_ref,2,1)),1,0))</f>
      </c>
      <c r="G53" s="41">
        <f>IF(OR(NOT('Plano de Ação'!$B52&lt;&gt;""),NOT(ISNUMBER('Plano de Ação'!$F52)),NOT(ISNUMBER('Plano de Ação'!$G52)),'Plano de Ação'!$J52="Cancelada"),0,IF(AND('Plano de Ação'!$F52&lt;=EOMONTH(DATE(ano_ref,3,1),0),'Plano de Ação'!$G52&gt;=DATE(ano_ref,3,1)),1,0))</f>
      </c>
      <c r="H53" s="41">
        <f>IF(OR(NOT('Plano de Ação'!$B52&lt;&gt;""),NOT(ISNUMBER('Plano de Ação'!$F52)),NOT(ISNUMBER('Plano de Ação'!$G52)),'Plano de Ação'!$J52="Cancelada"),0,IF(AND('Plano de Ação'!$F52&lt;=EOMONTH(DATE(ano_ref,4,1),0),'Plano de Ação'!$G52&gt;=DATE(ano_ref,4,1)),1,0))</f>
      </c>
      <c r="I53" s="41">
        <f>IF(OR(NOT('Plano de Ação'!$B52&lt;&gt;""),NOT(ISNUMBER('Plano de Ação'!$F52)),NOT(ISNUMBER('Plano de Ação'!$G52)),'Plano de Ação'!$J52="Cancelada"),0,IF(AND('Plano de Ação'!$F52&lt;=EOMONTH(DATE(ano_ref,5,1),0),'Plano de Ação'!$G52&gt;=DATE(ano_ref,5,1)),1,0))</f>
      </c>
      <c r="J53" s="41">
        <f>IF(OR(NOT('Plano de Ação'!$B52&lt;&gt;""),NOT(ISNUMBER('Plano de Ação'!$F52)),NOT(ISNUMBER('Plano de Ação'!$G52)),'Plano de Ação'!$J52="Cancelada"),0,IF(AND('Plano de Ação'!$F52&lt;=EOMONTH(DATE(ano_ref,6,1),0),'Plano de Ação'!$G52&gt;=DATE(ano_ref,6,1)),1,0))</f>
      </c>
      <c r="K53" s="41">
        <f>IF(OR(NOT('Plano de Ação'!$B52&lt;&gt;""),NOT(ISNUMBER('Plano de Ação'!$F52)),NOT(ISNUMBER('Plano de Ação'!$G52)),'Plano de Ação'!$J52="Cancelada"),0,IF(AND('Plano de Ação'!$F52&lt;=EOMONTH(DATE(ano_ref,7,1),0),'Plano de Ação'!$G52&gt;=DATE(ano_ref,7,1)),1,0))</f>
      </c>
      <c r="L53" s="41">
        <f>IF(OR(NOT('Plano de Ação'!$B52&lt;&gt;""),NOT(ISNUMBER('Plano de Ação'!$F52)),NOT(ISNUMBER('Plano de Ação'!$G52)),'Plano de Ação'!$J52="Cancelada"),0,IF(AND('Plano de Ação'!$F52&lt;=EOMONTH(DATE(ano_ref,8,1),0),'Plano de Ação'!$G52&gt;=DATE(ano_ref,8,1)),1,0))</f>
      </c>
      <c r="M53" s="41">
        <f>IF(OR(NOT('Plano de Ação'!$B52&lt;&gt;""),NOT(ISNUMBER('Plano de Ação'!$F52)),NOT(ISNUMBER('Plano de Ação'!$G52)),'Plano de Ação'!$J52="Cancelada"),0,IF(AND('Plano de Ação'!$F52&lt;=EOMONTH(DATE(ano_ref,9,1),0),'Plano de Ação'!$G52&gt;=DATE(ano_ref,9,1)),1,0))</f>
      </c>
      <c r="N53" s="41">
        <f>IF(OR(NOT('Plano de Ação'!$B52&lt;&gt;""),NOT(ISNUMBER('Plano de Ação'!$F52)),NOT(ISNUMBER('Plano de Ação'!$G52)),'Plano de Ação'!$J52="Cancelada"),0,IF(AND('Plano de Ação'!$F52&lt;=EOMONTH(DATE(ano_ref,10,1),0),'Plano de Ação'!$G52&gt;=DATE(ano_ref,10,1)),1,0))</f>
      </c>
      <c r="O53" s="41">
        <f>IF(OR(NOT('Plano de Ação'!$B52&lt;&gt;""),NOT(ISNUMBER('Plano de Ação'!$F52)),NOT(ISNUMBER('Plano de Ação'!$G52)),'Plano de Ação'!$J52="Cancelada"),0,IF(AND('Plano de Ação'!$F52&lt;=EOMONTH(DATE(ano_ref,11,1),0),'Plano de Ação'!$G52&gt;=DATE(ano_ref,11,1)),1,0))</f>
      </c>
      <c r="P53" s="41">
        <f>IF(OR(NOT('Plano de Ação'!$B52&lt;&gt;""),NOT(ISNUMBER('Plano de Ação'!$F52)),NOT(ISNUMBER('Plano de Ação'!$G52)),'Plano de Ação'!$J52="Cancelada"),0,IF(AND('Plano de Ação'!$F52&lt;=EOMONTH(DATE(ano_ref,12,1),0),'Plano de Ação'!$G52&gt;=DATE(ano_ref,12,1)),1,0))</f>
      </c>
    </row>
    <row r="54" spans="1:16" x14ac:dyDescent="0.25">
      <c r="A54" s="40">
        <f>IF('Plano de Ação'!$B53&lt;&gt;"",'Plano de Ação'!A53&amp;"","")</f>
      </c>
      <c r="B54" s="25">
        <f>IF('Plano de Ação'!$B53&lt;&gt;"",'Plano de Ação'!B53,"")</f>
      </c>
      <c r="C54" s="25">
        <f>IF('Plano de Ação'!$B53&lt;&gt;"",'Plano de Ação'!E53&amp;"","")</f>
      </c>
      <c r="D54" s="40">
        <f>IF('Plano de Ação'!$B53&lt;&gt;"",'Plano de Ação'!L53,"")</f>
      </c>
      <c r="E54" s="41">
        <f>IF(OR(NOT('Plano de Ação'!$B53&lt;&gt;""),NOT(ISNUMBER('Plano de Ação'!$F53)),NOT(ISNUMBER('Plano de Ação'!$G53)),'Plano de Ação'!$J53="Cancelada"),0,IF(AND('Plano de Ação'!$F53&lt;=EOMONTH(DATE(ano_ref,1,1),0),'Plano de Ação'!$G53&gt;=DATE(ano_ref,1,1)),1,0))</f>
      </c>
      <c r="F54" s="41">
        <f>IF(OR(NOT('Plano de Ação'!$B53&lt;&gt;""),NOT(ISNUMBER('Plano de Ação'!$F53)),NOT(ISNUMBER('Plano de Ação'!$G53)),'Plano de Ação'!$J53="Cancelada"),0,IF(AND('Plano de Ação'!$F53&lt;=EOMONTH(DATE(ano_ref,2,1),0),'Plano de Ação'!$G53&gt;=DATE(ano_ref,2,1)),1,0))</f>
      </c>
      <c r="G54" s="41">
        <f>IF(OR(NOT('Plano de Ação'!$B53&lt;&gt;""),NOT(ISNUMBER('Plano de Ação'!$F53)),NOT(ISNUMBER('Plano de Ação'!$G53)),'Plano de Ação'!$J53="Cancelada"),0,IF(AND('Plano de Ação'!$F53&lt;=EOMONTH(DATE(ano_ref,3,1),0),'Plano de Ação'!$G53&gt;=DATE(ano_ref,3,1)),1,0))</f>
      </c>
      <c r="H54" s="41">
        <f>IF(OR(NOT('Plano de Ação'!$B53&lt;&gt;""),NOT(ISNUMBER('Plano de Ação'!$F53)),NOT(ISNUMBER('Plano de Ação'!$G53)),'Plano de Ação'!$J53="Cancelada"),0,IF(AND('Plano de Ação'!$F53&lt;=EOMONTH(DATE(ano_ref,4,1),0),'Plano de Ação'!$G53&gt;=DATE(ano_ref,4,1)),1,0))</f>
      </c>
      <c r="I54" s="41">
        <f>IF(OR(NOT('Plano de Ação'!$B53&lt;&gt;""),NOT(ISNUMBER('Plano de Ação'!$F53)),NOT(ISNUMBER('Plano de Ação'!$G53)),'Plano de Ação'!$J53="Cancelada"),0,IF(AND('Plano de Ação'!$F53&lt;=EOMONTH(DATE(ano_ref,5,1),0),'Plano de Ação'!$G53&gt;=DATE(ano_ref,5,1)),1,0))</f>
      </c>
      <c r="J54" s="41">
        <f>IF(OR(NOT('Plano de Ação'!$B53&lt;&gt;""),NOT(ISNUMBER('Plano de Ação'!$F53)),NOT(ISNUMBER('Plano de Ação'!$G53)),'Plano de Ação'!$J53="Cancelada"),0,IF(AND('Plano de Ação'!$F53&lt;=EOMONTH(DATE(ano_ref,6,1),0),'Plano de Ação'!$G53&gt;=DATE(ano_ref,6,1)),1,0))</f>
      </c>
      <c r="K54" s="41">
        <f>IF(OR(NOT('Plano de Ação'!$B53&lt;&gt;""),NOT(ISNUMBER('Plano de Ação'!$F53)),NOT(ISNUMBER('Plano de Ação'!$G53)),'Plano de Ação'!$J53="Cancelada"),0,IF(AND('Plano de Ação'!$F53&lt;=EOMONTH(DATE(ano_ref,7,1),0),'Plano de Ação'!$G53&gt;=DATE(ano_ref,7,1)),1,0))</f>
      </c>
      <c r="L54" s="41">
        <f>IF(OR(NOT('Plano de Ação'!$B53&lt;&gt;""),NOT(ISNUMBER('Plano de Ação'!$F53)),NOT(ISNUMBER('Plano de Ação'!$G53)),'Plano de Ação'!$J53="Cancelada"),0,IF(AND('Plano de Ação'!$F53&lt;=EOMONTH(DATE(ano_ref,8,1),0),'Plano de Ação'!$G53&gt;=DATE(ano_ref,8,1)),1,0))</f>
      </c>
      <c r="M54" s="41">
        <f>IF(OR(NOT('Plano de Ação'!$B53&lt;&gt;""),NOT(ISNUMBER('Plano de Ação'!$F53)),NOT(ISNUMBER('Plano de Ação'!$G53)),'Plano de Ação'!$J53="Cancelada"),0,IF(AND('Plano de Ação'!$F53&lt;=EOMONTH(DATE(ano_ref,9,1),0),'Plano de Ação'!$G53&gt;=DATE(ano_ref,9,1)),1,0))</f>
      </c>
      <c r="N54" s="41">
        <f>IF(OR(NOT('Plano de Ação'!$B53&lt;&gt;""),NOT(ISNUMBER('Plano de Ação'!$F53)),NOT(ISNUMBER('Plano de Ação'!$G53)),'Plano de Ação'!$J53="Cancelada"),0,IF(AND('Plano de Ação'!$F53&lt;=EOMONTH(DATE(ano_ref,10,1),0),'Plano de Ação'!$G53&gt;=DATE(ano_ref,10,1)),1,0))</f>
      </c>
      <c r="O54" s="41">
        <f>IF(OR(NOT('Plano de Ação'!$B53&lt;&gt;""),NOT(ISNUMBER('Plano de Ação'!$F53)),NOT(ISNUMBER('Plano de Ação'!$G53)),'Plano de Ação'!$J53="Cancelada"),0,IF(AND('Plano de Ação'!$F53&lt;=EOMONTH(DATE(ano_ref,11,1),0),'Plano de Ação'!$G53&gt;=DATE(ano_ref,11,1)),1,0))</f>
      </c>
      <c r="P54" s="41">
        <f>IF(OR(NOT('Plano de Ação'!$B53&lt;&gt;""),NOT(ISNUMBER('Plano de Ação'!$F53)),NOT(ISNUMBER('Plano de Ação'!$G53)),'Plano de Ação'!$J53="Cancelada"),0,IF(AND('Plano de Ação'!$F53&lt;=EOMONTH(DATE(ano_ref,12,1),0),'Plano de Ação'!$G53&gt;=DATE(ano_ref,12,1)),1,0))</f>
      </c>
    </row>
    <row r="55" spans="1:16" x14ac:dyDescent="0.25">
      <c r="A55" s="40">
        <f>IF('Plano de Ação'!$B54&lt;&gt;"",'Plano de Ação'!A54&amp;"","")</f>
      </c>
      <c r="B55" s="25">
        <f>IF('Plano de Ação'!$B54&lt;&gt;"",'Plano de Ação'!B54,"")</f>
      </c>
      <c r="C55" s="25">
        <f>IF('Plano de Ação'!$B54&lt;&gt;"",'Plano de Ação'!E54&amp;"","")</f>
      </c>
      <c r="D55" s="40">
        <f>IF('Plano de Ação'!$B54&lt;&gt;"",'Plano de Ação'!L54,"")</f>
      </c>
      <c r="E55" s="41">
        <f>IF(OR(NOT('Plano de Ação'!$B54&lt;&gt;""),NOT(ISNUMBER('Plano de Ação'!$F54)),NOT(ISNUMBER('Plano de Ação'!$G54)),'Plano de Ação'!$J54="Cancelada"),0,IF(AND('Plano de Ação'!$F54&lt;=EOMONTH(DATE(ano_ref,1,1),0),'Plano de Ação'!$G54&gt;=DATE(ano_ref,1,1)),1,0))</f>
      </c>
      <c r="F55" s="41">
        <f>IF(OR(NOT('Plano de Ação'!$B54&lt;&gt;""),NOT(ISNUMBER('Plano de Ação'!$F54)),NOT(ISNUMBER('Plano de Ação'!$G54)),'Plano de Ação'!$J54="Cancelada"),0,IF(AND('Plano de Ação'!$F54&lt;=EOMONTH(DATE(ano_ref,2,1),0),'Plano de Ação'!$G54&gt;=DATE(ano_ref,2,1)),1,0))</f>
      </c>
      <c r="G55" s="41">
        <f>IF(OR(NOT('Plano de Ação'!$B54&lt;&gt;""),NOT(ISNUMBER('Plano de Ação'!$F54)),NOT(ISNUMBER('Plano de Ação'!$G54)),'Plano de Ação'!$J54="Cancelada"),0,IF(AND('Plano de Ação'!$F54&lt;=EOMONTH(DATE(ano_ref,3,1),0),'Plano de Ação'!$G54&gt;=DATE(ano_ref,3,1)),1,0))</f>
      </c>
      <c r="H55" s="41">
        <f>IF(OR(NOT('Plano de Ação'!$B54&lt;&gt;""),NOT(ISNUMBER('Plano de Ação'!$F54)),NOT(ISNUMBER('Plano de Ação'!$G54)),'Plano de Ação'!$J54="Cancelada"),0,IF(AND('Plano de Ação'!$F54&lt;=EOMONTH(DATE(ano_ref,4,1),0),'Plano de Ação'!$G54&gt;=DATE(ano_ref,4,1)),1,0))</f>
      </c>
      <c r="I55" s="41">
        <f>IF(OR(NOT('Plano de Ação'!$B54&lt;&gt;""),NOT(ISNUMBER('Plano de Ação'!$F54)),NOT(ISNUMBER('Plano de Ação'!$G54)),'Plano de Ação'!$J54="Cancelada"),0,IF(AND('Plano de Ação'!$F54&lt;=EOMONTH(DATE(ano_ref,5,1),0),'Plano de Ação'!$G54&gt;=DATE(ano_ref,5,1)),1,0))</f>
      </c>
      <c r="J55" s="41">
        <f>IF(OR(NOT('Plano de Ação'!$B54&lt;&gt;""),NOT(ISNUMBER('Plano de Ação'!$F54)),NOT(ISNUMBER('Plano de Ação'!$G54)),'Plano de Ação'!$J54="Cancelada"),0,IF(AND('Plano de Ação'!$F54&lt;=EOMONTH(DATE(ano_ref,6,1),0),'Plano de Ação'!$G54&gt;=DATE(ano_ref,6,1)),1,0))</f>
      </c>
      <c r="K55" s="41">
        <f>IF(OR(NOT('Plano de Ação'!$B54&lt;&gt;""),NOT(ISNUMBER('Plano de Ação'!$F54)),NOT(ISNUMBER('Plano de Ação'!$G54)),'Plano de Ação'!$J54="Cancelada"),0,IF(AND('Plano de Ação'!$F54&lt;=EOMONTH(DATE(ano_ref,7,1),0),'Plano de Ação'!$G54&gt;=DATE(ano_ref,7,1)),1,0))</f>
      </c>
      <c r="L55" s="41">
        <f>IF(OR(NOT('Plano de Ação'!$B54&lt;&gt;""),NOT(ISNUMBER('Plano de Ação'!$F54)),NOT(ISNUMBER('Plano de Ação'!$G54)),'Plano de Ação'!$J54="Cancelada"),0,IF(AND('Plano de Ação'!$F54&lt;=EOMONTH(DATE(ano_ref,8,1),0),'Plano de Ação'!$G54&gt;=DATE(ano_ref,8,1)),1,0))</f>
      </c>
      <c r="M55" s="41">
        <f>IF(OR(NOT('Plano de Ação'!$B54&lt;&gt;""),NOT(ISNUMBER('Plano de Ação'!$F54)),NOT(ISNUMBER('Plano de Ação'!$G54)),'Plano de Ação'!$J54="Cancelada"),0,IF(AND('Plano de Ação'!$F54&lt;=EOMONTH(DATE(ano_ref,9,1),0),'Plano de Ação'!$G54&gt;=DATE(ano_ref,9,1)),1,0))</f>
      </c>
      <c r="N55" s="41">
        <f>IF(OR(NOT('Plano de Ação'!$B54&lt;&gt;""),NOT(ISNUMBER('Plano de Ação'!$F54)),NOT(ISNUMBER('Plano de Ação'!$G54)),'Plano de Ação'!$J54="Cancelada"),0,IF(AND('Plano de Ação'!$F54&lt;=EOMONTH(DATE(ano_ref,10,1),0),'Plano de Ação'!$G54&gt;=DATE(ano_ref,10,1)),1,0))</f>
      </c>
      <c r="O55" s="41">
        <f>IF(OR(NOT('Plano de Ação'!$B54&lt;&gt;""),NOT(ISNUMBER('Plano de Ação'!$F54)),NOT(ISNUMBER('Plano de Ação'!$G54)),'Plano de Ação'!$J54="Cancelada"),0,IF(AND('Plano de Ação'!$F54&lt;=EOMONTH(DATE(ano_ref,11,1),0),'Plano de Ação'!$G54&gt;=DATE(ano_ref,11,1)),1,0))</f>
      </c>
      <c r="P55" s="41">
        <f>IF(OR(NOT('Plano de Ação'!$B54&lt;&gt;""),NOT(ISNUMBER('Plano de Ação'!$F54)),NOT(ISNUMBER('Plano de Ação'!$G54)),'Plano de Ação'!$J54="Cancelada"),0,IF(AND('Plano de Ação'!$F54&lt;=EOMONTH(DATE(ano_ref,12,1),0),'Plano de Ação'!$G54&gt;=DATE(ano_ref,12,1)),1,0))</f>
      </c>
    </row>
    <row r="56" spans="1:16" x14ac:dyDescent="0.25">
      <c r="A56" s="40">
        <f>IF('Plano de Ação'!$B55&lt;&gt;"",'Plano de Ação'!A55&amp;"","")</f>
      </c>
      <c r="B56" s="25">
        <f>IF('Plano de Ação'!$B55&lt;&gt;"",'Plano de Ação'!B55,"")</f>
      </c>
      <c r="C56" s="25">
        <f>IF('Plano de Ação'!$B55&lt;&gt;"",'Plano de Ação'!E55&amp;"","")</f>
      </c>
      <c r="D56" s="40">
        <f>IF('Plano de Ação'!$B55&lt;&gt;"",'Plano de Ação'!L55,"")</f>
      </c>
      <c r="E56" s="41">
        <f>IF(OR(NOT('Plano de Ação'!$B55&lt;&gt;""),NOT(ISNUMBER('Plano de Ação'!$F55)),NOT(ISNUMBER('Plano de Ação'!$G55)),'Plano de Ação'!$J55="Cancelada"),0,IF(AND('Plano de Ação'!$F55&lt;=EOMONTH(DATE(ano_ref,1,1),0),'Plano de Ação'!$G55&gt;=DATE(ano_ref,1,1)),1,0))</f>
      </c>
      <c r="F56" s="41">
        <f>IF(OR(NOT('Plano de Ação'!$B55&lt;&gt;""),NOT(ISNUMBER('Plano de Ação'!$F55)),NOT(ISNUMBER('Plano de Ação'!$G55)),'Plano de Ação'!$J55="Cancelada"),0,IF(AND('Plano de Ação'!$F55&lt;=EOMONTH(DATE(ano_ref,2,1),0),'Plano de Ação'!$G55&gt;=DATE(ano_ref,2,1)),1,0))</f>
      </c>
      <c r="G56" s="41">
        <f>IF(OR(NOT('Plano de Ação'!$B55&lt;&gt;""),NOT(ISNUMBER('Plano de Ação'!$F55)),NOT(ISNUMBER('Plano de Ação'!$G55)),'Plano de Ação'!$J55="Cancelada"),0,IF(AND('Plano de Ação'!$F55&lt;=EOMONTH(DATE(ano_ref,3,1),0),'Plano de Ação'!$G55&gt;=DATE(ano_ref,3,1)),1,0))</f>
      </c>
      <c r="H56" s="41">
        <f>IF(OR(NOT('Plano de Ação'!$B55&lt;&gt;""),NOT(ISNUMBER('Plano de Ação'!$F55)),NOT(ISNUMBER('Plano de Ação'!$G55)),'Plano de Ação'!$J55="Cancelada"),0,IF(AND('Plano de Ação'!$F55&lt;=EOMONTH(DATE(ano_ref,4,1),0),'Plano de Ação'!$G55&gt;=DATE(ano_ref,4,1)),1,0))</f>
      </c>
      <c r="I56" s="41">
        <f>IF(OR(NOT('Plano de Ação'!$B55&lt;&gt;""),NOT(ISNUMBER('Plano de Ação'!$F55)),NOT(ISNUMBER('Plano de Ação'!$G55)),'Plano de Ação'!$J55="Cancelada"),0,IF(AND('Plano de Ação'!$F55&lt;=EOMONTH(DATE(ano_ref,5,1),0),'Plano de Ação'!$G55&gt;=DATE(ano_ref,5,1)),1,0))</f>
      </c>
      <c r="J56" s="41">
        <f>IF(OR(NOT('Plano de Ação'!$B55&lt;&gt;""),NOT(ISNUMBER('Plano de Ação'!$F55)),NOT(ISNUMBER('Plano de Ação'!$G55)),'Plano de Ação'!$J55="Cancelada"),0,IF(AND('Plano de Ação'!$F55&lt;=EOMONTH(DATE(ano_ref,6,1),0),'Plano de Ação'!$G55&gt;=DATE(ano_ref,6,1)),1,0))</f>
      </c>
      <c r="K56" s="41">
        <f>IF(OR(NOT('Plano de Ação'!$B55&lt;&gt;""),NOT(ISNUMBER('Plano de Ação'!$F55)),NOT(ISNUMBER('Plano de Ação'!$G55)),'Plano de Ação'!$J55="Cancelada"),0,IF(AND('Plano de Ação'!$F55&lt;=EOMONTH(DATE(ano_ref,7,1),0),'Plano de Ação'!$G55&gt;=DATE(ano_ref,7,1)),1,0))</f>
      </c>
      <c r="L56" s="41">
        <f>IF(OR(NOT('Plano de Ação'!$B55&lt;&gt;""),NOT(ISNUMBER('Plano de Ação'!$F55)),NOT(ISNUMBER('Plano de Ação'!$G55)),'Plano de Ação'!$J55="Cancelada"),0,IF(AND('Plano de Ação'!$F55&lt;=EOMONTH(DATE(ano_ref,8,1),0),'Plano de Ação'!$G55&gt;=DATE(ano_ref,8,1)),1,0))</f>
      </c>
      <c r="M56" s="41">
        <f>IF(OR(NOT('Plano de Ação'!$B55&lt;&gt;""),NOT(ISNUMBER('Plano de Ação'!$F55)),NOT(ISNUMBER('Plano de Ação'!$G55)),'Plano de Ação'!$J55="Cancelada"),0,IF(AND('Plano de Ação'!$F55&lt;=EOMONTH(DATE(ano_ref,9,1),0),'Plano de Ação'!$G55&gt;=DATE(ano_ref,9,1)),1,0))</f>
      </c>
      <c r="N56" s="41">
        <f>IF(OR(NOT('Plano de Ação'!$B55&lt;&gt;""),NOT(ISNUMBER('Plano de Ação'!$F55)),NOT(ISNUMBER('Plano de Ação'!$G55)),'Plano de Ação'!$J55="Cancelada"),0,IF(AND('Plano de Ação'!$F55&lt;=EOMONTH(DATE(ano_ref,10,1),0),'Plano de Ação'!$G55&gt;=DATE(ano_ref,10,1)),1,0))</f>
      </c>
      <c r="O56" s="41">
        <f>IF(OR(NOT('Plano de Ação'!$B55&lt;&gt;""),NOT(ISNUMBER('Plano de Ação'!$F55)),NOT(ISNUMBER('Plano de Ação'!$G55)),'Plano de Ação'!$J55="Cancelada"),0,IF(AND('Plano de Ação'!$F55&lt;=EOMONTH(DATE(ano_ref,11,1),0),'Plano de Ação'!$G55&gt;=DATE(ano_ref,11,1)),1,0))</f>
      </c>
      <c r="P56" s="41">
        <f>IF(OR(NOT('Plano de Ação'!$B55&lt;&gt;""),NOT(ISNUMBER('Plano de Ação'!$F55)),NOT(ISNUMBER('Plano de Ação'!$G55)),'Plano de Ação'!$J55="Cancelada"),0,IF(AND('Plano de Ação'!$F55&lt;=EOMONTH(DATE(ano_ref,12,1),0),'Plano de Ação'!$G55&gt;=DATE(ano_ref,12,1)),1,0))</f>
      </c>
    </row>
    <row r="57" spans="1:16" x14ac:dyDescent="0.25">
      <c r="A57" s="40">
        <f>IF('Plano de Ação'!$B56&lt;&gt;"",'Plano de Ação'!A56&amp;"","")</f>
      </c>
      <c r="B57" s="25">
        <f>IF('Plano de Ação'!$B56&lt;&gt;"",'Plano de Ação'!B56,"")</f>
      </c>
      <c r="C57" s="25">
        <f>IF('Plano de Ação'!$B56&lt;&gt;"",'Plano de Ação'!E56&amp;"","")</f>
      </c>
      <c r="D57" s="40">
        <f>IF('Plano de Ação'!$B56&lt;&gt;"",'Plano de Ação'!L56,"")</f>
      </c>
      <c r="E57" s="41">
        <f>IF(OR(NOT('Plano de Ação'!$B56&lt;&gt;""),NOT(ISNUMBER('Plano de Ação'!$F56)),NOT(ISNUMBER('Plano de Ação'!$G56)),'Plano de Ação'!$J56="Cancelada"),0,IF(AND('Plano de Ação'!$F56&lt;=EOMONTH(DATE(ano_ref,1,1),0),'Plano de Ação'!$G56&gt;=DATE(ano_ref,1,1)),1,0))</f>
      </c>
      <c r="F57" s="41">
        <f>IF(OR(NOT('Plano de Ação'!$B56&lt;&gt;""),NOT(ISNUMBER('Plano de Ação'!$F56)),NOT(ISNUMBER('Plano de Ação'!$G56)),'Plano de Ação'!$J56="Cancelada"),0,IF(AND('Plano de Ação'!$F56&lt;=EOMONTH(DATE(ano_ref,2,1),0),'Plano de Ação'!$G56&gt;=DATE(ano_ref,2,1)),1,0))</f>
      </c>
      <c r="G57" s="41">
        <f>IF(OR(NOT('Plano de Ação'!$B56&lt;&gt;""),NOT(ISNUMBER('Plano de Ação'!$F56)),NOT(ISNUMBER('Plano de Ação'!$G56)),'Plano de Ação'!$J56="Cancelada"),0,IF(AND('Plano de Ação'!$F56&lt;=EOMONTH(DATE(ano_ref,3,1),0),'Plano de Ação'!$G56&gt;=DATE(ano_ref,3,1)),1,0))</f>
      </c>
      <c r="H57" s="41">
        <f>IF(OR(NOT('Plano de Ação'!$B56&lt;&gt;""),NOT(ISNUMBER('Plano de Ação'!$F56)),NOT(ISNUMBER('Plano de Ação'!$G56)),'Plano de Ação'!$J56="Cancelada"),0,IF(AND('Plano de Ação'!$F56&lt;=EOMONTH(DATE(ano_ref,4,1),0),'Plano de Ação'!$G56&gt;=DATE(ano_ref,4,1)),1,0))</f>
      </c>
      <c r="I57" s="41">
        <f>IF(OR(NOT('Plano de Ação'!$B56&lt;&gt;""),NOT(ISNUMBER('Plano de Ação'!$F56)),NOT(ISNUMBER('Plano de Ação'!$G56)),'Plano de Ação'!$J56="Cancelada"),0,IF(AND('Plano de Ação'!$F56&lt;=EOMONTH(DATE(ano_ref,5,1),0),'Plano de Ação'!$G56&gt;=DATE(ano_ref,5,1)),1,0))</f>
      </c>
      <c r="J57" s="41">
        <f>IF(OR(NOT('Plano de Ação'!$B56&lt;&gt;""),NOT(ISNUMBER('Plano de Ação'!$F56)),NOT(ISNUMBER('Plano de Ação'!$G56)),'Plano de Ação'!$J56="Cancelada"),0,IF(AND('Plano de Ação'!$F56&lt;=EOMONTH(DATE(ano_ref,6,1),0),'Plano de Ação'!$G56&gt;=DATE(ano_ref,6,1)),1,0))</f>
      </c>
      <c r="K57" s="41">
        <f>IF(OR(NOT('Plano de Ação'!$B56&lt;&gt;""),NOT(ISNUMBER('Plano de Ação'!$F56)),NOT(ISNUMBER('Plano de Ação'!$G56)),'Plano de Ação'!$J56="Cancelada"),0,IF(AND('Plano de Ação'!$F56&lt;=EOMONTH(DATE(ano_ref,7,1),0),'Plano de Ação'!$G56&gt;=DATE(ano_ref,7,1)),1,0))</f>
      </c>
      <c r="L57" s="41">
        <f>IF(OR(NOT('Plano de Ação'!$B56&lt;&gt;""),NOT(ISNUMBER('Plano de Ação'!$F56)),NOT(ISNUMBER('Plano de Ação'!$G56)),'Plano de Ação'!$J56="Cancelada"),0,IF(AND('Plano de Ação'!$F56&lt;=EOMONTH(DATE(ano_ref,8,1),0),'Plano de Ação'!$G56&gt;=DATE(ano_ref,8,1)),1,0))</f>
      </c>
      <c r="M57" s="41">
        <f>IF(OR(NOT('Plano de Ação'!$B56&lt;&gt;""),NOT(ISNUMBER('Plano de Ação'!$F56)),NOT(ISNUMBER('Plano de Ação'!$G56)),'Plano de Ação'!$J56="Cancelada"),0,IF(AND('Plano de Ação'!$F56&lt;=EOMONTH(DATE(ano_ref,9,1),0),'Plano de Ação'!$G56&gt;=DATE(ano_ref,9,1)),1,0))</f>
      </c>
      <c r="N57" s="41">
        <f>IF(OR(NOT('Plano de Ação'!$B56&lt;&gt;""),NOT(ISNUMBER('Plano de Ação'!$F56)),NOT(ISNUMBER('Plano de Ação'!$G56)),'Plano de Ação'!$J56="Cancelada"),0,IF(AND('Plano de Ação'!$F56&lt;=EOMONTH(DATE(ano_ref,10,1),0),'Plano de Ação'!$G56&gt;=DATE(ano_ref,10,1)),1,0))</f>
      </c>
      <c r="O57" s="41">
        <f>IF(OR(NOT('Plano de Ação'!$B56&lt;&gt;""),NOT(ISNUMBER('Plano de Ação'!$F56)),NOT(ISNUMBER('Plano de Ação'!$G56)),'Plano de Ação'!$J56="Cancelada"),0,IF(AND('Plano de Ação'!$F56&lt;=EOMONTH(DATE(ano_ref,11,1),0),'Plano de Ação'!$G56&gt;=DATE(ano_ref,11,1)),1,0))</f>
      </c>
      <c r="P57" s="41">
        <f>IF(OR(NOT('Plano de Ação'!$B56&lt;&gt;""),NOT(ISNUMBER('Plano de Ação'!$F56)),NOT(ISNUMBER('Plano de Ação'!$G56)),'Plano de Ação'!$J56="Cancelada"),0,IF(AND('Plano de Ação'!$F56&lt;=EOMONTH(DATE(ano_ref,12,1),0),'Plano de Ação'!$G56&gt;=DATE(ano_ref,12,1)),1,0))</f>
      </c>
    </row>
    <row r="58" spans="1:16" x14ac:dyDescent="0.25">
      <c r="A58" s="40">
        <f>IF('Plano de Ação'!$B57&lt;&gt;"",'Plano de Ação'!A57&amp;"","")</f>
      </c>
      <c r="B58" s="25">
        <f>IF('Plano de Ação'!$B57&lt;&gt;"",'Plano de Ação'!B57,"")</f>
      </c>
      <c r="C58" s="25">
        <f>IF('Plano de Ação'!$B57&lt;&gt;"",'Plano de Ação'!E57&amp;"","")</f>
      </c>
      <c r="D58" s="40">
        <f>IF('Plano de Ação'!$B57&lt;&gt;"",'Plano de Ação'!L57,"")</f>
      </c>
      <c r="E58" s="41">
        <f>IF(OR(NOT('Plano de Ação'!$B57&lt;&gt;""),NOT(ISNUMBER('Plano de Ação'!$F57)),NOT(ISNUMBER('Plano de Ação'!$G57)),'Plano de Ação'!$J57="Cancelada"),0,IF(AND('Plano de Ação'!$F57&lt;=EOMONTH(DATE(ano_ref,1,1),0),'Plano de Ação'!$G57&gt;=DATE(ano_ref,1,1)),1,0))</f>
      </c>
      <c r="F58" s="41">
        <f>IF(OR(NOT('Plano de Ação'!$B57&lt;&gt;""),NOT(ISNUMBER('Plano de Ação'!$F57)),NOT(ISNUMBER('Plano de Ação'!$G57)),'Plano de Ação'!$J57="Cancelada"),0,IF(AND('Plano de Ação'!$F57&lt;=EOMONTH(DATE(ano_ref,2,1),0),'Plano de Ação'!$G57&gt;=DATE(ano_ref,2,1)),1,0))</f>
      </c>
      <c r="G58" s="41">
        <f>IF(OR(NOT('Plano de Ação'!$B57&lt;&gt;""),NOT(ISNUMBER('Plano de Ação'!$F57)),NOT(ISNUMBER('Plano de Ação'!$G57)),'Plano de Ação'!$J57="Cancelada"),0,IF(AND('Plano de Ação'!$F57&lt;=EOMONTH(DATE(ano_ref,3,1),0),'Plano de Ação'!$G57&gt;=DATE(ano_ref,3,1)),1,0))</f>
      </c>
      <c r="H58" s="41">
        <f>IF(OR(NOT('Plano de Ação'!$B57&lt;&gt;""),NOT(ISNUMBER('Plano de Ação'!$F57)),NOT(ISNUMBER('Plano de Ação'!$G57)),'Plano de Ação'!$J57="Cancelada"),0,IF(AND('Plano de Ação'!$F57&lt;=EOMONTH(DATE(ano_ref,4,1),0),'Plano de Ação'!$G57&gt;=DATE(ano_ref,4,1)),1,0))</f>
      </c>
      <c r="I58" s="41">
        <f>IF(OR(NOT('Plano de Ação'!$B57&lt;&gt;""),NOT(ISNUMBER('Plano de Ação'!$F57)),NOT(ISNUMBER('Plano de Ação'!$G57)),'Plano de Ação'!$J57="Cancelada"),0,IF(AND('Plano de Ação'!$F57&lt;=EOMONTH(DATE(ano_ref,5,1),0),'Plano de Ação'!$G57&gt;=DATE(ano_ref,5,1)),1,0))</f>
      </c>
      <c r="J58" s="41">
        <f>IF(OR(NOT('Plano de Ação'!$B57&lt;&gt;""),NOT(ISNUMBER('Plano de Ação'!$F57)),NOT(ISNUMBER('Plano de Ação'!$G57)),'Plano de Ação'!$J57="Cancelada"),0,IF(AND('Plano de Ação'!$F57&lt;=EOMONTH(DATE(ano_ref,6,1),0),'Plano de Ação'!$G57&gt;=DATE(ano_ref,6,1)),1,0))</f>
      </c>
      <c r="K58" s="41">
        <f>IF(OR(NOT('Plano de Ação'!$B57&lt;&gt;""),NOT(ISNUMBER('Plano de Ação'!$F57)),NOT(ISNUMBER('Plano de Ação'!$G57)),'Plano de Ação'!$J57="Cancelada"),0,IF(AND('Plano de Ação'!$F57&lt;=EOMONTH(DATE(ano_ref,7,1),0),'Plano de Ação'!$G57&gt;=DATE(ano_ref,7,1)),1,0))</f>
      </c>
      <c r="L58" s="41">
        <f>IF(OR(NOT('Plano de Ação'!$B57&lt;&gt;""),NOT(ISNUMBER('Plano de Ação'!$F57)),NOT(ISNUMBER('Plano de Ação'!$G57)),'Plano de Ação'!$J57="Cancelada"),0,IF(AND('Plano de Ação'!$F57&lt;=EOMONTH(DATE(ano_ref,8,1),0),'Plano de Ação'!$G57&gt;=DATE(ano_ref,8,1)),1,0))</f>
      </c>
      <c r="M58" s="41">
        <f>IF(OR(NOT('Plano de Ação'!$B57&lt;&gt;""),NOT(ISNUMBER('Plano de Ação'!$F57)),NOT(ISNUMBER('Plano de Ação'!$G57)),'Plano de Ação'!$J57="Cancelada"),0,IF(AND('Plano de Ação'!$F57&lt;=EOMONTH(DATE(ano_ref,9,1),0),'Plano de Ação'!$G57&gt;=DATE(ano_ref,9,1)),1,0))</f>
      </c>
      <c r="N58" s="41">
        <f>IF(OR(NOT('Plano de Ação'!$B57&lt;&gt;""),NOT(ISNUMBER('Plano de Ação'!$F57)),NOT(ISNUMBER('Plano de Ação'!$G57)),'Plano de Ação'!$J57="Cancelada"),0,IF(AND('Plano de Ação'!$F57&lt;=EOMONTH(DATE(ano_ref,10,1),0),'Plano de Ação'!$G57&gt;=DATE(ano_ref,10,1)),1,0))</f>
      </c>
      <c r="O58" s="41">
        <f>IF(OR(NOT('Plano de Ação'!$B57&lt;&gt;""),NOT(ISNUMBER('Plano de Ação'!$F57)),NOT(ISNUMBER('Plano de Ação'!$G57)),'Plano de Ação'!$J57="Cancelada"),0,IF(AND('Plano de Ação'!$F57&lt;=EOMONTH(DATE(ano_ref,11,1),0),'Plano de Ação'!$G57&gt;=DATE(ano_ref,11,1)),1,0))</f>
      </c>
      <c r="P58" s="41">
        <f>IF(OR(NOT('Plano de Ação'!$B57&lt;&gt;""),NOT(ISNUMBER('Plano de Ação'!$F57)),NOT(ISNUMBER('Plano de Ação'!$G57)),'Plano de Ação'!$J57="Cancelada"),0,IF(AND('Plano de Ação'!$F57&lt;=EOMONTH(DATE(ano_ref,12,1),0),'Plano de Ação'!$G57&gt;=DATE(ano_ref,12,1)),1,0))</f>
      </c>
    </row>
    <row r="59" spans="1:16" x14ac:dyDescent="0.25">
      <c r="A59" s="40">
        <f>IF('Plano de Ação'!$B58&lt;&gt;"",'Plano de Ação'!A58&amp;"","")</f>
      </c>
      <c r="B59" s="25">
        <f>IF('Plano de Ação'!$B58&lt;&gt;"",'Plano de Ação'!B58,"")</f>
      </c>
      <c r="C59" s="25">
        <f>IF('Plano de Ação'!$B58&lt;&gt;"",'Plano de Ação'!E58&amp;"","")</f>
      </c>
      <c r="D59" s="40">
        <f>IF('Plano de Ação'!$B58&lt;&gt;"",'Plano de Ação'!L58,"")</f>
      </c>
      <c r="E59" s="41">
        <f>IF(OR(NOT('Plano de Ação'!$B58&lt;&gt;""),NOT(ISNUMBER('Plano de Ação'!$F58)),NOT(ISNUMBER('Plano de Ação'!$G58)),'Plano de Ação'!$J58="Cancelada"),0,IF(AND('Plano de Ação'!$F58&lt;=EOMONTH(DATE(ano_ref,1,1),0),'Plano de Ação'!$G58&gt;=DATE(ano_ref,1,1)),1,0))</f>
      </c>
      <c r="F59" s="41">
        <f>IF(OR(NOT('Plano de Ação'!$B58&lt;&gt;""),NOT(ISNUMBER('Plano de Ação'!$F58)),NOT(ISNUMBER('Plano de Ação'!$G58)),'Plano de Ação'!$J58="Cancelada"),0,IF(AND('Plano de Ação'!$F58&lt;=EOMONTH(DATE(ano_ref,2,1),0),'Plano de Ação'!$G58&gt;=DATE(ano_ref,2,1)),1,0))</f>
      </c>
      <c r="G59" s="41">
        <f>IF(OR(NOT('Plano de Ação'!$B58&lt;&gt;""),NOT(ISNUMBER('Plano de Ação'!$F58)),NOT(ISNUMBER('Plano de Ação'!$G58)),'Plano de Ação'!$J58="Cancelada"),0,IF(AND('Plano de Ação'!$F58&lt;=EOMONTH(DATE(ano_ref,3,1),0),'Plano de Ação'!$G58&gt;=DATE(ano_ref,3,1)),1,0))</f>
      </c>
      <c r="H59" s="41">
        <f>IF(OR(NOT('Plano de Ação'!$B58&lt;&gt;""),NOT(ISNUMBER('Plano de Ação'!$F58)),NOT(ISNUMBER('Plano de Ação'!$G58)),'Plano de Ação'!$J58="Cancelada"),0,IF(AND('Plano de Ação'!$F58&lt;=EOMONTH(DATE(ano_ref,4,1),0),'Plano de Ação'!$G58&gt;=DATE(ano_ref,4,1)),1,0))</f>
      </c>
      <c r="I59" s="41">
        <f>IF(OR(NOT('Plano de Ação'!$B58&lt;&gt;""),NOT(ISNUMBER('Plano de Ação'!$F58)),NOT(ISNUMBER('Plano de Ação'!$G58)),'Plano de Ação'!$J58="Cancelada"),0,IF(AND('Plano de Ação'!$F58&lt;=EOMONTH(DATE(ano_ref,5,1),0),'Plano de Ação'!$G58&gt;=DATE(ano_ref,5,1)),1,0))</f>
      </c>
      <c r="J59" s="41">
        <f>IF(OR(NOT('Plano de Ação'!$B58&lt;&gt;""),NOT(ISNUMBER('Plano de Ação'!$F58)),NOT(ISNUMBER('Plano de Ação'!$G58)),'Plano de Ação'!$J58="Cancelada"),0,IF(AND('Plano de Ação'!$F58&lt;=EOMONTH(DATE(ano_ref,6,1),0),'Plano de Ação'!$G58&gt;=DATE(ano_ref,6,1)),1,0))</f>
      </c>
      <c r="K59" s="41">
        <f>IF(OR(NOT('Plano de Ação'!$B58&lt;&gt;""),NOT(ISNUMBER('Plano de Ação'!$F58)),NOT(ISNUMBER('Plano de Ação'!$G58)),'Plano de Ação'!$J58="Cancelada"),0,IF(AND('Plano de Ação'!$F58&lt;=EOMONTH(DATE(ano_ref,7,1),0),'Plano de Ação'!$G58&gt;=DATE(ano_ref,7,1)),1,0))</f>
      </c>
      <c r="L59" s="41">
        <f>IF(OR(NOT('Plano de Ação'!$B58&lt;&gt;""),NOT(ISNUMBER('Plano de Ação'!$F58)),NOT(ISNUMBER('Plano de Ação'!$G58)),'Plano de Ação'!$J58="Cancelada"),0,IF(AND('Plano de Ação'!$F58&lt;=EOMONTH(DATE(ano_ref,8,1),0),'Plano de Ação'!$G58&gt;=DATE(ano_ref,8,1)),1,0))</f>
      </c>
      <c r="M59" s="41">
        <f>IF(OR(NOT('Plano de Ação'!$B58&lt;&gt;""),NOT(ISNUMBER('Plano de Ação'!$F58)),NOT(ISNUMBER('Plano de Ação'!$G58)),'Plano de Ação'!$J58="Cancelada"),0,IF(AND('Plano de Ação'!$F58&lt;=EOMONTH(DATE(ano_ref,9,1),0),'Plano de Ação'!$G58&gt;=DATE(ano_ref,9,1)),1,0))</f>
      </c>
      <c r="N59" s="41">
        <f>IF(OR(NOT('Plano de Ação'!$B58&lt;&gt;""),NOT(ISNUMBER('Plano de Ação'!$F58)),NOT(ISNUMBER('Plano de Ação'!$G58)),'Plano de Ação'!$J58="Cancelada"),0,IF(AND('Plano de Ação'!$F58&lt;=EOMONTH(DATE(ano_ref,10,1),0),'Plano de Ação'!$G58&gt;=DATE(ano_ref,10,1)),1,0))</f>
      </c>
      <c r="O59" s="41">
        <f>IF(OR(NOT('Plano de Ação'!$B58&lt;&gt;""),NOT(ISNUMBER('Plano de Ação'!$F58)),NOT(ISNUMBER('Plano de Ação'!$G58)),'Plano de Ação'!$J58="Cancelada"),0,IF(AND('Plano de Ação'!$F58&lt;=EOMONTH(DATE(ano_ref,11,1),0),'Plano de Ação'!$G58&gt;=DATE(ano_ref,11,1)),1,0))</f>
      </c>
      <c r="P59" s="41">
        <f>IF(OR(NOT('Plano de Ação'!$B58&lt;&gt;""),NOT(ISNUMBER('Plano de Ação'!$F58)),NOT(ISNUMBER('Plano de Ação'!$G58)),'Plano de Ação'!$J58="Cancelada"),0,IF(AND('Plano de Ação'!$F58&lt;=EOMONTH(DATE(ano_ref,12,1),0),'Plano de Ação'!$G58&gt;=DATE(ano_ref,12,1)),1,0))</f>
      </c>
    </row>
    <row r="60" spans="1:16" x14ac:dyDescent="0.25">
      <c r="A60" s="40">
        <f>IF('Plano de Ação'!$B59&lt;&gt;"",'Plano de Ação'!A59&amp;"","")</f>
      </c>
      <c r="B60" s="25">
        <f>IF('Plano de Ação'!$B59&lt;&gt;"",'Plano de Ação'!B59,"")</f>
      </c>
      <c r="C60" s="25">
        <f>IF('Plano de Ação'!$B59&lt;&gt;"",'Plano de Ação'!E59&amp;"","")</f>
      </c>
      <c r="D60" s="40">
        <f>IF('Plano de Ação'!$B59&lt;&gt;"",'Plano de Ação'!L59,"")</f>
      </c>
      <c r="E60" s="41">
        <f>IF(OR(NOT('Plano de Ação'!$B59&lt;&gt;""),NOT(ISNUMBER('Plano de Ação'!$F59)),NOT(ISNUMBER('Plano de Ação'!$G59)),'Plano de Ação'!$J59="Cancelada"),0,IF(AND('Plano de Ação'!$F59&lt;=EOMONTH(DATE(ano_ref,1,1),0),'Plano de Ação'!$G59&gt;=DATE(ano_ref,1,1)),1,0))</f>
      </c>
      <c r="F60" s="41">
        <f>IF(OR(NOT('Plano de Ação'!$B59&lt;&gt;""),NOT(ISNUMBER('Plano de Ação'!$F59)),NOT(ISNUMBER('Plano de Ação'!$G59)),'Plano de Ação'!$J59="Cancelada"),0,IF(AND('Plano de Ação'!$F59&lt;=EOMONTH(DATE(ano_ref,2,1),0),'Plano de Ação'!$G59&gt;=DATE(ano_ref,2,1)),1,0))</f>
      </c>
      <c r="G60" s="41">
        <f>IF(OR(NOT('Plano de Ação'!$B59&lt;&gt;""),NOT(ISNUMBER('Plano de Ação'!$F59)),NOT(ISNUMBER('Plano de Ação'!$G59)),'Plano de Ação'!$J59="Cancelada"),0,IF(AND('Plano de Ação'!$F59&lt;=EOMONTH(DATE(ano_ref,3,1),0),'Plano de Ação'!$G59&gt;=DATE(ano_ref,3,1)),1,0))</f>
      </c>
      <c r="H60" s="41">
        <f>IF(OR(NOT('Plano de Ação'!$B59&lt;&gt;""),NOT(ISNUMBER('Plano de Ação'!$F59)),NOT(ISNUMBER('Plano de Ação'!$G59)),'Plano de Ação'!$J59="Cancelada"),0,IF(AND('Plano de Ação'!$F59&lt;=EOMONTH(DATE(ano_ref,4,1),0),'Plano de Ação'!$G59&gt;=DATE(ano_ref,4,1)),1,0))</f>
      </c>
      <c r="I60" s="41">
        <f>IF(OR(NOT('Plano de Ação'!$B59&lt;&gt;""),NOT(ISNUMBER('Plano de Ação'!$F59)),NOT(ISNUMBER('Plano de Ação'!$G59)),'Plano de Ação'!$J59="Cancelada"),0,IF(AND('Plano de Ação'!$F59&lt;=EOMONTH(DATE(ano_ref,5,1),0),'Plano de Ação'!$G59&gt;=DATE(ano_ref,5,1)),1,0))</f>
      </c>
      <c r="J60" s="41">
        <f>IF(OR(NOT('Plano de Ação'!$B59&lt;&gt;""),NOT(ISNUMBER('Plano de Ação'!$F59)),NOT(ISNUMBER('Plano de Ação'!$G59)),'Plano de Ação'!$J59="Cancelada"),0,IF(AND('Plano de Ação'!$F59&lt;=EOMONTH(DATE(ano_ref,6,1),0),'Plano de Ação'!$G59&gt;=DATE(ano_ref,6,1)),1,0))</f>
      </c>
      <c r="K60" s="41">
        <f>IF(OR(NOT('Plano de Ação'!$B59&lt;&gt;""),NOT(ISNUMBER('Plano de Ação'!$F59)),NOT(ISNUMBER('Plano de Ação'!$G59)),'Plano de Ação'!$J59="Cancelada"),0,IF(AND('Plano de Ação'!$F59&lt;=EOMONTH(DATE(ano_ref,7,1),0),'Plano de Ação'!$G59&gt;=DATE(ano_ref,7,1)),1,0))</f>
      </c>
      <c r="L60" s="41">
        <f>IF(OR(NOT('Plano de Ação'!$B59&lt;&gt;""),NOT(ISNUMBER('Plano de Ação'!$F59)),NOT(ISNUMBER('Plano de Ação'!$G59)),'Plano de Ação'!$J59="Cancelada"),0,IF(AND('Plano de Ação'!$F59&lt;=EOMONTH(DATE(ano_ref,8,1),0),'Plano de Ação'!$G59&gt;=DATE(ano_ref,8,1)),1,0))</f>
      </c>
      <c r="M60" s="41">
        <f>IF(OR(NOT('Plano de Ação'!$B59&lt;&gt;""),NOT(ISNUMBER('Plano de Ação'!$F59)),NOT(ISNUMBER('Plano de Ação'!$G59)),'Plano de Ação'!$J59="Cancelada"),0,IF(AND('Plano de Ação'!$F59&lt;=EOMONTH(DATE(ano_ref,9,1),0),'Plano de Ação'!$G59&gt;=DATE(ano_ref,9,1)),1,0))</f>
      </c>
      <c r="N60" s="41">
        <f>IF(OR(NOT('Plano de Ação'!$B59&lt;&gt;""),NOT(ISNUMBER('Plano de Ação'!$F59)),NOT(ISNUMBER('Plano de Ação'!$G59)),'Plano de Ação'!$J59="Cancelada"),0,IF(AND('Plano de Ação'!$F59&lt;=EOMONTH(DATE(ano_ref,10,1),0),'Plano de Ação'!$G59&gt;=DATE(ano_ref,10,1)),1,0))</f>
      </c>
      <c r="O60" s="41">
        <f>IF(OR(NOT('Plano de Ação'!$B59&lt;&gt;""),NOT(ISNUMBER('Plano de Ação'!$F59)),NOT(ISNUMBER('Plano de Ação'!$G59)),'Plano de Ação'!$J59="Cancelada"),0,IF(AND('Plano de Ação'!$F59&lt;=EOMONTH(DATE(ano_ref,11,1),0),'Plano de Ação'!$G59&gt;=DATE(ano_ref,11,1)),1,0))</f>
      </c>
      <c r="P60" s="41">
        <f>IF(OR(NOT('Plano de Ação'!$B59&lt;&gt;""),NOT(ISNUMBER('Plano de Ação'!$F59)),NOT(ISNUMBER('Plano de Ação'!$G59)),'Plano de Ação'!$J59="Cancelada"),0,IF(AND('Plano de Ação'!$F59&lt;=EOMONTH(DATE(ano_ref,12,1),0),'Plano de Ação'!$G59&gt;=DATE(ano_ref,12,1)),1,0))</f>
      </c>
    </row>
    <row r="61" spans="1:16" x14ac:dyDescent="0.25">
      <c r="A61" s="40">
        <f>IF('Plano de Ação'!$B60&lt;&gt;"",'Plano de Ação'!A60&amp;"","")</f>
      </c>
      <c r="B61" s="25">
        <f>IF('Plano de Ação'!$B60&lt;&gt;"",'Plano de Ação'!B60,"")</f>
      </c>
      <c r="C61" s="25">
        <f>IF('Plano de Ação'!$B60&lt;&gt;"",'Plano de Ação'!E60&amp;"","")</f>
      </c>
      <c r="D61" s="40">
        <f>IF('Plano de Ação'!$B60&lt;&gt;"",'Plano de Ação'!L60,"")</f>
      </c>
      <c r="E61" s="41">
        <f>IF(OR(NOT('Plano de Ação'!$B60&lt;&gt;""),NOT(ISNUMBER('Plano de Ação'!$F60)),NOT(ISNUMBER('Plano de Ação'!$G60)),'Plano de Ação'!$J60="Cancelada"),0,IF(AND('Plano de Ação'!$F60&lt;=EOMONTH(DATE(ano_ref,1,1),0),'Plano de Ação'!$G60&gt;=DATE(ano_ref,1,1)),1,0))</f>
      </c>
      <c r="F61" s="41">
        <f>IF(OR(NOT('Plano de Ação'!$B60&lt;&gt;""),NOT(ISNUMBER('Plano de Ação'!$F60)),NOT(ISNUMBER('Plano de Ação'!$G60)),'Plano de Ação'!$J60="Cancelada"),0,IF(AND('Plano de Ação'!$F60&lt;=EOMONTH(DATE(ano_ref,2,1),0),'Plano de Ação'!$G60&gt;=DATE(ano_ref,2,1)),1,0))</f>
      </c>
      <c r="G61" s="41">
        <f>IF(OR(NOT('Plano de Ação'!$B60&lt;&gt;""),NOT(ISNUMBER('Plano de Ação'!$F60)),NOT(ISNUMBER('Plano de Ação'!$G60)),'Plano de Ação'!$J60="Cancelada"),0,IF(AND('Plano de Ação'!$F60&lt;=EOMONTH(DATE(ano_ref,3,1),0),'Plano de Ação'!$G60&gt;=DATE(ano_ref,3,1)),1,0))</f>
      </c>
      <c r="H61" s="41">
        <f>IF(OR(NOT('Plano de Ação'!$B60&lt;&gt;""),NOT(ISNUMBER('Plano de Ação'!$F60)),NOT(ISNUMBER('Plano de Ação'!$G60)),'Plano de Ação'!$J60="Cancelada"),0,IF(AND('Plano de Ação'!$F60&lt;=EOMONTH(DATE(ano_ref,4,1),0),'Plano de Ação'!$G60&gt;=DATE(ano_ref,4,1)),1,0))</f>
      </c>
      <c r="I61" s="41">
        <f>IF(OR(NOT('Plano de Ação'!$B60&lt;&gt;""),NOT(ISNUMBER('Plano de Ação'!$F60)),NOT(ISNUMBER('Plano de Ação'!$G60)),'Plano de Ação'!$J60="Cancelada"),0,IF(AND('Plano de Ação'!$F60&lt;=EOMONTH(DATE(ano_ref,5,1),0),'Plano de Ação'!$G60&gt;=DATE(ano_ref,5,1)),1,0))</f>
      </c>
      <c r="J61" s="41">
        <f>IF(OR(NOT('Plano de Ação'!$B60&lt;&gt;""),NOT(ISNUMBER('Plano de Ação'!$F60)),NOT(ISNUMBER('Plano de Ação'!$G60)),'Plano de Ação'!$J60="Cancelada"),0,IF(AND('Plano de Ação'!$F60&lt;=EOMONTH(DATE(ano_ref,6,1),0),'Plano de Ação'!$G60&gt;=DATE(ano_ref,6,1)),1,0))</f>
      </c>
      <c r="K61" s="41">
        <f>IF(OR(NOT('Plano de Ação'!$B60&lt;&gt;""),NOT(ISNUMBER('Plano de Ação'!$F60)),NOT(ISNUMBER('Plano de Ação'!$G60)),'Plano de Ação'!$J60="Cancelada"),0,IF(AND('Plano de Ação'!$F60&lt;=EOMONTH(DATE(ano_ref,7,1),0),'Plano de Ação'!$G60&gt;=DATE(ano_ref,7,1)),1,0))</f>
      </c>
      <c r="L61" s="41">
        <f>IF(OR(NOT('Plano de Ação'!$B60&lt;&gt;""),NOT(ISNUMBER('Plano de Ação'!$F60)),NOT(ISNUMBER('Plano de Ação'!$G60)),'Plano de Ação'!$J60="Cancelada"),0,IF(AND('Plano de Ação'!$F60&lt;=EOMONTH(DATE(ano_ref,8,1),0),'Plano de Ação'!$G60&gt;=DATE(ano_ref,8,1)),1,0))</f>
      </c>
      <c r="M61" s="41">
        <f>IF(OR(NOT('Plano de Ação'!$B60&lt;&gt;""),NOT(ISNUMBER('Plano de Ação'!$F60)),NOT(ISNUMBER('Plano de Ação'!$G60)),'Plano de Ação'!$J60="Cancelada"),0,IF(AND('Plano de Ação'!$F60&lt;=EOMONTH(DATE(ano_ref,9,1),0),'Plano de Ação'!$G60&gt;=DATE(ano_ref,9,1)),1,0))</f>
      </c>
      <c r="N61" s="41">
        <f>IF(OR(NOT('Plano de Ação'!$B60&lt;&gt;""),NOT(ISNUMBER('Plano de Ação'!$F60)),NOT(ISNUMBER('Plano de Ação'!$G60)),'Plano de Ação'!$J60="Cancelada"),0,IF(AND('Plano de Ação'!$F60&lt;=EOMONTH(DATE(ano_ref,10,1),0),'Plano de Ação'!$G60&gt;=DATE(ano_ref,10,1)),1,0))</f>
      </c>
      <c r="O61" s="41">
        <f>IF(OR(NOT('Plano de Ação'!$B60&lt;&gt;""),NOT(ISNUMBER('Plano de Ação'!$F60)),NOT(ISNUMBER('Plano de Ação'!$G60)),'Plano de Ação'!$J60="Cancelada"),0,IF(AND('Plano de Ação'!$F60&lt;=EOMONTH(DATE(ano_ref,11,1),0),'Plano de Ação'!$G60&gt;=DATE(ano_ref,11,1)),1,0))</f>
      </c>
      <c r="P61" s="41">
        <f>IF(OR(NOT('Plano de Ação'!$B60&lt;&gt;""),NOT(ISNUMBER('Plano de Ação'!$F60)),NOT(ISNUMBER('Plano de Ação'!$G60)),'Plano de Ação'!$J60="Cancelada"),0,IF(AND('Plano de Ação'!$F60&lt;=EOMONTH(DATE(ano_ref,12,1),0),'Plano de Ação'!$G60&gt;=DATE(ano_ref,12,1)),1,0))</f>
      </c>
    </row>
    <row r="62" spans="1:16" x14ac:dyDescent="0.25">
      <c r="A62" s="40">
        <f>IF('Plano de Ação'!$B61&lt;&gt;"",'Plano de Ação'!A61&amp;"","")</f>
      </c>
      <c r="B62" s="25">
        <f>IF('Plano de Ação'!$B61&lt;&gt;"",'Plano de Ação'!B61,"")</f>
      </c>
      <c r="C62" s="25">
        <f>IF('Plano de Ação'!$B61&lt;&gt;"",'Plano de Ação'!E61&amp;"","")</f>
      </c>
      <c r="D62" s="40">
        <f>IF('Plano de Ação'!$B61&lt;&gt;"",'Plano de Ação'!L61,"")</f>
      </c>
      <c r="E62" s="41">
        <f>IF(OR(NOT('Plano de Ação'!$B61&lt;&gt;""),NOT(ISNUMBER('Plano de Ação'!$F61)),NOT(ISNUMBER('Plano de Ação'!$G61)),'Plano de Ação'!$J61="Cancelada"),0,IF(AND('Plano de Ação'!$F61&lt;=EOMONTH(DATE(ano_ref,1,1),0),'Plano de Ação'!$G61&gt;=DATE(ano_ref,1,1)),1,0))</f>
      </c>
      <c r="F62" s="41">
        <f>IF(OR(NOT('Plano de Ação'!$B61&lt;&gt;""),NOT(ISNUMBER('Plano de Ação'!$F61)),NOT(ISNUMBER('Plano de Ação'!$G61)),'Plano de Ação'!$J61="Cancelada"),0,IF(AND('Plano de Ação'!$F61&lt;=EOMONTH(DATE(ano_ref,2,1),0),'Plano de Ação'!$G61&gt;=DATE(ano_ref,2,1)),1,0))</f>
      </c>
      <c r="G62" s="41">
        <f>IF(OR(NOT('Plano de Ação'!$B61&lt;&gt;""),NOT(ISNUMBER('Plano de Ação'!$F61)),NOT(ISNUMBER('Plano de Ação'!$G61)),'Plano de Ação'!$J61="Cancelada"),0,IF(AND('Plano de Ação'!$F61&lt;=EOMONTH(DATE(ano_ref,3,1),0),'Plano de Ação'!$G61&gt;=DATE(ano_ref,3,1)),1,0))</f>
      </c>
      <c r="H62" s="41">
        <f>IF(OR(NOT('Plano de Ação'!$B61&lt;&gt;""),NOT(ISNUMBER('Plano de Ação'!$F61)),NOT(ISNUMBER('Plano de Ação'!$G61)),'Plano de Ação'!$J61="Cancelada"),0,IF(AND('Plano de Ação'!$F61&lt;=EOMONTH(DATE(ano_ref,4,1),0),'Plano de Ação'!$G61&gt;=DATE(ano_ref,4,1)),1,0))</f>
      </c>
      <c r="I62" s="41">
        <f>IF(OR(NOT('Plano de Ação'!$B61&lt;&gt;""),NOT(ISNUMBER('Plano de Ação'!$F61)),NOT(ISNUMBER('Plano de Ação'!$G61)),'Plano de Ação'!$J61="Cancelada"),0,IF(AND('Plano de Ação'!$F61&lt;=EOMONTH(DATE(ano_ref,5,1),0),'Plano de Ação'!$G61&gt;=DATE(ano_ref,5,1)),1,0))</f>
      </c>
      <c r="J62" s="41">
        <f>IF(OR(NOT('Plano de Ação'!$B61&lt;&gt;""),NOT(ISNUMBER('Plano de Ação'!$F61)),NOT(ISNUMBER('Plano de Ação'!$G61)),'Plano de Ação'!$J61="Cancelada"),0,IF(AND('Plano de Ação'!$F61&lt;=EOMONTH(DATE(ano_ref,6,1),0),'Plano de Ação'!$G61&gt;=DATE(ano_ref,6,1)),1,0))</f>
      </c>
      <c r="K62" s="41">
        <f>IF(OR(NOT('Plano de Ação'!$B61&lt;&gt;""),NOT(ISNUMBER('Plano de Ação'!$F61)),NOT(ISNUMBER('Plano de Ação'!$G61)),'Plano de Ação'!$J61="Cancelada"),0,IF(AND('Plano de Ação'!$F61&lt;=EOMONTH(DATE(ano_ref,7,1),0),'Plano de Ação'!$G61&gt;=DATE(ano_ref,7,1)),1,0))</f>
      </c>
      <c r="L62" s="41">
        <f>IF(OR(NOT('Plano de Ação'!$B61&lt;&gt;""),NOT(ISNUMBER('Plano de Ação'!$F61)),NOT(ISNUMBER('Plano de Ação'!$G61)),'Plano de Ação'!$J61="Cancelada"),0,IF(AND('Plano de Ação'!$F61&lt;=EOMONTH(DATE(ano_ref,8,1),0),'Plano de Ação'!$G61&gt;=DATE(ano_ref,8,1)),1,0))</f>
      </c>
      <c r="M62" s="41">
        <f>IF(OR(NOT('Plano de Ação'!$B61&lt;&gt;""),NOT(ISNUMBER('Plano de Ação'!$F61)),NOT(ISNUMBER('Plano de Ação'!$G61)),'Plano de Ação'!$J61="Cancelada"),0,IF(AND('Plano de Ação'!$F61&lt;=EOMONTH(DATE(ano_ref,9,1),0),'Plano de Ação'!$G61&gt;=DATE(ano_ref,9,1)),1,0))</f>
      </c>
      <c r="N62" s="41">
        <f>IF(OR(NOT('Plano de Ação'!$B61&lt;&gt;""),NOT(ISNUMBER('Plano de Ação'!$F61)),NOT(ISNUMBER('Plano de Ação'!$G61)),'Plano de Ação'!$J61="Cancelada"),0,IF(AND('Plano de Ação'!$F61&lt;=EOMONTH(DATE(ano_ref,10,1),0),'Plano de Ação'!$G61&gt;=DATE(ano_ref,10,1)),1,0))</f>
      </c>
      <c r="O62" s="41">
        <f>IF(OR(NOT('Plano de Ação'!$B61&lt;&gt;""),NOT(ISNUMBER('Plano de Ação'!$F61)),NOT(ISNUMBER('Plano de Ação'!$G61)),'Plano de Ação'!$J61="Cancelada"),0,IF(AND('Plano de Ação'!$F61&lt;=EOMONTH(DATE(ano_ref,11,1),0),'Plano de Ação'!$G61&gt;=DATE(ano_ref,11,1)),1,0))</f>
      </c>
      <c r="P62" s="41">
        <f>IF(OR(NOT('Plano de Ação'!$B61&lt;&gt;""),NOT(ISNUMBER('Plano de Ação'!$F61)),NOT(ISNUMBER('Plano de Ação'!$G61)),'Plano de Ação'!$J61="Cancelada"),0,IF(AND('Plano de Ação'!$F61&lt;=EOMONTH(DATE(ano_ref,12,1),0),'Plano de Ação'!$G61&gt;=DATE(ano_ref,12,1)),1,0))</f>
      </c>
    </row>
    <row r="63" spans="1:16" x14ac:dyDescent="0.25">
      <c r="A63" s="40">
        <f>IF('Plano de Ação'!$B62&lt;&gt;"",'Plano de Ação'!A62&amp;"","")</f>
      </c>
      <c r="B63" s="25">
        <f>IF('Plano de Ação'!$B62&lt;&gt;"",'Plano de Ação'!B62,"")</f>
      </c>
      <c r="C63" s="25">
        <f>IF('Plano de Ação'!$B62&lt;&gt;"",'Plano de Ação'!E62&amp;"","")</f>
      </c>
      <c r="D63" s="40">
        <f>IF('Plano de Ação'!$B62&lt;&gt;"",'Plano de Ação'!L62,"")</f>
      </c>
      <c r="E63" s="41">
        <f>IF(OR(NOT('Plano de Ação'!$B62&lt;&gt;""),NOT(ISNUMBER('Plano de Ação'!$F62)),NOT(ISNUMBER('Plano de Ação'!$G62)),'Plano de Ação'!$J62="Cancelada"),0,IF(AND('Plano de Ação'!$F62&lt;=EOMONTH(DATE(ano_ref,1,1),0),'Plano de Ação'!$G62&gt;=DATE(ano_ref,1,1)),1,0))</f>
      </c>
      <c r="F63" s="41">
        <f>IF(OR(NOT('Plano de Ação'!$B62&lt;&gt;""),NOT(ISNUMBER('Plano de Ação'!$F62)),NOT(ISNUMBER('Plano de Ação'!$G62)),'Plano de Ação'!$J62="Cancelada"),0,IF(AND('Plano de Ação'!$F62&lt;=EOMONTH(DATE(ano_ref,2,1),0),'Plano de Ação'!$G62&gt;=DATE(ano_ref,2,1)),1,0))</f>
      </c>
      <c r="G63" s="41">
        <f>IF(OR(NOT('Plano de Ação'!$B62&lt;&gt;""),NOT(ISNUMBER('Plano de Ação'!$F62)),NOT(ISNUMBER('Plano de Ação'!$G62)),'Plano de Ação'!$J62="Cancelada"),0,IF(AND('Plano de Ação'!$F62&lt;=EOMONTH(DATE(ano_ref,3,1),0),'Plano de Ação'!$G62&gt;=DATE(ano_ref,3,1)),1,0))</f>
      </c>
      <c r="H63" s="41">
        <f>IF(OR(NOT('Plano de Ação'!$B62&lt;&gt;""),NOT(ISNUMBER('Plano de Ação'!$F62)),NOT(ISNUMBER('Plano de Ação'!$G62)),'Plano de Ação'!$J62="Cancelada"),0,IF(AND('Plano de Ação'!$F62&lt;=EOMONTH(DATE(ano_ref,4,1),0),'Plano de Ação'!$G62&gt;=DATE(ano_ref,4,1)),1,0))</f>
      </c>
      <c r="I63" s="41">
        <f>IF(OR(NOT('Plano de Ação'!$B62&lt;&gt;""),NOT(ISNUMBER('Plano de Ação'!$F62)),NOT(ISNUMBER('Plano de Ação'!$G62)),'Plano de Ação'!$J62="Cancelada"),0,IF(AND('Plano de Ação'!$F62&lt;=EOMONTH(DATE(ano_ref,5,1),0),'Plano de Ação'!$G62&gt;=DATE(ano_ref,5,1)),1,0))</f>
      </c>
      <c r="J63" s="41">
        <f>IF(OR(NOT('Plano de Ação'!$B62&lt;&gt;""),NOT(ISNUMBER('Plano de Ação'!$F62)),NOT(ISNUMBER('Plano de Ação'!$G62)),'Plano de Ação'!$J62="Cancelada"),0,IF(AND('Plano de Ação'!$F62&lt;=EOMONTH(DATE(ano_ref,6,1),0),'Plano de Ação'!$G62&gt;=DATE(ano_ref,6,1)),1,0))</f>
      </c>
      <c r="K63" s="41">
        <f>IF(OR(NOT('Plano de Ação'!$B62&lt;&gt;""),NOT(ISNUMBER('Plano de Ação'!$F62)),NOT(ISNUMBER('Plano de Ação'!$G62)),'Plano de Ação'!$J62="Cancelada"),0,IF(AND('Plano de Ação'!$F62&lt;=EOMONTH(DATE(ano_ref,7,1),0),'Plano de Ação'!$G62&gt;=DATE(ano_ref,7,1)),1,0))</f>
      </c>
      <c r="L63" s="41">
        <f>IF(OR(NOT('Plano de Ação'!$B62&lt;&gt;""),NOT(ISNUMBER('Plano de Ação'!$F62)),NOT(ISNUMBER('Plano de Ação'!$G62)),'Plano de Ação'!$J62="Cancelada"),0,IF(AND('Plano de Ação'!$F62&lt;=EOMONTH(DATE(ano_ref,8,1),0),'Plano de Ação'!$G62&gt;=DATE(ano_ref,8,1)),1,0))</f>
      </c>
      <c r="M63" s="41">
        <f>IF(OR(NOT('Plano de Ação'!$B62&lt;&gt;""),NOT(ISNUMBER('Plano de Ação'!$F62)),NOT(ISNUMBER('Plano de Ação'!$G62)),'Plano de Ação'!$J62="Cancelada"),0,IF(AND('Plano de Ação'!$F62&lt;=EOMONTH(DATE(ano_ref,9,1),0),'Plano de Ação'!$G62&gt;=DATE(ano_ref,9,1)),1,0))</f>
      </c>
      <c r="N63" s="41">
        <f>IF(OR(NOT('Plano de Ação'!$B62&lt;&gt;""),NOT(ISNUMBER('Plano de Ação'!$F62)),NOT(ISNUMBER('Plano de Ação'!$G62)),'Plano de Ação'!$J62="Cancelada"),0,IF(AND('Plano de Ação'!$F62&lt;=EOMONTH(DATE(ano_ref,10,1),0),'Plano de Ação'!$G62&gt;=DATE(ano_ref,10,1)),1,0))</f>
      </c>
      <c r="O63" s="41">
        <f>IF(OR(NOT('Plano de Ação'!$B62&lt;&gt;""),NOT(ISNUMBER('Plano de Ação'!$F62)),NOT(ISNUMBER('Plano de Ação'!$G62)),'Plano de Ação'!$J62="Cancelada"),0,IF(AND('Plano de Ação'!$F62&lt;=EOMONTH(DATE(ano_ref,11,1),0),'Plano de Ação'!$G62&gt;=DATE(ano_ref,11,1)),1,0))</f>
      </c>
      <c r="P63" s="41">
        <f>IF(OR(NOT('Plano de Ação'!$B62&lt;&gt;""),NOT(ISNUMBER('Plano de Ação'!$F62)),NOT(ISNUMBER('Plano de Ação'!$G62)),'Plano de Ação'!$J62="Cancelada"),0,IF(AND('Plano de Ação'!$F62&lt;=EOMONTH(DATE(ano_ref,12,1),0),'Plano de Ação'!$G62&gt;=DATE(ano_ref,12,1)),1,0))</f>
      </c>
    </row>
    <row r="64" spans="1:16" x14ac:dyDescent="0.25">
      <c r="A64" s="40">
        <f>IF('Plano de Ação'!$B63&lt;&gt;"",'Plano de Ação'!A63&amp;"","")</f>
      </c>
      <c r="B64" s="25">
        <f>IF('Plano de Ação'!$B63&lt;&gt;"",'Plano de Ação'!B63,"")</f>
      </c>
      <c r="C64" s="25">
        <f>IF('Plano de Ação'!$B63&lt;&gt;"",'Plano de Ação'!E63&amp;"","")</f>
      </c>
      <c r="D64" s="40">
        <f>IF('Plano de Ação'!$B63&lt;&gt;"",'Plano de Ação'!L63,"")</f>
      </c>
      <c r="E64" s="41">
        <f>IF(OR(NOT('Plano de Ação'!$B63&lt;&gt;""),NOT(ISNUMBER('Plano de Ação'!$F63)),NOT(ISNUMBER('Plano de Ação'!$G63)),'Plano de Ação'!$J63="Cancelada"),0,IF(AND('Plano de Ação'!$F63&lt;=EOMONTH(DATE(ano_ref,1,1),0),'Plano de Ação'!$G63&gt;=DATE(ano_ref,1,1)),1,0))</f>
      </c>
      <c r="F64" s="41">
        <f>IF(OR(NOT('Plano de Ação'!$B63&lt;&gt;""),NOT(ISNUMBER('Plano de Ação'!$F63)),NOT(ISNUMBER('Plano de Ação'!$G63)),'Plano de Ação'!$J63="Cancelada"),0,IF(AND('Plano de Ação'!$F63&lt;=EOMONTH(DATE(ano_ref,2,1),0),'Plano de Ação'!$G63&gt;=DATE(ano_ref,2,1)),1,0))</f>
      </c>
      <c r="G64" s="41">
        <f>IF(OR(NOT('Plano de Ação'!$B63&lt;&gt;""),NOT(ISNUMBER('Plano de Ação'!$F63)),NOT(ISNUMBER('Plano de Ação'!$G63)),'Plano de Ação'!$J63="Cancelada"),0,IF(AND('Plano de Ação'!$F63&lt;=EOMONTH(DATE(ano_ref,3,1),0),'Plano de Ação'!$G63&gt;=DATE(ano_ref,3,1)),1,0))</f>
      </c>
      <c r="H64" s="41">
        <f>IF(OR(NOT('Plano de Ação'!$B63&lt;&gt;""),NOT(ISNUMBER('Plano de Ação'!$F63)),NOT(ISNUMBER('Plano de Ação'!$G63)),'Plano de Ação'!$J63="Cancelada"),0,IF(AND('Plano de Ação'!$F63&lt;=EOMONTH(DATE(ano_ref,4,1),0),'Plano de Ação'!$G63&gt;=DATE(ano_ref,4,1)),1,0))</f>
      </c>
      <c r="I64" s="41">
        <f>IF(OR(NOT('Plano de Ação'!$B63&lt;&gt;""),NOT(ISNUMBER('Plano de Ação'!$F63)),NOT(ISNUMBER('Plano de Ação'!$G63)),'Plano de Ação'!$J63="Cancelada"),0,IF(AND('Plano de Ação'!$F63&lt;=EOMONTH(DATE(ano_ref,5,1),0),'Plano de Ação'!$G63&gt;=DATE(ano_ref,5,1)),1,0))</f>
      </c>
      <c r="J64" s="41">
        <f>IF(OR(NOT('Plano de Ação'!$B63&lt;&gt;""),NOT(ISNUMBER('Plano de Ação'!$F63)),NOT(ISNUMBER('Plano de Ação'!$G63)),'Plano de Ação'!$J63="Cancelada"),0,IF(AND('Plano de Ação'!$F63&lt;=EOMONTH(DATE(ano_ref,6,1),0),'Plano de Ação'!$G63&gt;=DATE(ano_ref,6,1)),1,0))</f>
      </c>
      <c r="K64" s="41">
        <f>IF(OR(NOT('Plano de Ação'!$B63&lt;&gt;""),NOT(ISNUMBER('Plano de Ação'!$F63)),NOT(ISNUMBER('Plano de Ação'!$G63)),'Plano de Ação'!$J63="Cancelada"),0,IF(AND('Plano de Ação'!$F63&lt;=EOMONTH(DATE(ano_ref,7,1),0),'Plano de Ação'!$G63&gt;=DATE(ano_ref,7,1)),1,0))</f>
      </c>
      <c r="L64" s="41">
        <f>IF(OR(NOT('Plano de Ação'!$B63&lt;&gt;""),NOT(ISNUMBER('Plano de Ação'!$F63)),NOT(ISNUMBER('Plano de Ação'!$G63)),'Plano de Ação'!$J63="Cancelada"),0,IF(AND('Plano de Ação'!$F63&lt;=EOMONTH(DATE(ano_ref,8,1),0),'Plano de Ação'!$G63&gt;=DATE(ano_ref,8,1)),1,0))</f>
      </c>
      <c r="M64" s="41">
        <f>IF(OR(NOT('Plano de Ação'!$B63&lt;&gt;""),NOT(ISNUMBER('Plano de Ação'!$F63)),NOT(ISNUMBER('Plano de Ação'!$G63)),'Plano de Ação'!$J63="Cancelada"),0,IF(AND('Plano de Ação'!$F63&lt;=EOMONTH(DATE(ano_ref,9,1),0),'Plano de Ação'!$G63&gt;=DATE(ano_ref,9,1)),1,0))</f>
      </c>
      <c r="N64" s="41">
        <f>IF(OR(NOT('Plano de Ação'!$B63&lt;&gt;""),NOT(ISNUMBER('Plano de Ação'!$F63)),NOT(ISNUMBER('Plano de Ação'!$G63)),'Plano de Ação'!$J63="Cancelada"),0,IF(AND('Plano de Ação'!$F63&lt;=EOMONTH(DATE(ano_ref,10,1),0),'Plano de Ação'!$G63&gt;=DATE(ano_ref,10,1)),1,0))</f>
      </c>
      <c r="O64" s="41">
        <f>IF(OR(NOT('Plano de Ação'!$B63&lt;&gt;""),NOT(ISNUMBER('Plano de Ação'!$F63)),NOT(ISNUMBER('Plano de Ação'!$G63)),'Plano de Ação'!$J63="Cancelada"),0,IF(AND('Plano de Ação'!$F63&lt;=EOMONTH(DATE(ano_ref,11,1),0),'Plano de Ação'!$G63&gt;=DATE(ano_ref,11,1)),1,0))</f>
      </c>
      <c r="P64" s="41">
        <f>IF(OR(NOT('Plano de Ação'!$B63&lt;&gt;""),NOT(ISNUMBER('Plano de Ação'!$F63)),NOT(ISNUMBER('Plano de Ação'!$G63)),'Plano de Ação'!$J63="Cancelada"),0,IF(AND('Plano de Ação'!$F63&lt;=EOMONTH(DATE(ano_ref,12,1),0),'Plano de Ação'!$G63&gt;=DATE(ano_ref,12,1)),1,0))</f>
      </c>
    </row>
    <row r="65" spans="1:16" x14ac:dyDescent="0.25">
      <c r="A65" s="40">
        <f>IF('Plano de Ação'!$B64&lt;&gt;"",'Plano de Ação'!A64&amp;"","")</f>
      </c>
      <c r="B65" s="25">
        <f>IF('Plano de Ação'!$B64&lt;&gt;"",'Plano de Ação'!B64,"")</f>
      </c>
      <c r="C65" s="25">
        <f>IF('Plano de Ação'!$B64&lt;&gt;"",'Plano de Ação'!E64&amp;"","")</f>
      </c>
      <c r="D65" s="40">
        <f>IF('Plano de Ação'!$B64&lt;&gt;"",'Plano de Ação'!L64,"")</f>
      </c>
      <c r="E65" s="41">
        <f>IF(OR(NOT('Plano de Ação'!$B64&lt;&gt;""),NOT(ISNUMBER('Plano de Ação'!$F64)),NOT(ISNUMBER('Plano de Ação'!$G64)),'Plano de Ação'!$J64="Cancelada"),0,IF(AND('Plano de Ação'!$F64&lt;=EOMONTH(DATE(ano_ref,1,1),0),'Plano de Ação'!$G64&gt;=DATE(ano_ref,1,1)),1,0))</f>
      </c>
      <c r="F65" s="41">
        <f>IF(OR(NOT('Plano de Ação'!$B64&lt;&gt;""),NOT(ISNUMBER('Plano de Ação'!$F64)),NOT(ISNUMBER('Plano de Ação'!$G64)),'Plano de Ação'!$J64="Cancelada"),0,IF(AND('Plano de Ação'!$F64&lt;=EOMONTH(DATE(ano_ref,2,1),0),'Plano de Ação'!$G64&gt;=DATE(ano_ref,2,1)),1,0))</f>
      </c>
      <c r="G65" s="41">
        <f>IF(OR(NOT('Plano de Ação'!$B64&lt;&gt;""),NOT(ISNUMBER('Plano de Ação'!$F64)),NOT(ISNUMBER('Plano de Ação'!$G64)),'Plano de Ação'!$J64="Cancelada"),0,IF(AND('Plano de Ação'!$F64&lt;=EOMONTH(DATE(ano_ref,3,1),0),'Plano de Ação'!$G64&gt;=DATE(ano_ref,3,1)),1,0))</f>
      </c>
      <c r="H65" s="41">
        <f>IF(OR(NOT('Plano de Ação'!$B64&lt;&gt;""),NOT(ISNUMBER('Plano de Ação'!$F64)),NOT(ISNUMBER('Plano de Ação'!$G64)),'Plano de Ação'!$J64="Cancelada"),0,IF(AND('Plano de Ação'!$F64&lt;=EOMONTH(DATE(ano_ref,4,1),0),'Plano de Ação'!$G64&gt;=DATE(ano_ref,4,1)),1,0))</f>
      </c>
      <c r="I65" s="41">
        <f>IF(OR(NOT('Plano de Ação'!$B64&lt;&gt;""),NOT(ISNUMBER('Plano de Ação'!$F64)),NOT(ISNUMBER('Plano de Ação'!$G64)),'Plano de Ação'!$J64="Cancelada"),0,IF(AND('Plano de Ação'!$F64&lt;=EOMONTH(DATE(ano_ref,5,1),0),'Plano de Ação'!$G64&gt;=DATE(ano_ref,5,1)),1,0))</f>
      </c>
      <c r="J65" s="41">
        <f>IF(OR(NOT('Plano de Ação'!$B64&lt;&gt;""),NOT(ISNUMBER('Plano de Ação'!$F64)),NOT(ISNUMBER('Plano de Ação'!$G64)),'Plano de Ação'!$J64="Cancelada"),0,IF(AND('Plano de Ação'!$F64&lt;=EOMONTH(DATE(ano_ref,6,1),0),'Plano de Ação'!$G64&gt;=DATE(ano_ref,6,1)),1,0))</f>
      </c>
      <c r="K65" s="41">
        <f>IF(OR(NOT('Plano de Ação'!$B64&lt;&gt;""),NOT(ISNUMBER('Plano de Ação'!$F64)),NOT(ISNUMBER('Plano de Ação'!$G64)),'Plano de Ação'!$J64="Cancelada"),0,IF(AND('Plano de Ação'!$F64&lt;=EOMONTH(DATE(ano_ref,7,1),0),'Plano de Ação'!$G64&gt;=DATE(ano_ref,7,1)),1,0))</f>
      </c>
      <c r="L65" s="41">
        <f>IF(OR(NOT('Plano de Ação'!$B64&lt;&gt;""),NOT(ISNUMBER('Plano de Ação'!$F64)),NOT(ISNUMBER('Plano de Ação'!$G64)),'Plano de Ação'!$J64="Cancelada"),0,IF(AND('Plano de Ação'!$F64&lt;=EOMONTH(DATE(ano_ref,8,1),0),'Plano de Ação'!$G64&gt;=DATE(ano_ref,8,1)),1,0))</f>
      </c>
      <c r="M65" s="41">
        <f>IF(OR(NOT('Plano de Ação'!$B64&lt;&gt;""),NOT(ISNUMBER('Plano de Ação'!$F64)),NOT(ISNUMBER('Plano de Ação'!$G64)),'Plano de Ação'!$J64="Cancelada"),0,IF(AND('Plano de Ação'!$F64&lt;=EOMONTH(DATE(ano_ref,9,1),0),'Plano de Ação'!$G64&gt;=DATE(ano_ref,9,1)),1,0))</f>
      </c>
      <c r="N65" s="41">
        <f>IF(OR(NOT('Plano de Ação'!$B64&lt;&gt;""),NOT(ISNUMBER('Plano de Ação'!$F64)),NOT(ISNUMBER('Plano de Ação'!$G64)),'Plano de Ação'!$J64="Cancelada"),0,IF(AND('Plano de Ação'!$F64&lt;=EOMONTH(DATE(ano_ref,10,1),0),'Plano de Ação'!$G64&gt;=DATE(ano_ref,10,1)),1,0))</f>
      </c>
      <c r="O65" s="41">
        <f>IF(OR(NOT('Plano de Ação'!$B64&lt;&gt;""),NOT(ISNUMBER('Plano de Ação'!$F64)),NOT(ISNUMBER('Plano de Ação'!$G64)),'Plano de Ação'!$J64="Cancelada"),0,IF(AND('Plano de Ação'!$F64&lt;=EOMONTH(DATE(ano_ref,11,1),0),'Plano de Ação'!$G64&gt;=DATE(ano_ref,11,1)),1,0))</f>
      </c>
      <c r="P65" s="41">
        <f>IF(OR(NOT('Plano de Ação'!$B64&lt;&gt;""),NOT(ISNUMBER('Plano de Ação'!$F64)),NOT(ISNUMBER('Plano de Ação'!$G64)),'Plano de Ação'!$J64="Cancelada"),0,IF(AND('Plano de Ação'!$F64&lt;=EOMONTH(DATE(ano_ref,12,1),0),'Plano de Ação'!$G64&gt;=DATE(ano_ref,12,1)),1,0))</f>
      </c>
    </row>
    <row r="66" spans="1:16" x14ac:dyDescent="0.25">
      <c r="A66" s="40">
        <f>IF('Plano de Ação'!$B65&lt;&gt;"",'Plano de Ação'!A65&amp;"","")</f>
      </c>
      <c r="B66" s="25">
        <f>IF('Plano de Ação'!$B65&lt;&gt;"",'Plano de Ação'!B65,"")</f>
      </c>
      <c r="C66" s="25">
        <f>IF('Plano de Ação'!$B65&lt;&gt;"",'Plano de Ação'!E65&amp;"","")</f>
      </c>
      <c r="D66" s="40">
        <f>IF('Plano de Ação'!$B65&lt;&gt;"",'Plano de Ação'!L65,"")</f>
      </c>
      <c r="E66" s="41">
        <f>IF(OR(NOT('Plano de Ação'!$B65&lt;&gt;""),NOT(ISNUMBER('Plano de Ação'!$F65)),NOT(ISNUMBER('Plano de Ação'!$G65)),'Plano de Ação'!$J65="Cancelada"),0,IF(AND('Plano de Ação'!$F65&lt;=EOMONTH(DATE(ano_ref,1,1),0),'Plano de Ação'!$G65&gt;=DATE(ano_ref,1,1)),1,0))</f>
      </c>
      <c r="F66" s="41">
        <f>IF(OR(NOT('Plano de Ação'!$B65&lt;&gt;""),NOT(ISNUMBER('Plano de Ação'!$F65)),NOT(ISNUMBER('Plano de Ação'!$G65)),'Plano de Ação'!$J65="Cancelada"),0,IF(AND('Plano de Ação'!$F65&lt;=EOMONTH(DATE(ano_ref,2,1),0),'Plano de Ação'!$G65&gt;=DATE(ano_ref,2,1)),1,0))</f>
      </c>
      <c r="G66" s="41">
        <f>IF(OR(NOT('Plano de Ação'!$B65&lt;&gt;""),NOT(ISNUMBER('Plano de Ação'!$F65)),NOT(ISNUMBER('Plano de Ação'!$G65)),'Plano de Ação'!$J65="Cancelada"),0,IF(AND('Plano de Ação'!$F65&lt;=EOMONTH(DATE(ano_ref,3,1),0),'Plano de Ação'!$G65&gt;=DATE(ano_ref,3,1)),1,0))</f>
      </c>
      <c r="H66" s="41">
        <f>IF(OR(NOT('Plano de Ação'!$B65&lt;&gt;""),NOT(ISNUMBER('Plano de Ação'!$F65)),NOT(ISNUMBER('Plano de Ação'!$G65)),'Plano de Ação'!$J65="Cancelada"),0,IF(AND('Plano de Ação'!$F65&lt;=EOMONTH(DATE(ano_ref,4,1),0),'Plano de Ação'!$G65&gt;=DATE(ano_ref,4,1)),1,0))</f>
      </c>
      <c r="I66" s="41">
        <f>IF(OR(NOT('Plano de Ação'!$B65&lt;&gt;""),NOT(ISNUMBER('Plano de Ação'!$F65)),NOT(ISNUMBER('Plano de Ação'!$G65)),'Plano de Ação'!$J65="Cancelada"),0,IF(AND('Plano de Ação'!$F65&lt;=EOMONTH(DATE(ano_ref,5,1),0),'Plano de Ação'!$G65&gt;=DATE(ano_ref,5,1)),1,0))</f>
      </c>
      <c r="J66" s="41">
        <f>IF(OR(NOT('Plano de Ação'!$B65&lt;&gt;""),NOT(ISNUMBER('Plano de Ação'!$F65)),NOT(ISNUMBER('Plano de Ação'!$G65)),'Plano de Ação'!$J65="Cancelada"),0,IF(AND('Plano de Ação'!$F65&lt;=EOMONTH(DATE(ano_ref,6,1),0),'Plano de Ação'!$G65&gt;=DATE(ano_ref,6,1)),1,0))</f>
      </c>
      <c r="K66" s="41">
        <f>IF(OR(NOT('Plano de Ação'!$B65&lt;&gt;""),NOT(ISNUMBER('Plano de Ação'!$F65)),NOT(ISNUMBER('Plano de Ação'!$G65)),'Plano de Ação'!$J65="Cancelada"),0,IF(AND('Plano de Ação'!$F65&lt;=EOMONTH(DATE(ano_ref,7,1),0),'Plano de Ação'!$G65&gt;=DATE(ano_ref,7,1)),1,0))</f>
      </c>
      <c r="L66" s="41">
        <f>IF(OR(NOT('Plano de Ação'!$B65&lt;&gt;""),NOT(ISNUMBER('Plano de Ação'!$F65)),NOT(ISNUMBER('Plano de Ação'!$G65)),'Plano de Ação'!$J65="Cancelada"),0,IF(AND('Plano de Ação'!$F65&lt;=EOMONTH(DATE(ano_ref,8,1),0),'Plano de Ação'!$G65&gt;=DATE(ano_ref,8,1)),1,0))</f>
      </c>
      <c r="M66" s="41">
        <f>IF(OR(NOT('Plano de Ação'!$B65&lt;&gt;""),NOT(ISNUMBER('Plano de Ação'!$F65)),NOT(ISNUMBER('Plano de Ação'!$G65)),'Plano de Ação'!$J65="Cancelada"),0,IF(AND('Plano de Ação'!$F65&lt;=EOMONTH(DATE(ano_ref,9,1),0),'Plano de Ação'!$G65&gt;=DATE(ano_ref,9,1)),1,0))</f>
      </c>
      <c r="N66" s="41">
        <f>IF(OR(NOT('Plano de Ação'!$B65&lt;&gt;""),NOT(ISNUMBER('Plano de Ação'!$F65)),NOT(ISNUMBER('Plano de Ação'!$G65)),'Plano de Ação'!$J65="Cancelada"),0,IF(AND('Plano de Ação'!$F65&lt;=EOMONTH(DATE(ano_ref,10,1),0),'Plano de Ação'!$G65&gt;=DATE(ano_ref,10,1)),1,0))</f>
      </c>
      <c r="O66" s="41">
        <f>IF(OR(NOT('Plano de Ação'!$B65&lt;&gt;""),NOT(ISNUMBER('Plano de Ação'!$F65)),NOT(ISNUMBER('Plano de Ação'!$G65)),'Plano de Ação'!$J65="Cancelada"),0,IF(AND('Plano de Ação'!$F65&lt;=EOMONTH(DATE(ano_ref,11,1),0),'Plano de Ação'!$G65&gt;=DATE(ano_ref,11,1)),1,0))</f>
      </c>
      <c r="P66" s="41">
        <f>IF(OR(NOT('Plano de Ação'!$B65&lt;&gt;""),NOT(ISNUMBER('Plano de Ação'!$F65)),NOT(ISNUMBER('Plano de Ação'!$G65)),'Plano de Ação'!$J65="Cancelada"),0,IF(AND('Plano de Ação'!$F65&lt;=EOMONTH(DATE(ano_ref,12,1),0),'Plano de Ação'!$G65&gt;=DATE(ano_ref,12,1)),1,0))</f>
      </c>
    </row>
    <row r="67" spans="1:16" x14ac:dyDescent="0.25">
      <c r="A67" s="40">
        <f>IF('Plano de Ação'!$B66&lt;&gt;"",'Plano de Ação'!A66&amp;"","")</f>
      </c>
      <c r="B67" s="25">
        <f>IF('Plano de Ação'!$B66&lt;&gt;"",'Plano de Ação'!B66,"")</f>
      </c>
      <c r="C67" s="25">
        <f>IF('Plano de Ação'!$B66&lt;&gt;"",'Plano de Ação'!E66&amp;"","")</f>
      </c>
      <c r="D67" s="40">
        <f>IF('Plano de Ação'!$B66&lt;&gt;"",'Plano de Ação'!L66,"")</f>
      </c>
      <c r="E67" s="41">
        <f>IF(OR(NOT('Plano de Ação'!$B66&lt;&gt;""),NOT(ISNUMBER('Plano de Ação'!$F66)),NOT(ISNUMBER('Plano de Ação'!$G66)),'Plano de Ação'!$J66="Cancelada"),0,IF(AND('Plano de Ação'!$F66&lt;=EOMONTH(DATE(ano_ref,1,1),0),'Plano de Ação'!$G66&gt;=DATE(ano_ref,1,1)),1,0))</f>
      </c>
      <c r="F67" s="41">
        <f>IF(OR(NOT('Plano de Ação'!$B66&lt;&gt;""),NOT(ISNUMBER('Plano de Ação'!$F66)),NOT(ISNUMBER('Plano de Ação'!$G66)),'Plano de Ação'!$J66="Cancelada"),0,IF(AND('Plano de Ação'!$F66&lt;=EOMONTH(DATE(ano_ref,2,1),0),'Plano de Ação'!$G66&gt;=DATE(ano_ref,2,1)),1,0))</f>
      </c>
      <c r="G67" s="41">
        <f>IF(OR(NOT('Plano de Ação'!$B66&lt;&gt;""),NOT(ISNUMBER('Plano de Ação'!$F66)),NOT(ISNUMBER('Plano de Ação'!$G66)),'Plano de Ação'!$J66="Cancelada"),0,IF(AND('Plano de Ação'!$F66&lt;=EOMONTH(DATE(ano_ref,3,1),0),'Plano de Ação'!$G66&gt;=DATE(ano_ref,3,1)),1,0))</f>
      </c>
      <c r="H67" s="41">
        <f>IF(OR(NOT('Plano de Ação'!$B66&lt;&gt;""),NOT(ISNUMBER('Plano de Ação'!$F66)),NOT(ISNUMBER('Plano de Ação'!$G66)),'Plano de Ação'!$J66="Cancelada"),0,IF(AND('Plano de Ação'!$F66&lt;=EOMONTH(DATE(ano_ref,4,1),0),'Plano de Ação'!$G66&gt;=DATE(ano_ref,4,1)),1,0))</f>
      </c>
      <c r="I67" s="41">
        <f>IF(OR(NOT('Plano de Ação'!$B66&lt;&gt;""),NOT(ISNUMBER('Plano de Ação'!$F66)),NOT(ISNUMBER('Plano de Ação'!$G66)),'Plano de Ação'!$J66="Cancelada"),0,IF(AND('Plano de Ação'!$F66&lt;=EOMONTH(DATE(ano_ref,5,1),0),'Plano de Ação'!$G66&gt;=DATE(ano_ref,5,1)),1,0))</f>
      </c>
      <c r="J67" s="41">
        <f>IF(OR(NOT('Plano de Ação'!$B66&lt;&gt;""),NOT(ISNUMBER('Plano de Ação'!$F66)),NOT(ISNUMBER('Plano de Ação'!$G66)),'Plano de Ação'!$J66="Cancelada"),0,IF(AND('Plano de Ação'!$F66&lt;=EOMONTH(DATE(ano_ref,6,1),0),'Plano de Ação'!$G66&gt;=DATE(ano_ref,6,1)),1,0))</f>
      </c>
      <c r="K67" s="41">
        <f>IF(OR(NOT('Plano de Ação'!$B66&lt;&gt;""),NOT(ISNUMBER('Plano de Ação'!$F66)),NOT(ISNUMBER('Plano de Ação'!$G66)),'Plano de Ação'!$J66="Cancelada"),0,IF(AND('Plano de Ação'!$F66&lt;=EOMONTH(DATE(ano_ref,7,1),0),'Plano de Ação'!$G66&gt;=DATE(ano_ref,7,1)),1,0))</f>
      </c>
      <c r="L67" s="41">
        <f>IF(OR(NOT('Plano de Ação'!$B66&lt;&gt;""),NOT(ISNUMBER('Plano de Ação'!$F66)),NOT(ISNUMBER('Plano de Ação'!$G66)),'Plano de Ação'!$J66="Cancelada"),0,IF(AND('Plano de Ação'!$F66&lt;=EOMONTH(DATE(ano_ref,8,1),0),'Plano de Ação'!$G66&gt;=DATE(ano_ref,8,1)),1,0))</f>
      </c>
      <c r="M67" s="41">
        <f>IF(OR(NOT('Plano de Ação'!$B66&lt;&gt;""),NOT(ISNUMBER('Plano de Ação'!$F66)),NOT(ISNUMBER('Plano de Ação'!$G66)),'Plano de Ação'!$J66="Cancelada"),0,IF(AND('Plano de Ação'!$F66&lt;=EOMONTH(DATE(ano_ref,9,1),0),'Plano de Ação'!$G66&gt;=DATE(ano_ref,9,1)),1,0))</f>
      </c>
      <c r="N67" s="41">
        <f>IF(OR(NOT('Plano de Ação'!$B66&lt;&gt;""),NOT(ISNUMBER('Plano de Ação'!$F66)),NOT(ISNUMBER('Plano de Ação'!$G66)),'Plano de Ação'!$J66="Cancelada"),0,IF(AND('Plano de Ação'!$F66&lt;=EOMONTH(DATE(ano_ref,10,1),0),'Plano de Ação'!$G66&gt;=DATE(ano_ref,10,1)),1,0))</f>
      </c>
      <c r="O67" s="41">
        <f>IF(OR(NOT('Plano de Ação'!$B66&lt;&gt;""),NOT(ISNUMBER('Plano de Ação'!$F66)),NOT(ISNUMBER('Plano de Ação'!$G66)),'Plano de Ação'!$J66="Cancelada"),0,IF(AND('Plano de Ação'!$F66&lt;=EOMONTH(DATE(ano_ref,11,1),0),'Plano de Ação'!$G66&gt;=DATE(ano_ref,11,1)),1,0))</f>
      </c>
      <c r="P67" s="41">
        <f>IF(OR(NOT('Plano de Ação'!$B66&lt;&gt;""),NOT(ISNUMBER('Plano de Ação'!$F66)),NOT(ISNUMBER('Plano de Ação'!$G66)),'Plano de Ação'!$J66="Cancelada"),0,IF(AND('Plano de Ação'!$F66&lt;=EOMONTH(DATE(ano_ref,12,1),0),'Plano de Ação'!$G66&gt;=DATE(ano_ref,12,1)),1,0))</f>
      </c>
    </row>
    <row r="68" spans="1:16" x14ac:dyDescent="0.25">
      <c r="A68" s="40">
        <f>IF('Plano de Ação'!$B67&lt;&gt;"",'Plano de Ação'!A67&amp;"","")</f>
      </c>
      <c r="B68" s="25">
        <f>IF('Plano de Ação'!$B67&lt;&gt;"",'Plano de Ação'!B67,"")</f>
      </c>
      <c r="C68" s="25">
        <f>IF('Plano de Ação'!$B67&lt;&gt;"",'Plano de Ação'!E67&amp;"","")</f>
      </c>
      <c r="D68" s="40">
        <f>IF('Plano de Ação'!$B67&lt;&gt;"",'Plano de Ação'!L67,"")</f>
      </c>
      <c r="E68" s="41">
        <f>IF(OR(NOT('Plano de Ação'!$B67&lt;&gt;""),NOT(ISNUMBER('Plano de Ação'!$F67)),NOT(ISNUMBER('Plano de Ação'!$G67)),'Plano de Ação'!$J67="Cancelada"),0,IF(AND('Plano de Ação'!$F67&lt;=EOMONTH(DATE(ano_ref,1,1),0),'Plano de Ação'!$G67&gt;=DATE(ano_ref,1,1)),1,0))</f>
      </c>
      <c r="F68" s="41">
        <f>IF(OR(NOT('Plano de Ação'!$B67&lt;&gt;""),NOT(ISNUMBER('Plano de Ação'!$F67)),NOT(ISNUMBER('Plano de Ação'!$G67)),'Plano de Ação'!$J67="Cancelada"),0,IF(AND('Plano de Ação'!$F67&lt;=EOMONTH(DATE(ano_ref,2,1),0),'Plano de Ação'!$G67&gt;=DATE(ano_ref,2,1)),1,0))</f>
      </c>
      <c r="G68" s="41">
        <f>IF(OR(NOT('Plano de Ação'!$B67&lt;&gt;""),NOT(ISNUMBER('Plano de Ação'!$F67)),NOT(ISNUMBER('Plano de Ação'!$G67)),'Plano de Ação'!$J67="Cancelada"),0,IF(AND('Plano de Ação'!$F67&lt;=EOMONTH(DATE(ano_ref,3,1),0),'Plano de Ação'!$G67&gt;=DATE(ano_ref,3,1)),1,0))</f>
      </c>
      <c r="H68" s="41">
        <f>IF(OR(NOT('Plano de Ação'!$B67&lt;&gt;""),NOT(ISNUMBER('Plano de Ação'!$F67)),NOT(ISNUMBER('Plano de Ação'!$G67)),'Plano de Ação'!$J67="Cancelada"),0,IF(AND('Plano de Ação'!$F67&lt;=EOMONTH(DATE(ano_ref,4,1),0),'Plano de Ação'!$G67&gt;=DATE(ano_ref,4,1)),1,0))</f>
      </c>
      <c r="I68" s="41">
        <f>IF(OR(NOT('Plano de Ação'!$B67&lt;&gt;""),NOT(ISNUMBER('Plano de Ação'!$F67)),NOT(ISNUMBER('Plano de Ação'!$G67)),'Plano de Ação'!$J67="Cancelada"),0,IF(AND('Plano de Ação'!$F67&lt;=EOMONTH(DATE(ano_ref,5,1),0),'Plano de Ação'!$G67&gt;=DATE(ano_ref,5,1)),1,0))</f>
      </c>
      <c r="J68" s="41">
        <f>IF(OR(NOT('Plano de Ação'!$B67&lt;&gt;""),NOT(ISNUMBER('Plano de Ação'!$F67)),NOT(ISNUMBER('Plano de Ação'!$G67)),'Plano de Ação'!$J67="Cancelada"),0,IF(AND('Plano de Ação'!$F67&lt;=EOMONTH(DATE(ano_ref,6,1),0),'Plano de Ação'!$G67&gt;=DATE(ano_ref,6,1)),1,0))</f>
      </c>
      <c r="K68" s="41">
        <f>IF(OR(NOT('Plano de Ação'!$B67&lt;&gt;""),NOT(ISNUMBER('Plano de Ação'!$F67)),NOT(ISNUMBER('Plano de Ação'!$G67)),'Plano de Ação'!$J67="Cancelada"),0,IF(AND('Plano de Ação'!$F67&lt;=EOMONTH(DATE(ano_ref,7,1),0),'Plano de Ação'!$G67&gt;=DATE(ano_ref,7,1)),1,0))</f>
      </c>
      <c r="L68" s="41">
        <f>IF(OR(NOT('Plano de Ação'!$B67&lt;&gt;""),NOT(ISNUMBER('Plano de Ação'!$F67)),NOT(ISNUMBER('Plano de Ação'!$G67)),'Plano de Ação'!$J67="Cancelada"),0,IF(AND('Plano de Ação'!$F67&lt;=EOMONTH(DATE(ano_ref,8,1),0),'Plano de Ação'!$G67&gt;=DATE(ano_ref,8,1)),1,0))</f>
      </c>
      <c r="M68" s="41">
        <f>IF(OR(NOT('Plano de Ação'!$B67&lt;&gt;""),NOT(ISNUMBER('Plano de Ação'!$F67)),NOT(ISNUMBER('Plano de Ação'!$G67)),'Plano de Ação'!$J67="Cancelada"),0,IF(AND('Plano de Ação'!$F67&lt;=EOMONTH(DATE(ano_ref,9,1),0),'Plano de Ação'!$G67&gt;=DATE(ano_ref,9,1)),1,0))</f>
      </c>
      <c r="N68" s="41">
        <f>IF(OR(NOT('Plano de Ação'!$B67&lt;&gt;""),NOT(ISNUMBER('Plano de Ação'!$F67)),NOT(ISNUMBER('Plano de Ação'!$G67)),'Plano de Ação'!$J67="Cancelada"),0,IF(AND('Plano de Ação'!$F67&lt;=EOMONTH(DATE(ano_ref,10,1),0),'Plano de Ação'!$G67&gt;=DATE(ano_ref,10,1)),1,0))</f>
      </c>
      <c r="O68" s="41">
        <f>IF(OR(NOT('Plano de Ação'!$B67&lt;&gt;""),NOT(ISNUMBER('Plano de Ação'!$F67)),NOT(ISNUMBER('Plano de Ação'!$G67)),'Plano de Ação'!$J67="Cancelada"),0,IF(AND('Plano de Ação'!$F67&lt;=EOMONTH(DATE(ano_ref,11,1),0),'Plano de Ação'!$G67&gt;=DATE(ano_ref,11,1)),1,0))</f>
      </c>
      <c r="P68" s="41">
        <f>IF(OR(NOT('Plano de Ação'!$B67&lt;&gt;""),NOT(ISNUMBER('Plano de Ação'!$F67)),NOT(ISNUMBER('Plano de Ação'!$G67)),'Plano de Ação'!$J67="Cancelada"),0,IF(AND('Plano de Ação'!$F67&lt;=EOMONTH(DATE(ano_ref,12,1),0),'Plano de Ação'!$G67&gt;=DATE(ano_ref,12,1)),1,0))</f>
      </c>
    </row>
    <row r="69" spans="1:16" x14ac:dyDescent="0.25">
      <c r="A69" s="40">
        <f>IF('Plano de Ação'!$B68&lt;&gt;"",'Plano de Ação'!A68&amp;"","")</f>
      </c>
      <c r="B69" s="25">
        <f>IF('Plano de Ação'!$B68&lt;&gt;"",'Plano de Ação'!B68,"")</f>
      </c>
      <c r="C69" s="25">
        <f>IF('Plano de Ação'!$B68&lt;&gt;"",'Plano de Ação'!E68&amp;"","")</f>
      </c>
      <c r="D69" s="40">
        <f>IF('Plano de Ação'!$B68&lt;&gt;"",'Plano de Ação'!L68,"")</f>
      </c>
      <c r="E69" s="41">
        <f>IF(OR(NOT('Plano de Ação'!$B68&lt;&gt;""),NOT(ISNUMBER('Plano de Ação'!$F68)),NOT(ISNUMBER('Plano de Ação'!$G68)),'Plano de Ação'!$J68="Cancelada"),0,IF(AND('Plano de Ação'!$F68&lt;=EOMONTH(DATE(ano_ref,1,1),0),'Plano de Ação'!$G68&gt;=DATE(ano_ref,1,1)),1,0))</f>
      </c>
      <c r="F69" s="41">
        <f>IF(OR(NOT('Plano de Ação'!$B68&lt;&gt;""),NOT(ISNUMBER('Plano de Ação'!$F68)),NOT(ISNUMBER('Plano de Ação'!$G68)),'Plano de Ação'!$J68="Cancelada"),0,IF(AND('Plano de Ação'!$F68&lt;=EOMONTH(DATE(ano_ref,2,1),0),'Plano de Ação'!$G68&gt;=DATE(ano_ref,2,1)),1,0))</f>
      </c>
      <c r="G69" s="41">
        <f>IF(OR(NOT('Plano de Ação'!$B68&lt;&gt;""),NOT(ISNUMBER('Plano de Ação'!$F68)),NOT(ISNUMBER('Plano de Ação'!$G68)),'Plano de Ação'!$J68="Cancelada"),0,IF(AND('Plano de Ação'!$F68&lt;=EOMONTH(DATE(ano_ref,3,1),0),'Plano de Ação'!$G68&gt;=DATE(ano_ref,3,1)),1,0))</f>
      </c>
      <c r="H69" s="41">
        <f>IF(OR(NOT('Plano de Ação'!$B68&lt;&gt;""),NOT(ISNUMBER('Plano de Ação'!$F68)),NOT(ISNUMBER('Plano de Ação'!$G68)),'Plano de Ação'!$J68="Cancelada"),0,IF(AND('Plano de Ação'!$F68&lt;=EOMONTH(DATE(ano_ref,4,1),0),'Plano de Ação'!$G68&gt;=DATE(ano_ref,4,1)),1,0))</f>
      </c>
      <c r="I69" s="41">
        <f>IF(OR(NOT('Plano de Ação'!$B68&lt;&gt;""),NOT(ISNUMBER('Plano de Ação'!$F68)),NOT(ISNUMBER('Plano de Ação'!$G68)),'Plano de Ação'!$J68="Cancelada"),0,IF(AND('Plano de Ação'!$F68&lt;=EOMONTH(DATE(ano_ref,5,1),0),'Plano de Ação'!$G68&gt;=DATE(ano_ref,5,1)),1,0))</f>
      </c>
      <c r="J69" s="41">
        <f>IF(OR(NOT('Plano de Ação'!$B68&lt;&gt;""),NOT(ISNUMBER('Plano de Ação'!$F68)),NOT(ISNUMBER('Plano de Ação'!$G68)),'Plano de Ação'!$J68="Cancelada"),0,IF(AND('Plano de Ação'!$F68&lt;=EOMONTH(DATE(ano_ref,6,1),0),'Plano de Ação'!$G68&gt;=DATE(ano_ref,6,1)),1,0))</f>
      </c>
      <c r="K69" s="41">
        <f>IF(OR(NOT('Plano de Ação'!$B68&lt;&gt;""),NOT(ISNUMBER('Plano de Ação'!$F68)),NOT(ISNUMBER('Plano de Ação'!$G68)),'Plano de Ação'!$J68="Cancelada"),0,IF(AND('Plano de Ação'!$F68&lt;=EOMONTH(DATE(ano_ref,7,1),0),'Plano de Ação'!$G68&gt;=DATE(ano_ref,7,1)),1,0))</f>
      </c>
      <c r="L69" s="41">
        <f>IF(OR(NOT('Plano de Ação'!$B68&lt;&gt;""),NOT(ISNUMBER('Plano de Ação'!$F68)),NOT(ISNUMBER('Plano de Ação'!$G68)),'Plano de Ação'!$J68="Cancelada"),0,IF(AND('Plano de Ação'!$F68&lt;=EOMONTH(DATE(ano_ref,8,1),0),'Plano de Ação'!$G68&gt;=DATE(ano_ref,8,1)),1,0))</f>
      </c>
      <c r="M69" s="41">
        <f>IF(OR(NOT('Plano de Ação'!$B68&lt;&gt;""),NOT(ISNUMBER('Plano de Ação'!$F68)),NOT(ISNUMBER('Plano de Ação'!$G68)),'Plano de Ação'!$J68="Cancelada"),0,IF(AND('Plano de Ação'!$F68&lt;=EOMONTH(DATE(ano_ref,9,1),0),'Plano de Ação'!$G68&gt;=DATE(ano_ref,9,1)),1,0))</f>
      </c>
      <c r="N69" s="41">
        <f>IF(OR(NOT('Plano de Ação'!$B68&lt;&gt;""),NOT(ISNUMBER('Plano de Ação'!$F68)),NOT(ISNUMBER('Plano de Ação'!$G68)),'Plano de Ação'!$J68="Cancelada"),0,IF(AND('Plano de Ação'!$F68&lt;=EOMONTH(DATE(ano_ref,10,1),0),'Plano de Ação'!$G68&gt;=DATE(ano_ref,10,1)),1,0))</f>
      </c>
      <c r="O69" s="41">
        <f>IF(OR(NOT('Plano de Ação'!$B68&lt;&gt;""),NOT(ISNUMBER('Plano de Ação'!$F68)),NOT(ISNUMBER('Plano de Ação'!$G68)),'Plano de Ação'!$J68="Cancelada"),0,IF(AND('Plano de Ação'!$F68&lt;=EOMONTH(DATE(ano_ref,11,1),0),'Plano de Ação'!$G68&gt;=DATE(ano_ref,11,1)),1,0))</f>
      </c>
      <c r="P69" s="41">
        <f>IF(OR(NOT('Plano de Ação'!$B68&lt;&gt;""),NOT(ISNUMBER('Plano de Ação'!$F68)),NOT(ISNUMBER('Plano de Ação'!$G68)),'Plano de Ação'!$J68="Cancelada"),0,IF(AND('Plano de Ação'!$F68&lt;=EOMONTH(DATE(ano_ref,12,1),0),'Plano de Ação'!$G68&gt;=DATE(ano_ref,12,1)),1,0))</f>
      </c>
    </row>
    <row r="70" spans="1:16" x14ac:dyDescent="0.25">
      <c r="A70" s="40">
        <f>IF('Plano de Ação'!$B69&lt;&gt;"",'Plano de Ação'!A69&amp;"","")</f>
      </c>
      <c r="B70" s="25">
        <f>IF('Plano de Ação'!$B69&lt;&gt;"",'Plano de Ação'!B69,"")</f>
      </c>
      <c r="C70" s="25">
        <f>IF('Plano de Ação'!$B69&lt;&gt;"",'Plano de Ação'!E69&amp;"","")</f>
      </c>
      <c r="D70" s="40">
        <f>IF('Plano de Ação'!$B69&lt;&gt;"",'Plano de Ação'!L69,"")</f>
      </c>
      <c r="E70" s="41">
        <f>IF(OR(NOT('Plano de Ação'!$B69&lt;&gt;""),NOT(ISNUMBER('Plano de Ação'!$F69)),NOT(ISNUMBER('Plano de Ação'!$G69)),'Plano de Ação'!$J69="Cancelada"),0,IF(AND('Plano de Ação'!$F69&lt;=EOMONTH(DATE(ano_ref,1,1),0),'Plano de Ação'!$G69&gt;=DATE(ano_ref,1,1)),1,0))</f>
      </c>
      <c r="F70" s="41">
        <f>IF(OR(NOT('Plano de Ação'!$B69&lt;&gt;""),NOT(ISNUMBER('Plano de Ação'!$F69)),NOT(ISNUMBER('Plano de Ação'!$G69)),'Plano de Ação'!$J69="Cancelada"),0,IF(AND('Plano de Ação'!$F69&lt;=EOMONTH(DATE(ano_ref,2,1),0),'Plano de Ação'!$G69&gt;=DATE(ano_ref,2,1)),1,0))</f>
      </c>
      <c r="G70" s="41">
        <f>IF(OR(NOT('Plano de Ação'!$B69&lt;&gt;""),NOT(ISNUMBER('Plano de Ação'!$F69)),NOT(ISNUMBER('Plano de Ação'!$G69)),'Plano de Ação'!$J69="Cancelada"),0,IF(AND('Plano de Ação'!$F69&lt;=EOMONTH(DATE(ano_ref,3,1),0),'Plano de Ação'!$G69&gt;=DATE(ano_ref,3,1)),1,0))</f>
      </c>
      <c r="H70" s="41">
        <f>IF(OR(NOT('Plano de Ação'!$B69&lt;&gt;""),NOT(ISNUMBER('Plano de Ação'!$F69)),NOT(ISNUMBER('Plano de Ação'!$G69)),'Plano de Ação'!$J69="Cancelada"),0,IF(AND('Plano de Ação'!$F69&lt;=EOMONTH(DATE(ano_ref,4,1),0),'Plano de Ação'!$G69&gt;=DATE(ano_ref,4,1)),1,0))</f>
      </c>
      <c r="I70" s="41">
        <f>IF(OR(NOT('Plano de Ação'!$B69&lt;&gt;""),NOT(ISNUMBER('Plano de Ação'!$F69)),NOT(ISNUMBER('Plano de Ação'!$G69)),'Plano de Ação'!$J69="Cancelada"),0,IF(AND('Plano de Ação'!$F69&lt;=EOMONTH(DATE(ano_ref,5,1),0),'Plano de Ação'!$G69&gt;=DATE(ano_ref,5,1)),1,0))</f>
      </c>
      <c r="J70" s="41">
        <f>IF(OR(NOT('Plano de Ação'!$B69&lt;&gt;""),NOT(ISNUMBER('Plano de Ação'!$F69)),NOT(ISNUMBER('Plano de Ação'!$G69)),'Plano de Ação'!$J69="Cancelada"),0,IF(AND('Plano de Ação'!$F69&lt;=EOMONTH(DATE(ano_ref,6,1),0),'Plano de Ação'!$G69&gt;=DATE(ano_ref,6,1)),1,0))</f>
      </c>
      <c r="K70" s="41">
        <f>IF(OR(NOT('Plano de Ação'!$B69&lt;&gt;""),NOT(ISNUMBER('Plano de Ação'!$F69)),NOT(ISNUMBER('Plano de Ação'!$G69)),'Plano de Ação'!$J69="Cancelada"),0,IF(AND('Plano de Ação'!$F69&lt;=EOMONTH(DATE(ano_ref,7,1),0),'Plano de Ação'!$G69&gt;=DATE(ano_ref,7,1)),1,0))</f>
      </c>
      <c r="L70" s="41">
        <f>IF(OR(NOT('Plano de Ação'!$B69&lt;&gt;""),NOT(ISNUMBER('Plano de Ação'!$F69)),NOT(ISNUMBER('Plano de Ação'!$G69)),'Plano de Ação'!$J69="Cancelada"),0,IF(AND('Plano de Ação'!$F69&lt;=EOMONTH(DATE(ano_ref,8,1),0),'Plano de Ação'!$G69&gt;=DATE(ano_ref,8,1)),1,0))</f>
      </c>
      <c r="M70" s="41">
        <f>IF(OR(NOT('Plano de Ação'!$B69&lt;&gt;""),NOT(ISNUMBER('Plano de Ação'!$F69)),NOT(ISNUMBER('Plano de Ação'!$G69)),'Plano de Ação'!$J69="Cancelada"),0,IF(AND('Plano de Ação'!$F69&lt;=EOMONTH(DATE(ano_ref,9,1),0),'Plano de Ação'!$G69&gt;=DATE(ano_ref,9,1)),1,0))</f>
      </c>
      <c r="N70" s="41">
        <f>IF(OR(NOT('Plano de Ação'!$B69&lt;&gt;""),NOT(ISNUMBER('Plano de Ação'!$F69)),NOT(ISNUMBER('Plano de Ação'!$G69)),'Plano de Ação'!$J69="Cancelada"),0,IF(AND('Plano de Ação'!$F69&lt;=EOMONTH(DATE(ano_ref,10,1),0),'Plano de Ação'!$G69&gt;=DATE(ano_ref,10,1)),1,0))</f>
      </c>
      <c r="O70" s="41">
        <f>IF(OR(NOT('Plano de Ação'!$B69&lt;&gt;""),NOT(ISNUMBER('Plano de Ação'!$F69)),NOT(ISNUMBER('Plano de Ação'!$G69)),'Plano de Ação'!$J69="Cancelada"),0,IF(AND('Plano de Ação'!$F69&lt;=EOMONTH(DATE(ano_ref,11,1),0),'Plano de Ação'!$G69&gt;=DATE(ano_ref,11,1)),1,0))</f>
      </c>
      <c r="P70" s="41">
        <f>IF(OR(NOT('Plano de Ação'!$B69&lt;&gt;""),NOT(ISNUMBER('Plano de Ação'!$F69)),NOT(ISNUMBER('Plano de Ação'!$G69)),'Plano de Ação'!$J69="Cancelada"),0,IF(AND('Plano de Ação'!$F69&lt;=EOMONTH(DATE(ano_ref,12,1),0),'Plano de Ação'!$G69&gt;=DATE(ano_ref,12,1)),1,0))</f>
      </c>
    </row>
    <row r="71" spans="1:16" x14ac:dyDescent="0.25">
      <c r="A71" s="40">
        <f>IF('Plano de Ação'!$B70&lt;&gt;"",'Plano de Ação'!A70&amp;"","")</f>
      </c>
      <c r="B71" s="25">
        <f>IF('Plano de Ação'!$B70&lt;&gt;"",'Plano de Ação'!B70,"")</f>
      </c>
      <c r="C71" s="25">
        <f>IF('Plano de Ação'!$B70&lt;&gt;"",'Plano de Ação'!E70&amp;"","")</f>
      </c>
      <c r="D71" s="40">
        <f>IF('Plano de Ação'!$B70&lt;&gt;"",'Plano de Ação'!L70,"")</f>
      </c>
      <c r="E71" s="41">
        <f>IF(OR(NOT('Plano de Ação'!$B70&lt;&gt;""),NOT(ISNUMBER('Plano de Ação'!$F70)),NOT(ISNUMBER('Plano de Ação'!$G70)),'Plano de Ação'!$J70="Cancelada"),0,IF(AND('Plano de Ação'!$F70&lt;=EOMONTH(DATE(ano_ref,1,1),0),'Plano de Ação'!$G70&gt;=DATE(ano_ref,1,1)),1,0))</f>
      </c>
      <c r="F71" s="41">
        <f>IF(OR(NOT('Plano de Ação'!$B70&lt;&gt;""),NOT(ISNUMBER('Plano de Ação'!$F70)),NOT(ISNUMBER('Plano de Ação'!$G70)),'Plano de Ação'!$J70="Cancelada"),0,IF(AND('Plano de Ação'!$F70&lt;=EOMONTH(DATE(ano_ref,2,1),0),'Plano de Ação'!$G70&gt;=DATE(ano_ref,2,1)),1,0))</f>
      </c>
      <c r="G71" s="41">
        <f>IF(OR(NOT('Plano de Ação'!$B70&lt;&gt;""),NOT(ISNUMBER('Plano de Ação'!$F70)),NOT(ISNUMBER('Plano de Ação'!$G70)),'Plano de Ação'!$J70="Cancelada"),0,IF(AND('Plano de Ação'!$F70&lt;=EOMONTH(DATE(ano_ref,3,1),0),'Plano de Ação'!$G70&gt;=DATE(ano_ref,3,1)),1,0))</f>
      </c>
      <c r="H71" s="41">
        <f>IF(OR(NOT('Plano de Ação'!$B70&lt;&gt;""),NOT(ISNUMBER('Plano de Ação'!$F70)),NOT(ISNUMBER('Plano de Ação'!$G70)),'Plano de Ação'!$J70="Cancelada"),0,IF(AND('Plano de Ação'!$F70&lt;=EOMONTH(DATE(ano_ref,4,1),0),'Plano de Ação'!$G70&gt;=DATE(ano_ref,4,1)),1,0))</f>
      </c>
      <c r="I71" s="41">
        <f>IF(OR(NOT('Plano de Ação'!$B70&lt;&gt;""),NOT(ISNUMBER('Plano de Ação'!$F70)),NOT(ISNUMBER('Plano de Ação'!$G70)),'Plano de Ação'!$J70="Cancelada"),0,IF(AND('Plano de Ação'!$F70&lt;=EOMONTH(DATE(ano_ref,5,1),0),'Plano de Ação'!$G70&gt;=DATE(ano_ref,5,1)),1,0))</f>
      </c>
      <c r="J71" s="41">
        <f>IF(OR(NOT('Plano de Ação'!$B70&lt;&gt;""),NOT(ISNUMBER('Plano de Ação'!$F70)),NOT(ISNUMBER('Plano de Ação'!$G70)),'Plano de Ação'!$J70="Cancelada"),0,IF(AND('Plano de Ação'!$F70&lt;=EOMONTH(DATE(ano_ref,6,1),0),'Plano de Ação'!$G70&gt;=DATE(ano_ref,6,1)),1,0))</f>
      </c>
      <c r="K71" s="41">
        <f>IF(OR(NOT('Plano de Ação'!$B70&lt;&gt;""),NOT(ISNUMBER('Plano de Ação'!$F70)),NOT(ISNUMBER('Plano de Ação'!$G70)),'Plano de Ação'!$J70="Cancelada"),0,IF(AND('Plano de Ação'!$F70&lt;=EOMONTH(DATE(ano_ref,7,1),0),'Plano de Ação'!$G70&gt;=DATE(ano_ref,7,1)),1,0))</f>
      </c>
      <c r="L71" s="41">
        <f>IF(OR(NOT('Plano de Ação'!$B70&lt;&gt;""),NOT(ISNUMBER('Plano de Ação'!$F70)),NOT(ISNUMBER('Plano de Ação'!$G70)),'Plano de Ação'!$J70="Cancelada"),0,IF(AND('Plano de Ação'!$F70&lt;=EOMONTH(DATE(ano_ref,8,1),0),'Plano de Ação'!$G70&gt;=DATE(ano_ref,8,1)),1,0))</f>
      </c>
      <c r="M71" s="41">
        <f>IF(OR(NOT('Plano de Ação'!$B70&lt;&gt;""),NOT(ISNUMBER('Plano de Ação'!$F70)),NOT(ISNUMBER('Plano de Ação'!$G70)),'Plano de Ação'!$J70="Cancelada"),0,IF(AND('Plano de Ação'!$F70&lt;=EOMONTH(DATE(ano_ref,9,1),0),'Plano de Ação'!$G70&gt;=DATE(ano_ref,9,1)),1,0))</f>
      </c>
      <c r="N71" s="41">
        <f>IF(OR(NOT('Plano de Ação'!$B70&lt;&gt;""),NOT(ISNUMBER('Plano de Ação'!$F70)),NOT(ISNUMBER('Plano de Ação'!$G70)),'Plano de Ação'!$J70="Cancelada"),0,IF(AND('Plano de Ação'!$F70&lt;=EOMONTH(DATE(ano_ref,10,1),0),'Plano de Ação'!$G70&gt;=DATE(ano_ref,10,1)),1,0))</f>
      </c>
      <c r="O71" s="41">
        <f>IF(OR(NOT('Plano de Ação'!$B70&lt;&gt;""),NOT(ISNUMBER('Plano de Ação'!$F70)),NOT(ISNUMBER('Plano de Ação'!$G70)),'Plano de Ação'!$J70="Cancelada"),0,IF(AND('Plano de Ação'!$F70&lt;=EOMONTH(DATE(ano_ref,11,1),0),'Plano de Ação'!$G70&gt;=DATE(ano_ref,11,1)),1,0))</f>
      </c>
      <c r="P71" s="41">
        <f>IF(OR(NOT('Plano de Ação'!$B70&lt;&gt;""),NOT(ISNUMBER('Plano de Ação'!$F70)),NOT(ISNUMBER('Plano de Ação'!$G70)),'Plano de Ação'!$J70="Cancelada"),0,IF(AND('Plano de Ação'!$F70&lt;=EOMONTH(DATE(ano_ref,12,1),0),'Plano de Ação'!$G70&gt;=DATE(ano_ref,12,1)),1,0))</f>
      </c>
    </row>
    <row r="72" spans="1:16" x14ac:dyDescent="0.25">
      <c r="A72" s="40">
        <f>IF('Plano de Ação'!$B71&lt;&gt;"",'Plano de Ação'!A71&amp;"","")</f>
      </c>
      <c r="B72" s="25">
        <f>IF('Plano de Ação'!$B71&lt;&gt;"",'Plano de Ação'!B71,"")</f>
      </c>
      <c r="C72" s="25">
        <f>IF('Plano de Ação'!$B71&lt;&gt;"",'Plano de Ação'!E71&amp;"","")</f>
      </c>
      <c r="D72" s="40">
        <f>IF('Plano de Ação'!$B71&lt;&gt;"",'Plano de Ação'!L71,"")</f>
      </c>
      <c r="E72" s="41">
        <f>IF(OR(NOT('Plano de Ação'!$B71&lt;&gt;""),NOT(ISNUMBER('Plano de Ação'!$F71)),NOT(ISNUMBER('Plano de Ação'!$G71)),'Plano de Ação'!$J71="Cancelada"),0,IF(AND('Plano de Ação'!$F71&lt;=EOMONTH(DATE(ano_ref,1,1),0),'Plano de Ação'!$G71&gt;=DATE(ano_ref,1,1)),1,0))</f>
      </c>
      <c r="F72" s="41">
        <f>IF(OR(NOT('Plano de Ação'!$B71&lt;&gt;""),NOT(ISNUMBER('Plano de Ação'!$F71)),NOT(ISNUMBER('Plano de Ação'!$G71)),'Plano de Ação'!$J71="Cancelada"),0,IF(AND('Plano de Ação'!$F71&lt;=EOMONTH(DATE(ano_ref,2,1),0),'Plano de Ação'!$G71&gt;=DATE(ano_ref,2,1)),1,0))</f>
      </c>
      <c r="G72" s="41">
        <f>IF(OR(NOT('Plano de Ação'!$B71&lt;&gt;""),NOT(ISNUMBER('Plano de Ação'!$F71)),NOT(ISNUMBER('Plano de Ação'!$G71)),'Plano de Ação'!$J71="Cancelada"),0,IF(AND('Plano de Ação'!$F71&lt;=EOMONTH(DATE(ano_ref,3,1),0),'Plano de Ação'!$G71&gt;=DATE(ano_ref,3,1)),1,0))</f>
      </c>
      <c r="H72" s="41">
        <f>IF(OR(NOT('Plano de Ação'!$B71&lt;&gt;""),NOT(ISNUMBER('Plano de Ação'!$F71)),NOT(ISNUMBER('Plano de Ação'!$G71)),'Plano de Ação'!$J71="Cancelada"),0,IF(AND('Plano de Ação'!$F71&lt;=EOMONTH(DATE(ano_ref,4,1),0),'Plano de Ação'!$G71&gt;=DATE(ano_ref,4,1)),1,0))</f>
      </c>
      <c r="I72" s="41">
        <f>IF(OR(NOT('Plano de Ação'!$B71&lt;&gt;""),NOT(ISNUMBER('Plano de Ação'!$F71)),NOT(ISNUMBER('Plano de Ação'!$G71)),'Plano de Ação'!$J71="Cancelada"),0,IF(AND('Plano de Ação'!$F71&lt;=EOMONTH(DATE(ano_ref,5,1),0),'Plano de Ação'!$G71&gt;=DATE(ano_ref,5,1)),1,0))</f>
      </c>
      <c r="J72" s="41">
        <f>IF(OR(NOT('Plano de Ação'!$B71&lt;&gt;""),NOT(ISNUMBER('Plano de Ação'!$F71)),NOT(ISNUMBER('Plano de Ação'!$G71)),'Plano de Ação'!$J71="Cancelada"),0,IF(AND('Plano de Ação'!$F71&lt;=EOMONTH(DATE(ano_ref,6,1),0),'Plano de Ação'!$G71&gt;=DATE(ano_ref,6,1)),1,0))</f>
      </c>
      <c r="K72" s="41">
        <f>IF(OR(NOT('Plano de Ação'!$B71&lt;&gt;""),NOT(ISNUMBER('Plano de Ação'!$F71)),NOT(ISNUMBER('Plano de Ação'!$G71)),'Plano de Ação'!$J71="Cancelada"),0,IF(AND('Plano de Ação'!$F71&lt;=EOMONTH(DATE(ano_ref,7,1),0),'Plano de Ação'!$G71&gt;=DATE(ano_ref,7,1)),1,0))</f>
      </c>
      <c r="L72" s="41">
        <f>IF(OR(NOT('Plano de Ação'!$B71&lt;&gt;""),NOT(ISNUMBER('Plano de Ação'!$F71)),NOT(ISNUMBER('Plano de Ação'!$G71)),'Plano de Ação'!$J71="Cancelada"),0,IF(AND('Plano de Ação'!$F71&lt;=EOMONTH(DATE(ano_ref,8,1),0),'Plano de Ação'!$G71&gt;=DATE(ano_ref,8,1)),1,0))</f>
      </c>
      <c r="M72" s="41">
        <f>IF(OR(NOT('Plano de Ação'!$B71&lt;&gt;""),NOT(ISNUMBER('Plano de Ação'!$F71)),NOT(ISNUMBER('Plano de Ação'!$G71)),'Plano de Ação'!$J71="Cancelada"),0,IF(AND('Plano de Ação'!$F71&lt;=EOMONTH(DATE(ano_ref,9,1),0),'Plano de Ação'!$G71&gt;=DATE(ano_ref,9,1)),1,0))</f>
      </c>
      <c r="N72" s="41">
        <f>IF(OR(NOT('Plano de Ação'!$B71&lt;&gt;""),NOT(ISNUMBER('Plano de Ação'!$F71)),NOT(ISNUMBER('Plano de Ação'!$G71)),'Plano de Ação'!$J71="Cancelada"),0,IF(AND('Plano de Ação'!$F71&lt;=EOMONTH(DATE(ano_ref,10,1),0),'Plano de Ação'!$G71&gt;=DATE(ano_ref,10,1)),1,0))</f>
      </c>
      <c r="O72" s="41">
        <f>IF(OR(NOT('Plano de Ação'!$B71&lt;&gt;""),NOT(ISNUMBER('Plano de Ação'!$F71)),NOT(ISNUMBER('Plano de Ação'!$G71)),'Plano de Ação'!$J71="Cancelada"),0,IF(AND('Plano de Ação'!$F71&lt;=EOMONTH(DATE(ano_ref,11,1),0),'Plano de Ação'!$G71&gt;=DATE(ano_ref,11,1)),1,0))</f>
      </c>
      <c r="P72" s="41">
        <f>IF(OR(NOT('Plano de Ação'!$B71&lt;&gt;""),NOT(ISNUMBER('Plano de Ação'!$F71)),NOT(ISNUMBER('Plano de Ação'!$G71)),'Plano de Ação'!$J71="Cancelada"),0,IF(AND('Plano de Ação'!$F71&lt;=EOMONTH(DATE(ano_ref,12,1),0),'Plano de Ação'!$G71&gt;=DATE(ano_ref,12,1)),1,0))</f>
      </c>
    </row>
    <row r="73" spans="1:16" x14ac:dyDescent="0.25">
      <c r="A73" s="40">
        <f>IF('Plano de Ação'!$B72&lt;&gt;"",'Plano de Ação'!A72&amp;"","")</f>
      </c>
      <c r="B73" s="25">
        <f>IF('Plano de Ação'!$B72&lt;&gt;"",'Plano de Ação'!B72,"")</f>
      </c>
      <c r="C73" s="25">
        <f>IF('Plano de Ação'!$B72&lt;&gt;"",'Plano de Ação'!E72&amp;"","")</f>
      </c>
      <c r="D73" s="40">
        <f>IF('Plano de Ação'!$B72&lt;&gt;"",'Plano de Ação'!L72,"")</f>
      </c>
      <c r="E73" s="41">
        <f>IF(OR(NOT('Plano de Ação'!$B72&lt;&gt;""),NOT(ISNUMBER('Plano de Ação'!$F72)),NOT(ISNUMBER('Plano de Ação'!$G72)),'Plano de Ação'!$J72="Cancelada"),0,IF(AND('Plano de Ação'!$F72&lt;=EOMONTH(DATE(ano_ref,1,1),0),'Plano de Ação'!$G72&gt;=DATE(ano_ref,1,1)),1,0))</f>
      </c>
      <c r="F73" s="41">
        <f>IF(OR(NOT('Plano de Ação'!$B72&lt;&gt;""),NOT(ISNUMBER('Plano de Ação'!$F72)),NOT(ISNUMBER('Plano de Ação'!$G72)),'Plano de Ação'!$J72="Cancelada"),0,IF(AND('Plano de Ação'!$F72&lt;=EOMONTH(DATE(ano_ref,2,1),0),'Plano de Ação'!$G72&gt;=DATE(ano_ref,2,1)),1,0))</f>
      </c>
      <c r="G73" s="41">
        <f>IF(OR(NOT('Plano de Ação'!$B72&lt;&gt;""),NOT(ISNUMBER('Plano de Ação'!$F72)),NOT(ISNUMBER('Plano de Ação'!$G72)),'Plano de Ação'!$J72="Cancelada"),0,IF(AND('Plano de Ação'!$F72&lt;=EOMONTH(DATE(ano_ref,3,1),0),'Plano de Ação'!$G72&gt;=DATE(ano_ref,3,1)),1,0))</f>
      </c>
      <c r="H73" s="41">
        <f>IF(OR(NOT('Plano de Ação'!$B72&lt;&gt;""),NOT(ISNUMBER('Plano de Ação'!$F72)),NOT(ISNUMBER('Plano de Ação'!$G72)),'Plano de Ação'!$J72="Cancelada"),0,IF(AND('Plano de Ação'!$F72&lt;=EOMONTH(DATE(ano_ref,4,1),0),'Plano de Ação'!$G72&gt;=DATE(ano_ref,4,1)),1,0))</f>
      </c>
      <c r="I73" s="41">
        <f>IF(OR(NOT('Plano de Ação'!$B72&lt;&gt;""),NOT(ISNUMBER('Plano de Ação'!$F72)),NOT(ISNUMBER('Plano de Ação'!$G72)),'Plano de Ação'!$J72="Cancelada"),0,IF(AND('Plano de Ação'!$F72&lt;=EOMONTH(DATE(ano_ref,5,1),0),'Plano de Ação'!$G72&gt;=DATE(ano_ref,5,1)),1,0))</f>
      </c>
      <c r="J73" s="41">
        <f>IF(OR(NOT('Plano de Ação'!$B72&lt;&gt;""),NOT(ISNUMBER('Plano de Ação'!$F72)),NOT(ISNUMBER('Plano de Ação'!$G72)),'Plano de Ação'!$J72="Cancelada"),0,IF(AND('Plano de Ação'!$F72&lt;=EOMONTH(DATE(ano_ref,6,1),0),'Plano de Ação'!$G72&gt;=DATE(ano_ref,6,1)),1,0))</f>
      </c>
      <c r="K73" s="41">
        <f>IF(OR(NOT('Plano de Ação'!$B72&lt;&gt;""),NOT(ISNUMBER('Plano de Ação'!$F72)),NOT(ISNUMBER('Plano de Ação'!$G72)),'Plano de Ação'!$J72="Cancelada"),0,IF(AND('Plano de Ação'!$F72&lt;=EOMONTH(DATE(ano_ref,7,1),0),'Plano de Ação'!$G72&gt;=DATE(ano_ref,7,1)),1,0))</f>
      </c>
      <c r="L73" s="41">
        <f>IF(OR(NOT('Plano de Ação'!$B72&lt;&gt;""),NOT(ISNUMBER('Plano de Ação'!$F72)),NOT(ISNUMBER('Plano de Ação'!$G72)),'Plano de Ação'!$J72="Cancelada"),0,IF(AND('Plano de Ação'!$F72&lt;=EOMONTH(DATE(ano_ref,8,1),0),'Plano de Ação'!$G72&gt;=DATE(ano_ref,8,1)),1,0))</f>
      </c>
      <c r="M73" s="41">
        <f>IF(OR(NOT('Plano de Ação'!$B72&lt;&gt;""),NOT(ISNUMBER('Plano de Ação'!$F72)),NOT(ISNUMBER('Plano de Ação'!$G72)),'Plano de Ação'!$J72="Cancelada"),0,IF(AND('Plano de Ação'!$F72&lt;=EOMONTH(DATE(ano_ref,9,1),0),'Plano de Ação'!$G72&gt;=DATE(ano_ref,9,1)),1,0))</f>
      </c>
      <c r="N73" s="41">
        <f>IF(OR(NOT('Plano de Ação'!$B72&lt;&gt;""),NOT(ISNUMBER('Plano de Ação'!$F72)),NOT(ISNUMBER('Plano de Ação'!$G72)),'Plano de Ação'!$J72="Cancelada"),0,IF(AND('Plano de Ação'!$F72&lt;=EOMONTH(DATE(ano_ref,10,1),0),'Plano de Ação'!$G72&gt;=DATE(ano_ref,10,1)),1,0))</f>
      </c>
      <c r="O73" s="41">
        <f>IF(OR(NOT('Plano de Ação'!$B72&lt;&gt;""),NOT(ISNUMBER('Plano de Ação'!$F72)),NOT(ISNUMBER('Plano de Ação'!$G72)),'Plano de Ação'!$J72="Cancelada"),0,IF(AND('Plano de Ação'!$F72&lt;=EOMONTH(DATE(ano_ref,11,1),0),'Plano de Ação'!$G72&gt;=DATE(ano_ref,11,1)),1,0))</f>
      </c>
      <c r="P73" s="41">
        <f>IF(OR(NOT('Plano de Ação'!$B72&lt;&gt;""),NOT(ISNUMBER('Plano de Ação'!$F72)),NOT(ISNUMBER('Plano de Ação'!$G72)),'Plano de Ação'!$J72="Cancelada"),0,IF(AND('Plano de Ação'!$F72&lt;=EOMONTH(DATE(ano_ref,12,1),0),'Plano de Ação'!$G72&gt;=DATE(ano_ref,12,1)),1,0))</f>
      </c>
    </row>
    <row r="74" spans="1:16" x14ac:dyDescent="0.25">
      <c r="A74" s="40">
        <f>IF('Plano de Ação'!$B73&lt;&gt;"",'Plano de Ação'!A73&amp;"","")</f>
      </c>
      <c r="B74" s="25">
        <f>IF('Plano de Ação'!$B73&lt;&gt;"",'Plano de Ação'!B73,"")</f>
      </c>
      <c r="C74" s="25">
        <f>IF('Plano de Ação'!$B73&lt;&gt;"",'Plano de Ação'!E73&amp;"","")</f>
      </c>
      <c r="D74" s="40">
        <f>IF('Plano de Ação'!$B73&lt;&gt;"",'Plano de Ação'!L73,"")</f>
      </c>
      <c r="E74" s="41">
        <f>IF(OR(NOT('Plano de Ação'!$B73&lt;&gt;""),NOT(ISNUMBER('Plano de Ação'!$F73)),NOT(ISNUMBER('Plano de Ação'!$G73)),'Plano de Ação'!$J73="Cancelada"),0,IF(AND('Plano de Ação'!$F73&lt;=EOMONTH(DATE(ano_ref,1,1),0),'Plano de Ação'!$G73&gt;=DATE(ano_ref,1,1)),1,0))</f>
      </c>
      <c r="F74" s="41">
        <f>IF(OR(NOT('Plano de Ação'!$B73&lt;&gt;""),NOT(ISNUMBER('Plano de Ação'!$F73)),NOT(ISNUMBER('Plano de Ação'!$G73)),'Plano de Ação'!$J73="Cancelada"),0,IF(AND('Plano de Ação'!$F73&lt;=EOMONTH(DATE(ano_ref,2,1),0),'Plano de Ação'!$G73&gt;=DATE(ano_ref,2,1)),1,0))</f>
      </c>
      <c r="G74" s="41">
        <f>IF(OR(NOT('Plano de Ação'!$B73&lt;&gt;""),NOT(ISNUMBER('Plano de Ação'!$F73)),NOT(ISNUMBER('Plano de Ação'!$G73)),'Plano de Ação'!$J73="Cancelada"),0,IF(AND('Plano de Ação'!$F73&lt;=EOMONTH(DATE(ano_ref,3,1),0),'Plano de Ação'!$G73&gt;=DATE(ano_ref,3,1)),1,0))</f>
      </c>
      <c r="H74" s="41">
        <f>IF(OR(NOT('Plano de Ação'!$B73&lt;&gt;""),NOT(ISNUMBER('Plano de Ação'!$F73)),NOT(ISNUMBER('Plano de Ação'!$G73)),'Plano de Ação'!$J73="Cancelada"),0,IF(AND('Plano de Ação'!$F73&lt;=EOMONTH(DATE(ano_ref,4,1),0),'Plano de Ação'!$G73&gt;=DATE(ano_ref,4,1)),1,0))</f>
      </c>
      <c r="I74" s="41">
        <f>IF(OR(NOT('Plano de Ação'!$B73&lt;&gt;""),NOT(ISNUMBER('Plano de Ação'!$F73)),NOT(ISNUMBER('Plano de Ação'!$G73)),'Plano de Ação'!$J73="Cancelada"),0,IF(AND('Plano de Ação'!$F73&lt;=EOMONTH(DATE(ano_ref,5,1),0),'Plano de Ação'!$G73&gt;=DATE(ano_ref,5,1)),1,0))</f>
      </c>
      <c r="J74" s="41">
        <f>IF(OR(NOT('Plano de Ação'!$B73&lt;&gt;""),NOT(ISNUMBER('Plano de Ação'!$F73)),NOT(ISNUMBER('Plano de Ação'!$G73)),'Plano de Ação'!$J73="Cancelada"),0,IF(AND('Plano de Ação'!$F73&lt;=EOMONTH(DATE(ano_ref,6,1),0),'Plano de Ação'!$G73&gt;=DATE(ano_ref,6,1)),1,0))</f>
      </c>
      <c r="K74" s="41">
        <f>IF(OR(NOT('Plano de Ação'!$B73&lt;&gt;""),NOT(ISNUMBER('Plano de Ação'!$F73)),NOT(ISNUMBER('Plano de Ação'!$G73)),'Plano de Ação'!$J73="Cancelada"),0,IF(AND('Plano de Ação'!$F73&lt;=EOMONTH(DATE(ano_ref,7,1),0),'Plano de Ação'!$G73&gt;=DATE(ano_ref,7,1)),1,0))</f>
      </c>
      <c r="L74" s="41">
        <f>IF(OR(NOT('Plano de Ação'!$B73&lt;&gt;""),NOT(ISNUMBER('Plano de Ação'!$F73)),NOT(ISNUMBER('Plano de Ação'!$G73)),'Plano de Ação'!$J73="Cancelada"),0,IF(AND('Plano de Ação'!$F73&lt;=EOMONTH(DATE(ano_ref,8,1),0),'Plano de Ação'!$G73&gt;=DATE(ano_ref,8,1)),1,0))</f>
      </c>
      <c r="M74" s="41">
        <f>IF(OR(NOT('Plano de Ação'!$B73&lt;&gt;""),NOT(ISNUMBER('Plano de Ação'!$F73)),NOT(ISNUMBER('Plano de Ação'!$G73)),'Plano de Ação'!$J73="Cancelada"),0,IF(AND('Plano de Ação'!$F73&lt;=EOMONTH(DATE(ano_ref,9,1),0),'Plano de Ação'!$G73&gt;=DATE(ano_ref,9,1)),1,0))</f>
      </c>
      <c r="N74" s="41">
        <f>IF(OR(NOT('Plano de Ação'!$B73&lt;&gt;""),NOT(ISNUMBER('Plano de Ação'!$F73)),NOT(ISNUMBER('Plano de Ação'!$G73)),'Plano de Ação'!$J73="Cancelada"),0,IF(AND('Plano de Ação'!$F73&lt;=EOMONTH(DATE(ano_ref,10,1),0),'Plano de Ação'!$G73&gt;=DATE(ano_ref,10,1)),1,0))</f>
      </c>
      <c r="O74" s="41">
        <f>IF(OR(NOT('Plano de Ação'!$B73&lt;&gt;""),NOT(ISNUMBER('Plano de Ação'!$F73)),NOT(ISNUMBER('Plano de Ação'!$G73)),'Plano de Ação'!$J73="Cancelada"),0,IF(AND('Plano de Ação'!$F73&lt;=EOMONTH(DATE(ano_ref,11,1),0),'Plano de Ação'!$G73&gt;=DATE(ano_ref,11,1)),1,0))</f>
      </c>
      <c r="P74" s="41">
        <f>IF(OR(NOT('Plano de Ação'!$B73&lt;&gt;""),NOT(ISNUMBER('Plano de Ação'!$F73)),NOT(ISNUMBER('Plano de Ação'!$G73)),'Plano de Ação'!$J73="Cancelada"),0,IF(AND('Plano de Ação'!$F73&lt;=EOMONTH(DATE(ano_ref,12,1),0),'Plano de Ação'!$G73&gt;=DATE(ano_ref,12,1)),1,0))</f>
      </c>
    </row>
    <row r="75" spans="1:16" x14ac:dyDescent="0.25">
      <c r="A75" s="40">
        <f>IF('Plano de Ação'!$B74&lt;&gt;"",'Plano de Ação'!A74&amp;"","")</f>
      </c>
      <c r="B75" s="25">
        <f>IF('Plano de Ação'!$B74&lt;&gt;"",'Plano de Ação'!B74,"")</f>
      </c>
      <c r="C75" s="25">
        <f>IF('Plano de Ação'!$B74&lt;&gt;"",'Plano de Ação'!E74&amp;"","")</f>
      </c>
      <c r="D75" s="40">
        <f>IF('Plano de Ação'!$B74&lt;&gt;"",'Plano de Ação'!L74,"")</f>
      </c>
      <c r="E75" s="41">
        <f>IF(OR(NOT('Plano de Ação'!$B74&lt;&gt;""),NOT(ISNUMBER('Plano de Ação'!$F74)),NOT(ISNUMBER('Plano de Ação'!$G74)),'Plano de Ação'!$J74="Cancelada"),0,IF(AND('Plano de Ação'!$F74&lt;=EOMONTH(DATE(ano_ref,1,1),0),'Plano de Ação'!$G74&gt;=DATE(ano_ref,1,1)),1,0))</f>
      </c>
      <c r="F75" s="41">
        <f>IF(OR(NOT('Plano de Ação'!$B74&lt;&gt;""),NOT(ISNUMBER('Plano de Ação'!$F74)),NOT(ISNUMBER('Plano de Ação'!$G74)),'Plano de Ação'!$J74="Cancelada"),0,IF(AND('Plano de Ação'!$F74&lt;=EOMONTH(DATE(ano_ref,2,1),0),'Plano de Ação'!$G74&gt;=DATE(ano_ref,2,1)),1,0))</f>
      </c>
      <c r="G75" s="41">
        <f>IF(OR(NOT('Plano de Ação'!$B74&lt;&gt;""),NOT(ISNUMBER('Plano de Ação'!$F74)),NOT(ISNUMBER('Plano de Ação'!$G74)),'Plano de Ação'!$J74="Cancelada"),0,IF(AND('Plano de Ação'!$F74&lt;=EOMONTH(DATE(ano_ref,3,1),0),'Plano de Ação'!$G74&gt;=DATE(ano_ref,3,1)),1,0))</f>
      </c>
      <c r="H75" s="41">
        <f>IF(OR(NOT('Plano de Ação'!$B74&lt;&gt;""),NOT(ISNUMBER('Plano de Ação'!$F74)),NOT(ISNUMBER('Plano de Ação'!$G74)),'Plano de Ação'!$J74="Cancelada"),0,IF(AND('Plano de Ação'!$F74&lt;=EOMONTH(DATE(ano_ref,4,1),0),'Plano de Ação'!$G74&gt;=DATE(ano_ref,4,1)),1,0))</f>
      </c>
      <c r="I75" s="41">
        <f>IF(OR(NOT('Plano de Ação'!$B74&lt;&gt;""),NOT(ISNUMBER('Plano de Ação'!$F74)),NOT(ISNUMBER('Plano de Ação'!$G74)),'Plano de Ação'!$J74="Cancelada"),0,IF(AND('Plano de Ação'!$F74&lt;=EOMONTH(DATE(ano_ref,5,1),0),'Plano de Ação'!$G74&gt;=DATE(ano_ref,5,1)),1,0))</f>
      </c>
      <c r="J75" s="41">
        <f>IF(OR(NOT('Plano de Ação'!$B74&lt;&gt;""),NOT(ISNUMBER('Plano de Ação'!$F74)),NOT(ISNUMBER('Plano de Ação'!$G74)),'Plano de Ação'!$J74="Cancelada"),0,IF(AND('Plano de Ação'!$F74&lt;=EOMONTH(DATE(ano_ref,6,1),0),'Plano de Ação'!$G74&gt;=DATE(ano_ref,6,1)),1,0))</f>
      </c>
      <c r="K75" s="41">
        <f>IF(OR(NOT('Plano de Ação'!$B74&lt;&gt;""),NOT(ISNUMBER('Plano de Ação'!$F74)),NOT(ISNUMBER('Plano de Ação'!$G74)),'Plano de Ação'!$J74="Cancelada"),0,IF(AND('Plano de Ação'!$F74&lt;=EOMONTH(DATE(ano_ref,7,1),0),'Plano de Ação'!$G74&gt;=DATE(ano_ref,7,1)),1,0))</f>
      </c>
      <c r="L75" s="41">
        <f>IF(OR(NOT('Plano de Ação'!$B74&lt;&gt;""),NOT(ISNUMBER('Plano de Ação'!$F74)),NOT(ISNUMBER('Plano de Ação'!$G74)),'Plano de Ação'!$J74="Cancelada"),0,IF(AND('Plano de Ação'!$F74&lt;=EOMONTH(DATE(ano_ref,8,1),0),'Plano de Ação'!$G74&gt;=DATE(ano_ref,8,1)),1,0))</f>
      </c>
      <c r="M75" s="41">
        <f>IF(OR(NOT('Plano de Ação'!$B74&lt;&gt;""),NOT(ISNUMBER('Plano de Ação'!$F74)),NOT(ISNUMBER('Plano de Ação'!$G74)),'Plano de Ação'!$J74="Cancelada"),0,IF(AND('Plano de Ação'!$F74&lt;=EOMONTH(DATE(ano_ref,9,1),0),'Plano de Ação'!$G74&gt;=DATE(ano_ref,9,1)),1,0))</f>
      </c>
      <c r="N75" s="41">
        <f>IF(OR(NOT('Plano de Ação'!$B74&lt;&gt;""),NOT(ISNUMBER('Plano de Ação'!$F74)),NOT(ISNUMBER('Plano de Ação'!$G74)),'Plano de Ação'!$J74="Cancelada"),0,IF(AND('Plano de Ação'!$F74&lt;=EOMONTH(DATE(ano_ref,10,1),0),'Plano de Ação'!$G74&gt;=DATE(ano_ref,10,1)),1,0))</f>
      </c>
      <c r="O75" s="41">
        <f>IF(OR(NOT('Plano de Ação'!$B74&lt;&gt;""),NOT(ISNUMBER('Plano de Ação'!$F74)),NOT(ISNUMBER('Plano de Ação'!$G74)),'Plano de Ação'!$J74="Cancelada"),0,IF(AND('Plano de Ação'!$F74&lt;=EOMONTH(DATE(ano_ref,11,1),0),'Plano de Ação'!$G74&gt;=DATE(ano_ref,11,1)),1,0))</f>
      </c>
      <c r="P75" s="41">
        <f>IF(OR(NOT('Plano de Ação'!$B74&lt;&gt;""),NOT(ISNUMBER('Plano de Ação'!$F74)),NOT(ISNUMBER('Plano de Ação'!$G74)),'Plano de Ação'!$J74="Cancelada"),0,IF(AND('Plano de Ação'!$F74&lt;=EOMONTH(DATE(ano_ref,12,1),0),'Plano de Ação'!$G74&gt;=DATE(ano_ref,12,1)),1,0))</f>
      </c>
    </row>
    <row r="76" spans="1:16" x14ac:dyDescent="0.25">
      <c r="A76" s="40">
        <f>IF('Plano de Ação'!$B75&lt;&gt;"",'Plano de Ação'!A75&amp;"","")</f>
      </c>
      <c r="B76" s="25">
        <f>IF('Plano de Ação'!$B75&lt;&gt;"",'Plano de Ação'!B75,"")</f>
      </c>
      <c r="C76" s="25">
        <f>IF('Plano de Ação'!$B75&lt;&gt;"",'Plano de Ação'!E75&amp;"","")</f>
      </c>
      <c r="D76" s="40">
        <f>IF('Plano de Ação'!$B75&lt;&gt;"",'Plano de Ação'!L75,"")</f>
      </c>
      <c r="E76" s="41">
        <f>IF(OR(NOT('Plano de Ação'!$B75&lt;&gt;""),NOT(ISNUMBER('Plano de Ação'!$F75)),NOT(ISNUMBER('Plano de Ação'!$G75)),'Plano de Ação'!$J75="Cancelada"),0,IF(AND('Plano de Ação'!$F75&lt;=EOMONTH(DATE(ano_ref,1,1),0),'Plano de Ação'!$G75&gt;=DATE(ano_ref,1,1)),1,0))</f>
      </c>
      <c r="F76" s="41">
        <f>IF(OR(NOT('Plano de Ação'!$B75&lt;&gt;""),NOT(ISNUMBER('Plano de Ação'!$F75)),NOT(ISNUMBER('Plano de Ação'!$G75)),'Plano de Ação'!$J75="Cancelada"),0,IF(AND('Plano de Ação'!$F75&lt;=EOMONTH(DATE(ano_ref,2,1),0),'Plano de Ação'!$G75&gt;=DATE(ano_ref,2,1)),1,0))</f>
      </c>
      <c r="G76" s="41">
        <f>IF(OR(NOT('Plano de Ação'!$B75&lt;&gt;""),NOT(ISNUMBER('Plano de Ação'!$F75)),NOT(ISNUMBER('Plano de Ação'!$G75)),'Plano de Ação'!$J75="Cancelada"),0,IF(AND('Plano de Ação'!$F75&lt;=EOMONTH(DATE(ano_ref,3,1),0),'Plano de Ação'!$G75&gt;=DATE(ano_ref,3,1)),1,0))</f>
      </c>
      <c r="H76" s="41">
        <f>IF(OR(NOT('Plano de Ação'!$B75&lt;&gt;""),NOT(ISNUMBER('Plano de Ação'!$F75)),NOT(ISNUMBER('Plano de Ação'!$G75)),'Plano de Ação'!$J75="Cancelada"),0,IF(AND('Plano de Ação'!$F75&lt;=EOMONTH(DATE(ano_ref,4,1),0),'Plano de Ação'!$G75&gt;=DATE(ano_ref,4,1)),1,0))</f>
      </c>
      <c r="I76" s="41">
        <f>IF(OR(NOT('Plano de Ação'!$B75&lt;&gt;""),NOT(ISNUMBER('Plano de Ação'!$F75)),NOT(ISNUMBER('Plano de Ação'!$G75)),'Plano de Ação'!$J75="Cancelada"),0,IF(AND('Plano de Ação'!$F75&lt;=EOMONTH(DATE(ano_ref,5,1),0),'Plano de Ação'!$G75&gt;=DATE(ano_ref,5,1)),1,0))</f>
      </c>
      <c r="J76" s="41">
        <f>IF(OR(NOT('Plano de Ação'!$B75&lt;&gt;""),NOT(ISNUMBER('Plano de Ação'!$F75)),NOT(ISNUMBER('Plano de Ação'!$G75)),'Plano de Ação'!$J75="Cancelada"),0,IF(AND('Plano de Ação'!$F75&lt;=EOMONTH(DATE(ano_ref,6,1),0),'Plano de Ação'!$G75&gt;=DATE(ano_ref,6,1)),1,0))</f>
      </c>
      <c r="K76" s="41">
        <f>IF(OR(NOT('Plano de Ação'!$B75&lt;&gt;""),NOT(ISNUMBER('Plano de Ação'!$F75)),NOT(ISNUMBER('Plano de Ação'!$G75)),'Plano de Ação'!$J75="Cancelada"),0,IF(AND('Plano de Ação'!$F75&lt;=EOMONTH(DATE(ano_ref,7,1),0),'Plano de Ação'!$G75&gt;=DATE(ano_ref,7,1)),1,0))</f>
      </c>
      <c r="L76" s="41">
        <f>IF(OR(NOT('Plano de Ação'!$B75&lt;&gt;""),NOT(ISNUMBER('Plano de Ação'!$F75)),NOT(ISNUMBER('Plano de Ação'!$G75)),'Plano de Ação'!$J75="Cancelada"),0,IF(AND('Plano de Ação'!$F75&lt;=EOMONTH(DATE(ano_ref,8,1),0),'Plano de Ação'!$G75&gt;=DATE(ano_ref,8,1)),1,0))</f>
      </c>
      <c r="M76" s="41">
        <f>IF(OR(NOT('Plano de Ação'!$B75&lt;&gt;""),NOT(ISNUMBER('Plano de Ação'!$F75)),NOT(ISNUMBER('Plano de Ação'!$G75)),'Plano de Ação'!$J75="Cancelada"),0,IF(AND('Plano de Ação'!$F75&lt;=EOMONTH(DATE(ano_ref,9,1),0),'Plano de Ação'!$G75&gt;=DATE(ano_ref,9,1)),1,0))</f>
      </c>
      <c r="N76" s="41">
        <f>IF(OR(NOT('Plano de Ação'!$B75&lt;&gt;""),NOT(ISNUMBER('Plano de Ação'!$F75)),NOT(ISNUMBER('Plano de Ação'!$G75)),'Plano de Ação'!$J75="Cancelada"),0,IF(AND('Plano de Ação'!$F75&lt;=EOMONTH(DATE(ano_ref,10,1),0),'Plano de Ação'!$G75&gt;=DATE(ano_ref,10,1)),1,0))</f>
      </c>
      <c r="O76" s="41">
        <f>IF(OR(NOT('Plano de Ação'!$B75&lt;&gt;""),NOT(ISNUMBER('Plano de Ação'!$F75)),NOT(ISNUMBER('Plano de Ação'!$G75)),'Plano de Ação'!$J75="Cancelada"),0,IF(AND('Plano de Ação'!$F75&lt;=EOMONTH(DATE(ano_ref,11,1),0),'Plano de Ação'!$G75&gt;=DATE(ano_ref,11,1)),1,0))</f>
      </c>
      <c r="P76" s="41">
        <f>IF(OR(NOT('Plano de Ação'!$B75&lt;&gt;""),NOT(ISNUMBER('Plano de Ação'!$F75)),NOT(ISNUMBER('Plano de Ação'!$G75)),'Plano de Ação'!$J75="Cancelada"),0,IF(AND('Plano de Ação'!$F75&lt;=EOMONTH(DATE(ano_ref,12,1),0),'Plano de Ação'!$G75&gt;=DATE(ano_ref,12,1)),1,0))</f>
      </c>
    </row>
    <row r="77" spans="1:16" x14ac:dyDescent="0.25">
      <c r="A77" s="40">
        <f>IF('Plano de Ação'!$B76&lt;&gt;"",'Plano de Ação'!A76&amp;"","")</f>
      </c>
      <c r="B77" s="25">
        <f>IF('Plano de Ação'!$B76&lt;&gt;"",'Plano de Ação'!B76,"")</f>
      </c>
      <c r="C77" s="25">
        <f>IF('Plano de Ação'!$B76&lt;&gt;"",'Plano de Ação'!E76&amp;"","")</f>
      </c>
      <c r="D77" s="40">
        <f>IF('Plano de Ação'!$B76&lt;&gt;"",'Plano de Ação'!L76,"")</f>
      </c>
      <c r="E77" s="41">
        <f>IF(OR(NOT('Plano de Ação'!$B76&lt;&gt;""),NOT(ISNUMBER('Plano de Ação'!$F76)),NOT(ISNUMBER('Plano de Ação'!$G76)),'Plano de Ação'!$J76="Cancelada"),0,IF(AND('Plano de Ação'!$F76&lt;=EOMONTH(DATE(ano_ref,1,1),0),'Plano de Ação'!$G76&gt;=DATE(ano_ref,1,1)),1,0))</f>
      </c>
      <c r="F77" s="41">
        <f>IF(OR(NOT('Plano de Ação'!$B76&lt;&gt;""),NOT(ISNUMBER('Plano de Ação'!$F76)),NOT(ISNUMBER('Plano de Ação'!$G76)),'Plano de Ação'!$J76="Cancelada"),0,IF(AND('Plano de Ação'!$F76&lt;=EOMONTH(DATE(ano_ref,2,1),0),'Plano de Ação'!$G76&gt;=DATE(ano_ref,2,1)),1,0))</f>
      </c>
      <c r="G77" s="41">
        <f>IF(OR(NOT('Plano de Ação'!$B76&lt;&gt;""),NOT(ISNUMBER('Plano de Ação'!$F76)),NOT(ISNUMBER('Plano de Ação'!$G76)),'Plano de Ação'!$J76="Cancelada"),0,IF(AND('Plano de Ação'!$F76&lt;=EOMONTH(DATE(ano_ref,3,1),0),'Plano de Ação'!$G76&gt;=DATE(ano_ref,3,1)),1,0))</f>
      </c>
      <c r="H77" s="41">
        <f>IF(OR(NOT('Plano de Ação'!$B76&lt;&gt;""),NOT(ISNUMBER('Plano de Ação'!$F76)),NOT(ISNUMBER('Plano de Ação'!$G76)),'Plano de Ação'!$J76="Cancelada"),0,IF(AND('Plano de Ação'!$F76&lt;=EOMONTH(DATE(ano_ref,4,1),0),'Plano de Ação'!$G76&gt;=DATE(ano_ref,4,1)),1,0))</f>
      </c>
      <c r="I77" s="41">
        <f>IF(OR(NOT('Plano de Ação'!$B76&lt;&gt;""),NOT(ISNUMBER('Plano de Ação'!$F76)),NOT(ISNUMBER('Plano de Ação'!$G76)),'Plano de Ação'!$J76="Cancelada"),0,IF(AND('Plano de Ação'!$F76&lt;=EOMONTH(DATE(ano_ref,5,1),0),'Plano de Ação'!$G76&gt;=DATE(ano_ref,5,1)),1,0))</f>
      </c>
      <c r="J77" s="41">
        <f>IF(OR(NOT('Plano de Ação'!$B76&lt;&gt;""),NOT(ISNUMBER('Plano de Ação'!$F76)),NOT(ISNUMBER('Plano de Ação'!$G76)),'Plano de Ação'!$J76="Cancelada"),0,IF(AND('Plano de Ação'!$F76&lt;=EOMONTH(DATE(ano_ref,6,1),0),'Plano de Ação'!$G76&gt;=DATE(ano_ref,6,1)),1,0))</f>
      </c>
      <c r="K77" s="41">
        <f>IF(OR(NOT('Plano de Ação'!$B76&lt;&gt;""),NOT(ISNUMBER('Plano de Ação'!$F76)),NOT(ISNUMBER('Plano de Ação'!$G76)),'Plano de Ação'!$J76="Cancelada"),0,IF(AND('Plano de Ação'!$F76&lt;=EOMONTH(DATE(ano_ref,7,1),0),'Plano de Ação'!$G76&gt;=DATE(ano_ref,7,1)),1,0))</f>
      </c>
      <c r="L77" s="41">
        <f>IF(OR(NOT('Plano de Ação'!$B76&lt;&gt;""),NOT(ISNUMBER('Plano de Ação'!$F76)),NOT(ISNUMBER('Plano de Ação'!$G76)),'Plano de Ação'!$J76="Cancelada"),0,IF(AND('Plano de Ação'!$F76&lt;=EOMONTH(DATE(ano_ref,8,1),0),'Plano de Ação'!$G76&gt;=DATE(ano_ref,8,1)),1,0))</f>
      </c>
      <c r="M77" s="41">
        <f>IF(OR(NOT('Plano de Ação'!$B76&lt;&gt;""),NOT(ISNUMBER('Plano de Ação'!$F76)),NOT(ISNUMBER('Plano de Ação'!$G76)),'Plano de Ação'!$J76="Cancelada"),0,IF(AND('Plano de Ação'!$F76&lt;=EOMONTH(DATE(ano_ref,9,1),0),'Plano de Ação'!$G76&gt;=DATE(ano_ref,9,1)),1,0))</f>
      </c>
      <c r="N77" s="41">
        <f>IF(OR(NOT('Plano de Ação'!$B76&lt;&gt;""),NOT(ISNUMBER('Plano de Ação'!$F76)),NOT(ISNUMBER('Plano de Ação'!$G76)),'Plano de Ação'!$J76="Cancelada"),0,IF(AND('Plano de Ação'!$F76&lt;=EOMONTH(DATE(ano_ref,10,1),0),'Plano de Ação'!$G76&gt;=DATE(ano_ref,10,1)),1,0))</f>
      </c>
      <c r="O77" s="41">
        <f>IF(OR(NOT('Plano de Ação'!$B76&lt;&gt;""),NOT(ISNUMBER('Plano de Ação'!$F76)),NOT(ISNUMBER('Plano de Ação'!$G76)),'Plano de Ação'!$J76="Cancelada"),0,IF(AND('Plano de Ação'!$F76&lt;=EOMONTH(DATE(ano_ref,11,1),0),'Plano de Ação'!$G76&gt;=DATE(ano_ref,11,1)),1,0))</f>
      </c>
      <c r="P77" s="41">
        <f>IF(OR(NOT('Plano de Ação'!$B76&lt;&gt;""),NOT(ISNUMBER('Plano de Ação'!$F76)),NOT(ISNUMBER('Plano de Ação'!$G76)),'Plano de Ação'!$J76="Cancelada"),0,IF(AND('Plano de Ação'!$F76&lt;=EOMONTH(DATE(ano_ref,12,1),0),'Plano de Ação'!$G76&gt;=DATE(ano_ref,12,1)),1,0))</f>
      </c>
    </row>
    <row r="78" spans="1:16" x14ac:dyDescent="0.25">
      <c r="A78" s="40">
        <f>IF('Plano de Ação'!$B77&lt;&gt;"",'Plano de Ação'!A77&amp;"","")</f>
      </c>
      <c r="B78" s="25">
        <f>IF('Plano de Ação'!$B77&lt;&gt;"",'Plano de Ação'!B77,"")</f>
      </c>
      <c r="C78" s="25">
        <f>IF('Plano de Ação'!$B77&lt;&gt;"",'Plano de Ação'!E77&amp;"","")</f>
      </c>
      <c r="D78" s="40">
        <f>IF('Plano de Ação'!$B77&lt;&gt;"",'Plano de Ação'!L77,"")</f>
      </c>
      <c r="E78" s="41">
        <f>IF(OR(NOT('Plano de Ação'!$B77&lt;&gt;""),NOT(ISNUMBER('Plano de Ação'!$F77)),NOT(ISNUMBER('Plano de Ação'!$G77)),'Plano de Ação'!$J77="Cancelada"),0,IF(AND('Plano de Ação'!$F77&lt;=EOMONTH(DATE(ano_ref,1,1),0),'Plano de Ação'!$G77&gt;=DATE(ano_ref,1,1)),1,0))</f>
      </c>
      <c r="F78" s="41">
        <f>IF(OR(NOT('Plano de Ação'!$B77&lt;&gt;""),NOT(ISNUMBER('Plano de Ação'!$F77)),NOT(ISNUMBER('Plano de Ação'!$G77)),'Plano de Ação'!$J77="Cancelada"),0,IF(AND('Plano de Ação'!$F77&lt;=EOMONTH(DATE(ano_ref,2,1),0),'Plano de Ação'!$G77&gt;=DATE(ano_ref,2,1)),1,0))</f>
      </c>
      <c r="G78" s="41">
        <f>IF(OR(NOT('Plano de Ação'!$B77&lt;&gt;""),NOT(ISNUMBER('Plano de Ação'!$F77)),NOT(ISNUMBER('Plano de Ação'!$G77)),'Plano de Ação'!$J77="Cancelada"),0,IF(AND('Plano de Ação'!$F77&lt;=EOMONTH(DATE(ano_ref,3,1),0),'Plano de Ação'!$G77&gt;=DATE(ano_ref,3,1)),1,0))</f>
      </c>
      <c r="H78" s="41">
        <f>IF(OR(NOT('Plano de Ação'!$B77&lt;&gt;""),NOT(ISNUMBER('Plano de Ação'!$F77)),NOT(ISNUMBER('Plano de Ação'!$G77)),'Plano de Ação'!$J77="Cancelada"),0,IF(AND('Plano de Ação'!$F77&lt;=EOMONTH(DATE(ano_ref,4,1),0),'Plano de Ação'!$G77&gt;=DATE(ano_ref,4,1)),1,0))</f>
      </c>
      <c r="I78" s="41">
        <f>IF(OR(NOT('Plano de Ação'!$B77&lt;&gt;""),NOT(ISNUMBER('Plano de Ação'!$F77)),NOT(ISNUMBER('Plano de Ação'!$G77)),'Plano de Ação'!$J77="Cancelada"),0,IF(AND('Plano de Ação'!$F77&lt;=EOMONTH(DATE(ano_ref,5,1),0),'Plano de Ação'!$G77&gt;=DATE(ano_ref,5,1)),1,0))</f>
      </c>
      <c r="J78" s="41">
        <f>IF(OR(NOT('Plano de Ação'!$B77&lt;&gt;""),NOT(ISNUMBER('Plano de Ação'!$F77)),NOT(ISNUMBER('Plano de Ação'!$G77)),'Plano de Ação'!$J77="Cancelada"),0,IF(AND('Plano de Ação'!$F77&lt;=EOMONTH(DATE(ano_ref,6,1),0),'Plano de Ação'!$G77&gt;=DATE(ano_ref,6,1)),1,0))</f>
      </c>
      <c r="K78" s="41">
        <f>IF(OR(NOT('Plano de Ação'!$B77&lt;&gt;""),NOT(ISNUMBER('Plano de Ação'!$F77)),NOT(ISNUMBER('Plano de Ação'!$G77)),'Plano de Ação'!$J77="Cancelada"),0,IF(AND('Plano de Ação'!$F77&lt;=EOMONTH(DATE(ano_ref,7,1),0),'Plano de Ação'!$G77&gt;=DATE(ano_ref,7,1)),1,0))</f>
      </c>
      <c r="L78" s="41">
        <f>IF(OR(NOT('Plano de Ação'!$B77&lt;&gt;""),NOT(ISNUMBER('Plano de Ação'!$F77)),NOT(ISNUMBER('Plano de Ação'!$G77)),'Plano de Ação'!$J77="Cancelada"),0,IF(AND('Plano de Ação'!$F77&lt;=EOMONTH(DATE(ano_ref,8,1),0),'Plano de Ação'!$G77&gt;=DATE(ano_ref,8,1)),1,0))</f>
      </c>
      <c r="M78" s="41">
        <f>IF(OR(NOT('Plano de Ação'!$B77&lt;&gt;""),NOT(ISNUMBER('Plano de Ação'!$F77)),NOT(ISNUMBER('Plano de Ação'!$G77)),'Plano de Ação'!$J77="Cancelada"),0,IF(AND('Plano de Ação'!$F77&lt;=EOMONTH(DATE(ano_ref,9,1),0),'Plano de Ação'!$G77&gt;=DATE(ano_ref,9,1)),1,0))</f>
      </c>
      <c r="N78" s="41">
        <f>IF(OR(NOT('Plano de Ação'!$B77&lt;&gt;""),NOT(ISNUMBER('Plano de Ação'!$F77)),NOT(ISNUMBER('Plano de Ação'!$G77)),'Plano de Ação'!$J77="Cancelada"),0,IF(AND('Plano de Ação'!$F77&lt;=EOMONTH(DATE(ano_ref,10,1),0),'Plano de Ação'!$G77&gt;=DATE(ano_ref,10,1)),1,0))</f>
      </c>
      <c r="O78" s="41">
        <f>IF(OR(NOT('Plano de Ação'!$B77&lt;&gt;""),NOT(ISNUMBER('Plano de Ação'!$F77)),NOT(ISNUMBER('Plano de Ação'!$G77)),'Plano de Ação'!$J77="Cancelada"),0,IF(AND('Plano de Ação'!$F77&lt;=EOMONTH(DATE(ano_ref,11,1),0),'Plano de Ação'!$G77&gt;=DATE(ano_ref,11,1)),1,0))</f>
      </c>
      <c r="P78" s="41">
        <f>IF(OR(NOT('Plano de Ação'!$B77&lt;&gt;""),NOT(ISNUMBER('Plano de Ação'!$F77)),NOT(ISNUMBER('Plano de Ação'!$G77)),'Plano de Ação'!$J77="Cancelada"),0,IF(AND('Plano de Ação'!$F77&lt;=EOMONTH(DATE(ano_ref,12,1),0),'Plano de Ação'!$G77&gt;=DATE(ano_ref,12,1)),1,0))</f>
      </c>
    </row>
    <row r="79" spans="1:16" x14ac:dyDescent="0.25">
      <c r="A79" s="40">
        <f>IF('Plano de Ação'!$B78&lt;&gt;"",'Plano de Ação'!A78&amp;"","")</f>
      </c>
      <c r="B79" s="25">
        <f>IF('Plano de Ação'!$B78&lt;&gt;"",'Plano de Ação'!B78,"")</f>
      </c>
      <c r="C79" s="25">
        <f>IF('Plano de Ação'!$B78&lt;&gt;"",'Plano de Ação'!E78&amp;"","")</f>
      </c>
      <c r="D79" s="40">
        <f>IF('Plano de Ação'!$B78&lt;&gt;"",'Plano de Ação'!L78,"")</f>
      </c>
      <c r="E79" s="41">
        <f>IF(OR(NOT('Plano de Ação'!$B78&lt;&gt;""),NOT(ISNUMBER('Plano de Ação'!$F78)),NOT(ISNUMBER('Plano de Ação'!$G78)),'Plano de Ação'!$J78="Cancelada"),0,IF(AND('Plano de Ação'!$F78&lt;=EOMONTH(DATE(ano_ref,1,1),0),'Plano de Ação'!$G78&gt;=DATE(ano_ref,1,1)),1,0))</f>
      </c>
      <c r="F79" s="41">
        <f>IF(OR(NOT('Plano de Ação'!$B78&lt;&gt;""),NOT(ISNUMBER('Plano de Ação'!$F78)),NOT(ISNUMBER('Plano de Ação'!$G78)),'Plano de Ação'!$J78="Cancelada"),0,IF(AND('Plano de Ação'!$F78&lt;=EOMONTH(DATE(ano_ref,2,1),0),'Plano de Ação'!$G78&gt;=DATE(ano_ref,2,1)),1,0))</f>
      </c>
      <c r="G79" s="41">
        <f>IF(OR(NOT('Plano de Ação'!$B78&lt;&gt;""),NOT(ISNUMBER('Plano de Ação'!$F78)),NOT(ISNUMBER('Plano de Ação'!$G78)),'Plano de Ação'!$J78="Cancelada"),0,IF(AND('Plano de Ação'!$F78&lt;=EOMONTH(DATE(ano_ref,3,1),0),'Plano de Ação'!$G78&gt;=DATE(ano_ref,3,1)),1,0))</f>
      </c>
      <c r="H79" s="41">
        <f>IF(OR(NOT('Plano de Ação'!$B78&lt;&gt;""),NOT(ISNUMBER('Plano de Ação'!$F78)),NOT(ISNUMBER('Plano de Ação'!$G78)),'Plano de Ação'!$J78="Cancelada"),0,IF(AND('Plano de Ação'!$F78&lt;=EOMONTH(DATE(ano_ref,4,1),0),'Plano de Ação'!$G78&gt;=DATE(ano_ref,4,1)),1,0))</f>
      </c>
      <c r="I79" s="41">
        <f>IF(OR(NOT('Plano de Ação'!$B78&lt;&gt;""),NOT(ISNUMBER('Plano de Ação'!$F78)),NOT(ISNUMBER('Plano de Ação'!$G78)),'Plano de Ação'!$J78="Cancelada"),0,IF(AND('Plano de Ação'!$F78&lt;=EOMONTH(DATE(ano_ref,5,1),0),'Plano de Ação'!$G78&gt;=DATE(ano_ref,5,1)),1,0))</f>
      </c>
      <c r="J79" s="41">
        <f>IF(OR(NOT('Plano de Ação'!$B78&lt;&gt;""),NOT(ISNUMBER('Plano de Ação'!$F78)),NOT(ISNUMBER('Plano de Ação'!$G78)),'Plano de Ação'!$J78="Cancelada"),0,IF(AND('Plano de Ação'!$F78&lt;=EOMONTH(DATE(ano_ref,6,1),0),'Plano de Ação'!$G78&gt;=DATE(ano_ref,6,1)),1,0))</f>
      </c>
      <c r="K79" s="41">
        <f>IF(OR(NOT('Plano de Ação'!$B78&lt;&gt;""),NOT(ISNUMBER('Plano de Ação'!$F78)),NOT(ISNUMBER('Plano de Ação'!$G78)),'Plano de Ação'!$J78="Cancelada"),0,IF(AND('Plano de Ação'!$F78&lt;=EOMONTH(DATE(ano_ref,7,1),0),'Plano de Ação'!$G78&gt;=DATE(ano_ref,7,1)),1,0))</f>
      </c>
      <c r="L79" s="41">
        <f>IF(OR(NOT('Plano de Ação'!$B78&lt;&gt;""),NOT(ISNUMBER('Plano de Ação'!$F78)),NOT(ISNUMBER('Plano de Ação'!$G78)),'Plano de Ação'!$J78="Cancelada"),0,IF(AND('Plano de Ação'!$F78&lt;=EOMONTH(DATE(ano_ref,8,1),0),'Plano de Ação'!$G78&gt;=DATE(ano_ref,8,1)),1,0))</f>
      </c>
      <c r="M79" s="41">
        <f>IF(OR(NOT('Plano de Ação'!$B78&lt;&gt;""),NOT(ISNUMBER('Plano de Ação'!$F78)),NOT(ISNUMBER('Plano de Ação'!$G78)),'Plano de Ação'!$J78="Cancelada"),0,IF(AND('Plano de Ação'!$F78&lt;=EOMONTH(DATE(ano_ref,9,1),0),'Plano de Ação'!$G78&gt;=DATE(ano_ref,9,1)),1,0))</f>
      </c>
      <c r="N79" s="41">
        <f>IF(OR(NOT('Plano de Ação'!$B78&lt;&gt;""),NOT(ISNUMBER('Plano de Ação'!$F78)),NOT(ISNUMBER('Plano de Ação'!$G78)),'Plano de Ação'!$J78="Cancelada"),0,IF(AND('Plano de Ação'!$F78&lt;=EOMONTH(DATE(ano_ref,10,1),0),'Plano de Ação'!$G78&gt;=DATE(ano_ref,10,1)),1,0))</f>
      </c>
      <c r="O79" s="41">
        <f>IF(OR(NOT('Plano de Ação'!$B78&lt;&gt;""),NOT(ISNUMBER('Plano de Ação'!$F78)),NOT(ISNUMBER('Plano de Ação'!$G78)),'Plano de Ação'!$J78="Cancelada"),0,IF(AND('Plano de Ação'!$F78&lt;=EOMONTH(DATE(ano_ref,11,1),0),'Plano de Ação'!$G78&gt;=DATE(ano_ref,11,1)),1,0))</f>
      </c>
      <c r="P79" s="41">
        <f>IF(OR(NOT('Plano de Ação'!$B78&lt;&gt;""),NOT(ISNUMBER('Plano de Ação'!$F78)),NOT(ISNUMBER('Plano de Ação'!$G78)),'Plano de Ação'!$J78="Cancelada"),0,IF(AND('Plano de Ação'!$F78&lt;=EOMONTH(DATE(ano_ref,12,1),0),'Plano de Ação'!$G78&gt;=DATE(ano_ref,12,1)),1,0))</f>
      </c>
    </row>
    <row r="80" spans="1:16" x14ac:dyDescent="0.25">
      <c r="A80" s="40">
        <f>IF('Plano de Ação'!$B79&lt;&gt;"",'Plano de Ação'!A79&amp;"","")</f>
      </c>
      <c r="B80" s="25">
        <f>IF('Plano de Ação'!$B79&lt;&gt;"",'Plano de Ação'!B79,"")</f>
      </c>
      <c r="C80" s="25">
        <f>IF('Plano de Ação'!$B79&lt;&gt;"",'Plano de Ação'!E79&amp;"","")</f>
      </c>
      <c r="D80" s="40">
        <f>IF('Plano de Ação'!$B79&lt;&gt;"",'Plano de Ação'!L79,"")</f>
      </c>
      <c r="E80" s="41">
        <f>IF(OR(NOT('Plano de Ação'!$B79&lt;&gt;""),NOT(ISNUMBER('Plano de Ação'!$F79)),NOT(ISNUMBER('Plano de Ação'!$G79)),'Plano de Ação'!$J79="Cancelada"),0,IF(AND('Plano de Ação'!$F79&lt;=EOMONTH(DATE(ano_ref,1,1),0),'Plano de Ação'!$G79&gt;=DATE(ano_ref,1,1)),1,0))</f>
      </c>
      <c r="F80" s="41">
        <f>IF(OR(NOT('Plano de Ação'!$B79&lt;&gt;""),NOT(ISNUMBER('Plano de Ação'!$F79)),NOT(ISNUMBER('Plano de Ação'!$G79)),'Plano de Ação'!$J79="Cancelada"),0,IF(AND('Plano de Ação'!$F79&lt;=EOMONTH(DATE(ano_ref,2,1),0),'Plano de Ação'!$G79&gt;=DATE(ano_ref,2,1)),1,0))</f>
      </c>
      <c r="G80" s="41">
        <f>IF(OR(NOT('Plano de Ação'!$B79&lt;&gt;""),NOT(ISNUMBER('Plano de Ação'!$F79)),NOT(ISNUMBER('Plano de Ação'!$G79)),'Plano de Ação'!$J79="Cancelada"),0,IF(AND('Plano de Ação'!$F79&lt;=EOMONTH(DATE(ano_ref,3,1),0),'Plano de Ação'!$G79&gt;=DATE(ano_ref,3,1)),1,0))</f>
      </c>
      <c r="H80" s="41">
        <f>IF(OR(NOT('Plano de Ação'!$B79&lt;&gt;""),NOT(ISNUMBER('Plano de Ação'!$F79)),NOT(ISNUMBER('Plano de Ação'!$G79)),'Plano de Ação'!$J79="Cancelada"),0,IF(AND('Plano de Ação'!$F79&lt;=EOMONTH(DATE(ano_ref,4,1),0),'Plano de Ação'!$G79&gt;=DATE(ano_ref,4,1)),1,0))</f>
      </c>
      <c r="I80" s="41">
        <f>IF(OR(NOT('Plano de Ação'!$B79&lt;&gt;""),NOT(ISNUMBER('Plano de Ação'!$F79)),NOT(ISNUMBER('Plano de Ação'!$G79)),'Plano de Ação'!$J79="Cancelada"),0,IF(AND('Plano de Ação'!$F79&lt;=EOMONTH(DATE(ano_ref,5,1),0),'Plano de Ação'!$G79&gt;=DATE(ano_ref,5,1)),1,0))</f>
      </c>
      <c r="J80" s="41">
        <f>IF(OR(NOT('Plano de Ação'!$B79&lt;&gt;""),NOT(ISNUMBER('Plano de Ação'!$F79)),NOT(ISNUMBER('Plano de Ação'!$G79)),'Plano de Ação'!$J79="Cancelada"),0,IF(AND('Plano de Ação'!$F79&lt;=EOMONTH(DATE(ano_ref,6,1),0),'Plano de Ação'!$G79&gt;=DATE(ano_ref,6,1)),1,0))</f>
      </c>
      <c r="K80" s="41">
        <f>IF(OR(NOT('Plano de Ação'!$B79&lt;&gt;""),NOT(ISNUMBER('Plano de Ação'!$F79)),NOT(ISNUMBER('Plano de Ação'!$G79)),'Plano de Ação'!$J79="Cancelada"),0,IF(AND('Plano de Ação'!$F79&lt;=EOMONTH(DATE(ano_ref,7,1),0),'Plano de Ação'!$G79&gt;=DATE(ano_ref,7,1)),1,0))</f>
      </c>
      <c r="L80" s="41">
        <f>IF(OR(NOT('Plano de Ação'!$B79&lt;&gt;""),NOT(ISNUMBER('Plano de Ação'!$F79)),NOT(ISNUMBER('Plano de Ação'!$G79)),'Plano de Ação'!$J79="Cancelada"),0,IF(AND('Plano de Ação'!$F79&lt;=EOMONTH(DATE(ano_ref,8,1),0),'Plano de Ação'!$G79&gt;=DATE(ano_ref,8,1)),1,0))</f>
      </c>
      <c r="M80" s="41">
        <f>IF(OR(NOT('Plano de Ação'!$B79&lt;&gt;""),NOT(ISNUMBER('Plano de Ação'!$F79)),NOT(ISNUMBER('Plano de Ação'!$G79)),'Plano de Ação'!$J79="Cancelada"),0,IF(AND('Plano de Ação'!$F79&lt;=EOMONTH(DATE(ano_ref,9,1),0),'Plano de Ação'!$G79&gt;=DATE(ano_ref,9,1)),1,0))</f>
      </c>
      <c r="N80" s="41">
        <f>IF(OR(NOT('Plano de Ação'!$B79&lt;&gt;""),NOT(ISNUMBER('Plano de Ação'!$F79)),NOT(ISNUMBER('Plano de Ação'!$G79)),'Plano de Ação'!$J79="Cancelada"),0,IF(AND('Plano de Ação'!$F79&lt;=EOMONTH(DATE(ano_ref,10,1),0),'Plano de Ação'!$G79&gt;=DATE(ano_ref,10,1)),1,0))</f>
      </c>
      <c r="O80" s="41">
        <f>IF(OR(NOT('Plano de Ação'!$B79&lt;&gt;""),NOT(ISNUMBER('Plano de Ação'!$F79)),NOT(ISNUMBER('Plano de Ação'!$G79)),'Plano de Ação'!$J79="Cancelada"),0,IF(AND('Plano de Ação'!$F79&lt;=EOMONTH(DATE(ano_ref,11,1),0),'Plano de Ação'!$G79&gt;=DATE(ano_ref,11,1)),1,0))</f>
      </c>
      <c r="P80" s="41">
        <f>IF(OR(NOT('Plano de Ação'!$B79&lt;&gt;""),NOT(ISNUMBER('Plano de Ação'!$F79)),NOT(ISNUMBER('Plano de Ação'!$G79)),'Plano de Ação'!$J79="Cancelada"),0,IF(AND('Plano de Ação'!$F79&lt;=EOMONTH(DATE(ano_ref,12,1),0),'Plano de Ação'!$G79&gt;=DATE(ano_ref,12,1)),1,0))</f>
      </c>
    </row>
    <row r="81" spans="1:16" x14ac:dyDescent="0.25">
      <c r="A81" s="40">
        <f>IF('Plano de Ação'!$B80&lt;&gt;"",'Plano de Ação'!A80&amp;"","")</f>
      </c>
      <c r="B81" s="25">
        <f>IF('Plano de Ação'!$B80&lt;&gt;"",'Plano de Ação'!B80,"")</f>
      </c>
      <c r="C81" s="25">
        <f>IF('Plano de Ação'!$B80&lt;&gt;"",'Plano de Ação'!E80&amp;"","")</f>
      </c>
      <c r="D81" s="40">
        <f>IF('Plano de Ação'!$B80&lt;&gt;"",'Plano de Ação'!L80,"")</f>
      </c>
      <c r="E81" s="41">
        <f>IF(OR(NOT('Plano de Ação'!$B80&lt;&gt;""),NOT(ISNUMBER('Plano de Ação'!$F80)),NOT(ISNUMBER('Plano de Ação'!$G80)),'Plano de Ação'!$J80="Cancelada"),0,IF(AND('Plano de Ação'!$F80&lt;=EOMONTH(DATE(ano_ref,1,1),0),'Plano de Ação'!$G80&gt;=DATE(ano_ref,1,1)),1,0))</f>
      </c>
      <c r="F81" s="41">
        <f>IF(OR(NOT('Plano de Ação'!$B80&lt;&gt;""),NOT(ISNUMBER('Plano de Ação'!$F80)),NOT(ISNUMBER('Plano de Ação'!$G80)),'Plano de Ação'!$J80="Cancelada"),0,IF(AND('Plano de Ação'!$F80&lt;=EOMONTH(DATE(ano_ref,2,1),0),'Plano de Ação'!$G80&gt;=DATE(ano_ref,2,1)),1,0))</f>
      </c>
      <c r="G81" s="41">
        <f>IF(OR(NOT('Plano de Ação'!$B80&lt;&gt;""),NOT(ISNUMBER('Plano de Ação'!$F80)),NOT(ISNUMBER('Plano de Ação'!$G80)),'Plano de Ação'!$J80="Cancelada"),0,IF(AND('Plano de Ação'!$F80&lt;=EOMONTH(DATE(ano_ref,3,1),0),'Plano de Ação'!$G80&gt;=DATE(ano_ref,3,1)),1,0))</f>
      </c>
      <c r="H81" s="41">
        <f>IF(OR(NOT('Plano de Ação'!$B80&lt;&gt;""),NOT(ISNUMBER('Plano de Ação'!$F80)),NOT(ISNUMBER('Plano de Ação'!$G80)),'Plano de Ação'!$J80="Cancelada"),0,IF(AND('Plano de Ação'!$F80&lt;=EOMONTH(DATE(ano_ref,4,1),0),'Plano de Ação'!$G80&gt;=DATE(ano_ref,4,1)),1,0))</f>
      </c>
      <c r="I81" s="41">
        <f>IF(OR(NOT('Plano de Ação'!$B80&lt;&gt;""),NOT(ISNUMBER('Plano de Ação'!$F80)),NOT(ISNUMBER('Plano de Ação'!$G80)),'Plano de Ação'!$J80="Cancelada"),0,IF(AND('Plano de Ação'!$F80&lt;=EOMONTH(DATE(ano_ref,5,1),0),'Plano de Ação'!$G80&gt;=DATE(ano_ref,5,1)),1,0))</f>
      </c>
      <c r="J81" s="41">
        <f>IF(OR(NOT('Plano de Ação'!$B80&lt;&gt;""),NOT(ISNUMBER('Plano de Ação'!$F80)),NOT(ISNUMBER('Plano de Ação'!$G80)),'Plano de Ação'!$J80="Cancelada"),0,IF(AND('Plano de Ação'!$F80&lt;=EOMONTH(DATE(ano_ref,6,1),0),'Plano de Ação'!$G80&gt;=DATE(ano_ref,6,1)),1,0))</f>
      </c>
      <c r="K81" s="41">
        <f>IF(OR(NOT('Plano de Ação'!$B80&lt;&gt;""),NOT(ISNUMBER('Plano de Ação'!$F80)),NOT(ISNUMBER('Plano de Ação'!$G80)),'Plano de Ação'!$J80="Cancelada"),0,IF(AND('Plano de Ação'!$F80&lt;=EOMONTH(DATE(ano_ref,7,1),0),'Plano de Ação'!$G80&gt;=DATE(ano_ref,7,1)),1,0))</f>
      </c>
      <c r="L81" s="41">
        <f>IF(OR(NOT('Plano de Ação'!$B80&lt;&gt;""),NOT(ISNUMBER('Plano de Ação'!$F80)),NOT(ISNUMBER('Plano de Ação'!$G80)),'Plano de Ação'!$J80="Cancelada"),0,IF(AND('Plano de Ação'!$F80&lt;=EOMONTH(DATE(ano_ref,8,1),0),'Plano de Ação'!$G80&gt;=DATE(ano_ref,8,1)),1,0))</f>
      </c>
      <c r="M81" s="41">
        <f>IF(OR(NOT('Plano de Ação'!$B80&lt;&gt;""),NOT(ISNUMBER('Plano de Ação'!$F80)),NOT(ISNUMBER('Plano de Ação'!$G80)),'Plano de Ação'!$J80="Cancelada"),0,IF(AND('Plano de Ação'!$F80&lt;=EOMONTH(DATE(ano_ref,9,1),0),'Plano de Ação'!$G80&gt;=DATE(ano_ref,9,1)),1,0))</f>
      </c>
      <c r="N81" s="41">
        <f>IF(OR(NOT('Plano de Ação'!$B80&lt;&gt;""),NOT(ISNUMBER('Plano de Ação'!$F80)),NOT(ISNUMBER('Plano de Ação'!$G80)),'Plano de Ação'!$J80="Cancelada"),0,IF(AND('Plano de Ação'!$F80&lt;=EOMONTH(DATE(ano_ref,10,1),0),'Plano de Ação'!$G80&gt;=DATE(ano_ref,10,1)),1,0))</f>
      </c>
      <c r="O81" s="41">
        <f>IF(OR(NOT('Plano de Ação'!$B80&lt;&gt;""),NOT(ISNUMBER('Plano de Ação'!$F80)),NOT(ISNUMBER('Plano de Ação'!$G80)),'Plano de Ação'!$J80="Cancelada"),0,IF(AND('Plano de Ação'!$F80&lt;=EOMONTH(DATE(ano_ref,11,1),0),'Plano de Ação'!$G80&gt;=DATE(ano_ref,11,1)),1,0))</f>
      </c>
      <c r="P81" s="41">
        <f>IF(OR(NOT('Plano de Ação'!$B80&lt;&gt;""),NOT(ISNUMBER('Plano de Ação'!$F80)),NOT(ISNUMBER('Plano de Ação'!$G80)),'Plano de Ação'!$J80="Cancelada"),0,IF(AND('Plano de Ação'!$F80&lt;=EOMONTH(DATE(ano_ref,12,1),0),'Plano de Ação'!$G80&gt;=DATE(ano_ref,12,1)),1,0))</f>
      </c>
    </row>
    <row r="82" spans="1:16" x14ac:dyDescent="0.25">
      <c r="A82" s="40">
        <f>IF('Plano de Ação'!$B81&lt;&gt;"",'Plano de Ação'!A81&amp;"","")</f>
      </c>
      <c r="B82" s="25">
        <f>IF('Plano de Ação'!$B81&lt;&gt;"",'Plano de Ação'!B81,"")</f>
      </c>
      <c r="C82" s="25">
        <f>IF('Plano de Ação'!$B81&lt;&gt;"",'Plano de Ação'!E81&amp;"","")</f>
      </c>
      <c r="D82" s="40">
        <f>IF('Plano de Ação'!$B81&lt;&gt;"",'Plano de Ação'!L81,"")</f>
      </c>
      <c r="E82" s="41">
        <f>IF(OR(NOT('Plano de Ação'!$B81&lt;&gt;""),NOT(ISNUMBER('Plano de Ação'!$F81)),NOT(ISNUMBER('Plano de Ação'!$G81)),'Plano de Ação'!$J81="Cancelada"),0,IF(AND('Plano de Ação'!$F81&lt;=EOMONTH(DATE(ano_ref,1,1),0),'Plano de Ação'!$G81&gt;=DATE(ano_ref,1,1)),1,0))</f>
      </c>
      <c r="F82" s="41">
        <f>IF(OR(NOT('Plano de Ação'!$B81&lt;&gt;""),NOT(ISNUMBER('Plano de Ação'!$F81)),NOT(ISNUMBER('Plano de Ação'!$G81)),'Plano de Ação'!$J81="Cancelada"),0,IF(AND('Plano de Ação'!$F81&lt;=EOMONTH(DATE(ano_ref,2,1),0),'Plano de Ação'!$G81&gt;=DATE(ano_ref,2,1)),1,0))</f>
      </c>
      <c r="G82" s="41">
        <f>IF(OR(NOT('Plano de Ação'!$B81&lt;&gt;""),NOT(ISNUMBER('Plano de Ação'!$F81)),NOT(ISNUMBER('Plano de Ação'!$G81)),'Plano de Ação'!$J81="Cancelada"),0,IF(AND('Plano de Ação'!$F81&lt;=EOMONTH(DATE(ano_ref,3,1),0),'Plano de Ação'!$G81&gt;=DATE(ano_ref,3,1)),1,0))</f>
      </c>
      <c r="H82" s="41">
        <f>IF(OR(NOT('Plano de Ação'!$B81&lt;&gt;""),NOT(ISNUMBER('Plano de Ação'!$F81)),NOT(ISNUMBER('Plano de Ação'!$G81)),'Plano de Ação'!$J81="Cancelada"),0,IF(AND('Plano de Ação'!$F81&lt;=EOMONTH(DATE(ano_ref,4,1),0),'Plano de Ação'!$G81&gt;=DATE(ano_ref,4,1)),1,0))</f>
      </c>
      <c r="I82" s="41">
        <f>IF(OR(NOT('Plano de Ação'!$B81&lt;&gt;""),NOT(ISNUMBER('Plano de Ação'!$F81)),NOT(ISNUMBER('Plano de Ação'!$G81)),'Plano de Ação'!$J81="Cancelada"),0,IF(AND('Plano de Ação'!$F81&lt;=EOMONTH(DATE(ano_ref,5,1),0),'Plano de Ação'!$G81&gt;=DATE(ano_ref,5,1)),1,0))</f>
      </c>
      <c r="J82" s="41">
        <f>IF(OR(NOT('Plano de Ação'!$B81&lt;&gt;""),NOT(ISNUMBER('Plano de Ação'!$F81)),NOT(ISNUMBER('Plano de Ação'!$G81)),'Plano de Ação'!$J81="Cancelada"),0,IF(AND('Plano de Ação'!$F81&lt;=EOMONTH(DATE(ano_ref,6,1),0),'Plano de Ação'!$G81&gt;=DATE(ano_ref,6,1)),1,0))</f>
      </c>
      <c r="K82" s="41">
        <f>IF(OR(NOT('Plano de Ação'!$B81&lt;&gt;""),NOT(ISNUMBER('Plano de Ação'!$F81)),NOT(ISNUMBER('Plano de Ação'!$G81)),'Plano de Ação'!$J81="Cancelada"),0,IF(AND('Plano de Ação'!$F81&lt;=EOMONTH(DATE(ano_ref,7,1),0),'Plano de Ação'!$G81&gt;=DATE(ano_ref,7,1)),1,0))</f>
      </c>
      <c r="L82" s="41">
        <f>IF(OR(NOT('Plano de Ação'!$B81&lt;&gt;""),NOT(ISNUMBER('Plano de Ação'!$F81)),NOT(ISNUMBER('Plano de Ação'!$G81)),'Plano de Ação'!$J81="Cancelada"),0,IF(AND('Plano de Ação'!$F81&lt;=EOMONTH(DATE(ano_ref,8,1),0),'Plano de Ação'!$G81&gt;=DATE(ano_ref,8,1)),1,0))</f>
      </c>
      <c r="M82" s="41">
        <f>IF(OR(NOT('Plano de Ação'!$B81&lt;&gt;""),NOT(ISNUMBER('Plano de Ação'!$F81)),NOT(ISNUMBER('Plano de Ação'!$G81)),'Plano de Ação'!$J81="Cancelada"),0,IF(AND('Plano de Ação'!$F81&lt;=EOMONTH(DATE(ano_ref,9,1),0),'Plano de Ação'!$G81&gt;=DATE(ano_ref,9,1)),1,0))</f>
      </c>
      <c r="N82" s="41">
        <f>IF(OR(NOT('Plano de Ação'!$B81&lt;&gt;""),NOT(ISNUMBER('Plano de Ação'!$F81)),NOT(ISNUMBER('Plano de Ação'!$G81)),'Plano de Ação'!$J81="Cancelada"),0,IF(AND('Plano de Ação'!$F81&lt;=EOMONTH(DATE(ano_ref,10,1),0),'Plano de Ação'!$G81&gt;=DATE(ano_ref,10,1)),1,0))</f>
      </c>
      <c r="O82" s="41">
        <f>IF(OR(NOT('Plano de Ação'!$B81&lt;&gt;""),NOT(ISNUMBER('Plano de Ação'!$F81)),NOT(ISNUMBER('Plano de Ação'!$G81)),'Plano de Ação'!$J81="Cancelada"),0,IF(AND('Plano de Ação'!$F81&lt;=EOMONTH(DATE(ano_ref,11,1),0),'Plano de Ação'!$G81&gt;=DATE(ano_ref,11,1)),1,0))</f>
      </c>
      <c r="P82" s="41">
        <f>IF(OR(NOT('Plano de Ação'!$B81&lt;&gt;""),NOT(ISNUMBER('Plano de Ação'!$F81)),NOT(ISNUMBER('Plano de Ação'!$G81)),'Plano de Ação'!$J81="Cancelada"),0,IF(AND('Plano de Ação'!$F81&lt;=EOMONTH(DATE(ano_ref,12,1),0),'Plano de Ação'!$G81&gt;=DATE(ano_ref,12,1)),1,0))</f>
      </c>
    </row>
    <row r="83" spans="1:16" x14ac:dyDescent="0.25">
      <c r="A83" s="40">
        <f>IF('Plano de Ação'!$B82&lt;&gt;"",'Plano de Ação'!A82&amp;"","")</f>
      </c>
      <c r="B83" s="25">
        <f>IF('Plano de Ação'!$B82&lt;&gt;"",'Plano de Ação'!B82,"")</f>
      </c>
      <c r="C83" s="25">
        <f>IF('Plano de Ação'!$B82&lt;&gt;"",'Plano de Ação'!E82&amp;"","")</f>
      </c>
      <c r="D83" s="40">
        <f>IF('Plano de Ação'!$B82&lt;&gt;"",'Plano de Ação'!L82,"")</f>
      </c>
      <c r="E83" s="41">
        <f>IF(OR(NOT('Plano de Ação'!$B82&lt;&gt;""),NOT(ISNUMBER('Plano de Ação'!$F82)),NOT(ISNUMBER('Plano de Ação'!$G82)),'Plano de Ação'!$J82="Cancelada"),0,IF(AND('Plano de Ação'!$F82&lt;=EOMONTH(DATE(ano_ref,1,1),0),'Plano de Ação'!$G82&gt;=DATE(ano_ref,1,1)),1,0))</f>
      </c>
      <c r="F83" s="41">
        <f>IF(OR(NOT('Plano de Ação'!$B82&lt;&gt;""),NOT(ISNUMBER('Plano de Ação'!$F82)),NOT(ISNUMBER('Plano de Ação'!$G82)),'Plano de Ação'!$J82="Cancelada"),0,IF(AND('Plano de Ação'!$F82&lt;=EOMONTH(DATE(ano_ref,2,1),0),'Plano de Ação'!$G82&gt;=DATE(ano_ref,2,1)),1,0))</f>
      </c>
      <c r="G83" s="41">
        <f>IF(OR(NOT('Plano de Ação'!$B82&lt;&gt;""),NOT(ISNUMBER('Plano de Ação'!$F82)),NOT(ISNUMBER('Plano de Ação'!$G82)),'Plano de Ação'!$J82="Cancelada"),0,IF(AND('Plano de Ação'!$F82&lt;=EOMONTH(DATE(ano_ref,3,1),0),'Plano de Ação'!$G82&gt;=DATE(ano_ref,3,1)),1,0))</f>
      </c>
      <c r="H83" s="41">
        <f>IF(OR(NOT('Plano de Ação'!$B82&lt;&gt;""),NOT(ISNUMBER('Plano de Ação'!$F82)),NOT(ISNUMBER('Plano de Ação'!$G82)),'Plano de Ação'!$J82="Cancelada"),0,IF(AND('Plano de Ação'!$F82&lt;=EOMONTH(DATE(ano_ref,4,1),0),'Plano de Ação'!$G82&gt;=DATE(ano_ref,4,1)),1,0))</f>
      </c>
      <c r="I83" s="41">
        <f>IF(OR(NOT('Plano de Ação'!$B82&lt;&gt;""),NOT(ISNUMBER('Plano de Ação'!$F82)),NOT(ISNUMBER('Plano de Ação'!$G82)),'Plano de Ação'!$J82="Cancelada"),0,IF(AND('Plano de Ação'!$F82&lt;=EOMONTH(DATE(ano_ref,5,1),0),'Plano de Ação'!$G82&gt;=DATE(ano_ref,5,1)),1,0))</f>
      </c>
      <c r="J83" s="41">
        <f>IF(OR(NOT('Plano de Ação'!$B82&lt;&gt;""),NOT(ISNUMBER('Plano de Ação'!$F82)),NOT(ISNUMBER('Plano de Ação'!$G82)),'Plano de Ação'!$J82="Cancelada"),0,IF(AND('Plano de Ação'!$F82&lt;=EOMONTH(DATE(ano_ref,6,1),0),'Plano de Ação'!$G82&gt;=DATE(ano_ref,6,1)),1,0))</f>
      </c>
      <c r="K83" s="41">
        <f>IF(OR(NOT('Plano de Ação'!$B82&lt;&gt;""),NOT(ISNUMBER('Plano de Ação'!$F82)),NOT(ISNUMBER('Plano de Ação'!$G82)),'Plano de Ação'!$J82="Cancelada"),0,IF(AND('Plano de Ação'!$F82&lt;=EOMONTH(DATE(ano_ref,7,1),0),'Plano de Ação'!$G82&gt;=DATE(ano_ref,7,1)),1,0))</f>
      </c>
      <c r="L83" s="41">
        <f>IF(OR(NOT('Plano de Ação'!$B82&lt;&gt;""),NOT(ISNUMBER('Plano de Ação'!$F82)),NOT(ISNUMBER('Plano de Ação'!$G82)),'Plano de Ação'!$J82="Cancelada"),0,IF(AND('Plano de Ação'!$F82&lt;=EOMONTH(DATE(ano_ref,8,1),0),'Plano de Ação'!$G82&gt;=DATE(ano_ref,8,1)),1,0))</f>
      </c>
      <c r="M83" s="41">
        <f>IF(OR(NOT('Plano de Ação'!$B82&lt;&gt;""),NOT(ISNUMBER('Plano de Ação'!$F82)),NOT(ISNUMBER('Plano de Ação'!$G82)),'Plano de Ação'!$J82="Cancelada"),0,IF(AND('Plano de Ação'!$F82&lt;=EOMONTH(DATE(ano_ref,9,1),0),'Plano de Ação'!$G82&gt;=DATE(ano_ref,9,1)),1,0))</f>
      </c>
      <c r="N83" s="41">
        <f>IF(OR(NOT('Plano de Ação'!$B82&lt;&gt;""),NOT(ISNUMBER('Plano de Ação'!$F82)),NOT(ISNUMBER('Plano de Ação'!$G82)),'Plano de Ação'!$J82="Cancelada"),0,IF(AND('Plano de Ação'!$F82&lt;=EOMONTH(DATE(ano_ref,10,1),0),'Plano de Ação'!$G82&gt;=DATE(ano_ref,10,1)),1,0))</f>
      </c>
      <c r="O83" s="41">
        <f>IF(OR(NOT('Plano de Ação'!$B82&lt;&gt;""),NOT(ISNUMBER('Plano de Ação'!$F82)),NOT(ISNUMBER('Plano de Ação'!$G82)),'Plano de Ação'!$J82="Cancelada"),0,IF(AND('Plano de Ação'!$F82&lt;=EOMONTH(DATE(ano_ref,11,1),0),'Plano de Ação'!$G82&gt;=DATE(ano_ref,11,1)),1,0))</f>
      </c>
      <c r="P83" s="41">
        <f>IF(OR(NOT('Plano de Ação'!$B82&lt;&gt;""),NOT(ISNUMBER('Plano de Ação'!$F82)),NOT(ISNUMBER('Plano de Ação'!$G82)),'Plano de Ação'!$J82="Cancelada"),0,IF(AND('Plano de Ação'!$F82&lt;=EOMONTH(DATE(ano_ref,12,1),0),'Plano de Ação'!$G82&gt;=DATE(ano_ref,12,1)),1,0))</f>
      </c>
    </row>
    <row r="84" spans="1:16" x14ac:dyDescent="0.25">
      <c r="A84" s="40">
        <f>IF('Plano de Ação'!$B83&lt;&gt;"",'Plano de Ação'!A83&amp;"","")</f>
      </c>
      <c r="B84" s="25">
        <f>IF('Plano de Ação'!$B83&lt;&gt;"",'Plano de Ação'!B83,"")</f>
      </c>
      <c r="C84" s="25">
        <f>IF('Plano de Ação'!$B83&lt;&gt;"",'Plano de Ação'!E83&amp;"","")</f>
      </c>
      <c r="D84" s="40">
        <f>IF('Plano de Ação'!$B83&lt;&gt;"",'Plano de Ação'!L83,"")</f>
      </c>
      <c r="E84" s="41">
        <f>IF(OR(NOT('Plano de Ação'!$B83&lt;&gt;""),NOT(ISNUMBER('Plano de Ação'!$F83)),NOT(ISNUMBER('Plano de Ação'!$G83)),'Plano de Ação'!$J83="Cancelada"),0,IF(AND('Plano de Ação'!$F83&lt;=EOMONTH(DATE(ano_ref,1,1),0),'Plano de Ação'!$G83&gt;=DATE(ano_ref,1,1)),1,0))</f>
      </c>
      <c r="F84" s="41">
        <f>IF(OR(NOT('Plano de Ação'!$B83&lt;&gt;""),NOT(ISNUMBER('Plano de Ação'!$F83)),NOT(ISNUMBER('Plano de Ação'!$G83)),'Plano de Ação'!$J83="Cancelada"),0,IF(AND('Plano de Ação'!$F83&lt;=EOMONTH(DATE(ano_ref,2,1),0),'Plano de Ação'!$G83&gt;=DATE(ano_ref,2,1)),1,0))</f>
      </c>
      <c r="G84" s="41">
        <f>IF(OR(NOT('Plano de Ação'!$B83&lt;&gt;""),NOT(ISNUMBER('Plano de Ação'!$F83)),NOT(ISNUMBER('Plano de Ação'!$G83)),'Plano de Ação'!$J83="Cancelada"),0,IF(AND('Plano de Ação'!$F83&lt;=EOMONTH(DATE(ano_ref,3,1),0),'Plano de Ação'!$G83&gt;=DATE(ano_ref,3,1)),1,0))</f>
      </c>
      <c r="H84" s="41">
        <f>IF(OR(NOT('Plano de Ação'!$B83&lt;&gt;""),NOT(ISNUMBER('Plano de Ação'!$F83)),NOT(ISNUMBER('Plano de Ação'!$G83)),'Plano de Ação'!$J83="Cancelada"),0,IF(AND('Plano de Ação'!$F83&lt;=EOMONTH(DATE(ano_ref,4,1),0),'Plano de Ação'!$G83&gt;=DATE(ano_ref,4,1)),1,0))</f>
      </c>
      <c r="I84" s="41">
        <f>IF(OR(NOT('Plano de Ação'!$B83&lt;&gt;""),NOT(ISNUMBER('Plano de Ação'!$F83)),NOT(ISNUMBER('Plano de Ação'!$G83)),'Plano de Ação'!$J83="Cancelada"),0,IF(AND('Plano de Ação'!$F83&lt;=EOMONTH(DATE(ano_ref,5,1),0),'Plano de Ação'!$G83&gt;=DATE(ano_ref,5,1)),1,0))</f>
      </c>
      <c r="J84" s="41">
        <f>IF(OR(NOT('Plano de Ação'!$B83&lt;&gt;""),NOT(ISNUMBER('Plano de Ação'!$F83)),NOT(ISNUMBER('Plano de Ação'!$G83)),'Plano de Ação'!$J83="Cancelada"),0,IF(AND('Plano de Ação'!$F83&lt;=EOMONTH(DATE(ano_ref,6,1),0),'Plano de Ação'!$G83&gt;=DATE(ano_ref,6,1)),1,0))</f>
      </c>
      <c r="K84" s="41">
        <f>IF(OR(NOT('Plano de Ação'!$B83&lt;&gt;""),NOT(ISNUMBER('Plano de Ação'!$F83)),NOT(ISNUMBER('Plano de Ação'!$G83)),'Plano de Ação'!$J83="Cancelada"),0,IF(AND('Plano de Ação'!$F83&lt;=EOMONTH(DATE(ano_ref,7,1),0),'Plano de Ação'!$G83&gt;=DATE(ano_ref,7,1)),1,0))</f>
      </c>
      <c r="L84" s="41">
        <f>IF(OR(NOT('Plano de Ação'!$B83&lt;&gt;""),NOT(ISNUMBER('Plano de Ação'!$F83)),NOT(ISNUMBER('Plano de Ação'!$G83)),'Plano de Ação'!$J83="Cancelada"),0,IF(AND('Plano de Ação'!$F83&lt;=EOMONTH(DATE(ano_ref,8,1),0),'Plano de Ação'!$G83&gt;=DATE(ano_ref,8,1)),1,0))</f>
      </c>
      <c r="M84" s="41">
        <f>IF(OR(NOT('Plano de Ação'!$B83&lt;&gt;""),NOT(ISNUMBER('Plano de Ação'!$F83)),NOT(ISNUMBER('Plano de Ação'!$G83)),'Plano de Ação'!$J83="Cancelada"),0,IF(AND('Plano de Ação'!$F83&lt;=EOMONTH(DATE(ano_ref,9,1),0),'Plano de Ação'!$G83&gt;=DATE(ano_ref,9,1)),1,0))</f>
      </c>
      <c r="N84" s="41">
        <f>IF(OR(NOT('Plano de Ação'!$B83&lt;&gt;""),NOT(ISNUMBER('Plano de Ação'!$F83)),NOT(ISNUMBER('Plano de Ação'!$G83)),'Plano de Ação'!$J83="Cancelada"),0,IF(AND('Plano de Ação'!$F83&lt;=EOMONTH(DATE(ano_ref,10,1),0),'Plano de Ação'!$G83&gt;=DATE(ano_ref,10,1)),1,0))</f>
      </c>
      <c r="O84" s="41">
        <f>IF(OR(NOT('Plano de Ação'!$B83&lt;&gt;""),NOT(ISNUMBER('Plano de Ação'!$F83)),NOT(ISNUMBER('Plano de Ação'!$G83)),'Plano de Ação'!$J83="Cancelada"),0,IF(AND('Plano de Ação'!$F83&lt;=EOMONTH(DATE(ano_ref,11,1),0),'Plano de Ação'!$G83&gt;=DATE(ano_ref,11,1)),1,0))</f>
      </c>
      <c r="P84" s="41">
        <f>IF(OR(NOT('Plano de Ação'!$B83&lt;&gt;""),NOT(ISNUMBER('Plano de Ação'!$F83)),NOT(ISNUMBER('Plano de Ação'!$G83)),'Plano de Ação'!$J83="Cancelada"),0,IF(AND('Plano de Ação'!$F83&lt;=EOMONTH(DATE(ano_ref,12,1),0),'Plano de Ação'!$G83&gt;=DATE(ano_ref,12,1)),1,0))</f>
      </c>
    </row>
    <row r="85" spans="1:16" x14ac:dyDescent="0.25">
      <c r="A85" s="40">
        <f>IF('Plano de Ação'!$B84&lt;&gt;"",'Plano de Ação'!A84&amp;"","")</f>
      </c>
      <c r="B85" s="25">
        <f>IF('Plano de Ação'!$B84&lt;&gt;"",'Plano de Ação'!B84,"")</f>
      </c>
      <c r="C85" s="25">
        <f>IF('Plano de Ação'!$B84&lt;&gt;"",'Plano de Ação'!E84&amp;"","")</f>
      </c>
      <c r="D85" s="40">
        <f>IF('Plano de Ação'!$B84&lt;&gt;"",'Plano de Ação'!L84,"")</f>
      </c>
      <c r="E85" s="41">
        <f>IF(OR(NOT('Plano de Ação'!$B84&lt;&gt;""),NOT(ISNUMBER('Plano de Ação'!$F84)),NOT(ISNUMBER('Plano de Ação'!$G84)),'Plano de Ação'!$J84="Cancelada"),0,IF(AND('Plano de Ação'!$F84&lt;=EOMONTH(DATE(ano_ref,1,1),0),'Plano de Ação'!$G84&gt;=DATE(ano_ref,1,1)),1,0))</f>
      </c>
      <c r="F85" s="41">
        <f>IF(OR(NOT('Plano de Ação'!$B84&lt;&gt;""),NOT(ISNUMBER('Plano de Ação'!$F84)),NOT(ISNUMBER('Plano de Ação'!$G84)),'Plano de Ação'!$J84="Cancelada"),0,IF(AND('Plano de Ação'!$F84&lt;=EOMONTH(DATE(ano_ref,2,1),0),'Plano de Ação'!$G84&gt;=DATE(ano_ref,2,1)),1,0))</f>
      </c>
      <c r="G85" s="41">
        <f>IF(OR(NOT('Plano de Ação'!$B84&lt;&gt;""),NOT(ISNUMBER('Plano de Ação'!$F84)),NOT(ISNUMBER('Plano de Ação'!$G84)),'Plano de Ação'!$J84="Cancelada"),0,IF(AND('Plano de Ação'!$F84&lt;=EOMONTH(DATE(ano_ref,3,1),0),'Plano de Ação'!$G84&gt;=DATE(ano_ref,3,1)),1,0))</f>
      </c>
      <c r="H85" s="41">
        <f>IF(OR(NOT('Plano de Ação'!$B84&lt;&gt;""),NOT(ISNUMBER('Plano de Ação'!$F84)),NOT(ISNUMBER('Plano de Ação'!$G84)),'Plano de Ação'!$J84="Cancelada"),0,IF(AND('Plano de Ação'!$F84&lt;=EOMONTH(DATE(ano_ref,4,1),0),'Plano de Ação'!$G84&gt;=DATE(ano_ref,4,1)),1,0))</f>
      </c>
      <c r="I85" s="41">
        <f>IF(OR(NOT('Plano de Ação'!$B84&lt;&gt;""),NOT(ISNUMBER('Plano de Ação'!$F84)),NOT(ISNUMBER('Plano de Ação'!$G84)),'Plano de Ação'!$J84="Cancelada"),0,IF(AND('Plano de Ação'!$F84&lt;=EOMONTH(DATE(ano_ref,5,1),0),'Plano de Ação'!$G84&gt;=DATE(ano_ref,5,1)),1,0))</f>
      </c>
      <c r="J85" s="41">
        <f>IF(OR(NOT('Plano de Ação'!$B84&lt;&gt;""),NOT(ISNUMBER('Plano de Ação'!$F84)),NOT(ISNUMBER('Plano de Ação'!$G84)),'Plano de Ação'!$J84="Cancelada"),0,IF(AND('Plano de Ação'!$F84&lt;=EOMONTH(DATE(ano_ref,6,1),0),'Plano de Ação'!$G84&gt;=DATE(ano_ref,6,1)),1,0))</f>
      </c>
      <c r="K85" s="41">
        <f>IF(OR(NOT('Plano de Ação'!$B84&lt;&gt;""),NOT(ISNUMBER('Plano de Ação'!$F84)),NOT(ISNUMBER('Plano de Ação'!$G84)),'Plano de Ação'!$J84="Cancelada"),0,IF(AND('Plano de Ação'!$F84&lt;=EOMONTH(DATE(ano_ref,7,1),0),'Plano de Ação'!$G84&gt;=DATE(ano_ref,7,1)),1,0))</f>
      </c>
      <c r="L85" s="41">
        <f>IF(OR(NOT('Plano de Ação'!$B84&lt;&gt;""),NOT(ISNUMBER('Plano de Ação'!$F84)),NOT(ISNUMBER('Plano de Ação'!$G84)),'Plano de Ação'!$J84="Cancelada"),0,IF(AND('Plano de Ação'!$F84&lt;=EOMONTH(DATE(ano_ref,8,1),0),'Plano de Ação'!$G84&gt;=DATE(ano_ref,8,1)),1,0))</f>
      </c>
      <c r="M85" s="41">
        <f>IF(OR(NOT('Plano de Ação'!$B84&lt;&gt;""),NOT(ISNUMBER('Plano de Ação'!$F84)),NOT(ISNUMBER('Plano de Ação'!$G84)),'Plano de Ação'!$J84="Cancelada"),0,IF(AND('Plano de Ação'!$F84&lt;=EOMONTH(DATE(ano_ref,9,1),0),'Plano de Ação'!$G84&gt;=DATE(ano_ref,9,1)),1,0))</f>
      </c>
      <c r="N85" s="41">
        <f>IF(OR(NOT('Plano de Ação'!$B84&lt;&gt;""),NOT(ISNUMBER('Plano de Ação'!$F84)),NOT(ISNUMBER('Plano de Ação'!$G84)),'Plano de Ação'!$J84="Cancelada"),0,IF(AND('Plano de Ação'!$F84&lt;=EOMONTH(DATE(ano_ref,10,1),0),'Plano de Ação'!$G84&gt;=DATE(ano_ref,10,1)),1,0))</f>
      </c>
      <c r="O85" s="41">
        <f>IF(OR(NOT('Plano de Ação'!$B84&lt;&gt;""),NOT(ISNUMBER('Plano de Ação'!$F84)),NOT(ISNUMBER('Plano de Ação'!$G84)),'Plano de Ação'!$J84="Cancelada"),0,IF(AND('Plano de Ação'!$F84&lt;=EOMONTH(DATE(ano_ref,11,1),0),'Plano de Ação'!$G84&gt;=DATE(ano_ref,11,1)),1,0))</f>
      </c>
      <c r="P85" s="41">
        <f>IF(OR(NOT('Plano de Ação'!$B84&lt;&gt;""),NOT(ISNUMBER('Plano de Ação'!$F84)),NOT(ISNUMBER('Plano de Ação'!$G84)),'Plano de Ação'!$J84="Cancelada"),0,IF(AND('Plano de Ação'!$F84&lt;=EOMONTH(DATE(ano_ref,12,1),0),'Plano de Ação'!$G84&gt;=DATE(ano_ref,12,1)),1,0))</f>
      </c>
    </row>
    <row r="86" spans="1:16" x14ac:dyDescent="0.25">
      <c r="A86" s="40">
        <f>IF('Plano de Ação'!$B85&lt;&gt;"",'Plano de Ação'!A85&amp;"","")</f>
      </c>
      <c r="B86" s="25">
        <f>IF('Plano de Ação'!$B85&lt;&gt;"",'Plano de Ação'!B85,"")</f>
      </c>
      <c r="C86" s="25">
        <f>IF('Plano de Ação'!$B85&lt;&gt;"",'Plano de Ação'!E85&amp;"","")</f>
      </c>
      <c r="D86" s="40">
        <f>IF('Plano de Ação'!$B85&lt;&gt;"",'Plano de Ação'!L85,"")</f>
      </c>
      <c r="E86" s="41">
        <f>IF(OR(NOT('Plano de Ação'!$B85&lt;&gt;""),NOT(ISNUMBER('Plano de Ação'!$F85)),NOT(ISNUMBER('Plano de Ação'!$G85)),'Plano de Ação'!$J85="Cancelada"),0,IF(AND('Plano de Ação'!$F85&lt;=EOMONTH(DATE(ano_ref,1,1),0),'Plano de Ação'!$G85&gt;=DATE(ano_ref,1,1)),1,0))</f>
      </c>
      <c r="F86" s="41">
        <f>IF(OR(NOT('Plano de Ação'!$B85&lt;&gt;""),NOT(ISNUMBER('Plano de Ação'!$F85)),NOT(ISNUMBER('Plano de Ação'!$G85)),'Plano de Ação'!$J85="Cancelada"),0,IF(AND('Plano de Ação'!$F85&lt;=EOMONTH(DATE(ano_ref,2,1),0),'Plano de Ação'!$G85&gt;=DATE(ano_ref,2,1)),1,0))</f>
      </c>
      <c r="G86" s="41">
        <f>IF(OR(NOT('Plano de Ação'!$B85&lt;&gt;""),NOT(ISNUMBER('Plano de Ação'!$F85)),NOT(ISNUMBER('Plano de Ação'!$G85)),'Plano de Ação'!$J85="Cancelada"),0,IF(AND('Plano de Ação'!$F85&lt;=EOMONTH(DATE(ano_ref,3,1),0),'Plano de Ação'!$G85&gt;=DATE(ano_ref,3,1)),1,0))</f>
      </c>
      <c r="H86" s="41">
        <f>IF(OR(NOT('Plano de Ação'!$B85&lt;&gt;""),NOT(ISNUMBER('Plano de Ação'!$F85)),NOT(ISNUMBER('Plano de Ação'!$G85)),'Plano de Ação'!$J85="Cancelada"),0,IF(AND('Plano de Ação'!$F85&lt;=EOMONTH(DATE(ano_ref,4,1),0),'Plano de Ação'!$G85&gt;=DATE(ano_ref,4,1)),1,0))</f>
      </c>
      <c r="I86" s="41">
        <f>IF(OR(NOT('Plano de Ação'!$B85&lt;&gt;""),NOT(ISNUMBER('Plano de Ação'!$F85)),NOT(ISNUMBER('Plano de Ação'!$G85)),'Plano de Ação'!$J85="Cancelada"),0,IF(AND('Plano de Ação'!$F85&lt;=EOMONTH(DATE(ano_ref,5,1),0),'Plano de Ação'!$G85&gt;=DATE(ano_ref,5,1)),1,0))</f>
      </c>
      <c r="J86" s="41">
        <f>IF(OR(NOT('Plano de Ação'!$B85&lt;&gt;""),NOT(ISNUMBER('Plano de Ação'!$F85)),NOT(ISNUMBER('Plano de Ação'!$G85)),'Plano de Ação'!$J85="Cancelada"),0,IF(AND('Plano de Ação'!$F85&lt;=EOMONTH(DATE(ano_ref,6,1),0),'Plano de Ação'!$G85&gt;=DATE(ano_ref,6,1)),1,0))</f>
      </c>
      <c r="K86" s="41">
        <f>IF(OR(NOT('Plano de Ação'!$B85&lt;&gt;""),NOT(ISNUMBER('Plano de Ação'!$F85)),NOT(ISNUMBER('Plano de Ação'!$G85)),'Plano de Ação'!$J85="Cancelada"),0,IF(AND('Plano de Ação'!$F85&lt;=EOMONTH(DATE(ano_ref,7,1),0),'Plano de Ação'!$G85&gt;=DATE(ano_ref,7,1)),1,0))</f>
      </c>
      <c r="L86" s="41">
        <f>IF(OR(NOT('Plano de Ação'!$B85&lt;&gt;""),NOT(ISNUMBER('Plano de Ação'!$F85)),NOT(ISNUMBER('Plano de Ação'!$G85)),'Plano de Ação'!$J85="Cancelada"),0,IF(AND('Plano de Ação'!$F85&lt;=EOMONTH(DATE(ano_ref,8,1),0),'Plano de Ação'!$G85&gt;=DATE(ano_ref,8,1)),1,0))</f>
      </c>
      <c r="M86" s="41">
        <f>IF(OR(NOT('Plano de Ação'!$B85&lt;&gt;""),NOT(ISNUMBER('Plano de Ação'!$F85)),NOT(ISNUMBER('Plano de Ação'!$G85)),'Plano de Ação'!$J85="Cancelada"),0,IF(AND('Plano de Ação'!$F85&lt;=EOMONTH(DATE(ano_ref,9,1),0),'Plano de Ação'!$G85&gt;=DATE(ano_ref,9,1)),1,0))</f>
      </c>
      <c r="N86" s="41">
        <f>IF(OR(NOT('Plano de Ação'!$B85&lt;&gt;""),NOT(ISNUMBER('Plano de Ação'!$F85)),NOT(ISNUMBER('Plano de Ação'!$G85)),'Plano de Ação'!$J85="Cancelada"),0,IF(AND('Plano de Ação'!$F85&lt;=EOMONTH(DATE(ano_ref,10,1),0),'Plano de Ação'!$G85&gt;=DATE(ano_ref,10,1)),1,0))</f>
      </c>
      <c r="O86" s="41">
        <f>IF(OR(NOT('Plano de Ação'!$B85&lt;&gt;""),NOT(ISNUMBER('Plano de Ação'!$F85)),NOT(ISNUMBER('Plano de Ação'!$G85)),'Plano de Ação'!$J85="Cancelada"),0,IF(AND('Plano de Ação'!$F85&lt;=EOMONTH(DATE(ano_ref,11,1),0),'Plano de Ação'!$G85&gt;=DATE(ano_ref,11,1)),1,0))</f>
      </c>
      <c r="P86" s="41">
        <f>IF(OR(NOT('Plano de Ação'!$B85&lt;&gt;""),NOT(ISNUMBER('Plano de Ação'!$F85)),NOT(ISNUMBER('Plano de Ação'!$G85)),'Plano de Ação'!$J85="Cancelada"),0,IF(AND('Plano de Ação'!$F85&lt;=EOMONTH(DATE(ano_ref,12,1),0),'Plano de Ação'!$G85&gt;=DATE(ano_ref,12,1)),1,0))</f>
      </c>
    </row>
    <row r="87" spans="1:16" x14ac:dyDescent="0.25">
      <c r="A87" s="40">
        <f>IF('Plano de Ação'!$B86&lt;&gt;"",'Plano de Ação'!A86&amp;"","")</f>
      </c>
      <c r="B87" s="25">
        <f>IF('Plano de Ação'!$B86&lt;&gt;"",'Plano de Ação'!B86,"")</f>
      </c>
      <c r="C87" s="25">
        <f>IF('Plano de Ação'!$B86&lt;&gt;"",'Plano de Ação'!E86&amp;"","")</f>
      </c>
      <c r="D87" s="40">
        <f>IF('Plano de Ação'!$B86&lt;&gt;"",'Plano de Ação'!L86,"")</f>
      </c>
      <c r="E87" s="41">
        <f>IF(OR(NOT('Plano de Ação'!$B86&lt;&gt;""),NOT(ISNUMBER('Plano de Ação'!$F86)),NOT(ISNUMBER('Plano de Ação'!$G86)),'Plano de Ação'!$J86="Cancelada"),0,IF(AND('Plano de Ação'!$F86&lt;=EOMONTH(DATE(ano_ref,1,1),0),'Plano de Ação'!$G86&gt;=DATE(ano_ref,1,1)),1,0))</f>
      </c>
      <c r="F87" s="41">
        <f>IF(OR(NOT('Plano de Ação'!$B86&lt;&gt;""),NOT(ISNUMBER('Plano de Ação'!$F86)),NOT(ISNUMBER('Plano de Ação'!$G86)),'Plano de Ação'!$J86="Cancelada"),0,IF(AND('Plano de Ação'!$F86&lt;=EOMONTH(DATE(ano_ref,2,1),0),'Plano de Ação'!$G86&gt;=DATE(ano_ref,2,1)),1,0))</f>
      </c>
      <c r="G87" s="41">
        <f>IF(OR(NOT('Plano de Ação'!$B86&lt;&gt;""),NOT(ISNUMBER('Plano de Ação'!$F86)),NOT(ISNUMBER('Plano de Ação'!$G86)),'Plano de Ação'!$J86="Cancelada"),0,IF(AND('Plano de Ação'!$F86&lt;=EOMONTH(DATE(ano_ref,3,1),0),'Plano de Ação'!$G86&gt;=DATE(ano_ref,3,1)),1,0))</f>
      </c>
      <c r="H87" s="41">
        <f>IF(OR(NOT('Plano de Ação'!$B86&lt;&gt;""),NOT(ISNUMBER('Plano de Ação'!$F86)),NOT(ISNUMBER('Plano de Ação'!$G86)),'Plano de Ação'!$J86="Cancelada"),0,IF(AND('Plano de Ação'!$F86&lt;=EOMONTH(DATE(ano_ref,4,1),0),'Plano de Ação'!$G86&gt;=DATE(ano_ref,4,1)),1,0))</f>
      </c>
      <c r="I87" s="41">
        <f>IF(OR(NOT('Plano de Ação'!$B86&lt;&gt;""),NOT(ISNUMBER('Plano de Ação'!$F86)),NOT(ISNUMBER('Plano de Ação'!$G86)),'Plano de Ação'!$J86="Cancelada"),0,IF(AND('Plano de Ação'!$F86&lt;=EOMONTH(DATE(ano_ref,5,1),0),'Plano de Ação'!$G86&gt;=DATE(ano_ref,5,1)),1,0))</f>
      </c>
      <c r="J87" s="41">
        <f>IF(OR(NOT('Plano de Ação'!$B86&lt;&gt;""),NOT(ISNUMBER('Plano de Ação'!$F86)),NOT(ISNUMBER('Plano de Ação'!$G86)),'Plano de Ação'!$J86="Cancelada"),0,IF(AND('Plano de Ação'!$F86&lt;=EOMONTH(DATE(ano_ref,6,1),0),'Plano de Ação'!$G86&gt;=DATE(ano_ref,6,1)),1,0))</f>
      </c>
      <c r="K87" s="41">
        <f>IF(OR(NOT('Plano de Ação'!$B86&lt;&gt;""),NOT(ISNUMBER('Plano de Ação'!$F86)),NOT(ISNUMBER('Plano de Ação'!$G86)),'Plano de Ação'!$J86="Cancelada"),0,IF(AND('Plano de Ação'!$F86&lt;=EOMONTH(DATE(ano_ref,7,1),0),'Plano de Ação'!$G86&gt;=DATE(ano_ref,7,1)),1,0))</f>
      </c>
      <c r="L87" s="41">
        <f>IF(OR(NOT('Plano de Ação'!$B86&lt;&gt;""),NOT(ISNUMBER('Plano de Ação'!$F86)),NOT(ISNUMBER('Plano de Ação'!$G86)),'Plano de Ação'!$J86="Cancelada"),0,IF(AND('Plano de Ação'!$F86&lt;=EOMONTH(DATE(ano_ref,8,1),0),'Plano de Ação'!$G86&gt;=DATE(ano_ref,8,1)),1,0))</f>
      </c>
      <c r="M87" s="41">
        <f>IF(OR(NOT('Plano de Ação'!$B86&lt;&gt;""),NOT(ISNUMBER('Plano de Ação'!$F86)),NOT(ISNUMBER('Plano de Ação'!$G86)),'Plano de Ação'!$J86="Cancelada"),0,IF(AND('Plano de Ação'!$F86&lt;=EOMONTH(DATE(ano_ref,9,1),0),'Plano de Ação'!$G86&gt;=DATE(ano_ref,9,1)),1,0))</f>
      </c>
      <c r="N87" s="41">
        <f>IF(OR(NOT('Plano de Ação'!$B86&lt;&gt;""),NOT(ISNUMBER('Plano de Ação'!$F86)),NOT(ISNUMBER('Plano de Ação'!$G86)),'Plano de Ação'!$J86="Cancelada"),0,IF(AND('Plano de Ação'!$F86&lt;=EOMONTH(DATE(ano_ref,10,1),0),'Plano de Ação'!$G86&gt;=DATE(ano_ref,10,1)),1,0))</f>
      </c>
      <c r="O87" s="41">
        <f>IF(OR(NOT('Plano de Ação'!$B86&lt;&gt;""),NOT(ISNUMBER('Plano de Ação'!$F86)),NOT(ISNUMBER('Plano de Ação'!$G86)),'Plano de Ação'!$J86="Cancelada"),0,IF(AND('Plano de Ação'!$F86&lt;=EOMONTH(DATE(ano_ref,11,1),0),'Plano de Ação'!$G86&gt;=DATE(ano_ref,11,1)),1,0))</f>
      </c>
      <c r="P87" s="41">
        <f>IF(OR(NOT('Plano de Ação'!$B86&lt;&gt;""),NOT(ISNUMBER('Plano de Ação'!$F86)),NOT(ISNUMBER('Plano de Ação'!$G86)),'Plano de Ação'!$J86="Cancelada"),0,IF(AND('Plano de Ação'!$F86&lt;=EOMONTH(DATE(ano_ref,12,1),0),'Plano de Ação'!$G86&gt;=DATE(ano_ref,12,1)),1,0))</f>
      </c>
    </row>
    <row r="88" spans="1:16" x14ac:dyDescent="0.25">
      <c r="A88" s="40">
        <f>IF('Plano de Ação'!$B87&lt;&gt;"",'Plano de Ação'!A87&amp;"","")</f>
      </c>
      <c r="B88" s="25">
        <f>IF('Plano de Ação'!$B87&lt;&gt;"",'Plano de Ação'!B87,"")</f>
      </c>
      <c r="C88" s="25">
        <f>IF('Plano de Ação'!$B87&lt;&gt;"",'Plano de Ação'!E87&amp;"","")</f>
      </c>
      <c r="D88" s="40">
        <f>IF('Plano de Ação'!$B87&lt;&gt;"",'Plano de Ação'!L87,"")</f>
      </c>
      <c r="E88" s="41">
        <f>IF(OR(NOT('Plano de Ação'!$B87&lt;&gt;""),NOT(ISNUMBER('Plano de Ação'!$F87)),NOT(ISNUMBER('Plano de Ação'!$G87)),'Plano de Ação'!$J87="Cancelada"),0,IF(AND('Plano de Ação'!$F87&lt;=EOMONTH(DATE(ano_ref,1,1),0),'Plano de Ação'!$G87&gt;=DATE(ano_ref,1,1)),1,0))</f>
      </c>
      <c r="F88" s="41">
        <f>IF(OR(NOT('Plano de Ação'!$B87&lt;&gt;""),NOT(ISNUMBER('Plano de Ação'!$F87)),NOT(ISNUMBER('Plano de Ação'!$G87)),'Plano de Ação'!$J87="Cancelada"),0,IF(AND('Plano de Ação'!$F87&lt;=EOMONTH(DATE(ano_ref,2,1),0),'Plano de Ação'!$G87&gt;=DATE(ano_ref,2,1)),1,0))</f>
      </c>
      <c r="G88" s="41">
        <f>IF(OR(NOT('Plano de Ação'!$B87&lt;&gt;""),NOT(ISNUMBER('Plano de Ação'!$F87)),NOT(ISNUMBER('Plano de Ação'!$G87)),'Plano de Ação'!$J87="Cancelada"),0,IF(AND('Plano de Ação'!$F87&lt;=EOMONTH(DATE(ano_ref,3,1),0),'Plano de Ação'!$G87&gt;=DATE(ano_ref,3,1)),1,0))</f>
      </c>
      <c r="H88" s="41">
        <f>IF(OR(NOT('Plano de Ação'!$B87&lt;&gt;""),NOT(ISNUMBER('Plano de Ação'!$F87)),NOT(ISNUMBER('Plano de Ação'!$G87)),'Plano de Ação'!$J87="Cancelada"),0,IF(AND('Plano de Ação'!$F87&lt;=EOMONTH(DATE(ano_ref,4,1),0),'Plano de Ação'!$G87&gt;=DATE(ano_ref,4,1)),1,0))</f>
      </c>
      <c r="I88" s="41">
        <f>IF(OR(NOT('Plano de Ação'!$B87&lt;&gt;""),NOT(ISNUMBER('Plano de Ação'!$F87)),NOT(ISNUMBER('Plano de Ação'!$G87)),'Plano de Ação'!$J87="Cancelada"),0,IF(AND('Plano de Ação'!$F87&lt;=EOMONTH(DATE(ano_ref,5,1),0),'Plano de Ação'!$G87&gt;=DATE(ano_ref,5,1)),1,0))</f>
      </c>
      <c r="J88" s="41">
        <f>IF(OR(NOT('Plano de Ação'!$B87&lt;&gt;""),NOT(ISNUMBER('Plano de Ação'!$F87)),NOT(ISNUMBER('Plano de Ação'!$G87)),'Plano de Ação'!$J87="Cancelada"),0,IF(AND('Plano de Ação'!$F87&lt;=EOMONTH(DATE(ano_ref,6,1),0),'Plano de Ação'!$G87&gt;=DATE(ano_ref,6,1)),1,0))</f>
      </c>
      <c r="K88" s="41">
        <f>IF(OR(NOT('Plano de Ação'!$B87&lt;&gt;""),NOT(ISNUMBER('Plano de Ação'!$F87)),NOT(ISNUMBER('Plano de Ação'!$G87)),'Plano de Ação'!$J87="Cancelada"),0,IF(AND('Plano de Ação'!$F87&lt;=EOMONTH(DATE(ano_ref,7,1),0),'Plano de Ação'!$G87&gt;=DATE(ano_ref,7,1)),1,0))</f>
      </c>
      <c r="L88" s="41">
        <f>IF(OR(NOT('Plano de Ação'!$B87&lt;&gt;""),NOT(ISNUMBER('Plano de Ação'!$F87)),NOT(ISNUMBER('Plano de Ação'!$G87)),'Plano de Ação'!$J87="Cancelada"),0,IF(AND('Plano de Ação'!$F87&lt;=EOMONTH(DATE(ano_ref,8,1),0),'Plano de Ação'!$G87&gt;=DATE(ano_ref,8,1)),1,0))</f>
      </c>
      <c r="M88" s="41">
        <f>IF(OR(NOT('Plano de Ação'!$B87&lt;&gt;""),NOT(ISNUMBER('Plano de Ação'!$F87)),NOT(ISNUMBER('Plano de Ação'!$G87)),'Plano de Ação'!$J87="Cancelada"),0,IF(AND('Plano de Ação'!$F87&lt;=EOMONTH(DATE(ano_ref,9,1),0),'Plano de Ação'!$G87&gt;=DATE(ano_ref,9,1)),1,0))</f>
      </c>
      <c r="N88" s="41">
        <f>IF(OR(NOT('Plano de Ação'!$B87&lt;&gt;""),NOT(ISNUMBER('Plano de Ação'!$F87)),NOT(ISNUMBER('Plano de Ação'!$G87)),'Plano de Ação'!$J87="Cancelada"),0,IF(AND('Plano de Ação'!$F87&lt;=EOMONTH(DATE(ano_ref,10,1),0),'Plano de Ação'!$G87&gt;=DATE(ano_ref,10,1)),1,0))</f>
      </c>
      <c r="O88" s="41">
        <f>IF(OR(NOT('Plano de Ação'!$B87&lt;&gt;""),NOT(ISNUMBER('Plano de Ação'!$F87)),NOT(ISNUMBER('Plano de Ação'!$G87)),'Plano de Ação'!$J87="Cancelada"),0,IF(AND('Plano de Ação'!$F87&lt;=EOMONTH(DATE(ano_ref,11,1),0),'Plano de Ação'!$G87&gt;=DATE(ano_ref,11,1)),1,0))</f>
      </c>
      <c r="P88" s="41">
        <f>IF(OR(NOT('Plano de Ação'!$B87&lt;&gt;""),NOT(ISNUMBER('Plano de Ação'!$F87)),NOT(ISNUMBER('Plano de Ação'!$G87)),'Plano de Ação'!$J87="Cancelada"),0,IF(AND('Plano de Ação'!$F87&lt;=EOMONTH(DATE(ano_ref,12,1),0),'Plano de Ação'!$G87&gt;=DATE(ano_ref,12,1)),1,0))</f>
      </c>
    </row>
    <row r="89" spans="1:16" x14ac:dyDescent="0.25">
      <c r="A89" s="40">
        <f>IF('Plano de Ação'!$B88&lt;&gt;"",'Plano de Ação'!A88&amp;"","")</f>
      </c>
      <c r="B89" s="25">
        <f>IF('Plano de Ação'!$B88&lt;&gt;"",'Plano de Ação'!B88,"")</f>
      </c>
      <c r="C89" s="25">
        <f>IF('Plano de Ação'!$B88&lt;&gt;"",'Plano de Ação'!E88&amp;"","")</f>
      </c>
      <c r="D89" s="40">
        <f>IF('Plano de Ação'!$B88&lt;&gt;"",'Plano de Ação'!L88,"")</f>
      </c>
      <c r="E89" s="41">
        <f>IF(OR(NOT('Plano de Ação'!$B88&lt;&gt;""),NOT(ISNUMBER('Plano de Ação'!$F88)),NOT(ISNUMBER('Plano de Ação'!$G88)),'Plano de Ação'!$J88="Cancelada"),0,IF(AND('Plano de Ação'!$F88&lt;=EOMONTH(DATE(ano_ref,1,1),0),'Plano de Ação'!$G88&gt;=DATE(ano_ref,1,1)),1,0))</f>
      </c>
      <c r="F89" s="41">
        <f>IF(OR(NOT('Plano de Ação'!$B88&lt;&gt;""),NOT(ISNUMBER('Plano de Ação'!$F88)),NOT(ISNUMBER('Plano de Ação'!$G88)),'Plano de Ação'!$J88="Cancelada"),0,IF(AND('Plano de Ação'!$F88&lt;=EOMONTH(DATE(ano_ref,2,1),0),'Plano de Ação'!$G88&gt;=DATE(ano_ref,2,1)),1,0))</f>
      </c>
      <c r="G89" s="41">
        <f>IF(OR(NOT('Plano de Ação'!$B88&lt;&gt;""),NOT(ISNUMBER('Plano de Ação'!$F88)),NOT(ISNUMBER('Plano de Ação'!$G88)),'Plano de Ação'!$J88="Cancelada"),0,IF(AND('Plano de Ação'!$F88&lt;=EOMONTH(DATE(ano_ref,3,1),0),'Plano de Ação'!$G88&gt;=DATE(ano_ref,3,1)),1,0))</f>
      </c>
      <c r="H89" s="41">
        <f>IF(OR(NOT('Plano de Ação'!$B88&lt;&gt;""),NOT(ISNUMBER('Plano de Ação'!$F88)),NOT(ISNUMBER('Plano de Ação'!$G88)),'Plano de Ação'!$J88="Cancelada"),0,IF(AND('Plano de Ação'!$F88&lt;=EOMONTH(DATE(ano_ref,4,1),0),'Plano de Ação'!$G88&gt;=DATE(ano_ref,4,1)),1,0))</f>
      </c>
      <c r="I89" s="41">
        <f>IF(OR(NOT('Plano de Ação'!$B88&lt;&gt;""),NOT(ISNUMBER('Plano de Ação'!$F88)),NOT(ISNUMBER('Plano de Ação'!$G88)),'Plano de Ação'!$J88="Cancelada"),0,IF(AND('Plano de Ação'!$F88&lt;=EOMONTH(DATE(ano_ref,5,1),0),'Plano de Ação'!$G88&gt;=DATE(ano_ref,5,1)),1,0))</f>
      </c>
      <c r="J89" s="41">
        <f>IF(OR(NOT('Plano de Ação'!$B88&lt;&gt;""),NOT(ISNUMBER('Plano de Ação'!$F88)),NOT(ISNUMBER('Plano de Ação'!$G88)),'Plano de Ação'!$J88="Cancelada"),0,IF(AND('Plano de Ação'!$F88&lt;=EOMONTH(DATE(ano_ref,6,1),0),'Plano de Ação'!$G88&gt;=DATE(ano_ref,6,1)),1,0))</f>
      </c>
      <c r="K89" s="41">
        <f>IF(OR(NOT('Plano de Ação'!$B88&lt;&gt;""),NOT(ISNUMBER('Plano de Ação'!$F88)),NOT(ISNUMBER('Plano de Ação'!$G88)),'Plano de Ação'!$J88="Cancelada"),0,IF(AND('Plano de Ação'!$F88&lt;=EOMONTH(DATE(ano_ref,7,1),0),'Plano de Ação'!$G88&gt;=DATE(ano_ref,7,1)),1,0))</f>
      </c>
      <c r="L89" s="41">
        <f>IF(OR(NOT('Plano de Ação'!$B88&lt;&gt;""),NOT(ISNUMBER('Plano de Ação'!$F88)),NOT(ISNUMBER('Plano de Ação'!$G88)),'Plano de Ação'!$J88="Cancelada"),0,IF(AND('Plano de Ação'!$F88&lt;=EOMONTH(DATE(ano_ref,8,1),0),'Plano de Ação'!$G88&gt;=DATE(ano_ref,8,1)),1,0))</f>
      </c>
      <c r="M89" s="41">
        <f>IF(OR(NOT('Plano de Ação'!$B88&lt;&gt;""),NOT(ISNUMBER('Plano de Ação'!$F88)),NOT(ISNUMBER('Plano de Ação'!$G88)),'Plano de Ação'!$J88="Cancelada"),0,IF(AND('Plano de Ação'!$F88&lt;=EOMONTH(DATE(ano_ref,9,1),0),'Plano de Ação'!$G88&gt;=DATE(ano_ref,9,1)),1,0))</f>
      </c>
      <c r="N89" s="41">
        <f>IF(OR(NOT('Plano de Ação'!$B88&lt;&gt;""),NOT(ISNUMBER('Plano de Ação'!$F88)),NOT(ISNUMBER('Plano de Ação'!$G88)),'Plano de Ação'!$J88="Cancelada"),0,IF(AND('Plano de Ação'!$F88&lt;=EOMONTH(DATE(ano_ref,10,1),0),'Plano de Ação'!$G88&gt;=DATE(ano_ref,10,1)),1,0))</f>
      </c>
      <c r="O89" s="41">
        <f>IF(OR(NOT('Plano de Ação'!$B88&lt;&gt;""),NOT(ISNUMBER('Plano de Ação'!$F88)),NOT(ISNUMBER('Plano de Ação'!$G88)),'Plano de Ação'!$J88="Cancelada"),0,IF(AND('Plano de Ação'!$F88&lt;=EOMONTH(DATE(ano_ref,11,1),0),'Plano de Ação'!$G88&gt;=DATE(ano_ref,11,1)),1,0))</f>
      </c>
      <c r="P89" s="41">
        <f>IF(OR(NOT('Plano de Ação'!$B88&lt;&gt;""),NOT(ISNUMBER('Plano de Ação'!$F88)),NOT(ISNUMBER('Plano de Ação'!$G88)),'Plano de Ação'!$J88="Cancelada"),0,IF(AND('Plano de Ação'!$F88&lt;=EOMONTH(DATE(ano_ref,12,1),0),'Plano de Ação'!$G88&gt;=DATE(ano_ref,12,1)),1,0))</f>
      </c>
    </row>
    <row r="90" spans="1:16" x14ac:dyDescent="0.25">
      <c r="A90" s="40">
        <f>IF('Plano de Ação'!$B89&lt;&gt;"",'Plano de Ação'!A89&amp;"","")</f>
      </c>
      <c r="B90" s="25">
        <f>IF('Plano de Ação'!$B89&lt;&gt;"",'Plano de Ação'!B89,"")</f>
      </c>
      <c r="C90" s="25">
        <f>IF('Plano de Ação'!$B89&lt;&gt;"",'Plano de Ação'!E89&amp;"","")</f>
      </c>
      <c r="D90" s="40">
        <f>IF('Plano de Ação'!$B89&lt;&gt;"",'Plano de Ação'!L89,"")</f>
      </c>
      <c r="E90" s="41">
        <f>IF(OR(NOT('Plano de Ação'!$B89&lt;&gt;""),NOT(ISNUMBER('Plano de Ação'!$F89)),NOT(ISNUMBER('Plano de Ação'!$G89)),'Plano de Ação'!$J89="Cancelada"),0,IF(AND('Plano de Ação'!$F89&lt;=EOMONTH(DATE(ano_ref,1,1),0),'Plano de Ação'!$G89&gt;=DATE(ano_ref,1,1)),1,0))</f>
      </c>
      <c r="F90" s="41">
        <f>IF(OR(NOT('Plano de Ação'!$B89&lt;&gt;""),NOT(ISNUMBER('Plano de Ação'!$F89)),NOT(ISNUMBER('Plano de Ação'!$G89)),'Plano de Ação'!$J89="Cancelada"),0,IF(AND('Plano de Ação'!$F89&lt;=EOMONTH(DATE(ano_ref,2,1),0),'Plano de Ação'!$G89&gt;=DATE(ano_ref,2,1)),1,0))</f>
      </c>
      <c r="G90" s="41">
        <f>IF(OR(NOT('Plano de Ação'!$B89&lt;&gt;""),NOT(ISNUMBER('Plano de Ação'!$F89)),NOT(ISNUMBER('Plano de Ação'!$G89)),'Plano de Ação'!$J89="Cancelada"),0,IF(AND('Plano de Ação'!$F89&lt;=EOMONTH(DATE(ano_ref,3,1),0),'Plano de Ação'!$G89&gt;=DATE(ano_ref,3,1)),1,0))</f>
      </c>
      <c r="H90" s="41">
        <f>IF(OR(NOT('Plano de Ação'!$B89&lt;&gt;""),NOT(ISNUMBER('Plano de Ação'!$F89)),NOT(ISNUMBER('Plano de Ação'!$G89)),'Plano de Ação'!$J89="Cancelada"),0,IF(AND('Plano de Ação'!$F89&lt;=EOMONTH(DATE(ano_ref,4,1),0),'Plano de Ação'!$G89&gt;=DATE(ano_ref,4,1)),1,0))</f>
      </c>
      <c r="I90" s="41">
        <f>IF(OR(NOT('Plano de Ação'!$B89&lt;&gt;""),NOT(ISNUMBER('Plano de Ação'!$F89)),NOT(ISNUMBER('Plano de Ação'!$G89)),'Plano de Ação'!$J89="Cancelada"),0,IF(AND('Plano de Ação'!$F89&lt;=EOMONTH(DATE(ano_ref,5,1),0),'Plano de Ação'!$G89&gt;=DATE(ano_ref,5,1)),1,0))</f>
      </c>
      <c r="J90" s="41">
        <f>IF(OR(NOT('Plano de Ação'!$B89&lt;&gt;""),NOT(ISNUMBER('Plano de Ação'!$F89)),NOT(ISNUMBER('Plano de Ação'!$G89)),'Plano de Ação'!$J89="Cancelada"),0,IF(AND('Plano de Ação'!$F89&lt;=EOMONTH(DATE(ano_ref,6,1),0),'Plano de Ação'!$G89&gt;=DATE(ano_ref,6,1)),1,0))</f>
      </c>
      <c r="K90" s="41">
        <f>IF(OR(NOT('Plano de Ação'!$B89&lt;&gt;""),NOT(ISNUMBER('Plano de Ação'!$F89)),NOT(ISNUMBER('Plano de Ação'!$G89)),'Plano de Ação'!$J89="Cancelada"),0,IF(AND('Plano de Ação'!$F89&lt;=EOMONTH(DATE(ano_ref,7,1),0),'Plano de Ação'!$G89&gt;=DATE(ano_ref,7,1)),1,0))</f>
      </c>
      <c r="L90" s="41">
        <f>IF(OR(NOT('Plano de Ação'!$B89&lt;&gt;""),NOT(ISNUMBER('Plano de Ação'!$F89)),NOT(ISNUMBER('Plano de Ação'!$G89)),'Plano de Ação'!$J89="Cancelada"),0,IF(AND('Plano de Ação'!$F89&lt;=EOMONTH(DATE(ano_ref,8,1),0),'Plano de Ação'!$G89&gt;=DATE(ano_ref,8,1)),1,0))</f>
      </c>
      <c r="M90" s="41">
        <f>IF(OR(NOT('Plano de Ação'!$B89&lt;&gt;""),NOT(ISNUMBER('Plano de Ação'!$F89)),NOT(ISNUMBER('Plano de Ação'!$G89)),'Plano de Ação'!$J89="Cancelada"),0,IF(AND('Plano de Ação'!$F89&lt;=EOMONTH(DATE(ano_ref,9,1),0),'Plano de Ação'!$G89&gt;=DATE(ano_ref,9,1)),1,0))</f>
      </c>
      <c r="N90" s="41">
        <f>IF(OR(NOT('Plano de Ação'!$B89&lt;&gt;""),NOT(ISNUMBER('Plano de Ação'!$F89)),NOT(ISNUMBER('Plano de Ação'!$G89)),'Plano de Ação'!$J89="Cancelada"),0,IF(AND('Plano de Ação'!$F89&lt;=EOMONTH(DATE(ano_ref,10,1),0),'Plano de Ação'!$G89&gt;=DATE(ano_ref,10,1)),1,0))</f>
      </c>
      <c r="O90" s="41">
        <f>IF(OR(NOT('Plano de Ação'!$B89&lt;&gt;""),NOT(ISNUMBER('Plano de Ação'!$F89)),NOT(ISNUMBER('Plano de Ação'!$G89)),'Plano de Ação'!$J89="Cancelada"),0,IF(AND('Plano de Ação'!$F89&lt;=EOMONTH(DATE(ano_ref,11,1),0),'Plano de Ação'!$G89&gt;=DATE(ano_ref,11,1)),1,0))</f>
      </c>
      <c r="P90" s="41">
        <f>IF(OR(NOT('Plano de Ação'!$B89&lt;&gt;""),NOT(ISNUMBER('Plano de Ação'!$F89)),NOT(ISNUMBER('Plano de Ação'!$G89)),'Plano de Ação'!$J89="Cancelada"),0,IF(AND('Plano de Ação'!$F89&lt;=EOMONTH(DATE(ano_ref,12,1),0),'Plano de Ação'!$G89&gt;=DATE(ano_ref,12,1)),1,0))</f>
      </c>
    </row>
    <row r="91" spans="1:16" x14ac:dyDescent="0.25">
      <c r="A91" s="40">
        <f>IF('Plano de Ação'!$B90&lt;&gt;"",'Plano de Ação'!A90&amp;"","")</f>
      </c>
      <c r="B91" s="25">
        <f>IF('Plano de Ação'!$B90&lt;&gt;"",'Plano de Ação'!B90,"")</f>
      </c>
      <c r="C91" s="25">
        <f>IF('Plano de Ação'!$B90&lt;&gt;"",'Plano de Ação'!E90&amp;"","")</f>
      </c>
      <c r="D91" s="40">
        <f>IF('Plano de Ação'!$B90&lt;&gt;"",'Plano de Ação'!L90,"")</f>
      </c>
      <c r="E91" s="41">
        <f>IF(OR(NOT('Plano de Ação'!$B90&lt;&gt;""),NOT(ISNUMBER('Plano de Ação'!$F90)),NOT(ISNUMBER('Plano de Ação'!$G90)),'Plano de Ação'!$J90="Cancelada"),0,IF(AND('Plano de Ação'!$F90&lt;=EOMONTH(DATE(ano_ref,1,1),0),'Plano de Ação'!$G90&gt;=DATE(ano_ref,1,1)),1,0))</f>
      </c>
      <c r="F91" s="41">
        <f>IF(OR(NOT('Plano de Ação'!$B90&lt;&gt;""),NOT(ISNUMBER('Plano de Ação'!$F90)),NOT(ISNUMBER('Plano de Ação'!$G90)),'Plano de Ação'!$J90="Cancelada"),0,IF(AND('Plano de Ação'!$F90&lt;=EOMONTH(DATE(ano_ref,2,1),0),'Plano de Ação'!$G90&gt;=DATE(ano_ref,2,1)),1,0))</f>
      </c>
      <c r="G91" s="41">
        <f>IF(OR(NOT('Plano de Ação'!$B90&lt;&gt;""),NOT(ISNUMBER('Plano de Ação'!$F90)),NOT(ISNUMBER('Plano de Ação'!$G90)),'Plano de Ação'!$J90="Cancelada"),0,IF(AND('Plano de Ação'!$F90&lt;=EOMONTH(DATE(ano_ref,3,1),0),'Plano de Ação'!$G90&gt;=DATE(ano_ref,3,1)),1,0))</f>
      </c>
      <c r="H91" s="41">
        <f>IF(OR(NOT('Plano de Ação'!$B90&lt;&gt;""),NOT(ISNUMBER('Plano de Ação'!$F90)),NOT(ISNUMBER('Plano de Ação'!$G90)),'Plano de Ação'!$J90="Cancelada"),0,IF(AND('Plano de Ação'!$F90&lt;=EOMONTH(DATE(ano_ref,4,1),0),'Plano de Ação'!$G90&gt;=DATE(ano_ref,4,1)),1,0))</f>
      </c>
      <c r="I91" s="41">
        <f>IF(OR(NOT('Plano de Ação'!$B90&lt;&gt;""),NOT(ISNUMBER('Plano de Ação'!$F90)),NOT(ISNUMBER('Plano de Ação'!$G90)),'Plano de Ação'!$J90="Cancelada"),0,IF(AND('Plano de Ação'!$F90&lt;=EOMONTH(DATE(ano_ref,5,1),0),'Plano de Ação'!$G90&gt;=DATE(ano_ref,5,1)),1,0))</f>
      </c>
      <c r="J91" s="41">
        <f>IF(OR(NOT('Plano de Ação'!$B90&lt;&gt;""),NOT(ISNUMBER('Plano de Ação'!$F90)),NOT(ISNUMBER('Plano de Ação'!$G90)),'Plano de Ação'!$J90="Cancelada"),0,IF(AND('Plano de Ação'!$F90&lt;=EOMONTH(DATE(ano_ref,6,1),0),'Plano de Ação'!$G90&gt;=DATE(ano_ref,6,1)),1,0))</f>
      </c>
      <c r="K91" s="41">
        <f>IF(OR(NOT('Plano de Ação'!$B90&lt;&gt;""),NOT(ISNUMBER('Plano de Ação'!$F90)),NOT(ISNUMBER('Plano de Ação'!$G90)),'Plano de Ação'!$J90="Cancelada"),0,IF(AND('Plano de Ação'!$F90&lt;=EOMONTH(DATE(ano_ref,7,1),0),'Plano de Ação'!$G90&gt;=DATE(ano_ref,7,1)),1,0))</f>
      </c>
      <c r="L91" s="41">
        <f>IF(OR(NOT('Plano de Ação'!$B90&lt;&gt;""),NOT(ISNUMBER('Plano de Ação'!$F90)),NOT(ISNUMBER('Plano de Ação'!$G90)),'Plano de Ação'!$J90="Cancelada"),0,IF(AND('Plano de Ação'!$F90&lt;=EOMONTH(DATE(ano_ref,8,1),0),'Plano de Ação'!$G90&gt;=DATE(ano_ref,8,1)),1,0))</f>
      </c>
      <c r="M91" s="41">
        <f>IF(OR(NOT('Plano de Ação'!$B90&lt;&gt;""),NOT(ISNUMBER('Plano de Ação'!$F90)),NOT(ISNUMBER('Plano de Ação'!$G90)),'Plano de Ação'!$J90="Cancelada"),0,IF(AND('Plano de Ação'!$F90&lt;=EOMONTH(DATE(ano_ref,9,1),0),'Plano de Ação'!$G90&gt;=DATE(ano_ref,9,1)),1,0))</f>
      </c>
      <c r="N91" s="41">
        <f>IF(OR(NOT('Plano de Ação'!$B90&lt;&gt;""),NOT(ISNUMBER('Plano de Ação'!$F90)),NOT(ISNUMBER('Plano de Ação'!$G90)),'Plano de Ação'!$J90="Cancelada"),0,IF(AND('Plano de Ação'!$F90&lt;=EOMONTH(DATE(ano_ref,10,1),0),'Plano de Ação'!$G90&gt;=DATE(ano_ref,10,1)),1,0))</f>
      </c>
      <c r="O91" s="41">
        <f>IF(OR(NOT('Plano de Ação'!$B90&lt;&gt;""),NOT(ISNUMBER('Plano de Ação'!$F90)),NOT(ISNUMBER('Plano de Ação'!$G90)),'Plano de Ação'!$J90="Cancelada"),0,IF(AND('Plano de Ação'!$F90&lt;=EOMONTH(DATE(ano_ref,11,1),0),'Plano de Ação'!$G90&gt;=DATE(ano_ref,11,1)),1,0))</f>
      </c>
      <c r="P91" s="41">
        <f>IF(OR(NOT('Plano de Ação'!$B90&lt;&gt;""),NOT(ISNUMBER('Plano de Ação'!$F90)),NOT(ISNUMBER('Plano de Ação'!$G90)),'Plano de Ação'!$J90="Cancelada"),0,IF(AND('Plano de Ação'!$F90&lt;=EOMONTH(DATE(ano_ref,12,1),0),'Plano de Ação'!$G90&gt;=DATE(ano_ref,12,1)),1,0))</f>
      </c>
    </row>
    <row r="92" spans="1:16" x14ac:dyDescent="0.25">
      <c r="A92" s="40">
        <f>IF('Plano de Ação'!$B91&lt;&gt;"",'Plano de Ação'!A91&amp;"","")</f>
      </c>
      <c r="B92" s="25">
        <f>IF('Plano de Ação'!$B91&lt;&gt;"",'Plano de Ação'!B91,"")</f>
      </c>
      <c r="C92" s="25">
        <f>IF('Plano de Ação'!$B91&lt;&gt;"",'Plano de Ação'!E91&amp;"","")</f>
      </c>
      <c r="D92" s="40">
        <f>IF('Plano de Ação'!$B91&lt;&gt;"",'Plano de Ação'!L91,"")</f>
      </c>
      <c r="E92" s="41">
        <f>IF(OR(NOT('Plano de Ação'!$B91&lt;&gt;""),NOT(ISNUMBER('Plano de Ação'!$F91)),NOT(ISNUMBER('Plano de Ação'!$G91)),'Plano de Ação'!$J91="Cancelada"),0,IF(AND('Plano de Ação'!$F91&lt;=EOMONTH(DATE(ano_ref,1,1),0),'Plano de Ação'!$G91&gt;=DATE(ano_ref,1,1)),1,0))</f>
      </c>
      <c r="F92" s="41">
        <f>IF(OR(NOT('Plano de Ação'!$B91&lt;&gt;""),NOT(ISNUMBER('Plano de Ação'!$F91)),NOT(ISNUMBER('Plano de Ação'!$G91)),'Plano de Ação'!$J91="Cancelada"),0,IF(AND('Plano de Ação'!$F91&lt;=EOMONTH(DATE(ano_ref,2,1),0),'Plano de Ação'!$G91&gt;=DATE(ano_ref,2,1)),1,0))</f>
      </c>
      <c r="G92" s="41">
        <f>IF(OR(NOT('Plano de Ação'!$B91&lt;&gt;""),NOT(ISNUMBER('Plano de Ação'!$F91)),NOT(ISNUMBER('Plano de Ação'!$G91)),'Plano de Ação'!$J91="Cancelada"),0,IF(AND('Plano de Ação'!$F91&lt;=EOMONTH(DATE(ano_ref,3,1),0),'Plano de Ação'!$G91&gt;=DATE(ano_ref,3,1)),1,0))</f>
      </c>
      <c r="H92" s="41">
        <f>IF(OR(NOT('Plano de Ação'!$B91&lt;&gt;""),NOT(ISNUMBER('Plano de Ação'!$F91)),NOT(ISNUMBER('Plano de Ação'!$G91)),'Plano de Ação'!$J91="Cancelada"),0,IF(AND('Plano de Ação'!$F91&lt;=EOMONTH(DATE(ano_ref,4,1),0),'Plano de Ação'!$G91&gt;=DATE(ano_ref,4,1)),1,0))</f>
      </c>
      <c r="I92" s="41">
        <f>IF(OR(NOT('Plano de Ação'!$B91&lt;&gt;""),NOT(ISNUMBER('Plano de Ação'!$F91)),NOT(ISNUMBER('Plano de Ação'!$G91)),'Plano de Ação'!$J91="Cancelada"),0,IF(AND('Plano de Ação'!$F91&lt;=EOMONTH(DATE(ano_ref,5,1),0),'Plano de Ação'!$G91&gt;=DATE(ano_ref,5,1)),1,0))</f>
      </c>
      <c r="J92" s="41">
        <f>IF(OR(NOT('Plano de Ação'!$B91&lt;&gt;""),NOT(ISNUMBER('Plano de Ação'!$F91)),NOT(ISNUMBER('Plano de Ação'!$G91)),'Plano de Ação'!$J91="Cancelada"),0,IF(AND('Plano de Ação'!$F91&lt;=EOMONTH(DATE(ano_ref,6,1),0),'Plano de Ação'!$G91&gt;=DATE(ano_ref,6,1)),1,0))</f>
      </c>
      <c r="K92" s="41">
        <f>IF(OR(NOT('Plano de Ação'!$B91&lt;&gt;""),NOT(ISNUMBER('Plano de Ação'!$F91)),NOT(ISNUMBER('Plano de Ação'!$G91)),'Plano de Ação'!$J91="Cancelada"),0,IF(AND('Plano de Ação'!$F91&lt;=EOMONTH(DATE(ano_ref,7,1),0),'Plano de Ação'!$G91&gt;=DATE(ano_ref,7,1)),1,0))</f>
      </c>
      <c r="L92" s="41">
        <f>IF(OR(NOT('Plano de Ação'!$B91&lt;&gt;""),NOT(ISNUMBER('Plano de Ação'!$F91)),NOT(ISNUMBER('Plano de Ação'!$G91)),'Plano de Ação'!$J91="Cancelada"),0,IF(AND('Plano de Ação'!$F91&lt;=EOMONTH(DATE(ano_ref,8,1),0),'Plano de Ação'!$G91&gt;=DATE(ano_ref,8,1)),1,0))</f>
      </c>
      <c r="M92" s="41">
        <f>IF(OR(NOT('Plano de Ação'!$B91&lt;&gt;""),NOT(ISNUMBER('Plano de Ação'!$F91)),NOT(ISNUMBER('Plano de Ação'!$G91)),'Plano de Ação'!$J91="Cancelada"),0,IF(AND('Plano de Ação'!$F91&lt;=EOMONTH(DATE(ano_ref,9,1),0),'Plano de Ação'!$G91&gt;=DATE(ano_ref,9,1)),1,0))</f>
      </c>
      <c r="N92" s="41">
        <f>IF(OR(NOT('Plano de Ação'!$B91&lt;&gt;""),NOT(ISNUMBER('Plano de Ação'!$F91)),NOT(ISNUMBER('Plano de Ação'!$G91)),'Plano de Ação'!$J91="Cancelada"),0,IF(AND('Plano de Ação'!$F91&lt;=EOMONTH(DATE(ano_ref,10,1),0),'Plano de Ação'!$G91&gt;=DATE(ano_ref,10,1)),1,0))</f>
      </c>
      <c r="O92" s="41">
        <f>IF(OR(NOT('Plano de Ação'!$B91&lt;&gt;""),NOT(ISNUMBER('Plano de Ação'!$F91)),NOT(ISNUMBER('Plano de Ação'!$G91)),'Plano de Ação'!$J91="Cancelada"),0,IF(AND('Plano de Ação'!$F91&lt;=EOMONTH(DATE(ano_ref,11,1),0),'Plano de Ação'!$G91&gt;=DATE(ano_ref,11,1)),1,0))</f>
      </c>
      <c r="P92" s="41">
        <f>IF(OR(NOT('Plano de Ação'!$B91&lt;&gt;""),NOT(ISNUMBER('Plano de Ação'!$F91)),NOT(ISNUMBER('Plano de Ação'!$G91)),'Plano de Ação'!$J91="Cancelada"),0,IF(AND('Plano de Ação'!$F91&lt;=EOMONTH(DATE(ano_ref,12,1),0),'Plano de Ação'!$G91&gt;=DATE(ano_ref,12,1)),1,0))</f>
      </c>
    </row>
    <row r="93" spans="1:16" x14ac:dyDescent="0.25">
      <c r="A93" s="40">
        <f>IF('Plano de Ação'!$B92&lt;&gt;"",'Plano de Ação'!A92&amp;"","")</f>
      </c>
      <c r="B93" s="25">
        <f>IF('Plano de Ação'!$B92&lt;&gt;"",'Plano de Ação'!B92,"")</f>
      </c>
      <c r="C93" s="25">
        <f>IF('Plano de Ação'!$B92&lt;&gt;"",'Plano de Ação'!E92&amp;"","")</f>
      </c>
      <c r="D93" s="40">
        <f>IF('Plano de Ação'!$B92&lt;&gt;"",'Plano de Ação'!L92,"")</f>
      </c>
      <c r="E93" s="41">
        <f>IF(OR(NOT('Plano de Ação'!$B92&lt;&gt;""),NOT(ISNUMBER('Plano de Ação'!$F92)),NOT(ISNUMBER('Plano de Ação'!$G92)),'Plano de Ação'!$J92="Cancelada"),0,IF(AND('Plano de Ação'!$F92&lt;=EOMONTH(DATE(ano_ref,1,1),0),'Plano de Ação'!$G92&gt;=DATE(ano_ref,1,1)),1,0))</f>
      </c>
      <c r="F93" s="41">
        <f>IF(OR(NOT('Plano de Ação'!$B92&lt;&gt;""),NOT(ISNUMBER('Plano de Ação'!$F92)),NOT(ISNUMBER('Plano de Ação'!$G92)),'Plano de Ação'!$J92="Cancelada"),0,IF(AND('Plano de Ação'!$F92&lt;=EOMONTH(DATE(ano_ref,2,1),0),'Plano de Ação'!$G92&gt;=DATE(ano_ref,2,1)),1,0))</f>
      </c>
      <c r="G93" s="41">
        <f>IF(OR(NOT('Plano de Ação'!$B92&lt;&gt;""),NOT(ISNUMBER('Plano de Ação'!$F92)),NOT(ISNUMBER('Plano de Ação'!$G92)),'Plano de Ação'!$J92="Cancelada"),0,IF(AND('Plano de Ação'!$F92&lt;=EOMONTH(DATE(ano_ref,3,1),0),'Plano de Ação'!$G92&gt;=DATE(ano_ref,3,1)),1,0))</f>
      </c>
      <c r="H93" s="41">
        <f>IF(OR(NOT('Plano de Ação'!$B92&lt;&gt;""),NOT(ISNUMBER('Plano de Ação'!$F92)),NOT(ISNUMBER('Plano de Ação'!$G92)),'Plano de Ação'!$J92="Cancelada"),0,IF(AND('Plano de Ação'!$F92&lt;=EOMONTH(DATE(ano_ref,4,1),0),'Plano de Ação'!$G92&gt;=DATE(ano_ref,4,1)),1,0))</f>
      </c>
      <c r="I93" s="41">
        <f>IF(OR(NOT('Plano de Ação'!$B92&lt;&gt;""),NOT(ISNUMBER('Plano de Ação'!$F92)),NOT(ISNUMBER('Plano de Ação'!$G92)),'Plano de Ação'!$J92="Cancelada"),0,IF(AND('Plano de Ação'!$F92&lt;=EOMONTH(DATE(ano_ref,5,1),0),'Plano de Ação'!$G92&gt;=DATE(ano_ref,5,1)),1,0))</f>
      </c>
      <c r="J93" s="41">
        <f>IF(OR(NOT('Plano de Ação'!$B92&lt;&gt;""),NOT(ISNUMBER('Plano de Ação'!$F92)),NOT(ISNUMBER('Plano de Ação'!$G92)),'Plano de Ação'!$J92="Cancelada"),0,IF(AND('Plano de Ação'!$F92&lt;=EOMONTH(DATE(ano_ref,6,1),0),'Plano de Ação'!$G92&gt;=DATE(ano_ref,6,1)),1,0))</f>
      </c>
      <c r="K93" s="41">
        <f>IF(OR(NOT('Plano de Ação'!$B92&lt;&gt;""),NOT(ISNUMBER('Plano de Ação'!$F92)),NOT(ISNUMBER('Plano de Ação'!$G92)),'Plano de Ação'!$J92="Cancelada"),0,IF(AND('Plano de Ação'!$F92&lt;=EOMONTH(DATE(ano_ref,7,1),0),'Plano de Ação'!$G92&gt;=DATE(ano_ref,7,1)),1,0))</f>
      </c>
      <c r="L93" s="41">
        <f>IF(OR(NOT('Plano de Ação'!$B92&lt;&gt;""),NOT(ISNUMBER('Plano de Ação'!$F92)),NOT(ISNUMBER('Plano de Ação'!$G92)),'Plano de Ação'!$J92="Cancelada"),0,IF(AND('Plano de Ação'!$F92&lt;=EOMONTH(DATE(ano_ref,8,1),0),'Plano de Ação'!$G92&gt;=DATE(ano_ref,8,1)),1,0))</f>
      </c>
      <c r="M93" s="41">
        <f>IF(OR(NOT('Plano de Ação'!$B92&lt;&gt;""),NOT(ISNUMBER('Plano de Ação'!$F92)),NOT(ISNUMBER('Plano de Ação'!$G92)),'Plano de Ação'!$J92="Cancelada"),0,IF(AND('Plano de Ação'!$F92&lt;=EOMONTH(DATE(ano_ref,9,1),0),'Plano de Ação'!$G92&gt;=DATE(ano_ref,9,1)),1,0))</f>
      </c>
      <c r="N93" s="41">
        <f>IF(OR(NOT('Plano de Ação'!$B92&lt;&gt;""),NOT(ISNUMBER('Plano de Ação'!$F92)),NOT(ISNUMBER('Plano de Ação'!$G92)),'Plano de Ação'!$J92="Cancelada"),0,IF(AND('Plano de Ação'!$F92&lt;=EOMONTH(DATE(ano_ref,10,1),0),'Plano de Ação'!$G92&gt;=DATE(ano_ref,10,1)),1,0))</f>
      </c>
      <c r="O93" s="41">
        <f>IF(OR(NOT('Plano de Ação'!$B92&lt;&gt;""),NOT(ISNUMBER('Plano de Ação'!$F92)),NOT(ISNUMBER('Plano de Ação'!$G92)),'Plano de Ação'!$J92="Cancelada"),0,IF(AND('Plano de Ação'!$F92&lt;=EOMONTH(DATE(ano_ref,11,1),0),'Plano de Ação'!$G92&gt;=DATE(ano_ref,11,1)),1,0))</f>
      </c>
      <c r="P93" s="41">
        <f>IF(OR(NOT('Plano de Ação'!$B92&lt;&gt;""),NOT(ISNUMBER('Plano de Ação'!$F92)),NOT(ISNUMBER('Plano de Ação'!$G92)),'Plano de Ação'!$J92="Cancelada"),0,IF(AND('Plano de Ação'!$F92&lt;=EOMONTH(DATE(ano_ref,12,1),0),'Plano de Ação'!$G92&gt;=DATE(ano_ref,12,1)),1,0))</f>
      </c>
    </row>
    <row r="94" spans="1:16" x14ac:dyDescent="0.25">
      <c r="A94" s="40">
        <f>IF('Plano de Ação'!$B93&lt;&gt;"",'Plano de Ação'!A93&amp;"","")</f>
      </c>
      <c r="B94" s="25">
        <f>IF('Plano de Ação'!$B93&lt;&gt;"",'Plano de Ação'!B93,"")</f>
      </c>
      <c r="C94" s="25">
        <f>IF('Plano de Ação'!$B93&lt;&gt;"",'Plano de Ação'!E93&amp;"","")</f>
      </c>
      <c r="D94" s="40">
        <f>IF('Plano de Ação'!$B93&lt;&gt;"",'Plano de Ação'!L93,"")</f>
      </c>
      <c r="E94" s="41">
        <f>IF(OR(NOT('Plano de Ação'!$B93&lt;&gt;""),NOT(ISNUMBER('Plano de Ação'!$F93)),NOT(ISNUMBER('Plano de Ação'!$G93)),'Plano de Ação'!$J93="Cancelada"),0,IF(AND('Plano de Ação'!$F93&lt;=EOMONTH(DATE(ano_ref,1,1),0),'Plano de Ação'!$G93&gt;=DATE(ano_ref,1,1)),1,0))</f>
      </c>
      <c r="F94" s="41">
        <f>IF(OR(NOT('Plano de Ação'!$B93&lt;&gt;""),NOT(ISNUMBER('Plano de Ação'!$F93)),NOT(ISNUMBER('Plano de Ação'!$G93)),'Plano de Ação'!$J93="Cancelada"),0,IF(AND('Plano de Ação'!$F93&lt;=EOMONTH(DATE(ano_ref,2,1),0),'Plano de Ação'!$G93&gt;=DATE(ano_ref,2,1)),1,0))</f>
      </c>
      <c r="G94" s="41">
        <f>IF(OR(NOT('Plano de Ação'!$B93&lt;&gt;""),NOT(ISNUMBER('Plano de Ação'!$F93)),NOT(ISNUMBER('Plano de Ação'!$G93)),'Plano de Ação'!$J93="Cancelada"),0,IF(AND('Plano de Ação'!$F93&lt;=EOMONTH(DATE(ano_ref,3,1),0),'Plano de Ação'!$G93&gt;=DATE(ano_ref,3,1)),1,0))</f>
      </c>
      <c r="H94" s="41">
        <f>IF(OR(NOT('Plano de Ação'!$B93&lt;&gt;""),NOT(ISNUMBER('Plano de Ação'!$F93)),NOT(ISNUMBER('Plano de Ação'!$G93)),'Plano de Ação'!$J93="Cancelada"),0,IF(AND('Plano de Ação'!$F93&lt;=EOMONTH(DATE(ano_ref,4,1),0),'Plano de Ação'!$G93&gt;=DATE(ano_ref,4,1)),1,0))</f>
      </c>
      <c r="I94" s="41">
        <f>IF(OR(NOT('Plano de Ação'!$B93&lt;&gt;""),NOT(ISNUMBER('Plano de Ação'!$F93)),NOT(ISNUMBER('Plano de Ação'!$G93)),'Plano de Ação'!$J93="Cancelada"),0,IF(AND('Plano de Ação'!$F93&lt;=EOMONTH(DATE(ano_ref,5,1),0),'Plano de Ação'!$G93&gt;=DATE(ano_ref,5,1)),1,0))</f>
      </c>
      <c r="J94" s="41">
        <f>IF(OR(NOT('Plano de Ação'!$B93&lt;&gt;""),NOT(ISNUMBER('Plano de Ação'!$F93)),NOT(ISNUMBER('Plano de Ação'!$G93)),'Plano de Ação'!$J93="Cancelada"),0,IF(AND('Plano de Ação'!$F93&lt;=EOMONTH(DATE(ano_ref,6,1),0),'Plano de Ação'!$G93&gt;=DATE(ano_ref,6,1)),1,0))</f>
      </c>
      <c r="K94" s="41">
        <f>IF(OR(NOT('Plano de Ação'!$B93&lt;&gt;""),NOT(ISNUMBER('Plano de Ação'!$F93)),NOT(ISNUMBER('Plano de Ação'!$G93)),'Plano de Ação'!$J93="Cancelada"),0,IF(AND('Plano de Ação'!$F93&lt;=EOMONTH(DATE(ano_ref,7,1),0),'Plano de Ação'!$G93&gt;=DATE(ano_ref,7,1)),1,0))</f>
      </c>
      <c r="L94" s="41">
        <f>IF(OR(NOT('Plano de Ação'!$B93&lt;&gt;""),NOT(ISNUMBER('Plano de Ação'!$F93)),NOT(ISNUMBER('Plano de Ação'!$G93)),'Plano de Ação'!$J93="Cancelada"),0,IF(AND('Plano de Ação'!$F93&lt;=EOMONTH(DATE(ano_ref,8,1),0),'Plano de Ação'!$G93&gt;=DATE(ano_ref,8,1)),1,0))</f>
      </c>
      <c r="M94" s="41">
        <f>IF(OR(NOT('Plano de Ação'!$B93&lt;&gt;""),NOT(ISNUMBER('Plano de Ação'!$F93)),NOT(ISNUMBER('Plano de Ação'!$G93)),'Plano de Ação'!$J93="Cancelada"),0,IF(AND('Plano de Ação'!$F93&lt;=EOMONTH(DATE(ano_ref,9,1),0),'Plano de Ação'!$G93&gt;=DATE(ano_ref,9,1)),1,0))</f>
      </c>
      <c r="N94" s="41">
        <f>IF(OR(NOT('Plano de Ação'!$B93&lt;&gt;""),NOT(ISNUMBER('Plano de Ação'!$F93)),NOT(ISNUMBER('Plano de Ação'!$G93)),'Plano de Ação'!$J93="Cancelada"),0,IF(AND('Plano de Ação'!$F93&lt;=EOMONTH(DATE(ano_ref,10,1),0),'Plano de Ação'!$G93&gt;=DATE(ano_ref,10,1)),1,0))</f>
      </c>
      <c r="O94" s="41">
        <f>IF(OR(NOT('Plano de Ação'!$B93&lt;&gt;""),NOT(ISNUMBER('Plano de Ação'!$F93)),NOT(ISNUMBER('Plano de Ação'!$G93)),'Plano de Ação'!$J93="Cancelada"),0,IF(AND('Plano de Ação'!$F93&lt;=EOMONTH(DATE(ano_ref,11,1),0),'Plano de Ação'!$G93&gt;=DATE(ano_ref,11,1)),1,0))</f>
      </c>
      <c r="P94" s="41">
        <f>IF(OR(NOT('Plano de Ação'!$B93&lt;&gt;""),NOT(ISNUMBER('Plano de Ação'!$F93)),NOT(ISNUMBER('Plano de Ação'!$G93)),'Plano de Ação'!$J93="Cancelada"),0,IF(AND('Plano de Ação'!$F93&lt;=EOMONTH(DATE(ano_ref,12,1),0),'Plano de Ação'!$G93&gt;=DATE(ano_ref,12,1)),1,0))</f>
      </c>
    </row>
    <row r="95" spans="1:16" x14ac:dyDescent="0.25">
      <c r="A95" s="40">
        <f>IF('Plano de Ação'!$B94&lt;&gt;"",'Plano de Ação'!A94&amp;"","")</f>
      </c>
      <c r="B95" s="25">
        <f>IF('Plano de Ação'!$B94&lt;&gt;"",'Plano de Ação'!B94,"")</f>
      </c>
      <c r="C95" s="25">
        <f>IF('Plano de Ação'!$B94&lt;&gt;"",'Plano de Ação'!E94&amp;"","")</f>
      </c>
      <c r="D95" s="40">
        <f>IF('Plano de Ação'!$B94&lt;&gt;"",'Plano de Ação'!L94,"")</f>
      </c>
      <c r="E95" s="41">
        <f>IF(OR(NOT('Plano de Ação'!$B94&lt;&gt;""),NOT(ISNUMBER('Plano de Ação'!$F94)),NOT(ISNUMBER('Plano de Ação'!$G94)),'Plano de Ação'!$J94="Cancelada"),0,IF(AND('Plano de Ação'!$F94&lt;=EOMONTH(DATE(ano_ref,1,1),0),'Plano de Ação'!$G94&gt;=DATE(ano_ref,1,1)),1,0))</f>
      </c>
      <c r="F95" s="41">
        <f>IF(OR(NOT('Plano de Ação'!$B94&lt;&gt;""),NOT(ISNUMBER('Plano de Ação'!$F94)),NOT(ISNUMBER('Plano de Ação'!$G94)),'Plano de Ação'!$J94="Cancelada"),0,IF(AND('Plano de Ação'!$F94&lt;=EOMONTH(DATE(ano_ref,2,1),0),'Plano de Ação'!$G94&gt;=DATE(ano_ref,2,1)),1,0))</f>
      </c>
      <c r="G95" s="41">
        <f>IF(OR(NOT('Plano de Ação'!$B94&lt;&gt;""),NOT(ISNUMBER('Plano de Ação'!$F94)),NOT(ISNUMBER('Plano de Ação'!$G94)),'Plano de Ação'!$J94="Cancelada"),0,IF(AND('Plano de Ação'!$F94&lt;=EOMONTH(DATE(ano_ref,3,1),0),'Plano de Ação'!$G94&gt;=DATE(ano_ref,3,1)),1,0))</f>
      </c>
      <c r="H95" s="41">
        <f>IF(OR(NOT('Plano de Ação'!$B94&lt;&gt;""),NOT(ISNUMBER('Plano de Ação'!$F94)),NOT(ISNUMBER('Plano de Ação'!$G94)),'Plano de Ação'!$J94="Cancelada"),0,IF(AND('Plano de Ação'!$F94&lt;=EOMONTH(DATE(ano_ref,4,1),0),'Plano de Ação'!$G94&gt;=DATE(ano_ref,4,1)),1,0))</f>
      </c>
      <c r="I95" s="41">
        <f>IF(OR(NOT('Plano de Ação'!$B94&lt;&gt;""),NOT(ISNUMBER('Plano de Ação'!$F94)),NOT(ISNUMBER('Plano de Ação'!$G94)),'Plano de Ação'!$J94="Cancelada"),0,IF(AND('Plano de Ação'!$F94&lt;=EOMONTH(DATE(ano_ref,5,1),0),'Plano de Ação'!$G94&gt;=DATE(ano_ref,5,1)),1,0))</f>
      </c>
      <c r="J95" s="41">
        <f>IF(OR(NOT('Plano de Ação'!$B94&lt;&gt;""),NOT(ISNUMBER('Plano de Ação'!$F94)),NOT(ISNUMBER('Plano de Ação'!$G94)),'Plano de Ação'!$J94="Cancelada"),0,IF(AND('Plano de Ação'!$F94&lt;=EOMONTH(DATE(ano_ref,6,1),0),'Plano de Ação'!$G94&gt;=DATE(ano_ref,6,1)),1,0))</f>
      </c>
      <c r="K95" s="41">
        <f>IF(OR(NOT('Plano de Ação'!$B94&lt;&gt;""),NOT(ISNUMBER('Plano de Ação'!$F94)),NOT(ISNUMBER('Plano de Ação'!$G94)),'Plano de Ação'!$J94="Cancelada"),0,IF(AND('Plano de Ação'!$F94&lt;=EOMONTH(DATE(ano_ref,7,1),0),'Plano de Ação'!$G94&gt;=DATE(ano_ref,7,1)),1,0))</f>
      </c>
      <c r="L95" s="41">
        <f>IF(OR(NOT('Plano de Ação'!$B94&lt;&gt;""),NOT(ISNUMBER('Plano de Ação'!$F94)),NOT(ISNUMBER('Plano de Ação'!$G94)),'Plano de Ação'!$J94="Cancelada"),0,IF(AND('Plano de Ação'!$F94&lt;=EOMONTH(DATE(ano_ref,8,1),0),'Plano de Ação'!$G94&gt;=DATE(ano_ref,8,1)),1,0))</f>
      </c>
      <c r="M95" s="41">
        <f>IF(OR(NOT('Plano de Ação'!$B94&lt;&gt;""),NOT(ISNUMBER('Plano de Ação'!$F94)),NOT(ISNUMBER('Plano de Ação'!$G94)),'Plano de Ação'!$J94="Cancelada"),0,IF(AND('Plano de Ação'!$F94&lt;=EOMONTH(DATE(ano_ref,9,1),0),'Plano de Ação'!$G94&gt;=DATE(ano_ref,9,1)),1,0))</f>
      </c>
      <c r="N95" s="41">
        <f>IF(OR(NOT('Plano de Ação'!$B94&lt;&gt;""),NOT(ISNUMBER('Plano de Ação'!$F94)),NOT(ISNUMBER('Plano de Ação'!$G94)),'Plano de Ação'!$J94="Cancelada"),0,IF(AND('Plano de Ação'!$F94&lt;=EOMONTH(DATE(ano_ref,10,1),0),'Plano de Ação'!$G94&gt;=DATE(ano_ref,10,1)),1,0))</f>
      </c>
      <c r="O95" s="41">
        <f>IF(OR(NOT('Plano de Ação'!$B94&lt;&gt;""),NOT(ISNUMBER('Plano de Ação'!$F94)),NOT(ISNUMBER('Plano de Ação'!$G94)),'Plano de Ação'!$J94="Cancelada"),0,IF(AND('Plano de Ação'!$F94&lt;=EOMONTH(DATE(ano_ref,11,1),0),'Plano de Ação'!$G94&gt;=DATE(ano_ref,11,1)),1,0))</f>
      </c>
      <c r="P95" s="41">
        <f>IF(OR(NOT('Plano de Ação'!$B94&lt;&gt;""),NOT(ISNUMBER('Plano de Ação'!$F94)),NOT(ISNUMBER('Plano de Ação'!$G94)),'Plano de Ação'!$J94="Cancelada"),0,IF(AND('Plano de Ação'!$F94&lt;=EOMONTH(DATE(ano_ref,12,1),0),'Plano de Ação'!$G94&gt;=DATE(ano_ref,12,1)),1,0))</f>
      </c>
    </row>
    <row r="96" spans="1:16" x14ac:dyDescent="0.25">
      <c r="A96" s="40">
        <f>IF('Plano de Ação'!$B95&lt;&gt;"",'Plano de Ação'!A95&amp;"","")</f>
      </c>
      <c r="B96" s="25">
        <f>IF('Plano de Ação'!$B95&lt;&gt;"",'Plano de Ação'!B95,"")</f>
      </c>
      <c r="C96" s="25">
        <f>IF('Plano de Ação'!$B95&lt;&gt;"",'Plano de Ação'!E95&amp;"","")</f>
      </c>
      <c r="D96" s="40">
        <f>IF('Plano de Ação'!$B95&lt;&gt;"",'Plano de Ação'!L95,"")</f>
      </c>
      <c r="E96" s="41">
        <f>IF(OR(NOT('Plano de Ação'!$B95&lt;&gt;""),NOT(ISNUMBER('Plano de Ação'!$F95)),NOT(ISNUMBER('Plano de Ação'!$G95)),'Plano de Ação'!$J95="Cancelada"),0,IF(AND('Plano de Ação'!$F95&lt;=EOMONTH(DATE(ano_ref,1,1),0),'Plano de Ação'!$G95&gt;=DATE(ano_ref,1,1)),1,0))</f>
      </c>
      <c r="F96" s="41">
        <f>IF(OR(NOT('Plano de Ação'!$B95&lt;&gt;""),NOT(ISNUMBER('Plano de Ação'!$F95)),NOT(ISNUMBER('Plano de Ação'!$G95)),'Plano de Ação'!$J95="Cancelada"),0,IF(AND('Plano de Ação'!$F95&lt;=EOMONTH(DATE(ano_ref,2,1),0),'Plano de Ação'!$G95&gt;=DATE(ano_ref,2,1)),1,0))</f>
      </c>
      <c r="G96" s="41">
        <f>IF(OR(NOT('Plano de Ação'!$B95&lt;&gt;""),NOT(ISNUMBER('Plano de Ação'!$F95)),NOT(ISNUMBER('Plano de Ação'!$G95)),'Plano de Ação'!$J95="Cancelada"),0,IF(AND('Plano de Ação'!$F95&lt;=EOMONTH(DATE(ano_ref,3,1),0),'Plano de Ação'!$G95&gt;=DATE(ano_ref,3,1)),1,0))</f>
      </c>
      <c r="H96" s="41">
        <f>IF(OR(NOT('Plano de Ação'!$B95&lt;&gt;""),NOT(ISNUMBER('Plano de Ação'!$F95)),NOT(ISNUMBER('Plano de Ação'!$G95)),'Plano de Ação'!$J95="Cancelada"),0,IF(AND('Plano de Ação'!$F95&lt;=EOMONTH(DATE(ano_ref,4,1),0),'Plano de Ação'!$G95&gt;=DATE(ano_ref,4,1)),1,0))</f>
      </c>
      <c r="I96" s="41">
        <f>IF(OR(NOT('Plano de Ação'!$B95&lt;&gt;""),NOT(ISNUMBER('Plano de Ação'!$F95)),NOT(ISNUMBER('Plano de Ação'!$G95)),'Plano de Ação'!$J95="Cancelada"),0,IF(AND('Plano de Ação'!$F95&lt;=EOMONTH(DATE(ano_ref,5,1),0),'Plano de Ação'!$G95&gt;=DATE(ano_ref,5,1)),1,0))</f>
      </c>
      <c r="J96" s="41">
        <f>IF(OR(NOT('Plano de Ação'!$B95&lt;&gt;""),NOT(ISNUMBER('Plano de Ação'!$F95)),NOT(ISNUMBER('Plano de Ação'!$G95)),'Plano de Ação'!$J95="Cancelada"),0,IF(AND('Plano de Ação'!$F95&lt;=EOMONTH(DATE(ano_ref,6,1),0),'Plano de Ação'!$G95&gt;=DATE(ano_ref,6,1)),1,0))</f>
      </c>
      <c r="K96" s="41">
        <f>IF(OR(NOT('Plano de Ação'!$B95&lt;&gt;""),NOT(ISNUMBER('Plano de Ação'!$F95)),NOT(ISNUMBER('Plano de Ação'!$G95)),'Plano de Ação'!$J95="Cancelada"),0,IF(AND('Plano de Ação'!$F95&lt;=EOMONTH(DATE(ano_ref,7,1),0),'Plano de Ação'!$G95&gt;=DATE(ano_ref,7,1)),1,0))</f>
      </c>
      <c r="L96" s="41">
        <f>IF(OR(NOT('Plano de Ação'!$B95&lt;&gt;""),NOT(ISNUMBER('Plano de Ação'!$F95)),NOT(ISNUMBER('Plano de Ação'!$G95)),'Plano de Ação'!$J95="Cancelada"),0,IF(AND('Plano de Ação'!$F95&lt;=EOMONTH(DATE(ano_ref,8,1),0),'Plano de Ação'!$G95&gt;=DATE(ano_ref,8,1)),1,0))</f>
      </c>
      <c r="M96" s="41">
        <f>IF(OR(NOT('Plano de Ação'!$B95&lt;&gt;""),NOT(ISNUMBER('Plano de Ação'!$F95)),NOT(ISNUMBER('Plano de Ação'!$G95)),'Plano de Ação'!$J95="Cancelada"),0,IF(AND('Plano de Ação'!$F95&lt;=EOMONTH(DATE(ano_ref,9,1),0),'Plano de Ação'!$G95&gt;=DATE(ano_ref,9,1)),1,0))</f>
      </c>
      <c r="N96" s="41">
        <f>IF(OR(NOT('Plano de Ação'!$B95&lt;&gt;""),NOT(ISNUMBER('Plano de Ação'!$F95)),NOT(ISNUMBER('Plano de Ação'!$G95)),'Plano de Ação'!$J95="Cancelada"),0,IF(AND('Plano de Ação'!$F95&lt;=EOMONTH(DATE(ano_ref,10,1),0),'Plano de Ação'!$G95&gt;=DATE(ano_ref,10,1)),1,0))</f>
      </c>
      <c r="O96" s="41">
        <f>IF(OR(NOT('Plano de Ação'!$B95&lt;&gt;""),NOT(ISNUMBER('Plano de Ação'!$F95)),NOT(ISNUMBER('Plano de Ação'!$G95)),'Plano de Ação'!$J95="Cancelada"),0,IF(AND('Plano de Ação'!$F95&lt;=EOMONTH(DATE(ano_ref,11,1),0),'Plano de Ação'!$G95&gt;=DATE(ano_ref,11,1)),1,0))</f>
      </c>
      <c r="P96" s="41">
        <f>IF(OR(NOT('Plano de Ação'!$B95&lt;&gt;""),NOT(ISNUMBER('Plano de Ação'!$F95)),NOT(ISNUMBER('Plano de Ação'!$G95)),'Plano de Ação'!$J95="Cancelada"),0,IF(AND('Plano de Ação'!$F95&lt;=EOMONTH(DATE(ano_ref,12,1),0),'Plano de Ação'!$G95&gt;=DATE(ano_ref,12,1)),1,0))</f>
      </c>
    </row>
    <row r="97" spans="1:16" x14ac:dyDescent="0.25">
      <c r="A97" s="40">
        <f>IF('Plano de Ação'!$B96&lt;&gt;"",'Plano de Ação'!A96&amp;"","")</f>
      </c>
      <c r="B97" s="25">
        <f>IF('Plano de Ação'!$B96&lt;&gt;"",'Plano de Ação'!B96,"")</f>
      </c>
      <c r="C97" s="25">
        <f>IF('Plano de Ação'!$B96&lt;&gt;"",'Plano de Ação'!E96&amp;"","")</f>
      </c>
      <c r="D97" s="40">
        <f>IF('Plano de Ação'!$B96&lt;&gt;"",'Plano de Ação'!L96,"")</f>
      </c>
      <c r="E97" s="41">
        <f>IF(OR(NOT('Plano de Ação'!$B96&lt;&gt;""),NOT(ISNUMBER('Plano de Ação'!$F96)),NOT(ISNUMBER('Plano de Ação'!$G96)),'Plano de Ação'!$J96="Cancelada"),0,IF(AND('Plano de Ação'!$F96&lt;=EOMONTH(DATE(ano_ref,1,1),0),'Plano de Ação'!$G96&gt;=DATE(ano_ref,1,1)),1,0))</f>
      </c>
      <c r="F97" s="41">
        <f>IF(OR(NOT('Plano de Ação'!$B96&lt;&gt;""),NOT(ISNUMBER('Plano de Ação'!$F96)),NOT(ISNUMBER('Plano de Ação'!$G96)),'Plano de Ação'!$J96="Cancelada"),0,IF(AND('Plano de Ação'!$F96&lt;=EOMONTH(DATE(ano_ref,2,1),0),'Plano de Ação'!$G96&gt;=DATE(ano_ref,2,1)),1,0))</f>
      </c>
      <c r="G97" s="41">
        <f>IF(OR(NOT('Plano de Ação'!$B96&lt;&gt;""),NOT(ISNUMBER('Plano de Ação'!$F96)),NOT(ISNUMBER('Plano de Ação'!$G96)),'Plano de Ação'!$J96="Cancelada"),0,IF(AND('Plano de Ação'!$F96&lt;=EOMONTH(DATE(ano_ref,3,1),0),'Plano de Ação'!$G96&gt;=DATE(ano_ref,3,1)),1,0))</f>
      </c>
      <c r="H97" s="41">
        <f>IF(OR(NOT('Plano de Ação'!$B96&lt;&gt;""),NOT(ISNUMBER('Plano de Ação'!$F96)),NOT(ISNUMBER('Plano de Ação'!$G96)),'Plano de Ação'!$J96="Cancelada"),0,IF(AND('Plano de Ação'!$F96&lt;=EOMONTH(DATE(ano_ref,4,1),0),'Plano de Ação'!$G96&gt;=DATE(ano_ref,4,1)),1,0))</f>
      </c>
      <c r="I97" s="41">
        <f>IF(OR(NOT('Plano de Ação'!$B96&lt;&gt;""),NOT(ISNUMBER('Plano de Ação'!$F96)),NOT(ISNUMBER('Plano de Ação'!$G96)),'Plano de Ação'!$J96="Cancelada"),0,IF(AND('Plano de Ação'!$F96&lt;=EOMONTH(DATE(ano_ref,5,1),0),'Plano de Ação'!$G96&gt;=DATE(ano_ref,5,1)),1,0))</f>
      </c>
      <c r="J97" s="41">
        <f>IF(OR(NOT('Plano de Ação'!$B96&lt;&gt;""),NOT(ISNUMBER('Plano de Ação'!$F96)),NOT(ISNUMBER('Plano de Ação'!$G96)),'Plano de Ação'!$J96="Cancelada"),0,IF(AND('Plano de Ação'!$F96&lt;=EOMONTH(DATE(ano_ref,6,1),0),'Plano de Ação'!$G96&gt;=DATE(ano_ref,6,1)),1,0))</f>
      </c>
      <c r="K97" s="41">
        <f>IF(OR(NOT('Plano de Ação'!$B96&lt;&gt;""),NOT(ISNUMBER('Plano de Ação'!$F96)),NOT(ISNUMBER('Plano de Ação'!$G96)),'Plano de Ação'!$J96="Cancelada"),0,IF(AND('Plano de Ação'!$F96&lt;=EOMONTH(DATE(ano_ref,7,1),0),'Plano de Ação'!$G96&gt;=DATE(ano_ref,7,1)),1,0))</f>
      </c>
      <c r="L97" s="41">
        <f>IF(OR(NOT('Plano de Ação'!$B96&lt;&gt;""),NOT(ISNUMBER('Plano de Ação'!$F96)),NOT(ISNUMBER('Plano de Ação'!$G96)),'Plano de Ação'!$J96="Cancelada"),0,IF(AND('Plano de Ação'!$F96&lt;=EOMONTH(DATE(ano_ref,8,1),0),'Plano de Ação'!$G96&gt;=DATE(ano_ref,8,1)),1,0))</f>
      </c>
      <c r="M97" s="41">
        <f>IF(OR(NOT('Plano de Ação'!$B96&lt;&gt;""),NOT(ISNUMBER('Plano de Ação'!$F96)),NOT(ISNUMBER('Plano de Ação'!$G96)),'Plano de Ação'!$J96="Cancelada"),0,IF(AND('Plano de Ação'!$F96&lt;=EOMONTH(DATE(ano_ref,9,1),0),'Plano de Ação'!$G96&gt;=DATE(ano_ref,9,1)),1,0))</f>
      </c>
      <c r="N97" s="41">
        <f>IF(OR(NOT('Plano de Ação'!$B96&lt;&gt;""),NOT(ISNUMBER('Plano de Ação'!$F96)),NOT(ISNUMBER('Plano de Ação'!$G96)),'Plano de Ação'!$J96="Cancelada"),0,IF(AND('Plano de Ação'!$F96&lt;=EOMONTH(DATE(ano_ref,10,1),0),'Plano de Ação'!$G96&gt;=DATE(ano_ref,10,1)),1,0))</f>
      </c>
      <c r="O97" s="41">
        <f>IF(OR(NOT('Plano de Ação'!$B96&lt;&gt;""),NOT(ISNUMBER('Plano de Ação'!$F96)),NOT(ISNUMBER('Plano de Ação'!$G96)),'Plano de Ação'!$J96="Cancelada"),0,IF(AND('Plano de Ação'!$F96&lt;=EOMONTH(DATE(ano_ref,11,1),0),'Plano de Ação'!$G96&gt;=DATE(ano_ref,11,1)),1,0))</f>
      </c>
      <c r="P97" s="41">
        <f>IF(OR(NOT('Plano de Ação'!$B96&lt;&gt;""),NOT(ISNUMBER('Plano de Ação'!$F96)),NOT(ISNUMBER('Plano de Ação'!$G96)),'Plano de Ação'!$J96="Cancelada"),0,IF(AND('Plano de Ação'!$F96&lt;=EOMONTH(DATE(ano_ref,12,1),0),'Plano de Ação'!$G96&gt;=DATE(ano_ref,12,1)),1,0))</f>
      </c>
    </row>
    <row r="98" spans="1:16" x14ac:dyDescent="0.25">
      <c r="A98" s="40">
        <f>IF('Plano de Ação'!$B97&lt;&gt;"",'Plano de Ação'!A97&amp;"","")</f>
      </c>
      <c r="B98" s="25">
        <f>IF('Plano de Ação'!$B97&lt;&gt;"",'Plano de Ação'!B97,"")</f>
      </c>
      <c r="C98" s="25">
        <f>IF('Plano de Ação'!$B97&lt;&gt;"",'Plano de Ação'!E97&amp;"","")</f>
      </c>
      <c r="D98" s="40">
        <f>IF('Plano de Ação'!$B97&lt;&gt;"",'Plano de Ação'!L97,"")</f>
      </c>
      <c r="E98" s="41">
        <f>IF(OR(NOT('Plano de Ação'!$B97&lt;&gt;""),NOT(ISNUMBER('Plano de Ação'!$F97)),NOT(ISNUMBER('Plano de Ação'!$G97)),'Plano de Ação'!$J97="Cancelada"),0,IF(AND('Plano de Ação'!$F97&lt;=EOMONTH(DATE(ano_ref,1,1),0),'Plano de Ação'!$G97&gt;=DATE(ano_ref,1,1)),1,0))</f>
      </c>
      <c r="F98" s="41">
        <f>IF(OR(NOT('Plano de Ação'!$B97&lt;&gt;""),NOT(ISNUMBER('Plano de Ação'!$F97)),NOT(ISNUMBER('Plano de Ação'!$G97)),'Plano de Ação'!$J97="Cancelada"),0,IF(AND('Plano de Ação'!$F97&lt;=EOMONTH(DATE(ano_ref,2,1),0),'Plano de Ação'!$G97&gt;=DATE(ano_ref,2,1)),1,0))</f>
      </c>
      <c r="G98" s="41">
        <f>IF(OR(NOT('Plano de Ação'!$B97&lt;&gt;""),NOT(ISNUMBER('Plano de Ação'!$F97)),NOT(ISNUMBER('Plano de Ação'!$G97)),'Plano de Ação'!$J97="Cancelada"),0,IF(AND('Plano de Ação'!$F97&lt;=EOMONTH(DATE(ano_ref,3,1),0),'Plano de Ação'!$G97&gt;=DATE(ano_ref,3,1)),1,0))</f>
      </c>
      <c r="H98" s="41">
        <f>IF(OR(NOT('Plano de Ação'!$B97&lt;&gt;""),NOT(ISNUMBER('Plano de Ação'!$F97)),NOT(ISNUMBER('Plano de Ação'!$G97)),'Plano de Ação'!$J97="Cancelada"),0,IF(AND('Plano de Ação'!$F97&lt;=EOMONTH(DATE(ano_ref,4,1),0),'Plano de Ação'!$G97&gt;=DATE(ano_ref,4,1)),1,0))</f>
      </c>
      <c r="I98" s="41">
        <f>IF(OR(NOT('Plano de Ação'!$B97&lt;&gt;""),NOT(ISNUMBER('Plano de Ação'!$F97)),NOT(ISNUMBER('Plano de Ação'!$G97)),'Plano de Ação'!$J97="Cancelada"),0,IF(AND('Plano de Ação'!$F97&lt;=EOMONTH(DATE(ano_ref,5,1),0),'Plano de Ação'!$G97&gt;=DATE(ano_ref,5,1)),1,0))</f>
      </c>
      <c r="J98" s="41">
        <f>IF(OR(NOT('Plano de Ação'!$B97&lt;&gt;""),NOT(ISNUMBER('Plano de Ação'!$F97)),NOT(ISNUMBER('Plano de Ação'!$G97)),'Plano de Ação'!$J97="Cancelada"),0,IF(AND('Plano de Ação'!$F97&lt;=EOMONTH(DATE(ano_ref,6,1),0),'Plano de Ação'!$G97&gt;=DATE(ano_ref,6,1)),1,0))</f>
      </c>
      <c r="K98" s="41">
        <f>IF(OR(NOT('Plano de Ação'!$B97&lt;&gt;""),NOT(ISNUMBER('Plano de Ação'!$F97)),NOT(ISNUMBER('Plano de Ação'!$G97)),'Plano de Ação'!$J97="Cancelada"),0,IF(AND('Plano de Ação'!$F97&lt;=EOMONTH(DATE(ano_ref,7,1),0),'Plano de Ação'!$G97&gt;=DATE(ano_ref,7,1)),1,0))</f>
      </c>
      <c r="L98" s="41">
        <f>IF(OR(NOT('Plano de Ação'!$B97&lt;&gt;""),NOT(ISNUMBER('Plano de Ação'!$F97)),NOT(ISNUMBER('Plano de Ação'!$G97)),'Plano de Ação'!$J97="Cancelada"),0,IF(AND('Plano de Ação'!$F97&lt;=EOMONTH(DATE(ano_ref,8,1),0),'Plano de Ação'!$G97&gt;=DATE(ano_ref,8,1)),1,0))</f>
      </c>
      <c r="M98" s="41">
        <f>IF(OR(NOT('Plano de Ação'!$B97&lt;&gt;""),NOT(ISNUMBER('Plano de Ação'!$F97)),NOT(ISNUMBER('Plano de Ação'!$G97)),'Plano de Ação'!$J97="Cancelada"),0,IF(AND('Plano de Ação'!$F97&lt;=EOMONTH(DATE(ano_ref,9,1),0),'Plano de Ação'!$G97&gt;=DATE(ano_ref,9,1)),1,0))</f>
      </c>
      <c r="N98" s="41">
        <f>IF(OR(NOT('Plano de Ação'!$B97&lt;&gt;""),NOT(ISNUMBER('Plano de Ação'!$F97)),NOT(ISNUMBER('Plano de Ação'!$G97)),'Plano de Ação'!$J97="Cancelada"),0,IF(AND('Plano de Ação'!$F97&lt;=EOMONTH(DATE(ano_ref,10,1),0),'Plano de Ação'!$G97&gt;=DATE(ano_ref,10,1)),1,0))</f>
      </c>
      <c r="O98" s="41">
        <f>IF(OR(NOT('Plano de Ação'!$B97&lt;&gt;""),NOT(ISNUMBER('Plano de Ação'!$F97)),NOT(ISNUMBER('Plano de Ação'!$G97)),'Plano de Ação'!$J97="Cancelada"),0,IF(AND('Plano de Ação'!$F97&lt;=EOMONTH(DATE(ano_ref,11,1),0),'Plano de Ação'!$G97&gt;=DATE(ano_ref,11,1)),1,0))</f>
      </c>
      <c r="P98" s="41">
        <f>IF(OR(NOT('Plano de Ação'!$B97&lt;&gt;""),NOT(ISNUMBER('Plano de Ação'!$F97)),NOT(ISNUMBER('Plano de Ação'!$G97)),'Plano de Ação'!$J97="Cancelada"),0,IF(AND('Plano de Ação'!$F97&lt;=EOMONTH(DATE(ano_ref,12,1),0),'Plano de Ação'!$G97&gt;=DATE(ano_ref,12,1)),1,0))</f>
      </c>
    </row>
    <row r="99" spans="1:16" x14ac:dyDescent="0.25">
      <c r="A99" s="40">
        <f>IF('Plano de Ação'!$B98&lt;&gt;"",'Plano de Ação'!A98&amp;"","")</f>
      </c>
      <c r="B99" s="25">
        <f>IF('Plano de Ação'!$B98&lt;&gt;"",'Plano de Ação'!B98,"")</f>
      </c>
      <c r="C99" s="25">
        <f>IF('Plano de Ação'!$B98&lt;&gt;"",'Plano de Ação'!E98&amp;"","")</f>
      </c>
      <c r="D99" s="40">
        <f>IF('Plano de Ação'!$B98&lt;&gt;"",'Plano de Ação'!L98,"")</f>
      </c>
      <c r="E99" s="41">
        <f>IF(OR(NOT('Plano de Ação'!$B98&lt;&gt;""),NOT(ISNUMBER('Plano de Ação'!$F98)),NOT(ISNUMBER('Plano de Ação'!$G98)),'Plano de Ação'!$J98="Cancelada"),0,IF(AND('Plano de Ação'!$F98&lt;=EOMONTH(DATE(ano_ref,1,1),0),'Plano de Ação'!$G98&gt;=DATE(ano_ref,1,1)),1,0))</f>
      </c>
      <c r="F99" s="41">
        <f>IF(OR(NOT('Plano de Ação'!$B98&lt;&gt;""),NOT(ISNUMBER('Plano de Ação'!$F98)),NOT(ISNUMBER('Plano de Ação'!$G98)),'Plano de Ação'!$J98="Cancelada"),0,IF(AND('Plano de Ação'!$F98&lt;=EOMONTH(DATE(ano_ref,2,1),0),'Plano de Ação'!$G98&gt;=DATE(ano_ref,2,1)),1,0))</f>
      </c>
      <c r="G99" s="41">
        <f>IF(OR(NOT('Plano de Ação'!$B98&lt;&gt;""),NOT(ISNUMBER('Plano de Ação'!$F98)),NOT(ISNUMBER('Plano de Ação'!$G98)),'Plano de Ação'!$J98="Cancelada"),0,IF(AND('Plano de Ação'!$F98&lt;=EOMONTH(DATE(ano_ref,3,1),0),'Plano de Ação'!$G98&gt;=DATE(ano_ref,3,1)),1,0))</f>
      </c>
      <c r="H99" s="41">
        <f>IF(OR(NOT('Plano de Ação'!$B98&lt;&gt;""),NOT(ISNUMBER('Plano de Ação'!$F98)),NOT(ISNUMBER('Plano de Ação'!$G98)),'Plano de Ação'!$J98="Cancelada"),0,IF(AND('Plano de Ação'!$F98&lt;=EOMONTH(DATE(ano_ref,4,1),0),'Plano de Ação'!$G98&gt;=DATE(ano_ref,4,1)),1,0))</f>
      </c>
      <c r="I99" s="41">
        <f>IF(OR(NOT('Plano de Ação'!$B98&lt;&gt;""),NOT(ISNUMBER('Plano de Ação'!$F98)),NOT(ISNUMBER('Plano de Ação'!$G98)),'Plano de Ação'!$J98="Cancelada"),0,IF(AND('Plano de Ação'!$F98&lt;=EOMONTH(DATE(ano_ref,5,1),0),'Plano de Ação'!$G98&gt;=DATE(ano_ref,5,1)),1,0))</f>
      </c>
      <c r="J99" s="41">
        <f>IF(OR(NOT('Plano de Ação'!$B98&lt;&gt;""),NOT(ISNUMBER('Plano de Ação'!$F98)),NOT(ISNUMBER('Plano de Ação'!$G98)),'Plano de Ação'!$J98="Cancelada"),0,IF(AND('Plano de Ação'!$F98&lt;=EOMONTH(DATE(ano_ref,6,1),0),'Plano de Ação'!$G98&gt;=DATE(ano_ref,6,1)),1,0))</f>
      </c>
      <c r="K99" s="41">
        <f>IF(OR(NOT('Plano de Ação'!$B98&lt;&gt;""),NOT(ISNUMBER('Plano de Ação'!$F98)),NOT(ISNUMBER('Plano de Ação'!$G98)),'Plano de Ação'!$J98="Cancelada"),0,IF(AND('Plano de Ação'!$F98&lt;=EOMONTH(DATE(ano_ref,7,1),0),'Plano de Ação'!$G98&gt;=DATE(ano_ref,7,1)),1,0))</f>
      </c>
      <c r="L99" s="41">
        <f>IF(OR(NOT('Plano de Ação'!$B98&lt;&gt;""),NOT(ISNUMBER('Plano de Ação'!$F98)),NOT(ISNUMBER('Plano de Ação'!$G98)),'Plano de Ação'!$J98="Cancelada"),0,IF(AND('Plano de Ação'!$F98&lt;=EOMONTH(DATE(ano_ref,8,1),0),'Plano de Ação'!$G98&gt;=DATE(ano_ref,8,1)),1,0))</f>
      </c>
      <c r="M99" s="41">
        <f>IF(OR(NOT('Plano de Ação'!$B98&lt;&gt;""),NOT(ISNUMBER('Plano de Ação'!$F98)),NOT(ISNUMBER('Plano de Ação'!$G98)),'Plano de Ação'!$J98="Cancelada"),0,IF(AND('Plano de Ação'!$F98&lt;=EOMONTH(DATE(ano_ref,9,1),0),'Plano de Ação'!$G98&gt;=DATE(ano_ref,9,1)),1,0))</f>
      </c>
      <c r="N99" s="41">
        <f>IF(OR(NOT('Plano de Ação'!$B98&lt;&gt;""),NOT(ISNUMBER('Plano de Ação'!$F98)),NOT(ISNUMBER('Plano de Ação'!$G98)),'Plano de Ação'!$J98="Cancelada"),0,IF(AND('Plano de Ação'!$F98&lt;=EOMONTH(DATE(ano_ref,10,1),0),'Plano de Ação'!$G98&gt;=DATE(ano_ref,10,1)),1,0))</f>
      </c>
      <c r="O99" s="41">
        <f>IF(OR(NOT('Plano de Ação'!$B98&lt;&gt;""),NOT(ISNUMBER('Plano de Ação'!$F98)),NOT(ISNUMBER('Plano de Ação'!$G98)),'Plano de Ação'!$J98="Cancelada"),0,IF(AND('Plano de Ação'!$F98&lt;=EOMONTH(DATE(ano_ref,11,1),0),'Plano de Ação'!$G98&gt;=DATE(ano_ref,11,1)),1,0))</f>
      </c>
      <c r="P99" s="41">
        <f>IF(OR(NOT('Plano de Ação'!$B98&lt;&gt;""),NOT(ISNUMBER('Plano de Ação'!$F98)),NOT(ISNUMBER('Plano de Ação'!$G98)),'Plano de Ação'!$J98="Cancelada"),0,IF(AND('Plano de Ação'!$F98&lt;=EOMONTH(DATE(ano_ref,12,1),0),'Plano de Ação'!$G98&gt;=DATE(ano_ref,12,1)),1,0))</f>
      </c>
    </row>
    <row r="100" spans="1:16" x14ac:dyDescent="0.25">
      <c r="A100" s="40">
        <f>IF('Plano de Ação'!$B99&lt;&gt;"",'Plano de Ação'!A99&amp;"","")</f>
      </c>
      <c r="B100" s="25">
        <f>IF('Plano de Ação'!$B99&lt;&gt;"",'Plano de Ação'!B99,"")</f>
      </c>
      <c r="C100" s="25">
        <f>IF('Plano de Ação'!$B99&lt;&gt;"",'Plano de Ação'!E99&amp;"","")</f>
      </c>
      <c r="D100" s="40">
        <f>IF('Plano de Ação'!$B99&lt;&gt;"",'Plano de Ação'!L99,"")</f>
      </c>
      <c r="E100" s="41">
        <f>IF(OR(NOT('Plano de Ação'!$B99&lt;&gt;""),NOT(ISNUMBER('Plano de Ação'!$F99)),NOT(ISNUMBER('Plano de Ação'!$G99)),'Plano de Ação'!$J99="Cancelada"),0,IF(AND('Plano de Ação'!$F99&lt;=EOMONTH(DATE(ano_ref,1,1),0),'Plano de Ação'!$G99&gt;=DATE(ano_ref,1,1)),1,0))</f>
      </c>
      <c r="F100" s="41">
        <f>IF(OR(NOT('Plano de Ação'!$B99&lt;&gt;""),NOT(ISNUMBER('Plano de Ação'!$F99)),NOT(ISNUMBER('Plano de Ação'!$G99)),'Plano de Ação'!$J99="Cancelada"),0,IF(AND('Plano de Ação'!$F99&lt;=EOMONTH(DATE(ano_ref,2,1),0),'Plano de Ação'!$G99&gt;=DATE(ano_ref,2,1)),1,0))</f>
      </c>
      <c r="G100" s="41">
        <f>IF(OR(NOT('Plano de Ação'!$B99&lt;&gt;""),NOT(ISNUMBER('Plano de Ação'!$F99)),NOT(ISNUMBER('Plano de Ação'!$G99)),'Plano de Ação'!$J99="Cancelada"),0,IF(AND('Plano de Ação'!$F99&lt;=EOMONTH(DATE(ano_ref,3,1),0),'Plano de Ação'!$G99&gt;=DATE(ano_ref,3,1)),1,0))</f>
      </c>
      <c r="H100" s="41">
        <f>IF(OR(NOT('Plano de Ação'!$B99&lt;&gt;""),NOT(ISNUMBER('Plano de Ação'!$F99)),NOT(ISNUMBER('Plano de Ação'!$G99)),'Plano de Ação'!$J99="Cancelada"),0,IF(AND('Plano de Ação'!$F99&lt;=EOMONTH(DATE(ano_ref,4,1),0),'Plano de Ação'!$G99&gt;=DATE(ano_ref,4,1)),1,0))</f>
      </c>
      <c r="I100" s="41">
        <f>IF(OR(NOT('Plano de Ação'!$B99&lt;&gt;""),NOT(ISNUMBER('Plano de Ação'!$F99)),NOT(ISNUMBER('Plano de Ação'!$G99)),'Plano de Ação'!$J99="Cancelada"),0,IF(AND('Plano de Ação'!$F99&lt;=EOMONTH(DATE(ano_ref,5,1),0),'Plano de Ação'!$G99&gt;=DATE(ano_ref,5,1)),1,0))</f>
      </c>
      <c r="J100" s="41">
        <f>IF(OR(NOT('Plano de Ação'!$B99&lt;&gt;""),NOT(ISNUMBER('Plano de Ação'!$F99)),NOT(ISNUMBER('Plano de Ação'!$G99)),'Plano de Ação'!$J99="Cancelada"),0,IF(AND('Plano de Ação'!$F99&lt;=EOMONTH(DATE(ano_ref,6,1),0),'Plano de Ação'!$G99&gt;=DATE(ano_ref,6,1)),1,0))</f>
      </c>
      <c r="K100" s="41">
        <f>IF(OR(NOT('Plano de Ação'!$B99&lt;&gt;""),NOT(ISNUMBER('Plano de Ação'!$F99)),NOT(ISNUMBER('Plano de Ação'!$G99)),'Plano de Ação'!$J99="Cancelada"),0,IF(AND('Plano de Ação'!$F99&lt;=EOMONTH(DATE(ano_ref,7,1),0),'Plano de Ação'!$G99&gt;=DATE(ano_ref,7,1)),1,0))</f>
      </c>
      <c r="L100" s="41">
        <f>IF(OR(NOT('Plano de Ação'!$B99&lt;&gt;""),NOT(ISNUMBER('Plano de Ação'!$F99)),NOT(ISNUMBER('Plano de Ação'!$G99)),'Plano de Ação'!$J99="Cancelada"),0,IF(AND('Plano de Ação'!$F99&lt;=EOMONTH(DATE(ano_ref,8,1),0),'Plano de Ação'!$G99&gt;=DATE(ano_ref,8,1)),1,0))</f>
      </c>
      <c r="M100" s="41">
        <f>IF(OR(NOT('Plano de Ação'!$B99&lt;&gt;""),NOT(ISNUMBER('Plano de Ação'!$F99)),NOT(ISNUMBER('Plano de Ação'!$G99)),'Plano de Ação'!$J99="Cancelada"),0,IF(AND('Plano de Ação'!$F99&lt;=EOMONTH(DATE(ano_ref,9,1),0),'Plano de Ação'!$G99&gt;=DATE(ano_ref,9,1)),1,0))</f>
      </c>
      <c r="N100" s="41">
        <f>IF(OR(NOT('Plano de Ação'!$B99&lt;&gt;""),NOT(ISNUMBER('Plano de Ação'!$F99)),NOT(ISNUMBER('Plano de Ação'!$G99)),'Plano de Ação'!$J99="Cancelada"),0,IF(AND('Plano de Ação'!$F99&lt;=EOMONTH(DATE(ano_ref,10,1),0),'Plano de Ação'!$G99&gt;=DATE(ano_ref,10,1)),1,0))</f>
      </c>
      <c r="O100" s="41">
        <f>IF(OR(NOT('Plano de Ação'!$B99&lt;&gt;""),NOT(ISNUMBER('Plano de Ação'!$F99)),NOT(ISNUMBER('Plano de Ação'!$G99)),'Plano de Ação'!$J99="Cancelada"),0,IF(AND('Plano de Ação'!$F99&lt;=EOMONTH(DATE(ano_ref,11,1),0),'Plano de Ação'!$G99&gt;=DATE(ano_ref,11,1)),1,0))</f>
      </c>
      <c r="P100" s="41">
        <f>IF(OR(NOT('Plano de Ação'!$B99&lt;&gt;""),NOT(ISNUMBER('Plano de Ação'!$F99)),NOT(ISNUMBER('Plano de Ação'!$G99)),'Plano de Ação'!$J99="Cancelada"),0,IF(AND('Plano de Ação'!$F99&lt;=EOMONTH(DATE(ano_ref,12,1),0),'Plano de Ação'!$G99&gt;=DATE(ano_ref,12,1)),1,0))</f>
      </c>
    </row>
    <row r="101" spans="1:16" x14ac:dyDescent="0.25">
      <c r="A101" s="40">
        <f>IF('Plano de Ação'!$B100&lt;&gt;"",'Plano de Ação'!A100&amp;"","")</f>
      </c>
      <c r="B101" s="25">
        <f>IF('Plano de Ação'!$B100&lt;&gt;"",'Plano de Ação'!B100,"")</f>
      </c>
      <c r="C101" s="25">
        <f>IF('Plano de Ação'!$B100&lt;&gt;"",'Plano de Ação'!E100&amp;"","")</f>
      </c>
      <c r="D101" s="40">
        <f>IF('Plano de Ação'!$B100&lt;&gt;"",'Plano de Ação'!L100,"")</f>
      </c>
      <c r="E101" s="41">
        <f>IF(OR(NOT('Plano de Ação'!$B100&lt;&gt;""),NOT(ISNUMBER('Plano de Ação'!$F100)),NOT(ISNUMBER('Plano de Ação'!$G100)),'Plano de Ação'!$J100="Cancelada"),0,IF(AND('Plano de Ação'!$F100&lt;=EOMONTH(DATE(ano_ref,1,1),0),'Plano de Ação'!$G100&gt;=DATE(ano_ref,1,1)),1,0))</f>
      </c>
      <c r="F101" s="41">
        <f>IF(OR(NOT('Plano de Ação'!$B100&lt;&gt;""),NOT(ISNUMBER('Plano de Ação'!$F100)),NOT(ISNUMBER('Plano de Ação'!$G100)),'Plano de Ação'!$J100="Cancelada"),0,IF(AND('Plano de Ação'!$F100&lt;=EOMONTH(DATE(ano_ref,2,1),0),'Plano de Ação'!$G100&gt;=DATE(ano_ref,2,1)),1,0))</f>
      </c>
      <c r="G101" s="41">
        <f>IF(OR(NOT('Plano de Ação'!$B100&lt;&gt;""),NOT(ISNUMBER('Plano de Ação'!$F100)),NOT(ISNUMBER('Plano de Ação'!$G100)),'Plano de Ação'!$J100="Cancelada"),0,IF(AND('Plano de Ação'!$F100&lt;=EOMONTH(DATE(ano_ref,3,1),0),'Plano de Ação'!$G100&gt;=DATE(ano_ref,3,1)),1,0))</f>
      </c>
      <c r="H101" s="41">
        <f>IF(OR(NOT('Plano de Ação'!$B100&lt;&gt;""),NOT(ISNUMBER('Plano de Ação'!$F100)),NOT(ISNUMBER('Plano de Ação'!$G100)),'Plano de Ação'!$J100="Cancelada"),0,IF(AND('Plano de Ação'!$F100&lt;=EOMONTH(DATE(ano_ref,4,1),0),'Plano de Ação'!$G100&gt;=DATE(ano_ref,4,1)),1,0))</f>
      </c>
      <c r="I101" s="41">
        <f>IF(OR(NOT('Plano de Ação'!$B100&lt;&gt;""),NOT(ISNUMBER('Plano de Ação'!$F100)),NOT(ISNUMBER('Plano de Ação'!$G100)),'Plano de Ação'!$J100="Cancelada"),0,IF(AND('Plano de Ação'!$F100&lt;=EOMONTH(DATE(ano_ref,5,1),0),'Plano de Ação'!$G100&gt;=DATE(ano_ref,5,1)),1,0))</f>
      </c>
      <c r="J101" s="41">
        <f>IF(OR(NOT('Plano de Ação'!$B100&lt;&gt;""),NOT(ISNUMBER('Plano de Ação'!$F100)),NOT(ISNUMBER('Plano de Ação'!$G100)),'Plano de Ação'!$J100="Cancelada"),0,IF(AND('Plano de Ação'!$F100&lt;=EOMONTH(DATE(ano_ref,6,1),0),'Plano de Ação'!$G100&gt;=DATE(ano_ref,6,1)),1,0))</f>
      </c>
      <c r="K101" s="41">
        <f>IF(OR(NOT('Plano de Ação'!$B100&lt;&gt;""),NOT(ISNUMBER('Plano de Ação'!$F100)),NOT(ISNUMBER('Plano de Ação'!$G100)),'Plano de Ação'!$J100="Cancelada"),0,IF(AND('Plano de Ação'!$F100&lt;=EOMONTH(DATE(ano_ref,7,1),0),'Plano de Ação'!$G100&gt;=DATE(ano_ref,7,1)),1,0))</f>
      </c>
      <c r="L101" s="41">
        <f>IF(OR(NOT('Plano de Ação'!$B100&lt;&gt;""),NOT(ISNUMBER('Plano de Ação'!$F100)),NOT(ISNUMBER('Plano de Ação'!$G100)),'Plano de Ação'!$J100="Cancelada"),0,IF(AND('Plano de Ação'!$F100&lt;=EOMONTH(DATE(ano_ref,8,1),0),'Plano de Ação'!$G100&gt;=DATE(ano_ref,8,1)),1,0))</f>
      </c>
      <c r="M101" s="41">
        <f>IF(OR(NOT('Plano de Ação'!$B100&lt;&gt;""),NOT(ISNUMBER('Plano de Ação'!$F100)),NOT(ISNUMBER('Plano de Ação'!$G100)),'Plano de Ação'!$J100="Cancelada"),0,IF(AND('Plano de Ação'!$F100&lt;=EOMONTH(DATE(ano_ref,9,1),0),'Plano de Ação'!$G100&gt;=DATE(ano_ref,9,1)),1,0))</f>
      </c>
      <c r="N101" s="41">
        <f>IF(OR(NOT('Plano de Ação'!$B100&lt;&gt;""),NOT(ISNUMBER('Plano de Ação'!$F100)),NOT(ISNUMBER('Plano de Ação'!$G100)),'Plano de Ação'!$J100="Cancelada"),0,IF(AND('Plano de Ação'!$F100&lt;=EOMONTH(DATE(ano_ref,10,1),0),'Plano de Ação'!$G100&gt;=DATE(ano_ref,10,1)),1,0))</f>
      </c>
      <c r="O101" s="41">
        <f>IF(OR(NOT('Plano de Ação'!$B100&lt;&gt;""),NOT(ISNUMBER('Plano de Ação'!$F100)),NOT(ISNUMBER('Plano de Ação'!$G100)),'Plano de Ação'!$J100="Cancelada"),0,IF(AND('Plano de Ação'!$F100&lt;=EOMONTH(DATE(ano_ref,11,1),0),'Plano de Ação'!$G100&gt;=DATE(ano_ref,11,1)),1,0))</f>
      </c>
      <c r="P101" s="41">
        <f>IF(OR(NOT('Plano de Ação'!$B100&lt;&gt;""),NOT(ISNUMBER('Plano de Ação'!$F100)),NOT(ISNUMBER('Plano de Ação'!$G100)),'Plano de Ação'!$J100="Cancelada"),0,IF(AND('Plano de Ação'!$F100&lt;=EOMONTH(DATE(ano_ref,12,1),0),'Plano de Ação'!$G100&gt;=DATE(ano_ref,12,1)),1,0))</f>
      </c>
    </row>
    <row r="102" spans="1:16" x14ac:dyDescent="0.25">
      <c r="A102" s="40">
        <f>IF('Plano de Ação'!$B101&lt;&gt;"",'Plano de Ação'!A101&amp;"","")</f>
      </c>
      <c r="B102" s="25">
        <f>IF('Plano de Ação'!$B101&lt;&gt;"",'Plano de Ação'!B101,"")</f>
      </c>
      <c r="C102" s="25">
        <f>IF('Plano de Ação'!$B101&lt;&gt;"",'Plano de Ação'!E101&amp;"","")</f>
      </c>
      <c r="D102" s="40">
        <f>IF('Plano de Ação'!$B101&lt;&gt;"",'Plano de Ação'!L101,"")</f>
      </c>
      <c r="E102" s="41">
        <f>IF(OR(NOT('Plano de Ação'!$B101&lt;&gt;""),NOT(ISNUMBER('Plano de Ação'!$F101)),NOT(ISNUMBER('Plano de Ação'!$G101)),'Plano de Ação'!$J101="Cancelada"),0,IF(AND('Plano de Ação'!$F101&lt;=EOMONTH(DATE(ano_ref,1,1),0),'Plano de Ação'!$G101&gt;=DATE(ano_ref,1,1)),1,0))</f>
      </c>
      <c r="F102" s="41">
        <f>IF(OR(NOT('Plano de Ação'!$B101&lt;&gt;""),NOT(ISNUMBER('Plano de Ação'!$F101)),NOT(ISNUMBER('Plano de Ação'!$G101)),'Plano de Ação'!$J101="Cancelada"),0,IF(AND('Plano de Ação'!$F101&lt;=EOMONTH(DATE(ano_ref,2,1),0),'Plano de Ação'!$G101&gt;=DATE(ano_ref,2,1)),1,0))</f>
      </c>
      <c r="G102" s="41">
        <f>IF(OR(NOT('Plano de Ação'!$B101&lt;&gt;""),NOT(ISNUMBER('Plano de Ação'!$F101)),NOT(ISNUMBER('Plano de Ação'!$G101)),'Plano de Ação'!$J101="Cancelada"),0,IF(AND('Plano de Ação'!$F101&lt;=EOMONTH(DATE(ano_ref,3,1),0),'Plano de Ação'!$G101&gt;=DATE(ano_ref,3,1)),1,0))</f>
      </c>
      <c r="H102" s="41">
        <f>IF(OR(NOT('Plano de Ação'!$B101&lt;&gt;""),NOT(ISNUMBER('Plano de Ação'!$F101)),NOT(ISNUMBER('Plano de Ação'!$G101)),'Plano de Ação'!$J101="Cancelada"),0,IF(AND('Plano de Ação'!$F101&lt;=EOMONTH(DATE(ano_ref,4,1),0),'Plano de Ação'!$G101&gt;=DATE(ano_ref,4,1)),1,0))</f>
      </c>
      <c r="I102" s="41">
        <f>IF(OR(NOT('Plano de Ação'!$B101&lt;&gt;""),NOT(ISNUMBER('Plano de Ação'!$F101)),NOT(ISNUMBER('Plano de Ação'!$G101)),'Plano de Ação'!$J101="Cancelada"),0,IF(AND('Plano de Ação'!$F101&lt;=EOMONTH(DATE(ano_ref,5,1),0),'Plano de Ação'!$G101&gt;=DATE(ano_ref,5,1)),1,0))</f>
      </c>
      <c r="J102" s="41">
        <f>IF(OR(NOT('Plano de Ação'!$B101&lt;&gt;""),NOT(ISNUMBER('Plano de Ação'!$F101)),NOT(ISNUMBER('Plano de Ação'!$G101)),'Plano de Ação'!$J101="Cancelada"),0,IF(AND('Plano de Ação'!$F101&lt;=EOMONTH(DATE(ano_ref,6,1),0),'Plano de Ação'!$G101&gt;=DATE(ano_ref,6,1)),1,0))</f>
      </c>
      <c r="K102" s="41">
        <f>IF(OR(NOT('Plano de Ação'!$B101&lt;&gt;""),NOT(ISNUMBER('Plano de Ação'!$F101)),NOT(ISNUMBER('Plano de Ação'!$G101)),'Plano de Ação'!$J101="Cancelada"),0,IF(AND('Plano de Ação'!$F101&lt;=EOMONTH(DATE(ano_ref,7,1),0),'Plano de Ação'!$G101&gt;=DATE(ano_ref,7,1)),1,0))</f>
      </c>
      <c r="L102" s="41">
        <f>IF(OR(NOT('Plano de Ação'!$B101&lt;&gt;""),NOT(ISNUMBER('Plano de Ação'!$F101)),NOT(ISNUMBER('Plano de Ação'!$G101)),'Plano de Ação'!$J101="Cancelada"),0,IF(AND('Plano de Ação'!$F101&lt;=EOMONTH(DATE(ano_ref,8,1),0),'Plano de Ação'!$G101&gt;=DATE(ano_ref,8,1)),1,0))</f>
      </c>
      <c r="M102" s="41">
        <f>IF(OR(NOT('Plano de Ação'!$B101&lt;&gt;""),NOT(ISNUMBER('Plano de Ação'!$F101)),NOT(ISNUMBER('Plano de Ação'!$G101)),'Plano de Ação'!$J101="Cancelada"),0,IF(AND('Plano de Ação'!$F101&lt;=EOMONTH(DATE(ano_ref,9,1),0),'Plano de Ação'!$G101&gt;=DATE(ano_ref,9,1)),1,0))</f>
      </c>
      <c r="N102" s="41">
        <f>IF(OR(NOT('Plano de Ação'!$B101&lt;&gt;""),NOT(ISNUMBER('Plano de Ação'!$F101)),NOT(ISNUMBER('Plano de Ação'!$G101)),'Plano de Ação'!$J101="Cancelada"),0,IF(AND('Plano de Ação'!$F101&lt;=EOMONTH(DATE(ano_ref,10,1),0),'Plano de Ação'!$G101&gt;=DATE(ano_ref,10,1)),1,0))</f>
      </c>
      <c r="O102" s="41">
        <f>IF(OR(NOT('Plano de Ação'!$B101&lt;&gt;""),NOT(ISNUMBER('Plano de Ação'!$F101)),NOT(ISNUMBER('Plano de Ação'!$G101)),'Plano de Ação'!$J101="Cancelada"),0,IF(AND('Plano de Ação'!$F101&lt;=EOMONTH(DATE(ano_ref,11,1),0),'Plano de Ação'!$G101&gt;=DATE(ano_ref,11,1)),1,0))</f>
      </c>
      <c r="P102" s="41">
        <f>IF(OR(NOT('Plano de Ação'!$B101&lt;&gt;""),NOT(ISNUMBER('Plano de Ação'!$F101)),NOT(ISNUMBER('Plano de Ação'!$G101)),'Plano de Ação'!$J101="Cancelada"),0,IF(AND('Plano de Ação'!$F101&lt;=EOMONTH(DATE(ano_ref,12,1),0),'Plano de Ação'!$G101&gt;=DATE(ano_ref,12,1)),1,0))</f>
      </c>
    </row>
    <row r="103" spans="1:16" x14ac:dyDescent="0.25">
      <c r="A103" s="40">
        <f>IF('Plano de Ação'!$B102&lt;&gt;"",'Plano de Ação'!A102&amp;"","")</f>
      </c>
      <c r="B103" s="25">
        <f>IF('Plano de Ação'!$B102&lt;&gt;"",'Plano de Ação'!B102,"")</f>
      </c>
      <c r="C103" s="25">
        <f>IF('Plano de Ação'!$B102&lt;&gt;"",'Plano de Ação'!E102&amp;"","")</f>
      </c>
      <c r="D103" s="40">
        <f>IF('Plano de Ação'!$B102&lt;&gt;"",'Plano de Ação'!L102,"")</f>
      </c>
      <c r="E103" s="41">
        <f>IF(OR(NOT('Plano de Ação'!$B102&lt;&gt;""),NOT(ISNUMBER('Plano de Ação'!$F102)),NOT(ISNUMBER('Plano de Ação'!$G102)),'Plano de Ação'!$J102="Cancelada"),0,IF(AND('Plano de Ação'!$F102&lt;=EOMONTH(DATE(ano_ref,1,1),0),'Plano de Ação'!$G102&gt;=DATE(ano_ref,1,1)),1,0))</f>
      </c>
      <c r="F103" s="41">
        <f>IF(OR(NOT('Plano de Ação'!$B102&lt;&gt;""),NOT(ISNUMBER('Plano de Ação'!$F102)),NOT(ISNUMBER('Plano de Ação'!$G102)),'Plano de Ação'!$J102="Cancelada"),0,IF(AND('Plano de Ação'!$F102&lt;=EOMONTH(DATE(ano_ref,2,1),0),'Plano de Ação'!$G102&gt;=DATE(ano_ref,2,1)),1,0))</f>
      </c>
      <c r="G103" s="41">
        <f>IF(OR(NOT('Plano de Ação'!$B102&lt;&gt;""),NOT(ISNUMBER('Plano de Ação'!$F102)),NOT(ISNUMBER('Plano de Ação'!$G102)),'Plano de Ação'!$J102="Cancelada"),0,IF(AND('Plano de Ação'!$F102&lt;=EOMONTH(DATE(ano_ref,3,1),0),'Plano de Ação'!$G102&gt;=DATE(ano_ref,3,1)),1,0))</f>
      </c>
      <c r="H103" s="41">
        <f>IF(OR(NOT('Plano de Ação'!$B102&lt;&gt;""),NOT(ISNUMBER('Plano de Ação'!$F102)),NOT(ISNUMBER('Plano de Ação'!$G102)),'Plano de Ação'!$J102="Cancelada"),0,IF(AND('Plano de Ação'!$F102&lt;=EOMONTH(DATE(ano_ref,4,1),0),'Plano de Ação'!$G102&gt;=DATE(ano_ref,4,1)),1,0))</f>
      </c>
      <c r="I103" s="41">
        <f>IF(OR(NOT('Plano de Ação'!$B102&lt;&gt;""),NOT(ISNUMBER('Plano de Ação'!$F102)),NOT(ISNUMBER('Plano de Ação'!$G102)),'Plano de Ação'!$J102="Cancelada"),0,IF(AND('Plano de Ação'!$F102&lt;=EOMONTH(DATE(ano_ref,5,1),0),'Plano de Ação'!$G102&gt;=DATE(ano_ref,5,1)),1,0))</f>
      </c>
      <c r="J103" s="41">
        <f>IF(OR(NOT('Plano de Ação'!$B102&lt;&gt;""),NOT(ISNUMBER('Plano de Ação'!$F102)),NOT(ISNUMBER('Plano de Ação'!$G102)),'Plano de Ação'!$J102="Cancelada"),0,IF(AND('Plano de Ação'!$F102&lt;=EOMONTH(DATE(ano_ref,6,1),0),'Plano de Ação'!$G102&gt;=DATE(ano_ref,6,1)),1,0))</f>
      </c>
      <c r="K103" s="41">
        <f>IF(OR(NOT('Plano de Ação'!$B102&lt;&gt;""),NOT(ISNUMBER('Plano de Ação'!$F102)),NOT(ISNUMBER('Plano de Ação'!$G102)),'Plano de Ação'!$J102="Cancelada"),0,IF(AND('Plano de Ação'!$F102&lt;=EOMONTH(DATE(ano_ref,7,1),0),'Plano de Ação'!$G102&gt;=DATE(ano_ref,7,1)),1,0))</f>
      </c>
      <c r="L103" s="41">
        <f>IF(OR(NOT('Plano de Ação'!$B102&lt;&gt;""),NOT(ISNUMBER('Plano de Ação'!$F102)),NOT(ISNUMBER('Plano de Ação'!$G102)),'Plano de Ação'!$J102="Cancelada"),0,IF(AND('Plano de Ação'!$F102&lt;=EOMONTH(DATE(ano_ref,8,1),0),'Plano de Ação'!$G102&gt;=DATE(ano_ref,8,1)),1,0))</f>
      </c>
      <c r="M103" s="41">
        <f>IF(OR(NOT('Plano de Ação'!$B102&lt;&gt;""),NOT(ISNUMBER('Plano de Ação'!$F102)),NOT(ISNUMBER('Plano de Ação'!$G102)),'Plano de Ação'!$J102="Cancelada"),0,IF(AND('Plano de Ação'!$F102&lt;=EOMONTH(DATE(ano_ref,9,1),0),'Plano de Ação'!$G102&gt;=DATE(ano_ref,9,1)),1,0))</f>
      </c>
      <c r="N103" s="41">
        <f>IF(OR(NOT('Plano de Ação'!$B102&lt;&gt;""),NOT(ISNUMBER('Plano de Ação'!$F102)),NOT(ISNUMBER('Plano de Ação'!$G102)),'Plano de Ação'!$J102="Cancelada"),0,IF(AND('Plano de Ação'!$F102&lt;=EOMONTH(DATE(ano_ref,10,1),0),'Plano de Ação'!$G102&gt;=DATE(ano_ref,10,1)),1,0))</f>
      </c>
      <c r="O103" s="41">
        <f>IF(OR(NOT('Plano de Ação'!$B102&lt;&gt;""),NOT(ISNUMBER('Plano de Ação'!$F102)),NOT(ISNUMBER('Plano de Ação'!$G102)),'Plano de Ação'!$J102="Cancelada"),0,IF(AND('Plano de Ação'!$F102&lt;=EOMONTH(DATE(ano_ref,11,1),0),'Plano de Ação'!$G102&gt;=DATE(ano_ref,11,1)),1,0))</f>
      </c>
      <c r="P103" s="41">
        <f>IF(OR(NOT('Plano de Ação'!$B102&lt;&gt;""),NOT(ISNUMBER('Plano de Ação'!$F102)),NOT(ISNUMBER('Plano de Ação'!$G102)),'Plano de Ação'!$J102="Cancelada"),0,IF(AND('Plano de Ação'!$F102&lt;=EOMONTH(DATE(ano_ref,12,1),0),'Plano de Ação'!$G102&gt;=DATE(ano_ref,12,1)),1,0))</f>
      </c>
    </row>
    <row r="104" spans="1:16" x14ac:dyDescent="0.25">
      <c r="A104" s="40">
        <f>IF('Plano de Ação'!$B103&lt;&gt;"",'Plano de Ação'!A103&amp;"","")</f>
      </c>
      <c r="B104" s="25">
        <f>IF('Plano de Ação'!$B103&lt;&gt;"",'Plano de Ação'!B103,"")</f>
      </c>
      <c r="C104" s="25">
        <f>IF('Plano de Ação'!$B103&lt;&gt;"",'Plano de Ação'!E103&amp;"","")</f>
      </c>
      <c r="D104" s="40">
        <f>IF('Plano de Ação'!$B103&lt;&gt;"",'Plano de Ação'!L103,"")</f>
      </c>
      <c r="E104" s="41">
        <f>IF(OR(NOT('Plano de Ação'!$B103&lt;&gt;""),NOT(ISNUMBER('Plano de Ação'!$F103)),NOT(ISNUMBER('Plano de Ação'!$G103)),'Plano de Ação'!$J103="Cancelada"),0,IF(AND('Plano de Ação'!$F103&lt;=EOMONTH(DATE(ano_ref,1,1),0),'Plano de Ação'!$G103&gt;=DATE(ano_ref,1,1)),1,0))</f>
      </c>
      <c r="F104" s="41">
        <f>IF(OR(NOT('Plano de Ação'!$B103&lt;&gt;""),NOT(ISNUMBER('Plano de Ação'!$F103)),NOT(ISNUMBER('Plano de Ação'!$G103)),'Plano de Ação'!$J103="Cancelada"),0,IF(AND('Plano de Ação'!$F103&lt;=EOMONTH(DATE(ano_ref,2,1),0),'Plano de Ação'!$G103&gt;=DATE(ano_ref,2,1)),1,0))</f>
      </c>
      <c r="G104" s="41">
        <f>IF(OR(NOT('Plano de Ação'!$B103&lt;&gt;""),NOT(ISNUMBER('Plano de Ação'!$F103)),NOT(ISNUMBER('Plano de Ação'!$G103)),'Plano de Ação'!$J103="Cancelada"),0,IF(AND('Plano de Ação'!$F103&lt;=EOMONTH(DATE(ano_ref,3,1),0),'Plano de Ação'!$G103&gt;=DATE(ano_ref,3,1)),1,0))</f>
      </c>
      <c r="H104" s="41">
        <f>IF(OR(NOT('Plano de Ação'!$B103&lt;&gt;""),NOT(ISNUMBER('Plano de Ação'!$F103)),NOT(ISNUMBER('Plano de Ação'!$G103)),'Plano de Ação'!$J103="Cancelada"),0,IF(AND('Plano de Ação'!$F103&lt;=EOMONTH(DATE(ano_ref,4,1),0),'Plano de Ação'!$G103&gt;=DATE(ano_ref,4,1)),1,0))</f>
      </c>
      <c r="I104" s="41">
        <f>IF(OR(NOT('Plano de Ação'!$B103&lt;&gt;""),NOT(ISNUMBER('Plano de Ação'!$F103)),NOT(ISNUMBER('Plano de Ação'!$G103)),'Plano de Ação'!$J103="Cancelada"),0,IF(AND('Plano de Ação'!$F103&lt;=EOMONTH(DATE(ano_ref,5,1),0),'Plano de Ação'!$G103&gt;=DATE(ano_ref,5,1)),1,0))</f>
      </c>
      <c r="J104" s="41">
        <f>IF(OR(NOT('Plano de Ação'!$B103&lt;&gt;""),NOT(ISNUMBER('Plano de Ação'!$F103)),NOT(ISNUMBER('Plano de Ação'!$G103)),'Plano de Ação'!$J103="Cancelada"),0,IF(AND('Plano de Ação'!$F103&lt;=EOMONTH(DATE(ano_ref,6,1),0),'Plano de Ação'!$G103&gt;=DATE(ano_ref,6,1)),1,0))</f>
      </c>
      <c r="K104" s="41">
        <f>IF(OR(NOT('Plano de Ação'!$B103&lt;&gt;""),NOT(ISNUMBER('Plano de Ação'!$F103)),NOT(ISNUMBER('Plano de Ação'!$G103)),'Plano de Ação'!$J103="Cancelada"),0,IF(AND('Plano de Ação'!$F103&lt;=EOMONTH(DATE(ano_ref,7,1),0),'Plano de Ação'!$G103&gt;=DATE(ano_ref,7,1)),1,0))</f>
      </c>
      <c r="L104" s="41">
        <f>IF(OR(NOT('Plano de Ação'!$B103&lt;&gt;""),NOT(ISNUMBER('Plano de Ação'!$F103)),NOT(ISNUMBER('Plano de Ação'!$G103)),'Plano de Ação'!$J103="Cancelada"),0,IF(AND('Plano de Ação'!$F103&lt;=EOMONTH(DATE(ano_ref,8,1),0),'Plano de Ação'!$G103&gt;=DATE(ano_ref,8,1)),1,0))</f>
      </c>
      <c r="M104" s="41">
        <f>IF(OR(NOT('Plano de Ação'!$B103&lt;&gt;""),NOT(ISNUMBER('Plano de Ação'!$F103)),NOT(ISNUMBER('Plano de Ação'!$G103)),'Plano de Ação'!$J103="Cancelada"),0,IF(AND('Plano de Ação'!$F103&lt;=EOMONTH(DATE(ano_ref,9,1),0),'Plano de Ação'!$G103&gt;=DATE(ano_ref,9,1)),1,0))</f>
      </c>
      <c r="N104" s="41">
        <f>IF(OR(NOT('Plano de Ação'!$B103&lt;&gt;""),NOT(ISNUMBER('Plano de Ação'!$F103)),NOT(ISNUMBER('Plano de Ação'!$G103)),'Plano de Ação'!$J103="Cancelada"),0,IF(AND('Plano de Ação'!$F103&lt;=EOMONTH(DATE(ano_ref,10,1),0),'Plano de Ação'!$G103&gt;=DATE(ano_ref,10,1)),1,0))</f>
      </c>
      <c r="O104" s="41">
        <f>IF(OR(NOT('Plano de Ação'!$B103&lt;&gt;""),NOT(ISNUMBER('Plano de Ação'!$F103)),NOT(ISNUMBER('Plano de Ação'!$G103)),'Plano de Ação'!$J103="Cancelada"),0,IF(AND('Plano de Ação'!$F103&lt;=EOMONTH(DATE(ano_ref,11,1),0),'Plano de Ação'!$G103&gt;=DATE(ano_ref,11,1)),1,0))</f>
      </c>
      <c r="P104" s="41">
        <f>IF(OR(NOT('Plano de Ação'!$B103&lt;&gt;""),NOT(ISNUMBER('Plano de Ação'!$F103)),NOT(ISNUMBER('Plano de Ação'!$G103)),'Plano de Ação'!$J103="Cancelada"),0,IF(AND('Plano de Ação'!$F103&lt;=EOMONTH(DATE(ano_ref,12,1),0),'Plano de Ação'!$G103&gt;=DATE(ano_ref,12,1)),1,0))</f>
      </c>
    </row>
    <row r="105" spans="1:16" x14ac:dyDescent="0.25">
      <c r="A105" s="40">
        <f>IF('Plano de Ação'!$B104&lt;&gt;"",'Plano de Ação'!A104&amp;"","")</f>
      </c>
      <c r="B105" s="25">
        <f>IF('Plano de Ação'!$B104&lt;&gt;"",'Plano de Ação'!B104,"")</f>
      </c>
      <c r="C105" s="25">
        <f>IF('Plano de Ação'!$B104&lt;&gt;"",'Plano de Ação'!E104&amp;"","")</f>
      </c>
      <c r="D105" s="40">
        <f>IF('Plano de Ação'!$B104&lt;&gt;"",'Plano de Ação'!L104,"")</f>
      </c>
      <c r="E105" s="41">
        <f>IF(OR(NOT('Plano de Ação'!$B104&lt;&gt;""),NOT(ISNUMBER('Plano de Ação'!$F104)),NOT(ISNUMBER('Plano de Ação'!$G104)),'Plano de Ação'!$J104="Cancelada"),0,IF(AND('Plano de Ação'!$F104&lt;=EOMONTH(DATE(ano_ref,1,1),0),'Plano de Ação'!$G104&gt;=DATE(ano_ref,1,1)),1,0))</f>
      </c>
      <c r="F105" s="41">
        <f>IF(OR(NOT('Plano de Ação'!$B104&lt;&gt;""),NOT(ISNUMBER('Plano de Ação'!$F104)),NOT(ISNUMBER('Plano de Ação'!$G104)),'Plano de Ação'!$J104="Cancelada"),0,IF(AND('Plano de Ação'!$F104&lt;=EOMONTH(DATE(ano_ref,2,1),0),'Plano de Ação'!$G104&gt;=DATE(ano_ref,2,1)),1,0))</f>
      </c>
      <c r="G105" s="41">
        <f>IF(OR(NOT('Plano de Ação'!$B104&lt;&gt;""),NOT(ISNUMBER('Plano de Ação'!$F104)),NOT(ISNUMBER('Plano de Ação'!$G104)),'Plano de Ação'!$J104="Cancelada"),0,IF(AND('Plano de Ação'!$F104&lt;=EOMONTH(DATE(ano_ref,3,1),0),'Plano de Ação'!$G104&gt;=DATE(ano_ref,3,1)),1,0))</f>
      </c>
      <c r="H105" s="41">
        <f>IF(OR(NOT('Plano de Ação'!$B104&lt;&gt;""),NOT(ISNUMBER('Plano de Ação'!$F104)),NOT(ISNUMBER('Plano de Ação'!$G104)),'Plano de Ação'!$J104="Cancelada"),0,IF(AND('Plano de Ação'!$F104&lt;=EOMONTH(DATE(ano_ref,4,1),0),'Plano de Ação'!$G104&gt;=DATE(ano_ref,4,1)),1,0))</f>
      </c>
      <c r="I105" s="41">
        <f>IF(OR(NOT('Plano de Ação'!$B104&lt;&gt;""),NOT(ISNUMBER('Plano de Ação'!$F104)),NOT(ISNUMBER('Plano de Ação'!$G104)),'Plano de Ação'!$J104="Cancelada"),0,IF(AND('Plano de Ação'!$F104&lt;=EOMONTH(DATE(ano_ref,5,1),0),'Plano de Ação'!$G104&gt;=DATE(ano_ref,5,1)),1,0))</f>
      </c>
      <c r="J105" s="41">
        <f>IF(OR(NOT('Plano de Ação'!$B104&lt;&gt;""),NOT(ISNUMBER('Plano de Ação'!$F104)),NOT(ISNUMBER('Plano de Ação'!$G104)),'Plano de Ação'!$J104="Cancelada"),0,IF(AND('Plano de Ação'!$F104&lt;=EOMONTH(DATE(ano_ref,6,1),0),'Plano de Ação'!$G104&gt;=DATE(ano_ref,6,1)),1,0))</f>
      </c>
      <c r="K105" s="41">
        <f>IF(OR(NOT('Plano de Ação'!$B104&lt;&gt;""),NOT(ISNUMBER('Plano de Ação'!$F104)),NOT(ISNUMBER('Plano de Ação'!$G104)),'Plano de Ação'!$J104="Cancelada"),0,IF(AND('Plano de Ação'!$F104&lt;=EOMONTH(DATE(ano_ref,7,1),0),'Plano de Ação'!$G104&gt;=DATE(ano_ref,7,1)),1,0))</f>
      </c>
      <c r="L105" s="41">
        <f>IF(OR(NOT('Plano de Ação'!$B104&lt;&gt;""),NOT(ISNUMBER('Plano de Ação'!$F104)),NOT(ISNUMBER('Plano de Ação'!$G104)),'Plano de Ação'!$J104="Cancelada"),0,IF(AND('Plano de Ação'!$F104&lt;=EOMONTH(DATE(ano_ref,8,1),0),'Plano de Ação'!$G104&gt;=DATE(ano_ref,8,1)),1,0))</f>
      </c>
      <c r="M105" s="41">
        <f>IF(OR(NOT('Plano de Ação'!$B104&lt;&gt;""),NOT(ISNUMBER('Plano de Ação'!$F104)),NOT(ISNUMBER('Plano de Ação'!$G104)),'Plano de Ação'!$J104="Cancelada"),0,IF(AND('Plano de Ação'!$F104&lt;=EOMONTH(DATE(ano_ref,9,1),0),'Plano de Ação'!$G104&gt;=DATE(ano_ref,9,1)),1,0))</f>
      </c>
      <c r="N105" s="41">
        <f>IF(OR(NOT('Plano de Ação'!$B104&lt;&gt;""),NOT(ISNUMBER('Plano de Ação'!$F104)),NOT(ISNUMBER('Plano de Ação'!$G104)),'Plano de Ação'!$J104="Cancelada"),0,IF(AND('Plano de Ação'!$F104&lt;=EOMONTH(DATE(ano_ref,10,1),0),'Plano de Ação'!$G104&gt;=DATE(ano_ref,10,1)),1,0))</f>
      </c>
      <c r="O105" s="41">
        <f>IF(OR(NOT('Plano de Ação'!$B104&lt;&gt;""),NOT(ISNUMBER('Plano de Ação'!$F104)),NOT(ISNUMBER('Plano de Ação'!$G104)),'Plano de Ação'!$J104="Cancelada"),0,IF(AND('Plano de Ação'!$F104&lt;=EOMONTH(DATE(ano_ref,11,1),0),'Plano de Ação'!$G104&gt;=DATE(ano_ref,11,1)),1,0))</f>
      </c>
      <c r="P105" s="41">
        <f>IF(OR(NOT('Plano de Ação'!$B104&lt;&gt;""),NOT(ISNUMBER('Plano de Ação'!$F104)),NOT(ISNUMBER('Plano de Ação'!$G104)),'Plano de Ação'!$J104="Cancelada"),0,IF(AND('Plano de Ação'!$F104&lt;=EOMONTH(DATE(ano_ref,12,1),0),'Plano de Ação'!$G104&gt;=DATE(ano_ref,12,1)),1,0))</f>
      </c>
    </row>
    <row r="106" spans="1:16" x14ac:dyDescent="0.25">
      <c r="A106" s="40">
        <f>IF('Plano de Ação'!$B105&lt;&gt;"",'Plano de Ação'!A105&amp;"","")</f>
      </c>
      <c r="B106" s="25">
        <f>IF('Plano de Ação'!$B105&lt;&gt;"",'Plano de Ação'!B105,"")</f>
      </c>
      <c r="C106" s="25">
        <f>IF('Plano de Ação'!$B105&lt;&gt;"",'Plano de Ação'!E105&amp;"","")</f>
      </c>
      <c r="D106" s="40">
        <f>IF('Plano de Ação'!$B105&lt;&gt;"",'Plano de Ação'!L105,"")</f>
      </c>
      <c r="E106" s="41">
        <f>IF(OR(NOT('Plano de Ação'!$B105&lt;&gt;""),NOT(ISNUMBER('Plano de Ação'!$F105)),NOT(ISNUMBER('Plano de Ação'!$G105)),'Plano de Ação'!$J105="Cancelada"),0,IF(AND('Plano de Ação'!$F105&lt;=EOMONTH(DATE(ano_ref,1,1),0),'Plano de Ação'!$G105&gt;=DATE(ano_ref,1,1)),1,0))</f>
      </c>
      <c r="F106" s="41">
        <f>IF(OR(NOT('Plano de Ação'!$B105&lt;&gt;""),NOT(ISNUMBER('Plano de Ação'!$F105)),NOT(ISNUMBER('Plano de Ação'!$G105)),'Plano de Ação'!$J105="Cancelada"),0,IF(AND('Plano de Ação'!$F105&lt;=EOMONTH(DATE(ano_ref,2,1),0),'Plano de Ação'!$G105&gt;=DATE(ano_ref,2,1)),1,0))</f>
      </c>
      <c r="G106" s="41">
        <f>IF(OR(NOT('Plano de Ação'!$B105&lt;&gt;""),NOT(ISNUMBER('Plano de Ação'!$F105)),NOT(ISNUMBER('Plano de Ação'!$G105)),'Plano de Ação'!$J105="Cancelada"),0,IF(AND('Plano de Ação'!$F105&lt;=EOMONTH(DATE(ano_ref,3,1),0),'Plano de Ação'!$G105&gt;=DATE(ano_ref,3,1)),1,0))</f>
      </c>
      <c r="H106" s="41">
        <f>IF(OR(NOT('Plano de Ação'!$B105&lt;&gt;""),NOT(ISNUMBER('Plano de Ação'!$F105)),NOT(ISNUMBER('Plano de Ação'!$G105)),'Plano de Ação'!$J105="Cancelada"),0,IF(AND('Plano de Ação'!$F105&lt;=EOMONTH(DATE(ano_ref,4,1),0),'Plano de Ação'!$G105&gt;=DATE(ano_ref,4,1)),1,0))</f>
      </c>
      <c r="I106" s="41">
        <f>IF(OR(NOT('Plano de Ação'!$B105&lt;&gt;""),NOT(ISNUMBER('Plano de Ação'!$F105)),NOT(ISNUMBER('Plano de Ação'!$G105)),'Plano de Ação'!$J105="Cancelada"),0,IF(AND('Plano de Ação'!$F105&lt;=EOMONTH(DATE(ano_ref,5,1),0),'Plano de Ação'!$G105&gt;=DATE(ano_ref,5,1)),1,0))</f>
      </c>
      <c r="J106" s="41">
        <f>IF(OR(NOT('Plano de Ação'!$B105&lt;&gt;""),NOT(ISNUMBER('Plano de Ação'!$F105)),NOT(ISNUMBER('Plano de Ação'!$G105)),'Plano de Ação'!$J105="Cancelada"),0,IF(AND('Plano de Ação'!$F105&lt;=EOMONTH(DATE(ano_ref,6,1),0),'Plano de Ação'!$G105&gt;=DATE(ano_ref,6,1)),1,0))</f>
      </c>
      <c r="K106" s="41">
        <f>IF(OR(NOT('Plano de Ação'!$B105&lt;&gt;""),NOT(ISNUMBER('Plano de Ação'!$F105)),NOT(ISNUMBER('Plano de Ação'!$G105)),'Plano de Ação'!$J105="Cancelada"),0,IF(AND('Plano de Ação'!$F105&lt;=EOMONTH(DATE(ano_ref,7,1),0),'Plano de Ação'!$G105&gt;=DATE(ano_ref,7,1)),1,0))</f>
      </c>
      <c r="L106" s="41">
        <f>IF(OR(NOT('Plano de Ação'!$B105&lt;&gt;""),NOT(ISNUMBER('Plano de Ação'!$F105)),NOT(ISNUMBER('Plano de Ação'!$G105)),'Plano de Ação'!$J105="Cancelada"),0,IF(AND('Plano de Ação'!$F105&lt;=EOMONTH(DATE(ano_ref,8,1),0),'Plano de Ação'!$G105&gt;=DATE(ano_ref,8,1)),1,0))</f>
      </c>
      <c r="M106" s="41">
        <f>IF(OR(NOT('Plano de Ação'!$B105&lt;&gt;""),NOT(ISNUMBER('Plano de Ação'!$F105)),NOT(ISNUMBER('Plano de Ação'!$G105)),'Plano de Ação'!$J105="Cancelada"),0,IF(AND('Plano de Ação'!$F105&lt;=EOMONTH(DATE(ano_ref,9,1),0),'Plano de Ação'!$G105&gt;=DATE(ano_ref,9,1)),1,0))</f>
      </c>
      <c r="N106" s="41">
        <f>IF(OR(NOT('Plano de Ação'!$B105&lt;&gt;""),NOT(ISNUMBER('Plano de Ação'!$F105)),NOT(ISNUMBER('Plano de Ação'!$G105)),'Plano de Ação'!$J105="Cancelada"),0,IF(AND('Plano de Ação'!$F105&lt;=EOMONTH(DATE(ano_ref,10,1),0),'Plano de Ação'!$G105&gt;=DATE(ano_ref,10,1)),1,0))</f>
      </c>
      <c r="O106" s="41">
        <f>IF(OR(NOT('Plano de Ação'!$B105&lt;&gt;""),NOT(ISNUMBER('Plano de Ação'!$F105)),NOT(ISNUMBER('Plano de Ação'!$G105)),'Plano de Ação'!$J105="Cancelada"),0,IF(AND('Plano de Ação'!$F105&lt;=EOMONTH(DATE(ano_ref,11,1),0),'Plano de Ação'!$G105&gt;=DATE(ano_ref,11,1)),1,0))</f>
      </c>
      <c r="P106" s="41">
        <f>IF(OR(NOT('Plano de Ação'!$B105&lt;&gt;""),NOT(ISNUMBER('Plano de Ação'!$F105)),NOT(ISNUMBER('Plano de Ação'!$G105)),'Plano de Ação'!$J105="Cancelada"),0,IF(AND('Plano de Ação'!$F105&lt;=EOMONTH(DATE(ano_ref,12,1),0),'Plano de Ação'!$G105&gt;=DATE(ano_ref,12,1)),1,0))</f>
      </c>
    </row>
    <row r="107" spans="1:16" x14ac:dyDescent="0.25">
      <c r="A107" s="40">
        <f>IF('Plano de Ação'!$B106&lt;&gt;"",'Plano de Ação'!A106&amp;"","")</f>
      </c>
      <c r="B107" s="25">
        <f>IF('Plano de Ação'!$B106&lt;&gt;"",'Plano de Ação'!B106,"")</f>
      </c>
      <c r="C107" s="25">
        <f>IF('Plano de Ação'!$B106&lt;&gt;"",'Plano de Ação'!E106&amp;"","")</f>
      </c>
      <c r="D107" s="40">
        <f>IF('Plano de Ação'!$B106&lt;&gt;"",'Plano de Ação'!L106,"")</f>
      </c>
      <c r="E107" s="41">
        <f>IF(OR(NOT('Plano de Ação'!$B106&lt;&gt;""),NOT(ISNUMBER('Plano de Ação'!$F106)),NOT(ISNUMBER('Plano de Ação'!$G106)),'Plano de Ação'!$J106="Cancelada"),0,IF(AND('Plano de Ação'!$F106&lt;=EOMONTH(DATE(ano_ref,1,1),0),'Plano de Ação'!$G106&gt;=DATE(ano_ref,1,1)),1,0))</f>
      </c>
      <c r="F107" s="41">
        <f>IF(OR(NOT('Plano de Ação'!$B106&lt;&gt;""),NOT(ISNUMBER('Plano de Ação'!$F106)),NOT(ISNUMBER('Plano de Ação'!$G106)),'Plano de Ação'!$J106="Cancelada"),0,IF(AND('Plano de Ação'!$F106&lt;=EOMONTH(DATE(ano_ref,2,1),0),'Plano de Ação'!$G106&gt;=DATE(ano_ref,2,1)),1,0))</f>
      </c>
      <c r="G107" s="41">
        <f>IF(OR(NOT('Plano de Ação'!$B106&lt;&gt;""),NOT(ISNUMBER('Plano de Ação'!$F106)),NOT(ISNUMBER('Plano de Ação'!$G106)),'Plano de Ação'!$J106="Cancelada"),0,IF(AND('Plano de Ação'!$F106&lt;=EOMONTH(DATE(ano_ref,3,1),0),'Plano de Ação'!$G106&gt;=DATE(ano_ref,3,1)),1,0))</f>
      </c>
      <c r="H107" s="41">
        <f>IF(OR(NOT('Plano de Ação'!$B106&lt;&gt;""),NOT(ISNUMBER('Plano de Ação'!$F106)),NOT(ISNUMBER('Plano de Ação'!$G106)),'Plano de Ação'!$J106="Cancelada"),0,IF(AND('Plano de Ação'!$F106&lt;=EOMONTH(DATE(ano_ref,4,1),0),'Plano de Ação'!$G106&gt;=DATE(ano_ref,4,1)),1,0))</f>
      </c>
      <c r="I107" s="41">
        <f>IF(OR(NOT('Plano de Ação'!$B106&lt;&gt;""),NOT(ISNUMBER('Plano de Ação'!$F106)),NOT(ISNUMBER('Plano de Ação'!$G106)),'Plano de Ação'!$J106="Cancelada"),0,IF(AND('Plano de Ação'!$F106&lt;=EOMONTH(DATE(ano_ref,5,1),0),'Plano de Ação'!$G106&gt;=DATE(ano_ref,5,1)),1,0))</f>
      </c>
      <c r="J107" s="41">
        <f>IF(OR(NOT('Plano de Ação'!$B106&lt;&gt;""),NOT(ISNUMBER('Plano de Ação'!$F106)),NOT(ISNUMBER('Plano de Ação'!$G106)),'Plano de Ação'!$J106="Cancelada"),0,IF(AND('Plano de Ação'!$F106&lt;=EOMONTH(DATE(ano_ref,6,1),0),'Plano de Ação'!$G106&gt;=DATE(ano_ref,6,1)),1,0))</f>
      </c>
      <c r="K107" s="41">
        <f>IF(OR(NOT('Plano de Ação'!$B106&lt;&gt;""),NOT(ISNUMBER('Plano de Ação'!$F106)),NOT(ISNUMBER('Plano de Ação'!$G106)),'Plano de Ação'!$J106="Cancelada"),0,IF(AND('Plano de Ação'!$F106&lt;=EOMONTH(DATE(ano_ref,7,1),0),'Plano de Ação'!$G106&gt;=DATE(ano_ref,7,1)),1,0))</f>
      </c>
      <c r="L107" s="41">
        <f>IF(OR(NOT('Plano de Ação'!$B106&lt;&gt;""),NOT(ISNUMBER('Plano de Ação'!$F106)),NOT(ISNUMBER('Plano de Ação'!$G106)),'Plano de Ação'!$J106="Cancelada"),0,IF(AND('Plano de Ação'!$F106&lt;=EOMONTH(DATE(ano_ref,8,1),0),'Plano de Ação'!$G106&gt;=DATE(ano_ref,8,1)),1,0))</f>
      </c>
      <c r="M107" s="41">
        <f>IF(OR(NOT('Plano de Ação'!$B106&lt;&gt;""),NOT(ISNUMBER('Plano de Ação'!$F106)),NOT(ISNUMBER('Plano de Ação'!$G106)),'Plano de Ação'!$J106="Cancelada"),0,IF(AND('Plano de Ação'!$F106&lt;=EOMONTH(DATE(ano_ref,9,1),0),'Plano de Ação'!$G106&gt;=DATE(ano_ref,9,1)),1,0))</f>
      </c>
      <c r="N107" s="41">
        <f>IF(OR(NOT('Plano de Ação'!$B106&lt;&gt;""),NOT(ISNUMBER('Plano de Ação'!$F106)),NOT(ISNUMBER('Plano de Ação'!$G106)),'Plano de Ação'!$J106="Cancelada"),0,IF(AND('Plano de Ação'!$F106&lt;=EOMONTH(DATE(ano_ref,10,1),0),'Plano de Ação'!$G106&gt;=DATE(ano_ref,10,1)),1,0))</f>
      </c>
      <c r="O107" s="41">
        <f>IF(OR(NOT('Plano de Ação'!$B106&lt;&gt;""),NOT(ISNUMBER('Plano de Ação'!$F106)),NOT(ISNUMBER('Plano de Ação'!$G106)),'Plano de Ação'!$J106="Cancelada"),0,IF(AND('Plano de Ação'!$F106&lt;=EOMONTH(DATE(ano_ref,11,1),0),'Plano de Ação'!$G106&gt;=DATE(ano_ref,11,1)),1,0))</f>
      </c>
      <c r="P107" s="41">
        <f>IF(OR(NOT('Plano de Ação'!$B106&lt;&gt;""),NOT(ISNUMBER('Plano de Ação'!$F106)),NOT(ISNUMBER('Plano de Ação'!$G106)),'Plano de Ação'!$J106="Cancelada"),0,IF(AND('Plano de Ação'!$F106&lt;=EOMONTH(DATE(ano_ref,12,1),0),'Plano de Ação'!$G106&gt;=DATE(ano_ref,12,1)),1,0))</f>
      </c>
    </row>
    <row r="108" spans="1:16" x14ac:dyDescent="0.25">
      <c r="A108" s="40">
        <f>IF('Plano de Ação'!$B107&lt;&gt;"",'Plano de Ação'!A107&amp;"","")</f>
      </c>
      <c r="B108" s="25">
        <f>IF('Plano de Ação'!$B107&lt;&gt;"",'Plano de Ação'!B107,"")</f>
      </c>
      <c r="C108" s="25">
        <f>IF('Plano de Ação'!$B107&lt;&gt;"",'Plano de Ação'!E107&amp;"","")</f>
      </c>
      <c r="D108" s="40">
        <f>IF('Plano de Ação'!$B107&lt;&gt;"",'Plano de Ação'!L107,"")</f>
      </c>
      <c r="E108" s="41">
        <f>IF(OR(NOT('Plano de Ação'!$B107&lt;&gt;""),NOT(ISNUMBER('Plano de Ação'!$F107)),NOT(ISNUMBER('Plano de Ação'!$G107)),'Plano de Ação'!$J107="Cancelada"),0,IF(AND('Plano de Ação'!$F107&lt;=EOMONTH(DATE(ano_ref,1,1),0),'Plano de Ação'!$G107&gt;=DATE(ano_ref,1,1)),1,0))</f>
      </c>
      <c r="F108" s="41">
        <f>IF(OR(NOT('Plano de Ação'!$B107&lt;&gt;""),NOT(ISNUMBER('Plano de Ação'!$F107)),NOT(ISNUMBER('Plano de Ação'!$G107)),'Plano de Ação'!$J107="Cancelada"),0,IF(AND('Plano de Ação'!$F107&lt;=EOMONTH(DATE(ano_ref,2,1),0),'Plano de Ação'!$G107&gt;=DATE(ano_ref,2,1)),1,0))</f>
      </c>
      <c r="G108" s="41">
        <f>IF(OR(NOT('Plano de Ação'!$B107&lt;&gt;""),NOT(ISNUMBER('Plano de Ação'!$F107)),NOT(ISNUMBER('Plano de Ação'!$G107)),'Plano de Ação'!$J107="Cancelada"),0,IF(AND('Plano de Ação'!$F107&lt;=EOMONTH(DATE(ano_ref,3,1),0),'Plano de Ação'!$G107&gt;=DATE(ano_ref,3,1)),1,0))</f>
      </c>
      <c r="H108" s="41">
        <f>IF(OR(NOT('Plano de Ação'!$B107&lt;&gt;""),NOT(ISNUMBER('Plano de Ação'!$F107)),NOT(ISNUMBER('Plano de Ação'!$G107)),'Plano de Ação'!$J107="Cancelada"),0,IF(AND('Plano de Ação'!$F107&lt;=EOMONTH(DATE(ano_ref,4,1),0),'Plano de Ação'!$G107&gt;=DATE(ano_ref,4,1)),1,0))</f>
      </c>
      <c r="I108" s="41">
        <f>IF(OR(NOT('Plano de Ação'!$B107&lt;&gt;""),NOT(ISNUMBER('Plano de Ação'!$F107)),NOT(ISNUMBER('Plano de Ação'!$G107)),'Plano de Ação'!$J107="Cancelada"),0,IF(AND('Plano de Ação'!$F107&lt;=EOMONTH(DATE(ano_ref,5,1),0),'Plano de Ação'!$G107&gt;=DATE(ano_ref,5,1)),1,0))</f>
      </c>
      <c r="J108" s="41">
        <f>IF(OR(NOT('Plano de Ação'!$B107&lt;&gt;""),NOT(ISNUMBER('Plano de Ação'!$F107)),NOT(ISNUMBER('Plano de Ação'!$G107)),'Plano de Ação'!$J107="Cancelada"),0,IF(AND('Plano de Ação'!$F107&lt;=EOMONTH(DATE(ano_ref,6,1),0),'Plano de Ação'!$G107&gt;=DATE(ano_ref,6,1)),1,0))</f>
      </c>
      <c r="K108" s="41">
        <f>IF(OR(NOT('Plano de Ação'!$B107&lt;&gt;""),NOT(ISNUMBER('Plano de Ação'!$F107)),NOT(ISNUMBER('Plano de Ação'!$G107)),'Plano de Ação'!$J107="Cancelada"),0,IF(AND('Plano de Ação'!$F107&lt;=EOMONTH(DATE(ano_ref,7,1),0),'Plano de Ação'!$G107&gt;=DATE(ano_ref,7,1)),1,0))</f>
      </c>
      <c r="L108" s="41">
        <f>IF(OR(NOT('Plano de Ação'!$B107&lt;&gt;""),NOT(ISNUMBER('Plano de Ação'!$F107)),NOT(ISNUMBER('Plano de Ação'!$G107)),'Plano de Ação'!$J107="Cancelada"),0,IF(AND('Plano de Ação'!$F107&lt;=EOMONTH(DATE(ano_ref,8,1),0),'Plano de Ação'!$G107&gt;=DATE(ano_ref,8,1)),1,0))</f>
      </c>
      <c r="M108" s="41">
        <f>IF(OR(NOT('Plano de Ação'!$B107&lt;&gt;""),NOT(ISNUMBER('Plano de Ação'!$F107)),NOT(ISNUMBER('Plano de Ação'!$G107)),'Plano de Ação'!$J107="Cancelada"),0,IF(AND('Plano de Ação'!$F107&lt;=EOMONTH(DATE(ano_ref,9,1),0),'Plano de Ação'!$G107&gt;=DATE(ano_ref,9,1)),1,0))</f>
      </c>
      <c r="N108" s="41">
        <f>IF(OR(NOT('Plano de Ação'!$B107&lt;&gt;""),NOT(ISNUMBER('Plano de Ação'!$F107)),NOT(ISNUMBER('Plano de Ação'!$G107)),'Plano de Ação'!$J107="Cancelada"),0,IF(AND('Plano de Ação'!$F107&lt;=EOMONTH(DATE(ano_ref,10,1),0),'Plano de Ação'!$G107&gt;=DATE(ano_ref,10,1)),1,0))</f>
      </c>
      <c r="O108" s="41">
        <f>IF(OR(NOT('Plano de Ação'!$B107&lt;&gt;""),NOT(ISNUMBER('Plano de Ação'!$F107)),NOT(ISNUMBER('Plano de Ação'!$G107)),'Plano de Ação'!$J107="Cancelada"),0,IF(AND('Plano de Ação'!$F107&lt;=EOMONTH(DATE(ano_ref,11,1),0),'Plano de Ação'!$G107&gt;=DATE(ano_ref,11,1)),1,0))</f>
      </c>
      <c r="P108" s="41">
        <f>IF(OR(NOT('Plano de Ação'!$B107&lt;&gt;""),NOT(ISNUMBER('Plano de Ação'!$F107)),NOT(ISNUMBER('Plano de Ação'!$G107)),'Plano de Ação'!$J107="Cancelada"),0,IF(AND('Plano de Ação'!$F107&lt;=EOMONTH(DATE(ano_ref,12,1),0),'Plano de Ação'!$G107&gt;=DATE(ano_ref,12,1)),1,0))</f>
      </c>
    </row>
    <row r="109" spans="1:16" x14ac:dyDescent="0.25">
      <c r="A109" s="40">
        <f>IF('Plano de Ação'!$B108&lt;&gt;"",'Plano de Ação'!A108&amp;"","")</f>
      </c>
      <c r="B109" s="25">
        <f>IF('Plano de Ação'!$B108&lt;&gt;"",'Plano de Ação'!B108,"")</f>
      </c>
      <c r="C109" s="25">
        <f>IF('Plano de Ação'!$B108&lt;&gt;"",'Plano de Ação'!E108&amp;"","")</f>
      </c>
      <c r="D109" s="40">
        <f>IF('Plano de Ação'!$B108&lt;&gt;"",'Plano de Ação'!L108,"")</f>
      </c>
      <c r="E109" s="41">
        <f>IF(OR(NOT('Plano de Ação'!$B108&lt;&gt;""),NOT(ISNUMBER('Plano de Ação'!$F108)),NOT(ISNUMBER('Plano de Ação'!$G108)),'Plano de Ação'!$J108="Cancelada"),0,IF(AND('Plano de Ação'!$F108&lt;=EOMONTH(DATE(ano_ref,1,1),0),'Plano de Ação'!$G108&gt;=DATE(ano_ref,1,1)),1,0))</f>
      </c>
      <c r="F109" s="41">
        <f>IF(OR(NOT('Plano de Ação'!$B108&lt;&gt;""),NOT(ISNUMBER('Plano de Ação'!$F108)),NOT(ISNUMBER('Plano de Ação'!$G108)),'Plano de Ação'!$J108="Cancelada"),0,IF(AND('Plano de Ação'!$F108&lt;=EOMONTH(DATE(ano_ref,2,1),0),'Plano de Ação'!$G108&gt;=DATE(ano_ref,2,1)),1,0))</f>
      </c>
      <c r="G109" s="41">
        <f>IF(OR(NOT('Plano de Ação'!$B108&lt;&gt;""),NOT(ISNUMBER('Plano de Ação'!$F108)),NOT(ISNUMBER('Plano de Ação'!$G108)),'Plano de Ação'!$J108="Cancelada"),0,IF(AND('Plano de Ação'!$F108&lt;=EOMONTH(DATE(ano_ref,3,1),0),'Plano de Ação'!$G108&gt;=DATE(ano_ref,3,1)),1,0))</f>
      </c>
      <c r="H109" s="41">
        <f>IF(OR(NOT('Plano de Ação'!$B108&lt;&gt;""),NOT(ISNUMBER('Plano de Ação'!$F108)),NOT(ISNUMBER('Plano de Ação'!$G108)),'Plano de Ação'!$J108="Cancelada"),0,IF(AND('Plano de Ação'!$F108&lt;=EOMONTH(DATE(ano_ref,4,1),0),'Plano de Ação'!$G108&gt;=DATE(ano_ref,4,1)),1,0))</f>
      </c>
      <c r="I109" s="41">
        <f>IF(OR(NOT('Plano de Ação'!$B108&lt;&gt;""),NOT(ISNUMBER('Plano de Ação'!$F108)),NOT(ISNUMBER('Plano de Ação'!$G108)),'Plano de Ação'!$J108="Cancelada"),0,IF(AND('Plano de Ação'!$F108&lt;=EOMONTH(DATE(ano_ref,5,1),0),'Plano de Ação'!$G108&gt;=DATE(ano_ref,5,1)),1,0))</f>
      </c>
      <c r="J109" s="41">
        <f>IF(OR(NOT('Plano de Ação'!$B108&lt;&gt;""),NOT(ISNUMBER('Plano de Ação'!$F108)),NOT(ISNUMBER('Plano de Ação'!$G108)),'Plano de Ação'!$J108="Cancelada"),0,IF(AND('Plano de Ação'!$F108&lt;=EOMONTH(DATE(ano_ref,6,1),0),'Plano de Ação'!$G108&gt;=DATE(ano_ref,6,1)),1,0))</f>
      </c>
      <c r="K109" s="41">
        <f>IF(OR(NOT('Plano de Ação'!$B108&lt;&gt;""),NOT(ISNUMBER('Plano de Ação'!$F108)),NOT(ISNUMBER('Plano de Ação'!$G108)),'Plano de Ação'!$J108="Cancelada"),0,IF(AND('Plano de Ação'!$F108&lt;=EOMONTH(DATE(ano_ref,7,1),0),'Plano de Ação'!$G108&gt;=DATE(ano_ref,7,1)),1,0))</f>
      </c>
      <c r="L109" s="41">
        <f>IF(OR(NOT('Plano de Ação'!$B108&lt;&gt;""),NOT(ISNUMBER('Plano de Ação'!$F108)),NOT(ISNUMBER('Plano de Ação'!$G108)),'Plano de Ação'!$J108="Cancelada"),0,IF(AND('Plano de Ação'!$F108&lt;=EOMONTH(DATE(ano_ref,8,1),0),'Plano de Ação'!$G108&gt;=DATE(ano_ref,8,1)),1,0))</f>
      </c>
      <c r="M109" s="41">
        <f>IF(OR(NOT('Plano de Ação'!$B108&lt;&gt;""),NOT(ISNUMBER('Plano de Ação'!$F108)),NOT(ISNUMBER('Plano de Ação'!$G108)),'Plano de Ação'!$J108="Cancelada"),0,IF(AND('Plano de Ação'!$F108&lt;=EOMONTH(DATE(ano_ref,9,1),0),'Plano de Ação'!$G108&gt;=DATE(ano_ref,9,1)),1,0))</f>
      </c>
      <c r="N109" s="41">
        <f>IF(OR(NOT('Plano de Ação'!$B108&lt;&gt;""),NOT(ISNUMBER('Plano de Ação'!$F108)),NOT(ISNUMBER('Plano de Ação'!$G108)),'Plano de Ação'!$J108="Cancelada"),0,IF(AND('Plano de Ação'!$F108&lt;=EOMONTH(DATE(ano_ref,10,1),0),'Plano de Ação'!$G108&gt;=DATE(ano_ref,10,1)),1,0))</f>
      </c>
      <c r="O109" s="41">
        <f>IF(OR(NOT('Plano de Ação'!$B108&lt;&gt;""),NOT(ISNUMBER('Plano de Ação'!$F108)),NOT(ISNUMBER('Plano de Ação'!$G108)),'Plano de Ação'!$J108="Cancelada"),0,IF(AND('Plano de Ação'!$F108&lt;=EOMONTH(DATE(ano_ref,11,1),0),'Plano de Ação'!$G108&gt;=DATE(ano_ref,11,1)),1,0))</f>
      </c>
      <c r="P109" s="41">
        <f>IF(OR(NOT('Plano de Ação'!$B108&lt;&gt;""),NOT(ISNUMBER('Plano de Ação'!$F108)),NOT(ISNUMBER('Plano de Ação'!$G108)),'Plano de Ação'!$J108="Cancelada"),0,IF(AND('Plano de Ação'!$F108&lt;=EOMONTH(DATE(ano_ref,12,1),0),'Plano de Ação'!$G108&gt;=DATE(ano_ref,12,1)),1,0))</f>
      </c>
    </row>
    <row r="110" spans="1:16" x14ac:dyDescent="0.25">
      <c r="A110" s="40">
        <f>IF('Plano de Ação'!$B109&lt;&gt;"",'Plano de Ação'!A109&amp;"","")</f>
      </c>
      <c r="B110" s="25">
        <f>IF('Plano de Ação'!$B109&lt;&gt;"",'Plano de Ação'!B109,"")</f>
      </c>
      <c r="C110" s="25">
        <f>IF('Plano de Ação'!$B109&lt;&gt;"",'Plano de Ação'!E109&amp;"","")</f>
      </c>
      <c r="D110" s="40">
        <f>IF('Plano de Ação'!$B109&lt;&gt;"",'Plano de Ação'!L109,"")</f>
      </c>
      <c r="E110" s="41">
        <f>IF(OR(NOT('Plano de Ação'!$B109&lt;&gt;""),NOT(ISNUMBER('Plano de Ação'!$F109)),NOT(ISNUMBER('Plano de Ação'!$G109)),'Plano de Ação'!$J109="Cancelada"),0,IF(AND('Plano de Ação'!$F109&lt;=EOMONTH(DATE(ano_ref,1,1),0),'Plano de Ação'!$G109&gt;=DATE(ano_ref,1,1)),1,0))</f>
      </c>
      <c r="F110" s="41">
        <f>IF(OR(NOT('Plano de Ação'!$B109&lt;&gt;""),NOT(ISNUMBER('Plano de Ação'!$F109)),NOT(ISNUMBER('Plano de Ação'!$G109)),'Plano de Ação'!$J109="Cancelada"),0,IF(AND('Plano de Ação'!$F109&lt;=EOMONTH(DATE(ano_ref,2,1),0),'Plano de Ação'!$G109&gt;=DATE(ano_ref,2,1)),1,0))</f>
      </c>
      <c r="G110" s="41">
        <f>IF(OR(NOT('Plano de Ação'!$B109&lt;&gt;""),NOT(ISNUMBER('Plano de Ação'!$F109)),NOT(ISNUMBER('Plano de Ação'!$G109)),'Plano de Ação'!$J109="Cancelada"),0,IF(AND('Plano de Ação'!$F109&lt;=EOMONTH(DATE(ano_ref,3,1),0),'Plano de Ação'!$G109&gt;=DATE(ano_ref,3,1)),1,0))</f>
      </c>
      <c r="H110" s="41">
        <f>IF(OR(NOT('Plano de Ação'!$B109&lt;&gt;""),NOT(ISNUMBER('Plano de Ação'!$F109)),NOT(ISNUMBER('Plano de Ação'!$G109)),'Plano de Ação'!$J109="Cancelada"),0,IF(AND('Plano de Ação'!$F109&lt;=EOMONTH(DATE(ano_ref,4,1),0),'Plano de Ação'!$G109&gt;=DATE(ano_ref,4,1)),1,0))</f>
      </c>
      <c r="I110" s="41">
        <f>IF(OR(NOT('Plano de Ação'!$B109&lt;&gt;""),NOT(ISNUMBER('Plano de Ação'!$F109)),NOT(ISNUMBER('Plano de Ação'!$G109)),'Plano de Ação'!$J109="Cancelada"),0,IF(AND('Plano de Ação'!$F109&lt;=EOMONTH(DATE(ano_ref,5,1),0),'Plano de Ação'!$G109&gt;=DATE(ano_ref,5,1)),1,0))</f>
      </c>
      <c r="J110" s="41">
        <f>IF(OR(NOT('Plano de Ação'!$B109&lt;&gt;""),NOT(ISNUMBER('Plano de Ação'!$F109)),NOT(ISNUMBER('Plano de Ação'!$G109)),'Plano de Ação'!$J109="Cancelada"),0,IF(AND('Plano de Ação'!$F109&lt;=EOMONTH(DATE(ano_ref,6,1),0),'Plano de Ação'!$G109&gt;=DATE(ano_ref,6,1)),1,0))</f>
      </c>
      <c r="K110" s="41">
        <f>IF(OR(NOT('Plano de Ação'!$B109&lt;&gt;""),NOT(ISNUMBER('Plano de Ação'!$F109)),NOT(ISNUMBER('Plano de Ação'!$G109)),'Plano de Ação'!$J109="Cancelada"),0,IF(AND('Plano de Ação'!$F109&lt;=EOMONTH(DATE(ano_ref,7,1),0),'Plano de Ação'!$G109&gt;=DATE(ano_ref,7,1)),1,0))</f>
      </c>
      <c r="L110" s="41">
        <f>IF(OR(NOT('Plano de Ação'!$B109&lt;&gt;""),NOT(ISNUMBER('Plano de Ação'!$F109)),NOT(ISNUMBER('Plano de Ação'!$G109)),'Plano de Ação'!$J109="Cancelada"),0,IF(AND('Plano de Ação'!$F109&lt;=EOMONTH(DATE(ano_ref,8,1),0),'Plano de Ação'!$G109&gt;=DATE(ano_ref,8,1)),1,0))</f>
      </c>
      <c r="M110" s="41">
        <f>IF(OR(NOT('Plano de Ação'!$B109&lt;&gt;""),NOT(ISNUMBER('Plano de Ação'!$F109)),NOT(ISNUMBER('Plano de Ação'!$G109)),'Plano de Ação'!$J109="Cancelada"),0,IF(AND('Plano de Ação'!$F109&lt;=EOMONTH(DATE(ano_ref,9,1),0),'Plano de Ação'!$G109&gt;=DATE(ano_ref,9,1)),1,0))</f>
      </c>
      <c r="N110" s="41">
        <f>IF(OR(NOT('Plano de Ação'!$B109&lt;&gt;""),NOT(ISNUMBER('Plano de Ação'!$F109)),NOT(ISNUMBER('Plano de Ação'!$G109)),'Plano de Ação'!$J109="Cancelada"),0,IF(AND('Plano de Ação'!$F109&lt;=EOMONTH(DATE(ano_ref,10,1),0),'Plano de Ação'!$G109&gt;=DATE(ano_ref,10,1)),1,0))</f>
      </c>
      <c r="O110" s="41">
        <f>IF(OR(NOT('Plano de Ação'!$B109&lt;&gt;""),NOT(ISNUMBER('Plano de Ação'!$F109)),NOT(ISNUMBER('Plano de Ação'!$G109)),'Plano de Ação'!$J109="Cancelada"),0,IF(AND('Plano de Ação'!$F109&lt;=EOMONTH(DATE(ano_ref,11,1),0),'Plano de Ação'!$G109&gt;=DATE(ano_ref,11,1)),1,0))</f>
      </c>
      <c r="P110" s="41">
        <f>IF(OR(NOT('Plano de Ação'!$B109&lt;&gt;""),NOT(ISNUMBER('Plano de Ação'!$F109)),NOT(ISNUMBER('Plano de Ação'!$G109)),'Plano de Ação'!$J109="Cancelada"),0,IF(AND('Plano de Ação'!$F109&lt;=EOMONTH(DATE(ano_ref,12,1),0),'Plano de Ação'!$G109&gt;=DATE(ano_ref,12,1)),1,0))</f>
      </c>
    </row>
    <row r="111" spans="1:16" x14ac:dyDescent="0.25">
      <c r="A111" s="40">
        <f>IF('Plano de Ação'!$B110&lt;&gt;"",'Plano de Ação'!A110&amp;"","")</f>
      </c>
      <c r="B111" s="25">
        <f>IF('Plano de Ação'!$B110&lt;&gt;"",'Plano de Ação'!B110,"")</f>
      </c>
      <c r="C111" s="25">
        <f>IF('Plano de Ação'!$B110&lt;&gt;"",'Plano de Ação'!E110&amp;"","")</f>
      </c>
      <c r="D111" s="40">
        <f>IF('Plano de Ação'!$B110&lt;&gt;"",'Plano de Ação'!L110,"")</f>
      </c>
      <c r="E111" s="41">
        <f>IF(OR(NOT('Plano de Ação'!$B110&lt;&gt;""),NOT(ISNUMBER('Plano de Ação'!$F110)),NOT(ISNUMBER('Plano de Ação'!$G110)),'Plano de Ação'!$J110="Cancelada"),0,IF(AND('Plano de Ação'!$F110&lt;=EOMONTH(DATE(ano_ref,1,1),0),'Plano de Ação'!$G110&gt;=DATE(ano_ref,1,1)),1,0))</f>
      </c>
      <c r="F111" s="41">
        <f>IF(OR(NOT('Plano de Ação'!$B110&lt;&gt;""),NOT(ISNUMBER('Plano de Ação'!$F110)),NOT(ISNUMBER('Plano de Ação'!$G110)),'Plano de Ação'!$J110="Cancelada"),0,IF(AND('Plano de Ação'!$F110&lt;=EOMONTH(DATE(ano_ref,2,1),0),'Plano de Ação'!$G110&gt;=DATE(ano_ref,2,1)),1,0))</f>
      </c>
      <c r="G111" s="41">
        <f>IF(OR(NOT('Plano de Ação'!$B110&lt;&gt;""),NOT(ISNUMBER('Plano de Ação'!$F110)),NOT(ISNUMBER('Plano de Ação'!$G110)),'Plano de Ação'!$J110="Cancelada"),0,IF(AND('Plano de Ação'!$F110&lt;=EOMONTH(DATE(ano_ref,3,1),0),'Plano de Ação'!$G110&gt;=DATE(ano_ref,3,1)),1,0))</f>
      </c>
      <c r="H111" s="41">
        <f>IF(OR(NOT('Plano de Ação'!$B110&lt;&gt;""),NOT(ISNUMBER('Plano de Ação'!$F110)),NOT(ISNUMBER('Plano de Ação'!$G110)),'Plano de Ação'!$J110="Cancelada"),0,IF(AND('Plano de Ação'!$F110&lt;=EOMONTH(DATE(ano_ref,4,1),0),'Plano de Ação'!$G110&gt;=DATE(ano_ref,4,1)),1,0))</f>
      </c>
      <c r="I111" s="41">
        <f>IF(OR(NOT('Plano de Ação'!$B110&lt;&gt;""),NOT(ISNUMBER('Plano de Ação'!$F110)),NOT(ISNUMBER('Plano de Ação'!$G110)),'Plano de Ação'!$J110="Cancelada"),0,IF(AND('Plano de Ação'!$F110&lt;=EOMONTH(DATE(ano_ref,5,1),0),'Plano de Ação'!$G110&gt;=DATE(ano_ref,5,1)),1,0))</f>
      </c>
      <c r="J111" s="41">
        <f>IF(OR(NOT('Plano de Ação'!$B110&lt;&gt;""),NOT(ISNUMBER('Plano de Ação'!$F110)),NOT(ISNUMBER('Plano de Ação'!$G110)),'Plano de Ação'!$J110="Cancelada"),0,IF(AND('Plano de Ação'!$F110&lt;=EOMONTH(DATE(ano_ref,6,1),0),'Plano de Ação'!$G110&gt;=DATE(ano_ref,6,1)),1,0))</f>
      </c>
      <c r="K111" s="41">
        <f>IF(OR(NOT('Plano de Ação'!$B110&lt;&gt;""),NOT(ISNUMBER('Plano de Ação'!$F110)),NOT(ISNUMBER('Plano de Ação'!$G110)),'Plano de Ação'!$J110="Cancelada"),0,IF(AND('Plano de Ação'!$F110&lt;=EOMONTH(DATE(ano_ref,7,1),0),'Plano de Ação'!$G110&gt;=DATE(ano_ref,7,1)),1,0))</f>
      </c>
      <c r="L111" s="41">
        <f>IF(OR(NOT('Plano de Ação'!$B110&lt;&gt;""),NOT(ISNUMBER('Plano de Ação'!$F110)),NOT(ISNUMBER('Plano de Ação'!$G110)),'Plano de Ação'!$J110="Cancelada"),0,IF(AND('Plano de Ação'!$F110&lt;=EOMONTH(DATE(ano_ref,8,1),0),'Plano de Ação'!$G110&gt;=DATE(ano_ref,8,1)),1,0))</f>
      </c>
      <c r="M111" s="41">
        <f>IF(OR(NOT('Plano de Ação'!$B110&lt;&gt;""),NOT(ISNUMBER('Plano de Ação'!$F110)),NOT(ISNUMBER('Plano de Ação'!$G110)),'Plano de Ação'!$J110="Cancelada"),0,IF(AND('Plano de Ação'!$F110&lt;=EOMONTH(DATE(ano_ref,9,1),0),'Plano de Ação'!$G110&gt;=DATE(ano_ref,9,1)),1,0))</f>
      </c>
      <c r="N111" s="41">
        <f>IF(OR(NOT('Plano de Ação'!$B110&lt;&gt;""),NOT(ISNUMBER('Plano de Ação'!$F110)),NOT(ISNUMBER('Plano de Ação'!$G110)),'Plano de Ação'!$J110="Cancelada"),0,IF(AND('Plano de Ação'!$F110&lt;=EOMONTH(DATE(ano_ref,10,1),0),'Plano de Ação'!$G110&gt;=DATE(ano_ref,10,1)),1,0))</f>
      </c>
      <c r="O111" s="41">
        <f>IF(OR(NOT('Plano de Ação'!$B110&lt;&gt;""),NOT(ISNUMBER('Plano de Ação'!$F110)),NOT(ISNUMBER('Plano de Ação'!$G110)),'Plano de Ação'!$J110="Cancelada"),0,IF(AND('Plano de Ação'!$F110&lt;=EOMONTH(DATE(ano_ref,11,1),0),'Plano de Ação'!$G110&gt;=DATE(ano_ref,11,1)),1,0))</f>
      </c>
      <c r="P111" s="41">
        <f>IF(OR(NOT('Plano de Ação'!$B110&lt;&gt;""),NOT(ISNUMBER('Plano de Ação'!$F110)),NOT(ISNUMBER('Plano de Ação'!$G110)),'Plano de Ação'!$J110="Cancelada"),0,IF(AND('Plano de Ação'!$F110&lt;=EOMONTH(DATE(ano_ref,12,1),0),'Plano de Ação'!$G110&gt;=DATE(ano_ref,12,1)),1,0))</f>
      </c>
    </row>
    <row r="112" spans="1:16" x14ac:dyDescent="0.25">
      <c r="A112" s="40">
        <f>IF('Plano de Ação'!$B111&lt;&gt;"",'Plano de Ação'!A111&amp;"","")</f>
      </c>
      <c r="B112" s="25">
        <f>IF('Plano de Ação'!$B111&lt;&gt;"",'Plano de Ação'!B111,"")</f>
      </c>
      <c r="C112" s="25">
        <f>IF('Plano de Ação'!$B111&lt;&gt;"",'Plano de Ação'!E111&amp;"","")</f>
      </c>
      <c r="D112" s="40">
        <f>IF('Plano de Ação'!$B111&lt;&gt;"",'Plano de Ação'!L111,"")</f>
      </c>
      <c r="E112" s="41">
        <f>IF(OR(NOT('Plano de Ação'!$B111&lt;&gt;""),NOT(ISNUMBER('Plano de Ação'!$F111)),NOT(ISNUMBER('Plano de Ação'!$G111)),'Plano de Ação'!$J111="Cancelada"),0,IF(AND('Plano de Ação'!$F111&lt;=EOMONTH(DATE(ano_ref,1,1),0),'Plano de Ação'!$G111&gt;=DATE(ano_ref,1,1)),1,0))</f>
      </c>
      <c r="F112" s="41">
        <f>IF(OR(NOT('Plano de Ação'!$B111&lt;&gt;""),NOT(ISNUMBER('Plano de Ação'!$F111)),NOT(ISNUMBER('Plano de Ação'!$G111)),'Plano de Ação'!$J111="Cancelada"),0,IF(AND('Plano de Ação'!$F111&lt;=EOMONTH(DATE(ano_ref,2,1),0),'Plano de Ação'!$G111&gt;=DATE(ano_ref,2,1)),1,0))</f>
      </c>
      <c r="G112" s="41">
        <f>IF(OR(NOT('Plano de Ação'!$B111&lt;&gt;""),NOT(ISNUMBER('Plano de Ação'!$F111)),NOT(ISNUMBER('Plano de Ação'!$G111)),'Plano de Ação'!$J111="Cancelada"),0,IF(AND('Plano de Ação'!$F111&lt;=EOMONTH(DATE(ano_ref,3,1),0),'Plano de Ação'!$G111&gt;=DATE(ano_ref,3,1)),1,0))</f>
      </c>
      <c r="H112" s="41">
        <f>IF(OR(NOT('Plano de Ação'!$B111&lt;&gt;""),NOT(ISNUMBER('Plano de Ação'!$F111)),NOT(ISNUMBER('Plano de Ação'!$G111)),'Plano de Ação'!$J111="Cancelada"),0,IF(AND('Plano de Ação'!$F111&lt;=EOMONTH(DATE(ano_ref,4,1),0),'Plano de Ação'!$G111&gt;=DATE(ano_ref,4,1)),1,0))</f>
      </c>
      <c r="I112" s="41">
        <f>IF(OR(NOT('Plano de Ação'!$B111&lt;&gt;""),NOT(ISNUMBER('Plano de Ação'!$F111)),NOT(ISNUMBER('Plano de Ação'!$G111)),'Plano de Ação'!$J111="Cancelada"),0,IF(AND('Plano de Ação'!$F111&lt;=EOMONTH(DATE(ano_ref,5,1),0),'Plano de Ação'!$G111&gt;=DATE(ano_ref,5,1)),1,0))</f>
      </c>
      <c r="J112" s="41">
        <f>IF(OR(NOT('Plano de Ação'!$B111&lt;&gt;""),NOT(ISNUMBER('Plano de Ação'!$F111)),NOT(ISNUMBER('Plano de Ação'!$G111)),'Plano de Ação'!$J111="Cancelada"),0,IF(AND('Plano de Ação'!$F111&lt;=EOMONTH(DATE(ano_ref,6,1),0),'Plano de Ação'!$G111&gt;=DATE(ano_ref,6,1)),1,0))</f>
      </c>
      <c r="K112" s="41">
        <f>IF(OR(NOT('Plano de Ação'!$B111&lt;&gt;""),NOT(ISNUMBER('Plano de Ação'!$F111)),NOT(ISNUMBER('Plano de Ação'!$G111)),'Plano de Ação'!$J111="Cancelada"),0,IF(AND('Plano de Ação'!$F111&lt;=EOMONTH(DATE(ano_ref,7,1),0),'Plano de Ação'!$G111&gt;=DATE(ano_ref,7,1)),1,0))</f>
      </c>
      <c r="L112" s="41">
        <f>IF(OR(NOT('Plano de Ação'!$B111&lt;&gt;""),NOT(ISNUMBER('Plano de Ação'!$F111)),NOT(ISNUMBER('Plano de Ação'!$G111)),'Plano de Ação'!$J111="Cancelada"),0,IF(AND('Plano de Ação'!$F111&lt;=EOMONTH(DATE(ano_ref,8,1),0),'Plano de Ação'!$G111&gt;=DATE(ano_ref,8,1)),1,0))</f>
      </c>
      <c r="M112" s="41">
        <f>IF(OR(NOT('Plano de Ação'!$B111&lt;&gt;""),NOT(ISNUMBER('Plano de Ação'!$F111)),NOT(ISNUMBER('Plano de Ação'!$G111)),'Plano de Ação'!$J111="Cancelada"),0,IF(AND('Plano de Ação'!$F111&lt;=EOMONTH(DATE(ano_ref,9,1),0),'Plano de Ação'!$G111&gt;=DATE(ano_ref,9,1)),1,0))</f>
      </c>
      <c r="N112" s="41">
        <f>IF(OR(NOT('Plano de Ação'!$B111&lt;&gt;""),NOT(ISNUMBER('Plano de Ação'!$F111)),NOT(ISNUMBER('Plano de Ação'!$G111)),'Plano de Ação'!$J111="Cancelada"),0,IF(AND('Plano de Ação'!$F111&lt;=EOMONTH(DATE(ano_ref,10,1),0),'Plano de Ação'!$G111&gt;=DATE(ano_ref,10,1)),1,0))</f>
      </c>
      <c r="O112" s="41">
        <f>IF(OR(NOT('Plano de Ação'!$B111&lt;&gt;""),NOT(ISNUMBER('Plano de Ação'!$F111)),NOT(ISNUMBER('Plano de Ação'!$G111)),'Plano de Ação'!$J111="Cancelada"),0,IF(AND('Plano de Ação'!$F111&lt;=EOMONTH(DATE(ano_ref,11,1),0),'Plano de Ação'!$G111&gt;=DATE(ano_ref,11,1)),1,0))</f>
      </c>
      <c r="P112" s="41">
        <f>IF(OR(NOT('Plano de Ação'!$B111&lt;&gt;""),NOT(ISNUMBER('Plano de Ação'!$F111)),NOT(ISNUMBER('Plano de Ação'!$G111)),'Plano de Ação'!$J111="Cancelada"),0,IF(AND('Plano de Ação'!$F111&lt;=EOMONTH(DATE(ano_ref,12,1),0),'Plano de Ação'!$G111&gt;=DATE(ano_ref,12,1)),1,0))</f>
      </c>
    </row>
    <row r="113" spans="1:16" x14ac:dyDescent="0.25">
      <c r="A113" s="40">
        <f>IF('Plano de Ação'!$B112&lt;&gt;"",'Plano de Ação'!A112&amp;"","")</f>
      </c>
      <c r="B113" s="25">
        <f>IF('Plano de Ação'!$B112&lt;&gt;"",'Plano de Ação'!B112,"")</f>
      </c>
      <c r="C113" s="25">
        <f>IF('Plano de Ação'!$B112&lt;&gt;"",'Plano de Ação'!E112&amp;"","")</f>
      </c>
      <c r="D113" s="40">
        <f>IF('Plano de Ação'!$B112&lt;&gt;"",'Plano de Ação'!L112,"")</f>
      </c>
      <c r="E113" s="41">
        <f>IF(OR(NOT('Plano de Ação'!$B112&lt;&gt;""),NOT(ISNUMBER('Plano de Ação'!$F112)),NOT(ISNUMBER('Plano de Ação'!$G112)),'Plano de Ação'!$J112="Cancelada"),0,IF(AND('Plano de Ação'!$F112&lt;=EOMONTH(DATE(ano_ref,1,1),0),'Plano de Ação'!$G112&gt;=DATE(ano_ref,1,1)),1,0))</f>
      </c>
      <c r="F113" s="41">
        <f>IF(OR(NOT('Plano de Ação'!$B112&lt;&gt;""),NOT(ISNUMBER('Plano de Ação'!$F112)),NOT(ISNUMBER('Plano de Ação'!$G112)),'Plano de Ação'!$J112="Cancelada"),0,IF(AND('Plano de Ação'!$F112&lt;=EOMONTH(DATE(ano_ref,2,1),0),'Plano de Ação'!$G112&gt;=DATE(ano_ref,2,1)),1,0))</f>
      </c>
      <c r="G113" s="41">
        <f>IF(OR(NOT('Plano de Ação'!$B112&lt;&gt;""),NOT(ISNUMBER('Plano de Ação'!$F112)),NOT(ISNUMBER('Plano de Ação'!$G112)),'Plano de Ação'!$J112="Cancelada"),0,IF(AND('Plano de Ação'!$F112&lt;=EOMONTH(DATE(ano_ref,3,1),0),'Plano de Ação'!$G112&gt;=DATE(ano_ref,3,1)),1,0))</f>
      </c>
      <c r="H113" s="41">
        <f>IF(OR(NOT('Plano de Ação'!$B112&lt;&gt;""),NOT(ISNUMBER('Plano de Ação'!$F112)),NOT(ISNUMBER('Plano de Ação'!$G112)),'Plano de Ação'!$J112="Cancelada"),0,IF(AND('Plano de Ação'!$F112&lt;=EOMONTH(DATE(ano_ref,4,1),0),'Plano de Ação'!$G112&gt;=DATE(ano_ref,4,1)),1,0))</f>
      </c>
      <c r="I113" s="41">
        <f>IF(OR(NOT('Plano de Ação'!$B112&lt;&gt;""),NOT(ISNUMBER('Plano de Ação'!$F112)),NOT(ISNUMBER('Plano de Ação'!$G112)),'Plano de Ação'!$J112="Cancelada"),0,IF(AND('Plano de Ação'!$F112&lt;=EOMONTH(DATE(ano_ref,5,1),0),'Plano de Ação'!$G112&gt;=DATE(ano_ref,5,1)),1,0))</f>
      </c>
      <c r="J113" s="41">
        <f>IF(OR(NOT('Plano de Ação'!$B112&lt;&gt;""),NOT(ISNUMBER('Plano de Ação'!$F112)),NOT(ISNUMBER('Plano de Ação'!$G112)),'Plano de Ação'!$J112="Cancelada"),0,IF(AND('Plano de Ação'!$F112&lt;=EOMONTH(DATE(ano_ref,6,1),0),'Plano de Ação'!$G112&gt;=DATE(ano_ref,6,1)),1,0))</f>
      </c>
      <c r="K113" s="41">
        <f>IF(OR(NOT('Plano de Ação'!$B112&lt;&gt;""),NOT(ISNUMBER('Plano de Ação'!$F112)),NOT(ISNUMBER('Plano de Ação'!$G112)),'Plano de Ação'!$J112="Cancelada"),0,IF(AND('Plano de Ação'!$F112&lt;=EOMONTH(DATE(ano_ref,7,1),0),'Plano de Ação'!$G112&gt;=DATE(ano_ref,7,1)),1,0))</f>
      </c>
      <c r="L113" s="41">
        <f>IF(OR(NOT('Plano de Ação'!$B112&lt;&gt;""),NOT(ISNUMBER('Plano de Ação'!$F112)),NOT(ISNUMBER('Plano de Ação'!$G112)),'Plano de Ação'!$J112="Cancelada"),0,IF(AND('Plano de Ação'!$F112&lt;=EOMONTH(DATE(ano_ref,8,1),0),'Plano de Ação'!$G112&gt;=DATE(ano_ref,8,1)),1,0))</f>
      </c>
      <c r="M113" s="41">
        <f>IF(OR(NOT('Plano de Ação'!$B112&lt;&gt;""),NOT(ISNUMBER('Plano de Ação'!$F112)),NOT(ISNUMBER('Plano de Ação'!$G112)),'Plano de Ação'!$J112="Cancelada"),0,IF(AND('Plano de Ação'!$F112&lt;=EOMONTH(DATE(ano_ref,9,1),0),'Plano de Ação'!$G112&gt;=DATE(ano_ref,9,1)),1,0))</f>
      </c>
      <c r="N113" s="41">
        <f>IF(OR(NOT('Plano de Ação'!$B112&lt;&gt;""),NOT(ISNUMBER('Plano de Ação'!$F112)),NOT(ISNUMBER('Plano de Ação'!$G112)),'Plano de Ação'!$J112="Cancelada"),0,IF(AND('Plano de Ação'!$F112&lt;=EOMONTH(DATE(ano_ref,10,1),0),'Plano de Ação'!$G112&gt;=DATE(ano_ref,10,1)),1,0))</f>
      </c>
      <c r="O113" s="41">
        <f>IF(OR(NOT('Plano de Ação'!$B112&lt;&gt;""),NOT(ISNUMBER('Plano de Ação'!$F112)),NOT(ISNUMBER('Plano de Ação'!$G112)),'Plano de Ação'!$J112="Cancelada"),0,IF(AND('Plano de Ação'!$F112&lt;=EOMONTH(DATE(ano_ref,11,1),0),'Plano de Ação'!$G112&gt;=DATE(ano_ref,11,1)),1,0))</f>
      </c>
      <c r="P113" s="41">
        <f>IF(OR(NOT('Plano de Ação'!$B112&lt;&gt;""),NOT(ISNUMBER('Plano de Ação'!$F112)),NOT(ISNUMBER('Plano de Ação'!$G112)),'Plano de Ação'!$J112="Cancelada"),0,IF(AND('Plano de Ação'!$F112&lt;=EOMONTH(DATE(ano_ref,12,1),0),'Plano de Ação'!$G112&gt;=DATE(ano_ref,12,1)),1,0))</f>
      </c>
    </row>
    <row r="114" spans="1:16" x14ac:dyDescent="0.25">
      <c r="A114" s="40">
        <f>IF('Plano de Ação'!$B113&lt;&gt;"",'Plano de Ação'!A113&amp;"","")</f>
      </c>
      <c r="B114" s="25">
        <f>IF('Plano de Ação'!$B113&lt;&gt;"",'Plano de Ação'!B113,"")</f>
      </c>
      <c r="C114" s="25">
        <f>IF('Plano de Ação'!$B113&lt;&gt;"",'Plano de Ação'!E113&amp;"","")</f>
      </c>
      <c r="D114" s="40">
        <f>IF('Plano de Ação'!$B113&lt;&gt;"",'Plano de Ação'!L113,"")</f>
      </c>
      <c r="E114" s="41">
        <f>IF(OR(NOT('Plano de Ação'!$B113&lt;&gt;""),NOT(ISNUMBER('Plano de Ação'!$F113)),NOT(ISNUMBER('Plano de Ação'!$G113)),'Plano de Ação'!$J113="Cancelada"),0,IF(AND('Plano de Ação'!$F113&lt;=EOMONTH(DATE(ano_ref,1,1),0),'Plano de Ação'!$G113&gt;=DATE(ano_ref,1,1)),1,0))</f>
      </c>
      <c r="F114" s="41">
        <f>IF(OR(NOT('Plano de Ação'!$B113&lt;&gt;""),NOT(ISNUMBER('Plano de Ação'!$F113)),NOT(ISNUMBER('Plano de Ação'!$G113)),'Plano de Ação'!$J113="Cancelada"),0,IF(AND('Plano de Ação'!$F113&lt;=EOMONTH(DATE(ano_ref,2,1),0),'Plano de Ação'!$G113&gt;=DATE(ano_ref,2,1)),1,0))</f>
      </c>
      <c r="G114" s="41">
        <f>IF(OR(NOT('Plano de Ação'!$B113&lt;&gt;""),NOT(ISNUMBER('Plano de Ação'!$F113)),NOT(ISNUMBER('Plano de Ação'!$G113)),'Plano de Ação'!$J113="Cancelada"),0,IF(AND('Plano de Ação'!$F113&lt;=EOMONTH(DATE(ano_ref,3,1),0),'Plano de Ação'!$G113&gt;=DATE(ano_ref,3,1)),1,0))</f>
      </c>
      <c r="H114" s="41">
        <f>IF(OR(NOT('Plano de Ação'!$B113&lt;&gt;""),NOT(ISNUMBER('Plano de Ação'!$F113)),NOT(ISNUMBER('Plano de Ação'!$G113)),'Plano de Ação'!$J113="Cancelada"),0,IF(AND('Plano de Ação'!$F113&lt;=EOMONTH(DATE(ano_ref,4,1),0),'Plano de Ação'!$G113&gt;=DATE(ano_ref,4,1)),1,0))</f>
      </c>
      <c r="I114" s="41">
        <f>IF(OR(NOT('Plano de Ação'!$B113&lt;&gt;""),NOT(ISNUMBER('Plano de Ação'!$F113)),NOT(ISNUMBER('Plano de Ação'!$G113)),'Plano de Ação'!$J113="Cancelada"),0,IF(AND('Plano de Ação'!$F113&lt;=EOMONTH(DATE(ano_ref,5,1),0),'Plano de Ação'!$G113&gt;=DATE(ano_ref,5,1)),1,0))</f>
      </c>
      <c r="J114" s="41">
        <f>IF(OR(NOT('Plano de Ação'!$B113&lt;&gt;""),NOT(ISNUMBER('Plano de Ação'!$F113)),NOT(ISNUMBER('Plano de Ação'!$G113)),'Plano de Ação'!$J113="Cancelada"),0,IF(AND('Plano de Ação'!$F113&lt;=EOMONTH(DATE(ano_ref,6,1),0),'Plano de Ação'!$G113&gt;=DATE(ano_ref,6,1)),1,0))</f>
      </c>
      <c r="K114" s="41">
        <f>IF(OR(NOT('Plano de Ação'!$B113&lt;&gt;""),NOT(ISNUMBER('Plano de Ação'!$F113)),NOT(ISNUMBER('Plano de Ação'!$G113)),'Plano de Ação'!$J113="Cancelada"),0,IF(AND('Plano de Ação'!$F113&lt;=EOMONTH(DATE(ano_ref,7,1),0),'Plano de Ação'!$G113&gt;=DATE(ano_ref,7,1)),1,0))</f>
      </c>
      <c r="L114" s="41">
        <f>IF(OR(NOT('Plano de Ação'!$B113&lt;&gt;""),NOT(ISNUMBER('Plano de Ação'!$F113)),NOT(ISNUMBER('Plano de Ação'!$G113)),'Plano de Ação'!$J113="Cancelada"),0,IF(AND('Plano de Ação'!$F113&lt;=EOMONTH(DATE(ano_ref,8,1),0),'Plano de Ação'!$G113&gt;=DATE(ano_ref,8,1)),1,0))</f>
      </c>
      <c r="M114" s="41">
        <f>IF(OR(NOT('Plano de Ação'!$B113&lt;&gt;""),NOT(ISNUMBER('Plano de Ação'!$F113)),NOT(ISNUMBER('Plano de Ação'!$G113)),'Plano de Ação'!$J113="Cancelada"),0,IF(AND('Plano de Ação'!$F113&lt;=EOMONTH(DATE(ano_ref,9,1),0),'Plano de Ação'!$G113&gt;=DATE(ano_ref,9,1)),1,0))</f>
      </c>
      <c r="N114" s="41">
        <f>IF(OR(NOT('Plano de Ação'!$B113&lt;&gt;""),NOT(ISNUMBER('Plano de Ação'!$F113)),NOT(ISNUMBER('Plano de Ação'!$G113)),'Plano de Ação'!$J113="Cancelada"),0,IF(AND('Plano de Ação'!$F113&lt;=EOMONTH(DATE(ano_ref,10,1),0),'Plano de Ação'!$G113&gt;=DATE(ano_ref,10,1)),1,0))</f>
      </c>
      <c r="O114" s="41">
        <f>IF(OR(NOT('Plano de Ação'!$B113&lt;&gt;""),NOT(ISNUMBER('Plano de Ação'!$F113)),NOT(ISNUMBER('Plano de Ação'!$G113)),'Plano de Ação'!$J113="Cancelada"),0,IF(AND('Plano de Ação'!$F113&lt;=EOMONTH(DATE(ano_ref,11,1),0),'Plano de Ação'!$G113&gt;=DATE(ano_ref,11,1)),1,0))</f>
      </c>
      <c r="P114" s="41">
        <f>IF(OR(NOT('Plano de Ação'!$B113&lt;&gt;""),NOT(ISNUMBER('Plano de Ação'!$F113)),NOT(ISNUMBER('Plano de Ação'!$G113)),'Plano de Ação'!$J113="Cancelada"),0,IF(AND('Plano de Ação'!$F113&lt;=EOMONTH(DATE(ano_ref,12,1),0),'Plano de Ação'!$G113&gt;=DATE(ano_ref,12,1)),1,0))</f>
      </c>
    </row>
    <row r="115" spans="1:16" x14ac:dyDescent="0.25">
      <c r="A115" s="40">
        <f>IF('Plano de Ação'!$B114&lt;&gt;"",'Plano de Ação'!A114&amp;"","")</f>
      </c>
      <c r="B115" s="25">
        <f>IF('Plano de Ação'!$B114&lt;&gt;"",'Plano de Ação'!B114,"")</f>
      </c>
      <c r="C115" s="25">
        <f>IF('Plano de Ação'!$B114&lt;&gt;"",'Plano de Ação'!E114&amp;"","")</f>
      </c>
      <c r="D115" s="40">
        <f>IF('Plano de Ação'!$B114&lt;&gt;"",'Plano de Ação'!L114,"")</f>
      </c>
      <c r="E115" s="41">
        <f>IF(OR(NOT('Plano de Ação'!$B114&lt;&gt;""),NOT(ISNUMBER('Plano de Ação'!$F114)),NOT(ISNUMBER('Plano de Ação'!$G114)),'Plano de Ação'!$J114="Cancelada"),0,IF(AND('Plano de Ação'!$F114&lt;=EOMONTH(DATE(ano_ref,1,1),0),'Plano de Ação'!$G114&gt;=DATE(ano_ref,1,1)),1,0))</f>
      </c>
      <c r="F115" s="41">
        <f>IF(OR(NOT('Plano de Ação'!$B114&lt;&gt;""),NOT(ISNUMBER('Plano de Ação'!$F114)),NOT(ISNUMBER('Plano de Ação'!$G114)),'Plano de Ação'!$J114="Cancelada"),0,IF(AND('Plano de Ação'!$F114&lt;=EOMONTH(DATE(ano_ref,2,1),0),'Plano de Ação'!$G114&gt;=DATE(ano_ref,2,1)),1,0))</f>
      </c>
      <c r="G115" s="41">
        <f>IF(OR(NOT('Plano de Ação'!$B114&lt;&gt;""),NOT(ISNUMBER('Plano de Ação'!$F114)),NOT(ISNUMBER('Plano de Ação'!$G114)),'Plano de Ação'!$J114="Cancelada"),0,IF(AND('Plano de Ação'!$F114&lt;=EOMONTH(DATE(ano_ref,3,1),0),'Plano de Ação'!$G114&gt;=DATE(ano_ref,3,1)),1,0))</f>
      </c>
      <c r="H115" s="41">
        <f>IF(OR(NOT('Plano de Ação'!$B114&lt;&gt;""),NOT(ISNUMBER('Plano de Ação'!$F114)),NOT(ISNUMBER('Plano de Ação'!$G114)),'Plano de Ação'!$J114="Cancelada"),0,IF(AND('Plano de Ação'!$F114&lt;=EOMONTH(DATE(ano_ref,4,1),0),'Plano de Ação'!$G114&gt;=DATE(ano_ref,4,1)),1,0))</f>
      </c>
      <c r="I115" s="41">
        <f>IF(OR(NOT('Plano de Ação'!$B114&lt;&gt;""),NOT(ISNUMBER('Plano de Ação'!$F114)),NOT(ISNUMBER('Plano de Ação'!$G114)),'Plano de Ação'!$J114="Cancelada"),0,IF(AND('Plano de Ação'!$F114&lt;=EOMONTH(DATE(ano_ref,5,1),0),'Plano de Ação'!$G114&gt;=DATE(ano_ref,5,1)),1,0))</f>
      </c>
      <c r="J115" s="41">
        <f>IF(OR(NOT('Plano de Ação'!$B114&lt;&gt;""),NOT(ISNUMBER('Plano de Ação'!$F114)),NOT(ISNUMBER('Plano de Ação'!$G114)),'Plano de Ação'!$J114="Cancelada"),0,IF(AND('Plano de Ação'!$F114&lt;=EOMONTH(DATE(ano_ref,6,1),0),'Plano de Ação'!$G114&gt;=DATE(ano_ref,6,1)),1,0))</f>
      </c>
      <c r="K115" s="41">
        <f>IF(OR(NOT('Plano de Ação'!$B114&lt;&gt;""),NOT(ISNUMBER('Plano de Ação'!$F114)),NOT(ISNUMBER('Plano de Ação'!$G114)),'Plano de Ação'!$J114="Cancelada"),0,IF(AND('Plano de Ação'!$F114&lt;=EOMONTH(DATE(ano_ref,7,1),0),'Plano de Ação'!$G114&gt;=DATE(ano_ref,7,1)),1,0))</f>
      </c>
      <c r="L115" s="41">
        <f>IF(OR(NOT('Plano de Ação'!$B114&lt;&gt;""),NOT(ISNUMBER('Plano de Ação'!$F114)),NOT(ISNUMBER('Plano de Ação'!$G114)),'Plano de Ação'!$J114="Cancelada"),0,IF(AND('Plano de Ação'!$F114&lt;=EOMONTH(DATE(ano_ref,8,1),0),'Plano de Ação'!$G114&gt;=DATE(ano_ref,8,1)),1,0))</f>
      </c>
      <c r="M115" s="41">
        <f>IF(OR(NOT('Plano de Ação'!$B114&lt;&gt;""),NOT(ISNUMBER('Plano de Ação'!$F114)),NOT(ISNUMBER('Plano de Ação'!$G114)),'Plano de Ação'!$J114="Cancelada"),0,IF(AND('Plano de Ação'!$F114&lt;=EOMONTH(DATE(ano_ref,9,1),0),'Plano de Ação'!$G114&gt;=DATE(ano_ref,9,1)),1,0))</f>
      </c>
      <c r="N115" s="41">
        <f>IF(OR(NOT('Plano de Ação'!$B114&lt;&gt;""),NOT(ISNUMBER('Plano de Ação'!$F114)),NOT(ISNUMBER('Plano de Ação'!$G114)),'Plano de Ação'!$J114="Cancelada"),0,IF(AND('Plano de Ação'!$F114&lt;=EOMONTH(DATE(ano_ref,10,1),0),'Plano de Ação'!$G114&gt;=DATE(ano_ref,10,1)),1,0))</f>
      </c>
      <c r="O115" s="41">
        <f>IF(OR(NOT('Plano de Ação'!$B114&lt;&gt;""),NOT(ISNUMBER('Plano de Ação'!$F114)),NOT(ISNUMBER('Plano de Ação'!$G114)),'Plano de Ação'!$J114="Cancelada"),0,IF(AND('Plano de Ação'!$F114&lt;=EOMONTH(DATE(ano_ref,11,1),0),'Plano de Ação'!$G114&gt;=DATE(ano_ref,11,1)),1,0))</f>
      </c>
      <c r="P115" s="41">
        <f>IF(OR(NOT('Plano de Ação'!$B114&lt;&gt;""),NOT(ISNUMBER('Plano de Ação'!$F114)),NOT(ISNUMBER('Plano de Ação'!$G114)),'Plano de Ação'!$J114="Cancelada"),0,IF(AND('Plano de Ação'!$F114&lt;=EOMONTH(DATE(ano_ref,12,1),0),'Plano de Ação'!$G114&gt;=DATE(ano_ref,12,1)),1,0))</f>
      </c>
    </row>
    <row r="116" spans="1:16" x14ac:dyDescent="0.25">
      <c r="A116" s="40">
        <f>IF('Plano de Ação'!$B115&lt;&gt;"",'Plano de Ação'!A115&amp;"","")</f>
      </c>
      <c r="B116" s="25">
        <f>IF('Plano de Ação'!$B115&lt;&gt;"",'Plano de Ação'!B115,"")</f>
      </c>
      <c r="C116" s="25">
        <f>IF('Plano de Ação'!$B115&lt;&gt;"",'Plano de Ação'!E115&amp;"","")</f>
      </c>
      <c r="D116" s="40">
        <f>IF('Plano de Ação'!$B115&lt;&gt;"",'Plano de Ação'!L115,"")</f>
      </c>
      <c r="E116" s="41">
        <f>IF(OR(NOT('Plano de Ação'!$B115&lt;&gt;""),NOT(ISNUMBER('Plano de Ação'!$F115)),NOT(ISNUMBER('Plano de Ação'!$G115)),'Plano de Ação'!$J115="Cancelada"),0,IF(AND('Plano de Ação'!$F115&lt;=EOMONTH(DATE(ano_ref,1,1),0),'Plano de Ação'!$G115&gt;=DATE(ano_ref,1,1)),1,0))</f>
      </c>
      <c r="F116" s="41">
        <f>IF(OR(NOT('Plano de Ação'!$B115&lt;&gt;""),NOT(ISNUMBER('Plano de Ação'!$F115)),NOT(ISNUMBER('Plano de Ação'!$G115)),'Plano de Ação'!$J115="Cancelada"),0,IF(AND('Plano de Ação'!$F115&lt;=EOMONTH(DATE(ano_ref,2,1),0),'Plano de Ação'!$G115&gt;=DATE(ano_ref,2,1)),1,0))</f>
      </c>
      <c r="G116" s="41">
        <f>IF(OR(NOT('Plano de Ação'!$B115&lt;&gt;""),NOT(ISNUMBER('Plano de Ação'!$F115)),NOT(ISNUMBER('Plano de Ação'!$G115)),'Plano de Ação'!$J115="Cancelada"),0,IF(AND('Plano de Ação'!$F115&lt;=EOMONTH(DATE(ano_ref,3,1),0),'Plano de Ação'!$G115&gt;=DATE(ano_ref,3,1)),1,0))</f>
      </c>
      <c r="H116" s="41">
        <f>IF(OR(NOT('Plano de Ação'!$B115&lt;&gt;""),NOT(ISNUMBER('Plano de Ação'!$F115)),NOT(ISNUMBER('Plano de Ação'!$G115)),'Plano de Ação'!$J115="Cancelada"),0,IF(AND('Plano de Ação'!$F115&lt;=EOMONTH(DATE(ano_ref,4,1),0),'Plano de Ação'!$G115&gt;=DATE(ano_ref,4,1)),1,0))</f>
      </c>
      <c r="I116" s="41">
        <f>IF(OR(NOT('Plano de Ação'!$B115&lt;&gt;""),NOT(ISNUMBER('Plano de Ação'!$F115)),NOT(ISNUMBER('Plano de Ação'!$G115)),'Plano de Ação'!$J115="Cancelada"),0,IF(AND('Plano de Ação'!$F115&lt;=EOMONTH(DATE(ano_ref,5,1),0),'Plano de Ação'!$G115&gt;=DATE(ano_ref,5,1)),1,0))</f>
      </c>
      <c r="J116" s="41">
        <f>IF(OR(NOT('Plano de Ação'!$B115&lt;&gt;""),NOT(ISNUMBER('Plano de Ação'!$F115)),NOT(ISNUMBER('Plano de Ação'!$G115)),'Plano de Ação'!$J115="Cancelada"),0,IF(AND('Plano de Ação'!$F115&lt;=EOMONTH(DATE(ano_ref,6,1),0),'Plano de Ação'!$G115&gt;=DATE(ano_ref,6,1)),1,0))</f>
      </c>
      <c r="K116" s="41">
        <f>IF(OR(NOT('Plano de Ação'!$B115&lt;&gt;""),NOT(ISNUMBER('Plano de Ação'!$F115)),NOT(ISNUMBER('Plano de Ação'!$G115)),'Plano de Ação'!$J115="Cancelada"),0,IF(AND('Plano de Ação'!$F115&lt;=EOMONTH(DATE(ano_ref,7,1),0),'Plano de Ação'!$G115&gt;=DATE(ano_ref,7,1)),1,0))</f>
      </c>
      <c r="L116" s="41">
        <f>IF(OR(NOT('Plano de Ação'!$B115&lt;&gt;""),NOT(ISNUMBER('Plano de Ação'!$F115)),NOT(ISNUMBER('Plano de Ação'!$G115)),'Plano de Ação'!$J115="Cancelada"),0,IF(AND('Plano de Ação'!$F115&lt;=EOMONTH(DATE(ano_ref,8,1),0),'Plano de Ação'!$G115&gt;=DATE(ano_ref,8,1)),1,0))</f>
      </c>
      <c r="M116" s="41">
        <f>IF(OR(NOT('Plano de Ação'!$B115&lt;&gt;""),NOT(ISNUMBER('Plano de Ação'!$F115)),NOT(ISNUMBER('Plano de Ação'!$G115)),'Plano de Ação'!$J115="Cancelada"),0,IF(AND('Plano de Ação'!$F115&lt;=EOMONTH(DATE(ano_ref,9,1),0),'Plano de Ação'!$G115&gt;=DATE(ano_ref,9,1)),1,0))</f>
      </c>
      <c r="N116" s="41">
        <f>IF(OR(NOT('Plano de Ação'!$B115&lt;&gt;""),NOT(ISNUMBER('Plano de Ação'!$F115)),NOT(ISNUMBER('Plano de Ação'!$G115)),'Plano de Ação'!$J115="Cancelada"),0,IF(AND('Plano de Ação'!$F115&lt;=EOMONTH(DATE(ano_ref,10,1),0),'Plano de Ação'!$G115&gt;=DATE(ano_ref,10,1)),1,0))</f>
      </c>
      <c r="O116" s="41">
        <f>IF(OR(NOT('Plano de Ação'!$B115&lt;&gt;""),NOT(ISNUMBER('Plano de Ação'!$F115)),NOT(ISNUMBER('Plano de Ação'!$G115)),'Plano de Ação'!$J115="Cancelada"),0,IF(AND('Plano de Ação'!$F115&lt;=EOMONTH(DATE(ano_ref,11,1),0),'Plano de Ação'!$G115&gt;=DATE(ano_ref,11,1)),1,0))</f>
      </c>
      <c r="P116" s="41">
        <f>IF(OR(NOT('Plano de Ação'!$B115&lt;&gt;""),NOT(ISNUMBER('Plano de Ação'!$F115)),NOT(ISNUMBER('Plano de Ação'!$G115)),'Plano de Ação'!$J115="Cancelada"),0,IF(AND('Plano de Ação'!$F115&lt;=EOMONTH(DATE(ano_ref,12,1),0),'Plano de Ação'!$G115&gt;=DATE(ano_ref,12,1)),1,0))</f>
      </c>
    </row>
    <row r="117" spans="1:16" x14ac:dyDescent="0.25">
      <c r="A117" s="40">
        <f>IF('Plano de Ação'!$B116&lt;&gt;"",'Plano de Ação'!A116&amp;"","")</f>
      </c>
      <c r="B117" s="25">
        <f>IF('Plano de Ação'!$B116&lt;&gt;"",'Plano de Ação'!B116,"")</f>
      </c>
      <c r="C117" s="25">
        <f>IF('Plano de Ação'!$B116&lt;&gt;"",'Plano de Ação'!E116&amp;"","")</f>
      </c>
      <c r="D117" s="40">
        <f>IF('Plano de Ação'!$B116&lt;&gt;"",'Plano de Ação'!L116,"")</f>
      </c>
      <c r="E117" s="41">
        <f>IF(OR(NOT('Plano de Ação'!$B116&lt;&gt;""),NOT(ISNUMBER('Plano de Ação'!$F116)),NOT(ISNUMBER('Plano de Ação'!$G116)),'Plano de Ação'!$J116="Cancelada"),0,IF(AND('Plano de Ação'!$F116&lt;=EOMONTH(DATE(ano_ref,1,1),0),'Plano de Ação'!$G116&gt;=DATE(ano_ref,1,1)),1,0))</f>
      </c>
      <c r="F117" s="41">
        <f>IF(OR(NOT('Plano de Ação'!$B116&lt;&gt;""),NOT(ISNUMBER('Plano de Ação'!$F116)),NOT(ISNUMBER('Plano de Ação'!$G116)),'Plano de Ação'!$J116="Cancelada"),0,IF(AND('Plano de Ação'!$F116&lt;=EOMONTH(DATE(ano_ref,2,1),0),'Plano de Ação'!$G116&gt;=DATE(ano_ref,2,1)),1,0))</f>
      </c>
      <c r="G117" s="41">
        <f>IF(OR(NOT('Plano de Ação'!$B116&lt;&gt;""),NOT(ISNUMBER('Plano de Ação'!$F116)),NOT(ISNUMBER('Plano de Ação'!$G116)),'Plano de Ação'!$J116="Cancelada"),0,IF(AND('Plano de Ação'!$F116&lt;=EOMONTH(DATE(ano_ref,3,1),0),'Plano de Ação'!$G116&gt;=DATE(ano_ref,3,1)),1,0))</f>
      </c>
      <c r="H117" s="41">
        <f>IF(OR(NOT('Plano de Ação'!$B116&lt;&gt;""),NOT(ISNUMBER('Plano de Ação'!$F116)),NOT(ISNUMBER('Plano de Ação'!$G116)),'Plano de Ação'!$J116="Cancelada"),0,IF(AND('Plano de Ação'!$F116&lt;=EOMONTH(DATE(ano_ref,4,1),0),'Plano de Ação'!$G116&gt;=DATE(ano_ref,4,1)),1,0))</f>
      </c>
      <c r="I117" s="41">
        <f>IF(OR(NOT('Plano de Ação'!$B116&lt;&gt;""),NOT(ISNUMBER('Plano de Ação'!$F116)),NOT(ISNUMBER('Plano de Ação'!$G116)),'Plano de Ação'!$J116="Cancelada"),0,IF(AND('Plano de Ação'!$F116&lt;=EOMONTH(DATE(ano_ref,5,1),0),'Plano de Ação'!$G116&gt;=DATE(ano_ref,5,1)),1,0))</f>
      </c>
      <c r="J117" s="41">
        <f>IF(OR(NOT('Plano de Ação'!$B116&lt;&gt;""),NOT(ISNUMBER('Plano de Ação'!$F116)),NOT(ISNUMBER('Plano de Ação'!$G116)),'Plano de Ação'!$J116="Cancelada"),0,IF(AND('Plano de Ação'!$F116&lt;=EOMONTH(DATE(ano_ref,6,1),0),'Plano de Ação'!$G116&gt;=DATE(ano_ref,6,1)),1,0))</f>
      </c>
      <c r="K117" s="41">
        <f>IF(OR(NOT('Plano de Ação'!$B116&lt;&gt;""),NOT(ISNUMBER('Plano de Ação'!$F116)),NOT(ISNUMBER('Plano de Ação'!$G116)),'Plano de Ação'!$J116="Cancelada"),0,IF(AND('Plano de Ação'!$F116&lt;=EOMONTH(DATE(ano_ref,7,1),0),'Plano de Ação'!$G116&gt;=DATE(ano_ref,7,1)),1,0))</f>
      </c>
      <c r="L117" s="41">
        <f>IF(OR(NOT('Plano de Ação'!$B116&lt;&gt;""),NOT(ISNUMBER('Plano de Ação'!$F116)),NOT(ISNUMBER('Plano de Ação'!$G116)),'Plano de Ação'!$J116="Cancelada"),0,IF(AND('Plano de Ação'!$F116&lt;=EOMONTH(DATE(ano_ref,8,1),0),'Plano de Ação'!$G116&gt;=DATE(ano_ref,8,1)),1,0))</f>
      </c>
      <c r="M117" s="41">
        <f>IF(OR(NOT('Plano de Ação'!$B116&lt;&gt;""),NOT(ISNUMBER('Plano de Ação'!$F116)),NOT(ISNUMBER('Plano de Ação'!$G116)),'Plano de Ação'!$J116="Cancelada"),0,IF(AND('Plano de Ação'!$F116&lt;=EOMONTH(DATE(ano_ref,9,1),0),'Plano de Ação'!$G116&gt;=DATE(ano_ref,9,1)),1,0))</f>
      </c>
      <c r="N117" s="41">
        <f>IF(OR(NOT('Plano de Ação'!$B116&lt;&gt;""),NOT(ISNUMBER('Plano de Ação'!$F116)),NOT(ISNUMBER('Plano de Ação'!$G116)),'Plano de Ação'!$J116="Cancelada"),0,IF(AND('Plano de Ação'!$F116&lt;=EOMONTH(DATE(ano_ref,10,1),0),'Plano de Ação'!$G116&gt;=DATE(ano_ref,10,1)),1,0))</f>
      </c>
      <c r="O117" s="41">
        <f>IF(OR(NOT('Plano de Ação'!$B116&lt;&gt;""),NOT(ISNUMBER('Plano de Ação'!$F116)),NOT(ISNUMBER('Plano de Ação'!$G116)),'Plano de Ação'!$J116="Cancelada"),0,IF(AND('Plano de Ação'!$F116&lt;=EOMONTH(DATE(ano_ref,11,1),0),'Plano de Ação'!$G116&gt;=DATE(ano_ref,11,1)),1,0))</f>
      </c>
      <c r="P117" s="41">
        <f>IF(OR(NOT('Plano de Ação'!$B116&lt;&gt;""),NOT(ISNUMBER('Plano de Ação'!$F116)),NOT(ISNUMBER('Plano de Ação'!$G116)),'Plano de Ação'!$J116="Cancelada"),0,IF(AND('Plano de Ação'!$F116&lt;=EOMONTH(DATE(ano_ref,12,1),0),'Plano de Ação'!$G116&gt;=DATE(ano_ref,12,1)),1,0))</f>
      </c>
    </row>
    <row r="118" spans="1:16" x14ac:dyDescent="0.25">
      <c r="A118" s="40">
        <f>IF('Plano de Ação'!$B117&lt;&gt;"",'Plano de Ação'!A117&amp;"","")</f>
      </c>
      <c r="B118" s="25">
        <f>IF('Plano de Ação'!$B117&lt;&gt;"",'Plano de Ação'!B117,"")</f>
      </c>
      <c r="C118" s="25">
        <f>IF('Plano de Ação'!$B117&lt;&gt;"",'Plano de Ação'!E117&amp;"","")</f>
      </c>
      <c r="D118" s="40">
        <f>IF('Plano de Ação'!$B117&lt;&gt;"",'Plano de Ação'!L117,"")</f>
      </c>
      <c r="E118" s="41">
        <f>IF(OR(NOT('Plano de Ação'!$B117&lt;&gt;""),NOT(ISNUMBER('Plano de Ação'!$F117)),NOT(ISNUMBER('Plano de Ação'!$G117)),'Plano de Ação'!$J117="Cancelada"),0,IF(AND('Plano de Ação'!$F117&lt;=EOMONTH(DATE(ano_ref,1,1),0),'Plano de Ação'!$G117&gt;=DATE(ano_ref,1,1)),1,0))</f>
      </c>
      <c r="F118" s="41">
        <f>IF(OR(NOT('Plano de Ação'!$B117&lt;&gt;""),NOT(ISNUMBER('Plano de Ação'!$F117)),NOT(ISNUMBER('Plano de Ação'!$G117)),'Plano de Ação'!$J117="Cancelada"),0,IF(AND('Plano de Ação'!$F117&lt;=EOMONTH(DATE(ano_ref,2,1),0),'Plano de Ação'!$G117&gt;=DATE(ano_ref,2,1)),1,0))</f>
      </c>
      <c r="G118" s="41">
        <f>IF(OR(NOT('Plano de Ação'!$B117&lt;&gt;""),NOT(ISNUMBER('Plano de Ação'!$F117)),NOT(ISNUMBER('Plano de Ação'!$G117)),'Plano de Ação'!$J117="Cancelada"),0,IF(AND('Plano de Ação'!$F117&lt;=EOMONTH(DATE(ano_ref,3,1),0),'Plano de Ação'!$G117&gt;=DATE(ano_ref,3,1)),1,0))</f>
      </c>
      <c r="H118" s="41">
        <f>IF(OR(NOT('Plano de Ação'!$B117&lt;&gt;""),NOT(ISNUMBER('Plano de Ação'!$F117)),NOT(ISNUMBER('Plano de Ação'!$G117)),'Plano de Ação'!$J117="Cancelada"),0,IF(AND('Plano de Ação'!$F117&lt;=EOMONTH(DATE(ano_ref,4,1),0),'Plano de Ação'!$G117&gt;=DATE(ano_ref,4,1)),1,0))</f>
      </c>
      <c r="I118" s="41">
        <f>IF(OR(NOT('Plano de Ação'!$B117&lt;&gt;""),NOT(ISNUMBER('Plano de Ação'!$F117)),NOT(ISNUMBER('Plano de Ação'!$G117)),'Plano de Ação'!$J117="Cancelada"),0,IF(AND('Plano de Ação'!$F117&lt;=EOMONTH(DATE(ano_ref,5,1),0),'Plano de Ação'!$G117&gt;=DATE(ano_ref,5,1)),1,0))</f>
      </c>
      <c r="J118" s="41">
        <f>IF(OR(NOT('Plano de Ação'!$B117&lt;&gt;""),NOT(ISNUMBER('Plano de Ação'!$F117)),NOT(ISNUMBER('Plano de Ação'!$G117)),'Plano de Ação'!$J117="Cancelada"),0,IF(AND('Plano de Ação'!$F117&lt;=EOMONTH(DATE(ano_ref,6,1),0),'Plano de Ação'!$G117&gt;=DATE(ano_ref,6,1)),1,0))</f>
      </c>
      <c r="K118" s="41">
        <f>IF(OR(NOT('Plano de Ação'!$B117&lt;&gt;""),NOT(ISNUMBER('Plano de Ação'!$F117)),NOT(ISNUMBER('Plano de Ação'!$G117)),'Plano de Ação'!$J117="Cancelada"),0,IF(AND('Plano de Ação'!$F117&lt;=EOMONTH(DATE(ano_ref,7,1),0),'Plano de Ação'!$G117&gt;=DATE(ano_ref,7,1)),1,0))</f>
      </c>
      <c r="L118" s="41">
        <f>IF(OR(NOT('Plano de Ação'!$B117&lt;&gt;""),NOT(ISNUMBER('Plano de Ação'!$F117)),NOT(ISNUMBER('Plano de Ação'!$G117)),'Plano de Ação'!$J117="Cancelada"),0,IF(AND('Plano de Ação'!$F117&lt;=EOMONTH(DATE(ano_ref,8,1),0),'Plano de Ação'!$G117&gt;=DATE(ano_ref,8,1)),1,0))</f>
      </c>
      <c r="M118" s="41">
        <f>IF(OR(NOT('Plano de Ação'!$B117&lt;&gt;""),NOT(ISNUMBER('Plano de Ação'!$F117)),NOT(ISNUMBER('Plano de Ação'!$G117)),'Plano de Ação'!$J117="Cancelada"),0,IF(AND('Plano de Ação'!$F117&lt;=EOMONTH(DATE(ano_ref,9,1),0),'Plano de Ação'!$G117&gt;=DATE(ano_ref,9,1)),1,0))</f>
      </c>
      <c r="N118" s="41">
        <f>IF(OR(NOT('Plano de Ação'!$B117&lt;&gt;""),NOT(ISNUMBER('Plano de Ação'!$F117)),NOT(ISNUMBER('Plano de Ação'!$G117)),'Plano de Ação'!$J117="Cancelada"),0,IF(AND('Plano de Ação'!$F117&lt;=EOMONTH(DATE(ano_ref,10,1),0),'Plano de Ação'!$G117&gt;=DATE(ano_ref,10,1)),1,0))</f>
      </c>
      <c r="O118" s="41">
        <f>IF(OR(NOT('Plano de Ação'!$B117&lt;&gt;""),NOT(ISNUMBER('Plano de Ação'!$F117)),NOT(ISNUMBER('Plano de Ação'!$G117)),'Plano de Ação'!$J117="Cancelada"),0,IF(AND('Plano de Ação'!$F117&lt;=EOMONTH(DATE(ano_ref,11,1),0),'Plano de Ação'!$G117&gt;=DATE(ano_ref,11,1)),1,0))</f>
      </c>
      <c r="P118" s="41">
        <f>IF(OR(NOT('Plano de Ação'!$B117&lt;&gt;""),NOT(ISNUMBER('Plano de Ação'!$F117)),NOT(ISNUMBER('Plano de Ação'!$G117)),'Plano de Ação'!$J117="Cancelada"),0,IF(AND('Plano de Ação'!$F117&lt;=EOMONTH(DATE(ano_ref,12,1),0),'Plano de Ação'!$G117&gt;=DATE(ano_ref,12,1)),1,0))</f>
      </c>
    </row>
    <row r="119" spans="1:16" x14ac:dyDescent="0.25">
      <c r="A119" s="40">
        <f>IF('Plano de Ação'!$B118&lt;&gt;"",'Plano de Ação'!A118&amp;"","")</f>
      </c>
      <c r="B119" s="25">
        <f>IF('Plano de Ação'!$B118&lt;&gt;"",'Plano de Ação'!B118,"")</f>
      </c>
      <c r="C119" s="25">
        <f>IF('Plano de Ação'!$B118&lt;&gt;"",'Plano de Ação'!E118&amp;"","")</f>
      </c>
      <c r="D119" s="40">
        <f>IF('Plano de Ação'!$B118&lt;&gt;"",'Plano de Ação'!L118,"")</f>
      </c>
      <c r="E119" s="41">
        <f>IF(OR(NOT('Plano de Ação'!$B118&lt;&gt;""),NOT(ISNUMBER('Plano de Ação'!$F118)),NOT(ISNUMBER('Plano de Ação'!$G118)),'Plano de Ação'!$J118="Cancelada"),0,IF(AND('Plano de Ação'!$F118&lt;=EOMONTH(DATE(ano_ref,1,1),0),'Plano de Ação'!$G118&gt;=DATE(ano_ref,1,1)),1,0))</f>
      </c>
      <c r="F119" s="41">
        <f>IF(OR(NOT('Plano de Ação'!$B118&lt;&gt;""),NOT(ISNUMBER('Plano de Ação'!$F118)),NOT(ISNUMBER('Plano de Ação'!$G118)),'Plano de Ação'!$J118="Cancelada"),0,IF(AND('Plano de Ação'!$F118&lt;=EOMONTH(DATE(ano_ref,2,1),0),'Plano de Ação'!$G118&gt;=DATE(ano_ref,2,1)),1,0))</f>
      </c>
      <c r="G119" s="41">
        <f>IF(OR(NOT('Plano de Ação'!$B118&lt;&gt;""),NOT(ISNUMBER('Plano de Ação'!$F118)),NOT(ISNUMBER('Plano de Ação'!$G118)),'Plano de Ação'!$J118="Cancelada"),0,IF(AND('Plano de Ação'!$F118&lt;=EOMONTH(DATE(ano_ref,3,1),0),'Plano de Ação'!$G118&gt;=DATE(ano_ref,3,1)),1,0))</f>
      </c>
      <c r="H119" s="41">
        <f>IF(OR(NOT('Plano de Ação'!$B118&lt;&gt;""),NOT(ISNUMBER('Plano de Ação'!$F118)),NOT(ISNUMBER('Plano de Ação'!$G118)),'Plano de Ação'!$J118="Cancelada"),0,IF(AND('Plano de Ação'!$F118&lt;=EOMONTH(DATE(ano_ref,4,1),0),'Plano de Ação'!$G118&gt;=DATE(ano_ref,4,1)),1,0))</f>
      </c>
      <c r="I119" s="41">
        <f>IF(OR(NOT('Plano de Ação'!$B118&lt;&gt;""),NOT(ISNUMBER('Plano de Ação'!$F118)),NOT(ISNUMBER('Plano de Ação'!$G118)),'Plano de Ação'!$J118="Cancelada"),0,IF(AND('Plano de Ação'!$F118&lt;=EOMONTH(DATE(ano_ref,5,1),0),'Plano de Ação'!$G118&gt;=DATE(ano_ref,5,1)),1,0))</f>
      </c>
      <c r="J119" s="41">
        <f>IF(OR(NOT('Plano de Ação'!$B118&lt;&gt;""),NOT(ISNUMBER('Plano de Ação'!$F118)),NOT(ISNUMBER('Plano de Ação'!$G118)),'Plano de Ação'!$J118="Cancelada"),0,IF(AND('Plano de Ação'!$F118&lt;=EOMONTH(DATE(ano_ref,6,1),0),'Plano de Ação'!$G118&gt;=DATE(ano_ref,6,1)),1,0))</f>
      </c>
      <c r="K119" s="41">
        <f>IF(OR(NOT('Plano de Ação'!$B118&lt;&gt;""),NOT(ISNUMBER('Plano de Ação'!$F118)),NOT(ISNUMBER('Plano de Ação'!$G118)),'Plano de Ação'!$J118="Cancelada"),0,IF(AND('Plano de Ação'!$F118&lt;=EOMONTH(DATE(ano_ref,7,1),0),'Plano de Ação'!$G118&gt;=DATE(ano_ref,7,1)),1,0))</f>
      </c>
      <c r="L119" s="41">
        <f>IF(OR(NOT('Plano de Ação'!$B118&lt;&gt;""),NOT(ISNUMBER('Plano de Ação'!$F118)),NOT(ISNUMBER('Plano de Ação'!$G118)),'Plano de Ação'!$J118="Cancelada"),0,IF(AND('Plano de Ação'!$F118&lt;=EOMONTH(DATE(ano_ref,8,1),0),'Plano de Ação'!$G118&gt;=DATE(ano_ref,8,1)),1,0))</f>
      </c>
      <c r="M119" s="41">
        <f>IF(OR(NOT('Plano de Ação'!$B118&lt;&gt;""),NOT(ISNUMBER('Plano de Ação'!$F118)),NOT(ISNUMBER('Plano de Ação'!$G118)),'Plano de Ação'!$J118="Cancelada"),0,IF(AND('Plano de Ação'!$F118&lt;=EOMONTH(DATE(ano_ref,9,1),0),'Plano de Ação'!$G118&gt;=DATE(ano_ref,9,1)),1,0))</f>
      </c>
      <c r="N119" s="41">
        <f>IF(OR(NOT('Plano de Ação'!$B118&lt;&gt;""),NOT(ISNUMBER('Plano de Ação'!$F118)),NOT(ISNUMBER('Plano de Ação'!$G118)),'Plano de Ação'!$J118="Cancelada"),0,IF(AND('Plano de Ação'!$F118&lt;=EOMONTH(DATE(ano_ref,10,1),0),'Plano de Ação'!$G118&gt;=DATE(ano_ref,10,1)),1,0))</f>
      </c>
      <c r="O119" s="41">
        <f>IF(OR(NOT('Plano de Ação'!$B118&lt;&gt;""),NOT(ISNUMBER('Plano de Ação'!$F118)),NOT(ISNUMBER('Plano de Ação'!$G118)),'Plano de Ação'!$J118="Cancelada"),0,IF(AND('Plano de Ação'!$F118&lt;=EOMONTH(DATE(ano_ref,11,1),0),'Plano de Ação'!$G118&gt;=DATE(ano_ref,11,1)),1,0))</f>
      </c>
      <c r="P119" s="41">
        <f>IF(OR(NOT('Plano de Ação'!$B118&lt;&gt;""),NOT(ISNUMBER('Plano de Ação'!$F118)),NOT(ISNUMBER('Plano de Ação'!$G118)),'Plano de Ação'!$J118="Cancelada"),0,IF(AND('Plano de Ação'!$F118&lt;=EOMONTH(DATE(ano_ref,12,1),0),'Plano de Ação'!$G118&gt;=DATE(ano_ref,12,1)),1,0))</f>
      </c>
    </row>
    <row r="120" spans="1:16" x14ac:dyDescent="0.25">
      <c r="A120" s="40">
        <f>IF('Plano de Ação'!$B119&lt;&gt;"",'Plano de Ação'!A119&amp;"","")</f>
      </c>
      <c r="B120" s="25">
        <f>IF('Plano de Ação'!$B119&lt;&gt;"",'Plano de Ação'!B119,"")</f>
      </c>
      <c r="C120" s="25">
        <f>IF('Plano de Ação'!$B119&lt;&gt;"",'Plano de Ação'!E119&amp;"","")</f>
      </c>
      <c r="D120" s="40">
        <f>IF('Plano de Ação'!$B119&lt;&gt;"",'Plano de Ação'!L119,"")</f>
      </c>
      <c r="E120" s="41">
        <f>IF(OR(NOT('Plano de Ação'!$B119&lt;&gt;""),NOT(ISNUMBER('Plano de Ação'!$F119)),NOT(ISNUMBER('Plano de Ação'!$G119)),'Plano de Ação'!$J119="Cancelada"),0,IF(AND('Plano de Ação'!$F119&lt;=EOMONTH(DATE(ano_ref,1,1),0),'Plano de Ação'!$G119&gt;=DATE(ano_ref,1,1)),1,0))</f>
      </c>
      <c r="F120" s="41">
        <f>IF(OR(NOT('Plano de Ação'!$B119&lt;&gt;""),NOT(ISNUMBER('Plano de Ação'!$F119)),NOT(ISNUMBER('Plano de Ação'!$G119)),'Plano de Ação'!$J119="Cancelada"),0,IF(AND('Plano de Ação'!$F119&lt;=EOMONTH(DATE(ano_ref,2,1),0),'Plano de Ação'!$G119&gt;=DATE(ano_ref,2,1)),1,0))</f>
      </c>
      <c r="G120" s="41">
        <f>IF(OR(NOT('Plano de Ação'!$B119&lt;&gt;""),NOT(ISNUMBER('Plano de Ação'!$F119)),NOT(ISNUMBER('Plano de Ação'!$G119)),'Plano de Ação'!$J119="Cancelada"),0,IF(AND('Plano de Ação'!$F119&lt;=EOMONTH(DATE(ano_ref,3,1),0),'Plano de Ação'!$G119&gt;=DATE(ano_ref,3,1)),1,0))</f>
      </c>
      <c r="H120" s="41">
        <f>IF(OR(NOT('Plano de Ação'!$B119&lt;&gt;""),NOT(ISNUMBER('Plano de Ação'!$F119)),NOT(ISNUMBER('Plano de Ação'!$G119)),'Plano de Ação'!$J119="Cancelada"),0,IF(AND('Plano de Ação'!$F119&lt;=EOMONTH(DATE(ano_ref,4,1),0),'Plano de Ação'!$G119&gt;=DATE(ano_ref,4,1)),1,0))</f>
      </c>
      <c r="I120" s="41">
        <f>IF(OR(NOT('Plano de Ação'!$B119&lt;&gt;""),NOT(ISNUMBER('Plano de Ação'!$F119)),NOT(ISNUMBER('Plano de Ação'!$G119)),'Plano de Ação'!$J119="Cancelada"),0,IF(AND('Plano de Ação'!$F119&lt;=EOMONTH(DATE(ano_ref,5,1),0),'Plano de Ação'!$G119&gt;=DATE(ano_ref,5,1)),1,0))</f>
      </c>
      <c r="J120" s="41">
        <f>IF(OR(NOT('Plano de Ação'!$B119&lt;&gt;""),NOT(ISNUMBER('Plano de Ação'!$F119)),NOT(ISNUMBER('Plano de Ação'!$G119)),'Plano de Ação'!$J119="Cancelada"),0,IF(AND('Plano de Ação'!$F119&lt;=EOMONTH(DATE(ano_ref,6,1),0),'Plano de Ação'!$G119&gt;=DATE(ano_ref,6,1)),1,0))</f>
      </c>
      <c r="K120" s="41">
        <f>IF(OR(NOT('Plano de Ação'!$B119&lt;&gt;""),NOT(ISNUMBER('Plano de Ação'!$F119)),NOT(ISNUMBER('Plano de Ação'!$G119)),'Plano de Ação'!$J119="Cancelada"),0,IF(AND('Plano de Ação'!$F119&lt;=EOMONTH(DATE(ano_ref,7,1),0),'Plano de Ação'!$G119&gt;=DATE(ano_ref,7,1)),1,0))</f>
      </c>
      <c r="L120" s="41">
        <f>IF(OR(NOT('Plano de Ação'!$B119&lt;&gt;""),NOT(ISNUMBER('Plano de Ação'!$F119)),NOT(ISNUMBER('Plano de Ação'!$G119)),'Plano de Ação'!$J119="Cancelada"),0,IF(AND('Plano de Ação'!$F119&lt;=EOMONTH(DATE(ano_ref,8,1),0),'Plano de Ação'!$G119&gt;=DATE(ano_ref,8,1)),1,0))</f>
      </c>
      <c r="M120" s="41">
        <f>IF(OR(NOT('Plano de Ação'!$B119&lt;&gt;""),NOT(ISNUMBER('Plano de Ação'!$F119)),NOT(ISNUMBER('Plano de Ação'!$G119)),'Plano de Ação'!$J119="Cancelada"),0,IF(AND('Plano de Ação'!$F119&lt;=EOMONTH(DATE(ano_ref,9,1),0),'Plano de Ação'!$G119&gt;=DATE(ano_ref,9,1)),1,0))</f>
      </c>
      <c r="N120" s="41">
        <f>IF(OR(NOT('Plano de Ação'!$B119&lt;&gt;""),NOT(ISNUMBER('Plano de Ação'!$F119)),NOT(ISNUMBER('Plano de Ação'!$G119)),'Plano de Ação'!$J119="Cancelada"),0,IF(AND('Plano de Ação'!$F119&lt;=EOMONTH(DATE(ano_ref,10,1),0),'Plano de Ação'!$G119&gt;=DATE(ano_ref,10,1)),1,0))</f>
      </c>
      <c r="O120" s="41">
        <f>IF(OR(NOT('Plano de Ação'!$B119&lt;&gt;""),NOT(ISNUMBER('Plano de Ação'!$F119)),NOT(ISNUMBER('Plano de Ação'!$G119)),'Plano de Ação'!$J119="Cancelada"),0,IF(AND('Plano de Ação'!$F119&lt;=EOMONTH(DATE(ano_ref,11,1),0),'Plano de Ação'!$G119&gt;=DATE(ano_ref,11,1)),1,0))</f>
      </c>
      <c r="P120" s="41">
        <f>IF(OR(NOT('Plano de Ação'!$B119&lt;&gt;""),NOT(ISNUMBER('Plano de Ação'!$F119)),NOT(ISNUMBER('Plano de Ação'!$G119)),'Plano de Ação'!$J119="Cancelada"),0,IF(AND('Plano de Ação'!$F119&lt;=EOMONTH(DATE(ano_ref,12,1),0),'Plano de Ação'!$G119&gt;=DATE(ano_ref,12,1)),1,0))</f>
      </c>
    </row>
    <row r="121" spans="1:16" x14ac:dyDescent="0.25">
      <c r="A121" s="40">
        <f>IF('Plano de Ação'!$B120&lt;&gt;"",'Plano de Ação'!A120&amp;"","")</f>
      </c>
      <c r="B121" s="25">
        <f>IF('Plano de Ação'!$B120&lt;&gt;"",'Plano de Ação'!B120,"")</f>
      </c>
      <c r="C121" s="25">
        <f>IF('Plano de Ação'!$B120&lt;&gt;"",'Plano de Ação'!E120&amp;"","")</f>
      </c>
      <c r="D121" s="40">
        <f>IF('Plano de Ação'!$B120&lt;&gt;"",'Plano de Ação'!L120,"")</f>
      </c>
      <c r="E121" s="41">
        <f>IF(OR(NOT('Plano de Ação'!$B120&lt;&gt;""),NOT(ISNUMBER('Plano de Ação'!$F120)),NOT(ISNUMBER('Plano de Ação'!$G120)),'Plano de Ação'!$J120="Cancelada"),0,IF(AND('Plano de Ação'!$F120&lt;=EOMONTH(DATE(ano_ref,1,1),0),'Plano de Ação'!$G120&gt;=DATE(ano_ref,1,1)),1,0))</f>
      </c>
      <c r="F121" s="41">
        <f>IF(OR(NOT('Plano de Ação'!$B120&lt;&gt;""),NOT(ISNUMBER('Plano de Ação'!$F120)),NOT(ISNUMBER('Plano de Ação'!$G120)),'Plano de Ação'!$J120="Cancelada"),0,IF(AND('Plano de Ação'!$F120&lt;=EOMONTH(DATE(ano_ref,2,1),0),'Plano de Ação'!$G120&gt;=DATE(ano_ref,2,1)),1,0))</f>
      </c>
      <c r="G121" s="41">
        <f>IF(OR(NOT('Plano de Ação'!$B120&lt;&gt;""),NOT(ISNUMBER('Plano de Ação'!$F120)),NOT(ISNUMBER('Plano de Ação'!$G120)),'Plano de Ação'!$J120="Cancelada"),0,IF(AND('Plano de Ação'!$F120&lt;=EOMONTH(DATE(ano_ref,3,1),0),'Plano de Ação'!$G120&gt;=DATE(ano_ref,3,1)),1,0))</f>
      </c>
      <c r="H121" s="41">
        <f>IF(OR(NOT('Plano de Ação'!$B120&lt;&gt;""),NOT(ISNUMBER('Plano de Ação'!$F120)),NOT(ISNUMBER('Plano de Ação'!$G120)),'Plano de Ação'!$J120="Cancelada"),0,IF(AND('Plano de Ação'!$F120&lt;=EOMONTH(DATE(ano_ref,4,1),0),'Plano de Ação'!$G120&gt;=DATE(ano_ref,4,1)),1,0))</f>
      </c>
      <c r="I121" s="41">
        <f>IF(OR(NOT('Plano de Ação'!$B120&lt;&gt;""),NOT(ISNUMBER('Plano de Ação'!$F120)),NOT(ISNUMBER('Plano de Ação'!$G120)),'Plano de Ação'!$J120="Cancelada"),0,IF(AND('Plano de Ação'!$F120&lt;=EOMONTH(DATE(ano_ref,5,1),0),'Plano de Ação'!$G120&gt;=DATE(ano_ref,5,1)),1,0))</f>
      </c>
      <c r="J121" s="41">
        <f>IF(OR(NOT('Plano de Ação'!$B120&lt;&gt;""),NOT(ISNUMBER('Plano de Ação'!$F120)),NOT(ISNUMBER('Plano de Ação'!$G120)),'Plano de Ação'!$J120="Cancelada"),0,IF(AND('Plano de Ação'!$F120&lt;=EOMONTH(DATE(ano_ref,6,1),0),'Plano de Ação'!$G120&gt;=DATE(ano_ref,6,1)),1,0))</f>
      </c>
      <c r="K121" s="41">
        <f>IF(OR(NOT('Plano de Ação'!$B120&lt;&gt;""),NOT(ISNUMBER('Plano de Ação'!$F120)),NOT(ISNUMBER('Plano de Ação'!$G120)),'Plano de Ação'!$J120="Cancelada"),0,IF(AND('Plano de Ação'!$F120&lt;=EOMONTH(DATE(ano_ref,7,1),0),'Plano de Ação'!$G120&gt;=DATE(ano_ref,7,1)),1,0))</f>
      </c>
      <c r="L121" s="41">
        <f>IF(OR(NOT('Plano de Ação'!$B120&lt;&gt;""),NOT(ISNUMBER('Plano de Ação'!$F120)),NOT(ISNUMBER('Plano de Ação'!$G120)),'Plano de Ação'!$J120="Cancelada"),0,IF(AND('Plano de Ação'!$F120&lt;=EOMONTH(DATE(ano_ref,8,1),0),'Plano de Ação'!$G120&gt;=DATE(ano_ref,8,1)),1,0))</f>
      </c>
      <c r="M121" s="41">
        <f>IF(OR(NOT('Plano de Ação'!$B120&lt;&gt;""),NOT(ISNUMBER('Plano de Ação'!$F120)),NOT(ISNUMBER('Plano de Ação'!$G120)),'Plano de Ação'!$J120="Cancelada"),0,IF(AND('Plano de Ação'!$F120&lt;=EOMONTH(DATE(ano_ref,9,1),0),'Plano de Ação'!$G120&gt;=DATE(ano_ref,9,1)),1,0))</f>
      </c>
      <c r="N121" s="41">
        <f>IF(OR(NOT('Plano de Ação'!$B120&lt;&gt;""),NOT(ISNUMBER('Plano de Ação'!$F120)),NOT(ISNUMBER('Plano de Ação'!$G120)),'Plano de Ação'!$J120="Cancelada"),0,IF(AND('Plano de Ação'!$F120&lt;=EOMONTH(DATE(ano_ref,10,1),0),'Plano de Ação'!$G120&gt;=DATE(ano_ref,10,1)),1,0))</f>
      </c>
      <c r="O121" s="41">
        <f>IF(OR(NOT('Plano de Ação'!$B120&lt;&gt;""),NOT(ISNUMBER('Plano de Ação'!$F120)),NOT(ISNUMBER('Plano de Ação'!$G120)),'Plano de Ação'!$J120="Cancelada"),0,IF(AND('Plano de Ação'!$F120&lt;=EOMONTH(DATE(ano_ref,11,1),0),'Plano de Ação'!$G120&gt;=DATE(ano_ref,11,1)),1,0))</f>
      </c>
      <c r="P121" s="41">
        <f>IF(OR(NOT('Plano de Ação'!$B120&lt;&gt;""),NOT(ISNUMBER('Plano de Ação'!$F120)),NOT(ISNUMBER('Plano de Ação'!$G120)),'Plano de Ação'!$J120="Cancelada"),0,IF(AND('Plano de Ação'!$F120&lt;=EOMONTH(DATE(ano_ref,12,1),0),'Plano de Ação'!$G120&gt;=DATE(ano_ref,12,1)),1,0))</f>
      </c>
    </row>
    <row r="122" spans="1:16" x14ac:dyDescent="0.25">
      <c r="A122" s="40">
        <f>IF('Plano de Ação'!$B121&lt;&gt;"",'Plano de Ação'!A121&amp;"","")</f>
      </c>
      <c r="B122" s="25">
        <f>IF('Plano de Ação'!$B121&lt;&gt;"",'Plano de Ação'!B121,"")</f>
      </c>
      <c r="C122" s="25">
        <f>IF('Plano de Ação'!$B121&lt;&gt;"",'Plano de Ação'!E121&amp;"","")</f>
      </c>
      <c r="D122" s="40">
        <f>IF('Plano de Ação'!$B121&lt;&gt;"",'Plano de Ação'!L121,"")</f>
      </c>
      <c r="E122" s="41">
        <f>IF(OR(NOT('Plano de Ação'!$B121&lt;&gt;""),NOT(ISNUMBER('Plano de Ação'!$F121)),NOT(ISNUMBER('Plano de Ação'!$G121)),'Plano de Ação'!$J121="Cancelada"),0,IF(AND('Plano de Ação'!$F121&lt;=EOMONTH(DATE(ano_ref,1,1),0),'Plano de Ação'!$G121&gt;=DATE(ano_ref,1,1)),1,0))</f>
      </c>
      <c r="F122" s="41">
        <f>IF(OR(NOT('Plano de Ação'!$B121&lt;&gt;""),NOT(ISNUMBER('Plano de Ação'!$F121)),NOT(ISNUMBER('Plano de Ação'!$G121)),'Plano de Ação'!$J121="Cancelada"),0,IF(AND('Plano de Ação'!$F121&lt;=EOMONTH(DATE(ano_ref,2,1),0),'Plano de Ação'!$G121&gt;=DATE(ano_ref,2,1)),1,0))</f>
      </c>
      <c r="G122" s="41">
        <f>IF(OR(NOT('Plano de Ação'!$B121&lt;&gt;""),NOT(ISNUMBER('Plano de Ação'!$F121)),NOT(ISNUMBER('Plano de Ação'!$G121)),'Plano de Ação'!$J121="Cancelada"),0,IF(AND('Plano de Ação'!$F121&lt;=EOMONTH(DATE(ano_ref,3,1),0),'Plano de Ação'!$G121&gt;=DATE(ano_ref,3,1)),1,0))</f>
      </c>
      <c r="H122" s="41">
        <f>IF(OR(NOT('Plano de Ação'!$B121&lt;&gt;""),NOT(ISNUMBER('Plano de Ação'!$F121)),NOT(ISNUMBER('Plano de Ação'!$G121)),'Plano de Ação'!$J121="Cancelada"),0,IF(AND('Plano de Ação'!$F121&lt;=EOMONTH(DATE(ano_ref,4,1),0),'Plano de Ação'!$G121&gt;=DATE(ano_ref,4,1)),1,0))</f>
      </c>
      <c r="I122" s="41">
        <f>IF(OR(NOT('Plano de Ação'!$B121&lt;&gt;""),NOT(ISNUMBER('Plano de Ação'!$F121)),NOT(ISNUMBER('Plano de Ação'!$G121)),'Plano de Ação'!$J121="Cancelada"),0,IF(AND('Plano de Ação'!$F121&lt;=EOMONTH(DATE(ano_ref,5,1),0),'Plano de Ação'!$G121&gt;=DATE(ano_ref,5,1)),1,0))</f>
      </c>
      <c r="J122" s="41">
        <f>IF(OR(NOT('Plano de Ação'!$B121&lt;&gt;""),NOT(ISNUMBER('Plano de Ação'!$F121)),NOT(ISNUMBER('Plano de Ação'!$G121)),'Plano de Ação'!$J121="Cancelada"),0,IF(AND('Plano de Ação'!$F121&lt;=EOMONTH(DATE(ano_ref,6,1),0),'Plano de Ação'!$G121&gt;=DATE(ano_ref,6,1)),1,0))</f>
      </c>
      <c r="K122" s="41">
        <f>IF(OR(NOT('Plano de Ação'!$B121&lt;&gt;""),NOT(ISNUMBER('Plano de Ação'!$F121)),NOT(ISNUMBER('Plano de Ação'!$G121)),'Plano de Ação'!$J121="Cancelada"),0,IF(AND('Plano de Ação'!$F121&lt;=EOMONTH(DATE(ano_ref,7,1),0),'Plano de Ação'!$G121&gt;=DATE(ano_ref,7,1)),1,0))</f>
      </c>
      <c r="L122" s="41">
        <f>IF(OR(NOT('Plano de Ação'!$B121&lt;&gt;""),NOT(ISNUMBER('Plano de Ação'!$F121)),NOT(ISNUMBER('Plano de Ação'!$G121)),'Plano de Ação'!$J121="Cancelada"),0,IF(AND('Plano de Ação'!$F121&lt;=EOMONTH(DATE(ano_ref,8,1),0),'Plano de Ação'!$G121&gt;=DATE(ano_ref,8,1)),1,0))</f>
      </c>
      <c r="M122" s="41">
        <f>IF(OR(NOT('Plano de Ação'!$B121&lt;&gt;""),NOT(ISNUMBER('Plano de Ação'!$F121)),NOT(ISNUMBER('Plano de Ação'!$G121)),'Plano de Ação'!$J121="Cancelada"),0,IF(AND('Plano de Ação'!$F121&lt;=EOMONTH(DATE(ano_ref,9,1),0),'Plano de Ação'!$G121&gt;=DATE(ano_ref,9,1)),1,0))</f>
      </c>
      <c r="N122" s="41">
        <f>IF(OR(NOT('Plano de Ação'!$B121&lt;&gt;""),NOT(ISNUMBER('Plano de Ação'!$F121)),NOT(ISNUMBER('Plano de Ação'!$G121)),'Plano de Ação'!$J121="Cancelada"),0,IF(AND('Plano de Ação'!$F121&lt;=EOMONTH(DATE(ano_ref,10,1),0),'Plano de Ação'!$G121&gt;=DATE(ano_ref,10,1)),1,0))</f>
      </c>
      <c r="O122" s="41">
        <f>IF(OR(NOT('Plano de Ação'!$B121&lt;&gt;""),NOT(ISNUMBER('Plano de Ação'!$F121)),NOT(ISNUMBER('Plano de Ação'!$G121)),'Plano de Ação'!$J121="Cancelada"),0,IF(AND('Plano de Ação'!$F121&lt;=EOMONTH(DATE(ano_ref,11,1),0),'Plano de Ação'!$G121&gt;=DATE(ano_ref,11,1)),1,0))</f>
      </c>
      <c r="P122" s="41">
        <f>IF(OR(NOT('Plano de Ação'!$B121&lt;&gt;""),NOT(ISNUMBER('Plano de Ação'!$F121)),NOT(ISNUMBER('Plano de Ação'!$G121)),'Plano de Ação'!$J121="Cancelada"),0,IF(AND('Plano de Ação'!$F121&lt;=EOMONTH(DATE(ano_ref,12,1),0),'Plano de Ação'!$G121&gt;=DATE(ano_ref,12,1)),1,0))</f>
      </c>
    </row>
    <row r="123" spans="1:16" x14ac:dyDescent="0.25">
      <c r="A123" s="40">
        <f>IF('Plano de Ação'!$B122&lt;&gt;"",'Plano de Ação'!A122&amp;"","")</f>
      </c>
      <c r="B123" s="25">
        <f>IF('Plano de Ação'!$B122&lt;&gt;"",'Plano de Ação'!B122,"")</f>
      </c>
      <c r="C123" s="25">
        <f>IF('Plano de Ação'!$B122&lt;&gt;"",'Plano de Ação'!E122&amp;"","")</f>
      </c>
      <c r="D123" s="40">
        <f>IF('Plano de Ação'!$B122&lt;&gt;"",'Plano de Ação'!L122,"")</f>
      </c>
      <c r="E123" s="41">
        <f>IF(OR(NOT('Plano de Ação'!$B122&lt;&gt;""),NOT(ISNUMBER('Plano de Ação'!$F122)),NOT(ISNUMBER('Plano de Ação'!$G122)),'Plano de Ação'!$J122="Cancelada"),0,IF(AND('Plano de Ação'!$F122&lt;=EOMONTH(DATE(ano_ref,1,1),0),'Plano de Ação'!$G122&gt;=DATE(ano_ref,1,1)),1,0))</f>
      </c>
      <c r="F123" s="41">
        <f>IF(OR(NOT('Plano de Ação'!$B122&lt;&gt;""),NOT(ISNUMBER('Plano de Ação'!$F122)),NOT(ISNUMBER('Plano de Ação'!$G122)),'Plano de Ação'!$J122="Cancelada"),0,IF(AND('Plano de Ação'!$F122&lt;=EOMONTH(DATE(ano_ref,2,1),0),'Plano de Ação'!$G122&gt;=DATE(ano_ref,2,1)),1,0))</f>
      </c>
      <c r="G123" s="41">
        <f>IF(OR(NOT('Plano de Ação'!$B122&lt;&gt;""),NOT(ISNUMBER('Plano de Ação'!$F122)),NOT(ISNUMBER('Plano de Ação'!$G122)),'Plano de Ação'!$J122="Cancelada"),0,IF(AND('Plano de Ação'!$F122&lt;=EOMONTH(DATE(ano_ref,3,1),0),'Plano de Ação'!$G122&gt;=DATE(ano_ref,3,1)),1,0))</f>
      </c>
      <c r="H123" s="41">
        <f>IF(OR(NOT('Plano de Ação'!$B122&lt;&gt;""),NOT(ISNUMBER('Plano de Ação'!$F122)),NOT(ISNUMBER('Plano de Ação'!$G122)),'Plano de Ação'!$J122="Cancelada"),0,IF(AND('Plano de Ação'!$F122&lt;=EOMONTH(DATE(ano_ref,4,1),0),'Plano de Ação'!$G122&gt;=DATE(ano_ref,4,1)),1,0))</f>
      </c>
      <c r="I123" s="41">
        <f>IF(OR(NOT('Plano de Ação'!$B122&lt;&gt;""),NOT(ISNUMBER('Plano de Ação'!$F122)),NOT(ISNUMBER('Plano de Ação'!$G122)),'Plano de Ação'!$J122="Cancelada"),0,IF(AND('Plano de Ação'!$F122&lt;=EOMONTH(DATE(ano_ref,5,1),0),'Plano de Ação'!$G122&gt;=DATE(ano_ref,5,1)),1,0))</f>
      </c>
      <c r="J123" s="41">
        <f>IF(OR(NOT('Plano de Ação'!$B122&lt;&gt;""),NOT(ISNUMBER('Plano de Ação'!$F122)),NOT(ISNUMBER('Plano de Ação'!$G122)),'Plano de Ação'!$J122="Cancelada"),0,IF(AND('Plano de Ação'!$F122&lt;=EOMONTH(DATE(ano_ref,6,1),0),'Plano de Ação'!$G122&gt;=DATE(ano_ref,6,1)),1,0))</f>
      </c>
      <c r="K123" s="41">
        <f>IF(OR(NOT('Plano de Ação'!$B122&lt;&gt;""),NOT(ISNUMBER('Plano de Ação'!$F122)),NOT(ISNUMBER('Plano de Ação'!$G122)),'Plano de Ação'!$J122="Cancelada"),0,IF(AND('Plano de Ação'!$F122&lt;=EOMONTH(DATE(ano_ref,7,1),0),'Plano de Ação'!$G122&gt;=DATE(ano_ref,7,1)),1,0))</f>
      </c>
      <c r="L123" s="41">
        <f>IF(OR(NOT('Plano de Ação'!$B122&lt;&gt;""),NOT(ISNUMBER('Plano de Ação'!$F122)),NOT(ISNUMBER('Plano de Ação'!$G122)),'Plano de Ação'!$J122="Cancelada"),0,IF(AND('Plano de Ação'!$F122&lt;=EOMONTH(DATE(ano_ref,8,1),0),'Plano de Ação'!$G122&gt;=DATE(ano_ref,8,1)),1,0))</f>
      </c>
      <c r="M123" s="41">
        <f>IF(OR(NOT('Plano de Ação'!$B122&lt;&gt;""),NOT(ISNUMBER('Plano de Ação'!$F122)),NOT(ISNUMBER('Plano de Ação'!$G122)),'Plano de Ação'!$J122="Cancelada"),0,IF(AND('Plano de Ação'!$F122&lt;=EOMONTH(DATE(ano_ref,9,1),0),'Plano de Ação'!$G122&gt;=DATE(ano_ref,9,1)),1,0))</f>
      </c>
      <c r="N123" s="41">
        <f>IF(OR(NOT('Plano de Ação'!$B122&lt;&gt;""),NOT(ISNUMBER('Plano de Ação'!$F122)),NOT(ISNUMBER('Plano de Ação'!$G122)),'Plano de Ação'!$J122="Cancelada"),0,IF(AND('Plano de Ação'!$F122&lt;=EOMONTH(DATE(ano_ref,10,1),0),'Plano de Ação'!$G122&gt;=DATE(ano_ref,10,1)),1,0))</f>
      </c>
      <c r="O123" s="41">
        <f>IF(OR(NOT('Plano de Ação'!$B122&lt;&gt;""),NOT(ISNUMBER('Plano de Ação'!$F122)),NOT(ISNUMBER('Plano de Ação'!$G122)),'Plano de Ação'!$J122="Cancelada"),0,IF(AND('Plano de Ação'!$F122&lt;=EOMONTH(DATE(ano_ref,11,1),0),'Plano de Ação'!$G122&gt;=DATE(ano_ref,11,1)),1,0))</f>
      </c>
      <c r="P123" s="41">
        <f>IF(OR(NOT('Plano de Ação'!$B122&lt;&gt;""),NOT(ISNUMBER('Plano de Ação'!$F122)),NOT(ISNUMBER('Plano de Ação'!$G122)),'Plano de Ação'!$J122="Cancelada"),0,IF(AND('Plano de Ação'!$F122&lt;=EOMONTH(DATE(ano_ref,12,1),0),'Plano de Ação'!$G122&gt;=DATE(ano_ref,12,1)),1,0))</f>
      </c>
    </row>
    <row r="124" spans="1:16" x14ac:dyDescent="0.25">
      <c r="A124" s="40">
        <f>IF('Plano de Ação'!$B123&lt;&gt;"",'Plano de Ação'!A123&amp;"","")</f>
      </c>
      <c r="B124" s="25">
        <f>IF('Plano de Ação'!$B123&lt;&gt;"",'Plano de Ação'!B123,"")</f>
      </c>
      <c r="C124" s="25">
        <f>IF('Plano de Ação'!$B123&lt;&gt;"",'Plano de Ação'!E123&amp;"","")</f>
      </c>
      <c r="D124" s="40">
        <f>IF('Plano de Ação'!$B123&lt;&gt;"",'Plano de Ação'!L123,"")</f>
      </c>
      <c r="E124" s="41">
        <f>IF(OR(NOT('Plano de Ação'!$B123&lt;&gt;""),NOT(ISNUMBER('Plano de Ação'!$F123)),NOT(ISNUMBER('Plano de Ação'!$G123)),'Plano de Ação'!$J123="Cancelada"),0,IF(AND('Plano de Ação'!$F123&lt;=EOMONTH(DATE(ano_ref,1,1),0),'Plano de Ação'!$G123&gt;=DATE(ano_ref,1,1)),1,0))</f>
      </c>
      <c r="F124" s="41">
        <f>IF(OR(NOT('Plano de Ação'!$B123&lt;&gt;""),NOT(ISNUMBER('Plano de Ação'!$F123)),NOT(ISNUMBER('Plano de Ação'!$G123)),'Plano de Ação'!$J123="Cancelada"),0,IF(AND('Plano de Ação'!$F123&lt;=EOMONTH(DATE(ano_ref,2,1),0),'Plano de Ação'!$G123&gt;=DATE(ano_ref,2,1)),1,0))</f>
      </c>
      <c r="G124" s="41">
        <f>IF(OR(NOT('Plano de Ação'!$B123&lt;&gt;""),NOT(ISNUMBER('Plano de Ação'!$F123)),NOT(ISNUMBER('Plano de Ação'!$G123)),'Plano de Ação'!$J123="Cancelada"),0,IF(AND('Plano de Ação'!$F123&lt;=EOMONTH(DATE(ano_ref,3,1),0),'Plano de Ação'!$G123&gt;=DATE(ano_ref,3,1)),1,0))</f>
      </c>
      <c r="H124" s="41">
        <f>IF(OR(NOT('Plano de Ação'!$B123&lt;&gt;""),NOT(ISNUMBER('Plano de Ação'!$F123)),NOT(ISNUMBER('Plano de Ação'!$G123)),'Plano de Ação'!$J123="Cancelada"),0,IF(AND('Plano de Ação'!$F123&lt;=EOMONTH(DATE(ano_ref,4,1),0),'Plano de Ação'!$G123&gt;=DATE(ano_ref,4,1)),1,0))</f>
      </c>
      <c r="I124" s="41">
        <f>IF(OR(NOT('Plano de Ação'!$B123&lt;&gt;""),NOT(ISNUMBER('Plano de Ação'!$F123)),NOT(ISNUMBER('Plano de Ação'!$G123)),'Plano de Ação'!$J123="Cancelada"),0,IF(AND('Plano de Ação'!$F123&lt;=EOMONTH(DATE(ano_ref,5,1),0),'Plano de Ação'!$G123&gt;=DATE(ano_ref,5,1)),1,0))</f>
      </c>
      <c r="J124" s="41">
        <f>IF(OR(NOT('Plano de Ação'!$B123&lt;&gt;""),NOT(ISNUMBER('Plano de Ação'!$F123)),NOT(ISNUMBER('Plano de Ação'!$G123)),'Plano de Ação'!$J123="Cancelada"),0,IF(AND('Plano de Ação'!$F123&lt;=EOMONTH(DATE(ano_ref,6,1),0),'Plano de Ação'!$G123&gt;=DATE(ano_ref,6,1)),1,0))</f>
      </c>
      <c r="K124" s="41">
        <f>IF(OR(NOT('Plano de Ação'!$B123&lt;&gt;""),NOT(ISNUMBER('Plano de Ação'!$F123)),NOT(ISNUMBER('Plano de Ação'!$G123)),'Plano de Ação'!$J123="Cancelada"),0,IF(AND('Plano de Ação'!$F123&lt;=EOMONTH(DATE(ano_ref,7,1),0),'Plano de Ação'!$G123&gt;=DATE(ano_ref,7,1)),1,0))</f>
      </c>
      <c r="L124" s="41">
        <f>IF(OR(NOT('Plano de Ação'!$B123&lt;&gt;""),NOT(ISNUMBER('Plano de Ação'!$F123)),NOT(ISNUMBER('Plano de Ação'!$G123)),'Plano de Ação'!$J123="Cancelada"),0,IF(AND('Plano de Ação'!$F123&lt;=EOMONTH(DATE(ano_ref,8,1),0),'Plano de Ação'!$G123&gt;=DATE(ano_ref,8,1)),1,0))</f>
      </c>
      <c r="M124" s="41">
        <f>IF(OR(NOT('Plano de Ação'!$B123&lt;&gt;""),NOT(ISNUMBER('Plano de Ação'!$F123)),NOT(ISNUMBER('Plano de Ação'!$G123)),'Plano de Ação'!$J123="Cancelada"),0,IF(AND('Plano de Ação'!$F123&lt;=EOMONTH(DATE(ano_ref,9,1),0),'Plano de Ação'!$G123&gt;=DATE(ano_ref,9,1)),1,0))</f>
      </c>
      <c r="N124" s="41">
        <f>IF(OR(NOT('Plano de Ação'!$B123&lt;&gt;""),NOT(ISNUMBER('Plano de Ação'!$F123)),NOT(ISNUMBER('Plano de Ação'!$G123)),'Plano de Ação'!$J123="Cancelada"),0,IF(AND('Plano de Ação'!$F123&lt;=EOMONTH(DATE(ano_ref,10,1),0),'Plano de Ação'!$G123&gt;=DATE(ano_ref,10,1)),1,0))</f>
      </c>
      <c r="O124" s="41">
        <f>IF(OR(NOT('Plano de Ação'!$B123&lt;&gt;""),NOT(ISNUMBER('Plano de Ação'!$F123)),NOT(ISNUMBER('Plano de Ação'!$G123)),'Plano de Ação'!$J123="Cancelada"),0,IF(AND('Plano de Ação'!$F123&lt;=EOMONTH(DATE(ano_ref,11,1),0),'Plano de Ação'!$G123&gt;=DATE(ano_ref,11,1)),1,0))</f>
      </c>
      <c r="P124" s="41">
        <f>IF(OR(NOT('Plano de Ação'!$B123&lt;&gt;""),NOT(ISNUMBER('Plano de Ação'!$F123)),NOT(ISNUMBER('Plano de Ação'!$G123)),'Plano de Ação'!$J123="Cancelada"),0,IF(AND('Plano de Ação'!$F123&lt;=EOMONTH(DATE(ano_ref,12,1),0),'Plano de Ação'!$G123&gt;=DATE(ano_ref,12,1)),1,0))</f>
      </c>
    </row>
    <row r="125" spans="1:16" x14ac:dyDescent="0.25">
      <c r="A125" s="40">
        <f>IF('Plano de Ação'!$B124&lt;&gt;"",'Plano de Ação'!A124&amp;"","")</f>
      </c>
      <c r="B125" s="25">
        <f>IF('Plano de Ação'!$B124&lt;&gt;"",'Plano de Ação'!B124,"")</f>
      </c>
      <c r="C125" s="25">
        <f>IF('Plano de Ação'!$B124&lt;&gt;"",'Plano de Ação'!E124&amp;"","")</f>
      </c>
      <c r="D125" s="40">
        <f>IF('Plano de Ação'!$B124&lt;&gt;"",'Plano de Ação'!L124,"")</f>
      </c>
      <c r="E125" s="41">
        <f>IF(OR(NOT('Plano de Ação'!$B124&lt;&gt;""),NOT(ISNUMBER('Plano de Ação'!$F124)),NOT(ISNUMBER('Plano de Ação'!$G124)),'Plano de Ação'!$J124="Cancelada"),0,IF(AND('Plano de Ação'!$F124&lt;=EOMONTH(DATE(ano_ref,1,1),0),'Plano de Ação'!$G124&gt;=DATE(ano_ref,1,1)),1,0))</f>
      </c>
      <c r="F125" s="41">
        <f>IF(OR(NOT('Plano de Ação'!$B124&lt;&gt;""),NOT(ISNUMBER('Plano de Ação'!$F124)),NOT(ISNUMBER('Plano de Ação'!$G124)),'Plano de Ação'!$J124="Cancelada"),0,IF(AND('Plano de Ação'!$F124&lt;=EOMONTH(DATE(ano_ref,2,1),0),'Plano de Ação'!$G124&gt;=DATE(ano_ref,2,1)),1,0))</f>
      </c>
      <c r="G125" s="41">
        <f>IF(OR(NOT('Plano de Ação'!$B124&lt;&gt;""),NOT(ISNUMBER('Plano de Ação'!$F124)),NOT(ISNUMBER('Plano de Ação'!$G124)),'Plano de Ação'!$J124="Cancelada"),0,IF(AND('Plano de Ação'!$F124&lt;=EOMONTH(DATE(ano_ref,3,1),0),'Plano de Ação'!$G124&gt;=DATE(ano_ref,3,1)),1,0))</f>
      </c>
      <c r="H125" s="41">
        <f>IF(OR(NOT('Plano de Ação'!$B124&lt;&gt;""),NOT(ISNUMBER('Plano de Ação'!$F124)),NOT(ISNUMBER('Plano de Ação'!$G124)),'Plano de Ação'!$J124="Cancelada"),0,IF(AND('Plano de Ação'!$F124&lt;=EOMONTH(DATE(ano_ref,4,1),0),'Plano de Ação'!$G124&gt;=DATE(ano_ref,4,1)),1,0))</f>
      </c>
      <c r="I125" s="41">
        <f>IF(OR(NOT('Plano de Ação'!$B124&lt;&gt;""),NOT(ISNUMBER('Plano de Ação'!$F124)),NOT(ISNUMBER('Plano de Ação'!$G124)),'Plano de Ação'!$J124="Cancelada"),0,IF(AND('Plano de Ação'!$F124&lt;=EOMONTH(DATE(ano_ref,5,1),0),'Plano de Ação'!$G124&gt;=DATE(ano_ref,5,1)),1,0))</f>
      </c>
      <c r="J125" s="41">
        <f>IF(OR(NOT('Plano de Ação'!$B124&lt;&gt;""),NOT(ISNUMBER('Plano de Ação'!$F124)),NOT(ISNUMBER('Plano de Ação'!$G124)),'Plano de Ação'!$J124="Cancelada"),0,IF(AND('Plano de Ação'!$F124&lt;=EOMONTH(DATE(ano_ref,6,1),0),'Plano de Ação'!$G124&gt;=DATE(ano_ref,6,1)),1,0))</f>
      </c>
      <c r="K125" s="41">
        <f>IF(OR(NOT('Plano de Ação'!$B124&lt;&gt;""),NOT(ISNUMBER('Plano de Ação'!$F124)),NOT(ISNUMBER('Plano de Ação'!$G124)),'Plano de Ação'!$J124="Cancelada"),0,IF(AND('Plano de Ação'!$F124&lt;=EOMONTH(DATE(ano_ref,7,1),0),'Plano de Ação'!$G124&gt;=DATE(ano_ref,7,1)),1,0))</f>
      </c>
      <c r="L125" s="41">
        <f>IF(OR(NOT('Plano de Ação'!$B124&lt;&gt;""),NOT(ISNUMBER('Plano de Ação'!$F124)),NOT(ISNUMBER('Plano de Ação'!$G124)),'Plano de Ação'!$J124="Cancelada"),0,IF(AND('Plano de Ação'!$F124&lt;=EOMONTH(DATE(ano_ref,8,1),0),'Plano de Ação'!$G124&gt;=DATE(ano_ref,8,1)),1,0))</f>
      </c>
      <c r="M125" s="41">
        <f>IF(OR(NOT('Plano de Ação'!$B124&lt;&gt;""),NOT(ISNUMBER('Plano de Ação'!$F124)),NOT(ISNUMBER('Plano de Ação'!$G124)),'Plano de Ação'!$J124="Cancelada"),0,IF(AND('Plano de Ação'!$F124&lt;=EOMONTH(DATE(ano_ref,9,1),0),'Plano de Ação'!$G124&gt;=DATE(ano_ref,9,1)),1,0))</f>
      </c>
      <c r="N125" s="41">
        <f>IF(OR(NOT('Plano de Ação'!$B124&lt;&gt;""),NOT(ISNUMBER('Plano de Ação'!$F124)),NOT(ISNUMBER('Plano de Ação'!$G124)),'Plano de Ação'!$J124="Cancelada"),0,IF(AND('Plano de Ação'!$F124&lt;=EOMONTH(DATE(ano_ref,10,1),0),'Plano de Ação'!$G124&gt;=DATE(ano_ref,10,1)),1,0))</f>
      </c>
      <c r="O125" s="41">
        <f>IF(OR(NOT('Plano de Ação'!$B124&lt;&gt;""),NOT(ISNUMBER('Plano de Ação'!$F124)),NOT(ISNUMBER('Plano de Ação'!$G124)),'Plano de Ação'!$J124="Cancelada"),0,IF(AND('Plano de Ação'!$F124&lt;=EOMONTH(DATE(ano_ref,11,1),0),'Plano de Ação'!$G124&gt;=DATE(ano_ref,11,1)),1,0))</f>
      </c>
      <c r="P125" s="41">
        <f>IF(OR(NOT('Plano de Ação'!$B124&lt;&gt;""),NOT(ISNUMBER('Plano de Ação'!$F124)),NOT(ISNUMBER('Plano de Ação'!$G124)),'Plano de Ação'!$J124="Cancelada"),0,IF(AND('Plano de Ação'!$F124&lt;=EOMONTH(DATE(ano_ref,12,1),0),'Plano de Ação'!$G124&gt;=DATE(ano_ref,12,1)),1,0))</f>
      </c>
    </row>
    <row r="126" spans="1:16" x14ac:dyDescent="0.25">
      <c r="A126" s="40">
        <f>IF('Plano de Ação'!$B125&lt;&gt;"",'Plano de Ação'!A125&amp;"","")</f>
      </c>
      <c r="B126" s="25">
        <f>IF('Plano de Ação'!$B125&lt;&gt;"",'Plano de Ação'!B125,"")</f>
      </c>
      <c r="C126" s="25">
        <f>IF('Plano de Ação'!$B125&lt;&gt;"",'Plano de Ação'!E125&amp;"","")</f>
      </c>
      <c r="D126" s="40">
        <f>IF('Plano de Ação'!$B125&lt;&gt;"",'Plano de Ação'!L125,"")</f>
      </c>
      <c r="E126" s="41">
        <f>IF(OR(NOT('Plano de Ação'!$B125&lt;&gt;""),NOT(ISNUMBER('Plano de Ação'!$F125)),NOT(ISNUMBER('Plano de Ação'!$G125)),'Plano de Ação'!$J125="Cancelada"),0,IF(AND('Plano de Ação'!$F125&lt;=EOMONTH(DATE(ano_ref,1,1),0),'Plano de Ação'!$G125&gt;=DATE(ano_ref,1,1)),1,0))</f>
      </c>
      <c r="F126" s="41">
        <f>IF(OR(NOT('Plano de Ação'!$B125&lt;&gt;""),NOT(ISNUMBER('Plano de Ação'!$F125)),NOT(ISNUMBER('Plano de Ação'!$G125)),'Plano de Ação'!$J125="Cancelada"),0,IF(AND('Plano de Ação'!$F125&lt;=EOMONTH(DATE(ano_ref,2,1),0),'Plano de Ação'!$G125&gt;=DATE(ano_ref,2,1)),1,0))</f>
      </c>
      <c r="G126" s="41">
        <f>IF(OR(NOT('Plano de Ação'!$B125&lt;&gt;""),NOT(ISNUMBER('Plano de Ação'!$F125)),NOT(ISNUMBER('Plano de Ação'!$G125)),'Plano de Ação'!$J125="Cancelada"),0,IF(AND('Plano de Ação'!$F125&lt;=EOMONTH(DATE(ano_ref,3,1),0),'Plano de Ação'!$G125&gt;=DATE(ano_ref,3,1)),1,0))</f>
      </c>
      <c r="H126" s="41">
        <f>IF(OR(NOT('Plano de Ação'!$B125&lt;&gt;""),NOT(ISNUMBER('Plano de Ação'!$F125)),NOT(ISNUMBER('Plano de Ação'!$G125)),'Plano de Ação'!$J125="Cancelada"),0,IF(AND('Plano de Ação'!$F125&lt;=EOMONTH(DATE(ano_ref,4,1),0),'Plano de Ação'!$G125&gt;=DATE(ano_ref,4,1)),1,0))</f>
      </c>
      <c r="I126" s="41">
        <f>IF(OR(NOT('Plano de Ação'!$B125&lt;&gt;""),NOT(ISNUMBER('Plano de Ação'!$F125)),NOT(ISNUMBER('Plano de Ação'!$G125)),'Plano de Ação'!$J125="Cancelada"),0,IF(AND('Plano de Ação'!$F125&lt;=EOMONTH(DATE(ano_ref,5,1),0),'Plano de Ação'!$G125&gt;=DATE(ano_ref,5,1)),1,0))</f>
      </c>
      <c r="J126" s="41">
        <f>IF(OR(NOT('Plano de Ação'!$B125&lt;&gt;""),NOT(ISNUMBER('Plano de Ação'!$F125)),NOT(ISNUMBER('Plano de Ação'!$G125)),'Plano de Ação'!$J125="Cancelada"),0,IF(AND('Plano de Ação'!$F125&lt;=EOMONTH(DATE(ano_ref,6,1),0),'Plano de Ação'!$G125&gt;=DATE(ano_ref,6,1)),1,0))</f>
      </c>
      <c r="K126" s="41">
        <f>IF(OR(NOT('Plano de Ação'!$B125&lt;&gt;""),NOT(ISNUMBER('Plano de Ação'!$F125)),NOT(ISNUMBER('Plano de Ação'!$G125)),'Plano de Ação'!$J125="Cancelada"),0,IF(AND('Plano de Ação'!$F125&lt;=EOMONTH(DATE(ano_ref,7,1),0),'Plano de Ação'!$G125&gt;=DATE(ano_ref,7,1)),1,0))</f>
      </c>
      <c r="L126" s="41">
        <f>IF(OR(NOT('Plano de Ação'!$B125&lt;&gt;""),NOT(ISNUMBER('Plano de Ação'!$F125)),NOT(ISNUMBER('Plano de Ação'!$G125)),'Plano de Ação'!$J125="Cancelada"),0,IF(AND('Plano de Ação'!$F125&lt;=EOMONTH(DATE(ano_ref,8,1),0),'Plano de Ação'!$G125&gt;=DATE(ano_ref,8,1)),1,0))</f>
      </c>
      <c r="M126" s="41">
        <f>IF(OR(NOT('Plano de Ação'!$B125&lt;&gt;""),NOT(ISNUMBER('Plano de Ação'!$F125)),NOT(ISNUMBER('Plano de Ação'!$G125)),'Plano de Ação'!$J125="Cancelada"),0,IF(AND('Plano de Ação'!$F125&lt;=EOMONTH(DATE(ano_ref,9,1),0),'Plano de Ação'!$G125&gt;=DATE(ano_ref,9,1)),1,0))</f>
      </c>
      <c r="N126" s="41">
        <f>IF(OR(NOT('Plano de Ação'!$B125&lt;&gt;""),NOT(ISNUMBER('Plano de Ação'!$F125)),NOT(ISNUMBER('Plano de Ação'!$G125)),'Plano de Ação'!$J125="Cancelada"),0,IF(AND('Plano de Ação'!$F125&lt;=EOMONTH(DATE(ano_ref,10,1),0),'Plano de Ação'!$G125&gt;=DATE(ano_ref,10,1)),1,0))</f>
      </c>
      <c r="O126" s="41">
        <f>IF(OR(NOT('Plano de Ação'!$B125&lt;&gt;""),NOT(ISNUMBER('Plano de Ação'!$F125)),NOT(ISNUMBER('Plano de Ação'!$G125)),'Plano de Ação'!$J125="Cancelada"),0,IF(AND('Plano de Ação'!$F125&lt;=EOMONTH(DATE(ano_ref,11,1),0),'Plano de Ação'!$G125&gt;=DATE(ano_ref,11,1)),1,0))</f>
      </c>
      <c r="P126" s="41">
        <f>IF(OR(NOT('Plano de Ação'!$B125&lt;&gt;""),NOT(ISNUMBER('Plano de Ação'!$F125)),NOT(ISNUMBER('Plano de Ação'!$G125)),'Plano de Ação'!$J125="Cancelada"),0,IF(AND('Plano de Ação'!$F125&lt;=EOMONTH(DATE(ano_ref,12,1),0),'Plano de Ação'!$G125&gt;=DATE(ano_ref,12,1)),1,0))</f>
      </c>
    </row>
    <row r="127" spans="1:16" x14ac:dyDescent="0.25">
      <c r="A127" s="40">
        <f>IF('Plano de Ação'!$B126&lt;&gt;"",'Plano de Ação'!A126&amp;"","")</f>
      </c>
      <c r="B127" s="25">
        <f>IF('Plano de Ação'!$B126&lt;&gt;"",'Plano de Ação'!B126,"")</f>
      </c>
      <c r="C127" s="25">
        <f>IF('Plano de Ação'!$B126&lt;&gt;"",'Plano de Ação'!E126&amp;"","")</f>
      </c>
      <c r="D127" s="40">
        <f>IF('Plano de Ação'!$B126&lt;&gt;"",'Plano de Ação'!L126,"")</f>
      </c>
      <c r="E127" s="41">
        <f>IF(OR(NOT('Plano de Ação'!$B126&lt;&gt;""),NOT(ISNUMBER('Plano de Ação'!$F126)),NOT(ISNUMBER('Plano de Ação'!$G126)),'Plano de Ação'!$J126="Cancelada"),0,IF(AND('Plano de Ação'!$F126&lt;=EOMONTH(DATE(ano_ref,1,1),0),'Plano de Ação'!$G126&gt;=DATE(ano_ref,1,1)),1,0))</f>
      </c>
      <c r="F127" s="41">
        <f>IF(OR(NOT('Plano de Ação'!$B126&lt;&gt;""),NOT(ISNUMBER('Plano de Ação'!$F126)),NOT(ISNUMBER('Plano de Ação'!$G126)),'Plano de Ação'!$J126="Cancelada"),0,IF(AND('Plano de Ação'!$F126&lt;=EOMONTH(DATE(ano_ref,2,1),0),'Plano de Ação'!$G126&gt;=DATE(ano_ref,2,1)),1,0))</f>
      </c>
      <c r="G127" s="41">
        <f>IF(OR(NOT('Plano de Ação'!$B126&lt;&gt;""),NOT(ISNUMBER('Plano de Ação'!$F126)),NOT(ISNUMBER('Plano de Ação'!$G126)),'Plano de Ação'!$J126="Cancelada"),0,IF(AND('Plano de Ação'!$F126&lt;=EOMONTH(DATE(ano_ref,3,1),0),'Plano de Ação'!$G126&gt;=DATE(ano_ref,3,1)),1,0))</f>
      </c>
      <c r="H127" s="41">
        <f>IF(OR(NOT('Plano de Ação'!$B126&lt;&gt;""),NOT(ISNUMBER('Plano de Ação'!$F126)),NOT(ISNUMBER('Plano de Ação'!$G126)),'Plano de Ação'!$J126="Cancelada"),0,IF(AND('Plano de Ação'!$F126&lt;=EOMONTH(DATE(ano_ref,4,1),0),'Plano de Ação'!$G126&gt;=DATE(ano_ref,4,1)),1,0))</f>
      </c>
      <c r="I127" s="41">
        <f>IF(OR(NOT('Plano de Ação'!$B126&lt;&gt;""),NOT(ISNUMBER('Plano de Ação'!$F126)),NOT(ISNUMBER('Plano de Ação'!$G126)),'Plano de Ação'!$J126="Cancelada"),0,IF(AND('Plano de Ação'!$F126&lt;=EOMONTH(DATE(ano_ref,5,1),0),'Plano de Ação'!$G126&gt;=DATE(ano_ref,5,1)),1,0))</f>
      </c>
      <c r="J127" s="41">
        <f>IF(OR(NOT('Plano de Ação'!$B126&lt;&gt;""),NOT(ISNUMBER('Plano de Ação'!$F126)),NOT(ISNUMBER('Plano de Ação'!$G126)),'Plano de Ação'!$J126="Cancelada"),0,IF(AND('Plano de Ação'!$F126&lt;=EOMONTH(DATE(ano_ref,6,1),0),'Plano de Ação'!$G126&gt;=DATE(ano_ref,6,1)),1,0))</f>
      </c>
      <c r="K127" s="41">
        <f>IF(OR(NOT('Plano de Ação'!$B126&lt;&gt;""),NOT(ISNUMBER('Plano de Ação'!$F126)),NOT(ISNUMBER('Plano de Ação'!$G126)),'Plano de Ação'!$J126="Cancelada"),0,IF(AND('Plano de Ação'!$F126&lt;=EOMONTH(DATE(ano_ref,7,1),0),'Plano de Ação'!$G126&gt;=DATE(ano_ref,7,1)),1,0))</f>
      </c>
      <c r="L127" s="41">
        <f>IF(OR(NOT('Plano de Ação'!$B126&lt;&gt;""),NOT(ISNUMBER('Plano de Ação'!$F126)),NOT(ISNUMBER('Plano de Ação'!$G126)),'Plano de Ação'!$J126="Cancelada"),0,IF(AND('Plano de Ação'!$F126&lt;=EOMONTH(DATE(ano_ref,8,1),0),'Plano de Ação'!$G126&gt;=DATE(ano_ref,8,1)),1,0))</f>
      </c>
      <c r="M127" s="41">
        <f>IF(OR(NOT('Plano de Ação'!$B126&lt;&gt;""),NOT(ISNUMBER('Plano de Ação'!$F126)),NOT(ISNUMBER('Plano de Ação'!$G126)),'Plano de Ação'!$J126="Cancelada"),0,IF(AND('Plano de Ação'!$F126&lt;=EOMONTH(DATE(ano_ref,9,1),0),'Plano de Ação'!$G126&gt;=DATE(ano_ref,9,1)),1,0))</f>
      </c>
      <c r="N127" s="41">
        <f>IF(OR(NOT('Plano de Ação'!$B126&lt;&gt;""),NOT(ISNUMBER('Plano de Ação'!$F126)),NOT(ISNUMBER('Plano de Ação'!$G126)),'Plano de Ação'!$J126="Cancelada"),0,IF(AND('Plano de Ação'!$F126&lt;=EOMONTH(DATE(ano_ref,10,1),0),'Plano de Ação'!$G126&gt;=DATE(ano_ref,10,1)),1,0))</f>
      </c>
      <c r="O127" s="41">
        <f>IF(OR(NOT('Plano de Ação'!$B126&lt;&gt;""),NOT(ISNUMBER('Plano de Ação'!$F126)),NOT(ISNUMBER('Plano de Ação'!$G126)),'Plano de Ação'!$J126="Cancelada"),0,IF(AND('Plano de Ação'!$F126&lt;=EOMONTH(DATE(ano_ref,11,1),0),'Plano de Ação'!$G126&gt;=DATE(ano_ref,11,1)),1,0))</f>
      </c>
      <c r="P127" s="41">
        <f>IF(OR(NOT('Plano de Ação'!$B126&lt;&gt;""),NOT(ISNUMBER('Plano de Ação'!$F126)),NOT(ISNUMBER('Plano de Ação'!$G126)),'Plano de Ação'!$J126="Cancelada"),0,IF(AND('Plano de Ação'!$F126&lt;=EOMONTH(DATE(ano_ref,12,1),0),'Plano de Ação'!$G126&gt;=DATE(ano_ref,12,1)),1,0))</f>
      </c>
    </row>
    <row r="128" spans="1:16" x14ac:dyDescent="0.25">
      <c r="A128" s="40">
        <f>IF('Plano de Ação'!$B127&lt;&gt;"",'Plano de Ação'!A127&amp;"","")</f>
      </c>
      <c r="B128" s="25">
        <f>IF('Plano de Ação'!$B127&lt;&gt;"",'Plano de Ação'!B127,"")</f>
      </c>
      <c r="C128" s="25">
        <f>IF('Plano de Ação'!$B127&lt;&gt;"",'Plano de Ação'!E127&amp;"","")</f>
      </c>
      <c r="D128" s="40">
        <f>IF('Plano de Ação'!$B127&lt;&gt;"",'Plano de Ação'!L127,"")</f>
      </c>
      <c r="E128" s="41">
        <f>IF(OR(NOT('Plano de Ação'!$B127&lt;&gt;""),NOT(ISNUMBER('Plano de Ação'!$F127)),NOT(ISNUMBER('Plano de Ação'!$G127)),'Plano de Ação'!$J127="Cancelada"),0,IF(AND('Plano de Ação'!$F127&lt;=EOMONTH(DATE(ano_ref,1,1),0),'Plano de Ação'!$G127&gt;=DATE(ano_ref,1,1)),1,0))</f>
      </c>
      <c r="F128" s="41">
        <f>IF(OR(NOT('Plano de Ação'!$B127&lt;&gt;""),NOT(ISNUMBER('Plano de Ação'!$F127)),NOT(ISNUMBER('Plano de Ação'!$G127)),'Plano de Ação'!$J127="Cancelada"),0,IF(AND('Plano de Ação'!$F127&lt;=EOMONTH(DATE(ano_ref,2,1),0),'Plano de Ação'!$G127&gt;=DATE(ano_ref,2,1)),1,0))</f>
      </c>
      <c r="G128" s="41">
        <f>IF(OR(NOT('Plano de Ação'!$B127&lt;&gt;""),NOT(ISNUMBER('Plano de Ação'!$F127)),NOT(ISNUMBER('Plano de Ação'!$G127)),'Plano de Ação'!$J127="Cancelada"),0,IF(AND('Plano de Ação'!$F127&lt;=EOMONTH(DATE(ano_ref,3,1),0),'Plano de Ação'!$G127&gt;=DATE(ano_ref,3,1)),1,0))</f>
      </c>
      <c r="H128" s="41">
        <f>IF(OR(NOT('Plano de Ação'!$B127&lt;&gt;""),NOT(ISNUMBER('Plano de Ação'!$F127)),NOT(ISNUMBER('Plano de Ação'!$G127)),'Plano de Ação'!$J127="Cancelada"),0,IF(AND('Plano de Ação'!$F127&lt;=EOMONTH(DATE(ano_ref,4,1),0),'Plano de Ação'!$G127&gt;=DATE(ano_ref,4,1)),1,0))</f>
      </c>
      <c r="I128" s="41">
        <f>IF(OR(NOT('Plano de Ação'!$B127&lt;&gt;""),NOT(ISNUMBER('Plano de Ação'!$F127)),NOT(ISNUMBER('Plano de Ação'!$G127)),'Plano de Ação'!$J127="Cancelada"),0,IF(AND('Plano de Ação'!$F127&lt;=EOMONTH(DATE(ano_ref,5,1),0),'Plano de Ação'!$G127&gt;=DATE(ano_ref,5,1)),1,0))</f>
      </c>
      <c r="J128" s="41">
        <f>IF(OR(NOT('Plano de Ação'!$B127&lt;&gt;""),NOT(ISNUMBER('Plano de Ação'!$F127)),NOT(ISNUMBER('Plano de Ação'!$G127)),'Plano de Ação'!$J127="Cancelada"),0,IF(AND('Plano de Ação'!$F127&lt;=EOMONTH(DATE(ano_ref,6,1),0),'Plano de Ação'!$G127&gt;=DATE(ano_ref,6,1)),1,0))</f>
      </c>
      <c r="K128" s="41">
        <f>IF(OR(NOT('Plano de Ação'!$B127&lt;&gt;""),NOT(ISNUMBER('Plano de Ação'!$F127)),NOT(ISNUMBER('Plano de Ação'!$G127)),'Plano de Ação'!$J127="Cancelada"),0,IF(AND('Plano de Ação'!$F127&lt;=EOMONTH(DATE(ano_ref,7,1),0),'Plano de Ação'!$G127&gt;=DATE(ano_ref,7,1)),1,0))</f>
      </c>
      <c r="L128" s="41">
        <f>IF(OR(NOT('Plano de Ação'!$B127&lt;&gt;""),NOT(ISNUMBER('Plano de Ação'!$F127)),NOT(ISNUMBER('Plano de Ação'!$G127)),'Plano de Ação'!$J127="Cancelada"),0,IF(AND('Plano de Ação'!$F127&lt;=EOMONTH(DATE(ano_ref,8,1),0),'Plano de Ação'!$G127&gt;=DATE(ano_ref,8,1)),1,0))</f>
      </c>
      <c r="M128" s="41">
        <f>IF(OR(NOT('Plano de Ação'!$B127&lt;&gt;""),NOT(ISNUMBER('Plano de Ação'!$F127)),NOT(ISNUMBER('Plano de Ação'!$G127)),'Plano de Ação'!$J127="Cancelada"),0,IF(AND('Plano de Ação'!$F127&lt;=EOMONTH(DATE(ano_ref,9,1),0),'Plano de Ação'!$G127&gt;=DATE(ano_ref,9,1)),1,0))</f>
      </c>
      <c r="N128" s="41">
        <f>IF(OR(NOT('Plano de Ação'!$B127&lt;&gt;""),NOT(ISNUMBER('Plano de Ação'!$F127)),NOT(ISNUMBER('Plano de Ação'!$G127)),'Plano de Ação'!$J127="Cancelada"),0,IF(AND('Plano de Ação'!$F127&lt;=EOMONTH(DATE(ano_ref,10,1),0),'Plano de Ação'!$G127&gt;=DATE(ano_ref,10,1)),1,0))</f>
      </c>
      <c r="O128" s="41">
        <f>IF(OR(NOT('Plano de Ação'!$B127&lt;&gt;""),NOT(ISNUMBER('Plano de Ação'!$F127)),NOT(ISNUMBER('Plano de Ação'!$G127)),'Plano de Ação'!$J127="Cancelada"),0,IF(AND('Plano de Ação'!$F127&lt;=EOMONTH(DATE(ano_ref,11,1),0),'Plano de Ação'!$G127&gt;=DATE(ano_ref,11,1)),1,0))</f>
      </c>
      <c r="P128" s="41">
        <f>IF(OR(NOT('Plano de Ação'!$B127&lt;&gt;""),NOT(ISNUMBER('Plano de Ação'!$F127)),NOT(ISNUMBER('Plano de Ação'!$G127)),'Plano de Ação'!$J127="Cancelada"),0,IF(AND('Plano de Ação'!$F127&lt;=EOMONTH(DATE(ano_ref,12,1),0),'Plano de Ação'!$G127&gt;=DATE(ano_ref,12,1)),1,0))</f>
      </c>
    </row>
    <row r="129" spans="1:16" x14ac:dyDescent="0.25">
      <c r="A129" s="40">
        <f>IF('Plano de Ação'!$B128&lt;&gt;"",'Plano de Ação'!A128&amp;"","")</f>
      </c>
      <c r="B129" s="25">
        <f>IF('Plano de Ação'!$B128&lt;&gt;"",'Plano de Ação'!B128,"")</f>
      </c>
      <c r="C129" s="25">
        <f>IF('Plano de Ação'!$B128&lt;&gt;"",'Plano de Ação'!E128&amp;"","")</f>
      </c>
      <c r="D129" s="40">
        <f>IF('Plano de Ação'!$B128&lt;&gt;"",'Plano de Ação'!L128,"")</f>
      </c>
      <c r="E129" s="41">
        <f>IF(OR(NOT('Plano de Ação'!$B128&lt;&gt;""),NOT(ISNUMBER('Plano de Ação'!$F128)),NOT(ISNUMBER('Plano de Ação'!$G128)),'Plano de Ação'!$J128="Cancelada"),0,IF(AND('Plano de Ação'!$F128&lt;=EOMONTH(DATE(ano_ref,1,1),0),'Plano de Ação'!$G128&gt;=DATE(ano_ref,1,1)),1,0))</f>
      </c>
      <c r="F129" s="41">
        <f>IF(OR(NOT('Plano de Ação'!$B128&lt;&gt;""),NOT(ISNUMBER('Plano de Ação'!$F128)),NOT(ISNUMBER('Plano de Ação'!$G128)),'Plano de Ação'!$J128="Cancelada"),0,IF(AND('Plano de Ação'!$F128&lt;=EOMONTH(DATE(ano_ref,2,1),0),'Plano de Ação'!$G128&gt;=DATE(ano_ref,2,1)),1,0))</f>
      </c>
      <c r="G129" s="41">
        <f>IF(OR(NOT('Plano de Ação'!$B128&lt;&gt;""),NOT(ISNUMBER('Plano de Ação'!$F128)),NOT(ISNUMBER('Plano de Ação'!$G128)),'Plano de Ação'!$J128="Cancelada"),0,IF(AND('Plano de Ação'!$F128&lt;=EOMONTH(DATE(ano_ref,3,1),0),'Plano de Ação'!$G128&gt;=DATE(ano_ref,3,1)),1,0))</f>
      </c>
      <c r="H129" s="41">
        <f>IF(OR(NOT('Plano de Ação'!$B128&lt;&gt;""),NOT(ISNUMBER('Plano de Ação'!$F128)),NOT(ISNUMBER('Plano de Ação'!$G128)),'Plano de Ação'!$J128="Cancelada"),0,IF(AND('Plano de Ação'!$F128&lt;=EOMONTH(DATE(ano_ref,4,1),0),'Plano de Ação'!$G128&gt;=DATE(ano_ref,4,1)),1,0))</f>
      </c>
      <c r="I129" s="41">
        <f>IF(OR(NOT('Plano de Ação'!$B128&lt;&gt;""),NOT(ISNUMBER('Plano de Ação'!$F128)),NOT(ISNUMBER('Plano de Ação'!$G128)),'Plano de Ação'!$J128="Cancelada"),0,IF(AND('Plano de Ação'!$F128&lt;=EOMONTH(DATE(ano_ref,5,1),0),'Plano de Ação'!$G128&gt;=DATE(ano_ref,5,1)),1,0))</f>
      </c>
      <c r="J129" s="41">
        <f>IF(OR(NOT('Plano de Ação'!$B128&lt;&gt;""),NOT(ISNUMBER('Plano de Ação'!$F128)),NOT(ISNUMBER('Plano de Ação'!$G128)),'Plano de Ação'!$J128="Cancelada"),0,IF(AND('Plano de Ação'!$F128&lt;=EOMONTH(DATE(ano_ref,6,1),0),'Plano de Ação'!$G128&gt;=DATE(ano_ref,6,1)),1,0))</f>
      </c>
      <c r="K129" s="41">
        <f>IF(OR(NOT('Plano de Ação'!$B128&lt;&gt;""),NOT(ISNUMBER('Plano de Ação'!$F128)),NOT(ISNUMBER('Plano de Ação'!$G128)),'Plano de Ação'!$J128="Cancelada"),0,IF(AND('Plano de Ação'!$F128&lt;=EOMONTH(DATE(ano_ref,7,1),0),'Plano de Ação'!$G128&gt;=DATE(ano_ref,7,1)),1,0))</f>
      </c>
      <c r="L129" s="41">
        <f>IF(OR(NOT('Plano de Ação'!$B128&lt;&gt;""),NOT(ISNUMBER('Plano de Ação'!$F128)),NOT(ISNUMBER('Plano de Ação'!$G128)),'Plano de Ação'!$J128="Cancelada"),0,IF(AND('Plano de Ação'!$F128&lt;=EOMONTH(DATE(ano_ref,8,1),0),'Plano de Ação'!$G128&gt;=DATE(ano_ref,8,1)),1,0))</f>
      </c>
      <c r="M129" s="41">
        <f>IF(OR(NOT('Plano de Ação'!$B128&lt;&gt;""),NOT(ISNUMBER('Plano de Ação'!$F128)),NOT(ISNUMBER('Plano de Ação'!$G128)),'Plano de Ação'!$J128="Cancelada"),0,IF(AND('Plano de Ação'!$F128&lt;=EOMONTH(DATE(ano_ref,9,1),0),'Plano de Ação'!$G128&gt;=DATE(ano_ref,9,1)),1,0))</f>
      </c>
      <c r="N129" s="41">
        <f>IF(OR(NOT('Plano de Ação'!$B128&lt;&gt;""),NOT(ISNUMBER('Plano de Ação'!$F128)),NOT(ISNUMBER('Plano de Ação'!$G128)),'Plano de Ação'!$J128="Cancelada"),0,IF(AND('Plano de Ação'!$F128&lt;=EOMONTH(DATE(ano_ref,10,1),0),'Plano de Ação'!$G128&gt;=DATE(ano_ref,10,1)),1,0))</f>
      </c>
      <c r="O129" s="41">
        <f>IF(OR(NOT('Plano de Ação'!$B128&lt;&gt;""),NOT(ISNUMBER('Plano de Ação'!$F128)),NOT(ISNUMBER('Plano de Ação'!$G128)),'Plano de Ação'!$J128="Cancelada"),0,IF(AND('Plano de Ação'!$F128&lt;=EOMONTH(DATE(ano_ref,11,1),0),'Plano de Ação'!$G128&gt;=DATE(ano_ref,11,1)),1,0))</f>
      </c>
      <c r="P129" s="41">
        <f>IF(OR(NOT('Plano de Ação'!$B128&lt;&gt;""),NOT(ISNUMBER('Plano de Ação'!$F128)),NOT(ISNUMBER('Plano de Ação'!$G128)),'Plano de Ação'!$J128="Cancelada"),0,IF(AND('Plano de Ação'!$F128&lt;=EOMONTH(DATE(ano_ref,12,1),0),'Plano de Ação'!$G128&gt;=DATE(ano_ref,12,1)),1,0))</f>
      </c>
    </row>
    <row r="130" spans="1:16" x14ac:dyDescent="0.25">
      <c r="A130" s="40">
        <f>IF('Plano de Ação'!$B129&lt;&gt;"",'Plano de Ação'!A129&amp;"","")</f>
      </c>
      <c r="B130" s="25">
        <f>IF('Plano de Ação'!$B129&lt;&gt;"",'Plano de Ação'!B129,"")</f>
      </c>
      <c r="C130" s="25">
        <f>IF('Plano de Ação'!$B129&lt;&gt;"",'Plano de Ação'!E129&amp;"","")</f>
      </c>
      <c r="D130" s="40">
        <f>IF('Plano de Ação'!$B129&lt;&gt;"",'Plano de Ação'!L129,"")</f>
      </c>
      <c r="E130" s="41">
        <f>IF(OR(NOT('Plano de Ação'!$B129&lt;&gt;""),NOT(ISNUMBER('Plano de Ação'!$F129)),NOT(ISNUMBER('Plano de Ação'!$G129)),'Plano de Ação'!$J129="Cancelada"),0,IF(AND('Plano de Ação'!$F129&lt;=EOMONTH(DATE(ano_ref,1,1),0),'Plano de Ação'!$G129&gt;=DATE(ano_ref,1,1)),1,0))</f>
      </c>
      <c r="F130" s="41">
        <f>IF(OR(NOT('Plano de Ação'!$B129&lt;&gt;""),NOT(ISNUMBER('Plano de Ação'!$F129)),NOT(ISNUMBER('Plano de Ação'!$G129)),'Plano de Ação'!$J129="Cancelada"),0,IF(AND('Plano de Ação'!$F129&lt;=EOMONTH(DATE(ano_ref,2,1),0),'Plano de Ação'!$G129&gt;=DATE(ano_ref,2,1)),1,0))</f>
      </c>
      <c r="G130" s="41">
        <f>IF(OR(NOT('Plano de Ação'!$B129&lt;&gt;""),NOT(ISNUMBER('Plano de Ação'!$F129)),NOT(ISNUMBER('Plano de Ação'!$G129)),'Plano de Ação'!$J129="Cancelada"),0,IF(AND('Plano de Ação'!$F129&lt;=EOMONTH(DATE(ano_ref,3,1),0),'Plano de Ação'!$G129&gt;=DATE(ano_ref,3,1)),1,0))</f>
      </c>
      <c r="H130" s="41">
        <f>IF(OR(NOT('Plano de Ação'!$B129&lt;&gt;""),NOT(ISNUMBER('Plano de Ação'!$F129)),NOT(ISNUMBER('Plano de Ação'!$G129)),'Plano de Ação'!$J129="Cancelada"),0,IF(AND('Plano de Ação'!$F129&lt;=EOMONTH(DATE(ano_ref,4,1),0),'Plano de Ação'!$G129&gt;=DATE(ano_ref,4,1)),1,0))</f>
      </c>
      <c r="I130" s="41">
        <f>IF(OR(NOT('Plano de Ação'!$B129&lt;&gt;""),NOT(ISNUMBER('Plano de Ação'!$F129)),NOT(ISNUMBER('Plano de Ação'!$G129)),'Plano de Ação'!$J129="Cancelada"),0,IF(AND('Plano de Ação'!$F129&lt;=EOMONTH(DATE(ano_ref,5,1),0),'Plano de Ação'!$G129&gt;=DATE(ano_ref,5,1)),1,0))</f>
      </c>
      <c r="J130" s="41">
        <f>IF(OR(NOT('Plano de Ação'!$B129&lt;&gt;""),NOT(ISNUMBER('Plano de Ação'!$F129)),NOT(ISNUMBER('Plano de Ação'!$G129)),'Plano de Ação'!$J129="Cancelada"),0,IF(AND('Plano de Ação'!$F129&lt;=EOMONTH(DATE(ano_ref,6,1),0),'Plano de Ação'!$G129&gt;=DATE(ano_ref,6,1)),1,0))</f>
      </c>
      <c r="K130" s="41">
        <f>IF(OR(NOT('Plano de Ação'!$B129&lt;&gt;""),NOT(ISNUMBER('Plano de Ação'!$F129)),NOT(ISNUMBER('Plano de Ação'!$G129)),'Plano de Ação'!$J129="Cancelada"),0,IF(AND('Plano de Ação'!$F129&lt;=EOMONTH(DATE(ano_ref,7,1),0),'Plano de Ação'!$G129&gt;=DATE(ano_ref,7,1)),1,0))</f>
      </c>
      <c r="L130" s="41">
        <f>IF(OR(NOT('Plano de Ação'!$B129&lt;&gt;""),NOT(ISNUMBER('Plano de Ação'!$F129)),NOT(ISNUMBER('Plano de Ação'!$G129)),'Plano de Ação'!$J129="Cancelada"),0,IF(AND('Plano de Ação'!$F129&lt;=EOMONTH(DATE(ano_ref,8,1),0),'Plano de Ação'!$G129&gt;=DATE(ano_ref,8,1)),1,0))</f>
      </c>
      <c r="M130" s="41">
        <f>IF(OR(NOT('Plano de Ação'!$B129&lt;&gt;""),NOT(ISNUMBER('Plano de Ação'!$F129)),NOT(ISNUMBER('Plano de Ação'!$G129)),'Plano de Ação'!$J129="Cancelada"),0,IF(AND('Plano de Ação'!$F129&lt;=EOMONTH(DATE(ano_ref,9,1),0),'Plano de Ação'!$G129&gt;=DATE(ano_ref,9,1)),1,0))</f>
      </c>
      <c r="N130" s="41">
        <f>IF(OR(NOT('Plano de Ação'!$B129&lt;&gt;""),NOT(ISNUMBER('Plano de Ação'!$F129)),NOT(ISNUMBER('Plano de Ação'!$G129)),'Plano de Ação'!$J129="Cancelada"),0,IF(AND('Plano de Ação'!$F129&lt;=EOMONTH(DATE(ano_ref,10,1),0),'Plano de Ação'!$G129&gt;=DATE(ano_ref,10,1)),1,0))</f>
      </c>
      <c r="O130" s="41">
        <f>IF(OR(NOT('Plano de Ação'!$B129&lt;&gt;""),NOT(ISNUMBER('Plano de Ação'!$F129)),NOT(ISNUMBER('Plano de Ação'!$G129)),'Plano de Ação'!$J129="Cancelada"),0,IF(AND('Plano de Ação'!$F129&lt;=EOMONTH(DATE(ano_ref,11,1),0),'Plano de Ação'!$G129&gt;=DATE(ano_ref,11,1)),1,0))</f>
      </c>
      <c r="P130" s="41">
        <f>IF(OR(NOT('Plano de Ação'!$B129&lt;&gt;""),NOT(ISNUMBER('Plano de Ação'!$F129)),NOT(ISNUMBER('Plano de Ação'!$G129)),'Plano de Ação'!$J129="Cancelada"),0,IF(AND('Plano de Ação'!$F129&lt;=EOMONTH(DATE(ano_ref,12,1),0),'Plano de Ação'!$G129&gt;=DATE(ano_ref,12,1)),1,0))</f>
      </c>
    </row>
    <row r="131" spans="1:16" x14ac:dyDescent="0.25">
      <c r="A131" s="40">
        <f>IF('Plano de Ação'!$B130&lt;&gt;"",'Plano de Ação'!A130&amp;"","")</f>
      </c>
      <c r="B131" s="25">
        <f>IF('Plano de Ação'!$B130&lt;&gt;"",'Plano de Ação'!B130,"")</f>
      </c>
      <c r="C131" s="25">
        <f>IF('Plano de Ação'!$B130&lt;&gt;"",'Plano de Ação'!E130&amp;"","")</f>
      </c>
      <c r="D131" s="40">
        <f>IF('Plano de Ação'!$B130&lt;&gt;"",'Plano de Ação'!L130,"")</f>
      </c>
      <c r="E131" s="41">
        <f>IF(OR(NOT('Plano de Ação'!$B130&lt;&gt;""),NOT(ISNUMBER('Plano de Ação'!$F130)),NOT(ISNUMBER('Plano de Ação'!$G130)),'Plano de Ação'!$J130="Cancelada"),0,IF(AND('Plano de Ação'!$F130&lt;=EOMONTH(DATE(ano_ref,1,1),0),'Plano de Ação'!$G130&gt;=DATE(ano_ref,1,1)),1,0))</f>
      </c>
      <c r="F131" s="41">
        <f>IF(OR(NOT('Plano de Ação'!$B130&lt;&gt;""),NOT(ISNUMBER('Plano de Ação'!$F130)),NOT(ISNUMBER('Plano de Ação'!$G130)),'Plano de Ação'!$J130="Cancelada"),0,IF(AND('Plano de Ação'!$F130&lt;=EOMONTH(DATE(ano_ref,2,1),0),'Plano de Ação'!$G130&gt;=DATE(ano_ref,2,1)),1,0))</f>
      </c>
      <c r="G131" s="41">
        <f>IF(OR(NOT('Plano de Ação'!$B130&lt;&gt;""),NOT(ISNUMBER('Plano de Ação'!$F130)),NOT(ISNUMBER('Plano de Ação'!$G130)),'Plano de Ação'!$J130="Cancelada"),0,IF(AND('Plano de Ação'!$F130&lt;=EOMONTH(DATE(ano_ref,3,1),0),'Plano de Ação'!$G130&gt;=DATE(ano_ref,3,1)),1,0))</f>
      </c>
      <c r="H131" s="41">
        <f>IF(OR(NOT('Plano de Ação'!$B130&lt;&gt;""),NOT(ISNUMBER('Plano de Ação'!$F130)),NOT(ISNUMBER('Plano de Ação'!$G130)),'Plano de Ação'!$J130="Cancelada"),0,IF(AND('Plano de Ação'!$F130&lt;=EOMONTH(DATE(ano_ref,4,1),0),'Plano de Ação'!$G130&gt;=DATE(ano_ref,4,1)),1,0))</f>
      </c>
      <c r="I131" s="41">
        <f>IF(OR(NOT('Plano de Ação'!$B130&lt;&gt;""),NOT(ISNUMBER('Plano de Ação'!$F130)),NOT(ISNUMBER('Plano de Ação'!$G130)),'Plano de Ação'!$J130="Cancelada"),0,IF(AND('Plano de Ação'!$F130&lt;=EOMONTH(DATE(ano_ref,5,1),0),'Plano de Ação'!$G130&gt;=DATE(ano_ref,5,1)),1,0))</f>
      </c>
      <c r="J131" s="41">
        <f>IF(OR(NOT('Plano de Ação'!$B130&lt;&gt;""),NOT(ISNUMBER('Plano de Ação'!$F130)),NOT(ISNUMBER('Plano de Ação'!$G130)),'Plano de Ação'!$J130="Cancelada"),0,IF(AND('Plano de Ação'!$F130&lt;=EOMONTH(DATE(ano_ref,6,1),0),'Plano de Ação'!$G130&gt;=DATE(ano_ref,6,1)),1,0))</f>
      </c>
      <c r="K131" s="41">
        <f>IF(OR(NOT('Plano de Ação'!$B130&lt;&gt;""),NOT(ISNUMBER('Plano de Ação'!$F130)),NOT(ISNUMBER('Plano de Ação'!$G130)),'Plano de Ação'!$J130="Cancelada"),0,IF(AND('Plano de Ação'!$F130&lt;=EOMONTH(DATE(ano_ref,7,1),0),'Plano de Ação'!$G130&gt;=DATE(ano_ref,7,1)),1,0))</f>
      </c>
      <c r="L131" s="41">
        <f>IF(OR(NOT('Plano de Ação'!$B130&lt;&gt;""),NOT(ISNUMBER('Plano de Ação'!$F130)),NOT(ISNUMBER('Plano de Ação'!$G130)),'Plano de Ação'!$J130="Cancelada"),0,IF(AND('Plano de Ação'!$F130&lt;=EOMONTH(DATE(ano_ref,8,1),0),'Plano de Ação'!$G130&gt;=DATE(ano_ref,8,1)),1,0))</f>
      </c>
      <c r="M131" s="41">
        <f>IF(OR(NOT('Plano de Ação'!$B130&lt;&gt;""),NOT(ISNUMBER('Plano de Ação'!$F130)),NOT(ISNUMBER('Plano de Ação'!$G130)),'Plano de Ação'!$J130="Cancelada"),0,IF(AND('Plano de Ação'!$F130&lt;=EOMONTH(DATE(ano_ref,9,1),0),'Plano de Ação'!$G130&gt;=DATE(ano_ref,9,1)),1,0))</f>
      </c>
      <c r="N131" s="41">
        <f>IF(OR(NOT('Plano de Ação'!$B130&lt;&gt;""),NOT(ISNUMBER('Plano de Ação'!$F130)),NOT(ISNUMBER('Plano de Ação'!$G130)),'Plano de Ação'!$J130="Cancelada"),0,IF(AND('Plano de Ação'!$F130&lt;=EOMONTH(DATE(ano_ref,10,1),0),'Plano de Ação'!$G130&gt;=DATE(ano_ref,10,1)),1,0))</f>
      </c>
      <c r="O131" s="41">
        <f>IF(OR(NOT('Plano de Ação'!$B130&lt;&gt;""),NOT(ISNUMBER('Plano de Ação'!$F130)),NOT(ISNUMBER('Plano de Ação'!$G130)),'Plano de Ação'!$J130="Cancelada"),0,IF(AND('Plano de Ação'!$F130&lt;=EOMONTH(DATE(ano_ref,11,1),0),'Plano de Ação'!$G130&gt;=DATE(ano_ref,11,1)),1,0))</f>
      </c>
      <c r="P131" s="41">
        <f>IF(OR(NOT('Plano de Ação'!$B130&lt;&gt;""),NOT(ISNUMBER('Plano de Ação'!$F130)),NOT(ISNUMBER('Plano de Ação'!$G130)),'Plano de Ação'!$J130="Cancelada"),0,IF(AND('Plano de Ação'!$F130&lt;=EOMONTH(DATE(ano_ref,12,1),0),'Plano de Ação'!$G130&gt;=DATE(ano_ref,12,1)),1,0))</f>
      </c>
    </row>
    <row r="132" spans="1:16" x14ac:dyDescent="0.25">
      <c r="A132" s="40">
        <f>IF('Plano de Ação'!$B131&lt;&gt;"",'Plano de Ação'!A131&amp;"","")</f>
      </c>
      <c r="B132" s="25">
        <f>IF('Plano de Ação'!$B131&lt;&gt;"",'Plano de Ação'!B131,"")</f>
      </c>
      <c r="C132" s="25">
        <f>IF('Plano de Ação'!$B131&lt;&gt;"",'Plano de Ação'!E131&amp;"","")</f>
      </c>
      <c r="D132" s="40">
        <f>IF('Plano de Ação'!$B131&lt;&gt;"",'Plano de Ação'!L131,"")</f>
      </c>
      <c r="E132" s="41">
        <f>IF(OR(NOT('Plano de Ação'!$B131&lt;&gt;""),NOT(ISNUMBER('Plano de Ação'!$F131)),NOT(ISNUMBER('Plano de Ação'!$G131)),'Plano de Ação'!$J131="Cancelada"),0,IF(AND('Plano de Ação'!$F131&lt;=EOMONTH(DATE(ano_ref,1,1),0),'Plano de Ação'!$G131&gt;=DATE(ano_ref,1,1)),1,0))</f>
      </c>
      <c r="F132" s="41">
        <f>IF(OR(NOT('Plano de Ação'!$B131&lt;&gt;""),NOT(ISNUMBER('Plano de Ação'!$F131)),NOT(ISNUMBER('Plano de Ação'!$G131)),'Plano de Ação'!$J131="Cancelada"),0,IF(AND('Plano de Ação'!$F131&lt;=EOMONTH(DATE(ano_ref,2,1),0),'Plano de Ação'!$G131&gt;=DATE(ano_ref,2,1)),1,0))</f>
      </c>
      <c r="G132" s="41">
        <f>IF(OR(NOT('Plano de Ação'!$B131&lt;&gt;""),NOT(ISNUMBER('Plano de Ação'!$F131)),NOT(ISNUMBER('Plano de Ação'!$G131)),'Plano de Ação'!$J131="Cancelada"),0,IF(AND('Plano de Ação'!$F131&lt;=EOMONTH(DATE(ano_ref,3,1),0),'Plano de Ação'!$G131&gt;=DATE(ano_ref,3,1)),1,0))</f>
      </c>
      <c r="H132" s="41">
        <f>IF(OR(NOT('Plano de Ação'!$B131&lt;&gt;""),NOT(ISNUMBER('Plano de Ação'!$F131)),NOT(ISNUMBER('Plano de Ação'!$G131)),'Plano de Ação'!$J131="Cancelada"),0,IF(AND('Plano de Ação'!$F131&lt;=EOMONTH(DATE(ano_ref,4,1),0),'Plano de Ação'!$G131&gt;=DATE(ano_ref,4,1)),1,0))</f>
      </c>
      <c r="I132" s="41">
        <f>IF(OR(NOT('Plano de Ação'!$B131&lt;&gt;""),NOT(ISNUMBER('Plano de Ação'!$F131)),NOT(ISNUMBER('Plano de Ação'!$G131)),'Plano de Ação'!$J131="Cancelada"),0,IF(AND('Plano de Ação'!$F131&lt;=EOMONTH(DATE(ano_ref,5,1),0),'Plano de Ação'!$G131&gt;=DATE(ano_ref,5,1)),1,0))</f>
      </c>
      <c r="J132" s="41">
        <f>IF(OR(NOT('Plano de Ação'!$B131&lt;&gt;""),NOT(ISNUMBER('Plano de Ação'!$F131)),NOT(ISNUMBER('Plano de Ação'!$G131)),'Plano de Ação'!$J131="Cancelada"),0,IF(AND('Plano de Ação'!$F131&lt;=EOMONTH(DATE(ano_ref,6,1),0),'Plano de Ação'!$G131&gt;=DATE(ano_ref,6,1)),1,0))</f>
      </c>
      <c r="K132" s="41">
        <f>IF(OR(NOT('Plano de Ação'!$B131&lt;&gt;""),NOT(ISNUMBER('Plano de Ação'!$F131)),NOT(ISNUMBER('Plano de Ação'!$G131)),'Plano de Ação'!$J131="Cancelada"),0,IF(AND('Plano de Ação'!$F131&lt;=EOMONTH(DATE(ano_ref,7,1),0),'Plano de Ação'!$G131&gt;=DATE(ano_ref,7,1)),1,0))</f>
      </c>
      <c r="L132" s="41">
        <f>IF(OR(NOT('Plano de Ação'!$B131&lt;&gt;""),NOT(ISNUMBER('Plano de Ação'!$F131)),NOT(ISNUMBER('Plano de Ação'!$G131)),'Plano de Ação'!$J131="Cancelada"),0,IF(AND('Plano de Ação'!$F131&lt;=EOMONTH(DATE(ano_ref,8,1),0),'Plano de Ação'!$G131&gt;=DATE(ano_ref,8,1)),1,0))</f>
      </c>
      <c r="M132" s="41">
        <f>IF(OR(NOT('Plano de Ação'!$B131&lt;&gt;""),NOT(ISNUMBER('Plano de Ação'!$F131)),NOT(ISNUMBER('Plano de Ação'!$G131)),'Plano de Ação'!$J131="Cancelada"),0,IF(AND('Plano de Ação'!$F131&lt;=EOMONTH(DATE(ano_ref,9,1),0),'Plano de Ação'!$G131&gt;=DATE(ano_ref,9,1)),1,0))</f>
      </c>
      <c r="N132" s="41">
        <f>IF(OR(NOT('Plano de Ação'!$B131&lt;&gt;""),NOT(ISNUMBER('Plano de Ação'!$F131)),NOT(ISNUMBER('Plano de Ação'!$G131)),'Plano de Ação'!$J131="Cancelada"),0,IF(AND('Plano de Ação'!$F131&lt;=EOMONTH(DATE(ano_ref,10,1),0),'Plano de Ação'!$G131&gt;=DATE(ano_ref,10,1)),1,0))</f>
      </c>
      <c r="O132" s="41">
        <f>IF(OR(NOT('Plano de Ação'!$B131&lt;&gt;""),NOT(ISNUMBER('Plano de Ação'!$F131)),NOT(ISNUMBER('Plano de Ação'!$G131)),'Plano de Ação'!$J131="Cancelada"),0,IF(AND('Plano de Ação'!$F131&lt;=EOMONTH(DATE(ano_ref,11,1),0),'Plano de Ação'!$G131&gt;=DATE(ano_ref,11,1)),1,0))</f>
      </c>
      <c r="P132" s="41">
        <f>IF(OR(NOT('Plano de Ação'!$B131&lt;&gt;""),NOT(ISNUMBER('Plano de Ação'!$F131)),NOT(ISNUMBER('Plano de Ação'!$G131)),'Plano de Ação'!$J131="Cancelada"),0,IF(AND('Plano de Ação'!$F131&lt;=EOMONTH(DATE(ano_ref,12,1),0),'Plano de Ação'!$G131&gt;=DATE(ano_ref,12,1)),1,0))</f>
      </c>
    </row>
    <row r="133" spans="1:16" x14ac:dyDescent="0.25">
      <c r="A133" s="40">
        <f>IF('Plano de Ação'!$B132&lt;&gt;"",'Plano de Ação'!A132&amp;"","")</f>
      </c>
      <c r="B133" s="25">
        <f>IF('Plano de Ação'!$B132&lt;&gt;"",'Plano de Ação'!B132,"")</f>
      </c>
      <c r="C133" s="25">
        <f>IF('Plano de Ação'!$B132&lt;&gt;"",'Plano de Ação'!E132&amp;"","")</f>
      </c>
      <c r="D133" s="40">
        <f>IF('Plano de Ação'!$B132&lt;&gt;"",'Plano de Ação'!L132,"")</f>
      </c>
      <c r="E133" s="41">
        <f>IF(OR(NOT('Plano de Ação'!$B132&lt;&gt;""),NOT(ISNUMBER('Plano de Ação'!$F132)),NOT(ISNUMBER('Plano de Ação'!$G132)),'Plano de Ação'!$J132="Cancelada"),0,IF(AND('Plano de Ação'!$F132&lt;=EOMONTH(DATE(ano_ref,1,1),0),'Plano de Ação'!$G132&gt;=DATE(ano_ref,1,1)),1,0))</f>
      </c>
      <c r="F133" s="41">
        <f>IF(OR(NOT('Plano de Ação'!$B132&lt;&gt;""),NOT(ISNUMBER('Plano de Ação'!$F132)),NOT(ISNUMBER('Plano de Ação'!$G132)),'Plano de Ação'!$J132="Cancelada"),0,IF(AND('Plano de Ação'!$F132&lt;=EOMONTH(DATE(ano_ref,2,1),0),'Plano de Ação'!$G132&gt;=DATE(ano_ref,2,1)),1,0))</f>
      </c>
      <c r="G133" s="41">
        <f>IF(OR(NOT('Plano de Ação'!$B132&lt;&gt;""),NOT(ISNUMBER('Plano de Ação'!$F132)),NOT(ISNUMBER('Plano de Ação'!$G132)),'Plano de Ação'!$J132="Cancelada"),0,IF(AND('Plano de Ação'!$F132&lt;=EOMONTH(DATE(ano_ref,3,1),0),'Plano de Ação'!$G132&gt;=DATE(ano_ref,3,1)),1,0))</f>
      </c>
      <c r="H133" s="41">
        <f>IF(OR(NOT('Plano de Ação'!$B132&lt;&gt;""),NOT(ISNUMBER('Plano de Ação'!$F132)),NOT(ISNUMBER('Plano de Ação'!$G132)),'Plano de Ação'!$J132="Cancelada"),0,IF(AND('Plano de Ação'!$F132&lt;=EOMONTH(DATE(ano_ref,4,1),0),'Plano de Ação'!$G132&gt;=DATE(ano_ref,4,1)),1,0))</f>
      </c>
      <c r="I133" s="41">
        <f>IF(OR(NOT('Plano de Ação'!$B132&lt;&gt;""),NOT(ISNUMBER('Plano de Ação'!$F132)),NOT(ISNUMBER('Plano de Ação'!$G132)),'Plano de Ação'!$J132="Cancelada"),0,IF(AND('Plano de Ação'!$F132&lt;=EOMONTH(DATE(ano_ref,5,1),0),'Plano de Ação'!$G132&gt;=DATE(ano_ref,5,1)),1,0))</f>
      </c>
      <c r="J133" s="41">
        <f>IF(OR(NOT('Plano de Ação'!$B132&lt;&gt;""),NOT(ISNUMBER('Plano de Ação'!$F132)),NOT(ISNUMBER('Plano de Ação'!$G132)),'Plano de Ação'!$J132="Cancelada"),0,IF(AND('Plano de Ação'!$F132&lt;=EOMONTH(DATE(ano_ref,6,1),0),'Plano de Ação'!$G132&gt;=DATE(ano_ref,6,1)),1,0))</f>
      </c>
      <c r="K133" s="41">
        <f>IF(OR(NOT('Plano de Ação'!$B132&lt;&gt;""),NOT(ISNUMBER('Plano de Ação'!$F132)),NOT(ISNUMBER('Plano de Ação'!$G132)),'Plano de Ação'!$J132="Cancelada"),0,IF(AND('Plano de Ação'!$F132&lt;=EOMONTH(DATE(ano_ref,7,1),0),'Plano de Ação'!$G132&gt;=DATE(ano_ref,7,1)),1,0))</f>
      </c>
      <c r="L133" s="41">
        <f>IF(OR(NOT('Plano de Ação'!$B132&lt;&gt;""),NOT(ISNUMBER('Plano de Ação'!$F132)),NOT(ISNUMBER('Plano de Ação'!$G132)),'Plano de Ação'!$J132="Cancelada"),0,IF(AND('Plano de Ação'!$F132&lt;=EOMONTH(DATE(ano_ref,8,1),0),'Plano de Ação'!$G132&gt;=DATE(ano_ref,8,1)),1,0))</f>
      </c>
      <c r="M133" s="41">
        <f>IF(OR(NOT('Plano de Ação'!$B132&lt;&gt;""),NOT(ISNUMBER('Plano de Ação'!$F132)),NOT(ISNUMBER('Plano de Ação'!$G132)),'Plano de Ação'!$J132="Cancelada"),0,IF(AND('Plano de Ação'!$F132&lt;=EOMONTH(DATE(ano_ref,9,1),0),'Plano de Ação'!$G132&gt;=DATE(ano_ref,9,1)),1,0))</f>
      </c>
      <c r="N133" s="41">
        <f>IF(OR(NOT('Plano de Ação'!$B132&lt;&gt;""),NOT(ISNUMBER('Plano de Ação'!$F132)),NOT(ISNUMBER('Plano de Ação'!$G132)),'Plano de Ação'!$J132="Cancelada"),0,IF(AND('Plano de Ação'!$F132&lt;=EOMONTH(DATE(ano_ref,10,1),0),'Plano de Ação'!$G132&gt;=DATE(ano_ref,10,1)),1,0))</f>
      </c>
      <c r="O133" s="41">
        <f>IF(OR(NOT('Plano de Ação'!$B132&lt;&gt;""),NOT(ISNUMBER('Plano de Ação'!$F132)),NOT(ISNUMBER('Plano de Ação'!$G132)),'Plano de Ação'!$J132="Cancelada"),0,IF(AND('Plano de Ação'!$F132&lt;=EOMONTH(DATE(ano_ref,11,1),0),'Plano de Ação'!$G132&gt;=DATE(ano_ref,11,1)),1,0))</f>
      </c>
      <c r="P133" s="41">
        <f>IF(OR(NOT('Plano de Ação'!$B132&lt;&gt;""),NOT(ISNUMBER('Plano de Ação'!$F132)),NOT(ISNUMBER('Plano de Ação'!$G132)),'Plano de Ação'!$J132="Cancelada"),0,IF(AND('Plano de Ação'!$F132&lt;=EOMONTH(DATE(ano_ref,12,1),0),'Plano de Ação'!$G132&gt;=DATE(ano_ref,12,1)),1,0))</f>
      </c>
    </row>
    <row r="134" spans="1:16" x14ac:dyDescent="0.25">
      <c r="A134" s="40">
        <f>IF('Plano de Ação'!$B133&lt;&gt;"",'Plano de Ação'!A133&amp;"","")</f>
      </c>
      <c r="B134" s="25">
        <f>IF('Plano de Ação'!$B133&lt;&gt;"",'Plano de Ação'!B133,"")</f>
      </c>
      <c r="C134" s="25">
        <f>IF('Plano de Ação'!$B133&lt;&gt;"",'Plano de Ação'!E133&amp;"","")</f>
      </c>
      <c r="D134" s="40">
        <f>IF('Plano de Ação'!$B133&lt;&gt;"",'Plano de Ação'!L133,"")</f>
      </c>
      <c r="E134" s="41">
        <f>IF(OR(NOT('Plano de Ação'!$B133&lt;&gt;""),NOT(ISNUMBER('Plano de Ação'!$F133)),NOT(ISNUMBER('Plano de Ação'!$G133)),'Plano de Ação'!$J133="Cancelada"),0,IF(AND('Plano de Ação'!$F133&lt;=EOMONTH(DATE(ano_ref,1,1),0),'Plano de Ação'!$G133&gt;=DATE(ano_ref,1,1)),1,0))</f>
      </c>
      <c r="F134" s="41">
        <f>IF(OR(NOT('Plano de Ação'!$B133&lt;&gt;""),NOT(ISNUMBER('Plano de Ação'!$F133)),NOT(ISNUMBER('Plano de Ação'!$G133)),'Plano de Ação'!$J133="Cancelada"),0,IF(AND('Plano de Ação'!$F133&lt;=EOMONTH(DATE(ano_ref,2,1),0),'Plano de Ação'!$G133&gt;=DATE(ano_ref,2,1)),1,0))</f>
      </c>
      <c r="G134" s="41">
        <f>IF(OR(NOT('Plano de Ação'!$B133&lt;&gt;""),NOT(ISNUMBER('Plano de Ação'!$F133)),NOT(ISNUMBER('Plano de Ação'!$G133)),'Plano de Ação'!$J133="Cancelada"),0,IF(AND('Plano de Ação'!$F133&lt;=EOMONTH(DATE(ano_ref,3,1),0),'Plano de Ação'!$G133&gt;=DATE(ano_ref,3,1)),1,0))</f>
      </c>
      <c r="H134" s="41">
        <f>IF(OR(NOT('Plano de Ação'!$B133&lt;&gt;""),NOT(ISNUMBER('Plano de Ação'!$F133)),NOT(ISNUMBER('Plano de Ação'!$G133)),'Plano de Ação'!$J133="Cancelada"),0,IF(AND('Plano de Ação'!$F133&lt;=EOMONTH(DATE(ano_ref,4,1),0),'Plano de Ação'!$G133&gt;=DATE(ano_ref,4,1)),1,0))</f>
      </c>
      <c r="I134" s="41">
        <f>IF(OR(NOT('Plano de Ação'!$B133&lt;&gt;""),NOT(ISNUMBER('Plano de Ação'!$F133)),NOT(ISNUMBER('Plano de Ação'!$G133)),'Plano de Ação'!$J133="Cancelada"),0,IF(AND('Plano de Ação'!$F133&lt;=EOMONTH(DATE(ano_ref,5,1),0),'Plano de Ação'!$G133&gt;=DATE(ano_ref,5,1)),1,0))</f>
      </c>
      <c r="J134" s="41">
        <f>IF(OR(NOT('Plano de Ação'!$B133&lt;&gt;""),NOT(ISNUMBER('Plano de Ação'!$F133)),NOT(ISNUMBER('Plano de Ação'!$G133)),'Plano de Ação'!$J133="Cancelada"),0,IF(AND('Plano de Ação'!$F133&lt;=EOMONTH(DATE(ano_ref,6,1),0),'Plano de Ação'!$G133&gt;=DATE(ano_ref,6,1)),1,0))</f>
      </c>
      <c r="K134" s="41">
        <f>IF(OR(NOT('Plano de Ação'!$B133&lt;&gt;""),NOT(ISNUMBER('Plano de Ação'!$F133)),NOT(ISNUMBER('Plano de Ação'!$G133)),'Plano de Ação'!$J133="Cancelada"),0,IF(AND('Plano de Ação'!$F133&lt;=EOMONTH(DATE(ano_ref,7,1),0),'Plano de Ação'!$G133&gt;=DATE(ano_ref,7,1)),1,0))</f>
      </c>
      <c r="L134" s="41">
        <f>IF(OR(NOT('Plano de Ação'!$B133&lt;&gt;""),NOT(ISNUMBER('Plano de Ação'!$F133)),NOT(ISNUMBER('Plano de Ação'!$G133)),'Plano de Ação'!$J133="Cancelada"),0,IF(AND('Plano de Ação'!$F133&lt;=EOMONTH(DATE(ano_ref,8,1),0),'Plano de Ação'!$G133&gt;=DATE(ano_ref,8,1)),1,0))</f>
      </c>
      <c r="M134" s="41">
        <f>IF(OR(NOT('Plano de Ação'!$B133&lt;&gt;""),NOT(ISNUMBER('Plano de Ação'!$F133)),NOT(ISNUMBER('Plano de Ação'!$G133)),'Plano de Ação'!$J133="Cancelada"),0,IF(AND('Plano de Ação'!$F133&lt;=EOMONTH(DATE(ano_ref,9,1),0),'Plano de Ação'!$G133&gt;=DATE(ano_ref,9,1)),1,0))</f>
      </c>
      <c r="N134" s="41">
        <f>IF(OR(NOT('Plano de Ação'!$B133&lt;&gt;""),NOT(ISNUMBER('Plano de Ação'!$F133)),NOT(ISNUMBER('Plano de Ação'!$G133)),'Plano de Ação'!$J133="Cancelada"),0,IF(AND('Plano de Ação'!$F133&lt;=EOMONTH(DATE(ano_ref,10,1),0),'Plano de Ação'!$G133&gt;=DATE(ano_ref,10,1)),1,0))</f>
      </c>
      <c r="O134" s="41">
        <f>IF(OR(NOT('Plano de Ação'!$B133&lt;&gt;""),NOT(ISNUMBER('Plano de Ação'!$F133)),NOT(ISNUMBER('Plano de Ação'!$G133)),'Plano de Ação'!$J133="Cancelada"),0,IF(AND('Plano de Ação'!$F133&lt;=EOMONTH(DATE(ano_ref,11,1),0),'Plano de Ação'!$G133&gt;=DATE(ano_ref,11,1)),1,0))</f>
      </c>
      <c r="P134" s="41">
        <f>IF(OR(NOT('Plano de Ação'!$B133&lt;&gt;""),NOT(ISNUMBER('Plano de Ação'!$F133)),NOT(ISNUMBER('Plano de Ação'!$G133)),'Plano de Ação'!$J133="Cancelada"),0,IF(AND('Plano de Ação'!$F133&lt;=EOMONTH(DATE(ano_ref,12,1),0),'Plano de Ação'!$G133&gt;=DATE(ano_ref,12,1)),1,0))</f>
      </c>
    </row>
    <row r="135" spans="1:16" x14ac:dyDescent="0.25">
      <c r="A135" s="40">
        <f>IF('Plano de Ação'!$B134&lt;&gt;"",'Plano de Ação'!A134&amp;"","")</f>
      </c>
      <c r="B135" s="25">
        <f>IF('Plano de Ação'!$B134&lt;&gt;"",'Plano de Ação'!B134,"")</f>
      </c>
      <c r="C135" s="25">
        <f>IF('Plano de Ação'!$B134&lt;&gt;"",'Plano de Ação'!E134&amp;"","")</f>
      </c>
      <c r="D135" s="40">
        <f>IF('Plano de Ação'!$B134&lt;&gt;"",'Plano de Ação'!L134,"")</f>
      </c>
      <c r="E135" s="41">
        <f>IF(OR(NOT('Plano de Ação'!$B134&lt;&gt;""),NOT(ISNUMBER('Plano de Ação'!$F134)),NOT(ISNUMBER('Plano de Ação'!$G134)),'Plano de Ação'!$J134="Cancelada"),0,IF(AND('Plano de Ação'!$F134&lt;=EOMONTH(DATE(ano_ref,1,1),0),'Plano de Ação'!$G134&gt;=DATE(ano_ref,1,1)),1,0))</f>
      </c>
      <c r="F135" s="41">
        <f>IF(OR(NOT('Plano de Ação'!$B134&lt;&gt;""),NOT(ISNUMBER('Plano de Ação'!$F134)),NOT(ISNUMBER('Plano de Ação'!$G134)),'Plano de Ação'!$J134="Cancelada"),0,IF(AND('Plano de Ação'!$F134&lt;=EOMONTH(DATE(ano_ref,2,1),0),'Plano de Ação'!$G134&gt;=DATE(ano_ref,2,1)),1,0))</f>
      </c>
      <c r="G135" s="41">
        <f>IF(OR(NOT('Plano de Ação'!$B134&lt;&gt;""),NOT(ISNUMBER('Plano de Ação'!$F134)),NOT(ISNUMBER('Plano de Ação'!$G134)),'Plano de Ação'!$J134="Cancelada"),0,IF(AND('Plano de Ação'!$F134&lt;=EOMONTH(DATE(ano_ref,3,1),0),'Plano de Ação'!$G134&gt;=DATE(ano_ref,3,1)),1,0))</f>
      </c>
      <c r="H135" s="41">
        <f>IF(OR(NOT('Plano de Ação'!$B134&lt;&gt;""),NOT(ISNUMBER('Plano de Ação'!$F134)),NOT(ISNUMBER('Plano de Ação'!$G134)),'Plano de Ação'!$J134="Cancelada"),0,IF(AND('Plano de Ação'!$F134&lt;=EOMONTH(DATE(ano_ref,4,1),0),'Plano de Ação'!$G134&gt;=DATE(ano_ref,4,1)),1,0))</f>
      </c>
      <c r="I135" s="41">
        <f>IF(OR(NOT('Plano de Ação'!$B134&lt;&gt;""),NOT(ISNUMBER('Plano de Ação'!$F134)),NOT(ISNUMBER('Plano de Ação'!$G134)),'Plano de Ação'!$J134="Cancelada"),0,IF(AND('Plano de Ação'!$F134&lt;=EOMONTH(DATE(ano_ref,5,1),0),'Plano de Ação'!$G134&gt;=DATE(ano_ref,5,1)),1,0))</f>
      </c>
      <c r="J135" s="41">
        <f>IF(OR(NOT('Plano de Ação'!$B134&lt;&gt;""),NOT(ISNUMBER('Plano de Ação'!$F134)),NOT(ISNUMBER('Plano de Ação'!$G134)),'Plano de Ação'!$J134="Cancelada"),0,IF(AND('Plano de Ação'!$F134&lt;=EOMONTH(DATE(ano_ref,6,1),0),'Plano de Ação'!$G134&gt;=DATE(ano_ref,6,1)),1,0))</f>
      </c>
      <c r="K135" s="41">
        <f>IF(OR(NOT('Plano de Ação'!$B134&lt;&gt;""),NOT(ISNUMBER('Plano de Ação'!$F134)),NOT(ISNUMBER('Plano de Ação'!$G134)),'Plano de Ação'!$J134="Cancelada"),0,IF(AND('Plano de Ação'!$F134&lt;=EOMONTH(DATE(ano_ref,7,1),0),'Plano de Ação'!$G134&gt;=DATE(ano_ref,7,1)),1,0))</f>
      </c>
      <c r="L135" s="41">
        <f>IF(OR(NOT('Plano de Ação'!$B134&lt;&gt;""),NOT(ISNUMBER('Plano de Ação'!$F134)),NOT(ISNUMBER('Plano de Ação'!$G134)),'Plano de Ação'!$J134="Cancelada"),0,IF(AND('Plano de Ação'!$F134&lt;=EOMONTH(DATE(ano_ref,8,1),0),'Plano de Ação'!$G134&gt;=DATE(ano_ref,8,1)),1,0))</f>
      </c>
      <c r="M135" s="41">
        <f>IF(OR(NOT('Plano de Ação'!$B134&lt;&gt;""),NOT(ISNUMBER('Plano de Ação'!$F134)),NOT(ISNUMBER('Plano de Ação'!$G134)),'Plano de Ação'!$J134="Cancelada"),0,IF(AND('Plano de Ação'!$F134&lt;=EOMONTH(DATE(ano_ref,9,1),0),'Plano de Ação'!$G134&gt;=DATE(ano_ref,9,1)),1,0))</f>
      </c>
      <c r="N135" s="41">
        <f>IF(OR(NOT('Plano de Ação'!$B134&lt;&gt;""),NOT(ISNUMBER('Plano de Ação'!$F134)),NOT(ISNUMBER('Plano de Ação'!$G134)),'Plano de Ação'!$J134="Cancelada"),0,IF(AND('Plano de Ação'!$F134&lt;=EOMONTH(DATE(ano_ref,10,1),0),'Plano de Ação'!$G134&gt;=DATE(ano_ref,10,1)),1,0))</f>
      </c>
      <c r="O135" s="41">
        <f>IF(OR(NOT('Plano de Ação'!$B134&lt;&gt;""),NOT(ISNUMBER('Plano de Ação'!$F134)),NOT(ISNUMBER('Plano de Ação'!$G134)),'Plano de Ação'!$J134="Cancelada"),0,IF(AND('Plano de Ação'!$F134&lt;=EOMONTH(DATE(ano_ref,11,1),0),'Plano de Ação'!$G134&gt;=DATE(ano_ref,11,1)),1,0))</f>
      </c>
      <c r="P135" s="41">
        <f>IF(OR(NOT('Plano de Ação'!$B134&lt;&gt;""),NOT(ISNUMBER('Plano de Ação'!$F134)),NOT(ISNUMBER('Plano de Ação'!$G134)),'Plano de Ação'!$J134="Cancelada"),0,IF(AND('Plano de Ação'!$F134&lt;=EOMONTH(DATE(ano_ref,12,1),0),'Plano de Ação'!$G134&gt;=DATE(ano_ref,12,1)),1,0))</f>
      </c>
    </row>
    <row r="136" spans="1:16" x14ac:dyDescent="0.25">
      <c r="A136" s="40">
        <f>IF('Plano de Ação'!$B135&lt;&gt;"",'Plano de Ação'!A135&amp;"","")</f>
      </c>
      <c r="B136" s="25">
        <f>IF('Plano de Ação'!$B135&lt;&gt;"",'Plano de Ação'!B135,"")</f>
      </c>
      <c r="C136" s="25">
        <f>IF('Plano de Ação'!$B135&lt;&gt;"",'Plano de Ação'!E135&amp;"","")</f>
      </c>
      <c r="D136" s="40">
        <f>IF('Plano de Ação'!$B135&lt;&gt;"",'Plano de Ação'!L135,"")</f>
      </c>
      <c r="E136" s="41">
        <f>IF(OR(NOT('Plano de Ação'!$B135&lt;&gt;""),NOT(ISNUMBER('Plano de Ação'!$F135)),NOT(ISNUMBER('Plano de Ação'!$G135)),'Plano de Ação'!$J135="Cancelada"),0,IF(AND('Plano de Ação'!$F135&lt;=EOMONTH(DATE(ano_ref,1,1),0),'Plano de Ação'!$G135&gt;=DATE(ano_ref,1,1)),1,0))</f>
      </c>
      <c r="F136" s="41">
        <f>IF(OR(NOT('Plano de Ação'!$B135&lt;&gt;""),NOT(ISNUMBER('Plano de Ação'!$F135)),NOT(ISNUMBER('Plano de Ação'!$G135)),'Plano de Ação'!$J135="Cancelada"),0,IF(AND('Plano de Ação'!$F135&lt;=EOMONTH(DATE(ano_ref,2,1),0),'Plano de Ação'!$G135&gt;=DATE(ano_ref,2,1)),1,0))</f>
      </c>
      <c r="G136" s="41">
        <f>IF(OR(NOT('Plano de Ação'!$B135&lt;&gt;""),NOT(ISNUMBER('Plano de Ação'!$F135)),NOT(ISNUMBER('Plano de Ação'!$G135)),'Plano de Ação'!$J135="Cancelada"),0,IF(AND('Plano de Ação'!$F135&lt;=EOMONTH(DATE(ano_ref,3,1),0),'Plano de Ação'!$G135&gt;=DATE(ano_ref,3,1)),1,0))</f>
      </c>
      <c r="H136" s="41">
        <f>IF(OR(NOT('Plano de Ação'!$B135&lt;&gt;""),NOT(ISNUMBER('Plano de Ação'!$F135)),NOT(ISNUMBER('Plano de Ação'!$G135)),'Plano de Ação'!$J135="Cancelada"),0,IF(AND('Plano de Ação'!$F135&lt;=EOMONTH(DATE(ano_ref,4,1),0),'Plano de Ação'!$G135&gt;=DATE(ano_ref,4,1)),1,0))</f>
      </c>
      <c r="I136" s="41">
        <f>IF(OR(NOT('Plano de Ação'!$B135&lt;&gt;""),NOT(ISNUMBER('Plano de Ação'!$F135)),NOT(ISNUMBER('Plano de Ação'!$G135)),'Plano de Ação'!$J135="Cancelada"),0,IF(AND('Plano de Ação'!$F135&lt;=EOMONTH(DATE(ano_ref,5,1),0),'Plano de Ação'!$G135&gt;=DATE(ano_ref,5,1)),1,0))</f>
      </c>
      <c r="J136" s="41">
        <f>IF(OR(NOT('Plano de Ação'!$B135&lt;&gt;""),NOT(ISNUMBER('Plano de Ação'!$F135)),NOT(ISNUMBER('Plano de Ação'!$G135)),'Plano de Ação'!$J135="Cancelada"),0,IF(AND('Plano de Ação'!$F135&lt;=EOMONTH(DATE(ano_ref,6,1),0),'Plano de Ação'!$G135&gt;=DATE(ano_ref,6,1)),1,0))</f>
      </c>
      <c r="K136" s="41">
        <f>IF(OR(NOT('Plano de Ação'!$B135&lt;&gt;""),NOT(ISNUMBER('Plano de Ação'!$F135)),NOT(ISNUMBER('Plano de Ação'!$G135)),'Plano de Ação'!$J135="Cancelada"),0,IF(AND('Plano de Ação'!$F135&lt;=EOMONTH(DATE(ano_ref,7,1),0),'Plano de Ação'!$G135&gt;=DATE(ano_ref,7,1)),1,0))</f>
      </c>
      <c r="L136" s="41">
        <f>IF(OR(NOT('Plano de Ação'!$B135&lt;&gt;""),NOT(ISNUMBER('Plano de Ação'!$F135)),NOT(ISNUMBER('Plano de Ação'!$G135)),'Plano de Ação'!$J135="Cancelada"),0,IF(AND('Plano de Ação'!$F135&lt;=EOMONTH(DATE(ano_ref,8,1),0),'Plano de Ação'!$G135&gt;=DATE(ano_ref,8,1)),1,0))</f>
      </c>
      <c r="M136" s="41">
        <f>IF(OR(NOT('Plano de Ação'!$B135&lt;&gt;""),NOT(ISNUMBER('Plano de Ação'!$F135)),NOT(ISNUMBER('Plano de Ação'!$G135)),'Plano de Ação'!$J135="Cancelada"),0,IF(AND('Plano de Ação'!$F135&lt;=EOMONTH(DATE(ano_ref,9,1),0),'Plano de Ação'!$G135&gt;=DATE(ano_ref,9,1)),1,0))</f>
      </c>
      <c r="N136" s="41">
        <f>IF(OR(NOT('Plano de Ação'!$B135&lt;&gt;""),NOT(ISNUMBER('Plano de Ação'!$F135)),NOT(ISNUMBER('Plano de Ação'!$G135)),'Plano de Ação'!$J135="Cancelada"),0,IF(AND('Plano de Ação'!$F135&lt;=EOMONTH(DATE(ano_ref,10,1),0),'Plano de Ação'!$G135&gt;=DATE(ano_ref,10,1)),1,0))</f>
      </c>
      <c r="O136" s="41">
        <f>IF(OR(NOT('Plano de Ação'!$B135&lt;&gt;""),NOT(ISNUMBER('Plano de Ação'!$F135)),NOT(ISNUMBER('Plano de Ação'!$G135)),'Plano de Ação'!$J135="Cancelada"),0,IF(AND('Plano de Ação'!$F135&lt;=EOMONTH(DATE(ano_ref,11,1),0),'Plano de Ação'!$G135&gt;=DATE(ano_ref,11,1)),1,0))</f>
      </c>
      <c r="P136" s="41">
        <f>IF(OR(NOT('Plano de Ação'!$B135&lt;&gt;""),NOT(ISNUMBER('Plano de Ação'!$F135)),NOT(ISNUMBER('Plano de Ação'!$G135)),'Plano de Ação'!$J135="Cancelada"),0,IF(AND('Plano de Ação'!$F135&lt;=EOMONTH(DATE(ano_ref,12,1),0),'Plano de Ação'!$G135&gt;=DATE(ano_ref,12,1)),1,0))</f>
      </c>
    </row>
    <row r="137" spans="1:16" x14ac:dyDescent="0.25">
      <c r="A137" s="40">
        <f>IF('Plano de Ação'!$B136&lt;&gt;"",'Plano de Ação'!A136&amp;"","")</f>
      </c>
      <c r="B137" s="25">
        <f>IF('Plano de Ação'!$B136&lt;&gt;"",'Plano de Ação'!B136,"")</f>
      </c>
      <c r="C137" s="25">
        <f>IF('Plano de Ação'!$B136&lt;&gt;"",'Plano de Ação'!E136&amp;"","")</f>
      </c>
      <c r="D137" s="40">
        <f>IF('Plano de Ação'!$B136&lt;&gt;"",'Plano de Ação'!L136,"")</f>
      </c>
      <c r="E137" s="41">
        <f>IF(OR(NOT('Plano de Ação'!$B136&lt;&gt;""),NOT(ISNUMBER('Plano de Ação'!$F136)),NOT(ISNUMBER('Plano de Ação'!$G136)),'Plano de Ação'!$J136="Cancelada"),0,IF(AND('Plano de Ação'!$F136&lt;=EOMONTH(DATE(ano_ref,1,1),0),'Plano de Ação'!$G136&gt;=DATE(ano_ref,1,1)),1,0))</f>
      </c>
      <c r="F137" s="41">
        <f>IF(OR(NOT('Plano de Ação'!$B136&lt;&gt;""),NOT(ISNUMBER('Plano de Ação'!$F136)),NOT(ISNUMBER('Plano de Ação'!$G136)),'Plano de Ação'!$J136="Cancelada"),0,IF(AND('Plano de Ação'!$F136&lt;=EOMONTH(DATE(ano_ref,2,1),0),'Plano de Ação'!$G136&gt;=DATE(ano_ref,2,1)),1,0))</f>
      </c>
      <c r="G137" s="41">
        <f>IF(OR(NOT('Plano de Ação'!$B136&lt;&gt;""),NOT(ISNUMBER('Plano de Ação'!$F136)),NOT(ISNUMBER('Plano de Ação'!$G136)),'Plano de Ação'!$J136="Cancelada"),0,IF(AND('Plano de Ação'!$F136&lt;=EOMONTH(DATE(ano_ref,3,1),0),'Plano de Ação'!$G136&gt;=DATE(ano_ref,3,1)),1,0))</f>
      </c>
      <c r="H137" s="41">
        <f>IF(OR(NOT('Plano de Ação'!$B136&lt;&gt;""),NOT(ISNUMBER('Plano de Ação'!$F136)),NOT(ISNUMBER('Plano de Ação'!$G136)),'Plano de Ação'!$J136="Cancelada"),0,IF(AND('Plano de Ação'!$F136&lt;=EOMONTH(DATE(ano_ref,4,1),0),'Plano de Ação'!$G136&gt;=DATE(ano_ref,4,1)),1,0))</f>
      </c>
      <c r="I137" s="41">
        <f>IF(OR(NOT('Plano de Ação'!$B136&lt;&gt;""),NOT(ISNUMBER('Plano de Ação'!$F136)),NOT(ISNUMBER('Plano de Ação'!$G136)),'Plano de Ação'!$J136="Cancelada"),0,IF(AND('Plano de Ação'!$F136&lt;=EOMONTH(DATE(ano_ref,5,1),0),'Plano de Ação'!$G136&gt;=DATE(ano_ref,5,1)),1,0))</f>
      </c>
      <c r="J137" s="41">
        <f>IF(OR(NOT('Plano de Ação'!$B136&lt;&gt;""),NOT(ISNUMBER('Plano de Ação'!$F136)),NOT(ISNUMBER('Plano de Ação'!$G136)),'Plano de Ação'!$J136="Cancelada"),0,IF(AND('Plano de Ação'!$F136&lt;=EOMONTH(DATE(ano_ref,6,1),0),'Plano de Ação'!$G136&gt;=DATE(ano_ref,6,1)),1,0))</f>
      </c>
      <c r="K137" s="41">
        <f>IF(OR(NOT('Plano de Ação'!$B136&lt;&gt;""),NOT(ISNUMBER('Plano de Ação'!$F136)),NOT(ISNUMBER('Plano de Ação'!$G136)),'Plano de Ação'!$J136="Cancelada"),0,IF(AND('Plano de Ação'!$F136&lt;=EOMONTH(DATE(ano_ref,7,1),0),'Plano de Ação'!$G136&gt;=DATE(ano_ref,7,1)),1,0))</f>
      </c>
      <c r="L137" s="41">
        <f>IF(OR(NOT('Plano de Ação'!$B136&lt;&gt;""),NOT(ISNUMBER('Plano de Ação'!$F136)),NOT(ISNUMBER('Plano de Ação'!$G136)),'Plano de Ação'!$J136="Cancelada"),0,IF(AND('Plano de Ação'!$F136&lt;=EOMONTH(DATE(ano_ref,8,1),0),'Plano de Ação'!$G136&gt;=DATE(ano_ref,8,1)),1,0))</f>
      </c>
      <c r="M137" s="41">
        <f>IF(OR(NOT('Plano de Ação'!$B136&lt;&gt;""),NOT(ISNUMBER('Plano de Ação'!$F136)),NOT(ISNUMBER('Plano de Ação'!$G136)),'Plano de Ação'!$J136="Cancelada"),0,IF(AND('Plano de Ação'!$F136&lt;=EOMONTH(DATE(ano_ref,9,1),0),'Plano de Ação'!$G136&gt;=DATE(ano_ref,9,1)),1,0))</f>
      </c>
      <c r="N137" s="41">
        <f>IF(OR(NOT('Plano de Ação'!$B136&lt;&gt;""),NOT(ISNUMBER('Plano de Ação'!$F136)),NOT(ISNUMBER('Plano de Ação'!$G136)),'Plano de Ação'!$J136="Cancelada"),0,IF(AND('Plano de Ação'!$F136&lt;=EOMONTH(DATE(ano_ref,10,1),0),'Plano de Ação'!$G136&gt;=DATE(ano_ref,10,1)),1,0))</f>
      </c>
      <c r="O137" s="41">
        <f>IF(OR(NOT('Plano de Ação'!$B136&lt;&gt;""),NOT(ISNUMBER('Plano de Ação'!$F136)),NOT(ISNUMBER('Plano de Ação'!$G136)),'Plano de Ação'!$J136="Cancelada"),0,IF(AND('Plano de Ação'!$F136&lt;=EOMONTH(DATE(ano_ref,11,1),0),'Plano de Ação'!$G136&gt;=DATE(ano_ref,11,1)),1,0))</f>
      </c>
      <c r="P137" s="41">
        <f>IF(OR(NOT('Plano de Ação'!$B136&lt;&gt;""),NOT(ISNUMBER('Plano de Ação'!$F136)),NOT(ISNUMBER('Plano de Ação'!$G136)),'Plano de Ação'!$J136="Cancelada"),0,IF(AND('Plano de Ação'!$F136&lt;=EOMONTH(DATE(ano_ref,12,1),0),'Plano de Ação'!$G136&gt;=DATE(ano_ref,12,1)),1,0))</f>
      </c>
    </row>
    <row r="138" spans="1:16" x14ac:dyDescent="0.25">
      <c r="A138" s="40">
        <f>IF('Plano de Ação'!$B137&lt;&gt;"",'Plano de Ação'!A137&amp;"","")</f>
      </c>
      <c r="B138" s="25">
        <f>IF('Plano de Ação'!$B137&lt;&gt;"",'Plano de Ação'!B137,"")</f>
      </c>
      <c r="C138" s="25">
        <f>IF('Plano de Ação'!$B137&lt;&gt;"",'Plano de Ação'!E137&amp;"","")</f>
      </c>
      <c r="D138" s="40">
        <f>IF('Plano de Ação'!$B137&lt;&gt;"",'Plano de Ação'!L137,"")</f>
      </c>
      <c r="E138" s="41">
        <f>IF(OR(NOT('Plano de Ação'!$B137&lt;&gt;""),NOT(ISNUMBER('Plano de Ação'!$F137)),NOT(ISNUMBER('Plano de Ação'!$G137)),'Plano de Ação'!$J137="Cancelada"),0,IF(AND('Plano de Ação'!$F137&lt;=EOMONTH(DATE(ano_ref,1,1),0),'Plano de Ação'!$G137&gt;=DATE(ano_ref,1,1)),1,0))</f>
      </c>
      <c r="F138" s="41">
        <f>IF(OR(NOT('Plano de Ação'!$B137&lt;&gt;""),NOT(ISNUMBER('Plano de Ação'!$F137)),NOT(ISNUMBER('Plano de Ação'!$G137)),'Plano de Ação'!$J137="Cancelada"),0,IF(AND('Plano de Ação'!$F137&lt;=EOMONTH(DATE(ano_ref,2,1),0),'Plano de Ação'!$G137&gt;=DATE(ano_ref,2,1)),1,0))</f>
      </c>
      <c r="G138" s="41">
        <f>IF(OR(NOT('Plano de Ação'!$B137&lt;&gt;""),NOT(ISNUMBER('Plano de Ação'!$F137)),NOT(ISNUMBER('Plano de Ação'!$G137)),'Plano de Ação'!$J137="Cancelada"),0,IF(AND('Plano de Ação'!$F137&lt;=EOMONTH(DATE(ano_ref,3,1),0),'Plano de Ação'!$G137&gt;=DATE(ano_ref,3,1)),1,0))</f>
      </c>
      <c r="H138" s="41">
        <f>IF(OR(NOT('Plano de Ação'!$B137&lt;&gt;""),NOT(ISNUMBER('Plano de Ação'!$F137)),NOT(ISNUMBER('Plano de Ação'!$G137)),'Plano de Ação'!$J137="Cancelada"),0,IF(AND('Plano de Ação'!$F137&lt;=EOMONTH(DATE(ano_ref,4,1),0),'Plano de Ação'!$G137&gt;=DATE(ano_ref,4,1)),1,0))</f>
      </c>
      <c r="I138" s="41">
        <f>IF(OR(NOT('Plano de Ação'!$B137&lt;&gt;""),NOT(ISNUMBER('Plano de Ação'!$F137)),NOT(ISNUMBER('Plano de Ação'!$G137)),'Plano de Ação'!$J137="Cancelada"),0,IF(AND('Plano de Ação'!$F137&lt;=EOMONTH(DATE(ano_ref,5,1),0),'Plano de Ação'!$G137&gt;=DATE(ano_ref,5,1)),1,0))</f>
      </c>
      <c r="J138" s="41">
        <f>IF(OR(NOT('Plano de Ação'!$B137&lt;&gt;""),NOT(ISNUMBER('Plano de Ação'!$F137)),NOT(ISNUMBER('Plano de Ação'!$G137)),'Plano de Ação'!$J137="Cancelada"),0,IF(AND('Plano de Ação'!$F137&lt;=EOMONTH(DATE(ano_ref,6,1),0),'Plano de Ação'!$G137&gt;=DATE(ano_ref,6,1)),1,0))</f>
      </c>
      <c r="K138" s="41">
        <f>IF(OR(NOT('Plano de Ação'!$B137&lt;&gt;""),NOT(ISNUMBER('Plano de Ação'!$F137)),NOT(ISNUMBER('Plano de Ação'!$G137)),'Plano de Ação'!$J137="Cancelada"),0,IF(AND('Plano de Ação'!$F137&lt;=EOMONTH(DATE(ano_ref,7,1),0),'Plano de Ação'!$G137&gt;=DATE(ano_ref,7,1)),1,0))</f>
      </c>
      <c r="L138" s="41">
        <f>IF(OR(NOT('Plano de Ação'!$B137&lt;&gt;""),NOT(ISNUMBER('Plano de Ação'!$F137)),NOT(ISNUMBER('Plano de Ação'!$G137)),'Plano de Ação'!$J137="Cancelada"),0,IF(AND('Plano de Ação'!$F137&lt;=EOMONTH(DATE(ano_ref,8,1),0),'Plano de Ação'!$G137&gt;=DATE(ano_ref,8,1)),1,0))</f>
      </c>
      <c r="M138" s="41">
        <f>IF(OR(NOT('Plano de Ação'!$B137&lt;&gt;""),NOT(ISNUMBER('Plano de Ação'!$F137)),NOT(ISNUMBER('Plano de Ação'!$G137)),'Plano de Ação'!$J137="Cancelada"),0,IF(AND('Plano de Ação'!$F137&lt;=EOMONTH(DATE(ano_ref,9,1),0),'Plano de Ação'!$G137&gt;=DATE(ano_ref,9,1)),1,0))</f>
      </c>
      <c r="N138" s="41">
        <f>IF(OR(NOT('Plano de Ação'!$B137&lt;&gt;""),NOT(ISNUMBER('Plano de Ação'!$F137)),NOT(ISNUMBER('Plano de Ação'!$G137)),'Plano de Ação'!$J137="Cancelada"),0,IF(AND('Plano de Ação'!$F137&lt;=EOMONTH(DATE(ano_ref,10,1),0),'Plano de Ação'!$G137&gt;=DATE(ano_ref,10,1)),1,0))</f>
      </c>
      <c r="O138" s="41">
        <f>IF(OR(NOT('Plano de Ação'!$B137&lt;&gt;""),NOT(ISNUMBER('Plano de Ação'!$F137)),NOT(ISNUMBER('Plano de Ação'!$G137)),'Plano de Ação'!$J137="Cancelada"),0,IF(AND('Plano de Ação'!$F137&lt;=EOMONTH(DATE(ano_ref,11,1),0),'Plano de Ação'!$G137&gt;=DATE(ano_ref,11,1)),1,0))</f>
      </c>
      <c r="P138" s="41">
        <f>IF(OR(NOT('Plano de Ação'!$B137&lt;&gt;""),NOT(ISNUMBER('Plano de Ação'!$F137)),NOT(ISNUMBER('Plano de Ação'!$G137)),'Plano de Ação'!$J137="Cancelada"),0,IF(AND('Plano de Ação'!$F137&lt;=EOMONTH(DATE(ano_ref,12,1),0),'Plano de Ação'!$G137&gt;=DATE(ano_ref,12,1)),1,0))</f>
      </c>
    </row>
    <row r="139" spans="1:16" x14ac:dyDescent="0.25">
      <c r="A139" s="40">
        <f>IF('Plano de Ação'!$B138&lt;&gt;"",'Plano de Ação'!A138&amp;"","")</f>
      </c>
      <c r="B139" s="25">
        <f>IF('Plano de Ação'!$B138&lt;&gt;"",'Plano de Ação'!B138,"")</f>
      </c>
      <c r="C139" s="25">
        <f>IF('Plano de Ação'!$B138&lt;&gt;"",'Plano de Ação'!E138&amp;"","")</f>
      </c>
      <c r="D139" s="40">
        <f>IF('Plano de Ação'!$B138&lt;&gt;"",'Plano de Ação'!L138,"")</f>
      </c>
      <c r="E139" s="41">
        <f>IF(OR(NOT('Plano de Ação'!$B138&lt;&gt;""),NOT(ISNUMBER('Plano de Ação'!$F138)),NOT(ISNUMBER('Plano de Ação'!$G138)),'Plano de Ação'!$J138="Cancelada"),0,IF(AND('Plano de Ação'!$F138&lt;=EOMONTH(DATE(ano_ref,1,1),0),'Plano de Ação'!$G138&gt;=DATE(ano_ref,1,1)),1,0))</f>
      </c>
      <c r="F139" s="41">
        <f>IF(OR(NOT('Plano de Ação'!$B138&lt;&gt;""),NOT(ISNUMBER('Plano de Ação'!$F138)),NOT(ISNUMBER('Plano de Ação'!$G138)),'Plano de Ação'!$J138="Cancelada"),0,IF(AND('Plano de Ação'!$F138&lt;=EOMONTH(DATE(ano_ref,2,1),0),'Plano de Ação'!$G138&gt;=DATE(ano_ref,2,1)),1,0))</f>
      </c>
      <c r="G139" s="41">
        <f>IF(OR(NOT('Plano de Ação'!$B138&lt;&gt;""),NOT(ISNUMBER('Plano de Ação'!$F138)),NOT(ISNUMBER('Plano de Ação'!$G138)),'Plano de Ação'!$J138="Cancelada"),0,IF(AND('Plano de Ação'!$F138&lt;=EOMONTH(DATE(ano_ref,3,1),0),'Plano de Ação'!$G138&gt;=DATE(ano_ref,3,1)),1,0))</f>
      </c>
      <c r="H139" s="41">
        <f>IF(OR(NOT('Plano de Ação'!$B138&lt;&gt;""),NOT(ISNUMBER('Plano de Ação'!$F138)),NOT(ISNUMBER('Plano de Ação'!$G138)),'Plano de Ação'!$J138="Cancelada"),0,IF(AND('Plano de Ação'!$F138&lt;=EOMONTH(DATE(ano_ref,4,1),0),'Plano de Ação'!$G138&gt;=DATE(ano_ref,4,1)),1,0))</f>
      </c>
      <c r="I139" s="41">
        <f>IF(OR(NOT('Plano de Ação'!$B138&lt;&gt;""),NOT(ISNUMBER('Plano de Ação'!$F138)),NOT(ISNUMBER('Plano de Ação'!$G138)),'Plano de Ação'!$J138="Cancelada"),0,IF(AND('Plano de Ação'!$F138&lt;=EOMONTH(DATE(ano_ref,5,1),0),'Plano de Ação'!$G138&gt;=DATE(ano_ref,5,1)),1,0))</f>
      </c>
      <c r="J139" s="41">
        <f>IF(OR(NOT('Plano de Ação'!$B138&lt;&gt;""),NOT(ISNUMBER('Plano de Ação'!$F138)),NOT(ISNUMBER('Plano de Ação'!$G138)),'Plano de Ação'!$J138="Cancelada"),0,IF(AND('Plano de Ação'!$F138&lt;=EOMONTH(DATE(ano_ref,6,1),0),'Plano de Ação'!$G138&gt;=DATE(ano_ref,6,1)),1,0))</f>
      </c>
      <c r="K139" s="41">
        <f>IF(OR(NOT('Plano de Ação'!$B138&lt;&gt;""),NOT(ISNUMBER('Plano de Ação'!$F138)),NOT(ISNUMBER('Plano de Ação'!$G138)),'Plano de Ação'!$J138="Cancelada"),0,IF(AND('Plano de Ação'!$F138&lt;=EOMONTH(DATE(ano_ref,7,1),0),'Plano de Ação'!$G138&gt;=DATE(ano_ref,7,1)),1,0))</f>
      </c>
      <c r="L139" s="41">
        <f>IF(OR(NOT('Plano de Ação'!$B138&lt;&gt;""),NOT(ISNUMBER('Plano de Ação'!$F138)),NOT(ISNUMBER('Plano de Ação'!$G138)),'Plano de Ação'!$J138="Cancelada"),0,IF(AND('Plano de Ação'!$F138&lt;=EOMONTH(DATE(ano_ref,8,1),0),'Plano de Ação'!$G138&gt;=DATE(ano_ref,8,1)),1,0))</f>
      </c>
      <c r="M139" s="41">
        <f>IF(OR(NOT('Plano de Ação'!$B138&lt;&gt;""),NOT(ISNUMBER('Plano de Ação'!$F138)),NOT(ISNUMBER('Plano de Ação'!$G138)),'Plano de Ação'!$J138="Cancelada"),0,IF(AND('Plano de Ação'!$F138&lt;=EOMONTH(DATE(ano_ref,9,1),0),'Plano de Ação'!$G138&gt;=DATE(ano_ref,9,1)),1,0))</f>
      </c>
      <c r="N139" s="41">
        <f>IF(OR(NOT('Plano de Ação'!$B138&lt;&gt;""),NOT(ISNUMBER('Plano de Ação'!$F138)),NOT(ISNUMBER('Plano de Ação'!$G138)),'Plano de Ação'!$J138="Cancelada"),0,IF(AND('Plano de Ação'!$F138&lt;=EOMONTH(DATE(ano_ref,10,1),0),'Plano de Ação'!$G138&gt;=DATE(ano_ref,10,1)),1,0))</f>
      </c>
      <c r="O139" s="41">
        <f>IF(OR(NOT('Plano de Ação'!$B138&lt;&gt;""),NOT(ISNUMBER('Plano de Ação'!$F138)),NOT(ISNUMBER('Plano de Ação'!$G138)),'Plano de Ação'!$J138="Cancelada"),0,IF(AND('Plano de Ação'!$F138&lt;=EOMONTH(DATE(ano_ref,11,1),0),'Plano de Ação'!$G138&gt;=DATE(ano_ref,11,1)),1,0))</f>
      </c>
      <c r="P139" s="41">
        <f>IF(OR(NOT('Plano de Ação'!$B138&lt;&gt;""),NOT(ISNUMBER('Plano de Ação'!$F138)),NOT(ISNUMBER('Plano de Ação'!$G138)),'Plano de Ação'!$J138="Cancelada"),0,IF(AND('Plano de Ação'!$F138&lt;=EOMONTH(DATE(ano_ref,12,1),0),'Plano de Ação'!$G138&gt;=DATE(ano_ref,12,1)),1,0))</f>
      </c>
    </row>
    <row r="140" spans="1:16" x14ac:dyDescent="0.25">
      <c r="A140" s="40">
        <f>IF('Plano de Ação'!$B139&lt;&gt;"",'Plano de Ação'!A139&amp;"","")</f>
      </c>
      <c r="B140" s="25">
        <f>IF('Plano de Ação'!$B139&lt;&gt;"",'Plano de Ação'!B139,"")</f>
      </c>
      <c r="C140" s="25">
        <f>IF('Plano de Ação'!$B139&lt;&gt;"",'Plano de Ação'!E139&amp;"","")</f>
      </c>
      <c r="D140" s="40">
        <f>IF('Plano de Ação'!$B139&lt;&gt;"",'Plano de Ação'!L139,"")</f>
      </c>
      <c r="E140" s="41">
        <f>IF(OR(NOT('Plano de Ação'!$B139&lt;&gt;""),NOT(ISNUMBER('Plano de Ação'!$F139)),NOT(ISNUMBER('Plano de Ação'!$G139)),'Plano de Ação'!$J139="Cancelada"),0,IF(AND('Plano de Ação'!$F139&lt;=EOMONTH(DATE(ano_ref,1,1),0),'Plano de Ação'!$G139&gt;=DATE(ano_ref,1,1)),1,0))</f>
      </c>
      <c r="F140" s="41">
        <f>IF(OR(NOT('Plano de Ação'!$B139&lt;&gt;""),NOT(ISNUMBER('Plano de Ação'!$F139)),NOT(ISNUMBER('Plano de Ação'!$G139)),'Plano de Ação'!$J139="Cancelada"),0,IF(AND('Plano de Ação'!$F139&lt;=EOMONTH(DATE(ano_ref,2,1),0),'Plano de Ação'!$G139&gt;=DATE(ano_ref,2,1)),1,0))</f>
      </c>
      <c r="G140" s="41">
        <f>IF(OR(NOT('Plano de Ação'!$B139&lt;&gt;""),NOT(ISNUMBER('Plano de Ação'!$F139)),NOT(ISNUMBER('Plano de Ação'!$G139)),'Plano de Ação'!$J139="Cancelada"),0,IF(AND('Plano de Ação'!$F139&lt;=EOMONTH(DATE(ano_ref,3,1),0),'Plano de Ação'!$G139&gt;=DATE(ano_ref,3,1)),1,0))</f>
      </c>
      <c r="H140" s="41">
        <f>IF(OR(NOT('Plano de Ação'!$B139&lt;&gt;""),NOT(ISNUMBER('Plano de Ação'!$F139)),NOT(ISNUMBER('Plano de Ação'!$G139)),'Plano de Ação'!$J139="Cancelada"),0,IF(AND('Plano de Ação'!$F139&lt;=EOMONTH(DATE(ano_ref,4,1),0),'Plano de Ação'!$G139&gt;=DATE(ano_ref,4,1)),1,0))</f>
      </c>
      <c r="I140" s="41">
        <f>IF(OR(NOT('Plano de Ação'!$B139&lt;&gt;""),NOT(ISNUMBER('Plano de Ação'!$F139)),NOT(ISNUMBER('Plano de Ação'!$G139)),'Plano de Ação'!$J139="Cancelada"),0,IF(AND('Plano de Ação'!$F139&lt;=EOMONTH(DATE(ano_ref,5,1),0),'Plano de Ação'!$G139&gt;=DATE(ano_ref,5,1)),1,0))</f>
      </c>
      <c r="J140" s="41">
        <f>IF(OR(NOT('Plano de Ação'!$B139&lt;&gt;""),NOT(ISNUMBER('Plano de Ação'!$F139)),NOT(ISNUMBER('Plano de Ação'!$G139)),'Plano de Ação'!$J139="Cancelada"),0,IF(AND('Plano de Ação'!$F139&lt;=EOMONTH(DATE(ano_ref,6,1),0),'Plano de Ação'!$G139&gt;=DATE(ano_ref,6,1)),1,0))</f>
      </c>
      <c r="K140" s="41">
        <f>IF(OR(NOT('Plano de Ação'!$B139&lt;&gt;""),NOT(ISNUMBER('Plano de Ação'!$F139)),NOT(ISNUMBER('Plano de Ação'!$G139)),'Plano de Ação'!$J139="Cancelada"),0,IF(AND('Plano de Ação'!$F139&lt;=EOMONTH(DATE(ano_ref,7,1),0),'Plano de Ação'!$G139&gt;=DATE(ano_ref,7,1)),1,0))</f>
      </c>
      <c r="L140" s="41">
        <f>IF(OR(NOT('Plano de Ação'!$B139&lt;&gt;""),NOT(ISNUMBER('Plano de Ação'!$F139)),NOT(ISNUMBER('Plano de Ação'!$G139)),'Plano de Ação'!$J139="Cancelada"),0,IF(AND('Plano de Ação'!$F139&lt;=EOMONTH(DATE(ano_ref,8,1),0),'Plano de Ação'!$G139&gt;=DATE(ano_ref,8,1)),1,0))</f>
      </c>
      <c r="M140" s="41">
        <f>IF(OR(NOT('Plano de Ação'!$B139&lt;&gt;""),NOT(ISNUMBER('Plano de Ação'!$F139)),NOT(ISNUMBER('Plano de Ação'!$G139)),'Plano de Ação'!$J139="Cancelada"),0,IF(AND('Plano de Ação'!$F139&lt;=EOMONTH(DATE(ano_ref,9,1),0),'Plano de Ação'!$G139&gt;=DATE(ano_ref,9,1)),1,0))</f>
      </c>
      <c r="N140" s="41">
        <f>IF(OR(NOT('Plano de Ação'!$B139&lt;&gt;""),NOT(ISNUMBER('Plano de Ação'!$F139)),NOT(ISNUMBER('Plano de Ação'!$G139)),'Plano de Ação'!$J139="Cancelada"),0,IF(AND('Plano de Ação'!$F139&lt;=EOMONTH(DATE(ano_ref,10,1),0),'Plano de Ação'!$G139&gt;=DATE(ano_ref,10,1)),1,0))</f>
      </c>
      <c r="O140" s="41">
        <f>IF(OR(NOT('Plano de Ação'!$B139&lt;&gt;""),NOT(ISNUMBER('Plano de Ação'!$F139)),NOT(ISNUMBER('Plano de Ação'!$G139)),'Plano de Ação'!$J139="Cancelada"),0,IF(AND('Plano de Ação'!$F139&lt;=EOMONTH(DATE(ano_ref,11,1),0),'Plano de Ação'!$G139&gt;=DATE(ano_ref,11,1)),1,0))</f>
      </c>
      <c r="P140" s="41">
        <f>IF(OR(NOT('Plano de Ação'!$B139&lt;&gt;""),NOT(ISNUMBER('Plano de Ação'!$F139)),NOT(ISNUMBER('Plano de Ação'!$G139)),'Plano de Ação'!$J139="Cancelada"),0,IF(AND('Plano de Ação'!$F139&lt;=EOMONTH(DATE(ano_ref,12,1),0),'Plano de Ação'!$G139&gt;=DATE(ano_ref,12,1)),1,0))</f>
      </c>
    </row>
    <row r="141" spans="1:16" x14ac:dyDescent="0.25">
      <c r="A141" s="40">
        <f>IF('Plano de Ação'!$B140&lt;&gt;"",'Plano de Ação'!A140&amp;"","")</f>
      </c>
      <c r="B141" s="25">
        <f>IF('Plano de Ação'!$B140&lt;&gt;"",'Plano de Ação'!B140,"")</f>
      </c>
      <c r="C141" s="25">
        <f>IF('Plano de Ação'!$B140&lt;&gt;"",'Plano de Ação'!E140&amp;"","")</f>
      </c>
      <c r="D141" s="40">
        <f>IF('Plano de Ação'!$B140&lt;&gt;"",'Plano de Ação'!L140,"")</f>
      </c>
      <c r="E141" s="41">
        <f>IF(OR(NOT('Plano de Ação'!$B140&lt;&gt;""),NOT(ISNUMBER('Plano de Ação'!$F140)),NOT(ISNUMBER('Plano de Ação'!$G140)),'Plano de Ação'!$J140="Cancelada"),0,IF(AND('Plano de Ação'!$F140&lt;=EOMONTH(DATE(ano_ref,1,1),0),'Plano de Ação'!$G140&gt;=DATE(ano_ref,1,1)),1,0))</f>
      </c>
      <c r="F141" s="41">
        <f>IF(OR(NOT('Plano de Ação'!$B140&lt;&gt;""),NOT(ISNUMBER('Plano de Ação'!$F140)),NOT(ISNUMBER('Plano de Ação'!$G140)),'Plano de Ação'!$J140="Cancelada"),0,IF(AND('Plano de Ação'!$F140&lt;=EOMONTH(DATE(ano_ref,2,1),0),'Plano de Ação'!$G140&gt;=DATE(ano_ref,2,1)),1,0))</f>
      </c>
      <c r="G141" s="41">
        <f>IF(OR(NOT('Plano de Ação'!$B140&lt;&gt;""),NOT(ISNUMBER('Plano de Ação'!$F140)),NOT(ISNUMBER('Plano de Ação'!$G140)),'Plano de Ação'!$J140="Cancelada"),0,IF(AND('Plano de Ação'!$F140&lt;=EOMONTH(DATE(ano_ref,3,1),0),'Plano de Ação'!$G140&gt;=DATE(ano_ref,3,1)),1,0))</f>
      </c>
      <c r="H141" s="41">
        <f>IF(OR(NOT('Plano de Ação'!$B140&lt;&gt;""),NOT(ISNUMBER('Plano de Ação'!$F140)),NOT(ISNUMBER('Plano de Ação'!$G140)),'Plano de Ação'!$J140="Cancelada"),0,IF(AND('Plano de Ação'!$F140&lt;=EOMONTH(DATE(ano_ref,4,1),0),'Plano de Ação'!$G140&gt;=DATE(ano_ref,4,1)),1,0))</f>
      </c>
      <c r="I141" s="41">
        <f>IF(OR(NOT('Plano de Ação'!$B140&lt;&gt;""),NOT(ISNUMBER('Plano de Ação'!$F140)),NOT(ISNUMBER('Plano de Ação'!$G140)),'Plano de Ação'!$J140="Cancelada"),0,IF(AND('Plano de Ação'!$F140&lt;=EOMONTH(DATE(ano_ref,5,1),0),'Plano de Ação'!$G140&gt;=DATE(ano_ref,5,1)),1,0))</f>
      </c>
      <c r="J141" s="41">
        <f>IF(OR(NOT('Plano de Ação'!$B140&lt;&gt;""),NOT(ISNUMBER('Plano de Ação'!$F140)),NOT(ISNUMBER('Plano de Ação'!$G140)),'Plano de Ação'!$J140="Cancelada"),0,IF(AND('Plano de Ação'!$F140&lt;=EOMONTH(DATE(ano_ref,6,1),0),'Plano de Ação'!$G140&gt;=DATE(ano_ref,6,1)),1,0))</f>
      </c>
      <c r="K141" s="41">
        <f>IF(OR(NOT('Plano de Ação'!$B140&lt;&gt;""),NOT(ISNUMBER('Plano de Ação'!$F140)),NOT(ISNUMBER('Plano de Ação'!$G140)),'Plano de Ação'!$J140="Cancelada"),0,IF(AND('Plano de Ação'!$F140&lt;=EOMONTH(DATE(ano_ref,7,1),0),'Plano de Ação'!$G140&gt;=DATE(ano_ref,7,1)),1,0))</f>
      </c>
      <c r="L141" s="41">
        <f>IF(OR(NOT('Plano de Ação'!$B140&lt;&gt;""),NOT(ISNUMBER('Plano de Ação'!$F140)),NOT(ISNUMBER('Plano de Ação'!$G140)),'Plano de Ação'!$J140="Cancelada"),0,IF(AND('Plano de Ação'!$F140&lt;=EOMONTH(DATE(ano_ref,8,1),0),'Plano de Ação'!$G140&gt;=DATE(ano_ref,8,1)),1,0))</f>
      </c>
      <c r="M141" s="41">
        <f>IF(OR(NOT('Plano de Ação'!$B140&lt;&gt;""),NOT(ISNUMBER('Plano de Ação'!$F140)),NOT(ISNUMBER('Plano de Ação'!$G140)),'Plano de Ação'!$J140="Cancelada"),0,IF(AND('Plano de Ação'!$F140&lt;=EOMONTH(DATE(ano_ref,9,1),0),'Plano de Ação'!$G140&gt;=DATE(ano_ref,9,1)),1,0))</f>
      </c>
      <c r="N141" s="41">
        <f>IF(OR(NOT('Plano de Ação'!$B140&lt;&gt;""),NOT(ISNUMBER('Plano de Ação'!$F140)),NOT(ISNUMBER('Plano de Ação'!$G140)),'Plano de Ação'!$J140="Cancelada"),0,IF(AND('Plano de Ação'!$F140&lt;=EOMONTH(DATE(ano_ref,10,1),0),'Plano de Ação'!$G140&gt;=DATE(ano_ref,10,1)),1,0))</f>
      </c>
      <c r="O141" s="41">
        <f>IF(OR(NOT('Plano de Ação'!$B140&lt;&gt;""),NOT(ISNUMBER('Plano de Ação'!$F140)),NOT(ISNUMBER('Plano de Ação'!$G140)),'Plano de Ação'!$J140="Cancelada"),0,IF(AND('Plano de Ação'!$F140&lt;=EOMONTH(DATE(ano_ref,11,1),0),'Plano de Ação'!$G140&gt;=DATE(ano_ref,11,1)),1,0))</f>
      </c>
      <c r="P141" s="41">
        <f>IF(OR(NOT('Plano de Ação'!$B140&lt;&gt;""),NOT(ISNUMBER('Plano de Ação'!$F140)),NOT(ISNUMBER('Plano de Ação'!$G140)),'Plano de Ação'!$J140="Cancelada"),0,IF(AND('Plano de Ação'!$F140&lt;=EOMONTH(DATE(ano_ref,12,1),0),'Plano de Ação'!$G140&gt;=DATE(ano_ref,12,1)),1,0))</f>
      </c>
    </row>
    <row r="142" spans="1:16" x14ac:dyDescent="0.25">
      <c r="A142" s="40">
        <f>IF('Plano de Ação'!$B141&lt;&gt;"",'Plano de Ação'!A141&amp;"","")</f>
      </c>
      <c r="B142" s="25">
        <f>IF('Plano de Ação'!$B141&lt;&gt;"",'Plano de Ação'!B141,"")</f>
      </c>
      <c r="C142" s="25">
        <f>IF('Plano de Ação'!$B141&lt;&gt;"",'Plano de Ação'!E141&amp;"","")</f>
      </c>
      <c r="D142" s="40">
        <f>IF('Plano de Ação'!$B141&lt;&gt;"",'Plano de Ação'!L141,"")</f>
      </c>
      <c r="E142" s="41">
        <f>IF(OR(NOT('Plano de Ação'!$B141&lt;&gt;""),NOT(ISNUMBER('Plano de Ação'!$F141)),NOT(ISNUMBER('Plano de Ação'!$G141)),'Plano de Ação'!$J141="Cancelada"),0,IF(AND('Plano de Ação'!$F141&lt;=EOMONTH(DATE(ano_ref,1,1),0),'Plano de Ação'!$G141&gt;=DATE(ano_ref,1,1)),1,0))</f>
      </c>
      <c r="F142" s="41">
        <f>IF(OR(NOT('Plano de Ação'!$B141&lt;&gt;""),NOT(ISNUMBER('Plano de Ação'!$F141)),NOT(ISNUMBER('Plano de Ação'!$G141)),'Plano de Ação'!$J141="Cancelada"),0,IF(AND('Plano de Ação'!$F141&lt;=EOMONTH(DATE(ano_ref,2,1),0),'Plano de Ação'!$G141&gt;=DATE(ano_ref,2,1)),1,0))</f>
      </c>
      <c r="G142" s="41">
        <f>IF(OR(NOT('Plano de Ação'!$B141&lt;&gt;""),NOT(ISNUMBER('Plano de Ação'!$F141)),NOT(ISNUMBER('Plano de Ação'!$G141)),'Plano de Ação'!$J141="Cancelada"),0,IF(AND('Plano de Ação'!$F141&lt;=EOMONTH(DATE(ano_ref,3,1),0),'Plano de Ação'!$G141&gt;=DATE(ano_ref,3,1)),1,0))</f>
      </c>
      <c r="H142" s="41">
        <f>IF(OR(NOT('Plano de Ação'!$B141&lt;&gt;""),NOT(ISNUMBER('Plano de Ação'!$F141)),NOT(ISNUMBER('Plano de Ação'!$G141)),'Plano de Ação'!$J141="Cancelada"),0,IF(AND('Plano de Ação'!$F141&lt;=EOMONTH(DATE(ano_ref,4,1),0),'Plano de Ação'!$G141&gt;=DATE(ano_ref,4,1)),1,0))</f>
      </c>
      <c r="I142" s="41">
        <f>IF(OR(NOT('Plano de Ação'!$B141&lt;&gt;""),NOT(ISNUMBER('Plano de Ação'!$F141)),NOT(ISNUMBER('Plano de Ação'!$G141)),'Plano de Ação'!$J141="Cancelada"),0,IF(AND('Plano de Ação'!$F141&lt;=EOMONTH(DATE(ano_ref,5,1),0),'Plano de Ação'!$G141&gt;=DATE(ano_ref,5,1)),1,0))</f>
      </c>
      <c r="J142" s="41">
        <f>IF(OR(NOT('Plano de Ação'!$B141&lt;&gt;""),NOT(ISNUMBER('Plano de Ação'!$F141)),NOT(ISNUMBER('Plano de Ação'!$G141)),'Plano de Ação'!$J141="Cancelada"),0,IF(AND('Plano de Ação'!$F141&lt;=EOMONTH(DATE(ano_ref,6,1),0),'Plano de Ação'!$G141&gt;=DATE(ano_ref,6,1)),1,0))</f>
      </c>
      <c r="K142" s="41">
        <f>IF(OR(NOT('Plano de Ação'!$B141&lt;&gt;""),NOT(ISNUMBER('Plano de Ação'!$F141)),NOT(ISNUMBER('Plano de Ação'!$G141)),'Plano de Ação'!$J141="Cancelada"),0,IF(AND('Plano de Ação'!$F141&lt;=EOMONTH(DATE(ano_ref,7,1),0),'Plano de Ação'!$G141&gt;=DATE(ano_ref,7,1)),1,0))</f>
      </c>
      <c r="L142" s="41">
        <f>IF(OR(NOT('Plano de Ação'!$B141&lt;&gt;""),NOT(ISNUMBER('Plano de Ação'!$F141)),NOT(ISNUMBER('Plano de Ação'!$G141)),'Plano de Ação'!$J141="Cancelada"),0,IF(AND('Plano de Ação'!$F141&lt;=EOMONTH(DATE(ano_ref,8,1),0),'Plano de Ação'!$G141&gt;=DATE(ano_ref,8,1)),1,0))</f>
      </c>
      <c r="M142" s="41">
        <f>IF(OR(NOT('Plano de Ação'!$B141&lt;&gt;""),NOT(ISNUMBER('Plano de Ação'!$F141)),NOT(ISNUMBER('Plano de Ação'!$G141)),'Plano de Ação'!$J141="Cancelada"),0,IF(AND('Plano de Ação'!$F141&lt;=EOMONTH(DATE(ano_ref,9,1),0),'Plano de Ação'!$G141&gt;=DATE(ano_ref,9,1)),1,0))</f>
      </c>
      <c r="N142" s="41">
        <f>IF(OR(NOT('Plano de Ação'!$B141&lt;&gt;""),NOT(ISNUMBER('Plano de Ação'!$F141)),NOT(ISNUMBER('Plano de Ação'!$G141)),'Plano de Ação'!$J141="Cancelada"),0,IF(AND('Plano de Ação'!$F141&lt;=EOMONTH(DATE(ano_ref,10,1),0),'Plano de Ação'!$G141&gt;=DATE(ano_ref,10,1)),1,0))</f>
      </c>
      <c r="O142" s="41">
        <f>IF(OR(NOT('Plano de Ação'!$B141&lt;&gt;""),NOT(ISNUMBER('Plano de Ação'!$F141)),NOT(ISNUMBER('Plano de Ação'!$G141)),'Plano de Ação'!$J141="Cancelada"),0,IF(AND('Plano de Ação'!$F141&lt;=EOMONTH(DATE(ano_ref,11,1),0),'Plano de Ação'!$G141&gt;=DATE(ano_ref,11,1)),1,0))</f>
      </c>
      <c r="P142" s="41">
        <f>IF(OR(NOT('Plano de Ação'!$B141&lt;&gt;""),NOT(ISNUMBER('Plano de Ação'!$F141)),NOT(ISNUMBER('Plano de Ação'!$G141)),'Plano de Ação'!$J141="Cancelada"),0,IF(AND('Plano de Ação'!$F141&lt;=EOMONTH(DATE(ano_ref,12,1),0),'Plano de Ação'!$G141&gt;=DATE(ano_ref,12,1)),1,0))</f>
      </c>
    </row>
    <row r="143" spans="1:16" x14ac:dyDescent="0.25">
      <c r="A143" s="40">
        <f>IF('Plano de Ação'!$B142&lt;&gt;"",'Plano de Ação'!A142&amp;"","")</f>
      </c>
      <c r="B143" s="25">
        <f>IF('Plano de Ação'!$B142&lt;&gt;"",'Plano de Ação'!B142,"")</f>
      </c>
      <c r="C143" s="25">
        <f>IF('Plano de Ação'!$B142&lt;&gt;"",'Plano de Ação'!E142&amp;"","")</f>
      </c>
      <c r="D143" s="40">
        <f>IF('Plano de Ação'!$B142&lt;&gt;"",'Plano de Ação'!L142,"")</f>
      </c>
      <c r="E143" s="41">
        <f>IF(OR(NOT('Plano de Ação'!$B142&lt;&gt;""),NOT(ISNUMBER('Plano de Ação'!$F142)),NOT(ISNUMBER('Plano de Ação'!$G142)),'Plano de Ação'!$J142="Cancelada"),0,IF(AND('Plano de Ação'!$F142&lt;=EOMONTH(DATE(ano_ref,1,1),0),'Plano de Ação'!$G142&gt;=DATE(ano_ref,1,1)),1,0))</f>
      </c>
      <c r="F143" s="41">
        <f>IF(OR(NOT('Plano de Ação'!$B142&lt;&gt;""),NOT(ISNUMBER('Plano de Ação'!$F142)),NOT(ISNUMBER('Plano de Ação'!$G142)),'Plano de Ação'!$J142="Cancelada"),0,IF(AND('Plano de Ação'!$F142&lt;=EOMONTH(DATE(ano_ref,2,1),0),'Plano de Ação'!$G142&gt;=DATE(ano_ref,2,1)),1,0))</f>
      </c>
      <c r="G143" s="41">
        <f>IF(OR(NOT('Plano de Ação'!$B142&lt;&gt;""),NOT(ISNUMBER('Plano de Ação'!$F142)),NOT(ISNUMBER('Plano de Ação'!$G142)),'Plano de Ação'!$J142="Cancelada"),0,IF(AND('Plano de Ação'!$F142&lt;=EOMONTH(DATE(ano_ref,3,1),0),'Plano de Ação'!$G142&gt;=DATE(ano_ref,3,1)),1,0))</f>
      </c>
      <c r="H143" s="41">
        <f>IF(OR(NOT('Plano de Ação'!$B142&lt;&gt;""),NOT(ISNUMBER('Plano de Ação'!$F142)),NOT(ISNUMBER('Plano de Ação'!$G142)),'Plano de Ação'!$J142="Cancelada"),0,IF(AND('Plano de Ação'!$F142&lt;=EOMONTH(DATE(ano_ref,4,1),0),'Plano de Ação'!$G142&gt;=DATE(ano_ref,4,1)),1,0))</f>
      </c>
      <c r="I143" s="41">
        <f>IF(OR(NOT('Plano de Ação'!$B142&lt;&gt;""),NOT(ISNUMBER('Plano de Ação'!$F142)),NOT(ISNUMBER('Plano de Ação'!$G142)),'Plano de Ação'!$J142="Cancelada"),0,IF(AND('Plano de Ação'!$F142&lt;=EOMONTH(DATE(ano_ref,5,1),0),'Plano de Ação'!$G142&gt;=DATE(ano_ref,5,1)),1,0))</f>
      </c>
      <c r="J143" s="41">
        <f>IF(OR(NOT('Plano de Ação'!$B142&lt;&gt;""),NOT(ISNUMBER('Plano de Ação'!$F142)),NOT(ISNUMBER('Plano de Ação'!$G142)),'Plano de Ação'!$J142="Cancelada"),0,IF(AND('Plano de Ação'!$F142&lt;=EOMONTH(DATE(ano_ref,6,1),0),'Plano de Ação'!$G142&gt;=DATE(ano_ref,6,1)),1,0))</f>
      </c>
      <c r="K143" s="41">
        <f>IF(OR(NOT('Plano de Ação'!$B142&lt;&gt;""),NOT(ISNUMBER('Plano de Ação'!$F142)),NOT(ISNUMBER('Plano de Ação'!$G142)),'Plano de Ação'!$J142="Cancelada"),0,IF(AND('Plano de Ação'!$F142&lt;=EOMONTH(DATE(ano_ref,7,1),0),'Plano de Ação'!$G142&gt;=DATE(ano_ref,7,1)),1,0))</f>
      </c>
      <c r="L143" s="41">
        <f>IF(OR(NOT('Plano de Ação'!$B142&lt;&gt;""),NOT(ISNUMBER('Plano de Ação'!$F142)),NOT(ISNUMBER('Plano de Ação'!$G142)),'Plano de Ação'!$J142="Cancelada"),0,IF(AND('Plano de Ação'!$F142&lt;=EOMONTH(DATE(ano_ref,8,1),0),'Plano de Ação'!$G142&gt;=DATE(ano_ref,8,1)),1,0))</f>
      </c>
      <c r="M143" s="41">
        <f>IF(OR(NOT('Plano de Ação'!$B142&lt;&gt;""),NOT(ISNUMBER('Plano de Ação'!$F142)),NOT(ISNUMBER('Plano de Ação'!$G142)),'Plano de Ação'!$J142="Cancelada"),0,IF(AND('Plano de Ação'!$F142&lt;=EOMONTH(DATE(ano_ref,9,1),0),'Plano de Ação'!$G142&gt;=DATE(ano_ref,9,1)),1,0))</f>
      </c>
      <c r="N143" s="41">
        <f>IF(OR(NOT('Plano de Ação'!$B142&lt;&gt;""),NOT(ISNUMBER('Plano de Ação'!$F142)),NOT(ISNUMBER('Plano de Ação'!$G142)),'Plano de Ação'!$J142="Cancelada"),0,IF(AND('Plano de Ação'!$F142&lt;=EOMONTH(DATE(ano_ref,10,1),0),'Plano de Ação'!$G142&gt;=DATE(ano_ref,10,1)),1,0))</f>
      </c>
      <c r="O143" s="41">
        <f>IF(OR(NOT('Plano de Ação'!$B142&lt;&gt;""),NOT(ISNUMBER('Plano de Ação'!$F142)),NOT(ISNUMBER('Plano de Ação'!$G142)),'Plano de Ação'!$J142="Cancelada"),0,IF(AND('Plano de Ação'!$F142&lt;=EOMONTH(DATE(ano_ref,11,1),0),'Plano de Ação'!$G142&gt;=DATE(ano_ref,11,1)),1,0))</f>
      </c>
      <c r="P143" s="41">
        <f>IF(OR(NOT('Plano de Ação'!$B142&lt;&gt;""),NOT(ISNUMBER('Plano de Ação'!$F142)),NOT(ISNUMBER('Plano de Ação'!$G142)),'Plano de Ação'!$J142="Cancelada"),0,IF(AND('Plano de Ação'!$F142&lt;=EOMONTH(DATE(ano_ref,12,1),0),'Plano de Ação'!$G142&gt;=DATE(ano_ref,12,1)),1,0))</f>
      </c>
    </row>
    <row r="144" spans="1:16" x14ac:dyDescent="0.25">
      <c r="A144" s="40">
        <f>IF('Plano de Ação'!$B143&lt;&gt;"",'Plano de Ação'!A143&amp;"","")</f>
      </c>
      <c r="B144" s="25">
        <f>IF('Plano de Ação'!$B143&lt;&gt;"",'Plano de Ação'!B143,"")</f>
      </c>
      <c r="C144" s="25">
        <f>IF('Plano de Ação'!$B143&lt;&gt;"",'Plano de Ação'!E143&amp;"","")</f>
      </c>
      <c r="D144" s="40">
        <f>IF('Plano de Ação'!$B143&lt;&gt;"",'Plano de Ação'!L143,"")</f>
      </c>
      <c r="E144" s="41">
        <f>IF(OR(NOT('Plano de Ação'!$B143&lt;&gt;""),NOT(ISNUMBER('Plano de Ação'!$F143)),NOT(ISNUMBER('Plano de Ação'!$G143)),'Plano de Ação'!$J143="Cancelada"),0,IF(AND('Plano de Ação'!$F143&lt;=EOMONTH(DATE(ano_ref,1,1),0),'Plano de Ação'!$G143&gt;=DATE(ano_ref,1,1)),1,0))</f>
      </c>
      <c r="F144" s="41">
        <f>IF(OR(NOT('Plano de Ação'!$B143&lt;&gt;""),NOT(ISNUMBER('Plano de Ação'!$F143)),NOT(ISNUMBER('Plano de Ação'!$G143)),'Plano de Ação'!$J143="Cancelada"),0,IF(AND('Plano de Ação'!$F143&lt;=EOMONTH(DATE(ano_ref,2,1),0),'Plano de Ação'!$G143&gt;=DATE(ano_ref,2,1)),1,0))</f>
      </c>
      <c r="G144" s="41">
        <f>IF(OR(NOT('Plano de Ação'!$B143&lt;&gt;""),NOT(ISNUMBER('Plano de Ação'!$F143)),NOT(ISNUMBER('Plano de Ação'!$G143)),'Plano de Ação'!$J143="Cancelada"),0,IF(AND('Plano de Ação'!$F143&lt;=EOMONTH(DATE(ano_ref,3,1),0),'Plano de Ação'!$G143&gt;=DATE(ano_ref,3,1)),1,0))</f>
      </c>
      <c r="H144" s="41">
        <f>IF(OR(NOT('Plano de Ação'!$B143&lt;&gt;""),NOT(ISNUMBER('Plano de Ação'!$F143)),NOT(ISNUMBER('Plano de Ação'!$G143)),'Plano de Ação'!$J143="Cancelada"),0,IF(AND('Plano de Ação'!$F143&lt;=EOMONTH(DATE(ano_ref,4,1),0),'Plano de Ação'!$G143&gt;=DATE(ano_ref,4,1)),1,0))</f>
      </c>
      <c r="I144" s="41">
        <f>IF(OR(NOT('Plano de Ação'!$B143&lt;&gt;""),NOT(ISNUMBER('Plano de Ação'!$F143)),NOT(ISNUMBER('Plano de Ação'!$G143)),'Plano de Ação'!$J143="Cancelada"),0,IF(AND('Plano de Ação'!$F143&lt;=EOMONTH(DATE(ano_ref,5,1),0),'Plano de Ação'!$G143&gt;=DATE(ano_ref,5,1)),1,0))</f>
      </c>
      <c r="J144" s="41">
        <f>IF(OR(NOT('Plano de Ação'!$B143&lt;&gt;""),NOT(ISNUMBER('Plano de Ação'!$F143)),NOT(ISNUMBER('Plano de Ação'!$G143)),'Plano de Ação'!$J143="Cancelada"),0,IF(AND('Plano de Ação'!$F143&lt;=EOMONTH(DATE(ano_ref,6,1),0),'Plano de Ação'!$G143&gt;=DATE(ano_ref,6,1)),1,0))</f>
      </c>
      <c r="K144" s="41">
        <f>IF(OR(NOT('Plano de Ação'!$B143&lt;&gt;""),NOT(ISNUMBER('Plano de Ação'!$F143)),NOT(ISNUMBER('Plano de Ação'!$G143)),'Plano de Ação'!$J143="Cancelada"),0,IF(AND('Plano de Ação'!$F143&lt;=EOMONTH(DATE(ano_ref,7,1),0),'Plano de Ação'!$G143&gt;=DATE(ano_ref,7,1)),1,0))</f>
      </c>
      <c r="L144" s="41">
        <f>IF(OR(NOT('Plano de Ação'!$B143&lt;&gt;""),NOT(ISNUMBER('Plano de Ação'!$F143)),NOT(ISNUMBER('Plano de Ação'!$G143)),'Plano de Ação'!$J143="Cancelada"),0,IF(AND('Plano de Ação'!$F143&lt;=EOMONTH(DATE(ano_ref,8,1),0),'Plano de Ação'!$G143&gt;=DATE(ano_ref,8,1)),1,0))</f>
      </c>
      <c r="M144" s="41">
        <f>IF(OR(NOT('Plano de Ação'!$B143&lt;&gt;""),NOT(ISNUMBER('Plano de Ação'!$F143)),NOT(ISNUMBER('Plano de Ação'!$G143)),'Plano de Ação'!$J143="Cancelada"),0,IF(AND('Plano de Ação'!$F143&lt;=EOMONTH(DATE(ano_ref,9,1),0),'Plano de Ação'!$G143&gt;=DATE(ano_ref,9,1)),1,0))</f>
      </c>
      <c r="N144" s="41">
        <f>IF(OR(NOT('Plano de Ação'!$B143&lt;&gt;""),NOT(ISNUMBER('Plano de Ação'!$F143)),NOT(ISNUMBER('Plano de Ação'!$G143)),'Plano de Ação'!$J143="Cancelada"),0,IF(AND('Plano de Ação'!$F143&lt;=EOMONTH(DATE(ano_ref,10,1),0),'Plano de Ação'!$G143&gt;=DATE(ano_ref,10,1)),1,0))</f>
      </c>
      <c r="O144" s="41">
        <f>IF(OR(NOT('Plano de Ação'!$B143&lt;&gt;""),NOT(ISNUMBER('Plano de Ação'!$F143)),NOT(ISNUMBER('Plano de Ação'!$G143)),'Plano de Ação'!$J143="Cancelada"),0,IF(AND('Plano de Ação'!$F143&lt;=EOMONTH(DATE(ano_ref,11,1),0),'Plano de Ação'!$G143&gt;=DATE(ano_ref,11,1)),1,0))</f>
      </c>
      <c r="P144" s="41">
        <f>IF(OR(NOT('Plano de Ação'!$B143&lt;&gt;""),NOT(ISNUMBER('Plano de Ação'!$F143)),NOT(ISNUMBER('Plano de Ação'!$G143)),'Plano de Ação'!$J143="Cancelada"),0,IF(AND('Plano de Ação'!$F143&lt;=EOMONTH(DATE(ano_ref,12,1),0),'Plano de Ação'!$G143&gt;=DATE(ano_ref,12,1)),1,0))</f>
      </c>
    </row>
    <row r="145" spans="1:16" x14ac:dyDescent="0.25">
      <c r="A145" s="40">
        <f>IF('Plano de Ação'!$B144&lt;&gt;"",'Plano de Ação'!A144&amp;"","")</f>
      </c>
      <c r="B145" s="25">
        <f>IF('Plano de Ação'!$B144&lt;&gt;"",'Plano de Ação'!B144,"")</f>
      </c>
      <c r="C145" s="25">
        <f>IF('Plano de Ação'!$B144&lt;&gt;"",'Plano de Ação'!E144&amp;"","")</f>
      </c>
      <c r="D145" s="40">
        <f>IF('Plano de Ação'!$B144&lt;&gt;"",'Plano de Ação'!L144,"")</f>
      </c>
      <c r="E145" s="41">
        <f>IF(OR(NOT('Plano de Ação'!$B144&lt;&gt;""),NOT(ISNUMBER('Plano de Ação'!$F144)),NOT(ISNUMBER('Plano de Ação'!$G144)),'Plano de Ação'!$J144="Cancelada"),0,IF(AND('Plano de Ação'!$F144&lt;=EOMONTH(DATE(ano_ref,1,1),0),'Plano de Ação'!$G144&gt;=DATE(ano_ref,1,1)),1,0))</f>
      </c>
      <c r="F145" s="41">
        <f>IF(OR(NOT('Plano de Ação'!$B144&lt;&gt;""),NOT(ISNUMBER('Plano de Ação'!$F144)),NOT(ISNUMBER('Plano de Ação'!$G144)),'Plano de Ação'!$J144="Cancelada"),0,IF(AND('Plano de Ação'!$F144&lt;=EOMONTH(DATE(ano_ref,2,1),0),'Plano de Ação'!$G144&gt;=DATE(ano_ref,2,1)),1,0))</f>
      </c>
      <c r="G145" s="41">
        <f>IF(OR(NOT('Plano de Ação'!$B144&lt;&gt;""),NOT(ISNUMBER('Plano de Ação'!$F144)),NOT(ISNUMBER('Plano de Ação'!$G144)),'Plano de Ação'!$J144="Cancelada"),0,IF(AND('Plano de Ação'!$F144&lt;=EOMONTH(DATE(ano_ref,3,1),0),'Plano de Ação'!$G144&gt;=DATE(ano_ref,3,1)),1,0))</f>
      </c>
      <c r="H145" s="41">
        <f>IF(OR(NOT('Plano de Ação'!$B144&lt;&gt;""),NOT(ISNUMBER('Plano de Ação'!$F144)),NOT(ISNUMBER('Plano de Ação'!$G144)),'Plano de Ação'!$J144="Cancelada"),0,IF(AND('Plano de Ação'!$F144&lt;=EOMONTH(DATE(ano_ref,4,1),0),'Plano de Ação'!$G144&gt;=DATE(ano_ref,4,1)),1,0))</f>
      </c>
      <c r="I145" s="41">
        <f>IF(OR(NOT('Plano de Ação'!$B144&lt;&gt;""),NOT(ISNUMBER('Plano de Ação'!$F144)),NOT(ISNUMBER('Plano de Ação'!$G144)),'Plano de Ação'!$J144="Cancelada"),0,IF(AND('Plano de Ação'!$F144&lt;=EOMONTH(DATE(ano_ref,5,1),0),'Plano de Ação'!$G144&gt;=DATE(ano_ref,5,1)),1,0))</f>
      </c>
      <c r="J145" s="41">
        <f>IF(OR(NOT('Plano de Ação'!$B144&lt;&gt;""),NOT(ISNUMBER('Plano de Ação'!$F144)),NOT(ISNUMBER('Plano de Ação'!$G144)),'Plano de Ação'!$J144="Cancelada"),0,IF(AND('Plano de Ação'!$F144&lt;=EOMONTH(DATE(ano_ref,6,1),0),'Plano de Ação'!$G144&gt;=DATE(ano_ref,6,1)),1,0))</f>
      </c>
      <c r="K145" s="41">
        <f>IF(OR(NOT('Plano de Ação'!$B144&lt;&gt;""),NOT(ISNUMBER('Plano de Ação'!$F144)),NOT(ISNUMBER('Plano de Ação'!$G144)),'Plano de Ação'!$J144="Cancelada"),0,IF(AND('Plano de Ação'!$F144&lt;=EOMONTH(DATE(ano_ref,7,1),0),'Plano de Ação'!$G144&gt;=DATE(ano_ref,7,1)),1,0))</f>
      </c>
      <c r="L145" s="41">
        <f>IF(OR(NOT('Plano de Ação'!$B144&lt;&gt;""),NOT(ISNUMBER('Plano de Ação'!$F144)),NOT(ISNUMBER('Plano de Ação'!$G144)),'Plano de Ação'!$J144="Cancelada"),0,IF(AND('Plano de Ação'!$F144&lt;=EOMONTH(DATE(ano_ref,8,1),0),'Plano de Ação'!$G144&gt;=DATE(ano_ref,8,1)),1,0))</f>
      </c>
      <c r="M145" s="41">
        <f>IF(OR(NOT('Plano de Ação'!$B144&lt;&gt;""),NOT(ISNUMBER('Plano de Ação'!$F144)),NOT(ISNUMBER('Plano de Ação'!$G144)),'Plano de Ação'!$J144="Cancelada"),0,IF(AND('Plano de Ação'!$F144&lt;=EOMONTH(DATE(ano_ref,9,1),0),'Plano de Ação'!$G144&gt;=DATE(ano_ref,9,1)),1,0))</f>
      </c>
      <c r="N145" s="41">
        <f>IF(OR(NOT('Plano de Ação'!$B144&lt;&gt;""),NOT(ISNUMBER('Plano de Ação'!$F144)),NOT(ISNUMBER('Plano de Ação'!$G144)),'Plano de Ação'!$J144="Cancelada"),0,IF(AND('Plano de Ação'!$F144&lt;=EOMONTH(DATE(ano_ref,10,1),0),'Plano de Ação'!$G144&gt;=DATE(ano_ref,10,1)),1,0))</f>
      </c>
      <c r="O145" s="41">
        <f>IF(OR(NOT('Plano de Ação'!$B144&lt;&gt;""),NOT(ISNUMBER('Plano de Ação'!$F144)),NOT(ISNUMBER('Plano de Ação'!$G144)),'Plano de Ação'!$J144="Cancelada"),0,IF(AND('Plano de Ação'!$F144&lt;=EOMONTH(DATE(ano_ref,11,1),0),'Plano de Ação'!$G144&gt;=DATE(ano_ref,11,1)),1,0))</f>
      </c>
      <c r="P145" s="41">
        <f>IF(OR(NOT('Plano de Ação'!$B144&lt;&gt;""),NOT(ISNUMBER('Plano de Ação'!$F144)),NOT(ISNUMBER('Plano de Ação'!$G144)),'Plano de Ação'!$J144="Cancelada"),0,IF(AND('Plano de Ação'!$F144&lt;=EOMONTH(DATE(ano_ref,12,1),0),'Plano de Ação'!$G144&gt;=DATE(ano_ref,12,1)),1,0))</f>
      </c>
    </row>
    <row r="146" spans="1:16" x14ac:dyDescent="0.25">
      <c r="A146" s="40">
        <f>IF('Plano de Ação'!$B145&lt;&gt;"",'Plano de Ação'!A145&amp;"","")</f>
      </c>
      <c r="B146" s="25">
        <f>IF('Plano de Ação'!$B145&lt;&gt;"",'Plano de Ação'!B145,"")</f>
      </c>
      <c r="C146" s="25">
        <f>IF('Plano de Ação'!$B145&lt;&gt;"",'Plano de Ação'!E145&amp;"","")</f>
      </c>
      <c r="D146" s="40">
        <f>IF('Plano de Ação'!$B145&lt;&gt;"",'Plano de Ação'!L145,"")</f>
      </c>
      <c r="E146" s="41">
        <f>IF(OR(NOT('Plano de Ação'!$B145&lt;&gt;""),NOT(ISNUMBER('Plano de Ação'!$F145)),NOT(ISNUMBER('Plano de Ação'!$G145)),'Plano de Ação'!$J145="Cancelada"),0,IF(AND('Plano de Ação'!$F145&lt;=EOMONTH(DATE(ano_ref,1,1),0),'Plano de Ação'!$G145&gt;=DATE(ano_ref,1,1)),1,0))</f>
      </c>
      <c r="F146" s="41">
        <f>IF(OR(NOT('Plano de Ação'!$B145&lt;&gt;""),NOT(ISNUMBER('Plano de Ação'!$F145)),NOT(ISNUMBER('Plano de Ação'!$G145)),'Plano de Ação'!$J145="Cancelada"),0,IF(AND('Plano de Ação'!$F145&lt;=EOMONTH(DATE(ano_ref,2,1),0),'Plano de Ação'!$G145&gt;=DATE(ano_ref,2,1)),1,0))</f>
      </c>
      <c r="G146" s="41">
        <f>IF(OR(NOT('Plano de Ação'!$B145&lt;&gt;""),NOT(ISNUMBER('Plano de Ação'!$F145)),NOT(ISNUMBER('Plano de Ação'!$G145)),'Plano de Ação'!$J145="Cancelada"),0,IF(AND('Plano de Ação'!$F145&lt;=EOMONTH(DATE(ano_ref,3,1),0),'Plano de Ação'!$G145&gt;=DATE(ano_ref,3,1)),1,0))</f>
      </c>
      <c r="H146" s="41">
        <f>IF(OR(NOT('Plano de Ação'!$B145&lt;&gt;""),NOT(ISNUMBER('Plano de Ação'!$F145)),NOT(ISNUMBER('Plano de Ação'!$G145)),'Plano de Ação'!$J145="Cancelada"),0,IF(AND('Plano de Ação'!$F145&lt;=EOMONTH(DATE(ano_ref,4,1),0),'Plano de Ação'!$G145&gt;=DATE(ano_ref,4,1)),1,0))</f>
      </c>
      <c r="I146" s="41">
        <f>IF(OR(NOT('Plano de Ação'!$B145&lt;&gt;""),NOT(ISNUMBER('Plano de Ação'!$F145)),NOT(ISNUMBER('Plano de Ação'!$G145)),'Plano de Ação'!$J145="Cancelada"),0,IF(AND('Plano de Ação'!$F145&lt;=EOMONTH(DATE(ano_ref,5,1),0),'Plano de Ação'!$G145&gt;=DATE(ano_ref,5,1)),1,0))</f>
      </c>
      <c r="J146" s="41">
        <f>IF(OR(NOT('Plano de Ação'!$B145&lt;&gt;""),NOT(ISNUMBER('Plano de Ação'!$F145)),NOT(ISNUMBER('Plano de Ação'!$G145)),'Plano de Ação'!$J145="Cancelada"),0,IF(AND('Plano de Ação'!$F145&lt;=EOMONTH(DATE(ano_ref,6,1),0),'Plano de Ação'!$G145&gt;=DATE(ano_ref,6,1)),1,0))</f>
      </c>
      <c r="K146" s="41">
        <f>IF(OR(NOT('Plano de Ação'!$B145&lt;&gt;""),NOT(ISNUMBER('Plano de Ação'!$F145)),NOT(ISNUMBER('Plano de Ação'!$G145)),'Plano de Ação'!$J145="Cancelada"),0,IF(AND('Plano de Ação'!$F145&lt;=EOMONTH(DATE(ano_ref,7,1),0),'Plano de Ação'!$G145&gt;=DATE(ano_ref,7,1)),1,0))</f>
      </c>
      <c r="L146" s="41">
        <f>IF(OR(NOT('Plano de Ação'!$B145&lt;&gt;""),NOT(ISNUMBER('Plano de Ação'!$F145)),NOT(ISNUMBER('Plano de Ação'!$G145)),'Plano de Ação'!$J145="Cancelada"),0,IF(AND('Plano de Ação'!$F145&lt;=EOMONTH(DATE(ano_ref,8,1),0),'Plano de Ação'!$G145&gt;=DATE(ano_ref,8,1)),1,0))</f>
      </c>
      <c r="M146" s="41">
        <f>IF(OR(NOT('Plano de Ação'!$B145&lt;&gt;""),NOT(ISNUMBER('Plano de Ação'!$F145)),NOT(ISNUMBER('Plano de Ação'!$G145)),'Plano de Ação'!$J145="Cancelada"),0,IF(AND('Plano de Ação'!$F145&lt;=EOMONTH(DATE(ano_ref,9,1),0),'Plano de Ação'!$G145&gt;=DATE(ano_ref,9,1)),1,0))</f>
      </c>
      <c r="N146" s="41">
        <f>IF(OR(NOT('Plano de Ação'!$B145&lt;&gt;""),NOT(ISNUMBER('Plano de Ação'!$F145)),NOT(ISNUMBER('Plano de Ação'!$G145)),'Plano de Ação'!$J145="Cancelada"),0,IF(AND('Plano de Ação'!$F145&lt;=EOMONTH(DATE(ano_ref,10,1),0),'Plano de Ação'!$G145&gt;=DATE(ano_ref,10,1)),1,0))</f>
      </c>
      <c r="O146" s="41">
        <f>IF(OR(NOT('Plano de Ação'!$B145&lt;&gt;""),NOT(ISNUMBER('Plano de Ação'!$F145)),NOT(ISNUMBER('Plano de Ação'!$G145)),'Plano de Ação'!$J145="Cancelada"),0,IF(AND('Plano de Ação'!$F145&lt;=EOMONTH(DATE(ano_ref,11,1),0),'Plano de Ação'!$G145&gt;=DATE(ano_ref,11,1)),1,0))</f>
      </c>
      <c r="P146" s="41">
        <f>IF(OR(NOT('Plano de Ação'!$B145&lt;&gt;""),NOT(ISNUMBER('Plano de Ação'!$F145)),NOT(ISNUMBER('Plano de Ação'!$G145)),'Plano de Ação'!$J145="Cancelada"),0,IF(AND('Plano de Ação'!$F145&lt;=EOMONTH(DATE(ano_ref,12,1),0),'Plano de Ação'!$G145&gt;=DATE(ano_ref,12,1)),1,0))</f>
      </c>
    </row>
    <row r="147" spans="1:16" x14ac:dyDescent="0.25">
      <c r="A147" s="40">
        <f>IF('Plano de Ação'!$B146&lt;&gt;"",'Plano de Ação'!A146&amp;"","")</f>
      </c>
      <c r="B147" s="25">
        <f>IF('Plano de Ação'!$B146&lt;&gt;"",'Plano de Ação'!B146,"")</f>
      </c>
      <c r="C147" s="25">
        <f>IF('Plano de Ação'!$B146&lt;&gt;"",'Plano de Ação'!E146&amp;"","")</f>
      </c>
      <c r="D147" s="40">
        <f>IF('Plano de Ação'!$B146&lt;&gt;"",'Plano de Ação'!L146,"")</f>
      </c>
      <c r="E147" s="41">
        <f>IF(OR(NOT('Plano de Ação'!$B146&lt;&gt;""),NOT(ISNUMBER('Plano de Ação'!$F146)),NOT(ISNUMBER('Plano de Ação'!$G146)),'Plano de Ação'!$J146="Cancelada"),0,IF(AND('Plano de Ação'!$F146&lt;=EOMONTH(DATE(ano_ref,1,1),0),'Plano de Ação'!$G146&gt;=DATE(ano_ref,1,1)),1,0))</f>
      </c>
      <c r="F147" s="41">
        <f>IF(OR(NOT('Plano de Ação'!$B146&lt;&gt;""),NOT(ISNUMBER('Plano de Ação'!$F146)),NOT(ISNUMBER('Plano de Ação'!$G146)),'Plano de Ação'!$J146="Cancelada"),0,IF(AND('Plano de Ação'!$F146&lt;=EOMONTH(DATE(ano_ref,2,1),0),'Plano de Ação'!$G146&gt;=DATE(ano_ref,2,1)),1,0))</f>
      </c>
      <c r="G147" s="41">
        <f>IF(OR(NOT('Plano de Ação'!$B146&lt;&gt;""),NOT(ISNUMBER('Plano de Ação'!$F146)),NOT(ISNUMBER('Plano de Ação'!$G146)),'Plano de Ação'!$J146="Cancelada"),0,IF(AND('Plano de Ação'!$F146&lt;=EOMONTH(DATE(ano_ref,3,1),0),'Plano de Ação'!$G146&gt;=DATE(ano_ref,3,1)),1,0))</f>
      </c>
      <c r="H147" s="41">
        <f>IF(OR(NOT('Plano de Ação'!$B146&lt;&gt;""),NOT(ISNUMBER('Plano de Ação'!$F146)),NOT(ISNUMBER('Plano de Ação'!$G146)),'Plano de Ação'!$J146="Cancelada"),0,IF(AND('Plano de Ação'!$F146&lt;=EOMONTH(DATE(ano_ref,4,1),0),'Plano de Ação'!$G146&gt;=DATE(ano_ref,4,1)),1,0))</f>
      </c>
      <c r="I147" s="41">
        <f>IF(OR(NOT('Plano de Ação'!$B146&lt;&gt;""),NOT(ISNUMBER('Plano de Ação'!$F146)),NOT(ISNUMBER('Plano de Ação'!$G146)),'Plano de Ação'!$J146="Cancelada"),0,IF(AND('Plano de Ação'!$F146&lt;=EOMONTH(DATE(ano_ref,5,1),0),'Plano de Ação'!$G146&gt;=DATE(ano_ref,5,1)),1,0))</f>
      </c>
      <c r="J147" s="41">
        <f>IF(OR(NOT('Plano de Ação'!$B146&lt;&gt;""),NOT(ISNUMBER('Plano de Ação'!$F146)),NOT(ISNUMBER('Plano de Ação'!$G146)),'Plano de Ação'!$J146="Cancelada"),0,IF(AND('Plano de Ação'!$F146&lt;=EOMONTH(DATE(ano_ref,6,1),0),'Plano de Ação'!$G146&gt;=DATE(ano_ref,6,1)),1,0))</f>
      </c>
      <c r="K147" s="41">
        <f>IF(OR(NOT('Plano de Ação'!$B146&lt;&gt;""),NOT(ISNUMBER('Plano de Ação'!$F146)),NOT(ISNUMBER('Plano de Ação'!$G146)),'Plano de Ação'!$J146="Cancelada"),0,IF(AND('Plano de Ação'!$F146&lt;=EOMONTH(DATE(ano_ref,7,1),0),'Plano de Ação'!$G146&gt;=DATE(ano_ref,7,1)),1,0))</f>
      </c>
      <c r="L147" s="41">
        <f>IF(OR(NOT('Plano de Ação'!$B146&lt;&gt;""),NOT(ISNUMBER('Plano de Ação'!$F146)),NOT(ISNUMBER('Plano de Ação'!$G146)),'Plano de Ação'!$J146="Cancelada"),0,IF(AND('Plano de Ação'!$F146&lt;=EOMONTH(DATE(ano_ref,8,1),0),'Plano de Ação'!$G146&gt;=DATE(ano_ref,8,1)),1,0))</f>
      </c>
      <c r="M147" s="41">
        <f>IF(OR(NOT('Plano de Ação'!$B146&lt;&gt;""),NOT(ISNUMBER('Plano de Ação'!$F146)),NOT(ISNUMBER('Plano de Ação'!$G146)),'Plano de Ação'!$J146="Cancelada"),0,IF(AND('Plano de Ação'!$F146&lt;=EOMONTH(DATE(ano_ref,9,1),0),'Plano de Ação'!$G146&gt;=DATE(ano_ref,9,1)),1,0))</f>
      </c>
      <c r="N147" s="41">
        <f>IF(OR(NOT('Plano de Ação'!$B146&lt;&gt;""),NOT(ISNUMBER('Plano de Ação'!$F146)),NOT(ISNUMBER('Plano de Ação'!$G146)),'Plano de Ação'!$J146="Cancelada"),0,IF(AND('Plano de Ação'!$F146&lt;=EOMONTH(DATE(ano_ref,10,1),0),'Plano de Ação'!$G146&gt;=DATE(ano_ref,10,1)),1,0))</f>
      </c>
      <c r="O147" s="41">
        <f>IF(OR(NOT('Plano de Ação'!$B146&lt;&gt;""),NOT(ISNUMBER('Plano de Ação'!$F146)),NOT(ISNUMBER('Plano de Ação'!$G146)),'Plano de Ação'!$J146="Cancelada"),0,IF(AND('Plano de Ação'!$F146&lt;=EOMONTH(DATE(ano_ref,11,1),0),'Plano de Ação'!$G146&gt;=DATE(ano_ref,11,1)),1,0))</f>
      </c>
      <c r="P147" s="41">
        <f>IF(OR(NOT('Plano de Ação'!$B146&lt;&gt;""),NOT(ISNUMBER('Plano de Ação'!$F146)),NOT(ISNUMBER('Plano de Ação'!$G146)),'Plano de Ação'!$J146="Cancelada"),0,IF(AND('Plano de Ação'!$F146&lt;=EOMONTH(DATE(ano_ref,12,1),0),'Plano de Ação'!$G146&gt;=DATE(ano_ref,12,1)),1,0))</f>
      </c>
    </row>
    <row r="148" spans="1:16" x14ac:dyDescent="0.25">
      <c r="A148" s="40">
        <f>IF('Plano de Ação'!$B147&lt;&gt;"",'Plano de Ação'!A147&amp;"","")</f>
      </c>
      <c r="B148" s="25">
        <f>IF('Plano de Ação'!$B147&lt;&gt;"",'Plano de Ação'!B147,"")</f>
      </c>
      <c r="C148" s="25">
        <f>IF('Plano de Ação'!$B147&lt;&gt;"",'Plano de Ação'!E147&amp;"","")</f>
      </c>
      <c r="D148" s="40">
        <f>IF('Plano de Ação'!$B147&lt;&gt;"",'Plano de Ação'!L147,"")</f>
      </c>
      <c r="E148" s="41">
        <f>IF(OR(NOT('Plano de Ação'!$B147&lt;&gt;""),NOT(ISNUMBER('Plano de Ação'!$F147)),NOT(ISNUMBER('Plano de Ação'!$G147)),'Plano de Ação'!$J147="Cancelada"),0,IF(AND('Plano de Ação'!$F147&lt;=EOMONTH(DATE(ano_ref,1,1),0),'Plano de Ação'!$G147&gt;=DATE(ano_ref,1,1)),1,0))</f>
      </c>
      <c r="F148" s="41">
        <f>IF(OR(NOT('Plano de Ação'!$B147&lt;&gt;""),NOT(ISNUMBER('Plano de Ação'!$F147)),NOT(ISNUMBER('Plano de Ação'!$G147)),'Plano de Ação'!$J147="Cancelada"),0,IF(AND('Plano de Ação'!$F147&lt;=EOMONTH(DATE(ano_ref,2,1),0),'Plano de Ação'!$G147&gt;=DATE(ano_ref,2,1)),1,0))</f>
      </c>
      <c r="G148" s="41">
        <f>IF(OR(NOT('Plano de Ação'!$B147&lt;&gt;""),NOT(ISNUMBER('Plano de Ação'!$F147)),NOT(ISNUMBER('Plano de Ação'!$G147)),'Plano de Ação'!$J147="Cancelada"),0,IF(AND('Plano de Ação'!$F147&lt;=EOMONTH(DATE(ano_ref,3,1),0),'Plano de Ação'!$G147&gt;=DATE(ano_ref,3,1)),1,0))</f>
      </c>
      <c r="H148" s="41">
        <f>IF(OR(NOT('Plano de Ação'!$B147&lt;&gt;""),NOT(ISNUMBER('Plano de Ação'!$F147)),NOT(ISNUMBER('Plano de Ação'!$G147)),'Plano de Ação'!$J147="Cancelada"),0,IF(AND('Plano de Ação'!$F147&lt;=EOMONTH(DATE(ano_ref,4,1),0),'Plano de Ação'!$G147&gt;=DATE(ano_ref,4,1)),1,0))</f>
      </c>
      <c r="I148" s="41">
        <f>IF(OR(NOT('Plano de Ação'!$B147&lt;&gt;""),NOT(ISNUMBER('Plano de Ação'!$F147)),NOT(ISNUMBER('Plano de Ação'!$G147)),'Plano de Ação'!$J147="Cancelada"),0,IF(AND('Plano de Ação'!$F147&lt;=EOMONTH(DATE(ano_ref,5,1),0),'Plano de Ação'!$G147&gt;=DATE(ano_ref,5,1)),1,0))</f>
      </c>
      <c r="J148" s="41">
        <f>IF(OR(NOT('Plano de Ação'!$B147&lt;&gt;""),NOT(ISNUMBER('Plano de Ação'!$F147)),NOT(ISNUMBER('Plano de Ação'!$G147)),'Plano de Ação'!$J147="Cancelada"),0,IF(AND('Plano de Ação'!$F147&lt;=EOMONTH(DATE(ano_ref,6,1),0),'Plano de Ação'!$G147&gt;=DATE(ano_ref,6,1)),1,0))</f>
      </c>
      <c r="K148" s="41">
        <f>IF(OR(NOT('Plano de Ação'!$B147&lt;&gt;""),NOT(ISNUMBER('Plano de Ação'!$F147)),NOT(ISNUMBER('Plano de Ação'!$G147)),'Plano de Ação'!$J147="Cancelada"),0,IF(AND('Plano de Ação'!$F147&lt;=EOMONTH(DATE(ano_ref,7,1),0),'Plano de Ação'!$G147&gt;=DATE(ano_ref,7,1)),1,0))</f>
      </c>
      <c r="L148" s="41">
        <f>IF(OR(NOT('Plano de Ação'!$B147&lt;&gt;""),NOT(ISNUMBER('Plano de Ação'!$F147)),NOT(ISNUMBER('Plano de Ação'!$G147)),'Plano de Ação'!$J147="Cancelada"),0,IF(AND('Plano de Ação'!$F147&lt;=EOMONTH(DATE(ano_ref,8,1),0),'Plano de Ação'!$G147&gt;=DATE(ano_ref,8,1)),1,0))</f>
      </c>
      <c r="M148" s="41">
        <f>IF(OR(NOT('Plano de Ação'!$B147&lt;&gt;""),NOT(ISNUMBER('Plano de Ação'!$F147)),NOT(ISNUMBER('Plano de Ação'!$G147)),'Plano de Ação'!$J147="Cancelada"),0,IF(AND('Plano de Ação'!$F147&lt;=EOMONTH(DATE(ano_ref,9,1),0),'Plano de Ação'!$G147&gt;=DATE(ano_ref,9,1)),1,0))</f>
      </c>
      <c r="N148" s="41">
        <f>IF(OR(NOT('Plano de Ação'!$B147&lt;&gt;""),NOT(ISNUMBER('Plano de Ação'!$F147)),NOT(ISNUMBER('Plano de Ação'!$G147)),'Plano de Ação'!$J147="Cancelada"),0,IF(AND('Plano de Ação'!$F147&lt;=EOMONTH(DATE(ano_ref,10,1),0),'Plano de Ação'!$G147&gt;=DATE(ano_ref,10,1)),1,0))</f>
      </c>
      <c r="O148" s="41">
        <f>IF(OR(NOT('Plano de Ação'!$B147&lt;&gt;""),NOT(ISNUMBER('Plano de Ação'!$F147)),NOT(ISNUMBER('Plano de Ação'!$G147)),'Plano de Ação'!$J147="Cancelada"),0,IF(AND('Plano de Ação'!$F147&lt;=EOMONTH(DATE(ano_ref,11,1),0),'Plano de Ação'!$G147&gt;=DATE(ano_ref,11,1)),1,0))</f>
      </c>
      <c r="P148" s="41">
        <f>IF(OR(NOT('Plano de Ação'!$B147&lt;&gt;""),NOT(ISNUMBER('Plano de Ação'!$F147)),NOT(ISNUMBER('Plano de Ação'!$G147)),'Plano de Ação'!$J147="Cancelada"),0,IF(AND('Plano de Ação'!$F147&lt;=EOMONTH(DATE(ano_ref,12,1),0),'Plano de Ação'!$G147&gt;=DATE(ano_ref,12,1)),1,0))</f>
      </c>
    </row>
    <row r="149" spans="1:16" x14ac:dyDescent="0.25">
      <c r="A149" s="40">
        <f>IF('Plano de Ação'!$B148&lt;&gt;"",'Plano de Ação'!A148&amp;"","")</f>
      </c>
      <c r="B149" s="25">
        <f>IF('Plano de Ação'!$B148&lt;&gt;"",'Plano de Ação'!B148,"")</f>
      </c>
      <c r="C149" s="25">
        <f>IF('Plano de Ação'!$B148&lt;&gt;"",'Plano de Ação'!E148&amp;"","")</f>
      </c>
      <c r="D149" s="40">
        <f>IF('Plano de Ação'!$B148&lt;&gt;"",'Plano de Ação'!L148,"")</f>
      </c>
      <c r="E149" s="41">
        <f>IF(OR(NOT('Plano de Ação'!$B148&lt;&gt;""),NOT(ISNUMBER('Plano de Ação'!$F148)),NOT(ISNUMBER('Plano de Ação'!$G148)),'Plano de Ação'!$J148="Cancelada"),0,IF(AND('Plano de Ação'!$F148&lt;=EOMONTH(DATE(ano_ref,1,1),0),'Plano de Ação'!$G148&gt;=DATE(ano_ref,1,1)),1,0))</f>
      </c>
      <c r="F149" s="41">
        <f>IF(OR(NOT('Plano de Ação'!$B148&lt;&gt;""),NOT(ISNUMBER('Plano de Ação'!$F148)),NOT(ISNUMBER('Plano de Ação'!$G148)),'Plano de Ação'!$J148="Cancelada"),0,IF(AND('Plano de Ação'!$F148&lt;=EOMONTH(DATE(ano_ref,2,1),0),'Plano de Ação'!$G148&gt;=DATE(ano_ref,2,1)),1,0))</f>
      </c>
      <c r="G149" s="41">
        <f>IF(OR(NOT('Plano de Ação'!$B148&lt;&gt;""),NOT(ISNUMBER('Plano de Ação'!$F148)),NOT(ISNUMBER('Plano de Ação'!$G148)),'Plano de Ação'!$J148="Cancelada"),0,IF(AND('Plano de Ação'!$F148&lt;=EOMONTH(DATE(ano_ref,3,1),0),'Plano de Ação'!$G148&gt;=DATE(ano_ref,3,1)),1,0))</f>
      </c>
      <c r="H149" s="41">
        <f>IF(OR(NOT('Plano de Ação'!$B148&lt;&gt;""),NOT(ISNUMBER('Plano de Ação'!$F148)),NOT(ISNUMBER('Plano de Ação'!$G148)),'Plano de Ação'!$J148="Cancelada"),0,IF(AND('Plano de Ação'!$F148&lt;=EOMONTH(DATE(ano_ref,4,1),0),'Plano de Ação'!$G148&gt;=DATE(ano_ref,4,1)),1,0))</f>
      </c>
      <c r="I149" s="41">
        <f>IF(OR(NOT('Plano de Ação'!$B148&lt;&gt;""),NOT(ISNUMBER('Plano de Ação'!$F148)),NOT(ISNUMBER('Plano de Ação'!$G148)),'Plano de Ação'!$J148="Cancelada"),0,IF(AND('Plano de Ação'!$F148&lt;=EOMONTH(DATE(ano_ref,5,1),0),'Plano de Ação'!$G148&gt;=DATE(ano_ref,5,1)),1,0))</f>
      </c>
      <c r="J149" s="41">
        <f>IF(OR(NOT('Plano de Ação'!$B148&lt;&gt;""),NOT(ISNUMBER('Plano de Ação'!$F148)),NOT(ISNUMBER('Plano de Ação'!$G148)),'Plano de Ação'!$J148="Cancelada"),0,IF(AND('Plano de Ação'!$F148&lt;=EOMONTH(DATE(ano_ref,6,1),0),'Plano de Ação'!$G148&gt;=DATE(ano_ref,6,1)),1,0))</f>
      </c>
      <c r="K149" s="41">
        <f>IF(OR(NOT('Plano de Ação'!$B148&lt;&gt;""),NOT(ISNUMBER('Plano de Ação'!$F148)),NOT(ISNUMBER('Plano de Ação'!$G148)),'Plano de Ação'!$J148="Cancelada"),0,IF(AND('Plano de Ação'!$F148&lt;=EOMONTH(DATE(ano_ref,7,1),0),'Plano de Ação'!$G148&gt;=DATE(ano_ref,7,1)),1,0))</f>
      </c>
      <c r="L149" s="41">
        <f>IF(OR(NOT('Plano de Ação'!$B148&lt;&gt;""),NOT(ISNUMBER('Plano de Ação'!$F148)),NOT(ISNUMBER('Plano de Ação'!$G148)),'Plano de Ação'!$J148="Cancelada"),0,IF(AND('Plano de Ação'!$F148&lt;=EOMONTH(DATE(ano_ref,8,1),0),'Plano de Ação'!$G148&gt;=DATE(ano_ref,8,1)),1,0))</f>
      </c>
      <c r="M149" s="41">
        <f>IF(OR(NOT('Plano de Ação'!$B148&lt;&gt;""),NOT(ISNUMBER('Plano de Ação'!$F148)),NOT(ISNUMBER('Plano de Ação'!$G148)),'Plano de Ação'!$J148="Cancelada"),0,IF(AND('Plano de Ação'!$F148&lt;=EOMONTH(DATE(ano_ref,9,1),0),'Plano de Ação'!$G148&gt;=DATE(ano_ref,9,1)),1,0))</f>
      </c>
      <c r="N149" s="41">
        <f>IF(OR(NOT('Plano de Ação'!$B148&lt;&gt;""),NOT(ISNUMBER('Plano de Ação'!$F148)),NOT(ISNUMBER('Plano de Ação'!$G148)),'Plano de Ação'!$J148="Cancelada"),0,IF(AND('Plano de Ação'!$F148&lt;=EOMONTH(DATE(ano_ref,10,1),0),'Plano de Ação'!$G148&gt;=DATE(ano_ref,10,1)),1,0))</f>
      </c>
      <c r="O149" s="41">
        <f>IF(OR(NOT('Plano de Ação'!$B148&lt;&gt;""),NOT(ISNUMBER('Plano de Ação'!$F148)),NOT(ISNUMBER('Plano de Ação'!$G148)),'Plano de Ação'!$J148="Cancelada"),0,IF(AND('Plano de Ação'!$F148&lt;=EOMONTH(DATE(ano_ref,11,1),0),'Plano de Ação'!$G148&gt;=DATE(ano_ref,11,1)),1,0))</f>
      </c>
      <c r="P149" s="41">
        <f>IF(OR(NOT('Plano de Ação'!$B148&lt;&gt;""),NOT(ISNUMBER('Plano de Ação'!$F148)),NOT(ISNUMBER('Plano de Ação'!$G148)),'Plano de Ação'!$J148="Cancelada"),0,IF(AND('Plano de Ação'!$F148&lt;=EOMONTH(DATE(ano_ref,12,1),0),'Plano de Ação'!$G148&gt;=DATE(ano_ref,12,1)),1,0))</f>
      </c>
    </row>
    <row r="150" spans="1:16" x14ac:dyDescent="0.25">
      <c r="A150" s="40">
        <f>IF('Plano de Ação'!$B149&lt;&gt;"",'Plano de Ação'!A149&amp;"","")</f>
      </c>
      <c r="B150" s="25">
        <f>IF('Plano de Ação'!$B149&lt;&gt;"",'Plano de Ação'!B149,"")</f>
      </c>
      <c r="C150" s="25">
        <f>IF('Plano de Ação'!$B149&lt;&gt;"",'Plano de Ação'!E149&amp;"","")</f>
      </c>
      <c r="D150" s="40">
        <f>IF('Plano de Ação'!$B149&lt;&gt;"",'Plano de Ação'!L149,"")</f>
      </c>
      <c r="E150" s="41">
        <f>IF(OR(NOT('Plano de Ação'!$B149&lt;&gt;""),NOT(ISNUMBER('Plano de Ação'!$F149)),NOT(ISNUMBER('Plano de Ação'!$G149)),'Plano de Ação'!$J149="Cancelada"),0,IF(AND('Plano de Ação'!$F149&lt;=EOMONTH(DATE(ano_ref,1,1),0),'Plano de Ação'!$G149&gt;=DATE(ano_ref,1,1)),1,0))</f>
      </c>
      <c r="F150" s="41">
        <f>IF(OR(NOT('Plano de Ação'!$B149&lt;&gt;""),NOT(ISNUMBER('Plano de Ação'!$F149)),NOT(ISNUMBER('Plano de Ação'!$G149)),'Plano de Ação'!$J149="Cancelada"),0,IF(AND('Plano de Ação'!$F149&lt;=EOMONTH(DATE(ano_ref,2,1),0),'Plano de Ação'!$G149&gt;=DATE(ano_ref,2,1)),1,0))</f>
      </c>
      <c r="G150" s="41">
        <f>IF(OR(NOT('Plano de Ação'!$B149&lt;&gt;""),NOT(ISNUMBER('Plano de Ação'!$F149)),NOT(ISNUMBER('Plano de Ação'!$G149)),'Plano de Ação'!$J149="Cancelada"),0,IF(AND('Plano de Ação'!$F149&lt;=EOMONTH(DATE(ano_ref,3,1),0),'Plano de Ação'!$G149&gt;=DATE(ano_ref,3,1)),1,0))</f>
      </c>
      <c r="H150" s="41">
        <f>IF(OR(NOT('Plano de Ação'!$B149&lt;&gt;""),NOT(ISNUMBER('Plano de Ação'!$F149)),NOT(ISNUMBER('Plano de Ação'!$G149)),'Plano de Ação'!$J149="Cancelada"),0,IF(AND('Plano de Ação'!$F149&lt;=EOMONTH(DATE(ano_ref,4,1),0),'Plano de Ação'!$G149&gt;=DATE(ano_ref,4,1)),1,0))</f>
      </c>
      <c r="I150" s="41">
        <f>IF(OR(NOT('Plano de Ação'!$B149&lt;&gt;""),NOT(ISNUMBER('Plano de Ação'!$F149)),NOT(ISNUMBER('Plano de Ação'!$G149)),'Plano de Ação'!$J149="Cancelada"),0,IF(AND('Plano de Ação'!$F149&lt;=EOMONTH(DATE(ano_ref,5,1),0),'Plano de Ação'!$G149&gt;=DATE(ano_ref,5,1)),1,0))</f>
      </c>
      <c r="J150" s="41">
        <f>IF(OR(NOT('Plano de Ação'!$B149&lt;&gt;""),NOT(ISNUMBER('Plano de Ação'!$F149)),NOT(ISNUMBER('Plano de Ação'!$G149)),'Plano de Ação'!$J149="Cancelada"),0,IF(AND('Plano de Ação'!$F149&lt;=EOMONTH(DATE(ano_ref,6,1),0),'Plano de Ação'!$G149&gt;=DATE(ano_ref,6,1)),1,0))</f>
      </c>
      <c r="K150" s="41">
        <f>IF(OR(NOT('Plano de Ação'!$B149&lt;&gt;""),NOT(ISNUMBER('Plano de Ação'!$F149)),NOT(ISNUMBER('Plano de Ação'!$G149)),'Plano de Ação'!$J149="Cancelada"),0,IF(AND('Plano de Ação'!$F149&lt;=EOMONTH(DATE(ano_ref,7,1),0),'Plano de Ação'!$G149&gt;=DATE(ano_ref,7,1)),1,0))</f>
      </c>
      <c r="L150" s="41">
        <f>IF(OR(NOT('Plano de Ação'!$B149&lt;&gt;""),NOT(ISNUMBER('Plano de Ação'!$F149)),NOT(ISNUMBER('Plano de Ação'!$G149)),'Plano de Ação'!$J149="Cancelada"),0,IF(AND('Plano de Ação'!$F149&lt;=EOMONTH(DATE(ano_ref,8,1),0),'Plano de Ação'!$G149&gt;=DATE(ano_ref,8,1)),1,0))</f>
      </c>
      <c r="M150" s="41">
        <f>IF(OR(NOT('Plano de Ação'!$B149&lt;&gt;""),NOT(ISNUMBER('Plano de Ação'!$F149)),NOT(ISNUMBER('Plano de Ação'!$G149)),'Plano de Ação'!$J149="Cancelada"),0,IF(AND('Plano de Ação'!$F149&lt;=EOMONTH(DATE(ano_ref,9,1),0),'Plano de Ação'!$G149&gt;=DATE(ano_ref,9,1)),1,0))</f>
      </c>
      <c r="N150" s="41">
        <f>IF(OR(NOT('Plano de Ação'!$B149&lt;&gt;""),NOT(ISNUMBER('Plano de Ação'!$F149)),NOT(ISNUMBER('Plano de Ação'!$G149)),'Plano de Ação'!$J149="Cancelada"),0,IF(AND('Plano de Ação'!$F149&lt;=EOMONTH(DATE(ano_ref,10,1),0),'Plano de Ação'!$G149&gt;=DATE(ano_ref,10,1)),1,0))</f>
      </c>
      <c r="O150" s="41">
        <f>IF(OR(NOT('Plano de Ação'!$B149&lt;&gt;""),NOT(ISNUMBER('Plano de Ação'!$F149)),NOT(ISNUMBER('Plano de Ação'!$G149)),'Plano de Ação'!$J149="Cancelada"),0,IF(AND('Plano de Ação'!$F149&lt;=EOMONTH(DATE(ano_ref,11,1),0),'Plano de Ação'!$G149&gt;=DATE(ano_ref,11,1)),1,0))</f>
      </c>
      <c r="P150" s="41">
        <f>IF(OR(NOT('Plano de Ação'!$B149&lt;&gt;""),NOT(ISNUMBER('Plano de Ação'!$F149)),NOT(ISNUMBER('Plano de Ação'!$G149)),'Plano de Ação'!$J149="Cancelada"),0,IF(AND('Plano de Ação'!$F149&lt;=EOMONTH(DATE(ano_ref,12,1),0),'Plano de Ação'!$G149&gt;=DATE(ano_ref,12,1)),1,0))</f>
      </c>
    </row>
    <row r="151" spans="1:16" x14ac:dyDescent="0.25">
      <c r="A151" s="40">
        <f>IF('Plano de Ação'!$B150&lt;&gt;"",'Plano de Ação'!A150&amp;"","")</f>
      </c>
      <c r="B151" s="25">
        <f>IF('Plano de Ação'!$B150&lt;&gt;"",'Plano de Ação'!B150,"")</f>
      </c>
      <c r="C151" s="25">
        <f>IF('Plano de Ação'!$B150&lt;&gt;"",'Plano de Ação'!E150&amp;"","")</f>
      </c>
      <c r="D151" s="40">
        <f>IF('Plano de Ação'!$B150&lt;&gt;"",'Plano de Ação'!L150,"")</f>
      </c>
      <c r="E151" s="41">
        <f>IF(OR(NOT('Plano de Ação'!$B150&lt;&gt;""),NOT(ISNUMBER('Plano de Ação'!$F150)),NOT(ISNUMBER('Plano de Ação'!$G150)),'Plano de Ação'!$J150="Cancelada"),0,IF(AND('Plano de Ação'!$F150&lt;=EOMONTH(DATE(ano_ref,1,1),0),'Plano de Ação'!$G150&gt;=DATE(ano_ref,1,1)),1,0))</f>
      </c>
      <c r="F151" s="41">
        <f>IF(OR(NOT('Plano de Ação'!$B150&lt;&gt;""),NOT(ISNUMBER('Plano de Ação'!$F150)),NOT(ISNUMBER('Plano de Ação'!$G150)),'Plano de Ação'!$J150="Cancelada"),0,IF(AND('Plano de Ação'!$F150&lt;=EOMONTH(DATE(ano_ref,2,1),0),'Plano de Ação'!$G150&gt;=DATE(ano_ref,2,1)),1,0))</f>
      </c>
      <c r="G151" s="41">
        <f>IF(OR(NOT('Plano de Ação'!$B150&lt;&gt;""),NOT(ISNUMBER('Plano de Ação'!$F150)),NOT(ISNUMBER('Plano de Ação'!$G150)),'Plano de Ação'!$J150="Cancelada"),0,IF(AND('Plano de Ação'!$F150&lt;=EOMONTH(DATE(ano_ref,3,1),0),'Plano de Ação'!$G150&gt;=DATE(ano_ref,3,1)),1,0))</f>
      </c>
      <c r="H151" s="41">
        <f>IF(OR(NOT('Plano de Ação'!$B150&lt;&gt;""),NOT(ISNUMBER('Plano de Ação'!$F150)),NOT(ISNUMBER('Plano de Ação'!$G150)),'Plano de Ação'!$J150="Cancelada"),0,IF(AND('Plano de Ação'!$F150&lt;=EOMONTH(DATE(ano_ref,4,1),0),'Plano de Ação'!$G150&gt;=DATE(ano_ref,4,1)),1,0))</f>
      </c>
      <c r="I151" s="41">
        <f>IF(OR(NOT('Plano de Ação'!$B150&lt;&gt;""),NOT(ISNUMBER('Plano de Ação'!$F150)),NOT(ISNUMBER('Plano de Ação'!$G150)),'Plano de Ação'!$J150="Cancelada"),0,IF(AND('Plano de Ação'!$F150&lt;=EOMONTH(DATE(ano_ref,5,1),0),'Plano de Ação'!$G150&gt;=DATE(ano_ref,5,1)),1,0))</f>
      </c>
      <c r="J151" s="41">
        <f>IF(OR(NOT('Plano de Ação'!$B150&lt;&gt;""),NOT(ISNUMBER('Plano de Ação'!$F150)),NOT(ISNUMBER('Plano de Ação'!$G150)),'Plano de Ação'!$J150="Cancelada"),0,IF(AND('Plano de Ação'!$F150&lt;=EOMONTH(DATE(ano_ref,6,1),0),'Plano de Ação'!$G150&gt;=DATE(ano_ref,6,1)),1,0))</f>
      </c>
      <c r="K151" s="41">
        <f>IF(OR(NOT('Plano de Ação'!$B150&lt;&gt;""),NOT(ISNUMBER('Plano de Ação'!$F150)),NOT(ISNUMBER('Plano de Ação'!$G150)),'Plano de Ação'!$J150="Cancelada"),0,IF(AND('Plano de Ação'!$F150&lt;=EOMONTH(DATE(ano_ref,7,1),0),'Plano de Ação'!$G150&gt;=DATE(ano_ref,7,1)),1,0))</f>
      </c>
      <c r="L151" s="41">
        <f>IF(OR(NOT('Plano de Ação'!$B150&lt;&gt;""),NOT(ISNUMBER('Plano de Ação'!$F150)),NOT(ISNUMBER('Plano de Ação'!$G150)),'Plano de Ação'!$J150="Cancelada"),0,IF(AND('Plano de Ação'!$F150&lt;=EOMONTH(DATE(ano_ref,8,1),0),'Plano de Ação'!$G150&gt;=DATE(ano_ref,8,1)),1,0))</f>
      </c>
      <c r="M151" s="41">
        <f>IF(OR(NOT('Plano de Ação'!$B150&lt;&gt;""),NOT(ISNUMBER('Plano de Ação'!$F150)),NOT(ISNUMBER('Plano de Ação'!$G150)),'Plano de Ação'!$J150="Cancelada"),0,IF(AND('Plano de Ação'!$F150&lt;=EOMONTH(DATE(ano_ref,9,1),0),'Plano de Ação'!$G150&gt;=DATE(ano_ref,9,1)),1,0))</f>
      </c>
      <c r="N151" s="41">
        <f>IF(OR(NOT('Plano de Ação'!$B150&lt;&gt;""),NOT(ISNUMBER('Plano de Ação'!$F150)),NOT(ISNUMBER('Plano de Ação'!$G150)),'Plano de Ação'!$J150="Cancelada"),0,IF(AND('Plano de Ação'!$F150&lt;=EOMONTH(DATE(ano_ref,10,1),0),'Plano de Ação'!$G150&gt;=DATE(ano_ref,10,1)),1,0))</f>
      </c>
      <c r="O151" s="41">
        <f>IF(OR(NOT('Plano de Ação'!$B150&lt;&gt;""),NOT(ISNUMBER('Plano de Ação'!$F150)),NOT(ISNUMBER('Plano de Ação'!$G150)),'Plano de Ação'!$J150="Cancelada"),0,IF(AND('Plano de Ação'!$F150&lt;=EOMONTH(DATE(ano_ref,11,1),0),'Plano de Ação'!$G150&gt;=DATE(ano_ref,11,1)),1,0))</f>
      </c>
      <c r="P151" s="41">
        <f>IF(OR(NOT('Plano de Ação'!$B150&lt;&gt;""),NOT(ISNUMBER('Plano de Ação'!$F150)),NOT(ISNUMBER('Plano de Ação'!$G150)),'Plano de Ação'!$J150="Cancelada"),0,IF(AND('Plano de Ação'!$F150&lt;=EOMONTH(DATE(ano_ref,12,1),0),'Plano de Ação'!$G150&gt;=DATE(ano_ref,12,1)),1,0))</f>
      </c>
    </row>
    <row r="152" spans="1:16" x14ac:dyDescent="0.25">
      <c r="A152" s="40">
        <f>IF('Plano de Ação'!$B151&lt;&gt;"",'Plano de Ação'!A151&amp;"","")</f>
      </c>
      <c r="B152" s="25">
        <f>IF('Plano de Ação'!$B151&lt;&gt;"",'Plano de Ação'!B151,"")</f>
      </c>
      <c r="C152" s="25">
        <f>IF('Plano de Ação'!$B151&lt;&gt;"",'Plano de Ação'!E151&amp;"","")</f>
      </c>
      <c r="D152" s="40">
        <f>IF('Plano de Ação'!$B151&lt;&gt;"",'Plano de Ação'!L151,"")</f>
      </c>
      <c r="E152" s="41">
        <f>IF(OR(NOT('Plano de Ação'!$B151&lt;&gt;""),NOT(ISNUMBER('Plano de Ação'!$F151)),NOT(ISNUMBER('Plano de Ação'!$G151)),'Plano de Ação'!$J151="Cancelada"),0,IF(AND('Plano de Ação'!$F151&lt;=EOMONTH(DATE(ano_ref,1,1),0),'Plano de Ação'!$G151&gt;=DATE(ano_ref,1,1)),1,0))</f>
      </c>
      <c r="F152" s="41">
        <f>IF(OR(NOT('Plano de Ação'!$B151&lt;&gt;""),NOT(ISNUMBER('Plano de Ação'!$F151)),NOT(ISNUMBER('Plano de Ação'!$G151)),'Plano de Ação'!$J151="Cancelada"),0,IF(AND('Plano de Ação'!$F151&lt;=EOMONTH(DATE(ano_ref,2,1),0),'Plano de Ação'!$G151&gt;=DATE(ano_ref,2,1)),1,0))</f>
      </c>
      <c r="G152" s="41">
        <f>IF(OR(NOT('Plano de Ação'!$B151&lt;&gt;""),NOT(ISNUMBER('Plano de Ação'!$F151)),NOT(ISNUMBER('Plano de Ação'!$G151)),'Plano de Ação'!$J151="Cancelada"),0,IF(AND('Plano de Ação'!$F151&lt;=EOMONTH(DATE(ano_ref,3,1),0),'Plano de Ação'!$G151&gt;=DATE(ano_ref,3,1)),1,0))</f>
      </c>
      <c r="H152" s="41">
        <f>IF(OR(NOT('Plano de Ação'!$B151&lt;&gt;""),NOT(ISNUMBER('Plano de Ação'!$F151)),NOT(ISNUMBER('Plano de Ação'!$G151)),'Plano de Ação'!$J151="Cancelada"),0,IF(AND('Plano de Ação'!$F151&lt;=EOMONTH(DATE(ano_ref,4,1),0),'Plano de Ação'!$G151&gt;=DATE(ano_ref,4,1)),1,0))</f>
      </c>
      <c r="I152" s="41">
        <f>IF(OR(NOT('Plano de Ação'!$B151&lt;&gt;""),NOT(ISNUMBER('Plano de Ação'!$F151)),NOT(ISNUMBER('Plano de Ação'!$G151)),'Plano de Ação'!$J151="Cancelada"),0,IF(AND('Plano de Ação'!$F151&lt;=EOMONTH(DATE(ano_ref,5,1),0),'Plano de Ação'!$G151&gt;=DATE(ano_ref,5,1)),1,0))</f>
      </c>
      <c r="J152" s="41">
        <f>IF(OR(NOT('Plano de Ação'!$B151&lt;&gt;""),NOT(ISNUMBER('Plano de Ação'!$F151)),NOT(ISNUMBER('Plano de Ação'!$G151)),'Plano de Ação'!$J151="Cancelada"),0,IF(AND('Plano de Ação'!$F151&lt;=EOMONTH(DATE(ano_ref,6,1),0),'Plano de Ação'!$G151&gt;=DATE(ano_ref,6,1)),1,0))</f>
      </c>
      <c r="K152" s="41">
        <f>IF(OR(NOT('Plano de Ação'!$B151&lt;&gt;""),NOT(ISNUMBER('Plano de Ação'!$F151)),NOT(ISNUMBER('Plano de Ação'!$G151)),'Plano de Ação'!$J151="Cancelada"),0,IF(AND('Plano de Ação'!$F151&lt;=EOMONTH(DATE(ano_ref,7,1),0),'Plano de Ação'!$G151&gt;=DATE(ano_ref,7,1)),1,0))</f>
      </c>
      <c r="L152" s="41">
        <f>IF(OR(NOT('Plano de Ação'!$B151&lt;&gt;""),NOT(ISNUMBER('Plano de Ação'!$F151)),NOT(ISNUMBER('Plano de Ação'!$G151)),'Plano de Ação'!$J151="Cancelada"),0,IF(AND('Plano de Ação'!$F151&lt;=EOMONTH(DATE(ano_ref,8,1),0),'Plano de Ação'!$G151&gt;=DATE(ano_ref,8,1)),1,0))</f>
      </c>
      <c r="M152" s="41">
        <f>IF(OR(NOT('Plano de Ação'!$B151&lt;&gt;""),NOT(ISNUMBER('Plano de Ação'!$F151)),NOT(ISNUMBER('Plano de Ação'!$G151)),'Plano de Ação'!$J151="Cancelada"),0,IF(AND('Plano de Ação'!$F151&lt;=EOMONTH(DATE(ano_ref,9,1),0),'Plano de Ação'!$G151&gt;=DATE(ano_ref,9,1)),1,0))</f>
      </c>
      <c r="N152" s="41">
        <f>IF(OR(NOT('Plano de Ação'!$B151&lt;&gt;""),NOT(ISNUMBER('Plano de Ação'!$F151)),NOT(ISNUMBER('Plano de Ação'!$G151)),'Plano de Ação'!$J151="Cancelada"),0,IF(AND('Plano de Ação'!$F151&lt;=EOMONTH(DATE(ano_ref,10,1),0),'Plano de Ação'!$G151&gt;=DATE(ano_ref,10,1)),1,0))</f>
      </c>
      <c r="O152" s="41">
        <f>IF(OR(NOT('Plano de Ação'!$B151&lt;&gt;""),NOT(ISNUMBER('Plano de Ação'!$F151)),NOT(ISNUMBER('Plano de Ação'!$G151)),'Plano de Ação'!$J151="Cancelada"),0,IF(AND('Plano de Ação'!$F151&lt;=EOMONTH(DATE(ano_ref,11,1),0),'Plano de Ação'!$G151&gt;=DATE(ano_ref,11,1)),1,0))</f>
      </c>
      <c r="P152" s="41">
        <f>IF(OR(NOT('Plano de Ação'!$B151&lt;&gt;""),NOT(ISNUMBER('Plano de Ação'!$F151)),NOT(ISNUMBER('Plano de Ação'!$G151)),'Plano de Ação'!$J151="Cancelada"),0,IF(AND('Plano de Ação'!$F151&lt;=EOMONTH(DATE(ano_ref,12,1),0),'Plano de Ação'!$G151&gt;=DATE(ano_ref,12,1)),1,0))</f>
      </c>
    </row>
    <row r="153" spans="1:16" x14ac:dyDescent="0.25">
      <c r="A153" s="40">
        <f>IF('Plano de Ação'!$B152&lt;&gt;"",'Plano de Ação'!A152&amp;"","")</f>
      </c>
      <c r="B153" s="25">
        <f>IF('Plano de Ação'!$B152&lt;&gt;"",'Plano de Ação'!B152,"")</f>
      </c>
      <c r="C153" s="25">
        <f>IF('Plano de Ação'!$B152&lt;&gt;"",'Plano de Ação'!E152&amp;"","")</f>
      </c>
      <c r="D153" s="40">
        <f>IF('Plano de Ação'!$B152&lt;&gt;"",'Plano de Ação'!L152,"")</f>
      </c>
      <c r="E153" s="41">
        <f>IF(OR(NOT('Plano de Ação'!$B152&lt;&gt;""),NOT(ISNUMBER('Plano de Ação'!$F152)),NOT(ISNUMBER('Plano de Ação'!$G152)),'Plano de Ação'!$J152="Cancelada"),0,IF(AND('Plano de Ação'!$F152&lt;=EOMONTH(DATE(ano_ref,1,1),0),'Plano de Ação'!$G152&gt;=DATE(ano_ref,1,1)),1,0))</f>
      </c>
      <c r="F153" s="41">
        <f>IF(OR(NOT('Plano de Ação'!$B152&lt;&gt;""),NOT(ISNUMBER('Plano de Ação'!$F152)),NOT(ISNUMBER('Plano de Ação'!$G152)),'Plano de Ação'!$J152="Cancelada"),0,IF(AND('Plano de Ação'!$F152&lt;=EOMONTH(DATE(ano_ref,2,1),0),'Plano de Ação'!$G152&gt;=DATE(ano_ref,2,1)),1,0))</f>
      </c>
      <c r="G153" s="41">
        <f>IF(OR(NOT('Plano de Ação'!$B152&lt;&gt;""),NOT(ISNUMBER('Plano de Ação'!$F152)),NOT(ISNUMBER('Plano de Ação'!$G152)),'Plano de Ação'!$J152="Cancelada"),0,IF(AND('Plano de Ação'!$F152&lt;=EOMONTH(DATE(ano_ref,3,1),0),'Plano de Ação'!$G152&gt;=DATE(ano_ref,3,1)),1,0))</f>
      </c>
      <c r="H153" s="41">
        <f>IF(OR(NOT('Plano de Ação'!$B152&lt;&gt;""),NOT(ISNUMBER('Plano de Ação'!$F152)),NOT(ISNUMBER('Plano de Ação'!$G152)),'Plano de Ação'!$J152="Cancelada"),0,IF(AND('Plano de Ação'!$F152&lt;=EOMONTH(DATE(ano_ref,4,1),0),'Plano de Ação'!$G152&gt;=DATE(ano_ref,4,1)),1,0))</f>
      </c>
      <c r="I153" s="41">
        <f>IF(OR(NOT('Plano de Ação'!$B152&lt;&gt;""),NOT(ISNUMBER('Plano de Ação'!$F152)),NOT(ISNUMBER('Plano de Ação'!$G152)),'Plano de Ação'!$J152="Cancelada"),0,IF(AND('Plano de Ação'!$F152&lt;=EOMONTH(DATE(ano_ref,5,1),0),'Plano de Ação'!$G152&gt;=DATE(ano_ref,5,1)),1,0))</f>
      </c>
      <c r="J153" s="41">
        <f>IF(OR(NOT('Plano de Ação'!$B152&lt;&gt;""),NOT(ISNUMBER('Plano de Ação'!$F152)),NOT(ISNUMBER('Plano de Ação'!$G152)),'Plano de Ação'!$J152="Cancelada"),0,IF(AND('Plano de Ação'!$F152&lt;=EOMONTH(DATE(ano_ref,6,1),0),'Plano de Ação'!$G152&gt;=DATE(ano_ref,6,1)),1,0))</f>
      </c>
      <c r="K153" s="41">
        <f>IF(OR(NOT('Plano de Ação'!$B152&lt;&gt;""),NOT(ISNUMBER('Plano de Ação'!$F152)),NOT(ISNUMBER('Plano de Ação'!$G152)),'Plano de Ação'!$J152="Cancelada"),0,IF(AND('Plano de Ação'!$F152&lt;=EOMONTH(DATE(ano_ref,7,1),0),'Plano de Ação'!$G152&gt;=DATE(ano_ref,7,1)),1,0))</f>
      </c>
      <c r="L153" s="41">
        <f>IF(OR(NOT('Plano de Ação'!$B152&lt;&gt;""),NOT(ISNUMBER('Plano de Ação'!$F152)),NOT(ISNUMBER('Plano de Ação'!$G152)),'Plano de Ação'!$J152="Cancelada"),0,IF(AND('Plano de Ação'!$F152&lt;=EOMONTH(DATE(ano_ref,8,1),0),'Plano de Ação'!$G152&gt;=DATE(ano_ref,8,1)),1,0))</f>
      </c>
      <c r="M153" s="41">
        <f>IF(OR(NOT('Plano de Ação'!$B152&lt;&gt;""),NOT(ISNUMBER('Plano de Ação'!$F152)),NOT(ISNUMBER('Plano de Ação'!$G152)),'Plano de Ação'!$J152="Cancelada"),0,IF(AND('Plano de Ação'!$F152&lt;=EOMONTH(DATE(ano_ref,9,1),0),'Plano de Ação'!$G152&gt;=DATE(ano_ref,9,1)),1,0))</f>
      </c>
      <c r="N153" s="41">
        <f>IF(OR(NOT('Plano de Ação'!$B152&lt;&gt;""),NOT(ISNUMBER('Plano de Ação'!$F152)),NOT(ISNUMBER('Plano de Ação'!$G152)),'Plano de Ação'!$J152="Cancelada"),0,IF(AND('Plano de Ação'!$F152&lt;=EOMONTH(DATE(ano_ref,10,1),0),'Plano de Ação'!$G152&gt;=DATE(ano_ref,10,1)),1,0))</f>
      </c>
      <c r="O153" s="41">
        <f>IF(OR(NOT('Plano de Ação'!$B152&lt;&gt;""),NOT(ISNUMBER('Plano de Ação'!$F152)),NOT(ISNUMBER('Plano de Ação'!$G152)),'Plano de Ação'!$J152="Cancelada"),0,IF(AND('Plano de Ação'!$F152&lt;=EOMONTH(DATE(ano_ref,11,1),0),'Plano de Ação'!$G152&gt;=DATE(ano_ref,11,1)),1,0))</f>
      </c>
      <c r="P153" s="41">
        <f>IF(OR(NOT('Plano de Ação'!$B152&lt;&gt;""),NOT(ISNUMBER('Plano de Ação'!$F152)),NOT(ISNUMBER('Plano de Ação'!$G152)),'Plano de Ação'!$J152="Cancelada"),0,IF(AND('Plano de Ação'!$F152&lt;=EOMONTH(DATE(ano_ref,12,1),0),'Plano de Ação'!$G152&gt;=DATE(ano_ref,12,1)),1,0))</f>
      </c>
    </row>
    <row r="154" spans="1:16" x14ac:dyDescent="0.25">
      <c r="A154" s="40">
        <f>IF('Plano de Ação'!$B153&lt;&gt;"",'Plano de Ação'!A153&amp;"","")</f>
      </c>
      <c r="B154" s="25">
        <f>IF('Plano de Ação'!$B153&lt;&gt;"",'Plano de Ação'!B153,"")</f>
      </c>
      <c r="C154" s="25">
        <f>IF('Plano de Ação'!$B153&lt;&gt;"",'Plano de Ação'!E153&amp;"","")</f>
      </c>
      <c r="D154" s="40">
        <f>IF('Plano de Ação'!$B153&lt;&gt;"",'Plano de Ação'!L153,"")</f>
      </c>
      <c r="E154" s="41">
        <f>IF(OR(NOT('Plano de Ação'!$B153&lt;&gt;""),NOT(ISNUMBER('Plano de Ação'!$F153)),NOT(ISNUMBER('Plano de Ação'!$G153)),'Plano de Ação'!$J153="Cancelada"),0,IF(AND('Plano de Ação'!$F153&lt;=EOMONTH(DATE(ano_ref,1,1),0),'Plano de Ação'!$G153&gt;=DATE(ano_ref,1,1)),1,0))</f>
      </c>
      <c r="F154" s="41">
        <f>IF(OR(NOT('Plano de Ação'!$B153&lt;&gt;""),NOT(ISNUMBER('Plano de Ação'!$F153)),NOT(ISNUMBER('Plano de Ação'!$G153)),'Plano de Ação'!$J153="Cancelada"),0,IF(AND('Plano de Ação'!$F153&lt;=EOMONTH(DATE(ano_ref,2,1),0),'Plano de Ação'!$G153&gt;=DATE(ano_ref,2,1)),1,0))</f>
      </c>
      <c r="G154" s="41">
        <f>IF(OR(NOT('Plano de Ação'!$B153&lt;&gt;""),NOT(ISNUMBER('Plano de Ação'!$F153)),NOT(ISNUMBER('Plano de Ação'!$G153)),'Plano de Ação'!$J153="Cancelada"),0,IF(AND('Plano de Ação'!$F153&lt;=EOMONTH(DATE(ano_ref,3,1),0),'Plano de Ação'!$G153&gt;=DATE(ano_ref,3,1)),1,0))</f>
      </c>
      <c r="H154" s="41">
        <f>IF(OR(NOT('Plano de Ação'!$B153&lt;&gt;""),NOT(ISNUMBER('Plano de Ação'!$F153)),NOT(ISNUMBER('Plano de Ação'!$G153)),'Plano de Ação'!$J153="Cancelada"),0,IF(AND('Plano de Ação'!$F153&lt;=EOMONTH(DATE(ano_ref,4,1),0),'Plano de Ação'!$G153&gt;=DATE(ano_ref,4,1)),1,0))</f>
      </c>
      <c r="I154" s="41">
        <f>IF(OR(NOT('Plano de Ação'!$B153&lt;&gt;""),NOT(ISNUMBER('Plano de Ação'!$F153)),NOT(ISNUMBER('Plano de Ação'!$G153)),'Plano de Ação'!$J153="Cancelada"),0,IF(AND('Plano de Ação'!$F153&lt;=EOMONTH(DATE(ano_ref,5,1),0),'Plano de Ação'!$G153&gt;=DATE(ano_ref,5,1)),1,0))</f>
      </c>
      <c r="J154" s="41">
        <f>IF(OR(NOT('Plano de Ação'!$B153&lt;&gt;""),NOT(ISNUMBER('Plano de Ação'!$F153)),NOT(ISNUMBER('Plano de Ação'!$G153)),'Plano de Ação'!$J153="Cancelada"),0,IF(AND('Plano de Ação'!$F153&lt;=EOMONTH(DATE(ano_ref,6,1),0),'Plano de Ação'!$G153&gt;=DATE(ano_ref,6,1)),1,0))</f>
      </c>
      <c r="K154" s="41">
        <f>IF(OR(NOT('Plano de Ação'!$B153&lt;&gt;""),NOT(ISNUMBER('Plano de Ação'!$F153)),NOT(ISNUMBER('Plano de Ação'!$G153)),'Plano de Ação'!$J153="Cancelada"),0,IF(AND('Plano de Ação'!$F153&lt;=EOMONTH(DATE(ano_ref,7,1),0),'Plano de Ação'!$G153&gt;=DATE(ano_ref,7,1)),1,0))</f>
      </c>
      <c r="L154" s="41">
        <f>IF(OR(NOT('Plano de Ação'!$B153&lt;&gt;""),NOT(ISNUMBER('Plano de Ação'!$F153)),NOT(ISNUMBER('Plano de Ação'!$G153)),'Plano de Ação'!$J153="Cancelada"),0,IF(AND('Plano de Ação'!$F153&lt;=EOMONTH(DATE(ano_ref,8,1),0),'Plano de Ação'!$G153&gt;=DATE(ano_ref,8,1)),1,0))</f>
      </c>
      <c r="M154" s="41">
        <f>IF(OR(NOT('Plano de Ação'!$B153&lt;&gt;""),NOT(ISNUMBER('Plano de Ação'!$F153)),NOT(ISNUMBER('Plano de Ação'!$G153)),'Plano de Ação'!$J153="Cancelada"),0,IF(AND('Plano de Ação'!$F153&lt;=EOMONTH(DATE(ano_ref,9,1),0),'Plano de Ação'!$G153&gt;=DATE(ano_ref,9,1)),1,0))</f>
      </c>
      <c r="N154" s="41">
        <f>IF(OR(NOT('Plano de Ação'!$B153&lt;&gt;""),NOT(ISNUMBER('Plano de Ação'!$F153)),NOT(ISNUMBER('Plano de Ação'!$G153)),'Plano de Ação'!$J153="Cancelada"),0,IF(AND('Plano de Ação'!$F153&lt;=EOMONTH(DATE(ano_ref,10,1),0),'Plano de Ação'!$G153&gt;=DATE(ano_ref,10,1)),1,0))</f>
      </c>
      <c r="O154" s="41">
        <f>IF(OR(NOT('Plano de Ação'!$B153&lt;&gt;""),NOT(ISNUMBER('Plano de Ação'!$F153)),NOT(ISNUMBER('Plano de Ação'!$G153)),'Plano de Ação'!$J153="Cancelada"),0,IF(AND('Plano de Ação'!$F153&lt;=EOMONTH(DATE(ano_ref,11,1),0),'Plano de Ação'!$G153&gt;=DATE(ano_ref,11,1)),1,0))</f>
      </c>
      <c r="P154" s="41">
        <f>IF(OR(NOT('Plano de Ação'!$B153&lt;&gt;""),NOT(ISNUMBER('Plano de Ação'!$F153)),NOT(ISNUMBER('Plano de Ação'!$G153)),'Plano de Ação'!$J153="Cancelada"),0,IF(AND('Plano de Ação'!$F153&lt;=EOMONTH(DATE(ano_ref,12,1),0),'Plano de Ação'!$G153&gt;=DATE(ano_ref,12,1)),1,0))</f>
      </c>
    </row>
    <row r="155" spans="1:16" x14ac:dyDescent="0.25">
      <c r="A155" s="40">
        <f>IF('Plano de Ação'!$B154&lt;&gt;"",'Plano de Ação'!A154&amp;"","")</f>
      </c>
      <c r="B155" s="25">
        <f>IF('Plano de Ação'!$B154&lt;&gt;"",'Plano de Ação'!B154,"")</f>
      </c>
      <c r="C155" s="25">
        <f>IF('Plano de Ação'!$B154&lt;&gt;"",'Plano de Ação'!E154&amp;"","")</f>
      </c>
      <c r="D155" s="40">
        <f>IF('Plano de Ação'!$B154&lt;&gt;"",'Plano de Ação'!L154,"")</f>
      </c>
      <c r="E155" s="41">
        <f>IF(OR(NOT('Plano de Ação'!$B154&lt;&gt;""),NOT(ISNUMBER('Plano de Ação'!$F154)),NOT(ISNUMBER('Plano de Ação'!$G154)),'Plano de Ação'!$J154="Cancelada"),0,IF(AND('Plano de Ação'!$F154&lt;=EOMONTH(DATE(ano_ref,1,1),0),'Plano de Ação'!$G154&gt;=DATE(ano_ref,1,1)),1,0))</f>
      </c>
      <c r="F155" s="41">
        <f>IF(OR(NOT('Plano de Ação'!$B154&lt;&gt;""),NOT(ISNUMBER('Plano de Ação'!$F154)),NOT(ISNUMBER('Plano de Ação'!$G154)),'Plano de Ação'!$J154="Cancelada"),0,IF(AND('Plano de Ação'!$F154&lt;=EOMONTH(DATE(ano_ref,2,1),0),'Plano de Ação'!$G154&gt;=DATE(ano_ref,2,1)),1,0))</f>
      </c>
      <c r="G155" s="41">
        <f>IF(OR(NOT('Plano de Ação'!$B154&lt;&gt;""),NOT(ISNUMBER('Plano de Ação'!$F154)),NOT(ISNUMBER('Plano de Ação'!$G154)),'Plano de Ação'!$J154="Cancelada"),0,IF(AND('Plano de Ação'!$F154&lt;=EOMONTH(DATE(ano_ref,3,1),0),'Plano de Ação'!$G154&gt;=DATE(ano_ref,3,1)),1,0))</f>
      </c>
      <c r="H155" s="41">
        <f>IF(OR(NOT('Plano de Ação'!$B154&lt;&gt;""),NOT(ISNUMBER('Plano de Ação'!$F154)),NOT(ISNUMBER('Plano de Ação'!$G154)),'Plano de Ação'!$J154="Cancelada"),0,IF(AND('Plano de Ação'!$F154&lt;=EOMONTH(DATE(ano_ref,4,1),0),'Plano de Ação'!$G154&gt;=DATE(ano_ref,4,1)),1,0))</f>
      </c>
      <c r="I155" s="41">
        <f>IF(OR(NOT('Plano de Ação'!$B154&lt;&gt;""),NOT(ISNUMBER('Plano de Ação'!$F154)),NOT(ISNUMBER('Plano de Ação'!$G154)),'Plano de Ação'!$J154="Cancelada"),0,IF(AND('Plano de Ação'!$F154&lt;=EOMONTH(DATE(ano_ref,5,1),0),'Plano de Ação'!$G154&gt;=DATE(ano_ref,5,1)),1,0))</f>
      </c>
      <c r="J155" s="41">
        <f>IF(OR(NOT('Plano de Ação'!$B154&lt;&gt;""),NOT(ISNUMBER('Plano de Ação'!$F154)),NOT(ISNUMBER('Plano de Ação'!$G154)),'Plano de Ação'!$J154="Cancelada"),0,IF(AND('Plano de Ação'!$F154&lt;=EOMONTH(DATE(ano_ref,6,1),0),'Plano de Ação'!$G154&gt;=DATE(ano_ref,6,1)),1,0))</f>
      </c>
      <c r="K155" s="41">
        <f>IF(OR(NOT('Plano de Ação'!$B154&lt;&gt;""),NOT(ISNUMBER('Plano de Ação'!$F154)),NOT(ISNUMBER('Plano de Ação'!$G154)),'Plano de Ação'!$J154="Cancelada"),0,IF(AND('Plano de Ação'!$F154&lt;=EOMONTH(DATE(ano_ref,7,1),0),'Plano de Ação'!$G154&gt;=DATE(ano_ref,7,1)),1,0))</f>
      </c>
      <c r="L155" s="41">
        <f>IF(OR(NOT('Plano de Ação'!$B154&lt;&gt;""),NOT(ISNUMBER('Plano de Ação'!$F154)),NOT(ISNUMBER('Plano de Ação'!$G154)),'Plano de Ação'!$J154="Cancelada"),0,IF(AND('Plano de Ação'!$F154&lt;=EOMONTH(DATE(ano_ref,8,1),0),'Plano de Ação'!$G154&gt;=DATE(ano_ref,8,1)),1,0))</f>
      </c>
      <c r="M155" s="41">
        <f>IF(OR(NOT('Plano de Ação'!$B154&lt;&gt;""),NOT(ISNUMBER('Plano de Ação'!$F154)),NOT(ISNUMBER('Plano de Ação'!$G154)),'Plano de Ação'!$J154="Cancelada"),0,IF(AND('Plano de Ação'!$F154&lt;=EOMONTH(DATE(ano_ref,9,1),0),'Plano de Ação'!$G154&gt;=DATE(ano_ref,9,1)),1,0))</f>
      </c>
      <c r="N155" s="41">
        <f>IF(OR(NOT('Plano de Ação'!$B154&lt;&gt;""),NOT(ISNUMBER('Plano de Ação'!$F154)),NOT(ISNUMBER('Plano de Ação'!$G154)),'Plano de Ação'!$J154="Cancelada"),0,IF(AND('Plano de Ação'!$F154&lt;=EOMONTH(DATE(ano_ref,10,1),0),'Plano de Ação'!$G154&gt;=DATE(ano_ref,10,1)),1,0))</f>
      </c>
      <c r="O155" s="41">
        <f>IF(OR(NOT('Plano de Ação'!$B154&lt;&gt;""),NOT(ISNUMBER('Plano de Ação'!$F154)),NOT(ISNUMBER('Plano de Ação'!$G154)),'Plano de Ação'!$J154="Cancelada"),0,IF(AND('Plano de Ação'!$F154&lt;=EOMONTH(DATE(ano_ref,11,1),0),'Plano de Ação'!$G154&gt;=DATE(ano_ref,11,1)),1,0))</f>
      </c>
      <c r="P155" s="41">
        <f>IF(OR(NOT('Plano de Ação'!$B154&lt;&gt;""),NOT(ISNUMBER('Plano de Ação'!$F154)),NOT(ISNUMBER('Plano de Ação'!$G154)),'Plano de Ação'!$J154="Cancelada"),0,IF(AND('Plano de Ação'!$F154&lt;=EOMONTH(DATE(ano_ref,12,1),0),'Plano de Ação'!$G154&gt;=DATE(ano_ref,12,1)),1,0))</f>
      </c>
    </row>
    <row r="156" spans="1:16" x14ac:dyDescent="0.25">
      <c r="A156" s="40">
        <f>IF('Plano de Ação'!$B155&lt;&gt;"",'Plano de Ação'!A155&amp;"","")</f>
      </c>
      <c r="B156" s="25">
        <f>IF('Plano de Ação'!$B155&lt;&gt;"",'Plano de Ação'!B155,"")</f>
      </c>
      <c r="C156" s="25">
        <f>IF('Plano de Ação'!$B155&lt;&gt;"",'Plano de Ação'!E155&amp;"","")</f>
      </c>
      <c r="D156" s="40">
        <f>IF('Plano de Ação'!$B155&lt;&gt;"",'Plano de Ação'!L155,"")</f>
      </c>
      <c r="E156" s="41">
        <f>IF(OR(NOT('Plano de Ação'!$B155&lt;&gt;""),NOT(ISNUMBER('Plano de Ação'!$F155)),NOT(ISNUMBER('Plano de Ação'!$G155)),'Plano de Ação'!$J155="Cancelada"),0,IF(AND('Plano de Ação'!$F155&lt;=EOMONTH(DATE(ano_ref,1,1),0),'Plano de Ação'!$G155&gt;=DATE(ano_ref,1,1)),1,0))</f>
      </c>
      <c r="F156" s="41">
        <f>IF(OR(NOT('Plano de Ação'!$B155&lt;&gt;""),NOT(ISNUMBER('Plano de Ação'!$F155)),NOT(ISNUMBER('Plano de Ação'!$G155)),'Plano de Ação'!$J155="Cancelada"),0,IF(AND('Plano de Ação'!$F155&lt;=EOMONTH(DATE(ano_ref,2,1),0),'Plano de Ação'!$G155&gt;=DATE(ano_ref,2,1)),1,0))</f>
      </c>
      <c r="G156" s="41">
        <f>IF(OR(NOT('Plano de Ação'!$B155&lt;&gt;""),NOT(ISNUMBER('Plano de Ação'!$F155)),NOT(ISNUMBER('Plano de Ação'!$G155)),'Plano de Ação'!$J155="Cancelada"),0,IF(AND('Plano de Ação'!$F155&lt;=EOMONTH(DATE(ano_ref,3,1),0),'Plano de Ação'!$G155&gt;=DATE(ano_ref,3,1)),1,0))</f>
      </c>
      <c r="H156" s="41">
        <f>IF(OR(NOT('Plano de Ação'!$B155&lt;&gt;""),NOT(ISNUMBER('Plano de Ação'!$F155)),NOT(ISNUMBER('Plano de Ação'!$G155)),'Plano de Ação'!$J155="Cancelada"),0,IF(AND('Plano de Ação'!$F155&lt;=EOMONTH(DATE(ano_ref,4,1),0),'Plano de Ação'!$G155&gt;=DATE(ano_ref,4,1)),1,0))</f>
      </c>
      <c r="I156" s="41">
        <f>IF(OR(NOT('Plano de Ação'!$B155&lt;&gt;""),NOT(ISNUMBER('Plano de Ação'!$F155)),NOT(ISNUMBER('Plano de Ação'!$G155)),'Plano de Ação'!$J155="Cancelada"),0,IF(AND('Plano de Ação'!$F155&lt;=EOMONTH(DATE(ano_ref,5,1),0),'Plano de Ação'!$G155&gt;=DATE(ano_ref,5,1)),1,0))</f>
      </c>
      <c r="J156" s="41">
        <f>IF(OR(NOT('Plano de Ação'!$B155&lt;&gt;""),NOT(ISNUMBER('Plano de Ação'!$F155)),NOT(ISNUMBER('Plano de Ação'!$G155)),'Plano de Ação'!$J155="Cancelada"),0,IF(AND('Plano de Ação'!$F155&lt;=EOMONTH(DATE(ano_ref,6,1),0),'Plano de Ação'!$G155&gt;=DATE(ano_ref,6,1)),1,0))</f>
      </c>
      <c r="K156" s="41">
        <f>IF(OR(NOT('Plano de Ação'!$B155&lt;&gt;""),NOT(ISNUMBER('Plano de Ação'!$F155)),NOT(ISNUMBER('Plano de Ação'!$G155)),'Plano de Ação'!$J155="Cancelada"),0,IF(AND('Plano de Ação'!$F155&lt;=EOMONTH(DATE(ano_ref,7,1),0),'Plano de Ação'!$G155&gt;=DATE(ano_ref,7,1)),1,0))</f>
      </c>
      <c r="L156" s="41">
        <f>IF(OR(NOT('Plano de Ação'!$B155&lt;&gt;""),NOT(ISNUMBER('Plano de Ação'!$F155)),NOT(ISNUMBER('Plano de Ação'!$G155)),'Plano de Ação'!$J155="Cancelada"),0,IF(AND('Plano de Ação'!$F155&lt;=EOMONTH(DATE(ano_ref,8,1),0),'Plano de Ação'!$G155&gt;=DATE(ano_ref,8,1)),1,0))</f>
      </c>
      <c r="M156" s="41">
        <f>IF(OR(NOT('Plano de Ação'!$B155&lt;&gt;""),NOT(ISNUMBER('Plano de Ação'!$F155)),NOT(ISNUMBER('Plano de Ação'!$G155)),'Plano de Ação'!$J155="Cancelada"),0,IF(AND('Plano de Ação'!$F155&lt;=EOMONTH(DATE(ano_ref,9,1),0),'Plano de Ação'!$G155&gt;=DATE(ano_ref,9,1)),1,0))</f>
      </c>
      <c r="N156" s="41">
        <f>IF(OR(NOT('Plano de Ação'!$B155&lt;&gt;""),NOT(ISNUMBER('Plano de Ação'!$F155)),NOT(ISNUMBER('Plano de Ação'!$G155)),'Plano de Ação'!$J155="Cancelada"),0,IF(AND('Plano de Ação'!$F155&lt;=EOMONTH(DATE(ano_ref,10,1),0),'Plano de Ação'!$G155&gt;=DATE(ano_ref,10,1)),1,0))</f>
      </c>
      <c r="O156" s="41">
        <f>IF(OR(NOT('Plano de Ação'!$B155&lt;&gt;""),NOT(ISNUMBER('Plano de Ação'!$F155)),NOT(ISNUMBER('Plano de Ação'!$G155)),'Plano de Ação'!$J155="Cancelada"),0,IF(AND('Plano de Ação'!$F155&lt;=EOMONTH(DATE(ano_ref,11,1),0),'Plano de Ação'!$G155&gt;=DATE(ano_ref,11,1)),1,0))</f>
      </c>
      <c r="P156" s="41">
        <f>IF(OR(NOT('Plano de Ação'!$B155&lt;&gt;""),NOT(ISNUMBER('Plano de Ação'!$F155)),NOT(ISNUMBER('Plano de Ação'!$G155)),'Plano de Ação'!$J155="Cancelada"),0,IF(AND('Plano de Ação'!$F155&lt;=EOMONTH(DATE(ano_ref,12,1),0),'Plano de Ação'!$G155&gt;=DATE(ano_ref,12,1)),1,0))</f>
      </c>
    </row>
    <row r="157" spans="1:16" x14ac:dyDescent="0.25">
      <c r="A157" s="40">
        <f>IF('Plano de Ação'!$B156&lt;&gt;"",'Plano de Ação'!A156&amp;"","")</f>
      </c>
      <c r="B157" s="25">
        <f>IF('Plano de Ação'!$B156&lt;&gt;"",'Plano de Ação'!B156,"")</f>
      </c>
      <c r="C157" s="25">
        <f>IF('Plano de Ação'!$B156&lt;&gt;"",'Plano de Ação'!E156&amp;"","")</f>
      </c>
      <c r="D157" s="40">
        <f>IF('Plano de Ação'!$B156&lt;&gt;"",'Plano de Ação'!L156,"")</f>
      </c>
      <c r="E157" s="41">
        <f>IF(OR(NOT('Plano de Ação'!$B156&lt;&gt;""),NOT(ISNUMBER('Plano de Ação'!$F156)),NOT(ISNUMBER('Plano de Ação'!$G156)),'Plano de Ação'!$J156="Cancelada"),0,IF(AND('Plano de Ação'!$F156&lt;=EOMONTH(DATE(ano_ref,1,1),0),'Plano de Ação'!$G156&gt;=DATE(ano_ref,1,1)),1,0))</f>
      </c>
      <c r="F157" s="41">
        <f>IF(OR(NOT('Plano de Ação'!$B156&lt;&gt;""),NOT(ISNUMBER('Plano de Ação'!$F156)),NOT(ISNUMBER('Plano de Ação'!$G156)),'Plano de Ação'!$J156="Cancelada"),0,IF(AND('Plano de Ação'!$F156&lt;=EOMONTH(DATE(ano_ref,2,1),0),'Plano de Ação'!$G156&gt;=DATE(ano_ref,2,1)),1,0))</f>
      </c>
      <c r="G157" s="41">
        <f>IF(OR(NOT('Plano de Ação'!$B156&lt;&gt;""),NOT(ISNUMBER('Plano de Ação'!$F156)),NOT(ISNUMBER('Plano de Ação'!$G156)),'Plano de Ação'!$J156="Cancelada"),0,IF(AND('Plano de Ação'!$F156&lt;=EOMONTH(DATE(ano_ref,3,1),0),'Plano de Ação'!$G156&gt;=DATE(ano_ref,3,1)),1,0))</f>
      </c>
      <c r="H157" s="41">
        <f>IF(OR(NOT('Plano de Ação'!$B156&lt;&gt;""),NOT(ISNUMBER('Plano de Ação'!$F156)),NOT(ISNUMBER('Plano de Ação'!$G156)),'Plano de Ação'!$J156="Cancelada"),0,IF(AND('Plano de Ação'!$F156&lt;=EOMONTH(DATE(ano_ref,4,1),0),'Plano de Ação'!$G156&gt;=DATE(ano_ref,4,1)),1,0))</f>
      </c>
      <c r="I157" s="41">
        <f>IF(OR(NOT('Plano de Ação'!$B156&lt;&gt;""),NOT(ISNUMBER('Plano de Ação'!$F156)),NOT(ISNUMBER('Plano de Ação'!$G156)),'Plano de Ação'!$J156="Cancelada"),0,IF(AND('Plano de Ação'!$F156&lt;=EOMONTH(DATE(ano_ref,5,1),0),'Plano de Ação'!$G156&gt;=DATE(ano_ref,5,1)),1,0))</f>
      </c>
      <c r="J157" s="41">
        <f>IF(OR(NOT('Plano de Ação'!$B156&lt;&gt;""),NOT(ISNUMBER('Plano de Ação'!$F156)),NOT(ISNUMBER('Plano de Ação'!$G156)),'Plano de Ação'!$J156="Cancelada"),0,IF(AND('Plano de Ação'!$F156&lt;=EOMONTH(DATE(ano_ref,6,1),0),'Plano de Ação'!$G156&gt;=DATE(ano_ref,6,1)),1,0))</f>
      </c>
      <c r="K157" s="41">
        <f>IF(OR(NOT('Plano de Ação'!$B156&lt;&gt;""),NOT(ISNUMBER('Plano de Ação'!$F156)),NOT(ISNUMBER('Plano de Ação'!$G156)),'Plano de Ação'!$J156="Cancelada"),0,IF(AND('Plano de Ação'!$F156&lt;=EOMONTH(DATE(ano_ref,7,1),0),'Plano de Ação'!$G156&gt;=DATE(ano_ref,7,1)),1,0))</f>
      </c>
      <c r="L157" s="41">
        <f>IF(OR(NOT('Plano de Ação'!$B156&lt;&gt;""),NOT(ISNUMBER('Plano de Ação'!$F156)),NOT(ISNUMBER('Plano de Ação'!$G156)),'Plano de Ação'!$J156="Cancelada"),0,IF(AND('Plano de Ação'!$F156&lt;=EOMONTH(DATE(ano_ref,8,1),0),'Plano de Ação'!$G156&gt;=DATE(ano_ref,8,1)),1,0))</f>
      </c>
      <c r="M157" s="41">
        <f>IF(OR(NOT('Plano de Ação'!$B156&lt;&gt;""),NOT(ISNUMBER('Plano de Ação'!$F156)),NOT(ISNUMBER('Plano de Ação'!$G156)),'Plano de Ação'!$J156="Cancelada"),0,IF(AND('Plano de Ação'!$F156&lt;=EOMONTH(DATE(ano_ref,9,1),0),'Plano de Ação'!$G156&gt;=DATE(ano_ref,9,1)),1,0))</f>
      </c>
      <c r="N157" s="41">
        <f>IF(OR(NOT('Plano de Ação'!$B156&lt;&gt;""),NOT(ISNUMBER('Plano de Ação'!$F156)),NOT(ISNUMBER('Plano de Ação'!$G156)),'Plano de Ação'!$J156="Cancelada"),0,IF(AND('Plano de Ação'!$F156&lt;=EOMONTH(DATE(ano_ref,10,1),0),'Plano de Ação'!$G156&gt;=DATE(ano_ref,10,1)),1,0))</f>
      </c>
      <c r="O157" s="41">
        <f>IF(OR(NOT('Plano de Ação'!$B156&lt;&gt;""),NOT(ISNUMBER('Plano de Ação'!$F156)),NOT(ISNUMBER('Plano de Ação'!$G156)),'Plano de Ação'!$J156="Cancelada"),0,IF(AND('Plano de Ação'!$F156&lt;=EOMONTH(DATE(ano_ref,11,1),0),'Plano de Ação'!$G156&gt;=DATE(ano_ref,11,1)),1,0))</f>
      </c>
      <c r="P157" s="41">
        <f>IF(OR(NOT('Plano de Ação'!$B156&lt;&gt;""),NOT(ISNUMBER('Plano de Ação'!$F156)),NOT(ISNUMBER('Plano de Ação'!$G156)),'Plano de Ação'!$J156="Cancelada"),0,IF(AND('Plano de Ação'!$F156&lt;=EOMONTH(DATE(ano_ref,12,1),0),'Plano de Ação'!$G156&gt;=DATE(ano_ref,12,1)),1,0))</f>
      </c>
    </row>
    <row r="158" spans="1:16" x14ac:dyDescent="0.25">
      <c r="A158" s="40">
        <f>IF('Plano de Ação'!$B157&lt;&gt;"",'Plano de Ação'!A157&amp;"","")</f>
      </c>
      <c r="B158" s="25">
        <f>IF('Plano de Ação'!$B157&lt;&gt;"",'Plano de Ação'!B157,"")</f>
      </c>
      <c r="C158" s="25">
        <f>IF('Plano de Ação'!$B157&lt;&gt;"",'Plano de Ação'!E157&amp;"","")</f>
      </c>
      <c r="D158" s="40">
        <f>IF('Plano de Ação'!$B157&lt;&gt;"",'Plano de Ação'!L157,"")</f>
      </c>
      <c r="E158" s="41">
        <f>IF(OR(NOT('Plano de Ação'!$B157&lt;&gt;""),NOT(ISNUMBER('Plano de Ação'!$F157)),NOT(ISNUMBER('Plano de Ação'!$G157)),'Plano de Ação'!$J157="Cancelada"),0,IF(AND('Plano de Ação'!$F157&lt;=EOMONTH(DATE(ano_ref,1,1),0),'Plano de Ação'!$G157&gt;=DATE(ano_ref,1,1)),1,0))</f>
      </c>
      <c r="F158" s="41">
        <f>IF(OR(NOT('Plano de Ação'!$B157&lt;&gt;""),NOT(ISNUMBER('Plano de Ação'!$F157)),NOT(ISNUMBER('Plano de Ação'!$G157)),'Plano de Ação'!$J157="Cancelada"),0,IF(AND('Plano de Ação'!$F157&lt;=EOMONTH(DATE(ano_ref,2,1),0),'Plano de Ação'!$G157&gt;=DATE(ano_ref,2,1)),1,0))</f>
      </c>
      <c r="G158" s="41">
        <f>IF(OR(NOT('Plano de Ação'!$B157&lt;&gt;""),NOT(ISNUMBER('Plano de Ação'!$F157)),NOT(ISNUMBER('Plano de Ação'!$G157)),'Plano de Ação'!$J157="Cancelada"),0,IF(AND('Plano de Ação'!$F157&lt;=EOMONTH(DATE(ano_ref,3,1),0),'Plano de Ação'!$G157&gt;=DATE(ano_ref,3,1)),1,0))</f>
      </c>
      <c r="H158" s="41">
        <f>IF(OR(NOT('Plano de Ação'!$B157&lt;&gt;""),NOT(ISNUMBER('Plano de Ação'!$F157)),NOT(ISNUMBER('Plano de Ação'!$G157)),'Plano de Ação'!$J157="Cancelada"),0,IF(AND('Plano de Ação'!$F157&lt;=EOMONTH(DATE(ano_ref,4,1),0),'Plano de Ação'!$G157&gt;=DATE(ano_ref,4,1)),1,0))</f>
      </c>
      <c r="I158" s="41">
        <f>IF(OR(NOT('Plano de Ação'!$B157&lt;&gt;""),NOT(ISNUMBER('Plano de Ação'!$F157)),NOT(ISNUMBER('Plano de Ação'!$G157)),'Plano de Ação'!$J157="Cancelada"),0,IF(AND('Plano de Ação'!$F157&lt;=EOMONTH(DATE(ano_ref,5,1),0),'Plano de Ação'!$G157&gt;=DATE(ano_ref,5,1)),1,0))</f>
      </c>
      <c r="J158" s="41">
        <f>IF(OR(NOT('Plano de Ação'!$B157&lt;&gt;""),NOT(ISNUMBER('Plano de Ação'!$F157)),NOT(ISNUMBER('Plano de Ação'!$G157)),'Plano de Ação'!$J157="Cancelada"),0,IF(AND('Plano de Ação'!$F157&lt;=EOMONTH(DATE(ano_ref,6,1),0),'Plano de Ação'!$G157&gt;=DATE(ano_ref,6,1)),1,0))</f>
      </c>
      <c r="K158" s="41">
        <f>IF(OR(NOT('Plano de Ação'!$B157&lt;&gt;""),NOT(ISNUMBER('Plano de Ação'!$F157)),NOT(ISNUMBER('Plano de Ação'!$G157)),'Plano de Ação'!$J157="Cancelada"),0,IF(AND('Plano de Ação'!$F157&lt;=EOMONTH(DATE(ano_ref,7,1),0),'Plano de Ação'!$G157&gt;=DATE(ano_ref,7,1)),1,0))</f>
      </c>
      <c r="L158" s="41">
        <f>IF(OR(NOT('Plano de Ação'!$B157&lt;&gt;""),NOT(ISNUMBER('Plano de Ação'!$F157)),NOT(ISNUMBER('Plano de Ação'!$G157)),'Plano de Ação'!$J157="Cancelada"),0,IF(AND('Plano de Ação'!$F157&lt;=EOMONTH(DATE(ano_ref,8,1),0),'Plano de Ação'!$G157&gt;=DATE(ano_ref,8,1)),1,0))</f>
      </c>
      <c r="M158" s="41">
        <f>IF(OR(NOT('Plano de Ação'!$B157&lt;&gt;""),NOT(ISNUMBER('Plano de Ação'!$F157)),NOT(ISNUMBER('Plano de Ação'!$G157)),'Plano de Ação'!$J157="Cancelada"),0,IF(AND('Plano de Ação'!$F157&lt;=EOMONTH(DATE(ano_ref,9,1),0),'Plano de Ação'!$G157&gt;=DATE(ano_ref,9,1)),1,0))</f>
      </c>
      <c r="N158" s="41">
        <f>IF(OR(NOT('Plano de Ação'!$B157&lt;&gt;""),NOT(ISNUMBER('Plano de Ação'!$F157)),NOT(ISNUMBER('Plano de Ação'!$G157)),'Plano de Ação'!$J157="Cancelada"),0,IF(AND('Plano de Ação'!$F157&lt;=EOMONTH(DATE(ano_ref,10,1),0),'Plano de Ação'!$G157&gt;=DATE(ano_ref,10,1)),1,0))</f>
      </c>
      <c r="O158" s="41">
        <f>IF(OR(NOT('Plano de Ação'!$B157&lt;&gt;""),NOT(ISNUMBER('Plano de Ação'!$F157)),NOT(ISNUMBER('Plano de Ação'!$G157)),'Plano de Ação'!$J157="Cancelada"),0,IF(AND('Plano de Ação'!$F157&lt;=EOMONTH(DATE(ano_ref,11,1),0),'Plano de Ação'!$G157&gt;=DATE(ano_ref,11,1)),1,0))</f>
      </c>
      <c r="P158" s="41">
        <f>IF(OR(NOT('Plano de Ação'!$B157&lt;&gt;""),NOT(ISNUMBER('Plano de Ação'!$F157)),NOT(ISNUMBER('Plano de Ação'!$G157)),'Plano de Ação'!$J157="Cancelada"),0,IF(AND('Plano de Ação'!$F157&lt;=EOMONTH(DATE(ano_ref,12,1),0),'Plano de Ação'!$G157&gt;=DATE(ano_ref,12,1)),1,0))</f>
      </c>
    </row>
    <row r="159" spans="1:16" x14ac:dyDescent="0.25">
      <c r="A159" s="40">
        <f>IF('Plano de Ação'!$B158&lt;&gt;"",'Plano de Ação'!A158&amp;"","")</f>
      </c>
      <c r="B159" s="25">
        <f>IF('Plano de Ação'!$B158&lt;&gt;"",'Plano de Ação'!B158,"")</f>
      </c>
      <c r="C159" s="25">
        <f>IF('Plano de Ação'!$B158&lt;&gt;"",'Plano de Ação'!E158&amp;"","")</f>
      </c>
      <c r="D159" s="40">
        <f>IF('Plano de Ação'!$B158&lt;&gt;"",'Plano de Ação'!L158,"")</f>
      </c>
      <c r="E159" s="41">
        <f>IF(OR(NOT('Plano de Ação'!$B158&lt;&gt;""),NOT(ISNUMBER('Plano de Ação'!$F158)),NOT(ISNUMBER('Plano de Ação'!$G158)),'Plano de Ação'!$J158="Cancelada"),0,IF(AND('Plano de Ação'!$F158&lt;=EOMONTH(DATE(ano_ref,1,1),0),'Plano de Ação'!$G158&gt;=DATE(ano_ref,1,1)),1,0))</f>
      </c>
      <c r="F159" s="41">
        <f>IF(OR(NOT('Plano de Ação'!$B158&lt;&gt;""),NOT(ISNUMBER('Plano de Ação'!$F158)),NOT(ISNUMBER('Plano de Ação'!$G158)),'Plano de Ação'!$J158="Cancelada"),0,IF(AND('Plano de Ação'!$F158&lt;=EOMONTH(DATE(ano_ref,2,1),0),'Plano de Ação'!$G158&gt;=DATE(ano_ref,2,1)),1,0))</f>
      </c>
      <c r="G159" s="41">
        <f>IF(OR(NOT('Plano de Ação'!$B158&lt;&gt;""),NOT(ISNUMBER('Plano de Ação'!$F158)),NOT(ISNUMBER('Plano de Ação'!$G158)),'Plano de Ação'!$J158="Cancelada"),0,IF(AND('Plano de Ação'!$F158&lt;=EOMONTH(DATE(ano_ref,3,1),0),'Plano de Ação'!$G158&gt;=DATE(ano_ref,3,1)),1,0))</f>
      </c>
      <c r="H159" s="41">
        <f>IF(OR(NOT('Plano de Ação'!$B158&lt;&gt;""),NOT(ISNUMBER('Plano de Ação'!$F158)),NOT(ISNUMBER('Plano de Ação'!$G158)),'Plano de Ação'!$J158="Cancelada"),0,IF(AND('Plano de Ação'!$F158&lt;=EOMONTH(DATE(ano_ref,4,1),0),'Plano de Ação'!$G158&gt;=DATE(ano_ref,4,1)),1,0))</f>
      </c>
      <c r="I159" s="41">
        <f>IF(OR(NOT('Plano de Ação'!$B158&lt;&gt;""),NOT(ISNUMBER('Plano de Ação'!$F158)),NOT(ISNUMBER('Plano de Ação'!$G158)),'Plano de Ação'!$J158="Cancelada"),0,IF(AND('Plano de Ação'!$F158&lt;=EOMONTH(DATE(ano_ref,5,1),0),'Plano de Ação'!$G158&gt;=DATE(ano_ref,5,1)),1,0))</f>
      </c>
      <c r="J159" s="41">
        <f>IF(OR(NOT('Plano de Ação'!$B158&lt;&gt;""),NOT(ISNUMBER('Plano de Ação'!$F158)),NOT(ISNUMBER('Plano de Ação'!$G158)),'Plano de Ação'!$J158="Cancelada"),0,IF(AND('Plano de Ação'!$F158&lt;=EOMONTH(DATE(ano_ref,6,1),0),'Plano de Ação'!$G158&gt;=DATE(ano_ref,6,1)),1,0))</f>
      </c>
      <c r="K159" s="41">
        <f>IF(OR(NOT('Plano de Ação'!$B158&lt;&gt;""),NOT(ISNUMBER('Plano de Ação'!$F158)),NOT(ISNUMBER('Plano de Ação'!$G158)),'Plano de Ação'!$J158="Cancelada"),0,IF(AND('Plano de Ação'!$F158&lt;=EOMONTH(DATE(ano_ref,7,1),0),'Plano de Ação'!$G158&gt;=DATE(ano_ref,7,1)),1,0))</f>
      </c>
      <c r="L159" s="41">
        <f>IF(OR(NOT('Plano de Ação'!$B158&lt;&gt;""),NOT(ISNUMBER('Plano de Ação'!$F158)),NOT(ISNUMBER('Plano de Ação'!$G158)),'Plano de Ação'!$J158="Cancelada"),0,IF(AND('Plano de Ação'!$F158&lt;=EOMONTH(DATE(ano_ref,8,1),0),'Plano de Ação'!$G158&gt;=DATE(ano_ref,8,1)),1,0))</f>
      </c>
      <c r="M159" s="41">
        <f>IF(OR(NOT('Plano de Ação'!$B158&lt;&gt;""),NOT(ISNUMBER('Plano de Ação'!$F158)),NOT(ISNUMBER('Plano de Ação'!$G158)),'Plano de Ação'!$J158="Cancelada"),0,IF(AND('Plano de Ação'!$F158&lt;=EOMONTH(DATE(ano_ref,9,1),0),'Plano de Ação'!$G158&gt;=DATE(ano_ref,9,1)),1,0))</f>
      </c>
      <c r="N159" s="41">
        <f>IF(OR(NOT('Plano de Ação'!$B158&lt;&gt;""),NOT(ISNUMBER('Plano de Ação'!$F158)),NOT(ISNUMBER('Plano de Ação'!$G158)),'Plano de Ação'!$J158="Cancelada"),0,IF(AND('Plano de Ação'!$F158&lt;=EOMONTH(DATE(ano_ref,10,1),0),'Plano de Ação'!$G158&gt;=DATE(ano_ref,10,1)),1,0))</f>
      </c>
      <c r="O159" s="41">
        <f>IF(OR(NOT('Plano de Ação'!$B158&lt;&gt;""),NOT(ISNUMBER('Plano de Ação'!$F158)),NOT(ISNUMBER('Plano de Ação'!$G158)),'Plano de Ação'!$J158="Cancelada"),0,IF(AND('Plano de Ação'!$F158&lt;=EOMONTH(DATE(ano_ref,11,1),0),'Plano de Ação'!$G158&gt;=DATE(ano_ref,11,1)),1,0))</f>
      </c>
      <c r="P159" s="41">
        <f>IF(OR(NOT('Plano de Ação'!$B158&lt;&gt;""),NOT(ISNUMBER('Plano de Ação'!$F158)),NOT(ISNUMBER('Plano de Ação'!$G158)),'Plano de Ação'!$J158="Cancelada"),0,IF(AND('Plano de Ação'!$F158&lt;=EOMONTH(DATE(ano_ref,12,1),0),'Plano de Ação'!$G158&gt;=DATE(ano_ref,12,1)),1,0))</f>
      </c>
    </row>
    <row r="160" spans="1:16" x14ac:dyDescent="0.25">
      <c r="A160" s="40">
        <f>IF('Plano de Ação'!$B159&lt;&gt;"",'Plano de Ação'!A159&amp;"","")</f>
      </c>
      <c r="B160" s="25">
        <f>IF('Plano de Ação'!$B159&lt;&gt;"",'Plano de Ação'!B159,"")</f>
      </c>
      <c r="C160" s="25">
        <f>IF('Plano de Ação'!$B159&lt;&gt;"",'Plano de Ação'!E159&amp;"","")</f>
      </c>
      <c r="D160" s="40">
        <f>IF('Plano de Ação'!$B159&lt;&gt;"",'Plano de Ação'!L159,"")</f>
      </c>
      <c r="E160" s="41">
        <f>IF(OR(NOT('Plano de Ação'!$B159&lt;&gt;""),NOT(ISNUMBER('Plano de Ação'!$F159)),NOT(ISNUMBER('Plano de Ação'!$G159)),'Plano de Ação'!$J159="Cancelada"),0,IF(AND('Plano de Ação'!$F159&lt;=EOMONTH(DATE(ano_ref,1,1),0),'Plano de Ação'!$G159&gt;=DATE(ano_ref,1,1)),1,0))</f>
      </c>
      <c r="F160" s="41">
        <f>IF(OR(NOT('Plano de Ação'!$B159&lt;&gt;""),NOT(ISNUMBER('Plano de Ação'!$F159)),NOT(ISNUMBER('Plano de Ação'!$G159)),'Plano de Ação'!$J159="Cancelada"),0,IF(AND('Plano de Ação'!$F159&lt;=EOMONTH(DATE(ano_ref,2,1),0),'Plano de Ação'!$G159&gt;=DATE(ano_ref,2,1)),1,0))</f>
      </c>
      <c r="G160" s="41">
        <f>IF(OR(NOT('Plano de Ação'!$B159&lt;&gt;""),NOT(ISNUMBER('Plano de Ação'!$F159)),NOT(ISNUMBER('Plano de Ação'!$G159)),'Plano de Ação'!$J159="Cancelada"),0,IF(AND('Plano de Ação'!$F159&lt;=EOMONTH(DATE(ano_ref,3,1),0),'Plano de Ação'!$G159&gt;=DATE(ano_ref,3,1)),1,0))</f>
      </c>
      <c r="H160" s="41">
        <f>IF(OR(NOT('Plano de Ação'!$B159&lt;&gt;""),NOT(ISNUMBER('Plano de Ação'!$F159)),NOT(ISNUMBER('Plano de Ação'!$G159)),'Plano de Ação'!$J159="Cancelada"),0,IF(AND('Plano de Ação'!$F159&lt;=EOMONTH(DATE(ano_ref,4,1),0),'Plano de Ação'!$G159&gt;=DATE(ano_ref,4,1)),1,0))</f>
      </c>
      <c r="I160" s="41">
        <f>IF(OR(NOT('Plano de Ação'!$B159&lt;&gt;""),NOT(ISNUMBER('Plano de Ação'!$F159)),NOT(ISNUMBER('Plano de Ação'!$G159)),'Plano de Ação'!$J159="Cancelada"),0,IF(AND('Plano de Ação'!$F159&lt;=EOMONTH(DATE(ano_ref,5,1),0),'Plano de Ação'!$G159&gt;=DATE(ano_ref,5,1)),1,0))</f>
      </c>
      <c r="J160" s="41">
        <f>IF(OR(NOT('Plano de Ação'!$B159&lt;&gt;""),NOT(ISNUMBER('Plano de Ação'!$F159)),NOT(ISNUMBER('Plano de Ação'!$G159)),'Plano de Ação'!$J159="Cancelada"),0,IF(AND('Plano de Ação'!$F159&lt;=EOMONTH(DATE(ano_ref,6,1),0),'Plano de Ação'!$G159&gt;=DATE(ano_ref,6,1)),1,0))</f>
      </c>
      <c r="K160" s="41">
        <f>IF(OR(NOT('Plano de Ação'!$B159&lt;&gt;""),NOT(ISNUMBER('Plano de Ação'!$F159)),NOT(ISNUMBER('Plano de Ação'!$G159)),'Plano de Ação'!$J159="Cancelada"),0,IF(AND('Plano de Ação'!$F159&lt;=EOMONTH(DATE(ano_ref,7,1),0),'Plano de Ação'!$G159&gt;=DATE(ano_ref,7,1)),1,0))</f>
      </c>
      <c r="L160" s="41">
        <f>IF(OR(NOT('Plano de Ação'!$B159&lt;&gt;""),NOT(ISNUMBER('Plano de Ação'!$F159)),NOT(ISNUMBER('Plano de Ação'!$G159)),'Plano de Ação'!$J159="Cancelada"),0,IF(AND('Plano de Ação'!$F159&lt;=EOMONTH(DATE(ano_ref,8,1),0),'Plano de Ação'!$G159&gt;=DATE(ano_ref,8,1)),1,0))</f>
      </c>
      <c r="M160" s="41">
        <f>IF(OR(NOT('Plano de Ação'!$B159&lt;&gt;""),NOT(ISNUMBER('Plano de Ação'!$F159)),NOT(ISNUMBER('Plano de Ação'!$G159)),'Plano de Ação'!$J159="Cancelada"),0,IF(AND('Plano de Ação'!$F159&lt;=EOMONTH(DATE(ano_ref,9,1),0),'Plano de Ação'!$G159&gt;=DATE(ano_ref,9,1)),1,0))</f>
      </c>
      <c r="N160" s="41">
        <f>IF(OR(NOT('Plano de Ação'!$B159&lt;&gt;""),NOT(ISNUMBER('Plano de Ação'!$F159)),NOT(ISNUMBER('Plano de Ação'!$G159)),'Plano de Ação'!$J159="Cancelada"),0,IF(AND('Plano de Ação'!$F159&lt;=EOMONTH(DATE(ano_ref,10,1),0),'Plano de Ação'!$G159&gt;=DATE(ano_ref,10,1)),1,0))</f>
      </c>
      <c r="O160" s="41">
        <f>IF(OR(NOT('Plano de Ação'!$B159&lt;&gt;""),NOT(ISNUMBER('Plano de Ação'!$F159)),NOT(ISNUMBER('Plano de Ação'!$G159)),'Plano de Ação'!$J159="Cancelada"),0,IF(AND('Plano de Ação'!$F159&lt;=EOMONTH(DATE(ano_ref,11,1),0),'Plano de Ação'!$G159&gt;=DATE(ano_ref,11,1)),1,0))</f>
      </c>
      <c r="P160" s="41">
        <f>IF(OR(NOT('Plano de Ação'!$B159&lt;&gt;""),NOT(ISNUMBER('Plano de Ação'!$F159)),NOT(ISNUMBER('Plano de Ação'!$G159)),'Plano de Ação'!$J159="Cancelada"),0,IF(AND('Plano de Ação'!$F159&lt;=EOMONTH(DATE(ano_ref,12,1),0),'Plano de Ação'!$G159&gt;=DATE(ano_ref,12,1)),1,0))</f>
      </c>
    </row>
    <row r="161" spans="1:16" x14ac:dyDescent="0.25">
      <c r="A161" s="40">
        <f>IF('Plano de Ação'!$B160&lt;&gt;"",'Plano de Ação'!A160&amp;"","")</f>
      </c>
      <c r="B161" s="25">
        <f>IF('Plano de Ação'!$B160&lt;&gt;"",'Plano de Ação'!B160,"")</f>
      </c>
      <c r="C161" s="25">
        <f>IF('Plano de Ação'!$B160&lt;&gt;"",'Plano de Ação'!E160&amp;"","")</f>
      </c>
      <c r="D161" s="40">
        <f>IF('Plano de Ação'!$B160&lt;&gt;"",'Plano de Ação'!L160,"")</f>
      </c>
      <c r="E161" s="41">
        <f>IF(OR(NOT('Plano de Ação'!$B160&lt;&gt;""),NOT(ISNUMBER('Plano de Ação'!$F160)),NOT(ISNUMBER('Plano de Ação'!$G160)),'Plano de Ação'!$J160="Cancelada"),0,IF(AND('Plano de Ação'!$F160&lt;=EOMONTH(DATE(ano_ref,1,1),0),'Plano de Ação'!$G160&gt;=DATE(ano_ref,1,1)),1,0))</f>
      </c>
      <c r="F161" s="41">
        <f>IF(OR(NOT('Plano de Ação'!$B160&lt;&gt;""),NOT(ISNUMBER('Plano de Ação'!$F160)),NOT(ISNUMBER('Plano de Ação'!$G160)),'Plano de Ação'!$J160="Cancelada"),0,IF(AND('Plano de Ação'!$F160&lt;=EOMONTH(DATE(ano_ref,2,1),0),'Plano de Ação'!$G160&gt;=DATE(ano_ref,2,1)),1,0))</f>
      </c>
      <c r="G161" s="41">
        <f>IF(OR(NOT('Plano de Ação'!$B160&lt;&gt;""),NOT(ISNUMBER('Plano de Ação'!$F160)),NOT(ISNUMBER('Plano de Ação'!$G160)),'Plano de Ação'!$J160="Cancelada"),0,IF(AND('Plano de Ação'!$F160&lt;=EOMONTH(DATE(ano_ref,3,1),0),'Plano de Ação'!$G160&gt;=DATE(ano_ref,3,1)),1,0))</f>
      </c>
      <c r="H161" s="41">
        <f>IF(OR(NOT('Plano de Ação'!$B160&lt;&gt;""),NOT(ISNUMBER('Plano de Ação'!$F160)),NOT(ISNUMBER('Plano de Ação'!$G160)),'Plano de Ação'!$J160="Cancelada"),0,IF(AND('Plano de Ação'!$F160&lt;=EOMONTH(DATE(ano_ref,4,1),0),'Plano de Ação'!$G160&gt;=DATE(ano_ref,4,1)),1,0))</f>
      </c>
      <c r="I161" s="41">
        <f>IF(OR(NOT('Plano de Ação'!$B160&lt;&gt;""),NOT(ISNUMBER('Plano de Ação'!$F160)),NOT(ISNUMBER('Plano de Ação'!$G160)),'Plano de Ação'!$J160="Cancelada"),0,IF(AND('Plano de Ação'!$F160&lt;=EOMONTH(DATE(ano_ref,5,1),0),'Plano de Ação'!$G160&gt;=DATE(ano_ref,5,1)),1,0))</f>
      </c>
      <c r="J161" s="41">
        <f>IF(OR(NOT('Plano de Ação'!$B160&lt;&gt;""),NOT(ISNUMBER('Plano de Ação'!$F160)),NOT(ISNUMBER('Plano de Ação'!$G160)),'Plano de Ação'!$J160="Cancelada"),0,IF(AND('Plano de Ação'!$F160&lt;=EOMONTH(DATE(ano_ref,6,1),0),'Plano de Ação'!$G160&gt;=DATE(ano_ref,6,1)),1,0))</f>
      </c>
      <c r="K161" s="41">
        <f>IF(OR(NOT('Plano de Ação'!$B160&lt;&gt;""),NOT(ISNUMBER('Plano de Ação'!$F160)),NOT(ISNUMBER('Plano de Ação'!$G160)),'Plano de Ação'!$J160="Cancelada"),0,IF(AND('Plano de Ação'!$F160&lt;=EOMONTH(DATE(ano_ref,7,1),0),'Plano de Ação'!$G160&gt;=DATE(ano_ref,7,1)),1,0))</f>
      </c>
      <c r="L161" s="41">
        <f>IF(OR(NOT('Plano de Ação'!$B160&lt;&gt;""),NOT(ISNUMBER('Plano de Ação'!$F160)),NOT(ISNUMBER('Plano de Ação'!$G160)),'Plano de Ação'!$J160="Cancelada"),0,IF(AND('Plano de Ação'!$F160&lt;=EOMONTH(DATE(ano_ref,8,1),0),'Plano de Ação'!$G160&gt;=DATE(ano_ref,8,1)),1,0))</f>
      </c>
      <c r="M161" s="41">
        <f>IF(OR(NOT('Plano de Ação'!$B160&lt;&gt;""),NOT(ISNUMBER('Plano de Ação'!$F160)),NOT(ISNUMBER('Plano de Ação'!$G160)),'Plano de Ação'!$J160="Cancelada"),0,IF(AND('Plano de Ação'!$F160&lt;=EOMONTH(DATE(ano_ref,9,1),0),'Plano de Ação'!$G160&gt;=DATE(ano_ref,9,1)),1,0))</f>
      </c>
      <c r="N161" s="41">
        <f>IF(OR(NOT('Plano de Ação'!$B160&lt;&gt;""),NOT(ISNUMBER('Plano de Ação'!$F160)),NOT(ISNUMBER('Plano de Ação'!$G160)),'Plano de Ação'!$J160="Cancelada"),0,IF(AND('Plano de Ação'!$F160&lt;=EOMONTH(DATE(ano_ref,10,1),0),'Plano de Ação'!$G160&gt;=DATE(ano_ref,10,1)),1,0))</f>
      </c>
      <c r="O161" s="41">
        <f>IF(OR(NOT('Plano de Ação'!$B160&lt;&gt;""),NOT(ISNUMBER('Plano de Ação'!$F160)),NOT(ISNUMBER('Plano de Ação'!$G160)),'Plano de Ação'!$J160="Cancelada"),0,IF(AND('Plano de Ação'!$F160&lt;=EOMONTH(DATE(ano_ref,11,1),0),'Plano de Ação'!$G160&gt;=DATE(ano_ref,11,1)),1,0))</f>
      </c>
      <c r="P161" s="41">
        <f>IF(OR(NOT('Plano de Ação'!$B160&lt;&gt;""),NOT(ISNUMBER('Plano de Ação'!$F160)),NOT(ISNUMBER('Plano de Ação'!$G160)),'Plano de Ação'!$J160="Cancelada"),0,IF(AND('Plano de Ação'!$F160&lt;=EOMONTH(DATE(ano_ref,12,1),0),'Plano de Ação'!$G160&gt;=DATE(ano_ref,12,1)),1,0))</f>
      </c>
    </row>
    <row r="162" spans="1:16" x14ac:dyDescent="0.25">
      <c r="A162" s="40">
        <f>IF('Plano de Ação'!$B161&lt;&gt;"",'Plano de Ação'!A161&amp;"","")</f>
      </c>
      <c r="B162" s="25">
        <f>IF('Plano de Ação'!$B161&lt;&gt;"",'Plano de Ação'!B161,"")</f>
      </c>
      <c r="C162" s="25">
        <f>IF('Plano de Ação'!$B161&lt;&gt;"",'Plano de Ação'!E161&amp;"","")</f>
      </c>
      <c r="D162" s="40">
        <f>IF('Plano de Ação'!$B161&lt;&gt;"",'Plano de Ação'!L161,"")</f>
      </c>
      <c r="E162" s="41">
        <f>IF(OR(NOT('Plano de Ação'!$B161&lt;&gt;""),NOT(ISNUMBER('Plano de Ação'!$F161)),NOT(ISNUMBER('Plano de Ação'!$G161)),'Plano de Ação'!$J161="Cancelada"),0,IF(AND('Plano de Ação'!$F161&lt;=EOMONTH(DATE(ano_ref,1,1),0),'Plano de Ação'!$G161&gt;=DATE(ano_ref,1,1)),1,0))</f>
      </c>
      <c r="F162" s="41">
        <f>IF(OR(NOT('Plano de Ação'!$B161&lt;&gt;""),NOT(ISNUMBER('Plano de Ação'!$F161)),NOT(ISNUMBER('Plano de Ação'!$G161)),'Plano de Ação'!$J161="Cancelada"),0,IF(AND('Plano de Ação'!$F161&lt;=EOMONTH(DATE(ano_ref,2,1),0),'Plano de Ação'!$G161&gt;=DATE(ano_ref,2,1)),1,0))</f>
      </c>
      <c r="G162" s="41">
        <f>IF(OR(NOT('Plano de Ação'!$B161&lt;&gt;""),NOT(ISNUMBER('Plano de Ação'!$F161)),NOT(ISNUMBER('Plano de Ação'!$G161)),'Plano de Ação'!$J161="Cancelada"),0,IF(AND('Plano de Ação'!$F161&lt;=EOMONTH(DATE(ano_ref,3,1),0),'Plano de Ação'!$G161&gt;=DATE(ano_ref,3,1)),1,0))</f>
      </c>
      <c r="H162" s="41">
        <f>IF(OR(NOT('Plano de Ação'!$B161&lt;&gt;""),NOT(ISNUMBER('Plano de Ação'!$F161)),NOT(ISNUMBER('Plano de Ação'!$G161)),'Plano de Ação'!$J161="Cancelada"),0,IF(AND('Plano de Ação'!$F161&lt;=EOMONTH(DATE(ano_ref,4,1),0),'Plano de Ação'!$G161&gt;=DATE(ano_ref,4,1)),1,0))</f>
      </c>
      <c r="I162" s="41">
        <f>IF(OR(NOT('Plano de Ação'!$B161&lt;&gt;""),NOT(ISNUMBER('Plano de Ação'!$F161)),NOT(ISNUMBER('Plano de Ação'!$G161)),'Plano de Ação'!$J161="Cancelada"),0,IF(AND('Plano de Ação'!$F161&lt;=EOMONTH(DATE(ano_ref,5,1),0),'Plano de Ação'!$G161&gt;=DATE(ano_ref,5,1)),1,0))</f>
      </c>
      <c r="J162" s="41">
        <f>IF(OR(NOT('Plano de Ação'!$B161&lt;&gt;""),NOT(ISNUMBER('Plano de Ação'!$F161)),NOT(ISNUMBER('Plano de Ação'!$G161)),'Plano de Ação'!$J161="Cancelada"),0,IF(AND('Plano de Ação'!$F161&lt;=EOMONTH(DATE(ano_ref,6,1),0),'Plano de Ação'!$G161&gt;=DATE(ano_ref,6,1)),1,0))</f>
      </c>
      <c r="K162" s="41">
        <f>IF(OR(NOT('Plano de Ação'!$B161&lt;&gt;""),NOT(ISNUMBER('Plano de Ação'!$F161)),NOT(ISNUMBER('Plano de Ação'!$G161)),'Plano de Ação'!$J161="Cancelada"),0,IF(AND('Plano de Ação'!$F161&lt;=EOMONTH(DATE(ano_ref,7,1),0),'Plano de Ação'!$G161&gt;=DATE(ano_ref,7,1)),1,0))</f>
      </c>
      <c r="L162" s="41">
        <f>IF(OR(NOT('Plano de Ação'!$B161&lt;&gt;""),NOT(ISNUMBER('Plano de Ação'!$F161)),NOT(ISNUMBER('Plano de Ação'!$G161)),'Plano de Ação'!$J161="Cancelada"),0,IF(AND('Plano de Ação'!$F161&lt;=EOMONTH(DATE(ano_ref,8,1),0),'Plano de Ação'!$G161&gt;=DATE(ano_ref,8,1)),1,0))</f>
      </c>
      <c r="M162" s="41">
        <f>IF(OR(NOT('Plano de Ação'!$B161&lt;&gt;""),NOT(ISNUMBER('Plano de Ação'!$F161)),NOT(ISNUMBER('Plano de Ação'!$G161)),'Plano de Ação'!$J161="Cancelada"),0,IF(AND('Plano de Ação'!$F161&lt;=EOMONTH(DATE(ano_ref,9,1),0),'Plano de Ação'!$G161&gt;=DATE(ano_ref,9,1)),1,0))</f>
      </c>
      <c r="N162" s="41">
        <f>IF(OR(NOT('Plano de Ação'!$B161&lt;&gt;""),NOT(ISNUMBER('Plano de Ação'!$F161)),NOT(ISNUMBER('Plano de Ação'!$G161)),'Plano de Ação'!$J161="Cancelada"),0,IF(AND('Plano de Ação'!$F161&lt;=EOMONTH(DATE(ano_ref,10,1),0),'Plano de Ação'!$G161&gt;=DATE(ano_ref,10,1)),1,0))</f>
      </c>
      <c r="O162" s="41">
        <f>IF(OR(NOT('Plano de Ação'!$B161&lt;&gt;""),NOT(ISNUMBER('Plano de Ação'!$F161)),NOT(ISNUMBER('Plano de Ação'!$G161)),'Plano de Ação'!$J161="Cancelada"),0,IF(AND('Plano de Ação'!$F161&lt;=EOMONTH(DATE(ano_ref,11,1),0),'Plano de Ação'!$G161&gt;=DATE(ano_ref,11,1)),1,0))</f>
      </c>
      <c r="P162" s="41">
        <f>IF(OR(NOT('Plano de Ação'!$B161&lt;&gt;""),NOT(ISNUMBER('Plano de Ação'!$F161)),NOT(ISNUMBER('Plano de Ação'!$G161)),'Plano de Ação'!$J161="Cancelada"),0,IF(AND('Plano de Ação'!$F161&lt;=EOMONTH(DATE(ano_ref,12,1),0),'Plano de Ação'!$G161&gt;=DATE(ano_ref,12,1)),1,0))</f>
      </c>
    </row>
    <row r="163" spans="1:16" x14ac:dyDescent="0.25">
      <c r="A163" s="40">
        <f>IF('Plano de Ação'!$B162&lt;&gt;"",'Plano de Ação'!A162&amp;"","")</f>
      </c>
      <c r="B163" s="25">
        <f>IF('Plano de Ação'!$B162&lt;&gt;"",'Plano de Ação'!B162,"")</f>
      </c>
      <c r="C163" s="25">
        <f>IF('Plano de Ação'!$B162&lt;&gt;"",'Plano de Ação'!E162&amp;"","")</f>
      </c>
      <c r="D163" s="40">
        <f>IF('Plano de Ação'!$B162&lt;&gt;"",'Plano de Ação'!L162,"")</f>
      </c>
      <c r="E163" s="41">
        <f>IF(OR(NOT('Plano de Ação'!$B162&lt;&gt;""),NOT(ISNUMBER('Plano de Ação'!$F162)),NOT(ISNUMBER('Plano de Ação'!$G162)),'Plano de Ação'!$J162="Cancelada"),0,IF(AND('Plano de Ação'!$F162&lt;=EOMONTH(DATE(ano_ref,1,1),0),'Plano de Ação'!$G162&gt;=DATE(ano_ref,1,1)),1,0))</f>
      </c>
      <c r="F163" s="41">
        <f>IF(OR(NOT('Plano de Ação'!$B162&lt;&gt;""),NOT(ISNUMBER('Plano de Ação'!$F162)),NOT(ISNUMBER('Plano de Ação'!$G162)),'Plano de Ação'!$J162="Cancelada"),0,IF(AND('Plano de Ação'!$F162&lt;=EOMONTH(DATE(ano_ref,2,1),0),'Plano de Ação'!$G162&gt;=DATE(ano_ref,2,1)),1,0))</f>
      </c>
      <c r="G163" s="41">
        <f>IF(OR(NOT('Plano de Ação'!$B162&lt;&gt;""),NOT(ISNUMBER('Plano de Ação'!$F162)),NOT(ISNUMBER('Plano de Ação'!$G162)),'Plano de Ação'!$J162="Cancelada"),0,IF(AND('Plano de Ação'!$F162&lt;=EOMONTH(DATE(ano_ref,3,1),0),'Plano de Ação'!$G162&gt;=DATE(ano_ref,3,1)),1,0))</f>
      </c>
      <c r="H163" s="41">
        <f>IF(OR(NOT('Plano de Ação'!$B162&lt;&gt;""),NOT(ISNUMBER('Plano de Ação'!$F162)),NOT(ISNUMBER('Plano de Ação'!$G162)),'Plano de Ação'!$J162="Cancelada"),0,IF(AND('Plano de Ação'!$F162&lt;=EOMONTH(DATE(ano_ref,4,1),0),'Plano de Ação'!$G162&gt;=DATE(ano_ref,4,1)),1,0))</f>
      </c>
      <c r="I163" s="41">
        <f>IF(OR(NOT('Plano de Ação'!$B162&lt;&gt;""),NOT(ISNUMBER('Plano de Ação'!$F162)),NOT(ISNUMBER('Plano de Ação'!$G162)),'Plano de Ação'!$J162="Cancelada"),0,IF(AND('Plano de Ação'!$F162&lt;=EOMONTH(DATE(ano_ref,5,1),0),'Plano de Ação'!$G162&gt;=DATE(ano_ref,5,1)),1,0))</f>
      </c>
      <c r="J163" s="41">
        <f>IF(OR(NOT('Plano de Ação'!$B162&lt;&gt;""),NOT(ISNUMBER('Plano de Ação'!$F162)),NOT(ISNUMBER('Plano de Ação'!$G162)),'Plano de Ação'!$J162="Cancelada"),0,IF(AND('Plano de Ação'!$F162&lt;=EOMONTH(DATE(ano_ref,6,1),0),'Plano de Ação'!$G162&gt;=DATE(ano_ref,6,1)),1,0))</f>
      </c>
      <c r="K163" s="41">
        <f>IF(OR(NOT('Plano de Ação'!$B162&lt;&gt;""),NOT(ISNUMBER('Plano de Ação'!$F162)),NOT(ISNUMBER('Plano de Ação'!$G162)),'Plano de Ação'!$J162="Cancelada"),0,IF(AND('Plano de Ação'!$F162&lt;=EOMONTH(DATE(ano_ref,7,1),0),'Plano de Ação'!$G162&gt;=DATE(ano_ref,7,1)),1,0))</f>
      </c>
      <c r="L163" s="41">
        <f>IF(OR(NOT('Plano de Ação'!$B162&lt;&gt;""),NOT(ISNUMBER('Plano de Ação'!$F162)),NOT(ISNUMBER('Plano de Ação'!$G162)),'Plano de Ação'!$J162="Cancelada"),0,IF(AND('Plano de Ação'!$F162&lt;=EOMONTH(DATE(ano_ref,8,1),0),'Plano de Ação'!$G162&gt;=DATE(ano_ref,8,1)),1,0))</f>
      </c>
      <c r="M163" s="41">
        <f>IF(OR(NOT('Plano de Ação'!$B162&lt;&gt;""),NOT(ISNUMBER('Plano de Ação'!$F162)),NOT(ISNUMBER('Plano de Ação'!$G162)),'Plano de Ação'!$J162="Cancelada"),0,IF(AND('Plano de Ação'!$F162&lt;=EOMONTH(DATE(ano_ref,9,1),0),'Plano de Ação'!$G162&gt;=DATE(ano_ref,9,1)),1,0))</f>
      </c>
      <c r="N163" s="41">
        <f>IF(OR(NOT('Plano de Ação'!$B162&lt;&gt;""),NOT(ISNUMBER('Plano de Ação'!$F162)),NOT(ISNUMBER('Plano de Ação'!$G162)),'Plano de Ação'!$J162="Cancelada"),0,IF(AND('Plano de Ação'!$F162&lt;=EOMONTH(DATE(ano_ref,10,1),0),'Plano de Ação'!$G162&gt;=DATE(ano_ref,10,1)),1,0))</f>
      </c>
      <c r="O163" s="41">
        <f>IF(OR(NOT('Plano de Ação'!$B162&lt;&gt;""),NOT(ISNUMBER('Plano de Ação'!$F162)),NOT(ISNUMBER('Plano de Ação'!$G162)),'Plano de Ação'!$J162="Cancelada"),0,IF(AND('Plano de Ação'!$F162&lt;=EOMONTH(DATE(ano_ref,11,1),0),'Plano de Ação'!$G162&gt;=DATE(ano_ref,11,1)),1,0))</f>
      </c>
      <c r="P163" s="41">
        <f>IF(OR(NOT('Plano de Ação'!$B162&lt;&gt;""),NOT(ISNUMBER('Plano de Ação'!$F162)),NOT(ISNUMBER('Plano de Ação'!$G162)),'Plano de Ação'!$J162="Cancelada"),0,IF(AND('Plano de Ação'!$F162&lt;=EOMONTH(DATE(ano_ref,12,1),0),'Plano de Ação'!$G162&gt;=DATE(ano_ref,12,1)),1,0))</f>
      </c>
    </row>
    <row r="164" spans="1:16" x14ac:dyDescent="0.25">
      <c r="A164" s="40">
        <f>IF('Plano de Ação'!$B163&lt;&gt;"",'Plano de Ação'!A163&amp;"","")</f>
      </c>
      <c r="B164" s="25">
        <f>IF('Plano de Ação'!$B163&lt;&gt;"",'Plano de Ação'!B163,"")</f>
      </c>
      <c r="C164" s="25">
        <f>IF('Plano de Ação'!$B163&lt;&gt;"",'Plano de Ação'!E163&amp;"","")</f>
      </c>
      <c r="D164" s="40">
        <f>IF('Plano de Ação'!$B163&lt;&gt;"",'Plano de Ação'!L163,"")</f>
      </c>
      <c r="E164" s="41">
        <f>IF(OR(NOT('Plano de Ação'!$B163&lt;&gt;""),NOT(ISNUMBER('Plano de Ação'!$F163)),NOT(ISNUMBER('Plano de Ação'!$G163)),'Plano de Ação'!$J163="Cancelada"),0,IF(AND('Plano de Ação'!$F163&lt;=EOMONTH(DATE(ano_ref,1,1),0),'Plano de Ação'!$G163&gt;=DATE(ano_ref,1,1)),1,0))</f>
      </c>
      <c r="F164" s="41">
        <f>IF(OR(NOT('Plano de Ação'!$B163&lt;&gt;""),NOT(ISNUMBER('Plano de Ação'!$F163)),NOT(ISNUMBER('Plano de Ação'!$G163)),'Plano de Ação'!$J163="Cancelada"),0,IF(AND('Plano de Ação'!$F163&lt;=EOMONTH(DATE(ano_ref,2,1),0),'Plano de Ação'!$G163&gt;=DATE(ano_ref,2,1)),1,0))</f>
      </c>
      <c r="G164" s="41">
        <f>IF(OR(NOT('Plano de Ação'!$B163&lt;&gt;""),NOT(ISNUMBER('Plano de Ação'!$F163)),NOT(ISNUMBER('Plano de Ação'!$G163)),'Plano de Ação'!$J163="Cancelada"),0,IF(AND('Plano de Ação'!$F163&lt;=EOMONTH(DATE(ano_ref,3,1),0),'Plano de Ação'!$G163&gt;=DATE(ano_ref,3,1)),1,0))</f>
      </c>
      <c r="H164" s="41">
        <f>IF(OR(NOT('Plano de Ação'!$B163&lt;&gt;""),NOT(ISNUMBER('Plano de Ação'!$F163)),NOT(ISNUMBER('Plano de Ação'!$G163)),'Plano de Ação'!$J163="Cancelada"),0,IF(AND('Plano de Ação'!$F163&lt;=EOMONTH(DATE(ano_ref,4,1),0),'Plano de Ação'!$G163&gt;=DATE(ano_ref,4,1)),1,0))</f>
      </c>
      <c r="I164" s="41">
        <f>IF(OR(NOT('Plano de Ação'!$B163&lt;&gt;""),NOT(ISNUMBER('Plano de Ação'!$F163)),NOT(ISNUMBER('Plano de Ação'!$G163)),'Plano de Ação'!$J163="Cancelada"),0,IF(AND('Plano de Ação'!$F163&lt;=EOMONTH(DATE(ano_ref,5,1),0),'Plano de Ação'!$G163&gt;=DATE(ano_ref,5,1)),1,0))</f>
      </c>
      <c r="J164" s="41">
        <f>IF(OR(NOT('Plano de Ação'!$B163&lt;&gt;""),NOT(ISNUMBER('Plano de Ação'!$F163)),NOT(ISNUMBER('Plano de Ação'!$G163)),'Plano de Ação'!$J163="Cancelada"),0,IF(AND('Plano de Ação'!$F163&lt;=EOMONTH(DATE(ano_ref,6,1),0),'Plano de Ação'!$G163&gt;=DATE(ano_ref,6,1)),1,0))</f>
      </c>
      <c r="K164" s="41">
        <f>IF(OR(NOT('Plano de Ação'!$B163&lt;&gt;""),NOT(ISNUMBER('Plano de Ação'!$F163)),NOT(ISNUMBER('Plano de Ação'!$G163)),'Plano de Ação'!$J163="Cancelada"),0,IF(AND('Plano de Ação'!$F163&lt;=EOMONTH(DATE(ano_ref,7,1),0),'Plano de Ação'!$G163&gt;=DATE(ano_ref,7,1)),1,0))</f>
      </c>
      <c r="L164" s="41">
        <f>IF(OR(NOT('Plano de Ação'!$B163&lt;&gt;""),NOT(ISNUMBER('Plano de Ação'!$F163)),NOT(ISNUMBER('Plano de Ação'!$G163)),'Plano de Ação'!$J163="Cancelada"),0,IF(AND('Plano de Ação'!$F163&lt;=EOMONTH(DATE(ano_ref,8,1),0),'Plano de Ação'!$G163&gt;=DATE(ano_ref,8,1)),1,0))</f>
      </c>
      <c r="M164" s="41">
        <f>IF(OR(NOT('Plano de Ação'!$B163&lt;&gt;""),NOT(ISNUMBER('Plano de Ação'!$F163)),NOT(ISNUMBER('Plano de Ação'!$G163)),'Plano de Ação'!$J163="Cancelada"),0,IF(AND('Plano de Ação'!$F163&lt;=EOMONTH(DATE(ano_ref,9,1),0),'Plano de Ação'!$G163&gt;=DATE(ano_ref,9,1)),1,0))</f>
      </c>
      <c r="N164" s="41">
        <f>IF(OR(NOT('Plano de Ação'!$B163&lt;&gt;""),NOT(ISNUMBER('Plano de Ação'!$F163)),NOT(ISNUMBER('Plano de Ação'!$G163)),'Plano de Ação'!$J163="Cancelada"),0,IF(AND('Plano de Ação'!$F163&lt;=EOMONTH(DATE(ano_ref,10,1),0),'Plano de Ação'!$G163&gt;=DATE(ano_ref,10,1)),1,0))</f>
      </c>
      <c r="O164" s="41">
        <f>IF(OR(NOT('Plano de Ação'!$B163&lt;&gt;""),NOT(ISNUMBER('Plano de Ação'!$F163)),NOT(ISNUMBER('Plano de Ação'!$G163)),'Plano de Ação'!$J163="Cancelada"),0,IF(AND('Plano de Ação'!$F163&lt;=EOMONTH(DATE(ano_ref,11,1),0),'Plano de Ação'!$G163&gt;=DATE(ano_ref,11,1)),1,0))</f>
      </c>
      <c r="P164" s="41">
        <f>IF(OR(NOT('Plano de Ação'!$B163&lt;&gt;""),NOT(ISNUMBER('Plano de Ação'!$F163)),NOT(ISNUMBER('Plano de Ação'!$G163)),'Plano de Ação'!$J163="Cancelada"),0,IF(AND('Plano de Ação'!$F163&lt;=EOMONTH(DATE(ano_ref,12,1),0),'Plano de Ação'!$G163&gt;=DATE(ano_ref,12,1)),1,0))</f>
      </c>
    </row>
    <row r="165" spans="1:16" x14ac:dyDescent="0.25">
      <c r="A165" s="40">
        <f>IF('Plano de Ação'!$B164&lt;&gt;"",'Plano de Ação'!A164&amp;"","")</f>
      </c>
      <c r="B165" s="25">
        <f>IF('Plano de Ação'!$B164&lt;&gt;"",'Plano de Ação'!B164,"")</f>
      </c>
      <c r="C165" s="25">
        <f>IF('Plano de Ação'!$B164&lt;&gt;"",'Plano de Ação'!E164&amp;"","")</f>
      </c>
      <c r="D165" s="40">
        <f>IF('Plano de Ação'!$B164&lt;&gt;"",'Plano de Ação'!L164,"")</f>
      </c>
      <c r="E165" s="41">
        <f>IF(OR(NOT('Plano de Ação'!$B164&lt;&gt;""),NOT(ISNUMBER('Plano de Ação'!$F164)),NOT(ISNUMBER('Plano de Ação'!$G164)),'Plano de Ação'!$J164="Cancelada"),0,IF(AND('Plano de Ação'!$F164&lt;=EOMONTH(DATE(ano_ref,1,1),0),'Plano de Ação'!$G164&gt;=DATE(ano_ref,1,1)),1,0))</f>
      </c>
      <c r="F165" s="41">
        <f>IF(OR(NOT('Plano de Ação'!$B164&lt;&gt;""),NOT(ISNUMBER('Plano de Ação'!$F164)),NOT(ISNUMBER('Plano de Ação'!$G164)),'Plano de Ação'!$J164="Cancelada"),0,IF(AND('Plano de Ação'!$F164&lt;=EOMONTH(DATE(ano_ref,2,1),0),'Plano de Ação'!$G164&gt;=DATE(ano_ref,2,1)),1,0))</f>
      </c>
      <c r="G165" s="41">
        <f>IF(OR(NOT('Plano de Ação'!$B164&lt;&gt;""),NOT(ISNUMBER('Plano de Ação'!$F164)),NOT(ISNUMBER('Plano de Ação'!$G164)),'Plano de Ação'!$J164="Cancelada"),0,IF(AND('Plano de Ação'!$F164&lt;=EOMONTH(DATE(ano_ref,3,1),0),'Plano de Ação'!$G164&gt;=DATE(ano_ref,3,1)),1,0))</f>
      </c>
      <c r="H165" s="41">
        <f>IF(OR(NOT('Plano de Ação'!$B164&lt;&gt;""),NOT(ISNUMBER('Plano de Ação'!$F164)),NOT(ISNUMBER('Plano de Ação'!$G164)),'Plano de Ação'!$J164="Cancelada"),0,IF(AND('Plano de Ação'!$F164&lt;=EOMONTH(DATE(ano_ref,4,1),0),'Plano de Ação'!$G164&gt;=DATE(ano_ref,4,1)),1,0))</f>
      </c>
      <c r="I165" s="41">
        <f>IF(OR(NOT('Plano de Ação'!$B164&lt;&gt;""),NOT(ISNUMBER('Plano de Ação'!$F164)),NOT(ISNUMBER('Plano de Ação'!$G164)),'Plano de Ação'!$J164="Cancelada"),0,IF(AND('Plano de Ação'!$F164&lt;=EOMONTH(DATE(ano_ref,5,1),0),'Plano de Ação'!$G164&gt;=DATE(ano_ref,5,1)),1,0))</f>
      </c>
      <c r="J165" s="41">
        <f>IF(OR(NOT('Plano de Ação'!$B164&lt;&gt;""),NOT(ISNUMBER('Plano de Ação'!$F164)),NOT(ISNUMBER('Plano de Ação'!$G164)),'Plano de Ação'!$J164="Cancelada"),0,IF(AND('Plano de Ação'!$F164&lt;=EOMONTH(DATE(ano_ref,6,1),0),'Plano de Ação'!$G164&gt;=DATE(ano_ref,6,1)),1,0))</f>
      </c>
      <c r="K165" s="41">
        <f>IF(OR(NOT('Plano de Ação'!$B164&lt;&gt;""),NOT(ISNUMBER('Plano de Ação'!$F164)),NOT(ISNUMBER('Plano de Ação'!$G164)),'Plano de Ação'!$J164="Cancelada"),0,IF(AND('Plano de Ação'!$F164&lt;=EOMONTH(DATE(ano_ref,7,1),0),'Plano de Ação'!$G164&gt;=DATE(ano_ref,7,1)),1,0))</f>
      </c>
      <c r="L165" s="41">
        <f>IF(OR(NOT('Plano de Ação'!$B164&lt;&gt;""),NOT(ISNUMBER('Plano de Ação'!$F164)),NOT(ISNUMBER('Plano de Ação'!$G164)),'Plano de Ação'!$J164="Cancelada"),0,IF(AND('Plano de Ação'!$F164&lt;=EOMONTH(DATE(ano_ref,8,1),0),'Plano de Ação'!$G164&gt;=DATE(ano_ref,8,1)),1,0))</f>
      </c>
      <c r="M165" s="41">
        <f>IF(OR(NOT('Plano de Ação'!$B164&lt;&gt;""),NOT(ISNUMBER('Plano de Ação'!$F164)),NOT(ISNUMBER('Plano de Ação'!$G164)),'Plano de Ação'!$J164="Cancelada"),0,IF(AND('Plano de Ação'!$F164&lt;=EOMONTH(DATE(ano_ref,9,1),0),'Plano de Ação'!$G164&gt;=DATE(ano_ref,9,1)),1,0))</f>
      </c>
      <c r="N165" s="41">
        <f>IF(OR(NOT('Plano de Ação'!$B164&lt;&gt;""),NOT(ISNUMBER('Plano de Ação'!$F164)),NOT(ISNUMBER('Plano de Ação'!$G164)),'Plano de Ação'!$J164="Cancelada"),0,IF(AND('Plano de Ação'!$F164&lt;=EOMONTH(DATE(ano_ref,10,1),0),'Plano de Ação'!$G164&gt;=DATE(ano_ref,10,1)),1,0))</f>
      </c>
      <c r="O165" s="41">
        <f>IF(OR(NOT('Plano de Ação'!$B164&lt;&gt;""),NOT(ISNUMBER('Plano de Ação'!$F164)),NOT(ISNUMBER('Plano de Ação'!$G164)),'Plano de Ação'!$J164="Cancelada"),0,IF(AND('Plano de Ação'!$F164&lt;=EOMONTH(DATE(ano_ref,11,1),0),'Plano de Ação'!$G164&gt;=DATE(ano_ref,11,1)),1,0))</f>
      </c>
      <c r="P165" s="41">
        <f>IF(OR(NOT('Plano de Ação'!$B164&lt;&gt;""),NOT(ISNUMBER('Plano de Ação'!$F164)),NOT(ISNUMBER('Plano de Ação'!$G164)),'Plano de Ação'!$J164="Cancelada"),0,IF(AND('Plano de Ação'!$F164&lt;=EOMONTH(DATE(ano_ref,12,1),0),'Plano de Ação'!$G164&gt;=DATE(ano_ref,12,1)),1,0))</f>
      </c>
    </row>
    <row r="166" spans="1:16" x14ac:dyDescent="0.25">
      <c r="A166" s="40">
        <f>IF('Plano de Ação'!$B165&lt;&gt;"",'Plano de Ação'!A165&amp;"","")</f>
      </c>
      <c r="B166" s="25">
        <f>IF('Plano de Ação'!$B165&lt;&gt;"",'Plano de Ação'!B165,"")</f>
      </c>
      <c r="C166" s="25">
        <f>IF('Plano de Ação'!$B165&lt;&gt;"",'Plano de Ação'!E165&amp;"","")</f>
      </c>
      <c r="D166" s="40">
        <f>IF('Plano de Ação'!$B165&lt;&gt;"",'Plano de Ação'!L165,"")</f>
      </c>
      <c r="E166" s="41">
        <f>IF(OR(NOT('Plano de Ação'!$B165&lt;&gt;""),NOT(ISNUMBER('Plano de Ação'!$F165)),NOT(ISNUMBER('Plano de Ação'!$G165)),'Plano de Ação'!$J165="Cancelada"),0,IF(AND('Plano de Ação'!$F165&lt;=EOMONTH(DATE(ano_ref,1,1),0),'Plano de Ação'!$G165&gt;=DATE(ano_ref,1,1)),1,0))</f>
      </c>
      <c r="F166" s="41">
        <f>IF(OR(NOT('Plano de Ação'!$B165&lt;&gt;""),NOT(ISNUMBER('Plano de Ação'!$F165)),NOT(ISNUMBER('Plano de Ação'!$G165)),'Plano de Ação'!$J165="Cancelada"),0,IF(AND('Plano de Ação'!$F165&lt;=EOMONTH(DATE(ano_ref,2,1),0),'Plano de Ação'!$G165&gt;=DATE(ano_ref,2,1)),1,0))</f>
      </c>
      <c r="G166" s="41">
        <f>IF(OR(NOT('Plano de Ação'!$B165&lt;&gt;""),NOT(ISNUMBER('Plano de Ação'!$F165)),NOT(ISNUMBER('Plano de Ação'!$G165)),'Plano de Ação'!$J165="Cancelada"),0,IF(AND('Plano de Ação'!$F165&lt;=EOMONTH(DATE(ano_ref,3,1),0),'Plano de Ação'!$G165&gt;=DATE(ano_ref,3,1)),1,0))</f>
      </c>
      <c r="H166" s="41">
        <f>IF(OR(NOT('Plano de Ação'!$B165&lt;&gt;""),NOT(ISNUMBER('Plano de Ação'!$F165)),NOT(ISNUMBER('Plano de Ação'!$G165)),'Plano de Ação'!$J165="Cancelada"),0,IF(AND('Plano de Ação'!$F165&lt;=EOMONTH(DATE(ano_ref,4,1),0),'Plano de Ação'!$G165&gt;=DATE(ano_ref,4,1)),1,0))</f>
      </c>
      <c r="I166" s="41">
        <f>IF(OR(NOT('Plano de Ação'!$B165&lt;&gt;""),NOT(ISNUMBER('Plano de Ação'!$F165)),NOT(ISNUMBER('Plano de Ação'!$G165)),'Plano de Ação'!$J165="Cancelada"),0,IF(AND('Plano de Ação'!$F165&lt;=EOMONTH(DATE(ano_ref,5,1),0),'Plano de Ação'!$G165&gt;=DATE(ano_ref,5,1)),1,0))</f>
      </c>
      <c r="J166" s="41">
        <f>IF(OR(NOT('Plano de Ação'!$B165&lt;&gt;""),NOT(ISNUMBER('Plano de Ação'!$F165)),NOT(ISNUMBER('Plano de Ação'!$G165)),'Plano de Ação'!$J165="Cancelada"),0,IF(AND('Plano de Ação'!$F165&lt;=EOMONTH(DATE(ano_ref,6,1),0),'Plano de Ação'!$G165&gt;=DATE(ano_ref,6,1)),1,0))</f>
      </c>
      <c r="K166" s="41">
        <f>IF(OR(NOT('Plano de Ação'!$B165&lt;&gt;""),NOT(ISNUMBER('Plano de Ação'!$F165)),NOT(ISNUMBER('Plano de Ação'!$G165)),'Plano de Ação'!$J165="Cancelada"),0,IF(AND('Plano de Ação'!$F165&lt;=EOMONTH(DATE(ano_ref,7,1),0),'Plano de Ação'!$G165&gt;=DATE(ano_ref,7,1)),1,0))</f>
      </c>
      <c r="L166" s="41">
        <f>IF(OR(NOT('Plano de Ação'!$B165&lt;&gt;""),NOT(ISNUMBER('Plano de Ação'!$F165)),NOT(ISNUMBER('Plano de Ação'!$G165)),'Plano de Ação'!$J165="Cancelada"),0,IF(AND('Plano de Ação'!$F165&lt;=EOMONTH(DATE(ano_ref,8,1),0),'Plano de Ação'!$G165&gt;=DATE(ano_ref,8,1)),1,0))</f>
      </c>
      <c r="M166" s="41">
        <f>IF(OR(NOT('Plano de Ação'!$B165&lt;&gt;""),NOT(ISNUMBER('Plano de Ação'!$F165)),NOT(ISNUMBER('Plano de Ação'!$G165)),'Plano de Ação'!$J165="Cancelada"),0,IF(AND('Plano de Ação'!$F165&lt;=EOMONTH(DATE(ano_ref,9,1),0),'Plano de Ação'!$G165&gt;=DATE(ano_ref,9,1)),1,0))</f>
      </c>
      <c r="N166" s="41">
        <f>IF(OR(NOT('Plano de Ação'!$B165&lt;&gt;""),NOT(ISNUMBER('Plano de Ação'!$F165)),NOT(ISNUMBER('Plano de Ação'!$G165)),'Plano de Ação'!$J165="Cancelada"),0,IF(AND('Plano de Ação'!$F165&lt;=EOMONTH(DATE(ano_ref,10,1),0),'Plano de Ação'!$G165&gt;=DATE(ano_ref,10,1)),1,0))</f>
      </c>
      <c r="O166" s="41">
        <f>IF(OR(NOT('Plano de Ação'!$B165&lt;&gt;""),NOT(ISNUMBER('Plano de Ação'!$F165)),NOT(ISNUMBER('Plano de Ação'!$G165)),'Plano de Ação'!$J165="Cancelada"),0,IF(AND('Plano de Ação'!$F165&lt;=EOMONTH(DATE(ano_ref,11,1),0),'Plano de Ação'!$G165&gt;=DATE(ano_ref,11,1)),1,0))</f>
      </c>
      <c r="P166" s="41">
        <f>IF(OR(NOT('Plano de Ação'!$B165&lt;&gt;""),NOT(ISNUMBER('Plano de Ação'!$F165)),NOT(ISNUMBER('Plano de Ação'!$G165)),'Plano de Ação'!$J165="Cancelada"),0,IF(AND('Plano de Ação'!$F165&lt;=EOMONTH(DATE(ano_ref,12,1),0),'Plano de Ação'!$G165&gt;=DATE(ano_ref,12,1)),1,0))</f>
      </c>
    </row>
    <row r="167" spans="1:16" x14ac:dyDescent="0.25">
      <c r="A167" s="40">
        <f>IF('Plano de Ação'!$B166&lt;&gt;"",'Plano de Ação'!A166&amp;"","")</f>
      </c>
      <c r="B167" s="25">
        <f>IF('Plano de Ação'!$B166&lt;&gt;"",'Plano de Ação'!B166,"")</f>
      </c>
      <c r="C167" s="25">
        <f>IF('Plano de Ação'!$B166&lt;&gt;"",'Plano de Ação'!E166&amp;"","")</f>
      </c>
      <c r="D167" s="40">
        <f>IF('Plano de Ação'!$B166&lt;&gt;"",'Plano de Ação'!L166,"")</f>
      </c>
      <c r="E167" s="41">
        <f>IF(OR(NOT('Plano de Ação'!$B166&lt;&gt;""),NOT(ISNUMBER('Plano de Ação'!$F166)),NOT(ISNUMBER('Plano de Ação'!$G166)),'Plano de Ação'!$J166="Cancelada"),0,IF(AND('Plano de Ação'!$F166&lt;=EOMONTH(DATE(ano_ref,1,1),0),'Plano de Ação'!$G166&gt;=DATE(ano_ref,1,1)),1,0))</f>
      </c>
      <c r="F167" s="41">
        <f>IF(OR(NOT('Plano de Ação'!$B166&lt;&gt;""),NOT(ISNUMBER('Plano de Ação'!$F166)),NOT(ISNUMBER('Plano de Ação'!$G166)),'Plano de Ação'!$J166="Cancelada"),0,IF(AND('Plano de Ação'!$F166&lt;=EOMONTH(DATE(ano_ref,2,1),0),'Plano de Ação'!$G166&gt;=DATE(ano_ref,2,1)),1,0))</f>
      </c>
      <c r="G167" s="41">
        <f>IF(OR(NOT('Plano de Ação'!$B166&lt;&gt;""),NOT(ISNUMBER('Plano de Ação'!$F166)),NOT(ISNUMBER('Plano de Ação'!$G166)),'Plano de Ação'!$J166="Cancelada"),0,IF(AND('Plano de Ação'!$F166&lt;=EOMONTH(DATE(ano_ref,3,1),0),'Plano de Ação'!$G166&gt;=DATE(ano_ref,3,1)),1,0))</f>
      </c>
      <c r="H167" s="41">
        <f>IF(OR(NOT('Plano de Ação'!$B166&lt;&gt;""),NOT(ISNUMBER('Plano de Ação'!$F166)),NOT(ISNUMBER('Plano de Ação'!$G166)),'Plano de Ação'!$J166="Cancelada"),0,IF(AND('Plano de Ação'!$F166&lt;=EOMONTH(DATE(ano_ref,4,1),0),'Plano de Ação'!$G166&gt;=DATE(ano_ref,4,1)),1,0))</f>
      </c>
      <c r="I167" s="41">
        <f>IF(OR(NOT('Plano de Ação'!$B166&lt;&gt;""),NOT(ISNUMBER('Plano de Ação'!$F166)),NOT(ISNUMBER('Plano de Ação'!$G166)),'Plano de Ação'!$J166="Cancelada"),0,IF(AND('Plano de Ação'!$F166&lt;=EOMONTH(DATE(ano_ref,5,1),0),'Plano de Ação'!$G166&gt;=DATE(ano_ref,5,1)),1,0))</f>
      </c>
      <c r="J167" s="41">
        <f>IF(OR(NOT('Plano de Ação'!$B166&lt;&gt;""),NOT(ISNUMBER('Plano de Ação'!$F166)),NOT(ISNUMBER('Plano de Ação'!$G166)),'Plano de Ação'!$J166="Cancelada"),0,IF(AND('Plano de Ação'!$F166&lt;=EOMONTH(DATE(ano_ref,6,1),0),'Plano de Ação'!$G166&gt;=DATE(ano_ref,6,1)),1,0))</f>
      </c>
      <c r="K167" s="41">
        <f>IF(OR(NOT('Plano de Ação'!$B166&lt;&gt;""),NOT(ISNUMBER('Plano de Ação'!$F166)),NOT(ISNUMBER('Plano de Ação'!$G166)),'Plano de Ação'!$J166="Cancelada"),0,IF(AND('Plano de Ação'!$F166&lt;=EOMONTH(DATE(ano_ref,7,1),0),'Plano de Ação'!$G166&gt;=DATE(ano_ref,7,1)),1,0))</f>
      </c>
      <c r="L167" s="41">
        <f>IF(OR(NOT('Plano de Ação'!$B166&lt;&gt;""),NOT(ISNUMBER('Plano de Ação'!$F166)),NOT(ISNUMBER('Plano de Ação'!$G166)),'Plano de Ação'!$J166="Cancelada"),0,IF(AND('Plano de Ação'!$F166&lt;=EOMONTH(DATE(ano_ref,8,1),0),'Plano de Ação'!$G166&gt;=DATE(ano_ref,8,1)),1,0))</f>
      </c>
      <c r="M167" s="41">
        <f>IF(OR(NOT('Plano de Ação'!$B166&lt;&gt;""),NOT(ISNUMBER('Plano de Ação'!$F166)),NOT(ISNUMBER('Plano de Ação'!$G166)),'Plano de Ação'!$J166="Cancelada"),0,IF(AND('Plano de Ação'!$F166&lt;=EOMONTH(DATE(ano_ref,9,1),0),'Plano de Ação'!$G166&gt;=DATE(ano_ref,9,1)),1,0))</f>
      </c>
      <c r="N167" s="41">
        <f>IF(OR(NOT('Plano de Ação'!$B166&lt;&gt;""),NOT(ISNUMBER('Plano de Ação'!$F166)),NOT(ISNUMBER('Plano de Ação'!$G166)),'Plano de Ação'!$J166="Cancelada"),0,IF(AND('Plano de Ação'!$F166&lt;=EOMONTH(DATE(ano_ref,10,1),0),'Plano de Ação'!$G166&gt;=DATE(ano_ref,10,1)),1,0))</f>
      </c>
      <c r="O167" s="41">
        <f>IF(OR(NOT('Plano de Ação'!$B166&lt;&gt;""),NOT(ISNUMBER('Plano de Ação'!$F166)),NOT(ISNUMBER('Plano de Ação'!$G166)),'Plano de Ação'!$J166="Cancelada"),0,IF(AND('Plano de Ação'!$F166&lt;=EOMONTH(DATE(ano_ref,11,1),0),'Plano de Ação'!$G166&gt;=DATE(ano_ref,11,1)),1,0))</f>
      </c>
      <c r="P167" s="41">
        <f>IF(OR(NOT('Plano de Ação'!$B166&lt;&gt;""),NOT(ISNUMBER('Plano de Ação'!$F166)),NOT(ISNUMBER('Plano de Ação'!$G166)),'Plano de Ação'!$J166="Cancelada"),0,IF(AND('Plano de Ação'!$F166&lt;=EOMONTH(DATE(ano_ref,12,1),0),'Plano de Ação'!$G166&gt;=DATE(ano_ref,12,1)),1,0))</f>
      </c>
    </row>
    <row r="168" spans="1:16" x14ac:dyDescent="0.25">
      <c r="A168" s="40">
        <f>IF('Plano de Ação'!$B167&lt;&gt;"",'Plano de Ação'!A167&amp;"","")</f>
      </c>
      <c r="B168" s="25">
        <f>IF('Plano de Ação'!$B167&lt;&gt;"",'Plano de Ação'!B167,"")</f>
      </c>
      <c r="C168" s="25">
        <f>IF('Plano de Ação'!$B167&lt;&gt;"",'Plano de Ação'!E167&amp;"","")</f>
      </c>
      <c r="D168" s="40">
        <f>IF('Plano de Ação'!$B167&lt;&gt;"",'Plano de Ação'!L167,"")</f>
      </c>
      <c r="E168" s="41">
        <f>IF(OR(NOT('Plano de Ação'!$B167&lt;&gt;""),NOT(ISNUMBER('Plano de Ação'!$F167)),NOT(ISNUMBER('Plano de Ação'!$G167)),'Plano de Ação'!$J167="Cancelada"),0,IF(AND('Plano de Ação'!$F167&lt;=EOMONTH(DATE(ano_ref,1,1),0),'Plano de Ação'!$G167&gt;=DATE(ano_ref,1,1)),1,0))</f>
      </c>
      <c r="F168" s="41">
        <f>IF(OR(NOT('Plano de Ação'!$B167&lt;&gt;""),NOT(ISNUMBER('Plano de Ação'!$F167)),NOT(ISNUMBER('Plano de Ação'!$G167)),'Plano de Ação'!$J167="Cancelada"),0,IF(AND('Plano de Ação'!$F167&lt;=EOMONTH(DATE(ano_ref,2,1),0),'Plano de Ação'!$G167&gt;=DATE(ano_ref,2,1)),1,0))</f>
      </c>
      <c r="G168" s="41">
        <f>IF(OR(NOT('Plano de Ação'!$B167&lt;&gt;""),NOT(ISNUMBER('Plano de Ação'!$F167)),NOT(ISNUMBER('Plano de Ação'!$G167)),'Plano de Ação'!$J167="Cancelada"),0,IF(AND('Plano de Ação'!$F167&lt;=EOMONTH(DATE(ano_ref,3,1),0),'Plano de Ação'!$G167&gt;=DATE(ano_ref,3,1)),1,0))</f>
      </c>
      <c r="H168" s="41">
        <f>IF(OR(NOT('Plano de Ação'!$B167&lt;&gt;""),NOT(ISNUMBER('Plano de Ação'!$F167)),NOT(ISNUMBER('Plano de Ação'!$G167)),'Plano de Ação'!$J167="Cancelada"),0,IF(AND('Plano de Ação'!$F167&lt;=EOMONTH(DATE(ano_ref,4,1),0),'Plano de Ação'!$G167&gt;=DATE(ano_ref,4,1)),1,0))</f>
      </c>
      <c r="I168" s="41">
        <f>IF(OR(NOT('Plano de Ação'!$B167&lt;&gt;""),NOT(ISNUMBER('Plano de Ação'!$F167)),NOT(ISNUMBER('Plano de Ação'!$G167)),'Plano de Ação'!$J167="Cancelada"),0,IF(AND('Plano de Ação'!$F167&lt;=EOMONTH(DATE(ano_ref,5,1),0),'Plano de Ação'!$G167&gt;=DATE(ano_ref,5,1)),1,0))</f>
      </c>
      <c r="J168" s="41">
        <f>IF(OR(NOT('Plano de Ação'!$B167&lt;&gt;""),NOT(ISNUMBER('Plano de Ação'!$F167)),NOT(ISNUMBER('Plano de Ação'!$G167)),'Plano de Ação'!$J167="Cancelada"),0,IF(AND('Plano de Ação'!$F167&lt;=EOMONTH(DATE(ano_ref,6,1),0),'Plano de Ação'!$G167&gt;=DATE(ano_ref,6,1)),1,0))</f>
      </c>
      <c r="K168" s="41">
        <f>IF(OR(NOT('Plano de Ação'!$B167&lt;&gt;""),NOT(ISNUMBER('Plano de Ação'!$F167)),NOT(ISNUMBER('Plano de Ação'!$G167)),'Plano de Ação'!$J167="Cancelada"),0,IF(AND('Plano de Ação'!$F167&lt;=EOMONTH(DATE(ano_ref,7,1),0),'Plano de Ação'!$G167&gt;=DATE(ano_ref,7,1)),1,0))</f>
      </c>
      <c r="L168" s="41">
        <f>IF(OR(NOT('Plano de Ação'!$B167&lt;&gt;""),NOT(ISNUMBER('Plano de Ação'!$F167)),NOT(ISNUMBER('Plano de Ação'!$G167)),'Plano de Ação'!$J167="Cancelada"),0,IF(AND('Plano de Ação'!$F167&lt;=EOMONTH(DATE(ano_ref,8,1),0),'Plano de Ação'!$G167&gt;=DATE(ano_ref,8,1)),1,0))</f>
      </c>
      <c r="M168" s="41">
        <f>IF(OR(NOT('Plano de Ação'!$B167&lt;&gt;""),NOT(ISNUMBER('Plano de Ação'!$F167)),NOT(ISNUMBER('Plano de Ação'!$G167)),'Plano de Ação'!$J167="Cancelada"),0,IF(AND('Plano de Ação'!$F167&lt;=EOMONTH(DATE(ano_ref,9,1),0),'Plano de Ação'!$G167&gt;=DATE(ano_ref,9,1)),1,0))</f>
      </c>
      <c r="N168" s="41">
        <f>IF(OR(NOT('Plano de Ação'!$B167&lt;&gt;""),NOT(ISNUMBER('Plano de Ação'!$F167)),NOT(ISNUMBER('Plano de Ação'!$G167)),'Plano de Ação'!$J167="Cancelada"),0,IF(AND('Plano de Ação'!$F167&lt;=EOMONTH(DATE(ano_ref,10,1),0),'Plano de Ação'!$G167&gt;=DATE(ano_ref,10,1)),1,0))</f>
      </c>
      <c r="O168" s="41">
        <f>IF(OR(NOT('Plano de Ação'!$B167&lt;&gt;""),NOT(ISNUMBER('Plano de Ação'!$F167)),NOT(ISNUMBER('Plano de Ação'!$G167)),'Plano de Ação'!$J167="Cancelada"),0,IF(AND('Plano de Ação'!$F167&lt;=EOMONTH(DATE(ano_ref,11,1),0),'Plano de Ação'!$G167&gt;=DATE(ano_ref,11,1)),1,0))</f>
      </c>
      <c r="P168" s="41">
        <f>IF(OR(NOT('Plano de Ação'!$B167&lt;&gt;""),NOT(ISNUMBER('Plano de Ação'!$F167)),NOT(ISNUMBER('Plano de Ação'!$G167)),'Plano de Ação'!$J167="Cancelada"),0,IF(AND('Plano de Ação'!$F167&lt;=EOMONTH(DATE(ano_ref,12,1),0),'Plano de Ação'!$G167&gt;=DATE(ano_ref,12,1)),1,0))</f>
      </c>
    </row>
    <row r="169" spans="1:16" x14ac:dyDescent="0.25">
      <c r="A169" s="40">
        <f>IF('Plano de Ação'!$B168&lt;&gt;"",'Plano de Ação'!A168&amp;"","")</f>
      </c>
      <c r="B169" s="25">
        <f>IF('Plano de Ação'!$B168&lt;&gt;"",'Plano de Ação'!B168,"")</f>
      </c>
      <c r="C169" s="25">
        <f>IF('Plano de Ação'!$B168&lt;&gt;"",'Plano de Ação'!E168&amp;"","")</f>
      </c>
      <c r="D169" s="40">
        <f>IF('Plano de Ação'!$B168&lt;&gt;"",'Plano de Ação'!L168,"")</f>
      </c>
      <c r="E169" s="41">
        <f>IF(OR(NOT('Plano de Ação'!$B168&lt;&gt;""),NOT(ISNUMBER('Plano de Ação'!$F168)),NOT(ISNUMBER('Plano de Ação'!$G168)),'Plano de Ação'!$J168="Cancelada"),0,IF(AND('Plano de Ação'!$F168&lt;=EOMONTH(DATE(ano_ref,1,1),0),'Plano de Ação'!$G168&gt;=DATE(ano_ref,1,1)),1,0))</f>
      </c>
      <c r="F169" s="41">
        <f>IF(OR(NOT('Plano de Ação'!$B168&lt;&gt;""),NOT(ISNUMBER('Plano de Ação'!$F168)),NOT(ISNUMBER('Plano de Ação'!$G168)),'Plano de Ação'!$J168="Cancelada"),0,IF(AND('Plano de Ação'!$F168&lt;=EOMONTH(DATE(ano_ref,2,1),0),'Plano de Ação'!$G168&gt;=DATE(ano_ref,2,1)),1,0))</f>
      </c>
      <c r="G169" s="41">
        <f>IF(OR(NOT('Plano de Ação'!$B168&lt;&gt;""),NOT(ISNUMBER('Plano de Ação'!$F168)),NOT(ISNUMBER('Plano de Ação'!$G168)),'Plano de Ação'!$J168="Cancelada"),0,IF(AND('Plano de Ação'!$F168&lt;=EOMONTH(DATE(ano_ref,3,1),0),'Plano de Ação'!$G168&gt;=DATE(ano_ref,3,1)),1,0))</f>
      </c>
      <c r="H169" s="41">
        <f>IF(OR(NOT('Plano de Ação'!$B168&lt;&gt;""),NOT(ISNUMBER('Plano de Ação'!$F168)),NOT(ISNUMBER('Plano de Ação'!$G168)),'Plano de Ação'!$J168="Cancelada"),0,IF(AND('Plano de Ação'!$F168&lt;=EOMONTH(DATE(ano_ref,4,1),0),'Plano de Ação'!$G168&gt;=DATE(ano_ref,4,1)),1,0))</f>
      </c>
      <c r="I169" s="41">
        <f>IF(OR(NOT('Plano de Ação'!$B168&lt;&gt;""),NOT(ISNUMBER('Plano de Ação'!$F168)),NOT(ISNUMBER('Plano de Ação'!$G168)),'Plano de Ação'!$J168="Cancelada"),0,IF(AND('Plano de Ação'!$F168&lt;=EOMONTH(DATE(ano_ref,5,1),0),'Plano de Ação'!$G168&gt;=DATE(ano_ref,5,1)),1,0))</f>
      </c>
      <c r="J169" s="41">
        <f>IF(OR(NOT('Plano de Ação'!$B168&lt;&gt;""),NOT(ISNUMBER('Plano de Ação'!$F168)),NOT(ISNUMBER('Plano de Ação'!$G168)),'Plano de Ação'!$J168="Cancelada"),0,IF(AND('Plano de Ação'!$F168&lt;=EOMONTH(DATE(ano_ref,6,1),0),'Plano de Ação'!$G168&gt;=DATE(ano_ref,6,1)),1,0))</f>
      </c>
      <c r="K169" s="41">
        <f>IF(OR(NOT('Plano de Ação'!$B168&lt;&gt;""),NOT(ISNUMBER('Plano de Ação'!$F168)),NOT(ISNUMBER('Plano de Ação'!$G168)),'Plano de Ação'!$J168="Cancelada"),0,IF(AND('Plano de Ação'!$F168&lt;=EOMONTH(DATE(ano_ref,7,1),0),'Plano de Ação'!$G168&gt;=DATE(ano_ref,7,1)),1,0))</f>
      </c>
      <c r="L169" s="41">
        <f>IF(OR(NOT('Plano de Ação'!$B168&lt;&gt;""),NOT(ISNUMBER('Plano de Ação'!$F168)),NOT(ISNUMBER('Plano de Ação'!$G168)),'Plano de Ação'!$J168="Cancelada"),0,IF(AND('Plano de Ação'!$F168&lt;=EOMONTH(DATE(ano_ref,8,1),0),'Plano de Ação'!$G168&gt;=DATE(ano_ref,8,1)),1,0))</f>
      </c>
      <c r="M169" s="41">
        <f>IF(OR(NOT('Plano de Ação'!$B168&lt;&gt;""),NOT(ISNUMBER('Plano de Ação'!$F168)),NOT(ISNUMBER('Plano de Ação'!$G168)),'Plano de Ação'!$J168="Cancelada"),0,IF(AND('Plano de Ação'!$F168&lt;=EOMONTH(DATE(ano_ref,9,1),0),'Plano de Ação'!$G168&gt;=DATE(ano_ref,9,1)),1,0))</f>
      </c>
      <c r="N169" s="41">
        <f>IF(OR(NOT('Plano de Ação'!$B168&lt;&gt;""),NOT(ISNUMBER('Plano de Ação'!$F168)),NOT(ISNUMBER('Plano de Ação'!$G168)),'Plano de Ação'!$J168="Cancelada"),0,IF(AND('Plano de Ação'!$F168&lt;=EOMONTH(DATE(ano_ref,10,1),0),'Plano de Ação'!$G168&gt;=DATE(ano_ref,10,1)),1,0))</f>
      </c>
      <c r="O169" s="41">
        <f>IF(OR(NOT('Plano de Ação'!$B168&lt;&gt;""),NOT(ISNUMBER('Plano de Ação'!$F168)),NOT(ISNUMBER('Plano de Ação'!$G168)),'Plano de Ação'!$J168="Cancelada"),0,IF(AND('Plano de Ação'!$F168&lt;=EOMONTH(DATE(ano_ref,11,1),0),'Plano de Ação'!$G168&gt;=DATE(ano_ref,11,1)),1,0))</f>
      </c>
      <c r="P169" s="41">
        <f>IF(OR(NOT('Plano de Ação'!$B168&lt;&gt;""),NOT(ISNUMBER('Plano de Ação'!$F168)),NOT(ISNUMBER('Plano de Ação'!$G168)),'Plano de Ação'!$J168="Cancelada"),0,IF(AND('Plano de Ação'!$F168&lt;=EOMONTH(DATE(ano_ref,12,1),0),'Plano de Ação'!$G168&gt;=DATE(ano_ref,12,1)),1,0))</f>
      </c>
    </row>
    <row r="170" spans="1:16" x14ac:dyDescent="0.25">
      <c r="A170" s="40">
        <f>IF('Plano de Ação'!$B169&lt;&gt;"",'Plano de Ação'!A169&amp;"","")</f>
      </c>
      <c r="B170" s="25">
        <f>IF('Plano de Ação'!$B169&lt;&gt;"",'Plano de Ação'!B169,"")</f>
      </c>
      <c r="C170" s="25">
        <f>IF('Plano de Ação'!$B169&lt;&gt;"",'Plano de Ação'!E169&amp;"","")</f>
      </c>
      <c r="D170" s="40">
        <f>IF('Plano de Ação'!$B169&lt;&gt;"",'Plano de Ação'!L169,"")</f>
      </c>
      <c r="E170" s="41">
        <f>IF(OR(NOT('Plano de Ação'!$B169&lt;&gt;""),NOT(ISNUMBER('Plano de Ação'!$F169)),NOT(ISNUMBER('Plano de Ação'!$G169)),'Plano de Ação'!$J169="Cancelada"),0,IF(AND('Plano de Ação'!$F169&lt;=EOMONTH(DATE(ano_ref,1,1),0),'Plano de Ação'!$G169&gt;=DATE(ano_ref,1,1)),1,0))</f>
      </c>
      <c r="F170" s="41">
        <f>IF(OR(NOT('Plano de Ação'!$B169&lt;&gt;""),NOT(ISNUMBER('Plano de Ação'!$F169)),NOT(ISNUMBER('Plano de Ação'!$G169)),'Plano de Ação'!$J169="Cancelada"),0,IF(AND('Plano de Ação'!$F169&lt;=EOMONTH(DATE(ano_ref,2,1),0),'Plano de Ação'!$G169&gt;=DATE(ano_ref,2,1)),1,0))</f>
      </c>
      <c r="G170" s="41">
        <f>IF(OR(NOT('Plano de Ação'!$B169&lt;&gt;""),NOT(ISNUMBER('Plano de Ação'!$F169)),NOT(ISNUMBER('Plano de Ação'!$G169)),'Plano de Ação'!$J169="Cancelada"),0,IF(AND('Plano de Ação'!$F169&lt;=EOMONTH(DATE(ano_ref,3,1),0),'Plano de Ação'!$G169&gt;=DATE(ano_ref,3,1)),1,0))</f>
      </c>
      <c r="H170" s="41">
        <f>IF(OR(NOT('Plano de Ação'!$B169&lt;&gt;""),NOT(ISNUMBER('Plano de Ação'!$F169)),NOT(ISNUMBER('Plano de Ação'!$G169)),'Plano de Ação'!$J169="Cancelada"),0,IF(AND('Plano de Ação'!$F169&lt;=EOMONTH(DATE(ano_ref,4,1),0),'Plano de Ação'!$G169&gt;=DATE(ano_ref,4,1)),1,0))</f>
      </c>
      <c r="I170" s="41">
        <f>IF(OR(NOT('Plano de Ação'!$B169&lt;&gt;""),NOT(ISNUMBER('Plano de Ação'!$F169)),NOT(ISNUMBER('Plano de Ação'!$G169)),'Plano de Ação'!$J169="Cancelada"),0,IF(AND('Plano de Ação'!$F169&lt;=EOMONTH(DATE(ano_ref,5,1),0),'Plano de Ação'!$G169&gt;=DATE(ano_ref,5,1)),1,0))</f>
      </c>
      <c r="J170" s="41">
        <f>IF(OR(NOT('Plano de Ação'!$B169&lt;&gt;""),NOT(ISNUMBER('Plano de Ação'!$F169)),NOT(ISNUMBER('Plano de Ação'!$G169)),'Plano de Ação'!$J169="Cancelada"),0,IF(AND('Plano de Ação'!$F169&lt;=EOMONTH(DATE(ano_ref,6,1),0),'Plano de Ação'!$G169&gt;=DATE(ano_ref,6,1)),1,0))</f>
      </c>
      <c r="K170" s="41">
        <f>IF(OR(NOT('Plano de Ação'!$B169&lt;&gt;""),NOT(ISNUMBER('Plano de Ação'!$F169)),NOT(ISNUMBER('Plano de Ação'!$G169)),'Plano de Ação'!$J169="Cancelada"),0,IF(AND('Plano de Ação'!$F169&lt;=EOMONTH(DATE(ano_ref,7,1),0),'Plano de Ação'!$G169&gt;=DATE(ano_ref,7,1)),1,0))</f>
      </c>
      <c r="L170" s="41">
        <f>IF(OR(NOT('Plano de Ação'!$B169&lt;&gt;""),NOT(ISNUMBER('Plano de Ação'!$F169)),NOT(ISNUMBER('Plano de Ação'!$G169)),'Plano de Ação'!$J169="Cancelada"),0,IF(AND('Plano de Ação'!$F169&lt;=EOMONTH(DATE(ano_ref,8,1),0),'Plano de Ação'!$G169&gt;=DATE(ano_ref,8,1)),1,0))</f>
      </c>
      <c r="M170" s="41">
        <f>IF(OR(NOT('Plano de Ação'!$B169&lt;&gt;""),NOT(ISNUMBER('Plano de Ação'!$F169)),NOT(ISNUMBER('Plano de Ação'!$G169)),'Plano de Ação'!$J169="Cancelada"),0,IF(AND('Plano de Ação'!$F169&lt;=EOMONTH(DATE(ano_ref,9,1),0),'Plano de Ação'!$G169&gt;=DATE(ano_ref,9,1)),1,0))</f>
      </c>
      <c r="N170" s="41">
        <f>IF(OR(NOT('Plano de Ação'!$B169&lt;&gt;""),NOT(ISNUMBER('Plano de Ação'!$F169)),NOT(ISNUMBER('Plano de Ação'!$G169)),'Plano de Ação'!$J169="Cancelada"),0,IF(AND('Plano de Ação'!$F169&lt;=EOMONTH(DATE(ano_ref,10,1),0),'Plano de Ação'!$G169&gt;=DATE(ano_ref,10,1)),1,0))</f>
      </c>
      <c r="O170" s="41">
        <f>IF(OR(NOT('Plano de Ação'!$B169&lt;&gt;""),NOT(ISNUMBER('Plano de Ação'!$F169)),NOT(ISNUMBER('Plano de Ação'!$G169)),'Plano de Ação'!$J169="Cancelada"),0,IF(AND('Plano de Ação'!$F169&lt;=EOMONTH(DATE(ano_ref,11,1),0),'Plano de Ação'!$G169&gt;=DATE(ano_ref,11,1)),1,0))</f>
      </c>
      <c r="P170" s="41">
        <f>IF(OR(NOT('Plano de Ação'!$B169&lt;&gt;""),NOT(ISNUMBER('Plano de Ação'!$F169)),NOT(ISNUMBER('Plano de Ação'!$G169)),'Plano de Ação'!$J169="Cancelada"),0,IF(AND('Plano de Ação'!$F169&lt;=EOMONTH(DATE(ano_ref,12,1),0),'Plano de Ação'!$G169&gt;=DATE(ano_ref,12,1)),1,0))</f>
      </c>
    </row>
    <row r="171" spans="1:16" x14ac:dyDescent="0.25">
      <c r="A171" s="40">
        <f>IF('Plano de Ação'!$B170&lt;&gt;"",'Plano de Ação'!A170&amp;"","")</f>
      </c>
      <c r="B171" s="25">
        <f>IF('Plano de Ação'!$B170&lt;&gt;"",'Plano de Ação'!B170,"")</f>
      </c>
      <c r="C171" s="25">
        <f>IF('Plano de Ação'!$B170&lt;&gt;"",'Plano de Ação'!E170&amp;"","")</f>
      </c>
      <c r="D171" s="40">
        <f>IF('Plano de Ação'!$B170&lt;&gt;"",'Plano de Ação'!L170,"")</f>
      </c>
      <c r="E171" s="41">
        <f>IF(OR(NOT('Plano de Ação'!$B170&lt;&gt;""),NOT(ISNUMBER('Plano de Ação'!$F170)),NOT(ISNUMBER('Plano de Ação'!$G170)),'Plano de Ação'!$J170="Cancelada"),0,IF(AND('Plano de Ação'!$F170&lt;=EOMONTH(DATE(ano_ref,1,1),0),'Plano de Ação'!$G170&gt;=DATE(ano_ref,1,1)),1,0))</f>
      </c>
      <c r="F171" s="41">
        <f>IF(OR(NOT('Plano de Ação'!$B170&lt;&gt;""),NOT(ISNUMBER('Plano de Ação'!$F170)),NOT(ISNUMBER('Plano de Ação'!$G170)),'Plano de Ação'!$J170="Cancelada"),0,IF(AND('Plano de Ação'!$F170&lt;=EOMONTH(DATE(ano_ref,2,1),0),'Plano de Ação'!$G170&gt;=DATE(ano_ref,2,1)),1,0))</f>
      </c>
      <c r="G171" s="41">
        <f>IF(OR(NOT('Plano de Ação'!$B170&lt;&gt;""),NOT(ISNUMBER('Plano de Ação'!$F170)),NOT(ISNUMBER('Plano de Ação'!$G170)),'Plano de Ação'!$J170="Cancelada"),0,IF(AND('Plano de Ação'!$F170&lt;=EOMONTH(DATE(ano_ref,3,1),0),'Plano de Ação'!$G170&gt;=DATE(ano_ref,3,1)),1,0))</f>
      </c>
      <c r="H171" s="41">
        <f>IF(OR(NOT('Plano de Ação'!$B170&lt;&gt;""),NOT(ISNUMBER('Plano de Ação'!$F170)),NOT(ISNUMBER('Plano de Ação'!$G170)),'Plano de Ação'!$J170="Cancelada"),0,IF(AND('Plano de Ação'!$F170&lt;=EOMONTH(DATE(ano_ref,4,1),0),'Plano de Ação'!$G170&gt;=DATE(ano_ref,4,1)),1,0))</f>
      </c>
      <c r="I171" s="41">
        <f>IF(OR(NOT('Plano de Ação'!$B170&lt;&gt;""),NOT(ISNUMBER('Plano de Ação'!$F170)),NOT(ISNUMBER('Plano de Ação'!$G170)),'Plano de Ação'!$J170="Cancelada"),0,IF(AND('Plano de Ação'!$F170&lt;=EOMONTH(DATE(ano_ref,5,1),0),'Plano de Ação'!$G170&gt;=DATE(ano_ref,5,1)),1,0))</f>
      </c>
      <c r="J171" s="41">
        <f>IF(OR(NOT('Plano de Ação'!$B170&lt;&gt;""),NOT(ISNUMBER('Plano de Ação'!$F170)),NOT(ISNUMBER('Plano de Ação'!$G170)),'Plano de Ação'!$J170="Cancelada"),0,IF(AND('Plano de Ação'!$F170&lt;=EOMONTH(DATE(ano_ref,6,1),0),'Plano de Ação'!$G170&gt;=DATE(ano_ref,6,1)),1,0))</f>
      </c>
      <c r="K171" s="41">
        <f>IF(OR(NOT('Plano de Ação'!$B170&lt;&gt;""),NOT(ISNUMBER('Plano de Ação'!$F170)),NOT(ISNUMBER('Plano de Ação'!$G170)),'Plano de Ação'!$J170="Cancelada"),0,IF(AND('Plano de Ação'!$F170&lt;=EOMONTH(DATE(ano_ref,7,1),0),'Plano de Ação'!$G170&gt;=DATE(ano_ref,7,1)),1,0))</f>
      </c>
      <c r="L171" s="41">
        <f>IF(OR(NOT('Plano de Ação'!$B170&lt;&gt;""),NOT(ISNUMBER('Plano de Ação'!$F170)),NOT(ISNUMBER('Plano de Ação'!$G170)),'Plano de Ação'!$J170="Cancelada"),0,IF(AND('Plano de Ação'!$F170&lt;=EOMONTH(DATE(ano_ref,8,1),0),'Plano de Ação'!$G170&gt;=DATE(ano_ref,8,1)),1,0))</f>
      </c>
      <c r="M171" s="41">
        <f>IF(OR(NOT('Plano de Ação'!$B170&lt;&gt;""),NOT(ISNUMBER('Plano de Ação'!$F170)),NOT(ISNUMBER('Plano de Ação'!$G170)),'Plano de Ação'!$J170="Cancelada"),0,IF(AND('Plano de Ação'!$F170&lt;=EOMONTH(DATE(ano_ref,9,1),0),'Plano de Ação'!$G170&gt;=DATE(ano_ref,9,1)),1,0))</f>
      </c>
      <c r="N171" s="41">
        <f>IF(OR(NOT('Plano de Ação'!$B170&lt;&gt;""),NOT(ISNUMBER('Plano de Ação'!$F170)),NOT(ISNUMBER('Plano de Ação'!$G170)),'Plano de Ação'!$J170="Cancelada"),0,IF(AND('Plano de Ação'!$F170&lt;=EOMONTH(DATE(ano_ref,10,1),0),'Plano de Ação'!$G170&gt;=DATE(ano_ref,10,1)),1,0))</f>
      </c>
      <c r="O171" s="41">
        <f>IF(OR(NOT('Plano de Ação'!$B170&lt;&gt;""),NOT(ISNUMBER('Plano de Ação'!$F170)),NOT(ISNUMBER('Plano de Ação'!$G170)),'Plano de Ação'!$J170="Cancelada"),0,IF(AND('Plano de Ação'!$F170&lt;=EOMONTH(DATE(ano_ref,11,1),0),'Plano de Ação'!$G170&gt;=DATE(ano_ref,11,1)),1,0))</f>
      </c>
      <c r="P171" s="41">
        <f>IF(OR(NOT('Plano de Ação'!$B170&lt;&gt;""),NOT(ISNUMBER('Plano de Ação'!$F170)),NOT(ISNUMBER('Plano de Ação'!$G170)),'Plano de Ação'!$J170="Cancelada"),0,IF(AND('Plano de Ação'!$F170&lt;=EOMONTH(DATE(ano_ref,12,1),0),'Plano de Ação'!$G170&gt;=DATE(ano_ref,12,1)),1,0))</f>
      </c>
    </row>
    <row r="172" spans="1:16" x14ac:dyDescent="0.25">
      <c r="A172" s="40">
        <f>IF('Plano de Ação'!$B171&lt;&gt;"",'Plano de Ação'!A171&amp;"","")</f>
      </c>
      <c r="B172" s="25">
        <f>IF('Plano de Ação'!$B171&lt;&gt;"",'Plano de Ação'!B171,"")</f>
      </c>
      <c r="C172" s="25">
        <f>IF('Plano de Ação'!$B171&lt;&gt;"",'Plano de Ação'!E171&amp;"","")</f>
      </c>
      <c r="D172" s="40">
        <f>IF('Plano de Ação'!$B171&lt;&gt;"",'Plano de Ação'!L171,"")</f>
      </c>
      <c r="E172" s="41">
        <f>IF(OR(NOT('Plano de Ação'!$B171&lt;&gt;""),NOT(ISNUMBER('Plano de Ação'!$F171)),NOT(ISNUMBER('Plano de Ação'!$G171)),'Plano de Ação'!$J171="Cancelada"),0,IF(AND('Plano de Ação'!$F171&lt;=EOMONTH(DATE(ano_ref,1,1),0),'Plano de Ação'!$G171&gt;=DATE(ano_ref,1,1)),1,0))</f>
      </c>
      <c r="F172" s="41">
        <f>IF(OR(NOT('Plano de Ação'!$B171&lt;&gt;""),NOT(ISNUMBER('Plano de Ação'!$F171)),NOT(ISNUMBER('Plano de Ação'!$G171)),'Plano de Ação'!$J171="Cancelada"),0,IF(AND('Plano de Ação'!$F171&lt;=EOMONTH(DATE(ano_ref,2,1),0),'Plano de Ação'!$G171&gt;=DATE(ano_ref,2,1)),1,0))</f>
      </c>
      <c r="G172" s="41">
        <f>IF(OR(NOT('Plano de Ação'!$B171&lt;&gt;""),NOT(ISNUMBER('Plano de Ação'!$F171)),NOT(ISNUMBER('Plano de Ação'!$G171)),'Plano de Ação'!$J171="Cancelada"),0,IF(AND('Plano de Ação'!$F171&lt;=EOMONTH(DATE(ano_ref,3,1),0),'Plano de Ação'!$G171&gt;=DATE(ano_ref,3,1)),1,0))</f>
      </c>
      <c r="H172" s="41">
        <f>IF(OR(NOT('Plano de Ação'!$B171&lt;&gt;""),NOT(ISNUMBER('Plano de Ação'!$F171)),NOT(ISNUMBER('Plano de Ação'!$G171)),'Plano de Ação'!$J171="Cancelada"),0,IF(AND('Plano de Ação'!$F171&lt;=EOMONTH(DATE(ano_ref,4,1),0),'Plano de Ação'!$G171&gt;=DATE(ano_ref,4,1)),1,0))</f>
      </c>
      <c r="I172" s="41">
        <f>IF(OR(NOT('Plano de Ação'!$B171&lt;&gt;""),NOT(ISNUMBER('Plano de Ação'!$F171)),NOT(ISNUMBER('Plano de Ação'!$G171)),'Plano de Ação'!$J171="Cancelada"),0,IF(AND('Plano de Ação'!$F171&lt;=EOMONTH(DATE(ano_ref,5,1),0),'Plano de Ação'!$G171&gt;=DATE(ano_ref,5,1)),1,0))</f>
      </c>
      <c r="J172" s="41">
        <f>IF(OR(NOT('Plano de Ação'!$B171&lt;&gt;""),NOT(ISNUMBER('Plano de Ação'!$F171)),NOT(ISNUMBER('Plano de Ação'!$G171)),'Plano de Ação'!$J171="Cancelada"),0,IF(AND('Plano de Ação'!$F171&lt;=EOMONTH(DATE(ano_ref,6,1),0),'Plano de Ação'!$G171&gt;=DATE(ano_ref,6,1)),1,0))</f>
      </c>
      <c r="K172" s="41">
        <f>IF(OR(NOT('Plano de Ação'!$B171&lt;&gt;""),NOT(ISNUMBER('Plano de Ação'!$F171)),NOT(ISNUMBER('Plano de Ação'!$G171)),'Plano de Ação'!$J171="Cancelada"),0,IF(AND('Plano de Ação'!$F171&lt;=EOMONTH(DATE(ano_ref,7,1),0),'Plano de Ação'!$G171&gt;=DATE(ano_ref,7,1)),1,0))</f>
      </c>
      <c r="L172" s="41">
        <f>IF(OR(NOT('Plano de Ação'!$B171&lt;&gt;""),NOT(ISNUMBER('Plano de Ação'!$F171)),NOT(ISNUMBER('Plano de Ação'!$G171)),'Plano de Ação'!$J171="Cancelada"),0,IF(AND('Plano de Ação'!$F171&lt;=EOMONTH(DATE(ano_ref,8,1),0),'Plano de Ação'!$G171&gt;=DATE(ano_ref,8,1)),1,0))</f>
      </c>
      <c r="M172" s="41">
        <f>IF(OR(NOT('Plano de Ação'!$B171&lt;&gt;""),NOT(ISNUMBER('Plano de Ação'!$F171)),NOT(ISNUMBER('Plano de Ação'!$G171)),'Plano de Ação'!$J171="Cancelada"),0,IF(AND('Plano de Ação'!$F171&lt;=EOMONTH(DATE(ano_ref,9,1),0),'Plano de Ação'!$G171&gt;=DATE(ano_ref,9,1)),1,0))</f>
      </c>
      <c r="N172" s="41">
        <f>IF(OR(NOT('Plano de Ação'!$B171&lt;&gt;""),NOT(ISNUMBER('Plano de Ação'!$F171)),NOT(ISNUMBER('Plano de Ação'!$G171)),'Plano de Ação'!$J171="Cancelada"),0,IF(AND('Plano de Ação'!$F171&lt;=EOMONTH(DATE(ano_ref,10,1),0),'Plano de Ação'!$G171&gt;=DATE(ano_ref,10,1)),1,0))</f>
      </c>
      <c r="O172" s="41">
        <f>IF(OR(NOT('Plano de Ação'!$B171&lt;&gt;""),NOT(ISNUMBER('Plano de Ação'!$F171)),NOT(ISNUMBER('Plano de Ação'!$G171)),'Plano de Ação'!$J171="Cancelada"),0,IF(AND('Plano de Ação'!$F171&lt;=EOMONTH(DATE(ano_ref,11,1),0),'Plano de Ação'!$G171&gt;=DATE(ano_ref,11,1)),1,0))</f>
      </c>
      <c r="P172" s="41">
        <f>IF(OR(NOT('Plano de Ação'!$B171&lt;&gt;""),NOT(ISNUMBER('Plano de Ação'!$F171)),NOT(ISNUMBER('Plano de Ação'!$G171)),'Plano de Ação'!$J171="Cancelada"),0,IF(AND('Plano de Ação'!$F171&lt;=EOMONTH(DATE(ano_ref,12,1),0),'Plano de Ação'!$G171&gt;=DATE(ano_ref,12,1)),1,0))</f>
      </c>
    </row>
    <row r="173" spans="1:16" x14ac:dyDescent="0.25">
      <c r="A173" s="40">
        <f>IF('Plano de Ação'!$B172&lt;&gt;"",'Plano de Ação'!A172&amp;"","")</f>
      </c>
      <c r="B173" s="25">
        <f>IF('Plano de Ação'!$B172&lt;&gt;"",'Plano de Ação'!B172,"")</f>
      </c>
      <c r="C173" s="25">
        <f>IF('Plano de Ação'!$B172&lt;&gt;"",'Plano de Ação'!E172&amp;"","")</f>
      </c>
      <c r="D173" s="40">
        <f>IF('Plano de Ação'!$B172&lt;&gt;"",'Plano de Ação'!L172,"")</f>
      </c>
      <c r="E173" s="41">
        <f>IF(OR(NOT('Plano de Ação'!$B172&lt;&gt;""),NOT(ISNUMBER('Plano de Ação'!$F172)),NOT(ISNUMBER('Plano de Ação'!$G172)),'Plano de Ação'!$J172="Cancelada"),0,IF(AND('Plano de Ação'!$F172&lt;=EOMONTH(DATE(ano_ref,1,1),0),'Plano de Ação'!$G172&gt;=DATE(ano_ref,1,1)),1,0))</f>
      </c>
      <c r="F173" s="41">
        <f>IF(OR(NOT('Plano de Ação'!$B172&lt;&gt;""),NOT(ISNUMBER('Plano de Ação'!$F172)),NOT(ISNUMBER('Plano de Ação'!$G172)),'Plano de Ação'!$J172="Cancelada"),0,IF(AND('Plano de Ação'!$F172&lt;=EOMONTH(DATE(ano_ref,2,1),0),'Plano de Ação'!$G172&gt;=DATE(ano_ref,2,1)),1,0))</f>
      </c>
      <c r="G173" s="41">
        <f>IF(OR(NOT('Plano de Ação'!$B172&lt;&gt;""),NOT(ISNUMBER('Plano de Ação'!$F172)),NOT(ISNUMBER('Plano de Ação'!$G172)),'Plano de Ação'!$J172="Cancelada"),0,IF(AND('Plano de Ação'!$F172&lt;=EOMONTH(DATE(ano_ref,3,1),0),'Plano de Ação'!$G172&gt;=DATE(ano_ref,3,1)),1,0))</f>
      </c>
      <c r="H173" s="41">
        <f>IF(OR(NOT('Plano de Ação'!$B172&lt;&gt;""),NOT(ISNUMBER('Plano de Ação'!$F172)),NOT(ISNUMBER('Plano de Ação'!$G172)),'Plano de Ação'!$J172="Cancelada"),0,IF(AND('Plano de Ação'!$F172&lt;=EOMONTH(DATE(ano_ref,4,1),0),'Plano de Ação'!$G172&gt;=DATE(ano_ref,4,1)),1,0))</f>
      </c>
      <c r="I173" s="41">
        <f>IF(OR(NOT('Plano de Ação'!$B172&lt;&gt;""),NOT(ISNUMBER('Plano de Ação'!$F172)),NOT(ISNUMBER('Plano de Ação'!$G172)),'Plano de Ação'!$J172="Cancelada"),0,IF(AND('Plano de Ação'!$F172&lt;=EOMONTH(DATE(ano_ref,5,1),0),'Plano de Ação'!$G172&gt;=DATE(ano_ref,5,1)),1,0))</f>
      </c>
      <c r="J173" s="41">
        <f>IF(OR(NOT('Plano de Ação'!$B172&lt;&gt;""),NOT(ISNUMBER('Plano de Ação'!$F172)),NOT(ISNUMBER('Plano de Ação'!$G172)),'Plano de Ação'!$J172="Cancelada"),0,IF(AND('Plano de Ação'!$F172&lt;=EOMONTH(DATE(ano_ref,6,1),0),'Plano de Ação'!$G172&gt;=DATE(ano_ref,6,1)),1,0))</f>
      </c>
      <c r="K173" s="41">
        <f>IF(OR(NOT('Plano de Ação'!$B172&lt;&gt;""),NOT(ISNUMBER('Plano de Ação'!$F172)),NOT(ISNUMBER('Plano de Ação'!$G172)),'Plano de Ação'!$J172="Cancelada"),0,IF(AND('Plano de Ação'!$F172&lt;=EOMONTH(DATE(ano_ref,7,1),0),'Plano de Ação'!$G172&gt;=DATE(ano_ref,7,1)),1,0))</f>
      </c>
      <c r="L173" s="41">
        <f>IF(OR(NOT('Plano de Ação'!$B172&lt;&gt;""),NOT(ISNUMBER('Plano de Ação'!$F172)),NOT(ISNUMBER('Plano de Ação'!$G172)),'Plano de Ação'!$J172="Cancelada"),0,IF(AND('Plano de Ação'!$F172&lt;=EOMONTH(DATE(ano_ref,8,1),0),'Plano de Ação'!$G172&gt;=DATE(ano_ref,8,1)),1,0))</f>
      </c>
      <c r="M173" s="41">
        <f>IF(OR(NOT('Plano de Ação'!$B172&lt;&gt;""),NOT(ISNUMBER('Plano de Ação'!$F172)),NOT(ISNUMBER('Plano de Ação'!$G172)),'Plano de Ação'!$J172="Cancelada"),0,IF(AND('Plano de Ação'!$F172&lt;=EOMONTH(DATE(ano_ref,9,1),0),'Plano de Ação'!$G172&gt;=DATE(ano_ref,9,1)),1,0))</f>
      </c>
      <c r="N173" s="41">
        <f>IF(OR(NOT('Plano de Ação'!$B172&lt;&gt;""),NOT(ISNUMBER('Plano de Ação'!$F172)),NOT(ISNUMBER('Plano de Ação'!$G172)),'Plano de Ação'!$J172="Cancelada"),0,IF(AND('Plano de Ação'!$F172&lt;=EOMONTH(DATE(ano_ref,10,1),0),'Plano de Ação'!$G172&gt;=DATE(ano_ref,10,1)),1,0))</f>
      </c>
      <c r="O173" s="41">
        <f>IF(OR(NOT('Plano de Ação'!$B172&lt;&gt;""),NOT(ISNUMBER('Plano de Ação'!$F172)),NOT(ISNUMBER('Plano de Ação'!$G172)),'Plano de Ação'!$J172="Cancelada"),0,IF(AND('Plano de Ação'!$F172&lt;=EOMONTH(DATE(ano_ref,11,1),0),'Plano de Ação'!$G172&gt;=DATE(ano_ref,11,1)),1,0))</f>
      </c>
      <c r="P173" s="41">
        <f>IF(OR(NOT('Plano de Ação'!$B172&lt;&gt;""),NOT(ISNUMBER('Plano de Ação'!$F172)),NOT(ISNUMBER('Plano de Ação'!$G172)),'Plano de Ação'!$J172="Cancelada"),0,IF(AND('Plano de Ação'!$F172&lt;=EOMONTH(DATE(ano_ref,12,1),0),'Plano de Ação'!$G172&gt;=DATE(ano_ref,12,1)),1,0))</f>
      </c>
    </row>
    <row r="174" spans="1:16" x14ac:dyDescent="0.25">
      <c r="A174" s="40">
        <f>IF('Plano de Ação'!$B173&lt;&gt;"",'Plano de Ação'!A173&amp;"","")</f>
      </c>
      <c r="B174" s="25">
        <f>IF('Plano de Ação'!$B173&lt;&gt;"",'Plano de Ação'!B173,"")</f>
      </c>
      <c r="C174" s="25">
        <f>IF('Plano de Ação'!$B173&lt;&gt;"",'Plano de Ação'!E173&amp;"","")</f>
      </c>
      <c r="D174" s="40">
        <f>IF('Plano de Ação'!$B173&lt;&gt;"",'Plano de Ação'!L173,"")</f>
      </c>
      <c r="E174" s="41">
        <f>IF(OR(NOT('Plano de Ação'!$B173&lt;&gt;""),NOT(ISNUMBER('Plano de Ação'!$F173)),NOT(ISNUMBER('Plano de Ação'!$G173)),'Plano de Ação'!$J173="Cancelada"),0,IF(AND('Plano de Ação'!$F173&lt;=EOMONTH(DATE(ano_ref,1,1),0),'Plano de Ação'!$G173&gt;=DATE(ano_ref,1,1)),1,0))</f>
      </c>
      <c r="F174" s="41">
        <f>IF(OR(NOT('Plano de Ação'!$B173&lt;&gt;""),NOT(ISNUMBER('Plano de Ação'!$F173)),NOT(ISNUMBER('Plano de Ação'!$G173)),'Plano de Ação'!$J173="Cancelada"),0,IF(AND('Plano de Ação'!$F173&lt;=EOMONTH(DATE(ano_ref,2,1),0),'Plano de Ação'!$G173&gt;=DATE(ano_ref,2,1)),1,0))</f>
      </c>
      <c r="G174" s="41">
        <f>IF(OR(NOT('Plano de Ação'!$B173&lt;&gt;""),NOT(ISNUMBER('Plano de Ação'!$F173)),NOT(ISNUMBER('Plano de Ação'!$G173)),'Plano de Ação'!$J173="Cancelada"),0,IF(AND('Plano de Ação'!$F173&lt;=EOMONTH(DATE(ano_ref,3,1),0),'Plano de Ação'!$G173&gt;=DATE(ano_ref,3,1)),1,0))</f>
      </c>
      <c r="H174" s="41">
        <f>IF(OR(NOT('Plano de Ação'!$B173&lt;&gt;""),NOT(ISNUMBER('Plano de Ação'!$F173)),NOT(ISNUMBER('Plano de Ação'!$G173)),'Plano de Ação'!$J173="Cancelada"),0,IF(AND('Plano de Ação'!$F173&lt;=EOMONTH(DATE(ano_ref,4,1),0),'Plano de Ação'!$G173&gt;=DATE(ano_ref,4,1)),1,0))</f>
      </c>
      <c r="I174" s="41">
        <f>IF(OR(NOT('Plano de Ação'!$B173&lt;&gt;""),NOT(ISNUMBER('Plano de Ação'!$F173)),NOT(ISNUMBER('Plano de Ação'!$G173)),'Plano de Ação'!$J173="Cancelada"),0,IF(AND('Plano de Ação'!$F173&lt;=EOMONTH(DATE(ano_ref,5,1),0),'Plano de Ação'!$G173&gt;=DATE(ano_ref,5,1)),1,0))</f>
      </c>
      <c r="J174" s="41">
        <f>IF(OR(NOT('Plano de Ação'!$B173&lt;&gt;""),NOT(ISNUMBER('Plano de Ação'!$F173)),NOT(ISNUMBER('Plano de Ação'!$G173)),'Plano de Ação'!$J173="Cancelada"),0,IF(AND('Plano de Ação'!$F173&lt;=EOMONTH(DATE(ano_ref,6,1),0),'Plano de Ação'!$G173&gt;=DATE(ano_ref,6,1)),1,0))</f>
      </c>
      <c r="K174" s="41">
        <f>IF(OR(NOT('Plano de Ação'!$B173&lt;&gt;""),NOT(ISNUMBER('Plano de Ação'!$F173)),NOT(ISNUMBER('Plano de Ação'!$G173)),'Plano de Ação'!$J173="Cancelada"),0,IF(AND('Plano de Ação'!$F173&lt;=EOMONTH(DATE(ano_ref,7,1),0),'Plano de Ação'!$G173&gt;=DATE(ano_ref,7,1)),1,0))</f>
      </c>
      <c r="L174" s="41">
        <f>IF(OR(NOT('Plano de Ação'!$B173&lt;&gt;""),NOT(ISNUMBER('Plano de Ação'!$F173)),NOT(ISNUMBER('Plano de Ação'!$G173)),'Plano de Ação'!$J173="Cancelada"),0,IF(AND('Plano de Ação'!$F173&lt;=EOMONTH(DATE(ano_ref,8,1),0),'Plano de Ação'!$G173&gt;=DATE(ano_ref,8,1)),1,0))</f>
      </c>
      <c r="M174" s="41">
        <f>IF(OR(NOT('Plano de Ação'!$B173&lt;&gt;""),NOT(ISNUMBER('Plano de Ação'!$F173)),NOT(ISNUMBER('Plano de Ação'!$G173)),'Plano de Ação'!$J173="Cancelada"),0,IF(AND('Plano de Ação'!$F173&lt;=EOMONTH(DATE(ano_ref,9,1),0),'Plano de Ação'!$G173&gt;=DATE(ano_ref,9,1)),1,0))</f>
      </c>
      <c r="N174" s="41">
        <f>IF(OR(NOT('Plano de Ação'!$B173&lt;&gt;""),NOT(ISNUMBER('Plano de Ação'!$F173)),NOT(ISNUMBER('Plano de Ação'!$G173)),'Plano de Ação'!$J173="Cancelada"),0,IF(AND('Plano de Ação'!$F173&lt;=EOMONTH(DATE(ano_ref,10,1),0),'Plano de Ação'!$G173&gt;=DATE(ano_ref,10,1)),1,0))</f>
      </c>
      <c r="O174" s="41">
        <f>IF(OR(NOT('Plano de Ação'!$B173&lt;&gt;""),NOT(ISNUMBER('Plano de Ação'!$F173)),NOT(ISNUMBER('Plano de Ação'!$G173)),'Plano de Ação'!$J173="Cancelada"),0,IF(AND('Plano de Ação'!$F173&lt;=EOMONTH(DATE(ano_ref,11,1),0),'Plano de Ação'!$G173&gt;=DATE(ano_ref,11,1)),1,0))</f>
      </c>
      <c r="P174" s="41">
        <f>IF(OR(NOT('Plano de Ação'!$B173&lt;&gt;""),NOT(ISNUMBER('Plano de Ação'!$F173)),NOT(ISNUMBER('Plano de Ação'!$G173)),'Plano de Ação'!$J173="Cancelada"),0,IF(AND('Plano de Ação'!$F173&lt;=EOMONTH(DATE(ano_ref,12,1),0),'Plano de Ação'!$G173&gt;=DATE(ano_ref,12,1)),1,0))</f>
      </c>
    </row>
    <row r="175" spans="1:16" x14ac:dyDescent="0.25">
      <c r="A175" s="40">
        <f>IF('Plano de Ação'!$B174&lt;&gt;"",'Plano de Ação'!A174&amp;"","")</f>
      </c>
      <c r="B175" s="25">
        <f>IF('Plano de Ação'!$B174&lt;&gt;"",'Plano de Ação'!B174,"")</f>
      </c>
      <c r="C175" s="25">
        <f>IF('Plano de Ação'!$B174&lt;&gt;"",'Plano de Ação'!E174&amp;"","")</f>
      </c>
      <c r="D175" s="40">
        <f>IF('Plano de Ação'!$B174&lt;&gt;"",'Plano de Ação'!L174,"")</f>
      </c>
      <c r="E175" s="41">
        <f>IF(OR(NOT('Plano de Ação'!$B174&lt;&gt;""),NOT(ISNUMBER('Plano de Ação'!$F174)),NOT(ISNUMBER('Plano de Ação'!$G174)),'Plano de Ação'!$J174="Cancelada"),0,IF(AND('Plano de Ação'!$F174&lt;=EOMONTH(DATE(ano_ref,1,1),0),'Plano de Ação'!$G174&gt;=DATE(ano_ref,1,1)),1,0))</f>
      </c>
      <c r="F175" s="41">
        <f>IF(OR(NOT('Plano de Ação'!$B174&lt;&gt;""),NOT(ISNUMBER('Plano de Ação'!$F174)),NOT(ISNUMBER('Plano de Ação'!$G174)),'Plano de Ação'!$J174="Cancelada"),0,IF(AND('Plano de Ação'!$F174&lt;=EOMONTH(DATE(ano_ref,2,1),0),'Plano de Ação'!$G174&gt;=DATE(ano_ref,2,1)),1,0))</f>
      </c>
      <c r="G175" s="41">
        <f>IF(OR(NOT('Plano de Ação'!$B174&lt;&gt;""),NOT(ISNUMBER('Plano de Ação'!$F174)),NOT(ISNUMBER('Plano de Ação'!$G174)),'Plano de Ação'!$J174="Cancelada"),0,IF(AND('Plano de Ação'!$F174&lt;=EOMONTH(DATE(ano_ref,3,1),0),'Plano de Ação'!$G174&gt;=DATE(ano_ref,3,1)),1,0))</f>
      </c>
      <c r="H175" s="41">
        <f>IF(OR(NOT('Plano de Ação'!$B174&lt;&gt;""),NOT(ISNUMBER('Plano de Ação'!$F174)),NOT(ISNUMBER('Plano de Ação'!$G174)),'Plano de Ação'!$J174="Cancelada"),0,IF(AND('Plano de Ação'!$F174&lt;=EOMONTH(DATE(ano_ref,4,1),0),'Plano de Ação'!$G174&gt;=DATE(ano_ref,4,1)),1,0))</f>
      </c>
      <c r="I175" s="41">
        <f>IF(OR(NOT('Plano de Ação'!$B174&lt;&gt;""),NOT(ISNUMBER('Plano de Ação'!$F174)),NOT(ISNUMBER('Plano de Ação'!$G174)),'Plano de Ação'!$J174="Cancelada"),0,IF(AND('Plano de Ação'!$F174&lt;=EOMONTH(DATE(ano_ref,5,1),0),'Plano de Ação'!$G174&gt;=DATE(ano_ref,5,1)),1,0))</f>
      </c>
      <c r="J175" s="41">
        <f>IF(OR(NOT('Plano de Ação'!$B174&lt;&gt;""),NOT(ISNUMBER('Plano de Ação'!$F174)),NOT(ISNUMBER('Plano de Ação'!$G174)),'Plano de Ação'!$J174="Cancelada"),0,IF(AND('Plano de Ação'!$F174&lt;=EOMONTH(DATE(ano_ref,6,1),0),'Plano de Ação'!$G174&gt;=DATE(ano_ref,6,1)),1,0))</f>
      </c>
      <c r="K175" s="41">
        <f>IF(OR(NOT('Plano de Ação'!$B174&lt;&gt;""),NOT(ISNUMBER('Plano de Ação'!$F174)),NOT(ISNUMBER('Plano de Ação'!$G174)),'Plano de Ação'!$J174="Cancelada"),0,IF(AND('Plano de Ação'!$F174&lt;=EOMONTH(DATE(ano_ref,7,1),0),'Plano de Ação'!$G174&gt;=DATE(ano_ref,7,1)),1,0))</f>
      </c>
      <c r="L175" s="41">
        <f>IF(OR(NOT('Plano de Ação'!$B174&lt;&gt;""),NOT(ISNUMBER('Plano de Ação'!$F174)),NOT(ISNUMBER('Plano de Ação'!$G174)),'Plano de Ação'!$J174="Cancelada"),0,IF(AND('Plano de Ação'!$F174&lt;=EOMONTH(DATE(ano_ref,8,1),0),'Plano de Ação'!$G174&gt;=DATE(ano_ref,8,1)),1,0))</f>
      </c>
      <c r="M175" s="41">
        <f>IF(OR(NOT('Plano de Ação'!$B174&lt;&gt;""),NOT(ISNUMBER('Plano de Ação'!$F174)),NOT(ISNUMBER('Plano de Ação'!$G174)),'Plano de Ação'!$J174="Cancelada"),0,IF(AND('Plano de Ação'!$F174&lt;=EOMONTH(DATE(ano_ref,9,1),0),'Plano de Ação'!$G174&gt;=DATE(ano_ref,9,1)),1,0))</f>
      </c>
      <c r="N175" s="41">
        <f>IF(OR(NOT('Plano de Ação'!$B174&lt;&gt;""),NOT(ISNUMBER('Plano de Ação'!$F174)),NOT(ISNUMBER('Plano de Ação'!$G174)),'Plano de Ação'!$J174="Cancelada"),0,IF(AND('Plano de Ação'!$F174&lt;=EOMONTH(DATE(ano_ref,10,1),0),'Plano de Ação'!$G174&gt;=DATE(ano_ref,10,1)),1,0))</f>
      </c>
      <c r="O175" s="41">
        <f>IF(OR(NOT('Plano de Ação'!$B174&lt;&gt;""),NOT(ISNUMBER('Plano de Ação'!$F174)),NOT(ISNUMBER('Plano de Ação'!$G174)),'Plano de Ação'!$J174="Cancelada"),0,IF(AND('Plano de Ação'!$F174&lt;=EOMONTH(DATE(ano_ref,11,1),0),'Plano de Ação'!$G174&gt;=DATE(ano_ref,11,1)),1,0))</f>
      </c>
      <c r="P175" s="41">
        <f>IF(OR(NOT('Plano de Ação'!$B174&lt;&gt;""),NOT(ISNUMBER('Plano de Ação'!$F174)),NOT(ISNUMBER('Plano de Ação'!$G174)),'Plano de Ação'!$J174="Cancelada"),0,IF(AND('Plano de Ação'!$F174&lt;=EOMONTH(DATE(ano_ref,12,1),0),'Plano de Ação'!$G174&gt;=DATE(ano_ref,12,1)),1,0))</f>
      </c>
    </row>
    <row r="176" spans="1:16" x14ac:dyDescent="0.25">
      <c r="A176" s="40">
        <f>IF('Plano de Ação'!$B175&lt;&gt;"",'Plano de Ação'!A175&amp;"","")</f>
      </c>
      <c r="B176" s="25">
        <f>IF('Plano de Ação'!$B175&lt;&gt;"",'Plano de Ação'!B175,"")</f>
      </c>
      <c r="C176" s="25">
        <f>IF('Plano de Ação'!$B175&lt;&gt;"",'Plano de Ação'!E175&amp;"","")</f>
      </c>
      <c r="D176" s="40">
        <f>IF('Plano de Ação'!$B175&lt;&gt;"",'Plano de Ação'!L175,"")</f>
      </c>
      <c r="E176" s="41">
        <f>IF(OR(NOT('Plano de Ação'!$B175&lt;&gt;""),NOT(ISNUMBER('Plano de Ação'!$F175)),NOT(ISNUMBER('Plano de Ação'!$G175)),'Plano de Ação'!$J175="Cancelada"),0,IF(AND('Plano de Ação'!$F175&lt;=EOMONTH(DATE(ano_ref,1,1),0),'Plano de Ação'!$G175&gt;=DATE(ano_ref,1,1)),1,0))</f>
      </c>
      <c r="F176" s="41">
        <f>IF(OR(NOT('Plano de Ação'!$B175&lt;&gt;""),NOT(ISNUMBER('Plano de Ação'!$F175)),NOT(ISNUMBER('Plano de Ação'!$G175)),'Plano de Ação'!$J175="Cancelada"),0,IF(AND('Plano de Ação'!$F175&lt;=EOMONTH(DATE(ano_ref,2,1),0),'Plano de Ação'!$G175&gt;=DATE(ano_ref,2,1)),1,0))</f>
      </c>
      <c r="G176" s="41">
        <f>IF(OR(NOT('Plano de Ação'!$B175&lt;&gt;""),NOT(ISNUMBER('Plano de Ação'!$F175)),NOT(ISNUMBER('Plano de Ação'!$G175)),'Plano de Ação'!$J175="Cancelada"),0,IF(AND('Plano de Ação'!$F175&lt;=EOMONTH(DATE(ano_ref,3,1),0),'Plano de Ação'!$G175&gt;=DATE(ano_ref,3,1)),1,0))</f>
      </c>
      <c r="H176" s="41">
        <f>IF(OR(NOT('Plano de Ação'!$B175&lt;&gt;""),NOT(ISNUMBER('Plano de Ação'!$F175)),NOT(ISNUMBER('Plano de Ação'!$G175)),'Plano de Ação'!$J175="Cancelada"),0,IF(AND('Plano de Ação'!$F175&lt;=EOMONTH(DATE(ano_ref,4,1),0),'Plano de Ação'!$G175&gt;=DATE(ano_ref,4,1)),1,0))</f>
      </c>
      <c r="I176" s="41">
        <f>IF(OR(NOT('Plano de Ação'!$B175&lt;&gt;""),NOT(ISNUMBER('Plano de Ação'!$F175)),NOT(ISNUMBER('Plano de Ação'!$G175)),'Plano de Ação'!$J175="Cancelada"),0,IF(AND('Plano de Ação'!$F175&lt;=EOMONTH(DATE(ano_ref,5,1),0),'Plano de Ação'!$G175&gt;=DATE(ano_ref,5,1)),1,0))</f>
      </c>
      <c r="J176" s="41">
        <f>IF(OR(NOT('Plano de Ação'!$B175&lt;&gt;""),NOT(ISNUMBER('Plano de Ação'!$F175)),NOT(ISNUMBER('Plano de Ação'!$G175)),'Plano de Ação'!$J175="Cancelada"),0,IF(AND('Plano de Ação'!$F175&lt;=EOMONTH(DATE(ano_ref,6,1),0),'Plano de Ação'!$G175&gt;=DATE(ano_ref,6,1)),1,0))</f>
      </c>
      <c r="K176" s="41">
        <f>IF(OR(NOT('Plano de Ação'!$B175&lt;&gt;""),NOT(ISNUMBER('Plano de Ação'!$F175)),NOT(ISNUMBER('Plano de Ação'!$G175)),'Plano de Ação'!$J175="Cancelada"),0,IF(AND('Plano de Ação'!$F175&lt;=EOMONTH(DATE(ano_ref,7,1),0),'Plano de Ação'!$G175&gt;=DATE(ano_ref,7,1)),1,0))</f>
      </c>
      <c r="L176" s="41">
        <f>IF(OR(NOT('Plano de Ação'!$B175&lt;&gt;""),NOT(ISNUMBER('Plano de Ação'!$F175)),NOT(ISNUMBER('Plano de Ação'!$G175)),'Plano de Ação'!$J175="Cancelada"),0,IF(AND('Plano de Ação'!$F175&lt;=EOMONTH(DATE(ano_ref,8,1),0),'Plano de Ação'!$G175&gt;=DATE(ano_ref,8,1)),1,0))</f>
      </c>
      <c r="M176" s="41">
        <f>IF(OR(NOT('Plano de Ação'!$B175&lt;&gt;""),NOT(ISNUMBER('Plano de Ação'!$F175)),NOT(ISNUMBER('Plano de Ação'!$G175)),'Plano de Ação'!$J175="Cancelada"),0,IF(AND('Plano de Ação'!$F175&lt;=EOMONTH(DATE(ano_ref,9,1),0),'Plano de Ação'!$G175&gt;=DATE(ano_ref,9,1)),1,0))</f>
      </c>
      <c r="N176" s="41">
        <f>IF(OR(NOT('Plano de Ação'!$B175&lt;&gt;""),NOT(ISNUMBER('Plano de Ação'!$F175)),NOT(ISNUMBER('Plano de Ação'!$G175)),'Plano de Ação'!$J175="Cancelada"),0,IF(AND('Plano de Ação'!$F175&lt;=EOMONTH(DATE(ano_ref,10,1),0),'Plano de Ação'!$G175&gt;=DATE(ano_ref,10,1)),1,0))</f>
      </c>
      <c r="O176" s="41">
        <f>IF(OR(NOT('Plano de Ação'!$B175&lt;&gt;""),NOT(ISNUMBER('Plano de Ação'!$F175)),NOT(ISNUMBER('Plano de Ação'!$G175)),'Plano de Ação'!$J175="Cancelada"),0,IF(AND('Plano de Ação'!$F175&lt;=EOMONTH(DATE(ano_ref,11,1),0),'Plano de Ação'!$G175&gt;=DATE(ano_ref,11,1)),1,0))</f>
      </c>
      <c r="P176" s="41">
        <f>IF(OR(NOT('Plano de Ação'!$B175&lt;&gt;""),NOT(ISNUMBER('Plano de Ação'!$F175)),NOT(ISNUMBER('Plano de Ação'!$G175)),'Plano de Ação'!$J175="Cancelada"),0,IF(AND('Plano de Ação'!$F175&lt;=EOMONTH(DATE(ano_ref,12,1),0),'Plano de Ação'!$G175&gt;=DATE(ano_ref,12,1)),1,0))</f>
      </c>
    </row>
    <row r="177" spans="1:16" x14ac:dyDescent="0.25">
      <c r="A177" s="40">
        <f>IF('Plano de Ação'!$B176&lt;&gt;"",'Plano de Ação'!A176&amp;"","")</f>
      </c>
      <c r="B177" s="25">
        <f>IF('Plano de Ação'!$B176&lt;&gt;"",'Plano de Ação'!B176,"")</f>
      </c>
      <c r="C177" s="25">
        <f>IF('Plano de Ação'!$B176&lt;&gt;"",'Plano de Ação'!E176&amp;"","")</f>
      </c>
      <c r="D177" s="40">
        <f>IF('Plano de Ação'!$B176&lt;&gt;"",'Plano de Ação'!L176,"")</f>
      </c>
      <c r="E177" s="41">
        <f>IF(OR(NOT('Plano de Ação'!$B176&lt;&gt;""),NOT(ISNUMBER('Plano de Ação'!$F176)),NOT(ISNUMBER('Plano de Ação'!$G176)),'Plano de Ação'!$J176="Cancelada"),0,IF(AND('Plano de Ação'!$F176&lt;=EOMONTH(DATE(ano_ref,1,1),0),'Plano de Ação'!$G176&gt;=DATE(ano_ref,1,1)),1,0))</f>
      </c>
      <c r="F177" s="41">
        <f>IF(OR(NOT('Plano de Ação'!$B176&lt;&gt;""),NOT(ISNUMBER('Plano de Ação'!$F176)),NOT(ISNUMBER('Plano de Ação'!$G176)),'Plano de Ação'!$J176="Cancelada"),0,IF(AND('Plano de Ação'!$F176&lt;=EOMONTH(DATE(ano_ref,2,1),0),'Plano de Ação'!$G176&gt;=DATE(ano_ref,2,1)),1,0))</f>
      </c>
      <c r="G177" s="41">
        <f>IF(OR(NOT('Plano de Ação'!$B176&lt;&gt;""),NOT(ISNUMBER('Plano de Ação'!$F176)),NOT(ISNUMBER('Plano de Ação'!$G176)),'Plano de Ação'!$J176="Cancelada"),0,IF(AND('Plano de Ação'!$F176&lt;=EOMONTH(DATE(ano_ref,3,1),0),'Plano de Ação'!$G176&gt;=DATE(ano_ref,3,1)),1,0))</f>
      </c>
      <c r="H177" s="41">
        <f>IF(OR(NOT('Plano de Ação'!$B176&lt;&gt;""),NOT(ISNUMBER('Plano de Ação'!$F176)),NOT(ISNUMBER('Plano de Ação'!$G176)),'Plano de Ação'!$J176="Cancelada"),0,IF(AND('Plano de Ação'!$F176&lt;=EOMONTH(DATE(ano_ref,4,1),0),'Plano de Ação'!$G176&gt;=DATE(ano_ref,4,1)),1,0))</f>
      </c>
      <c r="I177" s="41">
        <f>IF(OR(NOT('Plano de Ação'!$B176&lt;&gt;""),NOT(ISNUMBER('Plano de Ação'!$F176)),NOT(ISNUMBER('Plano de Ação'!$G176)),'Plano de Ação'!$J176="Cancelada"),0,IF(AND('Plano de Ação'!$F176&lt;=EOMONTH(DATE(ano_ref,5,1),0),'Plano de Ação'!$G176&gt;=DATE(ano_ref,5,1)),1,0))</f>
      </c>
      <c r="J177" s="41">
        <f>IF(OR(NOT('Plano de Ação'!$B176&lt;&gt;""),NOT(ISNUMBER('Plano de Ação'!$F176)),NOT(ISNUMBER('Plano de Ação'!$G176)),'Plano de Ação'!$J176="Cancelada"),0,IF(AND('Plano de Ação'!$F176&lt;=EOMONTH(DATE(ano_ref,6,1),0),'Plano de Ação'!$G176&gt;=DATE(ano_ref,6,1)),1,0))</f>
      </c>
      <c r="K177" s="41">
        <f>IF(OR(NOT('Plano de Ação'!$B176&lt;&gt;""),NOT(ISNUMBER('Plano de Ação'!$F176)),NOT(ISNUMBER('Plano de Ação'!$G176)),'Plano de Ação'!$J176="Cancelada"),0,IF(AND('Plano de Ação'!$F176&lt;=EOMONTH(DATE(ano_ref,7,1),0),'Plano de Ação'!$G176&gt;=DATE(ano_ref,7,1)),1,0))</f>
      </c>
      <c r="L177" s="41">
        <f>IF(OR(NOT('Plano de Ação'!$B176&lt;&gt;""),NOT(ISNUMBER('Plano de Ação'!$F176)),NOT(ISNUMBER('Plano de Ação'!$G176)),'Plano de Ação'!$J176="Cancelada"),0,IF(AND('Plano de Ação'!$F176&lt;=EOMONTH(DATE(ano_ref,8,1),0),'Plano de Ação'!$G176&gt;=DATE(ano_ref,8,1)),1,0))</f>
      </c>
      <c r="M177" s="41">
        <f>IF(OR(NOT('Plano de Ação'!$B176&lt;&gt;""),NOT(ISNUMBER('Plano de Ação'!$F176)),NOT(ISNUMBER('Plano de Ação'!$G176)),'Plano de Ação'!$J176="Cancelada"),0,IF(AND('Plano de Ação'!$F176&lt;=EOMONTH(DATE(ano_ref,9,1),0),'Plano de Ação'!$G176&gt;=DATE(ano_ref,9,1)),1,0))</f>
      </c>
      <c r="N177" s="41">
        <f>IF(OR(NOT('Plano de Ação'!$B176&lt;&gt;""),NOT(ISNUMBER('Plano de Ação'!$F176)),NOT(ISNUMBER('Plano de Ação'!$G176)),'Plano de Ação'!$J176="Cancelada"),0,IF(AND('Plano de Ação'!$F176&lt;=EOMONTH(DATE(ano_ref,10,1),0),'Plano de Ação'!$G176&gt;=DATE(ano_ref,10,1)),1,0))</f>
      </c>
      <c r="O177" s="41">
        <f>IF(OR(NOT('Plano de Ação'!$B176&lt;&gt;""),NOT(ISNUMBER('Plano de Ação'!$F176)),NOT(ISNUMBER('Plano de Ação'!$G176)),'Plano de Ação'!$J176="Cancelada"),0,IF(AND('Plano de Ação'!$F176&lt;=EOMONTH(DATE(ano_ref,11,1),0),'Plano de Ação'!$G176&gt;=DATE(ano_ref,11,1)),1,0))</f>
      </c>
      <c r="P177" s="41">
        <f>IF(OR(NOT('Plano de Ação'!$B176&lt;&gt;""),NOT(ISNUMBER('Plano de Ação'!$F176)),NOT(ISNUMBER('Plano de Ação'!$G176)),'Plano de Ação'!$J176="Cancelada"),0,IF(AND('Plano de Ação'!$F176&lt;=EOMONTH(DATE(ano_ref,12,1),0),'Plano de Ação'!$G176&gt;=DATE(ano_ref,12,1)),1,0))</f>
      </c>
    </row>
    <row r="178" spans="1:16" x14ac:dyDescent="0.25">
      <c r="A178" s="40">
        <f>IF('Plano de Ação'!$B177&lt;&gt;"",'Plano de Ação'!A177&amp;"","")</f>
      </c>
      <c r="B178" s="25">
        <f>IF('Plano de Ação'!$B177&lt;&gt;"",'Plano de Ação'!B177,"")</f>
      </c>
      <c r="C178" s="25">
        <f>IF('Plano de Ação'!$B177&lt;&gt;"",'Plano de Ação'!E177&amp;"","")</f>
      </c>
      <c r="D178" s="40">
        <f>IF('Plano de Ação'!$B177&lt;&gt;"",'Plano de Ação'!L177,"")</f>
      </c>
      <c r="E178" s="41">
        <f>IF(OR(NOT('Plano de Ação'!$B177&lt;&gt;""),NOT(ISNUMBER('Plano de Ação'!$F177)),NOT(ISNUMBER('Plano de Ação'!$G177)),'Plano de Ação'!$J177="Cancelada"),0,IF(AND('Plano de Ação'!$F177&lt;=EOMONTH(DATE(ano_ref,1,1),0),'Plano de Ação'!$G177&gt;=DATE(ano_ref,1,1)),1,0))</f>
      </c>
      <c r="F178" s="41">
        <f>IF(OR(NOT('Plano de Ação'!$B177&lt;&gt;""),NOT(ISNUMBER('Plano de Ação'!$F177)),NOT(ISNUMBER('Plano de Ação'!$G177)),'Plano de Ação'!$J177="Cancelada"),0,IF(AND('Plano de Ação'!$F177&lt;=EOMONTH(DATE(ano_ref,2,1),0),'Plano de Ação'!$G177&gt;=DATE(ano_ref,2,1)),1,0))</f>
      </c>
      <c r="G178" s="41">
        <f>IF(OR(NOT('Plano de Ação'!$B177&lt;&gt;""),NOT(ISNUMBER('Plano de Ação'!$F177)),NOT(ISNUMBER('Plano de Ação'!$G177)),'Plano de Ação'!$J177="Cancelada"),0,IF(AND('Plano de Ação'!$F177&lt;=EOMONTH(DATE(ano_ref,3,1),0),'Plano de Ação'!$G177&gt;=DATE(ano_ref,3,1)),1,0))</f>
      </c>
      <c r="H178" s="41">
        <f>IF(OR(NOT('Plano de Ação'!$B177&lt;&gt;""),NOT(ISNUMBER('Plano de Ação'!$F177)),NOT(ISNUMBER('Plano de Ação'!$G177)),'Plano de Ação'!$J177="Cancelada"),0,IF(AND('Plano de Ação'!$F177&lt;=EOMONTH(DATE(ano_ref,4,1),0),'Plano de Ação'!$G177&gt;=DATE(ano_ref,4,1)),1,0))</f>
      </c>
      <c r="I178" s="41">
        <f>IF(OR(NOT('Plano de Ação'!$B177&lt;&gt;""),NOT(ISNUMBER('Plano de Ação'!$F177)),NOT(ISNUMBER('Plano de Ação'!$G177)),'Plano de Ação'!$J177="Cancelada"),0,IF(AND('Plano de Ação'!$F177&lt;=EOMONTH(DATE(ano_ref,5,1),0),'Plano de Ação'!$G177&gt;=DATE(ano_ref,5,1)),1,0))</f>
      </c>
      <c r="J178" s="41">
        <f>IF(OR(NOT('Plano de Ação'!$B177&lt;&gt;""),NOT(ISNUMBER('Plano de Ação'!$F177)),NOT(ISNUMBER('Plano de Ação'!$G177)),'Plano de Ação'!$J177="Cancelada"),0,IF(AND('Plano de Ação'!$F177&lt;=EOMONTH(DATE(ano_ref,6,1),0),'Plano de Ação'!$G177&gt;=DATE(ano_ref,6,1)),1,0))</f>
      </c>
      <c r="K178" s="41">
        <f>IF(OR(NOT('Plano de Ação'!$B177&lt;&gt;""),NOT(ISNUMBER('Plano de Ação'!$F177)),NOT(ISNUMBER('Plano de Ação'!$G177)),'Plano de Ação'!$J177="Cancelada"),0,IF(AND('Plano de Ação'!$F177&lt;=EOMONTH(DATE(ano_ref,7,1),0),'Plano de Ação'!$G177&gt;=DATE(ano_ref,7,1)),1,0))</f>
      </c>
      <c r="L178" s="41">
        <f>IF(OR(NOT('Plano de Ação'!$B177&lt;&gt;""),NOT(ISNUMBER('Plano de Ação'!$F177)),NOT(ISNUMBER('Plano de Ação'!$G177)),'Plano de Ação'!$J177="Cancelada"),0,IF(AND('Plano de Ação'!$F177&lt;=EOMONTH(DATE(ano_ref,8,1),0),'Plano de Ação'!$G177&gt;=DATE(ano_ref,8,1)),1,0))</f>
      </c>
      <c r="M178" s="41">
        <f>IF(OR(NOT('Plano de Ação'!$B177&lt;&gt;""),NOT(ISNUMBER('Plano de Ação'!$F177)),NOT(ISNUMBER('Plano de Ação'!$G177)),'Plano de Ação'!$J177="Cancelada"),0,IF(AND('Plano de Ação'!$F177&lt;=EOMONTH(DATE(ano_ref,9,1),0),'Plano de Ação'!$G177&gt;=DATE(ano_ref,9,1)),1,0))</f>
      </c>
      <c r="N178" s="41">
        <f>IF(OR(NOT('Plano de Ação'!$B177&lt;&gt;""),NOT(ISNUMBER('Plano de Ação'!$F177)),NOT(ISNUMBER('Plano de Ação'!$G177)),'Plano de Ação'!$J177="Cancelada"),0,IF(AND('Plano de Ação'!$F177&lt;=EOMONTH(DATE(ano_ref,10,1),0),'Plano de Ação'!$G177&gt;=DATE(ano_ref,10,1)),1,0))</f>
      </c>
      <c r="O178" s="41">
        <f>IF(OR(NOT('Plano de Ação'!$B177&lt;&gt;""),NOT(ISNUMBER('Plano de Ação'!$F177)),NOT(ISNUMBER('Plano de Ação'!$G177)),'Plano de Ação'!$J177="Cancelada"),0,IF(AND('Plano de Ação'!$F177&lt;=EOMONTH(DATE(ano_ref,11,1),0),'Plano de Ação'!$G177&gt;=DATE(ano_ref,11,1)),1,0))</f>
      </c>
      <c r="P178" s="41">
        <f>IF(OR(NOT('Plano de Ação'!$B177&lt;&gt;""),NOT(ISNUMBER('Plano de Ação'!$F177)),NOT(ISNUMBER('Plano de Ação'!$G177)),'Plano de Ação'!$J177="Cancelada"),0,IF(AND('Plano de Ação'!$F177&lt;=EOMONTH(DATE(ano_ref,12,1),0),'Plano de Ação'!$G177&gt;=DATE(ano_ref,12,1)),1,0))</f>
      </c>
    </row>
    <row r="179" spans="1:16" x14ac:dyDescent="0.25">
      <c r="A179" s="40">
        <f>IF('Plano de Ação'!$B178&lt;&gt;"",'Plano de Ação'!A178&amp;"","")</f>
      </c>
      <c r="B179" s="25">
        <f>IF('Plano de Ação'!$B178&lt;&gt;"",'Plano de Ação'!B178,"")</f>
      </c>
      <c r="C179" s="25">
        <f>IF('Plano de Ação'!$B178&lt;&gt;"",'Plano de Ação'!E178&amp;"","")</f>
      </c>
      <c r="D179" s="40">
        <f>IF('Plano de Ação'!$B178&lt;&gt;"",'Plano de Ação'!L178,"")</f>
      </c>
      <c r="E179" s="41">
        <f>IF(OR(NOT('Plano de Ação'!$B178&lt;&gt;""),NOT(ISNUMBER('Plano de Ação'!$F178)),NOT(ISNUMBER('Plano de Ação'!$G178)),'Plano de Ação'!$J178="Cancelada"),0,IF(AND('Plano de Ação'!$F178&lt;=EOMONTH(DATE(ano_ref,1,1),0),'Plano de Ação'!$G178&gt;=DATE(ano_ref,1,1)),1,0))</f>
      </c>
      <c r="F179" s="41">
        <f>IF(OR(NOT('Plano de Ação'!$B178&lt;&gt;""),NOT(ISNUMBER('Plano de Ação'!$F178)),NOT(ISNUMBER('Plano de Ação'!$G178)),'Plano de Ação'!$J178="Cancelada"),0,IF(AND('Plano de Ação'!$F178&lt;=EOMONTH(DATE(ano_ref,2,1),0),'Plano de Ação'!$G178&gt;=DATE(ano_ref,2,1)),1,0))</f>
      </c>
      <c r="G179" s="41">
        <f>IF(OR(NOT('Plano de Ação'!$B178&lt;&gt;""),NOT(ISNUMBER('Plano de Ação'!$F178)),NOT(ISNUMBER('Plano de Ação'!$G178)),'Plano de Ação'!$J178="Cancelada"),0,IF(AND('Plano de Ação'!$F178&lt;=EOMONTH(DATE(ano_ref,3,1),0),'Plano de Ação'!$G178&gt;=DATE(ano_ref,3,1)),1,0))</f>
      </c>
      <c r="H179" s="41">
        <f>IF(OR(NOT('Plano de Ação'!$B178&lt;&gt;""),NOT(ISNUMBER('Plano de Ação'!$F178)),NOT(ISNUMBER('Plano de Ação'!$G178)),'Plano de Ação'!$J178="Cancelada"),0,IF(AND('Plano de Ação'!$F178&lt;=EOMONTH(DATE(ano_ref,4,1),0),'Plano de Ação'!$G178&gt;=DATE(ano_ref,4,1)),1,0))</f>
      </c>
      <c r="I179" s="41">
        <f>IF(OR(NOT('Plano de Ação'!$B178&lt;&gt;""),NOT(ISNUMBER('Plano de Ação'!$F178)),NOT(ISNUMBER('Plano de Ação'!$G178)),'Plano de Ação'!$J178="Cancelada"),0,IF(AND('Plano de Ação'!$F178&lt;=EOMONTH(DATE(ano_ref,5,1),0),'Plano de Ação'!$G178&gt;=DATE(ano_ref,5,1)),1,0))</f>
      </c>
      <c r="J179" s="41">
        <f>IF(OR(NOT('Plano de Ação'!$B178&lt;&gt;""),NOT(ISNUMBER('Plano de Ação'!$F178)),NOT(ISNUMBER('Plano de Ação'!$G178)),'Plano de Ação'!$J178="Cancelada"),0,IF(AND('Plano de Ação'!$F178&lt;=EOMONTH(DATE(ano_ref,6,1),0),'Plano de Ação'!$G178&gt;=DATE(ano_ref,6,1)),1,0))</f>
      </c>
      <c r="K179" s="41">
        <f>IF(OR(NOT('Plano de Ação'!$B178&lt;&gt;""),NOT(ISNUMBER('Plano de Ação'!$F178)),NOT(ISNUMBER('Plano de Ação'!$G178)),'Plano de Ação'!$J178="Cancelada"),0,IF(AND('Plano de Ação'!$F178&lt;=EOMONTH(DATE(ano_ref,7,1),0),'Plano de Ação'!$G178&gt;=DATE(ano_ref,7,1)),1,0))</f>
      </c>
      <c r="L179" s="41">
        <f>IF(OR(NOT('Plano de Ação'!$B178&lt;&gt;""),NOT(ISNUMBER('Plano de Ação'!$F178)),NOT(ISNUMBER('Plano de Ação'!$G178)),'Plano de Ação'!$J178="Cancelada"),0,IF(AND('Plano de Ação'!$F178&lt;=EOMONTH(DATE(ano_ref,8,1),0),'Plano de Ação'!$G178&gt;=DATE(ano_ref,8,1)),1,0))</f>
      </c>
      <c r="M179" s="41">
        <f>IF(OR(NOT('Plano de Ação'!$B178&lt;&gt;""),NOT(ISNUMBER('Plano de Ação'!$F178)),NOT(ISNUMBER('Plano de Ação'!$G178)),'Plano de Ação'!$J178="Cancelada"),0,IF(AND('Plano de Ação'!$F178&lt;=EOMONTH(DATE(ano_ref,9,1),0),'Plano de Ação'!$G178&gt;=DATE(ano_ref,9,1)),1,0))</f>
      </c>
      <c r="N179" s="41">
        <f>IF(OR(NOT('Plano de Ação'!$B178&lt;&gt;""),NOT(ISNUMBER('Plano de Ação'!$F178)),NOT(ISNUMBER('Plano de Ação'!$G178)),'Plano de Ação'!$J178="Cancelada"),0,IF(AND('Plano de Ação'!$F178&lt;=EOMONTH(DATE(ano_ref,10,1),0),'Plano de Ação'!$G178&gt;=DATE(ano_ref,10,1)),1,0))</f>
      </c>
      <c r="O179" s="41">
        <f>IF(OR(NOT('Plano de Ação'!$B178&lt;&gt;""),NOT(ISNUMBER('Plano de Ação'!$F178)),NOT(ISNUMBER('Plano de Ação'!$G178)),'Plano de Ação'!$J178="Cancelada"),0,IF(AND('Plano de Ação'!$F178&lt;=EOMONTH(DATE(ano_ref,11,1),0),'Plano de Ação'!$G178&gt;=DATE(ano_ref,11,1)),1,0))</f>
      </c>
      <c r="P179" s="41">
        <f>IF(OR(NOT('Plano de Ação'!$B178&lt;&gt;""),NOT(ISNUMBER('Plano de Ação'!$F178)),NOT(ISNUMBER('Plano de Ação'!$G178)),'Plano de Ação'!$J178="Cancelada"),0,IF(AND('Plano de Ação'!$F178&lt;=EOMONTH(DATE(ano_ref,12,1),0),'Plano de Ação'!$G178&gt;=DATE(ano_ref,12,1)),1,0))</f>
      </c>
    </row>
    <row r="180" spans="1:16" x14ac:dyDescent="0.25">
      <c r="A180" s="40">
        <f>IF('Plano de Ação'!$B179&lt;&gt;"",'Plano de Ação'!A179&amp;"","")</f>
      </c>
      <c r="B180" s="25">
        <f>IF('Plano de Ação'!$B179&lt;&gt;"",'Plano de Ação'!B179,"")</f>
      </c>
      <c r="C180" s="25">
        <f>IF('Plano de Ação'!$B179&lt;&gt;"",'Plano de Ação'!E179&amp;"","")</f>
      </c>
      <c r="D180" s="40">
        <f>IF('Plano de Ação'!$B179&lt;&gt;"",'Plano de Ação'!L179,"")</f>
      </c>
      <c r="E180" s="41">
        <f>IF(OR(NOT('Plano de Ação'!$B179&lt;&gt;""),NOT(ISNUMBER('Plano de Ação'!$F179)),NOT(ISNUMBER('Plano de Ação'!$G179)),'Plano de Ação'!$J179="Cancelada"),0,IF(AND('Plano de Ação'!$F179&lt;=EOMONTH(DATE(ano_ref,1,1),0),'Plano de Ação'!$G179&gt;=DATE(ano_ref,1,1)),1,0))</f>
      </c>
      <c r="F180" s="41">
        <f>IF(OR(NOT('Plano de Ação'!$B179&lt;&gt;""),NOT(ISNUMBER('Plano de Ação'!$F179)),NOT(ISNUMBER('Plano de Ação'!$G179)),'Plano de Ação'!$J179="Cancelada"),0,IF(AND('Plano de Ação'!$F179&lt;=EOMONTH(DATE(ano_ref,2,1),0),'Plano de Ação'!$G179&gt;=DATE(ano_ref,2,1)),1,0))</f>
      </c>
      <c r="G180" s="41">
        <f>IF(OR(NOT('Plano de Ação'!$B179&lt;&gt;""),NOT(ISNUMBER('Plano de Ação'!$F179)),NOT(ISNUMBER('Plano de Ação'!$G179)),'Plano de Ação'!$J179="Cancelada"),0,IF(AND('Plano de Ação'!$F179&lt;=EOMONTH(DATE(ano_ref,3,1),0),'Plano de Ação'!$G179&gt;=DATE(ano_ref,3,1)),1,0))</f>
      </c>
      <c r="H180" s="41">
        <f>IF(OR(NOT('Plano de Ação'!$B179&lt;&gt;""),NOT(ISNUMBER('Plano de Ação'!$F179)),NOT(ISNUMBER('Plano de Ação'!$G179)),'Plano de Ação'!$J179="Cancelada"),0,IF(AND('Plano de Ação'!$F179&lt;=EOMONTH(DATE(ano_ref,4,1),0),'Plano de Ação'!$G179&gt;=DATE(ano_ref,4,1)),1,0))</f>
      </c>
      <c r="I180" s="41">
        <f>IF(OR(NOT('Plano de Ação'!$B179&lt;&gt;""),NOT(ISNUMBER('Plano de Ação'!$F179)),NOT(ISNUMBER('Plano de Ação'!$G179)),'Plano de Ação'!$J179="Cancelada"),0,IF(AND('Plano de Ação'!$F179&lt;=EOMONTH(DATE(ano_ref,5,1),0),'Plano de Ação'!$G179&gt;=DATE(ano_ref,5,1)),1,0))</f>
      </c>
      <c r="J180" s="41">
        <f>IF(OR(NOT('Plano de Ação'!$B179&lt;&gt;""),NOT(ISNUMBER('Plano de Ação'!$F179)),NOT(ISNUMBER('Plano de Ação'!$G179)),'Plano de Ação'!$J179="Cancelada"),0,IF(AND('Plano de Ação'!$F179&lt;=EOMONTH(DATE(ano_ref,6,1),0),'Plano de Ação'!$G179&gt;=DATE(ano_ref,6,1)),1,0))</f>
      </c>
      <c r="K180" s="41">
        <f>IF(OR(NOT('Plano de Ação'!$B179&lt;&gt;""),NOT(ISNUMBER('Plano de Ação'!$F179)),NOT(ISNUMBER('Plano de Ação'!$G179)),'Plano de Ação'!$J179="Cancelada"),0,IF(AND('Plano de Ação'!$F179&lt;=EOMONTH(DATE(ano_ref,7,1),0),'Plano de Ação'!$G179&gt;=DATE(ano_ref,7,1)),1,0))</f>
      </c>
      <c r="L180" s="41">
        <f>IF(OR(NOT('Plano de Ação'!$B179&lt;&gt;""),NOT(ISNUMBER('Plano de Ação'!$F179)),NOT(ISNUMBER('Plano de Ação'!$G179)),'Plano de Ação'!$J179="Cancelada"),0,IF(AND('Plano de Ação'!$F179&lt;=EOMONTH(DATE(ano_ref,8,1),0),'Plano de Ação'!$G179&gt;=DATE(ano_ref,8,1)),1,0))</f>
      </c>
      <c r="M180" s="41">
        <f>IF(OR(NOT('Plano de Ação'!$B179&lt;&gt;""),NOT(ISNUMBER('Plano de Ação'!$F179)),NOT(ISNUMBER('Plano de Ação'!$G179)),'Plano de Ação'!$J179="Cancelada"),0,IF(AND('Plano de Ação'!$F179&lt;=EOMONTH(DATE(ano_ref,9,1),0),'Plano de Ação'!$G179&gt;=DATE(ano_ref,9,1)),1,0))</f>
      </c>
      <c r="N180" s="41">
        <f>IF(OR(NOT('Plano de Ação'!$B179&lt;&gt;""),NOT(ISNUMBER('Plano de Ação'!$F179)),NOT(ISNUMBER('Plano de Ação'!$G179)),'Plano de Ação'!$J179="Cancelada"),0,IF(AND('Plano de Ação'!$F179&lt;=EOMONTH(DATE(ano_ref,10,1),0),'Plano de Ação'!$G179&gt;=DATE(ano_ref,10,1)),1,0))</f>
      </c>
      <c r="O180" s="41">
        <f>IF(OR(NOT('Plano de Ação'!$B179&lt;&gt;""),NOT(ISNUMBER('Plano de Ação'!$F179)),NOT(ISNUMBER('Plano de Ação'!$G179)),'Plano de Ação'!$J179="Cancelada"),0,IF(AND('Plano de Ação'!$F179&lt;=EOMONTH(DATE(ano_ref,11,1),0),'Plano de Ação'!$G179&gt;=DATE(ano_ref,11,1)),1,0))</f>
      </c>
      <c r="P180" s="41">
        <f>IF(OR(NOT('Plano de Ação'!$B179&lt;&gt;""),NOT(ISNUMBER('Plano de Ação'!$F179)),NOT(ISNUMBER('Plano de Ação'!$G179)),'Plano de Ação'!$J179="Cancelada"),0,IF(AND('Plano de Ação'!$F179&lt;=EOMONTH(DATE(ano_ref,12,1),0),'Plano de Ação'!$G179&gt;=DATE(ano_ref,12,1)),1,0))</f>
      </c>
    </row>
    <row r="181" spans="1:16" x14ac:dyDescent="0.25">
      <c r="A181" s="40">
        <f>IF('Plano de Ação'!$B180&lt;&gt;"",'Plano de Ação'!A180&amp;"","")</f>
      </c>
      <c r="B181" s="25">
        <f>IF('Plano de Ação'!$B180&lt;&gt;"",'Plano de Ação'!B180,"")</f>
      </c>
      <c r="C181" s="25">
        <f>IF('Plano de Ação'!$B180&lt;&gt;"",'Plano de Ação'!E180&amp;"","")</f>
      </c>
      <c r="D181" s="40">
        <f>IF('Plano de Ação'!$B180&lt;&gt;"",'Plano de Ação'!L180,"")</f>
      </c>
      <c r="E181" s="41">
        <f>IF(OR(NOT('Plano de Ação'!$B180&lt;&gt;""),NOT(ISNUMBER('Plano de Ação'!$F180)),NOT(ISNUMBER('Plano de Ação'!$G180)),'Plano de Ação'!$J180="Cancelada"),0,IF(AND('Plano de Ação'!$F180&lt;=EOMONTH(DATE(ano_ref,1,1),0),'Plano de Ação'!$G180&gt;=DATE(ano_ref,1,1)),1,0))</f>
      </c>
      <c r="F181" s="41">
        <f>IF(OR(NOT('Plano de Ação'!$B180&lt;&gt;""),NOT(ISNUMBER('Plano de Ação'!$F180)),NOT(ISNUMBER('Plano de Ação'!$G180)),'Plano de Ação'!$J180="Cancelada"),0,IF(AND('Plano de Ação'!$F180&lt;=EOMONTH(DATE(ano_ref,2,1),0),'Plano de Ação'!$G180&gt;=DATE(ano_ref,2,1)),1,0))</f>
      </c>
      <c r="G181" s="41">
        <f>IF(OR(NOT('Plano de Ação'!$B180&lt;&gt;""),NOT(ISNUMBER('Plano de Ação'!$F180)),NOT(ISNUMBER('Plano de Ação'!$G180)),'Plano de Ação'!$J180="Cancelada"),0,IF(AND('Plano de Ação'!$F180&lt;=EOMONTH(DATE(ano_ref,3,1),0),'Plano de Ação'!$G180&gt;=DATE(ano_ref,3,1)),1,0))</f>
      </c>
      <c r="H181" s="41">
        <f>IF(OR(NOT('Plano de Ação'!$B180&lt;&gt;""),NOT(ISNUMBER('Plano de Ação'!$F180)),NOT(ISNUMBER('Plano de Ação'!$G180)),'Plano de Ação'!$J180="Cancelada"),0,IF(AND('Plano de Ação'!$F180&lt;=EOMONTH(DATE(ano_ref,4,1),0),'Plano de Ação'!$G180&gt;=DATE(ano_ref,4,1)),1,0))</f>
      </c>
      <c r="I181" s="41">
        <f>IF(OR(NOT('Plano de Ação'!$B180&lt;&gt;""),NOT(ISNUMBER('Plano de Ação'!$F180)),NOT(ISNUMBER('Plano de Ação'!$G180)),'Plano de Ação'!$J180="Cancelada"),0,IF(AND('Plano de Ação'!$F180&lt;=EOMONTH(DATE(ano_ref,5,1),0),'Plano de Ação'!$G180&gt;=DATE(ano_ref,5,1)),1,0))</f>
      </c>
      <c r="J181" s="41">
        <f>IF(OR(NOT('Plano de Ação'!$B180&lt;&gt;""),NOT(ISNUMBER('Plano de Ação'!$F180)),NOT(ISNUMBER('Plano de Ação'!$G180)),'Plano de Ação'!$J180="Cancelada"),0,IF(AND('Plano de Ação'!$F180&lt;=EOMONTH(DATE(ano_ref,6,1),0),'Plano de Ação'!$G180&gt;=DATE(ano_ref,6,1)),1,0))</f>
      </c>
      <c r="K181" s="41">
        <f>IF(OR(NOT('Plano de Ação'!$B180&lt;&gt;""),NOT(ISNUMBER('Plano de Ação'!$F180)),NOT(ISNUMBER('Plano de Ação'!$G180)),'Plano de Ação'!$J180="Cancelada"),0,IF(AND('Plano de Ação'!$F180&lt;=EOMONTH(DATE(ano_ref,7,1),0),'Plano de Ação'!$G180&gt;=DATE(ano_ref,7,1)),1,0))</f>
      </c>
      <c r="L181" s="41">
        <f>IF(OR(NOT('Plano de Ação'!$B180&lt;&gt;""),NOT(ISNUMBER('Plano de Ação'!$F180)),NOT(ISNUMBER('Plano de Ação'!$G180)),'Plano de Ação'!$J180="Cancelada"),0,IF(AND('Plano de Ação'!$F180&lt;=EOMONTH(DATE(ano_ref,8,1),0),'Plano de Ação'!$G180&gt;=DATE(ano_ref,8,1)),1,0))</f>
      </c>
      <c r="M181" s="41">
        <f>IF(OR(NOT('Plano de Ação'!$B180&lt;&gt;""),NOT(ISNUMBER('Plano de Ação'!$F180)),NOT(ISNUMBER('Plano de Ação'!$G180)),'Plano de Ação'!$J180="Cancelada"),0,IF(AND('Plano de Ação'!$F180&lt;=EOMONTH(DATE(ano_ref,9,1),0),'Plano de Ação'!$G180&gt;=DATE(ano_ref,9,1)),1,0))</f>
      </c>
      <c r="N181" s="41">
        <f>IF(OR(NOT('Plano de Ação'!$B180&lt;&gt;""),NOT(ISNUMBER('Plano de Ação'!$F180)),NOT(ISNUMBER('Plano de Ação'!$G180)),'Plano de Ação'!$J180="Cancelada"),0,IF(AND('Plano de Ação'!$F180&lt;=EOMONTH(DATE(ano_ref,10,1),0),'Plano de Ação'!$G180&gt;=DATE(ano_ref,10,1)),1,0))</f>
      </c>
      <c r="O181" s="41">
        <f>IF(OR(NOT('Plano de Ação'!$B180&lt;&gt;""),NOT(ISNUMBER('Plano de Ação'!$F180)),NOT(ISNUMBER('Plano de Ação'!$G180)),'Plano de Ação'!$J180="Cancelada"),0,IF(AND('Plano de Ação'!$F180&lt;=EOMONTH(DATE(ano_ref,11,1),0),'Plano de Ação'!$G180&gt;=DATE(ano_ref,11,1)),1,0))</f>
      </c>
      <c r="P181" s="41">
        <f>IF(OR(NOT('Plano de Ação'!$B180&lt;&gt;""),NOT(ISNUMBER('Plano de Ação'!$F180)),NOT(ISNUMBER('Plano de Ação'!$G180)),'Plano de Ação'!$J180="Cancelada"),0,IF(AND('Plano de Ação'!$F180&lt;=EOMONTH(DATE(ano_ref,12,1),0),'Plano de Ação'!$G180&gt;=DATE(ano_ref,12,1)),1,0))</f>
      </c>
    </row>
    <row r="182" spans="1:16" x14ac:dyDescent="0.25">
      <c r="A182" s="40">
        <f>IF('Plano de Ação'!$B181&lt;&gt;"",'Plano de Ação'!A181&amp;"","")</f>
      </c>
      <c r="B182" s="25">
        <f>IF('Plano de Ação'!$B181&lt;&gt;"",'Plano de Ação'!B181,"")</f>
      </c>
      <c r="C182" s="25">
        <f>IF('Plano de Ação'!$B181&lt;&gt;"",'Plano de Ação'!E181&amp;"","")</f>
      </c>
      <c r="D182" s="40">
        <f>IF('Plano de Ação'!$B181&lt;&gt;"",'Plano de Ação'!L181,"")</f>
      </c>
      <c r="E182" s="41">
        <f>IF(OR(NOT('Plano de Ação'!$B181&lt;&gt;""),NOT(ISNUMBER('Plano de Ação'!$F181)),NOT(ISNUMBER('Plano de Ação'!$G181)),'Plano de Ação'!$J181="Cancelada"),0,IF(AND('Plano de Ação'!$F181&lt;=EOMONTH(DATE(ano_ref,1,1),0),'Plano de Ação'!$G181&gt;=DATE(ano_ref,1,1)),1,0))</f>
      </c>
      <c r="F182" s="41">
        <f>IF(OR(NOT('Plano de Ação'!$B181&lt;&gt;""),NOT(ISNUMBER('Plano de Ação'!$F181)),NOT(ISNUMBER('Plano de Ação'!$G181)),'Plano de Ação'!$J181="Cancelada"),0,IF(AND('Plano de Ação'!$F181&lt;=EOMONTH(DATE(ano_ref,2,1),0),'Plano de Ação'!$G181&gt;=DATE(ano_ref,2,1)),1,0))</f>
      </c>
      <c r="G182" s="41">
        <f>IF(OR(NOT('Plano de Ação'!$B181&lt;&gt;""),NOT(ISNUMBER('Plano de Ação'!$F181)),NOT(ISNUMBER('Plano de Ação'!$G181)),'Plano de Ação'!$J181="Cancelada"),0,IF(AND('Plano de Ação'!$F181&lt;=EOMONTH(DATE(ano_ref,3,1),0),'Plano de Ação'!$G181&gt;=DATE(ano_ref,3,1)),1,0))</f>
      </c>
      <c r="H182" s="41">
        <f>IF(OR(NOT('Plano de Ação'!$B181&lt;&gt;""),NOT(ISNUMBER('Plano de Ação'!$F181)),NOT(ISNUMBER('Plano de Ação'!$G181)),'Plano de Ação'!$J181="Cancelada"),0,IF(AND('Plano de Ação'!$F181&lt;=EOMONTH(DATE(ano_ref,4,1),0),'Plano de Ação'!$G181&gt;=DATE(ano_ref,4,1)),1,0))</f>
      </c>
      <c r="I182" s="41">
        <f>IF(OR(NOT('Plano de Ação'!$B181&lt;&gt;""),NOT(ISNUMBER('Plano de Ação'!$F181)),NOT(ISNUMBER('Plano de Ação'!$G181)),'Plano de Ação'!$J181="Cancelada"),0,IF(AND('Plano de Ação'!$F181&lt;=EOMONTH(DATE(ano_ref,5,1),0),'Plano de Ação'!$G181&gt;=DATE(ano_ref,5,1)),1,0))</f>
      </c>
      <c r="J182" s="41">
        <f>IF(OR(NOT('Plano de Ação'!$B181&lt;&gt;""),NOT(ISNUMBER('Plano de Ação'!$F181)),NOT(ISNUMBER('Plano de Ação'!$G181)),'Plano de Ação'!$J181="Cancelada"),0,IF(AND('Plano de Ação'!$F181&lt;=EOMONTH(DATE(ano_ref,6,1),0),'Plano de Ação'!$G181&gt;=DATE(ano_ref,6,1)),1,0))</f>
      </c>
      <c r="K182" s="41">
        <f>IF(OR(NOT('Plano de Ação'!$B181&lt;&gt;""),NOT(ISNUMBER('Plano de Ação'!$F181)),NOT(ISNUMBER('Plano de Ação'!$G181)),'Plano de Ação'!$J181="Cancelada"),0,IF(AND('Plano de Ação'!$F181&lt;=EOMONTH(DATE(ano_ref,7,1),0),'Plano de Ação'!$G181&gt;=DATE(ano_ref,7,1)),1,0))</f>
      </c>
      <c r="L182" s="41">
        <f>IF(OR(NOT('Plano de Ação'!$B181&lt;&gt;""),NOT(ISNUMBER('Plano de Ação'!$F181)),NOT(ISNUMBER('Plano de Ação'!$G181)),'Plano de Ação'!$J181="Cancelada"),0,IF(AND('Plano de Ação'!$F181&lt;=EOMONTH(DATE(ano_ref,8,1),0),'Plano de Ação'!$G181&gt;=DATE(ano_ref,8,1)),1,0))</f>
      </c>
      <c r="M182" s="41">
        <f>IF(OR(NOT('Plano de Ação'!$B181&lt;&gt;""),NOT(ISNUMBER('Plano de Ação'!$F181)),NOT(ISNUMBER('Plano de Ação'!$G181)),'Plano de Ação'!$J181="Cancelada"),0,IF(AND('Plano de Ação'!$F181&lt;=EOMONTH(DATE(ano_ref,9,1),0),'Plano de Ação'!$G181&gt;=DATE(ano_ref,9,1)),1,0))</f>
      </c>
      <c r="N182" s="41">
        <f>IF(OR(NOT('Plano de Ação'!$B181&lt;&gt;""),NOT(ISNUMBER('Plano de Ação'!$F181)),NOT(ISNUMBER('Plano de Ação'!$G181)),'Plano de Ação'!$J181="Cancelada"),0,IF(AND('Plano de Ação'!$F181&lt;=EOMONTH(DATE(ano_ref,10,1),0),'Plano de Ação'!$G181&gt;=DATE(ano_ref,10,1)),1,0))</f>
      </c>
      <c r="O182" s="41">
        <f>IF(OR(NOT('Plano de Ação'!$B181&lt;&gt;""),NOT(ISNUMBER('Plano de Ação'!$F181)),NOT(ISNUMBER('Plano de Ação'!$G181)),'Plano de Ação'!$J181="Cancelada"),0,IF(AND('Plano de Ação'!$F181&lt;=EOMONTH(DATE(ano_ref,11,1),0),'Plano de Ação'!$G181&gt;=DATE(ano_ref,11,1)),1,0))</f>
      </c>
      <c r="P182" s="41">
        <f>IF(OR(NOT('Plano de Ação'!$B181&lt;&gt;""),NOT(ISNUMBER('Plano de Ação'!$F181)),NOT(ISNUMBER('Plano de Ação'!$G181)),'Plano de Ação'!$J181="Cancelada"),0,IF(AND('Plano de Ação'!$F181&lt;=EOMONTH(DATE(ano_ref,12,1),0),'Plano de Ação'!$G181&gt;=DATE(ano_ref,12,1)),1,0))</f>
      </c>
    </row>
    <row r="183" spans="1:16" x14ac:dyDescent="0.25">
      <c r="A183" s="40">
        <f>IF('Plano de Ação'!$B182&lt;&gt;"",'Plano de Ação'!A182&amp;"","")</f>
      </c>
      <c r="B183" s="25">
        <f>IF('Plano de Ação'!$B182&lt;&gt;"",'Plano de Ação'!B182,"")</f>
      </c>
      <c r="C183" s="25">
        <f>IF('Plano de Ação'!$B182&lt;&gt;"",'Plano de Ação'!E182&amp;"","")</f>
      </c>
      <c r="D183" s="40">
        <f>IF('Plano de Ação'!$B182&lt;&gt;"",'Plano de Ação'!L182,"")</f>
      </c>
      <c r="E183" s="41">
        <f>IF(OR(NOT('Plano de Ação'!$B182&lt;&gt;""),NOT(ISNUMBER('Plano de Ação'!$F182)),NOT(ISNUMBER('Plano de Ação'!$G182)),'Plano de Ação'!$J182="Cancelada"),0,IF(AND('Plano de Ação'!$F182&lt;=EOMONTH(DATE(ano_ref,1,1),0),'Plano de Ação'!$G182&gt;=DATE(ano_ref,1,1)),1,0))</f>
      </c>
      <c r="F183" s="41">
        <f>IF(OR(NOT('Plano de Ação'!$B182&lt;&gt;""),NOT(ISNUMBER('Plano de Ação'!$F182)),NOT(ISNUMBER('Plano de Ação'!$G182)),'Plano de Ação'!$J182="Cancelada"),0,IF(AND('Plano de Ação'!$F182&lt;=EOMONTH(DATE(ano_ref,2,1),0),'Plano de Ação'!$G182&gt;=DATE(ano_ref,2,1)),1,0))</f>
      </c>
      <c r="G183" s="41">
        <f>IF(OR(NOT('Plano de Ação'!$B182&lt;&gt;""),NOT(ISNUMBER('Plano de Ação'!$F182)),NOT(ISNUMBER('Plano de Ação'!$G182)),'Plano de Ação'!$J182="Cancelada"),0,IF(AND('Plano de Ação'!$F182&lt;=EOMONTH(DATE(ano_ref,3,1),0),'Plano de Ação'!$G182&gt;=DATE(ano_ref,3,1)),1,0))</f>
      </c>
      <c r="H183" s="41">
        <f>IF(OR(NOT('Plano de Ação'!$B182&lt;&gt;""),NOT(ISNUMBER('Plano de Ação'!$F182)),NOT(ISNUMBER('Plano de Ação'!$G182)),'Plano de Ação'!$J182="Cancelada"),0,IF(AND('Plano de Ação'!$F182&lt;=EOMONTH(DATE(ano_ref,4,1),0),'Plano de Ação'!$G182&gt;=DATE(ano_ref,4,1)),1,0))</f>
      </c>
      <c r="I183" s="41">
        <f>IF(OR(NOT('Plano de Ação'!$B182&lt;&gt;""),NOT(ISNUMBER('Plano de Ação'!$F182)),NOT(ISNUMBER('Plano de Ação'!$G182)),'Plano de Ação'!$J182="Cancelada"),0,IF(AND('Plano de Ação'!$F182&lt;=EOMONTH(DATE(ano_ref,5,1),0),'Plano de Ação'!$G182&gt;=DATE(ano_ref,5,1)),1,0))</f>
      </c>
      <c r="J183" s="41">
        <f>IF(OR(NOT('Plano de Ação'!$B182&lt;&gt;""),NOT(ISNUMBER('Plano de Ação'!$F182)),NOT(ISNUMBER('Plano de Ação'!$G182)),'Plano de Ação'!$J182="Cancelada"),0,IF(AND('Plano de Ação'!$F182&lt;=EOMONTH(DATE(ano_ref,6,1),0),'Plano de Ação'!$G182&gt;=DATE(ano_ref,6,1)),1,0))</f>
      </c>
      <c r="K183" s="41">
        <f>IF(OR(NOT('Plano de Ação'!$B182&lt;&gt;""),NOT(ISNUMBER('Plano de Ação'!$F182)),NOT(ISNUMBER('Plano de Ação'!$G182)),'Plano de Ação'!$J182="Cancelada"),0,IF(AND('Plano de Ação'!$F182&lt;=EOMONTH(DATE(ano_ref,7,1),0),'Plano de Ação'!$G182&gt;=DATE(ano_ref,7,1)),1,0))</f>
      </c>
      <c r="L183" s="41">
        <f>IF(OR(NOT('Plano de Ação'!$B182&lt;&gt;""),NOT(ISNUMBER('Plano de Ação'!$F182)),NOT(ISNUMBER('Plano de Ação'!$G182)),'Plano de Ação'!$J182="Cancelada"),0,IF(AND('Plano de Ação'!$F182&lt;=EOMONTH(DATE(ano_ref,8,1),0),'Plano de Ação'!$G182&gt;=DATE(ano_ref,8,1)),1,0))</f>
      </c>
      <c r="M183" s="41">
        <f>IF(OR(NOT('Plano de Ação'!$B182&lt;&gt;""),NOT(ISNUMBER('Plano de Ação'!$F182)),NOT(ISNUMBER('Plano de Ação'!$G182)),'Plano de Ação'!$J182="Cancelada"),0,IF(AND('Plano de Ação'!$F182&lt;=EOMONTH(DATE(ano_ref,9,1),0),'Plano de Ação'!$G182&gt;=DATE(ano_ref,9,1)),1,0))</f>
      </c>
      <c r="N183" s="41">
        <f>IF(OR(NOT('Plano de Ação'!$B182&lt;&gt;""),NOT(ISNUMBER('Plano de Ação'!$F182)),NOT(ISNUMBER('Plano de Ação'!$G182)),'Plano de Ação'!$J182="Cancelada"),0,IF(AND('Plano de Ação'!$F182&lt;=EOMONTH(DATE(ano_ref,10,1),0),'Plano de Ação'!$G182&gt;=DATE(ano_ref,10,1)),1,0))</f>
      </c>
      <c r="O183" s="41">
        <f>IF(OR(NOT('Plano de Ação'!$B182&lt;&gt;""),NOT(ISNUMBER('Plano de Ação'!$F182)),NOT(ISNUMBER('Plano de Ação'!$G182)),'Plano de Ação'!$J182="Cancelada"),0,IF(AND('Plano de Ação'!$F182&lt;=EOMONTH(DATE(ano_ref,11,1),0),'Plano de Ação'!$G182&gt;=DATE(ano_ref,11,1)),1,0))</f>
      </c>
      <c r="P183" s="41">
        <f>IF(OR(NOT('Plano de Ação'!$B182&lt;&gt;""),NOT(ISNUMBER('Plano de Ação'!$F182)),NOT(ISNUMBER('Plano de Ação'!$G182)),'Plano de Ação'!$J182="Cancelada"),0,IF(AND('Plano de Ação'!$F182&lt;=EOMONTH(DATE(ano_ref,12,1),0),'Plano de Ação'!$G182&gt;=DATE(ano_ref,12,1)),1,0))</f>
      </c>
    </row>
    <row r="184" spans="1:16" x14ac:dyDescent="0.25">
      <c r="A184" s="40">
        <f>IF('Plano de Ação'!$B183&lt;&gt;"",'Plano de Ação'!A183&amp;"","")</f>
      </c>
      <c r="B184" s="25">
        <f>IF('Plano de Ação'!$B183&lt;&gt;"",'Plano de Ação'!B183,"")</f>
      </c>
      <c r="C184" s="25">
        <f>IF('Plano de Ação'!$B183&lt;&gt;"",'Plano de Ação'!E183&amp;"","")</f>
      </c>
      <c r="D184" s="40">
        <f>IF('Plano de Ação'!$B183&lt;&gt;"",'Plano de Ação'!L183,"")</f>
      </c>
      <c r="E184" s="41">
        <f>IF(OR(NOT('Plano de Ação'!$B183&lt;&gt;""),NOT(ISNUMBER('Plano de Ação'!$F183)),NOT(ISNUMBER('Plano de Ação'!$G183)),'Plano de Ação'!$J183="Cancelada"),0,IF(AND('Plano de Ação'!$F183&lt;=EOMONTH(DATE(ano_ref,1,1),0),'Plano de Ação'!$G183&gt;=DATE(ano_ref,1,1)),1,0))</f>
      </c>
      <c r="F184" s="41">
        <f>IF(OR(NOT('Plano de Ação'!$B183&lt;&gt;""),NOT(ISNUMBER('Plano de Ação'!$F183)),NOT(ISNUMBER('Plano de Ação'!$G183)),'Plano de Ação'!$J183="Cancelada"),0,IF(AND('Plano de Ação'!$F183&lt;=EOMONTH(DATE(ano_ref,2,1),0),'Plano de Ação'!$G183&gt;=DATE(ano_ref,2,1)),1,0))</f>
      </c>
      <c r="G184" s="41">
        <f>IF(OR(NOT('Plano de Ação'!$B183&lt;&gt;""),NOT(ISNUMBER('Plano de Ação'!$F183)),NOT(ISNUMBER('Plano de Ação'!$G183)),'Plano de Ação'!$J183="Cancelada"),0,IF(AND('Plano de Ação'!$F183&lt;=EOMONTH(DATE(ano_ref,3,1),0),'Plano de Ação'!$G183&gt;=DATE(ano_ref,3,1)),1,0))</f>
      </c>
      <c r="H184" s="41">
        <f>IF(OR(NOT('Plano de Ação'!$B183&lt;&gt;""),NOT(ISNUMBER('Plano de Ação'!$F183)),NOT(ISNUMBER('Plano de Ação'!$G183)),'Plano de Ação'!$J183="Cancelada"),0,IF(AND('Plano de Ação'!$F183&lt;=EOMONTH(DATE(ano_ref,4,1),0),'Plano de Ação'!$G183&gt;=DATE(ano_ref,4,1)),1,0))</f>
      </c>
      <c r="I184" s="41">
        <f>IF(OR(NOT('Plano de Ação'!$B183&lt;&gt;""),NOT(ISNUMBER('Plano de Ação'!$F183)),NOT(ISNUMBER('Plano de Ação'!$G183)),'Plano de Ação'!$J183="Cancelada"),0,IF(AND('Plano de Ação'!$F183&lt;=EOMONTH(DATE(ano_ref,5,1),0),'Plano de Ação'!$G183&gt;=DATE(ano_ref,5,1)),1,0))</f>
      </c>
      <c r="J184" s="41">
        <f>IF(OR(NOT('Plano de Ação'!$B183&lt;&gt;""),NOT(ISNUMBER('Plano de Ação'!$F183)),NOT(ISNUMBER('Plano de Ação'!$G183)),'Plano de Ação'!$J183="Cancelada"),0,IF(AND('Plano de Ação'!$F183&lt;=EOMONTH(DATE(ano_ref,6,1),0),'Plano de Ação'!$G183&gt;=DATE(ano_ref,6,1)),1,0))</f>
      </c>
      <c r="K184" s="41">
        <f>IF(OR(NOT('Plano de Ação'!$B183&lt;&gt;""),NOT(ISNUMBER('Plano de Ação'!$F183)),NOT(ISNUMBER('Plano de Ação'!$G183)),'Plano de Ação'!$J183="Cancelada"),0,IF(AND('Plano de Ação'!$F183&lt;=EOMONTH(DATE(ano_ref,7,1),0),'Plano de Ação'!$G183&gt;=DATE(ano_ref,7,1)),1,0))</f>
      </c>
      <c r="L184" s="41">
        <f>IF(OR(NOT('Plano de Ação'!$B183&lt;&gt;""),NOT(ISNUMBER('Plano de Ação'!$F183)),NOT(ISNUMBER('Plano de Ação'!$G183)),'Plano de Ação'!$J183="Cancelada"),0,IF(AND('Plano de Ação'!$F183&lt;=EOMONTH(DATE(ano_ref,8,1),0),'Plano de Ação'!$G183&gt;=DATE(ano_ref,8,1)),1,0))</f>
      </c>
      <c r="M184" s="41">
        <f>IF(OR(NOT('Plano de Ação'!$B183&lt;&gt;""),NOT(ISNUMBER('Plano de Ação'!$F183)),NOT(ISNUMBER('Plano de Ação'!$G183)),'Plano de Ação'!$J183="Cancelada"),0,IF(AND('Plano de Ação'!$F183&lt;=EOMONTH(DATE(ano_ref,9,1),0),'Plano de Ação'!$G183&gt;=DATE(ano_ref,9,1)),1,0))</f>
      </c>
      <c r="N184" s="41">
        <f>IF(OR(NOT('Plano de Ação'!$B183&lt;&gt;""),NOT(ISNUMBER('Plano de Ação'!$F183)),NOT(ISNUMBER('Plano de Ação'!$G183)),'Plano de Ação'!$J183="Cancelada"),0,IF(AND('Plano de Ação'!$F183&lt;=EOMONTH(DATE(ano_ref,10,1),0),'Plano de Ação'!$G183&gt;=DATE(ano_ref,10,1)),1,0))</f>
      </c>
      <c r="O184" s="41">
        <f>IF(OR(NOT('Plano de Ação'!$B183&lt;&gt;""),NOT(ISNUMBER('Plano de Ação'!$F183)),NOT(ISNUMBER('Plano de Ação'!$G183)),'Plano de Ação'!$J183="Cancelada"),0,IF(AND('Plano de Ação'!$F183&lt;=EOMONTH(DATE(ano_ref,11,1),0),'Plano de Ação'!$G183&gt;=DATE(ano_ref,11,1)),1,0))</f>
      </c>
      <c r="P184" s="41">
        <f>IF(OR(NOT('Plano de Ação'!$B183&lt;&gt;""),NOT(ISNUMBER('Plano de Ação'!$F183)),NOT(ISNUMBER('Plano de Ação'!$G183)),'Plano de Ação'!$J183="Cancelada"),0,IF(AND('Plano de Ação'!$F183&lt;=EOMONTH(DATE(ano_ref,12,1),0),'Plano de Ação'!$G183&gt;=DATE(ano_ref,12,1)),1,0))</f>
      </c>
    </row>
    <row r="185" spans="1:16" x14ac:dyDescent="0.25">
      <c r="A185" s="40">
        <f>IF('Plano de Ação'!$B184&lt;&gt;"",'Plano de Ação'!A184&amp;"","")</f>
      </c>
      <c r="B185" s="25">
        <f>IF('Plano de Ação'!$B184&lt;&gt;"",'Plano de Ação'!B184,"")</f>
      </c>
      <c r="C185" s="25">
        <f>IF('Plano de Ação'!$B184&lt;&gt;"",'Plano de Ação'!E184&amp;"","")</f>
      </c>
      <c r="D185" s="40">
        <f>IF('Plano de Ação'!$B184&lt;&gt;"",'Plano de Ação'!L184,"")</f>
      </c>
      <c r="E185" s="41">
        <f>IF(OR(NOT('Plano de Ação'!$B184&lt;&gt;""),NOT(ISNUMBER('Plano de Ação'!$F184)),NOT(ISNUMBER('Plano de Ação'!$G184)),'Plano de Ação'!$J184="Cancelada"),0,IF(AND('Plano de Ação'!$F184&lt;=EOMONTH(DATE(ano_ref,1,1),0),'Plano de Ação'!$G184&gt;=DATE(ano_ref,1,1)),1,0))</f>
      </c>
      <c r="F185" s="41">
        <f>IF(OR(NOT('Plano de Ação'!$B184&lt;&gt;""),NOT(ISNUMBER('Plano de Ação'!$F184)),NOT(ISNUMBER('Plano de Ação'!$G184)),'Plano de Ação'!$J184="Cancelada"),0,IF(AND('Plano de Ação'!$F184&lt;=EOMONTH(DATE(ano_ref,2,1),0),'Plano de Ação'!$G184&gt;=DATE(ano_ref,2,1)),1,0))</f>
      </c>
      <c r="G185" s="41">
        <f>IF(OR(NOT('Plano de Ação'!$B184&lt;&gt;""),NOT(ISNUMBER('Plano de Ação'!$F184)),NOT(ISNUMBER('Plano de Ação'!$G184)),'Plano de Ação'!$J184="Cancelada"),0,IF(AND('Plano de Ação'!$F184&lt;=EOMONTH(DATE(ano_ref,3,1),0),'Plano de Ação'!$G184&gt;=DATE(ano_ref,3,1)),1,0))</f>
      </c>
      <c r="H185" s="41">
        <f>IF(OR(NOT('Plano de Ação'!$B184&lt;&gt;""),NOT(ISNUMBER('Plano de Ação'!$F184)),NOT(ISNUMBER('Plano de Ação'!$G184)),'Plano de Ação'!$J184="Cancelada"),0,IF(AND('Plano de Ação'!$F184&lt;=EOMONTH(DATE(ano_ref,4,1),0),'Plano de Ação'!$G184&gt;=DATE(ano_ref,4,1)),1,0))</f>
      </c>
      <c r="I185" s="41">
        <f>IF(OR(NOT('Plano de Ação'!$B184&lt;&gt;""),NOT(ISNUMBER('Plano de Ação'!$F184)),NOT(ISNUMBER('Plano de Ação'!$G184)),'Plano de Ação'!$J184="Cancelada"),0,IF(AND('Plano de Ação'!$F184&lt;=EOMONTH(DATE(ano_ref,5,1),0),'Plano de Ação'!$G184&gt;=DATE(ano_ref,5,1)),1,0))</f>
      </c>
      <c r="J185" s="41">
        <f>IF(OR(NOT('Plano de Ação'!$B184&lt;&gt;""),NOT(ISNUMBER('Plano de Ação'!$F184)),NOT(ISNUMBER('Plano de Ação'!$G184)),'Plano de Ação'!$J184="Cancelada"),0,IF(AND('Plano de Ação'!$F184&lt;=EOMONTH(DATE(ano_ref,6,1),0),'Plano de Ação'!$G184&gt;=DATE(ano_ref,6,1)),1,0))</f>
      </c>
      <c r="K185" s="41">
        <f>IF(OR(NOT('Plano de Ação'!$B184&lt;&gt;""),NOT(ISNUMBER('Plano de Ação'!$F184)),NOT(ISNUMBER('Plano de Ação'!$G184)),'Plano de Ação'!$J184="Cancelada"),0,IF(AND('Plano de Ação'!$F184&lt;=EOMONTH(DATE(ano_ref,7,1),0),'Plano de Ação'!$G184&gt;=DATE(ano_ref,7,1)),1,0))</f>
      </c>
      <c r="L185" s="41">
        <f>IF(OR(NOT('Plano de Ação'!$B184&lt;&gt;""),NOT(ISNUMBER('Plano de Ação'!$F184)),NOT(ISNUMBER('Plano de Ação'!$G184)),'Plano de Ação'!$J184="Cancelada"),0,IF(AND('Plano de Ação'!$F184&lt;=EOMONTH(DATE(ano_ref,8,1),0),'Plano de Ação'!$G184&gt;=DATE(ano_ref,8,1)),1,0))</f>
      </c>
      <c r="M185" s="41">
        <f>IF(OR(NOT('Plano de Ação'!$B184&lt;&gt;""),NOT(ISNUMBER('Plano de Ação'!$F184)),NOT(ISNUMBER('Plano de Ação'!$G184)),'Plano de Ação'!$J184="Cancelada"),0,IF(AND('Plano de Ação'!$F184&lt;=EOMONTH(DATE(ano_ref,9,1),0),'Plano de Ação'!$G184&gt;=DATE(ano_ref,9,1)),1,0))</f>
      </c>
      <c r="N185" s="41">
        <f>IF(OR(NOT('Plano de Ação'!$B184&lt;&gt;""),NOT(ISNUMBER('Plano de Ação'!$F184)),NOT(ISNUMBER('Plano de Ação'!$G184)),'Plano de Ação'!$J184="Cancelada"),0,IF(AND('Plano de Ação'!$F184&lt;=EOMONTH(DATE(ano_ref,10,1),0),'Plano de Ação'!$G184&gt;=DATE(ano_ref,10,1)),1,0))</f>
      </c>
      <c r="O185" s="41">
        <f>IF(OR(NOT('Plano de Ação'!$B184&lt;&gt;""),NOT(ISNUMBER('Plano de Ação'!$F184)),NOT(ISNUMBER('Plano de Ação'!$G184)),'Plano de Ação'!$J184="Cancelada"),0,IF(AND('Plano de Ação'!$F184&lt;=EOMONTH(DATE(ano_ref,11,1),0),'Plano de Ação'!$G184&gt;=DATE(ano_ref,11,1)),1,0))</f>
      </c>
      <c r="P185" s="41">
        <f>IF(OR(NOT('Plano de Ação'!$B184&lt;&gt;""),NOT(ISNUMBER('Plano de Ação'!$F184)),NOT(ISNUMBER('Plano de Ação'!$G184)),'Plano de Ação'!$J184="Cancelada"),0,IF(AND('Plano de Ação'!$F184&lt;=EOMONTH(DATE(ano_ref,12,1),0),'Plano de Ação'!$G184&gt;=DATE(ano_ref,12,1)),1,0))</f>
      </c>
    </row>
    <row r="186" spans="1:16" x14ac:dyDescent="0.25">
      <c r="A186" s="40">
        <f>IF('Plano de Ação'!$B185&lt;&gt;"",'Plano de Ação'!A185&amp;"","")</f>
      </c>
      <c r="B186" s="25">
        <f>IF('Plano de Ação'!$B185&lt;&gt;"",'Plano de Ação'!B185,"")</f>
      </c>
      <c r="C186" s="25">
        <f>IF('Plano de Ação'!$B185&lt;&gt;"",'Plano de Ação'!E185&amp;"","")</f>
      </c>
      <c r="D186" s="40">
        <f>IF('Plano de Ação'!$B185&lt;&gt;"",'Plano de Ação'!L185,"")</f>
      </c>
      <c r="E186" s="41">
        <f>IF(OR(NOT('Plano de Ação'!$B185&lt;&gt;""),NOT(ISNUMBER('Plano de Ação'!$F185)),NOT(ISNUMBER('Plano de Ação'!$G185)),'Plano de Ação'!$J185="Cancelada"),0,IF(AND('Plano de Ação'!$F185&lt;=EOMONTH(DATE(ano_ref,1,1),0),'Plano de Ação'!$G185&gt;=DATE(ano_ref,1,1)),1,0))</f>
      </c>
      <c r="F186" s="41">
        <f>IF(OR(NOT('Plano de Ação'!$B185&lt;&gt;""),NOT(ISNUMBER('Plano de Ação'!$F185)),NOT(ISNUMBER('Plano de Ação'!$G185)),'Plano de Ação'!$J185="Cancelada"),0,IF(AND('Plano de Ação'!$F185&lt;=EOMONTH(DATE(ano_ref,2,1),0),'Plano de Ação'!$G185&gt;=DATE(ano_ref,2,1)),1,0))</f>
      </c>
      <c r="G186" s="41">
        <f>IF(OR(NOT('Plano de Ação'!$B185&lt;&gt;""),NOT(ISNUMBER('Plano de Ação'!$F185)),NOT(ISNUMBER('Plano de Ação'!$G185)),'Plano de Ação'!$J185="Cancelada"),0,IF(AND('Plano de Ação'!$F185&lt;=EOMONTH(DATE(ano_ref,3,1),0),'Plano de Ação'!$G185&gt;=DATE(ano_ref,3,1)),1,0))</f>
      </c>
      <c r="H186" s="41">
        <f>IF(OR(NOT('Plano de Ação'!$B185&lt;&gt;""),NOT(ISNUMBER('Plano de Ação'!$F185)),NOT(ISNUMBER('Plano de Ação'!$G185)),'Plano de Ação'!$J185="Cancelada"),0,IF(AND('Plano de Ação'!$F185&lt;=EOMONTH(DATE(ano_ref,4,1),0),'Plano de Ação'!$G185&gt;=DATE(ano_ref,4,1)),1,0))</f>
      </c>
      <c r="I186" s="41">
        <f>IF(OR(NOT('Plano de Ação'!$B185&lt;&gt;""),NOT(ISNUMBER('Plano de Ação'!$F185)),NOT(ISNUMBER('Plano de Ação'!$G185)),'Plano de Ação'!$J185="Cancelada"),0,IF(AND('Plano de Ação'!$F185&lt;=EOMONTH(DATE(ano_ref,5,1),0),'Plano de Ação'!$G185&gt;=DATE(ano_ref,5,1)),1,0))</f>
      </c>
      <c r="J186" s="41">
        <f>IF(OR(NOT('Plano de Ação'!$B185&lt;&gt;""),NOT(ISNUMBER('Plano de Ação'!$F185)),NOT(ISNUMBER('Plano de Ação'!$G185)),'Plano de Ação'!$J185="Cancelada"),0,IF(AND('Plano de Ação'!$F185&lt;=EOMONTH(DATE(ano_ref,6,1),0),'Plano de Ação'!$G185&gt;=DATE(ano_ref,6,1)),1,0))</f>
      </c>
      <c r="K186" s="41">
        <f>IF(OR(NOT('Plano de Ação'!$B185&lt;&gt;""),NOT(ISNUMBER('Plano de Ação'!$F185)),NOT(ISNUMBER('Plano de Ação'!$G185)),'Plano de Ação'!$J185="Cancelada"),0,IF(AND('Plano de Ação'!$F185&lt;=EOMONTH(DATE(ano_ref,7,1),0),'Plano de Ação'!$G185&gt;=DATE(ano_ref,7,1)),1,0))</f>
      </c>
      <c r="L186" s="41">
        <f>IF(OR(NOT('Plano de Ação'!$B185&lt;&gt;""),NOT(ISNUMBER('Plano de Ação'!$F185)),NOT(ISNUMBER('Plano de Ação'!$G185)),'Plano de Ação'!$J185="Cancelada"),0,IF(AND('Plano de Ação'!$F185&lt;=EOMONTH(DATE(ano_ref,8,1),0),'Plano de Ação'!$G185&gt;=DATE(ano_ref,8,1)),1,0))</f>
      </c>
      <c r="M186" s="41">
        <f>IF(OR(NOT('Plano de Ação'!$B185&lt;&gt;""),NOT(ISNUMBER('Plano de Ação'!$F185)),NOT(ISNUMBER('Plano de Ação'!$G185)),'Plano de Ação'!$J185="Cancelada"),0,IF(AND('Plano de Ação'!$F185&lt;=EOMONTH(DATE(ano_ref,9,1),0),'Plano de Ação'!$G185&gt;=DATE(ano_ref,9,1)),1,0))</f>
      </c>
      <c r="N186" s="41">
        <f>IF(OR(NOT('Plano de Ação'!$B185&lt;&gt;""),NOT(ISNUMBER('Plano de Ação'!$F185)),NOT(ISNUMBER('Plano de Ação'!$G185)),'Plano de Ação'!$J185="Cancelada"),0,IF(AND('Plano de Ação'!$F185&lt;=EOMONTH(DATE(ano_ref,10,1),0),'Plano de Ação'!$G185&gt;=DATE(ano_ref,10,1)),1,0))</f>
      </c>
      <c r="O186" s="41">
        <f>IF(OR(NOT('Plano de Ação'!$B185&lt;&gt;""),NOT(ISNUMBER('Plano de Ação'!$F185)),NOT(ISNUMBER('Plano de Ação'!$G185)),'Plano de Ação'!$J185="Cancelada"),0,IF(AND('Plano de Ação'!$F185&lt;=EOMONTH(DATE(ano_ref,11,1),0),'Plano de Ação'!$G185&gt;=DATE(ano_ref,11,1)),1,0))</f>
      </c>
      <c r="P186" s="41">
        <f>IF(OR(NOT('Plano de Ação'!$B185&lt;&gt;""),NOT(ISNUMBER('Plano de Ação'!$F185)),NOT(ISNUMBER('Plano de Ação'!$G185)),'Plano de Ação'!$J185="Cancelada"),0,IF(AND('Plano de Ação'!$F185&lt;=EOMONTH(DATE(ano_ref,12,1),0),'Plano de Ação'!$G185&gt;=DATE(ano_ref,12,1)),1,0))</f>
      </c>
    </row>
    <row r="187" spans="1:16" x14ac:dyDescent="0.25">
      <c r="A187" s="40">
        <f>IF('Plano de Ação'!$B186&lt;&gt;"",'Plano de Ação'!A186&amp;"","")</f>
      </c>
      <c r="B187" s="25">
        <f>IF('Plano de Ação'!$B186&lt;&gt;"",'Plano de Ação'!B186,"")</f>
      </c>
      <c r="C187" s="25">
        <f>IF('Plano de Ação'!$B186&lt;&gt;"",'Plano de Ação'!E186&amp;"","")</f>
      </c>
      <c r="D187" s="40">
        <f>IF('Plano de Ação'!$B186&lt;&gt;"",'Plano de Ação'!L186,"")</f>
      </c>
      <c r="E187" s="41">
        <f>IF(OR(NOT('Plano de Ação'!$B186&lt;&gt;""),NOT(ISNUMBER('Plano de Ação'!$F186)),NOT(ISNUMBER('Plano de Ação'!$G186)),'Plano de Ação'!$J186="Cancelada"),0,IF(AND('Plano de Ação'!$F186&lt;=EOMONTH(DATE(ano_ref,1,1),0),'Plano de Ação'!$G186&gt;=DATE(ano_ref,1,1)),1,0))</f>
      </c>
      <c r="F187" s="41">
        <f>IF(OR(NOT('Plano de Ação'!$B186&lt;&gt;""),NOT(ISNUMBER('Plano de Ação'!$F186)),NOT(ISNUMBER('Plano de Ação'!$G186)),'Plano de Ação'!$J186="Cancelada"),0,IF(AND('Plano de Ação'!$F186&lt;=EOMONTH(DATE(ano_ref,2,1),0),'Plano de Ação'!$G186&gt;=DATE(ano_ref,2,1)),1,0))</f>
      </c>
      <c r="G187" s="41">
        <f>IF(OR(NOT('Plano de Ação'!$B186&lt;&gt;""),NOT(ISNUMBER('Plano de Ação'!$F186)),NOT(ISNUMBER('Plano de Ação'!$G186)),'Plano de Ação'!$J186="Cancelada"),0,IF(AND('Plano de Ação'!$F186&lt;=EOMONTH(DATE(ano_ref,3,1),0),'Plano de Ação'!$G186&gt;=DATE(ano_ref,3,1)),1,0))</f>
      </c>
      <c r="H187" s="41">
        <f>IF(OR(NOT('Plano de Ação'!$B186&lt;&gt;""),NOT(ISNUMBER('Plano de Ação'!$F186)),NOT(ISNUMBER('Plano de Ação'!$G186)),'Plano de Ação'!$J186="Cancelada"),0,IF(AND('Plano de Ação'!$F186&lt;=EOMONTH(DATE(ano_ref,4,1),0),'Plano de Ação'!$G186&gt;=DATE(ano_ref,4,1)),1,0))</f>
      </c>
      <c r="I187" s="41">
        <f>IF(OR(NOT('Plano de Ação'!$B186&lt;&gt;""),NOT(ISNUMBER('Plano de Ação'!$F186)),NOT(ISNUMBER('Plano de Ação'!$G186)),'Plano de Ação'!$J186="Cancelada"),0,IF(AND('Plano de Ação'!$F186&lt;=EOMONTH(DATE(ano_ref,5,1),0),'Plano de Ação'!$G186&gt;=DATE(ano_ref,5,1)),1,0))</f>
      </c>
      <c r="J187" s="41">
        <f>IF(OR(NOT('Plano de Ação'!$B186&lt;&gt;""),NOT(ISNUMBER('Plano de Ação'!$F186)),NOT(ISNUMBER('Plano de Ação'!$G186)),'Plano de Ação'!$J186="Cancelada"),0,IF(AND('Plano de Ação'!$F186&lt;=EOMONTH(DATE(ano_ref,6,1),0),'Plano de Ação'!$G186&gt;=DATE(ano_ref,6,1)),1,0))</f>
      </c>
      <c r="K187" s="41">
        <f>IF(OR(NOT('Plano de Ação'!$B186&lt;&gt;""),NOT(ISNUMBER('Plano de Ação'!$F186)),NOT(ISNUMBER('Plano de Ação'!$G186)),'Plano de Ação'!$J186="Cancelada"),0,IF(AND('Plano de Ação'!$F186&lt;=EOMONTH(DATE(ano_ref,7,1),0),'Plano de Ação'!$G186&gt;=DATE(ano_ref,7,1)),1,0))</f>
      </c>
      <c r="L187" s="41">
        <f>IF(OR(NOT('Plano de Ação'!$B186&lt;&gt;""),NOT(ISNUMBER('Plano de Ação'!$F186)),NOT(ISNUMBER('Plano de Ação'!$G186)),'Plano de Ação'!$J186="Cancelada"),0,IF(AND('Plano de Ação'!$F186&lt;=EOMONTH(DATE(ano_ref,8,1),0),'Plano de Ação'!$G186&gt;=DATE(ano_ref,8,1)),1,0))</f>
      </c>
      <c r="M187" s="41">
        <f>IF(OR(NOT('Plano de Ação'!$B186&lt;&gt;""),NOT(ISNUMBER('Plano de Ação'!$F186)),NOT(ISNUMBER('Plano de Ação'!$G186)),'Plano de Ação'!$J186="Cancelada"),0,IF(AND('Plano de Ação'!$F186&lt;=EOMONTH(DATE(ano_ref,9,1),0),'Plano de Ação'!$G186&gt;=DATE(ano_ref,9,1)),1,0))</f>
      </c>
      <c r="N187" s="41">
        <f>IF(OR(NOT('Plano de Ação'!$B186&lt;&gt;""),NOT(ISNUMBER('Plano de Ação'!$F186)),NOT(ISNUMBER('Plano de Ação'!$G186)),'Plano de Ação'!$J186="Cancelada"),0,IF(AND('Plano de Ação'!$F186&lt;=EOMONTH(DATE(ano_ref,10,1),0),'Plano de Ação'!$G186&gt;=DATE(ano_ref,10,1)),1,0))</f>
      </c>
      <c r="O187" s="41">
        <f>IF(OR(NOT('Plano de Ação'!$B186&lt;&gt;""),NOT(ISNUMBER('Plano de Ação'!$F186)),NOT(ISNUMBER('Plano de Ação'!$G186)),'Plano de Ação'!$J186="Cancelada"),0,IF(AND('Plano de Ação'!$F186&lt;=EOMONTH(DATE(ano_ref,11,1),0),'Plano de Ação'!$G186&gt;=DATE(ano_ref,11,1)),1,0))</f>
      </c>
      <c r="P187" s="41">
        <f>IF(OR(NOT('Plano de Ação'!$B186&lt;&gt;""),NOT(ISNUMBER('Plano de Ação'!$F186)),NOT(ISNUMBER('Plano de Ação'!$G186)),'Plano de Ação'!$J186="Cancelada"),0,IF(AND('Plano de Ação'!$F186&lt;=EOMONTH(DATE(ano_ref,12,1),0),'Plano de Ação'!$G186&gt;=DATE(ano_ref,12,1)),1,0))</f>
      </c>
    </row>
    <row r="188" spans="1:16" x14ac:dyDescent="0.25">
      <c r="A188" s="40">
        <f>IF('Plano de Ação'!$B187&lt;&gt;"",'Plano de Ação'!A187&amp;"","")</f>
      </c>
      <c r="B188" s="25">
        <f>IF('Plano de Ação'!$B187&lt;&gt;"",'Plano de Ação'!B187,"")</f>
      </c>
      <c r="C188" s="25">
        <f>IF('Plano de Ação'!$B187&lt;&gt;"",'Plano de Ação'!E187&amp;"","")</f>
      </c>
      <c r="D188" s="40">
        <f>IF('Plano de Ação'!$B187&lt;&gt;"",'Plano de Ação'!L187,"")</f>
      </c>
      <c r="E188" s="41">
        <f>IF(OR(NOT('Plano de Ação'!$B187&lt;&gt;""),NOT(ISNUMBER('Plano de Ação'!$F187)),NOT(ISNUMBER('Plano de Ação'!$G187)),'Plano de Ação'!$J187="Cancelada"),0,IF(AND('Plano de Ação'!$F187&lt;=EOMONTH(DATE(ano_ref,1,1),0),'Plano de Ação'!$G187&gt;=DATE(ano_ref,1,1)),1,0))</f>
      </c>
      <c r="F188" s="41">
        <f>IF(OR(NOT('Plano de Ação'!$B187&lt;&gt;""),NOT(ISNUMBER('Plano de Ação'!$F187)),NOT(ISNUMBER('Plano de Ação'!$G187)),'Plano de Ação'!$J187="Cancelada"),0,IF(AND('Plano de Ação'!$F187&lt;=EOMONTH(DATE(ano_ref,2,1),0),'Plano de Ação'!$G187&gt;=DATE(ano_ref,2,1)),1,0))</f>
      </c>
      <c r="G188" s="41">
        <f>IF(OR(NOT('Plano de Ação'!$B187&lt;&gt;""),NOT(ISNUMBER('Plano de Ação'!$F187)),NOT(ISNUMBER('Plano de Ação'!$G187)),'Plano de Ação'!$J187="Cancelada"),0,IF(AND('Plano de Ação'!$F187&lt;=EOMONTH(DATE(ano_ref,3,1),0),'Plano de Ação'!$G187&gt;=DATE(ano_ref,3,1)),1,0))</f>
      </c>
      <c r="H188" s="41">
        <f>IF(OR(NOT('Plano de Ação'!$B187&lt;&gt;""),NOT(ISNUMBER('Plano de Ação'!$F187)),NOT(ISNUMBER('Plano de Ação'!$G187)),'Plano de Ação'!$J187="Cancelada"),0,IF(AND('Plano de Ação'!$F187&lt;=EOMONTH(DATE(ano_ref,4,1),0),'Plano de Ação'!$G187&gt;=DATE(ano_ref,4,1)),1,0))</f>
      </c>
      <c r="I188" s="41">
        <f>IF(OR(NOT('Plano de Ação'!$B187&lt;&gt;""),NOT(ISNUMBER('Plano de Ação'!$F187)),NOT(ISNUMBER('Plano de Ação'!$G187)),'Plano de Ação'!$J187="Cancelada"),0,IF(AND('Plano de Ação'!$F187&lt;=EOMONTH(DATE(ano_ref,5,1),0),'Plano de Ação'!$G187&gt;=DATE(ano_ref,5,1)),1,0))</f>
      </c>
      <c r="J188" s="41">
        <f>IF(OR(NOT('Plano de Ação'!$B187&lt;&gt;""),NOT(ISNUMBER('Plano de Ação'!$F187)),NOT(ISNUMBER('Plano de Ação'!$G187)),'Plano de Ação'!$J187="Cancelada"),0,IF(AND('Plano de Ação'!$F187&lt;=EOMONTH(DATE(ano_ref,6,1),0),'Plano de Ação'!$G187&gt;=DATE(ano_ref,6,1)),1,0))</f>
      </c>
      <c r="K188" s="41">
        <f>IF(OR(NOT('Plano de Ação'!$B187&lt;&gt;""),NOT(ISNUMBER('Plano de Ação'!$F187)),NOT(ISNUMBER('Plano de Ação'!$G187)),'Plano de Ação'!$J187="Cancelada"),0,IF(AND('Plano de Ação'!$F187&lt;=EOMONTH(DATE(ano_ref,7,1),0),'Plano de Ação'!$G187&gt;=DATE(ano_ref,7,1)),1,0))</f>
      </c>
      <c r="L188" s="41">
        <f>IF(OR(NOT('Plano de Ação'!$B187&lt;&gt;""),NOT(ISNUMBER('Plano de Ação'!$F187)),NOT(ISNUMBER('Plano de Ação'!$G187)),'Plano de Ação'!$J187="Cancelada"),0,IF(AND('Plano de Ação'!$F187&lt;=EOMONTH(DATE(ano_ref,8,1),0),'Plano de Ação'!$G187&gt;=DATE(ano_ref,8,1)),1,0))</f>
      </c>
      <c r="M188" s="41">
        <f>IF(OR(NOT('Plano de Ação'!$B187&lt;&gt;""),NOT(ISNUMBER('Plano de Ação'!$F187)),NOT(ISNUMBER('Plano de Ação'!$G187)),'Plano de Ação'!$J187="Cancelada"),0,IF(AND('Plano de Ação'!$F187&lt;=EOMONTH(DATE(ano_ref,9,1),0),'Plano de Ação'!$G187&gt;=DATE(ano_ref,9,1)),1,0))</f>
      </c>
      <c r="N188" s="41">
        <f>IF(OR(NOT('Plano de Ação'!$B187&lt;&gt;""),NOT(ISNUMBER('Plano de Ação'!$F187)),NOT(ISNUMBER('Plano de Ação'!$G187)),'Plano de Ação'!$J187="Cancelada"),0,IF(AND('Plano de Ação'!$F187&lt;=EOMONTH(DATE(ano_ref,10,1),0),'Plano de Ação'!$G187&gt;=DATE(ano_ref,10,1)),1,0))</f>
      </c>
      <c r="O188" s="41">
        <f>IF(OR(NOT('Plano de Ação'!$B187&lt;&gt;""),NOT(ISNUMBER('Plano de Ação'!$F187)),NOT(ISNUMBER('Plano de Ação'!$G187)),'Plano de Ação'!$J187="Cancelada"),0,IF(AND('Plano de Ação'!$F187&lt;=EOMONTH(DATE(ano_ref,11,1),0),'Plano de Ação'!$G187&gt;=DATE(ano_ref,11,1)),1,0))</f>
      </c>
      <c r="P188" s="41">
        <f>IF(OR(NOT('Plano de Ação'!$B187&lt;&gt;""),NOT(ISNUMBER('Plano de Ação'!$F187)),NOT(ISNUMBER('Plano de Ação'!$G187)),'Plano de Ação'!$J187="Cancelada"),0,IF(AND('Plano de Ação'!$F187&lt;=EOMONTH(DATE(ano_ref,12,1),0),'Plano de Ação'!$G187&gt;=DATE(ano_ref,12,1)),1,0))</f>
      </c>
    </row>
    <row r="189" spans="1:16" x14ac:dyDescent="0.25">
      <c r="A189" s="40">
        <f>IF('Plano de Ação'!$B188&lt;&gt;"",'Plano de Ação'!A188&amp;"","")</f>
      </c>
      <c r="B189" s="25">
        <f>IF('Plano de Ação'!$B188&lt;&gt;"",'Plano de Ação'!B188,"")</f>
      </c>
      <c r="C189" s="25">
        <f>IF('Plano de Ação'!$B188&lt;&gt;"",'Plano de Ação'!E188&amp;"","")</f>
      </c>
      <c r="D189" s="40">
        <f>IF('Plano de Ação'!$B188&lt;&gt;"",'Plano de Ação'!L188,"")</f>
      </c>
      <c r="E189" s="41">
        <f>IF(OR(NOT('Plano de Ação'!$B188&lt;&gt;""),NOT(ISNUMBER('Plano de Ação'!$F188)),NOT(ISNUMBER('Plano de Ação'!$G188)),'Plano de Ação'!$J188="Cancelada"),0,IF(AND('Plano de Ação'!$F188&lt;=EOMONTH(DATE(ano_ref,1,1),0),'Plano de Ação'!$G188&gt;=DATE(ano_ref,1,1)),1,0))</f>
      </c>
      <c r="F189" s="41">
        <f>IF(OR(NOT('Plano de Ação'!$B188&lt;&gt;""),NOT(ISNUMBER('Plano de Ação'!$F188)),NOT(ISNUMBER('Plano de Ação'!$G188)),'Plano de Ação'!$J188="Cancelada"),0,IF(AND('Plano de Ação'!$F188&lt;=EOMONTH(DATE(ano_ref,2,1),0),'Plano de Ação'!$G188&gt;=DATE(ano_ref,2,1)),1,0))</f>
      </c>
      <c r="G189" s="41">
        <f>IF(OR(NOT('Plano de Ação'!$B188&lt;&gt;""),NOT(ISNUMBER('Plano de Ação'!$F188)),NOT(ISNUMBER('Plano de Ação'!$G188)),'Plano de Ação'!$J188="Cancelada"),0,IF(AND('Plano de Ação'!$F188&lt;=EOMONTH(DATE(ano_ref,3,1),0),'Plano de Ação'!$G188&gt;=DATE(ano_ref,3,1)),1,0))</f>
      </c>
      <c r="H189" s="41">
        <f>IF(OR(NOT('Plano de Ação'!$B188&lt;&gt;""),NOT(ISNUMBER('Plano de Ação'!$F188)),NOT(ISNUMBER('Plano de Ação'!$G188)),'Plano de Ação'!$J188="Cancelada"),0,IF(AND('Plano de Ação'!$F188&lt;=EOMONTH(DATE(ano_ref,4,1),0),'Plano de Ação'!$G188&gt;=DATE(ano_ref,4,1)),1,0))</f>
      </c>
      <c r="I189" s="41">
        <f>IF(OR(NOT('Plano de Ação'!$B188&lt;&gt;""),NOT(ISNUMBER('Plano de Ação'!$F188)),NOT(ISNUMBER('Plano de Ação'!$G188)),'Plano de Ação'!$J188="Cancelada"),0,IF(AND('Plano de Ação'!$F188&lt;=EOMONTH(DATE(ano_ref,5,1),0),'Plano de Ação'!$G188&gt;=DATE(ano_ref,5,1)),1,0))</f>
      </c>
      <c r="J189" s="41">
        <f>IF(OR(NOT('Plano de Ação'!$B188&lt;&gt;""),NOT(ISNUMBER('Plano de Ação'!$F188)),NOT(ISNUMBER('Plano de Ação'!$G188)),'Plano de Ação'!$J188="Cancelada"),0,IF(AND('Plano de Ação'!$F188&lt;=EOMONTH(DATE(ano_ref,6,1),0),'Plano de Ação'!$G188&gt;=DATE(ano_ref,6,1)),1,0))</f>
      </c>
      <c r="K189" s="41">
        <f>IF(OR(NOT('Plano de Ação'!$B188&lt;&gt;""),NOT(ISNUMBER('Plano de Ação'!$F188)),NOT(ISNUMBER('Plano de Ação'!$G188)),'Plano de Ação'!$J188="Cancelada"),0,IF(AND('Plano de Ação'!$F188&lt;=EOMONTH(DATE(ano_ref,7,1),0),'Plano de Ação'!$G188&gt;=DATE(ano_ref,7,1)),1,0))</f>
      </c>
      <c r="L189" s="41">
        <f>IF(OR(NOT('Plano de Ação'!$B188&lt;&gt;""),NOT(ISNUMBER('Plano de Ação'!$F188)),NOT(ISNUMBER('Plano de Ação'!$G188)),'Plano de Ação'!$J188="Cancelada"),0,IF(AND('Plano de Ação'!$F188&lt;=EOMONTH(DATE(ano_ref,8,1),0),'Plano de Ação'!$G188&gt;=DATE(ano_ref,8,1)),1,0))</f>
      </c>
      <c r="M189" s="41">
        <f>IF(OR(NOT('Plano de Ação'!$B188&lt;&gt;""),NOT(ISNUMBER('Plano de Ação'!$F188)),NOT(ISNUMBER('Plano de Ação'!$G188)),'Plano de Ação'!$J188="Cancelada"),0,IF(AND('Plano de Ação'!$F188&lt;=EOMONTH(DATE(ano_ref,9,1),0),'Plano de Ação'!$G188&gt;=DATE(ano_ref,9,1)),1,0))</f>
      </c>
      <c r="N189" s="41">
        <f>IF(OR(NOT('Plano de Ação'!$B188&lt;&gt;""),NOT(ISNUMBER('Plano de Ação'!$F188)),NOT(ISNUMBER('Plano de Ação'!$G188)),'Plano de Ação'!$J188="Cancelada"),0,IF(AND('Plano de Ação'!$F188&lt;=EOMONTH(DATE(ano_ref,10,1),0),'Plano de Ação'!$G188&gt;=DATE(ano_ref,10,1)),1,0))</f>
      </c>
      <c r="O189" s="41">
        <f>IF(OR(NOT('Plano de Ação'!$B188&lt;&gt;""),NOT(ISNUMBER('Plano de Ação'!$F188)),NOT(ISNUMBER('Plano de Ação'!$G188)),'Plano de Ação'!$J188="Cancelada"),0,IF(AND('Plano de Ação'!$F188&lt;=EOMONTH(DATE(ano_ref,11,1),0),'Plano de Ação'!$G188&gt;=DATE(ano_ref,11,1)),1,0))</f>
      </c>
      <c r="P189" s="41">
        <f>IF(OR(NOT('Plano de Ação'!$B188&lt;&gt;""),NOT(ISNUMBER('Plano de Ação'!$F188)),NOT(ISNUMBER('Plano de Ação'!$G188)),'Plano de Ação'!$J188="Cancelada"),0,IF(AND('Plano de Ação'!$F188&lt;=EOMONTH(DATE(ano_ref,12,1),0),'Plano de Ação'!$G188&gt;=DATE(ano_ref,12,1)),1,0))</f>
      </c>
    </row>
    <row r="190" spans="1:16" x14ac:dyDescent="0.25">
      <c r="A190" s="40">
        <f>IF('Plano de Ação'!$B189&lt;&gt;"",'Plano de Ação'!A189&amp;"","")</f>
      </c>
      <c r="B190" s="25">
        <f>IF('Plano de Ação'!$B189&lt;&gt;"",'Plano de Ação'!B189,"")</f>
      </c>
      <c r="C190" s="25">
        <f>IF('Plano de Ação'!$B189&lt;&gt;"",'Plano de Ação'!E189&amp;"","")</f>
      </c>
      <c r="D190" s="40">
        <f>IF('Plano de Ação'!$B189&lt;&gt;"",'Plano de Ação'!L189,"")</f>
      </c>
      <c r="E190" s="41">
        <f>IF(OR(NOT('Plano de Ação'!$B189&lt;&gt;""),NOT(ISNUMBER('Plano de Ação'!$F189)),NOT(ISNUMBER('Plano de Ação'!$G189)),'Plano de Ação'!$J189="Cancelada"),0,IF(AND('Plano de Ação'!$F189&lt;=EOMONTH(DATE(ano_ref,1,1),0),'Plano de Ação'!$G189&gt;=DATE(ano_ref,1,1)),1,0))</f>
      </c>
      <c r="F190" s="41">
        <f>IF(OR(NOT('Plano de Ação'!$B189&lt;&gt;""),NOT(ISNUMBER('Plano de Ação'!$F189)),NOT(ISNUMBER('Plano de Ação'!$G189)),'Plano de Ação'!$J189="Cancelada"),0,IF(AND('Plano de Ação'!$F189&lt;=EOMONTH(DATE(ano_ref,2,1),0),'Plano de Ação'!$G189&gt;=DATE(ano_ref,2,1)),1,0))</f>
      </c>
      <c r="G190" s="41">
        <f>IF(OR(NOT('Plano de Ação'!$B189&lt;&gt;""),NOT(ISNUMBER('Plano de Ação'!$F189)),NOT(ISNUMBER('Plano de Ação'!$G189)),'Plano de Ação'!$J189="Cancelada"),0,IF(AND('Plano de Ação'!$F189&lt;=EOMONTH(DATE(ano_ref,3,1),0),'Plano de Ação'!$G189&gt;=DATE(ano_ref,3,1)),1,0))</f>
      </c>
      <c r="H190" s="41">
        <f>IF(OR(NOT('Plano de Ação'!$B189&lt;&gt;""),NOT(ISNUMBER('Plano de Ação'!$F189)),NOT(ISNUMBER('Plano de Ação'!$G189)),'Plano de Ação'!$J189="Cancelada"),0,IF(AND('Plano de Ação'!$F189&lt;=EOMONTH(DATE(ano_ref,4,1),0),'Plano de Ação'!$G189&gt;=DATE(ano_ref,4,1)),1,0))</f>
      </c>
      <c r="I190" s="41">
        <f>IF(OR(NOT('Plano de Ação'!$B189&lt;&gt;""),NOT(ISNUMBER('Plano de Ação'!$F189)),NOT(ISNUMBER('Plano de Ação'!$G189)),'Plano de Ação'!$J189="Cancelada"),0,IF(AND('Plano de Ação'!$F189&lt;=EOMONTH(DATE(ano_ref,5,1),0),'Plano de Ação'!$G189&gt;=DATE(ano_ref,5,1)),1,0))</f>
      </c>
      <c r="J190" s="41">
        <f>IF(OR(NOT('Plano de Ação'!$B189&lt;&gt;""),NOT(ISNUMBER('Plano de Ação'!$F189)),NOT(ISNUMBER('Plano de Ação'!$G189)),'Plano de Ação'!$J189="Cancelada"),0,IF(AND('Plano de Ação'!$F189&lt;=EOMONTH(DATE(ano_ref,6,1),0),'Plano de Ação'!$G189&gt;=DATE(ano_ref,6,1)),1,0))</f>
      </c>
      <c r="K190" s="41">
        <f>IF(OR(NOT('Plano de Ação'!$B189&lt;&gt;""),NOT(ISNUMBER('Plano de Ação'!$F189)),NOT(ISNUMBER('Plano de Ação'!$G189)),'Plano de Ação'!$J189="Cancelada"),0,IF(AND('Plano de Ação'!$F189&lt;=EOMONTH(DATE(ano_ref,7,1),0),'Plano de Ação'!$G189&gt;=DATE(ano_ref,7,1)),1,0))</f>
      </c>
      <c r="L190" s="41">
        <f>IF(OR(NOT('Plano de Ação'!$B189&lt;&gt;""),NOT(ISNUMBER('Plano de Ação'!$F189)),NOT(ISNUMBER('Plano de Ação'!$G189)),'Plano de Ação'!$J189="Cancelada"),0,IF(AND('Plano de Ação'!$F189&lt;=EOMONTH(DATE(ano_ref,8,1),0),'Plano de Ação'!$G189&gt;=DATE(ano_ref,8,1)),1,0))</f>
      </c>
      <c r="M190" s="41">
        <f>IF(OR(NOT('Plano de Ação'!$B189&lt;&gt;""),NOT(ISNUMBER('Plano de Ação'!$F189)),NOT(ISNUMBER('Plano de Ação'!$G189)),'Plano de Ação'!$J189="Cancelada"),0,IF(AND('Plano de Ação'!$F189&lt;=EOMONTH(DATE(ano_ref,9,1),0),'Plano de Ação'!$G189&gt;=DATE(ano_ref,9,1)),1,0))</f>
      </c>
      <c r="N190" s="41">
        <f>IF(OR(NOT('Plano de Ação'!$B189&lt;&gt;""),NOT(ISNUMBER('Plano de Ação'!$F189)),NOT(ISNUMBER('Plano de Ação'!$G189)),'Plano de Ação'!$J189="Cancelada"),0,IF(AND('Plano de Ação'!$F189&lt;=EOMONTH(DATE(ano_ref,10,1),0),'Plano de Ação'!$G189&gt;=DATE(ano_ref,10,1)),1,0))</f>
      </c>
      <c r="O190" s="41">
        <f>IF(OR(NOT('Plano de Ação'!$B189&lt;&gt;""),NOT(ISNUMBER('Plano de Ação'!$F189)),NOT(ISNUMBER('Plano de Ação'!$G189)),'Plano de Ação'!$J189="Cancelada"),0,IF(AND('Plano de Ação'!$F189&lt;=EOMONTH(DATE(ano_ref,11,1),0),'Plano de Ação'!$G189&gt;=DATE(ano_ref,11,1)),1,0))</f>
      </c>
      <c r="P190" s="41">
        <f>IF(OR(NOT('Plano de Ação'!$B189&lt;&gt;""),NOT(ISNUMBER('Plano de Ação'!$F189)),NOT(ISNUMBER('Plano de Ação'!$G189)),'Plano de Ação'!$J189="Cancelada"),0,IF(AND('Plano de Ação'!$F189&lt;=EOMONTH(DATE(ano_ref,12,1),0),'Plano de Ação'!$G189&gt;=DATE(ano_ref,12,1)),1,0))</f>
      </c>
    </row>
    <row r="191" spans="1:16" x14ac:dyDescent="0.25">
      <c r="A191" s="40">
        <f>IF('Plano de Ação'!$B190&lt;&gt;"",'Plano de Ação'!A190&amp;"","")</f>
      </c>
      <c r="B191" s="25">
        <f>IF('Plano de Ação'!$B190&lt;&gt;"",'Plano de Ação'!B190,"")</f>
      </c>
      <c r="C191" s="25">
        <f>IF('Plano de Ação'!$B190&lt;&gt;"",'Plano de Ação'!E190&amp;"","")</f>
      </c>
      <c r="D191" s="40">
        <f>IF('Plano de Ação'!$B190&lt;&gt;"",'Plano de Ação'!L190,"")</f>
      </c>
      <c r="E191" s="41">
        <f>IF(OR(NOT('Plano de Ação'!$B190&lt;&gt;""),NOT(ISNUMBER('Plano de Ação'!$F190)),NOT(ISNUMBER('Plano de Ação'!$G190)),'Plano de Ação'!$J190="Cancelada"),0,IF(AND('Plano de Ação'!$F190&lt;=EOMONTH(DATE(ano_ref,1,1),0),'Plano de Ação'!$G190&gt;=DATE(ano_ref,1,1)),1,0))</f>
      </c>
      <c r="F191" s="41">
        <f>IF(OR(NOT('Plano de Ação'!$B190&lt;&gt;""),NOT(ISNUMBER('Plano de Ação'!$F190)),NOT(ISNUMBER('Plano de Ação'!$G190)),'Plano de Ação'!$J190="Cancelada"),0,IF(AND('Plano de Ação'!$F190&lt;=EOMONTH(DATE(ano_ref,2,1),0),'Plano de Ação'!$G190&gt;=DATE(ano_ref,2,1)),1,0))</f>
      </c>
      <c r="G191" s="41">
        <f>IF(OR(NOT('Plano de Ação'!$B190&lt;&gt;""),NOT(ISNUMBER('Plano de Ação'!$F190)),NOT(ISNUMBER('Plano de Ação'!$G190)),'Plano de Ação'!$J190="Cancelada"),0,IF(AND('Plano de Ação'!$F190&lt;=EOMONTH(DATE(ano_ref,3,1),0),'Plano de Ação'!$G190&gt;=DATE(ano_ref,3,1)),1,0))</f>
      </c>
      <c r="H191" s="41">
        <f>IF(OR(NOT('Plano de Ação'!$B190&lt;&gt;""),NOT(ISNUMBER('Plano de Ação'!$F190)),NOT(ISNUMBER('Plano de Ação'!$G190)),'Plano de Ação'!$J190="Cancelada"),0,IF(AND('Plano de Ação'!$F190&lt;=EOMONTH(DATE(ano_ref,4,1),0),'Plano de Ação'!$G190&gt;=DATE(ano_ref,4,1)),1,0))</f>
      </c>
      <c r="I191" s="41">
        <f>IF(OR(NOT('Plano de Ação'!$B190&lt;&gt;""),NOT(ISNUMBER('Plano de Ação'!$F190)),NOT(ISNUMBER('Plano de Ação'!$G190)),'Plano de Ação'!$J190="Cancelada"),0,IF(AND('Plano de Ação'!$F190&lt;=EOMONTH(DATE(ano_ref,5,1),0),'Plano de Ação'!$G190&gt;=DATE(ano_ref,5,1)),1,0))</f>
      </c>
      <c r="J191" s="41">
        <f>IF(OR(NOT('Plano de Ação'!$B190&lt;&gt;""),NOT(ISNUMBER('Plano de Ação'!$F190)),NOT(ISNUMBER('Plano de Ação'!$G190)),'Plano de Ação'!$J190="Cancelada"),0,IF(AND('Plano de Ação'!$F190&lt;=EOMONTH(DATE(ano_ref,6,1),0),'Plano de Ação'!$G190&gt;=DATE(ano_ref,6,1)),1,0))</f>
      </c>
      <c r="K191" s="41">
        <f>IF(OR(NOT('Plano de Ação'!$B190&lt;&gt;""),NOT(ISNUMBER('Plano de Ação'!$F190)),NOT(ISNUMBER('Plano de Ação'!$G190)),'Plano de Ação'!$J190="Cancelada"),0,IF(AND('Plano de Ação'!$F190&lt;=EOMONTH(DATE(ano_ref,7,1),0),'Plano de Ação'!$G190&gt;=DATE(ano_ref,7,1)),1,0))</f>
      </c>
      <c r="L191" s="41">
        <f>IF(OR(NOT('Plano de Ação'!$B190&lt;&gt;""),NOT(ISNUMBER('Plano de Ação'!$F190)),NOT(ISNUMBER('Plano de Ação'!$G190)),'Plano de Ação'!$J190="Cancelada"),0,IF(AND('Plano de Ação'!$F190&lt;=EOMONTH(DATE(ano_ref,8,1),0),'Plano de Ação'!$G190&gt;=DATE(ano_ref,8,1)),1,0))</f>
      </c>
      <c r="M191" s="41">
        <f>IF(OR(NOT('Plano de Ação'!$B190&lt;&gt;""),NOT(ISNUMBER('Plano de Ação'!$F190)),NOT(ISNUMBER('Plano de Ação'!$G190)),'Plano de Ação'!$J190="Cancelada"),0,IF(AND('Plano de Ação'!$F190&lt;=EOMONTH(DATE(ano_ref,9,1),0),'Plano de Ação'!$G190&gt;=DATE(ano_ref,9,1)),1,0))</f>
      </c>
      <c r="N191" s="41">
        <f>IF(OR(NOT('Plano de Ação'!$B190&lt;&gt;""),NOT(ISNUMBER('Plano de Ação'!$F190)),NOT(ISNUMBER('Plano de Ação'!$G190)),'Plano de Ação'!$J190="Cancelada"),0,IF(AND('Plano de Ação'!$F190&lt;=EOMONTH(DATE(ano_ref,10,1),0),'Plano de Ação'!$G190&gt;=DATE(ano_ref,10,1)),1,0))</f>
      </c>
      <c r="O191" s="41">
        <f>IF(OR(NOT('Plano de Ação'!$B190&lt;&gt;""),NOT(ISNUMBER('Plano de Ação'!$F190)),NOT(ISNUMBER('Plano de Ação'!$G190)),'Plano de Ação'!$J190="Cancelada"),0,IF(AND('Plano de Ação'!$F190&lt;=EOMONTH(DATE(ano_ref,11,1),0),'Plano de Ação'!$G190&gt;=DATE(ano_ref,11,1)),1,0))</f>
      </c>
      <c r="P191" s="41">
        <f>IF(OR(NOT('Plano de Ação'!$B190&lt;&gt;""),NOT(ISNUMBER('Plano de Ação'!$F190)),NOT(ISNUMBER('Plano de Ação'!$G190)),'Plano de Ação'!$J190="Cancelada"),0,IF(AND('Plano de Ação'!$F190&lt;=EOMONTH(DATE(ano_ref,12,1),0),'Plano de Ação'!$G190&gt;=DATE(ano_ref,12,1)),1,0))</f>
      </c>
    </row>
    <row r="192" spans="1:16" x14ac:dyDescent="0.25">
      <c r="A192" s="40">
        <f>IF('Plano de Ação'!$B191&lt;&gt;"",'Plano de Ação'!A191&amp;"","")</f>
      </c>
      <c r="B192" s="25">
        <f>IF('Plano de Ação'!$B191&lt;&gt;"",'Plano de Ação'!B191,"")</f>
      </c>
      <c r="C192" s="25">
        <f>IF('Plano de Ação'!$B191&lt;&gt;"",'Plano de Ação'!E191&amp;"","")</f>
      </c>
      <c r="D192" s="40">
        <f>IF('Plano de Ação'!$B191&lt;&gt;"",'Plano de Ação'!L191,"")</f>
      </c>
      <c r="E192" s="41">
        <f>IF(OR(NOT('Plano de Ação'!$B191&lt;&gt;""),NOT(ISNUMBER('Plano de Ação'!$F191)),NOT(ISNUMBER('Plano de Ação'!$G191)),'Plano de Ação'!$J191="Cancelada"),0,IF(AND('Plano de Ação'!$F191&lt;=EOMONTH(DATE(ano_ref,1,1),0),'Plano de Ação'!$G191&gt;=DATE(ano_ref,1,1)),1,0))</f>
      </c>
      <c r="F192" s="41">
        <f>IF(OR(NOT('Plano de Ação'!$B191&lt;&gt;""),NOT(ISNUMBER('Plano de Ação'!$F191)),NOT(ISNUMBER('Plano de Ação'!$G191)),'Plano de Ação'!$J191="Cancelada"),0,IF(AND('Plano de Ação'!$F191&lt;=EOMONTH(DATE(ano_ref,2,1),0),'Plano de Ação'!$G191&gt;=DATE(ano_ref,2,1)),1,0))</f>
      </c>
      <c r="G192" s="41">
        <f>IF(OR(NOT('Plano de Ação'!$B191&lt;&gt;""),NOT(ISNUMBER('Plano de Ação'!$F191)),NOT(ISNUMBER('Plano de Ação'!$G191)),'Plano de Ação'!$J191="Cancelada"),0,IF(AND('Plano de Ação'!$F191&lt;=EOMONTH(DATE(ano_ref,3,1),0),'Plano de Ação'!$G191&gt;=DATE(ano_ref,3,1)),1,0))</f>
      </c>
      <c r="H192" s="41">
        <f>IF(OR(NOT('Plano de Ação'!$B191&lt;&gt;""),NOT(ISNUMBER('Plano de Ação'!$F191)),NOT(ISNUMBER('Plano de Ação'!$G191)),'Plano de Ação'!$J191="Cancelada"),0,IF(AND('Plano de Ação'!$F191&lt;=EOMONTH(DATE(ano_ref,4,1),0),'Plano de Ação'!$G191&gt;=DATE(ano_ref,4,1)),1,0))</f>
      </c>
      <c r="I192" s="41">
        <f>IF(OR(NOT('Plano de Ação'!$B191&lt;&gt;""),NOT(ISNUMBER('Plano de Ação'!$F191)),NOT(ISNUMBER('Plano de Ação'!$G191)),'Plano de Ação'!$J191="Cancelada"),0,IF(AND('Plano de Ação'!$F191&lt;=EOMONTH(DATE(ano_ref,5,1),0),'Plano de Ação'!$G191&gt;=DATE(ano_ref,5,1)),1,0))</f>
      </c>
      <c r="J192" s="41">
        <f>IF(OR(NOT('Plano de Ação'!$B191&lt;&gt;""),NOT(ISNUMBER('Plano de Ação'!$F191)),NOT(ISNUMBER('Plano de Ação'!$G191)),'Plano de Ação'!$J191="Cancelada"),0,IF(AND('Plano de Ação'!$F191&lt;=EOMONTH(DATE(ano_ref,6,1),0),'Plano de Ação'!$G191&gt;=DATE(ano_ref,6,1)),1,0))</f>
      </c>
      <c r="K192" s="41">
        <f>IF(OR(NOT('Plano de Ação'!$B191&lt;&gt;""),NOT(ISNUMBER('Plano de Ação'!$F191)),NOT(ISNUMBER('Plano de Ação'!$G191)),'Plano de Ação'!$J191="Cancelada"),0,IF(AND('Plano de Ação'!$F191&lt;=EOMONTH(DATE(ano_ref,7,1),0),'Plano de Ação'!$G191&gt;=DATE(ano_ref,7,1)),1,0))</f>
      </c>
      <c r="L192" s="41">
        <f>IF(OR(NOT('Plano de Ação'!$B191&lt;&gt;""),NOT(ISNUMBER('Plano de Ação'!$F191)),NOT(ISNUMBER('Plano de Ação'!$G191)),'Plano de Ação'!$J191="Cancelada"),0,IF(AND('Plano de Ação'!$F191&lt;=EOMONTH(DATE(ano_ref,8,1),0),'Plano de Ação'!$G191&gt;=DATE(ano_ref,8,1)),1,0))</f>
      </c>
      <c r="M192" s="41">
        <f>IF(OR(NOT('Plano de Ação'!$B191&lt;&gt;""),NOT(ISNUMBER('Plano de Ação'!$F191)),NOT(ISNUMBER('Plano de Ação'!$G191)),'Plano de Ação'!$J191="Cancelada"),0,IF(AND('Plano de Ação'!$F191&lt;=EOMONTH(DATE(ano_ref,9,1),0),'Plano de Ação'!$G191&gt;=DATE(ano_ref,9,1)),1,0))</f>
      </c>
      <c r="N192" s="41">
        <f>IF(OR(NOT('Plano de Ação'!$B191&lt;&gt;""),NOT(ISNUMBER('Plano de Ação'!$F191)),NOT(ISNUMBER('Plano de Ação'!$G191)),'Plano de Ação'!$J191="Cancelada"),0,IF(AND('Plano de Ação'!$F191&lt;=EOMONTH(DATE(ano_ref,10,1),0),'Plano de Ação'!$G191&gt;=DATE(ano_ref,10,1)),1,0))</f>
      </c>
      <c r="O192" s="41">
        <f>IF(OR(NOT('Plano de Ação'!$B191&lt;&gt;""),NOT(ISNUMBER('Plano de Ação'!$F191)),NOT(ISNUMBER('Plano de Ação'!$G191)),'Plano de Ação'!$J191="Cancelada"),0,IF(AND('Plano de Ação'!$F191&lt;=EOMONTH(DATE(ano_ref,11,1),0),'Plano de Ação'!$G191&gt;=DATE(ano_ref,11,1)),1,0))</f>
      </c>
      <c r="P192" s="41">
        <f>IF(OR(NOT('Plano de Ação'!$B191&lt;&gt;""),NOT(ISNUMBER('Plano de Ação'!$F191)),NOT(ISNUMBER('Plano de Ação'!$G191)),'Plano de Ação'!$J191="Cancelada"),0,IF(AND('Plano de Ação'!$F191&lt;=EOMONTH(DATE(ano_ref,12,1),0),'Plano de Ação'!$G191&gt;=DATE(ano_ref,12,1)),1,0))</f>
      </c>
    </row>
    <row r="193" spans="1:16" x14ac:dyDescent="0.25">
      <c r="A193" s="40">
        <f>IF('Plano de Ação'!$B192&lt;&gt;"",'Plano de Ação'!A192&amp;"","")</f>
      </c>
      <c r="B193" s="25">
        <f>IF('Plano de Ação'!$B192&lt;&gt;"",'Plano de Ação'!B192,"")</f>
      </c>
      <c r="C193" s="25">
        <f>IF('Plano de Ação'!$B192&lt;&gt;"",'Plano de Ação'!E192&amp;"","")</f>
      </c>
      <c r="D193" s="40">
        <f>IF('Plano de Ação'!$B192&lt;&gt;"",'Plano de Ação'!L192,"")</f>
      </c>
      <c r="E193" s="41">
        <f>IF(OR(NOT('Plano de Ação'!$B192&lt;&gt;""),NOT(ISNUMBER('Plano de Ação'!$F192)),NOT(ISNUMBER('Plano de Ação'!$G192)),'Plano de Ação'!$J192="Cancelada"),0,IF(AND('Plano de Ação'!$F192&lt;=EOMONTH(DATE(ano_ref,1,1),0),'Plano de Ação'!$G192&gt;=DATE(ano_ref,1,1)),1,0))</f>
      </c>
      <c r="F193" s="41">
        <f>IF(OR(NOT('Plano de Ação'!$B192&lt;&gt;""),NOT(ISNUMBER('Plano de Ação'!$F192)),NOT(ISNUMBER('Plano de Ação'!$G192)),'Plano de Ação'!$J192="Cancelada"),0,IF(AND('Plano de Ação'!$F192&lt;=EOMONTH(DATE(ano_ref,2,1),0),'Plano de Ação'!$G192&gt;=DATE(ano_ref,2,1)),1,0))</f>
      </c>
      <c r="G193" s="41">
        <f>IF(OR(NOT('Plano de Ação'!$B192&lt;&gt;""),NOT(ISNUMBER('Plano de Ação'!$F192)),NOT(ISNUMBER('Plano de Ação'!$G192)),'Plano de Ação'!$J192="Cancelada"),0,IF(AND('Plano de Ação'!$F192&lt;=EOMONTH(DATE(ano_ref,3,1),0),'Plano de Ação'!$G192&gt;=DATE(ano_ref,3,1)),1,0))</f>
      </c>
      <c r="H193" s="41">
        <f>IF(OR(NOT('Plano de Ação'!$B192&lt;&gt;""),NOT(ISNUMBER('Plano de Ação'!$F192)),NOT(ISNUMBER('Plano de Ação'!$G192)),'Plano de Ação'!$J192="Cancelada"),0,IF(AND('Plano de Ação'!$F192&lt;=EOMONTH(DATE(ano_ref,4,1),0),'Plano de Ação'!$G192&gt;=DATE(ano_ref,4,1)),1,0))</f>
      </c>
      <c r="I193" s="41">
        <f>IF(OR(NOT('Plano de Ação'!$B192&lt;&gt;""),NOT(ISNUMBER('Plano de Ação'!$F192)),NOT(ISNUMBER('Plano de Ação'!$G192)),'Plano de Ação'!$J192="Cancelada"),0,IF(AND('Plano de Ação'!$F192&lt;=EOMONTH(DATE(ano_ref,5,1),0),'Plano de Ação'!$G192&gt;=DATE(ano_ref,5,1)),1,0))</f>
      </c>
      <c r="J193" s="41">
        <f>IF(OR(NOT('Plano de Ação'!$B192&lt;&gt;""),NOT(ISNUMBER('Plano de Ação'!$F192)),NOT(ISNUMBER('Plano de Ação'!$G192)),'Plano de Ação'!$J192="Cancelada"),0,IF(AND('Plano de Ação'!$F192&lt;=EOMONTH(DATE(ano_ref,6,1),0),'Plano de Ação'!$G192&gt;=DATE(ano_ref,6,1)),1,0))</f>
      </c>
      <c r="K193" s="41">
        <f>IF(OR(NOT('Plano de Ação'!$B192&lt;&gt;""),NOT(ISNUMBER('Plano de Ação'!$F192)),NOT(ISNUMBER('Plano de Ação'!$G192)),'Plano de Ação'!$J192="Cancelada"),0,IF(AND('Plano de Ação'!$F192&lt;=EOMONTH(DATE(ano_ref,7,1),0),'Plano de Ação'!$G192&gt;=DATE(ano_ref,7,1)),1,0))</f>
      </c>
      <c r="L193" s="41">
        <f>IF(OR(NOT('Plano de Ação'!$B192&lt;&gt;""),NOT(ISNUMBER('Plano de Ação'!$F192)),NOT(ISNUMBER('Plano de Ação'!$G192)),'Plano de Ação'!$J192="Cancelada"),0,IF(AND('Plano de Ação'!$F192&lt;=EOMONTH(DATE(ano_ref,8,1),0),'Plano de Ação'!$G192&gt;=DATE(ano_ref,8,1)),1,0))</f>
      </c>
      <c r="M193" s="41">
        <f>IF(OR(NOT('Plano de Ação'!$B192&lt;&gt;""),NOT(ISNUMBER('Plano de Ação'!$F192)),NOT(ISNUMBER('Plano de Ação'!$G192)),'Plano de Ação'!$J192="Cancelada"),0,IF(AND('Plano de Ação'!$F192&lt;=EOMONTH(DATE(ano_ref,9,1),0),'Plano de Ação'!$G192&gt;=DATE(ano_ref,9,1)),1,0))</f>
      </c>
      <c r="N193" s="41">
        <f>IF(OR(NOT('Plano de Ação'!$B192&lt;&gt;""),NOT(ISNUMBER('Plano de Ação'!$F192)),NOT(ISNUMBER('Plano de Ação'!$G192)),'Plano de Ação'!$J192="Cancelada"),0,IF(AND('Plano de Ação'!$F192&lt;=EOMONTH(DATE(ano_ref,10,1),0),'Plano de Ação'!$G192&gt;=DATE(ano_ref,10,1)),1,0))</f>
      </c>
      <c r="O193" s="41">
        <f>IF(OR(NOT('Plano de Ação'!$B192&lt;&gt;""),NOT(ISNUMBER('Plano de Ação'!$F192)),NOT(ISNUMBER('Plano de Ação'!$G192)),'Plano de Ação'!$J192="Cancelada"),0,IF(AND('Plano de Ação'!$F192&lt;=EOMONTH(DATE(ano_ref,11,1),0),'Plano de Ação'!$G192&gt;=DATE(ano_ref,11,1)),1,0))</f>
      </c>
      <c r="P193" s="41">
        <f>IF(OR(NOT('Plano de Ação'!$B192&lt;&gt;""),NOT(ISNUMBER('Plano de Ação'!$F192)),NOT(ISNUMBER('Plano de Ação'!$G192)),'Plano de Ação'!$J192="Cancelada"),0,IF(AND('Plano de Ação'!$F192&lt;=EOMONTH(DATE(ano_ref,12,1),0),'Plano de Ação'!$G192&gt;=DATE(ano_ref,12,1)),1,0))</f>
      </c>
    </row>
    <row r="194" spans="1:16" x14ac:dyDescent="0.25">
      <c r="A194" s="40">
        <f>IF('Plano de Ação'!$B193&lt;&gt;"",'Plano de Ação'!A193&amp;"","")</f>
      </c>
      <c r="B194" s="25">
        <f>IF('Plano de Ação'!$B193&lt;&gt;"",'Plano de Ação'!B193,"")</f>
      </c>
      <c r="C194" s="25">
        <f>IF('Plano de Ação'!$B193&lt;&gt;"",'Plano de Ação'!E193&amp;"","")</f>
      </c>
      <c r="D194" s="40">
        <f>IF('Plano de Ação'!$B193&lt;&gt;"",'Plano de Ação'!L193,"")</f>
      </c>
      <c r="E194" s="41">
        <f>IF(OR(NOT('Plano de Ação'!$B193&lt;&gt;""),NOT(ISNUMBER('Plano de Ação'!$F193)),NOT(ISNUMBER('Plano de Ação'!$G193)),'Plano de Ação'!$J193="Cancelada"),0,IF(AND('Plano de Ação'!$F193&lt;=EOMONTH(DATE(ano_ref,1,1),0),'Plano de Ação'!$G193&gt;=DATE(ano_ref,1,1)),1,0))</f>
      </c>
      <c r="F194" s="41">
        <f>IF(OR(NOT('Plano de Ação'!$B193&lt;&gt;""),NOT(ISNUMBER('Plano de Ação'!$F193)),NOT(ISNUMBER('Plano de Ação'!$G193)),'Plano de Ação'!$J193="Cancelada"),0,IF(AND('Plano de Ação'!$F193&lt;=EOMONTH(DATE(ano_ref,2,1),0),'Plano de Ação'!$G193&gt;=DATE(ano_ref,2,1)),1,0))</f>
      </c>
      <c r="G194" s="41">
        <f>IF(OR(NOT('Plano de Ação'!$B193&lt;&gt;""),NOT(ISNUMBER('Plano de Ação'!$F193)),NOT(ISNUMBER('Plano de Ação'!$G193)),'Plano de Ação'!$J193="Cancelada"),0,IF(AND('Plano de Ação'!$F193&lt;=EOMONTH(DATE(ano_ref,3,1),0),'Plano de Ação'!$G193&gt;=DATE(ano_ref,3,1)),1,0))</f>
      </c>
      <c r="H194" s="41">
        <f>IF(OR(NOT('Plano de Ação'!$B193&lt;&gt;""),NOT(ISNUMBER('Plano de Ação'!$F193)),NOT(ISNUMBER('Plano de Ação'!$G193)),'Plano de Ação'!$J193="Cancelada"),0,IF(AND('Plano de Ação'!$F193&lt;=EOMONTH(DATE(ano_ref,4,1),0),'Plano de Ação'!$G193&gt;=DATE(ano_ref,4,1)),1,0))</f>
      </c>
      <c r="I194" s="41">
        <f>IF(OR(NOT('Plano de Ação'!$B193&lt;&gt;""),NOT(ISNUMBER('Plano de Ação'!$F193)),NOT(ISNUMBER('Plano de Ação'!$G193)),'Plano de Ação'!$J193="Cancelada"),0,IF(AND('Plano de Ação'!$F193&lt;=EOMONTH(DATE(ano_ref,5,1),0),'Plano de Ação'!$G193&gt;=DATE(ano_ref,5,1)),1,0))</f>
      </c>
      <c r="J194" s="41">
        <f>IF(OR(NOT('Plano de Ação'!$B193&lt;&gt;""),NOT(ISNUMBER('Plano de Ação'!$F193)),NOT(ISNUMBER('Plano de Ação'!$G193)),'Plano de Ação'!$J193="Cancelada"),0,IF(AND('Plano de Ação'!$F193&lt;=EOMONTH(DATE(ano_ref,6,1),0),'Plano de Ação'!$G193&gt;=DATE(ano_ref,6,1)),1,0))</f>
      </c>
      <c r="K194" s="41">
        <f>IF(OR(NOT('Plano de Ação'!$B193&lt;&gt;""),NOT(ISNUMBER('Plano de Ação'!$F193)),NOT(ISNUMBER('Plano de Ação'!$G193)),'Plano de Ação'!$J193="Cancelada"),0,IF(AND('Plano de Ação'!$F193&lt;=EOMONTH(DATE(ano_ref,7,1),0),'Plano de Ação'!$G193&gt;=DATE(ano_ref,7,1)),1,0))</f>
      </c>
      <c r="L194" s="41">
        <f>IF(OR(NOT('Plano de Ação'!$B193&lt;&gt;""),NOT(ISNUMBER('Plano de Ação'!$F193)),NOT(ISNUMBER('Plano de Ação'!$G193)),'Plano de Ação'!$J193="Cancelada"),0,IF(AND('Plano de Ação'!$F193&lt;=EOMONTH(DATE(ano_ref,8,1),0),'Plano de Ação'!$G193&gt;=DATE(ano_ref,8,1)),1,0))</f>
      </c>
      <c r="M194" s="41">
        <f>IF(OR(NOT('Plano de Ação'!$B193&lt;&gt;""),NOT(ISNUMBER('Plano de Ação'!$F193)),NOT(ISNUMBER('Plano de Ação'!$G193)),'Plano de Ação'!$J193="Cancelada"),0,IF(AND('Plano de Ação'!$F193&lt;=EOMONTH(DATE(ano_ref,9,1),0),'Plano de Ação'!$G193&gt;=DATE(ano_ref,9,1)),1,0))</f>
      </c>
      <c r="N194" s="41">
        <f>IF(OR(NOT('Plano de Ação'!$B193&lt;&gt;""),NOT(ISNUMBER('Plano de Ação'!$F193)),NOT(ISNUMBER('Plano de Ação'!$G193)),'Plano de Ação'!$J193="Cancelada"),0,IF(AND('Plano de Ação'!$F193&lt;=EOMONTH(DATE(ano_ref,10,1),0),'Plano de Ação'!$G193&gt;=DATE(ano_ref,10,1)),1,0))</f>
      </c>
      <c r="O194" s="41">
        <f>IF(OR(NOT('Plano de Ação'!$B193&lt;&gt;""),NOT(ISNUMBER('Plano de Ação'!$F193)),NOT(ISNUMBER('Plano de Ação'!$G193)),'Plano de Ação'!$J193="Cancelada"),0,IF(AND('Plano de Ação'!$F193&lt;=EOMONTH(DATE(ano_ref,11,1),0),'Plano de Ação'!$G193&gt;=DATE(ano_ref,11,1)),1,0))</f>
      </c>
      <c r="P194" s="41">
        <f>IF(OR(NOT('Plano de Ação'!$B193&lt;&gt;""),NOT(ISNUMBER('Plano de Ação'!$F193)),NOT(ISNUMBER('Plano de Ação'!$G193)),'Plano de Ação'!$J193="Cancelada"),0,IF(AND('Plano de Ação'!$F193&lt;=EOMONTH(DATE(ano_ref,12,1),0),'Plano de Ação'!$G193&gt;=DATE(ano_ref,12,1)),1,0))</f>
      </c>
    </row>
    <row r="195" spans="1:16" x14ac:dyDescent="0.25">
      <c r="A195" s="40">
        <f>IF('Plano de Ação'!$B194&lt;&gt;"",'Plano de Ação'!A194&amp;"","")</f>
      </c>
      <c r="B195" s="25">
        <f>IF('Plano de Ação'!$B194&lt;&gt;"",'Plano de Ação'!B194,"")</f>
      </c>
      <c r="C195" s="25">
        <f>IF('Plano de Ação'!$B194&lt;&gt;"",'Plano de Ação'!E194&amp;"","")</f>
      </c>
      <c r="D195" s="40">
        <f>IF('Plano de Ação'!$B194&lt;&gt;"",'Plano de Ação'!L194,"")</f>
      </c>
      <c r="E195" s="41">
        <f>IF(OR(NOT('Plano de Ação'!$B194&lt;&gt;""),NOT(ISNUMBER('Plano de Ação'!$F194)),NOT(ISNUMBER('Plano de Ação'!$G194)),'Plano de Ação'!$J194="Cancelada"),0,IF(AND('Plano de Ação'!$F194&lt;=EOMONTH(DATE(ano_ref,1,1),0),'Plano de Ação'!$G194&gt;=DATE(ano_ref,1,1)),1,0))</f>
      </c>
      <c r="F195" s="41">
        <f>IF(OR(NOT('Plano de Ação'!$B194&lt;&gt;""),NOT(ISNUMBER('Plano de Ação'!$F194)),NOT(ISNUMBER('Plano de Ação'!$G194)),'Plano de Ação'!$J194="Cancelada"),0,IF(AND('Plano de Ação'!$F194&lt;=EOMONTH(DATE(ano_ref,2,1),0),'Plano de Ação'!$G194&gt;=DATE(ano_ref,2,1)),1,0))</f>
      </c>
      <c r="G195" s="41">
        <f>IF(OR(NOT('Plano de Ação'!$B194&lt;&gt;""),NOT(ISNUMBER('Plano de Ação'!$F194)),NOT(ISNUMBER('Plano de Ação'!$G194)),'Plano de Ação'!$J194="Cancelada"),0,IF(AND('Plano de Ação'!$F194&lt;=EOMONTH(DATE(ano_ref,3,1),0),'Plano de Ação'!$G194&gt;=DATE(ano_ref,3,1)),1,0))</f>
      </c>
      <c r="H195" s="41">
        <f>IF(OR(NOT('Plano de Ação'!$B194&lt;&gt;""),NOT(ISNUMBER('Plano de Ação'!$F194)),NOT(ISNUMBER('Plano de Ação'!$G194)),'Plano de Ação'!$J194="Cancelada"),0,IF(AND('Plano de Ação'!$F194&lt;=EOMONTH(DATE(ano_ref,4,1),0),'Plano de Ação'!$G194&gt;=DATE(ano_ref,4,1)),1,0))</f>
      </c>
      <c r="I195" s="41">
        <f>IF(OR(NOT('Plano de Ação'!$B194&lt;&gt;""),NOT(ISNUMBER('Plano de Ação'!$F194)),NOT(ISNUMBER('Plano de Ação'!$G194)),'Plano de Ação'!$J194="Cancelada"),0,IF(AND('Plano de Ação'!$F194&lt;=EOMONTH(DATE(ano_ref,5,1),0),'Plano de Ação'!$G194&gt;=DATE(ano_ref,5,1)),1,0))</f>
      </c>
      <c r="J195" s="41">
        <f>IF(OR(NOT('Plano de Ação'!$B194&lt;&gt;""),NOT(ISNUMBER('Plano de Ação'!$F194)),NOT(ISNUMBER('Plano de Ação'!$G194)),'Plano de Ação'!$J194="Cancelada"),0,IF(AND('Plano de Ação'!$F194&lt;=EOMONTH(DATE(ano_ref,6,1),0),'Plano de Ação'!$G194&gt;=DATE(ano_ref,6,1)),1,0))</f>
      </c>
      <c r="K195" s="41">
        <f>IF(OR(NOT('Plano de Ação'!$B194&lt;&gt;""),NOT(ISNUMBER('Plano de Ação'!$F194)),NOT(ISNUMBER('Plano de Ação'!$G194)),'Plano de Ação'!$J194="Cancelada"),0,IF(AND('Plano de Ação'!$F194&lt;=EOMONTH(DATE(ano_ref,7,1),0),'Plano de Ação'!$G194&gt;=DATE(ano_ref,7,1)),1,0))</f>
      </c>
      <c r="L195" s="41">
        <f>IF(OR(NOT('Plano de Ação'!$B194&lt;&gt;""),NOT(ISNUMBER('Plano de Ação'!$F194)),NOT(ISNUMBER('Plano de Ação'!$G194)),'Plano de Ação'!$J194="Cancelada"),0,IF(AND('Plano de Ação'!$F194&lt;=EOMONTH(DATE(ano_ref,8,1),0),'Plano de Ação'!$G194&gt;=DATE(ano_ref,8,1)),1,0))</f>
      </c>
      <c r="M195" s="41">
        <f>IF(OR(NOT('Plano de Ação'!$B194&lt;&gt;""),NOT(ISNUMBER('Plano de Ação'!$F194)),NOT(ISNUMBER('Plano de Ação'!$G194)),'Plano de Ação'!$J194="Cancelada"),0,IF(AND('Plano de Ação'!$F194&lt;=EOMONTH(DATE(ano_ref,9,1),0),'Plano de Ação'!$G194&gt;=DATE(ano_ref,9,1)),1,0))</f>
      </c>
      <c r="N195" s="41">
        <f>IF(OR(NOT('Plano de Ação'!$B194&lt;&gt;""),NOT(ISNUMBER('Plano de Ação'!$F194)),NOT(ISNUMBER('Plano de Ação'!$G194)),'Plano de Ação'!$J194="Cancelada"),0,IF(AND('Plano de Ação'!$F194&lt;=EOMONTH(DATE(ano_ref,10,1),0),'Plano de Ação'!$G194&gt;=DATE(ano_ref,10,1)),1,0))</f>
      </c>
      <c r="O195" s="41">
        <f>IF(OR(NOT('Plano de Ação'!$B194&lt;&gt;""),NOT(ISNUMBER('Plano de Ação'!$F194)),NOT(ISNUMBER('Plano de Ação'!$G194)),'Plano de Ação'!$J194="Cancelada"),0,IF(AND('Plano de Ação'!$F194&lt;=EOMONTH(DATE(ano_ref,11,1),0),'Plano de Ação'!$G194&gt;=DATE(ano_ref,11,1)),1,0))</f>
      </c>
      <c r="P195" s="41">
        <f>IF(OR(NOT('Plano de Ação'!$B194&lt;&gt;""),NOT(ISNUMBER('Plano de Ação'!$F194)),NOT(ISNUMBER('Plano de Ação'!$G194)),'Plano de Ação'!$J194="Cancelada"),0,IF(AND('Plano de Ação'!$F194&lt;=EOMONTH(DATE(ano_ref,12,1),0),'Plano de Ação'!$G194&gt;=DATE(ano_ref,12,1)),1,0))</f>
      </c>
    </row>
    <row r="196" spans="1:16" x14ac:dyDescent="0.25">
      <c r="A196" s="40">
        <f>IF('Plano de Ação'!$B195&lt;&gt;"",'Plano de Ação'!A195&amp;"","")</f>
      </c>
      <c r="B196" s="25">
        <f>IF('Plano de Ação'!$B195&lt;&gt;"",'Plano de Ação'!B195,"")</f>
      </c>
      <c r="C196" s="25">
        <f>IF('Plano de Ação'!$B195&lt;&gt;"",'Plano de Ação'!E195&amp;"","")</f>
      </c>
      <c r="D196" s="40">
        <f>IF('Plano de Ação'!$B195&lt;&gt;"",'Plano de Ação'!L195,"")</f>
      </c>
      <c r="E196" s="41">
        <f>IF(OR(NOT('Plano de Ação'!$B195&lt;&gt;""),NOT(ISNUMBER('Plano de Ação'!$F195)),NOT(ISNUMBER('Plano de Ação'!$G195)),'Plano de Ação'!$J195="Cancelada"),0,IF(AND('Plano de Ação'!$F195&lt;=EOMONTH(DATE(ano_ref,1,1),0),'Plano de Ação'!$G195&gt;=DATE(ano_ref,1,1)),1,0))</f>
      </c>
      <c r="F196" s="41">
        <f>IF(OR(NOT('Plano de Ação'!$B195&lt;&gt;""),NOT(ISNUMBER('Plano de Ação'!$F195)),NOT(ISNUMBER('Plano de Ação'!$G195)),'Plano de Ação'!$J195="Cancelada"),0,IF(AND('Plano de Ação'!$F195&lt;=EOMONTH(DATE(ano_ref,2,1),0),'Plano de Ação'!$G195&gt;=DATE(ano_ref,2,1)),1,0))</f>
      </c>
      <c r="G196" s="41">
        <f>IF(OR(NOT('Plano de Ação'!$B195&lt;&gt;""),NOT(ISNUMBER('Plano de Ação'!$F195)),NOT(ISNUMBER('Plano de Ação'!$G195)),'Plano de Ação'!$J195="Cancelada"),0,IF(AND('Plano de Ação'!$F195&lt;=EOMONTH(DATE(ano_ref,3,1),0),'Plano de Ação'!$G195&gt;=DATE(ano_ref,3,1)),1,0))</f>
      </c>
      <c r="H196" s="41">
        <f>IF(OR(NOT('Plano de Ação'!$B195&lt;&gt;""),NOT(ISNUMBER('Plano de Ação'!$F195)),NOT(ISNUMBER('Plano de Ação'!$G195)),'Plano de Ação'!$J195="Cancelada"),0,IF(AND('Plano de Ação'!$F195&lt;=EOMONTH(DATE(ano_ref,4,1),0),'Plano de Ação'!$G195&gt;=DATE(ano_ref,4,1)),1,0))</f>
      </c>
      <c r="I196" s="41">
        <f>IF(OR(NOT('Plano de Ação'!$B195&lt;&gt;""),NOT(ISNUMBER('Plano de Ação'!$F195)),NOT(ISNUMBER('Plano de Ação'!$G195)),'Plano de Ação'!$J195="Cancelada"),0,IF(AND('Plano de Ação'!$F195&lt;=EOMONTH(DATE(ano_ref,5,1),0),'Plano de Ação'!$G195&gt;=DATE(ano_ref,5,1)),1,0))</f>
      </c>
      <c r="J196" s="41">
        <f>IF(OR(NOT('Plano de Ação'!$B195&lt;&gt;""),NOT(ISNUMBER('Plano de Ação'!$F195)),NOT(ISNUMBER('Plano de Ação'!$G195)),'Plano de Ação'!$J195="Cancelada"),0,IF(AND('Plano de Ação'!$F195&lt;=EOMONTH(DATE(ano_ref,6,1),0),'Plano de Ação'!$G195&gt;=DATE(ano_ref,6,1)),1,0))</f>
      </c>
      <c r="K196" s="41">
        <f>IF(OR(NOT('Plano de Ação'!$B195&lt;&gt;""),NOT(ISNUMBER('Plano de Ação'!$F195)),NOT(ISNUMBER('Plano de Ação'!$G195)),'Plano de Ação'!$J195="Cancelada"),0,IF(AND('Plano de Ação'!$F195&lt;=EOMONTH(DATE(ano_ref,7,1),0),'Plano de Ação'!$G195&gt;=DATE(ano_ref,7,1)),1,0))</f>
      </c>
      <c r="L196" s="41">
        <f>IF(OR(NOT('Plano de Ação'!$B195&lt;&gt;""),NOT(ISNUMBER('Plano de Ação'!$F195)),NOT(ISNUMBER('Plano de Ação'!$G195)),'Plano de Ação'!$J195="Cancelada"),0,IF(AND('Plano de Ação'!$F195&lt;=EOMONTH(DATE(ano_ref,8,1),0),'Plano de Ação'!$G195&gt;=DATE(ano_ref,8,1)),1,0))</f>
      </c>
      <c r="M196" s="41">
        <f>IF(OR(NOT('Plano de Ação'!$B195&lt;&gt;""),NOT(ISNUMBER('Plano de Ação'!$F195)),NOT(ISNUMBER('Plano de Ação'!$G195)),'Plano de Ação'!$J195="Cancelada"),0,IF(AND('Plano de Ação'!$F195&lt;=EOMONTH(DATE(ano_ref,9,1),0),'Plano de Ação'!$G195&gt;=DATE(ano_ref,9,1)),1,0))</f>
      </c>
      <c r="N196" s="41">
        <f>IF(OR(NOT('Plano de Ação'!$B195&lt;&gt;""),NOT(ISNUMBER('Plano de Ação'!$F195)),NOT(ISNUMBER('Plano de Ação'!$G195)),'Plano de Ação'!$J195="Cancelada"),0,IF(AND('Plano de Ação'!$F195&lt;=EOMONTH(DATE(ano_ref,10,1),0),'Plano de Ação'!$G195&gt;=DATE(ano_ref,10,1)),1,0))</f>
      </c>
      <c r="O196" s="41">
        <f>IF(OR(NOT('Plano de Ação'!$B195&lt;&gt;""),NOT(ISNUMBER('Plano de Ação'!$F195)),NOT(ISNUMBER('Plano de Ação'!$G195)),'Plano de Ação'!$J195="Cancelada"),0,IF(AND('Plano de Ação'!$F195&lt;=EOMONTH(DATE(ano_ref,11,1),0),'Plano de Ação'!$G195&gt;=DATE(ano_ref,11,1)),1,0))</f>
      </c>
      <c r="P196" s="41">
        <f>IF(OR(NOT('Plano de Ação'!$B195&lt;&gt;""),NOT(ISNUMBER('Plano de Ação'!$F195)),NOT(ISNUMBER('Plano de Ação'!$G195)),'Plano de Ação'!$J195="Cancelada"),0,IF(AND('Plano de Ação'!$F195&lt;=EOMONTH(DATE(ano_ref,12,1),0),'Plano de Ação'!$G195&gt;=DATE(ano_ref,12,1)),1,0))</f>
      </c>
    </row>
    <row r="197" spans="1:16" x14ac:dyDescent="0.25">
      <c r="A197" s="40">
        <f>IF('Plano de Ação'!$B196&lt;&gt;"",'Plano de Ação'!A196&amp;"","")</f>
      </c>
      <c r="B197" s="25">
        <f>IF('Plano de Ação'!$B196&lt;&gt;"",'Plano de Ação'!B196,"")</f>
      </c>
      <c r="C197" s="25">
        <f>IF('Plano de Ação'!$B196&lt;&gt;"",'Plano de Ação'!E196&amp;"","")</f>
      </c>
      <c r="D197" s="40">
        <f>IF('Plano de Ação'!$B196&lt;&gt;"",'Plano de Ação'!L196,"")</f>
      </c>
      <c r="E197" s="41">
        <f>IF(OR(NOT('Plano de Ação'!$B196&lt;&gt;""),NOT(ISNUMBER('Plano de Ação'!$F196)),NOT(ISNUMBER('Plano de Ação'!$G196)),'Plano de Ação'!$J196="Cancelada"),0,IF(AND('Plano de Ação'!$F196&lt;=EOMONTH(DATE(ano_ref,1,1),0),'Plano de Ação'!$G196&gt;=DATE(ano_ref,1,1)),1,0))</f>
      </c>
      <c r="F197" s="41">
        <f>IF(OR(NOT('Plano de Ação'!$B196&lt;&gt;""),NOT(ISNUMBER('Plano de Ação'!$F196)),NOT(ISNUMBER('Plano de Ação'!$G196)),'Plano de Ação'!$J196="Cancelada"),0,IF(AND('Plano de Ação'!$F196&lt;=EOMONTH(DATE(ano_ref,2,1),0),'Plano de Ação'!$G196&gt;=DATE(ano_ref,2,1)),1,0))</f>
      </c>
      <c r="G197" s="41">
        <f>IF(OR(NOT('Plano de Ação'!$B196&lt;&gt;""),NOT(ISNUMBER('Plano de Ação'!$F196)),NOT(ISNUMBER('Plano de Ação'!$G196)),'Plano de Ação'!$J196="Cancelada"),0,IF(AND('Plano de Ação'!$F196&lt;=EOMONTH(DATE(ano_ref,3,1),0),'Plano de Ação'!$G196&gt;=DATE(ano_ref,3,1)),1,0))</f>
      </c>
      <c r="H197" s="41">
        <f>IF(OR(NOT('Plano de Ação'!$B196&lt;&gt;""),NOT(ISNUMBER('Plano de Ação'!$F196)),NOT(ISNUMBER('Plano de Ação'!$G196)),'Plano de Ação'!$J196="Cancelada"),0,IF(AND('Plano de Ação'!$F196&lt;=EOMONTH(DATE(ano_ref,4,1),0),'Plano de Ação'!$G196&gt;=DATE(ano_ref,4,1)),1,0))</f>
      </c>
      <c r="I197" s="41">
        <f>IF(OR(NOT('Plano de Ação'!$B196&lt;&gt;""),NOT(ISNUMBER('Plano de Ação'!$F196)),NOT(ISNUMBER('Plano de Ação'!$G196)),'Plano de Ação'!$J196="Cancelada"),0,IF(AND('Plano de Ação'!$F196&lt;=EOMONTH(DATE(ano_ref,5,1),0),'Plano de Ação'!$G196&gt;=DATE(ano_ref,5,1)),1,0))</f>
      </c>
      <c r="J197" s="41">
        <f>IF(OR(NOT('Plano de Ação'!$B196&lt;&gt;""),NOT(ISNUMBER('Plano de Ação'!$F196)),NOT(ISNUMBER('Plano de Ação'!$G196)),'Plano de Ação'!$J196="Cancelada"),0,IF(AND('Plano de Ação'!$F196&lt;=EOMONTH(DATE(ano_ref,6,1),0),'Plano de Ação'!$G196&gt;=DATE(ano_ref,6,1)),1,0))</f>
      </c>
      <c r="K197" s="41">
        <f>IF(OR(NOT('Plano de Ação'!$B196&lt;&gt;""),NOT(ISNUMBER('Plano de Ação'!$F196)),NOT(ISNUMBER('Plano de Ação'!$G196)),'Plano de Ação'!$J196="Cancelada"),0,IF(AND('Plano de Ação'!$F196&lt;=EOMONTH(DATE(ano_ref,7,1),0),'Plano de Ação'!$G196&gt;=DATE(ano_ref,7,1)),1,0))</f>
      </c>
      <c r="L197" s="41">
        <f>IF(OR(NOT('Plano de Ação'!$B196&lt;&gt;""),NOT(ISNUMBER('Plano de Ação'!$F196)),NOT(ISNUMBER('Plano de Ação'!$G196)),'Plano de Ação'!$J196="Cancelada"),0,IF(AND('Plano de Ação'!$F196&lt;=EOMONTH(DATE(ano_ref,8,1),0),'Plano de Ação'!$G196&gt;=DATE(ano_ref,8,1)),1,0))</f>
      </c>
      <c r="M197" s="41">
        <f>IF(OR(NOT('Plano de Ação'!$B196&lt;&gt;""),NOT(ISNUMBER('Plano de Ação'!$F196)),NOT(ISNUMBER('Plano de Ação'!$G196)),'Plano de Ação'!$J196="Cancelada"),0,IF(AND('Plano de Ação'!$F196&lt;=EOMONTH(DATE(ano_ref,9,1),0),'Plano de Ação'!$G196&gt;=DATE(ano_ref,9,1)),1,0))</f>
      </c>
      <c r="N197" s="41">
        <f>IF(OR(NOT('Plano de Ação'!$B196&lt;&gt;""),NOT(ISNUMBER('Plano de Ação'!$F196)),NOT(ISNUMBER('Plano de Ação'!$G196)),'Plano de Ação'!$J196="Cancelada"),0,IF(AND('Plano de Ação'!$F196&lt;=EOMONTH(DATE(ano_ref,10,1),0),'Plano de Ação'!$G196&gt;=DATE(ano_ref,10,1)),1,0))</f>
      </c>
      <c r="O197" s="41">
        <f>IF(OR(NOT('Plano de Ação'!$B196&lt;&gt;""),NOT(ISNUMBER('Plano de Ação'!$F196)),NOT(ISNUMBER('Plano de Ação'!$G196)),'Plano de Ação'!$J196="Cancelada"),0,IF(AND('Plano de Ação'!$F196&lt;=EOMONTH(DATE(ano_ref,11,1),0),'Plano de Ação'!$G196&gt;=DATE(ano_ref,11,1)),1,0))</f>
      </c>
      <c r="P197" s="41">
        <f>IF(OR(NOT('Plano de Ação'!$B196&lt;&gt;""),NOT(ISNUMBER('Plano de Ação'!$F196)),NOT(ISNUMBER('Plano de Ação'!$G196)),'Plano de Ação'!$J196="Cancelada"),0,IF(AND('Plano de Ação'!$F196&lt;=EOMONTH(DATE(ano_ref,12,1),0),'Plano de Ação'!$G196&gt;=DATE(ano_ref,12,1)),1,0))</f>
      </c>
    </row>
    <row r="198" spans="1:16" x14ac:dyDescent="0.25">
      <c r="A198" s="40">
        <f>IF('Plano de Ação'!$B197&lt;&gt;"",'Plano de Ação'!A197&amp;"","")</f>
      </c>
      <c r="B198" s="25">
        <f>IF('Plano de Ação'!$B197&lt;&gt;"",'Plano de Ação'!B197,"")</f>
      </c>
      <c r="C198" s="25">
        <f>IF('Plano de Ação'!$B197&lt;&gt;"",'Plano de Ação'!E197&amp;"","")</f>
      </c>
      <c r="D198" s="40">
        <f>IF('Plano de Ação'!$B197&lt;&gt;"",'Plano de Ação'!L197,"")</f>
      </c>
      <c r="E198" s="41">
        <f>IF(OR(NOT('Plano de Ação'!$B197&lt;&gt;""),NOT(ISNUMBER('Plano de Ação'!$F197)),NOT(ISNUMBER('Plano de Ação'!$G197)),'Plano de Ação'!$J197="Cancelada"),0,IF(AND('Plano de Ação'!$F197&lt;=EOMONTH(DATE(ano_ref,1,1),0),'Plano de Ação'!$G197&gt;=DATE(ano_ref,1,1)),1,0))</f>
      </c>
      <c r="F198" s="41">
        <f>IF(OR(NOT('Plano de Ação'!$B197&lt;&gt;""),NOT(ISNUMBER('Plano de Ação'!$F197)),NOT(ISNUMBER('Plano de Ação'!$G197)),'Plano de Ação'!$J197="Cancelada"),0,IF(AND('Plano de Ação'!$F197&lt;=EOMONTH(DATE(ano_ref,2,1),0),'Plano de Ação'!$G197&gt;=DATE(ano_ref,2,1)),1,0))</f>
      </c>
      <c r="G198" s="41">
        <f>IF(OR(NOT('Plano de Ação'!$B197&lt;&gt;""),NOT(ISNUMBER('Plano de Ação'!$F197)),NOT(ISNUMBER('Plano de Ação'!$G197)),'Plano de Ação'!$J197="Cancelada"),0,IF(AND('Plano de Ação'!$F197&lt;=EOMONTH(DATE(ano_ref,3,1),0),'Plano de Ação'!$G197&gt;=DATE(ano_ref,3,1)),1,0))</f>
      </c>
      <c r="H198" s="41">
        <f>IF(OR(NOT('Plano de Ação'!$B197&lt;&gt;""),NOT(ISNUMBER('Plano de Ação'!$F197)),NOT(ISNUMBER('Plano de Ação'!$G197)),'Plano de Ação'!$J197="Cancelada"),0,IF(AND('Plano de Ação'!$F197&lt;=EOMONTH(DATE(ano_ref,4,1),0),'Plano de Ação'!$G197&gt;=DATE(ano_ref,4,1)),1,0))</f>
      </c>
      <c r="I198" s="41">
        <f>IF(OR(NOT('Plano de Ação'!$B197&lt;&gt;""),NOT(ISNUMBER('Plano de Ação'!$F197)),NOT(ISNUMBER('Plano de Ação'!$G197)),'Plano de Ação'!$J197="Cancelada"),0,IF(AND('Plano de Ação'!$F197&lt;=EOMONTH(DATE(ano_ref,5,1),0),'Plano de Ação'!$G197&gt;=DATE(ano_ref,5,1)),1,0))</f>
      </c>
      <c r="J198" s="41">
        <f>IF(OR(NOT('Plano de Ação'!$B197&lt;&gt;""),NOT(ISNUMBER('Plano de Ação'!$F197)),NOT(ISNUMBER('Plano de Ação'!$G197)),'Plano de Ação'!$J197="Cancelada"),0,IF(AND('Plano de Ação'!$F197&lt;=EOMONTH(DATE(ano_ref,6,1),0),'Plano de Ação'!$G197&gt;=DATE(ano_ref,6,1)),1,0))</f>
      </c>
      <c r="K198" s="41">
        <f>IF(OR(NOT('Plano de Ação'!$B197&lt;&gt;""),NOT(ISNUMBER('Plano de Ação'!$F197)),NOT(ISNUMBER('Plano de Ação'!$G197)),'Plano de Ação'!$J197="Cancelada"),0,IF(AND('Plano de Ação'!$F197&lt;=EOMONTH(DATE(ano_ref,7,1),0),'Plano de Ação'!$G197&gt;=DATE(ano_ref,7,1)),1,0))</f>
      </c>
      <c r="L198" s="41">
        <f>IF(OR(NOT('Plano de Ação'!$B197&lt;&gt;""),NOT(ISNUMBER('Plano de Ação'!$F197)),NOT(ISNUMBER('Plano de Ação'!$G197)),'Plano de Ação'!$J197="Cancelada"),0,IF(AND('Plano de Ação'!$F197&lt;=EOMONTH(DATE(ano_ref,8,1),0),'Plano de Ação'!$G197&gt;=DATE(ano_ref,8,1)),1,0))</f>
      </c>
      <c r="M198" s="41">
        <f>IF(OR(NOT('Plano de Ação'!$B197&lt;&gt;""),NOT(ISNUMBER('Plano de Ação'!$F197)),NOT(ISNUMBER('Plano de Ação'!$G197)),'Plano de Ação'!$J197="Cancelada"),0,IF(AND('Plano de Ação'!$F197&lt;=EOMONTH(DATE(ano_ref,9,1),0),'Plano de Ação'!$G197&gt;=DATE(ano_ref,9,1)),1,0))</f>
      </c>
      <c r="N198" s="41">
        <f>IF(OR(NOT('Plano de Ação'!$B197&lt;&gt;""),NOT(ISNUMBER('Plano de Ação'!$F197)),NOT(ISNUMBER('Plano de Ação'!$G197)),'Plano de Ação'!$J197="Cancelada"),0,IF(AND('Plano de Ação'!$F197&lt;=EOMONTH(DATE(ano_ref,10,1),0),'Plano de Ação'!$G197&gt;=DATE(ano_ref,10,1)),1,0))</f>
      </c>
      <c r="O198" s="41">
        <f>IF(OR(NOT('Plano de Ação'!$B197&lt;&gt;""),NOT(ISNUMBER('Plano de Ação'!$F197)),NOT(ISNUMBER('Plano de Ação'!$G197)),'Plano de Ação'!$J197="Cancelada"),0,IF(AND('Plano de Ação'!$F197&lt;=EOMONTH(DATE(ano_ref,11,1),0),'Plano de Ação'!$G197&gt;=DATE(ano_ref,11,1)),1,0))</f>
      </c>
      <c r="P198" s="41">
        <f>IF(OR(NOT('Plano de Ação'!$B197&lt;&gt;""),NOT(ISNUMBER('Plano de Ação'!$F197)),NOT(ISNUMBER('Plano de Ação'!$G197)),'Plano de Ação'!$J197="Cancelada"),0,IF(AND('Plano de Ação'!$F197&lt;=EOMONTH(DATE(ano_ref,12,1),0),'Plano de Ação'!$G197&gt;=DATE(ano_ref,12,1)),1,0))</f>
      </c>
    </row>
    <row r="199" spans="1:16" x14ac:dyDescent="0.25">
      <c r="A199" s="40">
        <f>IF('Plano de Ação'!$B198&lt;&gt;"",'Plano de Ação'!A198&amp;"","")</f>
      </c>
      <c r="B199" s="25">
        <f>IF('Plano de Ação'!$B198&lt;&gt;"",'Plano de Ação'!B198,"")</f>
      </c>
      <c r="C199" s="25">
        <f>IF('Plano de Ação'!$B198&lt;&gt;"",'Plano de Ação'!E198&amp;"","")</f>
      </c>
      <c r="D199" s="40">
        <f>IF('Plano de Ação'!$B198&lt;&gt;"",'Plano de Ação'!L198,"")</f>
      </c>
      <c r="E199" s="41">
        <f>IF(OR(NOT('Plano de Ação'!$B198&lt;&gt;""),NOT(ISNUMBER('Plano de Ação'!$F198)),NOT(ISNUMBER('Plano de Ação'!$G198)),'Plano de Ação'!$J198="Cancelada"),0,IF(AND('Plano de Ação'!$F198&lt;=EOMONTH(DATE(ano_ref,1,1),0),'Plano de Ação'!$G198&gt;=DATE(ano_ref,1,1)),1,0))</f>
      </c>
      <c r="F199" s="41">
        <f>IF(OR(NOT('Plano de Ação'!$B198&lt;&gt;""),NOT(ISNUMBER('Plano de Ação'!$F198)),NOT(ISNUMBER('Plano de Ação'!$G198)),'Plano de Ação'!$J198="Cancelada"),0,IF(AND('Plano de Ação'!$F198&lt;=EOMONTH(DATE(ano_ref,2,1),0),'Plano de Ação'!$G198&gt;=DATE(ano_ref,2,1)),1,0))</f>
      </c>
      <c r="G199" s="41">
        <f>IF(OR(NOT('Plano de Ação'!$B198&lt;&gt;""),NOT(ISNUMBER('Plano de Ação'!$F198)),NOT(ISNUMBER('Plano de Ação'!$G198)),'Plano de Ação'!$J198="Cancelada"),0,IF(AND('Plano de Ação'!$F198&lt;=EOMONTH(DATE(ano_ref,3,1),0),'Plano de Ação'!$G198&gt;=DATE(ano_ref,3,1)),1,0))</f>
      </c>
      <c r="H199" s="41">
        <f>IF(OR(NOT('Plano de Ação'!$B198&lt;&gt;""),NOT(ISNUMBER('Plano de Ação'!$F198)),NOT(ISNUMBER('Plano de Ação'!$G198)),'Plano de Ação'!$J198="Cancelada"),0,IF(AND('Plano de Ação'!$F198&lt;=EOMONTH(DATE(ano_ref,4,1),0),'Plano de Ação'!$G198&gt;=DATE(ano_ref,4,1)),1,0))</f>
      </c>
      <c r="I199" s="41">
        <f>IF(OR(NOT('Plano de Ação'!$B198&lt;&gt;""),NOT(ISNUMBER('Plano de Ação'!$F198)),NOT(ISNUMBER('Plano de Ação'!$G198)),'Plano de Ação'!$J198="Cancelada"),0,IF(AND('Plano de Ação'!$F198&lt;=EOMONTH(DATE(ano_ref,5,1),0),'Plano de Ação'!$G198&gt;=DATE(ano_ref,5,1)),1,0))</f>
      </c>
      <c r="J199" s="41">
        <f>IF(OR(NOT('Plano de Ação'!$B198&lt;&gt;""),NOT(ISNUMBER('Plano de Ação'!$F198)),NOT(ISNUMBER('Plano de Ação'!$G198)),'Plano de Ação'!$J198="Cancelada"),0,IF(AND('Plano de Ação'!$F198&lt;=EOMONTH(DATE(ano_ref,6,1),0),'Plano de Ação'!$G198&gt;=DATE(ano_ref,6,1)),1,0))</f>
      </c>
      <c r="K199" s="41">
        <f>IF(OR(NOT('Plano de Ação'!$B198&lt;&gt;""),NOT(ISNUMBER('Plano de Ação'!$F198)),NOT(ISNUMBER('Plano de Ação'!$G198)),'Plano de Ação'!$J198="Cancelada"),0,IF(AND('Plano de Ação'!$F198&lt;=EOMONTH(DATE(ano_ref,7,1),0),'Plano de Ação'!$G198&gt;=DATE(ano_ref,7,1)),1,0))</f>
      </c>
      <c r="L199" s="41">
        <f>IF(OR(NOT('Plano de Ação'!$B198&lt;&gt;""),NOT(ISNUMBER('Plano de Ação'!$F198)),NOT(ISNUMBER('Plano de Ação'!$G198)),'Plano de Ação'!$J198="Cancelada"),0,IF(AND('Plano de Ação'!$F198&lt;=EOMONTH(DATE(ano_ref,8,1),0),'Plano de Ação'!$G198&gt;=DATE(ano_ref,8,1)),1,0))</f>
      </c>
      <c r="M199" s="41">
        <f>IF(OR(NOT('Plano de Ação'!$B198&lt;&gt;""),NOT(ISNUMBER('Plano de Ação'!$F198)),NOT(ISNUMBER('Plano de Ação'!$G198)),'Plano de Ação'!$J198="Cancelada"),0,IF(AND('Plano de Ação'!$F198&lt;=EOMONTH(DATE(ano_ref,9,1),0),'Plano de Ação'!$G198&gt;=DATE(ano_ref,9,1)),1,0))</f>
      </c>
      <c r="N199" s="41">
        <f>IF(OR(NOT('Plano de Ação'!$B198&lt;&gt;""),NOT(ISNUMBER('Plano de Ação'!$F198)),NOT(ISNUMBER('Plano de Ação'!$G198)),'Plano de Ação'!$J198="Cancelada"),0,IF(AND('Plano de Ação'!$F198&lt;=EOMONTH(DATE(ano_ref,10,1),0),'Plano de Ação'!$G198&gt;=DATE(ano_ref,10,1)),1,0))</f>
      </c>
      <c r="O199" s="41">
        <f>IF(OR(NOT('Plano de Ação'!$B198&lt;&gt;""),NOT(ISNUMBER('Plano de Ação'!$F198)),NOT(ISNUMBER('Plano de Ação'!$G198)),'Plano de Ação'!$J198="Cancelada"),0,IF(AND('Plano de Ação'!$F198&lt;=EOMONTH(DATE(ano_ref,11,1),0),'Plano de Ação'!$G198&gt;=DATE(ano_ref,11,1)),1,0))</f>
      </c>
      <c r="P199" s="41">
        <f>IF(OR(NOT('Plano de Ação'!$B198&lt;&gt;""),NOT(ISNUMBER('Plano de Ação'!$F198)),NOT(ISNUMBER('Plano de Ação'!$G198)),'Plano de Ação'!$J198="Cancelada"),0,IF(AND('Plano de Ação'!$F198&lt;=EOMONTH(DATE(ano_ref,12,1),0),'Plano de Ação'!$G198&gt;=DATE(ano_ref,12,1)),1,0))</f>
      </c>
    </row>
    <row r="200" spans="1:16" x14ac:dyDescent="0.25">
      <c r="A200" s="40">
        <f>IF('Plano de Ação'!$B199&lt;&gt;"",'Plano de Ação'!A199&amp;"","")</f>
      </c>
      <c r="B200" s="25">
        <f>IF('Plano de Ação'!$B199&lt;&gt;"",'Plano de Ação'!B199,"")</f>
      </c>
      <c r="C200" s="25">
        <f>IF('Plano de Ação'!$B199&lt;&gt;"",'Plano de Ação'!E199&amp;"","")</f>
      </c>
      <c r="D200" s="40">
        <f>IF('Plano de Ação'!$B199&lt;&gt;"",'Plano de Ação'!L199,"")</f>
      </c>
      <c r="E200" s="41">
        <f>IF(OR(NOT('Plano de Ação'!$B199&lt;&gt;""),NOT(ISNUMBER('Plano de Ação'!$F199)),NOT(ISNUMBER('Plano de Ação'!$G199)),'Plano de Ação'!$J199="Cancelada"),0,IF(AND('Plano de Ação'!$F199&lt;=EOMONTH(DATE(ano_ref,1,1),0),'Plano de Ação'!$G199&gt;=DATE(ano_ref,1,1)),1,0))</f>
      </c>
      <c r="F200" s="41">
        <f>IF(OR(NOT('Plano de Ação'!$B199&lt;&gt;""),NOT(ISNUMBER('Plano de Ação'!$F199)),NOT(ISNUMBER('Plano de Ação'!$G199)),'Plano de Ação'!$J199="Cancelada"),0,IF(AND('Plano de Ação'!$F199&lt;=EOMONTH(DATE(ano_ref,2,1),0),'Plano de Ação'!$G199&gt;=DATE(ano_ref,2,1)),1,0))</f>
      </c>
      <c r="G200" s="41">
        <f>IF(OR(NOT('Plano de Ação'!$B199&lt;&gt;""),NOT(ISNUMBER('Plano de Ação'!$F199)),NOT(ISNUMBER('Plano de Ação'!$G199)),'Plano de Ação'!$J199="Cancelada"),0,IF(AND('Plano de Ação'!$F199&lt;=EOMONTH(DATE(ano_ref,3,1),0),'Plano de Ação'!$G199&gt;=DATE(ano_ref,3,1)),1,0))</f>
      </c>
      <c r="H200" s="41">
        <f>IF(OR(NOT('Plano de Ação'!$B199&lt;&gt;""),NOT(ISNUMBER('Plano de Ação'!$F199)),NOT(ISNUMBER('Plano de Ação'!$G199)),'Plano de Ação'!$J199="Cancelada"),0,IF(AND('Plano de Ação'!$F199&lt;=EOMONTH(DATE(ano_ref,4,1),0),'Plano de Ação'!$G199&gt;=DATE(ano_ref,4,1)),1,0))</f>
      </c>
      <c r="I200" s="41">
        <f>IF(OR(NOT('Plano de Ação'!$B199&lt;&gt;""),NOT(ISNUMBER('Plano de Ação'!$F199)),NOT(ISNUMBER('Plano de Ação'!$G199)),'Plano de Ação'!$J199="Cancelada"),0,IF(AND('Plano de Ação'!$F199&lt;=EOMONTH(DATE(ano_ref,5,1),0),'Plano de Ação'!$G199&gt;=DATE(ano_ref,5,1)),1,0))</f>
      </c>
      <c r="J200" s="41">
        <f>IF(OR(NOT('Plano de Ação'!$B199&lt;&gt;""),NOT(ISNUMBER('Plano de Ação'!$F199)),NOT(ISNUMBER('Plano de Ação'!$G199)),'Plano de Ação'!$J199="Cancelada"),0,IF(AND('Plano de Ação'!$F199&lt;=EOMONTH(DATE(ano_ref,6,1),0),'Plano de Ação'!$G199&gt;=DATE(ano_ref,6,1)),1,0))</f>
      </c>
      <c r="K200" s="41">
        <f>IF(OR(NOT('Plano de Ação'!$B199&lt;&gt;""),NOT(ISNUMBER('Plano de Ação'!$F199)),NOT(ISNUMBER('Plano de Ação'!$G199)),'Plano de Ação'!$J199="Cancelada"),0,IF(AND('Plano de Ação'!$F199&lt;=EOMONTH(DATE(ano_ref,7,1),0),'Plano de Ação'!$G199&gt;=DATE(ano_ref,7,1)),1,0))</f>
      </c>
      <c r="L200" s="41">
        <f>IF(OR(NOT('Plano de Ação'!$B199&lt;&gt;""),NOT(ISNUMBER('Plano de Ação'!$F199)),NOT(ISNUMBER('Plano de Ação'!$G199)),'Plano de Ação'!$J199="Cancelada"),0,IF(AND('Plano de Ação'!$F199&lt;=EOMONTH(DATE(ano_ref,8,1),0),'Plano de Ação'!$G199&gt;=DATE(ano_ref,8,1)),1,0))</f>
      </c>
      <c r="M200" s="41">
        <f>IF(OR(NOT('Plano de Ação'!$B199&lt;&gt;""),NOT(ISNUMBER('Plano de Ação'!$F199)),NOT(ISNUMBER('Plano de Ação'!$G199)),'Plano de Ação'!$J199="Cancelada"),0,IF(AND('Plano de Ação'!$F199&lt;=EOMONTH(DATE(ano_ref,9,1),0),'Plano de Ação'!$G199&gt;=DATE(ano_ref,9,1)),1,0))</f>
      </c>
      <c r="N200" s="41">
        <f>IF(OR(NOT('Plano de Ação'!$B199&lt;&gt;""),NOT(ISNUMBER('Plano de Ação'!$F199)),NOT(ISNUMBER('Plano de Ação'!$G199)),'Plano de Ação'!$J199="Cancelada"),0,IF(AND('Plano de Ação'!$F199&lt;=EOMONTH(DATE(ano_ref,10,1),0),'Plano de Ação'!$G199&gt;=DATE(ano_ref,10,1)),1,0))</f>
      </c>
      <c r="O200" s="41">
        <f>IF(OR(NOT('Plano de Ação'!$B199&lt;&gt;""),NOT(ISNUMBER('Plano de Ação'!$F199)),NOT(ISNUMBER('Plano de Ação'!$G199)),'Plano de Ação'!$J199="Cancelada"),0,IF(AND('Plano de Ação'!$F199&lt;=EOMONTH(DATE(ano_ref,11,1),0),'Plano de Ação'!$G199&gt;=DATE(ano_ref,11,1)),1,0))</f>
      </c>
      <c r="P200" s="41">
        <f>IF(OR(NOT('Plano de Ação'!$B199&lt;&gt;""),NOT(ISNUMBER('Plano de Ação'!$F199)),NOT(ISNUMBER('Plano de Ação'!$G199)),'Plano de Ação'!$J199="Cancelada"),0,IF(AND('Plano de Ação'!$F199&lt;=EOMONTH(DATE(ano_ref,12,1),0),'Plano de Ação'!$G199&gt;=DATE(ano_ref,12,1)),1,0))</f>
      </c>
    </row>
    <row r="201" spans="1:16" x14ac:dyDescent="0.25">
      <c r="A201" s="40">
        <f>IF('Plano de Ação'!$B200&lt;&gt;"",'Plano de Ação'!A200&amp;"","")</f>
      </c>
      <c r="B201" s="25">
        <f>IF('Plano de Ação'!$B200&lt;&gt;"",'Plano de Ação'!B200,"")</f>
      </c>
      <c r="C201" s="25">
        <f>IF('Plano de Ação'!$B200&lt;&gt;"",'Plano de Ação'!E200&amp;"","")</f>
      </c>
      <c r="D201" s="40">
        <f>IF('Plano de Ação'!$B200&lt;&gt;"",'Plano de Ação'!L200,"")</f>
      </c>
      <c r="E201" s="41">
        <f>IF(OR(NOT('Plano de Ação'!$B200&lt;&gt;""),NOT(ISNUMBER('Plano de Ação'!$F200)),NOT(ISNUMBER('Plano de Ação'!$G200)),'Plano de Ação'!$J200="Cancelada"),0,IF(AND('Plano de Ação'!$F200&lt;=EOMONTH(DATE(ano_ref,1,1),0),'Plano de Ação'!$G200&gt;=DATE(ano_ref,1,1)),1,0))</f>
      </c>
      <c r="F201" s="41">
        <f>IF(OR(NOT('Plano de Ação'!$B200&lt;&gt;""),NOT(ISNUMBER('Plano de Ação'!$F200)),NOT(ISNUMBER('Plano de Ação'!$G200)),'Plano de Ação'!$J200="Cancelada"),0,IF(AND('Plano de Ação'!$F200&lt;=EOMONTH(DATE(ano_ref,2,1),0),'Plano de Ação'!$G200&gt;=DATE(ano_ref,2,1)),1,0))</f>
      </c>
      <c r="G201" s="41">
        <f>IF(OR(NOT('Plano de Ação'!$B200&lt;&gt;""),NOT(ISNUMBER('Plano de Ação'!$F200)),NOT(ISNUMBER('Plano de Ação'!$G200)),'Plano de Ação'!$J200="Cancelada"),0,IF(AND('Plano de Ação'!$F200&lt;=EOMONTH(DATE(ano_ref,3,1),0),'Plano de Ação'!$G200&gt;=DATE(ano_ref,3,1)),1,0))</f>
      </c>
      <c r="H201" s="41">
        <f>IF(OR(NOT('Plano de Ação'!$B200&lt;&gt;""),NOT(ISNUMBER('Plano de Ação'!$F200)),NOT(ISNUMBER('Plano de Ação'!$G200)),'Plano de Ação'!$J200="Cancelada"),0,IF(AND('Plano de Ação'!$F200&lt;=EOMONTH(DATE(ano_ref,4,1),0),'Plano de Ação'!$G200&gt;=DATE(ano_ref,4,1)),1,0))</f>
      </c>
      <c r="I201" s="41">
        <f>IF(OR(NOT('Plano de Ação'!$B200&lt;&gt;""),NOT(ISNUMBER('Plano de Ação'!$F200)),NOT(ISNUMBER('Plano de Ação'!$G200)),'Plano de Ação'!$J200="Cancelada"),0,IF(AND('Plano de Ação'!$F200&lt;=EOMONTH(DATE(ano_ref,5,1),0),'Plano de Ação'!$G200&gt;=DATE(ano_ref,5,1)),1,0))</f>
      </c>
      <c r="J201" s="41">
        <f>IF(OR(NOT('Plano de Ação'!$B200&lt;&gt;""),NOT(ISNUMBER('Plano de Ação'!$F200)),NOT(ISNUMBER('Plano de Ação'!$G200)),'Plano de Ação'!$J200="Cancelada"),0,IF(AND('Plano de Ação'!$F200&lt;=EOMONTH(DATE(ano_ref,6,1),0),'Plano de Ação'!$G200&gt;=DATE(ano_ref,6,1)),1,0))</f>
      </c>
      <c r="K201" s="41">
        <f>IF(OR(NOT('Plano de Ação'!$B200&lt;&gt;""),NOT(ISNUMBER('Plano de Ação'!$F200)),NOT(ISNUMBER('Plano de Ação'!$G200)),'Plano de Ação'!$J200="Cancelada"),0,IF(AND('Plano de Ação'!$F200&lt;=EOMONTH(DATE(ano_ref,7,1),0),'Plano de Ação'!$G200&gt;=DATE(ano_ref,7,1)),1,0))</f>
      </c>
      <c r="L201" s="41">
        <f>IF(OR(NOT('Plano de Ação'!$B200&lt;&gt;""),NOT(ISNUMBER('Plano de Ação'!$F200)),NOT(ISNUMBER('Plano de Ação'!$G200)),'Plano de Ação'!$J200="Cancelada"),0,IF(AND('Plano de Ação'!$F200&lt;=EOMONTH(DATE(ano_ref,8,1),0),'Plano de Ação'!$G200&gt;=DATE(ano_ref,8,1)),1,0))</f>
      </c>
      <c r="M201" s="41">
        <f>IF(OR(NOT('Plano de Ação'!$B200&lt;&gt;""),NOT(ISNUMBER('Plano de Ação'!$F200)),NOT(ISNUMBER('Plano de Ação'!$G200)),'Plano de Ação'!$J200="Cancelada"),0,IF(AND('Plano de Ação'!$F200&lt;=EOMONTH(DATE(ano_ref,9,1),0),'Plano de Ação'!$G200&gt;=DATE(ano_ref,9,1)),1,0))</f>
      </c>
      <c r="N201" s="41">
        <f>IF(OR(NOT('Plano de Ação'!$B200&lt;&gt;""),NOT(ISNUMBER('Plano de Ação'!$F200)),NOT(ISNUMBER('Plano de Ação'!$G200)),'Plano de Ação'!$J200="Cancelada"),0,IF(AND('Plano de Ação'!$F200&lt;=EOMONTH(DATE(ano_ref,10,1),0),'Plano de Ação'!$G200&gt;=DATE(ano_ref,10,1)),1,0))</f>
      </c>
      <c r="O201" s="41">
        <f>IF(OR(NOT('Plano de Ação'!$B200&lt;&gt;""),NOT(ISNUMBER('Plano de Ação'!$F200)),NOT(ISNUMBER('Plano de Ação'!$G200)),'Plano de Ação'!$J200="Cancelada"),0,IF(AND('Plano de Ação'!$F200&lt;=EOMONTH(DATE(ano_ref,11,1),0),'Plano de Ação'!$G200&gt;=DATE(ano_ref,11,1)),1,0))</f>
      </c>
      <c r="P201" s="41">
        <f>IF(OR(NOT('Plano de Ação'!$B200&lt;&gt;""),NOT(ISNUMBER('Plano de Ação'!$F200)),NOT(ISNUMBER('Plano de Ação'!$G200)),'Plano de Ação'!$J200="Cancelada"),0,IF(AND('Plano de Ação'!$F200&lt;=EOMONTH(DATE(ano_ref,12,1),0),'Plano de Ação'!$G200&gt;=DATE(ano_ref,12,1)),1,0))</f>
      </c>
    </row>
    <row r="202" spans="1:16" x14ac:dyDescent="0.25">
      <c r="A202" s="40">
        <f>IF('Plano de Ação'!$B201&lt;&gt;"",'Plano de Ação'!A201&amp;"","")</f>
      </c>
      <c r="B202" s="25">
        <f>IF('Plano de Ação'!$B201&lt;&gt;"",'Plano de Ação'!B201,"")</f>
      </c>
      <c r="C202" s="25">
        <f>IF('Plano de Ação'!$B201&lt;&gt;"",'Plano de Ação'!E201&amp;"","")</f>
      </c>
      <c r="D202" s="40">
        <f>IF('Plano de Ação'!$B201&lt;&gt;"",'Plano de Ação'!L201,"")</f>
      </c>
      <c r="E202" s="41">
        <f>IF(OR(NOT('Plano de Ação'!$B201&lt;&gt;""),NOT(ISNUMBER('Plano de Ação'!$F201)),NOT(ISNUMBER('Plano de Ação'!$G201)),'Plano de Ação'!$J201="Cancelada"),0,IF(AND('Plano de Ação'!$F201&lt;=EOMONTH(DATE(ano_ref,1,1),0),'Plano de Ação'!$G201&gt;=DATE(ano_ref,1,1)),1,0))</f>
      </c>
      <c r="F202" s="41">
        <f>IF(OR(NOT('Plano de Ação'!$B201&lt;&gt;""),NOT(ISNUMBER('Plano de Ação'!$F201)),NOT(ISNUMBER('Plano de Ação'!$G201)),'Plano de Ação'!$J201="Cancelada"),0,IF(AND('Plano de Ação'!$F201&lt;=EOMONTH(DATE(ano_ref,2,1),0),'Plano de Ação'!$G201&gt;=DATE(ano_ref,2,1)),1,0))</f>
      </c>
      <c r="G202" s="41">
        <f>IF(OR(NOT('Plano de Ação'!$B201&lt;&gt;""),NOT(ISNUMBER('Plano de Ação'!$F201)),NOT(ISNUMBER('Plano de Ação'!$G201)),'Plano de Ação'!$J201="Cancelada"),0,IF(AND('Plano de Ação'!$F201&lt;=EOMONTH(DATE(ano_ref,3,1),0),'Plano de Ação'!$G201&gt;=DATE(ano_ref,3,1)),1,0))</f>
      </c>
      <c r="H202" s="41">
        <f>IF(OR(NOT('Plano de Ação'!$B201&lt;&gt;""),NOT(ISNUMBER('Plano de Ação'!$F201)),NOT(ISNUMBER('Plano de Ação'!$G201)),'Plano de Ação'!$J201="Cancelada"),0,IF(AND('Plano de Ação'!$F201&lt;=EOMONTH(DATE(ano_ref,4,1),0),'Plano de Ação'!$G201&gt;=DATE(ano_ref,4,1)),1,0))</f>
      </c>
      <c r="I202" s="41">
        <f>IF(OR(NOT('Plano de Ação'!$B201&lt;&gt;""),NOT(ISNUMBER('Plano de Ação'!$F201)),NOT(ISNUMBER('Plano de Ação'!$G201)),'Plano de Ação'!$J201="Cancelada"),0,IF(AND('Plano de Ação'!$F201&lt;=EOMONTH(DATE(ano_ref,5,1),0),'Plano de Ação'!$G201&gt;=DATE(ano_ref,5,1)),1,0))</f>
      </c>
      <c r="J202" s="41">
        <f>IF(OR(NOT('Plano de Ação'!$B201&lt;&gt;""),NOT(ISNUMBER('Plano de Ação'!$F201)),NOT(ISNUMBER('Plano de Ação'!$G201)),'Plano de Ação'!$J201="Cancelada"),0,IF(AND('Plano de Ação'!$F201&lt;=EOMONTH(DATE(ano_ref,6,1),0),'Plano de Ação'!$G201&gt;=DATE(ano_ref,6,1)),1,0))</f>
      </c>
      <c r="K202" s="41">
        <f>IF(OR(NOT('Plano de Ação'!$B201&lt;&gt;""),NOT(ISNUMBER('Plano de Ação'!$F201)),NOT(ISNUMBER('Plano de Ação'!$G201)),'Plano de Ação'!$J201="Cancelada"),0,IF(AND('Plano de Ação'!$F201&lt;=EOMONTH(DATE(ano_ref,7,1),0),'Plano de Ação'!$G201&gt;=DATE(ano_ref,7,1)),1,0))</f>
      </c>
      <c r="L202" s="41">
        <f>IF(OR(NOT('Plano de Ação'!$B201&lt;&gt;""),NOT(ISNUMBER('Plano de Ação'!$F201)),NOT(ISNUMBER('Plano de Ação'!$G201)),'Plano de Ação'!$J201="Cancelada"),0,IF(AND('Plano de Ação'!$F201&lt;=EOMONTH(DATE(ano_ref,8,1),0),'Plano de Ação'!$G201&gt;=DATE(ano_ref,8,1)),1,0))</f>
      </c>
      <c r="M202" s="41">
        <f>IF(OR(NOT('Plano de Ação'!$B201&lt;&gt;""),NOT(ISNUMBER('Plano de Ação'!$F201)),NOT(ISNUMBER('Plano de Ação'!$G201)),'Plano de Ação'!$J201="Cancelada"),0,IF(AND('Plano de Ação'!$F201&lt;=EOMONTH(DATE(ano_ref,9,1),0),'Plano de Ação'!$G201&gt;=DATE(ano_ref,9,1)),1,0))</f>
      </c>
      <c r="N202" s="41">
        <f>IF(OR(NOT('Plano de Ação'!$B201&lt;&gt;""),NOT(ISNUMBER('Plano de Ação'!$F201)),NOT(ISNUMBER('Plano de Ação'!$G201)),'Plano de Ação'!$J201="Cancelada"),0,IF(AND('Plano de Ação'!$F201&lt;=EOMONTH(DATE(ano_ref,10,1),0),'Plano de Ação'!$G201&gt;=DATE(ano_ref,10,1)),1,0))</f>
      </c>
      <c r="O202" s="41">
        <f>IF(OR(NOT('Plano de Ação'!$B201&lt;&gt;""),NOT(ISNUMBER('Plano de Ação'!$F201)),NOT(ISNUMBER('Plano de Ação'!$G201)),'Plano de Ação'!$J201="Cancelada"),0,IF(AND('Plano de Ação'!$F201&lt;=EOMONTH(DATE(ano_ref,11,1),0),'Plano de Ação'!$G201&gt;=DATE(ano_ref,11,1)),1,0))</f>
      </c>
      <c r="P202" s="41">
        <f>IF(OR(NOT('Plano de Ação'!$B201&lt;&gt;""),NOT(ISNUMBER('Plano de Ação'!$F201)),NOT(ISNUMBER('Plano de Ação'!$G201)),'Plano de Ação'!$J201="Cancelada"),0,IF(AND('Plano de Ação'!$F201&lt;=EOMONTH(DATE(ano_ref,12,1),0),'Plano de Ação'!$G201&gt;=DATE(ano_ref,12,1)),1,0))</f>
      </c>
    </row>
    <row r="203" spans="1:16" x14ac:dyDescent="0.25">
      <c r="A203" s="40">
        <f>IF('Plano de Ação'!$B202&lt;&gt;"",'Plano de Ação'!A202&amp;"","")</f>
      </c>
      <c r="B203" s="25">
        <f>IF('Plano de Ação'!$B202&lt;&gt;"",'Plano de Ação'!B202,"")</f>
      </c>
      <c r="C203" s="25">
        <f>IF('Plano de Ação'!$B202&lt;&gt;"",'Plano de Ação'!E202&amp;"","")</f>
      </c>
      <c r="D203" s="40">
        <f>IF('Plano de Ação'!$B202&lt;&gt;"",'Plano de Ação'!L202,"")</f>
      </c>
      <c r="E203" s="41">
        <f>IF(OR(NOT('Plano de Ação'!$B202&lt;&gt;""),NOT(ISNUMBER('Plano de Ação'!$F202)),NOT(ISNUMBER('Plano de Ação'!$G202)),'Plano de Ação'!$J202="Cancelada"),0,IF(AND('Plano de Ação'!$F202&lt;=EOMONTH(DATE(ano_ref,1,1),0),'Plano de Ação'!$G202&gt;=DATE(ano_ref,1,1)),1,0))</f>
      </c>
      <c r="F203" s="41">
        <f>IF(OR(NOT('Plano de Ação'!$B202&lt;&gt;""),NOT(ISNUMBER('Plano de Ação'!$F202)),NOT(ISNUMBER('Plano de Ação'!$G202)),'Plano de Ação'!$J202="Cancelada"),0,IF(AND('Plano de Ação'!$F202&lt;=EOMONTH(DATE(ano_ref,2,1),0),'Plano de Ação'!$G202&gt;=DATE(ano_ref,2,1)),1,0))</f>
      </c>
      <c r="G203" s="41">
        <f>IF(OR(NOT('Plano de Ação'!$B202&lt;&gt;""),NOT(ISNUMBER('Plano de Ação'!$F202)),NOT(ISNUMBER('Plano de Ação'!$G202)),'Plano de Ação'!$J202="Cancelada"),0,IF(AND('Plano de Ação'!$F202&lt;=EOMONTH(DATE(ano_ref,3,1),0),'Plano de Ação'!$G202&gt;=DATE(ano_ref,3,1)),1,0))</f>
      </c>
      <c r="H203" s="41">
        <f>IF(OR(NOT('Plano de Ação'!$B202&lt;&gt;""),NOT(ISNUMBER('Plano de Ação'!$F202)),NOT(ISNUMBER('Plano de Ação'!$G202)),'Plano de Ação'!$J202="Cancelada"),0,IF(AND('Plano de Ação'!$F202&lt;=EOMONTH(DATE(ano_ref,4,1),0),'Plano de Ação'!$G202&gt;=DATE(ano_ref,4,1)),1,0))</f>
      </c>
      <c r="I203" s="41">
        <f>IF(OR(NOT('Plano de Ação'!$B202&lt;&gt;""),NOT(ISNUMBER('Plano de Ação'!$F202)),NOT(ISNUMBER('Plano de Ação'!$G202)),'Plano de Ação'!$J202="Cancelada"),0,IF(AND('Plano de Ação'!$F202&lt;=EOMONTH(DATE(ano_ref,5,1),0),'Plano de Ação'!$G202&gt;=DATE(ano_ref,5,1)),1,0))</f>
      </c>
      <c r="J203" s="41">
        <f>IF(OR(NOT('Plano de Ação'!$B202&lt;&gt;""),NOT(ISNUMBER('Plano de Ação'!$F202)),NOT(ISNUMBER('Plano de Ação'!$G202)),'Plano de Ação'!$J202="Cancelada"),0,IF(AND('Plano de Ação'!$F202&lt;=EOMONTH(DATE(ano_ref,6,1),0),'Plano de Ação'!$G202&gt;=DATE(ano_ref,6,1)),1,0))</f>
      </c>
      <c r="K203" s="41">
        <f>IF(OR(NOT('Plano de Ação'!$B202&lt;&gt;""),NOT(ISNUMBER('Plano de Ação'!$F202)),NOT(ISNUMBER('Plano de Ação'!$G202)),'Plano de Ação'!$J202="Cancelada"),0,IF(AND('Plano de Ação'!$F202&lt;=EOMONTH(DATE(ano_ref,7,1),0),'Plano de Ação'!$G202&gt;=DATE(ano_ref,7,1)),1,0))</f>
      </c>
      <c r="L203" s="41">
        <f>IF(OR(NOT('Plano de Ação'!$B202&lt;&gt;""),NOT(ISNUMBER('Plano de Ação'!$F202)),NOT(ISNUMBER('Plano de Ação'!$G202)),'Plano de Ação'!$J202="Cancelada"),0,IF(AND('Plano de Ação'!$F202&lt;=EOMONTH(DATE(ano_ref,8,1),0),'Plano de Ação'!$G202&gt;=DATE(ano_ref,8,1)),1,0))</f>
      </c>
      <c r="M203" s="41">
        <f>IF(OR(NOT('Plano de Ação'!$B202&lt;&gt;""),NOT(ISNUMBER('Plano de Ação'!$F202)),NOT(ISNUMBER('Plano de Ação'!$G202)),'Plano de Ação'!$J202="Cancelada"),0,IF(AND('Plano de Ação'!$F202&lt;=EOMONTH(DATE(ano_ref,9,1),0),'Plano de Ação'!$G202&gt;=DATE(ano_ref,9,1)),1,0))</f>
      </c>
      <c r="N203" s="41">
        <f>IF(OR(NOT('Plano de Ação'!$B202&lt;&gt;""),NOT(ISNUMBER('Plano de Ação'!$F202)),NOT(ISNUMBER('Plano de Ação'!$G202)),'Plano de Ação'!$J202="Cancelada"),0,IF(AND('Plano de Ação'!$F202&lt;=EOMONTH(DATE(ano_ref,10,1),0),'Plano de Ação'!$G202&gt;=DATE(ano_ref,10,1)),1,0))</f>
      </c>
      <c r="O203" s="41">
        <f>IF(OR(NOT('Plano de Ação'!$B202&lt;&gt;""),NOT(ISNUMBER('Plano de Ação'!$F202)),NOT(ISNUMBER('Plano de Ação'!$G202)),'Plano de Ação'!$J202="Cancelada"),0,IF(AND('Plano de Ação'!$F202&lt;=EOMONTH(DATE(ano_ref,11,1),0),'Plano de Ação'!$G202&gt;=DATE(ano_ref,11,1)),1,0))</f>
      </c>
      <c r="P203" s="41">
        <f>IF(OR(NOT('Plano de Ação'!$B202&lt;&gt;""),NOT(ISNUMBER('Plano de Ação'!$F202)),NOT(ISNUMBER('Plano de Ação'!$G202)),'Plano de Ação'!$J202="Cancelada"),0,IF(AND('Plano de Ação'!$F202&lt;=EOMONTH(DATE(ano_ref,12,1),0),'Plano de Ação'!$G202&gt;=DATE(ano_ref,12,1)),1,0))</f>
      </c>
    </row>
    <row r="204" spans="1:16" x14ac:dyDescent="0.25">
      <c r="A204" s="40">
        <f>IF('Plano de Ação'!$B203&lt;&gt;"",'Plano de Ação'!A203&amp;"","")</f>
      </c>
      <c r="B204" s="25">
        <f>IF('Plano de Ação'!$B203&lt;&gt;"",'Plano de Ação'!B203,"")</f>
      </c>
      <c r="C204" s="25">
        <f>IF('Plano de Ação'!$B203&lt;&gt;"",'Plano de Ação'!E203&amp;"","")</f>
      </c>
      <c r="D204" s="40">
        <f>IF('Plano de Ação'!$B203&lt;&gt;"",'Plano de Ação'!L203,"")</f>
      </c>
      <c r="E204" s="41">
        <f>IF(OR(NOT('Plano de Ação'!$B203&lt;&gt;""),NOT(ISNUMBER('Plano de Ação'!$F203)),NOT(ISNUMBER('Plano de Ação'!$G203)),'Plano de Ação'!$J203="Cancelada"),0,IF(AND('Plano de Ação'!$F203&lt;=EOMONTH(DATE(ano_ref,1,1),0),'Plano de Ação'!$G203&gt;=DATE(ano_ref,1,1)),1,0))</f>
      </c>
      <c r="F204" s="41">
        <f>IF(OR(NOT('Plano de Ação'!$B203&lt;&gt;""),NOT(ISNUMBER('Plano de Ação'!$F203)),NOT(ISNUMBER('Plano de Ação'!$G203)),'Plano de Ação'!$J203="Cancelada"),0,IF(AND('Plano de Ação'!$F203&lt;=EOMONTH(DATE(ano_ref,2,1),0),'Plano de Ação'!$G203&gt;=DATE(ano_ref,2,1)),1,0))</f>
      </c>
      <c r="G204" s="41">
        <f>IF(OR(NOT('Plano de Ação'!$B203&lt;&gt;""),NOT(ISNUMBER('Plano de Ação'!$F203)),NOT(ISNUMBER('Plano de Ação'!$G203)),'Plano de Ação'!$J203="Cancelada"),0,IF(AND('Plano de Ação'!$F203&lt;=EOMONTH(DATE(ano_ref,3,1),0),'Plano de Ação'!$G203&gt;=DATE(ano_ref,3,1)),1,0))</f>
      </c>
      <c r="H204" s="41">
        <f>IF(OR(NOT('Plano de Ação'!$B203&lt;&gt;""),NOT(ISNUMBER('Plano de Ação'!$F203)),NOT(ISNUMBER('Plano de Ação'!$G203)),'Plano de Ação'!$J203="Cancelada"),0,IF(AND('Plano de Ação'!$F203&lt;=EOMONTH(DATE(ano_ref,4,1),0),'Plano de Ação'!$G203&gt;=DATE(ano_ref,4,1)),1,0))</f>
      </c>
      <c r="I204" s="41">
        <f>IF(OR(NOT('Plano de Ação'!$B203&lt;&gt;""),NOT(ISNUMBER('Plano de Ação'!$F203)),NOT(ISNUMBER('Plano de Ação'!$G203)),'Plano de Ação'!$J203="Cancelada"),0,IF(AND('Plano de Ação'!$F203&lt;=EOMONTH(DATE(ano_ref,5,1),0),'Plano de Ação'!$G203&gt;=DATE(ano_ref,5,1)),1,0))</f>
      </c>
      <c r="J204" s="41">
        <f>IF(OR(NOT('Plano de Ação'!$B203&lt;&gt;""),NOT(ISNUMBER('Plano de Ação'!$F203)),NOT(ISNUMBER('Plano de Ação'!$G203)),'Plano de Ação'!$J203="Cancelada"),0,IF(AND('Plano de Ação'!$F203&lt;=EOMONTH(DATE(ano_ref,6,1),0),'Plano de Ação'!$G203&gt;=DATE(ano_ref,6,1)),1,0))</f>
      </c>
      <c r="K204" s="41">
        <f>IF(OR(NOT('Plano de Ação'!$B203&lt;&gt;""),NOT(ISNUMBER('Plano de Ação'!$F203)),NOT(ISNUMBER('Plano de Ação'!$G203)),'Plano de Ação'!$J203="Cancelada"),0,IF(AND('Plano de Ação'!$F203&lt;=EOMONTH(DATE(ano_ref,7,1),0),'Plano de Ação'!$G203&gt;=DATE(ano_ref,7,1)),1,0))</f>
      </c>
      <c r="L204" s="41">
        <f>IF(OR(NOT('Plano de Ação'!$B203&lt;&gt;""),NOT(ISNUMBER('Plano de Ação'!$F203)),NOT(ISNUMBER('Plano de Ação'!$G203)),'Plano de Ação'!$J203="Cancelada"),0,IF(AND('Plano de Ação'!$F203&lt;=EOMONTH(DATE(ano_ref,8,1),0),'Plano de Ação'!$G203&gt;=DATE(ano_ref,8,1)),1,0))</f>
      </c>
      <c r="M204" s="41">
        <f>IF(OR(NOT('Plano de Ação'!$B203&lt;&gt;""),NOT(ISNUMBER('Plano de Ação'!$F203)),NOT(ISNUMBER('Plano de Ação'!$G203)),'Plano de Ação'!$J203="Cancelada"),0,IF(AND('Plano de Ação'!$F203&lt;=EOMONTH(DATE(ano_ref,9,1),0),'Plano de Ação'!$G203&gt;=DATE(ano_ref,9,1)),1,0))</f>
      </c>
      <c r="N204" s="41">
        <f>IF(OR(NOT('Plano de Ação'!$B203&lt;&gt;""),NOT(ISNUMBER('Plano de Ação'!$F203)),NOT(ISNUMBER('Plano de Ação'!$G203)),'Plano de Ação'!$J203="Cancelada"),0,IF(AND('Plano de Ação'!$F203&lt;=EOMONTH(DATE(ano_ref,10,1),0),'Plano de Ação'!$G203&gt;=DATE(ano_ref,10,1)),1,0))</f>
      </c>
      <c r="O204" s="41">
        <f>IF(OR(NOT('Plano de Ação'!$B203&lt;&gt;""),NOT(ISNUMBER('Plano de Ação'!$F203)),NOT(ISNUMBER('Plano de Ação'!$G203)),'Plano de Ação'!$J203="Cancelada"),0,IF(AND('Plano de Ação'!$F203&lt;=EOMONTH(DATE(ano_ref,11,1),0),'Plano de Ação'!$G203&gt;=DATE(ano_ref,11,1)),1,0))</f>
      </c>
      <c r="P204" s="41">
        <f>IF(OR(NOT('Plano de Ação'!$B203&lt;&gt;""),NOT(ISNUMBER('Plano de Ação'!$F203)),NOT(ISNUMBER('Plano de Ação'!$G203)),'Plano de Ação'!$J203="Cancelada"),0,IF(AND('Plano de Ação'!$F203&lt;=EOMONTH(DATE(ano_ref,12,1),0),'Plano de Ação'!$G203&gt;=DATE(ano_ref,12,1)),1,0))</f>
      </c>
    </row>
    <row r="205" spans="1:16" x14ac:dyDescent="0.25">
      <c r="A205" s="40">
        <f>IF('Plano de Ação'!$B204&lt;&gt;"",'Plano de Ação'!A204&amp;"","")</f>
      </c>
      <c r="B205" s="25">
        <f>IF('Plano de Ação'!$B204&lt;&gt;"",'Plano de Ação'!B204,"")</f>
      </c>
      <c r="C205" s="25">
        <f>IF('Plano de Ação'!$B204&lt;&gt;"",'Plano de Ação'!E204&amp;"","")</f>
      </c>
      <c r="D205" s="40">
        <f>IF('Plano de Ação'!$B204&lt;&gt;"",'Plano de Ação'!L204,"")</f>
      </c>
      <c r="E205" s="41">
        <f>IF(OR(NOT('Plano de Ação'!$B204&lt;&gt;""),NOT(ISNUMBER('Plano de Ação'!$F204)),NOT(ISNUMBER('Plano de Ação'!$G204)),'Plano de Ação'!$J204="Cancelada"),0,IF(AND('Plano de Ação'!$F204&lt;=EOMONTH(DATE(ano_ref,1,1),0),'Plano de Ação'!$G204&gt;=DATE(ano_ref,1,1)),1,0))</f>
      </c>
      <c r="F205" s="41">
        <f>IF(OR(NOT('Plano de Ação'!$B204&lt;&gt;""),NOT(ISNUMBER('Plano de Ação'!$F204)),NOT(ISNUMBER('Plano de Ação'!$G204)),'Plano de Ação'!$J204="Cancelada"),0,IF(AND('Plano de Ação'!$F204&lt;=EOMONTH(DATE(ano_ref,2,1),0),'Plano de Ação'!$G204&gt;=DATE(ano_ref,2,1)),1,0))</f>
      </c>
      <c r="G205" s="41">
        <f>IF(OR(NOT('Plano de Ação'!$B204&lt;&gt;""),NOT(ISNUMBER('Plano de Ação'!$F204)),NOT(ISNUMBER('Plano de Ação'!$G204)),'Plano de Ação'!$J204="Cancelada"),0,IF(AND('Plano de Ação'!$F204&lt;=EOMONTH(DATE(ano_ref,3,1),0),'Plano de Ação'!$G204&gt;=DATE(ano_ref,3,1)),1,0))</f>
      </c>
      <c r="H205" s="41">
        <f>IF(OR(NOT('Plano de Ação'!$B204&lt;&gt;""),NOT(ISNUMBER('Plano de Ação'!$F204)),NOT(ISNUMBER('Plano de Ação'!$G204)),'Plano de Ação'!$J204="Cancelada"),0,IF(AND('Plano de Ação'!$F204&lt;=EOMONTH(DATE(ano_ref,4,1),0),'Plano de Ação'!$G204&gt;=DATE(ano_ref,4,1)),1,0))</f>
      </c>
      <c r="I205" s="41">
        <f>IF(OR(NOT('Plano de Ação'!$B204&lt;&gt;""),NOT(ISNUMBER('Plano de Ação'!$F204)),NOT(ISNUMBER('Plano de Ação'!$G204)),'Plano de Ação'!$J204="Cancelada"),0,IF(AND('Plano de Ação'!$F204&lt;=EOMONTH(DATE(ano_ref,5,1),0),'Plano de Ação'!$G204&gt;=DATE(ano_ref,5,1)),1,0))</f>
      </c>
      <c r="J205" s="41">
        <f>IF(OR(NOT('Plano de Ação'!$B204&lt;&gt;""),NOT(ISNUMBER('Plano de Ação'!$F204)),NOT(ISNUMBER('Plano de Ação'!$G204)),'Plano de Ação'!$J204="Cancelada"),0,IF(AND('Plano de Ação'!$F204&lt;=EOMONTH(DATE(ano_ref,6,1),0),'Plano de Ação'!$G204&gt;=DATE(ano_ref,6,1)),1,0))</f>
      </c>
      <c r="K205" s="41">
        <f>IF(OR(NOT('Plano de Ação'!$B204&lt;&gt;""),NOT(ISNUMBER('Plano de Ação'!$F204)),NOT(ISNUMBER('Plano de Ação'!$G204)),'Plano de Ação'!$J204="Cancelada"),0,IF(AND('Plano de Ação'!$F204&lt;=EOMONTH(DATE(ano_ref,7,1),0),'Plano de Ação'!$G204&gt;=DATE(ano_ref,7,1)),1,0))</f>
      </c>
      <c r="L205" s="41">
        <f>IF(OR(NOT('Plano de Ação'!$B204&lt;&gt;""),NOT(ISNUMBER('Plano de Ação'!$F204)),NOT(ISNUMBER('Plano de Ação'!$G204)),'Plano de Ação'!$J204="Cancelada"),0,IF(AND('Plano de Ação'!$F204&lt;=EOMONTH(DATE(ano_ref,8,1),0),'Plano de Ação'!$G204&gt;=DATE(ano_ref,8,1)),1,0))</f>
      </c>
      <c r="M205" s="41">
        <f>IF(OR(NOT('Plano de Ação'!$B204&lt;&gt;""),NOT(ISNUMBER('Plano de Ação'!$F204)),NOT(ISNUMBER('Plano de Ação'!$G204)),'Plano de Ação'!$J204="Cancelada"),0,IF(AND('Plano de Ação'!$F204&lt;=EOMONTH(DATE(ano_ref,9,1),0),'Plano de Ação'!$G204&gt;=DATE(ano_ref,9,1)),1,0))</f>
      </c>
      <c r="N205" s="41">
        <f>IF(OR(NOT('Plano de Ação'!$B204&lt;&gt;""),NOT(ISNUMBER('Plano de Ação'!$F204)),NOT(ISNUMBER('Plano de Ação'!$G204)),'Plano de Ação'!$J204="Cancelada"),0,IF(AND('Plano de Ação'!$F204&lt;=EOMONTH(DATE(ano_ref,10,1),0),'Plano de Ação'!$G204&gt;=DATE(ano_ref,10,1)),1,0))</f>
      </c>
      <c r="O205" s="41">
        <f>IF(OR(NOT('Plano de Ação'!$B204&lt;&gt;""),NOT(ISNUMBER('Plano de Ação'!$F204)),NOT(ISNUMBER('Plano de Ação'!$G204)),'Plano de Ação'!$J204="Cancelada"),0,IF(AND('Plano de Ação'!$F204&lt;=EOMONTH(DATE(ano_ref,11,1),0),'Plano de Ação'!$G204&gt;=DATE(ano_ref,11,1)),1,0))</f>
      </c>
      <c r="P205" s="41">
        <f>IF(OR(NOT('Plano de Ação'!$B204&lt;&gt;""),NOT(ISNUMBER('Plano de Ação'!$F204)),NOT(ISNUMBER('Plano de Ação'!$G204)),'Plano de Ação'!$J204="Cancelada"),0,IF(AND('Plano de Ação'!$F204&lt;=EOMONTH(DATE(ano_ref,12,1),0),'Plano de Ação'!$G204&gt;=DATE(ano_ref,12,1)),1,0))</f>
      </c>
    </row>
    <row r="206" spans="1:16" x14ac:dyDescent="0.25">
      <c r="A206" s="40">
        <f>IF('Plano de Ação'!$B205&lt;&gt;"",'Plano de Ação'!A205&amp;"","")</f>
      </c>
      <c r="B206" s="25">
        <f>IF('Plano de Ação'!$B205&lt;&gt;"",'Plano de Ação'!B205,"")</f>
      </c>
      <c r="C206" s="25">
        <f>IF('Plano de Ação'!$B205&lt;&gt;"",'Plano de Ação'!E205&amp;"","")</f>
      </c>
      <c r="D206" s="40">
        <f>IF('Plano de Ação'!$B205&lt;&gt;"",'Plano de Ação'!L205,"")</f>
      </c>
      <c r="E206" s="41">
        <f>IF(OR(NOT('Plano de Ação'!$B205&lt;&gt;""),NOT(ISNUMBER('Plano de Ação'!$F205)),NOT(ISNUMBER('Plano de Ação'!$G205)),'Plano de Ação'!$J205="Cancelada"),0,IF(AND('Plano de Ação'!$F205&lt;=EOMONTH(DATE(ano_ref,1,1),0),'Plano de Ação'!$G205&gt;=DATE(ano_ref,1,1)),1,0))</f>
      </c>
      <c r="F206" s="41">
        <f>IF(OR(NOT('Plano de Ação'!$B205&lt;&gt;""),NOT(ISNUMBER('Plano de Ação'!$F205)),NOT(ISNUMBER('Plano de Ação'!$G205)),'Plano de Ação'!$J205="Cancelada"),0,IF(AND('Plano de Ação'!$F205&lt;=EOMONTH(DATE(ano_ref,2,1),0),'Plano de Ação'!$G205&gt;=DATE(ano_ref,2,1)),1,0))</f>
      </c>
      <c r="G206" s="41">
        <f>IF(OR(NOT('Plano de Ação'!$B205&lt;&gt;""),NOT(ISNUMBER('Plano de Ação'!$F205)),NOT(ISNUMBER('Plano de Ação'!$G205)),'Plano de Ação'!$J205="Cancelada"),0,IF(AND('Plano de Ação'!$F205&lt;=EOMONTH(DATE(ano_ref,3,1),0),'Plano de Ação'!$G205&gt;=DATE(ano_ref,3,1)),1,0))</f>
      </c>
      <c r="H206" s="41">
        <f>IF(OR(NOT('Plano de Ação'!$B205&lt;&gt;""),NOT(ISNUMBER('Plano de Ação'!$F205)),NOT(ISNUMBER('Plano de Ação'!$G205)),'Plano de Ação'!$J205="Cancelada"),0,IF(AND('Plano de Ação'!$F205&lt;=EOMONTH(DATE(ano_ref,4,1),0),'Plano de Ação'!$G205&gt;=DATE(ano_ref,4,1)),1,0))</f>
      </c>
      <c r="I206" s="41">
        <f>IF(OR(NOT('Plano de Ação'!$B205&lt;&gt;""),NOT(ISNUMBER('Plano de Ação'!$F205)),NOT(ISNUMBER('Plano de Ação'!$G205)),'Plano de Ação'!$J205="Cancelada"),0,IF(AND('Plano de Ação'!$F205&lt;=EOMONTH(DATE(ano_ref,5,1),0),'Plano de Ação'!$G205&gt;=DATE(ano_ref,5,1)),1,0))</f>
      </c>
      <c r="J206" s="41">
        <f>IF(OR(NOT('Plano de Ação'!$B205&lt;&gt;""),NOT(ISNUMBER('Plano de Ação'!$F205)),NOT(ISNUMBER('Plano de Ação'!$G205)),'Plano de Ação'!$J205="Cancelada"),0,IF(AND('Plano de Ação'!$F205&lt;=EOMONTH(DATE(ano_ref,6,1),0),'Plano de Ação'!$G205&gt;=DATE(ano_ref,6,1)),1,0))</f>
      </c>
      <c r="K206" s="41">
        <f>IF(OR(NOT('Plano de Ação'!$B205&lt;&gt;""),NOT(ISNUMBER('Plano de Ação'!$F205)),NOT(ISNUMBER('Plano de Ação'!$G205)),'Plano de Ação'!$J205="Cancelada"),0,IF(AND('Plano de Ação'!$F205&lt;=EOMONTH(DATE(ano_ref,7,1),0),'Plano de Ação'!$G205&gt;=DATE(ano_ref,7,1)),1,0))</f>
      </c>
      <c r="L206" s="41">
        <f>IF(OR(NOT('Plano de Ação'!$B205&lt;&gt;""),NOT(ISNUMBER('Plano de Ação'!$F205)),NOT(ISNUMBER('Plano de Ação'!$G205)),'Plano de Ação'!$J205="Cancelada"),0,IF(AND('Plano de Ação'!$F205&lt;=EOMONTH(DATE(ano_ref,8,1),0),'Plano de Ação'!$G205&gt;=DATE(ano_ref,8,1)),1,0))</f>
      </c>
      <c r="M206" s="41">
        <f>IF(OR(NOT('Plano de Ação'!$B205&lt;&gt;""),NOT(ISNUMBER('Plano de Ação'!$F205)),NOT(ISNUMBER('Plano de Ação'!$G205)),'Plano de Ação'!$J205="Cancelada"),0,IF(AND('Plano de Ação'!$F205&lt;=EOMONTH(DATE(ano_ref,9,1),0),'Plano de Ação'!$G205&gt;=DATE(ano_ref,9,1)),1,0))</f>
      </c>
      <c r="N206" s="41">
        <f>IF(OR(NOT('Plano de Ação'!$B205&lt;&gt;""),NOT(ISNUMBER('Plano de Ação'!$F205)),NOT(ISNUMBER('Plano de Ação'!$G205)),'Plano de Ação'!$J205="Cancelada"),0,IF(AND('Plano de Ação'!$F205&lt;=EOMONTH(DATE(ano_ref,10,1),0),'Plano de Ação'!$G205&gt;=DATE(ano_ref,10,1)),1,0))</f>
      </c>
      <c r="O206" s="41">
        <f>IF(OR(NOT('Plano de Ação'!$B205&lt;&gt;""),NOT(ISNUMBER('Plano de Ação'!$F205)),NOT(ISNUMBER('Plano de Ação'!$G205)),'Plano de Ação'!$J205="Cancelada"),0,IF(AND('Plano de Ação'!$F205&lt;=EOMONTH(DATE(ano_ref,11,1),0),'Plano de Ação'!$G205&gt;=DATE(ano_ref,11,1)),1,0))</f>
      </c>
      <c r="P206" s="41">
        <f>IF(OR(NOT('Plano de Ação'!$B205&lt;&gt;""),NOT(ISNUMBER('Plano de Ação'!$F205)),NOT(ISNUMBER('Plano de Ação'!$G205)),'Plano de Ação'!$J205="Cancelada"),0,IF(AND('Plano de Ação'!$F205&lt;=EOMONTH(DATE(ano_ref,12,1),0),'Plano de Ação'!$G205&gt;=DATE(ano_ref,12,1)),1,0))</f>
      </c>
    </row>
    <row r="207" spans="1:16" x14ac:dyDescent="0.25">
      <c r="A207" s="40">
        <f>IF('Plano de Ação'!$B206&lt;&gt;"",'Plano de Ação'!A206&amp;"","")</f>
      </c>
      <c r="B207" s="25">
        <f>IF('Plano de Ação'!$B206&lt;&gt;"",'Plano de Ação'!B206,"")</f>
      </c>
      <c r="C207" s="25">
        <f>IF('Plano de Ação'!$B206&lt;&gt;"",'Plano de Ação'!E206&amp;"","")</f>
      </c>
      <c r="D207" s="40">
        <f>IF('Plano de Ação'!$B206&lt;&gt;"",'Plano de Ação'!L206,"")</f>
      </c>
      <c r="E207" s="41">
        <f>IF(OR(NOT('Plano de Ação'!$B206&lt;&gt;""),NOT(ISNUMBER('Plano de Ação'!$F206)),NOT(ISNUMBER('Plano de Ação'!$G206)),'Plano de Ação'!$J206="Cancelada"),0,IF(AND('Plano de Ação'!$F206&lt;=EOMONTH(DATE(ano_ref,1,1),0),'Plano de Ação'!$G206&gt;=DATE(ano_ref,1,1)),1,0))</f>
      </c>
      <c r="F207" s="41">
        <f>IF(OR(NOT('Plano de Ação'!$B206&lt;&gt;""),NOT(ISNUMBER('Plano de Ação'!$F206)),NOT(ISNUMBER('Plano de Ação'!$G206)),'Plano de Ação'!$J206="Cancelada"),0,IF(AND('Plano de Ação'!$F206&lt;=EOMONTH(DATE(ano_ref,2,1),0),'Plano de Ação'!$G206&gt;=DATE(ano_ref,2,1)),1,0))</f>
      </c>
      <c r="G207" s="41">
        <f>IF(OR(NOT('Plano de Ação'!$B206&lt;&gt;""),NOT(ISNUMBER('Plano de Ação'!$F206)),NOT(ISNUMBER('Plano de Ação'!$G206)),'Plano de Ação'!$J206="Cancelada"),0,IF(AND('Plano de Ação'!$F206&lt;=EOMONTH(DATE(ano_ref,3,1),0),'Plano de Ação'!$G206&gt;=DATE(ano_ref,3,1)),1,0))</f>
      </c>
      <c r="H207" s="41">
        <f>IF(OR(NOT('Plano de Ação'!$B206&lt;&gt;""),NOT(ISNUMBER('Plano de Ação'!$F206)),NOT(ISNUMBER('Plano de Ação'!$G206)),'Plano de Ação'!$J206="Cancelada"),0,IF(AND('Plano de Ação'!$F206&lt;=EOMONTH(DATE(ano_ref,4,1),0),'Plano de Ação'!$G206&gt;=DATE(ano_ref,4,1)),1,0))</f>
      </c>
      <c r="I207" s="41">
        <f>IF(OR(NOT('Plano de Ação'!$B206&lt;&gt;""),NOT(ISNUMBER('Plano de Ação'!$F206)),NOT(ISNUMBER('Plano de Ação'!$G206)),'Plano de Ação'!$J206="Cancelada"),0,IF(AND('Plano de Ação'!$F206&lt;=EOMONTH(DATE(ano_ref,5,1),0),'Plano de Ação'!$G206&gt;=DATE(ano_ref,5,1)),1,0))</f>
      </c>
      <c r="J207" s="41">
        <f>IF(OR(NOT('Plano de Ação'!$B206&lt;&gt;""),NOT(ISNUMBER('Plano de Ação'!$F206)),NOT(ISNUMBER('Plano de Ação'!$G206)),'Plano de Ação'!$J206="Cancelada"),0,IF(AND('Plano de Ação'!$F206&lt;=EOMONTH(DATE(ano_ref,6,1),0),'Plano de Ação'!$G206&gt;=DATE(ano_ref,6,1)),1,0))</f>
      </c>
      <c r="K207" s="41">
        <f>IF(OR(NOT('Plano de Ação'!$B206&lt;&gt;""),NOT(ISNUMBER('Plano de Ação'!$F206)),NOT(ISNUMBER('Plano de Ação'!$G206)),'Plano de Ação'!$J206="Cancelada"),0,IF(AND('Plano de Ação'!$F206&lt;=EOMONTH(DATE(ano_ref,7,1),0),'Plano de Ação'!$G206&gt;=DATE(ano_ref,7,1)),1,0))</f>
      </c>
      <c r="L207" s="41">
        <f>IF(OR(NOT('Plano de Ação'!$B206&lt;&gt;""),NOT(ISNUMBER('Plano de Ação'!$F206)),NOT(ISNUMBER('Plano de Ação'!$G206)),'Plano de Ação'!$J206="Cancelada"),0,IF(AND('Plano de Ação'!$F206&lt;=EOMONTH(DATE(ano_ref,8,1),0),'Plano de Ação'!$G206&gt;=DATE(ano_ref,8,1)),1,0))</f>
      </c>
      <c r="M207" s="41">
        <f>IF(OR(NOT('Plano de Ação'!$B206&lt;&gt;""),NOT(ISNUMBER('Plano de Ação'!$F206)),NOT(ISNUMBER('Plano de Ação'!$G206)),'Plano de Ação'!$J206="Cancelada"),0,IF(AND('Plano de Ação'!$F206&lt;=EOMONTH(DATE(ano_ref,9,1),0),'Plano de Ação'!$G206&gt;=DATE(ano_ref,9,1)),1,0))</f>
      </c>
      <c r="N207" s="41">
        <f>IF(OR(NOT('Plano de Ação'!$B206&lt;&gt;""),NOT(ISNUMBER('Plano de Ação'!$F206)),NOT(ISNUMBER('Plano de Ação'!$G206)),'Plano de Ação'!$J206="Cancelada"),0,IF(AND('Plano de Ação'!$F206&lt;=EOMONTH(DATE(ano_ref,10,1),0),'Plano de Ação'!$G206&gt;=DATE(ano_ref,10,1)),1,0))</f>
      </c>
      <c r="O207" s="41">
        <f>IF(OR(NOT('Plano de Ação'!$B206&lt;&gt;""),NOT(ISNUMBER('Plano de Ação'!$F206)),NOT(ISNUMBER('Plano de Ação'!$G206)),'Plano de Ação'!$J206="Cancelada"),0,IF(AND('Plano de Ação'!$F206&lt;=EOMONTH(DATE(ano_ref,11,1),0),'Plano de Ação'!$G206&gt;=DATE(ano_ref,11,1)),1,0))</f>
      </c>
      <c r="P207" s="41">
        <f>IF(OR(NOT('Plano de Ação'!$B206&lt;&gt;""),NOT(ISNUMBER('Plano de Ação'!$F206)),NOT(ISNUMBER('Plano de Ação'!$G206)),'Plano de Ação'!$J206="Cancelada"),0,IF(AND('Plano de Ação'!$F206&lt;=EOMONTH(DATE(ano_ref,12,1),0),'Plano de Ação'!$G206&gt;=DATE(ano_ref,12,1)),1,0))</f>
      </c>
    </row>
    <row r="208" spans="1:16" x14ac:dyDescent="0.25">
      <c r="A208" s="40">
        <f>IF('Plano de Ação'!$B207&lt;&gt;"",'Plano de Ação'!A207&amp;"","")</f>
      </c>
      <c r="B208" s="25">
        <f>IF('Plano de Ação'!$B207&lt;&gt;"",'Plano de Ação'!B207,"")</f>
      </c>
      <c r="C208" s="25">
        <f>IF('Plano de Ação'!$B207&lt;&gt;"",'Plano de Ação'!E207&amp;"","")</f>
      </c>
      <c r="D208" s="40">
        <f>IF('Plano de Ação'!$B207&lt;&gt;"",'Plano de Ação'!L207,"")</f>
      </c>
      <c r="E208" s="41">
        <f>IF(OR(NOT('Plano de Ação'!$B207&lt;&gt;""),NOT(ISNUMBER('Plano de Ação'!$F207)),NOT(ISNUMBER('Plano de Ação'!$G207)),'Plano de Ação'!$J207="Cancelada"),0,IF(AND('Plano de Ação'!$F207&lt;=EOMONTH(DATE(ano_ref,1,1),0),'Plano de Ação'!$G207&gt;=DATE(ano_ref,1,1)),1,0))</f>
      </c>
      <c r="F208" s="41">
        <f>IF(OR(NOT('Plano de Ação'!$B207&lt;&gt;""),NOT(ISNUMBER('Plano de Ação'!$F207)),NOT(ISNUMBER('Plano de Ação'!$G207)),'Plano de Ação'!$J207="Cancelada"),0,IF(AND('Plano de Ação'!$F207&lt;=EOMONTH(DATE(ano_ref,2,1),0),'Plano de Ação'!$G207&gt;=DATE(ano_ref,2,1)),1,0))</f>
      </c>
      <c r="G208" s="41">
        <f>IF(OR(NOT('Plano de Ação'!$B207&lt;&gt;""),NOT(ISNUMBER('Plano de Ação'!$F207)),NOT(ISNUMBER('Plano de Ação'!$G207)),'Plano de Ação'!$J207="Cancelada"),0,IF(AND('Plano de Ação'!$F207&lt;=EOMONTH(DATE(ano_ref,3,1),0),'Plano de Ação'!$G207&gt;=DATE(ano_ref,3,1)),1,0))</f>
      </c>
      <c r="H208" s="41">
        <f>IF(OR(NOT('Plano de Ação'!$B207&lt;&gt;""),NOT(ISNUMBER('Plano de Ação'!$F207)),NOT(ISNUMBER('Plano de Ação'!$G207)),'Plano de Ação'!$J207="Cancelada"),0,IF(AND('Plano de Ação'!$F207&lt;=EOMONTH(DATE(ano_ref,4,1),0),'Plano de Ação'!$G207&gt;=DATE(ano_ref,4,1)),1,0))</f>
      </c>
      <c r="I208" s="41">
        <f>IF(OR(NOT('Plano de Ação'!$B207&lt;&gt;""),NOT(ISNUMBER('Plano de Ação'!$F207)),NOT(ISNUMBER('Plano de Ação'!$G207)),'Plano de Ação'!$J207="Cancelada"),0,IF(AND('Plano de Ação'!$F207&lt;=EOMONTH(DATE(ano_ref,5,1),0),'Plano de Ação'!$G207&gt;=DATE(ano_ref,5,1)),1,0))</f>
      </c>
      <c r="J208" s="41">
        <f>IF(OR(NOT('Plano de Ação'!$B207&lt;&gt;""),NOT(ISNUMBER('Plano de Ação'!$F207)),NOT(ISNUMBER('Plano de Ação'!$G207)),'Plano de Ação'!$J207="Cancelada"),0,IF(AND('Plano de Ação'!$F207&lt;=EOMONTH(DATE(ano_ref,6,1),0),'Plano de Ação'!$G207&gt;=DATE(ano_ref,6,1)),1,0))</f>
      </c>
      <c r="K208" s="41">
        <f>IF(OR(NOT('Plano de Ação'!$B207&lt;&gt;""),NOT(ISNUMBER('Plano de Ação'!$F207)),NOT(ISNUMBER('Plano de Ação'!$G207)),'Plano de Ação'!$J207="Cancelada"),0,IF(AND('Plano de Ação'!$F207&lt;=EOMONTH(DATE(ano_ref,7,1),0),'Plano de Ação'!$G207&gt;=DATE(ano_ref,7,1)),1,0))</f>
      </c>
      <c r="L208" s="41">
        <f>IF(OR(NOT('Plano de Ação'!$B207&lt;&gt;""),NOT(ISNUMBER('Plano de Ação'!$F207)),NOT(ISNUMBER('Plano de Ação'!$G207)),'Plano de Ação'!$J207="Cancelada"),0,IF(AND('Plano de Ação'!$F207&lt;=EOMONTH(DATE(ano_ref,8,1),0),'Plano de Ação'!$G207&gt;=DATE(ano_ref,8,1)),1,0))</f>
      </c>
      <c r="M208" s="41">
        <f>IF(OR(NOT('Plano de Ação'!$B207&lt;&gt;""),NOT(ISNUMBER('Plano de Ação'!$F207)),NOT(ISNUMBER('Plano de Ação'!$G207)),'Plano de Ação'!$J207="Cancelada"),0,IF(AND('Plano de Ação'!$F207&lt;=EOMONTH(DATE(ano_ref,9,1),0),'Plano de Ação'!$G207&gt;=DATE(ano_ref,9,1)),1,0))</f>
      </c>
      <c r="N208" s="41">
        <f>IF(OR(NOT('Plano de Ação'!$B207&lt;&gt;""),NOT(ISNUMBER('Plano de Ação'!$F207)),NOT(ISNUMBER('Plano de Ação'!$G207)),'Plano de Ação'!$J207="Cancelada"),0,IF(AND('Plano de Ação'!$F207&lt;=EOMONTH(DATE(ano_ref,10,1),0),'Plano de Ação'!$G207&gt;=DATE(ano_ref,10,1)),1,0))</f>
      </c>
      <c r="O208" s="41">
        <f>IF(OR(NOT('Plano de Ação'!$B207&lt;&gt;""),NOT(ISNUMBER('Plano de Ação'!$F207)),NOT(ISNUMBER('Plano de Ação'!$G207)),'Plano de Ação'!$J207="Cancelada"),0,IF(AND('Plano de Ação'!$F207&lt;=EOMONTH(DATE(ano_ref,11,1),0),'Plano de Ação'!$G207&gt;=DATE(ano_ref,11,1)),1,0))</f>
      </c>
      <c r="P208" s="41">
        <f>IF(OR(NOT('Plano de Ação'!$B207&lt;&gt;""),NOT(ISNUMBER('Plano de Ação'!$F207)),NOT(ISNUMBER('Plano de Ação'!$G207)),'Plano de Ação'!$J207="Cancelada"),0,IF(AND('Plano de Ação'!$F207&lt;=EOMONTH(DATE(ano_ref,12,1),0),'Plano de Ação'!$G207&gt;=DATE(ano_ref,12,1)),1,0))</f>
      </c>
    </row>
    <row r="209" spans="1:16" x14ac:dyDescent="0.25">
      <c r="A209" s="40">
        <f>IF('Plano de Ação'!$B208&lt;&gt;"",'Plano de Ação'!A208&amp;"","")</f>
      </c>
      <c r="B209" s="25">
        <f>IF('Plano de Ação'!$B208&lt;&gt;"",'Plano de Ação'!B208,"")</f>
      </c>
      <c r="C209" s="25">
        <f>IF('Plano de Ação'!$B208&lt;&gt;"",'Plano de Ação'!E208&amp;"","")</f>
      </c>
      <c r="D209" s="40">
        <f>IF('Plano de Ação'!$B208&lt;&gt;"",'Plano de Ação'!L208,"")</f>
      </c>
      <c r="E209" s="41">
        <f>IF(OR(NOT('Plano de Ação'!$B208&lt;&gt;""),NOT(ISNUMBER('Plano de Ação'!$F208)),NOT(ISNUMBER('Plano de Ação'!$G208)),'Plano de Ação'!$J208="Cancelada"),0,IF(AND('Plano de Ação'!$F208&lt;=EOMONTH(DATE(ano_ref,1,1),0),'Plano de Ação'!$G208&gt;=DATE(ano_ref,1,1)),1,0))</f>
      </c>
      <c r="F209" s="41">
        <f>IF(OR(NOT('Plano de Ação'!$B208&lt;&gt;""),NOT(ISNUMBER('Plano de Ação'!$F208)),NOT(ISNUMBER('Plano de Ação'!$G208)),'Plano de Ação'!$J208="Cancelada"),0,IF(AND('Plano de Ação'!$F208&lt;=EOMONTH(DATE(ano_ref,2,1),0),'Plano de Ação'!$G208&gt;=DATE(ano_ref,2,1)),1,0))</f>
      </c>
      <c r="G209" s="41">
        <f>IF(OR(NOT('Plano de Ação'!$B208&lt;&gt;""),NOT(ISNUMBER('Plano de Ação'!$F208)),NOT(ISNUMBER('Plano de Ação'!$G208)),'Plano de Ação'!$J208="Cancelada"),0,IF(AND('Plano de Ação'!$F208&lt;=EOMONTH(DATE(ano_ref,3,1),0),'Plano de Ação'!$G208&gt;=DATE(ano_ref,3,1)),1,0))</f>
      </c>
      <c r="H209" s="41">
        <f>IF(OR(NOT('Plano de Ação'!$B208&lt;&gt;""),NOT(ISNUMBER('Plano de Ação'!$F208)),NOT(ISNUMBER('Plano de Ação'!$G208)),'Plano de Ação'!$J208="Cancelada"),0,IF(AND('Plano de Ação'!$F208&lt;=EOMONTH(DATE(ano_ref,4,1),0),'Plano de Ação'!$G208&gt;=DATE(ano_ref,4,1)),1,0))</f>
      </c>
      <c r="I209" s="41">
        <f>IF(OR(NOT('Plano de Ação'!$B208&lt;&gt;""),NOT(ISNUMBER('Plano de Ação'!$F208)),NOT(ISNUMBER('Plano de Ação'!$G208)),'Plano de Ação'!$J208="Cancelada"),0,IF(AND('Plano de Ação'!$F208&lt;=EOMONTH(DATE(ano_ref,5,1),0),'Plano de Ação'!$G208&gt;=DATE(ano_ref,5,1)),1,0))</f>
      </c>
      <c r="J209" s="41">
        <f>IF(OR(NOT('Plano de Ação'!$B208&lt;&gt;""),NOT(ISNUMBER('Plano de Ação'!$F208)),NOT(ISNUMBER('Plano de Ação'!$G208)),'Plano de Ação'!$J208="Cancelada"),0,IF(AND('Plano de Ação'!$F208&lt;=EOMONTH(DATE(ano_ref,6,1),0),'Plano de Ação'!$G208&gt;=DATE(ano_ref,6,1)),1,0))</f>
      </c>
      <c r="K209" s="41">
        <f>IF(OR(NOT('Plano de Ação'!$B208&lt;&gt;""),NOT(ISNUMBER('Plano de Ação'!$F208)),NOT(ISNUMBER('Plano de Ação'!$G208)),'Plano de Ação'!$J208="Cancelada"),0,IF(AND('Plano de Ação'!$F208&lt;=EOMONTH(DATE(ano_ref,7,1),0),'Plano de Ação'!$G208&gt;=DATE(ano_ref,7,1)),1,0))</f>
      </c>
      <c r="L209" s="41">
        <f>IF(OR(NOT('Plano de Ação'!$B208&lt;&gt;""),NOT(ISNUMBER('Plano de Ação'!$F208)),NOT(ISNUMBER('Plano de Ação'!$G208)),'Plano de Ação'!$J208="Cancelada"),0,IF(AND('Plano de Ação'!$F208&lt;=EOMONTH(DATE(ano_ref,8,1),0),'Plano de Ação'!$G208&gt;=DATE(ano_ref,8,1)),1,0))</f>
      </c>
      <c r="M209" s="41">
        <f>IF(OR(NOT('Plano de Ação'!$B208&lt;&gt;""),NOT(ISNUMBER('Plano de Ação'!$F208)),NOT(ISNUMBER('Plano de Ação'!$G208)),'Plano de Ação'!$J208="Cancelada"),0,IF(AND('Plano de Ação'!$F208&lt;=EOMONTH(DATE(ano_ref,9,1),0),'Plano de Ação'!$G208&gt;=DATE(ano_ref,9,1)),1,0))</f>
      </c>
      <c r="N209" s="41">
        <f>IF(OR(NOT('Plano de Ação'!$B208&lt;&gt;""),NOT(ISNUMBER('Plano de Ação'!$F208)),NOT(ISNUMBER('Plano de Ação'!$G208)),'Plano de Ação'!$J208="Cancelada"),0,IF(AND('Plano de Ação'!$F208&lt;=EOMONTH(DATE(ano_ref,10,1),0),'Plano de Ação'!$G208&gt;=DATE(ano_ref,10,1)),1,0))</f>
      </c>
      <c r="O209" s="41">
        <f>IF(OR(NOT('Plano de Ação'!$B208&lt;&gt;""),NOT(ISNUMBER('Plano de Ação'!$F208)),NOT(ISNUMBER('Plano de Ação'!$G208)),'Plano de Ação'!$J208="Cancelada"),0,IF(AND('Plano de Ação'!$F208&lt;=EOMONTH(DATE(ano_ref,11,1),0),'Plano de Ação'!$G208&gt;=DATE(ano_ref,11,1)),1,0))</f>
      </c>
      <c r="P209" s="41">
        <f>IF(OR(NOT('Plano de Ação'!$B208&lt;&gt;""),NOT(ISNUMBER('Plano de Ação'!$F208)),NOT(ISNUMBER('Plano de Ação'!$G208)),'Plano de Ação'!$J208="Cancelada"),0,IF(AND('Plano de Ação'!$F208&lt;=EOMONTH(DATE(ano_ref,12,1),0),'Plano de Ação'!$G208&gt;=DATE(ano_ref,12,1)),1,0))</f>
      </c>
    </row>
    <row r="210" spans="1:16" x14ac:dyDescent="0.25">
      <c r="A210" s="40">
        <f>IF('Plano de Ação'!$B209&lt;&gt;"",'Plano de Ação'!A209&amp;"","")</f>
      </c>
      <c r="B210" s="25">
        <f>IF('Plano de Ação'!$B209&lt;&gt;"",'Plano de Ação'!B209,"")</f>
      </c>
      <c r="C210" s="25">
        <f>IF('Plano de Ação'!$B209&lt;&gt;"",'Plano de Ação'!E209&amp;"","")</f>
      </c>
      <c r="D210" s="40">
        <f>IF('Plano de Ação'!$B209&lt;&gt;"",'Plano de Ação'!L209,"")</f>
      </c>
      <c r="E210" s="41">
        <f>IF(OR(NOT('Plano de Ação'!$B209&lt;&gt;""),NOT(ISNUMBER('Plano de Ação'!$F209)),NOT(ISNUMBER('Plano de Ação'!$G209)),'Plano de Ação'!$J209="Cancelada"),0,IF(AND('Plano de Ação'!$F209&lt;=EOMONTH(DATE(ano_ref,1,1),0),'Plano de Ação'!$G209&gt;=DATE(ano_ref,1,1)),1,0))</f>
      </c>
      <c r="F210" s="41">
        <f>IF(OR(NOT('Plano de Ação'!$B209&lt;&gt;""),NOT(ISNUMBER('Plano de Ação'!$F209)),NOT(ISNUMBER('Plano de Ação'!$G209)),'Plano de Ação'!$J209="Cancelada"),0,IF(AND('Plano de Ação'!$F209&lt;=EOMONTH(DATE(ano_ref,2,1),0),'Plano de Ação'!$G209&gt;=DATE(ano_ref,2,1)),1,0))</f>
      </c>
      <c r="G210" s="41">
        <f>IF(OR(NOT('Plano de Ação'!$B209&lt;&gt;""),NOT(ISNUMBER('Plano de Ação'!$F209)),NOT(ISNUMBER('Plano de Ação'!$G209)),'Plano de Ação'!$J209="Cancelada"),0,IF(AND('Plano de Ação'!$F209&lt;=EOMONTH(DATE(ano_ref,3,1),0),'Plano de Ação'!$G209&gt;=DATE(ano_ref,3,1)),1,0))</f>
      </c>
      <c r="H210" s="41">
        <f>IF(OR(NOT('Plano de Ação'!$B209&lt;&gt;""),NOT(ISNUMBER('Plano de Ação'!$F209)),NOT(ISNUMBER('Plano de Ação'!$G209)),'Plano de Ação'!$J209="Cancelada"),0,IF(AND('Plano de Ação'!$F209&lt;=EOMONTH(DATE(ano_ref,4,1),0),'Plano de Ação'!$G209&gt;=DATE(ano_ref,4,1)),1,0))</f>
      </c>
      <c r="I210" s="41">
        <f>IF(OR(NOT('Plano de Ação'!$B209&lt;&gt;""),NOT(ISNUMBER('Plano de Ação'!$F209)),NOT(ISNUMBER('Plano de Ação'!$G209)),'Plano de Ação'!$J209="Cancelada"),0,IF(AND('Plano de Ação'!$F209&lt;=EOMONTH(DATE(ano_ref,5,1),0),'Plano de Ação'!$G209&gt;=DATE(ano_ref,5,1)),1,0))</f>
      </c>
      <c r="J210" s="41">
        <f>IF(OR(NOT('Plano de Ação'!$B209&lt;&gt;""),NOT(ISNUMBER('Plano de Ação'!$F209)),NOT(ISNUMBER('Plano de Ação'!$G209)),'Plano de Ação'!$J209="Cancelada"),0,IF(AND('Plano de Ação'!$F209&lt;=EOMONTH(DATE(ano_ref,6,1),0),'Plano de Ação'!$G209&gt;=DATE(ano_ref,6,1)),1,0))</f>
      </c>
      <c r="K210" s="41">
        <f>IF(OR(NOT('Plano de Ação'!$B209&lt;&gt;""),NOT(ISNUMBER('Plano de Ação'!$F209)),NOT(ISNUMBER('Plano de Ação'!$G209)),'Plano de Ação'!$J209="Cancelada"),0,IF(AND('Plano de Ação'!$F209&lt;=EOMONTH(DATE(ano_ref,7,1),0),'Plano de Ação'!$G209&gt;=DATE(ano_ref,7,1)),1,0))</f>
      </c>
      <c r="L210" s="41">
        <f>IF(OR(NOT('Plano de Ação'!$B209&lt;&gt;""),NOT(ISNUMBER('Plano de Ação'!$F209)),NOT(ISNUMBER('Plano de Ação'!$G209)),'Plano de Ação'!$J209="Cancelada"),0,IF(AND('Plano de Ação'!$F209&lt;=EOMONTH(DATE(ano_ref,8,1),0),'Plano de Ação'!$G209&gt;=DATE(ano_ref,8,1)),1,0))</f>
      </c>
      <c r="M210" s="41">
        <f>IF(OR(NOT('Plano de Ação'!$B209&lt;&gt;""),NOT(ISNUMBER('Plano de Ação'!$F209)),NOT(ISNUMBER('Plano de Ação'!$G209)),'Plano de Ação'!$J209="Cancelada"),0,IF(AND('Plano de Ação'!$F209&lt;=EOMONTH(DATE(ano_ref,9,1),0),'Plano de Ação'!$G209&gt;=DATE(ano_ref,9,1)),1,0))</f>
      </c>
      <c r="N210" s="41">
        <f>IF(OR(NOT('Plano de Ação'!$B209&lt;&gt;""),NOT(ISNUMBER('Plano de Ação'!$F209)),NOT(ISNUMBER('Plano de Ação'!$G209)),'Plano de Ação'!$J209="Cancelada"),0,IF(AND('Plano de Ação'!$F209&lt;=EOMONTH(DATE(ano_ref,10,1),0),'Plano de Ação'!$G209&gt;=DATE(ano_ref,10,1)),1,0))</f>
      </c>
      <c r="O210" s="41">
        <f>IF(OR(NOT('Plano de Ação'!$B209&lt;&gt;""),NOT(ISNUMBER('Plano de Ação'!$F209)),NOT(ISNUMBER('Plano de Ação'!$G209)),'Plano de Ação'!$J209="Cancelada"),0,IF(AND('Plano de Ação'!$F209&lt;=EOMONTH(DATE(ano_ref,11,1),0),'Plano de Ação'!$G209&gt;=DATE(ano_ref,11,1)),1,0))</f>
      </c>
      <c r="P210" s="41">
        <f>IF(OR(NOT('Plano de Ação'!$B209&lt;&gt;""),NOT(ISNUMBER('Plano de Ação'!$F209)),NOT(ISNUMBER('Plano de Ação'!$G209)),'Plano de Ação'!$J209="Cancelada"),0,IF(AND('Plano de Ação'!$F209&lt;=EOMONTH(DATE(ano_ref,12,1),0),'Plano de Ação'!$G209&gt;=DATE(ano_ref,12,1)),1,0))</f>
      </c>
    </row>
    <row r="211" spans="1:16" x14ac:dyDescent="0.25">
      <c r="A211" s="40">
        <f>IF('Plano de Ação'!$B210&lt;&gt;"",'Plano de Ação'!A210&amp;"","")</f>
      </c>
      <c r="B211" s="25">
        <f>IF('Plano de Ação'!$B210&lt;&gt;"",'Plano de Ação'!B210,"")</f>
      </c>
      <c r="C211" s="25">
        <f>IF('Plano de Ação'!$B210&lt;&gt;"",'Plano de Ação'!E210&amp;"","")</f>
      </c>
      <c r="D211" s="40">
        <f>IF('Plano de Ação'!$B210&lt;&gt;"",'Plano de Ação'!L210,"")</f>
      </c>
      <c r="E211" s="41">
        <f>IF(OR(NOT('Plano de Ação'!$B210&lt;&gt;""),NOT(ISNUMBER('Plano de Ação'!$F210)),NOT(ISNUMBER('Plano de Ação'!$G210)),'Plano de Ação'!$J210="Cancelada"),0,IF(AND('Plano de Ação'!$F210&lt;=EOMONTH(DATE(ano_ref,1,1),0),'Plano de Ação'!$G210&gt;=DATE(ano_ref,1,1)),1,0))</f>
      </c>
      <c r="F211" s="41">
        <f>IF(OR(NOT('Plano de Ação'!$B210&lt;&gt;""),NOT(ISNUMBER('Plano de Ação'!$F210)),NOT(ISNUMBER('Plano de Ação'!$G210)),'Plano de Ação'!$J210="Cancelada"),0,IF(AND('Plano de Ação'!$F210&lt;=EOMONTH(DATE(ano_ref,2,1),0),'Plano de Ação'!$G210&gt;=DATE(ano_ref,2,1)),1,0))</f>
      </c>
      <c r="G211" s="41">
        <f>IF(OR(NOT('Plano de Ação'!$B210&lt;&gt;""),NOT(ISNUMBER('Plano de Ação'!$F210)),NOT(ISNUMBER('Plano de Ação'!$G210)),'Plano de Ação'!$J210="Cancelada"),0,IF(AND('Plano de Ação'!$F210&lt;=EOMONTH(DATE(ano_ref,3,1),0),'Plano de Ação'!$G210&gt;=DATE(ano_ref,3,1)),1,0))</f>
      </c>
      <c r="H211" s="41">
        <f>IF(OR(NOT('Plano de Ação'!$B210&lt;&gt;""),NOT(ISNUMBER('Plano de Ação'!$F210)),NOT(ISNUMBER('Plano de Ação'!$G210)),'Plano de Ação'!$J210="Cancelada"),0,IF(AND('Plano de Ação'!$F210&lt;=EOMONTH(DATE(ano_ref,4,1),0),'Plano de Ação'!$G210&gt;=DATE(ano_ref,4,1)),1,0))</f>
      </c>
      <c r="I211" s="41">
        <f>IF(OR(NOT('Plano de Ação'!$B210&lt;&gt;""),NOT(ISNUMBER('Plano de Ação'!$F210)),NOT(ISNUMBER('Plano de Ação'!$G210)),'Plano de Ação'!$J210="Cancelada"),0,IF(AND('Plano de Ação'!$F210&lt;=EOMONTH(DATE(ano_ref,5,1),0),'Plano de Ação'!$G210&gt;=DATE(ano_ref,5,1)),1,0))</f>
      </c>
      <c r="J211" s="41">
        <f>IF(OR(NOT('Plano de Ação'!$B210&lt;&gt;""),NOT(ISNUMBER('Plano de Ação'!$F210)),NOT(ISNUMBER('Plano de Ação'!$G210)),'Plano de Ação'!$J210="Cancelada"),0,IF(AND('Plano de Ação'!$F210&lt;=EOMONTH(DATE(ano_ref,6,1),0),'Plano de Ação'!$G210&gt;=DATE(ano_ref,6,1)),1,0))</f>
      </c>
      <c r="K211" s="41">
        <f>IF(OR(NOT('Plano de Ação'!$B210&lt;&gt;""),NOT(ISNUMBER('Plano de Ação'!$F210)),NOT(ISNUMBER('Plano de Ação'!$G210)),'Plano de Ação'!$J210="Cancelada"),0,IF(AND('Plano de Ação'!$F210&lt;=EOMONTH(DATE(ano_ref,7,1),0),'Plano de Ação'!$G210&gt;=DATE(ano_ref,7,1)),1,0))</f>
      </c>
      <c r="L211" s="41">
        <f>IF(OR(NOT('Plano de Ação'!$B210&lt;&gt;""),NOT(ISNUMBER('Plano de Ação'!$F210)),NOT(ISNUMBER('Plano de Ação'!$G210)),'Plano de Ação'!$J210="Cancelada"),0,IF(AND('Plano de Ação'!$F210&lt;=EOMONTH(DATE(ano_ref,8,1),0),'Plano de Ação'!$G210&gt;=DATE(ano_ref,8,1)),1,0))</f>
      </c>
      <c r="M211" s="41">
        <f>IF(OR(NOT('Plano de Ação'!$B210&lt;&gt;""),NOT(ISNUMBER('Plano de Ação'!$F210)),NOT(ISNUMBER('Plano de Ação'!$G210)),'Plano de Ação'!$J210="Cancelada"),0,IF(AND('Plano de Ação'!$F210&lt;=EOMONTH(DATE(ano_ref,9,1),0),'Plano de Ação'!$G210&gt;=DATE(ano_ref,9,1)),1,0))</f>
      </c>
      <c r="N211" s="41">
        <f>IF(OR(NOT('Plano de Ação'!$B210&lt;&gt;""),NOT(ISNUMBER('Plano de Ação'!$F210)),NOT(ISNUMBER('Plano de Ação'!$G210)),'Plano de Ação'!$J210="Cancelada"),0,IF(AND('Plano de Ação'!$F210&lt;=EOMONTH(DATE(ano_ref,10,1),0),'Plano de Ação'!$G210&gt;=DATE(ano_ref,10,1)),1,0))</f>
      </c>
      <c r="O211" s="41">
        <f>IF(OR(NOT('Plano de Ação'!$B210&lt;&gt;""),NOT(ISNUMBER('Plano de Ação'!$F210)),NOT(ISNUMBER('Plano de Ação'!$G210)),'Plano de Ação'!$J210="Cancelada"),0,IF(AND('Plano de Ação'!$F210&lt;=EOMONTH(DATE(ano_ref,11,1),0),'Plano de Ação'!$G210&gt;=DATE(ano_ref,11,1)),1,0))</f>
      </c>
      <c r="P211" s="41">
        <f>IF(OR(NOT('Plano de Ação'!$B210&lt;&gt;""),NOT(ISNUMBER('Plano de Ação'!$F210)),NOT(ISNUMBER('Plano de Ação'!$G210)),'Plano de Ação'!$J210="Cancelada"),0,IF(AND('Plano de Ação'!$F210&lt;=EOMONTH(DATE(ano_ref,12,1),0),'Plano de Ação'!$G210&gt;=DATE(ano_ref,12,1)),1,0))</f>
      </c>
    </row>
    <row r="212" spans="1:16" x14ac:dyDescent="0.25">
      <c r="A212" s="40">
        <f>IF('Plano de Ação'!$B211&lt;&gt;"",'Plano de Ação'!A211&amp;"","")</f>
      </c>
      <c r="B212" s="25">
        <f>IF('Plano de Ação'!$B211&lt;&gt;"",'Plano de Ação'!B211,"")</f>
      </c>
      <c r="C212" s="25">
        <f>IF('Plano de Ação'!$B211&lt;&gt;"",'Plano de Ação'!E211&amp;"","")</f>
      </c>
      <c r="D212" s="40">
        <f>IF('Plano de Ação'!$B211&lt;&gt;"",'Plano de Ação'!L211,"")</f>
      </c>
      <c r="E212" s="41">
        <f>IF(OR(NOT('Plano de Ação'!$B211&lt;&gt;""),NOT(ISNUMBER('Plano de Ação'!$F211)),NOT(ISNUMBER('Plano de Ação'!$G211)),'Plano de Ação'!$J211="Cancelada"),0,IF(AND('Plano de Ação'!$F211&lt;=EOMONTH(DATE(ano_ref,1,1),0),'Plano de Ação'!$G211&gt;=DATE(ano_ref,1,1)),1,0))</f>
      </c>
      <c r="F212" s="41">
        <f>IF(OR(NOT('Plano de Ação'!$B211&lt;&gt;""),NOT(ISNUMBER('Plano de Ação'!$F211)),NOT(ISNUMBER('Plano de Ação'!$G211)),'Plano de Ação'!$J211="Cancelada"),0,IF(AND('Plano de Ação'!$F211&lt;=EOMONTH(DATE(ano_ref,2,1),0),'Plano de Ação'!$G211&gt;=DATE(ano_ref,2,1)),1,0))</f>
      </c>
      <c r="G212" s="41">
        <f>IF(OR(NOT('Plano de Ação'!$B211&lt;&gt;""),NOT(ISNUMBER('Plano de Ação'!$F211)),NOT(ISNUMBER('Plano de Ação'!$G211)),'Plano de Ação'!$J211="Cancelada"),0,IF(AND('Plano de Ação'!$F211&lt;=EOMONTH(DATE(ano_ref,3,1),0),'Plano de Ação'!$G211&gt;=DATE(ano_ref,3,1)),1,0))</f>
      </c>
      <c r="H212" s="41">
        <f>IF(OR(NOT('Plano de Ação'!$B211&lt;&gt;""),NOT(ISNUMBER('Plano de Ação'!$F211)),NOT(ISNUMBER('Plano de Ação'!$G211)),'Plano de Ação'!$J211="Cancelada"),0,IF(AND('Plano de Ação'!$F211&lt;=EOMONTH(DATE(ano_ref,4,1),0),'Plano de Ação'!$G211&gt;=DATE(ano_ref,4,1)),1,0))</f>
      </c>
      <c r="I212" s="41">
        <f>IF(OR(NOT('Plano de Ação'!$B211&lt;&gt;""),NOT(ISNUMBER('Plano de Ação'!$F211)),NOT(ISNUMBER('Plano de Ação'!$G211)),'Plano de Ação'!$J211="Cancelada"),0,IF(AND('Plano de Ação'!$F211&lt;=EOMONTH(DATE(ano_ref,5,1),0),'Plano de Ação'!$G211&gt;=DATE(ano_ref,5,1)),1,0))</f>
      </c>
      <c r="J212" s="41">
        <f>IF(OR(NOT('Plano de Ação'!$B211&lt;&gt;""),NOT(ISNUMBER('Plano de Ação'!$F211)),NOT(ISNUMBER('Plano de Ação'!$G211)),'Plano de Ação'!$J211="Cancelada"),0,IF(AND('Plano de Ação'!$F211&lt;=EOMONTH(DATE(ano_ref,6,1),0),'Plano de Ação'!$G211&gt;=DATE(ano_ref,6,1)),1,0))</f>
      </c>
      <c r="K212" s="41">
        <f>IF(OR(NOT('Plano de Ação'!$B211&lt;&gt;""),NOT(ISNUMBER('Plano de Ação'!$F211)),NOT(ISNUMBER('Plano de Ação'!$G211)),'Plano de Ação'!$J211="Cancelada"),0,IF(AND('Plano de Ação'!$F211&lt;=EOMONTH(DATE(ano_ref,7,1),0),'Plano de Ação'!$G211&gt;=DATE(ano_ref,7,1)),1,0))</f>
      </c>
      <c r="L212" s="41">
        <f>IF(OR(NOT('Plano de Ação'!$B211&lt;&gt;""),NOT(ISNUMBER('Plano de Ação'!$F211)),NOT(ISNUMBER('Plano de Ação'!$G211)),'Plano de Ação'!$J211="Cancelada"),0,IF(AND('Plano de Ação'!$F211&lt;=EOMONTH(DATE(ano_ref,8,1),0),'Plano de Ação'!$G211&gt;=DATE(ano_ref,8,1)),1,0))</f>
      </c>
      <c r="M212" s="41">
        <f>IF(OR(NOT('Plano de Ação'!$B211&lt;&gt;""),NOT(ISNUMBER('Plano de Ação'!$F211)),NOT(ISNUMBER('Plano de Ação'!$G211)),'Plano de Ação'!$J211="Cancelada"),0,IF(AND('Plano de Ação'!$F211&lt;=EOMONTH(DATE(ano_ref,9,1),0),'Plano de Ação'!$G211&gt;=DATE(ano_ref,9,1)),1,0))</f>
      </c>
      <c r="N212" s="41">
        <f>IF(OR(NOT('Plano de Ação'!$B211&lt;&gt;""),NOT(ISNUMBER('Plano de Ação'!$F211)),NOT(ISNUMBER('Plano de Ação'!$G211)),'Plano de Ação'!$J211="Cancelada"),0,IF(AND('Plano de Ação'!$F211&lt;=EOMONTH(DATE(ano_ref,10,1),0),'Plano de Ação'!$G211&gt;=DATE(ano_ref,10,1)),1,0))</f>
      </c>
      <c r="O212" s="41">
        <f>IF(OR(NOT('Plano de Ação'!$B211&lt;&gt;""),NOT(ISNUMBER('Plano de Ação'!$F211)),NOT(ISNUMBER('Plano de Ação'!$G211)),'Plano de Ação'!$J211="Cancelada"),0,IF(AND('Plano de Ação'!$F211&lt;=EOMONTH(DATE(ano_ref,11,1),0),'Plano de Ação'!$G211&gt;=DATE(ano_ref,11,1)),1,0))</f>
      </c>
      <c r="P212" s="41">
        <f>IF(OR(NOT('Plano de Ação'!$B211&lt;&gt;""),NOT(ISNUMBER('Plano de Ação'!$F211)),NOT(ISNUMBER('Plano de Ação'!$G211)),'Plano de Ação'!$J211="Cancelada"),0,IF(AND('Plano de Ação'!$F211&lt;=EOMONTH(DATE(ano_ref,12,1),0),'Plano de Ação'!$G211&gt;=DATE(ano_ref,12,1)),1,0))</f>
      </c>
    </row>
    <row r="213" spans="1:16" x14ac:dyDescent="0.25">
      <c r="A213" s="40">
        <f>IF('Plano de Ação'!$B212&lt;&gt;"",'Plano de Ação'!A212&amp;"","")</f>
      </c>
      <c r="B213" s="25">
        <f>IF('Plano de Ação'!$B212&lt;&gt;"",'Plano de Ação'!B212,"")</f>
      </c>
      <c r="C213" s="25">
        <f>IF('Plano de Ação'!$B212&lt;&gt;"",'Plano de Ação'!E212&amp;"","")</f>
      </c>
      <c r="D213" s="40">
        <f>IF('Plano de Ação'!$B212&lt;&gt;"",'Plano de Ação'!L212,"")</f>
      </c>
      <c r="E213" s="41">
        <f>IF(OR(NOT('Plano de Ação'!$B212&lt;&gt;""),NOT(ISNUMBER('Plano de Ação'!$F212)),NOT(ISNUMBER('Plano de Ação'!$G212)),'Plano de Ação'!$J212="Cancelada"),0,IF(AND('Plano de Ação'!$F212&lt;=EOMONTH(DATE(ano_ref,1,1),0),'Plano de Ação'!$G212&gt;=DATE(ano_ref,1,1)),1,0))</f>
      </c>
      <c r="F213" s="41">
        <f>IF(OR(NOT('Plano de Ação'!$B212&lt;&gt;""),NOT(ISNUMBER('Plano de Ação'!$F212)),NOT(ISNUMBER('Plano de Ação'!$G212)),'Plano de Ação'!$J212="Cancelada"),0,IF(AND('Plano de Ação'!$F212&lt;=EOMONTH(DATE(ano_ref,2,1),0),'Plano de Ação'!$G212&gt;=DATE(ano_ref,2,1)),1,0))</f>
      </c>
      <c r="G213" s="41">
        <f>IF(OR(NOT('Plano de Ação'!$B212&lt;&gt;""),NOT(ISNUMBER('Plano de Ação'!$F212)),NOT(ISNUMBER('Plano de Ação'!$G212)),'Plano de Ação'!$J212="Cancelada"),0,IF(AND('Plano de Ação'!$F212&lt;=EOMONTH(DATE(ano_ref,3,1),0),'Plano de Ação'!$G212&gt;=DATE(ano_ref,3,1)),1,0))</f>
      </c>
      <c r="H213" s="41">
        <f>IF(OR(NOT('Plano de Ação'!$B212&lt;&gt;""),NOT(ISNUMBER('Plano de Ação'!$F212)),NOT(ISNUMBER('Plano de Ação'!$G212)),'Plano de Ação'!$J212="Cancelada"),0,IF(AND('Plano de Ação'!$F212&lt;=EOMONTH(DATE(ano_ref,4,1),0),'Plano de Ação'!$G212&gt;=DATE(ano_ref,4,1)),1,0))</f>
      </c>
      <c r="I213" s="41">
        <f>IF(OR(NOT('Plano de Ação'!$B212&lt;&gt;""),NOT(ISNUMBER('Plano de Ação'!$F212)),NOT(ISNUMBER('Plano de Ação'!$G212)),'Plano de Ação'!$J212="Cancelada"),0,IF(AND('Plano de Ação'!$F212&lt;=EOMONTH(DATE(ano_ref,5,1),0),'Plano de Ação'!$G212&gt;=DATE(ano_ref,5,1)),1,0))</f>
      </c>
      <c r="J213" s="41">
        <f>IF(OR(NOT('Plano de Ação'!$B212&lt;&gt;""),NOT(ISNUMBER('Plano de Ação'!$F212)),NOT(ISNUMBER('Plano de Ação'!$G212)),'Plano de Ação'!$J212="Cancelada"),0,IF(AND('Plano de Ação'!$F212&lt;=EOMONTH(DATE(ano_ref,6,1),0),'Plano de Ação'!$G212&gt;=DATE(ano_ref,6,1)),1,0))</f>
      </c>
      <c r="K213" s="41">
        <f>IF(OR(NOT('Plano de Ação'!$B212&lt;&gt;""),NOT(ISNUMBER('Plano de Ação'!$F212)),NOT(ISNUMBER('Plano de Ação'!$G212)),'Plano de Ação'!$J212="Cancelada"),0,IF(AND('Plano de Ação'!$F212&lt;=EOMONTH(DATE(ano_ref,7,1),0),'Plano de Ação'!$G212&gt;=DATE(ano_ref,7,1)),1,0))</f>
      </c>
      <c r="L213" s="41">
        <f>IF(OR(NOT('Plano de Ação'!$B212&lt;&gt;""),NOT(ISNUMBER('Plano de Ação'!$F212)),NOT(ISNUMBER('Plano de Ação'!$G212)),'Plano de Ação'!$J212="Cancelada"),0,IF(AND('Plano de Ação'!$F212&lt;=EOMONTH(DATE(ano_ref,8,1),0),'Plano de Ação'!$G212&gt;=DATE(ano_ref,8,1)),1,0))</f>
      </c>
      <c r="M213" s="41">
        <f>IF(OR(NOT('Plano de Ação'!$B212&lt;&gt;""),NOT(ISNUMBER('Plano de Ação'!$F212)),NOT(ISNUMBER('Plano de Ação'!$G212)),'Plano de Ação'!$J212="Cancelada"),0,IF(AND('Plano de Ação'!$F212&lt;=EOMONTH(DATE(ano_ref,9,1),0),'Plano de Ação'!$G212&gt;=DATE(ano_ref,9,1)),1,0))</f>
      </c>
      <c r="N213" s="41">
        <f>IF(OR(NOT('Plano de Ação'!$B212&lt;&gt;""),NOT(ISNUMBER('Plano de Ação'!$F212)),NOT(ISNUMBER('Plano de Ação'!$G212)),'Plano de Ação'!$J212="Cancelada"),0,IF(AND('Plano de Ação'!$F212&lt;=EOMONTH(DATE(ano_ref,10,1),0),'Plano de Ação'!$G212&gt;=DATE(ano_ref,10,1)),1,0))</f>
      </c>
      <c r="O213" s="41">
        <f>IF(OR(NOT('Plano de Ação'!$B212&lt;&gt;""),NOT(ISNUMBER('Plano de Ação'!$F212)),NOT(ISNUMBER('Plano de Ação'!$G212)),'Plano de Ação'!$J212="Cancelada"),0,IF(AND('Plano de Ação'!$F212&lt;=EOMONTH(DATE(ano_ref,11,1),0),'Plano de Ação'!$G212&gt;=DATE(ano_ref,11,1)),1,0))</f>
      </c>
      <c r="P213" s="41">
        <f>IF(OR(NOT('Plano de Ação'!$B212&lt;&gt;""),NOT(ISNUMBER('Plano de Ação'!$F212)),NOT(ISNUMBER('Plano de Ação'!$G212)),'Plano de Ação'!$J212="Cancelada"),0,IF(AND('Plano de Ação'!$F212&lt;=EOMONTH(DATE(ano_ref,12,1),0),'Plano de Ação'!$G212&gt;=DATE(ano_ref,12,1)),1,0))</f>
      </c>
    </row>
    <row r="214" spans="1:16" x14ac:dyDescent="0.25">
      <c r="A214" s="40">
        <f>IF('Plano de Ação'!$B213&lt;&gt;"",'Plano de Ação'!A213&amp;"","")</f>
      </c>
      <c r="B214" s="25">
        <f>IF('Plano de Ação'!$B213&lt;&gt;"",'Plano de Ação'!B213,"")</f>
      </c>
      <c r="C214" s="25">
        <f>IF('Plano de Ação'!$B213&lt;&gt;"",'Plano de Ação'!E213&amp;"","")</f>
      </c>
      <c r="D214" s="40">
        <f>IF('Plano de Ação'!$B213&lt;&gt;"",'Plano de Ação'!L213,"")</f>
      </c>
      <c r="E214" s="41">
        <f>IF(OR(NOT('Plano de Ação'!$B213&lt;&gt;""),NOT(ISNUMBER('Plano de Ação'!$F213)),NOT(ISNUMBER('Plano de Ação'!$G213)),'Plano de Ação'!$J213="Cancelada"),0,IF(AND('Plano de Ação'!$F213&lt;=EOMONTH(DATE(ano_ref,1,1),0),'Plano de Ação'!$G213&gt;=DATE(ano_ref,1,1)),1,0))</f>
      </c>
      <c r="F214" s="41">
        <f>IF(OR(NOT('Plano de Ação'!$B213&lt;&gt;""),NOT(ISNUMBER('Plano de Ação'!$F213)),NOT(ISNUMBER('Plano de Ação'!$G213)),'Plano de Ação'!$J213="Cancelada"),0,IF(AND('Plano de Ação'!$F213&lt;=EOMONTH(DATE(ano_ref,2,1),0),'Plano de Ação'!$G213&gt;=DATE(ano_ref,2,1)),1,0))</f>
      </c>
      <c r="G214" s="41">
        <f>IF(OR(NOT('Plano de Ação'!$B213&lt;&gt;""),NOT(ISNUMBER('Plano de Ação'!$F213)),NOT(ISNUMBER('Plano de Ação'!$G213)),'Plano de Ação'!$J213="Cancelada"),0,IF(AND('Plano de Ação'!$F213&lt;=EOMONTH(DATE(ano_ref,3,1),0),'Plano de Ação'!$G213&gt;=DATE(ano_ref,3,1)),1,0))</f>
      </c>
      <c r="H214" s="41">
        <f>IF(OR(NOT('Plano de Ação'!$B213&lt;&gt;""),NOT(ISNUMBER('Plano de Ação'!$F213)),NOT(ISNUMBER('Plano de Ação'!$G213)),'Plano de Ação'!$J213="Cancelada"),0,IF(AND('Plano de Ação'!$F213&lt;=EOMONTH(DATE(ano_ref,4,1),0),'Plano de Ação'!$G213&gt;=DATE(ano_ref,4,1)),1,0))</f>
      </c>
      <c r="I214" s="41">
        <f>IF(OR(NOT('Plano de Ação'!$B213&lt;&gt;""),NOT(ISNUMBER('Plano de Ação'!$F213)),NOT(ISNUMBER('Plano de Ação'!$G213)),'Plano de Ação'!$J213="Cancelada"),0,IF(AND('Plano de Ação'!$F213&lt;=EOMONTH(DATE(ano_ref,5,1),0),'Plano de Ação'!$G213&gt;=DATE(ano_ref,5,1)),1,0))</f>
      </c>
      <c r="J214" s="41">
        <f>IF(OR(NOT('Plano de Ação'!$B213&lt;&gt;""),NOT(ISNUMBER('Plano de Ação'!$F213)),NOT(ISNUMBER('Plano de Ação'!$G213)),'Plano de Ação'!$J213="Cancelada"),0,IF(AND('Plano de Ação'!$F213&lt;=EOMONTH(DATE(ano_ref,6,1),0),'Plano de Ação'!$G213&gt;=DATE(ano_ref,6,1)),1,0))</f>
      </c>
      <c r="K214" s="41">
        <f>IF(OR(NOT('Plano de Ação'!$B213&lt;&gt;""),NOT(ISNUMBER('Plano de Ação'!$F213)),NOT(ISNUMBER('Plano de Ação'!$G213)),'Plano de Ação'!$J213="Cancelada"),0,IF(AND('Plano de Ação'!$F213&lt;=EOMONTH(DATE(ano_ref,7,1),0),'Plano de Ação'!$G213&gt;=DATE(ano_ref,7,1)),1,0))</f>
      </c>
      <c r="L214" s="41">
        <f>IF(OR(NOT('Plano de Ação'!$B213&lt;&gt;""),NOT(ISNUMBER('Plano de Ação'!$F213)),NOT(ISNUMBER('Plano de Ação'!$G213)),'Plano de Ação'!$J213="Cancelada"),0,IF(AND('Plano de Ação'!$F213&lt;=EOMONTH(DATE(ano_ref,8,1),0),'Plano de Ação'!$G213&gt;=DATE(ano_ref,8,1)),1,0))</f>
      </c>
      <c r="M214" s="41">
        <f>IF(OR(NOT('Plano de Ação'!$B213&lt;&gt;""),NOT(ISNUMBER('Plano de Ação'!$F213)),NOT(ISNUMBER('Plano de Ação'!$G213)),'Plano de Ação'!$J213="Cancelada"),0,IF(AND('Plano de Ação'!$F213&lt;=EOMONTH(DATE(ano_ref,9,1),0),'Plano de Ação'!$G213&gt;=DATE(ano_ref,9,1)),1,0))</f>
      </c>
      <c r="N214" s="41">
        <f>IF(OR(NOT('Plano de Ação'!$B213&lt;&gt;""),NOT(ISNUMBER('Plano de Ação'!$F213)),NOT(ISNUMBER('Plano de Ação'!$G213)),'Plano de Ação'!$J213="Cancelada"),0,IF(AND('Plano de Ação'!$F213&lt;=EOMONTH(DATE(ano_ref,10,1),0),'Plano de Ação'!$G213&gt;=DATE(ano_ref,10,1)),1,0))</f>
      </c>
      <c r="O214" s="41">
        <f>IF(OR(NOT('Plano de Ação'!$B213&lt;&gt;""),NOT(ISNUMBER('Plano de Ação'!$F213)),NOT(ISNUMBER('Plano de Ação'!$G213)),'Plano de Ação'!$J213="Cancelada"),0,IF(AND('Plano de Ação'!$F213&lt;=EOMONTH(DATE(ano_ref,11,1),0),'Plano de Ação'!$G213&gt;=DATE(ano_ref,11,1)),1,0))</f>
      </c>
      <c r="P214" s="41">
        <f>IF(OR(NOT('Plano de Ação'!$B213&lt;&gt;""),NOT(ISNUMBER('Plano de Ação'!$F213)),NOT(ISNUMBER('Plano de Ação'!$G213)),'Plano de Ação'!$J213="Cancelada"),0,IF(AND('Plano de Ação'!$F213&lt;=EOMONTH(DATE(ano_ref,12,1),0),'Plano de Ação'!$G213&gt;=DATE(ano_ref,12,1)),1,0))</f>
      </c>
    </row>
    <row r="215" spans="1:16" x14ac:dyDescent="0.25">
      <c r="A215" s="40">
        <f>IF('Plano de Ação'!$B214&lt;&gt;"",'Plano de Ação'!A214&amp;"","")</f>
      </c>
      <c r="B215" s="25">
        <f>IF('Plano de Ação'!$B214&lt;&gt;"",'Plano de Ação'!B214,"")</f>
      </c>
      <c r="C215" s="25">
        <f>IF('Plano de Ação'!$B214&lt;&gt;"",'Plano de Ação'!E214&amp;"","")</f>
      </c>
      <c r="D215" s="40">
        <f>IF('Plano de Ação'!$B214&lt;&gt;"",'Plano de Ação'!L214,"")</f>
      </c>
      <c r="E215" s="41">
        <f>IF(OR(NOT('Plano de Ação'!$B214&lt;&gt;""),NOT(ISNUMBER('Plano de Ação'!$F214)),NOT(ISNUMBER('Plano de Ação'!$G214)),'Plano de Ação'!$J214="Cancelada"),0,IF(AND('Plano de Ação'!$F214&lt;=EOMONTH(DATE(ano_ref,1,1),0),'Plano de Ação'!$G214&gt;=DATE(ano_ref,1,1)),1,0))</f>
      </c>
      <c r="F215" s="41">
        <f>IF(OR(NOT('Plano de Ação'!$B214&lt;&gt;""),NOT(ISNUMBER('Plano de Ação'!$F214)),NOT(ISNUMBER('Plano de Ação'!$G214)),'Plano de Ação'!$J214="Cancelada"),0,IF(AND('Plano de Ação'!$F214&lt;=EOMONTH(DATE(ano_ref,2,1),0),'Plano de Ação'!$G214&gt;=DATE(ano_ref,2,1)),1,0))</f>
      </c>
      <c r="G215" s="41">
        <f>IF(OR(NOT('Plano de Ação'!$B214&lt;&gt;""),NOT(ISNUMBER('Plano de Ação'!$F214)),NOT(ISNUMBER('Plano de Ação'!$G214)),'Plano de Ação'!$J214="Cancelada"),0,IF(AND('Plano de Ação'!$F214&lt;=EOMONTH(DATE(ano_ref,3,1),0),'Plano de Ação'!$G214&gt;=DATE(ano_ref,3,1)),1,0))</f>
      </c>
      <c r="H215" s="41">
        <f>IF(OR(NOT('Plano de Ação'!$B214&lt;&gt;""),NOT(ISNUMBER('Plano de Ação'!$F214)),NOT(ISNUMBER('Plano de Ação'!$G214)),'Plano de Ação'!$J214="Cancelada"),0,IF(AND('Plano de Ação'!$F214&lt;=EOMONTH(DATE(ano_ref,4,1),0),'Plano de Ação'!$G214&gt;=DATE(ano_ref,4,1)),1,0))</f>
      </c>
      <c r="I215" s="41">
        <f>IF(OR(NOT('Plano de Ação'!$B214&lt;&gt;""),NOT(ISNUMBER('Plano de Ação'!$F214)),NOT(ISNUMBER('Plano de Ação'!$G214)),'Plano de Ação'!$J214="Cancelada"),0,IF(AND('Plano de Ação'!$F214&lt;=EOMONTH(DATE(ano_ref,5,1),0),'Plano de Ação'!$G214&gt;=DATE(ano_ref,5,1)),1,0))</f>
      </c>
      <c r="J215" s="41">
        <f>IF(OR(NOT('Plano de Ação'!$B214&lt;&gt;""),NOT(ISNUMBER('Plano de Ação'!$F214)),NOT(ISNUMBER('Plano de Ação'!$G214)),'Plano de Ação'!$J214="Cancelada"),0,IF(AND('Plano de Ação'!$F214&lt;=EOMONTH(DATE(ano_ref,6,1),0),'Plano de Ação'!$G214&gt;=DATE(ano_ref,6,1)),1,0))</f>
      </c>
      <c r="K215" s="41">
        <f>IF(OR(NOT('Plano de Ação'!$B214&lt;&gt;""),NOT(ISNUMBER('Plano de Ação'!$F214)),NOT(ISNUMBER('Plano de Ação'!$G214)),'Plano de Ação'!$J214="Cancelada"),0,IF(AND('Plano de Ação'!$F214&lt;=EOMONTH(DATE(ano_ref,7,1),0),'Plano de Ação'!$G214&gt;=DATE(ano_ref,7,1)),1,0))</f>
      </c>
      <c r="L215" s="41">
        <f>IF(OR(NOT('Plano de Ação'!$B214&lt;&gt;""),NOT(ISNUMBER('Plano de Ação'!$F214)),NOT(ISNUMBER('Plano de Ação'!$G214)),'Plano de Ação'!$J214="Cancelada"),0,IF(AND('Plano de Ação'!$F214&lt;=EOMONTH(DATE(ano_ref,8,1),0),'Plano de Ação'!$G214&gt;=DATE(ano_ref,8,1)),1,0))</f>
      </c>
      <c r="M215" s="41">
        <f>IF(OR(NOT('Plano de Ação'!$B214&lt;&gt;""),NOT(ISNUMBER('Plano de Ação'!$F214)),NOT(ISNUMBER('Plano de Ação'!$G214)),'Plano de Ação'!$J214="Cancelada"),0,IF(AND('Plano de Ação'!$F214&lt;=EOMONTH(DATE(ano_ref,9,1),0),'Plano de Ação'!$G214&gt;=DATE(ano_ref,9,1)),1,0))</f>
      </c>
      <c r="N215" s="41">
        <f>IF(OR(NOT('Plano de Ação'!$B214&lt;&gt;""),NOT(ISNUMBER('Plano de Ação'!$F214)),NOT(ISNUMBER('Plano de Ação'!$G214)),'Plano de Ação'!$J214="Cancelada"),0,IF(AND('Plano de Ação'!$F214&lt;=EOMONTH(DATE(ano_ref,10,1),0),'Plano de Ação'!$G214&gt;=DATE(ano_ref,10,1)),1,0))</f>
      </c>
      <c r="O215" s="41">
        <f>IF(OR(NOT('Plano de Ação'!$B214&lt;&gt;""),NOT(ISNUMBER('Plano de Ação'!$F214)),NOT(ISNUMBER('Plano de Ação'!$G214)),'Plano de Ação'!$J214="Cancelada"),0,IF(AND('Plano de Ação'!$F214&lt;=EOMONTH(DATE(ano_ref,11,1),0),'Plano de Ação'!$G214&gt;=DATE(ano_ref,11,1)),1,0))</f>
      </c>
      <c r="P215" s="41">
        <f>IF(OR(NOT('Plano de Ação'!$B214&lt;&gt;""),NOT(ISNUMBER('Plano de Ação'!$F214)),NOT(ISNUMBER('Plano de Ação'!$G214)),'Plano de Ação'!$J214="Cancelada"),0,IF(AND('Plano de Ação'!$F214&lt;=EOMONTH(DATE(ano_ref,12,1),0),'Plano de Ação'!$G214&gt;=DATE(ano_ref,12,1)),1,0))</f>
      </c>
    </row>
    <row r="216" spans="1:16" x14ac:dyDescent="0.25">
      <c r="A216" s="40">
        <f>IF('Plano de Ação'!$B215&lt;&gt;"",'Plano de Ação'!A215&amp;"","")</f>
      </c>
      <c r="B216" s="25">
        <f>IF('Plano de Ação'!$B215&lt;&gt;"",'Plano de Ação'!B215,"")</f>
      </c>
      <c r="C216" s="25">
        <f>IF('Plano de Ação'!$B215&lt;&gt;"",'Plano de Ação'!E215&amp;"","")</f>
      </c>
      <c r="D216" s="40">
        <f>IF('Plano de Ação'!$B215&lt;&gt;"",'Plano de Ação'!L215,"")</f>
      </c>
      <c r="E216" s="41">
        <f>IF(OR(NOT('Plano de Ação'!$B215&lt;&gt;""),NOT(ISNUMBER('Plano de Ação'!$F215)),NOT(ISNUMBER('Plano de Ação'!$G215)),'Plano de Ação'!$J215="Cancelada"),0,IF(AND('Plano de Ação'!$F215&lt;=EOMONTH(DATE(ano_ref,1,1),0),'Plano de Ação'!$G215&gt;=DATE(ano_ref,1,1)),1,0))</f>
      </c>
      <c r="F216" s="41">
        <f>IF(OR(NOT('Plano de Ação'!$B215&lt;&gt;""),NOT(ISNUMBER('Plano de Ação'!$F215)),NOT(ISNUMBER('Plano de Ação'!$G215)),'Plano de Ação'!$J215="Cancelada"),0,IF(AND('Plano de Ação'!$F215&lt;=EOMONTH(DATE(ano_ref,2,1),0),'Plano de Ação'!$G215&gt;=DATE(ano_ref,2,1)),1,0))</f>
      </c>
      <c r="G216" s="41">
        <f>IF(OR(NOT('Plano de Ação'!$B215&lt;&gt;""),NOT(ISNUMBER('Plano de Ação'!$F215)),NOT(ISNUMBER('Plano de Ação'!$G215)),'Plano de Ação'!$J215="Cancelada"),0,IF(AND('Plano de Ação'!$F215&lt;=EOMONTH(DATE(ano_ref,3,1),0),'Plano de Ação'!$G215&gt;=DATE(ano_ref,3,1)),1,0))</f>
      </c>
      <c r="H216" s="41">
        <f>IF(OR(NOT('Plano de Ação'!$B215&lt;&gt;""),NOT(ISNUMBER('Plano de Ação'!$F215)),NOT(ISNUMBER('Plano de Ação'!$G215)),'Plano de Ação'!$J215="Cancelada"),0,IF(AND('Plano de Ação'!$F215&lt;=EOMONTH(DATE(ano_ref,4,1),0),'Plano de Ação'!$G215&gt;=DATE(ano_ref,4,1)),1,0))</f>
      </c>
      <c r="I216" s="41">
        <f>IF(OR(NOT('Plano de Ação'!$B215&lt;&gt;""),NOT(ISNUMBER('Plano de Ação'!$F215)),NOT(ISNUMBER('Plano de Ação'!$G215)),'Plano de Ação'!$J215="Cancelada"),0,IF(AND('Plano de Ação'!$F215&lt;=EOMONTH(DATE(ano_ref,5,1),0),'Plano de Ação'!$G215&gt;=DATE(ano_ref,5,1)),1,0))</f>
      </c>
      <c r="J216" s="41">
        <f>IF(OR(NOT('Plano de Ação'!$B215&lt;&gt;""),NOT(ISNUMBER('Plano de Ação'!$F215)),NOT(ISNUMBER('Plano de Ação'!$G215)),'Plano de Ação'!$J215="Cancelada"),0,IF(AND('Plano de Ação'!$F215&lt;=EOMONTH(DATE(ano_ref,6,1),0),'Plano de Ação'!$G215&gt;=DATE(ano_ref,6,1)),1,0))</f>
      </c>
      <c r="K216" s="41">
        <f>IF(OR(NOT('Plano de Ação'!$B215&lt;&gt;""),NOT(ISNUMBER('Plano de Ação'!$F215)),NOT(ISNUMBER('Plano de Ação'!$G215)),'Plano de Ação'!$J215="Cancelada"),0,IF(AND('Plano de Ação'!$F215&lt;=EOMONTH(DATE(ano_ref,7,1),0),'Plano de Ação'!$G215&gt;=DATE(ano_ref,7,1)),1,0))</f>
      </c>
      <c r="L216" s="41">
        <f>IF(OR(NOT('Plano de Ação'!$B215&lt;&gt;""),NOT(ISNUMBER('Plano de Ação'!$F215)),NOT(ISNUMBER('Plano de Ação'!$G215)),'Plano de Ação'!$J215="Cancelada"),0,IF(AND('Plano de Ação'!$F215&lt;=EOMONTH(DATE(ano_ref,8,1),0),'Plano de Ação'!$G215&gt;=DATE(ano_ref,8,1)),1,0))</f>
      </c>
      <c r="M216" s="41">
        <f>IF(OR(NOT('Plano de Ação'!$B215&lt;&gt;""),NOT(ISNUMBER('Plano de Ação'!$F215)),NOT(ISNUMBER('Plano de Ação'!$G215)),'Plano de Ação'!$J215="Cancelada"),0,IF(AND('Plano de Ação'!$F215&lt;=EOMONTH(DATE(ano_ref,9,1),0),'Plano de Ação'!$G215&gt;=DATE(ano_ref,9,1)),1,0))</f>
      </c>
      <c r="N216" s="41">
        <f>IF(OR(NOT('Plano de Ação'!$B215&lt;&gt;""),NOT(ISNUMBER('Plano de Ação'!$F215)),NOT(ISNUMBER('Plano de Ação'!$G215)),'Plano de Ação'!$J215="Cancelada"),0,IF(AND('Plano de Ação'!$F215&lt;=EOMONTH(DATE(ano_ref,10,1),0),'Plano de Ação'!$G215&gt;=DATE(ano_ref,10,1)),1,0))</f>
      </c>
      <c r="O216" s="41">
        <f>IF(OR(NOT('Plano de Ação'!$B215&lt;&gt;""),NOT(ISNUMBER('Plano de Ação'!$F215)),NOT(ISNUMBER('Plano de Ação'!$G215)),'Plano de Ação'!$J215="Cancelada"),0,IF(AND('Plano de Ação'!$F215&lt;=EOMONTH(DATE(ano_ref,11,1),0),'Plano de Ação'!$G215&gt;=DATE(ano_ref,11,1)),1,0))</f>
      </c>
      <c r="P216" s="41">
        <f>IF(OR(NOT('Plano de Ação'!$B215&lt;&gt;""),NOT(ISNUMBER('Plano de Ação'!$F215)),NOT(ISNUMBER('Plano de Ação'!$G215)),'Plano de Ação'!$J215="Cancelada"),0,IF(AND('Plano de Ação'!$F215&lt;=EOMONTH(DATE(ano_ref,12,1),0),'Plano de Ação'!$G215&gt;=DATE(ano_ref,12,1)),1,0))</f>
      </c>
    </row>
    <row r="217" spans="1:16" x14ac:dyDescent="0.25">
      <c r="A217" s="40">
        <f>IF('Plano de Ação'!$B216&lt;&gt;"",'Plano de Ação'!A216&amp;"","")</f>
      </c>
      <c r="B217" s="25">
        <f>IF('Plano de Ação'!$B216&lt;&gt;"",'Plano de Ação'!B216,"")</f>
      </c>
      <c r="C217" s="25">
        <f>IF('Plano de Ação'!$B216&lt;&gt;"",'Plano de Ação'!E216&amp;"","")</f>
      </c>
      <c r="D217" s="40">
        <f>IF('Plano de Ação'!$B216&lt;&gt;"",'Plano de Ação'!L216,"")</f>
      </c>
      <c r="E217" s="41">
        <f>IF(OR(NOT('Plano de Ação'!$B216&lt;&gt;""),NOT(ISNUMBER('Plano de Ação'!$F216)),NOT(ISNUMBER('Plano de Ação'!$G216)),'Plano de Ação'!$J216="Cancelada"),0,IF(AND('Plano de Ação'!$F216&lt;=EOMONTH(DATE(ano_ref,1,1),0),'Plano de Ação'!$G216&gt;=DATE(ano_ref,1,1)),1,0))</f>
      </c>
      <c r="F217" s="41">
        <f>IF(OR(NOT('Plano de Ação'!$B216&lt;&gt;""),NOT(ISNUMBER('Plano de Ação'!$F216)),NOT(ISNUMBER('Plano de Ação'!$G216)),'Plano de Ação'!$J216="Cancelada"),0,IF(AND('Plano de Ação'!$F216&lt;=EOMONTH(DATE(ano_ref,2,1),0),'Plano de Ação'!$G216&gt;=DATE(ano_ref,2,1)),1,0))</f>
      </c>
      <c r="G217" s="41">
        <f>IF(OR(NOT('Plano de Ação'!$B216&lt;&gt;""),NOT(ISNUMBER('Plano de Ação'!$F216)),NOT(ISNUMBER('Plano de Ação'!$G216)),'Plano de Ação'!$J216="Cancelada"),0,IF(AND('Plano de Ação'!$F216&lt;=EOMONTH(DATE(ano_ref,3,1),0),'Plano de Ação'!$G216&gt;=DATE(ano_ref,3,1)),1,0))</f>
      </c>
      <c r="H217" s="41">
        <f>IF(OR(NOT('Plano de Ação'!$B216&lt;&gt;""),NOT(ISNUMBER('Plano de Ação'!$F216)),NOT(ISNUMBER('Plano de Ação'!$G216)),'Plano de Ação'!$J216="Cancelada"),0,IF(AND('Plano de Ação'!$F216&lt;=EOMONTH(DATE(ano_ref,4,1),0),'Plano de Ação'!$G216&gt;=DATE(ano_ref,4,1)),1,0))</f>
      </c>
      <c r="I217" s="41">
        <f>IF(OR(NOT('Plano de Ação'!$B216&lt;&gt;""),NOT(ISNUMBER('Plano de Ação'!$F216)),NOT(ISNUMBER('Plano de Ação'!$G216)),'Plano de Ação'!$J216="Cancelada"),0,IF(AND('Plano de Ação'!$F216&lt;=EOMONTH(DATE(ano_ref,5,1),0),'Plano de Ação'!$G216&gt;=DATE(ano_ref,5,1)),1,0))</f>
      </c>
      <c r="J217" s="41">
        <f>IF(OR(NOT('Plano de Ação'!$B216&lt;&gt;""),NOT(ISNUMBER('Plano de Ação'!$F216)),NOT(ISNUMBER('Plano de Ação'!$G216)),'Plano de Ação'!$J216="Cancelada"),0,IF(AND('Plano de Ação'!$F216&lt;=EOMONTH(DATE(ano_ref,6,1),0),'Plano de Ação'!$G216&gt;=DATE(ano_ref,6,1)),1,0))</f>
      </c>
      <c r="K217" s="41">
        <f>IF(OR(NOT('Plano de Ação'!$B216&lt;&gt;""),NOT(ISNUMBER('Plano de Ação'!$F216)),NOT(ISNUMBER('Plano de Ação'!$G216)),'Plano de Ação'!$J216="Cancelada"),0,IF(AND('Plano de Ação'!$F216&lt;=EOMONTH(DATE(ano_ref,7,1),0),'Plano de Ação'!$G216&gt;=DATE(ano_ref,7,1)),1,0))</f>
      </c>
      <c r="L217" s="41">
        <f>IF(OR(NOT('Plano de Ação'!$B216&lt;&gt;""),NOT(ISNUMBER('Plano de Ação'!$F216)),NOT(ISNUMBER('Plano de Ação'!$G216)),'Plano de Ação'!$J216="Cancelada"),0,IF(AND('Plano de Ação'!$F216&lt;=EOMONTH(DATE(ano_ref,8,1),0),'Plano de Ação'!$G216&gt;=DATE(ano_ref,8,1)),1,0))</f>
      </c>
      <c r="M217" s="41">
        <f>IF(OR(NOT('Plano de Ação'!$B216&lt;&gt;""),NOT(ISNUMBER('Plano de Ação'!$F216)),NOT(ISNUMBER('Plano de Ação'!$G216)),'Plano de Ação'!$J216="Cancelada"),0,IF(AND('Plano de Ação'!$F216&lt;=EOMONTH(DATE(ano_ref,9,1),0),'Plano de Ação'!$G216&gt;=DATE(ano_ref,9,1)),1,0))</f>
      </c>
      <c r="N217" s="41">
        <f>IF(OR(NOT('Plano de Ação'!$B216&lt;&gt;""),NOT(ISNUMBER('Plano de Ação'!$F216)),NOT(ISNUMBER('Plano de Ação'!$G216)),'Plano de Ação'!$J216="Cancelada"),0,IF(AND('Plano de Ação'!$F216&lt;=EOMONTH(DATE(ano_ref,10,1),0),'Plano de Ação'!$G216&gt;=DATE(ano_ref,10,1)),1,0))</f>
      </c>
      <c r="O217" s="41">
        <f>IF(OR(NOT('Plano de Ação'!$B216&lt;&gt;""),NOT(ISNUMBER('Plano de Ação'!$F216)),NOT(ISNUMBER('Plano de Ação'!$G216)),'Plano de Ação'!$J216="Cancelada"),0,IF(AND('Plano de Ação'!$F216&lt;=EOMONTH(DATE(ano_ref,11,1),0),'Plano de Ação'!$G216&gt;=DATE(ano_ref,11,1)),1,0))</f>
      </c>
      <c r="P217" s="41">
        <f>IF(OR(NOT('Plano de Ação'!$B216&lt;&gt;""),NOT(ISNUMBER('Plano de Ação'!$F216)),NOT(ISNUMBER('Plano de Ação'!$G216)),'Plano de Ação'!$J216="Cancelada"),0,IF(AND('Plano de Ação'!$F216&lt;=EOMONTH(DATE(ano_ref,12,1),0),'Plano de Ação'!$G216&gt;=DATE(ano_ref,12,1)),1,0))</f>
      </c>
    </row>
    <row r="218" spans="1:16" x14ac:dyDescent="0.25">
      <c r="A218" s="40">
        <f>IF('Plano de Ação'!$B217&lt;&gt;"",'Plano de Ação'!A217&amp;"","")</f>
      </c>
      <c r="B218" s="25">
        <f>IF('Plano de Ação'!$B217&lt;&gt;"",'Plano de Ação'!B217,"")</f>
      </c>
      <c r="C218" s="25">
        <f>IF('Plano de Ação'!$B217&lt;&gt;"",'Plano de Ação'!E217&amp;"","")</f>
      </c>
      <c r="D218" s="40">
        <f>IF('Plano de Ação'!$B217&lt;&gt;"",'Plano de Ação'!L217,"")</f>
      </c>
      <c r="E218" s="41">
        <f>IF(OR(NOT('Plano de Ação'!$B217&lt;&gt;""),NOT(ISNUMBER('Plano de Ação'!$F217)),NOT(ISNUMBER('Plano de Ação'!$G217)),'Plano de Ação'!$J217="Cancelada"),0,IF(AND('Plano de Ação'!$F217&lt;=EOMONTH(DATE(ano_ref,1,1),0),'Plano de Ação'!$G217&gt;=DATE(ano_ref,1,1)),1,0))</f>
      </c>
      <c r="F218" s="41">
        <f>IF(OR(NOT('Plano de Ação'!$B217&lt;&gt;""),NOT(ISNUMBER('Plano de Ação'!$F217)),NOT(ISNUMBER('Plano de Ação'!$G217)),'Plano de Ação'!$J217="Cancelada"),0,IF(AND('Plano de Ação'!$F217&lt;=EOMONTH(DATE(ano_ref,2,1),0),'Plano de Ação'!$G217&gt;=DATE(ano_ref,2,1)),1,0))</f>
      </c>
      <c r="G218" s="41">
        <f>IF(OR(NOT('Plano de Ação'!$B217&lt;&gt;""),NOT(ISNUMBER('Plano de Ação'!$F217)),NOT(ISNUMBER('Plano de Ação'!$G217)),'Plano de Ação'!$J217="Cancelada"),0,IF(AND('Plano de Ação'!$F217&lt;=EOMONTH(DATE(ano_ref,3,1),0),'Plano de Ação'!$G217&gt;=DATE(ano_ref,3,1)),1,0))</f>
      </c>
      <c r="H218" s="41">
        <f>IF(OR(NOT('Plano de Ação'!$B217&lt;&gt;""),NOT(ISNUMBER('Plano de Ação'!$F217)),NOT(ISNUMBER('Plano de Ação'!$G217)),'Plano de Ação'!$J217="Cancelada"),0,IF(AND('Plano de Ação'!$F217&lt;=EOMONTH(DATE(ano_ref,4,1),0),'Plano de Ação'!$G217&gt;=DATE(ano_ref,4,1)),1,0))</f>
      </c>
      <c r="I218" s="41">
        <f>IF(OR(NOT('Plano de Ação'!$B217&lt;&gt;""),NOT(ISNUMBER('Plano de Ação'!$F217)),NOT(ISNUMBER('Plano de Ação'!$G217)),'Plano de Ação'!$J217="Cancelada"),0,IF(AND('Plano de Ação'!$F217&lt;=EOMONTH(DATE(ano_ref,5,1),0),'Plano de Ação'!$G217&gt;=DATE(ano_ref,5,1)),1,0))</f>
      </c>
      <c r="J218" s="41">
        <f>IF(OR(NOT('Plano de Ação'!$B217&lt;&gt;""),NOT(ISNUMBER('Plano de Ação'!$F217)),NOT(ISNUMBER('Plano de Ação'!$G217)),'Plano de Ação'!$J217="Cancelada"),0,IF(AND('Plano de Ação'!$F217&lt;=EOMONTH(DATE(ano_ref,6,1),0),'Plano de Ação'!$G217&gt;=DATE(ano_ref,6,1)),1,0))</f>
      </c>
      <c r="K218" s="41">
        <f>IF(OR(NOT('Plano de Ação'!$B217&lt;&gt;""),NOT(ISNUMBER('Plano de Ação'!$F217)),NOT(ISNUMBER('Plano de Ação'!$G217)),'Plano de Ação'!$J217="Cancelada"),0,IF(AND('Plano de Ação'!$F217&lt;=EOMONTH(DATE(ano_ref,7,1),0),'Plano de Ação'!$G217&gt;=DATE(ano_ref,7,1)),1,0))</f>
      </c>
      <c r="L218" s="41">
        <f>IF(OR(NOT('Plano de Ação'!$B217&lt;&gt;""),NOT(ISNUMBER('Plano de Ação'!$F217)),NOT(ISNUMBER('Plano de Ação'!$G217)),'Plano de Ação'!$J217="Cancelada"),0,IF(AND('Plano de Ação'!$F217&lt;=EOMONTH(DATE(ano_ref,8,1),0),'Plano de Ação'!$G217&gt;=DATE(ano_ref,8,1)),1,0))</f>
      </c>
      <c r="M218" s="41">
        <f>IF(OR(NOT('Plano de Ação'!$B217&lt;&gt;""),NOT(ISNUMBER('Plano de Ação'!$F217)),NOT(ISNUMBER('Plano de Ação'!$G217)),'Plano de Ação'!$J217="Cancelada"),0,IF(AND('Plano de Ação'!$F217&lt;=EOMONTH(DATE(ano_ref,9,1),0),'Plano de Ação'!$G217&gt;=DATE(ano_ref,9,1)),1,0))</f>
      </c>
      <c r="N218" s="41">
        <f>IF(OR(NOT('Plano de Ação'!$B217&lt;&gt;""),NOT(ISNUMBER('Plano de Ação'!$F217)),NOT(ISNUMBER('Plano de Ação'!$G217)),'Plano de Ação'!$J217="Cancelada"),0,IF(AND('Plano de Ação'!$F217&lt;=EOMONTH(DATE(ano_ref,10,1),0),'Plano de Ação'!$G217&gt;=DATE(ano_ref,10,1)),1,0))</f>
      </c>
      <c r="O218" s="41">
        <f>IF(OR(NOT('Plano de Ação'!$B217&lt;&gt;""),NOT(ISNUMBER('Plano de Ação'!$F217)),NOT(ISNUMBER('Plano de Ação'!$G217)),'Plano de Ação'!$J217="Cancelada"),0,IF(AND('Plano de Ação'!$F217&lt;=EOMONTH(DATE(ano_ref,11,1),0),'Plano de Ação'!$G217&gt;=DATE(ano_ref,11,1)),1,0))</f>
      </c>
      <c r="P218" s="41">
        <f>IF(OR(NOT('Plano de Ação'!$B217&lt;&gt;""),NOT(ISNUMBER('Plano de Ação'!$F217)),NOT(ISNUMBER('Plano de Ação'!$G217)),'Plano de Ação'!$J217="Cancelada"),0,IF(AND('Plano de Ação'!$F217&lt;=EOMONTH(DATE(ano_ref,12,1),0),'Plano de Ação'!$G217&gt;=DATE(ano_ref,12,1)),1,0))</f>
      </c>
    </row>
    <row r="219" spans="1:16" x14ac:dyDescent="0.25">
      <c r="A219" s="40">
        <f>IF('Plano de Ação'!$B218&lt;&gt;"",'Plano de Ação'!A218&amp;"","")</f>
      </c>
      <c r="B219" s="25">
        <f>IF('Plano de Ação'!$B218&lt;&gt;"",'Plano de Ação'!B218,"")</f>
      </c>
      <c r="C219" s="25">
        <f>IF('Plano de Ação'!$B218&lt;&gt;"",'Plano de Ação'!E218&amp;"","")</f>
      </c>
      <c r="D219" s="40">
        <f>IF('Plano de Ação'!$B218&lt;&gt;"",'Plano de Ação'!L218,"")</f>
      </c>
      <c r="E219" s="41">
        <f>IF(OR(NOT('Plano de Ação'!$B218&lt;&gt;""),NOT(ISNUMBER('Plano de Ação'!$F218)),NOT(ISNUMBER('Plano de Ação'!$G218)),'Plano de Ação'!$J218="Cancelada"),0,IF(AND('Plano de Ação'!$F218&lt;=EOMONTH(DATE(ano_ref,1,1),0),'Plano de Ação'!$G218&gt;=DATE(ano_ref,1,1)),1,0))</f>
      </c>
      <c r="F219" s="41">
        <f>IF(OR(NOT('Plano de Ação'!$B218&lt;&gt;""),NOT(ISNUMBER('Plano de Ação'!$F218)),NOT(ISNUMBER('Plano de Ação'!$G218)),'Plano de Ação'!$J218="Cancelada"),0,IF(AND('Plano de Ação'!$F218&lt;=EOMONTH(DATE(ano_ref,2,1),0),'Plano de Ação'!$G218&gt;=DATE(ano_ref,2,1)),1,0))</f>
      </c>
      <c r="G219" s="41">
        <f>IF(OR(NOT('Plano de Ação'!$B218&lt;&gt;""),NOT(ISNUMBER('Plano de Ação'!$F218)),NOT(ISNUMBER('Plano de Ação'!$G218)),'Plano de Ação'!$J218="Cancelada"),0,IF(AND('Plano de Ação'!$F218&lt;=EOMONTH(DATE(ano_ref,3,1),0),'Plano de Ação'!$G218&gt;=DATE(ano_ref,3,1)),1,0))</f>
      </c>
      <c r="H219" s="41">
        <f>IF(OR(NOT('Plano de Ação'!$B218&lt;&gt;""),NOT(ISNUMBER('Plano de Ação'!$F218)),NOT(ISNUMBER('Plano de Ação'!$G218)),'Plano de Ação'!$J218="Cancelada"),0,IF(AND('Plano de Ação'!$F218&lt;=EOMONTH(DATE(ano_ref,4,1),0),'Plano de Ação'!$G218&gt;=DATE(ano_ref,4,1)),1,0))</f>
      </c>
      <c r="I219" s="41">
        <f>IF(OR(NOT('Plano de Ação'!$B218&lt;&gt;""),NOT(ISNUMBER('Plano de Ação'!$F218)),NOT(ISNUMBER('Plano de Ação'!$G218)),'Plano de Ação'!$J218="Cancelada"),0,IF(AND('Plano de Ação'!$F218&lt;=EOMONTH(DATE(ano_ref,5,1),0),'Plano de Ação'!$G218&gt;=DATE(ano_ref,5,1)),1,0))</f>
      </c>
      <c r="J219" s="41">
        <f>IF(OR(NOT('Plano de Ação'!$B218&lt;&gt;""),NOT(ISNUMBER('Plano de Ação'!$F218)),NOT(ISNUMBER('Plano de Ação'!$G218)),'Plano de Ação'!$J218="Cancelada"),0,IF(AND('Plano de Ação'!$F218&lt;=EOMONTH(DATE(ano_ref,6,1),0),'Plano de Ação'!$G218&gt;=DATE(ano_ref,6,1)),1,0))</f>
      </c>
      <c r="K219" s="41">
        <f>IF(OR(NOT('Plano de Ação'!$B218&lt;&gt;""),NOT(ISNUMBER('Plano de Ação'!$F218)),NOT(ISNUMBER('Plano de Ação'!$G218)),'Plano de Ação'!$J218="Cancelada"),0,IF(AND('Plano de Ação'!$F218&lt;=EOMONTH(DATE(ano_ref,7,1),0),'Plano de Ação'!$G218&gt;=DATE(ano_ref,7,1)),1,0))</f>
      </c>
      <c r="L219" s="41">
        <f>IF(OR(NOT('Plano de Ação'!$B218&lt;&gt;""),NOT(ISNUMBER('Plano de Ação'!$F218)),NOT(ISNUMBER('Plano de Ação'!$G218)),'Plano de Ação'!$J218="Cancelada"),0,IF(AND('Plano de Ação'!$F218&lt;=EOMONTH(DATE(ano_ref,8,1),0),'Plano de Ação'!$G218&gt;=DATE(ano_ref,8,1)),1,0))</f>
      </c>
      <c r="M219" s="41">
        <f>IF(OR(NOT('Plano de Ação'!$B218&lt;&gt;""),NOT(ISNUMBER('Plano de Ação'!$F218)),NOT(ISNUMBER('Plano de Ação'!$G218)),'Plano de Ação'!$J218="Cancelada"),0,IF(AND('Plano de Ação'!$F218&lt;=EOMONTH(DATE(ano_ref,9,1),0),'Plano de Ação'!$G218&gt;=DATE(ano_ref,9,1)),1,0))</f>
      </c>
      <c r="N219" s="41">
        <f>IF(OR(NOT('Plano de Ação'!$B218&lt;&gt;""),NOT(ISNUMBER('Plano de Ação'!$F218)),NOT(ISNUMBER('Plano de Ação'!$G218)),'Plano de Ação'!$J218="Cancelada"),0,IF(AND('Plano de Ação'!$F218&lt;=EOMONTH(DATE(ano_ref,10,1),0),'Plano de Ação'!$G218&gt;=DATE(ano_ref,10,1)),1,0))</f>
      </c>
      <c r="O219" s="41">
        <f>IF(OR(NOT('Plano de Ação'!$B218&lt;&gt;""),NOT(ISNUMBER('Plano de Ação'!$F218)),NOT(ISNUMBER('Plano de Ação'!$G218)),'Plano de Ação'!$J218="Cancelada"),0,IF(AND('Plano de Ação'!$F218&lt;=EOMONTH(DATE(ano_ref,11,1),0),'Plano de Ação'!$G218&gt;=DATE(ano_ref,11,1)),1,0))</f>
      </c>
      <c r="P219" s="41">
        <f>IF(OR(NOT('Plano de Ação'!$B218&lt;&gt;""),NOT(ISNUMBER('Plano de Ação'!$F218)),NOT(ISNUMBER('Plano de Ação'!$G218)),'Plano de Ação'!$J218="Cancelada"),0,IF(AND('Plano de Ação'!$F218&lt;=EOMONTH(DATE(ano_ref,12,1),0),'Plano de Ação'!$G218&gt;=DATE(ano_ref,12,1)),1,0))</f>
      </c>
    </row>
    <row r="220" spans="1:16" x14ac:dyDescent="0.25">
      <c r="A220" s="40">
        <f>IF('Plano de Ação'!$B219&lt;&gt;"",'Plano de Ação'!A219&amp;"","")</f>
      </c>
      <c r="B220" s="25">
        <f>IF('Plano de Ação'!$B219&lt;&gt;"",'Plano de Ação'!B219,"")</f>
      </c>
      <c r="C220" s="25">
        <f>IF('Plano de Ação'!$B219&lt;&gt;"",'Plano de Ação'!E219&amp;"","")</f>
      </c>
      <c r="D220" s="40">
        <f>IF('Plano de Ação'!$B219&lt;&gt;"",'Plano de Ação'!L219,"")</f>
      </c>
      <c r="E220" s="41">
        <f>IF(OR(NOT('Plano de Ação'!$B219&lt;&gt;""),NOT(ISNUMBER('Plano de Ação'!$F219)),NOT(ISNUMBER('Plano de Ação'!$G219)),'Plano de Ação'!$J219="Cancelada"),0,IF(AND('Plano de Ação'!$F219&lt;=EOMONTH(DATE(ano_ref,1,1),0),'Plano de Ação'!$G219&gt;=DATE(ano_ref,1,1)),1,0))</f>
      </c>
      <c r="F220" s="41">
        <f>IF(OR(NOT('Plano de Ação'!$B219&lt;&gt;""),NOT(ISNUMBER('Plano de Ação'!$F219)),NOT(ISNUMBER('Plano de Ação'!$G219)),'Plano de Ação'!$J219="Cancelada"),0,IF(AND('Plano de Ação'!$F219&lt;=EOMONTH(DATE(ano_ref,2,1),0),'Plano de Ação'!$G219&gt;=DATE(ano_ref,2,1)),1,0))</f>
      </c>
      <c r="G220" s="41">
        <f>IF(OR(NOT('Plano de Ação'!$B219&lt;&gt;""),NOT(ISNUMBER('Plano de Ação'!$F219)),NOT(ISNUMBER('Plano de Ação'!$G219)),'Plano de Ação'!$J219="Cancelada"),0,IF(AND('Plano de Ação'!$F219&lt;=EOMONTH(DATE(ano_ref,3,1),0),'Plano de Ação'!$G219&gt;=DATE(ano_ref,3,1)),1,0))</f>
      </c>
      <c r="H220" s="41">
        <f>IF(OR(NOT('Plano de Ação'!$B219&lt;&gt;""),NOT(ISNUMBER('Plano de Ação'!$F219)),NOT(ISNUMBER('Plano de Ação'!$G219)),'Plano de Ação'!$J219="Cancelada"),0,IF(AND('Plano de Ação'!$F219&lt;=EOMONTH(DATE(ano_ref,4,1),0),'Plano de Ação'!$G219&gt;=DATE(ano_ref,4,1)),1,0))</f>
      </c>
      <c r="I220" s="41">
        <f>IF(OR(NOT('Plano de Ação'!$B219&lt;&gt;""),NOT(ISNUMBER('Plano de Ação'!$F219)),NOT(ISNUMBER('Plano de Ação'!$G219)),'Plano de Ação'!$J219="Cancelada"),0,IF(AND('Plano de Ação'!$F219&lt;=EOMONTH(DATE(ano_ref,5,1),0),'Plano de Ação'!$G219&gt;=DATE(ano_ref,5,1)),1,0))</f>
      </c>
      <c r="J220" s="41">
        <f>IF(OR(NOT('Plano de Ação'!$B219&lt;&gt;""),NOT(ISNUMBER('Plano de Ação'!$F219)),NOT(ISNUMBER('Plano de Ação'!$G219)),'Plano de Ação'!$J219="Cancelada"),0,IF(AND('Plano de Ação'!$F219&lt;=EOMONTH(DATE(ano_ref,6,1),0),'Plano de Ação'!$G219&gt;=DATE(ano_ref,6,1)),1,0))</f>
      </c>
      <c r="K220" s="41">
        <f>IF(OR(NOT('Plano de Ação'!$B219&lt;&gt;""),NOT(ISNUMBER('Plano de Ação'!$F219)),NOT(ISNUMBER('Plano de Ação'!$G219)),'Plano de Ação'!$J219="Cancelada"),0,IF(AND('Plano de Ação'!$F219&lt;=EOMONTH(DATE(ano_ref,7,1),0),'Plano de Ação'!$G219&gt;=DATE(ano_ref,7,1)),1,0))</f>
      </c>
      <c r="L220" s="41">
        <f>IF(OR(NOT('Plano de Ação'!$B219&lt;&gt;""),NOT(ISNUMBER('Plano de Ação'!$F219)),NOT(ISNUMBER('Plano de Ação'!$G219)),'Plano de Ação'!$J219="Cancelada"),0,IF(AND('Plano de Ação'!$F219&lt;=EOMONTH(DATE(ano_ref,8,1),0),'Plano de Ação'!$G219&gt;=DATE(ano_ref,8,1)),1,0))</f>
      </c>
      <c r="M220" s="41">
        <f>IF(OR(NOT('Plano de Ação'!$B219&lt;&gt;""),NOT(ISNUMBER('Plano de Ação'!$F219)),NOT(ISNUMBER('Plano de Ação'!$G219)),'Plano de Ação'!$J219="Cancelada"),0,IF(AND('Plano de Ação'!$F219&lt;=EOMONTH(DATE(ano_ref,9,1),0),'Plano de Ação'!$G219&gt;=DATE(ano_ref,9,1)),1,0))</f>
      </c>
      <c r="N220" s="41">
        <f>IF(OR(NOT('Plano de Ação'!$B219&lt;&gt;""),NOT(ISNUMBER('Plano de Ação'!$F219)),NOT(ISNUMBER('Plano de Ação'!$G219)),'Plano de Ação'!$J219="Cancelada"),0,IF(AND('Plano de Ação'!$F219&lt;=EOMONTH(DATE(ano_ref,10,1),0),'Plano de Ação'!$G219&gt;=DATE(ano_ref,10,1)),1,0))</f>
      </c>
      <c r="O220" s="41">
        <f>IF(OR(NOT('Plano de Ação'!$B219&lt;&gt;""),NOT(ISNUMBER('Plano de Ação'!$F219)),NOT(ISNUMBER('Plano de Ação'!$G219)),'Plano de Ação'!$J219="Cancelada"),0,IF(AND('Plano de Ação'!$F219&lt;=EOMONTH(DATE(ano_ref,11,1),0),'Plano de Ação'!$G219&gt;=DATE(ano_ref,11,1)),1,0))</f>
      </c>
      <c r="P220" s="41">
        <f>IF(OR(NOT('Plano de Ação'!$B219&lt;&gt;""),NOT(ISNUMBER('Plano de Ação'!$F219)),NOT(ISNUMBER('Plano de Ação'!$G219)),'Plano de Ação'!$J219="Cancelada"),0,IF(AND('Plano de Ação'!$F219&lt;=EOMONTH(DATE(ano_ref,12,1),0),'Plano de Ação'!$G219&gt;=DATE(ano_ref,12,1)),1,0))</f>
      </c>
    </row>
    <row r="221" spans="1:16" x14ac:dyDescent="0.25">
      <c r="A221" s="40">
        <f>IF('Plano de Ação'!$B220&lt;&gt;"",'Plano de Ação'!A220&amp;"","")</f>
      </c>
      <c r="B221" s="25">
        <f>IF('Plano de Ação'!$B220&lt;&gt;"",'Plano de Ação'!B220,"")</f>
      </c>
      <c r="C221" s="25">
        <f>IF('Plano de Ação'!$B220&lt;&gt;"",'Plano de Ação'!E220&amp;"","")</f>
      </c>
      <c r="D221" s="40">
        <f>IF('Plano de Ação'!$B220&lt;&gt;"",'Plano de Ação'!L220,"")</f>
      </c>
      <c r="E221" s="41">
        <f>IF(OR(NOT('Plano de Ação'!$B220&lt;&gt;""),NOT(ISNUMBER('Plano de Ação'!$F220)),NOT(ISNUMBER('Plano de Ação'!$G220)),'Plano de Ação'!$J220="Cancelada"),0,IF(AND('Plano de Ação'!$F220&lt;=EOMONTH(DATE(ano_ref,1,1),0),'Plano de Ação'!$G220&gt;=DATE(ano_ref,1,1)),1,0))</f>
      </c>
      <c r="F221" s="41">
        <f>IF(OR(NOT('Plano de Ação'!$B220&lt;&gt;""),NOT(ISNUMBER('Plano de Ação'!$F220)),NOT(ISNUMBER('Plano de Ação'!$G220)),'Plano de Ação'!$J220="Cancelada"),0,IF(AND('Plano de Ação'!$F220&lt;=EOMONTH(DATE(ano_ref,2,1),0),'Plano de Ação'!$G220&gt;=DATE(ano_ref,2,1)),1,0))</f>
      </c>
      <c r="G221" s="41">
        <f>IF(OR(NOT('Plano de Ação'!$B220&lt;&gt;""),NOT(ISNUMBER('Plano de Ação'!$F220)),NOT(ISNUMBER('Plano de Ação'!$G220)),'Plano de Ação'!$J220="Cancelada"),0,IF(AND('Plano de Ação'!$F220&lt;=EOMONTH(DATE(ano_ref,3,1),0),'Plano de Ação'!$G220&gt;=DATE(ano_ref,3,1)),1,0))</f>
      </c>
      <c r="H221" s="41">
        <f>IF(OR(NOT('Plano de Ação'!$B220&lt;&gt;""),NOT(ISNUMBER('Plano de Ação'!$F220)),NOT(ISNUMBER('Plano de Ação'!$G220)),'Plano de Ação'!$J220="Cancelada"),0,IF(AND('Plano de Ação'!$F220&lt;=EOMONTH(DATE(ano_ref,4,1),0),'Plano de Ação'!$G220&gt;=DATE(ano_ref,4,1)),1,0))</f>
      </c>
      <c r="I221" s="41">
        <f>IF(OR(NOT('Plano de Ação'!$B220&lt;&gt;""),NOT(ISNUMBER('Plano de Ação'!$F220)),NOT(ISNUMBER('Plano de Ação'!$G220)),'Plano de Ação'!$J220="Cancelada"),0,IF(AND('Plano de Ação'!$F220&lt;=EOMONTH(DATE(ano_ref,5,1),0),'Plano de Ação'!$G220&gt;=DATE(ano_ref,5,1)),1,0))</f>
      </c>
      <c r="J221" s="41">
        <f>IF(OR(NOT('Plano de Ação'!$B220&lt;&gt;""),NOT(ISNUMBER('Plano de Ação'!$F220)),NOT(ISNUMBER('Plano de Ação'!$G220)),'Plano de Ação'!$J220="Cancelada"),0,IF(AND('Plano de Ação'!$F220&lt;=EOMONTH(DATE(ano_ref,6,1),0),'Plano de Ação'!$G220&gt;=DATE(ano_ref,6,1)),1,0))</f>
      </c>
      <c r="K221" s="41">
        <f>IF(OR(NOT('Plano de Ação'!$B220&lt;&gt;""),NOT(ISNUMBER('Plano de Ação'!$F220)),NOT(ISNUMBER('Plano de Ação'!$G220)),'Plano de Ação'!$J220="Cancelada"),0,IF(AND('Plano de Ação'!$F220&lt;=EOMONTH(DATE(ano_ref,7,1),0),'Plano de Ação'!$G220&gt;=DATE(ano_ref,7,1)),1,0))</f>
      </c>
      <c r="L221" s="41">
        <f>IF(OR(NOT('Plano de Ação'!$B220&lt;&gt;""),NOT(ISNUMBER('Plano de Ação'!$F220)),NOT(ISNUMBER('Plano de Ação'!$G220)),'Plano de Ação'!$J220="Cancelada"),0,IF(AND('Plano de Ação'!$F220&lt;=EOMONTH(DATE(ano_ref,8,1),0),'Plano de Ação'!$G220&gt;=DATE(ano_ref,8,1)),1,0))</f>
      </c>
      <c r="M221" s="41">
        <f>IF(OR(NOT('Plano de Ação'!$B220&lt;&gt;""),NOT(ISNUMBER('Plano de Ação'!$F220)),NOT(ISNUMBER('Plano de Ação'!$G220)),'Plano de Ação'!$J220="Cancelada"),0,IF(AND('Plano de Ação'!$F220&lt;=EOMONTH(DATE(ano_ref,9,1),0),'Plano de Ação'!$G220&gt;=DATE(ano_ref,9,1)),1,0))</f>
      </c>
      <c r="N221" s="41">
        <f>IF(OR(NOT('Plano de Ação'!$B220&lt;&gt;""),NOT(ISNUMBER('Plano de Ação'!$F220)),NOT(ISNUMBER('Plano de Ação'!$G220)),'Plano de Ação'!$J220="Cancelada"),0,IF(AND('Plano de Ação'!$F220&lt;=EOMONTH(DATE(ano_ref,10,1),0),'Plano de Ação'!$G220&gt;=DATE(ano_ref,10,1)),1,0))</f>
      </c>
      <c r="O221" s="41">
        <f>IF(OR(NOT('Plano de Ação'!$B220&lt;&gt;""),NOT(ISNUMBER('Plano de Ação'!$F220)),NOT(ISNUMBER('Plano de Ação'!$G220)),'Plano de Ação'!$J220="Cancelada"),0,IF(AND('Plano de Ação'!$F220&lt;=EOMONTH(DATE(ano_ref,11,1),0),'Plano de Ação'!$G220&gt;=DATE(ano_ref,11,1)),1,0))</f>
      </c>
      <c r="P221" s="41">
        <f>IF(OR(NOT('Plano de Ação'!$B220&lt;&gt;""),NOT(ISNUMBER('Plano de Ação'!$F220)),NOT(ISNUMBER('Plano de Ação'!$G220)),'Plano de Ação'!$J220="Cancelada"),0,IF(AND('Plano de Ação'!$F220&lt;=EOMONTH(DATE(ano_ref,12,1),0),'Plano de Ação'!$G220&gt;=DATE(ano_ref,12,1)),1,0))</f>
      </c>
    </row>
    <row r="222" spans="1:16" x14ac:dyDescent="0.25">
      <c r="A222" s="40">
        <f>IF('Plano de Ação'!$B221&lt;&gt;"",'Plano de Ação'!A221&amp;"","")</f>
      </c>
      <c r="B222" s="25">
        <f>IF('Plano de Ação'!$B221&lt;&gt;"",'Plano de Ação'!B221,"")</f>
      </c>
      <c r="C222" s="25">
        <f>IF('Plano de Ação'!$B221&lt;&gt;"",'Plano de Ação'!E221&amp;"","")</f>
      </c>
      <c r="D222" s="40">
        <f>IF('Plano de Ação'!$B221&lt;&gt;"",'Plano de Ação'!L221,"")</f>
      </c>
      <c r="E222" s="41">
        <f>IF(OR(NOT('Plano de Ação'!$B221&lt;&gt;""),NOT(ISNUMBER('Plano de Ação'!$F221)),NOT(ISNUMBER('Plano de Ação'!$G221)),'Plano de Ação'!$J221="Cancelada"),0,IF(AND('Plano de Ação'!$F221&lt;=EOMONTH(DATE(ano_ref,1,1),0),'Plano de Ação'!$G221&gt;=DATE(ano_ref,1,1)),1,0))</f>
      </c>
      <c r="F222" s="41">
        <f>IF(OR(NOT('Plano de Ação'!$B221&lt;&gt;""),NOT(ISNUMBER('Plano de Ação'!$F221)),NOT(ISNUMBER('Plano de Ação'!$G221)),'Plano de Ação'!$J221="Cancelada"),0,IF(AND('Plano de Ação'!$F221&lt;=EOMONTH(DATE(ano_ref,2,1),0),'Plano de Ação'!$G221&gt;=DATE(ano_ref,2,1)),1,0))</f>
      </c>
      <c r="G222" s="41">
        <f>IF(OR(NOT('Plano de Ação'!$B221&lt;&gt;""),NOT(ISNUMBER('Plano de Ação'!$F221)),NOT(ISNUMBER('Plano de Ação'!$G221)),'Plano de Ação'!$J221="Cancelada"),0,IF(AND('Plano de Ação'!$F221&lt;=EOMONTH(DATE(ano_ref,3,1),0),'Plano de Ação'!$G221&gt;=DATE(ano_ref,3,1)),1,0))</f>
      </c>
      <c r="H222" s="41">
        <f>IF(OR(NOT('Plano de Ação'!$B221&lt;&gt;""),NOT(ISNUMBER('Plano de Ação'!$F221)),NOT(ISNUMBER('Plano de Ação'!$G221)),'Plano de Ação'!$J221="Cancelada"),0,IF(AND('Plano de Ação'!$F221&lt;=EOMONTH(DATE(ano_ref,4,1),0),'Plano de Ação'!$G221&gt;=DATE(ano_ref,4,1)),1,0))</f>
      </c>
      <c r="I222" s="41">
        <f>IF(OR(NOT('Plano de Ação'!$B221&lt;&gt;""),NOT(ISNUMBER('Plano de Ação'!$F221)),NOT(ISNUMBER('Plano de Ação'!$G221)),'Plano de Ação'!$J221="Cancelada"),0,IF(AND('Plano de Ação'!$F221&lt;=EOMONTH(DATE(ano_ref,5,1),0),'Plano de Ação'!$G221&gt;=DATE(ano_ref,5,1)),1,0))</f>
      </c>
      <c r="J222" s="41">
        <f>IF(OR(NOT('Plano de Ação'!$B221&lt;&gt;""),NOT(ISNUMBER('Plano de Ação'!$F221)),NOT(ISNUMBER('Plano de Ação'!$G221)),'Plano de Ação'!$J221="Cancelada"),0,IF(AND('Plano de Ação'!$F221&lt;=EOMONTH(DATE(ano_ref,6,1),0),'Plano de Ação'!$G221&gt;=DATE(ano_ref,6,1)),1,0))</f>
      </c>
      <c r="K222" s="41">
        <f>IF(OR(NOT('Plano de Ação'!$B221&lt;&gt;""),NOT(ISNUMBER('Plano de Ação'!$F221)),NOT(ISNUMBER('Plano de Ação'!$G221)),'Plano de Ação'!$J221="Cancelada"),0,IF(AND('Plano de Ação'!$F221&lt;=EOMONTH(DATE(ano_ref,7,1),0),'Plano de Ação'!$G221&gt;=DATE(ano_ref,7,1)),1,0))</f>
      </c>
      <c r="L222" s="41">
        <f>IF(OR(NOT('Plano de Ação'!$B221&lt;&gt;""),NOT(ISNUMBER('Plano de Ação'!$F221)),NOT(ISNUMBER('Plano de Ação'!$G221)),'Plano de Ação'!$J221="Cancelada"),0,IF(AND('Plano de Ação'!$F221&lt;=EOMONTH(DATE(ano_ref,8,1),0),'Plano de Ação'!$G221&gt;=DATE(ano_ref,8,1)),1,0))</f>
      </c>
      <c r="M222" s="41">
        <f>IF(OR(NOT('Plano de Ação'!$B221&lt;&gt;""),NOT(ISNUMBER('Plano de Ação'!$F221)),NOT(ISNUMBER('Plano de Ação'!$G221)),'Plano de Ação'!$J221="Cancelada"),0,IF(AND('Plano de Ação'!$F221&lt;=EOMONTH(DATE(ano_ref,9,1),0),'Plano de Ação'!$G221&gt;=DATE(ano_ref,9,1)),1,0))</f>
      </c>
      <c r="N222" s="41">
        <f>IF(OR(NOT('Plano de Ação'!$B221&lt;&gt;""),NOT(ISNUMBER('Plano de Ação'!$F221)),NOT(ISNUMBER('Plano de Ação'!$G221)),'Plano de Ação'!$J221="Cancelada"),0,IF(AND('Plano de Ação'!$F221&lt;=EOMONTH(DATE(ano_ref,10,1),0),'Plano de Ação'!$G221&gt;=DATE(ano_ref,10,1)),1,0))</f>
      </c>
      <c r="O222" s="41">
        <f>IF(OR(NOT('Plano de Ação'!$B221&lt;&gt;""),NOT(ISNUMBER('Plano de Ação'!$F221)),NOT(ISNUMBER('Plano de Ação'!$G221)),'Plano de Ação'!$J221="Cancelada"),0,IF(AND('Plano de Ação'!$F221&lt;=EOMONTH(DATE(ano_ref,11,1),0),'Plano de Ação'!$G221&gt;=DATE(ano_ref,11,1)),1,0))</f>
      </c>
      <c r="P222" s="41">
        <f>IF(OR(NOT('Plano de Ação'!$B221&lt;&gt;""),NOT(ISNUMBER('Plano de Ação'!$F221)),NOT(ISNUMBER('Plano de Ação'!$G221)),'Plano de Ação'!$J221="Cancelada"),0,IF(AND('Plano de Ação'!$F221&lt;=EOMONTH(DATE(ano_ref,12,1),0),'Plano de Ação'!$G221&gt;=DATE(ano_ref,12,1)),1,0))</f>
      </c>
    </row>
    <row r="223" spans="1:16" x14ac:dyDescent="0.25">
      <c r="A223" s="40">
        <f>IF('Plano de Ação'!$B222&lt;&gt;"",'Plano de Ação'!A222&amp;"","")</f>
      </c>
      <c r="B223" s="25">
        <f>IF('Plano de Ação'!$B222&lt;&gt;"",'Plano de Ação'!B222,"")</f>
      </c>
      <c r="C223" s="25">
        <f>IF('Plano de Ação'!$B222&lt;&gt;"",'Plano de Ação'!E222&amp;"","")</f>
      </c>
      <c r="D223" s="40">
        <f>IF('Plano de Ação'!$B222&lt;&gt;"",'Plano de Ação'!L222,"")</f>
      </c>
      <c r="E223" s="41">
        <f>IF(OR(NOT('Plano de Ação'!$B222&lt;&gt;""),NOT(ISNUMBER('Plano de Ação'!$F222)),NOT(ISNUMBER('Plano de Ação'!$G222)),'Plano de Ação'!$J222="Cancelada"),0,IF(AND('Plano de Ação'!$F222&lt;=EOMONTH(DATE(ano_ref,1,1),0),'Plano de Ação'!$G222&gt;=DATE(ano_ref,1,1)),1,0))</f>
      </c>
      <c r="F223" s="41">
        <f>IF(OR(NOT('Plano de Ação'!$B222&lt;&gt;""),NOT(ISNUMBER('Plano de Ação'!$F222)),NOT(ISNUMBER('Plano de Ação'!$G222)),'Plano de Ação'!$J222="Cancelada"),0,IF(AND('Plano de Ação'!$F222&lt;=EOMONTH(DATE(ano_ref,2,1),0),'Plano de Ação'!$G222&gt;=DATE(ano_ref,2,1)),1,0))</f>
      </c>
      <c r="G223" s="41">
        <f>IF(OR(NOT('Plano de Ação'!$B222&lt;&gt;""),NOT(ISNUMBER('Plano de Ação'!$F222)),NOT(ISNUMBER('Plano de Ação'!$G222)),'Plano de Ação'!$J222="Cancelada"),0,IF(AND('Plano de Ação'!$F222&lt;=EOMONTH(DATE(ano_ref,3,1),0),'Plano de Ação'!$G222&gt;=DATE(ano_ref,3,1)),1,0))</f>
      </c>
      <c r="H223" s="41">
        <f>IF(OR(NOT('Plano de Ação'!$B222&lt;&gt;""),NOT(ISNUMBER('Plano de Ação'!$F222)),NOT(ISNUMBER('Plano de Ação'!$G222)),'Plano de Ação'!$J222="Cancelada"),0,IF(AND('Plano de Ação'!$F222&lt;=EOMONTH(DATE(ano_ref,4,1),0),'Plano de Ação'!$G222&gt;=DATE(ano_ref,4,1)),1,0))</f>
      </c>
      <c r="I223" s="41">
        <f>IF(OR(NOT('Plano de Ação'!$B222&lt;&gt;""),NOT(ISNUMBER('Plano de Ação'!$F222)),NOT(ISNUMBER('Plano de Ação'!$G222)),'Plano de Ação'!$J222="Cancelada"),0,IF(AND('Plano de Ação'!$F222&lt;=EOMONTH(DATE(ano_ref,5,1),0),'Plano de Ação'!$G222&gt;=DATE(ano_ref,5,1)),1,0))</f>
      </c>
      <c r="J223" s="41">
        <f>IF(OR(NOT('Plano de Ação'!$B222&lt;&gt;""),NOT(ISNUMBER('Plano de Ação'!$F222)),NOT(ISNUMBER('Plano de Ação'!$G222)),'Plano de Ação'!$J222="Cancelada"),0,IF(AND('Plano de Ação'!$F222&lt;=EOMONTH(DATE(ano_ref,6,1),0),'Plano de Ação'!$G222&gt;=DATE(ano_ref,6,1)),1,0))</f>
      </c>
      <c r="K223" s="41">
        <f>IF(OR(NOT('Plano de Ação'!$B222&lt;&gt;""),NOT(ISNUMBER('Plano de Ação'!$F222)),NOT(ISNUMBER('Plano de Ação'!$G222)),'Plano de Ação'!$J222="Cancelada"),0,IF(AND('Plano de Ação'!$F222&lt;=EOMONTH(DATE(ano_ref,7,1),0),'Plano de Ação'!$G222&gt;=DATE(ano_ref,7,1)),1,0))</f>
      </c>
      <c r="L223" s="41">
        <f>IF(OR(NOT('Plano de Ação'!$B222&lt;&gt;""),NOT(ISNUMBER('Plano de Ação'!$F222)),NOT(ISNUMBER('Plano de Ação'!$G222)),'Plano de Ação'!$J222="Cancelada"),0,IF(AND('Plano de Ação'!$F222&lt;=EOMONTH(DATE(ano_ref,8,1),0),'Plano de Ação'!$G222&gt;=DATE(ano_ref,8,1)),1,0))</f>
      </c>
      <c r="M223" s="41">
        <f>IF(OR(NOT('Plano de Ação'!$B222&lt;&gt;""),NOT(ISNUMBER('Plano de Ação'!$F222)),NOT(ISNUMBER('Plano de Ação'!$G222)),'Plano de Ação'!$J222="Cancelada"),0,IF(AND('Plano de Ação'!$F222&lt;=EOMONTH(DATE(ano_ref,9,1),0),'Plano de Ação'!$G222&gt;=DATE(ano_ref,9,1)),1,0))</f>
      </c>
      <c r="N223" s="41">
        <f>IF(OR(NOT('Plano de Ação'!$B222&lt;&gt;""),NOT(ISNUMBER('Plano de Ação'!$F222)),NOT(ISNUMBER('Plano de Ação'!$G222)),'Plano de Ação'!$J222="Cancelada"),0,IF(AND('Plano de Ação'!$F222&lt;=EOMONTH(DATE(ano_ref,10,1),0),'Plano de Ação'!$G222&gt;=DATE(ano_ref,10,1)),1,0))</f>
      </c>
      <c r="O223" s="41">
        <f>IF(OR(NOT('Plano de Ação'!$B222&lt;&gt;""),NOT(ISNUMBER('Plano de Ação'!$F222)),NOT(ISNUMBER('Plano de Ação'!$G222)),'Plano de Ação'!$J222="Cancelada"),0,IF(AND('Plano de Ação'!$F222&lt;=EOMONTH(DATE(ano_ref,11,1),0),'Plano de Ação'!$G222&gt;=DATE(ano_ref,11,1)),1,0))</f>
      </c>
      <c r="P223" s="41">
        <f>IF(OR(NOT('Plano de Ação'!$B222&lt;&gt;""),NOT(ISNUMBER('Plano de Ação'!$F222)),NOT(ISNUMBER('Plano de Ação'!$G222)),'Plano de Ação'!$J222="Cancelada"),0,IF(AND('Plano de Ação'!$F222&lt;=EOMONTH(DATE(ano_ref,12,1),0),'Plano de Ação'!$G222&gt;=DATE(ano_ref,12,1)),1,0))</f>
      </c>
    </row>
    <row r="224" spans="1:16" x14ac:dyDescent="0.25">
      <c r="A224" s="40">
        <f>IF('Plano de Ação'!$B223&lt;&gt;"",'Plano de Ação'!A223&amp;"","")</f>
      </c>
      <c r="B224" s="25">
        <f>IF('Plano de Ação'!$B223&lt;&gt;"",'Plano de Ação'!B223,"")</f>
      </c>
      <c r="C224" s="25">
        <f>IF('Plano de Ação'!$B223&lt;&gt;"",'Plano de Ação'!E223&amp;"","")</f>
      </c>
      <c r="D224" s="40">
        <f>IF('Plano de Ação'!$B223&lt;&gt;"",'Plano de Ação'!L223,"")</f>
      </c>
      <c r="E224" s="41">
        <f>IF(OR(NOT('Plano de Ação'!$B223&lt;&gt;""),NOT(ISNUMBER('Plano de Ação'!$F223)),NOT(ISNUMBER('Plano de Ação'!$G223)),'Plano de Ação'!$J223="Cancelada"),0,IF(AND('Plano de Ação'!$F223&lt;=EOMONTH(DATE(ano_ref,1,1),0),'Plano de Ação'!$G223&gt;=DATE(ano_ref,1,1)),1,0))</f>
      </c>
      <c r="F224" s="41">
        <f>IF(OR(NOT('Plano de Ação'!$B223&lt;&gt;""),NOT(ISNUMBER('Plano de Ação'!$F223)),NOT(ISNUMBER('Plano de Ação'!$G223)),'Plano de Ação'!$J223="Cancelada"),0,IF(AND('Plano de Ação'!$F223&lt;=EOMONTH(DATE(ano_ref,2,1),0),'Plano de Ação'!$G223&gt;=DATE(ano_ref,2,1)),1,0))</f>
      </c>
      <c r="G224" s="41">
        <f>IF(OR(NOT('Plano de Ação'!$B223&lt;&gt;""),NOT(ISNUMBER('Plano de Ação'!$F223)),NOT(ISNUMBER('Plano de Ação'!$G223)),'Plano de Ação'!$J223="Cancelada"),0,IF(AND('Plano de Ação'!$F223&lt;=EOMONTH(DATE(ano_ref,3,1),0),'Plano de Ação'!$G223&gt;=DATE(ano_ref,3,1)),1,0))</f>
      </c>
      <c r="H224" s="41">
        <f>IF(OR(NOT('Plano de Ação'!$B223&lt;&gt;""),NOT(ISNUMBER('Plano de Ação'!$F223)),NOT(ISNUMBER('Plano de Ação'!$G223)),'Plano de Ação'!$J223="Cancelada"),0,IF(AND('Plano de Ação'!$F223&lt;=EOMONTH(DATE(ano_ref,4,1),0),'Plano de Ação'!$G223&gt;=DATE(ano_ref,4,1)),1,0))</f>
      </c>
      <c r="I224" s="41">
        <f>IF(OR(NOT('Plano de Ação'!$B223&lt;&gt;""),NOT(ISNUMBER('Plano de Ação'!$F223)),NOT(ISNUMBER('Plano de Ação'!$G223)),'Plano de Ação'!$J223="Cancelada"),0,IF(AND('Plano de Ação'!$F223&lt;=EOMONTH(DATE(ano_ref,5,1),0),'Plano de Ação'!$G223&gt;=DATE(ano_ref,5,1)),1,0))</f>
      </c>
      <c r="J224" s="41">
        <f>IF(OR(NOT('Plano de Ação'!$B223&lt;&gt;""),NOT(ISNUMBER('Plano de Ação'!$F223)),NOT(ISNUMBER('Plano de Ação'!$G223)),'Plano de Ação'!$J223="Cancelada"),0,IF(AND('Plano de Ação'!$F223&lt;=EOMONTH(DATE(ano_ref,6,1),0),'Plano de Ação'!$G223&gt;=DATE(ano_ref,6,1)),1,0))</f>
      </c>
      <c r="K224" s="41">
        <f>IF(OR(NOT('Plano de Ação'!$B223&lt;&gt;""),NOT(ISNUMBER('Plano de Ação'!$F223)),NOT(ISNUMBER('Plano de Ação'!$G223)),'Plano de Ação'!$J223="Cancelada"),0,IF(AND('Plano de Ação'!$F223&lt;=EOMONTH(DATE(ano_ref,7,1),0),'Plano de Ação'!$G223&gt;=DATE(ano_ref,7,1)),1,0))</f>
      </c>
      <c r="L224" s="41">
        <f>IF(OR(NOT('Plano de Ação'!$B223&lt;&gt;""),NOT(ISNUMBER('Plano de Ação'!$F223)),NOT(ISNUMBER('Plano de Ação'!$G223)),'Plano de Ação'!$J223="Cancelada"),0,IF(AND('Plano de Ação'!$F223&lt;=EOMONTH(DATE(ano_ref,8,1),0),'Plano de Ação'!$G223&gt;=DATE(ano_ref,8,1)),1,0))</f>
      </c>
      <c r="M224" s="41">
        <f>IF(OR(NOT('Plano de Ação'!$B223&lt;&gt;""),NOT(ISNUMBER('Plano de Ação'!$F223)),NOT(ISNUMBER('Plano de Ação'!$G223)),'Plano de Ação'!$J223="Cancelada"),0,IF(AND('Plano de Ação'!$F223&lt;=EOMONTH(DATE(ano_ref,9,1),0),'Plano de Ação'!$G223&gt;=DATE(ano_ref,9,1)),1,0))</f>
      </c>
      <c r="N224" s="41">
        <f>IF(OR(NOT('Plano de Ação'!$B223&lt;&gt;""),NOT(ISNUMBER('Plano de Ação'!$F223)),NOT(ISNUMBER('Plano de Ação'!$G223)),'Plano de Ação'!$J223="Cancelada"),0,IF(AND('Plano de Ação'!$F223&lt;=EOMONTH(DATE(ano_ref,10,1),0),'Plano de Ação'!$G223&gt;=DATE(ano_ref,10,1)),1,0))</f>
      </c>
      <c r="O224" s="41">
        <f>IF(OR(NOT('Plano de Ação'!$B223&lt;&gt;""),NOT(ISNUMBER('Plano de Ação'!$F223)),NOT(ISNUMBER('Plano de Ação'!$G223)),'Plano de Ação'!$J223="Cancelada"),0,IF(AND('Plano de Ação'!$F223&lt;=EOMONTH(DATE(ano_ref,11,1),0),'Plano de Ação'!$G223&gt;=DATE(ano_ref,11,1)),1,0))</f>
      </c>
      <c r="P224" s="41">
        <f>IF(OR(NOT('Plano de Ação'!$B223&lt;&gt;""),NOT(ISNUMBER('Plano de Ação'!$F223)),NOT(ISNUMBER('Plano de Ação'!$G223)),'Plano de Ação'!$J223="Cancelada"),0,IF(AND('Plano de Ação'!$F223&lt;=EOMONTH(DATE(ano_ref,12,1),0),'Plano de Ação'!$G223&gt;=DATE(ano_ref,12,1)),1,0))</f>
      </c>
    </row>
    <row r="225" spans="1:16" x14ac:dyDescent="0.25">
      <c r="A225" s="40">
        <f>IF('Plano de Ação'!$B224&lt;&gt;"",'Plano de Ação'!A224&amp;"","")</f>
      </c>
      <c r="B225" s="25">
        <f>IF('Plano de Ação'!$B224&lt;&gt;"",'Plano de Ação'!B224,"")</f>
      </c>
      <c r="C225" s="25">
        <f>IF('Plano de Ação'!$B224&lt;&gt;"",'Plano de Ação'!E224&amp;"","")</f>
      </c>
      <c r="D225" s="40">
        <f>IF('Plano de Ação'!$B224&lt;&gt;"",'Plano de Ação'!L224,"")</f>
      </c>
      <c r="E225" s="41">
        <f>IF(OR(NOT('Plano de Ação'!$B224&lt;&gt;""),NOT(ISNUMBER('Plano de Ação'!$F224)),NOT(ISNUMBER('Plano de Ação'!$G224)),'Plano de Ação'!$J224="Cancelada"),0,IF(AND('Plano de Ação'!$F224&lt;=EOMONTH(DATE(ano_ref,1,1),0),'Plano de Ação'!$G224&gt;=DATE(ano_ref,1,1)),1,0))</f>
      </c>
      <c r="F225" s="41">
        <f>IF(OR(NOT('Plano de Ação'!$B224&lt;&gt;""),NOT(ISNUMBER('Plano de Ação'!$F224)),NOT(ISNUMBER('Plano de Ação'!$G224)),'Plano de Ação'!$J224="Cancelada"),0,IF(AND('Plano de Ação'!$F224&lt;=EOMONTH(DATE(ano_ref,2,1),0),'Plano de Ação'!$G224&gt;=DATE(ano_ref,2,1)),1,0))</f>
      </c>
      <c r="G225" s="41">
        <f>IF(OR(NOT('Plano de Ação'!$B224&lt;&gt;""),NOT(ISNUMBER('Plano de Ação'!$F224)),NOT(ISNUMBER('Plano de Ação'!$G224)),'Plano de Ação'!$J224="Cancelada"),0,IF(AND('Plano de Ação'!$F224&lt;=EOMONTH(DATE(ano_ref,3,1),0),'Plano de Ação'!$G224&gt;=DATE(ano_ref,3,1)),1,0))</f>
      </c>
      <c r="H225" s="41">
        <f>IF(OR(NOT('Plano de Ação'!$B224&lt;&gt;""),NOT(ISNUMBER('Plano de Ação'!$F224)),NOT(ISNUMBER('Plano de Ação'!$G224)),'Plano de Ação'!$J224="Cancelada"),0,IF(AND('Plano de Ação'!$F224&lt;=EOMONTH(DATE(ano_ref,4,1),0),'Plano de Ação'!$G224&gt;=DATE(ano_ref,4,1)),1,0))</f>
      </c>
      <c r="I225" s="41">
        <f>IF(OR(NOT('Plano de Ação'!$B224&lt;&gt;""),NOT(ISNUMBER('Plano de Ação'!$F224)),NOT(ISNUMBER('Plano de Ação'!$G224)),'Plano de Ação'!$J224="Cancelada"),0,IF(AND('Plano de Ação'!$F224&lt;=EOMONTH(DATE(ano_ref,5,1),0),'Plano de Ação'!$G224&gt;=DATE(ano_ref,5,1)),1,0))</f>
      </c>
      <c r="J225" s="41">
        <f>IF(OR(NOT('Plano de Ação'!$B224&lt;&gt;""),NOT(ISNUMBER('Plano de Ação'!$F224)),NOT(ISNUMBER('Plano de Ação'!$G224)),'Plano de Ação'!$J224="Cancelada"),0,IF(AND('Plano de Ação'!$F224&lt;=EOMONTH(DATE(ano_ref,6,1),0),'Plano de Ação'!$G224&gt;=DATE(ano_ref,6,1)),1,0))</f>
      </c>
      <c r="K225" s="41">
        <f>IF(OR(NOT('Plano de Ação'!$B224&lt;&gt;""),NOT(ISNUMBER('Plano de Ação'!$F224)),NOT(ISNUMBER('Plano de Ação'!$G224)),'Plano de Ação'!$J224="Cancelada"),0,IF(AND('Plano de Ação'!$F224&lt;=EOMONTH(DATE(ano_ref,7,1),0),'Plano de Ação'!$G224&gt;=DATE(ano_ref,7,1)),1,0))</f>
      </c>
      <c r="L225" s="41">
        <f>IF(OR(NOT('Plano de Ação'!$B224&lt;&gt;""),NOT(ISNUMBER('Plano de Ação'!$F224)),NOT(ISNUMBER('Plano de Ação'!$G224)),'Plano de Ação'!$J224="Cancelada"),0,IF(AND('Plano de Ação'!$F224&lt;=EOMONTH(DATE(ano_ref,8,1),0),'Plano de Ação'!$G224&gt;=DATE(ano_ref,8,1)),1,0))</f>
      </c>
      <c r="M225" s="41">
        <f>IF(OR(NOT('Plano de Ação'!$B224&lt;&gt;""),NOT(ISNUMBER('Plano de Ação'!$F224)),NOT(ISNUMBER('Plano de Ação'!$G224)),'Plano de Ação'!$J224="Cancelada"),0,IF(AND('Plano de Ação'!$F224&lt;=EOMONTH(DATE(ano_ref,9,1),0),'Plano de Ação'!$G224&gt;=DATE(ano_ref,9,1)),1,0))</f>
      </c>
      <c r="N225" s="41">
        <f>IF(OR(NOT('Plano de Ação'!$B224&lt;&gt;""),NOT(ISNUMBER('Plano de Ação'!$F224)),NOT(ISNUMBER('Plano de Ação'!$G224)),'Plano de Ação'!$J224="Cancelada"),0,IF(AND('Plano de Ação'!$F224&lt;=EOMONTH(DATE(ano_ref,10,1),0),'Plano de Ação'!$G224&gt;=DATE(ano_ref,10,1)),1,0))</f>
      </c>
      <c r="O225" s="41">
        <f>IF(OR(NOT('Plano de Ação'!$B224&lt;&gt;""),NOT(ISNUMBER('Plano de Ação'!$F224)),NOT(ISNUMBER('Plano de Ação'!$G224)),'Plano de Ação'!$J224="Cancelada"),0,IF(AND('Plano de Ação'!$F224&lt;=EOMONTH(DATE(ano_ref,11,1),0),'Plano de Ação'!$G224&gt;=DATE(ano_ref,11,1)),1,0))</f>
      </c>
      <c r="P225" s="41">
        <f>IF(OR(NOT('Plano de Ação'!$B224&lt;&gt;""),NOT(ISNUMBER('Plano de Ação'!$F224)),NOT(ISNUMBER('Plano de Ação'!$G224)),'Plano de Ação'!$J224="Cancelada"),0,IF(AND('Plano de Ação'!$F224&lt;=EOMONTH(DATE(ano_ref,12,1),0),'Plano de Ação'!$G224&gt;=DATE(ano_ref,12,1)),1,0))</f>
      </c>
    </row>
    <row r="226" spans="1:16" x14ac:dyDescent="0.25">
      <c r="A226" s="40">
        <f>IF('Plano de Ação'!$B225&lt;&gt;"",'Plano de Ação'!A225&amp;"","")</f>
      </c>
      <c r="B226" s="25">
        <f>IF('Plano de Ação'!$B225&lt;&gt;"",'Plano de Ação'!B225,"")</f>
      </c>
      <c r="C226" s="25">
        <f>IF('Plano de Ação'!$B225&lt;&gt;"",'Plano de Ação'!E225&amp;"","")</f>
      </c>
      <c r="D226" s="40">
        <f>IF('Plano de Ação'!$B225&lt;&gt;"",'Plano de Ação'!L225,"")</f>
      </c>
      <c r="E226" s="41">
        <f>IF(OR(NOT('Plano de Ação'!$B225&lt;&gt;""),NOT(ISNUMBER('Plano de Ação'!$F225)),NOT(ISNUMBER('Plano de Ação'!$G225)),'Plano de Ação'!$J225="Cancelada"),0,IF(AND('Plano de Ação'!$F225&lt;=EOMONTH(DATE(ano_ref,1,1),0),'Plano de Ação'!$G225&gt;=DATE(ano_ref,1,1)),1,0))</f>
      </c>
      <c r="F226" s="41">
        <f>IF(OR(NOT('Plano de Ação'!$B225&lt;&gt;""),NOT(ISNUMBER('Plano de Ação'!$F225)),NOT(ISNUMBER('Plano de Ação'!$G225)),'Plano de Ação'!$J225="Cancelada"),0,IF(AND('Plano de Ação'!$F225&lt;=EOMONTH(DATE(ano_ref,2,1),0),'Plano de Ação'!$G225&gt;=DATE(ano_ref,2,1)),1,0))</f>
      </c>
      <c r="G226" s="41">
        <f>IF(OR(NOT('Plano de Ação'!$B225&lt;&gt;""),NOT(ISNUMBER('Plano de Ação'!$F225)),NOT(ISNUMBER('Plano de Ação'!$G225)),'Plano de Ação'!$J225="Cancelada"),0,IF(AND('Plano de Ação'!$F225&lt;=EOMONTH(DATE(ano_ref,3,1),0),'Plano de Ação'!$G225&gt;=DATE(ano_ref,3,1)),1,0))</f>
      </c>
      <c r="H226" s="41">
        <f>IF(OR(NOT('Plano de Ação'!$B225&lt;&gt;""),NOT(ISNUMBER('Plano de Ação'!$F225)),NOT(ISNUMBER('Plano de Ação'!$G225)),'Plano de Ação'!$J225="Cancelada"),0,IF(AND('Plano de Ação'!$F225&lt;=EOMONTH(DATE(ano_ref,4,1),0),'Plano de Ação'!$G225&gt;=DATE(ano_ref,4,1)),1,0))</f>
      </c>
      <c r="I226" s="41">
        <f>IF(OR(NOT('Plano de Ação'!$B225&lt;&gt;""),NOT(ISNUMBER('Plano de Ação'!$F225)),NOT(ISNUMBER('Plano de Ação'!$G225)),'Plano de Ação'!$J225="Cancelada"),0,IF(AND('Plano de Ação'!$F225&lt;=EOMONTH(DATE(ano_ref,5,1),0),'Plano de Ação'!$G225&gt;=DATE(ano_ref,5,1)),1,0))</f>
      </c>
      <c r="J226" s="41">
        <f>IF(OR(NOT('Plano de Ação'!$B225&lt;&gt;""),NOT(ISNUMBER('Plano de Ação'!$F225)),NOT(ISNUMBER('Plano de Ação'!$G225)),'Plano de Ação'!$J225="Cancelada"),0,IF(AND('Plano de Ação'!$F225&lt;=EOMONTH(DATE(ano_ref,6,1),0),'Plano de Ação'!$G225&gt;=DATE(ano_ref,6,1)),1,0))</f>
      </c>
      <c r="K226" s="41">
        <f>IF(OR(NOT('Plano de Ação'!$B225&lt;&gt;""),NOT(ISNUMBER('Plano de Ação'!$F225)),NOT(ISNUMBER('Plano de Ação'!$G225)),'Plano de Ação'!$J225="Cancelada"),0,IF(AND('Plano de Ação'!$F225&lt;=EOMONTH(DATE(ano_ref,7,1),0),'Plano de Ação'!$G225&gt;=DATE(ano_ref,7,1)),1,0))</f>
      </c>
      <c r="L226" s="41">
        <f>IF(OR(NOT('Plano de Ação'!$B225&lt;&gt;""),NOT(ISNUMBER('Plano de Ação'!$F225)),NOT(ISNUMBER('Plano de Ação'!$G225)),'Plano de Ação'!$J225="Cancelada"),0,IF(AND('Plano de Ação'!$F225&lt;=EOMONTH(DATE(ano_ref,8,1),0),'Plano de Ação'!$G225&gt;=DATE(ano_ref,8,1)),1,0))</f>
      </c>
      <c r="M226" s="41">
        <f>IF(OR(NOT('Plano de Ação'!$B225&lt;&gt;""),NOT(ISNUMBER('Plano de Ação'!$F225)),NOT(ISNUMBER('Plano de Ação'!$G225)),'Plano de Ação'!$J225="Cancelada"),0,IF(AND('Plano de Ação'!$F225&lt;=EOMONTH(DATE(ano_ref,9,1),0),'Plano de Ação'!$G225&gt;=DATE(ano_ref,9,1)),1,0))</f>
      </c>
      <c r="N226" s="41">
        <f>IF(OR(NOT('Plano de Ação'!$B225&lt;&gt;""),NOT(ISNUMBER('Plano de Ação'!$F225)),NOT(ISNUMBER('Plano de Ação'!$G225)),'Plano de Ação'!$J225="Cancelada"),0,IF(AND('Plano de Ação'!$F225&lt;=EOMONTH(DATE(ano_ref,10,1),0),'Plano de Ação'!$G225&gt;=DATE(ano_ref,10,1)),1,0))</f>
      </c>
      <c r="O226" s="41">
        <f>IF(OR(NOT('Plano de Ação'!$B225&lt;&gt;""),NOT(ISNUMBER('Plano de Ação'!$F225)),NOT(ISNUMBER('Plano de Ação'!$G225)),'Plano de Ação'!$J225="Cancelada"),0,IF(AND('Plano de Ação'!$F225&lt;=EOMONTH(DATE(ano_ref,11,1),0),'Plano de Ação'!$G225&gt;=DATE(ano_ref,11,1)),1,0))</f>
      </c>
      <c r="P226" s="41">
        <f>IF(OR(NOT('Plano de Ação'!$B225&lt;&gt;""),NOT(ISNUMBER('Plano de Ação'!$F225)),NOT(ISNUMBER('Plano de Ação'!$G225)),'Plano de Ação'!$J225="Cancelada"),0,IF(AND('Plano de Ação'!$F225&lt;=EOMONTH(DATE(ano_ref,12,1),0),'Plano de Ação'!$G225&gt;=DATE(ano_ref,12,1)),1,0))</f>
      </c>
    </row>
    <row r="227" spans="1:16" x14ac:dyDescent="0.25">
      <c r="A227" s="40">
        <f>IF('Plano de Ação'!$B226&lt;&gt;"",'Plano de Ação'!A226&amp;"","")</f>
      </c>
      <c r="B227" s="25">
        <f>IF('Plano de Ação'!$B226&lt;&gt;"",'Plano de Ação'!B226,"")</f>
      </c>
      <c r="C227" s="25">
        <f>IF('Plano de Ação'!$B226&lt;&gt;"",'Plano de Ação'!E226&amp;"","")</f>
      </c>
      <c r="D227" s="40">
        <f>IF('Plano de Ação'!$B226&lt;&gt;"",'Plano de Ação'!L226,"")</f>
      </c>
      <c r="E227" s="41">
        <f>IF(OR(NOT('Plano de Ação'!$B226&lt;&gt;""),NOT(ISNUMBER('Plano de Ação'!$F226)),NOT(ISNUMBER('Plano de Ação'!$G226)),'Plano de Ação'!$J226="Cancelada"),0,IF(AND('Plano de Ação'!$F226&lt;=EOMONTH(DATE(ano_ref,1,1),0),'Plano de Ação'!$G226&gt;=DATE(ano_ref,1,1)),1,0))</f>
      </c>
      <c r="F227" s="41">
        <f>IF(OR(NOT('Plano de Ação'!$B226&lt;&gt;""),NOT(ISNUMBER('Plano de Ação'!$F226)),NOT(ISNUMBER('Plano de Ação'!$G226)),'Plano de Ação'!$J226="Cancelada"),0,IF(AND('Plano de Ação'!$F226&lt;=EOMONTH(DATE(ano_ref,2,1),0),'Plano de Ação'!$G226&gt;=DATE(ano_ref,2,1)),1,0))</f>
      </c>
      <c r="G227" s="41">
        <f>IF(OR(NOT('Plano de Ação'!$B226&lt;&gt;""),NOT(ISNUMBER('Plano de Ação'!$F226)),NOT(ISNUMBER('Plano de Ação'!$G226)),'Plano de Ação'!$J226="Cancelada"),0,IF(AND('Plano de Ação'!$F226&lt;=EOMONTH(DATE(ano_ref,3,1),0),'Plano de Ação'!$G226&gt;=DATE(ano_ref,3,1)),1,0))</f>
      </c>
      <c r="H227" s="41">
        <f>IF(OR(NOT('Plano de Ação'!$B226&lt;&gt;""),NOT(ISNUMBER('Plano de Ação'!$F226)),NOT(ISNUMBER('Plano de Ação'!$G226)),'Plano de Ação'!$J226="Cancelada"),0,IF(AND('Plano de Ação'!$F226&lt;=EOMONTH(DATE(ano_ref,4,1),0),'Plano de Ação'!$G226&gt;=DATE(ano_ref,4,1)),1,0))</f>
      </c>
      <c r="I227" s="41">
        <f>IF(OR(NOT('Plano de Ação'!$B226&lt;&gt;""),NOT(ISNUMBER('Plano de Ação'!$F226)),NOT(ISNUMBER('Plano de Ação'!$G226)),'Plano de Ação'!$J226="Cancelada"),0,IF(AND('Plano de Ação'!$F226&lt;=EOMONTH(DATE(ano_ref,5,1),0),'Plano de Ação'!$G226&gt;=DATE(ano_ref,5,1)),1,0))</f>
      </c>
      <c r="J227" s="41">
        <f>IF(OR(NOT('Plano de Ação'!$B226&lt;&gt;""),NOT(ISNUMBER('Plano de Ação'!$F226)),NOT(ISNUMBER('Plano de Ação'!$G226)),'Plano de Ação'!$J226="Cancelada"),0,IF(AND('Plano de Ação'!$F226&lt;=EOMONTH(DATE(ano_ref,6,1),0),'Plano de Ação'!$G226&gt;=DATE(ano_ref,6,1)),1,0))</f>
      </c>
      <c r="K227" s="41">
        <f>IF(OR(NOT('Plano de Ação'!$B226&lt;&gt;""),NOT(ISNUMBER('Plano de Ação'!$F226)),NOT(ISNUMBER('Plano de Ação'!$G226)),'Plano de Ação'!$J226="Cancelada"),0,IF(AND('Plano de Ação'!$F226&lt;=EOMONTH(DATE(ano_ref,7,1),0),'Plano de Ação'!$G226&gt;=DATE(ano_ref,7,1)),1,0))</f>
      </c>
      <c r="L227" s="41">
        <f>IF(OR(NOT('Plano de Ação'!$B226&lt;&gt;""),NOT(ISNUMBER('Plano de Ação'!$F226)),NOT(ISNUMBER('Plano de Ação'!$G226)),'Plano de Ação'!$J226="Cancelada"),0,IF(AND('Plano de Ação'!$F226&lt;=EOMONTH(DATE(ano_ref,8,1),0),'Plano de Ação'!$G226&gt;=DATE(ano_ref,8,1)),1,0))</f>
      </c>
      <c r="M227" s="41">
        <f>IF(OR(NOT('Plano de Ação'!$B226&lt;&gt;""),NOT(ISNUMBER('Plano de Ação'!$F226)),NOT(ISNUMBER('Plano de Ação'!$G226)),'Plano de Ação'!$J226="Cancelada"),0,IF(AND('Plano de Ação'!$F226&lt;=EOMONTH(DATE(ano_ref,9,1),0),'Plano de Ação'!$G226&gt;=DATE(ano_ref,9,1)),1,0))</f>
      </c>
      <c r="N227" s="41">
        <f>IF(OR(NOT('Plano de Ação'!$B226&lt;&gt;""),NOT(ISNUMBER('Plano de Ação'!$F226)),NOT(ISNUMBER('Plano de Ação'!$G226)),'Plano de Ação'!$J226="Cancelada"),0,IF(AND('Plano de Ação'!$F226&lt;=EOMONTH(DATE(ano_ref,10,1),0),'Plano de Ação'!$G226&gt;=DATE(ano_ref,10,1)),1,0))</f>
      </c>
      <c r="O227" s="41">
        <f>IF(OR(NOT('Plano de Ação'!$B226&lt;&gt;""),NOT(ISNUMBER('Plano de Ação'!$F226)),NOT(ISNUMBER('Plano de Ação'!$G226)),'Plano de Ação'!$J226="Cancelada"),0,IF(AND('Plano de Ação'!$F226&lt;=EOMONTH(DATE(ano_ref,11,1),0),'Plano de Ação'!$G226&gt;=DATE(ano_ref,11,1)),1,0))</f>
      </c>
      <c r="P227" s="41">
        <f>IF(OR(NOT('Plano de Ação'!$B226&lt;&gt;""),NOT(ISNUMBER('Plano de Ação'!$F226)),NOT(ISNUMBER('Plano de Ação'!$G226)),'Plano de Ação'!$J226="Cancelada"),0,IF(AND('Plano de Ação'!$F226&lt;=EOMONTH(DATE(ano_ref,12,1),0),'Plano de Ação'!$G226&gt;=DATE(ano_ref,12,1)),1,0))</f>
      </c>
    </row>
    <row r="228" spans="1:16" x14ac:dyDescent="0.25">
      <c r="A228" s="40">
        <f>IF('Plano de Ação'!$B227&lt;&gt;"",'Plano de Ação'!A227&amp;"","")</f>
      </c>
      <c r="B228" s="25">
        <f>IF('Plano de Ação'!$B227&lt;&gt;"",'Plano de Ação'!B227,"")</f>
      </c>
      <c r="C228" s="25">
        <f>IF('Plano de Ação'!$B227&lt;&gt;"",'Plano de Ação'!E227&amp;"","")</f>
      </c>
      <c r="D228" s="40">
        <f>IF('Plano de Ação'!$B227&lt;&gt;"",'Plano de Ação'!L227,"")</f>
      </c>
      <c r="E228" s="41">
        <f>IF(OR(NOT('Plano de Ação'!$B227&lt;&gt;""),NOT(ISNUMBER('Plano de Ação'!$F227)),NOT(ISNUMBER('Plano de Ação'!$G227)),'Plano de Ação'!$J227="Cancelada"),0,IF(AND('Plano de Ação'!$F227&lt;=EOMONTH(DATE(ano_ref,1,1),0),'Plano de Ação'!$G227&gt;=DATE(ano_ref,1,1)),1,0))</f>
      </c>
      <c r="F228" s="41">
        <f>IF(OR(NOT('Plano de Ação'!$B227&lt;&gt;""),NOT(ISNUMBER('Plano de Ação'!$F227)),NOT(ISNUMBER('Plano de Ação'!$G227)),'Plano de Ação'!$J227="Cancelada"),0,IF(AND('Plano de Ação'!$F227&lt;=EOMONTH(DATE(ano_ref,2,1),0),'Plano de Ação'!$G227&gt;=DATE(ano_ref,2,1)),1,0))</f>
      </c>
      <c r="G228" s="41">
        <f>IF(OR(NOT('Plano de Ação'!$B227&lt;&gt;""),NOT(ISNUMBER('Plano de Ação'!$F227)),NOT(ISNUMBER('Plano de Ação'!$G227)),'Plano de Ação'!$J227="Cancelada"),0,IF(AND('Plano de Ação'!$F227&lt;=EOMONTH(DATE(ano_ref,3,1),0),'Plano de Ação'!$G227&gt;=DATE(ano_ref,3,1)),1,0))</f>
      </c>
      <c r="H228" s="41">
        <f>IF(OR(NOT('Plano de Ação'!$B227&lt;&gt;""),NOT(ISNUMBER('Plano de Ação'!$F227)),NOT(ISNUMBER('Plano de Ação'!$G227)),'Plano de Ação'!$J227="Cancelada"),0,IF(AND('Plano de Ação'!$F227&lt;=EOMONTH(DATE(ano_ref,4,1),0),'Plano de Ação'!$G227&gt;=DATE(ano_ref,4,1)),1,0))</f>
      </c>
      <c r="I228" s="41">
        <f>IF(OR(NOT('Plano de Ação'!$B227&lt;&gt;""),NOT(ISNUMBER('Plano de Ação'!$F227)),NOT(ISNUMBER('Plano de Ação'!$G227)),'Plano de Ação'!$J227="Cancelada"),0,IF(AND('Plano de Ação'!$F227&lt;=EOMONTH(DATE(ano_ref,5,1),0),'Plano de Ação'!$G227&gt;=DATE(ano_ref,5,1)),1,0))</f>
      </c>
      <c r="J228" s="41">
        <f>IF(OR(NOT('Plano de Ação'!$B227&lt;&gt;""),NOT(ISNUMBER('Plano de Ação'!$F227)),NOT(ISNUMBER('Plano de Ação'!$G227)),'Plano de Ação'!$J227="Cancelada"),0,IF(AND('Plano de Ação'!$F227&lt;=EOMONTH(DATE(ano_ref,6,1),0),'Plano de Ação'!$G227&gt;=DATE(ano_ref,6,1)),1,0))</f>
      </c>
      <c r="K228" s="41">
        <f>IF(OR(NOT('Plano de Ação'!$B227&lt;&gt;""),NOT(ISNUMBER('Plano de Ação'!$F227)),NOT(ISNUMBER('Plano de Ação'!$G227)),'Plano de Ação'!$J227="Cancelada"),0,IF(AND('Plano de Ação'!$F227&lt;=EOMONTH(DATE(ano_ref,7,1),0),'Plano de Ação'!$G227&gt;=DATE(ano_ref,7,1)),1,0))</f>
      </c>
      <c r="L228" s="41">
        <f>IF(OR(NOT('Plano de Ação'!$B227&lt;&gt;""),NOT(ISNUMBER('Plano de Ação'!$F227)),NOT(ISNUMBER('Plano de Ação'!$G227)),'Plano de Ação'!$J227="Cancelada"),0,IF(AND('Plano de Ação'!$F227&lt;=EOMONTH(DATE(ano_ref,8,1),0),'Plano de Ação'!$G227&gt;=DATE(ano_ref,8,1)),1,0))</f>
      </c>
      <c r="M228" s="41">
        <f>IF(OR(NOT('Plano de Ação'!$B227&lt;&gt;""),NOT(ISNUMBER('Plano de Ação'!$F227)),NOT(ISNUMBER('Plano de Ação'!$G227)),'Plano de Ação'!$J227="Cancelada"),0,IF(AND('Plano de Ação'!$F227&lt;=EOMONTH(DATE(ano_ref,9,1),0),'Plano de Ação'!$G227&gt;=DATE(ano_ref,9,1)),1,0))</f>
      </c>
      <c r="N228" s="41">
        <f>IF(OR(NOT('Plano de Ação'!$B227&lt;&gt;""),NOT(ISNUMBER('Plano de Ação'!$F227)),NOT(ISNUMBER('Plano de Ação'!$G227)),'Plano de Ação'!$J227="Cancelada"),0,IF(AND('Plano de Ação'!$F227&lt;=EOMONTH(DATE(ano_ref,10,1),0),'Plano de Ação'!$G227&gt;=DATE(ano_ref,10,1)),1,0))</f>
      </c>
      <c r="O228" s="41">
        <f>IF(OR(NOT('Plano de Ação'!$B227&lt;&gt;""),NOT(ISNUMBER('Plano de Ação'!$F227)),NOT(ISNUMBER('Plano de Ação'!$G227)),'Plano de Ação'!$J227="Cancelada"),0,IF(AND('Plano de Ação'!$F227&lt;=EOMONTH(DATE(ano_ref,11,1),0),'Plano de Ação'!$G227&gt;=DATE(ano_ref,11,1)),1,0))</f>
      </c>
      <c r="P228" s="41">
        <f>IF(OR(NOT('Plano de Ação'!$B227&lt;&gt;""),NOT(ISNUMBER('Plano de Ação'!$F227)),NOT(ISNUMBER('Plano de Ação'!$G227)),'Plano de Ação'!$J227="Cancelada"),0,IF(AND('Plano de Ação'!$F227&lt;=EOMONTH(DATE(ano_ref,12,1),0),'Plano de Ação'!$G227&gt;=DATE(ano_ref,12,1)),1,0))</f>
      </c>
    </row>
    <row r="229" spans="1:16" x14ac:dyDescent="0.25">
      <c r="A229" s="40">
        <f>IF('Plano de Ação'!$B228&lt;&gt;"",'Plano de Ação'!A228&amp;"","")</f>
      </c>
      <c r="B229" s="25">
        <f>IF('Plano de Ação'!$B228&lt;&gt;"",'Plano de Ação'!B228,"")</f>
      </c>
      <c r="C229" s="25">
        <f>IF('Plano de Ação'!$B228&lt;&gt;"",'Plano de Ação'!E228&amp;"","")</f>
      </c>
      <c r="D229" s="40">
        <f>IF('Plano de Ação'!$B228&lt;&gt;"",'Plano de Ação'!L228,"")</f>
      </c>
      <c r="E229" s="41">
        <f>IF(OR(NOT('Plano de Ação'!$B228&lt;&gt;""),NOT(ISNUMBER('Plano de Ação'!$F228)),NOT(ISNUMBER('Plano de Ação'!$G228)),'Plano de Ação'!$J228="Cancelada"),0,IF(AND('Plano de Ação'!$F228&lt;=EOMONTH(DATE(ano_ref,1,1),0),'Plano de Ação'!$G228&gt;=DATE(ano_ref,1,1)),1,0))</f>
      </c>
      <c r="F229" s="41">
        <f>IF(OR(NOT('Plano de Ação'!$B228&lt;&gt;""),NOT(ISNUMBER('Plano de Ação'!$F228)),NOT(ISNUMBER('Plano de Ação'!$G228)),'Plano de Ação'!$J228="Cancelada"),0,IF(AND('Plano de Ação'!$F228&lt;=EOMONTH(DATE(ano_ref,2,1),0),'Plano de Ação'!$G228&gt;=DATE(ano_ref,2,1)),1,0))</f>
      </c>
      <c r="G229" s="41">
        <f>IF(OR(NOT('Plano de Ação'!$B228&lt;&gt;""),NOT(ISNUMBER('Plano de Ação'!$F228)),NOT(ISNUMBER('Plano de Ação'!$G228)),'Plano de Ação'!$J228="Cancelada"),0,IF(AND('Plano de Ação'!$F228&lt;=EOMONTH(DATE(ano_ref,3,1),0),'Plano de Ação'!$G228&gt;=DATE(ano_ref,3,1)),1,0))</f>
      </c>
      <c r="H229" s="41">
        <f>IF(OR(NOT('Plano de Ação'!$B228&lt;&gt;""),NOT(ISNUMBER('Plano de Ação'!$F228)),NOT(ISNUMBER('Plano de Ação'!$G228)),'Plano de Ação'!$J228="Cancelada"),0,IF(AND('Plano de Ação'!$F228&lt;=EOMONTH(DATE(ano_ref,4,1),0),'Plano de Ação'!$G228&gt;=DATE(ano_ref,4,1)),1,0))</f>
      </c>
      <c r="I229" s="41">
        <f>IF(OR(NOT('Plano de Ação'!$B228&lt;&gt;""),NOT(ISNUMBER('Plano de Ação'!$F228)),NOT(ISNUMBER('Plano de Ação'!$G228)),'Plano de Ação'!$J228="Cancelada"),0,IF(AND('Plano de Ação'!$F228&lt;=EOMONTH(DATE(ano_ref,5,1),0),'Plano de Ação'!$G228&gt;=DATE(ano_ref,5,1)),1,0))</f>
      </c>
      <c r="J229" s="41">
        <f>IF(OR(NOT('Plano de Ação'!$B228&lt;&gt;""),NOT(ISNUMBER('Plano de Ação'!$F228)),NOT(ISNUMBER('Plano de Ação'!$G228)),'Plano de Ação'!$J228="Cancelada"),0,IF(AND('Plano de Ação'!$F228&lt;=EOMONTH(DATE(ano_ref,6,1),0),'Plano de Ação'!$G228&gt;=DATE(ano_ref,6,1)),1,0))</f>
      </c>
      <c r="K229" s="41">
        <f>IF(OR(NOT('Plano de Ação'!$B228&lt;&gt;""),NOT(ISNUMBER('Plano de Ação'!$F228)),NOT(ISNUMBER('Plano de Ação'!$G228)),'Plano de Ação'!$J228="Cancelada"),0,IF(AND('Plano de Ação'!$F228&lt;=EOMONTH(DATE(ano_ref,7,1),0),'Plano de Ação'!$G228&gt;=DATE(ano_ref,7,1)),1,0))</f>
      </c>
      <c r="L229" s="41">
        <f>IF(OR(NOT('Plano de Ação'!$B228&lt;&gt;""),NOT(ISNUMBER('Plano de Ação'!$F228)),NOT(ISNUMBER('Plano de Ação'!$G228)),'Plano de Ação'!$J228="Cancelada"),0,IF(AND('Plano de Ação'!$F228&lt;=EOMONTH(DATE(ano_ref,8,1),0),'Plano de Ação'!$G228&gt;=DATE(ano_ref,8,1)),1,0))</f>
      </c>
      <c r="M229" s="41">
        <f>IF(OR(NOT('Plano de Ação'!$B228&lt;&gt;""),NOT(ISNUMBER('Plano de Ação'!$F228)),NOT(ISNUMBER('Plano de Ação'!$G228)),'Plano de Ação'!$J228="Cancelada"),0,IF(AND('Plano de Ação'!$F228&lt;=EOMONTH(DATE(ano_ref,9,1),0),'Plano de Ação'!$G228&gt;=DATE(ano_ref,9,1)),1,0))</f>
      </c>
      <c r="N229" s="41">
        <f>IF(OR(NOT('Plano de Ação'!$B228&lt;&gt;""),NOT(ISNUMBER('Plano de Ação'!$F228)),NOT(ISNUMBER('Plano de Ação'!$G228)),'Plano de Ação'!$J228="Cancelada"),0,IF(AND('Plano de Ação'!$F228&lt;=EOMONTH(DATE(ano_ref,10,1),0),'Plano de Ação'!$G228&gt;=DATE(ano_ref,10,1)),1,0))</f>
      </c>
      <c r="O229" s="41">
        <f>IF(OR(NOT('Plano de Ação'!$B228&lt;&gt;""),NOT(ISNUMBER('Plano de Ação'!$F228)),NOT(ISNUMBER('Plano de Ação'!$G228)),'Plano de Ação'!$J228="Cancelada"),0,IF(AND('Plano de Ação'!$F228&lt;=EOMONTH(DATE(ano_ref,11,1),0),'Plano de Ação'!$G228&gt;=DATE(ano_ref,11,1)),1,0))</f>
      </c>
      <c r="P229" s="41">
        <f>IF(OR(NOT('Plano de Ação'!$B228&lt;&gt;""),NOT(ISNUMBER('Plano de Ação'!$F228)),NOT(ISNUMBER('Plano de Ação'!$G228)),'Plano de Ação'!$J228="Cancelada"),0,IF(AND('Plano de Ação'!$F228&lt;=EOMONTH(DATE(ano_ref,12,1),0),'Plano de Ação'!$G228&gt;=DATE(ano_ref,12,1)),1,0))</f>
      </c>
    </row>
    <row r="230" spans="1:16" x14ac:dyDescent="0.25">
      <c r="A230" s="40">
        <f>IF('Plano de Ação'!$B229&lt;&gt;"",'Plano de Ação'!A229&amp;"","")</f>
      </c>
      <c r="B230" s="25">
        <f>IF('Plano de Ação'!$B229&lt;&gt;"",'Plano de Ação'!B229,"")</f>
      </c>
      <c r="C230" s="25">
        <f>IF('Plano de Ação'!$B229&lt;&gt;"",'Plano de Ação'!E229&amp;"","")</f>
      </c>
      <c r="D230" s="40">
        <f>IF('Plano de Ação'!$B229&lt;&gt;"",'Plano de Ação'!L229,"")</f>
      </c>
      <c r="E230" s="41">
        <f>IF(OR(NOT('Plano de Ação'!$B229&lt;&gt;""),NOT(ISNUMBER('Plano de Ação'!$F229)),NOT(ISNUMBER('Plano de Ação'!$G229)),'Plano de Ação'!$J229="Cancelada"),0,IF(AND('Plano de Ação'!$F229&lt;=EOMONTH(DATE(ano_ref,1,1),0),'Plano de Ação'!$G229&gt;=DATE(ano_ref,1,1)),1,0))</f>
      </c>
      <c r="F230" s="41">
        <f>IF(OR(NOT('Plano de Ação'!$B229&lt;&gt;""),NOT(ISNUMBER('Plano de Ação'!$F229)),NOT(ISNUMBER('Plano de Ação'!$G229)),'Plano de Ação'!$J229="Cancelada"),0,IF(AND('Plano de Ação'!$F229&lt;=EOMONTH(DATE(ano_ref,2,1),0),'Plano de Ação'!$G229&gt;=DATE(ano_ref,2,1)),1,0))</f>
      </c>
      <c r="G230" s="41">
        <f>IF(OR(NOT('Plano de Ação'!$B229&lt;&gt;""),NOT(ISNUMBER('Plano de Ação'!$F229)),NOT(ISNUMBER('Plano de Ação'!$G229)),'Plano de Ação'!$J229="Cancelada"),0,IF(AND('Plano de Ação'!$F229&lt;=EOMONTH(DATE(ano_ref,3,1),0),'Plano de Ação'!$G229&gt;=DATE(ano_ref,3,1)),1,0))</f>
      </c>
      <c r="H230" s="41">
        <f>IF(OR(NOT('Plano de Ação'!$B229&lt;&gt;""),NOT(ISNUMBER('Plano de Ação'!$F229)),NOT(ISNUMBER('Plano de Ação'!$G229)),'Plano de Ação'!$J229="Cancelada"),0,IF(AND('Plano de Ação'!$F229&lt;=EOMONTH(DATE(ano_ref,4,1),0),'Plano de Ação'!$G229&gt;=DATE(ano_ref,4,1)),1,0))</f>
      </c>
      <c r="I230" s="41">
        <f>IF(OR(NOT('Plano de Ação'!$B229&lt;&gt;""),NOT(ISNUMBER('Plano de Ação'!$F229)),NOT(ISNUMBER('Plano de Ação'!$G229)),'Plano de Ação'!$J229="Cancelada"),0,IF(AND('Plano de Ação'!$F229&lt;=EOMONTH(DATE(ano_ref,5,1),0),'Plano de Ação'!$G229&gt;=DATE(ano_ref,5,1)),1,0))</f>
      </c>
      <c r="J230" s="41">
        <f>IF(OR(NOT('Plano de Ação'!$B229&lt;&gt;""),NOT(ISNUMBER('Plano de Ação'!$F229)),NOT(ISNUMBER('Plano de Ação'!$G229)),'Plano de Ação'!$J229="Cancelada"),0,IF(AND('Plano de Ação'!$F229&lt;=EOMONTH(DATE(ano_ref,6,1),0),'Plano de Ação'!$G229&gt;=DATE(ano_ref,6,1)),1,0))</f>
      </c>
      <c r="K230" s="41">
        <f>IF(OR(NOT('Plano de Ação'!$B229&lt;&gt;""),NOT(ISNUMBER('Plano de Ação'!$F229)),NOT(ISNUMBER('Plano de Ação'!$G229)),'Plano de Ação'!$J229="Cancelada"),0,IF(AND('Plano de Ação'!$F229&lt;=EOMONTH(DATE(ano_ref,7,1),0),'Plano de Ação'!$G229&gt;=DATE(ano_ref,7,1)),1,0))</f>
      </c>
      <c r="L230" s="41">
        <f>IF(OR(NOT('Plano de Ação'!$B229&lt;&gt;""),NOT(ISNUMBER('Plano de Ação'!$F229)),NOT(ISNUMBER('Plano de Ação'!$G229)),'Plano de Ação'!$J229="Cancelada"),0,IF(AND('Plano de Ação'!$F229&lt;=EOMONTH(DATE(ano_ref,8,1),0),'Plano de Ação'!$G229&gt;=DATE(ano_ref,8,1)),1,0))</f>
      </c>
      <c r="M230" s="41">
        <f>IF(OR(NOT('Plano de Ação'!$B229&lt;&gt;""),NOT(ISNUMBER('Plano de Ação'!$F229)),NOT(ISNUMBER('Plano de Ação'!$G229)),'Plano de Ação'!$J229="Cancelada"),0,IF(AND('Plano de Ação'!$F229&lt;=EOMONTH(DATE(ano_ref,9,1),0),'Plano de Ação'!$G229&gt;=DATE(ano_ref,9,1)),1,0))</f>
      </c>
      <c r="N230" s="41">
        <f>IF(OR(NOT('Plano de Ação'!$B229&lt;&gt;""),NOT(ISNUMBER('Plano de Ação'!$F229)),NOT(ISNUMBER('Plano de Ação'!$G229)),'Plano de Ação'!$J229="Cancelada"),0,IF(AND('Plano de Ação'!$F229&lt;=EOMONTH(DATE(ano_ref,10,1),0),'Plano de Ação'!$G229&gt;=DATE(ano_ref,10,1)),1,0))</f>
      </c>
      <c r="O230" s="41">
        <f>IF(OR(NOT('Plano de Ação'!$B229&lt;&gt;""),NOT(ISNUMBER('Plano de Ação'!$F229)),NOT(ISNUMBER('Plano de Ação'!$G229)),'Plano de Ação'!$J229="Cancelada"),0,IF(AND('Plano de Ação'!$F229&lt;=EOMONTH(DATE(ano_ref,11,1),0),'Plano de Ação'!$G229&gt;=DATE(ano_ref,11,1)),1,0))</f>
      </c>
      <c r="P230" s="41">
        <f>IF(OR(NOT('Plano de Ação'!$B229&lt;&gt;""),NOT(ISNUMBER('Plano de Ação'!$F229)),NOT(ISNUMBER('Plano de Ação'!$G229)),'Plano de Ação'!$J229="Cancelada"),0,IF(AND('Plano de Ação'!$F229&lt;=EOMONTH(DATE(ano_ref,12,1),0),'Plano de Ação'!$G229&gt;=DATE(ano_ref,12,1)),1,0))</f>
      </c>
    </row>
    <row r="231" spans="1:16" x14ac:dyDescent="0.25">
      <c r="A231" s="40">
        <f>IF('Plano de Ação'!$B230&lt;&gt;"",'Plano de Ação'!A230&amp;"","")</f>
      </c>
      <c r="B231" s="25">
        <f>IF('Plano de Ação'!$B230&lt;&gt;"",'Plano de Ação'!B230,"")</f>
      </c>
      <c r="C231" s="25">
        <f>IF('Plano de Ação'!$B230&lt;&gt;"",'Plano de Ação'!E230&amp;"","")</f>
      </c>
      <c r="D231" s="40">
        <f>IF('Plano de Ação'!$B230&lt;&gt;"",'Plano de Ação'!L230,"")</f>
      </c>
      <c r="E231" s="41">
        <f>IF(OR(NOT('Plano de Ação'!$B230&lt;&gt;""),NOT(ISNUMBER('Plano de Ação'!$F230)),NOT(ISNUMBER('Plano de Ação'!$G230)),'Plano de Ação'!$J230="Cancelada"),0,IF(AND('Plano de Ação'!$F230&lt;=EOMONTH(DATE(ano_ref,1,1),0),'Plano de Ação'!$G230&gt;=DATE(ano_ref,1,1)),1,0))</f>
      </c>
      <c r="F231" s="41">
        <f>IF(OR(NOT('Plano de Ação'!$B230&lt;&gt;""),NOT(ISNUMBER('Plano de Ação'!$F230)),NOT(ISNUMBER('Plano de Ação'!$G230)),'Plano de Ação'!$J230="Cancelada"),0,IF(AND('Plano de Ação'!$F230&lt;=EOMONTH(DATE(ano_ref,2,1),0),'Plano de Ação'!$G230&gt;=DATE(ano_ref,2,1)),1,0))</f>
      </c>
      <c r="G231" s="41">
        <f>IF(OR(NOT('Plano de Ação'!$B230&lt;&gt;""),NOT(ISNUMBER('Plano de Ação'!$F230)),NOT(ISNUMBER('Plano de Ação'!$G230)),'Plano de Ação'!$J230="Cancelada"),0,IF(AND('Plano de Ação'!$F230&lt;=EOMONTH(DATE(ano_ref,3,1),0),'Plano de Ação'!$G230&gt;=DATE(ano_ref,3,1)),1,0))</f>
      </c>
      <c r="H231" s="41">
        <f>IF(OR(NOT('Plano de Ação'!$B230&lt;&gt;""),NOT(ISNUMBER('Plano de Ação'!$F230)),NOT(ISNUMBER('Plano de Ação'!$G230)),'Plano de Ação'!$J230="Cancelada"),0,IF(AND('Plano de Ação'!$F230&lt;=EOMONTH(DATE(ano_ref,4,1),0),'Plano de Ação'!$G230&gt;=DATE(ano_ref,4,1)),1,0))</f>
      </c>
      <c r="I231" s="41">
        <f>IF(OR(NOT('Plano de Ação'!$B230&lt;&gt;""),NOT(ISNUMBER('Plano de Ação'!$F230)),NOT(ISNUMBER('Plano de Ação'!$G230)),'Plano de Ação'!$J230="Cancelada"),0,IF(AND('Plano de Ação'!$F230&lt;=EOMONTH(DATE(ano_ref,5,1),0),'Plano de Ação'!$G230&gt;=DATE(ano_ref,5,1)),1,0))</f>
      </c>
      <c r="J231" s="41">
        <f>IF(OR(NOT('Plano de Ação'!$B230&lt;&gt;""),NOT(ISNUMBER('Plano de Ação'!$F230)),NOT(ISNUMBER('Plano de Ação'!$G230)),'Plano de Ação'!$J230="Cancelada"),0,IF(AND('Plano de Ação'!$F230&lt;=EOMONTH(DATE(ano_ref,6,1),0),'Plano de Ação'!$G230&gt;=DATE(ano_ref,6,1)),1,0))</f>
      </c>
      <c r="K231" s="41">
        <f>IF(OR(NOT('Plano de Ação'!$B230&lt;&gt;""),NOT(ISNUMBER('Plano de Ação'!$F230)),NOT(ISNUMBER('Plano de Ação'!$G230)),'Plano de Ação'!$J230="Cancelada"),0,IF(AND('Plano de Ação'!$F230&lt;=EOMONTH(DATE(ano_ref,7,1),0),'Plano de Ação'!$G230&gt;=DATE(ano_ref,7,1)),1,0))</f>
      </c>
      <c r="L231" s="41">
        <f>IF(OR(NOT('Plano de Ação'!$B230&lt;&gt;""),NOT(ISNUMBER('Plano de Ação'!$F230)),NOT(ISNUMBER('Plano de Ação'!$G230)),'Plano de Ação'!$J230="Cancelada"),0,IF(AND('Plano de Ação'!$F230&lt;=EOMONTH(DATE(ano_ref,8,1),0),'Plano de Ação'!$G230&gt;=DATE(ano_ref,8,1)),1,0))</f>
      </c>
      <c r="M231" s="41">
        <f>IF(OR(NOT('Plano de Ação'!$B230&lt;&gt;""),NOT(ISNUMBER('Plano de Ação'!$F230)),NOT(ISNUMBER('Plano de Ação'!$G230)),'Plano de Ação'!$J230="Cancelada"),0,IF(AND('Plano de Ação'!$F230&lt;=EOMONTH(DATE(ano_ref,9,1),0),'Plano de Ação'!$G230&gt;=DATE(ano_ref,9,1)),1,0))</f>
      </c>
      <c r="N231" s="41">
        <f>IF(OR(NOT('Plano de Ação'!$B230&lt;&gt;""),NOT(ISNUMBER('Plano de Ação'!$F230)),NOT(ISNUMBER('Plano de Ação'!$G230)),'Plano de Ação'!$J230="Cancelada"),0,IF(AND('Plano de Ação'!$F230&lt;=EOMONTH(DATE(ano_ref,10,1),0),'Plano de Ação'!$G230&gt;=DATE(ano_ref,10,1)),1,0))</f>
      </c>
      <c r="O231" s="41">
        <f>IF(OR(NOT('Plano de Ação'!$B230&lt;&gt;""),NOT(ISNUMBER('Plano de Ação'!$F230)),NOT(ISNUMBER('Plano de Ação'!$G230)),'Plano de Ação'!$J230="Cancelada"),0,IF(AND('Plano de Ação'!$F230&lt;=EOMONTH(DATE(ano_ref,11,1),0),'Plano de Ação'!$G230&gt;=DATE(ano_ref,11,1)),1,0))</f>
      </c>
      <c r="P231" s="41">
        <f>IF(OR(NOT('Plano de Ação'!$B230&lt;&gt;""),NOT(ISNUMBER('Plano de Ação'!$F230)),NOT(ISNUMBER('Plano de Ação'!$G230)),'Plano de Ação'!$J230="Cancelada"),0,IF(AND('Plano de Ação'!$F230&lt;=EOMONTH(DATE(ano_ref,12,1),0),'Plano de Ação'!$G230&gt;=DATE(ano_ref,12,1)),1,0))</f>
      </c>
    </row>
    <row r="232" spans="1:16" x14ac:dyDescent="0.25">
      <c r="A232" s="40">
        <f>IF('Plano de Ação'!$B231&lt;&gt;"",'Plano de Ação'!A231&amp;"","")</f>
      </c>
      <c r="B232" s="25">
        <f>IF('Plano de Ação'!$B231&lt;&gt;"",'Plano de Ação'!B231,"")</f>
      </c>
      <c r="C232" s="25">
        <f>IF('Plano de Ação'!$B231&lt;&gt;"",'Plano de Ação'!E231&amp;"","")</f>
      </c>
      <c r="D232" s="40">
        <f>IF('Plano de Ação'!$B231&lt;&gt;"",'Plano de Ação'!L231,"")</f>
      </c>
      <c r="E232" s="41">
        <f>IF(OR(NOT('Plano de Ação'!$B231&lt;&gt;""),NOT(ISNUMBER('Plano de Ação'!$F231)),NOT(ISNUMBER('Plano de Ação'!$G231)),'Plano de Ação'!$J231="Cancelada"),0,IF(AND('Plano de Ação'!$F231&lt;=EOMONTH(DATE(ano_ref,1,1),0),'Plano de Ação'!$G231&gt;=DATE(ano_ref,1,1)),1,0))</f>
      </c>
      <c r="F232" s="41">
        <f>IF(OR(NOT('Plano de Ação'!$B231&lt;&gt;""),NOT(ISNUMBER('Plano de Ação'!$F231)),NOT(ISNUMBER('Plano de Ação'!$G231)),'Plano de Ação'!$J231="Cancelada"),0,IF(AND('Plano de Ação'!$F231&lt;=EOMONTH(DATE(ano_ref,2,1),0),'Plano de Ação'!$G231&gt;=DATE(ano_ref,2,1)),1,0))</f>
      </c>
      <c r="G232" s="41">
        <f>IF(OR(NOT('Plano de Ação'!$B231&lt;&gt;""),NOT(ISNUMBER('Plano de Ação'!$F231)),NOT(ISNUMBER('Plano de Ação'!$G231)),'Plano de Ação'!$J231="Cancelada"),0,IF(AND('Plano de Ação'!$F231&lt;=EOMONTH(DATE(ano_ref,3,1),0),'Plano de Ação'!$G231&gt;=DATE(ano_ref,3,1)),1,0))</f>
      </c>
      <c r="H232" s="41">
        <f>IF(OR(NOT('Plano de Ação'!$B231&lt;&gt;""),NOT(ISNUMBER('Plano de Ação'!$F231)),NOT(ISNUMBER('Plano de Ação'!$G231)),'Plano de Ação'!$J231="Cancelada"),0,IF(AND('Plano de Ação'!$F231&lt;=EOMONTH(DATE(ano_ref,4,1),0),'Plano de Ação'!$G231&gt;=DATE(ano_ref,4,1)),1,0))</f>
      </c>
      <c r="I232" s="41">
        <f>IF(OR(NOT('Plano de Ação'!$B231&lt;&gt;""),NOT(ISNUMBER('Plano de Ação'!$F231)),NOT(ISNUMBER('Plano de Ação'!$G231)),'Plano de Ação'!$J231="Cancelada"),0,IF(AND('Plano de Ação'!$F231&lt;=EOMONTH(DATE(ano_ref,5,1),0),'Plano de Ação'!$G231&gt;=DATE(ano_ref,5,1)),1,0))</f>
      </c>
      <c r="J232" s="41">
        <f>IF(OR(NOT('Plano de Ação'!$B231&lt;&gt;""),NOT(ISNUMBER('Plano de Ação'!$F231)),NOT(ISNUMBER('Plano de Ação'!$G231)),'Plano de Ação'!$J231="Cancelada"),0,IF(AND('Plano de Ação'!$F231&lt;=EOMONTH(DATE(ano_ref,6,1),0),'Plano de Ação'!$G231&gt;=DATE(ano_ref,6,1)),1,0))</f>
      </c>
      <c r="K232" s="41">
        <f>IF(OR(NOT('Plano de Ação'!$B231&lt;&gt;""),NOT(ISNUMBER('Plano de Ação'!$F231)),NOT(ISNUMBER('Plano de Ação'!$G231)),'Plano de Ação'!$J231="Cancelada"),0,IF(AND('Plano de Ação'!$F231&lt;=EOMONTH(DATE(ano_ref,7,1),0),'Plano de Ação'!$G231&gt;=DATE(ano_ref,7,1)),1,0))</f>
      </c>
      <c r="L232" s="41">
        <f>IF(OR(NOT('Plano de Ação'!$B231&lt;&gt;""),NOT(ISNUMBER('Plano de Ação'!$F231)),NOT(ISNUMBER('Plano de Ação'!$G231)),'Plano de Ação'!$J231="Cancelada"),0,IF(AND('Plano de Ação'!$F231&lt;=EOMONTH(DATE(ano_ref,8,1),0),'Plano de Ação'!$G231&gt;=DATE(ano_ref,8,1)),1,0))</f>
      </c>
      <c r="M232" s="41">
        <f>IF(OR(NOT('Plano de Ação'!$B231&lt;&gt;""),NOT(ISNUMBER('Plano de Ação'!$F231)),NOT(ISNUMBER('Plano de Ação'!$G231)),'Plano de Ação'!$J231="Cancelada"),0,IF(AND('Plano de Ação'!$F231&lt;=EOMONTH(DATE(ano_ref,9,1),0),'Plano de Ação'!$G231&gt;=DATE(ano_ref,9,1)),1,0))</f>
      </c>
      <c r="N232" s="41">
        <f>IF(OR(NOT('Plano de Ação'!$B231&lt;&gt;""),NOT(ISNUMBER('Plano de Ação'!$F231)),NOT(ISNUMBER('Plano de Ação'!$G231)),'Plano de Ação'!$J231="Cancelada"),0,IF(AND('Plano de Ação'!$F231&lt;=EOMONTH(DATE(ano_ref,10,1),0),'Plano de Ação'!$G231&gt;=DATE(ano_ref,10,1)),1,0))</f>
      </c>
      <c r="O232" s="41">
        <f>IF(OR(NOT('Plano de Ação'!$B231&lt;&gt;""),NOT(ISNUMBER('Plano de Ação'!$F231)),NOT(ISNUMBER('Plano de Ação'!$G231)),'Plano de Ação'!$J231="Cancelada"),0,IF(AND('Plano de Ação'!$F231&lt;=EOMONTH(DATE(ano_ref,11,1),0),'Plano de Ação'!$G231&gt;=DATE(ano_ref,11,1)),1,0))</f>
      </c>
      <c r="P232" s="41">
        <f>IF(OR(NOT('Plano de Ação'!$B231&lt;&gt;""),NOT(ISNUMBER('Plano de Ação'!$F231)),NOT(ISNUMBER('Plano de Ação'!$G231)),'Plano de Ação'!$J231="Cancelada"),0,IF(AND('Plano de Ação'!$F231&lt;=EOMONTH(DATE(ano_ref,12,1),0),'Plano de Ação'!$G231&gt;=DATE(ano_ref,12,1)),1,0))</f>
      </c>
    </row>
    <row r="233" spans="1:16" x14ac:dyDescent="0.25">
      <c r="A233" s="40">
        <f>IF('Plano de Ação'!$B232&lt;&gt;"",'Plano de Ação'!A232&amp;"","")</f>
      </c>
      <c r="B233" s="25">
        <f>IF('Plano de Ação'!$B232&lt;&gt;"",'Plano de Ação'!B232,"")</f>
      </c>
      <c r="C233" s="25">
        <f>IF('Plano de Ação'!$B232&lt;&gt;"",'Plano de Ação'!E232&amp;"","")</f>
      </c>
      <c r="D233" s="40">
        <f>IF('Plano de Ação'!$B232&lt;&gt;"",'Plano de Ação'!L232,"")</f>
      </c>
      <c r="E233" s="41">
        <f>IF(OR(NOT('Plano de Ação'!$B232&lt;&gt;""),NOT(ISNUMBER('Plano de Ação'!$F232)),NOT(ISNUMBER('Plano de Ação'!$G232)),'Plano de Ação'!$J232="Cancelada"),0,IF(AND('Plano de Ação'!$F232&lt;=EOMONTH(DATE(ano_ref,1,1),0),'Plano de Ação'!$G232&gt;=DATE(ano_ref,1,1)),1,0))</f>
      </c>
      <c r="F233" s="41">
        <f>IF(OR(NOT('Plano de Ação'!$B232&lt;&gt;""),NOT(ISNUMBER('Plano de Ação'!$F232)),NOT(ISNUMBER('Plano de Ação'!$G232)),'Plano de Ação'!$J232="Cancelada"),0,IF(AND('Plano de Ação'!$F232&lt;=EOMONTH(DATE(ano_ref,2,1),0),'Plano de Ação'!$G232&gt;=DATE(ano_ref,2,1)),1,0))</f>
      </c>
      <c r="G233" s="41">
        <f>IF(OR(NOT('Plano de Ação'!$B232&lt;&gt;""),NOT(ISNUMBER('Plano de Ação'!$F232)),NOT(ISNUMBER('Plano de Ação'!$G232)),'Plano de Ação'!$J232="Cancelada"),0,IF(AND('Plano de Ação'!$F232&lt;=EOMONTH(DATE(ano_ref,3,1),0),'Plano de Ação'!$G232&gt;=DATE(ano_ref,3,1)),1,0))</f>
      </c>
      <c r="H233" s="41">
        <f>IF(OR(NOT('Plano de Ação'!$B232&lt;&gt;""),NOT(ISNUMBER('Plano de Ação'!$F232)),NOT(ISNUMBER('Plano de Ação'!$G232)),'Plano de Ação'!$J232="Cancelada"),0,IF(AND('Plano de Ação'!$F232&lt;=EOMONTH(DATE(ano_ref,4,1),0),'Plano de Ação'!$G232&gt;=DATE(ano_ref,4,1)),1,0))</f>
      </c>
      <c r="I233" s="41">
        <f>IF(OR(NOT('Plano de Ação'!$B232&lt;&gt;""),NOT(ISNUMBER('Plano de Ação'!$F232)),NOT(ISNUMBER('Plano de Ação'!$G232)),'Plano de Ação'!$J232="Cancelada"),0,IF(AND('Plano de Ação'!$F232&lt;=EOMONTH(DATE(ano_ref,5,1),0),'Plano de Ação'!$G232&gt;=DATE(ano_ref,5,1)),1,0))</f>
      </c>
      <c r="J233" s="41">
        <f>IF(OR(NOT('Plano de Ação'!$B232&lt;&gt;""),NOT(ISNUMBER('Plano de Ação'!$F232)),NOT(ISNUMBER('Plano de Ação'!$G232)),'Plano de Ação'!$J232="Cancelada"),0,IF(AND('Plano de Ação'!$F232&lt;=EOMONTH(DATE(ano_ref,6,1),0),'Plano de Ação'!$G232&gt;=DATE(ano_ref,6,1)),1,0))</f>
      </c>
      <c r="K233" s="41">
        <f>IF(OR(NOT('Plano de Ação'!$B232&lt;&gt;""),NOT(ISNUMBER('Plano de Ação'!$F232)),NOT(ISNUMBER('Plano de Ação'!$G232)),'Plano de Ação'!$J232="Cancelada"),0,IF(AND('Plano de Ação'!$F232&lt;=EOMONTH(DATE(ano_ref,7,1),0),'Plano de Ação'!$G232&gt;=DATE(ano_ref,7,1)),1,0))</f>
      </c>
      <c r="L233" s="41">
        <f>IF(OR(NOT('Plano de Ação'!$B232&lt;&gt;""),NOT(ISNUMBER('Plano de Ação'!$F232)),NOT(ISNUMBER('Plano de Ação'!$G232)),'Plano de Ação'!$J232="Cancelada"),0,IF(AND('Plano de Ação'!$F232&lt;=EOMONTH(DATE(ano_ref,8,1),0),'Plano de Ação'!$G232&gt;=DATE(ano_ref,8,1)),1,0))</f>
      </c>
      <c r="M233" s="41">
        <f>IF(OR(NOT('Plano de Ação'!$B232&lt;&gt;""),NOT(ISNUMBER('Plano de Ação'!$F232)),NOT(ISNUMBER('Plano de Ação'!$G232)),'Plano de Ação'!$J232="Cancelada"),0,IF(AND('Plano de Ação'!$F232&lt;=EOMONTH(DATE(ano_ref,9,1),0),'Plano de Ação'!$G232&gt;=DATE(ano_ref,9,1)),1,0))</f>
      </c>
      <c r="N233" s="41">
        <f>IF(OR(NOT('Plano de Ação'!$B232&lt;&gt;""),NOT(ISNUMBER('Plano de Ação'!$F232)),NOT(ISNUMBER('Plano de Ação'!$G232)),'Plano de Ação'!$J232="Cancelada"),0,IF(AND('Plano de Ação'!$F232&lt;=EOMONTH(DATE(ano_ref,10,1),0),'Plano de Ação'!$G232&gt;=DATE(ano_ref,10,1)),1,0))</f>
      </c>
      <c r="O233" s="41">
        <f>IF(OR(NOT('Plano de Ação'!$B232&lt;&gt;""),NOT(ISNUMBER('Plano de Ação'!$F232)),NOT(ISNUMBER('Plano de Ação'!$G232)),'Plano de Ação'!$J232="Cancelada"),0,IF(AND('Plano de Ação'!$F232&lt;=EOMONTH(DATE(ano_ref,11,1),0),'Plano de Ação'!$G232&gt;=DATE(ano_ref,11,1)),1,0))</f>
      </c>
      <c r="P233" s="41">
        <f>IF(OR(NOT('Plano de Ação'!$B232&lt;&gt;""),NOT(ISNUMBER('Plano de Ação'!$F232)),NOT(ISNUMBER('Plano de Ação'!$G232)),'Plano de Ação'!$J232="Cancelada"),0,IF(AND('Plano de Ação'!$F232&lt;=EOMONTH(DATE(ano_ref,12,1),0),'Plano de Ação'!$G232&gt;=DATE(ano_ref,12,1)),1,0))</f>
      </c>
    </row>
    <row r="234" spans="1:16" x14ac:dyDescent="0.25">
      <c r="A234" s="40">
        <f>IF('Plano de Ação'!$B233&lt;&gt;"",'Plano de Ação'!A233&amp;"","")</f>
      </c>
      <c r="B234" s="25">
        <f>IF('Plano de Ação'!$B233&lt;&gt;"",'Plano de Ação'!B233,"")</f>
      </c>
      <c r="C234" s="25">
        <f>IF('Plano de Ação'!$B233&lt;&gt;"",'Plano de Ação'!E233&amp;"","")</f>
      </c>
      <c r="D234" s="40">
        <f>IF('Plano de Ação'!$B233&lt;&gt;"",'Plano de Ação'!L233,"")</f>
      </c>
      <c r="E234" s="41">
        <f>IF(OR(NOT('Plano de Ação'!$B233&lt;&gt;""),NOT(ISNUMBER('Plano de Ação'!$F233)),NOT(ISNUMBER('Plano de Ação'!$G233)),'Plano de Ação'!$J233="Cancelada"),0,IF(AND('Plano de Ação'!$F233&lt;=EOMONTH(DATE(ano_ref,1,1),0),'Plano de Ação'!$G233&gt;=DATE(ano_ref,1,1)),1,0))</f>
      </c>
      <c r="F234" s="41">
        <f>IF(OR(NOT('Plano de Ação'!$B233&lt;&gt;""),NOT(ISNUMBER('Plano de Ação'!$F233)),NOT(ISNUMBER('Plano de Ação'!$G233)),'Plano de Ação'!$J233="Cancelada"),0,IF(AND('Plano de Ação'!$F233&lt;=EOMONTH(DATE(ano_ref,2,1),0),'Plano de Ação'!$G233&gt;=DATE(ano_ref,2,1)),1,0))</f>
      </c>
      <c r="G234" s="41">
        <f>IF(OR(NOT('Plano de Ação'!$B233&lt;&gt;""),NOT(ISNUMBER('Plano de Ação'!$F233)),NOT(ISNUMBER('Plano de Ação'!$G233)),'Plano de Ação'!$J233="Cancelada"),0,IF(AND('Plano de Ação'!$F233&lt;=EOMONTH(DATE(ano_ref,3,1),0),'Plano de Ação'!$G233&gt;=DATE(ano_ref,3,1)),1,0))</f>
      </c>
      <c r="H234" s="41">
        <f>IF(OR(NOT('Plano de Ação'!$B233&lt;&gt;""),NOT(ISNUMBER('Plano de Ação'!$F233)),NOT(ISNUMBER('Plano de Ação'!$G233)),'Plano de Ação'!$J233="Cancelada"),0,IF(AND('Plano de Ação'!$F233&lt;=EOMONTH(DATE(ano_ref,4,1),0),'Plano de Ação'!$G233&gt;=DATE(ano_ref,4,1)),1,0))</f>
      </c>
      <c r="I234" s="41">
        <f>IF(OR(NOT('Plano de Ação'!$B233&lt;&gt;""),NOT(ISNUMBER('Plano de Ação'!$F233)),NOT(ISNUMBER('Plano de Ação'!$G233)),'Plano de Ação'!$J233="Cancelada"),0,IF(AND('Plano de Ação'!$F233&lt;=EOMONTH(DATE(ano_ref,5,1),0),'Plano de Ação'!$G233&gt;=DATE(ano_ref,5,1)),1,0))</f>
      </c>
      <c r="J234" s="41">
        <f>IF(OR(NOT('Plano de Ação'!$B233&lt;&gt;""),NOT(ISNUMBER('Plano de Ação'!$F233)),NOT(ISNUMBER('Plano de Ação'!$G233)),'Plano de Ação'!$J233="Cancelada"),0,IF(AND('Plano de Ação'!$F233&lt;=EOMONTH(DATE(ano_ref,6,1),0),'Plano de Ação'!$G233&gt;=DATE(ano_ref,6,1)),1,0))</f>
      </c>
      <c r="K234" s="41">
        <f>IF(OR(NOT('Plano de Ação'!$B233&lt;&gt;""),NOT(ISNUMBER('Plano de Ação'!$F233)),NOT(ISNUMBER('Plano de Ação'!$G233)),'Plano de Ação'!$J233="Cancelada"),0,IF(AND('Plano de Ação'!$F233&lt;=EOMONTH(DATE(ano_ref,7,1),0),'Plano de Ação'!$G233&gt;=DATE(ano_ref,7,1)),1,0))</f>
      </c>
      <c r="L234" s="41">
        <f>IF(OR(NOT('Plano de Ação'!$B233&lt;&gt;""),NOT(ISNUMBER('Plano de Ação'!$F233)),NOT(ISNUMBER('Plano de Ação'!$G233)),'Plano de Ação'!$J233="Cancelada"),0,IF(AND('Plano de Ação'!$F233&lt;=EOMONTH(DATE(ano_ref,8,1),0),'Plano de Ação'!$G233&gt;=DATE(ano_ref,8,1)),1,0))</f>
      </c>
      <c r="M234" s="41">
        <f>IF(OR(NOT('Plano de Ação'!$B233&lt;&gt;""),NOT(ISNUMBER('Plano de Ação'!$F233)),NOT(ISNUMBER('Plano de Ação'!$G233)),'Plano de Ação'!$J233="Cancelada"),0,IF(AND('Plano de Ação'!$F233&lt;=EOMONTH(DATE(ano_ref,9,1),0),'Plano de Ação'!$G233&gt;=DATE(ano_ref,9,1)),1,0))</f>
      </c>
      <c r="N234" s="41">
        <f>IF(OR(NOT('Plano de Ação'!$B233&lt;&gt;""),NOT(ISNUMBER('Plano de Ação'!$F233)),NOT(ISNUMBER('Plano de Ação'!$G233)),'Plano de Ação'!$J233="Cancelada"),0,IF(AND('Plano de Ação'!$F233&lt;=EOMONTH(DATE(ano_ref,10,1),0),'Plano de Ação'!$G233&gt;=DATE(ano_ref,10,1)),1,0))</f>
      </c>
      <c r="O234" s="41">
        <f>IF(OR(NOT('Plano de Ação'!$B233&lt;&gt;""),NOT(ISNUMBER('Plano de Ação'!$F233)),NOT(ISNUMBER('Plano de Ação'!$G233)),'Plano de Ação'!$J233="Cancelada"),0,IF(AND('Plano de Ação'!$F233&lt;=EOMONTH(DATE(ano_ref,11,1),0),'Plano de Ação'!$G233&gt;=DATE(ano_ref,11,1)),1,0))</f>
      </c>
      <c r="P234" s="41">
        <f>IF(OR(NOT('Plano de Ação'!$B233&lt;&gt;""),NOT(ISNUMBER('Plano de Ação'!$F233)),NOT(ISNUMBER('Plano de Ação'!$G233)),'Plano de Ação'!$J233="Cancelada"),0,IF(AND('Plano de Ação'!$F233&lt;=EOMONTH(DATE(ano_ref,12,1),0),'Plano de Ação'!$G233&gt;=DATE(ano_ref,12,1)),1,0))</f>
      </c>
    </row>
    <row r="235" spans="1:16" x14ac:dyDescent="0.25">
      <c r="A235" s="40">
        <f>IF('Plano de Ação'!$B234&lt;&gt;"",'Plano de Ação'!A234&amp;"","")</f>
      </c>
      <c r="B235" s="25">
        <f>IF('Plano de Ação'!$B234&lt;&gt;"",'Plano de Ação'!B234,"")</f>
      </c>
      <c r="C235" s="25">
        <f>IF('Plano de Ação'!$B234&lt;&gt;"",'Plano de Ação'!E234&amp;"","")</f>
      </c>
      <c r="D235" s="40">
        <f>IF('Plano de Ação'!$B234&lt;&gt;"",'Plano de Ação'!L234,"")</f>
      </c>
      <c r="E235" s="41">
        <f>IF(OR(NOT('Plano de Ação'!$B234&lt;&gt;""),NOT(ISNUMBER('Plano de Ação'!$F234)),NOT(ISNUMBER('Plano de Ação'!$G234)),'Plano de Ação'!$J234="Cancelada"),0,IF(AND('Plano de Ação'!$F234&lt;=EOMONTH(DATE(ano_ref,1,1),0),'Plano de Ação'!$G234&gt;=DATE(ano_ref,1,1)),1,0))</f>
      </c>
      <c r="F235" s="41">
        <f>IF(OR(NOT('Plano de Ação'!$B234&lt;&gt;""),NOT(ISNUMBER('Plano de Ação'!$F234)),NOT(ISNUMBER('Plano de Ação'!$G234)),'Plano de Ação'!$J234="Cancelada"),0,IF(AND('Plano de Ação'!$F234&lt;=EOMONTH(DATE(ano_ref,2,1),0),'Plano de Ação'!$G234&gt;=DATE(ano_ref,2,1)),1,0))</f>
      </c>
      <c r="G235" s="41">
        <f>IF(OR(NOT('Plano de Ação'!$B234&lt;&gt;""),NOT(ISNUMBER('Plano de Ação'!$F234)),NOT(ISNUMBER('Plano de Ação'!$G234)),'Plano de Ação'!$J234="Cancelada"),0,IF(AND('Plano de Ação'!$F234&lt;=EOMONTH(DATE(ano_ref,3,1),0),'Plano de Ação'!$G234&gt;=DATE(ano_ref,3,1)),1,0))</f>
      </c>
      <c r="H235" s="41">
        <f>IF(OR(NOT('Plano de Ação'!$B234&lt;&gt;""),NOT(ISNUMBER('Plano de Ação'!$F234)),NOT(ISNUMBER('Plano de Ação'!$G234)),'Plano de Ação'!$J234="Cancelada"),0,IF(AND('Plano de Ação'!$F234&lt;=EOMONTH(DATE(ano_ref,4,1),0),'Plano de Ação'!$G234&gt;=DATE(ano_ref,4,1)),1,0))</f>
      </c>
      <c r="I235" s="41">
        <f>IF(OR(NOT('Plano de Ação'!$B234&lt;&gt;""),NOT(ISNUMBER('Plano de Ação'!$F234)),NOT(ISNUMBER('Plano de Ação'!$G234)),'Plano de Ação'!$J234="Cancelada"),0,IF(AND('Plano de Ação'!$F234&lt;=EOMONTH(DATE(ano_ref,5,1),0),'Plano de Ação'!$G234&gt;=DATE(ano_ref,5,1)),1,0))</f>
      </c>
      <c r="J235" s="41">
        <f>IF(OR(NOT('Plano de Ação'!$B234&lt;&gt;""),NOT(ISNUMBER('Plano de Ação'!$F234)),NOT(ISNUMBER('Plano de Ação'!$G234)),'Plano de Ação'!$J234="Cancelada"),0,IF(AND('Plano de Ação'!$F234&lt;=EOMONTH(DATE(ano_ref,6,1),0),'Plano de Ação'!$G234&gt;=DATE(ano_ref,6,1)),1,0))</f>
      </c>
      <c r="K235" s="41">
        <f>IF(OR(NOT('Plano de Ação'!$B234&lt;&gt;""),NOT(ISNUMBER('Plano de Ação'!$F234)),NOT(ISNUMBER('Plano de Ação'!$G234)),'Plano de Ação'!$J234="Cancelada"),0,IF(AND('Plano de Ação'!$F234&lt;=EOMONTH(DATE(ano_ref,7,1),0),'Plano de Ação'!$G234&gt;=DATE(ano_ref,7,1)),1,0))</f>
      </c>
      <c r="L235" s="41">
        <f>IF(OR(NOT('Plano de Ação'!$B234&lt;&gt;""),NOT(ISNUMBER('Plano de Ação'!$F234)),NOT(ISNUMBER('Plano de Ação'!$G234)),'Plano de Ação'!$J234="Cancelada"),0,IF(AND('Plano de Ação'!$F234&lt;=EOMONTH(DATE(ano_ref,8,1),0),'Plano de Ação'!$G234&gt;=DATE(ano_ref,8,1)),1,0))</f>
      </c>
      <c r="M235" s="41">
        <f>IF(OR(NOT('Plano de Ação'!$B234&lt;&gt;""),NOT(ISNUMBER('Plano de Ação'!$F234)),NOT(ISNUMBER('Plano de Ação'!$G234)),'Plano de Ação'!$J234="Cancelada"),0,IF(AND('Plano de Ação'!$F234&lt;=EOMONTH(DATE(ano_ref,9,1),0),'Plano de Ação'!$G234&gt;=DATE(ano_ref,9,1)),1,0))</f>
      </c>
      <c r="N235" s="41">
        <f>IF(OR(NOT('Plano de Ação'!$B234&lt;&gt;""),NOT(ISNUMBER('Plano de Ação'!$F234)),NOT(ISNUMBER('Plano de Ação'!$G234)),'Plano de Ação'!$J234="Cancelada"),0,IF(AND('Plano de Ação'!$F234&lt;=EOMONTH(DATE(ano_ref,10,1),0),'Plano de Ação'!$G234&gt;=DATE(ano_ref,10,1)),1,0))</f>
      </c>
      <c r="O235" s="41">
        <f>IF(OR(NOT('Plano de Ação'!$B234&lt;&gt;""),NOT(ISNUMBER('Plano de Ação'!$F234)),NOT(ISNUMBER('Plano de Ação'!$G234)),'Plano de Ação'!$J234="Cancelada"),0,IF(AND('Plano de Ação'!$F234&lt;=EOMONTH(DATE(ano_ref,11,1),0),'Plano de Ação'!$G234&gt;=DATE(ano_ref,11,1)),1,0))</f>
      </c>
      <c r="P235" s="41">
        <f>IF(OR(NOT('Plano de Ação'!$B234&lt;&gt;""),NOT(ISNUMBER('Plano de Ação'!$F234)),NOT(ISNUMBER('Plano de Ação'!$G234)),'Plano de Ação'!$J234="Cancelada"),0,IF(AND('Plano de Ação'!$F234&lt;=EOMONTH(DATE(ano_ref,12,1),0),'Plano de Ação'!$G234&gt;=DATE(ano_ref,12,1)),1,0))</f>
      </c>
    </row>
    <row r="236" spans="1:16" x14ac:dyDescent="0.25">
      <c r="A236" s="40">
        <f>IF('Plano de Ação'!$B235&lt;&gt;"",'Plano de Ação'!A235&amp;"","")</f>
      </c>
      <c r="B236" s="25">
        <f>IF('Plano de Ação'!$B235&lt;&gt;"",'Plano de Ação'!B235,"")</f>
      </c>
      <c r="C236" s="25">
        <f>IF('Plano de Ação'!$B235&lt;&gt;"",'Plano de Ação'!E235&amp;"","")</f>
      </c>
      <c r="D236" s="40">
        <f>IF('Plano de Ação'!$B235&lt;&gt;"",'Plano de Ação'!L235,"")</f>
      </c>
      <c r="E236" s="41">
        <f>IF(OR(NOT('Plano de Ação'!$B235&lt;&gt;""),NOT(ISNUMBER('Plano de Ação'!$F235)),NOT(ISNUMBER('Plano de Ação'!$G235)),'Plano de Ação'!$J235="Cancelada"),0,IF(AND('Plano de Ação'!$F235&lt;=EOMONTH(DATE(ano_ref,1,1),0),'Plano de Ação'!$G235&gt;=DATE(ano_ref,1,1)),1,0))</f>
      </c>
      <c r="F236" s="41">
        <f>IF(OR(NOT('Plano de Ação'!$B235&lt;&gt;""),NOT(ISNUMBER('Plano de Ação'!$F235)),NOT(ISNUMBER('Plano de Ação'!$G235)),'Plano de Ação'!$J235="Cancelada"),0,IF(AND('Plano de Ação'!$F235&lt;=EOMONTH(DATE(ano_ref,2,1),0),'Plano de Ação'!$G235&gt;=DATE(ano_ref,2,1)),1,0))</f>
      </c>
      <c r="G236" s="41">
        <f>IF(OR(NOT('Plano de Ação'!$B235&lt;&gt;""),NOT(ISNUMBER('Plano de Ação'!$F235)),NOT(ISNUMBER('Plano de Ação'!$G235)),'Plano de Ação'!$J235="Cancelada"),0,IF(AND('Plano de Ação'!$F235&lt;=EOMONTH(DATE(ano_ref,3,1),0),'Plano de Ação'!$G235&gt;=DATE(ano_ref,3,1)),1,0))</f>
      </c>
      <c r="H236" s="41">
        <f>IF(OR(NOT('Plano de Ação'!$B235&lt;&gt;""),NOT(ISNUMBER('Plano de Ação'!$F235)),NOT(ISNUMBER('Plano de Ação'!$G235)),'Plano de Ação'!$J235="Cancelada"),0,IF(AND('Plano de Ação'!$F235&lt;=EOMONTH(DATE(ano_ref,4,1),0),'Plano de Ação'!$G235&gt;=DATE(ano_ref,4,1)),1,0))</f>
      </c>
      <c r="I236" s="41">
        <f>IF(OR(NOT('Plano de Ação'!$B235&lt;&gt;""),NOT(ISNUMBER('Plano de Ação'!$F235)),NOT(ISNUMBER('Plano de Ação'!$G235)),'Plano de Ação'!$J235="Cancelada"),0,IF(AND('Plano de Ação'!$F235&lt;=EOMONTH(DATE(ano_ref,5,1),0),'Plano de Ação'!$G235&gt;=DATE(ano_ref,5,1)),1,0))</f>
      </c>
      <c r="J236" s="41">
        <f>IF(OR(NOT('Plano de Ação'!$B235&lt;&gt;""),NOT(ISNUMBER('Plano de Ação'!$F235)),NOT(ISNUMBER('Plano de Ação'!$G235)),'Plano de Ação'!$J235="Cancelada"),0,IF(AND('Plano de Ação'!$F235&lt;=EOMONTH(DATE(ano_ref,6,1),0),'Plano de Ação'!$G235&gt;=DATE(ano_ref,6,1)),1,0))</f>
      </c>
      <c r="K236" s="41">
        <f>IF(OR(NOT('Plano de Ação'!$B235&lt;&gt;""),NOT(ISNUMBER('Plano de Ação'!$F235)),NOT(ISNUMBER('Plano de Ação'!$G235)),'Plano de Ação'!$J235="Cancelada"),0,IF(AND('Plano de Ação'!$F235&lt;=EOMONTH(DATE(ano_ref,7,1),0),'Plano de Ação'!$G235&gt;=DATE(ano_ref,7,1)),1,0))</f>
      </c>
      <c r="L236" s="41">
        <f>IF(OR(NOT('Plano de Ação'!$B235&lt;&gt;""),NOT(ISNUMBER('Plano de Ação'!$F235)),NOT(ISNUMBER('Plano de Ação'!$G235)),'Plano de Ação'!$J235="Cancelada"),0,IF(AND('Plano de Ação'!$F235&lt;=EOMONTH(DATE(ano_ref,8,1),0),'Plano de Ação'!$G235&gt;=DATE(ano_ref,8,1)),1,0))</f>
      </c>
      <c r="M236" s="41">
        <f>IF(OR(NOT('Plano de Ação'!$B235&lt;&gt;""),NOT(ISNUMBER('Plano de Ação'!$F235)),NOT(ISNUMBER('Plano de Ação'!$G235)),'Plano de Ação'!$J235="Cancelada"),0,IF(AND('Plano de Ação'!$F235&lt;=EOMONTH(DATE(ano_ref,9,1),0),'Plano de Ação'!$G235&gt;=DATE(ano_ref,9,1)),1,0))</f>
      </c>
      <c r="N236" s="41">
        <f>IF(OR(NOT('Plano de Ação'!$B235&lt;&gt;""),NOT(ISNUMBER('Plano de Ação'!$F235)),NOT(ISNUMBER('Plano de Ação'!$G235)),'Plano de Ação'!$J235="Cancelada"),0,IF(AND('Plano de Ação'!$F235&lt;=EOMONTH(DATE(ano_ref,10,1),0),'Plano de Ação'!$G235&gt;=DATE(ano_ref,10,1)),1,0))</f>
      </c>
      <c r="O236" s="41">
        <f>IF(OR(NOT('Plano de Ação'!$B235&lt;&gt;""),NOT(ISNUMBER('Plano de Ação'!$F235)),NOT(ISNUMBER('Plano de Ação'!$G235)),'Plano de Ação'!$J235="Cancelada"),0,IF(AND('Plano de Ação'!$F235&lt;=EOMONTH(DATE(ano_ref,11,1),0),'Plano de Ação'!$G235&gt;=DATE(ano_ref,11,1)),1,0))</f>
      </c>
      <c r="P236" s="41">
        <f>IF(OR(NOT('Plano de Ação'!$B235&lt;&gt;""),NOT(ISNUMBER('Plano de Ação'!$F235)),NOT(ISNUMBER('Plano de Ação'!$G235)),'Plano de Ação'!$J235="Cancelada"),0,IF(AND('Plano de Ação'!$F235&lt;=EOMONTH(DATE(ano_ref,12,1),0),'Plano de Ação'!$G235&gt;=DATE(ano_ref,12,1)),1,0))</f>
      </c>
    </row>
    <row r="237" spans="1:16" x14ac:dyDescent="0.25">
      <c r="A237" s="40">
        <f>IF('Plano de Ação'!$B236&lt;&gt;"",'Plano de Ação'!A236&amp;"","")</f>
      </c>
      <c r="B237" s="25">
        <f>IF('Plano de Ação'!$B236&lt;&gt;"",'Plano de Ação'!B236,"")</f>
      </c>
      <c r="C237" s="25">
        <f>IF('Plano de Ação'!$B236&lt;&gt;"",'Plano de Ação'!E236&amp;"","")</f>
      </c>
      <c r="D237" s="40">
        <f>IF('Plano de Ação'!$B236&lt;&gt;"",'Plano de Ação'!L236,"")</f>
      </c>
      <c r="E237" s="41">
        <f>IF(OR(NOT('Plano de Ação'!$B236&lt;&gt;""),NOT(ISNUMBER('Plano de Ação'!$F236)),NOT(ISNUMBER('Plano de Ação'!$G236)),'Plano de Ação'!$J236="Cancelada"),0,IF(AND('Plano de Ação'!$F236&lt;=EOMONTH(DATE(ano_ref,1,1),0),'Plano de Ação'!$G236&gt;=DATE(ano_ref,1,1)),1,0))</f>
      </c>
      <c r="F237" s="41">
        <f>IF(OR(NOT('Plano de Ação'!$B236&lt;&gt;""),NOT(ISNUMBER('Plano de Ação'!$F236)),NOT(ISNUMBER('Plano de Ação'!$G236)),'Plano de Ação'!$J236="Cancelada"),0,IF(AND('Plano de Ação'!$F236&lt;=EOMONTH(DATE(ano_ref,2,1),0),'Plano de Ação'!$G236&gt;=DATE(ano_ref,2,1)),1,0))</f>
      </c>
      <c r="G237" s="41">
        <f>IF(OR(NOT('Plano de Ação'!$B236&lt;&gt;""),NOT(ISNUMBER('Plano de Ação'!$F236)),NOT(ISNUMBER('Plano de Ação'!$G236)),'Plano de Ação'!$J236="Cancelada"),0,IF(AND('Plano de Ação'!$F236&lt;=EOMONTH(DATE(ano_ref,3,1),0),'Plano de Ação'!$G236&gt;=DATE(ano_ref,3,1)),1,0))</f>
      </c>
      <c r="H237" s="41">
        <f>IF(OR(NOT('Plano de Ação'!$B236&lt;&gt;""),NOT(ISNUMBER('Plano de Ação'!$F236)),NOT(ISNUMBER('Plano de Ação'!$G236)),'Plano de Ação'!$J236="Cancelada"),0,IF(AND('Plano de Ação'!$F236&lt;=EOMONTH(DATE(ano_ref,4,1),0),'Plano de Ação'!$G236&gt;=DATE(ano_ref,4,1)),1,0))</f>
      </c>
      <c r="I237" s="41">
        <f>IF(OR(NOT('Plano de Ação'!$B236&lt;&gt;""),NOT(ISNUMBER('Plano de Ação'!$F236)),NOT(ISNUMBER('Plano de Ação'!$G236)),'Plano de Ação'!$J236="Cancelada"),0,IF(AND('Plano de Ação'!$F236&lt;=EOMONTH(DATE(ano_ref,5,1),0),'Plano de Ação'!$G236&gt;=DATE(ano_ref,5,1)),1,0))</f>
      </c>
      <c r="J237" s="41">
        <f>IF(OR(NOT('Plano de Ação'!$B236&lt;&gt;""),NOT(ISNUMBER('Plano de Ação'!$F236)),NOT(ISNUMBER('Plano de Ação'!$G236)),'Plano de Ação'!$J236="Cancelada"),0,IF(AND('Plano de Ação'!$F236&lt;=EOMONTH(DATE(ano_ref,6,1),0),'Plano de Ação'!$G236&gt;=DATE(ano_ref,6,1)),1,0))</f>
      </c>
      <c r="K237" s="41">
        <f>IF(OR(NOT('Plano de Ação'!$B236&lt;&gt;""),NOT(ISNUMBER('Plano de Ação'!$F236)),NOT(ISNUMBER('Plano de Ação'!$G236)),'Plano de Ação'!$J236="Cancelada"),0,IF(AND('Plano de Ação'!$F236&lt;=EOMONTH(DATE(ano_ref,7,1),0),'Plano de Ação'!$G236&gt;=DATE(ano_ref,7,1)),1,0))</f>
      </c>
      <c r="L237" s="41">
        <f>IF(OR(NOT('Plano de Ação'!$B236&lt;&gt;""),NOT(ISNUMBER('Plano de Ação'!$F236)),NOT(ISNUMBER('Plano de Ação'!$G236)),'Plano de Ação'!$J236="Cancelada"),0,IF(AND('Plano de Ação'!$F236&lt;=EOMONTH(DATE(ano_ref,8,1),0),'Plano de Ação'!$G236&gt;=DATE(ano_ref,8,1)),1,0))</f>
      </c>
      <c r="M237" s="41">
        <f>IF(OR(NOT('Plano de Ação'!$B236&lt;&gt;""),NOT(ISNUMBER('Plano de Ação'!$F236)),NOT(ISNUMBER('Plano de Ação'!$G236)),'Plano de Ação'!$J236="Cancelada"),0,IF(AND('Plano de Ação'!$F236&lt;=EOMONTH(DATE(ano_ref,9,1),0),'Plano de Ação'!$G236&gt;=DATE(ano_ref,9,1)),1,0))</f>
      </c>
      <c r="N237" s="41">
        <f>IF(OR(NOT('Plano de Ação'!$B236&lt;&gt;""),NOT(ISNUMBER('Plano de Ação'!$F236)),NOT(ISNUMBER('Plano de Ação'!$G236)),'Plano de Ação'!$J236="Cancelada"),0,IF(AND('Plano de Ação'!$F236&lt;=EOMONTH(DATE(ano_ref,10,1),0),'Plano de Ação'!$G236&gt;=DATE(ano_ref,10,1)),1,0))</f>
      </c>
      <c r="O237" s="41">
        <f>IF(OR(NOT('Plano de Ação'!$B236&lt;&gt;""),NOT(ISNUMBER('Plano de Ação'!$F236)),NOT(ISNUMBER('Plano de Ação'!$G236)),'Plano de Ação'!$J236="Cancelada"),0,IF(AND('Plano de Ação'!$F236&lt;=EOMONTH(DATE(ano_ref,11,1),0),'Plano de Ação'!$G236&gt;=DATE(ano_ref,11,1)),1,0))</f>
      </c>
      <c r="P237" s="41">
        <f>IF(OR(NOT('Plano de Ação'!$B236&lt;&gt;""),NOT(ISNUMBER('Plano de Ação'!$F236)),NOT(ISNUMBER('Plano de Ação'!$G236)),'Plano de Ação'!$J236="Cancelada"),0,IF(AND('Plano de Ação'!$F236&lt;=EOMONTH(DATE(ano_ref,12,1),0),'Plano de Ação'!$G236&gt;=DATE(ano_ref,12,1)),1,0))</f>
      </c>
    </row>
    <row r="238" spans="1:16" x14ac:dyDescent="0.25">
      <c r="A238" s="40">
        <f>IF('Plano de Ação'!$B237&lt;&gt;"",'Plano de Ação'!A237&amp;"","")</f>
      </c>
      <c r="B238" s="25">
        <f>IF('Plano de Ação'!$B237&lt;&gt;"",'Plano de Ação'!B237,"")</f>
      </c>
      <c r="C238" s="25">
        <f>IF('Plano de Ação'!$B237&lt;&gt;"",'Plano de Ação'!E237&amp;"","")</f>
      </c>
      <c r="D238" s="40">
        <f>IF('Plano de Ação'!$B237&lt;&gt;"",'Plano de Ação'!L237,"")</f>
      </c>
      <c r="E238" s="41">
        <f>IF(OR(NOT('Plano de Ação'!$B237&lt;&gt;""),NOT(ISNUMBER('Plano de Ação'!$F237)),NOT(ISNUMBER('Plano de Ação'!$G237)),'Plano de Ação'!$J237="Cancelada"),0,IF(AND('Plano de Ação'!$F237&lt;=EOMONTH(DATE(ano_ref,1,1),0),'Plano de Ação'!$G237&gt;=DATE(ano_ref,1,1)),1,0))</f>
      </c>
      <c r="F238" s="41">
        <f>IF(OR(NOT('Plano de Ação'!$B237&lt;&gt;""),NOT(ISNUMBER('Plano de Ação'!$F237)),NOT(ISNUMBER('Plano de Ação'!$G237)),'Plano de Ação'!$J237="Cancelada"),0,IF(AND('Plano de Ação'!$F237&lt;=EOMONTH(DATE(ano_ref,2,1),0),'Plano de Ação'!$G237&gt;=DATE(ano_ref,2,1)),1,0))</f>
      </c>
      <c r="G238" s="41">
        <f>IF(OR(NOT('Plano de Ação'!$B237&lt;&gt;""),NOT(ISNUMBER('Plano de Ação'!$F237)),NOT(ISNUMBER('Plano de Ação'!$G237)),'Plano de Ação'!$J237="Cancelada"),0,IF(AND('Plano de Ação'!$F237&lt;=EOMONTH(DATE(ano_ref,3,1),0),'Plano de Ação'!$G237&gt;=DATE(ano_ref,3,1)),1,0))</f>
      </c>
      <c r="H238" s="41">
        <f>IF(OR(NOT('Plano de Ação'!$B237&lt;&gt;""),NOT(ISNUMBER('Plano de Ação'!$F237)),NOT(ISNUMBER('Plano de Ação'!$G237)),'Plano de Ação'!$J237="Cancelada"),0,IF(AND('Plano de Ação'!$F237&lt;=EOMONTH(DATE(ano_ref,4,1),0),'Plano de Ação'!$G237&gt;=DATE(ano_ref,4,1)),1,0))</f>
      </c>
      <c r="I238" s="41">
        <f>IF(OR(NOT('Plano de Ação'!$B237&lt;&gt;""),NOT(ISNUMBER('Plano de Ação'!$F237)),NOT(ISNUMBER('Plano de Ação'!$G237)),'Plano de Ação'!$J237="Cancelada"),0,IF(AND('Plano de Ação'!$F237&lt;=EOMONTH(DATE(ano_ref,5,1),0),'Plano de Ação'!$G237&gt;=DATE(ano_ref,5,1)),1,0))</f>
      </c>
      <c r="J238" s="41">
        <f>IF(OR(NOT('Plano de Ação'!$B237&lt;&gt;""),NOT(ISNUMBER('Plano de Ação'!$F237)),NOT(ISNUMBER('Plano de Ação'!$G237)),'Plano de Ação'!$J237="Cancelada"),0,IF(AND('Plano de Ação'!$F237&lt;=EOMONTH(DATE(ano_ref,6,1),0),'Plano de Ação'!$G237&gt;=DATE(ano_ref,6,1)),1,0))</f>
      </c>
      <c r="K238" s="41">
        <f>IF(OR(NOT('Plano de Ação'!$B237&lt;&gt;""),NOT(ISNUMBER('Plano de Ação'!$F237)),NOT(ISNUMBER('Plano de Ação'!$G237)),'Plano de Ação'!$J237="Cancelada"),0,IF(AND('Plano de Ação'!$F237&lt;=EOMONTH(DATE(ano_ref,7,1),0),'Plano de Ação'!$G237&gt;=DATE(ano_ref,7,1)),1,0))</f>
      </c>
      <c r="L238" s="41">
        <f>IF(OR(NOT('Plano de Ação'!$B237&lt;&gt;""),NOT(ISNUMBER('Plano de Ação'!$F237)),NOT(ISNUMBER('Plano de Ação'!$G237)),'Plano de Ação'!$J237="Cancelada"),0,IF(AND('Plano de Ação'!$F237&lt;=EOMONTH(DATE(ano_ref,8,1),0),'Plano de Ação'!$G237&gt;=DATE(ano_ref,8,1)),1,0))</f>
      </c>
      <c r="M238" s="41">
        <f>IF(OR(NOT('Plano de Ação'!$B237&lt;&gt;""),NOT(ISNUMBER('Plano de Ação'!$F237)),NOT(ISNUMBER('Plano de Ação'!$G237)),'Plano de Ação'!$J237="Cancelada"),0,IF(AND('Plano de Ação'!$F237&lt;=EOMONTH(DATE(ano_ref,9,1),0),'Plano de Ação'!$G237&gt;=DATE(ano_ref,9,1)),1,0))</f>
      </c>
      <c r="N238" s="41">
        <f>IF(OR(NOT('Plano de Ação'!$B237&lt;&gt;""),NOT(ISNUMBER('Plano de Ação'!$F237)),NOT(ISNUMBER('Plano de Ação'!$G237)),'Plano de Ação'!$J237="Cancelada"),0,IF(AND('Plano de Ação'!$F237&lt;=EOMONTH(DATE(ano_ref,10,1),0),'Plano de Ação'!$G237&gt;=DATE(ano_ref,10,1)),1,0))</f>
      </c>
      <c r="O238" s="41">
        <f>IF(OR(NOT('Plano de Ação'!$B237&lt;&gt;""),NOT(ISNUMBER('Plano de Ação'!$F237)),NOT(ISNUMBER('Plano de Ação'!$G237)),'Plano de Ação'!$J237="Cancelada"),0,IF(AND('Plano de Ação'!$F237&lt;=EOMONTH(DATE(ano_ref,11,1),0),'Plano de Ação'!$G237&gt;=DATE(ano_ref,11,1)),1,0))</f>
      </c>
      <c r="P238" s="41">
        <f>IF(OR(NOT('Plano de Ação'!$B237&lt;&gt;""),NOT(ISNUMBER('Plano de Ação'!$F237)),NOT(ISNUMBER('Plano de Ação'!$G237)),'Plano de Ação'!$J237="Cancelada"),0,IF(AND('Plano de Ação'!$F237&lt;=EOMONTH(DATE(ano_ref,12,1),0),'Plano de Ação'!$G237&gt;=DATE(ano_ref,12,1)),1,0))</f>
      </c>
    </row>
    <row r="239" spans="1:16" x14ac:dyDescent="0.25">
      <c r="A239" s="40">
        <f>IF('Plano de Ação'!$B238&lt;&gt;"",'Plano de Ação'!A238&amp;"","")</f>
      </c>
      <c r="B239" s="25">
        <f>IF('Plano de Ação'!$B238&lt;&gt;"",'Plano de Ação'!B238,"")</f>
      </c>
      <c r="C239" s="25">
        <f>IF('Plano de Ação'!$B238&lt;&gt;"",'Plano de Ação'!E238&amp;"","")</f>
      </c>
      <c r="D239" s="40">
        <f>IF('Plano de Ação'!$B238&lt;&gt;"",'Plano de Ação'!L238,"")</f>
      </c>
      <c r="E239" s="41">
        <f>IF(OR(NOT('Plano de Ação'!$B238&lt;&gt;""),NOT(ISNUMBER('Plano de Ação'!$F238)),NOT(ISNUMBER('Plano de Ação'!$G238)),'Plano de Ação'!$J238="Cancelada"),0,IF(AND('Plano de Ação'!$F238&lt;=EOMONTH(DATE(ano_ref,1,1),0),'Plano de Ação'!$G238&gt;=DATE(ano_ref,1,1)),1,0))</f>
      </c>
      <c r="F239" s="41">
        <f>IF(OR(NOT('Plano de Ação'!$B238&lt;&gt;""),NOT(ISNUMBER('Plano de Ação'!$F238)),NOT(ISNUMBER('Plano de Ação'!$G238)),'Plano de Ação'!$J238="Cancelada"),0,IF(AND('Plano de Ação'!$F238&lt;=EOMONTH(DATE(ano_ref,2,1),0),'Plano de Ação'!$G238&gt;=DATE(ano_ref,2,1)),1,0))</f>
      </c>
      <c r="G239" s="41">
        <f>IF(OR(NOT('Plano de Ação'!$B238&lt;&gt;""),NOT(ISNUMBER('Plano de Ação'!$F238)),NOT(ISNUMBER('Plano de Ação'!$G238)),'Plano de Ação'!$J238="Cancelada"),0,IF(AND('Plano de Ação'!$F238&lt;=EOMONTH(DATE(ano_ref,3,1),0),'Plano de Ação'!$G238&gt;=DATE(ano_ref,3,1)),1,0))</f>
      </c>
      <c r="H239" s="41">
        <f>IF(OR(NOT('Plano de Ação'!$B238&lt;&gt;""),NOT(ISNUMBER('Plano de Ação'!$F238)),NOT(ISNUMBER('Plano de Ação'!$G238)),'Plano de Ação'!$J238="Cancelada"),0,IF(AND('Plano de Ação'!$F238&lt;=EOMONTH(DATE(ano_ref,4,1),0),'Plano de Ação'!$G238&gt;=DATE(ano_ref,4,1)),1,0))</f>
      </c>
      <c r="I239" s="41">
        <f>IF(OR(NOT('Plano de Ação'!$B238&lt;&gt;""),NOT(ISNUMBER('Plano de Ação'!$F238)),NOT(ISNUMBER('Plano de Ação'!$G238)),'Plano de Ação'!$J238="Cancelada"),0,IF(AND('Plano de Ação'!$F238&lt;=EOMONTH(DATE(ano_ref,5,1),0),'Plano de Ação'!$G238&gt;=DATE(ano_ref,5,1)),1,0))</f>
      </c>
      <c r="J239" s="41">
        <f>IF(OR(NOT('Plano de Ação'!$B238&lt;&gt;""),NOT(ISNUMBER('Plano de Ação'!$F238)),NOT(ISNUMBER('Plano de Ação'!$G238)),'Plano de Ação'!$J238="Cancelada"),0,IF(AND('Plano de Ação'!$F238&lt;=EOMONTH(DATE(ano_ref,6,1),0),'Plano de Ação'!$G238&gt;=DATE(ano_ref,6,1)),1,0))</f>
      </c>
      <c r="K239" s="41">
        <f>IF(OR(NOT('Plano de Ação'!$B238&lt;&gt;""),NOT(ISNUMBER('Plano de Ação'!$F238)),NOT(ISNUMBER('Plano de Ação'!$G238)),'Plano de Ação'!$J238="Cancelada"),0,IF(AND('Plano de Ação'!$F238&lt;=EOMONTH(DATE(ano_ref,7,1),0),'Plano de Ação'!$G238&gt;=DATE(ano_ref,7,1)),1,0))</f>
      </c>
      <c r="L239" s="41">
        <f>IF(OR(NOT('Plano de Ação'!$B238&lt;&gt;""),NOT(ISNUMBER('Plano de Ação'!$F238)),NOT(ISNUMBER('Plano de Ação'!$G238)),'Plano de Ação'!$J238="Cancelada"),0,IF(AND('Plano de Ação'!$F238&lt;=EOMONTH(DATE(ano_ref,8,1),0),'Plano de Ação'!$G238&gt;=DATE(ano_ref,8,1)),1,0))</f>
      </c>
      <c r="M239" s="41">
        <f>IF(OR(NOT('Plano de Ação'!$B238&lt;&gt;""),NOT(ISNUMBER('Plano de Ação'!$F238)),NOT(ISNUMBER('Plano de Ação'!$G238)),'Plano de Ação'!$J238="Cancelada"),0,IF(AND('Plano de Ação'!$F238&lt;=EOMONTH(DATE(ano_ref,9,1),0),'Plano de Ação'!$G238&gt;=DATE(ano_ref,9,1)),1,0))</f>
      </c>
      <c r="N239" s="41">
        <f>IF(OR(NOT('Plano de Ação'!$B238&lt;&gt;""),NOT(ISNUMBER('Plano de Ação'!$F238)),NOT(ISNUMBER('Plano de Ação'!$G238)),'Plano de Ação'!$J238="Cancelada"),0,IF(AND('Plano de Ação'!$F238&lt;=EOMONTH(DATE(ano_ref,10,1),0),'Plano de Ação'!$G238&gt;=DATE(ano_ref,10,1)),1,0))</f>
      </c>
      <c r="O239" s="41">
        <f>IF(OR(NOT('Plano de Ação'!$B238&lt;&gt;""),NOT(ISNUMBER('Plano de Ação'!$F238)),NOT(ISNUMBER('Plano de Ação'!$G238)),'Plano de Ação'!$J238="Cancelada"),0,IF(AND('Plano de Ação'!$F238&lt;=EOMONTH(DATE(ano_ref,11,1),0),'Plano de Ação'!$G238&gt;=DATE(ano_ref,11,1)),1,0))</f>
      </c>
      <c r="P239" s="41">
        <f>IF(OR(NOT('Plano de Ação'!$B238&lt;&gt;""),NOT(ISNUMBER('Plano de Ação'!$F238)),NOT(ISNUMBER('Plano de Ação'!$G238)),'Plano de Ação'!$J238="Cancelada"),0,IF(AND('Plano de Ação'!$F238&lt;=EOMONTH(DATE(ano_ref,12,1),0),'Plano de Ação'!$G238&gt;=DATE(ano_ref,12,1)),1,0))</f>
      </c>
    </row>
    <row r="240" spans="1:16" x14ac:dyDescent="0.25">
      <c r="A240" s="40">
        <f>IF('Plano de Ação'!$B239&lt;&gt;"",'Plano de Ação'!A239&amp;"","")</f>
      </c>
      <c r="B240" s="25">
        <f>IF('Plano de Ação'!$B239&lt;&gt;"",'Plano de Ação'!B239,"")</f>
      </c>
      <c r="C240" s="25">
        <f>IF('Plano de Ação'!$B239&lt;&gt;"",'Plano de Ação'!E239&amp;"","")</f>
      </c>
      <c r="D240" s="40">
        <f>IF('Plano de Ação'!$B239&lt;&gt;"",'Plano de Ação'!L239,"")</f>
      </c>
      <c r="E240" s="41">
        <f>IF(OR(NOT('Plano de Ação'!$B239&lt;&gt;""),NOT(ISNUMBER('Plano de Ação'!$F239)),NOT(ISNUMBER('Plano de Ação'!$G239)),'Plano de Ação'!$J239="Cancelada"),0,IF(AND('Plano de Ação'!$F239&lt;=EOMONTH(DATE(ano_ref,1,1),0),'Plano de Ação'!$G239&gt;=DATE(ano_ref,1,1)),1,0))</f>
      </c>
      <c r="F240" s="41">
        <f>IF(OR(NOT('Plano de Ação'!$B239&lt;&gt;""),NOT(ISNUMBER('Plano de Ação'!$F239)),NOT(ISNUMBER('Plano de Ação'!$G239)),'Plano de Ação'!$J239="Cancelada"),0,IF(AND('Plano de Ação'!$F239&lt;=EOMONTH(DATE(ano_ref,2,1),0),'Plano de Ação'!$G239&gt;=DATE(ano_ref,2,1)),1,0))</f>
      </c>
      <c r="G240" s="41">
        <f>IF(OR(NOT('Plano de Ação'!$B239&lt;&gt;""),NOT(ISNUMBER('Plano de Ação'!$F239)),NOT(ISNUMBER('Plano de Ação'!$G239)),'Plano de Ação'!$J239="Cancelada"),0,IF(AND('Plano de Ação'!$F239&lt;=EOMONTH(DATE(ano_ref,3,1),0),'Plano de Ação'!$G239&gt;=DATE(ano_ref,3,1)),1,0))</f>
      </c>
      <c r="H240" s="41">
        <f>IF(OR(NOT('Plano de Ação'!$B239&lt;&gt;""),NOT(ISNUMBER('Plano de Ação'!$F239)),NOT(ISNUMBER('Plano de Ação'!$G239)),'Plano de Ação'!$J239="Cancelada"),0,IF(AND('Plano de Ação'!$F239&lt;=EOMONTH(DATE(ano_ref,4,1),0),'Plano de Ação'!$G239&gt;=DATE(ano_ref,4,1)),1,0))</f>
      </c>
      <c r="I240" s="41">
        <f>IF(OR(NOT('Plano de Ação'!$B239&lt;&gt;""),NOT(ISNUMBER('Plano de Ação'!$F239)),NOT(ISNUMBER('Plano de Ação'!$G239)),'Plano de Ação'!$J239="Cancelada"),0,IF(AND('Plano de Ação'!$F239&lt;=EOMONTH(DATE(ano_ref,5,1),0),'Plano de Ação'!$G239&gt;=DATE(ano_ref,5,1)),1,0))</f>
      </c>
      <c r="J240" s="41">
        <f>IF(OR(NOT('Plano de Ação'!$B239&lt;&gt;""),NOT(ISNUMBER('Plano de Ação'!$F239)),NOT(ISNUMBER('Plano de Ação'!$G239)),'Plano de Ação'!$J239="Cancelada"),0,IF(AND('Plano de Ação'!$F239&lt;=EOMONTH(DATE(ano_ref,6,1),0),'Plano de Ação'!$G239&gt;=DATE(ano_ref,6,1)),1,0))</f>
      </c>
      <c r="K240" s="41">
        <f>IF(OR(NOT('Plano de Ação'!$B239&lt;&gt;""),NOT(ISNUMBER('Plano de Ação'!$F239)),NOT(ISNUMBER('Plano de Ação'!$G239)),'Plano de Ação'!$J239="Cancelada"),0,IF(AND('Plano de Ação'!$F239&lt;=EOMONTH(DATE(ano_ref,7,1),0),'Plano de Ação'!$G239&gt;=DATE(ano_ref,7,1)),1,0))</f>
      </c>
      <c r="L240" s="41">
        <f>IF(OR(NOT('Plano de Ação'!$B239&lt;&gt;""),NOT(ISNUMBER('Plano de Ação'!$F239)),NOT(ISNUMBER('Plano de Ação'!$G239)),'Plano de Ação'!$J239="Cancelada"),0,IF(AND('Plano de Ação'!$F239&lt;=EOMONTH(DATE(ano_ref,8,1),0),'Plano de Ação'!$G239&gt;=DATE(ano_ref,8,1)),1,0))</f>
      </c>
      <c r="M240" s="41">
        <f>IF(OR(NOT('Plano de Ação'!$B239&lt;&gt;""),NOT(ISNUMBER('Plano de Ação'!$F239)),NOT(ISNUMBER('Plano de Ação'!$G239)),'Plano de Ação'!$J239="Cancelada"),0,IF(AND('Plano de Ação'!$F239&lt;=EOMONTH(DATE(ano_ref,9,1),0),'Plano de Ação'!$G239&gt;=DATE(ano_ref,9,1)),1,0))</f>
      </c>
      <c r="N240" s="41">
        <f>IF(OR(NOT('Plano de Ação'!$B239&lt;&gt;""),NOT(ISNUMBER('Plano de Ação'!$F239)),NOT(ISNUMBER('Plano de Ação'!$G239)),'Plano de Ação'!$J239="Cancelada"),0,IF(AND('Plano de Ação'!$F239&lt;=EOMONTH(DATE(ano_ref,10,1),0),'Plano de Ação'!$G239&gt;=DATE(ano_ref,10,1)),1,0))</f>
      </c>
      <c r="O240" s="41">
        <f>IF(OR(NOT('Plano de Ação'!$B239&lt;&gt;""),NOT(ISNUMBER('Plano de Ação'!$F239)),NOT(ISNUMBER('Plano de Ação'!$G239)),'Plano de Ação'!$J239="Cancelada"),0,IF(AND('Plano de Ação'!$F239&lt;=EOMONTH(DATE(ano_ref,11,1),0),'Plano de Ação'!$G239&gt;=DATE(ano_ref,11,1)),1,0))</f>
      </c>
      <c r="P240" s="41">
        <f>IF(OR(NOT('Plano de Ação'!$B239&lt;&gt;""),NOT(ISNUMBER('Plano de Ação'!$F239)),NOT(ISNUMBER('Plano de Ação'!$G239)),'Plano de Ação'!$J239="Cancelada"),0,IF(AND('Plano de Ação'!$F239&lt;=EOMONTH(DATE(ano_ref,12,1),0),'Plano de Ação'!$G239&gt;=DATE(ano_ref,12,1)),1,0))</f>
      </c>
    </row>
    <row r="241" spans="1:16" x14ac:dyDescent="0.25">
      <c r="A241" s="40">
        <f>IF('Plano de Ação'!$B240&lt;&gt;"",'Plano de Ação'!A240&amp;"","")</f>
      </c>
      <c r="B241" s="25">
        <f>IF('Plano de Ação'!$B240&lt;&gt;"",'Plano de Ação'!B240,"")</f>
      </c>
      <c r="C241" s="25">
        <f>IF('Plano de Ação'!$B240&lt;&gt;"",'Plano de Ação'!E240&amp;"","")</f>
      </c>
      <c r="D241" s="40">
        <f>IF('Plano de Ação'!$B240&lt;&gt;"",'Plano de Ação'!L240,"")</f>
      </c>
      <c r="E241" s="41">
        <f>IF(OR(NOT('Plano de Ação'!$B240&lt;&gt;""),NOT(ISNUMBER('Plano de Ação'!$F240)),NOT(ISNUMBER('Plano de Ação'!$G240)),'Plano de Ação'!$J240="Cancelada"),0,IF(AND('Plano de Ação'!$F240&lt;=EOMONTH(DATE(ano_ref,1,1),0),'Plano de Ação'!$G240&gt;=DATE(ano_ref,1,1)),1,0))</f>
      </c>
      <c r="F241" s="41">
        <f>IF(OR(NOT('Plano de Ação'!$B240&lt;&gt;""),NOT(ISNUMBER('Plano de Ação'!$F240)),NOT(ISNUMBER('Plano de Ação'!$G240)),'Plano de Ação'!$J240="Cancelada"),0,IF(AND('Plano de Ação'!$F240&lt;=EOMONTH(DATE(ano_ref,2,1),0),'Plano de Ação'!$G240&gt;=DATE(ano_ref,2,1)),1,0))</f>
      </c>
      <c r="G241" s="41">
        <f>IF(OR(NOT('Plano de Ação'!$B240&lt;&gt;""),NOT(ISNUMBER('Plano de Ação'!$F240)),NOT(ISNUMBER('Plano de Ação'!$G240)),'Plano de Ação'!$J240="Cancelada"),0,IF(AND('Plano de Ação'!$F240&lt;=EOMONTH(DATE(ano_ref,3,1),0),'Plano de Ação'!$G240&gt;=DATE(ano_ref,3,1)),1,0))</f>
      </c>
      <c r="H241" s="41">
        <f>IF(OR(NOT('Plano de Ação'!$B240&lt;&gt;""),NOT(ISNUMBER('Plano de Ação'!$F240)),NOT(ISNUMBER('Plano de Ação'!$G240)),'Plano de Ação'!$J240="Cancelada"),0,IF(AND('Plano de Ação'!$F240&lt;=EOMONTH(DATE(ano_ref,4,1),0),'Plano de Ação'!$G240&gt;=DATE(ano_ref,4,1)),1,0))</f>
      </c>
      <c r="I241" s="41">
        <f>IF(OR(NOT('Plano de Ação'!$B240&lt;&gt;""),NOT(ISNUMBER('Plano de Ação'!$F240)),NOT(ISNUMBER('Plano de Ação'!$G240)),'Plano de Ação'!$J240="Cancelada"),0,IF(AND('Plano de Ação'!$F240&lt;=EOMONTH(DATE(ano_ref,5,1),0),'Plano de Ação'!$G240&gt;=DATE(ano_ref,5,1)),1,0))</f>
      </c>
      <c r="J241" s="41">
        <f>IF(OR(NOT('Plano de Ação'!$B240&lt;&gt;""),NOT(ISNUMBER('Plano de Ação'!$F240)),NOT(ISNUMBER('Plano de Ação'!$G240)),'Plano de Ação'!$J240="Cancelada"),0,IF(AND('Plano de Ação'!$F240&lt;=EOMONTH(DATE(ano_ref,6,1),0),'Plano de Ação'!$G240&gt;=DATE(ano_ref,6,1)),1,0))</f>
      </c>
      <c r="K241" s="41">
        <f>IF(OR(NOT('Plano de Ação'!$B240&lt;&gt;""),NOT(ISNUMBER('Plano de Ação'!$F240)),NOT(ISNUMBER('Plano de Ação'!$G240)),'Plano de Ação'!$J240="Cancelada"),0,IF(AND('Plano de Ação'!$F240&lt;=EOMONTH(DATE(ano_ref,7,1),0),'Plano de Ação'!$G240&gt;=DATE(ano_ref,7,1)),1,0))</f>
      </c>
      <c r="L241" s="41">
        <f>IF(OR(NOT('Plano de Ação'!$B240&lt;&gt;""),NOT(ISNUMBER('Plano de Ação'!$F240)),NOT(ISNUMBER('Plano de Ação'!$G240)),'Plano de Ação'!$J240="Cancelada"),0,IF(AND('Plano de Ação'!$F240&lt;=EOMONTH(DATE(ano_ref,8,1),0),'Plano de Ação'!$G240&gt;=DATE(ano_ref,8,1)),1,0))</f>
      </c>
      <c r="M241" s="41">
        <f>IF(OR(NOT('Plano de Ação'!$B240&lt;&gt;""),NOT(ISNUMBER('Plano de Ação'!$F240)),NOT(ISNUMBER('Plano de Ação'!$G240)),'Plano de Ação'!$J240="Cancelada"),0,IF(AND('Plano de Ação'!$F240&lt;=EOMONTH(DATE(ano_ref,9,1),0),'Plano de Ação'!$G240&gt;=DATE(ano_ref,9,1)),1,0))</f>
      </c>
      <c r="N241" s="41">
        <f>IF(OR(NOT('Plano de Ação'!$B240&lt;&gt;""),NOT(ISNUMBER('Plano de Ação'!$F240)),NOT(ISNUMBER('Plano de Ação'!$G240)),'Plano de Ação'!$J240="Cancelada"),0,IF(AND('Plano de Ação'!$F240&lt;=EOMONTH(DATE(ano_ref,10,1),0),'Plano de Ação'!$G240&gt;=DATE(ano_ref,10,1)),1,0))</f>
      </c>
      <c r="O241" s="41">
        <f>IF(OR(NOT('Plano de Ação'!$B240&lt;&gt;""),NOT(ISNUMBER('Plano de Ação'!$F240)),NOT(ISNUMBER('Plano de Ação'!$G240)),'Plano de Ação'!$J240="Cancelada"),0,IF(AND('Plano de Ação'!$F240&lt;=EOMONTH(DATE(ano_ref,11,1),0),'Plano de Ação'!$G240&gt;=DATE(ano_ref,11,1)),1,0))</f>
      </c>
      <c r="P241" s="41">
        <f>IF(OR(NOT('Plano de Ação'!$B240&lt;&gt;""),NOT(ISNUMBER('Plano de Ação'!$F240)),NOT(ISNUMBER('Plano de Ação'!$G240)),'Plano de Ação'!$J240="Cancelada"),0,IF(AND('Plano de Ação'!$F240&lt;=EOMONTH(DATE(ano_ref,12,1),0),'Plano de Ação'!$G240&gt;=DATE(ano_ref,12,1)),1,0))</f>
      </c>
    </row>
    <row r="242" spans="1:16" x14ac:dyDescent="0.25">
      <c r="A242" s="40">
        <f>IF('Plano de Ação'!$B241&lt;&gt;"",'Plano de Ação'!A241&amp;"","")</f>
      </c>
      <c r="B242" s="25">
        <f>IF('Plano de Ação'!$B241&lt;&gt;"",'Plano de Ação'!B241,"")</f>
      </c>
      <c r="C242" s="25">
        <f>IF('Plano de Ação'!$B241&lt;&gt;"",'Plano de Ação'!E241&amp;"","")</f>
      </c>
      <c r="D242" s="40">
        <f>IF('Plano de Ação'!$B241&lt;&gt;"",'Plano de Ação'!L241,"")</f>
      </c>
      <c r="E242" s="41">
        <f>IF(OR(NOT('Plano de Ação'!$B241&lt;&gt;""),NOT(ISNUMBER('Plano de Ação'!$F241)),NOT(ISNUMBER('Plano de Ação'!$G241)),'Plano de Ação'!$J241="Cancelada"),0,IF(AND('Plano de Ação'!$F241&lt;=EOMONTH(DATE(ano_ref,1,1),0),'Plano de Ação'!$G241&gt;=DATE(ano_ref,1,1)),1,0))</f>
      </c>
      <c r="F242" s="41">
        <f>IF(OR(NOT('Plano de Ação'!$B241&lt;&gt;""),NOT(ISNUMBER('Plano de Ação'!$F241)),NOT(ISNUMBER('Plano de Ação'!$G241)),'Plano de Ação'!$J241="Cancelada"),0,IF(AND('Plano de Ação'!$F241&lt;=EOMONTH(DATE(ano_ref,2,1),0),'Plano de Ação'!$G241&gt;=DATE(ano_ref,2,1)),1,0))</f>
      </c>
      <c r="G242" s="41">
        <f>IF(OR(NOT('Plano de Ação'!$B241&lt;&gt;""),NOT(ISNUMBER('Plano de Ação'!$F241)),NOT(ISNUMBER('Plano de Ação'!$G241)),'Plano de Ação'!$J241="Cancelada"),0,IF(AND('Plano de Ação'!$F241&lt;=EOMONTH(DATE(ano_ref,3,1),0),'Plano de Ação'!$G241&gt;=DATE(ano_ref,3,1)),1,0))</f>
      </c>
      <c r="H242" s="41">
        <f>IF(OR(NOT('Plano de Ação'!$B241&lt;&gt;""),NOT(ISNUMBER('Plano de Ação'!$F241)),NOT(ISNUMBER('Plano de Ação'!$G241)),'Plano de Ação'!$J241="Cancelada"),0,IF(AND('Plano de Ação'!$F241&lt;=EOMONTH(DATE(ano_ref,4,1),0),'Plano de Ação'!$G241&gt;=DATE(ano_ref,4,1)),1,0))</f>
      </c>
      <c r="I242" s="41">
        <f>IF(OR(NOT('Plano de Ação'!$B241&lt;&gt;""),NOT(ISNUMBER('Plano de Ação'!$F241)),NOT(ISNUMBER('Plano de Ação'!$G241)),'Plano de Ação'!$J241="Cancelada"),0,IF(AND('Plano de Ação'!$F241&lt;=EOMONTH(DATE(ano_ref,5,1),0),'Plano de Ação'!$G241&gt;=DATE(ano_ref,5,1)),1,0))</f>
      </c>
      <c r="J242" s="41">
        <f>IF(OR(NOT('Plano de Ação'!$B241&lt;&gt;""),NOT(ISNUMBER('Plano de Ação'!$F241)),NOT(ISNUMBER('Plano de Ação'!$G241)),'Plano de Ação'!$J241="Cancelada"),0,IF(AND('Plano de Ação'!$F241&lt;=EOMONTH(DATE(ano_ref,6,1),0),'Plano de Ação'!$G241&gt;=DATE(ano_ref,6,1)),1,0))</f>
      </c>
      <c r="K242" s="41">
        <f>IF(OR(NOT('Plano de Ação'!$B241&lt;&gt;""),NOT(ISNUMBER('Plano de Ação'!$F241)),NOT(ISNUMBER('Plano de Ação'!$G241)),'Plano de Ação'!$J241="Cancelada"),0,IF(AND('Plano de Ação'!$F241&lt;=EOMONTH(DATE(ano_ref,7,1),0),'Plano de Ação'!$G241&gt;=DATE(ano_ref,7,1)),1,0))</f>
      </c>
      <c r="L242" s="41">
        <f>IF(OR(NOT('Plano de Ação'!$B241&lt;&gt;""),NOT(ISNUMBER('Plano de Ação'!$F241)),NOT(ISNUMBER('Plano de Ação'!$G241)),'Plano de Ação'!$J241="Cancelada"),0,IF(AND('Plano de Ação'!$F241&lt;=EOMONTH(DATE(ano_ref,8,1),0),'Plano de Ação'!$G241&gt;=DATE(ano_ref,8,1)),1,0))</f>
      </c>
      <c r="M242" s="41">
        <f>IF(OR(NOT('Plano de Ação'!$B241&lt;&gt;""),NOT(ISNUMBER('Plano de Ação'!$F241)),NOT(ISNUMBER('Plano de Ação'!$G241)),'Plano de Ação'!$J241="Cancelada"),0,IF(AND('Plano de Ação'!$F241&lt;=EOMONTH(DATE(ano_ref,9,1),0),'Plano de Ação'!$G241&gt;=DATE(ano_ref,9,1)),1,0))</f>
      </c>
      <c r="N242" s="41">
        <f>IF(OR(NOT('Plano de Ação'!$B241&lt;&gt;""),NOT(ISNUMBER('Plano de Ação'!$F241)),NOT(ISNUMBER('Plano de Ação'!$G241)),'Plano de Ação'!$J241="Cancelada"),0,IF(AND('Plano de Ação'!$F241&lt;=EOMONTH(DATE(ano_ref,10,1),0),'Plano de Ação'!$G241&gt;=DATE(ano_ref,10,1)),1,0))</f>
      </c>
      <c r="O242" s="41">
        <f>IF(OR(NOT('Plano de Ação'!$B241&lt;&gt;""),NOT(ISNUMBER('Plano de Ação'!$F241)),NOT(ISNUMBER('Plano de Ação'!$G241)),'Plano de Ação'!$J241="Cancelada"),0,IF(AND('Plano de Ação'!$F241&lt;=EOMONTH(DATE(ano_ref,11,1),0),'Plano de Ação'!$G241&gt;=DATE(ano_ref,11,1)),1,0))</f>
      </c>
      <c r="P242" s="41">
        <f>IF(OR(NOT('Plano de Ação'!$B241&lt;&gt;""),NOT(ISNUMBER('Plano de Ação'!$F241)),NOT(ISNUMBER('Plano de Ação'!$G241)),'Plano de Ação'!$J241="Cancelada"),0,IF(AND('Plano de Ação'!$F241&lt;=EOMONTH(DATE(ano_ref,12,1),0),'Plano de Ação'!$G241&gt;=DATE(ano_ref,12,1)),1,0))</f>
      </c>
    </row>
    <row r="243" spans="1:16" x14ac:dyDescent="0.25">
      <c r="A243" s="40">
        <f>IF('Plano de Ação'!$B242&lt;&gt;"",'Plano de Ação'!A242&amp;"","")</f>
      </c>
      <c r="B243" s="25">
        <f>IF('Plano de Ação'!$B242&lt;&gt;"",'Plano de Ação'!B242,"")</f>
      </c>
      <c r="C243" s="25">
        <f>IF('Plano de Ação'!$B242&lt;&gt;"",'Plano de Ação'!E242&amp;"","")</f>
      </c>
      <c r="D243" s="40">
        <f>IF('Plano de Ação'!$B242&lt;&gt;"",'Plano de Ação'!L242,"")</f>
      </c>
      <c r="E243" s="41">
        <f>IF(OR(NOT('Plano de Ação'!$B242&lt;&gt;""),NOT(ISNUMBER('Plano de Ação'!$F242)),NOT(ISNUMBER('Plano de Ação'!$G242)),'Plano de Ação'!$J242="Cancelada"),0,IF(AND('Plano de Ação'!$F242&lt;=EOMONTH(DATE(ano_ref,1,1),0),'Plano de Ação'!$G242&gt;=DATE(ano_ref,1,1)),1,0))</f>
      </c>
      <c r="F243" s="41">
        <f>IF(OR(NOT('Plano de Ação'!$B242&lt;&gt;""),NOT(ISNUMBER('Plano de Ação'!$F242)),NOT(ISNUMBER('Plano de Ação'!$G242)),'Plano de Ação'!$J242="Cancelada"),0,IF(AND('Plano de Ação'!$F242&lt;=EOMONTH(DATE(ano_ref,2,1),0),'Plano de Ação'!$G242&gt;=DATE(ano_ref,2,1)),1,0))</f>
      </c>
      <c r="G243" s="41">
        <f>IF(OR(NOT('Plano de Ação'!$B242&lt;&gt;""),NOT(ISNUMBER('Plano de Ação'!$F242)),NOT(ISNUMBER('Plano de Ação'!$G242)),'Plano de Ação'!$J242="Cancelada"),0,IF(AND('Plano de Ação'!$F242&lt;=EOMONTH(DATE(ano_ref,3,1),0),'Plano de Ação'!$G242&gt;=DATE(ano_ref,3,1)),1,0))</f>
      </c>
      <c r="H243" s="41">
        <f>IF(OR(NOT('Plano de Ação'!$B242&lt;&gt;""),NOT(ISNUMBER('Plano de Ação'!$F242)),NOT(ISNUMBER('Plano de Ação'!$G242)),'Plano de Ação'!$J242="Cancelada"),0,IF(AND('Plano de Ação'!$F242&lt;=EOMONTH(DATE(ano_ref,4,1),0),'Plano de Ação'!$G242&gt;=DATE(ano_ref,4,1)),1,0))</f>
      </c>
      <c r="I243" s="41">
        <f>IF(OR(NOT('Plano de Ação'!$B242&lt;&gt;""),NOT(ISNUMBER('Plano de Ação'!$F242)),NOT(ISNUMBER('Plano de Ação'!$G242)),'Plano de Ação'!$J242="Cancelada"),0,IF(AND('Plano de Ação'!$F242&lt;=EOMONTH(DATE(ano_ref,5,1),0),'Plano de Ação'!$G242&gt;=DATE(ano_ref,5,1)),1,0))</f>
      </c>
      <c r="J243" s="41">
        <f>IF(OR(NOT('Plano de Ação'!$B242&lt;&gt;""),NOT(ISNUMBER('Plano de Ação'!$F242)),NOT(ISNUMBER('Plano de Ação'!$G242)),'Plano de Ação'!$J242="Cancelada"),0,IF(AND('Plano de Ação'!$F242&lt;=EOMONTH(DATE(ano_ref,6,1),0),'Plano de Ação'!$G242&gt;=DATE(ano_ref,6,1)),1,0))</f>
      </c>
      <c r="K243" s="41">
        <f>IF(OR(NOT('Plano de Ação'!$B242&lt;&gt;""),NOT(ISNUMBER('Plano de Ação'!$F242)),NOT(ISNUMBER('Plano de Ação'!$G242)),'Plano de Ação'!$J242="Cancelada"),0,IF(AND('Plano de Ação'!$F242&lt;=EOMONTH(DATE(ano_ref,7,1),0),'Plano de Ação'!$G242&gt;=DATE(ano_ref,7,1)),1,0))</f>
      </c>
      <c r="L243" s="41">
        <f>IF(OR(NOT('Plano de Ação'!$B242&lt;&gt;""),NOT(ISNUMBER('Plano de Ação'!$F242)),NOT(ISNUMBER('Plano de Ação'!$G242)),'Plano de Ação'!$J242="Cancelada"),0,IF(AND('Plano de Ação'!$F242&lt;=EOMONTH(DATE(ano_ref,8,1),0),'Plano de Ação'!$G242&gt;=DATE(ano_ref,8,1)),1,0))</f>
      </c>
      <c r="M243" s="41">
        <f>IF(OR(NOT('Plano de Ação'!$B242&lt;&gt;""),NOT(ISNUMBER('Plano de Ação'!$F242)),NOT(ISNUMBER('Plano de Ação'!$G242)),'Plano de Ação'!$J242="Cancelada"),0,IF(AND('Plano de Ação'!$F242&lt;=EOMONTH(DATE(ano_ref,9,1),0),'Plano de Ação'!$G242&gt;=DATE(ano_ref,9,1)),1,0))</f>
      </c>
      <c r="N243" s="41">
        <f>IF(OR(NOT('Plano de Ação'!$B242&lt;&gt;""),NOT(ISNUMBER('Plano de Ação'!$F242)),NOT(ISNUMBER('Plano de Ação'!$G242)),'Plano de Ação'!$J242="Cancelada"),0,IF(AND('Plano de Ação'!$F242&lt;=EOMONTH(DATE(ano_ref,10,1),0),'Plano de Ação'!$G242&gt;=DATE(ano_ref,10,1)),1,0))</f>
      </c>
      <c r="O243" s="41">
        <f>IF(OR(NOT('Plano de Ação'!$B242&lt;&gt;""),NOT(ISNUMBER('Plano de Ação'!$F242)),NOT(ISNUMBER('Plano de Ação'!$G242)),'Plano de Ação'!$J242="Cancelada"),0,IF(AND('Plano de Ação'!$F242&lt;=EOMONTH(DATE(ano_ref,11,1),0),'Plano de Ação'!$G242&gt;=DATE(ano_ref,11,1)),1,0))</f>
      </c>
      <c r="P243" s="41">
        <f>IF(OR(NOT('Plano de Ação'!$B242&lt;&gt;""),NOT(ISNUMBER('Plano de Ação'!$F242)),NOT(ISNUMBER('Plano de Ação'!$G242)),'Plano de Ação'!$J242="Cancelada"),0,IF(AND('Plano de Ação'!$F242&lt;=EOMONTH(DATE(ano_ref,12,1),0),'Plano de Ação'!$G242&gt;=DATE(ano_ref,12,1)),1,0))</f>
      </c>
    </row>
    <row r="244" spans="1:16" x14ac:dyDescent="0.25">
      <c r="A244" s="40">
        <f>IF('Plano de Ação'!$B243&lt;&gt;"",'Plano de Ação'!A243&amp;"","")</f>
      </c>
      <c r="B244" s="25">
        <f>IF('Plano de Ação'!$B243&lt;&gt;"",'Plano de Ação'!B243,"")</f>
      </c>
      <c r="C244" s="25">
        <f>IF('Plano de Ação'!$B243&lt;&gt;"",'Plano de Ação'!E243&amp;"","")</f>
      </c>
      <c r="D244" s="40">
        <f>IF('Plano de Ação'!$B243&lt;&gt;"",'Plano de Ação'!L243,"")</f>
      </c>
      <c r="E244" s="41">
        <f>IF(OR(NOT('Plano de Ação'!$B243&lt;&gt;""),NOT(ISNUMBER('Plano de Ação'!$F243)),NOT(ISNUMBER('Plano de Ação'!$G243)),'Plano de Ação'!$J243="Cancelada"),0,IF(AND('Plano de Ação'!$F243&lt;=EOMONTH(DATE(ano_ref,1,1),0),'Plano de Ação'!$G243&gt;=DATE(ano_ref,1,1)),1,0))</f>
      </c>
      <c r="F244" s="41">
        <f>IF(OR(NOT('Plano de Ação'!$B243&lt;&gt;""),NOT(ISNUMBER('Plano de Ação'!$F243)),NOT(ISNUMBER('Plano de Ação'!$G243)),'Plano de Ação'!$J243="Cancelada"),0,IF(AND('Plano de Ação'!$F243&lt;=EOMONTH(DATE(ano_ref,2,1),0),'Plano de Ação'!$G243&gt;=DATE(ano_ref,2,1)),1,0))</f>
      </c>
      <c r="G244" s="41">
        <f>IF(OR(NOT('Plano de Ação'!$B243&lt;&gt;""),NOT(ISNUMBER('Plano de Ação'!$F243)),NOT(ISNUMBER('Plano de Ação'!$G243)),'Plano de Ação'!$J243="Cancelada"),0,IF(AND('Plano de Ação'!$F243&lt;=EOMONTH(DATE(ano_ref,3,1),0),'Plano de Ação'!$G243&gt;=DATE(ano_ref,3,1)),1,0))</f>
      </c>
      <c r="H244" s="41">
        <f>IF(OR(NOT('Plano de Ação'!$B243&lt;&gt;""),NOT(ISNUMBER('Plano de Ação'!$F243)),NOT(ISNUMBER('Plano de Ação'!$G243)),'Plano de Ação'!$J243="Cancelada"),0,IF(AND('Plano de Ação'!$F243&lt;=EOMONTH(DATE(ano_ref,4,1),0),'Plano de Ação'!$G243&gt;=DATE(ano_ref,4,1)),1,0))</f>
      </c>
      <c r="I244" s="41">
        <f>IF(OR(NOT('Plano de Ação'!$B243&lt;&gt;""),NOT(ISNUMBER('Plano de Ação'!$F243)),NOT(ISNUMBER('Plano de Ação'!$G243)),'Plano de Ação'!$J243="Cancelada"),0,IF(AND('Plano de Ação'!$F243&lt;=EOMONTH(DATE(ano_ref,5,1),0),'Plano de Ação'!$G243&gt;=DATE(ano_ref,5,1)),1,0))</f>
      </c>
      <c r="J244" s="41">
        <f>IF(OR(NOT('Plano de Ação'!$B243&lt;&gt;""),NOT(ISNUMBER('Plano de Ação'!$F243)),NOT(ISNUMBER('Plano de Ação'!$G243)),'Plano de Ação'!$J243="Cancelada"),0,IF(AND('Plano de Ação'!$F243&lt;=EOMONTH(DATE(ano_ref,6,1),0),'Plano de Ação'!$G243&gt;=DATE(ano_ref,6,1)),1,0))</f>
      </c>
      <c r="K244" s="41">
        <f>IF(OR(NOT('Plano de Ação'!$B243&lt;&gt;""),NOT(ISNUMBER('Plano de Ação'!$F243)),NOT(ISNUMBER('Plano de Ação'!$G243)),'Plano de Ação'!$J243="Cancelada"),0,IF(AND('Plano de Ação'!$F243&lt;=EOMONTH(DATE(ano_ref,7,1),0),'Plano de Ação'!$G243&gt;=DATE(ano_ref,7,1)),1,0))</f>
      </c>
      <c r="L244" s="41">
        <f>IF(OR(NOT('Plano de Ação'!$B243&lt;&gt;""),NOT(ISNUMBER('Plano de Ação'!$F243)),NOT(ISNUMBER('Plano de Ação'!$G243)),'Plano de Ação'!$J243="Cancelada"),0,IF(AND('Plano de Ação'!$F243&lt;=EOMONTH(DATE(ano_ref,8,1),0),'Plano de Ação'!$G243&gt;=DATE(ano_ref,8,1)),1,0))</f>
      </c>
      <c r="M244" s="41">
        <f>IF(OR(NOT('Plano de Ação'!$B243&lt;&gt;""),NOT(ISNUMBER('Plano de Ação'!$F243)),NOT(ISNUMBER('Plano de Ação'!$G243)),'Plano de Ação'!$J243="Cancelada"),0,IF(AND('Plano de Ação'!$F243&lt;=EOMONTH(DATE(ano_ref,9,1),0),'Plano de Ação'!$G243&gt;=DATE(ano_ref,9,1)),1,0))</f>
      </c>
      <c r="N244" s="41">
        <f>IF(OR(NOT('Plano de Ação'!$B243&lt;&gt;""),NOT(ISNUMBER('Plano de Ação'!$F243)),NOT(ISNUMBER('Plano de Ação'!$G243)),'Plano de Ação'!$J243="Cancelada"),0,IF(AND('Plano de Ação'!$F243&lt;=EOMONTH(DATE(ano_ref,10,1),0),'Plano de Ação'!$G243&gt;=DATE(ano_ref,10,1)),1,0))</f>
      </c>
      <c r="O244" s="41">
        <f>IF(OR(NOT('Plano de Ação'!$B243&lt;&gt;""),NOT(ISNUMBER('Plano de Ação'!$F243)),NOT(ISNUMBER('Plano de Ação'!$G243)),'Plano de Ação'!$J243="Cancelada"),0,IF(AND('Plano de Ação'!$F243&lt;=EOMONTH(DATE(ano_ref,11,1),0),'Plano de Ação'!$G243&gt;=DATE(ano_ref,11,1)),1,0))</f>
      </c>
      <c r="P244" s="41">
        <f>IF(OR(NOT('Plano de Ação'!$B243&lt;&gt;""),NOT(ISNUMBER('Plano de Ação'!$F243)),NOT(ISNUMBER('Plano de Ação'!$G243)),'Plano de Ação'!$J243="Cancelada"),0,IF(AND('Plano de Ação'!$F243&lt;=EOMONTH(DATE(ano_ref,12,1),0),'Plano de Ação'!$G243&gt;=DATE(ano_ref,12,1)),1,0))</f>
      </c>
    </row>
    <row r="245" spans="1:16" x14ac:dyDescent="0.25">
      <c r="A245" s="40">
        <f>IF('Plano de Ação'!$B244&lt;&gt;"",'Plano de Ação'!A244&amp;"","")</f>
      </c>
      <c r="B245" s="25">
        <f>IF('Plano de Ação'!$B244&lt;&gt;"",'Plano de Ação'!B244,"")</f>
      </c>
      <c r="C245" s="25">
        <f>IF('Plano de Ação'!$B244&lt;&gt;"",'Plano de Ação'!E244&amp;"","")</f>
      </c>
      <c r="D245" s="40">
        <f>IF('Plano de Ação'!$B244&lt;&gt;"",'Plano de Ação'!L244,"")</f>
      </c>
      <c r="E245" s="41">
        <f>IF(OR(NOT('Plano de Ação'!$B244&lt;&gt;""),NOT(ISNUMBER('Plano de Ação'!$F244)),NOT(ISNUMBER('Plano de Ação'!$G244)),'Plano de Ação'!$J244="Cancelada"),0,IF(AND('Plano de Ação'!$F244&lt;=EOMONTH(DATE(ano_ref,1,1),0),'Plano de Ação'!$G244&gt;=DATE(ano_ref,1,1)),1,0))</f>
      </c>
      <c r="F245" s="41">
        <f>IF(OR(NOT('Plano de Ação'!$B244&lt;&gt;""),NOT(ISNUMBER('Plano de Ação'!$F244)),NOT(ISNUMBER('Plano de Ação'!$G244)),'Plano de Ação'!$J244="Cancelada"),0,IF(AND('Plano de Ação'!$F244&lt;=EOMONTH(DATE(ano_ref,2,1),0),'Plano de Ação'!$G244&gt;=DATE(ano_ref,2,1)),1,0))</f>
      </c>
      <c r="G245" s="41">
        <f>IF(OR(NOT('Plano de Ação'!$B244&lt;&gt;""),NOT(ISNUMBER('Plano de Ação'!$F244)),NOT(ISNUMBER('Plano de Ação'!$G244)),'Plano de Ação'!$J244="Cancelada"),0,IF(AND('Plano de Ação'!$F244&lt;=EOMONTH(DATE(ano_ref,3,1),0),'Plano de Ação'!$G244&gt;=DATE(ano_ref,3,1)),1,0))</f>
      </c>
      <c r="H245" s="41">
        <f>IF(OR(NOT('Plano de Ação'!$B244&lt;&gt;""),NOT(ISNUMBER('Plano de Ação'!$F244)),NOT(ISNUMBER('Plano de Ação'!$G244)),'Plano de Ação'!$J244="Cancelada"),0,IF(AND('Plano de Ação'!$F244&lt;=EOMONTH(DATE(ano_ref,4,1),0),'Plano de Ação'!$G244&gt;=DATE(ano_ref,4,1)),1,0))</f>
      </c>
      <c r="I245" s="41">
        <f>IF(OR(NOT('Plano de Ação'!$B244&lt;&gt;""),NOT(ISNUMBER('Plano de Ação'!$F244)),NOT(ISNUMBER('Plano de Ação'!$G244)),'Plano de Ação'!$J244="Cancelada"),0,IF(AND('Plano de Ação'!$F244&lt;=EOMONTH(DATE(ano_ref,5,1),0),'Plano de Ação'!$G244&gt;=DATE(ano_ref,5,1)),1,0))</f>
      </c>
      <c r="J245" s="41">
        <f>IF(OR(NOT('Plano de Ação'!$B244&lt;&gt;""),NOT(ISNUMBER('Plano de Ação'!$F244)),NOT(ISNUMBER('Plano de Ação'!$G244)),'Plano de Ação'!$J244="Cancelada"),0,IF(AND('Plano de Ação'!$F244&lt;=EOMONTH(DATE(ano_ref,6,1),0),'Plano de Ação'!$G244&gt;=DATE(ano_ref,6,1)),1,0))</f>
      </c>
      <c r="K245" s="41">
        <f>IF(OR(NOT('Plano de Ação'!$B244&lt;&gt;""),NOT(ISNUMBER('Plano de Ação'!$F244)),NOT(ISNUMBER('Plano de Ação'!$G244)),'Plano de Ação'!$J244="Cancelada"),0,IF(AND('Plano de Ação'!$F244&lt;=EOMONTH(DATE(ano_ref,7,1),0),'Plano de Ação'!$G244&gt;=DATE(ano_ref,7,1)),1,0))</f>
      </c>
      <c r="L245" s="41">
        <f>IF(OR(NOT('Plano de Ação'!$B244&lt;&gt;""),NOT(ISNUMBER('Plano de Ação'!$F244)),NOT(ISNUMBER('Plano de Ação'!$G244)),'Plano de Ação'!$J244="Cancelada"),0,IF(AND('Plano de Ação'!$F244&lt;=EOMONTH(DATE(ano_ref,8,1),0),'Plano de Ação'!$G244&gt;=DATE(ano_ref,8,1)),1,0))</f>
      </c>
      <c r="M245" s="41">
        <f>IF(OR(NOT('Plano de Ação'!$B244&lt;&gt;""),NOT(ISNUMBER('Plano de Ação'!$F244)),NOT(ISNUMBER('Plano de Ação'!$G244)),'Plano de Ação'!$J244="Cancelada"),0,IF(AND('Plano de Ação'!$F244&lt;=EOMONTH(DATE(ano_ref,9,1),0),'Plano de Ação'!$G244&gt;=DATE(ano_ref,9,1)),1,0))</f>
      </c>
      <c r="N245" s="41">
        <f>IF(OR(NOT('Plano de Ação'!$B244&lt;&gt;""),NOT(ISNUMBER('Plano de Ação'!$F244)),NOT(ISNUMBER('Plano de Ação'!$G244)),'Plano de Ação'!$J244="Cancelada"),0,IF(AND('Plano de Ação'!$F244&lt;=EOMONTH(DATE(ano_ref,10,1),0),'Plano de Ação'!$G244&gt;=DATE(ano_ref,10,1)),1,0))</f>
      </c>
      <c r="O245" s="41">
        <f>IF(OR(NOT('Plano de Ação'!$B244&lt;&gt;""),NOT(ISNUMBER('Plano de Ação'!$F244)),NOT(ISNUMBER('Plano de Ação'!$G244)),'Plano de Ação'!$J244="Cancelada"),0,IF(AND('Plano de Ação'!$F244&lt;=EOMONTH(DATE(ano_ref,11,1),0),'Plano de Ação'!$G244&gt;=DATE(ano_ref,11,1)),1,0))</f>
      </c>
      <c r="P245" s="41">
        <f>IF(OR(NOT('Plano de Ação'!$B244&lt;&gt;""),NOT(ISNUMBER('Plano de Ação'!$F244)),NOT(ISNUMBER('Plano de Ação'!$G244)),'Plano de Ação'!$J244="Cancelada"),0,IF(AND('Plano de Ação'!$F244&lt;=EOMONTH(DATE(ano_ref,12,1),0),'Plano de Ação'!$G244&gt;=DATE(ano_ref,12,1)),1,0))</f>
      </c>
    </row>
    <row r="246" spans="1:16" x14ac:dyDescent="0.25">
      <c r="A246" s="40">
        <f>IF('Plano de Ação'!$B245&lt;&gt;"",'Plano de Ação'!A245&amp;"","")</f>
      </c>
      <c r="B246" s="25">
        <f>IF('Plano de Ação'!$B245&lt;&gt;"",'Plano de Ação'!B245,"")</f>
      </c>
      <c r="C246" s="25">
        <f>IF('Plano de Ação'!$B245&lt;&gt;"",'Plano de Ação'!E245&amp;"","")</f>
      </c>
      <c r="D246" s="40">
        <f>IF('Plano de Ação'!$B245&lt;&gt;"",'Plano de Ação'!L245,"")</f>
      </c>
      <c r="E246" s="41">
        <f>IF(OR(NOT('Plano de Ação'!$B245&lt;&gt;""),NOT(ISNUMBER('Plano de Ação'!$F245)),NOT(ISNUMBER('Plano de Ação'!$G245)),'Plano de Ação'!$J245="Cancelada"),0,IF(AND('Plano de Ação'!$F245&lt;=EOMONTH(DATE(ano_ref,1,1),0),'Plano de Ação'!$G245&gt;=DATE(ano_ref,1,1)),1,0))</f>
      </c>
      <c r="F246" s="41">
        <f>IF(OR(NOT('Plano de Ação'!$B245&lt;&gt;""),NOT(ISNUMBER('Plano de Ação'!$F245)),NOT(ISNUMBER('Plano de Ação'!$G245)),'Plano de Ação'!$J245="Cancelada"),0,IF(AND('Plano de Ação'!$F245&lt;=EOMONTH(DATE(ano_ref,2,1),0),'Plano de Ação'!$G245&gt;=DATE(ano_ref,2,1)),1,0))</f>
      </c>
      <c r="G246" s="41">
        <f>IF(OR(NOT('Plano de Ação'!$B245&lt;&gt;""),NOT(ISNUMBER('Plano de Ação'!$F245)),NOT(ISNUMBER('Plano de Ação'!$G245)),'Plano de Ação'!$J245="Cancelada"),0,IF(AND('Plano de Ação'!$F245&lt;=EOMONTH(DATE(ano_ref,3,1),0),'Plano de Ação'!$G245&gt;=DATE(ano_ref,3,1)),1,0))</f>
      </c>
      <c r="H246" s="41">
        <f>IF(OR(NOT('Plano de Ação'!$B245&lt;&gt;""),NOT(ISNUMBER('Plano de Ação'!$F245)),NOT(ISNUMBER('Plano de Ação'!$G245)),'Plano de Ação'!$J245="Cancelada"),0,IF(AND('Plano de Ação'!$F245&lt;=EOMONTH(DATE(ano_ref,4,1),0),'Plano de Ação'!$G245&gt;=DATE(ano_ref,4,1)),1,0))</f>
      </c>
      <c r="I246" s="41">
        <f>IF(OR(NOT('Plano de Ação'!$B245&lt;&gt;""),NOT(ISNUMBER('Plano de Ação'!$F245)),NOT(ISNUMBER('Plano de Ação'!$G245)),'Plano de Ação'!$J245="Cancelada"),0,IF(AND('Plano de Ação'!$F245&lt;=EOMONTH(DATE(ano_ref,5,1),0),'Plano de Ação'!$G245&gt;=DATE(ano_ref,5,1)),1,0))</f>
      </c>
      <c r="J246" s="41">
        <f>IF(OR(NOT('Plano de Ação'!$B245&lt;&gt;""),NOT(ISNUMBER('Plano de Ação'!$F245)),NOT(ISNUMBER('Plano de Ação'!$G245)),'Plano de Ação'!$J245="Cancelada"),0,IF(AND('Plano de Ação'!$F245&lt;=EOMONTH(DATE(ano_ref,6,1),0),'Plano de Ação'!$G245&gt;=DATE(ano_ref,6,1)),1,0))</f>
      </c>
      <c r="K246" s="41">
        <f>IF(OR(NOT('Plano de Ação'!$B245&lt;&gt;""),NOT(ISNUMBER('Plano de Ação'!$F245)),NOT(ISNUMBER('Plano de Ação'!$G245)),'Plano de Ação'!$J245="Cancelada"),0,IF(AND('Plano de Ação'!$F245&lt;=EOMONTH(DATE(ano_ref,7,1),0),'Plano de Ação'!$G245&gt;=DATE(ano_ref,7,1)),1,0))</f>
      </c>
      <c r="L246" s="41">
        <f>IF(OR(NOT('Plano de Ação'!$B245&lt;&gt;""),NOT(ISNUMBER('Plano de Ação'!$F245)),NOT(ISNUMBER('Plano de Ação'!$G245)),'Plano de Ação'!$J245="Cancelada"),0,IF(AND('Plano de Ação'!$F245&lt;=EOMONTH(DATE(ano_ref,8,1),0),'Plano de Ação'!$G245&gt;=DATE(ano_ref,8,1)),1,0))</f>
      </c>
      <c r="M246" s="41">
        <f>IF(OR(NOT('Plano de Ação'!$B245&lt;&gt;""),NOT(ISNUMBER('Plano de Ação'!$F245)),NOT(ISNUMBER('Plano de Ação'!$G245)),'Plano de Ação'!$J245="Cancelada"),0,IF(AND('Plano de Ação'!$F245&lt;=EOMONTH(DATE(ano_ref,9,1),0),'Plano de Ação'!$G245&gt;=DATE(ano_ref,9,1)),1,0))</f>
      </c>
      <c r="N246" s="41">
        <f>IF(OR(NOT('Plano de Ação'!$B245&lt;&gt;""),NOT(ISNUMBER('Plano de Ação'!$F245)),NOT(ISNUMBER('Plano de Ação'!$G245)),'Plano de Ação'!$J245="Cancelada"),0,IF(AND('Plano de Ação'!$F245&lt;=EOMONTH(DATE(ano_ref,10,1),0),'Plano de Ação'!$G245&gt;=DATE(ano_ref,10,1)),1,0))</f>
      </c>
      <c r="O246" s="41">
        <f>IF(OR(NOT('Plano de Ação'!$B245&lt;&gt;""),NOT(ISNUMBER('Plano de Ação'!$F245)),NOT(ISNUMBER('Plano de Ação'!$G245)),'Plano de Ação'!$J245="Cancelada"),0,IF(AND('Plano de Ação'!$F245&lt;=EOMONTH(DATE(ano_ref,11,1),0),'Plano de Ação'!$G245&gt;=DATE(ano_ref,11,1)),1,0))</f>
      </c>
      <c r="P246" s="41">
        <f>IF(OR(NOT('Plano de Ação'!$B245&lt;&gt;""),NOT(ISNUMBER('Plano de Ação'!$F245)),NOT(ISNUMBER('Plano de Ação'!$G245)),'Plano de Ação'!$J245="Cancelada"),0,IF(AND('Plano de Ação'!$F245&lt;=EOMONTH(DATE(ano_ref,12,1),0),'Plano de Ação'!$G245&gt;=DATE(ano_ref,12,1)),1,0))</f>
      </c>
    </row>
    <row r="247" spans="1:16" x14ac:dyDescent="0.25">
      <c r="A247" s="40">
        <f>IF('Plano de Ação'!$B246&lt;&gt;"",'Plano de Ação'!A246&amp;"","")</f>
      </c>
      <c r="B247" s="25">
        <f>IF('Plano de Ação'!$B246&lt;&gt;"",'Plano de Ação'!B246,"")</f>
      </c>
      <c r="C247" s="25">
        <f>IF('Plano de Ação'!$B246&lt;&gt;"",'Plano de Ação'!E246&amp;"","")</f>
      </c>
      <c r="D247" s="40">
        <f>IF('Plano de Ação'!$B246&lt;&gt;"",'Plano de Ação'!L246,"")</f>
      </c>
      <c r="E247" s="41">
        <f>IF(OR(NOT('Plano de Ação'!$B246&lt;&gt;""),NOT(ISNUMBER('Plano de Ação'!$F246)),NOT(ISNUMBER('Plano de Ação'!$G246)),'Plano de Ação'!$J246="Cancelada"),0,IF(AND('Plano de Ação'!$F246&lt;=EOMONTH(DATE(ano_ref,1,1),0),'Plano de Ação'!$G246&gt;=DATE(ano_ref,1,1)),1,0))</f>
      </c>
      <c r="F247" s="41">
        <f>IF(OR(NOT('Plano de Ação'!$B246&lt;&gt;""),NOT(ISNUMBER('Plano de Ação'!$F246)),NOT(ISNUMBER('Plano de Ação'!$G246)),'Plano de Ação'!$J246="Cancelada"),0,IF(AND('Plano de Ação'!$F246&lt;=EOMONTH(DATE(ano_ref,2,1),0),'Plano de Ação'!$G246&gt;=DATE(ano_ref,2,1)),1,0))</f>
      </c>
      <c r="G247" s="41">
        <f>IF(OR(NOT('Plano de Ação'!$B246&lt;&gt;""),NOT(ISNUMBER('Plano de Ação'!$F246)),NOT(ISNUMBER('Plano de Ação'!$G246)),'Plano de Ação'!$J246="Cancelada"),0,IF(AND('Plano de Ação'!$F246&lt;=EOMONTH(DATE(ano_ref,3,1),0),'Plano de Ação'!$G246&gt;=DATE(ano_ref,3,1)),1,0))</f>
      </c>
      <c r="H247" s="41">
        <f>IF(OR(NOT('Plano de Ação'!$B246&lt;&gt;""),NOT(ISNUMBER('Plano de Ação'!$F246)),NOT(ISNUMBER('Plano de Ação'!$G246)),'Plano de Ação'!$J246="Cancelada"),0,IF(AND('Plano de Ação'!$F246&lt;=EOMONTH(DATE(ano_ref,4,1),0),'Plano de Ação'!$G246&gt;=DATE(ano_ref,4,1)),1,0))</f>
      </c>
      <c r="I247" s="41">
        <f>IF(OR(NOT('Plano de Ação'!$B246&lt;&gt;""),NOT(ISNUMBER('Plano de Ação'!$F246)),NOT(ISNUMBER('Plano de Ação'!$G246)),'Plano de Ação'!$J246="Cancelada"),0,IF(AND('Plano de Ação'!$F246&lt;=EOMONTH(DATE(ano_ref,5,1),0),'Plano de Ação'!$G246&gt;=DATE(ano_ref,5,1)),1,0))</f>
      </c>
      <c r="J247" s="41">
        <f>IF(OR(NOT('Plano de Ação'!$B246&lt;&gt;""),NOT(ISNUMBER('Plano de Ação'!$F246)),NOT(ISNUMBER('Plano de Ação'!$G246)),'Plano de Ação'!$J246="Cancelada"),0,IF(AND('Plano de Ação'!$F246&lt;=EOMONTH(DATE(ano_ref,6,1),0),'Plano de Ação'!$G246&gt;=DATE(ano_ref,6,1)),1,0))</f>
      </c>
      <c r="K247" s="41">
        <f>IF(OR(NOT('Plano de Ação'!$B246&lt;&gt;""),NOT(ISNUMBER('Plano de Ação'!$F246)),NOT(ISNUMBER('Plano de Ação'!$G246)),'Plano de Ação'!$J246="Cancelada"),0,IF(AND('Plano de Ação'!$F246&lt;=EOMONTH(DATE(ano_ref,7,1),0),'Plano de Ação'!$G246&gt;=DATE(ano_ref,7,1)),1,0))</f>
      </c>
      <c r="L247" s="41">
        <f>IF(OR(NOT('Plano de Ação'!$B246&lt;&gt;""),NOT(ISNUMBER('Plano de Ação'!$F246)),NOT(ISNUMBER('Plano de Ação'!$G246)),'Plano de Ação'!$J246="Cancelada"),0,IF(AND('Plano de Ação'!$F246&lt;=EOMONTH(DATE(ano_ref,8,1),0),'Plano de Ação'!$G246&gt;=DATE(ano_ref,8,1)),1,0))</f>
      </c>
      <c r="M247" s="41">
        <f>IF(OR(NOT('Plano de Ação'!$B246&lt;&gt;""),NOT(ISNUMBER('Plano de Ação'!$F246)),NOT(ISNUMBER('Plano de Ação'!$G246)),'Plano de Ação'!$J246="Cancelada"),0,IF(AND('Plano de Ação'!$F246&lt;=EOMONTH(DATE(ano_ref,9,1),0),'Plano de Ação'!$G246&gt;=DATE(ano_ref,9,1)),1,0))</f>
      </c>
      <c r="N247" s="41">
        <f>IF(OR(NOT('Plano de Ação'!$B246&lt;&gt;""),NOT(ISNUMBER('Plano de Ação'!$F246)),NOT(ISNUMBER('Plano de Ação'!$G246)),'Plano de Ação'!$J246="Cancelada"),0,IF(AND('Plano de Ação'!$F246&lt;=EOMONTH(DATE(ano_ref,10,1),0),'Plano de Ação'!$G246&gt;=DATE(ano_ref,10,1)),1,0))</f>
      </c>
      <c r="O247" s="41">
        <f>IF(OR(NOT('Plano de Ação'!$B246&lt;&gt;""),NOT(ISNUMBER('Plano de Ação'!$F246)),NOT(ISNUMBER('Plano de Ação'!$G246)),'Plano de Ação'!$J246="Cancelada"),0,IF(AND('Plano de Ação'!$F246&lt;=EOMONTH(DATE(ano_ref,11,1),0),'Plano de Ação'!$G246&gt;=DATE(ano_ref,11,1)),1,0))</f>
      </c>
      <c r="P247" s="41">
        <f>IF(OR(NOT('Plano de Ação'!$B246&lt;&gt;""),NOT(ISNUMBER('Plano de Ação'!$F246)),NOT(ISNUMBER('Plano de Ação'!$G246)),'Plano de Ação'!$J246="Cancelada"),0,IF(AND('Plano de Ação'!$F246&lt;=EOMONTH(DATE(ano_ref,12,1),0),'Plano de Ação'!$G246&gt;=DATE(ano_ref,12,1)),1,0))</f>
      </c>
    </row>
    <row r="248" spans="1:16" x14ac:dyDescent="0.25">
      <c r="A248" s="40">
        <f>IF('Plano de Ação'!$B247&lt;&gt;"",'Plano de Ação'!A247&amp;"","")</f>
      </c>
      <c r="B248" s="25">
        <f>IF('Plano de Ação'!$B247&lt;&gt;"",'Plano de Ação'!B247,"")</f>
      </c>
      <c r="C248" s="25">
        <f>IF('Plano de Ação'!$B247&lt;&gt;"",'Plano de Ação'!E247&amp;"","")</f>
      </c>
      <c r="D248" s="40">
        <f>IF('Plano de Ação'!$B247&lt;&gt;"",'Plano de Ação'!L247,"")</f>
      </c>
      <c r="E248" s="41">
        <f>IF(OR(NOT('Plano de Ação'!$B247&lt;&gt;""),NOT(ISNUMBER('Plano de Ação'!$F247)),NOT(ISNUMBER('Plano de Ação'!$G247)),'Plano de Ação'!$J247="Cancelada"),0,IF(AND('Plano de Ação'!$F247&lt;=EOMONTH(DATE(ano_ref,1,1),0),'Plano de Ação'!$G247&gt;=DATE(ano_ref,1,1)),1,0))</f>
      </c>
      <c r="F248" s="41">
        <f>IF(OR(NOT('Plano de Ação'!$B247&lt;&gt;""),NOT(ISNUMBER('Plano de Ação'!$F247)),NOT(ISNUMBER('Plano de Ação'!$G247)),'Plano de Ação'!$J247="Cancelada"),0,IF(AND('Plano de Ação'!$F247&lt;=EOMONTH(DATE(ano_ref,2,1),0),'Plano de Ação'!$G247&gt;=DATE(ano_ref,2,1)),1,0))</f>
      </c>
      <c r="G248" s="41">
        <f>IF(OR(NOT('Plano de Ação'!$B247&lt;&gt;""),NOT(ISNUMBER('Plano de Ação'!$F247)),NOT(ISNUMBER('Plano de Ação'!$G247)),'Plano de Ação'!$J247="Cancelada"),0,IF(AND('Plano de Ação'!$F247&lt;=EOMONTH(DATE(ano_ref,3,1),0),'Plano de Ação'!$G247&gt;=DATE(ano_ref,3,1)),1,0))</f>
      </c>
      <c r="H248" s="41">
        <f>IF(OR(NOT('Plano de Ação'!$B247&lt;&gt;""),NOT(ISNUMBER('Plano de Ação'!$F247)),NOT(ISNUMBER('Plano de Ação'!$G247)),'Plano de Ação'!$J247="Cancelada"),0,IF(AND('Plano de Ação'!$F247&lt;=EOMONTH(DATE(ano_ref,4,1),0),'Plano de Ação'!$G247&gt;=DATE(ano_ref,4,1)),1,0))</f>
      </c>
      <c r="I248" s="41">
        <f>IF(OR(NOT('Plano de Ação'!$B247&lt;&gt;""),NOT(ISNUMBER('Plano de Ação'!$F247)),NOT(ISNUMBER('Plano de Ação'!$G247)),'Plano de Ação'!$J247="Cancelada"),0,IF(AND('Plano de Ação'!$F247&lt;=EOMONTH(DATE(ano_ref,5,1),0),'Plano de Ação'!$G247&gt;=DATE(ano_ref,5,1)),1,0))</f>
      </c>
      <c r="J248" s="41">
        <f>IF(OR(NOT('Plano de Ação'!$B247&lt;&gt;""),NOT(ISNUMBER('Plano de Ação'!$F247)),NOT(ISNUMBER('Plano de Ação'!$G247)),'Plano de Ação'!$J247="Cancelada"),0,IF(AND('Plano de Ação'!$F247&lt;=EOMONTH(DATE(ano_ref,6,1),0),'Plano de Ação'!$G247&gt;=DATE(ano_ref,6,1)),1,0))</f>
      </c>
      <c r="K248" s="41">
        <f>IF(OR(NOT('Plano de Ação'!$B247&lt;&gt;""),NOT(ISNUMBER('Plano de Ação'!$F247)),NOT(ISNUMBER('Plano de Ação'!$G247)),'Plano de Ação'!$J247="Cancelada"),0,IF(AND('Plano de Ação'!$F247&lt;=EOMONTH(DATE(ano_ref,7,1),0),'Plano de Ação'!$G247&gt;=DATE(ano_ref,7,1)),1,0))</f>
      </c>
      <c r="L248" s="41">
        <f>IF(OR(NOT('Plano de Ação'!$B247&lt;&gt;""),NOT(ISNUMBER('Plano de Ação'!$F247)),NOT(ISNUMBER('Plano de Ação'!$G247)),'Plano de Ação'!$J247="Cancelada"),0,IF(AND('Plano de Ação'!$F247&lt;=EOMONTH(DATE(ano_ref,8,1),0),'Plano de Ação'!$G247&gt;=DATE(ano_ref,8,1)),1,0))</f>
      </c>
      <c r="M248" s="41">
        <f>IF(OR(NOT('Plano de Ação'!$B247&lt;&gt;""),NOT(ISNUMBER('Plano de Ação'!$F247)),NOT(ISNUMBER('Plano de Ação'!$G247)),'Plano de Ação'!$J247="Cancelada"),0,IF(AND('Plano de Ação'!$F247&lt;=EOMONTH(DATE(ano_ref,9,1),0),'Plano de Ação'!$G247&gt;=DATE(ano_ref,9,1)),1,0))</f>
      </c>
      <c r="N248" s="41">
        <f>IF(OR(NOT('Plano de Ação'!$B247&lt;&gt;""),NOT(ISNUMBER('Plano de Ação'!$F247)),NOT(ISNUMBER('Plano de Ação'!$G247)),'Plano de Ação'!$J247="Cancelada"),0,IF(AND('Plano de Ação'!$F247&lt;=EOMONTH(DATE(ano_ref,10,1),0),'Plano de Ação'!$G247&gt;=DATE(ano_ref,10,1)),1,0))</f>
      </c>
      <c r="O248" s="41">
        <f>IF(OR(NOT('Plano de Ação'!$B247&lt;&gt;""),NOT(ISNUMBER('Plano de Ação'!$F247)),NOT(ISNUMBER('Plano de Ação'!$G247)),'Plano de Ação'!$J247="Cancelada"),0,IF(AND('Plano de Ação'!$F247&lt;=EOMONTH(DATE(ano_ref,11,1),0),'Plano de Ação'!$G247&gt;=DATE(ano_ref,11,1)),1,0))</f>
      </c>
      <c r="P248" s="41">
        <f>IF(OR(NOT('Plano de Ação'!$B247&lt;&gt;""),NOT(ISNUMBER('Plano de Ação'!$F247)),NOT(ISNUMBER('Plano de Ação'!$G247)),'Plano de Ação'!$J247="Cancelada"),0,IF(AND('Plano de Ação'!$F247&lt;=EOMONTH(DATE(ano_ref,12,1),0),'Plano de Ação'!$G247&gt;=DATE(ano_ref,12,1)),1,0))</f>
      </c>
    </row>
    <row r="249" spans="1:16" x14ac:dyDescent="0.25">
      <c r="A249" s="40">
        <f>IF('Plano de Ação'!$B248&lt;&gt;"",'Plano de Ação'!A248&amp;"","")</f>
      </c>
      <c r="B249" s="25">
        <f>IF('Plano de Ação'!$B248&lt;&gt;"",'Plano de Ação'!B248,"")</f>
      </c>
      <c r="C249" s="25">
        <f>IF('Plano de Ação'!$B248&lt;&gt;"",'Plano de Ação'!E248&amp;"","")</f>
      </c>
      <c r="D249" s="40">
        <f>IF('Plano de Ação'!$B248&lt;&gt;"",'Plano de Ação'!L248,"")</f>
      </c>
      <c r="E249" s="41">
        <f>IF(OR(NOT('Plano de Ação'!$B248&lt;&gt;""),NOT(ISNUMBER('Plano de Ação'!$F248)),NOT(ISNUMBER('Plano de Ação'!$G248)),'Plano de Ação'!$J248="Cancelada"),0,IF(AND('Plano de Ação'!$F248&lt;=EOMONTH(DATE(ano_ref,1,1),0),'Plano de Ação'!$G248&gt;=DATE(ano_ref,1,1)),1,0))</f>
      </c>
      <c r="F249" s="41">
        <f>IF(OR(NOT('Plano de Ação'!$B248&lt;&gt;""),NOT(ISNUMBER('Plano de Ação'!$F248)),NOT(ISNUMBER('Plano de Ação'!$G248)),'Plano de Ação'!$J248="Cancelada"),0,IF(AND('Plano de Ação'!$F248&lt;=EOMONTH(DATE(ano_ref,2,1),0),'Plano de Ação'!$G248&gt;=DATE(ano_ref,2,1)),1,0))</f>
      </c>
      <c r="G249" s="41">
        <f>IF(OR(NOT('Plano de Ação'!$B248&lt;&gt;""),NOT(ISNUMBER('Plano de Ação'!$F248)),NOT(ISNUMBER('Plano de Ação'!$G248)),'Plano de Ação'!$J248="Cancelada"),0,IF(AND('Plano de Ação'!$F248&lt;=EOMONTH(DATE(ano_ref,3,1),0),'Plano de Ação'!$G248&gt;=DATE(ano_ref,3,1)),1,0))</f>
      </c>
      <c r="H249" s="41">
        <f>IF(OR(NOT('Plano de Ação'!$B248&lt;&gt;""),NOT(ISNUMBER('Plano de Ação'!$F248)),NOT(ISNUMBER('Plano de Ação'!$G248)),'Plano de Ação'!$J248="Cancelada"),0,IF(AND('Plano de Ação'!$F248&lt;=EOMONTH(DATE(ano_ref,4,1),0),'Plano de Ação'!$G248&gt;=DATE(ano_ref,4,1)),1,0))</f>
      </c>
      <c r="I249" s="41">
        <f>IF(OR(NOT('Plano de Ação'!$B248&lt;&gt;""),NOT(ISNUMBER('Plano de Ação'!$F248)),NOT(ISNUMBER('Plano de Ação'!$G248)),'Plano de Ação'!$J248="Cancelada"),0,IF(AND('Plano de Ação'!$F248&lt;=EOMONTH(DATE(ano_ref,5,1),0),'Plano de Ação'!$G248&gt;=DATE(ano_ref,5,1)),1,0))</f>
      </c>
      <c r="J249" s="41">
        <f>IF(OR(NOT('Plano de Ação'!$B248&lt;&gt;""),NOT(ISNUMBER('Plano de Ação'!$F248)),NOT(ISNUMBER('Plano de Ação'!$G248)),'Plano de Ação'!$J248="Cancelada"),0,IF(AND('Plano de Ação'!$F248&lt;=EOMONTH(DATE(ano_ref,6,1),0),'Plano de Ação'!$G248&gt;=DATE(ano_ref,6,1)),1,0))</f>
      </c>
      <c r="K249" s="41">
        <f>IF(OR(NOT('Plano de Ação'!$B248&lt;&gt;""),NOT(ISNUMBER('Plano de Ação'!$F248)),NOT(ISNUMBER('Plano de Ação'!$G248)),'Plano de Ação'!$J248="Cancelada"),0,IF(AND('Plano de Ação'!$F248&lt;=EOMONTH(DATE(ano_ref,7,1),0),'Plano de Ação'!$G248&gt;=DATE(ano_ref,7,1)),1,0))</f>
      </c>
      <c r="L249" s="41">
        <f>IF(OR(NOT('Plano de Ação'!$B248&lt;&gt;""),NOT(ISNUMBER('Plano de Ação'!$F248)),NOT(ISNUMBER('Plano de Ação'!$G248)),'Plano de Ação'!$J248="Cancelada"),0,IF(AND('Plano de Ação'!$F248&lt;=EOMONTH(DATE(ano_ref,8,1),0),'Plano de Ação'!$G248&gt;=DATE(ano_ref,8,1)),1,0))</f>
      </c>
      <c r="M249" s="41">
        <f>IF(OR(NOT('Plano de Ação'!$B248&lt;&gt;""),NOT(ISNUMBER('Plano de Ação'!$F248)),NOT(ISNUMBER('Plano de Ação'!$G248)),'Plano de Ação'!$J248="Cancelada"),0,IF(AND('Plano de Ação'!$F248&lt;=EOMONTH(DATE(ano_ref,9,1),0),'Plano de Ação'!$G248&gt;=DATE(ano_ref,9,1)),1,0))</f>
      </c>
      <c r="N249" s="41">
        <f>IF(OR(NOT('Plano de Ação'!$B248&lt;&gt;""),NOT(ISNUMBER('Plano de Ação'!$F248)),NOT(ISNUMBER('Plano de Ação'!$G248)),'Plano de Ação'!$J248="Cancelada"),0,IF(AND('Plano de Ação'!$F248&lt;=EOMONTH(DATE(ano_ref,10,1),0),'Plano de Ação'!$G248&gt;=DATE(ano_ref,10,1)),1,0))</f>
      </c>
      <c r="O249" s="41">
        <f>IF(OR(NOT('Plano de Ação'!$B248&lt;&gt;""),NOT(ISNUMBER('Plano de Ação'!$F248)),NOT(ISNUMBER('Plano de Ação'!$G248)),'Plano de Ação'!$J248="Cancelada"),0,IF(AND('Plano de Ação'!$F248&lt;=EOMONTH(DATE(ano_ref,11,1),0),'Plano de Ação'!$G248&gt;=DATE(ano_ref,11,1)),1,0))</f>
      </c>
      <c r="P249" s="41">
        <f>IF(OR(NOT('Plano de Ação'!$B248&lt;&gt;""),NOT(ISNUMBER('Plano de Ação'!$F248)),NOT(ISNUMBER('Plano de Ação'!$G248)),'Plano de Ação'!$J248="Cancelada"),0,IF(AND('Plano de Ação'!$F248&lt;=EOMONTH(DATE(ano_ref,12,1),0),'Plano de Ação'!$G248&gt;=DATE(ano_ref,12,1)),1,0))</f>
      </c>
    </row>
    <row r="250" spans="1:16" x14ac:dyDescent="0.25">
      <c r="A250" s="40">
        <f>IF('Plano de Ação'!$B249&lt;&gt;"",'Plano de Ação'!A249&amp;"","")</f>
      </c>
      <c r="B250" s="25">
        <f>IF('Plano de Ação'!$B249&lt;&gt;"",'Plano de Ação'!B249,"")</f>
      </c>
      <c r="C250" s="25">
        <f>IF('Plano de Ação'!$B249&lt;&gt;"",'Plano de Ação'!E249&amp;"","")</f>
      </c>
      <c r="D250" s="40">
        <f>IF('Plano de Ação'!$B249&lt;&gt;"",'Plano de Ação'!L249,"")</f>
      </c>
      <c r="E250" s="41">
        <f>IF(OR(NOT('Plano de Ação'!$B249&lt;&gt;""),NOT(ISNUMBER('Plano de Ação'!$F249)),NOT(ISNUMBER('Plano de Ação'!$G249)),'Plano de Ação'!$J249="Cancelada"),0,IF(AND('Plano de Ação'!$F249&lt;=EOMONTH(DATE(ano_ref,1,1),0),'Plano de Ação'!$G249&gt;=DATE(ano_ref,1,1)),1,0))</f>
      </c>
      <c r="F250" s="41">
        <f>IF(OR(NOT('Plano de Ação'!$B249&lt;&gt;""),NOT(ISNUMBER('Plano de Ação'!$F249)),NOT(ISNUMBER('Plano de Ação'!$G249)),'Plano de Ação'!$J249="Cancelada"),0,IF(AND('Plano de Ação'!$F249&lt;=EOMONTH(DATE(ano_ref,2,1),0),'Plano de Ação'!$G249&gt;=DATE(ano_ref,2,1)),1,0))</f>
      </c>
      <c r="G250" s="41">
        <f>IF(OR(NOT('Plano de Ação'!$B249&lt;&gt;""),NOT(ISNUMBER('Plano de Ação'!$F249)),NOT(ISNUMBER('Plano de Ação'!$G249)),'Plano de Ação'!$J249="Cancelada"),0,IF(AND('Plano de Ação'!$F249&lt;=EOMONTH(DATE(ano_ref,3,1),0),'Plano de Ação'!$G249&gt;=DATE(ano_ref,3,1)),1,0))</f>
      </c>
      <c r="H250" s="41">
        <f>IF(OR(NOT('Plano de Ação'!$B249&lt;&gt;""),NOT(ISNUMBER('Plano de Ação'!$F249)),NOT(ISNUMBER('Plano de Ação'!$G249)),'Plano de Ação'!$J249="Cancelada"),0,IF(AND('Plano de Ação'!$F249&lt;=EOMONTH(DATE(ano_ref,4,1),0),'Plano de Ação'!$G249&gt;=DATE(ano_ref,4,1)),1,0))</f>
      </c>
      <c r="I250" s="41">
        <f>IF(OR(NOT('Plano de Ação'!$B249&lt;&gt;""),NOT(ISNUMBER('Plano de Ação'!$F249)),NOT(ISNUMBER('Plano de Ação'!$G249)),'Plano de Ação'!$J249="Cancelada"),0,IF(AND('Plano de Ação'!$F249&lt;=EOMONTH(DATE(ano_ref,5,1),0),'Plano de Ação'!$G249&gt;=DATE(ano_ref,5,1)),1,0))</f>
      </c>
      <c r="J250" s="41">
        <f>IF(OR(NOT('Plano de Ação'!$B249&lt;&gt;""),NOT(ISNUMBER('Plano de Ação'!$F249)),NOT(ISNUMBER('Plano de Ação'!$G249)),'Plano de Ação'!$J249="Cancelada"),0,IF(AND('Plano de Ação'!$F249&lt;=EOMONTH(DATE(ano_ref,6,1),0),'Plano de Ação'!$G249&gt;=DATE(ano_ref,6,1)),1,0))</f>
      </c>
      <c r="K250" s="41">
        <f>IF(OR(NOT('Plano de Ação'!$B249&lt;&gt;""),NOT(ISNUMBER('Plano de Ação'!$F249)),NOT(ISNUMBER('Plano de Ação'!$G249)),'Plano de Ação'!$J249="Cancelada"),0,IF(AND('Plano de Ação'!$F249&lt;=EOMONTH(DATE(ano_ref,7,1),0),'Plano de Ação'!$G249&gt;=DATE(ano_ref,7,1)),1,0))</f>
      </c>
      <c r="L250" s="41">
        <f>IF(OR(NOT('Plano de Ação'!$B249&lt;&gt;""),NOT(ISNUMBER('Plano de Ação'!$F249)),NOT(ISNUMBER('Plano de Ação'!$G249)),'Plano de Ação'!$J249="Cancelada"),0,IF(AND('Plano de Ação'!$F249&lt;=EOMONTH(DATE(ano_ref,8,1),0),'Plano de Ação'!$G249&gt;=DATE(ano_ref,8,1)),1,0))</f>
      </c>
      <c r="M250" s="41">
        <f>IF(OR(NOT('Plano de Ação'!$B249&lt;&gt;""),NOT(ISNUMBER('Plano de Ação'!$F249)),NOT(ISNUMBER('Plano de Ação'!$G249)),'Plano de Ação'!$J249="Cancelada"),0,IF(AND('Plano de Ação'!$F249&lt;=EOMONTH(DATE(ano_ref,9,1),0),'Plano de Ação'!$G249&gt;=DATE(ano_ref,9,1)),1,0))</f>
      </c>
      <c r="N250" s="41">
        <f>IF(OR(NOT('Plano de Ação'!$B249&lt;&gt;""),NOT(ISNUMBER('Plano de Ação'!$F249)),NOT(ISNUMBER('Plano de Ação'!$G249)),'Plano de Ação'!$J249="Cancelada"),0,IF(AND('Plano de Ação'!$F249&lt;=EOMONTH(DATE(ano_ref,10,1),0),'Plano de Ação'!$G249&gt;=DATE(ano_ref,10,1)),1,0))</f>
      </c>
      <c r="O250" s="41">
        <f>IF(OR(NOT('Plano de Ação'!$B249&lt;&gt;""),NOT(ISNUMBER('Plano de Ação'!$F249)),NOT(ISNUMBER('Plano de Ação'!$G249)),'Plano de Ação'!$J249="Cancelada"),0,IF(AND('Plano de Ação'!$F249&lt;=EOMONTH(DATE(ano_ref,11,1),0),'Plano de Ação'!$G249&gt;=DATE(ano_ref,11,1)),1,0))</f>
      </c>
      <c r="P250" s="41">
        <f>IF(OR(NOT('Plano de Ação'!$B249&lt;&gt;""),NOT(ISNUMBER('Plano de Ação'!$F249)),NOT(ISNUMBER('Plano de Ação'!$G249)),'Plano de Ação'!$J249="Cancelada"),0,IF(AND('Plano de Ação'!$F249&lt;=EOMONTH(DATE(ano_ref,12,1),0),'Plano de Ação'!$G249&gt;=DATE(ano_ref,12,1)),1,0))</f>
      </c>
    </row>
    <row r="251" spans="1:16" x14ac:dyDescent="0.25">
      <c r="A251" s="40">
        <f>IF('Plano de Ação'!$B250&lt;&gt;"",'Plano de Ação'!A250&amp;"","")</f>
      </c>
      <c r="B251" s="25">
        <f>IF('Plano de Ação'!$B250&lt;&gt;"",'Plano de Ação'!B250,"")</f>
      </c>
      <c r="C251" s="25">
        <f>IF('Plano de Ação'!$B250&lt;&gt;"",'Plano de Ação'!E250&amp;"","")</f>
      </c>
      <c r="D251" s="40">
        <f>IF('Plano de Ação'!$B250&lt;&gt;"",'Plano de Ação'!L250,"")</f>
      </c>
      <c r="E251" s="41">
        <f>IF(OR(NOT('Plano de Ação'!$B250&lt;&gt;""),NOT(ISNUMBER('Plano de Ação'!$F250)),NOT(ISNUMBER('Plano de Ação'!$G250)),'Plano de Ação'!$J250="Cancelada"),0,IF(AND('Plano de Ação'!$F250&lt;=EOMONTH(DATE(ano_ref,1,1),0),'Plano de Ação'!$G250&gt;=DATE(ano_ref,1,1)),1,0))</f>
      </c>
      <c r="F251" s="41">
        <f>IF(OR(NOT('Plano de Ação'!$B250&lt;&gt;""),NOT(ISNUMBER('Plano de Ação'!$F250)),NOT(ISNUMBER('Plano de Ação'!$G250)),'Plano de Ação'!$J250="Cancelada"),0,IF(AND('Plano de Ação'!$F250&lt;=EOMONTH(DATE(ano_ref,2,1),0),'Plano de Ação'!$G250&gt;=DATE(ano_ref,2,1)),1,0))</f>
      </c>
      <c r="G251" s="41">
        <f>IF(OR(NOT('Plano de Ação'!$B250&lt;&gt;""),NOT(ISNUMBER('Plano de Ação'!$F250)),NOT(ISNUMBER('Plano de Ação'!$G250)),'Plano de Ação'!$J250="Cancelada"),0,IF(AND('Plano de Ação'!$F250&lt;=EOMONTH(DATE(ano_ref,3,1),0),'Plano de Ação'!$G250&gt;=DATE(ano_ref,3,1)),1,0))</f>
      </c>
      <c r="H251" s="41">
        <f>IF(OR(NOT('Plano de Ação'!$B250&lt;&gt;""),NOT(ISNUMBER('Plano de Ação'!$F250)),NOT(ISNUMBER('Plano de Ação'!$G250)),'Plano de Ação'!$J250="Cancelada"),0,IF(AND('Plano de Ação'!$F250&lt;=EOMONTH(DATE(ano_ref,4,1),0),'Plano de Ação'!$G250&gt;=DATE(ano_ref,4,1)),1,0))</f>
      </c>
      <c r="I251" s="41">
        <f>IF(OR(NOT('Plano de Ação'!$B250&lt;&gt;""),NOT(ISNUMBER('Plano de Ação'!$F250)),NOT(ISNUMBER('Plano de Ação'!$G250)),'Plano de Ação'!$J250="Cancelada"),0,IF(AND('Plano de Ação'!$F250&lt;=EOMONTH(DATE(ano_ref,5,1),0),'Plano de Ação'!$G250&gt;=DATE(ano_ref,5,1)),1,0))</f>
      </c>
      <c r="J251" s="41">
        <f>IF(OR(NOT('Plano de Ação'!$B250&lt;&gt;""),NOT(ISNUMBER('Plano de Ação'!$F250)),NOT(ISNUMBER('Plano de Ação'!$G250)),'Plano de Ação'!$J250="Cancelada"),0,IF(AND('Plano de Ação'!$F250&lt;=EOMONTH(DATE(ano_ref,6,1),0),'Plano de Ação'!$G250&gt;=DATE(ano_ref,6,1)),1,0))</f>
      </c>
      <c r="K251" s="41">
        <f>IF(OR(NOT('Plano de Ação'!$B250&lt;&gt;""),NOT(ISNUMBER('Plano de Ação'!$F250)),NOT(ISNUMBER('Plano de Ação'!$G250)),'Plano de Ação'!$J250="Cancelada"),0,IF(AND('Plano de Ação'!$F250&lt;=EOMONTH(DATE(ano_ref,7,1),0),'Plano de Ação'!$G250&gt;=DATE(ano_ref,7,1)),1,0))</f>
      </c>
      <c r="L251" s="41">
        <f>IF(OR(NOT('Plano de Ação'!$B250&lt;&gt;""),NOT(ISNUMBER('Plano de Ação'!$F250)),NOT(ISNUMBER('Plano de Ação'!$G250)),'Plano de Ação'!$J250="Cancelada"),0,IF(AND('Plano de Ação'!$F250&lt;=EOMONTH(DATE(ano_ref,8,1),0),'Plano de Ação'!$G250&gt;=DATE(ano_ref,8,1)),1,0))</f>
      </c>
      <c r="M251" s="41">
        <f>IF(OR(NOT('Plano de Ação'!$B250&lt;&gt;""),NOT(ISNUMBER('Plano de Ação'!$F250)),NOT(ISNUMBER('Plano de Ação'!$G250)),'Plano de Ação'!$J250="Cancelada"),0,IF(AND('Plano de Ação'!$F250&lt;=EOMONTH(DATE(ano_ref,9,1),0),'Plano de Ação'!$G250&gt;=DATE(ano_ref,9,1)),1,0))</f>
      </c>
      <c r="N251" s="41">
        <f>IF(OR(NOT('Plano de Ação'!$B250&lt;&gt;""),NOT(ISNUMBER('Plano de Ação'!$F250)),NOT(ISNUMBER('Plano de Ação'!$G250)),'Plano de Ação'!$J250="Cancelada"),0,IF(AND('Plano de Ação'!$F250&lt;=EOMONTH(DATE(ano_ref,10,1),0),'Plano de Ação'!$G250&gt;=DATE(ano_ref,10,1)),1,0))</f>
      </c>
      <c r="O251" s="41">
        <f>IF(OR(NOT('Plano de Ação'!$B250&lt;&gt;""),NOT(ISNUMBER('Plano de Ação'!$F250)),NOT(ISNUMBER('Plano de Ação'!$G250)),'Plano de Ação'!$J250="Cancelada"),0,IF(AND('Plano de Ação'!$F250&lt;=EOMONTH(DATE(ano_ref,11,1),0),'Plano de Ação'!$G250&gt;=DATE(ano_ref,11,1)),1,0))</f>
      </c>
      <c r="P251" s="41">
        <f>IF(OR(NOT('Plano de Ação'!$B250&lt;&gt;""),NOT(ISNUMBER('Plano de Ação'!$F250)),NOT(ISNUMBER('Plano de Ação'!$G250)),'Plano de Ação'!$J250="Cancelada"),0,IF(AND('Plano de Ação'!$F250&lt;=EOMONTH(DATE(ano_ref,12,1),0),'Plano de Ação'!$G250&gt;=DATE(ano_ref,12,1)),1,0))</f>
      </c>
    </row>
    <row r="252" spans="1:16" x14ac:dyDescent="0.25">
      <c r="A252" s="40">
        <f>IF('Plano de Ação'!$B251&lt;&gt;"",'Plano de Ação'!A251&amp;"","")</f>
      </c>
      <c r="B252" s="25">
        <f>IF('Plano de Ação'!$B251&lt;&gt;"",'Plano de Ação'!B251,"")</f>
      </c>
      <c r="C252" s="25">
        <f>IF('Plano de Ação'!$B251&lt;&gt;"",'Plano de Ação'!E251&amp;"","")</f>
      </c>
      <c r="D252" s="40">
        <f>IF('Plano de Ação'!$B251&lt;&gt;"",'Plano de Ação'!L251,"")</f>
      </c>
      <c r="E252" s="41">
        <f>IF(OR(NOT('Plano de Ação'!$B251&lt;&gt;""),NOT(ISNUMBER('Plano de Ação'!$F251)),NOT(ISNUMBER('Plano de Ação'!$G251)),'Plano de Ação'!$J251="Cancelada"),0,IF(AND('Plano de Ação'!$F251&lt;=EOMONTH(DATE(ano_ref,1,1),0),'Plano de Ação'!$G251&gt;=DATE(ano_ref,1,1)),1,0))</f>
      </c>
      <c r="F252" s="41">
        <f>IF(OR(NOT('Plano de Ação'!$B251&lt;&gt;""),NOT(ISNUMBER('Plano de Ação'!$F251)),NOT(ISNUMBER('Plano de Ação'!$G251)),'Plano de Ação'!$J251="Cancelada"),0,IF(AND('Plano de Ação'!$F251&lt;=EOMONTH(DATE(ano_ref,2,1),0),'Plano de Ação'!$G251&gt;=DATE(ano_ref,2,1)),1,0))</f>
      </c>
      <c r="G252" s="41">
        <f>IF(OR(NOT('Plano de Ação'!$B251&lt;&gt;""),NOT(ISNUMBER('Plano de Ação'!$F251)),NOT(ISNUMBER('Plano de Ação'!$G251)),'Plano de Ação'!$J251="Cancelada"),0,IF(AND('Plano de Ação'!$F251&lt;=EOMONTH(DATE(ano_ref,3,1),0),'Plano de Ação'!$G251&gt;=DATE(ano_ref,3,1)),1,0))</f>
      </c>
      <c r="H252" s="41">
        <f>IF(OR(NOT('Plano de Ação'!$B251&lt;&gt;""),NOT(ISNUMBER('Plano de Ação'!$F251)),NOT(ISNUMBER('Plano de Ação'!$G251)),'Plano de Ação'!$J251="Cancelada"),0,IF(AND('Plano de Ação'!$F251&lt;=EOMONTH(DATE(ano_ref,4,1),0),'Plano de Ação'!$G251&gt;=DATE(ano_ref,4,1)),1,0))</f>
      </c>
      <c r="I252" s="41">
        <f>IF(OR(NOT('Plano de Ação'!$B251&lt;&gt;""),NOT(ISNUMBER('Plano de Ação'!$F251)),NOT(ISNUMBER('Plano de Ação'!$G251)),'Plano de Ação'!$J251="Cancelada"),0,IF(AND('Plano de Ação'!$F251&lt;=EOMONTH(DATE(ano_ref,5,1),0),'Plano de Ação'!$G251&gt;=DATE(ano_ref,5,1)),1,0))</f>
      </c>
      <c r="J252" s="41">
        <f>IF(OR(NOT('Plano de Ação'!$B251&lt;&gt;""),NOT(ISNUMBER('Plano de Ação'!$F251)),NOT(ISNUMBER('Plano de Ação'!$G251)),'Plano de Ação'!$J251="Cancelada"),0,IF(AND('Plano de Ação'!$F251&lt;=EOMONTH(DATE(ano_ref,6,1),0),'Plano de Ação'!$G251&gt;=DATE(ano_ref,6,1)),1,0))</f>
      </c>
      <c r="K252" s="41">
        <f>IF(OR(NOT('Plano de Ação'!$B251&lt;&gt;""),NOT(ISNUMBER('Plano de Ação'!$F251)),NOT(ISNUMBER('Plano de Ação'!$G251)),'Plano de Ação'!$J251="Cancelada"),0,IF(AND('Plano de Ação'!$F251&lt;=EOMONTH(DATE(ano_ref,7,1),0),'Plano de Ação'!$G251&gt;=DATE(ano_ref,7,1)),1,0))</f>
      </c>
      <c r="L252" s="41">
        <f>IF(OR(NOT('Plano de Ação'!$B251&lt;&gt;""),NOT(ISNUMBER('Plano de Ação'!$F251)),NOT(ISNUMBER('Plano de Ação'!$G251)),'Plano de Ação'!$J251="Cancelada"),0,IF(AND('Plano de Ação'!$F251&lt;=EOMONTH(DATE(ano_ref,8,1),0),'Plano de Ação'!$G251&gt;=DATE(ano_ref,8,1)),1,0))</f>
      </c>
      <c r="M252" s="41">
        <f>IF(OR(NOT('Plano de Ação'!$B251&lt;&gt;""),NOT(ISNUMBER('Plano de Ação'!$F251)),NOT(ISNUMBER('Plano de Ação'!$G251)),'Plano de Ação'!$J251="Cancelada"),0,IF(AND('Plano de Ação'!$F251&lt;=EOMONTH(DATE(ano_ref,9,1),0),'Plano de Ação'!$G251&gt;=DATE(ano_ref,9,1)),1,0))</f>
      </c>
      <c r="N252" s="41">
        <f>IF(OR(NOT('Plano de Ação'!$B251&lt;&gt;""),NOT(ISNUMBER('Plano de Ação'!$F251)),NOT(ISNUMBER('Plano de Ação'!$G251)),'Plano de Ação'!$J251="Cancelada"),0,IF(AND('Plano de Ação'!$F251&lt;=EOMONTH(DATE(ano_ref,10,1),0),'Plano de Ação'!$G251&gt;=DATE(ano_ref,10,1)),1,0))</f>
      </c>
      <c r="O252" s="41">
        <f>IF(OR(NOT('Plano de Ação'!$B251&lt;&gt;""),NOT(ISNUMBER('Plano de Ação'!$F251)),NOT(ISNUMBER('Plano de Ação'!$G251)),'Plano de Ação'!$J251="Cancelada"),0,IF(AND('Plano de Ação'!$F251&lt;=EOMONTH(DATE(ano_ref,11,1),0),'Plano de Ação'!$G251&gt;=DATE(ano_ref,11,1)),1,0))</f>
      </c>
      <c r="P252" s="41">
        <f>IF(OR(NOT('Plano de Ação'!$B251&lt;&gt;""),NOT(ISNUMBER('Plano de Ação'!$F251)),NOT(ISNUMBER('Plano de Ação'!$G251)),'Plano de Ação'!$J251="Cancelada"),0,IF(AND('Plano de Ação'!$F251&lt;=EOMONTH(DATE(ano_ref,12,1),0),'Plano de Ação'!$G251&gt;=DATE(ano_ref,12,1)),1,0))</f>
      </c>
    </row>
    <row r="253" spans="1:16" x14ac:dyDescent="0.25">
      <c r="A253" s="40">
        <f>IF('Plano de Ação'!$B252&lt;&gt;"",'Plano de Ação'!A252&amp;"","")</f>
      </c>
      <c r="B253" s="25">
        <f>IF('Plano de Ação'!$B252&lt;&gt;"",'Plano de Ação'!B252,"")</f>
      </c>
      <c r="C253" s="25">
        <f>IF('Plano de Ação'!$B252&lt;&gt;"",'Plano de Ação'!E252&amp;"","")</f>
      </c>
      <c r="D253" s="40">
        <f>IF('Plano de Ação'!$B252&lt;&gt;"",'Plano de Ação'!L252,"")</f>
      </c>
      <c r="E253" s="41">
        <f>IF(OR(NOT('Plano de Ação'!$B252&lt;&gt;""),NOT(ISNUMBER('Plano de Ação'!$F252)),NOT(ISNUMBER('Plano de Ação'!$G252)),'Plano de Ação'!$J252="Cancelada"),0,IF(AND('Plano de Ação'!$F252&lt;=EOMONTH(DATE(ano_ref,1,1),0),'Plano de Ação'!$G252&gt;=DATE(ano_ref,1,1)),1,0))</f>
      </c>
      <c r="F253" s="41">
        <f>IF(OR(NOT('Plano de Ação'!$B252&lt;&gt;""),NOT(ISNUMBER('Plano de Ação'!$F252)),NOT(ISNUMBER('Plano de Ação'!$G252)),'Plano de Ação'!$J252="Cancelada"),0,IF(AND('Plano de Ação'!$F252&lt;=EOMONTH(DATE(ano_ref,2,1),0),'Plano de Ação'!$G252&gt;=DATE(ano_ref,2,1)),1,0))</f>
      </c>
      <c r="G253" s="41">
        <f>IF(OR(NOT('Plano de Ação'!$B252&lt;&gt;""),NOT(ISNUMBER('Plano de Ação'!$F252)),NOT(ISNUMBER('Plano de Ação'!$G252)),'Plano de Ação'!$J252="Cancelada"),0,IF(AND('Plano de Ação'!$F252&lt;=EOMONTH(DATE(ano_ref,3,1),0),'Plano de Ação'!$G252&gt;=DATE(ano_ref,3,1)),1,0))</f>
      </c>
      <c r="H253" s="41">
        <f>IF(OR(NOT('Plano de Ação'!$B252&lt;&gt;""),NOT(ISNUMBER('Plano de Ação'!$F252)),NOT(ISNUMBER('Plano de Ação'!$G252)),'Plano de Ação'!$J252="Cancelada"),0,IF(AND('Plano de Ação'!$F252&lt;=EOMONTH(DATE(ano_ref,4,1),0),'Plano de Ação'!$G252&gt;=DATE(ano_ref,4,1)),1,0))</f>
      </c>
      <c r="I253" s="41">
        <f>IF(OR(NOT('Plano de Ação'!$B252&lt;&gt;""),NOT(ISNUMBER('Plano de Ação'!$F252)),NOT(ISNUMBER('Plano de Ação'!$G252)),'Plano de Ação'!$J252="Cancelada"),0,IF(AND('Plano de Ação'!$F252&lt;=EOMONTH(DATE(ano_ref,5,1),0),'Plano de Ação'!$G252&gt;=DATE(ano_ref,5,1)),1,0))</f>
      </c>
      <c r="J253" s="41">
        <f>IF(OR(NOT('Plano de Ação'!$B252&lt;&gt;""),NOT(ISNUMBER('Plano de Ação'!$F252)),NOT(ISNUMBER('Plano de Ação'!$G252)),'Plano de Ação'!$J252="Cancelada"),0,IF(AND('Plano de Ação'!$F252&lt;=EOMONTH(DATE(ano_ref,6,1),0),'Plano de Ação'!$G252&gt;=DATE(ano_ref,6,1)),1,0))</f>
      </c>
      <c r="K253" s="41">
        <f>IF(OR(NOT('Plano de Ação'!$B252&lt;&gt;""),NOT(ISNUMBER('Plano de Ação'!$F252)),NOT(ISNUMBER('Plano de Ação'!$G252)),'Plano de Ação'!$J252="Cancelada"),0,IF(AND('Plano de Ação'!$F252&lt;=EOMONTH(DATE(ano_ref,7,1),0),'Plano de Ação'!$G252&gt;=DATE(ano_ref,7,1)),1,0))</f>
      </c>
      <c r="L253" s="41">
        <f>IF(OR(NOT('Plano de Ação'!$B252&lt;&gt;""),NOT(ISNUMBER('Plano de Ação'!$F252)),NOT(ISNUMBER('Plano de Ação'!$G252)),'Plano de Ação'!$J252="Cancelada"),0,IF(AND('Plano de Ação'!$F252&lt;=EOMONTH(DATE(ano_ref,8,1),0),'Plano de Ação'!$G252&gt;=DATE(ano_ref,8,1)),1,0))</f>
      </c>
      <c r="M253" s="41">
        <f>IF(OR(NOT('Plano de Ação'!$B252&lt;&gt;""),NOT(ISNUMBER('Plano de Ação'!$F252)),NOT(ISNUMBER('Plano de Ação'!$G252)),'Plano de Ação'!$J252="Cancelada"),0,IF(AND('Plano de Ação'!$F252&lt;=EOMONTH(DATE(ano_ref,9,1),0),'Plano de Ação'!$G252&gt;=DATE(ano_ref,9,1)),1,0))</f>
      </c>
      <c r="N253" s="41">
        <f>IF(OR(NOT('Plano de Ação'!$B252&lt;&gt;""),NOT(ISNUMBER('Plano de Ação'!$F252)),NOT(ISNUMBER('Plano de Ação'!$G252)),'Plano de Ação'!$J252="Cancelada"),0,IF(AND('Plano de Ação'!$F252&lt;=EOMONTH(DATE(ano_ref,10,1),0),'Plano de Ação'!$G252&gt;=DATE(ano_ref,10,1)),1,0))</f>
      </c>
      <c r="O253" s="41">
        <f>IF(OR(NOT('Plano de Ação'!$B252&lt;&gt;""),NOT(ISNUMBER('Plano de Ação'!$F252)),NOT(ISNUMBER('Plano de Ação'!$G252)),'Plano de Ação'!$J252="Cancelada"),0,IF(AND('Plano de Ação'!$F252&lt;=EOMONTH(DATE(ano_ref,11,1),0),'Plano de Ação'!$G252&gt;=DATE(ano_ref,11,1)),1,0))</f>
      </c>
      <c r="P253" s="41">
        <f>IF(OR(NOT('Plano de Ação'!$B252&lt;&gt;""),NOT(ISNUMBER('Plano de Ação'!$F252)),NOT(ISNUMBER('Plano de Ação'!$G252)),'Plano de Ação'!$J252="Cancelada"),0,IF(AND('Plano de Ação'!$F252&lt;=EOMONTH(DATE(ano_ref,12,1),0),'Plano de Ação'!$G252&gt;=DATE(ano_ref,12,1)),1,0))</f>
      </c>
    </row>
    <row r="254" spans="1:16" x14ac:dyDescent="0.25">
      <c r="A254" s="40">
        <f>IF('Plano de Ação'!$B253&lt;&gt;"",'Plano de Ação'!A253&amp;"","")</f>
      </c>
      <c r="B254" s="25">
        <f>IF('Plano de Ação'!$B253&lt;&gt;"",'Plano de Ação'!B253,"")</f>
      </c>
      <c r="C254" s="25">
        <f>IF('Plano de Ação'!$B253&lt;&gt;"",'Plano de Ação'!E253&amp;"","")</f>
      </c>
      <c r="D254" s="40">
        <f>IF('Plano de Ação'!$B253&lt;&gt;"",'Plano de Ação'!L253,"")</f>
      </c>
      <c r="E254" s="41">
        <f>IF(OR(NOT('Plano de Ação'!$B253&lt;&gt;""),NOT(ISNUMBER('Plano de Ação'!$F253)),NOT(ISNUMBER('Plano de Ação'!$G253)),'Plano de Ação'!$J253="Cancelada"),0,IF(AND('Plano de Ação'!$F253&lt;=EOMONTH(DATE(ano_ref,1,1),0),'Plano de Ação'!$G253&gt;=DATE(ano_ref,1,1)),1,0))</f>
      </c>
      <c r="F254" s="41">
        <f>IF(OR(NOT('Plano de Ação'!$B253&lt;&gt;""),NOT(ISNUMBER('Plano de Ação'!$F253)),NOT(ISNUMBER('Plano de Ação'!$G253)),'Plano de Ação'!$J253="Cancelada"),0,IF(AND('Plano de Ação'!$F253&lt;=EOMONTH(DATE(ano_ref,2,1),0),'Plano de Ação'!$G253&gt;=DATE(ano_ref,2,1)),1,0))</f>
      </c>
      <c r="G254" s="41">
        <f>IF(OR(NOT('Plano de Ação'!$B253&lt;&gt;""),NOT(ISNUMBER('Plano de Ação'!$F253)),NOT(ISNUMBER('Plano de Ação'!$G253)),'Plano de Ação'!$J253="Cancelada"),0,IF(AND('Plano de Ação'!$F253&lt;=EOMONTH(DATE(ano_ref,3,1),0),'Plano de Ação'!$G253&gt;=DATE(ano_ref,3,1)),1,0))</f>
      </c>
      <c r="H254" s="41">
        <f>IF(OR(NOT('Plano de Ação'!$B253&lt;&gt;""),NOT(ISNUMBER('Plano de Ação'!$F253)),NOT(ISNUMBER('Plano de Ação'!$G253)),'Plano de Ação'!$J253="Cancelada"),0,IF(AND('Plano de Ação'!$F253&lt;=EOMONTH(DATE(ano_ref,4,1),0),'Plano de Ação'!$G253&gt;=DATE(ano_ref,4,1)),1,0))</f>
      </c>
      <c r="I254" s="41">
        <f>IF(OR(NOT('Plano de Ação'!$B253&lt;&gt;""),NOT(ISNUMBER('Plano de Ação'!$F253)),NOT(ISNUMBER('Plano de Ação'!$G253)),'Plano de Ação'!$J253="Cancelada"),0,IF(AND('Plano de Ação'!$F253&lt;=EOMONTH(DATE(ano_ref,5,1),0),'Plano de Ação'!$G253&gt;=DATE(ano_ref,5,1)),1,0))</f>
      </c>
      <c r="J254" s="41">
        <f>IF(OR(NOT('Plano de Ação'!$B253&lt;&gt;""),NOT(ISNUMBER('Plano de Ação'!$F253)),NOT(ISNUMBER('Plano de Ação'!$G253)),'Plano de Ação'!$J253="Cancelada"),0,IF(AND('Plano de Ação'!$F253&lt;=EOMONTH(DATE(ano_ref,6,1),0),'Plano de Ação'!$G253&gt;=DATE(ano_ref,6,1)),1,0))</f>
      </c>
      <c r="K254" s="41">
        <f>IF(OR(NOT('Plano de Ação'!$B253&lt;&gt;""),NOT(ISNUMBER('Plano de Ação'!$F253)),NOT(ISNUMBER('Plano de Ação'!$G253)),'Plano de Ação'!$J253="Cancelada"),0,IF(AND('Plano de Ação'!$F253&lt;=EOMONTH(DATE(ano_ref,7,1),0),'Plano de Ação'!$G253&gt;=DATE(ano_ref,7,1)),1,0))</f>
      </c>
      <c r="L254" s="41">
        <f>IF(OR(NOT('Plano de Ação'!$B253&lt;&gt;""),NOT(ISNUMBER('Plano de Ação'!$F253)),NOT(ISNUMBER('Plano de Ação'!$G253)),'Plano de Ação'!$J253="Cancelada"),0,IF(AND('Plano de Ação'!$F253&lt;=EOMONTH(DATE(ano_ref,8,1),0),'Plano de Ação'!$G253&gt;=DATE(ano_ref,8,1)),1,0))</f>
      </c>
      <c r="M254" s="41">
        <f>IF(OR(NOT('Plano de Ação'!$B253&lt;&gt;""),NOT(ISNUMBER('Plano de Ação'!$F253)),NOT(ISNUMBER('Plano de Ação'!$G253)),'Plano de Ação'!$J253="Cancelada"),0,IF(AND('Plano de Ação'!$F253&lt;=EOMONTH(DATE(ano_ref,9,1),0),'Plano de Ação'!$G253&gt;=DATE(ano_ref,9,1)),1,0))</f>
      </c>
      <c r="N254" s="41">
        <f>IF(OR(NOT('Plano de Ação'!$B253&lt;&gt;""),NOT(ISNUMBER('Plano de Ação'!$F253)),NOT(ISNUMBER('Plano de Ação'!$G253)),'Plano de Ação'!$J253="Cancelada"),0,IF(AND('Plano de Ação'!$F253&lt;=EOMONTH(DATE(ano_ref,10,1),0),'Plano de Ação'!$G253&gt;=DATE(ano_ref,10,1)),1,0))</f>
      </c>
      <c r="O254" s="41">
        <f>IF(OR(NOT('Plano de Ação'!$B253&lt;&gt;""),NOT(ISNUMBER('Plano de Ação'!$F253)),NOT(ISNUMBER('Plano de Ação'!$G253)),'Plano de Ação'!$J253="Cancelada"),0,IF(AND('Plano de Ação'!$F253&lt;=EOMONTH(DATE(ano_ref,11,1),0),'Plano de Ação'!$G253&gt;=DATE(ano_ref,11,1)),1,0))</f>
      </c>
      <c r="P254" s="41">
        <f>IF(OR(NOT('Plano de Ação'!$B253&lt;&gt;""),NOT(ISNUMBER('Plano de Ação'!$F253)),NOT(ISNUMBER('Plano de Ação'!$G253)),'Plano de Ação'!$J253="Cancelada"),0,IF(AND('Plano de Ação'!$F253&lt;=EOMONTH(DATE(ano_ref,12,1),0),'Plano de Ação'!$G253&gt;=DATE(ano_ref,12,1)),1,0))</f>
      </c>
    </row>
    <row r="255" spans="1:16" x14ac:dyDescent="0.25">
      <c r="A255" s="40">
        <f>IF('Plano de Ação'!$B254&lt;&gt;"",'Plano de Ação'!A254&amp;"","")</f>
      </c>
      <c r="B255" s="25">
        <f>IF('Plano de Ação'!$B254&lt;&gt;"",'Plano de Ação'!B254,"")</f>
      </c>
      <c r="C255" s="25">
        <f>IF('Plano de Ação'!$B254&lt;&gt;"",'Plano de Ação'!E254&amp;"","")</f>
      </c>
      <c r="D255" s="40">
        <f>IF('Plano de Ação'!$B254&lt;&gt;"",'Plano de Ação'!L254,"")</f>
      </c>
      <c r="E255" s="41">
        <f>IF(OR(NOT('Plano de Ação'!$B254&lt;&gt;""),NOT(ISNUMBER('Plano de Ação'!$F254)),NOT(ISNUMBER('Plano de Ação'!$G254)),'Plano de Ação'!$J254="Cancelada"),0,IF(AND('Plano de Ação'!$F254&lt;=EOMONTH(DATE(ano_ref,1,1),0),'Plano de Ação'!$G254&gt;=DATE(ano_ref,1,1)),1,0))</f>
      </c>
      <c r="F255" s="41">
        <f>IF(OR(NOT('Plano de Ação'!$B254&lt;&gt;""),NOT(ISNUMBER('Plano de Ação'!$F254)),NOT(ISNUMBER('Plano de Ação'!$G254)),'Plano de Ação'!$J254="Cancelada"),0,IF(AND('Plano de Ação'!$F254&lt;=EOMONTH(DATE(ano_ref,2,1),0),'Plano de Ação'!$G254&gt;=DATE(ano_ref,2,1)),1,0))</f>
      </c>
      <c r="G255" s="41">
        <f>IF(OR(NOT('Plano de Ação'!$B254&lt;&gt;""),NOT(ISNUMBER('Plano de Ação'!$F254)),NOT(ISNUMBER('Plano de Ação'!$G254)),'Plano de Ação'!$J254="Cancelada"),0,IF(AND('Plano de Ação'!$F254&lt;=EOMONTH(DATE(ano_ref,3,1),0),'Plano de Ação'!$G254&gt;=DATE(ano_ref,3,1)),1,0))</f>
      </c>
      <c r="H255" s="41">
        <f>IF(OR(NOT('Plano de Ação'!$B254&lt;&gt;""),NOT(ISNUMBER('Plano de Ação'!$F254)),NOT(ISNUMBER('Plano de Ação'!$G254)),'Plano de Ação'!$J254="Cancelada"),0,IF(AND('Plano de Ação'!$F254&lt;=EOMONTH(DATE(ano_ref,4,1),0),'Plano de Ação'!$G254&gt;=DATE(ano_ref,4,1)),1,0))</f>
      </c>
      <c r="I255" s="41">
        <f>IF(OR(NOT('Plano de Ação'!$B254&lt;&gt;""),NOT(ISNUMBER('Plano de Ação'!$F254)),NOT(ISNUMBER('Plano de Ação'!$G254)),'Plano de Ação'!$J254="Cancelada"),0,IF(AND('Plano de Ação'!$F254&lt;=EOMONTH(DATE(ano_ref,5,1),0),'Plano de Ação'!$G254&gt;=DATE(ano_ref,5,1)),1,0))</f>
      </c>
      <c r="J255" s="41">
        <f>IF(OR(NOT('Plano de Ação'!$B254&lt;&gt;""),NOT(ISNUMBER('Plano de Ação'!$F254)),NOT(ISNUMBER('Plano de Ação'!$G254)),'Plano de Ação'!$J254="Cancelada"),0,IF(AND('Plano de Ação'!$F254&lt;=EOMONTH(DATE(ano_ref,6,1),0),'Plano de Ação'!$G254&gt;=DATE(ano_ref,6,1)),1,0))</f>
      </c>
      <c r="K255" s="41">
        <f>IF(OR(NOT('Plano de Ação'!$B254&lt;&gt;""),NOT(ISNUMBER('Plano de Ação'!$F254)),NOT(ISNUMBER('Plano de Ação'!$G254)),'Plano de Ação'!$J254="Cancelada"),0,IF(AND('Plano de Ação'!$F254&lt;=EOMONTH(DATE(ano_ref,7,1),0),'Plano de Ação'!$G254&gt;=DATE(ano_ref,7,1)),1,0))</f>
      </c>
      <c r="L255" s="41">
        <f>IF(OR(NOT('Plano de Ação'!$B254&lt;&gt;""),NOT(ISNUMBER('Plano de Ação'!$F254)),NOT(ISNUMBER('Plano de Ação'!$G254)),'Plano de Ação'!$J254="Cancelada"),0,IF(AND('Plano de Ação'!$F254&lt;=EOMONTH(DATE(ano_ref,8,1),0),'Plano de Ação'!$G254&gt;=DATE(ano_ref,8,1)),1,0))</f>
      </c>
      <c r="M255" s="41">
        <f>IF(OR(NOT('Plano de Ação'!$B254&lt;&gt;""),NOT(ISNUMBER('Plano de Ação'!$F254)),NOT(ISNUMBER('Plano de Ação'!$G254)),'Plano de Ação'!$J254="Cancelada"),0,IF(AND('Plano de Ação'!$F254&lt;=EOMONTH(DATE(ano_ref,9,1),0),'Plano de Ação'!$G254&gt;=DATE(ano_ref,9,1)),1,0))</f>
      </c>
      <c r="N255" s="41">
        <f>IF(OR(NOT('Plano de Ação'!$B254&lt;&gt;""),NOT(ISNUMBER('Plano de Ação'!$F254)),NOT(ISNUMBER('Plano de Ação'!$G254)),'Plano de Ação'!$J254="Cancelada"),0,IF(AND('Plano de Ação'!$F254&lt;=EOMONTH(DATE(ano_ref,10,1),0),'Plano de Ação'!$G254&gt;=DATE(ano_ref,10,1)),1,0))</f>
      </c>
      <c r="O255" s="41">
        <f>IF(OR(NOT('Plano de Ação'!$B254&lt;&gt;""),NOT(ISNUMBER('Plano de Ação'!$F254)),NOT(ISNUMBER('Plano de Ação'!$G254)),'Plano de Ação'!$J254="Cancelada"),0,IF(AND('Plano de Ação'!$F254&lt;=EOMONTH(DATE(ano_ref,11,1),0),'Plano de Ação'!$G254&gt;=DATE(ano_ref,11,1)),1,0))</f>
      </c>
      <c r="P255" s="41">
        <f>IF(OR(NOT('Plano de Ação'!$B254&lt;&gt;""),NOT(ISNUMBER('Plano de Ação'!$F254)),NOT(ISNUMBER('Plano de Ação'!$G254)),'Plano de Ação'!$J254="Cancelada"),0,IF(AND('Plano de Ação'!$F254&lt;=EOMONTH(DATE(ano_ref,12,1),0),'Plano de Ação'!$G254&gt;=DATE(ano_ref,12,1)),1,0))</f>
      </c>
    </row>
    <row r="256" spans="1:16" x14ac:dyDescent="0.25">
      <c r="A256" s="40">
        <f>IF('Plano de Ação'!$B255&lt;&gt;"",'Plano de Ação'!A255&amp;"","")</f>
      </c>
      <c r="B256" s="25">
        <f>IF('Plano de Ação'!$B255&lt;&gt;"",'Plano de Ação'!B255,"")</f>
      </c>
      <c r="C256" s="25">
        <f>IF('Plano de Ação'!$B255&lt;&gt;"",'Plano de Ação'!E255&amp;"","")</f>
      </c>
      <c r="D256" s="40">
        <f>IF('Plano de Ação'!$B255&lt;&gt;"",'Plano de Ação'!L255,"")</f>
      </c>
      <c r="E256" s="41">
        <f>IF(OR(NOT('Plano de Ação'!$B255&lt;&gt;""),NOT(ISNUMBER('Plano de Ação'!$F255)),NOT(ISNUMBER('Plano de Ação'!$G255)),'Plano de Ação'!$J255="Cancelada"),0,IF(AND('Plano de Ação'!$F255&lt;=EOMONTH(DATE(ano_ref,1,1),0),'Plano de Ação'!$G255&gt;=DATE(ano_ref,1,1)),1,0))</f>
      </c>
      <c r="F256" s="41">
        <f>IF(OR(NOT('Plano de Ação'!$B255&lt;&gt;""),NOT(ISNUMBER('Plano de Ação'!$F255)),NOT(ISNUMBER('Plano de Ação'!$G255)),'Plano de Ação'!$J255="Cancelada"),0,IF(AND('Plano de Ação'!$F255&lt;=EOMONTH(DATE(ano_ref,2,1),0),'Plano de Ação'!$G255&gt;=DATE(ano_ref,2,1)),1,0))</f>
      </c>
      <c r="G256" s="41">
        <f>IF(OR(NOT('Plano de Ação'!$B255&lt;&gt;""),NOT(ISNUMBER('Plano de Ação'!$F255)),NOT(ISNUMBER('Plano de Ação'!$G255)),'Plano de Ação'!$J255="Cancelada"),0,IF(AND('Plano de Ação'!$F255&lt;=EOMONTH(DATE(ano_ref,3,1),0),'Plano de Ação'!$G255&gt;=DATE(ano_ref,3,1)),1,0))</f>
      </c>
      <c r="H256" s="41">
        <f>IF(OR(NOT('Plano de Ação'!$B255&lt;&gt;""),NOT(ISNUMBER('Plano de Ação'!$F255)),NOT(ISNUMBER('Plano de Ação'!$G255)),'Plano de Ação'!$J255="Cancelada"),0,IF(AND('Plano de Ação'!$F255&lt;=EOMONTH(DATE(ano_ref,4,1),0),'Plano de Ação'!$G255&gt;=DATE(ano_ref,4,1)),1,0))</f>
      </c>
      <c r="I256" s="41">
        <f>IF(OR(NOT('Plano de Ação'!$B255&lt;&gt;""),NOT(ISNUMBER('Plano de Ação'!$F255)),NOT(ISNUMBER('Plano de Ação'!$G255)),'Plano de Ação'!$J255="Cancelada"),0,IF(AND('Plano de Ação'!$F255&lt;=EOMONTH(DATE(ano_ref,5,1),0),'Plano de Ação'!$G255&gt;=DATE(ano_ref,5,1)),1,0))</f>
      </c>
      <c r="J256" s="41">
        <f>IF(OR(NOT('Plano de Ação'!$B255&lt;&gt;""),NOT(ISNUMBER('Plano de Ação'!$F255)),NOT(ISNUMBER('Plano de Ação'!$G255)),'Plano de Ação'!$J255="Cancelada"),0,IF(AND('Plano de Ação'!$F255&lt;=EOMONTH(DATE(ano_ref,6,1),0),'Plano de Ação'!$G255&gt;=DATE(ano_ref,6,1)),1,0))</f>
      </c>
      <c r="K256" s="41">
        <f>IF(OR(NOT('Plano de Ação'!$B255&lt;&gt;""),NOT(ISNUMBER('Plano de Ação'!$F255)),NOT(ISNUMBER('Plano de Ação'!$G255)),'Plano de Ação'!$J255="Cancelada"),0,IF(AND('Plano de Ação'!$F255&lt;=EOMONTH(DATE(ano_ref,7,1),0),'Plano de Ação'!$G255&gt;=DATE(ano_ref,7,1)),1,0))</f>
      </c>
      <c r="L256" s="41">
        <f>IF(OR(NOT('Plano de Ação'!$B255&lt;&gt;""),NOT(ISNUMBER('Plano de Ação'!$F255)),NOT(ISNUMBER('Plano de Ação'!$G255)),'Plano de Ação'!$J255="Cancelada"),0,IF(AND('Plano de Ação'!$F255&lt;=EOMONTH(DATE(ano_ref,8,1),0),'Plano de Ação'!$G255&gt;=DATE(ano_ref,8,1)),1,0))</f>
      </c>
      <c r="M256" s="41">
        <f>IF(OR(NOT('Plano de Ação'!$B255&lt;&gt;""),NOT(ISNUMBER('Plano de Ação'!$F255)),NOT(ISNUMBER('Plano de Ação'!$G255)),'Plano de Ação'!$J255="Cancelada"),0,IF(AND('Plano de Ação'!$F255&lt;=EOMONTH(DATE(ano_ref,9,1),0),'Plano de Ação'!$G255&gt;=DATE(ano_ref,9,1)),1,0))</f>
      </c>
      <c r="N256" s="41">
        <f>IF(OR(NOT('Plano de Ação'!$B255&lt;&gt;""),NOT(ISNUMBER('Plano de Ação'!$F255)),NOT(ISNUMBER('Plano de Ação'!$G255)),'Plano de Ação'!$J255="Cancelada"),0,IF(AND('Plano de Ação'!$F255&lt;=EOMONTH(DATE(ano_ref,10,1),0),'Plano de Ação'!$G255&gt;=DATE(ano_ref,10,1)),1,0))</f>
      </c>
      <c r="O256" s="41">
        <f>IF(OR(NOT('Plano de Ação'!$B255&lt;&gt;""),NOT(ISNUMBER('Plano de Ação'!$F255)),NOT(ISNUMBER('Plano de Ação'!$G255)),'Plano de Ação'!$J255="Cancelada"),0,IF(AND('Plano de Ação'!$F255&lt;=EOMONTH(DATE(ano_ref,11,1),0),'Plano de Ação'!$G255&gt;=DATE(ano_ref,11,1)),1,0))</f>
      </c>
      <c r="P256" s="41">
        <f>IF(OR(NOT('Plano de Ação'!$B255&lt;&gt;""),NOT(ISNUMBER('Plano de Ação'!$F255)),NOT(ISNUMBER('Plano de Ação'!$G255)),'Plano de Ação'!$J255="Cancelada"),0,IF(AND('Plano de Ação'!$F255&lt;=EOMONTH(DATE(ano_ref,12,1),0),'Plano de Ação'!$G255&gt;=DATE(ano_ref,12,1)),1,0))</f>
      </c>
    </row>
    <row r="257" spans="1:16" x14ac:dyDescent="0.25">
      <c r="A257" s="40">
        <f>IF('Plano de Ação'!$B256&lt;&gt;"",'Plano de Ação'!A256&amp;"","")</f>
      </c>
      <c r="B257" s="25">
        <f>IF('Plano de Ação'!$B256&lt;&gt;"",'Plano de Ação'!B256,"")</f>
      </c>
      <c r="C257" s="25">
        <f>IF('Plano de Ação'!$B256&lt;&gt;"",'Plano de Ação'!E256&amp;"","")</f>
      </c>
      <c r="D257" s="40">
        <f>IF('Plano de Ação'!$B256&lt;&gt;"",'Plano de Ação'!L256,"")</f>
      </c>
      <c r="E257" s="41">
        <f>IF(OR(NOT('Plano de Ação'!$B256&lt;&gt;""),NOT(ISNUMBER('Plano de Ação'!$F256)),NOT(ISNUMBER('Plano de Ação'!$G256)),'Plano de Ação'!$J256="Cancelada"),0,IF(AND('Plano de Ação'!$F256&lt;=EOMONTH(DATE(ano_ref,1,1),0),'Plano de Ação'!$G256&gt;=DATE(ano_ref,1,1)),1,0))</f>
      </c>
      <c r="F257" s="41">
        <f>IF(OR(NOT('Plano de Ação'!$B256&lt;&gt;""),NOT(ISNUMBER('Plano de Ação'!$F256)),NOT(ISNUMBER('Plano de Ação'!$G256)),'Plano de Ação'!$J256="Cancelada"),0,IF(AND('Plano de Ação'!$F256&lt;=EOMONTH(DATE(ano_ref,2,1),0),'Plano de Ação'!$G256&gt;=DATE(ano_ref,2,1)),1,0))</f>
      </c>
      <c r="G257" s="41">
        <f>IF(OR(NOT('Plano de Ação'!$B256&lt;&gt;""),NOT(ISNUMBER('Plano de Ação'!$F256)),NOT(ISNUMBER('Plano de Ação'!$G256)),'Plano de Ação'!$J256="Cancelada"),0,IF(AND('Plano de Ação'!$F256&lt;=EOMONTH(DATE(ano_ref,3,1),0),'Plano de Ação'!$G256&gt;=DATE(ano_ref,3,1)),1,0))</f>
      </c>
      <c r="H257" s="41">
        <f>IF(OR(NOT('Plano de Ação'!$B256&lt;&gt;""),NOT(ISNUMBER('Plano de Ação'!$F256)),NOT(ISNUMBER('Plano de Ação'!$G256)),'Plano de Ação'!$J256="Cancelada"),0,IF(AND('Plano de Ação'!$F256&lt;=EOMONTH(DATE(ano_ref,4,1),0),'Plano de Ação'!$G256&gt;=DATE(ano_ref,4,1)),1,0))</f>
      </c>
      <c r="I257" s="41">
        <f>IF(OR(NOT('Plano de Ação'!$B256&lt;&gt;""),NOT(ISNUMBER('Plano de Ação'!$F256)),NOT(ISNUMBER('Plano de Ação'!$G256)),'Plano de Ação'!$J256="Cancelada"),0,IF(AND('Plano de Ação'!$F256&lt;=EOMONTH(DATE(ano_ref,5,1),0),'Plano de Ação'!$G256&gt;=DATE(ano_ref,5,1)),1,0))</f>
      </c>
      <c r="J257" s="41">
        <f>IF(OR(NOT('Plano de Ação'!$B256&lt;&gt;""),NOT(ISNUMBER('Plano de Ação'!$F256)),NOT(ISNUMBER('Plano de Ação'!$G256)),'Plano de Ação'!$J256="Cancelada"),0,IF(AND('Plano de Ação'!$F256&lt;=EOMONTH(DATE(ano_ref,6,1),0),'Plano de Ação'!$G256&gt;=DATE(ano_ref,6,1)),1,0))</f>
      </c>
      <c r="K257" s="41">
        <f>IF(OR(NOT('Plano de Ação'!$B256&lt;&gt;""),NOT(ISNUMBER('Plano de Ação'!$F256)),NOT(ISNUMBER('Plano de Ação'!$G256)),'Plano de Ação'!$J256="Cancelada"),0,IF(AND('Plano de Ação'!$F256&lt;=EOMONTH(DATE(ano_ref,7,1),0),'Plano de Ação'!$G256&gt;=DATE(ano_ref,7,1)),1,0))</f>
      </c>
      <c r="L257" s="41">
        <f>IF(OR(NOT('Plano de Ação'!$B256&lt;&gt;""),NOT(ISNUMBER('Plano de Ação'!$F256)),NOT(ISNUMBER('Plano de Ação'!$G256)),'Plano de Ação'!$J256="Cancelada"),0,IF(AND('Plano de Ação'!$F256&lt;=EOMONTH(DATE(ano_ref,8,1),0),'Plano de Ação'!$G256&gt;=DATE(ano_ref,8,1)),1,0))</f>
      </c>
      <c r="M257" s="41">
        <f>IF(OR(NOT('Plano de Ação'!$B256&lt;&gt;""),NOT(ISNUMBER('Plano de Ação'!$F256)),NOT(ISNUMBER('Plano de Ação'!$G256)),'Plano de Ação'!$J256="Cancelada"),0,IF(AND('Plano de Ação'!$F256&lt;=EOMONTH(DATE(ano_ref,9,1),0),'Plano de Ação'!$G256&gt;=DATE(ano_ref,9,1)),1,0))</f>
      </c>
      <c r="N257" s="41">
        <f>IF(OR(NOT('Plano de Ação'!$B256&lt;&gt;""),NOT(ISNUMBER('Plano de Ação'!$F256)),NOT(ISNUMBER('Plano de Ação'!$G256)),'Plano de Ação'!$J256="Cancelada"),0,IF(AND('Plano de Ação'!$F256&lt;=EOMONTH(DATE(ano_ref,10,1),0),'Plano de Ação'!$G256&gt;=DATE(ano_ref,10,1)),1,0))</f>
      </c>
      <c r="O257" s="41">
        <f>IF(OR(NOT('Plano de Ação'!$B256&lt;&gt;""),NOT(ISNUMBER('Plano de Ação'!$F256)),NOT(ISNUMBER('Plano de Ação'!$G256)),'Plano de Ação'!$J256="Cancelada"),0,IF(AND('Plano de Ação'!$F256&lt;=EOMONTH(DATE(ano_ref,11,1),0),'Plano de Ação'!$G256&gt;=DATE(ano_ref,11,1)),1,0))</f>
      </c>
      <c r="P257" s="41">
        <f>IF(OR(NOT('Plano de Ação'!$B256&lt;&gt;""),NOT(ISNUMBER('Plano de Ação'!$F256)),NOT(ISNUMBER('Plano de Ação'!$G256)),'Plano de Ação'!$J256="Cancelada"),0,IF(AND('Plano de Ação'!$F256&lt;=EOMONTH(DATE(ano_ref,12,1),0),'Plano de Ação'!$G256&gt;=DATE(ano_ref,12,1)),1,0))</f>
      </c>
    </row>
    <row r="258" spans="1:16" x14ac:dyDescent="0.25">
      <c r="A258" s="40">
        <f>IF('Plano de Ação'!$B257&lt;&gt;"",'Plano de Ação'!A257&amp;"","")</f>
      </c>
      <c r="B258" s="25">
        <f>IF('Plano de Ação'!$B257&lt;&gt;"",'Plano de Ação'!B257,"")</f>
      </c>
      <c r="C258" s="25">
        <f>IF('Plano de Ação'!$B257&lt;&gt;"",'Plano de Ação'!E257&amp;"","")</f>
      </c>
      <c r="D258" s="40">
        <f>IF('Plano de Ação'!$B257&lt;&gt;"",'Plano de Ação'!L257,"")</f>
      </c>
      <c r="E258" s="41">
        <f>IF(OR(NOT('Plano de Ação'!$B257&lt;&gt;""),NOT(ISNUMBER('Plano de Ação'!$F257)),NOT(ISNUMBER('Plano de Ação'!$G257)),'Plano de Ação'!$J257="Cancelada"),0,IF(AND('Plano de Ação'!$F257&lt;=EOMONTH(DATE(ano_ref,1,1),0),'Plano de Ação'!$G257&gt;=DATE(ano_ref,1,1)),1,0))</f>
      </c>
      <c r="F258" s="41">
        <f>IF(OR(NOT('Plano de Ação'!$B257&lt;&gt;""),NOT(ISNUMBER('Plano de Ação'!$F257)),NOT(ISNUMBER('Plano de Ação'!$G257)),'Plano de Ação'!$J257="Cancelada"),0,IF(AND('Plano de Ação'!$F257&lt;=EOMONTH(DATE(ano_ref,2,1),0),'Plano de Ação'!$G257&gt;=DATE(ano_ref,2,1)),1,0))</f>
      </c>
      <c r="G258" s="41">
        <f>IF(OR(NOT('Plano de Ação'!$B257&lt;&gt;""),NOT(ISNUMBER('Plano de Ação'!$F257)),NOT(ISNUMBER('Plano de Ação'!$G257)),'Plano de Ação'!$J257="Cancelada"),0,IF(AND('Plano de Ação'!$F257&lt;=EOMONTH(DATE(ano_ref,3,1),0),'Plano de Ação'!$G257&gt;=DATE(ano_ref,3,1)),1,0))</f>
      </c>
      <c r="H258" s="41">
        <f>IF(OR(NOT('Plano de Ação'!$B257&lt;&gt;""),NOT(ISNUMBER('Plano de Ação'!$F257)),NOT(ISNUMBER('Plano de Ação'!$G257)),'Plano de Ação'!$J257="Cancelada"),0,IF(AND('Plano de Ação'!$F257&lt;=EOMONTH(DATE(ano_ref,4,1),0),'Plano de Ação'!$G257&gt;=DATE(ano_ref,4,1)),1,0))</f>
      </c>
      <c r="I258" s="41">
        <f>IF(OR(NOT('Plano de Ação'!$B257&lt;&gt;""),NOT(ISNUMBER('Plano de Ação'!$F257)),NOT(ISNUMBER('Plano de Ação'!$G257)),'Plano de Ação'!$J257="Cancelada"),0,IF(AND('Plano de Ação'!$F257&lt;=EOMONTH(DATE(ano_ref,5,1),0),'Plano de Ação'!$G257&gt;=DATE(ano_ref,5,1)),1,0))</f>
      </c>
      <c r="J258" s="41">
        <f>IF(OR(NOT('Plano de Ação'!$B257&lt;&gt;""),NOT(ISNUMBER('Plano de Ação'!$F257)),NOT(ISNUMBER('Plano de Ação'!$G257)),'Plano de Ação'!$J257="Cancelada"),0,IF(AND('Plano de Ação'!$F257&lt;=EOMONTH(DATE(ano_ref,6,1),0),'Plano de Ação'!$G257&gt;=DATE(ano_ref,6,1)),1,0))</f>
      </c>
      <c r="K258" s="41">
        <f>IF(OR(NOT('Plano de Ação'!$B257&lt;&gt;""),NOT(ISNUMBER('Plano de Ação'!$F257)),NOT(ISNUMBER('Plano de Ação'!$G257)),'Plano de Ação'!$J257="Cancelada"),0,IF(AND('Plano de Ação'!$F257&lt;=EOMONTH(DATE(ano_ref,7,1),0),'Plano de Ação'!$G257&gt;=DATE(ano_ref,7,1)),1,0))</f>
      </c>
      <c r="L258" s="41">
        <f>IF(OR(NOT('Plano de Ação'!$B257&lt;&gt;""),NOT(ISNUMBER('Plano de Ação'!$F257)),NOT(ISNUMBER('Plano de Ação'!$G257)),'Plano de Ação'!$J257="Cancelada"),0,IF(AND('Plano de Ação'!$F257&lt;=EOMONTH(DATE(ano_ref,8,1),0),'Plano de Ação'!$G257&gt;=DATE(ano_ref,8,1)),1,0))</f>
      </c>
      <c r="M258" s="41">
        <f>IF(OR(NOT('Plano de Ação'!$B257&lt;&gt;""),NOT(ISNUMBER('Plano de Ação'!$F257)),NOT(ISNUMBER('Plano de Ação'!$G257)),'Plano de Ação'!$J257="Cancelada"),0,IF(AND('Plano de Ação'!$F257&lt;=EOMONTH(DATE(ano_ref,9,1),0),'Plano de Ação'!$G257&gt;=DATE(ano_ref,9,1)),1,0))</f>
      </c>
      <c r="N258" s="41">
        <f>IF(OR(NOT('Plano de Ação'!$B257&lt;&gt;""),NOT(ISNUMBER('Plano de Ação'!$F257)),NOT(ISNUMBER('Plano de Ação'!$G257)),'Plano de Ação'!$J257="Cancelada"),0,IF(AND('Plano de Ação'!$F257&lt;=EOMONTH(DATE(ano_ref,10,1),0),'Plano de Ação'!$G257&gt;=DATE(ano_ref,10,1)),1,0))</f>
      </c>
      <c r="O258" s="41">
        <f>IF(OR(NOT('Plano de Ação'!$B257&lt;&gt;""),NOT(ISNUMBER('Plano de Ação'!$F257)),NOT(ISNUMBER('Plano de Ação'!$G257)),'Plano de Ação'!$J257="Cancelada"),0,IF(AND('Plano de Ação'!$F257&lt;=EOMONTH(DATE(ano_ref,11,1),0),'Plano de Ação'!$G257&gt;=DATE(ano_ref,11,1)),1,0))</f>
      </c>
      <c r="P258" s="41">
        <f>IF(OR(NOT('Plano de Ação'!$B257&lt;&gt;""),NOT(ISNUMBER('Plano de Ação'!$F257)),NOT(ISNUMBER('Plano de Ação'!$G257)),'Plano de Ação'!$J257="Cancelada"),0,IF(AND('Plano de Ação'!$F257&lt;=EOMONTH(DATE(ano_ref,12,1),0),'Plano de Ação'!$G257&gt;=DATE(ano_ref,12,1)),1,0))</f>
      </c>
    </row>
    <row r="259" spans="1:16" x14ac:dyDescent="0.25">
      <c r="A259" s="40">
        <f>IF('Plano de Ação'!$B258&lt;&gt;"",'Plano de Ação'!A258&amp;"","")</f>
      </c>
      <c r="B259" s="25">
        <f>IF('Plano de Ação'!$B258&lt;&gt;"",'Plano de Ação'!B258,"")</f>
      </c>
      <c r="C259" s="25">
        <f>IF('Plano de Ação'!$B258&lt;&gt;"",'Plano de Ação'!E258&amp;"","")</f>
      </c>
      <c r="D259" s="40">
        <f>IF('Plano de Ação'!$B258&lt;&gt;"",'Plano de Ação'!L258,"")</f>
      </c>
      <c r="E259" s="41">
        <f>IF(OR(NOT('Plano de Ação'!$B258&lt;&gt;""),NOT(ISNUMBER('Plano de Ação'!$F258)),NOT(ISNUMBER('Plano de Ação'!$G258)),'Plano de Ação'!$J258="Cancelada"),0,IF(AND('Plano de Ação'!$F258&lt;=EOMONTH(DATE(ano_ref,1,1),0),'Plano de Ação'!$G258&gt;=DATE(ano_ref,1,1)),1,0))</f>
      </c>
      <c r="F259" s="41">
        <f>IF(OR(NOT('Plano de Ação'!$B258&lt;&gt;""),NOT(ISNUMBER('Plano de Ação'!$F258)),NOT(ISNUMBER('Plano de Ação'!$G258)),'Plano de Ação'!$J258="Cancelada"),0,IF(AND('Plano de Ação'!$F258&lt;=EOMONTH(DATE(ano_ref,2,1),0),'Plano de Ação'!$G258&gt;=DATE(ano_ref,2,1)),1,0))</f>
      </c>
      <c r="G259" s="41">
        <f>IF(OR(NOT('Plano de Ação'!$B258&lt;&gt;""),NOT(ISNUMBER('Plano de Ação'!$F258)),NOT(ISNUMBER('Plano de Ação'!$G258)),'Plano de Ação'!$J258="Cancelada"),0,IF(AND('Plano de Ação'!$F258&lt;=EOMONTH(DATE(ano_ref,3,1),0),'Plano de Ação'!$G258&gt;=DATE(ano_ref,3,1)),1,0))</f>
      </c>
      <c r="H259" s="41">
        <f>IF(OR(NOT('Plano de Ação'!$B258&lt;&gt;""),NOT(ISNUMBER('Plano de Ação'!$F258)),NOT(ISNUMBER('Plano de Ação'!$G258)),'Plano de Ação'!$J258="Cancelada"),0,IF(AND('Plano de Ação'!$F258&lt;=EOMONTH(DATE(ano_ref,4,1),0),'Plano de Ação'!$G258&gt;=DATE(ano_ref,4,1)),1,0))</f>
      </c>
      <c r="I259" s="41">
        <f>IF(OR(NOT('Plano de Ação'!$B258&lt;&gt;""),NOT(ISNUMBER('Plano de Ação'!$F258)),NOT(ISNUMBER('Plano de Ação'!$G258)),'Plano de Ação'!$J258="Cancelada"),0,IF(AND('Plano de Ação'!$F258&lt;=EOMONTH(DATE(ano_ref,5,1),0),'Plano de Ação'!$G258&gt;=DATE(ano_ref,5,1)),1,0))</f>
      </c>
      <c r="J259" s="41">
        <f>IF(OR(NOT('Plano de Ação'!$B258&lt;&gt;""),NOT(ISNUMBER('Plano de Ação'!$F258)),NOT(ISNUMBER('Plano de Ação'!$G258)),'Plano de Ação'!$J258="Cancelada"),0,IF(AND('Plano de Ação'!$F258&lt;=EOMONTH(DATE(ano_ref,6,1),0),'Plano de Ação'!$G258&gt;=DATE(ano_ref,6,1)),1,0))</f>
      </c>
      <c r="K259" s="41">
        <f>IF(OR(NOT('Plano de Ação'!$B258&lt;&gt;""),NOT(ISNUMBER('Plano de Ação'!$F258)),NOT(ISNUMBER('Plano de Ação'!$G258)),'Plano de Ação'!$J258="Cancelada"),0,IF(AND('Plano de Ação'!$F258&lt;=EOMONTH(DATE(ano_ref,7,1),0),'Plano de Ação'!$G258&gt;=DATE(ano_ref,7,1)),1,0))</f>
      </c>
      <c r="L259" s="41">
        <f>IF(OR(NOT('Plano de Ação'!$B258&lt;&gt;""),NOT(ISNUMBER('Plano de Ação'!$F258)),NOT(ISNUMBER('Plano de Ação'!$G258)),'Plano de Ação'!$J258="Cancelada"),0,IF(AND('Plano de Ação'!$F258&lt;=EOMONTH(DATE(ano_ref,8,1),0),'Plano de Ação'!$G258&gt;=DATE(ano_ref,8,1)),1,0))</f>
      </c>
      <c r="M259" s="41">
        <f>IF(OR(NOT('Plano de Ação'!$B258&lt;&gt;""),NOT(ISNUMBER('Plano de Ação'!$F258)),NOT(ISNUMBER('Plano de Ação'!$G258)),'Plano de Ação'!$J258="Cancelada"),0,IF(AND('Plano de Ação'!$F258&lt;=EOMONTH(DATE(ano_ref,9,1),0),'Plano de Ação'!$G258&gt;=DATE(ano_ref,9,1)),1,0))</f>
      </c>
      <c r="N259" s="41">
        <f>IF(OR(NOT('Plano de Ação'!$B258&lt;&gt;""),NOT(ISNUMBER('Plano de Ação'!$F258)),NOT(ISNUMBER('Plano de Ação'!$G258)),'Plano de Ação'!$J258="Cancelada"),0,IF(AND('Plano de Ação'!$F258&lt;=EOMONTH(DATE(ano_ref,10,1),0),'Plano de Ação'!$G258&gt;=DATE(ano_ref,10,1)),1,0))</f>
      </c>
      <c r="O259" s="41">
        <f>IF(OR(NOT('Plano de Ação'!$B258&lt;&gt;""),NOT(ISNUMBER('Plano de Ação'!$F258)),NOT(ISNUMBER('Plano de Ação'!$G258)),'Plano de Ação'!$J258="Cancelada"),0,IF(AND('Plano de Ação'!$F258&lt;=EOMONTH(DATE(ano_ref,11,1),0),'Plano de Ação'!$G258&gt;=DATE(ano_ref,11,1)),1,0))</f>
      </c>
      <c r="P259" s="41">
        <f>IF(OR(NOT('Plano de Ação'!$B258&lt;&gt;""),NOT(ISNUMBER('Plano de Ação'!$F258)),NOT(ISNUMBER('Plano de Ação'!$G258)),'Plano de Ação'!$J258="Cancelada"),0,IF(AND('Plano de Ação'!$F258&lt;=EOMONTH(DATE(ano_ref,12,1),0),'Plano de Ação'!$G258&gt;=DATE(ano_ref,12,1)),1,0))</f>
      </c>
    </row>
    <row r="260" spans="1:16" x14ac:dyDescent="0.25">
      <c r="A260" s="40">
        <f>IF('Plano de Ação'!$B259&lt;&gt;"",'Plano de Ação'!A259&amp;"","")</f>
      </c>
      <c r="B260" s="25">
        <f>IF('Plano de Ação'!$B259&lt;&gt;"",'Plano de Ação'!B259,"")</f>
      </c>
      <c r="C260" s="25">
        <f>IF('Plano de Ação'!$B259&lt;&gt;"",'Plano de Ação'!E259&amp;"","")</f>
      </c>
      <c r="D260" s="40">
        <f>IF('Plano de Ação'!$B259&lt;&gt;"",'Plano de Ação'!L259,"")</f>
      </c>
      <c r="E260" s="41">
        <f>IF(OR(NOT('Plano de Ação'!$B259&lt;&gt;""),NOT(ISNUMBER('Plano de Ação'!$F259)),NOT(ISNUMBER('Plano de Ação'!$G259)),'Plano de Ação'!$J259="Cancelada"),0,IF(AND('Plano de Ação'!$F259&lt;=EOMONTH(DATE(ano_ref,1,1),0),'Plano de Ação'!$G259&gt;=DATE(ano_ref,1,1)),1,0))</f>
      </c>
      <c r="F260" s="41">
        <f>IF(OR(NOT('Plano de Ação'!$B259&lt;&gt;""),NOT(ISNUMBER('Plano de Ação'!$F259)),NOT(ISNUMBER('Plano de Ação'!$G259)),'Plano de Ação'!$J259="Cancelada"),0,IF(AND('Plano de Ação'!$F259&lt;=EOMONTH(DATE(ano_ref,2,1),0),'Plano de Ação'!$G259&gt;=DATE(ano_ref,2,1)),1,0))</f>
      </c>
      <c r="G260" s="41">
        <f>IF(OR(NOT('Plano de Ação'!$B259&lt;&gt;""),NOT(ISNUMBER('Plano de Ação'!$F259)),NOT(ISNUMBER('Plano de Ação'!$G259)),'Plano de Ação'!$J259="Cancelada"),0,IF(AND('Plano de Ação'!$F259&lt;=EOMONTH(DATE(ano_ref,3,1),0),'Plano de Ação'!$G259&gt;=DATE(ano_ref,3,1)),1,0))</f>
      </c>
      <c r="H260" s="41">
        <f>IF(OR(NOT('Plano de Ação'!$B259&lt;&gt;""),NOT(ISNUMBER('Plano de Ação'!$F259)),NOT(ISNUMBER('Plano de Ação'!$G259)),'Plano de Ação'!$J259="Cancelada"),0,IF(AND('Plano de Ação'!$F259&lt;=EOMONTH(DATE(ano_ref,4,1),0),'Plano de Ação'!$G259&gt;=DATE(ano_ref,4,1)),1,0))</f>
      </c>
      <c r="I260" s="41">
        <f>IF(OR(NOT('Plano de Ação'!$B259&lt;&gt;""),NOT(ISNUMBER('Plano de Ação'!$F259)),NOT(ISNUMBER('Plano de Ação'!$G259)),'Plano de Ação'!$J259="Cancelada"),0,IF(AND('Plano de Ação'!$F259&lt;=EOMONTH(DATE(ano_ref,5,1),0),'Plano de Ação'!$G259&gt;=DATE(ano_ref,5,1)),1,0))</f>
      </c>
      <c r="J260" s="41">
        <f>IF(OR(NOT('Plano de Ação'!$B259&lt;&gt;""),NOT(ISNUMBER('Plano de Ação'!$F259)),NOT(ISNUMBER('Plano de Ação'!$G259)),'Plano de Ação'!$J259="Cancelada"),0,IF(AND('Plano de Ação'!$F259&lt;=EOMONTH(DATE(ano_ref,6,1),0),'Plano de Ação'!$G259&gt;=DATE(ano_ref,6,1)),1,0))</f>
      </c>
      <c r="K260" s="41">
        <f>IF(OR(NOT('Plano de Ação'!$B259&lt;&gt;""),NOT(ISNUMBER('Plano de Ação'!$F259)),NOT(ISNUMBER('Plano de Ação'!$G259)),'Plano de Ação'!$J259="Cancelada"),0,IF(AND('Plano de Ação'!$F259&lt;=EOMONTH(DATE(ano_ref,7,1),0),'Plano de Ação'!$G259&gt;=DATE(ano_ref,7,1)),1,0))</f>
      </c>
      <c r="L260" s="41">
        <f>IF(OR(NOT('Plano de Ação'!$B259&lt;&gt;""),NOT(ISNUMBER('Plano de Ação'!$F259)),NOT(ISNUMBER('Plano de Ação'!$G259)),'Plano de Ação'!$J259="Cancelada"),0,IF(AND('Plano de Ação'!$F259&lt;=EOMONTH(DATE(ano_ref,8,1),0),'Plano de Ação'!$G259&gt;=DATE(ano_ref,8,1)),1,0))</f>
      </c>
      <c r="M260" s="41">
        <f>IF(OR(NOT('Plano de Ação'!$B259&lt;&gt;""),NOT(ISNUMBER('Plano de Ação'!$F259)),NOT(ISNUMBER('Plano de Ação'!$G259)),'Plano de Ação'!$J259="Cancelada"),0,IF(AND('Plano de Ação'!$F259&lt;=EOMONTH(DATE(ano_ref,9,1),0),'Plano de Ação'!$G259&gt;=DATE(ano_ref,9,1)),1,0))</f>
      </c>
      <c r="N260" s="41">
        <f>IF(OR(NOT('Plano de Ação'!$B259&lt;&gt;""),NOT(ISNUMBER('Plano de Ação'!$F259)),NOT(ISNUMBER('Plano de Ação'!$G259)),'Plano de Ação'!$J259="Cancelada"),0,IF(AND('Plano de Ação'!$F259&lt;=EOMONTH(DATE(ano_ref,10,1),0),'Plano de Ação'!$G259&gt;=DATE(ano_ref,10,1)),1,0))</f>
      </c>
      <c r="O260" s="41">
        <f>IF(OR(NOT('Plano de Ação'!$B259&lt;&gt;""),NOT(ISNUMBER('Plano de Ação'!$F259)),NOT(ISNUMBER('Plano de Ação'!$G259)),'Plano de Ação'!$J259="Cancelada"),0,IF(AND('Plano de Ação'!$F259&lt;=EOMONTH(DATE(ano_ref,11,1),0),'Plano de Ação'!$G259&gt;=DATE(ano_ref,11,1)),1,0))</f>
      </c>
      <c r="P260" s="41">
        <f>IF(OR(NOT('Plano de Ação'!$B259&lt;&gt;""),NOT(ISNUMBER('Plano de Ação'!$F259)),NOT(ISNUMBER('Plano de Ação'!$G259)),'Plano de Ação'!$J259="Cancelada"),0,IF(AND('Plano de Ação'!$F259&lt;=EOMONTH(DATE(ano_ref,12,1),0),'Plano de Ação'!$G259&gt;=DATE(ano_ref,12,1)),1,0))</f>
      </c>
    </row>
    <row r="261" spans="1:16" x14ac:dyDescent="0.25">
      <c r="A261" s="40">
        <f>IF('Plano de Ação'!$B260&lt;&gt;"",'Plano de Ação'!A260&amp;"","")</f>
      </c>
      <c r="B261" s="25">
        <f>IF('Plano de Ação'!$B260&lt;&gt;"",'Plano de Ação'!B260,"")</f>
      </c>
      <c r="C261" s="25">
        <f>IF('Plano de Ação'!$B260&lt;&gt;"",'Plano de Ação'!E260&amp;"","")</f>
      </c>
      <c r="D261" s="40">
        <f>IF('Plano de Ação'!$B260&lt;&gt;"",'Plano de Ação'!L260,"")</f>
      </c>
      <c r="E261" s="41">
        <f>IF(OR(NOT('Plano de Ação'!$B260&lt;&gt;""),NOT(ISNUMBER('Plano de Ação'!$F260)),NOT(ISNUMBER('Plano de Ação'!$G260)),'Plano de Ação'!$J260="Cancelada"),0,IF(AND('Plano de Ação'!$F260&lt;=EOMONTH(DATE(ano_ref,1,1),0),'Plano de Ação'!$G260&gt;=DATE(ano_ref,1,1)),1,0))</f>
      </c>
      <c r="F261" s="41">
        <f>IF(OR(NOT('Plano de Ação'!$B260&lt;&gt;""),NOT(ISNUMBER('Plano de Ação'!$F260)),NOT(ISNUMBER('Plano de Ação'!$G260)),'Plano de Ação'!$J260="Cancelada"),0,IF(AND('Plano de Ação'!$F260&lt;=EOMONTH(DATE(ano_ref,2,1),0),'Plano de Ação'!$G260&gt;=DATE(ano_ref,2,1)),1,0))</f>
      </c>
      <c r="G261" s="41">
        <f>IF(OR(NOT('Plano de Ação'!$B260&lt;&gt;""),NOT(ISNUMBER('Plano de Ação'!$F260)),NOT(ISNUMBER('Plano de Ação'!$G260)),'Plano de Ação'!$J260="Cancelada"),0,IF(AND('Plano de Ação'!$F260&lt;=EOMONTH(DATE(ano_ref,3,1),0),'Plano de Ação'!$G260&gt;=DATE(ano_ref,3,1)),1,0))</f>
      </c>
      <c r="H261" s="41">
        <f>IF(OR(NOT('Plano de Ação'!$B260&lt;&gt;""),NOT(ISNUMBER('Plano de Ação'!$F260)),NOT(ISNUMBER('Plano de Ação'!$G260)),'Plano de Ação'!$J260="Cancelada"),0,IF(AND('Plano de Ação'!$F260&lt;=EOMONTH(DATE(ano_ref,4,1),0),'Plano de Ação'!$G260&gt;=DATE(ano_ref,4,1)),1,0))</f>
      </c>
      <c r="I261" s="41">
        <f>IF(OR(NOT('Plano de Ação'!$B260&lt;&gt;""),NOT(ISNUMBER('Plano de Ação'!$F260)),NOT(ISNUMBER('Plano de Ação'!$G260)),'Plano de Ação'!$J260="Cancelada"),0,IF(AND('Plano de Ação'!$F260&lt;=EOMONTH(DATE(ano_ref,5,1),0),'Plano de Ação'!$G260&gt;=DATE(ano_ref,5,1)),1,0))</f>
      </c>
      <c r="J261" s="41">
        <f>IF(OR(NOT('Plano de Ação'!$B260&lt;&gt;""),NOT(ISNUMBER('Plano de Ação'!$F260)),NOT(ISNUMBER('Plano de Ação'!$G260)),'Plano de Ação'!$J260="Cancelada"),0,IF(AND('Plano de Ação'!$F260&lt;=EOMONTH(DATE(ano_ref,6,1),0),'Plano de Ação'!$G260&gt;=DATE(ano_ref,6,1)),1,0))</f>
      </c>
      <c r="K261" s="41">
        <f>IF(OR(NOT('Plano de Ação'!$B260&lt;&gt;""),NOT(ISNUMBER('Plano de Ação'!$F260)),NOT(ISNUMBER('Plano de Ação'!$G260)),'Plano de Ação'!$J260="Cancelada"),0,IF(AND('Plano de Ação'!$F260&lt;=EOMONTH(DATE(ano_ref,7,1),0),'Plano de Ação'!$G260&gt;=DATE(ano_ref,7,1)),1,0))</f>
      </c>
      <c r="L261" s="41">
        <f>IF(OR(NOT('Plano de Ação'!$B260&lt;&gt;""),NOT(ISNUMBER('Plano de Ação'!$F260)),NOT(ISNUMBER('Plano de Ação'!$G260)),'Plano de Ação'!$J260="Cancelada"),0,IF(AND('Plano de Ação'!$F260&lt;=EOMONTH(DATE(ano_ref,8,1),0),'Plano de Ação'!$G260&gt;=DATE(ano_ref,8,1)),1,0))</f>
      </c>
      <c r="M261" s="41">
        <f>IF(OR(NOT('Plano de Ação'!$B260&lt;&gt;""),NOT(ISNUMBER('Plano de Ação'!$F260)),NOT(ISNUMBER('Plano de Ação'!$G260)),'Plano de Ação'!$J260="Cancelada"),0,IF(AND('Plano de Ação'!$F260&lt;=EOMONTH(DATE(ano_ref,9,1),0),'Plano de Ação'!$G260&gt;=DATE(ano_ref,9,1)),1,0))</f>
      </c>
      <c r="N261" s="41">
        <f>IF(OR(NOT('Plano de Ação'!$B260&lt;&gt;""),NOT(ISNUMBER('Plano de Ação'!$F260)),NOT(ISNUMBER('Plano de Ação'!$G260)),'Plano de Ação'!$J260="Cancelada"),0,IF(AND('Plano de Ação'!$F260&lt;=EOMONTH(DATE(ano_ref,10,1),0),'Plano de Ação'!$G260&gt;=DATE(ano_ref,10,1)),1,0))</f>
      </c>
      <c r="O261" s="41">
        <f>IF(OR(NOT('Plano de Ação'!$B260&lt;&gt;""),NOT(ISNUMBER('Plano de Ação'!$F260)),NOT(ISNUMBER('Plano de Ação'!$G260)),'Plano de Ação'!$J260="Cancelada"),0,IF(AND('Plano de Ação'!$F260&lt;=EOMONTH(DATE(ano_ref,11,1),0),'Plano de Ação'!$G260&gt;=DATE(ano_ref,11,1)),1,0))</f>
      </c>
      <c r="P261" s="41">
        <f>IF(OR(NOT('Plano de Ação'!$B260&lt;&gt;""),NOT(ISNUMBER('Plano de Ação'!$F260)),NOT(ISNUMBER('Plano de Ação'!$G260)),'Plano de Ação'!$J260="Cancelada"),0,IF(AND('Plano de Ação'!$F260&lt;=EOMONTH(DATE(ano_ref,12,1),0),'Plano de Ação'!$G260&gt;=DATE(ano_ref,12,1)),1,0))</f>
      </c>
    </row>
    <row r="262" spans="1:16" x14ac:dyDescent="0.25">
      <c r="A262" s="40">
        <f>IF('Plano de Ação'!$B261&lt;&gt;"",'Plano de Ação'!A261&amp;"","")</f>
      </c>
      <c r="B262" s="25">
        <f>IF('Plano de Ação'!$B261&lt;&gt;"",'Plano de Ação'!B261,"")</f>
      </c>
      <c r="C262" s="25">
        <f>IF('Plano de Ação'!$B261&lt;&gt;"",'Plano de Ação'!E261&amp;"","")</f>
      </c>
      <c r="D262" s="40">
        <f>IF('Plano de Ação'!$B261&lt;&gt;"",'Plano de Ação'!L261,"")</f>
      </c>
      <c r="E262" s="41">
        <f>IF(OR(NOT('Plano de Ação'!$B261&lt;&gt;""),NOT(ISNUMBER('Plano de Ação'!$F261)),NOT(ISNUMBER('Plano de Ação'!$G261)),'Plano de Ação'!$J261="Cancelada"),0,IF(AND('Plano de Ação'!$F261&lt;=EOMONTH(DATE(ano_ref,1,1),0),'Plano de Ação'!$G261&gt;=DATE(ano_ref,1,1)),1,0))</f>
      </c>
      <c r="F262" s="41">
        <f>IF(OR(NOT('Plano de Ação'!$B261&lt;&gt;""),NOT(ISNUMBER('Plano de Ação'!$F261)),NOT(ISNUMBER('Plano de Ação'!$G261)),'Plano de Ação'!$J261="Cancelada"),0,IF(AND('Plano de Ação'!$F261&lt;=EOMONTH(DATE(ano_ref,2,1),0),'Plano de Ação'!$G261&gt;=DATE(ano_ref,2,1)),1,0))</f>
      </c>
      <c r="G262" s="41">
        <f>IF(OR(NOT('Plano de Ação'!$B261&lt;&gt;""),NOT(ISNUMBER('Plano de Ação'!$F261)),NOT(ISNUMBER('Plano de Ação'!$G261)),'Plano de Ação'!$J261="Cancelada"),0,IF(AND('Plano de Ação'!$F261&lt;=EOMONTH(DATE(ano_ref,3,1),0),'Plano de Ação'!$G261&gt;=DATE(ano_ref,3,1)),1,0))</f>
      </c>
      <c r="H262" s="41">
        <f>IF(OR(NOT('Plano de Ação'!$B261&lt;&gt;""),NOT(ISNUMBER('Plano de Ação'!$F261)),NOT(ISNUMBER('Plano de Ação'!$G261)),'Plano de Ação'!$J261="Cancelada"),0,IF(AND('Plano de Ação'!$F261&lt;=EOMONTH(DATE(ano_ref,4,1),0),'Plano de Ação'!$G261&gt;=DATE(ano_ref,4,1)),1,0))</f>
      </c>
      <c r="I262" s="41">
        <f>IF(OR(NOT('Plano de Ação'!$B261&lt;&gt;""),NOT(ISNUMBER('Plano de Ação'!$F261)),NOT(ISNUMBER('Plano de Ação'!$G261)),'Plano de Ação'!$J261="Cancelada"),0,IF(AND('Plano de Ação'!$F261&lt;=EOMONTH(DATE(ano_ref,5,1),0),'Plano de Ação'!$G261&gt;=DATE(ano_ref,5,1)),1,0))</f>
      </c>
      <c r="J262" s="41">
        <f>IF(OR(NOT('Plano de Ação'!$B261&lt;&gt;""),NOT(ISNUMBER('Plano de Ação'!$F261)),NOT(ISNUMBER('Plano de Ação'!$G261)),'Plano de Ação'!$J261="Cancelada"),0,IF(AND('Plano de Ação'!$F261&lt;=EOMONTH(DATE(ano_ref,6,1),0),'Plano de Ação'!$G261&gt;=DATE(ano_ref,6,1)),1,0))</f>
      </c>
      <c r="K262" s="41">
        <f>IF(OR(NOT('Plano de Ação'!$B261&lt;&gt;""),NOT(ISNUMBER('Plano de Ação'!$F261)),NOT(ISNUMBER('Plano de Ação'!$G261)),'Plano de Ação'!$J261="Cancelada"),0,IF(AND('Plano de Ação'!$F261&lt;=EOMONTH(DATE(ano_ref,7,1),0),'Plano de Ação'!$G261&gt;=DATE(ano_ref,7,1)),1,0))</f>
      </c>
      <c r="L262" s="41">
        <f>IF(OR(NOT('Plano de Ação'!$B261&lt;&gt;""),NOT(ISNUMBER('Plano de Ação'!$F261)),NOT(ISNUMBER('Plano de Ação'!$G261)),'Plano de Ação'!$J261="Cancelada"),0,IF(AND('Plano de Ação'!$F261&lt;=EOMONTH(DATE(ano_ref,8,1),0),'Plano de Ação'!$G261&gt;=DATE(ano_ref,8,1)),1,0))</f>
      </c>
      <c r="M262" s="41">
        <f>IF(OR(NOT('Plano de Ação'!$B261&lt;&gt;""),NOT(ISNUMBER('Plano de Ação'!$F261)),NOT(ISNUMBER('Plano de Ação'!$G261)),'Plano de Ação'!$J261="Cancelada"),0,IF(AND('Plano de Ação'!$F261&lt;=EOMONTH(DATE(ano_ref,9,1),0),'Plano de Ação'!$G261&gt;=DATE(ano_ref,9,1)),1,0))</f>
      </c>
      <c r="N262" s="41">
        <f>IF(OR(NOT('Plano de Ação'!$B261&lt;&gt;""),NOT(ISNUMBER('Plano de Ação'!$F261)),NOT(ISNUMBER('Plano de Ação'!$G261)),'Plano de Ação'!$J261="Cancelada"),0,IF(AND('Plano de Ação'!$F261&lt;=EOMONTH(DATE(ano_ref,10,1),0),'Plano de Ação'!$G261&gt;=DATE(ano_ref,10,1)),1,0))</f>
      </c>
      <c r="O262" s="41">
        <f>IF(OR(NOT('Plano de Ação'!$B261&lt;&gt;""),NOT(ISNUMBER('Plano de Ação'!$F261)),NOT(ISNUMBER('Plano de Ação'!$G261)),'Plano de Ação'!$J261="Cancelada"),0,IF(AND('Plano de Ação'!$F261&lt;=EOMONTH(DATE(ano_ref,11,1),0),'Plano de Ação'!$G261&gt;=DATE(ano_ref,11,1)),1,0))</f>
      </c>
      <c r="P262" s="41">
        <f>IF(OR(NOT('Plano de Ação'!$B261&lt;&gt;""),NOT(ISNUMBER('Plano de Ação'!$F261)),NOT(ISNUMBER('Plano de Ação'!$G261)),'Plano de Ação'!$J261="Cancelada"),0,IF(AND('Plano de Ação'!$F261&lt;=EOMONTH(DATE(ano_ref,12,1),0),'Plano de Ação'!$G261&gt;=DATE(ano_ref,12,1)),1,0))</f>
      </c>
    </row>
    <row r="263" spans="1:16" x14ac:dyDescent="0.25">
      <c r="A263" s="40">
        <f>IF('Plano de Ação'!$B262&lt;&gt;"",'Plano de Ação'!A262&amp;"","")</f>
      </c>
      <c r="B263" s="25">
        <f>IF('Plano de Ação'!$B262&lt;&gt;"",'Plano de Ação'!B262,"")</f>
      </c>
      <c r="C263" s="25">
        <f>IF('Plano de Ação'!$B262&lt;&gt;"",'Plano de Ação'!E262&amp;"","")</f>
      </c>
      <c r="D263" s="40">
        <f>IF('Plano de Ação'!$B262&lt;&gt;"",'Plano de Ação'!L262,"")</f>
      </c>
      <c r="E263" s="41">
        <f>IF(OR(NOT('Plano de Ação'!$B262&lt;&gt;""),NOT(ISNUMBER('Plano de Ação'!$F262)),NOT(ISNUMBER('Plano de Ação'!$G262)),'Plano de Ação'!$J262="Cancelada"),0,IF(AND('Plano de Ação'!$F262&lt;=EOMONTH(DATE(ano_ref,1,1),0),'Plano de Ação'!$G262&gt;=DATE(ano_ref,1,1)),1,0))</f>
      </c>
      <c r="F263" s="41">
        <f>IF(OR(NOT('Plano de Ação'!$B262&lt;&gt;""),NOT(ISNUMBER('Plano de Ação'!$F262)),NOT(ISNUMBER('Plano de Ação'!$G262)),'Plano de Ação'!$J262="Cancelada"),0,IF(AND('Plano de Ação'!$F262&lt;=EOMONTH(DATE(ano_ref,2,1),0),'Plano de Ação'!$G262&gt;=DATE(ano_ref,2,1)),1,0))</f>
      </c>
      <c r="G263" s="41">
        <f>IF(OR(NOT('Plano de Ação'!$B262&lt;&gt;""),NOT(ISNUMBER('Plano de Ação'!$F262)),NOT(ISNUMBER('Plano de Ação'!$G262)),'Plano de Ação'!$J262="Cancelada"),0,IF(AND('Plano de Ação'!$F262&lt;=EOMONTH(DATE(ano_ref,3,1),0),'Plano de Ação'!$G262&gt;=DATE(ano_ref,3,1)),1,0))</f>
      </c>
      <c r="H263" s="41">
        <f>IF(OR(NOT('Plano de Ação'!$B262&lt;&gt;""),NOT(ISNUMBER('Plano de Ação'!$F262)),NOT(ISNUMBER('Plano de Ação'!$G262)),'Plano de Ação'!$J262="Cancelada"),0,IF(AND('Plano de Ação'!$F262&lt;=EOMONTH(DATE(ano_ref,4,1),0),'Plano de Ação'!$G262&gt;=DATE(ano_ref,4,1)),1,0))</f>
      </c>
      <c r="I263" s="41">
        <f>IF(OR(NOT('Plano de Ação'!$B262&lt;&gt;""),NOT(ISNUMBER('Plano de Ação'!$F262)),NOT(ISNUMBER('Plano de Ação'!$G262)),'Plano de Ação'!$J262="Cancelada"),0,IF(AND('Plano de Ação'!$F262&lt;=EOMONTH(DATE(ano_ref,5,1),0),'Plano de Ação'!$G262&gt;=DATE(ano_ref,5,1)),1,0))</f>
      </c>
      <c r="J263" s="41">
        <f>IF(OR(NOT('Plano de Ação'!$B262&lt;&gt;""),NOT(ISNUMBER('Plano de Ação'!$F262)),NOT(ISNUMBER('Plano de Ação'!$G262)),'Plano de Ação'!$J262="Cancelada"),0,IF(AND('Plano de Ação'!$F262&lt;=EOMONTH(DATE(ano_ref,6,1),0),'Plano de Ação'!$G262&gt;=DATE(ano_ref,6,1)),1,0))</f>
      </c>
      <c r="K263" s="41">
        <f>IF(OR(NOT('Plano de Ação'!$B262&lt;&gt;""),NOT(ISNUMBER('Plano de Ação'!$F262)),NOT(ISNUMBER('Plano de Ação'!$G262)),'Plano de Ação'!$J262="Cancelada"),0,IF(AND('Plano de Ação'!$F262&lt;=EOMONTH(DATE(ano_ref,7,1),0),'Plano de Ação'!$G262&gt;=DATE(ano_ref,7,1)),1,0))</f>
      </c>
      <c r="L263" s="41">
        <f>IF(OR(NOT('Plano de Ação'!$B262&lt;&gt;""),NOT(ISNUMBER('Plano de Ação'!$F262)),NOT(ISNUMBER('Plano de Ação'!$G262)),'Plano de Ação'!$J262="Cancelada"),0,IF(AND('Plano de Ação'!$F262&lt;=EOMONTH(DATE(ano_ref,8,1),0),'Plano de Ação'!$G262&gt;=DATE(ano_ref,8,1)),1,0))</f>
      </c>
      <c r="M263" s="41">
        <f>IF(OR(NOT('Plano de Ação'!$B262&lt;&gt;""),NOT(ISNUMBER('Plano de Ação'!$F262)),NOT(ISNUMBER('Plano de Ação'!$G262)),'Plano de Ação'!$J262="Cancelada"),0,IF(AND('Plano de Ação'!$F262&lt;=EOMONTH(DATE(ano_ref,9,1),0),'Plano de Ação'!$G262&gt;=DATE(ano_ref,9,1)),1,0))</f>
      </c>
      <c r="N263" s="41">
        <f>IF(OR(NOT('Plano de Ação'!$B262&lt;&gt;""),NOT(ISNUMBER('Plano de Ação'!$F262)),NOT(ISNUMBER('Plano de Ação'!$G262)),'Plano de Ação'!$J262="Cancelada"),0,IF(AND('Plano de Ação'!$F262&lt;=EOMONTH(DATE(ano_ref,10,1),0),'Plano de Ação'!$G262&gt;=DATE(ano_ref,10,1)),1,0))</f>
      </c>
      <c r="O263" s="41">
        <f>IF(OR(NOT('Plano de Ação'!$B262&lt;&gt;""),NOT(ISNUMBER('Plano de Ação'!$F262)),NOT(ISNUMBER('Plano de Ação'!$G262)),'Plano de Ação'!$J262="Cancelada"),0,IF(AND('Plano de Ação'!$F262&lt;=EOMONTH(DATE(ano_ref,11,1),0),'Plano de Ação'!$G262&gt;=DATE(ano_ref,11,1)),1,0))</f>
      </c>
      <c r="P263" s="41">
        <f>IF(OR(NOT('Plano de Ação'!$B262&lt;&gt;""),NOT(ISNUMBER('Plano de Ação'!$F262)),NOT(ISNUMBER('Plano de Ação'!$G262)),'Plano de Ação'!$J262="Cancelada"),0,IF(AND('Plano de Ação'!$F262&lt;=EOMONTH(DATE(ano_ref,12,1),0),'Plano de Ação'!$G262&gt;=DATE(ano_ref,12,1)),1,0))</f>
      </c>
    </row>
    <row r="264" spans="1:16" x14ac:dyDescent="0.25">
      <c r="A264" s="40">
        <f>IF('Plano de Ação'!$B263&lt;&gt;"",'Plano de Ação'!A263&amp;"","")</f>
      </c>
      <c r="B264" s="25">
        <f>IF('Plano de Ação'!$B263&lt;&gt;"",'Plano de Ação'!B263,"")</f>
      </c>
      <c r="C264" s="25">
        <f>IF('Plano de Ação'!$B263&lt;&gt;"",'Plano de Ação'!E263&amp;"","")</f>
      </c>
      <c r="D264" s="40">
        <f>IF('Plano de Ação'!$B263&lt;&gt;"",'Plano de Ação'!L263,"")</f>
      </c>
      <c r="E264" s="41">
        <f>IF(OR(NOT('Plano de Ação'!$B263&lt;&gt;""),NOT(ISNUMBER('Plano de Ação'!$F263)),NOT(ISNUMBER('Plano de Ação'!$G263)),'Plano de Ação'!$J263="Cancelada"),0,IF(AND('Plano de Ação'!$F263&lt;=EOMONTH(DATE(ano_ref,1,1),0),'Plano de Ação'!$G263&gt;=DATE(ano_ref,1,1)),1,0))</f>
      </c>
      <c r="F264" s="41">
        <f>IF(OR(NOT('Plano de Ação'!$B263&lt;&gt;""),NOT(ISNUMBER('Plano de Ação'!$F263)),NOT(ISNUMBER('Plano de Ação'!$G263)),'Plano de Ação'!$J263="Cancelada"),0,IF(AND('Plano de Ação'!$F263&lt;=EOMONTH(DATE(ano_ref,2,1),0),'Plano de Ação'!$G263&gt;=DATE(ano_ref,2,1)),1,0))</f>
      </c>
      <c r="G264" s="41">
        <f>IF(OR(NOT('Plano de Ação'!$B263&lt;&gt;""),NOT(ISNUMBER('Plano de Ação'!$F263)),NOT(ISNUMBER('Plano de Ação'!$G263)),'Plano de Ação'!$J263="Cancelada"),0,IF(AND('Plano de Ação'!$F263&lt;=EOMONTH(DATE(ano_ref,3,1),0),'Plano de Ação'!$G263&gt;=DATE(ano_ref,3,1)),1,0))</f>
      </c>
      <c r="H264" s="41">
        <f>IF(OR(NOT('Plano de Ação'!$B263&lt;&gt;""),NOT(ISNUMBER('Plano de Ação'!$F263)),NOT(ISNUMBER('Plano de Ação'!$G263)),'Plano de Ação'!$J263="Cancelada"),0,IF(AND('Plano de Ação'!$F263&lt;=EOMONTH(DATE(ano_ref,4,1),0),'Plano de Ação'!$G263&gt;=DATE(ano_ref,4,1)),1,0))</f>
      </c>
      <c r="I264" s="41">
        <f>IF(OR(NOT('Plano de Ação'!$B263&lt;&gt;""),NOT(ISNUMBER('Plano de Ação'!$F263)),NOT(ISNUMBER('Plano de Ação'!$G263)),'Plano de Ação'!$J263="Cancelada"),0,IF(AND('Plano de Ação'!$F263&lt;=EOMONTH(DATE(ano_ref,5,1),0),'Plano de Ação'!$G263&gt;=DATE(ano_ref,5,1)),1,0))</f>
      </c>
      <c r="J264" s="41">
        <f>IF(OR(NOT('Plano de Ação'!$B263&lt;&gt;""),NOT(ISNUMBER('Plano de Ação'!$F263)),NOT(ISNUMBER('Plano de Ação'!$G263)),'Plano de Ação'!$J263="Cancelada"),0,IF(AND('Plano de Ação'!$F263&lt;=EOMONTH(DATE(ano_ref,6,1),0),'Plano de Ação'!$G263&gt;=DATE(ano_ref,6,1)),1,0))</f>
      </c>
      <c r="K264" s="41">
        <f>IF(OR(NOT('Plano de Ação'!$B263&lt;&gt;""),NOT(ISNUMBER('Plano de Ação'!$F263)),NOT(ISNUMBER('Plano de Ação'!$G263)),'Plano de Ação'!$J263="Cancelada"),0,IF(AND('Plano de Ação'!$F263&lt;=EOMONTH(DATE(ano_ref,7,1),0),'Plano de Ação'!$G263&gt;=DATE(ano_ref,7,1)),1,0))</f>
      </c>
      <c r="L264" s="41">
        <f>IF(OR(NOT('Plano de Ação'!$B263&lt;&gt;""),NOT(ISNUMBER('Plano de Ação'!$F263)),NOT(ISNUMBER('Plano de Ação'!$G263)),'Plano de Ação'!$J263="Cancelada"),0,IF(AND('Plano de Ação'!$F263&lt;=EOMONTH(DATE(ano_ref,8,1),0),'Plano de Ação'!$G263&gt;=DATE(ano_ref,8,1)),1,0))</f>
      </c>
      <c r="M264" s="41">
        <f>IF(OR(NOT('Plano de Ação'!$B263&lt;&gt;""),NOT(ISNUMBER('Plano de Ação'!$F263)),NOT(ISNUMBER('Plano de Ação'!$G263)),'Plano de Ação'!$J263="Cancelada"),0,IF(AND('Plano de Ação'!$F263&lt;=EOMONTH(DATE(ano_ref,9,1),0),'Plano de Ação'!$G263&gt;=DATE(ano_ref,9,1)),1,0))</f>
      </c>
      <c r="N264" s="41">
        <f>IF(OR(NOT('Plano de Ação'!$B263&lt;&gt;""),NOT(ISNUMBER('Plano de Ação'!$F263)),NOT(ISNUMBER('Plano de Ação'!$G263)),'Plano de Ação'!$J263="Cancelada"),0,IF(AND('Plano de Ação'!$F263&lt;=EOMONTH(DATE(ano_ref,10,1),0),'Plano de Ação'!$G263&gt;=DATE(ano_ref,10,1)),1,0))</f>
      </c>
      <c r="O264" s="41">
        <f>IF(OR(NOT('Plano de Ação'!$B263&lt;&gt;""),NOT(ISNUMBER('Plano de Ação'!$F263)),NOT(ISNUMBER('Plano de Ação'!$G263)),'Plano de Ação'!$J263="Cancelada"),0,IF(AND('Plano de Ação'!$F263&lt;=EOMONTH(DATE(ano_ref,11,1),0),'Plano de Ação'!$G263&gt;=DATE(ano_ref,11,1)),1,0))</f>
      </c>
      <c r="P264" s="41">
        <f>IF(OR(NOT('Plano de Ação'!$B263&lt;&gt;""),NOT(ISNUMBER('Plano de Ação'!$F263)),NOT(ISNUMBER('Plano de Ação'!$G263)),'Plano de Ação'!$J263="Cancelada"),0,IF(AND('Plano de Ação'!$F263&lt;=EOMONTH(DATE(ano_ref,12,1),0),'Plano de Ação'!$G263&gt;=DATE(ano_ref,12,1)),1,0))</f>
      </c>
    </row>
    <row r="265" spans="1:16" x14ac:dyDescent="0.25">
      <c r="A265" s="40">
        <f>IF('Plano de Ação'!$B264&lt;&gt;"",'Plano de Ação'!A264&amp;"","")</f>
      </c>
      <c r="B265" s="25">
        <f>IF('Plano de Ação'!$B264&lt;&gt;"",'Plano de Ação'!B264,"")</f>
      </c>
      <c r="C265" s="25">
        <f>IF('Plano de Ação'!$B264&lt;&gt;"",'Plano de Ação'!E264&amp;"","")</f>
      </c>
      <c r="D265" s="40">
        <f>IF('Plano de Ação'!$B264&lt;&gt;"",'Plano de Ação'!L264,"")</f>
      </c>
      <c r="E265" s="41">
        <f>IF(OR(NOT('Plano de Ação'!$B264&lt;&gt;""),NOT(ISNUMBER('Plano de Ação'!$F264)),NOT(ISNUMBER('Plano de Ação'!$G264)),'Plano de Ação'!$J264="Cancelada"),0,IF(AND('Plano de Ação'!$F264&lt;=EOMONTH(DATE(ano_ref,1,1),0),'Plano de Ação'!$G264&gt;=DATE(ano_ref,1,1)),1,0))</f>
      </c>
      <c r="F265" s="41">
        <f>IF(OR(NOT('Plano de Ação'!$B264&lt;&gt;""),NOT(ISNUMBER('Plano de Ação'!$F264)),NOT(ISNUMBER('Plano de Ação'!$G264)),'Plano de Ação'!$J264="Cancelada"),0,IF(AND('Plano de Ação'!$F264&lt;=EOMONTH(DATE(ano_ref,2,1),0),'Plano de Ação'!$G264&gt;=DATE(ano_ref,2,1)),1,0))</f>
      </c>
      <c r="G265" s="41">
        <f>IF(OR(NOT('Plano de Ação'!$B264&lt;&gt;""),NOT(ISNUMBER('Plano de Ação'!$F264)),NOT(ISNUMBER('Plano de Ação'!$G264)),'Plano de Ação'!$J264="Cancelada"),0,IF(AND('Plano de Ação'!$F264&lt;=EOMONTH(DATE(ano_ref,3,1),0),'Plano de Ação'!$G264&gt;=DATE(ano_ref,3,1)),1,0))</f>
      </c>
      <c r="H265" s="41">
        <f>IF(OR(NOT('Plano de Ação'!$B264&lt;&gt;""),NOT(ISNUMBER('Plano de Ação'!$F264)),NOT(ISNUMBER('Plano de Ação'!$G264)),'Plano de Ação'!$J264="Cancelada"),0,IF(AND('Plano de Ação'!$F264&lt;=EOMONTH(DATE(ano_ref,4,1),0),'Plano de Ação'!$G264&gt;=DATE(ano_ref,4,1)),1,0))</f>
      </c>
      <c r="I265" s="41">
        <f>IF(OR(NOT('Plano de Ação'!$B264&lt;&gt;""),NOT(ISNUMBER('Plano de Ação'!$F264)),NOT(ISNUMBER('Plano de Ação'!$G264)),'Plano de Ação'!$J264="Cancelada"),0,IF(AND('Plano de Ação'!$F264&lt;=EOMONTH(DATE(ano_ref,5,1),0),'Plano de Ação'!$G264&gt;=DATE(ano_ref,5,1)),1,0))</f>
      </c>
      <c r="J265" s="41">
        <f>IF(OR(NOT('Plano de Ação'!$B264&lt;&gt;""),NOT(ISNUMBER('Plano de Ação'!$F264)),NOT(ISNUMBER('Plano de Ação'!$G264)),'Plano de Ação'!$J264="Cancelada"),0,IF(AND('Plano de Ação'!$F264&lt;=EOMONTH(DATE(ano_ref,6,1),0),'Plano de Ação'!$G264&gt;=DATE(ano_ref,6,1)),1,0))</f>
      </c>
      <c r="K265" s="41">
        <f>IF(OR(NOT('Plano de Ação'!$B264&lt;&gt;""),NOT(ISNUMBER('Plano de Ação'!$F264)),NOT(ISNUMBER('Plano de Ação'!$G264)),'Plano de Ação'!$J264="Cancelada"),0,IF(AND('Plano de Ação'!$F264&lt;=EOMONTH(DATE(ano_ref,7,1),0),'Plano de Ação'!$G264&gt;=DATE(ano_ref,7,1)),1,0))</f>
      </c>
      <c r="L265" s="41">
        <f>IF(OR(NOT('Plano de Ação'!$B264&lt;&gt;""),NOT(ISNUMBER('Plano de Ação'!$F264)),NOT(ISNUMBER('Plano de Ação'!$G264)),'Plano de Ação'!$J264="Cancelada"),0,IF(AND('Plano de Ação'!$F264&lt;=EOMONTH(DATE(ano_ref,8,1),0),'Plano de Ação'!$G264&gt;=DATE(ano_ref,8,1)),1,0))</f>
      </c>
      <c r="M265" s="41">
        <f>IF(OR(NOT('Plano de Ação'!$B264&lt;&gt;""),NOT(ISNUMBER('Plano de Ação'!$F264)),NOT(ISNUMBER('Plano de Ação'!$G264)),'Plano de Ação'!$J264="Cancelada"),0,IF(AND('Plano de Ação'!$F264&lt;=EOMONTH(DATE(ano_ref,9,1),0),'Plano de Ação'!$G264&gt;=DATE(ano_ref,9,1)),1,0))</f>
      </c>
      <c r="N265" s="41">
        <f>IF(OR(NOT('Plano de Ação'!$B264&lt;&gt;""),NOT(ISNUMBER('Plano de Ação'!$F264)),NOT(ISNUMBER('Plano de Ação'!$G264)),'Plano de Ação'!$J264="Cancelada"),0,IF(AND('Plano de Ação'!$F264&lt;=EOMONTH(DATE(ano_ref,10,1),0),'Plano de Ação'!$G264&gt;=DATE(ano_ref,10,1)),1,0))</f>
      </c>
      <c r="O265" s="41">
        <f>IF(OR(NOT('Plano de Ação'!$B264&lt;&gt;""),NOT(ISNUMBER('Plano de Ação'!$F264)),NOT(ISNUMBER('Plano de Ação'!$G264)),'Plano de Ação'!$J264="Cancelada"),0,IF(AND('Plano de Ação'!$F264&lt;=EOMONTH(DATE(ano_ref,11,1),0),'Plano de Ação'!$G264&gt;=DATE(ano_ref,11,1)),1,0))</f>
      </c>
      <c r="P265" s="41">
        <f>IF(OR(NOT('Plano de Ação'!$B264&lt;&gt;""),NOT(ISNUMBER('Plano de Ação'!$F264)),NOT(ISNUMBER('Plano de Ação'!$G264)),'Plano de Ação'!$J264="Cancelada"),0,IF(AND('Plano de Ação'!$F264&lt;=EOMONTH(DATE(ano_ref,12,1),0),'Plano de Ação'!$G264&gt;=DATE(ano_ref,12,1)),1,0))</f>
      </c>
    </row>
    <row r="266" spans="1:16" x14ac:dyDescent="0.25">
      <c r="A266" s="40">
        <f>IF('Plano de Ação'!$B265&lt;&gt;"",'Plano de Ação'!A265&amp;"","")</f>
      </c>
      <c r="B266" s="25">
        <f>IF('Plano de Ação'!$B265&lt;&gt;"",'Plano de Ação'!B265,"")</f>
      </c>
      <c r="C266" s="25">
        <f>IF('Plano de Ação'!$B265&lt;&gt;"",'Plano de Ação'!E265&amp;"","")</f>
      </c>
      <c r="D266" s="40">
        <f>IF('Plano de Ação'!$B265&lt;&gt;"",'Plano de Ação'!L265,"")</f>
      </c>
      <c r="E266" s="41">
        <f>IF(OR(NOT('Plano de Ação'!$B265&lt;&gt;""),NOT(ISNUMBER('Plano de Ação'!$F265)),NOT(ISNUMBER('Plano de Ação'!$G265)),'Plano de Ação'!$J265="Cancelada"),0,IF(AND('Plano de Ação'!$F265&lt;=EOMONTH(DATE(ano_ref,1,1),0),'Plano de Ação'!$G265&gt;=DATE(ano_ref,1,1)),1,0))</f>
      </c>
      <c r="F266" s="41">
        <f>IF(OR(NOT('Plano de Ação'!$B265&lt;&gt;""),NOT(ISNUMBER('Plano de Ação'!$F265)),NOT(ISNUMBER('Plano de Ação'!$G265)),'Plano de Ação'!$J265="Cancelada"),0,IF(AND('Plano de Ação'!$F265&lt;=EOMONTH(DATE(ano_ref,2,1),0),'Plano de Ação'!$G265&gt;=DATE(ano_ref,2,1)),1,0))</f>
      </c>
      <c r="G266" s="41">
        <f>IF(OR(NOT('Plano de Ação'!$B265&lt;&gt;""),NOT(ISNUMBER('Plano de Ação'!$F265)),NOT(ISNUMBER('Plano de Ação'!$G265)),'Plano de Ação'!$J265="Cancelada"),0,IF(AND('Plano de Ação'!$F265&lt;=EOMONTH(DATE(ano_ref,3,1),0),'Plano de Ação'!$G265&gt;=DATE(ano_ref,3,1)),1,0))</f>
      </c>
      <c r="H266" s="41">
        <f>IF(OR(NOT('Plano de Ação'!$B265&lt;&gt;""),NOT(ISNUMBER('Plano de Ação'!$F265)),NOT(ISNUMBER('Plano de Ação'!$G265)),'Plano de Ação'!$J265="Cancelada"),0,IF(AND('Plano de Ação'!$F265&lt;=EOMONTH(DATE(ano_ref,4,1),0),'Plano de Ação'!$G265&gt;=DATE(ano_ref,4,1)),1,0))</f>
      </c>
      <c r="I266" s="41">
        <f>IF(OR(NOT('Plano de Ação'!$B265&lt;&gt;""),NOT(ISNUMBER('Plano de Ação'!$F265)),NOT(ISNUMBER('Plano de Ação'!$G265)),'Plano de Ação'!$J265="Cancelada"),0,IF(AND('Plano de Ação'!$F265&lt;=EOMONTH(DATE(ano_ref,5,1),0),'Plano de Ação'!$G265&gt;=DATE(ano_ref,5,1)),1,0))</f>
      </c>
      <c r="J266" s="41">
        <f>IF(OR(NOT('Plano de Ação'!$B265&lt;&gt;""),NOT(ISNUMBER('Plano de Ação'!$F265)),NOT(ISNUMBER('Plano de Ação'!$G265)),'Plano de Ação'!$J265="Cancelada"),0,IF(AND('Plano de Ação'!$F265&lt;=EOMONTH(DATE(ano_ref,6,1),0),'Plano de Ação'!$G265&gt;=DATE(ano_ref,6,1)),1,0))</f>
      </c>
      <c r="K266" s="41">
        <f>IF(OR(NOT('Plano de Ação'!$B265&lt;&gt;""),NOT(ISNUMBER('Plano de Ação'!$F265)),NOT(ISNUMBER('Plano de Ação'!$G265)),'Plano de Ação'!$J265="Cancelada"),0,IF(AND('Plano de Ação'!$F265&lt;=EOMONTH(DATE(ano_ref,7,1),0),'Plano de Ação'!$G265&gt;=DATE(ano_ref,7,1)),1,0))</f>
      </c>
      <c r="L266" s="41">
        <f>IF(OR(NOT('Plano de Ação'!$B265&lt;&gt;""),NOT(ISNUMBER('Plano de Ação'!$F265)),NOT(ISNUMBER('Plano de Ação'!$G265)),'Plano de Ação'!$J265="Cancelada"),0,IF(AND('Plano de Ação'!$F265&lt;=EOMONTH(DATE(ano_ref,8,1),0),'Plano de Ação'!$G265&gt;=DATE(ano_ref,8,1)),1,0))</f>
      </c>
      <c r="M266" s="41">
        <f>IF(OR(NOT('Plano de Ação'!$B265&lt;&gt;""),NOT(ISNUMBER('Plano de Ação'!$F265)),NOT(ISNUMBER('Plano de Ação'!$G265)),'Plano de Ação'!$J265="Cancelada"),0,IF(AND('Plano de Ação'!$F265&lt;=EOMONTH(DATE(ano_ref,9,1),0),'Plano de Ação'!$G265&gt;=DATE(ano_ref,9,1)),1,0))</f>
      </c>
      <c r="N266" s="41">
        <f>IF(OR(NOT('Plano de Ação'!$B265&lt;&gt;""),NOT(ISNUMBER('Plano de Ação'!$F265)),NOT(ISNUMBER('Plano de Ação'!$G265)),'Plano de Ação'!$J265="Cancelada"),0,IF(AND('Plano de Ação'!$F265&lt;=EOMONTH(DATE(ano_ref,10,1),0),'Plano de Ação'!$G265&gt;=DATE(ano_ref,10,1)),1,0))</f>
      </c>
      <c r="O266" s="41">
        <f>IF(OR(NOT('Plano de Ação'!$B265&lt;&gt;""),NOT(ISNUMBER('Plano de Ação'!$F265)),NOT(ISNUMBER('Plano de Ação'!$G265)),'Plano de Ação'!$J265="Cancelada"),0,IF(AND('Plano de Ação'!$F265&lt;=EOMONTH(DATE(ano_ref,11,1),0),'Plano de Ação'!$G265&gt;=DATE(ano_ref,11,1)),1,0))</f>
      </c>
      <c r="P266" s="41">
        <f>IF(OR(NOT('Plano de Ação'!$B265&lt;&gt;""),NOT(ISNUMBER('Plano de Ação'!$F265)),NOT(ISNUMBER('Plano de Ação'!$G265)),'Plano de Ação'!$J265="Cancelada"),0,IF(AND('Plano de Ação'!$F265&lt;=EOMONTH(DATE(ano_ref,12,1),0),'Plano de Ação'!$G265&gt;=DATE(ano_ref,12,1)),1,0))</f>
      </c>
    </row>
    <row r="267" spans="1:16" x14ac:dyDescent="0.25">
      <c r="A267" s="40">
        <f>IF('Plano de Ação'!$B266&lt;&gt;"",'Plano de Ação'!A266&amp;"","")</f>
      </c>
      <c r="B267" s="25">
        <f>IF('Plano de Ação'!$B266&lt;&gt;"",'Plano de Ação'!B266,"")</f>
      </c>
      <c r="C267" s="25">
        <f>IF('Plano de Ação'!$B266&lt;&gt;"",'Plano de Ação'!E266&amp;"","")</f>
      </c>
      <c r="D267" s="40">
        <f>IF('Plano de Ação'!$B266&lt;&gt;"",'Plano de Ação'!L266,"")</f>
      </c>
      <c r="E267" s="41">
        <f>IF(OR(NOT('Plano de Ação'!$B266&lt;&gt;""),NOT(ISNUMBER('Plano de Ação'!$F266)),NOT(ISNUMBER('Plano de Ação'!$G266)),'Plano de Ação'!$J266="Cancelada"),0,IF(AND('Plano de Ação'!$F266&lt;=EOMONTH(DATE(ano_ref,1,1),0),'Plano de Ação'!$G266&gt;=DATE(ano_ref,1,1)),1,0))</f>
      </c>
      <c r="F267" s="41">
        <f>IF(OR(NOT('Plano de Ação'!$B266&lt;&gt;""),NOT(ISNUMBER('Plano de Ação'!$F266)),NOT(ISNUMBER('Plano de Ação'!$G266)),'Plano de Ação'!$J266="Cancelada"),0,IF(AND('Plano de Ação'!$F266&lt;=EOMONTH(DATE(ano_ref,2,1),0),'Plano de Ação'!$G266&gt;=DATE(ano_ref,2,1)),1,0))</f>
      </c>
      <c r="G267" s="41">
        <f>IF(OR(NOT('Plano de Ação'!$B266&lt;&gt;""),NOT(ISNUMBER('Plano de Ação'!$F266)),NOT(ISNUMBER('Plano de Ação'!$G266)),'Plano de Ação'!$J266="Cancelada"),0,IF(AND('Plano de Ação'!$F266&lt;=EOMONTH(DATE(ano_ref,3,1),0),'Plano de Ação'!$G266&gt;=DATE(ano_ref,3,1)),1,0))</f>
      </c>
      <c r="H267" s="41">
        <f>IF(OR(NOT('Plano de Ação'!$B266&lt;&gt;""),NOT(ISNUMBER('Plano de Ação'!$F266)),NOT(ISNUMBER('Plano de Ação'!$G266)),'Plano de Ação'!$J266="Cancelada"),0,IF(AND('Plano de Ação'!$F266&lt;=EOMONTH(DATE(ano_ref,4,1),0),'Plano de Ação'!$G266&gt;=DATE(ano_ref,4,1)),1,0))</f>
      </c>
      <c r="I267" s="41">
        <f>IF(OR(NOT('Plano de Ação'!$B266&lt;&gt;""),NOT(ISNUMBER('Plano de Ação'!$F266)),NOT(ISNUMBER('Plano de Ação'!$G266)),'Plano de Ação'!$J266="Cancelada"),0,IF(AND('Plano de Ação'!$F266&lt;=EOMONTH(DATE(ano_ref,5,1),0),'Plano de Ação'!$G266&gt;=DATE(ano_ref,5,1)),1,0))</f>
      </c>
      <c r="J267" s="41">
        <f>IF(OR(NOT('Plano de Ação'!$B266&lt;&gt;""),NOT(ISNUMBER('Plano de Ação'!$F266)),NOT(ISNUMBER('Plano de Ação'!$G266)),'Plano de Ação'!$J266="Cancelada"),0,IF(AND('Plano de Ação'!$F266&lt;=EOMONTH(DATE(ano_ref,6,1),0),'Plano de Ação'!$G266&gt;=DATE(ano_ref,6,1)),1,0))</f>
      </c>
      <c r="K267" s="41">
        <f>IF(OR(NOT('Plano de Ação'!$B266&lt;&gt;""),NOT(ISNUMBER('Plano de Ação'!$F266)),NOT(ISNUMBER('Plano de Ação'!$G266)),'Plano de Ação'!$J266="Cancelada"),0,IF(AND('Plano de Ação'!$F266&lt;=EOMONTH(DATE(ano_ref,7,1),0),'Plano de Ação'!$G266&gt;=DATE(ano_ref,7,1)),1,0))</f>
      </c>
      <c r="L267" s="41">
        <f>IF(OR(NOT('Plano de Ação'!$B266&lt;&gt;""),NOT(ISNUMBER('Plano de Ação'!$F266)),NOT(ISNUMBER('Plano de Ação'!$G266)),'Plano de Ação'!$J266="Cancelada"),0,IF(AND('Plano de Ação'!$F266&lt;=EOMONTH(DATE(ano_ref,8,1),0),'Plano de Ação'!$G266&gt;=DATE(ano_ref,8,1)),1,0))</f>
      </c>
      <c r="M267" s="41">
        <f>IF(OR(NOT('Plano de Ação'!$B266&lt;&gt;""),NOT(ISNUMBER('Plano de Ação'!$F266)),NOT(ISNUMBER('Plano de Ação'!$G266)),'Plano de Ação'!$J266="Cancelada"),0,IF(AND('Plano de Ação'!$F266&lt;=EOMONTH(DATE(ano_ref,9,1),0),'Plano de Ação'!$G266&gt;=DATE(ano_ref,9,1)),1,0))</f>
      </c>
      <c r="N267" s="41">
        <f>IF(OR(NOT('Plano de Ação'!$B266&lt;&gt;""),NOT(ISNUMBER('Plano de Ação'!$F266)),NOT(ISNUMBER('Plano de Ação'!$G266)),'Plano de Ação'!$J266="Cancelada"),0,IF(AND('Plano de Ação'!$F266&lt;=EOMONTH(DATE(ano_ref,10,1),0),'Plano de Ação'!$G266&gt;=DATE(ano_ref,10,1)),1,0))</f>
      </c>
      <c r="O267" s="41">
        <f>IF(OR(NOT('Plano de Ação'!$B266&lt;&gt;""),NOT(ISNUMBER('Plano de Ação'!$F266)),NOT(ISNUMBER('Plano de Ação'!$G266)),'Plano de Ação'!$J266="Cancelada"),0,IF(AND('Plano de Ação'!$F266&lt;=EOMONTH(DATE(ano_ref,11,1),0),'Plano de Ação'!$G266&gt;=DATE(ano_ref,11,1)),1,0))</f>
      </c>
      <c r="P267" s="41">
        <f>IF(OR(NOT('Plano de Ação'!$B266&lt;&gt;""),NOT(ISNUMBER('Plano de Ação'!$F266)),NOT(ISNUMBER('Plano de Ação'!$G266)),'Plano de Ação'!$J266="Cancelada"),0,IF(AND('Plano de Ação'!$F266&lt;=EOMONTH(DATE(ano_ref,12,1),0),'Plano de Ação'!$G266&gt;=DATE(ano_ref,12,1)),1,0))</f>
      </c>
    </row>
    <row r="268" spans="1:16" x14ac:dyDescent="0.25">
      <c r="A268" s="40">
        <f>IF('Plano de Ação'!$B267&lt;&gt;"",'Plano de Ação'!A267&amp;"","")</f>
      </c>
      <c r="B268" s="25">
        <f>IF('Plano de Ação'!$B267&lt;&gt;"",'Plano de Ação'!B267,"")</f>
      </c>
      <c r="C268" s="25">
        <f>IF('Plano de Ação'!$B267&lt;&gt;"",'Plano de Ação'!E267&amp;"","")</f>
      </c>
      <c r="D268" s="40">
        <f>IF('Plano de Ação'!$B267&lt;&gt;"",'Plano de Ação'!L267,"")</f>
      </c>
      <c r="E268" s="41">
        <f>IF(OR(NOT('Plano de Ação'!$B267&lt;&gt;""),NOT(ISNUMBER('Plano de Ação'!$F267)),NOT(ISNUMBER('Plano de Ação'!$G267)),'Plano de Ação'!$J267="Cancelada"),0,IF(AND('Plano de Ação'!$F267&lt;=EOMONTH(DATE(ano_ref,1,1),0),'Plano de Ação'!$G267&gt;=DATE(ano_ref,1,1)),1,0))</f>
      </c>
      <c r="F268" s="41">
        <f>IF(OR(NOT('Plano de Ação'!$B267&lt;&gt;""),NOT(ISNUMBER('Plano de Ação'!$F267)),NOT(ISNUMBER('Plano de Ação'!$G267)),'Plano de Ação'!$J267="Cancelada"),0,IF(AND('Plano de Ação'!$F267&lt;=EOMONTH(DATE(ano_ref,2,1),0),'Plano de Ação'!$G267&gt;=DATE(ano_ref,2,1)),1,0))</f>
      </c>
      <c r="G268" s="41">
        <f>IF(OR(NOT('Plano de Ação'!$B267&lt;&gt;""),NOT(ISNUMBER('Plano de Ação'!$F267)),NOT(ISNUMBER('Plano de Ação'!$G267)),'Plano de Ação'!$J267="Cancelada"),0,IF(AND('Plano de Ação'!$F267&lt;=EOMONTH(DATE(ano_ref,3,1),0),'Plano de Ação'!$G267&gt;=DATE(ano_ref,3,1)),1,0))</f>
      </c>
      <c r="H268" s="41">
        <f>IF(OR(NOT('Plano de Ação'!$B267&lt;&gt;""),NOT(ISNUMBER('Plano de Ação'!$F267)),NOT(ISNUMBER('Plano de Ação'!$G267)),'Plano de Ação'!$J267="Cancelada"),0,IF(AND('Plano de Ação'!$F267&lt;=EOMONTH(DATE(ano_ref,4,1),0),'Plano de Ação'!$G267&gt;=DATE(ano_ref,4,1)),1,0))</f>
      </c>
      <c r="I268" s="41">
        <f>IF(OR(NOT('Plano de Ação'!$B267&lt;&gt;""),NOT(ISNUMBER('Plano de Ação'!$F267)),NOT(ISNUMBER('Plano de Ação'!$G267)),'Plano de Ação'!$J267="Cancelada"),0,IF(AND('Plano de Ação'!$F267&lt;=EOMONTH(DATE(ano_ref,5,1),0),'Plano de Ação'!$G267&gt;=DATE(ano_ref,5,1)),1,0))</f>
      </c>
      <c r="J268" s="41">
        <f>IF(OR(NOT('Plano de Ação'!$B267&lt;&gt;""),NOT(ISNUMBER('Plano de Ação'!$F267)),NOT(ISNUMBER('Plano de Ação'!$G267)),'Plano de Ação'!$J267="Cancelada"),0,IF(AND('Plano de Ação'!$F267&lt;=EOMONTH(DATE(ano_ref,6,1),0),'Plano de Ação'!$G267&gt;=DATE(ano_ref,6,1)),1,0))</f>
      </c>
      <c r="K268" s="41">
        <f>IF(OR(NOT('Plano de Ação'!$B267&lt;&gt;""),NOT(ISNUMBER('Plano de Ação'!$F267)),NOT(ISNUMBER('Plano de Ação'!$G267)),'Plano de Ação'!$J267="Cancelada"),0,IF(AND('Plano de Ação'!$F267&lt;=EOMONTH(DATE(ano_ref,7,1),0),'Plano de Ação'!$G267&gt;=DATE(ano_ref,7,1)),1,0))</f>
      </c>
      <c r="L268" s="41">
        <f>IF(OR(NOT('Plano de Ação'!$B267&lt;&gt;""),NOT(ISNUMBER('Plano de Ação'!$F267)),NOT(ISNUMBER('Plano de Ação'!$G267)),'Plano de Ação'!$J267="Cancelada"),0,IF(AND('Plano de Ação'!$F267&lt;=EOMONTH(DATE(ano_ref,8,1),0),'Plano de Ação'!$G267&gt;=DATE(ano_ref,8,1)),1,0))</f>
      </c>
      <c r="M268" s="41">
        <f>IF(OR(NOT('Plano de Ação'!$B267&lt;&gt;""),NOT(ISNUMBER('Plano de Ação'!$F267)),NOT(ISNUMBER('Plano de Ação'!$G267)),'Plano de Ação'!$J267="Cancelada"),0,IF(AND('Plano de Ação'!$F267&lt;=EOMONTH(DATE(ano_ref,9,1),0),'Plano de Ação'!$G267&gt;=DATE(ano_ref,9,1)),1,0))</f>
      </c>
      <c r="N268" s="41">
        <f>IF(OR(NOT('Plano de Ação'!$B267&lt;&gt;""),NOT(ISNUMBER('Plano de Ação'!$F267)),NOT(ISNUMBER('Plano de Ação'!$G267)),'Plano de Ação'!$J267="Cancelada"),0,IF(AND('Plano de Ação'!$F267&lt;=EOMONTH(DATE(ano_ref,10,1),0),'Plano de Ação'!$G267&gt;=DATE(ano_ref,10,1)),1,0))</f>
      </c>
      <c r="O268" s="41">
        <f>IF(OR(NOT('Plano de Ação'!$B267&lt;&gt;""),NOT(ISNUMBER('Plano de Ação'!$F267)),NOT(ISNUMBER('Plano de Ação'!$G267)),'Plano de Ação'!$J267="Cancelada"),0,IF(AND('Plano de Ação'!$F267&lt;=EOMONTH(DATE(ano_ref,11,1),0),'Plano de Ação'!$G267&gt;=DATE(ano_ref,11,1)),1,0))</f>
      </c>
      <c r="P268" s="41">
        <f>IF(OR(NOT('Plano de Ação'!$B267&lt;&gt;""),NOT(ISNUMBER('Plano de Ação'!$F267)),NOT(ISNUMBER('Plano de Ação'!$G267)),'Plano de Ação'!$J267="Cancelada"),0,IF(AND('Plano de Ação'!$F267&lt;=EOMONTH(DATE(ano_ref,12,1),0),'Plano de Ação'!$G267&gt;=DATE(ano_ref,12,1)),1,0))</f>
      </c>
    </row>
    <row r="269" spans="1:16" x14ac:dyDescent="0.25">
      <c r="A269" s="40">
        <f>IF('Plano de Ação'!$B268&lt;&gt;"",'Plano de Ação'!A268&amp;"","")</f>
      </c>
      <c r="B269" s="25">
        <f>IF('Plano de Ação'!$B268&lt;&gt;"",'Plano de Ação'!B268,"")</f>
      </c>
      <c r="C269" s="25">
        <f>IF('Plano de Ação'!$B268&lt;&gt;"",'Plano de Ação'!E268&amp;"","")</f>
      </c>
      <c r="D269" s="40">
        <f>IF('Plano de Ação'!$B268&lt;&gt;"",'Plano de Ação'!L268,"")</f>
      </c>
      <c r="E269" s="41">
        <f>IF(OR(NOT('Plano de Ação'!$B268&lt;&gt;""),NOT(ISNUMBER('Plano de Ação'!$F268)),NOT(ISNUMBER('Plano de Ação'!$G268)),'Plano de Ação'!$J268="Cancelada"),0,IF(AND('Plano de Ação'!$F268&lt;=EOMONTH(DATE(ano_ref,1,1),0),'Plano de Ação'!$G268&gt;=DATE(ano_ref,1,1)),1,0))</f>
      </c>
      <c r="F269" s="41">
        <f>IF(OR(NOT('Plano de Ação'!$B268&lt;&gt;""),NOT(ISNUMBER('Plano de Ação'!$F268)),NOT(ISNUMBER('Plano de Ação'!$G268)),'Plano de Ação'!$J268="Cancelada"),0,IF(AND('Plano de Ação'!$F268&lt;=EOMONTH(DATE(ano_ref,2,1),0),'Plano de Ação'!$G268&gt;=DATE(ano_ref,2,1)),1,0))</f>
      </c>
      <c r="G269" s="41">
        <f>IF(OR(NOT('Plano de Ação'!$B268&lt;&gt;""),NOT(ISNUMBER('Plano de Ação'!$F268)),NOT(ISNUMBER('Plano de Ação'!$G268)),'Plano de Ação'!$J268="Cancelada"),0,IF(AND('Plano de Ação'!$F268&lt;=EOMONTH(DATE(ano_ref,3,1),0),'Plano de Ação'!$G268&gt;=DATE(ano_ref,3,1)),1,0))</f>
      </c>
      <c r="H269" s="41">
        <f>IF(OR(NOT('Plano de Ação'!$B268&lt;&gt;""),NOT(ISNUMBER('Plano de Ação'!$F268)),NOT(ISNUMBER('Plano de Ação'!$G268)),'Plano de Ação'!$J268="Cancelada"),0,IF(AND('Plano de Ação'!$F268&lt;=EOMONTH(DATE(ano_ref,4,1),0),'Plano de Ação'!$G268&gt;=DATE(ano_ref,4,1)),1,0))</f>
      </c>
      <c r="I269" s="41">
        <f>IF(OR(NOT('Plano de Ação'!$B268&lt;&gt;""),NOT(ISNUMBER('Plano de Ação'!$F268)),NOT(ISNUMBER('Plano de Ação'!$G268)),'Plano de Ação'!$J268="Cancelada"),0,IF(AND('Plano de Ação'!$F268&lt;=EOMONTH(DATE(ano_ref,5,1),0),'Plano de Ação'!$G268&gt;=DATE(ano_ref,5,1)),1,0))</f>
      </c>
      <c r="J269" s="41">
        <f>IF(OR(NOT('Plano de Ação'!$B268&lt;&gt;""),NOT(ISNUMBER('Plano de Ação'!$F268)),NOT(ISNUMBER('Plano de Ação'!$G268)),'Plano de Ação'!$J268="Cancelada"),0,IF(AND('Plano de Ação'!$F268&lt;=EOMONTH(DATE(ano_ref,6,1),0),'Plano de Ação'!$G268&gt;=DATE(ano_ref,6,1)),1,0))</f>
      </c>
      <c r="K269" s="41">
        <f>IF(OR(NOT('Plano de Ação'!$B268&lt;&gt;""),NOT(ISNUMBER('Plano de Ação'!$F268)),NOT(ISNUMBER('Plano de Ação'!$G268)),'Plano de Ação'!$J268="Cancelada"),0,IF(AND('Plano de Ação'!$F268&lt;=EOMONTH(DATE(ano_ref,7,1),0),'Plano de Ação'!$G268&gt;=DATE(ano_ref,7,1)),1,0))</f>
      </c>
      <c r="L269" s="41">
        <f>IF(OR(NOT('Plano de Ação'!$B268&lt;&gt;""),NOT(ISNUMBER('Plano de Ação'!$F268)),NOT(ISNUMBER('Plano de Ação'!$G268)),'Plano de Ação'!$J268="Cancelada"),0,IF(AND('Plano de Ação'!$F268&lt;=EOMONTH(DATE(ano_ref,8,1),0),'Plano de Ação'!$G268&gt;=DATE(ano_ref,8,1)),1,0))</f>
      </c>
      <c r="M269" s="41">
        <f>IF(OR(NOT('Plano de Ação'!$B268&lt;&gt;""),NOT(ISNUMBER('Plano de Ação'!$F268)),NOT(ISNUMBER('Plano de Ação'!$G268)),'Plano de Ação'!$J268="Cancelada"),0,IF(AND('Plano de Ação'!$F268&lt;=EOMONTH(DATE(ano_ref,9,1),0),'Plano de Ação'!$G268&gt;=DATE(ano_ref,9,1)),1,0))</f>
      </c>
      <c r="N269" s="41">
        <f>IF(OR(NOT('Plano de Ação'!$B268&lt;&gt;""),NOT(ISNUMBER('Plano de Ação'!$F268)),NOT(ISNUMBER('Plano de Ação'!$G268)),'Plano de Ação'!$J268="Cancelada"),0,IF(AND('Plano de Ação'!$F268&lt;=EOMONTH(DATE(ano_ref,10,1),0),'Plano de Ação'!$G268&gt;=DATE(ano_ref,10,1)),1,0))</f>
      </c>
      <c r="O269" s="41">
        <f>IF(OR(NOT('Plano de Ação'!$B268&lt;&gt;""),NOT(ISNUMBER('Plano de Ação'!$F268)),NOT(ISNUMBER('Plano de Ação'!$G268)),'Plano de Ação'!$J268="Cancelada"),0,IF(AND('Plano de Ação'!$F268&lt;=EOMONTH(DATE(ano_ref,11,1),0),'Plano de Ação'!$G268&gt;=DATE(ano_ref,11,1)),1,0))</f>
      </c>
      <c r="P269" s="41">
        <f>IF(OR(NOT('Plano de Ação'!$B268&lt;&gt;""),NOT(ISNUMBER('Plano de Ação'!$F268)),NOT(ISNUMBER('Plano de Ação'!$G268)),'Plano de Ação'!$J268="Cancelada"),0,IF(AND('Plano de Ação'!$F268&lt;=EOMONTH(DATE(ano_ref,12,1),0),'Plano de Ação'!$G268&gt;=DATE(ano_ref,12,1)),1,0))</f>
      </c>
    </row>
    <row r="270" spans="1:16" x14ac:dyDescent="0.25">
      <c r="A270" s="40">
        <f>IF('Plano de Ação'!$B269&lt;&gt;"",'Plano de Ação'!A269&amp;"","")</f>
      </c>
      <c r="B270" s="25">
        <f>IF('Plano de Ação'!$B269&lt;&gt;"",'Plano de Ação'!B269,"")</f>
      </c>
      <c r="C270" s="25">
        <f>IF('Plano de Ação'!$B269&lt;&gt;"",'Plano de Ação'!E269&amp;"","")</f>
      </c>
      <c r="D270" s="40">
        <f>IF('Plano de Ação'!$B269&lt;&gt;"",'Plano de Ação'!L269,"")</f>
      </c>
      <c r="E270" s="41">
        <f>IF(OR(NOT('Plano de Ação'!$B269&lt;&gt;""),NOT(ISNUMBER('Plano de Ação'!$F269)),NOT(ISNUMBER('Plano de Ação'!$G269)),'Plano de Ação'!$J269="Cancelada"),0,IF(AND('Plano de Ação'!$F269&lt;=EOMONTH(DATE(ano_ref,1,1),0),'Plano de Ação'!$G269&gt;=DATE(ano_ref,1,1)),1,0))</f>
      </c>
      <c r="F270" s="41">
        <f>IF(OR(NOT('Plano de Ação'!$B269&lt;&gt;""),NOT(ISNUMBER('Plano de Ação'!$F269)),NOT(ISNUMBER('Plano de Ação'!$G269)),'Plano de Ação'!$J269="Cancelada"),0,IF(AND('Plano de Ação'!$F269&lt;=EOMONTH(DATE(ano_ref,2,1),0),'Plano de Ação'!$G269&gt;=DATE(ano_ref,2,1)),1,0))</f>
      </c>
      <c r="G270" s="41">
        <f>IF(OR(NOT('Plano de Ação'!$B269&lt;&gt;""),NOT(ISNUMBER('Plano de Ação'!$F269)),NOT(ISNUMBER('Plano de Ação'!$G269)),'Plano de Ação'!$J269="Cancelada"),0,IF(AND('Plano de Ação'!$F269&lt;=EOMONTH(DATE(ano_ref,3,1),0),'Plano de Ação'!$G269&gt;=DATE(ano_ref,3,1)),1,0))</f>
      </c>
      <c r="H270" s="41">
        <f>IF(OR(NOT('Plano de Ação'!$B269&lt;&gt;""),NOT(ISNUMBER('Plano de Ação'!$F269)),NOT(ISNUMBER('Plano de Ação'!$G269)),'Plano de Ação'!$J269="Cancelada"),0,IF(AND('Plano de Ação'!$F269&lt;=EOMONTH(DATE(ano_ref,4,1),0),'Plano de Ação'!$G269&gt;=DATE(ano_ref,4,1)),1,0))</f>
      </c>
      <c r="I270" s="41">
        <f>IF(OR(NOT('Plano de Ação'!$B269&lt;&gt;""),NOT(ISNUMBER('Plano de Ação'!$F269)),NOT(ISNUMBER('Plano de Ação'!$G269)),'Plano de Ação'!$J269="Cancelada"),0,IF(AND('Plano de Ação'!$F269&lt;=EOMONTH(DATE(ano_ref,5,1),0),'Plano de Ação'!$G269&gt;=DATE(ano_ref,5,1)),1,0))</f>
      </c>
      <c r="J270" s="41">
        <f>IF(OR(NOT('Plano de Ação'!$B269&lt;&gt;""),NOT(ISNUMBER('Plano de Ação'!$F269)),NOT(ISNUMBER('Plano de Ação'!$G269)),'Plano de Ação'!$J269="Cancelada"),0,IF(AND('Plano de Ação'!$F269&lt;=EOMONTH(DATE(ano_ref,6,1),0),'Plano de Ação'!$G269&gt;=DATE(ano_ref,6,1)),1,0))</f>
      </c>
      <c r="K270" s="41">
        <f>IF(OR(NOT('Plano de Ação'!$B269&lt;&gt;""),NOT(ISNUMBER('Plano de Ação'!$F269)),NOT(ISNUMBER('Plano de Ação'!$G269)),'Plano de Ação'!$J269="Cancelada"),0,IF(AND('Plano de Ação'!$F269&lt;=EOMONTH(DATE(ano_ref,7,1),0),'Plano de Ação'!$G269&gt;=DATE(ano_ref,7,1)),1,0))</f>
      </c>
      <c r="L270" s="41">
        <f>IF(OR(NOT('Plano de Ação'!$B269&lt;&gt;""),NOT(ISNUMBER('Plano de Ação'!$F269)),NOT(ISNUMBER('Plano de Ação'!$G269)),'Plano de Ação'!$J269="Cancelada"),0,IF(AND('Plano de Ação'!$F269&lt;=EOMONTH(DATE(ano_ref,8,1),0),'Plano de Ação'!$G269&gt;=DATE(ano_ref,8,1)),1,0))</f>
      </c>
      <c r="M270" s="41">
        <f>IF(OR(NOT('Plano de Ação'!$B269&lt;&gt;""),NOT(ISNUMBER('Plano de Ação'!$F269)),NOT(ISNUMBER('Plano de Ação'!$G269)),'Plano de Ação'!$J269="Cancelada"),0,IF(AND('Plano de Ação'!$F269&lt;=EOMONTH(DATE(ano_ref,9,1),0),'Plano de Ação'!$G269&gt;=DATE(ano_ref,9,1)),1,0))</f>
      </c>
      <c r="N270" s="41">
        <f>IF(OR(NOT('Plano de Ação'!$B269&lt;&gt;""),NOT(ISNUMBER('Plano de Ação'!$F269)),NOT(ISNUMBER('Plano de Ação'!$G269)),'Plano de Ação'!$J269="Cancelada"),0,IF(AND('Plano de Ação'!$F269&lt;=EOMONTH(DATE(ano_ref,10,1),0),'Plano de Ação'!$G269&gt;=DATE(ano_ref,10,1)),1,0))</f>
      </c>
      <c r="O270" s="41">
        <f>IF(OR(NOT('Plano de Ação'!$B269&lt;&gt;""),NOT(ISNUMBER('Plano de Ação'!$F269)),NOT(ISNUMBER('Plano de Ação'!$G269)),'Plano de Ação'!$J269="Cancelada"),0,IF(AND('Plano de Ação'!$F269&lt;=EOMONTH(DATE(ano_ref,11,1),0),'Plano de Ação'!$G269&gt;=DATE(ano_ref,11,1)),1,0))</f>
      </c>
      <c r="P270" s="41">
        <f>IF(OR(NOT('Plano de Ação'!$B269&lt;&gt;""),NOT(ISNUMBER('Plano de Ação'!$F269)),NOT(ISNUMBER('Plano de Ação'!$G269)),'Plano de Ação'!$J269="Cancelada"),0,IF(AND('Plano de Ação'!$F269&lt;=EOMONTH(DATE(ano_ref,12,1),0),'Plano de Ação'!$G269&gt;=DATE(ano_ref,12,1)),1,0))</f>
      </c>
    </row>
    <row r="271" spans="1:16" x14ac:dyDescent="0.25">
      <c r="A271" s="40">
        <f>IF('Plano de Ação'!$B270&lt;&gt;"",'Plano de Ação'!A270&amp;"","")</f>
      </c>
      <c r="B271" s="25">
        <f>IF('Plano de Ação'!$B270&lt;&gt;"",'Plano de Ação'!B270,"")</f>
      </c>
      <c r="C271" s="25">
        <f>IF('Plano de Ação'!$B270&lt;&gt;"",'Plano de Ação'!E270&amp;"","")</f>
      </c>
      <c r="D271" s="40">
        <f>IF('Plano de Ação'!$B270&lt;&gt;"",'Plano de Ação'!L270,"")</f>
      </c>
      <c r="E271" s="41">
        <f>IF(OR(NOT('Plano de Ação'!$B270&lt;&gt;""),NOT(ISNUMBER('Plano de Ação'!$F270)),NOT(ISNUMBER('Plano de Ação'!$G270)),'Plano de Ação'!$J270="Cancelada"),0,IF(AND('Plano de Ação'!$F270&lt;=EOMONTH(DATE(ano_ref,1,1),0),'Plano de Ação'!$G270&gt;=DATE(ano_ref,1,1)),1,0))</f>
      </c>
      <c r="F271" s="41">
        <f>IF(OR(NOT('Plano de Ação'!$B270&lt;&gt;""),NOT(ISNUMBER('Plano de Ação'!$F270)),NOT(ISNUMBER('Plano de Ação'!$G270)),'Plano de Ação'!$J270="Cancelada"),0,IF(AND('Plano de Ação'!$F270&lt;=EOMONTH(DATE(ano_ref,2,1),0),'Plano de Ação'!$G270&gt;=DATE(ano_ref,2,1)),1,0))</f>
      </c>
      <c r="G271" s="41">
        <f>IF(OR(NOT('Plano de Ação'!$B270&lt;&gt;""),NOT(ISNUMBER('Plano de Ação'!$F270)),NOT(ISNUMBER('Plano de Ação'!$G270)),'Plano de Ação'!$J270="Cancelada"),0,IF(AND('Plano de Ação'!$F270&lt;=EOMONTH(DATE(ano_ref,3,1),0),'Plano de Ação'!$G270&gt;=DATE(ano_ref,3,1)),1,0))</f>
      </c>
      <c r="H271" s="41">
        <f>IF(OR(NOT('Plano de Ação'!$B270&lt;&gt;""),NOT(ISNUMBER('Plano de Ação'!$F270)),NOT(ISNUMBER('Plano de Ação'!$G270)),'Plano de Ação'!$J270="Cancelada"),0,IF(AND('Plano de Ação'!$F270&lt;=EOMONTH(DATE(ano_ref,4,1),0),'Plano de Ação'!$G270&gt;=DATE(ano_ref,4,1)),1,0))</f>
      </c>
      <c r="I271" s="41">
        <f>IF(OR(NOT('Plano de Ação'!$B270&lt;&gt;""),NOT(ISNUMBER('Plano de Ação'!$F270)),NOT(ISNUMBER('Plano de Ação'!$G270)),'Plano de Ação'!$J270="Cancelada"),0,IF(AND('Plano de Ação'!$F270&lt;=EOMONTH(DATE(ano_ref,5,1),0),'Plano de Ação'!$G270&gt;=DATE(ano_ref,5,1)),1,0))</f>
      </c>
      <c r="J271" s="41">
        <f>IF(OR(NOT('Plano de Ação'!$B270&lt;&gt;""),NOT(ISNUMBER('Plano de Ação'!$F270)),NOT(ISNUMBER('Plano de Ação'!$G270)),'Plano de Ação'!$J270="Cancelada"),0,IF(AND('Plano de Ação'!$F270&lt;=EOMONTH(DATE(ano_ref,6,1),0),'Plano de Ação'!$G270&gt;=DATE(ano_ref,6,1)),1,0))</f>
      </c>
      <c r="K271" s="41">
        <f>IF(OR(NOT('Plano de Ação'!$B270&lt;&gt;""),NOT(ISNUMBER('Plano de Ação'!$F270)),NOT(ISNUMBER('Plano de Ação'!$G270)),'Plano de Ação'!$J270="Cancelada"),0,IF(AND('Plano de Ação'!$F270&lt;=EOMONTH(DATE(ano_ref,7,1),0),'Plano de Ação'!$G270&gt;=DATE(ano_ref,7,1)),1,0))</f>
      </c>
      <c r="L271" s="41">
        <f>IF(OR(NOT('Plano de Ação'!$B270&lt;&gt;""),NOT(ISNUMBER('Plano de Ação'!$F270)),NOT(ISNUMBER('Plano de Ação'!$G270)),'Plano de Ação'!$J270="Cancelada"),0,IF(AND('Plano de Ação'!$F270&lt;=EOMONTH(DATE(ano_ref,8,1),0),'Plano de Ação'!$G270&gt;=DATE(ano_ref,8,1)),1,0))</f>
      </c>
      <c r="M271" s="41">
        <f>IF(OR(NOT('Plano de Ação'!$B270&lt;&gt;""),NOT(ISNUMBER('Plano de Ação'!$F270)),NOT(ISNUMBER('Plano de Ação'!$G270)),'Plano de Ação'!$J270="Cancelada"),0,IF(AND('Plano de Ação'!$F270&lt;=EOMONTH(DATE(ano_ref,9,1),0),'Plano de Ação'!$G270&gt;=DATE(ano_ref,9,1)),1,0))</f>
      </c>
      <c r="N271" s="41">
        <f>IF(OR(NOT('Plano de Ação'!$B270&lt;&gt;""),NOT(ISNUMBER('Plano de Ação'!$F270)),NOT(ISNUMBER('Plano de Ação'!$G270)),'Plano de Ação'!$J270="Cancelada"),0,IF(AND('Plano de Ação'!$F270&lt;=EOMONTH(DATE(ano_ref,10,1),0),'Plano de Ação'!$G270&gt;=DATE(ano_ref,10,1)),1,0))</f>
      </c>
      <c r="O271" s="41">
        <f>IF(OR(NOT('Plano de Ação'!$B270&lt;&gt;""),NOT(ISNUMBER('Plano de Ação'!$F270)),NOT(ISNUMBER('Plano de Ação'!$G270)),'Plano de Ação'!$J270="Cancelada"),0,IF(AND('Plano de Ação'!$F270&lt;=EOMONTH(DATE(ano_ref,11,1),0),'Plano de Ação'!$G270&gt;=DATE(ano_ref,11,1)),1,0))</f>
      </c>
      <c r="P271" s="41">
        <f>IF(OR(NOT('Plano de Ação'!$B270&lt;&gt;""),NOT(ISNUMBER('Plano de Ação'!$F270)),NOT(ISNUMBER('Plano de Ação'!$G270)),'Plano de Ação'!$J270="Cancelada"),0,IF(AND('Plano de Ação'!$F270&lt;=EOMONTH(DATE(ano_ref,12,1),0),'Plano de Ação'!$G270&gt;=DATE(ano_ref,12,1)),1,0))</f>
      </c>
    </row>
    <row r="272" spans="1:16" x14ac:dyDescent="0.25">
      <c r="A272" s="40">
        <f>IF('Plano de Ação'!$B271&lt;&gt;"",'Plano de Ação'!A271&amp;"","")</f>
      </c>
      <c r="B272" s="25">
        <f>IF('Plano de Ação'!$B271&lt;&gt;"",'Plano de Ação'!B271,"")</f>
      </c>
      <c r="C272" s="25">
        <f>IF('Plano de Ação'!$B271&lt;&gt;"",'Plano de Ação'!E271&amp;"","")</f>
      </c>
      <c r="D272" s="40">
        <f>IF('Plano de Ação'!$B271&lt;&gt;"",'Plano de Ação'!L271,"")</f>
      </c>
      <c r="E272" s="41">
        <f>IF(OR(NOT('Plano de Ação'!$B271&lt;&gt;""),NOT(ISNUMBER('Plano de Ação'!$F271)),NOT(ISNUMBER('Plano de Ação'!$G271)),'Plano de Ação'!$J271="Cancelada"),0,IF(AND('Plano de Ação'!$F271&lt;=EOMONTH(DATE(ano_ref,1,1),0),'Plano de Ação'!$G271&gt;=DATE(ano_ref,1,1)),1,0))</f>
      </c>
      <c r="F272" s="41">
        <f>IF(OR(NOT('Plano de Ação'!$B271&lt;&gt;""),NOT(ISNUMBER('Plano de Ação'!$F271)),NOT(ISNUMBER('Plano de Ação'!$G271)),'Plano de Ação'!$J271="Cancelada"),0,IF(AND('Plano de Ação'!$F271&lt;=EOMONTH(DATE(ano_ref,2,1),0),'Plano de Ação'!$G271&gt;=DATE(ano_ref,2,1)),1,0))</f>
      </c>
      <c r="G272" s="41">
        <f>IF(OR(NOT('Plano de Ação'!$B271&lt;&gt;""),NOT(ISNUMBER('Plano de Ação'!$F271)),NOT(ISNUMBER('Plano de Ação'!$G271)),'Plano de Ação'!$J271="Cancelada"),0,IF(AND('Plano de Ação'!$F271&lt;=EOMONTH(DATE(ano_ref,3,1),0),'Plano de Ação'!$G271&gt;=DATE(ano_ref,3,1)),1,0))</f>
      </c>
      <c r="H272" s="41">
        <f>IF(OR(NOT('Plano de Ação'!$B271&lt;&gt;""),NOT(ISNUMBER('Plano de Ação'!$F271)),NOT(ISNUMBER('Plano de Ação'!$G271)),'Plano de Ação'!$J271="Cancelada"),0,IF(AND('Plano de Ação'!$F271&lt;=EOMONTH(DATE(ano_ref,4,1),0),'Plano de Ação'!$G271&gt;=DATE(ano_ref,4,1)),1,0))</f>
      </c>
      <c r="I272" s="41">
        <f>IF(OR(NOT('Plano de Ação'!$B271&lt;&gt;""),NOT(ISNUMBER('Plano de Ação'!$F271)),NOT(ISNUMBER('Plano de Ação'!$G271)),'Plano de Ação'!$J271="Cancelada"),0,IF(AND('Plano de Ação'!$F271&lt;=EOMONTH(DATE(ano_ref,5,1),0),'Plano de Ação'!$G271&gt;=DATE(ano_ref,5,1)),1,0))</f>
      </c>
      <c r="J272" s="41">
        <f>IF(OR(NOT('Plano de Ação'!$B271&lt;&gt;""),NOT(ISNUMBER('Plano de Ação'!$F271)),NOT(ISNUMBER('Plano de Ação'!$G271)),'Plano de Ação'!$J271="Cancelada"),0,IF(AND('Plano de Ação'!$F271&lt;=EOMONTH(DATE(ano_ref,6,1),0),'Plano de Ação'!$G271&gt;=DATE(ano_ref,6,1)),1,0))</f>
      </c>
      <c r="K272" s="41">
        <f>IF(OR(NOT('Plano de Ação'!$B271&lt;&gt;""),NOT(ISNUMBER('Plano de Ação'!$F271)),NOT(ISNUMBER('Plano de Ação'!$G271)),'Plano de Ação'!$J271="Cancelada"),0,IF(AND('Plano de Ação'!$F271&lt;=EOMONTH(DATE(ano_ref,7,1),0),'Plano de Ação'!$G271&gt;=DATE(ano_ref,7,1)),1,0))</f>
      </c>
      <c r="L272" s="41">
        <f>IF(OR(NOT('Plano de Ação'!$B271&lt;&gt;""),NOT(ISNUMBER('Plano de Ação'!$F271)),NOT(ISNUMBER('Plano de Ação'!$G271)),'Plano de Ação'!$J271="Cancelada"),0,IF(AND('Plano de Ação'!$F271&lt;=EOMONTH(DATE(ano_ref,8,1),0),'Plano de Ação'!$G271&gt;=DATE(ano_ref,8,1)),1,0))</f>
      </c>
      <c r="M272" s="41">
        <f>IF(OR(NOT('Plano de Ação'!$B271&lt;&gt;""),NOT(ISNUMBER('Plano de Ação'!$F271)),NOT(ISNUMBER('Plano de Ação'!$G271)),'Plano de Ação'!$J271="Cancelada"),0,IF(AND('Plano de Ação'!$F271&lt;=EOMONTH(DATE(ano_ref,9,1),0),'Plano de Ação'!$G271&gt;=DATE(ano_ref,9,1)),1,0))</f>
      </c>
      <c r="N272" s="41">
        <f>IF(OR(NOT('Plano de Ação'!$B271&lt;&gt;""),NOT(ISNUMBER('Plano de Ação'!$F271)),NOT(ISNUMBER('Plano de Ação'!$G271)),'Plano de Ação'!$J271="Cancelada"),0,IF(AND('Plano de Ação'!$F271&lt;=EOMONTH(DATE(ano_ref,10,1),0),'Plano de Ação'!$G271&gt;=DATE(ano_ref,10,1)),1,0))</f>
      </c>
      <c r="O272" s="41">
        <f>IF(OR(NOT('Plano de Ação'!$B271&lt;&gt;""),NOT(ISNUMBER('Plano de Ação'!$F271)),NOT(ISNUMBER('Plano de Ação'!$G271)),'Plano de Ação'!$J271="Cancelada"),0,IF(AND('Plano de Ação'!$F271&lt;=EOMONTH(DATE(ano_ref,11,1),0),'Plano de Ação'!$G271&gt;=DATE(ano_ref,11,1)),1,0))</f>
      </c>
      <c r="P272" s="41">
        <f>IF(OR(NOT('Plano de Ação'!$B271&lt;&gt;""),NOT(ISNUMBER('Plano de Ação'!$F271)),NOT(ISNUMBER('Plano de Ação'!$G271)),'Plano de Ação'!$J271="Cancelada"),0,IF(AND('Plano de Ação'!$F271&lt;=EOMONTH(DATE(ano_ref,12,1),0),'Plano de Ação'!$G271&gt;=DATE(ano_ref,12,1)),1,0))</f>
      </c>
    </row>
    <row r="273" spans="1:16" x14ac:dyDescent="0.25">
      <c r="A273" s="40">
        <f>IF('Plano de Ação'!$B272&lt;&gt;"",'Plano de Ação'!A272&amp;"","")</f>
      </c>
      <c r="B273" s="25">
        <f>IF('Plano de Ação'!$B272&lt;&gt;"",'Plano de Ação'!B272,"")</f>
      </c>
      <c r="C273" s="25">
        <f>IF('Plano de Ação'!$B272&lt;&gt;"",'Plano de Ação'!E272&amp;"","")</f>
      </c>
      <c r="D273" s="40">
        <f>IF('Plano de Ação'!$B272&lt;&gt;"",'Plano de Ação'!L272,"")</f>
      </c>
      <c r="E273" s="41">
        <f>IF(OR(NOT('Plano de Ação'!$B272&lt;&gt;""),NOT(ISNUMBER('Plano de Ação'!$F272)),NOT(ISNUMBER('Plano de Ação'!$G272)),'Plano de Ação'!$J272="Cancelada"),0,IF(AND('Plano de Ação'!$F272&lt;=EOMONTH(DATE(ano_ref,1,1),0),'Plano de Ação'!$G272&gt;=DATE(ano_ref,1,1)),1,0))</f>
      </c>
      <c r="F273" s="41">
        <f>IF(OR(NOT('Plano de Ação'!$B272&lt;&gt;""),NOT(ISNUMBER('Plano de Ação'!$F272)),NOT(ISNUMBER('Plano de Ação'!$G272)),'Plano de Ação'!$J272="Cancelada"),0,IF(AND('Plano de Ação'!$F272&lt;=EOMONTH(DATE(ano_ref,2,1),0),'Plano de Ação'!$G272&gt;=DATE(ano_ref,2,1)),1,0))</f>
      </c>
      <c r="G273" s="41">
        <f>IF(OR(NOT('Plano de Ação'!$B272&lt;&gt;""),NOT(ISNUMBER('Plano de Ação'!$F272)),NOT(ISNUMBER('Plano de Ação'!$G272)),'Plano de Ação'!$J272="Cancelada"),0,IF(AND('Plano de Ação'!$F272&lt;=EOMONTH(DATE(ano_ref,3,1),0),'Plano de Ação'!$G272&gt;=DATE(ano_ref,3,1)),1,0))</f>
      </c>
      <c r="H273" s="41">
        <f>IF(OR(NOT('Plano de Ação'!$B272&lt;&gt;""),NOT(ISNUMBER('Plano de Ação'!$F272)),NOT(ISNUMBER('Plano de Ação'!$G272)),'Plano de Ação'!$J272="Cancelada"),0,IF(AND('Plano de Ação'!$F272&lt;=EOMONTH(DATE(ano_ref,4,1),0),'Plano de Ação'!$G272&gt;=DATE(ano_ref,4,1)),1,0))</f>
      </c>
      <c r="I273" s="41">
        <f>IF(OR(NOT('Plano de Ação'!$B272&lt;&gt;""),NOT(ISNUMBER('Plano de Ação'!$F272)),NOT(ISNUMBER('Plano de Ação'!$G272)),'Plano de Ação'!$J272="Cancelada"),0,IF(AND('Plano de Ação'!$F272&lt;=EOMONTH(DATE(ano_ref,5,1),0),'Plano de Ação'!$G272&gt;=DATE(ano_ref,5,1)),1,0))</f>
      </c>
      <c r="J273" s="41">
        <f>IF(OR(NOT('Plano de Ação'!$B272&lt;&gt;""),NOT(ISNUMBER('Plano de Ação'!$F272)),NOT(ISNUMBER('Plano de Ação'!$G272)),'Plano de Ação'!$J272="Cancelada"),0,IF(AND('Plano de Ação'!$F272&lt;=EOMONTH(DATE(ano_ref,6,1),0),'Plano de Ação'!$G272&gt;=DATE(ano_ref,6,1)),1,0))</f>
      </c>
      <c r="K273" s="41">
        <f>IF(OR(NOT('Plano de Ação'!$B272&lt;&gt;""),NOT(ISNUMBER('Plano de Ação'!$F272)),NOT(ISNUMBER('Plano de Ação'!$G272)),'Plano de Ação'!$J272="Cancelada"),0,IF(AND('Plano de Ação'!$F272&lt;=EOMONTH(DATE(ano_ref,7,1),0),'Plano de Ação'!$G272&gt;=DATE(ano_ref,7,1)),1,0))</f>
      </c>
      <c r="L273" s="41">
        <f>IF(OR(NOT('Plano de Ação'!$B272&lt;&gt;""),NOT(ISNUMBER('Plano de Ação'!$F272)),NOT(ISNUMBER('Plano de Ação'!$G272)),'Plano de Ação'!$J272="Cancelada"),0,IF(AND('Plano de Ação'!$F272&lt;=EOMONTH(DATE(ano_ref,8,1),0),'Plano de Ação'!$G272&gt;=DATE(ano_ref,8,1)),1,0))</f>
      </c>
      <c r="M273" s="41">
        <f>IF(OR(NOT('Plano de Ação'!$B272&lt;&gt;""),NOT(ISNUMBER('Plano de Ação'!$F272)),NOT(ISNUMBER('Plano de Ação'!$G272)),'Plano de Ação'!$J272="Cancelada"),0,IF(AND('Plano de Ação'!$F272&lt;=EOMONTH(DATE(ano_ref,9,1),0),'Plano de Ação'!$G272&gt;=DATE(ano_ref,9,1)),1,0))</f>
      </c>
      <c r="N273" s="41">
        <f>IF(OR(NOT('Plano de Ação'!$B272&lt;&gt;""),NOT(ISNUMBER('Plano de Ação'!$F272)),NOT(ISNUMBER('Plano de Ação'!$G272)),'Plano de Ação'!$J272="Cancelada"),0,IF(AND('Plano de Ação'!$F272&lt;=EOMONTH(DATE(ano_ref,10,1),0),'Plano de Ação'!$G272&gt;=DATE(ano_ref,10,1)),1,0))</f>
      </c>
      <c r="O273" s="41">
        <f>IF(OR(NOT('Plano de Ação'!$B272&lt;&gt;""),NOT(ISNUMBER('Plano de Ação'!$F272)),NOT(ISNUMBER('Plano de Ação'!$G272)),'Plano de Ação'!$J272="Cancelada"),0,IF(AND('Plano de Ação'!$F272&lt;=EOMONTH(DATE(ano_ref,11,1),0),'Plano de Ação'!$G272&gt;=DATE(ano_ref,11,1)),1,0))</f>
      </c>
      <c r="P273" s="41">
        <f>IF(OR(NOT('Plano de Ação'!$B272&lt;&gt;""),NOT(ISNUMBER('Plano de Ação'!$F272)),NOT(ISNUMBER('Plano de Ação'!$G272)),'Plano de Ação'!$J272="Cancelada"),0,IF(AND('Plano de Ação'!$F272&lt;=EOMONTH(DATE(ano_ref,12,1),0),'Plano de Ação'!$G272&gt;=DATE(ano_ref,12,1)),1,0))</f>
      </c>
    </row>
    <row r="274" spans="1:16" x14ac:dyDescent="0.25">
      <c r="A274" s="40">
        <f>IF('Plano de Ação'!$B273&lt;&gt;"",'Plano de Ação'!A273&amp;"","")</f>
      </c>
      <c r="B274" s="25">
        <f>IF('Plano de Ação'!$B273&lt;&gt;"",'Plano de Ação'!B273,"")</f>
      </c>
      <c r="C274" s="25">
        <f>IF('Plano de Ação'!$B273&lt;&gt;"",'Plano de Ação'!E273&amp;"","")</f>
      </c>
      <c r="D274" s="40">
        <f>IF('Plano de Ação'!$B273&lt;&gt;"",'Plano de Ação'!L273,"")</f>
      </c>
      <c r="E274" s="41">
        <f>IF(OR(NOT('Plano de Ação'!$B273&lt;&gt;""),NOT(ISNUMBER('Plano de Ação'!$F273)),NOT(ISNUMBER('Plano de Ação'!$G273)),'Plano de Ação'!$J273="Cancelada"),0,IF(AND('Plano de Ação'!$F273&lt;=EOMONTH(DATE(ano_ref,1,1),0),'Plano de Ação'!$G273&gt;=DATE(ano_ref,1,1)),1,0))</f>
      </c>
      <c r="F274" s="41">
        <f>IF(OR(NOT('Plano de Ação'!$B273&lt;&gt;""),NOT(ISNUMBER('Plano de Ação'!$F273)),NOT(ISNUMBER('Plano de Ação'!$G273)),'Plano de Ação'!$J273="Cancelada"),0,IF(AND('Plano de Ação'!$F273&lt;=EOMONTH(DATE(ano_ref,2,1),0),'Plano de Ação'!$G273&gt;=DATE(ano_ref,2,1)),1,0))</f>
      </c>
      <c r="G274" s="41">
        <f>IF(OR(NOT('Plano de Ação'!$B273&lt;&gt;""),NOT(ISNUMBER('Plano de Ação'!$F273)),NOT(ISNUMBER('Plano de Ação'!$G273)),'Plano de Ação'!$J273="Cancelada"),0,IF(AND('Plano de Ação'!$F273&lt;=EOMONTH(DATE(ano_ref,3,1),0),'Plano de Ação'!$G273&gt;=DATE(ano_ref,3,1)),1,0))</f>
      </c>
      <c r="H274" s="41">
        <f>IF(OR(NOT('Plano de Ação'!$B273&lt;&gt;""),NOT(ISNUMBER('Plano de Ação'!$F273)),NOT(ISNUMBER('Plano de Ação'!$G273)),'Plano de Ação'!$J273="Cancelada"),0,IF(AND('Plano de Ação'!$F273&lt;=EOMONTH(DATE(ano_ref,4,1),0),'Plano de Ação'!$G273&gt;=DATE(ano_ref,4,1)),1,0))</f>
      </c>
      <c r="I274" s="41">
        <f>IF(OR(NOT('Plano de Ação'!$B273&lt;&gt;""),NOT(ISNUMBER('Plano de Ação'!$F273)),NOT(ISNUMBER('Plano de Ação'!$G273)),'Plano de Ação'!$J273="Cancelada"),0,IF(AND('Plano de Ação'!$F273&lt;=EOMONTH(DATE(ano_ref,5,1),0),'Plano de Ação'!$G273&gt;=DATE(ano_ref,5,1)),1,0))</f>
      </c>
      <c r="J274" s="41">
        <f>IF(OR(NOT('Plano de Ação'!$B273&lt;&gt;""),NOT(ISNUMBER('Plano de Ação'!$F273)),NOT(ISNUMBER('Plano de Ação'!$G273)),'Plano de Ação'!$J273="Cancelada"),0,IF(AND('Plano de Ação'!$F273&lt;=EOMONTH(DATE(ano_ref,6,1),0),'Plano de Ação'!$G273&gt;=DATE(ano_ref,6,1)),1,0))</f>
      </c>
      <c r="K274" s="41">
        <f>IF(OR(NOT('Plano de Ação'!$B273&lt;&gt;""),NOT(ISNUMBER('Plano de Ação'!$F273)),NOT(ISNUMBER('Plano de Ação'!$G273)),'Plano de Ação'!$J273="Cancelada"),0,IF(AND('Plano de Ação'!$F273&lt;=EOMONTH(DATE(ano_ref,7,1),0),'Plano de Ação'!$G273&gt;=DATE(ano_ref,7,1)),1,0))</f>
      </c>
      <c r="L274" s="41">
        <f>IF(OR(NOT('Plano de Ação'!$B273&lt;&gt;""),NOT(ISNUMBER('Plano de Ação'!$F273)),NOT(ISNUMBER('Plano de Ação'!$G273)),'Plano de Ação'!$J273="Cancelada"),0,IF(AND('Plano de Ação'!$F273&lt;=EOMONTH(DATE(ano_ref,8,1),0),'Plano de Ação'!$G273&gt;=DATE(ano_ref,8,1)),1,0))</f>
      </c>
      <c r="M274" s="41">
        <f>IF(OR(NOT('Plano de Ação'!$B273&lt;&gt;""),NOT(ISNUMBER('Plano de Ação'!$F273)),NOT(ISNUMBER('Plano de Ação'!$G273)),'Plano de Ação'!$J273="Cancelada"),0,IF(AND('Plano de Ação'!$F273&lt;=EOMONTH(DATE(ano_ref,9,1),0),'Plano de Ação'!$G273&gt;=DATE(ano_ref,9,1)),1,0))</f>
      </c>
      <c r="N274" s="41">
        <f>IF(OR(NOT('Plano de Ação'!$B273&lt;&gt;""),NOT(ISNUMBER('Plano de Ação'!$F273)),NOT(ISNUMBER('Plano de Ação'!$G273)),'Plano de Ação'!$J273="Cancelada"),0,IF(AND('Plano de Ação'!$F273&lt;=EOMONTH(DATE(ano_ref,10,1),0),'Plano de Ação'!$G273&gt;=DATE(ano_ref,10,1)),1,0))</f>
      </c>
      <c r="O274" s="41">
        <f>IF(OR(NOT('Plano de Ação'!$B273&lt;&gt;""),NOT(ISNUMBER('Plano de Ação'!$F273)),NOT(ISNUMBER('Plano de Ação'!$G273)),'Plano de Ação'!$J273="Cancelada"),0,IF(AND('Plano de Ação'!$F273&lt;=EOMONTH(DATE(ano_ref,11,1),0),'Plano de Ação'!$G273&gt;=DATE(ano_ref,11,1)),1,0))</f>
      </c>
      <c r="P274" s="41">
        <f>IF(OR(NOT('Plano de Ação'!$B273&lt;&gt;""),NOT(ISNUMBER('Plano de Ação'!$F273)),NOT(ISNUMBER('Plano de Ação'!$G273)),'Plano de Ação'!$J273="Cancelada"),0,IF(AND('Plano de Ação'!$F273&lt;=EOMONTH(DATE(ano_ref,12,1),0),'Plano de Ação'!$G273&gt;=DATE(ano_ref,12,1)),1,0))</f>
      </c>
    </row>
    <row r="275" spans="1:16" x14ac:dyDescent="0.25">
      <c r="A275" s="40">
        <f>IF('Plano de Ação'!$B274&lt;&gt;"",'Plano de Ação'!A274&amp;"","")</f>
      </c>
      <c r="B275" s="25">
        <f>IF('Plano de Ação'!$B274&lt;&gt;"",'Plano de Ação'!B274,"")</f>
      </c>
      <c r="C275" s="25">
        <f>IF('Plano de Ação'!$B274&lt;&gt;"",'Plano de Ação'!E274&amp;"","")</f>
      </c>
      <c r="D275" s="40">
        <f>IF('Plano de Ação'!$B274&lt;&gt;"",'Plano de Ação'!L274,"")</f>
      </c>
      <c r="E275" s="41">
        <f>IF(OR(NOT('Plano de Ação'!$B274&lt;&gt;""),NOT(ISNUMBER('Plano de Ação'!$F274)),NOT(ISNUMBER('Plano de Ação'!$G274)),'Plano de Ação'!$J274="Cancelada"),0,IF(AND('Plano de Ação'!$F274&lt;=EOMONTH(DATE(ano_ref,1,1),0),'Plano de Ação'!$G274&gt;=DATE(ano_ref,1,1)),1,0))</f>
      </c>
      <c r="F275" s="41">
        <f>IF(OR(NOT('Plano de Ação'!$B274&lt;&gt;""),NOT(ISNUMBER('Plano de Ação'!$F274)),NOT(ISNUMBER('Plano de Ação'!$G274)),'Plano de Ação'!$J274="Cancelada"),0,IF(AND('Plano de Ação'!$F274&lt;=EOMONTH(DATE(ano_ref,2,1),0),'Plano de Ação'!$G274&gt;=DATE(ano_ref,2,1)),1,0))</f>
      </c>
      <c r="G275" s="41">
        <f>IF(OR(NOT('Plano de Ação'!$B274&lt;&gt;""),NOT(ISNUMBER('Plano de Ação'!$F274)),NOT(ISNUMBER('Plano de Ação'!$G274)),'Plano de Ação'!$J274="Cancelada"),0,IF(AND('Plano de Ação'!$F274&lt;=EOMONTH(DATE(ano_ref,3,1),0),'Plano de Ação'!$G274&gt;=DATE(ano_ref,3,1)),1,0))</f>
      </c>
      <c r="H275" s="41">
        <f>IF(OR(NOT('Plano de Ação'!$B274&lt;&gt;""),NOT(ISNUMBER('Plano de Ação'!$F274)),NOT(ISNUMBER('Plano de Ação'!$G274)),'Plano de Ação'!$J274="Cancelada"),0,IF(AND('Plano de Ação'!$F274&lt;=EOMONTH(DATE(ano_ref,4,1),0),'Plano de Ação'!$G274&gt;=DATE(ano_ref,4,1)),1,0))</f>
      </c>
      <c r="I275" s="41">
        <f>IF(OR(NOT('Plano de Ação'!$B274&lt;&gt;""),NOT(ISNUMBER('Plano de Ação'!$F274)),NOT(ISNUMBER('Plano de Ação'!$G274)),'Plano de Ação'!$J274="Cancelada"),0,IF(AND('Plano de Ação'!$F274&lt;=EOMONTH(DATE(ano_ref,5,1),0),'Plano de Ação'!$G274&gt;=DATE(ano_ref,5,1)),1,0))</f>
      </c>
      <c r="J275" s="41">
        <f>IF(OR(NOT('Plano de Ação'!$B274&lt;&gt;""),NOT(ISNUMBER('Plano de Ação'!$F274)),NOT(ISNUMBER('Plano de Ação'!$G274)),'Plano de Ação'!$J274="Cancelada"),0,IF(AND('Plano de Ação'!$F274&lt;=EOMONTH(DATE(ano_ref,6,1),0),'Plano de Ação'!$G274&gt;=DATE(ano_ref,6,1)),1,0))</f>
      </c>
      <c r="K275" s="41">
        <f>IF(OR(NOT('Plano de Ação'!$B274&lt;&gt;""),NOT(ISNUMBER('Plano de Ação'!$F274)),NOT(ISNUMBER('Plano de Ação'!$G274)),'Plano de Ação'!$J274="Cancelada"),0,IF(AND('Plano de Ação'!$F274&lt;=EOMONTH(DATE(ano_ref,7,1),0),'Plano de Ação'!$G274&gt;=DATE(ano_ref,7,1)),1,0))</f>
      </c>
      <c r="L275" s="41">
        <f>IF(OR(NOT('Plano de Ação'!$B274&lt;&gt;""),NOT(ISNUMBER('Plano de Ação'!$F274)),NOT(ISNUMBER('Plano de Ação'!$G274)),'Plano de Ação'!$J274="Cancelada"),0,IF(AND('Plano de Ação'!$F274&lt;=EOMONTH(DATE(ano_ref,8,1),0),'Plano de Ação'!$G274&gt;=DATE(ano_ref,8,1)),1,0))</f>
      </c>
      <c r="M275" s="41">
        <f>IF(OR(NOT('Plano de Ação'!$B274&lt;&gt;""),NOT(ISNUMBER('Plano de Ação'!$F274)),NOT(ISNUMBER('Plano de Ação'!$G274)),'Plano de Ação'!$J274="Cancelada"),0,IF(AND('Plano de Ação'!$F274&lt;=EOMONTH(DATE(ano_ref,9,1),0),'Plano de Ação'!$G274&gt;=DATE(ano_ref,9,1)),1,0))</f>
      </c>
      <c r="N275" s="41">
        <f>IF(OR(NOT('Plano de Ação'!$B274&lt;&gt;""),NOT(ISNUMBER('Plano de Ação'!$F274)),NOT(ISNUMBER('Plano de Ação'!$G274)),'Plano de Ação'!$J274="Cancelada"),0,IF(AND('Plano de Ação'!$F274&lt;=EOMONTH(DATE(ano_ref,10,1),0),'Plano de Ação'!$G274&gt;=DATE(ano_ref,10,1)),1,0))</f>
      </c>
      <c r="O275" s="41">
        <f>IF(OR(NOT('Plano de Ação'!$B274&lt;&gt;""),NOT(ISNUMBER('Plano de Ação'!$F274)),NOT(ISNUMBER('Plano de Ação'!$G274)),'Plano de Ação'!$J274="Cancelada"),0,IF(AND('Plano de Ação'!$F274&lt;=EOMONTH(DATE(ano_ref,11,1),0),'Plano de Ação'!$G274&gt;=DATE(ano_ref,11,1)),1,0))</f>
      </c>
      <c r="P275" s="41">
        <f>IF(OR(NOT('Plano de Ação'!$B274&lt;&gt;""),NOT(ISNUMBER('Plano de Ação'!$F274)),NOT(ISNUMBER('Plano de Ação'!$G274)),'Plano de Ação'!$J274="Cancelada"),0,IF(AND('Plano de Ação'!$F274&lt;=EOMONTH(DATE(ano_ref,12,1),0),'Plano de Ação'!$G274&gt;=DATE(ano_ref,12,1)),1,0))</f>
      </c>
    </row>
    <row r="276" spans="1:16" x14ac:dyDescent="0.25">
      <c r="A276" s="40">
        <f>IF('Plano de Ação'!$B275&lt;&gt;"",'Plano de Ação'!A275&amp;"","")</f>
      </c>
      <c r="B276" s="25">
        <f>IF('Plano de Ação'!$B275&lt;&gt;"",'Plano de Ação'!B275,"")</f>
      </c>
      <c r="C276" s="25">
        <f>IF('Plano de Ação'!$B275&lt;&gt;"",'Plano de Ação'!E275&amp;"","")</f>
      </c>
      <c r="D276" s="40">
        <f>IF('Plano de Ação'!$B275&lt;&gt;"",'Plano de Ação'!L275,"")</f>
      </c>
      <c r="E276" s="41">
        <f>IF(OR(NOT('Plano de Ação'!$B275&lt;&gt;""),NOT(ISNUMBER('Plano de Ação'!$F275)),NOT(ISNUMBER('Plano de Ação'!$G275)),'Plano de Ação'!$J275="Cancelada"),0,IF(AND('Plano de Ação'!$F275&lt;=EOMONTH(DATE(ano_ref,1,1),0),'Plano de Ação'!$G275&gt;=DATE(ano_ref,1,1)),1,0))</f>
      </c>
      <c r="F276" s="41">
        <f>IF(OR(NOT('Plano de Ação'!$B275&lt;&gt;""),NOT(ISNUMBER('Plano de Ação'!$F275)),NOT(ISNUMBER('Plano de Ação'!$G275)),'Plano de Ação'!$J275="Cancelada"),0,IF(AND('Plano de Ação'!$F275&lt;=EOMONTH(DATE(ano_ref,2,1),0),'Plano de Ação'!$G275&gt;=DATE(ano_ref,2,1)),1,0))</f>
      </c>
      <c r="G276" s="41">
        <f>IF(OR(NOT('Plano de Ação'!$B275&lt;&gt;""),NOT(ISNUMBER('Plano de Ação'!$F275)),NOT(ISNUMBER('Plano de Ação'!$G275)),'Plano de Ação'!$J275="Cancelada"),0,IF(AND('Plano de Ação'!$F275&lt;=EOMONTH(DATE(ano_ref,3,1),0),'Plano de Ação'!$G275&gt;=DATE(ano_ref,3,1)),1,0))</f>
      </c>
      <c r="H276" s="41">
        <f>IF(OR(NOT('Plano de Ação'!$B275&lt;&gt;""),NOT(ISNUMBER('Plano de Ação'!$F275)),NOT(ISNUMBER('Plano de Ação'!$G275)),'Plano de Ação'!$J275="Cancelada"),0,IF(AND('Plano de Ação'!$F275&lt;=EOMONTH(DATE(ano_ref,4,1),0),'Plano de Ação'!$G275&gt;=DATE(ano_ref,4,1)),1,0))</f>
      </c>
      <c r="I276" s="41">
        <f>IF(OR(NOT('Plano de Ação'!$B275&lt;&gt;""),NOT(ISNUMBER('Plano de Ação'!$F275)),NOT(ISNUMBER('Plano de Ação'!$G275)),'Plano de Ação'!$J275="Cancelada"),0,IF(AND('Plano de Ação'!$F275&lt;=EOMONTH(DATE(ano_ref,5,1),0),'Plano de Ação'!$G275&gt;=DATE(ano_ref,5,1)),1,0))</f>
      </c>
      <c r="J276" s="41">
        <f>IF(OR(NOT('Plano de Ação'!$B275&lt;&gt;""),NOT(ISNUMBER('Plano de Ação'!$F275)),NOT(ISNUMBER('Plano de Ação'!$G275)),'Plano de Ação'!$J275="Cancelada"),0,IF(AND('Plano de Ação'!$F275&lt;=EOMONTH(DATE(ano_ref,6,1),0),'Plano de Ação'!$G275&gt;=DATE(ano_ref,6,1)),1,0))</f>
      </c>
      <c r="K276" s="41">
        <f>IF(OR(NOT('Plano de Ação'!$B275&lt;&gt;""),NOT(ISNUMBER('Plano de Ação'!$F275)),NOT(ISNUMBER('Plano de Ação'!$G275)),'Plano de Ação'!$J275="Cancelada"),0,IF(AND('Plano de Ação'!$F275&lt;=EOMONTH(DATE(ano_ref,7,1),0),'Plano de Ação'!$G275&gt;=DATE(ano_ref,7,1)),1,0))</f>
      </c>
      <c r="L276" s="41">
        <f>IF(OR(NOT('Plano de Ação'!$B275&lt;&gt;""),NOT(ISNUMBER('Plano de Ação'!$F275)),NOT(ISNUMBER('Plano de Ação'!$G275)),'Plano de Ação'!$J275="Cancelada"),0,IF(AND('Plano de Ação'!$F275&lt;=EOMONTH(DATE(ano_ref,8,1),0),'Plano de Ação'!$G275&gt;=DATE(ano_ref,8,1)),1,0))</f>
      </c>
      <c r="M276" s="41">
        <f>IF(OR(NOT('Plano de Ação'!$B275&lt;&gt;""),NOT(ISNUMBER('Plano de Ação'!$F275)),NOT(ISNUMBER('Plano de Ação'!$G275)),'Plano de Ação'!$J275="Cancelada"),0,IF(AND('Plano de Ação'!$F275&lt;=EOMONTH(DATE(ano_ref,9,1),0),'Plano de Ação'!$G275&gt;=DATE(ano_ref,9,1)),1,0))</f>
      </c>
      <c r="N276" s="41">
        <f>IF(OR(NOT('Plano de Ação'!$B275&lt;&gt;""),NOT(ISNUMBER('Plano de Ação'!$F275)),NOT(ISNUMBER('Plano de Ação'!$G275)),'Plano de Ação'!$J275="Cancelada"),0,IF(AND('Plano de Ação'!$F275&lt;=EOMONTH(DATE(ano_ref,10,1),0),'Plano de Ação'!$G275&gt;=DATE(ano_ref,10,1)),1,0))</f>
      </c>
      <c r="O276" s="41">
        <f>IF(OR(NOT('Plano de Ação'!$B275&lt;&gt;""),NOT(ISNUMBER('Plano de Ação'!$F275)),NOT(ISNUMBER('Plano de Ação'!$G275)),'Plano de Ação'!$J275="Cancelada"),0,IF(AND('Plano de Ação'!$F275&lt;=EOMONTH(DATE(ano_ref,11,1),0),'Plano de Ação'!$G275&gt;=DATE(ano_ref,11,1)),1,0))</f>
      </c>
      <c r="P276" s="41">
        <f>IF(OR(NOT('Plano de Ação'!$B275&lt;&gt;""),NOT(ISNUMBER('Plano de Ação'!$F275)),NOT(ISNUMBER('Plano de Ação'!$G275)),'Plano de Ação'!$J275="Cancelada"),0,IF(AND('Plano de Ação'!$F275&lt;=EOMONTH(DATE(ano_ref,12,1),0),'Plano de Ação'!$G275&gt;=DATE(ano_ref,12,1)),1,0))</f>
      </c>
    </row>
    <row r="277" spans="1:16" x14ac:dyDescent="0.25">
      <c r="A277" s="40">
        <f>IF('Plano de Ação'!$B276&lt;&gt;"",'Plano de Ação'!A276&amp;"","")</f>
      </c>
      <c r="B277" s="25">
        <f>IF('Plano de Ação'!$B276&lt;&gt;"",'Plano de Ação'!B276,"")</f>
      </c>
      <c r="C277" s="25">
        <f>IF('Plano de Ação'!$B276&lt;&gt;"",'Plano de Ação'!E276&amp;"","")</f>
      </c>
      <c r="D277" s="40">
        <f>IF('Plano de Ação'!$B276&lt;&gt;"",'Plano de Ação'!L276,"")</f>
      </c>
      <c r="E277" s="41">
        <f>IF(OR(NOT('Plano de Ação'!$B276&lt;&gt;""),NOT(ISNUMBER('Plano de Ação'!$F276)),NOT(ISNUMBER('Plano de Ação'!$G276)),'Plano de Ação'!$J276="Cancelada"),0,IF(AND('Plano de Ação'!$F276&lt;=EOMONTH(DATE(ano_ref,1,1),0),'Plano de Ação'!$G276&gt;=DATE(ano_ref,1,1)),1,0))</f>
      </c>
      <c r="F277" s="41">
        <f>IF(OR(NOT('Plano de Ação'!$B276&lt;&gt;""),NOT(ISNUMBER('Plano de Ação'!$F276)),NOT(ISNUMBER('Plano de Ação'!$G276)),'Plano de Ação'!$J276="Cancelada"),0,IF(AND('Plano de Ação'!$F276&lt;=EOMONTH(DATE(ano_ref,2,1),0),'Plano de Ação'!$G276&gt;=DATE(ano_ref,2,1)),1,0))</f>
      </c>
      <c r="G277" s="41">
        <f>IF(OR(NOT('Plano de Ação'!$B276&lt;&gt;""),NOT(ISNUMBER('Plano de Ação'!$F276)),NOT(ISNUMBER('Plano de Ação'!$G276)),'Plano de Ação'!$J276="Cancelada"),0,IF(AND('Plano de Ação'!$F276&lt;=EOMONTH(DATE(ano_ref,3,1),0),'Plano de Ação'!$G276&gt;=DATE(ano_ref,3,1)),1,0))</f>
      </c>
      <c r="H277" s="41">
        <f>IF(OR(NOT('Plano de Ação'!$B276&lt;&gt;""),NOT(ISNUMBER('Plano de Ação'!$F276)),NOT(ISNUMBER('Plano de Ação'!$G276)),'Plano de Ação'!$J276="Cancelada"),0,IF(AND('Plano de Ação'!$F276&lt;=EOMONTH(DATE(ano_ref,4,1),0),'Plano de Ação'!$G276&gt;=DATE(ano_ref,4,1)),1,0))</f>
      </c>
      <c r="I277" s="41">
        <f>IF(OR(NOT('Plano de Ação'!$B276&lt;&gt;""),NOT(ISNUMBER('Plano de Ação'!$F276)),NOT(ISNUMBER('Plano de Ação'!$G276)),'Plano de Ação'!$J276="Cancelada"),0,IF(AND('Plano de Ação'!$F276&lt;=EOMONTH(DATE(ano_ref,5,1),0),'Plano de Ação'!$G276&gt;=DATE(ano_ref,5,1)),1,0))</f>
      </c>
      <c r="J277" s="41">
        <f>IF(OR(NOT('Plano de Ação'!$B276&lt;&gt;""),NOT(ISNUMBER('Plano de Ação'!$F276)),NOT(ISNUMBER('Plano de Ação'!$G276)),'Plano de Ação'!$J276="Cancelada"),0,IF(AND('Plano de Ação'!$F276&lt;=EOMONTH(DATE(ano_ref,6,1),0),'Plano de Ação'!$G276&gt;=DATE(ano_ref,6,1)),1,0))</f>
      </c>
      <c r="K277" s="41">
        <f>IF(OR(NOT('Plano de Ação'!$B276&lt;&gt;""),NOT(ISNUMBER('Plano de Ação'!$F276)),NOT(ISNUMBER('Plano de Ação'!$G276)),'Plano de Ação'!$J276="Cancelada"),0,IF(AND('Plano de Ação'!$F276&lt;=EOMONTH(DATE(ano_ref,7,1),0),'Plano de Ação'!$G276&gt;=DATE(ano_ref,7,1)),1,0))</f>
      </c>
      <c r="L277" s="41">
        <f>IF(OR(NOT('Plano de Ação'!$B276&lt;&gt;""),NOT(ISNUMBER('Plano de Ação'!$F276)),NOT(ISNUMBER('Plano de Ação'!$G276)),'Plano de Ação'!$J276="Cancelada"),0,IF(AND('Plano de Ação'!$F276&lt;=EOMONTH(DATE(ano_ref,8,1),0),'Plano de Ação'!$G276&gt;=DATE(ano_ref,8,1)),1,0))</f>
      </c>
      <c r="M277" s="41">
        <f>IF(OR(NOT('Plano de Ação'!$B276&lt;&gt;""),NOT(ISNUMBER('Plano de Ação'!$F276)),NOT(ISNUMBER('Plano de Ação'!$G276)),'Plano de Ação'!$J276="Cancelada"),0,IF(AND('Plano de Ação'!$F276&lt;=EOMONTH(DATE(ano_ref,9,1),0),'Plano de Ação'!$G276&gt;=DATE(ano_ref,9,1)),1,0))</f>
      </c>
      <c r="N277" s="41">
        <f>IF(OR(NOT('Plano de Ação'!$B276&lt;&gt;""),NOT(ISNUMBER('Plano de Ação'!$F276)),NOT(ISNUMBER('Plano de Ação'!$G276)),'Plano de Ação'!$J276="Cancelada"),0,IF(AND('Plano de Ação'!$F276&lt;=EOMONTH(DATE(ano_ref,10,1),0),'Plano de Ação'!$G276&gt;=DATE(ano_ref,10,1)),1,0))</f>
      </c>
      <c r="O277" s="41">
        <f>IF(OR(NOT('Plano de Ação'!$B276&lt;&gt;""),NOT(ISNUMBER('Plano de Ação'!$F276)),NOT(ISNUMBER('Plano de Ação'!$G276)),'Plano de Ação'!$J276="Cancelada"),0,IF(AND('Plano de Ação'!$F276&lt;=EOMONTH(DATE(ano_ref,11,1),0),'Plano de Ação'!$G276&gt;=DATE(ano_ref,11,1)),1,0))</f>
      </c>
      <c r="P277" s="41">
        <f>IF(OR(NOT('Plano de Ação'!$B276&lt;&gt;""),NOT(ISNUMBER('Plano de Ação'!$F276)),NOT(ISNUMBER('Plano de Ação'!$G276)),'Plano de Ação'!$J276="Cancelada"),0,IF(AND('Plano de Ação'!$F276&lt;=EOMONTH(DATE(ano_ref,12,1),0),'Plano de Ação'!$G276&gt;=DATE(ano_ref,12,1)),1,0))</f>
      </c>
    </row>
    <row r="278" spans="1:16" x14ac:dyDescent="0.25">
      <c r="A278" s="40">
        <f>IF('Plano de Ação'!$B277&lt;&gt;"",'Plano de Ação'!A277&amp;"","")</f>
      </c>
      <c r="B278" s="25">
        <f>IF('Plano de Ação'!$B277&lt;&gt;"",'Plano de Ação'!B277,"")</f>
      </c>
      <c r="C278" s="25">
        <f>IF('Plano de Ação'!$B277&lt;&gt;"",'Plano de Ação'!E277&amp;"","")</f>
      </c>
      <c r="D278" s="40">
        <f>IF('Plano de Ação'!$B277&lt;&gt;"",'Plano de Ação'!L277,"")</f>
      </c>
      <c r="E278" s="41">
        <f>IF(OR(NOT('Plano de Ação'!$B277&lt;&gt;""),NOT(ISNUMBER('Plano de Ação'!$F277)),NOT(ISNUMBER('Plano de Ação'!$G277)),'Plano de Ação'!$J277="Cancelada"),0,IF(AND('Plano de Ação'!$F277&lt;=EOMONTH(DATE(ano_ref,1,1),0),'Plano de Ação'!$G277&gt;=DATE(ano_ref,1,1)),1,0))</f>
      </c>
      <c r="F278" s="41">
        <f>IF(OR(NOT('Plano de Ação'!$B277&lt;&gt;""),NOT(ISNUMBER('Plano de Ação'!$F277)),NOT(ISNUMBER('Plano de Ação'!$G277)),'Plano de Ação'!$J277="Cancelada"),0,IF(AND('Plano de Ação'!$F277&lt;=EOMONTH(DATE(ano_ref,2,1),0),'Plano de Ação'!$G277&gt;=DATE(ano_ref,2,1)),1,0))</f>
      </c>
      <c r="G278" s="41">
        <f>IF(OR(NOT('Plano de Ação'!$B277&lt;&gt;""),NOT(ISNUMBER('Plano de Ação'!$F277)),NOT(ISNUMBER('Plano de Ação'!$G277)),'Plano de Ação'!$J277="Cancelada"),0,IF(AND('Plano de Ação'!$F277&lt;=EOMONTH(DATE(ano_ref,3,1),0),'Plano de Ação'!$G277&gt;=DATE(ano_ref,3,1)),1,0))</f>
      </c>
      <c r="H278" s="41">
        <f>IF(OR(NOT('Plano de Ação'!$B277&lt;&gt;""),NOT(ISNUMBER('Plano de Ação'!$F277)),NOT(ISNUMBER('Plano de Ação'!$G277)),'Plano de Ação'!$J277="Cancelada"),0,IF(AND('Plano de Ação'!$F277&lt;=EOMONTH(DATE(ano_ref,4,1),0),'Plano de Ação'!$G277&gt;=DATE(ano_ref,4,1)),1,0))</f>
      </c>
      <c r="I278" s="41">
        <f>IF(OR(NOT('Plano de Ação'!$B277&lt;&gt;""),NOT(ISNUMBER('Plano de Ação'!$F277)),NOT(ISNUMBER('Plano de Ação'!$G277)),'Plano de Ação'!$J277="Cancelada"),0,IF(AND('Plano de Ação'!$F277&lt;=EOMONTH(DATE(ano_ref,5,1),0),'Plano de Ação'!$G277&gt;=DATE(ano_ref,5,1)),1,0))</f>
      </c>
      <c r="J278" s="41">
        <f>IF(OR(NOT('Plano de Ação'!$B277&lt;&gt;""),NOT(ISNUMBER('Plano de Ação'!$F277)),NOT(ISNUMBER('Plano de Ação'!$G277)),'Plano de Ação'!$J277="Cancelada"),0,IF(AND('Plano de Ação'!$F277&lt;=EOMONTH(DATE(ano_ref,6,1),0),'Plano de Ação'!$G277&gt;=DATE(ano_ref,6,1)),1,0))</f>
      </c>
      <c r="K278" s="41">
        <f>IF(OR(NOT('Plano de Ação'!$B277&lt;&gt;""),NOT(ISNUMBER('Plano de Ação'!$F277)),NOT(ISNUMBER('Plano de Ação'!$G277)),'Plano de Ação'!$J277="Cancelada"),0,IF(AND('Plano de Ação'!$F277&lt;=EOMONTH(DATE(ano_ref,7,1),0),'Plano de Ação'!$G277&gt;=DATE(ano_ref,7,1)),1,0))</f>
      </c>
      <c r="L278" s="41">
        <f>IF(OR(NOT('Plano de Ação'!$B277&lt;&gt;""),NOT(ISNUMBER('Plano de Ação'!$F277)),NOT(ISNUMBER('Plano de Ação'!$G277)),'Plano de Ação'!$J277="Cancelada"),0,IF(AND('Plano de Ação'!$F277&lt;=EOMONTH(DATE(ano_ref,8,1),0),'Plano de Ação'!$G277&gt;=DATE(ano_ref,8,1)),1,0))</f>
      </c>
      <c r="M278" s="41">
        <f>IF(OR(NOT('Plano de Ação'!$B277&lt;&gt;""),NOT(ISNUMBER('Plano de Ação'!$F277)),NOT(ISNUMBER('Plano de Ação'!$G277)),'Plano de Ação'!$J277="Cancelada"),0,IF(AND('Plano de Ação'!$F277&lt;=EOMONTH(DATE(ano_ref,9,1),0),'Plano de Ação'!$G277&gt;=DATE(ano_ref,9,1)),1,0))</f>
      </c>
      <c r="N278" s="41">
        <f>IF(OR(NOT('Plano de Ação'!$B277&lt;&gt;""),NOT(ISNUMBER('Plano de Ação'!$F277)),NOT(ISNUMBER('Plano de Ação'!$G277)),'Plano de Ação'!$J277="Cancelada"),0,IF(AND('Plano de Ação'!$F277&lt;=EOMONTH(DATE(ano_ref,10,1),0),'Plano de Ação'!$G277&gt;=DATE(ano_ref,10,1)),1,0))</f>
      </c>
      <c r="O278" s="41">
        <f>IF(OR(NOT('Plano de Ação'!$B277&lt;&gt;""),NOT(ISNUMBER('Plano de Ação'!$F277)),NOT(ISNUMBER('Plano de Ação'!$G277)),'Plano de Ação'!$J277="Cancelada"),0,IF(AND('Plano de Ação'!$F277&lt;=EOMONTH(DATE(ano_ref,11,1),0),'Plano de Ação'!$G277&gt;=DATE(ano_ref,11,1)),1,0))</f>
      </c>
      <c r="P278" s="41">
        <f>IF(OR(NOT('Plano de Ação'!$B277&lt;&gt;""),NOT(ISNUMBER('Plano de Ação'!$F277)),NOT(ISNUMBER('Plano de Ação'!$G277)),'Plano de Ação'!$J277="Cancelada"),0,IF(AND('Plano de Ação'!$F277&lt;=EOMONTH(DATE(ano_ref,12,1),0),'Plano de Ação'!$G277&gt;=DATE(ano_ref,12,1)),1,0))</f>
      </c>
    </row>
    <row r="279" spans="1:16" x14ac:dyDescent="0.25">
      <c r="A279" s="40">
        <f>IF('Plano de Ação'!$B278&lt;&gt;"",'Plano de Ação'!A278&amp;"","")</f>
      </c>
      <c r="B279" s="25">
        <f>IF('Plano de Ação'!$B278&lt;&gt;"",'Plano de Ação'!B278,"")</f>
      </c>
      <c r="C279" s="25">
        <f>IF('Plano de Ação'!$B278&lt;&gt;"",'Plano de Ação'!E278&amp;"","")</f>
      </c>
      <c r="D279" s="40">
        <f>IF('Plano de Ação'!$B278&lt;&gt;"",'Plano de Ação'!L278,"")</f>
      </c>
      <c r="E279" s="41">
        <f>IF(OR(NOT('Plano de Ação'!$B278&lt;&gt;""),NOT(ISNUMBER('Plano de Ação'!$F278)),NOT(ISNUMBER('Plano de Ação'!$G278)),'Plano de Ação'!$J278="Cancelada"),0,IF(AND('Plano de Ação'!$F278&lt;=EOMONTH(DATE(ano_ref,1,1),0),'Plano de Ação'!$G278&gt;=DATE(ano_ref,1,1)),1,0))</f>
      </c>
      <c r="F279" s="41">
        <f>IF(OR(NOT('Plano de Ação'!$B278&lt;&gt;""),NOT(ISNUMBER('Plano de Ação'!$F278)),NOT(ISNUMBER('Plano de Ação'!$G278)),'Plano de Ação'!$J278="Cancelada"),0,IF(AND('Plano de Ação'!$F278&lt;=EOMONTH(DATE(ano_ref,2,1),0),'Plano de Ação'!$G278&gt;=DATE(ano_ref,2,1)),1,0))</f>
      </c>
      <c r="G279" s="41">
        <f>IF(OR(NOT('Plano de Ação'!$B278&lt;&gt;""),NOT(ISNUMBER('Plano de Ação'!$F278)),NOT(ISNUMBER('Plano de Ação'!$G278)),'Plano de Ação'!$J278="Cancelada"),0,IF(AND('Plano de Ação'!$F278&lt;=EOMONTH(DATE(ano_ref,3,1),0),'Plano de Ação'!$G278&gt;=DATE(ano_ref,3,1)),1,0))</f>
      </c>
      <c r="H279" s="41">
        <f>IF(OR(NOT('Plano de Ação'!$B278&lt;&gt;""),NOT(ISNUMBER('Plano de Ação'!$F278)),NOT(ISNUMBER('Plano de Ação'!$G278)),'Plano de Ação'!$J278="Cancelada"),0,IF(AND('Plano de Ação'!$F278&lt;=EOMONTH(DATE(ano_ref,4,1),0),'Plano de Ação'!$G278&gt;=DATE(ano_ref,4,1)),1,0))</f>
      </c>
      <c r="I279" s="41">
        <f>IF(OR(NOT('Plano de Ação'!$B278&lt;&gt;""),NOT(ISNUMBER('Plano de Ação'!$F278)),NOT(ISNUMBER('Plano de Ação'!$G278)),'Plano de Ação'!$J278="Cancelada"),0,IF(AND('Plano de Ação'!$F278&lt;=EOMONTH(DATE(ano_ref,5,1),0),'Plano de Ação'!$G278&gt;=DATE(ano_ref,5,1)),1,0))</f>
      </c>
      <c r="J279" s="41">
        <f>IF(OR(NOT('Plano de Ação'!$B278&lt;&gt;""),NOT(ISNUMBER('Plano de Ação'!$F278)),NOT(ISNUMBER('Plano de Ação'!$G278)),'Plano de Ação'!$J278="Cancelada"),0,IF(AND('Plano de Ação'!$F278&lt;=EOMONTH(DATE(ano_ref,6,1),0),'Plano de Ação'!$G278&gt;=DATE(ano_ref,6,1)),1,0))</f>
      </c>
      <c r="K279" s="41">
        <f>IF(OR(NOT('Plano de Ação'!$B278&lt;&gt;""),NOT(ISNUMBER('Plano de Ação'!$F278)),NOT(ISNUMBER('Plano de Ação'!$G278)),'Plano de Ação'!$J278="Cancelada"),0,IF(AND('Plano de Ação'!$F278&lt;=EOMONTH(DATE(ano_ref,7,1),0),'Plano de Ação'!$G278&gt;=DATE(ano_ref,7,1)),1,0))</f>
      </c>
      <c r="L279" s="41">
        <f>IF(OR(NOT('Plano de Ação'!$B278&lt;&gt;""),NOT(ISNUMBER('Plano de Ação'!$F278)),NOT(ISNUMBER('Plano de Ação'!$G278)),'Plano de Ação'!$J278="Cancelada"),0,IF(AND('Plano de Ação'!$F278&lt;=EOMONTH(DATE(ano_ref,8,1),0),'Plano de Ação'!$G278&gt;=DATE(ano_ref,8,1)),1,0))</f>
      </c>
      <c r="M279" s="41">
        <f>IF(OR(NOT('Plano de Ação'!$B278&lt;&gt;""),NOT(ISNUMBER('Plano de Ação'!$F278)),NOT(ISNUMBER('Plano de Ação'!$G278)),'Plano de Ação'!$J278="Cancelada"),0,IF(AND('Plano de Ação'!$F278&lt;=EOMONTH(DATE(ano_ref,9,1),0),'Plano de Ação'!$G278&gt;=DATE(ano_ref,9,1)),1,0))</f>
      </c>
      <c r="N279" s="41">
        <f>IF(OR(NOT('Plano de Ação'!$B278&lt;&gt;""),NOT(ISNUMBER('Plano de Ação'!$F278)),NOT(ISNUMBER('Plano de Ação'!$G278)),'Plano de Ação'!$J278="Cancelada"),0,IF(AND('Plano de Ação'!$F278&lt;=EOMONTH(DATE(ano_ref,10,1),0),'Plano de Ação'!$G278&gt;=DATE(ano_ref,10,1)),1,0))</f>
      </c>
      <c r="O279" s="41">
        <f>IF(OR(NOT('Plano de Ação'!$B278&lt;&gt;""),NOT(ISNUMBER('Plano de Ação'!$F278)),NOT(ISNUMBER('Plano de Ação'!$G278)),'Plano de Ação'!$J278="Cancelada"),0,IF(AND('Plano de Ação'!$F278&lt;=EOMONTH(DATE(ano_ref,11,1),0),'Plano de Ação'!$G278&gt;=DATE(ano_ref,11,1)),1,0))</f>
      </c>
      <c r="P279" s="41">
        <f>IF(OR(NOT('Plano de Ação'!$B278&lt;&gt;""),NOT(ISNUMBER('Plano de Ação'!$F278)),NOT(ISNUMBER('Plano de Ação'!$G278)),'Plano de Ação'!$J278="Cancelada"),0,IF(AND('Plano de Ação'!$F278&lt;=EOMONTH(DATE(ano_ref,12,1),0),'Plano de Ação'!$G278&gt;=DATE(ano_ref,12,1)),1,0))</f>
      </c>
    </row>
    <row r="280" spans="1:16" x14ac:dyDescent="0.25">
      <c r="A280" s="40">
        <f>IF('Plano de Ação'!$B279&lt;&gt;"",'Plano de Ação'!A279&amp;"","")</f>
      </c>
      <c r="B280" s="25">
        <f>IF('Plano de Ação'!$B279&lt;&gt;"",'Plano de Ação'!B279,"")</f>
      </c>
      <c r="C280" s="25">
        <f>IF('Plano de Ação'!$B279&lt;&gt;"",'Plano de Ação'!E279&amp;"","")</f>
      </c>
      <c r="D280" s="40">
        <f>IF('Plano de Ação'!$B279&lt;&gt;"",'Plano de Ação'!L279,"")</f>
      </c>
      <c r="E280" s="41">
        <f>IF(OR(NOT('Plano de Ação'!$B279&lt;&gt;""),NOT(ISNUMBER('Plano de Ação'!$F279)),NOT(ISNUMBER('Plano de Ação'!$G279)),'Plano de Ação'!$J279="Cancelada"),0,IF(AND('Plano de Ação'!$F279&lt;=EOMONTH(DATE(ano_ref,1,1),0),'Plano de Ação'!$G279&gt;=DATE(ano_ref,1,1)),1,0))</f>
      </c>
      <c r="F280" s="41">
        <f>IF(OR(NOT('Plano de Ação'!$B279&lt;&gt;""),NOT(ISNUMBER('Plano de Ação'!$F279)),NOT(ISNUMBER('Plano de Ação'!$G279)),'Plano de Ação'!$J279="Cancelada"),0,IF(AND('Plano de Ação'!$F279&lt;=EOMONTH(DATE(ano_ref,2,1),0),'Plano de Ação'!$G279&gt;=DATE(ano_ref,2,1)),1,0))</f>
      </c>
      <c r="G280" s="41">
        <f>IF(OR(NOT('Plano de Ação'!$B279&lt;&gt;""),NOT(ISNUMBER('Plano de Ação'!$F279)),NOT(ISNUMBER('Plano de Ação'!$G279)),'Plano de Ação'!$J279="Cancelada"),0,IF(AND('Plano de Ação'!$F279&lt;=EOMONTH(DATE(ano_ref,3,1),0),'Plano de Ação'!$G279&gt;=DATE(ano_ref,3,1)),1,0))</f>
      </c>
      <c r="H280" s="41">
        <f>IF(OR(NOT('Plano de Ação'!$B279&lt;&gt;""),NOT(ISNUMBER('Plano de Ação'!$F279)),NOT(ISNUMBER('Plano de Ação'!$G279)),'Plano de Ação'!$J279="Cancelada"),0,IF(AND('Plano de Ação'!$F279&lt;=EOMONTH(DATE(ano_ref,4,1),0),'Plano de Ação'!$G279&gt;=DATE(ano_ref,4,1)),1,0))</f>
      </c>
      <c r="I280" s="41">
        <f>IF(OR(NOT('Plano de Ação'!$B279&lt;&gt;""),NOT(ISNUMBER('Plano de Ação'!$F279)),NOT(ISNUMBER('Plano de Ação'!$G279)),'Plano de Ação'!$J279="Cancelada"),0,IF(AND('Plano de Ação'!$F279&lt;=EOMONTH(DATE(ano_ref,5,1),0),'Plano de Ação'!$G279&gt;=DATE(ano_ref,5,1)),1,0))</f>
      </c>
      <c r="J280" s="41">
        <f>IF(OR(NOT('Plano de Ação'!$B279&lt;&gt;""),NOT(ISNUMBER('Plano de Ação'!$F279)),NOT(ISNUMBER('Plano de Ação'!$G279)),'Plano de Ação'!$J279="Cancelada"),0,IF(AND('Plano de Ação'!$F279&lt;=EOMONTH(DATE(ano_ref,6,1),0),'Plano de Ação'!$G279&gt;=DATE(ano_ref,6,1)),1,0))</f>
      </c>
      <c r="K280" s="41">
        <f>IF(OR(NOT('Plano de Ação'!$B279&lt;&gt;""),NOT(ISNUMBER('Plano de Ação'!$F279)),NOT(ISNUMBER('Plano de Ação'!$G279)),'Plano de Ação'!$J279="Cancelada"),0,IF(AND('Plano de Ação'!$F279&lt;=EOMONTH(DATE(ano_ref,7,1),0),'Plano de Ação'!$G279&gt;=DATE(ano_ref,7,1)),1,0))</f>
      </c>
      <c r="L280" s="41">
        <f>IF(OR(NOT('Plano de Ação'!$B279&lt;&gt;""),NOT(ISNUMBER('Plano de Ação'!$F279)),NOT(ISNUMBER('Plano de Ação'!$G279)),'Plano de Ação'!$J279="Cancelada"),0,IF(AND('Plano de Ação'!$F279&lt;=EOMONTH(DATE(ano_ref,8,1),0),'Plano de Ação'!$G279&gt;=DATE(ano_ref,8,1)),1,0))</f>
      </c>
      <c r="M280" s="41">
        <f>IF(OR(NOT('Plano de Ação'!$B279&lt;&gt;""),NOT(ISNUMBER('Plano de Ação'!$F279)),NOT(ISNUMBER('Plano de Ação'!$G279)),'Plano de Ação'!$J279="Cancelada"),0,IF(AND('Plano de Ação'!$F279&lt;=EOMONTH(DATE(ano_ref,9,1),0),'Plano de Ação'!$G279&gt;=DATE(ano_ref,9,1)),1,0))</f>
      </c>
      <c r="N280" s="41">
        <f>IF(OR(NOT('Plano de Ação'!$B279&lt;&gt;""),NOT(ISNUMBER('Plano de Ação'!$F279)),NOT(ISNUMBER('Plano de Ação'!$G279)),'Plano de Ação'!$J279="Cancelada"),0,IF(AND('Plano de Ação'!$F279&lt;=EOMONTH(DATE(ano_ref,10,1),0),'Plano de Ação'!$G279&gt;=DATE(ano_ref,10,1)),1,0))</f>
      </c>
      <c r="O280" s="41">
        <f>IF(OR(NOT('Plano de Ação'!$B279&lt;&gt;""),NOT(ISNUMBER('Plano de Ação'!$F279)),NOT(ISNUMBER('Plano de Ação'!$G279)),'Plano de Ação'!$J279="Cancelada"),0,IF(AND('Plano de Ação'!$F279&lt;=EOMONTH(DATE(ano_ref,11,1),0),'Plano de Ação'!$G279&gt;=DATE(ano_ref,11,1)),1,0))</f>
      </c>
      <c r="P280" s="41">
        <f>IF(OR(NOT('Plano de Ação'!$B279&lt;&gt;""),NOT(ISNUMBER('Plano de Ação'!$F279)),NOT(ISNUMBER('Plano de Ação'!$G279)),'Plano de Ação'!$J279="Cancelada"),0,IF(AND('Plano de Ação'!$F279&lt;=EOMONTH(DATE(ano_ref,12,1),0),'Plano de Ação'!$G279&gt;=DATE(ano_ref,12,1)),1,0))</f>
      </c>
    </row>
    <row r="281" spans="1:16" x14ac:dyDescent="0.25">
      <c r="A281" s="40">
        <f>IF('Plano de Ação'!$B280&lt;&gt;"",'Plano de Ação'!A280&amp;"","")</f>
      </c>
      <c r="B281" s="25">
        <f>IF('Plano de Ação'!$B280&lt;&gt;"",'Plano de Ação'!B280,"")</f>
      </c>
      <c r="C281" s="25">
        <f>IF('Plano de Ação'!$B280&lt;&gt;"",'Plano de Ação'!E280&amp;"","")</f>
      </c>
      <c r="D281" s="40">
        <f>IF('Plano de Ação'!$B280&lt;&gt;"",'Plano de Ação'!L280,"")</f>
      </c>
      <c r="E281" s="41">
        <f>IF(OR(NOT('Plano de Ação'!$B280&lt;&gt;""),NOT(ISNUMBER('Plano de Ação'!$F280)),NOT(ISNUMBER('Plano de Ação'!$G280)),'Plano de Ação'!$J280="Cancelada"),0,IF(AND('Plano de Ação'!$F280&lt;=EOMONTH(DATE(ano_ref,1,1),0),'Plano de Ação'!$G280&gt;=DATE(ano_ref,1,1)),1,0))</f>
      </c>
      <c r="F281" s="41">
        <f>IF(OR(NOT('Plano de Ação'!$B280&lt;&gt;""),NOT(ISNUMBER('Plano de Ação'!$F280)),NOT(ISNUMBER('Plano de Ação'!$G280)),'Plano de Ação'!$J280="Cancelada"),0,IF(AND('Plano de Ação'!$F280&lt;=EOMONTH(DATE(ano_ref,2,1),0),'Plano de Ação'!$G280&gt;=DATE(ano_ref,2,1)),1,0))</f>
      </c>
      <c r="G281" s="41">
        <f>IF(OR(NOT('Plano de Ação'!$B280&lt;&gt;""),NOT(ISNUMBER('Plano de Ação'!$F280)),NOT(ISNUMBER('Plano de Ação'!$G280)),'Plano de Ação'!$J280="Cancelada"),0,IF(AND('Plano de Ação'!$F280&lt;=EOMONTH(DATE(ano_ref,3,1),0),'Plano de Ação'!$G280&gt;=DATE(ano_ref,3,1)),1,0))</f>
      </c>
      <c r="H281" s="41">
        <f>IF(OR(NOT('Plano de Ação'!$B280&lt;&gt;""),NOT(ISNUMBER('Plano de Ação'!$F280)),NOT(ISNUMBER('Plano de Ação'!$G280)),'Plano de Ação'!$J280="Cancelada"),0,IF(AND('Plano de Ação'!$F280&lt;=EOMONTH(DATE(ano_ref,4,1),0),'Plano de Ação'!$G280&gt;=DATE(ano_ref,4,1)),1,0))</f>
      </c>
      <c r="I281" s="41">
        <f>IF(OR(NOT('Plano de Ação'!$B280&lt;&gt;""),NOT(ISNUMBER('Plano de Ação'!$F280)),NOT(ISNUMBER('Plano de Ação'!$G280)),'Plano de Ação'!$J280="Cancelada"),0,IF(AND('Plano de Ação'!$F280&lt;=EOMONTH(DATE(ano_ref,5,1),0),'Plano de Ação'!$G280&gt;=DATE(ano_ref,5,1)),1,0))</f>
      </c>
      <c r="J281" s="41">
        <f>IF(OR(NOT('Plano de Ação'!$B280&lt;&gt;""),NOT(ISNUMBER('Plano de Ação'!$F280)),NOT(ISNUMBER('Plano de Ação'!$G280)),'Plano de Ação'!$J280="Cancelada"),0,IF(AND('Plano de Ação'!$F280&lt;=EOMONTH(DATE(ano_ref,6,1),0),'Plano de Ação'!$G280&gt;=DATE(ano_ref,6,1)),1,0))</f>
      </c>
      <c r="K281" s="41">
        <f>IF(OR(NOT('Plano de Ação'!$B280&lt;&gt;""),NOT(ISNUMBER('Plano de Ação'!$F280)),NOT(ISNUMBER('Plano de Ação'!$G280)),'Plano de Ação'!$J280="Cancelada"),0,IF(AND('Plano de Ação'!$F280&lt;=EOMONTH(DATE(ano_ref,7,1),0),'Plano de Ação'!$G280&gt;=DATE(ano_ref,7,1)),1,0))</f>
      </c>
      <c r="L281" s="41">
        <f>IF(OR(NOT('Plano de Ação'!$B280&lt;&gt;""),NOT(ISNUMBER('Plano de Ação'!$F280)),NOT(ISNUMBER('Plano de Ação'!$G280)),'Plano de Ação'!$J280="Cancelada"),0,IF(AND('Plano de Ação'!$F280&lt;=EOMONTH(DATE(ano_ref,8,1),0),'Plano de Ação'!$G280&gt;=DATE(ano_ref,8,1)),1,0))</f>
      </c>
      <c r="M281" s="41">
        <f>IF(OR(NOT('Plano de Ação'!$B280&lt;&gt;""),NOT(ISNUMBER('Plano de Ação'!$F280)),NOT(ISNUMBER('Plano de Ação'!$G280)),'Plano de Ação'!$J280="Cancelada"),0,IF(AND('Plano de Ação'!$F280&lt;=EOMONTH(DATE(ano_ref,9,1),0),'Plano de Ação'!$G280&gt;=DATE(ano_ref,9,1)),1,0))</f>
      </c>
      <c r="N281" s="41">
        <f>IF(OR(NOT('Plano de Ação'!$B280&lt;&gt;""),NOT(ISNUMBER('Plano de Ação'!$F280)),NOT(ISNUMBER('Plano de Ação'!$G280)),'Plano de Ação'!$J280="Cancelada"),0,IF(AND('Plano de Ação'!$F280&lt;=EOMONTH(DATE(ano_ref,10,1),0),'Plano de Ação'!$G280&gt;=DATE(ano_ref,10,1)),1,0))</f>
      </c>
      <c r="O281" s="41">
        <f>IF(OR(NOT('Plano de Ação'!$B280&lt;&gt;""),NOT(ISNUMBER('Plano de Ação'!$F280)),NOT(ISNUMBER('Plano de Ação'!$G280)),'Plano de Ação'!$J280="Cancelada"),0,IF(AND('Plano de Ação'!$F280&lt;=EOMONTH(DATE(ano_ref,11,1),0),'Plano de Ação'!$G280&gt;=DATE(ano_ref,11,1)),1,0))</f>
      </c>
      <c r="P281" s="41">
        <f>IF(OR(NOT('Plano de Ação'!$B280&lt;&gt;""),NOT(ISNUMBER('Plano de Ação'!$F280)),NOT(ISNUMBER('Plano de Ação'!$G280)),'Plano de Ação'!$J280="Cancelada"),0,IF(AND('Plano de Ação'!$F280&lt;=EOMONTH(DATE(ano_ref,12,1),0),'Plano de Ação'!$G280&gt;=DATE(ano_ref,12,1)),1,0))</f>
      </c>
    </row>
    <row r="282" spans="1:16" x14ac:dyDescent="0.25">
      <c r="A282" s="40">
        <f>IF('Plano de Ação'!$B281&lt;&gt;"",'Plano de Ação'!A281&amp;"","")</f>
      </c>
      <c r="B282" s="25">
        <f>IF('Plano de Ação'!$B281&lt;&gt;"",'Plano de Ação'!B281,"")</f>
      </c>
      <c r="C282" s="25">
        <f>IF('Plano de Ação'!$B281&lt;&gt;"",'Plano de Ação'!E281&amp;"","")</f>
      </c>
      <c r="D282" s="40">
        <f>IF('Plano de Ação'!$B281&lt;&gt;"",'Plano de Ação'!L281,"")</f>
      </c>
      <c r="E282" s="41">
        <f>IF(OR(NOT('Plano de Ação'!$B281&lt;&gt;""),NOT(ISNUMBER('Plano de Ação'!$F281)),NOT(ISNUMBER('Plano de Ação'!$G281)),'Plano de Ação'!$J281="Cancelada"),0,IF(AND('Plano de Ação'!$F281&lt;=EOMONTH(DATE(ano_ref,1,1),0),'Plano de Ação'!$G281&gt;=DATE(ano_ref,1,1)),1,0))</f>
      </c>
      <c r="F282" s="41">
        <f>IF(OR(NOT('Plano de Ação'!$B281&lt;&gt;""),NOT(ISNUMBER('Plano de Ação'!$F281)),NOT(ISNUMBER('Plano de Ação'!$G281)),'Plano de Ação'!$J281="Cancelada"),0,IF(AND('Plano de Ação'!$F281&lt;=EOMONTH(DATE(ano_ref,2,1),0),'Plano de Ação'!$G281&gt;=DATE(ano_ref,2,1)),1,0))</f>
      </c>
      <c r="G282" s="41">
        <f>IF(OR(NOT('Plano de Ação'!$B281&lt;&gt;""),NOT(ISNUMBER('Plano de Ação'!$F281)),NOT(ISNUMBER('Plano de Ação'!$G281)),'Plano de Ação'!$J281="Cancelada"),0,IF(AND('Plano de Ação'!$F281&lt;=EOMONTH(DATE(ano_ref,3,1),0),'Plano de Ação'!$G281&gt;=DATE(ano_ref,3,1)),1,0))</f>
      </c>
      <c r="H282" s="41">
        <f>IF(OR(NOT('Plano de Ação'!$B281&lt;&gt;""),NOT(ISNUMBER('Plano de Ação'!$F281)),NOT(ISNUMBER('Plano de Ação'!$G281)),'Plano de Ação'!$J281="Cancelada"),0,IF(AND('Plano de Ação'!$F281&lt;=EOMONTH(DATE(ano_ref,4,1),0),'Plano de Ação'!$G281&gt;=DATE(ano_ref,4,1)),1,0))</f>
      </c>
      <c r="I282" s="41">
        <f>IF(OR(NOT('Plano de Ação'!$B281&lt;&gt;""),NOT(ISNUMBER('Plano de Ação'!$F281)),NOT(ISNUMBER('Plano de Ação'!$G281)),'Plano de Ação'!$J281="Cancelada"),0,IF(AND('Plano de Ação'!$F281&lt;=EOMONTH(DATE(ano_ref,5,1),0),'Plano de Ação'!$G281&gt;=DATE(ano_ref,5,1)),1,0))</f>
      </c>
      <c r="J282" s="41">
        <f>IF(OR(NOT('Plano de Ação'!$B281&lt;&gt;""),NOT(ISNUMBER('Plano de Ação'!$F281)),NOT(ISNUMBER('Plano de Ação'!$G281)),'Plano de Ação'!$J281="Cancelada"),0,IF(AND('Plano de Ação'!$F281&lt;=EOMONTH(DATE(ano_ref,6,1),0),'Plano de Ação'!$G281&gt;=DATE(ano_ref,6,1)),1,0))</f>
      </c>
      <c r="K282" s="41">
        <f>IF(OR(NOT('Plano de Ação'!$B281&lt;&gt;""),NOT(ISNUMBER('Plano de Ação'!$F281)),NOT(ISNUMBER('Plano de Ação'!$G281)),'Plano de Ação'!$J281="Cancelada"),0,IF(AND('Plano de Ação'!$F281&lt;=EOMONTH(DATE(ano_ref,7,1),0),'Plano de Ação'!$G281&gt;=DATE(ano_ref,7,1)),1,0))</f>
      </c>
      <c r="L282" s="41">
        <f>IF(OR(NOT('Plano de Ação'!$B281&lt;&gt;""),NOT(ISNUMBER('Plano de Ação'!$F281)),NOT(ISNUMBER('Plano de Ação'!$G281)),'Plano de Ação'!$J281="Cancelada"),0,IF(AND('Plano de Ação'!$F281&lt;=EOMONTH(DATE(ano_ref,8,1),0),'Plano de Ação'!$G281&gt;=DATE(ano_ref,8,1)),1,0))</f>
      </c>
      <c r="M282" s="41">
        <f>IF(OR(NOT('Plano de Ação'!$B281&lt;&gt;""),NOT(ISNUMBER('Plano de Ação'!$F281)),NOT(ISNUMBER('Plano de Ação'!$G281)),'Plano de Ação'!$J281="Cancelada"),0,IF(AND('Plano de Ação'!$F281&lt;=EOMONTH(DATE(ano_ref,9,1),0),'Plano de Ação'!$G281&gt;=DATE(ano_ref,9,1)),1,0))</f>
      </c>
      <c r="N282" s="41">
        <f>IF(OR(NOT('Plano de Ação'!$B281&lt;&gt;""),NOT(ISNUMBER('Plano de Ação'!$F281)),NOT(ISNUMBER('Plano de Ação'!$G281)),'Plano de Ação'!$J281="Cancelada"),0,IF(AND('Plano de Ação'!$F281&lt;=EOMONTH(DATE(ano_ref,10,1),0),'Plano de Ação'!$G281&gt;=DATE(ano_ref,10,1)),1,0))</f>
      </c>
      <c r="O282" s="41">
        <f>IF(OR(NOT('Plano de Ação'!$B281&lt;&gt;""),NOT(ISNUMBER('Plano de Ação'!$F281)),NOT(ISNUMBER('Plano de Ação'!$G281)),'Plano de Ação'!$J281="Cancelada"),0,IF(AND('Plano de Ação'!$F281&lt;=EOMONTH(DATE(ano_ref,11,1),0),'Plano de Ação'!$G281&gt;=DATE(ano_ref,11,1)),1,0))</f>
      </c>
      <c r="P282" s="41">
        <f>IF(OR(NOT('Plano de Ação'!$B281&lt;&gt;""),NOT(ISNUMBER('Plano de Ação'!$F281)),NOT(ISNUMBER('Plano de Ação'!$G281)),'Plano de Ação'!$J281="Cancelada"),0,IF(AND('Plano de Ação'!$F281&lt;=EOMONTH(DATE(ano_ref,12,1),0),'Plano de Ação'!$G281&gt;=DATE(ano_ref,12,1)),1,0))</f>
      </c>
    </row>
    <row r="283" spans="1:16" x14ac:dyDescent="0.25">
      <c r="A283" s="40">
        <f>IF('Plano de Ação'!$B282&lt;&gt;"",'Plano de Ação'!A282&amp;"","")</f>
      </c>
      <c r="B283" s="25">
        <f>IF('Plano de Ação'!$B282&lt;&gt;"",'Plano de Ação'!B282,"")</f>
      </c>
      <c r="C283" s="25">
        <f>IF('Plano de Ação'!$B282&lt;&gt;"",'Plano de Ação'!E282&amp;"","")</f>
      </c>
      <c r="D283" s="40">
        <f>IF('Plano de Ação'!$B282&lt;&gt;"",'Plano de Ação'!L282,"")</f>
      </c>
      <c r="E283" s="41">
        <f>IF(OR(NOT('Plano de Ação'!$B282&lt;&gt;""),NOT(ISNUMBER('Plano de Ação'!$F282)),NOT(ISNUMBER('Plano de Ação'!$G282)),'Plano de Ação'!$J282="Cancelada"),0,IF(AND('Plano de Ação'!$F282&lt;=EOMONTH(DATE(ano_ref,1,1),0),'Plano de Ação'!$G282&gt;=DATE(ano_ref,1,1)),1,0))</f>
      </c>
      <c r="F283" s="41">
        <f>IF(OR(NOT('Plano de Ação'!$B282&lt;&gt;""),NOT(ISNUMBER('Plano de Ação'!$F282)),NOT(ISNUMBER('Plano de Ação'!$G282)),'Plano de Ação'!$J282="Cancelada"),0,IF(AND('Plano de Ação'!$F282&lt;=EOMONTH(DATE(ano_ref,2,1),0),'Plano de Ação'!$G282&gt;=DATE(ano_ref,2,1)),1,0))</f>
      </c>
      <c r="G283" s="41">
        <f>IF(OR(NOT('Plano de Ação'!$B282&lt;&gt;""),NOT(ISNUMBER('Plano de Ação'!$F282)),NOT(ISNUMBER('Plano de Ação'!$G282)),'Plano de Ação'!$J282="Cancelada"),0,IF(AND('Plano de Ação'!$F282&lt;=EOMONTH(DATE(ano_ref,3,1),0),'Plano de Ação'!$G282&gt;=DATE(ano_ref,3,1)),1,0))</f>
      </c>
      <c r="H283" s="41">
        <f>IF(OR(NOT('Plano de Ação'!$B282&lt;&gt;""),NOT(ISNUMBER('Plano de Ação'!$F282)),NOT(ISNUMBER('Plano de Ação'!$G282)),'Plano de Ação'!$J282="Cancelada"),0,IF(AND('Plano de Ação'!$F282&lt;=EOMONTH(DATE(ano_ref,4,1),0),'Plano de Ação'!$G282&gt;=DATE(ano_ref,4,1)),1,0))</f>
      </c>
      <c r="I283" s="41">
        <f>IF(OR(NOT('Plano de Ação'!$B282&lt;&gt;""),NOT(ISNUMBER('Plano de Ação'!$F282)),NOT(ISNUMBER('Plano de Ação'!$G282)),'Plano de Ação'!$J282="Cancelada"),0,IF(AND('Plano de Ação'!$F282&lt;=EOMONTH(DATE(ano_ref,5,1),0),'Plano de Ação'!$G282&gt;=DATE(ano_ref,5,1)),1,0))</f>
      </c>
      <c r="J283" s="41">
        <f>IF(OR(NOT('Plano de Ação'!$B282&lt;&gt;""),NOT(ISNUMBER('Plano de Ação'!$F282)),NOT(ISNUMBER('Plano de Ação'!$G282)),'Plano de Ação'!$J282="Cancelada"),0,IF(AND('Plano de Ação'!$F282&lt;=EOMONTH(DATE(ano_ref,6,1),0),'Plano de Ação'!$G282&gt;=DATE(ano_ref,6,1)),1,0))</f>
      </c>
      <c r="K283" s="41">
        <f>IF(OR(NOT('Plano de Ação'!$B282&lt;&gt;""),NOT(ISNUMBER('Plano de Ação'!$F282)),NOT(ISNUMBER('Plano de Ação'!$G282)),'Plano de Ação'!$J282="Cancelada"),0,IF(AND('Plano de Ação'!$F282&lt;=EOMONTH(DATE(ano_ref,7,1),0),'Plano de Ação'!$G282&gt;=DATE(ano_ref,7,1)),1,0))</f>
      </c>
      <c r="L283" s="41">
        <f>IF(OR(NOT('Plano de Ação'!$B282&lt;&gt;""),NOT(ISNUMBER('Plano de Ação'!$F282)),NOT(ISNUMBER('Plano de Ação'!$G282)),'Plano de Ação'!$J282="Cancelada"),0,IF(AND('Plano de Ação'!$F282&lt;=EOMONTH(DATE(ano_ref,8,1),0),'Plano de Ação'!$G282&gt;=DATE(ano_ref,8,1)),1,0))</f>
      </c>
      <c r="M283" s="41">
        <f>IF(OR(NOT('Plano de Ação'!$B282&lt;&gt;""),NOT(ISNUMBER('Plano de Ação'!$F282)),NOT(ISNUMBER('Plano de Ação'!$G282)),'Plano de Ação'!$J282="Cancelada"),0,IF(AND('Plano de Ação'!$F282&lt;=EOMONTH(DATE(ano_ref,9,1),0),'Plano de Ação'!$G282&gt;=DATE(ano_ref,9,1)),1,0))</f>
      </c>
      <c r="N283" s="41">
        <f>IF(OR(NOT('Plano de Ação'!$B282&lt;&gt;""),NOT(ISNUMBER('Plano de Ação'!$F282)),NOT(ISNUMBER('Plano de Ação'!$G282)),'Plano de Ação'!$J282="Cancelada"),0,IF(AND('Plano de Ação'!$F282&lt;=EOMONTH(DATE(ano_ref,10,1),0),'Plano de Ação'!$G282&gt;=DATE(ano_ref,10,1)),1,0))</f>
      </c>
      <c r="O283" s="41">
        <f>IF(OR(NOT('Plano de Ação'!$B282&lt;&gt;""),NOT(ISNUMBER('Plano de Ação'!$F282)),NOT(ISNUMBER('Plano de Ação'!$G282)),'Plano de Ação'!$J282="Cancelada"),0,IF(AND('Plano de Ação'!$F282&lt;=EOMONTH(DATE(ano_ref,11,1),0),'Plano de Ação'!$G282&gt;=DATE(ano_ref,11,1)),1,0))</f>
      </c>
      <c r="P283" s="41">
        <f>IF(OR(NOT('Plano de Ação'!$B282&lt;&gt;""),NOT(ISNUMBER('Plano de Ação'!$F282)),NOT(ISNUMBER('Plano de Ação'!$G282)),'Plano de Ação'!$J282="Cancelada"),0,IF(AND('Plano de Ação'!$F282&lt;=EOMONTH(DATE(ano_ref,12,1),0),'Plano de Ação'!$G282&gt;=DATE(ano_ref,12,1)),1,0))</f>
      </c>
    </row>
    <row r="284" spans="1:16" x14ac:dyDescent="0.25">
      <c r="A284" s="40">
        <f>IF('Plano de Ação'!$B283&lt;&gt;"",'Plano de Ação'!A283&amp;"","")</f>
      </c>
      <c r="B284" s="25">
        <f>IF('Plano de Ação'!$B283&lt;&gt;"",'Plano de Ação'!B283,"")</f>
      </c>
      <c r="C284" s="25">
        <f>IF('Plano de Ação'!$B283&lt;&gt;"",'Plano de Ação'!E283&amp;"","")</f>
      </c>
      <c r="D284" s="40">
        <f>IF('Plano de Ação'!$B283&lt;&gt;"",'Plano de Ação'!L283,"")</f>
      </c>
      <c r="E284" s="41">
        <f>IF(OR(NOT('Plano de Ação'!$B283&lt;&gt;""),NOT(ISNUMBER('Plano de Ação'!$F283)),NOT(ISNUMBER('Plano de Ação'!$G283)),'Plano de Ação'!$J283="Cancelada"),0,IF(AND('Plano de Ação'!$F283&lt;=EOMONTH(DATE(ano_ref,1,1),0),'Plano de Ação'!$G283&gt;=DATE(ano_ref,1,1)),1,0))</f>
      </c>
      <c r="F284" s="41">
        <f>IF(OR(NOT('Plano de Ação'!$B283&lt;&gt;""),NOT(ISNUMBER('Plano de Ação'!$F283)),NOT(ISNUMBER('Plano de Ação'!$G283)),'Plano de Ação'!$J283="Cancelada"),0,IF(AND('Plano de Ação'!$F283&lt;=EOMONTH(DATE(ano_ref,2,1),0),'Plano de Ação'!$G283&gt;=DATE(ano_ref,2,1)),1,0))</f>
      </c>
      <c r="G284" s="41">
        <f>IF(OR(NOT('Plano de Ação'!$B283&lt;&gt;""),NOT(ISNUMBER('Plano de Ação'!$F283)),NOT(ISNUMBER('Plano de Ação'!$G283)),'Plano de Ação'!$J283="Cancelada"),0,IF(AND('Plano de Ação'!$F283&lt;=EOMONTH(DATE(ano_ref,3,1),0),'Plano de Ação'!$G283&gt;=DATE(ano_ref,3,1)),1,0))</f>
      </c>
      <c r="H284" s="41">
        <f>IF(OR(NOT('Plano de Ação'!$B283&lt;&gt;""),NOT(ISNUMBER('Plano de Ação'!$F283)),NOT(ISNUMBER('Plano de Ação'!$G283)),'Plano de Ação'!$J283="Cancelada"),0,IF(AND('Plano de Ação'!$F283&lt;=EOMONTH(DATE(ano_ref,4,1),0),'Plano de Ação'!$G283&gt;=DATE(ano_ref,4,1)),1,0))</f>
      </c>
      <c r="I284" s="41">
        <f>IF(OR(NOT('Plano de Ação'!$B283&lt;&gt;""),NOT(ISNUMBER('Plano de Ação'!$F283)),NOT(ISNUMBER('Plano de Ação'!$G283)),'Plano de Ação'!$J283="Cancelada"),0,IF(AND('Plano de Ação'!$F283&lt;=EOMONTH(DATE(ano_ref,5,1),0),'Plano de Ação'!$G283&gt;=DATE(ano_ref,5,1)),1,0))</f>
      </c>
      <c r="J284" s="41">
        <f>IF(OR(NOT('Plano de Ação'!$B283&lt;&gt;""),NOT(ISNUMBER('Plano de Ação'!$F283)),NOT(ISNUMBER('Plano de Ação'!$G283)),'Plano de Ação'!$J283="Cancelada"),0,IF(AND('Plano de Ação'!$F283&lt;=EOMONTH(DATE(ano_ref,6,1),0),'Plano de Ação'!$G283&gt;=DATE(ano_ref,6,1)),1,0))</f>
      </c>
      <c r="K284" s="41">
        <f>IF(OR(NOT('Plano de Ação'!$B283&lt;&gt;""),NOT(ISNUMBER('Plano de Ação'!$F283)),NOT(ISNUMBER('Plano de Ação'!$G283)),'Plano de Ação'!$J283="Cancelada"),0,IF(AND('Plano de Ação'!$F283&lt;=EOMONTH(DATE(ano_ref,7,1),0),'Plano de Ação'!$G283&gt;=DATE(ano_ref,7,1)),1,0))</f>
      </c>
      <c r="L284" s="41">
        <f>IF(OR(NOT('Plano de Ação'!$B283&lt;&gt;""),NOT(ISNUMBER('Plano de Ação'!$F283)),NOT(ISNUMBER('Plano de Ação'!$G283)),'Plano de Ação'!$J283="Cancelada"),0,IF(AND('Plano de Ação'!$F283&lt;=EOMONTH(DATE(ano_ref,8,1),0),'Plano de Ação'!$G283&gt;=DATE(ano_ref,8,1)),1,0))</f>
      </c>
      <c r="M284" s="41">
        <f>IF(OR(NOT('Plano de Ação'!$B283&lt;&gt;""),NOT(ISNUMBER('Plano de Ação'!$F283)),NOT(ISNUMBER('Plano de Ação'!$G283)),'Plano de Ação'!$J283="Cancelada"),0,IF(AND('Plano de Ação'!$F283&lt;=EOMONTH(DATE(ano_ref,9,1),0),'Plano de Ação'!$G283&gt;=DATE(ano_ref,9,1)),1,0))</f>
      </c>
      <c r="N284" s="41">
        <f>IF(OR(NOT('Plano de Ação'!$B283&lt;&gt;""),NOT(ISNUMBER('Plano de Ação'!$F283)),NOT(ISNUMBER('Plano de Ação'!$G283)),'Plano de Ação'!$J283="Cancelada"),0,IF(AND('Plano de Ação'!$F283&lt;=EOMONTH(DATE(ano_ref,10,1),0),'Plano de Ação'!$G283&gt;=DATE(ano_ref,10,1)),1,0))</f>
      </c>
      <c r="O284" s="41">
        <f>IF(OR(NOT('Plano de Ação'!$B283&lt;&gt;""),NOT(ISNUMBER('Plano de Ação'!$F283)),NOT(ISNUMBER('Plano de Ação'!$G283)),'Plano de Ação'!$J283="Cancelada"),0,IF(AND('Plano de Ação'!$F283&lt;=EOMONTH(DATE(ano_ref,11,1),0),'Plano de Ação'!$G283&gt;=DATE(ano_ref,11,1)),1,0))</f>
      </c>
      <c r="P284" s="41">
        <f>IF(OR(NOT('Plano de Ação'!$B283&lt;&gt;""),NOT(ISNUMBER('Plano de Ação'!$F283)),NOT(ISNUMBER('Plano de Ação'!$G283)),'Plano de Ação'!$J283="Cancelada"),0,IF(AND('Plano de Ação'!$F283&lt;=EOMONTH(DATE(ano_ref,12,1),0),'Plano de Ação'!$G283&gt;=DATE(ano_ref,12,1)),1,0))</f>
      </c>
    </row>
    <row r="285" spans="1:16" x14ac:dyDescent="0.25">
      <c r="A285" s="40">
        <f>IF('Plano de Ação'!$B284&lt;&gt;"",'Plano de Ação'!A284&amp;"","")</f>
      </c>
      <c r="B285" s="25">
        <f>IF('Plano de Ação'!$B284&lt;&gt;"",'Plano de Ação'!B284,"")</f>
      </c>
      <c r="C285" s="25">
        <f>IF('Plano de Ação'!$B284&lt;&gt;"",'Plano de Ação'!E284&amp;"","")</f>
      </c>
      <c r="D285" s="40">
        <f>IF('Plano de Ação'!$B284&lt;&gt;"",'Plano de Ação'!L284,"")</f>
      </c>
      <c r="E285" s="41">
        <f>IF(OR(NOT('Plano de Ação'!$B284&lt;&gt;""),NOT(ISNUMBER('Plano de Ação'!$F284)),NOT(ISNUMBER('Plano de Ação'!$G284)),'Plano de Ação'!$J284="Cancelada"),0,IF(AND('Plano de Ação'!$F284&lt;=EOMONTH(DATE(ano_ref,1,1),0),'Plano de Ação'!$G284&gt;=DATE(ano_ref,1,1)),1,0))</f>
      </c>
      <c r="F285" s="41">
        <f>IF(OR(NOT('Plano de Ação'!$B284&lt;&gt;""),NOT(ISNUMBER('Plano de Ação'!$F284)),NOT(ISNUMBER('Plano de Ação'!$G284)),'Plano de Ação'!$J284="Cancelada"),0,IF(AND('Plano de Ação'!$F284&lt;=EOMONTH(DATE(ano_ref,2,1),0),'Plano de Ação'!$G284&gt;=DATE(ano_ref,2,1)),1,0))</f>
      </c>
      <c r="G285" s="41">
        <f>IF(OR(NOT('Plano de Ação'!$B284&lt;&gt;""),NOT(ISNUMBER('Plano de Ação'!$F284)),NOT(ISNUMBER('Plano de Ação'!$G284)),'Plano de Ação'!$J284="Cancelada"),0,IF(AND('Plano de Ação'!$F284&lt;=EOMONTH(DATE(ano_ref,3,1),0),'Plano de Ação'!$G284&gt;=DATE(ano_ref,3,1)),1,0))</f>
      </c>
      <c r="H285" s="41">
        <f>IF(OR(NOT('Plano de Ação'!$B284&lt;&gt;""),NOT(ISNUMBER('Plano de Ação'!$F284)),NOT(ISNUMBER('Plano de Ação'!$G284)),'Plano de Ação'!$J284="Cancelada"),0,IF(AND('Plano de Ação'!$F284&lt;=EOMONTH(DATE(ano_ref,4,1),0),'Plano de Ação'!$G284&gt;=DATE(ano_ref,4,1)),1,0))</f>
      </c>
      <c r="I285" s="41">
        <f>IF(OR(NOT('Plano de Ação'!$B284&lt;&gt;""),NOT(ISNUMBER('Plano de Ação'!$F284)),NOT(ISNUMBER('Plano de Ação'!$G284)),'Plano de Ação'!$J284="Cancelada"),0,IF(AND('Plano de Ação'!$F284&lt;=EOMONTH(DATE(ano_ref,5,1),0),'Plano de Ação'!$G284&gt;=DATE(ano_ref,5,1)),1,0))</f>
      </c>
      <c r="J285" s="41">
        <f>IF(OR(NOT('Plano de Ação'!$B284&lt;&gt;""),NOT(ISNUMBER('Plano de Ação'!$F284)),NOT(ISNUMBER('Plano de Ação'!$G284)),'Plano de Ação'!$J284="Cancelada"),0,IF(AND('Plano de Ação'!$F284&lt;=EOMONTH(DATE(ano_ref,6,1),0),'Plano de Ação'!$G284&gt;=DATE(ano_ref,6,1)),1,0))</f>
      </c>
      <c r="K285" s="41">
        <f>IF(OR(NOT('Plano de Ação'!$B284&lt;&gt;""),NOT(ISNUMBER('Plano de Ação'!$F284)),NOT(ISNUMBER('Plano de Ação'!$G284)),'Plano de Ação'!$J284="Cancelada"),0,IF(AND('Plano de Ação'!$F284&lt;=EOMONTH(DATE(ano_ref,7,1),0),'Plano de Ação'!$G284&gt;=DATE(ano_ref,7,1)),1,0))</f>
      </c>
      <c r="L285" s="41">
        <f>IF(OR(NOT('Plano de Ação'!$B284&lt;&gt;""),NOT(ISNUMBER('Plano de Ação'!$F284)),NOT(ISNUMBER('Plano de Ação'!$G284)),'Plano de Ação'!$J284="Cancelada"),0,IF(AND('Plano de Ação'!$F284&lt;=EOMONTH(DATE(ano_ref,8,1),0),'Plano de Ação'!$G284&gt;=DATE(ano_ref,8,1)),1,0))</f>
      </c>
      <c r="M285" s="41">
        <f>IF(OR(NOT('Plano de Ação'!$B284&lt;&gt;""),NOT(ISNUMBER('Plano de Ação'!$F284)),NOT(ISNUMBER('Plano de Ação'!$G284)),'Plano de Ação'!$J284="Cancelada"),0,IF(AND('Plano de Ação'!$F284&lt;=EOMONTH(DATE(ano_ref,9,1),0),'Plano de Ação'!$G284&gt;=DATE(ano_ref,9,1)),1,0))</f>
      </c>
      <c r="N285" s="41">
        <f>IF(OR(NOT('Plano de Ação'!$B284&lt;&gt;""),NOT(ISNUMBER('Plano de Ação'!$F284)),NOT(ISNUMBER('Plano de Ação'!$G284)),'Plano de Ação'!$J284="Cancelada"),0,IF(AND('Plano de Ação'!$F284&lt;=EOMONTH(DATE(ano_ref,10,1),0),'Plano de Ação'!$G284&gt;=DATE(ano_ref,10,1)),1,0))</f>
      </c>
      <c r="O285" s="41">
        <f>IF(OR(NOT('Plano de Ação'!$B284&lt;&gt;""),NOT(ISNUMBER('Plano de Ação'!$F284)),NOT(ISNUMBER('Plano de Ação'!$G284)),'Plano de Ação'!$J284="Cancelada"),0,IF(AND('Plano de Ação'!$F284&lt;=EOMONTH(DATE(ano_ref,11,1),0),'Plano de Ação'!$G284&gt;=DATE(ano_ref,11,1)),1,0))</f>
      </c>
      <c r="P285" s="41">
        <f>IF(OR(NOT('Plano de Ação'!$B284&lt;&gt;""),NOT(ISNUMBER('Plano de Ação'!$F284)),NOT(ISNUMBER('Plano de Ação'!$G284)),'Plano de Ação'!$J284="Cancelada"),0,IF(AND('Plano de Ação'!$F284&lt;=EOMONTH(DATE(ano_ref,12,1),0),'Plano de Ação'!$G284&gt;=DATE(ano_ref,12,1)),1,0))</f>
      </c>
    </row>
    <row r="286" spans="1:16" x14ac:dyDescent="0.25">
      <c r="A286" s="40">
        <f>IF('Plano de Ação'!$B285&lt;&gt;"",'Plano de Ação'!A285&amp;"","")</f>
      </c>
      <c r="B286" s="25">
        <f>IF('Plano de Ação'!$B285&lt;&gt;"",'Plano de Ação'!B285,"")</f>
      </c>
      <c r="C286" s="25">
        <f>IF('Plano de Ação'!$B285&lt;&gt;"",'Plano de Ação'!E285&amp;"","")</f>
      </c>
      <c r="D286" s="40">
        <f>IF('Plano de Ação'!$B285&lt;&gt;"",'Plano de Ação'!L285,"")</f>
      </c>
      <c r="E286" s="41">
        <f>IF(OR(NOT('Plano de Ação'!$B285&lt;&gt;""),NOT(ISNUMBER('Plano de Ação'!$F285)),NOT(ISNUMBER('Plano de Ação'!$G285)),'Plano de Ação'!$J285="Cancelada"),0,IF(AND('Plano de Ação'!$F285&lt;=EOMONTH(DATE(ano_ref,1,1),0),'Plano de Ação'!$G285&gt;=DATE(ano_ref,1,1)),1,0))</f>
      </c>
      <c r="F286" s="41">
        <f>IF(OR(NOT('Plano de Ação'!$B285&lt;&gt;""),NOT(ISNUMBER('Plano de Ação'!$F285)),NOT(ISNUMBER('Plano de Ação'!$G285)),'Plano de Ação'!$J285="Cancelada"),0,IF(AND('Plano de Ação'!$F285&lt;=EOMONTH(DATE(ano_ref,2,1),0),'Plano de Ação'!$G285&gt;=DATE(ano_ref,2,1)),1,0))</f>
      </c>
      <c r="G286" s="41">
        <f>IF(OR(NOT('Plano de Ação'!$B285&lt;&gt;""),NOT(ISNUMBER('Plano de Ação'!$F285)),NOT(ISNUMBER('Plano de Ação'!$G285)),'Plano de Ação'!$J285="Cancelada"),0,IF(AND('Plano de Ação'!$F285&lt;=EOMONTH(DATE(ano_ref,3,1),0),'Plano de Ação'!$G285&gt;=DATE(ano_ref,3,1)),1,0))</f>
      </c>
      <c r="H286" s="41">
        <f>IF(OR(NOT('Plano de Ação'!$B285&lt;&gt;""),NOT(ISNUMBER('Plano de Ação'!$F285)),NOT(ISNUMBER('Plano de Ação'!$G285)),'Plano de Ação'!$J285="Cancelada"),0,IF(AND('Plano de Ação'!$F285&lt;=EOMONTH(DATE(ano_ref,4,1),0),'Plano de Ação'!$G285&gt;=DATE(ano_ref,4,1)),1,0))</f>
      </c>
      <c r="I286" s="41">
        <f>IF(OR(NOT('Plano de Ação'!$B285&lt;&gt;""),NOT(ISNUMBER('Plano de Ação'!$F285)),NOT(ISNUMBER('Plano de Ação'!$G285)),'Plano de Ação'!$J285="Cancelada"),0,IF(AND('Plano de Ação'!$F285&lt;=EOMONTH(DATE(ano_ref,5,1),0),'Plano de Ação'!$G285&gt;=DATE(ano_ref,5,1)),1,0))</f>
      </c>
      <c r="J286" s="41">
        <f>IF(OR(NOT('Plano de Ação'!$B285&lt;&gt;""),NOT(ISNUMBER('Plano de Ação'!$F285)),NOT(ISNUMBER('Plano de Ação'!$G285)),'Plano de Ação'!$J285="Cancelada"),0,IF(AND('Plano de Ação'!$F285&lt;=EOMONTH(DATE(ano_ref,6,1),0),'Plano de Ação'!$G285&gt;=DATE(ano_ref,6,1)),1,0))</f>
      </c>
      <c r="K286" s="41">
        <f>IF(OR(NOT('Plano de Ação'!$B285&lt;&gt;""),NOT(ISNUMBER('Plano de Ação'!$F285)),NOT(ISNUMBER('Plano de Ação'!$G285)),'Plano de Ação'!$J285="Cancelada"),0,IF(AND('Plano de Ação'!$F285&lt;=EOMONTH(DATE(ano_ref,7,1),0),'Plano de Ação'!$G285&gt;=DATE(ano_ref,7,1)),1,0))</f>
      </c>
      <c r="L286" s="41">
        <f>IF(OR(NOT('Plano de Ação'!$B285&lt;&gt;""),NOT(ISNUMBER('Plano de Ação'!$F285)),NOT(ISNUMBER('Plano de Ação'!$G285)),'Plano de Ação'!$J285="Cancelada"),0,IF(AND('Plano de Ação'!$F285&lt;=EOMONTH(DATE(ano_ref,8,1),0),'Plano de Ação'!$G285&gt;=DATE(ano_ref,8,1)),1,0))</f>
      </c>
      <c r="M286" s="41">
        <f>IF(OR(NOT('Plano de Ação'!$B285&lt;&gt;""),NOT(ISNUMBER('Plano de Ação'!$F285)),NOT(ISNUMBER('Plano de Ação'!$G285)),'Plano de Ação'!$J285="Cancelada"),0,IF(AND('Plano de Ação'!$F285&lt;=EOMONTH(DATE(ano_ref,9,1),0),'Plano de Ação'!$G285&gt;=DATE(ano_ref,9,1)),1,0))</f>
      </c>
      <c r="N286" s="41">
        <f>IF(OR(NOT('Plano de Ação'!$B285&lt;&gt;""),NOT(ISNUMBER('Plano de Ação'!$F285)),NOT(ISNUMBER('Plano de Ação'!$G285)),'Plano de Ação'!$J285="Cancelada"),0,IF(AND('Plano de Ação'!$F285&lt;=EOMONTH(DATE(ano_ref,10,1),0),'Plano de Ação'!$G285&gt;=DATE(ano_ref,10,1)),1,0))</f>
      </c>
      <c r="O286" s="41">
        <f>IF(OR(NOT('Plano de Ação'!$B285&lt;&gt;""),NOT(ISNUMBER('Plano de Ação'!$F285)),NOT(ISNUMBER('Plano de Ação'!$G285)),'Plano de Ação'!$J285="Cancelada"),0,IF(AND('Plano de Ação'!$F285&lt;=EOMONTH(DATE(ano_ref,11,1),0),'Plano de Ação'!$G285&gt;=DATE(ano_ref,11,1)),1,0))</f>
      </c>
      <c r="P286" s="41">
        <f>IF(OR(NOT('Plano de Ação'!$B285&lt;&gt;""),NOT(ISNUMBER('Plano de Ação'!$F285)),NOT(ISNUMBER('Plano de Ação'!$G285)),'Plano de Ação'!$J285="Cancelada"),0,IF(AND('Plano de Ação'!$F285&lt;=EOMONTH(DATE(ano_ref,12,1),0),'Plano de Ação'!$G285&gt;=DATE(ano_ref,12,1)),1,0))</f>
      </c>
    </row>
    <row r="287" spans="1:16" x14ac:dyDescent="0.25">
      <c r="A287" s="40">
        <f>IF('Plano de Ação'!$B286&lt;&gt;"",'Plano de Ação'!A286&amp;"","")</f>
      </c>
      <c r="B287" s="25">
        <f>IF('Plano de Ação'!$B286&lt;&gt;"",'Plano de Ação'!B286,"")</f>
      </c>
      <c r="C287" s="25">
        <f>IF('Plano de Ação'!$B286&lt;&gt;"",'Plano de Ação'!E286&amp;"","")</f>
      </c>
      <c r="D287" s="40">
        <f>IF('Plano de Ação'!$B286&lt;&gt;"",'Plano de Ação'!L286,"")</f>
      </c>
      <c r="E287" s="41">
        <f>IF(OR(NOT('Plano de Ação'!$B286&lt;&gt;""),NOT(ISNUMBER('Plano de Ação'!$F286)),NOT(ISNUMBER('Plano de Ação'!$G286)),'Plano de Ação'!$J286="Cancelada"),0,IF(AND('Plano de Ação'!$F286&lt;=EOMONTH(DATE(ano_ref,1,1),0),'Plano de Ação'!$G286&gt;=DATE(ano_ref,1,1)),1,0))</f>
      </c>
      <c r="F287" s="41">
        <f>IF(OR(NOT('Plano de Ação'!$B286&lt;&gt;""),NOT(ISNUMBER('Plano de Ação'!$F286)),NOT(ISNUMBER('Plano de Ação'!$G286)),'Plano de Ação'!$J286="Cancelada"),0,IF(AND('Plano de Ação'!$F286&lt;=EOMONTH(DATE(ano_ref,2,1),0),'Plano de Ação'!$G286&gt;=DATE(ano_ref,2,1)),1,0))</f>
      </c>
      <c r="G287" s="41">
        <f>IF(OR(NOT('Plano de Ação'!$B286&lt;&gt;""),NOT(ISNUMBER('Plano de Ação'!$F286)),NOT(ISNUMBER('Plano de Ação'!$G286)),'Plano de Ação'!$J286="Cancelada"),0,IF(AND('Plano de Ação'!$F286&lt;=EOMONTH(DATE(ano_ref,3,1),0),'Plano de Ação'!$G286&gt;=DATE(ano_ref,3,1)),1,0))</f>
      </c>
      <c r="H287" s="41">
        <f>IF(OR(NOT('Plano de Ação'!$B286&lt;&gt;""),NOT(ISNUMBER('Plano de Ação'!$F286)),NOT(ISNUMBER('Plano de Ação'!$G286)),'Plano de Ação'!$J286="Cancelada"),0,IF(AND('Plano de Ação'!$F286&lt;=EOMONTH(DATE(ano_ref,4,1),0),'Plano de Ação'!$G286&gt;=DATE(ano_ref,4,1)),1,0))</f>
      </c>
      <c r="I287" s="41">
        <f>IF(OR(NOT('Plano de Ação'!$B286&lt;&gt;""),NOT(ISNUMBER('Plano de Ação'!$F286)),NOT(ISNUMBER('Plano de Ação'!$G286)),'Plano de Ação'!$J286="Cancelada"),0,IF(AND('Plano de Ação'!$F286&lt;=EOMONTH(DATE(ano_ref,5,1),0),'Plano de Ação'!$G286&gt;=DATE(ano_ref,5,1)),1,0))</f>
      </c>
      <c r="J287" s="41">
        <f>IF(OR(NOT('Plano de Ação'!$B286&lt;&gt;""),NOT(ISNUMBER('Plano de Ação'!$F286)),NOT(ISNUMBER('Plano de Ação'!$G286)),'Plano de Ação'!$J286="Cancelada"),0,IF(AND('Plano de Ação'!$F286&lt;=EOMONTH(DATE(ano_ref,6,1),0),'Plano de Ação'!$G286&gt;=DATE(ano_ref,6,1)),1,0))</f>
      </c>
      <c r="K287" s="41">
        <f>IF(OR(NOT('Plano de Ação'!$B286&lt;&gt;""),NOT(ISNUMBER('Plano de Ação'!$F286)),NOT(ISNUMBER('Plano de Ação'!$G286)),'Plano de Ação'!$J286="Cancelada"),0,IF(AND('Plano de Ação'!$F286&lt;=EOMONTH(DATE(ano_ref,7,1),0),'Plano de Ação'!$G286&gt;=DATE(ano_ref,7,1)),1,0))</f>
      </c>
      <c r="L287" s="41">
        <f>IF(OR(NOT('Plano de Ação'!$B286&lt;&gt;""),NOT(ISNUMBER('Plano de Ação'!$F286)),NOT(ISNUMBER('Plano de Ação'!$G286)),'Plano de Ação'!$J286="Cancelada"),0,IF(AND('Plano de Ação'!$F286&lt;=EOMONTH(DATE(ano_ref,8,1),0),'Plano de Ação'!$G286&gt;=DATE(ano_ref,8,1)),1,0))</f>
      </c>
      <c r="M287" s="41">
        <f>IF(OR(NOT('Plano de Ação'!$B286&lt;&gt;""),NOT(ISNUMBER('Plano de Ação'!$F286)),NOT(ISNUMBER('Plano de Ação'!$G286)),'Plano de Ação'!$J286="Cancelada"),0,IF(AND('Plano de Ação'!$F286&lt;=EOMONTH(DATE(ano_ref,9,1),0),'Plano de Ação'!$G286&gt;=DATE(ano_ref,9,1)),1,0))</f>
      </c>
      <c r="N287" s="41">
        <f>IF(OR(NOT('Plano de Ação'!$B286&lt;&gt;""),NOT(ISNUMBER('Plano de Ação'!$F286)),NOT(ISNUMBER('Plano de Ação'!$G286)),'Plano de Ação'!$J286="Cancelada"),0,IF(AND('Plano de Ação'!$F286&lt;=EOMONTH(DATE(ano_ref,10,1),0),'Plano de Ação'!$G286&gt;=DATE(ano_ref,10,1)),1,0))</f>
      </c>
      <c r="O287" s="41">
        <f>IF(OR(NOT('Plano de Ação'!$B286&lt;&gt;""),NOT(ISNUMBER('Plano de Ação'!$F286)),NOT(ISNUMBER('Plano de Ação'!$G286)),'Plano de Ação'!$J286="Cancelada"),0,IF(AND('Plano de Ação'!$F286&lt;=EOMONTH(DATE(ano_ref,11,1),0),'Plano de Ação'!$G286&gt;=DATE(ano_ref,11,1)),1,0))</f>
      </c>
      <c r="P287" s="41">
        <f>IF(OR(NOT('Plano de Ação'!$B286&lt;&gt;""),NOT(ISNUMBER('Plano de Ação'!$F286)),NOT(ISNUMBER('Plano de Ação'!$G286)),'Plano de Ação'!$J286="Cancelada"),0,IF(AND('Plano de Ação'!$F286&lt;=EOMONTH(DATE(ano_ref,12,1),0),'Plano de Ação'!$G286&gt;=DATE(ano_ref,12,1)),1,0))</f>
      </c>
    </row>
    <row r="288" spans="1:16" x14ac:dyDescent="0.25">
      <c r="A288" s="40">
        <f>IF('Plano de Ação'!$B287&lt;&gt;"",'Plano de Ação'!A287&amp;"","")</f>
      </c>
      <c r="B288" s="25">
        <f>IF('Plano de Ação'!$B287&lt;&gt;"",'Plano de Ação'!B287,"")</f>
      </c>
      <c r="C288" s="25">
        <f>IF('Plano de Ação'!$B287&lt;&gt;"",'Plano de Ação'!E287&amp;"","")</f>
      </c>
      <c r="D288" s="40">
        <f>IF('Plano de Ação'!$B287&lt;&gt;"",'Plano de Ação'!L287,"")</f>
      </c>
      <c r="E288" s="41">
        <f>IF(OR(NOT('Plano de Ação'!$B287&lt;&gt;""),NOT(ISNUMBER('Plano de Ação'!$F287)),NOT(ISNUMBER('Plano de Ação'!$G287)),'Plano de Ação'!$J287="Cancelada"),0,IF(AND('Plano de Ação'!$F287&lt;=EOMONTH(DATE(ano_ref,1,1),0),'Plano de Ação'!$G287&gt;=DATE(ano_ref,1,1)),1,0))</f>
      </c>
      <c r="F288" s="41">
        <f>IF(OR(NOT('Plano de Ação'!$B287&lt;&gt;""),NOT(ISNUMBER('Plano de Ação'!$F287)),NOT(ISNUMBER('Plano de Ação'!$G287)),'Plano de Ação'!$J287="Cancelada"),0,IF(AND('Plano de Ação'!$F287&lt;=EOMONTH(DATE(ano_ref,2,1),0),'Plano de Ação'!$G287&gt;=DATE(ano_ref,2,1)),1,0))</f>
      </c>
      <c r="G288" s="41">
        <f>IF(OR(NOT('Plano de Ação'!$B287&lt;&gt;""),NOT(ISNUMBER('Plano de Ação'!$F287)),NOT(ISNUMBER('Plano de Ação'!$G287)),'Plano de Ação'!$J287="Cancelada"),0,IF(AND('Plano de Ação'!$F287&lt;=EOMONTH(DATE(ano_ref,3,1),0),'Plano de Ação'!$G287&gt;=DATE(ano_ref,3,1)),1,0))</f>
      </c>
      <c r="H288" s="41">
        <f>IF(OR(NOT('Plano de Ação'!$B287&lt;&gt;""),NOT(ISNUMBER('Plano de Ação'!$F287)),NOT(ISNUMBER('Plano de Ação'!$G287)),'Plano de Ação'!$J287="Cancelada"),0,IF(AND('Plano de Ação'!$F287&lt;=EOMONTH(DATE(ano_ref,4,1),0),'Plano de Ação'!$G287&gt;=DATE(ano_ref,4,1)),1,0))</f>
      </c>
      <c r="I288" s="41">
        <f>IF(OR(NOT('Plano de Ação'!$B287&lt;&gt;""),NOT(ISNUMBER('Plano de Ação'!$F287)),NOT(ISNUMBER('Plano de Ação'!$G287)),'Plano de Ação'!$J287="Cancelada"),0,IF(AND('Plano de Ação'!$F287&lt;=EOMONTH(DATE(ano_ref,5,1),0),'Plano de Ação'!$G287&gt;=DATE(ano_ref,5,1)),1,0))</f>
      </c>
      <c r="J288" s="41">
        <f>IF(OR(NOT('Plano de Ação'!$B287&lt;&gt;""),NOT(ISNUMBER('Plano de Ação'!$F287)),NOT(ISNUMBER('Plano de Ação'!$G287)),'Plano de Ação'!$J287="Cancelada"),0,IF(AND('Plano de Ação'!$F287&lt;=EOMONTH(DATE(ano_ref,6,1),0),'Plano de Ação'!$G287&gt;=DATE(ano_ref,6,1)),1,0))</f>
      </c>
      <c r="K288" s="41">
        <f>IF(OR(NOT('Plano de Ação'!$B287&lt;&gt;""),NOT(ISNUMBER('Plano de Ação'!$F287)),NOT(ISNUMBER('Plano de Ação'!$G287)),'Plano de Ação'!$J287="Cancelada"),0,IF(AND('Plano de Ação'!$F287&lt;=EOMONTH(DATE(ano_ref,7,1),0),'Plano de Ação'!$G287&gt;=DATE(ano_ref,7,1)),1,0))</f>
      </c>
      <c r="L288" s="41">
        <f>IF(OR(NOT('Plano de Ação'!$B287&lt;&gt;""),NOT(ISNUMBER('Plano de Ação'!$F287)),NOT(ISNUMBER('Plano de Ação'!$G287)),'Plano de Ação'!$J287="Cancelada"),0,IF(AND('Plano de Ação'!$F287&lt;=EOMONTH(DATE(ano_ref,8,1),0),'Plano de Ação'!$G287&gt;=DATE(ano_ref,8,1)),1,0))</f>
      </c>
      <c r="M288" s="41">
        <f>IF(OR(NOT('Plano de Ação'!$B287&lt;&gt;""),NOT(ISNUMBER('Plano de Ação'!$F287)),NOT(ISNUMBER('Plano de Ação'!$G287)),'Plano de Ação'!$J287="Cancelada"),0,IF(AND('Plano de Ação'!$F287&lt;=EOMONTH(DATE(ano_ref,9,1),0),'Plano de Ação'!$G287&gt;=DATE(ano_ref,9,1)),1,0))</f>
      </c>
      <c r="N288" s="41">
        <f>IF(OR(NOT('Plano de Ação'!$B287&lt;&gt;""),NOT(ISNUMBER('Plano de Ação'!$F287)),NOT(ISNUMBER('Plano de Ação'!$G287)),'Plano de Ação'!$J287="Cancelada"),0,IF(AND('Plano de Ação'!$F287&lt;=EOMONTH(DATE(ano_ref,10,1),0),'Plano de Ação'!$G287&gt;=DATE(ano_ref,10,1)),1,0))</f>
      </c>
      <c r="O288" s="41">
        <f>IF(OR(NOT('Plano de Ação'!$B287&lt;&gt;""),NOT(ISNUMBER('Plano de Ação'!$F287)),NOT(ISNUMBER('Plano de Ação'!$G287)),'Plano de Ação'!$J287="Cancelada"),0,IF(AND('Plano de Ação'!$F287&lt;=EOMONTH(DATE(ano_ref,11,1),0),'Plano de Ação'!$G287&gt;=DATE(ano_ref,11,1)),1,0))</f>
      </c>
      <c r="P288" s="41">
        <f>IF(OR(NOT('Plano de Ação'!$B287&lt;&gt;""),NOT(ISNUMBER('Plano de Ação'!$F287)),NOT(ISNUMBER('Plano de Ação'!$G287)),'Plano de Ação'!$J287="Cancelada"),0,IF(AND('Plano de Ação'!$F287&lt;=EOMONTH(DATE(ano_ref,12,1),0),'Plano de Ação'!$G287&gt;=DATE(ano_ref,12,1)),1,0))</f>
      </c>
    </row>
    <row r="289" spans="1:16" x14ac:dyDescent="0.25">
      <c r="A289" s="40">
        <f>IF('Plano de Ação'!$B288&lt;&gt;"",'Plano de Ação'!A288&amp;"","")</f>
      </c>
      <c r="B289" s="25">
        <f>IF('Plano de Ação'!$B288&lt;&gt;"",'Plano de Ação'!B288,"")</f>
      </c>
      <c r="C289" s="25">
        <f>IF('Plano de Ação'!$B288&lt;&gt;"",'Plano de Ação'!E288&amp;"","")</f>
      </c>
      <c r="D289" s="40">
        <f>IF('Plano de Ação'!$B288&lt;&gt;"",'Plano de Ação'!L288,"")</f>
      </c>
      <c r="E289" s="41">
        <f>IF(OR(NOT('Plano de Ação'!$B288&lt;&gt;""),NOT(ISNUMBER('Plano de Ação'!$F288)),NOT(ISNUMBER('Plano de Ação'!$G288)),'Plano de Ação'!$J288="Cancelada"),0,IF(AND('Plano de Ação'!$F288&lt;=EOMONTH(DATE(ano_ref,1,1),0),'Plano de Ação'!$G288&gt;=DATE(ano_ref,1,1)),1,0))</f>
      </c>
      <c r="F289" s="41">
        <f>IF(OR(NOT('Plano de Ação'!$B288&lt;&gt;""),NOT(ISNUMBER('Plano de Ação'!$F288)),NOT(ISNUMBER('Plano de Ação'!$G288)),'Plano de Ação'!$J288="Cancelada"),0,IF(AND('Plano de Ação'!$F288&lt;=EOMONTH(DATE(ano_ref,2,1),0),'Plano de Ação'!$G288&gt;=DATE(ano_ref,2,1)),1,0))</f>
      </c>
      <c r="G289" s="41">
        <f>IF(OR(NOT('Plano de Ação'!$B288&lt;&gt;""),NOT(ISNUMBER('Plano de Ação'!$F288)),NOT(ISNUMBER('Plano de Ação'!$G288)),'Plano de Ação'!$J288="Cancelada"),0,IF(AND('Plano de Ação'!$F288&lt;=EOMONTH(DATE(ano_ref,3,1),0),'Plano de Ação'!$G288&gt;=DATE(ano_ref,3,1)),1,0))</f>
      </c>
      <c r="H289" s="41">
        <f>IF(OR(NOT('Plano de Ação'!$B288&lt;&gt;""),NOT(ISNUMBER('Plano de Ação'!$F288)),NOT(ISNUMBER('Plano de Ação'!$G288)),'Plano de Ação'!$J288="Cancelada"),0,IF(AND('Plano de Ação'!$F288&lt;=EOMONTH(DATE(ano_ref,4,1),0),'Plano de Ação'!$G288&gt;=DATE(ano_ref,4,1)),1,0))</f>
      </c>
      <c r="I289" s="41">
        <f>IF(OR(NOT('Plano de Ação'!$B288&lt;&gt;""),NOT(ISNUMBER('Plano de Ação'!$F288)),NOT(ISNUMBER('Plano de Ação'!$G288)),'Plano de Ação'!$J288="Cancelada"),0,IF(AND('Plano de Ação'!$F288&lt;=EOMONTH(DATE(ano_ref,5,1),0),'Plano de Ação'!$G288&gt;=DATE(ano_ref,5,1)),1,0))</f>
      </c>
      <c r="J289" s="41">
        <f>IF(OR(NOT('Plano de Ação'!$B288&lt;&gt;""),NOT(ISNUMBER('Plano de Ação'!$F288)),NOT(ISNUMBER('Plano de Ação'!$G288)),'Plano de Ação'!$J288="Cancelada"),0,IF(AND('Plano de Ação'!$F288&lt;=EOMONTH(DATE(ano_ref,6,1),0),'Plano de Ação'!$G288&gt;=DATE(ano_ref,6,1)),1,0))</f>
      </c>
      <c r="K289" s="41">
        <f>IF(OR(NOT('Plano de Ação'!$B288&lt;&gt;""),NOT(ISNUMBER('Plano de Ação'!$F288)),NOT(ISNUMBER('Plano de Ação'!$G288)),'Plano de Ação'!$J288="Cancelada"),0,IF(AND('Plano de Ação'!$F288&lt;=EOMONTH(DATE(ano_ref,7,1),0),'Plano de Ação'!$G288&gt;=DATE(ano_ref,7,1)),1,0))</f>
      </c>
      <c r="L289" s="41">
        <f>IF(OR(NOT('Plano de Ação'!$B288&lt;&gt;""),NOT(ISNUMBER('Plano de Ação'!$F288)),NOT(ISNUMBER('Plano de Ação'!$G288)),'Plano de Ação'!$J288="Cancelada"),0,IF(AND('Plano de Ação'!$F288&lt;=EOMONTH(DATE(ano_ref,8,1),0),'Plano de Ação'!$G288&gt;=DATE(ano_ref,8,1)),1,0))</f>
      </c>
      <c r="M289" s="41">
        <f>IF(OR(NOT('Plano de Ação'!$B288&lt;&gt;""),NOT(ISNUMBER('Plano de Ação'!$F288)),NOT(ISNUMBER('Plano de Ação'!$G288)),'Plano de Ação'!$J288="Cancelada"),0,IF(AND('Plano de Ação'!$F288&lt;=EOMONTH(DATE(ano_ref,9,1),0),'Plano de Ação'!$G288&gt;=DATE(ano_ref,9,1)),1,0))</f>
      </c>
      <c r="N289" s="41">
        <f>IF(OR(NOT('Plano de Ação'!$B288&lt;&gt;""),NOT(ISNUMBER('Plano de Ação'!$F288)),NOT(ISNUMBER('Plano de Ação'!$G288)),'Plano de Ação'!$J288="Cancelada"),0,IF(AND('Plano de Ação'!$F288&lt;=EOMONTH(DATE(ano_ref,10,1),0),'Plano de Ação'!$G288&gt;=DATE(ano_ref,10,1)),1,0))</f>
      </c>
      <c r="O289" s="41">
        <f>IF(OR(NOT('Plano de Ação'!$B288&lt;&gt;""),NOT(ISNUMBER('Plano de Ação'!$F288)),NOT(ISNUMBER('Plano de Ação'!$G288)),'Plano de Ação'!$J288="Cancelada"),0,IF(AND('Plano de Ação'!$F288&lt;=EOMONTH(DATE(ano_ref,11,1),0),'Plano de Ação'!$G288&gt;=DATE(ano_ref,11,1)),1,0))</f>
      </c>
      <c r="P289" s="41">
        <f>IF(OR(NOT('Plano de Ação'!$B288&lt;&gt;""),NOT(ISNUMBER('Plano de Ação'!$F288)),NOT(ISNUMBER('Plano de Ação'!$G288)),'Plano de Ação'!$J288="Cancelada"),0,IF(AND('Plano de Ação'!$F288&lt;=EOMONTH(DATE(ano_ref,12,1),0),'Plano de Ação'!$G288&gt;=DATE(ano_ref,12,1)),1,0))</f>
      </c>
    </row>
    <row r="290" spans="1:16" x14ac:dyDescent="0.25">
      <c r="A290" s="40">
        <f>IF('Plano de Ação'!$B289&lt;&gt;"",'Plano de Ação'!A289&amp;"","")</f>
      </c>
      <c r="B290" s="25">
        <f>IF('Plano de Ação'!$B289&lt;&gt;"",'Plano de Ação'!B289,"")</f>
      </c>
      <c r="C290" s="25">
        <f>IF('Plano de Ação'!$B289&lt;&gt;"",'Plano de Ação'!E289&amp;"","")</f>
      </c>
      <c r="D290" s="40">
        <f>IF('Plano de Ação'!$B289&lt;&gt;"",'Plano de Ação'!L289,"")</f>
      </c>
      <c r="E290" s="41">
        <f>IF(OR(NOT('Plano de Ação'!$B289&lt;&gt;""),NOT(ISNUMBER('Plano de Ação'!$F289)),NOT(ISNUMBER('Plano de Ação'!$G289)),'Plano de Ação'!$J289="Cancelada"),0,IF(AND('Plano de Ação'!$F289&lt;=EOMONTH(DATE(ano_ref,1,1),0),'Plano de Ação'!$G289&gt;=DATE(ano_ref,1,1)),1,0))</f>
      </c>
      <c r="F290" s="41">
        <f>IF(OR(NOT('Plano de Ação'!$B289&lt;&gt;""),NOT(ISNUMBER('Plano de Ação'!$F289)),NOT(ISNUMBER('Plano de Ação'!$G289)),'Plano de Ação'!$J289="Cancelada"),0,IF(AND('Plano de Ação'!$F289&lt;=EOMONTH(DATE(ano_ref,2,1),0),'Plano de Ação'!$G289&gt;=DATE(ano_ref,2,1)),1,0))</f>
      </c>
      <c r="G290" s="41">
        <f>IF(OR(NOT('Plano de Ação'!$B289&lt;&gt;""),NOT(ISNUMBER('Plano de Ação'!$F289)),NOT(ISNUMBER('Plano de Ação'!$G289)),'Plano de Ação'!$J289="Cancelada"),0,IF(AND('Plano de Ação'!$F289&lt;=EOMONTH(DATE(ano_ref,3,1),0),'Plano de Ação'!$G289&gt;=DATE(ano_ref,3,1)),1,0))</f>
      </c>
      <c r="H290" s="41">
        <f>IF(OR(NOT('Plano de Ação'!$B289&lt;&gt;""),NOT(ISNUMBER('Plano de Ação'!$F289)),NOT(ISNUMBER('Plano de Ação'!$G289)),'Plano de Ação'!$J289="Cancelada"),0,IF(AND('Plano de Ação'!$F289&lt;=EOMONTH(DATE(ano_ref,4,1),0),'Plano de Ação'!$G289&gt;=DATE(ano_ref,4,1)),1,0))</f>
      </c>
      <c r="I290" s="41">
        <f>IF(OR(NOT('Plano de Ação'!$B289&lt;&gt;""),NOT(ISNUMBER('Plano de Ação'!$F289)),NOT(ISNUMBER('Plano de Ação'!$G289)),'Plano de Ação'!$J289="Cancelada"),0,IF(AND('Plano de Ação'!$F289&lt;=EOMONTH(DATE(ano_ref,5,1),0),'Plano de Ação'!$G289&gt;=DATE(ano_ref,5,1)),1,0))</f>
      </c>
      <c r="J290" s="41">
        <f>IF(OR(NOT('Plano de Ação'!$B289&lt;&gt;""),NOT(ISNUMBER('Plano de Ação'!$F289)),NOT(ISNUMBER('Plano de Ação'!$G289)),'Plano de Ação'!$J289="Cancelada"),0,IF(AND('Plano de Ação'!$F289&lt;=EOMONTH(DATE(ano_ref,6,1),0),'Plano de Ação'!$G289&gt;=DATE(ano_ref,6,1)),1,0))</f>
      </c>
      <c r="K290" s="41">
        <f>IF(OR(NOT('Plano de Ação'!$B289&lt;&gt;""),NOT(ISNUMBER('Plano de Ação'!$F289)),NOT(ISNUMBER('Plano de Ação'!$G289)),'Plano de Ação'!$J289="Cancelada"),0,IF(AND('Plano de Ação'!$F289&lt;=EOMONTH(DATE(ano_ref,7,1),0),'Plano de Ação'!$G289&gt;=DATE(ano_ref,7,1)),1,0))</f>
      </c>
      <c r="L290" s="41">
        <f>IF(OR(NOT('Plano de Ação'!$B289&lt;&gt;""),NOT(ISNUMBER('Plano de Ação'!$F289)),NOT(ISNUMBER('Plano de Ação'!$G289)),'Plano de Ação'!$J289="Cancelada"),0,IF(AND('Plano de Ação'!$F289&lt;=EOMONTH(DATE(ano_ref,8,1),0),'Plano de Ação'!$G289&gt;=DATE(ano_ref,8,1)),1,0))</f>
      </c>
      <c r="M290" s="41">
        <f>IF(OR(NOT('Plano de Ação'!$B289&lt;&gt;""),NOT(ISNUMBER('Plano de Ação'!$F289)),NOT(ISNUMBER('Plano de Ação'!$G289)),'Plano de Ação'!$J289="Cancelada"),0,IF(AND('Plano de Ação'!$F289&lt;=EOMONTH(DATE(ano_ref,9,1),0),'Plano de Ação'!$G289&gt;=DATE(ano_ref,9,1)),1,0))</f>
      </c>
      <c r="N290" s="41">
        <f>IF(OR(NOT('Plano de Ação'!$B289&lt;&gt;""),NOT(ISNUMBER('Plano de Ação'!$F289)),NOT(ISNUMBER('Plano de Ação'!$G289)),'Plano de Ação'!$J289="Cancelada"),0,IF(AND('Plano de Ação'!$F289&lt;=EOMONTH(DATE(ano_ref,10,1),0),'Plano de Ação'!$G289&gt;=DATE(ano_ref,10,1)),1,0))</f>
      </c>
      <c r="O290" s="41">
        <f>IF(OR(NOT('Plano de Ação'!$B289&lt;&gt;""),NOT(ISNUMBER('Plano de Ação'!$F289)),NOT(ISNUMBER('Plano de Ação'!$G289)),'Plano de Ação'!$J289="Cancelada"),0,IF(AND('Plano de Ação'!$F289&lt;=EOMONTH(DATE(ano_ref,11,1),0),'Plano de Ação'!$G289&gt;=DATE(ano_ref,11,1)),1,0))</f>
      </c>
      <c r="P290" s="41">
        <f>IF(OR(NOT('Plano de Ação'!$B289&lt;&gt;""),NOT(ISNUMBER('Plano de Ação'!$F289)),NOT(ISNUMBER('Plano de Ação'!$G289)),'Plano de Ação'!$J289="Cancelada"),0,IF(AND('Plano de Ação'!$F289&lt;=EOMONTH(DATE(ano_ref,12,1),0),'Plano de Ação'!$G289&gt;=DATE(ano_ref,12,1)),1,0))</f>
      </c>
    </row>
    <row r="291" spans="1:16" x14ac:dyDescent="0.25">
      <c r="A291" s="40">
        <f>IF('Plano de Ação'!$B290&lt;&gt;"",'Plano de Ação'!A290&amp;"","")</f>
      </c>
      <c r="B291" s="25">
        <f>IF('Plano de Ação'!$B290&lt;&gt;"",'Plano de Ação'!B290,"")</f>
      </c>
      <c r="C291" s="25">
        <f>IF('Plano de Ação'!$B290&lt;&gt;"",'Plano de Ação'!E290&amp;"","")</f>
      </c>
      <c r="D291" s="40">
        <f>IF('Plano de Ação'!$B290&lt;&gt;"",'Plano de Ação'!L290,"")</f>
      </c>
      <c r="E291" s="41">
        <f>IF(OR(NOT('Plano de Ação'!$B290&lt;&gt;""),NOT(ISNUMBER('Plano de Ação'!$F290)),NOT(ISNUMBER('Plano de Ação'!$G290)),'Plano de Ação'!$J290="Cancelada"),0,IF(AND('Plano de Ação'!$F290&lt;=EOMONTH(DATE(ano_ref,1,1),0),'Plano de Ação'!$G290&gt;=DATE(ano_ref,1,1)),1,0))</f>
      </c>
      <c r="F291" s="41">
        <f>IF(OR(NOT('Plano de Ação'!$B290&lt;&gt;""),NOT(ISNUMBER('Plano de Ação'!$F290)),NOT(ISNUMBER('Plano de Ação'!$G290)),'Plano de Ação'!$J290="Cancelada"),0,IF(AND('Plano de Ação'!$F290&lt;=EOMONTH(DATE(ano_ref,2,1),0),'Plano de Ação'!$G290&gt;=DATE(ano_ref,2,1)),1,0))</f>
      </c>
      <c r="G291" s="41">
        <f>IF(OR(NOT('Plano de Ação'!$B290&lt;&gt;""),NOT(ISNUMBER('Plano de Ação'!$F290)),NOT(ISNUMBER('Plano de Ação'!$G290)),'Plano de Ação'!$J290="Cancelada"),0,IF(AND('Plano de Ação'!$F290&lt;=EOMONTH(DATE(ano_ref,3,1),0),'Plano de Ação'!$G290&gt;=DATE(ano_ref,3,1)),1,0))</f>
      </c>
      <c r="H291" s="41">
        <f>IF(OR(NOT('Plano de Ação'!$B290&lt;&gt;""),NOT(ISNUMBER('Plano de Ação'!$F290)),NOT(ISNUMBER('Plano de Ação'!$G290)),'Plano de Ação'!$J290="Cancelada"),0,IF(AND('Plano de Ação'!$F290&lt;=EOMONTH(DATE(ano_ref,4,1),0),'Plano de Ação'!$G290&gt;=DATE(ano_ref,4,1)),1,0))</f>
      </c>
      <c r="I291" s="41">
        <f>IF(OR(NOT('Plano de Ação'!$B290&lt;&gt;""),NOT(ISNUMBER('Plano de Ação'!$F290)),NOT(ISNUMBER('Plano de Ação'!$G290)),'Plano de Ação'!$J290="Cancelada"),0,IF(AND('Plano de Ação'!$F290&lt;=EOMONTH(DATE(ano_ref,5,1),0),'Plano de Ação'!$G290&gt;=DATE(ano_ref,5,1)),1,0))</f>
      </c>
      <c r="J291" s="41">
        <f>IF(OR(NOT('Plano de Ação'!$B290&lt;&gt;""),NOT(ISNUMBER('Plano de Ação'!$F290)),NOT(ISNUMBER('Plano de Ação'!$G290)),'Plano de Ação'!$J290="Cancelada"),0,IF(AND('Plano de Ação'!$F290&lt;=EOMONTH(DATE(ano_ref,6,1),0),'Plano de Ação'!$G290&gt;=DATE(ano_ref,6,1)),1,0))</f>
      </c>
      <c r="K291" s="41">
        <f>IF(OR(NOT('Plano de Ação'!$B290&lt;&gt;""),NOT(ISNUMBER('Plano de Ação'!$F290)),NOT(ISNUMBER('Plano de Ação'!$G290)),'Plano de Ação'!$J290="Cancelada"),0,IF(AND('Plano de Ação'!$F290&lt;=EOMONTH(DATE(ano_ref,7,1),0),'Plano de Ação'!$G290&gt;=DATE(ano_ref,7,1)),1,0))</f>
      </c>
      <c r="L291" s="41">
        <f>IF(OR(NOT('Plano de Ação'!$B290&lt;&gt;""),NOT(ISNUMBER('Plano de Ação'!$F290)),NOT(ISNUMBER('Plano de Ação'!$G290)),'Plano de Ação'!$J290="Cancelada"),0,IF(AND('Plano de Ação'!$F290&lt;=EOMONTH(DATE(ano_ref,8,1),0),'Plano de Ação'!$G290&gt;=DATE(ano_ref,8,1)),1,0))</f>
      </c>
      <c r="M291" s="41">
        <f>IF(OR(NOT('Plano de Ação'!$B290&lt;&gt;""),NOT(ISNUMBER('Plano de Ação'!$F290)),NOT(ISNUMBER('Plano de Ação'!$G290)),'Plano de Ação'!$J290="Cancelada"),0,IF(AND('Plano de Ação'!$F290&lt;=EOMONTH(DATE(ano_ref,9,1),0),'Plano de Ação'!$G290&gt;=DATE(ano_ref,9,1)),1,0))</f>
      </c>
      <c r="N291" s="41">
        <f>IF(OR(NOT('Plano de Ação'!$B290&lt;&gt;""),NOT(ISNUMBER('Plano de Ação'!$F290)),NOT(ISNUMBER('Plano de Ação'!$G290)),'Plano de Ação'!$J290="Cancelada"),0,IF(AND('Plano de Ação'!$F290&lt;=EOMONTH(DATE(ano_ref,10,1),0),'Plano de Ação'!$G290&gt;=DATE(ano_ref,10,1)),1,0))</f>
      </c>
      <c r="O291" s="41">
        <f>IF(OR(NOT('Plano de Ação'!$B290&lt;&gt;""),NOT(ISNUMBER('Plano de Ação'!$F290)),NOT(ISNUMBER('Plano de Ação'!$G290)),'Plano de Ação'!$J290="Cancelada"),0,IF(AND('Plano de Ação'!$F290&lt;=EOMONTH(DATE(ano_ref,11,1),0),'Plano de Ação'!$G290&gt;=DATE(ano_ref,11,1)),1,0))</f>
      </c>
      <c r="P291" s="41">
        <f>IF(OR(NOT('Plano de Ação'!$B290&lt;&gt;""),NOT(ISNUMBER('Plano de Ação'!$F290)),NOT(ISNUMBER('Plano de Ação'!$G290)),'Plano de Ação'!$J290="Cancelada"),0,IF(AND('Plano de Ação'!$F290&lt;=EOMONTH(DATE(ano_ref,12,1),0),'Plano de Ação'!$G290&gt;=DATE(ano_ref,12,1)),1,0))</f>
      </c>
    </row>
    <row r="292" spans="1:16" x14ac:dyDescent="0.25">
      <c r="A292" s="40">
        <f>IF('Plano de Ação'!$B291&lt;&gt;"",'Plano de Ação'!A291&amp;"","")</f>
      </c>
      <c r="B292" s="25">
        <f>IF('Plano de Ação'!$B291&lt;&gt;"",'Plano de Ação'!B291,"")</f>
      </c>
      <c r="C292" s="25">
        <f>IF('Plano de Ação'!$B291&lt;&gt;"",'Plano de Ação'!E291&amp;"","")</f>
      </c>
      <c r="D292" s="40">
        <f>IF('Plano de Ação'!$B291&lt;&gt;"",'Plano de Ação'!L291,"")</f>
      </c>
      <c r="E292" s="41">
        <f>IF(OR(NOT('Plano de Ação'!$B291&lt;&gt;""),NOT(ISNUMBER('Plano de Ação'!$F291)),NOT(ISNUMBER('Plano de Ação'!$G291)),'Plano de Ação'!$J291="Cancelada"),0,IF(AND('Plano de Ação'!$F291&lt;=EOMONTH(DATE(ano_ref,1,1),0),'Plano de Ação'!$G291&gt;=DATE(ano_ref,1,1)),1,0))</f>
      </c>
      <c r="F292" s="41">
        <f>IF(OR(NOT('Plano de Ação'!$B291&lt;&gt;""),NOT(ISNUMBER('Plano de Ação'!$F291)),NOT(ISNUMBER('Plano de Ação'!$G291)),'Plano de Ação'!$J291="Cancelada"),0,IF(AND('Plano de Ação'!$F291&lt;=EOMONTH(DATE(ano_ref,2,1),0),'Plano de Ação'!$G291&gt;=DATE(ano_ref,2,1)),1,0))</f>
      </c>
      <c r="G292" s="41">
        <f>IF(OR(NOT('Plano de Ação'!$B291&lt;&gt;""),NOT(ISNUMBER('Plano de Ação'!$F291)),NOT(ISNUMBER('Plano de Ação'!$G291)),'Plano de Ação'!$J291="Cancelada"),0,IF(AND('Plano de Ação'!$F291&lt;=EOMONTH(DATE(ano_ref,3,1),0),'Plano de Ação'!$G291&gt;=DATE(ano_ref,3,1)),1,0))</f>
      </c>
      <c r="H292" s="41">
        <f>IF(OR(NOT('Plano de Ação'!$B291&lt;&gt;""),NOT(ISNUMBER('Plano de Ação'!$F291)),NOT(ISNUMBER('Plano de Ação'!$G291)),'Plano de Ação'!$J291="Cancelada"),0,IF(AND('Plano de Ação'!$F291&lt;=EOMONTH(DATE(ano_ref,4,1),0),'Plano de Ação'!$G291&gt;=DATE(ano_ref,4,1)),1,0))</f>
      </c>
      <c r="I292" s="41">
        <f>IF(OR(NOT('Plano de Ação'!$B291&lt;&gt;""),NOT(ISNUMBER('Plano de Ação'!$F291)),NOT(ISNUMBER('Plano de Ação'!$G291)),'Plano de Ação'!$J291="Cancelada"),0,IF(AND('Plano de Ação'!$F291&lt;=EOMONTH(DATE(ano_ref,5,1),0),'Plano de Ação'!$G291&gt;=DATE(ano_ref,5,1)),1,0))</f>
      </c>
      <c r="J292" s="41">
        <f>IF(OR(NOT('Plano de Ação'!$B291&lt;&gt;""),NOT(ISNUMBER('Plano de Ação'!$F291)),NOT(ISNUMBER('Plano de Ação'!$G291)),'Plano de Ação'!$J291="Cancelada"),0,IF(AND('Plano de Ação'!$F291&lt;=EOMONTH(DATE(ano_ref,6,1),0),'Plano de Ação'!$G291&gt;=DATE(ano_ref,6,1)),1,0))</f>
      </c>
      <c r="K292" s="41">
        <f>IF(OR(NOT('Plano de Ação'!$B291&lt;&gt;""),NOT(ISNUMBER('Plano de Ação'!$F291)),NOT(ISNUMBER('Plano de Ação'!$G291)),'Plano de Ação'!$J291="Cancelada"),0,IF(AND('Plano de Ação'!$F291&lt;=EOMONTH(DATE(ano_ref,7,1),0),'Plano de Ação'!$G291&gt;=DATE(ano_ref,7,1)),1,0))</f>
      </c>
      <c r="L292" s="41">
        <f>IF(OR(NOT('Plano de Ação'!$B291&lt;&gt;""),NOT(ISNUMBER('Plano de Ação'!$F291)),NOT(ISNUMBER('Plano de Ação'!$G291)),'Plano de Ação'!$J291="Cancelada"),0,IF(AND('Plano de Ação'!$F291&lt;=EOMONTH(DATE(ano_ref,8,1),0),'Plano de Ação'!$G291&gt;=DATE(ano_ref,8,1)),1,0))</f>
      </c>
      <c r="M292" s="41">
        <f>IF(OR(NOT('Plano de Ação'!$B291&lt;&gt;""),NOT(ISNUMBER('Plano de Ação'!$F291)),NOT(ISNUMBER('Plano de Ação'!$G291)),'Plano de Ação'!$J291="Cancelada"),0,IF(AND('Plano de Ação'!$F291&lt;=EOMONTH(DATE(ano_ref,9,1),0),'Plano de Ação'!$G291&gt;=DATE(ano_ref,9,1)),1,0))</f>
      </c>
      <c r="N292" s="41">
        <f>IF(OR(NOT('Plano de Ação'!$B291&lt;&gt;""),NOT(ISNUMBER('Plano de Ação'!$F291)),NOT(ISNUMBER('Plano de Ação'!$G291)),'Plano de Ação'!$J291="Cancelada"),0,IF(AND('Plano de Ação'!$F291&lt;=EOMONTH(DATE(ano_ref,10,1),0),'Plano de Ação'!$G291&gt;=DATE(ano_ref,10,1)),1,0))</f>
      </c>
      <c r="O292" s="41">
        <f>IF(OR(NOT('Plano de Ação'!$B291&lt;&gt;""),NOT(ISNUMBER('Plano de Ação'!$F291)),NOT(ISNUMBER('Plano de Ação'!$G291)),'Plano de Ação'!$J291="Cancelada"),0,IF(AND('Plano de Ação'!$F291&lt;=EOMONTH(DATE(ano_ref,11,1),0),'Plano de Ação'!$G291&gt;=DATE(ano_ref,11,1)),1,0))</f>
      </c>
      <c r="P292" s="41">
        <f>IF(OR(NOT('Plano de Ação'!$B291&lt;&gt;""),NOT(ISNUMBER('Plano de Ação'!$F291)),NOT(ISNUMBER('Plano de Ação'!$G291)),'Plano de Ação'!$J291="Cancelada"),0,IF(AND('Plano de Ação'!$F291&lt;=EOMONTH(DATE(ano_ref,12,1),0),'Plano de Ação'!$G291&gt;=DATE(ano_ref,12,1)),1,0))</f>
      </c>
    </row>
    <row r="293" spans="1:16" x14ac:dyDescent="0.25">
      <c r="A293" s="40">
        <f>IF('Plano de Ação'!$B292&lt;&gt;"",'Plano de Ação'!A292&amp;"","")</f>
      </c>
      <c r="B293" s="25">
        <f>IF('Plano de Ação'!$B292&lt;&gt;"",'Plano de Ação'!B292,"")</f>
      </c>
      <c r="C293" s="25">
        <f>IF('Plano de Ação'!$B292&lt;&gt;"",'Plano de Ação'!E292&amp;"","")</f>
      </c>
      <c r="D293" s="40">
        <f>IF('Plano de Ação'!$B292&lt;&gt;"",'Plano de Ação'!L292,"")</f>
      </c>
      <c r="E293" s="41">
        <f>IF(OR(NOT('Plano de Ação'!$B292&lt;&gt;""),NOT(ISNUMBER('Plano de Ação'!$F292)),NOT(ISNUMBER('Plano de Ação'!$G292)),'Plano de Ação'!$J292="Cancelada"),0,IF(AND('Plano de Ação'!$F292&lt;=EOMONTH(DATE(ano_ref,1,1),0),'Plano de Ação'!$G292&gt;=DATE(ano_ref,1,1)),1,0))</f>
      </c>
      <c r="F293" s="41">
        <f>IF(OR(NOT('Plano de Ação'!$B292&lt;&gt;""),NOT(ISNUMBER('Plano de Ação'!$F292)),NOT(ISNUMBER('Plano de Ação'!$G292)),'Plano de Ação'!$J292="Cancelada"),0,IF(AND('Plano de Ação'!$F292&lt;=EOMONTH(DATE(ano_ref,2,1),0),'Plano de Ação'!$G292&gt;=DATE(ano_ref,2,1)),1,0))</f>
      </c>
      <c r="G293" s="41">
        <f>IF(OR(NOT('Plano de Ação'!$B292&lt;&gt;""),NOT(ISNUMBER('Plano de Ação'!$F292)),NOT(ISNUMBER('Plano de Ação'!$G292)),'Plano de Ação'!$J292="Cancelada"),0,IF(AND('Plano de Ação'!$F292&lt;=EOMONTH(DATE(ano_ref,3,1),0),'Plano de Ação'!$G292&gt;=DATE(ano_ref,3,1)),1,0))</f>
      </c>
      <c r="H293" s="41">
        <f>IF(OR(NOT('Plano de Ação'!$B292&lt;&gt;""),NOT(ISNUMBER('Plano de Ação'!$F292)),NOT(ISNUMBER('Plano de Ação'!$G292)),'Plano de Ação'!$J292="Cancelada"),0,IF(AND('Plano de Ação'!$F292&lt;=EOMONTH(DATE(ano_ref,4,1),0),'Plano de Ação'!$G292&gt;=DATE(ano_ref,4,1)),1,0))</f>
      </c>
      <c r="I293" s="41">
        <f>IF(OR(NOT('Plano de Ação'!$B292&lt;&gt;""),NOT(ISNUMBER('Plano de Ação'!$F292)),NOT(ISNUMBER('Plano de Ação'!$G292)),'Plano de Ação'!$J292="Cancelada"),0,IF(AND('Plano de Ação'!$F292&lt;=EOMONTH(DATE(ano_ref,5,1),0),'Plano de Ação'!$G292&gt;=DATE(ano_ref,5,1)),1,0))</f>
      </c>
      <c r="J293" s="41">
        <f>IF(OR(NOT('Plano de Ação'!$B292&lt;&gt;""),NOT(ISNUMBER('Plano de Ação'!$F292)),NOT(ISNUMBER('Plano de Ação'!$G292)),'Plano de Ação'!$J292="Cancelada"),0,IF(AND('Plano de Ação'!$F292&lt;=EOMONTH(DATE(ano_ref,6,1),0),'Plano de Ação'!$G292&gt;=DATE(ano_ref,6,1)),1,0))</f>
      </c>
      <c r="K293" s="41">
        <f>IF(OR(NOT('Plano de Ação'!$B292&lt;&gt;""),NOT(ISNUMBER('Plano de Ação'!$F292)),NOT(ISNUMBER('Plano de Ação'!$G292)),'Plano de Ação'!$J292="Cancelada"),0,IF(AND('Plano de Ação'!$F292&lt;=EOMONTH(DATE(ano_ref,7,1),0),'Plano de Ação'!$G292&gt;=DATE(ano_ref,7,1)),1,0))</f>
      </c>
      <c r="L293" s="41">
        <f>IF(OR(NOT('Plano de Ação'!$B292&lt;&gt;""),NOT(ISNUMBER('Plano de Ação'!$F292)),NOT(ISNUMBER('Plano de Ação'!$G292)),'Plano de Ação'!$J292="Cancelada"),0,IF(AND('Plano de Ação'!$F292&lt;=EOMONTH(DATE(ano_ref,8,1),0),'Plano de Ação'!$G292&gt;=DATE(ano_ref,8,1)),1,0))</f>
      </c>
      <c r="M293" s="41">
        <f>IF(OR(NOT('Plano de Ação'!$B292&lt;&gt;""),NOT(ISNUMBER('Plano de Ação'!$F292)),NOT(ISNUMBER('Plano de Ação'!$G292)),'Plano de Ação'!$J292="Cancelada"),0,IF(AND('Plano de Ação'!$F292&lt;=EOMONTH(DATE(ano_ref,9,1),0),'Plano de Ação'!$G292&gt;=DATE(ano_ref,9,1)),1,0))</f>
      </c>
      <c r="N293" s="41">
        <f>IF(OR(NOT('Plano de Ação'!$B292&lt;&gt;""),NOT(ISNUMBER('Plano de Ação'!$F292)),NOT(ISNUMBER('Plano de Ação'!$G292)),'Plano de Ação'!$J292="Cancelada"),0,IF(AND('Plano de Ação'!$F292&lt;=EOMONTH(DATE(ano_ref,10,1),0),'Plano de Ação'!$G292&gt;=DATE(ano_ref,10,1)),1,0))</f>
      </c>
      <c r="O293" s="41">
        <f>IF(OR(NOT('Plano de Ação'!$B292&lt;&gt;""),NOT(ISNUMBER('Plano de Ação'!$F292)),NOT(ISNUMBER('Plano de Ação'!$G292)),'Plano de Ação'!$J292="Cancelada"),0,IF(AND('Plano de Ação'!$F292&lt;=EOMONTH(DATE(ano_ref,11,1),0),'Plano de Ação'!$G292&gt;=DATE(ano_ref,11,1)),1,0))</f>
      </c>
      <c r="P293" s="41">
        <f>IF(OR(NOT('Plano de Ação'!$B292&lt;&gt;""),NOT(ISNUMBER('Plano de Ação'!$F292)),NOT(ISNUMBER('Plano de Ação'!$G292)),'Plano de Ação'!$J292="Cancelada"),0,IF(AND('Plano de Ação'!$F292&lt;=EOMONTH(DATE(ano_ref,12,1),0),'Plano de Ação'!$G292&gt;=DATE(ano_ref,12,1)),1,0))</f>
      </c>
    </row>
    <row r="294" spans="1:16" x14ac:dyDescent="0.25">
      <c r="A294" s="40">
        <f>IF('Plano de Ação'!$B293&lt;&gt;"",'Plano de Ação'!A293&amp;"","")</f>
      </c>
      <c r="B294" s="25">
        <f>IF('Plano de Ação'!$B293&lt;&gt;"",'Plano de Ação'!B293,"")</f>
      </c>
      <c r="C294" s="25">
        <f>IF('Plano de Ação'!$B293&lt;&gt;"",'Plano de Ação'!E293&amp;"","")</f>
      </c>
      <c r="D294" s="40">
        <f>IF('Plano de Ação'!$B293&lt;&gt;"",'Plano de Ação'!L293,"")</f>
      </c>
      <c r="E294" s="41">
        <f>IF(OR(NOT('Plano de Ação'!$B293&lt;&gt;""),NOT(ISNUMBER('Plano de Ação'!$F293)),NOT(ISNUMBER('Plano de Ação'!$G293)),'Plano de Ação'!$J293="Cancelada"),0,IF(AND('Plano de Ação'!$F293&lt;=EOMONTH(DATE(ano_ref,1,1),0),'Plano de Ação'!$G293&gt;=DATE(ano_ref,1,1)),1,0))</f>
      </c>
      <c r="F294" s="41">
        <f>IF(OR(NOT('Plano de Ação'!$B293&lt;&gt;""),NOT(ISNUMBER('Plano de Ação'!$F293)),NOT(ISNUMBER('Plano de Ação'!$G293)),'Plano de Ação'!$J293="Cancelada"),0,IF(AND('Plano de Ação'!$F293&lt;=EOMONTH(DATE(ano_ref,2,1),0),'Plano de Ação'!$G293&gt;=DATE(ano_ref,2,1)),1,0))</f>
      </c>
      <c r="G294" s="41">
        <f>IF(OR(NOT('Plano de Ação'!$B293&lt;&gt;""),NOT(ISNUMBER('Plano de Ação'!$F293)),NOT(ISNUMBER('Plano de Ação'!$G293)),'Plano de Ação'!$J293="Cancelada"),0,IF(AND('Plano de Ação'!$F293&lt;=EOMONTH(DATE(ano_ref,3,1),0),'Plano de Ação'!$G293&gt;=DATE(ano_ref,3,1)),1,0))</f>
      </c>
      <c r="H294" s="41">
        <f>IF(OR(NOT('Plano de Ação'!$B293&lt;&gt;""),NOT(ISNUMBER('Plano de Ação'!$F293)),NOT(ISNUMBER('Plano de Ação'!$G293)),'Plano de Ação'!$J293="Cancelada"),0,IF(AND('Plano de Ação'!$F293&lt;=EOMONTH(DATE(ano_ref,4,1),0),'Plano de Ação'!$G293&gt;=DATE(ano_ref,4,1)),1,0))</f>
      </c>
      <c r="I294" s="41">
        <f>IF(OR(NOT('Plano de Ação'!$B293&lt;&gt;""),NOT(ISNUMBER('Plano de Ação'!$F293)),NOT(ISNUMBER('Plano de Ação'!$G293)),'Plano de Ação'!$J293="Cancelada"),0,IF(AND('Plano de Ação'!$F293&lt;=EOMONTH(DATE(ano_ref,5,1),0),'Plano de Ação'!$G293&gt;=DATE(ano_ref,5,1)),1,0))</f>
      </c>
      <c r="J294" s="41">
        <f>IF(OR(NOT('Plano de Ação'!$B293&lt;&gt;""),NOT(ISNUMBER('Plano de Ação'!$F293)),NOT(ISNUMBER('Plano de Ação'!$G293)),'Plano de Ação'!$J293="Cancelada"),0,IF(AND('Plano de Ação'!$F293&lt;=EOMONTH(DATE(ano_ref,6,1),0),'Plano de Ação'!$G293&gt;=DATE(ano_ref,6,1)),1,0))</f>
      </c>
      <c r="K294" s="41">
        <f>IF(OR(NOT('Plano de Ação'!$B293&lt;&gt;""),NOT(ISNUMBER('Plano de Ação'!$F293)),NOT(ISNUMBER('Plano de Ação'!$G293)),'Plano de Ação'!$J293="Cancelada"),0,IF(AND('Plano de Ação'!$F293&lt;=EOMONTH(DATE(ano_ref,7,1),0),'Plano de Ação'!$G293&gt;=DATE(ano_ref,7,1)),1,0))</f>
      </c>
      <c r="L294" s="41">
        <f>IF(OR(NOT('Plano de Ação'!$B293&lt;&gt;""),NOT(ISNUMBER('Plano de Ação'!$F293)),NOT(ISNUMBER('Plano de Ação'!$G293)),'Plano de Ação'!$J293="Cancelada"),0,IF(AND('Plano de Ação'!$F293&lt;=EOMONTH(DATE(ano_ref,8,1),0),'Plano de Ação'!$G293&gt;=DATE(ano_ref,8,1)),1,0))</f>
      </c>
      <c r="M294" s="41">
        <f>IF(OR(NOT('Plano de Ação'!$B293&lt;&gt;""),NOT(ISNUMBER('Plano de Ação'!$F293)),NOT(ISNUMBER('Plano de Ação'!$G293)),'Plano de Ação'!$J293="Cancelada"),0,IF(AND('Plano de Ação'!$F293&lt;=EOMONTH(DATE(ano_ref,9,1),0),'Plano de Ação'!$G293&gt;=DATE(ano_ref,9,1)),1,0))</f>
      </c>
      <c r="N294" s="41">
        <f>IF(OR(NOT('Plano de Ação'!$B293&lt;&gt;""),NOT(ISNUMBER('Plano de Ação'!$F293)),NOT(ISNUMBER('Plano de Ação'!$G293)),'Plano de Ação'!$J293="Cancelada"),0,IF(AND('Plano de Ação'!$F293&lt;=EOMONTH(DATE(ano_ref,10,1),0),'Plano de Ação'!$G293&gt;=DATE(ano_ref,10,1)),1,0))</f>
      </c>
      <c r="O294" s="41">
        <f>IF(OR(NOT('Plano de Ação'!$B293&lt;&gt;""),NOT(ISNUMBER('Plano de Ação'!$F293)),NOT(ISNUMBER('Plano de Ação'!$G293)),'Plano de Ação'!$J293="Cancelada"),0,IF(AND('Plano de Ação'!$F293&lt;=EOMONTH(DATE(ano_ref,11,1),0),'Plano de Ação'!$G293&gt;=DATE(ano_ref,11,1)),1,0))</f>
      </c>
      <c r="P294" s="41">
        <f>IF(OR(NOT('Plano de Ação'!$B293&lt;&gt;""),NOT(ISNUMBER('Plano de Ação'!$F293)),NOT(ISNUMBER('Plano de Ação'!$G293)),'Plano de Ação'!$J293="Cancelada"),0,IF(AND('Plano de Ação'!$F293&lt;=EOMONTH(DATE(ano_ref,12,1),0),'Plano de Ação'!$G293&gt;=DATE(ano_ref,12,1)),1,0))</f>
      </c>
    </row>
    <row r="295" spans="1:16" x14ac:dyDescent="0.25">
      <c r="A295" s="40">
        <f>IF('Plano de Ação'!$B294&lt;&gt;"",'Plano de Ação'!A294&amp;"","")</f>
      </c>
      <c r="B295" s="25">
        <f>IF('Plano de Ação'!$B294&lt;&gt;"",'Plano de Ação'!B294,"")</f>
      </c>
      <c r="C295" s="25">
        <f>IF('Plano de Ação'!$B294&lt;&gt;"",'Plano de Ação'!E294&amp;"","")</f>
      </c>
      <c r="D295" s="40">
        <f>IF('Plano de Ação'!$B294&lt;&gt;"",'Plano de Ação'!L294,"")</f>
      </c>
      <c r="E295" s="41">
        <f>IF(OR(NOT('Plano de Ação'!$B294&lt;&gt;""),NOT(ISNUMBER('Plano de Ação'!$F294)),NOT(ISNUMBER('Plano de Ação'!$G294)),'Plano de Ação'!$J294="Cancelada"),0,IF(AND('Plano de Ação'!$F294&lt;=EOMONTH(DATE(ano_ref,1,1),0),'Plano de Ação'!$G294&gt;=DATE(ano_ref,1,1)),1,0))</f>
      </c>
      <c r="F295" s="41">
        <f>IF(OR(NOT('Plano de Ação'!$B294&lt;&gt;""),NOT(ISNUMBER('Plano de Ação'!$F294)),NOT(ISNUMBER('Plano de Ação'!$G294)),'Plano de Ação'!$J294="Cancelada"),0,IF(AND('Plano de Ação'!$F294&lt;=EOMONTH(DATE(ano_ref,2,1),0),'Plano de Ação'!$G294&gt;=DATE(ano_ref,2,1)),1,0))</f>
      </c>
      <c r="G295" s="41">
        <f>IF(OR(NOT('Plano de Ação'!$B294&lt;&gt;""),NOT(ISNUMBER('Plano de Ação'!$F294)),NOT(ISNUMBER('Plano de Ação'!$G294)),'Plano de Ação'!$J294="Cancelada"),0,IF(AND('Plano de Ação'!$F294&lt;=EOMONTH(DATE(ano_ref,3,1),0),'Plano de Ação'!$G294&gt;=DATE(ano_ref,3,1)),1,0))</f>
      </c>
      <c r="H295" s="41">
        <f>IF(OR(NOT('Plano de Ação'!$B294&lt;&gt;""),NOT(ISNUMBER('Plano de Ação'!$F294)),NOT(ISNUMBER('Plano de Ação'!$G294)),'Plano de Ação'!$J294="Cancelada"),0,IF(AND('Plano de Ação'!$F294&lt;=EOMONTH(DATE(ano_ref,4,1),0),'Plano de Ação'!$G294&gt;=DATE(ano_ref,4,1)),1,0))</f>
      </c>
      <c r="I295" s="41">
        <f>IF(OR(NOT('Plano de Ação'!$B294&lt;&gt;""),NOT(ISNUMBER('Plano de Ação'!$F294)),NOT(ISNUMBER('Plano de Ação'!$G294)),'Plano de Ação'!$J294="Cancelada"),0,IF(AND('Plano de Ação'!$F294&lt;=EOMONTH(DATE(ano_ref,5,1),0),'Plano de Ação'!$G294&gt;=DATE(ano_ref,5,1)),1,0))</f>
      </c>
      <c r="J295" s="41">
        <f>IF(OR(NOT('Plano de Ação'!$B294&lt;&gt;""),NOT(ISNUMBER('Plano de Ação'!$F294)),NOT(ISNUMBER('Plano de Ação'!$G294)),'Plano de Ação'!$J294="Cancelada"),0,IF(AND('Plano de Ação'!$F294&lt;=EOMONTH(DATE(ano_ref,6,1),0),'Plano de Ação'!$G294&gt;=DATE(ano_ref,6,1)),1,0))</f>
      </c>
      <c r="K295" s="41">
        <f>IF(OR(NOT('Plano de Ação'!$B294&lt;&gt;""),NOT(ISNUMBER('Plano de Ação'!$F294)),NOT(ISNUMBER('Plano de Ação'!$G294)),'Plano de Ação'!$J294="Cancelada"),0,IF(AND('Plano de Ação'!$F294&lt;=EOMONTH(DATE(ano_ref,7,1),0),'Plano de Ação'!$G294&gt;=DATE(ano_ref,7,1)),1,0))</f>
      </c>
      <c r="L295" s="41">
        <f>IF(OR(NOT('Plano de Ação'!$B294&lt;&gt;""),NOT(ISNUMBER('Plano de Ação'!$F294)),NOT(ISNUMBER('Plano de Ação'!$G294)),'Plano de Ação'!$J294="Cancelada"),0,IF(AND('Plano de Ação'!$F294&lt;=EOMONTH(DATE(ano_ref,8,1),0),'Plano de Ação'!$G294&gt;=DATE(ano_ref,8,1)),1,0))</f>
      </c>
      <c r="M295" s="41">
        <f>IF(OR(NOT('Plano de Ação'!$B294&lt;&gt;""),NOT(ISNUMBER('Plano de Ação'!$F294)),NOT(ISNUMBER('Plano de Ação'!$G294)),'Plano de Ação'!$J294="Cancelada"),0,IF(AND('Plano de Ação'!$F294&lt;=EOMONTH(DATE(ano_ref,9,1),0),'Plano de Ação'!$G294&gt;=DATE(ano_ref,9,1)),1,0))</f>
      </c>
      <c r="N295" s="41">
        <f>IF(OR(NOT('Plano de Ação'!$B294&lt;&gt;""),NOT(ISNUMBER('Plano de Ação'!$F294)),NOT(ISNUMBER('Plano de Ação'!$G294)),'Plano de Ação'!$J294="Cancelada"),0,IF(AND('Plano de Ação'!$F294&lt;=EOMONTH(DATE(ano_ref,10,1),0),'Plano de Ação'!$G294&gt;=DATE(ano_ref,10,1)),1,0))</f>
      </c>
      <c r="O295" s="41">
        <f>IF(OR(NOT('Plano de Ação'!$B294&lt;&gt;""),NOT(ISNUMBER('Plano de Ação'!$F294)),NOT(ISNUMBER('Plano de Ação'!$G294)),'Plano de Ação'!$J294="Cancelada"),0,IF(AND('Plano de Ação'!$F294&lt;=EOMONTH(DATE(ano_ref,11,1),0),'Plano de Ação'!$G294&gt;=DATE(ano_ref,11,1)),1,0))</f>
      </c>
      <c r="P295" s="41">
        <f>IF(OR(NOT('Plano de Ação'!$B294&lt;&gt;""),NOT(ISNUMBER('Plano de Ação'!$F294)),NOT(ISNUMBER('Plano de Ação'!$G294)),'Plano de Ação'!$J294="Cancelada"),0,IF(AND('Plano de Ação'!$F294&lt;=EOMONTH(DATE(ano_ref,12,1),0),'Plano de Ação'!$G294&gt;=DATE(ano_ref,12,1)),1,0))</f>
      </c>
    </row>
    <row r="296" spans="1:16" x14ac:dyDescent="0.25">
      <c r="A296" s="40">
        <f>IF('Plano de Ação'!$B295&lt;&gt;"",'Plano de Ação'!A295&amp;"","")</f>
      </c>
      <c r="B296" s="25">
        <f>IF('Plano de Ação'!$B295&lt;&gt;"",'Plano de Ação'!B295,"")</f>
      </c>
      <c r="C296" s="25">
        <f>IF('Plano de Ação'!$B295&lt;&gt;"",'Plano de Ação'!E295&amp;"","")</f>
      </c>
      <c r="D296" s="40">
        <f>IF('Plano de Ação'!$B295&lt;&gt;"",'Plano de Ação'!L295,"")</f>
      </c>
      <c r="E296" s="41">
        <f>IF(OR(NOT('Plano de Ação'!$B295&lt;&gt;""),NOT(ISNUMBER('Plano de Ação'!$F295)),NOT(ISNUMBER('Plano de Ação'!$G295)),'Plano de Ação'!$J295="Cancelada"),0,IF(AND('Plano de Ação'!$F295&lt;=EOMONTH(DATE(ano_ref,1,1),0),'Plano de Ação'!$G295&gt;=DATE(ano_ref,1,1)),1,0))</f>
      </c>
      <c r="F296" s="41">
        <f>IF(OR(NOT('Plano de Ação'!$B295&lt;&gt;""),NOT(ISNUMBER('Plano de Ação'!$F295)),NOT(ISNUMBER('Plano de Ação'!$G295)),'Plano de Ação'!$J295="Cancelada"),0,IF(AND('Plano de Ação'!$F295&lt;=EOMONTH(DATE(ano_ref,2,1),0),'Plano de Ação'!$G295&gt;=DATE(ano_ref,2,1)),1,0))</f>
      </c>
      <c r="G296" s="41">
        <f>IF(OR(NOT('Plano de Ação'!$B295&lt;&gt;""),NOT(ISNUMBER('Plano de Ação'!$F295)),NOT(ISNUMBER('Plano de Ação'!$G295)),'Plano de Ação'!$J295="Cancelada"),0,IF(AND('Plano de Ação'!$F295&lt;=EOMONTH(DATE(ano_ref,3,1),0),'Plano de Ação'!$G295&gt;=DATE(ano_ref,3,1)),1,0))</f>
      </c>
      <c r="H296" s="41">
        <f>IF(OR(NOT('Plano de Ação'!$B295&lt;&gt;""),NOT(ISNUMBER('Plano de Ação'!$F295)),NOT(ISNUMBER('Plano de Ação'!$G295)),'Plano de Ação'!$J295="Cancelada"),0,IF(AND('Plano de Ação'!$F295&lt;=EOMONTH(DATE(ano_ref,4,1),0),'Plano de Ação'!$G295&gt;=DATE(ano_ref,4,1)),1,0))</f>
      </c>
      <c r="I296" s="41">
        <f>IF(OR(NOT('Plano de Ação'!$B295&lt;&gt;""),NOT(ISNUMBER('Plano de Ação'!$F295)),NOT(ISNUMBER('Plano de Ação'!$G295)),'Plano de Ação'!$J295="Cancelada"),0,IF(AND('Plano de Ação'!$F295&lt;=EOMONTH(DATE(ano_ref,5,1),0),'Plano de Ação'!$G295&gt;=DATE(ano_ref,5,1)),1,0))</f>
      </c>
      <c r="J296" s="41">
        <f>IF(OR(NOT('Plano de Ação'!$B295&lt;&gt;""),NOT(ISNUMBER('Plano de Ação'!$F295)),NOT(ISNUMBER('Plano de Ação'!$G295)),'Plano de Ação'!$J295="Cancelada"),0,IF(AND('Plano de Ação'!$F295&lt;=EOMONTH(DATE(ano_ref,6,1),0),'Plano de Ação'!$G295&gt;=DATE(ano_ref,6,1)),1,0))</f>
      </c>
      <c r="K296" s="41">
        <f>IF(OR(NOT('Plano de Ação'!$B295&lt;&gt;""),NOT(ISNUMBER('Plano de Ação'!$F295)),NOT(ISNUMBER('Plano de Ação'!$G295)),'Plano de Ação'!$J295="Cancelada"),0,IF(AND('Plano de Ação'!$F295&lt;=EOMONTH(DATE(ano_ref,7,1),0),'Plano de Ação'!$G295&gt;=DATE(ano_ref,7,1)),1,0))</f>
      </c>
      <c r="L296" s="41">
        <f>IF(OR(NOT('Plano de Ação'!$B295&lt;&gt;""),NOT(ISNUMBER('Plano de Ação'!$F295)),NOT(ISNUMBER('Plano de Ação'!$G295)),'Plano de Ação'!$J295="Cancelada"),0,IF(AND('Plano de Ação'!$F295&lt;=EOMONTH(DATE(ano_ref,8,1),0),'Plano de Ação'!$G295&gt;=DATE(ano_ref,8,1)),1,0))</f>
      </c>
      <c r="M296" s="41">
        <f>IF(OR(NOT('Plano de Ação'!$B295&lt;&gt;""),NOT(ISNUMBER('Plano de Ação'!$F295)),NOT(ISNUMBER('Plano de Ação'!$G295)),'Plano de Ação'!$J295="Cancelada"),0,IF(AND('Plano de Ação'!$F295&lt;=EOMONTH(DATE(ano_ref,9,1),0),'Plano de Ação'!$G295&gt;=DATE(ano_ref,9,1)),1,0))</f>
      </c>
      <c r="N296" s="41">
        <f>IF(OR(NOT('Plano de Ação'!$B295&lt;&gt;""),NOT(ISNUMBER('Plano de Ação'!$F295)),NOT(ISNUMBER('Plano de Ação'!$G295)),'Plano de Ação'!$J295="Cancelada"),0,IF(AND('Plano de Ação'!$F295&lt;=EOMONTH(DATE(ano_ref,10,1),0),'Plano de Ação'!$G295&gt;=DATE(ano_ref,10,1)),1,0))</f>
      </c>
      <c r="O296" s="41">
        <f>IF(OR(NOT('Plano de Ação'!$B295&lt;&gt;""),NOT(ISNUMBER('Plano de Ação'!$F295)),NOT(ISNUMBER('Plano de Ação'!$G295)),'Plano de Ação'!$J295="Cancelada"),0,IF(AND('Plano de Ação'!$F295&lt;=EOMONTH(DATE(ano_ref,11,1),0),'Plano de Ação'!$G295&gt;=DATE(ano_ref,11,1)),1,0))</f>
      </c>
      <c r="P296" s="41">
        <f>IF(OR(NOT('Plano de Ação'!$B295&lt;&gt;""),NOT(ISNUMBER('Plano de Ação'!$F295)),NOT(ISNUMBER('Plano de Ação'!$G295)),'Plano de Ação'!$J295="Cancelada"),0,IF(AND('Plano de Ação'!$F295&lt;=EOMONTH(DATE(ano_ref,12,1),0),'Plano de Ação'!$G295&gt;=DATE(ano_ref,12,1)),1,0))</f>
      </c>
    </row>
    <row r="297" spans="1:16" x14ac:dyDescent="0.25">
      <c r="A297" s="40">
        <f>IF('Plano de Ação'!$B296&lt;&gt;"",'Plano de Ação'!A296&amp;"","")</f>
      </c>
      <c r="B297" s="25">
        <f>IF('Plano de Ação'!$B296&lt;&gt;"",'Plano de Ação'!B296,"")</f>
      </c>
      <c r="C297" s="25">
        <f>IF('Plano de Ação'!$B296&lt;&gt;"",'Plano de Ação'!E296&amp;"","")</f>
      </c>
      <c r="D297" s="40">
        <f>IF('Plano de Ação'!$B296&lt;&gt;"",'Plano de Ação'!L296,"")</f>
      </c>
      <c r="E297" s="41">
        <f>IF(OR(NOT('Plano de Ação'!$B296&lt;&gt;""),NOT(ISNUMBER('Plano de Ação'!$F296)),NOT(ISNUMBER('Plano de Ação'!$G296)),'Plano de Ação'!$J296="Cancelada"),0,IF(AND('Plano de Ação'!$F296&lt;=EOMONTH(DATE(ano_ref,1,1),0),'Plano de Ação'!$G296&gt;=DATE(ano_ref,1,1)),1,0))</f>
      </c>
      <c r="F297" s="41">
        <f>IF(OR(NOT('Plano de Ação'!$B296&lt;&gt;""),NOT(ISNUMBER('Plano de Ação'!$F296)),NOT(ISNUMBER('Plano de Ação'!$G296)),'Plano de Ação'!$J296="Cancelada"),0,IF(AND('Plano de Ação'!$F296&lt;=EOMONTH(DATE(ano_ref,2,1),0),'Plano de Ação'!$G296&gt;=DATE(ano_ref,2,1)),1,0))</f>
      </c>
      <c r="G297" s="41">
        <f>IF(OR(NOT('Plano de Ação'!$B296&lt;&gt;""),NOT(ISNUMBER('Plano de Ação'!$F296)),NOT(ISNUMBER('Plano de Ação'!$G296)),'Plano de Ação'!$J296="Cancelada"),0,IF(AND('Plano de Ação'!$F296&lt;=EOMONTH(DATE(ano_ref,3,1),0),'Plano de Ação'!$G296&gt;=DATE(ano_ref,3,1)),1,0))</f>
      </c>
      <c r="H297" s="41">
        <f>IF(OR(NOT('Plano de Ação'!$B296&lt;&gt;""),NOT(ISNUMBER('Plano de Ação'!$F296)),NOT(ISNUMBER('Plano de Ação'!$G296)),'Plano de Ação'!$J296="Cancelada"),0,IF(AND('Plano de Ação'!$F296&lt;=EOMONTH(DATE(ano_ref,4,1),0),'Plano de Ação'!$G296&gt;=DATE(ano_ref,4,1)),1,0))</f>
      </c>
      <c r="I297" s="41">
        <f>IF(OR(NOT('Plano de Ação'!$B296&lt;&gt;""),NOT(ISNUMBER('Plano de Ação'!$F296)),NOT(ISNUMBER('Plano de Ação'!$G296)),'Plano de Ação'!$J296="Cancelada"),0,IF(AND('Plano de Ação'!$F296&lt;=EOMONTH(DATE(ano_ref,5,1),0),'Plano de Ação'!$G296&gt;=DATE(ano_ref,5,1)),1,0))</f>
      </c>
      <c r="J297" s="41">
        <f>IF(OR(NOT('Plano de Ação'!$B296&lt;&gt;""),NOT(ISNUMBER('Plano de Ação'!$F296)),NOT(ISNUMBER('Plano de Ação'!$G296)),'Plano de Ação'!$J296="Cancelada"),0,IF(AND('Plano de Ação'!$F296&lt;=EOMONTH(DATE(ano_ref,6,1),0),'Plano de Ação'!$G296&gt;=DATE(ano_ref,6,1)),1,0))</f>
      </c>
      <c r="K297" s="41">
        <f>IF(OR(NOT('Plano de Ação'!$B296&lt;&gt;""),NOT(ISNUMBER('Plano de Ação'!$F296)),NOT(ISNUMBER('Plano de Ação'!$G296)),'Plano de Ação'!$J296="Cancelada"),0,IF(AND('Plano de Ação'!$F296&lt;=EOMONTH(DATE(ano_ref,7,1),0),'Plano de Ação'!$G296&gt;=DATE(ano_ref,7,1)),1,0))</f>
      </c>
      <c r="L297" s="41">
        <f>IF(OR(NOT('Plano de Ação'!$B296&lt;&gt;""),NOT(ISNUMBER('Plano de Ação'!$F296)),NOT(ISNUMBER('Plano de Ação'!$G296)),'Plano de Ação'!$J296="Cancelada"),0,IF(AND('Plano de Ação'!$F296&lt;=EOMONTH(DATE(ano_ref,8,1),0),'Plano de Ação'!$G296&gt;=DATE(ano_ref,8,1)),1,0))</f>
      </c>
      <c r="M297" s="41">
        <f>IF(OR(NOT('Plano de Ação'!$B296&lt;&gt;""),NOT(ISNUMBER('Plano de Ação'!$F296)),NOT(ISNUMBER('Plano de Ação'!$G296)),'Plano de Ação'!$J296="Cancelada"),0,IF(AND('Plano de Ação'!$F296&lt;=EOMONTH(DATE(ano_ref,9,1),0),'Plano de Ação'!$G296&gt;=DATE(ano_ref,9,1)),1,0))</f>
      </c>
      <c r="N297" s="41">
        <f>IF(OR(NOT('Plano de Ação'!$B296&lt;&gt;""),NOT(ISNUMBER('Plano de Ação'!$F296)),NOT(ISNUMBER('Plano de Ação'!$G296)),'Plano de Ação'!$J296="Cancelada"),0,IF(AND('Plano de Ação'!$F296&lt;=EOMONTH(DATE(ano_ref,10,1),0),'Plano de Ação'!$G296&gt;=DATE(ano_ref,10,1)),1,0))</f>
      </c>
      <c r="O297" s="41">
        <f>IF(OR(NOT('Plano de Ação'!$B296&lt;&gt;""),NOT(ISNUMBER('Plano de Ação'!$F296)),NOT(ISNUMBER('Plano de Ação'!$G296)),'Plano de Ação'!$J296="Cancelada"),0,IF(AND('Plano de Ação'!$F296&lt;=EOMONTH(DATE(ano_ref,11,1),0),'Plano de Ação'!$G296&gt;=DATE(ano_ref,11,1)),1,0))</f>
      </c>
      <c r="P297" s="41">
        <f>IF(OR(NOT('Plano de Ação'!$B296&lt;&gt;""),NOT(ISNUMBER('Plano de Ação'!$F296)),NOT(ISNUMBER('Plano de Ação'!$G296)),'Plano de Ação'!$J296="Cancelada"),0,IF(AND('Plano de Ação'!$F296&lt;=EOMONTH(DATE(ano_ref,12,1),0),'Plano de Ação'!$G296&gt;=DATE(ano_ref,12,1)),1,0))</f>
      </c>
    </row>
    <row r="298" spans="1:16" x14ac:dyDescent="0.25">
      <c r="A298" s="40">
        <f>IF('Plano de Ação'!$B297&lt;&gt;"",'Plano de Ação'!A297&amp;"","")</f>
      </c>
      <c r="B298" s="25">
        <f>IF('Plano de Ação'!$B297&lt;&gt;"",'Plano de Ação'!B297,"")</f>
      </c>
      <c r="C298" s="25">
        <f>IF('Plano de Ação'!$B297&lt;&gt;"",'Plano de Ação'!E297&amp;"","")</f>
      </c>
      <c r="D298" s="40">
        <f>IF('Plano de Ação'!$B297&lt;&gt;"",'Plano de Ação'!L297,"")</f>
      </c>
      <c r="E298" s="41">
        <f>IF(OR(NOT('Plano de Ação'!$B297&lt;&gt;""),NOT(ISNUMBER('Plano de Ação'!$F297)),NOT(ISNUMBER('Plano de Ação'!$G297)),'Plano de Ação'!$J297="Cancelada"),0,IF(AND('Plano de Ação'!$F297&lt;=EOMONTH(DATE(ano_ref,1,1),0),'Plano de Ação'!$G297&gt;=DATE(ano_ref,1,1)),1,0))</f>
      </c>
      <c r="F298" s="41">
        <f>IF(OR(NOT('Plano de Ação'!$B297&lt;&gt;""),NOT(ISNUMBER('Plano de Ação'!$F297)),NOT(ISNUMBER('Plano de Ação'!$G297)),'Plano de Ação'!$J297="Cancelada"),0,IF(AND('Plano de Ação'!$F297&lt;=EOMONTH(DATE(ano_ref,2,1),0),'Plano de Ação'!$G297&gt;=DATE(ano_ref,2,1)),1,0))</f>
      </c>
      <c r="G298" s="41">
        <f>IF(OR(NOT('Plano de Ação'!$B297&lt;&gt;""),NOT(ISNUMBER('Plano de Ação'!$F297)),NOT(ISNUMBER('Plano de Ação'!$G297)),'Plano de Ação'!$J297="Cancelada"),0,IF(AND('Plano de Ação'!$F297&lt;=EOMONTH(DATE(ano_ref,3,1),0),'Plano de Ação'!$G297&gt;=DATE(ano_ref,3,1)),1,0))</f>
      </c>
      <c r="H298" s="41">
        <f>IF(OR(NOT('Plano de Ação'!$B297&lt;&gt;""),NOT(ISNUMBER('Plano de Ação'!$F297)),NOT(ISNUMBER('Plano de Ação'!$G297)),'Plano de Ação'!$J297="Cancelada"),0,IF(AND('Plano de Ação'!$F297&lt;=EOMONTH(DATE(ano_ref,4,1),0),'Plano de Ação'!$G297&gt;=DATE(ano_ref,4,1)),1,0))</f>
      </c>
      <c r="I298" s="41">
        <f>IF(OR(NOT('Plano de Ação'!$B297&lt;&gt;""),NOT(ISNUMBER('Plano de Ação'!$F297)),NOT(ISNUMBER('Plano de Ação'!$G297)),'Plano de Ação'!$J297="Cancelada"),0,IF(AND('Plano de Ação'!$F297&lt;=EOMONTH(DATE(ano_ref,5,1),0),'Plano de Ação'!$G297&gt;=DATE(ano_ref,5,1)),1,0))</f>
      </c>
      <c r="J298" s="41">
        <f>IF(OR(NOT('Plano de Ação'!$B297&lt;&gt;""),NOT(ISNUMBER('Plano de Ação'!$F297)),NOT(ISNUMBER('Plano de Ação'!$G297)),'Plano de Ação'!$J297="Cancelada"),0,IF(AND('Plano de Ação'!$F297&lt;=EOMONTH(DATE(ano_ref,6,1),0),'Plano de Ação'!$G297&gt;=DATE(ano_ref,6,1)),1,0))</f>
      </c>
      <c r="K298" s="41">
        <f>IF(OR(NOT('Plano de Ação'!$B297&lt;&gt;""),NOT(ISNUMBER('Plano de Ação'!$F297)),NOT(ISNUMBER('Plano de Ação'!$G297)),'Plano de Ação'!$J297="Cancelada"),0,IF(AND('Plano de Ação'!$F297&lt;=EOMONTH(DATE(ano_ref,7,1),0),'Plano de Ação'!$G297&gt;=DATE(ano_ref,7,1)),1,0))</f>
      </c>
      <c r="L298" s="41">
        <f>IF(OR(NOT('Plano de Ação'!$B297&lt;&gt;""),NOT(ISNUMBER('Plano de Ação'!$F297)),NOT(ISNUMBER('Plano de Ação'!$G297)),'Plano de Ação'!$J297="Cancelada"),0,IF(AND('Plano de Ação'!$F297&lt;=EOMONTH(DATE(ano_ref,8,1),0),'Plano de Ação'!$G297&gt;=DATE(ano_ref,8,1)),1,0))</f>
      </c>
      <c r="M298" s="41">
        <f>IF(OR(NOT('Plano de Ação'!$B297&lt;&gt;""),NOT(ISNUMBER('Plano de Ação'!$F297)),NOT(ISNUMBER('Plano de Ação'!$G297)),'Plano de Ação'!$J297="Cancelada"),0,IF(AND('Plano de Ação'!$F297&lt;=EOMONTH(DATE(ano_ref,9,1),0),'Plano de Ação'!$G297&gt;=DATE(ano_ref,9,1)),1,0))</f>
      </c>
      <c r="N298" s="41">
        <f>IF(OR(NOT('Plano de Ação'!$B297&lt;&gt;""),NOT(ISNUMBER('Plano de Ação'!$F297)),NOT(ISNUMBER('Plano de Ação'!$G297)),'Plano de Ação'!$J297="Cancelada"),0,IF(AND('Plano de Ação'!$F297&lt;=EOMONTH(DATE(ano_ref,10,1),0),'Plano de Ação'!$G297&gt;=DATE(ano_ref,10,1)),1,0))</f>
      </c>
      <c r="O298" s="41">
        <f>IF(OR(NOT('Plano de Ação'!$B297&lt;&gt;""),NOT(ISNUMBER('Plano de Ação'!$F297)),NOT(ISNUMBER('Plano de Ação'!$G297)),'Plano de Ação'!$J297="Cancelada"),0,IF(AND('Plano de Ação'!$F297&lt;=EOMONTH(DATE(ano_ref,11,1),0),'Plano de Ação'!$G297&gt;=DATE(ano_ref,11,1)),1,0))</f>
      </c>
      <c r="P298" s="41">
        <f>IF(OR(NOT('Plano de Ação'!$B297&lt;&gt;""),NOT(ISNUMBER('Plano de Ação'!$F297)),NOT(ISNUMBER('Plano de Ação'!$G297)),'Plano de Ação'!$J297="Cancelada"),0,IF(AND('Plano de Ação'!$F297&lt;=EOMONTH(DATE(ano_ref,12,1),0),'Plano de Ação'!$G297&gt;=DATE(ano_ref,12,1)),1,0))</f>
      </c>
    </row>
    <row r="299" spans="1:16" x14ac:dyDescent="0.25">
      <c r="A299" s="40">
        <f>IF('Plano de Ação'!$B298&lt;&gt;"",'Plano de Ação'!A298&amp;"","")</f>
      </c>
      <c r="B299" s="25">
        <f>IF('Plano de Ação'!$B298&lt;&gt;"",'Plano de Ação'!B298,"")</f>
      </c>
      <c r="C299" s="25">
        <f>IF('Plano de Ação'!$B298&lt;&gt;"",'Plano de Ação'!E298&amp;"","")</f>
      </c>
      <c r="D299" s="40">
        <f>IF('Plano de Ação'!$B298&lt;&gt;"",'Plano de Ação'!L298,"")</f>
      </c>
      <c r="E299" s="41">
        <f>IF(OR(NOT('Plano de Ação'!$B298&lt;&gt;""),NOT(ISNUMBER('Plano de Ação'!$F298)),NOT(ISNUMBER('Plano de Ação'!$G298)),'Plano de Ação'!$J298="Cancelada"),0,IF(AND('Plano de Ação'!$F298&lt;=EOMONTH(DATE(ano_ref,1,1),0),'Plano de Ação'!$G298&gt;=DATE(ano_ref,1,1)),1,0))</f>
      </c>
      <c r="F299" s="41">
        <f>IF(OR(NOT('Plano de Ação'!$B298&lt;&gt;""),NOT(ISNUMBER('Plano de Ação'!$F298)),NOT(ISNUMBER('Plano de Ação'!$G298)),'Plano de Ação'!$J298="Cancelada"),0,IF(AND('Plano de Ação'!$F298&lt;=EOMONTH(DATE(ano_ref,2,1),0),'Plano de Ação'!$G298&gt;=DATE(ano_ref,2,1)),1,0))</f>
      </c>
      <c r="G299" s="41">
        <f>IF(OR(NOT('Plano de Ação'!$B298&lt;&gt;""),NOT(ISNUMBER('Plano de Ação'!$F298)),NOT(ISNUMBER('Plano de Ação'!$G298)),'Plano de Ação'!$J298="Cancelada"),0,IF(AND('Plano de Ação'!$F298&lt;=EOMONTH(DATE(ano_ref,3,1),0),'Plano de Ação'!$G298&gt;=DATE(ano_ref,3,1)),1,0))</f>
      </c>
      <c r="H299" s="41">
        <f>IF(OR(NOT('Plano de Ação'!$B298&lt;&gt;""),NOT(ISNUMBER('Plano de Ação'!$F298)),NOT(ISNUMBER('Plano de Ação'!$G298)),'Plano de Ação'!$J298="Cancelada"),0,IF(AND('Plano de Ação'!$F298&lt;=EOMONTH(DATE(ano_ref,4,1),0),'Plano de Ação'!$G298&gt;=DATE(ano_ref,4,1)),1,0))</f>
      </c>
      <c r="I299" s="41">
        <f>IF(OR(NOT('Plano de Ação'!$B298&lt;&gt;""),NOT(ISNUMBER('Plano de Ação'!$F298)),NOT(ISNUMBER('Plano de Ação'!$G298)),'Plano de Ação'!$J298="Cancelada"),0,IF(AND('Plano de Ação'!$F298&lt;=EOMONTH(DATE(ano_ref,5,1),0),'Plano de Ação'!$G298&gt;=DATE(ano_ref,5,1)),1,0))</f>
      </c>
      <c r="J299" s="41">
        <f>IF(OR(NOT('Plano de Ação'!$B298&lt;&gt;""),NOT(ISNUMBER('Plano de Ação'!$F298)),NOT(ISNUMBER('Plano de Ação'!$G298)),'Plano de Ação'!$J298="Cancelada"),0,IF(AND('Plano de Ação'!$F298&lt;=EOMONTH(DATE(ano_ref,6,1),0),'Plano de Ação'!$G298&gt;=DATE(ano_ref,6,1)),1,0))</f>
      </c>
      <c r="K299" s="41">
        <f>IF(OR(NOT('Plano de Ação'!$B298&lt;&gt;""),NOT(ISNUMBER('Plano de Ação'!$F298)),NOT(ISNUMBER('Plano de Ação'!$G298)),'Plano de Ação'!$J298="Cancelada"),0,IF(AND('Plano de Ação'!$F298&lt;=EOMONTH(DATE(ano_ref,7,1),0),'Plano de Ação'!$G298&gt;=DATE(ano_ref,7,1)),1,0))</f>
      </c>
      <c r="L299" s="41">
        <f>IF(OR(NOT('Plano de Ação'!$B298&lt;&gt;""),NOT(ISNUMBER('Plano de Ação'!$F298)),NOT(ISNUMBER('Plano de Ação'!$G298)),'Plano de Ação'!$J298="Cancelada"),0,IF(AND('Plano de Ação'!$F298&lt;=EOMONTH(DATE(ano_ref,8,1),0),'Plano de Ação'!$G298&gt;=DATE(ano_ref,8,1)),1,0))</f>
      </c>
      <c r="M299" s="41">
        <f>IF(OR(NOT('Plano de Ação'!$B298&lt;&gt;""),NOT(ISNUMBER('Plano de Ação'!$F298)),NOT(ISNUMBER('Plano de Ação'!$G298)),'Plano de Ação'!$J298="Cancelada"),0,IF(AND('Plano de Ação'!$F298&lt;=EOMONTH(DATE(ano_ref,9,1),0),'Plano de Ação'!$G298&gt;=DATE(ano_ref,9,1)),1,0))</f>
      </c>
      <c r="N299" s="41">
        <f>IF(OR(NOT('Plano de Ação'!$B298&lt;&gt;""),NOT(ISNUMBER('Plano de Ação'!$F298)),NOT(ISNUMBER('Plano de Ação'!$G298)),'Plano de Ação'!$J298="Cancelada"),0,IF(AND('Plano de Ação'!$F298&lt;=EOMONTH(DATE(ano_ref,10,1),0),'Plano de Ação'!$G298&gt;=DATE(ano_ref,10,1)),1,0))</f>
      </c>
      <c r="O299" s="41">
        <f>IF(OR(NOT('Plano de Ação'!$B298&lt;&gt;""),NOT(ISNUMBER('Plano de Ação'!$F298)),NOT(ISNUMBER('Plano de Ação'!$G298)),'Plano de Ação'!$J298="Cancelada"),0,IF(AND('Plano de Ação'!$F298&lt;=EOMONTH(DATE(ano_ref,11,1),0),'Plano de Ação'!$G298&gt;=DATE(ano_ref,11,1)),1,0))</f>
      </c>
      <c r="P299" s="41">
        <f>IF(OR(NOT('Plano de Ação'!$B298&lt;&gt;""),NOT(ISNUMBER('Plano de Ação'!$F298)),NOT(ISNUMBER('Plano de Ação'!$G298)),'Plano de Ação'!$J298="Cancelada"),0,IF(AND('Plano de Ação'!$F298&lt;=EOMONTH(DATE(ano_ref,12,1),0),'Plano de Ação'!$G298&gt;=DATE(ano_ref,12,1)),1,0))</f>
      </c>
    </row>
    <row r="300" spans="1:16" x14ac:dyDescent="0.25">
      <c r="A300" s="40">
        <f>IF('Plano de Ação'!$B299&lt;&gt;"",'Plano de Ação'!A299&amp;"","")</f>
      </c>
      <c r="B300" s="25">
        <f>IF('Plano de Ação'!$B299&lt;&gt;"",'Plano de Ação'!B299,"")</f>
      </c>
      <c r="C300" s="25">
        <f>IF('Plano de Ação'!$B299&lt;&gt;"",'Plano de Ação'!E299&amp;"","")</f>
      </c>
      <c r="D300" s="40">
        <f>IF('Plano de Ação'!$B299&lt;&gt;"",'Plano de Ação'!L299,"")</f>
      </c>
      <c r="E300" s="41">
        <f>IF(OR(NOT('Plano de Ação'!$B299&lt;&gt;""),NOT(ISNUMBER('Plano de Ação'!$F299)),NOT(ISNUMBER('Plano de Ação'!$G299)),'Plano de Ação'!$J299="Cancelada"),0,IF(AND('Plano de Ação'!$F299&lt;=EOMONTH(DATE(ano_ref,1,1),0),'Plano de Ação'!$G299&gt;=DATE(ano_ref,1,1)),1,0))</f>
      </c>
      <c r="F300" s="41">
        <f>IF(OR(NOT('Plano de Ação'!$B299&lt;&gt;""),NOT(ISNUMBER('Plano de Ação'!$F299)),NOT(ISNUMBER('Plano de Ação'!$G299)),'Plano de Ação'!$J299="Cancelada"),0,IF(AND('Plano de Ação'!$F299&lt;=EOMONTH(DATE(ano_ref,2,1),0),'Plano de Ação'!$G299&gt;=DATE(ano_ref,2,1)),1,0))</f>
      </c>
      <c r="G300" s="41">
        <f>IF(OR(NOT('Plano de Ação'!$B299&lt;&gt;""),NOT(ISNUMBER('Plano de Ação'!$F299)),NOT(ISNUMBER('Plano de Ação'!$G299)),'Plano de Ação'!$J299="Cancelada"),0,IF(AND('Plano de Ação'!$F299&lt;=EOMONTH(DATE(ano_ref,3,1),0),'Plano de Ação'!$G299&gt;=DATE(ano_ref,3,1)),1,0))</f>
      </c>
      <c r="H300" s="41">
        <f>IF(OR(NOT('Plano de Ação'!$B299&lt;&gt;""),NOT(ISNUMBER('Plano de Ação'!$F299)),NOT(ISNUMBER('Plano de Ação'!$G299)),'Plano de Ação'!$J299="Cancelada"),0,IF(AND('Plano de Ação'!$F299&lt;=EOMONTH(DATE(ano_ref,4,1),0),'Plano de Ação'!$G299&gt;=DATE(ano_ref,4,1)),1,0))</f>
      </c>
      <c r="I300" s="41">
        <f>IF(OR(NOT('Plano de Ação'!$B299&lt;&gt;""),NOT(ISNUMBER('Plano de Ação'!$F299)),NOT(ISNUMBER('Plano de Ação'!$G299)),'Plano de Ação'!$J299="Cancelada"),0,IF(AND('Plano de Ação'!$F299&lt;=EOMONTH(DATE(ano_ref,5,1),0),'Plano de Ação'!$G299&gt;=DATE(ano_ref,5,1)),1,0))</f>
      </c>
      <c r="J300" s="41">
        <f>IF(OR(NOT('Plano de Ação'!$B299&lt;&gt;""),NOT(ISNUMBER('Plano de Ação'!$F299)),NOT(ISNUMBER('Plano de Ação'!$G299)),'Plano de Ação'!$J299="Cancelada"),0,IF(AND('Plano de Ação'!$F299&lt;=EOMONTH(DATE(ano_ref,6,1),0),'Plano de Ação'!$G299&gt;=DATE(ano_ref,6,1)),1,0))</f>
      </c>
      <c r="K300" s="41">
        <f>IF(OR(NOT('Plano de Ação'!$B299&lt;&gt;""),NOT(ISNUMBER('Plano de Ação'!$F299)),NOT(ISNUMBER('Plano de Ação'!$G299)),'Plano de Ação'!$J299="Cancelada"),0,IF(AND('Plano de Ação'!$F299&lt;=EOMONTH(DATE(ano_ref,7,1),0),'Plano de Ação'!$G299&gt;=DATE(ano_ref,7,1)),1,0))</f>
      </c>
      <c r="L300" s="41">
        <f>IF(OR(NOT('Plano de Ação'!$B299&lt;&gt;""),NOT(ISNUMBER('Plano de Ação'!$F299)),NOT(ISNUMBER('Plano de Ação'!$G299)),'Plano de Ação'!$J299="Cancelada"),0,IF(AND('Plano de Ação'!$F299&lt;=EOMONTH(DATE(ano_ref,8,1),0),'Plano de Ação'!$G299&gt;=DATE(ano_ref,8,1)),1,0))</f>
      </c>
      <c r="M300" s="41">
        <f>IF(OR(NOT('Plano de Ação'!$B299&lt;&gt;""),NOT(ISNUMBER('Plano de Ação'!$F299)),NOT(ISNUMBER('Plano de Ação'!$G299)),'Plano de Ação'!$J299="Cancelada"),0,IF(AND('Plano de Ação'!$F299&lt;=EOMONTH(DATE(ano_ref,9,1),0),'Plano de Ação'!$G299&gt;=DATE(ano_ref,9,1)),1,0))</f>
      </c>
      <c r="N300" s="41">
        <f>IF(OR(NOT('Plano de Ação'!$B299&lt;&gt;""),NOT(ISNUMBER('Plano de Ação'!$F299)),NOT(ISNUMBER('Plano de Ação'!$G299)),'Plano de Ação'!$J299="Cancelada"),0,IF(AND('Plano de Ação'!$F299&lt;=EOMONTH(DATE(ano_ref,10,1),0),'Plano de Ação'!$G299&gt;=DATE(ano_ref,10,1)),1,0))</f>
      </c>
      <c r="O300" s="41">
        <f>IF(OR(NOT('Plano de Ação'!$B299&lt;&gt;""),NOT(ISNUMBER('Plano de Ação'!$F299)),NOT(ISNUMBER('Plano de Ação'!$G299)),'Plano de Ação'!$J299="Cancelada"),0,IF(AND('Plano de Ação'!$F299&lt;=EOMONTH(DATE(ano_ref,11,1),0),'Plano de Ação'!$G299&gt;=DATE(ano_ref,11,1)),1,0))</f>
      </c>
      <c r="P300" s="41">
        <f>IF(OR(NOT('Plano de Ação'!$B299&lt;&gt;""),NOT(ISNUMBER('Plano de Ação'!$F299)),NOT(ISNUMBER('Plano de Ação'!$G299)),'Plano de Ação'!$J299="Cancelada"),0,IF(AND('Plano de Ação'!$F299&lt;=EOMONTH(DATE(ano_ref,12,1),0),'Plano de Ação'!$G299&gt;=DATE(ano_ref,12,1)),1,0))</f>
      </c>
    </row>
    <row r="301" spans="1:16" x14ac:dyDescent="0.25">
      <c r="A301" s="40">
        <f>IF('Plano de Ação'!$B300&lt;&gt;"",'Plano de Ação'!A300&amp;"","")</f>
      </c>
      <c r="B301" s="25">
        <f>IF('Plano de Ação'!$B300&lt;&gt;"",'Plano de Ação'!B300,"")</f>
      </c>
      <c r="C301" s="25">
        <f>IF('Plano de Ação'!$B300&lt;&gt;"",'Plano de Ação'!E300&amp;"","")</f>
      </c>
      <c r="D301" s="40">
        <f>IF('Plano de Ação'!$B300&lt;&gt;"",'Plano de Ação'!L300,"")</f>
      </c>
      <c r="E301" s="41">
        <f>IF(OR(NOT('Plano de Ação'!$B300&lt;&gt;""),NOT(ISNUMBER('Plano de Ação'!$F300)),NOT(ISNUMBER('Plano de Ação'!$G300)),'Plano de Ação'!$J300="Cancelada"),0,IF(AND('Plano de Ação'!$F300&lt;=EOMONTH(DATE(ano_ref,1,1),0),'Plano de Ação'!$G300&gt;=DATE(ano_ref,1,1)),1,0))</f>
      </c>
      <c r="F301" s="41">
        <f>IF(OR(NOT('Plano de Ação'!$B300&lt;&gt;""),NOT(ISNUMBER('Plano de Ação'!$F300)),NOT(ISNUMBER('Plano de Ação'!$G300)),'Plano de Ação'!$J300="Cancelada"),0,IF(AND('Plano de Ação'!$F300&lt;=EOMONTH(DATE(ano_ref,2,1),0),'Plano de Ação'!$G300&gt;=DATE(ano_ref,2,1)),1,0))</f>
      </c>
      <c r="G301" s="41">
        <f>IF(OR(NOT('Plano de Ação'!$B300&lt;&gt;""),NOT(ISNUMBER('Plano de Ação'!$F300)),NOT(ISNUMBER('Plano de Ação'!$G300)),'Plano de Ação'!$J300="Cancelada"),0,IF(AND('Plano de Ação'!$F300&lt;=EOMONTH(DATE(ano_ref,3,1),0),'Plano de Ação'!$G300&gt;=DATE(ano_ref,3,1)),1,0))</f>
      </c>
      <c r="H301" s="41">
        <f>IF(OR(NOT('Plano de Ação'!$B300&lt;&gt;""),NOT(ISNUMBER('Plano de Ação'!$F300)),NOT(ISNUMBER('Plano de Ação'!$G300)),'Plano de Ação'!$J300="Cancelada"),0,IF(AND('Plano de Ação'!$F300&lt;=EOMONTH(DATE(ano_ref,4,1),0),'Plano de Ação'!$G300&gt;=DATE(ano_ref,4,1)),1,0))</f>
      </c>
      <c r="I301" s="41">
        <f>IF(OR(NOT('Plano de Ação'!$B300&lt;&gt;""),NOT(ISNUMBER('Plano de Ação'!$F300)),NOT(ISNUMBER('Plano de Ação'!$G300)),'Plano de Ação'!$J300="Cancelada"),0,IF(AND('Plano de Ação'!$F300&lt;=EOMONTH(DATE(ano_ref,5,1),0),'Plano de Ação'!$G300&gt;=DATE(ano_ref,5,1)),1,0))</f>
      </c>
      <c r="J301" s="41">
        <f>IF(OR(NOT('Plano de Ação'!$B300&lt;&gt;""),NOT(ISNUMBER('Plano de Ação'!$F300)),NOT(ISNUMBER('Plano de Ação'!$G300)),'Plano de Ação'!$J300="Cancelada"),0,IF(AND('Plano de Ação'!$F300&lt;=EOMONTH(DATE(ano_ref,6,1),0),'Plano de Ação'!$G300&gt;=DATE(ano_ref,6,1)),1,0))</f>
      </c>
      <c r="K301" s="41">
        <f>IF(OR(NOT('Plano de Ação'!$B300&lt;&gt;""),NOT(ISNUMBER('Plano de Ação'!$F300)),NOT(ISNUMBER('Plano de Ação'!$G300)),'Plano de Ação'!$J300="Cancelada"),0,IF(AND('Plano de Ação'!$F300&lt;=EOMONTH(DATE(ano_ref,7,1),0),'Plano de Ação'!$G300&gt;=DATE(ano_ref,7,1)),1,0))</f>
      </c>
      <c r="L301" s="41">
        <f>IF(OR(NOT('Plano de Ação'!$B300&lt;&gt;""),NOT(ISNUMBER('Plano de Ação'!$F300)),NOT(ISNUMBER('Plano de Ação'!$G300)),'Plano de Ação'!$J300="Cancelada"),0,IF(AND('Plano de Ação'!$F300&lt;=EOMONTH(DATE(ano_ref,8,1),0),'Plano de Ação'!$G300&gt;=DATE(ano_ref,8,1)),1,0))</f>
      </c>
      <c r="M301" s="41">
        <f>IF(OR(NOT('Plano de Ação'!$B300&lt;&gt;""),NOT(ISNUMBER('Plano de Ação'!$F300)),NOT(ISNUMBER('Plano de Ação'!$G300)),'Plano de Ação'!$J300="Cancelada"),0,IF(AND('Plano de Ação'!$F300&lt;=EOMONTH(DATE(ano_ref,9,1),0),'Plano de Ação'!$G300&gt;=DATE(ano_ref,9,1)),1,0))</f>
      </c>
      <c r="N301" s="41">
        <f>IF(OR(NOT('Plano de Ação'!$B300&lt;&gt;""),NOT(ISNUMBER('Plano de Ação'!$F300)),NOT(ISNUMBER('Plano de Ação'!$G300)),'Plano de Ação'!$J300="Cancelada"),0,IF(AND('Plano de Ação'!$F300&lt;=EOMONTH(DATE(ano_ref,10,1),0),'Plano de Ação'!$G300&gt;=DATE(ano_ref,10,1)),1,0))</f>
      </c>
      <c r="O301" s="41">
        <f>IF(OR(NOT('Plano de Ação'!$B300&lt;&gt;""),NOT(ISNUMBER('Plano de Ação'!$F300)),NOT(ISNUMBER('Plano de Ação'!$G300)),'Plano de Ação'!$J300="Cancelada"),0,IF(AND('Plano de Ação'!$F300&lt;=EOMONTH(DATE(ano_ref,11,1),0),'Plano de Ação'!$G300&gt;=DATE(ano_ref,11,1)),1,0))</f>
      </c>
      <c r="P301" s="41">
        <f>IF(OR(NOT('Plano de Ação'!$B300&lt;&gt;""),NOT(ISNUMBER('Plano de Ação'!$F300)),NOT(ISNUMBER('Plano de Ação'!$G300)),'Plano de Ação'!$J300="Cancelada"),0,IF(AND('Plano de Ação'!$F300&lt;=EOMONTH(DATE(ano_ref,12,1),0),'Plano de Ação'!$G300&gt;=DATE(ano_ref,12,1)),1,0))</f>
      </c>
    </row>
    <row r="302" spans="1:16" x14ac:dyDescent="0.25">
      <c r="A302" s="40">
        <f>IF('Plano de Ação'!$B301&lt;&gt;"",'Plano de Ação'!A301&amp;"","")</f>
      </c>
      <c r="B302" s="25">
        <f>IF('Plano de Ação'!$B301&lt;&gt;"",'Plano de Ação'!B301,"")</f>
      </c>
      <c r="C302" s="25">
        <f>IF('Plano de Ação'!$B301&lt;&gt;"",'Plano de Ação'!E301&amp;"","")</f>
      </c>
      <c r="D302" s="40">
        <f>IF('Plano de Ação'!$B301&lt;&gt;"",'Plano de Ação'!L301,"")</f>
      </c>
      <c r="E302" s="41">
        <f>IF(OR(NOT('Plano de Ação'!$B301&lt;&gt;""),NOT(ISNUMBER('Plano de Ação'!$F301)),NOT(ISNUMBER('Plano de Ação'!$G301)),'Plano de Ação'!$J301="Cancelada"),0,IF(AND('Plano de Ação'!$F301&lt;=EOMONTH(DATE(ano_ref,1,1),0),'Plano de Ação'!$G301&gt;=DATE(ano_ref,1,1)),1,0))</f>
      </c>
      <c r="F302" s="41">
        <f>IF(OR(NOT('Plano de Ação'!$B301&lt;&gt;""),NOT(ISNUMBER('Plano de Ação'!$F301)),NOT(ISNUMBER('Plano de Ação'!$G301)),'Plano de Ação'!$J301="Cancelada"),0,IF(AND('Plano de Ação'!$F301&lt;=EOMONTH(DATE(ano_ref,2,1),0),'Plano de Ação'!$G301&gt;=DATE(ano_ref,2,1)),1,0))</f>
      </c>
      <c r="G302" s="41">
        <f>IF(OR(NOT('Plano de Ação'!$B301&lt;&gt;""),NOT(ISNUMBER('Plano de Ação'!$F301)),NOT(ISNUMBER('Plano de Ação'!$G301)),'Plano de Ação'!$J301="Cancelada"),0,IF(AND('Plano de Ação'!$F301&lt;=EOMONTH(DATE(ano_ref,3,1),0),'Plano de Ação'!$G301&gt;=DATE(ano_ref,3,1)),1,0))</f>
      </c>
      <c r="H302" s="41">
        <f>IF(OR(NOT('Plano de Ação'!$B301&lt;&gt;""),NOT(ISNUMBER('Plano de Ação'!$F301)),NOT(ISNUMBER('Plano de Ação'!$G301)),'Plano de Ação'!$J301="Cancelada"),0,IF(AND('Plano de Ação'!$F301&lt;=EOMONTH(DATE(ano_ref,4,1),0),'Plano de Ação'!$G301&gt;=DATE(ano_ref,4,1)),1,0))</f>
      </c>
      <c r="I302" s="41">
        <f>IF(OR(NOT('Plano de Ação'!$B301&lt;&gt;""),NOT(ISNUMBER('Plano de Ação'!$F301)),NOT(ISNUMBER('Plano de Ação'!$G301)),'Plano de Ação'!$J301="Cancelada"),0,IF(AND('Plano de Ação'!$F301&lt;=EOMONTH(DATE(ano_ref,5,1),0),'Plano de Ação'!$G301&gt;=DATE(ano_ref,5,1)),1,0))</f>
      </c>
      <c r="J302" s="41">
        <f>IF(OR(NOT('Plano de Ação'!$B301&lt;&gt;""),NOT(ISNUMBER('Plano de Ação'!$F301)),NOT(ISNUMBER('Plano de Ação'!$G301)),'Plano de Ação'!$J301="Cancelada"),0,IF(AND('Plano de Ação'!$F301&lt;=EOMONTH(DATE(ano_ref,6,1),0),'Plano de Ação'!$G301&gt;=DATE(ano_ref,6,1)),1,0))</f>
      </c>
      <c r="K302" s="41">
        <f>IF(OR(NOT('Plano de Ação'!$B301&lt;&gt;""),NOT(ISNUMBER('Plano de Ação'!$F301)),NOT(ISNUMBER('Plano de Ação'!$G301)),'Plano de Ação'!$J301="Cancelada"),0,IF(AND('Plano de Ação'!$F301&lt;=EOMONTH(DATE(ano_ref,7,1),0),'Plano de Ação'!$G301&gt;=DATE(ano_ref,7,1)),1,0))</f>
      </c>
      <c r="L302" s="41">
        <f>IF(OR(NOT('Plano de Ação'!$B301&lt;&gt;""),NOT(ISNUMBER('Plano de Ação'!$F301)),NOT(ISNUMBER('Plano de Ação'!$G301)),'Plano de Ação'!$J301="Cancelada"),0,IF(AND('Plano de Ação'!$F301&lt;=EOMONTH(DATE(ano_ref,8,1),0),'Plano de Ação'!$G301&gt;=DATE(ano_ref,8,1)),1,0))</f>
      </c>
      <c r="M302" s="41">
        <f>IF(OR(NOT('Plano de Ação'!$B301&lt;&gt;""),NOT(ISNUMBER('Plano de Ação'!$F301)),NOT(ISNUMBER('Plano de Ação'!$G301)),'Plano de Ação'!$J301="Cancelada"),0,IF(AND('Plano de Ação'!$F301&lt;=EOMONTH(DATE(ano_ref,9,1),0),'Plano de Ação'!$G301&gt;=DATE(ano_ref,9,1)),1,0))</f>
      </c>
      <c r="N302" s="41">
        <f>IF(OR(NOT('Plano de Ação'!$B301&lt;&gt;""),NOT(ISNUMBER('Plano de Ação'!$F301)),NOT(ISNUMBER('Plano de Ação'!$G301)),'Plano de Ação'!$J301="Cancelada"),0,IF(AND('Plano de Ação'!$F301&lt;=EOMONTH(DATE(ano_ref,10,1),0),'Plano de Ação'!$G301&gt;=DATE(ano_ref,10,1)),1,0))</f>
      </c>
      <c r="O302" s="41">
        <f>IF(OR(NOT('Plano de Ação'!$B301&lt;&gt;""),NOT(ISNUMBER('Plano de Ação'!$F301)),NOT(ISNUMBER('Plano de Ação'!$G301)),'Plano de Ação'!$J301="Cancelada"),0,IF(AND('Plano de Ação'!$F301&lt;=EOMONTH(DATE(ano_ref,11,1),0),'Plano de Ação'!$G301&gt;=DATE(ano_ref,11,1)),1,0))</f>
      </c>
      <c r="P302" s="41">
        <f>IF(OR(NOT('Plano de Ação'!$B301&lt;&gt;""),NOT(ISNUMBER('Plano de Ação'!$F301)),NOT(ISNUMBER('Plano de Ação'!$G301)),'Plano de Ação'!$J301="Cancelada"),0,IF(AND('Plano de Ação'!$F301&lt;=EOMONTH(DATE(ano_ref,12,1),0),'Plano de Ação'!$G301&gt;=DATE(ano_ref,12,1)),1,0))</f>
      </c>
    </row>
    <row r="303" spans="1:16" x14ac:dyDescent="0.25">
      <c r="A303" s="40">
        <f>IF('Plano de Ação'!$B302&lt;&gt;"",'Plano de Ação'!A302&amp;"","")</f>
      </c>
      <c r="B303" s="25">
        <f>IF('Plano de Ação'!$B302&lt;&gt;"",'Plano de Ação'!B302,"")</f>
      </c>
      <c r="C303" s="25">
        <f>IF('Plano de Ação'!$B302&lt;&gt;"",'Plano de Ação'!E302&amp;"","")</f>
      </c>
      <c r="D303" s="40">
        <f>IF('Plano de Ação'!$B302&lt;&gt;"",'Plano de Ação'!L302,"")</f>
      </c>
      <c r="E303" s="41">
        <f>IF(OR(NOT('Plano de Ação'!$B302&lt;&gt;""),NOT(ISNUMBER('Plano de Ação'!$F302)),NOT(ISNUMBER('Plano de Ação'!$G302)),'Plano de Ação'!$J302="Cancelada"),0,IF(AND('Plano de Ação'!$F302&lt;=EOMONTH(DATE(ano_ref,1,1),0),'Plano de Ação'!$G302&gt;=DATE(ano_ref,1,1)),1,0))</f>
      </c>
      <c r="F303" s="41">
        <f>IF(OR(NOT('Plano de Ação'!$B302&lt;&gt;""),NOT(ISNUMBER('Plano de Ação'!$F302)),NOT(ISNUMBER('Plano de Ação'!$G302)),'Plano de Ação'!$J302="Cancelada"),0,IF(AND('Plano de Ação'!$F302&lt;=EOMONTH(DATE(ano_ref,2,1),0),'Plano de Ação'!$G302&gt;=DATE(ano_ref,2,1)),1,0))</f>
      </c>
      <c r="G303" s="41">
        <f>IF(OR(NOT('Plano de Ação'!$B302&lt;&gt;""),NOT(ISNUMBER('Plano de Ação'!$F302)),NOT(ISNUMBER('Plano de Ação'!$G302)),'Plano de Ação'!$J302="Cancelada"),0,IF(AND('Plano de Ação'!$F302&lt;=EOMONTH(DATE(ano_ref,3,1),0),'Plano de Ação'!$G302&gt;=DATE(ano_ref,3,1)),1,0))</f>
      </c>
      <c r="H303" s="41">
        <f>IF(OR(NOT('Plano de Ação'!$B302&lt;&gt;""),NOT(ISNUMBER('Plano de Ação'!$F302)),NOT(ISNUMBER('Plano de Ação'!$G302)),'Plano de Ação'!$J302="Cancelada"),0,IF(AND('Plano de Ação'!$F302&lt;=EOMONTH(DATE(ano_ref,4,1),0),'Plano de Ação'!$G302&gt;=DATE(ano_ref,4,1)),1,0))</f>
      </c>
      <c r="I303" s="41">
        <f>IF(OR(NOT('Plano de Ação'!$B302&lt;&gt;""),NOT(ISNUMBER('Plano de Ação'!$F302)),NOT(ISNUMBER('Plano de Ação'!$G302)),'Plano de Ação'!$J302="Cancelada"),0,IF(AND('Plano de Ação'!$F302&lt;=EOMONTH(DATE(ano_ref,5,1),0),'Plano de Ação'!$G302&gt;=DATE(ano_ref,5,1)),1,0))</f>
      </c>
      <c r="J303" s="41">
        <f>IF(OR(NOT('Plano de Ação'!$B302&lt;&gt;""),NOT(ISNUMBER('Plano de Ação'!$F302)),NOT(ISNUMBER('Plano de Ação'!$G302)),'Plano de Ação'!$J302="Cancelada"),0,IF(AND('Plano de Ação'!$F302&lt;=EOMONTH(DATE(ano_ref,6,1),0),'Plano de Ação'!$G302&gt;=DATE(ano_ref,6,1)),1,0))</f>
      </c>
      <c r="K303" s="41">
        <f>IF(OR(NOT('Plano de Ação'!$B302&lt;&gt;""),NOT(ISNUMBER('Plano de Ação'!$F302)),NOT(ISNUMBER('Plano de Ação'!$G302)),'Plano de Ação'!$J302="Cancelada"),0,IF(AND('Plano de Ação'!$F302&lt;=EOMONTH(DATE(ano_ref,7,1),0),'Plano de Ação'!$G302&gt;=DATE(ano_ref,7,1)),1,0))</f>
      </c>
      <c r="L303" s="41">
        <f>IF(OR(NOT('Plano de Ação'!$B302&lt;&gt;""),NOT(ISNUMBER('Plano de Ação'!$F302)),NOT(ISNUMBER('Plano de Ação'!$G302)),'Plano de Ação'!$J302="Cancelada"),0,IF(AND('Plano de Ação'!$F302&lt;=EOMONTH(DATE(ano_ref,8,1),0),'Plano de Ação'!$G302&gt;=DATE(ano_ref,8,1)),1,0))</f>
      </c>
      <c r="M303" s="41">
        <f>IF(OR(NOT('Plano de Ação'!$B302&lt;&gt;""),NOT(ISNUMBER('Plano de Ação'!$F302)),NOT(ISNUMBER('Plano de Ação'!$G302)),'Plano de Ação'!$J302="Cancelada"),0,IF(AND('Plano de Ação'!$F302&lt;=EOMONTH(DATE(ano_ref,9,1),0),'Plano de Ação'!$G302&gt;=DATE(ano_ref,9,1)),1,0))</f>
      </c>
      <c r="N303" s="41">
        <f>IF(OR(NOT('Plano de Ação'!$B302&lt;&gt;""),NOT(ISNUMBER('Plano de Ação'!$F302)),NOT(ISNUMBER('Plano de Ação'!$G302)),'Plano de Ação'!$J302="Cancelada"),0,IF(AND('Plano de Ação'!$F302&lt;=EOMONTH(DATE(ano_ref,10,1),0),'Plano de Ação'!$G302&gt;=DATE(ano_ref,10,1)),1,0))</f>
      </c>
      <c r="O303" s="41">
        <f>IF(OR(NOT('Plano de Ação'!$B302&lt;&gt;""),NOT(ISNUMBER('Plano de Ação'!$F302)),NOT(ISNUMBER('Plano de Ação'!$G302)),'Plano de Ação'!$J302="Cancelada"),0,IF(AND('Plano de Ação'!$F302&lt;=EOMONTH(DATE(ano_ref,11,1),0),'Plano de Ação'!$G302&gt;=DATE(ano_ref,11,1)),1,0))</f>
      </c>
      <c r="P303" s="41">
        <f>IF(OR(NOT('Plano de Ação'!$B302&lt;&gt;""),NOT(ISNUMBER('Plano de Ação'!$F302)),NOT(ISNUMBER('Plano de Ação'!$G302)),'Plano de Ação'!$J302="Cancelada"),0,IF(AND('Plano de Ação'!$F302&lt;=EOMONTH(DATE(ano_ref,12,1),0),'Plano de Ação'!$G302&gt;=DATE(ano_ref,12,1)),1,0))</f>
      </c>
    </row>
    <row r="304" spans="1:16" x14ac:dyDescent="0.25">
      <c r="A304" s="40">
        <f>IF('Plano de Ação'!$B303&lt;&gt;"",'Plano de Ação'!A303&amp;"","")</f>
      </c>
      <c r="B304" s="25">
        <f>IF('Plano de Ação'!$B303&lt;&gt;"",'Plano de Ação'!B303,"")</f>
      </c>
      <c r="C304" s="25">
        <f>IF('Plano de Ação'!$B303&lt;&gt;"",'Plano de Ação'!E303&amp;"","")</f>
      </c>
      <c r="D304" s="40">
        <f>IF('Plano de Ação'!$B303&lt;&gt;"",'Plano de Ação'!L303,"")</f>
      </c>
      <c r="E304" s="41">
        <f>IF(OR(NOT('Plano de Ação'!$B303&lt;&gt;""),NOT(ISNUMBER('Plano de Ação'!$F303)),NOT(ISNUMBER('Plano de Ação'!$G303)),'Plano de Ação'!$J303="Cancelada"),0,IF(AND('Plano de Ação'!$F303&lt;=EOMONTH(DATE(ano_ref,1,1),0),'Plano de Ação'!$G303&gt;=DATE(ano_ref,1,1)),1,0))</f>
      </c>
      <c r="F304" s="41">
        <f>IF(OR(NOT('Plano de Ação'!$B303&lt;&gt;""),NOT(ISNUMBER('Plano de Ação'!$F303)),NOT(ISNUMBER('Plano de Ação'!$G303)),'Plano de Ação'!$J303="Cancelada"),0,IF(AND('Plano de Ação'!$F303&lt;=EOMONTH(DATE(ano_ref,2,1),0),'Plano de Ação'!$G303&gt;=DATE(ano_ref,2,1)),1,0))</f>
      </c>
      <c r="G304" s="41">
        <f>IF(OR(NOT('Plano de Ação'!$B303&lt;&gt;""),NOT(ISNUMBER('Plano de Ação'!$F303)),NOT(ISNUMBER('Plano de Ação'!$G303)),'Plano de Ação'!$J303="Cancelada"),0,IF(AND('Plano de Ação'!$F303&lt;=EOMONTH(DATE(ano_ref,3,1),0),'Plano de Ação'!$G303&gt;=DATE(ano_ref,3,1)),1,0))</f>
      </c>
      <c r="H304" s="41">
        <f>IF(OR(NOT('Plano de Ação'!$B303&lt;&gt;""),NOT(ISNUMBER('Plano de Ação'!$F303)),NOT(ISNUMBER('Plano de Ação'!$G303)),'Plano de Ação'!$J303="Cancelada"),0,IF(AND('Plano de Ação'!$F303&lt;=EOMONTH(DATE(ano_ref,4,1),0),'Plano de Ação'!$G303&gt;=DATE(ano_ref,4,1)),1,0))</f>
      </c>
      <c r="I304" s="41">
        <f>IF(OR(NOT('Plano de Ação'!$B303&lt;&gt;""),NOT(ISNUMBER('Plano de Ação'!$F303)),NOT(ISNUMBER('Plano de Ação'!$G303)),'Plano de Ação'!$J303="Cancelada"),0,IF(AND('Plano de Ação'!$F303&lt;=EOMONTH(DATE(ano_ref,5,1),0),'Plano de Ação'!$G303&gt;=DATE(ano_ref,5,1)),1,0))</f>
      </c>
      <c r="J304" s="41">
        <f>IF(OR(NOT('Plano de Ação'!$B303&lt;&gt;""),NOT(ISNUMBER('Plano de Ação'!$F303)),NOT(ISNUMBER('Plano de Ação'!$G303)),'Plano de Ação'!$J303="Cancelada"),0,IF(AND('Plano de Ação'!$F303&lt;=EOMONTH(DATE(ano_ref,6,1),0),'Plano de Ação'!$G303&gt;=DATE(ano_ref,6,1)),1,0))</f>
      </c>
      <c r="K304" s="41">
        <f>IF(OR(NOT('Plano de Ação'!$B303&lt;&gt;""),NOT(ISNUMBER('Plano de Ação'!$F303)),NOT(ISNUMBER('Plano de Ação'!$G303)),'Plano de Ação'!$J303="Cancelada"),0,IF(AND('Plano de Ação'!$F303&lt;=EOMONTH(DATE(ano_ref,7,1),0),'Plano de Ação'!$G303&gt;=DATE(ano_ref,7,1)),1,0))</f>
      </c>
      <c r="L304" s="41">
        <f>IF(OR(NOT('Plano de Ação'!$B303&lt;&gt;""),NOT(ISNUMBER('Plano de Ação'!$F303)),NOT(ISNUMBER('Plano de Ação'!$G303)),'Plano de Ação'!$J303="Cancelada"),0,IF(AND('Plano de Ação'!$F303&lt;=EOMONTH(DATE(ano_ref,8,1),0),'Plano de Ação'!$G303&gt;=DATE(ano_ref,8,1)),1,0))</f>
      </c>
      <c r="M304" s="41">
        <f>IF(OR(NOT('Plano de Ação'!$B303&lt;&gt;""),NOT(ISNUMBER('Plano de Ação'!$F303)),NOT(ISNUMBER('Plano de Ação'!$G303)),'Plano de Ação'!$J303="Cancelada"),0,IF(AND('Plano de Ação'!$F303&lt;=EOMONTH(DATE(ano_ref,9,1),0),'Plano de Ação'!$G303&gt;=DATE(ano_ref,9,1)),1,0))</f>
      </c>
      <c r="N304" s="41">
        <f>IF(OR(NOT('Plano de Ação'!$B303&lt;&gt;""),NOT(ISNUMBER('Plano de Ação'!$F303)),NOT(ISNUMBER('Plano de Ação'!$G303)),'Plano de Ação'!$J303="Cancelada"),0,IF(AND('Plano de Ação'!$F303&lt;=EOMONTH(DATE(ano_ref,10,1),0),'Plano de Ação'!$G303&gt;=DATE(ano_ref,10,1)),1,0))</f>
      </c>
      <c r="O304" s="41">
        <f>IF(OR(NOT('Plano de Ação'!$B303&lt;&gt;""),NOT(ISNUMBER('Plano de Ação'!$F303)),NOT(ISNUMBER('Plano de Ação'!$G303)),'Plano de Ação'!$J303="Cancelada"),0,IF(AND('Plano de Ação'!$F303&lt;=EOMONTH(DATE(ano_ref,11,1),0),'Plano de Ação'!$G303&gt;=DATE(ano_ref,11,1)),1,0))</f>
      </c>
      <c r="P304" s="41">
        <f>IF(OR(NOT('Plano de Ação'!$B303&lt;&gt;""),NOT(ISNUMBER('Plano de Ação'!$F303)),NOT(ISNUMBER('Plano de Ação'!$G303)),'Plano de Ação'!$J303="Cancelada"),0,IF(AND('Plano de Ação'!$F303&lt;=EOMONTH(DATE(ano_ref,12,1),0),'Plano de Ação'!$G303&gt;=DATE(ano_ref,12,1)),1,0))</f>
      </c>
    </row>
  </sheetData>
  <sheetProtection sheet="1" formatColumns="0" formatRows="0" autoFilter="0"/>
  <mergeCells count="3">
    <mergeCell ref="A1:B2"/>
    <mergeCell ref="C1:O2"/>
    <mergeCell ref="A4:D4"/>
  </mergeCells>
  <conditionalFormatting sqref="E5:P304">
    <cfRule type="expression" dxfId="17" priority="1">
      <formula>AND(E5=1,$D5="Atrasada")</formula>
    </cfRule>
    <cfRule type="expression" dxfId="18" priority="2">
      <formula>AND(E5=1,$D5="Concluída")</formula>
    </cfRule>
    <cfRule type="expression" dxfId="19" priority="3">
      <formula>AND(E5=1,$D5="Vence esta semana")</formula>
    </cfRule>
    <cfRule type="expression" dxfId="20" priority="4">
      <formula>AND(E5=1,TRUE)</formula>
    </cfRule>
  </conditionalFormatting>
  <conditionalFormatting sqref="D5:D304">
    <cfRule type="expression" dxfId="21" priority="10">
      <formula>D5="Atrasada"</formula>
    </cfRule>
  </conditionalFormatting>
  <printOptions horizontalCentered="1"/>
  <pageMargins left="0.45" right="0.45" top="0.75" bottom="0.85" header="0.3" footer="0.3"/>
  <pageSetup paperSize="9" orientation="landscape" pageOrder="overThenDown" fitToWidth="1" fitToHeight="0"/>
  <headerFooter>
    <oddHeader>&amp;L&amp;"Arial,Regular"&amp;7&amp;K4A5668&amp;F  ·  &amp;A&amp;C&amp;"Arial,Regular"&amp;7&amp;K4A5668PCM Direto  ·  PCMD-K07&amp;R&amp;"Arial,Regular"&amp;7&amp;K4A5668Impresso em &amp;D  ·  Pág. &amp;P de &amp;N</oddHeader>
    <oddFooter>&amp;L&amp;"Arial,Regular"&amp;7&amp;K4A5668O material apoia a organização do PCM e não substitui a avaliação de profissional habilitado nem o texto oficial das normas. As periodicidades são base genérica e devem ser confirmadas com o manual do fabricante.</oddFooter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D43"/>
  <sheetViews>
    <sheetView workbookViewId="0" showGridLines="0" zoomScale="100" zoomScaleNormal="100">
      <pane ySplit="3" topLeftCell="A4" activePane="bottomLeft" state="frozen"/>
      <selection pane="bottomLeft" activeCell="A4" sqref="A4"/>
    </sheetView>
  </sheetViews>
  <sheetFormatPr defaultRowHeight="15" outlineLevelRow="0" outlineLevelCol="0" x14ac:dyDescent="55"/>
  <cols>
    <col min="1" max="1" width="18" customWidth="1"/>
    <col min="2" max="2" width="3" customWidth="1"/>
    <col min="3" max="3" width="26" customWidth="1"/>
    <col min="4" max="4" width="14" customWidth="1"/>
  </cols>
  <sheetData>
    <row r="1" ht="36" customHeight="1" spans="1:4" x14ac:dyDescent="0.25">
      <c r="A1" s="1"/>
      <c r="B1" s="1"/>
      <c r="C1" s="42" t="s">
        <v>93</v>
      </c>
      <c r="D1" s="3">
        <f>"Rev. "&amp;IF(cfg_revisao="","—",cfg_revisao)&amp;IF(ISNUMBER(cfg_data_revisao),"  ·  "&amp;RIGHT("0"&amp;DAY(cfg_data_revisao),2)&amp;"/"&amp;RIGHT("0"&amp;MONTH(cfg_data_revisao),2)&amp;"/"&amp;YEAR(cfg_data_revisao),"")</f>
      </c>
    </row>
    <row r="2" ht="36" customHeight="1" spans="1:4" x14ac:dyDescent="0.25">
      <c r="A2" s="1"/>
      <c r="B2" s="1"/>
      <c r="C2" s="42"/>
      <c r="D2" s="4">
        <f>"Elaborado: "&amp;IF(cfg_elaborado="","A definir",cfg_elaborado)&amp;CHAR(10)&amp;"Aprovado: "&amp;IF(cfg_aprovado="","A definir",cfg_aprovado)</f>
      </c>
    </row>
    <row r="3" ht="30" customHeight="1" spans="1:3" x14ac:dyDescent="0.25">
      <c r="A3" s="8" t="s">
        <v>94</v>
      </c>
      <c r="C3" s="8" t="s">
        <v>57</v>
      </c>
    </row>
    <row r="4" spans="1:3" x14ac:dyDescent="0.25">
      <c r="A4" s="43" t="s">
        <v>59</v>
      </c>
      <c r="C4" s="30"/>
    </row>
    <row r="5" spans="1:3" x14ac:dyDescent="0.25">
      <c r="A5" s="43" t="s">
        <v>61</v>
      </c>
      <c r="C5" s="30"/>
    </row>
    <row r="6" spans="1:3" x14ac:dyDescent="0.25">
      <c r="A6" s="43" t="s">
        <v>63</v>
      </c>
      <c r="C6" s="30"/>
    </row>
    <row r="7" spans="1:3" x14ac:dyDescent="0.25">
      <c r="A7" s="43" t="s">
        <v>65</v>
      </c>
      <c r="C7" s="30"/>
    </row>
    <row r="8" spans="1:3" x14ac:dyDescent="0.25">
      <c r="A8" s="43"/>
      <c r="C8" s="30"/>
    </row>
    <row r="9" spans="1:3" x14ac:dyDescent="0.25">
      <c r="A9" s="43"/>
      <c r="C9" s="30"/>
    </row>
    <row r="10" spans="1:3" x14ac:dyDescent="0.25">
      <c r="A10" s="43"/>
      <c r="C10" s="30"/>
    </row>
    <row r="11" spans="1:3" x14ac:dyDescent="0.25">
      <c r="A11" s="43"/>
      <c r="C11" s="30"/>
    </row>
    <row r="12" spans="1:3" x14ac:dyDescent="0.25">
      <c r="A12" s="43"/>
      <c r="C12" s="30"/>
    </row>
    <row r="13" spans="1:3" x14ac:dyDescent="0.25">
      <c r="A13" s="43"/>
      <c r="C13" s="30"/>
    </row>
    <row r="14" spans="1:3" x14ac:dyDescent="0.25">
      <c r="A14" s="43"/>
      <c r="C14" s="30"/>
    </row>
    <row r="15" spans="1:3" x14ac:dyDescent="0.25">
      <c r="A15" s="43"/>
      <c r="C15" s="30"/>
    </row>
    <row r="16" spans="1:3" x14ac:dyDescent="0.25">
      <c r="A16" s="43"/>
      <c r="C16" s="30"/>
    </row>
    <row r="17" spans="1:3" x14ac:dyDescent="0.25">
      <c r="A17" s="43"/>
      <c r="C17" s="30"/>
    </row>
    <row r="18" spans="1:3" x14ac:dyDescent="0.25">
      <c r="A18" s="43"/>
      <c r="C18" s="30"/>
    </row>
    <row r="19" spans="1:3" x14ac:dyDescent="0.25">
      <c r="A19" s="43"/>
      <c r="C19" s="30"/>
    </row>
    <row r="20" spans="1:3" x14ac:dyDescent="0.25">
      <c r="A20" s="43"/>
      <c r="C20" s="30"/>
    </row>
    <row r="21" spans="1:3" x14ac:dyDescent="0.25">
      <c r="A21" s="43"/>
      <c r="C21" s="30"/>
    </row>
    <row r="22" spans="1:3" x14ac:dyDescent="0.25">
      <c r="A22" s="43"/>
      <c r="C22" s="30"/>
    </row>
    <row r="23" spans="1:3" x14ac:dyDescent="0.25">
      <c r="A23" s="43"/>
      <c r="C23" s="30"/>
    </row>
    <row r="24" spans="1:3" x14ac:dyDescent="0.25">
      <c r="A24" s="43"/>
      <c r="C24" s="30"/>
    </row>
    <row r="25" spans="1:3" x14ac:dyDescent="0.25">
      <c r="A25" s="43"/>
      <c r="C25" s="30"/>
    </row>
    <row r="26" spans="1:3" x14ac:dyDescent="0.25">
      <c r="A26" s="43"/>
      <c r="C26" s="30"/>
    </row>
    <row r="27" spans="1:3" x14ac:dyDescent="0.25">
      <c r="A27" s="43"/>
      <c r="C27" s="30"/>
    </row>
    <row r="28" spans="1:3" x14ac:dyDescent="0.25">
      <c r="A28" s="43"/>
      <c r="C28" s="30"/>
    </row>
    <row r="29" spans="1:3" x14ac:dyDescent="0.25">
      <c r="A29" s="43"/>
      <c r="C29" s="30"/>
    </row>
    <row r="30" spans="1:3" x14ac:dyDescent="0.25">
      <c r="A30" s="43"/>
      <c r="C30" s="30"/>
    </row>
    <row r="31" spans="1:3" x14ac:dyDescent="0.25">
      <c r="A31" s="43"/>
      <c r="C31" s="30"/>
    </row>
    <row r="32" spans="1:3" x14ac:dyDescent="0.25">
      <c r="A32" s="43"/>
      <c r="C32" s="30"/>
    </row>
    <row r="33" spans="1:3" x14ac:dyDescent="0.25">
      <c r="A33" s="43"/>
      <c r="C33" s="30"/>
    </row>
    <row r="34" spans="1:3" x14ac:dyDescent="0.25">
      <c r="A34" s="43"/>
      <c r="C34" s="30"/>
    </row>
    <row r="35" spans="1:3" x14ac:dyDescent="0.25">
      <c r="A35" s="43"/>
      <c r="C35" s="30"/>
    </row>
    <row r="36" spans="1:3" x14ac:dyDescent="0.25">
      <c r="A36" s="43"/>
      <c r="C36" s="30"/>
    </row>
    <row r="37" spans="1:3" x14ac:dyDescent="0.25">
      <c r="A37" s="43"/>
      <c r="C37" s="30"/>
    </row>
    <row r="38" spans="1:3" x14ac:dyDescent="0.25">
      <c r="A38" s="43"/>
      <c r="C38" s="30"/>
    </row>
    <row r="39" spans="1:3" x14ac:dyDescent="0.25">
      <c r="A39" s="43"/>
      <c r="C39" s="30"/>
    </row>
    <row r="40" spans="1:3" x14ac:dyDescent="0.25">
      <c r="A40" s="43"/>
      <c r="C40" s="30"/>
    </row>
    <row r="41" spans="1:3" x14ac:dyDescent="0.25">
      <c r="A41" s="43"/>
      <c r="C41" s="30"/>
    </row>
    <row r="42" spans="1:3" x14ac:dyDescent="0.25">
      <c r="A42" s="43"/>
      <c r="C42" s="30"/>
    </row>
    <row r="43" spans="1:3" x14ac:dyDescent="0.25">
      <c r="A43" s="43"/>
      <c r="C43" s="30"/>
    </row>
  </sheetData>
  <sheetProtection sheet="1" formatColumns="0" formatRows="0" autoFilter="0"/>
  <mergeCells count="2">
    <mergeCell ref="A1:B2"/>
    <mergeCell ref="C1:C2"/>
  </mergeCells>
  <conditionalFormatting sqref="A4:A43">
    <cfRule type="expression" dxfId="22" priority="1">
      <formula>AND(A4&lt;&gt;"",COUNTIF(A$4:A$43,A4)&gt;1)</formula>
    </cfRule>
  </conditionalFormatting>
  <conditionalFormatting sqref="C4:C43">
    <cfRule type="expression" dxfId="23" priority="1">
      <formula>AND(C4&lt;&gt;"",COUNTIF(C$4:C$43,C4)&gt;1)</formula>
    </cfRule>
  </conditionalFormatting>
  <printOptions horizontalCentered="1"/>
  <pageMargins left="0.45" right="0.45" top="0.75" bottom="0.85" header="0.3" footer="0.3"/>
  <pageSetup paperSize="9" orientation="portrait" pageOrder="overThenDown" fitToWidth="1" fitToHeight="0"/>
  <headerFooter>
    <oddHeader>&amp;L&amp;"Arial,Regular"&amp;7&amp;K4A5668&amp;F  ·  &amp;A&amp;C&amp;"Arial,Regular"&amp;7&amp;K4A5668PCM Direto  ·  PCMD-K07&amp;R&amp;"Arial,Regular"&amp;7&amp;K4A5668Impresso em &amp;D  ·  Pág. &amp;P de &amp;N</oddHeader>
    <oddFooter>&amp;L&amp;"Arial,Regular"&amp;7&amp;K4A5668O material apoia a organização do PCM e não substitui a avaliação de profissional habilitado nem o texto oficial das normas. As periodicidades são base genérica e devem ser confirmadas com o manual do fabricante.</oddFooter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E33"/>
  <sheetViews>
    <sheetView workbookViewId="0" showGridLines="0" zoomScale="100" zoomScaleNormal="100">
      <pane ySplit="3" topLeftCell="A4" activePane="bottomLeft" state="frozen"/>
      <selection pane="bottomLeft" activeCell="A4" sqref="A4"/>
    </sheetView>
  </sheetViews>
  <sheetFormatPr defaultRowHeight="15" outlineLevelRow="0" outlineLevelCol="0" x14ac:dyDescent="55"/>
  <cols>
    <col min="1" max="1" width="14" customWidth="1"/>
    <col min="2" max="2" width="16" customWidth="1"/>
    <col min="3" max="3" width="56" customWidth="1"/>
    <col min="4" max="4" width="24" customWidth="1"/>
    <col min="5" max="5" width="28" customWidth="1"/>
  </cols>
  <sheetData>
    <row r="1" ht="36" customHeight="1" spans="1:5" x14ac:dyDescent="0.25">
      <c r="A1" s="1"/>
      <c r="B1" s="1"/>
      <c r="C1" s="2" t="s">
        <v>95</v>
      </c>
      <c r="D1" s="2"/>
      <c r="E1" s="3">
        <f>"Rev. "&amp;IF(cfg_revisao="","—",cfg_revisao)&amp;IF(ISNUMBER(cfg_data_revisao),"  ·  "&amp;RIGHT("0"&amp;DAY(cfg_data_revisao),2)&amp;"/"&amp;RIGHT("0"&amp;MONTH(cfg_data_revisao),2)&amp;"/"&amp;YEAR(cfg_data_revisao),"")</f>
      </c>
    </row>
    <row r="2" ht="36" customHeight="1" spans="1:5" x14ac:dyDescent="0.25">
      <c r="A2" s="1"/>
      <c r="B2" s="1"/>
      <c r="C2" s="2"/>
      <c r="D2" s="2"/>
      <c r="E2" s="4">
        <f>"Elaborado: "&amp;IF(cfg_elaborado="","A definir",cfg_elaborado)&amp;CHAR(10)&amp;"Aprovado: "&amp;IF(cfg_aprovado="","A definir",cfg_aprovado)</f>
      </c>
    </row>
    <row r="3" ht="30" customHeight="1" spans="1:5" x14ac:dyDescent="0.25">
      <c r="A3" s="8" t="s">
        <v>96</v>
      </c>
      <c r="B3" s="8" t="s">
        <v>97</v>
      </c>
      <c r="C3" s="8" t="s">
        <v>98</v>
      </c>
      <c r="D3" s="8" t="s">
        <v>99</v>
      </c>
      <c r="E3" s="8" t="s">
        <v>100</v>
      </c>
    </row>
    <row r="4" ht="26" customHeight="1" spans="1:5" x14ac:dyDescent="0.25">
      <c r="A4" s="44" t="s">
        <v>101</v>
      </c>
      <c r="B4" s="31">
        <v>46321</v>
      </c>
      <c r="C4" s="29" t="s">
        <v>102</v>
      </c>
      <c r="D4" s="30"/>
      <c r="E4" s="30"/>
    </row>
    <row r="5" spans="1:5" x14ac:dyDescent="0.25">
      <c r="A5" s="44"/>
      <c r="B5" s="31"/>
      <c r="C5" s="29"/>
      <c r="D5" s="30"/>
      <c r="E5" s="30"/>
    </row>
    <row r="6" spans="1:5" x14ac:dyDescent="0.25">
      <c r="A6" s="44"/>
      <c r="B6" s="31"/>
      <c r="C6" s="29"/>
      <c r="D6" s="30"/>
      <c r="E6" s="30"/>
    </row>
    <row r="7" spans="1:5" x14ac:dyDescent="0.25">
      <c r="A7" s="44"/>
      <c r="B7" s="31"/>
      <c r="C7" s="29"/>
      <c r="D7" s="30"/>
      <c r="E7" s="30"/>
    </row>
    <row r="8" spans="1:5" x14ac:dyDescent="0.25">
      <c r="A8" s="44"/>
      <c r="B8" s="31"/>
      <c r="C8" s="29"/>
      <c r="D8" s="30"/>
      <c r="E8" s="30"/>
    </row>
    <row r="9" spans="1:5" x14ac:dyDescent="0.25">
      <c r="A9" s="44"/>
      <c r="B9" s="31"/>
      <c r="C9" s="29"/>
      <c r="D9" s="30"/>
      <c r="E9" s="30"/>
    </row>
    <row r="10" spans="1:5" x14ac:dyDescent="0.25">
      <c r="A10" s="44"/>
      <c r="B10" s="31"/>
      <c r="C10" s="29"/>
      <c r="D10" s="30"/>
      <c r="E10" s="30"/>
    </row>
    <row r="11" spans="1:5" x14ac:dyDescent="0.25">
      <c r="A11" s="44"/>
      <c r="B11" s="31"/>
      <c r="C11" s="29"/>
      <c r="D11" s="30"/>
      <c r="E11" s="30"/>
    </row>
    <row r="12" spans="1:5" x14ac:dyDescent="0.25">
      <c r="A12" s="44"/>
      <c r="B12" s="31"/>
      <c r="C12" s="29"/>
      <c r="D12" s="30"/>
      <c r="E12" s="30"/>
    </row>
    <row r="13" spans="1:5" x14ac:dyDescent="0.25">
      <c r="A13" s="44"/>
      <c r="B13" s="31"/>
      <c r="C13" s="29"/>
      <c r="D13" s="30"/>
      <c r="E13" s="30"/>
    </row>
    <row r="14" spans="1:5" x14ac:dyDescent="0.25">
      <c r="A14" s="44"/>
      <c r="B14" s="31"/>
      <c r="C14" s="29"/>
      <c r="D14" s="30"/>
      <c r="E14" s="30"/>
    </row>
    <row r="15" spans="1:5" x14ac:dyDescent="0.25">
      <c r="A15" s="44"/>
      <c r="B15" s="31"/>
      <c r="C15" s="29"/>
      <c r="D15" s="30"/>
      <c r="E15" s="30"/>
    </row>
    <row r="16" spans="1:5" x14ac:dyDescent="0.25">
      <c r="A16" s="44"/>
      <c r="B16" s="31"/>
      <c r="C16" s="29"/>
      <c r="D16" s="30"/>
      <c r="E16" s="30"/>
    </row>
    <row r="17" spans="1:5" x14ac:dyDescent="0.25">
      <c r="A17" s="44"/>
      <c r="B17" s="31"/>
      <c r="C17" s="29"/>
      <c r="D17" s="30"/>
      <c r="E17" s="30"/>
    </row>
    <row r="18" spans="1:5" x14ac:dyDescent="0.25">
      <c r="A18" s="44"/>
      <c r="B18" s="31"/>
      <c r="C18" s="29"/>
      <c r="D18" s="30"/>
      <c r="E18" s="30"/>
    </row>
    <row r="19" spans="1:5" x14ac:dyDescent="0.25">
      <c r="A19" s="44"/>
      <c r="B19" s="31"/>
      <c r="C19" s="29"/>
      <c r="D19" s="30"/>
      <c r="E19" s="30"/>
    </row>
    <row r="20" spans="1:5" x14ac:dyDescent="0.25">
      <c r="A20" s="44"/>
      <c r="B20" s="31"/>
      <c r="C20" s="29"/>
      <c r="D20" s="30"/>
      <c r="E20" s="30"/>
    </row>
    <row r="21" spans="1:5" x14ac:dyDescent="0.25">
      <c r="A21" s="44"/>
      <c r="B21" s="31"/>
      <c r="C21" s="29"/>
      <c r="D21" s="30"/>
      <c r="E21" s="30"/>
    </row>
    <row r="22" spans="1:5" x14ac:dyDescent="0.25">
      <c r="A22" s="44"/>
      <c r="B22" s="31"/>
      <c r="C22" s="29"/>
      <c r="D22" s="30"/>
      <c r="E22" s="30"/>
    </row>
    <row r="23" spans="1:5" x14ac:dyDescent="0.25">
      <c r="A23" s="44"/>
      <c r="B23" s="31"/>
      <c r="C23" s="29"/>
      <c r="D23" s="30"/>
      <c r="E23" s="30"/>
    </row>
    <row r="24" spans="1:5" x14ac:dyDescent="0.25">
      <c r="A24" s="44"/>
      <c r="B24" s="31"/>
      <c r="C24" s="29"/>
      <c r="D24" s="30"/>
      <c r="E24" s="30"/>
    </row>
    <row r="25" spans="1:5" x14ac:dyDescent="0.25">
      <c r="A25" s="44"/>
      <c r="B25" s="31"/>
      <c r="C25" s="29"/>
      <c r="D25" s="30"/>
      <c r="E25" s="30"/>
    </row>
    <row r="26" spans="1:5" x14ac:dyDescent="0.25">
      <c r="A26" s="44"/>
      <c r="B26" s="31"/>
      <c r="C26" s="29"/>
      <c r="D26" s="30"/>
      <c r="E26" s="30"/>
    </row>
    <row r="27" spans="1:5" x14ac:dyDescent="0.25">
      <c r="A27" s="44"/>
      <c r="B27" s="31"/>
      <c r="C27" s="29"/>
      <c r="D27" s="30"/>
      <c r="E27" s="30"/>
    </row>
    <row r="28" spans="1:5" x14ac:dyDescent="0.25">
      <c r="A28" s="44"/>
      <c r="B28" s="31"/>
      <c r="C28" s="29"/>
      <c r="D28" s="30"/>
      <c r="E28" s="30"/>
    </row>
    <row r="29" spans="1:5" x14ac:dyDescent="0.25">
      <c r="A29" s="44"/>
      <c r="B29" s="31"/>
      <c r="C29" s="29"/>
      <c r="D29" s="30"/>
      <c r="E29" s="30"/>
    </row>
    <row r="30" spans="1:5" x14ac:dyDescent="0.25">
      <c r="A30" s="44"/>
      <c r="B30" s="31"/>
      <c r="C30" s="29"/>
      <c r="D30" s="30"/>
      <c r="E30" s="30"/>
    </row>
    <row r="31" spans="1:5" x14ac:dyDescent="0.25">
      <c r="A31" s="44"/>
      <c r="B31" s="31"/>
      <c r="C31" s="29"/>
      <c r="D31" s="30"/>
      <c r="E31" s="30"/>
    </row>
    <row r="32" spans="1:5" x14ac:dyDescent="0.25">
      <c r="A32" s="44"/>
      <c r="B32" s="31"/>
      <c r="C32" s="29"/>
      <c r="D32" s="30"/>
      <c r="E32" s="30"/>
    </row>
    <row r="33" spans="1:5" x14ac:dyDescent="0.25">
      <c r="A33" s="44"/>
      <c r="B33" s="31"/>
      <c r="C33" s="29"/>
      <c r="D33" s="30"/>
      <c r="E33" s="30"/>
    </row>
  </sheetData>
  <sheetProtection sheet="1" formatColumns="0" formatRows="0" autoFilter="0"/>
  <autoFilter ref="A3:E33"/>
  <mergeCells count="2">
    <mergeCell ref="A1:B2"/>
    <mergeCell ref="C1:D2"/>
  </mergeCells>
  <dataValidations count="1">
    <dataValidation type="date" allowBlank="1" showErrorMessage="1" errorStyle="stop" errorTitle="Data inválida" error="Digite uma data válida no formato dd/mm/aaaa." sqref="B4:B33">
      <formula1>32874</formula1>
      <formula2>73050</formula2>
    </dataValidation>
  </dataValidations>
  <printOptions horizontalCentered="1"/>
  <pageMargins left="0.45" right="0.45" top="0.75" bottom="0.85" header="0.3" footer="0.3"/>
  <pageSetup paperSize="9" orientation="portrait" pageOrder="overThenDown" fitToWidth="1" fitToHeight="0"/>
  <headerFooter>
    <oddHeader>&amp;L&amp;"Arial,Regular"&amp;7&amp;K4A5668&amp;F  ·  &amp;A&amp;C&amp;"Arial,Regular"&amp;7&amp;K4A5668PCM Direto  ·  PCMD-K07&amp;R&amp;"Arial,Regular"&amp;7&amp;K4A5668Impresso em &amp;D  ·  Pág. &amp;P de &amp;N</oddHeader>
    <oddFooter>&amp;L&amp;"Arial,Regular"&amp;7&amp;K4A5668O material apoia a organização do PCM e não substitui a avaliação de profissional habilitado nem o texto oficial das normas. As periodicidades são base genérica e devem ser confirmadas com o manual do fabricante.</oddFooter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F35"/>
  <sheetViews>
    <sheetView workbookViewId="0" showGridLines="0" zoomScale="100" zoomScaleNormal="100">
      <selection activeCell="A4" sqref="A4"/>
    </sheetView>
  </sheetViews>
  <sheetFormatPr defaultRowHeight="15" outlineLevelRow="0" outlineLevelCol="0" x14ac:dyDescent="55"/>
  <cols>
    <col min="1" max="1" width="30" customWidth="1"/>
    <col min="2" max="2" width="16" customWidth="1"/>
    <col min="3" max="3" width="24" customWidth="1"/>
    <col min="4" max="4" width="30" customWidth="1"/>
    <col min="5" max="5" width="4" customWidth="1"/>
    <col min="6" max="6" width="32" customWidth="1"/>
  </cols>
  <sheetData>
    <row r="1" ht="36" customHeight="1" spans="1:6" x14ac:dyDescent="0.25">
      <c r="A1" s="1"/>
      <c r="B1" s="1"/>
      <c r="C1" s="2" t="s">
        <v>0</v>
      </c>
      <c r="D1" s="2"/>
      <c r="E1" s="2"/>
      <c r="F1" s="3">
        <f>"Rev. "&amp;IF(cfg_revisao="","—",cfg_revisao)&amp;IF(ISNUMBER(cfg_data_revisao),"  ·  "&amp;RIGHT("0"&amp;DAY(cfg_data_revisao),2)&amp;"/"&amp;RIGHT("0"&amp;MONTH(cfg_data_revisao),2)&amp;"/"&amp;YEAR(cfg_data_revisao),"")</f>
      </c>
    </row>
    <row r="2" ht="36" customHeight="1" spans="1:6" x14ac:dyDescent="0.25">
      <c r="A2" s="1"/>
      <c r="B2" s="1"/>
      <c r="C2" s="2"/>
      <c r="D2" s="2"/>
      <c r="E2" s="2"/>
      <c r="F2" s="4">
        <f>"Elaborado: "&amp;IF(cfg_elaborado="","A definir",cfg_elaborado)&amp;CHAR(10)&amp;"Aprovado: "&amp;IF(cfg_aprovado="","A definir",cfg_aprovado)</f>
      </c>
    </row>
    <row r="3" ht="8" customHeight="1" x14ac:dyDescent="0.25"/>
    <row r="6" ht="8" customHeight="1" x14ac:dyDescent="0.25"/>
    <row r="7" ht="20" customHeight="1" spans="1:6" x14ac:dyDescent="0.25">
      <c r="A7" s="5" t="s">
        <v>1</v>
      </c>
      <c r="B7" s="5"/>
      <c r="C7" s="5"/>
      <c r="D7" s="5"/>
      <c r="E7" s="5"/>
      <c r="F7" s="5"/>
    </row>
    <row r="8" ht="28" customHeight="1" spans="1:6" x14ac:dyDescent="0.25">
      <c r="A8" s="6" t="s">
        <v>2</v>
      </c>
      <c r="B8" s="6"/>
      <c r="C8" s="6"/>
      <c r="D8" s="6"/>
      <c r="E8" s="6"/>
      <c r="F8" s="6"/>
    </row>
    <row r="9" ht="28" customHeight="1" spans="1:6" x14ac:dyDescent="0.25">
      <c r="A9" s="6" t="s">
        <v>3</v>
      </c>
      <c r="B9" s="6"/>
      <c r="C9" s="6"/>
      <c r="D9" s="6"/>
      <c r="E9" s="6"/>
      <c r="F9" s="6"/>
    </row>
    <row r="10" ht="28" customHeight="1" spans="1:6" x14ac:dyDescent="0.25">
      <c r="A10" s="6" t="s">
        <v>4</v>
      </c>
      <c r="B10" s="6"/>
      <c r="C10" s="6"/>
      <c r="D10" s="6"/>
      <c r="E10" s="6"/>
      <c r="F10" s="6"/>
    </row>
    <row r="11" ht="24" customHeight="1" spans="1:6" x14ac:dyDescent="0.25">
      <c r="A11" s="7" t="s">
        <v>5</v>
      </c>
      <c r="B11" s="7"/>
      <c r="C11" s="7"/>
      <c r="D11" s="7"/>
      <c r="E11" s="7"/>
      <c r="F11" s="7"/>
    </row>
    <row r="12" ht="8" customHeight="1" x14ac:dyDescent="0.25"/>
    <row r="13" ht="20" customHeight="1" spans="1:6" x14ac:dyDescent="0.25">
      <c r="A13" s="5" t="s">
        <v>6</v>
      </c>
      <c r="B13" s="5"/>
      <c r="C13" s="5"/>
      <c r="D13" s="5"/>
      <c r="E13" s="5"/>
      <c r="F13" s="5"/>
    </row>
    <row r="14" ht="22" customHeight="1" spans="1:6" x14ac:dyDescent="0.25">
      <c r="A14" s="8" t="s">
        <v>7</v>
      </c>
      <c r="B14" s="8"/>
      <c r="C14" s="8" t="s">
        <v>8</v>
      </c>
      <c r="D14" s="8"/>
      <c r="E14" s="8" t="s">
        <v>9</v>
      </c>
      <c r="F14" s="8"/>
    </row>
    <row r="15" ht="20" customHeight="1" spans="1:6" x14ac:dyDescent="0.25">
      <c r="A15" s="9" t="s">
        <v>10</v>
      </c>
      <c r="B15" s="9"/>
      <c r="C15" s="10"/>
      <c r="D15" s="10"/>
      <c r="E15" s="11" t="s">
        <v>11</v>
      </c>
      <c r="F15" s="11"/>
    </row>
    <row r="16" ht="20" customHeight="1" spans="1:6" x14ac:dyDescent="0.25">
      <c r="A16" s="9" t="s">
        <v>12</v>
      </c>
      <c r="B16" s="9"/>
      <c r="C16" s="10"/>
      <c r="D16" s="10"/>
      <c r="E16" s="11" t="s">
        <v>13</v>
      </c>
      <c r="F16" s="11"/>
    </row>
    <row r="17" ht="20" customHeight="1" spans="1:6" x14ac:dyDescent="0.25">
      <c r="A17" s="9" t="s">
        <v>14</v>
      </c>
      <c r="B17" s="9"/>
      <c r="C17" s="12">
        <f>IFERROR(LOOKUP(2,1/(rv_revisao&lt;&gt;""),rv_revisao)&amp;"","")</f>
      </c>
      <c r="D17" s="12"/>
      <c r="E17" s="11" t="s">
        <v>15</v>
      </c>
      <c r="F17" s="11"/>
    </row>
    <row r="18" ht="20" customHeight="1" spans="1:6" x14ac:dyDescent="0.25">
      <c r="A18" s="9" t="s">
        <v>16</v>
      </c>
      <c r="B18" s="9"/>
      <c r="C18" s="13">
        <f>IFERROR(1/(1/LOOKUP(2,1/(rv_revisao&lt;&gt;""),rv_data)),"")</f>
      </c>
      <c r="D18" s="13"/>
      <c r="E18" s="11" t="s">
        <v>17</v>
      </c>
      <c r="F18" s="11"/>
    </row>
    <row r="19" ht="20" customHeight="1" spans="1:6" x14ac:dyDescent="0.25">
      <c r="A19" s="9" t="s">
        <v>18</v>
      </c>
      <c r="B19" s="9"/>
      <c r="C19" s="10"/>
      <c r="D19" s="10"/>
      <c r="E19" s="11" t="s">
        <v>19</v>
      </c>
      <c r="F19" s="11"/>
    </row>
    <row r="20" ht="20" customHeight="1" spans="1:6" x14ac:dyDescent="0.25">
      <c r="A20" s="9" t="s">
        <v>20</v>
      </c>
      <c r="B20" s="9"/>
      <c r="C20" s="14"/>
      <c r="D20" s="14"/>
      <c r="E20" s="11" t="s">
        <v>21</v>
      </c>
      <c r="F20" s="11"/>
    </row>
    <row r="21" ht="20" customHeight="1" spans="1:6" x14ac:dyDescent="0.25">
      <c r="A21" s="9" t="s">
        <v>22</v>
      </c>
      <c r="B21" s="9"/>
      <c r="C21" s="15"/>
      <c r="D21" s="15"/>
      <c r="E21" s="11" t="s">
        <v>23</v>
      </c>
      <c r="F21" s="11"/>
    </row>
    <row r="22" ht="20" customHeight="1" spans="1:6" x14ac:dyDescent="0.25">
      <c r="A22" s="9" t="s">
        <v>24</v>
      </c>
      <c r="B22" s="9"/>
      <c r="C22" s="16">
        <f>IF(ISNUMBER(ano_crono),ano_crono,YEAR(TODAY()))</f>
      </c>
      <c r="D22" s="16"/>
      <c r="E22" s="11" t="s">
        <v>25</v>
      </c>
      <c r="F22" s="11"/>
    </row>
    <row r="23" ht="8" customHeight="1" x14ac:dyDescent="0.25"/>
    <row r="24" ht="20" customHeight="1" spans="1:6" x14ac:dyDescent="0.25">
      <c r="A24" s="5" t="s">
        <v>26</v>
      </c>
      <c r="B24" s="5"/>
      <c r="C24" s="5"/>
      <c r="D24" s="5"/>
      <c r="E24" s="5"/>
      <c r="F24" s="5"/>
    </row>
    <row r="25" ht="22" customHeight="1" spans="1:6" x14ac:dyDescent="0.25">
      <c r="A25" s="8" t="s">
        <v>27</v>
      </c>
      <c r="B25" s="8" t="s">
        <v>28</v>
      </c>
      <c r="C25" s="8" t="s">
        <v>29</v>
      </c>
      <c r="D25" s="8" t="s">
        <v>30</v>
      </c>
      <c r="E25" s="8"/>
      <c r="F25" s="8"/>
    </row>
    <row r="26" ht="20" customHeight="1" spans="1:6" x14ac:dyDescent="0.25">
      <c r="A26" s="9" t="s">
        <v>31</v>
      </c>
      <c r="B26" s="17">
        <f>COUNTA('Plano de Ação'!$B$4:$B$303)</f>
      </c>
      <c r="C26" s="17">
        <f>COUNTIF(pa_conferencia,"ERRO*")</f>
      </c>
      <c r="D26" s="18">
        <f>IF(COUNTA('Plano de Ação'!$B$304:$B$2303)&gt;0,"ATENÇÃO: há dados além da linha 303","OK")</f>
      </c>
      <c r="E26" s="18"/>
      <c r="F26" s="18"/>
    </row>
    <row r="27" ht="8" customHeight="1" x14ac:dyDescent="0.25"/>
    <row r="28" ht="20" customHeight="1" spans="1:6" x14ac:dyDescent="0.25">
      <c r="A28" s="5" t="s">
        <v>32</v>
      </c>
      <c r="B28" s="5"/>
      <c r="C28" s="5"/>
      <c r="D28" s="5"/>
      <c r="E28" s="5"/>
      <c r="F28" s="5"/>
    </row>
    <row r="29" ht="20" customHeight="1" spans="1:6" x14ac:dyDescent="0.25">
      <c r="A29" s="19" t="s">
        <v>33</v>
      </c>
      <c r="B29" s="11" t="s">
        <v>34</v>
      </c>
      <c r="C29" s="11"/>
      <c r="D29" s="11"/>
      <c r="E29" s="11"/>
      <c r="F29" s="11"/>
    </row>
    <row r="30" ht="20" customHeight="1" spans="1:6" x14ac:dyDescent="0.25">
      <c r="A30" s="19" t="s">
        <v>31</v>
      </c>
      <c r="B30" s="11" t="s">
        <v>35</v>
      </c>
      <c r="C30" s="11"/>
      <c r="D30" s="11"/>
      <c r="E30" s="11"/>
      <c r="F30" s="11"/>
    </row>
    <row r="31" ht="20" customHeight="1" spans="1:6" x14ac:dyDescent="0.25">
      <c r="A31" s="19" t="s">
        <v>36</v>
      </c>
      <c r="B31" s="11" t="s">
        <v>37</v>
      </c>
      <c r="C31" s="11"/>
      <c r="D31" s="11"/>
      <c r="E31" s="11"/>
      <c r="F31" s="11"/>
    </row>
    <row r="32" ht="20" customHeight="1" spans="1:6" x14ac:dyDescent="0.25">
      <c r="A32" s="19" t="s">
        <v>38</v>
      </c>
      <c r="B32" s="11" t="s">
        <v>39</v>
      </c>
      <c r="C32" s="11"/>
      <c r="D32" s="11"/>
      <c r="E32" s="11"/>
      <c r="F32" s="11"/>
    </row>
    <row r="33" ht="20" customHeight="1" spans="1:6" x14ac:dyDescent="0.25">
      <c r="A33" s="19" t="s">
        <v>40</v>
      </c>
      <c r="B33" s="11" t="s">
        <v>41</v>
      </c>
      <c r="C33" s="11"/>
      <c r="D33" s="11"/>
      <c r="E33" s="11"/>
      <c r="F33" s="11"/>
    </row>
    <row r="34" ht="8" customHeight="1" x14ac:dyDescent="0.25"/>
    <row r="35" ht="24" customHeight="1" spans="1:6" x14ac:dyDescent="0.25">
      <c r="A35" s="7" t="s">
        <v>42</v>
      </c>
      <c r="B35" s="7"/>
      <c r="C35" s="7"/>
      <c r="D35" s="7"/>
      <c r="E35" s="7"/>
      <c r="F35" s="7"/>
    </row>
  </sheetData>
  <sheetProtection sheet="1" formatColumns="0" formatRows="0" autoFilter="0"/>
  <mergeCells count="45">
    <mergeCell ref="A1:B2"/>
    <mergeCell ref="C1:E2"/>
    <mergeCell ref="A7:F7"/>
    <mergeCell ref="A8:F8"/>
    <mergeCell ref="A9:F9"/>
    <mergeCell ref="A10:F10"/>
    <mergeCell ref="A11:F11"/>
    <mergeCell ref="A13:F13"/>
    <mergeCell ref="A14:B14"/>
    <mergeCell ref="C14:D14"/>
    <mergeCell ref="E14:F14"/>
    <mergeCell ref="A15:B15"/>
    <mergeCell ref="C15:D15"/>
    <mergeCell ref="E15:F15"/>
    <mergeCell ref="A16:B16"/>
    <mergeCell ref="C16:D16"/>
    <mergeCell ref="E16:F16"/>
    <mergeCell ref="A17:B17"/>
    <mergeCell ref="C17:D17"/>
    <mergeCell ref="E17:F17"/>
    <mergeCell ref="A18:B18"/>
    <mergeCell ref="C18:D18"/>
    <mergeCell ref="E18:F18"/>
    <mergeCell ref="A19:B19"/>
    <mergeCell ref="C19:D19"/>
    <mergeCell ref="E19:F19"/>
    <mergeCell ref="A20:B20"/>
    <mergeCell ref="C20:D20"/>
    <mergeCell ref="E20:F20"/>
    <mergeCell ref="A21:B21"/>
    <mergeCell ref="C21:D21"/>
    <mergeCell ref="E21:F21"/>
    <mergeCell ref="A22:B22"/>
    <mergeCell ref="C22:D22"/>
    <mergeCell ref="E22:F22"/>
    <mergeCell ref="A24:F24"/>
    <mergeCell ref="D25:F25"/>
    <mergeCell ref="D26:F26"/>
    <mergeCell ref="A28:F28"/>
    <mergeCell ref="B29:F29"/>
    <mergeCell ref="B30:F30"/>
    <mergeCell ref="B31:F31"/>
    <mergeCell ref="B32:F32"/>
    <mergeCell ref="B33:F33"/>
    <mergeCell ref="A35:F35"/>
  </mergeCells>
  <conditionalFormatting sqref="C26:C26">
    <cfRule type="expression" dxfId="0" priority="1">
      <formula>N(C26)&gt;0</formula>
    </cfRule>
  </conditionalFormatting>
  <conditionalFormatting sqref="D26:D26">
    <cfRule type="expression" dxfId="1" priority="1">
      <formula>OR(LEFT(D26,4)="ERRO",LEFT(D26,7)="ATENÇÃO")</formula>
    </cfRule>
    <cfRule type="expression" dxfId="2" priority="2">
      <formula>OR(LEFT(D26,8)="Pendente",LEFT(D26,9)="Verificar",LEFT(D26,9)="Duplicada",LEFT(D26,7)="Tarefa ",LEFT(D26,13)="Fora do plano",LEFT(D26,8)="Previsão",LEFT(D26,11)="Sem vínculo",LEFT(D26,14)="Não verificado",LEFT(D26,7)="Informe",LEFT(D26,9)="A definir")</formula>
    </cfRule>
    <cfRule type="expression" dxfId="3" priority="3">
      <formula>OR(D26="OK",LEFT(D26,4)="Nada",LEFT(D26,3)="OK:")</formula>
    </cfRule>
  </conditionalFormatting>
  <dataValidations count="2">
    <dataValidation type="date" allowBlank="1" showErrorMessage="1" errorStyle="stop" errorTitle="Data inválida" error="Digite uma data válida no formato dd/mm/aaaa." sqref="C20">
      <formula1>32874</formula1>
      <formula2>73050</formula2>
    </dataValidation>
    <dataValidation type="whole" allowBlank="1" showErrorMessage="1" errorStyle="stop" errorTitle="Valor inválido" error="Informe um número inteiro de 2000 a 2100." sqref="C21">
      <formula1>2000</formula1>
      <formula2>2100</formula2>
    </dataValidation>
  </dataValidations>
  <hyperlinks>
    <hyperlink ref="A29" r:id="rId1" location="#'Painel'!A1"/>
    <hyperlink ref="A30" r:id="rId2" location="#'Plano de Ação'!A1"/>
    <hyperlink ref="A31" r:id="rId3" location="#'Cronograma'!A1"/>
    <hyperlink ref="A32" r:id="rId4" location="#'Listas'!A1"/>
    <hyperlink ref="A33" r:id="rId5" location="#'Revisões'!A1"/>
  </hyperlinks>
  <printOptions horizontalCentered="1"/>
  <pageMargins left="0.45" right="0.45" top="0.75" bottom="0.85" header="0.3" footer="0.3"/>
  <pageSetup paperSize="9" orientation="portrait" pageOrder="overThenDown" fitToWidth="1" fitToHeight="0"/>
  <headerFooter>
    <oddHeader>&amp;L&amp;"Arial,Regular"&amp;7&amp;K4A5668&amp;F  ·  &amp;A&amp;C&amp;"Arial,Regular"&amp;7&amp;K4A5668PCM Direto  ·  PCMD-K07&amp;R&amp;"Arial,Regular"&amp;7&amp;K4A5668Impresso em &amp;D  ·  Pág. &amp;P de &amp;N</oddHeader>
    <oddFooter>&amp;L&amp;"Arial,Regular"&amp;7&amp;K4A5668O material apoia a organização do PCM e não substitui a avaliação de profissional habilitado nem o texto oficial das normas. As periodicidades são base genérica e devem ser confirmadas com o manual do fabricante.</oddFooter>
  </headerFooter>
  <drawing r:id="rId6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Instruções</vt:lpstr>
      <vt:lpstr>Painel</vt:lpstr>
      <vt:lpstr>Plano de Ação</vt:lpstr>
      <vt:lpstr>Cronograma</vt:lpstr>
      <vt:lpstr>Listas</vt:lpstr>
      <vt:lpstr>Revisões</vt:lpstr>
    </vt:vector>
  </TitlesOfParts>
  <Company>PCM Direto</Company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PCM Direto</dc:creator>
  <dc:title>PCMD-K07 · Plano de ação 5W2H</dc:title>
  <dc:subject>PCM Direto</dc:subject>
  <dc:description/>
  <cp:keywords>PCMD-K07</cp:keywords>
  <cp:category/>
  <cp:lastModifiedBy>PCM Direto</cp:lastModifiedBy>
  <dcterms:created xsi:type="dcterms:W3CDTF">2026-10-26T12:00:00Z</dcterms:created>
  <dcterms:modified xsi:type="dcterms:W3CDTF">2026-10-26T12:00:00Z</dcterms:modified>
</cp:coreProperties>
</file>