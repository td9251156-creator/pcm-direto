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ssagem" sheetId="2" state="visible" r:id="rId2"/>
    <sheet xmlns:r="http://schemas.openxmlformats.org/officeDocument/2006/relationships" name="Cadastros" sheetId="3" state="visible" r:id="rId3"/>
    <sheet xmlns:r="http://schemas.openxmlformats.org/officeDocument/2006/relationships" name="Revisões" sheetId="4" state="visible" r:id="rId4"/>
  </sheets>
  <definedNames>
    <definedName name="L_TAGS">tb_pcm_ativos[tag]</definedName>
    <definedName name="L_PESSOAS">tb_pcm_pessoas[nome_pessoa]</definedName>
    <definedName name="L_SETORES">tb_pcm_setores[nome_setor]</definedName>
    <definedName name="L_FAMILIAS">tb_pcm_familias[nome_familia]</definedName>
    <definedName name="_xlnm.Print_Area" localSheetId="0">'Leia-me'!$A$1:$G$30</definedName>
    <definedName name="_xlnm.Print_Area" localSheetId="1">'Passagem'!$A$1:$G$31</definedName>
    <definedName name="_xlnm.Print_Titles" localSheetId="2">'Cadastros'!$1:$3</definedName>
    <definedName name="_xlnm.Print_Area" localSheetId="2">'Cadastros'!$A$1:$J$30</definedName>
    <definedName name="_xlnm.Print_Titles" localSheetId="3">'Revisões'!$1:$3</definedName>
    <definedName name="_xlnm.Print_Area" localSheetId="3">'Revisões'!$A$1:$E$30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24">
    <font>
      <name val="Calibri"/>
      <family val="2"/>
      <color theme="1"/>
      <sz val="11"/>
      <scheme val="minor"/>
    </font>
    <font>
      <name val="Arial"/>
      <b val="1"/>
      <color rgb="006B7686"/>
      <sz val="7.5"/>
    </font>
    <font>
      <name val="Arial"/>
      <b val="1"/>
      <color rgb="000E1726"/>
      <sz val="10"/>
    </font>
    <font>
      <name val="Arial"/>
      <b val="1"/>
      <color rgb="00FFFFFF"/>
      <sz val="8"/>
    </font>
    <font>
      <name val="Arial"/>
      <color rgb="000E1726"/>
      <sz val="9"/>
    </font>
    <font>
      <name val="Arial"/>
      <b val="1"/>
      <color rgb="000E1726"/>
      <sz val="9"/>
    </font>
    <font>
      <name val="Arial Black"/>
      <color rgb="000E1726"/>
      <sz val="20"/>
    </font>
    <font>
      <name val="Arial"/>
      <color rgb="004A5668"/>
      <sz val="8"/>
    </font>
    <font>
      <name val="Arial Black"/>
      <color rgb="000E1726"/>
      <sz val="10"/>
    </font>
    <font>
      <name val="Arial"/>
      <b val="1"/>
      <color rgb="00FFFFFF"/>
      <sz val="9"/>
    </font>
    <font>
      <name val="Arial"/>
      <color rgb="008A94A6"/>
      <sz val="7"/>
    </font>
    <font>
      <name val="Arial"/>
      <b val="1"/>
      <color rgb="000B2A5B"/>
      <sz val="9"/>
    </font>
    <font>
      <name val="Arial Black"/>
      <color rgb="000B2A5B"/>
      <sz val="16"/>
    </font>
    <font>
      <name val="Arial"/>
      <i val="1"/>
      <color rgb="004A5668"/>
      <sz val="8"/>
    </font>
    <font>
      <name val="Arial Black"/>
      <color rgb="001F5AA6"/>
      <sz val="12"/>
      <u val="single"/>
    </font>
    <font>
      <name val="Arial Black"/>
      <color rgb="00FFFFFF"/>
      <sz val="10"/>
    </font>
    <font>
      <name val="Arial"/>
      <color rgb="000E1726"/>
      <sz val="8.5"/>
    </font>
    <font>
      <name val="Arial"/>
      <i val="1"/>
      <color rgb="006B7686"/>
      <sz val="8"/>
    </font>
    <font>
      <name val="Arial"/>
      <b val="1"/>
      <color rgb="00B85600"/>
      <sz val="8"/>
    </font>
    <font>
      <name val="Arial"/>
      <b val="1"/>
      <color rgb="001F5AA6"/>
      <sz val="9"/>
      <u val="single"/>
    </font>
    <font>
      <name val="Arial Black"/>
      <color rgb="000B2A5B"/>
      <sz val="10"/>
    </font>
    <font>
      <name val="Arial Black"/>
      <color rgb="001F5AA6"/>
      <sz val="10"/>
      <u val="single"/>
    </font>
    <font>
      <name val="Arial"/>
      <color rgb="004A5668"/>
      <sz val="8.5"/>
    </font>
    <font>
      <name val="Arial"/>
      <color rgb="000E1726"/>
      <sz val="8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B2A5B"/>
      </patternFill>
    </fill>
    <fill>
      <patternFill patternType="solid">
        <fgColor rgb="00ECEFF3"/>
      </patternFill>
    </fill>
    <fill>
      <patternFill patternType="solid">
        <fgColor rgb="00EAF1FB"/>
      </patternFill>
    </fill>
    <fill>
      <patternFill patternType="solid">
        <fgColor rgb="001F5AA6"/>
      </patternFill>
    </fill>
    <fill>
      <patternFill patternType="solid">
        <fgColor rgb="00F6F8FB"/>
      </patternFill>
    </fill>
  </fills>
  <borders count="67">
    <border>
      <left/>
      <right/>
      <top/>
      <bottom/>
      <diagonal/>
    </border>
    <border>
      <left style="thin">
        <color rgb="00D3DEEC"/>
      </left>
      <top style="thin">
        <color rgb="00D3DEEC"/>
      </top>
    </border>
    <border>
      <top style="thin">
        <color rgb="00D3DEEC"/>
      </top>
    </border>
    <border>
      <right style="thin">
        <color rgb="00D3DEEC"/>
      </right>
      <top style="thin">
        <color rgb="00D3DEEC"/>
      </top>
    </border>
    <border>
      <left style="thin">
        <color rgb="00D3DEEC"/>
      </left>
    </border>
    <border/>
    <border>
      <right style="thin">
        <color rgb="00D3DEEC"/>
      </right>
    </border>
    <border>
      <left style="thin">
        <color rgb="00D3DEEC"/>
      </left>
      <bottom style="thin">
        <color rgb="00D3DEEC"/>
      </bottom>
    </border>
    <border>
      <bottom style="thin">
        <color rgb="00D3DEEC"/>
      </bottom>
    </border>
    <border>
      <right style="thin">
        <color rgb="00D3DEEC"/>
      </right>
      <bottom style="thin">
        <color rgb="00D3DEEC"/>
      </bottom>
    </border>
    <border>
      <left/>
      <right/>
      <top style="thin">
        <color rgb="00D3DEEC"/>
      </top>
      <bottom/>
      <diagonal/>
    </border>
    <border>
      <left style="thin">
        <color rgb="00D3DEEC"/>
      </left>
      <top style="thin">
        <color rgb="00D3DEEC"/>
      </top>
      <bottom style="thin">
        <color rgb="00D3DEEC"/>
      </bottom>
    </border>
    <border>
      <right style="thin">
        <color rgb="00D3DEEC"/>
      </right>
      <top style="thin">
        <color rgb="00D3DEEC"/>
      </top>
      <bottom style="thin">
        <color rgb="00D3DEEC"/>
      </bottom>
    </border>
    <border>
      <left style="thin">
        <color rgb="00D3DEEC"/>
      </left>
      <right style="thin">
        <color rgb="00D3DEEC"/>
      </right>
      <top style="thin">
        <color rgb="00D3DEEC"/>
      </top>
      <bottom style="thin">
        <color rgb="00D3DEEC"/>
      </bottom>
    </border>
    <border>
      <left/>
      <right style="thin">
        <color rgb="00D3DEEC"/>
      </right>
      <top style="thin">
        <color rgb="00D3DEEC"/>
      </top>
      <bottom/>
      <diagonal/>
    </border>
    <border>
      <left/>
      <right style="thin">
        <color rgb="00D3DEEC"/>
      </right>
      <top/>
      <bottom/>
      <diagonal/>
    </border>
    <border>
      <left/>
      <right/>
      <top/>
      <bottom style="thin">
        <color rgb="00D3DEEC"/>
      </bottom>
      <diagonal/>
    </border>
    <border>
      <left/>
      <right style="thin">
        <color rgb="00D3DEEC"/>
      </right>
      <top/>
      <bottom style="thin">
        <color rgb="00D3DEEC"/>
      </bottom>
      <diagonal/>
    </border>
    <border>
      <left style="thin">
        <color rgb="00D3DEEC"/>
      </left>
      <right style="thin">
        <color rgb="00D3DEEC"/>
      </right>
      <top style="thin">
        <color rgb="00D3DEEC"/>
      </top>
    </border>
    <border>
      <top style="thin">
        <color rgb="00D3DEEC"/>
      </top>
      <bottom style="thin">
        <color rgb="00D3DEEC"/>
      </bottom>
    </border>
    <border>
      <left/>
      <right/>
      <top/>
      <bottom style="thin">
        <color rgb="00D3DEEC"/>
      </bottom>
    </border>
    <border>
      <left style="thin">
        <color rgb="000B2A5B"/>
      </left>
      <top style="thin">
        <color rgb="000B2A5B"/>
      </top>
    </border>
    <border>
      <right style="thin">
        <color rgb="000B2A5B"/>
      </right>
      <top style="thin">
        <color rgb="000B2A5B"/>
      </top>
    </border>
    <border>
      <left style="thin">
        <color rgb="000B2A5B"/>
      </left>
      <bottom style="thin">
        <color rgb="000B2A5B"/>
      </bottom>
    </border>
    <border>
      <right style="thin">
        <color rgb="000B2A5B"/>
      </right>
      <bottom style="thin">
        <color rgb="000B2A5B"/>
      </bottom>
    </border>
    <border>
      <left/>
      <right/>
      <top style="thin">
        <color rgb="00D3DEEC"/>
      </top>
      <bottom/>
    </border>
    <border>
      <left/>
      <right style="thin">
        <color rgb="00D3DEEC"/>
      </right>
      <top style="thin">
        <color rgb="00D3DEEC"/>
      </top>
      <bottom/>
    </border>
    <border>
      <left/>
      <right style="thin">
        <color rgb="00D3DEEC"/>
      </right>
      <top/>
      <bottom/>
    </border>
    <border>
      <left style="thin">
        <color rgb="000B2A5B"/>
      </left>
      <bottom style="thin">
        <color rgb="00D3DEEC"/>
      </bottom>
    </border>
    <border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0B2A5B"/>
      </right>
      <bottom style="thin">
        <color rgb="000B2A5B"/>
      </bottom>
    </border>
    <border>
      <top style="thin">
        <color rgb="000B2A5B"/>
      </top>
    </border>
    <border>
      <bottom style="thin">
        <color rgb="000B2A5B"/>
      </bottom>
    </border>
    <border>
      <left style="thin">
        <color rgb="000B2A5B"/>
      </left>
      <right style="thin">
        <color rgb="000B2A5B"/>
      </right>
      <top style="thin">
        <color rgb="000B2A5B"/>
      </top>
    </border>
    <border>
      <bottom style="thick">
        <color rgb="00F28C28"/>
      </bottom>
    </border>
    <border>
      <left style="medium">
        <color rgb="00FFFFFF"/>
      </left>
      <top style="medium">
        <color rgb="000B2A5B"/>
      </top>
    </border>
    <border>
      <left style="medium">
        <color rgb="00FFFFFF"/>
      </left>
    </border>
    <border>
      <right style="medium">
        <color rgb="00FFFFFF"/>
      </right>
      <top style="medium">
        <color rgb="000B2A5B"/>
      </top>
    </border>
    <border>
      <right style="medium">
        <color rgb="00FFFFFF"/>
      </right>
    </border>
    <border>
      <left style="medium">
        <color rgb="00FFFFFF"/>
      </left>
      <right style="medium">
        <color rgb="00FFFFFF"/>
      </right>
      <top style="medium">
        <color rgb="000B2A5B"/>
      </top>
    </border>
    <border>
      <left style="medium">
        <color rgb="00FFFFFF"/>
      </left>
      <right style="medium">
        <color rgb="00FFFFFF"/>
      </right>
    </border>
    <border>
      <bottom style="thin">
        <color rgb="00FFFFFF"/>
      </bottom>
    </border>
    <border>
      <top style="medium">
        <color rgb="000B2A5B"/>
      </top>
    </border>
    <border>
      <left/>
      <right style="thin">
        <color rgb="00D3DEEC"/>
      </right>
      <top style="thin">
        <color rgb="00D3DEEC"/>
      </top>
      <bottom style="thin">
        <color rgb="00D3DEEC"/>
      </bottom>
      <diagonal/>
    </border>
    <border>
      <right style="thin">
        <color rgb="00D3DEEC"/>
      </right>
      <bottom/>
    </border>
    <border>
      <right/>
      <bottom/>
    </border>
    <border>
      <right/>
      <bottom style="thin">
        <color rgb="00D3DEEC"/>
      </bottom>
    </border>
    <border>
      <left style="thin">
        <color rgb="00D3DEEC"/>
      </left>
      <right style="thin">
        <color rgb="00D3DEEC"/>
      </right>
      <top style="thin">
        <color rgb="00D3DEEC"/>
      </top>
      <bottom/>
    </border>
    <border>
      <left/>
      <right/>
      <top style="thin">
        <color rgb="00D3DEEC"/>
      </top>
      <bottom style="thin">
        <color rgb="00D3DEEC"/>
      </bottom>
      <diagonal/>
    </border>
    <border>
      <left/>
      <right/>
      <top style="thin">
        <color rgb="000B2A5B"/>
      </top>
      <bottom/>
      <diagonal/>
    </border>
    <border>
      <left/>
      <right style="thin">
        <color rgb="000B2A5B"/>
      </right>
      <top style="thin">
        <color rgb="000B2A5B"/>
      </top>
      <bottom/>
      <diagonal/>
    </border>
    <border>
      <right style="thin">
        <color rgb="00D3DEEC"/>
      </right>
      <top style="thin">
        <color rgb="00D3DEEC"/>
      </top>
      <bottom/>
    </border>
    <border>
      <left style="thin">
        <color rgb="00D3DEEC"/>
      </left>
      <right/>
      <top style="thin">
        <color rgb="00D3DEEC"/>
      </top>
      <bottom/>
    </border>
    <border>
      <left/>
      <right style="thin">
        <color rgb="000B2A5B"/>
      </right>
      <top/>
      <bottom/>
      <diagonal/>
    </border>
    <border>
      <left/>
      <right style="thin">
        <color rgb="000B2A5B"/>
      </right>
      <top/>
      <bottom style="thin">
        <color rgb="000B2A5B"/>
      </bottom>
      <diagonal/>
    </border>
    <border>
      <left style="thin">
        <color rgb="00D3DEEC"/>
      </left>
      <right/>
      <bottom/>
    </border>
    <border>
      <left style="thin">
        <color rgb="000B2A5B"/>
      </left>
      <right style="thin">
        <color rgb="000B2A5B"/>
      </right>
      <top style="thin">
        <color rgb="000B2A5B"/>
      </top>
      <bottom style="thin">
        <color rgb="000B2A5B"/>
      </bottom>
    </border>
    <border>
      <left style="thin">
        <color rgb="000B2A5B"/>
      </left>
      <right/>
      <top/>
      <bottom/>
      <diagonal/>
    </border>
    <border>
      <left style="thin">
        <color rgb="000B2A5B"/>
      </left>
      <right/>
      <top/>
      <bottom style="thin">
        <color rgb="000B2A5B"/>
      </bottom>
      <diagonal/>
    </border>
    <border>
      <left/>
      <right/>
      <top/>
      <bottom style="thin">
        <color rgb="000B2A5B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2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right" vertical="center"/>
    </xf>
    <xf numFmtId="0" fontId="0" fillId="0" borderId="41" pivotButton="0" quotePrefix="0" xfId="0"/>
    <xf numFmtId="0" fontId="13" fillId="0" borderId="41" applyAlignment="1" pivotButton="0" quotePrefix="0" xfId="0">
      <alignment horizontal="center" vertical="top"/>
    </xf>
    <xf numFmtId="0" fontId="13" fillId="0" borderId="41" applyAlignment="1" pivotButton="0" quotePrefix="0" xfId="0">
      <alignment horizontal="right" vertical="top"/>
    </xf>
    <xf numFmtId="0" fontId="15" fillId="3" borderId="0" applyAlignment="1" pivotButton="0" quotePrefix="0" xfId="0">
      <alignment vertical="center" indent="1"/>
    </xf>
    <xf numFmtId="0" fontId="0" fillId="3" borderId="0" pivotButton="0" quotePrefix="0" xfId="0"/>
    <xf numFmtId="0" fontId="0" fillId="5" borderId="42" applyAlignment="1" pivotButton="0" quotePrefix="0" xfId="0">
      <alignment vertical="center" indent="1"/>
    </xf>
    <xf numFmtId="0" fontId="0" fillId="5" borderId="44" pivotButton="0" quotePrefix="0" xfId="0"/>
    <xf numFmtId="0" fontId="0" fillId="5" borderId="46" applyAlignment="1" pivotButton="0" quotePrefix="0" xfId="0">
      <alignment vertical="center" indent="1"/>
    </xf>
    <xf numFmtId="0" fontId="16" fillId="5" borderId="43" applyAlignment="1" pivotButton="0" quotePrefix="0" xfId="0">
      <alignment vertical="top" wrapText="1" indent="1"/>
    </xf>
    <xf numFmtId="0" fontId="0" fillId="5" borderId="45" pivotButton="0" quotePrefix="0" xfId="0"/>
    <xf numFmtId="0" fontId="16" fillId="5" borderId="47" applyAlignment="1" pivotButton="0" quotePrefix="0" xfId="0">
      <alignment vertical="top" wrapText="1" indent="1"/>
    </xf>
    <xf numFmtId="0" fontId="0" fillId="3" borderId="0" applyAlignment="1" pivotButton="0" quotePrefix="0" xfId="0">
      <alignment vertical="center" indent="1"/>
    </xf>
    <xf numFmtId="0" fontId="11" fillId="5" borderId="13" applyAlignment="1" pivotButton="0" quotePrefix="0" xfId="0">
      <alignment vertical="center" indent="1"/>
    </xf>
    <xf numFmtId="0" fontId="0" fillId="5" borderId="13" pivotButton="0" quotePrefix="0" xfId="0"/>
    <xf numFmtId="49" fontId="5" fillId="2" borderId="13" applyAlignment="1" pivotButton="0" quotePrefix="0" xfId="0">
      <alignment horizontal="left" vertical="center" wrapText="1" indent="1"/>
    </xf>
    <xf numFmtId="0" fontId="0" fillId="2" borderId="19" pivotButton="0" quotePrefix="0" xfId="0"/>
    <xf numFmtId="0" fontId="17" fillId="2" borderId="12" applyAlignment="1" pivotButton="0" quotePrefix="0" xfId="0">
      <alignment vertical="center" indent="1"/>
    </xf>
    <xf numFmtId="0" fontId="0" fillId="2" borderId="13" pivotButton="0" quotePrefix="0" xfId="0"/>
    <xf numFmtId="0" fontId="18" fillId="2" borderId="12" applyAlignment="1" pivotButton="0" quotePrefix="0" xfId="0">
      <alignment vertical="center" indent="1"/>
    </xf>
    <xf numFmtId="49" fontId="5" fillId="4" borderId="13" applyAlignment="1" pivotButton="0" quotePrefix="0" xfId="0">
      <alignment horizontal="left" vertical="center" wrapText="1" indent="1"/>
    </xf>
    <xf numFmtId="0" fontId="0" fillId="4" borderId="19" pivotButton="0" quotePrefix="0" xfId="0"/>
    <xf numFmtId="0" fontId="15" fillId="6" borderId="48" applyAlignment="1" pivotButton="0" quotePrefix="0" xfId="0">
      <alignment horizontal="center" vertical="center"/>
    </xf>
    <xf numFmtId="0" fontId="19" fillId="0" borderId="8" applyAlignment="1" pivotButton="0" quotePrefix="0" xfId="0">
      <alignment vertical="center" wrapText="1" indent="1"/>
    </xf>
    <xf numFmtId="0" fontId="4" fillId="0" borderId="8" applyAlignment="1" pivotButton="0" quotePrefix="0" xfId="0">
      <alignment vertical="center" wrapText="1" indent="1"/>
    </xf>
    <xf numFmtId="0" fontId="0" fillId="0" borderId="8" pivotButton="0" quotePrefix="0" xfId="0"/>
    <xf numFmtId="0" fontId="11" fillId="0" borderId="8" applyAlignment="1" pivotButton="0" quotePrefix="0" xfId="0">
      <alignment vertical="center" indent="1"/>
    </xf>
    <xf numFmtId="0" fontId="11" fillId="2" borderId="13" applyAlignment="1" pivotButton="0" quotePrefix="0" xfId="0">
      <alignment vertical="center" indent="1"/>
    </xf>
    <xf numFmtId="0" fontId="11" fillId="4" borderId="13" applyAlignment="1" pivotButton="0" quotePrefix="0" xfId="0">
      <alignment vertical="center" indent="1"/>
    </xf>
    <xf numFmtId="0" fontId="0" fillId="4" borderId="13" pivotButton="0" quotePrefix="0" xfId="0"/>
    <xf numFmtId="0" fontId="0" fillId="7" borderId="49" pivotButton="0" quotePrefix="0" xfId="0"/>
    <xf numFmtId="0" fontId="20" fillId="7" borderId="49" applyAlignment="1" pivotButton="0" quotePrefix="0" xfId="0">
      <alignment vertical="bottom" indent="1"/>
    </xf>
    <xf numFmtId="0" fontId="21" fillId="7" borderId="49" applyAlignment="1" pivotButton="0" quotePrefix="0" xfId="0">
      <alignment horizontal="right" vertical="bottom" indent="1"/>
    </xf>
    <xf numFmtId="0" fontId="0" fillId="7" borderId="0" pivotButton="0" quotePrefix="0" xfId="0"/>
    <xf numFmtId="0" fontId="22" fillId="7" borderId="0" applyAlignment="1" pivotButton="0" quotePrefix="0" xfId="0">
      <alignment vertical="top" wrapText="1" indent="1"/>
    </xf>
    <xf numFmtId="0" fontId="0" fillId="2" borderId="63" pivotButton="0" quotePrefix="0" xfId="0"/>
    <xf numFmtId="0" fontId="0" fillId="0" borderId="56" pivotButton="0" quotePrefix="0" xfId="0"/>
    <xf numFmtId="0" fontId="0" fillId="0" borderId="57" pivotButton="0" quotePrefix="0" xfId="0"/>
    <xf numFmtId="0" fontId="6" fillId="2" borderId="40" applyAlignment="1" pivotButton="0" quotePrefix="0" xfId="0">
      <alignment horizontal="center" vertical="center"/>
    </xf>
    <xf numFmtId="0" fontId="8" fillId="2" borderId="40" applyAlignment="1" pivotButton="0" quotePrefix="0" xfId="0">
      <alignment horizontal="center" vertical="center" shrinkToFit="1"/>
    </xf>
    <xf numFmtId="0" fontId="0" fillId="0" borderId="65" pivotButton="0" quotePrefix="0" xfId="0"/>
    <xf numFmtId="0" fontId="0" fillId="0" borderId="66" pivotButton="0" quotePrefix="0" xfId="0"/>
    <xf numFmtId="0" fontId="0" fillId="0" borderId="61" pivotButton="0" quotePrefix="0" xfId="0"/>
    <xf numFmtId="0" fontId="7" fillId="2" borderId="37" applyAlignment="1" pivotButton="0" quotePrefix="0" xfId="0">
      <alignment horizontal="center" vertical="center" wrapText="1"/>
    </xf>
    <xf numFmtId="0" fontId="1" fillId="2" borderId="59" applyAlignment="1" pivotButton="0" quotePrefix="0" xfId="0">
      <alignment horizontal="left" vertical="bottom" indent="1"/>
    </xf>
    <xf numFmtId="0" fontId="0" fillId="0" borderId="10" pivotButton="0" quotePrefix="0" xfId="0"/>
    <xf numFmtId="0" fontId="1" fillId="2" borderId="2" applyAlignment="1" pivotButton="0" quotePrefix="0" xfId="0">
      <alignment horizontal="left" vertical="bottom" indent="1"/>
    </xf>
    <xf numFmtId="0" fontId="1" fillId="2" borderId="58" applyAlignment="1" pivotButton="0" quotePrefix="0" xfId="0">
      <alignment horizontal="left" vertical="bottom" indent="1"/>
    </xf>
    <xf numFmtId="0" fontId="0" fillId="0" borderId="14" pivotButton="0" quotePrefix="0" xfId="0"/>
    <xf numFmtId="0" fontId="2" fillId="2" borderId="13" applyAlignment="1" pivotButton="0" quotePrefix="0" xfId="0">
      <alignment horizontal="left" vertical="center" wrapText="1" indent="1"/>
    </xf>
    <xf numFmtId="0" fontId="0" fillId="0" borderId="55" pivotButton="0" quotePrefix="0" xfId="0"/>
    <xf numFmtId="0" fontId="0" fillId="0" borderId="50" pivotButton="0" quotePrefix="0" xfId="0"/>
    <xf numFmtId="164" fontId="2" fillId="2" borderId="13" applyAlignment="1" pivotButton="0" quotePrefix="0" xfId="0">
      <alignment horizontal="center" vertical="center" wrapText="1"/>
    </xf>
    <xf numFmtId="165" fontId="2" fillId="2" borderId="13" applyAlignment="1" pivotButton="0" quotePrefix="0" xfId="0">
      <alignment horizontal="center" vertical="center" wrapText="1"/>
    </xf>
    <xf numFmtId="0" fontId="1" fillId="2" borderId="62" applyAlignment="1" pivotButton="0" quotePrefix="0" xfId="0">
      <alignment horizontal="left" vertical="bottom" indent="1"/>
    </xf>
    <xf numFmtId="0" fontId="1" fillId="2" borderId="52" applyAlignment="1" pivotButton="0" quotePrefix="0" xfId="0">
      <alignment horizontal="left" vertical="bottom" indent="1"/>
    </xf>
    <xf numFmtId="0" fontId="1" fillId="2" borderId="51" applyAlignment="1" pivotButton="0" quotePrefix="0" xfId="0">
      <alignment horizontal="left" vertical="bottom" indent="1"/>
    </xf>
    <xf numFmtId="0" fontId="0" fillId="0" borderId="15" pivotButton="0" quotePrefix="0" xfId="0"/>
    <xf numFmtId="0" fontId="0" fillId="2" borderId="0" pivotButton="0" quotePrefix="0" xfId="0"/>
    <xf numFmtId="0" fontId="0" fillId="3" borderId="54" applyAlignment="1" pivotButton="0" quotePrefix="0" xfId="0">
      <alignment horizontal="left" vertical="center" indent="1"/>
    </xf>
    <xf numFmtId="0" fontId="3" fillId="3" borderId="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23" fillId="4" borderId="7" applyAlignment="1" pivotButton="0" quotePrefix="0" xfId="0">
      <alignment horizontal="left" vertical="center" wrapText="1" indent="1"/>
    </xf>
    <xf numFmtId="0" fontId="4" fillId="2" borderId="8" applyAlignment="1" pivotButton="0" quotePrefix="0" xfId="0">
      <alignment horizontal="left" vertical="center" wrapText="1" indent="1"/>
    </xf>
    <xf numFmtId="0" fontId="5" fillId="2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left" vertical="center" wrapText="1" indent="1"/>
    </xf>
    <xf numFmtId="0" fontId="3" fillId="3" borderId="52" applyAlignment="1" pivotButton="0" quotePrefix="0" xfId="0">
      <alignment horizontal="center" vertical="center" wrapText="1"/>
    </xf>
    <xf numFmtId="0" fontId="0" fillId="0" borderId="16" pivotButton="0" quotePrefix="0" xfId="0"/>
    <xf numFmtId="0" fontId="4" fillId="2" borderId="53" applyAlignment="1" pivotButton="0" quotePrefix="0" xfId="0">
      <alignment horizontal="left" vertical="center" wrapText="1" indent="1"/>
    </xf>
    <xf numFmtId="164" fontId="4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left" vertical="bottom" indent="1"/>
    </xf>
    <xf numFmtId="0" fontId="1" fillId="2" borderId="5" applyAlignment="1" pivotButton="0" quotePrefix="0" xfId="0">
      <alignment horizontal="left" vertical="bottom" indent="1"/>
    </xf>
    <xf numFmtId="0" fontId="2" fillId="2" borderId="13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0" fillId="2" borderId="21" pivotButton="0" quotePrefix="0" xfId="0"/>
    <xf numFmtId="0" fontId="0" fillId="2" borderId="22" pivotButton="0" quotePrefix="0" xfId="0"/>
    <xf numFmtId="0" fontId="6" fillId="2" borderId="21" applyAlignment="1" pivotButton="0" quotePrefix="0" xfId="0">
      <alignment horizontal="center" vertical="center"/>
    </xf>
    <xf numFmtId="0" fontId="0" fillId="2" borderId="38" pivotButton="0" quotePrefix="0" xfId="0"/>
    <xf numFmtId="0" fontId="8" fillId="2" borderId="21" applyAlignment="1" pivotButton="0" quotePrefix="0" xfId="0">
      <alignment horizontal="center" vertical="center" shrinkToFit="1"/>
    </xf>
    <xf numFmtId="0" fontId="0" fillId="2" borderId="23" pivotButton="0" quotePrefix="0" xfId="0"/>
    <xf numFmtId="0" fontId="0" fillId="2" borderId="24" pivotButton="0" quotePrefix="0" xfId="0"/>
    <xf numFmtId="0" fontId="7" fillId="2" borderId="23" applyAlignment="1" pivotButton="0" quotePrefix="0" xfId="0">
      <alignment horizontal="center" vertical="center" wrapText="1"/>
    </xf>
    <xf numFmtId="0" fontId="0" fillId="2" borderId="39" pivotButton="0" quotePrefix="0" xfId="0"/>
    <xf numFmtId="0" fontId="9" fillId="3" borderId="28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9" fillId="3" borderId="36" applyAlignment="1" pivotButton="0" quotePrefix="0" xfId="0">
      <alignment horizontal="center" vertical="center" wrapText="1"/>
    </xf>
    <xf numFmtId="0" fontId="10" fillId="0" borderId="0" pivotButton="0" quotePrefix="0" xfId="0"/>
    <xf numFmtId="49" fontId="11" fillId="2" borderId="30" applyAlignment="1" pivotButton="0" quotePrefix="0" xfId="0">
      <alignment horizontal="left" vertical="center" indent="1"/>
    </xf>
    <xf numFmtId="0" fontId="4" fillId="2" borderId="31" applyAlignment="1" pivotButton="0" quotePrefix="0" xfId="0">
      <alignment horizontal="left" vertical="center" indent="1"/>
    </xf>
    <xf numFmtId="0" fontId="4" fillId="2" borderId="32" applyAlignment="1" pivotButton="0" quotePrefix="0" xfId="0">
      <alignment horizontal="left" vertical="center" indent="1"/>
    </xf>
    <xf numFmtId="0" fontId="11" fillId="2" borderId="36" applyAlignment="1" pivotButton="0" quotePrefix="0" xfId="0">
      <alignment horizontal="left" vertical="center" indent="1"/>
    </xf>
    <xf numFmtId="49" fontId="11" fillId="2" borderId="33" applyAlignment="1" pivotButton="0" quotePrefix="0" xfId="0">
      <alignment horizontal="left" vertical="center" indent="1"/>
    </xf>
    <xf numFmtId="0" fontId="4" fillId="2" borderId="34" applyAlignment="1" pivotButton="0" quotePrefix="0" xfId="0">
      <alignment horizontal="left" vertical="center" indent="1"/>
    </xf>
    <xf numFmtId="0" fontId="4" fillId="2" borderId="35" applyAlignment="1" pivotButton="0" quotePrefix="0" xfId="0">
      <alignment horizontal="left" vertical="center" indent="1"/>
    </xf>
    <xf numFmtId="0" fontId="11" fillId="2" borderId="37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wrapText="1"/>
    </xf>
    <xf numFmtId="49" fontId="11" fillId="2" borderId="30" applyAlignment="1" pivotButton="0" quotePrefix="0" xfId="0">
      <alignment horizontal="center" vertical="center"/>
    </xf>
    <xf numFmtId="164" fontId="4" fillId="2" borderId="31" applyAlignment="1" pivotButton="0" quotePrefix="0" xfId="0">
      <alignment horizontal="center" vertical="center"/>
    </xf>
    <xf numFmtId="0" fontId="4" fillId="2" borderId="31" applyAlignment="1" pivotButton="0" quotePrefix="0" xfId="0">
      <alignment horizontal="left" vertical="center" wrapText="1" indent="1"/>
    </xf>
    <xf numFmtId="49" fontId="11" fillId="2" borderId="33" applyAlignment="1" pivotButton="0" quotePrefix="0" xfId="0">
      <alignment horizontal="center" vertical="center"/>
    </xf>
    <xf numFmtId="164" fontId="4" fillId="2" borderId="34" applyAlignment="1" pivotButton="0" quotePrefix="0" xfId="0">
      <alignment horizontal="center" vertical="center"/>
    </xf>
    <xf numFmtId="0" fontId="4" fillId="2" borderId="34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5">
    <dxf>
      <font>
        <b val="1"/>
        <color rgb="001E7A46"/>
      </font>
      <fill>
        <patternFill patternType="solid">
          <fgColor rgb="00E6F4E8"/>
          <bgColor rgb="00E6F4E8"/>
        </patternFill>
      </fill>
    </dxf>
    <dxf>
      <font>
        <b val="1"/>
        <color rgb="008A5A00"/>
      </font>
      <fill>
        <patternFill patternType="solid">
          <fgColor rgb="00FFF3DC"/>
          <bgColor rgb="00FFF3DC"/>
        </patternFill>
      </fill>
    </dxf>
    <dxf>
      <font>
        <b val="1"/>
        <color rgb="00B3261E"/>
      </font>
      <fill>
        <patternFill patternType="solid">
          <fgColor rgb="00FDECEA"/>
          <bgColor rgb="00FDECEA"/>
        </patternFill>
      </fill>
    </dxf>
    <dxf>
      <font>
        <b val="1"/>
        <color rgb="001F5AA6"/>
      </font>
      <fill>
        <patternFill patternType="solid">
          <fgColor rgb="00E1ECF6"/>
          <bgColor rgb="00E1ECF6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PCM Direto</author>
  </authors>
  <commentList>
    <comment ref="A3" authorId="0" shapeId="0">
      <text>
        <t>TAG. Digite como texto (preserva zeros à esquerda). Exemplo: 00123.</t>
      </text>
    </comment>
    <comment ref="B3" authorId="0" shapeId="0">
      <text>
        <t>Equipamento.</t>
      </text>
    </comment>
    <comment ref="C3" authorId="0" shapeId="0">
      <text>
        <t>Família de equipamento. Escolha na lista (preencha antes a aba Cadastros).</t>
      </text>
    </comment>
    <comment ref="D3" authorId="0" shapeId="0">
      <text>
        <t>Setor. Escolha na lista (preencha antes a aba Cadastros).</t>
      </text>
    </comment>
    <comment ref="F3" authorId="0" shapeId="0">
      <text>
        <t>Responsável.</t>
      </text>
    </comment>
    <comment ref="H3" authorId="0" shapeId="0">
      <text>
        <t>Família de equipamento.</t>
      </text>
    </comment>
    <comment ref="J3" authorId="0" shapeId="0">
      <text>
        <t>Setor.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3" authorId="0" shapeId="0">
      <text>
        <t>Rev. Digite como texto (preserva zeros à esquerda). Exemplo: 00123.</t>
      </text>
    </comment>
    <comment ref="B3" authorId="0" shapeId="0">
      <text>
        <t>Data. Data no formato dd/mm/aaaa. Exemplo: 30/10/2026.</t>
      </text>
    </comment>
    <comment ref="C3" authorId="0" shapeId="0">
      <text>
        <t>Descrição da alteração.</t>
      </text>
    </comment>
    <comment ref="D3" authorId="0" shapeId="0">
      <text>
        <t>Elaborado por.</t>
      </text>
    </comment>
    <comment ref="E3" authorId="0" shapeId="0">
      <text>
        <t>Aprovado por.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0</row>
      <rowOff>161925</rowOff>
    </from>
    <ext cx="16478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28</row>
      <rowOff>104775</rowOff>
    </from>
    <ext cx="1609725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1400175</colOff>
      <row>0</row>
      <rowOff>57150</rowOff>
    </from>
    <ext cx="22098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695325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76200</colOff>
      <row>0</row>
      <rowOff>133350</rowOff>
    </from>
    <ext cx="15430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_pcm_ativos" displayName="tb_pcm_ativos" ref="A4:D29" headerRowCount="1">
  <autoFilter ref="A4:D29"/>
  <tableColumns count="4">
    <tableColumn id="1" name="tag"/>
    <tableColumn id="2" name="descricao_ativo"/>
    <tableColumn id="3" name="familia"/>
    <tableColumn id="4" name="setor"/>
  </tableColumns>
  <tableStyleInfo name="TableStyleLight1" showRowStripes="0"/>
</table>
</file>

<file path=xl/tables/table2.xml><?xml version="1.0" encoding="utf-8"?>
<table xmlns="http://schemas.openxmlformats.org/spreadsheetml/2006/main" id="2" name="tb_pcm_pessoas" displayName="tb_pcm_pessoas" ref="F4:F29" headerRowCount="1">
  <autoFilter ref="F4:F29"/>
  <tableColumns count="1">
    <tableColumn id="6" name="nome_pessoa"/>
  </tableColumns>
  <tableStyleInfo name="TableStyleLight1" showRowStripes="0"/>
</table>
</file>

<file path=xl/tables/table3.xml><?xml version="1.0" encoding="utf-8"?>
<table xmlns="http://schemas.openxmlformats.org/spreadsheetml/2006/main" id="3" name="tb_pcm_familias" displayName="tb_pcm_familias" ref="H4:H29" headerRowCount="1">
  <autoFilter ref="H4:H29"/>
  <tableColumns count="1">
    <tableColumn id="8" name="nome_familia"/>
  </tableColumns>
  <tableStyleInfo name="TableStyleLight1" showRowStripes="0"/>
</table>
</file>

<file path=xl/tables/table4.xml><?xml version="1.0" encoding="utf-8"?>
<table xmlns="http://schemas.openxmlformats.org/spreadsheetml/2006/main" id="4" name="tb_pcm_setores" displayName="tb_pcm_setores" ref="J4:J29" headerRowCount="1">
  <autoFilter ref="J4:J29"/>
  <tableColumns count="1">
    <tableColumn id="10" name="nome_setor"/>
  </tableColumns>
  <tableStyleInfo name="TableStyleLight1" showRowStripes="0"/>
</table>
</file>

<file path=xl/tables/table5.xml><?xml version="1.0" encoding="utf-8"?>
<table xmlns="http://schemas.openxmlformats.org/spreadsheetml/2006/main" id="5" name="tb_pcm_revisoes_modelo" displayName="tb_pcm_revisoes_modelo" ref="A4:E29" headerRowCount="1">
  <autoFilter ref="A4:E29"/>
  <tableColumns count="5">
    <tableColumn id="1" name="revisao"/>
    <tableColumn id="2" name="data_revisao"/>
    <tableColumn id="3" name="descricao_alteracao"/>
    <tableColumn id="4" name="elaborado_por"/>
    <tableColumn id="5" name="aprovado_p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mdireto.me" TargetMode="External" Id="rId1"/><Relationship Type="http://schemas.openxmlformats.org/officeDocument/2006/relationships/hyperlink" Target="https://pcmdireto.me" TargetMode="External" Id="rId2"/><Relationship Type="http://schemas.openxmlformats.org/officeDocument/2006/relationships/drawing" Target="/xl/drawings/drawing1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0B2A5B"/>
    <outlinePr summaryBelow="1" summaryRight="1"/>
    <pageSetUpPr fitToPage="1"/>
  </sheetPr>
  <dimension ref="A1:F30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9" customWidth="1" min="3" max="3"/>
    <col width="24" customWidth="1" min="4" max="4"/>
    <col width="24" customWidth="1" min="5" max="5"/>
    <col width="24" customWidth="1" min="6" max="6"/>
    <col width="2" customWidth="1" min="7" max="7"/>
  </cols>
  <sheetData>
    <row r="1" ht="24" customHeight="1">
      <c r="D1" s="1" t="inlineStr">
        <is>
          <t>LEIA-ME  ·  GUIA RÁPIDO</t>
        </is>
      </c>
      <c r="F1" s="2" t="inlineStr">
        <is>
          <t>Modelos, guias e novidades</t>
        </is>
      </c>
    </row>
    <row r="2" ht="22" customHeight="1">
      <c r="D2" s="3" t="inlineStr">
        <is>
          <t>PCM-MAN-006  ·  Passagem de turno</t>
        </is>
      </c>
      <c r="F2" s="4" t="inlineStr">
        <is>
          <t>pcmdireto.me</t>
        </is>
      </c>
    </row>
    <row r="3" ht="20" customHeight="1">
      <c r="B3" s="5" t="n"/>
      <c r="C3" s="5" t="n"/>
      <c r="D3" s="6" t="inlineStr">
        <is>
          <t>Leia em 1 minuto, preencha os campos brancos e comece a usar.</t>
        </is>
      </c>
      <c r="E3" s="5" t="n"/>
      <c r="F3" s="7" t="inlineStr">
        <is>
          <t>Dúvidas e sugestões pelo site</t>
        </is>
      </c>
    </row>
    <row r="4" ht="10" customHeight="1"/>
    <row r="5" ht="24" customHeight="1">
      <c r="B5" s="8" t="inlineStr">
        <is>
          <t>COMO USAR ESTE MODELO</t>
        </is>
      </c>
      <c r="C5" s="9" t="n"/>
      <c r="D5" s="9" t="n"/>
      <c r="E5" s="9" t="n"/>
      <c r="F5" s="9" t="n"/>
    </row>
    <row r="6" ht="26" customHeight="1">
      <c r="B6" s="10" t="inlineStr">
        <is>
          <r>
            <rPr>
              <rFont val="Arial Black"/>
              <color rgb="00F28C28"/>
              <sz val="14"/>
            </rPr>
            <t xml:space="preserve">1  </t>
          </r>
          <r>
            <rPr>
              <rFont val="Arial Black"/>
              <color rgb="000B2A5B"/>
              <sz val="10"/>
            </rPr>
            <t>Identifique</t>
          </r>
        </is>
      </c>
      <c r="C6" s="11" t="n"/>
      <c r="D6" s="12" t="inlineStr">
        <is>
          <r>
            <rPr>
              <rFont val="Arial Black"/>
              <color rgb="00F28C28"/>
              <sz val="14"/>
            </rPr>
            <t xml:space="preserve">2  </t>
          </r>
          <r>
            <rPr>
              <rFont val="Arial Black"/>
              <color rgb="000B2A5B"/>
              <sz val="10"/>
            </rPr>
            <t>Cadastre</t>
          </r>
        </is>
      </c>
      <c r="E6" s="12" t="inlineStr">
        <is>
          <r>
            <rPr>
              <rFont val="Arial Black"/>
              <color rgb="00F28C28"/>
              <sz val="14"/>
            </rPr>
            <t xml:space="preserve">3  </t>
          </r>
          <r>
            <rPr>
              <rFont val="Arial Black"/>
              <color rgb="000B2A5B"/>
              <sz val="10"/>
            </rPr>
            <t>Preencha</t>
          </r>
        </is>
      </c>
      <c r="F6" s="12" t="inlineStr">
        <is>
          <r>
            <rPr>
              <rFont val="Arial Black"/>
              <color rgb="00F28C28"/>
              <sz val="14"/>
            </rPr>
            <t xml:space="preserve">4  </t>
          </r>
          <r>
            <rPr>
              <rFont val="Arial Black"/>
              <color rgb="000B2A5B"/>
              <sz val="10"/>
            </rPr>
            <t>Imprima e revise</t>
          </r>
        </is>
      </c>
    </row>
    <row r="7" ht="50" customHeight="1">
      <c r="B7" s="13" t="inlineStr">
        <is>
          <t>Preencha Elaborado e Aprovado logo abaixo. Vai para o cabeçalho de todas as abas.</t>
        </is>
      </c>
      <c r="C7" s="14" t="n"/>
      <c r="D7" s="15" t="inlineStr">
        <is>
          <t>Na aba Cadastros, lance TAGs, pessoas e setores uma vez. Eles viram as listas ▼.</t>
        </is>
      </c>
      <c r="E7" s="15" t="inlineStr">
        <is>
          <t>Use as abas na ordem do passo a passo. Comece por Passagem.</t>
        </is>
      </c>
      <c r="F7" s="15" t="inlineStr">
        <is>
          <t>Cada aba sai em uma folha A4. Mudou o modelo? Registre na aba Revisões.</t>
        </is>
      </c>
    </row>
    <row r="8" ht="10" customHeight="1"/>
    <row r="9" ht="24" customHeight="1">
      <c r="B9" s="16" t="inlineStr">
        <is>
          <r>
            <rPr>
              <rFont val="Arial Black"/>
              <color rgb="00F28C28"/>
              <sz val="10"/>
            </rPr>
            <t xml:space="preserve">1  </t>
          </r>
          <r>
            <rPr>
              <rFont val="Arial Black"/>
              <color rgb="00FFFFFF"/>
              <sz val="10"/>
            </rPr>
            <t>IDENTIFICAÇÃO DO DOCUMENTO  ·  vai para o cabeçalho de todas as abas</t>
          </r>
        </is>
      </c>
      <c r="C9" s="9" t="n"/>
      <c r="D9" s="9" t="n"/>
      <c r="E9" s="9" t="n"/>
      <c r="F9" s="9" t="n"/>
    </row>
    <row r="10" ht="21" customHeight="1">
      <c r="B10" s="17" t="inlineStr">
        <is>
          <t>Título do documento</t>
        </is>
      </c>
      <c r="C10" s="18" t="n"/>
      <c r="D10" s="19" t="inlineStr">
        <is>
          <t>Passagem de turno</t>
        </is>
      </c>
      <c r="E10" s="20" t="n"/>
      <c r="F10" s="21" t="inlineStr">
        <is>
          <t>Já vem pronto. Ajuste se quiser.</t>
        </is>
      </c>
    </row>
    <row r="11" ht="33" customHeight="1">
      <c r="B11" s="17" t="inlineStr">
        <is>
          <t>Objetivo</t>
        </is>
      </c>
      <c r="C11" s="18" t="n"/>
      <c r="D11" s="19" t="inlineStr">
        <is>
          <t>Passar ao próximo turno o que importa: segurança, paradas, pendências, equipe e material</t>
        </is>
      </c>
      <c r="E11" s="22" t="n"/>
      <c r="F11" s="22" t="n"/>
    </row>
    <row r="12" ht="21" customHeight="1">
      <c r="B12" s="17" t="inlineStr">
        <is>
          <t>Código do documento</t>
        </is>
      </c>
      <c r="C12" s="18" t="n"/>
      <c r="D12" s="19" t="inlineStr">
        <is>
          <t>PCM-MAN-006</t>
        </is>
      </c>
      <c r="E12" s="22" t="n"/>
      <c r="F12" s="22" t="n"/>
    </row>
    <row r="13" ht="21" customHeight="1">
      <c r="B13" s="17" t="inlineStr">
        <is>
          <t>Elaborado por</t>
        </is>
      </c>
      <c r="C13" s="18" t="n"/>
      <c r="D13" s="19" t="n"/>
      <c r="E13" s="20" t="n"/>
      <c r="F13" s="23" t="inlineStr">
        <is>
          <t>✎ preencha</t>
        </is>
      </c>
    </row>
    <row r="14" ht="21" customHeight="1">
      <c r="B14" s="17" t="inlineStr">
        <is>
          <t>Aprovado por</t>
        </is>
      </c>
      <c r="C14" s="18" t="n"/>
      <c r="D14" s="19" t="n"/>
      <c r="E14" s="20" t="n"/>
      <c r="F14" s="23" t="inlineStr">
        <is>
          <t>✎ preencha</t>
        </is>
      </c>
    </row>
    <row r="15" ht="21" customHeight="1">
      <c r="B15" s="17" t="inlineStr">
        <is>
          <t>Revisão atual</t>
        </is>
      </c>
      <c r="C15" s="18" t="n"/>
      <c r="D15" s="24">
        <f>IF(COUNTA(tb_pcm_revisoes_modelo[revisao])=0,"-",INDEX(tb_pcm_revisoes_modelo[revisao],COUNTA(tb_pcm_revisoes_modelo[revisao])))</f>
        <v/>
      </c>
      <c r="E15" s="25" t="n"/>
      <c r="F15" s="21" t="inlineStr">
        <is>
          <t>automático: aba Revisões</t>
        </is>
      </c>
    </row>
    <row r="16" ht="21" customHeight="1">
      <c r="B16" s="17" t="inlineStr">
        <is>
          <t>Data da revisão</t>
        </is>
      </c>
      <c r="C16" s="18" t="n"/>
      <c r="D16" s="24">
        <f>IF(COUNTA(tb_pcm_revisoes_modelo[revisao])=0,"",IF(INDEX(tb_pcm_revisoes_modelo[data_revisao],COUNTA(tb_pcm_revisoes_modelo[revisao]))="","",RIGHT("0"&amp;DAY(INDEX(tb_pcm_revisoes_modelo[data_revisao],COUNTA(tb_pcm_revisoes_modelo[revisao]))),2)&amp;"/"&amp;CHOOSE(MONTH(INDEX(tb_pcm_revisoes_modelo[data_revisao],COUNTA(tb_pcm_revisoes_modelo[revisao]))),"Jan","Fev","Mar","Abr","Mai","Jun","Jul","Ago","Set","Out","Nov","Dez")&amp;"/"&amp;YEAR(INDEX(tb_pcm_revisoes_modelo[data_revisao],COUNTA(tb_pcm_revisoes_modelo[revisao])))))</f>
        <v/>
      </c>
      <c r="E16" s="25" t="n"/>
      <c r="F16" s="21" t="inlineStr">
        <is>
          <t>automático: aba Revisões</t>
        </is>
      </c>
    </row>
    <row r="17" ht="10" customHeight="1"/>
    <row r="18" ht="24" customHeight="1">
      <c r="B18" s="16" t="inlineStr">
        <is>
          <r>
            <rPr>
              <rFont val="Arial Black"/>
              <color rgb="00F28C28"/>
              <sz val="10"/>
            </rPr>
            <t xml:space="preserve">2  </t>
          </r>
          <r>
            <rPr>
              <rFont val="Arial Black"/>
              <color rgb="00FFFFFF"/>
              <sz val="10"/>
            </rPr>
            <t>PASSO A PASSO  ·  clique no nome da aba para abrir</t>
          </r>
        </is>
      </c>
      <c r="C18" s="9" t="n"/>
      <c r="D18" s="9" t="n"/>
      <c r="E18" s="9" t="n"/>
      <c r="F18" s="9" t="n"/>
    </row>
    <row r="19" ht="34" customHeight="1">
      <c r="B19" s="26" t="n">
        <v>1</v>
      </c>
      <c r="C19" s="27" t="inlineStr">
        <is>
          <t>Cadastros</t>
        </is>
      </c>
      <c r="D19" s="28" t="inlineStr">
        <is>
          <t>Cadastre uma vez TAG, equipamento, família e setor, as pessoas, as famílias de equipamento, os setores. Eles aparecem nas setas ▼ das outras abas.</t>
        </is>
      </c>
      <c r="E19" s="29" t="n"/>
      <c r="F19" s="29" t="n"/>
    </row>
    <row r="20" ht="34" customHeight="1">
      <c r="B20" s="26" t="n">
        <v>2</v>
      </c>
      <c r="C20" s="27" t="inlineStr">
        <is>
          <t>Passagem</t>
        </is>
      </c>
      <c r="D20" s="28" t="inlineStr">
        <is>
          <t>No fim do turno, preencha uma folha: segurança, equipamentos parados, pendências, equipe e material. Quem recebe confere e assina.</t>
        </is>
      </c>
      <c r="E20" s="29" t="n"/>
      <c r="F20" s="29" t="n"/>
    </row>
    <row r="21" ht="10" customHeight="1"/>
    <row r="22" ht="24" customHeight="1">
      <c r="B22" s="16" t="inlineStr">
        <is>
          <r>
            <rPr>
              <rFont val="Arial Black"/>
              <color rgb="00F28C28"/>
              <sz val="10"/>
            </rPr>
            <t xml:space="preserve">3  </t>
          </r>
          <r>
            <rPr>
              <rFont val="Arial Black"/>
              <color rgb="00FFFFFF"/>
              <sz val="10"/>
            </rPr>
            <t>REGRAS RÁPIDAS</t>
          </r>
        </is>
      </c>
      <c r="C22" s="9" t="n"/>
      <c r="D22" s="9" t="n"/>
      <c r="E22" s="9" t="n"/>
      <c r="F22" s="9" t="n"/>
    </row>
    <row r="23" ht="21" customHeight="1">
      <c r="B23" s="30" t="inlineStr">
        <is>
          <t>▼  Lista</t>
        </is>
      </c>
      <c r="C23" s="29" t="n"/>
      <c r="D23" s="28" t="inlineStr">
        <is>
          <t>Clique na célula e escolha na seta. Valor fora da lista é recusado.</t>
        </is>
      </c>
      <c r="E23" s="29" t="n"/>
      <c r="F23" s="29" t="n"/>
    </row>
    <row r="24" ht="21" customHeight="1">
      <c r="B24" s="31" t="inlineStr">
        <is>
          <t>Célula branca</t>
        </is>
      </c>
      <c r="C24" s="22" t="n"/>
      <c r="D24" s="28" t="inlineStr">
        <is>
          <t>Campo para digitar.</t>
        </is>
      </c>
      <c r="E24" s="29" t="n"/>
      <c r="F24" s="29" t="n"/>
    </row>
    <row r="25" ht="21" customHeight="1">
      <c r="B25" s="32" t="inlineStr">
        <is>
          <t>Célula cinza</t>
        </is>
      </c>
      <c r="C25" s="33" t="n"/>
      <c r="D25" s="28" t="inlineStr">
        <is>
          <t>Cálculo automático. Não digite: a fórmula preenche sozinha.</t>
        </is>
      </c>
      <c r="E25" s="29" t="n"/>
      <c r="F25" s="29" t="n"/>
    </row>
    <row r="26" ht="21" customHeight="1">
      <c r="B26" s="30" t="inlineStr">
        <is>
          <t>Datas e números</t>
        </is>
      </c>
      <c r="C26" s="29" t="n"/>
      <c r="D26" s="28" t="inlineStr">
        <is>
          <t>Datas em dd/mm/aaaa; decimais com vírgula. Vazio = sem informação; zero é valor real.</t>
        </is>
      </c>
      <c r="E26" s="29" t="n"/>
      <c r="F26" s="29" t="n"/>
    </row>
    <row r="27" ht="21" customHeight="1">
      <c r="B27" s="30" t="inlineStr">
        <is>
          <t>Impressão</t>
        </is>
      </c>
      <c r="C27" s="29" t="n"/>
      <c r="D27" s="28" t="inlineStr">
        <is>
          <t>Cada aba já está ajustada para uma folha A4. Use Arquivo &gt; Imprimir sem mudar a escala.</t>
        </is>
      </c>
      <c r="E27" s="29" t="n"/>
      <c r="F27" s="29" t="n"/>
    </row>
    <row r="28" ht="12" customHeight="1"/>
    <row r="29" ht="22" customHeight="1">
      <c r="B29" s="34" t="n"/>
      <c r="C29" s="34" t="n"/>
      <c r="D29" s="35" t="inlineStr">
        <is>
          <t>SOBRE O PCM DIRETO</t>
        </is>
      </c>
      <c r="E29" s="34" t="n"/>
      <c r="F29" s="36" t="inlineStr">
        <is>
          <t>pcmdireto.me</t>
        </is>
      </c>
    </row>
    <row r="30" ht="34" customHeight="1">
      <c r="B30" s="37" t="n"/>
      <c r="C30" s="37" t="n"/>
      <c r="D30" s="38" t="inlineStr">
        <is>
          <t>Modelos de manutenção prontos para usar, do planejamento ao controle: criticidade, plano, ordem de serviço, indicadores e auditorias. Todos no mesmo padrão, para a equipe aprender uma vez e usar em todos.</t>
        </is>
      </c>
      <c r="E30" s="37" t="n"/>
      <c r="F30" s="37" t="n"/>
    </row>
  </sheetData>
  <mergeCells count="39">
    <mergeCell ref="D11:F11"/>
    <mergeCell ref="B16:C16"/>
    <mergeCell ref="D10:E10"/>
    <mergeCell ref="B7:C7"/>
    <mergeCell ref="B25:C25"/>
    <mergeCell ref="D1:E1"/>
    <mergeCell ref="D27:F27"/>
    <mergeCell ref="B22:F22"/>
    <mergeCell ref="B27:C27"/>
    <mergeCell ref="B18:F18"/>
    <mergeCell ref="B12:C12"/>
    <mergeCell ref="D2:E2"/>
    <mergeCell ref="B11:C11"/>
    <mergeCell ref="D13:E13"/>
    <mergeCell ref="D12:F12"/>
    <mergeCell ref="B23:C23"/>
    <mergeCell ref="B14:C14"/>
    <mergeCell ref="D30:F30"/>
    <mergeCell ref="D25:F25"/>
    <mergeCell ref="B1:C3"/>
    <mergeCell ref="D24:F24"/>
    <mergeCell ref="B13:C13"/>
    <mergeCell ref="D16:E16"/>
    <mergeCell ref="D23:F23"/>
    <mergeCell ref="B10:C10"/>
    <mergeCell ref="D26:F26"/>
    <mergeCell ref="D3:E3"/>
    <mergeCell ref="D20:F20"/>
    <mergeCell ref="B9:F9"/>
    <mergeCell ref="B6:C6"/>
    <mergeCell ref="D19:F19"/>
    <mergeCell ref="B24:C24"/>
    <mergeCell ref="B15:C15"/>
    <mergeCell ref="D15:E15"/>
    <mergeCell ref="D29:E29"/>
    <mergeCell ref="B5:F5"/>
    <mergeCell ref="B29:C30"/>
    <mergeCell ref="D14:E14"/>
    <mergeCell ref="B26:C26"/>
  </mergeCells>
  <hyperlinks>
    <hyperlink xmlns:r="http://schemas.openxmlformats.org/officeDocument/2006/relationships" ref="F2" r:id="rId1"/>
    <hyperlink ref="C19" location="'Cadastros'!A1" display="Cadastros"/>
    <hyperlink ref="C20" location="'Passagem'!A1" display="Passagem"/>
    <hyperlink xmlns:r="http://schemas.openxmlformats.org/officeDocument/2006/relationships" ref="F29" r:id="rId2"/>
  </hyperlinks>
  <printOptions horizontalCentered="1"/>
  <pageMargins left="0.5" right="0.5" top="0.5" bottom="0.6" header="0.5" footer="0.25"/>
  <pageSetup orientation="portrait" paperSize="9" fitToHeight="1" fitToWidth="1"/>
  <headerFooter>
    <oddHeader/>
    <oddFooter>&amp;L&amp;7 &amp;K4A5668PCM-MAN-006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G40"/>
  <sheetViews>
    <sheetView showGridLines="0" tabSelected="0" zoomScale="90"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36" customWidth="1" min="3" max="3"/>
    <col width="19" customWidth="1" min="4" max="4"/>
    <col width="36" customWidth="1" min="5" max="5"/>
    <col width="15" customWidth="1" min="6" max="6"/>
    <col width="24" customWidth="1" min="7" max="7"/>
  </cols>
  <sheetData>
    <row r="1" ht="30.75" customHeight="1">
      <c r="A1" s="39" t="n"/>
      <c r="B1" s="40" t="n"/>
      <c r="C1" s="41" t="n"/>
      <c r="D1" s="42">
        <f>'Leia-me'!$D$10</f>
        <v/>
      </c>
      <c r="E1" s="41" t="n"/>
      <c r="F1" s="43">
        <f>"Rev. "&amp;'Leia-me'!$D$15&amp;"   ·   "&amp;'Leia-me'!$D$16</f>
        <v/>
      </c>
      <c r="G1" s="41" t="n"/>
    </row>
    <row r="2" ht="31" customHeight="1">
      <c r="A2" s="44" t="n"/>
      <c r="B2" s="45" t="n"/>
      <c r="C2" s="46" t="n"/>
      <c r="D2" s="47">
        <f>"Objetivo: "&amp;'Leia-me'!$D$11</f>
        <v/>
      </c>
      <c r="E2" s="46" t="n"/>
      <c r="F2" s="47">
        <f>"Elaborado: "&amp;'Leia-me'!$D$13&amp;"   ·   Aprovado: "&amp;'Leia-me'!$D$14</f>
        <v/>
      </c>
      <c r="G2" s="46" t="n"/>
    </row>
    <row r="3" ht="13" customHeight="1">
      <c r="A3" s="48" t="inlineStr">
        <is>
          <t>Linha ou área</t>
        </is>
      </c>
      <c r="B3" s="49" t="n"/>
      <c r="C3" s="49" t="n"/>
      <c r="D3" s="50" t="inlineStr">
        <is>
          <t>Data do turno</t>
        </is>
      </c>
      <c r="E3" s="50" t="inlineStr">
        <is>
          <t>Turno que sai</t>
        </is>
      </c>
      <c r="F3" s="51" t="inlineStr">
        <is>
          <t>Hora da troca</t>
        </is>
      </c>
      <c r="G3" s="52" t="n"/>
    </row>
    <row r="4" ht="24" customHeight="1">
      <c r="A4" s="53" t="n"/>
      <c r="B4" s="54" t="n"/>
      <c r="C4" s="55" t="n"/>
      <c r="D4" s="56" t="n"/>
      <c r="E4" s="53" t="n"/>
      <c r="F4" s="57" t="n"/>
      <c r="G4" s="55" t="n"/>
    </row>
    <row r="5" ht="13" customHeight="1">
      <c r="A5" s="58" t="inlineStr">
        <is>
          <t>Líder que sai</t>
        </is>
      </c>
      <c r="D5" s="59" t="inlineStr">
        <is>
          <t>Líder que entra</t>
        </is>
      </c>
      <c r="F5" s="60" t="inlineStr">
        <is>
          <t>Turno que entra</t>
        </is>
      </c>
      <c r="G5" s="61" t="n"/>
    </row>
    <row r="6" ht="24" customHeight="1">
      <c r="A6" s="53" t="n"/>
      <c r="B6" s="54" t="n"/>
      <c r="C6" s="55" t="n"/>
      <c r="D6" s="53" t="n"/>
      <c r="E6" s="55" t="n"/>
      <c r="F6" s="53" t="n"/>
      <c r="G6" s="55" t="n"/>
    </row>
    <row r="7" ht="8" customHeight="1">
      <c r="A7" s="62" t="n"/>
      <c r="C7" s="62" t="n"/>
      <c r="D7" s="62" t="n"/>
      <c r="E7" s="62" t="n"/>
      <c r="F7" s="62" t="n"/>
      <c r="G7" s="62" t="n"/>
    </row>
    <row r="8" ht="22" customHeight="1">
      <c r="A8" s="63" t="inlineStr">
        <is>
          <r>
            <rPr>
              <rFont val="Arial"/>
              <b val="1"/>
              <color rgb="00FFFFFF"/>
              <sz val="10"/>
            </rPr>
            <t>Segurança</t>
          </r>
          <r>
            <rPr>
              <rFont val="Arial"/>
              <color rgb="00D3DEEC"/>
              <sz val="8"/>
            </rPr>
            <t xml:space="preserve">   nada a registrar? deixe em branco</t>
          </r>
        </is>
      </c>
      <c r="B8" s="49" t="n"/>
      <c r="C8" s="49" t="n"/>
      <c r="D8" s="49" t="n"/>
      <c r="E8" s="49" t="n"/>
      <c r="F8" s="49" t="n"/>
      <c r="G8" s="52" t="n"/>
    </row>
    <row r="9" ht="13" customHeight="1">
      <c r="A9" s="58" t="inlineStr">
        <is>
          <t>Ocorrências (quase acidente, lesão)</t>
        </is>
      </c>
      <c r="E9" s="60" t="inlineStr">
        <is>
          <t>Bloqueios e permissões em aberto</t>
        </is>
      </c>
      <c r="G9" s="61" t="n"/>
    </row>
    <row r="10" ht="34" customHeight="1">
      <c r="A10" s="53" t="n"/>
      <c r="B10" s="54" t="n"/>
      <c r="C10" s="54" t="n"/>
      <c r="D10" s="55" t="n"/>
      <c r="E10" s="53" t="n"/>
      <c r="F10" s="54" t="n"/>
      <c r="G10" s="55" t="n"/>
    </row>
    <row r="11" ht="8" customHeight="1">
      <c r="A11" s="62" t="n"/>
      <c r="C11" s="62" t="n"/>
      <c r="D11" s="62" t="n"/>
      <c r="E11" s="62" t="n"/>
      <c r="F11" s="62" t="n"/>
      <c r="G11" s="62" t="n"/>
    </row>
    <row r="12" ht="22" customHeight="1">
      <c r="A12" s="63" t="inlineStr">
        <is>
          <r>
            <rPr>
              <rFont val="Arial"/>
              <b val="1"/>
              <color rgb="00FFFFFF"/>
              <sz val="10"/>
            </rPr>
            <t>Equipamentos</t>
          </r>
          <r>
            <rPr>
              <rFont val="Arial"/>
              <color rgb="00D3DEEC"/>
              <sz val="8"/>
            </rPr>
            <t xml:space="preserve">   paradas e falhas do turno</t>
          </r>
        </is>
      </c>
      <c r="B12" s="49" t="n"/>
      <c r="C12" s="49" t="n"/>
      <c r="D12" s="49" t="n"/>
      <c r="E12" s="49" t="n"/>
      <c r="F12" s="49" t="n"/>
      <c r="G12" s="52" t="n"/>
    </row>
    <row r="13" ht="26" customHeight="1">
      <c r="A13" s="64" t="inlineStr">
        <is>
          <t>TAG</t>
        </is>
      </c>
      <c r="B13" s="64" t="inlineStr">
        <is>
          <t>Equipamento</t>
        </is>
      </c>
      <c r="C13" s="65" t="inlineStr">
        <is>
          <t>O que aconteceu</t>
        </is>
      </c>
      <c r="D13" s="65" t="inlineStr">
        <is>
          <t>Minutos parados</t>
        </is>
      </c>
      <c r="E13" s="65" t="inlineStr">
        <is>
          <t>Como a máquina ficou</t>
        </is>
      </c>
      <c r="F13" s="65" t="inlineStr">
        <is>
          <t>Nº da OS</t>
        </is>
      </c>
      <c r="G13" s="66" t="inlineStr">
        <is>
          <t>Ação do próximo turno</t>
        </is>
      </c>
    </row>
    <row r="14" ht="26" customHeight="1">
      <c r="A14" s="67" t="n"/>
      <c r="B14" s="68">
        <f>IF(A14="","",IFERROR(INDEX(tb_pcm_ativos[descricao_ativo],MATCH(A14,tb_pcm_ativos[tag],0)),"fora do cadastro"))</f>
        <v/>
      </c>
      <c r="C14" s="69" t="n"/>
      <c r="D14" s="70" t="n"/>
      <c r="E14" s="70" t="n"/>
      <c r="F14" s="71" t="n"/>
      <c r="G14" s="72" t="n"/>
    </row>
    <row r="15" ht="26" customHeight="1">
      <c r="A15" s="67" t="n"/>
      <c r="B15" s="68">
        <f>IF(A15="","",IFERROR(INDEX(tb_pcm_ativos[descricao_ativo],MATCH(A15,tb_pcm_ativos[tag],0)),"fora do cadastro"))</f>
        <v/>
      </c>
      <c r="C15" s="69" t="n"/>
      <c r="D15" s="70" t="n"/>
      <c r="E15" s="70" t="n"/>
      <c r="F15" s="71" t="n"/>
      <c r="G15" s="72" t="n"/>
    </row>
    <row r="16" ht="26" customHeight="1">
      <c r="A16" s="67" t="n"/>
      <c r="B16" s="68">
        <f>IF(A16="","",IFERROR(INDEX(tb_pcm_ativos[descricao_ativo],MATCH(A16,tb_pcm_ativos[tag],0)),"fora do cadastro"))</f>
        <v/>
      </c>
      <c r="C16" s="69" t="n"/>
      <c r="D16" s="70" t="n"/>
      <c r="E16" s="70" t="n"/>
      <c r="F16" s="71" t="n"/>
      <c r="G16" s="72" t="n"/>
    </row>
    <row r="17" ht="26" customHeight="1">
      <c r="A17" s="67" t="n"/>
      <c r="B17" s="68">
        <f>IF(A17="","",IFERROR(INDEX(tb_pcm_ativos[descricao_ativo],MATCH(A17,tb_pcm_ativos[tag],0)),"fora do cadastro"))</f>
        <v/>
      </c>
      <c r="C17" s="69" t="n"/>
      <c r="D17" s="70" t="n"/>
      <c r="E17" s="70" t="n"/>
      <c r="F17" s="71" t="n"/>
      <c r="G17" s="72" t="n"/>
    </row>
    <row r="18" ht="8" customHeight="1">
      <c r="A18" s="62" t="n"/>
      <c r="C18" s="62" t="n"/>
      <c r="D18" s="62" t="n"/>
      <c r="E18" s="62" t="n"/>
      <c r="F18" s="62" t="n"/>
      <c r="G18" s="62" t="n"/>
    </row>
    <row r="19" ht="22" customHeight="1">
      <c r="A19" s="63" t="inlineStr">
        <is>
          <r>
            <rPr>
              <rFont val="Arial"/>
              <b val="1"/>
              <color rgb="00FFFFFF"/>
              <sz val="10"/>
            </rPr>
            <t>Pendências para o próximo turno</t>
          </r>
          <r>
            <rPr>
              <rFont val="Arial"/>
              <color rgb="00D3DEEC"/>
              <sz val="8"/>
            </rPr>
            <t/>
          </r>
        </is>
      </c>
      <c r="B19" s="49" t="n"/>
      <c r="C19" s="49" t="n"/>
      <c r="D19" s="49" t="n"/>
      <c r="E19" s="49" t="n"/>
      <c r="F19" s="49" t="n"/>
      <c r="G19" s="52" t="n"/>
    </row>
    <row r="20" ht="26" customHeight="1">
      <c r="A20" s="64" t="inlineStr">
        <is>
          <t>Nº da OS</t>
        </is>
      </c>
      <c r="C20" s="73" t="inlineStr">
        <is>
          <t>Pendência</t>
        </is>
      </c>
      <c r="E20" s="65" t="inlineStr">
        <is>
          <t>Responsável</t>
        </is>
      </c>
      <c r="F20" s="65" t="inlineStr">
        <is>
          <t>Prazo</t>
        </is>
      </c>
      <c r="G20" s="66" t="inlineStr">
        <is>
          <t>Situação</t>
        </is>
      </c>
    </row>
    <row r="21" ht="26" customHeight="1">
      <c r="A21" s="67" t="n"/>
      <c r="B21" s="74" t="n"/>
      <c r="C21" s="75" t="n"/>
      <c r="D21" s="74" t="n"/>
      <c r="E21" s="69" t="n"/>
      <c r="F21" s="76" t="n"/>
      <c r="G21" s="77" t="n"/>
    </row>
    <row r="22" ht="26" customHeight="1">
      <c r="A22" s="67" t="n"/>
      <c r="B22" s="74" t="n"/>
      <c r="C22" s="75" t="n"/>
      <c r="D22" s="74" t="n"/>
      <c r="E22" s="69" t="n"/>
      <c r="F22" s="76" t="n"/>
      <c r="G22" s="77" t="n"/>
    </row>
    <row r="23" ht="26" customHeight="1">
      <c r="A23" s="67" t="n"/>
      <c r="B23" s="74" t="n"/>
      <c r="C23" s="75" t="n"/>
      <c r="D23" s="74" t="n"/>
      <c r="E23" s="69" t="n"/>
      <c r="F23" s="76" t="n"/>
      <c r="G23" s="77" t="n"/>
    </row>
    <row r="24" ht="26" customHeight="1">
      <c r="A24" s="67" t="n"/>
      <c r="B24" s="74" t="n"/>
      <c r="C24" s="75" t="n"/>
      <c r="D24" s="74" t="n"/>
      <c r="E24" s="69" t="n"/>
      <c r="F24" s="76" t="n"/>
      <c r="G24" s="77" t="n"/>
    </row>
    <row r="25" ht="8" customHeight="1">
      <c r="A25" s="62" t="n"/>
      <c r="C25" s="62" t="n"/>
      <c r="D25" s="62" t="n"/>
      <c r="E25" s="62" t="n"/>
      <c r="F25" s="62" t="n"/>
      <c r="G25" s="62" t="n"/>
    </row>
    <row r="26" ht="22" customHeight="1">
      <c r="A26" s="63" t="inlineStr">
        <is>
          <r>
            <rPr>
              <rFont val="Arial"/>
              <b val="1"/>
              <color rgb="00FFFFFF"/>
              <sz val="10"/>
            </rPr>
            <t>Equipe e material</t>
          </r>
          <r>
            <rPr>
              <rFont val="Arial"/>
              <color rgb="00D3DEEC"/>
              <sz val="8"/>
            </rPr>
            <t/>
          </r>
        </is>
      </c>
      <c r="B26" s="49" t="n"/>
      <c r="C26" s="49" t="n"/>
      <c r="D26" s="49" t="n"/>
      <c r="E26" s="49" t="n"/>
      <c r="F26" s="49" t="n"/>
      <c r="G26" s="52" t="n"/>
    </row>
    <row r="27" ht="13" customHeight="1">
      <c r="A27" s="78" t="inlineStr">
        <is>
          <t>Equipe prevista</t>
        </is>
      </c>
      <c r="C27" s="79" t="inlineStr">
        <is>
          <t>Presentes</t>
        </is>
      </c>
      <c r="D27" s="79" t="inlineStr">
        <is>
          <t>Faltam</t>
        </is>
      </c>
      <c r="E27" s="60" t="inlineStr">
        <is>
          <t>Peças ou material em falta</t>
        </is>
      </c>
      <c r="G27" s="61" t="n"/>
    </row>
    <row r="28" ht="24" customHeight="1">
      <c r="A28" s="80" t="n"/>
      <c r="B28" s="55" t="n"/>
      <c r="C28" s="80" t="n"/>
      <c r="D28" s="81">
        <f>IF(AND(A28&lt;&gt;"",C28&lt;&gt;""),A28-C28,"")</f>
        <v/>
      </c>
      <c r="E28" s="53" t="n"/>
      <c r="F28" s="54" t="n"/>
      <c r="G28" s="55" t="n"/>
    </row>
    <row r="29" ht="8" customHeight="1">
      <c r="A29" s="62" t="n"/>
      <c r="C29" s="62" t="n"/>
      <c r="D29" s="62" t="n"/>
      <c r="E29" s="62" t="n"/>
      <c r="F29" s="62" t="n"/>
      <c r="G29" s="62" t="n"/>
    </row>
    <row r="30" ht="13" customHeight="1">
      <c r="A30" s="48" t="inlineStr">
        <is>
          <t>Assinatura de quem sai</t>
        </is>
      </c>
      <c r="B30" s="49" t="n"/>
      <c r="C30" s="49" t="n"/>
      <c r="D30" s="49" t="n"/>
      <c r="E30" s="51" t="inlineStr">
        <is>
          <t>Assinatura de quem entra</t>
        </is>
      </c>
      <c r="F30" s="49" t="n"/>
      <c r="G30" s="52" t="n"/>
    </row>
    <row r="31" ht="34" customHeight="1">
      <c r="A31" s="53" t="n"/>
      <c r="B31" s="54" t="n"/>
      <c r="C31" s="54" t="n"/>
      <c r="D31" s="55" t="n"/>
      <c r="E31" s="53" t="n"/>
      <c r="F31" s="54" t="n"/>
      <c r="G31" s="55" t="n"/>
    </row>
    <row r="32">
      <c r="A32" s="62" t="n"/>
      <c r="C32" s="62" t="n"/>
      <c r="D32" s="62" t="n"/>
      <c r="E32" s="62" t="n"/>
      <c r="F32" s="62" t="n"/>
      <c r="G32" s="62" t="n"/>
    </row>
    <row r="33">
      <c r="A33" s="62" t="n"/>
      <c r="C33" s="62" t="n"/>
      <c r="D33" s="62" t="n"/>
      <c r="E33" s="62" t="n"/>
      <c r="F33" s="62" t="n"/>
      <c r="G33" s="62" t="n"/>
    </row>
    <row r="34">
      <c r="A34" s="62" t="n"/>
      <c r="C34" s="62" t="n"/>
      <c r="D34" s="62" t="n"/>
      <c r="E34" s="62" t="n"/>
      <c r="F34" s="62" t="n"/>
      <c r="G34" s="62" t="n"/>
    </row>
    <row r="35">
      <c r="A35" s="62" t="n"/>
      <c r="C35" s="62" t="n"/>
      <c r="D35" s="62" t="n"/>
      <c r="E35" s="62" t="n"/>
      <c r="F35" s="62" t="n"/>
      <c r="G35" s="62" t="n"/>
    </row>
    <row r="36">
      <c r="A36" s="62" t="n"/>
      <c r="C36" s="62" t="n"/>
      <c r="D36" s="62" t="n"/>
      <c r="E36" s="62" t="n"/>
      <c r="F36" s="62" t="n"/>
      <c r="G36" s="62" t="n"/>
    </row>
    <row r="37">
      <c r="A37" s="62" t="n"/>
      <c r="C37" s="62" t="n"/>
      <c r="D37" s="62" t="n"/>
      <c r="E37" s="62" t="n"/>
      <c r="F37" s="62" t="n"/>
      <c r="G37" s="62" t="n"/>
    </row>
    <row r="38">
      <c r="A38" s="62" t="n"/>
      <c r="C38" s="62" t="n"/>
      <c r="D38" s="62" t="n"/>
      <c r="E38" s="62" t="n"/>
      <c r="F38" s="62" t="n"/>
      <c r="G38" s="62" t="n"/>
    </row>
    <row r="39">
      <c r="A39" s="62" t="n"/>
      <c r="C39" s="62" t="n"/>
      <c r="D39" s="62" t="n"/>
      <c r="E39" s="62" t="n"/>
      <c r="F39" s="62" t="n"/>
      <c r="G39" s="62" t="n"/>
    </row>
    <row r="40">
      <c r="A40" s="62" t="n"/>
      <c r="C40" s="62" t="n"/>
      <c r="D40" s="62" t="n"/>
      <c r="E40" s="62" t="n"/>
      <c r="F40" s="62" t="n"/>
      <c r="G40" s="62" t="n"/>
    </row>
  </sheetData>
  <mergeCells count="55">
    <mergeCell ref="F4:G4"/>
    <mergeCell ref="E10:G10"/>
    <mergeCell ref="E28:G28"/>
    <mergeCell ref="A24:B24"/>
    <mergeCell ref="C24:D24"/>
    <mergeCell ref="D1:E1"/>
    <mergeCell ref="A8:G8"/>
    <mergeCell ref="A11:B11"/>
    <mergeCell ref="E31:G31"/>
    <mergeCell ref="A36:B36"/>
    <mergeCell ref="E9:G9"/>
    <mergeCell ref="A3:C3"/>
    <mergeCell ref="F6:G6"/>
    <mergeCell ref="E30:G30"/>
    <mergeCell ref="A10:D10"/>
    <mergeCell ref="A19:G19"/>
    <mergeCell ref="F3:G3"/>
    <mergeCell ref="D6:E6"/>
    <mergeCell ref="C20:D20"/>
    <mergeCell ref="A9:D9"/>
    <mergeCell ref="A31:D31"/>
    <mergeCell ref="D2:E2"/>
    <mergeCell ref="A5:C5"/>
    <mergeCell ref="E27:G27"/>
    <mergeCell ref="A1:C2"/>
    <mergeCell ref="A7:B7"/>
    <mergeCell ref="A25:B25"/>
    <mergeCell ref="F5:G5"/>
    <mergeCell ref="A30:D30"/>
    <mergeCell ref="A37:B37"/>
    <mergeCell ref="C22:D22"/>
    <mergeCell ref="A18:B18"/>
    <mergeCell ref="A4:C4"/>
    <mergeCell ref="A27:B27"/>
    <mergeCell ref="F2:G2"/>
    <mergeCell ref="A21:B21"/>
    <mergeCell ref="C21:D21"/>
    <mergeCell ref="A33:B33"/>
    <mergeCell ref="A32:B32"/>
    <mergeCell ref="A23:B23"/>
    <mergeCell ref="C23:D23"/>
    <mergeCell ref="A22:B22"/>
    <mergeCell ref="A35:B35"/>
    <mergeCell ref="A20:B20"/>
    <mergeCell ref="A38:B38"/>
    <mergeCell ref="A29:B29"/>
    <mergeCell ref="D5:E5"/>
    <mergeCell ref="A12:G12"/>
    <mergeCell ref="A6:C6"/>
    <mergeCell ref="A26:G26"/>
    <mergeCell ref="A28:B28"/>
    <mergeCell ref="A40:B40"/>
    <mergeCell ref="F1:G1"/>
    <mergeCell ref="A39:B39"/>
    <mergeCell ref="A34:B34"/>
  </mergeCells>
  <conditionalFormatting sqref="E14:E17">
    <cfRule type="expression" priority="1" dxfId="0" stopIfTrue="1">
      <formula>E14="Funcionando"</formula>
    </cfRule>
    <cfRule type="expression" priority="2" dxfId="1" stopIfTrue="1">
      <formula>E14="Com restrição"</formula>
    </cfRule>
    <cfRule type="expression" priority="3" dxfId="2" stopIfTrue="1">
      <formula>E14="Parada"</formula>
    </cfRule>
  </conditionalFormatting>
  <conditionalFormatting sqref="G21:G24">
    <cfRule type="expression" priority="4" dxfId="1" stopIfTrue="1">
      <formula>G21="Aberta"</formula>
    </cfRule>
    <cfRule type="expression" priority="5" dxfId="3" stopIfTrue="1">
      <formula>G21="Em andamento"</formula>
    </cfRule>
    <cfRule type="expression" priority="6" dxfId="0" stopIfTrue="1">
      <formula>G21="Resolvida"</formula>
    </cfRule>
    <cfRule type="expression" priority="7" dxfId="0" stopIfTrue="1">
      <formula>G21="Concluída"</formula>
    </cfRule>
  </conditionalFormatting>
  <conditionalFormatting sqref="F21:F24">
    <cfRule type="expression" priority="8" dxfId="4" stopIfTrue="1">
      <formula>AND(ISNUMBER(F21),F21&lt;TODAY(),G21&lt;&gt;"Concluída")</formula>
    </cfRule>
  </conditionalFormatting>
  <conditionalFormatting sqref="D28">
    <cfRule type="expression" priority="9" dxfId="2" stopIfTrue="1">
      <formula>AND(ISNUMBER(D28),D28&gt;0)</formula>
    </cfRule>
  </conditionalFormatting>
  <dataValidations count="8">
    <dataValidation sqref="D4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A6" showDropDown="0" showInputMessage="0" showErrorMessage="1" allowBlank="1" errorTitle="Valor fora da lista" error="Escolha um item da lista." type="list" errorStyle="stop">
      <formula1>L_PESSOAS</formula1>
    </dataValidation>
    <dataValidation sqref="D6" showDropDown="0" showInputMessage="0" showErrorMessage="1" allowBlank="1" errorTitle="Valor fora da lista" error="Escolha um item da lista." type="list" errorStyle="stop">
      <formula1>L_PESSOAS</formula1>
    </dataValidation>
    <dataValidation sqref="A14:A17" showDropDown="0" showInputMessage="0" showErrorMessage="1" allowBlank="1" errorTitle="Valor fora da lista" error="Escolha um item da lista." type="list" errorStyle="stop">
      <formula1>L_TAGS</formula1>
    </dataValidation>
    <dataValidation sqref="E14:E17" showDropDown="0" showInputMessage="0" showErrorMessage="1" allowBlank="1" errorTitle="Valor fora da lista" error="Escolha um item da lista." type="list" errorStyle="stop">
      <formula1>"Funcionando,Com restrição,Parada"</formula1>
    </dataValidation>
    <dataValidation sqref="E21:E24" showDropDown="0" showInputMessage="0" showErrorMessage="1" allowBlank="1" errorTitle="Valor fora da lista" error="Escolha um item da lista." type="list" errorStyle="stop">
      <formula1>L_PESSOAS</formula1>
    </dataValidation>
    <dataValidation sqref="F21:F24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G21:G24" showDropDown="0" showInputMessage="0" showErrorMessage="1" allowBlank="1" errorTitle="Valor fora da lista" error="Escolha um item da lista." type="list" errorStyle="stop">
      <formula1>"Aberta,Em andamento,Concluída"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&amp;K4A5668PCM-MAN-006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J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0" customWidth="1" min="4" max="4"/>
    <col width="3" customWidth="1" min="5" max="5"/>
    <col width="30" customWidth="1" min="6" max="6"/>
    <col width="3" customWidth="1" min="7" max="7"/>
    <col width="30" customWidth="1" min="8" max="8"/>
    <col width="3" customWidth="1" min="9" max="9"/>
    <col width="24" customWidth="1" min="10" max="10"/>
  </cols>
  <sheetData>
    <row r="1" ht="30.75" customHeight="1">
      <c r="A1" s="82" t="n"/>
      <c r="B1" s="83" t="n"/>
      <c r="C1" s="84" t="inlineStr">
        <is>
          <t>Cadastros</t>
        </is>
      </c>
      <c r="D1" s="85" t="n"/>
      <c r="E1" s="85" t="n"/>
      <c r="F1" s="85" t="n"/>
      <c r="G1" s="83" t="n"/>
      <c r="H1" s="86">
        <f>"Rev. "&amp;'Leia-me'!$D$15&amp;"   ·   "&amp;'Leia-me'!$D$16</f>
        <v/>
      </c>
      <c r="I1" s="85" t="n"/>
      <c r="J1" s="83" t="n"/>
    </row>
    <row r="2" ht="28" customHeight="1">
      <c r="A2" s="87" t="n"/>
      <c r="B2" s="88" t="n"/>
      <c r="C2" s="89" t="inlineStr">
        <is>
          <t>Objetivo: Cadastre aqui os itens usados nas listas (▼) das outras abas.</t>
        </is>
      </c>
      <c r="D2" s="90" t="n"/>
      <c r="E2" s="90" t="n"/>
      <c r="F2" s="90" t="n"/>
      <c r="G2" s="88" t="n"/>
      <c r="H2" s="89">
        <f>"Elaborado: "&amp;'Leia-me'!$D$13&amp;"   ·   Aprovado: "&amp;'Leia-me'!$D$14</f>
        <v/>
      </c>
      <c r="I2" s="90" t="n"/>
      <c r="J2" s="88" t="n"/>
    </row>
    <row r="3" ht="32" customHeight="1">
      <c r="A3" s="91" t="inlineStr">
        <is>
          <t>TAG</t>
        </is>
      </c>
      <c r="B3" s="92" t="inlineStr">
        <is>
          <t>Equipamento</t>
        </is>
      </c>
      <c r="C3" s="92" t="inlineStr">
        <is>
          <t>Família de equipamento ▼</t>
        </is>
      </c>
      <c r="D3" s="93" t="inlineStr">
        <is>
          <t>Setor ▼</t>
        </is>
      </c>
      <c r="F3" s="94" t="inlineStr">
        <is>
          <t>Responsável</t>
        </is>
      </c>
      <c r="H3" s="94" t="inlineStr">
        <is>
          <t>Família de equipamento</t>
        </is>
      </c>
      <c r="J3" s="94" t="inlineStr">
        <is>
          <t>Setor</t>
        </is>
      </c>
    </row>
    <row r="4" hidden="1">
      <c r="A4" s="95" t="inlineStr">
        <is>
          <t>tag</t>
        </is>
      </c>
      <c r="B4" s="95" t="inlineStr">
        <is>
          <t>descricao_ativo</t>
        </is>
      </c>
      <c r="C4" s="95" t="inlineStr">
        <is>
          <t>familia</t>
        </is>
      </c>
      <c r="D4" s="95" t="inlineStr">
        <is>
          <t>setor</t>
        </is>
      </c>
      <c r="F4" s="95" t="inlineStr">
        <is>
          <t>nome_pessoa</t>
        </is>
      </c>
      <c r="H4" s="95" t="inlineStr">
        <is>
          <t>nome_familia</t>
        </is>
      </c>
      <c r="J4" s="95" t="inlineStr">
        <is>
          <t>nome_setor</t>
        </is>
      </c>
    </row>
    <row r="5" ht="22" customHeight="1">
      <c r="A5" s="96" t="n"/>
      <c r="B5" s="97" t="n"/>
      <c r="C5" s="97" t="n"/>
      <c r="D5" s="98" t="n"/>
      <c r="F5" s="99" t="n"/>
      <c r="H5" s="99" t="n"/>
      <c r="J5" s="99" t="n"/>
    </row>
    <row r="6" ht="22" customHeight="1">
      <c r="A6" s="96" t="n"/>
      <c r="B6" s="97" t="n"/>
      <c r="C6" s="97" t="n"/>
      <c r="D6" s="98" t="n"/>
      <c r="F6" s="99" t="n"/>
      <c r="H6" s="99" t="n"/>
      <c r="J6" s="99" t="n"/>
    </row>
    <row r="7" ht="22" customHeight="1">
      <c r="A7" s="96" t="n"/>
      <c r="B7" s="97" t="n"/>
      <c r="C7" s="97" t="n"/>
      <c r="D7" s="98" t="n"/>
      <c r="F7" s="99" t="n"/>
      <c r="H7" s="99" t="n"/>
      <c r="J7" s="99" t="n"/>
    </row>
    <row r="8" ht="22" customHeight="1">
      <c r="A8" s="96" t="n"/>
      <c r="B8" s="97" t="n"/>
      <c r="C8" s="97" t="n"/>
      <c r="D8" s="98" t="n"/>
      <c r="F8" s="99" t="n"/>
      <c r="H8" s="99" t="n"/>
      <c r="J8" s="99" t="n"/>
    </row>
    <row r="9" ht="22" customHeight="1">
      <c r="A9" s="96" t="n"/>
      <c r="B9" s="97" t="n"/>
      <c r="C9" s="97" t="n"/>
      <c r="D9" s="98" t="n"/>
      <c r="F9" s="99" t="n"/>
      <c r="H9" s="99" t="n"/>
      <c r="J9" s="99" t="n"/>
    </row>
    <row r="10" ht="22" customHeight="1">
      <c r="A10" s="96" t="n"/>
      <c r="B10" s="97" t="n"/>
      <c r="C10" s="97" t="n"/>
      <c r="D10" s="98" t="n"/>
      <c r="F10" s="99" t="n"/>
      <c r="H10" s="99" t="n"/>
      <c r="J10" s="99" t="n"/>
    </row>
    <row r="11" ht="22" customHeight="1">
      <c r="A11" s="96" t="n"/>
      <c r="B11" s="97" t="n"/>
      <c r="C11" s="97" t="n"/>
      <c r="D11" s="98" t="n"/>
      <c r="F11" s="99" t="n"/>
      <c r="H11" s="99" t="n"/>
      <c r="J11" s="99" t="n"/>
    </row>
    <row r="12" ht="22" customHeight="1">
      <c r="A12" s="96" t="n"/>
      <c r="B12" s="97" t="n"/>
      <c r="C12" s="97" t="n"/>
      <c r="D12" s="98" t="n"/>
      <c r="F12" s="99" t="n"/>
      <c r="H12" s="99" t="n"/>
      <c r="J12" s="99" t="n"/>
    </row>
    <row r="13" ht="22" customHeight="1">
      <c r="A13" s="96" t="n"/>
      <c r="B13" s="97" t="n"/>
      <c r="C13" s="97" t="n"/>
      <c r="D13" s="98" t="n"/>
      <c r="F13" s="99" t="n"/>
      <c r="H13" s="99" t="n"/>
      <c r="J13" s="99" t="n"/>
    </row>
    <row r="14" ht="22" customHeight="1">
      <c r="A14" s="96" t="n"/>
      <c r="B14" s="97" t="n"/>
      <c r="C14" s="97" t="n"/>
      <c r="D14" s="98" t="n"/>
      <c r="F14" s="99" t="n"/>
      <c r="H14" s="99" t="n"/>
      <c r="J14" s="99" t="n"/>
    </row>
    <row r="15" ht="22" customHeight="1">
      <c r="A15" s="96" t="n"/>
      <c r="B15" s="97" t="n"/>
      <c r="C15" s="97" t="n"/>
      <c r="D15" s="98" t="n"/>
      <c r="F15" s="99" t="n"/>
      <c r="H15" s="99" t="n"/>
      <c r="J15" s="99" t="n"/>
    </row>
    <row r="16" ht="22" customHeight="1">
      <c r="A16" s="96" t="n"/>
      <c r="B16" s="97" t="n"/>
      <c r="C16" s="97" t="n"/>
      <c r="D16" s="98" t="n"/>
      <c r="F16" s="99" t="n"/>
      <c r="H16" s="99" t="n"/>
      <c r="J16" s="99" t="n"/>
    </row>
    <row r="17" ht="22" customHeight="1">
      <c r="A17" s="96" t="n"/>
      <c r="B17" s="97" t="n"/>
      <c r="C17" s="97" t="n"/>
      <c r="D17" s="98" t="n"/>
      <c r="F17" s="99" t="n"/>
      <c r="H17" s="99" t="n"/>
      <c r="J17" s="99" t="n"/>
    </row>
    <row r="18" ht="22" customHeight="1">
      <c r="A18" s="96" t="n"/>
      <c r="B18" s="97" t="n"/>
      <c r="C18" s="97" t="n"/>
      <c r="D18" s="98" t="n"/>
      <c r="F18" s="99" t="n"/>
      <c r="H18" s="99" t="n"/>
      <c r="J18" s="99" t="n"/>
    </row>
    <row r="19" ht="22" customHeight="1">
      <c r="A19" s="96" t="n"/>
      <c r="B19" s="97" t="n"/>
      <c r="C19" s="97" t="n"/>
      <c r="D19" s="98" t="n"/>
      <c r="F19" s="99" t="n"/>
      <c r="H19" s="99" t="n"/>
      <c r="J19" s="99" t="n"/>
    </row>
    <row r="20" ht="22" customHeight="1">
      <c r="A20" s="96" t="n"/>
      <c r="B20" s="97" t="n"/>
      <c r="C20" s="97" t="n"/>
      <c r="D20" s="98" t="n"/>
      <c r="F20" s="99" t="n"/>
      <c r="H20" s="99" t="n"/>
      <c r="J20" s="99" t="n"/>
    </row>
    <row r="21" ht="22" customHeight="1">
      <c r="A21" s="96" t="n"/>
      <c r="B21" s="97" t="n"/>
      <c r="C21" s="97" t="n"/>
      <c r="D21" s="98" t="n"/>
      <c r="F21" s="99" t="n"/>
      <c r="H21" s="99" t="n"/>
      <c r="J21" s="99" t="n"/>
    </row>
    <row r="22" ht="22" customHeight="1">
      <c r="A22" s="96" t="n"/>
      <c r="B22" s="97" t="n"/>
      <c r="C22" s="97" t="n"/>
      <c r="D22" s="98" t="n"/>
      <c r="F22" s="99" t="n"/>
      <c r="H22" s="99" t="n"/>
      <c r="J22" s="99" t="n"/>
    </row>
    <row r="23" ht="22" customHeight="1">
      <c r="A23" s="96" t="n"/>
      <c r="B23" s="97" t="n"/>
      <c r="C23" s="97" t="n"/>
      <c r="D23" s="98" t="n"/>
      <c r="F23" s="99" t="n"/>
      <c r="H23" s="99" t="n"/>
      <c r="J23" s="99" t="n"/>
    </row>
    <row r="24" ht="22" customHeight="1">
      <c r="A24" s="96" t="n"/>
      <c r="B24" s="97" t="n"/>
      <c r="C24" s="97" t="n"/>
      <c r="D24" s="98" t="n"/>
      <c r="F24" s="99" t="n"/>
      <c r="H24" s="99" t="n"/>
      <c r="J24" s="99" t="n"/>
    </row>
    <row r="25" ht="22" customHeight="1">
      <c r="A25" s="96" t="n"/>
      <c r="B25" s="97" t="n"/>
      <c r="C25" s="97" t="n"/>
      <c r="D25" s="98" t="n"/>
      <c r="F25" s="99" t="n"/>
      <c r="H25" s="99" t="n"/>
      <c r="J25" s="99" t="n"/>
    </row>
    <row r="26" ht="22" customHeight="1">
      <c r="A26" s="96" t="n"/>
      <c r="B26" s="97" t="n"/>
      <c r="C26" s="97" t="n"/>
      <c r="D26" s="98" t="n"/>
      <c r="F26" s="99" t="n"/>
      <c r="H26" s="99" t="n"/>
      <c r="J26" s="99" t="n"/>
    </row>
    <row r="27" ht="22" customHeight="1">
      <c r="A27" s="96" t="n"/>
      <c r="B27" s="97" t="n"/>
      <c r="C27" s="97" t="n"/>
      <c r="D27" s="98" t="n"/>
      <c r="F27" s="99" t="n"/>
      <c r="H27" s="99" t="n"/>
      <c r="J27" s="99" t="n"/>
    </row>
    <row r="28" ht="22" customHeight="1">
      <c r="A28" s="96" t="n"/>
      <c r="B28" s="97" t="n"/>
      <c r="C28" s="97" t="n"/>
      <c r="D28" s="98" t="n"/>
      <c r="F28" s="99" t="n"/>
      <c r="H28" s="99" t="n"/>
      <c r="J28" s="99" t="n"/>
    </row>
    <row r="29" ht="22" customHeight="1">
      <c r="A29" s="100" t="n"/>
      <c r="B29" s="101" t="n"/>
      <c r="C29" s="101" t="n"/>
      <c r="D29" s="102" t="n"/>
      <c r="F29" s="103" t="n"/>
      <c r="H29" s="103" t="n"/>
      <c r="J29" s="103" t="n"/>
    </row>
    <row r="30" ht="20" customHeight="1">
      <c r="A30" s="104" t="inlineStr">
        <is>
          <t xml:space="preserve"> </t>
        </is>
      </c>
    </row>
  </sheetData>
  <mergeCells count="6">
    <mergeCell ref="H1:J1"/>
    <mergeCell ref="C2:G2"/>
    <mergeCell ref="C1:G1"/>
    <mergeCell ref="A30:J30"/>
    <mergeCell ref="H2:J2"/>
    <mergeCell ref="A1:B2"/>
  </mergeCells>
  <dataValidations count="2">
    <dataValidation sqref="C5:C29" showDropDown="0" showInputMessage="0" showErrorMessage="1" allowBlank="1" errorTitle="Valor fora da lista" error="Escolha um item da lista." type="list" errorStyle="stop">
      <formula1>L_FAMILIAS</formula1>
    </dataValidation>
    <dataValidation sqref="D5:D29" showDropDown="0" showInputMessage="0" showErrorMessage="1" allowBlank="1" errorTitle="Valor fora da lista" error="Escolha um item da lista." type="list" errorStyle="stop">
      <formula1>L_SETORES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&amp;K4A5668PCM-MAN-006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0" customWidth="1" min="3" max="3"/>
    <col width="30" customWidth="1" min="4" max="4"/>
    <col width="30" customWidth="1" min="5" max="5"/>
  </cols>
  <sheetData>
    <row r="1" ht="30.75" customHeight="1">
      <c r="A1" s="82" t="n"/>
      <c r="B1" s="83" t="n"/>
      <c r="C1" s="42" t="inlineStr">
        <is>
          <t>Revisões</t>
        </is>
      </c>
      <c r="D1" s="86">
        <f>"Rev. "&amp;'Leia-me'!$D$15&amp;"   ·   "&amp;'Leia-me'!$D$16</f>
        <v/>
      </c>
      <c r="E1" s="83" t="n"/>
    </row>
    <row r="2" ht="28" customHeight="1">
      <c r="A2" s="87" t="n"/>
      <c r="B2" s="88" t="n"/>
      <c r="C2" s="47" t="inlineStr">
        <is>
          <t>Objetivo: Registre cada alteração do modelo; a última linha alimenta Rev. e data do cabeçalho.</t>
        </is>
      </c>
      <c r="D2" s="89">
        <f>"Elaborado: "&amp;'Leia-me'!$D$13&amp;"   ·   Aprovado: "&amp;'Leia-me'!$D$14</f>
        <v/>
      </c>
      <c r="E2" s="88" t="n"/>
    </row>
    <row r="3" ht="26" customHeight="1">
      <c r="A3" s="91" t="inlineStr">
        <is>
          <t>Rev</t>
        </is>
      </c>
      <c r="B3" s="92" t="inlineStr">
        <is>
          <t>Data</t>
        </is>
      </c>
      <c r="C3" s="92" t="inlineStr">
        <is>
          <t>Descrição da alteração</t>
        </is>
      </c>
      <c r="D3" s="92" t="inlineStr">
        <is>
          <t>Elaborado por</t>
        </is>
      </c>
      <c r="E3" s="93" t="inlineStr">
        <is>
          <t>Aprovado por</t>
        </is>
      </c>
    </row>
    <row r="4" hidden="1">
      <c r="A4" s="95" t="inlineStr">
        <is>
          <t>revisao</t>
        </is>
      </c>
      <c r="B4" s="95" t="inlineStr">
        <is>
          <t>data_revisao</t>
        </is>
      </c>
      <c r="C4" s="95" t="inlineStr">
        <is>
          <t>descricao_alteracao</t>
        </is>
      </c>
      <c r="D4" s="95" t="inlineStr">
        <is>
          <t>elaborado_por</t>
        </is>
      </c>
      <c r="E4" s="95" t="inlineStr">
        <is>
          <t>aprovado_por</t>
        </is>
      </c>
    </row>
    <row r="5" ht="22" customHeight="1">
      <c r="A5" s="105" t="inlineStr">
        <is>
          <t>00</t>
        </is>
      </c>
      <c r="B5" s="106" t="n">
        <v>46325</v>
      </c>
      <c r="C5" s="107" t="inlineStr">
        <is>
          <t>Emissão inicial</t>
        </is>
      </c>
      <c r="D5" s="97" t="n"/>
      <c r="E5" s="98" t="n"/>
    </row>
    <row r="6" ht="22" customHeight="1">
      <c r="A6" s="105" t="n"/>
      <c r="B6" s="106" t="n"/>
      <c r="C6" s="107" t="n"/>
      <c r="D6" s="97" t="n"/>
      <c r="E6" s="98" t="n"/>
    </row>
    <row r="7" ht="22" customHeight="1">
      <c r="A7" s="105" t="n"/>
      <c r="B7" s="106" t="n"/>
      <c r="C7" s="107" t="n"/>
      <c r="D7" s="97" t="n"/>
      <c r="E7" s="98" t="n"/>
    </row>
    <row r="8" ht="22" customHeight="1">
      <c r="A8" s="105" t="n"/>
      <c r="B8" s="106" t="n"/>
      <c r="C8" s="107" t="n"/>
      <c r="D8" s="97" t="n"/>
      <c r="E8" s="98" t="n"/>
    </row>
    <row r="9" ht="22" customHeight="1">
      <c r="A9" s="105" t="n"/>
      <c r="B9" s="106" t="n"/>
      <c r="C9" s="107" t="n"/>
      <c r="D9" s="97" t="n"/>
      <c r="E9" s="98" t="n"/>
    </row>
    <row r="10" ht="22" customHeight="1">
      <c r="A10" s="105" t="n"/>
      <c r="B10" s="106" t="n"/>
      <c r="C10" s="107" t="n"/>
      <c r="D10" s="97" t="n"/>
      <c r="E10" s="98" t="n"/>
    </row>
    <row r="11" ht="22" customHeight="1">
      <c r="A11" s="105" t="n"/>
      <c r="B11" s="106" t="n"/>
      <c r="C11" s="107" t="n"/>
      <c r="D11" s="97" t="n"/>
      <c r="E11" s="98" t="n"/>
    </row>
    <row r="12" ht="22" customHeight="1">
      <c r="A12" s="105" t="n"/>
      <c r="B12" s="106" t="n"/>
      <c r="C12" s="107" t="n"/>
      <c r="D12" s="97" t="n"/>
      <c r="E12" s="98" t="n"/>
    </row>
    <row r="13" ht="22" customHeight="1">
      <c r="A13" s="105" t="n"/>
      <c r="B13" s="106" t="n"/>
      <c r="C13" s="107" t="n"/>
      <c r="D13" s="97" t="n"/>
      <c r="E13" s="98" t="n"/>
    </row>
    <row r="14" ht="22" customHeight="1">
      <c r="A14" s="105" t="n"/>
      <c r="B14" s="106" t="n"/>
      <c r="C14" s="107" t="n"/>
      <c r="D14" s="97" t="n"/>
      <c r="E14" s="98" t="n"/>
    </row>
    <row r="15" ht="22" customHeight="1">
      <c r="A15" s="105" t="n"/>
      <c r="B15" s="106" t="n"/>
      <c r="C15" s="107" t="n"/>
      <c r="D15" s="97" t="n"/>
      <c r="E15" s="98" t="n"/>
    </row>
    <row r="16" ht="22" customHeight="1">
      <c r="A16" s="105" t="n"/>
      <c r="B16" s="106" t="n"/>
      <c r="C16" s="107" t="n"/>
      <c r="D16" s="97" t="n"/>
      <c r="E16" s="98" t="n"/>
    </row>
    <row r="17" ht="22" customHeight="1">
      <c r="A17" s="105" t="n"/>
      <c r="B17" s="106" t="n"/>
      <c r="C17" s="107" t="n"/>
      <c r="D17" s="97" t="n"/>
      <c r="E17" s="98" t="n"/>
    </row>
    <row r="18" ht="22" customHeight="1">
      <c r="A18" s="105" t="n"/>
      <c r="B18" s="106" t="n"/>
      <c r="C18" s="107" t="n"/>
      <c r="D18" s="97" t="n"/>
      <c r="E18" s="98" t="n"/>
    </row>
    <row r="19" ht="22" customHeight="1">
      <c r="A19" s="105" t="n"/>
      <c r="B19" s="106" t="n"/>
      <c r="C19" s="107" t="n"/>
      <c r="D19" s="97" t="n"/>
      <c r="E19" s="98" t="n"/>
    </row>
    <row r="20" ht="22" customHeight="1">
      <c r="A20" s="105" t="n"/>
      <c r="B20" s="106" t="n"/>
      <c r="C20" s="107" t="n"/>
      <c r="D20" s="97" t="n"/>
      <c r="E20" s="98" t="n"/>
    </row>
    <row r="21" ht="22" customHeight="1">
      <c r="A21" s="105" t="n"/>
      <c r="B21" s="106" t="n"/>
      <c r="C21" s="107" t="n"/>
      <c r="D21" s="97" t="n"/>
      <c r="E21" s="98" t="n"/>
    </row>
    <row r="22" ht="22" customHeight="1">
      <c r="A22" s="105" t="n"/>
      <c r="B22" s="106" t="n"/>
      <c r="C22" s="107" t="n"/>
      <c r="D22" s="97" t="n"/>
      <c r="E22" s="98" t="n"/>
    </row>
    <row r="23" ht="22" customHeight="1">
      <c r="A23" s="105" t="n"/>
      <c r="B23" s="106" t="n"/>
      <c r="C23" s="107" t="n"/>
      <c r="D23" s="97" t="n"/>
      <c r="E23" s="98" t="n"/>
    </row>
    <row r="24" ht="22" customHeight="1">
      <c r="A24" s="105" t="n"/>
      <c r="B24" s="106" t="n"/>
      <c r="C24" s="107" t="n"/>
      <c r="D24" s="97" t="n"/>
      <c r="E24" s="98" t="n"/>
    </row>
    <row r="25" ht="22" customHeight="1">
      <c r="A25" s="105" t="n"/>
      <c r="B25" s="106" t="n"/>
      <c r="C25" s="107" t="n"/>
      <c r="D25" s="97" t="n"/>
      <c r="E25" s="98" t="n"/>
    </row>
    <row r="26" ht="22" customHeight="1">
      <c r="A26" s="105" t="n"/>
      <c r="B26" s="106" t="n"/>
      <c r="C26" s="107" t="n"/>
      <c r="D26" s="97" t="n"/>
      <c r="E26" s="98" t="n"/>
    </row>
    <row r="27" ht="22" customHeight="1">
      <c r="A27" s="105" t="n"/>
      <c r="B27" s="106" t="n"/>
      <c r="C27" s="107" t="n"/>
      <c r="D27" s="97" t="n"/>
      <c r="E27" s="98" t="n"/>
    </row>
    <row r="28" ht="22" customHeight="1">
      <c r="A28" s="105" t="n"/>
      <c r="B28" s="106" t="n"/>
      <c r="C28" s="107" t="n"/>
      <c r="D28" s="97" t="n"/>
      <c r="E28" s="98" t="n"/>
    </row>
    <row r="29" ht="22" customHeight="1">
      <c r="A29" s="108" t="n"/>
      <c r="B29" s="109" t="n"/>
      <c r="C29" s="110" t="n"/>
      <c r="D29" s="101" t="n"/>
      <c r="E29" s="102" t="n"/>
    </row>
    <row r="30" ht="20" customHeight="1">
      <c r="A30" s="104" t="inlineStr">
        <is>
          <t xml:space="preserve"> </t>
        </is>
      </c>
    </row>
  </sheetData>
  <mergeCells count="6">
    <mergeCell ref="A30:E30"/>
    <mergeCell ref="D2:E2"/>
    <mergeCell ref="D1:E1"/>
    <mergeCell ref="C1"/>
    <mergeCell ref="C2"/>
    <mergeCell ref="A1:B2"/>
  </mergeCells>
  <dataValidations count="1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&amp;K4A5668PCM-MAN-006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2026-10-31T02:28:46Z</dcterms:created>
  <dcterms:modified xmlns:dcterms="http://purl.org/dc/terms/" xmlns:xsi="http://www.w3.org/2001/XMLSchema-instance" xsi:type="dcterms:W3CDTF">2026-10-31T02:28:46Z</dcterms:modified>
</cp:coreProperties>
</file>