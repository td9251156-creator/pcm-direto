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Orçamento anual" sheetId="2" state="visible" r:id="rId2"/>
    <sheet xmlns:r="http://schemas.openxmlformats.org/officeDocument/2006/relationships" name="Lançamentos" sheetId="3" state="visible" r:id="rId3"/>
    <sheet xmlns:r="http://schemas.openxmlformats.org/officeDocument/2006/relationships" name="Cadastros" sheetId="4" state="visible" r:id="rId4"/>
    <sheet xmlns:r="http://schemas.openxmlformats.org/officeDocument/2006/relationships" name="Revisões" sheetId="5" state="visible" r:id="rId5"/>
  </sheets>
  <definedNames>
    <definedName name="L_TAGS">tb_pcm_ativos[tag]</definedName>
    <definedName name="L_SETORES">tb_pcm_setores[nome_setor]</definedName>
    <definedName name="L_CATEG">tb_pcm_categorias_custo[categoria_custo]</definedName>
    <definedName name="L_FAMILIAS">tb_pcm_familias[nome_familia]</definedName>
    <definedName name="_xlnm.Print_Area" localSheetId="0">'Leia-me'!$A$1:$G$32</definedName>
    <definedName name="_xlnm.Print_Area" localSheetId="1">'Orçamento anual'!$A$1:$P$38</definedName>
    <definedName name="_xlnm.Print_Titles" localSheetId="2">'Lançamentos'!$1:$3</definedName>
    <definedName name="_xlnm.Print_Area" localSheetId="2">'Lançamentos'!$A$1:$H$30</definedName>
    <definedName name="_xlnm.Print_Titles" localSheetId="3">'Cadastros'!$1:$3</definedName>
    <definedName name="_xlnm.Print_Area" localSheetId="3">'Cadastros'!$A$1:$H$30</definedName>
    <definedName name="_xlnm.Print_Titles" localSheetId="4">'Revisões'!$1:$3</definedName>
    <definedName name="_xlnm.Print_Area" localSheetId="4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#,##0;-#,##0;&quot;–&quot;"/>
    <numFmt numFmtId="166" formatCode="#,##0;[Red]-#,##0;&quot;–&quot;"/>
    <numFmt numFmtId="167" formatCode="dd/mm/yyyy"/>
    <numFmt numFmtId="168" formatCode="&quot;R$&quot; #,##0.00"/>
  </numFmts>
  <fonts count="26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b val="1"/>
      <color rgb="00FFFFFF"/>
      <sz val="8"/>
    </font>
    <font>
      <name val="Arial"/>
      <b val="1"/>
      <color rgb="000B2A5B"/>
      <sz val="9"/>
    </font>
    <font>
      <name val="Arial"/>
      <color rgb="000E1726"/>
      <sz val="8.5"/>
    </font>
    <font>
      <name val="Arial"/>
      <b val="1"/>
      <color rgb="000E1726"/>
      <sz val="9"/>
    </font>
    <font>
      <name val="Arial"/>
      <b val="1"/>
      <color rgb="000E1726"/>
      <sz val="12"/>
    </font>
    <font>
      <name val="Arial Black"/>
      <color rgb="000E1726"/>
      <sz val="20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FFFFFF"/>
      <sz val="9"/>
    </font>
    <font>
      <name val="Arial"/>
      <color rgb="008A94A6"/>
      <sz val="7"/>
    </font>
    <font>
      <name val="Arial"/>
      <color rgb="000E1726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  <font>
      <name val="Arial Black"/>
      <color rgb="00FFFFFF"/>
      <sz val="9"/>
    </font>
    <font>
      <name val="Arial"/>
      <color rgb="000E1726"/>
      <sz val="8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B2A5B"/>
      </patternFill>
    </fill>
    <fill>
      <patternFill patternType="solid">
        <fgColor rgb="00ECEFF3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  <fill>
      <patternFill patternType="solid">
        <fgColor rgb="004A5668"/>
      </patternFill>
    </fill>
  </fills>
  <borders count="62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left/>
      <right/>
      <top style="thin">
        <color rgb="00D3DEEC"/>
      </top>
      <bottom/>
      <diagonal/>
    </border>
    <border>
      <left/>
      <right/>
      <top/>
      <bottom style="thin">
        <color rgb="00D3DEEC"/>
      </bottom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right style="thin">
        <color rgb="00D3DEEC"/>
      </right>
      <top style="thin">
        <color rgb="00D3DEEC"/>
      </top>
    </border>
    <border>
      <left/>
      <right style="thin">
        <color rgb="00D3DEEC"/>
      </right>
      <top style="thin">
        <color rgb="00D3DEEC"/>
      </top>
      <bottom/>
      <diagonal/>
    </border>
    <border>
      <left/>
      <right style="thin">
        <color rgb="00D3DEEC"/>
      </right>
      <top/>
      <bottom/>
      <diagonal/>
    </border>
    <border>
      <left/>
      <right style="thin">
        <color rgb="00D3DEEC"/>
      </right>
      <top/>
      <bottom style="thin">
        <color rgb="00D3DEEC"/>
      </bottom>
      <diagonal/>
    </border>
    <border>
      <top style="thin">
        <color rgb="000B2A5B"/>
      </top>
      <bottom style="thin">
        <color rgb="00D3DEEC"/>
      </bottom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 style="thin">
        <color rgb="00D3DEEC"/>
      </left>
      <top style="thin">
        <color rgb="000B2A5B"/>
      </top>
      <bottom style="thin">
        <color rgb="00D3DEEC"/>
      </bottom>
    </border>
    <border>
      <right style="thin">
        <color rgb="00D3DEEC"/>
      </right>
      <top style="thin">
        <color rgb="000B2A5B"/>
      </top>
      <bottom style="thin">
        <color rgb="00D3DEEC"/>
      </bottom>
    </border>
    <border>
      <left/>
      <right style="thin">
        <color rgb="00D3DEEC"/>
      </right>
      <top/>
      <bottom/>
    </border>
    <border>
      <left/>
      <right style="thin">
        <color rgb="00D3DEEC"/>
      </right>
      <top/>
      <bottom style="thin">
        <color rgb="00D3DEEC"/>
      </bottom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bottom style="thin">
        <color rgb="00FFFFFF"/>
      </bottom>
    </border>
    <border>
      <top style="medium">
        <color rgb="000B2A5B"/>
      </top>
    </border>
    <border>
      <left/>
      <right style="thin">
        <color rgb="000B2A5B"/>
      </right>
      <top/>
      <bottom/>
      <diagonal/>
    </border>
    <border>
      <left/>
      <right style="thin">
        <color rgb="000B2A5B"/>
      </right>
      <top/>
      <bottom style="thin">
        <color rgb="000B2A5B"/>
      </bottom>
      <diagonal/>
    </border>
    <border>
      <left/>
      <right/>
      <top style="thin">
        <color rgb="000B2A5B"/>
      </top>
      <bottom/>
      <diagonal/>
    </border>
    <border>
      <left/>
      <right style="thin">
        <color rgb="000B2A5B"/>
      </right>
      <top style="thin">
        <color rgb="000B2A5B"/>
      </top>
      <bottom/>
      <diagonal/>
    </border>
    <border>
      <left/>
      <right/>
      <top/>
      <bottom style="thin">
        <color rgb="000B2A5B"/>
      </bottom>
      <diagonal/>
    </border>
    <border>
      <left style="thin">
        <color rgb="000B2A5B"/>
      </left>
      <right style="thin">
        <color rgb="000B2A5B"/>
      </right>
      <top style="thin">
        <color rgb="000B2A5B"/>
      </top>
      <bottom style="thin">
        <color rgb="000B2A5B"/>
      </bottom>
    </border>
    <border>
      <left style="thin">
        <color rgb="000B2A5B"/>
      </left>
      <right/>
      <top/>
      <bottom/>
      <diagonal/>
    </border>
    <border>
      <left style="thin">
        <color rgb="000B2A5B"/>
      </left>
      <right style="thin">
        <color rgb="000B2A5B"/>
      </right>
      <top/>
      <bottom/>
      <diagonal/>
    </border>
    <border>
      <left style="thin">
        <color rgb="000B2A5B"/>
      </left>
      <right style="thin">
        <color rgb="000B2A5B"/>
      </right>
      <top/>
      <bottom style="thin">
        <color rgb="000B2A5B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4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right" vertical="center"/>
    </xf>
    <xf numFmtId="0" fontId="0" fillId="0" borderId="44" pivotButton="0" quotePrefix="0" xfId="0"/>
    <xf numFmtId="0" fontId="15" fillId="0" borderId="44" applyAlignment="1" pivotButton="0" quotePrefix="0" xfId="0">
      <alignment horizontal="center" vertical="top"/>
    </xf>
    <xf numFmtId="0" fontId="15" fillId="0" borderId="44" applyAlignment="1" pivotButton="0" quotePrefix="0" xfId="0">
      <alignment horizontal="right" vertical="top"/>
    </xf>
    <xf numFmtId="0" fontId="17" fillId="3" borderId="0" applyAlignment="1" pivotButton="0" quotePrefix="0" xfId="0">
      <alignment vertical="center" indent="1"/>
    </xf>
    <xf numFmtId="0" fontId="0" fillId="3" borderId="0" pivotButton="0" quotePrefix="0" xfId="0"/>
    <xf numFmtId="0" fontId="0" fillId="5" borderId="45" applyAlignment="1" pivotButton="0" quotePrefix="0" xfId="0">
      <alignment vertical="center" indent="1"/>
    </xf>
    <xf numFmtId="0" fontId="0" fillId="5" borderId="47" pivotButton="0" quotePrefix="0" xfId="0"/>
    <xf numFmtId="0" fontId="0" fillId="5" borderId="49" applyAlignment="1" pivotButton="0" quotePrefix="0" xfId="0">
      <alignment vertical="center" indent="1"/>
    </xf>
    <xf numFmtId="0" fontId="5" fillId="5" borderId="46" applyAlignment="1" pivotButton="0" quotePrefix="0" xfId="0">
      <alignment vertical="top" wrapText="1" indent="1"/>
    </xf>
    <xf numFmtId="0" fontId="0" fillId="5" borderId="48" pivotButton="0" quotePrefix="0" xfId="0"/>
    <xf numFmtId="0" fontId="5" fillId="5" borderId="50" applyAlignment="1" pivotButton="0" quotePrefix="0" xfId="0">
      <alignment vertical="top" wrapText="1" indent="1"/>
    </xf>
    <xf numFmtId="0" fontId="0" fillId="3" borderId="0" applyAlignment="1" pivotButton="0" quotePrefix="0" xfId="0">
      <alignment vertical="center" indent="1"/>
    </xf>
    <xf numFmtId="0" fontId="24" fillId="8" borderId="0" applyAlignment="1" pivotButton="0" quotePrefix="0" xfId="0">
      <alignment vertical="center" indent="1"/>
    </xf>
    <xf numFmtId="0" fontId="0" fillId="8" borderId="0" pivotButton="0" quotePrefix="0" xfId="0"/>
    <xf numFmtId="0" fontId="4" fillId="5" borderId="7" applyAlignment="1" pivotButton="0" quotePrefix="0" xfId="0">
      <alignment vertical="center" indent="1"/>
    </xf>
    <xf numFmtId="0" fontId="0" fillId="5" borderId="7" pivotButton="0" quotePrefix="0" xfId="0"/>
    <xf numFmtId="49" fontId="6" fillId="2" borderId="7" applyAlignment="1" pivotButton="0" quotePrefix="0" xfId="0">
      <alignment horizontal="left" vertical="center" wrapText="1" indent="1"/>
    </xf>
    <xf numFmtId="0" fontId="0" fillId="2" borderId="11" pivotButton="0" quotePrefix="0" xfId="0"/>
    <xf numFmtId="0" fontId="18" fillId="2" borderId="12" applyAlignment="1" pivotButton="0" quotePrefix="0" xfId="0">
      <alignment vertical="center" indent="1"/>
    </xf>
    <xf numFmtId="0" fontId="11" fillId="6" borderId="0" applyAlignment="1" pivotButton="0" quotePrefix="0" xfId="0">
      <alignment horizontal="center" vertical="center" wrapText="1"/>
    </xf>
    <xf numFmtId="0" fontId="0" fillId="2" borderId="7" pivotButton="0" quotePrefix="0" xfId="0"/>
    <xf numFmtId="0" fontId="12" fillId="0" borderId="0" applyAlignment="1" pivotButton="0" quotePrefix="0" xfId="0">
      <alignment vertical="center"/>
    </xf>
    <xf numFmtId="0" fontId="13" fillId="0" borderId="5" applyAlignment="1" pivotButton="0" quotePrefix="0" xfId="0">
      <alignment vertical="center" indent="1"/>
    </xf>
    <xf numFmtId="0" fontId="19" fillId="2" borderId="12" applyAlignment="1" pivotButton="0" quotePrefix="0" xfId="0">
      <alignment vertical="center" indent="1"/>
    </xf>
    <xf numFmtId="49" fontId="6" fillId="4" borderId="7" applyAlignment="1" pivotButton="0" quotePrefix="0" xfId="0">
      <alignment horizontal="left" vertical="center" wrapText="1" indent="1"/>
    </xf>
    <xf numFmtId="0" fontId="0" fillId="4" borderId="11" pivotButton="0" quotePrefix="0" xfId="0"/>
    <xf numFmtId="0" fontId="17" fillId="6" borderId="51" applyAlignment="1" pivotButton="0" quotePrefix="0" xfId="0">
      <alignment horizontal="center" vertical="center"/>
    </xf>
    <xf numFmtId="0" fontId="20" fillId="0" borderId="5" applyAlignment="1" pivotButton="0" quotePrefix="0" xfId="0">
      <alignment vertical="center" wrapText="1" indent="1"/>
    </xf>
    <xf numFmtId="0" fontId="13" fillId="0" borderId="5" applyAlignment="1" pivotButton="0" quotePrefix="0" xfId="0">
      <alignment vertical="center" wrapText="1" indent="1"/>
    </xf>
    <xf numFmtId="0" fontId="0" fillId="0" borderId="5" pivotButton="0" quotePrefix="0" xfId="0"/>
    <xf numFmtId="0" fontId="4" fillId="0" borderId="5" applyAlignment="1" pivotButton="0" quotePrefix="0" xfId="0">
      <alignment vertical="center" wrapText="1" indent="1"/>
    </xf>
    <xf numFmtId="0" fontId="4" fillId="0" borderId="5" applyAlignment="1" pivotButton="0" quotePrefix="0" xfId="0">
      <alignment vertical="center" indent="1"/>
    </xf>
    <xf numFmtId="0" fontId="4" fillId="2" borderId="7" applyAlignment="1" pivotButton="0" quotePrefix="0" xfId="0">
      <alignment vertical="center" indent="1"/>
    </xf>
    <xf numFmtId="0" fontId="4" fillId="4" borderId="7" applyAlignment="1" pivotButton="0" quotePrefix="0" xfId="0">
      <alignment vertical="center" indent="1"/>
    </xf>
    <xf numFmtId="0" fontId="0" fillId="4" borderId="7" pivotButton="0" quotePrefix="0" xfId="0"/>
    <xf numFmtId="0" fontId="0" fillId="7" borderId="52" pivotButton="0" quotePrefix="0" xfId="0"/>
    <xf numFmtId="0" fontId="21" fillId="7" borderId="52" applyAlignment="1" pivotButton="0" quotePrefix="0" xfId="0">
      <alignment vertical="bottom" indent="1"/>
    </xf>
    <xf numFmtId="0" fontId="22" fillId="7" borderId="52" applyAlignment="1" pivotButton="0" quotePrefix="0" xfId="0">
      <alignment horizontal="right" vertical="bottom" indent="1"/>
    </xf>
    <xf numFmtId="0" fontId="0" fillId="7" borderId="0" pivotButton="0" quotePrefix="0" xfId="0"/>
    <xf numFmtId="0" fontId="23" fillId="7" borderId="0" applyAlignment="1" pivotButton="0" quotePrefix="0" xfId="0">
      <alignment vertical="top" wrapText="1" indent="1"/>
    </xf>
    <xf numFmtId="0" fontId="0" fillId="2" borderId="21" pivotButton="0" quotePrefix="0" xfId="0"/>
    <xf numFmtId="0" fontId="0" fillId="2" borderId="22" pivotButton="0" quotePrefix="0" xfId="0"/>
    <xf numFmtId="0" fontId="8" fillId="2" borderId="21" applyAlignment="1" pivotButton="0" quotePrefix="0" xfId="0">
      <alignment horizontal="center" vertical="center"/>
    </xf>
    <xf numFmtId="0" fontId="0" fillId="2" borderId="23" pivotButton="0" quotePrefix="0" xfId="0"/>
    <xf numFmtId="0" fontId="10" fillId="2" borderId="21" applyAlignment="1" pivotButton="0" quotePrefix="0" xfId="0">
      <alignment horizontal="center" vertical="center" shrinkToFit="1"/>
    </xf>
    <xf numFmtId="0" fontId="0" fillId="2" borderId="24" pivotButton="0" quotePrefix="0" xfId="0"/>
    <xf numFmtId="0" fontId="0" fillId="2" borderId="25" pivotButton="0" quotePrefix="0" xfId="0"/>
    <xf numFmtId="0" fontId="9" fillId="2" borderId="24" applyAlignment="1" pivotButton="0" quotePrefix="0" xfId="0">
      <alignment horizontal="center" vertical="center" wrapText="1"/>
    </xf>
    <xf numFmtId="0" fontId="0" fillId="2" borderId="26" pivotButton="0" quotePrefix="0" xfId="0"/>
    <xf numFmtId="0" fontId="1" fillId="2" borderId="1" applyAlignment="1" pivotButton="0" quotePrefix="0" xfId="0">
      <alignment horizontal="left" vertical="bottom" indent="1"/>
    </xf>
    <xf numFmtId="0" fontId="1" fillId="2" borderId="2" applyAlignment="1" pivotButton="0" quotePrefix="0" xfId="0">
      <alignment horizontal="left" vertical="bottom" indent="1"/>
    </xf>
    <xf numFmtId="0" fontId="0" fillId="0" borderId="27" pivotButton="0" quotePrefix="0" xfId="0"/>
    <xf numFmtId="0" fontId="0" fillId="2" borderId="3" pivotButton="0" quotePrefix="0" xfId="0"/>
    <xf numFmtId="0" fontId="2" fillId="2" borderId="7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0" fillId="2" borderId="12" pivotButton="0" quotePrefix="0" xfId="0"/>
    <xf numFmtId="3" fontId="7" fillId="4" borderId="10" applyAlignment="1" pivotButton="0" quotePrefix="0" xfId="0">
      <alignment horizontal="center" vertical="center" wrapText="1"/>
    </xf>
    <xf numFmtId="0" fontId="0" fillId="4" borderId="12" pivotButton="0" quotePrefix="0" xfId="0"/>
    <xf numFmtId="164" fontId="7" fillId="4" borderId="10" applyAlignment="1" pivotButton="0" quotePrefix="0" xfId="0">
      <alignment horizontal="center" vertical="center" wrapText="1"/>
    </xf>
    <xf numFmtId="9" fontId="7" fillId="4" borderId="10" applyAlignment="1" pivotButton="0" quotePrefix="0" xfId="0">
      <alignment horizontal="center" vertical="center" wrapText="1"/>
    </xf>
    <xf numFmtId="0" fontId="0" fillId="2" borderId="6" pivotButton="0" quotePrefix="0" xfId="0"/>
    <xf numFmtId="0" fontId="0" fillId="2" borderId="0" pivotButton="0" quotePrefix="0" xfId="0"/>
    <xf numFmtId="0" fontId="0" fillId="3" borderId="16" applyAlignment="1" pivotButton="0" quotePrefix="0" xfId="0">
      <alignment horizontal="left" vertical="center" indent="1"/>
    </xf>
    <xf numFmtId="0" fontId="0" fillId="3" borderId="27" pivotButton="0" quotePrefix="0" xfId="0"/>
    <xf numFmtId="0" fontId="0" fillId="3" borderId="28" pivotButton="0" quotePrefix="0" xfId="0"/>
    <xf numFmtId="0" fontId="3" fillId="3" borderId="1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left" vertical="center" wrapText="1" indent="1"/>
    </xf>
    <xf numFmtId="165" fontId="5" fillId="2" borderId="5" applyAlignment="1" pivotButton="0" quotePrefix="0" xfId="0">
      <alignment horizontal="right" vertical="center"/>
    </xf>
    <xf numFmtId="166" fontId="6" fillId="4" borderId="5" applyAlignment="1" pivotButton="0" quotePrefix="0" xfId="0">
      <alignment horizontal="center" vertical="center"/>
    </xf>
    <xf numFmtId="9" fontId="6" fillId="4" borderId="6" applyAlignment="1" pivotButton="0" quotePrefix="0" xfId="0">
      <alignment horizontal="center" vertical="center"/>
    </xf>
    <xf numFmtId="0" fontId="4" fillId="2" borderId="29" applyAlignment="1" pivotButton="0" quotePrefix="0" xfId="0">
      <alignment horizontal="left" vertical="center" wrapText="1" indent="1"/>
    </xf>
    <xf numFmtId="166" fontId="6" fillId="4" borderId="20" applyAlignment="1" pivotButton="0" quotePrefix="0" xfId="0">
      <alignment horizontal="right" vertical="center"/>
    </xf>
    <xf numFmtId="166" fontId="6" fillId="4" borderId="20" applyAlignment="1" pivotButton="0" quotePrefix="0" xfId="0">
      <alignment horizontal="center" vertical="center"/>
    </xf>
    <xf numFmtId="9" fontId="6" fillId="4" borderId="30" applyAlignment="1" pivotButton="0" quotePrefix="0" xfId="0">
      <alignment horizontal="center" vertical="center"/>
    </xf>
    <xf numFmtId="0" fontId="0" fillId="3" borderId="31" pivotButton="0" quotePrefix="0" xfId="0"/>
    <xf numFmtId="165" fontId="5" fillId="4" borderId="5" applyAlignment="1" pivotButton="0" quotePrefix="0" xfId="0">
      <alignment horizontal="right" vertical="center"/>
    </xf>
    <xf numFmtId="166" fontId="6" fillId="4" borderId="6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0" pivotButton="0" quotePrefix="0" xfId="0"/>
    <xf numFmtId="0" fontId="0" fillId="2" borderId="13" pivotButton="0" quotePrefix="0" xfId="0"/>
    <xf numFmtId="0" fontId="0" fillId="2" borderId="14" pivotButton="0" quotePrefix="0" xfId="0"/>
    <xf numFmtId="0" fontId="0" fillId="2" borderId="1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0" borderId="0" applyAlignment="1" pivotButton="0" quotePrefix="0" xfId="0">
      <alignment horizontal="left" vertical="center" indent="1"/>
    </xf>
    <xf numFmtId="0" fontId="0" fillId="2" borderId="58" pivotButton="0" quotePrefix="0" xfId="0"/>
    <xf numFmtId="0" fontId="8" fillId="2" borderId="41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10" fillId="2" borderId="41" applyAlignment="1" pivotButton="0" quotePrefix="0" xfId="0">
      <alignment horizontal="center" vertical="center" shrinkToFit="1"/>
    </xf>
    <xf numFmtId="0" fontId="0" fillId="0" borderId="61" pivotButton="0" quotePrefix="0" xfId="0"/>
    <xf numFmtId="0" fontId="9" fillId="2" borderId="42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54" pivotButton="0" quotePrefix="0" xfId="0"/>
    <xf numFmtId="0" fontId="11" fillId="3" borderId="33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0" fontId="11" fillId="3" borderId="34" applyAlignment="1" pivotButton="0" quotePrefix="0" xfId="0">
      <alignment horizontal="center" vertical="center" wrapText="1"/>
    </xf>
    <xf numFmtId="0" fontId="12" fillId="0" borderId="0" pivotButton="0" quotePrefix="0" xfId="0"/>
    <xf numFmtId="49" fontId="4" fillId="2" borderId="35" applyAlignment="1" pivotButton="0" quotePrefix="0" xfId="0">
      <alignment horizontal="left" vertical="center" indent="1"/>
    </xf>
    <xf numFmtId="167" fontId="13" fillId="2" borderId="36" applyAlignment="1" pivotButton="0" quotePrefix="0" xfId="0">
      <alignment horizontal="center" vertical="center"/>
    </xf>
    <xf numFmtId="49" fontId="4" fillId="2" borderId="36" applyAlignment="1" pivotButton="0" quotePrefix="0" xfId="0">
      <alignment horizontal="left" vertical="center" indent="1"/>
    </xf>
    <xf numFmtId="49" fontId="25" fillId="4" borderId="36" applyAlignment="1" pivotButton="0" quotePrefix="0" xfId="0">
      <alignment horizontal="left" vertical="center" wrapText="1" indent="1"/>
    </xf>
    <xf numFmtId="0" fontId="13" fillId="2" borderId="36" applyAlignment="1" pivotButton="0" quotePrefix="0" xfId="0">
      <alignment horizontal="left" vertical="center" indent="1"/>
    </xf>
    <xf numFmtId="49" fontId="13" fillId="2" borderId="36" applyAlignment="1" pivotButton="0" quotePrefix="0" xfId="0">
      <alignment horizontal="center" vertical="center"/>
    </xf>
    <xf numFmtId="168" fontId="13" fillId="2" borderId="36" applyAlignment="1" pivotButton="0" quotePrefix="0" xfId="0">
      <alignment horizontal="right" vertical="center" indent="1"/>
    </xf>
    <xf numFmtId="49" fontId="13" fillId="2" borderId="37" applyAlignment="1" pivotButton="0" quotePrefix="0" xfId="0">
      <alignment horizontal="left" vertical="center" indent="1"/>
    </xf>
    <xf numFmtId="49" fontId="4" fillId="2" borderId="38" applyAlignment="1" pivotButton="0" quotePrefix="0" xfId="0">
      <alignment horizontal="left" vertical="center" indent="1"/>
    </xf>
    <xf numFmtId="167" fontId="13" fillId="2" borderId="39" applyAlignment="1" pivotButton="0" quotePrefix="0" xfId="0">
      <alignment horizontal="center" vertical="center"/>
    </xf>
    <xf numFmtId="49" fontId="4" fillId="2" borderId="39" applyAlignment="1" pivotButton="0" quotePrefix="0" xfId="0">
      <alignment horizontal="left" vertical="center" indent="1"/>
    </xf>
    <xf numFmtId="49" fontId="25" fillId="4" borderId="39" applyAlignment="1" pivotButton="0" quotePrefix="0" xfId="0">
      <alignment horizontal="left" vertical="center" wrapText="1" indent="1"/>
    </xf>
    <xf numFmtId="0" fontId="13" fillId="2" borderId="39" applyAlignment="1" pivotButton="0" quotePrefix="0" xfId="0">
      <alignment horizontal="left" vertical="center" indent="1"/>
    </xf>
    <xf numFmtId="49" fontId="13" fillId="2" borderId="39" applyAlignment="1" pivotButton="0" quotePrefix="0" xfId="0">
      <alignment horizontal="center" vertical="center"/>
    </xf>
    <xf numFmtId="168" fontId="13" fillId="2" borderId="39" applyAlignment="1" pivotButton="0" quotePrefix="0" xfId="0">
      <alignment horizontal="right" vertical="center" indent="1"/>
    </xf>
    <xf numFmtId="49" fontId="13" fillId="2" borderId="4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11" fillId="3" borderId="43" applyAlignment="1" pivotButton="0" quotePrefix="0" xfId="0">
      <alignment horizontal="center" vertical="center" wrapText="1"/>
    </xf>
    <xf numFmtId="0" fontId="13" fillId="2" borderId="37" applyAlignment="1" pivotButton="0" quotePrefix="0" xfId="0">
      <alignment horizontal="left" vertical="center" indent="1"/>
    </xf>
    <xf numFmtId="0" fontId="4" fillId="2" borderId="43" applyAlignment="1" pivotButton="0" quotePrefix="0" xfId="0">
      <alignment horizontal="left" vertical="center" indent="1"/>
    </xf>
    <xf numFmtId="0" fontId="13" fillId="2" borderId="40" applyAlignment="1" pivotButton="0" quotePrefix="0" xfId="0">
      <alignment horizontal="left" vertical="center" indent="1"/>
    </xf>
    <xf numFmtId="0" fontId="4" fillId="2" borderId="42" applyAlignment="1" pivotButton="0" quotePrefix="0" xfId="0">
      <alignment horizontal="left" vertical="center" indent="1"/>
    </xf>
    <xf numFmtId="49" fontId="4" fillId="2" borderId="35" applyAlignment="1" pivotButton="0" quotePrefix="0" xfId="0">
      <alignment horizontal="center" vertical="center"/>
    </xf>
    <xf numFmtId="0" fontId="13" fillId="2" borderId="36" applyAlignment="1" pivotButton="0" quotePrefix="0" xfId="0">
      <alignment horizontal="left" vertical="center" wrapText="1" indent="1"/>
    </xf>
    <xf numFmtId="49" fontId="4" fillId="2" borderId="38" applyAlignment="1" pivotButton="0" quotePrefix="0" xfId="0">
      <alignment horizontal="center" vertical="center"/>
    </xf>
    <xf numFmtId="0" fontId="13" fillId="2" borderId="39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b val="1"/>
        <color rgb="00B3261E"/>
      </font>
      <fill>
        <patternFill patternType="solid">
          <fgColor rgb="00FDECEA"/>
          <bgColor rgb="00FDECEA"/>
        </patternFill>
      </fill>
    </dxf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1E7A46"/>
      </font>
      <fill>
        <patternFill patternType="solid">
          <fgColor rgb="00E6F4E8"/>
          <bgColor rgb="00E6F4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Orçado</v>
          </tx>
          <spPr>
            <a:solidFill xmlns:a="http://schemas.openxmlformats.org/drawingml/2006/main">
              <a:srgbClr val="B9C6DA"/>
            </a:solidFill>
            <a:ln xmlns:a="http://schemas.openxmlformats.org/drawingml/2006/main">
              <a:solidFill>
                <a:srgbClr val="B9C6DA"/>
              </a:solidFill>
              <a:prstDash val="solid"/>
            </a:ln>
          </spPr>
          <cat>
            <numRef>
              <f>'Orçamento anual'!$B$7:$M$7</f>
            </numRef>
          </cat>
          <val>
            <numRef>
              <f>'Orçamento anual'!$B$12:$M$12</f>
            </numRef>
          </val>
        </ser>
        <ser>
          <idx val="1"/>
          <order val="1"/>
          <tx>
            <v>Realizado</v>
          </tx>
          <spPr>
            <a:solidFill xmlns:a="http://schemas.openxmlformats.org/drawingml/2006/main">
              <a:srgbClr val="0B2A5B"/>
            </a:solidFill>
            <a:ln xmlns:a="http://schemas.openxmlformats.org/drawingml/2006/main">
              <a:solidFill>
                <a:srgbClr val="0B2A5B"/>
              </a:solidFill>
              <a:prstDash val="solid"/>
            </a:ln>
          </spPr>
          <cat>
            <numRef>
              <f>'Orçamento anual'!$B$7:$M$7</f>
            </numRef>
          </cat>
          <val>
            <numRef>
              <f>'Orçamento anual'!$B$20:$M$20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Referência do lançamento. Digite como texto (preserva zeros à esquerda). Exemplo: 00123.</t>
      </text>
    </comment>
    <comment ref="B3" authorId="0" shapeId="0">
      <text>
        <t>Data do custo. Data no formato dd/mm/aaaa. Exemplo: 30/10/2026.</t>
      </text>
    </comment>
    <comment ref="C3" authorId="0" shapeId="0">
      <text>
        <t>TAG. Escolha na lista (preencha antes a aba Cadastros).</t>
      </text>
    </comment>
    <comment ref="E3" authorId="0" shapeId="0">
      <text>
        <t>Setor de apropriação. Escolha na lista (preencha antes a aba Cadastros).</t>
      </text>
    </comment>
    <comment ref="F3" authorId="0" shapeId="0">
      <text>
        <t>Categoria. Escolha na lista: MATERIAL, MAO_OBRA, TERCEIROS, OUTROS.</t>
      </text>
    </comment>
    <comment ref="G3" authorId="0" shapeId="0">
      <text>
        <t>Custo realizado. Número com vírgula (1h30 = 1,5). Vazio = sem informação; zero é valor real.</t>
      </text>
    </comment>
    <comment ref="H3" authorId="0" shapeId="0">
      <text>
        <t>Documento de origem. Digite como texto (preserva zeros à esquerda). Exemplo: 00123.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Setor.</t>
      </text>
    </comment>
    <comment ref="H3" authorId="0" shapeId="0">
      <text>
        <t>Família de equipamento.</t>
      </text>
    </comment>
  </commentList>
</comments>
</file>

<file path=xl/comments/comment3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22</row>
      <rowOff>0</rowOff>
    </from>
    <ext cx="11267238" cy="293961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76200</colOff>
      <row>0</row>
      <rowOff>85725</rowOff>
    </from>
    <ext cx="1847850" cy="552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76200</colOff>
      <row>0</row>
      <rowOff>95250</rowOff>
    </from>
    <ext cx="1800225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828675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categorias_custo" displayName="tb_pcm_categorias_custo" ref="I11:J15" headerRowCount="1">
  <autoFilter ref="I11:J15"/>
  <tableColumns count="2">
    <tableColumn id="9" name="categoria_custo"/>
    <tableColumn id="10" name="rotulo_categoria"/>
  </tableColumns>
  <tableStyleInfo name="TableStyleLight1" showRowStripes="0"/>
</table>
</file>

<file path=xl/tables/table2.xml><?xml version="1.0" encoding="utf-8"?>
<table xmlns="http://schemas.openxmlformats.org/spreadsheetml/2006/main" id="2" name="tb_pcm_custos" displayName="tb_pcm_custos" ref="A4:H29" headerRowCount="1">
  <autoFilter ref="A4:H29"/>
  <tableColumns count="8">
    <tableColumn id="1" name="referencia_lancamento"/>
    <tableColumn id="2" name="data_lancamento"/>
    <tableColumn id="3" name="tag"/>
    <tableColumn id="4" name="equipamento"/>
    <tableColumn id="5" name="setor"/>
    <tableColumn id="6" name="categoria_custo"/>
    <tableColumn id="7" name="valor_realizado"/>
    <tableColumn id="8" name="documento_origem"/>
  </tableColumns>
  <tableStyleInfo name="TableStyleLight1" showRowStripes="0"/>
</table>
</file>

<file path=xl/tables/table3.xml><?xml version="1.0" encoding="utf-8"?>
<table xmlns="http://schemas.openxmlformats.org/spreadsheetml/2006/main" id="3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4.xml><?xml version="1.0" encoding="utf-8"?>
<table xmlns="http://schemas.openxmlformats.org/spreadsheetml/2006/main" id="4" name="tb_pcm_setores" displayName="tb_pcm_setores" ref="F4:F29" headerRowCount="1">
  <autoFilter ref="F4:F29"/>
  <tableColumns count="1">
    <tableColumn id="6" name="nome_setor"/>
  </tableColumns>
  <tableStyleInfo name="TableStyleLight1" showRowStripes="0"/>
</table>
</file>

<file path=xl/tables/table5.xml><?xml version="1.0" encoding="utf-8"?>
<table xmlns="http://schemas.openxmlformats.org/spreadsheetml/2006/main" id="5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6.xml><?xml version="1.0" encoding="utf-8"?>
<table xmlns="http://schemas.openxmlformats.org/spreadsheetml/2006/main" id="6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Relationship Type="http://schemas.openxmlformats.org/officeDocument/2006/relationships/table" Target="/xl/tables/table1.xml" Id="rId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A1:J32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  <col width="16" customWidth="1" min="9" max="9"/>
    <col width="20" customWidth="1" min="10" max="10"/>
    <col width="2" customWidth="1" min="11" max="11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PCM-MAN-012  ·  Orçamento e custos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Orçamento anual.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  <c r="I9" s="17" t="inlineStr">
        <is>
          <t>LISTAS DAS SETAS ▼  ·  valores fixos, não altere</t>
        </is>
      </c>
      <c r="J9" s="18" t="n"/>
    </row>
    <row r="10" ht="21" customHeight="1">
      <c r="B10" s="19" t="inlineStr">
        <is>
          <t>Título do documento</t>
        </is>
      </c>
      <c r="C10" s="20" t="n"/>
      <c r="D10" s="21" t="inlineStr">
        <is>
          <t>Orçamento e custos</t>
        </is>
      </c>
      <c r="E10" s="22" t="n"/>
      <c r="F10" s="23" t="inlineStr">
        <is>
          <t>Já vem pronto. Ajuste se quiser.</t>
        </is>
      </c>
      <c r="I10" s="24" t="inlineStr">
        <is>
          <t>Categoria custo</t>
        </is>
      </c>
      <c r="J10" s="24" t="inlineStr">
        <is>
          <t>Significado</t>
        </is>
      </c>
    </row>
    <row r="11" ht="33" customHeight="1">
      <c r="B11" s="19" t="inlineStr">
        <is>
          <t>Objetivo</t>
        </is>
      </c>
      <c r="C11" s="20" t="n"/>
      <c r="D11" s="21" t="inlineStr">
        <is>
          <t>Planejar o orçamento anual da manutenção e acompanhar o realizado pelos lançamentos</t>
        </is>
      </c>
      <c r="E11" s="25" t="n"/>
      <c r="F11" s="25" t="n"/>
      <c r="I11" s="26" t="inlineStr">
        <is>
          <t>categoria_custo</t>
        </is>
      </c>
      <c r="J11" s="26" t="inlineStr">
        <is>
          <t>rotulo_categoria</t>
        </is>
      </c>
    </row>
    <row r="12" ht="21" customHeight="1">
      <c r="B12" s="19" t="inlineStr">
        <is>
          <t>Código do documento</t>
        </is>
      </c>
      <c r="C12" s="20" t="n"/>
      <c r="D12" s="21" t="inlineStr">
        <is>
          <t>PCM-MAN-012</t>
        </is>
      </c>
      <c r="E12" s="25" t="n"/>
      <c r="F12" s="25" t="n"/>
      <c r="I12" s="27" t="inlineStr">
        <is>
          <t>MATERIAL</t>
        </is>
      </c>
      <c r="J12" s="27" t="inlineStr">
        <is>
          <t>Material</t>
        </is>
      </c>
    </row>
    <row r="13" ht="21" customHeight="1">
      <c r="B13" s="19" t="inlineStr">
        <is>
          <t>Elaborado por</t>
        </is>
      </c>
      <c r="C13" s="20" t="n"/>
      <c r="D13" s="21" t="n"/>
      <c r="E13" s="22" t="n"/>
      <c r="F13" s="28" t="inlineStr">
        <is>
          <t>✎ preencha</t>
        </is>
      </c>
      <c r="I13" s="27" t="inlineStr">
        <is>
          <t>MAO_OBRA</t>
        </is>
      </c>
      <c r="J13" s="27" t="inlineStr">
        <is>
          <t>Mão de obra</t>
        </is>
      </c>
    </row>
    <row r="14" ht="21" customHeight="1">
      <c r="B14" s="19" t="inlineStr">
        <is>
          <t>Aprovado por</t>
        </is>
      </c>
      <c r="C14" s="20" t="n"/>
      <c r="D14" s="21" t="n"/>
      <c r="E14" s="22" t="n"/>
      <c r="F14" s="28" t="inlineStr">
        <is>
          <t>✎ preencha</t>
        </is>
      </c>
      <c r="I14" s="27" t="inlineStr">
        <is>
          <t>TERCEIROS</t>
        </is>
      </c>
      <c r="J14" s="27" t="inlineStr">
        <is>
          <t>Terceiros</t>
        </is>
      </c>
    </row>
    <row r="15" ht="21" customHeight="1">
      <c r="B15" s="19" t="inlineStr">
        <is>
          <t>Revisão atual</t>
        </is>
      </c>
      <c r="C15" s="20" t="n"/>
      <c r="D15" s="29">
        <f>IF(COUNTA(tb_pcm_revisoes_modelo[revisao])=0,"-",INDEX(tb_pcm_revisoes_modelo[revisao],COUNTA(tb_pcm_revisoes_modelo[revisao])))</f>
        <v/>
      </c>
      <c r="E15" s="30" t="n"/>
      <c r="F15" s="23" t="inlineStr">
        <is>
          <t>automático: aba Revisões</t>
        </is>
      </c>
      <c r="I15" s="27" t="inlineStr">
        <is>
          <t>OUTROS</t>
        </is>
      </c>
      <c r="J15" s="27" t="inlineStr">
        <is>
          <t>Outros</t>
        </is>
      </c>
    </row>
    <row r="16" ht="21" customHeight="1">
      <c r="B16" s="19" t="inlineStr">
        <is>
          <t>Data da revisão</t>
        </is>
      </c>
      <c r="C16" s="20" t="n"/>
      <c r="D16" s="29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30" t="n"/>
      <c r="F16" s="23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31" t="n">
        <v>1</v>
      </c>
      <c r="C19" s="32" t="inlineStr">
        <is>
          <t>Cadastros</t>
        </is>
      </c>
      <c r="D19" s="33" t="inlineStr">
        <is>
          <t>Cadastre uma vez TAG, equipamento, família e setor, os setores, as famílias de equipamento. Eles aparecem nas setas ▼ das outras abas.</t>
        </is>
      </c>
      <c r="E19" s="34" t="n"/>
      <c r="F19" s="34" t="n"/>
    </row>
    <row r="20" ht="22" customHeight="1">
      <c r="B20" s="31" t="n">
        <v>2</v>
      </c>
      <c r="C20" s="32" t="inlineStr">
        <is>
          <t>Orçamento anual</t>
        </is>
      </c>
      <c r="D20" s="33" t="inlineStr">
        <is>
          <t>Escolha o ano e digite o valor orçado de cada categoria em cada mês.</t>
        </is>
      </c>
      <c r="E20" s="34" t="n"/>
      <c r="F20" s="34" t="n"/>
    </row>
    <row r="21" ht="34" customHeight="1">
      <c r="B21" s="31" t="n">
        <v>3</v>
      </c>
      <c r="C21" s="32" t="inlineStr">
        <is>
          <t>Lançamentos</t>
        </is>
      </c>
      <c r="D21" s="33" t="inlineStr">
        <is>
          <t>Lance cada custo em uma linha: data, TAG, setor, categoria e valor. O realizado do orçamento soma sozinho.</t>
        </is>
      </c>
      <c r="E21" s="34" t="n"/>
      <c r="F21" s="34" t="n"/>
    </row>
    <row r="22" ht="34" customHeight="1">
      <c r="B22" s="31" t="n">
        <v>4</v>
      </c>
      <c r="C22" s="35" t="inlineStr">
        <is>
          <t>Acompanhamento</t>
        </is>
      </c>
      <c r="D22" s="33" t="inlineStr">
        <is>
          <t>No orçamento, % usado fica verde até 90%, amarelo até 100% e vermelho acima. Filtre por setor no topo, se quiser.</t>
        </is>
      </c>
      <c r="E22" s="34" t="n"/>
      <c r="F22" s="34" t="n"/>
    </row>
    <row r="23" ht="10" customHeight="1"/>
    <row r="24" ht="24" customHeight="1">
      <c r="B24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4" s="9" t="n"/>
      <c r="D24" s="9" t="n"/>
      <c r="E24" s="9" t="n"/>
      <c r="F24" s="9" t="n"/>
    </row>
    <row r="25" ht="21" customHeight="1">
      <c r="B25" s="36" t="inlineStr">
        <is>
          <t>▼  Lista</t>
        </is>
      </c>
      <c r="C25" s="34" t="n"/>
      <c r="D25" s="33" t="inlineStr">
        <is>
          <t>Clique na célula e escolha na seta. Valor fora da lista é recusado.</t>
        </is>
      </c>
      <c r="E25" s="34" t="n"/>
      <c r="F25" s="34" t="n"/>
    </row>
    <row r="26" ht="21" customHeight="1">
      <c r="B26" s="37" t="inlineStr">
        <is>
          <t>Célula branca</t>
        </is>
      </c>
      <c r="C26" s="25" t="n"/>
      <c r="D26" s="33" t="inlineStr">
        <is>
          <t>Campo para digitar.</t>
        </is>
      </c>
      <c r="E26" s="34" t="n"/>
      <c r="F26" s="34" t="n"/>
    </row>
    <row r="27" ht="21" customHeight="1">
      <c r="B27" s="38" t="inlineStr">
        <is>
          <t>Célula cinza</t>
        </is>
      </c>
      <c r="C27" s="39" t="n"/>
      <c r="D27" s="33" t="inlineStr">
        <is>
          <t>Cálculo automático. Não digite: a fórmula preenche sozinha.</t>
        </is>
      </c>
      <c r="E27" s="34" t="n"/>
      <c r="F27" s="34" t="n"/>
    </row>
    <row r="28" ht="21" customHeight="1">
      <c r="B28" s="36" t="inlineStr">
        <is>
          <t>Datas e números</t>
        </is>
      </c>
      <c r="C28" s="34" t="n"/>
      <c r="D28" s="33" t="inlineStr">
        <is>
          <t>Datas em dd/mm/aaaa; decimais com vírgula. Vazio = sem informação; zero é valor real.</t>
        </is>
      </c>
      <c r="E28" s="34" t="n"/>
      <c r="F28" s="34" t="n"/>
    </row>
    <row r="29" ht="21" customHeight="1">
      <c r="B29" s="36" t="inlineStr">
        <is>
          <t>Impressão</t>
        </is>
      </c>
      <c r="C29" s="34" t="n"/>
      <c r="D29" s="33" t="inlineStr">
        <is>
          <t>Cada aba já está ajustada para uma folha A4. Use Arquivo &gt; Imprimir sem mudar a escala.</t>
        </is>
      </c>
      <c r="E29" s="34" t="n"/>
      <c r="F29" s="34" t="n"/>
    </row>
    <row r="30" ht="12" customHeight="1"/>
    <row r="31" ht="22" customHeight="1">
      <c r="B31" s="40" t="n"/>
      <c r="C31" s="40" t="n"/>
      <c r="D31" s="41" t="inlineStr">
        <is>
          <t>SOBRE O PCM DIRETO</t>
        </is>
      </c>
      <c r="E31" s="40" t="n"/>
      <c r="F31" s="42" t="inlineStr">
        <is>
          <t>pcmdireto.me</t>
        </is>
      </c>
    </row>
    <row r="32" ht="34" customHeight="1">
      <c r="B32" s="43" t="n"/>
      <c r="C32" s="43" t="n"/>
      <c r="D32" s="44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2" s="43" t="n"/>
      <c r="F32" s="43" t="n"/>
    </row>
  </sheetData>
  <mergeCells count="42">
    <mergeCell ref="D11:F11"/>
    <mergeCell ref="B16:C16"/>
    <mergeCell ref="D10:E10"/>
    <mergeCell ref="B7:C7"/>
    <mergeCell ref="B25:C25"/>
    <mergeCell ref="D1:E1"/>
    <mergeCell ref="D27:F27"/>
    <mergeCell ref="D32:F32"/>
    <mergeCell ref="B27:C27"/>
    <mergeCell ref="D31:E31"/>
    <mergeCell ref="B18:F18"/>
    <mergeCell ref="B12:C12"/>
    <mergeCell ref="D28:F28"/>
    <mergeCell ref="D2:E2"/>
    <mergeCell ref="B11:C11"/>
    <mergeCell ref="D13:E13"/>
    <mergeCell ref="D12:F12"/>
    <mergeCell ref="B14:C14"/>
    <mergeCell ref="D25:F25"/>
    <mergeCell ref="B1:C3"/>
    <mergeCell ref="B13:C13"/>
    <mergeCell ref="D16:E16"/>
    <mergeCell ref="D29:F29"/>
    <mergeCell ref="B29:C29"/>
    <mergeCell ref="B10:C10"/>
    <mergeCell ref="B28:C28"/>
    <mergeCell ref="B31:C32"/>
    <mergeCell ref="D26:F26"/>
    <mergeCell ref="D3:E3"/>
    <mergeCell ref="D20:F20"/>
    <mergeCell ref="B9:F9"/>
    <mergeCell ref="B6:C6"/>
    <mergeCell ref="D19:F19"/>
    <mergeCell ref="B15:C15"/>
    <mergeCell ref="B24:F24"/>
    <mergeCell ref="D15:E15"/>
    <mergeCell ref="D22:F22"/>
    <mergeCell ref="B5:F5"/>
    <mergeCell ref="D14:E14"/>
    <mergeCell ref="B26:C26"/>
    <mergeCell ref="D21:F21"/>
    <mergeCell ref="I9:J9"/>
  </mergeCells>
  <hyperlinks>
    <hyperlink xmlns:r="http://schemas.openxmlformats.org/officeDocument/2006/relationships" ref="F2" r:id="rId1"/>
    <hyperlink ref="C19" location="'Cadastros'!A1" display="Cadastros"/>
    <hyperlink ref="C20" location="'Orçamento anual'!A1" display="Orçamento anual"/>
    <hyperlink ref="C21" location="'Lançamentos'!A1" display="Lançamentos"/>
    <hyperlink xmlns:r="http://schemas.openxmlformats.org/officeDocument/2006/relationships" ref="F31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&amp;K4A5668PCM-MAN-012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  <tableParts count="1"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Q38"/>
  <sheetViews>
    <sheetView showGridLines="0" tabSelected="0" zoomScale="90" workbookViewId="0">
      <selection activeCell="A1" sqref="A1"/>
    </sheetView>
  </sheetViews>
  <sheetFormatPr baseColWidth="8" defaultRowHeight="15"/>
  <cols>
    <col width="20" customWidth="1" min="1" max="1"/>
    <col width="8.6" customWidth="1" min="2" max="2"/>
    <col width="8.6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12" customWidth="1" min="14" max="14"/>
    <col width="12" customWidth="1" min="15" max="15"/>
    <col width="12" customWidth="1" min="16" max="16"/>
    <col width="9" customWidth="1" min="17" max="17"/>
    <col width="2" customWidth="1" min="18" max="18"/>
  </cols>
  <sheetData>
    <row r="1" ht="30.75" customHeight="1">
      <c r="A1" s="45" t="n"/>
      <c r="B1" s="46" t="n"/>
      <c r="C1" s="47">
        <f>'Leia-me'!$D$10</f>
        <v/>
      </c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6" t="n"/>
      <c r="N1" s="49">
        <f>"Rev. "&amp;'Leia-me'!$D$15&amp;"   ·   "&amp;'Leia-me'!$D$16</f>
        <v/>
      </c>
      <c r="O1" s="48" t="n"/>
      <c r="P1" s="46" t="n"/>
    </row>
    <row r="2" ht="28" customHeight="1">
      <c r="A2" s="50" t="n"/>
      <c r="B2" s="51" t="n"/>
      <c r="C2" s="52">
        <f>"Objetivo: "&amp;'Leia-me'!$D$11</f>
        <v/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1" t="n"/>
      <c r="N2" s="52">
        <f>"Elaborado: "&amp;'Leia-me'!$D$13&amp;"   ·   Aprovado: "&amp;'Leia-me'!$D$14</f>
        <v/>
      </c>
      <c r="O2" s="53" t="n"/>
      <c r="P2" s="51" t="n"/>
    </row>
    <row r="3" ht="12" customHeight="1">
      <c r="A3" s="54" t="inlineStr">
        <is>
          <t>Ano ▼</t>
        </is>
      </c>
      <c r="B3" s="55" t="inlineStr">
        <is>
          <t>Setor ou área ▼ (vazio = todos)</t>
        </is>
      </c>
      <c r="C3" s="56" t="n"/>
      <c r="D3" s="56" t="n"/>
      <c r="E3" s="56" t="n"/>
      <c r="F3" s="55" t="inlineStr">
        <is>
          <t>Orçado no ano (R$)</t>
        </is>
      </c>
      <c r="G3" s="56" t="n"/>
      <c r="H3" s="56" t="n"/>
      <c r="I3" s="55" t="inlineStr">
        <is>
          <t>Realizado no ano (R$)</t>
        </is>
      </c>
      <c r="J3" s="56" t="n"/>
      <c r="K3" s="56" t="n"/>
      <c r="L3" s="55" t="inlineStr">
        <is>
          <t>Saldo (R$)</t>
        </is>
      </c>
      <c r="M3" s="56" t="n"/>
      <c r="N3" s="56" t="n"/>
      <c r="O3" s="55" t="inlineStr">
        <is>
          <t>% usado</t>
        </is>
      </c>
      <c r="P3" s="56" t="n"/>
      <c r="Q3" s="57" t="n"/>
    </row>
    <row r="4" ht="24" customHeight="1">
      <c r="A4" s="58" t="n"/>
      <c r="B4" s="59" t="n"/>
      <c r="C4" s="22" t="n"/>
      <c r="D4" s="22" t="n"/>
      <c r="E4" s="60" t="n"/>
      <c r="F4" s="61">
        <f>N12</f>
        <v/>
      </c>
      <c r="G4" s="30" t="n"/>
      <c r="H4" s="62" t="n"/>
      <c r="I4" s="61">
        <f>N20</f>
        <v/>
      </c>
      <c r="J4" s="30" t="n"/>
      <c r="K4" s="62" t="n"/>
      <c r="L4" s="63">
        <f>F4-I4</f>
        <v/>
      </c>
      <c r="M4" s="30" t="n"/>
      <c r="N4" s="62" t="n"/>
      <c r="O4" s="64">
        <f>IF(N(F4)=0,"",I4/F4)</f>
        <v/>
      </c>
      <c r="P4" s="62" t="n"/>
      <c r="Q4" s="65" t="n"/>
    </row>
    <row r="5" ht="8" customHeight="1">
      <c r="A5" s="66" t="n"/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</row>
    <row r="6" ht="22" customHeight="1">
      <c r="A6" s="67" t="inlineStr">
        <is>
          <r>
            <rPr>
              <rFont val="Arial"/>
              <b val="1"/>
              <color rgb="00FFFFFF"/>
              <sz val="10"/>
            </rPr>
            <t>Orçado</t>
          </r>
          <r>
            <rPr>
              <rFont val="Arial"/>
              <color rgb="00D3DEEC"/>
              <sz val="8"/>
            </rPr>
            <t xml:space="preserve">   digite o valor previsto por mês (R$)</t>
          </r>
        </is>
      </c>
      <c r="B6" s="68" t="n"/>
      <c r="C6" s="68" t="n"/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9" t="n"/>
      <c r="Q6" s="66" t="n"/>
    </row>
    <row r="7" ht="26" customHeight="1">
      <c r="A7" s="70" t="inlineStr">
        <is>
          <t>Categoria</t>
        </is>
      </c>
      <c r="B7" s="71" t="inlineStr">
        <is>
          <t>Jan</t>
        </is>
      </c>
      <c r="C7" s="71" t="inlineStr">
        <is>
          <t>Fev</t>
        </is>
      </c>
      <c r="D7" s="71" t="inlineStr">
        <is>
          <t>Mar</t>
        </is>
      </c>
      <c r="E7" s="71" t="inlineStr">
        <is>
          <t>Abr</t>
        </is>
      </c>
      <c r="F7" s="71" t="inlineStr">
        <is>
          <t>Mai</t>
        </is>
      </c>
      <c r="G7" s="71" t="inlineStr">
        <is>
          <t>Jun</t>
        </is>
      </c>
      <c r="H7" s="71" t="inlineStr">
        <is>
          <t>Jul</t>
        </is>
      </c>
      <c r="I7" s="71" t="inlineStr">
        <is>
          <t>Ago</t>
        </is>
      </c>
      <c r="J7" s="71" t="inlineStr">
        <is>
          <t>Set</t>
        </is>
      </c>
      <c r="K7" s="71" t="inlineStr">
        <is>
          <t>Out</t>
        </is>
      </c>
      <c r="L7" s="71" t="inlineStr">
        <is>
          <t>Nov</t>
        </is>
      </c>
      <c r="M7" s="71" t="inlineStr">
        <is>
          <t>Dez</t>
        </is>
      </c>
      <c r="N7" s="71" t="inlineStr">
        <is>
          <t>Total orçado</t>
        </is>
      </c>
      <c r="O7" s="71" t="inlineStr">
        <is>
          <t>Realizado</t>
        </is>
      </c>
      <c r="P7" s="72" t="inlineStr">
        <is>
          <t>% usado</t>
        </is>
      </c>
      <c r="Q7" s="66" t="n"/>
    </row>
    <row r="8" ht="20" customHeight="1">
      <c r="A8" s="73" t="inlineStr">
        <is>
          <t>Material</t>
        </is>
      </c>
      <c r="B8" s="74" t="n"/>
      <c r="C8" s="74" t="n"/>
      <c r="D8" s="7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5">
        <f>SUM(B8:M8)</f>
        <v/>
      </c>
      <c r="O8" s="75">
        <f>N16</f>
        <v/>
      </c>
      <c r="P8" s="76">
        <f>IF(N(N8)=0,"",O8/N8)</f>
        <v/>
      </c>
      <c r="Q8" s="66" t="n"/>
    </row>
    <row r="9" ht="20" customHeight="1">
      <c r="A9" s="73" t="inlineStr">
        <is>
          <t>Mão de obra</t>
        </is>
      </c>
      <c r="B9" s="74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4" t="n"/>
      <c r="N9" s="75">
        <f>SUM(B9:M9)</f>
        <v/>
      </c>
      <c r="O9" s="75">
        <f>N17</f>
        <v/>
      </c>
      <c r="P9" s="76">
        <f>IF(N(N9)=0,"",O9/N9)</f>
        <v/>
      </c>
      <c r="Q9" s="66" t="n"/>
    </row>
    <row r="10" ht="20" customHeight="1">
      <c r="A10" s="73" t="inlineStr">
        <is>
          <t>Terceiros</t>
        </is>
      </c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5">
        <f>SUM(B10:M10)</f>
        <v/>
      </c>
      <c r="O10" s="75">
        <f>N18</f>
        <v/>
      </c>
      <c r="P10" s="76">
        <f>IF(N(N10)=0,"",O10/N10)</f>
        <v/>
      </c>
      <c r="Q10" s="66" t="n"/>
    </row>
    <row r="11" ht="20" customHeight="1">
      <c r="A11" s="73" t="inlineStr">
        <is>
          <t>Outros</t>
        </is>
      </c>
      <c r="B11" s="74" t="n"/>
      <c r="C11" s="74" t="n"/>
      <c r="D11" s="74" t="n"/>
      <c r="E11" s="74" t="n"/>
      <c r="F11" s="74" t="n"/>
      <c r="G11" s="74" t="n"/>
      <c r="H11" s="74" t="n"/>
      <c r="I11" s="74" t="n"/>
      <c r="J11" s="74" t="n"/>
      <c r="K11" s="74" t="n"/>
      <c r="L11" s="74" t="n"/>
      <c r="M11" s="74" t="n"/>
      <c r="N11" s="75">
        <f>SUM(B11:M11)</f>
        <v/>
      </c>
      <c r="O11" s="75">
        <f>N19</f>
        <v/>
      </c>
      <c r="P11" s="76">
        <f>IF(N(N11)=0,"",O11/N11)</f>
        <v/>
      </c>
      <c r="Q11" s="66" t="n"/>
    </row>
    <row r="12" ht="22" customHeight="1">
      <c r="A12" s="77" t="inlineStr">
        <is>
          <t>Total do mês</t>
        </is>
      </c>
      <c r="B12" s="78">
        <f>SUM(B8:B11)</f>
        <v/>
      </c>
      <c r="C12" s="78">
        <f>SUM(C8:C11)</f>
        <v/>
      </c>
      <c r="D12" s="78">
        <f>SUM(D8:D11)</f>
        <v/>
      </c>
      <c r="E12" s="78">
        <f>SUM(E8:E11)</f>
        <v/>
      </c>
      <c r="F12" s="78">
        <f>SUM(F8:F11)</f>
        <v/>
      </c>
      <c r="G12" s="78">
        <f>SUM(G8:G11)</f>
        <v/>
      </c>
      <c r="H12" s="78">
        <f>SUM(H8:H11)</f>
        <v/>
      </c>
      <c r="I12" s="78">
        <f>SUM(I8:I11)</f>
        <v/>
      </c>
      <c r="J12" s="78">
        <f>SUM(J8:J11)</f>
        <v/>
      </c>
      <c r="K12" s="78">
        <f>SUM(K8:K11)</f>
        <v/>
      </c>
      <c r="L12" s="78">
        <f>SUM(L8:L11)</f>
        <v/>
      </c>
      <c r="M12" s="78">
        <f>SUM(M8:M11)</f>
        <v/>
      </c>
      <c r="N12" s="79">
        <f>SUM(N8:N11)</f>
        <v/>
      </c>
      <c r="O12" s="79">
        <f>N20</f>
        <v/>
      </c>
      <c r="P12" s="80">
        <f>IF(N(N12)=0,"",O12/N12)</f>
        <v/>
      </c>
      <c r="Q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</row>
    <row r="14" ht="22" customHeight="1">
      <c r="A14" s="67" t="inlineStr">
        <is>
          <r>
            <rPr>
              <rFont val="Arial"/>
              <b val="1"/>
              <color rgb="00FFFFFF"/>
              <sz val="10"/>
            </rPr>
            <t>Realizado</t>
          </r>
          <r>
            <rPr>
              <rFont val="Arial"/>
              <color rgb="00D3DEEC"/>
              <sz val="8"/>
            </rPr>
            <t xml:space="preserve">   vem sozinho da aba Lançamentos (soma por categoria e mês)</t>
          </r>
        </is>
      </c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  <c r="P14" s="69" t="n"/>
      <c r="Q14" s="66" t="n"/>
    </row>
    <row r="15" ht="26" customHeight="1">
      <c r="A15" s="70" t="inlineStr">
        <is>
          <t>Categoria</t>
        </is>
      </c>
      <c r="B15" s="71" t="inlineStr">
        <is>
          <t>Jan</t>
        </is>
      </c>
      <c r="C15" s="71" t="inlineStr">
        <is>
          <t>Fev</t>
        </is>
      </c>
      <c r="D15" s="71" t="inlineStr">
        <is>
          <t>Mar</t>
        </is>
      </c>
      <c r="E15" s="71" t="inlineStr">
        <is>
          <t>Abr</t>
        </is>
      </c>
      <c r="F15" s="71" t="inlineStr">
        <is>
          <t>Mai</t>
        </is>
      </c>
      <c r="G15" s="71" t="inlineStr">
        <is>
          <t>Jun</t>
        </is>
      </c>
      <c r="H15" s="71" t="inlineStr">
        <is>
          <t>Jul</t>
        </is>
      </c>
      <c r="I15" s="71" t="inlineStr">
        <is>
          <t>Ago</t>
        </is>
      </c>
      <c r="J15" s="71" t="inlineStr">
        <is>
          <t>Set</t>
        </is>
      </c>
      <c r="K15" s="71" t="inlineStr">
        <is>
          <t>Out</t>
        </is>
      </c>
      <c r="L15" s="71" t="inlineStr">
        <is>
          <t>Nov</t>
        </is>
      </c>
      <c r="M15" s="71" t="inlineStr">
        <is>
          <t>Dez</t>
        </is>
      </c>
      <c r="N15" s="71" t="inlineStr">
        <is>
          <t>Total realizado</t>
        </is>
      </c>
      <c r="O15" s="72" t="inlineStr">
        <is>
          <t>Diferença no ano (orçado − realizado)</t>
        </is>
      </c>
      <c r="P15" s="81" t="n"/>
      <c r="Q15" s="66" t="n"/>
    </row>
    <row r="16" ht="20" customHeight="1">
      <c r="A16" s="73" t="inlineStr">
        <is>
          <t>Material</t>
        </is>
      </c>
      <c r="B16" s="82">
        <f>IF($B$4="",SUMIFS(tb_pcm_custos[valor_realizado],tb_pcm_custos[data_lancamento],"&gt;="&amp;DATE(IF(N($A$4)&gt;0,N($A$4),IF(ISNUMBER(--$A$4),--$A$4,YEAR(TODAY()))),1,1),tb_pcm_custos[data_lancamento],"&lt;="&amp;EOMONTH(DATE(IF(N($A$4)&gt;0,N($A$4),IF(ISNUMBER(--$A$4),--$A$4,YEAR(TODAY()))),1,1),0),tb_pcm_custos[categoria_custo],"MATERIAL"),SUMIFS(tb_pcm_custos[valor_realizado],tb_pcm_custos[data_lancamento],"&gt;="&amp;DATE(IF(N($A$4)&gt;0,N($A$4),IF(ISNUMBER(--$A$4),--$A$4,YEAR(TODAY()))),1,1),tb_pcm_custos[data_lancamento],"&lt;="&amp;EOMONTH(DATE(IF(N($A$4)&gt;0,N($A$4),IF(ISNUMBER(--$A$4),--$A$4,YEAR(TODAY()))),1,1),0),tb_pcm_custos[categoria_custo],"MATERIAL",tb_pcm_custos[setor],$B$4))</f>
        <v/>
      </c>
      <c r="C16" s="82">
        <f>IF($B$4="",SUMIFS(tb_pcm_custos[valor_realizado],tb_pcm_custos[data_lancamento],"&gt;="&amp;DATE(IF(N($A$4)&gt;0,N($A$4),IF(ISNUMBER(--$A$4),--$A$4,YEAR(TODAY()))),2,1),tb_pcm_custos[data_lancamento],"&lt;="&amp;EOMONTH(DATE(IF(N($A$4)&gt;0,N($A$4),IF(ISNUMBER(--$A$4),--$A$4,YEAR(TODAY()))),2,1),0),tb_pcm_custos[categoria_custo],"MATERIAL"),SUMIFS(tb_pcm_custos[valor_realizado],tb_pcm_custos[data_lancamento],"&gt;="&amp;DATE(IF(N($A$4)&gt;0,N($A$4),IF(ISNUMBER(--$A$4),--$A$4,YEAR(TODAY()))),2,1),tb_pcm_custos[data_lancamento],"&lt;="&amp;EOMONTH(DATE(IF(N($A$4)&gt;0,N($A$4),IF(ISNUMBER(--$A$4),--$A$4,YEAR(TODAY()))),2,1),0),tb_pcm_custos[categoria_custo],"MATERIAL",tb_pcm_custos[setor],$B$4))</f>
        <v/>
      </c>
      <c r="D16" s="82">
        <f>IF($B$4="",SUMIFS(tb_pcm_custos[valor_realizado],tb_pcm_custos[data_lancamento],"&gt;="&amp;DATE(IF(N($A$4)&gt;0,N($A$4),IF(ISNUMBER(--$A$4),--$A$4,YEAR(TODAY()))),3,1),tb_pcm_custos[data_lancamento],"&lt;="&amp;EOMONTH(DATE(IF(N($A$4)&gt;0,N($A$4),IF(ISNUMBER(--$A$4),--$A$4,YEAR(TODAY()))),3,1),0),tb_pcm_custos[categoria_custo],"MATERIAL"),SUMIFS(tb_pcm_custos[valor_realizado],tb_pcm_custos[data_lancamento],"&gt;="&amp;DATE(IF(N($A$4)&gt;0,N($A$4),IF(ISNUMBER(--$A$4),--$A$4,YEAR(TODAY()))),3,1),tb_pcm_custos[data_lancamento],"&lt;="&amp;EOMONTH(DATE(IF(N($A$4)&gt;0,N($A$4),IF(ISNUMBER(--$A$4),--$A$4,YEAR(TODAY()))),3,1),0),tb_pcm_custos[categoria_custo],"MATERIAL",tb_pcm_custos[setor],$B$4))</f>
        <v/>
      </c>
      <c r="E16" s="82">
        <f>IF($B$4="",SUMIFS(tb_pcm_custos[valor_realizado],tb_pcm_custos[data_lancamento],"&gt;="&amp;DATE(IF(N($A$4)&gt;0,N($A$4),IF(ISNUMBER(--$A$4),--$A$4,YEAR(TODAY()))),4,1),tb_pcm_custos[data_lancamento],"&lt;="&amp;EOMONTH(DATE(IF(N($A$4)&gt;0,N($A$4),IF(ISNUMBER(--$A$4),--$A$4,YEAR(TODAY()))),4,1),0),tb_pcm_custos[categoria_custo],"MATERIAL"),SUMIFS(tb_pcm_custos[valor_realizado],tb_pcm_custos[data_lancamento],"&gt;="&amp;DATE(IF(N($A$4)&gt;0,N($A$4),IF(ISNUMBER(--$A$4),--$A$4,YEAR(TODAY()))),4,1),tb_pcm_custos[data_lancamento],"&lt;="&amp;EOMONTH(DATE(IF(N($A$4)&gt;0,N($A$4),IF(ISNUMBER(--$A$4),--$A$4,YEAR(TODAY()))),4,1),0),tb_pcm_custos[categoria_custo],"MATERIAL",tb_pcm_custos[setor],$B$4))</f>
        <v/>
      </c>
      <c r="F16" s="82">
        <f>IF($B$4="",SUMIFS(tb_pcm_custos[valor_realizado],tb_pcm_custos[data_lancamento],"&gt;="&amp;DATE(IF(N($A$4)&gt;0,N($A$4),IF(ISNUMBER(--$A$4),--$A$4,YEAR(TODAY()))),5,1),tb_pcm_custos[data_lancamento],"&lt;="&amp;EOMONTH(DATE(IF(N($A$4)&gt;0,N($A$4),IF(ISNUMBER(--$A$4),--$A$4,YEAR(TODAY()))),5,1),0),tb_pcm_custos[categoria_custo],"MATERIAL"),SUMIFS(tb_pcm_custos[valor_realizado],tb_pcm_custos[data_lancamento],"&gt;="&amp;DATE(IF(N($A$4)&gt;0,N($A$4),IF(ISNUMBER(--$A$4),--$A$4,YEAR(TODAY()))),5,1),tb_pcm_custos[data_lancamento],"&lt;="&amp;EOMONTH(DATE(IF(N($A$4)&gt;0,N($A$4),IF(ISNUMBER(--$A$4),--$A$4,YEAR(TODAY()))),5,1),0),tb_pcm_custos[categoria_custo],"MATERIAL",tb_pcm_custos[setor],$B$4))</f>
        <v/>
      </c>
      <c r="G16" s="82">
        <f>IF($B$4="",SUMIFS(tb_pcm_custos[valor_realizado],tb_pcm_custos[data_lancamento],"&gt;="&amp;DATE(IF(N($A$4)&gt;0,N($A$4),IF(ISNUMBER(--$A$4),--$A$4,YEAR(TODAY()))),6,1),tb_pcm_custos[data_lancamento],"&lt;="&amp;EOMONTH(DATE(IF(N($A$4)&gt;0,N($A$4),IF(ISNUMBER(--$A$4),--$A$4,YEAR(TODAY()))),6,1),0),tb_pcm_custos[categoria_custo],"MATERIAL"),SUMIFS(tb_pcm_custos[valor_realizado],tb_pcm_custos[data_lancamento],"&gt;="&amp;DATE(IF(N($A$4)&gt;0,N($A$4),IF(ISNUMBER(--$A$4),--$A$4,YEAR(TODAY()))),6,1),tb_pcm_custos[data_lancamento],"&lt;="&amp;EOMONTH(DATE(IF(N($A$4)&gt;0,N($A$4),IF(ISNUMBER(--$A$4),--$A$4,YEAR(TODAY()))),6,1),0),tb_pcm_custos[categoria_custo],"MATERIAL",tb_pcm_custos[setor],$B$4))</f>
        <v/>
      </c>
      <c r="H16" s="82">
        <f>IF($B$4="",SUMIFS(tb_pcm_custos[valor_realizado],tb_pcm_custos[data_lancamento],"&gt;="&amp;DATE(IF(N($A$4)&gt;0,N($A$4),IF(ISNUMBER(--$A$4),--$A$4,YEAR(TODAY()))),7,1),tb_pcm_custos[data_lancamento],"&lt;="&amp;EOMONTH(DATE(IF(N($A$4)&gt;0,N($A$4),IF(ISNUMBER(--$A$4),--$A$4,YEAR(TODAY()))),7,1),0),tb_pcm_custos[categoria_custo],"MATERIAL"),SUMIFS(tb_pcm_custos[valor_realizado],tb_pcm_custos[data_lancamento],"&gt;="&amp;DATE(IF(N($A$4)&gt;0,N($A$4),IF(ISNUMBER(--$A$4),--$A$4,YEAR(TODAY()))),7,1),tb_pcm_custos[data_lancamento],"&lt;="&amp;EOMONTH(DATE(IF(N($A$4)&gt;0,N($A$4),IF(ISNUMBER(--$A$4),--$A$4,YEAR(TODAY()))),7,1),0),tb_pcm_custos[categoria_custo],"MATERIAL",tb_pcm_custos[setor],$B$4))</f>
        <v/>
      </c>
      <c r="I16" s="82">
        <f>IF($B$4="",SUMIFS(tb_pcm_custos[valor_realizado],tb_pcm_custos[data_lancamento],"&gt;="&amp;DATE(IF(N($A$4)&gt;0,N($A$4),IF(ISNUMBER(--$A$4),--$A$4,YEAR(TODAY()))),8,1),tb_pcm_custos[data_lancamento],"&lt;="&amp;EOMONTH(DATE(IF(N($A$4)&gt;0,N($A$4),IF(ISNUMBER(--$A$4),--$A$4,YEAR(TODAY()))),8,1),0),tb_pcm_custos[categoria_custo],"MATERIAL"),SUMIFS(tb_pcm_custos[valor_realizado],tb_pcm_custos[data_lancamento],"&gt;="&amp;DATE(IF(N($A$4)&gt;0,N($A$4),IF(ISNUMBER(--$A$4),--$A$4,YEAR(TODAY()))),8,1),tb_pcm_custos[data_lancamento],"&lt;="&amp;EOMONTH(DATE(IF(N($A$4)&gt;0,N($A$4),IF(ISNUMBER(--$A$4),--$A$4,YEAR(TODAY()))),8,1),0),tb_pcm_custos[categoria_custo],"MATERIAL",tb_pcm_custos[setor],$B$4))</f>
        <v/>
      </c>
      <c r="J16" s="82">
        <f>IF($B$4="",SUMIFS(tb_pcm_custos[valor_realizado],tb_pcm_custos[data_lancamento],"&gt;="&amp;DATE(IF(N($A$4)&gt;0,N($A$4),IF(ISNUMBER(--$A$4),--$A$4,YEAR(TODAY()))),9,1),tb_pcm_custos[data_lancamento],"&lt;="&amp;EOMONTH(DATE(IF(N($A$4)&gt;0,N($A$4),IF(ISNUMBER(--$A$4),--$A$4,YEAR(TODAY()))),9,1),0),tb_pcm_custos[categoria_custo],"MATERIAL"),SUMIFS(tb_pcm_custos[valor_realizado],tb_pcm_custos[data_lancamento],"&gt;="&amp;DATE(IF(N($A$4)&gt;0,N($A$4),IF(ISNUMBER(--$A$4),--$A$4,YEAR(TODAY()))),9,1),tb_pcm_custos[data_lancamento],"&lt;="&amp;EOMONTH(DATE(IF(N($A$4)&gt;0,N($A$4),IF(ISNUMBER(--$A$4),--$A$4,YEAR(TODAY()))),9,1),0),tb_pcm_custos[categoria_custo],"MATERIAL",tb_pcm_custos[setor],$B$4))</f>
        <v/>
      </c>
      <c r="K16" s="82">
        <f>IF($B$4="",SUMIFS(tb_pcm_custos[valor_realizado],tb_pcm_custos[data_lancamento],"&gt;="&amp;DATE(IF(N($A$4)&gt;0,N($A$4),IF(ISNUMBER(--$A$4),--$A$4,YEAR(TODAY()))),10,1),tb_pcm_custos[data_lancamento],"&lt;="&amp;EOMONTH(DATE(IF(N($A$4)&gt;0,N($A$4),IF(ISNUMBER(--$A$4),--$A$4,YEAR(TODAY()))),10,1),0),tb_pcm_custos[categoria_custo],"MATERIAL"),SUMIFS(tb_pcm_custos[valor_realizado],tb_pcm_custos[data_lancamento],"&gt;="&amp;DATE(IF(N($A$4)&gt;0,N($A$4),IF(ISNUMBER(--$A$4),--$A$4,YEAR(TODAY()))),10,1),tb_pcm_custos[data_lancamento],"&lt;="&amp;EOMONTH(DATE(IF(N($A$4)&gt;0,N($A$4),IF(ISNUMBER(--$A$4),--$A$4,YEAR(TODAY()))),10,1),0),tb_pcm_custos[categoria_custo],"MATERIAL",tb_pcm_custos[setor],$B$4))</f>
        <v/>
      </c>
      <c r="L16" s="82">
        <f>IF($B$4="",SUMIFS(tb_pcm_custos[valor_realizado],tb_pcm_custos[data_lancamento],"&gt;="&amp;DATE(IF(N($A$4)&gt;0,N($A$4),IF(ISNUMBER(--$A$4),--$A$4,YEAR(TODAY()))),11,1),tb_pcm_custos[data_lancamento],"&lt;="&amp;EOMONTH(DATE(IF(N($A$4)&gt;0,N($A$4),IF(ISNUMBER(--$A$4),--$A$4,YEAR(TODAY()))),11,1),0),tb_pcm_custos[categoria_custo],"MATERIAL"),SUMIFS(tb_pcm_custos[valor_realizado],tb_pcm_custos[data_lancamento],"&gt;="&amp;DATE(IF(N($A$4)&gt;0,N($A$4),IF(ISNUMBER(--$A$4),--$A$4,YEAR(TODAY()))),11,1),tb_pcm_custos[data_lancamento],"&lt;="&amp;EOMONTH(DATE(IF(N($A$4)&gt;0,N($A$4),IF(ISNUMBER(--$A$4),--$A$4,YEAR(TODAY()))),11,1),0),tb_pcm_custos[categoria_custo],"MATERIAL",tb_pcm_custos[setor],$B$4))</f>
        <v/>
      </c>
      <c r="M16" s="82">
        <f>IF($B$4="",SUMIFS(tb_pcm_custos[valor_realizado],tb_pcm_custos[data_lancamento],"&gt;="&amp;DATE(IF(N($A$4)&gt;0,N($A$4),IF(ISNUMBER(--$A$4),--$A$4,YEAR(TODAY()))),12,1),tb_pcm_custos[data_lancamento],"&lt;="&amp;EOMONTH(DATE(IF(N($A$4)&gt;0,N($A$4),IF(ISNUMBER(--$A$4),--$A$4,YEAR(TODAY()))),12,1),0),tb_pcm_custos[categoria_custo],"MATERIAL"),SUMIFS(tb_pcm_custos[valor_realizado],tb_pcm_custos[data_lancamento],"&gt;="&amp;DATE(IF(N($A$4)&gt;0,N($A$4),IF(ISNUMBER(--$A$4),--$A$4,YEAR(TODAY()))),12,1),tb_pcm_custos[data_lancamento],"&lt;="&amp;EOMONTH(DATE(IF(N($A$4)&gt;0,N($A$4),IF(ISNUMBER(--$A$4),--$A$4,YEAR(TODAY()))),12,1),0),tb_pcm_custos[categoria_custo],"MATERIAL",tb_pcm_custos[setor],$B$4))</f>
        <v/>
      </c>
      <c r="N16" s="75">
        <f>SUM(B16:M16)</f>
        <v/>
      </c>
      <c r="O16" s="83">
        <f>N8-N16</f>
        <v/>
      </c>
      <c r="P16" s="84" t="n"/>
      <c r="Q16" s="66" t="n"/>
    </row>
    <row r="17" ht="20" customHeight="1">
      <c r="A17" s="73" t="inlineStr">
        <is>
          <t>Mão de obra</t>
        </is>
      </c>
      <c r="B17" s="82">
        <f>IF($B$4="",SUMIFS(tb_pcm_custos[valor_realizado],tb_pcm_custos[data_lancamento],"&gt;="&amp;DATE(IF(N($A$4)&gt;0,N($A$4),IF(ISNUMBER(--$A$4),--$A$4,YEAR(TODAY()))),1,1),tb_pcm_custos[data_lancamento],"&lt;="&amp;EOMONTH(DATE(IF(N($A$4)&gt;0,N($A$4),IF(ISNUMBER(--$A$4),--$A$4,YEAR(TODAY()))),1,1),0),tb_pcm_custos[categoria_custo],"MAO_OBRA"),SUMIFS(tb_pcm_custos[valor_realizado],tb_pcm_custos[data_lancamento],"&gt;="&amp;DATE(IF(N($A$4)&gt;0,N($A$4),IF(ISNUMBER(--$A$4),--$A$4,YEAR(TODAY()))),1,1),tb_pcm_custos[data_lancamento],"&lt;="&amp;EOMONTH(DATE(IF(N($A$4)&gt;0,N($A$4),IF(ISNUMBER(--$A$4),--$A$4,YEAR(TODAY()))),1,1),0),tb_pcm_custos[categoria_custo],"MAO_OBRA",tb_pcm_custos[setor],$B$4))</f>
        <v/>
      </c>
      <c r="C17" s="82">
        <f>IF($B$4="",SUMIFS(tb_pcm_custos[valor_realizado],tb_pcm_custos[data_lancamento],"&gt;="&amp;DATE(IF(N($A$4)&gt;0,N($A$4),IF(ISNUMBER(--$A$4),--$A$4,YEAR(TODAY()))),2,1),tb_pcm_custos[data_lancamento],"&lt;="&amp;EOMONTH(DATE(IF(N($A$4)&gt;0,N($A$4),IF(ISNUMBER(--$A$4),--$A$4,YEAR(TODAY()))),2,1),0),tb_pcm_custos[categoria_custo],"MAO_OBRA"),SUMIFS(tb_pcm_custos[valor_realizado],tb_pcm_custos[data_lancamento],"&gt;="&amp;DATE(IF(N($A$4)&gt;0,N($A$4),IF(ISNUMBER(--$A$4),--$A$4,YEAR(TODAY()))),2,1),tb_pcm_custos[data_lancamento],"&lt;="&amp;EOMONTH(DATE(IF(N($A$4)&gt;0,N($A$4),IF(ISNUMBER(--$A$4),--$A$4,YEAR(TODAY()))),2,1),0),tb_pcm_custos[categoria_custo],"MAO_OBRA",tb_pcm_custos[setor],$B$4))</f>
        <v/>
      </c>
      <c r="D17" s="82">
        <f>IF($B$4="",SUMIFS(tb_pcm_custos[valor_realizado],tb_pcm_custos[data_lancamento],"&gt;="&amp;DATE(IF(N($A$4)&gt;0,N($A$4),IF(ISNUMBER(--$A$4),--$A$4,YEAR(TODAY()))),3,1),tb_pcm_custos[data_lancamento],"&lt;="&amp;EOMONTH(DATE(IF(N($A$4)&gt;0,N($A$4),IF(ISNUMBER(--$A$4),--$A$4,YEAR(TODAY()))),3,1),0),tb_pcm_custos[categoria_custo],"MAO_OBRA"),SUMIFS(tb_pcm_custos[valor_realizado],tb_pcm_custos[data_lancamento],"&gt;="&amp;DATE(IF(N($A$4)&gt;0,N($A$4),IF(ISNUMBER(--$A$4),--$A$4,YEAR(TODAY()))),3,1),tb_pcm_custos[data_lancamento],"&lt;="&amp;EOMONTH(DATE(IF(N($A$4)&gt;0,N($A$4),IF(ISNUMBER(--$A$4),--$A$4,YEAR(TODAY()))),3,1),0),tb_pcm_custos[categoria_custo],"MAO_OBRA",tb_pcm_custos[setor],$B$4))</f>
        <v/>
      </c>
      <c r="E17" s="82">
        <f>IF($B$4="",SUMIFS(tb_pcm_custos[valor_realizado],tb_pcm_custos[data_lancamento],"&gt;="&amp;DATE(IF(N($A$4)&gt;0,N($A$4),IF(ISNUMBER(--$A$4),--$A$4,YEAR(TODAY()))),4,1),tb_pcm_custos[data_lancamento],"&lt;="&amp;EOMONTH(DATE(IF(N($A$4)&gt;0,N($A$4),IF(ISNUMBER(--$A$4),--$A$4,YEAR(TODAY()))),4,1),0),tb_pcm_custos[categoria_custo],"MAO_OBRA"),SUMIFS(tb_pcm_custos[valor_realizado],tb_pcm_custos[data_lancamento],"&gt;="&amp;DATE(IF(N($A$4)&gt;0,N($A$4),IF(ISNUMBER(--$A$4),--$A$4,YEAR(TODAY()))),4,1),tb_pcm_custos[data_lancamento],"&lt;="&amp;EOMONTH(DATE(IF(N($A$4)&gt;0,N($A$4),IF(ISNUMBER(--$A$4),--$A$4,YEAR(TODAY()))),4,1),0),tb_pcm_custos[categoria_custo],"MAO_OBRA",tb_pcm_custos[setor],$B$4))</f>
        <v/>
      </c>
      <c r="F17" s="82">
        <f>IF($B$4="",SUMIFS(tb_pcm_custos[valor_realizado],tb_pcm_custos[data_lancamento],"&gt;="&amp;DATE(IF(N($A$4)&gt;0,N($A$4),IF(ISNUMBER(--$A$4),--$A$4,YEAR(TODAY()))),5,1),tb_pcm_custos[data_lancamento],"&lt;="&amp;EOMONTH(DATE(IF(N($A$4)&gt;0,N($A$4),IF(ISNUMBER(--$A$4),--$A$4,YEAR(TODAY()))),5,1),0),tb_pcm_custos[categoria_custo],"MAO_OBRA"),SUMIFS(tb_pcm_custos[valor_realizado],tb_pcm_custos[data_lancamento],"&gt;="&amp;DATE(IF(N($A$4)&gt;0,N($A$4),IF(ISNUMBER(--$A$4),--$A$4,YEAR(TODAY()))),5,1),tb_pcm_custos[data_lancamento],"&lt;="&amp;EOMONTH(DATE(IF(N($A$4)&gt;0,N($A$4),IF(ISNUMBER(--$A$4),--$A$4,YEAR(TODAY()))),5,1),0),tb_pcm_custos[categoria_custo],"MAO_OBRA",tb_pcm_custos[setor],$B$4))</f>
        <v/>
      </c>
      <c r="G17" s="82">
        <f>IF($B$4="",SUMIFS(tb_pcm_custos[valor_realizado],tb_pcm_custos[data_lancamento],"&gt;="&amp;DATE(IF(N($A$4)&gt;0,N($A$4),IF(ISNUMBER(--$A$4),--$A$4,YEAR(TODAY()))),6,1),tb_pcm_custos[data_lancamento],"&lt;="&amp;EOMONTH(DATE(IF(N($A$4)&gt;0,N($A$4),IF(ISNUMBER(--$A$4),--$A$4,YEAR(TODAY()))),6,1),0),tb_pcm_custos[categoria_custo],"MAO_OBRA"),SUMIFS(tb_pcm_custos[valor_realizado],tb_pcm_custos[data_lancamento],"&gt;="&amp;DATE(IF(N($A$4)&gt;0,N($A$4),IF(ISNUMBER(--$A$4),--$A$4,YEAR(TODAY()))),6,1),tb_pcm_custos[data_lancamento],"&lt;="&amp;EOMONTH(DATE(IF(N($A$4)&gt;0,N($A$4),IF(ISNUMBER(--$A$4),--$A$4,YEAR(TODAY()))),6,1),0),tb_pcm_custos[categoria_custo],"MAO_OBRA",tb_pcm_custos[setor],$B$4))</f>
        <v/>
      </c>
      <c r="H17" s="82">
        <f>IF($B$4="",SUMIFS(tb_pcm_custos[valor_realizado],tb_pcm_custos[data_lancamento],"&gt;="&amp;DATE(IF(N($A$4)&gt;0,N($A$4),IF(ISNUMBER(--$A$4),--$A$4,YEAR(TODAY()))),7,1),tb_pcm_custos[data_lancamento],"&lt;="&amp;EOMONTH(DATE(IF(N($A$4)&gt;0,N($A$4),IF(ISNUMBER(--$A$4),--$A$4,YEAR(TODAY()))),7,1),0),tb_pcm_custos[categoria_custo],"MAO_OBRA"),SUMIFS(tb_pcm_custos[valor_realizado],tb_pcm_custos[data_lancamento],"&gt;="&amp;DATE(IF(N($A$4)&gt;0,N($A$4),IF(ISNUMBER(--$A$4),--$A$4,YEAR(TODAY()))),7,1),tb_pcm_custos[data_lancamento],"&lt;="&amp;EOMONTH(DATE(IF(N($A$4)&gt;0,N($A$4),IF(ISNUMBER(--$A$4),--$A$4,YEAR(TODAY()))),7,1),0),tb_pcm_custos[categoria_custo],"MAO_OBRA",tb_pcm_custos[setor],$B$4))</f>
        <v/>
      </c>
      <c r="I17" s="82">
        <f>IF($B$4="",SUMIFS(tb_pcm_custos[valor_realizado],tb_pcm_custos[data_lancamento],"&gt;="&amp;DATE(IF(N($A$4)&gt;0,N($A$4),IF(ISNUMBER(--$A$4),--$A$4,YEAR(TODAY()))),8,1),tb_pcm_custos[data_lancamento],"&lt;="&amp;EOMONTH(DATE(IF(N($A$4)&gt;0,N($A$4),IF(ISNUMBER(--$A$4),--$A$4,YEAR(TODAY()))),8,1),0),tb_pcm_custos[categoria_custo],"MAO_OBRA"),SUMIFS(tb_pcm_custos[valor_realizado],tb_pcm_custos[data_lancamento],"&gt;="&amp;DATE(IF(N($A$4)&gt;0,N($A$4),IF(ISNUMBER(--$A$4),--$A$4,YEAR(TODAY()))),8,1),tb_pcm_custos[data_lancamento],"&lt;="&amp;EOMONTH(DATE(IF(N($A$4)&gt;0,N($A$4),IF(ISNUMBER(--$A$4),--$A$4,YEAR(TODAY()))),8,1),0),tb_pcm_custos[categoria_custo],"MAO_OBRA",tb_pcm_custos[setor],$B$4))</f>
        <v/>
      </c>
      <c r="J17" s="82">
        <f>IF($B$4="",SUMIFS(tb_pcm_custos[valor_realizado],tb_pcm_custos[data_lancamento],"&gt;="&amp;DATE(IF(N($A$4)&gt;0,N($A$4),IF(ISNUMBER(--$A$4),--$A$4,YEAR(TODAY()))),9,1),tb_pcm_custos[data_lancamento],"&lt;="&amp;EOMONTH(DATE(IF(N($A$4)&gt;0,N($A$4),IF(ISNUMBER(--$A$4),--$A$4,YEAR(TODAY()))),9,1),0),tb_pcm_custos[categoria_custo],"MAO_OBRA"),SUMIFS(tb_pcm_custos[valor_realizado],tb_pcm_custos[data_lancamento],"&gt;="&amp;DATE(IF(N($A$4)&gt;0,N($A$4),IF(ISNUMBER(--$A$4),--$A$4,YEAR(TODAY()))),9,1),tb_pcm_custos[data_lancamento],"&lt;="&amp;EOMONTH(DATE(IF(N($A$4)&gt;0,N($A$4),IF(ISNUMBER(--$A$4),--$A$4,YEAR(TODAY()))),9,1),0),tb_pcm_custos[categoria_custo],"MAO_OBRA",tb_pcm_custos[setor],$B$4))</f>
        <v/>
      </c>
      <c r="K17" s="82">
        <f>IF($B$4="",SUMIFS(tb_pcm_custos[valor_realizado],tb_pcm_custos[data_lancamento],"&gt;="&amp;DATE(IF(N($A$4)&gt;0,N($A$4),IF(ISNUMBER(--$A$4),--$A$4,YEAR(TODAY()))),10,1),tb_pcm_custos[data_lancamento],"&lt;="&amp;EOMONTH(DATE(IF(N($A$4)&gt;0,N($A$4),IF(ISNUMBER(--$A$4),--$A$4,YEAR(TODAY()))),10,1),0),tb_pcm_custos[categoria_custo],"MAO_OBRA"),SUMIFS(tb_pcm_custos[valor_realizado],tb_pcm_custos[data_lancamento],"&gt;="&amp;DATE(IF(N($A$4)&gt;0,N($A$4),IF(ISNUMBER(--$A$4),--$A$4,YEAR(TODAY()))),10,1),tb_pcm_custos[data_lancamento],"&lt;="&amp;EOMONTH(DATE(IF(N($A$4)&gt;0,N($A$4),IF(ISNUMBER(--$A$4),--$A$4,YEAR(TODAY()))),10,1),0),tb_pcm_custos[categoria_custo],"MAO_OBRA",tb_pcm_custos[setor],$B$4))</f>
        <v/>
      </c>
      <c r="L17" s="82">
        <f>IF($B$4="",SUMIFS(tb_pcm_custos[valor_realizado],tb_pcm_custos[data_lancamento],"&gt;="&amp;DATE(IF(N($A$4)&gt;0,N($A$4),IF(ISNUMBER(--$A$4),--$A$4,YEAR(TODAY()))),11,1),tb_pcm_custos[data_lancamento],"&lt;="&amp;EOMONTH(DATE(IF(N($A$4)&gt;0,N($A$4),IF(ISNUMBER(--$A$4),--$A$4,YEAR(TODAY()))),11,1),0),tb_pcm_custos[categoria_custo],"MAO_OBRA"),SUMIFS(tb_pcm_custos[valor_realizado],tb_pcm_custos[data_lancamento],"&gt;="&amp;DATE(IF(N($A$4)&gt;0,N($A$4),IF(ISNUMBER(--$A$4),--$A$4,YEAR(TODAY()))),11,1),tb_pcm_custos[data_lancamento],"&lt;="&amp;EOMONTH(DATE(IF(N($A$4)&gt;0,N($A$4),IF(ISNUMBER(--$A$4),--$A$4,YEAR(TODAY()))),11,1),0),tb_pcm_custos[categoria_custo],"MAO_OBRA",tb_pcm_custos[setor],$B$4))</f>
        <v/>
      </c>
      <c r="M17" s="82">
        <f>IF($B$4="",SUMIFS(tb_pcm_custos[valor_realizado],tb_pcm_custos[data_lancamento],"&gt;="&amp;DATE(IF(N($A$4)&gt;0,N($A$4),IF(ISNUMBER(--$A$4),--$A$4,YEAR(TODAY()))),12,1),tb_pcm_custos[data_lancamento],"&lt;="&amp;EOMONTH(DATE(IF(N($A$4)&gt;0,N($A$4),IF(ISNUMBER(--$A$4),--$A$4,YEAR(TODAY()))),12,1),0),tb_pcm_custos[categoria_custo],"MAO_OBRA"),SUMIFS(tb_pcm_custos[valor_realizado],tb_pcm_custos[data_lancamento],"&gt;="&amp;DATE(IF(N($A$4)&gt;0,N($A$4),IF(ISNUMBER(--$A$4),--$A$4,YEAR(TODAY()))),12,1),tb_pcm_custos[data_lancamento],"&lt;="&amp;EOMONTH(DATE(IF(N($A$4)&gt;0,N($A$4),IF(ISNUMBER(--$A$4),--$A$4,YEAR(TODAY()))),12,1),0),tb_pcm_custos[categoria_custo],"MAO_OBRA",tb_pcm_custos[setor],$B$4))</f>
        <v/>
      </c>
      <c r="N17" s="75">
        <f>SUM(B17:M17)</f>
        <v/>
      </c>
      <c r="O17" s="83">
        <f>N9-N17</f>
        <v/>
      </c>
      <c r="P17" s="84" t="n"/>
      <c r="Q17" s="66" t="n"/>
    </row>
    <row r="18" ht="20" customHeight="1">
      <c r="A18" s="73" t="inlineStr">
        <is>
          <t>Terceiros</t>
        </is>
      </c>
      <c r="B18" s="82">
        <f>IF($B$4="",SUMIFS(tb_pcm_custos[valor_realizado],tb_pcm_custos[data_lancamento],"&gt;="&amp;DATE(IF(N($A$4)&gt;0,N($A$4),IF(ISNUMBER(--$A$4),--$A$4,YEAR(TODAY()))),1,1),tb_pcm_custos[data_lancamento],"&lt;="&amp;EOMONTH(DATE(IF(N($A$4)&gt;0,N($A$4),IF(ISNUMBER(--$A$4),--$A$4,YEAR(TODAY()))),1,1),0),tb_pcm_custos[categoria_custo],"TERCEIROS"),SUMIFS(tb_pcm_custos[valor_realizado],tb_pcm_custos[data_lancamento],"&gt;="&amp;DATE(IF(N($A$4)&gt;0,N($A$4),IF(ISNUMBER(--$A$4),--$A$4,YEAR(TODAY()))),1,1),tb_pcm_custos[data_lancamento],"&lt;="&amp;EOMONTH(DATE(IF(N($A$4)&gt;0,N($A$4),IF(ISNUMBER(--$A$4),--$A$4,YEAR(TODAY()))),1,1),0),tb_pcm_custos[categoria_custo],"TERCEIROS",tb_pcm_custos[setor],$B$4))</f>
        <v/>
      </c>
      <c r="C18" s="82">
        <f>IF($B$4="",SUMIFS(tb_pcm_custos[valor_realizado],tb_pcm_custos[data_lancamento],"&gt;="&amp;DATE(IF(N($A$4)&gt;0,N($A$4),IF(ISNUMBER(--$A$4),--$A$4,YEAR(TODAY()))),2,1),tb_pcm_custos[data_lancamento],"&lt;="&amp;EOMONTH(DATE(IF(N($A$4)&gt;0,N($A$4),IF(ISNUMBER(--$A$4),--$A$4,YEAR(TODAY()))),2,1),0),tb_pcm_custos[categoria_custo],"TERCEIROS"),SUMIFS(tb_pcm_custos[valor_realizado],tb_pcm_custos[data_lancamento],"&gt;="&amp;DATE(IF(N($A$4)&gt;0,N($A$4),IF(ISNUMBER(--$A$4),--$A$4,YEAR(TODAY()))),2,1),tb_pcm_custos[data_lancamento],"&lt;="&amp;EOMONTH(DATE(IF(N($A$4)&gt;0,N($A$4),IF(ISNUMBER(--$A$4),--$A$4,YEAR(TODAY()))),2,1),0),tb_pcm_custos[categoria_custo],"TERCEIROS",tb_pcm_custos[setor],$B$4))</f>
        <v/>
      </c>
      <c r="D18" s="82">
        <f>IF($B$4="",SUMIFS(tb_pcm_custos[valor_realizado],tb_pcm_custos[data_lancamento],"&gt;="&amp;DATE(IF(N($A$4)&gt;0,N($A$4),IF(ISNUMBER(--$A$4),--$A$4,YEAR(TODAY()))),3,1),tb_pcm_custos[data_lancamento],"&lt;="&amp;EOMONTH(DATE(IF(N($A$4)&gt;0,N($A$4),IF(ISNUMBER(--$A$4),--$A$4,YEAR(TODAY()))),3,1),0),tb_pcm_custos[categoria_custo],"TERCEIROS"),SUMIFS(tb_pcm_custos[valor_realizado],tb_pcm_custos[data_lancamento],"&gt;="&amp;DATE(IF(N($A$4)&gt;0,N($A$4),IF(ISNUMBER(--$A$4),--$A$4,YEAR(TODAY()))),3,1),tb_pcm_custos[data_lancamento],"&lt;="&amp;EOMONTH(DATE(IF(N($A$4)&gt;0,N($A$4),IF(ISNUMBER(--$A$4),--$A$4,YEAR(TODAY()))),3,1),0),tb_pcm_custos[categoria_custo],"TERCEIROS",tb_pcm_custos[setor],$B$4))</f>
        <v/>
      </c>
      <c r="E18" s="82">
        <f>IF($B$4="",SUMIFS(tb_pcm_custos[valor_realizado],tb_pcm_custos[data_lancamento],"&gt;="&amp;DATE(IF(N($A$4)&gt;0,N($A$4),IF(ISNUMBER(--$A$4),--$A$4,YEAR(TODAY()))),4,1),tb_pcm_custos[data_lancamento],"&lt;="&amp;EOMONTH(DATE(IF(N($A$4)&gt;0,N($A$4),IF(ISNUMBER(--$A$4),--$A$4,YEAR(TODAY()))),4,1),0),tb_pcm_custos[categoria_custo],"TERCEIROS"),SUMIFS(tb_pcm_custos[valor_realizado],tb_pcm_custos[data_lancamento],"&gt;="&amp;DATE(IF(N($A$4)&gt;0,N($A$4),IF(ISNUMBER(--$A$4),--$A$4,YEAR(TODAY()))),4,1),tb_pcm_custos[data_lancamento],"&lt;="&amp;EOMONTH(DATE(IF(N($A$4)&gt;0,N($A$4),IF(ISNUMBER(--$A$4),--$A$4,YEAR(TODAY()))),4,1),0),tb_pcm_custos[categoria_custo],"TERCEIROS",tb_pcm_custos[setor],$B$4))</f>
        <v/>
      </c>
      <c r="F18" s="82">
        <f>IF($B$4="",SUMIFS(tb_pcm_custos[valor_realizado],tb_pcm_custos[data_lancamento],"&gt;="&amp;DATE(IF(N($A$4)&gt;0,N($A$4),IF(ISNUMBER(--$A$4),--$A$4,YEAR(TODAY()))),5,1),tb_pcm_custos[data_lancamento],"&lt;="&amp;EOMONTH(DATE(IF(N($A$4)&gt;0,N($A$4),IF(ISNUMBER(--$A$4),--$A$4,YEAR(TODAY()))),5,1),0),tb_pcm_custos[categoria_custo],"TERCEIROS"),SUMIFS(tb_pcm_custos[valor_realizado],tb_pcm_custos[data_lancamento],"&gt;="&amp;DATE(IF(N($A$4)&gt;0,N($A$4),IF(ISNUMBER(--$A$4),--$A$4,YEAR(TODAY()))),5,1),tb_pcm_custos[data_lancamento],"&lt;="&amp;EOMONTH(DATE(IF(N($A$4)&gt;0,N($A$4),IF(ISNUMBER(--$A$4),--$A$4,YEAR(TODAY()))),5,1),0),tb_pcm_custos[categoria_custo],"TERCEIROS",tb_pcm_custos[setor],$B$4))</f>
        <v/>
      </c>
      <c r="G18" s="82">
        <f>IF($B$4="",SUMIFS(tb_pcm_custos[valor_realizado],tb_pcm_custos[data_lancamento],"&gt;="&amp;DATE(IF(N($A$4)&gt;0,N($A$4),IF(ISNUMBER(--$A$4),--$A$4,YEAR(TODAY()))),6,1),tb_pcm_custos[data_lancamento],"&lt;="&amp;EOMONTH(DATE(IF(N($A$4)&gt;0,N($A$4),IF(ISNUMBER(--$A$4),--$A$4,YEAR(TODAY()))),6,1),0),tb_pcm_custos[categoria_custo],"TERCEIROS"),SUMIFS(tb_pcm_custos[valor_realizado],tb_pcm_custos[data_lancamento],"&gt;="&amp;DATE(IF(N($A$4)&gt;0,N($A$4),IF(ISNUMBER(--$A$4),--$A$4,YEAR(TODAY()))),6,1),tb_pcm_custos[data_lancamento],"&lt;="&amp;EOMONTH(DATE(IF(N($A$4)&gt;0,N($A$4),IF(ISNUMBER(--$A$4),--$A$4,YEAR(TODAY()))),6,1),0),tb_pcm_custos[categoria_custo],"TERCEIROS",tb_pcm_custos[setor],$B$4))</f>
        <v/>
      </c>
      <c r="H18" s="82">
        <f>IF($B$4="",SUMIFS(tb_pcm_custos[valor_realizado],tb_pcm_custos[data_lancamento],"&gt;="&amp;DATE(IF(N($A$4)&gt;0,N($A$4),IF(ISNUMBER(--$A$4),--$A$4,YEAR(TODAY()))),7,1),tb_pcm_custos[data_lancamento],"&lt;="&amp;EOMONTH(DATE(IF(N($A$4)&gt;0,N($A$4),IF(ISNUMBER(--$A$4),--$A$4,YEAR(TODAY()))),7,1),0),tb_pcm_custos[categoria_custo],"TERCEIROS"),SUMIFS(tb_pcm_custos[valor_realizado],tb_pcm_custos[data_lancamento],"&gt;="&amp;DATE(IF(N($A$4)&gt;0,N($A$4),IF(ISNUMBER(--$A$4),--$A$4,YEAR(TODAY()))),7,1),tb_pcm_custos[data_lancamento],"&lt;="&amp;EOMONTH(DATE(IF(N($A$4)&gt;0,N($A$4),IF(ISNUMBER(--$A$4),--$A$4,YEAR(TODAY()))),7,1),0),tb_pcm_custos[categoria_custo],"TERCEIROS",tb_pcm_custos[setor],$B$4))</f>
        <v/>
      </c>
      <c r="I18" s="82">
        <f>IF($B$4="",SUMIFS(tb_pcm_custos[valor_realizado],tb_pcm_custos[data_lancamento],"&gt;="&amp;DATE(IF(N($A$4)&gt;0,N($A$4),IF(ISNUMBER(--$A$4),--$A$4,YEAR(TODAY()))),8,1),tb_pcm_custos[data_lancamento],"&lt;="&amp;EOMONTH(DATE(IF(N($A$4)&gt;0,N($A$4),IF(ISNUMBER(--$A$4),--$A$4,YEAR(TODAY()))),8,1),0),tb_pcm_custos[categoria_custo],"TERCEIROS"),SUMIFS(tb_pcm_custos[valor_realizado],tb_pcm_custos[data_lancamento],"&gt;="&amp;DATE(IF(N($A$4)&gt;0,N($A$4),IF(ISNUMBER(--$A$4),--$A$4,YEAR(TODAY()))),8,1),tb_pcm_custos[data_lancamento],"&lt;="&amp;EOMONTH(DATE(IF(N($A$4)&gt;0,N($A$4),IF(ISNUMBER(--$A$4),--$A$4,YEAR(TODAY()))),8,1),0),tb_pcm_custos[categoria_custo],"TERCEIROS",tb_pcm_custos[setor],$B$4))</f>
        <v/>
      </c>
      <c r="J18" s="82">
        <f>IF($B$4="",SUMIFS(tb_pcm_custos[valor_realizado],tb_pcm_custos[data_lancamento],"&gt;="&amp;DATE(IF(N($A$4)&gt;0,N($A$4),IF(ISNUMBER(--$A$4),--$A$4,YEAR(TODAY()))),9,1),tb_pcm_custos[data_lancamento],"&lt;="&amp;EOMONTH(DATE(IF(N($A$4)&gt;0,N($A$4),IF(ISNUMBER(--$A$4),--$A$4,YEAR(TODAY()))),9,1),0),tb_pcm_custos[categoria_custo],"TERCEIROS"),SUMIFS(tb_pcm_custos[valor_realizado],tb_pcm_custos[data_lancamento],"&gt;="&amp;DATE(IF(N($A$4)&gt;0,N($A$4),IF(ISNUMBER(--$A$4),--$A$4,YEAR(TODAY()))),9,1),tb_pcm_custos[data_lancamento],"&lt;="&amp;EOMONTH(DATE(IF(N($A$4)&gt;0,N($A$4),IF(ISNUMBER(--$A$4),--$A$4,YEAR(TODAY()))),9,1),0),tb_pcm_custos[categoria_custo],"TERCEIROS",tb_pcm_custos[setor],$B$4))</f>
        <v/>
      </c>
      <c r="K18" s="82">
        <f>IF($B$4="",SUMIFS(tb_pcm_custos[valor_realizado],tb_pcm_custos[data_lancamento],"&gt;="&amp;DATE(IF(N($A$4)&gt;0,N($A$4),IF(ISNUMBER(--$A$4),--$A$4,YEAR(TODAY()))),10,1),tb_pcm_custos[data_lancamento],"&lt;="&amp;EOMONTH(DATE(IF(N($A$4)&gt;0,N($A$4),IF(ISNUMBER(--$A$4),--$A$4,YEAR(TODAY()))),10,1),0),tb_pcm_custos[categoria_custo],"TERCEIROS"),SUMIFS(tb_pcm_custos[valor_realizado],tb_pcm_custos[data_lancamento],"&gt;="&amp;DATE(IF(N($A$4)&gt;0,N($A$4),IF(ISNUMBER(--$A$4),--$A$4,YEAR(TODAY()))),10,1),tb_pcm_custos[data_lancamento],"&lt;="&amp;EOMONTH(DATE(IF(N($A$4)&gt;0,N($A$4),IF(ISNUMBER(--$A$4),--$A$4,YEAR(TODAY()))),10,1),0),tb_pcm_custos[categoria_custo],"TERCEIROS",tb_pcm_custos[setor],$B$4))</f>
        <v/>
      </c>
      <c r="L18" s="82">
        <f>IF($B$4="",SUMIFS(tb_pcm_custos[valor_realizado],tb_pcm_custos[data_lancamento],"&gt;="&amp;DATE(IF(N($A$4)&gt;0,N($A$4),IF(ISNUMBER(--$A$4),--$A$4,YEAR(TODAY()))),11,1),tb_pcm_custos[data_lancamento],"&lt;="&amp;EOMONTH(DATE(IF(N($A$4)&gt;0,N($A$4),IF(ISNUMBER(--$A$4),--$A$4,YEAR(TODAY()))),11,1),0),tb_pcm_custos[categoria_custo],"TERCEIROS"),SUMIFS(tb_pcm_custos[valor_realizado],tb_pcm_custos[data_lancamento],"&gt;="&amp;DATE(IF(N($A$4)&gt;0,N($A$4),IF(ISNUMBER(--$A$4),--$A$4,YEAR(TODAY()))),11,1),tb_pcm_custos[data_lancamento],"&lt;="&amp;EOMONTH(DATE(IF(N($A$4)&gt;0,N($A$4),IF(ISNUMBER(--$A$4),--$A$4,YEAR(TODAY()))),11,1),0),tb_pcm_custos[categoria_custo],"TERCEIROS",tb_pcm_custos[setor],$B$4))</f>
        <v/>
      </c>
      <c r="M18" s="82">
        <f>IF($B$4="",SUMIFS(tb_pcm_custos[valor_realizado],tb_pcm_custos[data_lancamento],"&gt;="&amp;DATE(IF(N($A$4)&gt;0,N($A$4),IF(ISNUMBER(--$A$4),--$A$4,YEAR(TODAY()))),12,1),tb_pcm_custos[data_lancamento],"&lt;="&amp;EOMONTH(DATE(IF(N($A$4)&gt;0,N($A$4),IF(ISNUMBER(--$A$4),--$A$4,YEAR(TODAY()))),12,1),0),tb_pcm_custos[categoria_custo],"TERCEIROS"),SUMIFS(tb_pcm_custos[valor_realizado],tb_pcm_custos[data_lancamento],"&gt;="&amp;DATE(IF(N($A$4)&gt;0,N($A$4),IF(ISNUMBER(--$A$4),--$A$4,YEAR(TODAY()))),12,1),tb_pcm_custos[data_lancamento],"&lt;="&amp;EOMONTH(DATE(IF(N($A$4)&gt;0,N($A$4),IF(ISNUMBER(--$A$4),--$A$4,YEAR(TODAY()))),12,1),0),tb_pcm_custos[categoria_custo],"TERCEIROS",tb_pcm_custos[setor],$B$4))</f>
        <v/>
      </c>
      <c r="N18" s="75">
        <f>SUM(B18:M18)</f>
        <v/>
      </c>
      <c r="O18" s="83">
        <f>N10-N18</f>
        <v/>
      </c>
      <c r="P18" s="84" t="n"/>
      <c r="Q18" s="66" t="n"/>
    </row>
    <row r="19" ht="20" customHeight="1">
      <c r="A19" s="73" t="inlineStr">
        <is>
          <t>Outros</t>
        </is>
      </c>
      <c r="B19" s="82">
        <f>IF($B$4="",SUMIFS(tb_pcm_custos[valor_realizado],tb_pcm_custos[data_lancamento],"&gt;="&amp;DATE(IF(N($A$4)&gt;0,N($A$4),IF(ISNUMBER(--$A$4),--$A$4,YEAR(TODAY()))),1,1),tb_pcm_custos[data_lancamento],"&lt;="&amp;EOMONTH(DATE(IF(N($A$4)&gt;0,N($A$4),IF(ISNUMBER(--$A$4),--$A$4,YEAR(TODAY()))),1,1),0),tb_pcm_custos[categoria_custo],"OUTROS"),SUMIFS(tb_pcm_custos[valor_realizado],tb_pcm_custos[data_lancamento],"&gt;="&amp;DATE(IF(N($A$4)&gt;0,N($A$4),IF(ISNUMBER(--$A$4),--$A$4,YEAR(TODAY()))),1,1),tb_pcm_custos[data_lancamento],"&lt;="&amp;EOMONTH(DATE(IF(N($A$4)&gt;0,N($A$4),IF(ISNUMBER(--$A$4),--$A$4,YEAR(TODAY()))),1,1),0),tb_pcm_custos[categoria_custo],"OUTROS",tb_pcm_custos[setor],$B$4))</f>
        <v/>
      </c>
      <c r="C19" s="82">
        <f>IF($B$4="",SUMIFS(tb_pcm_custos[valor_realizado],tb_pcm_custos[data_lancamento],"&gt;="&amp;DATE(IF(N($A$4)&gt;0,N($A$4),IF(ISNUMBER(--$A$4),--$A$4,YEAR(TODAY()))),2,1),tb_pcm_custos[data_lancamento],"&lt;="&amp;EOMONTH(DATE(IF(N($A$4)&gt;0,N($A$4),IF(ISNUMBER(--$A$4),--$A$4,YEAR(TODAY()))),2,1),0),tb_pcm_custos[categoria_custo],"OUTROS"),SUMIFS(tb_pcm_custos[valor_realizado],tb_pcm_custos[data_lancamento],"&gt;="&amp;DATE(IF(N($A$4)&gt;0,N($A$4),IF(ISNUMBER(--$A$4),--$A$4,YEAR(TODAY()))),2,1),tb_pcm_custos[data_lancamento],"&lt;="&amp;EOMONTH(DATE(IF(N($A$4)&gt;0,N($A$4),IF(ISNUMBER(--$A$4),--$A$4,YEAR(TODAY()))),2,1),0),tb_pcm_custos[categoria_custo],"OUTROS",tb_pcm_custos[setor],$B$4))</f>
        <v/>
      </c>
      <c r="D19" s="82">
        <f>IF($B$4="",SUMIFS(tb_pcm_custos[valor_realizado],tb_pcm_custos[data_lancamento],"&gt;="&amp;DATE(IF(N($A$4)&gt;0,N($A$4),IF(ISNUMBER(--$A$4),--$A$4,YEAR(TODAY()))),3,1),tb_pcm_custos[data_lancamento],"&lt;="&amp;EOMONTH(DATE(IF(N($A$4)&gt;0,N($A$4),IF(ISNUMBER(--$A$4),--$A$4,YEAR(TODAY()))),3,1),0),tb_pcm_custos[categoria_custo],"OUTROS"),SUMIFS(tb_pcm_custos[valor_realizado],tb_pcm_custos[data_lancamento],"&gt;="&amp;DATE(IF(N($A$4)&gt;0,N($A$4),IF(ISNUMBER(--$A$4),--$A$4,YEAR(TODAY()))),3,1),tb_pcm_custos[data_lancamento],"&lt;="&amp;EOMONTH(DATE(IF(N($A$4)&gt;0,N($A$4),IF(ISNUMBER(--$A$4),--$A$4,YEAR(TODAY()))),3,1),0),tb_pcm_custos[categoria_custo],"OUTROS",tb_pcm_custos[setor],$B$4))</f>
        <v/>
      </c>
      <c r="E19" s="82">
        <f>IF($B$4="",SUMIFS(tb_pcm_custos[valor_realizado],tb_pcm_custos[data_lancamento],"&gt;="&amp;DATE(IF(N($A$4)&gt;0,N($A$4),IF(ISNUMBER(--$A$4),--$A$4,YEAR(TODAY()))),4,1),tb_pcm_custos[data_lancamento],"&lt;="&amp;EOMONTH(DATE(IF(N($A$4)&gt;0,N($A$4),IF(ISNUMBER(--$A$4),--$A$4,YEAR(TODAY()))),4,1),0),tb_pcm_custos[categoria_custo],"OUTROS"),SUMIFS(tb_pcm_custos[valor_realizado],tb_pcm_custos[data_lancamento],"&gt;="&amp;DATE(IF(N($A$4)&gt;0,N($A$4),IF(ISNUMBER(--$A$4),--$A$4,YEAR(TODAY()))),4,1),tb_pcm_custos[data_lancamento],"&lt;="&amp;EOMONTH(DATE(IF(N($A$4)&gt;0,N($A$4),IF(ISNUMBER(--$A$4),--$A$4,YEAR(TODAY()))),4,1),0),tb_pcm_custos[categoria_custo],"OUTROS",tb_pcm_custos[setor],$B$4))</f>
        <v/>
      </c>
      <c r="F19" s="82">
        <f>IF($B$4="",SUMIFS(tb_pcm_custos[valor_realizado],tb_pcm_custos[data_lancamento],"&gt;="&amp;DATE(IF(N($A$4)&gt;0,N($A$4),IF(ISNUMBER(--$A$4),--$A$4,YEAR(TODAY()))),5,1),tb_pcm_custos[data_lancamento],"&lt;="&amp;EOMONTH(DATE(IF(N($A$4)&gt;0,N($A$4),IF(ISNUMBER(--$A$4),--$A$4,YEAR(TODAY()))),5,1),0),tb_pcm_custos[categoria_custo],"OUTROS"),SUMIFS(tb_pcm_custos[valor_realizado],tb_pcm_custos[data_lancamento],"&gt;="&amp;DATE(IF(N($A$4)&gt;0,N($A$4),IF(ISNUMBER(--$A$4),--$A$4,YEAR(TODAY()))),5,1),tb_pcm_custos[data_lancamento],"&lt;="&amp;EOMONTH(DATE(IF(N($A$4)&gt;0,N($A$4),IF(ISNUMBER(--$A$4),--$A$4,YEAR(TODAY()))),5,1),0),tb_pcm_custos[categoria_custo],"OUTROS",tb_pcm_custos[setor],$B$4))</f>
        <v/>
      </c>
      <c r="G19" s="82">
        <f>IF($B$4="",SUMIFS(tb_pcm_custos[valor_realizado],tb_pcm_custos[data_lancamento],"&gt;="&amp;DATE(IF(N($A$4)&gt;0,N($A$4),IF(ISNUMBER(--$A$4),--$A$4,YEAR(TODAY()))),6,1),tb_pcm_custos[data_lancamento],"&lt;="&amp;EOMONTH(DATE(IF(N($A$4)&gt;0,N($A$4),IF(ISNUMBER(--$A$4),--$A$4,YEAR(TODAY()))),6,1),0),tb_pcm_custos[categoria_custo],"OUTROS"),SUMIFS(tb_pcm_custos[valor_realizado],tb_pcm_custos[data_lancamento],"&gt;="&amp;DATE(IF(N($A$4)&gt;0,N($A$4),IF(ISNUMBER(--$A$4),--$A$4,YEAR(TODAY()))),6,1),tb_pcm_custos[data_lancamento],"&lt;="&amp;EOMONTH(DATE(IF(N($A$4)&gt;0,N($A$4),IF(ISNUMBER(--$A$4),--$A$4,YEAR(TODAY()))),6,1),0),tb_pcm_custos[categoria_custo],"OUTROS",tb_pcm_custos[setor],$B$4))</f>
        <v/>
      </c>
      <c r="H19" s="82">
        <f>IF($B$4="",SUMIFS(tb_pcm_custos[valor_realizado],tb_pcm_custos[data_lancamento],"&gt;="&amp;DATE(IF(N($A$4)&gt;0,N($A$4),IF(ISNUMBER(--$A$4),--$A$4,YEAR(TODAY()))),7,1),tb_pcm_custos[data_lancamento],"&lt;="&amp;EOMONTH(DATE(IF(N($A$4)&gt;0,N($A$4),IF(ISNUMBER(--$A$4),--$A$4,YEAR(TODAY()))),7,1),0),tb_pcm_custos[categoria_custo],"OUTROS"),SUMIFS(tb_pcm_custos[valor_realizado],tb_pcm_custos[data_lancamento],"&gt;="&amp;DATE(IF(N($A$4)&gt;0,N($A$4),IF(ISNUMBER(--$A$4),--$A$4,YEAR(TODAY()))),7,1),tb_pcm_custos[data_lancamento],"&lt;="&amp;EOMONTH(DATE(IF(N($A$4)&gt;0,N($A$4),IF(ISNUMBER(--$A$4),--$A$4,YEAR(TODAY()))),7,1),0),tb_pcm_custos[categoria_custo],"OUTROS",tb_pcm_custos[setor],$B$4))</f>
        <v/>
      </c>
      <c r="I19" s="82">
        <f>IF($B$4="",SUMIFS(tb_pcm_custos[valor_realizado],tb_pcm_custos[data_lancamento],"&gt;="&amp;DATE(IF(N($A$4)&gt;0,N($A$4),IF(ISNUMBER(--$A$4),--$A$4,YEAR(TODAY()))),8,1),tb_pcm_custos[data_lancamento],"&lt;="&amp;EOMONTH(DATE(IF(N($A$4)&gt;0,N($A$4),IF(ISNUMBER(--$A$4),--$A$4,YEAR(TODAY()))),8,1),0),tb_pcm_custos[categoria_custo],"OUTROS"),SUMIFS(tb_pcm_custos[valor_realizado],tb_pcm_custos[data_lancamento],"&gt;="&amp;DATE(IF(N($A$4)&gt;0,N($A$4),IF(ISNUMBER(--$A$4),--$A$4,YEAR(TODAY()))),8,1),tb_pcm_custos[data_lancamento],"&lt;="&amp;EOMONTH(DATE(IF(N($A$4)&gt;0,N($A$4),IF(ISNUMBER(--$A$4),--$A$4,YEAR(TODAY()))),8,1),0),tb_pcm_custos[categoria_custo],"OUTROS",tb_pcm_custos[setor],$B$4))</f>
        <v/>
      </c>
      <c r="J19" s="82">
        <f>IF($B$4="",SUMIFS(tb_pcm_custos[valor_realizado],tb_pcm_custos[data_lancamento],"&gt;="&amp;DATE(IF(N($A$4)&gt;0,N($A$4),IF(ISNUMBER(--$A$4),--$A$4,YEAR(TODAY()))),9,1),tb_pcm_custos[data_lancamento],"&lt;="&amp;EOMONTH(DATE(IF(N($A$4)&gt;0,N($A$4),IF(ISNUMBER(--$A$4),--$A$4,YEAR(TODAY()))),9,1),0),tb_pcm_custos[categoria_custo],"OUTROS"),SUMIFS(tb_pcm_custos[valor_realizado],tb_pcm_custos[data_lancamento],"&gt;="&amp;DATE(IF(N($A$4)&gt;0,N($A$4),IF(ISNUMBER(--$A$4),--$A$4,YEAR(TODAY()))),9,1),tb_pcm_custos[data_lancamento],"&lt;="&amp;EOMONTH(DATE(IF(N($A$4)&gt;0,N($A$4),IF(ISNUMBER(--$A$4),--$A$4,YEAR(TODAY()))),9,1),0),tb_pcm_custos[categoria_custo],"OUTROS",tb_pcm_custos[setor],$B$4))</f>
        <v/>
      </c>
      <c r="K19" s="82">
        <f>IF($B$4="",SUMIFS(tb_pcm_custos[valor_realizado],tb_pcm_custos[data_lancamento],"&gt;="&amp;DATE(IF(N($A$4)&gt;0,N($A$4),IF(ISNUMBER(--$A$4),--$A$4,YEAR(TODAY()))),10,1),tb_pcm_custos[data_lancamento],"&lt;="&amp;EOMONTH(DATE(IF(N($A$4)&gt;0,N($A$4),IF(ISNUMBER(--$A$4),--$A$4,YEAR(TODAY()))),10,1),0),tb_pcm_custos[categoria_custo],"OUTROS"),SUMIFS(tb_pcm_custos[valor_realizado],tb_pcm_custos[data_lancamento],"&gt;="&amp;DATE(IF(N($A$4)&gt;0,N($A$4),IF(ISNUMBER(--$A$4),--$A$4,YEAR(TODAY()))),10,1),tb_pcm_custos[data_lancamento],"&lt;="&amp;EOMONTH(DATE(IF(N($A$4)&gt;0,N($A$4),IF(ISNUMBER(--$A$4),--$A$4,YEAR(TODAY()))),10,1),0),tb_pcm_custos[categoria_custo],"OUTROS",tb_pcm_custos[setor],$B$4))</f>
        <v/>
      </c>
      <c r="L19" s="82">
        <f>IF($B$4="",SUMIFS(tb_pcm_custos[valor_realizado],tb_pcm_custos[data_lancamento],"&gt;="&amp;DATE(IF(N($A$4)&gt;0,N($A$4),IF(ISNUMBER(--$A$4),--$A$4,YEAR(TODAY()))),11,1),tb_pcm_custos[data_lancamento],"&lt;="&amp;EOMONTH(DATE(IF(N($A$4)&gt;0,N($A$4),IF(ISNUMBER(--$A$4),--$A$4,YEAR(TODAY()))),11,1),0),tb_pcm_custos[categoria_custo],"OUTROS"),SUMIFS(tb_pcm_custos[valor_realizado],tb_pcm_custos[data_lancamento],"&gt;="&amp;DATE(IF(N($A$4)&gt;0,N($A$4),IF(ISNUMBER(--$A$4),--$A$4,YEAR(TODAY()))),11,1),tb_pcm_custos[data_lancamento],"&lt;="&amp;EOMONTH(DATE(IF(N($A$4)&gt;0,N($A$4),IF(ISNUMBER(--$A$4),--$A$4,YEAR(TODAY()))),11,1),0),tb_pcm_custos[categoria_custo],"OUTROS",tb_pcm_custos[setor],$B$4))</f>
        <v/>
      </c>
      <c r="M19" s="82">
        <f>IF($B$4="",SUMIFS(tb_pcm_custos[valor_realizado],tb_pcm_custos[data_lancamento],"&gt;="&amp;DATE(IF(N($A$4)&gt;0,N($A$4),IF(ISNUMBER(--$A$4),--$A$4,YEAR(TODAY()))),12,1),tb_pcm_custos[data_lancamento],"&lt;="&amp;EOMONTH(DATE(IF(N($A$4)&gt;0,N($A$4),IF(ISNUMBER(--$A$4),--$A$4,YEAR(TODAY()))),12,1),0),tb_pcm_custos[categoria_custo],"OUTROS"),SUMIFS(tb_pcm_custos[valor_realizado],tb_pcm_custos[data_lancamento],"&gt;="&amp;DATE(IF(N($A$4)&gt;0,N($A$4),IF(ISNUMBER(--$A$4),--$A$4,YEAR(TODAY()))),12,1),tb_pcm_custos[data_lancamento],"&lt;="&amp;EOMONTH(DATE(IF(N($A$4)&gt;0,N($A$4),IF(ISNUMBER(--$A$4),--$A$4,YEAR(TODAY()))),12,1),0),tb_pcm_custos[categoria_custo],"OUTROS",tb_pcm_custos[setor],$B$4))</f>
        <v/>
      </c>
      <c r="N19" s="75">
        <f>SUM(B19:M19)</f>
        <v/>
      </c>
      <c r="O19" s="83">
        <f>N11-N19</f>
        <v/>
      </c>
      <c r="P19" s="84" t="n"/>
      <c r="Q19" s="66" t="n"/>
    </row>
    <row r="20" ht="22" customHeight="1">
      <c r="A20" s="77" t="inlineStr">
        <is>
          <t>Total do mês</t>
        </is>
      </c>
      <c r="B20" s="78">
        <f>SUM(B16:B19)</f>
        <v/>
      </c>
      <c r="C20" s="78">
        <f>SUM(C16:C19)</f>
        <v/>
      </c>
      <c r="D20" s="78">
        <f>SUM(D16:D19)</f>
        <v/>
      </c>
      <c r="E20" s="78">
        <f>SUM(E16:E19)</f>
        <v/>
      </c>
      <c r="F20" s="78">
        <f>SUM(F16:F19)</f>
        <v/>
      </c>
      <c r="G20" s="78">
        <f>SUM(G16:G19)</f>
        <v/>
      </c>
      <c r="H20" s="78">
        <f>SUM(H16:H19)</f>
        <v/>
      </c>
      <c r="I20" s="78">
        <f>SUM(I16:I19)</f>
        <v/>
      </c>
      <c r="J20" s="78">
        <f>SUM(J16:J19)</f>
        <v/>
      </c>
      <c r="K20" s="78">
        <f>SUM(K16:K19)</f>
        <v/>
      </c>
      <c r="L20" s="78">
        <f>SUM(L16:L19)</f>
        <v/>
      </c>
      <c r="M20" s="78">
        <f>SUM(M16:M19)</f>
        <v/>
      </c>
      <c r="N20" s="79">
        <f>SUM(N16:N19)</f>
        <v/>
      </c>
      <c r="O20" s="79">
        <f>N12-N20</f>
        <v/>
      </c>
      <c r="P20" s="85" t="n"/>
      <c r="Q20" s="66" t="n"/>
    </row>
    <row r="21" ht="8" customHeight="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</row>
    <row r="22" ht="22" customHeight="1">
      <c r="A22" s="67" t="inlineStr">
        <is>
          <r>
            <rPr>
              <rFont val="Arial"/>
              <b val="1"/>
              <color rgb="00FFFFFF"/>
              <sz val="10"/>
            </rPr>
            <t>Orçado x realizado por mês</t>
          </r>
          <r>
            <rPr>
              <rFont val="Arial"/>
              <color rgb="00D3DEEC"/>
              <sz val="8"/>
            </rPr>
            <t xml:space="preserve">   total de todas as categorias (R$)</t>
          </r>
        </is>
      </c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9" t="n"/>
      <c r="Q22" s="66" t="n"/>
    </row>
    <row r="23" ht="16" customHeight="1">
      <c r="A23" s="86" t="n"/>
      <c r="B23" s="87" t="n"/>
      <c r="C23" s="87" t="n"/>
      <c r="D23" s="87" t="n"/>
      <c r="E23" s="87" t="n"/>
      <c r="F23" s="87" t="n"/>
      <c r="G23" s="87" t="n"/>
      <c r="H23" s="87" t="n"/>
      <c r="I23" s="87" t="n"/>
      <c r="J23" s="87" t="n"/>
      <c r="K23" s="87" t="n"/>
      <c r="L23" s="87" t="n"/>
      <c r="M23" s="87" t="n"/>
      <c r="N23" s="87" t="n"/>
      <c r="O23" s="87" t="n"/>
      <c r="P23" s="88" t="n"/>
      <c r="Q23" s="66" t="n"/>
    </row>
    <row r="24" ht="16" customHeight="1">
      <c r="A24" s="86" t="n"/>
      <c r="B24" s="87" t="n"/>
      <c r="C24" s="87" t="n"/>
      <c r="D24" s="87" t="n"/>
      <c r="E24" s="87" t="n"/>
      <c r="F24" s="87" t="n"/>
      <c r="G24" s="87" t="n"/>
      <c r="H24" s="87" t="n"/>
      <c r="I24" s="87" t="n"/>
      <c r="J24" s="87" t="n"/>
      <c r="K24" s="87" t="n"/>
      <c r="L24" s="87" t="n"/>
      <c r="M24" s="87" t="n"/>
      <c r="N24" s="87" t="n"/>
      <c r="O24" s="87" t="n"/>
      <c r="P24" s="88" t="n"/>
      <c r="Q24" s="66" t="n"/>
    </row>
    <row r="25" ht="16" customHeight="1">
      <c r="A25" s="86" t="n"/>
      <c r="B25" s="87" t="n"/>
      <c r="C25" s="87" t="n"/>
      <c r="D25" s="87" t="n"/>
      <c r="E25" s="87" t="n"/>
      <c r="F25" s="87" t="n"/>
      <c r="G25" s="87" t="n"/>
      <c r="H25" s="87" t="n"/>
      <c r="I25" s="87" t="n"/>
      <c r="J25" s="87" t="n"/>
      <c r="K25" s="87" t="n"/>
      <c r="L25" s="87" t="n"/>
      <c r="M25" s="87" t="n"/>
      <c r="N25" s="87" t="n"/>
      <c r="O25" s="87" t="n"/>
      <c r="P25" s="88" t="n"/>
      <c r="Q25" s="66" t="n"/>
    </row>
    <row r="26" ht="16" customHeight="1">
      <c r="A26" s="86" t="n"/>
      <c r="B26" s="87" t="n"/>
      <c r="C26" s="87" t="n"/>
      <c r="D26" s="87" t="n"/>
      <c r="E26" s="87" t="n"/>
      <c r="F26" s="87" t="n"/>
      <c r="G26" s="87" t="n"/>
      <c r="H26" s="87" t="n"/>
      <c r="I26" s="87" t="n"/>
      <c r="J26" s="87" t="n"/>
      <c r="K26" s="87" t="n"/>
      <c r="L26" s="87" t="n"/>
      <c r="M26" s="87" t="n"/>
      <c r="N26" s="87" t="n"/>
      <c r="O26" s="87" t="n"/>
      <c r="P26" s="88" t="n"/>
      <c r="Q26" s="66" t="n"/>
    </row>
    <row r="27" ht="16" customHeight="1">
      <c r="A27" s="86" t="n"/>
      <c r="B27" s="87" t="n"/>
      <c r="C27" s="87" t="n"/>
      <c r="D27" s="87" t="n"/>
      <c r="E27" s="87" t="n"/>
      <c r="F27" s="87" t="n"/>
      <c r="G27" s="87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8" t="n"/>
      <c r="Q27" s="66" t="n"/>
    </row>
    <row r="28" ht="16" customHeight="1">
      <c r="A28" s="86" t="n"/>
      <c r="B28" s="87" t="n"/>
      <c r="C28" s="87" t="n"/>
      <c r="D28" s="87" t="n"/>
      <c r="E28" s="87" t="n"/>
      <c r="F28" s="87" t="n"/>
      <c r="G28" s="87" t="n"/>
      <c r="H28" s="87" t="n"/>
      <c r="I28" s="87" t="n"/>
      <c r="J28" s="87" t="n"/>
      <c r="K28" s="87" t="n"/>
      <c r="L28" s="87" t="n"/>
      <c r="M28" s="87" t="n"/>
      <c r="N28" s="87" t="n"/>
      <c r="O28" s="87" t="n"/>
      <c r="P28" s="88" t="n"/>
      <c r="Q28" s="66" t="n"/>
    </row>
    <row r="29" ht="16" customHeight="1">
      <c r="A29" s="86" t="n"/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7" t="n"/>
      <c r="P29" s="88" t="n"/>
      <c r="Q29" s="66" t="n"/>
    </row>
    <row r="30" ht="16" customHeight="1">
      <c r="A30" s="86" t="n"/>
      <c r="B30" s="87" t="n"/>
      <c r="C30" s="87" t="n"/>
      <c r="D30" s="87" t="n"/>
      <c r="E30" s="87" t="n"/>
      <c r="F30" s="87" t="n"/>
      <c r="G30" s="87" t="n"/>
      <c r="H30" s="87" t="n"/>
      <c r="I30" s="87" t="n"/>
      <c r="J30" s="87" t="n"/>
      <c r="K30" s="87" t="n"/>
      <c r="L30" s="87" t="n"/>
      <c r="M30" s="87" t="n"/>
      <c r="N30" s="87" t="n"/>
      <c r="O30" s="87" t="n"/>
      <c r="P30" s="88" t="n"/>
      <c r="Q30" s="66" t="n"/>
    </row>
    <row r="31" ht="16" customHeight="1">
      <c r="A31" s="86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8" t="n"/>
      <c r="Q31" s="66" t="n"/>
    </row>
    <row r="32" ht="16" customHeight="1">
      <c r="A32" s="86" t="n"/>
      <c r="B32" s="87" t="n"/>
      <c r="C32" s="87" t="n"/>
      <c r="D32" s="87" t="n"/>
      <c r="E32" s="87" t="n"/>
      <c r="F32" s="87" t="n"/>
      <c r="G32" s="87" t="n"/>
      <c r="H32" s="87" t="n"/>
      <c r="I32" s="87" t="n"/>
      <c r="J32" s="87" t="n"/>
      <c r="K32" s="87" t="n"/>
      <c r="L32" s="87" t="n"/>
      <c r="M32" s="87" t="n"/>
      <c r="N32" s="87" t="n"/>
      <c r="O32" s="87" t="n"/>
      <c r="P32" s="88" t="n"/>
      <c r="Q32" s="66" t="n"/>
    </row>
    <row r="33" ht="16" customHeight="1">
      <c r="A33" s="86" t="n"/>
      <c r="B33" s="87" t="n"/>
      <c r="C33" s="87" t="n"/>
      <c r="D33" s="87" t="n"/>
      <c r="E33" s="87" t="n"/>
      <c r="F33" s="87" t="n"/>
      <c r="G33" s="87" t="n"/>
      <c r="H33" s="87" t="n"/>
      <c r="I33" s="87" t="n"/>
      <c r="J33" s="87" t="n"/>
      <c r="K33" s="87" t="n"/>
      <c r="L33" s="87" t="n"/>
      <c r="M33" s="87" t="n"/>
      <c r="N33" s="87" t="n"/>
      <c r="O33" s="87" t="n"/>
      <c r="P33" s="88" t="n"/>
      <c r="Q33" s="66" t="n"/>
    </row>
    <row r="34" ht="16" customHeight="1">
      <c r="A34" s="86" t="n"/>
      <c r="B34" s="87" t="n"/>
      <c r="C34" s="87" t="n"/>
      <c r="D34" s="87" t="n"/>
      <c r="E34" s="87" t="n"/>
      <c r="F34" s="87" t="n"/>
      <c r="G34" s="87" t="n"/>
      <c r="H34" s="87" t="n"/>
      <c r="I34" s="87" t="n"/>
      <c r="J34" s="87" t="n"/>
      <c r="K34" s="87" t="n"/>
      <c r="L34" s="87" t="n"/>
      <c r="M34" s="87" t="n"/>
      <c r="N34" s="87" t="n"/>
      <c r="O34" s="87" t="n"/>
      <c r="P34" s="88" t="n"/>
      <c r="Q34" s="66" t="n"/>
    </row>
    <row r="35" ht="16" customHeight="1">
      <c r="A35" s="86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8" t="n"/>
      <c r="Q35" s="66" t="n"/>
    </row>
    <row r="36" ht="16" customHeight="1">
      <c r="A36" s="86" t="n"/>
      <c r="B36" s="87" t="n"/>
      <c r="C36" s="87" t="n"/>
      <c r="D36" s="87" t="n"/>
      <c r="E36" s="87" t="n"/>
      <c r="F36" s="87" t="n"/>
      <c r="G36" s="87" t="n"/>
      <c r="H36" s="87" t="n"/>
      <c r="I36" s="87" t="n"/>
      <c r="J36" s="87" t="n"/>
      <c r="K36" s="87" t="n"/>
      <c r="L36" s="87" t="n"/>
      <c r="M36" s="87" t="n"/>
      <c r="N36" s="87" t="n"/>
      <c r="O36" s="87" t="n"/>
      <c r="P36" s="88" t="n"/>
      <c r="Q36" s="66" t="n"/>
    </row>
    <row r="37" ht="16" customHeight="1">
      <c r="A37" s="89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  <c r="P37" s="65" t="n"/>
      <c r="Q37" s="66" t="n"/>
    </row>
    <row r="38" ht="20" customHeight="1">
      <c r="A38" s="91" t="inlineStr">
        <is>
          <r>
            <rPr>
              <rFont val="Arial"/>
              <b val="1"/>
              <color rgb="001E7A46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% usado até 90%      </t>
          </r>
          <r>
            <rPr>
              <rFont val="Arial"/>
              <b val="1"/>
              <color rgb="00E0A100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de 90% a 100%      </t>
          </r>
          <r>
            <rPr>
              <rFont val="Arial"/>
              <b val="1"/>
              <color rgb="00B3261E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acima do orçado      </t>
          </r>
          <r>
            <rPr>
              <rFont val="Arial"/>
              <b val="1"/>
              <color rgb="006B7686"/>
              <sz val="8"/>
            </rPr>
            <t xml:space="preserve">Categorias iguais às da aba Lançamentos. Ano em branco = ano atual.      </t>
          </r>
        </is>
      </c>
    </row>
  </sheetData>
  <mergeCells count="25">
    <mergeCell ref="O3:P3"/>
    <mergeCell ref="N2:P2"/>
    <mergeCell ref="A14:P14"/>
    <mergeCell ref="O19:P19"/>
    <mergeCell ref="A22:P22"/>
    <mergeCell ref="O15:P15"/>
    <mergeCell ref="O18:P18"/>
    <mergeCell ref="N1:P1"/>
    <mergeCell ref="A38:P38"/>
    <mergeCell ref="L4:N4"/>
    <mergeCell ref="I3:K3"/>
    <mergeCell ref="B4:E4"/>
    <mergeCell ref="O20:P20"/>
    <mergeCell ref="C1:M1"/>
    <mergeCell ref="B3:E3"/>
    <mergeCell ref="I4:K4"/>
    <mergeCell ref="O4:P4"/>
    <mergeCell ref="O16:P16"/>
    <mergeCell ref="A6:P6"/>
    <mergeCell ref="F4:H4"/>
    <mergeCell ref="C2:M2"/>
    <mergeCell ref="A1:B2"/>
    <mergeCell ref="O17:P17"/>
    <mergeCell ref="F3:H3"/>
    <mergeCell ref="L3:N3"/>
  </mergeCells>
  <conditionalFormatting sqref="P8:P12">
    <cfRule type="expression" priority="1" dxfId="0" stopIfTrue="1">
      <formula>AND(ISNUMBER(P8),P8&gt;1)</formula>
    </cfRule>
    <cfRule type="expression" priority="2" dxfId="1" stopIfTrue="1">
      <formula>AND(ISNUMBER(P8),P8&gt;0.9)</formula>
    </cfRule>
    <cfRule type="expression" priority="3" dxfId="2" stopIfTrue="1">
      <formula>ISNUMBER(P8)</formula>
    </cfRule>
  </conditionalFormatting>
  <conditionalFormatting sqref="O4">
    <cfRule type="expression" priority="4" dxfId="0" stopIfTrue="1">
      <formula>AND(ISNUMBER(O4),O4&gt;1)</formula>
    </cfRule>
  </conditionalFormatting>
  <dataValidations count="3">
    <dataValidation sqref="A4" showDropDown="0" showInputMessage="0" showErrorMessage="1" allowBlank="1" errorTitle="Valor fora da lista" error="Escolha um item da lista." type="list" errorStyle="stop">
      <formula1>"2025,2026,2027,2028,2029,2030,2031,2032,2033,2034,2035"</formula1>
    </dataValidation>
    <dataValidation sqref="B4" showDropDown="0" showInputMessage="0" showErrorMessage="1" allowBlank="1" errorTitle="Valor fora da lista" error="Escolha um item da lista." type="list" errorStyle="stop">
      <formula1>L_SETORES</formula1>
    </dataValidation>
    <dataValidation sqref="B8:M11" showDropDown="0" showInputMessage="0" showErrorMessage="1" allowBlank="1" errorTitle="Número inválido" error="Digite um número maior ou igual a 0." type="decimal" errorStyle="stop" operator="greaterThanOrEqual">
      <formula1>0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H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.7" customWidth="1" min="1" max="1"/>
    <col width="17.2" customWidth="1" min="2" max="2"/>
    <col width="24.4" customWidth="1" min="3" max="3"/>
    <col width="22" customWidth="1" min="4" max="4"/>
    <col width="25.8" customWidth="1" min="5" max="5"/>
    <col width="18.7" customWidth="1" min="6" max="6"/>
    <col width="21.5" customWidth="1" min="7" max="7"/>
    <col width="28.7" customWidth="1" min="8" max="8"/>
  </cols>
  <sheetData>
    <row r="1" ht="30.75" customHeight="1">
      <c r="A1" s="92" t="n"/>
      <c r="B1" s="93" t="inlineStr">
        <is>
          <t>Lançamentos</t>
        </is>
      </c>
      <c r="C1" s="94" t="n"/>
      <c r="D1" s="94" t="n"/>
      <c r="E1" s="94" t="n"/>
      <c r="F1" s="95" t="n"/>
      <c r="G1" s="96">
        <f>"Rev. "&amp;'Leia-me'!$D$15&amp;"   ·   "&amp;'Leia-me'!$D$16</f>
        <v/>
      </c>
      <c r="H1" s="95" t="n"/>
    </row>
    <row r="2" ht="28" customHeight="1">
      <c r="A2" s="97" t="n"/>
      <c r="B2" s="98" t="inlineStr">
        <is>
          <t>Objetivo: Uma linha por custo: data, TAG, setor, categoria e valor</t>
        </is>
      </c>
      <c r="C2" s="99" t="n"/>
      <c r="D2" s="99" t="n"/>
      <c r="E2" s="99" t="n"/>
      <c r="F2" s="100" t="n"/>
      <c r="G2" s="98">
        <f>"Elaborado: "&amp;'Leia-me'!$D$13&amp;"   ·   Aprovado: "&amp;'Leia-me'!$D$14</f>
        <v/>
      </c>
      <c r="H2" s="100" t="n"/>
    </row>
    <row r="3" ht="32" customHeight="1">
      <c r="A3" s="101" t="inlineStr">
        <is>
          <t>Referência do lançamento</t>
        </is>
      </c>
      <c r="B3" s="102" t="inlineStr">
        <is>
          <t>Data do custo</t>
        </is>
      </c>
      <c r="C3" s="102" t="inlineStr">
        <is>
          <t>TAG ▼</t>
        </is>
      </c>
      <c r="D3" s="102" t="inlineStr">
        <is>
          <t>Equipamento</t>
        </is>
      </c>
      <c r="E3" s="102" t="inlineStr">
        <is>
          <t>Setor de apropriação ▼</t>
        </is>
      </c>
      <c r="F3" s="102" t="inlineStr">
        <is>
          <t>Categoria ▼</t>
        </is>
      </c>
      <c r="G3" s="102" t="inlineStr">
        <is>
          <t>Custo realizado</t>
        </is>
      </c>
      <c r="H3" s="103" t="inlineStr">
        <is>
          <t>Documento de origem</t>
        </is>
      </c>
    </row>
    <row r="4" hidden="1">
      <c r="A4" s="104" t="inlineStr">
        <is>
          <t>referencia_lancamento</t>
        </is>
      </c>
      <c r="B4" s="104" t="inlineStr">
        <is>
          <t>data_lancamento</t>
        </is>
      </c>
      <c r="C4" s="104" t="inlineStr">
        <is>
          <t>tag</t>
        </is>
      </c>
      <c r="D4" s="104" t="inlineStr">
        <is>
          <t>equipamento</t>
        </is>
      </c>
      <c r="E4" s="104" t="inlineStr">
        <is>
          <t>setor</t>
        </is>
      </c>
      <c r="F4" s="104" t="inlineStr">
        <is>
          <t>categoria_custo</t>
        </is>
      </c>
      <c r="G4" s="104" t="inlineStr">
        <is>
          <t>valor_realizado</t>
        </is>
      </c>
      <c r="H4" s="104" t="inlineStr">
        <is>
          <t>documento_origem</t>
        </is>
      </c>
    </row>
    <row r="5" ht="22" customHeight="1">
      <c r="A5" s="105" t="n"/>
      <c r="B5" s="106" t="n"/>
      <c r="C5" s="107" t="n"/>
      <c r="D5" s="108">
        <f>IF(C5="","",IFERROR(INDEX(tb_pcm_ativos[descricao_ativo],MATCH(C5,tb_pcm_ativos[tag],0)),"fora do cadastro"))</f>
        <v/>
      </c>
      <c r="E5" s="109" t="n"/>
      <c r="F5" s="110" t="n"/>
      <c r="G5" s="111" t="n"/>
      <c r="H5" s="112" t="n"/>
    </row>
    <row r="6" ht="22" customHeight="1">
      <c r="A6" s="105" t="n"/>
      <c r="B6" s="106" t="n"/>
      <c r="C6" s="107" t="n"/>
      <c r="D6" s="108">
        <f>IF(C6="","",IFERROR(INDEX(tb_pcm_ativos[descricao_ativo],MATCH(C6,tb_pcm_ativos[tag],0)),"fora do cadastro"))</f>
        <v/>
      </c>
      <c r="E6" s="109" t="n"/>
      <c r="F6" s="110" t="n"/>
      <c r="G6" s="111" t="n"/>
      <c r="H6" s="112" t="n"/>
    </row>
    <row r="7" ht="22" customHeight="1">
      <c r="A7" s="105" t="n"/>
      <c r="B7" s="106" t="n"/>
      <c r="C7" s="107" t="n"/>
      <c r="D7" s="108">
        <f>IF(C7="","",IFERROR(INDEX(tb_pcm_ativos[descricao_ativo],MATCH(C7,tb_pcm_ativos[tag],0)),"fora do cadastro"))</f>
        <v/>
      </c>
      <c r="E7" s="109" t="n"/>
      <c r="F7" s="110" t="n"/>
      <c r="G7" s="111" t="n"/>
      <c r="H7" s="112" t="n"/>
    </row>
    <row r="8" ht="22" customHeight="1">
      <c r="A8" s="105" t="n"/>
      <c r="B8" s="106" t="n"/>
      <c r="C8" s="107" t="n"/>
      <c r="D8" s="108">
        <f>IF(C8="","",IFERROR(INDEX(tb_pcm_ativos[descricao_ativo],MATCH(C8,tb_pcm_ativos[tag],0)),"fora do cadastro"))</f>
        <v/>
      </c>
      <c r="E8" s="109" t="n"/>
      <c r="F8" s="110" t="n"/>
      <c r="G8" s="111" t="n"/>
      <c r="H8" s="112" t="n"/>
    </row>
    <row r="9" ht="22" customHeight="1">
      <c r="A9" s="105" t="n"/>
      <c r="B9" s="106" t="n"/>
      <c r="C9" s="107" t="n"/>
      <c r="D9" s="108">
        <f>IF(C9="","",IFERROR(INDEX(tb_pcm_ativos[descricao_ativo],MATCH(C9,tb_pcm_ativos[tag],0)),"fora do cadastro"))</f>
        <v/>
      </c>
      <c r="E9" s="109" t="n"/>
      <c r="F9" s="110" t="n"/>
      <c r="G9" s="111" t="n"/>
      <c r="H9" s="112" t="n"/>
    </row>
    <row r="10" ht="22" customHeight="1">
      <c r="A10" s="105" t="n"/>
      <c r="B10" s="106" t="n"/>
      <c r="C10" s="107" t="n"/>
      <c r="D10" s="108">
        <f>IF(C10="","",IFERROR(INDEX(tb_pcm_ativos[descricao_ativo],MATCH(C10,tb_pcm_ativos[tag],0)),"fora do cadastro"))</f>
        <v/>
      </c>
      <c r="E10" s="109" t="n"/>
      <c r="F10" s="110" t="n"/>
      <c r="G10" s="111" t="n"/>
      <c r="H10" s="112" t="n"/>
    </row>
    <row r="11" ht="22" customHeight="1">
      <c r="A11" s="105" t="n"/>
      <c r="B11" s="106" t="n"/>
      <c r="C11" s="107" t="n"/>
      <c r="D11" s="108">
        <f>IF(C11="","",IFERROR(INDEX(tb_pcm_ativos[descricao_ativo],MATCH(C11,tb_pcm_ativos[tag],0)),"fora do cadastro"))</f>
        <v/>
      </c>
      <c r="E11" s="109" t="n"/>
      <c r="F11" s="110" t="n"/>
      <c r="G11" s="111" t="n"/>
      <c r="H11" s="112" t="n"/>
    </row>
    <row r="12" ht="22" customHeight="1">
      <c r="A12" s="105" t="n"/>
      <c r="B12" s="106" t="n"/>
      <c r="C12" s="107" t="n"/>
      <c r="D12" s="108">
        <f>IF(C12="","",IFERROR(INDEX(tb_pcm_ativos[descricao_ativo],MATCH(C12,tb_pcm_ativos[tag],0)),"fora do cadastro"))</f>
        <v/>
      </c>
      <c r="E12" s="109" t="n"/>
      <c r="F12" s="110" t="n"/>
      <c r="G12" s="111" t="n"/>
      <c r="H12" s="112" t="n"/>
    </row>
    <row r="13" ht="22" customHeight="1">
      <c r="A13" s="105" t="n"/>
      <c r="B13" s="106" t="n"/>
      <c r="C13" s="107" t="n"/>
      <c r="D13" s="108">
        <f>IF(C13="","",IFERROR(INDEX(tb_pcm_ativos[descricao_ativo],MATCH(C13,tb_pcm_ativos[tag],0)),"fora do cadastro"))</f>
        <v/>
      </c>
      <c r="E13" s="109" t="n"/>
      <c r="F13" s="110" t="n"/>
      <c r="G13" s="111" t="n"/>
      <c r="H13" s="112" t="n"/>
    </row>
    <row r="14" ht="22" customHeight="1">
      <c r="A14" s="105" t="n"/>
      <c r="B14" s="106" t="n"/>
      <c r="C14" s="107" t="n"/>
      <c r="D14" s="108">
        <f>IF(C14="","",IFERROR(INDEX(tb_pcm_ativos[descricao_ativo],MATCH(C14,tb_pcm_ativos[tag],0)),"fora do cadastro"))</f>
        <v/>
      </c>
      <c r="E14" s="109" t="n"/>
      <c r="F14" s="110" t="n"/>
      <c r="G14" s="111" t="n"/>
      <c r="H14" s="112" t="n"/>
    </row>
    <row r="15" ht="22" customHeight="1">
      <c r="A15" s="105" t="n"/>
      <c r="B15" s="106" t="n"/>
      <c r="C15" s="107" t="n"/>
      <c r="D15" s="108">
        <f>IF(C15="","",IFERROR(INDEX(tb_pcm_ativos[descricao_ativo],MATCH(C15,tb_pcm_ativos[tag],0)),"fora do cadastro"))</f>
        <v/>
      </c>
      <c r="E15" s="109" t="n"/>
      <c r="F15" s="110" t="n"/>
      <c r="G15" s="111" t="n"/>
      <c r="H15" s="112" t="n"/>
    </row>
    <row r="16" ht="22" customHeight="1">
      <c r="A16" s="105" t="n"/>
      <c r="B16" s="106" t="n"/>
      <c r="C16" s="107" t="n"/>
      <c r="D16" s="108">
        <f>IF(C16="","",IFERROR(INDEX(tb_pcm_ativos[descricao_ativo],MATCH(C16,tb_pcm_ativos[tag],0)),"fora do cadastro"))</f>
        <v/>
      </c>
      <c r="E16" s="109" t="n"/>
      <c r="F16" s="110" t="n"/>
      <c r="G16" s="111" t="n"/>
      <c r="H16" s="112" t="n"/>
    </row>
    <row r="17" ht="22" customHeight="1">
      <c r="A17" s="105" t="n"/>
      <c r="B17" s="106" t="n"/>
      <c r="C17" s="107" t="n"/>
      <c r="D17" s="108">
        <f>IF(C17="","",IFERROR(INDEX(tb_pcm_ativos[descricao_ativo],MATCH(C17,tb_pcm_ativos[tag],0)),"fora do cadastro"))</f>
        <v/>
      </c>
      <c r="E17" s="109" t="n"/>
      <c r="F17" s="110" t="n"/>
      <c r="G17" s="111" t="n"/>
      <c r="H17" s="112" t="n"/>
    </row>
    <row r="18" ht="22" customHeight="1">
      <c r="A18" s="105" t="n"/>
      <c r="B18" s="106" t="n"/>
      <c r="C18" s="107" t="n"/>
      <c r="D18" s="108">
        <f>IF(C18="","",IFERROR(INDEX(tb_pcm_ativos[descricao_ativo],MATCH(C18,tb_pcm_ativos[tag],0)),"fora do cadastro"))</f>
        <v/>
      </c>
      <c r="E18" s="109" t="n"/>
      <c r="F18" s="110" t="n"/>
      <c r="G18" s="111" t="n"/>
      <c r="H18" s="112" t="n"/>
    </row>
    <row r="19" ht="22" customHeight="1">
      <c r="A19" s="105" t="n"/>
      <c r="B19" s="106" t="n"/>
      <c r="C19" s="107" t="n"/>
      <c r="D19" s="108">
        <f>IF(C19="","",IFERROR(INDEX(tb_pcm_ativos[descricao_ativo],MATCH(C19,tb_pcm_ativos[tag],0)),"fora do cadastro"))</f>
        <v/>
      </c>
      <c r="E19" s="109" t="n"/>
      <c r="F19" s="110" t="n"/>
      <c r="G19" s="111" t="n"/>
      <c r="H19" s="112" t="n"/>
    </row>
    <row r="20" ht="22" customHeight="1">
      <c r="A20" s="105" t="n"/>
      <c r="B20" s="106" t="n"/>
      <c r="C20" s="107" t="n"/>
      <c r="D20" s="108">
        <f>IF(C20="","",IFERROR(INDEX(tb_pcm_ativos[descricao_ativo],MATCH(C20,tb_pcm_ativos[tag],0)),"fora do cadastro"))</f>
        <v/>
      </c>
      <c r="E20" s="109" t="n"/>
      <c r="F20" s="110" t="n"/>
      <c r="G20" s="111" t="n"/>
      <c r="H20" s="112" t="n"/>
    </row>
    <row r="21" ht="22" customHeight="1">
      <c r="A21" s="105" t="n"/>
      <c r="B21" s="106" t="n"/>
      <c r="C21" s="107" t="n"/>
      <c r="D21" s="108">
        <f>IF(C21="","",IFERROR(INDEX(tb_pcm_ativos[descricao_ativo],MATCH(C21,tb_pcm_ativos[tag],0)),"fora do cadastro"))</f>
        <v/>
      </c>
      <c r="E21" s="109" t="n"/>
      <c r="F21" s="110" t="n"/>
      <c r="G21" s="111" t="n"/>
      <c r="H21" s="112" t="n"/>
    </row>
    <row r="22" ht="22" customHeight="1">
      <c r="A22" s="105" t="n"/>
      <c r="B22" s="106" t="n"/>
      <c r="C22" s="107" t="n"/>
      <c r="D22" s="108">
        <f>IF(C22="","",IFERROR(INDEX(tb_pcm_ativos[descricao_ativo],MATCH(C22,tb_pcm_ativos[tag],0)),"fora do cadastro"))</f>
        <v/>
      </c>
      <c r="E22" s="109" t="n"/>
      <c r="F22" s="110" t="n"/>
      <c r="G22" s="111" t="n"/>
      <c r="H22" s="112" t="n"/>
    </row>
    <row r="23" ht="22" customHeight="1">
      <c r="A23" s="105" t="n"/>
      <c r="B23" s="106" t="n"/>
      <c r="C23" s="107" t="n"/>
      <c r="D23" s="108">
        <f>IF(C23="","",IFERROR(INDEX(tb_pcm_ativos[descricao_ativo],MATCH(C23,tb_pcm_ativos[tag],0)),"fora do cadastro"))</f>
        <v/>
      </c>
      <c r="E23" s="109" t="n"/>
      <c r="F23" s="110" t="n"/>
      <c r="G23" s="111" t="n"/>
      <c r="H23" s="112" t="n"/>
    </row>
    <row r="24" ht="22" customHeight="1">
      <c r="A24" s="105" t="n"/>
      <c r="B24" s="106" t="n"/>
      <c r="C24" s="107" t="n"/>
      <c r="D24" s="108">
        <f>IF(C24="","",IFERROR(INDEX(tb_pcm_ativos[descricao_ativo],MATCH(C24,tb_pcm_ativos[tag],0)),"fora do cadastro"))</f>
        <v/>
      </c>
      <c r="E24" s="109" t="n"/>
      <c r="F24" s="110" t="n"/>
      <c r="G24" s="111" t="n"/>
      <c r="H24" s="112" t="n"/>
    </row>
    <row r="25" ht="22" customHeight="1">
      <c r="A25" s="105" t="n"/>
      <c r="B25" s="106" t="n"/>
      <c r="C25" s="107" t="n"/>
      <c r="D25" s="108">
        <f>IF(C25="","",IFERROR(INDEX(tb_pcm_ativos[descricao_ativo],MATCH(C25,tb_pcm_ativos[tag],0)),"fora do cadastro"))</f>
        <v/>
      </c>
      <c r="E25" s="109" t="n"/>
      <c r="F25" s="110" t="n"/>
      <c r="G25" s="111" t="n"/>
      <c r="H25" s="112" t="n"/>
    </row>
    <row r="26" ht="22" customHeight="1">
      <c r="A26" s="105" t="n"/>
      <c r="B26" s="106" t="n"/>
      <c r="C26" s="107" t="n"/>
      <c r="D26" s="108">
        <f>IF(C26="","",IFERROR(INDEX(tb_pcm_ativos[descricao_ativo],MATCH(C26,tb_pcm_ativos[tag],0)),"fora do cadastro"))</f>
        <v/>
      </c>
      <c r="E26" s="109" t="n"/>
      <c r="F26" s="110" t="n"/>
      <c r="G26" s="111" t="n"/>
      <c r="H26" s="112" t="n"/>
    </row>
    <row r="27" ht="22" customHeight="1">
      <c r="A27" s="105" t="n"/>
      <c r="B27" s="106" t="n"/>
      <c r="C27" s="107" t="n"/>
      <c r="D27" s="108">
        <f>IF(C27="","",IFERROR(INDEX(tb_pcm_ativos[descricao_ativo],MATCH(C27,tb_pcm_ativos[tag],0)),"fora do cadastro"))</f>
        <v/>
      </c>
      <c r="E27" s="109" t="n"/>
      <c r="F27" s="110" t="n"/>
      <c r="G27" s="111" t="n"/>
      <c r="H27" s="112" t="n"/>
    </row>
    <row r="28" ht="22" customHeight="1">
      <c r="A28" s="105" t="n"/>
      <c r="B28" s="106" t="n"/>
      <c r="C28" s="107" t="n"/>
      <c r="D28" s="108">
        <f>IF(C28="","",IFERROR(INDEX(tb_pcm_ativos[descricao_ativo],MATCH(C28,tb_pcm_ativos[tag],0)),"fora do cadastro"))</f>
        <v/>
      </c>
      <c r="E28" s="109" t="n"/>
      <c r="F28" s="110" t="n"/>
      <c r="G28" s="111" t="n"/>
      <c r="H28" s="112" t="n"/>
    </row>
    <row r="29" ht="22" customHeight="1">
      <c r="A29" s="113" t="n"/>
      <c r="B29" s="114" t="n"/>
      <c r="C29" s="115" t="n"/>
      <c r="D29" s="116">
        <f>IF(C29="","",IFERROR(INDEX(tb_pcm_ativos[descricao_ativo],MATCH(C29,tb_pcm_ativos[tag],0)),"fora do cadastro"))</f>
        <v/>
      </c>
      <c r="E29" s="117" t="n"/>
      <c r="F29" s="118" t="n"/>
      <c r="G29" s="119" t="n"/>
      <c r="H29" s="120" t="n"/>
    </row>
    <row r="30" ht="20" customHeight="1">
      <c r="A30" s="121" t="inlineStr">
        <is>
          <t xml:space="preserve"> </t>
        </is>
      </c>
    </row>
  </sheetData>
  <mergeCells count="6">
    <mergeCell ref="A30:H30"/>
    <mergeCell ref="B2:F2"/>
    <mergeCell ref="G2:H2"/>
    <mergeCell ref="G1:H1"/>
    <mergeCell ref="B1:F1"/>
    <mergeCell ref="A1:A2"/>
  </mergeCells>
  <dataValidations count="5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C5:C29" showDropDown="0" showInputMessage="0" showErrorMessage="1" allowBlank="1" errorTitle="Valor fora da lista" error="Escolha um item da lista." type="list" errorStyle="stop">
      <formula1>L_TAGS</formula1>
    </dataValidation>
    <dataValidation sqref="E5:E29" showDropDown="0" showInputMessage="0" showErrorMessage="1" allowBlank="1" errorTitle="Valor fora da lista" error="Escolha um item da lista." type="list" errorStyle="stop">
      <formula1>L_SETORES</formula1>
    </dataValidation>
    <dataValidation sqref="F5:F29" showDropDown="0" showInputMessage="0" showErrorMessage="1" allowBlank="1" errorTitle="Valor fora da lista" error="Escolha um item da lista." type="list" errorStyle="stop">
      <formula1>L_CATEG</formula1>
    </dataValidation>
    <dataValidation sqref="G5:G29" showDropDown="0" showInputMessage="0" showErrorMessage="1" allowBlank="1" errorTitle="Número inválido" error="Digite um número maior ou igual a 0." type="decimal" errorStyle="stop" operator="greaterThanOrEqual">
      <formula1>0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H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.4" customWidth="1" min="1" max="1"/>
    <col width="36.5" customWidth="1" min="2" max="2"/>
    <col width="23.6" customWidth="1" min="3" max="3"/>
    <col width="21.4" customWidth="1" min="4" max="4"/>
    <col width="3" customWidth="1" min="5" max="5"/>
    <col width="25.8" customWidth="1" min="6" max="6"/>
    <col width="3" customWidth="1" min="7" max="7"/>
    <col width="32.2" customWidth="1" min="8" max="8"/>
  </cols>
  <sheetData>
    <row r="1" ht="30.75" customHeight="1">
      <c r="A1" s="45" t="n"/>
      <c r="B1" s="46" t="n"/>
      <c r="C1" s="47" t="inlineStr">
        <is>
          <t>Cadastros</t>
        </is>
      </c>
      <c r="D1" s="48" t="n"/>
      <c r="E1" s="48" t="n"/>
      <c r="F1" s="46" t="n"/>
      <c r="G1" s="49">
        <f>"Rev. "&amp;'Leia-me'!$D$15&amp;"   ·   "&amp;'Leia-me'!$D$16</f>
        <v/>
      </c>
      <c r="H1" s="46" t="n"/>
    </row>
    <row r="2" ht="28" customHeight="1">
      <c r="A2" s="50" t="n"/>
      <c r="B2" s="51" t="n"/>
      <c r="C2" s="52" t="inlineStr">
        <is>
          <t>Objetivo: Cadastre aqui os itens usados nas listas (▼) das outras abas.</t>
        </is>
      </c>
      <c r="D2" s="53" t="n"/>
      <c r="E2" s="53" t="n"/>
      <c r="F2" s="51" t="n"/>
      <c r="G2" s="52">
        <f>"Elaborado: "&amp;'Leia-me'!$D$13&amp;"   ·   Aprovado: "&amp;'Leia-me'!$D$14</f>
        <v/>
      </c>
      <c r="H2" s="51" t="n"/>
    </row>
    <row r="3" ht="32" customHeight="1">
      <c r="A3" s="101" t="inlineStr">
        <is>
          <t>TAG</t>
        </is>
      </c>
      <c r="B3" s="102" t="inlineStr">
        <is>
          <t>Equipamento</t>
        </is>
      </c>
      <c r="C3" s="102" t="inlineStr">
        <is>
          <t>Família de equipamento ▼</t>
        </is>
      </c>
      <c r="D3" s="103" t="inlineStr">
        <is>
          <t>Setor ▼</t>
        </is>
      </c>
      <c r="F3" s="122" t="inlineStr">
        <is>
          <t>Setor</t>
        </is>
      </c>
      <c r="H3" s="122" t="inlineStr">
        <is>
          <t>Família de equipamento</t>
        </is>
      </c>
    </row>
    <row r="4" hidden="1">
      <c r="A4" s="104" t="inlineStr">
        <is>
          <t>tag</t>
        </is>
      </c>
      <c r="B4" s="104" t="inlineStr">
        <is>
          <t>descricao_ativo</t>
        </is>
      </c>
      <c r="C4" s="104" t="inlineStr">
        <is>
          <t>familia</t>
        </is>
      </c>
      <c r="D4" s="104" t="inlineStr">
        <is>
          <t>setor</t>
        </is>
      </c>
      <c r="F4" s="104" t="inlineStr">
        <is>
          <t>nome_setor</t>
        </is>
      </c>
      <c r="H4" s="104" t="inlineStr">
        <is>
          <t>nome_familia</t>
        </is>
      </c>
    </row>
    <row r="5" ht="22" customHeight="1">
      <c r="A5" s="105" t="n"/>
      <c r="B5" s="109" t="n"/>
      <c r="C5" s="109" t="n"/>
      <c r="D5" s="123" t="n"/>
      <c r="F5" s="124" t="n"/>
      <c r="H5" s="124" t="n"/>
    </row>
    <row r="6" ht="22" customHeight="1">
      <c r="A6" s="105" t="n"/>
      <c r="B6" s="109" t="n"/>
      <c r="C6" s="109" t="n"/>
      <c r="D6" s="123" t="n"/>
      <c r="F6" s="124" t="n"/>
      <c r="H6" s="124" t="n"/>
    </row>
    <row r="7" ht="22" customHeight="1">
      <c r="A7" s="105" t="n"/>
      <c r="B7" s="109" t="n"/>
      <c r="C7" s="109" t="n"/>
      <c r="D7" s="123" t="n"/>
      <c r="F7" s="124" t="n"/>
      <c r="H7" s="124" t="n"/>
    </row>
    <row r="8" ht="22" customHeight="1">
      <c r="A8" s="105" t="n"/>
      <c r="B8" s="109" t="n"/>
      <c r="C8" s="109" t="n"/>
      <c r="D8" s="123" t="n"/>
      <c r="F8" s="124" t="n"/>
      <c r="H8" s="124" t="n"/>
    </row>
    <row r="9" ht="22" customHeight="1">
      <c r="A9" s="105" t="n"/>
      <c r="B9" s="109" t="n"/>
      <c r="C9" s="109" t="n"/>
      <c r="D9" s="123" t="n"/>
      <c r="F9" s="124" t="n"/>
      <c r="H9" s="124" t="n"/>
    </row>
    <row r="10" ht="22" customHeight="1">
      <c r="A10" s="105" t="n"/>
      <c r="B10" s="109" t="n"/>
      <c r="C10" s="109" t="n"/>
      <c r="D10" s="123" t="n"/>
      <c r="F10" s="124" t="n"/>
      <c r="H10" s="124" t="n"/>
    </row>
    <row r="11" ht="22" customHeight="1">
      <c r="A11" s="105" t="n"/>
      <c r="B11" s="109" t="n"/>
      <c r="C11" s="109" t="n"/>
      <c r="D11" s="123" t="n"/>
      <c r="F11" s="124" t="n"/>
      <c r="H11" s="124" t="n"/>
    </row>
    <row r="12" ht="22" customHeight="1">
      <c r="A12" s="105" t="n"/>
      <c r="B12" s="109" t="n"/>
      <c r="C12" s="109" t="n"/>
      <c r="D12" s="123" t="n"/>
      <c r="F12" s="124" t="n"/>
      <c r="H12" s="124" t="n"/>
    </row>
    <row r="13" ht="22" customHeight="1">
      <c r="A13" s="105" t="n"/>
      <c r="B13" s="109" t="n"/>
      <c r="C13" s="109" t="n"/>
      <c r="D13" s="123" t="n"/>
      <c r="F13" s="124" t="n"/>
      <c r="H13" s="124" t="n"/>
    </row>
    <row r="14" ht="22" customHeight="1">
      <c r="A14" s="105" t="n"/>
      <c r="B14" s="109" t="n"/>
      <c r="C14" s="109" t="n"/>
      <c r="D14" s="123" t="n"/>
      <c r="F14" s="124" t="n"/>
      <c r="H14" s="124" t="n"/>
    </row>
    <row r="15" ht="22" customHeight="1">
      <c r="A15" s="105" t="n"/>
      <c r="B15" s="109" t="n"/>
      <c r="C15" s="109" t="n"/>
      <c r="D15" s="123" t="n"/>
      <c r="F15" s="124" t="n"/>
      <c r="H15" s="124" t="n"/>
    </row>
    <row r="16" ht="22" customHeight="1">
      <c r="A16" s="105" t="n"/>
      <c r="B16" s="109" t="n"/>
      <c r="C16" s="109" t="n"/>
      <c r="D16" s="123" t="n"/>
      <c r="F16" s="124" t="n"/>
      <c r="H16" s="124" t="n"/>
    </row>
    <row r="17" ht="22" customHeight="1">
      <c r="A17" s="105" t="n"/>
      <c r="B17" s="109" t="n"/>
      <c r="C17" s="109" t="n"/>
      <c r="D17" s="123" t="n"/>
      <c r="F17" s="124" t="n"/>
      <c r="H17" s="124" t="n"/>
    </row>
    <row r="18" ht="22" customHeight="1">
      <c r="A18" s="105" t="n"/>
      <c r="B18" s="109" t="n"/>
      <c r="C18" s="109" t="n"/>
      <c r="D18" s="123" t="n"/>
      <c r="F18" s="124" t="n"/>
      <c r="H18" s="124" t="n"/>
    </row>
    <row r="19" ht="22" customHeight="1">
      <c r="A19" s="105" t="n"/>
      <c r="B19" s="109" t="n"/>
      <c r="C19" s="109" t="n"/>
      <c r="D19" s="123" t="n"/>
      <c r="F19" s="124" t="n"/>
      <c r="H19" s="124" t="n"/>
    </row>
    <row r="20" ht="22" customHeight="1">
      <c r="A20" s="105" t="n"/>
      <c r="B20" s="109" t="n"/>
      <c r="C20" s="109" t="n"/>
      <c r="D20" s="123" t="n"/>
      <c r="F20" s="124" t="n"/>
      <c r="H20" s="124" t="n"/>
    </row>
    <row r="21" ht="22" customHeight="1">
      <c r="A21" s="105" t="n"/>
      <c r="B21" s="109" t="n"/>
      <c r="C21" s="109" t="n"/>
      <c r="D21" s="123" t="n"/>
      <c r="F21" s="124" t="n"/>
      <c r="H21" s="124" t="n"/>
    </row>
    <row r="22" ht="22" customHeight="1">
      <c r="A22" s="105" t="n"/>
      <c r="B22" s="109" t="n"/>
      <c r="C22" s="109" t="n"/>
      <c r="D22" s="123" t="n"/>
      <c r="F22" s="124" t="n"/>
      <c r="H22" s="124" t="n"/>
    </row>
    <row r="23" ht="22" customHeight="1">
      <c r="A23" s="105" t="n"/>
      <c r="B23" s="109" t="n"/>
      <c r="C23" s="109" t="n"/>
      <c r="D23" s="123" t="n"/>
      <c r="F23" s="124" t="n"/>
      <c r="H23" s="124" t="n"/>
    </row>
    <row r="24" ht="22" customHeight="1">
      <c r="A24" s="105" t="n"/>
      <c r="B24" s="109" t="n"/>
      <c r="C24" s="109" t="n"/>
      <c r="D24" s="123" t="n"/>
      <c r="F24" s="124" t="n"/>
      <c r="H24" s="124" t="n"/>
    </row>
    <row r="25" ht="22" customHeight="1">
      <c r="A25" s="105" t="n"/>
      <c r="B25" s="109" t="n"/>
      <c r="C25" s="109" t="n"/>
      <c r="D25" s="123" t="n"/>
      <c r="F25" s="124" t="n"/>
      <c r="H25" s="124" t="n"/>
    </row>
    <row r="26" ht="22" customHeight="1">
      <c r="A26" s="105" t="n"/>
      <c r="B26" s="109" t="n"/>
      <c r="C26" s="109" t="n"/>
      <c r="D26" s="123" t="n"/>
      <c r="F26" s="124" t="n"/>
      <c r="H26" s="124" t="n"/>
    </row>
    <row r="27" ht="22" customHeight="1">
      <c r="A27" s="105" t="n"/>
      <c r="B27" s="109" t="n"/>
      <c r="C27" s="109" t="n"/>
      <c r="D27" s="123" t="n"/>
      <c r="F27" s="124" t="n"/>
      <c r="H27" s="124" t="n"/>
    </row>
    <row r="28" ht="22" customHeight="1">
      <c r="A28" s="105" t="n"/>
      <c r="B28" s="109" t="n"/>
      <c r="C28" s="109" t="n"/>
      <c r="D28" s="123" t="n"/>
      <c r="F28" s="124" t="n"/>
      <c r="H28" s="124" t="n"/>
    </row>
    <row r="29" ht="22" customHeight="1">
      <c r="A29" s="113" t="n"/>
      <c r="B29" s="117" t="n"/>
      <c r="C29" s="117" t="n"/>
      <c r="D29" s="125" t="n"/>
      <c r="F29" s="126" t="n"/>
      <c r="H29" s="126" t="n"/>
    </row>
    <row r="30" ht="20" customHeight="1">
      <c r="A30" s="121" t="inlineStr">
        <is>
          <t xml:space="preserve"> </t>
        </is>
      </c>
    </row>
  </sheetData>
  <mergeCells count="6">
    <mergeCell ref="A30:H30"/>
    <mergeCell ref="G2:H2"/>
    <mergeCell ref="G1:H1"/>
    <mergeCell ref="C1:F1"/>
    <mergeCell ref="A1:B2"/>
    <mergeCell ref="C2:F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45" t="n"/>
      <c r="B1" s="46" t="n"/>
      <c r="C1" s="93" t="inlineStr">
        <is>
          <t>Revisões</t>
        </is>
      </c>
      <c r="D1" s="49">
        <f>"Rev. "&amp;'Leia-me'!$D$15&amp;"   ·   "&amp;'Leia-me'!$D$16</f>
        <v/>
      </c>
      <c r="E1" s="46" t="n"/>
    </row>
    <row r="2" ht="28" customHeight="1">
      <c r="A2" s="50" t="n"/>
      <c r="B2" s="51" t="n"/>
      <c r="C2" s="98" t="inlineStr">
        <is>
          <t>Objetivo: Registre cada alteração do modelo; a última linha alimenta Rev. e data do cabeçalho.</t>
        </is>
      </c>
      <c r="D2" s="52">
        <f>"Elaborado: "&amp;'Leia-me'!$D$13&amp;"   ·   Aprovado: "&amp;'Leia-me'!$D$14</f>
        <v/>
      </c>
      <c r="E2" s="51" t="n"/>
    </row>
    <row r="3" ht="26" customHeight="1">
      <c r="A3" s="101" t="inlineStr">
        <is>
          <t>Rev</t>
        </is>
      </c>
      <c r="B3" s="102" t="inlineStr">
        <is>
          <t>Data</t>
        </is>
      </c>
      <c r="C3" s="102" t="inlineStr">
        <is>
          <t>Descrição da alteração</t>
        </is>
      </c>
      <c r="D3" s="102" t="inlineStr">
        <is>
          <t>Elaborado por</t>
        </is>
      </c>
      <c r="E3" s="103" t="inlineStr">
        <is>
          <t>Aprovado por</t>
        </is>
      </c>
    </row>
    <row r="4" hidden="1">
      <c r="A4" s="104" t="inlineStr">
        <is>
          <t>revisao</t>
        </is>
      </c>
      <c r="B4" s="104" t="inlineStr">
        <is>
          <t>data_revisao</t>
        </is>
      </c>
      <c r="C4" s="104" t="inlineStr">
        <is>
          <t>descricao_alteracao</t>
        </is>
      </c>
      <c r="D4" s="104" t="inlineStr">
        <is>
          <t>elaborado_por</t>
        </is>
      </c>
      <c r="E4" s="104" t="inlineStr">
        <is>
          <t>aprovado_por</t>
        </is>
      </c>
    </row>
    <row r="5" ht="22" customHeight="1">
      <c r="A5" s="127" t="inlineStr">
        <is>
          <t>00</t>
        </is>
      </c>
      <c r="B5" s="106" t="n">
        <v>46325</v>
      </c>
      <c r="C5" s="128" t="inlineStr">
        <is>
          <t>Emissão inicial</t>
        </is>
      </c>
      <c r="D5" s="109" t="n"/>
      <c r="E5" s="123" t="n"/>
    </row>
    <row r="6" ht="22" customHeight="1">
      <c r="A6" s="127" t="n"/>
      <c r="B6" s="106" t="n"/>
      <c r="C6" s="128" t="n"/>
      <c r="D6" s="109" t="n"/>
      <c r="E6" s="123" t="n"/>
    </row>
    <row r="7" ht="22" customHeight="1">
      <c r="A7" s="127" t="n"/>
      <c r="B7" s="106" t="n"/>
      <c r="C7" s="128" t="n"/>
      <c r="D7" s="109" t="n"/>
      <c r="E7" s="123" t="n"/>
    </row>
    <row r="8" ht="22" customHeight="1">
      <c r="A8" s="127" t="n"/>
      <c r="B8" s="106" t="n"/>
      <c r="C8" s="128" t="n"/>
      <c r="D8" s="109" t="n"/>
      <c r="E8" s="123" t="n"/>
    </row>
    <row r="9" ht="22" customHeight="1">
      <c r="A9" s="127" t="n"/>
      <c r="B9" s="106" t="n"/>
      <c r="C9" s="128" t="n"/>
      <c r="D9" s="109" t="n"/>
      <c r="E9" s="123" t="n"/>
    </row>
    <row r="10" ht="22" customHeight="1">
      <c r="A10" s="127" t="n"/>
      <c r="B10" s="106" t="n"/>
      <c r="C10" s="128" t="n"/>
      <c r="D10" s="109" t="n"/>
      <c r="E10" s="123" t="n"/>
    </row>
    <row r="11" ht="22" customHeight="1">
      <c r="A11" s="127" t="n"/>
      <c r="B11" s="106" t="n"/>
      <c r="C11" s="128" t="n"/>
      <c r="D11" s="109" t="n"/>
      <c r="E11" s="123" t="n"/>
    </row>
    <row r="12" ht="22" customHeight="1">
      <c r="A12" s="127" t="n"/>
      <c r="B12" s="106" t="n"/>
      <c r="C12" s="128" t="n"/>
      <c r="D12" s="109" t="n"/>
      <c r="E12" s="123" t="n"/>
    </row>
    <row r="13" ht="22" customHeight="1">
      <c r="A13" s="127" t="n"/>
      <c r="B13" s="106" t="n"/>
      <c r="C13" s="128" t="n"/>
      <c r="D13" s="109" t="n"/>
      <c r="E13" s="123" t="n"/>
    </row>
    <row r="14" ht="22" customHeight="1">
      <c r="A14" s="127" t="n"/>
      <c r="B14" s="106" t="n"/>
      <c r="C14" s="128" t="n"/>
      <c r="D14" s="109" t="n"/>
      <c r="E14" s="123" t="n"/>
    </row>
    <row r="15" ht="22" customHeight="1">
      <c r="A15" s="127" t="n"/>
      <c r="B15" s="106" t="n"/>
      <c r="C15" s="128" t="n"/>
      <c r="D15" s="109" t="n"/>
      <c r="E15" s="123" t="n"/>
    </row>
    <row r="16" ht="22" customHeight="1">
      <c r="A16" s="127" t="n"/>
      <c r="B16" s="106" t="n"/>
      <c r="C16" s="128" t="n"/>
      <c r="D16" s="109" t="n"/>
      <c r="E16" s="123" t="n"/>
    </row>
    <row r="17" ht="22" customHeight="1">
      <c r="A17" s="127" t="n"/>
      <c r="B17" s="106" t="n"/>
      <c r="C17" s="128" t="n"/>
      <c r="D17" s="109" t="n"/>
      <c r="E17" s="123" t="n"/>
    </row>
    <row r="18" ht="22" customHeight="1">
      <c r="A18" s="127" t="n"/>
      <c r="B18" s="106" t="n"/>
      <c r="C18" s="128" t="n"/>
      <c r="D18" s="109" t="n"/>
      <c r="E18" s="123" t="n"/>
    </row>
    <row r="19" ht="22" customHeight="1">
      <c r="A19" s="127" t="n"/>
      <c r="B19" s="106" t="n"/>
      <c r="C19" s="128" t="n"/>
      <c r="D19" s="109" t="n"/>
      <c r="E19" s="123" t="n"/>
    </row>
    <row r="20" ht="22" customHeight="1">
      <c r="A20" s="127" t="n"/>
      <c r="B20" s="106" t="n"/>
      <c r="C20" s="128" t="n"/>
      <c r="D20" s="109" t="n"/>
      <c r="E20" s="123" t="n"/>
    </row>
    <row r="21" ht="22" customHeight="1">
      <c r="A21" s="127" t="n"/>
      <c r="B21" s="106" t="n"/>
      <c r="C21" s="128" t="n"/>
      <c r="D21" s="109" t="n"/>
      <c r="E21" s="123" t="n"/>
    </row>
    <row r="22" ht="22" customHeight="1">
      <c r="A22" s="127" t="n"/>
      <c r="B22" s="106" t="n"/>
      <c r="C22" s="128" t="n"/>
      <c r="D22" s="109" t="n"/>
      <c r="E22" s="123" t="n"/>
    </row>
    <row r="23" ht="22" customHeight="1">
      <c r="A23" s="127" t="n"/>
      <c r="B23" s="106" t="n"/>
      <c r="C23" s="128" t="n"/>
      <c r="D23" s="109" t="n"/>
      <c r="E23" s="123" t="n"/>
    </row>
    <row r="24" ht="22" customHeight="1">
      <c r="A24" s="127" t="n"/>
      <c r="B24" s="106" t="n"/>
      <c r="C24" s="128" t="n"/>
      <c r="D24" s="109" t="n"/>
      <c r="E24" s="123" t="n"/>
    </row>
    <row r="25" ht="22" customHeight="1">
      <c r="A25" s="127" t="n"/>
      <c r="B25" s="106" t="n"/>
      <c r="C25" s="128" t="n"/>
      <c r="D25" s="109" t="n"/>
      <c r="E25" s="123" t="n"/>
    </row>
    <row r="26" ht="22" customHeight="1">
      <c r="A26" s="127" t="n"/>
      <c r="B26" s="106" t="n"/>
      <c r="C26" s="128" t="n"/>
      <c r="D26" s="109" t="n"/>
      <c r="E26" s="123" t="n"/>
    </row>
    <row r="27" ht="22" customHeight="1">
      <c r="A27" s="127" t="n"/>
      <c r="B27" s="106" t="n"/>
      <c r="C27" s="128" t="n"/>
      <c r="D27" s="109" t="n"/>
      <c r="E27" s="123" t="n"/>
    </row>
    <row r="28" ht="22" customHeight="1">
      <c r="A28" s="127" t="n"/>
      <c r="B28" s="106" t="n"/>
      <c r="C28" s="128" t="n"/>
      <c r="D28" s="109" t="n"/>
      <c r="E28" s="123" t="n"/>
    </row>
    <row r="29" ht="22" customHeight="1">
      <c r="A29" s="129" t="n"/>
      <c r="B29" s="114" t="n"/>
      <c r="C29" s="130" t="n"/>
      <c r="D29" s="117" t="n"/>
      <c r="E29" s="125" t="n"/>
    </row>
    <row r="30" ht="20" customHeight="1">
      <c r="A30" s="121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2026-10-31T02:28:48Z</dcterms:created>
  <dcterms:modified xmlns:dcterms="http://purl.org/dc/terms/" xmlns:xsi="http://www.w3.org/2001/XMLSchema-instance" xsi:type="dcterms:W3CDTF">2026-10-31T02:28:48Z</dcterms:modified>
</cp:coreProperties>
</file>