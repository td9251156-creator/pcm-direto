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3.xml" ContentType="application/vnd.openxmlformats-officedocument.spreadsheetml.comments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Ficha de falha" sheetId="2" state="visible" r:id="rId2"/>
    <sheet xmlns:r="http://schemas.openxmlformats.org/officeDocument/2006/relationships" name="Registro de falhas" sheetId="3" state="visible" r:id="rId3"/>
    <sheet xmlns:r="http://schemas.openxmlformats.org/officeDocument/2006/relationships" name="Pareto" sheetId="4" state="visible" r:id="rId4"/>
    <sheet xmlns:r="http://schemas.openxmlformats.org/officeDocument/2006/relationships" name="Cadastros" sheetId="5" state="visible" r:id="rId5"/>
    <sheet xmlns:r="http://schemas.openxmlformats.org/officeDocument/2006/relationships" name="Revisões" sheetId="6" state="visible" r:id="rId6"/>
  </sheets>
  <definedNames>
    <definedName name="L_TAGS">tb_pcm_ativos[tag]</definedName>
    <definedName name="L_PESSOAS">tb_pcm_pessoas[nome_pessoa]</definedName>
    <definedName name="L_SETORES">tb_pcm_setores[nome_setor]</definedName>
    <definedName name="L_FAMILIAS">tb_pcm_familias[nome_familia]</definedName>
    <definedName name="_xlnm.Print_Area" localSheetId="0">'Leia-me'!$A$1:$G$32</definedName>
    <definedName name="_xlnm.Print_Area" localSheetId="1">'Ficha de falha'!$A$1:$E$23</definedName>
    <definedName name="_xlnm.Print_Titles" localSheetId="2">'Registro de falhas'!$1:$3</definedName>
    <definedName name="_xlnm.Print_Area" localSheetId="2">'Registro de falhas'!$A$1:$K$30</definedName>
    <definedName name="_xlnm.Print_Area" localSheetId="3">'Pareto'!$A$1:$K$35</definedName>
    <definedName name="_xlnm.Print_Titles" localSheetId="4">'Cadastros'!$1:$3</definedName>
    <definedName name="_xlnm.Print_Area" localSheetId="4">'Cadastros'!$A$1:$J$30</definedName>
    <definedName name="_xlnm.Print_Titles" localSheetId="5">'Revisões'!$1:$3</definedName>
    <definedName name="_xlnm.Print_Area" localSheetId="5">'Revisões'!$A$1:$E$30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 hh:mm"/>
    <numFmt numFmtId="165" formatCode="0.0"/>
    <numFmt numFmtId="166" formatCode="#,##0.##"/>
    <numFmt numFmtId="167" formatCode="dd/mm/yyyy"/>
  </numFmts>
  <fonts count="26">
    <font>
      <name val="Calibri"/>
      <family val="2"/>
      <color theme="1"/>
      <sz val="11"/>
      <scheme val="minor"/>
    </font>
    <font>
      <name val="Arial"/>
      <b val="1"/>
      <color rgb="006B7686"/>
      <sz val="7.5"/>
    </font>
    <font>
      <name val="Arial"/>
      <b val="1"/>
      <color rgb="000E1726"/>
      <sz val="10"/>
    </font>
    <font>
      <name val="Arial Black"/>
      <color rgb="000E1726"/>
      <sz val="20"/>
    </font>
    <font>
      <name val="Arial"/>
      <color rgb="004A5668"/>
      <sz val="8"/>
    </font>
    <font>
      <name val="Arial Black"/>
      <color rgb="000E1726"/>
      <sz val="10"/>
    </font>
    <font>
      <name val="Arial"/>
      <b val="1"/>
      <color rgb="00FFFFFF"/>
      <sz val="9"/>
    </font>
    <font>
      <name val="Arial"/>
      <color rgb="008A94A6"/>
      <sz val="7"/>
    </font>
    <font>
      <name val="Arial"/>
      <b val="1"/>
      <color rgb="000B2A5B"/>
      <sz val="9"/>
    </font>
    <font>
      <name val="Arial"/>
      <color rgb="000E1726"/>
      <sz val="9"/>
    </font>
    <font>
      <name val="Arial"/>
      <b val="1"/>
      <color rgb="00FFFFFF"/>
      <sz val="8"/>
    </font>
    <font>
      <name val="Arial"/>
      <b val="1"/>
      <color rgb="006B7686"/>
      <sz val="8"/>
    </font>
    <font>
      <name val="Arial"/>
      <b val="1"/>
      <color rgb="000E1726"/>
      <sz val="9"/>
    </font>
    <font>
      <name val="Arial"/>
      <b val="1"/>
      <color rgb="006B7686"/>
      <sz val="9"/>
    </font>
    <font>
      <name val="Arial Black"/>
      <color rgb="000B2A5B"/>
      <sz val="16"/>
    </font>
    <font>
      <name val="Arial"/>
      <i val="1"/>
      <color rgb="004A5668"/>
      <sz val="8"/>
    </font>
    <font>
      <name val="Arial Black"/>
      <color rgb="001F5AA6"/>
      <sz val="12"/>
      <u val="single"/>
    </font>
    <font>
      <name val="Arial Black"/>
      <color rgb="00FFFFFF"/>
      <sz val="10"/>
    </font>
    <font>
      <name val="Arial"/>
      <color rgb="000E1726"/>
      <sz val="8.5"/>
    </font>
    <font>
      <name val="Arial"/>
      <i val="1"/>
      <color rgb="006B7686"/>
      <sz val="8"/>
    </font>
    <font>
      <name val="Arial"/>
      <b val="1"/>
      <color rgb="00B85600"/>
      <sz val="8"/>
    </font>
    <font>
      <name val="Arial"/>
      <b val="1"/>
      <color rgb="001F5AA6"/>
      <sz val="9"/>
      <u val="single"/>
    </font>
    <font>
      <name val="Arial Black"/>
      <color rgb="000B2A5B"/>
      <sz val="10"/>
    </font>
    <font>
      <name val="Arial Black"/>
      <color rgb="001F5AA6"/>
      <sz val="10"/>
      <u val="single"/>
    </font>
    <font>
      <name val="Arial"/>
      <color rgb="004A5668"/>
      <sz val="8.5"/>
    </font>
    <font>
      <name val="Arial"/>
      <color rgb="000E1726"/>
      <sz val="8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CEFF3"/>
      </patternFill>
    </fill>
    <fill>
      <patternFill patternType="solid">
        <fgColor rgb="000B2A5B"/>
      </patternFill>
    </fill>
    <fill>
      <patternFill patternType="solid">
        <fgColor rgb="00EAF1FB"/>
      </patternFill>
    </fill>
    <fill>
      <patternFill patternType="solid">
        <fgColor rgb="001F5AA6"/>
      </patternFill>
    </fill>
    <fill>
      <patternFill patternType="solid">
        <fgColor rgb="00F6F8FB"/>
      </patternFill>
    </fill>
  </fills>
  <borders count="68">
    <border>
      <left/>
      <right/>
      <top/>
      <bottom/>
      <diagonal/>
    </border>
    <border>
      <left style="thin">
        <color rgb="00D3DEEC"/>
      </left>
      <top style="thin">
        <color rgb="00D3DEEC"/>
      </top>
    </border>
    <border>
      <top style="thin">
        <color rgb="00D3DEEC"/>
      </top>
    </border>
    <border>
      <right style="thin">
        <color rgb="00D3DEEC"/>
      </right>
      <top style="thin">
        <color rgb="00D3DEEC"/>
      </top>
    </border>
    <border>
      <left style="thin">
        <color rgb="00D3DEEC"/>
      </left>
      <bottom style="thin">
        <color rgb="00D3DEEC"/>
      </bottom>
    </border>
    <border>
      <bottom style="thin">
        <color rgb="00D3DEEC"/>
      </bottom>
    </border>
    <border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D3DEEC"/>
      </right>
      <top style="thin">
        <color rgb="00D3DEEC"/>
      </top>
      <bottom style="thin">
        <color rgb="00D3DEEC"/>
      </bottom>
    </border>
    <border>
      <left style="thin">
        <color rgb="00D3DEEC"/>
      </left>
    </border>
    <border/>
    <border>
      <right style="thin">
        <color rgb="00D3DEEC"/>
      </right>
    </border>
    <border>
      <left style="thin">
        <color rgb="00D3DEEC"/>
      </left>
      <right style="thin">
        <color rgb="00D3DEEC"/>
      </right>
      <top style="thin">
        <color rgb="00D3DEEC"/>
      </top>
    </border>
    <border>
      <left/>
      <right/>
      <top style="thin">
        <color rgb="00D3DEEC"/>
      </top>
      <bottom/>
      <diagonal/>
    </border>
    <border>
      <left/>
      <right style="thin">
        <color rgb="00D3DEEC"/>
      </right>
      <top style="thin">
        <color rgb="00D3DEEC"/>
      </top>
      <bottom/>
      <diagonal/>
    </border>
    <border>
      <left style="thin">
        <color rgb="00D3DEEC"/>
      </left>
      <right style="thin">
        <color rgb="00D3DEEC"/>
      </right>
    </border>
    <border>
      <left/>
      <right style="thin">
        <color rgb="00D3DEEC"/>
      </right>
      <top/>
      <bottom/>
      <diagonal/>
    </border>
    <border>
      <left style="thin">
        <color rgb="00D3DEEC"/>
      </left>
      <right/>
      <top/>
      <bottom/>
      <diagonal/>
    </border>
    <border>
      <left style="thin">
        <color rgb="00D3DEEC"/>
      </left>
      <right style="thin">
        <color rgb="00D3DEEC"/>
      </right>
      <bottom style="thin">
        <color rgb="00D3DEEC"/>
      </bottom>
    </border>
    <border>
      <left style="thin">
        <color rgb="00D3DEEC"/>
      </left>
      <right/>
      <top/>
      <bottom style="thin">
        <color rgb="00D3DEEC"/>
      </bottom>
      <diagonal/>
    </border>
    <border>
      <left/>
      <right/>
      <top/>
      <bottom style="thin">
        <color rgb="00D3DEEC"/>
      </bottom>
      <diagonal/>
    </border>
    <border>
      <left/>
      <right style="thin">
        <color rgb="00D3DEEC"/>
      </right>
      <top/>
      <bottom style="thin">
        <color rgb="00D3DEEC"/>
      </bottom>
      <diagonal/>
    </border>
    <border>
      <left style="thin">
        <color rgb="00D3DEEC"/>
      </left>
      <top style="thin">
        <color rgb="00D3DEEC"/>
      </top>
      <bottom style="thin">
        <color rgb="00D3DEEC"/>
      </bottom>
    </border>
    <border>
      <right style="thin">
        <color rgb="00D3DEEC"/>
      </right>
      <top style="thin">
        <color rgb="00D3DEEC"/>
      </top>
      <bottom style="thin">
        <color rgb="00D3DEEC"/>
      </bottom>
    </border>
    <border>
      <left style="thin">
        <color rgb="000B2A5B"/>
      </left>
      <right style="thin">
        <color rgb="000B2A5B"/>
      </right>
      <top style="thin">
        <color rgb="000B2A5B"/>
      </top>
    </border>
    <border>
      <left style="thin">
        <color rgb="000B2A5B"/>
      </left>
      <top style="thin">
        <color rgb="000B2A5B"/>
      </top>
    </border>
    <border>
      <right style="thin">
        <color rgb="000B2A5B"/>
      </right>
      <top style="thin">
        <color rgb="000B2A5B"/>
      </top>
    </border>
    <border>
      <left style="thin">
        <color rgb="000B2A5B"/>
      </left>
      <right style="thin">
        <color rgb="000B2A5B"/>
      </right>
      <bottom style="thin">
        <color rgb="000B2A5B"/>
      </bottom>
    </border>
    <border>
      <left style="thin">
        <color rgb="000B2A5B"/>
      </left>
      <bottom style="thin">
        <color rgb="000B2A5B"/>
      </bottom>
    </border>
    <border>
      <right style="thin">
        <color rgb="000B2A5B"/>
      </right>
      <bottom style="thin">
        <color rgb="000B2A5B"/>
      </bottom>
    </border>
    <border>
      <left/>
      <right/>
      <top style="thin">
        <color rgb="00D3DEEC"/>
      </top>
      <bottom/>
    </border>
    <border>
      <left/>
      <right style="thin">
        <color rgb="00D3DEEC"/>
      </right>
      <top style="thin">
        <color rgb="00D3DEEC"/>
      </top>
      <bottom/>
    </border>
    <border>
      <left/>
      <right style="thin">
        <color rgb="00D3DEEC"/>
      </right>
      <top/>
      <bottom/>
    </border>
    <border>
      <left style="thin">
        <color rgb="000B2A5B"/>
      </left>
      <bottom style="thin">
        <color rgb="00D3DEEC"/>
      </bottom>
    </border>
    <border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0B2A5B"/>
      </right>
      <bottom style="thin">
        <color rgb="000B2A5B"/>
      </bottom>
    </border>
    <border>
      <top style="thin">
        <color rgb="000B2A5B"/>
      </top>
    </border>
    <border>
      <bottom style="thin">
        <color rgb="000B2A5B"/>
      </bottom>
    </border>
    <border>
      <top style="thin">
        <color rgb="00D3DEEC"/>
      </top>
      <bottom style="thin">
        <color rgb="00D3DEEC"/>
      </bottom>
    </border>
    <border>
      <left style="thin">
        <color rgb="000B2A5B"/>
      </left>
      <right style="thin">
        <color rgb="000B2A5B"/>
      </right>
      <bottom style="thin">
        <color rgb="00D3DEEC"/>
      </bottom>
    </border>
    <border>
      <bottom style="thick">
        <color rgb="00F28C28"/>
      </bottom>
    </border>
    <border>
      <left style="medium">
        <color rgb="00FFFFFF"/>
      </left>
      <top style="medium">
        <color rgb="000B2A5B"/>
      </top>
    </border>
    <border>
      <left style="medium">
        <color rgb="00FFFFFF"/>
      </left>
    </border>
    <border>
      <right style="medium">
        <color rgb="00FFFFFF"/>
      </right>
      <top style="medium">
        <color rgb="000B2A5B"/>
      </top>
    </border>
    <border>
      <right style="medium">
        <color rgb="00FFFFFF"/>
      </right>
    </border>
    <border>
      <left style="medium">
        <color rgb="00FFFFFF"/>
      </left>
      <right style="medium">
        <color rgb="00FFFFFF"/>
      </right>
      <top style="medium">
        <color rgb="000B2A5B"/>
      </top>
    </border>
    <border>
      <left style="medium">
        <color rgb="00FFFFFF"/>
      </left>
      <right style="medium">
        <color rgb="00FFFFFF"/>
      </right>
    </border>
    <border>
      <bottom style="thin">
        <color rgb="00FFFFFF"/>
      </bottom>
    </border>
    <border>
      <top style="medium">
        <color rgb="000B2A5B"/>
      </top>
    </border>
    <border>
      <left style="thin">
        <color rgb="00D3DEEC"/>
      </left>
      <right style="thin">
        <color rgb="00D3DEEC"/>
      </right>
      <top style="thin">
        <color rgb="00D3DEEC"/>
      </top>
      <bottom/>
    </border>
    <border>
      <left style="thin">
        <color rgb="00D3DEEC"/>
      </left>
      <right style="thin">
        <color rgb="00D3DEEC"/>
      </right>
      <bottom/>
    </border>
    <border>
      <right style="thin">
        <color rgb="00D3DEEC"/>
      </right>
      <bottom/>
    </border>
    <border>
      <left/>
      <right style="thin">
        <color rgb="000B2A5B"/>
      </right>
      <top/>
      <bottom/>
      <diagonal/>
    </border>
    <border>
      <left/>
      <right/>
      <top/>
      <bottom style="thin">
        <color rgb="000B2A5B"/>
      </bottom>
      <diagonal/>
    </border>
    <border>
      <left/>
      <right style="thin">
        <color rgb="000B2A5B"/>
      </right>
      <top/>
      <bottom style="thin">
        <color rgb="000B2A5B"/>
      </bottom>
      <diagonal/>
    </border>
    <border>
      <left style="thin">
        <color rgb="00D3DEEC"/>
      </left>
      <right/>
      <bottom/>
    </border>
    <border>
      <left/>
      <right/>
      <top style="thin">
        <color rgb="000B2A5B"/>
      </top>
      <bottom/>
      <diagonal/>
    </border>
    <border>
      <left/>
      <right style="thin">
        <color rgb="000B2A5B"/>
      </right>
      <top style="thin">
        <color rgb="000B2A5B"/>
      </top>
      <bottom/>
      <diagonal/>
    </border>
    <border>
      <left/>
      <right/>
      <top style="thin">
        <color rgb="00D3DEEC"/>
      </top>
      <bottom style="thin">
        <color rgb="00D3DEEC"/>
      </bottom>
      <diagonal/>
    </border>
    <border>
      <left/>
      <right style="thin">
        <color rgb="00D3DEEC"/>
      </right>
      <top style="thin">
        <color rgb="00D3DEEC"/>
      </top>
      <bottom style="thin">
        <color rgb="00D3DEEC"/>
      </bottom>
      <diagonal/>
    </border>
    <border>
      <left style="thin">
        <color rgb="000B2A5B"/>
      </left>
      <right style="thin">
        <color rgb="000B2A5B"/>
      </right>
      <top style="thin">
        <color rgb="000B2A5B"/>
      </top>
      <bottom style="thin">
        <color rgb="000B2A5B"/>
      </bottom>
    </border>
    <border>
      <left style="thin">
        <color rgb="000B2A5B"/>
      </left>
      <right/>
      <top/>
      <bottom/>
      <diagonal/>
    </border>
    <border>
      <left style="thin">
        <color rgb="000B2A5B"/>
      </left>
      <right style="thin">
        <color rgb="000B2A5B"/>
      </right>
      <top/>
      <bottom/>
      <diagonal/>
    </border>
    <border>
      <left style="thin">
        <color rgb="000B2A5B"/>
      </left>
      <right style="thin">
        <color rgb="000B2A5B"/>
      </right>
      <top/>
      <bottom style="thin">
        <color rgb="000B2A5B"/>
      </bottom>
      <diagonal/>
    </border>
    <border>
      <left style="thin">
        <color rgb="000B2A5B"/>
      </left>
      <right/>
      <top/>
      <bottom style="thin">
        <color rgb="000B2A5B"/>
      </bottom>
      <diagonal/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1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right" vertical="center"/>
    </xf>
    <xf numFmtId="0" fontId="0" fillId="0" borderId="43" pivotButton="0" quotePrefix="0" xfId="0"/>
    <xf numFmtId="0" fontId="15" fillId="0" borderId="43" applyAlignment="1" pivotButton="0" quotePrefix="0" xfId="0">
      <alignment horizontal="center" vertical="top"/>
    </xf>
    <xf numFmtId="0" fontId="15" fillId="0" borderId="43" applyAlignment="1" pivotButton="0" quotePrefix="0" xfId="0">
      <alignment horizontal="right" vertical="top"/>
    </xf>
    <xf numFmtId="0" fontId="17" fillId="4" borderId="0" applyAlignment="1" pivotButton="0" quotePrefix="0" xfId="0">
      <alignment vertical="center" indent="1"/>
    </xf>
    <xf numFmtId="0" fontId="0" fillId="4" borderId="0" pivotButton="0" quotePrefix="0" xfId="0"/>
    <xf numFmtId="0" fontId="0" fillId="5" borderId="44" applyAlignment="1" pivotButton="0" quotePrefix="0" xfId="0">
      <alignment vertical="center" indent="1"/>
    </xf>
    <xf numFmtId="0" fontId="0" fillId="5" borderId="46" pivotButton="0" quotePrefix="0" xfId="0"/>
    <xf numFmtId="0" fontId="0" fillId="5" borderId="48" applyAlignment="1" pivotButton="0" quotePrefix="0" xfId="0">
      <alignment vertical="center" indent="1"/>
    </xf>
    <xf numFmtId="0" fontId="18" fillId="5" borderId="45" applyAlignment="1" pivotButton="0" quotePrefix="0" xfId="0">
      <alignment vertical="top" wrapText="1" indent="1"/>
    </xf>
    <xf numFmtId="0" fontId="0" fillId="5" borderId="47" pivotButton="0" quotePrefix="0" xfId="0"/>
    <xf numFmtId="0" fontId="18" fillId="5" borderId="49" applyAlignment="1" pivotButton="0" quotePrefix="0" xfId="0">
      <alignment vertical="top" wrapText="1" indent="1"/>
    </xf>
    <xf numFmtId="0" fontId="0" fillId="4" borderId="0" applyAlignment="1" pivotButton="0" quotePrefix="0" xfId="0">
      <alignment vertical="center" indent="1"/>
    </xf>
    <xf numFmtId="0" fontId="8" fillId="5" borderId="7" applyAlignment="1" pivotButton="0" quotePrefix="0" xfId="0">
      <alignment vertical="center" indent="1"/>
    </xf>
    <xf numFmtId="0" fontId="0" fillId="5" borderId="7" pivotButton="0" quotePrefix="0" xfId="0"/>
    <xf numFmtId="49" fontId="12" fillId="2" borderId="7" applyAlignment="1" pivotButton="0" quotePrefix="0" xfId="0">
      <alignment horizontal="left" vertical="center" wrapText="1" indent="1"/>
    </xf>
    <xf numFmtId="0" fontId="0" fillId="2" borderId="41" pivotButton="0" quotePrefix="0" xfId="0"/>
    <xf numFmtId="0" fontId="19" fillId="2" borderId="22" applyAlignment="1" pivotButton="0" quotePrefix="0" xfId="0">
      <alignment vertical="center" indent="1"/>
    </xf>
    <xf numFmtId="0" fontId="0" fillId="2" borderId="7" pivotButton="0" quotePrefix="0" xfId="0"/>
    <xf numFmtId="0" fontId="20" fillId="2" borderId="22" applyAlignment="1" pivotButton="0" quotePrefix="0" xfId="0">
      <alignment vertical="center" indent="1"/>
    </xf>
    <xf numFmtId="49" fontId="12" fillId="3" borderId="7" applyAlignment="1" pivotButton="0" quotePrefix="0" xfId="0">
      <alignment horizontal="left" vertical="center" wrapText="1" indent="1"/>
    </xf>
    <xf numFmtId="0" fontId="0" fillId="3" borderId="41" pivotButton="0" quotePrefix="0" xfId="0"/>
    <xf numFmtId="0" fontId="17" fillId="6" borderId="50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 indent="1"/>
    </xf>
    <xf numFmtId="0" fontId="9" fillId="0" borderId="5" applyAlignment="1" pivotButton="0" quotePrefix="0" xfId="0">
      <alignment vertical="center" wrapText="1" indent="1"/>
    </xf>
    <xf numFmtId="0" fontId="0" fillId="0" borderId="5" pivotButton="0" quotePrefix="0" xfId="0"/>
    <xf numFmtId="0" fontId="8" fillId="0" borderId="5" applyAlignment="1" pivotButton="0" quotePrefix="0" xfId="0">
      <alignment vertical="center" indent="1"/>
    </xf>
    <xf numFmtId="0" fontId="8" fillId="2" borderId="7" applyAlignment="1" pivotButton="0" quotePrefix="0" xfId="0">
      <alignment vertical="center" indent="1"/>
    </xf>
    <xf numFmtId="0" fontId="8" fillId="3" borderId="7" applyAlignment="1" pivotButton="0" quotePrefix="0" xfId="0">
      <alignment vertical="center" indent="1"/>
    </xf>
    <xf numFmtId="0" fontId="0" fillId="3" borderId="7" pivotButton="0" quotePrefix="0" xfId="0"/>
    <xf numFmtId="0" fontId="0" fillId="7" borderId="51" pivotButton="0" quotePrefix="0" xfId="0"/>
    <xf numFmtId="0" fontId="22" fillId="7" borderId="51" applyAlignment="1" pivotButton="0" quotePrefix="0" xfId="0">
      <alignment vertical="bottom" indent="1"/>
    </xf>
    <xf numFmtId="0" fontId="23" fillId="7" borderId="51" applyAlignment="1" pivotButton="0" quotePrefix="0" xfId="0">
      <alignment horizontal="right" vertical="bottom" indent="1"/>
    </xf>
    <xf numFmtId="0" fontId="0" fillId="7" borderId="0" pivotButton="0" quotePrefix="0" xfId="0"/>
    <xf numFmtId="0" fontId="24" fillId="7" borderId="0" applyAlignment="1" pivotButton="0" quotePrefix="0" xfId="0">
      <alignment vertical="top" wrapText="1" indent="1"/>
    </xf>
    <xf numFmtId="0" fontId="0" fillId="2" borderId="63" pivotButton="0" quotePrefix="0" xfId="0"/>
    <xf numFmtId="0" fontId="3" fillId="2" borderId="23" applyAlignment="1" pivotButton="0" quotePrefix="0" xfId="0">
      <alignment horizontal="center" vertical="center"/>
    </xf>
    <xf numFmtId="0" fontId="0" fillId="0" borderId="59" pivotButton="0" quotePrefix="0" xfId="0"/>
    <xf numFmtId="0" fontId="0" fillId="0" borderId="60" pivotButton="0" quotePrefix="0" xfId="0"/>
    <xf numFmtId="0" fontId="5" fillId="2" borderId="23" applyAlignment="1" pivotButton="0" quotePrefix="0" xfId="0">
      <alignment horizontal="center" vertical="center" shrinkToFit="1"/>
    </xf>
    <xf numFmtId="0" fontId="0" fillId="0" borderId="66" pivotButton="0" quotePrefix="0" xfId="0"/>
    <xf numFmtId="0" fontId="4" fillId="2" borderId="26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0" borderId="57" pivotButton="0" quotePrefix="0" xfId="0"/>
    <xf numFmtId="0" fontId="1" fillId="2" borderId="1" applyAlignment="1" pivotButton="0" quotePrefix="0" xfId="0">
      <alignment horizontal="left" vertical="bottom" indent="1"/>
    </xf>
    <xf numFmtId="0" fontId="1" fillId="2" borderId="2" applyAlignment="1" pivotButton="0" quotePrefix="0" xfId="0">
      <alignment horizontal="left" vertical="bottom" indent="1"/>
    </xf>
    <xf numFmtId="0" fontId="1" fillId="2" borderId="3" applyAlignment="1" pivotButton="0" quotePrefix="0" xfId="0">
      <alignment horizontal="left" vertical="bottom" indent="1"/>
    </xf>
    <xf numFmtId="0" fontId="2" fillId="2" borderId="7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left" vertical="center" wrapText="1" indent="1"/>
    </xf>
    <xf numFmtId="0" fontId="12" fillId="3" borderId="7" applyAlignment="1" pivotButton="0" quotePrefix="0" xfId="0">
      <alignment horizontal="left" vertical="center" wrapText="1" indent="1"/>
    </xf>
    <xf numFmtId="0" fontId="2" fillId="3" borderId="7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4" borderId="52" applyAlignment="1" pivotButton="0" quotePrefix="0" xfId="0">
      <alignment horizontal="left" vertical="center" indent="1"/>
    </xf>
    <xf numFmtId="0" fontId="0" fillId="0" borderId="12" pivotButton="0" quotePrefix="0" xfId="0"/>
    <xf numFmtId="0" fontId="0" fillId="0" borderId="13" pivotButton="0" quotePrefix="0" xfId="0"/>
    <xf numFmtId="0" fontId="1" fillId="2" borderId="53" applyAlignment="1" pivotButton="0" quotePrefix="0" xfId="0">
      <alignment horizontal="left" vertical="bottom" indent="1"/>
    </xf>
    <xf numFmtId="0" fontId="0" fillId="0" borderId="15" pivotButton="0" quotePrefix="0" xfId="0"/>
    <xf numFmtId="0" fontId="2" fillId="2" borderId="7" applyAlignment="1" pivotButton="0" quotePrefix="0" xfId="0">
      <alignment horizontal="left" vertical="top" wrapText="1" inden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1" fillId="2" borderId="58" applyAlignment="1" pivotButton="0" quotePrefix="0" xfId="0">
      <alignment horizontal="left" vertical="bottom" indent="1"/>
    </xf>
    <xf numFmtId="0" fontId="1" fillId="2" borderId="54" applyAlignment="1" pivotButton="0" quotePrefix="0" xfId="0">
      <alignment horizontal="left" vertical="bottom" indent="1"/>
    </xf>
    <xf numFmtId="164" fontId="2" fillId="2" borderId="7" applyAlignment="1" pivotButton="0" quotePrefix="0" xfId="0">
      <alignment horizontal="center" vertical="center" wrapText="1"/>
    </xf>
    <xf numFmtId="0" fontId="0" fillId="0" borderId="61" pivotButton="0" quotePrefix="0" xfId="0"/>
    <xf numFmtId="0" fontId="0" fillId="0" borderId="62" pivotButton="0" quotePrefix="0" xfId="0"/>
    <xf numFmtId="165" fontId="2" fillId="3" borderId="7" applyAlignment="1" pivotButton="0" quotePrefix="0" xfId="0">
      <alignment horizontal="center" vertical="center" wrapText="1"/>
    </xf>
    <xf numFmtId="0" fontId="0" fillId="0" borderId="67" pivotButton="0" quotePrefix="0" xfId="0"/>
    <xf numFmtId="0" fontId="6" fillId="4" borderId="3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6" fillId="4" borderId="33" applyAlignment="1" pivotButton="0" quotePrefix="0" xfId="0">
      <alignment horizontal="center" vertical="center" wrapText="1"/>
    </xf>
    <xf numFmtId="0" fontId="7" fillId="0" borderId="0" pivotButton="0" quotePrefix="0" xfId="0"/>
    <xf numFmtId="49" fontId="8" fillId="2" borderId="34" applyAlignment="1" pivotButton="0" quotePrefix="0" xfId="0">
      <alignment horizontal="left" vertical="center" indent="1"/>
    </xf>
    <xf numFmtId="49" fontId="8" fillId="2" borderId="17" applyAlignment="1" pivotButton="0" quotePrefix="0" xfId="0">
      <alignment horizontal="left" vertical="center" indent="1"/>
    </xf>
    <xf numFmtId="49" fontId="25" fillId="3" borderId="17" applyAlignment="1" pivotButton="0" quotePrefix="0" xfId="0">
      <alignment horizontal="left" vertical="center" wrapText="1" indent="1"/>
    </xf>
    <xf numFmtId="49" fontId="9" fillId="2" borderId="17" applyAlignment="1" pivotButton="0" quotePrefix="0" xfId="0">
      <alignment horizontal="left" vertical="center" indent="1"/>
    </xf>
    <xf numFmtId="0" fontId="9" fillId="2" borderId="17" applyAlignment="1" pivotButton="0" quotePrefix="0" xfId="0">
      <alignment horizontal="left" vertical="center" wrapText="1" indent="1"/>
    </xf>
    <xf numFmtId="164" fontId="9" fillId="2" borderId="17" applyAlignment="1" pivotButton="0" quotePrefix="0" xfId="0">
      <alignment horizontal="center" vertical="center"/>
    </xf>
    <xf numFmtId="164" fontId="9" fillId="2" borderId="35" applyAlignment="1" pivotButton="0" quotePrefix="0" xfId="0">
      <alignment horizontal="center" vertical="center"/>
    </xf>
    <xf numFmtId="49" fontId="8" fillId="2" borderId="36" applyAlignment="1" pivotButton="0" quotePrefix="0" xfId="0">
      <alignment horizontal="left" vertical="center" indent="1"/>
    </xf>
    <xf numFmtId="49" fontId="8" fillId="2" borderId="37" applyAlignment="1" pivotButton="0" quotePrefix="0" xfId="0">
      <alignment horizontal="left" vertical="center" indent="1"/>
    </xf>
    <xf numFmtId="49" fontId="25" fillId="3" borderId="37" applyAlignment="1" pivotButton="0" quotePrefix="0" xfId="0">
      <alignment horizontal="left" vertical="center" wrapText="1" indent="1"/>
    </xf>
    <xf numFmtId="49" fontId="9" fillId="2" borderId="37" applyAlignment="1" pivotButton="0" quotePrefix="0" xfId="0">
      <alignment horizontal="left" vertical="center" indent="1"/>
    </xf>
    <xf numFmtId="0" fontId="9" fillId="2" borderId="37" applyAlignment="1" pivotButton="0" quotePrefix="0" xfId="0">
      <alignment horizontal="left" vertical="center" wrapText="1" indent="1"/>
    </xf>
    <xf numFmtId="164" fontId="9" fillId="2" borderId="37" applyAlignment="1" pivotButton="0" quotePrefix="0" xfId="0">
      <alignment horizontal="center" vertical="center"/>
    </xf>
    <xf numFmtId="164" fontId="9" fillId="2" borderId="38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2" borderId="24" pivotButton="0" quotePrefix="0" xfId="0"/>
    <xf numFmtId="0" fontId="0" fillId="2" borderId="25" pivotButton="0" quotePrefix="0" xfId="0"/>
    <xf numFmtId="0" fontId="3" fillId="2" borderId="24" applyAlignment="1" pivotButton="0" quotePrefix="0" xfId="0">
      <alignment horizontal="center" vertical="center"/>
    </xf>
    <xf numFmtId="0" fontId="0" fillId="2" borderId="39" pivotButton="0" quotePrefix="0" xfId="0"/>
    <xf numFmtId="0" fontId="5" fillId="2" borderId="24" applyAlignment="1" pivotButton="0" quotePrefix="0" xfId="0">
      <alignment horizontal="center" vertical="center" shrinkToFit="1"/>
    </xf>
    <xf numFmtId="0" fontId="0" fillId="2" borderId="27" pivotButton="0" quotePrefix="0" xfId="0"/>
    <xf numFmtId="0" fontId="0" fillId="2" borderId="28" pivotButton="0" quotePrefix="0" xfId="0"/>
    <xf numFmtId="0" fontId="4" fillId="2" borderId="27" applyAlignment="1" pivotButton="0" quotePrefix="0" xfId="0">
      <alignment horizontal="center" vertical="center" wrapText="1"/>
    </xf>
    <xf numFmtId="0" fontId="0" fillId="2" borderId="40" pivotButton="0" quotePrefix="0" xfId="0"/>
    <xf numFmtId="0" fontId="0" fillId="0" borderId="29" pivotButton="0" quotePrefix="0" xfId="0"/>
    <xf numFmtId="0" fontId="0" fillId="2" borderId="2" pivotButton="0" quotePrefix="0" xfId="0"/>
    <xf numFmtId="0" fontId="0" fillId="0" borderId="30" pivotButton="0" quotePrefix="0" xfId="0"/>
    <xf numFmtId="0" fontId="2" fillId="2" borderId="21" applyAlignment="1" pivotButton="0" quotePrefix="0" xfId="0">
      <alignment horizontal="left" vertical="center" wrapText="1" indent="1"/>
    </xf>
    <xf numFmtId="0" fontId="0" fillId="2" borderId="22" pivotButton="0" quotePrefix="0" xfId="0"/>
    <xf numFmtId="0" fontId="0" fillId="2" borderId="5" pivotButton="0" quotePrefix="0" xfId="0"/>
    <xf numFmtId="0" fontId="2" fillId="2" borderId="21" applyAlignment="1" pivotButton="0" quotePrefix="0" xfId="0">
      <alignment horizontal="center" vertical="center" wrapText="1"/>
    </xf>
    <xf numFmtId="0" fontId="0" fillId="4" borderId="11" applyAlignment="1" pivotButton="0" quotePrefix="0" xfId="0">
      <alignment horizontal="left" vertical="center" indent="1"/>
    </xf>
    <xf numFmtId="0" fontId="0" fillId="4" borderId="29" pivotButton="0" quotePrefix="0" xfId="0"/>
    <xf numFmtId="0" fontId="0" fillId="4" borderId="30" pivotButton="0" quotePrefix="0" xfId="0"/>
    <xf numFmtId="0" fontId="10" fillId="4" borderId="8" applyAlignment="1" pivotButton="0" quotePrefix="0" xfId="0">
      <alignment horizontal="center" vertical="center" wrapText="1"/>
    </xf>
    <xf numFmtId="0" fontId="10" fillId="4" borderId="9" applyAlignment="1" pivotButton="0" quotePrefix="0" xfId="0">
      <alignment horizontal="center" vertical="center" wrapText="1"/>
    </xf>
    <xf numFmtId="0" fontId="10" fillId="4" borderId="10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left" vertical="center" wrapText="1" indent="1"/>
    </xf>
    <xf numFmtId="0" fontId="2" fillId="2" borderId="5" applyAlignment="1" pivotButton="0" quotePrefix="0" xfId="0">
      <alignment horizontal="center" vertical="center" wrapText="1"/>
    </xf>
    <xf numFmtId="4" fontId="9" fillId="2" borderId="5" applyAlignment="1" pivotButton="0" quotePrefix="0" xfId="0">
      <alignment horizontal="center" vertical="center" wrapText="1"/>
    </xf>
    <xf numFmtId="4" fontId="13" fillId="3" borderId="6" applyAlignment="1" pivotButton="0" quotePrefix="0" xfId="0">
      <alignment horizontal="center" vertical="center" wrapText="1"/>
    </xf>
    <xf numFmtId="166" fontId="2" fillId="2" borderId="5" applyAlignment="1" pivotButton="0" quotePrefix="0" xfId="0">
      <alignment horizontal="center" vertical="center" wrapText="1"/>
    </xf>
    <xf numFmtId="9" fontId="9" fillId="2" borderId="5" applyAlignment="1" pivotButton="0" quotePrefix="0" xfId="0">
      <alignment horizontal="center" vertical="center" wrapText="1"/>
    </xf>
    <xf numFmtId="9" fontId="12" fillId="2" borderId="6" applyAlignment="1" pivotButton="0" quotePrefix="0" xfId="0">
      <alignment horizontal="center" vertical="center" wrapText="1"/>
    </xf>
    <xf numFmtId="0" fontId="11" fillId="2" borderId="8" applyAlignment="1" pivotButton="0" quotePrefix="0" xfId="0">
      <alignment horizontal="center" vertical="center" wrapText="1"/>
    </xf>
    <xf numFmtId="0" fontId="12" fillId="2" borderId="9" applyAlignment="1" pivotButton="0" quotePrefix="0" xfId="0">
      <alignment horizontal="left" vertical="center" wrapText="1" indent="1"/>
    </xf>
    <xf numFmtId="0" fontId="2" fillId="2" borderId="9" applyAlignment="1" pivotButton="0" quotePrefix="0" xfId="0">
      <alignment horizontal="center" vertical="center" wrapText="1"/>
    </xf>
    <xf numFmtId="4" fontId="9" fillId="2" borderId="9" applyAlignment="1" pivotButton="0" quotePrefix="0" xfId="0">
      <alignment horizontal="center" vertical="center" wrapText="1"/>
    </xf>
    <xf numFmtId="4" fontId="13" fillId="3" borderId="10" applyAlignment="1" pivotButton="0" quotePrefix="0" xfId="0">
      <alignment horizontal="center" vertical="center" wrapText="1"/>
    </xf>
    <xf numFmtId="166" fontId="2" fillId="2" borderId="9" applyAlignment="1" pivotButton="0" quotePrefix="0" xfId="0">
      <alignment horizontal="center" vertical="center" wrapText="1"/>
    </xf>
    <xf numFmtId="9" fontId="9" fillId="2" borderId="9" applyAlignment="1" pivotButton="0" quotePrefix="0" xfId="0">
      <alignment horizontal="center" vertical="center" wrapText="1"/>
    </xf>
    <xf numFmtId="9" fontId="12" fillId="2" borderId="10" applyAlignment="1" pivotButton="0" quotePrefix="0" xfId="0">
      <alignment horizontal="center" vertical="center" wrapText="1"/>
    </xf>
    <xf numFmtId="0" fontId="0" fillId="2" borderId="21" pivotButton="0" quotePrefix="0" xfId="0"/>
    <xf numFmtId="0" fontId="12" fillId="2" borderId="41" applyAlignment="1" pivotButton="0" quotePrefix="0" xfId="0">
      <alignment horizontal="left" vertical="center" wrapText="1" indent="1"/>
    </xf>
    <xf numFmtId="0" fontId="2" fillId="2" borderId="41" applyAlignment="1" pivotButton="0" quotePrefix="0" xfId="0">
      <alignment horizontal="center" vertical="center" wrapText="1"/>
    </xf>
    <xf numFmtId="4" fontId="2" fillId="2" borderId="22" applyAlignment="1" pivotButton="0" quotePrefix="0" xfId="0">
      <alignment horizontal="center" vertical="center" wrapText="1"/>
    </xf>
    <xf numFmtId="166" fontId="2" fillId="2" borderId="4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4" pivotButton="0" quotePrefix="0" xfId="0"/>
    <xf numFmtId="0" fontId="0" fillId="2" borderId="6" pivotButton="0" quotePrefix="0" xfId="0"/>
    <xf numFmtId="0" fontId="6" fillId="4" borderId="42" applyAlignment="1" pivotButton="0" quotePrefix="0" xfId="0">
      <alignment horizontal="center" vertical="center" wrapText="1"/>
    </xf>
    <xf numFmtId="0" fontId="9" fillId="2" borderId="17" applyAlignment="1" pivotButton="0" quotePrefix="0" xfId="0">
      <alignment horizontal="left" vertical="center" indent="1"/>
    </xf>
    <xf numFmtId="0" fontId="9" fillId="2" borderId="35" applyAlignment="1" pivotButton="0" quotePrefix="0" xfId="0">
      <alignment horizontal="left" vertical="center" indent="1"/>
    </xf>
    <xf numFmtId="0" fontId="8" fillId="2" borderId="42" applyAlignment="1" pivotButton="0" quotePrefix="0" xfId="0">
      <alignment horizontal="left" vertical="center" indent="1"/>
    </xf>
    <xf numFmtId="0" fontId="9" fillId="2" borderId="37" applyAlignment="1" pivotButton="0" quotePrefix="0" xfId="0">
      <alignment horizontal="left" vertical="center" indent="1"/>
    </xf>
    <xf numFmtId="0" fontId="9" fillId="2" borderId="38" applyAlignment="1" pivotButton="0" quotePrefix="0" xfId="0">
      <alignment horizontal="left" vertical="center" indent="1"/>
    </xf>
    <xf numFmtId="0" fontId="8" fillId="2" borderId="26" applyAlignment="1" pivotButton="0" quotePrefix="0" xfId="0">
      <alignment horizontal="left" vertical="center" indent="1"/>
    </xf>
    <xf numFmtId="49" fontId="8" fillId="2" borderId="34" applyAlignment="1" pivotButton="0" quotePrefix="0" xfId="0">
      <alignment horizontal="center" vertical="center"/>
    </xf>
    <xf numFmtId="167" fontId="9" fillId="2" borderId="17" applyAlignment="1" pivotButton="0" quotePrefix="0" xfId="0">
      <alignment horizontal="center" vertical="center"/>
    </xf>
    <xf numFmtId="49" fontId="8" fillId="2" borderId="36" applyAlignment="1" pivotButton="0" quotePrefix="0" xfId="0">
      <alignment horizontal="center" vertical="center"/>
    </xf>
    <xf numFmtId="167" fontId="9" fillId="2" borderId="37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b val="1"/>
        <color rgb="001E7A46"/>
      </font>
      <fill>
        <patternFill patternType="solid">
          <fgColor rgb="00E6F4E8"/>
          <bgColor rgb="00E6F4E8"/>
        </patternFill>
      </fill>
    </dxf>
    <dxf>
      <font>
        <b val="1"/>
        <color rgb="008A5A00"/>
      </font>
      <fill>
        <patternFill patternType="solid">
          <fgColor rgb="00FFF3DC"/>
          <bgColor rgb="00FFF3DC"/>
        </patternFill>
      </fill>
    </dxf>
    <dxf>
      <font>
        <b val="1"/>
        <color rgb="00B3261E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FF3DC"/>
          <bgColor rgb="00FFF3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v>Valor</v>
          </tx>
          <spPr>
            <a:solidFill xmlns:a="http://schemas.openxmlformats.org/drawingml/2006/main">
              <a:srgbClr val="1F5AA6"/>
            </a:solidFill>
            <a:ln xmlns:a="http://schemas.openxmlformats.org/drawingml/2006/main">
              <a:solidFill>
                <a:srgbClr val="1F5AA6"/>
              </a:solidFill>
              <a:prstDash val="solid"/>
            </a:ln>
          </spPr>
          <cat>
            <numRef>
              <f>'Pareto'!$H$8:$H$17</f>
            </numRef>
          </cat>
          <val>
            <numRef>
              <f>'Pareto'!$I$8:$I$17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v>% acumulado</v>
          </tx>
          <spPr>
            <a:ln xmlns:a="http://schemas.openxmlformats.org/drawingml/2006/main" w="28000">
              <a:solidFill>
                <a:srgbClr val="0B2A5B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B2A5B"/>
              </a:solidFill>
              <a:ln xmlns:a="http://schemas.openxmlformats.org/drawingml/2006/main">
                <a:solidFill>
                  <a:srgbClr val="0B2A5B"/>
                </a:solidFill>
                <a:prstDash val="solid"/>
              </a:ln>
            </spPr>
          </marker>
          <val>
            <numRef>
              <f>'Pareto'!$N$8:$N$17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  <valAx>
        <axId val="2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  <crosses val="max"/>
      </valAx>
    </plotArea>
    <legend>
      <legendPos val="b"/>
    </legend>
    <plotVisOnly val="0"/>
    <dispBlanksAs val="gap"/>
  </chart>
</chartSpace>
</file>

<file path=xl/comments/comment1.xml><?xml version="1.0" encoding="utf-8"?>
<comments xmlns="http://schemas.openxmlformats.org/spreadsheetml/2006/main">
  <authors>
    <author>PCM Direto</author>
  </authors>
  <commentList>
    <comment ref="A3" authorId="0" shapeId="0">
      <text>
        <t>Referência da falha. Digite como texto (preserva zeros à esquerda). Exemplo: 00123.</t>
      </text>
    </comment>
    <comment ref="B3" authorId="0" shapeId="0">
      <text>
        <t>TAG. Escolha na lista (preencha antes a aba Cadastros).</t>
      </text>
    </comment>
    <comment ref="D3" authorId="0" shapeId="0">
      <text>
        <t>Nº da OS. Digite como texto (preserva zeros à esquerda). Exemplo: 00123.</t>
      </text>
    </comment>
    <comment ref="E3" authorId="0" shapeId="0">
      <text>
        <t>Falha (sintoma).</t>
      </text>
    </comment>
    <comment ref="F3" authorId="0" shapeId="0">
      <text>
        <t>Causa.</t>
      </text>
    </comment>
    <comment ref="G3" authorId="0" shapeId="0">
      <text>
        <t>Ação realizada.</t>
      </text>
    </comment>
    <comment ref="H3" authorId="0" shapeId="0">
      <text>
        <t>Início da indisponibilidade. Data no formato dd/mm/aaaa. Exemplo: 30/10/2026.</t>
      </text>
    </comment>
    <comment ref="I3" authorId="0" shapeId="0">
      <text>
        <t>Fim da indisponibilidade. Data no formato dd/mm/aaaa. Exemplo: 30/10/2026.</t>
      </text>
    </comment>
    <comment ref="J3" authorId="0" shapeId="0">
      <text>
        <t>Início do reparo. Data no formato dd/mm/aaaa. Exemplo: 30/10/2026.</t>
      </text>
    </comment>
    <comment ref="K3" authorId="0" shapeId="0">
      <text>
        <t>Fim do reparo. Data no formato dd/mm/aaaa. Exemplo: 30/10/2026.</t>
      </text>
    </comment>
  </commentList>
</comments>
</file>

<file path=xl/comments/comment2.xml><?xml version="1.0" encoding="utf-8"?>
<comments xmlns="http://schemas.openxmlformats.org/spreadsheetml/2006/main">
  <authors>
    <author>PCM Direto</author>
  </authors>
  <commentList>
    <comment ref="A3" authorId="0" shapeId="0">
      <text>
        <t>TAG. Digite como texto (preserva zeros à esquerda). Exemplo: 00123.</t>
      </text>
    </comment>
    <comment ref="B3" authorId="0" shapeId="0">
      <text>
        <t>Equipamento.</t>
      </text>
    </comment>
    <comment ref="C3" authorId="0" shapeId="0">
      <text>
        <t>Família de equipamento. Escolha na lista (preencha antes a aba Cadastros).</t>
      </text>
    </comment>
    <comment ref="D3" authorId="0" shapeId="0">
      <text>
        <t>Setor. Escolha na lista (preencha antes a aba Cadastros).</t>
      </text>
    </comment>
    <comment ref="F3" authorId="0" shapeId="0">
      <text>
        <t>Responsável.</t>
      </text>
    </comment>
    <comment ref="H3" authorId="0" shapeId="0">
      <text>
        <t>Família de equipamento.</t>
      </text>
    </comment>
    <comment ref="J3" authorId="0" shapeId="0">
      <text>
        <t>Setor.</t>
      </text>
    </comment>
  </commentList>
</comments>
</file>

<file path=xl/comments/comment3.xml><?xml version="1.0" encoding="utf-8"?>
<comments xmlns="http://schemas.openxmlformats.org/spreadsheetml/2006/main">
  <authors>
    <author>PCM Direto</author>
  </authors>
  <commentList>
    <comment ref="A3" authorId="0" shapeId="0">
      <text>
        <t>Rev. Digite como texto (preserva zeros à esquerda). Exemplo: 00123.</t>
      </text>
    </comment>
    <comment ref="B3" authorId="0" shapeId="0">
      <text>
        <t>Data. Data no formato dd/mm/aaaa. Exemplo: 30/10/2026.</t>
      </text>
    </comment>
    <comment ref="C3" authorId="0" shapeId="0">
      <text>
        <t>Descrição da alteração.</t>
      </text>
    </comment>
    <comment ref="D3" authorId="0" shapeId="0">
      <text>
        <t>Elaborado por.</t>
      </text>
    </comment>
    <comment ref="E3" authorId="0" shapeId="0">
      <text>
        <t>Aprovado por.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5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1</col>
      <colOff>38100</colOff>
      <row>0</row>
      <rowOff>161925</rowOff>
    </from>
    <ext cx="1647825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30</row>
      <rowOff>104775</rowOff>
    </from>
    <ext cx="1609725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76200</colOff>
      <row>0</row>
      <rowOff>180975</rowOff>
    </from>
    <ext cx="1362075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885825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20</row>
      <rowOff>0</rowOff>
    </from>
    <ext cx="10149142" cy="3511047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123825</colOff>
      <row>0</row>
      <rowOff>47625</rowOff>
    </from>
    <ext cx="2162175" cy="647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695325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76200</colOff>
      <row>0</row>
      <rowOff>133350</rowOff>
    </from>
    <ext cx="15430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_pcm_falhas" displayName="tb_pcm_falhas" ref="A4:K29" headerRowCount="1">
  <autoFilter ref="A4:K29"/>
  <tableColumns count="11">
    <tableColumn id="1" name="referencia_falha"/>
    <tableColumn id="2" name="tag"/>
    <tableColumn id="3" name="equipamento"/>
    <tableColumn id="4" name="numero_os"/>
    <tableColumn id="5" name="descricao_falha"/>
    <tableColumn id="6" name="causa"/>
    <tableColumn id="7" name="acao"/>
    <tableColumn id="8" name="inicio_falha"/>
    <tableColumn id="9" name="fim_falha"/>
    <tableColumn id="10" name="inicio_reparo"/>
    <tableColumn id="11" name="fim_reparo"/>
  </tableColumns>
  <tableStyleInfo name="TableStyleLight1" showRowStripes="0"/>
</table>
</file>

<file path=xl/tables/table2.xml><?xml version="1.0" encoding="utf-8"?>
<table xmlns="http://schemas.openxmlformats.org/spreadsheetml/2006/main" id="2" name="tb_pcm_ativos" displayName="tb_pcm_ativos" ref="A4:D29" headerRowCount="1">
  <autoFilter ref="A4:D29"/>
  <tableColumns count="4">
    <tableColumn id="1" name="tag"/>
    <tableColumn id="2" name="descricao_ativo"/>
    <tableColumn id="3" name="familia"/>
    <tableColumn id="4" name="setor"/>
  </tableColumns>
  <tableStyleInfo name="TableStyleLight1" showRowStripes="0"/>
</table>
</file>

<file path=xl/tables/table3.xml><?xml version="1.0" encoding="utf-8"?>
<table xmlns="http://schemas.openxmlformats.org/spreadsheetml/2006/main" id="3" name="tb_pcm_pessoas" displayName="tb_pcm_pessoas" ref="F4:F29" headerRowCount="1">
  <autoFilter ref="F4:F29"/>
  <tableColumns count="1">
    <tableColumn id="6" name="nome_pessoa"/>
  </tableColumns>
  <tableStyleInfo name="TableStyleLight1" showRowStripes="0"/>
</table>
</file>

<file path=xl/tables/table4.xml><?xml version="1.0" encoding="utf-8"?>
<table xmlns="http://schemas.openxmlformats.org/spreadsheetml/2006/main" id="4" name="tb_pcm_familias" displayName="tb_pcm_familias" ref="H4:H29" headerRowCount="1">
  <autoFilter ref="H4:H29"/>
  <tableColumns count="1">
    <tableColumn id="8" name="nome_familia"/>
  </tableColumns>
  <tableStyleInfo name="TableStyleLight1" showRowStripes="0"/>
</table>
</file>

<file path=xl/tables/table5.xml><?xml version="1.0" encoding="utf-8"?>
<table xmlns="http://schemas.openxmlformats.org/spreadsheetml/2006/main" id="5" name="tb_pcm_setores" displayName="tb_pcm_setores" ref="J4:J29" headerRowCount="1">
  <autoFilter ref="J4:J29"/>
  <tableColumns count="1">
    <tableColumn id="10" name="nome_setor"/>
  </tableColumns>
  <tableStyleInfo name="TableStyleLight1" showRowStripes="0"/>
</table>
</file>

<file path=xl/tables/table6.xml><?xml version="1.0" encoding="utf-8"?>
<table xmlns="http://schemas.openxmlformats.org/spreadsheetml/2006/main" id="6" name="tb_pcm_revisoes_modelo" displayName="tb_pcm_revisoes_modelo" ref="A4:E29" headerRowCount="1">
  <autoFilter ref="A4:E29"/>
  <tableColumns count="5">
    <tableColumn id="1" name="revisao"/>
    <tableColumn id="2" name="data_revisao"/>
    <tableColumn id="3" name="descricao_alteracao"/>
    <tableColumn id="4" name="elaborado_por"/>
    <tableColumn id="5" name="aprovado_por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cmdireto.me" TargetMode="External" Id="rId1"/><Relationship Type="http://schemas.openxmlformats.org/officeDocument/2006/relationships/hyperlink" Target="https://pcmdireto.me" TargetMode="External" Id="rId2"/><Relationship Type="http://schemas.openxmlformats.org/officeDocument/2006/relationships/drawing" Target="/xl/drawings/drawing1.xml" Id="rId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6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0B2A5B"/>
    <outlinePr summaryBelow="1" summaryRight="1"/>
    <pageSetUpPr fitToPage="1"/>
  </sheetPr>
  <dimension ref="A1:F32"/>
  <sheetViews>
    <sheetView showGridLines="0" tabSelected="1" zoomScale="10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9" customWidth="1" min="3" max="3"/>
    <col width="24" customWidth="1" min="4" max="4"/>
    <col width="24" customWidth="1" min="5" max="5"/>
    <col width="24" customWidth="1" min="6" max="6"/>
    <col width="2" customWidth="1" min="7" max="7"/>
  </cols>
  <sheetData>
    <row r="1" ht="24" customHeight="1">
      <c r="D1" s="1" t="inlineStr">
        <is>
          <t>LEIA-ME  ·  GUIA RÁPIDO</t>
        </is>
      </c>
      <c r="F1" s="2" t="inlineStr">
        <is>
          <t>Modelos, guias e novidades</t>
        </is>
      </c>
    </row>
    <row r="2" ht="22" customHeight="1">
      <c r="D2" s="3" t="inlineStr">
        <is>
          <t>PCM-MAN-008  ·  Falhas e Pareto</t>
        </is>
      </c>
      <c r="F2" s="4" t="inlineStr">
        <is>
          <t>pcmdireto.me</t>
        </is>
      </c>
    </row>
    <row r="3" ht="20" customHeight="1">
      <c r="B3" s="5" t="n"/>
      <c r="C3" s="5" t="n"/>
      <c r="D3" s="6" t="inlineStr">
        <is>
          <t>Leia em 1 minuto, preencha os campos brancos e comece a usar.</t>
        </is>
      </c>
      <c r="E3" s="5" t="n"/>
      <c r="F3" s="7" t="inlineStr">
        <is>
          <t>Dúvidas e sugestões pelo site</t>
        </is>
      </c>
    </row>
    <row r="4" ht="10" customHeight="1"/>
    <row r="5" ht="24" customHeight="1">
      <c r="B5" s="8" t="inlineStr">
        <is>
          <t>COMO USAR ESTE MODELO</t>
        </is>
      </c>
      <c r="C5" s="9" t="n"/>
      <c r="D5" s="9" t="n"/>
      <c r="E5" s="9" t="n"/>
      <c r="F5" s="9" t="n"/>
    </row>
    <row r="6" ht="26" customHeight="1">
      <c r="B6" s="10" t="inlineStr">
        <is>
          <r>
            <rPr>
              <rFont val="Arial Black"/>
              <color rgb="00F28C28"/>
              <sz val="14"/>
            </rPr>
            <t xml:space="preserve">1  </t>
          </r>
          <r>
            <rPr>
              <rFont val="Arial Black"/>
              <color rgb="000B2A5B"/>
              <sz val="10"/>
            </rPr>
            <t>Identifique</t>
          </r>
        </is>
      </c>
      <c r="C6" s="11" t="n"/>
      <c r="D6" s="12" t="inlineStr">
        <is>
          <r>
            <rPr>
              <rFont val="Arial Black"/>
              <color rgb="00F28C28"/>
              <sz val="14"/>
            </rPr>
            <t xml:space="preserve">2  </t>
          </r>
          <r>
            <rPr>
              <rFont val="Arial Black"/>
              <color rgb="000B2A5B"/>
              <sz val="10"/>
            </rPr>
            <t>Cadastre</t>
          </r>
        </is>
      </c>
      <c r="E6" s="12" t="inlineStr">
        <is>
          <r>
            <rPr>
              <rFont val="Arial Black"/>
              <color rgb="00F28C28"/>
              <sz val="14"/>
            </rPr>
            <t xml:space="preserve">3  </t>
          </r>
          <r>
            <rPr>
              <rFont val="Arial Black"/>
              <color rgb="000B2A5B"/>
              <sz val="10"/>
            </rPr>
            <t>Preencha</t>
          </r>
        </is>
      </c>
      <c r="F6" s="12" t="inlineStr">
        <is>
          <r>
            <rPr>
              <rFont val="Arial Black"/>
              <color rgb="00F28C28"/>
              <sz val="14"/>
            </rPr>
            <t xml:space="preserve">4  </t>
          </r>
          <r>
            <rPr>
              <rFont val="Arial Black"/>
              <color rgb="000B2A5B"/>
              <sz val="10"/>
            </rPr>
            <t>Imprima e revise</t>
          </r>
        </is>
      </c>
    </row>
    <row r="7" ht="50" customHeight="1">
      <c r="B7" s="13" t="inlineStr">
        <is>
          <t>Preencha Elaborado e Aprovado logo abaixo. Vai para o cabeçalho de todas as abas.</t>
        </is>
      </c>
      <c r="C7" s="14" t="n"/>
      <c r="D7" s="15" t="inlineStr">
        <is>
          <t>Na aba Cadastros, lance TAGs, pessoas e setores uma vez. Eles viram as listas ▼.</t>
        </is>
      </c>
      <c r="E7" s="15" t="inlineStr">
        <is>
          <t>Use as abas na ordem do passo a passo. Comece por Ficha de falha.</t>
        </is>
      </c>
      <c r="F7" s="15" t="inlineStr">
        <is>
          <t>Cada aba sai em uma folha A4. Mudou o modelo? Registre na aba Revisões.</t>
        </is>
      </c>
    </row>
    <row r="8" ht="10" customHeight="1"/>
    <row r="9" ht="24" customHeight="1">
      <c r="B9" s="16" t="inlineStr">
        <is>
          <r>
            <rPr>
              <rFont val="Arial Black"/>
              <color rgb="00F28C28"/>
              <sz val="10"/>
            </rPr>
            <t xml:space="preserve">1  </t>
          </r>
          <r>
            <rPr>
              <rFont val="Arial Black"/>
              <color rgb="00FFFFFF"/>
              <sz val="10"/>
            </rPr>
            <t>IDENTIFICAÇÃO DO DOCUMENTO  ·  vai para o cabeçalho de todas as abas</t>
          </r>
        </is>
      </c>
      <c r="C9" s="9" t="n"/>
      <c r="D9" s="9" t="n"/>
      <c r="E9" s="9" t="n"/>
      <c r="F9" s="9" t="n"/>
    </row>
    <row r="10" ht="21" customHeight="1">
      <c r="B10" s="17" t="inlineStr">
        <is>
          <t>Título do documento</t>
        </is>
      </c>
      <c r="C10" s="18" t="n"/>
      <c r="D10" s="19" t="inlineStr">
        <is>
          <t>Falhas e Pareto</t>
        </is>
      </c>
      <c r="E10" s="20" t="n"/>
      <c r="F10" s="21" t="inlineStr">
        <is>
          <t>Já vem pronto. Ajuste se quiser.</t>
        </is>
      </c>
    </row>
    <row r="11" ht="21" customHeight="1">
      <c r="B11" s="17" t="inlineStr">
        <is>
          <t>Objetivo</t>
        </is>
      </c>
      <c r="C11" s="18" t="n"/>
      <c r="D11" s="19" t="inlineStr">
        <is>
          <t>Registrar cada falha e ver no Pareto as que mais param ou custam</t>
        </is>
      </c>
      <c r="E11" s="22" t="n"/>
      <c r="F11" s="22" t="n"/>
    </row>
    <row r="12" ht="21" customHeight="1">
      <c r="B12" s="17" t="inlineStr">
        <is>
          <t>Código do documento</t>
        </is>
      </c>
      <c r="C12" s="18" t="n"/>
      <c r="D12" s="19" t="inlineStr">
        <is>
          <t>PCM-MAN-008</t>
        </is>
      </c>
      <c r="E12" s="22" t="n"/>
      <c r="F12" s="22" t="n"/>
    </row>
    <row r="13" ht="21" customHeight="1">
      <c r="B13" s="17" t="inlineStr">
        <is>
          <t>Elaborado por</t>
        </is>
      </c>
      <c r="C13" s="18" t="n"/>
      <c r="D13" s="19" t="n"/>
      <c r="E13" s="20" t="n"/>
      <c r="F13" s="23" t="inlineStr">
        <is>
          <t>✎ preencha</t>
        </is>
      </c>
    </row>
    <row r="14" ht="21" customHeight="1">
      <c r="B14" s="17" t="inlineStr">
        <is>
          <t>Aprovado por</t>
        </is>
      </c>
      <c r="C14" s="18" t="n"/>
      <c r="D14" s="19" t="n"/>
      <c r="E14" s="20" t="n"/>
      <c r="F14" s="23" t="inlineStr">
        <is>
          <t>✎ preencha</t>
        </is>
      </c>
    </row>
    <row r="15" ht="21" customHeight="1">
      <c r="B15" s="17" t="inlineStr">
        <is>
          <t>Revisão atual</t>
        </is>
      </c>
      <c r="C15" s="18" t="n"/>
      <c r="D15" s="24">
        <f>IF(COUNTA(tb_pcm_revisoes_modelo[revisao])=0,"-",INDEX(tb_pcm_revisoes_modelo[revisao],COUNTA(tb_pcm_revisoes_modelo[revisao])))</f>
        <v/>
      </c>
      <c r="E15" s="25" t="n"/>
      <c r="F15" s="21" t="inlineStr">
        <is>
          <t>automático: aba Revisões</t>
        </is>
      </c>
    </row>
    <row r="16" ht="21" customHeight="1">
      <c r="B16" s="17" t="inlineStr">
        <is>
          <t>Data da revisão</t>
        </is>
      </c>
      <c r="C16" s="18" t="n"/>
      <c r="D16" s="24">
        <f>IF(COUNTA(tb_pcm_revisoes_modelo[revisao])=0,"",IF(INDEX(tb_pcm_revisoes_modelo[data_revisao],COUNTA(tb_pcm_revisoes_modelo[revisao]))="","",RIGHT("0"&amp;DAY(INDEX(tb_pcm_revisoes_modelo[data_revisao],COUNTA(tb_pcm_revisoes_modelo[revisao]))),2)&amp;"/"&amp;CHOOSE(MONTH(INDEX(tb_pcm_revisoes_modelo[data_revisao],COUNTA(tb_pcm_revisoes_modelo[revisao]))),"Jan","Fev","Mar","Abr","Mai","Jun","Jul","Ago","Set","Out","Nov","Dez")&amp;"/"&amp;YEAR(INDEX(tb_pcm_revisoes_modelo[data_revisao],COUNTA(tb_pcm_revisoes_modelo[revisao])))))</f>
        <v/>
      </c>
      <c r="E16" s="25" t="n"/>
      <c r="F16" s="21" t="inlineStr">
        <is>
          <t>automático: aba Revisões</t>
        </is>
      </c>
    </row>
    <row r="17" ht="10" customHeight="1"/>
    <row r="18" ht="24" customHeight="1">
      <c r="B18" s="16" t="inlineStr">
        <is>
          <r>
            <rPr>
              <rFont val="Arial Black"/>
              <color rgb="00F28C28"/>
              <sz val="10"/>
            </rPr>
            <t xml:space="preserve">2  </t>
          </r>
          <r>
            <rPr>
              <rFont val="Arial Black"/>
              <color rgb="00FFFFFF"/>
              <sz val="10"/>
            </rPr>
            <t>PASSO A PASSO  ·  clique no nome da aba para abrir</t>
          </r>
        </is>
      </c>
      <c r="C18" s="9" t="n"/>
      <c r="D18" s="9" t="n"/>
      <c r="E18" s="9" t="n"/>
      <c r="F18" s="9" t="n"/>
    </row>
    <row r="19" ht="34" customHeight="1">
      <c r="B19" s="26" t="n">
        <v>1</v>
      </c>
      <c r="C19" s="27" t="inlineStr">
        <is>
          <t>Cadastros</t>
        </is>
      </c>
      <c r="D19" s="28" t="inlineStr">
        <is>
          <t>Cadastre uma vez TAG, equipamento, família e setor, as pessoas, as famílias de equipamento, os setores. Eles aparecem nas setas ▼ das outras abas.</t>
        </is>
      </c>
      <c r="E19" s="29" t="n"/>
      <c r="F19" s="29" t="n"/>
    </row>
    <row r="20" ht="22" customHeight="1">
      <c r="B20" s="26" t="n">
        <v>2</v>
      </c>
      <c r="C20" s="27" t="inlineStr">
        <is>
          <t>Ficha de falha</t>
        </is>
      </c>
      <c r="D20" s="28" t="inlineStr">
        <is>
          <t>Para falha relevante, preencha a ficha: sintoma, causa, ação e horários.</t>
        </is>
      </c>
      <c r="E20" s="29" t="n"/>
      <c r="F20" s="29" t="n"/>
    </row>
    <row r="21" ht="34" customHeight="1">
      <c r="B21" s="26" t="n">
        <v>3</v>
      </c>
      <c r="C21" s="27" t="inlineStr">
        <is>
          <t>Registro de falhas</t>
        </is>
      </c>
      <c r="D21" s="28" t="inlineStr">
        <is>
          <t>Lance todas as falhas em uma linha cada. Os horários dão o tempo parado e o tempo de reparo.</t>
        </is>
      </c>
      <c r="E21" s="29" t="n"/>
      <c r="F21" s="29" t="n"/>
    </row>
    <row r="22" ht="34" customHeight="1">
      <c r="B22" s="26" t="n">
        <v>4</v>
      </c>
      <c r="C22" s="27" t="inlineStr">
        <is>
          <t>Pareto</t>
        </is>
      </c>
      <c r="D22" s="28" t="inlineStr">
        <is>
          <t>Digite as causas ou TAGs e as quantidades: a ordem, o % acumulado e o corte de 80% saem sozinhos.</t>
        </is>
      </c>
      <c r="E22" s="29" t="n"/>
      <c r="F22" s="29" t="n"/>
    </row>
    <row r="23" ht="10" customHeight="1"/>
    <row r="24" ht="24" customHeight="1">
      <c r="B24" s="16" t="inlineStr">
        <is>
          <r>
            <rPr>
              <rFont val="Arial Black"/>
              <color rgb="00F28C28"/>
              <sz val="10"/>
            </rPr>
            <t xml:space="preserve">3  </t>
          </r>
          <r>
            <rPr>
              <rFont val="Arial Black"/>
              <color rgb="00FFFFFF"/>
              <sz val="10"/>
            </rPr>
            <t>REGRAS RÁPIDAS</t>
          </r>
        </is>
      </c>
      <c r="C24" s="9" t="n"/>
      <c r="D24" s="9" t="n"/>
      <c r="E24" s="9" t="n"/>
      <c r="F24" s="9" t="n"/>
    </row>
    <row r="25" ht="21" customHeight="1">
      <c r="B25" s="30" t="inlineStr">
        <is>
          <t>▼  Lista</t>
        </is>
      </c>
      <c r="C25" s="29" t="n"/>
      <c r="D25" s="28" t="inlineStr">
        <is>
          <t>Clique na célula e escolha na seta. Valor fora da lista é recusado.</t>
        </is>
      </c>
      <c r="E25" s="29" t="n"/>
      <c r="F25" s="29" t="n"/>
    </row>
    <row r="26" ht="21" customHeight="1">
      <c r="B26" s="31" t="inlineStr">
        <is>
          <t>Célula branca</t>
        </is>
      </c>
      <c r="C26" s="22" t="n"/>
      <c r="D26" s="28" t="inlineStr">
        <is>
          <t>Campo para digitar.</t>
        </is>
      </c>
      <c r="E26" s="29" t="n"/>
      <c r="F26" s="29" t="n"/>
    </row>
    <row r="27" ht="21" customHeight="1">
      <c r="B27" s="32" t="inlineStr">
        <is>
          <t>Célula cinza</t>
        </is>
      </c>
      <c r="C27" s="33" t="n"/>
      <c r="D27" s="28" t="inlineStr">
        <is>
          <t>Cálculo automático. Não digite: a fórmula preenche sozinha.</t>
        </is>
      </c>
      <c r="E27" s="29" t="n"/>
      <c r="F27" s="29" t="n"/>
    </row>
    <row r="28" ht="21" customHeight="1">
      <c r="B28" s="30" t="inlineStr">
        <is>
          <t>Datas e números</t>
        </is>
      </c>
      <c r="C28" s="29" t="n"/>
      <c r="D28" s="28" t="inlineStr">
        <is>
          <t>Datas em dd/mm/aaaa; decimais com vírgula. Vazio = sem informação; zero é valor real.</t>
        </is>
      </c>
      <c r="E28" s="29" t="n"/>
      <c r="F28" s="29" t="n"/>
    </row>
    <row r="29" ht="21" customHeight="1">
      <c r="B29" s="30" t="inlineStr">
        <is>
          <t>Impressão</t>
        </is>
      </c>
      <c r="C29" s="29" t="n"/>
      <c r="D29" s="28" t="inlineStr">
        <is>
          <t>Cada aba já está ajustada para uma folha A4. Use Arquivo &gt; Imprimir sem mudar a escala.</t>
        </is>
      </c>
      <c r="E29" s="29" t="n"/>
      <c r="F29" s="29" t="n"/>
    </row>
    <row r="30" ht="12" customHeight="1"/>
    <row r="31" ht="22" customHeight="1">
      <c r="B31" s="34" t="n"/>
      <c r="C31" s="34" t="n"/>
      <c r="D31" s="35" t="inlineStr">
        <is>
          <t>SOBRE O PCM DIRETO</t>
        </is>
      </c>
      <c r="E31" s="34" t="n"/>
      <c r="F31" s="36" t="inlineStr">
        <is>
          <t>pcmdireto.me</t>
        </is>
      </c>
    </row>
    <row r="32" ht="34" customHeight="1">
      <c r="B32" s="37" t="n"/>
      <c r="C32" s="37" t="n"/>
      <c r="D32" s="38" t="inlineStr">
        <is>
          <t>Modelos de manutenção prontos para usar, do planejamento ao controle: criticidade, plano, ordem de serviço, indicadores e auditorias. Todos no mesmo padrão, para a equipe aprender uma vez e usar em todos.</t>
        </is>
      </c>
      <c r="E32" s="37" t="n"/>
      <c r="F32" s="37" t="n"/>
    </row>
  </sheetData>
  <mergeCells count="41">
    <mergeCell ref="D11:F11"/>
    <mergeCell ref="B16:C16"/>
    <mergeCell ref="D10:E10"/>
    <mergeCell ref="B7:C7"/>
    <mergeCell ref="B25:C25"/>
    <mergeCell ref="D1:E1"/>
    <mergeCell ref="D27:F27"/>
    <mergeCell ref="D32:F32"/>
    <mergeCell ref="B27:C27"/>
    <mergeCell ref="D31:E31"/>
    <mergeCell ref="B18:F18"/>
    <mergeCell ref="B12:C12"/>
    <mergeCell ref="D28:F28"/>
    <mergeCell ref="D2:E2"/>
    <mergeCell ref="B11:C11"/>
    <mergeCell ref="D13:E13"/>
    <mergeCell ref="D12:F12"/>
    <mergeCell ref="B14:C14"/>
    <mergeCell ref="D25:F25"/>
    <mergeCell ref="B1:C3"/>
    <mergeCell ref="B13:C13"/>
    <mergeCell ref="D16:E16"/>
    <mergeCell ref="D29:F29"/>
    <mergeCell ref="B29:C29"/>
    <mergeCell ref="B10:C10"/>
    <mergeCell ref="B28:C28"/>
    <mergeCell ref="B31:C32"/>
    <mergeCell ref="D26:F26"/>
    <mergeCell ref="D3:E3"/>
    <mergeCell ref="D20:F20"/>
    <mergeCell ref="B9:F9"/>
    <mergeCell ref="B6:C6"/>
    <mergeCell ref="D19:F19"/>
    <mergeCell ref="B15:C15"/>
    <mergeCell ref="B24:F24"/>
    <mergeCell ref="D15:E15"/>
    <mergeCell ref="D22:F22"/>
    <mergeCell ref="B5:F5"/>
    <mergeCell ref="D14:E14"/>
    <mergeCell ref="B26:C26"/>
    <mergeCell ref="D21:F21"/>
  </mergeCells>
  <hyperlinks>
    <hyperlink xmlns:r="http://schemas.openxmlformats.org/officeDocument/2006/relationships" ref="F2" r:id="rId1"/>
    <hyperlink ref="C19" location="'Cadastros'!A1" display="Cadastros"/>
    <hyperlink ref="C20" location="'Ficha de falha'!A1" display="Ficha de falha"/>
    <hyperlink ref="C21" location="'Registro de falhas'!A1" display="Registro de falhas"/>
    <hyperlink ref="C22" location="'Pareto'!A1" display="Pareto"/>
    <hyperlink xmlns:r="http://schemas.openxmlformats.org/officeDocument/2006/relationships" ref="F31" r:id="rId2"/>
  </hyperlinks>
  <printOptions horizontalCentered="1"/>
  <pageMargins left="0.5" right="0.5" top="0.5" bottom="0.6" header="0.5" footer="0.25"/>
  <pageSetup orientation="portrait" paperSize="9" fitToHeight="1" fitToWidth="1"/>
  <headerFooter>
    <oddHeader/>
    <oddFooter>&amp;L&amp;7 &amp;K4A5668PCM-MAN-008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E24"/>
  <sheetViews>
    <sheetView showGridLines="0" tabSelected="0" zoomScale="90" workbookViewId="0">
      <selection activeCell="A1" sqref="A1"/>
    </sheetView>
  </sheetViews>
  <sheetFormatPr baseColWidth="8" defaultRowHeight="15"/>
  <cols>
    <col width="22" customWidth="1" min="1" max="1"/>
    <col width="13.4" customWidth="1" min="2" max="2"/>
    <col width="18.6" customWidth="1" min="3" max="3"/>
    <col width="22" customWidth="1" min="4" max="4"/>
    <col width="32" customWidth="1" min="5" max="5"/>
  </cols>
  <sheetData>
    <row r="1" ht="30.75" customHeight="1">
      <c r="A1" s="39" t="n"/>
      <c r="B1" s="40">
        <f>'Leia-me'!$D$10</f>
        <v/>
      </c>
      <c r="C1" s="41" t="n"/>
      <c r="D1" s="42" t="n"/>
      <c r="E1" s="43">
        <f>"Rev. "&amp;'Leia-me'!$D$15&amp;"   ·   "&amp;'Leia-me'!$D$16</f>
        <v/>
      </c>
    </row>
    <row r="2" ht="31" customHeight="1">
      <c r="A2" s="44" t="n"/>
      <c r="B2" s="45">
        <f>"Objetivo: "&amp;'Leia-me'!$D$11</f>
        <v/>
      </c>
      <c r="C2" s="46" t="n"/>
      <c r="D2" s="47" t="n"/>
      <c r="E2" s="45">
        <f>"Elaborado: "&amp;'Leia-me'!$D$13&amp;"   ·   Aprovado: "&amp;'Leia-me'!$D$14</f>
        <v/>
      </c>
    </row>
    <row r="3" ht="24" customHeight="1">
      <c r="A3" s="48" t="inlineStr">
        <is>
          <t>Referência da falha</t>
        </is>
      </c>
      <c r="B3" s="49" t="inlineStr">
        <is>
          <t>TAG ▼</t>
        </is>
      </c>
      <c r="C3" s="49" t="inlineStr">
        <is>
          <t>Equipamento</t>
        </is>
      </c>
      <c r="D3" s="49" t="inlineStr">
        <is>
          <t>Nº da OS</t>
        </is>
      </c>
      <c r="E3" s="50" t="inlineStr">
        <is>
          <t>Situação dos tempos</t>
        </is>
      </c>
    </row>
    <row r="4" ht="52" customHeight="1">
      <c r="A4" s="51" t="n"/>
      <c r="B4" s="52" t="n"/>
      <c r="C4" s="53">
        <f>IF(B4="","",IFERROR(INDEX(tb_pcm_ativos[descricao_ativo],MATCH(B4,tb_pcm_ativos[tag],0)),"fora do cadastro"))</f>
        <v/>
      </c>
      <c r="D4" s="51" t="n"/>
      <c r="E4" s="54">
        <f>IF(COUNT(A19,D19,A21,D21)=0,"",IF(OR(AND(ISNUMBER(A19),ISNUMBER(D19),D19&lt;A19),AND(ISNUMBER(A21),ISNUMBER(D21),D21&lt;A21)),"Confira as datas",IF(COUNT(A19,D19,A21,D21)&lt;4,"Incompleto","Completo")))</f>
        <v/>
      </c>
    </row>
    <row r="5" ht="8" customHeight="1">
      <c r="A5" s="55" t="n"/>
      <c r="B5" s="55" t="n"/>
      <c r="D5" s="55" t="n"/>
      <c r="E5" s="55" t="n"/>
    </row>
    <row r="6" ht="44" customHeight="1">
      <c r="A6" s="56" t="inlineStr">
        <is>
          <r>
            <rPr>
              <rFont val="Arial"/>
              <b val="1"/>
              <color rgb="00FFFFFF"/>
              <sz val="10"/>
            </rPr>
            <t>1  O que aconteceu</t>
          </r>
          <r>
            <rPr>
              <rFont val="Arial"/>
              <color rgb="00D3DEEC"/>
              <sz val="8"/>
            </rPr>
            <t xml:space="preserve">   sintoma, causa e ação</t>
          </r>
        </is>
      </c>
      <c r="B6" s="57" t="n"/>
      <c r="C6" s="57" t="n"/>
      <c r="D6" s="57" t="n"/>
      <c r="E6" s="58" t="n"/>
    </row>
    <row r="7" ht="24" customHeight="1">
      <c r="A7" s="59" t="inlineStr">
        <is>
          <t>Falha (sintoma): o que se viu, ouviu ou mediu</t>
        </is>
      </c>
      <c r="E7" s="60" t="n"/>
    </row>
    <row r="8" ht="44" customHeight="1">
      <c r="A8" s="61" t="n"/>
      <c r="B8" s="57" t="n"/>
      <c r="C8" s="57" t="n"/>
      <c r="D8" s="57" t="n"/>
      <c r="E8" s="58" t="n"/>
    </row>
    <row r="9" ht="44" customHeight="1">
      <c r="A9" s="62" t="n"/>
      <c r="B9" s="63" t="n"/>
      <c r="C9" s="63" t="n"/>
      <c r="D9" s="63" t="n"/>
      <c r="E9" s="64" t="n"/>
    </row>
    <row r="10" ht="24" customHeight="1">
      <c r="A10" s="59" t="inlineStr">
        <is>
          <t>Causa</t>
        </is>
      </c>
      <c r="E10" s="60" t="n"/>
    </row>
    <row r="11" ht="44" customHeight="1">
      <c r="A11" s="61" t="n"/>
      <c r="B11" s="57" t="n"/>
      <c r="C11" s="57" t="n"/>
      <c r="D11" s="57" t="n"/>
      <c r="E11" s="58" t="n"/>
    </row>
    <row r="12" ht="44" customHeight="1">
      <c r="A12" s="62" t="n"/>
      <c r="B12" s="63" t="n"/>
      <c r="C12" s="63" t="n"/>
      <c r="D12" s="63" t="n"/>
      <c r="E12" s="64" t="n"/>
    </row>
    <row r="13" ht="24" customHeight="1">
      <c r="A13" s="59" t="inlineStr">
        <is>
          <t>Ação realizada</t>
        </is>
      </c>
      <c r="E13" s="60" t="n"/>
    </row>
    <row r="14" ht="44" customHeight="1">
      <c r="A14" s="61" t="n"/>
      <c r="B14" s="57" t="n"/>
      <c r="C14" s="57" t="n"/>
      <c r="D14" s="57" t="n"/>
      <c r="E14" s="58" t="n"/>
    </row>
    <row r="15" ht="44" customHeight="1">
      <c r="A15" s="62" t="n"/>
      <c r="B15" s="63" t="n"/>
      <c r="C15" s="63" t="n"/>
      <c r="D15" s="63" t="n"/>
      <c r="E15" s="64" t="n"/>
    </row>
    <row r="16" ht="8" customHeight="1">
      <c r="A16" s="55" t="n"/>
      <c r="B16" s="55" t="n"/>
      <c r="D16" s="55" t="n"/>
      <c r="E16" s="55" t="n"/>
    </row>
    <row r="17" ht="44" customHeight="1">
      <c r="A17" s="56" t="inlineStr">
        <is>
          <r>
            <rPr>
              <rFont val="Arial"/>
              <b val="1"/>
              <color rgb="00FFFFFF"/>
              <sz val="10"/>
            </rPr>
            <t>2  Tempos</t>
          </r>
          <r>
            <rPr>
              <rFont val="Arial"/>
              <color rgb="00D3DEEC"/>
              <sz val="8"/>
            </rPr>
            <t xml:space="preserve">   data e hora de cada marco</t>
          </r>
        </is>
      </c>
      <c r="B17" s="57" t="n"/>
      <c r="C17" s="57" t="n"/>
      <c r="D17" s="57" t="n"/>
      <c r="E17" s="58" t="n"/>
    </row>
    <row r="18" ht="24" customHeight="1">
      <c r="A18" s="65" t="inlineStr">
        <is>
          <t>Início da indisponibilidade</t>
        </is>
      </c>
      <c r="D18" s="66" t="inlineStr">
        <is>
          <t>Fim da indisponibilidade</t>
        </is>
      </c>
      <c r="E18" s="60" t="n"/>
    </row>
    <row r="19" ht="48" customHeight="1">
      <c r="A19" s="67" t="n"/>
      <c r="B19" s="68" t="n"/>
      <c r="C19" s="69" t="n"/>
      <c r="D19" s="67" t="n"/>
      <c r="E19" s="69" t="n"/>
    </row>
    <row r="20" ht="24" customHeight="1">
      <c r="A20" s="65" t="inlineStr">
        <is>
          <t>Início do reparo</t>
        </is>
      </c>
      <c r="D20" s="66" t="inlineStr">
        <is>
          <t>Fim do reparo</t>
        </is>
      </c>
      <c r="E20" s="60" t="n"/>
    </row>
    <row r="21" ht="48" customHeight="1">
      <c r="A21" s="67" t="n"/>
      <c r="B21" s="68" t="n"/>
      <c r="C21" s="69" t="n"/>
      <c r="D21" s="67" t="n"/>
      <c r="E21" s="69" t="n"/>
    </row>
    <row r="22" ht="24" customHeight="1">
      <c r="A22" s="65" t="inlineStr">
        <is>
          <t>Tempo parado (h)</t>
        </is>
      </c>
      <c r="D22" s="66" t="inlineStr">
        <is>
          <t>Tempo de reparo (h)</t>
        </is>
      </c>
      <c r="E22" s="60" t="n"/>
    </row>
    <row r="23" ht="48" customHeight="1">
      <c r="A23" s="70">
        <f>IF(AND(ISNUMBER(A19),ISNUMBER(D19),D19&gt;=A19),(D19-A19)*24,"")</f>
        <v/>
      </c>
      <c r="B23" s="68" t="n"/>
      <c r="C23" s="69" t="n"/>
      <c r="D23" s="70">
        <f>IF(AND(ISNUMBER(A21),ISNUMBER(D21),D21&gt;=A21),(D21-A21)*24,"")</f>
        <v/>
      </c>
      <c r="E23" s="69" t="n"/>
    </row>
    <row r="24">
      <c r="A24" s="55" t="n"/>
      <c r="B24" s="55" t="n"/>
      <c r="D24" s="55" t="n"/>
      <c r="E24" s="55" t="n"/>
    </row>
  </sheetData>
  <mergeCells count="28">
    <mergeCell ref="D20:E20"/>
    <mergeCell ref="B16:C16"/>
    <mergeCell ref="D19:E19"/>
    <mergeCell ref="B1:D1"/>
    <mergeCell ref="A18:C18"/>
    <mergeCell ref="D22:E22"/>
    <mergeCell ref="A21:C21"/>
    <mergeCell ref="A6:E6"/>
    <mergeCell ref="A14:E15"/>
    <mergeCell ref="A8:E9"/>
    <mergeCell ref="D21:E21"/>
    <mergeCell ref="A23:C23"/>
    <mergeCell ref="A7:E7"/>
    <mergeCell ref="A22:C22"/>
    <mergeCell ref="A20:C20"/>
    <mergeCell ref="A19:C19"/>
    <mergeCell ref="E1"/>
    <mergeCell ref="A11:E12"/>
    <mergeCell ref="D18:E18"/>
    <mergeCell ref="A17:E17"/>
    <mergeCell ref="B24:C24"/>
    <mergeCell ref="A10:E10"/>
    <mergeCell ref="B5:C5"/>
    <mergeCell ref="D23:E23"/>
    <mergeCell ref="A13:E13"/>
    <mergeCell ref="E2"/>
    <mergeCell ref="B2:D2"/>
    <mergeCell ref="A1:A2"/>
  </mergeCells>
  <conditionalFormatting sqref="E4">
    <cfRule type="expression" priority="1" dxfId="0" stopIfTrue="1">
      <formula>E4="Completo"</formula>
    </cfRule>
    <cfRule type="expression" priority="2" dxfId="1" stopIfTrue="1">
      <formula>E4="Incompleto"</formula>
    </cfRule>
    <cfRule type="expression" priority="3" dxfId="2" stopIfTrue="1">
      <formula>E4="Confira as datas"</formula>
    </cfRule>
  </conditionalFormatting>
  <dataValidations count="5">
    <dataValidation sqref="B4" showDropDown="0" showInputMessage="0" showErrorMessage="1" allowBlank="1" errorTitle="Valor fora da lista" error="Escolha um item da lista." type="list" errorStyle="stop">
      <formula1>L_TAGS</formula1>
    </dataValidation>
    <dataValidation sqref="A1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D1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A21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D21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portrait" paperSize="9" fitToHeight="1" fitToWidth="1"/>
  <headerFooter>
    <oddHeader/>
    <oddFooter>&amp;L&amp;7 &amp;K4A5668PCM-MAN-008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K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2" customWidth="1" min="3" max="3"/>
    <col width="15" customWidth="1" min="4" max="4"/>
    <col width="34" customWidth="1" min="5" max="5"/>
    <col width="28" customWidth="1" min="6" max="6"/>
    <col width="28" customWidth="1" min="7" max="7"/>
    <col width="21" customWidth="1" min="8" max="8"/>
    <col width="21" customWidth="1" min="9" max="9"/>
    <col width="17" customWidth="1" min="10" max="10"/>
    <col width="17" customWidth="1" min="11" max="11"/>
  </cols>
  <sheetData>
    <row r="1" ht="30.75" customHeight="1">
      <c r="A1" s="39" t="n"/>
      <c r="B1" s="41" t="n"/>
      <c r="C1" s="42" t="n"/>
      <c r="D1" s="40" t="inlineStr">
        <is>
          <t>Registro de falhas</t>
        </is>
      </c>
      <c r="E1" s="41" t="n"/>
      <c r="F1" s="41" t="n"/>
      <c r="G1" s="41" t="n"/>
      <c r="H1" s="41" t="n"/>
      <c r="I1" s="42" t="n"/>
      <c r="J1" s="43">
        <f>"Rev. "&amp;'Leia-me'!$D$15&amp;"   ·   "&amp;'Leia-me'!$D$16</f>
        <v/>
      </c>
      <c r="K1" s="42" t="n"/>
    </row>
    <row r="2" ht="28" customHeight="1">
      <c r="A2" s="71" t="n"/>
      <c r="B2" s="46" t="n"/>
      <c r="C2" s="47" t="n"/>
      <c r="D2" s="45" t="inlineStr">
        <is>
          <t>Objetivo: Uma linha por falha, com TAG, causa, ação e horários de parada e reparo</t>
        </is>
      </c>
      <c r="E2" s="46" t="n"/>
      <c r="F2" s="46" t="n"/>
      <c r="G2" s="46" t="n"/>
      <c r="H2" s="46" t="n"/>
      <c r="I2" s="47" t="n"/>
      <c r="J2" s="45">
        <f>"Elaborado: "&amp;'Leia-me'!$D$13&amp;"   ·   Aprovado: "&amp;'Leia-me'!$D$14</f>
        <v/>
      </c>
      <c r="K2" s="47" t="n"/>
    </row>
    <row r="3" ht="32" customHeight="1">
      <c r="A3" s="72" t="inlineStr">
        <is>
          <t>Referência da falha</t>
        </is>
      </c>
      <c r="B3" s="73" t="inlineStr">
        <is>
          <t>TAG ▼</t>
        </is>
      </c>
      <c r="C3" s="73" t="inlineStr">
        <is>
          <t>Equipamento</t>
        </is>
      </c>
      <c r="D3" s="73" t="inlineStr">
        <is>
          <t>Nº da OS</t>
        </is>
      </c>
      <c r="E3" s="73" t="inlineStr">
        <is>
          <t>Falha (sintoma)</t>
        </is>
      </c>
      <c r="F3" s="73" t="inlineStr">
        <is>
          <t>Causa</t>
        </is>
      </c>
      <c r="G3" s="73" t="inlineStr">
        <is>
          <t>Ação realizada</t>
        </is>
      </c>
      <c r="H3" s="73" t="inlineStr">
        <is>
          <t>Início da indisponibilidade</t>
        </is>
      </c>
      <c r="I3" s="73" t="inlineStr">
        <is>
          <t>Fim da indisponibilidade</t>
        </is>
      </c>
      <c r="J3" s="73" t="inlineStr">
        <is>
          <t>Início do reparo</t>
        </is>
      </c>
      <c r="K3" s="74" t="inlineStr">
        <is>
          <t>Fim do reparo</t>
        </is>
      </c>
    </row>
    <row r="4" hidden="1">
      <c r="A4" s="75" t="inlineStr">
        <is>
          <t>referencia_falha</t>
        </is>
      </c>
      <c r="B4" s="75" t="inlineStr">
        <is>
          <t>tag</t>
        </is>
      </c>
      <c r="C4" s="75" t="inlineStr">
        <is>
          <t>equipamento</t>
        </is>
      </c>
      <c r="D4" s="75" t="inlineStr">
        <is>
          <t>numero_os</t>
        </is>
      </c>
      <c r="E4" s="75" t="inlineStr">
        <is>
          <t>descricao_falha</t>
        </is>
      </c>
      <c r="F4" s="75" t="inlineStr">
        <is>
          <t>causa</t>
        </is>
      </c>
      <c r="G4" s="75" t="inlineStr">
        <is>
          <t>acao</t>
        </is>
      </c>
      <c r="H4" s="75" t="inlineStr">
        <is>
          <t>inicio_falha</t>
        </is>
      </c>
      <c r="I4" s="75" t="inlineStr">
        <is>
          <t>fim_falha</t>
        </is>
      </c>
      <c r="J4" s="75" t="inlineStr">
        <is>
          <t>inicio_reparo</t>
        </is>
      </c>
      <c r="K4" s="75" t="inlineStr">
        <is>
          <t>fim_reparo</t>
        </is>
      </c>
    </row>
    <row r="5" ht="22" customHeight="1">
      <c r="A5" s="76" t="n"/>
      <c r="B5" s="77" t="n"/>
      <c r="C5" s="78">
        <f>IF(B5="","",IFERROR(INDEX(tb_pcm_ativos[descricao_ativo],MATCH(B5,tb_pcm_ativos[tag],0)),"fora do cadastro"))</f>
        <v/>
      </c>
      <c r="D5" s="79" t="n"/>
      <c r="E5" s="80" t="n"/>
      <c r="F5" s="80" t="n"/>
      <c r="G5" s="80" t="n"/>
      <c r="H5" s="81" t="n"/>
      <c r="I5" s="81" t="n"/>
      <c r="J5" s="81" t="n"/>
      <c r="K5" s="82" t="n"/>
    </row>
    <row r="6" ht="22" customHeight="1">
      <c r="A6" s="76" t="n"/>
      <c r="B6" s="77" t="n"/>
      <c r="C6" s="78">
        <f>IF(B6="","",IFERROR(INDEX(tb_pcm_ativos[descricao_ativo],MATCH(B6,tb_pcm_ativos[tag],0)),"fora do cadastro"))</f>
        <v/>
      </c>
      <c r="D6" s="79" t="n"/>
      <c r="E6" s="80" t="n"/>
      <c r="F6" s="80" t="n"/>
      <c r="G6" s="80" t="n"/>
      <c r="H6" s="81" t="n"/>
      <c r="I6" s="81" t="n"/>
      <c r="J6" s="81" t="n"/>
      <c r="K6" s="82" t="n"/>
    </row>
    <row r="7" ht="22" customHeight="1">
      <c r="A7" s="76" t="n"/>
      <c r="B7" s="77" t="n"/>
      <c r="C7" s="78">
        <f>IF(B7="","",IFERROR(INDEX(tb_pcm_ativos[descricao_ativo],MATCH(B7,tb_pcm_ativos[tag],0)),"fora do cadastro"))</f>
        <v/>
      </c>
      <c r="D7" s="79" t="n"/>
      <c r="E7" s="80" t="n"/>
      <c r="F7" s="80" t="n"/>
      <c r="G7" s="80" t="n"/>
      <c r="H7" s="81" t="n"/>
      <c r="I7" s="81" t="n"/>
      <c r="J7" s="81" t="n"/>
      <c r="K7" s="82" t="n"/>
    </row>
    <row r="8" ht="22" customHeight="1">
      <c r="A8" s="76" t="n"/>
      <c r="B8" s="77" t="n"/>
      <c r="C8" s="78">
        <f>IF(B8="","",IFERROR(INDEX(tb_pcm_ativos[descricao_ativo],MATCH(B8,tb_pcm_ativos[tag],0)),"fora do cadastro"))</f>
        <v/>
      </c>
      <c r="D8" s="79" t="n"/>
      <c r="E8" s="80" t="n"/>
      <c r="F8" s="80" t="n"/>
      <c r="G8" s="80" t="n"/>
      <c r="H8" s="81" t="n"/>
      <c r="I8" s="81" t="n"/>
      <c r="J8" s="81" t="n"/>
      <c r="K8" s="82" t="n"/>
    </row>
    <row r="9" ht="22" customHeight="1">
      <c r="A9" s="76" t="n"/>
      <c r="B9" s="77" t="n"/>
      <c r="C9" s="78">
        <f>IF(B9="","",IFERROR(INDEX(tb_pcm_ativos[descricao_ativo],MATCH(B9,tb_pcm_ativos[tag],0)),"fora do cadastro"))</f>
        <v/>
      </c>
      <c r="D9" s="79" t="n"/>
      <c r="E9" s="80" t="n"/>
      <c r="F9" s="80" t="n"/>
      <c r="G9" s="80" t="n"/>
      <c r="H9" s="81" t="n"/>
      <c r="I9" s="81" t="n"/>
      <c r="J9" s="81" t="n"/>
      <c r="K9" s="82" t="n"/>
    </row>
    <row r="10" ht="22" customHeight="1">
      <c r="A10" s="76" t="n"/>
      <c r="B10" s="77" t="n"/>
      <c r="C10" s="78">
        <f>IF(B10="","",IFERROR(INDEX(tb_pcm_ativos[descricao_ativo],MATCH(B10,tb_pcm_ativos[tag],0)),"fora do cadastro"))</f>
        <v/>
      </c>
      <c r="D10" s="79" t="n"/>
      <c r="E10" s="80" t="n"/>
      <c r="F10" s="80" t="n"/>
      <c r="G10" s="80" t="n"/>
      <c r="H10" s="81" t="n"/>
      <c r="I10" s="81" t="n"/>
      <c r="J10" s="81" t="n"/>
      <c r="K10" s="82" t="n"/>
    </row>
    <row r="11" ht="22" customHeight="1">
      <c r="A11" s="76" t="n"/>
      <c r="B11" s="77" t="n"/>
      <c r="C11" s="78">
        <f>IF(B11="","",IFERROR(INDEX(tb_pcm_ativos[descricao_ativo],MATCH(B11,tb_pcm_ativos[tag],0)),"fora do cadastro"))</f>
        <v/>
      </c>
      <c r="D11" s="79" t="n"/>
      <c r="E11" s="80" t="n"/>
      <c r="F11" s="80" t="n"/>
      <c r="G11" s="80" t="n"/>
      <c r="H11" s="81" t="n"/>
      <c r="I11" s="81" t="n"/>
      <c r="J11" s="81" t="n"/>
      <c r="K11" s="82" t="n"/>
    </row>
    <row r="12" ht="22" customHeight="1">
      <c r="A12" s="76" t="n"/>
      <c r="B12" s="77" t="n"/>
      <c r="C12" s="78">
        <f>IF(B12="","",IFERROR(INDEX(tb_pcm_ativos[descricao_ativo],MATCH(B12,tb_pcm_ativos[tag],0)),"fora do cadastro"))</f>
        <v/>
      </c>
      <c r="D12" s="79" t="n"/>
      <c r="E12" s="80" t="n"/>
      <c r="F12" s="80" t="n"/>
      <c r="G12" s="80" t="n"/>
      <c r="H12" s="81" t="n"/>
      <c r="I12" s="81" t="n"/>
      <c r="J12" s="81" t="n"/>
      <c r="K12" s="82" t="n"/>
    </row>
    <row r="13" ht="22" customHeight="1">
      <c r="A13" s="76" t="n"/>
      <c r="B13" s="77" t="n"/>
      <c r="C13" s="78">
        <f>IF(B13="","",IFERROR(INDEX(tb_pcm_ativos[descricao_ativo],MATCH(B13,tb_pcm_ativos[tag],0)),"fora do cadastro"))</f>
        <v/>
      </c>
      <c r="D13" s="79" t="n"/>
      <c r="E13" s="80" t="n"/>
      <c r="F13" s="80" t="n"/>
      <c r="G13" s="80" t="n"/>
      <c r="H13" s="81" t="n"/>
      <c r="I13" s="81" t="n"/>
      <c r="J13" s="81" t="n"/>
      <c r="K13" s="82" t="n"/>
    </row>
    <row r="14" ht="22" customHeight="1">
      <c r="A14" s="76" t="n"/>
      <c r="B14" s="77" t="n"/>
      <c r="C14" s="78">
        <f>IF(B14="","",IFERROR(INDEX(tb_pcm_ativos[descricao_ativo],MATCH(B14,tb_pcm_ativos[tag],0)),"fora do cadastro"))</f>
        <v/>
      </c>
      <c r="D14" s="79" t="n"/>
      <c r="E14" s="80" t="n"/>
      <c r="F14" s="80" t="n"/>
      <c r="G14" s="80" t="n"/>
      <c r="H14" s="81" t="n"/>
      <c r="I14" s="81" t="n"/>
      <c r="J14" s="81" t="n"/>
      <c r="K14" s="82" t="n"/>
    </row>
    <row r="15" ht="22" customHeight="1">
      <c r="A15" s="76" t="n"/>
      <c r="B15" s="77" t="n"/>
      <c r="C15" s="78">
        <f>IF(B15="","",IFERROR(INDEX(tb_pcm_ativos[descricao_ativo],MATCH(B15,tb_pcm_ativos[tag],0)),"fora do cadastro"))</f>
        <v/>
      </c>
      <c r="D15" s="79" t="n"/>
      <c r="E15" s="80" t="n"/>
      <c r="F15" s="80" t="n"/>
      <c r="G15" s="80" t="n"/>
      <c r="H15" s="81" t="n"/>
      <c r="I15" s="81" t="n"/>
      <c r="J15" s="81" t="n"/>
      <c r="K15" s="82" t="n"/>
    </row>
    <row r="16" ht="22" customHeight="1">
      <c r="A16" s="76" t="n"/>
      <c r="B16" s="77" t="n"/>
      <c r="C16" s="78">
        <f>IF(B16="","",IFERROR(INDEX(tb_pcm_ativos[descricao_ativo],MATCH(B16,tb_pcm_ativos[tag],0)),"fora do cadastro"))</f>
        <v/>
      </c>
      <c r="D16" s="79" t="n"/>
      <c r="E16" s="80" t="n"/>
      <c r="F16" s="80" t="n"/>
      <c r="G16" s="80" t="n"/>
      <c r="H16" s="81" t="n"/>
      <c r="I16" s="81" t="n"/>
      <c r="J16" s="81" t="n"/>
      <c r="K16" s="82" t="n"/>
    </row>
    <row r="17" ht="22" customHeight="1">
      <c r="A17" s="76" t="n"/>
      <c r="B17" s="77" t="n"/>
      <c r="C17" s="78">
        <f>IF(B17="","",IFERROR(INDEX(tb_pcm_ativos[descricao_ativo],MATCH(B17,tb_pcm_ativos[tag],0)),"fora do cadastro"))</f>
        <v/>
      </c>
      <c r="D17" s="79" t="n"/>
      <c r="E17" s="80" t="n"/>
      <c r="F17" s="80" t="n"/>
      <c r="G17" s="80" t="n"/>
      <c r="H17" s="81" t="n"/>
      <c r="I17" s="81" t="n"/>
      <c r="J17" s="81" t="n"/>
      <c r="K17" s="82" t="n"/>
    </row>
    <row r="18" ht="22" customHeight="1">
      <c r="A18" s="76" t="n"/>
      <c r="B18" s="77" t="n"/>
      <c r="C18" s="78">
        <f>IF(B18="","",IFERROR(INDEX(tb_pcm_ativos[descricao_ativo],MATCH(B18,tb_pcm_ativos[tag],0)),"fora do cadastro"))</f>
        <v/>
      </c>
      <c r="D18" s="79" t="n"/>
      <c r="E18" s="80" t="n"/>
      <c r="F18" s="80" t="n"/>
      <c r="G18" s="80" t="n"/>
      <c r="H18" s="81" t="n"/>
      <c r="I18" s="81" t="n"/>
      <c r="J18" s="81" t="n"/>
      <c r="K18" s="82" t="n"/>
    </row>
    <row r="19" ht="22" customHeight="1">
      <c r="A19" s="76" t="n"/>
      <c r="B19" s="77" t="n"/>
      <c r="C19" s="78">
        <f>IF(B19="","",IFERROR(INDEX(tb_pcm_ativos[descricao_ativo],MATCH(B19,tb_pcm_ativos[tag],0)),"fora do cadastro"))</f>
        <v/>
      </c>
      <c r="D19" s="79" t="n"/>
      <c r="E19" s="80" t="n"/>
      <c r="F19" s="80" t="n"/>
      <c r="G19" s="80" t="n"/>
      <c r="H19" s="81" t="n"/>
      <c r="I19" s="81" t="n"/>
      <c r="J19" s="81" t="n"/>
      <c r="K19" s="82" t="n"/>
    </row>
    <row r="20" ht="22" customHeight="1">
      <c r="A20" s="76" t="n"/>
      <c r="B20" s="77" t="n"/>
      <c r="C20" s="78">
        <f>IF(B20="","",IFERROR(INDEX(tb_pcm_ativos[descricao_ativo],MATCH(B20,tb_pcm_ativos[tag],0)),"fora do cadastro"))</f>
        <v/>
      </c>
      <c r="D20" s="79" t="n"/>
      <c r="E20" s="80" t="n"/>
      <c r="F20" s="80" t="n"/>
      <c r="G20" s="80" t="n"/>
      <c r="H20" s="81" t="n"/>
      <c r="I20" s="81" t="n"/>
      <c r="J20" s="81" t="n"/>
      <c r="K20" s="82" t="n"/>
    </row>
    <row r="21" ht="22" customHeight="1">
      <c r="A21" s="76" t="n"/>
      <c r="B21" s="77" t="n"/>
      <c r="C21" s="78">
        <f>IF(B21="","",IFERROR(INDEX(tb_pcm_ativos[descricao_ativo],MATCH(B21,tb_pcm_ativos[tag],0)),"fora do cadastro"))</f>
        <v/>
      </c>
      <c r="D21" s="79" t="n"/>
      <c r="E21" s="80" t="n"/>
      <c r="F21" s="80" t="n"/>
      <c r="G21" s="80" t="n"/>
      <c r="H21" s="81" t="n"/>
      <c r="I21" s="81" t="n"/>
      <c r="J21" s="81" t="n"/>
      <c r="K21" s="82" t="n"/>
    </row>
    <row r="22" ht="22" customHeight="1">
      <c r="A22" s="76" t="n"/>
      <c r="B22" s="77" t="n"/>
      <c r="C22" s="78">
        <f>IF(B22="","",IFERROR(INDEX(tb_pcm_ativos[descricao_ativo],MATCH(B22,tb_pcm_ativos[tag],0)),"fora do cadastro"))</f>
        <v/>
      </c>
      <c r="D22" s="79" t="n"/>
      <c r="E22" s="80" t="n"/>
      <c r="F22" s="80" t="n"/>
      <c r="G22" s="80" t="n"/>
      <c r="H22" s="81" t="n"/>
      <c r="I22" s="81" t="n"/>
      <c r="J22" s="81" t="n"/>
      <c r="K22" s="82" t="n"/>
    </row>
    <row r="23" ht="22" customHeight="1">
      <c r="A23" s="76" t="n"/>
      <c r="B23" s="77" t="n"/>
      <c r="C23" s="78">
        <f>IF(B23="","",IFERROR(INDEX(tb_pcm_ativos[descricao_ativo],MATCH(B23,tb_pcm_ativos[tag],0)),"fora do cadastro"))</f>
        <v/>
      </c>
      <c r="D23" s="79" t="n"/>
      <c r="E23" s="80" t="n"/>
      <c r="F23" s="80" t="n"/>
      <c r="G23" s="80" t="n"/>
      <c r="H23" s="81" t="n"/>
      <c r="I23" s="81" t="n"/>
      <c r="J23" s="81" t="n"/>
      <c r="K23" s="82" t="n"/>
    </row>
    <row r="24" ht="22" customHeight="1">
      <c r="A24" s="76" t="n"/>
      <c r="B24" s="77" t="n"/>
      <c r="C24" s="78">
        <f>IF(B24="","",IFERROR(INDEX(tb_pcm_ativos[descricao_ativo],MATCH(B24,tb_pcm_ativos[tag],0)),"fora do cadastro"))</f>
        <v/>
      </c>
      <c r="D24" s="79" t="n"/>
      <c r="E24" s="80" t="n"/>
      <c r="F24" s="80" t="n"/>
      <c r="G24" s="80" t="n"/>
      <c r="H24" s="81" t="n"/>
      <c r="I24" s="81" t="n"/>
      <c r="J24" s="81" t="n"/>
      <c r="K24" s="82" t="n"/>
    </row>
    <row r="25" ht="22" customHeight="1">
      <c r="A25" s="76" t="n"/>
      <c r="B25" s="77" t="n"/>
      <c r="C25" s="78">
        <f>IF(B25="","",IFERROR(INDEX(tb_pcm_ativos[descricao_ativo],MATCH(B25,tb_pcm_ativos[tag],0)),"fora do cadastro"))</f>
        <v/>
      </c>
      <c r="D25" s="79" t="n"/>
      <c r="E25" s="80" t="n"/>
      <c r="F25" s="80" t="n"/>
      <c r="G25" s="80" t="n"/>
      <c r="H25" s="81" t="n"/>
      <c r="I25" s="81" t="n"/>
      <c r="J25" s="81" t="n"/>
      <c r="K25" s="82" t="n"/>
    </row>
    <row r="26" ht="22" customHeight="1">
      <c r="A26" s="76" t="n"/>
      <c r="B26" s="77" t="n"/>
      <c r="C26" s="78">
        <f>IF(B26="","",IFERROR(INDEX(tb_pcm_ativos[descricao_ativo],MATCH(B26,tb_pcm_ativos[tag],0)),"fora do cadastro"))</f>
        <v/>
      </c>
      <c r="D26" s="79" t="n"/>
      <c r="E26" s="80" t="n"/>
      <c r="F26" s="80" t="n"/>
      <c r="G26" s="80" t="n"/>
      <c r="H26" s="81" t="n"/>
      <c r="I26" s="81" t="n"/>
      <c r="J26" s="81" t="n"/>
      <c r="K26" s="82" t="n"/>
    </row>
    <row r="27" ht="22" customHeight="1">
      <c r="A27" s="76" t="n"/>
      <c r="B27" s="77" t="n"/>
      <c r="C27" s="78">
        <f>IF(B27="","",IFERROR(INDEX(tb_pcm_ativos[descricao_ativo],MATCH(B27,tb_pcm_ativos[tag],0)),"fora do cadastro"))</f>
        <v/>
      </c>
      <c r="D27" s="79" t="n"/>
      <c r="E27" s="80" t="n"/>
      <c r="F27" s="80" t="n"/>
      <c r="G27" s="80" t="n"/>
      <c r="H27" s="81" t="n"/>
      <c r="I27" s="81" t="n"/>
      <c r="J27" s="81" t="n"/>
      <c r="K27" s="82" t="n"/>
    </row>
    <row r="28" ht="22" customHeight="1">
      <c r="A28" s="76" t="n"/>
      <c r="B28" s="77" t="n"/>
      <c r="C28" s="78">
        <f>IF(B28="","",IFERROR(INDEX(tb_pcm_ativos[descricao_ativo],MATCH(B28,tb_pcm_ativos[tag],0)),"fora do cadastro"))</f>
        <v/>
      </c>
      <c r="D28" s="79" t="n"/>
      <c r="E28" s="80" t="n"/>
      <c r="F28" s="80" t="n"/>
      <c r="G28" s="80" t="n"/>
      <c r="H28" s="81" t="n"/>
      <c r="I28" s="81" t="n"/>
      <c r="J28" s="81" t="n"/>
      <c r="K28" s="82" t="n"/>
    </row>
    <row r="29" ht="22" customHeight="1">
      <c r="A29" s="83" t="n"/>
      <c r="B29" s="84" t="n"/>
      <c r="C29" s="85">
        <f>IF(B29="","",IFERROR(INDEX(tb_pcm_ativos[descricao_ativo],MATCH(B29,tb_pcm_ativos[tag],0)),"fora do cadastro"))</f>
        <v/>
      </c>
      <c r="D29" s="86" t="n"/>
      <c r="E29" s="87" t="n"/>
      <c r="F29" s="87" t="n"/>
      <c r="G29" s="87" t="n"/>
      <c r="H29" s="88" t="n"/>
      <c r="I29" s="88" t="n"/>
      <c r="J29" s="88" t="n"/>
      <c r="K29" s="89" t="n"/>
    </row>
    <row r="30" ht="20" customHeight="1">
      <c r="A30" s="90" t="inlineStr">
        <is>
          <t xml:space="preserve"> </t>
        </is>
      </c>
    </row>
  </sheetData>
  <mergeCells count="6">
    <mergeCell ref="D2:I2"/>
    <mergeCell ref="A30:K30"/>
    <mergeCell ref="A1:C2"/>
    <mergeCell ref="J2:K2"/>
    <mergeCell ref="J1:K1"/>
    <mergeCell ref="D1:I1"/>
  </mergeCells>
  <dataValidations count="5">
    <dataValidation sqref="B5:B29" showDropDown="0" showInputMessage="0" showErrorMessage="1" allowBlank="1" errorTitle="Valor fora da lista" error="Escolha um item da lista." type="list" errorStyle="stop">
      <formula1>L_TAGS</formula1>
    </dataValidation>
    <dataValidation sqref="H5:H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I5:I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J5:J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K5:K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&amp;K4A5668PCM-MAN-008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N36"/>
  <sheetViews>
    <sheetView showGridLines="0" tabSelected="0" zoomScale="9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4" customWidth="1" min="4" max="4"/>
    <col width="14" customWidth="1" min="5" max="5"/>
    <col width="2" customWidth="1" min="6" max="6"/>
    <col width="6" customWidth="1" min="7" max="7"/>
    <col width="28" customWidth="1" min="8" max="8"/>
    <col width="13" customWidth="1" min="9" max="9"/>
    <col width="10" customWidth="1" min="10" max="10"/>
    <col width="12" customWidth="1" min="11" max="11"/>
    <col hidden="1" width="8" customWidth="1" min="12" max="12"/>
    <col hidden="1" width="8" customWidth="1" min="13" max="13"/>
    <col hidden="1" width="8" customWidth="1" min="14" max="14"/>
  </cols>
  <sheetData>
    <row r="1" ht="30.75" customHeight="1">
      <c r="A1" s="91" t="n"/>
      <c r="B1" s="92" t="n"/>
      <c r="C1" s="93" t="inlineStr">
        <is>
          <t>Pareto</t>
        </is>
      </c>
      <c r="D1" s="94" t="n"/>
      <c r="E1" s="94" t="n"/>
      <c r="F1" s="94" t="n"/>
      <c r="G1" s="94" t="n"/>
      <c r="H1" s="92" t="n"/>
      <c r="I1" s="95">
        <f>"Rev. "&amp;'Leia-me'!$D$15&amp;"   ·   "&amp;'Leia-me'!$D$16</f>
        <v/>
      </c>
      <c r="J1" s="94" t="n"/>
      <c r="K1" s="92" t="n"/>
    </row>
    <row r="2" ht="28" customHeight="1">
      <c r="A2" s="96" t="n"/>
      <c r="B2" s="97" t="n"/>
      <c r="C2" s="98" t="inlineStr">
        <is>
          <t>Objetivo: Contar falhas e paradas e ver os poucos vitais que respondem por 80% do problema</t>
        </is>
      </c>
      <c r="D2" s="99" t="n"/>
      <c r="E2" s="99" t="n"/>
      <c r="F2" s="99" t="n"/>
      <c r="G2" s="99" t="n"/>
      <c r="H2" s="97" t="n"/>
      <c r="I2" s="98">
        <f>"Elaborado: "&amp;'Leia-me'!$D$13&amp;"   ·   Aprovado: "&amp;'Leia-me'!$D$14</f>
        <v/>
      </c>
      <c r="J2" s="99" t="n"/>
      <c r="K2" s="97" t="n"/>
    </row>
    <row r="3" ht="14" customHeight="1">
      <c r="A3" s="48" t="inlineStr">
        <is>
          <t>Área ou linha</t>
        </is>
      </c>
      <c r="B3" s="100" t="n"/>
      <c r="C3" s="49" t="inlineStr">
        <is>
          <t>O que se conta (defeito, causa, motivo de parada)</t>
        </is>
      </c>
      <c r="D3" s="100" t="n"/>
      <c r="E3" s="100" t="n"/>
      <c r="F3" s="101" t="n"/>
      <c r="G3" s="49" t="inlineStr">
        <is>
          <t>Período (de ... a ...)</t>
        </is>
      </c>
      <c r="H3" s="100" t="n"/>
      <c r="I3" s="50" t="inlineStr">
        <is>
          <t>Ordenar por</t>
        </is>
      </c>
      <c r="J3" s="100" t="n"/>
      <c r="K3" s="102" t="n"/>
    </row>
    <row r="4" ht="24" customHeight="1">
      <c r="A4" s="103" t="n"/>
      <c r="B4" s="104" t="n"/>
      <c r="C4" s="103" t="n"/>
      <c r="D4" s="20" t="n"/>
      <c r="E4" s="104" t="n"/>
      <c r="F4" s="105" t="n"/>
      <c r="G4" s="103" t="n"/>
      <c r="H4" s="104" t="n"/>
      <c r="I4" s="106" t="n"/>
      <c r="J4" s="20" t="n"/>
      <c r="K4" s="104" t="n"/>
    </row>
    <row r="5" ht="8" customHeight="1">
      <c r="A5" s="55" t="n"/>
      <c r="B5" s="55" t="n"/>
      <c r="C5" s="55" t="n"/>
      <c r="D5" s="55" t="n"/>
      <c r="E5" s="55" t="n"/>
      <c r="F5" s="55" t="n"/>
      <c r="G5" s="55" t="n"/>
      <c r="H5" s="55" t="n"/>
      <c r="I5" s="55" t="n"/>
      <c r="J5" s="55" t="n"/>
      <c r="K5" s="55" t="n"/>
    </row>
    <row r="6" ht="26" customHeight="1">
      <c r="A6" s="107" t="inlineStr">
        <is>
          <r>
            <rPr>
              <rFont val="Arial"/>
              <b val="1"/>
              <color rgb="00FFFFFF"/>
              <sz val="10"/>
            </rPr>
            <t>Contagem</t>
          </r>
          <r>
            <rPr>
              <rFont val="Arial"/>
              <color rgb="00D3DEEC"/>
              <sz val="8"/>
            </rPr>
            <t xml:space="preserve">   uma linha por categoria</t>
          </r>
        </is>
      </c>
      <c r="B6" s="108" t="n"/>
      <c r="C6" s="108" t="n"/>
      <c r="D6" s="108" t="n"/>
      <c r="E6" s="109" t="n"/>
      <c r="F6" s="55" t="n"/>
      <c r="G6" s="107" t="inlineStr">
        <is>
          <r>
            <rPr>
              <rFont val="Arial"/>
              <b val="1"/>
              <color rgb="00FFFFFF"/>
              <sz val="10"/>
            </rPr>
            <t>Ranking</t>
          </r>
          <r>
            <rPr>
              <rFont val="Arial"/>
              <color rgb="00D3DEEC"/>
              <sz val="8"/>
            </rPr>
            <t xml:space="preserve">   destaque = poucos vitais (até 80%)</t>
          </r>
        </is>
      </c>
      <c r="H6" s="108" t="n"/>
      <c r="I6" s="108" t="n"/>
      <c r="J6" s="108" t="n"/>
      <c r="K6" s="109" t="n"/>
    </row>
    <row r="7" ht="28" customHeight="1">
      <c r="A7" s="110" t="inlineStr">
        <is>
          <t>Nº</t>
        </is>
      </c>
      <c r="B7" s="111" t="inlineStr">
        <is>
          <t>Categoria</t>
        </is>
      </c>
      <c r="C7" s="111" t="inlineStr">
        <is>
          <t>Quantidade</t>
        </is>
      </c>
      <c r="D7" s="111" t="inlineStr">
        <is>
          <t>Custo por ocorrência</t>
        </is>
      </c>
      <c r="E7" s="112" t="inlineStr">
        <is>
          <t>Custo total</t>
        </is>
      </c>
      <c r="F7" s="55" t="n"/>
      <c r="G7" s="110" t="inlineStr">
        <is>
          <t>Pos.</t>
        </is>
      </c>
      <c r="H7" s="111" t="inlineStr">
        <is>
          <t>Categoria</t>
        </is>
      </c>
      <c r="I7" s="111" t="inlineStr">
        <is>
          <t>Valor</t>
        </is>
      </c>
      <c r="J7" s="111" t="inlineStr">
        <is>
          <t>%</t>
        </is>
      </c>
      <c r="K7" s="112" t="inlineStr">
        <is>
          <t>% acumulado</t>
        </is>
      </c>
    </row>
    <row r="8" ht="20" customHeight="1">
      <c r="A8" s="113" t="n">
        <v>1</v>
      </c>
      <c r="B8" s="114" t="n"/>
      <c r="C8" s="115" t="n"/>
      <c r="D8" s="116" t="n"/>
      <c r="E8" s="117">
        <f>IF(AND(ISNUMBER(C8),ISNUMBER(D8)),C8*D8,"")</f>
        <v/>
      </c>
      <c r="F8" s="55" t="n"/>
      <c r="G8" s="113" t="n">
        <v>1</v>
      </c>
      <c r="H8" s="114">
        <f>IF(M8="","",INDEX($B$8:$B$17,M8))</f>
        <v/>
      </c>
      <c r="I8" s="118">
        <f>IF(M8="","",IF($I$4="Custo total",INDEX($E$8:$E$17,M8),INDEX($C$8:$C$17,M8)))</f>
        <v/>
      </c>
      <c r="J8" s="119">
        <f>IF(OR(I8="",$I$18=0),"",I8/$I$18)</f>
        <v/>
      </c>
      <c r="K8" s="120">
        <f>IF(J8="","",SUM($J$8:J8))</f>
        <v/>
      </c>
      <c r="L8">
        <f>IF(B8="","",IF($I$4="Custo total",IF(ISNUMBER(E8),E8+(1000-ROW())/100000,""),IF(ISNUMBER(C8),C8+(1000-ROW())/100000,"")))</f>
        <v/>
      </c>
      <c r="M8">
        <f>IFERROR(MATCH(LARGE($L$8:$L$17,G8),$L$8:$L$17,0),"")</f>
        <v/>
      </c>
      <c r="N8">
        <f>IF(ISNUMBER(K8),K8,NA())</f>
        <v/>
      </c>
    </row>
    <row r="9" ht="20" customHeight="1">
      <c r="A9" s="113" t="n">
        <v>2</v>
      </c>
      <c r="B9" s="114" t="n"/>
      <c r="C9" s="115" t="n"/>
      <c r="D9" s="116" t="n"/>
      <c r="E9" s="117">
        <f>IF(AND(ISNUMBER(C9),ISNUMBER(D9)),C9*D9,"")</f>
        <v/>
      </c>
      <c r="F9" s="55" t="n"/>
      <c r="G9" s="113" t="n">
        <v>2</v>
      </c>
      <c r="H9" s="114">
        <f>IF(M9="","",INDEX($B$8:$B$17,M9))</f>
        <v/>
      </c>
      <c r="I9" s="118">
        <f>IF(M9="","",IF($I$4="Custo total",INDEX($E$8:$E$17,M9),INDEX($C$8:$C$17,M9)))</f>
        <v/>
      </c>
      <c r="J9" s="119">
        <f>IF(OR(I9="",$I$18=0),"",I9/$I$18)</f>
        <v/>
      </c>
      <c r="K9" s="120">
        <f>IF(J9="","",SUM($J$8:J9))</f>
        <v/>
      </c>
      <c r="L9">
        <f>IF(B9="","",IF($I$4="Custo total",IF(ISNUMBER(E9),E9+(1000-ROW())/100000,""),IF(ISNUMBER(C9),C9+(1000-ROW())/100000,"")))</f>
        <v/>
      </c>
      <c r="M9">
        <f>IFERROR(MATCH(LARGE($L$8:$L$17,G9),$L$8:$L$17,0),"")</f>
        <v/>
      </c>
      <c r="N9">
        <f>IF(ISNUMBER(K9),K9,NA())</f>
        <v/>
      </c>
    </row>
    <row r="10" ht="20" customHeight="1">
      <c r="A10" s="113" t="n">
        <v>3</v>
      </c>
      <c r="B10" s="114" t="n"/>
      <c r="C10" s="115" t="n"/>
      <c r="D10" s="116" t="n"/>
      <c r="E10" s="117">
        <f>IF(AND(ISNUMBER(C10),ISNUMBER(D10)),C10*D10,"")</f>
        <v/>
      </c>
      <c r="F10" s="55" t="n"/>
      <c r="G10" s="113" t="n">
        <v>3</v>
      </c>
      <c r="H10" s="114">
        <f>IF(M10="","",INDEX($B$8:$B$17,M10))</f>
        <v/>
      </c>
      <c r="I10" s="118">
        <f>IF(M10="","",IF($I$4="Custo total",INDEX($E$8:$E$17,M10),INDEX($C$8:$C$17,M10)))</f>
        <v/>
      </c>
      <c r="J10" s="119">
        <f>IF(OR(I10="",$I$18=0),"",I10/$I$18)</f>
        <v/>
      </c>
      <c r="K10" s="120">
        <f>IF(J10="","",SUM($J$8:J10))</f>
        <v/>
      </c>
      <c r="L10">
        <f>IF(B10="","",IF($I$4="Custo total",IF(ISNUMBER(E10),E10+(1000-ROW())/100000,""),IF(ISNUMBER(C10),C10+(1000-ROW())/100000,"")))</f>
        <v/>
      </c>
      <c r="M10">
        <f>IFERROR(MATCH(LARGE($L$8:$L$17,G10),$L$8:$L$17,0),"")</f>
        <v/>
      </c>
      <c r="N10">
        <f>IF(ISNUMBER(K10),K10,NA())</f>
        <v/>
      </c>
    </row>
    <row r="11" ht="20" customHeight="1">
      <c r="A11" s="113" t="n">
        <v>4</v>
      </c>
      <c r="B11" s="114" t="n"/>
      <c r="C11" s="115" t="n"/>
      <c r="D11" s="116" t="n"/>
      <c r="E11" s="117">
        <f>IF(AND(ISNUMBER(C11),ISNUMBER(D11)),C11*D11,"")</f>
        <v/>
      </c>
      <c r="F11" s="55" t="n"/>
      <c r="G11" s="113" t="n">
        <v>4</v>
      </c>
      <c r="H11" s="114">
        <f>IF(M11="","",INDEX($B$8:$B$17,M11))</f>
        <v/>
      </c>
      <c r="I11" s="118">
        <f>IF(M11="","",IF($I$4="Custo total",INDEX($E$8:$E$17,M11),INDEX($C$8:$C$17,M11)))</f>
        <v/>
      </c>
      <c r="J11" s="119">
        <f>IF(OR(I11="",$I$18=0),"",I11/$I$18)</f>
        <v/>
      </c>
      <c r="K11" s="120">
        <f>IF(J11="","",SUM($J$8:J11))</f>
        <v/>
      </c>
      <c r="L11">
        <f>IF(B11="","",IF($I$4="Custo total",IF(ISNUMBER(E11),E11+(1000-ROW())/100000,""),IF(ISNUMBER(C11),C11+(1000-ROW())/100000,"")))</f>
        <v/>
      </c>
      <c r="M11">
        <f>IFERROR(MATCH(LARGE($L$8:$L$17,G11),$L$8:$L$17,0),"")</f>
        <v/>
      </c>
      <c r="N11">
        <f>IF(ISNUMBER(K11),K11,NA())</f>
        <v/>
      </c>
    </row>
    <row r="12" ht="20" customHeight="1">
      <c r="A12" s="113" t="n">
        <v>5</v>
      </c>
      <c r="B12" s="114" t="n"/>
      <c r="C12" s="115" t="n"/>
      <c r="D12" s="116" t="n"/>
      <c r="E12" s="117">
        <f>IF(AND(ISNUMBER(C12),ISNUMBER(D12)),C12*D12,"")</f>
        <v/>
      </c>
      <c r="F12" s="55" t="n"/>
      <c r="G12" s="113" t="n">
        <v>5</v>
      </c>
      <c r="H12" s="114">
        <f>IF(M12="","",INDEX($B$8:$B$17,M12))</f>
        <v/>
      </c>
      <c r="I12" s="118">
        <f>IF(M12="","",IF($I$4="Custo total",INDEX($E$8:$E$17,M12),INDEX($C$8:$C$17,M12)))</f>
        <v/>
      </c>
      <c r="J12" s="119">
        <f>IF(OR(I12="",$I$18=0),"",I12/$I$18)</f>
        <v/>
      </c>
      <c r="K12" s="120">
        <f>IF(J12="","",SUM($J$8:J12))</f>
        <v/>
      </c>
      <c r="L12">
        <f>IF(B12="","",IF($I$4="Custo total",IF(ISNUMBER(E12),E12+(1000-ROW())/100000,""),IF(ISNUMBER(C12),C12+(1000-ROW())/100000,"")))</f>
        <v/>
      </c>
      <c r="M12">
        <f>IFERROR(MATCH(LARGE($L$8:$L$17,G12),$L$8:$L$17,0),"")</f>
        <v/>
      </c>
      <c r="N12">
        <f>IF(ISNUMBER(K12),K12,NA())</f>
        <v/>
      </c>
    </row>
    <row r="13" ht="20" customHeight="1">
      <c r="A13" s="113" t="n">
        <v>6</v>
      </c>
      <c r="B13" s="114" t="n"/>
      <c r="C13" s="115" t="n"/>
      <c r="D13" s="116" t="n"/>
      <c r="E13" s="117">
        <f>IF(AND(ISNUMBER(C13),ISNUMBER(D13)),C13*D13,"")</f>
        <v/>
      </c>
      <c r="F13" s="55" t="n"/>
      <c r="G13" s="113" t="n">
        <v>6</v>
      </c>
      <c r="H13" s="114">
        <f>IF(M13="","",INDEX($B$8:$B$17,M13))</f>
        <v/>
      </c>
      <c r="I13" s="118">
        <f>IF(M13="","",IF($I$4="Custo total",INDEX($E$8:$E$17,M13),INDEX($C$8:$C$17,M13)))</f>
        <v/>
      </c>
      <c r="J13" s="119">
        <f>IF(OR(I13="",$I$18=0),"",I13/$I$18)</f>
        <v/>
      </c>
      <c r="K13" s="120">
        <f>IF(J13="","",SUM($J$8:J13))</f>
        <v/>
      </c>
      <c r="L13">
        <f>IF(B13="","",IF($I$4="Custo total",IF(ISNUMBER(E13),E13+(1000-ROW())/100000,""),IF(ISNUMBER(C13),C13+(1000-ROW())/100000,"")))</f>
        <v/>
      </c>
      <c r="M13">
        <f>IFERROR(MATCH(LARGE($L$8:$L$17,G13),$L$8:$L$17,0),"")</f>
        <v/>
      </c>
      <c r="N13">
        <f>IF(ISNUMBER(K13),K13,NA())</f>
        <v/>
      </c>
    </row>
    <row r="14" ht="20" customHeight="1">
      <c r="A14" s="113" t="n">
        <v>7</v>
      </c>
      <c r="B14" s="114" t="n"/>
      <c r="C14" s="115" t="n"/>
      <c r="D14" s="116" t="n"/>
      <c r="E14" s="117">
        <f>IF(AND(ISNUMBER(C14),ISNUMBER(D14)),C14*D14,"")</f>
        <v/>
      </c>
      <c r="F14" s="55" t="n"/>
      <c r="G14" s="113" t="n">
        <v>7</v>
      </c>
      <c r="H14" s="114">
        <f>IF(M14="","",INDEX($B$8:$B$17,M14))</f>
        <v/>
      </c>
      <c r="I14" s="118">
        <f>IF(M14="","",IF($I$4="Custo total",INDEX($E$8:$E$17,M14),INDEX($C$8:$C$17,M14)))</f>
        <v/>
      </c>
      <c r="J14" s="119">
        <f>IF(OR(I14="",$I$18=0),"",I14/$I$18)</f>
        <v/>
      </c>
      <c r="K14" s="120">
        <f>IF(J14="","",SUM($J$8:J14))</f>
        <v/>
      </c>
      <c r="L14">
        <f>IF(B14="","",IF($I$4="Custo total",IF(ISNUMBER(E14),E14+(1000-ROW())/100000,""),IF(ISNUMBER(C14),C14+(1000-ROW())/100000,"")))</f>
        <v/>
      </c>
      <c r="M14">
        <f>IFERROR(MATCH(LARGE($L$8:$L$17,G14),$L$8:$L$17,0),"")</f>
        <v/>
      </c>
      <c r="N14">
        <f>IF(ISNUMBER(K14),K14,NA())</f>
        <v/>
      </c>
    </row>
    <row r="15" ht="20" customHeight="1">
      <c r="A15" s="113" t="n">
        <v>8</v>
      </c>
      <c r="B15" s="114" t="n"/>
      <c r="C15" s="115" t="n"/>
      <c r="D15" s="116" t="n"/>
      <c r="E15" s="117">
        <f>IF(AND(ISNUMBER(C15),ISNUMBER(D15)),C15*D15,"")</f>
        <v/>
      </c>
      <c r="F15" s="55" t="n"/>
      <c r="G15" s="113" t="n">
        <v>8</v>
      </c>
      <c r="H15" s="114">
        <f>IF(M15="","",INDEX($B$8:$B$17,M15))</f>
        <v/>
      </c>
      <c r="I15" s="118">
        <f>IF(M15="","",IF($I$4="Custo total",INDEX($E$8:$E$17,M15),INDEX($C$8:$C$17,M15)))</f>
        <v/>
      </c>
      <c r="J15" s="119">
        <f>IF(OR(I15="",$I$18=0),"",I15/$I$18)</f>
        <v/>
      </c>
      <c r="K15" s="120">
        <f>IF(J15="","",SUM($J$8:J15))</f>
        <v/>
      </c>
      <c r="L15">
        <f>IF(B15="","",IF($I$4="Custo total",IF(ISNUMBER(E15),E15+(1000-ROW())/100000,""),IF(ISNUMBER(C15),C15+(1000-ROW())/100000,"")))</f>
        <v/>
      </c>
      <c r="M15">
        <f>IFERROR(MATCH(LARGE($L$8:$L$17,G15),$L$8:$L$17,0),"")</f>
        <v/>
      </c>
      <c r="N15">
        <f>IF(ISNUMBER(K15),K15,NA())</f>
        <v/>
      </c>
    </row>
    <row r="16" ht="20" customHeight="1">
      <c r="A16" s="113" t="n">
        <v>9</v>
      </c>
      <c r="B16" s="114" t="n"/>
      <c r="C16" s="115" t="n"/>
      <c r="D16" s="116" t="n"/>
      <c r="E16" s="117">
        <f>IF(AND(ISNUMBER(C16),ISNUMBER(D16)),C16*D16,"")</f>
        <v/>
      </c>
      <c r="F16" s="55" t="n"/>
      <c r="G16" s="113" t="n">
        <v>9</v>
      </c>
      <c r="H16" s="114">
        <f>IF(M16="","",INDEX($B$8:$B$17,M16))</f>
        <v/>
      </c>
      <c r="I16" s="118">
        <f>IF(M16="","",IF($I$4="Custo total",INDEX($E$8:$E$17,M16),INDEX($C$8:$C$17,M16)))</f>
        <v/>
      </c>
      <c r="J16" s="119">
        <f>IF(OR(I16="",$I$18=0),"",I16/$I$18)</f>
        <v/>
      </c>
      <c r="K16" s="120">
        <f>IF(J16="","",SUM($J$8:J16))</f>
        <v/>
      </c>
      <c r="L16">
        <f>IF(B16="","",IF($I$4="Custo total",IF(ISNUMBER(E16),E16+(1000-ROW())/100000,""),IF(ISNUMBER(C16),C16+(1000-ROW())/100000,"")))</f>
        <v/>
      </c>
      <c r="M16">
        <f>IFERROR(MATCH(LARGE($L$8:$L$17,G16),$L$8:$L$17,0),"")</f>
        <v/>
      </c>
      <c r="N16">
        <f>IF(ISNUMBER(K16),K16,NA())</f>
        <v/>
      </c>
    </row>
    <row r="17" ht="20" customHeight="1">
      <c r="A17" s="121" t="n">
        <v>10</v>
      </c>
      <c r="B17" s="122" t="n"/>
      <c r="C17" s="123" t="n"/>
      <c r="D17" s="124" t="n"/>
      <c r="E17" s="125">
        <f>IF(AND(ISNUMBER(C17),ISNUMBER(D17)),C17*D17,"")</f>
        <v/>
      </c>
      <c r="F17" s="55" t="n"/>
      <c r="G17" s="121" t="n">
        <v>10</v>
      </c>
      <c r="H17" s="122">
        <f>IF(M17="","",INDEX($B$8:$B$17,M17))</f>
        <v/>
      </c>
      <c r="I17" s="126">
        <f>IF(M17="","",IF($I$4="Custo total",INDEX($E$8:$E$17,M17),INDEX($C$8:$C$17,M17)))</f>
        <v/>
      </c>
      <c r="J17" s="127">
        <f>IF(OR(I17="",$I$18=0),"",I17/$I$18)</f>
        <v/>
      </c>
      <c r="K17" s="128">
        <f>IF(J17="","",SUM($J$8:J17))</f>
        <v/>
      </c>
      <c r="L17">
        <f>IF(B17="","",IF($I$4="Custo total",IF(ISNUMBER(E17),E17+(1000-ROW())/100000,""),IF(ISNUMBER(C17),C17+(1000-ROW())/100000,"")))</f>
        <v/>
      </c>
      <c r="M17">
        <f>IFERROR(MATCH(LARGE($L$8:$L$17,G17),$L$8:$L$17,0),"")</f>
        <v/>
      </c>
      <c r="N17">
        <f>IF(ISNUMBER(K17),K17,NA())</f>
        <v/>
      </c>
    </row>
    <row r="18" ht="20" customHeight="1">
      <c r="A18" s="129" t="n"/>
      <c r="B18" s="130" t="inlineStr">
        <is>
          <t>Total</t>
        </is>
      </c>
      <c r="C18" s="131">
        <f>SUM(C8:C17)</f>
        <v/>
      </c>
      <c r="D18" s="20" t="n"/>
      <c r="E18" s="132">
        <f>SUM(E8:E17)</f>
        <v/>
      </c>
      <c r="F18" s="55" t="n"/>
      <c r="G18" s="129" t="n"/>
      <c r="H18" s="130" t="inlineStr">
        <is>
          <t>Total</t>
        </is>
      </c>
      <c r="I18" s="133">
        <f>SUM(I8:I17)</f>
        <v/>
      </c>
      <c r="J18" s="20" t="n"/>
      <c r="K18" s="104" t="n"/>
    </row>
    <row r="19" ht="8" customHeight="1">
      <c r="A19" s="55" t="n"/>
      <c r="B19" s="55" t="n"/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</row>
    <row r="20" ht="22" customHeight="1">
      <c r="A20" s="107" t="inlineStr">
        <is>
          <r>
            <rPr>
              <rFont val="Arial"/>
              <b val="1"/>
              <color rgb="00FFFFFF"/>
              <sz val="10"/>
            </rPr>
            <t>Gráfico de Pareto</t>
          </r>
          <r>
            <rPr>
              <rFont val="Arial"/>
              <color rgb="00D3DEEC"/>
              <sz val="8"/>
            </rPr>
            <t xml:space="preserve">   barras = valor, linha = % acumulado</t>
          </r>
        </is>
      </c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9" t="n"/>
    </row>
    <row r="21" ht="19" customHeight="1">
      <c r="A21" s="134" t="n"/>
      <c r="B21" s="135" t="n"/>
      <c r="C21" s="135" t="n"/>
      <c r="D21" s="135" t="n"/>
      <c r="E21" s="135" t="n"/>
      <c r="F21" s="135" t="n"/>
      <c r="G21" s="135" t="n"/>
      <c r="H21" s="135" t="n"/>
      <c r="I21" s="135" t="n"/>
      <c r="J21" s="135" t="n"/>
      <c r="K21" s="136" t="n"/>
    </row>
    <row r="22" ht="19" customHeight="1">
      <c r="A22" s="134" t="n"/>
      <c r="B22" s="135" t="n"/>
      <c r="C22" s="135" t="n"/>
      <c r="D22" s="135" t="n"/>
      <c r="E22" s="135" t="n"/>
      <c r="F22" s="135" t="n"/>
      <c r="G22" s="135" t="n"/>
      <c r="H22" s="135" t="n"/>
      <c r="I22" s="135" t="n"/>
      <c r="J22" s="135" t="n"/>
      <c r="K22" s="136" t="n"/>
    </row>
    <row r="23" ht="19" customHeight="1">
      <c r="A23" s="134" t="n"/>
      <c r="B23" s="135" t="n"/>
      <c r="C23" s="135" t="n"/>
      <c r="D23" s="135" t="n"/>
      <c r="E23" s="135" t="n"/>
      <c r="F23" s="135" t="n"/>
      <c r="G23" s="135" t="n"/>
      <c r="H23" s="135" t="n"/>
      <c r="I23" s="135" t="n"/>
      <c r="J23" s="135" t="n"/>
      <c r="K23" s="136" t="n"/>
    </row>
    <row r="24" ht="19" customHeight="1">
      <c r="A24" s="134" t="n"/>
      <c r="B24" s="135" t="n"/>
      <c r="C24" s="135" t="n"/>
      <c r="D24" s="135" t="n"/>
      <c r="E24" s="135" t="n"/>
      <c r="F24" s="135" t="n"/>
      <c r="G24" s="135" t="n"/>
      <c r="H24" s="135" t="n"/>
      <c r="I24" s="135" t="n"/>
      <c r="J24" s="135" t="n"/>
      <c r="K24" s="136" t="n"/>
    </row>
    <row r="25" ht="19" customHeight="1">
      <c r="A25" s="134" t="n"/>
      <c r="B25" s="135" t="n"/>
      <c r="C25" s="135" t="n"/>
      <c r="D25" s="135" t="n"/>
      <c r="E25" s="135" t="n"/>
      <c r="F25" s="135" t="n"/>
      <c r="G25" s="135" t="n"/>
      <c r="H25" s="135" t="n"/>
      <c r="I25" s="135" t="n"/>
      <c r="J25" s="135" t="n"/>
      <c r="K25" s="136" t="n"/>
    </row>
    <row r="26" ht="19" customHeight="1">
      <c r="A26" s="134" t="n"/>
      <c r="B26" s="135" t="n"/>
      <c r="C26" s="135" t="n"/>
      <c r="D26" s="135" t="n"/>
      <c r="E26" s="135" t="n"/>
      <c r="F26" s="135" t="n"/>
      <c r="G26" s="135" t="n"/>
      <c r="H26" s="135" t="n"/>
      <c r="I26" s="135" t="n"/>
      <c r="J26" s="135" t="n"/>
      <c r="K26" s="136" t="n"/>
    </row>
    <row r="27" ht="19" customHeight="1">
      <c r="A27" s="134" t="n"/>
      <c r="B27" s="135" t="n"/>
      <c r="C27" s="135" t="n"/>
      <c r="D27" s="135" t="n"/>
      <c r="E27" s="135" t="n"/>
      <c r="F27" s="135" t="n"/>
      <c r="G27" s="135" t="n"/>
      <c r="H27" s="135" t="n"/>
      <c r="I27" s="135" t="n"/>
      <c r="J27" s="135" t="n"/>
      <c r="K27" s="136" t="n"/>
    </row>
    <row r="28" ht="19" customHeight="1">
      <c r="A28" s="134" t="n"/>
      <c r="B28" s="135" t="n"/>
      <c r="C28" s="135" t="n"/>
      <c r="D28" s="135" t="n"/>
      <c r="E28" s="135" t="n"/>
      <c r="F28" s="135" t="n"/>
      <c r="G28" s="135" t="n"/>
      <c r="H28" s="135" t="n"/>
      <c r="I28" s="135" t="n"/>
      <c r="J28" s="135" t="n"/>
      <c r="K28" s="136" t="n"/>
    </row>
    <row r="29" ht="19" customHeight="1">
      <c r="A29" s="134" t="n"/>
      <c r="B29" s="135" t="n"/>
      <c r="C29" s="135" t="n"/>
      <c r="D29" s="135" t="n"/>
      <c r="E29" s="135" t="n"/>
      <c r="F29" s="135" t="n"/>
      <c r="G29" s="135" t="n"/>
      <c r="H29" s="135" t="n"/>
      <c r="I29" s="135" t="n"/>
      <c r="J29" s="135" t="n"/>
      <c r="K29" s="136" t="n"/>
    </row>
    <row r="30" ht="19" customHeight="1">
      <c r="A30" s="134" t="n"/>
      <c r="B30" s="135" t="n"/>
      <c r="C30" s="135" t="n"/>
      <c r="D30" s="135" t="n"/>
      <c r="E30" s="135" t="n"/>
      <c r="F30" s="135" t="n"/>
      <c r="G30" s="135" t="n"/>
      <c r="H30" s="135" t="n"/>
      <c r="I30" s="135" t="n"/>
      <c r="J30" s="135" t="n"/>
      <c r="K30" s="136" t="n"/>
    </row>
    <row r="31" ht="19" customHeight="1">
      <c r="A31" s="134" t="n"/>
      <c r="B31" s="135" t="n"/>
      <c r="C31" s="135" t="n"/>
      <c r="D31" s="135" t="n"/>
      <c r="E31" s="135" t="n"/>
      <c r="F31" s="135" t="n"/>
      <c r="G31" s="135" t="n"/>
      <c r="H31" s="135" t="n"/>
      <c r="I31" s="135" t="n"/>
      <c r="J31" s="135" t="n"/>
      <c r="K31" s="136" t="n"/>
    </row>
    <row r="32" ht="19" customHeight="1">
      <c r="A32" s="134" t="n"/>
      <c r="B32" s="135" t="n"/>
      <c r="C32" s="135" t="n"/>
      <c r="D32" s="135" t="n"/>
      <c r="E32" s="135" t="n"/>
      <c r="F32" s="135" t="n"/>
      <c r="G32" s="135" t="n"/>
      <c r="H32" s="135" t="n"/>
      <c r="I32" s="135" t="n"/>
      <c r="J32" s="135" t="n"/>
      <c r="K32" s="136" t="n"/>
    </row>
    <row r="33" ht="19" customHeight="1">
      <c r="A33" s="134" t="n"/>
      <c r="B33" s="135" t="n"/>
      <c r="C33" s="135" t="n"/>
      <c r="D33" s="135" t="n"/>
      <c r="E33" s="135" t="n"/>
      <c r="F33" s="135" t="n"/>
      <c r="G33" s="135" t="n"/>
      <c r="H33" s="135" t="n"/>
      <c r="I33" s="135" t="n"/>
      <c r="J33" s="135" t="n"/>
      <c r="K33" s="136" t="n"/>
    </row>
    <row r="34" ht="19" customHeight="1">
      <c r="A34" s="134" t="n"/>
      <c r="B34" s="135" t="n"/>
      <c r="C34" s="135" t="n"/>
      <c r="D34" s="135" t="n"/>
      <c r="E34" s="135" t="n"/>
      <c r="F34" s="135" t="n"/>
      <c r="G34" s="135" t="n"/>
      <c r="H34" s="135" t="n"/>
      <c r="I34" s="135" t="n"/>
      <c r="J34" s="135" t="n"/>
      <c r="K34" s="136" t="n"/>
    </row>
    <row r="35" ht="19" customHeight="1">
      <c r="A35" s="137" t="n"/>
      <c r="B35" s="105" t="n"/>
      <c r="C35" s="105" t="n"/>
      <c r="D35" s="105" t="n"/>
      <c r="E35" s="105" t="n"/>
      <c r="F35" s="105" t="n"/>
      <c r="G35" s="105" t="n"/>
      <c r="H35" s="105" t="n"/>
      <c r="I35" s="105" t="n"/>
      <c r="J35" s="105" t="n"/>
      <c r="K35" s="138" t="n"/>
    </row>
    <row r="36">
      <c r="A36" s="55" t="n"/>
      <c r="B36" s="55" t="n"/>
      <c r="C36" s="55" t="n"/>
      <c r="D36" s="55" t="n"/>
      <c r="E36" s="55" t="n"/>
      <c r="F36" s="55" t="n"/>
      <c r="G36" s="55" t="n"/>
      <c r="H36" s="55" t="n"/>
      <c r="I36" s="55" t="n"/>
      <c r="J36" s="55" t="n"/>
      <c r="K36" s="55" t="n"/>
    </row>
  </sheetData>
  <mergeCells count="16">
    <mergeCell ref="A4:B4"/>
    <mergeCell ref="G4:H4"/>
    <mergeCell ref="C2:H2"/>
    <mergeCell ref="I2:K2"/>
    <mergeCell ref="A20:K20"/>
    <mergeCell ref="I1:K1"/>
    <mergeCell ref="C4:E4"/>
    <mergeCell ref="C3:E3"/>
    <mergeCell ref="A1:B2"/>
    <mergeCell ref="I4:K4"/>
    <mergeCell ref="I3:K3"/>
    <mergeCell ref="A6:E6"/>
    <mergeCell ref="G6:K6"/>
    <mergeCell ref="A3:B3"/>
    <mergeCell ref="G3:H3"/>
    <mergeCell ref="C1:H1"/>
  </mergeCells>
  <conditionalFormatting sqref="G8:K17">
    <cfRule type="expression" priority="1" dxfId="3" stopIfTrue="0">
      <formula>AND($K8&lt;&gt;"",OR($K8&lt;=0.8,N($K7)&lt;0.8))</formula>
    </cfRule>
  </conditionalFormatting>
  <dataValidations count="2">
    <dataValidation sqref="I4" showDropDown="0" showInputMessage="0" showErrorMessage="1" allowBlank="1" errorTitle="Valor fora da lista" error="Escolha um item da lista." type="list" errorStyle="stop">
      <formula1>"Quantidade,Custo total"</formula1>
    </dataValidation>
    <dataValidation sqref="C8:C17" showDropDown="0" showInputMessage="0" showErrorMessage="1" allowBlank="1" errorTitle="Número inválido" error="Digite um número inteiro maior ou igual a 0." type="whole" errorStyle="stop" operator="greaterThanOrEqual">
      <formula1>0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&amp;K4A5668PCM-MAN-008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J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20" customWidth="1" min="4" max="4"/>
    <col width="3" customWidth="1" min="5" max="5"/>
    <col width="30" customWidth="1" min="6" max="6"/>
    <col width="3" customWidth="1" min="7" max="7"/>
    <col width="30" customWidth="1" min="8" max="8"/>
    <col width="3" customWidth="1" min="9" max="9"/>
    <col width="24" customWidth="1" min="10" max="10"/>
  </cols>
  <sheetData>
    <row r="1" ht="30.75" customHeight="1">
      <c r="A1" s="91" t="n"/>
      <c r="B1" s="92" t="n"/>
      <c r="C1" s="93" t="inlineStr">
        <is>
          <t>Cadastros</t>
        </is>
      </c>
      <c r="D1" s="94" t="n"/>
      <c r="E1" s="94" t="n"/>
      <c r="F1" s="94" t="n"/>
      <c r="G1" s="92" t="n"/>
      <c r="H1" s="95">
        <f>"Rev. "&amp;'Leia-me'!$D$15&amp;"   ·   "&amp;'Leia-me'!$D$16</f>
        <v/>
      </c>
      <c r="I1" s="94" t="n"/>
      <c r="J1" s="92" t="n"/>
    </row>
    <row r="2" ht="28" customHeight="1">
      <c r="A2" s="96" t="n"/>
      <c r="B2" s="97" t="n"/>
      <c r="C2" s="98" t="inlineStr">
        <is>
          <t>Objetivo: Cadastre aqui os itens usados nas listas (▼) das outras abas.</t>
        </is>
      </c>
      <c r="D2" s="99" t="n"/>
      <c r="E2" s="99" t="n"/>
      <c r="F2" s="99" t="n"/>
      <c r="G2" s="97" t="n"/>
      <c r="H2" s="98">
        <f>"Elaborado: "&amp;'Leia-me'!$D$13&amp;"   ·   Aprovado: "&amp;'Leia-me'!$D$14</f>
        <v/>
      </c>
      <c r="I2" s="99" t="n"/>
      <c r="J2" s="97" t="n"/>
    </row>
    <row r="3" ht="32" customHeight="1">
      <c r="A3" s="72" t="inlineStr">
        <is>
          <t>TAG</t>
        </is>
      </c>
      <c r="B3" s="73" t="inlineStr">
        <is>
          <t>Equipamento</t>
        </is>
      </c>
      <c r="C3" s="73" t="inlineStr">
        <is>
          <t>Família de equipamento ▼</t>
        </is>
      </c>
      <c r="D3" s="74" t="inlineStr">
        <is>
          <t>Setor ▼</t>
        </is>
      </c>
      <c r="F3" s="139" t="inlineStr">
        <is>
          <t>Responsável</t>
        </is>
      </c>
      <c r="H3" s="139" t="inlineStr">
        <is>
          <t>Família de equipamento</t>
        </is>
      </c>
      <c r="J3" s="139" t="inlineStr">
        <is>
          <t>Setor</t>
        </is>
      </c>
    </row>
    <row r="4" hidden="1">
      <c r="A4" s="75" t="inlineStr">
        <is>
          <t>tag</t>
        </is>
      </c>
      <c r="B4" s="75" t="inlineStr">
        <is>
          <t>descricao_ativo</t>
        </is>
      </c>
      <c r="C4" s="75" t="inlineStr">
        <is>
          <t>familia</t>
        </is>
      </c>
      <c r="D4" s="75" t="inlineStr">
        <is>
          <t>setor</t>
        </is>
      </c>
      <c r="F4" s="75" t="inlineStr">
        <is>
          <t>nome_pessoa</t>
        </is>
      </c>
      <c r="H4" s="75" t="inlineStr">
        <is>
          <t>nome_familia</t>
        </is>
      </c>
      <c r="J4" s="75" t="inlineStr">
        <is>
          <t>nome_setor</t>
        </is>
      </c>
    </row>
    <row r="5" ht="22" customHeight="1">
      <c r="A5" s="76" t="n"/>
      <c r="B5" s="140" t="n"/>
      <c r="C5" s="140" t="n"/>
      <c r="D5" s="141" t="n"/>
      <c r="F5" s="142" t="n"/>
      <c r="H5" s="142" t="n"/>
      <c r="J5" s="142" t="n"/>
    </row>
    <row r="6" ht="22" customHeight="1">
      <c r="A6" s="76" t="n"/>
      <c r="B6" s="140" t="n"/>
      <c r="C6" s="140" t="n"/>
      <c r="D6" s="141" t="n"/>
      <c r="F6" s="142" t="n"/>
      <c r="H6" s="142" t="n"/>
      <c r="J6" s="142" t="n"/>
    </row>
    <row r="7" ht="22" customHeight="1">
      <c r="A7" s="76" t="n"/>
      <c r="B7" s="140" t="n"/>
      <c r="C7" s="140" t="n"/>
      <c r="D7" s="141" t="n"/>
      <c r="F7" s="142" t="n"/>
      <c r="H7" s="142" t="n"/>
      <c r="J7" s="142" t="n"/>
    </row>
    <row r="8" ht="22" customHeight="1">
      <c r="A8" s="76" t="n"/>
      <c r="B8" s="140" t="n"/>
      <c r="C8" s="140" t="n"/>
      <c r="D8" s="141" t="n"/>
      <c r="F8" s="142" t="n"/>
      <c r="H8" s="142" t="n"/>
      <c r="J8" s="142" t="n"/>
    </row>
    <row r="9" ht="22" customHeight="1">
      <c r="A9" s="76" t="n"/>
      <c r="B9" s="140" t="n"/>
      <c r="C9" s="140" t="n"/>
      <c r="D9" s="141" t="n"/>
      <c r="F9" s="142" t="n"/>
      <c r="H9" s="142" t="n"/>
      <c r="J9" s="142" t="n"/>
    </row>
    <row r="10" ht="22" customHeight="1">
      <c r="A10" s="76" t="n"/>
      <c r="B10" s="140" t="n"/>
      <c r="C10" s="140" t="n"/>
      <c r="D10" s="141" t="n"/>
      <c r="F10" s="142" t="n"/>
      <c r="H10" s="142" t="n"/>
      <c r="J10" s="142" t="n"/>
    </row>
    <row r="11" ht="22" customHeight="1">
      <c r="A11" s="76" t="n"/>
      <c r="B11" s="140" t="n"/>
      <c r="C11" s="140" t="n"/>
      <c r="D11" s="141" t="n"/>
      <c r="F11" s="142" t="n"/>
      <c r="H11" s="142" t="n"/>
      <c r="J11" s="142" t="n"/>
    </row>
    <row r="12" ht="22" customHeight="1">
      <c r="A12" s="76" t="n"/>
      <c r="B12" s="140" t="n"/>
      <c r="C12" s="140" t="n"/>
      <c r="D12" s="141" t="n"/>
      <c r="F12" s="142" t="n"/>
      <c r="H12" s="142" t="n"/>
      <c r="J12" s="142" t="n"/>
    </row>
    <row r="13" ht="22" customHeight="1">
      <c r="A13" s="76" t="n"/>
      <c r="B13" s="140" t="n"/>
      <c r="C13" s="140" t="n"/>
      <c r="D13" s="141" t="n"/>
      <c r="F13" s="142" t="n"/>
      <c r="H13" s="142" t="n"/>
      <c r="J13" s="142" t="n"/>
    </row>
    <row r="14" ht="22" customHeight="1">
      <c r="A14" s="76" t="n"/>
      <c r="B14" s="140" t="n"/>
      <c r="C14" s="140" t="n"/>
      <c r="D14" s="141" t="n"/>
      <c r="F14" s="142" t="n"/>
      <c r="H14" s="142" t="n"/>
      <c r="J14" s="142" t="n"/>
    </row>
    <row r="15" ht="22" customHeight="1">
      <c r="A15" s="76" t="n"/>
      <c r="B15" s="140" t="n"/>
      <c r="C15" s="140" t="n"/>
      <c r="D15" s="141" t="n"/>
      <c r="F15" s="142" t="n"/>
      <c r="H15" s="142" t="n"/>
      <c r="J15" s="142" t="n"/>
    </row>
    <row r="16" ht="22" customHeight="1">
      <c r="A16" s="76" t="n"/>
      <c r="B16" s="140" t="n"/>
      <c r="C16" s="140" t="n"/>
      <c r="D16" s="141" t="n"/>
      <c r="F16" s="142" t="n"/>
      <c r="H16" s="142" t="n"/>
      <c r="J16" s="142" t="n"/>
    </row>
    <row r="17" ht="22" customHeight="1">
      <c r="A17" s="76" t="n"/>
      <c r="B17" s="140" t="n"/>
      <c r="C17" s="140" t="n"/>
      <c r="D17" s="141" t="n"/>
      <c r="F17" s="142" t="n"/>
      <c r="H17" s="142" t="n"/>
      <c r="J17" s="142" t="n"/>
    </row>
    <row r="18" ht="22" customHeight="1">
      <c r="A18" s="76" t="n"/>
      <c r="B18" s="140" t="n"/>
      <c r="C18" s="140" t="n"/>
      <c r="D18" s="141" t="n"/>
      <c r="F18" s="142" t="n"/>
      <c r="H18" s="142" t="n"/>
      <c r="J18" s="142" t="n"/>
    </row>
    <row r="19" ht="22" customHeight="1">
      <c r="A19" s="76" t="n"/>
      <c r="B19" s="140" t="n"/>
      <c r="C19" s="140" t="n"/>
      <c r="D19" s="141" t="n"/>
      <c r="F19" s="142" t="n"/>
      <c r="H19" s="142" t="n"/>
      <c r="J19" s="142" t="n"/>
    </row>
    <row r="20" ht="22" customHeight="1">
      <c r="A20" s="76" t="n"/>
      <c r="B20" s="140" t="n"/>
      <c r="C20" s="140" t="n"/>
      <c r="D20" s="141" t="n"/>
      <c r="F20" s="142" t="n"/>
      <c r="H20" s="142" t="n"/>
      <c r="J20" s="142" t="n"/>
    </row>
    <row r="21" ht="22" customHeight="1">
      <c r="A21" s="76" t="n"/>
      <c r="B21" s="140" t="n"/>
      <c r="C21" s="140" t="n"/>
      <c r="D21" s="141" t="n"/>
      <c r="F21" s="142" t="n"/>
      <c r="H21" s="142" t="n"/>
      <c r="J21" s="142" t="n"/>
    </row>
    <row r="22" ht="22" customHeight="1">
      <c r="A22" s="76" t="n"/>
      <c r="B22" s="140" t="n"/>
      <c r="C22" s="140" t="n"/>
      <c r="D22" s="141" t="n"/>
      <c r="F22" s="142" t="n"/>
      <c r="H22" s="142" t="n"/>
      <c r="J22" s="142" t="n"/>
    </row>
    <row r="23" ht="22" customHeight="1">
      <c r="A23" s="76" t="n"/>
      <c r="B23" s="140" t="n"/>
      <c r="C23" s="140" t="n"/>
      <c r="D23" s="141" t="n"/>
      <c r="F23" s="142" t="n"/>
      <c r="H23" s="142" t="n"/>
      <c r="J23" s="142" t="n"/>
    </row>
    <row r="24" ht="22" customHeight="1">
      <c r="A24" s="76" t="n"/>
      <c r="B24" s="140" t="n"/>
      <c r="C24" s="140" t="n"/>
      <c r="D24" s="141" t="n"/>
      <c r="F24" s="142" t="n"/>
      <c r="H24" s="142" t="n"/>
      <c r="J24" s="142" t="n"/>
    </row>
    <row r="25" ht="22" customHeight="1">
      <c r="A25" s="76" t="n"/>
      <c r="B25" s="140" t="n"/>
      <c r="C25" s="140" t="n"/>
      <c r="D25" s="141" t="n"/>
      <c r="F25" s="142" t="n"/>
      <c r="H25" s="142" t="n"/>
      <c r="J25" s="142" t="n"/>
    </row>
    <row r="26" ht="22" customHeight="1">
      <c r="A26" s="76" t="n"/>
      <c r="B26" s="140" t="n"/>
      <c r="C26" s="140" t="n"/>
      <c r="D26" s="141" t="n"/>
      <c r="F26" s="142" t="n"/>
      <c r="H26" s="142" t="n"/>
      <c r="J26" s="142" t="n"/>
    </row>
    <row r="27" ht="22" customHeight="1">
      <c r="A27" s="76" t="n"/>
      <c r="B27" s="140" t="n"/>
      <c r="C27" s="140" t="n"/>
      <c r="D27" s="141" t="n"/>
      <c r="F27" s="142" t="n"/>
      <c r="H27" s="142" t="n"/>
      <c r="J27" s="142" t="n"/>
    </row>
    <row r="28" ht="22" customHeight="1">
      <c r="A28" s="76" t="n"/>
      <c r="B28" s="140" t="n"/>
      <c r="C28" s="140" t="n"/>
      <c r="D28" s="141" t="n"/>
      <c r="F28" s="142" t="n"/>
      <c r="H28" s="142" t="n"/>
      <c r="J28" s="142" t="n"/>
    </row>
    <row r="29" ht="22" customHeight="1">
      <c r="A29" s="83" t="n"/>
      <c r="B29" s="143" t="n"/>
      <c r="C29" s="143" t="n"/>
      <c r="D29" s="144" t="n"/>
      <c r="F29" s="145" t="n"/>
      <c r="H29" s="145" t="n"/>
      <c r="J29" s="145" t="n"/>
    </row>
    <row r="30" ht="20" customHeight="1">
      <c r="A30" s="90" t="inlineStr">
        <is>
          <t xml:space="preserve"> </t>
        </is>
      </c>
    </row>
  </sheetData>
  <mergeCells count="6">
    <mergeCell ref="H1:J1"/>
    <mergeCell ref="C2:G2"/>
    <mergeCell ref="C1:G1"/>
    <mergeCell ref="A30:J30"/>
    <mergeCell ref="H2:J2"/>
    <mergeCell ref="A1:B2"/>
  </mergeCells>
  <dataValidations count="2">
    <dataValidation sqref="C5:C29" showDropDown="0" showInputMessage="0" showErrorMessage="1" allowBlank="1" errorTitle="Valor fora da lista" error="Escolha um item da lista." type="list" errorStyle="stop">
      <formula1>L_FAMILIAS</formula1>
    </dataValidation>
    <dataValidation sqref="D5:D29" showDropDown="0" showInputMessage="0" showErrorMessage="1" allowBlank="1" errorTitle="Valor fora da lista" error="Escolha um item da lista." type="list" errorStyle="stop">
      <formula1>L_SETORES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&amp;K4A5668PCM-MAN-008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6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E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0" customWidth="1" min="3" max="3"/>
    <col width="30" customWidth="1" min="4" max="4"/>
    <col width="30" customWidth="1" min="5" max="5"/>
  </cols>
  <sheetData>
    <row r="1" ht="30.75" customHeight="1">
      <c r="A1" s="91" t="n"/>
      <c r="B1" s="92" t="n"/>
      <c r="C1" s="40" t="inlineStr">
        <is>
          <t>Revisões</t>
        </is>
      </c>
      <c r="D1" s="95">
        <f>"Rev. "&amp;'Leia-me'!$D$15&amp;"   ·   "&amp;'Leia-me'!$D$16</f>
        <v/>
      </c>
      <c r="E1" s="92" t="n"/>
    </row>
    <row r="2" ht="28" customHeight="1">
      <c r="A2" s="96" t="n"/>
      <c r="B2" s="97" t="n"/>
      <c r="C2" s="45" t="inlineStr">
        <is>
          <t>Objetivo: Registre cada alteração do modelo; a última linha alimenta Rev. e data do cabeçalho.</t>
        </is>
      </c>
      <c r="D2" s="98">
        <f>"Elaborado: "&amp;'Leia-me'!$D$13&amp;"   ·   Aprovado: "&amp;'Leia-me'!$D$14</f>
        <v/>
      </c>
      <c r="E2" s="97" t="n"/>
    </row>
    <row r="3" ht="26" customHeight="1">
      <c r="A3" s="72" t="inlineStr">
        <is>
          <t>Rev</t>
        </is>
      </c>
      <c r="B3" s="73" t="inlineStr">
        <is>
          <t>Data</t>
        </is>
      </c>
      <c r="C3" s="73" t="inlineStr">
        <is>
          <t>Descrição da alteração</t>
        </is>
      </c>
      <c r="D3" s="73" t="inlineStr">
        <is>
          <t>Elaborado por</t>
        </is>
      </c>
      <c r="E3" s="74" t="inlineStr">
        <is>
          <t>Aprovado por</t>
        </is>
      </c>
    </row>
    <row r="4" hidden="1">
      <c r="A4" s="75" t="inlineStr">
        <is>
          <t>revisao</t>
        </is>
      </c>
      <c r="B4" s="75" t="inlineStr">
        <is>
          <t>data_revisao</t>
        </is>
      </c>
      <c r="C4" s="75" t="inlineStr">
        <is>
          <t>descricao_alteracao</t>
        </is>
      </c>
      <c r="D4" s="75" t="inlineStr">
        <is>
          <t>elaborado_por</t>
        </is>
      </c>
      <c r="E4" s="75" t="inlineStr">
        <is>
          <t>aprovado_por</t>
        </is>
      </c>
    </row>
    <row r="5" ht="22" customHeight="1">
      <c r="A5" s="146" t="inlineStr">
        <is>
          <t>00</t>
        </is>
      </c>
      <c r="B5" s="147" t="n">
        <v>46325</v>
      </c>
      <c r="C5" s="80" t="inlineStr">
        <is>
          <t>Emissão inicial</t>
        </is>
      </c>
      <c r="D5" s="140" t="n"/>
      <c r="E5" s="141" t="n"/>
    </row>
    <row r="6" ht="22" customHeight="1">
      <c r="A6" s="146" t="n"/>
      <c r="B6" s="147" t="n"/>
      <c r="C6" s="80" t="n"/>
      <c r="D6" s="140" t="n"/>
      <c r="E6" s="141" t="n"/>
    </row>
    <row r="7" ht="22" customHeight="1">
      <c r="A7" s="146" t="n"/>
      <c r="B7" s="147" t="n"/>
      <c r="C7" s="80" t="n"/>
      <c r="D7" s="140" t="n"/>
      <c r="E7" s="141" t="n"/>
    </row>
    <row r="8" ht="22" customHeight="1">
      <c r="A8" s="146" t="n"/>
      <c r="B8" s="147" t="n"/>
      <c r="C8" s="80" t="n"/>
      <c r="D8" s="140" t="n"/>
      <c r="E8" s="141" t="n"/>
    </row>
    <row r="9" ht="22" customHeight="1">
      <c r="A9" s="146" t="n"/>
      <c r="B9" s="147" t="n"/>
      <c r="C9" s="80" t="n"/>
      <c r="D9" s="140" t="n"/>
      <c r="E9" s="141" t="n"/>
    </row>
    <row r="10" ht="22" customHeight="1">
      <c r="A10" s="146" t="n"/>
      <c r="B10" s="147" t="n"/>
      <c r="C10" s="80" t="n"/>
      <c r="D10" s="140" t="n"/>
      <c r="E10" s="141" t="n"/>
    </row>
    <row r="11" ht="22" customHeight="1">
      <c r="A11" s="146" t="n"/>
      <c r="B11" s="147" t="n"/>
      <c r="C11" s="80" t="n"/>
      <c r="D11" s="140" t="n"/>
      <c r="E11" s="141" t="n"/>
    </row>
    <row r="12" ht="22" customHeight="1">
      <c r="A12" s="146" t="n"/>
      <c r="B12" s="147" t="n"/>
      <c r="C12" s="80" t="n"/>
      <c r="D12" s="140" t="n"/>
      <c r="E12" s="141" t="n"/>
    </row>
    <row r="13" ht="22" customHeight="1">
      <c r="A13" s="146" t="n"/>
      <c r="B13" s="147" t="n"/>
      <c r="C13" s="80" t="n"/>
      <c r="D13" s="140" t="n"/>
      <c r="E13" s="141" t="n"/>
    </row>
    <row r="14" ht="22" customHeight="1">
      <c r="A14" s="146" t="n"/>
      <c r="B14" s="147" t="n"/>
      <c r="C14" s="80" t="n"/>
      <c r="D14" s="140" t="n"/>
      <c r="E14" s="141" t="n"/>
    </row>
    <row r="15" ht="22" customHeight="1">
      <c r="A15" s="146" t="n"/>
      <c r="B15" s="147" t="n"/>
      <c r="C15" s="80" t="n"/>
      <c r="D15" s="140" t="n"/>
      <c r="E15" s="141" t="n"/>
    </row>
    <row r="16" ht="22" customHeight="1">
      <c r="A16" s="146" t="n"/>
      <c r="B16" s="147" t="n"/>
      <c r="C16" s="80" t="n"/>
      <c r="D16" s="140" t="n"/>
      <c r="E16" s="141" t="n"/>
    </row>
    <row r="17" ht="22" customHeight="1">
      <c r="A17" s="146" t="n"/>
      <c r="B17" s="147" t="n"/>
      <c r="C17" s="80" t="n"/>
      <c r="D17" s="140" t="n"/>
      <c r="E17" s="141" t="n"/>
    </row>
    <row r="18" ht="22" customHeight="1">
      <c r="A18" s="146" t="n"/>
      <c r="B18" s="147" t="n"/>
      <c r="C18" s="80" t="n"/>
      <c r="D18" s="140" t="n"/>
      <c r="E18" s="141" t="n"/>
    </row>
    <row r="19" ht="22" customHeight="1">
      <c r="A19" s="146" t="n"/>
      <c r="B19" s="147" t="n"/>
      <c r="C19" s="80" t="n"/>
      <c r="D19" s="140" t="n"/>
      <c r="E19" s="141" t="n"/>
    </row>
    <row r="20" ht="22" customHeight="1">
      <c r="A20" s="146" t="n"/>
      <c r="B20" s="147" t="n"/>
      <c r="C20" s="80" t="n"/>
      <c r="D20" s="140" t="n"/>
      <c r="E20" s="141" t="n"/>
    </row>
    <row r="21" ht="22" customHeight="1">
      <c r="A21" s="146" t="n"/>
      <c r="B21" s="147" t="n"/>
      <c r="C21" s="80" t="n"/>
      <c r="D21" s="140" t="n"/>
      <c r="E21" s="141" t="n"/>
    </row>
    <row r="22" ht="22" customHeight="1">
      <c r="A22" s="146" t="n"/>
      <c r="B22" s="147" t="n"/>
      <c r="C22" s="80" t="n"/>
      <c r="D22" s="140" t="n"/>
      <c r="E22" s="141" t="n"/>
    </row>
    <row r="23" ht="22" customHeight="1">
      <c r="A23" s="146" t="n"/>
      <c r="B23" s="147" t="n"/>
      <c r="C23" s="80" t="n"/>
      <c r="D23" s="140" t="n"/>
      <c r="E23" s="141" t="n"/>
    </row>
    <row r="24" ht="22" customHeight="1">
      <c r="A24" s="146" t="n"/>
      <c r="B24" s="147" t="n"/>
      <c r="C24" s="80" t="n"/>
      <c r="D24" s="140" t="n"/>
      <c r="E24" s="141" t="n"/>
    </row>
    <row r="25" ht="22" customHeight="1">
      <c r="A25" s="146" t="n"/>
      <c r="B25" s="147" t="n"/>
      <c r="C25" s="80" t="n"/>
      <c r="D25" s="140" t="n"/>
      <c r="E25" s="141" t="n"/>
    </row>
    <row r="26" ht="22" customHeight="1">
      <c r="A26" s="146" t="n"/>
      <c r="B26" s="147" t="n"/>
      <c r="C26" s="80" t="n"/>
      <c r="D26" s="140" t="n"/>
      <c r="E26" s="141" t="n"/>
    </row>
    <row r="27" ht="22" customHeight="1">
      <c r="A27" s="146" t="n"/>
      <c r="B27" s="147" t="n"/>
      <c r="C27" s="80" t="n"/>
      <c r="D27" s="140" t="n"/>
      <c r="E27" s="141" t="n"/>
    </row>
    <row r="28" ht="22" customHeight="1">
      <c r="A28" s="146" t="n"/>
      <c r="B28" s="147" t="n"/>
      <c r="C28" s="80" t="n"/>
      <c r="D28" s="140" t="n"/>
      <c r="E28" s="141" t="n"/>
    </row>
    <row r="29" ht="22" customHeight="1">
      <c r="A29" s="148" t="n"/>
      <c r="B29" s="149" t="n"/>
      <c r="C29" s="87" t="n"/>
      <c r="D29" s="143" t="n"/>
      <c r="E29" s="144" t="n"/>
    </row>
    <row r="30" ht="20" customHeight="1">
      <c r="A30" s="90" t="inlineStr">
        <is>
          <t xml:space="preserve"> </t>
        </is>
      </c>
    </row>
  </sheetData>
  <mergeCells count="6">
    <mergeCell ref="A30:E30"/>
    <mergeCell ref="D2:E2"/>
    <mergeCell ref="D1:E1"/>
    <mergeCell ref="C1"/>
    <mergeCell ref="C2"/>
    <mergeCell ref="A1:B2"/>
  </mergeCells>
  <dataValidations count="1">
    <dataValidation sqref="B5:B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&amp;K4A5668PCM-MAN-008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2026-10-31T02:04:48Z</dcterms:created>
  <dcterms:modified xmlns:dcterms="http://purl.org/dc/terms/" xmlns:xsi="http://www.w3.org/2001/XMLSchema-instance" xsi:type="dcterms:W3CDTF">2026-10-31T02:04:48Z</dcterms:modified>
</cp:coreProperties>
</file>