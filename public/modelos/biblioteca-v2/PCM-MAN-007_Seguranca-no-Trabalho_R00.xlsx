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ermissão" sheetId="2" state="visible" r:id="rId2"/>
    <sheet xmlns:r="http://schemas.openxmlformats.org/officeDocument/2006/relationships" name="Etiqueta NÃO OPERAR" sheetId="3" state="visible" r:id="rId3"/>
    <sheet xmlns:r="http://schemas.openxmlformats.org/officeDocument/2006/relationships" name="Cruz de segurança" sheetId="4" state="visible" r:id="rId4"/>
    <sheet xmlns:r="http://schemas.openxmlformats.org/officeDocument/2006/relationships" name="Cadastros" sheetId="5" state="visible" r:id="rId5"/>
    <sheet xmlns:r="http://schemas.openxmlformats.org/officeDocument/2006/relationships" name="Revisões" sheetId="6" state="visible" r:id="rId6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'Leia-me'!$A$1:$G$32</definedName>
    <definedName name="_xlnm.Print_Area" localSheetId="1">'Permissão'!$A$1:$F$33</definedName>
    <definedName name="_xlnm.Print_Area" localSheetId="2">'Etiqueta NÃO OPERAR'!$A$1:$D$36</definedName>
    <definedName name="_xlnm.Print_Area" localSheetId="3">'Cruz de segurança'!$A$1:$M$24</definedName>
    <definedName name="_xlnm.Print_Titles" localSheetId="4">'Cadastros'!$1:$3</definedName>
    <definedName name="_xlnm.Print_Area" localSheetId="4">'Cadastros'!$A$1:$J$30</definedName>
    <definedName name="_xlnm.Print_Titles" localSheetId="5">'Revisões'!$1:$3</definedName>
    <definedName name="_xlnm.Print_Area" localSheetId="5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dd/mm/yyyy"/>
    <numFmt numFmtId="166" formatCode="0&quot; dias&quot;"/>
  </numFmts>
  <fonts count="30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FFFFFF"/>
      <sz val="8"/>
    </font>
    <font>
      <name val="Arial"/>
      <b val="1"/>
      <color rgb="000E1726"/>
      <sz val="9"/>
    </font>
    <font>
      <name val="Arial"/>
      <color rgb="000E1726"/>
      <sz val="9"/>
    </font>
    <font>
      <name val="Arial"/>
      <b val="1"/>
      <color rgb="000E1726"/>
      <sz val="11"/>
    </font>
    <font>
      <name val="Arial Black"/>
      <color rgb="000E1726"/>
      <sz val="16"/>
    </font>
    <font>
      <name val="Arial"/>
      <color rgb="004A5668"/>
      <sz val="8"/>
    </font>
    <font>
      <name val="Arial Black"/>
      <color rgb="000E1726"/>
      <sz val="10"/>
    </font>
    <font>
      <name val="Arial Black"/>
      <color rgb="00FFFFFF"/>
      <sz val="20"/>
    </font>
    <font>
      <name val="Arial"/>
      <b val="1"/>
      <color rgb="00FFFFFF"/>
      <sz val="9"/>
    </font>
    <font>
      <name val="Arial"/>
      <b val="1"/>
      <color rgb="006B7686"/>
      <sz val="8"/>
    </font>
    <font>
      <name val="Arial"/>
      <color rgb="000E1726"/>
      <sz val="8.5"/>
    </font>
    <font>
      <name val="Arial Black"/>
      <color rgb="000E1726"/>
      <sz val="18"/>
    </font>
    <font>
      <name val="Arial Black"/>
      <b val="1"/>
      <color rgb="000E1726"/>
      <sz val="14"/>
    </font>
    <font>
      <name val="Arial Black"/>
      <b val="1"/>
      <color rgb="001E7A46"/>
      <sz val="30"/>
    </font>
    <font>
      <name val="Arial Black"/>
      <color rgb="000E1726"/>
      <sz val="20"/>
    </font>
    <font>
      <name val="Arial"/>
      <color rgb="008A94A6"/>
      <sz val="7"/>
    </font>
    <font>
      <name val="Arial"/>
      <b val="1"/>
      <color rgb="000B2A5B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ECEFF3"/>
      </patternFill>
    </fill>
    <fill>
      <patternFill patternType="solid">
        <fgColor rgb="00B3261E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76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/>
      <right/>
      <top style="thin">
        <color rgb="00D3DEEC"/>
      </top>
      <bottom/>
      <diagonal/>
    </border>
    <border>
      <left/>
      <right/>
      <top/>
      <bottom style="thin">
        <color rgb="00D3DEEC"/>
      </bottom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/>
      <right style="thin">
        <color rgb="00D3DEEC"/>
      </right>
      <top style="thin">
        <color rgb="00D3DEEC"/>
      </top>
      <bottom/>
      <diagonal/>
    </border>
    <border>
      <left style="thin">
        <color rgb="00D3DEEC"/>
      </left>
      <right style="thin">
        <color rgb="00D3DEEC"/>
      </right>
    </border>
    <border>
      <left/>
      <right style="thin">
        <color rgb="00D3DEEC"/>
      </right>
      <top/>
      <bottom/>
      <diagonal/>
    </border>
    <border>
      <left style="thin">
        <color rgb="00D3DEEC"/>
      </left>
      <right/>
      <top/>
      <bottom/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/>
      <right/>
      <top/>
      <bottom style="thin">
        <color rgb="00D3DEEC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/>
      <right style="thin">
        <color rgb="00D3DEEC"/>
      </right>
      <top/>
      <bottom/>
    </border>
    <border>
      <top style="thin">
        <color rgb="00D3DEEC"/>
      </top>
      <bottom style="thin">
        <color rgb="00D3DEEC"/>
      </bottom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/>
      <top/>
      <bottom style="thin">
        <color rgb="00D3DEEC"/>
      </bottom>
      <diagonal/>
    </border>
    <border>
      <left style="thin">
        <color rgb="00B9C6DA"/>
      </left>
      <right style="thin">
        <color rgb="00B9C6DA"/>
      </right>
      <top style="thin">
        <color rgb="00B9C6DA"/>
      </top>
      <bottom style="thin">
        <color rgb="00B9C6DA"/>
      </bottom>
    </border>
    <border>
      <left/>
      <right style="thin">
        <color rgb="00D3DEEC"/>
      </right>
      <top/>
      <bottom style="thin">
        <color rgb="00D3DEEC"/>
      </bottom>
    </border>
    <border>
      <top style="thin">
        <color rgb="000B2A5B"/>
      </top>
    </border>
    <border>
      <bottom style="thin">
        <color rgb="000B2A5B"/>
      </bottom>
    </border>
    <border>
      <left style="thin">
        <color rgb="00D3DEEC"/>
      </left>
      <right/>
      <top/>
      <bottom/>
    </border>
    <border>
      <left style="thin">
        <color rgb="00D3DEEC"/>
      </left>
      <right/>
      <top/>
      <bottom style="thin">
        <color rgb="00D3DEEC"/>
      </bottom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bottom style="thin">
        <color rgb="00FFFFFF"/>
      </bottom>
    </border>
    <border>
      <top style="medium">
        <color rgb="000B2A5B"/>
      </top>
    </border>
    <border>
      <left style="thin">
        <color rgb="00D3DEEC"/>
      </left>
      <right style="thin">
        <color rgb="00D3DEEC"/>
      </right>
      <top style="thin">
        <color rgb="00D3DEEC"/>
      </top>
      <bottom/>
    </border>
    <border>
      <left style="thin">
        <color rgb="00D3DEEC"/>
      </left>
      <right/>
      <bottom style="thin">
        <color rgb="00D3DEEC"/>
      </bottom>
    </border>
    <border>
      <right/>
      <bottom style="thin">
        <color rgb="00D3DEEC"/>
      </bottom>
    </border>
    <border>
      <right style="thin">
        <color rgb="00D3DEEC"/>
      </right>
      <bottom/>
    </border>
    <border>
      <left style="thin">
        <color rgb="00D3DEEC"/>
      </left>
      <right/>
      <bottom/>
    </border>
    <border>
      <left/>
      <right/>
      <top style="thin">
        <color rgb="000B2A5B"/>
      </top>
      <bottom/>
      <diagonal/>
    </border>
    <border>
      <left/>
      <right style="thin">
        <color rgb="000B2A5B"/>
      </right>
      <top style="thin">
        <color rgb="000B2A5B"/>
      </top>
      <bottom/>
      <diagonal/>
    </border>
    <border>
      <left/>
      <right/>
      <top style="thin">
        <color rgb="00D3DEEC"/>
      </top>
      <bottom style="thin">
        <color rgb="00D3DEEC"/>
      </bottom>
      <diagonal/>
    </border>
    <border>
      <left/>
      <right style="thin">
        <color rgb="00D3DEEC"/>
      </right>
      <top style="thin">
        <color rgb="00D3DEEC"/>
      </top>
      <bottom style="thin">
        <color rgb="00D3DEEC"/>
      </bottom>
      <diagonal/>
    </border>
    <border>
      <left/>
      <right style="thin">
        <color rgb="000B2A5B"/>
      </right>
      <top/>
      <bottom/>
      <diagonal/>
    </border>
    <border>
      <left/>
      <right/>
      <top/>
      <bottom style="thin">
        <color rgb="000B2A5B"/>
      </bottom>
      <diagonal/>
    </border>
    <border>
      <left/>
      <right style="thin">
        <color rgb="000B2A5B"/>
      </right>
      <top/>
      <bottom style="thin">
        <color rgb="000B2A5B"/>
      </bottom>
      <diagonal/>
    </border>
    <border>
      <left style="thin">
        <color rgb="00D3DEEC"/>
      </left>
      <right style="thin">
        <color rgb="00D3DEEC"/>
      </right>
      <bottom/>
    </border>
    <border>
      <right/>
      <bottom/>
    </border>
    <border>
      <right/>
      <top style="thin">
        <color rgb="00D3DEEC"/>
      </top>
      <bottom/>
    </border>
    <border>
      <left style="thin">
        <color rgb="000B2A5B"/>
      </left>
      <right style="thin">
        <color rgb="000B2A5B"/>
      </right>
      <top style="thin">
        <color rgb="000B2A5B"/>
      </top>
      <bottom style="thin">
        <color rgb="000B2A5B"/>
      </bottom>
    </border>
    <border>
      <left style="thin">
        <color rgb="000B2A5B"/>
      </left>
      <right/>
      <top/>
      <bottom/>
      <diagonal/>
    </border>
    <border>
      <left style="thin">
        <color rgb="000B2A5B"/>
      </left>
      <right style="thin">
        <color rgb="000B2A5B"/>
      </right>
      <top/>
      <bottom/>
      <diagonal/>
    </border>
    <border>
      <left style="thin">
        <color rgb="000B2A5B"/>
      </left>
      <right style="thin">
        <color rgb="000B2A5B"/>
      </right>
      <top/>
      <bottom style="thin">
        <color rgb="000B2A5B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2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right" vertical="center"/>
    </xf>
    <xf numFmtId="0" fontId="0" fillId="0" borderId="48" pivotButton="0" quotePrefix="0" xfId="0"/>
    <xf numFmtId="0" fontId="21" fillId="0" borderId="48" applyAlignment="1" pivotButton="0" quotePrefix="0" xfId="0">
      <alignment horizontal="center" vertical="top"/>
    </xf>
    <xf numFmtId="0" fontId="21" fillId="0" borderId="48" applyAlignment="1" pivotButton="0" quotePrefix="0" xfId="0">
      <alignment horizontal="right" vertical="top"/>
    </xf>
    <xf numFmtId="0" fontId="23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6" borderId="49" applyAlignment="1" pivotButton="0" quotePrefix="0" xfId="0">
      <alignment vertical="center" indent="1"/>
    </xf>
    <xf numFmtId="0" fontId="0" fillId="6" borderId="51" pivotButton="0" quotePrefix="0" xfId="0"/>
    <xf numFmtId="0" fontId="0" fillId="6" borderId="53" applyAlignment="1" pivotButton="0" quotePrefix="0" xfId="0">
      <alignment vertical="center" indent="1"/>
    </xf>
    <xf numFmtId="0" fontId="13" fillId="6" borderId="50" applyAlignment="1" pivotButton="0" quotePrefix="0" xfId="0">
      <alignment vertical="top" wrapText="1" indent="1"/>
    </xf>
    <xf numFmtId="0" fontId="0" fillId="6" borderId="52" pivotButton="0" quotePrefix="0" xfId="0"/>
    <xf numFmtId="0" fontId="13" fillId="6" borderId="54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19" fillId="6" borderId="7" applyAlignment="1" pivotButton="0" quotePrefix="0" xfId="0">
      <alignment vertical="center" indent="1"/>
    </xf>
    <xf numFmtId="0" fontId="0" fillId="6" borderId="7" pivotButton="0" quotePrefix="0" xfId="0"/>
    <xf numFmtId="49" fontId="4" fillId="2" borderId="7" applyAlignment="1" pivotButton="0" quotePrefix="0" xfId="0">
      <alignment horizontal="left" vertical="center" wrapText="1" indent="1"/>
    </xf>
    <xf numFmtId="0" fontId="0" fillId="2" borderId="31" pivotButton="0" quotePrefix="0" xfId="0"/>
    <xf numFmtId="0" fontId="24" fillId="2" borderId="11" applyAlignment="1" pivotButton="0" quotePrefix="0" xfId="0">
      <alignment vertical="center" indent="1"/>
    </xf>
    <xf numFmtId="0" fontId="0" fillId="2" borderId="7" pivotButton="0" quotePrefix="0" xfId="0"/>
    <xf numFmtId="0" fontId="25" fillId="2" borderId="11" applyAlignment="1" pivotButton="0" quotePrefix="0" xfId="0">
      <alignment vertical="center" indent="1"/>
    </xf>
    <xf numFmtId="49" fontId="4" fillId="4" borderId="7" applyAlignment="1" pivotButton="0" quotePrefix="0" xfId="0">
      <alignment horizontal="left" vertical="center" wrapText="1" indent="1"/>
    </xf>
    <xf numFmtId="0" fontId="0" fillId="4" borderId="31" pivotButton="0" quotePrefix="0" xfId="0"/>
    <xf numFmtId="0" fontId="23" fillId="7" borderId="55" applyAlignment="1" pivotButton="0" quotePrefix="0" xfId="0">
      <alignment horizontal="center" vertical="center"/>
    </xf>
    <xf numFmtId="0" fontId="26" fillId="0" borderId="5" applyAlignment="1" pivotButton="0" quotePrefix="0" xfId="0">
      <alignment vertical="center" wrapText="1" indent="1"/>
    </xf>
    <xf numFmtId="0" fontId="5" fillId="0" borderId="5" applyAlignment="1" pivotButton="0" quotePrefix="0" xfId="0">
      <alignment vertical="center" wrapText="1" indent="1"/>
    </xf>
    <xf numFmtId="0" fontId="0" fillId="0" borderId="5" pivotButton="0" quotePrefix="0" xfId="0"/>
    <xf numFmtId="0" fontId="19" fillId="0" borderId="5" applyAlignment="1" pivotButton="0" quotePrefix="0" xfId="0">
      <alignment vertical="center" indent="1"/>
    </xf>
    <xf numFmtId="0" fontId="19" fillId="2" borderId="7" applyAlignment="1" pivotButton="0" quotePrefix="0" xfId="0">
      <alignment vertical="center" indent="1"/>
    </xf>
    <xf numFmtId="0" fontId="19" fillId="4" borderId="7" applyAlignment="1" pivotButton="0" quotePrefix="0" xfId="0">
      <alignment vertical="center" indent="1"/>
    </xf>
    <xf numFmtId="0" fontId="0" fillId="4" borderId="7" pivotButton="0" quotePrefix="0" xfId="0"/>
    <xf numFmtId="0" fontId="0" fillId="8" borderId="56" pivotButton="0" quotePrefix="0" xfId="0"/>
    <xf numFmtId="0" fontId="27" fillId="8" borderId="56" applyAlignment="1" pivotButton="0" quotePrefix="0" xfId="0">
      <alignment vertical="bottom" indent="1"/>
    </xf>
    <xf numFmtId="0" fontId="28" fillId="8" borderId="56" applyAlignment="1" pivotButton="0" quotePrefix="0" xfId="0">
      <alignment horizontal="right" vertical="bottom" indent="1"/>
    </xf>
    <xf numFmtId="0" fontId="0" fillId="8" borderId="0" pivotButton="0" quotePrefix="0" xfId="0"/>
    <xf numFmtId="0" fontId="29" fillId="8" borderId="0" applyAlignment="1" pivotButton="0" quotePrefix="0" xfId="0">
      <alignment vertical="top" wrapText="1" indent="1"/>
    </xf>
    <xf numFmtId="0" fontId="0" fillId="2" borderId="72" pivotButton="0" quotePrefix="0" xfId="0"/>
    <xf numFmtId="0" fontId="7" fillId="2" borderId="22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3" pivotButton="0" quotePrefix="0" xfId="0"/>
    <xf numFmtId="0" fontId="9" fillId="2" borderId="22" applyAlignment="1" pivotButton="0" quotePrefix="0" xfId="0">
      <alignment horizontal="center" vertical="center" shrinkToFit="1"/>
    </xf>
    <xf numFmtId="0" fontId="0" fillId="0" borderId="75" pivotButton="0" quotePrefix="0" xfId="0"/>
    <xf numFmtId="0" fontId="8" fillId="2" borderId="25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8" pivotButton="0" quotePrefix="0" xfId="0"/>
    <xf numFmtId="0" fontId="1" fillId="2" borderId="1" applyAlignment="1" pivotButton="0" quotePrefix="0" xfId="0">
      <alignment horizontal="left" vertical="bottom" indent="1"/>
    </xf>
    <xf numFmtId="0" fontId="1" fillId="2" borderId="2" applyAlignment="1" pivotButton="0" quotePrefix="0" xfId="0">
      <alignment horizontal="left" vertical="bottom" indent="1"/>
    </xf>
    <xf numFmtId="0" fontId="1" fillId="2" borderId="71" applyAlignment="1" pivotButton="0" quotePrefix="0" xfId="0">
      <alignment horizontal="left" vertical="bottom" indent="1"/>
    </xf>
    <xf numFmtId="0" fontId="0" fillId="0" borderId="8" pivotButton="0" quotePrefix="0" xfId="0"/>
    <xf numFmtId="0" fontId="1" fillId="2" borderId="3" applyAlignment="1" pivotButton="0" quotePrefix="0" xfId="0">
      <alignment horizontal="left" vertical="bottom" indent="1"/>
    </xf>
    <xf numFmtId="0" fontId="2" fillId="2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left" vertical="center" wrapText="1" indent="1"/>
    </xf>
    <xf numFmtId="0" fontId="4" fillId="4" borderId="7" applyAlignment="1" pivotButton="0" quotePrefix="0" xfId="0">
      <alignment horizontal="left" vertical="center" wrapText="1" indent="1"/>
    </xf>
    <xf numFmtId="0" fontId="0" fillId="0" borderId="65" pivotButton="0" quotePrefix="0" xfId="0"/>
    <xf numFmtId="0" fontId="0" fillId="2" borderId="0" pivotButton="0" quotePrefix="0" xfId="0"/>
    <xf numFmtId="0" fontId="0" fillId="3" borderId="57" applyAlignment="1" pivotButton="0" quotePrefix="0" xfId="0">
      <alignment horizontal="left" vertical="center" indent="1"/>
    </xf>
    <xf numFmtId="0" fontId="0" fillId="0" borderId="16" pivotButton="0" quotePrefix="0" xfId="0"/>
    <xf numFmtId="0" fontId="1" fillId="2" borderId="69" applyAlignment="1" pivotButton="0" quotePrefix="0" xfId="0">
      <alignment horizontal="left" vertical="bottom" indent="1"/>
    </xf>
    <xf numFmtId="0" fontId="0" fillId="0" borderId="18" pivotButton="0" quotePrefix="0" xfId="0"/>
    <xf numFmtId="0" fontId="2" fillId="2" borderId="7" applyAlignment="1" pivotButton="0" quotePrefix="0" xfId="0">
      <alignment horizontal="left" vertical="top" wrapText="1" indent="1"/>
    </xf>
    <xf numFmtId="0" fontId="0" fillId="0" borderId="33" pivotButton="0" quotePrefix="0" xfId="0"/>
    <xf numFmtId="0" fontId="0" fillId="0" borderId="9" pivotButton="0" quotePrefix="0" xfId="0"/>
    <xf numFmtId="0" fontId="0" fillId="0" borderId="20" pivotButton="0" quotePrefix="0" xfId="0"/>
    <xf numFmtId="0" fontId="1" fillId="2" borderId="61" applyAlignment="1" pivotButton="0" quotePrefix="0" xfId="0">
      <alignment horizontal="left" vertical="bottom" indent="1"/>
    </xf>
    <xf numFmtId="0" fontId="1" fillId="2" borderId="13" applyAlignment="1" pivotButton="0" quotePrefix="0" xfId="0">
      <alignment horizontal="left" vertical="bottom" indent="1"/>
    </xf>
    <xf numFmtId="0" fontId="1" fillId="2" borderId="60" applyAlignment="1" pivotButton="0" quotePrefix="0" xfId="0">
      <alignment horizontal="left" vertical="bottom" indent="1"/>
    </xf>
    <xf numFmtId="0" fontId="0" fillId="0" borderId="64" pivotButton="0" quotePrefix="0" xfId="0"/>
    <xf numFmtId="164" fontId="2" fillId="2" borderId="7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70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left" vertical="center" wrapText="1" indent="1"/>
    </xf>
    <xf numFmtId="0" fontId="5" fillId="2" borderId="59" applyAlignment="1" pivotButton="0" quotePrefix="0" xfId="0">
      <alignment horizontal="left" vertical="center" wrapText="1" indent="1"/>
    </xf>
    <xf numFmtId="0" fontId="5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4" fillId="2" borderId="58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6" fillId="4" borderId="69" applyAlignment="1" pivotButton="0" quotePrefix="0" xfId="0">
      <alignment horizontal="center" vertical="center" wrapText="1"/>
    </xf>
    <xf numFmtId="0" fontId="0" fillId="2" borderId="22" pivotButton="0" quotePrefix="0" xfId="0"/>
    <xf numFmtId="0" fontId="14" fillId="2" borderId="23" applyAlignment="1" pivotButton="0" quotePrefix="0" xfId="0">
      <alignment horizontal="center" vertical="center"/>
    </xf>
    <xf numFmtId="0" fontId="0" fillId="2" borderId="24" pivotButton="0" quotePrefix="0" xfId="0"/>
    <xf numFmtId="0" fontId="0" fillId="2" borderId="25" pivotButton="0" quotePrefix="0" xfId="0"/>
    <xf numFmtId="0" fontId="8" fillId="2" borderId="26" applyAlignment="1" pivotButton="0" quotePrefix="0" xfId="0">
      <alignment horizontal="center" vertical="center" wrapText="1"/>
    </xf>
    <xf numFmtId="0" fontId="0" fillId="2" borderId="27" pivotButton="0" quotePrefix="0" xfId="0"/>
    <xf numFmtId="0" fontId="10" fillId="5" borderId="15" applyAlignment="1" pivotButton="0" quotePrefix="0" xfId="0">
      <alignment horizontal="center" vertical="center"/>
    </xf>
    <xf numFmtId="0" fontId="0" fillId="5" borderId="28" pivotButton="0" quotePrefix="0" xfId="0"/>
    <xf numFmtId="0" fontId="0" fillId="5" borderId="29" pivotButton="0" quotePrefix="0" xfId="0"/>
    <xf numFmtId="0" fontId="11" fillId="5" borderId="17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30" pivotButton="0" quotePrefix="0" xfId="0"/>
    <xf numFmtId="0" fontId="1" fillId="2" borderId="12" applyAlignment="1" pivotButton="0" quotePrefix="0" xfId="0">
      <alignment horizontal="left" vertical="bottom" indent="1"/>
    </xf>
    <xf numFmtId="0" fontId="1" fillId="2" borderId="14" applyAlignment="1" pivotButton="0" quotePrefix="0" xfId="0">
      <alignment horizontal="left" vertical="bottom" indent="1"/>
    </xf>
    <xf numFmtId="0" fontId="0" fillId="0" borderId="30" pivotButton="0" quotePrefix="0" xfId="0"/>
    <xf numFmtId="0" fontId="2" fillId="2" borderId="10" applyAlignment="1" pivotButton="0" quotePrefix="0" xfId="0">
      <alignment horizontal="left" vertical="center" wrapText="1" indent="1"/>
    </xf>
    <xf numFmtId="0" fontId="4" fillId="4" borderId="10" applyAlignment="1" pivotButton="0" quotePrefix="0" xfId="0">
      <alignment horizontal="left" vertical="center" wrapText="1" indent="1"/>
    </xf>
    <xf numFmtId="0" fontId="0" fillId="2" borderId="11" pivotButton="0" quotePrefix="0" xfId="0"/>
    <xf numFmtId="0" fontId="1" fillId="2" borderId="17" applyAlignment="1" pivotButton="0" quotePrefix="0" xfId="0">
      <alignment horizontal="left" vertical="bottom" indent="1"/>
    </xf>
    <xf numFmtId="0" fontId="2" fillId="2" borderId="1" applyAlignment="1" pivotButton="0" quotePrefix="0" xfId="0">
      <alignment horizontal="left" vertical="top" wrapText="1" indent="1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165" fontId="2" fillId="2" borderId="7" applyAlignment="1" pivotButton="0" quotePrefix="0" xfId="0">
      <alignment horizontal="center" vertical="center" wrapText="1"/>
    </xf>
    <xf numFmtId="0" fontId="0" fillId="2" borderId="12" pivotButton="0" quotePrefix="0" xfId="0"/>
    <xf numFmtId="0" fontId="0" fillId="2" borderId="13" pivotButton="0" quotePrefix="0" xfId="0"/>
    <xf numFmtId="0" fontId="0" fillId="2" borderId="14" pivotButton="0" quotePrefix="0" xfId="0"/>
    <xf numFmtId="0" fontId="12" fillId="2" borderId="0" applyAlignment="1" pivotButton="0" quotePrefix="0" xfId="0">
      <alignment horizontal="center" vertical="center"/>
    </xf>
    <xf numFmtId="0" fontId="0" fillId="3" borderId="17" applyAlignment="1" pivotButton="0" quotePrefix="0" xfId="0">
      <alignment horizontal="left" vertical="center" indent="1"/>
    </xf>
    <xf numFmtId="0" fontId="0" fillId="3" borderId="30" pivotButton="0" quotePrefix="0" xfId="0"/>
    <xf numFmtId="164" fontId="2" fillId="2" borderId="10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30" pivotButton="0" quotePrefix="0" xfId="0"/>
    <xf numFmtId="0" fontId="0" fillId="2" borderId="23" pivotButton="0" quotePrefix="0" xfId="0"/>
    <xf numFmtId="0" fontId="0" fillId="2" borderId="36" pivotButton="0" quotePrefix="0" xfId="0"/>
    <xf numFmtId="0" fontId="17" fillId="2" borderId="23" applyAlignment="1" pivotButton="0" quotePrefix="0" xfId="0">
      <alignment horizontal="center" vertical="center"/>
    </xf>
    <xf numFmtId="0" fontId="9" fillId="2" borderId="23" applyAlignment="1" pivotButton="0" quotePrefix="0" xfId="0">
      <alignment horizontal="center" vertical="center" shrinkToFit="1"/>
    </xf>
    <xf numFmtId="0" fontId="0" fillId="2" borderId="26" pivotButton="0" quotePrefix="0" xfId="0"/>
    <xf numFmtId="0" fontId="0" fillId="2" borderId="37" pivotButton="0" quotePrefix="0" xfId="0"/>
    <xf numFmtId="0" fontId="15" fillId="2" borderId="34" applyAlignment="1" pivotButton="0" quotePrefix="0" xfId="0">
      <alignment horizontal="center" vertical="center"/>
    </xf>
    <xf numFmtId="0" fontId="2" fillId="2" borderId="12" applyAlignment="1" pivotButton="0" quotePrefix="0" xfId="0">
      <alignment horizontal="left" vertical="center" wrapText="1" indent="1"/>
    </xf>
    <xf numFmtId="1" fontId="2" fillId="2" borderId="13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left" vertical="center" wrapText="1" indent="1"/>
    </xf>
    <xf numFmtId="165" fontId="2" fillId="2" borderId="5" applyAlignment="1" pivotButton="0" quotePrefix="0" xfId="0">
      <alignment horizontal="center" vertical="center" wrapText="1"/>
    </xf>
    <xf numFmtId="0" fontId="0" fillId="2" borderId="32" applyAlignment="1" pivotButton="0" quotePrefix="0" xfId="0">
      <alignment horizontal="left" vertical="center" wrapText="1" indent="1"/>
    </xf>
    <xf numFmtId="0" fontId="0" fillId="0" borderId="38" pivotButton="0" quotePrefix="0" xfId="0"/>
    <xf numFmtId="0" fontId="0" fillId="0" borderId="39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3" borderId="15" applyAlignment="1" pivotButton="0" quotePrefix="0" xfId="0">
      <alignment horizontal="left" vertical="center" indent="1"/>
    </xf>
    <xf numFmtId="0" fontId="0" fillId="3" borderId="28" pivotButton="0" quotePrefix="0" xfId="0"/>
    <xf numFmtId="0" fontId="0" fillId="3" borderId="29" pivotButton="0" quotePrefix="0" xfId="0"/>
    <xf numFmtId="0" fontId="0" fillId="2" borderId="4" applyAlignment="1" pivotButton="0" quotePrefix="0" xfId="0">
      <alignment vertical="center" indent="1"/>
    </xf>
    <xf numFmtId="1" fontId="6" fillId="2" borderId="6" applyAlignment="1" pivotButton="0" quotePrefix="0" xfId="0">
      <alignment horizontal="center" vertical="center" wrapText="1"/>
    </xf>
    <xf numFmtId="165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center" wrapText="1" indent="1"/>
    </xf>
    <xf numFmtId="0" fontId="5" fillId="2" borderId="6" applyAlignment="1" pivotButton="0" quotePrefix="0" xfId="0">
      <alignment horizontal="center" vertical="center" wrapText="1"/>
    </xf>
    <xf numFmtId="9" fontId="6" fillId="2" borderId="6" applyAlignment="1" pivotButton="0" quotePrefix="0" xfId="0">
      <alignment horizontal="center" vertical="center" wrapText="1"/>
    </xf>
    <xf numFmtId="166" fontId="16" fillId="2" borderId="32" applyAlignment="1" pivotButton="0" quotePrefix="0" xfId="0">
      <alignment horizontal="center" vertical="center" wrapText="1"/>
    </xf>
    <xf numFmtId="0" fontId="11" fillId="3" borderId="40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0" fontId="11" fillId="3" borderId="41" applyAlignment="1" pivotButton="0" quotePrefix="0" xfId="0">
      <alignment horizontal="center" vertical="center" wrapText="1"/>
    </xf>
    <xf numFmtId="0" fontId="11" fillId="3" borderId="47" applyAlignment="1" pivotButton="0" quotePrefix="0" xfId="0">
      <alignment horizontal="center" vertical="center" wrapText="1"/>
    </xf>
    <xf numFmtId="0" fontId="18" fillId="0" borderId="0" pivotButton="0" quotePrefix="0" xfId="0"/>
    <xf numFmtId="49" fontId="19" fillId="2" borderId="42" applyAlignment="1" pivotButton="0" quotePrefix="0" xfId="0">
      <alignment horizontal="left" vertical="center" indent="1"/>
    </xf>
    <xf numFmtId="0" fontId="5" fillId="2" borderId="32" applyAlignment="1" pivotButton="0" quotePrefix="0" xfId="0">
      <alignment horizontal="left" vertical="center" indent="1"/>
    </xf>
    <xf numFmtId="0" fontId="5" fillId="2" borderId="43" applyAlignment="1" pivotButton="0" quotePrefix="0" xfId="0">
      <alignment horizontal="left" vertical="center" indent="1"/>
    </xf>
    <xf numFmtId="0" fontId="19" fillId="2" borderId="47" applyAlignment="1" pivotButton="0" quotePrefix="0" xfId="0">
      <alignment horizontal="left" vertical="center" indent="1"/>
    </xf>
    <xf numFmtId="49" fontId="19" fillId="2" borderId="44" applyAlignment="1" pivotButton="0" quotePrefix="0" xfId="0">
      <alignment horizontal="left" vertical="center" indent="1"/>
    </xf>
    <xf numFmtId="0" fontId="5" fillId="2" borderId="45" applyAlignment="1" pivotButton="0" quotePrefix="0" xfId="0">
      <alignment horizontal="left" vertical="center" indent="1"/>
    </xf>
    <xf numFmtId="0" fontId="5" fillId="2" borderId="46" applyAlignment="1" pivotButton="0" quotePrefix="0" xfId="0">
      <alignment horizontal="left" vertical="center" indent="1"/>
    </xf>
    <xf numFmtId="0" fontId="19" fillId="2" borderId="25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17" fillId="2" borderId="22" applyAlignment="1" pivotButton="0" quotePrefix="0" xfId="0">
      <alignment horizontal="center" vertical="center"/>
    </xf>
    <xf numFmtId="49" fontId="19" fillId="2" borderId="42" applyAlignment="1" pivotButton="0" quotePrefix="0" xfId="0">
      <alignment horizontal="center" vertical="center"/>
    </xf>
    <xf numFmtId="165" fontId="5" fillId="2" borderId="32" applyAlignment="1" pivotButton="0" quotePrefix="0" xfId="0">
      <alignment horizontal="center" vertical="center"/>
    </xf>
    <xf numFmtId="0" fontId="5" fillId="2" borderId="32" applyAlignment="1" pivotButton="0" quotePrefix="0" xfId="0">
      <alignment horizontal="left" vertical="center" wrapText="1" indent="1"/>
    </xf>
    <xf numFmtId="49" fontId="19" fillId="2" borderId="44" applyAlignment="1" pivotButton="0" quotePrefix="0" xfId="0">
      <alignment horizontal="center" vertical="center"/>
    </xf>
    <xf numFmtId="165" fontId="5" fillId="2" borderId="45" applyAlignment="1" pivotButton="0" quotePrefix="0" xfId="0">
      <alignment horizontal="center" vertical="center"/>
    </xf>
    <xf numFmtId="0" fontId="5" fillId="2" borderId="45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1"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6B7686"/>
      </font>
      <fill>
        <patternFill patternType="solid">
          <fgColor rgb="00EEF1F5"/>
          <bgColor rgb="00EEF1F5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ont>
        <b val="1"/>
        <color rgb="00FFFFFF"/>
      </font>
      <fill>
        <patternFill patternType="solid">
          <fgColor rgb="00D93025"/>
          <bgColor rgb="00D93025"/>
        </patternFill>
      </fill>
    </dxf>
    <dxf>
      <font>
        <b val="1"/>
        <color rgb="003B2E00"/>
      </font>
      <fill>
        <patternFill patternType="solid">
          <fgColor rgb="00F2B705"/>
          <bgColor rgb="00F2B705"/>
        </patternFill>
      </fill>
    </dxf>
    <dxf>
      <font>
        <b val="1"/>
        <color rgb="00FFFFFF"/>
      </font>
      <fill>
        <patternFill patternType="solid">
          <fgColor rgb="002F80ED"/>
          <bgColor rgb="002F80ED"/>
        </patternFill>
      </fill>
    </dxf>
    <dxf>
      <font>
        <b val="1"/>
        <color rgb="00FFFFFF"/>
      </font>
      <fill>
        <patternFill patternType="solid">
          <fgColor rgb="001E9E4A"/>
          <bgColor rgb="001E9E4A"/>
        </patternFill>
      </fill>
    </dxf>
    <dxf>
      <font>
        <b val="1"/>
        <color rgb="009AA3B2"/>
      </font>
      <fill>
        <patternFill patternType="solid">
          <fgColor rgb="00FFFFFF"/>
          <bgColor rgb="00FFFFFF"/>
        </patternFill>
      </fill>
    </dxf>
    <dxf>
      <font>
        <b val="1"/>
        <color rgb="009AA3B2"/>
      </font>
      <fill>
        <patternFill patternType="solid">
          <fgColor rgb="00EEF1F5"/>
          <bgColor rgb="00EEF1F5"/>
        </patternFill>
      </fill>
    </dxf>
    <dxf>
      <font>
        <b val="1"/>
        <color rgb="001F5AA6"/>
      </font>
      <fill>
        <patternFill patternType="solid">
          <fgColor rgb="00E1ECF6"/>
          <bgColor rgb="00E1EC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76200</colOff>
      <row>0</row>
      <rowOff>200025</rowOff>
    </from>
    <ext cx="1228725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76200</colOff>
      <row>0</row>
      <rowOff>180975</rowOff>
    </from>
    <ext cx="1228725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76200</colOff>
      <row>0</row>
      <rowOff>114300</rowOff>
    </from>
    <ext cx="1685925" cy="504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2.xml><?xml version="1.0" encoding="utf-8"?>
<table xmlns="http://schemas.openxmlformats.org/spreadsheetml/2006/main" id="2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3.xml><?xml version="1.0" encoding="utf-8"?>
<table xmlns="http://schemas.openxmlformats.org/spreadsheetml/2006/main" id="3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4.xml><?xml version="1.0" encoding="utf-8"?>
<table xmlns="http://schemas.openxmlformats.org/spreadsheetml/2006/main" id="4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5.xml><?xml version="1.0" encoding="utf-8"?>
<table xmlns="http://schemas.openxmlformats.org/spreadsheetml/2006/main" id="5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A1:F32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PCM-MAN-007  ·  Segurança no trabalho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Permissão.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Segurança no trabalho</t>
        </is>
      </c>
      <c r="E10" s="20" t="n"/>
      <c r="F10" s="21" t="inlineStr">
        <is>
          <t>Já vem pronto. Ajuste se quiser.</t>
        </is>
      </c>
    </row>
    <row r="11" ht="33" customHeight="1">
      <c r="B11" s="17" t="inlineStr">
        <is>
          <t>Objetivo</t>
        </is>
      </c>
      <c r="C11" s="18" t="n"/>
      <c r="D11" s="19" t="inlineStr">
        <is>
          <t>Liberar serviço de risco com bloqueio, interditar equipamento e acompanhar a segurança do mês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PCM-MAN-007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TAG, equipamento, família e setor, as pessoas, as famílias de equipamento, os setores. Eles aparecem nas setas ▼ das outras abas.</t>
        </is>
      </c>
      <c r="E19" s="29" t="n"/>
      <c r="F19" s="29" t="n"/>
    </row>
    <row r="20" ht="34" customHeight="1">
      <c r="B20" s="26" t="n">
        <v>2</v>
      </c>
      <c r="C20" s="27" t="inlineStr">
        <is>
          <t>Permissão</t>
        </is>
      </c>
      <c r="D20" s="28" t="inlineStr">
        <is>
          <t>Antes de serviço de risco: preencha a permissão, marque os bloqueios e colha as assinaturas. Sem liberação, o serviço não começa.</t>
        </is>
      </c>
      <c r="E20" s="29" t="n"/>
      <c r="F20" s="29" t="n"/>
    </row>
    <row r="21" ht="34" customHeight="1">
      <c r="B21" s="26" t="n">
        <v>3</v>
      </c>
      <c r="C21" s="27" t="inlineStr">
        <is>
          <t>Etiqueta NÃO OPERAR</t>
        </is>
      </c>
      <c r="D21" s="28" t="inlineStr">
        <is>
          <t>Imprima, preencha e fixe no comando do equipamento bloqueado. Só quem colocou retira.</t>
        </is>
      </c>
      <c r="E21" s="29" t="n"/>
      <c r="F21" s="29" t="n"/>
    </row>
    <row r="22" ht="22" customHeight="1">
      <c r="B22" s="26" t="n">
        <v>4</v>
      </c>
      <c r="C22" s="27" t="inlineStr">
        <is>
          <t>Cruz de segurança</t>
        </is>
      </c>
      <c r="D22" s="28" t="inlineStr">
        <is>
          <t>Escolha o mês e marque cada dia pela pior ocorrência do dia. As cores mostram o mês de relance.</t>
        </is>
      </c>
      <c r="E22" s="29" t="n"/>
      <c r="F22" s="29" t="n"/>
    </row>
    <row r="23" ht="10" customHeight="1"/>
    <row r="24" ht="24" customHeight="1">
      <c r="B24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4" s="9" t="n"/>
      <c r="D24" s="9" t="n"/>
      <c r="E24" s="9" t="n"/>
      <c r="F24" s="9" t="n"/>
    </row>
    <row r="25" ht="21" customHeight="1">
      <c r="B25" s="30" t="inlineStr">
        <is>
          <t>▼  Lista</t>
        </is>
      </c>
      <c r="C25" s="29" t="n"/>
      <c r="D25" s="28" t="inlineStr">
        <is>
          <t>Clique na célula e escolha na seta. Valor fora da lista é recusado.</t>
        </is>
      </c>
      <c r="E25" s="29" t="n"/>
      <c r="F25" s="29" t="n"/>
    </row>
    <row r="26" ht="21" customHeight="1">
      <c r="B26" s="31" t="inlineStr">
        <is>
          <t>Célula branca</t>
        </is>
      </c>
      <c r="C26" s="22" t="n"/>
      <c r="D26" s="28" t="inlineStr">
        <is>
          <t>Campo para digitar.</t>
        </is>
      </c>
      <c r="E26" s="29" t="n"/>
      <c r="F26" s="29" t="n"/>
    </row>
    <row r="27" ht="21" customHeight="1">
      <c r="B27" s="32" t="inlineStr">
        <is>
          <t>Célula cinza</t>
        </is>
      </c>
      <c r="C27" s="33" t="n"/>
      <c r="D27" s="28" t="inlineStr">
        <is>
          <t>Cálculo automático. Não digite: a fórmula preenche sozinha.</t>
        </is>
      </c>
      <c r="E27" s="29" t="n"/>
      <c r="F27" s="29" t="n"/>
    </row>
    <row r="28" ht="21" customHeight="1">
      <c r="B28" s="30" t="inlineStr">
        <is>
          <t>Datas e números</t>
        </is>
      </c>
      <c r="C28" s="29" t="n"/>
      <c r="D28" s="28" t="inlineStr">
        <is>
          <t>Datas em dd/mm/aaaa; decimais com vírgula. Vazio = sem informação; zero é valor real.</t>
        </is>
      </c>
      <c r="E28" s="29" t="n"/>
      <c r="F28" s="29" t="n"/>
    </row>
    <row r="29" ht="21" customHeight="1">
      <c r="B29" s="30" t="inlineStr">
        <is>
          <t>Impressão</t>
        </is>
      </c>
      <c r="C29" s="29" t="n"/>
      <c r="D29" s="28" t="inlineStr">
        <is>
          <t>Cada aba já está ajustada para uma folha A4. Use Arquivo &gt; Imprimir sem mudar a escala.</t>
        </is>
      </c>
      <c r="E29" s="29" t="n"/>
      <c r="F29" s="29" t="n"/>
    </row>
    <row r="30" ht="12" customHeight="1"/>
    <row r="31" ht="22" customHeight="1">
      <c r="B31" s="34" t="n"/>
      <c r="C31" s="34" t="n"/>
      <c r="D31" s="35" t="inlineStr">
        <is>
          <t>SOBRE O PCM DIRETO</t>
        </is>
      </c>
      <c r="E31" s="34" t="n"/>
      <c r="F31" s="36" t="inlineStr">
        <is>
          <t>pcmdireto.me</t>
        </is>
      </c>
    </row>
    <row r="32" ht="34" customHeight="1">
      <c r="B32" s="37" t="n"/>
      <c r="C32" s="37" t="n"/>
      <c r="D32" s="38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2" s="37" t="n"/>
      <c r="F32" s="37" t="n"/>
    </row>
  </sheetData>
  <mergeCells count="41">
    <mergeCell ref="D11:F11"/>
    <mergeCell ref="B16:C16"/>
    <mergeCell ref="D10:E10"/>
    <mergeCell ref="B7:C7"/>
    <mergeCell ref="B25:C25"/>
    <mergeCell ref="D1:E1"/>
    <mergeCell ref="D27:F27"/>
    <mergeCell ref="D32:F32"/>
    <mergeCell ref="B27:C27"/>
    <mergeCell ref="D31:E31"/>
    <mergeCell ref="B18:F18"/>
    <mergeCell ref="B12:C12"/>
    <mergeCell ref="D28:F28"/>
    <mergeCell ref="D2:E2"/>
    <mergeCell ref="B11:C11"/>
    <mergeCell ref="D13:E13"/>
    <mergeCell ref="D12:F12"/>
    <mergeCell ref="B14:C14"/>
    <mergeCell ref="D25:F25"/>
    <mergeCell ref="B1:C3"/>
    <mergeCell ref="B13:C13"/>
    <mergeCell ref="D16:E16"/>
    <mergeCell ref="D29:F29"/>
    <mergeCell ref="B29:C29"/>
    <mergeCell ref="B10:C10"/>
    <mergeCell ref="B28:C28"/>
    <mergeCell ref="B31:C32"/>
    <mergeCell ref="D26:F26"/>
    <mergeCell ref="D3:E3"/>
    <mergeCell ref="D20:F20"/>
    <mergeCell ref="B9:F9"/>
    <mergeCell ref="B6:C6"/>
    <mergeCell ref="D19:F19"/>
    <mergeCell ref="B15:C15"/>
    <mergeCell ref="B24:F24"/>
    <mergeCell ref="D15:E15"/>
    <mergeCell ref="D22:F22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ref="C20" location="'Permissão'!A1" display="Permissão"/>
    <hyperlink ref="C21" location="'Etiqueta NÃO OPERAR'!A1" display="Etiqueta NÃO OPERAR"/>
    <hyperlink ref="C22" location="'Cruz de segurança'!A1" display="Cruz de segurança"/>
    <hyperlink xmlns:r="http://schemas.openxmlformats.org/officeDocument/2006/relationships" ref="F31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&amp;K4A5668PCM-MAN-007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F33"/>
  <sheetViews>
    <sheetView showGridLines="0" tabSelected="0" zoomScale="90" workbookViewId="0">
      <selection activeCell="A1" sqref="A1"/>
    </sheetView>
  </sheetViews>
  <sheetFormatPr baseColWidth="8" defaultRowHeight="15"/>
  <cols>
    <col width="20" customWidth="1" min="1" max="1"/>
    <col width="13.4" customWidth="1" min="2" max="2"/>
    <col width="18.6" customWidth="1" min="3" max="3"/>
    <col width="20" customWidth="1" min="4" max="4"/>
    <col width="22" customWidth="1" min="5" max="5"/>
    <col width="14" customWidth="1" min="6" max="6"/>
  </cols>
  <sheetData>
    <row r="1" ht="30.75" customHeight="1">
      <c r="A1" s="39" t="n"/>
      <c r="B1" s="40">
        <f>'Leia-me'!$D$10</f>
        <v/>
      </c>
      <c r="C1" s="41" t="n"/>
      <c r="D1" s="42" t="n"/>
      <c r="E1" s="43">
        <f>"Rev. "&amp;'Leia-me'!$D$15&amp;"   ·   "&amp;'Leia-me'!$D$16</f>
        <v/>
      </c>
      <c r="F1" s="42" t="n"/>
    </row>
    <row r="2" ht="31" customHeight="1">
      <c r="A2" s="44" t="n"/>
      <c r="B2" s="45">
        <f>"Objetivo: "&amp;'Leia-me'!$D$11</f>
        <v/>
      </c>
      <c r="C2" s="46" t="n"/>
      <c r="D2" s="47" t="n"/>
      <c r="E2" s="45">
        <f>"Elaborado: "&amp;'Leia-me'!$D$13&amp;"   ·   Aprovado: "&amp;'Leia-me'!$D$14</f>
        <v/>
      </c>
      <c r="F2" s="47" t="n"/>
    </row>
    <row r="3" ht="15.1" customHeight="1">
      <c r="A3" s="48" t="inlineStr">
        <is>
          <t>Nº da permissão</t>
        </is>
      </c>
      <c r="B3" s="49" t="inlineStr">
        <is>
          <t>TAG ▼</t>
        </is>
      </c>
      <c r="C3" s="49" t="inlineStr">
        <is>
          <t>Equipamento</t>
        </is>
      </c>
      <c r="D3" s="50" t="inlineStr">
        <is>
          <t>Tipo de trabalho</t>
        </is>
      </c>
      <c r="E3" s="51" t="n"/>
      <c r="F3" s="52" t="inlineStr">
        <is>
          <t>Status</t>
        </is>
      </c>
    </row>
    <row r="4" ht="32.8" customHeight="1">
      <c r="A4" s="53" t="n"/>
      <c r="B4" s="54" t="n"/>
      <c r="C4" s="55">
        <f>IF(B4="","",IFERROR(INDEX(tb_pcm_ativos[descricao_ativo],MATCH(B4,tb_pcm_ativos[tag],0)),"fora do cadastro"))</f>
        <v/>
      </c>
      <c r="D4" s="53" t="n"/>
      <c r="E4" s="56" t="n"/>
      <c r="F4" s="53" t="n"/>
    </row>
    <row r="5" ht="8" customHeight="1">
      <c r="A5" s="57" t="n"/>
      <c r="B5" s="57" t="n"/>
      <c r="D5" s="57" t="n"/>
      <c r="E5" s="57" t="n"/>
      <c r="F5" s="57" t="n"/>
    </row>
    <row r="6" ht="27.7" customHeight="1">
      <c r="A6" s="58" t="inlineStr">
        <is>
          <r>
            <rPr>
              <rFont val="Arial"/>
              <b val="1"/>
              <color rgb="00FFFFFF"/>
              <sz val="10"/>
            </rPr>
            <t>1  Serviço</t>
          </r>
          <r>
            <rPr>
              <rFont val="Arial"/>
              <color rgb="00D3DEEC"/>
              <sz val="8"/>
            </rPr>
            <t xml:space="preserve">   o que será feito, por quem e por quanto tempo</t>
          </r>
        </is>
      </c>
      <c r="B6" s="51" t="n"/>
      <c r="C6" s="51" t="n"/>
      <c r="D6" s="51" t="n"/>
      <c r="E6" s="51" t="n"/>
      <c r="F6" s="59" t="n"/>
    </row>
    <row r="7" ht="15.1" customHeight="1">
      <c r="A7" s="60" t="inlineStr">
        <is>
          <t>Serviço a executar</t>
        </is>
      </c>
      <c r="F7" s="61" t="n"/>
    </row>
    <row r="8" ht="27.7" customHeight="1">
      <c r="A8" s="62" t="n"/>
      <c r="B8" s="51" t="n"/>
      <c r="C8" s="51" t="n"/>
      <c r="D8" s="51" t="n"/>
      <c r="E8" s="51" t="n"/>
      <c r="F8" s="59" t="n"/>
    </row>
    <row r="9" ht="27.7" customHeight="1">
      <c r="A9" s="63" t="n"/>
      <c r="B9" s="64" t="n"/>
      <c r="C9" s="64" t="n"/>
      <c r="D9" s="64" t="n"/>
      <c r="E9" s="64" t="n"/>
      <c r="F9" s="65" t="n"/>
    </row>
    <row r="10" ht="15.1" customHeight="1">
      <c r="A10" s="66" t="inlineStr">
        <is>
          <t>Executante</t>
        </is>
      </c>
      <c r="D10" s="67" t="inlineStr">
        <is>
          <t>Início</t>
        </is>
      </c>
      <c r="E10" s="68" t="inlineStr">
        <is>
          <t>Validade até</t>
        </is>
      </c>
      <c r="F10" s="61" t="n"/>
    </row>
    <row r="11" ht="30.2" customHeight="1">
      <c r="A11" s="54" t="n"/>
      <c r="B11" s="69" t="n"/>
      <c r="C11" s="56" t="n"/>
      <c r="D11" s="70" t="n"/>
      <c r="E11" s="70" t="n"/>
      <c r="F11" s="56" t="n"/>
    </row>
    <row r="12" ht="8" customHeight="1">
      <c r="A12" s="57" t="n"/>
      <c r="B12" s="57" t="n"/>
      <c r="D12" s="57" t="n"/>
      <c r="E12" s="57" t="n"/>
      <c r="F12" s="57" t="n"/>
    </row>
    <row r="13" ht="27.7" customHeight="1">
      <c r="A13" s="58" t="inlineStr">
        <is>
          <r>
            <rPr>
              <rFont val="Arial"/>
              <b val="1"/>
              <color rgb="00FFFFFF"/>
              <sz val="10"/>
            </rPr>
            <t>2  Bloqueio de energias</t>
          </r>
          <r>
            <rPr>
              <rFont val="Arial"/>
              <color rgb="00D3DEEC"/>
              <sz val="8"/>
            </rPr>
            <t xml:space="preserve">   uma linha por fonte de energia isolada</t>
          </r>
        </is>
      </c>
      <c r="B13" s="51" t="n"/>
      <c r="C13" s="51" t="n"/>
      <c r="D13" s="51" t="n"/>
      <c r="E13" s="51" t="n"/>
      <c r="F13" s="59" t="n"/>
    </row>
    <row r="14" ht="32.8" customHeight="1">
      <c r="A14" s="71" t="inlineStr">
        <is>
          <t>Energia</t>
        </is>
      </c>
      <c r="B14" s="72" t="inlineStr">
        <is>
          <t>Ponto de isolamento</t>
        </is>
      </c>
      <c r="E14" s="73" t="inlineStr">
        <is>
          <t>Nº do cadeado</t>
        </is>
      </c>
      <c r="F14" s="74" t="inlineStr">
        <is>
          <t>Zerada e testada?</t>
        </is>
      </c>
    </row>
    <row r="15" ht="27.7" customHeight="1">
      <c r="A15" s="75" t="n"/>
      <c r="B15" s="76" t="n"/>
      <c r="C15" s="64" t="n"/>
      <c r="D15" s="64" t="n"/>
      <c r="E15" s="77" t="n"/>
      <c r="F15" s="78" t="n"/>
    </row>
    <row r="16" ht="27.7" customHeight="1">
      <c r="A16" s="75" t="n"/>
      <c r="B16" s="76" t="n"/>
      <c r="C16" s="64" t="n"/>
      <c r="D16" s="64" t="n"/>
      <c r="E16" s="77" t="n"/>
      <c r="F16" s="78" t="n"/>
    </row>
    <row r="17" ht="27.7" customHeight="1">
      <c r="A17" s="75" t="n"/>
      <c r="B17" s="76" t="n"/>
      <c r="C17" s="64" t="n"/>
      <c r="D17" s="64" t="n"/>
      <c r="E17" s="77" t="n"/>
      <c r="F17" s="78" t="n"/>
    </row>
    <row r="18" ht="27.7" customHeight="1">
      <c r="A18" s="75" t="n"/>
      <c r="B18" s="76" t="n"/>
      <c r="C18" s="64" t="n"/>
      <c r="D18" s="64" t="n"/>
      <c r="E18" s="77" t="n"/>
      <c r="F18" s="78" t="n"/>
    </row>
    <row r="19" ht="27.7" customHeight="1">
      <c r="A19" s="75" t="n"/>
      <c r="B19" s="76" t="n"/>
      <c r="C19" s="64" t="n"/>
      <c r="D19" s="64" t="n"/>
      <c r="E19" s="77" t="n"/>
      <c r="F19" s="78" t="n"/>
    </row>
    <row r="20" ht="8" customHeight="1">
      <c r="A20" s="57" t="n"/>
      <c r="B20" s="57" t="n"/>
      <c r="D20" s="57" t="n"/>
      <c r="E20" s="57" t="n"/>
      <c r="F20" s="57" t="n"/>
    </row>
    <row r="21" ht="27.7" customHeight="1">
      <c r="A21" s="58" t="inlineStr">
        <is>
          <r>
            <rPr>
              <rFont val="Arial"/>
              <b val="1"/>
              <color rgb="00FFFFFF"/>
              <sz val="10"/>
            </rPr>
            <t>3  Checklist de segurança</t>
          </r>
          <r>
            <rPr>
              <rFont val="Arial"/>
              <color rgb="00D3DEEC"/>
              <sz val="8"/>
            </rPr>
            <t xml:space="preserve">   responda todos antes de iniciar</t>
          </r>
        </is>
      </c>
      <c r="B21" s="51" t="n"/>
      <c r="C21" s="51" t="n"/>
      <c r="D21" s="51" t="n"/>
      <c r="E21" s="51" t="n"/>
      <c r="F21" s="59" t="n"/>
    </row>
    <row r="22" ht="27.7" customHeight="1">
      <c r="A22" s="79" t="inlineStr">
        <is>
          <t>Item</t>
        </is>
      </c>
      <c r="F22" s="74" t="inlineStr">
        <is>
          <t>Resposta</t>
        </is>
      </c>
    </row>
    <row r="23" ht="27.7" customHeight="1">
      <c r="A23" s="80" t="inlineStr">
        <is>
          <t>Energia zero testada no local</t>
        </is>
      </c>
      <c r="B23" s="64" t="n"/>
      <c r="C23" s="64" t="n"/>
      <c r="D23" s="64" t="n"/>
      <c r="E23" s="64" t="n"/>
      <c r="F23" s="78" t="n"/>
    </row>
    <row r="24" ht="27.7" customHeight="1">
      <c r="A24" s="80" t="inlineStr">
        <is>
          <t>Área isolada e sinalizada</t>
        </is>
      </c>
      <c r="B24" s="64" t="n"/>
      <c r="C24" s="64" t="n"/>
      <c r="D24" s="64" t="n"/>
      <c r="E24" s="64" t="n"/>
      <c r="F24" s="78" t="n"/>
    </row>
    <row r="25" ht="27.7" customHeight="1">
      <c r="A25" s="80" t="inlineStr">
        <is>
          <t>EPI conferido e adequado ao risco</t>
        </is>
      </c>
      <c r="B25" s="64" t="n"/>
      <c r="C25" s="64" t="n"/>
      <c r="D25" s="64" t="n"/>
      <c r="E25" s="64" t="n"/>
      <c r="F25" s="78" t="n"/>
    </row>
    <row r="26" ht="27.7" customHeight="1">
      <c r="A26" s="80" t="inlineStr">
        <is>
          <t>Ferramentas e meios de acesso adequados</t>
        </is>
      </c>
      <c r="B26" s="64" t="n"/>
      <c r="C26" s="64" t="n"/>
      <c r="D26" s="64" t="n"/>
      <c r="E26" s="64" t="n"/>
      <c r="F26" s="78" t="n"/>
    </row>
    <row r="27" ht="27.7" customHeight="1">
      <c r="A27" s="80" t="inlineStr">
        <is>
          <t>Vigia ou observador definido, quando exigido</t>
        </is>
      </c>
      <c r="B27" s="64" t="n"/>
      <c r="C27" s="64" t="n"/>
      <c r="D27" s="64" t="n"/>
      <c r="E27" s="64" t="n"/>
      <c r="F27" s="78" t="n"/>
    </row>
    <row r="28" ht="27.7" customHeight="1">
      <c r="A28" s="81" t="inlineStr">
        <is>
          <t>Plano de emergência conhecido pela equipe</t>
        </is>
      </c>
      <c r="F28" s="82" t="n"/>
    </row>
    <row r="29" ht="8" customHeight="1">
      <c r="A29" s="57" t="n"/>
      <c r="B29" s="57" t="n"/>
      <c r="D29" s="57" t="n"/>
      <c r="E29" s="57" t="n"/>
      <c r="F29" s="57" t="n"/>
    </row>
    <row r="30" ht="27.7" customHeight="1">
      <c r="A30" s="58" t="inlineStr">
        <is>
          <r>
            <rPr>
              <rFont val="Arial"/>
              <b val="1"/>
              <color rgb="00FFFFFF"/>
              <sz val="10"/>
            </rPr>
            <t>4  Liberação e encerramento</t>
          </r>
          <r>
            <rPr>
              <rFont val="Arial"/>
              <color rgb="00D3DEEC"/>
              <sz val="8"/>
            </rPr>
            <t xml:space="preserve">   a permissão só vale com tudo em Sim</t>
          </r>
        </is>
      </c>
      <c r="B30" s="51" t="n"/>
      <c r="C30" s="51" t="n"/>
      <c r="D30" s="51" t="n"/>
      <c r="E30" s="51" t="n"/>
      <c r="F30" s="59" t="n"/>
    </row>
    <row r="31" ht="37.8" customHeight="1">
      <c r="A31" s="83">
        <f>IF(COUNTIF(F23:F28,"Não")&gt;0,"NÃO INICIAR: há item do checklist em Não",IF(COUNTIF(F15:F19,"Não")&gt;0,"NÃO INICIAR: energia não zerada",IF(COUNTA(A15:A19)=0,"Falta registrar o bloqueio de energias",IF(COUNTA(F23:F28)&lt;6,"Falta responder o checklist ("&amp;COUNTA(F23:F28)&amp;" de 6)","Pode iniciar o serviço"))))</f>
        <v/>
      </c>
      <c r="F31" s="61" t="n"/>
    </row>
    <row r="32" ht="15.1" customHeight="1">
      <c r="A32" s="66" t="inlineStr">
        <is>
          <t>Emitida por</t>
        </is>
      </c>
      <c r="D32" s="67" t="inlineStr">
        <is>
          <t>Executante ciente</t>
        </is>
      </c>
      <c r="E32" s="68" t="inlineStr">
        <is>
          <t>Encerrada em</t>
        </is>
      </c>
      <c r="F32" s="61" t="n"/>
    </row>
    <row r="33" ht="30.2" customHeight="1">
      <c r="A33" s="54" t="n"/>
      <c r="B33" s="69" t="n"/>
      <c r="C33" s="56" t="n"/>
      <c r="D33" s="54" t="n"/>
      <c r="E33" s="70" t="n"/>
      <c r="F33" s="56" t="n"/>
    </row>
  </sheetData>
  <mergeCells count="39">
    <mergeCell ref="B14:D14"/>
    <mergeCell ref="A24:E24"/>
    <mergeCell ref="B1:D1"/>
    <mergeCell ref="E33:F33"/>
    <mergeCell ref="B17:D17"/>
    <mergeCell ref="A21:F21"/>
    <mergeCell ref="B12:C12"/>
    <mergeCell ref="B19:D19"/>
    <mergeCell ref="A33:C33"/>
    <mergeCell ref="E10:F10"/>
    <mergeCell ref="A32:C32"/>
    <mergeCell ref="E1:F1"/>
    <mergeCell ref="A25:E25"/>
    <mergeCell ref="B15:D15"/>
    <mergeCell ref="A27:E27"/>
    <mergeCell ref="A10:C10"/>
    <mergeCell ref="A7:F7"/>
    <mergeCell ref="A26:E26"/>
    <mergeCell ref="B29:C29"/>
    <mergeCell ref="A13:F13"/>
    <mergeCell ref="E2:F2"/>
    <mergeCell ref="E11:F11"/>
    <mergeCell ref="A31:F31"/>
    <mergeCell ref="A23:E23"/>
    <mergeCell ref="D4:E4"/>
    <mergeCell ref="A30:F30"/>
    <mergeCell ref="A22:E22"/>
    <mergeCell ref="D3:E3"/>
    <mergeCell ref="B16:D16"/>
    <mergeCell ref="A11:C11"/>
    <mergeCell ref="E32:F32"/>
    <mergeCell ref="B5:C5"/>
    <mergeCell ref="A28:E28"/>
    <mergeCell ref="B20:C20"/>
    <mergeCell ref="B18:D18"/>
    <mergeCell ref="A6:F6"/>
    <mergeCell ref="A8:F9"/>
    <mergeCell ref="B2:D2"/>
    <mergeCell ref="A1:A2"/>
  </mergeCells>
  <conditionalFormatting sqref="F4">
    <cfRule type="expression" priority="1" dxfId="0" stopIfTrue="1">
      <formula>F4="Aberta"</formula>
    </cfRule>
    <cfRule type="expression" priority="2" dxfId="1" stopIfTrue="1">
      <formula>F4="Encerrada"</formula>
    </cfRule>
    <cfRule type="expression" priority="3" dxfId="2" stopIfTrue="1">
      <formula>F4="Cancelada"</formula>
    </cfRule>
  </conditionalFormatting>
  <conditionalFormatting sqref="F15:F19">
    <cfRule type="expression" priority="4" dxfId="1" stopIfTrue="1">
      <formula>F15="Sim"</formula>
    </cfRule>
    <cfRule type="expression" priority="5" dxfId="3" stopIfTrue="1">
      <formula>F15="Não"</formula>
    </cfRule>
    <cfRule type="expression" priority="6" dxfId="2" stopIfTrue="1">
      <formula>F15="NA"</formula>
    </cfRule>
  </conditionalFormatting>
  <conditionalFormatting sqref="F23:F28">
    <cfRule type="expression" priority="7" dxfId="1" stopIfTrue="1">
      <formula>F23="Sim"</formula>
    </cfRule>
    <cfRule type="expression" priority="8" dxfId="3" stopIfTrue="1">
      <formula>F23="Não"</formula>
    </cfRule>
    <cfRule type="expression" priority="9" dxfId="2" stopIfTrue="1">
      <formula>F23="NA"</formula>
    </cfRule>
  </conditionalFormatting>
  <conditionalFormatting sqref="A31">
    <cfRule type="expression" priority="10" dxfId="3" stopIfTrue="1">
      <formula>LEFT($A$31,5)="NÃO I"</formula>
    </cfRule>
    <cfRule type="expression" priority="11" dxfId="0" stopIfTrue="1">
      <formula>LEFT($A$31,5)="Falta"</formula>
    </cfRule>
    <cfRule type="expression" priority="12" dxfId="1" stopIfTrue="1">
      <formula>LEFT($A$31,4)="Pode"</formula>
    </cfRule>
  </conditionalFormatting>
  <dataValidations count="12">
    <dataValidation sqref="B4" showDropDown="0" showInputMessage="0" showErrorMessage="1" allowBlank="1" errorTitle="Valor fora da lista" error="Escolha um item da lista." type="list" errorStyle="stop">
      <formula1>L_TAGS</formula1>
    </dataValidation>
    <dataValidation sqref="D4" showDropDown="0" showInputMessage="0" showErrorMessage="1" allowBlank="1" errorTitle="Valor fora da lista" error="Escolha um item da lista." type="list" errorStyle="stop">
      <formula1>"Mecânico geral,Elétrico,A quente,Em altura,Espaço confinado,Outro"</formula1>
    </dataValidation>
    <dataValidation sqref="F4" showDropDown="0" showInputMessage="0" showErrorMessage="1" allowBlank="1" errorTitle="Valor fora da lista" error="Escolha um item da lista." type="list" errorStyle="stop">
      <formula1>"Aberta,Encerrada,Cancelada"</formula1>
    </dataValidation>
    <dataValidation sqref="A11" showDropDown="0" showInputMessage="0" showErrorMessage="1" allowBlank="1" errorTitle="Valor fora da lista" error="Escolha um item da lista." type="list" errorStyle="stop">
      <formula1>L_PESSOAS</formula1>
    </dataValidation>
    <dataValidation sqref="D11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E11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A15:A19" showDropDown="0" showInputMessage="0" showErrorMessage="1" allowBlank="1" errorTitle="Valor fora da lista" error="Escolha um item da lista." type="list" errorStyle="stop">
      <formula1>"Elétrica,Hidráulica,Pneumática,Mecânica,Térmica,Química"</formula1>
    </dataValidation>
    <dataValidation sqref="F15:F19" showDropDown="0" showInputMessage="0" showErrorMessage="1" allowBlank="1" errorTitle="Valor fora da lista" error="Escolha um item da lista." type="list" errorStyle="stop">
      <formula1>"Sim,Não"</formula1>
    </dataValidation>
    <dataValidation sqref="F23:F28" showDropDown="0" showInputMessage="0" showErrorMessage="1" allowBlank="1" errorTitle="Valor fora da lista" error="Escolha um item da lista." type="list" errorStyle="stop">
      <formula1>"Sim,Não,NA"</formula1>
    </dataValidation>
    <dataValidation sqref="A33" showDropDown="0" showInputMessage="0" showErrorMessage="1" allowBlank="1" errorTitle="Valor fora da lista" error="Escolha um item da lista." type="list" errorStyle="stop">
      <formula1>L_PESSOAS</formula1>
    </dataValidation>
    <dataValidation sqref="D33" showDropDown="0" showInputMessage="0" showErrorMessage="1" allowBlank="1" errorTitle="Valor fora da lista" error="Escolha um item da lista." type="list" errorStyle="stop">
      <formula1>L_PESSOAS</formula1>
    </dataValidation>
    <dataValidation sqref="E33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portrait" paperSize="9" fitToHeight="1" fitToWidth="1"/>
  <headerFooter>
    <oddHeader/>
    <oddFooter>&amp;L&amp;7 &amp;K4A5668PCM-MAN-007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D36"/>
  <sheetViews>
    <sheetView showGridLines="0" tabSelected="0" zoomScale="9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34" customWidth="1" min="4" max="4"/>
  </cols>
  <sheetData>
    <row r="1" ht="30.75" customHeight="1">
      <c r="A1" s="84" t="n"/>
      <c r="B1" s="85" t="inlineStr">
        <is>
          <t>Etiqueta NÃO OPERAR</t>
        </is>
      </c>
      <c r="C1" s="86" t="n"/>
      <c r="D1" s="43">
        <f>"Rev. "&amp;'Leia-me'!$D$15&amp;"   ·   "&amp;'Leia-me'!$D$16</f>
        <v/>
      </c>
    </row>
    <row r="2" ht="28" customHeight="1">
      <c r="A2" s="87" t="n"/>
      <c r="B2" s="88" t="inlineStr">
        <is>
          <t>Objetivo: Interditar o equipamento até o reparo e a liberação</t>
        </is>
      </c>
      <c r="C2" s="89" t="n"/>
      <c r="D2" s="45">
        <f>"Elaborado: "&amp;'Leia-me'!$D$13&amp;"   ·   Aprovado: "&amp;'Leia-me'!$D$14</f>
        <v/>
      </c>
    </row>
    <row r="3" ht="40.7" customHeight="1">
      <c r="A3" s="90" t="inlineStr">
        <is>
          <t>⛔  NÃO OPERAR</t>
        </is>
      </c>
      <c r="B3" s="91" t="n"/>
      <c r="C3" s="91" t="n"/>
      <c r="D3" s="92" t="n"/>
    </row>
    <row r="4" ht="24" customHeight="1">
      <c r="A4" s="93" t="inlineStr">
        <is>
          <t>Equipamento fora de serviço: não ligar, não usar, não energizar.</t>
        </is>
      </c>
      <c r="B4" s="94" t="n"/>
      <c r="C4" s="94" t="n"/>
      <c r="D4" s="95" t="n"/>
    </row>
    <row r="5" ht="14.4" customHeight="1">
      <c r="A5" s="96" t="inlineStr">
        <is>
          <t>TAG do equipamento</t>
        </is>
      </c>
      <c r="B5" s="96" t="inlineStr">
        <is>
          <t>Equipamento</t>
        </is>
      </c>
      <c r="C5" s="97" t="inlineStr">
        <is>
          <t>Local ou linha</t>
        </is>
      </c>
      <c r="D5" s="98" t="n"/>
    </row>
    <row r="6" ht="28.8" customHeight="1">
      <c r="A6" s="99" t="n"/>
      <c r="B6" s="100">
        <f>IF(A6="","",IFERROR(INDEX(tb_pcm_ativos[descricao_ativo],MATCH(A6,tb_pcm_ativos[tag],0)),"fora do cadastro"))</f>
        <v/>
      </c>
      <c r="C6" s="99" t="n"/>
      <c r="D6" s="101" t="n"/>
    </row>
    <row r="7" ht="14.4" customHeight="1">
      <c r="A7" s="102" t="inlineStr">
        <is>
          <t>Motivo: defeito ou condição insegura</t>
        </is>
      </c>
      <c r="D7" s="98" t="n"/>
    </row>
    <row r="8" ht="26.4" customHeight="1">
      <c r="A8" s="103" t="n"/>
      <c r="B8" s="104" t="n"/>
      <c r="C8" s="104" t="n"/>
      <c r="D8" s="105" t="n"/>
    </row>
    <row r="9" ht="26.4" customHeight="1">
      <c r="A9" s="106" t="n"/>
      <c r="B9" s="107" t="n"/>
      <c r="C9" s="107" t="n"/>
      <c r="D9" s="108" t="n"/>
    </row>
    <row r="10" ht="14.4" customHeight="1">
      <c r="A10" s="96" t="inlineStr">
        <is>
          <t>Tipo de risco</t>
        </is>
      </c>
      <c r="C10" s="97" t="inlineStr">
        <is>
          <t>Risco se alguém operar</t>
        </is>
      </c>
      <c r="D10" s="98" t="n"/>
    </row>
    <row r="11" ht="28.8" customHeight="1">
      <c r="A11" s="99" t="n"/>
      <c r="B11" s="101" t="n"/>
      <c r="C11" s="99" t="n"/>
      <c r="D11" s="101" t="n"/>
    </row>
    <row r="12" ht="14.4" customHeight="1">
      <c r="A12" s="96" t="inlineStr">
        <is>
          <t>Etiquetado por</t>
        </is>
      </c>
      <c r="C12" s="67" t="inlineStr">
        <is>
          <t>Data e hora</t>
        </is>
      </c>
      <c r="D12" s="97" t="inlineStr">
        <is>
          <t>Avisado a (supervisor ou manutenção)</t>
        </is>
      </c>
    </row>
    <row r="13" ht="28.8" customHeight="1">
      <c r="A13" s="99" t="n"/>
      <c r="B13" s="101" t="n"/>
      <c r="C13" s="70" t="n"/>
      <c r="D13" s="54" t="n"/>
    </row>
    <row r="14" ht="14.4" customHeight="1">
      <c r="A14" s="96" t="inlineStr">
        <is>
          <t>Reparo com</t>
        </is>
      </c>
      <c r="C14" s="67" t="inlineStr">
        <is>
          <t>Previsão de reparo</t>
        </is>
      </c>
      <c r="D14" s="97" t="inlineStr">
        <is>
          <t>Nº da OS</t>
        </is>
      </c>
    </row>
    <row r="15" ht="28.8" customHeight="1">
      <c r="A15" s="99" t="n"/>
      <c r="B15" s="101" t="n"/>
      <c r="C15" s="109" t="n"/>
      <c r="D15" s="53" t="n"/>
    </row>
    <row r="16" ht="14.4" customHeight="1">
      <c r="A16" s="110" t="n"/>
      <c r="B16" s="111" t="n"/>
      <c r="C16" s="111" t="n"/>
      <c r="D16" s="112" t="n"/>
    </row>
    <row r="17" ht="8" customHeight="1">
      <c r="A17" s="106" t="n"/>
      <c r="B17" s="107" t="n"/>
      <c r="C17" s="107" t="n"/>
      <c r="D17" s="108" t="n"/>
    </row>
    <row r="18" ht="21.6" customHeight="1">
      <c r="A18" s="113" t="inlineStr">
        <is>
          <t>✂  - - - - - - - - - - - - - - - - - -   recorte e dobre aqui: o verso fica atrás   - - - - - - - - - - - - - - - - - -</t>
        </is>
      </c>
    </row>
    <row r="19" ht="8" customHeight="1">
      <c r="A19" s="57" t="n"/>
      <c r="B19" s="57" t="n"/>
      <c r="C19" s="57" t="n"/>
      <c r="D19" s="57" t="n"/>
    </row>
    <row r="20" ht="40.7" customHeight="1">
      <c r="A20" s="90" t="inlineStr">
        <is>
          <t>NÃO RETIRE ESTA ETIQUETA</t>
        </is>
      </c>
      <c r="B20" s="91" t="n"/>
      <c r="C20" s="91" t="n"/>
      <c r="D20" s="92" t="n"/>
    </row>
    <row r="21" ht="24" customHeight="1">
      <c r="A21" s="93" t="inlineStr">
        <is>
          <t>Só uma pessoa autorizada retira a etiqueta, depois de preencher a liberação abaixo.</t>
        </is>
      </c>
      <c r="B21" s="94" t="n"/>
      <c r="C21" s="94" t="n"/>
      <c r="D21" s="95" t="n"/>
    </row>
    <row r="22" ht="26.4" customHeight="1">
      <c r="A22" s="114" t="inlineStr">
        <is>
          <r>
            <rPr>
              <rFont val="Arial"/>
              <b val="1"/>
              <color rgb="00FFFFFF"/>
              <sz val="10"/>
            </rPr>
            <t>1  Reparo feito</t>
          </r>
          <r>
            <rPr>
              <rFont val="Arial"/>
              <color rgb="00D3DEEC"/>
              <sz val="8"/>
            </rPr>
            <t/>
          </r>
        </is>
      </c>
      <c r="B22" s="9" t="n"/>
      <c r="C22" s="9" t="n"/>
      <c r="D22" s="115" t="n"/>
    </row>
    <row r="23" ht="14.4" customHeight="1">
      <c r="A23" s="102" t="inlineStr">
        <is>
          <t>O que foi reparado, trocado ou corrigido</t>
        </is>
      </c>
      <c r="D23" s="98" t="n"/>
    </row>
    <row r="24" ht="26.4" customHeight="1">
      <c r="A24" s="103" t="n"/>
      <c r="B24" s="104" t="n"/>
      <c r="C24" s="104" t="n"/>
      <c r="D24" s="105" t="n"/>
    </row>
    <row r="25" ht="26.4" customHeight="1">
      <c r="A25" s="106" t="n"/>
      <c r="B25" s="107" t="n"/>
      <c r="C25" s="107" t="n"/>
      <c r="D25" s="108" t="n"/>
    </row>
    <row r="26" ht="14.4" customHeight="1">
      <c r="A26" s="96" t="inlineStr">
        <is>
          <t>Reparado por</t>
        </is>
      </c>
      <c r="C26" s="97" t="inlineStr">
        <is>
          <t>Data e hora do reparo</t>
        </is>
      </c>
      <c r="D26" s="98" t="n"/>
    </row>
    <row r="27" ht="28.8" customHeight="1">
      <c r="A27" s="99" t="n"/>
      <c r="B27" s="101" t="n"/>
      <c r="C27" s="116" t="n"/>
      <c r="D27" s="101" t="n"/>
    </row>
    <row r="28" ht="26.4" customHeight="1">
      <c r="A28" s="114" t="inlineStr">
        <is>
          <r>
            <rPr>
              <rFont val="Arial"/>
              <b val="1"/>
              <color rgb="00FFFFFF"/>
              <sz val="10"/>
            </rPr>
            <t>2  Liberação para uso</t>
          </r>
          <r>
            <rPr>
              <rFont val="Arial"/>
              <color rgb="00D3DEEC"/>
              <sz val="8"/>
            </rPr>
            <t/>
          </r>
        </is>
      </c>
      <c r="B28" s="9" t="n"/>
      <c r="C28" s="9" t="n"/>
      <c r="D28" s="115" t="n"/>
    </row>
    <row r="29" ht="28.8" customHeight="1">
      <c r="A29" s="117" t="inlineStr">
        <is>
          <t>Confirmo que o reparo foi feito, o equipamento foi inspecionado e testado e está seguro para voltar a operar.</t>
        </is>
      </c>
      <c r="D29" s="98" t="n"/>
    </row>
    <row r="30" ht="14.4" customHeight="1">
      <c r="A30" s="96" t="inlineStr">
        <is>
          <t>Liberado por</t>
        </is>
      </c>
      <c r="C30" s="67" t="inlineStr">
        <is>
          <t>Cargo</t>
        </is>
      </c>
      <c r="D30" s="97" t="inlineStr">
        <is>
          <t>Data e hora da liberação</t>
        </is>
      </c>
    </row>
    <row r="31" ht="28.8" customHeight="1">
      <c r="A31" s="99" t="n"/>
      <c r="B31" s="101" t="n"/>
      <c r="C31" s="54" t="n"/>
      <c r="D31" s="70" t="n"/>
    </row>
    <row r="32" ht="14.4" customHeight="1">
      <c r="A32" s="96" t="inlineStr">
        <is>
          <t>Assinatura</t>
        </is>
      </c>
      <c r="C32" s="97" t="inlineStr">
        <is>
          <t>Observações</t>
        </is>
      </c>
      <c r="D32" s="98" t="n"/>
    </row>
    <row r="33" ht="35.9" customHeight="1">
      <c r="A33" s="99" t="n"/>
      <c r="B33" s="101" t="n"/>
      <c r="C33" s="99" t="n"/>
      <c r="D33" s="101" t="n"/>
    </row>
    <row r="34" ht="8" customHeight="1">
      <c r="A34" s="110" t="n"/>
      <c r="B34" s="111" t="n"/>
      <c r="C34" s="111" t="n"/>
      <c r="D34" s="112" t="n"/>
    </row>
    <row r="35" ht="31.1" customHeight="1">
      <c r="A35" s="118">
        <f>IF(A6="","",IF(AND(A31&lt;&gt;"",ISNUMBER(D31)),"LIBERADO para uso em "&amp;TEXT(D31,"dd/mm/yyyy"),IF(A24&lt;&gt;"","Reparo feito: falta a liberação","FORA DE SERVIÇO")))</f>
        <v/>
      </c>
      <c r="B35" s="119" t="n"/>
      <c r="C35" s="119" t="n"/>
      <c r="D35" s="120" t="n"/>
    </row>
    <row r="36" ht="8" customHeight="1">
      <c r="A36" s="106" t="n"/>
      <c r="B36" s="107" t="n"/>
      <c r="C36" s="107" t="n"/>
      <c r="D36" s="108" t="n"/>
    </row>
  </sheetData>
  <mergeCells count="38">
    <mergeCell ref="A23:D23"/>
    <mergeCell ref="A30:B30"/>
    <mergeCell ref="C6:D6"/>
    <mergeCell ref="A15:B15"/>
    <mergeCell ref="A22:D22"/>
    <mergeCell ref="A24:D25"/>
    <mergeCell ref="C33:D33"/>
    <mergeCell ref="A4:D4"/>
    <mergeCell ref="A11:B11"/>
    <mergeCell ref="A20:D20"/>
    <mergeCell ref="C5:D5"/>
    <mergeCell ref="A35:D35"/>
    <mergeCell ref="A29:D29"/>
    <mergeCell ref="C26:D26"/>
    <mergeCell ref="A28:D28"/>
    <mergeCell ref="B2:C2"/>
    <mergeCell ref="C10:D10"/>
    <mergeCell ref="D1"/>
    <mergeCell ref="A27:B27"/>
    <mergeCell ref="B1:C1"/>
    <mergeCell ref="A12:B12"/>
    <mergeCell ref="A26:B26"/>
    <mergeCell ref="A8:D9"/>
    <mergeCell ref="C11:D11"/>
    <mergeCell ref="A33:B33"/>
    <mergeCell ref="C27:D27"/>
    <mergeCell ref="A32:B32"/>
    <mergeCell ref="A7:D7"/>
    <mergeCell ref="A14:B14"/>
    <mergeCell ref="D2"/>
    <mergeCell ref="A18:D18"/>
    <mergeCell ref="C32:D32"/>
    <mergeCell ref="A3:D3"/>
    <mergeCell ref="A10:B10"/>
    <mergeCell ref="A21:D21"/>
    <mergeCell ref="A13:B13"/>
    <mergeCell ref="A31:B31"/>
    <mergeCell ref="A1:A2"/>
  </mergeCells>
  <conditionalFormatting sqref="A35">
    <cfRule type="expression" priority="1" dxfId="3" stopIfTrue="1">
      <formula>LEFT($A$35,5)="FORA "</formula>
    </cfRule>
    <cfRule type="expression" priority="2" dxfId="0" stopIfTrue="1">
      <formula>LEFT($A$35,6)="Reparo"</formula>
    </cfRule>
    <cfRule type="expression" priority="3" dxfId="1" stopIfTrue="1">
      <formula>LEFT($A$35,8)="LIBERADO"</formula>
    </cfRule>
  </conditionalFormatting>
  <dataValidations count="10">
    <dataValidation sqref="A6" showDropDown="0" showInputMessage="0" showErrorMessage="1" allowBlank="1" errorTitle="Valor fora da lista" error="Escolha um item da lista." type="list" errorStyle="stop">
      <formula1>L_TAGS</formula1>
    </dataValidation>
    <dataValidation sqref="A11" showDropDown="0" showInputMessage="0" showErrorMessage="1" allowBlank="1" errorTitle="Valor fora da lista" error="Escolha um item da lista." type="list" errorStyle="stop">
      <formula1>"Elétrico,Mecânico,Hidráulico,Pneumático,Térmico,Químico ou vazamento,Pressão,Estrutural,Outro"</formula1>
    </dataValidation>
    <dataValidation sqref="A13" showDropDown="0" showInputMessage="0" showErrorMessage="1" allowBlank="1" errorTitle="Valor fora da lista" error="Escolha um item da lista." type="list" errorStyle="stop">
      <formula1>L_PESSOAS</formula1>
    </dataValidation>
    <dataValidation sqref="C13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D13" showDropDown="0" showInputMessage="0" showErrorMessage="1" allowBlank="1" errorTitle="Valor fora da lista" error="Escolha um item da lista." type="list" errorStyle="stop">
      <formula1>L_PESSOAS</formula1>
    </dataValidation>
    <dataValidation sqref="C15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A27" showDropDown="0" showInputMessage="0" showErrorMessage="1" allowBlank="1" errorTitle="Valor fora da lista" error="Escolha um item da lista." type="list" errorStyle="stop">
      <formula1>L_PESSOAS</formula1>
    </dataValidation>
    <dataValidation sqref="C27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A31" showDropDown="0" showInputMessage="0" showErrorMessage="1" allowBlank="1" errorTitle="Valor fora da lista" error="Escolha um item da lista." type="list" errorStyle="stop">
      <formula1>L_PESSOAS</formula1>
    </dataValidation>
    <dataValidation sqref="D31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portrait" paperSize="9" fitToHeight="1" fitToWidth="1"/>
  <headerFooter>
    <oddHeader/>
    <oddFooter>&amp;L&amp;7 &amp;K4A5668PCM-MAN-007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R34"/>
  <sheetViews>
    <sheetView showGridLines="0" tabSelected="0" zoomScale="90" workbookViewId="0">
      <selection activeCell="A1" sqref="A1"/>
    </sheetView>
  </sheetViews>
  <sheetFormatPr baseColWidth="8" defaultRowHeight="15"/>
  <cols>
    <col width="8.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2" customWidth="1" min="8" max="8"/>
    <col width="14" customWidth="1" min="9" max="9"/>
    <col width="22" customWidth="1" min="10" max="10"/>
    <col width="28" customWidth="1" min="11" max="11"/>
    <col width="14" customWidth="1" min="12" max="12"/>
    <col width="14" customWidth="1" min="13" max="13"/>
    <col width="2" customWidth="1" min="14" max="14"/>
    <col hidden="1" width="8" customWidth="1" min="15" max="15"/>
    <col hidden="1" width="4" customWidth="1" min="16" max="16"/>
    <col hidden="1" width="6" customWidth="1" min="17" max="17"/>
    <col hidden="1" width="12" customWidth="1" min="18" max="18"/>
    <col hidden="1" width="12" customWidth="1" min="19" max="19"/>
  </cols>
  <sheetData>
    <row r="1" ht="30.75" customHeight="1">
      <c r="A1" s="121" t="n"/>
      <c r="B1" s="122" t="n"/>
      <c r="C1" s="86" t="n"/>
      <c r="D1" s="123" t="inlineStr">
        <is>
          <t>Cruz de segurança</t>
        </is>
      </c>
      <c r="E1" s="122" t="n"/>
      <c r="F1" s="122" t="n"/>
      <c r="G1" s="122" t="n"/>
      <c r="H1" s="122" t="n"/>
      <c r="I1" s="122" t="n"/>
      <c r="J1" s="86" t="n"/>
      <c r="K1" s="124">
        <f>"Rev. "&amp;'Leia-me'!$D$15&amp;"   ·   "&amp;'Leia-me'!$D$16</f>
        <v/>
      </c>
      <c r="L1" s="122" t="n"/>
      <c r="M1" s="86" t="n"/>
    </row>
    <row r="2" ht="28" customHeight="1">
      <c r="A2" s="125" t="n"/>
      <c r="B2" s="126" t="n"/>
      <c r="C2" s="89" t="n"/>
      <c r="D2" s="88" t="inlineStr">
        <is>
          <t>Objetivo: Mostrar dia a dia, no calendário em cruz, como foi a segurança do mês</t>
        </is>
      </c>
      <c r="E2" s="126" t="n"/>
      <c r="F2" s="126" t="n"/>
      <c r="G2" s="126" t="n"/>
      <c r="H2" s="126" t="n"/>
      <c r="I2" s="126" t="n"/>
      <c r="J2" s="89" t="n"/>
      <c r="K2" s="88">
        <f>"Elaborado: "&amp;'Leia-me'!$D$13&amp;"   ·   Aprovado: "&amp;'Leia-me'!$D$14</f>
        <v/>
      </c>
      <c r="L2" s="126" t="n"/>
      <c r="M2" s="89" t="n"/>
    </row>
    <row r="3" ht="36" customHeight="1">
      <c r="A3" s="57" t="n"/>
      <c r="B3" s="57" t="n"/>
      <c r="C3" s="127">
        <f>IF(AND(ISNUMBER($L$4),ISNUMBER($O$4)),IF(1&gt;DAY(DATE($L$4,$O$4+1,0)),"",1),1)</f>
        <v/>
      </c>
      <c r="D3" s="127">
        <f>IF(AND(ISNUMBER($L$4),ISNUMBER($O$4)),IF(2&gt;DAY(DATE($L$4,$O$4+1,0)),"",2),2)</f>
        <v/>
      </c>
      <c r="E3" s="127">
        <f>IF(AND(ISNUMBER($L$4),ISNUMBER($O$4)),IF(3&gt;DAY(DATE($L$4,$O$4+1,0)),"",3),3)</f>
        <v/>
      </c>
      <c r="F3" s="57" t="n"/>
      <c r="G3" s="57" t="n"/>
      <c r="H3" s="57" t="n"/>
      <c r="I3" s="48" t="inlineStr">
        <is>
          <t>Área ou equipe</t>
        </is>
      </c>
      <c r="J3" s="104" t="n"/>
      <c r="K3" s="104" t="n"/>
      <c r="L3" s="49" t="inlineStr">
        <is>
          <t>Ano</t>
        </is>
      </c>
      <c r="M3" s="52" t="inlineStr">
        <is>
          <t>Mês</t>
        </is>
      </c>
    </row>
    <row r="4" ht="36" customHeight="1">
      <c r="A4" s="57" t="n"/>
      <c r="B4" s="57" t="n"/>
      <c r="C4" s="127">
        <f>IF(AND(ISNUMBER($L$4),ISNUMBER($O$4)),IF(4&gt;DAY(DATE($L$4,$O$4+1,0)),"",4),4)</f>
        <v/>
      </c>
      <c r="D4" s="127">
        <f>IF(AND(ISNUMBER($L$4),ISNUMBER($O$4)),IF(5&gt;DAY(DATE($L$4,$O$4+1,0)),"",5),5)</f>
        <v/>
      </c>
      <c r="E4" s="127">
        <f>IF(AND(ISNUMBER($L$4),ISNUMBER($O$4)),IF(6&gt;DAY(DATE($L$4,$O$4+1,0)),"",6),6)</f>
        <v/>
      </c>
      <c r="F4" s="57" t="n"/>
      <c r="G4" s="57" t="n"/>
      <c r="H4" s="57" t="n"/>
      <c r="I4" s="128" t="n"/>
      <c r="J4" s="111" t="n"/>
      <c r="K4" s="111" t="n"/>
      <c r="L4" s="129" t="n"/>
      <c r="M4" s="130" t="n"/>
      <c r="O4">
        <f>IFERROR(MATCH($M$4,{"Janeiro","Fevereiro","Março","Abril","Maio","Junho","Julho","Agosto","Setembro","Outubro","Novembro","Dezembro"},0),"")</f>
        <v/>
      </c>
      <c r="Q4" t="n">
        <v>1</v>
      </c>
      <c r="R4">
        <f>IF(OR(NOT(ISNUMBER($L$4)),NOT(ISNUMBER($O$4))),"",IF(Q4&gt;DAY(DATE($L$4,$O$4+1,0)),"",IF(COUNTIFS($I$13:$I$24,DATE($L$4,$O$4,Q4),$J$13:$J$24,"Acidente com afastamento")&gt;0,"Vermelho",IF(COUNTIFS($I$13:$I$24,DATE($L$4,$O$4,Q4),$J$13:$J$24,"Primeiros socorros")&gt;0,"Amarelo",IF(COUNTIFS($I$13:$I$24,DATE($L$4,$O$4,Q4),$J$13:$J$24,"Quase acidente")&gt;0,"Azul",IF(OR(COUNTIFS($I$13:$I$24,DATE($L$4,$O$4,Q4),$J$13:$J$24,"Não trabalhado")&gt;0,IF($I$6="Segunda a sexta",WEEKDAY(DATE($L$4,$O$4,Q4),2)&gt;5,IF($I$6="Segunda a sábado",WEEKDAY(DATE($L$4,$O$4,Q4),2)&gt;6,FALSE))),"Branco",IF(DATE($L$4,$O$4,Q4)&gt;$L$6,"Futuro","Verde")))))))</f>
        <v/>
      </c>
    </row>
    <row r="5" ht="36" customHeight="1">
      <c r="A5" s="127">
        <f>IF(AND(ISNUMBER($L$4),ISNUMBER($O$4)),IF(7&gt;DAY(DATE($L$4,$O$4+1,0)),"",7),7)</f>
        <v/>
      </c>
      <c r="B5" s="127">
        <f>IF(AND(ISNUMBER($L$4),ISNUMBER($O$4)),IF(8&gt;DAY(DATE($L$4,$O$4+1,0)),"",8),8)</f>
        <v/>
      </c>
      <c r="C5" s="127">
        <f>IF(AND(ISNUMBER($L$4),ISNUMBER($O$4)),IF(9&gt;DAY(DATE($L$4,$O$4+1,0)),"",9),9)</f>
        <v/>
      </c>
      <c r="D5" s="127">
        <f>IF(AND(ISNUMBER($L$4),ISNUMBER($O$4)),IF(10&gt;DAY(DATE($L$4,$O$4+1,0)),"",10),10)</f>
        <v/>
      </c>
      <c r="E5" s="127">
        <f>IF(AND(ISNUMBER($L$4),ISNUMBER($O$4)),IF(11&gt;DAY(DATE($L$4,$O$4+1,0)),"",11),11)</f>
        <v/>
      </c>
      <c r="F5" s="127">
        <f>IF(AND(ISNUMBER($L$4),ISNUMBER($O$4)),IF(12&gt;DAY(DATE($L$4,$O$4+1,0)),"",12),12)</f>
        <v/>
      </c>
      <c r="G5" s="127">
        <f>IF(AND(ISNUMBER($L$4),ISNUMBER($O$4)),IF(13&gt;DAY(DATE($L$4,$O$4+1,0)),"",13),13)</f>
        <v/>
      </c>
      <c r="H5" s="57" t="n"/>
      <c r="I5" s="96" t="inlineStr">
        <is>
          <t>Dias de trabalho</t>
        </is>
      </c>
      <c r="J5" s="111" t="n"/>
      <c r="K5" s="67" t="inlineStr">
        <is>
          <t>Situação até (vazio = hoje)</t>
        </is>
      </c>
      <c r="L5" s="67" t="inlineStr">
        <is>
          <t>Dia usado</t>
        </is>
      </c>
      <c r="M5" s="112" t="n"/>
      <c r="Q5" t="n">
        <v>2</v>
      </c>
      <c r="R5">
        <f>IF(OR(NOT(ISNUMBER($L$4)),NOT(ISNUMBER($O$4))),"",IF(Q5&gt;DAY(DATE($L$4,$O$4+1,0)),"",IF(COUNTIFS($I$13:$I$24,DATE($L$4,$O$4,Q5),$J$13:$J$24,"Acidente com afastamento")&gt;0,"Vermelho",IF(COUNTIFS($I$13:$I$24,DATE($L$4,$O$4,Q5),$J$13:$J$24,"Primeiros socorros")&gt;0,"Amarelo",IF(COUNTIFS($I$13:$I$24,DATE($L$4,$O$4,Q5),$J$13:$J$24,"Quase acidente")&gt;0,"Azul",IF(OR(COUNTIFS($I$13:$I$24,DATE($L$4,$O$4,Q5),$J$13:$J$24,"Não trabalhado")&gt;0,IF($I$6="Segunda a sexta",WEEKDAY(DATE($L$4,$O$4,Q5),2)&gt;5,IF($I$6="Segunda a sábado",WEEKDAY(DATE($L$4,$O$4,Q5),2)&gt;6,FALSE))),"Branco",IF(DATE($L$4,$O$4,Q5)&gt;$L$6,"Futuro","Verde")))))))</f>
        <v/>
      </c>
    </row>
    <row r="6" ht="36" customHeight="1">
      <c r="A6" s="127">
        <f>IF(AND(ISNUMBER($L$4),ISNUMBER($O$4)),IF(14&gt;DAY(DATE($L$4,$O$4+1,0)),"",14),14)</f>
        <v/>
      </c>
      <c r="B6" s="127">
        <f>IF(AND(ISNUMBER($L$4),ISNUMBER($O$4)),IF(15&gt;DAY(DATE($L$4,$O$4+1,0)),"",15),15)</f>
        <v/>
      </c>
      <c r="C6" s="127">
        <f>IF(AND(ISNUMBER($L$4),ISNUMBER($O$4)),IF(16&gt;DAY(DATE($L$4,$O$4+1,0)),"",16),16)</f>
        <v/>
      </c>
      <c r="D6" s="127">
        <f>IF(AND(ISNUMBER($L$4),ISNUMBER($O$4)),IF(17&gt;DAY(DATE($L$4,$O$4+1,0)),"",17),17)</f>
        <v/>
      </c>
      <c r="E6" s="127">
        <f>IF(AND(ISNUMBER($L$4),ISNUMBER($O$4)),IF(18&gt;DAY(DATE($L$4,$O$4+1,0)),"",18),18)</f>
        <v/>
      </c>
      <c r="F6" s="127">
        <f>IF(AND(ISNUMBER($L$4),ISNUMBER($O$4)),IF(19&gt;DAY(DATE($L$4,$O$4+1,0)),"",19),19)</f>
        <v/>
      </c>
      <c r="G6" s="127">
        <f>IF(AND(ISNUMBER($L$4),ISNUMBER($O$4)),IF(20&gt;DAY(DATE($L$4,$O$4+1,0)),"",20),20)</f>
        <v/>
      </c>
      <c r="H6" s="57" t="n"/>
      <c r="I6" s="131" t="inlineStr">
        <is>
          <t>Segunda a sexta</t>
        </is>
      </c>
      <c r="J6" s="107" t="n"/>
      <c r="K6" s="132" t="n"/>
      <c r="L6" s="132">
        <f>IF(ISNUMBER(K6),K6,TODAY())</f>
        <v/>
      </c>
      <c r="M6" s="108" t="n"/>
      <c r="Q6" t="n">
        <v>3</v>
      </c>
      <c r="R6">
        <f>IF(OR(NOT(ISNUMBER($L$4)),NOT(ISNUMBER($O$4))),"",IF(Q6&gt;DAY(DATE($L$4,$O$4+1,0)),"",IF(COUNTIFS($I$13:$I$24,DATE($L$4,$O$4,Q6),$J$13:$J$24,"Acidente com afastamento")&gt;0,"Vermelho",IF(COUNTIFS($I$13:$I$24,DATE($L$4,$O$4,Q6),$J$13:$J$24,"Primeiros socorros")&gt;0,"Amarelo",IF(COUNTIFS($I$13:$I$24,DATE($L$4,$O$4,Q6),$J$13:$J$24,"Quase acidente")&gt;0,"Azul",IF(OR(COUNTIFS($I$13:$I$24,DATE($L$4,$O$4,Q6),$J$13:$J$24,"Não trabalhado")&gt;0,IF($I$6="Segunda a sexta",WEEKDAY(DATE($L$4,$O$4,Q6),2)&gt;5,IF($I$6="Segunda a sábado",WEEKDAY(DATE($L$4,$O$4,Q6),2)&gt;6,FALSE))),"Branco",IF(DATE($L$4,$O$4,Q6)&gt;$L$6,"Futuro","Verde")))))))</f>
        <v/>
      </c>
    </row>
    <row r="7" ht="36" customHeight="1">
      <c r="A7" s="127">
        <f>IF(AND(ISNUMBER($L$4),ISNUMBER($O$4)),IF(21&gt;DAY(DATE($L$4,$O$4+1,0)),"",21),21)</f>
        <v/>
      </c>
      <c r="B7" s="127">
        <f>IF(AND(ISNUMBER($L$4),ISNUMBER($O$4)),IF(22&gt;DAY(DATE($L$4,$O$4+1,0)),"",22),22)</f>
        <v/>
      </c>
      <c r="C7" s="127">
        <f>IF(AND(ISNUMBER($L$4),ISNUMBER($O$4)),IF(23&gt;DAY(DATE($L$4,$O$4+1,0)),"",23),23)</f>
        <v/>
      </c>
      <c r="D7" s="127">
        <f>IF(AND(ISNUMBER($L$4),ISNUMBER($O$4)),IF(24&gt;DAY(DATE($L$4,$O$4+1,0)),"",24),24)</f>
        <v/>
      </c>
      <c r="E7" s="127">
        <f>IF(AND(ISNUMBER($L$4),ISNUMBER($O$4)),IF(25&gt;DAY(DATE($L$4,$O$4+1,0)),"",25),25)</f>
        <v/>
      </c>
      <c r="F7" s="127">
        <f>IF(AND(ISNUMBER($L$4),ISNUMBER($O$4)),IF(26&gt;DAY(DATE($L$4,$O$4+1,0)),"",26),26)</f>
        <v/>
      </c>
      <c r="G7" s="127">
        <f>IF(AND(ISNUMBER($L$4),ISNUMBER($O$4)),IF(27&gt;DAY(DATE($L$4,$O$4+1,0)),"",27),27)</f>
        <v/>
      </c>
      <c r="H7" s="57" t="n"/>
      <c r="I7" s="133" t="inlineStr">
        <is>
          <r>
            <rPr>
              <rFont val="Arial"/>
              <b val="1"/>
              <color rgb="001E9E4A"/>
              <sz val="11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Verde: dia seguro      </t>
          </r>
          <r>
            <rPr>
              <rFont val="Arial"/>
              <b val="1"/>
              <color rgb="002F80ED"/>
              <sz val="11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Azul: quase acidente      </t>
          </r>
          <r>
            <rPr>
              <rFont val="Arial"/>
              <b val="1"/>
              <color rgb="00F2B705"/>
              <sz val="11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Amarelo: primeiros socorros
</t>
          </r>
          <r>
            <rPr>
              <rFont val="Arial"/>
              <b val="1"/>
              <color rgb="00D93025"/>
              <sz val="11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Vermelho: com afastamento      </t>
          </r>
          <r>
            <rPr>
              <rFont val="Arial"/>
              <b val="1"/>
              <color rgb="009AA3B2"/>
              <sz val="11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Branco: não trabalhado      </t>
          </r>
        </is>
      </c>
      <c r="M7" s="98" t="n"/>
      <c r="Q7" t="n">
        <v>4</v>
      </c>
      <c r="R7">
        <f>IF(OR(NOT(ISNUMBER($L$4)),NOT(ISNUMBER($O$4))),"",IF(Q7&gt;DAY(DATE($L$4,$O$4+1,0)),"",IF(COUNTIFS($I$13:$I$24,DATE($L$4,$O$4,Q7),$J$13:$J$24,"Acidente com afastamento")&gt;0,"Vermelho",IF(COUNTIFS($I$13:$I$24,DATE($L$4,$O$4,Q7),$J$13:$J$24,"Primeiros socorros")&gt;0,"Amarelo",IF(COUNTIFS($I$13:$I$24,DATE($L$4,$O$4,Q7),$J$13:$J$24,"Quase acidente")&gt;0,"Azul",IF(OR(COUNTIFS($I$13:$I$24,DATE($L$4,$O$4,Q7),$J$13:$J$24,"Não trabalhado")&gt;0,IF($I$6="Segunda a sexta",WEEKDAY(DATE($L$4,$O$4,Q7),2)&gt;5,IF($I$6="Segunda a sábado",WEEKDAY(DATE($L$4,$O$4,Q7),2)&gt;6,FALSE))),"Branco",IF(DATE($L$4,$O$4,Q7)&gt;$L$6,"Futuro","Verde")))))))</f>
        <v/>
      </c>
    </row>
    <row r="8" ht="36" customHeight="1">
      <c r="A8" s="57" t="n"/>
      <c r="B8" s="57" t="n"/>
      <c r="C8" s="127">
        <f>IF(AND(ISNUMBER($L$4),ISNUMBER($O$4)),IF(28&gt;DAY(DATE($L$4,$O$4+1,0)),"",28),28)</f>
        <v/>
      </c>
      <c r="D8" s="127">
        <f>IF(AND(ISNUMBER($L$4),ISNUMBER($O$4)),IF(29&gt;DAY(DATE($L$4,$O$4+1,0)),"",29),29)</f>
        <v/>
      </c>
      <c r="E8" s="127">
        <f>IF(AND(ISNUMBER($L$4),ISNUMBER($O$4)),IF(30&gt;DAY(DATE($L$4,$O$4+1,0)),"",30),30)</f>
        <v/>
      </c>
      <c r="F8" s="57" t="n"/>
      <c r="G8" s="57" t="n"/>
      <c r="H8" s="57" t="n"/>
      <c r="I8" s="134" t="n"/>
      <c r="M8" s="98" t="n"/>
      <c r="Q8" t="n">
        <v>5</v>
      </c>
      <c r="R8">
        <f>IF(OR(NOT(ISNUMBER($L$4)),NOT(ISNUMBER($O$4))),"",IF(Q8&gt;DAY(DATE($L$4,$O$4+1,0)),"",IF(COUNTIFS($I$13:$I$24,DATE($L$4,$O$4,Q8),$J$13:$J$24,"Acidente com afastamento")&gt;0,"Vermelho",IF(COUNTIFS($I$13:$I$24,DATE($L$4,$O$4,Q8),$J$13:$J$24,"Primeiros socorros")&gt;0,"Amarelo",IF(COUNTIFS($I$13:$I$24,DATE($L$4,$O$4,Q8),$J$13:$J$24,"Quase acidente")&gt;0,"Azul",IF(OR(COUNTIFS($I$13:$I$24,DATE($L$4,$O$4,Q8),$J$13:$J$24,"Não trabalhado")&gt;0,IF($I$6="Segunda a sexta",WEEKDAY(DATE($L$4,$O$4,Q8),2)&gt;5,IF($I$6="Segunda a sábado",WEEKDAY(DATE($L$4,$O$4,Q8),2)&gt;6,FALSE))),"Branco",IF(DATE($L$4,$O$4,Q8)&gt;$L$6,"Futuro","Verde")))))))</f>
        <v/>
      </c>
    </row>
    <row r="9" ht="36" customHeight="1">
      <c r="A9" s="57" t="n"/>
      <c r="B9" s="57" t="n"/>
      <c r="C9" s="57" t="n"/>
      <c r="D9" s="127">
        <f>IF(AND(ISNUMBER($L$4),ISNUMBER($O$4)),IF(31&gt;DAY(DATE($L$4,$O$4+1,0)),"",31),31)</f>
        <v/>
      </c>
      <c r="E9" s="57" t="n"/>
      <c r="F9" s="57" t="n"/>
      <c r="G9" s="57" t="n"/>
      <c r="H9" s="57" t="n"/>
      <c r="I9" s="135" t="n"/>
      <c r="J9" s="136" t="n"/>
      <c r="K9" s="136" t="n"/>
      <c r="L9" s="136" t="n"/>
      <c r="M9" s="137" t="n"/>
      <c r="Q9" t="n">
        <v>6</v>
      </c>
      <c r="R9">
        <f>IF(OR(NOT(ISNUMBER($L$4)),NOT(ISNUMBER($O$4))),"",IF(Q9&gt;DAY(DATE($L$4,$O$4+1,0)),"",IF(COUNTIFS($I$13:$I$24,DATE($L$4,$O$4,Q9),$J$13:$J$24,"Acidente com afastamento")&gt;0,"Vermelho",IF(COUNTIFS($I$13:$I$24,DATE($L$4,$O$4,Q9),$J$13:$J$24,"Primeiros socorros")&gt;0,"Amarelo",IF(COUNTIFS($I$13:$I$24,DATE($L$4,$O$4,Q9),$J$13:$J$24,"Quase acidente")&gt;0,"Azul",IF(OR(COUNTIFS($I$13:$I$24,DATE($L$4,$O$4,Q9),$J$13:$J$24,"Não trabalhado")&gt;0,IF($I$6="Segunda a sexta",WEEKDAY(DATE($L$4,$O$4,Q9),2)&gt;5,IF($I$6="Segunda a sábado",WEEKDAY(DATE($L$4,$O$4,Q9),2)&gt;6,FALSE))),"Branco",IF(DATE($L$4,$O$4,Q9)&gt;$L$6,"Futuro","Verde")))))))</f>
        <v/>
      </c>
    </row>
    <row r="10" ht="22" customHeight="1">
      <c r="A10" s="57" t="n"/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Q10" t="n">
        <v>7</v>
      </c>
      <c r="R10">
        <f>IF(OR(NOT(ISNUMBER($L$4)),NOT(ISNUMBER($O$4))),"",IF(Q10&gt;DAY(DATE($L$4,$O$4+1,0)),"",IF(COUNTIFS($I$13:$I$24,DATE($L$4,$O$4,Q10),$J$13:$J$24,"Acidente com afastamento")&gt;0,"Vermelho",IF(COUNTIFS($I$13:$I$24,DATE($L$4,$O$4,Q10),$J$13:$J$24,"Primeiros socorros")&gt;0,"Amarelo",IF(COUNTIFS($I$13:$I$24,DATE($L$4,$O$4,Q10),$J$13:$J$24,"Quase acidente")&gt;0,"Azul",IF(OR(COUNTIFS($I$13:$I$24,DATE($L$4,$O$4,Q10),$J$13:$J$24,"Não trabalhado")&gt;0,IF($I$6="Segunda a sexta",WEEKDAY(DATE($L$4,$O$4,Q10),2)&gt;5,IF($I$6="Segunda a sábado",WEEKDAY(DATE($L$4,$O$4,Q10),2)&gt;6,FALSE))),"Branco",IF(DATE($L$4,$O$4,Q10)&gt;$L$6,"Futuro","Verde")))))))</f>
        <v/>
      </c>
    </row>
    <row r="11" ht="22" customHeight="1">
      <c r="A11" s="138" t="inlineStr">
        <is>
          <r>
            <rPr>
              <rFont val="Arial"/>
              <b val="1"/>
              <color rgb="00FFFFFF"/>
              <sz val="10"/>
            </rPr>
            <t>Este mês</t>
          </r>
          <r>
            <rPr>
              <rFont val="Arial"/>
              <color rgb="00D3DEEC"/>
              <sz val="8"/>
            </rPr>
            <t xml:space="preserve">   dias por cor</t>
          </r>
        </is>
      </c>
      <c r="B11" s="139" t="n"/>
      <c r="C11" s="139" t="n"/>
      <c r="D11" s="139" t="n"/>
      <c r="E11" s="139" t="n"/>
      <c r="F11" s="139" t="n"/>
      <c r="G11" s="140" t="n"/>
      <c r="H11" s="57" t="n"/>
      <c r="I11" s="138" t="inlineStr">
        <is>
          <r>
            <rPr>
              <rFont val="Arial"/>
              <b val="1"/>
              <color rgb="00FFFFFF"/>
              <sz val="10"/>
            </rPr>
            <t>Registro de eventos</t>
          </r>
          <r>
            <rPr>
              <rFont val="Arial"/>
              <color rgb="00D3DEEC"/>
              <sz val="8"/>
            </rPr>
            <t xml:space="preserve">   um por linha; dia sem evento fica verde</t>
          </r>
        </is>
      </c>
      <c r="J11" s="139" t="n"/>
      <c r="K11" s="139" t="n"/>
      <c r="L11" s="139" t="n"/>
      <c r="M11" s="140" t="n"/>
      <c r="Q11" t="n">
        <v>8</v>
      </c>
      <c r="R11">
        <f>IF(OR(NOT(ISNUMBER($L$4)),NOT(ISNUMBER($O$4))),"",IF(Q11&gt;DAY(DATE($L$4,$O$4+1,0)),"",IF(COUNTIFS($I$13:$I$24,DATE($L$4,$O$4,Q11),$J$13:$J$24,"Acidente com afastamento")&gt;0,"Vermelho",IF(COUNTIFS($I$13:$I$24,DATE($L$4,$O$4,Q11),$J$13:$J$24,"Primeiros socorros")&gt;0,"Amarelo",IF(COUNTIFS($I$13:$I$24,DATE($L$4,$O$4,Q11),$J$13:$J$24,"Quase acidente")&gt;0,"Azul",IF(OR(COUNTIFS($I$13:$I$24,DATE($L$4,$O$4,Q11),$J$13:$J$24,"Não trabalhado")&gt;0,IF($I$6="Segunda a sexta",WEEKDAY(DATE($L$4,$O$4,Q11),2)&gt;5,IF($I$6="Segunda a sábado",WEEKDAY(DATE($L$4,$O$4,Q11),2)&gt;6,FALSE))),"Branco",IF(DATE($L$4,$O$4,Q11)&gt;$L$6,"Futuro","Verde")))))))</f>
        <v/>
      </c>
    </row>
    <row r="12" ht="26" customHeight="1">
      <c r="A12" s="141" t="inlineStr">
        <is>
          <r>
            <rPr>
              <rFont val="Arial"/>
              <b val="1"/>
              <color rgb="001E9E4A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Dias verdes (seguros)</t>
          </r>
        </is>
      </c>
      <c r="B12" s="136" t="n"/>
      <c r="C12" s="136" t="n"/>
      <c r="D12" s="136" t="n"/>
      <c r="E12" s="136" t="n"/>
      <c r="F12" s="142">
        <f>COUNTIF($R$4:$R$34,"Verde")</f>
        <v/>
      </c>
      <c r="G12" s="137" t="n"/>
      <c r="H12" s="57" t="n"/>
      <c r="I12" s="71" t="inlineStr">
        <is>
          <t>Data</t>
        </is>
      </c>
      <c r="J12" s="73" t="inlineStr">
        <is>
          <t>Categoria</t>
        </is>
      </c>
      <c r="K12" s="73" t="inlineStr">
        <is>
          <t>O que aconteceu</t>
        </is>
      </c>
      <c r="L12" s="74" t="inlineStr">
        <is>
          <t>Nº do relatório</t>
        </is>
      </c>
      <c r="M12" s="115" t="n"/>
      <c r="Q12" t="n">
        <v>9</v>
      </c>
      <c r="R12">
        <f>IF(OR(NOT(ISNUMBER($L$4)),NOT(ISNUMBER($O$4))),"",IF(Q12&gt;DAY(DATE($L$4,$O$4+1,0)),"",IF(COUNTIFS($I$13:$I$24,DATE($L$4,$O$4,Q12),$J$13:$J$24,"Acidente com afastamento")&gt;0,"Vermelho",IF(COUNTIFS($I$13:$I$24,DATE($L$4,$O$4,Q12),$J$13:$J$24,"Primeiros socorros")&gt;0,"Amarelo",IF(COUNTIFS($I$13:$I$24,DATE($L$4,$O$4,Q12),$J$13:$J$24,"Quase acidente")&gt;0,"Azul",IF(OR(COUNTIFS($I$13:$I$24,DATE($L$4,$O$4,Q12),$J$13:$J$24,"Não trabalhado")&gt;0,IF($I$6="Segunda a sexta",WEEKDAY(DATE($L$4,$O$4,Q12),2)&gt;5,IF($I$6="Segunda a sábado",WEEKDAY(DATE($L$4,$O$4,Q12),2)&gt;6,FALSE))),"Branco",IF(DATE($L$4,$O$4,Q12)&gt;$L$6,"Futuro","Verde")))))))</f>
        <v/>
      </c>
    </row>
    <row r="13" ht="22" customHeight="1">
      <c r="A13" s="141" t="inlineStr">
        <is>
          <r>
            <rPr>
              <rFont val="Arial"/>
              <b val="1"/>
              <color rgb="002F80ED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Dias azuis (quase acidente)</t>
          </r>
        </is>
      </c>
      <c r="B13" s="136" t="n"/>
      <c r="C13" s="136" t="n"/>
      <c r="D13" s="136" t="n"/>
      <c r="E13" s="136" t="n"/>
      <c r="F13" s="142">
        <f>COUNTIF($R$4:$R$34,"Azul")</f>
        <v/>
      </c>
      <c r="G13" s="137" t="n"/>
      <c r="H13" s="57" t="n"/>
      <c r="I13" s="143" t="n"/>
      <c r="J13" s="144" t="n"/>
      <c r="K13" s="145" t="n"/>
      <c r="L13" s="146" t="n"/>
      <c r="M13" s="137" t="n"/>
      <c r="Q13" t="n">
        <v>10</v>
      </c>
      <c r="R13">
        <f>IF(OR(NOT(ISNUMBER($L$4)),NOT(ISNUMBER($O$4))),"",IF(Q13&gt;DAY(DATE($L$4,$O$4+1,0)),"",IF(COUNTIFS($I$13:$I$24,DATE($L$4,$O$4,Q13),$J$13:$J$24,"Acidente com afastamento")&gt;0,"Vermelho",IF(COUNTIFS($I$13:$I$24,DATE($L$4,$O$4,Q13),$J$13:$J$24,"Primeiros socorros")&gt;0,"Amarelo",IF(COUNTIFS($I$13:$I$24,DATE($L$4,$O$4,Q13),$J$13:$J$24,"Quase acidente")&gt;0,"Azul",IF(OR(COUNTIFS($I$13:$I$24,DATE($L$4,$O$4,Q13),$J$13:$J$24,"Não trabalhado")&gt;0,IF($I$6="Segunda a sexta",WEEKDAY(DATE($L$4,$O$4,Q13),2)&gt;5,IF($I$6="Segunda a sábado",WEEKDAY(DATE($L$4,$O$4,Q13),2)&gt;6,FALSE))),"Branco",IF(DATE($L$4,$O$4,Q13)&gt;$L$6,"Futuro","Verde")))))))</f>
        <v/>
      </c>
    </row>
    <row r="14" ht="22" customHeight="1">
      <c r="A14" s="141" t="inlineStr">
        <is>
          <r>
            <rPr>
              <rFont val="Arial"/>
              <b val="1"/>
              <color rgb="00F2B705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Dias amarelos (primeiros socorros)</t>
          </r>
        </is>
      </c>
      <c r="B14" s="136" t="n"/>
      <c r="C14" s="136" t="n"/>
      <c r="D14" s="136" t="n"/>
      <c r="E14" s="136" t="n"/>
      <c r="F14" s="142">
        <f>COUNTIF($R$4:$R$34,"Amarelo")</f>
        <v/>
      </c>
      <c r="G14" s="137" t="n"/>
      <c r="H14" s="57" t="n"/>
      <c r="I14" s="143" t="n"/>
      <c r="J14" s="144" t="n"/>
      <c r="K14" s="145" t="n"/>
      <c r="L14" s="146" t="n"/>
      <c r="M14" s="137" t="n"/>
      <c r="Q14" t="n">
        <v>11</v>
      </c>
      <c r="R14">
        <f>IF(OR(NOT(ISNUMBER($L$4)),NOT(ISNUMBER($O$4))),"",IF(Q14&gt;DAY(DATE($L$4,$O$4+1,0)),"",IF(COUNTIFS($I$13:$I$24,DATE($L$4,$O$4,Q14),$J$13:$J$24,"Acidente com afastamento")&gt;0,"Vermelho",IF(COUNTIFS($I$13:$I$24,DATE($L$4,$O$4,Q14),$J$13:$J$24,"Primeiros socorros")&gt;0,"Amarelo",IF(COUNTIFS($I$13:$I$24,DATE($L$4,$O$4,Q14),$J$13:$J$24,"Quase acidente")&gt;0,"Azul",IF(OR(COUNTIFS($I$13:$I$24,DATE($L$4,$O$4,Q14),$J$13:$J$24,"Não trabalhado")&gt;0,IF($I$6="Segunda a sexta",WEEKDAY(DATE($L$4,$O$4,Q14),2)&gt;5,IF($I$6="Segunda a sábado",WEEKDAY(DATE($L$4,$O$4,Q14),2)&gt;6,FALSE))),"Branco",IF(DATE($L$4,$O$4,Q14)&gt;$L$6,"Futuro","Verde")))))))</f>
        <v/>
      </c>
    </row>
    <row r="15" ht="22" customHeight="1">
      <c r="A15" s="141" t="inlineStr">
        <is>
          <r>
            <rPr>
              <rFont val="Arial"/>
              <b val="1"/>
              <color rgb="00D93025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Dias vermelhos (com afastamento)</t>
          </r>
        </is>
      </c>
      <c r="B15" s="136" t="n"/>
      <c r="C15" s="136" t="n"/>
      <c r="D15" s="136" t="n"/>
      <c r="E15" s="136" t="n"/>
      <c r="F15" s="142">
        <f>COUNTIF($R$4:$R$34,"Vermelho")</f>
        <v/>
      </c>
      <c r="G15" s="137" t="n"/>
      <c r="H15" s="57" t="n"/>
      <c r="I15" s="143" t="n"/>
      <c r="J15" s="144" t="n"/>
      <c r="K15" s="145" t="n"/>
      <c r="L15" s="146" t="n"/>
      <c r="M15" s="137" t="n"/>
      <c r="Q15" t="n">
        <v>12</v>
      </c>
      <c r="R15">
        <f>IF(OR(NOT(ISNUMBER($L$4)),NOT(ISNUMBER($O$4))),"",IF(Q15&gt;DAY(DATE($L$4,$O$4+1,0)),"",IF(COUNTIFS($I$13:$I$24,DATE($L$4,$O$4,Q15),$J$13:$J$24,"Acidente com afastamento")&gt;0,"Vermelho",IF(COUNTIFS($I$13:$I$24,DATE($L$4,$O$4,Q15),$J$13:$J$24,"Primeiros socorros")&gt;0,"Amarelo",IF(COUNTIFS($I$13:$I$24,DATE($L$4,$O$4,Q15),$J$13:$J$24,"Quase acidente")&gt;0,"Azul",IF(OR(COUNTIFS($I$13:$I$24,DATE($L$4,$O$4,Q15),$J$13:$J$24,"Não trabalhado")&gt;0,IF($I$6="Segunda a sexta",WEEKDAY(DATE($L$4,$O$4,Q15),2)&gt;5,IF($I$6="Segunda a sábado",WEEKDAY(DATE($L$4,$O$4,Q15),2)&gt;6,FALSE))),"Branco",IF(DATE($L$4,$O$4,Q15)&gt;$L$6,"Futuro","Verde")))))))</f>
        <v/>
      </c>
    </row>
    <row r="16" ht="22" customHeight="1">
      <c r="A16" s="141" t="inlineStr">
        <is>
          <r>
            <rPr>
              <rFont val="Arial"/>
              <b val="1"/>
              <color rgb="009AA3B2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Dias não trabalhados</t>
          </r>
        </is>
      </c>
      <c r="B16" s="136" t="n"/>
      <c r="C16" s="136" t="n"/>
      <c r="D16" s="136" t="n"/>
      <c r="E16" s="136" t="n"/>
      <c r="F16" s="142">
        <f>COUNTIF($R$4:$R$34,"Branco")</f>
        <v/>
      </c>
      <c r="G16" s="137" t="n"/>
      <c r="H16" s="57" t="n"/>
      <c r="I16" s="143" t="n"/>
      <c r="J16" s="144" t="n"/>
      <c r="K16" s="145" t="n"/>
      <c r="L16" s="146" t="n"/>
      <c r="M16" s="137" t="n"/>
      <c r="Q16" t="n">
        <v>13</v>
      </c>
      <c r="R16">
        <f>IF(OR(NOT(ISNUMBER($L$4)),NOT(ISNUMBER($O$4))),"",IF(Q16&gt;DAY(DATE($L$4,$O$4+1,0)),"",IF(COUNTIFS($I$13:$I$24,DATE($L$4,$O$4,Q16),$J$13:$J$24,"Acidente com afastamento")&gt;0,"Vermelho",IF(COUNTIFS($I$13:$I$24,DATE($L$4,$O$4,Q16),$J$13:$J$24,"Primeiros socorros")&gt;0,"Amarelo",IF(COUNTIFS($I$13:$I$24,DATE($L$4,$O$4,Q16),$J$13:$J$24,"Quase acidente")&gt;0,"Azul",IF(OR(COUNTIFS($I$13:$I$24,DATE($L$4,$O$4,Q16),$J$13:$J$24,"Não trabalhado")&gt;0,IF($I$6="Segunda a sexta",WEEKDAY(DATE($L$4,$O$4,Q16),2)&gt;5,IF($I$6="Segunda a sábado",WEEKDAY(DATE($L$4,$O$4,Q16),2)&gt;6,FALSE))),"Branco",IF(DATE($L$4,$O$4,Q16)&gt;$L$6,"Futuro","Verde")))))))</f>
        <v/>
      </c>
    </row>
    <row r="17" ht="22" customHeight="1">
      <c r="A17" s="141" t="inlineStr">
        <is>
          <r>
            <rPr>
              <rFont val="Arial"/>
              <b val="1"/>
              <color rgb="001F5AA6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Dias trabalhados</t>
          </r>
        </is>
      </c>
      <c r="B17" s="136" t="n"/>
      <c r="C17" s="136" t="n"/>
      <c r="D17" s="136" t="n"/>
      <c r="E17" s="136" t="n"/>
      <c r="F17" s="142">
        <f>COUNTIF($R$4:$R$34,"Verde")+COUNTIF($R$4:$R$34,"Azul")+COUNTIF($R$4:$R$34,"Amarelo")+COUNTIF($R$4:$R$34,"Vermelho")</f>
        <v/>
      </c>
      <c r="G17" s="137" t="n"/>
      <c r="H17" s="57" t="n"/>
      <c r="I17" s="143" t="n"/>
      <c r="J17" s="144" t="n"/>
      <c r="K17" s="145" t="n"/>
      <c r="L17" s="146" t="n"/>
      <c r="M17" s="137" t="n"/>
      <c r="Q17" t="n">
        <v>14</v>
      </c>
      <c r="R17">
        <f>IF(OR(NOT(ISNUMBER($L$4)),NOT(ISNUMBER($O$4))),"",IF(Q17&gt;DAY(DATE($L$4,$O$4+1,0)),"",IF(COUNTIFS($I$13:$I$24,DATE($L$4,$O$4,Q17),$J$13:$J$24,"Acidente com afastamento")&gt;0,"Vermelho",IF(COUNTIFS($I$13:$I$24,DATE($L$4,$O$4,Q17),$J$13:$J$24,"Primeiros socorros")&gt;0,"Amarelo",IF(COUNTIFS($I$13:$I$24,DATE($L$4,$O$4,Q17),$J$13:$J$24,"Quase acidente")&gt;0,"Azul",IF(OR(COUNTIFS($I$13:$I$24,DATE($L$4,$O$4,Q17),$J$13:$J$24,"Não trabalhado")&gt;0,IF($I$6="Segunda a sexta",WEEKDAY(DATE($L$4,$O$4,Q17),2)&gt;5,IF($I$6="Segunda a sábado",WEEKDAY(DATE($L$4,$O$4,Q17),2)&gt;6,FALSE))),"Branco",IF(DATE($L$4,$O$4,Q17)&gt;$L$6,"Futuro","Verde")))))))</f>
        <v/>
      </c>
    </row>
    <row r="18" ht="22" customHeight="1">
      <c r="A18" s="141" t="inlineStr">
        <is>
          <r>
            <rPr>
              <rFont val="Arial"/>
              <b val="1"/>
              <color rgb="001E7A46"/>
              <sz val="11"/>
            </rPr>
            <t xml:space="preserve">● </t>
          </r>
          <r>
            <rPr>
              <rFont val="Arial"/>
              <b val="1"/>
              <color rgb="000E1726"/>
              <sz val="9"/>
            </rPr>
            <t>% de dias seguros (verdes)</t>
          </r>
        </is>
      </c>
      <c r="B18" s="136" t="n"/>
      <c r="C18" s="136" t="n"/>
      <c r="D18" s="136" t="n"/>
      <c r="E18" s="136" t="n"/>
      <c r="F18" s="147">
        <f>IF(F17&gt;0,F12/F17,"")</f>
        <v/>
      </c>
      <c r="G18" s="137" t="n"/>
      <c r="H18" s="57" t="n"/>
      <c r="I18" s="143" t="n"/>
      <c r="J18" s="144" t="n"/>
      <c r="K18" s="145" t="n"/>
      <c r="L18" s="146" t="n"/>
      <c r="M18" s="137" t="n"/>
      <c r="Q18" t="n">
        <v>15</v>
      </c>
      <c r="R18">
        <f>IF(OR(NOT(ISNUMBER($L$4)),NOT(ISNUMBER($O$4))),"",IF(Q18&gt;DAY(DATE($L$4,$O$4+1,0)),"",IF(COUNTIFS($I$13:$I$24,DATE($L$4,$O$4,Q18),$J$13:$J$24,"Acidente com afastamento")&gt;0,"Vermelho",IF(COUNTIFS($I$13:$I$24,DATE($L$4,$O$4,Q18),$J$13:$J$24,"Primeiros socorros")&gt;0,"Amarelo",IF(COUNTIFS($I$13:$I$24,DATE($L$4,$O$4,Q18),$J$13:$J$24,"Quase acidente")&gt;0,"Azul",IF(OR(COUNTIFS($I$13:$I$24,DATE($L$4,$O$4,Q18),$J$13:$J$24,"Não trabalhado")&gt;0,IF($I$6="Segunda a sexta",WEEKDAY(DATE($L$4,$O$4,Q18),2)&gt;5,IF($I$6="Segunda a sábado",WEEKDAY(DATE($L$4,$O$4,Q18),2)&gt;6,FALSE))),"Branco",IF(DATE($L$4,$O$4,Q18)&gt;$L$6,"Futuro","Verde")))))))</f>
        <v/>
      </c>
    </row>
    <row r="19" ht="22" customHeight="1">
      <c r="A19" s="138" t="inlineStr">
        <is>
          <r>
            <rPr>
              <rFont val="Arial"/>
              <b val="1"/>
              <color rgb="00FFFFFF"/>
              <sz val="10"/>
            </rPr>
            <t>Dias desde o último acidente com afastamento</t>
          </r>
          <r>
            <rPr>
              <rFont val="Arial"/>
              <color rgb="00D3DEEC"/>
              <sz val="8"/>
            </rPr>
            <t/>
          </r>
        </is>
      </c>
      <c r="B19" s="139" t="n"/>
      <c r="C19" s="139" t="n"/>
      <c r="D19" s="139" t="n"/>
      <c r="E19" s="139" t="n"/>
      <c r="F19" s="139" t="n"/>
      <c r="G19" s="140" t="n"/>
      <c r="H19" s="57" t="n"/>
      <c r="I19" s="143" t="n"/>
      <c r="J19" s="144" t="n"/>
      <c r="K19" s="145" t="n"/>
      <c r="L19" s="146" t="n"/>
      <c r="M19" s="137" t="n"/>
      <c r="Q19" t="n">
        <v>16</v>
      </c>
      <c r="R19">
        <f>IF(OR(NOT(ISNUMBER($L$4)),NOT(ISNUMBER($O$4))),"",IF(Q19&gt;DAY(DATE($L$4,$O$4+1,0)),"",IF(COUNTIFS($I$13:$I$24,DATE($L$4,$O$4,Q19),$J$13:$J$24,"Acidente com afastamento")&gt;0,"Vermelho",IF(COUNTIFS($I$13:$I$24,DATE($L$4,$O$4,Q19),$J$13:$J$24,"Primeiros socorros")&gt;0,"Amarelo",IF(COUNTIFS($I$13:$I$24,DATE($L$4,$O$4,Q19),$J$13:$J$24,"Quase acidente")&gt;0,"Azul",IF(OR(COUNTIFS($I$13:$I$24,DATE($L$4,$O$4,Q19),$J$13:$J$24,"Não trabalhado")&gt;0,IF($I$6="Segunda a sexta",WEEKDAY(DATE($L$4,$O$4,Q19),2)&gt;5,IF($I$6="Segunda a sábado",WEEKDAY(DATE($L$4,$O$4,Q19),2)&gt;6,FALSE))),"Branco",IF(DATE($L$4,$O$4,Q19)&gt;$L$6,"Futuro","Verde")))))))</f>
        <v/>
      </c>
    </row>
    <row r="20" ht="22" customHeight="1">
      <c r="A20" s="148">
        <f>IF(SUMPRODUCT(MAX(($J$13:$J$24="Acidente com afastamento")*$I$13:$I$24))=0,"Nenhum registrado",MAX(0,$L$6-SUMPRODUCT(MAX(($J$13:$J$24="Acidente com afastamento")*$I$13:$I$24))))</f>
        <v/>
      </c>
      <c r="G20" s="98" t="n"/>
      <c r="H20" s="57" t="n"/>
      <c r="I20" s="143" t="n"/>
      <c r="J20" s="144" t="n"/>
      <c r="K20" s="145" t="n"/>
      <c r="L20" s="146" t="n"/>
      <c r="M20" s="137" t="n"/>
      <c r="Q20" t="n">
        <v>17</v>
      </c>
      <c r="R20">
        <f>IF(OR(NOT(ISNUMBER($L$4)),NOT(ISNUMBER($O$4))),"",IF(Q20&gt;DAY(DATE($L$4,$O$4+1,0)),"",IF(COUNTIFS($I$13:$I$24,DATE($L$4,$O$4,Q20),$J$13:$J$24,"Acidente com afastamento")&gt;0,"Vermelho",IF(COUNTIFS($I$13:$I$24,DATE($L$4,$O$4,Q20),$J$13:$J$24,"Primeiros socorros")&gt;0,"Amarelo",IF(COUNTIFS($I$13:$I$24,DATE($L$4,$O$4,Q20),$J$13:$J$24,"Quase acidente")&gt;0,"Azul",IF(OR(COUNTIFS($I$13:$I$24,DATE($L$4,$O$4,Q20),$J$13:$J$24,"Não trabalhado")&gt;0,IF($I$6="Segunda a sexta",WEEKDAY(DATE($L$4,$O$4,Q20),2)&gt;5,IF($I$6="Segunda a sábado",WEEKDAY(DATE($L$4,$O$4,Q20),2)&gt;6,FALSE))),"Branco",IF(DATE($L$4,$O$4,Q20)&gt;$L$6,"Futuro","Verde")))))))</f>
        <v/>
      </c>
    </row>
    <row r="21" ht="22" customHeight="1">
      <c r="A21" s="134" t="n"/>
      <c r="G21" s="98" t="n"/>
      <c r="H21" s="57" t="n"/>
      <c r="I21" s="143" t="n"/>
      <c r="J21" s="144" t="n"/>
      <c r="K21" s="145" t="n"/>
      <c r="L21" s="146" t="n"/>
      <c r="M21" s="137" t="n"/>
      <c r="Q21" t="n">
        <v>18</v>
      </c>
      <c r="R21">
        <f>IF(OR(NOT(ISNUMBER($L$4)),NOT(ISNUMBER($O$4))),"",IF(Q21&gt;DAY(DATE($L$4,$O$4+1,0)),"",IF(COUNTIFS($I$13:$I$24,DATE($L$4,$O$4,Q21),$J$13:$J$24,"Acidente com afastamento")&gt;0,"Vermelho",IF(COUNTIFS($I$13:$I$24,DATE($L$4,$O$4,Q21),$J$13:$J$24,"Primeiros socorros")&gt;0,"Amarelo",IF(COUNTIFS($I$13:$I$24,DATE($L$4,$O$4,Q21),$J$13:$J$24,"Quase acidente")&gt;0,"Azul",IF(OR(COUNTIFS($I$13:$I$24,DATE($L$4,$O$4,Q21),$J$13:$J$24,"Não trabalhado")&gt;0,IF($I$6="Segunda a sexta",WEEKDAY(DATE($L$4,$O$4,Q21),2)&gt;5,IF($I$6="Segunda a sábado",WEEKDAY(DATE($L$4,$O$4,Q21),2)&gt;6,FALSE))),"Branco",IF(DATE($L$4,$O$4,Q21)&gt;$L$6,"Futuro","Verde")))))))</f>
        <v/>
      </c>
    </row>
    <row r="22" ht="22" customHeight="1">
      <c r="A22" s="134" t="n"/>
      <c r="G22" s="98" t="n"/>
      <c r="H22" s="57" t="n"/>
      <c r="I22" s="143" t="n"/>
      <c r="J22" s="144" t="n"/>
      <c r="K22" s="145" t="n"/>
      <c r="L22" s="146" t="n"/>
      <c r="M22" s="137" t="n"/>
      <c r="Q22" t="n">
        <v>19</v>
      </c>
      <c r="R22">
        <f>IF(OR(NOT(ISNUMBER($L$4)),NOT(ISNUMBER($O$4))),"",IF(Q22&gt;DAY(DATE($L$4,$O$4+1,0)),"",IF(COUNTIFS($I$13:$I$24,DATE($L$4,$O$4,Q22),$J$13:$J$24,"Acidente com afastamento")&gt;0,"Vermelho",IF(COUNTIFS($I$13:$I$24,DATE($L$4,$O$4,Q22),$J$13:$J$24,"Primeiros socorros")&gt;0,"Amarelo",IF(COUNTIFS($I$13:$I$24,DATE($L$4,$O$4,Q22),$J$13:$J$24,"Quase acidente")&gt;0,"Azul",IF(OR(COUNTIFS($I$13:$I$24,DATE($L$4,$O$4,Q22),$J$13:$J$24,"Não trabalhado")&gt;0,IF($I$6="Segunda a sexta",WEEKDAY(DATE($L$4,$O$4,Q22),2)&gt;5,IF($I$6="Segunda a sábado",WEEKDAY(DATE($L$4,$O$4,Q22),2)&gt;6,FALSE))),"Branco",IF(DATE($L$4,$O$4,Q22)&gt;$L$6,"Futuro","Verde")))))))</f>
        <v/>
      </c>
    </row>
    <row r="23" ht="22" customHeight="1">
      <c r="A23" s="134" t="n"/>
      <c r="G23" s="98" t="n"/>
      <c r="H23" s="57" t="n"/>
      <c r="I23" s="143" t="n"/>
      <c r="J23" s="144" t="n"/>
      <c r="K23" s="145" t="n"/>
      <c r="L23" s="146" t="n"/>
      <c r="M23" s="137" t="n"/>
      <c r="Q23" t="n">
        <v>20</v>
      </c>
      <c r="R23">
        <f>IF(OR(NOT(ISNUMBER($L$4)),NOT(ISNUMBER($O$4))),"",IF(Q23&gt;DAY(DATE($L$4,$O$4+1,0)),"",IF(COUNTIFS($I$13:$I$24,DATE($L$4,$O$4,Q23),$J$13:$J$24,"Acidente com afastamento")&gt;0,"Vermelho",IF(COUNTIFS($I$13:$I$24,DATE($L$4,$O$4,Q23),$J$13:$J$24,"Primeiros socorros")&gt;0,"Amarelo",IF(COUNTIFS($I$13:$I$24,DATE($L$4,$O$4,Q23),$J$13:$J$24,"Quase acidente")&gt;0,"Azul",IF(OR(COUNTIFS($I$13:$I$24,DATE($L$4,$O$4,Q23),$J$13:$J$24,"Não trabalhado")&gt;0,IF($I$6="Segunda a sexta",WEEKDAY(DATE($L$4,$O$4,Q23),2)&gt;5,IF($I$6="Segunda a sábado",WEEKDAY(DATE($L$4,$O$4,Q23),2)&gt;6,FALSE))),"Branco",IF(DATE($L$4,$O$4,Q23)&gt;$L$6,"Futuro","Verde")))))))</f>
        <v/>
      </c>
    </row>
    <row r="24" ht="22" customHeight="1">
      <c r="A24" s="135" t="n"/>
      <c r="B24" s="136" t="n"/>
      <c r="C24" s="136" t="n"/>
      <c r="D24" s="136" t="n"/>
      <c r="E24" s="136" t="n"/>
      <c r="F24" s="136" t="n"/>
      <c r="G24" s="137" t="n"/>
      <c r="H24" s="57" t="n"/>
      <c r="I24" s="143" t="n"/>
      <c r="J24" s="144" t="n"/>
      <c r="K24" s="145" t="n"/>
      <c r="L24" s="146" t="n"/>
      <c r="M24" s="137" t="n"/>
      <c r="Q24" t="n">
        <v>21</v>
      </c>
      <c r="R24">
        <f>IF(OR(NOT(ISNUMBER($L$4)),NOT(ISNUMBER($O$4))),"",IF(Q24&gt;DAY(DATE($L$4,$O$4+1,0)),"",IF(COUNTIFS($I$13:$I$24,DATE($L$4,$O$4,Q24),$J$13:$J$24,"Acidente com afastamento")&gt;0,"Vermelho",IF(COUNTIFS($I$13:$I$24,DATE($L$4,$O$4,Q24),$J$13:$J$24,"Primeiros socorros")&gt;0,"Amarelo",IF(COUNTIFS($I$13:$I$24,DATE($L$4,$O$4,Q24),$J$13:$J$24,"Quase acidente")&gt;0,"Azul",IF(OR(COUNTIFS($I$13:$I$24,DATE($L$4,$O$4,Q24),$J$13:$J$24,"Não trabalhado")&gt;0,IF($I$6="Segunda a sexta",WEEKDAY(DATE($L$4,$O$4,Q24),2)&gt;5,IF($I$6="Segunda a sábado",WEEKDAY(DATE($L$4,$O$4,Q24),2)&gt;6,FALSE))),"Branco",IF(DATE($L$4,$O$4,Q24)&gt;$L$6,"Futuro","Verde")))))))</f>
        <v/>
      </c>
    </row>
    <row r="25">
      <c r="Q25" t="n">
        <v>22</v>
      </c>
      <c r="R25">
        <f>IF(OR(NOT(ISNUMBER($L$4)),NOT(ISNUMBER($O$4))),"",IF(Q25&gt;DAY(DATE($L$4,$O$4+1,0)),"",IF(COUNTIFS($I$13:$I$24,DATE($L$4,$O$4,Q25),$J$13:$J$24,"Acidente com afastamento")&gt;0,"Vermelho",IF(COUNTIFS($I$13:$I$24,DATE($L$4,$O$4,Q25),$J$13:$J$24,"Primeiros socorros")&gt;0,"Amarelo",IF(COUNTIFS($I$13:$I$24,DATE($L$4,$O$4,Q25),$J$13:$J$24,"Quase acidente")&gt;0,"Azul",IF(OR(COUNTIFS($I$13:$I$24,DATE($L$4,$O$4,Q25),$J$13:$J$24,"Não trabalhado")&gt;0,IF($I$6="Segunda a sexta",WEEKDAY(DATE($L$4,$O$4,Q25),2)&gt;5,IF($I$6="Segunda a sábado",WEEKDAY(DATE($L$4,$O$4,Q25),2)&gt;6,FALSE))),"Branco",IF(DATE($L$4,$O$4,Q25)&gt;$L$6,"Futuro","Verde")))))))</f>
        <v/>
      </c>
    </row>
    <row r="26">
      <c r="Q26" t="n">
        <v>23</v>
      </c>
      <c r="R26">
        <f>IF(OR(NOT(ISNUMBER($L$4)),NOT(ISNUMBER($O$4))),"",IF(Q26&gt;DAY(DATE($L$4,$O$4+1,0)),"",IF(COUNTIFS($I$13:$I$24,DATE($L$4,$O$4,Q26),$J$13:$J$24,"Acidente com afastamento")&gt;0,"Vermelho",IF(COUNTIFS($I$13:$I$24,DATE($L$4,$O$4,Q26),$J$13:$J$24,"Primeiros socorros")&gt;0,"Amarelo",IF(COUNTIFS($I$13:$I$24,DATE($L$4,$O$4,Q26),$J$13:$J$24,"Quase acidente")&gt;0,"Azul",IF(OR(COUNTIFS($I$13:$I$24,DATE($L$4,$O$4,Q26),$J$13:$J$24,"Não trabalhado")&gt;0,IF($I$6="Segunda a sexta",WEEKDAY(DATE($L$4,$O$4,Q26),2)&gt;5,IF($I$6="Segunda a sábado",WEEKDAY(DATE($L$4,$O$4,Q26),2)&gt;6,FALSE))),"Branco",IF(DATE($L$4,$O$4,Q26)&gt;$L$6,"Futuro","Verde")))))))</f>
        <v/>
      </c>
    </row>
    <row r="27">
      <c r="Q27" t="n">
        <v>24</v>
      </c>
      <c r="R27">
        <f>IF(OR(NOT(ISNUMBER($L$4)),NOT(ISNUMBER($O$4))),"",IF(Q27&gt;DAY(DATE($L$4,$O$4+1,0)),"",IF(COUNTIFS($I$13:$I$24,DATE($L$4,$O$4,Q27),$J$13:$J$24,"Acidente com afastamento")&gt;0,"Vermelho",IF(COUNTIFS($I$13:$I$24,DATE($L$4,$O$4,Q27),$J$13:$J$24,"Primeiros socorros")&gt;0,"Amarelo",IF(COUNTIFS($I$13:$I$24,DATE($L$4,$O$4,Q27),$J$13:$J$24,"Quase acidente")&gt;0,"Azul",IF(OR(COUNTIFS($I$13:$I$24,DATE($L$4,$O$4,Q27),$J$13:$J$24,"Não trabalhado")&gt;0,IF($I$6="Segunda a sexta",WEEKDAY(DATE($L$4,$O$4,Q27),2)&gt;5,IF($I$6="Segunda a sábado",WEEKDAY(DATE($L$4,$O$4,Q27),2)&gt;6,FALSE))),"Branco",IF(DATE($L$4,$O$4,Q27)&gt;$L$6,"Futuro","Verde")))))))</f>
        <v/>
      </c>
    </row>
    <row r="28">
      <c r="Q28" t="n">
        <v>25</v>
      </c>
      <c r="R28">
        <f>IF(OR(NOT(ISNUMBER($L$4)),NOT(ISNUMBER($O$4))),"",IF(Q28&gt;DAY(DATE($L$4,$O$4+1,0)),"",IF(COUNTIFS($I$13:$I$24,DATE($L$4,$O$4,Q28),$J$13:$J$24,"Acidente com afastamento")&gt;0,"Vermelho",IF(COUNTIFS($I$13:$I$24,DATE($L$4,$O$4,Q28),$J$13:$J$24,"Primeiros socorros")&gt;0,"Amarelo",IF(COUNTIFS($I$13:$I$24,DATE($L$4,$O$4,Q28),$J$13:$J$24,"Quase acidente")&gt;0,"Azul",IF(OR(COUNTIFS($I$13:$I$24,DATE($L$4,$O$4,Q28),$J$13:$J$24,"Não trabalhado")&gt;0,IF($I$6="Segunda a sexta",WEEKDAY(DATE($L$4,$O$4,Q28),2)&gt;5,IF($I$6="Segunda a sábado",WEEKDAY(DATE($L$4,$O$4,Q28),2)&gt;6,FALSE))),"Branco",IF(DATE($L$4,$O$4,Q28)&gt;$L$6,"Futuro","Verde")))))))</f>
        <v/>
      </c>
    </row>
    <row r="29">
      <c r="Q29" t="n">
        <v>26</v>
      </c>
      <c r="R29">
        <f>IF(OR(NOT(ISNUMBER($L$4)),NOT(ISNUMBER($O$4))),"",IF(Q29&gt;DAY(DATE($L$4,$O$4+1,0)),"",IF(COUNTIFS($I$13:$I$24,DATE($L$4,$O$4,Q29),$J$13:$J$24,"Acidente com afastamento")&gt;0,"Vermelho",IF(COUNTIFS($I$13:$I$24,DATE($L$4,$O$4,Q29),$J$13:$J$24,"Primeiros socorros")&gt;0,"Amarelo",IF(COUNTIFS($I$13:$I$24,DATE($L$4,$O$4,Q29),$J$13:$J$24,"Quase acidente")&gt;0,"Azul",IF(OR(COUNTIFS($I$13:$I$24,DATE($L$4,$O$4,Q29),$J$13:$J$24,"Não trabalhado")&gt;0,IF($I$6="Segunda a sexta",WEEKDAY(DATE($L$4,$O$4,Q29),2)&gt;5,IF($I$6="Segunda a sábado",WEEKDAY(DATE($L$4,$O$4,Q29),2)&gt;6,FALSE))),"Branco",IF(DATE($L$4,$O$4,Q29)&gt;$L$6,"Futuro","Verde")))))))</f>
        <v/>
      </c>
    </row>
    <row r="30">
      <c r="Q30" t="n">
        <v>27</v>
      </c>
      <c r="R30">
        <f>IF(OR(NOT(ISNUMBER($L$4)),NOT(ISNUMBER($O$4))),"",IF(Q30&gt;DAY(DATE($L$4,$O$4+1,0)),"",IF(COUNTIFS($I$13:$I$24,DATE($L$4,$O$4,Q30),$J$13:$J$24,"Acidente com afastamento")&gt;0,"Vermelho",IF(COUNTIFS($I$13:$I$24,DATE($L$4,$O$4,Q30),$J$13:$J$24,"Primeiros socorros")&gt;0,"Amarelo",IF(COUNTIFS($I$13:$I$24,DATE($L$4,$O$4,Q30),$J$13:$J$24,"Quase acidente")&gt;0,"Azul",IF(OR(COUNTIFS($I$13:$I$24,DATE($L$4,$O$4,Q30),$J$13:$J$24,"Não trabalhado")&gt;0,IF($I$6="Segunda a sexta",WEEKDAY(DATE($L$4,$O$4,Q30),2)&gt;5,IF($I$6="Segunda a sábado",WEEKDAY(DATE($L$4,$O$4,Q30),2)&gt;6,FALSE))),"Branco",IF(DATE($L$4,$O$4,Q30)&gt;$L$6,"Futuro","Verde")))))))</f>
        <v/>
      </c>
    </row>
    <row r="31">
      <c r="Q31" t="n">
        <v>28</v>
      </c>
      <c r="R31">
        <f>IF(OR(NOT(ISNUMBER($L$4)),NOT(ISNUMBER($O$4))),"",IF(Q31&gt;DAY(DATE($L$4,$O$4+1,0)),"",IF(COUNTIFS($I$13:$I$24,DATE($L$4,$O$4,Q31),$J$13:$J$24,"Acidente com afastamento")&gt;0,"Vermelho",IF(COUNTIFS($I$13:$I$24,DATE($L$4,$O$4,Q31),$J$13:$J$24,"Primeiros socorros")&gt;0,"Amarelo",IF(COUNTIFS($I$13:$I$24,DATE($L$4,$O$4,Q31),$J$13:$J$24,"Quase acidente")&gt;0,"Azul",IF(OR(COUNTIFS($I$13:$I$24,DATE($L$4,$O$4,Q31),$J$13:$J$24,"Não trabalhado")&gt;0,IF($I$6="Segunda a sexta",WEEKDAY(DATE($L$4,$O$4,Q31),2)&gt;5,IF($I$6="Segunda a sábado",WEEKDAY(DATE($L$4,$O$4,Q31),2)&gt;6,FALSE))),"Branco",IF(DATE($L$4,$O$4,Q31)&gt;$L$6,"Futuro","Verde")))))))</f>
        <v/>
      </c>
    </row>
    <row r="32">
      <c r="Q32" t="n">
        <v>29</v>
      </c>
      <c r="R32">
        <f>IF(OR(NOT(ISNUMBER($L$4)),NOT(ISNUMBER($O$4))),"",IF(Q32&gt;DAY(DATE($L$4,$O$4+1,0)),"",IF(COUNTIFS($I$13:$I$24,DATE($L$4,$O$4,Q32),$J$13:$J$24,"Acidente com afastamento")&gt;0,"Vermelho",IF(COUNTIFS($I$13:$I$24,DATE($L$4,$O$4,Q32),$J$13:$J$24,"Primeiros socorros")&gt;0,"Amarelo",IF(COUNTIFS($I$13:$I$24,DATE($L$4,$O$4,Q32),$J$13:$J$24,"Quase acidente")&gt;0,"Azul",IF(OR(COUNTIFS($I$13:$I$24,DATE($L$4,$O$4,Q32),$J$13:$J$24,"Não trabalhado")&gt;0,IF($I$6="Segunda a sexta",WEEKDAY(DATE($L$4,$O$4,Q32),2)&gt;5,IF($I$6="Segunda a sábado",WEEKDAY(DATE($L$4,$O$4,Q32),2)&gt;6,FALSE))),"Branco",IF(DATE($L$4,$O$4,Q32)&gt;$L$6,"Futuro","Verde")))))))</f>
        <v/>
      </c>
    </row>
    <row r="33">
      <c r="Q33" t="n">
        <v>30</v>
      </c>
      <c r="R33">
        <f>IF(OR(NOT(ISNUMBER($L$4)),NOT(ISNUMBER($O$4))),"",IF(Q33&gt;DAY(DATE($L$4,$O$4+1,0)),"",IF(COUNTIFS($I$13:$I$24,DATE($L$4,$O$4,Q33),$J$13:$J$24,"Acidente com afastamento")&gt;0,"Vermelho",IF(COUNTIFS($I$13:$I$24,DATE($L$4,$O$4,Q33),$J$13:$J$24,"Primeiros socorros")&gt;0,"Amarelo",IF(COUNTIFS($I$13:$I$24,DATE($L$4,$O$4,Q33),$J$13:$J$24,"Quase acidente")&gt;0,"Azul",IF(OR(COUNTIFS($I$13:$I$24,DATE($L$4,$O$4,Q33),$J$13:$J$24,"Não trabalhado")&gt;0,IF($I$6="Segunda a sexta",WEEKDAY(DATE($L$4,$O$4,Q33),2)&gt;5,IF($I$6="Segunda a sábado",WEEKDAY(DATE($L$4,$O$4,Q33),2)&gt;6,FALSE))),"Branco",IF(DATE($L$4,$O$4,Q33)&gt;$L$6,"Futuro","Verde")))))))</f>
        <v/>
      </c>
    </row>
    <row r="34">
      <c r="Q34" t="n">
        <v>31</v>
      </c>
      <c r="R34">
        <f>IF(OR(NOT(ISNUMBER($L$4)),NOT(ISNUMBER($O$4))),"",IF(Q34&gt;DAY(DATE($L$4,$O$4+1,0)),"",IF(COUNTIFS($I$13:$I$24,DATE($L$4,$O$4,Q34),$J$13:$J$24,"Acidente com afastamento")&gt;0,"Vermelho",IF(COUNTIFS($I$13:$I$24,DATE($L$4,$O$4,Q34),$J$13:$J$24,"Primeiros socorros")&gt;0,"Amarelo",IF(COUNTIFS($I$13:$I$24,DATE($L$4,$O$4,Q34),$J$13:$J$24,"Quase acidente")&gt;0,"Azul",IF(OR(COUNTIFS($I$13:$I$24,DATE($L$4,$O$4,Q34),$J$13:$J$24,"Não trabalhado")&gt;0,IF($I$6="Segunda a sexta",WEEKDAY(DATE($L$4,$O$4,Q34),2)&gt;5,IF($I$6="Segunda a sábado",WEEKDAY(DATE($L$4,$O$4,Q34),2)&gt;6,FALSE))),"Branco",IF(DATE($L$4,$O$4,Q34)&gt;$L$6,"Futuro","Verde")))))))</f>
        <v/>
      </c>
    </row>
  </sheetData>
  <mergeCells count="43">
    <mergeCell ref="L17:M17"/>
    <mergeCell ref="I6:J6"/>
    <mergeCell ref="F16:G16"/>
    <mergeCell ref="A15:E15"/>
    <mergeCell ref="L16:M16"/>
    <mergeCell ref="I11:M11"/>
    <mergeCell ref="L19:M19"/>
    <mergeCell ref="I3:K3"/>
    <mergeCell ref="A19:G19"/>
    <mergeCell ref="A20:G24"/>
    <mergeCell ref="L13:M13"/>
    <mergeCell ref="F12:G12"/>
    <mergeCell ref="L12:M12"/>
    <mergeCell ref="K2:M2"/>
    <mergeCell ref="F15:G15"/>
    <mergeCell ref="A16:E16"/>
    <mergeCell ref="A1:C2"/>
    <mergeCell ref="L24:M24"/>
    <mergeCell ref="F18:G18"/>
    <mergeCell ref="L15:M15"/>
    <mergeCell ref="L18:M18"/>
    <mergeCell ref="L5:M5"/>
    <mergeCell ref="I4:K4"/>
    <mergeCell ref="L23:M23"/>
    <mergeCell ref="D1:J1"/>
    <mergeCell ref="L14:M14"/>
    <mergeCell ref="A11:G11"/>
    <mergeCell ref="F17:G17"/>
    <mergeCell ref="A18:E18"/>
    <mergeCell ref="I7:M9"/>
    <mergeCell ref="A12:E12"/>
    <mergeCell ref="L20:M20"/>
    <mergeCell ref="I5:J5"/>
    <mergeCell ref="D2:J2"/>
    <mergeCell ref="A14:E14"/>
    <mergeCell ref="F13:G13"/>
    <mergeCell ref="A17:E17"/>
    <mergeCell ref="L22:M22"/>
    <mergeCell ref="L21:M21"/>
    <mergeCell ref="L6:M6"/>
    <mergeCell ref="F14:G14"/>
    <mergeCell ref="A13:E13"/>
    <mergeCell ref="K1:M1"/>
  </mergeCells>
  <conditionalFormatting sqref="C3:E4">
    <cfRule type="expression" priority="1" dxfId="4" stopIfTrue="1">
      <formula>IFERROR(INDEX($R$4:$R$34,C3)="Vermelho",FALSE)</formula>
    </cfRule>
    <cfRule type="expression" priority="2" dxfId="5" stopIfTrue="1">
      <formula>IFERROR(INDEX($R$4:$R$34,C3)="Amarelo",FALSE)</formula>
    </cfRule>
    <cfRule type="expression" priority="3" dxfId="6" stopIfTrue="1">
      <formula>IFERROR(INDEX($R$4:$R$34,C3)="Azul",FALSE)</formula>
    </cfRule>
    <cfRule type="expression" priority="4" dxfId="7" stopIfTrue="1">
      <formula>IFERROR(INDEX($R$4:$R$34,C3)="Verde",FALSE)</formula>
    </cfRule>
    <cfRule type="expression" priority="5" dxfId="8" stopIfTrue="1">
      <formula>IFERROR(INDEX($R$4:$R$34,C3)="Branco",FALSE)</formula>
    </cfRule>
    <cfRule type="expression" priority="6" dxfId="9" stopIfTrue="1">
      <formula>IFERROR(INDEX($R$4:$R$34,C3)="Futuro",FALSE)</formula>
    </cfRule>
  </conditionalFormatting>
  <conditionalFormatting sqref="A5:G7">
    <cfRule type="expression" priority="7" dxfId="4" stopIfTrue="1">
      <formula>IFERROR(INDEX($R$4:$R$34,A5)="Vermelho",FALSE)</formula>
    </cfRule>
    <cfRule type="expression" priority="8" dxfId="5" stopIfTrue="1">
      <formula>IFERROR(INDEX($R$4:$R$34,A5)="Amarelo",FALSE)</formula>
    </cfRule>
    <cfRule type="expression" priority="9" dxfId="6" stopIfTrue="1">
      <formula>IFERROR(INDEX($R$4:$R$34,A5)="Azul",FALSE)</formula>
    </cfRule>
    <cfRule type="expression" priority="10" dxfId="7" stopIfTrue="1">
      <formula>IFERROR(INDEX($R$4:$R$34,A5)="Verde",FALSE)</formula>
    </cfRule>
    <cfRule type="expression" priority="11" dxfId="8" stopIfTrue="1">
      <formula>IFERROR(INDEX($R$4:$R$34,A5)="Branco",FALSE)</formula>
    </cfRule>
    <cfRule type="expression" priority="12" dxfId="9" stopIfTrue="1">
      <formula>IFERROR(INDEX($R$4:$R$34,A5)="Futuro",FALSE)</formula>
    </cfRule>
  </conditionalFormatting>
  <conditionalFormatting sqref="C8:E8">
    <cfRule type="expression" priority="13" dxfId="4" stopIfTrue="1">
      <formula>IFERROR(INDEX($R$4:$R$34,C8)="Vermelho",FALSE)</formula>
    </cfRule>
    <cfRule type="expression" priority="14" dxfId="5" stopIfTrue="1">
      <formula>IFERROR(INDEX($R$4:$R$34,C8)="Amarelo",FALSE)</formula>
    </cfRule>
    <cfRule type="expression" priority="15" dxfId="6" stopIfTrue="1">
      <formula>IFERROR(INDEX($R$4:$R$34,C8)="Azul",FALSE)</formula>
    </cfRule>
    <cfRule type="expression" priority="16" dxfId="7" stopIfTrue="1">
      <formula>IFERROR(INDEX($R$4:$R$34,C8)="Verde",FALSE)</formula>
    </cfRule>
    <cfRule type="expression" priority="17" dxfId="8" stopIfTrue="1">
      <formula>IFERROR(INDEX($R$4:$R$34,C8)="Branco",FALSE)</formula>
    </cfRule>
    <cfRule type="expression" priority="18" dxfId="9" stopIfTrue="1">
      <formula>IFERROR(INDEX($R$4:$R$34,C8)="Futuro",FALSE)</formula>
    </cfRule>
  </conditionalFormatting>
  <conditionalFormatting sqref="D9">
    <cfRule type="expression" priority="19" dxfId="4" stopIfTrue="1">
      <formula>IFERROR(INDEX($R$4:$R$34,D9)="Vermelho",FALSE)</formula>
    </cfRule>
    <cfRule type="expression" priority="20" dxfId="5" stopIfTrue="1">
      <formula>IFERROR(INDEX($R$4:$R$34,D9)="Amarelo",FALSE)</formula>
    </cfRule>
    <cfRule type="expression" priority="21" dxfId="6" stopIfTrue="1">
      <formula>IFERROR(INDEX($R$4:$R$34,D9)="Azul",FALSE)</formula>
    </cfRule>
    <cfRule type="expression" priority="22" dxfId="7" stopIfTrue="1">
      <formula>IFERROR(INDEX($R$4:$R$34,D9)="Verde",FALSE)</formula>
    </cfRule>
    <cfRule type="expression" priority="23" dxfId="8" stopIfTrue="1">
      <formula>IFERROR(INDEX($R$4:$R$34,D9)="Branco",FALSE)</formula>
    </cfRule>
    <cfRule type="expression" priority="24" dxfId="9" stopIfTrue="1">
      <formula>IFERROR(INDEX($R$4:$R$34,D9)="Futuro",FALSE)</formula>
    </cfRule>
  </conditionalFormatting>
  <conditionalFormatting sqref="J13:J24">
    <cfRule type="expression" priority="25" dxfId="10" stopIfTrue="1">
      <formula>J13="Quase acidente"</formula>
    </cfRule>
    <cfRule type="expression" priority="26" dxfId="0" stopIfTrue="1">
      <formula>J13="Primeiros socorros"</formula>
    </cfRule>
    <cfRule type="expression" priority="27" dxfId="3" stopIfTrue="1">
      <formula>J13="Acidente com afastamento"</formula>
    </cfRule>
    <cfRule type="expression" priority="28" dxfId="2" stopIfTrue="1">
      <formula>J13="Não trabalhado"</formula>
    </cfRule>
  </conditionalFormatting>
  <dataValidations count="6">
    <dataValidation sqref="M4" showDropDown="0" showInputMessage="0" showErrorMessage="1" allowBlank="1" errorTitle="Valor fora da lista" error="Escolha um item da lista." type="list" errorStyle="stop">
      <formula1>"Janeiro,Fevereiro,Março,Abril,Maio,Junho,Julho,Agosto,Setembro,Outubro,Novembro,Dezembro"</formula1>
    </dataValidation>
    <dataValidation sqref="I6" showDropDown="0" showInputMessage="0" showErrorMessage="1" allowBlank="1" errorTitle="Valor fora da lista" error="Escolha um item da lista." type="list" errorStyle="stop">
      <formula1>"Segunda a sexta,Segunda a sábado,Todos os dias"</formula1>
    </dataValidation>
    <dataValidation sqref="L4" showDropDown="0" showInputMessage="0" showErrorMessage="1" allowBlank="1" errorTitle="Número inválido" error="Digite um número inteiro de 2000 a 2100." type="whole" errorStyle="stop" operator="between">
      <formula1>2000</formula1>
      <formula2>2100</formula2>
    </dataValidation>
    <dataValidation sqref="K6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J13:J24" showDropDown="0" showInputMessage="0" showErrorMessage="1" allowBlank="1" errorTitle="Valor fora da lista" error="Escolha um item da lista." type="list" errorStyle="stop">
      <formula1>"Quase acidente,Primeiros socorros,Acidente com afastamento,Não trabalhado"</formula1>
    </dataValidation>
    <dataValidation sqref="I13:I2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&amp;K4A5668PCM-MAN-007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121" t="n"/>
      <c r="B1" s="86" t="n"/>
      <c r="C1" s="123" t="inlineStr">
        <is>
          <t>Cadastros</t>
        </is>
      </c>
      <c r="D1" s="122" t="n"/>
      <c r="E1" s="122" t="n"/>
      <c r="F1" s="122" t="n"/>
      <c r="G1" s="86" t="n"/>
      <c r="H1" s="124">
        <f>"Rev. "&amp;'Leia-me'!$D$15&amp;"   ·   "&amp;'Leia-me'!$D$16</f>
        <v/>
      </c>
      <c r="I1" s="122" t="n"/>
      <c r="J1" s="86" t="n"/>
    </row>
    <row r="2" ht="28" customHeight="1">
      <c r="A2" s="125" t="n"/>
      <c r="B2" s="89" t="n"/>
      <c r="C2" s="88" t="inlineStr">
        <is>
          <t>Objetivo: Cadastre aqui os itens usados nas listas (▼) das outras abas.</t>
        </is>
      </c>
      <c r="D2" s="126" t="n"/>
      <c r="E2" s="126" t="n"/>
      <c r="F2" s="126" t="n"/>
      <c r="G2" s="89" t="n"/>
      <c r="H2" s="88">
        <f>"Elaborado: "&amp;'Leia-me'!$D$13&amp;"   ·   Aprovado: "&amp;'Leia-me'!$D$14</f>
        <v/>
      </c>
      <c r="I2" s="126" t="n"/>
      <c r="J2" s="89" t="n"/>
    </row>
    <row r="3" ht="32" customHeight="1">
      <c r="A3" s="149" t="inlineStr">
        <is>
          <t>TAG</t>
        </is>
      </c>
      <c r="B3" s="150" t="inlineStr">
        <is>
          <t>Equipamento</t>
        </is>
      </c>
      <c r="C3" s="150" t="inlineStr">
        <is>
          <t>Família de equipamento ▼</t>
        </is>
      </c>
      <c r="D3" s="151" t="inlineStr">
        <is>
          <t>Setor ▼</t>
        </is>
      </c>
      <c r="F3" s="152" t="inlineStr">
        <is>
          <t>Responsável</t>
        </is>
      </c>
      <c r="H3" s="152" t="inlineStr">
        <is>
          <t>Família de equipamento</t>
        </is>
      </c>
      <c r="J3" s="152" t="inlineStr">
        <is>
          <t>Setor</t>
        </is>
      </c>
    </row>
    <row r="4" hidden="1">
      <c r="A4" s="153" t="inlineStr">
        <is>
          <t>tag</t>
        </is>
      </c>
      <c r="B4" s="153" t="inlineStr">
        <is>
          <t>descricao_ativo</t>
        </is>
      </c>
      <c r="C4" s="153" t="inlineStr">
        <is>
          <t>familia</t>
        </is>
      </c>
      <c r="D4" s="153" t="inlineStr">
        <is>
          <t>setor</t>
        </is>
      </c>
      <c r="F4" s="153" t="inlineStr">
        <is>
          <t>nome_pessoa</t>
        </is>
      </c>
      <c r="H4" s="153" t="inlineStr">
        <is>
          <t>nome_familia</t>
        </is>
      </c>
      <c r="J4" s="153" t="inlineStr">
        <is>
          <t>nome_setor</t>
        </is>
      </c>
    </row>
    <row r="5" ht="22" customHeight="1">
      <c r="A5" s="154" t="n"/>
      <c r="B5" s="155" t="n"/>
      <c r="C5" s="155" t="n"/>
      <c r="D5" s="156" t="n"/>
      <c r="F5" s="157" t="n"/>
      <c r="H5" s="157" t="n"/>
      <c r="J5" s="157" t="n"/>
    </row>
    <row r="6" ht="22" customHeight="1">
      <c r="A6" s="154" t="n"/>
      <c r="B6" s="155" t="n"/>
      <c r="C6" s="155" t="n"/>
      <c r="D6" s="156" t="n"/>
      <c r="F6" s="157" t="n"/>
      <c r="H6" s="157" t="n"/>
      <c r="J6" s="157" t="n"/>
    </row>
    <row r="7" ht="22" customHeight="1">
      <c r="A7" s="154" t="n"/>
      <c r="B7" s="155" t="n"/>
      <c r="C7" s="155" t="n"/>
      <c r="D7" s="156" t="n"/>
      <c r="F7" s="157" t="n"/>
      <c r="H7" s="157" t="n"/>
      <c r="J7" s="157" t="n"/>
    </row>
    <row r="8" ht="22" customHeight="1">
      <c r="A8" s="154" t="n"/>
      <c r="B8" s="155" t="n"/>
      <c r="C8" s="155" t="n"/>
      <c r="D8" s="156" t="n"/>
      <c r="F8" s="157" t="n"/>
      <c r="H8" s="157" t="n"/>
      <c r="J8" s="157" t="n"/>
    </row>
    <row r="9" ht="22" customHeight="1">
      <c r="A9" s="154" t="n"/>
      <c r="B9" s="155" t="n"/>
      <c r="C9" s="155" t="n"/>
      <c r="D9" s="156" t="n"/>
      <c r="F9" s="157" t="n"/>
      <c r="H9" s="157" t="n"/>
      <c r="J9" s="157" t="n"/>
    </row>
    <row r="10" ht="22" customHeight="1">
      <c r="A10" s="154" t="n"/>
      <c r="B10" s="155" t="n"/>
      <c r="C10" s="155" t="n"/>
      <c r="D10" s="156" t="n"/>
      <c r="F10" s="157" t="n"/>
      <c r="H10" s="157" t="n"/>
      <c r="J10" s="157" t="n"/>
    </row>
    <row r="11" ht="22" customHeight="1">
      <c r="A11" s="154" t="n"/>
      <c r="B11" s="155" t="n"/>
      <c r="C11" s="155" t="n"/>
      <c r="D11" s="156" t="n"/>
      <c r="F11" s="157" t="n"/>
      <c r="H11" s="157" t="n"/>
      <c r="J11" s="157" t="n"/>
    </row>
    <row r="12" ht="22" customHeight="1">
      <c r="A12" s="154" t="n"/>
      <c r="B12" s="155" t="n"/>
      <c r="C12" s="155" t="n"/>
      <c r="D12" s="156" t="n"/>
      <c r="F12" s="157" t="n"/>
      <c r="H12" s="157" t="n"/>
      <c r="J12" s="157" t="n"/>
    </row>
    <row r="13" ht="22" customHeight="1">
      <c r="A13" s="154" t="n"/>
      <c r="B13" s="155" t="n"/>
      <c r="C13" s="155" t="n"/>
      <c r="D13" s="156" t="n"/>
      <c r="F13" s="157" t="n"/>
      <c r="H13" s="157" t="n"/>
      <c r="J13" s="157" t="n"/>
    </row>
    <row r="14" ht="22" customHeight="1">
      <c r="A14" s="154" t="n"/>
      <c r="B14" s="155" t="n"/>
      <c r="C14" s="155" t="n"/>
      <c r="D14" s="156" t="n"/>
      <c r="F14" s="157" t="n"/>
      <c r="H14" s="157" t="n"/>
      <c r="J14" s="157" t="n"/>
    </row>
    <row r="15" ht="22" customHeight="1">
      <c r="A15" s="154" t="n"/>
      <c r="B15" s="155" t="n"/>
      <c r="C15" s="155" t="n"/>
      <c r="D15" s="156" t="n"/>
      <c r="F15" s="157" t="n"/>
      <c r="H15" s="157" t="n"/>
      <c r="J15" s="157" t="n"/>
    </row>
    <row r="16" ht="22" customHeight="1">
      <c r="A16" s="154" t="n"/>
      <c r="B16" s="155" t="n"/>
      <c r="C16" s="155" t="n"/>
      <c r="D16" s="156" t="n"/>
      <c r="F16" s="157" t="n"/>
      <c r="H16" s="157" t="n"/>
      <c r="J16" s="157" t="n"/>
    </row>
    <row r="17" ht="22" customHeight="1">
      <c r="A17" s="154" t="n"/>
      <c r="B17" s="155" t="n"/>
      <c r="C17" s="155" t="n"/>
      <c r="D17" s="156" t="n"/>
      <c r="F17" s="157" t="n"/>
      <c r="H17" s="157" t="n"/>
      <c r="J17" s="157" t="n"/>
    </row>
    <row r="18" ht="22" customHeight="1">
      <c r="A18" s="154" t="n"/>
      <c r="B18" s="155" t="n"/>
      <c r="C18" s="155" t="n"/>
      <c r="D18" s="156" t="n"/>
      <c r="F18" s="157" t="n"/>
      <c r="H18" s="157" t="n"/>
      <c r="J18" s="157" t="n"/>
    </row>
    <row r="19" ht="22" customHeight="1">
      <c r="A19" s="154" t="n"/>
      <c r="B19" s="155" t="n"/>
      <c r="C19" s="155" t="n"/>
      <c r="D19" s="156" t="n"/>
      <c r="F19" s="157" t="n"/>
      <c r="H19" s="157" t="n"/>
      <c r="J19" s="157" t="n"/>
    </row>
    <row r="20" ht="22" customHeight="1">
      <c r="A20" s="154" t="n"/>
      <c r="B20" s="155" t="n"/>
      <c r="C20" s="155" t="n"/>
      <c r="D20" s="156" t="n"/>
      <c r="F20" s="157" t="n"/>
      <c r="H20" s="157" t="n"/>
      <c r="J20" s="157" t="n"/>
    </row>
    <row r="21" ht="22" customHeight="1">
      <c r="A21" s="154" t="n"/>
      <c r="B21" s="155" t="n"/>
      <c r="C21" s="155" t="n"/>
      <c r="D21" s="156" t="n"/>
      <c r="F21" s="157" t="n"/>
      <c r="H21" s="157" t="n"/>
      <c r="J21" s="157" t="n"/>
    </row>
    <row r="22" ht="22" customHeight="1">
      <c r="A22" s="154" t="n"/>
      <c r="B22" s="155" t="n"/>
      <c r="C22" s="155" t="n"/>
      <c r="D22" s="156" t="n"/>
      <c r="F22" s="157" t="n"/>
      <c r="H22" s="157" t="n"/>
      <c r="J22" s="157" t="n"/>
    </row>
    <row r="23" ht="22" customHeight="1">
      <c r="A23" s="154" t="n"/>
      <c r="B23" s="155" t="n"/>
      <c r="C23" s="155" t="n"/>
      <c r="D23" s="156" t="n"/>
      <c r="F23" s="157" t="n"/>
      <c r="H23" s="157" t="n"/>
      <c r="J23" s="157" t="n"/>
    </row>
    <row r="24" ht="22" customHeight="1">
      <c r="A24" s="154" t="n"/>
      <c r="B24" s="155" t="n"/>
      <c r="C24" s="155" t="n"/>
      <c r="D24" s="156" t="n"/>
      <c r="F24" s="157" t="n"/>
      <c r="H24" s="157" t="n"/>
      <c r="J24" s="157" t="n"/>
    </row>
    <row r="25" ht="22" customHeight="1">
      <c r="A25" s="154" t="n"/>
      <c r="B25" s="155" t="n"/>
      <c r="C25" s="155" t="n"/>
      <c r="D25" s="156" t="n"/>
      <c r="F25" s="157" t="n"/>
      <c r="H25" s="157" t="n"/>
      <c r="J25" s="157" t="n"/>
    </row>
    <row r="26" ht="22" customHeight="1">
      <c r="A26" s="154" t="n"/>
      <c r="B26" s="155" t="n"/>
      <c r="C26" s="155" t="n"/>
      <c r="D26" s="156" t="n"/>
      <c r="F26" s="157" t="n"/>
      <c r="H26" s="157" t="n"/>
      <c r="J26" s="157" t="n"/>
    </row>
    <row r="27" ht="22" customHeight="1">
      <c r="A27" s="154" t="n"/>
      <c r="B27" s="155" t="n"/>
      <c r="C27" s="155" t="n"/>
      <c r="D27" s="156" t="n"/>
      <c r="F27" s="157" t="n"/>
      <c r="H27" s="157" t="n"/>
      <c r="J27" s="157" t="n"/>
    </row>
    <row r="28" ht="22" customHeight="1">
      <c r="A28" s="154" t="n"/>
      <c r="B28" s="155" t="n"/>
      <c r="C28" s="155" t="n"/>
      <c r="D28" s="156" t="n"/>
      <c r="F28" s="157" t="n"/>
      <c r="H28" s="157" t="n"/>
      <c r="J28" s="157" t="n"/>
    </row>
    <row r="29" ht="22" customHeight="1">
      <c r="A29" s="158" t="n"/>
      <c r="B29" s="159" t="n"/>
      <c r="C29" s="159" t="n"/>
      <c r="D29" s="160" t="n"/>
      <c r="F29" s="161" t="n"/>
      <c r="H29" s="161" t="n"/>
      <c r="J29" s="161" t="n"/>
    </row>
    <row r="30" ht="20" customHeight="1">
      <c r="A30" s="162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&amp;K4A5668PCM-MAN-007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121" t="n"/>
      <c r="B1" s="86" t="n"/>
      <c r="C1" s="163" t="inlineStr">
        <is>
          <t>Revisões</t>
        </is>
      </c>
      <c r="D1" s="124">
        <f>"Rev. "&amp;'Leia-me'!$D$15&amp;"   ·   "&amp;'Leia-me'!$D$16</f>
        <v/>
      </c>
      <c r="E1" s="86" t="n"/>
    </row>
    <row r="2" ht="28" customHeight="1">
      <c r="A2" s="125" t="n"/>
      <c r="B2" s="89" t="n"/>
      <c r="C2" s="45" t="inlineStr">
        <is>
          <t>Objetivo: Registre cada alteração do modelo; a última linha alimenta Rev. e data do cabeçalho.</t>
        </is>
      </c>
      <c r="D2" s="88">
        <f>"Elaborado: "&amp;'Leia-me'!$D$13&amp;"   ·   Aprovado: "&amp;'Leia-me'!$D$14</f>
        <v/>
      </c>
      <c r="E2" s="89" t="n"/>
    </row>
    <row r="3" ht="26" customHeight="1">
      <c r="A3" s="149" t="inlineStr">
        <is>
          <t>Rev</t>
        </is>
      </c>
      <c r="B3" s="150" t="inlineStr">
        <is>
          <t>Data</t>
        </is>
      </c>
      <c r="C3" s="150" t="inlineStr">
        <is>
          <t>Descrição da alteração</t>
        </is>
      </c>
      <c r="D3" s="150" t="inlineStr">
        <is>
          <t>Elaborado por</t>
        </is>
      </c>
      <c r="E3" s="151" t="inlineStr">
        <is>
          <t>Aprovado por</t>
        </is>
      </c>
    </row>
    <row r="4" hidden="1">
      <c r="A4" s="153" t="inlineStr">
        <is>
          <t>revisao</t>
        </is>
      </c>
      <c r="B4" s="153" t="inlineStr">
        <is>
          <t>data_revisao</t>
        </is>
      </c>
      <c r="C4" s="153" t="inlineStr">
        <is>
          <t>descricao_alteracao</t>
        </is>
      </c>
      <c r="D4" s="153" t="inlineStr">
        <is>
          <t>elaborado_por</t>
        </is>
      </c>
      <c r="E4" s="153" t="inlineStr">
        <is>
          <t>aprovado_por</t>
        </is>
      </c>
    </row>
    <row r="5" ht="22" customHeight="1">
      <c r="A5" s="164" t="inlineStr">
        <is>
          <t>00</t>
        </is>
      </c>
      <c r="B5" s="165" t="n">
        <v>46325</v>
      </c>
      <c r="C5" s="166" t="inlineStr">
        <is>
          <t>Emissão inicial</t>
        </is>
      </c>
      <c r="D5" s="155" t="n"/>
      <c r="E5" s="156" t="n"/>
    </row>
    <row r="6" ht="22" customHeight="1">
      <c r="A6" s="164" t="n"/>
      <c r="B6" s="165" t="n"/>
      <c r="C6" s="166" t="n"/>
      <c r="D6" s="155" t="n"/>
      <c r="E6" s="156" t="n"/>
    </row>
    <row r="7" ht="22" customHeight="1">
      <c r="A7" s="164" t="n"/>
      <c r="B7" s="165" t="n"/>
      <c r="C7" s="166" t="n"/>
      <c r="D7" s="155" t="n"/>
      <c r="E7" s="156" t="n"/>
    </row>
    <row r="8" ht="22" customHeight="1">
      <c r="A8" s="164" t="n"/>
      <c r="B8" s="165" t="n"/>
      <c r="C8" s="166" t="n"/>
      <c r="D8" s="155" t="n"/>
      <c r="E8" s="156" t="n"/>
    </row>
    <row r="9" ht="22" customHeight="1">
      <c r="A9" s="164" t="n"/>
      <c r="B9" s="165" t="n"/>
      <c r="C9" s="166" t="n"/>
      <c r="D9" s="155" t="n"/>
      <c r="E9" s="156" t="n"/>
    </row>
    <row r="10" ht="22" customHeight="1">
      <c r="A10" s="164" t="n"/>
      <c r="B10" s="165" t="n"/>
      <c r="C10" s="166" t="n"/>
      <c r="D10" s="155" t="n"/>
      <c r="E10" s="156" t="n"/>
    </row>
    <row r="11" ht="22" customHeight="1">
      <c r="A11" s="164" t="n"/>
      <c r="B11" s="165" t="n"/>
      <c r="C11" s="166" t="n"/>
      <c r="D11" s="155" t="n"/>
      <c r="E11" s="156" t="n"/>
    </row>
    <row r="12" ht="22" customHeight="1">
      <c r="A12" s="164" t="n"/>
      <c r="B12" s="165" t="n"/>
      <c r="C12" s="166" t="n"/>
      <c r="D12" s="155" t="n"/>
      <c r="E12" s="156" t="n"/>
    </row>
    <row r="13" ht="22" customHeight="1">
      <c r="A13" s="164" t="n"/>
      <c r="B13" s="165" t="n"/>
      <c r="C13" s="166" t="n"/>
      <c r="D13" s="155" t="n"/>
      <c r="E13" s="156" t="n"/>
    </row>
    <row r="14" ht="22" customHeight="1">
      <c r="A14" s="164" t="n"/>
      <c r="B14" s="165" t="n"/>
      <c r="C14" s="166" t="n"/>
      <c r="D14" s="155" t="n"/>
      <c r="E14" s="156" t="n"/>
    </row>
    <row r="15" ht="22" customHeight="1">
      <c r="A15" s="164" t="n"/>
      <c r="B15" s="165" t="n"/>
      <c r="C15" s="166" t="n"/>
      <c r="D15" s="155" t="n"/>
      <c r="E15" s="156" t="n"/>
    </row>
    <row r="16" ht="22" customHeight="1">
      <c r="A16" s="164" t="n"/>
      <c r="B16" s="165" t="n"/>
      <c r="C16" s="166" t="n"/>
      <c r="D16" s="155" t="n"/>
      <c r="E16" s="156" t="n"/>
    </row>
    <row r="17" ht="22" customHeight="1">
      <c r="A17" s="164" t="n"/>
      <c r="B17" s="165" t="n"/>
      <c r="C17" s="166" t="n"/>
      <c r="D17" s="155" t="n"/>
      <c r="E17" s="156" t="n"/>
    </row>
    <row r="18" ht="22" customHeight="1">
      <c r="A18" s="164" t="n"/>
      <c r="B18" s="165" t="n"/>
      <c r="C18" s="166" t="n"/>
      <c r="D18" s="155" t="n"/>
      <c r="E18" s="156" t="n"/>
    </row>
    <row r="19" ht="22" customHeight="1">
      <c r="A19" s="164" t="n"/>
      <c r="B19" s="165" t="n"/>
      <c r="C19" s="166" t="n"/>
      <c r="D19" s="155" t="n"/>
      <c r="E19" s="156" t="n"/>
    </row>
    <row r="20" ht="22" customHeight="1">
      <c r="A20" s="164" t="n"/>
      <c r="B20" s="165" t="n"/>
      <c r="C20" s="166" t="n"/>
      <c r="D20" s="155" t="n"/>
      <c r="E20" s="156" t="n"/>
    </row>
    <row r="21" ht="22" customHeight="1">
      <c r="A21" s="164" t="n"/>
      <c r="B21" s="165" t="n"/>
      <c r="C21" s="166" t="n"/>
      <c r="D21" s="155" t="n"/>
      <c r="E21" s="156" t="n"/>
    </row>
    <row r="22" ht="22" customHeight="1">
      <c r="A22" s="164" t="n"/>
      <c r="B22" s="165" t="n"/>
      <c r="C22" s="166" t="n"/>
      <c r="D22" s="155" t="n"/>
      <c r="E22" s="156" t="n"/>
    </row>
    <row r="23" ht="22" customHeight="1">
      <c r="A23" s="164" t="n"/>
      <c r="B23" s="165" t="n"/>
      <c r="C23" s="166" t="n"/>
      <c r="D23" s="155" t="n"/>
      <c r="E23" s="156" t="n"/>
    </row>
    <row r="24" ht="22" customHeight="1">
      <c r="A24" s="164" t="n"/>
      <c r="B24" s="165" t="n"/>
      <c r="C24" s="166" t="n"/>
      <c r="D24" s="155" t="n"/>
      <c r="E24" s="156" t="n"/>
    </row>
    <row r="25" ht="22" customHeight="1">
      <c r="A25" s="164" t="n"/>
      <c r="B25" s="165" t="n"/>
      <c r="C25" s="166" t="n"/>
      <c r="D25" s="155" t="n"/>
      <c r="E25" s="156" t="n"/>
    </row>
    <row r="26" ht="22" customHeight="1">
      <c r="A26" s="164" t="n"/>
      <c r="B26" s="165" t="n"/>
      <c r="C26" s="166" t="n"/>
      <c r="D26" s="155" t="n"/>
      <c r="E26" s="156" t="n"/>
    </row>
    <row r="27" ht="22" customHeight="1">
      <c r="A27" s="164" t="n"/>
      <c r="B27" s="165" t="n"/>
      <c r="C27" s="166" t="n"/>
      <c r="D27" s="155" t="n"/>
      <c r="E27" s="156" t="n"/>
    </row>
    <row r="28" ht="22" customHeight="1">
      <c r="A28" s="164" t="n"/>
      <c r="B28" s="165" t="n"/>
      <c r="C28" s="166" t="n"/>
      <c r="D28" s="155" t="n"/>
      <c r="E28" s="156" t="n"/>
    </row>
    <row r="29" ht="22" customHeight="1">
      <c r="A29" s="167" t="n"/>
      <c r="B29" s="168" t="n"/>
      <c r="C29" s="169" t="n"/>
      <c r="D29" s="159" t="n"/>
      <c r="E29" s="160" t="n"/>
    </row>
    <row r="30" ht="20" customHeight="1">
      <c r="A30" s="162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&amp;K4A5668PCM-MAN-007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2026-10-31T02:04:48Z</dcterms:created>
  <dcterms:modified xmlns:dcterms="http://purl.org/dc/terms/" xmlns:xsi="http://www.w3.org/2001/XMLSchema-instance" xsi:type="dcterms:W3CDTF">2026-10-31T02:04:48Z</dcterms:modified>
</cp:coreProperties>
</file>