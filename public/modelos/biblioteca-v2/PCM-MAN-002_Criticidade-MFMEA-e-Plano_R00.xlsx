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riticidade" sheetId="2" state="visible" r:id="rId2"/>
    <sheet xmlns:r="http://schemas.openxmlformats.org/officeDocument/2006/relationships" name="MFMEA" sheetId="3" state="visible" r:id="rId3"/>
    <sheet xmlns:r="http://schemas.openxmlformats.org/officeDocument/2006/relationships" name="Plano" sheetId="4" state="visible" r:id="rId4"/>
    <sheet xmlns:r="http://schemas.openxmlformats.org/officeDocument/2006/relationships" name="Cronograma" sheetId="5" state="visible" r:id="rId5"/>
    <sheet xmlns:r="http://schemas.openxmlformats.org/officeDocument/2006/relationships" name="Cadastros" sheetId="6" state="visible" r:id="rId6"/>
    <sheet xmlns:r="http://schemas.openxmlformats.org/officeDocument/2006/relationships" name="Revisões" sheetId="7" state="visible" r:id="rId7"/>
  </sheets>
  <definedNames>
    <definedName name="L_TAGS">tb_pcm_ativos[tag]</definedName>
    <definedName name="L_PESSOAS">tb_pcm_pessoas[nome_pessoa]</definedName>
    <definedName name="L_SETORES">tb_pcm_setores[nome_setor]</definedName>
    <definedName name="L_FAMILIAS">tb_pcm_familias[nome_familia]</definedName>
    <definedName name="_xlnm.Print_Area" localSheetId="0">'Leia-me'!$A$1:$G$33</definedName>
    <definedName name="_xlnm.Print_Area" localSheetId="1">'Criticidade'!$A$1:$Y$28</definedName>
    <definedName name="_xlnm.Print_Area" localSheetId="2">'MFMEA'!$A$1:$AE$23</definedName>
    <definedName name="_xlnm.Print_Area" localSheetId="3">'Plano'!$A$1:$M$31</definedName>
    <definedName name="_xlnm.Print_Area" localSheetId="4">'Cronograma'!$A$1:$BM$35</definedName>
    <definedName name="_xlnm.Print_Titles" localSheetId="5">'Cadastros'!$1:$3</definedName>
    <definedName name="_xlnm.Print_Area" localSheetId="5">'Cadastros'!$A$1:$J$30</definedName>
    <definedName name="_xlnm.Print_Titles" localSheetId="6">'Revisões'!$1:$3</definedName>
    <definedName name="_xlnm.Print_Area" localSheetId="6">'Revisões'!$A$1:$E$30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B  ·  &quot;0;;&quot;B&quot;"/>
    <numFmt numFmtId="165" formatCode="&quot;A  ·  &quot;0;;&quot;A&quot;"/>
    <numFmt numFmtId="166" formatCode="&quot;C  ·  &quot;0;;&quot;C&quot;"/>
    <numFmt numFmtId="167" formatCode="dd/mm/yy"/>
    <numFmt numFmtId="168" formatCode="0.0"/>
    <numFmt numFmtId="169" formatCode="dd/mm"/>
    <numFmt numFmtId="170" formatCode="0.0&quot; h&quot;"/>
    <numFmt numFmtId="171" formatCode="0.#"/>
    <numFmt numFmtId="172" formatCode="dd/mm/yyyy"/>
  </numFmts>
  <fonts count="56">
    <font>
      <name val="Calibri"/>
      <family val="2"/>
      <color theme="1"/>
      <sz val="11"/>
      <scheme val="minor"/>
    </font>
    <font>
      <name val="Arial"/>
      <b val="1"/>
      <color rgb="006B7686"/>
      <sz val="7.5"/>
    </font>
    <font>
      <name val="Arial"/>
      <b val="1"/>
      <color rgb="000E1726"/>
      <sz val="10"/>
    </font>
    <font>
      <name val="Arial"/>
      <b val="1"/>
      <color rgb="00FFFFFF"/>
      <sz val="9"/>
    </font>
    <font>
      <name val="Arial"/>
      <b val="1"/>
      <color rgb="00FFFFFF"/>
      <sz val="8.5"/>
    </font>
    <font>
      <name val="Arial"/>
      <color rgb="000E1726"/>
      <sz val="8.5"/>
    </font>
    <font>
      <name val="Arial"/>
      <b val="1"/>
      <color rgb="000E1726"/>
      <sz val="8.5"/>
    </font>
    <font>
      <name val="Arial"/>
      <color rgb="000E1726"/>
      <sz val="8"/>
    </font>
    <font>
      <name val="Arial"/>
      <b val="1"/>
      <color rgb="006B7686"/>
      <sz val="8"/>
    </font>
    <font>
      <name val="Arial"/>
      <b val="1"/>
      <color rgb="000E1726"/>
      <sz val="11"/>
    </font>
    <font>
      <name val="Arial"/>
      <b val="1"/>
      <color rgb="00FFFFFF"/>
      <sz val="7"/>
    </font>
    <font>
      <name val="Arial"/>
      <b val="1"/>
      <color rgb="00FFFFFF"/>
      <sz val="8"/>
    </font>
    <font>
      <name val="Arial"/>
      <b val="1"/>
      <color rgb="008A5A00"/>
      <sz val="11"/>
    </font>
    <font>
      <name val="Arial"/>
      <b val="1"/>
      <color rgb="00B3261E"/>
      <sz val="11"/>
    </font>
    <font>
      <name val="Arial"/>
      <b val="1"/>
      <color rgb="001E7A46"/>
      <sz val="11"/>
    </font>
    <font>
      <name val="Arial"/>
      <i val="1"/>
      <color rgb="006B7686"/>
      <sz val="7.5"/>
    </font>
    <font>
      <name val="Arial"/>
      <i val="1"/>
      <color rgb="000E1726"/>
      <sz val="8"/>
    </font>
    <font>
      <name val="Arial Black"/>
      <b val="1"/>
      <color rgb="00B3261E"/>
      <sz val="16"/>
    </font>
    <font>
      <name val="Arial Black"/>
      <b val="1"/>
      <color rgb="008A5A00"/>
      <sz val="16"/>
    </font>
    <font>
      <name val="Arial Black"/>
      <b val="1"/>
      <color rgb="001E7A46"/>
      <sz val="16"/>
    </font>
    <font>
      <name val="Arial Black"/>
      <b val="1"/>
      <color rgb="00B3261E"/>
      <sz val="9"/>
    </font>
    <font>
      <name val="Arial Black"/>
      <b val="1"/>
      <color rgb="008A5A00"/>
      <sz val="9"/>
    </font>
    <font>
      <name val="Arial Black"/>
      <b val="1"/>
      <color rgb="005E7F1F"/>
      <sz val="9"/>
    </font>
    <font>
      <name val="Arial Black"/>
      <b val="1"/>
      <color rgb="001E7A46"/>
      <sz val="9"/>
    </font>
    <font>
      <name val="Arial Black"/>
      <color rgb="000E1726"/>
      <sz val="16"/>
    </font>
    <font>
      <name val="Arial"/>
      <color rgb="004A5668"/>
      <sz val="8"/>
    </font>
    <font>
      <name val="Arial Black"/>
      <color rgb="000E1726"/>
      <sz val="10"/>
    </font>
    <font>
      <name val="Arial"/>
      <b val="1"/>
      <color rgb="000E1726"/>
      <sz val="12"/>
    </font>
    <font>
      <name val="Arial Black"/>
      <b val="1"/>
      <color rgb="00B3261E"/>
      <sz val="10"/>
    </font>
    <font>
      <name val="Arial Black"/>
      <b val="1"/>
      <color rgb="008A5A00"/>
      <sz val="10"/>
    </font>
    <font>
      <name val="Arial Black"/>
      <b val="1"/>
      <color rgb="001E7A46"/>
      <sz val="10"/>
    </font>
    <font>
      <name val="Arial Black"/>
      <b val="1"/>
      <color rgb="000B2A5B"/>
      <sz val="14"/>
    </font>
    <font>
      <name val="Arial Black"/>
      <b val="1"/>
      <color rgb="00B3261E"/>
      <sz val="12"/>
    </font>
    <font>
      <name val="Arial"/>
      <color rgb="000E1726"/>
      <sz val="7.5"/>
    </font>
    <font>
      <name val="Arial Black"/>
      <b val="1"/>
      <color rgb="008A5A00"/>
      <sz val="12"/>
    </font>
    <font>
      <name val="Arial Black"/>
      <b val="1"/>
      <color rgb="005E7F1F"/>
      <sz val="12"/>
    </font>
    <font>
      <name val="Arial Black"/>
      <b val="1"/>
      <color rgb="001E7A46"/>
      <sz val="12"/>
    </font>
    <font>
      <name val="Arial Black"/>
      <color rgb="000E1726"/>
      <sz val="14"/>
    </font>
    <font>
      <name val="Arial"/>
      <b val="1"/>
      <color rgb="000B2A5B"/>
      <sz val="8.5"/>
    </font>
    <font>
      <name val="Arial Black"/>
      <color rgb="000E1726"/>
      <sz val="20"/>
    </font>
    <font>
      <name val="Arial"/>
      <b val="1"/>
      <color rgb="000E1726"/>
      <sz val="8"/>
    </font>
    <font>
      <name val="Arial"/>
      <b val="1"/>
      <color rgb="000B2A5B"/>
      <sz val="9"/>
    </font>
    <font>
      <name val="Arial"/>
      <b val="1"/>
      <color rgb="000E1726"/>
      <sz val="7"/>
    </font>
    <font>
      <name val="Arial"/>
      <color rgb="008A94A6"/>
      <sz val="7"/>
    </font>
    <font>
      <name val="Arial"/>
      <color rgb="000E1726"/>
      <sz val="9"/>
    </font>
    <font>
      <name val="Arial Black"/>
      <color rgb="000B2A5B"/>
      <sz val="16"/>
    </font>
    <font>
      <name val="Arial"/>
      <i val="1"/>
      <color rgb="004A5668"/>
      <sz val="8"/>
    </font>
    <font>
      <name val="Arial Black"/>
      <color rgb="001F5AA6"/>
      <sz val="12"/>
      <u val="single"/>
    </font>
    <font>
      <name val="Arial Black"/>
      <color rgb="00FFFFFF"/>
      <sz val="10"/>
    </font>
    <font>
      <name val="Arial"/>
      <b val="1"/>
      <color rgb="000E1726"/>
      <sz val="9"/>
    </font>
    <font>
      <name val="Arial"/>
      <i val="1"/>
      <color rgb="006B7686"/>
      <sz val="8"/>
    </font>
    <font>
      <name val="Arial"/>
      <b val="1"/>
      <color rgb="00B85600"/>
      <sz val="8"/>
    </font>
    <font>
      <name val="Arial"/>
      <b val="1"/>
      <color rgb="001F5AA6"/>
      <sz val="9"/>
      <u val="single"/>
    </font>
    <font>
      <name val="Arial Black"/>
      <color rgb="000B2A5B"/>
      <sz val="10"/>
    </font>
    <font>
      <name val="Arial Black"/>
      <color rgb="001F5AA6"/>
      <sz val="10"/>
      <u val="single"/>
    </font>
    <font>
      <name val="Arial"/>
      <color rgb="004A5668"/>
      <sz val="8.5"/>
    </font>
  </fonts>
  <fills count="1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CEFF3"/>
      </patternFill>
    </fill>
    <fill>
      <patternFill patternType="solid">
        <fgColor rgb="001F5AA6"/>
      </patternFill>
    </fill>
    <fill>
      <patternFill patternType="solid">
        <fgColor rgb="000B2A5B"/>
      </patternFill>
    </fill>
    <fill>
      <patternFill patternType="solid">
        <fgColor rgb="00FFF3DC"/>
      </patternFill>
    </fill>
    <fill>
      <patternFill patternType="solid">
        <fgColor rgb="00F8D7D3"/>
      </patternFill>
    </fill>
    <fill>
      <patternFill patternType="solid">
        <fgColor rgb="00E6F4E8"/>
      </patternFill>
    </fill>
    <fill>
      <patternFill patternType="solid">
        <fgColor rgb="00FDECEA"/>
      </patternFill>
    </fill>
    <fill>
      <patternFill patternType="solid">
        <fgColor rgb="00F1F6DA"/>
      </patternFill>
    </fill>
    <fill>
      <patternFill patternType="solid">
        <fgColor rgb="00E1ECF6"/>
      </patternFill>
    </fill>
    <fill>
      <patternFill patternType="solid">
        <fgColor rgb="00EAF1FB"/>
      </patternFill>
    </fill>
    <fill>
      <patternFill patternType="solid">
        <fgColor rgb="00F6F8FB"/>
      </patternFill>
    </fill>
  </fills>
  <borders count="98">
    <border>
      <left/>
      <right/>
      <top/>
      <bottom/>
      <diagonal/>
    </border>
    <border>
      <left style="thin">
        <color rgb="00D3DEEC"/>
      </left>
      <top style="thin">
        <color rgb="00D3DEEC"/>
      </top>
    </border>
    <border>
      <top style="thin">
        <color rgb="00D3DEEC"/>
      </top>
    </border>
    <border>
      <right style="thin">
        <color rgb="00D3DEEC"/>
      </right>
      <top style="thin">
        <color rgb="00D3DEEC"/>
      </top>
    </border>
    <border>
      <left style="thin">
        <color rgb="00D3DEEC"/>
      </left>
      <bottom style="thin">
        <color rgb="00D3DEEC"/>
      </bottom>
    </border>
    <border>
      <bottom style="thin">
        <color rgb="00D3DEEC"/>
      </bottom>
    </border>
    <border>
      <right style="thin">
        <color rgb="00D3DEEC"/>
      </right>
      <bottom style="thin">
        <color rgb="00D3DEEC"/>
      </bottom>
    </border>
    <border>
      <left/>
      <right/>
      <top style="thin">
        <color rgb="00D3DEEC"/>
      </top>
      <bottom/>
      <diagonal/>
    </border>
    <border>
      <left/>
      <right/>
      <top/>
      <bottom style="thin">
        <color rgb="00D3DEEC"/>
      </bottom>
      <diagonal/>
    </border>
    <border>
      <left style="thin">
        <color rgb="00D3DEEC"/>
      </left>
      <top style="thin">
        <color rgb="00D3DEEC"/>
      </top>
      <bottom style="thin">
        <color rgb="00D3DEEC"/>
      </bottom>
    </border>
    <border>
      <top style="thin">
        <color rgb="00D3DEEC"/>
      </top>
      <bottom style="thin">
        <color rgb="00D3DEEC"/>
      </bottom>
    </border>
    <border>
      <right style="thin">
        <color rgb="00D3DEEC"/>
      </right>
      <top style="thin">
        <color rgb="00D3DEEC"/>
      </top>
      <bottom style="thin">
        <color rgb="00D3DEEC"/>
      </bottom>
    </border>
    <border>
      <left/>
      <right style="thin">
        <color rgb="00D3DEEC"/>
      </right>
      <top style="thin">
        <color rgb="00D3DEEC"/>
      </top>
      <bottom/>
      <diagonal/>
    </border>
    <border>
      <left/>
      <right style="thin">
        <color rgb="00D3DEEC"/>
      </right>
      <top/>
      <bottom/>
      <diagonal/>
    </border>
    <border>
      <left/>
      <right style="thin">
        <color rgb="00D3DEEC"/>
      </right>
      <top/>
      <bottom style="thin">
        <color rgb="00D3DEEC"/>
      </bottom>
      <diagonal/>
    </border>
    <border>
      <left style="thin">
        <color rgb="00D3DEEC"/>
      </left>
      <right style="thin">
        <color rgb="00D3DEEC"/>
      </right>
      <top style="thin">
        <color rgb="00D3DEEC"/>
      </top>
    </border>
    <border>
      <left style="thin">
        <color rgb="00D3DEEC"/>
      </left>
      <right style="thin">
        <color rgb="00D3DEEC"/>
      </right>
      <bottom style="thin">
        <color rgb="00D3DEEC"/>
      </bottom>
    </border>
    <border>
      <left style="thin">
        <color rgb="00D3DEEC"/>
      </left>
    </border>
    <border/>
    <border>
      <right style="thin">
        <color rgb="00D3DEEC"/>
      </right>
    </border>
    <border>
      <left style="thin">
        <color rgb="00FFFFFF"/>
      </left>
    </border>
    <border>
      <top style="thin">
        <color rgb="00FFFFFF"/>
      </top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3DEEC"/>
      </left>
      <right style="thin">
        <color rgb="00D3DEEC"/>
      </right>
    </border>
    <border>
      <left style="thin">
        <color rgb="00D3DEEC"/>
      </left>
      <right/>
      <top/>
      <bottom/>
      <diagonal/>
    </border>
    <border>
      <left style="thin">
        <color rgb="00D3DEEC"/>
      </left>
      <right/>
      <top/>
      <bottom style="thin">
        <color rgb="00D3DEEC"/>
      </bottom>
      <diagonal/>
    </border>
    <border>
      <left style="thin">
        <color rgb="00FFFFFF"/>
      </left>
      <right style="thin">
        <color rgb="00D3DEEC"/>
      </right>
    </border>
    <border>
      <left style="thin">
        <color rgb="00FFFFFF"/>
      </left>
      <bottom style="thin">
        <color rgb="00D3DEEC"/>
      </bottom>
    </border>
    <border>
      <left style="thin">
        <color rgb="000B2A5B"/>
      </left>
      <top style="thin">
        <color rgb="000B2A5B"/>
      </top>
    </border>
    <border>
      <top style="thin">
        <color rgb="000B2A5B"/>
      </top>
    </border>
    <border>
      <right style="thin">
        <color rgb="000B2A5B"/>
      </right>
      <top style="thin">
        <color rgb="000B2A5B"/>
      </top>
    </border>
    <border>
      <left style="thin">
        <color rgb="000B2A5B"/>
      </left>
      <bottom style="thin">
        <color rgb="000B2A5B"/>
      </bottom>
    </border>
    <border>
      <bottom style="thin">
        <color rgb="000B2A5B"/>
      </bottom>
    </border>
    <border>
      <right style="thin">
        <color rgb="000B2A5B"/>
      </right>
      <bottom style="thin">
        <color rgb="000B2A5B"/>
      </bottom>
    </border>
    <border>
      <left/>
      <right/>
      <top style="thin">
        <color rgb="00D3DEEC"/>
      </top>
      <bottom/>
    </border>
    <border>
      <left/>
      <right style="thin">
        <color rgb="00D3DEEC"/>
      </right>
      <top style="thin">
        <color rgb="00D3DEEC"/>
      </top>
      <bottom/>
    </border>
    <border>
      <left style="thin">
        <color rgb="00FFFFFF"/>
      </left>
      <top style="thin">
        <color rgb="00D3DEEC"/>
      </top>
    </border>
    <border>
      <left style="thin">
        <color rgb="00D3DEEC"/>
      </left>
      <top style="thin">
        <color rgb="00FFFFFF"/>
      </top>
    </border>
    <border>
      <left style="thin">
        <color rgb="00FFFFFF"/>
      </left>
      <right style="thin">
        <color rgb="00D3DEEC"/>
      </right>
      <top style="thin">
        <color rgb="00FFFFFF"/>
      </top>
      <bottom style="thin">
        <color rgb="00FFFFFF"/>
      </bottom>
    </border>
    <border>
      <left/>
      <right/>
      <top/>
      <bottom style="thin">
        <color rgb="00D3DEEC"/>
      </bottom>
    </border>
    <border>
      <left/>
      <right style="thin">
        <color rgb="00D3DEEC"/>
      </right>
      <top/>
      <bottom style="thin">
        <color rgb="00D3DEEC"/>
      </bottom>
    </border>
    <border>
      <left/>
      <right style="thin">
        <color rgb="00D3DEEC"/>
      </right>
      <top/>
      <bottom/>
    </border>
    <border>
      <left style="thin">
        <color rgb="00FFFFFF"/>
      </left>
      <right style="thin">
        <color rgb="00D3DEEC"/>
      </right>
      <bottom style="thin">
        <color rgb="00D3DEEC"/>
      </bottom>
    </border>
    <border>
      <left style="thin">
        <color rgb="00D3DEEC"/>
      </left>
      <right/>
      <top/>
      <bottom style="thin">
        <color rgb="00D3DEEC"/>
      </bottom>
    </border>
    <border>
      <left style="thin">
        <color rgb="000B2A5B"/>
      </left>
      <bottom style="thin">
        <color rgb="00D3DEEC"/>
      </bottom>
    </border>
    <border>
      <left style="hair">
        <color rgb="00D3DEEC"/>
      </left>
      <bottom style="thin">
        <color rgb="00D3DEEC"/>
      </bottom>
    </border>
    <border>
      <left style="thin">
        <color rgb="000B2A5B"/>
      </left>
    </border>
    <border>
      <left style="hair">
        <color rgb="00D3DEEC"/>
      </left>
    </border>
    <border>
      <left style="thin">
        <color rgb="00FFFFFF"/>
      </left>
      <top style="thin">
        <color rgb="000B2A5B"/>
      </top>
    </border>
    <border>
      <right style="thin">
        <color rgb="000B2A5B"/>
      </right>
    </border>
    <border>
      <left style="thin">
        <color rgb="008C9BB5"/>
      </left>
      <bottom style="thin">
        <color rgb="00D3DEEC"/>
      </bottom>
    </border>
    <border>
      <left style="thin">
        <color rgb="00D3DEEC"/>
      </left>
      <right style="thin">
        <color rgb="000B2A5B"/>
      </right>
      <bottom style="thin">
        <color rgb="00D3DEEC"/>
      </bottom>
    </border>
    <border>
      <left style="thin">
        <color rgb="000B2A5B"/>
      </left>
      <top style="thin">
        <color rgb="000B2A5B"/>
      </top>
      <bottom style="thin">
        <color rgb="000B2A5B"/>
      </bottom>
    </border>
    <border>
      <left style="thin">
        <color rgb="00D3DEEC"/>
      </left>
      <top style="thin">
        <color rgb="000B2A5B"/>
      </top>
      <bottom style="thin">
        <color rgb="000B2A5B"/>
      </bottom>
    </border>
    <border>
      <left style="thin">
        <color rgb="008C9BB5"/>
      </left>
      <top style="thin">
        <color rgb="000B2A5B"/>
      </top>
      <bottom style="thin">
        <color rgb="000B2A5B"/>
      </bottom>
    </border>
    <border>
      <left style="thin">
        <color rgb="00D3DEEC"/>
      </left>
      <right style="thin">
        <color rgb="000B2A5B"/>
      </right>
      <top style="thin">
        <color rgb="000B2A5B"/>
      </top>
      <bottom style="thin">
        <color rgb="000B2A5B"/>
      </bottom>
    </border>
    <border>
      <left style="thin">
        <color rgb="00D3DEEC"/>
      </left>
      <top style="thin">
        <color rgb="000B2A5B"/>
      </top>
      <bottom style="thin">
        <color rgb="00D3DEEC"/>
      </bottom>
    </border>
    <border>
      <left style="thin">
        <color rgb="008C9BB5"/>
      </left>
      <top style="thin">
        <color rgb="000B2A5B"/>
      </top>
      <bottom style="thin">
        <color rgb="00D3DEEC"/>
      </bottom>
    </border>
    <border>
      <left style="thin">
        <color rgb="00D3DEEC"/>
      </left>
      <right style="thin">
        <color rgb="00D3DEEC"/>
      </right>
      <top style="thin">
        <color rgb="000B2A5B"/>
      </top>
      <bottom style="thin">
        <color rgb="00D3DEEC"/>
      </bottom>
    </border>
    <border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top style="thin">
        <color rgb="000B2A5B"/>
      </top>
    </border>
    <border>
      <bottom style="thick">
        <color rgb="00F28C28"/>
      </bottom>
    </border>
    <border>
      <left style="medium">
        <color rgb="00FFFFFF"/>
      </left>
      <top style="medium">
        <color rgb="000B2A5B"/>
      </top>
    </border>
    <border>
      <left style="medium">
        <color rgb="00FFFFFF"/>
      </left>
    </border>
    <border>
      <right style="medium">
        <color rgb="00FFFFFF"/>
      </right>
      <top style="medium">
        <color rgb="000B2A5B"/>
      </top>
    </border>
    <border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0B2A5B"/>
      </top>
    </border>
    <border>
      <left style="medium">
        <color rgb="00FFFFFF"/>
      </left>
      <right style="medium">
        <color rgb="00FFFFFF"/>
      </right>
    </border>
    <border>
      <left style="thin">
        <color rgb="00D3DEEC"/>
      </left>
      <right style="thin">
        <color rgb="00D3DEEC"/>
      </right>
      <top style="thin">
        <color rgb="00D3DEEC"/>
      </top>
      <bottom style="thin">
        <color rgb="00D3DEEC"/>
      </bottom>
    </border>
    <border>
      <bottom style="thin">
        <color rgb="00FFFFFF"/>
      </bottom>
    </border>
    <border>
      <top style="medium">
        <color rgb="000B2A5B"/>
      </top>
    </border>
    <border>
      <left/>
      <right/>
      <top style="thin">
        <color rgb="00D3DEEC"/>
      </top>
      <bottom style="thin">
        <color rgb="00D3DEEC"/>
      </bottom>
      <diagonal/>
    </border>
    <border>
      <left/>
      <right style="thin">
        <color rgb="00D3DEEC"/>
      </right>
      <top style="thin">
        <color rgb="00D3DEEC"/>
      </top>
      <bottom style="thin">
        <color rgb="00D3DEEC"/>
      </bottom>
      <diagonal/>
    </border>
    <border>
      <left style="thin">
        <color rgb="00D3DEEC"/>
      </left>
      <right style="thin">
        <color rgb="00D3DEEC"/>
      </right>
      <bottom/>
    </border>
    <border>
      <right style="thin">
        <color rgb="00D3DEEC"/>
      </right>
      <top style="thin">
        <color rgb="00D3DEEC"/>
      </top>
      <bottom/>
    </border>
    <border>
      <left/>
      <right/>
      <top style="thin">
        <color rgb="000B2A5B"/>
      </top>
      <bottom/>
      <diagonal/>
    </border>
    <border>
      <left/>
      <right style="thin">
        <color rgb="000B2A5B"/>
      </right>
      <top style="thin">
        <color rgb="000B2A5B"/>
      </top>
      <bottom/>
      <diagonal/>
    </border>
    <border>
      <left/>
      <right style="thin">
        <color rgb="000B2A5B"/>
      </right>
      <top/>
      <bottom/>
      <diagonal/>
    </border>
    <border>
      <left/>
      <right style="thin">
        <color rgb="000B2A5B"/>
      </right>
      <top/>
      <bottom style="thin">
        <color rgb="000B2A5B"/>
      </bottom>
      <diagonal/>
    </border>
    <border>
      <left style="thin">
        <color rgb="00D3DEEC"/>
      </left>
      <right/>
      <top style="thin">
        <color rgb="00D3DEEC"/>
      </top>
      <bottom/>
    </border>
    <border>
      <left style="thin">
        <color rgb="00FFFFFF"/>
      </left>
      <right style="thin">
        <color rgb="00D3DEEC"/>
      </right>
      <bottom/>
    </border>
    <border>
      <left style="thin">
        <color rgb="00FFFFFF"/>
      </left>
      <right/>
      <bottom/>
    </border>
    <border>
      <left style="thin">
        <color rgb="000B2A5B"/>
      </left>
      <right style="thin">
        <color rgb="000B2A5B"/>
      </right>
      <top style="thin">
        <color rgb="000B2A5B"/>
      </top>
      <bottom style="thin">
        <color rgb="000B2A5B"/>
      </bottom>
    </border>
    <border>
      <left style="thin">
        <color rgb="000B2A5B"/>
      </left>
      <right/>
      <top/>
      <bottom/>
      <diagonal/>
    </border>
    <border>
      <left style="thin">
        <color rgb="000B2A5B"/>
      </left>
      <right/>
      <top/>
      <bottom style="thin">
        <color rgb="000B2A5B"/>
      </bottom>
      <diagonal/>
    </border>
    <border>
      <left/>
      <right/>
      <top/>
      <bottom style="thin">
        <color rgb="000B2A5B"/>
      </bottom>
      <diagonal/>
    </border>
    <border>
      <left style="thin">
        <color rgb="00D3DEEC"/>
      </left>
      <right style="thin">
        <color rgb="00D3DEEC"/>
      </right>
      <top style="thin">
        <color rgb="00D3DEEC"/>
      </top>
      <bottom/>
    </border>
    <border>
      <left style="thin">
        <color rgb="00FFFFFF"/>
      </left>
      <right style="thin">
        <color rgb="00D3DEEC"/>
      </right>
      <top style="thin">
        <color rgb="00D3DEEC"/>
      </top>
    </border>
    <border>
      <left/>
      <right/>
      <top style="thin">
        <color rgb="000B2A5B"/>
      </top>
      <bottom style="thin">
        <color rgb="00D3DEEC"/>
      </bottom>
      <diagonal/>
    </border>
    <border>
      <right/>
      <top style="thin">
        <color rgb="00D3DEEC"/>
      </top>
      <bottom/>
    </border>
    <border>
      <left style="thin">
        <color rgb="000B2A5B"/>
      </left>
      <right style="thin">
        <color rgb="000B2A5B"/>
      </right>
      <top style="thin">
        <color rgb="000B2A5B"/>
      </top>
      <bottom/>
    </border>
    <border>
      <left style="thin">
        <color rgb="00FFFFFF"/>
      </left>
      <right style="thin">
        <color rgb="00D3DEEC"/>
      </right>
      <top style="thin">
        <color rgb="00D3DEEC"/>
      </top>
      <bottom/>
    </border>
  </borders>
  <cellStyleXfs count="1">
    <xf numFmtId="0" fontId="0" fillId="0" borderId="0"/>
  </cellStyleXfs>
  <cellXfs count="176">
    <xf numFmtId="0" fontId="0" fillId="0" borderId="0" pivotButton="0" quotePrefix="0" xfId="0"/>
    <xf numFmtId="0" fontId="45" fillId="0" borderId="0" applyAlignment="1" pivotButton="0" quotePrefix="0" xfId="0">
      <alignment horizontal="center" vertical="bottom"/>
    </xf>
    <xf numFmtId="0" fontId="25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 shrinkToFit="1"/>
    </xf>
    <xf numFmtId="0" fontId="47" fillId="0" borderId="0" applyAlignment="1" pivotButton="0" quotePrefix="0" xfId="0">
      <alignment horizontal="right" vertical="center"/>
    </xf>
    <xf numFmtId="0" fontId="0" fillId="0" borderId="67" pivotButton="0" quotePrefix="0" xfId="0"/>
    <xf numFmtId="0" fontId="46" fillId="0" borderId="67" applyAlignment="1" pivotButton="0" quotePrefix="0" xfId="0">
      <alignment horizontal="center" vertical="top"/>
    </xf>
    <xf numFmtId="0" fontId="46" fillId="0" borderId="67" applyAlignment="1" pivotButton="0" quotePrefix="0" xfId="0">
      <alignment horizontal="right" vertical="top"/>
    </xf>
    <xf numFmtId="0" fontId="48" fillId="5" borderId="0" applyAlignment="1" pivotButton="0" quotePrefix="0" xfId="0">
      <alignment vertical="center" indent="1"/>
    </xf>
    <xf numFmtId="0" fontId="0" fillId="5" borderId="0" pivotButton="0" quotePrefix="0" xfId="0"/>
    <xf numFmtId="0" fontId="0" fillId="12" borderId="68" applyAlignment="1" pivotButton="0" quotePrefix="0" xfId="0">
      <alignment vertical="center" indent="1"/>
    </xf>
    <xf numFmtId="0" fontId="0" fillId="12" borderId="70" pivotButton="0" quotePrefix="0" xfId="0"/>
    <xf numFmtId="0" fontId="0" fillId="12" borderId="72" applyAlignment="1" pivotButton="0" quotePrefix="0" xfId="0">
      <alignment vertical="center" indent="1"/>
    </xf>
    <xf numFmtId="0" fontId="5" fillId="12" borderId="69" applyAlignment="1" pivotButton="0" quotePrefix="0" xfId="0">
      <alignment vertical="top" wrapText="1" indent="1"/>
    </xf>
    <xf numFmtId="0" fontId="0" fillId="12" borderId="71" pivotButton="0" quotePrefix="0" xfId="0"/>
    <xf numFmtId="0" fontId="5" fillId="12" borderId="73" applyAlignment="1" pivotButton="0" quotePrefix="0" xfId="0">
      <alignment vertical="top" wrapText="1" indent="1"/>
    </xf>
    <xf numFmtId="0" fontId="0" fillId="5" borderId="0" applyAlignment="1" pivotButton="0" quotePrefix="0" xfId="0">
      <alignment vertical="center" indent="1"/>
    </xf>
    <xf numFmtId="0" fontId="41" fillId="12" borderId="74" applyAlignment="1" pivotButton="0" quotePrefix="0" xfId="0">
      <alignment vertical="center" indent="1"/>
    </xf>
    <xf numFmtId="0" fontId="0" fillId="12" borderId="74" pivotButton="0" quotePrefix="0" xfId="0"/>
    <xf numFmtId="49" fontId="49" fillId="2" borderId="74" applyAlignment="1" pivotButton="0" quotePrefix="0" xfId="0">
      <alignment horizontal="left" vertical="center" wrapText="1" indent="1"/>
    </xf>
    <xf numFmtId="0" fontId="0" fillId="2" borderId="10" pivotButton="0" quotePrefix="0" xfId="0"/>
    <xf numFmtId="0" fontId="50" fillId="2" borderId="11" applyAlignment="1" pivotButton="0" quotePrefix="0" xfId="0">
      <alignment vertical="center" indent="1"/>
    </xf>
    <xf numFmtId="0" fontId="0" fillId="2" borderId="74" pivotButton="0" quotePrefix="0" xfId="0"/>
    <xf numFmtId="0" fontId="51" fillId="2" borderId="11" applyAlignment="1" pivotButton="0" quotePrefix="0" xfId="0">
      <alignment vertical="center" indent="1"/>
    </xf>
    <xf numFmtId="49" fontId="49" fillId="3" borderId="74" applyAlignment="1" pivotButton="0" quotePrefix="0" xfId="0">
      <alignment horizontal="left" vertical="center" wrapText="1" indent="1"/>
    </xf>
    <xf numFmtId="0" fontId="0" fillId="3" borderId="10" pivotButton="0" quotePrefix="0" xfId="0"/>
    <xf numFmtId="0" fontId="48" fillId="4" borderId="75" applyAlignment="1" pivotButton="0" quotePrefix="0" xfId="0">
      <alignment horizontal="center" vertical="center"/>
    </xf>
    <xf numFmtId="0" fontId="52" fillId="0" borderId="5" applyAlignment="1" pivotButton="0" quotePrefix="0" xfId="0">
      <alignment vertical="center" wrapText="1" indent="1"/>
    </xf>
    <xf numFmtId="0" fontId="44" fillId="0" borderId="5" applyAlignment="1" pivotButton="0" quotePrefix="0" xfId="0">
      <alignment vertical="center" wrapText="1" indent="1"/>
    </xf>
    <xf numFmtId="0" fontId="0" fillId="0" borderId="5" pivotButton="0" quotePrefix="0" xfId="0"/>
    <xf numFmtId="0" fontId="41" fillId="0" borderId="5" applyAlignment="1" pivotButton="0" quotePrefix="0" xfId="0">
      <alignment vertical="center" indent="1"/>
    </xf>
    <xf numFmtId="0" fontId="41" fillId="2" borderId="74" applyAlignment="1" pivotButton="0" quotePrefix="0" xfId="0">
      <alignment vertical="center" indent="1"/>
    </xf>
    <xf numFmtId="0" fontId="41" fillId="3" borderId="74" applyAlignment="1" pivotButton="0" quotePrefix="0" xfId="0">
      <alignment vertical="center" indent="1"/>
    </xf>
    <xf numFmtId="0" fontId="0" fillId="3" borderId="74" pivotButton="0" quotePrefix="0" xfId="0"/>
    <xf numFmtId="0" fontId="0" fillId="13" borderId="76" pivotButton="0" quotePrefix="0" xfId="0"/>
    <xf numFmtId="0" fontId="53" fillId="13" borderId="76" applyAlignment="1" pivotButton="0" quotePrefix="0" xfId="0">
      <alignment vertical="bottom" indent="1"/>
    </xf>
    <xf numFmtId="0" fontId="54" fillId="13" borderId="76" applyAlignment="1" pivotButton="0" quotePrefix="0" xfId="0">
      <alignment horizontal="right" vertical="bottom" indent="1"/>
    </xf>
    <xf numFmtId="0" fontId="0" fillId="13" borderId="0" pivotButton="0" quotePrefix="0" xfId="0"/>
    <xf numFmtId="0" fontId="55" fillId="13" borderId="0" applyAlignment="1" pivotButton="0" quotePrefix="0" xfId="0">
      <alignment vertical="top" wrapText="1" indent="1"/>
    </xf>
    <xf numFmtId="0" fontId="0" fillId="2" borderId="88" pivotButton="0" quotePrefix="0" xfId="0"/>
    <xf numFmtId="0" fontId="0" fillId="0" borderId="81" pivotButton="0" quotePrefix="0" xfId="0"/>
    <xf numFmtId="0" fontId="0" fillId="0" borderId="82" pivotButton="0" quotePrefix="0" xfId="0"/>
    <xf numFmtId="0" fontId="24" fillId="2" borderId="66" applyAlignment="1" pivotButton="0" quotePrefix="0" xfId="0">
      <alignment horizontal="center" vertical="center"/>
    </xf>
    <xf numFmtId="0" fontId="26" fillId="2" borderId="66" applyAlignment="1" pivotButton="0" quotePrefix="0" xfId="0">
      <alignment horizontal="center" vertical="center" shrinkToFit="1"/>
    </xf>
    <xf numFmtId="0" fontId="0" fillId="0" borderId="90" pivotButton="0" quotePrefix="0" xfId="0"/>
    <xf numFmtId="0" fontId="0" fillId="0" borderId="91" pivotButton="0" quotePrefix="0" xfId="0"/>
    <xf numFmtId="0" fontId="0" fillId="0" borderId="84" pivotButton="0" quotePrefix="0" xfId="0"/>
    <xf numFmtId="0" fontId="25" fillId="2" borderId="65" applyAlignment="1" pivotButton="0" quotePrefix="0" xfId="0">
      <alignment horizontal="center" vertical="center" wrapText="1"/>
    </xf>
    <xf numFmtId="0" fontId="1" fillId="2" borderId="85" applyAlignment="1" pivotButton="0" quotePrefix="0" xfId="0">
      <alignment horizontal="left" vertical="bottom" indent="1"/>
    </xf>
    <xf numFmtId="0" fontId="0" fillId="0" borderId="7" pivotButton="0" quotePrefix="0" xfId="0"/>
    <xf numFmtId="0" fontId="1" fillId="2" borderId="80" applyAlignment="1" pivotButton="0" quotePrefix="0" xfId="0">
      <alignment horizontal="left" vertical="bottom" indent="1"/>
    </xf>
    <xf numFmtId="0" fontId="0" fillId="0" borderId="12" pivotButton="0" quotePrefix="0" xfId="0"/>
    <xf numFmtId="0" fontId="0" fillId="2" borderId="0" pivotButton="0" quotePrefix="0" xfId="0"/>
    <xf numFmtId="0" fontId="1" fillId="2" borderId="92" applyAlignment="1" pivotButton="0" quotePrefix="0" xfId="0">
      <alignment horizontal="left" vertical="bottom" indent="1"/>
    </xf>
    <xf numFmtId="0" fontId="2" fillId="2" borderId="74" applyAlignment="1" pivotButton="0" quotePrefix="0" xfId="0">
      <alignment horizontal="left" vertical="center" wrapText="1" indent="1"/>
    </xf>
    <xf numFmtId="0" fontId="0" fillId="0" borderId="77" pivotButton="0" quotePrefix="0" xfId="0"/>
    <xf numFmtId="0" fontId="0" fillId="0" borderId="78" pivotButton="0" quotePrefix="0" xfId="0"/>
    <xf numFmtId="0" fontId="2" fillId="3" borderId="74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3" fillId="4" borderId="36" applyAlignment="1" pivotButton="0" quotePrefix="0" xfId="0">
      <alignment horizontal="left" vertical="center" indent="1"/>
    </xf>
    <xf numFmtId="0" fontId="3" fillId="4" borderId="93" applyAlignment="1" pivotButton="0" quotePrefix="0" xfId="0">
      <alignment horizontal="left" vertical="center" indent="1"/>
    </xf>
    <xf numFmtId="0" fontId="3" fillId="4" borderId="15" applyAlignment="1" pivotButton="0" quotePrefix="0" xfId="0">
      <alignment horizontal="left" vertical="center" indent="1"/>
    </xf>
    <xf numFmtId="0" fontId="4" fillId="5" borderId="17" applyAlignment="1" pivotButton="0" quotePrefix="0" xfId="0">
      <alignment horizontal="center" vertical="center" wrapText="1"/>
    </xf>
    <xf numFmtId="0" fontId="4" fillId="5" borderId="20" applyAlignment="1" pivotButton="0" quotePrefix="0" xfId="0">
      <alignment horizontal="center" vertical="center" wrapText="1"/>
    </xf>
    <xf numFmtId="0" fontId="4" fillId="5" borderId="26" applyAlignment="1" pivotButton="0" quotePrefix="0" xfId="0">
      <alignment horizontal="center" vertical="center" wrapText="1"/>
    </xf>
    <xf numFmtId="0" fontId="10" fillId="5" borderId="17" applyAlignment="1" pivotButton="0" quotePrefix="0" xfId="0">
      <alignment horizontal="center" vertical="center" wrapText="1"/>
    </xf>
    <xf numFmtId="0" fontId="16" fillId="2" borderId="79" applyAlignment="1" pivotButton="0" quotePrefix="0" xfId="0">
      <alignment horizontal="left" vertical="center" wrapText="1" indent="1"/>
    </xf>
    <xf numFmtId="0" fontId="0" fillId="0" borderId="13" pivotButton="0" quotePrefix="0" xfId="0"/>
    <xf numFmtId="0" fontId="8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left" vertical="center" wrapText="1" indent="1"/>
    </xf>
    <xf numFmtId="0" fontId="7" fillId="3" borderId="4" applyAlignment="1" pivotButton="0" quotePrefix="0" xfId="0">
      <alignment horizontal="left" vertical="center" wrapText="1" indent="1"/>
    </xf>
    <xf numFmtId="0" fontId="9" fillId="2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left" vertical="center" wrapText="1" indent="1"/>
    </xf>
    <xf numFmtId="0" fontId="11" fillId="5" borderId="37" applyAlignment="1" pivotButton="0" quotePrefix="0" xfId="0">
      <alignment horizontal="left" vertical="center" wrapText="1" indent="1"/>
    </xf>
    <xf numFmtId="164" fontId="12" fillId="6" borderId="22" applyAlignment="1" pivotButton="0" quotePrefix="0" xfId="0">
      <alignment horizontal="center" vertical="center"/>
    </xf>
    <xf numFmtId="165" fontId="13" fillId="7" borderId="22" applyAlignment="1" pivotButton="0" quotePrefix="0" xfId="0">
      <alignment horizontal="center" vertical="center"/>
    </xf>
    <xf numFmtId="165" fontId="13" fillId="7" borderId="38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7" fillId="2" borderId="6" applyAlignment="1" pivotButton="0" quotePrefix="0" xfId="0">
      <alignment horizontal="left" vertical="center" wrapText="1" indent="1"/>
    </xf>
    <xf numFmtId="0" fontId="0" fillId="0" borderId="25" pivotButton="0" quotePrefix="0" xfId="0"/>
    <xf numFmtId="0" fontId="0" fillId="0" borderId="8" pivotButton="0" quotePrefix="0" xfId="0"/>
    <xf numFmtId="0" fontId="0" fillId="0" borderId="14" pivotButton="0" quotePrefix="0" xfId="0"/>
    <xf numFmtId="166" fontId="14" fillId="8" borderId="22" applyAlignment="1" pivotButton="0" quotePrefix="0" xfId="0">
      <alignment horizontal="center" vertical="center"/>
    </xf>
    <xf numFmtId="0" fontId="18" fillId="6" borderId="4" applyAlignment="1" pivotButton="0" quotePrefix="0" xfId="0">
      <alignment horizontal="center" vertical="center"/>
    </xf>
    <xf numFmtId="164" fontId="12" fillId="6" borderId="38" applyAlignment="1" pivotButton="0" quotePrefix="0" xfId="0">
      <alignment horizontal="center" vertical="center"/>
    </xf>
    <xf numFmtId="0" fontId="19" fillId="8" borderId="4" applyAlignment="1" pivotButton="0" quotePrefix="0" xfId="0">
      <alignment horizontal="center" vertical="center"/>
    </xf>
    <xf numFmtId="0" fontId="15" fillId="2" borderId="16" applyAlignment="1" pivotButton="0" quotePrefix="0" xfId="0">
      <alignment horizontal="left" vertical="center" wrapText="1" indent="1"/>
    </xf>
    <xf numFmtId="0" fontId="4" fillId="5" borderId="87" applyAlignment="1" pivotButton="0" quotePrefix="0" xfId="0">
      <alignment horizontal="center" vertical="center" wrapText="1"/>
    </xf>
    <xf numFmtId="0" fontId="4" fillId="5" borderId="86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left" vertical="center" wrapText="1" indent="1"/>
    </xf>
    <xf numFmtId="0" fontId="20" fillId="9" borderId="4" applyAlignment="1" pivotButton="0" quotePrefix="0" xfId="0">
      <alignment horizontal="center" vertical="center" wrapText="1"/>
    </xf>
    <xf numFmtId="0" fontId="21" fillId="6" borderId="4" applyAlignment="1" pivotButton="0" quotePrefix="0" xfId="0">
      <alignment horizontal="center" vertical="center" wrapText="1"/>
    </xf>
    <xf numFmtId="0" fontId="22" fillId="10" borderId="4" applyAlignment="1" pivotButton="0" quotePrefix="0" xfId="0">
      <alignment horizontal="center" vertical="center" wrapText="1"/>
    </xf>
    <xf numFmtId="0" fontId="23" fillId="8" borderId="4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 indent="1"/>
    </xf>
    <xf numFmtId="0" fontId="37" fillId="2" borderId="66" applyAlignment="1" pivotButton="0" quotePrefix="0" xfId="0">
      <alignment horizontal="center" vertical="center"/>
    </xf>
    <xf numFmtId="0" fontId="27" fillId="3" borderId="7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left" vertical="center" wrapText="1" indent="1"/>
    </xf>
    <xf numFmtId="0" fontId="5" fillId="2" borderId="4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left" vertical="center" wrapText="1" indent="1"/>
    </xf>
    <xf numFmtId="0" fontId="28" fillId="7" borderId="4" applyAlignment="1" pivotButton="0" quotePrefix="0" xfId="0">
      <alignment horizontal="center" vertical="center" wrapText="1"/>
    </xf>
    <xf numFmtId="0" fontId="31" fillId="2" borderId="4" applyAlignment="1" pivotButton="0" quotePrefix="0" xfId="0">
      <alignment horizontal="center" vertical="center"/>
    </xf>
    <xf numFmtId="0" fontId="29" fillId="6" borderId="4" applyAlignment="1" pivotButton="0" quotePrefix="0" xfId="0">
      <alignment horizontal="center" vertical="center" wrapText="1"/>
    </xf>
    <xf numFmtId="0" fontId="30" fillId="8" borderId="4" applyAlignment="1" pivotButton="0" quotePrefix="0" xfId="0">
      <alignment horizontal="center" vertical="center" wrapText="1"/>
    </xf>
    <xf numFmtId="0" fontId="32" fillId="7" borderId="4" applyAlignment="1" pivotButton="0" quotePrefix="0" xfId="0">
      <alignment horizontal="center" vertical="center"/>
    </xf>
    <xf numFmtId="0" fontId="33" fillId="2" borderId="27" applyAlignment="1" pivotButton="0" quotePrefix="0" xfId="0">
      <alignment horizontal="left" vertical="center" wrapText="1" indent="1"/>
    </xf>
    <xf numFmtId="0" fontId="33" fillId="2" borderId="42" applyAlignment="1" pivotButton="0" quotePrefix="0" xfId="0">
      <alignment horizontal="left" vertical="center" wrapText="1" indent="1"/>
    </xf>
    <xf numFmtId="0" fontId="32" fillId="9" borderId="4" applyAlignment="1" pivotButton="0" quotePrefix="0" xfId="0">
      <alignment horizontal="center" vertical="center"/>
    </xf>
    <xf numFmtId="0" fontId="34" fillId="6" borderId="4" applyAlignment="1" pivotButton="0" quotePrefix="0" xfId="0">
      <alignment horizontal="center" vertical="center"/>
    </xf>
    <xf numFmtId="0" fontId="35" fillId="10" borderId="4" applyAlignment="1" pivotButton="0" quotePrefix="0" xfId="0">
      <alignment horizontal="center" vertical="center"/>
    </xf>
    <xf numFmtId="0" fontId="36" fillId="8" borderId="4" applyAlignment="1" pivotButton="0" quotePrefix="0" xfId="0">
      <alignment horizontal="center" vertical="center"/>
    </xf>
    <xf numFmtId="0" fontId="39" fillId="2" borderId="96" applyAlignment="1" pivotButton="0" quotePrefix="0" xfId="0">
      <alignment horizontal="center" vertical="center"/>
    </xf>
    <xf numFmtId="0" fontId="26" fillId="2" borderId="96" applyAlignment="1" pivotButton="0" quotePrefix="0" xfId="0">
      <alignment horizontal="center" vertical="center" shrinkToFit="1"/>
    </xf>
    <xf numFmtId="0" fontId="3" fillId="4" borderId="85" applyAlignment="1" pivotButton="0" quotePrefix="0" xfId="0">
      <alignment horizontal="left" vertical="center" indent="1"/>
    </xf>
    <xf numFmtId="0" fontId="3" fillId="4" borderId="97" applyAlignment="1" pivotButton="0" quotePrefix="0" xfId="0">
      <alignment horizontal="left" vertical="center" indent="1"/>
    </xf>
    <xf numFmtId="0" fontId="8" fillId="3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center" vertical="center" wrapText="1"/>
    </xf>
    <xf numFmtId="168" fontId="5" fillId="2" borderId="4" applyAlignment="1" pivotButton="0" quotePrefix="0" xfId="0">
      <alignment horizontal="center" vertical="center" wrapText="1"/>
    </xf>
    <xf numFmtId="167" fontId="5" fillId="2" borderId="4" applyAlignment="1" pivotButton="0" quotePrefix="0" xfId="0">
      <alignment horizontal="center" vertical="center" wrapText="1"/>
    </xf>
    <xf numFmtId="167" fontId="6" fillId="3" borderId="16" applyAlignment="1" pivotButton="0" quotePrefix="0" xfId="0">
      <alignment horizontal="center" vertical="center" wrapText="1"/>
    </xf>
    <xf numFmtId="0" fontId="38" fillId="11" borderId="79" applyAlignment="1" pivotButton="0" quotePrefix="0" xfId="0">
      <alignment horizontal="left" vertical="center" indent="1"/>
    </xf>
    <xf numFmtId="0" fontId="39" fillId="2" borderId="66" applyAlignment="1" pivotButton="0" quotePrefix="0" xfId="0">
      <alignment horizontal="center" vertical="center"/>
    </xf>
    <xf numFmtId="0" fontId="1" fillId="2" borderId="95" applyAlignment="1" pivotButton="0" quotePrefix="0" xfId="0">
      <alignment horizontal="left" vertical="bottom" indent="1"/>
    </xf>
    <xf numFmtId="1" fontId="2" fillId="2" borderId="74" applyAlignment="1" pivotButton="0" quotePrefix="0" xfId="0">
      <alignment horizontal="center" vertical="center" wrapText="1"/>
    </xf>
    <xf numFmtId="170" fontId="27" fillId="3" borderId="74" applyAlignment="1" pivotButton="0" quotePrefix="0" xfId="0">
      <alignment horizontal="center" vertical="center" wrapText="1"/>
    </xf>
    <xf numFmtId="169" fontId="0" fillId="2" borderId="0" pivotButton="0" quotePrefix="0" xfId="0"/>
    <xf numFmtId="0" fontId="11" fillId="5" borderId="36" applyAlignment="1" pivotButton="0" quotePrefix="0" xfId="0">
      <alignment horizontal="center" vertical="center"/>
    </xf>
    <xf numFmtId="0" fontId="11" fillId="5" borderId="93" applyAlignment="1" pivotButton="0" quotePrefix="0" xfId="0">
      <alignment horizontal="center" vertical="center"/>
    </xf>
    <xf numFmtId="0" fontId="10" fillId="5" borderId="20" applyAlignment="1" pivotButton="0" quotePrefix="0" xfId="0">
      <alignment horizontal="center" vertical="center" wrapText="1"/>
    </xf>
    <xf numFmtId="0" fontId="10" fillId="5" borderId="18" applyAlignment="1" pivotButton="0" quotePrefix="0" xfId="0">
      <alignment horizontal="center" vertical="center" wrapText="1"/>
    </xf>
    <xf numFmtId="0" fontId="10" fillId="5" borderId="19" applyAlignment="1" pivotButton="0" quotePrefix="0" xfId="0">
      <alignment horizontal="center" vertical="center" wrapText="1"/>
    </xf>
    <xf numFmtId="0" fontId="40" fillId="3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41" fillId="2" borderId="4" applyAlignment="1" pivotButton="0" quotePrefix="0" xfId="0">
      <alignment horizontal="center" vertical="center"/>
    </xf>
    <xf numFmtId="0" fontId="41" fillId="2" borderId="50" applyAlignment="1" pivotButton="0" quotePrefix="0" xfId="0">
      <alignment horizontal="center" vertical="center"/>
    </xf>
    <xf numFmtId="0" fontId="41" fillId="2" borderId="16" applyAlignment="1" pivotButton="0" quotePrefix="0" xfId="0">
      <alignment horizontal="center" vertical="center"/>
    </xf>
    <xf numFmtId="0" fontId="38" fillId="11" borderId="16" applyAlignment="1" pivotButton="0" quotePrefix="0" xfId="0">
      <alignment horizontal="left" vertical="center" indent="1"/>
    </xf>
    <xf numFmtId="0" fontId="38" fillId="3" borderId="56" applyAlignment="1" pivotButton="0" quotePrefix="0" xfId="0">
      <alignment horizontal="right" vertical="center" indent="1"/>
    </xf>
    <xf numFmtId="0" fontId="0" fillId="0" borderId="94" pivotButton="0" quotePrefix="0" xfId="0"/>
    <xf numFmtId="171" fontId="42" fillId="3" borderId="56" applyAlignment="1" pivotButton="0" quotePrefix="0" xfId="0">
      <alignment horizontal="center" vertical="center" textRotation="90"/>
    </xf>
    <xf numFmtId="171" fontId="42" fillId="3" borderId="57" applyAlignment="1" pivotButton="0" quotePrefix="0" xfId="0">
      <alignment horizontal="center" vertical="center" textRotation="90"/>
    </xf>
    <xf numFmtId="171" fontId="42" fillId="3" borderId="58" applyAlignment="1" pivotButton="0" quotePrefix="0" xfId="0">
      <alignment horizontal="center" vertical="center" textRotation="90"/>
    </xf>
    <xf numFmtId="0" fontId="0" fillId="2" borderId="28" pivotButton="0" quotePrefix="0" xfId="0"/>
    <xf numFmtId="0" fontId="0" fillId="2" borderId="30" pivotButton="0" quotePrefix="0" xfId="0"/>
    <xf numFmtId="0" fontId="39" fillId="2" borderId="28" applyAlignment="1" pivotButton="0" quotePrefix="0" xfId="0">
      <alignment horizontal="center" vertical="center"/>
    </xf>
    <xf numFmtId="0" fontId="0" fillId="2" borderId="29" pivotButton="0" quotePrefix="0" xfId="0"/>
    <xf numFmtId="0" fontId="26" fillId="2" borderId="28" applyAlignment="1" pivotButton="0" quotePrefix="0" xfId="0">
      <alignment horizontal="center" vertical="center" shrinkToFit="1"/>
    </xf>
    <xf numFmtId="0" fontId="0" fillId="2" borderId="31" pivotButton="0" quotePrefix="0" xfId="0"/>
    <xf numFmtId="0" fontId="0" fillId="2" borderId="33" pivotButton="0" quotePrefix="0" xfId="0"/>
    <xf numFmtId="0" fontId="25" fillId="2" borderId="31" applyAlignment="1" pivotButton="0" quotePrefix="0" xfId="0">
      <alignment horizontal="center" vertical="center" wrapText="1"/>
    </xf>
    <xf numFmtId="0" fontId="0" fillId="2" borderId="32" pivotButton="0" quotePrefix="0" xfId="0"/>
    <xf numFmtId="0" fontId="3" fillId="5" borderId="44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59" applyAlignment="1" pivotButton="0" quotePrefix="0" xfId="0">
      <alignment horizontal="center" vertical="center" wrapText="1"/>
    </xf>
    <xf numFmtId="0" fontId="3" fillId="5" borderId="64" applyAlignment="1" pivotButton="0" quotePrefix="0" xfId="0">
      <alignment horizontal="center" vertical="center" wrapText="1"/>
    </xf>
    <xf numFmtId="0" fontId="43" fillId="0" borderId="0" pivotButton="0" quotePrefix="0" xfId="0"/>
    <xf numFmtId="49" fontId="41" fillId="2" borderId="60" applyAlignment="1" pivotButton="0" quotePrefix="0" xfId="0">
      <alignment horizontal="left" vertical="center" indent="1"/>
    </xf>
    <xf numFmtId="0" fontId="44" fillId="2" borderId="16" applyAlignment="1" pivotButton="0" quotePrefix="0" xfId="0">
      <alignment horizontal="left" vertical="center" indent="1"/>
    </xf>
    <xf numFmtId="0" fontId="44" fillId="2" borderId="51" applyAlignment="1" pivotButton="0" quotePrefix="0" xfId="0">
      <alignment horizontal="left" vertical="center" indent="1"/>
    </xf>
    <xf numFmtId="0" fontId="41" fillId="2" borderId="64" applyAlignment="1" pivotButton="0" quotePrefix="0" xfId="0">
      <alignment horizontal="left" vertical="center" indent="1"/>
    </xf>
    <xf numFmtId="49" fontId="41" fillId="2" borderId="61" applyAlignment="1" pivotButton="0" quotePrefix="0" xfId="0">
      <alignment horizontal="left" vertical="center" indent="1"/>
    </xf>
    <xf numFmtId="0" fontId="44" fillId="2" borderId="62" applyAlignment="1" pivotButton="0" quotePrefix="0" xfId="0">
      <alignment horizontal="left" vertical="center" indent="1"/>
    </xf>
    <xf numFmtId="0" fontId="44" fillId="2" borderId="63" applyAlignment="1" pivotButton="0" quotePrefix="0" xfId="0">
      <alignment horizontal="left" vertical="center" indent="1"/>
    </xf>
    <xf numFmtId="0" fontId="41" fillId="2" borderId="65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wrapText="1"/>
    </xf>
    <xf numFmtId="49" fontId="41" fillId="2" borderId="60" applyAlignment="1" pivotButton="0" quotePrefix="0" xfId="0">
      <alignment horizontal="center" vertical="center"/>
    </xf>
    <xf numFmtId="172" fontId="44" fillId="2" borderId="16" applyAlignment="1" pivotButton="0" quotePrefix="0" xfId="0">
      <alignment horizontal="center" vertical="center"/>
    </xf>
    <xf numFmtId="0" fontId="44" fillId="2" borderId="16" applyAlignment="1" pivotButton="0" quotePrefix="0" xfId="0">
      <alignment horizontal="left" vertical="center" wrapText="1" indent="1"/>
    </xf>
    <xf numFmtId="49" fontId="41" fillId="2" borderId="61" applyAlignment="1" pivotButton="0" quotePrefix="0" xfId="0">
      <alignment horizontal="center" vertical="center"/>
    </xf>
    <xf numFmtId="172" fontId="44" fillId="2" borderId="62" applyAlignment="1" pivotButton="0" quotePrefix="0" xfId="0">
      <alignment horizontal="center" vertical="center"/>
    </xf>
    <xf numFmtId="0" fontId="44" fillId="2" borderId="62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6">
    <dxf>
      <font>
        <b val="1"/>
        <color rgb="001E7A46"/>
      </font>
      <fill>
        <patternFill patternType="solid">
          <fgColor rgb="00E6F4E8"/>
          <bgColor rgb="00E6F4E8"/>
        </patternFill>
      </fill>
    </dxf>
    <dxf>
      <font>
        <b val="1"/>
        <color rgb="005E7F1F"/>
      </font>
      <fill>
        <patternFill patternType="solid">
          <fgColor rgb="00F1F6DA"/>
          <bgColor rgb="00F1F6DA"/>
        </patternFill>
      </fill>
    </dxf>
    <dxf>
      <font>
        <b val="1"/>
        <color rgb="008A5A00"/>
      </font>
      <fill>
        <patternFill patternType="solid">
          <fgColor rgb="00FFF3DC"/>
          <bgColor rgb="00FFF3DC"/>
        </patternFill>
      </fill>
    </dxf>
    <dxf>
      <font>
        <b val="1"/>
        <color rgb="00B3261E"/>
      </font>
      <fill>
        <patternFill patternType="solid">
          <fgColor rgb="00FDECEA"/>
          <bgColor rgb="00FDECEA"/>
        </patternFill>
      </fill>
    </dxf>
    <dxf>
      <font>
        <b val="1"/>
        <color rgb="00B3261E"/>
      </font>
      <fill>
        <patternFill patternType="solid">
          <fgColor rgb="00F8D7D3"/>
          <bgColor rgb="00F8D7D3"/>
        </patternFill>
      </fill>
    </dxf>
    <dxf>
      <font>
        <b val="1"/>
        <color rgb="001F5AA6"/>
      </font>
      <fill>
        <patternFill patternType="solid">
          <fgColor rgb="00E1ECF6"/>
          <bgColor rgb="00E1EC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PCM Direto</author>
  </authors>
  <commentList>
    <comment ref="A3" authorId="0" shapeId="0">
      <text>
        <t>TAG. Digite como texto (preserva zeros à esquerda). Exemplo: 00123.</t>
      </text>
    </comment>
    <comment ref="B3" authorId="0" shapeId="0">
      <text>
        <t>Equipamento.</t>
      </text>
    </comment>
    <comment ref="C3" authorId="0" shapeId="0">
      <text>
        <t>Família de equipamento. Escolha na lista (preencha antes a aba Cadastros).</t>
      </text>
    </comment>
    <comment ref="D3" authorId="0" shapeId="0">
      <text>
        <t>Setor. Escolha na lista (preencha antes a aba Cadastros).</t>
      </text>
    </comment>
    <comment ref="F3" authorId="0" shapeId="0">
      <text>
        <t>Responsável.</t>
      </text>
    </comment>
    <comment ref="H3" authorId="0" shapeId="0">
      <text>
        <t>Família de equipamento.</t>
      </text>
    </comment>
    <comment ref="J3" authorId="0" shapeId="0">
      <text>
        <t>Setor.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3" authorId="0" shapeId="0">
      <text>
        <t>Rev.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Descrição da alteração.</t>
      </text>
    </comment>
    <comment ref="D3" authorId="0" shapeId="0">
      <text>
        <t>Elaborado por.</t>
      </text>
    </comment>
    <comment ref="E3" authorId="0" shapeId="0">
      <text>
        <t>Aprovado por.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161925</rowOff>
    </from>
    <ext cx="16478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31</row>
      <rowOff>104775</rowOff>
    </from>
    <ext cx="1609725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695325</colOff>
      <row>0</row>
      <rowOff>85725</rowOff>
    </from>
    <ext cx="1990725" cy="59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771525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695325</colOff>
      <row>0</row>
      <rowOff>95250</rowOff>
    </from>
    <ext cx="19240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1076325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695325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76200</colOff>
      <row>0</row>
      <rowOff>133350</rowOff>
    </from>
    <ext cx="15430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_pcm_ativos" displayName="tb_pcm_ativos" ref="A4:D29" headerRowCount="1">
  <autoFilter ref="A4:D29"/>
  <tableColumns count="4">
    <tableColumn id="1" name="tag"/>
    <tableColumn id="2" name="descricao_ativo"/>
    <tableColumn id="3" name="familia"/>
    <tableColumn id="4" name="setor"/>
  </tableColumns>
  <tableStyleInfo name="TableStyleLight1" showRowStripes="0"/>
</table>
</file>

<file path=xl/tables/table2.xml><?xml version="1.0" encoding="utf-8"?>
<table xmlns="http://schemas.openxmlformats.org/spreadsheetml/2006/main" id="2" name="tb_pcm_pessoas" displayName="tb_pcm_pessoas" ref="F4:F29" headerRowCount="1">
  <autoFilter ref="F4:F29"/>
  <tableColumns count="1">
    <tableColumn id="6" name="nome_pessoa"/>
  </tableColumns>
  <tableStyleInfo name="TableStyleLight1" showRowStripes="0"/>
</table>
</file>

<file path=xl/tables/table3.xml><?xml version="1.0" encoding="utf-8"?>
<table xmlns="http://schemas.openxmlformats.org/spreadsheetml/2006/main" id="3" name="tb_pcm_familias" displayName="tb_pcm_familias" ref="H4:H29" headerRowCount="1">
  <autoFilter ref="H4:H29"/>
  <tableColumns count="1">
    <tableColumn id="8" name="nome_familia"/>
  </tableColumns>
  <tableStyleInfo name="TableStyleLight1" showRowStripes="0"/>
</table>
</file>

<file path=xl/tables/table4.xml><?xml version="1.0" encoding="utf-8"?>
<table xmlns="http://schemas.openxmlformats.org/spreadsheetml/2006/main" id="4" name="tb_pcm_setores" displayName="tb_pcm_setores" ref="J4:J29" headerRowCount="1">
  <autoFilter ref="J4:J29"/>
  <tableColumns count="1">
    <tableColumn id="10" name="nome_setor"/>
  </tableColumns>
  <tableStyleInfo name="TableStyleLight1" showRowStripes="0"/>
</table>
</file>

<file path=xl/tables/table5.xml><?xml version="1.0" encoding="utf-8"?>
<table xmlns="http://schemas.openxmlformats.org/spreadsheetml/2006/main" id="5" name="tb_pcm_revisoes_modelo" displayName="tb_pcm_revisoes_modelo" ref="A4:E29" headerRowCount="1">
  <autoFilter ref="A4:E29"/>
  <tableColumns count="5">
    <tableColumn id="1" name="revisao"/>
    <tableColumn id="2" name="data_revisao"/>
    <tableColumn id="3" name="descricao_alteracao"/>
    <tableColumn id="4" name="elaborado_por"/>
    <tableColumn id="5" name="aprovado_p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mdireto.me" TargetMode="External" Id="rId1"/><Relationship Type="http://schemas.openxmlformats.org/officeDocument/2006/relationships/hyperlink" Target="https://pcmdireto.me" TargetMode="External" Id="rId2"/><Relationship Type="http://schemas.openxmlformats.org/officeDocument/2006/relationships/drawing" Target="/xl/drawings/drawing1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0B2A5B"/>
    <outlinePr summaryBelow="1" summaryRight="1"/>
    <pageSetUpPr fitToPage="1"/>
  </sheetPr>
  <dimension ref="A1:F33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9" customWidth="1" min="3" max="3"/>
    <col width="24" customWidth="1" min="4" max="4"/>
    <col width="24" customWidth="1" min="5" max="5"/>
    <col width="24" customWidth="1" min="6" max="6"/>
    <col width="2" customWidth="1" min="7" max="7"/>
  </cols>
  <sheetData>
    <row r="1" ht="24" customHeight="1">
      <c r="D1" s="1" t="inlineStr">
        <is>
          <t>LEIA-ME  ·  GUIA RÁPIDO</t>
        </is>
      </c>
      <c r="F1" s="2" t="inlineStr">
        <is>
          <t>Modelos, guias e novidades</t>
        </is>
      </c>
    </row>
    <row r="2" ht="22" customHeight="1">
      <c r="D2" s="3" t="inlineStr">
        <is>
          <t>PCM-MAN-002  ·  Criticidade, MFMEA e plano de manutenção</t>
        </is>
      </c>
      <c r="F2" s="4" t="inlineStr">
        <is>
          <t>pcmdireto.me</t>
        </is>
      </c>
    </row>
    <row r="3" ht="20" customHeight="1">
      <c r="B3" s="5" t="n"/>
      <c r="C3" s="5" t="n"/>
      <c r="D3" s="6" t="inlineStr">
        <is>
          <t>Leia em 1 minuto, preencha os campos brancos e comece a usar.</t>
        </is>
      </c>
      <c r="E3" s="5" t="n"/>
      <c r="F3" s="7" t="inlineStr">
        <is>
          <t>Dúvidas e sugestões pelo site</t>
        </is>
      </c>
    </row>
    <row r="4" ht="10" customHeight="1"/>
    <row r="5" ht="24" customHeight="1">
      <c r="B5" s="8" t="inlineStr">
        <is>
          <t>COMO USAR ESTE MODELO</t>
        </is>
      </c>
      <c r="C5" s="9" t="n"/>
      <c r="D5" s="9" t="n"/>
      <c r="E5" s="9" t="n"/>
      <c r="F5" s="9" t="n"/>
    </row>
    <row r="6" ht="26" customHeight="1">
      <c r="B6" s="10" t="inlineStr">
        <is>
          <r>
            <rPr>
              <rFont val="Arial Black"/>
              <color rgb="00F28C28"/>
              <sz val="14"/>
            </rPr>
            <t xml:space="preserve">1  </t>
          </r>
          <r>
            <rPr>
              <rFont val="Arial Black"/>
              <color rgb="000B2A5B"/>
              <sz val="10"/>
            </rPr>
            <t>Identifique</t>
          </r>
        </is>
      </c>
      <c r="C6" s="11" t="n"/>
      <c r="D6" s="12" t="inlineStr">
        <is>
          <r>
            <rPr>
              <rFont val="Arial Black"/>
              <color rgb="00F28C28"/>
              <sz val="14"/>
            </rPr>
            <t xml:space="preserve">2  </t>
          </r>
          <r>
            <rPr>
              <rFont val="Arial Black"/>
              <color rgb="000B2A5B"/>
              <sz val="10"/>
            </rPr>
            <t>Cadastre</t>
          </r>
        </is>
      </c>
      <c r="E6" s="12" t="inlineStr">
        <is>
          <r>
            <rPr>
              <rFont val="Arial Black"/>
              <color rgb="00F28C28"/>
              <sz val="14"/>
            </rPr>
            <t xml:space="preserve">3  </t>
          </r>
          <r>
            <rPr>
              <rFont val="Arial Black"/>
              <color rgb="000B2A5B"/>
              <sz val="10"/>
            </rPr>
            <t>Preencha</t>
          </r>
        </is>
      </c>
      <c r="F6" s="12" t="inlineStr">
        <is>
          <r>
            <rPr>
              <rFont val="Arial Black"/>
              <color rgb="00F28C28"/>
              <sz val="14"/>
            </rPr>
            <t xml:space="preserve">4  </t>
          </r>
          <r>
            <rPr>
              <rFont val="Arial Black"/>
              <color rgb="000B2A5B"/>
              <sz val="10"/>
            </rPr>
            <t>Imprima e revise</t>
          </r>
        </is>
      </c>
    </row>
    <row r="7" ht="50" customHeight="1">
      <c r="B7" s="13" t="inlineStr">
        <is>
          <t>Preencha Elaborado e Aprovado logo abaixo. Vai para o cabeçalho de todas as abas.</t>
        </is>
      </c>
      <c r="C7" s="14" t="n"/>
      <c r="D7" s="15" t="inlineStr">
        <is>
          <t>Na aba Cadastros, lance TAGs, pessoas e setores uma vez. Eles viram as listas ▼.</t>
        </is>
      </c>
      <c r="E7" s="15" t="inlineStr">
        <is>
          <t>Use as abas na ordem do passo a passo. Comece por Criticidade.</t>
        </is>
      </c>
      <c r="F7" s="15" t="inlineStr">
        <is>
          <t>Cada aba sai em uma folha A4. Mudou o modelo? Registre na aba Revisões.</t>
        </is>
      </c>
    </row>
    <row r="8" ht="10" customHeight="1"/>
    <row r="9" ht="24" customHeight="1">
      <c r="B9" s="16" t="inlineStr">
        <is>
          <r>
            <rPr>
              <rFont val="Arial Black"/>
              <color rgb="00F28C28"/>
              <sz val="10"/>
            </rPr>
            <t xml:space="preserve">1  </t>
          </r>
          <r>
            <rPr>
              <rFont val="Arial Black"/>
              <color rgb="00FFFFFF"/>
              <sz val="10"/>
            </rPr>
            <t>IDENTIFICAÇÃO DO DOCUMENTO  ·  vai para o cabeçalho de todas as abas</t>
          </r>
        </is>
      </c>
      <c r="C9" s="9" t="n"/>
      <c r="D9" s="9" t="n"/>
      <c r="E9" s="9" t="n"/>
      <c r="F9" s="9" t="n"/>
    </row>
    <row r="10" ht="21" customHeight="1">
      <c r="B10" s="17" t="inlineStr">
        <is>
          <t>Título do documento</t>
        </is>
      </c>
      <c r="C10" s="18" t="n"/>
      <c r="D10" s="19" t="inlineStr">
        <is>
          <t>Criticidade, MFMEA e plano de manutenção</t>
        </is>
      </c>
      <c r="E10" s="20" t="n"/>
      <c r="F10" s="21" t="inlineStr">
        <is>
          <t>Já vem pronto. Ajuste se quiser.</t>
        </is>
      </c>
    </row>
    <row r="11" ht="33" customHeight="1">
      <c r="B11" s="17" t="inlineStr">
        <is>
          <t>Objetivo</t>
        </is>
      </c>
      <c r="C11" s="18" t="n"/>
      <c r="D11" s="19" t="inlineStr">
        <is>
          <t>Classificar os equipamentos, analisar as falhas e transformar a análise em plano e cronograma</t>
        </is>
      </c>
      <c r="E11" s="22" t="n"/>
      <c r="F11" s="22" t="n"/>
    </row>
    <row r="12" ht="21" customHeight="1">
      <c r="B12" s="17" t="inlineStr">
        <is>
          <t>Código do documento</t>
        </is>
      </c>
      <c r="C12" s="18" t="n"/>
      <c r="D12" s="19" t="inlineStr">
        <is>
          <t>PCM-MAN-002</t>
        </is>
      </c>
      <c r="E12" s="22" t="n"/>
      <c r="F12" s="22" t="n"/>
    </row>
    <row r="13" ht="21" customHeight="1">
      <c r="B13" s="17" t="inlineStr">
        <is>
          <t>Elaborado por</t>
        </is>
      </c>
      <c r="C13" s="18" t="n"/>
      <c r="D13" s="19" t="n"/>
      <c r="E13" s="20" t="n"/>
      <c r="F13" s="23" t="inlineStr">
        <is>
          <t>✎ preencha</t>
        </is>
      </c>
    </row>
    <row r="14" ht="21" customHeight="1">
      <c r="B14" s="17" t="inlineStr">
        <is>
          <t>Aprovado por</t>
        </is>
      </c>
      <c r="C14" s="18" t="n"/>
      <c r="D14" s="19" t="n"/>
      <c r="E14" s="20" t="n"/>
      <c r="F14" s="23" t="inlineStr">
        <is>
          <t>✎ preencha</t>
        </is>
      </c>
    </row>
    <row r="15" ht="21" customHeight="1">
      <c r="B15" s="17" t="inlineStr">
        <is>
          <t>Revisão atual</t>
        </is>
      </c>
      <c r="C15" s="18" t="n"/>
      <c r="D15" s="24">
        <f>IF(COUNTA(tb_pcm_revisoes_modelo[revisao])=0,"-",INDEX(tb_pcm_revisoes_modelo[revisao],COUNTA(tb_pcm_revisoes_modelo[revisao])))</f>
        <v/>
      </c>
      <c r="E15" s="25" t="n"/>
      <c r="F15" s="21" t="inlineStr">
        <is>
          <t>automático: aba Revisões</t>
        </is>
      </c>
    </row>
    <row r="16" ht="21" customHeight="1">
      <c r="B16" s="17" t="inlineStr">
        <is>
          <t>Data da revisão</t>
        </is>
      </c>
      <c r="C16" s="18" t="n"/>
      <c r="D16" s="24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/>
      </c>
      <c r="E16" s="25" t="n"/>
      <c r="F16" s="21" t="inlineStr">
        <is>
          <t>automático: aba Revisões</t>
        </is>
      </c>
    </row>
    <row r="17" ht="10" customHeight="1"/>
    <row r="18" ht="24" customHeight="1">
      <c r="B18" s="16" t="inlineStr">
        <is>
          <r>
            <rPr>
              <rFont val="Arial Black"/>
              <color rgb="00F28C28"/>
              <sz val="10"/>
            </rPr>
            <t xml:space="preserve">2  </t>
          </r>
          <r>
            <rPr>
              <rFont val="Arial Black"/>
              <color rgb="00FFFFFF"/>
              <sz val="10"/>
            </rPr>
            <t>PASSO A PASSO  ·  clique no nome da aba para abrir</t>
          </r>
        </is>
      </c>
      <c r="C18" s="9" t="n"/>
      <c r="D18" s="9" t="n"/>
      <c r="E18" s="9" t="n"/>
      <c r="F18" s="9" t="n"/>
    </row>
    <row r="19" ht="34" customHeight="1">
      <c r="B19" s="26" t="n">
        <v>1</v>
      </c>
      <c r="C19" s="27" t="inlineStr">
        <is>
          <t>Cadastros</t>
        </is>
      </c>
      <c r="D19" s="28" t="inlineStr">
        <is>
          <t>Cadastre uma vez TAG, equipamento, família e setor, as pessoas, as famílias de equipamento, os setores. Eles aparecem nas setas ▼ das outras abas.</t>
        </is>
      </c>
      <c r="E19" s="29" t="n"/>
      <c r="F19" s="29" t="n"/>
    </row>
    <row r="20" ht="34" customHeight="1">
      <c r="B20" s="26" t="n">
        <v>2</v>
      </c>
      <c r="C20" s="27" t="inlineStr">
        <is>
          <t>Criticidade</t>
        </is>
      </c>
      <c r="D20" s="28" t="inlineStr">
        <is>
          <t>Para cada TAG, dê nota de 1 a 5 em segurança, qualidade e produção e na frequência de falha (critérios no quadro 6, ao lado da tabela). A classe A, B ou C sai da matriz.</t>
        </is>
      </c>
      <c r="E20" s="29" t="n"/>
      <c r="F20" s="29" t="n"/>
    </row>
    <row r="21" ht="46" customHeight="1">
      <c r="B21" s="26" t="n">
        <v>3</v>
      </c>
      <c r="C21" s="27" t="inlineStr">
        <is>
          <t>MFMEA</t>
        </is>
      </c>
      <c r="D21" s="28" t="inlineStr">
        <is>
          <t>Comece pelas TAGs classe A. Para cada componente: modo de falha, efeito, causa e controle atual. Dê S, O e D de 1 a 10 (quadro 6, ao lado da tabela); o NPR sai sozinho. Defina a tarefa, o tipo e a frequência.</t>
        </is>
      </c>
      <c r="E21" s="29" t="n"/>
      <c r="F21" s="29" t="n"/>
    </row>
    <row r="22" ht="70" customHeight="1">
      <c r="B22" s="26" t="n">
        <v>4</v>
      </c>
      <c r="C22" s="27" t="inlineStr">
        <is>
          <t>Plano</t>
        </is>
      </c>
      <c r="D22" s="28" t="inlineStr">
        <is>
          <t>As tarefas da MFMEA entram sozinhas. Complete duração, se exige parada e a data da 1ª execução. Escolha a Periodicidade (Diária, Semanal, Quinzenal, Mensal, Bimestral, Trimestral, Semestral ou Anual): se A cada (dias) estiver vazio, ele é preenchido (Diária 1, Semanal 7, Quinzenal 14, Mensal 30, Bimestral 60, Trimestral 90, Semestral 180, Anual 365). Abaixo, inclua o que não vem da MFMEA: lubrificação, rotinas do fabricante, inspeções legais.</t>
        </is>
      </c>
      <c r="E22" s="29" t="n"/>
      <c r="F22" s="29" t="n"/>
    </row>
    <row r="23" ht="34" customHeight="1">
      <c r="B23" s="26" t="n">
        <v>5</v>
      </c>
      <c r="C23" s="27" t="inlineStr">
        <is>
          <t>Cronograma</t>
        </is>
      </c>
      <c r="D23" s="28" t="inlineStr">
        <is>
          <t>Não se digita. Escolha o ano na seta: o ● marca a semana do mês de cada atividade (1ª execução + frequência) e a última linha soma as horas.</t>
        </is>
      </c>
      <c r="E23" s="29" t="n"/>
      <c r="F23" s="29" t="n"/>
    </row>
    <row r="24" ht="10" customHeight="1"/>
    <row r="25" ht="24" customHeight="1">
      <c r="B25" s="16" t="inlineStr">
        <is>
          <r>
            <rPr>
              <rFont val="Arial Black"/>
              <color rgb="00F28C28"/>
              <sz val="10"/>
            </rPr>
            <t xml:space="preserve">3  </t>
          </r>
          <r>
            <rPr>
              <rFont val="Arial Black"/>
              <color rgb="00FFFFFF"/>
              <sz val="10"/>
            </rPr>
            <t>REGRAS RÁPIDAS</t>
          </r>
        </is>
      </c>
      <c r="C25" s="9" t="n"/>
      <c r="D25" s="9" t="n"/>
      <c r="E25" s="9" t="n"/>
      <c r="F25" s="9" t="n"/>
    </row>
    <row r="26" ht="21" customHeight="1">
      <c r="B26" s="30" t="inlineStr">
        <is>
          <t>▼  Lista</t>
        </is>
      </c>
      <c r="C26" s="29" t="n"/>
      <c r="D26" s="28" t="inlineStr">
        <is>
          <t>Clique na célula e escolha na seta. Valor fora da lista é recusado.</t>
        </is>
      </c>
      <c r="E26" s="29" t="n"/>
      <c r="F26" s="29" t="n"/>
    </row>
    <row r="27" ht="21" customHeight="1">
      <c r="B27" s="31" t="inlineStr">
        <is>
          <t>Célula branca</t>
        </is>
      </c>
      <c r="C27" s="22" t="n"/>
      <c r="D27" s="28" t="inlineStr">
        <is>
          <t>Campo para digitar.</t>
        </is>
      </c>
      <c r="E27" s="29" t="n"/>
      <c r="F27" s="29" t="n"/>
    </row>
    <row r="28" ht="21" customHeight="1">
      <c r="B28" s="32" t="inlineStr">
        <is>
          <t>Célula cinza</t>
        </is>
      </c>
      <c r="C28" s="33" t="n"/>
      <c r="D28" s="28" t="inlineStr">
        <is>
          <t>Cálculo automático. Não digite: a fórmula preenche sozinha.</t>
        </is>
      </c>
      <c r="E28" s="29" t="n"/>
      <c r="F28" s="29" t="n"/>
    </row>
    <row r="29" ht="21" customHeight="1">
      <c r="B29" s="30" t="inlineStr">
        <is>
          <t>Datas e números</t>
        </is>
      </c>
      <c r="C29" s="29" t="n"/>
      <c r="D29" s="28" t="inlineStr">
        <is>
          <t>Datas em dd/mm/aaaa; decimais com vírgula. Vazio = sem informação; zero é valor real.</t>
        </is>
      </c>
      <c r="E29" s="29" t="n"/>
      <c r="F29" s="29" t="n"/>
    </row>
    <row r="30" ht="21" customHeight="1">
      <c r="B30" s="30" t="inlineStr">
        <is>
          <t>Impressão</t>
        </is>
      </c>
      <c r="C30" s="29" t="n"/>
      <c r="D30" s="28" t="inlineStr">
        <is>
          <t>Cada aba já está ajustada para uma folha A4. Use Arquivo &gt; Imprimir sem mudar a escala.</t>
        </is>
      </c>
      <c r="E30" s="29" t="n"/>
      <c r="F30" s="29" t="n"/>
    </row>
    <row r="31" ht="12" customHeight="1"/>
    <row r="32" ht="22" customHeight="1">
      <c r="B32" s="34" t="n"/>
      <c r="C32" s="34" t="n"/>
      <c r="D32" s="35" t="inlineStr">
        <is>
          <t>SOBRE O PCM DIRETO</t>
        </is>
      </c>
      <c r="E32" s="34" t="n"/>
      <c r="F32" s="36" t="inlineStr">
        <is>
          <t>pcmdireto.me</t>
        </is>
      </c>
    </row>
    <row r="33" ht="34" customHeight="1">
      <c r="B33" s="37" t="n"/>
      <c r="C33" s="37" t="n"/>
      <c r="D33" s="38" t="inlineStr">
        <is>
          <t>Modelos de manutenção prontos para usar, do planejamento ao controle: criticidade, plano, ordem de serviço, indicadores e auditorias. Todos no mesmo padrão, para a equipe aprender uma vez e usar em todos.</t>
        </is>
      </c>
      <c r="E33" s="37" t="n"/>
      <c r="F33" s="37" t="n"/>
    </row>
  </sheetData>
  <mergeCells count="42">
    <mergeCell ref="D11:F11"/>
    <mergeCell ref="B16:C16"/>
    <mergeCell ref="D10:E10"/>
    <mergeCell ref="B7:C7"/>
    <mergeCell ref="D27:F27"/>
    <mergeCell ref="D1:E1"/>
    <mergeCell ref="B25:F25"/>
    <mergeCell ref="B27:C27"/>
    <mergeCell ref="B18:F18"/>
    <mergeCell ref="B12:C12"/>
    <mergeCell ref="D28:F28"/>
    <mergeCell ref="D2:E2"/>
    <mergeCell ref="B11:C11"/>
    <mergeCell ref="D13:E13"/>
    <mergeCell ref="D12:F12"/>
    <mergeCell ref="B14:C14"/>
    <mergeCell ref="D32:E32"/>
    <mergeCell ref="B32:C33"/>
    <mergeCell ref="D30:F30"/>
    <mergeCell ref="D33:F33"/>
    <mergeCell ref="B1:C3"/>
    <mergeCell ref="B13:C13"/>
    <mergeCell ref="D16:E16"/>
    <mergeCell ref="D29:F29"/>
    <mergeCell ref="B29:C29"/>
    <mergeCell ref="D23:F23"/>
    <mergeCell ref="B10:C10"/>
    <mergeCell ref="B28:C28"/>
    <mergeCell ref="D26:F26"/>
    <mergeCell ref="D3:E3"/>
    <mergeCell ref="D20:F20"/>
    <mergeCell ref="B9:F9"/>
    <mergeCell ref="B6:C6"/>
    <mergeCell ref="D19:F19"/>
    <mergeCell ref="B30:C30"/>
    <mergeCell ref="B15:C15"/>
    <mergeCell ref="D15:E15"/>
    <mergeCell ref="D22:F22"/>
    <mergeCell ref="B5:F5"/>
    <mergeCell ref="D14:E14"/>
    <mergeCell ref="B26:C26"/>
    <mergeCell ref="D21:F21"/>
  </mergeCells>
  <hyperlinks>
    <hyperlink xmlns:r="http://schemas.openxmlformats.org/officeDocument/2006/relationships" ref="F2" r:id="rId1"/>
    <hyperlink ref="C19" location="'Cadastros'!A1" display="Cadastros"/>
    <hyperlink ref="C20" location="'Criticidade'!A1" display="Criticidade"/>
    <hyperlink ref="C21" location="'MFMEA'!A1" display="MFMEA"/>
    <hyperlink ref="C22" location="'Plano'!A1" display="Plano"/>
    <hyperlink ref="C23" location="'Cronograma'!A1" display="Cronograma"/>
    <hyperlink xmlns:r="http://schemas.openxmlformats.org/officeDocument/2006/relationships" ref="F32" r:id="rId2"/>
  </hyperlinks>
  <printOptions horizontalCentered="1"/>
  <pageMargins left="0.5" right="0.5" top="0.5" bottom="0.6" header="0.5" footer="0.25"/>
  <pageSetup orientation="portrait" paperSize="9" fitToHeight="1" fitToWidth="1"/>
  <headerFooter>
    <oddHeader/>
    <oddFooter>&amp;L&amp;7 &amp;K4A5668PCM-MAN-002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Y28"/>
  <sheetViews>
    <sheetView showGridLines="0" tabSelected="0" zoomScale="90" workbookViewId="0">
      <pane ySplit="7" topLeftCell="A8" activePane="bottomLeft" state="frozen"/>
      <selection pane="bottomLeft" activeCell="B8" sqref="B8"/>
    </sheetView>
  </sheetViews>
  <sheetFormatPr baseColWidth="8" defaultRowHeight="15"/>
  <cols>
    <col width="4" customWidth="1" min="1" max="1"/>
    <col width="13" customWidth="1" min="2" max="2"/>
    <col width="18" customWidth="1" min="3" max="3"/>
    <col width="13" customWidth="1" min="4" max="4"/>
    <col width="10.5" customWidth="1" min="5" max="5"/>
    <col width="10.5" customWidth="1" min="6" max="6"/>
    <col width="10.5" customWidth="1" min="7" max="7"/>
    <col width="12" customWidth="1" min="8" max="8"/>
    <col width="10" customWidth="1" min="9" max="9"/>
    <col width="7" customWidth="1" min="10" max="10"/>
    <col width="33" customWidth="1" min="11" max="11"/>
    <col width="2" customWidth="1" min="12" max="12"/>
    <col width="11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2" customWidth="1" min="19" max="19"/>
    <col width="11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 ht="30.75" customHeight="1">
      <c r="A1" s="39" t="n"/>
      <c r="B1" s="40" t="n"/>
      <c r="C1" s="40" t="n"/>
      <c r="D1" s="41" t="n"/>
      <c r="E1" s="42" t="inlineStr">
        <is>
          <t>Criticidade dos ativos</t>
        </is>
      </c>
      <c r="F1" s="40" t="n"/>
      <c r="G1" s="40" t="n"/>
      <c r="H1" s="40" t="n"/>
      <c r="I1" s="41" t="n"/>
      <c r="J1" s="43">
        <f>"Rev. "&amp;'Leia-me'!$D$15&amp;"   ·   "&amp;'Leia-me'!$D$16</f>
        <v/>
      </c>
      <c r="K1" s="41" t="n"/>
    </row>
    <row r="2" ht="31" customHeight="1">
      <c r="A2" s="44" t="n"/>
      <c r="B2" s="45" t="n"/>
      <c r="C2" s="45" t="n"/>
      <c r="D2" s="46" t="n"/>
      <c r="E2" s="47" t="inlineStr">
        <is>
          <t>Objetivo: Classificar cada ativo em A, B ou C pela matriz consequência × frequência de falha</t>
        </is>
      </c>
      <c r="F2" s="45" t="n"/>
      <c r="G2" s="45" t="n"/>
      <c r="H2" s="45" t="n"/>
      <c r="I2" s="46" t="n"/>
      <c r="J2" s="47">
        <f>"Elaborado: "&amp;'Leia-me'!$D$13&amp;"   ·   Aprovado: "&amp;'Leia-me'!$D$14</f>
        <v/>
      </c>
      <c r="K2" s="46" t="n"/>
    </row>
    <row r="3" ht="12" customHeight="1">
      <c r="A3" s="48" t="inlineStr">
        <is>
          <t>Local ou área ▼</t>
        </is>
      </c>
      <c r="B3" s="49" t="n"/>
      <c r="C3" s="49" t="n"/>
      <c r="D3" s="49" t="n"/>
      <c r="E3" s="50" t="inlineStr">
        <is>
          <t>Equipe da análise</t>
        </is>
      </c>
      <c r="F3" s="49" t="n"/>
      <c r="G3" s="49" t="n"/>
      <c r="H3" s="49" t="n"/>
      <c r="I3" s="49" t="n"/>
      <c r="J3" s="49" t="n"/>
      <c r="K3" s="51" t="n"/>
      <c r="L3" s="52" t="n"/>
      <c r="M3" s="53" t="inlineStr">
        <is>
          <t>Ativos por classe</t>
        </is>
      </c>
      <c r="N3" s="49" t="n"/>
      <c r="O3" s="49" t="n"/>
      <c r="P3" s="49" t="n"/>
      <c r="Q3" s="49" t="n"/>
      <c r="R3" s="51" t="n"/>
      <c r="S3" s="52" t="n"/>
      <c r="T3" s="53" t="inlineStr">
        <is>
          <t>Ativos avaliados</t>
        </is>
      </c>
      <c r="U3" s="49" t="n"/>
      <c r="V3" s="49" t="n"/>
      <c r="W3" s="49" t="n"/>
      <c r="X3" s="49" t="n"/>
      <c r="Y3" s="51" t="n"/>
    </row>
    <row r="4" ht="24" customHeight="1">
      <c r="A4" s="54" t="n"/>
      <c r="B4" s="55" t="n"/>
      <c r="C4" s="55" t="n"/>
      <c r="D4" s="56" t="n"/>
      <c r="E4" s="54" t="n"/>
      <c r="F4" s="55" t="n"/>
      <c r="G4" s="55" t="n"/>
      <c r="H4" s="55" t="n"/>
      <c r="I4" s="55" t="n"/>
      <c r="J4" s="55" t="n"/>
      <c r="K4" s="56" t="n"/>
      <c r="L4" s="52" t="n"/>
      <c r="M4" s="57">
        <f>IF(COUNTIF(J8:J27,"?*")=0,"","A: "&amp;COUNTIF(J8:J27,"A")&amp;"   ·   B: "&amp;COUNTIF(J8:J27,"B")&amp;"   ·   C: "&amp;COUNTIF(J8:J27,"C"))</f>
        <v/>
      </c>
      <c r="N4" s="55" t="n"/>
      <c r="O4" s="55" t="n"/>
      <c r="P4" s="55" t="n"/>
      <c r="Q4" s="55" t="n"/>
      <c r="R4" s="56" t="n"/>
      <c r="S4" s="52" t="n"/>
      <c r="T4" s="57">
        <f>COUNTIF(J8:J27,"?*")&amp;" de 20"</f>
        <v/>
      </c>
      <c r="U4" s="55" t="n"/>
      <c r="V4" s="55" t="n"/>
      <c r="W4" s="55" t="n"/>
      <c r="X4" s="55" t="n"/>
      <c r="Y4" s="56" t="n"/>
    </row>
    <row r="5" ht="8" customHeight="1">
      <c r="A5" s="52" t="n"/>
      <c r="B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2" t="n"/>
    </row>
    <row r="6" ht="20" customHeight="1">
      <c r="A6" s="58" t="inlineStr">
        <is>
          <t>1  Ativo</t>
        </is>
      </c>
      <c r="B6" s="49" t="n"/>
      <c r="C6" s="49" t="n"/>
      <c r="D6" s="49" t="n"/>
      <c r="E6" s="59" t="inlineStr">
        <is>
          <t>2  Consequência (1 a 5)</t>
        </is>
      </c>
      <c r="F6" s="49" t="n"/>
      <c r="G6" s="49" t="n"/>
      <c r="H6" s="49" t="n"/>
      <c r="I6" s="60" t="inlineStr">
        <is>
          <t>3  Probabilidade e classe</t>
        </is>
      </c>
      <c r="J6" s="49" t="n"/>
      <c r="K6" s="51" t="n"/>
      <c r="L6" s="52" t="n"/>
      <c r="M6" s="61" t="inlineStr">
        <is>
          <t>4  Matriz: consequência × frequência</t>
        </is>
      </c>
      <c r="N6" s="49" t="n"/>
      <c r="O6" s="49" t="n"/>
      <c r="P6" s="49" t="n"/>
      <c r="Q6" s="49" t="n"/>
      <c r="R6" s="51" t="n"/>
      <c r="S6" s="52" t="n"/>
      <c r="T6" s="61" t="inlineStr">
        <is>
          <t>5  Estratégia por classe</t>
        </is>
      </c>
      <c r="U6" s="49" t="n"/>
      <c r="V6" s="49" t="n"/>
      <c r="W6" s="49" t="n"/>
      <c r="X6" s="49" t="n"/>
      <c r="Y6" s="51" t="n"/>
    </row>
    <row r="7" ht="34" customHeight="1">
      <c r="A7" s="62" t="inlineStr">
        <is>
          <t>Nº</t>
        </is>
      </c>
      <c r="B7" s="63" t="inlineStr">
        <is>
          <t>TAG ▼</t>
        </is>
      </c>
      <c r="C7" s="63" t="inlineStr">
        <is>
          <t>Equipamento</t>
        </is>
      </c>
      <c r="D7" s="63" t="inlineStr">
        <is>
          <t>Família de equipamento</t>
        </is>
      </c>
      <c r="E7" s="63" t="inlineStr">
        <is>
          <t>S Segurança</t>
        </is>
      </c>
      <c r="F7" s="63" t="inlineStr">
        <is>
          <t>Q Qualidade</t>
        </is>
      </c>
      <c r="G7" s="63" t="inlineStr">
        <is>
          <t>P Produção</t>
        </is>
      </c>
      <c r="H7" s="63" t="inlineStr">
        <is>
          <t>Maior nota</t>
        </is>
      </c>
      <c r="I7" s="63" t="inlineStr">
        <is>
          <t>Frequência de falha</t>
        </is>
      </c>
      <c r="J7" s="63" t="inlineStr">
        <is>
          <t>Classe</t>
        </is>
      </c>
      <c r="K7" s="64" t="inlineStr">
        <is>
          <t>Estratégia sugerida</t>
        </is>
      </c>
      <c r="L7" s="52" t="n"/>
      <c r="M7" s="65" t="inlineStr">
        <is>
          <t>Consequência ↓  Frequência →</t>
        </is>
      </c>
      <c r="N7" s="63" t="inlineStr">
        <is>
          <t>1 Rara</t>
        </is>
      </c>
      <c r="O7" s="63" t="inlineStr">
        <is>
          <t>2 Baixa</t>
        </is>
      </c>
      <c r="P7" s="63" t="inlineStr">
        <is>
          <t>3 Média</t>
        </is>
      </c>
      <c r="Q7" s="63" t="inlineStr">
        <is>
          <t>4 Alta</t>
        </is>
      </c>
      <c r="R7" s="64" t="inlineStr">
        <is>
          <t>5 Muito alta</t>
        </is>
      </c>
      <c r="S7" s="52" t="n"/>
      <c r="T7" s="66" t="inlineStr">
        <is>
          <t>Clique na célula de nota para ver a dica. A classe sai da matriz e vai para a MFMEA.</t>
        </is>
      </c>
      <c r="Y7" s="67" t="n"/>
    </row>
    <row r="8" ht="28" customHeight="1">
      <c r="A8" s="68" t="n">
        <v>1</v>
      </c>
      <c r="B8" s="69" t="n"/>
      <c r="C8" s="70">
        <f>IF(B8="","",IFERROR(INDEX(tb_pcm_ativos[descricao_ativo],MATCH(B8,tb_pcm_ativos[tag],0)),"fora do cadastro"))</f>
        <v/>
      </c>
      <c r="D8" s="70">
        <f>IF(B8="","",IFERROR(INDEX(tb_pcm_ativos[familia],MATCH(B8,tb_pcm_ativos[tag],0))&amp;"",""))</f>
        <v/>
      </c>
      <c r="E8" s="71" t="n"/>
      <c r="F8" s="71" t="n"/>
      <c r="G8" s="71" t="n"/>
      <c r="H8" s="72">
        <f>IF(COUNT(E8:G8)=0,"",MAX(E8:G8))</f>
        <v/>
      </c>
      <c r="I8" s="71" t="n"/>
      <c r="J8" s="72">
        <f>IF(OR(H8="",I8=""),"",IF(E8=5,"A",MID(CHOOSE(H8,"CCCBB","CCBBA","CBBAA","BBAAA","BAAAA"),I8,1)))</f>
        <v/>
      </c>
      <c r="K8" s="73">
        <f>IF(J8="","",IF(J8="A","Preditiva + preventiva",IF(J8="B","Preventiva por tempo ou uso","Corretiva planejada")))</f>
        <v/>
      </c>
      <c r="L8" s="52" t="n"/>
      <c r="M8" s="74" t="inlineStr">
        <is>
          <t>5 Muito alta</t>
        </is>
      </c>
      <c r="N8" s="75">
        <f>COUNTIFS($H$8:$H$27,5,$I$8:$I$27,1)</f>
        <v/>
      </c>
      <c r="O8" s="76">
        <f>COUNTIFS($H$8:$H$27,5,$I$8:$I$27,2)</f>
        <v/>
      </c>
      <c r="P8" s="76">
        <f>COUNTIFS($H$8:$H$27,5,$I$8:$I$27,3)</f>
        <v/>
      </c>
      <c r="Q8" s="76">
        <f>COUNTIFS($H$8:$H$27,5,$I$8:$I$27,4)</f>
        <v/>
      </c>
      <c r="R8" s="77">
        <f>COUNTIFS($H$8:$H$27,5,$I$8:$I$27,5)</f>
        <v/>
      </c>
      <c r="S8" s="52" t="n"/>
      <c r="T8" s="78" t="inlineStr">
        <is>
          <t>A</t>
        </is>
      </c>
      <c r="U8" s="79">
        <f>"Preditiva + preventiva  ·  "&amp;COUNTIF(J8:J27,"A")&amp;" ativo(s)"&amp;CHAR(10)&amp;"Inspeção por condição e preventiva; peças críticas em estoque; análise de causa em toda falha."</f>
        <v/>
      </c>
      <c r="Y8" s="67" t="n"/>
    </row>
    <row r="9" ht="28" customHeight="1">
      <c r="A9" s="68" t="n">
        <v>2</v>
      </c>
      <c r="B9" s="69" t="n"/>
      <c r="C9" s="70">
        <f>IF(B9="","",IFERROR(INDEX(tb_pcm_ativos[descricao_ativo],MATCH(B9,tb_pcm_ativos[tag],0)),"fora do cadastro"))</f>
        <v/>
      </c>
      <c r="D9" s="70">
        <f>IF(B9="","",IFERROR(INDEX(tb_pcm_ativos[familia],MATCH(B9,tb_pcm_ativos[tag],0))&amp;"",""))</f>
        <v/>
      </c>
      <c r="E9" s="71" t="n"/>
      <c r="F9" s="71" t="n"/>
      <c r="G9" s="71" t="n"/>
      <c r="H9" s="72">
        <f>IF(COUNT(E9:G9)=0,"",MAX(E9:G9))</f>
        <v/>
      </c>
      <c r="I9" s="71" t="n"/>
      <c r="J9" s="72">
        <f>IF(OR(H9="",I9=""),"",IF(E9=5,"A",MID(CHOOSE(H9,"CCCBB","CCBBA","CBBAA","BBAAA","BAAAA"),I9,1)))</f>
        <v/>
      </c>
      <c r="K9" s="73">
        <f>IF(J9="","",IF(J9="A","Preditiva + preventiva",IF(J9="B","Preventiva por tempo ou uso","Corretiva planejada")))</f>
        <v/>
      </c>
      <c r="L9" s="52" t="n"/>
      <c r="M9" s="74" t="inlineStr">
        <is>
          <t>4 Alta</t>
        </is>
      </c>
      <c r="N9" s="75">
        <f>COUNTIFS($H$8:$H$27,4,$I$8:$I$27,1)</f>
        <v/>
      </c>
      <c r="O9" s="75">
        <f>COUNTIFS($H$8:$H$27,4,$I$8:$I$27,2)</f>
        <v/>
      </c>
      <c r="P9" s="76">
        <f>COUNTIFS($H$8:$H$27,4,$I$8:$I$27,3)</f>
        <v/>
      </c>
      <c r="Q9" s="76">
        <f>COUNTIFS($H$8:$H$27,4,$I$8:$I$27,4)</f>
        <v/>
      </c>
      <c r="R9" s="77">
        <f>COUNTIFS($H$8:$H$27,4,$I$8:$I$27,5)</f>
        <v/>
      </c>
      <c r="S9" s="52" t="n"/>
      <c r="T9" s="80" t="n"/>
      <c r="U9" s="81" t="n"/>
      <c r="V9" s="81" t="n"/>
      <c r="W9" s="81" t="n"/>
      <c r="X9" s="81" t="n"/>
      <c r="Y9" s="82" t="n"/>
    </row>
    <row r="10" ht="28" customHeight="1">
      <c r="A10" s="68" t="n">
        <v>3</v>
      </c>
      <c r="B10" s="69" t="n"/>
      <c r="C10" s="70">
        <f>IF(B10="","",IFERROR(INDEX(tb_pcm_ativos[descricao_ativo],MATCH(B10,tb_pcm_ativos[tag],0)),"fora do cadastro"))</f>
        <v/>
      </c>
      <c r="D10" s="70">
        <f>IF(B10="","",IFERROR(INDEX(tb_pcm_ativos[familia],MATCH(B10,tb_pcm_ativos[tag],0))&amp;"",""))</f>
        <v/>
      </c>
      <c r="E10" s="71" t="n"/>
      <c r="F10" s="71" t="n"/>
      <c r="G10" s="71" t="n"/>
      <c r="H10" s="72">
        <f>IF(COUNT(E10:G10)=0,"",MAX(E10:G10))</f>
        <v/>
      </c>
      <c r="I10" s="71" t="n"/>
      <c r="J10" s="72">
        <f>IF(OR(H10="",I10=""),"",IF(E10=5,"A",MID(CHOOSE(H10,"CCCBB","CCBBA","CBBAA","BBAAA","BAAAA"),I10,1)))</f>
        <v/>
      </c>
      <c r="K10" s="73">
        <f>IF(J10="","",IF(J10="A","Preditiva + preventiva",IF(J10="B","Preventiva por tempo ou uso","Corretiva planejada")))</f>
        <v/>
      </c>
      <c r="L10" s="52" t="n"/>
      <c r="M10" s="74" t="inlineStr">
        <is>
          <t>3 Média</t>
        </is>
      </c>
      <c r="N10" s="83">
        <f>COUNTIFS($H$8:$H$27,3,$I$8:$I$27,1)</f>
        <v/>
      </c>
      <c r="O10" s="75">
        <f>COUNTIFS($H$8:$H$27,3,$I$8:$I$27,2)</f>
        <v/>
      </c>
      <c r="P10" s="75">
        <f>COUNTIFS($H$8:$H$27,3,$I$8:$I$27,3)</f>
        <v/>
      </c>
      <c r="Q10" s="76">
        <f>COUNTIFS($H$8:$H$27,3,$I$8:$I$27,4)</f>
        <v/>
      </c>
      <c r="R10" s="77">
        <f>COUNTIFS($H$8:$H$27,3,$I$8:$I$27,5)</f>
        <v/>
      </c>
      <c r="S10" s="52" t="n"/>
      <c r="T10" s="84" t="inlineStr">
        <is>
          <t>B</t>
        </is>
      </c>
      <c r="U10" s="79">
        <f>"Preventiva por tempo ou uso  ·  "&amp;COUNTIF(J8:J27,"B")&amp;" ativo(s)"&amp;CHAR(10)&amp;"Peças conforme o prazo de entrega; revisar o plano depois de cada falha."</f>
        <v/>
      </c>
      <c r="Y10" s="67" t="n"/>
    </row>
    <row r="11" ht="28" customHeight="1">
      <c r="A11" s="68" t="n">
        <v>4</v>
      </c>
      <c r="B11" s="69" t="n"/>
      <c r="C11" s="70">
        <f>IF(B11="","",IFERROR(INDEX(tb_pcm_ativos[descricao_ativo],MATCH(B11,tb_pcm_ativos[tag],0)),"fora do cadastro"))</f>
        <v/>
      </c>
      <c r="D11" s="70">
        <f>IF(B11="","",IFERROR(INDEX(tb_pcm_ativos[familia],MATCH(B11,tb_pcm_ativos[tag],0))&amp;"",""))</f>
        <v/>
      </c>
      <c r="E11" s="71" t="n"/>
      <c r="F11" s="71" t="n"/>
      <c r="G11" s="71" t="n"/>
      <c r="H11" s="72">
        <f>IF(COUNT(E11:G11)=0,"",MAX(E11:G11))</f>
        <v/>
      </c>
      <c r="I11" s="71" t="n"/>
      <c r="J11" s="72">
        <f>IF(OR(H11="",I11=""),"",IF(E11=5,"A",MID(CHOOSE(H11,"CCCBB","CCBBA","CBBAA","BBAAA","BAAAA"),I11,1)))</f>
        <v/>
      </c>
      <c r="K11" s="73">
        <f>IF(J11="","",IF(J11="A","Preditiva + preventiva",IF(J11="B","Preventiva por tempo ou uso","Corretiva planejada")))</f>
        <v/>
      </c>
      <c r="L11" s="52" t="n"/>
      <c r="M11" s="74" t="inlineStr">
        <is>
          <t>2 Baixa</t>
        </is>
      </c>
      <c r="N11" s="83">
        <f>COUNTIFS($H$8:$H$27,2,$I$8:$I$27,1)</f>
        <v/>
      </c>
      <c r="O11" s="83">
        <f>COUNTIFS($H$8:$H$27,2,$I$8:$I$27,2)</f>
        <v/>
      </c>
      <c r="P11" s="75">
        <f>COUNTIFS($H$8:$H$27,2,$I$8:$I$27,3)</f>
        <v/>
      </c>
      <c r="Q11" s="75">
        <f>COUNTIFS($H$8:$H$27,2,$I$8:$I$27,4)</f>
        <v/>
      </c>
      <c r="R11" s="77">
        <f>COUNTIFS($H$8:$H$27,2,$I$8:$I$27,5)</f>
        <v/>
      </c>
      <c r="S11" s="52" t="n"/>
      <c r="T11" s="80" t="n"/>
      <c r="U11" s="81" t="n"/>
      <c r="V11" s="81" t="n"/>
      <c r="W11" s="81" t="n"/>
      <c r="X11" s="81" t="n"/>
      <c r="Y11" s="82" t="n"/>
    </row>
    <row r="12" ht="28" customHeight="1">
      <c r="A12" s="68" t="n">
        <v>5</v>
      </c>
      <c r="B12" s="69" t="n"/>
      <c r="C12" s="70">
        <f>IF(B12="","",IFERROR(INDEX(tb_pcm_ativos[descricao_ativo],MATCH(B12,tb_pcm_ativos[tag],0)),"fora do cadastro"))</f>
        <v/>
      </c>
      <c r="D12" s="70">
        <f>IF(B12="","",IFERROR(INDEX(tb_pcm_ativos[familia],MATCH(B12,tb_pcm_ativos[tag],0))&amp;"",""))</f>
        <v/>
      </c>
      <c r="E12" s="71" t="n"/>
      <c r="F12" s="71" t="n"/>
      <c r="G12" s="71" t="n"/>
      <c r="H12" s="72">
        <f>IF(COUNT(E12:G12)=0,"",MAX(E12:G12))</f>
        <v/>
      </c>
      <c r="I12" s="71" t="n"/>
      <c r="J12" s="72">
        <f>IF(OR(H12="",I12=""),"",IF(E12=5,"A",MID(CHOOSE(H12,"CCCBB","CCBBA","CBBAA","BBAAA","BAAAA"),I12,1)))</f>
        <v/>
      </c>
      <c r="K12" s="73">
        <f>IF(J12="","",IF(J12="A","Preditiva + preventiva",IF(J12="B","Preventiva por tempo ou uso","Corretiva planejada")))</f>
        <v/>
      </c>
      <c r="L12" s="52" t="n"/>
      <c r="M12" s="74" t="inlineStr">
        <is>
          <t>1 Muito baixa</t>
        </is>
      </c>
      <c r="N12" s="83">
        <f>COUNTIFS($H$8:$H$27,1,$I$8:$I$27,1)</f>
        <v/>
      </c>
      <c r="O12" s="83">
        <f>COUNTIFS($H$8:$H$27,1,$I$8:$I$27,2)</f>
        <v/>
      </c>
      <c r="P12" s="83">
        <f>COUNTIFS($H$8:$H$27,1,$I$8:$I$27,3)</f>
        <v/>
      </c>
      <c r="Q12" s="75">
        <f>COUNTIFS($H$8:$H$27,1,$I$8:$I$27,4)</f>
        <v/>
      </c>
      <c r="R12" s="85">
        <f>COUNTIFS($H$8:$H$27,1,$I$8:$I$27,5)</f>
        <v/>
      </c>
      <c r="S12" s="52" t="n"/>
      <c r="T12" s="86" t="inlineStr">
        <is>
          <t>C</t>
        </is>
      </c>
      <c r="U12" s="79">
        <f>"Corretiva planejada  ·  "&amp;COUNTIF(J8:J27,"C")&amp;" ativo(s)"&amp;CHAR(10)&amp;"Ou operar até falhar, quando for seguro; sem estoque dedicado de peças."</f>
        <v/>
      </c>
      <c r="Y12" s="67" t="n"/>
    </row>
    <row r="13" ht="28" customHeight="1">
      <c r="A13" s="68" t="n">
        <v>6</v>
      </c>
      <c r="B13" s="69" t="n"/>
      <c r="C13" s="70">
        <f>IF(B13="","",IFERROR(INDEX(tb_pcm_ativos[descricao_ativo],MATCH(B13,tb_pcm_ativos[tag],0)),"fora do cadastro"))</f>
        <v/>
      </c>
      <c r="D13" s="70">
        <f>IF(B13="","",IFERROR(INDEX(tb_pcm_ativos[familia],MATCH(B13,tb_pcm_ativos[tag],0))&amp;"",""))</f>
        <v/>
      </c>
      <c r="E13" s="71" t="n"/>
      <c r="F13" s="71" t="n"/>
      <c r="G13" s="71" t="n"/>
      <c r="H13" s="72">
        <f>IF(COUNT(E13:G13)=0,"",MAX(E13:G13))</f>
        <v/>
      </c>
      <c r="I13" s="71" t="n"/>
      <c r="J13" s="72">
        <f>IF(OR(H13="",I13=""),"",IF(E13=5,"A",MID(CHOOSE(H13,"CCCBB","CCBBA","CBBAA","BBAAA","BAAAA"),I13,1)))</f>
        <v/>
      </c>
      <c r="K13" s="73">
        <f>IF(J13="","",IF(J13="A","Preditiva + preventiva",IF(J13="B","Preventiva por tempo ou uso","Corretiva planejada")))</f>
        <v/>
      </c>
      <c r="L13" s="52" t="n"/>
      <c r="M13" s="87" t="inlineStr">
        <is>
          <t>Consequência = maior nota entre S, Q e P. Nota 5 em segurança vira classe A em qualquer quadrado.</t>
        </is>
      </c>
      <c r="N13" s="81" t="n"/>
      <c r="O13" s="81" t="n"/>
      <c r="P13" s="81" t="n"/>
      <c r="Q13" s="81" t="n"/>
      <c r="R13" s="82" t="n"/>
      <c r="S13" s="52" t="n"/>
      <c r="T13" s="80" t="n"/>
      <c r="U13" s="81" t="n"/>
      <c r="V13" s="81" t="n"/>
      <c r="W13" s="81" t="n"/>
      <c r="X13" s="81" t="n"/>
      <c r="Y13" s="82" t="n"/>
    </row>
    <row r="14" ht="28" customHeight="1">
      <c r="A14" s="68" t="n">
        <v>7</v>
      </c>
      <c r="B14" s="69" t="n"/>
      <c r="C14" s="70">
        <f>IF(B14="","",IFERROR(INDEX(tb_pcm_ativos[descricao_ativo],MATCH(B14,tb_pcm_ativos[tag],0)),"fora do cadastro"))</f>
        <v/>
      </c>
      <c r="D14" s="70">
        <f>IF(B14="","",IFERROR(INDEX(tb_pcm_ativos[familia],MATCH(B14,tb_pcm_ativos[tag],0))&amp;"",""))</f>
        <v/>
      </c>
      <c r="E14" s="71" t="n"/>
      <c r="F14" s="71" t="n"/>
      <c r="G14" s="71" t="n"/>
      <c r="H14" s="72">
        <f>IF(COUNT(E14:G14)=0,"",MAX(E14:G14))</f>
        <v/>
      </c>
      <c r="I14" s="71" t="n"/>
      <c r="J14" s="72">
        <f>IF(OR(H14="",I14=""),"",IF(E14=5,"A",MID(CHOOSE(H14,"CCCBB","CCBBA","CBBAA","BBAAA","BAAAA"),I14,1)))</f>
        <v/>
      </c>
      <c r="K14" s="73">
        <f>IF(J14="","",IF(J14="A","Preditiva + preventiva",IF(J14="B","Preventiva por tempo ou uso","Corretiva planejada")))</f>
        <v/>
      </c>
      <c r="L14" s="52" t="n"/>
      <c r="M14" s="61" t="inlineStr">
        <is>
          <t>6  Notas: escolha a descrição mais próxima do pior caso crível</t>
        </is>
      </c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51" t="n"/>
    </row>
    <row r="15" ht="28" customHeight="1">
      <c r="A15" s="68" t="n">
        <v>8</v>
      </c>
      <c r="B15" s="69" t="n"/>
      <c r="C15" s="70">
        <f>IF(B15="","",IFERROR(INDEX(tb_pcm_ativos[descricao_ativo],MATCH(B15,tb_pcm_ativos[tag],0)),"fora do cadastro"))</f>
        <v/>
      </c>
      <c r="D15" s="70">
        <f>IF(B15="","",IFERROR(INDEX(tb_pcm_ativos[familia],MATCH(B15,tb_pcm_ativos[tag],0))&amp;"",""))</f>
        <v/>
      </c>
      <c r="E15" s="71" t="n"/>
      <c r="F15" s="71" t="n"/>
      <c r="G15" s="71" t="n"/>
      <c r="H15" s="72">
        <f>IF(COUNT(E15:G15)=0,"",MAX(E15:G15))</f>
        <v/>
      </c>
      <c r="I15" s="71" t="n"/>
      <c r="J15" s="72">
        <f>IF(OR(H15="",I15=""),"",IF(E15=5,"A",MID(CHOOSE(H15,"CCCBB","CCBBA","CBBAA","BBAAA","BAAAA"),I15,1)))</f>
        <v/>
      </c>
      <c r="K15" s="73">
        <f>IF(J15="","",IF(J15="A","Preditiva + preventiva",IF(J15="B","Preventiva por tempo ou uso","Corretiva planejada")))</f>
        <v/>
      </c>
      <c r="L15" s="52" t="n"/>
      <c r="M15" s="62" t="inlineStr">
        <is>
          <t>Nota</t>
        </is>
      </c>
      <c r="N15" s="88" t="inlineStr">
        <is>
          <t>S  Segurança e ambiente</t>
        </is>
      </c>
      <c r="Q15" s="88" t="inlineStr">
        <is>
          <t>Q  Qualidade</t>
        </is>
      </c>
      <c r="T15" s="88" t="inlineStr">
        <is>
          <t>P  Produção e reserva</t>
        </is>
      </c>
      <c r="W15" s="89" t="inlineStr">
        <is>
          <t>Frequência de falha</t>
        </is>
      </c>
      <c r="Y15" s="67" t="n"/>
    </row>
    <row r="16" ht="28" customHeight="1">
      <c r="A16" s="68" t="n">
        <v>9</v>
      </c>
      <c r="B16" s="69" t="n"/>
      <c r="C16" s="70">
        <f>IF(B16="","",IFERROR(INDEX(tb_pcm_ativos[descricao_ativo],MATCH(B16,tb_pcm_ativos[tag],0)),"fora do cadastro"))</f>
        <v/>
      </c>
      <c r="D16" s="70">
        <f>IF(B16="","",IFERROR(INDEX(tb_pcm_ativos[familia],MATCH(B16,tb_pcm_ativos[tag],0))&amp;"",""))</f>
        <v/>
      </c>
      <c r="E16" s="71" t="n"/>
      <c r="F16" s="71" t="n"/>
      <c r="G16" s="71" t="n"/>
      <c r="H16" s="72">
        <f>IF(COUNT(E16:G16)=0,"",MAX(E16:G16))</f>
        <v/>
      </c>
      <c r="I16" s="71" t="n"/>
      <c r="J16" s="72">
        <f>IF(OR(H16="",I16=""),"",IF(E16=5,"A",MID(CHOOSE(H16,"CCCBB","CCBBA","CBBAA","BBAAA","BAAAA"),I16,1)))</f>
        <v/>
      </c>
      <c r="K16" s="73">
        <f>IF(J16="","",IF(J16="A","Preditiva + preventiva",IF(J16="B","Preventiva por tempo ou uso","Corretiva planejada")))</f>
        <v/>
      </c>
      <c r="L16" s="52" t="n"/>
      <c r="M16" s="90" t="inlineStr">
        <is>
          <t>5
Muito alto</t>
        </is>
      </c>
      <c r="N16" s="91" t="inlineStr">
        <is>
          <t>Lesão grave ou morte, ou dano ambiental grande</t>
        </is>
      </c>
      <c r="Q16" s="91" t="inlineStr">
        <is>
          <t>Defeito chega ao cliente ou afeta item de segurança ou legal</t>
        </is>
      </c>
      <c r="T16" s="91" t="inlineStr">
        <is>
          <t>A planta para ou uma entrega é perdida</t>
        </is>
      </c>
      <c r="W16" s="79" t="inlineStr">
        <is>
          <t>Toda semana ou mais</t>
        </is>
      </c>
      <c r="Y16" s="67" t="n"/>
    </row>
    <row r="17" ht="28" customHeight="1">
      <c r="A17" s="68" t="n">
        <v>10</v>
      </c>
      <c r="B17" s="69" t="n"/>
      <c r="C17" s="70">
        <f>IF(B17="","",IFERROR(INDEX(tb_pcm_ativos[descricao_ativo],MATCH(B17,tb_pcm_ativos[tag],0)),"fora do cadastro"))</f>
        <v/>
      </c>
      <c r="D17" s="70">
        <f>IF(B17="","",IFERROR(INDEX(tb_pcm_ativos[familia],MATCH(B17,tb_pcm_ativos[tag],0))&amp;"",""))</f>
        <v/>
      </c>
      <c r="E17" s="71" t="n"/>
      <c r="F17" s="71" t="n"/>
      <c r="G17" s="71" t="n"/>
      <c r="H17" s="72">
        <f>IF(COUNT(E17:G17)=0,"",MAX(E17:G17))</f>
        <v/>
      </c>
      <c r="I17" s="71" t="n"/>
      <c r="J17" s="72">
        <f>IF(OR(H17="",I17=""),"",IF(E17=5,"A",MID(CHOOSE(H17,"CCCBB","CCBBA","CBBAA","BBAAA","BAAAA"),I17,1)))</f>
        <v/>
      </c>
      <c r="K17" s="73">
        <f>IF(J17="","",IF(J17="A","Preditiva + preventiva",IF(J17="B","Preventiva por tempo ou uso","Corretiva planejada")))</f>
        <v/>
      </c>
      <c r="L17" s="52" t="n"/>
      <c r="M17" s="80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2" t="n"/>
    </row>
    <row r="18" ht="28" customHeight="1">
      <c r="A18" s="68" t="n">
        <v>11</v>
      </c>
      <c r="B18" s="69" t="n"/>
      <c r="C18" s="70">
        <f>IF(B18="","",IFERROR(INDEX(tb_pcm_ativos[descricao_ativo],MATCH(B18,tb_pcm_ativos[tag],0)),"fora do cadastro"))</f>
        <v/>
      </c>
      <c r="D18" s="70">
        <f>IF(B18="","",IFERROR(INDEX(tb_pcm_ativos[familia],MATCH(B18,tb_pcm_ativos[tag],0))&amp;"",""))</f>
        <v/>
      </c>
      <c r="E18" s="71" t="n"/>
      <c r="F18" s="71" t="n"/>
      <c r="G18" s="71" t="n"/>
      <c r="H18" s="72">
        <f>IF(COUNT(E18:G18)=0,"",MAX(E18:G18))</f>
        <v/>
      </c>
      <c r="I18" s="71" t="n"/>
      <c r="J18" s="72">
        <f>IF(OR(H18="",I18=""),"",IF(E18=5,"A",MID(CHOOSE(H18,"CCCBB","CCBBA","CBBAA","BBAAA","BAAAA"),I18,1)))</f>
        <v/>
      </c>
      <c r="K18" s="73">
        <f>IF(J18="","",IF(J18="A","Preditiva + preventiva",IF(J18="B","Preventiva por tempo ou uso","Corretiva planejada")))</f>
        <v/>
      </c>
      <c r="L18" s="52" t="n"/>
      <c r="M18" s="92" t="inlineStr">
        <is>
          <t>4
Alto</t>
        </is>
      </c>
      <c r="N18" s="91" t="inlineStr">
        <is>
          <t>Lesão com afastamento ou vazamento que sai da planta</t>
        </is>
      </c>
      <c r="Q18" s="91" t="inlineStr">
        <is>
          <t>Defeito pode escapar para etapas seguintes ou o cliente</t>
        </is>
      </c>
      <c r="T18" s="91" t="inlineStr">
        <is>
          <t>A linha ou área para, sem reserva</t>
        </is>
      </c>
      <c r="W18" s="79" t="inlineStr">
        <is>
          <t>Cerca de uma vez por mês</t>
        </is>
      </c>
      <c r="Y18" s="67" t="n"/>
    </row>
    <row r="19" ht="28" customHeight="1">
      <c r="A19" s="68" t="n">
        <v>12</v>
      </c>
      <c r="B19" s="69" t="n"/>
      <c r="C19" s="70">
        <f>IF(B19="","",IFERROR(INDEX(tb_pcm_ativos[descricao_ativo],MATCH(B19,tb_pcm_ativos[tag],0)),"fora do cadastro"))</f>
        <v/>
      </c>
      <c r="D19" s="70">
        <f>IF(B19="","",IFERROR(INDEX(tb_pcm_ativos[familia],MATCH(B19,tb_pcm_ativos[tag],0))&amp;"",""))</f>
        <v/>
      </c>
      <c r="E19" s="71" t="n"/>
      <c r="F19" s="71" t="n"/>
      <c r="G19" s="71" t="n"/>
      <c r="H19" s="72">
        <f>IF(COUNT(E19:G19)=0,"",MAX(E19:G19))</f>
        <v/>
      </c>
      <c r="I19" s="71" t="n"/>
      <c r="J19" s="72">
        <f>IF(OR(H19="",I19=""),"",IF(E19=5,"A",MID(CHOOSE(H19,"CCCBB","CCBBA","CBBAA","BBAAA","BAAAA"),I19,1)))</f>
        <v/>
      </c>
      <c r="K19" s="73">
        <f>IF(J19="","",IF(J19="A","Preditiva + preventiva",IF(J19="B","Preventiva por tempo ou uso","Corretiva planejada")))</f>
        <v/>
      </c>
      <c r="L19" s="52" t="n"/>
      <c r="M19" s="80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2" t="n"/>
    </row>
    <row r="20" ht="28" customHeight="1">
      <c r="A20" s="68" t="n">
        <v>13</v>
      </c>
      <c r="B20" s="69" t="n"/>
      <c r="C20" s="70">
        <f>IF(B20="","",IFERROR(INDEX(tb_pcm_ativos[descricao_ativo],MATCH(B20,tb_pcm_ativos[tag],0)),"fora do cadastro"))</f>
        <v/>
      </c>
      <c r="D20" s="70">
        <f>IF(B20="","",IFERROR(INDEX(tb_pcm_ativos[familia],MATCH(B20,tb_pcm_ativos[tag],0))&amp;"",""))</f>
        <v/>
      </c>
      <c r="E20" s="71" t="n"/>
      <c r="F20" s="71" t="n"/>
      <c r="G20" s="71" t="n"/>
      <c r="H20" s="72">
        <f>IF(COUNT(E20:G20)=0,"",MAX(E20:G20))</f>
        <v/>
      </c>
      <c r="I20" s="71" t="n"/>
      <c r="J20" s="72">
        <f>IF(OR(H20="",I20=""),"",IF(E20=5,"A",MID(CHOOSE(H20,"CCCBB","CCBBA","CBBAA","BBAAA","BAAAA"),I20,1)))</f>
        <v/>
      </c>
      <c r="K20" s="73">
        <f>IF(J20="","",IF(J20="A","Preditiva + preventiva",IF(J20="B","Preventiva por tempo ou uso","Corretiva planejada")))</f>
        <v/>
      </c>
      <c r="L20" s="52" t="n"/>
      <c r="M20" s="93" t="inlineStr">
        <is>
          <t>3
Médio</t>
        </is>
      </c>
      <c r="N20" s="91" t="inlineStr">
        <is>
          <t>Lesão com atendimento médico ou vazamento reportável</t>
        </is>
      </c>
      <c r="Q20" s="91" t="inlineStr">
        <is>
          <t>Perda ou retrabalho de um lote</t>
        </is>
      </c>
      <c r="T20" s="91" t="inlineStr">
        <is>
          <t>A linha desacelera ou o contorno custa tempo</t>
        </is>
      </c>
      <c r="W20" s="79" t="inlineStr">
        <is>
          <t>A cada 3 a 6 meses</t>
        </is>
      </c>
      <c r="Y20" s="67" t="n"/>
    </row>
    <row r="21" ht="28" customHeight="1">
      <c r="A21" s="68" t="n">
        <v>14</v>
      </c>
      <c r="B21" s="69" t="n"/>
      <c r="C21" s="70">
        <f>IF(B21="","",IFERROR(INDEX(tb_pcm_ativos[descricao_ativo],MATCH(B21,tb_pcm_ativos[tag],0)),"fora do cadastro"))</f>
        <v/>
      </c>
      <c r="D21" s="70">
        <f>IF(B21="","",IFERROR(INDEX(tb_pcm_ativos[familia],MATCH(B21,tb_pcm_ativos[tag],0))&amp;"",""))</f>
        <v/>
      </c>
      <c r="E21" s="71" t="n"/>
      <c r="F21" s="71" t="n"/>
      <c r="G21" s="71" t="n"/>
      <c r="H21" s="72">
        <f>IF(COUNT(E21:G21)=0,"",MAX(E21:G21))</f>
        <v/>
      </c>
      <c r="I21" s="71" t="n"/>
      <c r="J21" s="72">
        <f>IF(OR(H21="",I21=""),"",IF(E21=5,"A",MID(CHOOSE(H21,"CCCBB","CCBBA","CBBAA","BBAAA","BAAAA"),I21,1)))</f>
        <v/>
      </c>
      <c r="K21" s="73">
        <f>IF(J21="","",IF(J21="A","Preditiva + preventiva",IF(J21="B","Preventiva por tempo ou uso","Corretiva planejada")))</f>
        <v/>
      </c>
      <c r="L21" s="52" t="n"/>
      <c r="M21" s="80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2" t="n"/>
    </row>
    <row r="22" ht="28" customHeight="1">
      <c r="A22" s="68" t="n">
        <v>15</v>
      </c>
      <c r="B22" s="69" t="n"/>
      <c r="C22" s="70">
        <f>IF(B22="","",IFERROR(INDEX(tb_pcm_ativos[descricao_ativo],MATCH(B22,tb_pcm_ativos[tag],0)),"fora do cadastro"))</f>
        <v/>
      </c>
      <c r="D22" s="70">
        <f>IF(B22="","",IFERROR(INDEX(tb_pcm_ativos[familia],MATCH(B22,tb_pcm_ativos[tag],0))&amp;"",""))</f>
        <v/>
      </c>
      <c r="E22" s="71" t="n"/>
      <c r="F22" s="71" t="n"/>
      <c r="G22" s="71" t="n"/>
      <c r="H22" s="72">
        <f>IF(COUNT(E22:G22)=0,"",MAX(E22:G22))</f>
        <v/>
      </c>
      <c r="I22" s="71" t="n"/>
      <c r="J22" s="72">
        <f>IF(OR(H22="",I22=""),"",IF(E22=5,"A",MID(CHOOSE(H22,"CCCBB","CCBBA","CBBAA","BBAAA","BAAAA"),I22,1)))</f>
        <v/>
      </c>
      <c r="K22" s="73">
        <f>IF(J22="","",IF(J22="A","Preditiva + preventiva",IF(J22="B","Preventiva por tempo ou uso","Corretiva planejada")))</f>
        <v/>
      </c>
      <c r="L22" s="52" t="n"/>
      <c r="M22" s="94" t="inlineStr">
        <is>
          <t>2
Baixo</t>
        </is>
      </c>
      <c r="N22" s="91" t="inlineStr">
        <is>
          <t>Primeiros socorros ou pequeno vazamento contido</t>
        </is>
      </c>
      <c r="Q22" s="91" t="inlineStr">
        <is>
          <t>Defeito pego na máquina, pouca perda</t>
        </is>
      </c>
      <c r="T22" s="91" t="inlineStr">
        <is>
          <t>Há reserva; pequena queda de ritmo</t>
        </is>
      </c>
      <c r="W22" s="79" t="inlineStr">
        <is>
          <t>Cerca de uma vez por ano</t>
        </is>
      </c>
      <c r="Y22" s="67" t="n"/>
    </row>
    <row r="23" ht="28" customHeight="1">
      <c r="A23" s="68" t="n">
        <v>16</v>
      </c>
      <c r="B23" s="69" t="n"/>
      <c r="C23" s="70">
        <f>IF(B23="","",IFERROR(INDEX(tb_pcm_ativos[descricao_ativo],MATCH(B23,tb_pcm_ativos[tag],0)),"fora do cadastro"))</f>
        <v/>
      </c>
      <c r="D23" s="70">
        <f>IF(B23="","",IFERROR(INDEX(tb_pcm_ativos[familia],MATCH(B23,tb_pcm_ativos[tag],0))&amp;"",""))</f>
        <v/>
      </c>
      <c r="E23" s="71" t="n"/>
      <c r="F23" s="71" t="n"/>
      <c r="G23" s="71" t="n"/>
      <c r="H23" s="72">
        <f>IF(COUNT(E23:G23)=0,"",MAX(E23:G23))</f>
        <v/>
      </c>
      <c r="I23" s="71" t="n"/>
      <c r="J23" s="72">
        <f>IF(OR(H23="",I23=""),"",IF(E23=5,"A",MID(CHOOSE(H23,"CCCBB","CCBBA","CBBAA","BBAAA","BAAAA"),I23,1)))</f>
        <v/>
      </c>
      <c r="K23" s="73">
        <f>IF(J23="","",IF(J23="A","Preditiva + preventiva",IF(J23="B","Preventiva por tempo ou uso","Corretiva planejada")))</f>
        <v/>
      </c>
      <c r="L23" s="52" t="n"/>
      <c r="M23" s="80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2" t="n"/>
    </row>
    <row r="24" ht="28" customHeight="1">
      <c r="A24" s="68" t="n">
        <v>17</v>
      </c>
      <c r="B24" s="69" t="n"/>
      <c r="C24" s="70">
        <f>IF(B24="","",IFERROR(INDEX(tb_pcm_ativos[descricao_ativo],MATCH(B24,tb_pcm_ativos[tag],0)),"fora do cadastro"))</f>
        <v/>
      </c>
      <c r="D24" s="70">
        <f>IF(B24="","",IFERROR(INDEX(tb_pcm_ativos[familia],MATCH(B24,tb_pcm_ativos[tag],0))&amp;"",""))</f>
        <v/>
      </c>
      <c r="E24" s="71" t="n"/>
      <c r="F24" s="71" t="n"/>
      <c r="G24" s="71" t="n"/>
      <c r="H24" s="72">
        <f>IF(COUNT(E24:G24)=0,"",MAX(E24:G24))</f>
        <v/>
      </c>
      <c r="I24" s="71" t="n"/>
      <c r="J24" s="72">
        <f>IF(OR(H24="",I24=""),"",IF(E24=5,"A",MID(CHOOSE(H24,"CCCBB","CCBBA","CBBAA","BBAAA","BAAAA"),I24,1)))</f>
        <v/>
      </c>
      <c r="K24" s="73">
        <f>IF(J24="","",IF(J24="A","Preditiva + preventiva",IF(J24="B","Preventiva por tempo ou uso","Corretiva planejada")))</f>
        <v/>
      </c>
      <c r="L24" s="52" t="n"/>
      <c r="M24" s="95" t="inlineStr">
        <is>
          <t>1
Muito baixo</t>
        </is>
      </c>
      <c r="N24" s="91" t="inlineStr">
        <is>
          <t>Sem lesão ou vazamento crível</t>
        </is>
      </c>
      <c r="Q24" s="91" t="inlineStr">
        <is>
          <t>Sem efeito no produto</t>
        </is>
      </c>
      <c r="T24" s="91" t="inlineStr">
        <is>
          <t>Máquina reserva ou capacidade sobrando: sem perda</t>
        </is>
      </c>
      <c r="W24" s="79" t="inlineStr">
        <is>
          <t>Menos de uma vez por ano</t>
        </is>
      </c>
      <c r="Y24" s="67" t="n"/>
    </row>
    <row r="25" ht="28" customHeight="1">
      <c r="A25" s="68" t="n">
        <v>18</v>
      </c>
      <c r="B25" s="69" t="n"/>
      <c r="C25" s="70">
        <f>IF(B25="","",IFERROR(INDEX(tb_pcm_ativos[descricao_ativo],MATCH(B25,tb_pcm_ativos[tag],0)),"fora do cadastro"))</f>
        <v/>
      </c>
      <c r="D25" s="70">
        <f>IF(B25="","",IFERROR(INDEX(tb_pcm_ativos[familia],MATCH(B25,tb_pcm_ativos[tag],0))&amp;"",""))</f>
        <v/>
      </c>
      <c r="E25" s="71" t="n"/>
      <c r="F25" s="71" t="n"/>
      <c r="G25" s="71" t="n"/>
      <c r="H25" s="72">
        <f>IF(COUNT(E25:G25)=0,"",MAX(E25:G25))</f>
        <v/>
      </c>
      <c r="I25" s="71" t="n"/>
      <c r="J25" s="72">
        <f>IF(OR(H25="",I25=""),"",IF(E25=5,"A",MID(CHOOSE(H25,"CCCBB","CCBBA","CBBAA","BBAAA","BAAAA"),I25,1)))</f>
        <v/>
      </c>
      <c r="K25" s="73">
        <f>IF(J25="","",IF(J25="A","Preditiva + preventiva",IF(J25="B","Preventiva por tempo ou uso","Corretiva planejada")))</f>
        <v/>
      </c>
      <c r="L25" s="52" t="n"/>
      <c r="M25" s="80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2" t="n"/>
    </row>
    <row r="26" ht="28" customHeight="1">
      <c r="A26" s="68" t="n">
        <v>19</v>
      </c>
      <c r="B26" s="69" t="n"/>
      <c r="C26" s="70">
        <f>IF(B26="","",IFERROR(INDEX(tb_pcm_ativos[descricao_ativo],MATCH(B26,tb_pcm_ativos[tag],0)),"fora do cadastro"))</f>
        <v/>
      </c>
      <c r="D26" s="70">
        <f>IF(B26="","",IFERROR(INDEX(tb_pcm_ativos[familia],MATCH(B26,tb_pcm_ativos[tag],0))&amp;"",""))</f>
        <v/>
      </c>
      <c r="E26" s="71" t="n"/>
      <c r="F26" s="71" t="n"/>
      <c r="G26" s="71" t="n"/>
      <c r="H26" s="72">
        <f>IF(COUNT(E26:G26)=0,"",MAX(E26:G26))</f>
        <v/>
      </c>
      <c r="I26" s="71" t="n"/>
      <c r="J26" s="72">
        <f>IF(OR(H26="",I26=""),"",IF(E26=5,"A",MID(CHOOSE(H26,"CCCBB","CCBBA","CBBAA","BBAAA","BAAAA"),I26,1)))</f>
        <v/>
      </c>
      <c r="K26" s="73">
        <f>IF(J26="","",IF(J26="A","Preditiva + preventiva",IF(J26="B","Preventiva por tempo ou uso","Corretiva planejada")))</f>
        <v/>
      </c>
      <c r="L26" s="52" t="n"/>
      <c r="M26" s="87" t="inlineStr">
        <is>
          <t>A produção conta a reserva: com máquina reserva a nota é menor. Revise as notas quando o processo mudar.</t>
        </is>
      </c>
      <c r="Y26" s="67" t="n"/>
    </row>
    <row r="27" ht="28" customHeight="1">
      <c r="A27" s="68" t="n">
        <v>20</v>
      </c>
      <c r="B27" s="69" t="n"/>
      <c r="C27" s="70">
        <f>IF(B27="","",IFERROR(INDEX(tb_pcm_ativos[descricao_ativo],MATCH(B27,tb_pcm_ativos[tag],0)),"fora do cadastro"))</f>
        <v/>
      </c>
      <c r="D27" s="70">
        <f>IF(B27="","",IFERROR(INDEX(tb_pcm_ativos[familia],MATCH(B27,tb_pcm_ativos[tag],0))&amp;"",""))</f>
        <v/>
      </c>
      <c r="E27" s="71" t="n"/>
      <c r="F27" s="71" t="n"/>
      <c r="G27" s="71" t="n"/>
      <c r="H27" s="72">
        <f>IF(COUNT(E27:G27)=0,"",MAX(E27:G27))</f>
        <v/>
      </c>
      <c r="I27" s="71" t="n"/>
      <c r="J27" s="72">
        <f>IF(OR(H27="",I27=""),"",IF(E27=5,"A",MID(CHOOSE(H27,"CCCBB","CCBBA","CBBAA","BBAAA","BAAAA"),I27,1)))</f>
        <v/>
      </c>
      <c r="K27" s="73">
        <f>IF(J27="","",IF(J27="A","Preditiva + preventiva",IF(J27="B","Preventiva por tempo ou uso","Corretiva planejada")))</f>
        <v/>
      </c>
      <c r="L27" s="52" t="n"/>
      <c r="M27" s="80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2" t="n"/>
    </row>
    <row r="28" ht="20" customHeight="1">
      <c r="A28" s="96" t="inlineStr">
        <is>
          <r>
            <rPr>
              <rFont val="Arial"/>
              <b val="1"/>
              <color rgb="00B3261E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A: crítico      </t>
          </r>
          <r>
            <rPr>
              <rFont val="Arial"/>
              <b val="1"/>
              <color rgb="00E0A100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B: importante      </t>
          </r>
          <r>
            <rPr>
              <rFont val="Arial"/>
              <b val="1"/>
              <color rgb="001E7A46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C: baixo impacto      </t>
          </r>
          <r>
            <rPr>
              <rFont val="Arial"/>
              <b val="1"/>
              <color rgb="006B7686"/>
              <sz val="8"/>
            </rPr>
            <t xml:space="preserve">Cinza = calculado; notas no quadro 6.      </t>
          </r>
        </is>
      </c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</row>
  </sheetData>
  <mergeCells count="59">
    <mergeCell ref="M20:M21"/>
    <mergeCell ref="A1:D2"/>
    <mergeCell ref="Q16:S17"/>
    <mergeCell ref="N24:P25"/>
    <mergeCell ref="A4:D4"/>
    <mergeCell ref="U12:Y13"/>
    <mergeCell ref="T16:V17"/>
    <mergeCell ref="J1:K1"/>
    <mergeCell ref="M13:R13"/>
    <mergeCell ref="N20:P21"/>
    <mergeCell ref="M6:R6"/>
    <mergeCell ref="M14:Y14"/>
    <mergeCell ref="T24:V25"/>
    <mergeCell ref="Q15:S15"/>
    <mergeCell ref="T20:V21"/>
    <mergeCell ref="T18:V19"/>
    <mergeCell ref="M22:M23"/>
    <mergeCell ref="U8:Y9"/>
    <mergeCell ref="W24:Y25"/>
    <mergeCell ref="N16:P17"/>
    <mergeCell ref="E3:K3"/>
    <mergeCell ref="T12:T13"/>
    <mergeCell ref="Q24:S25"/>
    <mergeCell ref="M16:M17"/>
    <mergeCell ref="E1:I1"/>
    <mergeCell ref="N22:P23"/>
    <mergeCell ref="M3:R3"/>
    <mergeCell ref="T8:T9"/>
    <mergeCell ref="N18:P19"/>
    <mergeCell ref="U10:Y11"/>
    <mergeCell ref="T7:Y7"/>
    <mergeCell ref="N15:P15"/>
    <mergeCell ref="Q18:S19"/>
    <mergeCell ref="Q20:S21"/>
    <mergeCell ref="M24:M25"/>
    <mergeCell ref="T6:Y6"/>
    <mergeCell ref="W20:Y21"/>
    <mergeCell ref="A6:D6"/>
    <mergeCell ref="W16:Y17"/>
    <mergeCell ref="E2:I2"/>
    <mergeCell ref="T3:Y3"/>
    <mergeCell ref="M4:R4"/>
    <mergeCell ref="E4:K4"/>
    <mergeCell ref="M18:M19"/>
    <mergeCell ref="Q22:S23"/>
    <mergeCell ref="W22:Y23"/>
    <mergeCell ref="T15:V15"/>
    <mergeCell ref="I6:K6"/>
    <mergeCell ref="W15:Y15"/>
    <mergeCell ref="M26:Y27"/>
    <mergeCell ref="J2:K2"/>
    <mergeCell ref="B5:C5"/>
    <mergeCell ref="A3:D3"/>
    <mergeCell ref="W18:Y19"/>
    <mergeCell ref="E6:H6"/>
    <mergeCell ref="A28:K28"/>
    <mergeCell ref="T22:V23"/>
    <mergeCell ref="T4:Y4"/>
    <mergeCell ref="T10:T11"/>
  </mergeCells>
  <conditionalFormatting sqref="E8:I27">
    <cfRule type="expression" priority="1" dxfId="0" stopIfTrue="1">
      <formula>E8=1</formula>
    </cfRule>
    <cfRule type="expression" priority="2" dxfId="1" stopIfTrue="1">
      <formula>E8=2</formula>
    </cfRule>
    <cfRule type="expression" priority="3" dxfId="2" stopIfTrue="1">
      <formula>E8=3</formula>
    </cfRule>
    <cfRule type="expression" priority="4" dxfId="3" stopIfTrue="1">
      <formula>E8=4</formula>
    </cfRule>
    <cfRule type="expression" priority="5" dxfId="4" stopIfTrue="1">
      <formula>E8=5</formula>
    </cfRule>
  </conditionalFormatting>
  <conditionalFormatting sqref="J8:J27">
    <cfRule type="expression" priority="6" dxfId="4" stopIfTrue="1">
      <formula>J8="A"</formula>
    </cfRule>
    <cfRule type="expression" priority="7" dxfId="2" stopIfTrue="1">
      <formula>J8="B"</formula>
    </cfRule>
    <cfRule type="expression" priority="8" dxfId="0" stopIfTrue="1">
      <formula>J8="C"</formula>
    </cfRule>
  </conditionalFormatting>
  <dataValidations count="6">
    <dataValidation sqref="A4" showDropDown="0" showInputMessage="0" showErrorMessage="1" allowBlank="1" errorTitle="Valor fora da lista" error="Escolha um item da lista." type="list" errorStyle="stop">
      <formula1>L_SETORES</formula1>
    </dataValidation>
    <dataValidation sqref="B8:B27" showDropDown="0" showInputMessage="0" showErrorMessage="1" allowBlank="1" errorTitle="Valor fora da lista" error="Escolha um item da lista." type="list" errorStyle="stop">
      <formula1>L_TAGS</formula1>
    </dataValidation>
    <dataValidation sqref="E8:E27" showDropDown="0" showInputMessage="1" showErrorMessage="1" allowBlank="1" errorTitle="Valor fora da lista" error="Escolha um item da lista." promptTitle="S  Segurança e ambiente" prompt="1 = Sem lesão ou vazamento crível&#10;3 = Lesão com atendimento médico ou vazamento reportável&#10;5 = Lesão grave ou morte, ou dano ambiental grande" type="list" errorStyle="stop">
      <formula1>"1,2,3,4,5"</formula1>
    </dataValidation>
    <dataValidation sqref="F8:F27" showDropDown="0" showInputMessage="1" showErrorMessage="1" allowBlank="1" errorTitle="Valor fora da lista" error="Escolha um item da lista." promptTitle="Q  Qualidade" prompt="1 = Sem efeito no produto&#10;3 = Perda ou retrabalho de um lote&#10;5 = Defeito chega ao cliente ou afeta item de segurança ou legal" type="list" errorStyle="stop">
      <formula1>"1,2,3,4,5"</formula1>
    </dataValidation>
    <dataValidation sqref="G8:G27" showDropDown="0" showInputMessage="1" showErrorMessage="1" allowBlank="1" errorTitle="Valor fora da lista" error="Escolha um item da lista." promptTitle="P  Produção e reserva" prompt="1 = Máquina reserva ou capacidade sobrando: sem perda&#10;3 = A linha desacelera ou o contorno custa tempo&#10;5 = A planta para ou uma entrega é perdida" type="list" errorStyle="stop">
      <formula1>"1,2,3,4,5"</formula1>
    </dataValidation>
    <dataValidation sqref="I8:I27" showDropDown="0" showInputMessage="1" showErrorMessage="1" allowBlank="1" errorTitle="Valor fora da lista" error="Escolha um item da lista." promptTitle="Frequência de falha" prompt="1 = Menos de uma vez por ano&#10;3 = A cada 3 a 6 meses&#10;5 = Toda semana ou mais" type="list" errorStyle="stop">
      <formula1>"1,2,3,4,5"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&amp;K4A5668PCM-MAN-002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AE23"/>
  <sheetViews>
    <sheetView showGridLines="0" tabSelected="0" zoomScale="90" workbookViewId="0">
      <pane ySplit="7" topLeftCell="A8" activePane="bottomLeft" state="frozen"/>
      <selection pane="bottomLeft" activeCell="B8" sqref="B8"/>
    </sheetView>
  </sheetViews>
  <sheetFormatPr baseColWidth="8" defaultRowHeight="15"/>
  <cols>
    <col width="4" customWidth="1" min="1" max="1"/>
    <col width="11" customWidth="1" min="2" max="2"/>
    <col width="18" customWidth="1" min="3" max="3"/>
    <col width="6" customWidth="1" min="4" max="4"/>
    <col width="13" customWidth="1" min="5" max="5"/>
    <col width="15" customWidth="1" min="6" max="6"/>
    <col width="15" customWidth="1" min="7" max="7"/>
    <col width="15" customWidth="1" min="8" max="8"/>
    <col width="14" customWidth="1" min="9" max="9"/>
    <col width="10" customWidth="1" min="10" max="10"/>
    <col width="10" customWidth="1" min="11" max="11"/>
    <col width="10" customWidth="1" min="12" max="12"/>
    <col width="6" customWidth="1" min="13" max="13"/>
    <col width="22" customWidth="1" min="14" max="14"/>
    <col width="12" customWidth="1" min="15" max="15"/>
    <col width="7" customWidth="1" min="16" max="16"/>
    <col width="13" customWidth="1" min="17" max="17"/>
    <col width="2" customWidth="1" min="18" max="18"/>
    <col width="11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2" customWidth="1" min="25" max="25"/>
    <col width="11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</cols>
  <sheetData>
    <row r="1" ht="30.75" customHeight="1">
      <c r="A1" s="39" t="n"/>
      <c r="B1" s="40" t="n"/>
      <c r="C1" s="40" t="n"/>
      <c r="D1" s="40" t="n"/>
      <c r="E1" s="41" t="n"/>
      <c r="F1" s="97" t="inlineStr">
        <is>
          <t>MFMEA: análise dos modos de falha das máquinas</t>
        </is>
      </c>
      <c r="G1" s="40" t="n"/>
      <c r="H1" s="40" t="n"/>
      <c r="I1" s="40" t="n"/>
      <c r="J1" s="40" t="n"/>
      <c r="K1" s="40" t="n"/>
      <c r="L1" s="40" t="n"/>
      <c r="M1" s="41" t="n"/>
      <c r="N1" s="43">
        <f>"Rev. "&amp;'Leia-me'!$D$15&amp;"   ·   "&amp;'Leia-me'!$D$16</f>
        <v/>
      </c>
      <c r="O1" s="40" t="n"/>
      <c r="P1" s="40" t="n"/>
      <c r="Q1" s="41" t="n"/>
    </row>
    <row r="2" ht="28" customHeight="1">
      <c r="A2" s="44" t="n"/>
      <c r="B2" s="45" t="n"/>
      <c r="C2" s="45" t="n"/>
      <c r="D2" s="45" t="n"/>
      <c r="E2" s="46" t="n"/>
      <c r="F2" s="47" t="inlineStr">
        <is>
          <t>Objetivo: Analisar os modos de falha das máquinas, avaliar o risco pelo NPR e definir a tarefa de cada um</t>
        </is>
      </c>
      <c r="G2" s="45" t="n"/>
      <c r="H2" s="45" t="n"/>
      <c r="I2" s="45" t="n"/>
      <c r="J2" s="45" t="n"/>
      <c r="K2" s="45" t="n"/>
      <c r="L2" s="45" t="n"/>
      <c r="M2" s="46" t="n"/>
      <c r="N2" s="47">
        <f>"Elaborado: "&amp;'Leia-me'!$D$13&amp;"   ·   Aprovado: "&amp;'Leia-me'!$D$14</f>
        <v/>
      </c>
      <c r="O2" s="45" t="n"/>
      <c r="P2" s="45" t="n"/>
      <c r="Q2" s="46" t="n"/>
    </row>
    <row r="3" ht="12" customHeight="1">
      <c r="A3" s="48" t="inlineStr">
        <is>
          <t>Área ou sistema analisado ▼</t>
        </is>
      </c>
      <c r="B3" s="49" t="n"/>
      <c r="C3" s="49" t="n"/>
      <c r="D3" s="49" t="n"/>
      <c r="E3" s="49" t="n"/>
      <c r="F3" s="50" t="inlineStr">
        <is>
          <t>Equipe da análise</t>
        </is>
      </c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51" t="n"/>
      <c r="R3" s="52" t="n"/>
      <c r="S3" s="53" t="inlineStr">
        <is>
          <t>Modos com risco alto</t>
        </is>
      </c>
      <c r="T3" s="49" t="n"/>
      <c r="U3" s="49" t="n"/>
      <c r="V3" s="49" t="n"/>
      <c r="W3" s="49" t="n"/>
      <c r="X3" s="51" t="n"/>
      <c r="Y3" s="52" t="n"/>
      <c r="Z3" s="53" t="inlineStr">
        <is>
          <t>Maior NPR</t>
        </is>
      </c>
      <c r="AA3" s="49" t="n"/>
      <c r="AB3" s="49" t="n"/>
      <c r="AC3" s="49" t="n"/>
      <c r="AD3" s="49" t="n"/>
      <c r="AE3" s="51" t="n"/>
    </row>
    <row r="4" ht="24" customHeight="1">
      <c r="A4" s="54" t="n"/>
      <c r="B4" s="55" t="n"/>
      <c r="C4" s="55" t="n"/>
      <c r="D4" s="55" t="n"/>
      <c r="E4" s="56" t="n"/>
      <c r="F4" s="54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6" t="n"/>
      <c r="R4" s="52" t="n"/>
      <c r="S4" s="98">
        <f>IF(COUNT(M8:M22)=0,"",COUNTIF(M8:M22,"&gt;=200")+COUNTIFS(J8:J22,"&gt;=9",M8:M22,"&lt;200"))</f>
        <v/>
      </c>
      <c r="T4" s="55" t="n"/>
      <c r="U4" s="55" t="n"/>
      <c r="V4" s="55" t="n"/>
      <c r="W4" s="55" t="n"/>
      <c r="X4" s="56" t="n"/>
      <c r="Y4" s="52" t="n"/>
      <c r="Z4" s="98">
        <f>IF(COUNT(M8:M22)=0,"",MAX(M8:M22))</f>
        <v/>
      </c>
      <c r="AA4" s="55" t="n"/>
      <c r="AB4" s="55" t="n"/>
      <c r="AC4" s="55" t="n"/>
      <c r="AD4" s="55" t="n"/>
      <c r="AE4" s="56" t="n"/>
    </row>
    <row r="5" ht="8" customHeight="1">
      <c r="A5" s="52" t="n"/>
      <c r="B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  <c r="Y5" s="52" t="n"/>
      <c r="Z5" s="52" t="n"/>
      <c r="AA5" s="52" t="n"/>
      <c r="AB5" s="52" t="n"/>
      <c r="AC5" s="52" t="n"/>
      <c r="AD5" s="52" t="n"/>
      <c r="AE5" s="52" t="n"/>
    </row>
    <row r="6" ht="20" customHeight="1">
      <c r="A6" s="58" t="inlineStr">
        <is>
          <t>1  Falha: o que pode falhar e por quê</t>
        </is>
      </c>
      <c r="B6" s="49" t="n"/>
      <c r="C6" s="49" t="n"/>
      <c r="D6" s="49" t="n"/>
      <c r="E6" s="49" t="n"/>
      <c r="F6" s="49" t="n"/>
      <c r="G6" s="49" t="n"/>
      <c r="H6" s="49" t="n"/>
      <c r="I6" s="49" t="n"/>
      <c r="J6" s="59" t="inlineStr">
        <is>
          <t>2  Risco</t>
        </is>
      </c>
      <c r="K6" s="49" t="n"/>
      <c r="L6" s="49" t="n"/>
      <c r="M6" s="49" t="n"/>
      <c r="N6" s="60" t="inlineStr">
        <is>
          <t>3  Tarefa de manutenção  →  vai para o Plano</t>
        </is>
      </c>
      <c r="O6" s="49" t="n"/>
      <c r="P6" s="49" t="n"/>
      <c r="Q6" s="51" t="n"/>
      <c r="R6" s="52" t="n"/>
      <c r="S6" s="61" t="inlineStr">
        <is>
          <t>4  Classificação do risco pelo NPR</t>
        </is>
      </c>
      <c r="T6" s="49" t="n"/>
      <c r="U6" s="49" t="n"/>
      <c r="V6" s="49" t="n"/>
      <c r="W6" s="49" t="n"/>
      <c r="X6" s="51" t="n"/>
      <c r="Y6" s="52" t="n"/>
      <c r="Z6" s="61" t="inlineStr">
        <is>
          <t>5  Como usar</t>
        </is>
      </c>
      <c r="AA6" s="49" t="n"/>
      <c r="AB6" s="49" t="n"/>
      <c r="AC6" s="49" t="n"/>
      <c r="AD6" s="49" t="n"/>
      <c r="AE6" s="51" t="n"/>
    </row>
    <row r="7" ht="30" customHeight="1">
      <c r="A7" s="62" t="inlineStr">
        <is>
          <t>Nº</t>
        </is>
      </c>
      <c r="B7" s="63" t="inlineStr">
        <is>
          <t>TAG ▼</t>
        </is>
      </c>
      <c r="C7" s="63" t="inlineStr">
        <is>
          <t>Equipamento</t>
        </is>
      </c>
      <c r="D7" s="63" t="inlineStr">
        <is>
          <t>Classe</t>
        </is>
      </c>
      <c r="E7" s="63" t="inlineStr">
        <is>
          <t>Componente e função</t>
        </is>
      </c>
      <c r="F7" s="63" t="inlineStr">
        <is>
          <t>Modo de falha</t>
        </is>
      </c>
      <c r="G7" s="63" t="inlineStr">
        <is>
          <t>Efeito da falha</t>
        </is>
      </c>
      <c r="H7" s="63" t="inlineStr">
        <is>
          <t>Causa</t>
        </is>
      </c>
      <c r="I7" s="63" t="inlineStr">
        <is>
          <t>Controle atual</t>
        </is>
      </c>
      <c r="J7" s="63" t="inlineStr">
        <is>
          <t>Severidade (S)</t>
        </is>
      </c>
      <c r="K7" s="63" t="inlineStr">
        <is>
          <t>Ocorrência (O)</t>
        </is>
      </c>
      <c r="L7" s="63" t="inlineStr">
        <is>
          <t>Detecção (D)</t>
        </is>
      </c>
      <c r="M7" s="63" t="inlineStr">
        <is>
          <t>NPR</t>
        </is>
      </c>
      <c r="N7" s="63" t="inlineStr">
        <is>
          <t>Tarefa recomendada</t>
        </is>
      </c>
      <c r="O7" s="63" t="inlineStr">
        <is>
          <t>Tipo de tarefa ▼</t>
        </is>
      </c>
      <c r="P7" s="63" t="inlineStr">
        <is>
          <t>A cada (dias)</t>
        </is>
      </c>
      <c r="Q7" s="64" t="inlineStr">
        <is>
          <t>Responsável ▼</t>
        </is>
      </c>
      <c r="R7" s="52" t="n"/>
      <c r="S7" s="66" t="inlineStr">
        <is>
          <t>NPR = S × O × D, de 1 a 1000. Quanto maior, mais urgente a ação.</t>
        </is>
      </c>
      <c r="X7" s="67" t="n"/>
      <c r="Y7" s="52" t="n"/>
      <c r="Z7" s="66" t="inlineStr">
        <is>
          <t>Comece pelas TAGs classe A. Clique nas células S, O e D para ver a dica.</t>
        </is>
      </c>
      <c r="AE7" s="67" t="n"/>
    </row>
    <row r="8" ht="32" customHeight="1">
      <c r="A8" s="68" t="n">
        <v>1</v>
      </c>
      <c r="B8" s="69" t="n"/>
      <c r="C8" s="70">
        <f>IF(B8="","",IFERROR(INDEX(tb_pcm_ativos[descricao_ativo],MATCH(B8,tb_pcm_ativos[tag],0)),"fora do cadastro"))</f>
        <v/>
      </c>
      <c r="D8" s="99">
        <f>IF(B8="","",IFERROR(INDEX(Criticidade!$J$8:$J$27,MATCH(B8,Criticidade!$B$8:$B$27,0)),"?"))</f>
        <v/>
      </c>
      <c r="E8" s="100" t="n"/>
      <c r="F8" s="100" t="n"/>
      <c r="G8" s="100" t="n"/>
      <c r="H8" s="100" t="n"/>
      <c r="I8" s="100" t="n"/>
      <c r="J8" s="71" t="n"/>
      <c r="K8" s="71" t="n"/>
      <c r="L8" s="71" t="n"/>
      <c r="M8" s="99">
        <f>IF(COUNT(J8:L8)&lt;3,"",J8*K8*L8)</f>
        <v/>
      </c>
      <c r="N8" s="69" t="n"/>
      <c r="O8" s="100" t="n"/>
      <c r="P8" s="101" t="n"/>
      <c r="Q8" s="102" t="n"/>
      <c r="R8" s="52" t="n"/>
      <c r="S8" s="103" t="inlineStr">
        <is>
          <t>Alto</t>
        </is>
      </c>
      <c r="T8" s="79">
        <f>"NPR 200 ou mais, ou S 9–10  ·  "&amp;IF(COUNT(M8:M22)=0,0,COUNTIF(M8:M22,"&gt;=200")+COUNTIFS(J8:J22,"&gt;=9",M8:M22,"&lt;200"))&amp;" modo(s)"&amp;CHAR(10)&amp;"Agir já: ação corretiva com prazo curto e responsável."</f>
        <v/>
      </c>
      <c r="U8" s="81" t="n"/>
      <c r="V8" s="81" t="n"/>
      <c r="W8" s="81" t="n"/>
      <c r="X8" s="82" t="n"/>
      <c r="Y8" s="52" t="n"/>
      <c r="Z8" s="104" t="inlineStr">
        <is>
          <t>1</t>
        </is>
      </c>
      <c r="AA8" s="79" t="inlineStr">
        <is>
          <t>Identifique: escolha a TAG e descreva componente, modo de falha, efeito, causa e controle atual.</t>
        </is>
      </c>
      <c r="AB8" s="81" t="n"/>
      <c r="AC8" s="81" t="n"/>
      <c r="AD8" s="81" t="n"/>
      <c r="AE8" s="82" t="n"/>
    </row>
    <row r="9" ht="32" customHeight="1">
      <c r="A9" s="68" t="n">
        <v>2</v>
      </c>
      <c r="B9" s="69" t="n"/>
      <c r="C9" s="70">
        <f>IF(B9="","",IFERROR(INDEX(tb_pcm_ativos[descricao_ativo],MATCH(B9,tb_pcm_ativos[tag],0)),"fora do cadastro"))</f>
        <v/>
      </c>
      <c r="D9" s="99">
        <f>IF(B9="","",IFERROR(INDEX(Criticidade!$J$8:$J$27,MATCH(B9,Criticidade!$B$8:$B$27,0)),"?"))</f>
        <v/>
      </c>
      <c r="E9" s="100" t="n"/>
      <c r="F9" s="100" t="n"/>
      <c r="G9" s="100" t="n"/>
      <c r="H9" s="100" t="n"/>
      <c r="I9" s="100" t="n"/>
      <c r="J9" s="71" t="n"/>
      <c r="K9" s="71" t="n"/>
      <c r="L9" s="71" t="n"/>
      <c r="M9" s="99">
        <f>IF(COUNT(J9:L9)&lt;3,"",J9*K9*L9)</f>
        <v/>
      </c>
      <c r="N9" s="69" t="n"/>
      <c r="O9" s="100" t="n"/>
      <c r="P9" s="101" t="n"/>
      <c r="Q9" s="102" t="n"/>
      <c r="R9" s="52" t="n"/>
      <c r="S9" s="105" t="inlineStr">
        <is>
          <t>Médio</t>
        </is>
      </c>
      <c r="T9" s="79">
        <f>"NPR de 100 a 199 e S até 8  ·  "&amp;IF(COUNT(M8:M22)=0,0,COUNTIFS(M8:M22,"&gt;=100",M8:M22,"&lt;200",J8:J22,"&lt;9"))&amp;" modo(s)"&amp;CHAR(10)&amp;"Planejar a ação e acompanhar a execução."</f>
        <v/>
      </c>
      <c r="U9" s="81" t="n"/>
      <c r="V9" s="81" t="n"/>
      <c r="W9" s="81" t="n"/>
      <c r="X9" s="82" t="n"/>
      <c r="Y9" s="52" t="n"/>
      <c r="Z9" s="104" t="inlineStr">
        <is>
          <t>2</t>
        </is>
      </c>
      <c r="AA9" s="79" t="inlineStr">
        <is>
          <t>Avalie: dê S, O e D de 1 a 10 (quadro 6). O NPR e a cor saem sozinhos.</t>
        </is>
      </c>
      <c r="AB9" s="81" t="n"/>
      <c r="AC9" s="81" t="n"/>
      <c r="AD9" s="81" t="n"/>
      <c r="AE9" s="82" t="n"/>
    </row>
    <row r="10" ht="32" customHeight="1">
      <c r="A10" s="68" t="n">
        <v>3</v>
      </c>
      <c r="B10" s="69" t="n"/>
      <c r="C10" s="70">
        <f>IF(B10="","",IFERROR(INDEX(tb_pcm_ativos[descricao_ativo],MATCH(B10,tb_pcm_ativos[tag],0)),"fora do cadastro"))</f>
        <v/>
      </c>
      <c r="D10" s="99">
        <f>IF(B10="","",IFERROR(INDEX(Criticidade!$J$8:$J$27,MATCH(B10,Criticidade!$B$8:$B$27,0)),"?"))</f>
        <v/>
      </c>
      <c r="E10" s="100" t="n"/>
      <c r="F10" s="100" t="n"/>
      <c r="G10" s="100" t="n"/>
      <c r="H10" s="100" t="n"/>
      <c r="I10" s="100" t="n"/>
      <c r="J10" s="71" t="n"/>
      <c r="K10" s="71" t="n"/>
      <c r="L10" s="71" t="n"/>
      <c r="M10" s="99">
        <f>IF(COUNT(J10:L10)&lt;3,"",J10*K10*L10)</f>
        <v/>
      </c>
      <c r="N10" s="69" t="n"/>
      <c r="O10" s="100" t="n"/>
      <c r="P10" s="101" t="n"/>
      <c r="Q10" s="102" t="n"/>
      <c r="R10" s="52" t="n"/>
      <c r="S10" s="106" t="inlineStr">
        <is>
          <t>Baixo</t>
        </is>
      </c>
      <c r="T10" s="79">
        <f>"NPR abaixo de 100 e S até 8  ·  "&amp;IF(COUNT(M8:M22)=0,0,COUNTIFS(M8:M22,"&lt;100",J8:J22,"&lt;9"))&amp;" modo(s)"&amp;CHAR(10)&amp;"Manter os controles e revisar na próxima análise."</f>
        <v/>
      </c>
      <c r="U10" s="81" t="n"/>
      <c r="V10" s="81" t="n"/>
      <c r="W10" s="81" t="n"/>
      <c r="X10" s="82" t="n"/>
      <c r="Y10" s="52" t="n"/>
      <c r="Z10" s="104" t="inlineStr">
        <is>
          <t>3</t>
        </is>
      </c>
      <c r="AA10" s="79" t="inlineStr">
        <is>
          <t>Planeje: defina tarefa, tipo e frequência; elas descem sozinhas para o Plano.</t>
        </is>
      </c>
      <c r="AB10" s="81" t="n"/>
      <c r="AC10" s="81" t="n"/>
      <c r="AD10" s="81" t="n"/>
      <c r="AE10" s="82" t="n"/>
    </row>
    <row r="11" ht="32" customHeight="1">
      <c r="A11" s="68" t="n">
        <v>4</v>
      </c>
      <c r="B11" s="69" t="n"/>
      <c r="C11" s="70">
        <f>IF(B11="","",IFERROR(INDEX(tb_pcm_ativos[descricao_ativo],MATCH(B11,tb_pcm_ativos[tag],0)),"fora do cadastro"))</f>
        <v/>
      </c>
      <c r="D11" s="99">
        <f>IF(B11="","",IFERROR(INDEX(Criticidade!$J$8:$J$27,MATCH(B11,Criticidade!$B$8:$B$27,0)),"?"))</f>
        <v/>
      </c>
      <c r="E11" s="100" t="n"/>
      <c r="F11" s="100" t="n"/>
      <c r="G11" s="100" t="n"/>
      <c r="H11" s="100" t="n"/>
      <c r="I11" s="100" t="n"/>
      <c r="J11" s="71" t="n"/>
      <c r="K11" s="71" t="n"/>
      <c r="L11" s="71" t="n"/>
      <c r="M11" s="99">
        <f>IF(COUNT(J11:L11)&lt;3,"",J11*K11*L11)</f>
        <v/>
      </c>
      <c r="N11" s="69" t="n"/>
      <c r="O11" s="100" t="n"/>
      <c r="P11" s="101" t="n"/>
      <c r="Q11" s="102" t="n"/>
      <c r="R11" s="52" t="n"/>
      <c r="S11" s="61" t="inlineStr">
        <is>
          <t>6  Notas de 1 a 10: escolha a descrição mais próxima do pior caso crível</t>
        </is>
      </c>
      <c r="T11" s="49" t="n"/>
      <c r="U11" s="49" t="n"/>
      <c r="V11" s="49" t="n"/>
      <c r="W11" s="49" t="n"/>
      <c r="X11" s="49" t="n"/>
      <c r="Y11" s="49" t="n"/>
      <c r="Z11" s="49" t="n"/>
      <c r="AA11" s="49" t="n"/>
      <c r="AB11" s="49" t="n"/>
      <c r="AC11" s="49" t="n"/>
      <c r="AD11" s="49" t="n"/>
      <c r="AE11" s="51" t="n"/>
    </row>
    <row r="12" ht="32" customHeight="1">
      <c r="A12" s="68" t="n">
        <v>5</v>
      </c>
      <c r="B12" s="69" t="n"/>
      <c r="C12" s="70">
        <f>IF(B12="","",IFERROR(INDEX(tb_pcm_ativos[descricao_ativo],MATCH(B12,tb_pcm_ativos[tag],0)),"fora do cadastro"))</f>
        <v/>
      </c>
      <c r="D12" s="99">
        <f>IF(B12="","",IFERROR(INDEX(Criticidade!$J$8:$J$27,MATCH(B12,Criticidade!$B$8:$B$27,0)),"?"))</f>
        <v/>
      </c>
      <c r="E12" s="100" t="n"/>
      <c r="F12" s="100" t="n"/>
      <c r="G12" s="100" t="n"/>
      <c r="H12" s="100" t="n"/>
      <c r="I12" s="100" t="n"/>
      <c r="J12" s="71" t="n"/>
      <c r="K12" s="71" t="n"/>
      <c r="L12" s="71" t="n"/>
      <c r="M12" s="99">
        <f>IF(COUNT(J12:L12)&lt;3,"",J12*K12*L12)</f>
        <v/>
      </c>
      <c r="N12" s="69" t="n"/>
      <c r="O12" s="100" t="n"/>
      <c r="P12" s="101" t="n"/>
      <c r="Q12" s="102" t="n"/>
      <c r="R12" s="52" t="n"/>
      <c r="S12" s="62" t="inlineStr">
        <is>
          <t>Nota</t>
        </is>
      </c>
      <c r="T12" s="88" t="inlineStr">
        <is>
          <t>S  Severidade do efeito</t>
        </is>
      </c>
      <c r="X12" s="88" t="inlineStr">
        <is>
          <t>O  Ocorrência da causa</t>
        </is>
      </c>
      <c r="AB12" s="89" t="inlineStr">
        <is>
          <t>D  Detecção pelo controle (nota alta = difícil detectar)</t>
        </is>
      </c>
      <c r="AE12" s="67" t="n"/>
    </row>
    <row r="13" ht="32" customHeight="1">
      <c r="A13" s="68" t="n">
        <v>6</v>
      </c>
      <c r="B13" s="69" t="n"/>
      <c r="C13" s="70">
        <f>IF(B13="","",IFERROR(INDEX(tb_pcm_ativos[descricao_ativo],MATCH(B13,tb_pcm_ativos[tag],0)),"fora do cadastro"))</f>
        <v/>
      </c>
      <c r="D13" s="99">
        <f>IF(B13="","",IFERROR(INDEX(Criticidade!$J$8:$J$27,MATCH(B13,Criticidade!$B$8:$B$27,0)),"?"))</f>
        <v/>
      </c>
      <c r="E13" s="100" t="n"/>
      <c r="F13" s="100" t="n"/>
      <c r="G13" s="100" t="n"/>
      <c r="H13" s="100" t="n"/>
      <c r="I13" s="100" t="n"/>
      <c r="J13" s="71" t="n"/>
      <c r="K13" s="71" t="n"/>
      <c r="L13" s="71" t="n"/>
      <c r="M13" s="99">
        <f>IF(COUNT(J13:L13)&lt;3,"",J13*K13*L13)</f>
        <v/>
      </c>
      <c r="N13" s="69" t="n"/>
      <c r="O13" s="100" t="n"/>
      <c r="P13" s="101" t="n"/>
      <c r="Q13" s="102" t="n"/>
      <c r="R13" s="52" t="n"/>
      <c r="S13" s="107" t="n">
        <v>10</v>
      </c>
      <c r="T13" s="108" t="inlineStr">
        <is>
          <t>Perigoso sem aviso: Afeta a segurança das pessoas ou o meio ambiente, sem aviso prévio</t>
        </is>
      </c>
      <c r="U13" s="81" t="n"/>
      <c r="V13" s="81" t="n"/>
      <c r="W13" s="81" t="n"/>
      <c r="X13" s="108" t="inlineStr">
        <is>
          <t>Quase certa: Mais de uma vez por dia</t>
        </is>
      </c>
      <c r="Y13" s="81" t="n"/>
      <c r="Z13" s="81" t="n"/>
      <c r="AA13" s="81" t="n"/>
      <c r="AB13" s="109" t="inlineStr">
        <is>
          <t>Quase impossível: Não há controle que detecte a falha</t>
        </is>
      </c>
      <c r="AC13" s="81" t="n"/>
      <c r="AD13" s="81" t="n"/>
      <c r="AE13" s="82" t="n"/>
    </row>
    <row r="14" ht="32" customHeight="1">
      <c r="A14" s="68" t="n">
        <v>7</v>
      </c>
      <c r="B14" s="69" t="n"/>
      <c r="C14" s="70">
        <f>IF(B14="","",IFERROR(INDEX(tb_pcm_ativos[descricao_ativo],MATCH(B14,tb_pcm_ativos[tag],0)),"fora do cadastro"))</f>
        <v/>
      </c>
      <c r="D14" s="99">
        <f>IF(B14="","",IFERROR(INDEX(Criticidade!$J$8:$J$27,MATCH(B14,Criticidade!$B$8:$B$27,0)),"?"))</f>
        <v/>
      </c>
      <c r="E14" s="100" t="n"/>
      <c r="F14" s="100" t="n"/>
      <c r="G14" s="100" t="n"/>
      <c r="H14" s="100" t="n"/>
      <c r="I14" s="100" t="n"/>
      <c r="J14" s="71" t="n"/>
      <c r="K14" s="71" t="n"/>
      <c r="L14" s="71" t="n"/>
      <c r="M14" s="99">
        <f>IF(COUNT(J14:L14)&lt;3,"",J14*K14*L14)</f>
        <v/>
      </c>
      <c r="N14" s="69" t="n"/>
      <c r="O14" s="100" t="n"/>
      <c r="P14" s="101" t="n"/>
      <c r="Q14" s="102" t="n"/>
      <c r="R14" s="52" t="n"/>
      <c r="S14" s="107" t="n">
        <v>9</v>
      </c>
      <c r="T14" s="108" t="inlineStr">
        <is>
          <t>Perigoso com aviso: Afeta a segurança das pessoas ou o meio ambiente, com aviso prévio</t>
        </is>
      </c>
      <c r="U14" s="81" t="n"/>
      <c r="V14" s="81" t="n"/>
      <c r="W14" s="81" t="n"/>
      <c r="X14" s="108" t="inlineStr">
        <is>
          <t>Muito alta: A cada 3 ou 4 dias</t>
        </is>
      </c>
      <c r="Y14" s="81" t="n"/>
      <c r="Z14" s="81" t="n"/>
      <c r="AA14" s="81" t="n"/>
      <c r="AB14" s="109" t="inlineStr">
        <is>
          <t>Muito remota: Só se percebe depois que a falha acontece</t>
        </is>
      </c>
      <c r="AC14" s="81" t="n"/>
      <c r="AD14" s="81" t="n"/>
      <c r="AE14" s="82" t="n"/>
    </row>
    <row r="15" ht="32" customHeight="1">
      <c r="A15" s="68" t="n">
        <v>8</v>
      </c>
      <c r="B15" s="69" t="n"/>
      <c r="C15" s="70">
        <f>IF(B15="","",IFERROR(INDEX(tb_pcm_ativos[descricao_ativo],MATCH(B15,tb_pcm_ativos[tag],0)),"fora do cadastro"))</f>
        <v/>
      </c>
      <c r="D15" s="99">
        <f>IF(B15="","",IFERROR(INDEX(Criticidade!$J$8:$J$27,MATCH(B15,Criticidade!$B$8:$B$27,0)),"?"))</f>
        <v/>
      </c>
      <c r="E15" s="100" t="n"/>
      <c r="F15" s="100" t="n"/>
      <c r="G15" s="100" t="n"/>
      <c r="H15" s="100" t="n"/>
      <c r="I15" s="100" t="n"/>
      <c r="J15" s="71" t="n"/>
      <c r="K15" s="71" t="n"/>
      <c r="L15" s="71" t="n"/>
      <c r="M15" s="99">
        <f>IF(COUNT(J15:L15)&lt;3,"",J15*K15*L15)</f>
        <v/>
      </c>
      <c r="N15" s="69" t="n"/>
      <c r="O15" s="100" t="n"/>
      <c r="P15" s="101" t="n"/>
      <c r="Q15" s="102" t="n"/>
      <c r="R15" s="52" t="n"/>
      <c r="S15" s="110" t="n">
        <v>8</v>
      </c>
      <c r="T15" s="108" t="inlineStr">
        <is>
          <t>Muito alto: Para a linha por mais de 8 h ou perde todo o lote</t>
        </is>
      </c>
      <c r="U15" s="81" t="n"/>
      <c r="V15" s="81" t="n"/>
      <c r="W15" s="81" t="n"/>
      <c r="X15" s="108" t="inlineStr">
        <is>
          <t>Alta: Uma vez por semana</t>
        </is>
      </c>
      <c r="Y15" s="81" t="n"/>
      <c r="Z15" s="81" t="n"/>
      <c r="AA15" s="81" t="n"/>
      <c r="AB15" s="109" t="inlineStr">
        <is>
          <t>Remota: Inspeção visual eventual, sem rotina</t>
        </is>
      </c>
      <c r="AC15" s="81" t="n"/>
      <c r="AD15" s="81" t="n"/>
      <c r="AE15" s="82" t="n"/>
    </row>
    <row r="16" ht="32" customHeight="1">
      <c r="A16" s="68" t="n">
        <v>9</v>
      </c>
      <c r="B16" s="69" t="n"/>
      <c r="C16" s="70">
        <f>IF(B16="","",IFERROR(INDEX(tb_pcm_ativos[descricao_ativo],MATCH(B16,tb_pcm_ativos[tag],0)),"fora do cadastro"))</f>
        <v/>
      </c>
      <c r="D16" s="99">
        <f>IF(B16="","",IFERROR(INDEX(Criticidade!$J$8:$J$27,MATCH(B16,Criticidade!$B$8:$B$27,0)),"?"))</f>
        <v/>
      </c>
      <c r="E16" s="100" t="n"/>
      <c r="F16" s="100" t="n"/>
      <c r="G16" s="100" t="n"/>
      <c r="H16" s="100" t="n"/>
      <c r="I16" s="100" t="n"/>
      <c r="J16" s="71" t="n"/>
      <c r="K16" s="71" t="n"/>
      <c r="L16" s="71" t="n"/>
      <c r="M16" s="99">
        <f>IF(COUNT(J16:L16)&lt;3,"",J16*K16*L16)</f>
        <v/>
      </c>
      <c r="N16" s="69" t="n"/>
      <c r="O16" s="100" t="n"/>
      <c r="P16" s="101" t="n"/>
      <c r="Q16" s="102" t="n"/>
      <c r="R16" s="52" t="n"/>
      <c r="S16" s="110" t="n">
        <v>7</v>
      </c>
      <c r="T16" s="108" t="inlineStr">
        <is>
          <t>Alto: Para a linha de 2 a 8 h ou gera refugo grande</t>
        </is>
      </c>
      <c r="U16" s="81" t="n"/>
      <c r="V16" s="81" t="n"/>
      <c r="W16" s="81" t="n"/>
      <c r="X16" s="108" t="inlineStr">
        <is>
          <t>Alta: Uma vez por mês</t>
        </is>
      </c>
      <c r="Y16" s="81" t="n"/>
      <c r="Z16" s="81" t="n"/>
      <c r="AA16" s="81" t="n"/>
      <c r="AB16" s="109" t="inlineStr">
        <is>
          <t>Muito baixa: Inspeção sem padrão nem frequência definida</t>
        </is>
      </c>
      <c r="AC16" s="81" t="n"/>
      <c r="AD16" s="81" t="n"/>
      <c r="AE16" s="82" t="n"/>
    </row>
    <row r="17" ht="32" customHeight="1">
      <c r="A17" s="68" t="n">
        <v>10</v>
      </c>
      <c r="B17" s="69" t="n"/>
      <c r="C17" s="70">
        <f>IF(B17="","",IFERROR(INDEX(tb_pcm_ativos[descricao_ativo],MATCH(B17,tb_pcm_ativos[tag],0)),"fora do cadastro"))</f>
        <v/>
      </c>
      <c r="D17" s="99">
        <f>IF(B17="","",IFERROR(INDEX(Criticidade!$J$8:$J$27,MATCH(B17,Criticidade!$B$8:$B$27,0)),"?"))</f>
        <v/>
      </c>
      <c r="E17" s="100" t="n"/>
      <c r="F17" s="100" t="n"/>
      <c r="G17" s="100" t="n"/>
      <c r="H17" s="100" t="n"/>
      <c r="I17" s="100" t="n"/>
      <c r="J17" s="71" t="n"/>
      <c r="K17" s="71" t="n"/>
      <c r="L17" s="71" t="n"/>
      <c r="M17" s="99">
        <f>IF(COUNT(J17:L17)&lt;3,"",J17*K17*L17)</f>
        <v/>
      </c>
      <c r="N17" s="69" t="n"/>
      <c r="O17" s="100" t="n"/>
      <c r="P17" s="101" t="n"/>
      <c r="Q17" s="102" t="n"/>
      <c r="R17" s="52" t="n"/>
      <c r="S17" s="111" t="n">
        <v>6</v>
      </c>
      <c r="T17" s="108" t="inlineStr">
        <is>
          <t>Moderado: Para a linha por até 2 h ou gera retrabalho</t>
        </is>
      </c>
      <c r="U17" s="81" t="n"/>
      <c r="V17" s="81" t="n"/>
      <c r="W17" s="81" t="n"/>
      <c r="X17" s="108" t="inlineStr">
        <is>
          <t>Moderada: A cada 3 meses</t>
        </is>
      </c>
      <c r="Y17" s="81" t="n"/>
      <c r="Z17" s="81" t="n"/>
      <c r="AA17" s="81" t="n"/>
      <c r="AB17" s="109" t="inlineStr">
        <is>
          <t>Baixa: Inspeção sensitiva com frequência longa</t>
        </is>
      </c>
      <c r="AC17" s="81" t="n"/>
      <c r="AD17" s="81" t="n"/>
      <c r="AE17" s="82" t="n"/>
    </row>
    <row r="18" ht="32" customHeight="1">
      <c r="A18" s="68" t="n">
        <v>11</v>
      </c>
      <c r="B18" s="69" t="n"/>
      <c r="C18" s="70">
        <f>IF(B18="","",IFERROR(INDEX(tb_pcm_ativos[descricao_ativo],MATCH(B18,tb_pcm_ativos[tag],0)),"fora do cadastro"))</f>
        <v/>
      </c>
      <c r="D18" s="99">
        <f>IF(B18="","",IFERROR(INDEX(Criticidade!$J$8:$J$27,MATCH(B18,Criticidade!$B$8:$B$27,0)),"?"))</f>
        <v/>
      </c>
      <c r="E18" s="100" t="n"/>
      <c r="F18" s="100" t="n"/>
      <c r="G18" s="100" t="n"/>
      <c r="H18" s="100" t="n"/>
      <c r="I18" s="100" t="n"/>
      <c r="J18" s="71" t="n"/>
      <c r="K18" s="71" t="n"/>
      <c r="L18" s="71" t="n"/>
      <c r="M18" s="99">
        <f>IF(COUNT(J18:L18)&lt;3,"",J18*K18*L18)</f>
        <v/>
      </c>
      <c r="N18" s="69" t="n"/>
      <c r="O18" s="100" t="n"/>
      <c r="P18" s="101" t="n"/>
      <c r="Q18" s="102" t="n"/>
      <c r="R18" s="52" t="n"/>
      <c r="S18" s="111" t="n">
        <v>5</v>
      </c>
      <c r="T18" s="108" t="inlineStr">
        <is>
          <t>Baixo: Reduz a velocidade ou o desempenho do equipamento</t>
        </is>
      </c>
      <c r="U18" s="81" t="n"/>
      <c r="V18" s="81" t="n"/>
      <c r="W18" s="81" t="n"/>
      <c r="X18" s="108" t="inlineStr">
        <is>
          <t>Moderada: A cada 6 meses</t>
        </is>
      </c>
      <c r="Y18" s="81" t="n"/>
      <c r="Z18" s="81" t="n"/>
      <c r="AA18" s="81" t="n"/>
      <c r="AB18" s="109" t="inlineStr">
        <is>
          <t>Moderada: Rota de inspeção sensitiva em dia</t>
        </is>
      </c>
      <c r="AC18" s="81" t="n"/>
      <c r="AD18" s="81" t="n"/>
      <c r="AE18" s="82" t="n"/>
    </row>
    <row r="19" ht="32" customHeight="1">
      <c r="A19" s="68" t="n">
        <v>12</v>
      </c>
      <c r="B19" s="69" t="n"/>
      <c r="C19" s="70">
        <f>IF(B19="","",IFERROR(INDEX(tb_pcm_ativos[descricao_ativo],MATCH(B19,tb_pcm_ativos[tag],0)),"fora do cadastro"))</f>
        <v/>
      </c>
      <c r="D19" s="99">
        <f>IF(B19="","",IFERROR(INDEX(Criticidade!$J$8:$J$27,MATCH(B19,Criticidade!$B$8:$B$27,0)),"?"))</f>
        <v/>
      </c>
      <c r="E19" s="100" t="n"/>
      <c r="F19" s="100" t="n"/>
      <c r="G19" s="100" t="n"/>
      <c r="H19" s="100" t="n"/>
      <c r="I19" s="100" t="n"/>
      <c r="J19" s="71" t="n"/>
      <c r="K19" s="71" t="n"/>
      <c r="L19" s="71" t="n"/>
      <c r="M19" s="99">
        <f>IF(COUNT(J19:L19)&lt;3,"",J19*K19*L19)</f>
        <v/>
      </c>
      <c r="N19" s="69" t="n"/>
      <c r="O19" s="100" t="n"/>
      <c r="P19" s="101" t="n"/>
      <c r="Q19" s="102" t="n"/>
      <c r="R19" s="52" t="n"/>
      <c r="S19" s="112" t="n">
        <v>4</v>
      </c>
      <c r="T19" s="108" t="inlineStr">
        <is>
          <t>Muito baixo: Exige ajuste; a operação percebe, a produção segue</t>
        </is>
      </c>
      <c r="U19" s="81" t="n"/>
      <c r="V19" s="81" t="n"/>
      <c r="W19" s="81" t="n"/>
      <c r="X19" s="108" t="inlineStr">
        <is>
          <t>Moderada: Uma vez por ano</t>
        </is>
      </c>
      <c r="Y19" s="81" t="n"/>
      <c r="Z19" s="81" t="n"/>
      <c r="AA19" s="81" t="n"/>
      <c r="AB19" s="109" t="inlineStr">
        <is>
          <t>Moderadamente alta: Medição periódica (folga, temperatura, nível)</t>
        </is>
      </c>
      <c r="AC19" s="81" t="n"/>
      <c r="AD19" s="81" t="n"/>
      <c r="AE19" s="82" t="n"/>
    </row>
    <row r="20" ht="32" customHeight="1">
      <c r="A20" s="68" t="n">
        <v>13</v>
      </c>
      <c r="B20" s="69" t="n"/>
      <c r="C20" s="70">
        <f>IF(B20="","",IFERROR(INDEX(tb_pcm_ativos[descricao_ativo],MATCH(B20,tb_pcm_ativos[tag],0)),"fora do cadastro"))</f>
        <v/>
      </c>
      <c r="D20" s="99">
        <f>IF(B20="","",IFERROR(INDEX(Criticidade!$J$8:$J$27,MATCH(B20,Criticidade!$B$8:$B$27,0)),"?"))</f>
        <v/>
      </c>
      <c r="E20" s="100" t="n"/>
      <c r="F20" s="100" t="n"/>
      <c r="G20" s="100" t="n"/>
      <c r="H20" s="100" t="n"/>
      <c r="I20" s="100" t="n"/>
      <c r="J20" s="71" t="n"/>
      <c r="K20" s="71" t="n"/>
      <c r="L20" s="71" t="n"/>
      <c r="M20" s="99">
        <f>IF(COUNT(J20:L20)&lt;3,"",J20*K20*L20)</f>
        <v/>
      </c>
      <c r="N20" s="69" t="n"/>
      <c r="O20" s="100" t="n"/>
      <c r="P20" s="101" t="n"/>
      <c r="Q20" s="102" t="n"/>
      <c r="R20" s="52" t="n"/>
      <c r="S20" s="112" t="n">
        <v>3</v>
      </c>
      <c r="T20" s="108" t="inlineStr">
        <is>
          <t>Menor: Pequeno incômodo, sem perda de produção</t>
        </is>
      </c>
      <c r="U20" s="81" t="n"/>
      <c r="V20" s="81" t="n"/>
      <c r="W20" s="81" t="n"/>
      <c r="X20" s="108" t="inlineStr">
        <is>
          <t>Baixa: A cada 1 a 3 anos</t>
        </is>
      </c>
      <c r="Y20" s="81" t="n"/>
      <c r="Z20" s="81" t="n"/>
      <c r="AA20" s="81" t="n"/>
      <c r="AB20" s="109" t="inlineStr">
        <is>
          <t>Alta: Preditiva em dia (vibração, termografia, óleo)</t>
        </is>
      </c>
      <c r="AC20" s="81" t="n"/>
      <c r="AD20" s="81" t="n"/>
      <c r="AE20" s="82" t="n"/>
    </row>
    <row r="21" ht="32" customHeight="1">
      <c r="A21" s="68" t="n">
        <v>14</v>
      </c>
      <c r="B21" s="69" t="n"/>
      <c r="C21" s="70">
        <f>IF(B21="","",IFERROR(INDEX(tb_pcm_ativos[descricao_ativo],MATCH(B21,tb_pcm_ativos[tag],0)),"fora do cadastro"))</f>
        <v/>
      </c>
      <c r="D21" s="99">
        <f>IF(B21="","",IFERROR(INDEX(Criticidade!$J$8:$J$27,MATCH(B21,Criticidade!$B$8:$B$27,0)),"?"))</f>
        <v/>
      </c>
      <c r="E21" s="100" t="n"/>
      <c r="F21" s="100" t="n"/>
      <c r="G21" s="100" t="n"/>
      <c r="H21" s="100" t="n"/>
      <c r="I21" s="100" t="n"/>
      <c r="J21" s="71" t="n"/>
      <c r="K21" s="71" t="n"/>
      <c r="L21" s="71" t="n"/>
      <c r="M21" s="99">
        <f>IF(COUNT(J21:L21)&lt;3,"",J21*K21*L21)</f>
        <v/>
      </c>
      <c r="N21" s="69" t="n"/>
      <c r="O21" s="100" t="n"/>
      <c r="P21" s="101" t="n"/>
      <c r="Q21" s="102" t="n"/>
      <c r="R21" s="52" t="n"/>
      <c r="S21" s="113" t="n">
        <v>2</v>
      </c>
      <c r="T21" s="108" t="inlineStr">
        <is>
          <t>Muito menor: Quase imperceptível</t>
        </is>
      </c>
      <c r="U21" s="81" t="n"/>
      <c r="V21" s="81" t="n"/>
      <c r="W21" s="81" t="n"/>
      <c r="X21" s="108" t="inlineStr">
        <is>
          <t>Muito baixa: A cada 3 a 6 anos</t>
        </is>
      </c>
      <c r="Y21" s="81" t="n"/>
      <c r="Z21" s="81" t="n"/>
      <c r="AA21" s="81" t="n"/>
      <c r="AB21" s="109" t="inlineStr">
        <is>
          <t>Muito alta: Monitoramento contínuo com alarme</t>
        </is>
      </c>
      <c r="AC21" s="81" t="n"/>
      <c r="AD21" s="81" t="n"/>
      <c r="AE21" s="82" t="n"/>
    </row>
    <row r="22" ht="32" customHeight="1">
      <c r="A22" s="68" t="n">
        <v>15</v>
      </c>
      <c r="B22" s="69" t="n"/>
      <c r="C22" s="70">
        <f>IF(B22="","",IFERROR(INDEX(tb_pcm_ativos[descricao_ativo],MATCH(B22,tb_pcm_ativos[tag],0)),"fora do cadastro"))</f>
        <v/>
      </c>
      <c r="D22" s="99">
        <f>IF(B22="","",IFERROR(INDEX(Criticidade!$J$8:$J$27,MATCH(B22,Criticidade!$B$8:$B$27,0)),"?"))</f>
        <v/>
      </c>
      <c r="E22" s="100" t="n"/>
      <c r="F22" s="100" t="n"/>
      <c r="G22" s="100" t="n"/>
      <c r="H22" s="100" t="n"/>
      <c r="I22" s="100" t="n"/>
      <c r="J22" s="71" t="n"/>
      <c r="K22" s="71" t="n"/>
      <c r="L22" s="71" t="n"/>
      <c r="M22" s="99">
        <f>IF(COUNT(J22:L22)&lt;3,"",J22*K22*L22)</f>
        <v/>
      </c>
      <c r="N22" s="69" t="n"/>
      <c r="O22" s="100" t="n"/>
      <c r="P22" s="101" t="n"/>
      <c r="Q22" s="102" t="n"/>
      <c r="R22" s="52" t="n"/>
      <c r="S22" s="113" t="n">
        <v>1</v>
      </c>
      <c r="T22" s="108" t="inlineStr">
        <is>
          <t>Nenhum: Sem efeito</t>
        </is>
      </c>
      <c r="U22" s="81" t="n"/>
      <c r="V22" s="81" t="n"/>
      <c r="W22" s="81" t="n"/>
      <c r="X22" s="108" t="inlineStr">
        <is>
          <t>Remota: Mais de 6 anos ou nunca ocorreu</t>
        </is>
      </c>
      <c r="Y22" s="81" t="n"/>
      <c r="Z22" s="81" t="n"/>
      <c r="AA22" s="81" t="n"/>
      <c r="AB22" s="109" t="inlineStr">
        <is>
          <t>Quase certa: Intertravamento ou sensor que para a máquina antes do dano</t>
        </is>
      </c>
      <c r="AC22" s="81" t="n"/>
      <c r="AD22" s="81" t="n"/>
      <c r="AE22" s="82" t="n"/>
    </row>
    <row r="23" ht="18" customHeight="1">
      <c r="A23" s="96" t="inlineStr">
        <is>
          <r>
            <rPr>
              <rFont val="Arial"/>
              <b val="1"/>
              <color rgb="006B7686"/>
              <sz val="8"/>
            </rPr>
            <t xml:space="preserve">NPR = S × O × D (notas no quadro 6).   NPR:      </t>
          </r>
          <r>
            <rPr>
              <rFont val="Arial"/>
              <b val="1"/>
              <color rgb="00B3261E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Alto: 200 ou mais, ou S 9–10      </t>
          </r>
          <r>
            <rPr>
              <rFont val="Arial"/>
              <b val="1"/>
              <color rgb="00E0A100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Médio: 100 a 199      </t>
          </r>
          <r>
            <rPr>
              <rFont val="Arial"/>
              <b val="1"/>
              <color rgb="001E7A46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Baixo: menos de 100      </t>
          </r>
        </is>
      </c>
      <c r="R23" s="52" t="n"/>
      <c r="S23" s="87" t="inlineStr">
        <is>
          <t>Dê as notas pelo pior caso crível; revise quando o processo ou os controles mudarem.</t>
        </is>
      </c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2" t="n"/>
    </row>
  </sheetData>
  <mergeCells count="63">
    <mergeCell ref="Z7:AE7"/>
    <mergeCell ref="S7:X7"/>
    <mergeCell ref="AB17:AE17"/>
    <mergeCell ref="T16:W16"/>
    <mergeCell ref="Z3:AE3"/>
    <mergeCell ref="N6:Q6"/>
    <mergeCell ref="AB19:AE19"/>
    <mergeCell ref="T18:W18"/>
    <mergeCell ref="T10:X10"/>
    <mergeCell ref="X21:AA21"/>
    <mergeCell ref="X20:AA20"/>
    <mergeCell ref="T15:W15"/>
    <mergeCell ref="Z4:AE4"/>
    <mergeCell ref="T9:X9"/>
    <mergeCell ref="AB20:AE20"/>
    <mergeCell ref="AB14:AE14"/>
    <mergeCell ref="X13:AA13"/>
    <mergeCell ref="X16:AA16"/>
    <mergeCell ref="A1:E2"/>
    <mergeCell ref="AB16:AE16"/>
    <mergeCell ref="F4:Q4"/>
    <mergeCell ref="X18:AA18"/>
    <mergeCell ref="S23:AE23"/>
    <mergeCell ref="B5:C5"/>
    <mergeCell ref="T12:W12"/>
    <mergeCell ref="AB21:AE21"/>
    <mergeCell ref="N1:Q1"/>
    <mergeCell ref="T21:W21"/>
    <mergeCell ref="A6:I6"/>
    <mergeCell ref="X15:AA15"/>
    <mergeCell ref="AA8:AE8"/>
    <mergeCell ref="T17:W17"/>
    <mergeCell ref="AB13:AE13"/>
    <mergeCell ref="T22:W22"/>
    <mergeCell ref="T13:W13"/>
    <mergeCell ref="AA10:AE10"/>
    <mergeCell ref="T19:W19"/>
    <mergeCell ref="X22:AA22"/>
    <mergeCell ref="AA9:AE9"/>
    <mergeCell ref="AB18:AE18"/>
    <mergeCell ref="S6:X6"/>
    <mergeCell ref="X12:AA12"/>
    <mergeCell ref="AB15:AE15"/>
    <mergeCell ref="T20:W20"/>
    <mergeCell ref="T14:W14"/>
    <mergeCell ref="A3:E3"/>
    <mergeCell ref="F2:M2"/>
    <mergeCell ref="X17:AA17"/>
    <mergeCell ref="S4:X4"/>
    <mergeCell ref="J6:M6"/>
    <mergeCell ref="S11:AE11"/>
    <mergeCell ref="N2:Q2"/>
    <mergeCell ref="T8:X8"/>
    <mergeCell ref="X19:AA19"/>
    <mergeCell ref="Z6:AE6"/>
    <mergeCell ref="A23:Q23"/>
    <mergeCell ref="A4:E4"/>
    <mergeCell ref="AB22:AE22"/>
    <mergeCell ref="AB12:AE12"/>
    <mergeCell ref="S3:X3"/>
    <mergeCell ref="F1:M1"/>
    <mergeCell ref="F3:Q3"/>
    <mergeCell ref="X14:AA14"/>
  </mergeCells>
  <conditionalFormatting sqref="Z4">
    <cfRule type="expression" priority="1" dxfId="4" stopIfTrue="1">
      <formula>AND(ISNUMBER($Z$4),$Z$4&gt;=200)</formula>
    </cfRule>
    <cfRule type="expression" priority="2" dxfId="2" stopIfTrue="1">
      <formula>AND(ISNUMBER($Z$4),$Z$4&gt;=100)</formula>
    </cfRule>
    <cfRule type="expression" priority="3" dxfId="0" stopIfTrue="1">
      <formula>ISNUMBER($Z$4)</formula>
    </cfRule>
  </conditionalFormatting>
  <conditionalFormatting sqref="S4">
    <cfRule type="expression" priority="4" dxfId="4" stopIfTrue="1">
      <formula>AND(ISNUMBER($S$4),$S$4&gt;0)</formula>
    </cfRule>
  </conditionalFormatting>
  <conditionalFormatting sqref="M8:M22">
    <cfRule type="expression" priority="5" dxfId="4" stopIfTrue="1">
      <formula>AND(ISNUMBER(M8),OR(M8&gt;=200,J8&gt;=9))</formula>
    </cfRule>
    <cfRule type="expression" priority="6" dxfId="2" stopIfTrue="1">
      <formula>AND(ISNUMBER(M8),M8&gt;=100)</formula>
    </cfRule>
    <cfRule type="expression" priority="7" dxfId="0" stopIfTrue="1">
      <formula>ISNUMBER(M8)</formula>
    </cfRule>
  </conditionalFormatting>
  <conditionalFormatting sqref="D8:D22">
    <cfRule type="expression" priority="8" dxfId="3" stopIfTrue="1">
      <formula>D8="A"</formula>
    </cfRule>
    <cfRule type="expression" priority="9" dxfId="2" stopIfTrue="1">
      <formula>D8="B"</formula>
    </cfRule>
    <cfRule type="expression" priority="10" dxfId="5" stopIfTrue="1">
      <formula>D8="C"</formula>
    </cfRule>
  </conditionalFormatting>
  <dataValidations count="8">
    <dataValidation sqref="A4" showDropDown="0" showInputMessage="0" showErrorMessage="1" allowBlank="1" errorTitle="Valor fora da lista" error="Escolha um item da lista." type="list" errorStyle="stop">
      <formula1>L_SETORES</formula1>
    </dataValidation>
    <dataValidation sqref="B8:B22" showDropDown="0" showInputMessage="0" showErrorMessage="1" allowBlank="1" errorTitle="Valor fora da lista" error="Escolha um item da lista." type="list" errorStyle="stop">
      <formula1>L_TAGS</formula1>
    </dataValidation>
    <dataValidation sqref="J8:J22" showDropDown="0" showInputMessage="1" showErrorMessage="1" allowBlank="1" errorTitle="Valor fora da lista" error="Escolha um item da lista." promptTitle="S  Severidade do efeito" prompt="10 = Perigoso sem aviso: Afeta a segurança das pessoas ou o meio ambiente&#10;7 = Alto: Para a linha de 2 a 8 h ou gera refugo grande&#10;4 = Muito baixo: Exige ajuste; a operação percebe, a produção seg&#10;1 = Nenhum: Sem efeito" type="list" errorStyle="stop">
      <formula1>"1,2,3,4,5,6,7,8,9,10"</formula1>
    </dataValidation>
    <dataValidation sqref="K8:K22" showDropDown="0" showInputMessage="1" showErrorMessage="1" allowBlank="1" errorTitle="Valor fora da lista" error="Escolha um item da lista." promptTitle="O  Ocorrência da causa" prompt="10 = Quase certa: Mais de uma vez por dia&#10;7 = Alta: Uma vez por mês&#10;4 = Moderada: Uma vez por ano&#10;1 = Remota: Mais de 6 anos ou nunca ocorreu" type="list" errorStyle="stop">
      <formula1>"1,2,3,4,5,6,7,8,9,10"</formula1>
    </dataValidation>
    <dataValidation sqref="L8:L22" showDropDown="0" showInputMessage="1" showErrorMessage="1" allowBlank="1" errorTitle="Valor fora da lista" error="Escolha um item da lista." promptTitle="D  Detecção (alta = difícil)" prompt="10 = Quase impossível: Não há controle que detecte a falha&#10;7 = Muito baixa: Inspeção sem padrão nem frequência definida&#10;4 = Moderadamente alta: Medição periódica (folga, temperatura, nível)&#10;1 = Quase certa: Intertravamento ou sensor que para a máquina ant" type="list" errorStyle="stop">
      <formula1>"1,2,3,4,5,6,7,8,9,10"</formula1>
    </dataValidation>
    <dataValidation sqref="O8:O22" showDropDown="0" showInputMessage="0" showErrorMessage="1" allowBlank="1" errorTitle="Valor fora da lista" error="Escolha um item da lista." type="list" errorStyle="stop">
      <formula1>"Inspeção,Preventiva,Preditiva,Lubrificação,Troca programada,Operar até falhar"</formula1>
    </dataValidation>
    <dataValidation sqref="P8:P22" showDropDown="0" showInputMessage="0" showErrorMessage="1" allowBlank="1" errorTitle="Número inválido" error="Digite um número inteiro de 1 a 3650." type="whole" errorStyle="stop" operator="between">
      <formula1>1</formula1>
      <formula2>3650</formula2>
    </dataValidation>
    <dataValidation sqref="Q8:Q22" showDropDown="0" showInputMessage="0" showErrorMessage="1" allowBlank="1" errorTitle="Valor fora da lista" error="Escolha um item da lista." type="list" errorStyle="stop">
      <formula1>L_PESSOAS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&amp;K4A5668PCM-MAN-002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M31"/>
  <sheetViews>
    <sheetView showGridLines="0" tabSelected="0" zoomScale="90" workbookViewId="0">
      <pane ySplit="4" topLeftCell="A5" activePane="bottomLeft" state="frozen"/>
      <selection pane="bottomLeft" activeCell="B5" sqref="B5"/>
    </sheetView>
  </sheetViews>
  <sheetFormatPr baseColWidth="8" defaultRowHeight="15"/>
  <cols>
    <col width="4" customWidth="1" min="1" max="1"/>
    <col width="11" customWidth="1" min="2" max="2"/>
    <col width="18" customWidth="1" min="3" max="3"/>
    <col width="14" customWidth="1" min="4" max="4"/>
    <col width="34" customWidth="1" min="5" max="5"/>
    <col width="14" customWidth="1" min="6" max="6"/>
    <col width="7" customWidth="1" min="7" max="7"/>
    <col width="13" customWidth="1" min="8" max="8"/>
    <col width="14" customWidth="1" min="9" max="9"/>
    <col width="8" customWidth="1" min="10" max="10"/>
    <col width="8" customWidth="1" min="11" max="11"/>
    <col width="11" customWidth="1" min="12" max="12"/>
    <col width="11" customWidth="1" min="13" max="13"/>
  </cols>
  <sheetData>
    <row r="1" ht="30.75" customHeight="1">
      <c r="A1" s="39" t="n"/>
      <c r="B1" s="40" t="n"/>
      <c r="C1" s="40" t="n"/>
      <c r="D1" s="41" t="n"/>
      <c r="E1" s="114" t="inlineStr">
        <is>
          <t>Plano</t>
        </is>
      </c>
      <c r="F1" s="40" t="n"/>
      <c r="G1" s="40" t="n"/>
      <c r="H1" s="40" t="n"/>
      <c r="I1" s="41" t="n"/>
      <c r="J1" s="115">
        <f>"Rev. "&amp;'Leia-me'!$D$15&amp;"   ·   "&amp;'Leia-me'!$D$16</f>
        <v/>
      </c>
      <c r="K1" s="40" t="n"/>
      <c r="L1" s="40" t="n"/>
      <c r="M1" s="41" t="n"/>
    </row>
    <row r="2" ht="31" customHeight="1">
      <c r="A2" s="44" t="n"/>
      <c r="B2" s="45" t="n"/>
      <c r="C2" s="45" t="n"/>
      <c r="D2" s="46" t="n"/>
      <c r="E2" s="47" t="inlineStr">
        <is>
          <t>Objetivo: Atividades da MFMEA e outras: duração, parada, 1ª execução e próxima data</t>
        </is>
      </c>
      <c r="F2" s="45" t="n"/>
      <c r="G2" s="45" t="n"/>
      <c r="H2" s="45" t="n"/>
      <c r="I2" s="46" t="n"/>
      <c r="J2" s="47">
        <f>"Elaborado: "&amp;'Leia-me'!$D$13&amp;"   ·   Aprovado: "&amp;'Leia-me'!$D$14</f>
        <v/>
      </c>
      <c r="K2" s="45" t="n"/>
      <c r="L2" s="45" t="n"/>
      <c r="M2" s="46" t="n"/>
    </row>
    <row r="3" ht="20" customHeight="1">
      <c r="A3" s="116" t="inlineStr">
        <is>
          <t>1  Atividade: as linhas cinza vêm sozinhas da MFMEA; as de baixo, digite</t>
        </is>
      </c>
      <c r="B3" s="49" t="n"/>
      <c r="C3" s="49" t="n"/>
      <c r="D3" s="49" t="n"/>
      <c r="E3" s="49" t="n"/>
      <c r="F3" s="49" t="n"/>
      <c r="G3" s="49" t="n"/>
      <c r="H3" s="49" t="n"/>
      <c r="I3" s="49" t="n"/>
      <c r="J3" s="117" t="inlineStr">
        <is>
          <t>2  Programação (preencha)</t>
        </is>
      </c>
      <c r="K3" s="49" t="n"/>
      <c r="L3" s="49" t="n"/>
      <c r="M3" s="51" t="n"/>
    </row>
    <row r="4" ht="30" customHeight="1">
      <c r="A4" s="62" t="inlineStr">
        <is>
          <t>Nº</t>
        </is>
      </c>
      <c r="B4" s="63" t="inlineStr">
        <is>
          <t>TAG ▼</t>
        </is>
      </c>
      <c r="C4" s="63" t="inlineStr">
        <is>
          <t>Equipamento</t>
        </is>
      </c>
      <c r="D4" s="63" t="inlineStr">
        <is>
          <t>Componente</t>
        </is>
      </c>
      <c r="E4" s="63" t="inlineStr">
        <is>
          <t>Atividade</t>
        </is>
      </c>
      <c r="F4" s="63" t="inlineStr">
        <is>
          <t>Tipo ▼</t>
        </is>
      </c>
      <c r="G4" s="63" t="inlineStr">
        <is>
          <t>A cada (dias)</t>
        </is>
      </c>
      <c r="H4" s="63" t="inlineStr">
        <is>
          <t>Periodicidade ▼</t>
        </is>
      </c>
      <c r="I4" s="63" t="inlineStr">
        <is>
          <t>Responsável ▼</t>
        </is>
      </c>
      <c r="J4" s="63" t="inlineStr">
        <is>
          <t>Duração (h)</t>
        </is>
      </c>
      <c r="K4" s="63" t="inlineStr">
        <is>
          <t>Exige parada ▼</t>
        </is>
      </c>
      <c r="L4" s="63" t="inlineStr">
        <is>
          <t>1ª execução</t>
        </is>
      </c>
      <c r="M4" s="64" t="inlineStr">
        <is>
          <t>Próxima</t>
        </is>
      </c>
    </row>
    <row r="5" ht="22" customHeight="1">
      <c r="A5" s="118" t="n">
        <v>1</v>
      </c>
      <c r="B5" s="119">
        <f>IF(MFMEA!$N$8="","",IF(MFMEA!B8="","",MFMEA!B8))</f>
        <v/>
      </c>
      <c r="C5" s="70">
        <f>IF(B5="","",IFERROR(INDEX(tb_pcm_ativos[descricao_ativo],MATCH(B5,tb_pcm_ativos[tag],0)),"fora do cadastro"))</f>
        <v/>
      </c>
      <c r="D5" s="120">
        <f>IF(MFMEA!$N$8="","",IF(MFMEA!E8="","",MFMEA!E8))</f>
        <v/>
      </c>
      <c r="E5" s="120">
        <f>IF(MFMEA!$N$8="","",IF(MFMEA!N8="","",MFMEA!N8))</f>
        <v/>
      </c>
      <c r="F5" s="120">
        <f>IF(MFMEA!$N$8="","",IF(MFMEA!O8="","",MFMEA!O8))</f>
        <v/>
      </c>
      <c r="G5" s="121">
        <f>IF(MFMEA!$N$8="","",IF(MFMEA!$P$8="",IF(H5="","",IF(H5="Diária",1,IF(H5="Semanal",7,IF(H5="Quinzenal",14,IF(H5="Mensal",30,IF(H5="Bimestral",60,IF(H5="Trimestral",90,IF(H5="Semestral",180,IF(H5="Anual",365,""))))))))),MFMEA!$P$8))</f>
        <v/>
      </c>
      <c r="H5" s="100" t="n"/>
      <c r="I5" s="120">
        <f>IF(MFMEA!$N$8="","",IF(MFMEA!Q8="","",MFMEA!Q8))</f>
        <v/>
      </c>
      <c r="J5" s="122" t="n"/>
      <c r="K5" s="101" t="n"/>
      <c r="L5" s="123" t="n"/>
      <c r="M5" s="124">
        <f>IF(OR(L5="",G5="",G5=0),"",IF(L5&gt;=TODAY(),L5,L5+G5*ROUNDUP((TODAY()-L5)/G5,0)))</f>
        <v/>
      </c>
    </row>
    <row r="6" ht="22" customHeight="1">
      <c r="A6" s="118" t="n">
        <v>2</v>
      </c>
      <c r="B6" s="119">
        <f>IF(MFMEA!$N$9="","",IF(MFMEA!B9="","",MFMEA!B9))</f>
        <v/>
      </c>
      <c r="C6" s="70">
        <f>IF(B6="","",IFERROR(INDEX(tb_pcm_ativos[descricao_ativo],MATCH(B6,tb_pcm_ativos[tag],0)),"fora do cadastro"))</f>
        <v/>
      </c>
      <c r="D6" s="120">
        <f>IF(MFMEA!$N$9="","",IF(MFMEA!E9="","",MFMEA!E9))</f>
        <v/>
      </c>
      <c r="E6" s="120">
        <f>IF(MFMEA!$N$9="","",IF(MFMEA!N9="","",MFMEA!N9))</f>
        <v/>
      </c>
      <c r="F6" s="120">
        <f>IF(MFMEA!$N$9="","",IF(MFMEA!O9="","",MFMEA!O9))</f>
        <v/>
      </c>
      <c r="G6" s="121">
        <f>IF(MFMEA!$N$9="","",IF(MFMEA!$P$9="",IF(H6="","",IF(H6="Diária",1,IF(H6="Semanal",7,IF(H6="Quinzenal",14,IF(H6="Mensal",30,IF(H6="Bimestral",60,IF(H6="Trimestral",90,IF(H6="Semestral",180,IF(H6="Anual",365,""))))))))),MFMEA!$P$9))</f>
        <v/>
      </c>
      <c r="H6" s="100" t="n"/>
      <c r="I6" s="120">
        <f>IF(MFMEA!$N$9="","",IF(MFMEA!Q9="","",MFMEA!Q9))</f>
        <v/>
      </c>
      <c r="J6" s="122" t="n"/>
      <c r="K6" s="101" t="n"/>
      <c r="L6" s="123" t="n"/>
      <c r="M6" s="124">
        <f>IF(OR(L6="",G6="",G6=0),"",IF(L6&gt;=TODAY(),L6,L6+G6*ROUNDUP((TODAY()-L6)/G6,0)))</f>
        <v/>
      </c>
    </row>
    <row r="7" ht="22" customHeight="1">
      <c r="A7" s="118" t="n">
        <v>3</v>
      </c>
      <c r="B7" s="119">
        <f>IF(MFMEA!$N$10="","",IF(MFMEA!B10="","",MFMEA!B10))</f>
        <v/>
      </c>
      <c r="C7" s="70">
        <f>IF(B7="","",IFERROR(INDEX(tb_pcm_ativos[descricao_ativo],MATCH(B7,tb_pcm_ativos[tag],0)),"fora do cadastro"))</f>
        <v/>
      </c>
      <c r="D7" s="120">
        <f>IF(MFMEA!$N$10="","",IF(MFMEA!E10="","",MFMEA!E10))</f>
        <v/>
      </c>
      <c r="E7" s="120">
        <f>IF(MFMEA!$N$10="","",IF(MFMEA!N10="","",MFMEA!N10))</f>
        <v/>
      </c>
      <c r="F7" s="120">
        <f>IF(MFMEA!$N$10="","",IF(MFMEA!O10="","",MFMEA!O10))</f>
        <v/>
      </c>
      <c r="G7" s="121">
        <f>IF(MFMEA!$N$10="","",IF(MFMEA!$P$10="",IF(H7="","",IF(H7="Diária",1,IF(H7="Semanal",7,IF(H7="Quinzenal",14,IF(H7="Mensal",30,IF(H7="Bimestral",60,IF(H7="Trimestral",90,IF(H7="Semestral",180,IF(H7="Anual",365,""))))))))),MFMEA!$P$10))</f>
        <v/>
      </c>
      <c r="H7" s="100" t="n"/>
      <c r="I7" s="120">
        <f>IF(MFMEA!$N$10="","",IF(MFMEA!Q10="","",MFMEA!Q10))</f>
        <v/>
      </c>
      <c r="J7" s="122" t="n"/>
      <c r="K7" s="101" t="n"/>
      <c r="L7" s="123" t="n"/>
      <c r="M7" s="124">
        <f>IF(OR(L7="",G7="",G7=0),"",IF(L7&gt;=TODAY(),L7,L7+G7*ROUNDUP((TODAY()-L7)/G7,0)))</f>
        <v/>
      </c>
    </row>
    <row r="8" ht="22" customHeight="1">
      <c r="A8" s="118" t="n">
        <v>4</v>
      </c>
      <c r="B8" s="119">
        <f>IF(MFMEA!$N$11="","",IF(MFMEA!B11="","",MFMEA!B11))</f>
        <v/>
      </c>
      <c r="C8" s="70">
        <f>IF(B8="","",IFERROR(INDEX(tb_pcm_ativos[descricao_ativo],MATCH(B8,tb_pcm_ativos[tag],0)),"fora do cadastro"))</f>
        <v/>
      </c>
      <c r="D8" s="120">
        <f>IF(MFMEA!$N$11="","",IF(MFMEA!E11="","",MFMEA!E11))</f>
        <v/>
      </c>
      <c r="E8" s="120">
        <f>IF(MFMEA!$N$11="","",IF(MFMEA!N11="","",MFMEA!N11))</f>
        <v/>
      </c>
      <c r="F8" s="120">
        <f>IF(MFMEA!$N$11="","",IF(MFMEA!O11="","",MFMEA!O11))</f>
        <v/>
      </c>
      <c r="G8" s="121">
        <f>IF(MFMEA!$N$11="","",IF(MFMEA!$P$11="",IF(H8="","",IF(H8="Diária",1,IF(H8="Semanal",7,IF(H8="Quinzenal",14,IF(H8="Mensal",30,IF(H8="Bimestral",60,IF(H8="Trimestral",90,IF(H8="Semestral",180,IF(H8="Anual",365,""))))))))),MFMEA!$P$11))</f>
        <v/>
      </c>
      <c r="H8" s="100" t="n"/>
      <c r="I8" s="120">
        <f>IF(MFMEA!$N$11="","",IF(MFMEA!Q11="","",MFMEA!Q11))</f>
        <v/>
      </c>
      <c r="J8" s="122" t="n"/>
      <c r="K8" s="101" t="n"/>
      <c r="L8" s="123" t="n"/>
      <c r="M8" s="124">
        <f>IF(OR(L8="",G8="",G8=0),"",IF(L8&gt;=TODAY(),L8,L8+G8*ROUNDUP((TODAY()-L8)/G8,0)))</f>
        <v/>
      </c>
    </row>
    <row r="9" ht="22" customHeight="1">
      <c r="A9" s="118" t="n">
        <v>5</v>
      </c>
      <c r="B9" s="119">
        <f>IF(MFMEA!$N$12="","",IF(MFMEA!B12="","",MFMEA!B12))</f>
        <v/>
      </c>
      <c r="C9" s="70">
        <f>IF(B9="","",IFERROR(INDEX(tb_pcm_ativos[descricao_ativo],MATCH(B9,tb_pcm_ativos[tag],0)),"fora do cadastro"))</f>
        <v/>
      </c>
      <c r="D9" s="120">
        <f>IF(MFMEA!$N$12="","",IF(MFMEA!E12="","",MFMEA!E12))</f>
        <v/>
      </c>
      <c r="E9" s="120">
        <f>IF(MFMEA!$N$12="","",IF(MFMEA!N12="","",MFMEA!N12))</f>
        <v/>
      </c>
      <c r="F9" s="120">
        <f>IF(MFMEA!$N$12="","",IF(MFMEA!O12="","",MFMEA!O12))</f>
        <v/>
      </c>
      <c r="G9" s="121">
        <f>IF(MFMEA!$N$12="","",IF(MFMEA!$P$12="",IF(H9="","",IF(H9="Diária",1,IF(H9="Semanal",7,IF(H9="Quinzenal",14,IF(H9="Mensal",30,IF(H9="Bimestral",60,IF(H9="Trimestral",90,IF(H9="Semestral",180,IF(H9="Anual",365,""))))))))),MFMEA!$P$12))</f>
        <v/>
      </c>
      <c r="H9" s="100" t="n"/>
      <c r="I9" s="120">
        <f>IF(MFMEA!$N$12="","",IF(MFMEA!Q12="","",MFMEA!Q12))</f>
        <v/>
      </c>
      <c r="J9" s="122" t="n"/>
      <c r="K9" s="101" t="n"/>
      <c r="L9" s="123" t="n"/>
      <c r="M9" s="124">
        <f>IF(OR(L9="",G9="",G9=0),"",IF(L9&gt;=TODAY(),L9,L9+G9*ROUNDUP((TODAY()-L9)/G9,0)))</f>
        <v/>
      </c>
    </row>
    <row r="10" ht="22" customHeight="1">
      <c r="A10" s="118" t="n">
        <v>6</v>
      </c>
      <c r="B10" s="119">
        <f>IF(MFMEA!$N$13="","",IF(MFMEA!B13="","",MFMEA!B13))</f>
        <v/>
      </c>
      <c r="C10" s="70">
        <f>IF(B10="","",IFERROR(INDEX(tb_pcm_ativos[descricao_ativo],MATCH(B10,tb_pcm_ativos[tag],0)),"fora do cadastro"))</f>
        <v/>
      </c>
      <c r="D10" s="120">
        <f>IF(MFMEA!$N$13="","",IF(MFMEA!E13="","",MFMEA!E13))</f>
        <v/>
      </c>
      <c r="E10" s="120">
        <f>IF(MFMEA!$N$13="","",IF(MFMEA!N13="","",MFMEA!N13))</f>
        <v/>
      </c>
      <c r="F10" s="120">
        <f>IF(MFMEA!$N$13="","",IF(MFMEA!O13="","",MFMEA!O13))</f>
        <v/>
      </c>
      <c r="G10" s="121">
        <f>IF(MFMEA!$N$13="","",IF(MFMEA!$P$13="",IF(H10="","",IF(H10="Diária",1,IF(H10="Semanal",7,IF(H10="Quinzenal",14,IF(H10="Mensal",30,IF(H10="Bimestral",60,IF(H10="Trimestral",90,IF(H10="Semestral",180,IF(H10="Anual",365,""))))))))),MFMEA!$P$13))</f>
        <v/>
      </c>
      <c r="H10" s="100" t="n"/>
      <c r="I10" s="120">
        <f>IF(MFMEA!$N$13="","",IF(MFMEA!Q13="","",MFMEA!Q13))</f>
        <v/>
      </c>
      <c r="J10" s="122" t="n"/>
      <c r="K10" s="101" t="n"/>
      <c r="L10" s="123" t="n"/>
      <c r="M10" s="124">
        <f>IF(OR(L10="",G10="",G10=0),"",IF(L10&gt;=TODAY(),L10,L10+G10*ROUNDUP((TODAY()-L10)/G10,0)))</f>
        <v/>
      </c>
    </row>
    <row r="11" ht="22" customHeight="1">
      <c r="A11" s="118" t="n">
        <v>7</v>
      </c>
      <c r="B11" s="119">
        <f>IF(MFMEA!$N$14="","",IF(MFMEA!B14="","",MFMEA!B14))</f>
        <v/>
      </c>
      <c r="C11" s="70">
        <f>IF(B11="","",IFERROR(INDEX(tb_pcm_ativos[descricao_ativo],MATCH(B11,tb_pcm_ativos[tag],0)),"fora do cadastro"))</f>
        <v/>
      </c>
      <c r="D11" s="120">
        <f>IF(MFMEA!$N$14="","",IF(MFMEA!E14="","",MFMEA!E14))</f>
        <v/>
      </c>
      <c r="E11" s="120">
        <f>IF(MFMEA!$N$14="","",IF(MFMEA!N14="","",MFMEA!N14))</f>
        <v/>
      </c>
      <c r="F11" s="120">
        <f>IF(MFMEA!$N$14="","",IF(MFMEA!O14="","",MFMEA!O14))</f>
        <v/>
      </c>
      <c r="G11" s="121">
        <f>IF(MFMEA!$N$14="","",IF(MFMEA!$P$14="",IF(H11="","",IF(H11="Diária",1,IF(H11="Semanal",7,IF(H11="Quinzenal",14,IF(H11="Mensal",30,IF(H11="Bimestral",60,IF(H11="Trimestral",90,IF(H11="Semestral",180,IF(H11="Anual",365,""))))))))),MFMEA!$P$14))</f>
        <v/>
      </c>
      <c r="H11" s="100" t="n"/>
      <c r="I11" s="120">
        <f>IF(MFMEA!$N$14="","",IF(MFMEA!Q14="","",MFMEA!Q14))</f>
        <v/>
      </c>
      <c r="J11" s="122" t="n"/>
      <c r="K11" s="101" t="n"/>
      <c r="L11" s="123" t="n"/>
      <c r="M11" s="124">
        <f>IF(OR(L11="",G11="",G11=0),"",IF(L11&gt;=TODAY(),L11,L11+G11*ROUNDUP((TODAY()-L11)/G11,0)))</f>
        <v/>
      </c>
    </row>
    <row r="12" ht="22" customHeight="1">
      <c r="A12" s="118" t="n">
        <v>8</v>
      </c>
      <c r="B12" s="119">
        <f>IF(MFMEA!$N$15="","",IF(MFMEA!B15="","",MFMEA!B15))</f>
        <v/>
      </c>
      <c r="C12" s="70">
        <f>IF(B12="","",IFERROR(INDEX(tb_pcm_ativos[descricao_ativo],MATCH(B12,tb_pcm_ativos[tag],0)),"fora do cadastro"))</f>
        <v/>
      </c>
      <c r="D12" s="120">
        <f>IF(MFMEA!$N$15="","",IF(MFMEA!E15="","",MFMEA!E15))</f>
        <v/>
      </c>
      <c r="E12" s="120">
        <f>IF(MFMEA!$N$15="","",IF(MFMEA!N15="","",MFMEA!N15))</f>
        <v/>
      </c>
      <c r="F12" s="120">
        <f>IF(MFMEA!$N$15="","",IF(MFMEA!O15="","",MFMEA!O15))</f>
        <v/>
      </c>
      <c r="G12" s="121">
        <f>IF(MFMEA!$N$15="","",IF(MFMEA!$P$15="",IF(H12="","",IF(H12="Diária",1,IF(H12="Semanal",7,IF(H12="Quinzenal",14,IF(H12="Mensal",30,IF(H12="Bimestral",60,IF(H12="Trimestral",90,IF(H12="Semestral",180,IF(H12="Anual",365,""))))))))),MFMEA!$P$15))</f>
        <v/>
      </c>
      <c r="H12" s="100" t="n"/>
      <c r="I12" s="120">
        <f>IF(MFMEA!$N$15="","",IF(MFMEA!Q15="","",MFMEA!Q15))</f>
        <v/>
      </c>
      <c r="J12" s="122" t="n"/>
      <c r="K12" s="101" t="n"/>
      <c r="L12" s="123" t="n"/>
      <c r="M12" s="124">
        <f>IF(OR(L12="",G12="",G12=0),"",IF(L12&gt;=TODAY(),L12,L12+G12*ROUNDUP((TODAY()-L12)/G12,0)))</f>
        <v/>
      </c>
    </row>
    <row r="13" ht="22" customHeight="1">
      <c r="A13" s="118" t="n">
        <v>9</v>
      </c>
      <c r="B13" s="119">
        <f>IF(MFMEA!$N$16="","",IF(MFMEA!B16="","",MFMEA!B16))</f>
        <v/>
      </c>
      <c r="C13" s="70">
        <f>IF(B13="","",IFERROR(INDEX(tb_pcm_ativos[descricao_ativo],MATCH(B13,tb_pcm_ativos[tag],0)),"fora do cadastro"))</f>
        <v/>
      </c>
      <c r="D13" s="120">
        <f>IF(MFMEA!$N$16="","",IF(MFMEA!E16="","",MFMEA!E16))</f>
        <v/>
      </c>
      <c r="E13" s="120">
        <f>IF(MFMEA!$N$16="","",IF(MFMEA!N16="","",MFMEA!N16))</f>
        <v/>
      </c>
      <c r="F13" s="120">
        <f>IF(MFMEA!$N$16="","",IF(MFMEA!O16="","",MFMEA!O16))</f>
        <v/>
      </c>
      <c r="G13" s="121">
        <f>IF(MFMEA!$N$16="","",IF(MFMEA!$P$16="",IF(H13="","",IF(H13="Diária",1,IF(H13="Semanal",7,IF(H13="Quinzenal",14,IF(H13="Mensal",30,IF(H13="Bimestral",60,IF(H13="Trimestral",90,IF(H13="Semestral",180,IF(H13="Anual",365,""))))))))),MFMEA!$P$16))</f>
        <v/>
      </c>
      <c r="H13" s="100" t="n"/>
      <c r="I13" s="120">
        <f>IF(MFMEA!$N$16="","",IF(MFMEA!Q16="","",MFMEA!Q16))</f>
        <v/>
      </c>
      <c r="J13" s="122" t="n"/>
      <c r="K13" s="101" t="n"/>
      <c r="L13" s="123" t="n"/>
      <c r="M13" s="124">
        <f>IF(OR(L13="",G13="",G13=0),"",IF(L13&gt;=TODAY(),L13,L13+G13*ROUNDUP((TODAY()-L13)/G13,0)))</f>
        <v/>
      </c>
    </row>
    <row r="14" ht="22" customHeight="1">
      <c r="A14" s="118" t="n">
        <v>10</v>
      </c>
      <c r="B14" s="119">
        <f>IF(MFMEA!$N$17="","",IF(MFMEA!B17="","",MFMEA!B17))</f>
        <v/>
      </c>
      <c r="C14" s="70">
        <f>IF(B14="","",IFERROR(INDEX(tb_pcm_ativos[descricao_ativo],MATCH(B14,tb_pcm_ativos[tag],0)),"fora do cadastro"))</f>
        <v/>
      </c>
      <c r="D14" s="120">
        <f>IF(MFMEA!$N$17="","",IF(MFMEA!E17="","",MFMEA!E17))</f>
        <v/>
      </c>
      <c r="E14" s="120">
        <f>IF(MFMEA!$N$17="","",IF(MFMEA!N17="","",MFMEA!N17))</f>
        <v/>
      </c>
      <c r="F14" s="120">
        <f>IF(MFMEA!$N$17="","",IF(MFMEA!O17="","",MFMEA!O17))</f>
        <v/>
      </c>
      <c r="G14" s="121">
        <f>IF(MFMEA!$N$17="","",IF(MFMEA!$P$17="",IF(H14="","",IF(H14="Diária",1,IF(H14="Semanal",7,IF(H14="Quinzenal",14,IF(H14="Mensal",30,IF(H14="Bimestral",60,IF(H14="Trimestral",90,IF(H14="Semestral",180,IF(H14="Anual",365,""))))))))),MFMEA!$P$17))</f>
        <v/>
      </c>
      <c r="H14" s="100" t="n"/>
      <c r="I14" s="120">
        <f>IF(MFMEA!$N$17="","",IF(MFMEA!Q17="","",MFMEA!Q17))</f>
        <v/>
      </c>
      <c r="J14" s="122" t="n"/>
      <c r="K14" s="101" t="n"/>
      <c r="L14" s="123" t="n"/>
      <c r="M14" s="124">
        <f>IF(OR(L14="",G14="",G14=0),"",IF(L14&gt;=TODAY(),L14,L14+G14*ROUNDUP((TODAY()-L14)/G14,0)))</f>
        <v/>
      </c>
    </row>
    <row r="15" ht="22" customHeight="1">
      <c r="A15" s="118" t="n">
        <v>11</v>
      </c>
      <c r="B15" s="119">
        <f>IF(MFMEA!$N$18="","",IF(MFMEA!B18="","",MFMEA!B18))</f>
        <v/>
      </c>
      <c r="C15" s="70">
        <f>IF(B15="","",IFERROR(INDEX(tb_pcm_ativos[descricao_ativo],MATCH(B15,tb_pcm_ativos[tag],0)),"fora do cadastro"))</f>
        <v/>
      </c>
      <c r="D15" s="120">
        <f>IF(MFMEA!$N$18="","",IF(MFMEA!E18="","",MFMEA!E18))</f>
        <v/>
      </c>
      <c r="E15" s="120">
        <f>IF(MFMEA!$N$18="","",IF(MFMEA!N18="","",MFMEA!N18))</f>
        <v/>
      </c>
      <c r="F15" s="120">
        <f>IF(MFMEA!$N$18="","",IF(MFMEA!O18="","",MFMEA!O18))</f>
        <v/>
      </c>
      <c r="G15" s="121">
        <f>IF(MFMEA!$N$18="","",IF(MFMEA!$P$18="",IF(H15="","",IF(H15="Diária",1,IF(H15="Semanal",7,IF(H15="Quinzenal",14,IF(H15="Mensal",30,IF(H15="Bimestral",60,IF(H15="Trimestral",90,IF(H15="Semestral",180,IF(H15="Anual",365,""))))))))),MFMEA!$P$18))</f>
        <v/>
      </c>
      <c r="H15" s="100" t="n"/>
      <c r="I15" s="120">
        <f>IF(MFMEA!$N$18="","",IF(MFMEA!Q18="","",MFMEA!Q18))</f>
        <v/>
      </c>
      <c r="J15" s="122" t="n"/>
      <c r="K15" s="101" t="n"/>
      <c r="L15" s="123" t="n"/>
      <c r="M15" s="124">
        <f>IF(OR(L15="",G15="",G15=0),"",IF(L15&gt;=TODAY(),L15,L15+G15*ROUNDUP((TODAY()-L15)/G15,0)))</f>
        <v/>
      </c>
    </row>
    <row r="16" ht="22" customHeight="1">
      <c r="A16" s="118" t="n">
        <v>12</v>
      </c>
      <c r="B16" s="119">
        <f>IF(MFMEA!$N$19="","",IF(MFMEA!B19="","",MFMEA!B19))</f>
        <v/>
      </c>
      <c r="C16" s="70">
        <f>IF(B16="","",IFERROR(INDEX(tb_pcm_ativos[descricao_ativo],MATCH(B16,tb_pcm_ativos[tag],0)),"fora do cadastro"))</f>
        <v/>
      </c>
      <c r="D16" s="120">
        <f>IF(MFMEA!$N$19="","",IF(MFMEA!E19="","",MFMEA!E19))</f>
        <v/>
      </c>
      <c r="E16" s="120">
        <f>IF(MFMEA!$N$19="","",IF(MFMEA!N19="","",MFMEA!N19))</f>
        <v/>
      </c>
      <c r="F16" s="120">
        <f>IF(MFMEA!$N$19="","",IF(MFMEA!O19="","",MFMEA!O19))</f>
        <v/>
      </c>
      <c r="G16" s="121">
        <f>IF(MFMEA!$N$19="","",IF(MFMEA!$P$19="",IF(H16="","",IF(H16="Diária",1,IF(H16="Semanal",7,IF(H16="Quinzenal",14,IF(H16="Mensal",30,IF(H16="Bimestral",60,IF(H16="Trimestral",90,IF(H16="Semestral",180,IF(H16="Anual",365,""))))))))),MFMEA!$P$19))</f>
        <v/>
      </c>
      <c r="H16" s="100" t="n"/>
      <c r="I16" s="120">
        <f>IF(MFMEA!$N$19="","",IF(MFMEA!Q19="","",MFMEA!Q19))</f>
        <v/>
      </c>
      <c r="J16" s="122" t="n"/>
      <c r="K16" s="101" t="n"/>
      <c r="L16" s="123" t="n"/>
      <c r="M16" s="124">
        <f>IF(OR(L16="",G16="",G16=0),"",IF(L16&gt;=TODAY(),L16,L16+G16*ROUNDUP((TODAY()-L16)/G16,0)))</f>
        <v/>
      </c>
    </row>
    <row r="17" ht="22" customHeight="1">
      <c r="A17" s="118" t="n">
        <v>13</v>
      </c>
      <c r="B17" s="119">
        <f>IF(MFMEA!$N$20="","",IF(MFMEA!B20="","",MFMEA!B20))</f>
        <v/>
      </c>
      <c r="C17" s="70">
        <f>IF(B17="","",IFERROR(INDEX(tb_pcm_ativos[descricao_ativo],MATCH(B17,tb_pcm_ativos[tag],0)),"fora do cadastro"))</f>
        <v/>
      </c>
      <c r="D17" s="120">
        <f>IF(MFMEA!$N$20="","",IF(MFMEA!E20="","",MFMEA!E20))</f>
        <v/>
      </c>
      <c r="E17" s="120">
        <f>IF(MFMEA!$N$20="","",IF(MFMEA!N20="","",MFMEA!N20))</f>
        <v/>
      </c>
      <c r="F17" s="120">
        <f>IF(MFMEA!$N$20="","",IF(MFMEA!O20="","",MFMEA!O20))</f>
        <v/>
      </c>
      <c r="G17" s="121">
        <f>IF(MFMEA!$N$20="","",IF(MFMEA!$P$20="",IF(H17="","",IF(H17="Diária",1,IF(H17="Semanal",7,IF(H17="Quinzenal",14,IF(H17="Mensal",30,IF(H17="Bimestral",60,IF(H17="Trimestral",90,IF(H17="Semestral",180,IF(H17="Anual",365,""))))))))),MFMEA!$P$20))</f>
        <v/>
      </c>
      <c r="H17" s="100" t="n"/>
      <c r="I17" s="120">
        <f>IF(MFMEA!$N$20="","",IF(MFMEA!Q20="","",MFMEA!Q20))</f>
        <v/>
      </c>
      <c r="J17" s="122" t="n"/>
      <c r="K17" s="101" t="n"/>
      <c r="L17" s="123" t="n"/>
      <c r="M17" s="124">
        <f>IF(OR(L17="",G17="",G17=0),"",IF(L17&gt;=TODAY(),L17,L17+G17*ROUNDUP((TODAY()-L17)/G17,0)))</f>
        <v/>
      </c>
    </row>
    <row r="18" ht="22" customHeight="1">
      <c r="A18" s="118" t="n">
        <v>14</v>
      </c>
      <c r="B18" s="119">
        <f>IF(MFMEA!$N$21="","",IF(MFMEA!B21="","",MFMEA!B21))</f>
        <v/>
      </c>
      <c r="C18" s="70">
        <f>IF(B18="","",IFERROR(INDEX(tb_pcm_ativos[descricao_ativo],MATCH(B18,tb_pcm_ativos[tag],0)),"fora do cadastro"))</f>
        <v/>
      </c>
      <c r="D18" s="120">
        <f>IF(MFMEA!$N$21="","",IF(MFMEA!E21="","",MFMEA!E21))</f>
        <v/>
      </c>
      <c r="E18" s="120">
        <f>IF(MFMEA!$N$21="","",IF(MFMEA!N21="","",MFMEA!N21))</f>
        <v/>
      </c>
      <c r="F18" s="120">
        <f>IF(MFMEA!$N$21="","",IF(MFMEA!O21="","",MFMEA!O21))</f>
        <v/>
      </c>
      <c r="G18" s="121">
        <f>IF(MFMEA!$N$21="","",IF(MFMEA!$P$21="",IF(H18="","",IF(H18="Diária",1,IF(H18="Semanal",7,IF(H18="Quinzenal",14,IF(H18="Mensal",30,IF(H18="Bimestral",60,IF(H18="Trimestral",90,IF(H18="Semestral",180,IF(H18="Anual",365,""))))))))),MFMEA!$P$21))</f>
        <v/>
      </c>
      <c r="H18" s="100" t="n"/>
      <c r="I18" s="120">
        <f>IF(MFMEA!$N$21="","",IF(MFMEA!Q21="","",MFMEA!Q21))</f>
        <v/>
      </c>
      <c r="J18" s="122" t="n"/>
      <c r="K18" s="101" t="n"/>
      <c r="L18" s="123" t="n"/>
      <c r="M18" s="124">
        <f>IF(OR(L18="",G18="",G18=0),"",IF(L18&gt;=TODAY(),L18,L18+G18*ROUNDUP((TODAY()-L18)/G18,0)))</f>
        <v/>
      </c>
    </row>
    <row r="19" ht="22" customHeight="1">
      <c r="A19" s="118" t="n">
        <v>15</v>
      </c>
      <c r="B19" s="119">
        <f>IF(MFMEA!$N$22="","",IF(MFMEA!B22="","",MFMEA!B22))</f>
        <v/>
      </c>
      <c r="C19" s="70">
        <f>IF(B19="","",IFERROR(INDEX(tb_pcm_ativos[descricao_ativo],MATCH(B19,tb_pcm_ativos[tag],0)),"fora do cadastro"))</f>
        <v/>
      </c>
      <c r="D19" s="120">
        <f>IF(MFMEA!$N$22="","",IF(MFMEA!E22="","",MFMEA!E22))</f>
        <v/>
      </c>
      <c r="E19" s="120">
        <f>IF(MFMEA!$N$22="","",IF(MFMEA!N22="","",MFMEA!N22))</f>
        <v/>
      </c>
      <c r="F19" s="120">
        <f>IF(MFMEA!$N$22="","",IF(MFMEA!O22="","",MFMEA!O22))</f>
        <v/>
      </c>
      <c r="G19" s="121">
        <f>IF(MFMEA!$N$22="","",IF(MFMEA!$P$22="",IF(H19="","",IF(H19="Diária",1,IF(H19="Semanal",7,IF(H19="Quinzenal",14,IF(H19="Mensal",30,IF(H19="Bimestral",60,IF(H19="Trimestral",90,IF(H19="Semestral",180,IF(H19="Anual",365,""))))))))),MFMEA!$P$22))</f>
        <v/>
      </c>
      <c r="H19" s="100" t="n"/>
      <c r="I19" s="120">
        <f>IF(MFMEA!$N$22="","",IF(MFMEA!Q22="","",MFMEA!Q22))</f>
        <v/>
      </c>
      <c r="J19" s="122" t="n"/>
      <c r="K19" s="101" t="n"/>
      <c r="L19" s="123" t="n"/>
      <c r="M19" s="124">
        <f>IF(OR(L19="",G19="",G19=0),"",IF(L19&gt;=TODAY(),L19,L19+G19*ROUNDUP((TODAY()-L19)/G19,0)))</f>
        <v/>
      </c>
    </row>
    <row r="20" ht="20" customHeight="1">
      <c r="A20" s="125" t="inlineStr">
        <is>
          <t>Outras atividades (fora da MFMEA): lubrificação, rotinas do fabricante, inspeções legais, calibrações</t>
        </is>
      </c>
      <c r="M20" s="67" t="n"/>
    </row>
    <row r="21" ht="22" customHeight="1">
      <c r="A21" s="68" t="n">
        <v>16</v>
      </c>
      <c r="B21" s="69" t="n"/>
      <c r="C21" s="70">
        <f>IF(B21="","",IFERROR(INDEX(tb_pcm_ativos[descricao_ativo],MATCH(B21,tb_pcm_ativos[tag],0)),"fora do cadastro"))</f>
        <v/>
      </c>
      <c r="D21" s="100" t="n"/>
      <c r="E21" s="100" t="n"/>
      <c r="F21" s="100" t="n"/>
      <c r="G21" s="101">
        <f>IF(H21="","",IF(H21="Diária",1,IF(H21="Semanal",7,IF(H21="Quinzenal",14,IF(H21="Mensal",30,IF(H21="Bimestral",60,IF(H21="Trimestral",90,IF(H21="Semestral",180,IF(H21="Anual",365,"")))))))))</f>
        <v/>
      </c>
      <c r="H21" s="100" t="n"/>
      <c r="I21" s="100" t="n"/>
      <c r="J21" s="122" t="n"/>
      <c r="K21" s="101" t="n"/>
      <c r="L21" s="123" t="n"/>
      <c r="M21" s="124">
        <f>IF(OR(L21="",G21="",G21=0),"",IF(L21&gt;=TODAY(),L21,L21+G21*ROUNDUP((TODAY()-L21)/G21,0)))</f>
        <v/>
      </c>
    </row>
    <row r="22" ht="22" customHeight="1">
      <c r="A22" s="68" t="n">
        <v>17</v>
      </c>
      <c r="B22" s="69" t="n"/>
      <c r="C22" s="70">
        <f>IF(B22="","",IFERROR(INDEX(tb_pcm_ativos[descricao_ativo],MATCH(B22,tb_pcm_ativos[tag],0)),"fora do cadastro"))</f>
        <v/>
      </c>
      <c r="D22" s="100" t="n"/>
      <c r="E22" s="100" t="n"/>
      <c r="F22" s="100" t="n"/>
      <c r="G22" s="101">
        <f>IF(H22="","",IF(H22="Diária",1,IF(H22="Semanal",7,IF(H22="Quinzenal",14,IF(H22="Mensal",30,IF(H22="Bimestral",60,IF(H22="Trimestral",90,IF(H22="Semestral",180,IF(H22="Anual",365,"")))))))))</f>
        <v/>
      </c>
      <c r="H22" s="100" t="n"/>
      <c r="I22" s="100" t="n"/>
      <c r="J22" s="122" t="n"/>
      <c r="K22" s="101" t="n"/>
      <c r="L22" s="123" t="n"/>
      <c r="M22" s="124">
        <f>IF(OR(L22="",G22="",G22=0),"",IF(L22&gt;=TODAY(),L22,L22+G22*ROUNDUP((TODAY()-L22)/G22,0)))</f>
        <v/>
      </c>
    </row>
    <row r="23" ht="22" customHeight="1">
      <c r="A23" s="68" t="n">
        <v>18</v>
      </c>
      <c r="B23" s="69" t="n"/>
      <c r="C23" s="70">
        <f>IF(B23="","",IFERROR(INDEX(tb_pcm_ativos[descricao_ativo],MATCH(B23,tb_pcm_ativos[tag],0)),"fora do cadastro"))</f>
        <v/>
      </c>
      <c r="D23" s="100" t="n"/>
      <c r="E23" s="100" t="n"/>
      <c r="F23" s="100" t="n"/>
      <c r="G23" s="101">
        <f>IF(H23="","",IF(H23="Diária",1,IF(H23="Semanal",7,IF(H23="Quinzenal",14,IF(H23="Mensal",30,IF(H23="Bimestral",60,IF(H23="Trimestral",90,IF(H23="Semestral",180,IF(H23="Anual",365,"")))))))))</f>
        <v/>
      </c>
      <c r="H23" s="100" t="n"/>
      <c r="I23" s="100" t="n"/>
      <c r="J23" s="122" t="n"/>
      <c r="K23" s="101" t="n"/>
      <c r="L23" s="123" t="n"/>
      <c r="M23" s="124">
        <f>IF(OR(L23="",G23="",G23=0),"",IF(L23&gt;=TODAY(),L23,L23+G23*ROUNDUP((TODAY()-L23)/G23,0)))</f>
        <v/>
      </c>
    </row>
    <row r="24" ht="22" customHeight="1">
      <c r="A24" s="68" t="n">
        <v>19</v>
      </c>
      <c r="B24" s="69" t="n"/>
      <c r="C24" s="70">
        <f>IF(B24="","",IFERROR(INDEX(tb_pcm_ativos[descricao_ativo],MATCH(B24,tb_pcm_ativos[tag],0)),"fora do cadastro"))</f>
        <v/>
      </c>
      <c r="D24" s="100" t="n"/>
      <c r="E24" s="100" t="n"/>
      <c r="F24" s="100" t="n"/>
      <c r="G24" s="101">
        <f>IF(H24="","",IF(H24="Diária",1,IF(H24="Semanal",7,IF(H24="Quinzenal",14,IF(H24="Mensal",30,IF(H24="Bimestral",60,IF(H24="Trimestral",90,IF(H24="Semestral",180,IF(H24="Anual",365,"")))))))))</f>
        <v/>
      </c>
      <c r="H24" s="100" t="n"/>
      <c r="I24" s="100" t="n"/>
      <c r="J24" s="122" t="n"/>
      <c r="K24" s="101" t="n"/>
      <c r="L24" s="123" t="n"/>
      <c r="M24" s="124">
        <f>IF(OR(L24="",G24="",G24=0),"",IF(L24&gt;=TODAY(),L24,L24+G24*ROUNDUP((TODAY()-L24)/G24,0)))</f>
        <v/>
      </c>
    </row>
    <row r="25" ht="22" customHeight="1">
      <c r="A25" s="68" t="n">
        <v>20</v>
      </c>
      <c r="B25" s="69" t="n"/>
      <c r="C25" s="70">
        <f>IF(B25="","",IFERROR(INDEX(tb_pcm_ativos[descricao_ativo],MATCH(B25,tb_pcm_ativos[tag],0)),"fora do cadastro"))</f>
        <v/>
      </c>
      <c r="D25" s="100" t="n"/>
      <c r="E25" s="100" t="n"/>
      <c r="F25" s="100" t="n"/>
      <c r="G25" s="101">
        <f>IF(H25="","",IF(H25="Diária",1,IF(H25="Semanal",7,IF(H25="Quinzenal",14,IF(H25="Mensal",30,IF(H25="Bimestral",60,IF(H25="Trimestral",90,IF(H25="Semestral",180,IF(H25="Anual",365,"")))))))))</f>
        <v/>
      </c>
      <c r="H25" s="100" t="n"/>
      <c r="I25" s="100" t="n"/>
      <c r="J25" s="122" t="n"/>
      <c r="K25" s="101" t="n"/>
      <c r="L25" s="123" t="n"/>
      <c r="M25" s="124">
        <f>IF(OR(L25="",G25="",G25=0),"",IF(L25&gt;=TODAY(),L25,L25+G25*ROUNDUP((TODAY()-L25)/G25,0)))</f>
        <v/>
      </c>
    </row>
    <row r="26" ht="22" customHeight="1">
      <c r="A26" s="68" t="n">
        <v>21</v>
      </c>
      <c r="B26" s="69" t="n"/>
      <c r="C26" s="70">
        <f>IF(B26="","",IFERROR(INDEX(tb_pcm_ativos[descricao_ativo],MATCH(B26,tb_pcm_ativos[tag],0)),"fora do cadastro"))</f>
        <v/>
      </c>
      <c r="D26" s="100" t="n"/>
      <c r="E26" s="100" t="n"/>
      <c r="F26" s="100" t="n"/>
      <c r="G26" s="101">
        <f>IF(H26="","",IF(H26="Diária",1,IF(H26="Semanal",7,IF(H26="Quinzenal",14,IF(H26="Mensal",30,IF(H26="Bimestral",60,IF(H26="Trimestral",90,IF(H26="Semestral",180,IF(H26="Anual",365,"")))))))))</f>
        <v/>
      </c>
      <c r="H26" s="100" t="n"/>
      <c r="I26" s="100" t="n"/>
      <c r="J26" s="122" t="n"/>
      <c r="K26" s="101" t="n"/>
      <c r="L26" s="123" t="n"/>
      <c r="M26" s="124">
        <f>IF(OR(L26="",G26="",G26=0),"",IF(L26&gt;=TODAY(),L26,L26+G26*ROUNDUP((TODAY()-L26)/G26,0)))</f>
        <v/>
      </c>
    </row>
    <row r="27" ht="22" customHeight="1">
      <c r="A27" s="68" t="n">
        <v>22</v>
      </c>
      <c r="B27" s="69" t="n"/>
      <c r="C27" s="70">
        <f>IF(B27="","",IFERROR(INDEX(tb_pcm_ativos[descricao_ativo],MATCH(B27,tb_pcm_ativos[tag],0)),"fora do cadastro"))</f>
        <v/>
      </c>
      <c r="D27" s="100" t="n"/>
      <c r="E27" s="100" t="n"/>
      <c r="F27" s="100" t="n"/>
      <c r="G27" s="101">
        <f>IF(H27="","",IF(H27="Diária",1,IF(H27="Semanal",7,IF(H27="Quinzenal",14,IF(H27="Mensal",30,IF(H27="Bimestral",60,IF(H27="Trimestral",90,IF(H27="Semestral",180,IF(H27="Anual",365,"")))))))))</f>
        <v/>
      </c>
      <c r="H27" s="100" t="n"/>
      <c r="I27" s="100" t="n"/>
      <c r="J27" s="122" t="n"/>
      <c r="K27" s="101" t="n"/>
      <c r="L27" s="123" t="n"/>
      <c r="M27" s="124">
        <f>IF(OR(L27="",G27="",G27=0),"",IF(L27&gt;=TODAY(),L27,L27+G27*ROUNDUP((TODAY()-L27)/G27,0)))</f>
        <v/>
      </c>
    </row>
    <row r="28" ht="22" customHeight="1">
      <c r="A28" s="68" t="n">
        <v>23</v>
      </c>
      <c r="B28" s="69" t="n"/>
      <c r="C28" s="70">
        <f>IF(B28="","",IFERROR(INDEX(tb_pcm_ativos[descricao_ativo],MATCH(B28,tb_pcm_ativos[tag],0)),"fora do cadastro"))</f>
        <v/>
      </c>
      <c r="D28" s="100" t="n"/>
      <c r="E28" s="100" t="n"/>
      <c r="F28" s="100" t="n"/>
      <c r="G28" s="101">
        <f>IF(H28="","",IF(H28="Diária",1,IF(H28="Semanal",7,IF(H28="Quinzenal",14,IF(H28="Mensal",30,IF(H28="Bimestral",60,IF(H28="Trimestral",90,IF(H28="Semestral",180,IF(H28="Anual",365,"")))))))))</f>
        <v/>
      </c>
      <c r="H28" s="100" t="n"/>
      <c r="I28" s="100" t="n"/>
      <c r="J28" s="122" t="n"/>
      <c r="K28" s="101" t="n"/>
      <c r="L28" s="123" t="n"/>
      <c r="M28" s="124">
        <f>IF(OR(L28="",G28="",G28=0),"",IF(L28&gt;=TODAY(),L28,L28+G28*ROUNDUP((TODAY()-L28)/G28,0)))</f>
        <v/>
      </c>
    </row>
    <row r="29" ht="22" customHeight="1">
      <c r="A29" s="68" t="n">
        <v>24</v>
      </c>
      <c r="B29" s="69" t="n"/>
      <c r="C29" s="70">
        <f>IF(B29="","",IFERROR(INDEX(tb_pcm_ativos[descricao_ativo],MATCH(B29,tb_pcm_ativos[tag],0)),"fora do cadastro"))</f>
        <v/>
      </c>
      <c r="D29" s="100" t="n"/>
      <c r="E29" s="100" t="n"/>
      <c r="F29" s="100" t="n"/>
      <c r="G29" s="101">
        <f>IF(H29="","",IF(H29="Diária",1,IF(H29="Semanal",7,IF(H29="Quinzenal",14,IF(H29="Mensal",30,IF(H29="Bimestral",60,IF(H29="Trimestral",90,IF(H29="Semestral",180,IF(H29="Anual",365,"")))))))))</f>
        <v/>
      </c>
      <c r="H29" s="100" t="n"/>
      <c r="I29" s="100" t="n"/>
      <c r="J29" s="122" t="n"/>
      <c r="K29" s="101" t="n"/>
      <c r="L29" s="123" t="n"/>
      <c r="M29" s="124">
        <f>IF(OR(L29="",G29="",G29=0),"",IF(L29&gt;=TODAY(),L29,L29+G29*ROUNDUP((TODAY()-L29)/G29,0)))</f>
        <v/>
      </c>
    </row>
    <row r="30" ht="22" customHeight="1">
      <c r="A30" s="68" t="n">
        <v>25</v>
      </c>
      <c r="B30" s="69" t="n"/>
      <c r="C30" s="70">
        <f>IF(B30="","",IFERROR(INDEX(tb_pcm_ativos[descricao_ativo],MATCH(B30,tb_pcm_ativos[tag],0)),"fora do cadastro"))</f>
        <v/>
      </c>
      <c r="D30" s="100" t="n"/>
      <c r="E30" s="100" t="n"/>
      <c r="F30" s="100" t="n"/>
      <c r="G30" s="101">
        <f>IF(H30="","",IF(H30="Diária",1,IF(H30="Semanal",7,IF(H30="Quinzenal",14,IF(H30="Mensal",30,IF(H30="Bimestral",60,IF(H30="Trimestral",90,IF(H30="Semestral",180,IF(H30="Anual",365,"")))))))))</f>
        <v/>
      </c>
      <c r="H30" s="100" t="n"/>
      <c r="I30" s="100" t="n"/>
      <c r="J30" s="122" t="n"/>
      <c r="K30" s="101" t="n"/>
      <c r="L30" s="123" t="n"/>
      <c r="M30" s="124">
        <f>IF(OR(L30="",G30="",G30=0),"",IF(L30&gt;=TODAY(),L30,L30+G30*ROUNDUP((TODAY()-L30)/G30,0)))</f>
        <v/>
      </c>
    </row>
    <row r="31" ht="20" customHeight="1">
      <c r="A31" s="96" t="inlineStr">
        <is>
          <r>
            <rPr>
              <rFont val="Arial"/>
              <b val="1"/>
              <color rgb="006B7686"/>
              <sz val="8"/>
            </rPr>
            <t xml:space="preserve">Cinza = vem da MFMEA ou é calculado.      </t>
          </r>
          <r>
            <rPr>
              <rFont val="Arial"/>
              <b val="1"/>
              <color rgb="00E0A100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Próxima execução nos próximos 7 dias      </t>
          </r>
          <r>
            <rPr>
              <rFont val="Arial"/>
              <b val="1"/>
              <color rgb="00B3261E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Exige parada da máquina      </t>
          </r>
        </is>
      </c>
    </row>
  </sheetData>
  <mergeCells count="9">
    <mergeCell ref="A1:D2"/>
    <mergeCell ref="J3:M3"/>
    <mergeCell ref="A3:I3"/>
    <mergeCell ref="J2:M2"/>
    <mergeCell ref="A20:M20"/>
    <mergeCell ref="A31:M31"/>
    <mergeCell ref="E1:I1"/>
    <mergeCell ref="J1:M1"/>
    <mergeCell ref="E2:I2"/>
  </mergeCells>
  <conditionalFormatting sqref="M5:M30">
    <cfRule type="expression" priority="1" dxfId="2" stopIfTrue="1">
      <formula>AND(ISNUMBER(M5),M5-TODAY()&lt;=7)</formula>
    </cfRule>
  </conditionalFormatting>
  <conditionalFormatting sqref="K5:K30">
    <cfRule type="expression" priority="2" dxfId="3" stopIfTrue="1">
      <formula>K5="Sim"</formula>
    </cfRule>
  </conditionalFormatting>
  <dataValidations count="12">
    <dataValidation sqref="B21:B30" showDropDown="0" showInputMessage="0" showErrorMessage="1" allowBlank="1" errorTitle="Valor fora da lista" error="Escolha um item da lista." type="list" errorStyle="stop">
      <formula1>L_TAGS</formula1>
    </dataValidation>
    <dataValidation sqref="F21:F30" showDropDown="0" showInputMessage="0" showErrorMessage="1" allowBlank="1" errorTitle="Valor fora da lista" error="Escolha um item da lista." type="list" errorStyle="stop">
      <formula1>"Inspeção,Preventiva,Preditiva,Lubrificação,Troca programada,Operar até falhar"</formula1>
    </dataValidation>
    <dataValidation sqref="G21:G30" showDropDown="0" showInputMessage="0" showErrorMessage="1" allowBlank="1" errorTitle="Número inválido" error="Digite um número inteiro de 1 a 3650." type="whole" errorStyle="stop" operator="between">
      <formula1>1</formula1>
      <formula2>3650</formula2>
    </dataValidation>
    <dataValidation sqref="I21:I30" showDropDown="0" showInputMessage="0" showErrorMessage="1" allowBlank="1" errorTitle="Valor fora da lista" error="Escolha um item da lista." type="list" errorStyle="stop">
      <formula1>L_PESSOAS</formula1>
    </dataValidation>
    <dataValidation sqref="J5:J19" showDropDown="0" showInputMessage="0" showErrorMessage="1" allowBlank="1" errorTitle="Número inválido" error="Digite um número maior ou igual a 0." type="decimal" errorStyle="stop" operator="greaterThanOrEqual">
      <formula1>0</formula1>
    </dataValidation>
    <dataValidation sqref="K5:K19" showDropDown="0" showInputMessage="0" showErrorMessage="1" allowBlank="1" errorTitle="Valor fora da lista" error="Escolha um item da lista." type="list" errorStyle="stop">
      <formula1>"Sim,Não"</formula1>
    </dataValidation>
    <dataValidation sqref="L5:L1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J21:J30" showDropDown="0" showInputMessage="0" showErrorMessage="1" allowBlank="1" errorTitle="Número inválido" error="Digite um número maior ou igual a 0." type="decimal" errorStyle="stop" operator="greaterThanOrEqual">
      <formula1>0</formula1>
    </dataValidation>
    <dataValidation sqref="K21:K30" showDropDown="0" showInputMessage="0" showErrorMessage="1" allowBlank="1" errorTitle="Valor fora da lista" error="Escolha um item da lista." type="list" errorStyle="stop">
      <formula1>"Sim,Não"</formula1>
    </dataValidation>
    <dataValidation sqref="L21:L30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H5:H19" showDropDown="0" showInputMessage="0" showErrorMessage="1" allowBlank="1" errorTitle="Valor fora da lista" error="Escolha um item da lista." type="list" errorStyle="stop">
      <formula1>"Diária,Semanal,Quinzenal,Mensal,Bimestral,Trimestral,Semestral,Anual"</formula1>
    </dataValidation>
    <dataValidation sqref="H21:H30" showDropDown="0" showInputMessage="0" showErrorMessage="1" allowBlank="1" errorTitle="Valor fora da lista" error="Escolha um item da lista." type="list" errorStyle="stop">
      <formula1>"Diária,Semanal,Quinzenal,Mensal,Bimestral,Trimestral,Semestral,Anual"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&amp;K4A5668PCM-MAN-002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BM35"/>
  <sheetViews>
    <sheetView showGridLines="0" tabSelected="0" zoomScale="90" workbookViewId="0">
      <pane xSplit="5" ySplit="7" topLeftCell="F8" activePane="bottomRight" state="frozen"/>
      <selection pane="topRight"/>
      <selection pane="bottomLeft"/>
      <selection pane="bottomRight" activeCell="F8" sqref="F8"/>
    </sheetView>
  </sheetViews>
  <sheetFormatPr baseColWidth="8" defaultRowHeight="15"/>
  <cols>
    <col width="4" customWidth="1" min="1" max="1"/>
    <col width="10" customWidth="1" min="2" max="2"/>
    <col width="18" customWidth="1" min="3" max="3"/>
    <col width="30" customWidth="1" min="4" max="4"/>
    <col width="7.5" customWidth="1" min="5" max="5"/>
    <col width="2.45" customWidth="1" min="6" max="6"/>
    <col width="2.45" customWidth="1" min="7" max="7"/>
    <col width="2.45" customWidth="1" min="8" max="8"/>
    <col width="2.45" customWidth="1" min="9" max="9"/>
    <col width="2.45" customWidth="1" min="10" max="10"/>
    <col width="2.45" customWidth="1" min="11" max="11"/>
    <col width="2.45" customWidth="1" min="12" max="12"/>
    <col width="2.45" customWidth="1" min="13" max="13"/>
    <col width="2.45" customWidth="1" min="14" max="14"/>
    <col width="2.45" customWidth="1" min="15" max="15"/>
    <col width="2.45" customWidth="1" min="16" max="16"/>
    <col width="2.45" customWidth="1" min="17" max="17"/>
    <col width="2.45" customWidth="1" min="18" max="18"/>
    <col width="2.45" customWidth="1" min="19" max="19"/>
    <col width="2.45" customWidth="1" min="20" max="20"/>
    <col width="2.45" customWidth="1" min="21" max="21"/>
    <col width="2.45" customWidth="1" min="22" max="22"/>
    <col width="2.45" customWidth="1" min="23" max="23"/>
    <col width="2.45" customWidth="1" min="24" max="24"/>
    <col width="2.45" customWidth="1" min="25" max="25"/>
    <col width="2.45" customWidth="1" min="26" max="26"/>
    <col width="2.45" customWidth="1" min="27" max="27"/>
    <col width="2.45" customWidth="1" min="28" max="28"/>
    <col width="2.45" customWidth="1" min="29" max="29"/>
    <col width="2.45" customWidth="1" min="30" max="30"/>
    <col width="2.45" customWidth="1" min="31" max="31"/>
    <col width="2.45" customWidth="1" min="32" max="32"/>
    <col width="2.45" customWidth="1" min="33" max="33"/>
    <col width="2.45" customWidth="1" min="34" max="34"/>
    <col width="2.45" customWidth="1" min="35" max="35"/>
    <col width="2.45" customWidth="1" min="36" max="36"/>
    <col width="2.45" customWidth="1" min="37" max="37"/>
    <col width="2.45" customWidth="1" min="38" max="38"/>
    <col width="2.45" customWidth="1" min="39" max="39"/>
    <col width="2.45" customWidth="1" min="40" max="40"/>
    <col width="2.45" customWidth="1" min="41" max="41"/>
    <col width="2.45" customWidth="1" min="42" max="42"/>
    <col width="2.45" customWidth="1" min="43" max="43"/>
    <col width="2.45" customWidth="1" min="44" max="44"/>
    <col width="2.45" customWidth="1" min="45" max="45"/>
    <col width="2.45" customWidth="1" min="46" max="46"/>
    <col width="2.45" customWidth="1" min="47" max="47"/>
    <col width="2.45" customWidth="1" min="48" max="48"/>
    <col width="2.45" customWidth="1" min="49" max="49"/>
    <col width="2.45" customWidth="1" min="50" max="50"/>
    <col width="2.45" customWidth="1" min="51" max="51"/>
    <col width="2.45" customWidth="1" min="52" max="52"/>
    <col width="2.45" customWidth="1" min="53" max="53"/>
    <col width="2.45" customWidth="1" min="54" max="54"/>
    <col width="2.45" customWidth="1" min="55" max="55"/>
    <col width="2.45" customWidth="1" min="56" max="56"/>
    <col width="2.45" customWidth="1" min="57" max="57"/>
    <col width="2.45" customWidth="1" min="58" max="58"/>
    <col width="2.45" customWidth="1" min="59" max="59"/>
    <col width="2.45" customWidth="1" min="60" max="60"/>
    <col width="2.45" customWidth="1" min="61" max="61"/>
    <col width="2.45" customWidth="1" min="62" max="62"/>
    <col width="2.45" customWidth="1" min="63" max="63"/>
    <col width="2.45" customWidth="1" min="64" max="64"/>
    <col width="2.45" customWidth="1" min="65" max="65"/>
  </cols>
  <sheetData>
    <row r="1" ht="30.75" customHeight="1">
      <c r="A1" s="39" t="n"/>
      <c r="B1" s="40" t="n"/>
      <c r="C1" s="40" t="n"/>
      <c r="D1" s="41" t="n"/>
      <c r="E1" s="126" t="inlineStr">
        <is>
          <t>Cronograma</t>
        </is>
      </c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1" t="n"/>
      <c r="AY1" s="43">
        <f>"Rev. "&amp;'Leia-me'!$D$15&amp;"   ·   "&amp;'Leia-me'!$D$16</f>
        <v/>
      </c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1" t="n"/>
    </row>
    <row r="2" ht="28" customHeight="1">
      <c r="A2" s="44" t="n"/>
      <c r="B2" s="45" t="n"/>
      <c r="C2" s="45" t="n"/>
      <c r="D2" s="46" t="n"/>
      <c r="E2" s="47" t="inlineStr">
        <is>
          <t>Objetivo: Semanas de cada mês em que cada atividade do Plano deve ser feita</t>
        </is>
      </c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45" t="n"/>
      <c r="AJ2" s="45" t="n"/>
      <c r="AK2" s="45" t="n"/>
      <c r="AL2" s="45" t="n"/>
      <c r="AM2" s="45" t="n"/>
      <c r="AN2" s="45" t="n"/>
      <c r="AO2" s="45" t="n"/>
      <c r="AP2" s="45" t="n"/>
      <c r="AQ2" s="45" t="n"/>
      <c r="AR2" s="45" t="n"/>
      <c r="AS2" s="45" t="n"/>
      <c r="AT2" s="45" t="n"/>
      <c r="AU2" s="45" t="n"/>
      <c r="AV2" s="45" t="n"/>
      <c r="AW2" s="45" t="n"/>
      <c r="AX2" s="46" t="n"/>
      <c r="AY2" s="47">
        <f>"Elaborado: "&amp;'Leia-me'!$D$13&amp;"   ·   Aprovado: "&amp;'Leia-me'!$D$14</f>
        <v/>
      </c>
      <c r="AZ2" s="45" t="n"/>
      <c r="BA2" s="45" t="n"/>
      <c r="BB2" s="45" t="n"/>
      <c r="BC2" s="45" t="n"/>
      <c r="BD2" s="45" t="n"/>
      <c r="BE2" s="45" t="n"/>
      <c r="BF2" s="45" t="n"/>
      <c r="BG2" s="45" t="n"/>
      <c r="BH2" s="45" t="n"/>
      <c r="BI2" s="45" t="n"/>
      <c r="BJ2" s="45" t="n"/>
      <c r="BK2" s="45" t="n"/>
      <c r="BL2" s="45" t="n"/>
      <c r="BM2" s="46" t="n"/>
    </row>
    <row r="3" ht="12" customHeight="1">
      <c r="A3" s="48" t="inlineStr">
        <is>
          <t>Ano ▼</t>
        </is>
      </c>
      <c r="B3" s="49" t="n"/>
      <c r="C3" s="49" t="n"/>
      <c r="D3" s="127" t="inlineStr">
        <is>
          <t>Semana de hoje</t>
        </is>
      </c>
      <c r="E3" s="49" t="n"/>
      <c r="F3" s="127" t="inlineStr">
        <is>
          <t>Atividades na semana de hoje</t>
        </is>
      </c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50" t="inlineStr">
        <is>
          <t>Horas planejadas no ano</t>
        </is>
      </c>
      <c r="AK3" s="49" t="n"/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51" t="n"/>
    </row>
    <row r="4" ht="24" customHeight="1">
      <c r="A4" s="128" t="n"/>
      <c r="B4" s="55" t="n"/>
      <c r="C4" s="56" t="n"/>
      <c r="D4" s="57">
        <f>IF(YEAR(TODAY())=IF(N($A$4)&gt;0,N($A$4),IF(ISNUMBER(--$A$4),--$A$4,YEAR(TODAY()))),CHOOSE(MONTH(TODAY()),"Jan","Fev","Mar","Abr","Mai","Jun","Jul","Ago","Set","Out","Nov","Dez")&amp;" · "&amp;MIN(5,INT((DAY(TODAY())-1)/7)+1)&amp;"ª semana","")</f>
        <v/>
      </c>
      <c r="E4" s="56" t="n"/>
      <c r="F4" s="57">
        <f>IF(D4="","",COUNTIF(INDEX($F$8:$BM$33,0,IF(YEAR(TODAY())=IF(N($A$4)&gt;0,N($A$4),IF(ISNUMBER(--$A$4),--$A$4,YEAR(TODAY()))),(MONTH(TODAY())-1)*5+MIN(5,INT((DAY(TODAY())-1)/7)+1),"")),"●")&amp;" atividade(s) com data nesta semana")</f>
        <v/>
      </c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6" t="n"/>
      <c r="AJ4" s="129">
        <f>IF(SUM(F34:BM34)=0,"",SUM(F34:BM34))</f>
        <v/>
      </c>
      <c r="AK4" s="55" t="n"/>
      <c r="AL4" s="55" t="n"/>
      <c r="AM4" s="55" t="n"/>
      <c r="AN4" s="55" t="n"/>
      <c r="AO4" s="55" t="n"/>
      <c r="AP4" s="55" t="n"/>
      <c r="AQ4" s="55" t="n"/>
      <c r="AR4" s="55" t="n"/>
      <c r="AS4" s="55" t="n"/>
      <c r="AT4" s="55" t="n"/>
      <c r="AU4" s="55" t="n"/>
      <c r="AV4" s="55" t="n"/>
      <c r="AW4" s="55" t="n"/>
      <c r="AX4" s="55" t="n"/>
      <c r="AY4" s="55" t="n"/>
      <c r="AZ4" s="55" t="n"/>
      <c r="BA4" s="55" t="n"/>
      <c r="BB4" s="55" t="n"/>
      <c r="BC4" s="55" t="n"/>
      <c r="BD4" s="55" t="n"/>
      <c r="BE4" s="55" t="n"/>
      <c r="BF4" s="55" t="n"/>
      <c r="BG4" s="55" t="n"/>
      <c r="BH4" s="55" t="n"/>
      <c r="BI4" s="55" t="n"/>
      <c r="BJ4" s="55" t="n"/>
      <c r="BK4" s="55" t="n"/>
      <c r="BL4" s="55" t="n"/>
      <c r="BM4" s="56" t="n"/>
    </row>
    <row r="5" hidden="1">
      <c r="A5" s="52" t="n"/>
      <c r="B5" s="52" t="n"/>
      <c r="D5" s="52" t="n"/>
      <c r="E5" s="52" t="n"/>
      <c r="F5" s="130">
        <f>IF(MONTH(DATE(IF(N($A$4)&gt;0,N($A$4),IF(ISNUMBER(--$A$4),--$A$4,YEAR(TODAY()))),1,1))=1,DATE(IF(N($A$4)&gt;0,N($A$4),IF(ISNUMBER(--$A$4),--$A$4,YEAR(TODAY()))),1,1),"")</f>
        <v/>
      </c>
      <c r="G5" s="130">
        <f>IF(MONTH(DATE(IF(N($A$4)&gt;0,N($A$4),IF(ISNUMBER(--$A$4),--$A$4,YEAR(TODAY()))),1,8))=1,DATE(IF(N($A$4)&gt;0,N($A$4),IF(ISNUMBER(--$A$4),--$A$4,YEAR(TODAY()))),1,8),"")</f>
        <v/>
      </c>
      <c r="H5" s="130">
        <f>IF(MONTH(DATE(IF(N($A$4)&gt;0,N($A$4),IF(ISNUMBER(--$A$4),--$A$4,YEAR(TODAY()))),1,15))=1,DATE(IF(N($A$4)&gt;0,N($A$4),IF(ISNUMBER(--$A$4),--$A$4,YEAR(TODAY()))),1,15),"")</f>
        <v/>
      </c>
      <c r="I5" s="130">
        <f>IF(MONTH(DATE(IF(N($A$4)&gt;0,N($A$4),IF(ISNUMBER(--$A$4),--$A$4,YEAR(TODAY()))),1,22))=1,DATE(IF(N($A$4)&gt;0,N($A$4),IF(ISNUMBER(--$A$4),--$A$4,YEAR(TODAY()))),1,22),"")</f>
        <v/>
      </c>
      <c r="J5" s="130">
        <f>IF(MONTH(DATE(IF(N($A$4)&gt;0,N($A$4),IF(ISNUMBER(--$A$4),--$A$4,YEAR(TODAY()))),1,29))=1,DATE(IF(N($A$4)&gt;0,N($A$4),IF(ISNUMBER(--$A$4),--$A$4,YEAR(TODAY()))),1,29),"")</f>
        <v/>
      </c>
      <c r="K5" s="130">
        <f>IF(MONTH(DATE(IF(N($A$4)&gt;0,N($A$4),IF(ISNUMBER(--$A$4),--$A$4,YEAR(TODAY()))),2,1))=2,DATE(IF(N($A$4)&gt;0,N($A$4),IF(ISNUMBER(--$A$4),--$A$4,YEAR(TODAY()))),2,1),"")</f>
        <v/>
      </c>
      <c r="L5" s="130">
        <f>IF(MONTH(DATE(IF(N($A$4)&gt;0,N($A$4),IF(ISNUMBER(--$A$4),--$A$4,YEAR(TODAY()))),2,8))=2,DATE(IF(N($A$4)&gt;0,N($A$4),IF(ISNUMBER(--$A$4),--$A$4,YEAR(TODAY()))),2,8),"")</f>
        <v/>
      </c>
      <c r="M5" s="130">
        <f>IF(MONTH(DATE(IF(N($A$4)&gt;0,N($A$4),IF(ISNUMBER(--$A$4),--$A$4,YEAR(TODAY()))),2,15))=2,DATE(IF(N($A$4)&gt;0,N($A$4),IF(ISNUMBER(--$A$4),--$A$4,YEAR(TODAY()))),2,15),"")</f>
        <v/>
      </c>
      <c r="N5" s="130">
        <f>IF(MONTH(DATE(IF(N($A$4)&gt;0,N($A$4),IF(ISNUMBER(--$A$4),--$A$4,YEAR(TODAY()))),2,22))=2,DATE(IF(N($A$4)&gt;0,N($A$4),IF(ISNUMBER(--$A$4),--$A$4,YEAR(TODAY()))),2,22),"")</f>
        <v/>
      </c>
      <c r="O5" s="130">
        <f>IF(MONTH(DATE(IF(N($A$4)&gt;0,N($A$4),IF(ISNUMBER(--$A$4),--$A$4,YEAR(TODAY()))),2,29))=2,DATE(IF(N($A$4)&gt;0,N($A$4),IF(ISNUMBER(--$A$4),--$A$4,YEAR(TODAY()))),2,29),"")</f>
        <v/>
      </c>
      <c r="P5" s="130">
        <f>IF(MONTH(DATE(IF(N($A$4)&gt;0,N($A$4),IF(ISNUMBER(--$A$4),--$A$4,YEAR(TODAY()))),3,1))=3,DATE(IF(N($A$4)&gt;0,N($A$4),IF(ISNUMBER(--$A$4),--$A$4,YEAR(TODAY()))),3,1),"")</f>
        <v/>
      </c>
      <c r="Q5" s="130">
        <f>IF(MONTH(DATE(IF(N($A$4)&gt;0,N($A$4),IF(ISNUMBER(--$A$4),--$A$4,YEAR(TODAY()))),3,8))=3,DATE(IF(N($A$4)&gt;0,N($A$4),IF(ISNUMBER(--$A$4),--$A$4,YEAR(TODAY()))),3,8),"")</f>
        <v/>
      </c>
      <c r="R5" s="130">
        <f>IF(MONTH(DATE(IF(N($A$4)&gt;0,N($A$4),IF(ISNUMBER(--$A$4),--$A$4,YEAR(TODAY()))),3,15))=3,DATE(IF(N($A$4)&gt;0,N($A$4),IF(ISNUMBER(--$A$4),--$A$4,YEAR(TODAY()))),3,15),"")</f>
        <v/>
      </c>
      <c r="S5" s="130">
        <f>IF(MONTH(DATE(IF(N($A$4)&gt;0,N($A$4),IF(ISNUMBER(--$A$4),--$A$4,YEAR(TODAY()))),3,22))=3,DATE(IF(N($A$4)&gt;0,N($A$4),IF(ISNUMBER(--$A$4),--$A$4,YEAR(TODAY()))),3,22),"")</f>
        <v/>
      </c>
      <c r="T5" s="130">
        <f>IF(MONTH(DATE(IF(N($A$4)&gt;0,N($A$4),IF(ISNUMBER(--$A$4),--$A$4,YEAR(TODAY()))),3,29))=3,DATE(IF(N($A$4)&gt;0,N($A$4),IF(ISNUMBER(--$A$4),--$A$4,YEAR(TODAY()))),3,29),"")</f>
        <v/>
      </c>
      <c r="U5" s="130">
        <f>IF(MONTH(DATE(IF(N($A$4)&gt;0,N($A$4),IF(ISNUMBER(--$A$4),--$A$4,YEAR(TODAY()))),4,1))=4,DATE(IF(N($A$4)&gt;0,N($A$4),IF(ISNUMBER(--$A$4),--$A$4,YEAR(TODAY()))),4,1),"")</f>
        <v/>
      </c>
      <c r="V5" s="130">
        <f>IF(MONTH(DATE(IF(N($A$4)&gt;0,N($A$4),IF(ISNUMBER(--$A$4),--$A$4,YEAR(TODAY()))),4,8))=4,DATE(IF(N($A$4)&gt;0,N($A$4),IF(ISNUMBER(--$A$4),--$A$4,YEAR(TODAY()))),4,8),"")</f>
        <v/>
      </c>
      <c r="W5" s="130">
        <f>IF(MONTH(DATE(IF(N($A$4)&gt;0,N($A$4),IF(ISNUMBER(--$A$4),--$A$4,YEAR(TODAY()))),4,15))=4,DATE(IF(N($A$4)&gt;0,N($A$4),IF(ISNUMBER(--$A$4),--$A$4,YEAR(TODAY()))),4,15),"")</f>
        <v/>
      </c>
      <c r="X5" s="130">
        <f>IF(MONTH(DATE(IF(N($A$4)&gt;0,N($A$4),IF(ISNUMBER(--$A$4),--$A$4,YEAR(TODAY()))),4,22))=4,DATE(IF(N($A$4)&gt;0,N($A$4),IF(ISNUMBER(--$A$4),--$A$4,YEAR(TODAY()))),4,22),"")</f>
        <v/>
      </c>
      <c r="Y5" s="130">
        <f>IF(MONTH(DATE(IF(N($A$4)&gt;0,N($A$4),IF(ISNUMBER(--$A$4),--$A$4,YEAR(TODAY()))),4,29))=4,DATE(IF(N($A$4)&gt;0,N($A$4),IF(ISNUMBER(--$A$4),--$A$4,YEAR(TODAY()))),4,29),"")</f>
        <v/>
      </c>
      <c r="Z5" s="130">
        <f>IF(MONTH(DATE(IF(N($A$4)&gt;0,N($A$4),IF(ISNUMBER(--$A$4),--$A$4,YEAR(TODAY()))),5,1))=5,DATE(IF(N($A$4)&gt;0,N($A$4),IF(ISNUMBER(--$A$4),--$A$4,YEAR(TODAY()))),5,1),"")</f>
        <v/>
      </c>
      <c r="AA5" s="130">
        <f>IF(MONTH(DATE(IF(N($A$4)&gt;0,N($A$4),IF(ISNUMBER(--$A$4),--$A$4,YEAR(TODAY()))),5,8))=5,DATE(IF(N($A$4)&gt;0,N($A$4),IF(ISNUMBER(--$A$4),--$A$4,YEAR(TODAY()))),5,8),"")</f>
        <v/>
      </c>
      <c r="AB5" s="130">
        <f>IF(MONTH(DATE(IF(N($A$4)&gt;0,N($A$4),IF(ISNUMBER(--$A$4),--$A$4,YEAR(TODAY()))),5,15))=5,DATE(IF(N($A$4)&gt;0,N($A$4),IF(ISNUMBER(--$A$4),--$A$4,YEAR(TODAY()))),5,15),"")</f>
        <v/>
      </c>
      <c r="AC5" s="130">
        <f>IF(MONTH(DATE(IF(N($A$4)&gt;0,N($A$4),IF(ISNUMBER(--$A$4),--$A$4,YEAR(TODAY()))),5,22))=5,DATE(IF(N($A$4)&gt;0,N($A$4),IF(ISNUMBER(--$A$4),--$A$4,YEAR(TODAY()))),5,22),"")</f>
        <v/>
      </c>
      <c r="AD5" s="130">
        <f>IF(MONTH(DATE(IF(N($A$4)&gt;0,N($A$4),IF(ISNUMBER(--$A$4),--$A$4,YEAR(TODAY()))),5,29))=5,DATE(IF(N($A$4)&gt;0,N($A$4),IF(ISNUMBER(--$A$4),--$A$4,YEAR(TODAY()))),5,29),"")</f>
        <v/>
      </c>
      <c r="AE5" s="130">
        <f>IF(MONTH(DATE(IF(N($A$4)&gt;0,N($A$4),IF(ISNUMBER(--$A$4),--$A$4,YEAR(TODAY()))),6,1))=6,DATE(IF(N($A$4)&gt;0,N($A$4),IF(ISNUMBER(--$A$4),--$A$4,YEAR(TODAY()))),6,1),"")</f>
        <v/>
      </c>
      <c r="AF5" s="130">
        <f>IF(MONTH(DATE(IF(N($A$4)&gt;0,N($A$4),IF(ISNUMBER(--$A$4),--$A$4,YEAR(TODAY()))),6,8))=6,DATE(IF(N($A$4)&gt;0,N($A$4),IF(ISNUMBER(--$A$4),--$A$4,YEAR(TODAY()))),6,8),"")</f>
        <v/>
      </c>
      <c r="AG5" s="130">
        <f>IF(MONTH(DATE(IF(N($A$4)&gt;0,N($A$4),IF(ISNUMBER(--$A$4),--$A$4,YEAR(TODAY()))),6,15))=6,DATE(IF(N($A$4)&gt;0,N($A$4),IF(ISNUMBER(--$A$4),--$A$4,YEAR(TODAY()))),6,15),"")</f>
        <v/>
      </c>
      <c r="AH5" s="130">
        <f>IF(MONTH(DATE(IF(N($A$4)&gt;0,N($A$4),IF(ISNUMBER(--$A$4),--$A$4,YEAR(TODAY()))),6,22))=6,DATE(IF(N($A$4)&gt;0,N($A$4),IF(ISNUMBER(--$A$4),--$A$4,YEAR(TODAY()))),6,22),"")</f>
        <v/>
      </c>
      <c r="AI5" s="130">
        <f>IF(MONTH(DATE(IF(N($A$4)&gt;0,N($A$4),IF(ISNUMBER(--$A$4),--$A$4,YEAR(TODAY()))),6,29))=6,DATE(IF(N($A$4)&gt;0,N($A$4),IF(ISNUMBER(--$A$4),--$A$4,YEAR(TODAY()))),6,29),"")</f>
        <v/>
      </c>
      <c r="AJ5" s="130">
        <f>IF(MONTH(DATE(IF(N($A$4)&gt;0,N($A$4),IF(ISNUMBER(--$A$4),--$A$4,YEAR(TODAY()))),7,1))=7,DATE(IF(N($A$4)&gt;0,N($A$4),IF(ISNUMBER(--$A$4),--$A$4,YEAR(TODAY()))),7,1),"")</f>
        <v/>
      </c>
      <c r="AK5" s="130">
        <f>IF(MONTH(DATE(IF(N($A$4)&gt;0,N($A$4),IF(ISNUMBER(--$A$4),--$A$4,YEAR(TODAY()))),7,8))=7,DATE(IF(N($A$4)&gt;0,N($A$4),IF(ISNUMBER(--$A$4),--$A$4,YEAR(TODAY()))),7,8),"")</f>
        <v/>
      </c>
      <c r="AL5" s="130">
        <f>IF(MONTH(DATE(IF(N($A$4)&gt;0,N($A$4),IF(ISNUMBER(--$A$4),--$A$4,YEAR(TODAY()))),7,15))=7,DATE(IF(N($A$4)&gt;0,N($A$4),IF(ISNUMBER(--$A$4),--$A$4,YEAR(TODAY()))),7,15),"")</f>
        <v/>
      </c>
      <c r="AM5" s="130">
        <f>IF(MONTH(DATE(IF(N($A$4)&gt;0,N($A$4),IF(ISNUMBER(--$A$4),--$A$4,YEAR(TODAY()))),7,22))=7,DATE(IF(N($A$4)&gt;0,N($A$4),IF(ISNUMBER(--$A$4),--$A$4,YEAR(TODAY()))),7,22),"")</f>
        <v/>
      </c>
      <c r="AN5" s="130">
        <f>IF(MONTH(DATE(IF(N($A$4)&gt;0,N($A$4),IF(ISNUMBER(--$A$4),--$A$4,YEAR(TODAY()))),7,29))=7,DATE(IF(N($A$4)&gt;0,N($A$4),IF(ISNUMBER(--$A$4),--$A$4,YEAR(TODAY()))),7,29),"")</f>
        <v/>
      </c>
      <c r="AO5" s="130">
        <f>IF(MONTH(DATE(IF(N($A$4)&gt;0,N($A$4),IF(ISNUMBER(--$A$4),--$A$4,YEAR(TODAY()))),8,1))=8,DATE(IF(N($A$4)&gt;0,N($A$4),IF(ISNUMBER(--$A$4),--$A$4,YEAR(TODAY()))),8,1),"")</f>
        <v/>
      </c>
      <c r="AP5" s="130">
        <f>IF(MONTH(DATE(IF(N($A$4)&gt;0,N($A$4),IF(ISNUMBER(--$A$4),--$A$4,YEAR(TODAY()))),8,8))=8,DATE(IF(N($A$4)&gt;0,N($A$4),IF(ISNUMBER(--$A$4),--$A$4,YEAR(TODAY()))),8,8),"")</f>
        <v/>
      </c>
      <c r="AQ5" s="130">
        <f>IF(MONTH(DATE(IF(N($A$4)&gt;0,N($A$4),IF(ISNUMBER(--$A$4),--$A$4,YEAR(TODAY()))),8,15))=8,DATE(IF(N($A$4)&gt;0,N($A$4),IF(ISNUMBER(--$A$4),--$A$4,YEAR(TODAY()))),8,15),"")</f>
        <v/>
      </c>
      <c r="AR5" s="130">
        <f>IF(MONTH(DATE(IF(N($A$4)&gt;0,N($A$4),IF(ISNUMBER(--$A$4),--$A$4,YEAR(TODAY()))),8,22))=8,DATE(IF(N($A$4)&gt;0,N($A$4),IF(ISNUMBER(--$A$4),--$A$4,YEAR(TODAY()))),8,22),"")</f>
        <v/>
      </c>
      <c r="AS5" s="130">
        <f>IF(MONTH(DATE(IF(N($A$4)&gt;0,N($A$4),IF(ISNUMBER(--$A$4),--$A$4,YEAR(TODAY()))),8,29))=8,DATE(IF(N($A$4)&gt;0,N($A$4),IF(ISNUMBER(--$A$4),--$A$4,YEAR(TODAY()))),8,29),"")</f>
        <v/>
      </c>
      <c r="AT5" s="130">
        <f>IF(MONTH(DATE(IF(N($A$4)&gt;0,N($A$4),IF(ISNUMBER(--$A$4),--$A$4,YEAR(TODAY()))),9,1))=9,DATE(IF(N($A$4)&gt;0,N($A$4),IF(ISNUMBER(--$A$4),--$A$4,YEAR(TODAY()))),9,1),"")</f>
        <v/>
      </c>
      <c r="AU5" s="130">
        <f>IF(MONTH(DATE(IF(N($A$4)&gt;0,N($A$4),IF(ISNUMBER(--$A$4),--$A$4,YEAR(TODAY()))),9,8))=9,DATE(IF(N($A$4)&gt;0,N($A$4),IF(ISNUMBER(--$A$4),--$A$4,YEAR(TODAY()))),9,8),"")</f>
        <v/>
      </c>
      <c r="AV5" s="130">
        <f>IF(MONTH(DATE(IF(N($A$4)&gt;0,N($A$4),IF(ISNUMBER(--$A$4),--$A$4,YEAR(TODAY()))),9,15))=9,DATE(IF(N($A$4)&gt;0,N($A$4),IF(ISNUMBER(--$A$4),--$A$4,YEAR(TODAY()))),9,15),"")</f>
        <v/>
      </c>
      <c r="AW5" s="130">
        <f>IF(MONTH(DATE(IF(N($A$4)&gt;0,N($A$4),IF(ISNUMBER(--$A$4),--$A$4,YEAR(TODAY()))),9,22))=9,DATE(IF(N($A$4)&gt;0,N($A$4),IF(ISNUMBER(--$A$4),--$A$4,YEAR(TODAY()))),9,22),"")</f>
        <v/>
      </c>
      <c r="AX5" s="130">
        <f>IF(MONTH(DATE(IF(N($A$4)&gt;0,N($A$4),IF(ISNUMBER(--$A$4),--$A$4,YEAR(TODAY()))),9,29))=9,DATE(IF(N($A$4)&gt;0,N($A$4),IF(ISNUMBER(--$A$4),--$A$4,YEAR(TODAY()))),9,29),"")</f>
        <v/>
      </c>
      <c r="AY5" s="130">
        <f>IF(MONTH(DATE(IF(N($A$4)&gt;0,N($A$4),IF(ISNUMBER(--$A$4),--$A$4,YEAR(TODAY()))),10,1))=10,DATE(IF(N($A$4)&gt;0,N($A$4),IF(ISNUMBER(--$A$4),--$A$4,YEAR(TODAY()))),10,1),"")</f>
        <v/>
      </c>
      <c r="AZ5" s="130">
        <f>IF(MONTH(DATE(IF(N($A$4)&gt;0,N($A$4),IF(ISNUMBER(--$A$4),--$A$4,YEAR(TODAY()))),10,8))=10,DATE(IF(N($A$4)&gt;0,N($A$4),IF(ISNUMBER(--$A$4),--$A$4,YEAR(TODAY()))),10,8),"")</f>
        <v/>
      </c>
      <c r="BA5" s="130">
        <f>IF(MONTH(DATE(IF(N($A$4)&gt;0,N($A$4),IF(ISNUMBER(--$A$4),--$A$4,YEAR(TODAY()))),10,15))=10,DATE(IF(N($A$4)&gt;0,N($A$4),IF(ISNUMBER(--$A$4),--$A$4,YEAR(TODAY()))),10,15),"")</f>
        <v/>
      </c>
      <c r="BB5" s="130">
        <f>IF(MONTH(DATE(IF(N($A$4)&gt;0,N($A$4),IF(ISNUMBER(--$A$4),--$A$4,YEAR(TODAY()))),10,22))=10,DATE(IF(N($A$4)&gt;0,N($A$4),IF(ISNUMBER(--$A$4),--$A$4,YEAR(TODAY()))),10,22),"")</f>
        <v/>
      </c>
      <c r="BC5" s="130">
        <f>IF(MONTH(DATE(IF(N($A$4)&gt;0,N($A$4),IF(ISNUMBER(--$A$4),--$A$4,YEAR(TODAY()))),10,29))=10,DATE(IF(N($A$4)&gt;0,N($A$4),IF(ISNUMBER(--$A$4),--$A$4,YEAR(TODAY()))),10,29),"")</f>
        <v/>
      </c>
      <c r="BD5" s="130">
        <f>IF(MONTH(DATE(IF(N($A$4)&gt;0,N($A$4),IF(ISNUMBER(--$A$4),--$A$4,YEAR(TODAY()))),11,1))=11,DATE(IF(N($A$4)&gt;0,N($A$4),IF(ISNUMBER(--$A$4),--$A$4,YEAR(TODAY()))),11,1),"")</f>
        <v/>
      </c>
      <c r="BE5" s="130">
        <f>IF(MONTH(DATE(IF(N($A$4)&gt;0,N($A$4),IF(ISNUMBER(--$A$4),--$A$4,YEAR(TODAY()))),11,8))=11,DATE(IF(N($A$4)&gt;0,N($A$4),IF(ISNUMBER(--$A$4),--$A$4,YEAR(TODAY()))),11,8),"")</f>
        <v/>
      </c>
      <c r="BF5" s="130">
        <f>IF(MONTH(DATE(IF(N($A$4)&gt;0,N($A$4),IF(ISNUMBER(--$A$4),--$A$4,YEAR(TODAY()))),11,15))=11,DATE(IF(N($A$4)&gt;0,N($A$4),IF(ISNUMBER(--$A$4),--$A$4,YEAR(TODAY()))),11,15),"")</f>
        <v/>
      </c>
      <c r="BG5" s="130">
        <f>IF(MONTH(DATE(IF(N($A$4)&gt;0,N($A$4),IF(ISNUMBER(--$A$4),--$A$4,YEAR(TODAY()))),11,22))=11,DATE(IF(N($A$4)&gt;0,N($A$4),IF(ISNUMBER(--$A$4),--$A$4,YEAR(TODAY()))),11,22),"")</f>
        <v/>
      </c>
      <c r="BH5" s="130">
        <f>IF(MONTH(DATE(IF(N($A$4)&gt;0,N($A$4),IF(ISNUMBER(--$A$4),--$A$4,YEAR(TODAY()))),11,29))=11,DATE(IF(N($A$4)&gt;0,N($A$4),IF(ISNUMBER(--$A$4),--$A$4,YEAR(TODAY()))),11,29),"")</f>
        <v/>
      </c>
      <c r="BI5" s="130">
        <f>IF(MONTH(DATE(IF(N($A$4)&gt;0,N($A$4),IF(ISNUMBER(--$A$4),--$A$4,YEAR(TODAY()))),12,1))=12,DATE(IF(N($A$4)&gt;0,N($A$4),IF(ISNUMBER(--$A$4),--$A$4,YEAR(TODAY()))),12,1),"")</f>
        <v/>
      </c>
      <c r="BJ5" s="130">
        <f>IF(MONTH(DATE(IF(N($A$4)&gt;0,N($A$4),IF(ISNUMBER(--$A$4),--$A$4,YEAR(TODAY()))),12,8))=12,DATE(IF(N($A$4)&gt;0,N($A$4),IF(ISNUMBER(--$A$4),--$A$4,YEAR(TODAY()))),12,8),"")</f>
        <v/>
      </c>
      <c r="BK5" s="130">
        <f>IF(MONTH(DATE(IF(N($A$4)&gt;0,N($A$4),IF(ISNUMBER(--$A$4),--$A$4,YEAR(TODAY()))),12,15))=12,DATE(IF(N($A$4)&gt;0,N($A$4),IF(ISNUMBER(--$A$4),--$A$4,YEAR(TODAY()))),12,15),"")</f>
        <v/>
      </c>
      <c r="BL5" s="130">
        <f>IF(MONTH(DATE(IF(N($A$4)&gt;0,N($A$4),IF(ISNUMBER(--$A$4),--$A$4,YEAR(TODAY()))),12,22))=12,DATE(IF(N($A$4)&gt;0,N($A$4),IF(ISNUMBER(--$A$4),--$A$4,YEAR(TODAY()))),12,22),"")</f>
        <v/>
      </c>
      <c r="BM5" s="130">
        <f>IF(MONTH(DATE(IF(N($A$4)&gt;0,N($A$4),IF(ISNUMBER(--$A$4),--$A$4,YEAR(TODAY()))),12,29))=12,DATE(IF(N($A$4)&gt;0,N($A$4),IF(ISNUMBER(--$A$4),--$A$4,YEAR(TODAY()))),12,29),"")</f>
        <v/>
      </c>
    </row>
    <row r="6" ht="20" customHeight="1">
      <c r="A6" s="58" t="inlineStr">
        <is>
          <t>Atividade (vem do Plano)</t>
        </is>
      </c>
      <c r="B6" s="49" t="n"/>
      <c r="C6" s="49" t="n"/>
      <c r="D6" s="49" t="n"/>
      <c r="E6" s="49" t="n"/>
      <c r="F6" s="131" t="inlineStr">
        <is>
          <t>JAN</t>
        </is>
      </c>
      <c r="G6" s="49" t="n"/>
      <c r="H6" s="49" t="n"/>
      <c r="I6" s="49" t="n"/>
      <c r="J6" s="49" t="n"/>
      <c r="K6" s="131" t="inlineStr">
        <is>
          <t>FEV</t>
        </is>
      </c>
      <c r="L6" s="49" t="n"/>
      <c r="M6" s="49" t="n"/>
      <c r="N6" s="49" t="n"/>
      <c r="O6" s="49" t="n"/>
      <c r="P6" s="131" t="inlineStr">
        <is>
          <t>MAR</t>
        </is>
      </c>
      <c r="Q6" s="49" t="n"/>
      <c r="R6" s="49" t="n"/>
      <c r="S6" s="49" t="n"/>
      <c r="T6" s="49" t="n"/>
      <c r="U6" s="131" t="inlineStr">
        <is>
          <t>ABR</t>
        </is>
      </c>
      <c r="V6" s="49" t="n"/>
      <c r="W6" s="49" t="n"/>
      <c r="X6" s="49" t="n"/>
      <c r="Y6" s="49" t="n"/>
      <c r="Z6" s="131" t="inlineStr">
        <is>
          <t>MAI</t>
        </is>
      </c>
      <c r="AA6" s="49" t="n"/>
      <c r="AB6" s="49" t="n"/>
      <c r="AC6" s="49" t="n"/>
      <c r="AD6" s="49" t="n"/>
      <c r="AE6" s="131" t="inlineStr">
        <is>
          <t>JUN</t>
        </is>
      </c>
      <c r="AF6" s="49" t="n"/>
      <c r="AG6" s="49" t="n"/>
      <c r="AH6" s="49" t="n"/>
      <c r="AI6" s="49" t="n"/>
      <c r="AJ6" s="131" t="inlineStr">
        <is>
          <t>JUL</t>
        </is>
      </c>
      <c r="AK6" s="49" t="n"/>
      <c r="AL6" s="49" t="n"/>
      <c r="AM6" s="49" t="n"/>
      <c r="AN6" s="49" t="n"/>
      <c r="AO6" s="131" t="inlineStr">
        <is>
          <t>AGO</t>
        </is>
      </c>
      <c r="AP6" s="49" t="n"/>
      <c r="AQ6" s="49" t="n"/>
      <c r="AR6" s="49" t="n"/>
      <c r="AS6" s="49" t="n"/>
      <c r="AT6" s="131" t="inlineStr">
        <is>
          <t>SET</t>
        </is>
      </c>
      <c r="AU6" s="49" t="n"/>
      <c r="AV6" s="49" t="n"/>
      <c r="AW6" s="49" t="n"/>
      <c r="AX6" s="49" t="n"/>
      <c r="AY6" s="131" t="inlineStr">
        <is>
          <t>OUT</t>
        </is>
      </c>
      <c r="AZ6" s="49" t="n"/>
      <c r="BA6" s="49" t="n"/>
      <c r="BB6" s="49" t="n"/>
      <c r="BC6" s="49" t="n"/>
      <c r="BD6" s="131" t="inlineStr">
        <is>
          <t>NOV</t>
        </is>
      </c>
      <c r="BE6" s="49" t="n"/>
      <c r="BF6" s="49" t="n"/>
      <c r="BG6" s="49" t="n"/>
      <c r="BH6" s="49" t="n"/>
      <c r="BI6" s="132" t="inlineStr">
        <is>
          <t>DEZ</t>
        </is>
      </c>
      <c r="BJ6" s="49" t="n"/>
      <c r="BK6" s="49" t="n"/>
      <c r="BL6" s="49" t="n"/>
      <c r="BM6" s="51" t="n"/>
    </row>
    <row r="7" ht="24" customHeight="1">
      <c r="A7" s="62" t="inlineStr">
        <is>
          <t>Nº</t>
        </is>
      </c>
      <c r="B7" s="63" t="inlineStr">
        <is>
          <t>TAG</t>
        </is>
      </c>
      <c r="C7" s="63" t="inlineStr">
        <is>
          <t>Equipamento</t>
        </is>
      </c>
      <c r="D7" s="63" t="inlineStr">
        <is>
          <t>Atividade</t>
        </is>
      </c>
      <c r="E7" s="63" t="inlineStr">
        <is>
          <t>A cada (dias)</t>
        </is>
      </c>
      <c r="F7" s="133" t="n">
        <v>1</v>
      </c>
      <c r="G7" s="134" t="n">
        <v>2</v>
      </c>
      <c r="H7" s="134" t="n">
        <v>3</v>
      </c>
      <c r="I7" s="134" t="n">
        <v>4</v>
      </c>
      <c r="J7" s="134">
        <f>IF(ISNUMBER(J$5),5,"–")</f>
        <v/>
      </c>
      <c r="K7" s="133" t="n">
        <v>1</v>
      </c>
      <c r="L7" s="134" t="n">
        <v>2</v>
      </c>
      <c r="M7" s="134" t="n">
        <v>3</v>
      </c>
      <c r="N7" s="134" t="n">
        <v>4</v>
      </c>
      <c r="O7" s="134">
        <f>IF(ISNUMBER(O$5),5,"–")</f>
        <v/>
      </c>
      <c r="P7" s="133" t="n">
        <v>1</v>
      </c>
      <c r="Q7" s="134" t="n">
        <v>2</v>
      </c>
      <c r="R7" s="134" t="n">
        <v>3</v>
      </c>
      <c r="S7" s="134" t="n">
        <v>4</v>
      </c>
      <c r="T7" s="134">
        <f>IF(ISNUMBER(T$5),5,"–")</f>
        <v/>
      </c>
      <c r="U7" s="133" t="n">
        <v>1</v>
      </c>
      <c r="V7" s="134" t="n">
        <v>2</v>
      </c>
      <c r="W7" s="134" t="n">
        <v>3</v>
      </c>
      <c r="X7" s="134" t="n">
        <v>4</v>
      </c>
      <c r="Y7" s="134">
        <f>IF(ISNUMBER(Y$5),5,"–")</f>
        <v/>
      </c>
      <c r="Z7" s="133" t="n">
        <v>1</v>
      </c>
      <c r="AA7" s="134" t="n">
        <v>2</v>
      </c>
      <c r="AB7" s="134" t="n">
        <v>3</v>
      </c>
      <c r="AC7" s="134" t="n">
        <v>4</v>
      </c>
      <c r="AD7" s="134">
        <f>IF(ISNUMBER(AD$5),5,"–")</f>
        <v/>
      </c>
      <c r="AE7" s="133" t="n">
        <v>1</v>
      </c>
      <c r="AF7" s="134" t="n">
        <v>2</v>
      </c>
      <c r="AG7" s="134" t="n">
        <v>3</v>
      </c>
      <c r="AH7" s="134" t="n">
        <v>4</v>
      </c>
      <c r="AI7" s="134">
        <f>IF(ISNUMBER(AI$5),5,"–")</f>
        <v/>
      </c>
      <c r="AJ7" s="133" t="n">
        <v>1</v>
      </c>
      <c r="AK7" s="134" t="n">
        <v>2</v>
      </c>
      <c r="AL7" s="134" t="n">
        <v>3</v>
      </c>
      <c r="AM7" s="134" t="n">
        <v>4</v>
      </c>
      <c r="AN7" s="134">
        <f>IF(ISNUMBER(AN$5),5,"–")</f>
        <v/>
      </c>
      <c r="AO7" s="133" t="n">
        <v>1</v>
      </c>
      <c r="AP7" s="134" t="n">
        <v>2</v>
      </c>
      <c r="AQ7" s="134" t="n">
        <v>3</v>
      </c>
      <c r="AR7" s="134" t="n">
        <v>4</v>
      </c>
      <c r="AS7" s="134">
        <f>IF(ISNUMBER(AS$5),5,"–")</f>
        <v/>
      </c>
      <c r="AT7" s="133" t="n">
        <v>1</v>
      </c>
      <c r="AU7" s="134" t="n">
        <v>2</v>
      </c>
      <c r="AV7" s="134" t="n">
        <v>3</v>
      </c>
      <c r="AW7" s="134" t="n">
        <v>4</v>
      </c>
      <c r="AX7" s="134">
        <f>IF(ISNUMBER(AX$5),5,"–")</f>
        <v/>
      </c>
      <c r="AY7" s="133" t="n">
        <v>1</v>
      </c>
      <c r="AZ7" s="134" t="n">
        <v>2</v>
      </c>
      <c r="BA7" s="134" t="n">
        <v>3</v>
      </c>
      <c r="BB7" s="134" t="n">
        <v>4</v>
      </c>
      <c r="BC7" s="134">
        <f>IF(ISNUMBER(BC$5),5,"–")</f>
        <v/>
      </c>
      <c r="BD7" s="133" t="n">
        <v>1</v>
      </c>
      <c r="BE7" s="134" t="n">
        <v>2</v>
      </c>
      <c r="BF7" s="134" t="n">
        <v>3</v>
      </c>
      <c r="BG7" s="134" t="n">
        <v>4</v>
      </c>
      <c r="BH7" s="134">
        <f>IF(ISNUMBER(BH$5),5,"–")</f>
        <v/>
      </c>
      <c r="BI7" s="133" t="n">
        <v>1</v>
      </c>
      <c r="BJ7" s="134" t="n">
        <v>2</v>
      </c>
      <c r="BK7" s="134" t="n">
        <v>3</v>
      </c>
      <c r="BL7" s="134" t="n">
        <v>4</v>
      </c>
      <c r="BM7" s="135">
        <f>IF(ISNUMBER(BM$5),5,"–")</f>
        <v/>
      </c>
    </row>
    <row r="8" ht="18" customHeight="1">
      <c r="A8" s="118">
        <f>Plano!A5</f>
        <v/>
      </c>
      <c r="B8" s="136">
        <f>IF(Plano!B5="","",Plano!B5)</f>
        <v/>
      </c>
      <c r="C8" s="70">
        <f>IF(B8="","",IFERROR(INDEX(tb_pcm_ativos[descricao_ativo],MATCH(B8,tb_pcm_ativos[tag],0)),"fora do cadastro"))</f>
        <v/>
      </c>
      <c r="D8" s="70">
        <f>IF(Plano!E5="","",Plano!E5)</f>
        <v/>
      </c>
      <c r="E8" s="137">
        <f>IF(Plano!G5="","",Plano!G5)</f>
        <v/>
      </c>
      <c r="F8" s="138">
        <f>IF(OR(NOT(ISNUMBER(F$5)),N(Plano!$G5)=0,N(Plano!$L5)=0),"",IF(Plano!$L5+Plano!$G5*MAX(0,ROUNDUP((F$5-Plano!$L5)/Plano!$G5,0))&lt;=IF(DAY(F$5)&gt;=29,EOMONTH(F$5,0),F$5+6),"●",""))</f>
        <v/>
      </c>
      <c r="G8" s="138">
        <f>IF(OR(NOT(ISNUMBER(G$5)),N(Plano!$G5)=0,N(Plano!$L5)=0),"",IF(Plano!$L5+Plano!$G5*MAX(0,ROUNDUP((G$5-Plano!$L5)/Plano!$G5,0))&lt;=IF(DAY(G$5)&gt;=29,EOMONTH(G$5,0),G$5+6),"●",""))</f>
        <v/>
      </c>
      <c r="H8" s="138">
        <f>IF(OR(NOT(ISNUMBER(H$5)),N(Plano!$G5)=0,N(Plano!$L5)=0),"",IF(Plano!$L5+Plano!$G5*MAX(0,ROUNDUP((H$5-Plano!$L5)/Plano!$G5,0))&lt;=IF(DAY(H$5)&gt;=29,EOMONTH(H$5,0),H$5+6),"●",""))</f>
        <v/>
      </c>
      <c r="I8" s="138">
        <f>IF(OR(NOT(ISNUMBER(I$5)),N(Plano!$G5)=0,N(Plano!$L5)=0),"",IF(Plano!$L5+Plano!$G5*MAX(0,ROUNDUP((I$5-Plano!$L5)/Plano!$G5,0))&lt;=IF(DAY(I$5)&gt;=29,EOMONTH(I$5,0),I$5+6),"●",""))</f>
        <v/>
      </c>
      <c r="J8" s="138">
        <f>IF(OR(NOT(ISNUMBER(J$5)),N(Plano!$G5)=0,N(Plano!$L5)=0),"",IF(Plano!$L5+Plano!$G5*MAX(0,ROUNDUP((J$5-Plano!$L5)/Plano!$G5,0))&lt;=IF(DAY(J$5)&gt;=29,EOMONTH(J$5,0),J$5+6),"●",""))</f>
        <v/>
      </c>
      <c r="K8" s="139">
        <f>IF(OR(NOT(ISNUMBER(K$5)),N(Plano!$G5)=0,N(Plano!$L5)=0),"",IF(Plano!$L5+Plano!$G5*MAX(0,ROUNDUP((K$5-Plano!$L5)/Plano!$G5,0))&lt;=IF(DAY(K$5)&gt;=29,EOMONTH(K$5,0),K$5+6),"●",""))</f>
        <v/>
      </c>
      <c r="L8" s="138">
        <f>IF(OR(NOT(ISNUMBER(L$5)),N(Plano!$G5)=0,N(Plano!$L5)=0),"",IF(Plano!$L5+Plano!$G5*MAX(0,ROUNDUP((L$5-Plano!$L5)/Plano!$G5,0))&lt;=IF(DAY(L$5)&gt;=29,EOMONTH(L$5,0),L$5+6),"●",""))</f>
        <v/>
      </c>
      <c r="M8" s="138">
        <f>IF(OR(NOT(ISNUMBER(M$5)),N(Plano!$G5)=0,N(Plano!$L5)=0),"",IF(Plano!$L5+Plano!$G5*MAX(0,ROUNDUP((M$5-Plano!$L5)/Plano!$G5,0))&lt;=IF(DAY(M$5)&gt;=29,EOMONTH(M$5,0),M$5+6),"●",""))</f>
        <v/>
      </c>
      <c r="N8" s="138">
        <f>IF(OR(NOT(ISNUMBER(N$5)),N(Plano!$G5)=0,N(Plano!$L5)=0),"",IF(Plano!$L5+Plano!$G5*MAX(0,ROUNDUP((N$5-Plano!$L5)/Plano!$G5,0))&lt;=IF(DAY(N$5)&gt;=29,EOMONTH(N$5,0),N$5+6),"●",""))</f>
        <v/>
      </c>
      <c r="O8" s="138">
        <f>IF(OR(NOT(ISNUMBER(O$5)),N(Plano!$G5)=0,N(Plano!$L5)=0),"",IF(Plano!$L5+Plano!$G5*MAX(0,ROUNDUP((O$5-Plano!$L5)/Plano!$G5,0))&lt;=IF(DAY(O$5)&gt;=29,EOMONTH(O$5,0),O$5+6),"●",""))</f>
        <v/>
      </c>
      <c r="P8" s="139">
        <f>IF(OR(NOT(ISNUMBER(P$5)),N(Plano!$G5)=0,N(Plano!$L5)=0),"",IF(Plano!$L5+Plano!$G5*MAX(0,ROUNDUP((P$5-Plano!$L5)/Plano!$G5,0))&lt;=IF(DAY(P$5)&gt;=29,EOMONTH(P$5,0),P$5+6),"●",""))</f>
        <v/>
      </c>
      <c r="Q8" s="138">
        <f>IF(OR(NOT(ISNUMBER(Q$5)),N(Plano!$G5)=0,N(Plano!$L5)=0),"",IF(Plano!$L5+Plano!$G5*MAX(0,ROUNDUP((Q$5-Plano!$L5)/Plano!$G5,0))&lt;=IF(DAY(Q$5)&gt;=29,EOMONTH(Q$5,0),Q$5+6),"●",""))</f>
        <v/>
      </c>
      <c r="R8" s="138">
        <f>IF(OR(NOT(ISNUMBER(R$5)),N(Plano!$G5)=0,N(Plano!$L5)=0),"",IF(Plano!$L5+Plano!$G5*MAX(0,ROUNDUP((R$5-Plano!$L5)/Plano!$G5,0))&lt;=IF(DAY(R$5)&gt;=29,EOMONTH(R$5,0),R$5+6),"●",""))</f>
        <v/>
      </c>
      <c r="S8" s="138">
        <f>IF(OR(NOT(ISNUMBER(S$5)),N(Plano!$G5)=0,N(Plano!$L5)=0),"",IF(Plano!$L5+Plano!$G5*MAX(0,ROUNDUP((S$5-Plano!$L5)/Plano!$G5,0))&lt;=IF(DAY(S$5)&gt;=29,EOMONTH(S$5,0),S$5+6),"●",""))</f>
        <v/>
      </c>
      <c r="T8" s="138">
        <f>IF(OR(NOT(ISNUMBER(T$5)),N(Plano!$G5)=0,N(Plano!$L5)=0),"",IF(Plano!$L5+Plano!$G5*MAX(0,ROUNDUP((T$5-Plano!$L5)/Plano!$G5,0))&lt;=IF(DAY(T$5)&gt;=29,EOMONTH(T$5,0),T$5+6),"●",""))</f>
        <v/>
      </c>
      <c r="U8" s="139">
        <f>IF(OR(NOT(ISNUMBER(U$5)),N(Plano!$G5)=0,N(Plano!$L5)=0),"",IF(Plano!$L5+Plano!$G5*MAX(0,ROUNDUP((U$5-Plano!$L5)/Plano!$G5,0))&lt;=IF(DAY(U$5)&gt;=29,EOMONTH(U$5,0),U$5+6),"●",""))</f>
        <v/>
      </c>
      <c r="V8" s="138">
        <f>IF(OR(NOT(ISNUMBER(V$5)),N(Plano!$G5)=0,N(Plano!$L5)=0),"",IF(Plano!$L5+Plano!$G5*MAX(0,ROUNDUP((V$5-Plano!$L5)/Plano!$G5,0))&lt;=IF(DAY(V$5)&gt;=29,EOMONTH(V$5,0),V$5+6),"●",""))</f>
        <v/>
      </c>
      <c r="W8" s="138">
        <f>IF(OR(NOT(ISNUMBER(W$5)),N(Plano!$G5)=0,N(Plano!$L5)=0),"",IF(Plano!$L5+Plano!$G5*MAX(0,ROUNDUP((W$5-Plano!$L5)/Plano!$G5,0))&lt;=IF(DAY(W$5)&gt;=29,EOMONTH(W$5,0),W$5+6),"●",""))</f>
        <v/>
      </c>
      <c r="X8" s="138">
        <f>IF(OR(NOT(ISNUMBER(X$5)),N(Plano!$G5)=0,N(Plano!$L5)=0),"",IF(Plano!$L5+Plano!$G5*MAX(0,ROUNDUP((X$5-Plano!$L5)/Plano!$G5,0))&lt;=IF(DAY(X$5)&gt;=29,EOMONTH(X$5,0),X$5+6),"●",""))</f>
        <v/>
      </c>
      <c r="Y8" s="138">
        <f>IF(OR(NOT(ISNUMBER(Y$5)),N(Plano!$G5)=0,N(Plano!$L5)=0),"",IF(Plano!$L5+Plano!$G5*MAX(0,ROUNDUP((Y$5-Plano!$L5)/Plano!$G5,0))&lt;=IF(DAY(Y$5)&gt;=29,EOMONTH(Y$5,0),Y$5+6),"●",""))</f>
        <v/>
      </c>
      <c r="Z8" s="139">
        <f>IF(OR(NOT(ISNUMBER(Z$5)),N(Plano!$G5)=0,N(Plano!$L5)=0),"",IF(Plano!$L5+Plano!$G5*MAX(0,ROUNDUP((Z$5-Plano!$L5)/Plano!$G5,0))&lt;=IF(DAY(Z$5)&gt;=29,EOMONTH(Z$5,0),Z$5+6),"●",""))</f>
        <v/>
      </c>
      <c r="AA8" s="138">
        <f>IF(OR(NOT(ISNUMBER(AA$5)),N(Plano!$G5)=0,N(Plano!$L5)=0),"",IF(Plano!$L5+Plano!$G5*MAX(0,ROUNDUP((AA$5-Plano!$L5)/Plano!$G5,0))&lt;=IF(DAY(AA$5)&gt;=29,EOMONTH(AA$5,0),AA$5+6),"●",""))</f>
        <v/>
      </c>
      <c r="AB8" s="138">
        <f>IF(OR(NOT(ISNUMBER(AB$5)),N(Plano!$G5)=0,N(Plano!$L5)=0),"",IF(Plano!$L5+Plano!$G5*MAX(0,ROUNDUP((AB$5-Plano!$L5)/Plano!$G5,0))&lt;=IF(DAY(AB$5)&gt;=29,EOMONTH(AB$5,0),AB$5+6),"●",""))</f>
        <v/>
      </c>
      <c r="AC8" s="138">
        <f>IF(OR(NOT(ISNUMBER(AC$5)),N(Plano!$G5)=0,N(Plano!$L5)=0),"",IF(Plano!$L5+Plano!$G5*MAX(0,ROUNDUP((AC$5-Plano!$L5)/Plano!$G5,0))&lt;=IF(DAY(AC$5)&gt;=29,EOMONTH(AC$5,0),AC$5+6),"●",""))</f>
        <v/>
      </c>
      <c r="AD8" s="138">
        <f>IF(OR(NOT(ISNUMBER(AD$5)),N(Plano!$G5)=0,N(Plano!$L5)=0),"",IF(Plano!$L5+Plano!$G5*MAX(0,ROUNDUP((AD$5-Plano!$L5)/Plano!$G5,0))&lt;=IF(DAY(AD$5)&gt;=29,EOMONTH(AD$5,0),AD$5+6),"●",""))</f>
        <v/>
      </c>
      <c r="AE8" s="139">
        <f>IF(OR(NOT(ISNUMBER(AE$5)),N(Plano!$G5)=0,N(Plano!$L5)=0),"",IF(Plano!$L5+Plano!$G5*MAX(0,ROUNDUP((AE$5-Plano!$L5)/Plano!$G5,0))&lt;=IF(DAY(AE$5)&gt;=29,EOMONTH(AE$5,0),AE$5+6),"●",""))</f>
        <v/>
      </c>
      <c r="AF8" s="138">
        <f>IF(OR(NOT(ISNUMBER(AF$5)),N(Plano!$G5)=0,N(Plano!$L5)=0),"",IF(Plano!$L5+Plano!$G5*MAX(0,ROUNDUP((AF$5-Plano!$L5)/Plano!$G5,0))&lt;=IF(DAY(AF$5)&gt;=29,EOMONTH(AF$5,0),AF$5+6),"●",""))</f>
        <v/>
      </c>
      <c r="AG8" s="138">
        <f>IF(OR(NOT(ISNUMBER(AG$5)),N(Plano!$G5)=0,N(Plano!$L5)=0),"",IF(Plano!$L5+Plano!$G5*MAX(0,ROUNDUP((AG$5-Plano!$L5)/Plano!$G5,0))&lt;=IF(DAY(AG$5)&gt;=29,EOMONTH(AG$5,0),AG$5+6),"●",""))</f>
        <v/>
      </c>
      <c r="AH8" s="138">
        <f>IF(OR(NOT(ISNUMBER(AH$5)),N(Plano!$G5)=0,N(Plano!$L5)=0),"",IF(Plano!$L5+Plano!$G5*MAX(0,ROUNDUP((AH$5-Plano!$L5)/Plano!$G5,0))&lt;=IF(DAY(AH$5)&gt;=29,EOMONTH(AH$5,0),AH$5+6),"●",""))</f>
        <v/>
      </c>
      <c r="AI8" s="138">
        <f>IF(OR(NOT(ISNUMBER(AI$5)),N(Plano!$G5)=0,N(Plano!$L5)=0),"",IF(Plano!$L5+Plano!$G5*MAX(0,ROUNDUP((AI$5-Plano!$L5)/Plano!$G5,0))&lt;=IF(DAY(AI$5)&gt;=29,EOMONTH(AI$5,0),AI$5+6),"●",""))</f>
        <v/>
      </c>
      <c r="AJ8" s="139">
        <f>IF(OR(NOT(ISNUMBER(AJ$5)),N(Plano!$G5)=0,N(Plano!$L5)=0),"",IF(Plano!$L5+Plano!$G5*MAX(0,ROUNDUP((AJ$5-Plano!$L5)/Plano!$G5,0))&lt;=IF(DAY(AJ$5)&gt;=29,EOMONTH(AJ$5,0),AJ$5+6),"●",""))</f>
        <v/>
      </c>
      <c r="AK8" s="138">
        <f>IF(OR(NOT(ISNUMBER(AK$5)),N(Plano!$G5)=0,N(Plano!$L5)=0),"",IF(Plano!$L5+Plano!$G5*MAX(0,ROUNDUP((AK$5-Plano!$L5)/Plano!$G5,0))&lt;=IF(DAY(AK$5)&gt;=29,EOMONTH(AK$5,0),AK$5+6),"●",""))</f>
        <v/>
      </c>
      <c r="AL8" s="138">
        <f>IF(OR(NOT(ISNUMBER(AL$5)),N(Plano!$G5)=0,N(Plano!$L5)=0),"",IF(Plano!$L5+Plano!$G5*MAX(0,ROUNDUP((AL$5-Plano!$L5)/Plano!$G5,0))&lt;=IF(DAY(AL$5)&gt;=29,EOMONTH(AL$5,0),AL$5+6),"●",""))</f>
        <v/>
      </c>
      <c r="AM8" s="138">
        <f>IF(OR(NOT(ISNUMBER(AM$5)),N(Plano!$G5)=0,N(Plano!$L5)=0),"",IF(Plano!$L5+Plano!$G5*MAX(0,ROUNDUP((AM$5-Plano!$L5)/Plano!$G5,0))&lt;=IF(DAY(AM$5)&gt;=29,EOMONTH(AM$5,0),AM$5+6),"●",""))</f>
        <v/>
      </c>
      <c r="AN8" s="138">
        <f>IF(OR(NOT(ISNUMBER(AN$5)),N(Plano!$G5)=0,N(Plano!$L5)=0),"",IF(Plano!$L5+Plano!$G5*MAX(0,ROUNDUP((AN$5-Plano!$L5)/Plano!$G5,0))&lt;=IF(DAY(AN$5)&gt;=29,EOMONTH(AN$5,0),AN$5+6),"●",""))</f>
        <v/>
      </c>
      <c r="AO8" s="139">
        <f>IF(OR(NOT(ISNUMBER(AO$5)),N(Plano!$G5)=0,N(Plano!$L5)=0),"",IF(Plano!$L5+Plano!$G5*MAX(0,ROUNDUP((AO$5-Plano!$L5)/Plano!$G5,0))&lt;=IF(DAY(AO$5)&gt;=29,EOMONTH(AO$5,0),AO$5+6),"●",""))</f>
        <v/>
      </c>
      <c r="AP8" s="138">
        <f>IF(OR(NOT(ISNUMBER(AP$5)),N(Plano!$G5)=0,N(Plano!$L5)=0),"",IF(Plano!$L5+Plano!$G5*MAX(0,ROUNDUP((AP$5-Plano!$L5)/Plano!$G5,0))&lt;=IF(DAY(AP$5)&gt;=29,EOMONTH(AP$5,0),AP$5+6),"●",""))</f>
        <v/>
      </c>
      <c r="AQ8" s="138">
        <f>IF(OR(NOT(ISNUMBER(AQ$5)),N(Plano!$G5)=0,N(Plano!$L5)=0),"",IF(Plano!$L5+Plano!$G5*MAX(0,ROUNDUP((AQ$5-Plano!$L5)/Plano!$G5,0))&lt;=IF(DAY(AQ$5)&gt;=29,EOMONTH(AQ$5,0),AQ$5+6),"●",""))</f>
        <v/>
      </c>
      <c r="AR8" s="138">
        <f>IF(OR(NOT(ISNUMBER(AR$5)),N(Plano!$G5)=0,N(Plano!$L5)=0),"",IF(Plano!$L5+Plano!$G5*MAX(0,ROUNDUP((AR$5-Plano!$L5)/Plano!$G5,0))&lt;=IF(DAY(AR$5)&gt;=29,EOMONTH(AR$5,0),AR$5+6),"●",""))</f>
        <v/>
      </c>
      <c r="AS8" s="138">
        <f>IF(OR(NOT(ISNUMBER(AS$5)),N(Plano!$G5)=0,N(Plano!$L5)=0),"",IF(Plano!$L5+Plano!$G5*MAX(0,ROUNDUP((AS$5-Plano!$L5)/Plano!$G5,0))&lt;=IF(DAY(AS$5)&gt;=29,EOMONTH(AS$5,0),AS$5+6),"●",""))</f>
        <v/>
      </c>
      <c r="AT8" s="139">
        <f>IF(OR(NOT(ISNUMBER(AT$5)),N(Plano!$G5)=0,N(Plano!$L5)=0),"",IF(Plano!$L5+Plano!$G5*MAX(0,ROUNDUP((AT$5-Plano!$L5)/Plano!$G5,0))&lt;=IF(DAY(AT$5)&gt;=29,EOMONTH(AT$5,0),AT$5+6),"●",""))</f>
        <v/>
      </c>
      <c r="AU8" s="138">
        <f>IF(OR(NOT(ISNUMBER(AU$5)),N(Plano!$G5)=0,N(Plano!$L5)=0),"",IF(Plano!$L5+Plano!$G5*MAX(0,ROUNDUP((AU$5-Plano!$L5)/Plano!$G5,0))&lt;=IF(DAY(AU$5)&gt;=29,EOMONTH(AU$5,0),AU$5+6),"●",""))</f>
        <v/>
      </c>
      <c r="AV8" s="138">
        <f>IF(OR(NOT(ISNUMBER(AV$5)),N(Plano!$G5)=0,N(Plano!$L5)=0),"",IF(Plano!$L5+Plano!$G5*MAX(0,ROUNDUP((AV$5-Plano!$L5)/Plano!$G5,0))&lt;=IF(DAY(AV$5)&gt;=29,EOMONTH(AV$5,0),AV$5+6),"●",""))</f>
        <v/>
      </c>
      <c r="AW8" s="138">
        <f>IF(OR(NOT(ISNUMBER(AW$5)),N(Plano!$G5)=0,N(Plano!$L5)=0),"",IF(Plano!$L5+Plano!$G5*MAX(0,ROUNDUP((AW$5-Plano!$L5)/Plano!$G5,0))&lt;=IF(DAY(AW$5)&gt;=29,EOMONTH(AW$5,0),AW$5+6),"●",""))</f>
        <v/>
      </c>
      <c r="AX8" s="138">
        <f>IF(OR(NOT(ISNUMBER(AX$5)),N(Plano!$G5)=0,N(Plano!$L5)=0),"",IF(Plano!$L5+Plano!$G5*MAX(0,ROUNDUP((AX$5-Plano!$L5)/Plano!$G5,0))&lt;=IF(DAY(AX$5)&gt;=29,EOMONTH(AX$5,0),AX$5+6),"●",""))</f>
        <v/>
      </c>
      <c r="AY8" s="139">
        <f>IF(OR(NOT(ISNUMBER(AY$5)),N(Plano!$G5)=0,N(Plano!$L5)=0),"",IF(Plano!$L5+Plano!$G5*MAX(0,ROUNDUP((AY$5-Plano!$L5)/Plano!$G5,0))&lt;=IF(DAY(AY$5)&gt;=29,EOMONTH(AY$5,0),AY$5+6),"●",""))</f>
        <v/>
      </c>
      <c r="AZ8" s="138">
        <f>IF(OR(NOT(ISNUMBER(AZ$5)),N(Plano!$G5)=0,N(Plano!$L5)=0),"",IF(Plano!$L5+Plano!$G5*MAX(0,ROUNDUP((AZ$5-Plano!$L5)/Plano!$G5,0))&lt;=IF(DAY(AZ$5)&gt;=29,EOMONTH(AZ$5,0),AZ$5+6),"●",""))</f>
        <v/>
      </c>
      <c r="BA8" s="138">
        <f>IF(OR(NOT(ISNUMBER(BA$5)),N(Plano!$G5)=0,N(Plano!$L5)=0),"",IF(Plano!$L5+Plano!$G5*MAX(0,ROUNDUP((BA$5-Plano!$L5)/Plano!$G5,0))&lt;=IF(DAY(BA$5)&gt;=29,EOMONTH(BA$5,0),BA$5+6),"●",""))</f>
        <v/>
      </c>
      <c r="BB8" s="138">
        <f>IF(OR(NOT(ISNUMBER(BB$5)),N(Plano!$G5)=0,N(Plano!$L5)=0),"",IF(Plano!$L5+Plano!$G5*MAX(0,ROUNDUP((BB$5-Plano!$L5)/Plano!$G5,0))&lt;=IF(DAY(BB$5)&gt;=29,EOMONTH(BB$5,0),BB$5+6),"●",""))</f>
        <v/>
      </c>
      <c r="BC8" s="138">
        <f>IF(OR(NOT(ISNUMBER(BC$5)),N(Plano!$G5)=0,N(Plano!$L5)=0),"",IF(Plano!$L5+Plano!$G5*MAX(0,ROUNDUP((BC$5-Plano!$L5)/Plano!$G5,0))&lt;=IF(DAY(BC$5)&gt;=29,EOMONTH(BC$5,0),BC$5+6),"●",""))</f>
        <v/>
      </c>
      <c r="BD8" s="139">
        <f>IF(OR(NOT(ISNUMBER(BD$5)),N(Plano!$G5)=0,N(Plano!$L5)=0),"",IF(Plano!$L5+Plano!$G5*MAX(0,ROUNDUP((BD$5-Plano!$L5)/Plano!$G5,0))&lt;=IF(DAY(BD$5)&gt;=29,EOMONTH(BD$5,0),BD$5+6),"●",""))</f>
        <v/>
      </c>
      <c r="BE8" s="138">
        <f>IF(OR(NOT(ISNUMBER(BE$5)),N(Plano!$G5)=0,N(Plano!$L5)=0),"",IF(Plano!$L5+Plano!$G5*MAX(0,ROUNDUP((BE$5-Plano!$L5)/Plano!$G5,0))&lt;=IF(DAY(BE$5)&gt;=29,EOMONTH(BE$5,0),BE$5+6),"●",""))</f>
        <v/>
      </c>
      <c r="BF8" s="138">
        <f>IF(OR(NOT(ISNUMBER(BF$5)),N(Plano!$G5)=0,N(Plano!$L5)=0),"",IF(Plano!$L5+Plano!$G5*MAX(0,ROUNDUP((BF$5-Plano!$L5)/Plano!$G5,0))&lt;=IF(DAY(BF$5)&gt;=29,EOMONTH(BF$5,0),BF$5+6),"●",""))</f>
        <v/>
      </c>
      <c r="BG8" s="138">
        <f>IF(OR(NOT(ISNUMBER(BG$5)),N(Plano!$G5)=0,N(Plano!$L5)=0),"",IF(Plano!$L5+Plano!$G5*MAX(0,ROUNDUP((BG$5-Plano!$L5)/Plano!$G5,0))&lt;=IF(DAY(BG$5)&gt;=29,EOMONTH(BG$5,0),BG$5+6),"●",""))</f>
        <v/>
      </c>
      <c r="BH8" s="138">
        <f>IF(OR(NOT(ISNUMBER(BH$5)),N(Plano!$G5)=0,N(Plano!$L5)=0),"",IF(Plano!$L5+Plano!$G5*MAX(0,ROUNDUP((BH$5-Plano!$L5)/Plano!$G5,0))&lt;=IF(DAY(BH$5)&gt;=29,EOMONTH(BH$5,0),BH$5+6),"●",""))</f>
        <v/>
      </c>
      <c r="BI8" s="139">
        <f>IF(OR(NOT(ISNUMBER(BI$5)),N(Plano!$G5)=0,N(Plano!$L5)=0),"",IF(Plano!$L5+Plano!$G5*MAX(0,ROUNDUP((BI$5-Plano!$L5)/Plano!$G5,0))&lt;=IF(DAY(BI$5)&gt;=29,EOMONTH(BI$5,0),BI$5+6),"●",""))</f>
        <v/>
      </c>
      <c r="BJ8" s="138">
        <f>IF(OR(NOT(ISNUMBER(BJ$5)),N(Plano!$G5)=0,N(Plano!$L5)=0),"",IF(Plano!$L5+Plano!$G5*MAX(0,ROUNDUP((BJ$5-Plano!$L5)/Plano!$G5,0))&lt;=IF(DAY(BJ$5)&gt;=29,EOMONTH(BJ$5,0),BJ$5+6),"●",""))</f>
        <v/>
      </c>
      <c r="BK8" s="138">
        <f>IF(OR(NOT(ISNUMBER(BK$5)),N(Plano!$G5)=0,N(Plano!$L5)=0),"",IF(Plano!$L5+Plano!$G5*MAX(0,ROUNDUP((BK$5-Plano!$L5)/Plano!$G5,0))&lt;=IF(DAY(BK$5)&gt;=29,EOMONTH(BK$5,0),BK$5+6),"●",""))</f>
        <v/>
      </c>
      <c r="BL8" s="138">
        <f>IF(OR(NOT(ISNUMBER(BL$5)),N(Plano!$G5)=0,N(Plano!$L5)=0),"",IF(Plano!$L5+Plano!$G5*MAX(0,ROUNDUP((BL$5-Plano!$L5)/Plano!$G5,0))&lt;=IF(DAY(BL$5)&gt;=29,EOMONTH(BL$5,0),BL$5+6),"●",""))</f>
        <v/>
      </c>
      <c r="BM8" s="140">
        <f>IF(OR(NOT(ISNUMBER(BM$5)),N(Plano!$G5)=0,N(Plano!$L5)=0),"",IF(Plano!$L5+Plano!$G5*MAX(0,ROUNDUP((BM$5-Plano!$L5)/Plano!$G5,0))&lt;=IF(DAY(BM$5)&gt;=29,EOMONTH(BM$5,0),BM$5+6),"●",""))</f>
        <v/>
      </c>
    </row>
    <row r="9" ht="18" customHeight="1">
      <c r="A9" s="118">
        <f>Plano!A6</f>
        <v/>
      </c>
      <c r="B9" s="136">
        <f>IF(Plano!B6="","",Plano!B6)</f>
        <v/>
      </c>
      <c r="C9" s="70">
        <f>IF(B9="","",IFERROR(INDEX(tb_pcm_ativos[descricao_ativo],MATCH(B9,tb_pcm_ativos[tag],0)),"fora do cadastro"))</f>
        <v/>
      </c>
      <c r="D9" s="70">
        <f>IF(Plano!E6="","",Plano!E6)</f>
        <v/>
      </c>
      <c r="E9" s="137">
        <f>IF(Plano!G6="","",Plano!G6)</f>
        <v/>
      </c>
      <c r="F9" s="138">
        <f>IF(OR(NOT(ISNUMBER(F$5)),N(Plano!$G6)=0,N(Plano!$L6)=0),"",IF(Plano!$L6+Plano!$G6*MAX(0,ROUNDUP((F$5-Plano!$L6)/Plano!$G6,0))&lt;=IF(DAY(F$5)&gt;=29,EOMONTH(F$5,0),F$5+6),"●",""))</f>
        <v/>
      </c>
      <c r="G9" s="138">
        <f>IF(OR(NOT(ISNUMBER(G$5)),N(Plano!$G6)=0,N(Plano!$L6)=0),"",IF(Plano!$L6+Plano!$G6*MAX(0,ROUNDUP((G$5-Plano!$L6)/Plano!$G6,0))&lt;=IF(DAY(G$5)&gt;=29,EOMONTH(G$5,0),G$5+6),"●",""))</f>
        <v/>
      </c>
      <c r="H9" s="138">
        <f>IF(OR(NOT(ISNUMBER(H$5)),N(Plano!$G6)=0,N(Plano!$L6)=0),"",IF(Plano!$L6+Plano!$G6*MAX(0,ROUNDUP((H$5-Plano!$L6)/Plano!$G6,0))&lt;=IF(DAY(H$5)&gt;=29,EOMONTH(H$5,0),H$5+6),"●",""))</f>
        <v/>
      </c>
      <c r="I9" s="138">
        <f>IF(OR(NOT(ISNUMBER(I$5)),N(Plano!$G6)=0,N(Plano!$L6)=0),"",IF(Plano!$L6+Plano!$G6*MAX(0,ROUNDUP((I$5-Plano!$L6)/Plano!$G6,0))&lt;=IF(DAY(I$5)&gt;=29,EOMONTH(I$5,0),I$5+6),"●",""))</f>
        <v/>
      </c>
      <c r="J9" s="138">
        <f>IF(OR(NOT(ISNUMBER(J$5)),N(Plano!$G6)=0,N(Plano!$L6)=0),"",IF(Plano!$L6+Plano!$G6*MAX(0,ROUNDUP((J$5-Plano!$L6)/Plano!$G6,0))&lt;=IF(DAY(J$5)&gt;=29,EOMONTH(J$5,0),J$5+6),"●",""))</f>
        <v/>
      </c>
      <c r="K9" s="139">
        <f>IF(OR(NOT(ISNUMBER(K$5)),N(Plano!$G6)=0,N(Plano!$L6)=0),"",IF(Plano!$L6+Plano!$G6*MAX(0,ROUNDUP((K$5-Plano!$L6)/Plano!$G6,0))&lt;=IF(DAY(K$5)&gt;=29,EOMONTH(K$5,0),K$5+6),"●",""))</f>
        <v/>
      </c>
      <c r="L9" s="138">
        <f>IF(OR(NOT(ISNUMBER(L$5)),N(Plano!$G6)=0,N(Plano!$L6)=0),"",IF(Plano!$L6+Plano!$G6*MAX(0,ROUNDUP((L$5-Plano!$L6)/Plano!$G6,0))&lt;=IF(DAY(L$5)&gt;=29,EOMONTH(L$5,0),L$5+6),"●",""))</f>
        <v/>
      </c>
      <c r="M9" s="138">
        <f>IF(OR(NOT(ISNUMBER(M$5)),N(Plano!$G6)=0,N(Plano!$L6)=0),"",IF(Plano!$L6+Plano!$G6*MAX(0,ROUNDUP((M$5-Plano!$L6)/Plano!$G6,0))&lt;=IF(DAY(M$5)&gt;=29,EOMONTH(M$5,0),M$5+6),"●",""))</f>
        <v/>
      </c>
      <c r="N9" s="138">
        <f>IF(OR(NOT(ISNUMBER(N$5)),N(Plano!$G6)=0,N(Plano!$L6)=0),"",IF(Plano!$L6+Plano!$G6*MAX(0,ROUNDUP((N$5-Plano!$L6)/Plano!$G6,0))&lt;=IF(DAY(N$5)&gt;=29,EOMONTH(N$5,0),N$5+6),"●",""))</f>
        <v/>
      </c>
      <c r="O9" s="138">
        <f>IF(OR(NOT(ISNUMBER(O$5)),N(Plano!$G6)=0,N(Plano!$L6)=0),"",IF(Plano!$L6+Plano!$G6*MAX(0,ROUNDUP((O$5-Plano!$L6)/Plano!$G6,0))&lt;=IF(DAY(O$5)&gt;=29,EOMONTH(O$5,0),O$5+6),"●",""))</f>
        <v/>
      </c>
      <c r="P9" s="139">
        <f>IF(OR(NOT(ISNUMBER(P$5)),N(Plano!$G6)=0,N(Plano!$L6)=0),"",IF(Plano!$L6+Plano!$G6*MAX(0,ROUNDUP((P$5-Plano!$L6)/Plano!$G6,0))&lt;=IF(DAY(P$5)&gt;=29,EOMONTH(P$5,0),P$5+6),"●",""))</f>
        <v/>
      </c>
      <c r="Q9" s="138">
        <f>IF(OR(NOT(ISNUMBER(Q$5)),N(Plano!$G6)=0,N(Plano!$L6)=0),"",IF(Plano!$L6+Plano!$G6*MAX(0,ROUNDUP((Q$5-Plano!$L6)/Plano!$G6,0))&lt;=IF(DAY(Q$5)&gt;=29,EOMONTH(Q$5,0),Q$5+6),"●",""))</f>
        <v/>
      </c>
      <c r="R9" s="138">
        <f>IF(OR(NOT(ISNUMBER(R$5)),N(Plano!$G6)=0,N(Plano!$L6)=0),"",IF(Plano!$L6+Plano!$G6*MAX(0,ROUNDUP((R$5-Plano!$L6)/Plano!$G6,0))&lt;=IF(DAY(R$5)&gt;=29,EOMONTH(R$5,0),R$5+6),"●",""))</f>
        <v/>
      </c>
      <c r="S9" s="138">
        <f>IF(OR(NOT(ISNUMBER(S$5)),N(Plano!$G6)=0,N(Plano!$L6)=0),"",IF(Plano!$L6+Plano!$G6*MAX(0,ROUNDUP((S$5-Plano!$L6)/Plano!$G6,0))&lt;=IF(DAY(S$5)&gt;=29,EOMONTH(S$5,0),S$5+6),"●",""))</f>
        <v/>
      </c>
      <c r="T9" s="138">
        <f>IF(OR(NOT(ISNUMBER(T$5)),N(Plano!$G6)=0,N(Plano!$L6)=0),"",IF(Plano!$L6+Plano!$G6*MAX(0,ROUNDUP((T$5-Plano!$L6)/Plano!$G6,0))&lt;=IF(DAY(T$5)&gt;=29,EOMONTH(T$5,0),T$5+6),"●",""))</f>
        <v/>
      </c>
      <c r="U9" s="139">
        <f>IF(OR(NOT(ISNUMBER(U$5)),N(Plano!$G6)=0,N(Plano!$L6)=0),"",IF(Plano!$L6+Plano!$G6*MAX(0,ROUNDUP((U$5-Plano!$L6)/Plano!$G6,0))&lt;=IF(DAY(U$5)&gt;=29,EOMONTH(U$5,0),U$5+6),"●",""))</f>
        <v/>
      </c>
      <c r="V9" s="138">
        <f>IF(OR(NOT(ISNUMBER(V$5)),N(Plano!$G6)=0,N(Plano!$L6)=0),"",IF(Plano!$L6+Plano!$G6*MAX(0,ROUNDUP((V$5-Plano!$L6)/Plano!$G6,0))&lt;=IF(DAY(V$5)&gt;=29,EOMONTH(V$5,0),V$5+6),"●",""))</f>
        <v/>
      </c>
      <c r="W9" s="138">
        <f>IF(OR(NOT(ISNUMBER(W$5)),N(Plano!$G6)=0,N(Plano!$L6)=0),"",IF(Plano!$L6+Plano!$G6*MAX(0,ROUNDUP((W$5-Plano!$L6)/Plano!$G6,0))&lt;=IF(DAY(W$5)&gt;=29,EOMONTH(W$5,0),W$5+6),"●",""))</f>
        <v/>
      </c>
      <c r="X9" s="138">
        <f>IF(OR(NOT(ISNUMBER(X$5)),N(Plano!$G6)=0,N(Plano!$L6)=0),"",IF(Plano!$L6+Plano!$G6*MAX(0,ROUNDUP((X$5-Plano!$L6)/Plano!$G6,0))&lt;=IF(DAY(X$5)&gt;=29,EOMONTH(X$5,0),X$5+6),"●",""))</f>
        <v/>
      </c>
      <c r="Y9" s="138">
        <f>IF(OR(NOT(ISNUMBER(Y$5)),N(Plano!$G6)=0,N(Plano!$L6)=0),"",IF(Plano!$L6+Plano!$G6*MAX(0,ROUNDUP((Y$5-Plano!$L6)/Plano!$G6,0))&lt;=IF(DAY(Y$5)&gt;=29,EOMONTH(Y$5,0),Y$5+6),"●",""))</f>
        <v/>
      </c>
      <c r="Z9" s="139">
        <f>IF(OR(NOT(ISNUMBER(Z$5)),N(Plano!$G6)=0,N(Plano!$L6)=0),"",IF(Plano!$L6+Plano!$G6*MAX(0,ROUNDUP((Z$5-Plano!$L6)/Plano!$G6,0))&lt;=IF(DAY(Z$5)&gt;=29,EOMONTH(Z$5,0),Z$5+6),"●",""))</f>
        <v/>
      </c>
      <c r="AA9" s="138">
        <f>IF(OR(NOT(ISNUMBER(AA$5)),N(Plano!$G6)=0,N(Plano!$L6)=0),"",IF(Plano!$L6+Plano!$G6*MAX(0,ROUNDUP((AA$5-Plano!$L6)/Plano!$G6,0))&lt;=IF(DAY(AA$5)&gt;=29,EOMONTH(AA$5,0),AA$5+6),"●",""))</f>
        <v/>
      </c>
      <c r="AB9" s="138">
        <f>IF(OR(NOT(ISNUMBER(AB$5)),N(Plano!$G6)=0,N(Plano!$L6)=0),"",IF(Plano!$L6+Plano!$G6*MAX(0,ROUNDUP((AB$5-Plano!$L6)/Plano!$G6,0))&lt;=IF(DAY(AB$5)&gt;=29,EOMONTH(AB$5,0),AB$5+6),"●",""))</f>
        <v/>
      </c>
      <c r="AC9" s="138">
        <f>IF(OR(NOT(ISNUMBER(AC$5)),N(Plano!$G6)=0,N(Plano!$L6)=0),"",IF(Plano!$L6+Plano!$G6*MAX(0,ROUNDUP((AC$5-Plano!$L6)/Plano!$G6,0))&lt;=IF(DAY(AC$5)&gt;=29,EOMONTH(AC$5,0),AC$5+6),"●",""))</f>
        <v/>
      </c>
      <c r="AD9" s="138">
        <f>IF(OR(NOT(ISNUMBER(AD$5)),N(Plano!$G6)=0,N(Plano!$L6)=0),"",IF(Plano!$L6+Plano!$G6*MAX(0,ROUNDUP((AD$5-Plano!$L6)/Plano!$G6,0))&lt;=IF(DAY(AD$5)&gt;=29,EOMONTH(AD$5,0),AD$5+6),"●",""))</f>
        <v/>
      </c>
      <c r="AE9" s="139">
        <f>IF(OR(NOT(ISNUMBER(AE$5)),N(Plano!$G6)=0,N(Plano!$L6)=0),"",IF(Plano!$L6+Plano!$G6*MAX(0,ROUNDUP((AE$5-Plano!$L6)/Plano!$G6,0))&lt;=IF(DAY(AE$5)&gt;=29,EOMONTH(AE$5,0),AE$5+6),"●",""))</f>
        <v/>
      </c>
      <c r="AF9" s="138">
        <f>IF(OR(NOT(ISNUMBER(AF$5)),N(Plano!$G6)=0,N(Plano!$L6)=0),"",IF(Plano!$L6+Plano!$G6*MAX(0,ROUNDUP((AF$5-Plano!$L6)/Plano!$G6,0))&lt;=IF(DAY(AF$5)&gt;=29,EOMONTH(AF$5,0),AF$5+6),"●",""))</f>
        <v/>
      </c>
      <c r="AG9" s="138">
        <f>IF(OR(NOT(ISNUMBER(AG$5)),N(Plano!$G6)=0,N(Plano!$L6)=0),"",IF(Plano!$L6+Plano!$G6*MAX(0,ROUNDUP((AG$5-Plano!$L6)/Plano!$G6,0))&lt;=IF(DAY(AG$5)&gt;=29,EOMONTH(AG$5,0),AG$5+6),"●",""))</f>
        <v/>
      </c>
      <c r="AH9" s="138">
        <f>IF(OR(NOT(ISNUMBER(AH$5)),N(Plano!$G6)=0,N(Plano!$L6)=0),"",IF(Plano!$L6+Plano!$G6*MAX(0,ROUNDUP((AH$5-Plano!$L6)/Plano!$G6,0))&lt;=IF(DAY(AH$5)&gt;=29,EOMONTH(AH$5,0),AH$5+6),"●",""))</f>
        <v/>
      </c>
      <c r="AI9" s="138">
        <f>IF(OR(NOT(ISNUMBER(AI$5)),N(Plano!$G6)=0,N(Plano!$L6)=0),"",IF(Plano!$L6+Plano!$G6*MAX(0,ROUNDUP((AI$5-Plano!$L6)/Plano!$G6,0))&lt;=IF(DAY(AI$5)&gt;=29,EOMONTH(AI$5,0),AI$5+6),"●",""))</f>
        <v/>
      </c>
      <c r="AJ9" s="139">
        <f>IF(OR(NOT(ISNUMBER(AJ$5)),N(Plano!$G6)=0,N(Plano!$L6)=0),"",IF(Plano!$L6+Plano!$G6*MAX(0,ROUNDUP((AJ$5-Plano!$L6)/Plano!$G6,0))&lt;=IF(DAY(AJ$5)&gt;=29,EOMONTH(AJ$5,0),AJ$5+6),"●",""))</f>
        <v/>
      </c>
      <c r="AK9" s="138">
        <f>IF(OR(NOT(ISNUMBER(AK$5)),N(Plano!$G6)=0,N(Plano!$L6)=0),"",IF(Plano!$L6+Plano!$G6*MAX(0,ROUNDUP((AK$5-Plano!$L6)/Plano!$G6,0))&lt;=IF(DAY(AK$5)&gt;=29,EOMONTH(AK$5,0),AK$5+6),"●",""))</f>
        <v/>
      </c>
      <c r="AL9" s="138">
        <f>IF(OR(NOT(ISNUMBER(AL$5)),N(Plano!$G6)=0,N(Plano!$L6)=0),"",IF(Plano!$L6+Plano!$G6*MAX(0,ROUNDUP((AL$5-Plano!$L6)/Plano!$G6,0))&lt;=IF(DAY(AL$5)&gt;=29,EOMONTH(AL$5,0),AL$5+6),"●",""))</f>
        <v/>
      </c>
      <c r="AM9" s="138">
        <f>IF(OR(NOT(ISNUMBER(AM$5)),N(Plano!$G6)=0,N(Plano!$L6)=0),"",IF(Plano!$L6+Plano!$G6*MAX(0,ROUNDUP((AM$5-Plano!$L6)/Plano!$G6,0))&lt;=IF(DAY(AM$5)&gt;=29,EOMONTH(AM$5,0),AM$5+6),"●",""))</f>
        <v/>
      </c>
      <c r="AN9" s="138">
        <f>IF(OR(NOT(ISNUMBER(AN$5)),N(Plano!$G6)=0,N(Plano!$L6)=0),"",IF(Plano!$L6+Plano!$G6*MAX(0,ROUNDUP((AN$5-Plano!$L6)/Plano!$G6,0))&lt;=IF(DAY(AN$5)&gt;=29,EOMONTH(AN$5,0),AN$5+6),"●",""))</f>
        <v/>
      </c>
      <c r="AO9" s="139">
        <f>IF(OR(NOT(ISNUMBER(AO$5)),N(Plano!$G6)=0,N(Plano!$L6)=0),"",IF(Plano!$L6+Plano!$G6*MAX(0,ROUNDUP((AO$5-Plano!$L6)/Plano!$G6,0))&lt;=IF(DAY(AO$5)&gt;=29,EOMONTH(AO$5,0),AO$5+6),"●",""))</f>
        <v/>
      </c>
      <c r="AP9" s="138">
        <f>IF(OR(NOT(ISNUMBER(AP$5)),N(Plano!$G6)=0,N(Plano!$L6)=0),"",IF(Plano!$L6+Plano!$G6*MAX(0,ROUNDUP((AP$5-Plano!$L6)/Plano!$G6,0))&lt;=IF(DAY(AP$5)&gt;=29,EOMONTH(AP$5,0),AP$5+6),"●",""))</f>
        <v/>
      </c>
      <c r="AQ9" s="138">
        <f>IF(OR(NOT(ISNUMBER(AQ$5)),N(Plano!$G6)=0,N(Plano!$L6)=0),"",IF(Plano!$L6+Plano!$G6*MAX(0,ROUNDUP((AQ$5-Plano!$L6)/Plano!$G6,0))&lt;=IF(DAY(AQ$5)&gt;=29,EOMONTH(AQ$5,0),AQ$5+6),"●",""))</f>
        <v/>
      </c>
      <c r="AR9" s="138">
        <f>IF(OR(NOT(ISNUMBER(AR$5)),N(Plano!$G6)=0,N(Plano!$L6)=0),"",IF(Plano!$L6+Plano!$G6*MAX(0,ROUNDUP((AR$5-Plano!$L6)/Plano!$G6,0))&lt;=IF(DAY(AR$5)&gt;=29,EOMONTH(AR$5,0),AR$5+6),"●",""))</f>
        <v/>
      </c>
      <c r="AS9" s="138">
        <f>IF(OR(NOT(ISNUMBER(AS$5)),N(Plano!$G6)=0,N(Plano!$L6)=0),"",IF(Plano!$L6+Plano!$G6*MAX(0,ROUNDUP((AS$5-Plano!$L6)/Plano!$G6,0))&lt;=IF(DAY(AS$5)&gt;=29,EOMONTH(AS$5,0),AS$5+6),"●",""))</f>
        <v/>
      </c>
      <c r="AT9" s="139">
        <f>IF(OR(NOT(ISNUMBER(AT$5)),N(Plano!$G6)=0,N(Plano!$L6)=0),"",IF(Plano!$L6+Plano!$G6*MAX(0,ROUNDUP((AT$5-Plano!$L6)/Plano!$G6,0))&lt;=IF(DAY(AT$5)&gt;=29,EOMONTH(AT$5,0),AT$5+6),"●",""))</f>
        <v/>
      </c>
      <c r="AU9" s="138">
        <f>IF(OR(NOT(ISNUMBER(AU$5)),N(Plano!$G6)=0,N(Plano!$L6)=0),"",IF(Plano!$L6+Plano!$G6*MAX(0,ROUNDUP((AU$5-Plano!$L6)/Plano!$G6,0))&lt;=IF(DAY(AU$5)&gt;=29,EOMONTH(AU$5,0),AU$5+6),"●",""))</f>
        <v/>
      </c>
      <c r="AV9" s="138">
        <f>IF(OR(NOT(ISNUMBER(AV$5)),N(Plano!$G6)=0,N(Plano!$L6)=0),"",IF(Plano!$L6+Plano!$G6*MAX(0,ROUNDUP((AV$5-Plano!$L6)/Plano!$G6,0))&lt;=IF(DAY(AV$5)&gt;=29,EOMONTH(AV$5,0),AV$5+6),"●",""))</f>
        <v/>
      </c>
      <c r="AW9" s="138">
        <f>IF(OR(NOT(ISNUMBER(AW$5)),N(Plano!$G6)=0,N(Plano!$L6)=0),"",IF(Plano!$L6+Plano!$G6*MAX(0,ROUNDUP((AW$5-Plano!$L6)/Plano!$G6,0))&lt;=IF(DAY(AW$5)&gt;=29,EOMONTH(AW$5,0),AW$5+6),"●",""))</f>
        <v/>
      </c>
      <c r="AX9" s="138">
        <f>IF(OR(NOT(ISNUMBER(AX$5)),N(Plano!$G6)=0,N(Plano!$L6)=0),"",IF(Plano!$L6+Plano!$G6*MAX(0,ROUNDUP((AX$5-Plano!$L6)/Plano!$G6,0))&lt;=IF(DAY(AX$5)&gt;=29,EOMONTH(AX$5,0),AX$5+6),"●",""))</f>
        <v/>
      </c>
      <c r="AY9" s="139">
        <f>IF(OR(NOT(ISNUMBER(AY$5)),N(Plano!$G6)=0,N(Plano!$L6)=0),"",IF(Plano!$L6+Plano!$G6*MAX(0,ROUNDUP((AY$5-Plano!$L6)/Plano!$G6,0))&lt;=IF(DAY(AY$5)&gt;=29,EOMONTH(AY$5,0),AY$5+6),"●",""))</f>
        <v/>
      </c>
      <c r="AZ9" s="138">
        <f>IF(OR(NOT(ISNUMBER(AZ$5)),N(Plano!$G6)=0,N(Plano!$L6)=0),"",IF(Plano!$L6+Plano!$G6*MAX(0,ROUNDUP((AZ$5-Plano!$L6)/Plano!$G6,0))&lt;=IF(DAY(AZ$5)&gt;=29,EOMONTH(AZ$5,0),AZ$5+6),"●",""))</f>
        <v/>
      </c>
      <c r="BA9" s="138">
        <f>IF(OR(NOT(ISNUMBER(BA$5)),N(Plano!$G6)=0,N(Plano!$L6)=0),"",IF(Plano!$L6+Plano!$G6*MAX(0,ROUNDUP((BA$5-Plano!$L6)/Plano!$G6,0))&lt;=IF(DAY(BA$5)&gt;=29,EOMONTH(BA$5,0),BA$5+6),"●",""))</f>
        <v/>
      </c>
      <c r="BB9" s="138">
        <f>IF(OR(NOT(ISNUMBER(BB$5)),N(Plano!$G6)=0,N(Plano!$L6)=0),"",IF(Plano!$L6+Plano!$G6*MAX(0,ROUNDUP((BB$5-Plano!$L6)/Plano!$G6,0))&lt;=IF(DAY(BB$5)&gt;=29,EOMONTH(BB$5,0),BB$5+6),"●",""))</f>
        <v/>
      </c>
      <c r="BC9" s="138">
        <f>IF(OR(NOT(ISNUMBER(BC$5)),N(Plano!$G6)=0,N(Plano!$L6)=0),"",IF(Plano!$L6+Plano!$G6*MAX(0,ROUNDUP((BC$5-Plano!$L6)/Plano!$G6,0))&lt;=IF(DAY(BC$5)&gt;=29,EOMONTH(BC$5,0),BC$5+6),"●",""))</f>
        <v/>
      </c>
      <c r="BD9" s="139">
        <f>IF(OR(NOT(ISNUMBER(BD$5)),N(Plano!$G6)=0,N(Plano!$L6)=0),"",IF(Plano!$L6+Plano!$G6*MAX(0,ROUNDUP((BD$5-Plano!$L6)/Plano!$G6,0))&lt;=IF(DAY(BD$5)&gt;=29,EOMONTH(BD$5,0),BD$5+6),"●",""))</f>
        <v/>
      </c>
      <c r="BE9" s="138">
        <f>IF(OR(NOT(ISNUMBER(BE$5)),N(Plano!$G6)=0,N(Plano!$L6)=0),"",IF(Plano!$L6+Plano!$G6*MAX(0,ROUNDUP((BE$5-Plano!$L6)/Plano!$G6,0))&lt;=IF(DAY(BE$5)&gt;=29,EOMONTH(BE$5,0),BE$5+6),"●",""))</f>
        <v/>
      </c>
      <c r="BF9" s="138">
        <f>IF(OR(NOT(ISNUMBER(BF$5)),N(Plano!$G6)=0,N(Plano!$L6)=0),"",IF(Plano!$L6+Plano!$G6*MAX(0,ROUNDUP((BF$5-Plano!$L6)/Plano!$G6,0))&lt;=IF(DAY(BF$5)&gt;=29,EOMONTH(BF$5,0),BF$5+6),"●",""))</f>
        <v/>
      </c>
      <c r="BG9" s="138">
        <f>IF(OR(NOT(ISNUMBER(BG$5)),N(Plano!$G6)=0,N(Plano!$L6)=0),"",IF(Plano!$L6+Plano!$G6*MAX(0,ROUNDUP((BG$5-Plano!$L6)/Plano!$G6,0))&lt;=IF(DAY(BG$5)&gt;=29,EOMONTH(BG$5,0),BG$5+6),"●",""))</f>
        <v/>
      </c>
      <c r="BH9" s="138">
        <f>IF(OR(NOT(ISNUMBER(BH$5)),N(Plano!$G6)=0,N(Plano!$L6)=0),"",IF(Plano!$L6+Plano!$G6*MAX(0,ROUNDUP((BH$5-Plano!$L6)/Plano!$G6,0))&lt;=IF(DAY(BH$5)&gt;=29,EOMONTH(BH$5,0),BH$5+6),"●",""))</f>
        <v/>
      </c>
      <c r="BI9" s="139">
        <f>IF(OR(NOT(ISNUMBER(BI$5)),N(Plano!$G6)=0,N(Plano!$L6)=0),"",IF(Plano!$L6+Plano!$G6*MAX(0,ROUNDUP((BI$5-Plano!$L6)/Plano!$G6,0))&lt;=IF(DAY(BI$5)&gt;=29,EOMONTH(BI$5,0),BI$5+6),"●",""))</f>
        <v/>
      </c>
      <c r="BJ9" s="138">
        <f>IF(OR(NOT(ISNUMBER(BJ$5)),N(Plano!$G6)=0,N(Plano!$L6)=0),"",IF(Plano!$L6+Plano!$G6*MAX(0,ROUNDUP((BJ$5-Plano!$L6)/Plano!$G6,0))&lt;=IF(DAY(BJ$5)&gt;=29,EOMONTH(BJ$5,0),BJ$5+6),"●",""))</f>
        <v/>
      </c>
      <c r="BK9" s="138">
        <f>IF(OR(NOT(ISNUMBER(BK$5)),N(Plano!$G6)=0,N(Plano!$L6)=0),"",IF(Plano!$L6+Plano!$G6*MAX(0,ROUNDUP((BK$5-Plano!$L6)/Plano!$G6,0))&lt;=IF(DAY(BK$5)&gt;=29,EOMONTH(BK$5,0),BK$5+6),"●",""))</f>
        <v/>
      </c>
      <c r="BL9" s="138">
        <f>IF(OR(NOT(ISNUMBER(BL$5)),N(Plano!$G6)=0,N(Plano!$L6)=0),"",IF(Plano!$L6+Plano!$G6*MAX(0,ROUNDUP((BL$5-Plano!$L6)/Plano!$G6,0))&lt;=IF(DAY(BL$5)&gt;=29,EOMONTH(BL$5,0),BL$5+6),"●",""))</f>
        <v/>
      </c>
      <c r="BM9" s="140">
        <f>IF(OR(NOT(ISNUMBER(BM$5)),N(Plano!$G6)=0,N(Plano!$L6)=0),"",IF(Plano!$L6+Plano!$G6*MAX(0,ROUNDUP((BM$5-Plano!$L6)/Plano!$G6,0))&lt;=IF(DAY(BM$5)&gt;=29,EOMONTH(BM$5,0),BM$5+6),"●",""))</f>
        <v/>
      </c>
    </row>
    <row r="10" ht="18" customHeight="1">
      <c r="A10" s="118">
        <f>Plano!A7</f>
        <v/>
      </c>
      <c r="B10" s="136">
        <f>IF(Plano!B7="","",Plano!B7)</f>
        <v/>
      </c>
      <c r="C10" s="70">
        <f>IF(B10="","",IFERROR(INDEX(tb_pcm_ativos[descricao_ativo],MATCH(B10,tb_pcm_ativos[tag],0)),"fora do cadastro"))</f>
        <v/>
      </c>
      <c r="D10" s="70">
        <f>IF(Plano!E7="","",Plano!E7)</f>
        <v/>
      </c>
      <c r="E10" s="137">
        <f>IF(Plano!G7="","",Plano!G7)</f>
        <v/>
      </c>
      <c r="F10" s="138">
        <f>IF(OR(NOT(ISNUMBER(F$5)),N(Plano!$G7)=0,N(Plano!$L7)=0),"",IF(Plano!$L7+Plano!$G7*MAX(0,ROUNDUP((F$5-Plano!$L7)/Plano!$G7,0))&lt;=IF(DAY(F$5)&gt;=29,EOMONTH(F$5,0),F$5+6),"●",""))</f>
        <v/>
      </c>
      <c r="G10" s="138">
        <f>IF(OR(NOT(ISNUMBER(G$5)),N(Plano!$G7)=0,N(Plano!$L7)=0),"",IF(Plano!$L7+Plano!$G7*MAX(0,ROUNDUP((G$5-Plano!$L7)/Plano!$G7,0))&lt;=IF(DAY(G$5)&gt;=29,EOMONTH(G$5,0),G$5+6),"●",""))</f>
        <v/>
      </c>
      <c r="H10" s="138">
        <f>IF(OR(NOT(ISNUMBER(H$5)),N(Plano!$G7)=0,N(Plano!$L7)=0),"",IF(Plano!$L7+Plano!$G7*MAX(0,ROUNDUP((H$5-Plano!$L7)/Plano!$G7,0))&lt;=IF(DAY(H$5)&gt;=29,EOMONTH(H$5,0),H$5+6),"●",""))</f>
        <v/>
      </c>
      <c r="I10" s="138">
        <f>IF(OR(NOT(ISNUMBER(I$5)),N(Plano!$G7)=0,N(Plano!$L7)=0),"",IF(Plano!$L7+Plano!$G7*MAX(0,ROUNDUP((I$5-Plano!$L7)/Plano!$G7,0))&lt;=IF(DAY(I$5)&gt;=29,EOMONTH(I$5,0),I$5+6),"●",""))</f>
        <v/>
      </c>
      <c r="J10" s="138">
        <f>IF(OR(NOT(ISNUMBER(J$5)),N(Plano!$G7)=0,N(Plano!$L7)=0),"",IF(Plano!$L7+Plano!$G7*MAX(0,ROUNDUP((J$5-Plano!$L7)/Plano!$G7,0))&lt;=IF(DAY(J$5)&gt;=29,EOMONTH(J$5,0),J$5+6),"●",""))</f>
        <v/>
      </c>
      <c r="K10" s="139">
        <f>IF(OR(NOT(ISNUMBER(K$5)),N(Plano!$G7)=0,N(Plano!$L7)=0),"",IF(Plano!$L7+Plano!$G7*MAX(0,ROUNDUP((K$5-Plano!$L7)/Plano!$G7,0))&lt;=IF(DAY(K$5)&gt;=29,EOMONTH(K$5,0),K$5+6),"●",""))</f>
        <v/>
      </c>
      <c r="L10" s="138">
        <f>IF(OR(NOT(ISNUMBER(L$5)),N(Plano!$G7)=0,N(Plano!$L7)=0),"",IF(Plano!$L7+Plano!$G7*MAX(0,ROUNDUP((L$5-Plano!$L7)/Plano!$G7,0))&lt;=IF(DAY(L$5)&gt;=29,EOMONTH(L$5,0),L$5+6),"●",""))</f>
        <v/>
      </c>
      <c r="M10" s="138">
        <f>IF(OR(NOT(ISNUMBER(M$5)),N(Plano!$G7)=0,N(Plano!$L7)=0),"",IF(Plano!$L7+Plano!$G7*MAX(0,ROUNDUP((M$5-Plano!$L7)/Plano!$G7,0))&lt;=IF(DAY(M$5)&gt;=29,EOMONTH(M$5,0),M$5+6),"●",""))</f>
        <v/>
      </c>
      <c r="N10" s="138">
        <f>IF(OR(NOT(ISNUMBER(N$5)),N(Plano!$G7)=0,N(Plano!$L7)=0),"",IF(Plano!$L7+Plano!$G7*MAX(0,ROUNDUP((N$5-Plano!$L7)/Plano!$G7,0))&lt;=IF(DAY(N$5)&gt;=29,EOMONTH(N$5,0),N$5+6),"●",""))</f>
        <v/>
      </c>
      <c r="O10" s="138">
        <f>IF(OR(NOT(ISNUMBER(O$5)),N(Plano!$G7)=0,N(Plano!$L7)=0),"",IF(Plano!$L7+Plano!$G7*MAX(0,ROUNDUP((O$5-Plano!$L7)/Plano!$G7,0))&lt;=IF(DAY(O$5)&gt;=29,EOMONTH(O$5,0),O$5+6),"●",""))</f>
        <v/>
      </c>
      <c r="P10" s="139">
        <f>IF(OR(NOT(ISNUMBER(P$5)),N(Plano!$G7)=0,N(Plano!$L7)=0),"",IF(Plano!$L7+Plano!$G7*MAX(0,ROUNDUP((P$5-Plano!$L7)/Plano!$G7,0))&lt;=IF(DAY(P$5)&gt;=29,EOMONTH(P$5,0),P$5+6),"●",""))</f>
        <v/>
      </c>
      <c r="Q10" s="138">
        <f>IF(OR(NOT(ISNUMBER(Q$5)),N(Plano!$G7)=0,N(Plano!$L7)=0),"",IF(Plano!$L7+Plano!$G7*MAX(0,ROUNDUP((Q$5-Plano!$L7)/Plano!$G7,0))&lt;=IF(DAY(Q$5)&gt;=29,EOMONTH(Q$5,0),Q$5+6),"●",""))</f>
        <v/>
      </c>
      <c r="R10" s="138">
        <f>IF(OR(NOT(ISNUMBER(R$5)),N(Plano!$G7)=0,N(Plano!$L7)=0),"",IF(Plano!$L7+Plano!$G7*MAX(0,ROUNDUP((R$5-Plano!$L7)/Plano!$G7,0))&lt;=IF(DAY(R$5)&gt;=29,EOMONTH(R$5,0),R$5+6),"●",""))</f>
        <v/>
      </c>
      <c r="S10" s="138">
        <f>IF(OR(NOT(ISNUMBER(S$5)),N(Plano!$G7)=0,N(Plano!$L7)=0),"",IF(Plano!$L7+Plano!$G7*MAX(0,ROUNDUP((S$5-Plano!$L7)/Plano!$G7,0))&lt;=IF(DAY(S$5)&gt;=29,EOMONTH(S$5,0),S$5+6),"●",""))</f>
        <v/>
      </c>
      <c r="T10" s="138">
        <f>IF(OR(NOT(ISNUMBER(T$5)),N(Plano!$G7)=0,N(Plano!$L7)=0),"",IF(Plano!$L7+Plano!$G7*MAX(0,ROUNDUP((T$5-Plano!$L7)/Plano!$G7,0))&lt;=IF(DAY(T$5)&gt;=29,EOMONTH(T$5,0),T$5+6),"●",""))</f>
        <v/>
      </c>
      <c r="U10" s="139">
        <f>IF(OR(NOT(ISNUMBER(U$5)),N(Plano!$G7)=0,N(Plano!$L7)=0),"",IF(Plano!$L7+Plano!$G7*MAX(0,ROUNDUP((U$5-Plano!$L7)/Plano!$G7,0))&lt;=IF(DAY(U$5)&gt;=29,EOMONTH(U$5,0),U$5+6),"●",""))</f>
        <v/>
      </c>
      <c r="V10" s="138">
        <f>IF(OR(NOT(ISNUMBER(V$5)),N(Plano!$G7)=0,N(Plano!$L7)=0),"",IF(Plano!$L7+Plano!$G7*MAX(0,ROUNDUP((V$5-Plano!$L7)/Plano!$G7,0))&lt;=IF(DAY(V$5)&gt;=29,EOMONTH(V$5,0),V$5+6),"●",""))</f>
        <v/>
      </c>
      <c r="W10" s="138">
        <f>IF(OR(NOT(ISNUMBER(W$5)),N(Plano!$G7)=0,N(Plano!$L7)=0),"",IF(Plano!$L7+Plano!$G7*MAX(0,ROUNDUP((W$5-Plano!$L7)/Plano!$G7,0))&lt;=IF(DAY(W$5)&gt;=29,EOMONTH(W$5,0),W$5+6),"●",""))</f>
        <v/>
      </c>
      <c r="X10" s="138">
        <f>IF(OR(NOT(ISNUMBER(X$5)),N(Plano!$G7)=0,N(Plano!$L7)=0),"",IF(Plano!$L7+Plano!$G7*MAX(0,ROUNDUP((X$5-Plano!$L7)/Plano!$G7,0))&lt;=IF(DAY(X$5)&gt;=29,EOMONTH(X$5,0),X$5+6),"●",""))</f>
        <v/>
      </c>
      <c r="Y10" s="138">
        <f>IF(OR(NOT(ISNUMBER(Y$5)),N(Plano!$G7)=0,N(Plano!$L7)=0),"",IF(Plano!$L7+Plano!$G7*MAX(0,ROUNDUP((Y$5-Plano!$L7)/Plano!$G7,0))&lt;=IF(DAY(Y$5)&gt;=29,EOMONTH(Y$5,0),Y$5+6),"●",""))</f>
        <v/>
      </c>
      <c r="Z10" s="139">
        <f>IF(OR(NOT(ISNUMBER(Z$5)),N(Plano!$G7)=0,N(Plano!$L7)=0),"",IF(Plano!$L7+Plano!$G7*MAX(0,ROUNDUP((Z$5-Plano!$L7)/Plano!$G7,0))&lt;=IF(DAY(Z$5)&gt;=29,EOMONTH(Z$5,0),Z$5+6),"●",""))</f>
        <v/>
      </c>
      <c r="AA10" s="138">
        <f>IF(OR(NOT(ISNUMBER(AA$5)),N(Plano!$G7)=0,N(Plano!$L7)=0),"",IF(Plano!$L7+Plano!$G7*MAX(0,ROUNDUP((AA$5-Plano!$L7)/Plano!$G7,0))&lt;=IF(DAY(AA$5)&gt;=29,EOMONTH(AA$5,0),AA$5+6),"●",""))</f>
        <v/>
      </c>
      <c r="AB10" s="138">
        <f>IF(OR(NOT(ISNUMBER(AB$5)),N(Plano!$G7)=0,N(Plano!$L7)=0),"",IF(Plano!$L7+Plano!$G7*MAX(0,ROUNDUP((AB$5-Plano!$L7)/Plano!$G7,0))&lt;=IF(DAY(AB$5)&gt;=29,EOMONTH(AB$5,0),AB$5+6),"●",""))</f>
        <v/>
      </c>
      <c r="AC10" s="138">
        <f>IF(OR(NOT(ISNUMBER(AC$5)),N(Plano!$G7)=0,N(Plano!$L7)=0),"",IF(Plano!$L7+Plano!$G7*MAX(0,ROUNDUP((AC$5-Plano!$L7)/Plano!$G7,0))&lt;=IF(DAY(AC$5)&gt;=29,EOMONTH(AC$5,0),AC$5+6),"●",""))</f>
        <v/>
      </c>
      <c r="AD10" s="138">
        <f>IF(OR(NOT(ISNUMBER(AD$5)),N(Plano!$G7)=0,N(Plano!$L7)=0),"",IF(Plano!$L7+Plano!$G7*MAX(0,ROUNDUP((AD$5-Plano!$L7)/Plano!$G7,0))&lt;=IF(DAY(AD$5)&gt;=29,EOMONTH(AD$5,0),AD$5+6),"●",""))</f>
        <v/>
      </c>
      <c r="AE10" s="139">
        <f>IF(OR(NOT(ISNUMBER(AE$5)),N(Plano!$G7)=0,N(Plano!$L7)=0),"",IF(Plano!$L7+Plano!$G7*MAX(0,ROUNDUP((AE$5-Plano!$L7)/Plano!$G7,0))&lt;=IF(DAY(AE$5)&gt;=29,EOMONTH(AE$5,0),AE$5+6),"●",""))</f>
        <v/>
      </c>
      <c r="AF10" s="138">
        <f>IF(OR(NOT(ISNUMBER(AF$5)),N(Plano!$G7)=0,N(Plano!$L7)=0),"",IF(Plano!$L7+Plano!$G7*MAX(0,ROUNDUP((AF$5-Plano!$L7)/Plano!$G7,0))&lt;=IF(DAY(AF$5)&gt;=29,EOMONTH(AF$5,0),AF$5+6),"●",""))</f>
        <v/>
      </c>
      <c r="AG10" s="138">
        <f>IF(OR(NOT(ISNUMBER(AG$5)),N(Plano!$G7)=0,N(Plano!$L7)=0),"",IF(Plano!$L7+Plano!$G7*MAX(0,ROUNDUP((AG$5-Plano!$L7)/Plano!$G7,0))&lt;=IF(DAY(AG$5)&gt;=29,EOMONTH(AG$5,0),AG$5+6),"●",""))</f>
        <v/>
      </c>
      <c r="AH10" s="138">
        <f>IF(OR(NOT(ISNUMBER(AH$5)),N(Plano!$G7)=0,N(Plano!$L7)=0),"",IF(Plano!$L7+Plano!$G7*MAX(0,ROUNDUP((AH$5-Plano!$L7)/Plano!$G7,0))&lt;=IF(DAY(AH$5)&gt;=29,EOMONTH(AH$5,0),AH$5+6),"●",""))</f>
        <v/>
      </c>
      <c r="AI10" s="138">
        <f>IF(OR(NOT(ISNUMBER(AI$5)),N(Plano!$G7)=0,N(Plano!$L7)=0),"",IF(Plano!$L7+Plano!$G7*MAX(0,ROUNDUP((AI$5-Plano!$L7)/Plano!$G7,0))&lt;=IF(DAY(AI$5)&gt;=29,EOMONTH(AI$5,0),AI$5+6),"●",""))</f>
        <v/>
      </c>
      <c r="AJ10" s="139">
        <f>IF(OR(NOT(ISNUMBER(AJ$5)),N(Plano!$G7)=0,N(Plano!$L7)=0),"",IF(Plano!$L7+Plano!$G7*MAX(0,ROUNDUP((AJ$5-Plano!$L7)/Plano!$G7,0))&lt;=IF(DAY(AJ$5)&gt;=29,EOMONTH(AJ$5,0),AJ$5+6),"●",""))</f>
        <v/>
      </c>
      <c r="AK10" s="138">
        <f>IF(OR(NOT(ISNUMBER(AK$5)),N(Plano!$G7)=0,N(Plano!$L7)=0),"",IF(Plano!$L7+Plano!$G7*MAX(0,ROUNDUP((AK$5-Plano!$L7)/Plano!$G7,0))&lt;=IF(DAY(AK$5)&gt;=29,EOMONTH(AK$5,0),AK$5+6),"●",""))</f>
        <v/>
      </c>
      <c r="AL10" s="138">
        <f>IF(OR(NOT(ISNUMBER(AL$5)),N(Plano!$G7)=0,N(Plano!$L7)=0),"",IF(Plano!$L7+Plano!$G7*MAX(0,ROUNDUP((AL$5-Plano!$L7)/Plano!$G7,0))&lt;=IF(DAY(AL$5)&gt;=29,EOMONTH(AL$5,0),AL$5+6),"●",""))</f>
        <v/>
      </c>
      <c r="AM10" s="138">
        <f>IF(OR(NOT(ISNUMBER(AM$5)),N(Plano!$G7)=0,N(Plano!$L7)=0),"",IF(Plano!$L7+Plano!$G7*MAX(0,ROUNDUP((AM$5-Plano!$L7)/Plano!$G7,0))&lt;=IF(DAY(AM$5)&gt;=29,EOMONTH(AM$5,0),AM$5+6),"●",""))</f>
        <v/>
      </c>
      <c r="AN10" s="138">
        <f>IF(OR(NOT(ISNUMBER(AN$5)),N(Plano!$G7)=0,N(Plano!$L7)=0),"",IF(Plano!$L7+Plano!$G7*MAX(0,ROUNDUP((AN$5-Plano!$L7)/Plano!$G7,0))&lt;=IF(DAY(AN$5)&gt;=29,EOMONTH(AN$5,0),AN$5+6),"●",""))</f>
        <v/>
      </c>
      <c r="AO10" s="139">
        <f>IF(OR(NOT(ISNUMBER(AO$5)),N(Plano!$G7)=0,N(Plano!$L7)=0),"",IF(Plano!$L7+Plano!$G7*MAX(0,ROUNDUP((AO$5-Plano!$L7)/Plano!$G7,0))&lt;=IF(DAY(AO$5)&gt;=29,EOMONTH(AO$5,0),AO$5+6),"●",""))</f>
        <v/>
      </c>
      <c r="AP10" s="138">
        <f>IF(OR(NOT(ISNUMBER(AP$5)),N(Plano!$G7)=0,N(Plano!$L7)=0),"",IF(Plano!$L7+Plano!$G7*MAX(0,ROUNDUP((AP$5-Plano!$L7)/Plano!$G7,0))&lt;=IF(DAY(AP$5)&gt;=29,EOMONTH(AP$5,0),AP$5+6),"●",""))</f>
        <v/>
      </c>
      <c r="AQ10" s="138">
        <f>IF(OR(NOT(ISNUMBER(AQ$5)),N(Plano!$G7)=0,N(Plano!$L7)=0),"",IF(Plano!$L7+Plano!$G7*MAX(0,ROUNDUP((AQ$5-Plano!$L7)/Plano!$G7,0))&lt;=IF(DAY(AQ$5)&gt;=29,EOMONTH(AQ$5,0),AQ$5+6),"●",""))</f>
        <v/>
      </c>
      <c r="AR10" s="138">
        <f>IF(OR(NOT(ISNUMBER(AR$5)),N(Plano!$G7)=0,N(Plano!$L7)=0),"",IF(Plano!$L7+Plano!$G7*MAX(0,ROUNDUP((AR$5-Plano!$L7)/Plano!$G7,0))&lt;=IF(DAY(AR$5)&gt;=29,EOMONTH(AR$5,0),AR$5+6),"●",""))</f>
        <v/>
      </c>
      <c r="AS10" s="138">
        <f>IF(OR(NOT(ISNUMBER(AS$5)),N(Plano!$G7)=0,N(Plano!$L7)=0),"",IF(Plano!$L7+Plano!$G7*MAX(0,ROUNDUP((AS$5-Plano!$L7)/Plano!$G7,0))&lt;=IF(DAY(AS$5)&gt;=29,EOMONTH(AS$5,0),AS$5+6),"●",""))</f>
        <v/>
      </c>
      <c r="AT10" s="139">
        <f>IF(OR(NOT(ISNUMBER(AT$5)),N(Plano!$G7)=0,N(Plano!$L7)=0),"",IF(Plano!$L7+Plano!$G7*MAX(0,ROUNDUP((AT$5-Plano!$L7)/Plano!$G7,0))&lt;=IF(DAY(AT$5)&gt;=29,EOMONTH(AT$5,0),AT$5+6),"●",""))</f>
        <v/>
      </c>
      <c r="AU10" s="138">
        <f>IF(OR(NOT(ISNUMBER(AU$5)),N(Plano!$G7)=0,N(Plano!$L7)=0),"",IF(Plano!$L7+Plano!$G7*MAX(0,ROUNDUP((AU$5-Plano!$L7)/Plano!$G7,0))&lt;=IF(DAY(AU$5)&gt;=29,EOMONTH(AU$5,0),AU$5+6),"●",""))</f>
        <v/>
      </c>
      <c r="AV10" s="138">
        <f>IF(OR(NOT(ISNUMBER(AV$5)),N(Plano!$G7)=0,N(Plano!$L7)=0),"",IF(Plano!$L7+Plano!$G7*MAX(0,ROUNDUP((AV$5-Plano!$L7)/Plano!$G7,0))&lt;=IF(DAY(AV$5)&gt;=29,EOMONTH(AV$5,0),AV$5+6),"●",""))</f>
        <v/>
      </c>
      <c r="AW10" s="138">
        <f>IF(OR(NOT(ISNUMBER(AW$5)),N(Plano!$G7)=0,N(Plano!$L7)=0),"",IF(Plano!$L7+Plano!$G7*MAX(0,ROUNDUP((AW$5-Plano!$L7)/Plano!$G7,0))&lt;=IF(DAY(AW$5)&gt;=29,EOMONTH(AW$5,0),AW$5+6),"●",""))</f>
        <v/>
      </c>
      <c r="AX10" s="138">
        <f>IF(OR(NOT(ISNUMBER(AX$5)),N(Plano!$G7)=0,N(Plano!$L7)=0),"",IF(Plano!$L7+Plano!$G7*MAX(0,ROUNDUP((AX$5-Plano!$L7)/Plano!$G7,0))&lt;=IF(DAY(AX$5)&gt;=29,EOMONTH(AX$5,0),AX$5+6),"●",""))</f>
        <v/>
      </c>
      <c r="AY10" s="139">
        <f>IF(OR(NOT(ISNUMBER(AY$5)),N(Plano!$G7)=0,N(Plano!$L7)=0),"",IF(Plano!$L7+Plano!$G7*MAX(0,ROUNDUP((AY$5-Plano!$L7)/Plano!$G7,0))&lt;=IF(DAY(AY$5)&gt;=29,EOMONTH(AY$5,0),AY$5+6),"●",""))</f>
        <v/>
      </c>
      <c r="AZ10" s="138">
        <f>IF(OR(NOT(ISNUMBER(AZ$5)),N(Plano!$G7)=0,N(Plano!$L7)=0),"",IF(Plano!$L7+Plano!$G7*MAX(0,ROUNDUP((AZ$5-Plano!$L7)/Plano!$G7,0))&lt;=IF(DAY(AZ$5)&gt;=29,EOMONTH(AZ$5,0),AZ$5+6),"●",""))</f>
        <v/>
      </c>
      <c r="BA10" s="138">
        <f>IF(OR(NOT(ISNUMBER(BA$5)),N(Plano!$G7)=0,N(Plano!$L7)=0),"",IF(Plano!$L7+Plano!$G7*MAX(0,ROUNDUP((BA$5-Plano!$L7)/Plano!$G7,0))&lt;=IF(DAY(BA$5)&gt;=29,EOMONTH(BA$5,0),BA$5+6),"●",""))</f>
        <v/>
      </c>
      <c r="BB10" s="138">
        <f>IF(OR(NOT(ISNUMBER(BB$5)),N(Plano!$G7)=0,N(Plano!$L7)=0),"",IF(Plano!$L7+Plano!$G7*MAX(0,ROUNDUP((BB$5-Plano!$L7)/Plano!$G7,0))&lt;=IF(DAY(BB$5)&gt;=29,EOMONTH(BB$5,0),BB$5+6),"●",""))</f>
        <v/>
      </c>
      <c r="BC10" s="138">
        <f>IF(OR(NOT(ISNUMBER(BC$5)),N(Plano!$G7)=0,N(Plano!$L7)=0),"",IF(Plano!$L7+Plano!$G7*MAX(0,ROUNDUP((BC$5-Plano!$L7)/Plano!$G7,0))&lt;=IF(DAY(BC$5)&gt;=29,EOMONTH(BC$5,0),BC$5+6),"●",""))</f>
        <v/>
      </c>
      <c r="BD10" s="139">
        <f>IF(OR(NOT(ISNUMBER(BD$5)),N(Plano!$G7)=0,N(Plano!$L7)=0),"",IF(Plano!$L7+Plano!$G7*MAX(0,ROUNDUP((BD$5-Plano!$L7)/Plano!$G7,0))&lt;=IF(DAY(BD$5)&gt;=29,EOMONTH(BD$5,0),BD$5+6),"●",""))</f>
        <v/>
      </c>
      <c r="BE10" s="138">
        <f>IF(OR(NOT(ISNUMBER(BE$5)),N(Plano!$G7)=0,N(Plano!$L7)=0),"",IF(Plano!$L7+Plano!$G7*MAX(0,ROUNDUP((BE$5-Plano!$L7)/Plano!$G7,0))&lt;=IF(DAY(BE$5)&gt;=29,EOMONTH(BE$5,0),BE$5+6),"●",""))</f>
        <v/>
      </c>
      <c r="BF10" s="138">
        <f>IF(OR(NOT(ISNUMBER(BF$5)),N(Plano!$G7)=0,N(Plano!$L7)=0),"",IF(Plano!$L7+Plano!$G7*MAX(0,ROUNDUP((BF$5-Plano!$L7)/Plano!$G7,0))&lt;=IF(DAY(BF$5)&gt;=29,EOMONTH(BF$5,0),BF$5+6),"●",""))</f>
        <v/>
      </c>
      <c r="BG10" s="138">
        <f>IF(OR(NOT(ISNUMBER(BG$5)),N(Plano!$G7)=0,N(Plano!$L7)=0),"",IF(Plano!$L7+Plano!$G7*MAX(0,ROUNDUP((BG$5-Plano!$L7)/Plano!$G7,0))&lt;=IF(DAY(BG$5)&gt;=29,EOMONTH(BG$5,0),BG$5+6),"●",""))</f>
        <v/>
      </c>
      <c r="BH10" s="138">
        <f>IF(OR(NOT(ISNUMBER(BH$5)),N(Plano!$G7)=0,N(Plano!$L7)=0),"",IF(Plano!$L7+Plano!$G7*MAX(0,ROUNDUP((BH$5-Plano!$L7)/Plano!$G7,0))&lt;=IF(DAY(BH$5)&gt;=29,EOMONTH(BH$5,0),BH$5+6),"●",""))</f>
        <v/>
      </c>
      <c r="BI10" s="139">
        <f>IF(OR(NOT(ISNUMBER(BI$5)),N(Plano!$G7)=0,N(Plano!$L7)=0),"",IF(Plano!$L7+Plano!$G7*MAX(0,ROUNDUP((BI$5-Plano!$L7)/Plano!$G7,0))&lt;=IF(DAY(BI$5)&gt;=29,EOMONTH(BI$5,0),BI$5+6),"●",""))</f>
        <v/>
      </c>
      <c r="BJ10" s="138">
        <f>IF(OR(NOT(ISNUMBER(BJ$5)),N(Plano!$G7)=0,N(Plano!$L7)=0),"",IF(Plano!$L7+Plano!$G7*MAX(0,ROUNDUP((BJ$5-Plano!$L7)/Plano!$G7,0))&lt;=IF(DAY(BJ$5)&gt;=29,EOMONTH(BJ$5,0),BJ$5+6),"●",""))</f>
        <v/>
      </c>
      <c r="BK10" s="138">
        <f>IF(OR(NOT(ISNUMBER(BK$5)),N(Plano!$G7)=0,N(Plano!$L7)=0),"",IF(Plano!$L7+Plano!$G7*MAX(0,ROUNDUP((BK$5-Plano!$L7)/Plano!$G7,0))&lt;=IF(DAY(BK$5)&gt;=29,EOMONTH(BK$5,0),BK$5+6),"●",""))</f>
        <v/>
      </c>
      <c r="BL10" s="138">
        <f>IF(OR(NOT(ISNUMBER(BL$5)),N(Plano!$G7)=0,N(Plano!$L7)=0),"",IF(Plano!$L7+Plano!$G7*MAX(0,ROUNDUP((BL$5-Plano!$L7)/Plano!$G7,0))&lt;=IF(DAY(BL$5)&gt;=29,EOMONTH(BL$5,0),BL$5+6),"●",""))</f>
        <v/>
      </c>
      <c r="BM10" s="140">
        <f>IF(OR(NOT(ISNUMBER(BM$5)),N(Plano!$G7)=0,N(Plano!$L7)=0),"",IF(Plano!$L7+Plano!$G7*MAX(0,ROUNDUP((BM$5-Plano!$L7)/Plano!$G7,0))&lt;=IF(DAY(BM$5)&gt;=29,EOMONTH(BM$5,0),BM$5+6),"●",""))</f>
        <v/>
      </c>
    </row>
    <row r="11" ht="18" customHeight="1">
      <c r="A11" s="118">
        <f>Plano!A8</f>
        <v/>
      </c>
      <c r="B11" s="136">
        <f>IF(Plano!B8="","",Plano!B8)</f>
        <v/>
      </c>
      <c r="C11" s="70">
        <f>IF(B11="","",IFERROR(INDEX(tb_pcm_ativos[descricao_ativo],MATCH(B11,tb_pcm_ativos[tag],0)),"fora do cadastro"))</f>
        <v/>
      </c>
      <c r="D11" s="70">
        <f>IF(Plano!E8="","",Plano!E8)</f>
        <v/>
      </c>
      <c r="E11" s="137">
        <f>IF(Plano!G8="","",Plano!G8)</f>
        <v/>
      </c>
      <c r="F11" s="138">
        <f>IF(OR(NOT(ISNUMBER(F$5)),N(Plano!$G8)=0,N(Plano!$L8)=0),"",IF(Plano!$L8+Plano!$G8*MAX(0,ROUNDUP((F$5-Plano!$L8)/Plano!$G8,0))&lt;=IF(DAY(F$5)&gt;=29,EOMONTH(F$5,0),F$5+6),"●",""))</f>
        <v/>
      </c>
      <c r="G11" s="138">
        <f>IF(OR(NOT(ISNUMBER(G$5)),N(Plano!$G8)=0,N(Plano!$L8)=0),"",IF(Plano!$L8+Plano!$G8*MAX(0,ROUNDUP((G$5-Plano!$L8)/Plano!$G8,0))&lt;=IF(DAY(G$5)&gt;=29,EOMONTH(G$5,0),G$5+6),"●",""))</f>
        <v/>
      </c>
      <c r="H11" s="138">
        <f>IF(OR(NOT(ISNUMBER(H$5)),N(Plano!$G8)=0,N(Plano!$L8)=0),"",IF(Plano!$L8+Plano!$G8*MAX(0,ROUNDUP((H$5-Plano!$L8)/Plano!$G8,0))&lt;=IF(DAY(H$5)&gt;=29,EOMONTH(H$5,0),H$5+6),"●",""))</f>
        <v/>
      </c>
      <c r="I11" s="138">
        <f>IF(OR(NOT(ISNUMBER(I$5)),N(Plano!$G8)=0,N(Plano!$L8)=0),"",IF(Plano!$L8+Plano!$G8*MAX(0,ROUNDUP((I$5-Plano!$L8)/Plano!$G8,0))&lt;=IF(DAY(I$5)&gt;=29,EOMONTH(I$5,0),I$5+6),"●",""))</f>
        <v/>
      </c>
      <c r="J11" s="138">
        <f>IF(OR(NOT(ISNUMBER(J$5)),N(Plano!$G8)=0,N(Plano!$L8)=0),"",IF(Plano!$L8+Plano!$G8*MAX(0,ROUNDUP((J$5-Plano!$L8)/Plano!$G8,0))&lt;=IF(DAY(J$5)&gt;=29,EOMONTH(J$5,0),J$5+6),"●",""))</f>
        <v/>
      </c>
      <c r="K11" s="139">
        <f>IF(OR(NOT(ISNUMBER(K$5)),N(Plano!$G8)=0,N(Plano!$L8)=0),"",IF(Plano!$L8+Plano!$G8*MAX(0,ROUNDUP((K$5-Plano!$L8)/Plano!$G8,0))&lt;=IF(DAY(K$5)&gt;=29,EOMONTH(K$5,0),K$5+6),"●",""))</f>
        <v/>
      </c>
      <c r="L11" s="138">
        <f>IF(OR(NOT(ISNUMBER(L$5)),N(Plano!$G8)=0,N(Plano!$L8)=0),"",IF(Plano!$L8+Plano!$G8*MAX(0,ROUNDUP((L$5-Plano!$L8)/Plano!$G8,0))&lt;=IF(DAY(L$5)&gt;=29,EOMONTH(L$5,0),L$5+6),"●",""))</f>
        <v/>
      </c>
      <c r="M11" s="138">
        <f>IF(OR(NOT(ISNUMBER(M$5)),N(Plano!$G8)=0,N(Plano!$L8)=0),"",IF(Plano!$L8+Plano!$G8*MAX(0,ROUNDUP((M$5-Plano!$L8)/Plano!$G8,0))&lt;=IF(DAY(M$5)&gt;=29,EOMONTH(M$5,0),M$5+6),"●",""))</f>
        <v/>
      </c>
      <c r="N11" s="138">
        <f>IF(OR(NOT(ISNUMBER(N$5)),N(Plano!$G8)=0,N(Plano!$L8)=0),"",IF(Plano!$L8+Plano!$G8*MAX(0,ROUNDUP((N$5-Plano!$L8)/Plano!$G8,0))&lt;=IF(DAY(N$5)&gt;=29,EOMONTH(N$5,0),N$5+6),"●",""))</f>
        <v/>
      </c>
      <c r="O11" s="138">
        <f>IF(OR(NOT(ISNUMBER(O$5)),N(Plano!$G8)=0,N(Plano!$L8)=0),"",IF(Plano!$L8+Plano!$G8*MAX(0,ROUNDUP((O$5-Plano!$L8)/Plano!$G8,0))&lt;=IF(DAY(O$5)&gt;=29,EOMONTH(O$5,0),O$5+6),"●",""))</f>
        <v/>
      </c>
      <c r="P11" s="139">
        <f>IF(OR(NOT(ISNUMBER(P$5)),N(Plano!$G8)=0,N(Plano!$L8)=0),"",IF(Plano!$L8+Plano!$G8*MAX(0,ROUNDUP((P$5-Plano!$L8)/Plano!$G8,0))&lt;=IF(DAY(P$5)&gt;=29,EOMONTH(P$5,0),P$5+6),"●",""))</f>
        <v/>
      </c>
      <c r="Q11" s="138">
        <f>IF(OR(NOT(ISNUMBER(Q$5)),N(Plano!$G8)=0,N(Plano!$L8)=0),"",IF(Plano!$L8+Plano!$G8*MAX(0,ROUNDUP((Q$5-Plano!$L8)/Plano!$G8,0))&lt;=IF(DAY(Q$5)&gt;=29,EOMONTH(Q$5,0),Q$5+6),"●",""))</f>
        <v/>
      </c>
      <c r="R11" s="138">
        <f>IF(OR(NOT(ISNUMBER(R$5)),N(Plano!$G8)=0,N(Plano!$L8)=0),"",IF(Plano!$L8+Plano!$G8*MAX(0,ROUNDUP((R$5-Plano!$L8)/Plano!$G8,0))&lt;=IF(DAY(R$5)&gt;=29,EOMONTH(R$5,0),R$5+6),"●",""))</f>
        <v/>
      </c>
      <c r="S11" s="138">
        <f>IF(OR(NOT(ISNUMBER(S$5)),N(Plano!$G8)=0,N(Plano!$L8)=0),"",IF(Plano!$L8+Plano!$G8*MAX(0,ROUNDUP((S$5-Plano!$L8)/Plano!$G8,0))&lt;=IF(DAY(S$5)&gt;=29,EOMONTH(S$5,0),S$5+6),"●",""))</f>
        <v/>
      </c>
      <c r="T11" s="138">
        <f>IF(OR(NOT(ISNUMBER(T$5)),N(Plano!$G8)=0,N(Plano!$L8)=0),"",IF(Plano!$L8+Plano!$G8*MAX(0,ROUNDUP((T$5-Plano!$L8)/Plano!$G8,0))&lt;=IF(DAY(T$5)&gt;=29,EOMONTH(T$5,0),T$5+6),"●",""))</f>
        <v/>
      </c>
      <c r="U11" s="139">
        <f>IF(OR(NOT(ISNUMBER(U$5)),N(Plano!$G8)=0,N(Plano!$L8)=0),"",IF(Plano!$L8+Plano!$G8*MAX(0,ROUNDUP((U$5-Plano!$L8)/Plano!$G8,0))&lt;=IF(DAY(U$5)&gt;=29,EOMONTH(U$5,0),U$5+6),"●",""))</f>
        <v/>
      </c>
      <c r="V11" s="138">
        <f>IF(OR(NOT(ISNUMBER(V$5)),N(Plano!$G8)=0,N(Plano!$L8)=0),"",IF(Plano!$L8+Plano!$G8*MAX(0,ROUNDUP((V$5-Plano!$L8)/Plano!$G8,0))&lt;=IF(DAY(V$5)&gt;=29,EOMONTH(V$5,0),V$5+6),"●",""))</f>
        <v/>
      </c>
      <c r="W11" s="138">
        <f>IF(OR(NOT(ISNUMBER(W$5)),N(Plano!$G8)=0,N(Plano!$L8)=0),"",IF(Plano!$L8+Plano!$G8*MAX(0,ROUNDUP((W$5-Plano!$L8)/Plano!$G8,0))&lt;=IF(DAY(W$5)&gt;=29,EOMONTH(W$5,0),W$5+6),"●",""))</f>
        <v/>
      </c>
      <c r="X11" s="138">
        <f>IF(OR(NOT(ISNUMBER(X$5)),N(Plano!$G8)=0,N(Plano!$L8)=0),"",IF(Plano!$L8+Plano!$G8*MAX(0,ROUNDUP((X$5-Plano!$L8)/Plano!$G8,0))&lt;=IF(DAY(X$5)&gt;=29,EOMONTH(X$5,0),X$5+6),"●",""))</f>
        <v/>
      </c>
      <c r="Y11" s="138">
        <f>IF(OR(NOT(ISNUMBER(Y$5)),N(Plano!$G8)=0,N(Plano!$L8)=0),"",IF(Plano!$L8+Plano!$G8*MAX(0,ROUNDUP((Y$5-Plano!$L8)/Plano!$G8,0))&lt;=IF(DAY(Y$5)&gt;=29,EOMONTH(Y$5,0),Y$5+6),"●",""))</f>
        <v/>
      </c>
      <c r="Z11" s="139">
        <f>IF(OR(NOT(ISNUMBER(Z$5)),N(Plano!$G8)=0,N(Plano!$L8)=0),"",IF(Plano!$L8+Plano!$G8*MAX(0,ROUNDUP((Z$5-Plano!$L8)/Plano!$G8,0))&lt;=IF(DAY(Z$5)&gt;=29,EOMONTH(Z$5,0),Z$5+6),"●",""))</f>
        <v/>
      </c>
      <c r="AA11" s="138">
        <f>IF(OR(NOT(ISNUMBER(AA$5)),N(Plano!$G8)=0,N(Plano!$L8)=0),"",IF(Plano!$L8+Plano!$G8*MAX(0,ROUNDUP((AA$5-Plano!$L8)/Plano!$G8,0))&lt;=IF(DAY(AA$5)&gt;=29,EOMONTH(AA$5,0),AA$5+6),"●",""))</f>
        <v/>
      </c>
      <c r="AB11" s="138">
        <f>IF(OR(NOT(ISNUMBER(AB$5)),N(Plano!$G8)=0,N(Plano!$L8)=0),"",IF(Plano!$L8+Plano!$G8*MAX(0,ROUNDUP((AB$5-Plano!$L8)/Plano!$G8,0))&lt;=IF(DAY(AB$5)&gt;=29,EOMONTH(AB$5,0),AB$5+6),"●",""))</f>
        <v/>
      </c>
      <c r="AC11" s="138">
        <f>IF(OR(NOT(ISNUMBER(AC$5)),N(Plano!$G8)=0,N(Plano!$L8)=0),"",IF(Plano!$L8+Plano!$G8*MAX(0,ROUNDUP((AC$5-Plano!$L8)/Plano!$G8,0))&lt;=IF(DAY(AC$5)&gt;=29,EOMONTH(AC$5,0),AC$5+6),"●",""))</f>
        <v/>
      </c>
      <c r="AD11" s="138">
        <f>IF(OR(NOT(ISNUMBER(AD$5)),N(Plano!$G8)=0,N(Plano!$L8)=0),"",IF(Plano!$L8+Plano!$G8*MAX(0,ROUNDUP((AD$5-Plano!$L8)/Plano!$G8,0))&lt;=IF(DAY(AD$5)&gt;=29,EOMONTH(AD$5,0),AD$5+6),"●",""))</f>
        <v/>
      </c>
      <c r="AE11" s="139">
        <f>IF(OR(NOT(ISNUMBER(AE$5)),N(Plano!$G8)=0,N(Plano!$L8)=0),"",IF(Plano!$L8+Plano!$G8*MAX(0,ROUNDUP((AE$5-Plano!$L8)/Plano!$G8,0))&lt;=IF(DAY(AE$5)&gt;=29,EOMONTH(AE$5,0),AE$5+6),"●",""))</f>
        <v/>
      </c>
      <c r="AF11" s="138">
        <f>IF(OR(NOT(ISNUMBER(AF$5)),N(Plano!$G8)=0,N(Plano!$L8)=0),"",IF(Plano!$L8+Plano!$G8*MAX(0,ROUNDUP((AF$5-Plano!$L8)/Plano!$G8,0))&lt;=IF(DAY(AF$5)&gt;=29,EOMONTH(AF$5,0),AF$5+6),"●",""))</f>
        <v/>
      </c>
      <c r="AG11" s="138">
        <f>IF(OR(NOT(ISNUMBER(AG$5)),N(Plano!$G8)=0,N(Plano!$L8)=0),"",IF(Plano!$L8+Plano!$G8*MAX(0,ROUNDUP((AG$5-Plano!$L8)/Plano!$G8,0))&lt;=IF(DAY(AG$5)&gt;=29,EOMONTH(AG$5,0),AG$5+6),"●",""))</f>
        <v/>
      </c>
      <c r="AH11" s="138">
        <f>IF(OR(NOT(ISNUMBER(AH$5)),N(Plano!$G8)=0,N(Plano!$L8)=0),"",IF(Plano!$L8+Plano!$G8*MAX(0,ROUNDUP((AH$5-Plano!$L8)/Plano!$G8,0))&lt;=IF(DAY(AH$5)&gt;=29,EOMONTH(AH$5,0),AH$5+6),"●",""))</f>
        <v/>
      </c>
      <c r="AI11" s="138">
        <f>IF(OR(NOT(ISNUMBER(AI$5)),N(Plano!$G8)=0,N(Plano!$L8)=0),"",IF(Plano!$L8+Plano!$G8*MAX(0,ROUNDUP((AI$5-Plano!$L8)/Plano!$G8,0))&lt;=IF(DAY(AI$5)&gt;=29,EOMONTH(AI$5,0),AI$5+6),"●",""))</f>
        <v/>
      </c>
      <c r="AJ11" s="139">
        <f>IF(OR(NOT(ISNUMBER(AJ$5)),N(Plano!$G8)=0,N(Plano!$L8)=0),"",IF(Plano!$L8+Plano!$G8*MAX(0,ROUNDUP((AJ$5-Plano!$L8)/Plano!$G8,0))&lt;=IF(DAY(AJ$5)&gt;=29,EOMONTH(AJ$5,0),AJ$5+6),"●",""))</f>
        <v/>
      </c>
      <c r="AK11" s="138">
        <f>IF(OR(NOT(ISNUMBER(AK$5)),N(Plano!$G8)=0,N(Plano!$L8)=0),"",IF(Plano!$L8+Plano!$G8*MAX(0,ROUNDUP((AK$5-Plano!$L8)/Plano!$G8,0))&lt;=IF(DAY(AK$5)&gt;=29,EOMONTH(AK$5,0),AK$5+6),"●",""))</f>
        <v/>
      </c>
      <c r="AL11" s="138">
        <f>IF(OR(NOT(ISNUMBER(AL$5)),N(Plano!$G8)=0,N(Plano!$L8)=0),"",IF(Plano!$L8+Plano!$G8*MAX(0,ROUNDUP((AL$5-Plano!$L8)/Plano!$G8,0))&lt;=IF(DAY(AL$5)&gt;=29,EOMONTH(AL$5,0),AL$5+6),"●",""))</f>
        <v/>
      </c>
      <c r="AM11" s="138">
        <f>IF(OR(NOT(ISNUMBER(AM$5)),N(Plano!$G8)=0,N(Plano!$L8)=0),"",IF(Plano!$L8+Plano!$G8*MAX(0,ROUNDUP((AM$5-Plano!$L8)/Plano!$G8,0))&lt;=IF(DAY(AM$5)&gt;=29,EOMONTH(AM$5,0),AM$5+6),"●",""))</f>
        <v/>
      </c>
      <c r="AN11" s="138">
        <f>IF(OR(NOT(ISNUMBER(AN$5)),N(Plano!$G8)=0,N(Plano!$L8)=0),"",IF(Plano!$L8+Plano!$G8*MAX(0,ROUNDUP((AN$5-Plano!$L8)/Plano!$G8,0))&lt;=IF(DAY(AN$5)&gt;=29,EOMONTH(AN$5,0),AN$5+6),"●",""))</f>
        <v/>
      </c>
      <c r="AO11" s="139">
        <f>IF(OR(NOT(ISNUMBER(AO$5)),N(Plano!$G8)=0,N(Plano!$L8)=0),"",IF(Plano!$L8+Plano!$G8*MAX(0,ROUNDUP((AO$5-Plano!$L8)/Plano!$G8,0))&lt;=IF(DAY(AO$5)&gt;=29,EOMONTH(AO$5,0),AO$5+6),"●",""))</f>
        <v/>
      </c>
      <c r="AP11" s="138">
        <f>IF(OR(NOT(ISNUMBER(AP$5)),N(Plano!$G8)=0,N(Plano!$L8)=0),"",IF(Plano!$L8+Plano!$G8*MAX(0,ROUNDUP((AP$5-Plano!$L8)/Plano!$G8,0))&lt;=IF(DAY(AP$5)&gt;=29,EOMONTH(AP$5,0),AP$5+6),"●",""))</f>
        <v/>
      </c>
      <c r="AQ11" s="138">
        <f>IF(OR(NOT(ISNUMBER(AQ$5)),N(Plano!$G8)=0,N(Plano!$L8)=0),"",IF(Plano!$L8+Plano!$G8*MAX(0,ROUNDUP((AQ$5-Plano!$L8)/Plano!$G8,0))&lt;=IF(DAY(AQ$5)&gt;=29,EOMONTH(AQ$5,0),AQ$5+6),"●",""))</f>
        <v/>
      </c>
      <c r="AR11" s="138">
        <f>IF(OR(NOT(ISNUMBER(AR$5)),N(Plano!$G8)=0,N(Plano!$L8)=0),"",IF(Plano!$L8+Plano!$G8*MAX(0,ROUNDUP((AR$5-Plano!$L8)/Plano!$G8,0))&lt;=IF(DAY(AR$5)&gt;=29,EOMONTH(AR$5,0),AR$5+6),"●",""))</f>
        <v/>
      </c>
      <c r="AS11" s="138">
        <f>IF(OR(NOT(ISNUMBER(AS$5)),N(Plano!$G8)=0,N(Plano!$L8)=0),"",IF(Plano!$L8+Plano!$G8*MAX(0,ROUNDUP((AS$5-Plano!$L8)/Plano!$G8,0))&lt;=IF(DAY(AS$5)&gt;=29,EOMONTH(AS$5,0),AS$5+6),"●",""))</f>
        <v/>
      </c>
      <c r="AT11" s="139">
        <f>IF(OR(NOT(ISNUMBER(AT$5)),N(Plano!$G8)=0,N(Plano!$L8)=0),"",IF(Plano!$L8+Plano!$G8*MAX(0,ROUNDUP((AT$5-Plano!$L8)/Plano!$G8,0))&lt;=IF(DAY(AT$5)&gt;=29,EOMONTH(AT$5,0),AT$5+6),"●",""))</f>
        <v/>
      </c>
      <c r="AU11" s="138">
        <f>IF(OR(NOT(ISNUMBER(AU$5)),N(Plano!$G8)=0,N(Plano!$L8)=0),"",IF(Plano!$L8+Plano!$G8*MAX(0,ROUNDUP((AU$5-Plano!$L8)/Plano!$G8,0))&lt;=IF(DAY(AU$5)&gt;=29,EOMONTH(AU$5,0),AU$5+6),"●",""))</f>
        <v/>
      </c>
      <c r="AV11" s="138">
        <f>IF(OR(NOT(ISNUMBER(AV$5)),N(Plano!$G8)=0,N(Plano!$L8)=0),"",IF(Plano!$L8+Plano!$G8*MAX(0,ROUNDUP((AV$5-Plano!$L8)/Plano!$G8,0))&lt;=IF(DAY(AV$5)&gt;=29,EOMONTH(AV$5,0),AV$5+6),"●",""))</f>
        <v/>
      </c>
      <c r="AW11" s="138">
        <f>IF(OR(NOT(ISNUMBER(AW$5)),N(Plano!$G8)=0,N(Plano!$L8)=0),"",IF(Plano!$L8+Plano!$G8*MAX(0,ROUNDUP((AW$5-Plano!$L8)/Plano!$G8,0))&lt;=IF(DAY(AW$5)&gt;=29,EOMONTH(AW$5,0),AW$5+6),"●",""))</f>
        <v/>
      </c>
      <c r="AX11" s="138">
        <f>IF(OR(NOT(ISNUMBER(AX$5)),N(Plano!$G8)=0,N(Plano!$L8)=0),"",IF(Plano!$L8+Plano!$G8*MAX(0,ROUNDUP((AX$5-Plano!$L8)/Plano!$G8,0))&lt;=IF(DAY(AX$5)&gt;=29,EOMONTH(AX$5,0),AX$5+6),"●",""))</f>
        <v/>
      </c>
      <c r="AY11" s="139">
        <f>IF(OR(NOT(ISNUMBER(AY$5)),N(Plano!$G8)=0,N(Plano!$L8)=0),"",IF(Plano!$L8+Plano!$G8*MAX(0,ROUNDUP((AY$5-Plano!$L8)/Plano!$G8,0))&lt;=IF(DAY(AY$5)&gt;=29,EOMONTH(AY$5,0),AY$5+6),"●",""))</f>
        <v/>
      </c>
      <c r="AZ11" s="138">
        <f>IF(OR(NOT(ISNUMBER(AZ$5)),N(Plano!$G8)=0,N(Plano!$L8)=0),"",IF(Plano!$L8+Plano!$G8*MAX(0,ROUNDUP((AZ$5-Plano!$L8)/Plano!$G8,0))&lt;=IF(DAY(AZ$5)&gt;=29,EOMONTH(AZ$5,0),AZ$5+6),"●",""))</f>
        <v/>
      </c>
      <c r="BA11" s="138">
        <f>IF(OR(NOT(ISNUMBER(BA$5)),N(Plano!$G8)=0,N(Plano!$L8)=0),"",IF(Plano!$L8+Plano!$G8*MAX(0,ROUNDUP((BA$5-Plano!$L8)/Plano!$G8,0))&lt;=IF(DAY(BA$5)&gt;=29,EOMONTH(BA$5,0),BA$5+6),"●",""))</f>
        <v/>
      </c>
      <c r="BB11" s="138">
        <f>IF(OR(NOT(ISNUMBER(BB$5)),N(Plano!$G8)=0,N(Plano!$L8)=0),"",IF(Plano!$L8+Plano!$G8*MAX(0,ROUNDUP((BB$5-Plano!$L8)/Plano!$G8,0))&lt;=IF(DAY(BB$5)&gt;=29,EOMONTH(BB$5,0),BB$5+6),"●",""))</f>
        <v/>
      </c>
      <c r="BC11" s="138">
        <f>IF(OR(NOT(ISNUMBER(BC$5)),N(Plano!$G8)=0,N(Plano!$L8)=0),"",IF(Plano!$L8+Plano!$G8*MAX(0,ROUNDUP((BC$5-Plano!$L8)/Plano!$G8,0))&lt;=IF(DAY(BC$5)&gt;=29,EOMONTH(BC$5,0),BC$5+6),"●",""))</f>
        <v/>
      </c>
      <c r="BD11" s="139">
        <f>IF(OR(NOT(ISNUMBER(BD$5)),N(Plano!$G8)=0,N(Plano!$L8)=0),"",IF(Plano!$L8+Plano!$G8*MAX(0,ROUNDUP((BD$5-Plano!$L8)/Plano!$G8,0))&lt;=IF(DAY(BD$5)&gt;=29,EOMONTH(BD$5,0),BD$5+6),"●",""))</f>
        <v/>
      </c>
      <c r="BE11" s="138">
        <f>IF(OR(NOT(ISNUMBER(BE$5)),N(Plano!$G8)=0,N(Plano!$L8)=0),"",IF(Plano!$L8+Plano!$G8*MAX(0,ROUNDUP((BE$5-Plano!$L8)/Plano!$G8,0))&lt;=IF(DAY(BE$5)&gt;=29,EOMONTH(BE$5,0),BE$5+6),"●",""))</f>
        <v/>
      </c>
      <c r="BF11" s="138">
        <f>IF(OR(NOT(ISNUMBER(BF$5)),N(Plano!$G8)=0,N(Plano!$L8)=0),"",IF(Plano!$L8+Plano!$G8*MAX(0,ROUNDUP((BF$5-Plano!$L8)/Plano!$G8,0))&lt;=IF(DAY(BF$5)&gt;=29,EOMONTH(BF$5,0),BF$5+6),"●",""))</f>
        <v/>
      </c>
      <c r="BG11" s="138">
        <f>IF(OR(NOT(ISNUMBER(BG$5)),N(Plano!$G8)=0,N(Plano!$L8)=0),"",IF(Plano!$L8+Plano!$G8*MAX(0,ROUNDUP((BG$5-Plano!$L8)/Plano!$G8,0))&lt;=IF(DAY(BG$5)&gt;=29,EOMONTH(BG$5,0),BG$5+6),"●",""))</f>
        <v/>
      </c>
      <c r="BH11" s="138">
        <f>IF(OR(NOT(ISNUMBER(BH$5)),N(Plano!$G8)=0,N(Plano!$L8)=0),"",IF(Plano!$L8+Plano!$G8*MAX(0,ROUNDUP((BH$5-Plano!$L8)/Plano!$G8,0))&lt;=IF(DAY(BH$5)&gt;=29,EOMONTH(BH$5,0),BH$5+6),"●",""))</f>
        <v/>
      </c>
      <c r="BI11" s="139">
        <f>IF(OR(NOT(ISNUMBER(BI$5)),N(Plano!$G8)=0,N(Plano!$L8)=0),"",IF(Plano!$L8+Plano!$G8*MAX(0,ROUNDUP((BI$5-Plano!$L8)/Plano!$G8,0))&lt;=IF(DAY(BI$5)&gt;=29,EOMONTH(BI$5,0),BI$5+6),"●",""))</f>
        <v/>
      </c>
      <c r="BJ11" s="138">
        <f>IF(OR(NOT(ISNUMBER(BJ$5)),N(Plano!$G8)=0,N(Plano!$L8)=0),"",IF(Plano!$L8+Plano!$G8*MAX(0,ROUNDUP((BJ$5-Plano!$L8)/Plano!$G8,0))&lt;=IF(DAY(BJ$5)&gt;=29,EOMONTH(BJ$5,0),BJ$5+6),"●",""))</f>
        <v/>
      </c>
      <c r="BK11" s="138">
        <f>IF(OR(NOT(ISNUMBER(BK$5)),N(Plano!$G8)=0,N(Plano!$L8)=0),"",IF(Plano!$L8+Plano!$G8*MAX(0,ROUNDUP((BK$5-Plano!$L8)/Plano!$G8,0))&lt;=IF(DAY(BK$5)&gt;=29,EOMONTH(BK$5,0),BK$5+6),"●",""))</f>
        <v/>
      </c>
      <c r="BL11" s="138">
        <f>IF(OR(NOT(ISNUMBER(BL$5)),N(Plano!$G8)=0,N(Plano!$L8)=0),"",IF(Plano!$L8+Plano!$G8*MAX(0,ROUNDUP((BL$5-Plano!$L8)/Plano!$G8,0))&lt;=IF(DAY(BL$5)&gt;=29,EOMONTH(BL$5,0),BL$5+6),"●",""))</f>
        <v/>
      </c>
      <c r="BM11" s="140">
        <f>IF(OR(NOT(ISNUMBER(BM$5)),N(Plano!$G8)=0,N(Plano!$L8)=0),"",IF(Plano!$L8+Plano!$G8*MAX(0,ROUNDUP((BM$5-Plano!$L8)/Plano!$G8,0))&lt;=IF(DAY(BM$5)&gt;=29,EOMONTH(BM$5,0),BM$5+6),"●",""))</f>
        <v/>
      </c>
    </row>
    <row r="12" ht="18" customHeight="1">
      <c r="A12" s="118">
        <f>Plano!A9</f>
        <v/>
      </c>
      <c r="B12" s="136">
        <f>IF(Plano!B9="","",Plano!B9)</f>
        <v/>
      </c>
      <c r="C12" s="70">
        <f>IF(B12="","",IFERROR(INDEX(tb_pcm_ativos[descricao_ativo],MATCH(B12,tb_pcm_ativos[tag],0)),"fora do cadastro"))</f>
        <v/>
      </c>
      <c r="D12" s="70">
        <f>IF(Plano!E9="","",Plano!E9)</f>
        <v/>
      </c>
      <c r="E12" s="137">
        <f>IF(Plano!G9="","",Plano!G9)</f>
        <v/>
      </c>
      <c r="F12" s="138">
        <f>IF(OR(NOT(ISNUMBER(F$5)),N(Plano!$G9)=0,N(Plano!$L9)=0),"",IF(Plano!$L9+Plano!$G9*MAX(0,ROUNDUP((F$5-Plano!$L9)/Plano!$G9,0))&lt;=IF(DAY(F$5)&gt;=29,EOMONTH(F$5,0),F$5+6),"●",""))</f>
        <v/>
      </c>
      <c r="G12" s="138">
        <f>IF(OR(NOT(ISNUMBER(G$5)),N(Plano!$G9)=0,N(Plano!$L9)=0),"",IF(Plano!$L9+Plano!$G9*MAX(0,ROUNDUP((G$5-Plano!$L9)/Plano!$G9,0))&lt;=IF(DAY(G$5)&gt;=29,EOMONTH(G$5,0),G$5+6),"●",""))</f>
        <v/>
      </c>
      <c r="H12" s="138">
        <f>IF(OR(NOT(ISNUMBER(H$5)),N(Plano!$G9)=0,N(Plano!$L9)=0),"",IF(Plano!$L9+Plano!$G9*MAX(0,ROUNDUP((H$5-Plano!$L9)/Plano!$G9,0))&lt;=IF(DAY(H$5)&gt;=29,EOMONTH(H$5,0),H$5+6),"●",""))</f>
        <v/>
      </c>
      <c r="I12" s="138">
        <f>IF(OR(NOT(ISNUMBER(I$5)),N(Plano!$G9)=0,N(Plano!$L9)=0),"",IF(Plano!$L9+Plano!$G9*MAX(0,ROUNDUP((I$5-Plano!$L9)/Plano!$G9,0))&lt;=IF(DAY(I$5)&gt;=29,EOMONTH(I$5,0),I$5+6),"●",""))</f>
        <v/>
      </c>
      <c r="J12" s="138">
        <f>IF(OR(NOT(ISNUMBER(J$5)),N(Plano!$G9)=0,N(Plano!$L9)=0),"",IF(Plano!$L9+Plano!$G9*MAX(0,ROUNDUP((J$5-Plano!$L9)/Plano!$G9,0))&lt;=IF(DAY(J$5)&gt;=29,EOMONTH(J$5,0),J$5+6),"●",""))</f>
        <v/>
      </c>
      <c r="K12" s="139">
        <f>IF(OR(NOT(ISNUMBER(K$5)),N(Plano!$G9)=0,N(Plano!$L9)=0),"",IF(Plano!$L9+Plano!$G9*MAX(0,ROUNDUP((K$5-Plano!$L9)/Plano!$G9,0))&lt;=IF(DAY(K$5)&gt;=29,EOMONTH(K$5,0),K$5+6),"●",""))</f>
        <v/>
      </c>
      <c r="L12" s="138">
        <f>IF(OR(NOT(ISNUMBER(L$5)),N(Plano!$G9)=0,N(Plano!$L9)=0),"",IF(Plano!$L9+Plano!$G9*MAX(0,ROUNDUP((L$5-Plano!$L9)/Plano!$G9,0))&lt;=IF(DAY(L$5)&gt;=29,EOMONTH(L$5,0),L$5+6),"●",""))</f>
        <v/>
      </c>
      <c r="M12" s="138">
        <f>IF(OR(NOT(ISNUMBER(M$5)),N(Plano!$G9)=0,N(Plano!$L9)=0),"",IF(Plano!$L9+Plano!$G9*MAX(0,ROUNDUP((M$5-Plano!$L9)/Plano!$G9,0))&lt;=IF(DAY(M$5)&gt;=29,EOMONTH(M$5,0),M$5+6),"●",""))</f>
        <v/>
      </c>
      <c r="N12" s="138">
        <f>IF(OR(NOT(ISNUMBER(N$5)),N(Plano!$G9)=0,N(Plano!$L9)=0),"",IF(Plano!$L9+Plano!$G9*MAX(0,ROUNDUP((N$5-Plano!$L9)/Plano!$G9,0))&lt;=IF(DAY(N$5)&gt;=29,EOMONTH(N$5,0),N$5+6),"●",""))</f>
        <v/>
      </c>
      <c r="O12" s="138">
        <f>IF(OR(NOT(ISNUMBER(O$5)),N(Plano!$G9)=0,N(Plano!$L9)=0),"",IF(Plano!$L9+Plano!$G9*MAX(0,ROUNDUP((O$5-Plano!$L9)/Plano!$G9,0))&lt;=IF(DAY(O$5)&gt;=29,EOMONTH(O$5,0),O$5+6),"●",""))</f>
        <v/>
      </c>
      <c r="P12" s="139">
        <f>IF(OR(NOT(ISNUMBER(P$5)),N(Plano!$G9)=0,N(Plano!$L9)=0),"",IF(Plano!$L9+Plano!$G9*MAX(0,ROUNDUP((P$5-Plano!$L9)/Plano!$G9,0))&lt;=IF(DAY(P$5)&gt;=29,EOMONTH(P$5,0),P$5+6),"●",""))</f>
        <v/>
      </c>
      <c r="Q12" s="138">
        <f>IF(OR(NOT(ISNUMBER(Q$5)),N(Plano!$G9)=0,N(Plano!$L9)=0),"",IF(Plano!$L9+Plano!$G9*MAX(0,ROUNDUP((Q$5-Plano!$L9)/Plano!$G9,0))&lt;=IF(DAY(Q$5)&gt;=29,EOMONTH(Q$5,0),Q$5+6),"●",""))</f>
        <v/>
      </c>
      <c r="R12" s="138">
        <f>IF(OR(NOT(ISNUMBER(R$5)),N(Plano!$G9)=0,N(Plano!$L9)=0),"",IF(Plano!$L9+Plano!$G9*MAX(0,ROUNDUP((R$5-Plano!$L9)/Plano!$G9,0))&lt;=IF(DAY(R$5)&gt;=29,EOMONTH(R$5,0),R$5+6),"●",""))</f>
        <v/>
      </c>
      <c r="S12" s="138">
        <f>IF(OR(NOT(ISNUMBER(S$5)),N(Plano!$G9)=0,N(Plano!$L9)=0),"",IF(Plano!$L9+Plano!$G9*MAX(0,ROUNDUP((S$5-Plano!$L9)/Plano!$G9,0))&lt;=IF(DAY(S$5)&gt;=29,EOMONTH(S$5,0),S$5+6),"●",""))</f>
        <v/>
      </c>
      <c r="T12" s="138">
        <f>IF(OR(NOT(ISNUMBER(T$5)),N(Plano!$G9)=0,N(Plano!$L9)=0),"",IF(Plano!$L9+Plano!$G9*MAX(0,ROUNDUP((T$5-Plano!$L9)/Plano!$G9,0))&lt;=IF(DAY(T$5)&gt;=29,EOMONTH(T$5,0),T$5+6),"●",""))</f>
        <v/>
      </c>
      <c r="U12" s="139">
        <f>IF(OR(NOT(ISNUMBER(U$5)),N(Plano!$G9)=0,N(Plano!$L9)=0),"",IF(Plano!$L9+Plano!$G9*MAX(0,ROUNDUP((U$5-Plano!$L9)/Plano!$G9,0))&lt;=IF(DAY(U$5)&gt;=29,EOMONTH(U$5,0),U$5+6),"●",""))</f>
        <v/>
      </c>
      <c r="V12" s="138">
        <f>IF(OR(NOT(ISNUMBER(V$5)),N(Plano!$G9)=0,N(Plano!$L9)=0),"",IF(Plano!$L9+Plano!$G9*MAX(0,ROUNDUP((V$5-Plano!$L9)/Plano!$G9,0))&lt;=IF(DAY(V$5)&gt;=29,EOMONTH(V$5,0),V$5+6),"●",""))</f>
        <v/>
      </c>
      <c r="W12" s="138">
        <f>IF(OR(NOT(ISNUMBER(W$5)),N(Plano!$G9)=0,N(Plano!$L9)=0),"",IF(Plano!$L9+Plano!$G9*MAX(0,ROUNDUP((W$5-Plano!$L9)/Plano!$G9,0))&lt;=IF(DAY(W$5)&gt;=29,EOMONTH(W$5,0),W$5+6),"●",""))</f>
        <v/>
      </c>
      <c r="X12" s="138">
        <f>IF(OR(NOT(ISNUMBER(X$5)),N(Plano!$G9)=0,N(Plano!$L9)=0),"",IF(Plano!$L9+Plano!$G9*MAX(0,ROUNDUP((X$5-Plano!$L9)/Plano!$G9,0))&lt;=IF(DAY(X$5)&gt;=29,EOMONTH(X$5,0),X$5+6),"●",""))</f>
        <v/>
      </c>
      <c r="Y12" s="138">
        <f>IF(OR(NOT(ISNUMBER(Y$5)),N(Plano!$G9)=0,N(Plano!$L9)=0),"",IF(Plano!$L9+Plano!$G9*MAX(0,ROUNDUP((Y$5-Plano!$L9)/Plano!$G9,0))&lt;=IF(DAY(Y$5)&gt;=29,EOMONTH(Y$5,0),Y$5+6),"●",""))</f>
        <v/>
      </c>
      <c r="Z12" s="139">
        <f>IF(OR(NOT(ISNUMBER(Z$5)),N(Plano!$G9)=0,N(Plano!$L9)=0),"",IF(Plano!$L9+Plano!$G9*MAX(0,ROUNDUP((Z$5-Plano!$L9)/Plano!$G9,0))&lt;=IF(DAY(Z$5)&gt;=29,EOMONTH(Z$5,0),Z$5+6),"●",""))</f>
        <v/>
      </c>
      <c r="AA12" s="138">
        <f>IF(OR(NOT(ISNUMBER(AA$5)),N(Plano!$G9)=0,N(Plano!$L9)=0),"",IF(Plano!$L9+Plano!$G9*MAX(0,ROUNDUP((AA$5-Plano!$L9)/Plano!$G9,0))&lt;=IF(DAY(AA$5)&gt;=29,EOMONTH(AA$5,0),AA$5+6),"●",""))</f>
        <v/>
      </c>
      <c r="AB12" s="138">
        <f>IF(OR(NOT(ISNUMBER(AB$5)),N(Plano!$G9)=0,N(Plano!$L9)=0),"",IF(Plano!$L9+Plano!$G9*MAX(0,ROUNDUP((AB$5-Plano!$L9)/Plano!$G9,0))&lt;=IF(DAY(AB$5)&gt;=29,EOMONTH(AB$5,0),AB$5+6),"●",""))</f>
        <v/>
      </c>
      <c r="AC12" s="138">
        <f>IF(OR(NOT(ISNUMBER(AC$5)),N(Plano!$G9)=0,N(Plano!$L9)=0),"",IF(Plano!$L9+Plano!$G9*MAX(0,ROUNDUP((AC$5-Plano!$L9)/Plano!$G9,0))&lt;=IF(DAY(AC$5)&gt;=29,EOMONTH(AC$5,0),AC$5+6),"●",""))</f>
        <v/>
      </c>
      <c r="AD12" s="138">
        <f>IF(OR(NOT(ISNUMBER(AD$5)),N(Plano!$G9)=0,N(Plano!$L9)=0),"",IF(Plano!$L9+Plano!$G9*MAX(0,ROUNDUP((AD$5-Plano!$L9)/Plano!$G9,0))&lt;=IF(DAY(AD$5)&gt;=29,EOMONTH(AD$5,0),AD$5+6),"●",""))</f>
        <v/>
      </c>
      <c r="AE12" s="139">
        <f>IF(OR(NOT(ISNUMBER(AE$5)),N(Plano!$G9)=0,N(Plano!$L9)=0),"",IF(Plano!$L9+Plano!$G9*MAX(0,ROUNDUP((AE$5-Plano!$L9)/Plano!$G9,0))&lt;=IF(DAY(AE$5)&gt;=29,EOMONTH(AE$5,0),AE$5+6),"●",""))</f>
        <v/>
      </c>
      <c r="AF12" s="138">
        <f>IF(OR(NOT(ISNUMBER(AF$5)),N(Plano!$G9)=0,N(Plano!$L9)=0),"",IF(Plano!$L9+Plano!$G9*MAX(0,ROUNDUP((AF$5-Plano!$L9)/Plano!$G9,0))&lt;=IF(DAY(AF$5)&gt;=29,EOMONTH(AF$5,0),AF$5+6),"●",""))</f>
        <v/>
      </c>
      <c r="AG12" s="138">
        <f>IF(OR(NOT(ISNUMBER(AG$5)),N(Plano!$G9)=0,N(Plano!$L9)=0),"",IF(Plano!$L9+Plano!$G9*MAX(0,ROUNDUP((AG$5-Plano!$L9)/Plano!$G9,0))&lt;=IF(DAY(AG$5)&gt;=29,EOMONTH(AG$5,0),AG$5+6),"●",""))</f>
        <v/>
      </c>
      <c r="AH12" s="138">
        <f>IF(OR(NOT(ISNUMBER(AH$5)),N(Plano!$G9)=0,N(Plano!$L9)=0),"",IF(Plano!$L9+Plano!$G9*MAX(0,ROUNDUP((AH$5-Plano!$L9)/Plano!$G9,0))&lt;=IF(DAY(AH$5)&gt;=29,EOMONTH(AH$5,0),AH$5+6),"●",""))</f>
        <v/>
      </c>
      <c r="AI12" s="138">
        <f>IF(OR(NOT(ISNUMBER(AI$5)),N(Plano!$G9)=0,N(Plano!$L9)=0),"",IF(Plano!$L9+Plano!$G9*MAX(0,ROUNDUP((AI$5-Plano!$L9)/Plano!$G9,0))&lt;=IF(DAY(AI$5)&gt;=29,EOMONTH(AI$5,0),AI$5+6),"●",""))</f>
        <v/>
      </c>
      <c r="AJ12" s="139">
        <f>IF(OR(NOT(ISNUMBER(AJ$5)),N(Plano!$G9)=0,N(Plano!$L9)=0),"",IF(Plano!$L9+Plano!$G9*MAX(0,ROUNDUP((AJ$5-Plano!$L9)/Plano!$G9,0))&lt;=IF(DAY(AJ$5)&gt;=29,EOMONTH(AJ$5,0),AJ$5+6),"●",""))</f>
        <v/>
      </c>
      <c r="AK12" s="138">
        <f>IF(OR(NOT(ISNUMBER(AK$5)),N(Plano!$G9)=0,N(Plano!$L9)=0),"",IF(Plano!$L9+Plano!$G9*MAX(0,ROUNDUP((AK$5-Plano!$L9)/Plano!$G9,0))&lt;=IF(DAY(AK$5)&gt;=29,EOMONTH(AK$5,0),AK$5+6),"●",""))</f>
        <v/>
      </c>
      <c r="AL12" s="138">
        <f>IF(OR(NOT(ISNUMBER(AL$5)),N(Plano!$G9)=0,N(Plano!$L9)=0),"",IF(Plano!$L9+Plano!$G9*MAX(0,ROUNDUP((AL$5-Plano!$L9)/Plano!$G9,0))&lt;=IF(DAY(AL$5)&gt;=29,EOMONTH(AL$5,0),AL$5+6),"●",""))</f>
        <v/>
      </c>
      <c r="AM12" s="138">
        <f>IF(OR(NOT(ISNUMBER(AM$5)),N(Plano!$G9)=0,N(Plano!$L9)=0),"",IF(Plano!$L9+Plano!$G9*MAX(0,ROUNDUP((AM$5-Plano!$L9)/Plano!$G9,0))&lt;=IF(DAY(AM$5)&gt;=29,EOMONTH(AM$5,0),AM$5+6),"●",""))</f>
        <v/>
      </c>
      <c r="AN12" s="138">
        <f>IF(OR(NOT(ISNUMBER(AN$5)),N(Plano!$G9)=0,N(Plano!$L9)=0),"",IF(Plano!$L9+Plano!$G9*MAX(0,ROUNDUP((AN$5-Plano!$L9)/Plano!$G9,0))&lt;=IF(DAY(AN$5)&gt;=29,EOMONTH(AN$5,0),AN$5+6),"●",""))</f>
        <v/>
      </c>
      <c r="AO12" s="139">
        <f>IF(OR(NOT(ISNUMBER(AO$5)),N(Plano!$G9)=0,N(Plano!$L9)=0),"",IF(Plano!$L9+Plano!$G9*MAX(0,ROUNDUP((AO$5-Plano!$L9)/Plano!$G9,0))&lt;=IF(DAY(AO$5)&gt;=29,EOMONTH(AO$5,0),AO$5+6),"●",""))</f>
        <v/>
      </c>
      <c r="AP12" s="138">
        <f>IF(OR(NOT(ISNUMBER(AP$5)),N(Plano!$G9)=0,N(Plano!$L9)=0),"",IF(Plano!$L9+Plano!$G9*MAX(0,ROUNDUP((AP$5-Plano!$L9)/Plano!$G9,0))&lt;=IF(DAY(AP$5)&gt;=29,EOMONTH(AP$5,0),AP$5+6),"●",""))</f>
        <v/>
      </c>
      <c r="AQ12" s="138">
        <f>IF(OR(NOT(ISNUMBER(AQ$5)),N(Plano!$G9)=0,N(Plano!$L9)=0),"",IF(Plano!$L9+Plano!$G9*MAX(0,ROUNDUP((AQ$5-Plano!$L9)/Plano!$G9,0))&lt;=IF(DAY(AQ$5)&gt;=29,EOMONTH(AQ$5,0),AQ$5+6),"●",""))</f>
        <v/>
      </c>
      <c r="AR12" s="138">
        <f>IF(OR(NOT(ISNUMBER(AR$5)),N(Plano!$G9)=0,N(Plano!$L9)=0),"",IF(Plano!$L9+Plano!$G9*MAX(0,ROUNDUP((AR$5-Plano!$L9)/Plano!$G9,0))&lt;=IF(DAY(AR$5)&gt;=29,EOMONTH(AR$5,0),AR$5+6),"●",""))</f>
        <v/>
      </c>
      <c r="AS12" s="138">
        <f>IF(OR(NOT(ISNUMBER(AS$5)),N(Plano!$G9)=0,N(Plano!$L9)=0),"",IF(Plano!$L9+Plano!$G9*MAX(0,ROUNDUP((AS$5-Plano!$L9)/Plano!$G9,0))&lt;=IF(DAY(AS$5)&gt;=29,EOMONTH(AS$5,0),AS$5+6),"●",""))</f>
        <v/>
      </c>
      <c r="AT12" s="139">
        <f>IF(OR(NOT(ISNUMBER(AT$5)),N(Plano!$G9)=0,N(Plano!$L9)=0),"",IF(Plano!$L9+Plano!$G9*MAX(0,ROUNDUP((AT$5-Plano!$L9)/Plano!$G9,0))&lt;=IF(DAY(AT$5)&gt;=29,EOMONTH(AT$5,0),AT$5+6),"●",""))</f>
        <v/>
      </c>
      <c r="AU12" s="138">
        <f>IF(OR(NOT(ISNUMBER(AU$5)),N(Plano!$G9)=0,N(Plano!$L9)=0),"",IF(Plano!$L9+Plano!$G9*MAX(0,ROUNDUP((AU$5-Plano!$L9)/Plano!$G9,0))&lt;=IF(DAY(AU$5)&gt;=29,EOMONTH(AU$5,0),AU$5+6),"●",""))</f>
        <v/>
      </c>
      <c r="AV12" s="138">
        <f>IF(OR(NOT(ISNUMBER(AV$5)),N(Plano!$G9)=0,N(Plano!$L9)=0),"",IF(Plano!$L9+Plano!$G9*MAX(0,ROUNDUP((AV$5-Plano!$L9)/Plano!$G9,0))&lt;=IF(DAY(AV$5)&gt;=29,EOMONTH(AV$5,0),AV$5+6),"●",""))</f>
        <v/>
      </c>
      <c r="AW12" s="138">
        <f>IF(OR(NOT(ISNUMBER(AW$5)),N(Plano!$G9)=0,N(Plano!$L9)=0),"",IF(Plano!$L9+Plano!$G9*MAX(0,ROUNDUP((AW$5-Plano!$L9)/Plano!$G9,0))&lt;=IF(DAY(AW$5)&gt;=29,EOMONTH(AW$5,0),AW$5+6),"●",""))</f>
        <v/>
      </c>
      <c r="AX12" s="138">
        <f>IF(OR(NOT(ISNUMBER(AX$5)),N(Plano!$G9)=0,N(Plano!$L9)=0),"",IF(Plano!$L9+Plano!$G9*MAX(0,ROUNDUP((AX$5-Plano!$L9)/Plano!$G9,0))&lt;=IF(DAY(AX$5)&gt;=29,EOMONTH(AX$5,0),AX$5+6),"●",""))</f>
        <v/>
      </c>
      <c r="AY12" s="139">
        <f>IF(OR(NOT(ISNUMBER(AY$5)),N(Plano!$G9)=0,N(Plano!$L9)=0),"",IF(Plano!$L9+Plano!$G9*MAX(0,ROUNDUP((AY$5-Plano!$L9)/Plano!$G9,0))&lt;=IF(DAY(AY$5)&gt;=29,EOMONTH(AY$5,0),AY$5+6),"●",""))</f>
        <v/>
      </c>
      <c r="AZ12" s="138">
        <f>IF(OR(NOT(ISNUMBER(AZ$5)),N(Plano!$G9)=0,N(Plano!$L9)=0),"",IF(Plano!$L9+Plano!$G9*MAX(0,ROUNDUP((AZ$5-Plano!$L9)/Plano!$G9,0))&lt;=IF(DAY(AZ$5)&gt;=29,EOMONTH(AZ$5,0),AZ$5+6),"●",""))</f>
        <v/>
      </c>
      <c r="BA12" s="138">
        <f>IF(OR(NOT(ISNUMBER(BA$5)),N(Plano!$G9)=0,N(Plano!$L9)=0),"",IF(Plano!$L9+Plano!$G9*MAX(0,ROUNDUP((BA$5-Plano!$L9)/Plano!$G9,0))&lt;=IF(DAY(BA$5)&gt;=29,EOMONTH(BA$5,0),BA$5+6),"●",""))</f>
        <v/>
      </c>
      <c r="BB12" s="138">
        <f>IF(OR(NOT(ISNUMBER(BB$5)),N(Plano!$G9)=0,N(Plano!$L9)=0),"",IF(Plano!$L9+Plano!$G9*MAX(0,ROUNDUP((BB$5-Plano!$L9)/Plano!$G9,0))&lt;=IF(DAY(BB$5)&gt;=29,EOMONTH(BB$5,0),BB$5+6),"●",""))</f>
        <v/>
      </c>
      <c r="BC12" s="138">
        <f>IF(OR(NOT(ISNUMBER(BC$5)),N(Plano!$G9)=0,N(Plano!$L9)=0),"",IF(Plano!$L9+Plano!$G9*MAX(0,ROUNDUP((BC$5-Plano!$L9)/Plano!$G9,0))&lt;=IF(DAY(BC$5)&gt;=29,EOMONTH(BC$5,0),BC$5+6),"●",""))</f>
        <v/>
      </c>
      <c r="BD12" s="139">
        <f>IF(OR(NOT(ISNUMBER(BD$5)),N(Plano!$G9)=0,N(Plano!$L9)=0),"",IF(Plano!$L9+Plano!$G9*MAX(0,ROUNDUP((BD$5-Plano!$L9)/Plano!$G9,0))&lt;=IF(DAY(BD$5)&gt;=29,EOMONTH(BD$5,0),BD$5+6),"●",""))</f>
        <v/>
      </c>
      <c r="BE12" s="138">
        <f>IF(OR(NOT(ISNUMBER(BE$5)),N(Plano!$G9)=0,N(Plano!$L9)=0),"",IF(Plano!$L9+Plano!$G9*MAX(0,ROUNDUP((BE$5-Plano!$L9)/Plano!$G9,0))&lt;=IF(DAY(BE$5)&gt;=29,EOMONTH(BE$5,0),BE$5+6),"●",""))</f>
        <v/>
      </c>
      <c r="BF12" s="138">
        <f>IF(OR(NOT(ISNUMBER(BF$5)),N(Plano!$G9)=0,N(Plano!$L9)=0),"",IF(Plano!$L9+Plano!$G9*MAX(0,ROUNDUP((BF$5-Plano!$L9)/Plano!$G9,0))&lt;=IF(DAY(BF$5)&gt;=29,EOMONTH(BF$5,0),BF$5+6),"●",""))</f>
        <v/>
      </c>
      <c r="BG12" s="138">
        <f>IF(OR(NOT(ISNUMBER(BG$5)),N(Plano!$G9)=0,N(Plano!$L9)=0),"",IF(Plano!$L9+Plano!$G9*MAX(0,ROUNDUP((BG$5-Plano!$L9)/Plano!$G9,0))&lt;=IF(DAY(BG$5)&gt;=29,EOMONTH(BG$5,0),BG$5+6),"●",""))</f>
        <v/>
      </c>
      <c r="BH12" s="138">
        <f>IF(OR(NOT(ISNUMBER(BH$5)),N(Plano!$G9)=0,N(Plano!$L9)=0),"",IF(Plano!$L9+Plano!$G9*MAX(0,ROUNDUP((BH$5-Plano!$L9)/Plano!$G9,0))&lt;=IF(DAY(BH$5)&gt;=29,EOMONTH(BH$5,0),BH$5+6),"●",""))</f>
        <v/>
      </c>
      <c r="BI12" s="139">
        <f>IF(OR(NOT(ISNUMBER(BI$5)),N(Plano!$G9)=0,N(Plano!$L9)=0),"",IF(Plano!$L9+Plano!$G9*MAX(0,ROUNDUP((BI$5-Plano!$L9)/Plano!$G9,0))&lt;=IF(DAY(BI$5)&gt;=29,EOMONTH(BI$5,0),BI$5+6),"●",""))</f>
        <v/>
      </c>
      <c r="BJ12" s="138">
        <f>IF(OR(NOT(ISNUMBER(BJ$5)),N(Plano!$G9)=0,N(Plano!$L9)=0),"",IF(Plano!$L9+Plano!$G9*MAX(0,ROUNDUP((BJ$5-Plano!$L9)/Plano!$G9,0))&lt;=IF(DAY(BJ$5)&gt;=29,EOMONTH(BJ$5,0),BJ$5+6),"●",""))</f>
        <v/>
      </c>
      <c r="BK12" s="138">
        <f>IF(OR(NOT(ISNUMBER(BK$5)),N(Plano!$G9)=0,N(Plano!$L9)=0),"",IF(Plano!$L9+Plano!$G9*MAX(0,ROUNDUP((BK$5-Plano!$L9)/Plano!$G9,0))&lt;=IF(DAY(BK$5)&gt;=29,EOMONTH(BK$5,0),BK$5+6),"●",""))</f>
        <v/>
      </c>
      <c r="BL12" s="138">
        <f>IF(OR(NOT(ISNUMBER(BL$5)),N(Plano!$G9)=0,N(Plano!$L9)=0),"",IF(Plano!$L9+Plano!$G9*MAX(0,ROUNDUP((BL$5-Plano!$L9)/Plano!$G9,0))&lt;=IF(DAY(BL$5)&gt;=29,EOMONTH(BL$5,0),BL$5+6),"●",""))</f>
        <v/>
      </c>
      <c r="BM12" s="140">
        <f>IF(OR(NOT(ISNUMBER(BM$5)),N(Plano!$G9)=0,N(Plano!$L9)=0),"",IF(Plano!$L9+Plano!$G9*MAX(0,ROUNDUP((BM$5-Plano!$L9)/Plano!$G9,0))&lt;=IF(DAY(BM$5)&gt;=29,EOMONTH(BM$5,0),BM$5+6),"●",""))</f>
        <v/>
      </c>
    </row>
    <row r="13" ht="18" customHeight="1">
      <c r="A13" s="118">
        <f>Plano!A10</f>
        <v/>
      </c>
      <c r="B13" s="136">
        <f>IF(Plano!B10="","",Plano!B10)</f>
        <v/>
      </c>
      <c r="C13" s="70">
        <f>IF(B13="","",IFERROR(INDEX(tb_pcm_ativos[descricao_ativo],MATCH(B13,tb_pcm_ativos[tag],0)),"fora do cadastro"))</f>
        <v/>
      </c>
      <c r="D13" s="70">
        <f>IF(Plano!E10="","",Plano!E10)</f>
        <v/>
      </c>
      <c r="E13" s="137">
        <f>IF(Plano!G10="","",Plano!G10)</f>
        <v/>
      </c>
      <c r="F13" s="138">
        <f>IF(OR(NOT(ISNUMBER(F$5)),N(Plano!$G10)=0,N(Plano!$L10)=0),"",IF(Plano!$L10+Plano!$G10*MAX(0,ROUNDUP((F$5-Plano!$L10)/Plano!$G10,0))&lt;=IF(DAY(F$5)&gt;=29,EOMONTH(F$5,0),F$5+6),"●",""))</f>
        <v/>
      </c>
      <c r="G13" s="138">
        <f>IF(OR(NOT(ISNUMBER(G$5)),N(Plano!$G10)=0,N(Plano!$L10)=0),"",IF(Plano!$L10+Plano!$G10*MAX(0,ROUNDUP((G$5-Plano!$L10)/Plano!$G10,0))&lt;=IF(DAY(G$5)&gt;=29,EOMONTH(G$5,0),G$5+6),"●",""))</f>
        <v/>
      </c>
      <c r="H13" s="138">
        <f>IF(OR(NOT(ISNUMBER(H$5)),N(Plano!$G10)=0,N(Plano!$L10)=0),"",IF(Plano!$L10+Plano!$G10*MAX(0,ROUNDUP((H$5-Plano!$L10)/Plano!$G10,0))&lt;=IF(DAY(H$5)&gt;=29,EOMONTH(H$5,0),H$5+6),"●",""))</f>
        <v/>
      </c>
      <c r="I13" s="138">
        <f>IF(OR(NOT(ISNUMBER(I$5)),N(Plano!$G10)=0,N(Plano!$L10)=0),"",IF(Plano!$L10+Plano!$G10*MAX(0,ROUNDUP((I$5-Plano!$L10)/Plano!$G10,0))&lt;=IF(DAY(I$5)&gt;=29,EOMONTH(I$5,0),I$5+6),"●",""))</f>
        <v/>
      </c>
      <c r="J13" s="138">
        <f>IF(OR(NOT(ISNUMBER(J$5)),N(Plano!$G10)=0,N(Plano!$L10)=0),"",IF(Plano!$L10+Plano!$G10*MAX(0,ROUNDUP((J$5-Plano!$L10)/Plano!$G10,0))&lt;=IF(DAY(J$5)&gt;=29,EOMONTH(J$5,0),J$5+6),"●",""))</f>
        <v/>
      </c>
      <c r="K13" s="139">
        <f>IF(OR(NOT(ISNUMBER(K$5)),N(Plano!$G10)=0,N(Plano!$L10)=0),"",IF(Plano!$L10+Plano!$G10*MAX(0,ROUNDUP((K$5-Plano!$L10)/Plano!$G10,0))&lt;=IF(DAY(K$5)&gt;=29,EOMONTH(K$5,0),K$5+6),"●",""))</f>
        <v/>
      </c>
      <c r="L13" s="138">
        <f>IF(OR(NOT(ISNUMBER(L$5)),N(Plano!$G10)=0,N(Plano!$L10)=0),"",IF(Plano!$L10+Plano!$G10*MAX(0,ROUNDUP((L$5-Plano!$L10)/Plano!$G10,0))&lt;=IF(DAY(L$5)&gt;=29,EOMONTH(L$5,0),L$5+6),"●",""))</f>
        <v/>
      </c>
      <c r="M13" s="138">
        <f>IF(OR(NOT(ISNUMBER(M$5)),N(Plano!$G10)=0,N(Plano!$L10)=0),"",IF(Plano!$L10+Plano!$G10*MAX(0,ROUNDUP((M$5-Plano!$L10)/Plano!$G10,0))&lt;=IF(DAY(M$5)&gt;=29,EOMONTH(M$5,0),M$5+6),"●",""))</f>
        <v/>
      </c>
      <c r="N13" s="138">
        <f>IF(OR(NOT(ISNUMBER(N$5)),N(Plano!$G10)=0,N(Plano!$L10)=0),"",IF(Plano!$L10+Plano!$G10*MAX(0,ROUNDUP((N$5-Plano!$L10)/Plano!$G10,0))&lt;=IF(DAY(N$5)&gt;=29,EOMONTH(N$5,0),N$5+6),"●",""))</f>
        <v/>
      </c>
      <c r="O13" s="138">
        <f>IF(OR(NOT(ISNUMBER(O$5)),N(Plano!$G10)=0,N(Plano!$L10)=0),"",IF(Plano!$L10+Plano!$G10*MAX(0,ROUNDUP((O$5-Plano!$L10)/Plano!$G10,0))&lt;=IF(DAY(O$5)&gt;=29,EOMONTH(O$5,0),O$5+6),"●",""))</f>
        <v/>
      </c>
      <c r="P13" s="139">
        <f>IF(OR(NOT(ISNUMBER(P$5)),N(Plano!$G10)=0,N(Plano!$L10)=0),"",IF(Plano!$L10+Plano!$G10*MAX(0,ROUNDUP((P$5-Plano!$L10)/Plano!$G10,0))&lt;=IF(DAY(P$5)&gt;=29,EOMONTH(P$5,0),P$5+6),"●",""))</f>
        <v/>
      </c>
      <c r="Q13" s="138">
        <f>IF(OR(NOT(ISNUMBER(Q$5)),N(Plano!$G10)=0,N(Plano!$L10)=0),"",IF(Plano!$L10+Plano!$G10*MAX(0,ROUNDUP((Q$5-Plano!$L10)/Plano!$G10,0))&lt;=IF(DAY(Q$5)&gt;=29,EOMONTH(Q$5,0),Q$5+6),"●",""))</f>
        <v/>
      </c>
      <c r="R13" s="138">
        <f>IF(OR(NOT(ISNUMBER(R$5)),N(Plano!$G10)=0,N(Plano!$L10)=0),"",IF(Plano!$L10+Plano!$G10*MAX(0,ROUNDUP((R$5-Plano!$L10)/Plano!$G10,0))&lt;=IF(DAY(R$5)&gt;=29,EOMONTH(R$5,0),R$5+6),"●",""))</f>
        <v/>
      </c>
      <c r="S13" s="138">
        <f>IF(OR(NOT(ISNUMBER(S$5)),N(Plano!$G10)=0,N(Plano!$L10)=0),"",IF(Plano!$L10+Plano!$G10*MAX(0,ROUNDUP((S$5-Plano!$L10)/Plano!$G10,0))&lt;=IF(DAY(S$5)&gt;=29,EOMONTH(S$5,0),S$5+6),"●",""))</f>
        <v/>
      </c>
      <c r="T13" s="138">
        <f>IF(OR(NOT(ISNUMBER(T$5)),N(Plano!$G10)=0,N(Plano!$L10)=0),"",IF(Plano!$L10+Plano!$G10*MAX(0,ROUNDUP((T$5-Plano!$L10)/Plano!$G10,0))&lt;=IF(DAY(T$5)&gt;=29,EOMONTH(T$5,0),T$5+6),"●",""))</f>
        <v/>
      </c>
      <c r="U13" s="139">
        <f>IF(OR(NOT(ISNUMBER(U$5)),N(Plano!$G10)=0,N(Plano!$L10)=0),"",IF(Plano!$L10+Plano!$G10*MAX(0,ROUNDUP((U$5-Plano!$L10)/Plano!$G10,0))&lt;=IF(DAY(U$5)&gt;=29,EOMONTH(U$5,0),U$5+6),"●",""))</f>
        <v/>
      </c>
      <c r="V13" s="138">
        <f>IF(OR(NOT(ISNUMBER(V$5)),N(Plano!$G10)=0,N(Plano!$L10)=0),"",IF(Plano!$L10+Plano!$G10*MAX(0,ROUNDUP((V$5-Plano!$L10)/Plano!$G10,0))&lt;=IF(DAY(V$5)&gt;=29,EOMONTH(V$5,0),V$5+6),"●",""))</f>
        <v/>
      </c>
      <c r="W13" s="138">
        <f>IF(OR(NOT(ISNUMBER(W$5)),N(Plano!$G10)=0,N(Plano!$L10)=0),"",IF(Plano!$L10+Plano!$G10*MAX(0,ROUNDUP((W$5-Plano!$L10)/Plano!$G10,0))&lt;=IF(DAY(W$5)&gt;=29,EOMONTH(W$5,0),W$5+6),"●",""))</f>
        <v/>
      </c>
      <c r="X13" s="138">
        <f>IF(OR(NOT(ISNUMBER(X$5)),N(Plano!$G10)=0,N(Plano!$L10)=0),"",IF(Plano!$L10+Plano!$G10*MAX(0,ROUNDUP((X$5-Plano!$L10)/Plano!$G10,0))&lt;=IF(DAY(X$5)&gt;=29,EOMONTH(X$5,0),X$5+6),"●",""))</f>
        <v/>
      </c>
      <c r="Y13" s="138">
        <f>IF(OR(NOT(ISNUMBER(Y$5)),N(Plano!$G10)=0,N(Plano!$L10)=0),"",IF(Plano!$L10+Plano!$G10*MAX(0,ROUNDUP((Y$5-Plano!$L10)/Plano!$G10,0))&lt;=IF(DAY(Y$5)&gt;=29,EOMONTH(Y$5,0),Y$5+6),"●",""))</f>
        <v/>
      </c>
      <c r="Z13" s="139">
        <f>IF(OR(NOT(ISNUMBER(Z$5)),N(Plano!$G10)=0,N(Plano!$L10)=0),"",IF(Plano!$L10+Plano!$G10*MAX(0,ROUNDUP((Z$5-Plano!$L10)/Plano!$G10,0))&lt;=IF(DAY(Z$5)&gt;=29,EOMONTH(Z$5,0),Z$5+6),"●",""))</f>
        <v/>
      </c>
      <c r="AA13" s="138">
        <f>IF(OR(NOT(ISNUMBER(AA$5)),N(Plano!$G10)=0,N(Plano!$L10)=0),"",IF(Plano!$L10+Plano!$G10*MAX(0,ROUNDUP((AA$5-Plano!$L10)/Plano!$G10,0))&lt;=IF(DAY(AA$5)&gt;=29,EOMONTH(AA$5,0),AA$5+6),"●",""))</f>
        <v/>
      </c>
      <c r="AB13" s="138">
        <f>IF(OR(NOT(ISNUMBER(AB$5)),N(Plano!$G10)=0,N(Plano!$L10)=0),"",IF(Plano!$L10+Plano!$G10*MAX(0,ROUNDUP((AB$5-Plano!$L10)/Plano!$G10,0))&lt;=IF(DAY(AB$5)&gt;=29,EOMONTH(AB$5,0),AB$5+6),"●",""))</f>
        <v/>
      </c>
      <c r="AC13" s="138">
        <f>IF(OR(NOT(ISNUMBER(AC$5)),N(Plano!$G10)=0,N(Plano!$L10)=0),"",IF(Plano!$L10+Plano!$G10*MAX(0,ROUNDUP((AC$5-Plano!$L10)/Plano!$G10,0))&lt;=IF(DAY(AC$5)&gt;=29,EOMONTH(AC$5,0),AC$5+6),"●",""))</f>
        <v/>
      </c>
      <c r="AD13" s="138">
        <f>IF(OR(NOT(ISNUMBER(AD$5)),N(Plano!$G10)=0,N(Plano!$L10)=0),"",IF(Plano!$L10+Plano!$G10*MAX(0,ROUNDUP((AD$5-Plano!$L10)/Plano!$G10,0))&lt;=IF(DAY(AD$5)&gt;=29,EOMONTH(AD$5,0),AD$5+6),"●",""))</f>
        <v/>
      </c>
      <c r="AE13" s="139">
        <f>IF(OR(NOT(ISNUMBER(AE$5)),N(Plano!$G10)=0,N(Plano!$L10)=0),"",IF(Plano!$L10+Plano!$G10*MAX(0,ROUNDUP((AE$5-Plano!$L10)/Plano!$G10,0))&lt;=IF(DAY(AE$5)&gt;=29,EOMONTH(AE$5,0),AE$5+6),"●",""))</f>
        <v/>
      </c>
      <c r="AF13" s="138">
        <f>IF(OR(NOT(ISNUMBER(AF$5)),N(Plano!$G10)=0,N(Plano!$L10)=0),"",IF(Plano!$L10+Plano!$G10*MAX(0,ROUNDUP((AF$5-Plano!$L10)/Plano!$G10,0))&lt;=IF(DAY(AF$5)&gt;=29,EOMONTH(AF$5,0),AF$5+6),"●",""))</f>
        <v/>
      </c>
      <c r="AG13" s="138">
        <f>IF(OR(NOT(ISNUMBER(AG$5)),N(Plano!$G10)=0,N(Plano!$L10)=0),"",IF(Plano!$L10+Plano!$G10*MAX(0,ROUNDUP((AG$5-Plano!$L10)/Plano!$G10,0))&lt;=IF(DAY(AG$5)&gt;=29,EOMONTH(AG$5,0),AG$5+6),"●",""))</f>
        <v/>
      </c>
      <c r="AH13" s="138">
        <f>IF(OR(NOT(ISNUMBER(AH$5)),N(Plano!$G10)=0,N(Plano!$L10)=0),"",IF(Plano!$L10+Plano!$G10*MAX(0,ROUNDUP((AH$5-Plano!$L10)/Plano!$G10,0))&lt;=IF(DAY(AH$5)&gt;=29,EOMONTH(AH$5,0),AH$5+6),"●",""))</f>
        <v/>
      </c>
      <c r="AI13" s="138">
        <f>IF(OR(NOT(ISNUMBER(AI$5)),N(Plano!$G10)=0,N(Plano!$L10)=0),"",IF(Plano!$L10+Plano!$G10*MAX(0,ROUNDUP((AI$5-Plano!$L10)/Plano!$G10,0))&lt;=IF(DAY(AI$5)&gt;=29,EOMONTH(AI$5,0),AI$5+6),"●",""))</f>
        <v/>
      </c>
      <c r="AJ13" s="139">
        <f>IF(OR(NOT(ISNUMBER(AJ$5)),N(Plano!$G10)=0,N(Plano!$L10)=0),"",IF(Plano!$L10+Plano!$G10*MAX(0,ROUNDUP((AJ$5-Plano!$L10)/Plano!$G10,0))&lt;=IF(DAY(AJ$5)&gt;=29,EOMONTH(AJ$5,0),AJ$5+6),"●",""))</f>
        <v/>
      </c>
      <c r="AK13" s="138">
        <f>IF(OR(NOT(ISNUMBER(AK$5)),N(Plano!$G10)=0,N(Plano!$L10)=0),"",IF(Plano!$L10+Plano!$G10*MAX(0,ROUNDUP((AK$5-Plano!$L10)/Plano!$G10,0))&lt;=IF(DAY(AK$5)&gt;=29,EOMONTH(AK$5,0),AK$5+6),"●",""))</f>
        <v/>
      </c>
      <c r="AL13" s="138">
        <f>IF(OR(NOT(ISNUMBER(AL$5)),N(Plano!$G10)=0,N(Plano!$L10)=0),"",IF(Plano!$L10+Plano!$G10*MAX(0,ROUNDUP((AL$5-Plano!$L10)/Plano!$G10,0))&lt;=IF(DAY(AL$5)&gt;=29,EOMONTH(AL$5,0),AL$5+6),"●",""))</f>
        <v/>
      </c>
      <c r="AM13" s="138">
        <f>IF(OR(NOT(ISNUMBER(AM$5)),N(Plano!$G10)=0,N(Plano!$L10)=0),"",IF(Plano!$L10+Plano!$G10*MAX(0,ROUNDUP((AM$5-Plano!$L10)/Plano!$G10,0))&lt;=IF(DAY(AM$5)&gt;=29,EOMONTH(AM$5,0),AM$5+6),"●",""))</f>
        <v/>
      </c>
      <c r="AN13" s="138">
        <f>IF(OR(NOT(ISNUMBER(AN$5)),N(Plano!$G10)=0,N(Plano!$L10)=0),"",IF(Plano!$L10+Plano!$G10*MAX(0,ROUNDUP((AN$5-Plano!$L10)/Plano!$G10,0))&lt;=IF(DAY(AN$5)&gt;=29,EOMONTH(AN$5,0),AN$5+6),"●",""))</f>
        <v/>
      </c>
      <c r="AO13" s="139">
        <f>IF(OR(NOT(ISNUMBER(AO$5)),N(Plano!$G10)=0,N(Plano!$L10)=0),"",IF(Plano!$L10+Plano!$G10*MAX(0,ROUNDUP((AO$5-Plano!$L10)/Plano!$G10,0))&lt;=IF(DAY(AO$5)&gt;=29,EOMONTH(AO$5,0),AO$5+6),"●",""))</f>
        <v/>
      </c>
      <c r="AP13" s="138">
        <f>IF(OR(NOT(ISNUMBER(AP$5)),N(Plano!$G10)=0,N(Plano!$L10)=0),"",IF(Plano!$L10+Plano!$G10*MAX(0,ROUNDUP((AP$5-Plano!$L10)/Plano!$G10,0))&lt;=IF(DAY(AP$5)&gt;=29,EOMONTH(AP$5,0),AP$5+6),"●",""))</f>
        <v/>
      </c>
      <c r="AQ13" s="138">
        <f>IF(OR(NOT(ISNUMBER(AQ$5)),N(Plano!$G10)=0,N(Plano!$L10)=0),"",IF(Plano!$L10+Plano!$G10*MAX(0,ROUNDUP((AQ$5-Plano!$L10)/Plano!$G10,0))&lt;=IF(DAY(AQ$5)&gt;=29,EOMONTH(AQ$5,0),AQ$5+6),"●",""))</f>
        <v/>
      </c>
      <c r="AR13" s="138">
        <f>IF(OR(NOT(ISNUMBER(AR$5)),N(Plano!$G10)=0,N(Plano!$L10)=0),"",IF(Plano!$L10+Plano!$G10*MAX(0,ROUNDUP((AR$5-Plano!$L10)/Plano!$G10,0))&lt;=IF(DAY(AR$5)&gt;=29,EOMONTH(AR$5,0),AR$5+6),"●",""))</f>
        <v/>
      </c>
      <c r="AS13" s="138">
        <f>IF(OR(NOT(ISNUMBER(AS$5)),N(Plano!$G10)=0,N(Plano!$L10)=0),"",IF(Plano!$L10+Plano!$G10*MAX(0,ROUNDUP((AS$5-Plano!$L10)/Plano!$G10,0))&lt;=IF(DAY(AS$5)&gt;=29,EOMONTH(AS$5,0),AS$5+6),"●",""))</f>
        <v/>
      </c>
      <c r="AT13" s="139">
        <f>IF(OR(NOT(ISNUMBER(AT$5)),N(Plano!$G10)=0,N(Plano!$L10)=0),"",IF(Plano!$L10+Plano!$G10*MAX(0,ROUNDUP((AT$5-Plano!$L10)/Plano!$G10,0))&lt;=IF(DAY(AT$5)&gt;=29,EOMONTH(AT$5,0),AT$5+6),"●",""))</f>
        <v/>
      </c>
      <c r="AU13" s="138">
        <f>IF(OR(NOT(ISNUMBER(AU$5)),N(Plano!$G10)=0,N(Plano!$L10)=0),"",IF(Plano!$L10+Plano!$G10*MAX(0,ROUNDUP((AU$5-Plano!$L10)/Plano!$G10,0))&lt;=IF(DAY(AU$5)&gt;=29,EOMONTH(AU$5,0),AU$5+6),"●",""))</f>
        <v/>
      </c>
      <c r="AV13" s="138">
        <f>IF(OR(NOT(ISNUMBER(AV$5)),N(Plano!$G10)=0,N(Plano!$L10)=0),"",IF(Plano!$L10+Plano!$G10*MAX(0,ROUNDUP((AV$5-Plano!$L10)/Plano!$G10,0))&lt;=IF(DAY(AV$5)&gt;=29,EOMONTH(AV$5,0),AV$5+6),"●",""))</f>
        <v/>
      </c>
      <c r="AW13" s="138">
        <f>IF(OR(NOT(ISNUMBER(AW$5)),N(Plano!$G10)=0,N(Plano!$L10)=0),"",IF(Plano!$L10+Plano!$G10*MAX(0,ROUNDUP((AW$5-Plano!$L10)/Plano!$G10,0))&lt;=IF(DAY(AW$5)&gt;=29,EOMONTH(AW$5,0),AW$5+6),"●",""))</f>
        <v/>
      </c>
      <c r="AX13" s="138">
        <f>IF(OR(NOT(ISNUMBER(AX$5)),N(Plano!$G10)=0,N(Plano!$L10)=0),"",IF(Plano!$L10+Plano!$G10*MAX(0,ROUNDUP((AX$5-Plano!$L10)/Plano!$G10,0))&lt;=IF(DAY(AX$5)&gt;=29,EOMONTH(AX$5,0),AX$5+6),"●",""))</f>
        <v/>
      </c>
      <c r="AY13" s="139">
        <f>IF(OR(NOT(ISNUMBER(AY$5)),N(Plano!$G10)=0,N(Plano!$L10)=0),"",IF(Plano!$L10+Plano!$G10*MAX(0,ROUNDUP((AY$5-Plano!$L10)/Plano!$G10,0))&lt;=IF(DAY(AY$5)&gt;=29,EOMONTH(AY$5,0),AY$5+6),"●",""))</f>
        <v/>
      </c>
      <c r="AZ13" s="138">
        <f>IF(OR(NOT(ISNUMBER(AZ$5)),N(Plano!$G10)=0,N(Plano!$L10)=0),"",IF(Plano!$L10+Plano!$G10*MAX(0,ROUNDUP((AZ$5-Plano!$L10)/Plano!$G10,0))&lt;=IF(DAY(AZ$5)&gt;=29,EOMONTH(AZ$5,0),AZ$5+6),"●",""))</f>
        <v/>
      </c>
      <c r="BA13" s="138">
        <f>IF(OR(NOT(ISNUMBER(BA$5)),N(Plano!$G10)=0,N(Plano!$L10)=0),"",IF(Plano!$L10+Plano!$G10*MAX(0,ROUNDUP((BA$5-Plano!$L10)/Plano!$G10,0))&lt;=IF(DAY(BA$5)&gt;=29,EOMONTH(BA$5,0),BA$5+6),"●",""))</f>
        <v/>
      </c>
      <c r="BB13" s="138">
        <f>IF(OR(NOT(ISNUMBER(BB$5)),N(Plano!$G10)=0,N(Plano!$L10)=0),"",IF(Plano!$L10+Plano!$G10*MAX(0,ROUNDUP((BB$5-Plano!$L10)/Plano!$G10,0))&lt;=IF(DAY(BB$5)&gt;=29,EOMONTH(BB$5,0),BB$5+6),"●",""))</f>
        <v/>
      </c>
      <c r="BC13" s="138">
        <f>IF(OR(NOT(ISNUMBER(BC$5)),N(Plano!$G10)=0,N(Plano!$L10)=0),"",IF(Plano!$L10+Plano!$G10*MAX(0,ROUNDUP((BC$5-Plano!$L10)/Plano!$G10,0))&lt;=IF(DAY(BC$5)&gt;=29,EOMONTH(BC$5,0),BC$5+6),"●",""))</f>
        <v/>
      </c>
      <c r="BD13" s="139">
        <f>IF(OR(NOT(ISNUMBER(BD$5)),N(Plano!$G10)=0,N(Plano!$L10)=0),"",IF(Plano!$L10+Plano!$G10*MAX(0,ROUNDUP((BD$5-Plano!$L10)/Plano!$G10,0))&lt;=IF(DAY(BD$5)&gt;=29,EOMONTH(BD$5,0),BD$5+6),"●",""))</f>
        <v/>
      </c>
      <c r="BE13" s="138">
        <f>IF(OR(NOT(ISNUMBER(BE$5)),N(Plano!$G10)=0,N(Plano!$L10)=0),"",IF(Plano!$L10+Plano!$G10*MAX(0,ROUNDUP((BE$5-Plano!$L10)/Plano!$G10,0))&lt;=IF(DAY(BE$5)&gt;=29,EOMONTH(BE$5,0),BE$5+6),"●",""))</f>
        <v/>
      </c>
      <c r="BF13" s="138">
        <f>IF(OR(NOT(ISNUMBER(BF$5)),N(Plano!$G10)=0,N(Plano!$L10)=0),"",IF(Plano!$L10+Plano!$G10*MAX(0,ROUNDUP((BF$5-Plano!$L10)/Plano!$G10,0))&lt;=IF(DAY(BF$5)&gt;=29,EOMONTH(BF$5,0),BF$5+6),"●",""))</f>
        <v/>
      </c>
      <c r="BG13" s="138">
        <f>IF(OR(NOT(ISNUMBER(BG$5)),N(Plano!$G10)=0,N(Plano!$L10)=0),"",IF(Plano!$L10+Plano!$G10*MAX(0,ROUNDUP((BG$5-Plano!$L10)/Plano!$G10,0))&lt;=IF(DAY(BG$5)&gt;=29,EOMONTH(BG$5,0),BG$5+6),"●",""))</f>
        <v/>
      </c>
      <c r="BH13" s="138">
        <f>IF(OR(NOT(ISNUMBER(BH$5)),N(Plano!$G10)=0,N(Plano!$L10)=0),"",IF(Plano!$L10+Plano!$G10*MAX(0,ROUNDUP((BH$5-Plano!$L10)/Plano!$G10,0))&lt;=IF(DAY(BH$5)&gt;=29,EOMONTH(BH$5,0),BH$5+6),"●",""))</f>
        <v/>
      </c>
      <c r="BI13" s="139">
        <f>IF(OR(NOT(ISNUMBER(BI$5)),N(Plano!$G10)=0,N(Plano!$L10)=0),"",IF(Plano!$L10+Plano!$G10*MAX(0,ROUNDUP((BI$5-Plano!$L10)/Plano!$G10,0))&lt;=IF(DAY(BI$5)&gt;=29,EOMONTH(BI$5,0),BI$5+6),"●",""))</f>
        <v/>
      </c>
      <c r="BJ13" s="138">
        <f>IF(OR(NOT(ISNUMBER(BJ$5)),N(Plano!$G10)=0,N(Plano!$L10)=0),"",IF(Plano!$L10+Plano!$G10*MAX(0,ROUNDUP((BJ$5-Plano!$L10)/Plano!$G10,0))&lt;=IF(DAY(BJ$5)&gt;=29,EOMONTH(BJ$5,0),BJ$5+6),"●",""))</f>
        <v/>
      </c>
      <c r="BK13" s="138">
        <f>IF(OR(NOT(ISNUMBER(BK$5)),N(Plano!$G10)=0,N(Plano!$L10)=0),"",IF(Plano!$L10+Plano!$G10*MAX(0,ROUNDUP((BK$5-Plano!$L10)/Plano!$G10,0))&lt;=IF(DAY(BK$5)&gt;=29,EOMONTH(BK$5,0),BK$5+6),"●",""))</f>
        <v/>
      </c>
      <c r="BL13" s="138">
        <f>IF(OR(NOT(ISNUMBER(BL$5)),N(Plano!$G10)=0,N(Plano!$L10)=0),"",IF(Plano!$L10+Plano!$G10*MAX(0,ROUNDUP((BL$5-Plano!$L10)/Plano!$G10,0))&lt;=IF(DAY(BL$5)&gt;=29,EOMONTH(BL$5,0),BL$5+6),"●",""))</f>
        <v/>
      </c>
      <c r="BM13" s="140">
        <f>IF(OR(NOT(ISNUMBER(BM$5)),N(Plano!$G10)=0,N(Plano!$L10)=0),"",IF(Plano!$L10+Plano!$G10*MAX(0,ROUNDUP((BM$5-Plano!$L10)/Plano!$G10,0))&lt;=IF(DAY(BM$5)&gt;=29,EOMONTH(BM$5,0),BM$5+6),"●",""))</f>
        <v/>
      </c>
    </row>
    <row r="14" ht="18" customHeight="1">
      <c r="A14" s="118">
        <f>Plano!A11</f>
        <v/>
      </c>
      <c r="B14" s="136">
        <f>IF(Plano!B11="","",Plano!B11)</f>
        <v/>
      </c>
      <c r="C14" s="70">
        <f>IF(B14="","",IFERROR(INDEX(tb_pcm_ativos[descricao_ativo],MATCH(B14,tb_pcm_ativos[tag],0)),"fora do cadastro"))</f>
        <v/>
      </c>
      <c r="D14" s="70">
        <f>IF(Plano!E11="","",Plano!E11)</f>
        <v/>
      </c>
      <c r="E14" s="137">
        <f>IF(Plano!G11="","",Plano!G11)</f>
        <v/>
      </c>
      <c r="F14" s="138">
        <f>IF(OR(NOT(ISNUMBER(F$5)),N(Plano!$G11)=0,N(Plano!$L11)=0),"",IF(Plano!$L11+Plano!$G11*MAX(0,ROUNDUP((F$5-Plano!$L11)/Plano!$G11,0))&lt;=IF(DAY(F$5)&gt;=29,EOMONTH(F$5,0),F$5+6),"●",""))</f>
        <v/>
      </c>
      <c r="G14" s="138">
        <f>IF(OR(NOT(ISNUMBER(G$5)),N(Plano!$G11)=0,N(Plano!$L11)=0),"",IF(Plano!$L11+Plano!$G11*MAX(0,ROUNDUP((G$5-Plano!$L11)/Plano!$G11,0))&lt;=IF(DAY(G$5)&gt;=29,EOMONTH(G$5,0),G$5+6),"●",""))</f>
        <v/>
      </c>
      <c r="H14" s="138">
        <f>IF(OR(NOT(ISNUMBER(H$5)),N(Plano!$G11)=0,N(Plano!$L11)=0),"",IF(Plano!$L11+Plano!$G11*MAX(0,ROUNDUP((H$5-Plano!$L11)/Plano!$G11,0))&lt;=IF(DAY(H$5)&gt;=29,EOMONTH(H$5,0),H$5+6),"●",""))</f>
        <v/>
      </c>
      <c r="I14" s="138">
        <f>IF(OR(NOT(ISNUMBER(I$5)),N(Plano!$G11)=0,N(Plano!$L11)=0),"",IF(Plano!$L11+Plano!$G11*MAX(0,ROUNDUP((I$5-Plano!$L11)/Plano!$G11,0))&lt;=IF(DAY(I$5)&gt;=29,EOMONTH(I$5,0),I$5+6),"●",""))</f>
        <v/>
      </c>
      <c r="J14" s="138">
        <f>IF(OR(NOT(ISNUMBER(J$5)),N(Plano!$G11)=0,N(Plano!$L11)=0),"",IF(Plano!$L11+Plano!$G11*MAX(0,ROUNDUP((J$5-Plano!$L11)/Plano!$G11,0))&lt;=IF(DAY(J$5)&gt;=29,EOMONTH(J$5,0),J$5+6),"●",""))</f>
        <v/>
      </c>
      <c r="K14" s="139">
        <f>IF(OR(NOT(ISNUMBER(K$5)),N(Plano!$G11)=0,N(Plano!$L11)=0),"",IF(Plano!$L11+Plano!$G11*MAX(0,ROUNDUP((K$5-Plano!$L11)/Plano!$G11,0))&lt;=IF(DAY(K$5)&gt;=29,EOMONTH(K$5,0),K$5+6),"●",""))</f>
        <v/>
      </c>
      <c r="L14" s="138">
        <f>IF(OR(NOT(ISNUMBER(L$5)),N(Plano!$G11)=0,N(Plano!$L11)=0),"",IF(Plano!$L11+Plano!$G11*MAX(0,ROUNDUP((L$5-Plano!$L11)/Plano!$G11,0))&lt;=IF(DAY(L$5)&gt;=29,EOMONTH(L$5,0),L$5+6),"●",""))</f>
        <v/>
      </c>
      <c r="M14" s="138">
        <f>IF(OR(NOT(ISNUMBER(M$5)),N(Plano!$G11)=0,N(Plano!$L11)=0),"",IF(Plano!$L11+Plano!$G11*MAX(0,ROUNDUP((M$5-Plano!$L11)/Plano!$G11,0))&lt;=IF(DAY(M$5)&gt;=29,EOMONTH(M$5,0),M$5+6),"●",""))</f>
        <v/>
      </c>
      <c r="N14" s="138">
        <f>IF(OR(NOT(ISNUMBER(N$5)),N(Plano!$G11)=0,N(Plano!$L11)=0),"",IF(Plano!$L11+Plano!$G11*MAX(0,ROUNDUP((N$5-Plano!$L11)/Plano!$G11,0))&lt;=IF(DAY(N$5)&gt;=29,EOMONTH(N$5,0),N$5+6),"●",""))</f>
        <v/>
      </c>
      <c r="O14" s="138">
        <f>IF(OR(NOT(ISNUMBER(O$5)),N(Plano!$G11)=0,N(Plano!$L11)=0),"",IF(Plano!$L11+Plano!$G11*MAX(0,ROUNDUP((O$5-Plano!$L11)/Plano!$G11,0))&lt;=IF(DAY(O$5)&gt;=29,EOMONTH(O$5,0),O$5+6),"●",""))</f>
        <v/>
      </c>
      <c r="P14" s="139">
        <f>IF(OR(NOT(ISNUMBER(P$5)),N(Plano!$G11)=0,N(Plano!$L11)=0),"",IF(Plano!$L11+Plano!$G11*MAX(0,ROUNDUP((P$5-Plano!$L11)/Plano!$G11,0))&lt;=IF(DAY(P$5)&gt;=29,EOMONTH(P$5,0),P$5+6),"●",""))</f>
        <v/>
      </c>
      <c r="Q14" s="138">
        <f>IF(OR(NOT(ISNUMBER(Q$5)),N(Plano!$G11)=0,N(Plano!$L11)=0),"",IF(Plano!$L11+Plano!$G11*MAX(0,ROUNDUP((Q$5-Plano!$L11)/Plano!$G11,0))&lt;=IF(DAY(Q$5)&gt;=29,EOMONTH(Q$5,0),Q$5+6),"●",""))</f>
        <v/>
      </c>
      <c r="R14" s="138">
        <f>IF(OR(NOT(ISNUMBER(R$5)),N(Plano!$G11)=0,N(Plano!$L11)=0),"",IF(Plano!$L11+Plano!$G11*MAX(0,ROUNDUP((R$5-Plano!$L11)/Plano!$G11,0))&lt;=IF(DAY(R$5)&gt;=29,EOMONTH(R$5,0),R$5+6),"●",""))</f>
        <v/>
      </c>
      <c r="S14" s="138">
        <f>IF(OR(NOT(ISNUMBER(S$5)),N(Plano!$G11)=0,N(Plano!$L11)=0),"",IF(Plano!$L11+Plano!$G11*MAX(0,ROUNDUP((S$5-Plano!$L11)/Plano!$G11,0))&lt;=IF(DAY(S$5)&gt;=29,EOMONTH(S$5,0),S$5+6),"●",""))</f>
        <v/>
      </c>
      <c r="T14" s="138">
        <f>IF(OR(NOT(ISNUMBER(T$5)),N(Plano!$G11)=0,N(Plano!$L11)=0),"",IF(Plano!$L11+Plano!$G11*MAX(0,ROUNDUP((T$5-Plano!$L11)/Plano!$G11,0))&lt;=IF(DAY(T$5)&gt;=29,EOMONTH(T$5,0),T$5+6),"●",""))</f>
        <v/>
      </c>
      <c r="U14" s="139">
        <f>IF(OR(NOT(ISNUMBER(U$5)),N(Plano!$G11)=0,N(Plano!$L11)=0),"",IF(Plano!$L11+Plano!$G11*MAX(0,ROUNDUP((U$5-Plano!$L11)/Plano!$G11,0))&lt;=IF(DAY(U$5)&gt;=29,EOMONTH(U$5,0),U$5+6),"●",""))</f>
        <v/>
      </c>
      <c r="V14" s="138">
        <f>IF(OR(NOT(ISNUMBER(V$5)),N(Plano!$G11)=0,N(Plano!$L11)=0),"",IF(Plano!$L11+Plano!$G11*MAX(0,ROUNDUP((V$5-Plano!$L11)/Plano!$G11,0))&lt;=IF(DAY(V$5)&gt;=29,EOMONTH(V$5,0),V$5+6),"●",""))</f>
        <v/>
      </c>
      <c r="W14" s="138">
        <f>IF(OR(NOT(ISNUMBER(W$5)),N(Plano!$G11)=0,N(Plano!$L11)=0),"",IF(Plano!$L11+Plano!$G11*MAX(0,ROUNDUP((W$5-Plano!$L11)/Plano!$G11,0))&lt;=IF(DAY(W$5)&gt;=29,EOMONTH(W$5,0),W$5+6),"●",""))</f>
        <v/>
      </c>
      <c r="X14" s="138">
        <f>IF(OR(NOT(ISNUMBER(X$5)),N(Plano!$G11)=0,N(Plano!$L11)=0),"",IF(Plano!$L11+Plano!$G11*MAX(0,ROUNDUP((X$5-Plano!$L11)/Plano!$G11,0))&lt;=IF(DAY(X$5)&gt;=29,EOMONTH(X$5,0),X$5+6),"●",""))</f>
        <v/>
      </c>
      <c r="Y14" s="138">
        <f>IF(OR(NOT(ISNUMBER(Y$5)),N(Plano!$G11)=0,N(Plano!$L11)=0),"",IF(Plano!$L11+Plano!$G11*MAX(0,ROUNDUP((Y$5-Plano!$L11)/Plano!$G11,0))&lt;=IF(DAY(Y$5)&gt;=29,EOMONTH(Y$5,0),Y$5+6),"●",""))</f>
        <v/>
      </c>
      <c r="Z14" s="139">
        <f>IF(OR(NOT(ISNUMBER(Z$5)),N(Plano!$G11)=0,N(Plano!$L11)=0),"",IF(Plano!$L11+Plano!$G11*MAX(0,ROUNDUP((Z$5-Plano!$L11)/Plano!$G11,0))&lt;=IF(DAY(Z$5)&gt;=29,EOMONTH(Z$5,0),Z$5+6),"●",""))</f>
        <v/>
      </c>
      <c r="AA14" s="138">
        <f>IF(OR(NOT(ISNUMBER(AA$5)),N(Plano!$G11)=0,N(Plano!$L11)=0),"",IF(Plano!$L11+Plano!$G11*MAX(0,ROUNDUP((AA$5-Plano!$L11)/Plano!$G11,0))&lt;=IF(DAY(AA$5)&gt;=29,EOMONTH(AA$5,0),AA$5+6),"●",""))</f>
        <v/>
      </c>
      <c r="AB14" s="138">
        <f>IF(OR(NOT(ISNUMBER(AB$5)),N(Plano!$G11)=0,N(Plano!$L11)=0),"",IF(Plano!$L11+Plano!$G11*MAX(0,ROUNDUP((AB$5-Plano!$L11)/Plano!$G11,0))&lt;=IF(DAY(AB$5)&gt;=29,EOMONTH(AB$5,0),AB$5+6),"●",""))</f>
        <v/>
      </c>
      <c r="AC14" s="138">
        <f>IF(OR(NOT(ISNUMBER(AC$5)),N(Plano!$G11)=0,N(Plano!$L11)=0),"",IF(Plano!$L11+Plano!$G11*MAX(0,ROUNDUP((AC$5-Plano!$L11)/Plano!$G11,0))&lt;=IF(DAY(AC$5)&gt;=29,EOMONTH(AC$5,0),AC$5+6),"●",""))</f>
        <v/>
      </c>
      <c r="AD14" s="138">
        <f>IF(OR(NOT(ISNUMBER(AD$5)),N(Plano!$G11)=0,N(Plano!$L11)=0),"",IF(Plano!$L11+Plano!$G11*MAX(0,ROUNDUP((AD$5-Plano!$L11)/Plano!$G11,0))&lt;=IF(DAY(AD$5)&gt;=29,EOMONTH(AD$5,0),AD$5+6),"●",""))</f>
        <v/>
      </c>
      <c r="AE14" s="139">
        <f>IF(OR(NOT(ISNUMBER(AE$5)),N(Plano!$G11)=0,N(Plano!$L11)=0),"",IF(Plano!$L11+Plano!$G11*MAX(0,ROUNDUP((AE$5-Plano!$L11)/Plano!$G11,0))&lt;=IF(DAY(AE$5)&gt;=29,EOMONTH(AE$5,0),AE$5+6),"●",""))</f>
        <v/>
      </c>
      <c r="AF14" s="138">
        <f>IF(OR(NOT(ISNUMBER(AF$5)),N(Plano!$G11)=0,N(Plano!$L11)=0),"",IF(Plano!$L11+Plano!$G11*MAX(0,ROUNDUP((AF$5-Plano!$L11)/Plano!$G11,0))&lt;=IF(DAY(AF$5)&gt;=29,EOMONTH(AF$5,0),AF$5+6),"●",""))</f>
        <v/>
      </c>
      <c r="AG14" s="138">
        <f>IF(OR(NOT(ISNUMBER(AG$5)),N(Plano!$G11)=0,N(Plano!$L11)=0),"",IF(Plano!$L11+Plano!$G11*MAX(0,ROUNDUP((AG$5-Plano!$L11)/Plano!$G11,0))&lt;=IF(DAY(AG$5)&gt;=29,EOMONTH(AG$5,0),AG$5+6),"●",""))</f>
        <v/>
      </c>
      <c r="AH14" s="138">
        <f>IF(OR(NOT(ISNUMBER(AH$5)),N(Plano!$G11)=0,N(Plano!$L11)=0),"",IF(Plano!$L11+Plano!$G11*MAX(0,ROUNDUP((AH$5-Plano!$L11)/Plano!$G11,0))&lt;=IF(DAY(AH$5)&gt;=29,EOMONTH(AH$5,0),AH$5+6),"●",""))</f>
        <v/>
      </c>
      <c r="AI14" s="138">
        <f>IF(OR(NOT(ISNUMBER(AI$5)),N(Plano!$G11)=0,N(Plano!$L11)=0),"",IF(Plano!$L11+Plano!$G11*MAX(0,ROUNDUP((AI$5-Plano!$L11)/Plano!$G11,0))&lt;=IF(DAY(AI$5)&gt;=29,EOMONTH(AI$5,0),AI$5+6),"●",""))</f>
        <v/>
      </c>
      <c r="AJ14" s="139">
        <f>IF(OR(NOT(ISNUMBER(AJ$5)),N(Plano!$G11)=0,N(Plano!$L11)=0),"",IF(Plano!$L11+Plano!$G11*MAX(0,ROUNDUP((AJ$5-Plano!$L11)/Plano!$G11,0))&lt;=IF(DAY(AJ$5)&gt;=29,EOMONTH(AJ$5,0),AJ$5+6),"●",""))</f>
        <v/>
      </c>
      <c r="AK14" s="138">
        <f>IF(OR(NOT(ISNUMBER(AK$5)),N(Plano!$G11)=0,N(Plano!$L11)=0),"",IF(Plano!$L11+Plano!$G11*MAX(0,ROUNDUP((AK$5-Plano!$L11)/Plano!$G11,0))&lt;=IF(DAY(AK$5)&gt;=29,EOMONTH(AK$5,0),AK$5+6),"●",""))</f>
        <v/>
      </c>
      <c r="AL14" s="138">
        <f>IF(OR(NOT(ISNUMBER(AL$5)),N(Plano!$G11)=0,N(Plano!$L11)=0),"",IF(Plano!$L11+Plano!$G11*MAX(0,ROUNDUP((AL$5-Plano!$L11)/Plano!$G11,0))&lt;=IF(DAY(AL$5)&gt;=29,EOMONTH(AL$5,0),AL$5+6),"●",""))</f>
        <v/>
      </c>
      <c r="AM14" s="138">
        <f>IF(OR(NOT(ISNUMBER(AM$5)),N(Plano!$G11)=0,N(Plano!$L11)=0),"",IF(Plano!$L11+Plano!$G11*MAX(0,ROUNDUP((AM$5-Plano!$L11)/Plano!$G11,0))&lt;=IF(DAY(AM$5)&gt;=29,EOMONTH(AM$5,0),AM$5+6),"●",""))</f>
        <v/>
      </c>
      <c r="AN14" s="138">
        <f>IF(OR(NOT(ISNUMBER(AN$5)),N(Plano!$G11)=0,N(Plano!$L11)=0),"",IF(Plano!$L11+Plano!$G11*MAX(0,ROUNDUP((AN$5-Plano!$L11)/Plano!$G11,0))&lt;=IF(DAY(AN$5)&gt;=29,EOMONTH(AN$5,0),AN$5+6),"●",""))</f>
        <v/>
      </c>
      <c r="AO14" s="139">
        <f>IF(OR(NOT(ISNUMBER(AO$5)),N(Plano!$G11)=0,N(Plano!$L11)=0),"",IF(Plano!$L11+Plano!$G11*MAX(0,ROUNDUP((AO$5-Plano!$L11)/Plano!$G11,0))&lt;=IF(DAY(AO$5)&gt;=29,EOMONTH(AO$5,0),AO$5+6),"●",""))</f>
        <v/>
      </c>
      <c r="AP14" s="138">
        <f>IF(OR(NOT(ISNUMBER(AP$5)),N(Plano!$G11)=0,N(Plano!$L11)=0),"",IF(Plano!$L11+Plano!$G11*MAX(0,ROUNDUP((AP$5-Plano!$L11)/Plano!$G11,0))&lt;=IF(DAY(AP$5)&gt;=29,EOMONTH(AP$5,0),AP$5+6),"●",""))</f>
        <v/>
      </c>
      <c r="AQ14" s="138">
        <f>IF(OR(NOT(ISNUMBER(AQ$5)),N(Plano!$G11)=0,N(Plano!$L11)=0),"",IF(Plano!$L11+Plano!$G11*MAX(0,ROUNDUP((AQ$5-Plano!$L11)/Plano!$G11,0))&lt;=IF(DAY(AQ$5)&gt;=29,EOMONTH(AQ$5,0),AQ$5+6),"●",""))</f>
        <v/>
      </c>
      <c r="AR14" s="138">
        <f>IF(OR(NOT(ISNUMBER(AR$5)),N(Plano!$G11)=0,N(Plano!$L11)=0),"",IF(Plano!$L11+Plano!$G11*MAX(0,ROUNDUP((AR$5-Plano!$L11)/Plano!$G11,0))&lt;=IF(DAY(AR$5)&gt;=29,EOMONTH(AR$5,0),AR$5+6),"●",""))</f>
        <v/>
      </c>
      <c r="AS14" s="138">
        <f>IF(OR(NOT(ISNUMBER(AS$5)),N(Plano!$G11)=0,N(Plano!$L11)=0),"",IF(Plano!$L11+Plano!$G11*MAX(0,ROUNDUP((AS$5-Plano!$L11)/Plano!$G11,0))&lt;=IF(DAY(AS$5)&gt;=29,EOMONTH(AS$5,0),AS$5+6),"●",""))</f>
        <v/>
      </c>
      <c r="AT14" s="139">
        <f>IF(OR(NOT(ISNUMBER(AT$5)),N(Plano!$G11)=0,N(Plano!$L11)=0),"",IF(Plano!$L11+Plano!$G11*MAX(0,ROUNDUP((AT$5-Plano!$L11)/Plano!$G11,0))&lt;=IF(DAY(AT$5)&gt;=29,EOMONTH(AT$5,0),AT$5+6),"●",""))</f>
        <v/>
      </c>
      <c r="AU14" s="138">
        <f>IF(OR(NOT(ISNUMBER(AU$5)),N(Plano!$G11)=0,N(Plano!$L11)=0),"",IF(Plano!$L11+Plano!$G11*MAX(0,ROUNDUP((AU$5-Plano!$L11)/Plano!$G11,0))&lt;=IF(DAY(AU$5)&gt;=29,EOMONTH(AU$5,0),AU$5+6),"●",""))</f>
        <v/>
      </c>
      <c r="AV14" s="138">
        <f>IF(OR(NOT(ISNUMBER(AV$5)),N(Plano!$G11)=0,N(Plano!$L11)=0),"",IF(Plano!$L11+Plano!$G11*MAX(0,ROUNDUP((AV$5-Plano!$L11)/Plano!$G11,0))&lt;=IF(DAY(AV$5)&gt;=29,EOMONTH(AV$5,0),AV$5+6),"●",""))</f>
        <v/>
      </c>
      <c r="AW14" s="138">
        <f>IF(OR(NOT(ISNUMBER(AW$5)),N(Plano!$G11)=0,N(Plano!$L11)=0),"",IF(Plano!$L11+Plano!$G11*MAX(0,ROUNDUP((AW$5-Plano!$L11)/Plano!$G11,0))&lt;=IF(DAY(AW$5)&gt;=29,EOMONTH(AW$5,0),AW$5+6),"●",""))</f>
        <v/>
      </c>
      <c r="AX14" s="138">
        <f>IF(OR(NOT(ISNUMBER(AX$5)),N(Plano!$G11)=0,N(Plano!$L11)=0),"",IF(Plano!$L11+Plano!$G11*MAX(0,ROUNDUP((AX$5-Plano!$L11)/Plano!$G11,0))&lt;=IF(DAY(AX$5)&gt;=29,EOMONTH(AX$5,0),AX$5+6),"●",""))</f>
        <v/>
      </c>
      <c r="AY14" s="139">
        <f>IF(OR(NOT(ISNUMBER(AY$5)),N(Plano!$G11)=0,N(Plano!$L11)=0),"",IF(Plano!$L11+Plano!$G11*MAX(0,ROUNDUP((AY$5-Plano!$L11)/Plano!$G11,0))&lt;=IF(DAY(AY$5)&gt;=29,EOMONTH(AY$5,0),AY$5+6),"●",""))</f>
        <v/>
      </c>
      <c r="AZ14" s="138">
        <f>IF(OR(NOT(ISNUMBER(AZ$5)),N(Plano!$G11)=0,N(Plano!$L11)=0),"",IF(Plano!$L11+Plano!$G11*MAX(0,ROUNDUP((AZ$5-Plano!$L11)/Plano!$G11,0))&lt;=IF(DAY(AZ$5)&gt;=29,EOMONTH(AZ$5,0),AZ$5+6),"●",""))</f>
        <v/>
      </c>
      <c r="BA14" s="138">
        <f>IF(OR(NOT(ISNUMBER(BA$5)),N(Plano!$G11)=0,N(Plano!$L11)=0),"",IF(Plano!$L11+Plano!$G11*MAX(0,ROUNDUP((BA$5-Plano!$L11)/Plano!$G11,0))&lt;=IF(DAY(BA$5)&gt;=29,EOMONTH(BA$5,0),BA$5+6),"●",""))</f>
        <v/>
      </c>
      <c r="BB14" s="138">
        <f>IF(OR(NOT(ISNUMBER(BB$5)),N(Plano!$G11)=0,N(Plano!$L11)=0),"",IF(Plano!$L11+Plano!$G11*MAX(0,ROUNDUP((BB$5-Plano!$L11)/Plano!$G11,0))&lt;=IF(DAY(BB$5)&gt;=29,EOMONTH(BB$5,0),BB$5+6),"●",""))</f>
        <v/>
      </c>
      <c r="BC14" s="138">
        <f>IF(OR(NOT(ISNUMBER(BC$5)),N(Plano!$G11)=0,N(Plano!$L11)=0),"",IF(Plano!$L11+Plano!$G11*MAX(0,ROUNDUP((BC$5-Plano!$L11)/Plano!$G11,0))&lt;=IF(DAY(BC$5)&gt;=29,EOMONTH(BC$5,0),BC$5+6),"●",""))</f>
        <v/>
      </c>
      <c r="BD14" s="139">
        <f>IF(OR(NOT(ISNUMBER(BD$5)),N(Plano!$G11)=0,N(Plano!$L11)=0),"",IF(Plano!$L11+Plano!$G11*MAX(0,ROUNDUP((BD$5-Plano!$L11)/Plano!$G11,0))&lt;=IF(DAY(BD$5)&gt;=29,EOMONTH(BD$5,0),BD$5+6),"●",""))</f>
        <v/>
      </c>
      <c r="BE14" s="138">
        <f>IF(OR(NOT(ISNUMBER(BE$5)),N(Plano!$G11)=0,N(Plano!$L11)=0),"",IF(Plano!$L11+Plano!$G11*MAX(0,ROUNDUP((BE$5-Plano!$L11)/Plano!$G11,0))&lt;=IF(DAY(BE$5)&gt;=29,EOMONTH(BE$5,0),BE$5+6),"●",""))</f>
        <v/>
      </c>
      <c r="BF14" s="138">
        <f>IF(OR(NOT(ISNUMBER(BF$5)),N(Plano!$G11)=0,N(Plano!$L11)=0),"",IF(Plano!$L11+Plano!$G11*MAX(0,ROUNDUP((BF$5-Plano!$L11)/Plano!$G11,0))&lt;=IF(DAY(BF$5)&gt;=29,EOMONTH(BF$5,0),BF$5+6),"●",""))</f>
        <v/>
      </c>
      <c r="BG14" s="138">
        <f>IF(OR(NOT(ISNUMBER(BG$5)),N(Plano!$G11)=0,N(Plano!$L11)=0),"",IF(Plano!$L11+Plano!$G11*MAX(0,ROUNDUP((BG$5-Plano!$L11)/Plano!$G11,0))&lt;=IF(DAY(BG$5)&gt;=29,EOMONTH(BG$5,0),BG$5+6),"●",""))</f>
        <v/>
      </c>
      <c r="BH14" s="138">
        <f>IF(OR(NOT(ISNUMBER(BH$5)),N(Plano!$G11)=0,N(Plano!$L11)=0),"",IF(Plano!$L11+Plano!$G11*MAX(0,ROUNDUP((BH$5-Plano!$L11)/Plano!$G11,0))&lt;=IF(DAY(BH$5)&gt;=29,EOMONTH(BH$5,0),BH$5+6),"●",""))</f>
        <v/>
      </c>
      <c r="BI14" s="139">
        <f>IF(OR(NOT(ISNUMBER(BI$5)),N(Plano!$G11)=0,N(Plano!$L11)=0),"",IF(Plano!$L11+Plano!$G11*MAX(0,ROUNDUP((BI$5-Plano!$L11)/Plano!$G11,0))&lt;=IF(DAY(BI$5)&gt;=29,EOMONTH(BI$5,0),BI$5+6),"●",""))</f>
        <v/>
      </c>
      <c r="BJ14" s="138">
        <f>IF(OR(NOT(ISNUMBER(BJ$5)),N(Plano!$G11)=0,N(Plano!$L11)=0),"",IF(Plano!$L11+Plano!$G11*MAX(0,ROUNDUP((BJ$5-Plano!$L11)/Plano!$G11,0))&lt;=IF(DAY(BJ$5)&gt;=29,EOMONTH(BJ$5,0),BJ$5+6),"●",""))</f>
        <v/>
      </c>
      <c r="BK14" s="138">
        <f>IF(OR(NOT(ISNUMBER(BK$5)),N(Plano!$G11)=0,N(Plano!$L11)=0),"",IF(Plano!$L11+Plano!$G11*MAX(0,ROUNDUP((BK$5-Plano!$L11)/Plano!$G11,0))&lt;=IF(DAY(BK$5)&gt;=29,EOMONTH(BK$5,0),BK$5+6),"●",""))</f>
        <v/>
      </c>
      <c r="BL14" s="138">
        <f>IF(OR(NOT(ISNUMBER(BL$5)),N(Plano!$G11)=0,N(Plano!$L11)=0),"",IF(Plano!$L11+Plano!$G11*MAX(0,ROUNDUP((BL$5-Plano!$L11)/Plano!$G11,0))&lt;=IF(DAY(BL$5)&gt;=29,EOMONTH(BL$5,0),BL$5+6),"●",""))</f>
        <v/>
      </c>
      <c r="BM14" s="140">
        <f>IF(OR(NOT(ISNUMBER(BM$5)),N(Plano!$G11)=0,N(Plano!$L11)=0),"",IF(Plano!$L11+Plano!$G11*MAX(0,ROUNDUP((BM$5-Plano!$L11)/Plano!$G11,0))&lt;=IF(DAY(BM$5)&gt;=29,EOMONTH(BM$5,0),BM$5+6),"●",""))</f>
        <v/>
      </c>
    </row>
    <row r="15" ht="18" customHeight="1">
      <c r="A15" s="118">
        <f>Plano!A12</f>
        <v/>
      </c>
      <c r="B15" s="136">
        <f>IF(Plano!B12="","",Plano!B12)</f>
        <v/>
      </c>
      <c r="C15" s="70">
        <f>IF(B15="","",IFERROR(INDEX(tb_pcm_ativos[descricao_ativo],MATCH(B15,tb_pcm_ativos[tag],0)),"fora do cadastro"))</f>
        <v/>
      </c>
      <c r="D15" s="70">
        <f>IF(Plano!E12="","",Plano!E12)</f>
        <v/>
      </c>
      <c r="E15" s="137">
        <f>IF(Plano!G12="","",Plano!G12)</f>
        <v/>
      </c>
      <c r="F15" s="138">
        <f>IF(OR(NOT(ISNUMBER(F$5)),N(Plano!$G12)=0,N(Plano!$L12)=0),"",IF(Plano!$L12+Plano!$G12*MAX(0,ROUNDUP((F$5-Plano!$L12)/Plano!$G12,0))&lt;=IF(DAY(F$5)&gt;=29,EOMONTH(F$5,0),F$5+6),"●",""))</f>
        <v/>
      </c>
      <c r="G15" s="138">
        <f>IF(OR(NOT(ISNUMBER(G$5)),N(Plano!$G12)=0,N(Plano!$L12)=0),"",IF(Plano!$L12+Plano!$G12*MAX(0,ROUNDUP((G$5-Plano!$L12)/Plano!$G12,0))&lt;=IF(DAY(G$5)&gt;=29,EOMONTH(G$5,0),G$5+6),"●",""))</f>
        <v/>
      </c>
      <c r="H15" s="138">
        <f>IF(OR(NOT(ISNUMBER(H$5)),N(Plano!$G12)=0,N(Plano!$L12)=0),"",IF(Plano!$L12+Plano!$G12*MAX(0,ROUNDUP((H$5-Plano!$L12)/Plano!$G12,0))&lt;=IF(DAY(H$5)&gt;=29,EOMONTH(H$5,0),H$5+6),"●",""))</f>
        <v/>
      </c>
      <c r="I15" s="138">
        <f>IF(OR(NOT(ISNUMBER(I$5)),N(Plano!$G12)=0,N(Plano!$L12)=0),"",IF(Plano!$L12+Plano!$G12*MAX(0,ROUNDUP((I$5-Plano!$L12)/Plano!$G12,0))&lt;=IF(DAY(I$5)&gt;=29,EOMONTH(I$5,0),I$5+6),"●",""))</f>
        <v/>
      </c>
      <c r="J15" s="138">
        <f>IF(OR(NOT(ISNUMBER(J$5)),N(Plano!$G12)=0,N(Plano!$L12)=0),"",IF(Plano!$L12+Plano!$G12*MAX(0,ROUNDUP((J$5-Plano!$L12)/Plano!$G12,0))&lt;=IF(DAY(J$5)&gt;=29,EOMONTH(J$5,0),J$5+6),"●",""))</f>
        <v/>
      </c>
      <c r="K15" s="139">
        <f>IF(OR(NOT(ISNUMBER(K$5)),N(Plano!$G12)=0,N(Plano!$L12)=0),"",IF(Plano!$L12+Plano!$G12*MAX(0,ROUNDUP((K$5-Plano!$L12)/Plano!$G12,0))&lt;=IF(DAY(K$5)&gt;=29,EOMONTH(K$5,0),K$5+6),"●",""))</f>
        <v/>
      </c>
      <c r="L15" s="138">
        <f>IF(OR(NOT(ISNUMBER(L$5)),N(Plano!$G12)=0,N(Plano!$L12)=0),"",IF(Plano!$L12+Plano!$G12*MAX(0,ROUNDUP((L$5-Plano!$L12)/Plano!$G12,0))&lt;=IF(DAY(L$5)&gt;=29,EOMONTH(L$5,0),L$5+6),"●",""))</f>
        <v/>
      </c>
      <c r="M15" s="138">
        <f>IF(OR(NOT(ISNUMBER(M$5)),N(Plano!$G12)=0,N(Plano!$L12)=0),"",IF(Plano!$L12+Plano!$G12*MAX(0,ROUNDUP((M$5-Plano!$L12)/Plano!$G12,0))&lt;=IF(DAY(M$5)&gt;=29,EOMONTH(M$5,0),M$5+6),"●",""))</f>
        <v/>
      </c>
      <c r="N15" s="138">
        <f>IF(OR(NOT(ISNUMBER(N$5)),N(Plano!$G12)=0,N(Plano!$L12)=0),"",IF(Plano!$L12+Plano!$G12*MAX(0,ROUNDUP((N$5-Plano!$L12)/Plano!$G12,0))&lt;=IF(DAY(N$5)&gt;=29,EOMONTH(N$5,0),N$5+6),"●",""))</f>
        <v/>
      </c>
      <c r="O15" s="138">
        <f>IF(OR(NOT(ISNUMBER(O$5)),N(Plano!$G12)=0,N(Plano!$L12)=0),"",IF(Plano!$L12+Plano!$G12*MAX(0,ROUNDUP((O$5-Plano!$L12)/Plano!$G12,0))&lt;=IF(DAY(O$5)&gt;=29,EOMONTH(O$5,0),O$5+6),"●",""))</f>
        <v/>
      </c>
      <c r="P15" s="139">
        <f>IF(OR(NOT(ISNUMBER(P$5)),N(Plano!$G12)=0,N(Plano!$L12)=0),"",IF(Plano!$L12+Plano!$G12*MAX(0,ROUNDUP((P$5-Plano!$L12)/Plano!$G12,0))&lt;=IF(DAY(P$5)&gt;=29,EOMONTH(P$5,0),P$5+6),"●",""))</f>
        <v/>
      </c>
      <c r="Q15" s="138">
        <f>IF(OR(NOT(ISNUMBER(Q$5)),N(Plano!$G12)=0,N(Plano!$L12)=0),"",IF(Plano!$L12+Plano!$G12*MAX(0,ROUNDUP((Q$5-Plano!$L12)/Plano!$G12,0))&lt;=IF(DAY(Q$5)&gt;=29,EOMONTH(Q$5,0),Q$5+6),"●",""))</f>
        <v/>
      </c>
      <c r="R15" s="138">
        <f>IF(OR(NOT(ISNUMBER(R$5)),N(Plano!$G12)=0,N(Plano!$L12)=0),"",IF(Plano!$L12+Plano!$G12*MAX(0,ROUNDUP((R$5-Plano!$L12)/Plano!$G12,0))&lt;=IF(DAY(R$5)&gt;=29,EOMONTH(R$5,0),R$5+6),"●",""))</f>
        <v/>
      </c>
      <c r="S15" s="138">
        <f>IF(OR(NOT(ISNUMBER(S$5)),N(Plano!$G12)=0,N(Plano!$L12)=0),"",IF(Plano!$L12+Plano!$G12*MAX(0,ROUNDUP((S$5-Plano!$L12)/Plano!$G12,0))&lt;=IF(DAY(S$5)&gt;=29,EOMONTH(S$5,0),S$5+6),"●",""))</f>
        <v/>
      </c>
      <c r="T15" s="138">
        <f>IF(OR(NOT(ISNUMBER(T$5)),N(Plano!$G12)=0,N(Plano!$L12)=0),"",IF(Plano!$L12+Plano!$G12*MAX(0,ROUNDUP((T$5-Plano!$L12)/Plano!$G12,0))&lt;=IF(DAY(T$5)&gt;=29,EOMONTH(T$5,0),T$5+6),"●",""))</f>
        <v/>
      </c>
      <c r="U15" s="139">
        <f>IF(OR(NOT(ISNUMBER(U$5)),N(Plano!$G12)=0,N(Plano!$L12)=0),"",IF(Plano!$L12+Plano!$G12*MAX(0,ROUNDUP((U$5-Plano!$L12)/Plano!$G12,0))&lt;=IF(DAY(U$5)&gt;=29,EOMONTH(U$5,0),U$5+6),"●",""))</f>
        <v/>
      </c>
      <c r="V15" s="138">
        <f>IF(OR(NOT(ISNUMBER(V$5)),N(Plano!$G12)=0,N(Plano!$L12)=0),"",IF(Plano!$L12+Plano!$G12*MAX(0,ROUNDUP((V$5-Plano!$L12)/Plano!$G12,0))&lt;=IF(DAY(V$5)&gt;=29,EOMONTH(V$5,0),V$5+6),"●",""))</f>
        <v/>
      </c>
      <c r="W15" s="138">
        <f>IF(OR(NOT(ISNUMBER(W$5)),N(Plano!$G12)=0,N(Plano!$L12)=0),"",IF(Plano!$L12+Plano!$G12*MAX(0,ROUNDUP((W$5-Plano!$L12)/Plano!$G12,0))&lt;=IF(DAY(W$5)&gt;=29,EOMONTH(W$5,0),W$5+6),"●",""))</f>
        <v/>
      </c>
      <c r="X15" s="138">
        <f>IF(OR(NOT(ISNUMBER(X$5)),N(Plano!$G12)=0,N(Plano!$L12)=0),"",IF(Plano!$L12+Plano!$G12*MAX(0,ROUNDUP((X$5-Plano!$L12)/Plano!$G12,0))&lt;=IF(DAY(X$5)&gt;=29,EOMONTH(X$5,0),X$5+6),"●",""))</f>
        <v/>
      </c>
      <c r="Y15" s="138">
        <f>IF(OR(NOT(ISNUMBER(Y$5)),N(Plano!$G12)=0,N(Plano!$L12)=0),"",IF(Plano!$L12+Plano!$G12*MAX(0,ROUNDUP((Y$5-Plano!$L12)/Plano!$G12,0))&lt;=IF(DAY(Y$5)&gt;=29,EOMONTH(Y$5,0),Y$5+6),"●",""))</f>
        <v/>
      </c>
      <c r="Z15" s="139">
        <f>IF(OR(NOT(ISNUMBER(Z$5)),N(Plano!$G12)=0,N(Plano!$L12)=0),"",IF(Plano!$L12+Plano!$G12*MAX(0,ROUNDUP((Z$5-Plano!$L12)/Plano!$G12,0))&lt;=IF(DAY(Z$5)&gt;=29,EOMONTH(Z$5,0),Z$5+6),"●",""))</f>
        <v/>
      </c>
      <c r="AA15" s="138">
        <f>IF(OR(NOT(ISNUMBER(AA$5)),N(Plano!$G12)=0,N(Plano!$L12)=0),"",IF(Plano!$L12+Plano!$G12*MAX(0,ROUNDUP((AA$5-Plano!$L12)/Plano!$G12,0))&lt;=IF(DAY(AA$5)&gt;=29,EOMONTH(AA$5,0),AA$5+6),"●",""))</f>
        <v/>
      </c>
      <c r="AB15" s="138">
        <f>IF(OR(NOT(ISNUMBER(AB$5)),N(Plano!$G12)=0,N(Plano!$L12)=0),"",IF(Plano!$L12+Plano!$G12*MAX(0,ROUNDUP((AB$5-Plano!$L12)/Plano!$G12,0))&lt;=IF(DAY(AB$5)&gt;=29,EOMONTH(AB$5,0),AB$5+6),"●",""))</f>
        <v/>
      </c>
      <c r="AC15" s="138">
        <f>IF(OR(NOT(ISNUMBER(AC$5)),N(Plano!$G12)=0,N(Plano!$L12)=0),"",IF(Plano!$L12+Plano!$G12*MAX(0,ROUNDUP((AC$5-Plano!$L12)/Plano!$G12,0))&lt;=IF(DAY(AC$5)&gt;=29,EOMONTH(AC$5,0),AC$5+6),"●",""))</f>
        <v/>
      </c>
      <c r="AD15" s="138">
        <f>IF(OR(NOT(ISNUMBER(AD$5)),N(Plano!$G12)=0,N(Plano!$L12)=0),"",IF(Plano!$L12+Plano!$G12*MAX(0,ROUNDUP((AD$5-Plano!$L12)/Plano!$G12,0))&lt;=IF(DAY(AD$5)&gt;=29,EOMONTH(AD$5,0),AD$5+6),"●",""))</f>
        <v/>
      </c>
      <c r="AE15" s="139">
        <f>IF(OR(NOT(ISNUMBER(AE$5)),N(Plano!$G12)=0,N(Plano!$L12)=0),"",IF(Plano!$L12+Plano!$G12*MAX(0,ROUNDUP((AE$5-Plano!$L12)/Plano!$G12,0))&lt;=IF(DAY(AE$5)&gt;=29,EOMONTH(AE$5,0),AE$5+6),"●",""))</f>
        <v/>
      </c>
      <c r="AF15" s="138">
        <f>IF(OR(NOT(ISNUMBER(AF$5)),N(Plano!$G12)=0,N(Plano!$L12)=0),"",IF(Plano!$L12+Plano!$G12*MAX(0,ROUNDUP((AF$5-Plano!$L12)/Plano!$G12,0))&lt;=IF(DAY(AF$5)&gt;=29,EOMONTH(AF$5,0),AF$5+6),"●",""))</f>
        <v/>
      </c>
      <c r="AG15" s="138">
        <f>IF(OR(NOT(ISNUMBER(AG$5)),N(Plano!$G12)=0,N(Plano!$L12)=0),"",IF(Plano!$L12+Plano!$G12*MAX(0,ROUNDUP((AG$5-Plano!$L12)/Plano!$G12,0))&lt;=IF(DAY(AG$5)&gt;=29,EOMONTH(AG$5,0),AG$5+6),"●",""))</f>
        <v/>
      </c>
      <c r="AH15" s="138">
        <f>IF(OR(NOT(ISNUMBER(AH$5)),N(Plano!$G12)=0,N(Plano!$L12)=0),"",IF(Plano!$L12+Plano!$G12*MAX(0,ROUNDUP((AH$5-Plano!$L12)/Plano!$G12,0))&lt;=IF(DAY(AH$5)&gt;=29,EOMONTH(AH$5,0),AH$5+6),"●",""))</f>
        <v/>
      </c>
      <c r="AI15" s="138">
        <f>IF(OR(NOT(ISNUMBER(AI$5)),N(Plano!$G12)=0,N(Plano!$L12)=0),"",IF(Plano!$L12+Plano!$G12*MAX(0,ROUNDUP((AI$5-Plano!$L12)/Plano!$G12,0))&lt;=IF(DAY(AI$5)&gt;=29,EOMONTH(AI$5,0),AI$5+6),"●",""))</f>
        <v/>
      </c>
      <c r="AJ15" s="139">
        <f>IF(OR(NOT(ISNUMBER(AJ$5)),N(Plano!$G12)=0,N(Plano!$L12)=0),"",IF(Plano!$L12+Plano!$G12*MAX(0,ROUNDUP((AJ$5-Plano!$L12)/Plano!$G12,0))&lt;=IF(DAY(AJ$5)&gt;=29,EOMONTH(AJ$5,0),AJ$5+6),"●",""))</f>
        <v/>
      </c>
      <c r="AK15" s="138">
        <f>IF(OR(NOT(ISNUMBER(AK$5)),N(Plano!$G12)=0,N(Plano!$L12)=0),"",IF(Plano!$L12+Plano!$G12*MAX(0,ROUNDUP((AK$5-Plano!$L12)/Plano!$G12,0))&lt;=IF(DAY(AK$5)&gt;=29,EOMONTH(AK$5,0),AK$5+6),"●",""))</f>
        <v/>
      </c>
      <c r="AL15" s="138">
        <f>IF(OR(NOT(ISNUMBER(AL$5)),N(Plano!$G12)=0,N(Plano!$L12)=0),"",IF(Plano!$L12+Plano!$G12*MAX(0,ROUNDUP((AL$5-Plano!$L12)/Plano!$G12,0))&lt;=IF(DAY(AL$5)&gt;=29,EOMONTH(AL$5,0),AL$5+6),"●",""))</f>
        <v/>
      </c>
      <c r="AM15" s="138">
        <f>IF(OR(NOT(ISNUMBER(AM$5)),N(Plano!$G12)=0,N(Plano!$L12)=0),"",IF(Plano!$L12+Plano!$G12*MAX(0,ROUNDUP((AM$5-Plano!$L12)/Plano!$G12,0))&lt;=IF(DAY(AM$5)&gt;=29,EOMONTH(AM$5,0),AM$5+6),"●",""))</f>
        <v/>
      </c>
      <c r="AN15" s="138">
        <f>IF(OR(NOT(ISNUMBER(AN$5)),N(Plano!$G12)=0,N(Plano!$L12)=0),"",IF(Plano!$L12+Plano!$G12*MAX(0,ROUNDUP((AN$5-Plano!$L12)/Plano!$G12,0))&lt;=IF(DAY(AN$5)&gt;=29,EOMONTH(AN$5,0),AN$5+6),"●",""))</f>
        <v/>
      </c>
      <c r="AO15" s="139">
        <f>IF(OR(NOT(ISNUMBER(AO$5)),N(Plano!$G12)=0,N(Plano!$L12)=0),"",IF(Plano!$L12+Plano!$G12*MAX(0,ROUNDUP((AO$5-Plano!$L12)/Plano!$G12,0))&lt;=IF(DAY(AO$5)&gt;=29,EOMONTH(AO$5,0),AO$5+6),"●",""))</f>
        <v/>
      </c>
      <c r="AP15" s="138">
        <f>IF(OR(NOT(ISNUMBER(AP$5)),N(Plano!$G12)=0,N(Plano!$L12)=0),"",IF(Plano!$L12+Plano!$G12*MAX(0,ROUNDUP((AP$5-Plano!$L12)/Plano!$G12,0))&lt;=IF(DAY(AP$5)&gt;=29,EOMONTH(AP$5,0),AP$5+6),"●",""))</f>
        <v/>
      </c>
      <c r="AQ15" s="138">
        <f>IF(OR(NOT(ISNUMBER(AQ$5)),N(Plano!$G12)=0,N(Plano!$L12)=0),"",IF(Plano!$L12+Plano!$G12*MAX(0,ROUNDUP((AQ$5-Plano!$L12)/Plano!$G12,0))&lt;=IF(DAY(AQ$5)&gt;=29,EOMONTH(AQ$5,0),AQ$5+6),"●",""))</f>
        <v/>
      </c>
      <c r="AR15" s="138">
        <f>IF(OR(NOT(ISNUMBER(AR$5)),N(Plano!$G12)=0,N(Plano!$L12)=0),"",IF(Plano!$L12+Plano!$G12*MAX(0,ROUNDUP((AR$5-Plano!$L12)/Plano!$G12,0))&lt;=IF(DAY(AR$5)&gt;=29,EOMONTH(AR$5,0),AR$5+6),"●",""))</f>
        <v/>
      </c>
      <c r="AS15" s="138">
        <f>IF(OR(NOT(ISNUMBER(AS$5)),N(Plano!$G12)=0,N(Plano!$L12)=0),"",IF(Plano!$L12+Plano!$G12*MAX(0,ROUNDUP((AS$5-Plano!$L12)/Plano!$G12,0))&lt;=IF(DAY(AS$5)&gt;=29,EOMONTH(AS$5,0),AS$5+6),"●",""))</f>
        <v/>
      </c>
      <c r="AT15" s="139">
        <f>IF(OR(NOT(ISNUMBER(AT$5)),N(Plano!$G12)=0,N(Plano!$L12)=0),"",IF(Plano!$L12+Plano!$G12*MAX(0,ROUNDUP((AT$5-Plano!$L12)/Plano!$G12,0))&lt;=IF(DAY(AT$5)&gt;=29,EOMONTH(AT$5,0),AT$5+6),"●",""))</f>
        <v/>
      </c>
      <c r="AU15" s="138">
        <f>IF(OR(NOT(ISNUMBER(AU$5)),N(Plano!$G12)=0,N(Plano!$L12)=0),"",IF(Plano!$L12+Plano!$G12*MAX(0,ROUNDUP((AU$5-Plano!$L12)/Plano!$G12,0))&lt;=IF(DAY(AU$5)&gt;=29,EOMONTH(AU$5,0),AU$5+6),"●",""))</f>
        <v/>
      </c>
      <c r="AV15" s="138">
        <f>IF(OR(NOT(ISNUMBER(AV$5)),N(Plano!$G12)=0,N(Plano!$L12)=0),"",IF(Plano!$L12+Plano!$G12*MAX(0,ROUNDUP((AV$5-Plano!$L12)/Plano!$G12,0))&lt;=IF(DAY(AV$5)&gt;=29,EOMONTH(AV$5,0),AV$5+6),"●",""))</f>
        <v/>
      </c>
      <c r="AW15" s="138">
        <f>IF(OR(NOT(ISNUMBER(AW$5)),N(Plano!$G12)=0,N(Plano!$L12)=0),"",IF(Plano!$L12+Plano!$G12*MAX(0,ROUNDUP((AW$5-Plano!$L12)/Plano!$G12,0))&lt;=IF(DAY(AW$5)&gt;=29,EOMONTH(AW$5,0),AW$5+6),"●",""))</f>
        <v/>
      </c>
      <c r="AX15" s="138">
        <f>IF(OR(NOT(ISNUMBER(AX$5)),N(Plano!$G12)=0,N(Plano!$L12)=0),"",IF(Plano!$L12+Plano!$G12*MAX(0,ROUNDUP((AX$5-Plano!$L12)/Plano!$G12,0))&lt;=IF(DAY(AX$5)&gt;=29,EOMONTH(AX$5,0),AX$5+6),"●",""))</f>
        <v/>
      </c>
      <c r="AY15" s="139">
        <f>IF(OR(NOT(ISNUMBER(AY$5)),N(Plano!$G12)=0,N(Plano!$L12)=0),"",IF(Plano!$L12+Plano!$G12*MAX(0,ROUNDUP((AY$5-Plano!$L12)/Plano!$G12,0))&lt;=IF(DAY(AY$5)&gt;=29,EOMONTH(AY$5,0),AY$5+6),"●",""))</f>
        <v/>
      </c>
      <c r="AZ15" s="138">
        <f>IF(OR(NOT(ISNUMBER(AZ$5)),N(Plano!$G12)=0,N(Plano!$L12)=0),"",IF(Plano!$L12+Plano!$G12*MAX(0,ROUNDUP((AZ$5-Plano!$L12)/Plano!$G12,0))&lt;=IF(DAY(AZ$5)&gt;=29,EOMONTH(AZ$5,0),AZ$5+6),"●",""))</f>
        <v/>
      </c>
      <c r="BA15" s="138">
        <f>IF(OR(NOT(ISNUMBER(BA$5)),N(Plano!$G12)=0,N(Plano!$L12)=0),"",IF(Plano!$L12+Plano!$G12*MAX(0,ROUNDUP((BA$5-Plano!$L12)/Plano!$G12,0))&lt;=IF(DAY(BA$5)&gt;=29,EOMONTH(BA$5,0),BA$5+6),"●",""))</f>
        <v/>
      </c>
      <c r="BB15" s="138">
        <f>IF(OR(NOT(ISNUMBER(BB$5)),N(Plano!$G12)=0,N(Plano!$L12)=0),"",IF(Plano!$L12+Plano!$G12*MAX(0,ROUNDUP((BB$5-Plano!$L12)/Plano!$G12,0))&lt;=IF(DAY(BB$5)&gt;=29,EOMONTH(BB$5,0),BB$5+6),"●",""))</f>
        <v/>
      </c>
      <c r="BC15" s="138">
        <f>IF(OR(NOT(ISNUMBER(BC$5)),N(Plano!$G12)=0,N(Plano!$L12)=0),"",IF(Plano!$L12+Plano!$G12*MAX(0,ROUNDUP((BC$5-Plano!$L12)/Plano!$G12,0))&lt;=IF(DAY(BC$5)&gt;=29,EOMONTH(BC$5,0),BC$5+6),"●",""))</f>
        <v/>
      </c>
      <c r="BD15" s="139">
        <f>IF(OR(NOT(ISNUMBER(BD$5)),N(Plano!$G12)=0,N(Plano!$L12)=0),"",IF(Plano!$L12+Plano!$G12*MAX(0,ROUNDUP((BD$5-Plano!$L12)/Plano!$G12,0))&lt;=IF(DAY(BD$5)&gt;=29,EOMONTH(BD$5,0),BD$5+6),"●",""))</f>
        <v/>
      </c>
      <c r="BE15" s="138">
        <f>IF(OR(NOT(ISNUMBER(BE$5)),N(Plano!$G12)=0,N(Plano!$L12)=0),"",IF(Plano!$L12+Plano!$G12*MAX(0,ROUNDUP((BE$5-Plano!$L12)/Plano!$G12,0))&lt;=IF(DAY(BE$5)&gt;=29,EOMONTH(BE$5,0),BE$5+6),"●",""))</f>
        <v/>
      </c>
      <c r="BF15" s="138">
        <f>IF(OR(NOT(ISNUMBER(BF$5)),N(Plano!$G12)=0,N(Plano!$L12)=0),"",IF(Plano!$L12+Plano!$G12*MAX(0,ROUNDUP((BF$5-Plano!$L12)/Plano!$G12,0))&lt;=IF(DAY(BF$5)&gt;=29,EOMONTH(BF$5,0),BF$5+6),"●",""))</f>
        <v/>
      </c>
      <c r="BG15" s="138">
        <f>IF(OR(NOT(ISNUMBER(BG$5)),N(Plano!$G12)=0,N(Plano!$L12)=0),"",IF(Plano!$L12+Plano!$G12*MAX(0,ROUNDUP((BG$5-Plano!$L12)/Plano!$G12,0))&lt;=IF(DAY(BG$5)&gt;=29,EOMONTH(BG$5,0),BG$5+6),"●",""))</f>
        <v/>
      </c>
      <c r="BH15" s="138">
        <f>IF(OR(NOT(ISNUMBER(BH$5)),N(Plano!$G12)=0,N(Plano!$L12)=0),"",IF(Plano!$L12+Plano!$G12*MAX(0,ROUNDUP((BH$5-Plano!$L12)/Plano!$G12,0))&lt;=IF(DAY(BH$5)&gt;=29,EOMONTH(BH$5,0),BH$5+6),"●",""))</f>
        <v/>
      </c>
      <c r="BI15" s="139">
        <f>IF(OR(NOT(ISNUMBER(BI$5)),N(Plano!$G12)=0,N(Plano!$L12)=0),"",IF(Plano!$L12+Plano!$G12*MAX(0,ROUNDUP((BI$5-Plano!$L12)/Plano!$G12,0))&lt;=IF(DAY(BI$5)&gt;=29,EOMONTH(BI$5,0),BI$5+6),"●",""))</f>
        <v/>
      </c>
      <c r="BJ15" s="138">
        <f>IF(OR(NOT(ISNUMBER(BJ$5)),N(Plano!$G12)=0,N(Plano!$L12)=0),"",IF(Plano!$L12+Plano!$G12*MAX(0,ROUNDUP((BJ$5-Plano!$L12)/Plano!$G12,0))&lt;=IF(DAY(BJ$5)&gt;=29,EOMONTH(BJ$5,0),BJ$5+6),"●",""))</f>
        <v/>
      </c>
      <c r="BK15" s="138">
        <f>IF(OR(NOT(ISNUMBER(BK$5)),N(Plano!$G12)=0,N(Plano!$L12)=0),"",IF(Plano!$L12+Plano!$G12*MAX(0,ROUNDUP((BK$5-Plano!$L12)/Plano!$G12,0))&lt;=IF(DAY(BK$5)&gt;=29,EOMONTH(BK$5,0),BK$5+6),"●",""))</f>
        <v/>
      </c>
      <c r="BL15" s="138">
        <f>IF(OR(NOT(ISNUMBER(BL$5)),N(Plano!$G12)=0,N(Plano!$L12)=0),"",IF(Plano!$L12+Plano!$G12*MAX(0,ROUNDUP((BL$5-Plano!$L12)/Plano!$G12,0))&lt;=IF(DAY(BL$5)&gt;=29,EOMONTH(BL$5,0),BL$5+6),"●",""))</f>
        <v/>
      </c>
      <c r="BM15" s="140">
        <f>IF(OR(NOT(ISNUMBER(BM$5)),N(Plano!$G12)=0,N(Plano!$L12)=0),"",IF(Plano!$L12+Plano!$G12*MAX(0,ROUNDUP((BM$5-Plano!$L12)/Plano!$G12,0))&lt;=IF(DAY(BM$5)&gt;=29,EOMONTH(BM$5,0),BM$5+6),"●",""))</f>
        <v/>
      </c>
    </row>
    <row r="16" ht="18" customHeight="1">
      <c r="A16" s="118">
        <f>Plano!A13</f>
        <v/>
      </c>
      <c r="B16" s="136">
        <f>IF(Plano!B13="","",Plano!B13)</f>
        <v/>
      </c>
      <c r="C16" s="70">
        <f>IF(B16="","",IFERROR(INDEX(tb_pcm_ativos[descricao_ativo],MATCH(B16,tb_pcm_ativos[tag],0)),"fora do cadastro"))</f>
        <v/>
      </c>
      <c r="D16" s="70">
        <f>IF(Plano!E13="","",Plano!E13)</f>
        <v/>
      </c>
      <c r="E16" s="137">
        <f>IF(Plano!G13="","",Plano!G13)</f>
        <v/>
      </c>
      <c r="F16" s="138">
        <f>IF(OR(NOT(ISNUMBER(F$5)),N(Plano!$G13)=0,N(Plano!$L13)=0),"",IF(Plano!$L13+Plano!$G13*MAX(0,ROUNDUP((F$5-Plano!$L13)/Plano!$G13,0))&lt;=IF(DAY(F$5)&gt;=29,EOMONTH(F$5,0),F$5+6),"●",""))</f>
        <v/>
      </c>
      <c r="G16" s="138">
        <f>IF(OR(NOT(ISNUMBER(G$5)),N(Plano!$G13)=0,N(Plano!$L13)=0),"",IF(Plano!$L13+Plano!$G13*MAX(0,ROUNDUP((G$5-Plano!$L13)/Plano!$G13,0))&lt;=IF(DAY(G$5)&gt;=29,EOMONTH(G$5,0),G$5+6),"●",""))</f>
        <v/>
      </c>
      <c r="H16" s="138">
        <f>IF(OR(NOT(ISNUMBER(H$5)),N(Plano!$G13)=0,N(Plano!$L13)=0),"",IF(Plano!$L13+Plano!$G13*MAX(0,ROUNDUP((H$5-Plano!$L13)/Plano!$G13,0))&lt;=IF(DAY(H$5)&gt;=29,EOMONTH(H$5,0),H$5+6),"●",""))</f>
        <v/>
      </c>
      <c r="I16" s="138">
        <f>IF(OR(NOT(ISNUMBER(I$5)),N(Plano!$G13)=0,N(Plano!$L13)=0),"",IF(Plano!$L13+Plano!$G13*MAX(0,ROUNDUP((I$5-Plano!$L13)/Plano!$G13,0))&lt;=IF(DAY(I$5)&gt;=29,EOMONTH(I$5,0),I$5+6),"●",""))</f>
        <v/>
      </c>
      <c r="J16" s="138">
        <f>IF(OR(NOT(ISNUMBER(J$5)),N(Plano!$G13)=0,N(Plano!$L13)=0),"",IF(Plano!$L13+Plano!$G13*MAX(0,ROUNDUP((J$5-Plano!$L13)/Plano!$G13,0))&lt;=IF(DAY(J$5)&gt;=29,EOMONTH(J$5,0),J$5+6),"●",""))</f>
        <v/>
      </c>
      <c r="K16" s="139">
        <f>IF(OR(NOT(ISNUMBER(K$5)),N(Plano!$G13)=0,N(Plano!$L13)=0),"",IF(Plano!$L13+Plano!$G13*MAX(0,ROUNDUP((K$5-Plano!$L13)/Plano!$G13,0))&lt;=IF(DAY(K$5)&gt;=29,EOMONTH(K$5,0),K$5+6),"●",""))</f>
        <v/>
      </c>
      <c r="L16" s="138">
        <f>IF(OR(NOT(ISNUMBER(L$5)),N(Plano!$G13)=0,N(Plano!$L13)=0),"",IF(Plano!$L13+Plano!$G13*MAX(0,ROUNDUP((L$5-Plano!$L13)/Plano!$G13,0))&lt;=IF(DAY(L$5)&gt;=29,EOMONTH(L$5,0),L$5+6),"●",""))</f>
        <v/>
      </c>
      <c r="M16" s="138">
        <f>IF(OR(NOT(ISNUMBER(M$5)),N(Plano!$G13)=0,N(Plano!$L13)=0),"",IF(Plano!$L13+Plano!$G13*MAX(0,ROUNDUP((M$5-Plano!$L13)/Plano!$G13,0))&lt;=IF(DAY(M$5)&gt;=29,EOMONTH(M$5,0),M$5+6),"●",""))</f>
        <v/>
      </c>
      <c r="N16" s="138">
        <f>IF(OR(NOT(ISNUMBER(N$5)),N(Plano!$G13)=0,N(Plano!$L13)=0),"",IF(Plano!$L13+Plano!$G13*MAX(0,ROUNDUP((N$5-Plano!$L13)/Plano!$G13,0))&lt;=IF(DAY(N$5)&gt;=29,EOMONTH(N$5,0),N$5+6),"●",""))</f>
        <v/>
      </c>
      <c r="O16" s="138">
        <f>IF(OR(NOT(ISNUMBER(O$5)),N(Plano!$G13)=0,N(Plano!$L13)=0),"",IF(Plano!$L13+Plano!$G13*MAX(0,ROUNDUP((O$5-Plano!$L13)/Plano!$G13,0))&lt;=IF(DAY(O$5)&gt;=29,EOMONTH(O$5,0),O$5+6),"●",""))</f>
        <v/>
      </c>
      <c r="P16" s="139">
        <f>IF(OR(NOT(ISNUMBER(P$5)),N(Plano!$G13)=0,N(Plano!$L13)=0),"",IF(Plano!$L13+Plano!$G13*MAX(0,ROUNDUP((P$5-Plano!$L13)/Plano!$G13,0))&lt;=IF(DAY(P$5)&gt;=29,EOMONTH(P$5,0),P$5+6),"●",""))</f>
        <v/>
      </c>
      <c r="Q16" s="138">
        <f>IF(OR(NOT(ISNUMBER(Q$5)),N(Plano!$G13)=0,N(Plano!$L13)=0),"",IF(Plano!$L13+Plano!$G13*MAX(0,ROUNDUP((Q$5-Plano!$L13)/Plano!$G13,0))&lt;=IF(DAY(Q$5)&gt;=29,EOMONTH(Q$5,0),Q$5+6),"●",""))</f>
        <v/>
      </c>
      <c r="R16" s="138">
        <f>IF(OR(NOT(ISNUMBER(R$5)),N(Plano!$G13)=0,N(Plano!$L13)=0),"",IF(Plano!$L13+Plano!$G13*MAX(0,ROUNDUP((R$5-Plano!$L13)/Plano!$G13,0))&lt;=IF(DAY(R$5)&gt;=29,EOMONTH(R$5,0),R$5+6),"●",""))</f>
        <v/>
      </c>
      <c r="S16" s="138">
        <f>IF(OR(NOT(ISNUMBER(S$5)),N(Plano!$G13)=0,N(Plano!$L13)=0),"",IF(Plano!$L13+Plano!$G13*MAX(0,ROUNDUP((S$5-Plano!$L13)/Plano!$G13,0))&lt;=IF(DAY(S$5)&gt;=29,EOMONTH(S$5,0),S$5+6),"●",""))</f>
        <v/>
      </c>
      <c r="T16" s="138">
        <f>IF(OR(NOT(ISNUMBER(T$5)),N(Plano!$G13)=0,N(Plano!$L13)=0),"",IF(Plano!$L13+Plano!$G13*MAX(0,ROUNDUP((T$5-Plano!$L13)/Plano!$G13,0))&lt;=IF(DAY(T$5)&gt;=29,EOMONTH(T$5,0),T$5+6),"●",""))</f>
        <v/>
      </c>
      <c r="U16" s="139">
        <f>IF(OR(NOT(ISNUMBER(U$5)),N(Plano!$G13)=0,N(Plano!$L13)=0),"",IF(Plano!$L13+Plano!$G13*MAX(0,ROUNDUP((U$5-Plano!$L13)/Plano!$G13,0))&lt;=IF(DAY(U$5)&gt;=29,EOMONTH(U$5,0),U$5+6),"●",""))</f>
        <v/>
      </c>
      <c r="V16" s="138">
        <f>IF(OR(NOT(ISNUMBER(V$5)),N(Plano!$G13)=0,N(Plano!$L13)=0),"",IF(Plano!$L13+Plano!$G13*MAX(0,ROUNDUP((V$5-Plano!$L13)/Plano!$G13,0))&lt;=IF(DAY(V$5)&gt;=29,EOMONTH(V$5,0),V$5+6),"●",""))</f>
        <v/>
      </c>
      <c r="W16" s="138">
        <f>IF(OR(NOT(ISNUMBER(W$5)),N(Plano!$G13)=0,N(Plano!$L13)=0),"",IF(Plano!$L13+Plano!$G13*MAX(0,ROUNDUP((W$5-Plano!$L13)/Plano!$G13,0))&lt;=IF(DAY(W$5)&gt;=29,EOMONTH(W$5,0),W$5+6),"●",""))</f>
        <v/>
      </c>
      <c r="X16" s="138">
        <f>IF(OR(NOT(ISNUMBER(X$5)),N(Plano!$G13)=0,N(Plano!$L13)=0),"",IF(Plano!$L13+Plano!$G13*MAX(0,ROUNDUP((X$5-Plano!$L13)/Plano!$G13,0))&lt;=IF(DAY(X$5)&gt;=29,EOMONTH(X$5,0),X$5+6),"●",""))</f>
        <v/>
      </c>
      <c r="Y16" s="138">
        <f>IF(OR(NOT(ISNUMBER(Y$5)),N(Plano!$G13)=0,N(Plano!$L13)=0),"",IF(Plano!$L13+Plano!$G13*MAX(0,ROUNDUP((Y$5-Plano!$L13)/Plano!$G13,0))&lt;=IF(DAY(Y$5)&gt;=29,EOMONTH(Y$5,0),Y$5+6),"●",""))</f>
        <v/>
      </c>
      <c r="Z16" s="139">
        <f>IF(OR(NOT(ISNUMBER(Z$5)),N(Plano!$G13)=0,N(Plano!$L13)=0),"",IF(Plano!$L13+Plano!$G13*MAX(0,ROUNDUP((Z$5-Plano!$L13)/Plano!$G13,0))&lt;=IF(DAY(Z$5)&gt;=29,EOMONTH(Z$5,0),Z$5+6),"●",""))</f>
        <v/>
      </c>
      <c r="AA16" s="138">
        <f>IF(OR(NOT(ISNUMBER(AA$5)),N(Plano!$G13)=0,N(Plano!$L13)=0),"",IF(Plano!$L13+Plano!$G13*MAX(0,ROUNDUP((AA$5-Plano!$L13)/Plano!$G13,0))&lt;=IF(DAY(AA$5)&gt;=29,EOMONTH(AA$5,0),AA$5+6),"●",""))</f>
        <v/>
      </c>
      <c r="AB16" s="138">
        <f>IF(OR(NOT(ISNUMBER(AB$5)),N(Plano!$G13)=0,N(Plano!$L13)=0),"",IF(Plano!$L13+Plano!$G13*MAX(0,ROUNDUP((AB$5-Plano!$L13)/Plano!$G13,0))&lt;=IF(DAY(AB$5)&gt;=29,EOMONTH(AB$5,0),AB$5+6),"●",""))</f>
        <v/>
      </c>
      <c r="AC16" s="138">
        <f>IF(OR(NOT(ISNUMBER(AC$5)),N(Plano!$G13)=0,N(Plano!$L13)=0),"",IF(Plano!$L13+Plano!$G13*MAX(0,ROUNDUP((AC$5-Plano!$L13)/Plano!$G13,0))&lt;=IF(DAY(AC$5)&gt;=29,EOMONTH(AC$5,0),AC$5+6),"●",""))</f>
        <v/>
      </c>
      <c r="AD16" s="138">
        <f>IF(OR(NOT(ISNUMBER(AD$5)),N(Plano!$G13)=0,N(Plano!$L13)=0),"",IF(Plano!$L13+Plano!$G13*MAX(0,ROUNDUP((AD$5-Plano!$L13)/Plano!$G13,0))&lt;=IF(DAY(AD$5)&gt;=29,EOMONTH(AD$5,0),AD$5+6),"●",""))</f>
        <v/>
      </c>
      <c r="AE16" s="139">
        <f>IF(OR(NOT(ISNUMBER(AE$5)),N(Plano!$G13)=0,N(Plano!$L13)=0),"",IF(Plano!$L13+Plano!$G13*MAX(0,ROUNDUP((AE$5-Plano!$L13)/Plano!$G13,0))&lt;=IF(DAY(AE$5)&gt;=29,EOMONTH(AE$5,0),AE$5+6),"●",""))</f>
        <v/>
      </c>
      <c r="AF16" s="138">
        <f>IF(OR(NOT(ISNUMBER(AF$5)),N(Plano!$G13)=0,N(Plano!$L13)=0),"",IF(Plano!$L13+Plano!$G13*MAX(0,ROUNDUP((AF$5-Plano!$L13)/Plano!$G13,0))&lt;=IF(DAY(AF$5)&gt;=29,EOMONTH(AF$5,0),AF$5+6),"●",""))</f>
        <v/>
      </c>
      <c r="AG16" s="138">
        <f>IF(OR(NOT(ISNUMBER(AG$5)),N(Plano!$G13)=0,N(Plano!$L13)=0),"",IF(Plano!$L13+Plano!$G13*MAX(0,ROUNDUP((AG$5-Plano!$L13)/Plano!$G13,0))&lt;=IF(DAY(AG$5)&gt;=29,EOMONTH(AG$5,0),AG$5+6),"●",""))</f>
        <v/>
      </c>
      <c r="AH16" s="138">
        <f>IF(OR(NOT(ISNUMBER(AH$5)),N(Plano!$G13)=0,N(Plano!$L13)=0),"",IF(Plano!$L13+Plano!$G13*MAX(0,ROUNDUP((AH$5-Plano!$L13)/Plano!$G13,0))&lt;=IF(DAY(AH$5)&gt;=29,EOMONTH(AH$5,0),AH$5+6),"●",""))</f>
        <v/>
      </c>
      <c r="AI16" s="138">
        <f>IF(OR(NOT(ISNUMBER(AI$5)),N(Plano!$G13)=0,N(Plano!$L13)=0),"",IF(Plano!$L13+Plano!$G13*MAX(0,ROUNDUP((AI$5-Plano!$L13)/Plano!$G13,0))&lt;=IF(DAY(AI$5)&gt;=29,EOMONTH(AI$5,0),AI$5+6),"●",""))</f>
        <v/>
      </c>
      <c r="AJ16" s="139">
        <f>IF(OR(NOT(ISNUMBER(AJ$5)),N(Plano!$G13)=0,N(Plano!$L13)=0),"",IF(Plano!$L13+Plano!$G13*MAX(0,ROUNDUP((AJ$5-Plano!$L13)/Plano!$G13,0))&lt;=IF(DAY(AJ$5)&gt;=29,EOMONTH(AJ$5,0),AJ$5+6),"●",""))</f>
        <v/>
      </c>
      <c r="AK16" s="138">
        <f>IF(OR(NOT(ISNUMBER(AK$5)),N(Plano!$G13)=0,N(Plano!$L13)=0),"",IF(Plano!$L13+Plano!$G13*MAX(0,ROUNDUP((AK$5-Plano!$L13)/Plano!$G13,0))&lt;=IF(DAY(AK$5)&gt;=29,EOMONTH(AK$5,0),AK$5+6),"●",""))</f>
        <v/>
      </c>
      <c r="AL16" s="138">
        <f>IF(OR(NOT(ISNUMBER(AL$5)),N(Plano!$G13)=0,N(Plano!$L13)=0),"",IF(Plano!$L13+Plano!$G13*MAX(0,ROUNDUP((AL$5-Plano!$L13)/Plano!$G13,0))&lt;=IF(DAY(AL$5)&gt;=29,EOMONTH(AL$5,0),AL$5+6),"●",""))</f>
        <v/>
      </c>
      <c r="AM16" s="138">
        <f>IF(OR(NOT(ISNUMBER(AM$5)),N(Plano!$G13)=0,N(Plano!$L13)=0),"",IF(Plano!$L13+Plano!$G13*MAX(0,ROUNDUP((AM$5-Plano!$L13)/Plano!$G13,0))&lt;=IF(DAY(AM$5)&gt;=29,EOMONTH(AM$5,0),AM$5+6),"●",""))</f>
        <v/>
      </c>
      <c r="AN16" s="138">
        <f>IF(OR(NOT(ISNUMBER(AN$5)),N(Plano!$G13)=0,N(Plano!$L13)=0),"",IF(Plano!$L13+Plano!$G13*MAX(0,ROUNDUP((AN$5-Plano!$L13)/Plano!$G13,0))&lt;=IF(DAY(AN$5)&gt;=29,EOMONTH(AN$5,0),AN$5+6),"●",""))</f>
        <v/>
      </c>
      <c r="AO16" s="139">
        <f>IF(OR(NOT(ISNUMBER(AO$5)),N(Plano!$G13)=0,N(Plano!$L13)=0),"",IF(Plano!$L13+Plano!$G13*MAX(0,ROUNDUP((AO$5-Plano!$L13)/Plano!$G13,0))&lt;=IF(DAY(AO$5)&gt;=29,EOMONTH(AO$5,0),AO$5+6),"●",""))</f>
        <v/>
      </c>
      <c r="AP16" s="138">
        <f>IF(OR(NOT(ISNUMBER(AP$5)),N(Plano!$G13)=0,N(Plano!$L13)=0),"",IF(Plano!$L13+Plano!$G13*MAX(0,ROUNDUP((AP$5-Plano!$L13)/Plano!$G13,0))&lt;=IF(DAY(AP$5)&gt;=29,EOMONTH(AP$5,0),AP$5+6),"●",""))</f>
        <v/>
      </c>
      <c r="AQ16" s="138">
        <f>IF(OR(NOT(ISNUMBER(AQ$5)),N(Plano!$G13)=0,N(Plano!$L13)=0),"",IF(Plano!$L13+Plano!$G13*MAX(0,ROUNDUP((AQ$5-Plano!$L13)/Plano!$G13,0))&lt;=IF(DAY(AQ$5)&gt;=29,EOMONTH(AQ$5,0),AQ$5+6),"●",""))</f>
        <v/>
      </c>
      <c r="AR16" s="138">
        <f>IF(OR(NOT(ISNUMBER(AR$5)),N(Plano!$G13)=0,N(Plano!$L13)=0),"",IF(Plano!$L13+Plano!$G13*MAX(0,ROUNDUP((AR$5-Plano!$L13)/Plano!$G13,0))&lt;=IF(DAY(AR$5)&gt;=29,EOMONTH(AR$5,0),AR$5+6),"●",""))</f>
        <v/>
      </c>
      <c r="AS16" s="138">
        <f>IF(OR(NOT(ISNUMBER(AS$5)),N(Plano!$G13)=0,N(Plano!$L13)=0),"",IF(Plano!$L13+Plano!$G13*MAX(0,ROUNDUP((AS$5-Plano!$L13)/Plano!$G13,0))&lt;=IF(DAY(AS$5)&gt;=29,EOMONTH(AS$5,0),AS$5+6),"●",""))</f>
        <v/>
      </c>
      <c r="AT16" s="139">
        <f>IF(OR(NOT(ISNUMBER(AT$5)),N(Plano!$G13)=0,N(Plano!$L13)=0),"",IF(Plano!$L13+Plano!$G13*MAX(0,ROUNDUP((AT$5-Plano!$L13)/Plano!$G13,0))&lt;=IF(DAY(AT$5)&gt;=29,EOMONTH(AT$5,0),AT$5+6),"●",""))</f>
        <v/>
      </c>
      <c r="AU16" s="138">
        <f>IF(OR(NOT(ISNUMBER(AU$5)),N(Plano!$G13)=0,N(Plano!$L13)=0),"",IF(Plano!$L13+Plano!$G13*MAX(0,ROUNDUP((AU$5-Plano!$L13)/Plano!$G13,0))&lt;=IF(DAY(AU$5)&gt;=29,EOMONTH(AU$5,0),AU$5+6),"●",""))</f>
        <v/>
      </c>
      <c r="AV16" s="138">
        <f>IF(OR(NOT(ISNUMBER(AV$5)),N(Plano!$G13)=0,N(Plano!$L13)=0),"",IF(Plano!$L13+Plano!$G13*MAX(0,ROUNDUP((AV$5-Plano!$L13)/Plano!$G13,0))&lt;=IF(DAY(AV$5)&gt;=29,EOMONTH(AV$5,0),AV$5+6),"●",""))</f>
        <v/>
      </c>
      <c r="AW16" s="138">
        <f>IF(OR(NOT(ISNUMBER(AW$5)),N(Plano!$G13)=0,N(Plano!$L13)=0),"",IF(Plano!$L13+Plano!$G13*MAX(0,ROUNDUP((AW$5-Plano!$L13)/Plano!$G13,0))&lt;=IF(DAY(AW$5)&gt;=29,EOMONTH(AW$5,0),AW$5+6),"●",""))</f>
        <v/>
      </c>
      <c r="AX16" s="138">
        <f>IF(OR(NOT(ISNUMBER(AX$5)),N(Plano!$G13)=0,N(Plano!$L13)=0),"",IF(Plano!$L13+Plano!$G13*MAX(0,ROUNDUP((AX$5-Plano!$L13)/Plano!$G13,0))&lt;=IF(DAY(AX$5)&gt;=29,EOMONTH(AX$5,0),AX$5+6),"●",""))</f>
        <v/>
      </c>
      <c r="AY16" s="139">
        <f>IF(OR(NOT(ISNUMBER(AY$5)),N(Plano!$G13)=0,N(Plano!$L13)=0),"",IF(Plano!$L13+Plano!$G13*MAX(0,ROUNDUP((AY$5-Plano!$L13)/Plano!$G13,0))&lt;=IF(DAY(AY$5)&gt;=29,EOMONTH(AY$5,0),AY$5+6),"●",""))</f>
        <v/>
      </c>
      <c r="AZ16" s="138">
        <f>IF(OR(NOT(ISNUMBER(AZ$5)),N(Plano!$G13)=0,N(Plano!$L13)=0),"",IF(Plano!$L13+Plano!$G13*MAX(0,ROUNDUP((AZ$5-Plano!$L13)/Plano!$G13,0))&lt;=IF(DAY(AZ$5)&gt;=29,EOMONTH(AZ$5,0),AZ$5+6),"●",""))</f>
        <v/>
      </c>
      <c r="BA16" s="138">
        <f>IF(OR(NOT(ISNUMBER(BA$5)),N(Plano!$G13)=0,N(Plano!$L13)=0),"",IF(Plano!$L13+Plano!$G13*MAX(0,ROUNDUP((BA$5-Plano!$L13)/Plano!$G13,0))&lt;=IF(DAY(BA$5)&gt;=29,EOMONTH(BA$5,0),BA$5+6),"●",""))</f>
        <v/>
      </c>
      <c r="BB16" s="138">
        <f>IF(OR(NOT(ISNUMBER(BB$5)),N(Plano!$G13)=0,N(Plano!$L13)=0),"",IF(Plano!$L13+Plano!$G13*MAX(0,ROUNDUP((BB$5-Plano!$L13)/Plano!$G13,0))&lt;=IF(DAY(BB$5)&gt;=29,EOMONTH(BB$5,0),BB$5+6),"●",""))</f>
        <v/>
      </c>
      <c r="BC16" s="138">
        <f>IF(OR(NOT(ISNUMBER(BC$5)),N(Plano!$G13)=0,N(Plano!$L13)=0),"",IF(Plano!$L13+Plano!$G13*MAX(0,ROUNDUP((BC$5-Plano!$L13)/Plano!$G13,0))&lt;=IF(DAY(BC$5)&gt;=29,EOMONTH(BC$5,0),BC$5+6),"●",""))</f>
        <v/>
      </c>
      <c r="BD16" s="139">
        <f>IF(OR(NOT(ISNUMBER(BD$5)),N(Plano!$G13)=0,N(Plano!$L13)=0),"",IF(Plano!$L13+Plano!$G13*MAX(0,ROUNDUP((BD$5-Plano!$L13)/Plano!$G13,0))&lt;=IF(DAY(BD$5)&gt;=29,EOMONTH(BD$5,0),BD$5+6),"●",""))</f>
        <v/>
      </c>
      <c r="BE16" s="138">
        <f>IF(OR(NOT(ISNUMBER(BE$5)),N(Plano!$G13)=0,N(Plano!$L13)=0),"",IF(Plano!$L13+Plano!$G13*MAX(0,ROUNDUP((BE$5-Plano!$L13)/Plano!$G13,0))&lt;=IF(DAY(BE$5)&gt;=29,EOMONTH(BE$5,0),BE$5+6),"●",""))</f>
        <v/>
      </c>
      <c r="BF16" s="138">
        <f>IF(OR(NOT(ISNUMBER(BF$5)),N(Plano!$G13)=0,N(Plano!$L13)=0),"",IF(Plano!$L13+Plano!$G13*MAX(0,ROUNDUP((BF$5-Plano!$L13)/Plano!$G13,0))&lt;=IF(DAY(BF$5)&gt;=29,EOMONTH(BF$5,0),BF$5+6),"●",""))</f>
        <v/>
      </c>
      <c r="BG16" s="138">
        <f>IF(OR(NOT(ISNUMBER(BG$5)),N(Plano!$G13)=0,N(Plano!$L13)=0),"",IF(Plano!$L13+Plano!$G13*MAX(0,ROUNDUP((BG$5-Plano!$L13)/Plano!$G13,0))&lt;=IF(DAY(BG$5)&gt;=29,EOMONTH(BG$5,0),BG$5+6),"●",""))</f>
        <v/>
      </c>
      <c r="BH16" s="138">
        <f>IF(OR(NOT(ISNUMBER(BH$5)),N(Plano!$G13)=0,N(Plano!$L13)=0),"",IF(Plano!$L13+Plano!$G13*MAX(0,ROUNDUP((BH$5-Plano!$L13)/Plano!$G13,0))&lt;=IF(DAY(BH$5)&gt;=29,EOMONTH(BH$5,0),BH$5+6),"●",""))</f>
        <v/>
      </c>
      <c r="BI16" s="139">
        <f>IF(OR(NOT(ISNUMBER(BI$5)),N(Plano!$G13)=0,N(Plano!$L13)=0),"",IF(Plano!$L13+Plano!$G13*MAX(0,ROUNDUP((BI$5-Plano!$L13)/Plano!$G13,0))&lt;=IF(DAY(BI$5)&gt;=29,EOMONTH(BI$5,0),BI$5+6),"●",""))</f>
        <v/>
      </c>
      <c r="BJ16" s="138">
        <f>IF(OR(NOT(ISNUMBER(BJ$5)),N(Plano!$G13)=0,N(Plano!$L13)=0),"",IF(Plano!$L13+Plano!$G13*MAX(0,ROUNDUP((BJ$5-Plano!$L13)/Plano!$G13,0))&lt;=IF(DAY(BJ$5)&gt;=29,EOMONTH(BJ$5,0),BJ$5+6),"●",""))</f>
        <v/>
      </c>
      <c r="BK16" s="138">
        <f>IF(OR(NOT(ISNUMBER(BK$5)),N(Plano!$G13)=0,N(Plano!$L13)=0),"",IF(Plano!$L13+Plano!$G13*MAX(0,ROUNDUP((BK$5-Plano!$L13)/Plano!$G13,0))&lt;=IF(DAY(BK$5)&gt;=29,EOMONTH(BK$5,0),BK$5+6),"●",""))</f>
        <v/>
      </c>
      <c r="BL16" s="138">
        <f>IF(OR(NOT(ISNUMBER(BL$5)),N(Plano!$G13)=0,N(Plano!$L13)=0),"",IF(Plano!$L13+Plano!$G13*MAX(0,ROUNDUP((BL$5-Plano!$L13)/Plano!$G13,0))&lt;=IF(DAY(BL$5)&gt;=29,EOMONTH(BL$5,0),BL$5+6),"●",""))</f>
        <v/>
      </c>
      <c r="BM16" s="140">
        <f>IF(OR(NOT(ISNUMBER(BM$5)),N(Plano!$G13)=0,N(Plano!$L13)=0),"",IF(Plano!$L13+Plano!$G13*MAX(0,ROUNDUP((BM$5-Plano!$L13)/Plano!$G13,0))&lt;=IF(DAY(BM$5)&gt;=29,EOMONTH(BM$5,0),BM$5+6),"●",""))</f>
        <v/>
      </c>
    </row>
    <row r="17" ht="18" customHeight="1">
      <c r="A17" s="118">
        <f>Plano!A14</f>
        <v/>
      </c>
      <c r="B17" s="136">
        <f>IF(Plano!B14="","",Plano!B14)</f>
        <v/>
      </c>
      <c r="C17" s="70">
        <f>IF(B17="","",IFERROR(INDEX(tb_pcm_ativos[descricao_ativo],MATCH(B17,tb_pcm_ativos[tag],0)),"fora do cadastro"))</f>
        <v/>
      </c>
      <c r="D17" s="70">
        <f>IF(Plano!E14="","",Plano!E14)</f>
        <v/>
      </c>
      <c r="E17" s="137">
        <f>IF(Plano!G14="","",Plano!G14)</f>
        <v/>
      </c>
      <c r="F17" s="138">
        <f>IF(OR(NOT(ISNUMBER(F$5)),N(Plano!$G14)=0,N(Plano!$L14)=0),"",IF(Plano!$L14+Plano!$G14*MAX(0,ROUNDUP((F$5-Plano!$L14)/Plano!$G14,0))&lt;=IF(DAY(F$5)&gt;=29,EOMONTH(F$5,0),F$5+6),"●",""))</f>
        <v/>
      </c>
      <c r="G17" s="138">
        <f>IF(OR(NOT(ISNUMBER(G$5)),N(Plano!$G14)=0,N(Plano!$L14)=0),"",IF(Plano!$L14+Plano!$G14*MAX(0,ROUNDUP((G$5-Plano!$L14)/Plano!$G14,0))&lt;=IF(DAY(G$5)&gt;=29,EOMONTH(G$5,0),G$5+6),"●",""))</f>
        <v/>
      </c>
      <c r="H17" s="138">
        <f>IF(OR(NOT(ISNUMBER(H$5)),N(Plano!$G14)=0,N(Plano!$L14)=0),"",IF(Plano!$L14+Plano!$G14*MAX(0,ROUNDUP((H$5-Plano!$L14)/Plano!$G14,0))&lt;=IF(DAY(H$5)&gt;=29,EOMONTH(H$5,0),H$5+6),"●",""))</f>
        <v/>
      </c>
      <c r="I17" s="138">
        <f>IF(OR(NOT(ISNUMBER(I$5)),N(Plano!$G14)=0,N(Plano!$L14)=0),"",IF(Plano!$L14+Plano!$G14*MAX(0,ROUNDUP((I$5-Plano!$L14)/Plano!$G14,0))&lt;=IF(DAY(I$5)&gt;=29,EOMONTH(I$5,0),I$5+6),"●",""))</f>
        <v/>
      </c>
      <c r="J17" s="138">
        <f>IF(OR(NOT(ISNUMBER(J$5)),N(Plano!$G14)=0,N(Plano!$L14)=0),"",IF(Plano!$L14+Plano!$G14*MAX(0,ROUNDUP((J$5-Plano!$L14)/Plano!$G14,0))&lt;=IF(DAY(J$5)&gt;=29,EOMONTH(J$5,0),J$5+6),"●",""))</f>
        <v/>
      </c>
      <c r="K17" s="139">
        <f>IF(OR(NOT(ISNUMBER(K$5)),N(Plano!$G14)=0,N(Plano!$L14)=0),"",IF(Plano!$L14+Plano!$G14*MAX(0,ROUNDUP((K$5-Plano!$L14)/Plano!$G14,0))&lt;=IF(DAY(K$5)&gt;=29,EOMONTH(K$5,0),K$5+6),"●",""))</f>
        <v/>
      </c>
      <c r="L17" s="138">
        <f>IF(OR(NOT(ISNUMBER(L$5)),N(Plano!$G14)=0,N(Plano!$L14)=0),"",IF(Plano!$L14+Plano!$G14*MAX(0,ROUNDUP((L$5-Plano!$L14)/Plano!$G14,0))&lt;=IF(DAY(L$5)&gt;=29,EOMONTH(L$5,0),L$5+6),"●",""))</f>
        <v/>
      </c>
      <c r="M17" s="138">
        <f>IF(OR(NOT(ISNUMBER(M$5)),N(Plano!$G14)=0,N(Plano!$L14)=0),"",IF(Plano!$L14+Plano!$G14*MAX(0,ROUNDUP((M$5-Plano!$L14)/Plano!$G14,0))&lt;=IF(DAY(M$5)&gt;=29,EOMONTH(M$5,0),M$5+6),"●",""))</f>
        <v/>
      </c>
      <c r="N17" s="138">
        <f>IF(OR(NOT(ISNUMBER(N$5)),N(Plano!$G14)=0,N(Plano!$L14)=0),"",IF(Plano!$L14+Plano!$G14*MAX(0,ROUNDUP((N$5-Plano!$L14)/Plano!$G14,0))&lt;=IF(DAY(N$5)&gt;=29,EOMONTH(N$5,0),N$5+6),"●",""))</f>
        <v/>
      </c>
      <c r="O17" s="138">
        <f>IF(OR(NOT(ISNUMBER(O$5)),N(Plano!$G14)=0,N(Plano!$L14)=0),"",IF(Plano!$L14+Plano!$G14*MAX(0,ROUNDUP((O$5-Plano!$L14)/Plano!$G14,0))&lt;=IF(DAY(O$5)&gt;=29,EOMONTH(O$5,0),O$5+6),"●",""))</f>
        <v/>
      </c>
      <c r="P17" s="139">
        <f>IF(OR(NOT(ISNUMBER(P$5)),N(Plano!$G14)=0,N(Plano!$L14)=0),"",IF(Plano!$L14+Plano!$G14*MAX(0,ROUNDUP((P$5-Plano!$L14)/Plano!$G14,0))&lt;=IF(DAY(P$5)&gt;=29,EOMONTH(P$5,0),P$5+6),"●",""))</f>
        <v/>
      </c>
      <c r="Q17" s="138">
        <f>IF(OR(NOT(ISNUMBER(Q$5)),N(Plano!$G14)=0,N(Plano!$L14)=0),"",IF(Plano!$L14+Plano!$G14*MAX(0,ROUNDUP((Q$5-Plano!$L14)/Plano!$G14,0))&lt;=IF(DAY(Q$5)&gt;=29,EOMONTH(Q$5,0),Q$5+6),"●",""))</f>
        <v/>
      </c>
      <c r="R17" s="138">
        <f>IF(OR(NOT(ISNUMBER(R$5)),N(Plano!$G14)=0,N(Plano!$L14)=0),"",IF(Plano!$L14+Plano!$G14*MAX(0,ROUNDUP((R$5-Plano!$L14)/Plano!$G14,0))&lt;=IF(DAY(R$5)&gt;=29,EOMONTH(R$5,0),R$5+6),"●",""))</f>
        <v/>
      </c>
      <c r="S17" s="138">
        <f>IF(OR(NOT(ISNUMBER(S$5)),N(Plano!$G14)=0,N(Plano!$L14)=0),"",IF(Plano!$L14+Plano!$G14*MAX(0,ROUNDUP((S$5-Plano!$L14)/Plano!$G14,0))&lt;=IF(DAY(S$5)&gt;=29,EOMONTH(S$5,0),S$5+6),"●",""))</f>
        <v/>
      </c>
      <c r="T17" s="138">
        <f>IF(OR(NOT(ISNUMBER(T$5)),N(Plano!$G14)=0,N(Plano!$L14)=0),"",IF(Plano!$L14+Plano!$G14*MAX(0,ROUNDUP((T$5-Plano!$L14)/Plano!$G14,0))&lt;=IF(DAY(T$5)&gt;=29,EOMONTH(T$5,0),T$5+6),"●",""))</f>
        <v/>
      </c>
      <c r="U17" s="139">
        <f>IF(OR(NOT(ISNUMBER(U$5)),N(Plano!$G14)=0,N(Plano!$L14)=0),"",IF(Plano!$L14+Plano!$G14*MAX(0,ROUNDUP((U$5-Plano!$L14)/Plano!$G14,0))&lt;=IF(DAY(U$5)&gt;=29,EOMONTH(U$5,0),U$5+6),"●",""))</f>
        <v/>
      </c>
      <c r="V17" s="138">
        <f>IF(OR(NOT(ISNUMBER(V$5)),N(Plano!$G14)=0,N(Plano!$L14)=0),"",IF(Plano!$L14+Plano!$G14*MAX(0,ROUNDUP((V$5-Plano!$L14)/Plano!$G14,0))&lt;=IF(DAY(V$5)&gt;=29,EOMONTH(V$5,0),V$5+6),"●",""))</f>
        <v/>
      </c>
      <c r="W17" s="138">
        <f>IF(OR(NOT(ISNUMBER(W$5)),N(Plano!$G14)=0,N(Plano!$L14)=0),"",IF(Plano!$L14+Plano!$G14*MAX(0,ROUNDUP((W$5-Plano!$L14)/Plano!$G14,0))&lt;=IF(DAY(W$5)&gt;=29,EOMONTH(W$5,0),W$5+6),"●",""))</f>
        <v/>
      </c>
      <c r="X17" s="138">
        <f>IF(OR(NOT(ISNUMBER(X$5)),N(Plano!$G14)=0,N(Plano!$L14)=0),"",IF(Plano!$L14+Plano!$G14*MAX(0,ROUNDUP((X$5-Plano!$L14)/Plano!$G14,0))&lt;=IF(DAY(X$5)&gt;=29,EOMONTH(X$5,0),X$5+6),"●",""))</f>
        <v/>
      </c>
      <c r="Y17" s="138">
        <f>IF(OR(NOT(ISNUMBER(Y$5)),N(Plano!$G14)=0,N(Plano!$L14)=0),"",IF(Plano!$L14+Plano!$G14*MAX(0,ROUNDUP((Y$5-Plano!$L14)/Plano!$G14,0))&lt;=IF(DAY(Y$5)&gt;=29,EOMONTH(Y$5,0),Y$5+6),"●",""))</f>
        <v/>
      </c>
      <c r="Z17" s="139">
        <f>IF(OR(NOT(ISNUMBER(Z$5)),N(Plano!$G14)=0,N(Plano!$L14)=0),"",IF(Plano!$L14+Plano!$G14*MAX(0,ROUNDUP((Z$5-Plano!$L14)/Plano!$G14,0))&lt;=IF(DAY(Z$5)&gt;=29,EOMONTH(Z$5,0),Z$5+6),"●",""))</f>
        <v/>
      </c>
      <c r="AA17" s="138">
        <f>IF(OR(NOT(ISNUMBER(AA$5)),N(Plano!$G14)=0,N(Plano!$L14)=0),"",IF(Plano!$L14+Plano!$G14*MAX(0,ROUNDUP((AA$5-Plano!$L14)/Plano!$G14,0))&lt;=IF(DAY(AA$5)&gt;=29,EOMONTH(AA$5,0),AA$5+6),"●",""))</f>
        <v/>
      </c>
      <c r="AB17" s="138">
        <f>IF(OR(NOT(ISNUMBER(AB$5)),N(Plano!$G14)=0,N(Plano!$L14)=0),"",IF(Plano!$L14+Plano!$G14*MAX(0,ROUNDUP((AB$5-Plano!$L14)/Plano!$G14,0))&lt;=IF(DAY(AB$5)&gt;=29,EOMONTH(AB$5,0),AB$5+6),"●",""))</f>
        <v/>
      </c>
      <c r="AC17" s="138">
        <f>IF(OR(NOT(ISNUMBER(AC$5)),N(Plano!$G14)=0,N(Plano!$L14)=0),"",IF(Plano!$L14+Plano!$G14*MAX(0,ROUNDUP((AC$5-Plano!$L14)/Plano!$G14,0))&lt;=IF(DAY(AC$5)&gt;=29,EOMONTH(AC$5,0),AC$5+6),"●",""))</f>
        <v/>
      </c>
      <c r="AD17" s="138">
        <f>IF(OR(NOT(ISNUMBER(AD$5)),N(Plano!$G14)=0,N(Plano!$L14)=0),"",IF(Plano!$L14+Plano!$G14*MAX(0,ROUNDUP((AD$5-Plano!$L14)/Plano!$G14,0))&lt;=IF(DAY(AD$5)&gt;=29,EOMONTH(AD$5,0),AD$5+6),"●",""))</f>
        <v/>
      </c>
      <c r="AE17" s="139">
        <f>IF(OR(NOT(ISNUMBER(AE$5)),N(Plano!$G14)=0,N(Plano!$L14)=0),"",IF(Plano!$L14+Plano!$G14*MAX(0,ROUNDUP((AE$5-Plano!$L14)/Plano!$G14,0))&lt;=IF(DAY(AE$5)&gt;=29,EOMONTH(AE$5,0),AE$5+6),"●",""))</f>
        <v/>
      </c>
      <c r="AF17" s="138">
        <f>IF(OR(NOT(ISNUMBER(AF$5)),N(Plano!$G14)=0,N(Plano!$L14)=0),"",IF(Plano!$L14+Plano!$G14*MAX(0,ROUNDUP((AF$5-Plano!$L14)/Plano!$G14,0))&lt;=IF(DAY(AF$5)&gt;=29,EOMONTH(AF$5,0),AF$5+6),"●",""))</f>
        <v/>
      </c>
      <c r="AG17" s="138">
        <f>IF(OR(NOT(ISNUMBER(AG$5)),N(Plano!$G14)=0,N(Plano!$L14)=0),"",IF(Plano!$L14+Plano!$G14*MAX(0,ROUNDUP((AG$5-Plano!$L14)/Plano!$G14,0))&lt;=IF(DAY(AG$5)&gt;=29,EOMONTH(AG$5,0),AG$5+6),"●",""))</f>
        <v/>
      </c>
      <c r="AH17" s="138">
        <f>IF(OR(NOT(ISNUMBER(AH$5)),N(Plano!$G14)=0,N(Plano!$L14)=0),"",IF(Plano!$L14+Plano!$G14*MAX(0,ROUNDUP((AH$5-Plano!$L14)/Plano!$G14,0))&lt;=IF(DAY(AH$5)&gt;=29,EOMONTH(AH$5,0),AH$5+6),"●",""))</f>
        <v/>
      </c>
      <c r="AI17" s="138">
        <f>IF(OR(NOT(ISNUMBER(AI$5)),N(Plano!$G14)=0,N(Plano!$L14)=0),"",IF(Plano!$L14+Plano!$G14*MAX(0,ROUNDUP((AI$5-Plano!$L14)/Plano!$G14,0))&lt;=IF(DAY(AI$5)&gt;=29,EOMONTH(AI$5,0),AI$5+6),"●",""))</f>
        <v/>
      </c>
      <c r="AJ17" s="139">
        <f>IF(OR(NOT(ISNUMBER(AJ$5)),N(Plano!$G14)=0,N(Plano!$L14)=0),"",IF(Plano!$L14+Plano!$G14*MAX(0,ROUNDUP((AJ$5-Plano!$L14)/Plano!$G14,0))&lt;=IF(DAY(AJ$5)&gt;=29,EOMONTH(AJ$5,0),AJ$5+6),"●",""))</f>
        <v/>
      </c>
      <c r="AK17" s="138">
        <f>IF(OR(NOT(ISNUMBER(AK$5)),N(Plano!$G14)=0,N(Plano!$L14)=0),"",IF(Plano!$L14+Plano!$G14*MAX(0,ROUNDUP((AK$5-Plano!$L14)/Plano!$G14,0))&lt;=IF(DAY(AK$5)&gt;=29,EOMONTH(AK$5,0),AK$5+6),"●",""))</f>
        <v/>
      </c>
      <c r="AL17" s="138">
        <f>IF(OR(NOT(ISNUMBER(AL$5)),N(Plano!$G14)=0,N(Plano!$L14)=0),"",IF(Plano!$L14+Plano!$G14*MAX(0,ROUNDUP((AL$5-Plano!$L14)/Plano!$G14,0))&lt;=IF(DAY(AL$5)&gt;=29,EOMONTH(AL$5,0),AL$5+6),"●",""))</f>
        <v/>
      </c>
      <c r="AM17" s="138">
        <f>IF(OR(NOT(ISNUMBER(AM$5)),N(Plano!$G14)=0,N(Plano!$L14)=0),"",IF(Plano!$L14+Plano!$G14*MAX(0,ROUNDUP((AM$5-Plano!$L14)/Plano!$G14,0))&lt;=IF(DAY(AM$5)&gt;=29,EOMONTH(AM$5,0),AM$5+6),"●",""))</f>
        <v/>
      </c>
      <c r="AN17" s="138">
        <f>IF(OR(NOT(ISNUMBER(AN$5)),N(Plano!$G14)=0,N(Plano!$L14)=0),"",IF(Plano!$L14+Plano!$G14*MAX(0,ROUNDUP((AN$5-Plano!$L14)/Plano!$G14,0))&lt;=IF(DAY(AN$5)&gt;=29,EOMONTH(AN$5,0),AN$5+6),"●",""))</f>
        <v/>
      </c>
      <c r="AO17" s="139">
        <f>IF(OR(NOT(ISNUMBER(AO$5)),N(Plano!$G14)=0,N(Plano!$L14)=0),"",IF(Plano!$L14+Plano!$G14*MAX(0,ROUNDUP((AO$5-Plano!$L14)/Plano!$G14,0))&lt;=IF(DAY(AO$5)&gt;=29,EOMONTH(AO$5,0),AO$5+6),"●",""))</f>
        <v/>
      </c>
      <c r="AP17" s="138">
        <f>IF(OR(NOT(ISNUMBER(AP$5)),N(Plano!$G14)=0,N(Plano!$L14)=0),"",IF(Plano!$L14+Plano!$G14*MAX(0,ROUNDUP((AP$5-Plano!$L14)/Plano!$G14,0))&lt;=IF(DAY(AP$5)&gt;=29,EOMONTH(AP$5,0),AP$5+6),"●",""))</f>
        <v/>
      </c>
      <c r="AQ17" s="138">
        <f>IF(OR(NOT(ISNUMBER(AQ$5)),N(Plano!$G14)=0,N(Plano!$L14)=0),"",IF(Plano!$L14+Plano!$G14*MAX(0,ROUNDUP((AQ$5-Plano!$L14)/Plano!$G14,0))&lt;=IF(DAY(AQ$5)&gt;=29,EOMONTH(AQ$5,0),AQ$5+6),"●",""))</f>
        <v/>
      </c>
      <c r="AR17" s="138">
        <f>IF(OR(NOT(ISNUMBER(AR$5)),N(Plano!$G14)=0,N(Plano!$L14)=0),"",IF(Plano!$L14+Plano!$G14*MAX(0,ROUNDUP((AR$5-Plano!$L14)/Plano!$G14,0))&lt;=IF(DAY(AR$5)&gt;=29,EOMONTH(AR$5,0),AR$5+6),"●",""))</f>
        <v/>
      </c>
      <c r="AS17" s="138">
        <f>IF(OR(NOT(ISNUMBER(AS$5)),N(Plano!$G14)=0,N(Plano!$L14)=0),"",IF(Plano!$L14+Plano!$G14*MAX(0,ROUNDUP((AS$5-Plano!$L14)/Plano!$G14,0))&lt;=IF(DAY(AS$5)&gt;=29,EOMONTH(AS$5,0),AS$5+6),"●",""))</f>
        <v/>
      </c>
      <c r="AT17" s="139">
        <f>IF(OR(NOT(ISNUMBER(AT$5)),N(Plano!$G14)=0,N(Plano!$L14)=0),"",IF(Plano!$L14+Plano!$G14*MAX(0,ROUNDUP((AT$5-Plano!$L14)/Plano!$G14,0))&lt;=IF(DAY(AT$5)&gt;=29,EOMONTH(AT$5,0),AT$5+6),"●",""))</f>
        <v/>
      </c>
      <c r="AU17" s="138">
        <f>IF(OR(NOT(ISNUMBER(AU$5)),N(Plano!$G14)=0,N(Plano!$L14)=0),"",IF(Plano!$L14+Plano!$G14*MAX(0,ROUNDUP((AU$5-Plano!$L14)/Plano!$G14,0))&lt;=IF(DAY(AU$5)&gt;=29,EOMONTH(AU$5,0),AU$5+6),"●",""))</f>
        <v/>
      </c>
      <c r="AV17" s="138">
        <f>IF(OR(NOT(ISNUMBER(AV$5)),N(Plano!$G14)=0,N(Plano!$L14)=0),"",IF(Plano!$L14+Plano!$G14*MAX(0,ROUNDUP((AV$5-Plano!$L14)/Plano!$G14,0))&lt;=IF(DAY(AV$5)&gt;=29,EOMONTH(AV$5,0),AV$5+6),"●",""))</f>
        <v/>
      </c>
      <c r="AW17" s="138">
        <f>IF(OR(NOT(ISNUMBER(AW$5)),N(Plano!$G14)=0,N(Plano!$L14)=0),"",IF(Plano!$L14+Plano!$G14*MAX(0,ROUNDUP((AW$5-Plano!$L14)/Plano!$G14,0))&lt;=IF(DAY(AW$5)&gt;=29,EOMONTH(AW$5,0),AW$5+6),"●",""))</f>
        <v/>
      </c>
      <c r="AX17" s="138">
        <f>IF(OR(NOT(ISNUMBER(AX$5)),N(Plano!$G14)=0,N(Plano!$L14)=0),"",IF(Plano!$L14+Plano!$G14*MAX(0,ROUNDUP((AX$5-Plano!$L14)/Plano!$G14,0))&lt;=IF(DAY(AX$5)&gt;=29,EOMONTH(AX$5,0),AX$5+6),"●",""))</f>
        <v/>
      </c>
      <c r="AY17" s="139">
        <f>IF(OR(NOT(ISNUMBER(AY$5)),N(Plano!$G14)=0,N(Plano!$L14)=0),"",IF(Plano!$L14+Plano!$G14*MAX(0,ROUNDUP((AY$5-Plano!$L14)/Plano!$G14,0))&lt;=IF(DAY(AY$5)&gt;=29,EOMONTH(AY$5,0),AY$5+6),"●",""))</f>
        <v/>
      </c>
      <c r="AZ17" s="138">
        <f>IF(OR(NOT(ISNUMBER(AZ$5)),N(Plano!$G14)=0,N(Plano!$L14)=0),"",IF(Plano!$L14+Plano!$G14*MAX(0,ROUNDUP((AZ$5-Plano!$L14)/Plano!$G14,0))&lt;=IF(DAY(AZ$5)&gt;=29,EOMONTH(AZ$5,0),AZ$5+6),"●",""))</f>
        <v/>
      </c>
      <c r="BA17" s="138">
        <f>IF(OR(NOT(ISNUMBER(BA$5)),N(Plano!$G14)=0,N(Plano!$L14)=0),"",IF(Plano!$L14+Plano!$G14*MAX(0,ROUNDUP((BA$5-Plano!$L14)/Plano!$G14,0))&lt;=IF(DAY(BA$5)&gt;=29,EOMONTH(BA$5,0),BA$5+6),"●",""))</f>
        <v/>
      </c>
      <c r="BB17" s="138">
        <f>IF(OR(NOT(ISNUMBER(BB$5)),N(Plano!$G14)=0,N(Plano!$L14)=0),"",IF(Plano!$L14+Plano!$G14*MAX(0,ROUNDUP((BB$5-Plano!$L14)/Plano!$G14,0))&lt;=IF(DAY(BB$5)&gt;=29,EOMONTH(BB$5,0),BB$5+6),"●",""))</f>
        <v/>
      </c>
      <c r="BC17" s="138">
        <f>IF(OR(NOT(ISNUMBER(BC$5)),N(Plano!$G14)=0,N(Plano!$L14)=0),"",IF(Plano!$L14+Plano!$G14*MAX(0,ROUNDUP((BC$5-Plano!$L14)/Plano!$G14,0))&lt;=IF(DAY(BC$5)&gt;=29,EOMONTH(BC$5,0),BC$5+6),"●",""))</f>
        <v/>
      </c>
      <c r="BD17" s="139">
        <f>IF(OR(NOT(ISNUMBER(BD$5)),N(Plano!$G14)=0,N(Plano!$L14)=0),"",IF(Plano!$L14+Plano!$G14*MAX(0,ROUNDUP((BD$5-Plano!$L14)/Plano!$G14,0))&lt;=IF(DAY(BD$5)&gt;=29,EOMONTH(BD$5,0),BD$5+6),"●",""))</f>
        <v/>
      </c>
      <c r="BE17" s="138">
        <f>IF(OR(NOT(ISNUMBER(BE$5)),N(Plano!$G14)=0,N(Plano!$L14)=0),"",IF(Plano!$L14+Plano!$G14*MAX(0,ROUNDUP((BE$5-Plano!$L14)/Plano!$G14,0))&lt;=IF(DAY(BE$5)&gt;=29,EOMONTH(BE$5,0),BE$5+6),"●",""))</f>
        <v/>
      </c>
      <c r="BF17" s="138">
        <f>IF(OR(NOT(ISNUMBER(BF$5)),N(Plano!$G14)=0,N(Plano!$L14)=0),"",IF(Plano!$L14+Plano!$G14*MAX(0,ROUNDUP((BF$5-Plano!$L14)/Plano!$G14,0))&lt;=IF(DAY(BF$5)&gt;=29,EOMONTH(BF$5,0),BF$5+6),"●",""))</f>
        <v/>
      </c>
      <c r="BG17" s="138">
        <f>IF(OR(NOT(ISNUMBER(BG$5)),N(Plano!$G14)=0,N(Plano!$L14)=0),"",IF(Plano!$L14+Plano!$G14*MAX(0,ROUNDUP((BG$5-Plano!$L14)/Plano!$G14,0))&lt;=IF(DAY(BG$5)&gt;=29,EOMONTH(BG$5,0),BG$5+6),"●",""))</f>
        <v/>
      </c>
      <c r="BH17" s="138">
        <f>IF(OR(NOT(ISNUMBER(BH$5)),N(Plano!$G14)=0,N(Plano!$L14)=0),"",IF(Plano!$L14+Plano!$G14*MAX(0,ROUNDUP((BH$5-Plano!$L14)/Plano!$G14,0))&lt;=IF(DAY(BH$5)&gt;=29,EOMONTH(BH$5,0),BH$5+6),"●",""))</f>
        <v/>
      </c>
      <c r="BI17" s="139">
        <f>IF(OR(NOT(ISNUMBER(BI$5)),N(Plano!$G14)=0,N(Plano!$L14)=0),"",IF(Plano!$L14+Plano!$G14*MAX(0,ROUNDUP((BI$5-Plano!$L14)/Plano!$G14,0))&lt;=IF(DAY(BI$5)&gt;=29,EOMONTH(BI$5,0),BI$5+6),"●",""))</f>
        <v/>
      </c>
      <c r="BJ17" s="138">
        <f>IF(OR(NOT(ISNUMBER(BJ$5)),N(Plano!$G14)=0,N(Plano!$L14)=0),"",IF(Plano!$L14+Plano!$G14*MAX(0,ROUNDUP((BJ$5-Plano!$L14)/Plano!$G14,0))&lt;=IF(DAY(BJ$5)&gt;=29,EOMONTH(BJ$5,0),BJ$5+6),"●",""))</f>
        <v/>
      </c>
      <c r="BK17" s="138">
        <f>IF(OR(NOT(ISNUMBER(BK$5)),N(Plano!$G14)=0,N(Plano!$L14)=0),"",IF(Plano!$L14+Plano!$G14*MAX(0,ROUNDUP((BK$5-Plano!$L14)/Plano!$G14,0))&lt;=IF(DAY(BK$5)&gt;=29,EOMONTH(BK$5,0),BK$5+6),"●",""))</f>
        <v/>
      </c>
      <c r="BL17" s="138">
        <f>IF(OR(NOT(ISNUMBER(BL$5)),N(Plano!$G14)=0,N(Plano!$L14)=0),"",IF(Plano!$L14+Plano!$G14*MAX(0,ROUNDUP((BL$5-Plano!$L14)/Plano!$G14,0))&lt;=IF(DAY(BL$5)&gt;=29,EOMONTH(BL$5,0),BL$5+6),"●",""))</f>
        <v/>
      </c>
      <c r="BM17" s="140">
        <f>IF(OR(NOT(ISNUMBER(BM$5)),N(Plano!$G14)=0,N(Plano!$L14)=0),"",IF(Plano!$L14+Plano!$G14*MAX(0,ROUNDUP((BM$5-Plano!$L14)/Plano!$G14,0))&lt;=IF(DAY(BM$5)&gt;=29,EOMONTH(BM$5,0),BM$5+6),"●",""))</f>
        <v/>
      </c>
    </row>
    <row r="18" ht="18" customHeight="1">
      <c r="A18" s="118">
        <f>Plano!A15</f>
        <v/>
      </c>
      <c r="B18" s="136">
        <f>IF(Plano!B15="","",Plano!B15)</f>
        <v/>
      </c>
      <c r="C18" s="70">
        <f>IF(B18="","",IFERROR(INDEX(tb_pcm_ativos[descricao_ativo],MATCH(B18,tb_pcm_ativos[tag],0)),"fora do cadastro"))</f>
        <v/>
      </c>
      <c r="D18" s="70">
        <f>IF(Plano!E15="","",Plano!E15)</f>
        <v/>
      </c>
      <c r="E18" s="137">
        <f>IF(Plano!G15="","",Plano!G15)</f>
        <v/>
      </c>
      <c r="F18" s="138">
        <f>IF(OR(NOT(ISNUMBER(F$5)),N(Plano!$G15)=0,N(Plano!$L15)=0),"",IF(Plano!$L15+Plano!$G15*MAX(0,ROUNDUP((F$5-Plano!$L15)/Plano!$G15,0))&lt;=IF(DAY(F$5)&gt;=29,EOMONTH(F$5,0),F$5+6),"●",""))</f>
        <v/>
      </c>
      <c r="G18" s="138">
        <f>IF(OR(NOT(ISNUMBER(G$5)),N(Plano!$G15)=0,N(Plano!$L15)=0),"",IF(Plano!$L15+Plano!$G15*MAX(0,ROUNDUP((G$5-Plano!$L15)/Plano!$G15,0))&lt;=IF(DAY(G$5)&gt;=29,EOMONTH(G$5,0),G$5+6),"●",""))</f>
        <v/>
      </c>
      <c r="H18" s="138">
        <f>IF(OR(NOT(ISNUMBER(H$5)),N(Plano!$G15)=0,N(Plano!$L15)=0),"",IF(Plano!$L15+Plano!$G15*MAX(0,ROUNDUP((H$5-Plano!$L15)/Plano!$G15,0))&lt;=IF(DAY(H$5)&gt;=29,EOMONTH(H$5,0),H$5+6),"●",""))</f>
        <v/>
      </c>
      <c r="I18" s="138">
        <f>IF(OR(NOT(ISNUMBER(I$5)),N(Plano!$G15)=0,N(Plano!$L15)=0),"",IF(Plano!$L15+Plano!$G15*MAX(0,ROUNDUP((I$5-Plano!$L15)/Plano!$G15,0))&lt;=IF(DAY(I$5)&gt;=29,EOMONTH(I$5,0),I$5+6),"●",""))</f>
        <v/>
      </c>
      <c r="J18" s="138">
        <f>IF(OR(NOT(ISNUMBER(J$5)),N(Plano!$G15)=0,N(Plano!$L15)=0),"",IF(Plano!$L15+Plano!$G15*MAX(0,ROUNDUP((J$5-Plano!$L15)/Plano!$G15,0))&lt;=IF(DAY(J$5)&gt;=29,EOMONTH(J$5,0),J$5+6),"●",""))</f>
        <v/>
      </c>
      <c r="K18" s="139">
        <f>IF(OR(NOT(ISNUMBER(K$5)),N(Plano!$G15)=0,N(Plano!$L15)=0),"",IF(Plano!$L15+Plano!$G15*MAX(0,ROUNDUP((K$5-Plano!$L15)/Plano!$G15,0))&lt;=IF(DAY(K$5)&gt;=29,EOMONTH(K$5,0),K$5+6),"●",""))</f>
        <v/>
      </c>
      <c r="L18" s="138">
        <f>IF(OR(NOT(ISNUMBER(L$5)),N(Plano!$G15)=0,N(Plano!$L15)=0),"",IF(Plano!$L15+Plano!$G15*MAX(0,ROUNDUP((L$5-Plano!$L15)/Plano!$G15,0))&lt;=IF(DAY(L$5)&gt;=29,EOMONTH(L$5,0),L$5+6),"●",""))</f>
        <v/>
      </c>
      <c r="M18" s="138">
        <f>IF(OR(NOT(ISNUMBER(M$5)),N(Plano!$G15)=0,N(Plano!$L15)=0),"",IF(Plano!$L15+Plano!$G15*MAX(0,ROUNDUP((M$5-Plano!$L15)/Plano!$G15,0))&lt;=IF(DAY(M$5)&gt;=29,EOMONTH(M$5,0),M$5+6),"●",""))</f>
        <v/>
      </c>
      <c r="N18" s="138">
        <f>IF(OR(NOT(ISNUMBER(N$5)),N(Plano!$G15)=0,N(Plano!$L15)=0),"",IF(Plano!$L15+Plano!$G15*MAX(0,ROUNDUP((N$5-Plano!$L15)/Plano!$G15,0))&lt;=IF(DAY(N$5)&gt;=29,EOMONTH(N$5,0),N$5+6),"●",""))</f>
        <v/>
      </c>
      <c r="O18" s="138">
        <f>IF(OR(NOT(ISNUMBER(O$5)),N(Plano!$G15)=0,N(Plano!$L15)=0),"",IF(Plano!$L15+Plano!$G15*MAX(0,ROUNDUP((O$5-Plano!$L15)/Plano!$G15,0))&lt;=IF(DAY(O$5)&gt;=29,EOMONTH(O$5,0),O$5+6),"●",""))</f>
        <v/>
      </c>
      <c r="P18" s="139">
        <f>IF(OR(NOT(ISNUMBER(P$5)),N(Plano!$G15)=0,N(Plano!$L15)=0),"",IF(Plano!$L15+Plano!$G15*MAX(0,ROUNDUP((P$5-Plano!$L15)/Plano!$G15,0))&lt;=IF(DAY(P$5)&gt;=29,EOMONTH(P$5,0),P$5+6),"●",""))</f>
        <v/>
      </c>
      <c r="Q18" s="138">
        <f>IF(OR(NOT(ISNUMBER(Q$5)),N(Plano!$G15)=0,N(Plano!$L15)=0),"",IF(Plano!$L15+Plano!$G15*MAX(0,ROUNDUP((Q$5-Plano!$L15)/Plano!$G15,0))&lt;=IF(DAY(Q$5)&gt;=29,EOMONTH(Q$5,0),Q$5+6),"●",""))</f>
        <v/>
      </c>
      <c r="R18" s="138">
        <f>IF(OR(NOT(ISNUMBER(R$5)),N(Plano!$G15)=0,N(Plano!$L15)=0),"",IF(Plano!$L15+Plano!$G15*MAX(0,ROUNDUP((R$5-Plano!$L15)/Plano!$G15,0))&lt;=IF(DAY(R$5)&gt;=29,EOMONTH(R$5,0),R$5+6),"●",""))</f>
        <v/>
      </c>
      <c r="S18" s="138">
        <f>IF(OR(NOT(ISNUMBER(S$5)),N(Plano!$G15)=0,N(Plano!$L15)=0),"",IF(Plano!$L15+Plano!$G15*MAX(0,ROUNDUP((S$5-Plano!$L15)/Plano!$G15,0))&lt;=IF(DAY(S$5)&gt;=29,EOMONTH(S$5,0),S$5+6),"●",""))</f>
        <v/>
      </c>
      <c r="T18" s="138">
        <f>IF(OR(NOT(ISNUMBER(T$5)),N(Plano!$G15)=0,N(Plano!$L15)=0),"",IF(Plano!$L15+Plano!$G15*MAX(0,ROUNDUP((T$5-Plano!$L15)/Plano!$G15,0))&lt;=IF(DAY(T$5)&gt;=29,EOMONTH(T$5,0),T$5+6),"●",""))</f>
        <v/>
      </c>
      <c r="U18" s="139">
        <f>IF(OR(NOT(ISNUMBER(U$5)),N(Plano!$G15)=0,N(Plano!$L15)=0),"",IF(Plano!$L15+Plano!$G15*MAX(0,ROUNDUP((U$5-Plano!$L15)/Plano!$G15,0))&lt;=IF(DAY(U$5)&gt;=29,EOMONTH(U$5,0),U$5+6),"●",""))</f>
        <v/>
      </c>
      <c r="V18" s="138">
        <f>IF(OR(NOT(ISNUMBER(V$5)),N(Plano!$G15)=0,N(Plano!$L15)=0),"",IF(Plano!$L15+Plano!$G15*MAX(0,ROUNDUP((V$5-Plano!$L15)/Plano!$G15,0))&lt;=IF(DAY(V$5)&gt;=29,EOMONTH(V$5,0),V$5+6),"●",""))</f>
        <v/>
      </c>
      <c r="W18" s="138">
        <f>IF(OR(NOT(ISNUMBER(W$5)),N(Plano!$G15)=0,N(Plano!$L15)=0),"",IF(Plano!$L15+Plano!$G15*MAX(0,ROUNDUP((W$5-Plano!$L15)/Plano!$G15,0))&lt;=IF(DAY(W$5)&gt;=29,EOMONTH(W$5,0),W$5+6),"●",""))</f>
        <v/>
      </c>
      <c r="X18" s="138">
        <f>IF(OR(NOT(ISNUMBER(X$5)),N(Plano!$G15)=0,N(Plano!$L15)=0),"",IF(Plano!$L15+Plano!$G15*MAX(0,ROUNDUP((X$5-Plano!$L15)/Plano!$G15,0))&lt;=IF(DAY(X$5)&gt;=29,EOMONTH(X$5,0),X$5+6),"●",""))</f>
        <v/>
      </c>
      <c r="Y18" s="138">
        <f>IF(OR(NOT(ISNUMBER(Y$5)),N(Plano!$G15)=0,N(Plano!$L15)=0),"",IF(Plano!$L15+Plano!$G15*MAX(0,ROUNDUP((Y$5-Plano!$L15)/Plano!$G15,0))&lt;=IF(DAY(Y$5)&gt;=29,EOMONTH(Y$5,0),Y$5+6),"●",""))</f>
        <v/>
      </c>
      <c r="Z18" s="139">
        <f>IF(OR(NOT(ISNUMBER(Z$5)),N(Plano!$G15)=0,N(Plano!$L15)=0),"",IF(Plano!$L15+Plano!$G15*MAX(0,ROUNDUP((Z$5-Plano!$L15)/Plano!$G15,0))&lt;=IF(DAY(Z$5)&gt;=29,EOMONTH(Z$5,0),Z$5+6),"●",""))</f>
        <v/>
      </c>
      <c r="AA18" s="138">
        <f>IF(OR(NOT(ISNUMBER(AA$5)),N(Plano!$G15)=0,N(Plano!$L15)=0),"",IF(Plano!$L15+Plano!$G15*MAX(0,ROUNDUP((AA$5-Plano!$L15)/Plano!$G15,0))&lt;=IF(DAY(AA$5)&gt;=29,EOMONTH(AA$5,0),AA$5+6),"●",""))</f>
        <v/>
      </c>
      <c r="AB18" s="138">
        <f>IF(OR(NOT(ISNUMBER(AB$5)),N(Plano!$G15)=0,N(Plano!$L15)=0),"",IF(Plano!$L15+Plano!$G15*MAX(0,ROUNDUP((AB$5-Plano!$L15)/Plano!$G15,0))&lt;=IF(DAY(AB$5)&gt;=29,EOMONTH(AB$5,0),AB$5+6),"●",""))</f>
        <v/>
      </c>
      <c r="AC18" s="138">
        <f>IF(OR(NOT(ISNUMBER(AC$5)),N(Plano!$G15)=0,N(Plano!$L15)=0),"",IF(Plano!$L15+Plano!$G15*MAX(0,ROUNDUP((AC$5-Plano!$L15)/Plano!$G15,0))&lt;=IF(DAY(AC$5)&gt;=29,EOMONTH(AC$5,0),AC$5+6),"●",""))</f>
        <v/>
      </c>
      <c r="AD18" s="138">
        <f>IF(OR(NOT(ISNUMBER(AD$5)),N(Plano!$G15)=0,N(Plano!$L15)=0),"",IF(Plano!$L15+Plano!$G15*MAX(0,ROUNDUP((AD$5-Plano!$L15)/Plano!$G15,0))&lt;=IF(DAY(AD$5)&gt;=29,EOMONTH(AD$5,0),AD$5+6),"●",""))</f>
        <v/>
      </c>
      <c r="AE18" s="139">
        <f>IF(OR(NOT(ISNUMBER(AE$5)),N(Plano!$G15)=0,N(Plano!$L15)=0),"",IF(Plano!$L15+Plano!$G15*MAX(0,ROUNDUP((AE$5-Plano!$L15)/Plano!$G15,0))&lt;=IF(DAY(AE$5)&gt;=29,EOMONTH(AE$5,0),AE$5+6),"●",""))</f>
        <v/>
      </c>
      <c r="AF18" s="138">
        <f>IF(OR(NOT(ISNUMBER(AF$5)),N(Plano!$G15)=0,N(Plano!$L15)=0),"",IF(Plano!$L15+Plano!$G15*MAX(0,ROUNDUP((AF$5-Plano!$L15)/Plano!$G15,0))&lt;=IF(DAY(AF$5)&gt;=29,EOMONTH(AF$5,0),AF$5+6),"●",""))</f>
        <v/>
      </c>
      <c r="AG18" s="138">
        <f>IF(OR(NOT(ISNUMBER(AG$5)),N(Plano!$G15)=0,N(Plano!$L15)=0),"",IF(Plano!$L15+Plano!$G15*MAX(0,ROUNDUP((AG$5-Plano!$L15)/Plano!$G15,0))&lt;=IF(DAY(AG$5)&gt;=29,EOMONTH(AG$5,0),AG$5+6),"●",""))</f>
        <v/>
      </c>
      <c r="AH18" s="138">
        <f>IF(OR(NOT(ISNUMBER(AH$5)),N(Plano!$G15)=0,N(Plano!$L15)=0),"",IF(Plano!$L15+Plano!$G15*MAX(0,ROUNDUP((AH$5-Plano!$L15)/Plano!$G15,0))&lt;=IF(DAY(AH$5)&gt;=29,EOMONTH(AH$5,0),AH$5+6),"●",""))</f>
        <v/>
      </c>
      <c r="AI18" s="138">
        <f>IF(OR(NOT(ISNUMBER(AI$5)),N(Plano!$G15)=0,N(Plano!$L15)=0),"",IF(Plano!$L15+Plano!$G15*MAX(0,ROUNDUP((AI$5-Plano!$L15)/Plano!$G15,0))&lt;=IF(DAY(AI$5)&gt;=29,EOMONTH(AI$5,0),AI$5+6),"●",""))</f>
        <v/>
      </c>
      <c r="AJ18" s="139">
        <f>IF(OR(NOT(ISNUMBER(AJ$5)),N(Plano!$G15)=0,N(Plano!$L15)=0),"",IF(Plano!$L15+Plano!$G15*MAX(0,ROUNDUP((AJ$5-Plano!$L15)/Plano!$G15,0))&lt;=IF(DAY(AJ$5)&gt;=29,EOMONTH(AJ$5,0),AJ$5+6),"●",""))</f>
        <v/>
      </c>
      <c r="AK18" s="138">
        <f>IF(OR(NOT(ISNUMBER(AK$5)),N(Plano!$G15)=0,N(Plano!$L15)=0),"",IF(Plano!$L15+Plano!$G15*MAX(0,ROUNDUP((AK$5-Plano!$L15)/Plano!$G15,0))&lt;=IF(DAY(AK$5)&gt;=29,EOMONTH(AK$5,0),AK$5+6),"●",""))</f>
        <v/>
      </c>
      <c r="AL18" s="138">
        <f>IF(OR(NOT(ISNUMBER(AL$5)),N(Plano!$G15)=0,N(Plano!$L15)=0),"",IF(Plano!$L15+Plano!$G15*MAX(0,ROUNDUP((AL$5-Plano!$L15)/Plano!$G15,0))&lt;=IF(DAY(AL$5)&gt;=29,EOMONTH(AL$5,0),AL$5+6),"●",""))</f>
        <v/>
      </c>
      <c r="AM18" s="138">
        <f>IF(OR(NOT(ISNUMBER(AM$5)),N(Plano!$G15)=0,N(Plano!$L15)=0),"",IF(Plano!$L15+Plano!$G15*MAX(0,ROUNDUP((AM$5-Plano!$L15)/Plano!$G15,0))&lt;=IF(DAY(AM$5)&gt;=29,EOMONTH(AM$5,0),AM$5+6),"●",""))</f>
        <v/>
      </c>
      <c r="AN18" s="138">
        <f>IF(OR(NOT(ISNUMBER(AN$5)),N(Plano!$G15)=0,N(Plano!$L15)=0),"",IF(Plano!$L15+Plano!$G15*MAX(0,ROUNDUP((AN$5-Plano!$L15)/Plano!$G15,0))&lt;=IF(DAY(AN$5)&gt;=29,EOMONTH(AN$5,0),AN$5+6),"●",""))</f>
        <v/>
      </c>
      <c r="AO18" s="139">
        <f>IF(OR(NOT(ISNUMBER(AO$5)),N(Plano!$G15)=0,N(Plano!$L15)=0),"",IF(Plano!$L15+Plano!$G15*MAX(0,ROUNDUP((AO$5-Plano!$L15)/Plano!$G15,0))&lt;=IF(DAY(AO$5)&gt;=29,EOMONTH(AO$5,0),AO$5+6),"●",""))</f>
        <v/>
      </c>
      <c r="AP18" s="138">
        <f>IF(OR(NOT(ISNUMBER(AP$5)),N(Plano!$G15)=0,N(Plano!$L15)=0),"",IF(Plano!$L15+Plano!$G15*MAX(0,ROUNDUP((AP$5-Plano!$L15)/Plano!$G15,0))&lt;=IF(DAY(AP$5)&gt;=29,EOMONTH(AP$5,0),AP$5+6),"●",""))</f>
        <v/>
      </c>
      <c r="AQ18" s="138">
        <f>IF(OR(NOT(ISNUMBER(AQ$5)),N(Plano!$G15)=0,N(Plano!$L15)=0),"",IF(Plano!$L15+Plano!$G15*MAX(0,ROUNDUP((AQ$5-Plano!$L15)/Plano!$G15,0))&lt;=IF(DAY(AQ$5)&gt;=29,EOMONTH(AQ$5,0),AQ$5+6),"●",""))</f>
        <v/>
      </c>
      <c r="AR18" s="138">
        <f>IF(OR(NOT(ISNUMBER(AR$5)),N(Plano!$G15)=0,N(Plano!$L15)=0),"",IF(Plano!$L15+Plano!$G15*MAX(0,ROUNDUP((AR$5-Plano!$L15)/Plano!$G15,0))&lt;=IF(DAY(AR$5)&gt;=29,EOMONTH(AR$5,0),AR$5+6),"●",""))</f>
        <v/>
      </c>
      <c r="AS18" s="138">
        <f>IF(OR(NOT(ISNUMBER(AS$5)),N(Plano!$G15)=0,N(Plano!$L15)=0),"",IF(Plano!$L15+Plano!$G15*MAX(0,ROUNDUP((AS$5-Plano!$L15)/Plano!$G15,0))&lt;=IF(DAY(AS$5)&gt;=29,EOMONTH(AS$5,0),AS$5+6),"●",""))</f>
        <v/>
      </c>
      <c r="AT18" s="139">
        <f>IF(OR(NOT(ISNUMBER(AT$5)),N(Plano!$G15)=0,N(Plano!$L15)=0),"",IF(Plano!$L15+Plano!$G15*MAX(0,ROUNDUP((AT$5-Plano!$L15)/Plano!$G15,0))&lt;=IF(DAY(AT$5)&gt;=29,EOMONTH(AT$5,0),AT$5+6),"●",""))</f>
        <v/>
      </c>
      <c r="AU18" s="138">
        <f>IF(OR(NOT(ISNUMBER(AU$5)),N(Plano!$G15)=0,N(Plano!$L15)=0),"",IF(Plano!$L15+Plano!$G15*MAX(0,ROUNDUP((AU$5-Plano!$L15)/Plano!$G15,0))&lt;=IF(DAY(AU$5)&gt;=29,EOMONTH(AU$5,0),AU$5+6),"●",""))</f>
        <v/>
      </c>
      <c r="AV18" s="138">
        <f>IF(OR(NOT(ISNUMBER(AV$5)),N(Plano!$G15)=0,N(Plano!$L15)=0),"",IF(Plano!$L15+Plano!$G15*MAX(0,ROUNDUP((AV$5-Plano!$L15)/Plano!$G15,0))&lt;=IF(DAY(AV$5)&gt;=29,EOMONTH(AV$5,0),AV$5+6),"●",""))</f>
        <v/>
      </c>
      <c r="AW18" s="138">
        <f>IF(OR(NOT(ISNUMBER(AW$5)),N(Plano!$G15)=0,N(Plano!$L15)=0),"",IF(Plano!$L15+Plano!$G15*MAX(0,ROUNDUP((AW$5-Plano!$L15)/Plano!$G15,0))&lt;=IF(DAY(AW$5)&gt;=29,EOMONTH(AW$5,0),AW$5+6),"●",""))</f>
        <v/>
      </c>
      <c r="AX18" s="138">
        <f>IF(OR(NOT(ISNUMBER(AX$5)),N(Plano!$G15)=0,N(Plano!$L15)=0),"",IF(Plano!$L15+Plano!$G15*MAX(0,ROUNDUP((AX$5-Plano!$L15)/Plano!$G15,0))&lt;=IF(DAY(AX$5)&gt;=29,EOMONTH(AX$5,0),AX$5+6),"●",""))</f>
        <v/>
      </c>
      <c r="AY18" s="139">
        <f>IF(OR(NOT(ISNUMBER(AY$5)),N(Plano!$G15)=0,N(Plano!$L15)=0),"",IF(Plano!$L15+Plano!$G15*MAX(0,ROUNDUP((AY$5-Plano!$L15)/Plano!$G15,0))&lt;=IF(DAY(AY$5)&gt;=29,EOMONTH(AY$5,0),AY$5+6),"●",""))</f>
        <v/>
      </c>
      <c r="AZ18" s="138">
        <f>IF(OR(NOT(ISNUMBER(AZ$5)),N(Plano!$G15)=0,N(Plano!$L15)=0),"",IF(Plano!$L15+Plano!$G15*MAX(0,ROUNDUP((AZ$5-Plano!$L15)/Plano!$G15,0))&lt;=IF(DAY(AZ$5)&gt;=29,EOMONTH(AZ$5,0),AZ$5+6),"●",""))</f>
        <v/>
      </c>
      <c r="BA18" s="138">
        <f>IF(OR(NOT(ISNUMBER(BA$5)),N(Plano!$G15)=0,N(Plano!$L15)=0),"",IF(Plano!$L15+Plano!$G15*MAX(0,ROUNDUP((BA$5-Plano!$L15)/Plano!$G15,0))&lt;=IF(DAY(BA$5)&gt;=29,EOMONTH(BA$5,0),BA$5+6),"●",""))</f>
        <v/>
      </c>
      <c r="BB18" s="138">
        <f>IF(OR(NOT(ISNUMBER(BB$5)),N(Plano!$G15)=0,N(Plano!$L15)=0),"",IF(Plano!$L15+Plano!$G15*MAX(0,ROUNDUP((BB$5-Plano!$L15)/Plano!$G15,0))&lt;=IF(DAY(BB$5)&gt;=29,EOMONTH(BB$5,0),BB$5+6),"●",""))</f>
        <v/>
      </c>
      <c r="BC18" s="138">
        <f>IF(OR(NOT(ISNUMBER(BC$5)),N(Plano!$G15)=0,N(Plano!$L15)=0),"",IF(Plano!$L15+Plano!$G15*MAX(0,ROUNDUP((BC$5-Plano!$L15)/Plano!$G15,0))&lt;=IF(DAY(BC$5)&gt;=29,EOMONTH(BC$5,0),BC$5+6),"●",""))</f>
        <v/>
      </c>
      <c r="BD18" s="139">
        <f>IF(OR(NOT(ISNUMBER(BD$5)),N(Plano!$G15)=0,N(Plano!$L15)=0),"",IF(Plano!$L15+Plano!$G15*MAX(0,ROUNDUP((BD$5-Plano!$L15)/Plano!$G15,0))&lt;=IF(DAY(BD$5)&gt;=29,EOMONTH(BD$5,0),BD$5+6),"●",""))</f>
        <v/>
      </c>
      <c r="BE18" s="138">
        <f>IF(OR(NOT(ISNUMBER(BE$5)),N(Plano!$G15)=0,N(Plano!$L15)=0),"",IF(Plano!$L15+Plano!$G15*MAX(0,ROUNDUP((BE$5-Plano!$L15)/Plano!$G15,0))&lt;=IF(DAY(BE$5)&gt;=29,EOMONTH(BE$5,0),BE$5+6),"●",""))</f>
        <v/>
      </c>
      <c r="BF18" s="138">
        <f>IF(OR(NOT(ISNUMBER(BF$5)),N(Plano!$G15)=0,N(Plano!$L15)=0),"",IF(Plano!$L15+Plano!$G15*MAX(0,ROUNDUP((BF$5-Plano!$L15)/Plano!$G15,0))&lt;=IF(DAY(BF$5)&gt;=29,EOMONTH(BF$5,0),BF$5+6),"●",""))</f>
        <v/>
      </c>
      <c r="BG18" s="138">
        <f>IF(OR(NOT(ISNUMBER(BG$5)),N(Plano!$G15)=0,N(Plano!$L15)=0),"",IF(Plano!$L15+Plano!$G15*MAX(0,ROUNDUP((BG$5-Plano!$L15)/Plano!$G15,0))&lt;=IF(DAY(BG$5)&gt;=29,EOMONTH(BG$5,0),BG$5+6),"●",""))</f>
        <v/>
      </c>
      <c r="BH18" s="138">
        <f>IF(OR(NOT(ISNUMBER(BH$5)),N(Plano!$G15)=0,N(Plano!$L15)=0),"",IF(Plano!$L15+Plano!$G15*MAX(0,ROUNDUP((BH$5-Plano!$L15)/Plano!$G15,0))&lt;=IF(DAY(BH$5)&gt;=29,EOMONTH(BH$5,0),BH$5+6),"●",""))</f>
        <v/>
      </c>
      <c r="BI18" s="139">
        <f>IF(OR(NOT(ISNUMBER(BI$5)),N(Plano!$G15)=0,N(Plano!$L15)=0),"",IF(Plano!$L15+Plano!$G15*MAX(0,ROUNDUP((BI$5-Plano!$L15)/Plano!$G15,0))&lt;=IF(DAY(BI$5)&gt;=29,EOMONTH(BI$5,0),BI$5+6),"●",""))</f>
        <v/>
      </c>
      <c r="BJ18" s="138">
        <f>IF(OR(NOT(ISNUMBER(BJ$5)),N(Plano!$G15)=0,N(Plano!$L15)=0),"",IF(Plano!$L15+Plano!$G15*MAX(0,ROUNDUP((BJ$5-Plano!$L15)/Plano!$G15,0))&lt;=IF(DAY(BJ$5)&gt;=29,EOMONTH(BJ$5,0),BJ$5+6),"●",""))</f>
        <v/>
      </c>
      <c r="BK18" s="138">
        <f>IF(OR(NOT(ISNUMBER(BK$5)),N(Plano!$G15)=0,N(Plano!$L15)=0),"",IF(Plano!$L15+Plano!$G15*MAX(0,ROUNDUP((BK$5-Plano!$L15)/Plano!$G15,0))&lt;=IF(DAY(BK$5)&gt;=29,EOMONTH(BK$5,0),BK$5+6),"●",""))</f>
        <v/>
      </c>
      <c r="BL18" s="138">
        <f>IF(OR(NOT(ISNUMBER(BL$5)),N(Plano!$G15)=0,N(Plano!$L15)=0),"",IF(Plano!$L15+Plano!$G15*MAX(0,ROUNDUP((BL$5-Plano!$L15)/Plano!$G15,0))&lt;=IF(DAY(BL$5)&gt;=29,EOMONTH(BL$5,0),BL$5+6),"●",""))</f>
        <v/>
      </c>
      <c r="BM18" s="140">
        <f>IF(OR(NOT(ISNUMBER(BM$5)),N(Plano!$G15)=0,N(Plano!$L15)=0),"",IF(Plano!$L15+Plano!$G15*MAX(0,ROUNDUP((BM$5-Plano!$L15)/Plano!$G15,0))&lt;=IF(DAY(BM$5)&gt;=29,EOMONTH(BM$5,0),BM$5+6),"●",""))</f>
        <v/>
      </c>
    </row>
    <row r="19" ht="18" customHeight="1">
      <c r="A19" s="118">
        <f>Plano!A16</f>
        <v/>
      </c>
      <c r="B19" s="136">
        <f>IF(Plano!B16="","",Plano!B16)</f>
        <v/>
      </c>
      <c r="C19" s="70">
        <f>IF(B19="","",IFERROR(INDEX(tb_pcm_ativos[descricao_ativo],MATCH(B19,tb_pcm_ativos[tag],0)),"fora do cadastro"))</f>
        <v/>
      </c>
      <c r="D19" s="70">
        <f>IF(Plano!E16="","",Plano!E16)</f>
        <v/>
      </c>
      <c r="E19" s="137">
        <f>IF(Plano!G16="","",Plano!G16)</f>
        <v/>
      </c>
      <c r="F19" s="138">
        <f>IF(OR(NOT(ISNUMBER(F$5)),N(Plano!$G16)=0,N(Plano!$L16)=0),"",IF(Plano!$L16+Plano!$G16*MAX(0,ROUNDUP((F$5-Plano!$L16)/Plano!$G16,0))&lt;=IF(DAY(F$5)&gt;=29,EOMONTH(F$5,0),F$5+6),"●",""))</f>
        <v/>
      </c>
      <c r="G19" s="138">
        <f>IF(OR(NOT(ISNUMBER(G$5)),N(Plano!$G16)=0,N(Plano!$L16)=0),"",IF(Plano!$L16+Plano!$G16*MAX(0,ROUNDUP((G$5-Plano!$L16)/Plano!$G16,0))&lt;=IF(DAY(G$5)&gt;=29,EOMONTH(G$5,0),G$5+6),"●",""))</f>
        <v/>
      </c>
      <c r="H19" s="138">
        <f>IF(OR(NOT(ISNUMBER(H$5)),N(Plano!$G16)=0,N(Plano!$L16)=0),"",IF(Plano!$L16+Plano!$G16*MAX(0,ROUNDUP((H$5-Plano!$L16)/Plano!$G16,0))&lt;=IF(DAY(H$5)&gt;=29,EOMONTH(H$5,0),H$5+6),"●",""))</f>
        <v/>
      </c>
      <c r="I19" s="138">
        <f>IF(OR(NOT(ISNUMBER(I$5)),N(Plano!$G16)=0,N(Plano!$L16)=0),"",IF(Plano!$L16+Plano!$G16*MAX(0,ROUNDUP((I$5-Plano!$L16)/Plano!$G16,0))&lt;=IF(DAY(I$5)&gt;=29,EOMONTH(I$5,0),I$5+6),"●",""))</f>
        <v/>
      </c>
      <c r="J19" s="138">
        <f>IF(OR(NOT(ISNUMBER(J$5)),N(Plano!$G16)=0,N(Plano!$L16)=0),"",IF(Plano!$L16+Plano!$G16*MAX(0,ROUNDUP((J$5-Plano!$L16)/Plano!$G16,0))&lt;=IF(DAY(J$5)&gt;=29,EOMONTH(J$5,0),J$5+6),"●",""))</f>
        <v/>
      </c>
      <c r="K19" s="139">
        <f>IF(OR(NOT(ISNUMBER(K$5)),N(Plano!$G16)=0,N(Plano!$L16)=0),"",IF(Plano!$L16+Plano!$G16*MAX(0,ROUNDUP((K$5-Plano!$L16)/Plano!$G16,0))&lt;=IF(DAY(K$5)&gt;=29,EOMONTH(K$5,0),K$5+6),"●",""))</f>
        <v/>
      </c>
      <c r="L19" s="138">
        <f>IF(OR(NOT(ISNUMBER(L$5)),N(Plano!$G16)=0,N(Plano!$L16)=0),"",IF(Plano!$L16+Plano!$G16*MAX(0,ROUNDUP((L$5-Plano!$L16)/Plano!$G16,0))&lt;=IF(DAY(L$5)&gt;=29,EOMONTH(L$5,0),L$5+6),"●",""))</f>
        <v/>
      </c>
      <c r="M19" s="138">
        <f>IF(OR(NOT(ISNUMBER(M$5)),N(Plano!$G16)=0,N(Plano!$L16)=0),"",IF(Plano!$L16+Plano!$G16*MAX(0,ROUNDUP((M$5-Plano!$L16)/Plano!$G16,0))&lt;=IF(DAY(M$5)&gt;=29,EOMONTH(M$5,0),M$5+6),"●",""))</f>
        <v/>
      </c>
      <c r="N19" s="138">
        <f>IF(OR(NOT(ISNUMBER(N$5)),N(Plano!$G16)=0,N(Plano!$L16)=0),"",IF(Plano!$L16+Plano!$G16*MAX(0,ROUNDUP((N$5-Plano!$L16)/Plano!$G16,0))&lt;=IF(DAY(N$5)&gt;=29,EOMONTH(N$5,0),N$5+6),"●",""))</f>
        <v/>
      </c>
      <c r="O19" s="138">
        <f>IF(OR(NOT(ISNUMBER(O$5)),N(Plano!$G16)=0,N(Plano!$L16)=0),"",IF(Plano!$L16+Plano!$G16*MAX(0,ROUNDUP((O$5-Plano!$L16)/Plano!$G16,0))&lt;=IF(DAY(O$5)&gt;=29,EOMONTH(O$5,0),O$5+6),"●",""))</f>
        <v/>
      </c>
      <c r="P19" s="139">
        <f>IF(OR(NOT(ISNUMBER(P$5)),N(Plano!$G16)=0,N(Plano!$L16)=0),"",IF(Plano!$L16+Plano!$G16*MAX(0,ROUNDUP((P$5-Plano!$L16)/Plano!$G16,0))&lt;=IF(DAY(P$5)&gt;=29,EOMONTH(P$5,0),P$5+6),"●",""))</f>
        <v/>
      </c>
      <c r="Q19" s="138">
        <f>IF(OR(NOT(ISNUMBER(Q$5)),N(Plano!$G16)=0,N(Plano!$L16)=0),"",IF(Plano!$L16+Plano!$G16*MAX(0,ROUNDUP((Q$5-Plano!$L16)/Plano!$G16,0))&lt;=IF(DAY(Q$5)&gt;=29,EOMONTH(Q$5,0),Q$5+6),"●",""))</f>
        <v/>
      </c>
      <c r="R19" s="138">
        <f>IF(OR(NOT(ISNUMBER(R$5)),N(Plano!$G16)=0,N(Plano!$L16)=0),"",IF(Plano!$L16+Plano!$G16*MAX(0,ROUNDUP((R$5-Plano!$L16)/Plano!$G16,0))&lt;=IF(DAY(R$5)&gt;=29,EOMONTH(R$5,0),R$5+6),"●",""))</f>
        <v/>
      </c>
      <c r="S19" s="138">
        <f>IF(OR(NOT(ISNUMBER(S$5)),N(Plano!$G16)=0,N(Plano!$L16)=0),"",IF(Plano!$L16+Plano!$G16*MAX(0,ROUNDUP((S$5-Plano!$L16)/Plano!$G16,0))&lt;=IF(DAY(S$5)&gt;=29,EOMONTH(S$5,0),S$5+6),"●",""))</f>
        <v/>
      </c>
      <c r="T19" s="138">
        <f>IF(OR(NOT(ISNUMBER(T$5)),N(Plano!$G16)=0,N(Plano!$L16)=0),"",IF(Plano!$L16+Plano!$G16*MAX(0,ROUNDUP((T$5-Plano!$L16)/Plano!$G16,0))&lt;=IF(DAY(T$5)&gt;=29,EOMONTH(T$5,0),T$5+6),"●",""))</f>
        <v/>
      </c>
      <c r="U19" s="139">
        <f>IF(OR(NOT(ISNUMBER(U$5)),N(Plano!$G16)=0,N(Plano!$L16)=0),"",IF(Plano!$L16+Plano!$G16*MAX(0,ROUNDUP((U$5-Plano!$L16)/Plano!$G16,0))&lt;=IF(DAY(U$5)&gt;=29,EOMONTH(U$5,0),U$5+6),"●",""))</f>
        <v/>
      </c>
      <c r="V19" s="138">
        <f>IF(OR(NOT(ISNUMBER(V$5)),N(Plano!$G16)=0,N(Plano!$L16)=0),"",IF(Plano!$L16+Plano!$G16*MAX(0,ROUNDUP((V$5-Plano!$L16)/Plano!$G16,0))&lt;=IF(DAY(V$5)&gt;=29,EOMONTH(V$5,0),V$5+6),"●",""))</f>
        <v/>
      </c>
      <c r="W19" s="138">
        <f>IF(OR(NOT(ISNUMBER(W$5)),N(Plano!$G16)=0,N(Plano!$L16)=0),"",IF(Plano!$L16+Plano!$G16*MAX(0,ROUNDUP((W$5-Plano!$L16)/Plano!$G16,0))&lt;=IF(DAY(W$5)&gt;=29,EOMONTH(W$5,0),W$5+6),"●",""))</f>
        <v/>
      </c>
      <c r="X19" s="138">
        <f>IF(OR(NOT(ISNUMBER(X$5)),N(Plano!$G16)=0,N(Plano!$L16)=0),"",IF(Plano!$L16+Plano!$G16*MAX(0,ROUNDUP((X$5-Plano!$L16)/Plano!$G16,0))&lt;=IF(DAY(X$5)&gt;=29,EOMONTH(X$5,0),X$5+6),"●",""))</f>
        <v/>
      </c>
      <c r="Y19" s="138">
        <f>IF(OR(NOT(ISNUMBER(Y$5)),N(Plano!$G16)=0,N(Plano!$L16)=0),"",IF(Plano!$L16+Plano!$G16*MAX(0,ROUNDUP((Y$5-Plano!$L16)/Plano!$G16,0))&lt;=IF(DAY(Y$5)&gt;=29,EOMONTH(Y$5,0),Y$5+6),"●",""))</f>
        <v/>
      </c>
      <c r="Z19" s="139">
        <f>IF(OR(NOT(ISNUMBER(Z$5)),N(Plano!$G16)=0,N(Plano!$L16)=0),"",IF(Plano!$L16+Plano!$G16*MAX(0,ROUNDUP((Z$5-Plano!$L16)/Plano!$G16,0))&lt;=IF(DAY(Z$5)&gt;=29,EOMONTH(Z$5,0),Z$5+6),"●",""))</f>
        <v/>
      </c>
      <c r="AA19" s="138">
        <f>IF(OR(NOT(ISNUMBER(AA$5)),N(Plano!$G16)=0,N(Plano!$L16)=0),"",IF(Plano!$L16+Plano!$G16*MAX(0,ROUNDUP((AA$5-Plano!$L16)/Plano!$G16,0))&lt;=IF(DAY(AA$5)&gt;=29,EOMONTH(AA$5,0),AA$5+6),"●",""))</f>
        <v/>
      </c>
      <c r="AB19" s="138">
        <f>IF(OR(NOT(ISNUMBER(AB$5)),N(Plano!$G16)=0,N(Plano!$L16)=0),"",IF(Plano!$L16+Plano!$G16*MAX(0,ROUNDUP((AB$5-Plano!$L16)/Plano!$G16,0))&lt;=IF(DAY(AB$5)&gt;=29,EOMONTH(AB$5,0),AB$5+6),"●",""))</f>
        <v/>
      </c>
      <c r="AC19" s="138">
        <f>IF(OR(NOT(ISNUMBER(AC$5)),N(Plano!$G16)=0,N(Plano!$L16)=0),"",IF(Plano!$L16+Plano!$G16*MAX(0,ROUNDUP((AC$5-Plano!$L16)/Plano!$G16,0))&lt;=IF(DAY(AC$5)&gt;=29,EOMONTH(AC$5,0),AC$5+6),"●",""))</f>
        <v/>
      </c>
      <c r="AD19" s="138">
        <f>IF(OR(NOT(ISNUMBER(AD$5)),N(Plano!$G16)=0,N(Plano!$L16)=0),"",IF(Plano!$L16+Plano!$G16*MAX(0,ROUNDUP((AD$5-Plano!$L16)/Plano!$G16,0))&lt;=IF(DAY(AD$5)&gt;=29,EOMONTH(AD$5,0),AD$5+6),"●",""))</f>
        <v/>
      </c>
      <c r="AE19" s="139">
        <f>IF(OR(NOT(ISNUMBER(AE$5)),N(Plano!$G16)=0,N(Plano!$L16)=0),"",IF(Plano!$L16+Plano!$G16*MAX(0,ROUNDUP((AE$5-Plano!$L16)/Plano!$G16,0))&lt;=IF(DAY(AE$5)&gt;=29,EOMONTH(AE$5,0),AE$5+6),"●",""))</f>
        <v/>
      </c>
      <c r="AF19" s="138">
        <f>IF(OR(NOT(ISNUMBER(AF$5)),N(Plano!$G16)=0,N(Plano!$L16)=0),"",IF(Plano!$L16+Plano!$G16*MAX(0,ROUNDUP((AF$5-Plano!$L16)/Plano!$G16,0))&lt;=IF(DAY(AF$5)&gt;=29,EOMONTH(AF$5,0),AF$5+6),"●",""))</f>
        <v/>
      </c>
      <c r="AG19" s="138">
        <f>IF(OR(NOT(ISNUMBER(AG$5)),N(Plano!$G16)=0,N(Plano!$L16)=0),"",IF(Plano!$L16+Plano!$G16*MAX(0,ROUNDUP((AG$5-Plano!$L16)/Plano!$G16,0))&lt;=IF(DAY(AG$5)&gt;=29,EOMONTH(AG$5,0),AG$5+6),"●",""))</f>
        <v/>
      </c>
      <c r="AH19" s="138">
        <f>IF(OR(NOT(ISNUMBER(AH$5)),N(Plano!$G16)=0,N(Plano!$L16)=0),"",IF(Plano!$L16+Plano!$G16*MAX(0,ROUNDUP((AH$5-Plano!$L16)/Plano!$G16,0))&lt;=IF(DAY(AH$5)&gt;=29,EOMONTH(AH$5,0),AH$5+6),"●",""))</f>
        <v/>
      </c>
      <c r="AI19" s="138">
        <f>IF(OR(NOT(ISNUMBER(AI$5)),N(Plano!$G16)=0,N(Plano!$L16)=0),"",IF(Plano!$L16+Plano!$G16*MAX(0,ROUNDUP((AI$5-Plano!$L16)/Plano!$G16,0))&lt;=IF(DAY(AI$5)&gt;=29,EOMONTH(AI$5,0),AI$5+6),"●",""))</f>
        <v/>
      </c>
      <c r="AJ19" s="139">
        <f>IF(OR(NOT(ISNUMBER(AJ$5)),N(Plano!$G16)=0,N(Plano!$L16)=0),"",IF(Plano!$L16+Plano!$G16*MAX(0,ROUNDUP((AJ$5-Plano!$L16)/Plano!$G16,0))&lt;=IF(DAY(AJ$5)&gt;=29,EOMONTH(AJ$5,0),AJ$5+6),"●",""))</f>
        <v/>
      </c>
      <c r="AK19" s="138">
        <f>IF(OR(NOT(ISNUMBER(AK$5)),N(Plano!$G16)=0,N(Plano!$L16)=0),"",IF(Plano!$L16+Plano!$G16*MAX(0,ROUNDUP((AK$5-Plano!$L16)/Plano!$G16,0))&lt;=IF(DAY(AK$5)&gt;=29,EOMONTH(AK$5,0),AK$5+6),"●",""))</f>
        <v/>
      </c>
      <c r="AL19" s="138">
        <f>IF(OR(NOT(ISNUMBER(AL$5)),N(Plano!$G16)=0,N(Plano!$L16)=0),"",IF(Plano!$L16+Plano!$G16*MAX(0,ROUNDUP((AL$5-Plano!$L16)/Plano!$G16,0))&lt;=IF(DAY(AL$5)&gt;=29,EOMONTH(AL$5,0),AL$5+6),"●",""))</f>
        <v/>
      </c>
      <c r="AM19" s="138">
        <f>IF(OR(NOT(ISNUMBER(AM$5)),N(Plano!$G16)=0,N(Plano!$L16)=0),"",IF(Plano!$L16+Plano!$G16*MAX(0,ROUNDUP((AM$5-Plano!$L16)/Plano!$G16,0))&lt;=IF(DAY(AM$5)&gt;=29,EOMONTH(AM$5,0),AM$5+6),"●",""))</f>
        <v/>
      </c>
      <c r="AN19" s="138">
        <f>IF(OR(NOT(ISNUMBER(AN$5)),N(Plano!$G16)=0,N(Plano!$L16)=0),"",IF(Plano!$L16+Plano!$G16*MAX(0,ROUNDUP((AN$5-Plano!$L16)/Plano!$G16,0))&lt;=IF(DAY(AN$5)&gt;=29,EOMONTH(AN$5,0),AN$5+6),"●",""))</f>
        <v/>
      </c>
      <c r="AO19" s="139">
        <f>IF(OR(NOT(ISNUMBER(AO$5)),N(Plano!$G16)=0,N(Plano!$L16)=0),"",IF(Plano!$L16+Plano!$G16*MAX(0,ROUNDUP((AO$5-Plano!$L16)/Plano!$G16,0))&lt;=IF(DAY(AO$5)&gt;=29,EOMONTH(AO$5,0),AO$5+6),"●",""))</f>
        <v/>
      </c>
      <c r="AP19" s="138">
        <f>IF(OR(NOT(ISNUMBER(AP$5)),N(Plano!$G16)=0,N(Plano!$L16)=0),"",IF(Plano!$L16+Plano!$G16*MAX(0,ROUNDUP((AP$5-Plano!$L16)/Plano!$G16,0))&lt;=IF(DAY(AP$5)&gt;=29,EOMONTH(AP$5,0),AP$5+6),"●",""))</f>
        <v/>
      </c>
      <c r="AQ19" s="138">
        <f>IF(OR(NOT(ISNUMBER(AQ$5)),N(Plano!$G16)=0,N(Plano!$L16)=0),"",IF(Plano!$L16+Plano!$G16*MAX(0,ROUNDUP((AQ$5-Plano!$L16)/Plano!$G16,0))&lt;=IF(DAY(AQ$5)&gt;=29,EOMONTH(AQ$5,0),AQ$5+6),"●",""))</f>
        <v/>
      </c>
      <c r="AR19" s="138">
        <f>IF(OR(NOT(ISNUMBER(AR$5)),N(Plano!$G16)=0,N(Plano!$L16)=0),"",IF(Plano!$L16+Plano!$G16*MAX(0,ROUNDUP((AR$5-Plano!$L16)/Plano!$G16,0))&lt;=IF(DAY(AR$5)&gt;=29,EOMONTH(AR$5,0),AR$5+6),"●",""))</f>
        <v/>
      </c>
      <c r="AS19" s="138">
        <f>IF(OR(NOT(ISNUMBER(AS$5)),N(Plano!$G16)=0,N(Plano!$L16)=0),"",IF(Plano!$L16+Plano!$G16*MAX(0,ROUNDUP((AS$5-Plano!$L16)/Plano!$G16,0))&lt;=IF(DAY(AS$5)&gt;=29,EOMONTH(AS$5,0),AS$5+6),"●",""))</f>
        <v/>
      </c>
      <c r="AT19" s="139">
        <f>IF(OR(NOT(ISNUMBER(AT$5)),N(Plano!$G16)=0,N(Plano!$L16)=0),"",IF(Plano!$L16+Plano!$G16*MAX(0,ROUNDUP((AT$5-Plano!$L16)/Plano!$G16,0))&lt;=IF(DAY(AT$5)&gt;=29,EOMONTH(AT$5,0),AT$5+6),"●",""))</f>
        <v/>
      </c>
      <c r="AU19" s="138">
        <f>IF(OR(NOT(ISNUMBER(AU$5)),N(Plano!$G16)=0,N(Plano!$L16)=0),"",IF(Plano!$L16+Plano!$G16*MAX(0,ROUNDUP((AU$5-Plano!$L16)/Plano!$G16,0))&lt;=IF(DAY(AU$5)&gt;=29,EOMONTH(AU$5,0),AU$5+6),"●",""))</f>
        <v/>
      </c>
      <c r="AV19" s="138">
        <f>IF(OR(NOT(ISNUMBER(AV$5)),N(Plano!$G16)=0,N(Plano!$L16)=0),"",IF(Plano!$L16+Plano!$G16*MAX(0,ROUNDUP((AV$5-Plano!$L16)/Plano!$G16,0))&lt;=IF(DAY(AV$5)&gt;=29,EOMONTH(AV$5,0),AV$5+6),"●",""))</f>
        <v/>
      </c>
      <c r="AW19" s="138">
        <f>IF(OR(NOT(ISNUMBER(AW$5)),N(Plano!$G16)=0,N(Plano!$L16)=0),"",IF(Plano!$L16+Plano!$G16*MAX(0,ROUNDUP((AW$5-Plano!$L16)/Plano!$G16,0))&lt;=IF(DAY(AW$5)&gt;=29,EOMONTH(AW$5,0),AW$5+6),"●",""))</f>
        <v/>
      </c>
      <c r="AX19" s="138">
        <f>IF(OR(NOT(ISNUMBER(AX$5)),N(Plano!$G16)=0,N(Plano!$L16)=0),"",IF(Plano!$L16+Plano!$G16*MAX(0,ROUNDUP((AX$5-Plano!$L16)/Plano!$G16,0))&lt;=IF(DAY(AX$5)&gt;=29,EOMONTH(AX$5,0),AX$5+6),"●",""))</f>
        <v/>
      </c>
      <c r="AY19" s="139">
        <f>IF(OR(NOT(ISNUMBER(AY$5)),N(Plano!$G16)=0,N(Plano!$L16)=0),"",IF(Plano!$L16+Plano!$G16*MAX(0,ROUNDUP((AY$5-Plano!$L16)/Plano!$G16,0))&lt;=IF(DAY(AY$5)&gt;=29,EOMONTH(AY$5,0),AY$5+6),"●",""))</f>
        <v/>
      </c>
      <c r="AZ19" s="138">
        <f>IF(OR(NOT(ISNUMBER(AZ$5)),N(Plano!$G16)=0,N(Plano!$L16)=0),"",IF(Plano!$L16+Plano!$G16*MAX(0,ROUNDUP((AZ$5-Plano!$L16)/Plano!$G16,0))&lt;=IF(DAY(AZ$5)&gt;=29,EOMONTH(AZ$5,0),AZ$5+6),"●",""))</f>
        <v/>
      </c>
      <c r="BA19" s="138">
        <f>IF(OR(NOT(ISNUMBER(BA$5)),N(Plano!$G16)=0,N(Plano!$L16)=0),"",IF(Plano!$L16+Plano!$G16*MAX(0,ROUNDUP((BA$5-Plano!$L16)/Plano!$G16,0))&lt;=IF(DAY(BA$5)&gt;=29,EOMONTH(BA$5,0),BA$5+6),"●",""))</f>
        <v/>
      </c>
      <c r="BB19" s="138">
        <f>IF(OR(NOT(ISNUMBER(BB$5)),N(Plano!$G16)=0,N(Plano!$L16)=0),"",IF(Plano!$L16+Plano!$G16*MAX(0,ROUNDUP((BB$5-Plano!$L16)/Plano!$G16,0))&lt;=IF(DAY(BB$5)&gt;=29,EOMONTH(BB$5,0),BB$5+6),"●",""))</f>
        <v/>
      </c>
      <c r="BC19" s="138">
        <f>IF(OR(NOT(ISNUMBER(BC$5)),N(Plano!$G16)=0,N(Plano!$L16)=0),"",IF(Plano!$L16+Plano!$G16*MAX(0,ROUNDUP((BC$5-Plano!$L16)/Plano!$G16,0))&lt;=IF(DAY(BC$5)&gt;=29,EOMONTH(BC$5,0),BC$5+6),"●",""))</f>
        <v/>
      </c>
      <c r="BD19" s="139">
        <f>IF(OR(NOT(ISNUMBER(BD$5)),N(Plano!$G16)=0,N(Plano!$L16)=0),"",IF(Plano!$L16+Plano!$G16*MAX(0,ROUNDUP((BD$5-Plano!$L16)/Plano!$G16,0))&lt;=IF(DAY(BD$5)&gt;=29,EOMONTH(BD$5,0),BD$5+6),"●",""))</f>
        <v/>
      </c>
      <c r="BE19" s="138">
        <f>IF(OR(NOT(ISNUMBER(BE$5)),N(Plano!$G16)=0,N(Plano!$L16)=0),"",IF(Plano!$L16+Plano!$G16*MAX(0,ROUNDUP((BE$5-Plano!$L16)/Plano!$G16,0))&lt;=IF(DAY(BE$5)&gt;=29,EOMONTH(BE$5,0),BE$5+6),"●",""))</f>
        <v/>
      </c>
      <c r="BF19" s="138">
        <f>IF(OR(NOT(ISNUMBER(BF$5)),N(Plano!$G16)=0,N(Plano!$L16)=0),"",IF(Plano!$L16+Plano!$G16*MAX(0,ROUNDUP((BF$5-Plano!$L16)/Plano!$G16,0))&lt;=IF(DAY(BF$5)&gt;=29,EOMONTH(BF$5,0),BF$5+6),"●",""))</f>
        <v/>
      </c>
      <c r="BG19" s="138">
        <f>IF(OR(NOT(ISNUMBER(BG$5)),N(Plano!$G16)=0,N(Plano!$L16)=0),"",IF(Plano!$L16+Plano!$G16*MAX(0,ROUNDUP((BG$5-Plano!$L16)/Plano!$G16,0))&lt;=IF(DAY(BG$5)&gt;=29,EOMONTH(BG$5,0),BG$5+6),"●",""))</f>
        <v/>
      </c>
      <c r="BH19" s="138">
        <f>IF(OR(NOT(ISNUMBER(BH$5)),N(Plano!$G16)=0,N(Plano!$L16)=0),"",IF(Plano!$L16+Plano!$G16*MAX(0,ROUNDUP((BH$5-Plano!$L16)/Plano!$G16,0))&lt;=IF(DAY(BH$5)&gt;=29,EOMONTH(BH$5,0),BH$5+6),"●",""))</f>
        <v/>
      </c>
      <c r="BI19" s="139">
        <f>IF(OR(NOT(ISNUMBER(BI$5)),N(Plano!$G16)=0,N(Plano!$L16)=0),"",IF(Plano!$L16+Plano!$G16*MAX(0,ROUNDUP((BI$5-Plano!$L16)/Plano!$G16,0))&lt;=IF(DAY(BI$5)&gt;=29,EOMONTH(BI$5,0),BI$5+6),"●",""))</f>
        <v/>
      </c>
      <c r="BJ19" s="138">
        <f>IF(OR(NOT(ISNUMBER(BJ$5)),N(Plano!$G16)=0,N(Plano!$L16)=0),"",IF(Plano!$L16+Plano!$G16*MAX(0,ROUNDUP((BJ$5-Plano!$L16)/Plano!$G16,0))&lt;=IF(DAY(BJ$5)&gt;=29,EOMONTH(BJ$5,0),BJ$5+6),"●",""))</f>
        <v/>
      </c>
      <c r="BK19" s="138">
        <f>IF(OR(NOT(ISNUMBER(BK$5)),N(Plano!$G16)=0,N(Plano!$L16)=0),"",IF(Plano!$L16+Plano!$G16*MAX(0,ROUNDUP((BK$5-Plano!$L16)/Plano!$G16,0))&lt;=IF(DAY(BK$5)&gt;=29,EOMONTH(BK$5,0),BK$5+6),"●",""))</f>
        <v/>
      </c>
      <c r="BL19" s="138">
        <f>IF(OR(NOT(ISNUMBER(BL$5)),N(Plano!$G16)=0,N(Plano!$L16)=0),"",IF(Plano!$L16+Plano!$G16*MAX(0,ROUNDUP((BL$5-Plano!$L16)/Plano!$G16,0))&lt;=IF(DAY(BL$5)&gt;=29,EOMONTH(BL$5,0),BL$5+6),"●",""))</f>
        <v/>
      </c>
      <c r="BM19" s="140">
        <f>IF(OR(NOT(ISNUMBER(BM$5)),N(Plano!$G16)=0,N(Plano!$L16)=0),"",IF(Plano!$L16+Plano!$G16*MAX(0,ROUNDUP((BM$5-Plano!$L16)/Plano!$G16,0))&lt;=IF(DAY(BM$5)&gt;=29,EOMONTH(BM$5,0),BM$5+6),"●",""))</f>
        <v/>
      </c>
    </row>
    <row r="20" ht="18" customHeight="1">
      <c r="A20" s="118">
        <f>Plano!A17</f>
        <v/>
      </c>
      <c r="B20" s="136">
        <f>IF(Plano!B17="","",Plano!B17)</f>
        <v/>
      </c>
      <c r="C20" s="70">
        <f>IF(B20="","",IFERROR(INDEX(tb_pcm_ativos[descricao_ativo],MATCH(B20,tb_pcm_ativos[tag],0)),"fora do cadastro"))</f>
        <v/>
      </c>
      <c r="D20" s="70">
        <f>IF(Plano!E17="","",Plano!E17)</f>
        <v/>
      </c>
      <c r="E20" s="137">
        <f>IF(Plano!G17="","",Plano!G17)</f>
        <v/>
      </c>
      <c r="F20" s="138">
        <f>IF(OR(NOT(ISNUMBER(F$5)),N(Plano!$G17)=0,N(Plano!$L17)=0),"",IF(Plano!$L17+Plano!$G17*MAX(0,ROUNDUP((F$5-Plano!$L17)/Plano!$G17,0))&lt;=IF(DAY(F$5)&gt;=29,EOMONTH(F$5,0),F$5+6),"●",""))</f>
        <v/>
      </c>
      <c r="G20" s="138">
        <f>IF(OR(NOT(ISNUMBER(G$5)),N(Plano!$G17)=0,N(Plano!$L17)=0),"",IF(Plano!$L17+Plano!$G17*MAX(0,ROUNDUP((G$5-Plano!$L17)/Plano!$G17,0))&lt;=IF(DAY(G$5)&gt;=29,EOMONTH(G$5,0),G$5+6),"●",""))</f>
        <v/>
      </c>
      <c r="H20" s="138">
        <f>IF(OR(NOT(ISNUMBER(H$5)),N(Plano!$G17)=0,N(Plano!$L17)=0),"",IF(Plano!$L17+Plano!$G17*MAX(0,ROUNDUP((H$5-Plano!$L17)/Plano!$G17,0))&lt;=IF(DAY(H$5)&gt;=29,EOMONTH(H$5,0),H$5+6),"●",""))</f>
        <v/>
      </c>
      <c r="I20" s="138">
        <f>IF(OR(NOT(ISNUMBER(I$5)),N(Plano!$G17)=0,N(Plano!$L17)=0),"",IF(Plano!$L17+Plano!$G17*MAX(0,ROUNDUP((I$5-Plano!$L17)/Plano!$G17,0))&lt;=IF(DAY(I$5)&gt;=29,EOMONTH(I$5,0),I$5+6),"●",""))</f>
        <v/>
      </c>
      <c r="J20" s="138">
        <f>IF(OR(NOT(ISNUMBER(J$5)),N(Plano!$G17)=0,N(Plano!$L17)=0),"",IF(Plano!$L17+Plano!$G17*MAX(0,ROUNDUP((J$5-Plano!$L17)/Plano!$G17,0))&lt;=IF(DAY(J$5)&gt;=29,EOMONTH(J$5,0),J$5+6),"●",""))</f>
        <v/>
      </c>
      <c r="K20" s="139">
        <f>IF(OR(NOT(ISNUMBER(K$5)),N(Plano!$G17)=0,N(Plano!$L17)=0),"",IF(Plano!$L17+Plano!$G17*MAX(0,ROUNDUP((K$5-Plano!$L17)/Plano!$G17,0))&lt;=IF(DAY(K$5)&gt;=29,EOMONTH(K$5,0),K$5+6),"●",""))</f>
        <v/>
      </c>
      <c r="L20" s="138">
        <f>IF(OR(NOT(ISNUMBER(L$5)),N(Plano!$G17)=0,N(Plano!$L17)=0),"",IF(Plano!$L17+Plano!$G17*MAX(0,ROUNDUP((L$5-Plano!$L17)/Plano!$G17,0))&lt;=IF(DAY(L$5)&gt;=29,EOMONTH(L$5,0),L$5+6),"●",""))</f>
        <v/>
      </c>
      <c r="M20" s="138">
        <f>IF(OR(NOT(ISNUMBER(M$5)),N(Plano!$G17)=0,N(Plano!$L17)=0),"",IF(Plano!$L17+Plano!$G17*MAX(0,ROUNDUP((M$5-Plano!$L17)/Plano!$G17,0))&lt;=IF(DAY(M$5)&gt;=29,EOMONTH(M$5,0),M$5+6),"●",""))</f>
        <v/>
      </c>
      <c r="N20" s="138">
        <f>IF(OR(NOT(ISNUMBER(N$5)),N(Plano!$G17)=0,N(Plano!$L17)=0),"",IF(Plano!$L17+Plano!$G17*MAX(0,ROUNDUP((N$5-Plano!$L17)/Plano!$G17,0))&lt;=IF(DAY(N$5)&gt;=29,EOMONTH(N$5,0),N$5+6),"●",""))</f>
        <v/>
      </c>
      <c r="O20" s="138">
        <f>IF(OR(NOT(ISNUMBER(O$5)),N(Plano!$G17)=0,N(Plano!$L17)=0),"",IF(Plano!$L17+Plano!$G17*MAX(0,ROUNDUP((O$5-Plano!$L17)/Plano!$G17,0))&lt;=IF(DAY(O$5)&gt;=29,EOMONTH(O$5,0),O$5+6),"●",""))</f>
        <v/>
      </c>
      <c r="P20" s="139">
        <f>IF(OR(NOT(ISNUMBER(P$5)),N(Plano!$G17)=0,N(Plano!$L17)=0),"",IF(Plano!$L17+Plano!$G17*MAX(0,ROUNDUP((P$5-Plano!$L17)/Plano!$G17,0))&lt;=IF(DAY(P$5)&gt;=29,EOMONTH(P$5,0),P$5+6),"●",""))</f>
        <v/>
      </c>
      <c r="Q20" s="138">
        <f>IF(OR(NOT(ISNUMBER(Q$5)),N(Plano!$G17)=0,N(Plano!$L17)=0),"",IF(Plano!$L17+Plano!$G17*MAX(0,ROUNDUP((Q$5-Plano!$L17)/Plano!$G17,0))&lt;=IF(DAY(Q$5)&gt;=29,EOMONTH(Q$5,0),Q$5+6),"●",""))</f>
        <v/>
      </c>
      <c r="R20" s="138">
        <f>IF(OR(NOT(ISNUMBER(R$5)),N(Plano!$G17)=0,N(Plano!$L17)=0),"",IF(Plano!$L17+Plano!$G17*MAX(0,ROUNDUP((R$5-Plano!$L17)/Plano!$G17,0))&lt;=IF(DAY(R$5)&gt;=29,EOMONTH(R$5,0),R$5+6),"●",""))</f>
        <v/>
      </c>
      <c r="S20" s="138">
        <f>IF(OR(NOT(ISNUMBER(S$5)),N(Plano!$G17)=0,N(Plano!$L17)=0),"",IF(Plano!$L17+Plano!$G17*MAX(0,ROUNDUP((S$5-Plano!$L17)/Plano!$G17,0))&lt;=IF(DAY(S$5)&gt;=29,EOMONTH(S$5,0),S$5+6),"●",""))</f>
        <v/>
      </c>
      <c r="T20" s="138">
        <f>IF(OR(NOT(ISNUMBER(T$5)),N(Plano!$G17)=0,N(Plano!$L17)=0),"",IF(Plano!$L17+Plano!$G17*MAX(0,ROUNDUP((T$5-Plano!$L17)/Plano!$G17,0))&lt;=IF(DAY(T$5)&gt;=29,EOMONTH(T$5,0),T$5+6),"●",""))</f>
        <v/>
      </c>
      <c r="U20" s="139">
        <f>IF(OR(NOT(ISNUMBER(U$5)),N(Plano!$G17)=0,N(Plano!$L17)=0),"",IF(Plano!$L17+Plano!$G17*MAX(0,ROUNDUP((U$5-Plano!$L17)/Plano!$G17,0))&lt;=IF(DAY(U$5)&gt;=29,EOMONTH(U$5,0),U$5+6),"●",""))</f>
        <v/>
      </c>
      <c r="V20" s="138">
        <f>IF(OR(NOT(ISNUMBER(V$5)),N(Plano!$G17)=0,N(Plano!$L17)=0),"",IF(Plano!$L17+Plano!$G17*MAX(0,ROUNDUP((V$5-Plano!$L17)/Plano!$G17,0))&lt;=IF(DAY(V$5)&gt;=29,EOMONTH(V$5,0),V$5+6),"●",""))</f>
        <v/>
      </c>
      <c r="W20" s="138">
        <f>IF(OR(NOT(ISNUMBER(W$5)),N(Plano!$G17)=0,N(Plano!$L17)=0),"",IF(Plano!$L17+Plano!$G17*MAX(0,ROUNDUP((W$5-Plano!$L17)/Plano!$G17,0))&lt;=IF(DAY(W$5)&gt;=29,EOMONTH(W$5,0),W$5+6),"●",""))</f>
        <v/>
      </c>
      <c r="X20" s="138">
        <f>IF(OR(NOT(ISNUMBER(X$5)),N(Plano!$G17)=0,N(Plano!$L17)=0),"",IF(Plano!$L17+Plano!$G17*MAX(0,ROUNDUP((X$5-Plano!$L17)/Plano!$G17,0))&lt;=IF(DAY(X$5)&gt;=29,EOMONTH(X$5,0),X$5+6),"●",""))</f>
        <v/>
      </c>
      <c r="Y20" s="138">
        <f>IF(OR(NOT(ISNUMBER(Y$5)),N(Plano!$G17)=0,N(Plano!$L17)=0),"",IF(Plano!$L17+Plano!$G17*MAX(0,ROUNDUP((Y$5-Plano!$L17)/Plano!$G17,0))&lt;=IF(DAY(Y$5)&gt;=29,EOMONTH(Y$5,0),Y$5+6),"●",""))</f>
        <v/>
      </c>
      <c r="Z20" s="139">
        <f>IF(OR(NOT(ISNUMBER(Z$5)),N(Plano!$G17)=0,N(Plano!$L17)=0),"",IF(Plano!$L17+Plano!$G17*MAX(0,ROUNDUP((Z$5-Plano!$L17)/Plano!$G17,0))&lt;=IF(DAY(Z$5)&gt;=29,EOMONTH(Z$5,0),Z$5+6),"●",""))</f>
        <v/>
      </c>
      <c r="AA20" s="138">
        <f>IF(OR(NOT(ISNUMBER(AA$5)),N(Plano!$G17)=0,N(Plano!$L17)=0),"",IF(Plano!$L17+Plano!$G17*MAX(0,ROUNDUP((AA$5-Plano!$L17)/Plano!$G17,0))&lt;=IF(DAY(AA$5)&gt;=29,EOMONTH(AA$5,0),AA$5+6),"●",""))</f>
        <v/>
      </c>
      <c r="AB20" s="138">
        <f>IF(OR(NOT(ISNUMBER(AB$5)),N(Plano!$G17)=0,N(Plano!$L17)=0),"",IF(Plano!$L17+Plano!$G17*MAX(0,ROUNDUP((AB$5-Plano!$L17)/Plano!$G17,0))&lt;=IF(DAY(AB$5)&gt;=29,EOMONTH(AB$5,0),AB$5+6),"●",""))</f>
        <v/>
      </c>
      <c r="AC20" s="138">
        <f>IF(OR(NOT(ISNUMBER(AC$5)),N(Plano!$G17)=0,N(Plano!$L17)=0),"",IF(Plano!$L17+Plano!$G17*MAX(0,ROUNDUP((AC$5-Plano!$L17)/Plano!$G17,0))&lt;=IF(DAY(AC$5)&gt;=29,EOMONTH(AC$5,0),AC$5+6),"●",""))</f>
        <v/>
      </c>
      <c r="AD20" s="138">
        <f>IF(OR(NOT(ISNUMBER(AD$5)),N(Plano!$G17)=0,N(Plano!$L17)=0),"",IF(Plano!$L17+Plano!$G17*MAX(0,ROUNDUP((AD$5-Plano!$L17)/Plano!$G17,0))&lt;=IF(DAY(AD$5)&gt;=29,EOMONTH(AD$5,0),AD$5+6),"●",""))</f>
        <v/>
      </c>
      <c r="AE20" s="139">
        <f>IF(OR(NOT(ISNUMBER(AE$5)),N(Plano!$G17)=0,N(Plano!$L17)=0),"",IF(Plano!$L17+Plano!$G17*MAX(0,ROUNDUP((AE$5-Plano!$L17)/Plano!$G17,0))&lt;=IF(DAY(AE$5)&gt;=29,EOMONTH(AE$5,0),AE$5+6),"●",""))</f>
        <v/>
      </c>
      <c r="AF20" s="138">
        <f>IF(OR(NOT(ISNUMBER(AF$5)),N(Plano!$G17)=0,N(Plano!$L17)=0),"",IF(Plano!$L17+Plano!$G17*MAX(0,ROUNDUP((AF$5-Plano!$L17)/Plano!$G17,0))&lt;=IF(DAY(AF$5)&gt;=29,EOMONTH(AF$5,0),AF$5+6),"●",""))</f>
        <v/>
      </c>
      <c r="AG20" s="138">
        <f>IF(OR(NOT(ISNUMBER(AG$5)),N(Plano!$G17)=0,N(Plano!$L17)=0),"",IF(Plano!$L17+Plano!$G17*MAX(0,ROUNDUP((AG$5-Plano!$L17)/Plano!$G17,0))&lt;=IF(DAY(AG$5)&gt;=29,EOMONTH(AG$5,0),AG$5+6),"●",""))</f>
        <v/>
      </c>
      <c r="AH20" s="138">
        <f>IF(OR(NOT(ISNUMBER(AH$5)),N(Plano!$G17)=0,N(Plano!$L17)=0),"",IF(Plano!$L17+Plano!$G17*MAX(0,ROUNDUP((AH$5-Plano!$L17)/Plano!$G17,0))&lt;=IF(DAY(AH$5)&gt;=29,EOMONTH(AH$5,0),AH$5+6),"●",""))</f>
        <v/>
      </c>
      <c r="AI20" s="138">
        <f>IF(OR(NOT(ISNUMBER(AI$5)),N(Plano!$G17)=0,N(Plano!$L17)=0),"",IF(Plano!$L17+Plano!$G17*MAX(0,ROUNDUP((AI$5-Plano!$L17)/Plano!$G17,0))&lt;=IF(DAY(AI$5)&gt;=29,EOMONTH(AI$5,0),AI$5+6),"●",""))</f>
        <v/>
      </c>
      <c r="AJ20" s="139">
        <f>IF(OR(NOT(ISNUMBER(AJ$5)),N(Plano!$G17)=0,N(Plano!$L17)=0),"",IF(Plano!$L17+Plano!$G17*MAX(0,ROUNDUP((AJ$5-Plano!$L17)/Plano!$G17,0))&lt;=IF(DAY(AJ$5)&gt;=29,EOMONTH(AJ$5,0),AJ$5+6),"●",""))</f>
        <v/>
      </c>
      <c r="AK20" s="138">
        <f>IF(OR(NOT(ISNUMBER(AK$5)),N(Plano!$G17)=0,N(Plano!$L17)=0),"",IF(Plano!$L17+Plano!$G17*MAX(0,ROUNDUP((AK$5-Plano!$L17)/Plano!$G17,0))&lt;=IF(DAY(AK$5)&gt;=29,EOMONTH(AK$5,0),AK$5+6),"●",""))</f>
        <v/>
      </c>
      <c r="AL20" s="138">
        <f>IF(OR(NOT(ISNUMBER(AL$5)),N(Plano!$G17)=0,N(Plano!$L17)=0),"",IF(Plano!$L17+Plano!$G17*MAX(0,ROUNDUP((AL$5-Plano!$L17)/Plano!$G17,0))&lt;=IF(DAY(AL$5)&gt;=29,EOMONTH(AL$5,0),AL$5+6),"●",""))</f>
        <v/>
      </c>
      <c r="AM20" s="138">
        <f>IF(OR(NOT(ISNUMBER(AM$5)),N(Plano!$G17)=0,N(Plano!$L17)=0),"",IF(Plano!$L17+Plano!$G17*MAX(0,ROUNDUP((AM$5-Plano!$L17)/Plano!$G17,0))&lt;=IF(DAY(AM$5)&gt;=29,EOMONTH(AM$5,0),AM$5+6),"●",""))</f>
        <v/>
      </c>
      <c r="AN20" s="138">
        <f>IF(OR(NOT(ISNUMBER(AN$5)),N(Plano!$G17)=0,N(Plano!$L17)=0),"",IF(Plano!$L17+Plano!$G17*MAX(0,ROUNDUP((AN$5-Plano!$L17)/Plano!$G17,0))&lt;=IF(DAY(AN$5)&gt;=29,EOMONTH(AN$5,0),AN$5+6),"●",""))</f>
        <v/>
      </c>
      <c r="AO20" s="139">
        <f>IF(OR(NOT(ISNUMBER(AO$5)),N(Plano!$G17)=0,N(Plano!$L17)=0),"",IF(Plano!$L17+Plano!$G17*MAX(0,ROUNDUP((AO$5-Plano!$L17)/Plano!$G17,0))&lt;=IF(DAY(AO$5)&gt;=29,EOMONTH(AO$5,0),AO$5+6),"●",""))</f>
        <v/>
      </c>
      <c r="AP20" s="138">
        <f>IF(OR(NOT(ISNUMBER(AP$5)),N(Plano!$G17)=0,N(Plano!$L17)=0),"",IF(Plano!$L17+Plano!$G17*MAX(0,ROUNDUP((AP$5-Plano!$L17)/Plano!$G17,0))&lt;=IF(DAY(AP$5)&gt;=29,EOMONTH(AP$5,0),AP$5+6),"●",""))</f>
        <v/>
      </c>
      <c r="AQ20" s="138">
        <f>IF(OR(NOT(ISNUMBER(AQ$5)),N(Plano!$G17)=0,N(Plano!$L17)=0),"",IF(Plano!$L17+Plano!$G17*MAX(0,ROUNDUP((AQ$5-Plano!$L17)/Plano!$G17,0))&lt;=IF(DAY(AQ$5)&gt;=29,EOMONTH(AQ$5,0),AQ$5+6),"●",""))</f>
        <v/>
      </c>
      <c r="AR20" s="138">
        <f>IF(OR(NOT(ISNUMBER(AR$5)),N(Plano!$G17)=0,N(Plano!$L17)=0),"",IF(Plano!$L17+Plano!$G17*MAX(0,ROUNDUP((AR$5-Plano!$L17)/Plano!$G17,0))&lt;=IF(DAY(AR$5)&gt;=29,EOMONTH(AR$5,0),AR$5+6),"●",""))</f>
        <v/>
      </c>
      <c r="AS20" s="138">
        <f>IF(OR(NOT(ISNUMBER(AS$5)),N(Plano!$G17)=0,N(Plano!$L17)=0),"",IF(Plano!$L17+Plano!$G17*MAX(0,ROUNDUP((AS$5-Plano!$L17)/Plano!$G17,0))&lt;=IF(DAY(AS$5)&gt;=29,EOMONTH(AS$5,0),AS$5+6),"●",""))</f>
        <v/>
      </c>
      <c r="AT20" s="139">
        <f>IF(OR(NOT(ISNUMBER(AT$5)),N(Plano!$G17)=0,N(Plano!$L17)=0),"",IF(Plano!$L17+Plano!$G17*MAX(0,ROUNDUP((AT$5-Plano!$L17)/Plano!$G17,0))&lt;=IF(DAY(AT$5)&gt;=29,EOMONTH(AT$5,0),AT$5+6),"●",""))</f>
        <v/>
      </c>
      <c r="AU20" s="138">
        <f>IF(OR(NOT(ISNUMBER(AU$5)),N(Plano!$G17)=0,N(Plano!$L17)=0),"",IF(Plano!$L17+Plano!$G17*MAX(0,ROUNDUP((AU$5-Plano!$L17)/Plano!$G17,0))&lt;=IF(DAY(AU$5)&gt;=29,EOMONTH(AU$5,0),AU$5+6),"●",""))</f>
        <v/>
      </c>
      <c r="AV20" s="138">
        <f>IF(OR(NOT(ISNUMBER(AV$5)),N(Plano!$G17)=0,N(Plano!$L17)=0),"",IF(Plano!$L17+Plano!$G17*MAX(0,ROUNDUP((AV$5-Plano!$L17)/Plano!$G17,0))&lt;=IF(DAY(AV$5)&gt;=29,EOMONTH(AV$5,0),AV$5+6),"●",""))</f>
        <v/>
      </c>
      <c r="AW20" s="138">
        <f>IF(OR(NOT(ISNUMBER(AW$5)),N(Plano!$G17)=0,N(Plano!$L17)=0),"",IF(Plano!$L17+Plano!$G17*MAX(0,ROUNDUP((AW$5-Plano!$L17)/Plano!$G17,0))&lt;=IF(DAY(AW$5)&gt;=29,EOMONTH(AW$5,0),AW$5+6),"●",""))</f>
        <v/>
      </c>
      <c r="AX20" s="138">
        <f>IF(OR(NOT(ISNUMBER(AX$5)),N(Plano!$G17)=0,N(Plano!$L17)=0),"",IF(Plano!$L17+Plano!$G17*MAX(0,ROUNDUP((AX$5-Plano!$L17)/Plano!$G17,0))&lt;=IF(DAY(AX$5)&gt;=29,EOMONTH(AX$5,0),AX$5+6),"●",""))</f>
        <v/>
      </c>
      <c r="AY20" s="139">
        <f>IF(OR(NOT(ISNUMBER(AY$5)),N(Plano!$G17)=0,N(Plano!$L17)=0),"",IF(Plano!$L17+Plano!$G17*MAX(0,ROUNDUP((AY$5-Plano!$L17)/Plano!$G17,0))&lt;=IF(DAY(AY$5)&gt;=29,EOMONTH(AY$5,0),AY$5+6),"●",""))</f>
        <v/>
      </c>
      <c r="AZ20" s="138">
        <f>IF(OR(NOT(ISNUMBER(AZ$5)),N(Plano!$G17)=0,N(Plano!$L17)=0),"",IF(Plano!$L17+Plano!$G17*MAX(0,ROUNDUP((AZ$5-Plano!$L17)/Plano!$G17,0))&lt;=IF(DAY(AZ$5)&gt;=29,EOMONTH(AZ$5,0),AZ$5+6),"●",""))</f>
        <v/>
      </c>
      <c r="BA20" s="138">
        <f>IF(OR(NOT(ISNUMBER(BA$5)),N(Plano!$G17)=0,N(Plano!$L17)=0),"",IF(Plano!$L17+Plano!$G17*MAX(0,ROUNDUP((BA$5-Plano!$L17)/Plano!$G17,0))&lt;=IF(DAY(BA$5)&gt;=29,EOMONTH(BA$5,0),BA$5+6),"●",""))</f>
        <v/>
      </c>
      <c r="BB20" s="138">
        <f>IF(OR(NOT(ISNUMBER(BB$5)),N(Plano!$G17)=0,N(Plano!$L17)=0),"",IF(Plano!$L17+Plano!$G17*MAX(0,ROUNDUP((BB$5-Plano!$L17)/Plano!$G17,0))&lt;=IF(DAY(BB$5)&gt;=29,EOMONTH(BB$5,0),BB$5+6),"●",""))</f>
        <v/>
      </c>
      <c r="BC20" s="138">
        <f>IF(OR(NOT(ISNUMBER(BC$5)),N(Plano!$G17)=0,N(Plano!$L17)=0),"",IF(Plano!$L17+Plano!$G17*MAX(0,ROUNDUP((BC$5-Plano!$L17)/Plano!$G17,0))&lt;=IF(DAY(BC$5)&gt;=29,EOMONTH(BC$5,0),BC$5+6),"●",""))</f>
        <v/>
      </c>
      <c r="BD20" s="139">
        <f>IF(OR(NOT(ISNUMBER(BD$5)),N(Plano!$G17)=0,N(Plano!$L17)=0),"",IF(Plano!$L17+Plano!$G17*MAX(0,ROUNDUP((BD$5-Plano!$L17)/Plano!$G17,0))&lt;=IF(DAY(BD$5)&gt;=29,EOMONTH(BD$5,0),BD$5+6),"●",""))</f>
        <v/>
      </c>
      <c r="BE20" s="138">
        <f>IF(OR(NOT(ISNUMBER(BE$5)),N(Plano!$G17)=0,N(Plano!$L17)=0),"",IF(Plano!$L17+Plano!$G17*MAX(0,ROUNDUP((BE$5-Plano!$L17)/Plano!$G17,0))&lt;=IF(DAY(BE$5)&gt;=29,EOMONTH(BE$5,0),BE$5+6),"●",""))</f>
        <v/>
      </c>
      <c r="BF20" s="138">
        <f>IF(OR(NOT(ISNUMBER(BF$5)),N(Plano!$G17)=0,N(Plano!$L17)=0),"",IF(Plano!$L17+Plano!$G17*MAX(0,ROUNDUP((BF$5-Plano!$L17)/Plano!$G17,0))&lt;=IF(DAY(BF$5)&gt;=29,EOMONTH(BF$5,0),BF$5+6),"●",""))</f>
        <v/>
      </c>
      <c r="BG20" s="138">
        <f>IF(OR(NOT(ISNUMBER(BG$5)),N(Plano!$G17)=0,N(Plano!$L17)=0),"",IF(Plano!$L17+Plano!$G17*MAX(0,ROUNDUP((BG$5-Plano!$L17)/Plano!$G17,0))&lt;=IF(DAY(BG$5)&gt;=29,EOMONTH(BG$5,0),BG$5+6),"●",""))</f>
        <v/>
      </c>
      <c r="BH20" s="138">
        <f>IF(OR(NOT(ISNUMBER(BH$5)),N(Plano!$G17)=0,N(Plano!$L17)=0),"",IF(Plano!$L17+Plano!$G17*MAX(0,ROUNDUP((BH$5-Plano!$L17)/Plano!$G17,0))&lt;=IF(DAY(BH$5)&gt;=29,EOMONTH(BH$5,0),BH$5+6),"●",""))</f>
        <v/>
      </c>
      <c r="BI20" s="139">
        <f>IF(OR(NOT(ISNUMBER(BI$5)),N(Plano!$G17)=0,N(Plano!$L17)=0),"",IF(Plano!$L17+Plano!$G17*MAX(0,ROUNDUP((BI$5-Plano!$L17)/Plano!$G17,0))&lt;=IF(DAY(BI$5)&gt;=29,EOMONTH(BI$5,0),BI$5+6),"●",""))</f>
        <v/>
      </c>
      <c r="BJ20" s="138">
        <f>IF(OR(NOT(ISNUMBER(BJ$5)),N(Plano!$G17)=0,N(Plano!$L17)=0),"",IF(Plano!$L17+Plano!$G17*MAX(0,ROUNDUP((BJ$5-Plano!$L17)/Plano!$G17,0))&lt;=IF(DAY(BJ$5)&gt;=29,EOMONTH(BJ$5,0),BJ$5+6),"●",""))</f>
        <v/>
      </c>
      <c r="BK20" s="138">
        <f>IF(OR(NOT(ISNUMBER(BK$5)),N(Plano!$G17)=0,N(Plano!$L17)=0),"",IF(Plano!$L17+Plano!$G17*MAX(0,ROUNDUP((BK$5-Plano!$L17)/Plano!$G17,0))&lt;=IF(DAY(BK$5)&gt;=29,EOMONTH(BK$5,0),BK$5+6),"●",""))</f>
        <v/>
      </c>
      <c r="BL20" s="138">
        <f>IF(OR(NOT(ISNUMBER(BL$5)),N(Plano!$G17)=0,N(Plano!$L17)=0),"",IF(Plano!$L17+Plano!$G17*MAX(0,ROUNDUP((BL$5-Plano!$L17)/Plano!$G17,0))&lt;=IF(DAY(BL$5)&gt;=29,EOMONTH(BL$5,0),BL$5+6),"●",""))</f>
        <v/>
      </c>
      <c r="BM20" s="140">
        <f>IF(OR(NOT(ISNUMBER(BM$5)),N(Plano!$G17)=0,N(Plano!$L17)=0),"",IF(Plano!$L17+Plano!$G17*MAX(0,ROUNDUP((BM$5-Plano!$L17)/Plano!$G17,0))&lt;=IF(DAY(BM$5)&gt;=29,EOMONTH(BM$5,0),BM$5+6),"●",""))</f>
        <v/>
      </c>
    </row>
    <row r="21" ht="18" customHeight="1">
      <c r="A21" s="118">
        <f>Plano!A18</f>
        <v/>
      </c>
      <c r="B21" s="136">
        <f>IF(Plano!B18="","",Plano!B18)</f>
        <v/>
      </c>
      <c r="C21" s="70">
        <f>IF(B21="","",IFERROR(INDEX(tb_pcm_ativos[descricao_ativo],MATCH(B21,tb_pcm_ativos[tag],0)),"fora do cadastro"))</f>
        <v/>
      </c>
      <c r="D21" s="70">
        <f>IF(Plano!E18="","",Plano!E18)</f>
        <v/>
      </c>
      <c r="E21" s="137">
        <f>IF(Plano!G18="","",Plano!G18)</f>
        <v/>
      </c>
      <c r="F21" s="138">
        <f>IF(OR(NOT(ISNUMBER(F$5)),N(Plano!$G18)=0,N(Plano!$L18)=0),"",IF(Plano!$L18+Plano!$G18*MAX(0,ROUNDUP((F$5-Plano!$L18)/Plano!$G18,0))&lt;=IF(DAY(F$5)&gt;=29,EOMONTH(F$5,0),F$5+6),"●",""))</f>
        <v/>
      </c>
      <c r="G21" s="138">
        <f>IF(OR(NOT(ISNUMBER(G$5)),N(Plano!$G18)=0,N(Plano!$L18)=0),"",IF(Plano!$L18+Plano!$G18*MAX(0,ROUNDUP((G$5-Plano!$L18)/Plano!$G18,0))&lt;=IF(DAY(G$5)&gt;=29,EOMONTH(G$5,0),G$5+6),"●",""))</f>
        <v/>
      </c>
      <c r="H21" s="138">
        <f>IF(OR(NOT(ISNUMBER(H$5)),N(Plano!$G18)=0,N(Plano!$L18)=0),"",IF(Plano!$L18+Plano!$G18*MAX(0,ROUNDUP((H$5-Plano!$L18)/Plano!$G18,0))&lt;=IF(DAY(H$5)&gt;=29,EOMONTH(H$5,0),H$5+6),"●",""))</f>
        <v/>
      </c>
      <c r="I21" s="138">
        <f>IF(OR(NOT(ISNUMBER(I$5)),N(Plano!$G18)=0,N(Plano!$L18)=0),"",IF(Plano!$L18+Plano!$G18*MAX(0,ROUNDUP((I$5-Plano!$L18)/Plano!$G18,0))&lt;=IF(DAY(I$5)&gt;=29,EOMONTH(I$5,0),I$5+6),"●",""))</f>
        <v/>
      </c>
      <c r="J21" s="138">
        <f>IF(OR(NOT(ISNUMBER(J$5)),N(Plano!$G18)=0,N(Plano!$L18)=0),"",IF(Plano!$L18+Plano!$G18*MAX(0,ROUNDUP((J$5-Plano!$L18)/Plano!$G18,0))&lt;=IF(DAY(J$5)&gt;=29,EOMONTH(J$5,0),J$5+6),"●",""))</f>
        <v/>
      </c>
      <c r="K21" s="139">
        <f>IF(OR(NOT(ISNUMBER(K$5)),N(Plano!$G18)=0,N(Plano!$L18)=0),"",IF(Plano!$L18+Plano!$G18*MAX(0,ROUNDUP((K$5-Plano!$L18)/Plano!$G18,0))&lt;=IF(DAY(K$5)&gt;=29,EOMONTH(K$5,0),K$5+6),"●",""))</f>
        <v/>
      </c>
      <c r="L21" s="138">
        <f>IF(OR(NOT(ISNUMBER(L$5)),N(Plano!$G18)=0,N(Plano!$L18)=0),"",IF(Plano!$L18+Plano!$G18*MAX(0,ROUNDUP((L$5-Plano!$L18)/Plano!$G18,0))&lt;=IF(DAY(L$5)&gt;=29,EOMONTH(L$5,0),L$5+6),"●",""))</f>
        <v/>
      </c>
      <c r="M21" s="138">
        <f>IF(OR(NOT(ISNUMBER(M$5)),N(Plano!$G18)=0,N(Plano!$L18)=0),"",IF(Plano!$L18+Plano!$G18*MAX(0,ROUNDUP((M$5-Plano!$L18)/Plano!$G18,0))&lt;=IF(DAY(M$5)&gt;=29,EOMONTH(M$5,0),M$5+6),"●",""))</f>
        <v/>
      </c>
      <c r="N21" s="138">
        <f>IF(OR(NOT(ISNUMBER(N$5)),N(Plano!$G18)=0,N(Plano!$L18)=0),"",IF(Plano!$L18+Plano!$G18*MAX(0,ROUNDUP((N$5-Plano!$L18)/Plano!$G18,0))&lt;=IF(DAY(N$5)&gt;=29,EOMONTH(N$5,0),N$5+6),"●",""))</f>
        <v/>
      </c>
      <c r="O21" s="138">
        <f>IF(OR(NOT(ISNUMBER(O$5)),N(Plano!$G18)=0,N(Plano!$L18)=0),"",IF(Plano!$L18+Plano!$G18*MAX(0,ROUNDUP((O$5-Plano!$L18)/Plano!$G18,0))&lt;=IF(DAY(O$5)&gt;=29,EOMONTH(O$5,0),O$5+6),"●",""))</f>
        <v/>
      </c>
      <c r="P21" s="139">
        <f>IF(OR(NOT(ISNUMBER(P$5)),N(Plano!$G18)=0,N(Plano!$L18)=0),"",IF(Plano!$L18+Plano!$G18*MAX(0,ROUNDUP((P$5-Plano!$L18)/Plano!$G18,0))&lt;=IF(DAY(P$5)&gt;=29,EOMONTH(P$5,0),P$5+6),"●",""))</f>
        <v/>
      </c>
      <c r="Q21" s="138">
        <f>IF(OR(NOT(ISNUMBER(Q$5)),N(Plano!$G18)=0,N(Plano!$L18)=0),"",IF(Plano!$L18+Plano!$G18*MAX(0,ROUNDUP((Q$5-Plano!$L18)/Plano!$G18,0))&lt;=IF(DAY(Q$5)&gt;=29,EOMONTH(Q$5,0),Q$5+6),"●",""))</f>
        <v/>
      </c>
      <c r="R21" s="138">
        <f>IF(OR(NOT(ISNUMBER(R$5)),N(Plano!$G18)=0,N(Plano!$L18)=0),"",IF(Plano!$L18+Plano!$G18*MAX(0,ROUNDUP((R$5-Plano!$L18)/Plano!$G18,0))&lt;=IF(DAY(R$5)&gt;=29,EOMONTH(R$5,0),R$5+6),"●",""))</f>
        <v/>
      </c>
      <c r="S21" s="138">
        <f>IF(OR(NOT(ISNUMBER(S$5)),N(Plano!$G18)=0,N(Plano!$L18)=0),"",IF(Plano!$L18+Plano!$G18*MAX(0,ROUNDUP((S$5-Plano!$L18)/Plano!$G18,0))&lt;=IF(DAY(S$5)&gt;=29,EOMONTH(S$5,0),S$5+6),"●",""))</f>
        <v/>
      </c>
      <c r="T21" s="138">
        <f>IF(OR(NOT(ISNUMBER(T$5)),N(Plano!$G18)=0,N(Plano!$L18)=0),"",IF(Plano!$L18+Plano!$G18*MAX(0,ROUNDUP((T$5-Plano!$L18)/Plano!$G18,0))&lt;=IF(DAY(T$5)&gt;=29,EOMONTH(T$5,0),T$5+6),"●",""))</f>
        <v/>
      </c>
      <c r="U21" s="139">
        <f>IF(OR(NOT(ISNUMBER(U$5)),N(Plano!$G18)=0,N(Plano!$L18)=0),"",IF(Plano!$L18+Plano!$G18*MAX(0,ROUNDUP((U$5-Plano!$L18)/Plano!$G18,0))&lt;=IF(DAY(U$5)&gt;=29,EOMONTH(U$5,0),U$5+6),"●",""))</f>
        <v/>
      </c>
      <c r="V21" s="138">
        <f>IF(OR(NOT(ISNUMBER(V$5)),N(Plano!$G18)=0,N(Plano!$L18)=0),"",IF(Plano!$L18+Plano!$G18*MAX(0,ROUNDUP((V$5-Plano!$L18)/Plano!$G18,0))&lt;=IF(DAY(V$5)&gt;=29,EOMONTH(V$5,0),V$5+6),"●",""))</f>
        <v/>
      </c>
      <c r="W21" s="138">
        <f>IF(OR(NOT(ISNUMBER(W$5)),N(Plano!$G18)=0,N(Plano!$L18)=0),"",IF(Plano!$L18+Plano!$G18*MAX(0,ROUNDUP((W$5-Plano!$L18)/Plano!$G18,0))&lt;=IF(DAY(W$5)&gt;=29,EOMONTH(W$5,0),W$5+6),"●",""))</f>
        <v/>
      </c>
      <c r="X21" s="138">
        <f>IF(OR(NOT(ISNUMBER(X$5)),N(Plano!$G18)=0,N(Plano!$L18)=0),"",IF(Plano!$L18+Plano!$G18*MAX(0,ROUNDUP((X$5-Plano!$L18)/Plano!$G18,0))&lt;=IF(DAY(X$5)&gt;=29,EOMONTH(X$5,0),X$5+6),"●",""))</f>
        <v/>
      </c>
      <c r="Y21" s="138">
        <f>IF(OR(NOT(ISNUMBER(Y$5)),N(Plano!$G18)=0,N(Plano!$L18)=0),"",IF(Plano!$L18+Plano!$G18*MAX(0,ROUNDUP((Y$5-Plano!$L18)/Plano!$G18,0))&lt;=IF(DAY(Y$5)&gt;=29,EOMONTH(Y$5,0),Y$5+6),"●",""))</f>
        <v/>
      </c>
      <c r="Z21" s="139">
        <f>IF(OR(NOT(ISNUMBER(Z$5)),N(Plano!$G18)=0,N(Plano!$L18)=0),"",IF(Plano!$L18+Plano!$G18*MAX(0,ROUNDUP((Z$5-Plano!$L18)/Plano!$G18,0))&lt;=IF(DAY(Z$5)&gt;=29,EOMONTH(Z$5,0),Z$5+6),"●",""))</f>
        <v/>
      </c>
      <c r="AA21" s="138">
        <f>IF(OR(NOT(ISNUMBER(AA$5)),N(Plano!$G18)=0,N(Plano!$L18)=0),"",IF(Plano!$L18+Plano!$G18*MAX(0,ROUNDUP((AA$5-Plano!$L18)/Plano!$G18,0))&lt;=IF(DAY(AA$5)&gt;=29,EOMONTH(AA$5,0),AA$5+6),"●",""))</f>
        <v/>
      </c>
      <c r="AB21" s="138">
        <f>IF(OR(NOT(ISNUMBER(AB$5)),N(Plano!$G18)=0,N(Plano!$L18)=0),"",IF(Plano!$L18+Plano!$G18*MAX(0,ROUNDUP((AB$5-Plano!$L18)/Plano!$G18,0))&lt;=IF(DAY(AB$5)&gt;=29,EOMONTH(AB$5,0),AB$5+6),"●",""))</f>
        <v/>
      </c>
      <c r="AC21" s="138">
        <f>IF(OR(NOT(ISNUMBER(AC$5)),N(Plano!$G18)=0,N(Plano!$L18)=0),"",IF(Plano!$L18+Plano!$G18*MAX(0,ROUNDUP((AC$5-Plano!$L18)/Plano!$G18,0))&lt;=IF(DAY(AC$5)&gt;=29,EOMONTH(AC$5,0),AC$5+6),"●",""))</f>
        <v/>
      </c>
      <c r="AD21" s="138">
        <f>IF(OR(NOT(ISNUMBER(AD$5)),N(Plano!$G18)=0,N(Plano!$L18)=0),"",IF(Plano!$L18+Plano!$G18*MAX(0,ROUNDUP((AD$5-Plano!$L18)/Plano!$G18,0))&lt;=IF(DAY(AD$5)&gt;=29,EOMONTH(AD$5,0),AD$5+6),"●",""))</f>
        <v/>
      </c>
      <c r="AE21" s="139">
        <f>IF(OR(NOT(ISNUMBER(AE$5)),N(Plano!$G18)=0,N(Plano!$L18)=0),"",IF(Plano!$L18+Plano!$G18*MAX(0,ROUNDUP((AE$5-Plano!$L18)/Plano!$G18,0))&lt;=IF(DAY(AE$5)&gt;=29,EOMONTH(AE$5,0),AE$5+6),"●",""))</f>
        <v/>
      </c>
      <c r="AF21" s="138">
        <f>IF(OR(NOT(ISNUMBER(AF$5)),N(Plano!$G18)=0,N(Plano!$L18)=0),"",IF(Plano!$L18+Plano!$G18*MAX(0,ROUNDUP((AF$5-Plano!$L18)/Plano!$G18,0))&lt;=IF(DAY(AF$5)&gt;=29,EOMONTH(AF$5,0),AF$5+6),"●",""))</f>
        <v/>
      </c>
      <c r="AG21" s="138">
        <f>IF(OR(NOT(ISNUMBER(AG$5)),N(Plano!$G18)=0,N(Plano!$L18)=0),"",IF(Plano!$L18+Plano!$G18*MAX(0,ROUNDUP((AG$5-Plano!$L18)/Plano!$G18,0))&lt;=IF(DAY(AG$5)&gt;=29,EOMONTH(AG$5,0),AG$5+6),"●",""))</f>
        <v/>
      </c>
      <c r="AH21" s="138">
        <f>IF(OR(NOT(ISNUMBER(AH$5)),N(Plano!$G18)=0,N(Plano!$L18)=0),"",IF(Plano!$L18+Plano!$G18*MAX(0,ROUNDUP((AH$5-Plano!$L18)/Plano!$G18,0))&lt;=IF(DAY(AH$5)&gt;=29,EOMONTH(AH$5,0),AH$5+6),"●",""))</f>
        <v/>
      </c>
      <c r="AI21" s="138">
        <f>IF(OR(NOT(ISNUMBER(AI$5)),N(Plano!$G18)=0,N(Plano!$L18)=0),"",IF(Plano!$L18+Plano!$G18*MAX(0,ROUNDUP((AI$5-Plano!$L18)/Plano!$G18,0))&lt;=IF(DAY(AI$5)&gt;=29,EOMONTH(AI$5,0),AI$5+6),"●",""))</f>
        <v/>
      </c>
      <c r="AJ21" s="139">
        <f>IF(OR(NOT(ISNUMBER(AJ$5)),N(Plano!$G18)=0,N(Plano!$L18)=0),"",IF(Plano!$L18+Plano!$G18*MAX(0,ROUNDUP((AJ$5-Plano!$L18)/Plano!$G18,0))&lt;=IF(DAY(AJ$5)&gt;=29,EOMONTH(AJ$5,0),AJ$5+6),"●",""))</f>
        <v/>
      </c>
      <c r="AK21" s="138">
        <f>IF(OR(NOT(ISNUMBER(AK$5)),N(Plano!$G18)=0,N(Plano!$L18)=0),"",IF(Plano!$L18+Plano!$G18*MAX(0,ROUNDUP((AK$5-Plano!$L18)/Plano!$G18,0))&lt;=IF(DAY(AK$5)&gt;=29,EOMONTH(AK$5,0),AK$5+6),"●",""))</f>
        <v/>
      </c>
      <c r="AL21" s="138">
        <f>IF(OR(NOT(ISNUMBER(AL$5)),N(Plano!$G18)=0,N(Plano!$L18)=0),"",IF(Plano!$L18+Plano!$G18*MAX(0,ROUNDUP((AL$5-Plano!$L18)/Plano!$G18,0))&lt;=IF(DAY(AL$5)&gt;=29,EOMONTH(AL$5,0),AL$5+6),"●",""))</f>
        <v/>
      </c>
      <c r="AM21" s="138">
        <f>IF(OR(NOT(ISNUMBER(AM$5)),N(Plano!$G18)=0,N(Plano!$L18)=0),"",IF(Plano!$L18+Plano!$G18*MAX(0,ROUNDUP((AM$5-Plano!$L18)/Plano!$G18,0))&lt;=IF(DAY(AM$5)&gt;=29,EOMONTH(AM$5,0),AM$5+6),"●",""))</f>
        <v/>
      </c>
      <c r="AN21" s="138">
        <f>IF(OR(NOT(ISNUMBER(AN$5)),N(Plano!$G18)=0,N(Plano!$L18)=0),"",IF(Plano!$L18+Plano!$G18*MAX(0,ROUNDUP((AN$5-Plano!$L18)/Plano!$G18,0))&lt;=IF(DAY(AN$5)&gt;=29,EOMONTH(AN$5,0),AN$5+6),"●",""))</f>
        <v/>
      </c>
      <c r="AO21" s="139">
        <f>IF(OR(NOT(ISNUMBER(AO$5)),N(Plano!$G18)=0,N(Plano!$L18)=0),"",IF(Plano!$L18+Plano!$G18*MAX(0,ROUNDUP((AO$5-Plano!$L18)/Plano!$G18,0))&lt;=IF(DAY(AO$5)&gt;=29,EOMONTH(AO$5,0),AO$5+6),"●",""))</f>
        <v/>
      </c>
      <c r="AP21" s="138">
        <f>IF(OR(NOT(ISNUMBER(AP$5)),N(Plano!$G18)=0,N(Plano!$L18)=0),"",IF(Plano!$L18+Plano!$G18*MAX(0,ROUNDUP((AP$5-Plano!$L18)/Plano!$G18,0))&lt;=IF(DAY(AP$5)&gt;=29,EOMONTH(AP$5,0),AP$5+6),"●",""))</f>
        <v/>
      </c>
      <c r="AQ21" s="138">
        <f>IF(OR(NOT(ISNUMBER(AQ$5)),N(Plano!$G18)=0,N(Plano!$L18)=0),"",IF(Plano!$L18+Plano!$G18*MAX(0,ROUNDUP((AQ$5-Plano!$L18)/Plano!$G18,0))&lt;=IF(DAY(AQ$5)&gt;=29,EOMONTH(AQ$5,0),AQ$5+6),"●",""))</f>
        <v/>
      </c>
      <c r="AR21" s="138">
        <f>IF(OR(NOT(ISNUMBER(AR$5)),N(Plano!$G18)=0,N(Plano!$L18)=0),"",IF(Plano!$L18+Plano!$G18*MAX(0,ROUNDUP((AR$5-Plano!$L18)/Plano!$G18,0))&lt;=IF(DAY(AR$5)&gt;=29,EOMONTH(AR$5,0),AR$5+6),"●",""))</f>
        <v/>
      </c>
      <c r="AS21" s="138">
        <f>IF(OR(NOT(ISNUMBER(AS$5)),N(Plano!$G18)=0,N(Plano!$L18)=0),"",IF(Plano!$L18+Plano!$G18*MAX(0,ROUNDUP((AS$5-Plano!$L18)/Plano!$G18,0))&lt;=IF(DAY(AS$5)&gt;=29,EOMONTH(AS$5,0),AS$5+6),"●",""))</f>
        <v/>
      </c>
      <c r="AT21" s="139">
        <f>IF(OR(NOT(ISNUMBER(AT$5)),N(Plano!$G18)=0,N(Plano!$L18)=0),"",IF(Plano!$L18+Plano!$G18*MAX(0,ROUNDUP((AT$5-Plano!$L18)/Plano!$G18,0))&lt;=IF(DAY(AT$5)&gt;=29,EOMONTH(AT$5,0),AT$5+6),"●",""))</f>
        <v/>
      </c>
      <c r="AU21" s="138">
        <f>IF(OR(NOT(ISNUMBER(AU$5)),N(Plano!$G18)=0,N(Plano!$L18)=0),"",IF(Plano!$L18+Plano!$G18*MAX(0,ROUNDUP((AU$5-Plano!$L18)/Plano!$G18,0))&lt;=IF(DAY(AU$5)&gt;=29,EOMONTH(AU$5,0),AU$5+6),"●",""))</f>
        <v/>
      </c>
      <c r="AV21" s="138">
        <f>IF(OR(NOT(ISNUMBER(AV$5)),N(Plano!$G18)=0,N(Plano!$L18)=0),"",IF(Plano!$L18+Plano!$G18*MAX(0,ROUNDUP((AV$5-Plano!$L18)/Plano!$G18,0))&lt;=IF(DAY(AV$5)&gt;=29,EOMONTH(AV$5,0),AV$5+6),"●",""))</f>
        <v/>
      </c>
      <c r="AW21" s="138">
        <f>IF(OR(NOT(ISNUMBER(AW$5)),N(Plano!$G18)=0,N(Plano!$L18)=0),"",IF(Plano!$L18+Plano!$G18*MAX(0,ROUNDUP((AW$5-Plano!$L18)/Plano!$G18,0))&lt;=IF(DAY(AW$5)&gt;=29,EOMONTH(AW$5,0),AW$5+6),"●",""))</f>
        <v/>
      </c>
      <c r="AX21" s="138">
        <f>IF(OR(NOT(ISNUMBER(AX$5)),N(Plano!$G18)=0,N(Plano!$L18)=0),"",IF(Plano!$L18+Plano!$G18*MAX(0,ROUNDUP((AX$5-Plano!$L18)/Plano!$G18,0))&lt;=IF(DAY(AX$5)&gt;=29,EOMONTH(AX$5,0),AX$5+6),"●",""))</f>
        <v/>
      </c>
      <c r="AY21" s="139">
        <f>IF(OR(NOT(ISNUMBER(AY$5)),N(Plano!$G18)=0,N(Plano!$L18)=0),"",IF(Plano!$L18+Plano!$G18*MAX(0,ROUNDUP((AY$5-Plano!$L18)/Plano!$G18,0))&lt;=IF(DAY(AY$5)&gt;=29,EOMONTH(AY$5,0),AY$5+6),"●",""))</f>
        <v/>
      </c>
      <c r="AZ21" s="138">
        <f>IF(OR(NOT(ISNUMBER(AZ$5)),N(Plano!$G18)=0,N(Plano!$L18)=0),"",IF(Plano!$L18+Plano!$G18*MAX(0,ROUNDUP((AZ$5-Plano!$L18)/Plano!$G18,0))&lt;=IF(DAY(AZ$5)&gt;=29,EOMONTH(AZ$5,0),AZ$5+6),"●",""))</f>
        <v/>
      </c>
      <c r="BA21" s="138">
        <f>IF(OR(NOT(ISNUMBER(BA$5)),N(Plano!$G18)=0,N(Plano!$L18)=0),"",IF(Plano!$L18+Plano!$G18*MAX(0,ROUNDUP((BA$5-Plano!$L18)/Plano!$G18,0))&lt;=IF(DAY(BA$5)&gt;=29,EOMONTH(BA$5,0),BA$5+6),"●",""))</f>
        <v/>
      </c>
      <c r="BB21" s="138">
        <f>IF(OR(NOT(ISNUMBER(BB$5)),N(Plano!$G18)=0,N(Plano!$L18)=0),"",IF(Plano!$L18+Plano!$G18*MAX(0,ROUNDUP((BB$5-Plano!$L18)/Plano!$G18,0))&lt;=IF(DAY(BB$5)&gt;=29,EOMONTH(BB$5,0),BB$5+6),"●",""))</f>
        <v/>
      </c>
      <c r="BC21" s="138">
        <f>IF(OR(NOT(ISNUMBER(BC$5)),N(Plano!$G18)=0,N(Plano!$L18)=0),"",IF(Plano!$L18+Plano!$G18*MAX(0,ROUNDUP((BC$5-Plano!$L18)/Plano!$G18,0))&lt;=IF(DAY(BC$5)&gt;=29,EOMONTH(BC$5,0),BC$5+6),"●",""))</f>
        <v/>
      </c>
      <c r="BD21" s="139">
        <f>IF(OR(NOT(ISNUMBER(BD$5)),N(Plano!$G18)=0,N(Plano!$L18)=0),"",IF(Plano!$L18+Plano!$G18*MAX(0,ROUNDUP((BD$5-Plano!$L18)/Plano!$G18,0))&lt;=IF(DAY(BD$5)&gt;=29,EOMONTH(BD$5,0),BD$5+6),"●",""))</f>
        <v/>
      </c>
      <c r="BE21" s="138">
        <f>IF(OR(NOT(ISNUMBER(BE$5)),N(Plano!$G18)=0,N(Plano!$L18)=0),"",IF(Plano!$L18+Plano!$G18*MAX(0,ROUNDUP((BE$5-Plano!$L18)/Plano!$G18,0))&lt;=IF(DAY(BE$5)&gt;=29,EOMONTH(BE$5,0),BE$5+6),"●",""))</f>
        <v/>
      </c>
      <c r="BF21" s="138">
        <f>IF(OR(NOT(ISNUMBER(BF$5)),N(Plano!$G18)=0,N(Plano!$L18)=0),"",IF(Plano!$L18+Plano!$G18*MAX(0,ROUNDUP((BF$5-Plano!$L18)/Plano!$G18,0))&lt;=IF(DAY(BF$5)&gt;=29,EOMONTH(BF$5,0),BF$5+6),"●",""))</f>
        <v/>
      </c>
      <c r="BG21" s="138">
        <f>IF(OR(NOT(ISNUMBER(BG$5)),N(Plano!$G18)=0,N(Plano!$L18)=0),"",IF(Plano!$L18+Plano!$G18*MAX(0,ROUNDUP((BG$5-Plano!$L18)/Plano!$G18,0))&lt;=IF(DAY(BG$5)&gt;=29,EOMONTH(BG$5,0),BG$5+6),"●",""))</f>
        <v/>
      </c>
      <c r="BH21" s="138">
        <f>IF(OR(NOT(ISNUMBER(BH$5)),N(Plano!$G18)=0,N(Plano!$L18)=0),"",IF(Plano!$L18+Plano!$G18*MAX(0,ROUNDUP((BH$5-Plano!$L18)/Plano!$G18,0))&lt;=IF(DAY(BH$5)&gt;=29,EOMONTH(BH$5,0),BH$5+6),"●",""))</f>
        <v/>
      </c>
      <c r="BI21" s="139">
        <f>IF(OR(NOT(ISNUMBER(BI$5)),N(Plano!$G18)=0,N(Plano!$L18)=0),"",IF(Plano!$L18+Plano!$G18*MAX(0,ROUNDUP((BI$5-Plano!$L18)/Plano!$G18,0))&lt;=IF(DAY(BI$5)&gt;=29,EOMONTH(BI$5,0),BI$5+6),"●",""))</f>
        <v/>
      </c>
      <c r="BJ21" s="138">
        <f>IF(OR(NOT(ISNUMBER(BJ$5)),N(Plano!$G18)=0,N(Plano!$L18)=0),"",IF(Plano!$L18+Plano!$G18*MAX(0,ROUNDUP((BJ$5-Plano!$L18)/Plano!$G18,0))&lt;=IF(DAY(BJ$5)&gt;=29,EOMONTH(BJ$5,0),BJ$5+6),"●",""))</f>
        <v/>
      </c>
      <c r="BK21" s="138">
        <f>IF(OR(NOT(ISNUMBER(BK$5)),N(Plano!$G18)=0,N(Plano!$L18)=0),"",IF(Plano!$L18+Plano!$G18*MAX(0,ROUNDUP((BK$5-Plano!$L18)/Plano!$G18,0))&lt;=IF(DAY(BK$5)&gt;=29,EOMONTH(BK$5,0),BK$5+6),"●",""))</f>
        <v/>
      </c>
      <c r="BL21" s="138">
        <f>IF(OR(NOT(ISNUMBER(BL$5)),N(Plano!$G18)=0,N(Plano!$L18)=0),"",IF(Plano!$L18+Plano!$G18*MAX(0,ROUNDUP((BL$5-Plano!$L18)/Plano!$G18,0))&lt;=IF(DAY(BL$5)&gt;=29,EOMONTH(BL$5,0),BL$5+6),"●",""))</f>
        <v/>
      </c>
      <c r="BM21" s="140">
        <f>IF(OR(NOT(ISNUMBER(BM$5)),N(Plano!$G18)=0,N(Plano!$L18)=0),"",IF(Plano!$L18+Plano!$G18*MAX(0,ROUNDUP((BM$5-Plano!$L18)/Plano!$G18,0))&lt;=IF(DAY(BM$5)&gt;=29,EOMONTH(BM$5,0),BM$5+6),"●",""))</f>
        <v/>
      </c>
    </row>
    <row r="22" ht="18" customHeight="1">
      <c r="A22" s="118">
        <f>Plano!A19</f>
        <v/>
      </c>
      <c r="B22" s="136">
        <f>IF(Plano!B19="","",Plano!B19)</f>
        <v/>
      </c>
      <c r="C22" s="70">
        <f>IF(B22="","",IFERROR(INDEX(tb_pcm_ativos[descricao_ativo],MATCH(B22,tb_pcm_ativos[tag],0)),"fora do cadastro"))</f>
        <v/>
      </c>
      <c r="D22" s="70">
        <f>IF(Plano!E19="","",Plano!E19)</f>
        <v/>
      </c>
      <c r="E22" s="137">
        <f>IF(Plano!G19="","",Plano!G19)</f>
        <v/>
      </c>
      <c r="F22" s="138">
        <f>IF(OR(NOT(ISNUMBER(F$5)),N(Plano!$G19)=0,N(Plano!$L19)=0),"",IF(Plano!$L19+Plano!$G19*MAX(0,ROUNDUP((F$5-Plano!$L19)/Plano!$G19,0))&lt;=IF(DAY(F$5)&gt;=29,EOMONTH(F$5,0),F$5+6),"●",""))</f>
        <v/>
      </c>
      <c r="G22" s="138">
        <f>IF(OR(NOT(ISNUMBER(G$5)),N(Plano!$G19)=0,N(Plano!$L19)=0),"",IF(Plano!$L19+Plano!$G19*MAX(0,ROUNDUP((G$5-Plano!$L19)/Plano!$G19,0))&lt;=IF(DAY(G$5)&gt;=29,EOMONTH(G$5,0),G$5+6),"●",""))</f>
        <v/>
      </c>
      <c r="H22" s="138">
        <f>IF(OR(NOT(ISNUMBER(H$5)),N(Plano!$G19)=0,N(Plano!$L19)=0),"",IF(Plano!$L19+Plano!$G19*MAX(0,ROUNDUP((H$5-Plano!$L19)/Plano!$G19,0))&lt;=IF(DAY(H$5)&gt;=29,EOMONTH(H$5,0),H$5+6),"●",""))</f>
        <v/>
      </c>
      <c r="I22" s="138">
        <f>IF(OR(NOT(ISNUMBER(I$5)),N(Plano!$G19)=0,N(Plano!$L19)=0),"",IF(Plano!$L19+Plano!$G19*MAX(0,ROUNDUP((I$5-Plano!$L19)/Plano!$G19,0))&lt;=IF(DAY(I$5)&gt;=29,EOMONTH(I$5,0),I$5+6),"●",""))</f>
        <v/>
      </c>
      <c r="J22" s="138">
        <f>IF(OR(NOT(ISNUMBER(J$5)),N(Plano!$G19)=0,N(Plano!$L19)=0),"",IF(Plano!$L19+Plano!$G19*MAX(0,ROUNDUP((J$5-Plano!$L19)/Plano!$G19,0))&lt;=IF(DAY(J$5)&gt;=29,EOMONTH(J$5,0),J$5+6),"●",""))</f>
        <v/>
      </c>
      <c r="K22" s="139">
        <f>IF(OR(NOT(ISNUMBER(K$5)),N(Plano!$G19)=0,N(Plano!$L19)=0),"",IF(Plano!$L19+Plano!$G19*MAX(0,ROUNDUP((K$5-Plano!$L19)/Plano!$G19,0))&lt;=IF(DAY(K$5)&gt;=29,EOMONTH(K$5,0),K$5+6),"●",""))</f>
        <v/>
      </c>
      <c r="L22" s="138">
        <f>IF(OR(NOT(ISNUMBER(L$5)),N(Plano!$G19)=0,N(Plano!$L19)=0),"",IF(Plano!$L19+Plano!$G19*MAX(0,ROUNDUP((L$5-Plano!$L19)/Plano!$G19,0))&lt;=IF(DAY(L$5)&gt;=29,EOMONTH(L$5,0),L$5+6),"●",""))</f>
        <v/>
      </c>
      <c r="M22" s="138">
        <f>IF(OR(NOT(ISNUMBER(M$5)),N(Plano!$G19)=0,N(Plano!$L19)=0),"",IF(Plano!$L19+Plano!$G19*MAX(0,ROUNDUP((M$5-Plano!$L19)/Plano!$G19,0))&lt;=IF(DAY(M$5)&gt;=29,EOMONTH(M$5,0),M$5+6),"●",""))</f>
        <v/>
      </c>
      <c r="N22" s="138">
        <f>IF(OR(NOT(ISNUMBER(N$5)),N(Plano!$G19)=0,N(Plano!$L19)=0),"",IF(Plano!$L19+Plano!$G19*MAX(0,ROUNDUP((N$5-Plano!$L19)/Plano!$G19,0))&lt;=IF(DAY(N$5)&gt;=29,EOMONTH(N$5,0),N$5+6),"●",""))</f>
        <v/>
      </c>
      <c r="O22" s="138">
        <f>IF(OR(NOT(ISNUMBER(O$5)),N(Plano!$G19)=0,N(Plano!$L19)=0),"",IF(Plano!$L19+Plano!$G19*MAX(0,ROUNDUP((O$5-Plano!$L19)/Plano!$G19,0))&lt;=IF(DAY(O$5)&gt;=29,EOMONTH(O$5,0),O$5+6),"●",""))</f>
        <v/>
      </c>
      <c r="P22" s="139">
        <f>IF(OR(NOT(ISNUMBER(P$5)),N(Plano!$G19)=0,N(Plano!$L19)=0),"",IF(Plano!$L19+Plano!$G19*MAX(0,ROUNDUP((P$5-Plano!$L19)/Plano!$G19,0))&lt;=IF(DAY(P$5)&gt;=29,EOMONTH(P$5,0),P$5+6),"●",""))</f>
        <v/>
      </c>
      <c r="Q22" s="138">
        <f>IF(OR(NOT(ISNUMBER(Q$5)),N(Plano!$G19)=0,N(Plano!$L19)=0),"",IF(Plano!$L19+Plano!$G19*MAX(0,ROUNDUP((Q$5-Plano!$L19)/Plano!$G19,0))&lt;=IF(DAY(Q$5)&gt;=29,EOMONTH(Q$5,0),Q$5+6),"●",""))</f>
        <v/>
      </c>
      <c r="R22" s="138">
        <f>IF(OR(NOT(ISNUMBER(R$5)),N(Plano!$G19)=0,N(Plano!$L19)=0),"",IF(Plano!$L19+Plano!$G19*MAX(0,ROUNDUP((R$5-Plano!$L19)/Plano!$G19,0))&lt;=IF(DAY(R$5)&gt;=29,EOMONTH(R$5,0),R$5+6),"●",""))</f>
        <v/>
      </c>
      <c r="S22" s="138">
        <f>IF(OR(NOT(ISNUMBER(S$5)),N(Plano!$G19)=0,N(Plano!$L19)=0),"",IF(Plano!$L19+Plano!$G19*MAX(0,ROUNDUP((S$5-Plano!$L19)/Plano!$G19,0))&lt;=IF(DAY(S$5)&gt;=29,EOMONTH(S$5,0),S$5+6),"●",""))</f>
        <v/>
      </c>
      <c r="T22" s="138">
        <f>IF(OR(NOT(ISNUMBER(T$5)),N(Plano!$G19)=0,N(Plano!$L19)=0),"",IF(Plano!$L19+Plano!$G19*MAX(0,ROUNDUP((T$5-Plano!$L19)/Plano!$G19,0))&lt;=IF(DAY(T$5)&gt;=29,EOMONTH(T$5,0),T$5+6),"●",""))</f>
        <v/>
      </c>
      <c r="U22" s="139">
        <f>IF(OR(NOT(ISNUMBER(U$5)),N(Plano!$G19)=0,N(Plano!$L19)=0),"",IF(Plano!$L19+Plano!$G19*MAX(0,ROUNDUP((U$5-Plano!$L19)/Plano!$G19,0))&lt;=IF(DAY(U$5)&gt;=29,EOMONTH(U$5,0),U$5+6),"●",""))</f>
        <v/>
      </c>
      <c r="V22" s="138">
        <f>IF(OR(NOT(ISNUMBER(V$5)),N(Plano!$G19)=0,N(Plano!$L19)=0),"",IF(Plano!$L19+Plano!$G19*MAX(0,ROUNDUP((V$5-Plano!$L19)/Plano!$G19,0))&lt;=IF(DAY(V$5)&gt;=29,EOMONTH(V$5,0),V$5+6),"●",""))</f>
        <v/>
      </c>
      <c r="W22" s="138">
        <f>IF(OR(NOT(ISNUMBER(W$5)),N(Plano!$G19)=0,N(Plano!$L19)=0),"",IF(Plano!$L19+Plano!$G19*MAX(0,ROUNDUP((W$5-Plano!$L19)/Plano!$G19,0))&lt;=IF(DAY(W$5)&gt;=29,EOMONTH(W$5,0),W$5+6),"●",""))</f>
        <v/>
      </c>
      <c r="X22" s="138">
        <f>IF(OR(NOT(ISNUMBER(X$5)),N(Plano!$G19)=0,N(Plano!$L19)=0),"",IF(Plano!$L19+Plano!$G19*MAX(0,ROUNDUP((X$5-Plano!$L19)/Plano!$G19,0))&lt;=IF(DAY(X$5)&gt;=29,EOMONTH(X$5,0),X$5+6),"●",""))</f>
        <v/>
      </c>
      <c r="Y22" s="138">
        <f>IF(OR(NOT(ISNUMBER(Y$5)),N(Plano!$G19)=0,N(Plano!$L19)=0),"",IF(Plano!$L19+Plano!$G19*MAX(0,ROUNDUP((Y$5-Plano!$L19)/Plano!$G19,0))&lt;=IF(DAY(Y$5)&gt;=29,EOMONTH(Y$5,0),Y$5+6),"●",""))</f>
        <v/>
      </c>
      <c r="Z22" s="139">
        <f>IF(OR(NOT(ISNUMBER(Z$5)),N(Plano!$G19)=0,N(Plano!$L19)=0),"",IF(Plano!$L19+Plano!$G19*MAX(0,ROUNDUP((Z$5-Plano!$L19)/Plano!$G19,0))&lt;=IF(DAY(Z$5)&gt;=29,EOMONTH(Z$5,0),Z$5+6),"●",""))</f>
        <v/>
      </c>
      <c r="AA22" s="138">
        <f>IF(OR(NOT(ISNUMBER(AA$5)),N(Plano!$G19)=0,N(Plano!$L19)=0),"",IF(Plano!$L19+Plano!$G19*MAX(0,ROUNDUP((AA$5-Plano!$L19)/Plano!$G19,0))&lt;=IF(DAY(AA$5)&gt;=29,EOMONTH(AA$5,0),AA$5+6),"●",""))</f>
        <v/>
      </c>
      <c r="AB22" s="138">
        <f>IF(OR(NOT(ISNUMBER(AB$5)),N(Plano!$G19)=0,N(Plano!$L19)=0),"",IF(Plano!$L19+Plano!$G19*MAX(0,ROUNDUP((AB$5-Plano!$L19)/Plano!$G19,0))&lt;=IF(DAY(AB$5)&gt;=29,EOMONTH(AB$5,0),AB$5+6),"●",""))</f>
        <v/>
      </c>
      <c r="AC22" s="138">
        <f>IF(OR(NOT(ISNUMBER(AC$5)),N(Plano!$G19)=0,N(Plano!$L19)=0),"",IF(Plano!$L19+Plano!$G19*MAX(0,ROUNDUP((AC$5-Plano!$L19)/Plano!$G19,0))&lt;=IF(DAY(AC$5)&gt;=29,EOMONTH(AC$5,0),AC$5+6),"●",""))</f>
        <v/>
      </c>
      <c r="AD22" s="138">
        <f>IF(OR(NOT(ISNUMBER(AD$5)),N(Plano!$G19)=0,N(Plano!$L19)=0),"",IF(Plano!$L19+Plano!$G19*MAX(0,ROUNDUP((AD$5-Plano!$L19)/Plano!$G19,0))&lt;=IF(DAY(AD$5)&gt;=29,EOMONTH(AD$5,0),AD$5+6),"●",""))</f>
        <v/>
      </c>
      <c r="AE22" s="139">
        <f>IF(OR(NOT(ISNUMBER(AE$5)),N(Plano!$G19)=0,N(Plano!$L19)=0),"",IF(Plano!$L19+Plano!$G19*MAX(0,ROUNDUP((AE$5-Plano!$L19)/Plano!$G19,0))&lt;=IF(DAY(AE$5)&gt;=29,EOMONTH(AE$5,0),AE$5+6),"●",""))</f>
        <v/>
      </c>
      <c r="AF22" s="138">
        <f>IF(OR(NOT(ISNUMBER(AF$5)),N(Plano!$G19)=0,N(Plano!$L19)=0),"",IF(Plano!$L19+Plano!$G19*MAX(0,ROUNDUP((AF$5-Plano!$L19)/Plano!$G19,0))&lt;=IF(DAY(AF$5)&gt;=29,EOMONTH(AF$5,0),AF$5+6),"●",""))</f>
        <v/>
      </c>
      <c r="AG22" s="138">
        <f>IF(OR(NOT(ISNUMBER(AG$5)),N(Plano!$G19)=0,N(Plano!$L19)=0),"",IF(Plano!$L19+Plano!$G19*MAX(0,ROUNDUP((AG$5-Plano!$L19)/Plano!$G19,0))&lt;=IF(DAY(AG$5)&gt;=29,EOMONTH(AG$5,0),AG$5+6),"●",""))</f>
        <v/>
      </c>
      <c r="AH22" s="138">
        <f>IF(OR(NOT(ISNUMBER(AH$5)),N(Plano!$G19)=0,N(Plano!$L19)=0),"",IF(Plano!$L19+Plano!$G19*MAX(0,ROUNDUP((AH$5-Plano!$L19)/Plano!$G19,0))&lt;=IF(DAY(AH$5)&gt;=29,EOMONTH(AH$5,0),AH$5+6),"●",""))</f>
        <v/>
      </c>
      <c r="AI22" s="138">
        <f>IF(OR(NOT(ISNUMBER(AI$5)),N(Plano!$G19)=0,N(Plano!$L19)=0),"",IF(Plano!$L19+Plano!$G19*MAX(0,ROUNDUP((AI$5-Plano!$L19)/Plano!$G19,0))&lt;=IF(DAY(AI$5)&gt;=29,EOMONTH(AI$5,0),AI$5+6),"●",""))</f>
        <v/>
      </c>
      <c r="AJ22" s="139">
        <f>IF(OR(NOT(ISNUMBER(AJ$5)),N(Plano!$G19)=0,N(Plano!$L19)=0),"",IF(Plano!$L19+Plano!$G19*MAX(0,ROUNDUP((AJ$5-Plano!$L19)/Plano!$G19,0))&lt;=IF(DAY(AJ$5)&gt;=29,EOMONTH(AJ$5,0),AJ$5+6),"●",""))</f>
        <v/>
      </c>
      <c r="AK22" s="138">
        <f>IF(OR(NOT(ISNUMBER(AK$5)),N(Plano!$G19)=0,N(Plano!$L19)=0),"",IF(Plano!$L19+Plano!$G19*MAX(0,ROUNDUP((AK$5-Plano!$L19)/Plano!$G19,0))&lt;=IF(DAY(AK$5)&gt;=29,EOMONTH(AK$5,0),AK$5+6),"●",""))</f>
        <v/>
      </c>
      <c r="AL22" s="138">
        <f>IF(OR(NOT(ISNUMBER(AL$5)),N(Plano!$G19)=0,N(Plano!$L19)=0),"",IF(Plano!$L19+Plano!$G19*MAX(0,ROUNDUP((AL$5-Plano!$L19)/Plano!$G19,0))&lt;=IF(DAY(AL$5)&gt;=29,EOMONTH(AL$5,0),AL$5+6),"●",""))</f>
        <v/>
      </c>
      <c r="AM22" s="138">
        <f>IF(OR(NOT(ISNUMBER(AM$5)),N(Plano!$G19)=0,N(Plano!$L19)=0),"",IF(Plano!$L19+Plano!$G19*MAX(0,ROUNDUP((AM$5-Plano!$L19)/Plano!$G19,0))&lt;=IF(DAY(AM$5)&gt;=29,EOMONTH(AM$5,0),AM$5+6),"●",""))</f>
        <v/>
      </c>
      <c r="AN22" s="138">
        <f>IF(OR(NOT(ISNUMBER(AN$5)),N(Plano!$G19)=0,N(Plano!$L19)=0),"",IF(Plano!$L19+Plano!$G19*MAX(0,ROUNDUP((AN$5-Plano!$L19)/Plano!$G19,0))&lt;=IF(DAY(AN$5)&gt;=29,EOMONTH(AN$5,0),AN$5+6),"●",""))</f>
        <v/>
      </c>
      <c r="AO22" s="139">
        <f>IF(OR(NOT(ISNUMBER(AO$5)),N(Plano!$G19)=0,N(Plano!$L19)=0),"",IF(Plano!$L19+Plano!$G19*MAX(0,ROUNDUP((AO$5-Plano!$L19)/Plano!$G19,0))&lt;=IF(DAY(AO$5)&gt;=29,EOMONTH(AO$5,0),AO$5+6),"●",""))</f>
        <v/>
      </c>
      <c r="AP22" s="138">
        <f>IF(OR(NOT(ISNUMBER(AP$5)),N(Plano!$G19)=0,N(Plano!$L19)=0),"",IF(Plano!$L19+Plano!$G19*MAX(0,ROUNDUP((AP$5-Plano!$L19)/Plano!$G19,0))&lt;=IF(DAY(AP$5)&gt;=29,EOMONTH(AP$5,0),AP$5+6),"●",""))</f>
        <v/>
      </c>
      <c r="AQ22" s="138">
        <f>IF(OR(NOT(ISNUMBER(AQ$5)),N(Plano!$G19)=0,N(Plano!$L19)=0),"",IF(Plano!$L19+Plano!$G19*MAX(0,ROUNDUP((AQ$5-Plano!$L19)/Plano!$G19,0))&lt;=IF(DAY(AQ$5)&gt;=29,EOMONTH(AQ$5,0),AQ$5+6),"●",""))</f>
        <v/>
      </c>
      <c r="AR22" s="138">
        <f>IF(OR(NOT(ISNUMBER(AR$5)),N(Plano!$G19)=0,N(Plano!$L19)=0),"",IF(Plano!$L19+Plano!$G19*MAX(0,ROUNDUP((AR$5-Plano!$L19)/Plano!$G19,0))&lt;=IF(DAY(AR$5)&gt;=29,EOMONTH(AR$5,0),AR$5+6),"●",""))</f>
        <v/>
      </c>
      <c r="AS22" s="138">
        <f>IF(OR(NOT(ISNUMBER(AS$5)),N(Plano!$G19)=0,N(Plano!$L19)=0),"",IF(Plano!$L19+Plano!$G19*MAX(0,ROUNDUP((AS$5-Plano!$L19)/Plano!$G19,0))&lt;=IF(DAY(AS$5)&gt;=29,EOMONTH(AS$5,0),AS$5+6),"●",""))</f>
        <v/>
      </c>
      <c r="AT22" s="139">
        <f>IF(OR(NOT(ISNUMBER(AT$5)),N(Plano!$G19)=0,N(Plano!$L19)=0),"",IF(Plano!$L19+Plano!$G19*MAX(0,ROUNDUP((AT$5-Plano!$L19)/Plano!$G19,0))&lt;=IF(DAY(AT$5)&gt;=29,EOMONTH(AT$5,0),AT$5+6),"●",""))</f>
        <v/>
      </c>
      <c r="AU22" s="138">
        <f>IF(OR(NOT(ISNUMBER(AU$5)),N(Plano!$G19)=0,N(Plano!$L19)=0),"",IF(Plano!$L19+Plano!$G19*MAX(0,ROUNDUP((AU$5-Plano!$L19)/Plano!$G19,0))&lt;=IF(DAY(AU$5)&gt;=29,EOMONTH(AU$5,0),AU$5+6),"●",""))</f>
        <v/>
      </c>
      <c r="AV22" s="138">
        <f>IF(OR(NOT(ISNUMBER(AV$5)),N(Plano!$G19)=0,N(Plano!$L19)=0),"",IF(Plano!$L19+Plano!$G19*MAX(0,ROUNDUP((AV$5-Plano!$L19)/Plano!$G19,0))&lt;=IF(DAY(AV$5)&gt;=29,EOMONTH(AV$5,0),AV$5+6),"●",""))</f>
        <v/>
      </c>
      <c r="AW22" s="138">
        <f>IF(OR(NOT(ISNUMBER(AW$5)),N(Plano!$G19)=0,N(Plano!$L19)=0),"",IF(Plano!$L19+Plano!$G19*MAX(0,ROUNDUP((AW$5-Plano!$L19)/Plano!$G19,0))&lt;=IF(DAY(AW$5)&gt;=29,EOMONTH(AW$5,0),AW$5+6),"●",""))</f>
        <v/>
      </c>
      <c r="AX22" s="138">
        <f>IF(OR(NOT(ISNUMBER(AX$5)),N(Plano!$G19)=0,N(Plano!$L19)=0),"",IF(Plano!$L19+Plano!$G19*MAX(0,ROUNDUP((AX$5-Plano!$L19)/Plano!$G19,0))&lt;=IF(DAY(AX$5)&gt;=29,EOMONTH(AX$5,0),AX$5+6),"●",""))</f>
        <v/>
      </c>
      <c r="AY22" s="139">
        <f>IF(OR(NOT(ISNUMBER(AY$5)),N(Plano!$G19)=0,N(Plano!$L19)=0),"",IF(Plano!$L19+Plano!$G19*MAX(0,ROUNDUP((AY$5-Plano!$L19)/Plano!$G19,0))&lt;=IF(DAY(AY$5)&gt;=29,EOMONTH(AY$5,0),AY$5+6),"●",""))</f>
        <v/>
      </c>
      <c r="AZ22" s="138">
        <f>IF(OR(NOT(ISNUMBER(AZ$5)),N(Plano!$G19)=0,N(Plano!$L19)=0),"",IF(Plano!$L19+Plano!$G19*MAX(0,ROUNDUP((AZ$5-Plano!$L19)/Plano!$G19,0))&lt;=IF(DAY(AZ$5)&gt;=29,EOMONTH(AZ$5,0),AZ$5+6),"●",""))</f>
        <v/>
      </c>
      <c r="BA22" s="138">
        <f>IF(OR(NOT(ISNUMBER(BA$5)),N(Plano!$G19)=0,N(Plano!$L19)=0),"",IF(Plano!$L19+Plano!$G19*MAX(0,ROUNDUP((BA$5-Plano!$L19)/Plano!$G19,0))&lt;=IF(DAY(BA$5)&gt;=29,EOMONTH(BA$5,0),BA$5+6),"●",""))</f>
        <v/>
      </c>
      <c r="BB22" s="138">
        <f>IF(OR(NOT(ISNUMBER(BB$5)),N(Plano!$G19)=0,N(Plano!$L19)=0),"",IF(Plano!$L19+Plano!$G19*MAX(0,ROUNDUP((BB$5-Plano!$L19)/Plano!$G19,0))&lt;=IF(DAY(BB$5)&gt;=29,EOMONTH(BB$5,0),BB$5+6),"●",""))</f>
        <v/>
      </c>
      <c r="BC22" s="138">
        <f>IF(OR(NOT(ISNUMBER(BC$5)),N(Plano!$G19)=0,N(Plano!$L19)=0),"",IF(Plano!$L19+Plano!$G19*MAX(0,ROUNDUP((BC$5-Plano!$L19)/Plano!$G19,0))&lt;=IF(DAY(BC$5)&gt;=29,EOMONTH(BC$5,0),BC$5+6),"●",""))</f>
        <v/>
      </c>
      <c r="BD22" s="139">
        <f>IF(OR(NOT(ISNUMBER(BD$5)),N(Plano!$G19)=0,N(Plano!$L19)=0),"",IF(Plano!$L19+Plano!$G19*MAX(0,ROUNDUP((BD$5-Plano!$L19)/Plano!$G19,0))&lt;=IF(DAY(BD$5)&gt;=29,EOMONTH(BD$5,0),BD$5+6),"●",""))</f>
        <v/>
      </c>
      <c r="BE22" s="138">
        <f>IF(OR(NOT(ISNUMBER(BE$5)),N(Plano!$G19)=0,N(Plano!$L19)=0),"",IF(Plano!$L19+Plano!$G19*MAX(0,ROUNDUP((BE$5-Plano!$L19)/Plano!$G19,0))&lt;=IF(DAY(BE$5)&gt;=29,EOMONTH(BE$5,0),BE$5+6),"●",""))</f>
        <v/>
      </c>
      <c r="BF22" s="138">
        <f>IF(OR(NOT(ISNUMBER(BF$5)),N(Plano!$G19)=0,N(Plano!$L19)=0),"",IF(Plano!$L19+Plano!$G19*MAX(0,ROUNDUP((BF$5-Plano!$L19)/Plano!$G19,0))&lt;=IF(DAY(BF$5)&gt;=29,EOMONTH(BF$5,0),BF$5+6),"●",""))</f>
        <v/>
      </c>
      <c r="BG22" s="138">
        <f>IF(OR(NOT(ISNUMBER(BG$5)),N(Plano!$G19)=0,N(Plano!$L19)=0),"",IF(Plano!$L19+Plano!$G19*MAX(0,ROUNDUP((BG$5-Plano!$L19)/Plano!$G19,0))&lt;=IF(DAY(BG$5)&gt;=29,EOMONTH(BG$5,0),BG$5+6),"●",""))</f>
        <v/>
      </c>
      <c r="BH22" s="138">
        <f>IF(OR(NOT(ISNUMBER(BH$5)),N(Plano!$G19)=0,N(Plano!$L19)=0),"",IF(Plano!$L19+Plano!$G19*MAX(0,ROUNDUP((BH$5-Plano!$L19)/Plano!$G19,0))&lt;=IF(DAY(BH$5)&gt;=29,EOMONTH(BH$5,0),BH$5+6),"●",""))</f>
        <v/>
      </c>
      <c r="BI22" s="139">
        <f>IF(OR(NOT(ISNUMBER(BI$5)),N(Plano!$G19)=0,N(Plano!$L19)=0),"",IF(Plano!$L19+Plano!$G19*MAX(0,ROUNDUP((BI$5-Plano!$L19)/Plano!$G19,0))&lt;=IF(DAY(BI$5)&gt;=29,EOMONTH(BI$5,0),BI$5+6),"●",""))</f>
        <v/>
      </c>
      <c r="BJ22" s="138">
        <f>IF(OR(NOT(ISNUMBER(BJ$5)),N(Plano!$G19)=0,N(Plano!$L19)=0),"",IF(Plano!$L19+Plano!$G19*MAX(0,ROUNDUP((BJ$5-Plano!$L19)/Plano!$G19,0))&lt;=IF(DAY(BJ$5)&gt;=29,EOMONTH(BJ$5,0),BJ$5+6),"●",""))</f>
        <v/>
      </c>
      <c r="BK22" s="138">
        <f>IF(OR(NOT(ISNUMBER(BK$5)),N(Plano!$G19)=0,N(Plano!$L19)=0),"",IF(Plano!$L19+Plano!$G19*MAX(0,ROUNDUP((BK$5-Plano!$L19)/Plano!$G19,0))&lt;=IF(DAY(BK$5)&gt;=29,EOMONTH(BK$5,0),BK$5+6),"●",""))</f>
        <v/>
      </c>
      <c r="BL22" s="138">
        <f>IF(OR(NOT(ISNUMBER(BL$5)),N(Plano!$G19)=0,N(Plano!$L19)=0),"",IF(Plano!$L19+Plano!$G19*MAX(0,ROUNDUP((BL$5-Plano!$L19)/Plano!$G19,0))&lt;=IF(DAY(BL$5)&gt;=29,EOMONTH(BL$5,0),BL$5+6),"●",""))</f>
        <v/>
      </c>
      <c r="BM22" s="140">
        <f>IF(OR(NOT(ISNUMBER(BM$5)),N(Plano!$G19)=0,N(Plano!$L19)=0),"",IF(Plano!$L19+Plano!$G19*MAX(0,ROUNDUP((BM$5-Plano!$L19)/Plano!$G19,0))&lt;=IF(DAY(BM$5)&gt;=29,EOMONTH(BM$5,0),BM$5+6),"●",""))</f>
        <v/>
      </c>
    </row>
    <row r="23" ht="18" customHeight="1">
      <c r="A23" s="141" t="inlineStr">
        <is>
          <t>Outras atividades (fora da MFMEA)</t>
        </is>
      </c>
      <c r="B23" s="81" t="n"/>
      <c r="C23" s="81" t="n"/>
      <c r="D23" s="81" t="n"/>
      <c r="E23" s="81" t="n"/>
      <c r="F23" s="81" t="n"/>
      <c r="G23" s="81" t="n"/>
      <c r="H23" s="81" t="n"/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2" t="n"/>
    </row>
    <row r="24" ht="18" customHeight="1">
      <c r="A24" s="118">
        <f>Plano!A21</f>
        <v/>
      </c>
      <c r="B24" s="136">
        <f>IF(Plano!B21="","",Plano!B21)</f>
        <v/>
      </c>
      <c r="C24" s="70">
        <f>IF(B24="","",IFERROR(INDEX(tb_pcm_ativos[descricao_ativo],MATCH(B24,tb_pcm_ativos[tag],0)),"fora do cadastro"))</f>
        <v/>
      </c>
      <c r="D24" s="70">
        <f>IF(Plano!E21="","",Plano!E21)</f>
        <v/>
      </c>
      <c r="E24" s="137">
        <f>IF(Plano!G21="","",Plano!G21)</f>
        <v/>
      </c>
      <c r="F24" s="138">
        <f>IF(OR(NOT(ISNUMBER(F$5)),N(Plano!$G21)=0,N(Plano!$L21)=0),"",IF(Plano!$L21+Plano!$G21*MAX(0,ROUNDUP((F$5-Plano!$L21)/Plano!$G21,0))&lt;=IF(DAY(F$5)&gt;=29,EOMONTH(F$5,0),F$5+6),"●",""))</f>
        <v/>
      </c>
      <c r="G24" s="138">
        <f>IF(OR(NOT(ISNUMBER(G$5)),N(Plano!$G21)=0,N(Plano!$L21)=0),"",IF(Plano!$L21+Plano!$G21*MAX(0,ROUNDUP((G$5-Plano!$L21)/Plano!$G21,0))&lt;=IF(DAY(G$5)&gt;=29,EOMONTH(G$5,0),G$5+6),"●",""))</f>
        <v/>
      </c>
      <c r="H24" s="138">
        <f>IF(OR(NOT(ISNUMBER(H$5)),N(Plano!$G21)=0,N(Plano!$L21)=0),"",IF(Plano!$L21+Plano!$G21*MAX(0,ROUNDUP((H$5-Plano!$L21)/Plano!$G21,0))&lt;=IF(DAY(H$5)&gt;=29,EOMONTH(H$5,0),H$5+6),"●",""))</f>
        <v/>
      </c>
      <c r="I24" s="138">
        <f>IF(OR(NOT(ISNUMBER(I$5)),N(Plano!$G21)=0,N(Plano!$L21)=0),"",IF(Plano!$L21+Plano!$G21*MAX(0,ROUNDUP((I$5-Plano!$L21)/Plano!$G21,0))&lt;=IF(DAY(I$5)&gt;=29,EOMONTH(I$5,0),I$5+6),"●",""))</f>
        <v/>
      </c>
      <c r="J24" s="138">
        <f>IF(OR(NOT(ISNUMBER(J$5)),N(Plano!$G21)=0,N(Plano!$L21)=0),"",IF(Plano!$L21+Plano!$G21*MAX(0,ROUNDUP((J$5-Plano!$L21)/Plano!$G21,0))&lt;=IF(DAY(J$5)&gt;=29,EOMONTH(J$5,0),J$5+6),"●",""))</f>
        <v/>
      </c>
      <c r="K24" s="139">
        <f>IF(OR(NOT(ISNUMBER(K$5)),N(Plano!$G21)=0,N(Plano!$L21)=0),"",IF(Plano!$L21+Plano!$G21*MAX(0,ROUNDUP((K$5-Plano!$L21)/Plano!$G21,0))&lt;=IF(DAY(K$5)&gt;=29,EOMONTH(K$5,0),K$5+6),"●",""))</f>
        <v/>
      </c>
      <c r="L24" s="138">
        <f>IF(OR(NOT(ISNUMBER(L$5)),N(Plano!$G21)=0,N(Plano!$L21)=0),"",IF(Plano!$L21+Plano!$G21*MAX(0,ROUNDUP((L$5-Plano!$L21)/Plano!$G21,0))&lt;=IF(DAY(L$5)&gt;=29,EOMONTH(L$5,0),L$5+6),"●",""))</f>
        <v/>
      </c>
      <c r="M24" s="138">
        <f>IF(OR(NOT(ISNUMBER(M$5)),N(Plano!$G21)=0,N(Plano!$L21)=0),"",IF(Plano!$L21+Plano!$G21*MAX(0,ROUNDUP((M$5-Plano!$L21)/Plano!$G21,0))&lt;=IF(DAY(M$5)&gt;=29,EOMONTH(M$5,0),M$5+6),"●",""))</f>
        <v/>
      </c>
      <c r="N24" s="138">
        <f>IF(OR(NOT(ISNUMBER(N$5)),N(Plano!$G21)=0,N(Plano!$L21)=0),"",IF(Plano!$L21+Plano!$G21*MAX(0,ROUNDUP((N$5-Plano!$L21)/Plano!$G21,0))&lt;=IF(DAY(N$5)&gt;=29,EOMONTH(N$5,0),N$5+6),"●",""))</f>
        <v/>
      </c>
      <c r="O24" s="138">
        <f>IF(OR(NOT(ISNUMBER(O$5)),N(Plano!$G21)=0,N(Plano!$L21)=0),"",IF(Plano!$L21+Plano!$G21*MAX(0,ROUNDUP((O$5-Plano!$L21)/Plano!$G21,0))&lt;=IF(DAY(O$5)&gt;=29,EOMONTH(O$5,0),O$5+6),"●",""))</f>
        <v/>
      </c>
      <c r="P24" s="139">
        <f>IF(OR(NOT(ISNUMBER(P$5)),N(Plano!$G21)=0,N(Plano!$L21)=0),"",IF(Plano!$L21+Plano!$G21*MAX(0,ROUNDUP((P$5-Plano!$L21)/Plano!$G21,0))&lt;=IF(DAY(P$5)&gt;=29,EOMONTH(P$5,0),P$5+6),"●",""))</f>
        <v/>
      </c>
      <c r="Q24" s="138">
        <f>IF(OR(NOT(ISNUMBER(Q$5)),N(Plano!$G21)=0,N(Plano!$L21)=0),"",IF(Plano!$L21+Plano!$G21*MAX(0,ROUNDUP((Q$5-Plano!$L21)/Plano!$G21,0))&lt;=IF(DAY(Q$5)&gt;=29,EOMONTH(Q$5,0),Q$5+6),"●",""))</f>
        <v/>
      </c>
      <c r="R24" s="138">
        <f>IF(OR(NOT(ISNUMBER(R$5)),N(Plano!$G21)=0,N(Plano!$L21)=0),"",IF(Plano!$L21+Plano!$G21*MAX(0,ROUNDUP((R$5-Plano!$L21)/Plano!$G21,0))&lt;=IF(DAY(R$5)&gt;=29,EOMONTH(R$5,0),R$5+6),"●",""))</f>
        <v/>
      </c>
      <c r="S24" s="138">
        <f>IF(OR(NOT(ISNUMBER(S$5)),N(Plano!$G21)=0,N(Plano!$L21)=0),"",IF(Plano!$L21+Plano!$G21*MAX(0,ROUNDUP((S$5-Plano!$L21)/Plano!$G21,0))&lt;=IF(DAY(S$5)&gt;=29,EOMONTH(S$5,0),S$5+6),"●",""))</f>
        <v/>
      </c>
      <c r="T24" s="138">
        <f>IF(OR(NOT(ISNUMBER(T$5)),N(Plano!$G21)=0,N(Plano!$L21)=0),"",IF(Plano!$L21+Plano!$G21*MAX(0,ROUNDUP((T$5-Plano!$L21)/Plano!$G21,0))&lt;=IF(DAY(T$5)&gt;=29,EOMONTH(T$5,0),T$5+6),"●",""))</f>
        <v/>
      </c>
      <c r="U24" s="139">
        <f>IF(OR(NOT(ISNUMBER(U$5)),N(Plano!$G21)=0,N(Plano!$L21)=0),"",IF(Plano!$L21+Plano!$G21*MAX(0,ROUNDUP((U$5-Plano!$L21)/Plano!$G21,0))&lt;=IF(DAY(U$5)&gt;=29,EOMONTH(U$5,0),U$5+6),"●",""))</f>
        <v/>
      </c>
      <c r="V24" s="138">
        <f>IF(OR(NOT(ISNUMBER(V$5)),N(Plano!$G21)=0,N(Plano!$L21)=0),"",IF(Plano!$L21+Plano!$G21*MAX(0,ROUNDUP((V$5-Plano!$L21)/Plano!$G21,0))&lt;=IF(DAY(V$5)&gt;=29,EOMONTH(V$5,0),V$5+6),"●",""))</f>
        <v/>
      </c>
      <c r="W24" s="138">
        <f>IF(OR(NOT(ISNUMBER(W$5)),N(Plano!$G21)=0,N(Plano!$L21)=0),"",IF(Plano!$L21+Plano!$G21*MAX(0,ROUNDUP((W$5-Plano!$L21)/Plano!$G21,0))&lt;=IF(DAY(W$5)&gt;=29,EOMONTH(W$5,0),W$5+6),"●",""))</f>
        <v/>
      </c>
      <c r="X24" s="138">
        <f>IF(OR(NOT(ISNUMBER(X$5)),N(Plano!$G21)=0,N(Plano!$L21)=0),"",IF(Plano!$L21+Plano!$G21*MAX(0,ROUNDUP((X$5-Plano!$L21)/Plano!$G21,0))&lt;=IF(DAY(X$5)&gt;=29,EOMONTH(X$5,0),X$5+6),"●",""))</f>
        <v/>
      </c>
      <c r="Y24" s="138">
        <f>IF(OR(NOT(ISNUMBER(Y$5)),N(Plano!$G21)=0,N(Plano!$L21)=0),"",IF(Plano!$L21+Plano!$G21*MAX(0,ROUNDUP((Y$5-Plano!$L21)/Plano!$G21,0))&lt;=IF(DAY(Y$5)&gt;=29,EOMONTH(Y$5,0),Y$5+6),"●",""))</f>
        <v/>
      </c>
      <c r="Z24" s="139">
        <f>IF(OR(NOT(ISNUMBER(Z$5)),N(Plano!$G21)=0,N(Plano!$L21)=0),"",IF(Plano!$L21+Plano!$G21*MAX(0,ROUNDUP((Z$5-Plano!$L21)/Plano!$G21,0))&lt;=IF(DAY(Z$5)&gt;=29,EOMONTH(Z$5,0),Z$5+6),"●",""))</f>
        <v/>
      </c>
      <c r="AA24" s="138">
        <f>IF(OR(NOT(ISNUMBER(AA$5)),N(Plano!$G21)=0,N(Plano!$L21)=0),"",IF(Plano!$L21+Plano!$G21*MAX(0,ROUNDUP((AA$5-Plano!$L21)/Plano!$G21,0))&lt;=IF(DAY(AA$5)&gt;=29,EOMONTH(AA$5,0),AA$5+6),"●",""))</f>
        <v/>
      </c>
      <c r="AB24" s="138">
        <f>IF(OR(NOT(ISNUMBER(AB$5)),N(Plano!$G21)=0,N(Plano!$L21)=0),"",IF(Plano!$L21+Plano!$G21*MAX(0,ROUNDUP((AB$5-Plano!$L21)/Plano!$G21,0))&lt;=IF(DAY(AB$5)&gt;=29,EOMONTH(AB$5,0),AB$5+6),"●",""))</f>
        <v/>
      </c>
      <c r="AC24" s="138">
        <f>IF(OR(NOT(ISNUMBER(AC$5)),N(Plano!$G21)=0,N(Plano!$L21)=0),"",IF(Plano!$L21+Plano!$G21*MAX(0,ROUNDUP((AC$5-Plano!$L21)/Plano!$G21,0))&lt;=IF(DAY(AC$5)&gt;=29,EOMONTH(AC$5,0),AC$5+6),"●",""))</f>
        <v/>
      </c>
      <c r="AD24" s="138">
        <f>IF(OR(NOT(ISNUMBER(AD$5)),N(Plano!$G21)=0,N(Plano!$L21)=0),"",IF(Plano!$L21+Plano!$G21*MAX(0,ROUNDUP((AD$5-Plano!$L21)/Plano!$G21,0))&lt;=IF(DAY(AD$5)&gt;=29,EOMONTH(AD$5,0),AD$5+6),"●",""))</f>
        <v/>
      </c>
      <c r="AE24" s="139">
        <f>IF(OR(NOT(ISNUMBER(AE$5)),N(Plano!$G21)=0,N(Plano!$L21)=0),"",IF(Plano!$L21+Plano!$G21*MAX(0,ROUNDUP((AE$5-Plano!$L21)/Plano!$G21,0))&lt;=IF(DAY(AE$5)&gt;=29,EOMONTH(AE$5,0),AE$5+6),"●",""))</f>
        <v/>
      </c>
      <c r="AF24" s="138">
        <f>IF(OR(NOT(ISNUMBER(AF$5)),N(Plano!$G21)=0,N(Plano!$L21)=0),"",IF(Plano!$L21+Plano!$G21*MAX(0,ROUNDUP((AF$5-Plano!$L21)/Plano!$G21,0))&lt;=IF(DAY(AF$5)&gt;=29,EOMONTH(AF$5,0),AF$5+6),"●",""))</f>
        <v/>
      </c>
      <c r="AG24" s="138">
        <f>IF(OR(NOT(ISNUMBER(AG$5)),N(Plano!$G21)=0,N(Plano!$L21)=0),"",IF(Plano!$L21+Plano!$G21*MAX(0,ROUNDUP((AG$5-Plano!$L21)/Plano!$G21,0))&lt;=IF(DAY(AG$5)&gt;=29,EOMONTH(AG$5,0),AG$5+6),"●",""))</f>
        <v/>
      </c>
      <c r="AH24" s="138">
        <f>IF(OR(NOT(ISNUMBER(AH$5)),N(Plano!$G21)=0,N(Plano!$L21)=0),"",IF(Plano!$L21+Plano!$G21*MAX(0,ROUNDUP((AH$5-Plano!$L21)/Plano!$G21,0))&lt;=IF(DAY(AH$5)&gt;=29,EOMONTH(AH$5,0),AH$5+6),"●",""))</f>
        <v/>
      </c>
      <c r="AI24" s="138">
        <f>IF(OR(NOT(ISNUMBER(AI$5)),N(Plano!$G21)=0,N(Plano!$L21)=0),"",IF(Plano!$L21+Plano!$G21*MAX(0,ROUNDUP((AI$5-Plano!$L21)/Plano!$G21,0))&lt;=IF(DAY(AI$5)&gt;=29,EOMONTH(AI$5,0),AI$5+6),"●",""))</f>
        <v/>
      </c>
      <c r="AJ24" s="139">
        <f>IF(OR(NOT(ISNUMBER(AJ$5)),N(Plano!$G21)=0,N(Plano!$L21)=0),"",IF(Plano!$L21+Plano!$G21*MAX(0,ROUNDUP((AJ$5-Plano!$L21)/Plano!$G21,0))&lt;=IF(DAY(AJ$5)&gt;=29,EOMONTH(AJ$5,0),AJ$5+6),"●",""))</f>
        <v/>
      </c>
      <c r="AK24" s="138">
        <f>IF(OR(NOT(ISNUMBER(AK$5)),N(Plano!$G21)=0,N(Plano!$L21)=0),"",IF(Plano!$L21+Plano!$G21*MAX(0,ROUNDUP((AK$5-Plano!$L21)/Plano!$G21,0))&lt;=IF(DAY(AK$5)&gt;=29,EOMONTH(AK$5,0),AK$5+6),"●",""))</f>
        <v/>
      </c>
      <c r="AL24" s="138">
        <f>IF(OR(NOT(ISNUMBER(AL$5)),N(Plano!$G21)=0,N(Plano!$L21)=0),"",IF(Plano!$L21+Plano!$G21*MAX(0,ROUNDUP((AL$5-Plano!$L21)/Plano!$G21,0))&lt;=IF(DAY(AL$5)&gt;=29,EOMONTH(AL$5,0),AL$5+6),"●",""))</f>
        <v/>
      </c>
      <c r="AM24" s="138">
        <f>IF(OR(NOT(ISNUMBER(AM$5)),N(Plano!$G21)=0,N(Plano!$L21)=0),"",IF(Plano!$L21+Plano!$G21*MAX(0,ROUNDUP((AM$5-Plano!$L21)/Plano!$G21,0))&lt;=IF(DAY(AM$5)&gt;=29,EOMONTH(AM$5,0),AM$5+6),"●",""))</f>
        <v/>
      </c>
      <c r="AN24" s="138">
        <f>IF(OR(NOT(ISNUMBER(AN$5)),N(Plano!$G21)=0,N(Plano!$L21)=0),"",IF(Plano!$L21+Plano!$G21*MAX(0,ROUNDUP((AN$5-Plano!$L21)/Plano!$G21,0))&lt;=IF(DAY(AN$5)&gt;=29,EOMONTH(AN$5,0),AN$5+6),"●",""))</f>
        <v/>
      </c>
      <c r="AO24" s="139">
        <f>IF(OR(NOT(ISNUMBER(AO$5)),N(Plano!$G21)=0,N(Plano!$L21)=0),"",IF(Plano!$L21+Plano!$G21*MAX(0,ROUNDUP((AO$5-Plano!$L21)/Plano!$G21,0))&lt;=IF(DAY(AO$5)&gt;=29,EOMONTH(AO$5,0),AO$5+6),"●",""))</f>
        <v/>
      </c>
      <c r="AP24" s="138">
        <f>IF(OR(NOT(ISNUMBER(AP$5)),N(Plano!$G21)=0,N(Plano!$L21)=0),"",IF(Plano!$L21+Plano!$G21*MAX(0,ROUNDUP((AP$5-Plano!$L21)/Plano!$G21,0))&lt;=IF(DAY(AP$5)&gt;=29,EOMONTH(AP$5,0),AP$5+6),"●",""))</f>
        <v/>
      </c>
      <c r="AQ24" s="138">
        <f>IF(OR(NOT(ISNUMBER(AQ$5)),N(Plano!$G21)=0,N(Plano!$L21)=0),"",IF(Plano!$L21+Plano!$G21*MAX(0,ROUNDUP((AQ$5-Plano!$L21)/Plano!$G21,0))&lt;=IF(DAY(AQ$5)&gt;=29,EOMONTH(AQ$5,0),AQ$5+6),"●",""))</f>
        <v/>
      </c>
      <c r="AR24" s="138">
        <f>IF(OR(NOT(ISNUMBER(AR$5)),N(Plano!$G21)=0,N(Plano!$L21)=0),"",IF(Plano!$L21+Plano!$G21*MAX(0,ROUNDUP((AR$5-Plano!$L21)/Plano!$G21,0))&lt;=IF(DAY(AR$5)&gt;=29,EOMONTH(AR$5,0),AR$5+6),"●",""))</f>
        <v/>
      </c>
      <c r="AS24" s="138">
        <f>IF(OR(NOT(ISNUMBER(AS$5)),N(Plano!$G21)=0,N(Plano!$L21)=0),"",IF(Plano!$L21+Plano!$G21*MAX(0,ROUNDUP((AS$5-Plano!$L21)/Plano!$G21,0))&lt;=IF(DAY(AS$5)&gt;=29,EOMONTH(AS$5,0),AS$5+6),"●",""))</f>
        <v/>
      </c>
      <c r="AT24" s="139">
        <f>IF(OR(NOT(ISNUMBER(AT$5)),N(Plano!$G21)=0,N(Plano!$L21)=0),"",IF(Plano!$L21+Plano!$G21*MAX(0,ROUNDUP((AT$5-Plano!$L21)/Plano!$G21,0))&lt;=IF(DAY(AT$5)&gt;=29,EOMONTH(AT$5,0),AT$5+6),"●",""))</f>
        <v/>
      </c>
      <c r="AU24" s="138">
        <f>IF(OR(NOT(ISNUMBER(AU$5)),N(Plano!$G21)=0,N(Plano!$L21)=0),"",IF(Plano!$L21+Plano!$G21*MAX(0,ROUNDUP((AU$5-Plano!$L21)/Plano!$G21,0))&lt;=IF(DAY(AU$5)&gt;=29,EOMONTH(AU$5,0),AU$5+6),"●",""))</f>
        <v/>
      </c>
      <c r="AV24" s="138">
        <f>IF(OR(NOT(ISNUMBER(AV$5)),N(Plano!$G21)=0,N(Plano!$L21)=0),"",IF(Plano!$L21+Plano!$G21*MAX(0,ROUNDUP((AV$5-Plano!$L21)/Plano!$G21,0))&lt;=IF(DAY(AV$5)&gt;=29,EOMONTH(AV$5,0),AV$5+6),"●",""))</f>
        <v/>
      </c>
      <c r="AW24" s="138">
        <f>IF(OR(NOT(ISNUMBER(AW$5)),N(Plano!$G21)=0,N(Plano!$L21)=0),"",IF(Plano!$L21+Plano!$G21*MAX(0,ROUNDUP((AW$5-Plano!$L21)/Plano!$G21,0))&lt;=IF(DAY(AW$5)&gt;=29,EOMONTH(AW$5,0),AW$5+6),"●",""))</f>
        <v/>
      </c>
      <c r="AX24" s="138">
        <f>IF(OR(NOT(ISNUMBER(AX$5)),N(Plano!$G21)=0,N(Plano!$L21)=0),"",IF(Plano!$L21+Plano!$G21*MAX(0,ROUNDUP((AX$5-Plano!$L21)/Plano!$G21,0))&lt;=IF(DAY(AX$5)&gt;=29,EOMONTH(AX$5,0),AX$5+6),"●",""))</f>
        <v/>
      </c>
      <c r="AY24" s="139">
        <f>IF(OR(NOT(ISNUMBER(AY$5)),N(Plano!$G21)=0,N(Plano!$L21)=0),"",IF(Plano!$L21+Plano!$G21*MAX(0,ROUNDUP((AY$5-Plano!$L21)/Plano!$G21,0))&lt;=IF(DAY(AY$5)&gt;=29,EOMONTH(AY$5,0),AY$5+6),"●",""))</f>
        <v/>
      </c>
      <c r="AZ24" s="138">
        <f>IF(OR(NOT(ISNUMBER(AZ$5)),N(Plano!$G21)=0,N(Plano!$L21)=0),"",IF(Plano!$L21+Plano!$G21*MAX(0,ROUNDUP((AZ$5-Plano!$L21)/Plano!$G21,0))&lt;=IF(DAY(AZ$5)&gt;=29,EOMONTH(AZ$5,0),AZ$5+6),"●",""))</f>
        <v/>
      </c>
      <c r="BA24" s="138">
        <f>IF(OR(NOT(ISNUMBER(BA$5)),N(Plano!$G21)=0,N(Plano!$L21)=0),"",IF(Plano!$L21+Plano!$G21*MAX(0,ROUNDUP((BA$5-Plano!$L21)/Plano!$G21,0))&lt;=IF(DAY(BA$5)&gt;=29,EOMONTH(BA$5,0),BA$5+6),"●",""))</f>
        <v/>
      </c>
      <c r="BB24" s="138">
        <f>IF(OR(NOT(ISNUMBER(BB$5)),N(Plano!$G21)=0,N(Plano!$L21)=0),"",IF(Plano!$L21+Plano!$G21*MAX(0,ROUNDUP((BB$5-Plano!$L21)/Plano!$G21,0))&lt;=IF(DAY(BB$5)&gt;=29,EOMONTH(BB$5,0),BB$5+6),"●",""))</f>
        <v/>
      </c>
      <c r="BC24" s="138">
        <f>IF(OR(NOT(ISNUMBER(BC$5)),N(Plano!$G21)=0,N(Plano!$L21)=0),"",IF(Plano!$L21+Plano!$G21*MAX(0,ROUNDUP((BC$5-Plano!$L21)/Plano!$G21,0))&lt;=IF(DAY(BC$5)&gt;=29,EOMONTH(BC$5,0),BC$5+6),"●",""))</f>
        <v/>
      </c>
      <c r="BD24" s="139">
        <f>IF(OR(NOT(ISNUMBER(BD$5)),N(Plano!$G21)=0,N(Plano!$L21)=0),"",IF(Plano!$L21+Plano!$G21*MAX(0,ROUNDUP((BD$5-Plano!$L21)/Plano!$G21,0))&lt;=IF(DAY(BD$5)&gt;=29,EOMONTH(BD$5,0),BD$5+6),"●",""))</f>
        <v/>
      </c>
      <c r="BE24" s="138">
        <f>IF(OR(NOT(ISNUMBER(BE$5)),N(Plano!$G21)=0,N(Plano!$L21)=0),"",IF(Plano!$L21+Plano!$G21*MAX(0,ROUNDUP((BE$5-Plano!$L21)/Plano!$G21,0))&lt;=IF(DAY(BE$5)&gt;=29,EOMONTH(BE$5,0),BE$5+6),"●",""))</f>
        <v/>
      </c>
      <c r="BF24" s="138">
        <f>IF(OR(NOT(ISNUMBER(BF$5)),N(Plano!$G21)=0,N(Plano!$L21)=0),"",IF(Plano!$L21+Plano!$G21*MAX(0,ROUNDUP((BF$5-Plano!$L21)/Plano!$G21,0))&lt;=IF(DAY(BF$5)&gt;=29,EOMONTH(BF$5,0),BF$5+6),"●",""))</f>
        <v/>
      </c>
      <c r="BG24" s="138">
        <f>IF(OR(NOT(ISNUMBER(BG$5)),N(Plano!$G21)=0,N(Plano!$L21)=0),"",IF(Plano!$L21+Plano!$G21*MAX(0,ROUNDUP((BG$5-Plano!$L21)/Plano!$G21,0))&lt;=IF(DAY(BG$5)&gt;=29,EOMONTH(BG$5,0),BG$5+6),"●",""))</f>
        <v/>
      </c>
      <c r="BH24" s="138">
        <f>IF(OR(NOT(ISNUMBER(BH$5)),N(Plano!$G21)=0,N(Plano!$L21)=0),"",IF(Plano!$L21+Plano!$G21*MAX(0,ROUNDUP((BH$5-Plano!$L21)/Plano!$G21,0))&lt;=IF(DAY(BH$5)&gt;=29,EOMONTH(BH$5,0),BH$5+6),"●",""))</f>
        <v/>
      </c>
      <c r="BI24" s="139">
        <f>IF(OR(NOT(ISNUMBER(BI$5)),N(Plano!$G21)=0,N(Plano!$L21)=0),"",IF(Plano!$L21+Plano!$G21*MAX(0,ROUNDUP((BI$5-Plano!$L21)/Plano!$G21,0))&lt;=IF(DAY(BI$5)&gt;=29,EOMONTH(BI$5,0),BI$5+6),"●",""))</f>
        <v/>
      </c>
      <c r="BJ24" s="138">
        <f>IF(OR(NOT(ISNUMBER(BJ$5)),N(Plano!$G21)=0,N(Plano!$L21)=0),"",IF(Plano!$L21+Plano!$G21*MAX(0,ROUNDUP((BJ$5-Plano!$L21)/Plano!$G21,0))&lt;=IF(DAY(BJ$5)&gt;=29,EOMONTH(BJ$5,0),BJ$5+6),"●",""))</f>
        <v/>
      </c>
      <c r="BK24" s="138">
        <f>IF(OR(NOT(ISNUMBER(BK$5)),N(Plano!$G21)=0,N(Plano!$L21)=0),"",IF(Plano!$L21+Plano!$G21*MAX(0,ROUNDUP((BK$5-Plano!$L21)/Plano!$G21,0))&lt;=IF(DAY(BK$5)&gt;=29,EOMONTH(BK$5,0),BK$5+6),"●",""))</f>
        <v/>
      </c>
      <c r="BL24" s="138">
        <f>IF(OR(NOT(ISNUMBER(BL$5)),N(Plano!$G21)=0,N(Plano!$L21)=0),"",IF(Plano!$L21+Plano!$G21*MAX(0,ROUNDUP((BL$5-Plano!$L21)/Plano!$G21,0))&lt;=IF(DAY(BL$5)&gt;=29,EOMONTH(BL$5,0),BL$5+6),"●",""))</f>
        <v/>
      </c>
      <c r="BM24" s="140">
        <f>IF(OR(NOT(ISNUMBER(BM$5)),N(Plano!$G21)=0,N(Plano!$L21)=0),"",IF(Plano!$L21+Plano!$G21*MAX(0,ROUNDUP((BM$5-Plano!$L21)/Plano!$G21,0))&lt;=IF(DAY(BM$5)&gt;=29,EOMONTH(BM$5,0),BM$5+6),"●",""))</f>
        <v/>
      </c>
    </row>
    <row r="25" ht="18" customHeight="1">
      <c r="A25" s="118">
        <f>Plano!A22</f>
        <v/>
      </c>
      <c r="B25" s="136">
        <f>IF(Plano!B22="","",Plano!B22)</f>
        <v/>
      </c>
      <c r="C25" s="70">
        <f>IF(B25="","",IFERROR(INDEX(tb_pcm_ativos[descricao_ativo],MATCH(B25,tb_pcm_ativos[tag],0)),"fora do cadastro"))</f>
        <v/>
      </c>
      <c r="D25" s="70">
        <f>IF(Plano!E22="","",Plano!E22)</f>
        <v/>
      </c>
      <c r="E25" s="137">
        <f>IF(Plano!G22="","",Plano!G22)</f>
        <v/>
      </c>
      <c r="F25" s="138">
        <f>IF(OR(NOT(ISNUMBER(F$5)),N(Plano!$G22)=0,N(Plano!$L22)=0),"",IF(Plano!$L22+Plano!$G22*MAX(0,ROUNDUP((F$5-Plano!$L22)/Plano!$G22,0))&lt;=IF(DAY(F$5)&gt;=29,EOMONTH(F$5,0),F$5+6),"●",""))</f>
        <v/>
      </c>
      <c r="G25" s="138">
        <f>IF(OR(NOT(ISNUMBER(G$5)),N(Plano!$G22)=0,N(Plano!$L22)=0),"",IF(Plano!$L22+Plano!$G22*MAX(0,ROUNDUP((G$5-Plano!$L22)/Plano!$G22,0))&lt;=IF(DAY(G$5)&gt;=29,EOMONTH(G$5,0),G$5+6),"●",""))</f>
        <v/>
      </c>
      <c r="H25" s="138">
        <f>IF(OR(NOT(ISNUMBER(H$5)),N(Plano!$G22)=0,N(Plano!$L22)=0),"",IF(Plano!$L22+Plano!$G22*MAX(0,ROUNDUP((H$5-Plano!$L22)/Plano!$G22,0))&lt;=IF(DAY(H$5)&gt;=29,EOMONTH(H$5,0),H$5+6),"●",""))</f>
        <v/>
      </c>
      <c r="I25" s="138">
        <f>IF(OR(NOT(ISNUMBER(I$5)),N(Plano!$G22)=0,N(Plano!$L22)=0),"",IF(Plano!$L22+Plano!$G22*MAX(0,ROUNDUP((I$5-Plano!$L22)/Plano!$G22,0))&lt;=IF(DAY(I$5)&gt;=29,EOMONTH(I$5,0),I$5+6),"●",""))</f>
        <v/>
      </c>
      <c r="J25" s="138">
        <f>IF(OR(NOT(ISNUMBER(J$5)),N(Plano!$G22)=0,N(Plano!$L22)=0),"",IF(Plano!$L22+Plano!$G22*MAX(0,ROUNDUP((J$5-Plano!$L22)/Plano!$G22,0))&lt;=IF(DAY(J$5)&gt;=29,EOMONTH(J$5,0),J$5+6),"●",""))</f>
        <v/>
      </c>
      <c r="K25" s="139">
        <f>IF(OR(NOT(ISNUMBER(K$5)),N(Plano!$G22)=0,N(Plano!$L22)=0),"",IF(Plano!$L22+Plano!$G22*MAX(0,ROUNDUP((K$5-Plano!$L22)/Plano!$G22,0))&lt;=IF(DAY(K$5)&gt;=29,EOMONTH(K$5,0),K$5+6),"●",""))</f>
        <v/>
      </c>
      <c r="L25" s="138">
        <f>IF(OR(NOT(ISNUMBER(L$5)),N(Plano!$G22)=0,N(Plano!$L22)=0),"",IF(Plano!$L22+Plano!$G22*MAX(0,ROUNDUP((L$5-Plano!$L22)/Plano!$G22,0))&lt;=IF(DAY(L$5)&gt;=29,EOMONTH(L$5,0),L$5+6),"●",""))</f>
        <v/>
      </c>
      <c r="M25" s="138">
        <f>IF(OR(NOT(ISNUMBER(M$5)),N(Plano!$G22)=0,N(Plano!$L22)=0),"",IF(Plano!$L22+Plano!$G22*MAX(0,ROUNDUP((M$5-Plano!$L22)/Plano!$G22,0))&lt;=IF(DAY(M$5)&gt;=29,EOMONTH(M$5,0),M$5+6),"●",""))</f>
        <v/>
      </c>
      <c r="N25" s="138">
        <f>IF(OR(NOT(ISNUMBER(N$5)),N(Plano!$G22)=0,N(Plano!$L22)=0),"",IF(Plano!$L22+Plano!$G22*MAX(0,ROUNDUP((N$5-Plano!$L22)/Plano!$G22,0))&lt;=IF(DAY(N$5)&gt;=29,EOMONTH(N$5,0),N$5+6),"●",""))</f>
        <v/>
      </c>
      <c r="O25" s="138">
        <f>IF(OR(NOT(ISNUMBER(O$5)),N(Plano!$G22)=0,N(Plano!$L22)=0),"",IF(Plano!$L22+Plano!$G22*MAX(0,ROUNDUP((O$5-Plano!$L22)/Plano!$G22,0))&lt;=IF(DAY(O$5)&gt;=29,EOMONTH(O$5,0),O$5+6),"●",""))</f>
        <v/>
      </c>
      <c r="P25" s="139">
        <f>IF(OR(NOT(ISNUMBER(P$5)),N(Plano!$G22)=0,N(Plano!$L22)=0),"",IF(Plano!$L22+Plano!$G22*MAX(0,ROUNDUP((P$5-Plano!$L22)/Plano!$G22,0))&lt;=IF(DAY(P$5)&gt;=29,EOMONTH(P$5,0),P$5+6),"●",""))</f>
        <v/>
      </c>
      <c r="Q25" s="138">
        <f>IF(OR(NOT(ISNUMBER(Q$5)),N(Plano!$G22)=0,N(Plano!$L22)=0),"",IF(Plano!$L22+Plano!$G22*MAX(0,ROUNDUP((Q$5-Plano!$L22)/Plano!$G22,0))&lt;=IF(DAY(Q$5)&gt;=29,EOMONTH(Q$5,0),Q$5+6),"●",""))</f>
        <v/>
      </c>
      <c r="R25" s="138">
        <f>IF(OR(NOT(ISNUMBER(R$5)),N(Plano!$G22)=0,N(Plano!$L22)=0),"",IF(Plano!$L22+Plano!$G22*MAX(0,ROUNDUP((R$5-Plano!$L22)/Plano!$G22,0))&lt;=IF(DAY(R$5)&gt;=29,EOMONTH(R$5,0),R$5+6),"●",""))</f>
        <v/>
      </c>
      <c r="S25" s="138">
        <f>IF(OR(NOT(ISNUMBER(S$5)),N(Plano!$G22)=0,N(Plano!$L22)=0),"",IF(Plano!$L22+Plano!$G22*MAX(0,ROUNDUP((S$5-Plano!$L22)/Plano!$G22,0))&lt;=IF(DAY(S$5)&gt;=29,EOMONTH(S$5,0),S$5+6),"●",""))</f>
        <v/>
      </c>
      <c r="T25" s="138">
        <f>IF(OR(NOT(ISNUMBER(T$5)),N(Plano!$G22)=0,N(Plano!$L22)=0),"",IF(Plano!$L22+Plano!$G22*MAX(0,ROUNDUP((T$5-Plano!$L22)/Plano!$G22,0))&lt;=IF(DAY(T$5)&gt;=29,EOMONTH(T$5,0),T$5+6),"●",""))</f>
        <v/>
      </c>
      <c r="U25" s="139">
        <f>IF(OR(NOT(ISNUMBER(U$5)),N(Plano!$G22)=0,N(Plano!$L22)=0),"",IF(Plano!$L22+Plano!$G22*MAX(0,ROUNDUP((U$5-Plano!$L22)/Plano!$G22,0))&lt;=IF(DAY(U$5)&gt;=29,EOMONTH(U$5,0),U$5+6),"●",""))</f>
        <v/>
      </c>
      <c r="V25" s="138">
        <f>IF(OR(NOT(ISNUMBER(V$5)),N(Plano!$G22)=0,N(Plano!$L22)=0),"",IF(Plano!$L22+Plano!$G22*MAX(0,ROUNDUP((V$5-Plano!$L22)/Plano!$G22,0))&lt;=IF(DAY(V$5)&gt;=29,EOMONTH(V$5,0),V$5+6),"●",""))</f>
        <v/>
      </c>
      <c r="W25" s="138">
        <f>IF(OR(NOT(ISNUMBER(W$5)),N(Plano!$G22)=0,N(Plano!$L22)=0),"",IF(Plano!$L22+Plano!$G22*MAX(0,ROUNDUP((W$5-Plano!$L22)/Plano!$G22,0))&lt;=IF(DAY(W$5)&gt;=29,EOMONTH(W$5,0),W$5+6),"●",""))</f>
        <v/>
      </c>
      <c r="X25" s="138">
        <f>IF(OR(NOT(ISNUMBER(X$5)),N(Plano!$G22)=0,N(Plano!$L22)=0),"",IF(Plano!$L22+Plano!$G22*MAX(0,ROUNDUP((X$5-Plano!$L22)/Plano!$G22,0))&lt;=IF(DAY(X$5)&gt;=29,EOMONTH(X$5,0),X$5+6),"●",""))</f>
        <v/>
      </c>
      <c r="Y25" s="138">
        <f>IF(OR(NOT(ISNUMBER(Y$5)),N(Plano!$G22)=0,N(Plano!$L22)=0),"",IF(Plano!$L22+Plano!$G22*MAX(0,ROUNDUP((Y$5-Plano!$L22)/Plano!$G22,0))&lt;=IF(DAY(Y$5)&gt;=29,EOMONTH(Y$5,0),Y$5+6),"●",""))</f>
        <v/>
      </c>
      <c r="Z25" s="139">
        <f>IF(OR(NOT(ISNUMBER(Z$5)),N(Plano!$G22)=0,N(Plano!$L22)=0),"",IF(Plano!$L22+Plano!$G22*MAX(0,ROUNDUP((Z$5-Plano!$L22)/Plano!$G22,0))&lt;=IF(DAY(Z$5)&gt;=29,EOMONTH(Z$5,0),Z$5+6),"●",""))</f>
        <v/>
      </c>
      <c r="AA25" s="138">
        <f>IF(OR(NOT(ISNUMBER(AA$5)),N(Plano!$G22)=0,N(Plano!$L22)=0),"",IF(Plano!$L22+Plano!$G22*MAX(0,ROUNDUP((AA$5-Plano!$L22)/Plano!$G22,0))&lt;=IF(DAY(AA$5)&gt;=29,EOMONTH(AA$5,0),AA$5+6),"●",""))</f>
        <v/>
      </c>
      <c r="AB25" s="138">
        <f>IF(OR(NOT(ISNUMBER(AB$5)),N(Plano!$G22)=0,N(Plano!$L22)=0),"",IF(Plano!$L22+Plano!$G22*MAX(0,ROUNDUP((AB$5-Plano!$L22)/Plano!$G22,0))&lt;=IF(DAY(AB$5)&gt;=29,EOMONTH(AB$5,0),AB$5+6),"●",""))</f>
        <v/>
      </c>
      <c r="AC25" s="138">
        <f>IF(OR(NOT(ISNUMBER(AC$5)),N(Plano!$G22)=0,N(Plano!$L22)=0),"",IF(Plano!$L22+Plano!$G22*MAX(0,ROUNDUP((AC$5-Plano!$L22)/Plano!$G22,0))&lt;=IF(DAY(AC$5)&gt;=29,EOMONTH(AC$5,0),AC$5+6),"●",""))</f>
        <v/>
      </c>
      <c r="AD25" s="138">
        <f>IF(OR(NOT(ISNUMBER(AD$5)),N(Plano!$G22)=0,N(Plano!$L22)=0),"",IF(Plano!$L22+Plano!$G22*MAX(0,ROUNDUP((AD$5-Plano!$L22)/Plano!$G22,0))&lt;=IF(DAY(AD$5)&gt;=29,EOMONTH(AD$5,0),AD$5+6),"●",""))</f>
        <v/>
      </c>
      <c r="AE25" s="139">
        <f>IF(OR(NOT(ISNUMBER(AE$5)),N(Plano!$G22)=0,N(Plano!$L22)=0),"",IF(Plano!$L22+Plano!$G22*MAX(0,ROUNDUP((AE$5-Plano!$L22)/Plano!$G22,0))&lt;=IF(DAY(AE$5)&gt;=29,EOMONTH(AE$5,0),AE$5+6),"●",""))</f>
        <v/>
      </c>
      <c r="AF25" s="138">
        <f>IF(OR(NOT(ISNUMBER(AF$5)),N(Plano!$G22)=0,N(Plano!$L22)=0),"",IF(Plano!$L22+Plano!$G22*MAX(0,ROUNDUP((AF$5-Plano!$L22)/Plano!$G22,0))&lt;=IF(DAY(AF$5)&gt;=29,EOMONTH(AF$5,0),AF$5+6),"●",""))</f>
        <v/>
      </c>
      <c r="AG25" s="138">
        <f>IF(OR(NOT(ISNUMBER(AG$5)),N(Plano!$G22)=0,N(Plano!$L22)=0),"",IF(Plano!$L22+Plano!$G22*MAX(0,ROUNDUP((AG$5-Plano!$L22)/Plano!$G22,0))&lt;=IF(DAY(AG$5)&gt;=29,EOMONTH(AG$5,0),AG$5+6),"●",""))</f>
        <v/>
      </c>
      <c r="AH25" s="138">
        <f>IF(OR(NOT(ISNUMBER(AH$5)),N(Plano!$G22)=0,N(Plano!$L22)=0),"",IF(Plano!$L22+Plano!$G22*MAX(0,ROUNDUP((AH$5-Plano!$L22)/Plano!$G22,0))&lt;=IF(DAY(AH$5)&gt;=29,EOMONTH(AH$5,0),AH$5+6),"●",""))</f>
        <v/>
      </c>
      <c r="AI25" s="138">
        <f>IF(OR(NOT(ISNUMBER(AI$5)),N(Plano!$G22)=0,N(Plano!$L22)=0),"",IF(Plano!$L22+Plano!$G22*MAX(0,ROUNDUP((AI$5-Plano!$L22)/Plano!$G22,0))&lt;=IF(DAY(AI$5)&gt;=29,EOMONTH(AI$5,0),AI$5+6),"●",""))</f>
        <v/>
      </c>
      <c r="AJ25" s="139">
        <f>IF(OR(NOT(ISNUMBER(AJ$5)),N(Plano!$G22)=0,N(Plano!$L22)=0),"",IF(Plano!$L22+Plano!$G22*MAX(0,ROUNDUP((AJ$5-Plano!$L22)/Plano!$G22,0))&lt;=IF(DAY(AJ$5)&gt;=29,EOMONTH(AJ$5,0),AJ$5+6),"●",""))</f>
        <v/>
      </c>
      <c r="AK25" s="138">
        <f>IF(OR(NOT(ISNUMBER(AK$5)),N(Plano!$G22)=0,N(Plano!$L22)=0),"",IF(Plano!$L22+Plano!$G22*MAX(0,ROUNDUP((AK$5-Plano!$L22)/Plano!$G22,0))&lt;=IF(DAY(AK$5)&gt;=29,EOMONTH(AK$5,0),AK$5+6),"●",""))</f>
        <v/>
      </c>
      <c r="AL25" s="138">
        <f>IF(OR(NOT(ISNUMBER(AL$5)),N(Plano!$G22)=0,N(Plano!$L22)=0),"",IF(Plano!$L22+Plano!$G22*MAX(0,ROUNDUP((AL$5-Plano!$L22)/Plano!$G22,0))&lt;=IF(DAY(AL$5)&gt;=29,EOMONTH(AL$5,0),AL$5+6),"●",""))</f>
        <v/>
      </c>
      <c r="AM25" s="138">
        <f>IF(OR(NOT(ISNUMBER(AM$5)),N(Plano!$G22)=0,N(Plano!$L22)=0),"",IF(Plano!$L22+Plano!$G22*MAX(0,ROUNDUP((AM$5-Plano!$L22)/Plano!$G22,0))&lt;=IF(DAY(AM$5)&gt;=29,EOMONTH(AM$5,0),AM$5+6),"●",""))</f>
        <v/>
      </c>
      <c r="AN25" s="138">
        <f>IF(OR(NOT(ISNUMBER(AN$5)),N(Plano!$G22)=0,N(Plano!$L22)=0),"",IF(Plano!$L22+Plano!$G22*MAX(0,ROUNDUP((AN$5-Plano!$L22)/Plano!$G22,0))&lt;=IF(DAY(AN$5)&gt;=29,EOMONTH(AN$5,0),AN$5+6),"●",""))</f>
        <v/>
      </c>
      <c r="AO25" s="139">
        <f>IF(OR(NOT(ISNUMBER(AO$5)),N(Plano!$G22)=0,N(Plano!$L22)=0),"",IF(Plano!$L22+Plano!$G22*MAX(0,ROUNDUP((AO$5-Plano!$L22)/Plano!$G22,0))&lt;=IF(DAY(AO$5)&gt;=29,EOMONTH(AO$5,0),AO$5+6),"●",""))</f>
        <v/>
      </c>
      <c r="AP25" s="138">
        <f>IF(OR(NOT(ISNUMBER(AP$5)),N(Plano!$G22)=0,N(Plano!$L22)=0),"",IF(Plano!$L22+Plano!$G22*MAX(0,ROUNDUP((AP$5-Plano!$L22)/Plano!$G22,0))&lt;=IF(DAY(AP$5)&gt;=29,EOMONTH(AP$5,0),AP$5+6),"●",""))</f>
        <v/>
      </c>
      <c r="AQ25" s="138">
        <f>IF(OR(NOT(ISNUMBER(AQ$5)),N(Plano!$G22)=0,N(Plano!$L22)=0),"",IF(Plano!$L22+Plano!$G22*MAX(0,ROUNDUP((AQ$5-Plano!$L22)/Plano!$G22,0))&lt;=IF(DAY(AQ$5)&gt;=29,EOMONTH(AQ$5,0),AQ$5+6),"●",""))</f>
        <v/>
      </c>
      <c r="AR25" s="138">
        <f>IF(OR(NOT(ISNUMBER(AR$5)),N(Plano!$G22)=0,N(Plano!$L22)=0),"",IF(Plano!$L22+Plano!$G22*MAX(0,ROUNDUP((AR$5-Plano!$L22)/Plano!$G22,0))&lt;=IF(DAY(AR$5)&gt;=29,EOMONTH(AR$5,0),AR$5+6),"●",""))</f>
        <v/>
      </c>
      <c r="AS25" s="138">
        <f>IF(OR(NOT(ISNUMBER(AS$5)),N(Plano!$G22)=0,N(Plano!$L22)=0),"",IF(Plano!$L22+Plano!$G22*MAX(0,ROUNDUP((AS$5-Plano!$L22)/Plano!$G22,0))&lt;=IF(DAY(AS$5)&gt;=29,EOMONTH(AS$5,0),AS$5+6),"●",""))</f>
        <v/>
      </c>
      <c r="AT25" s="139">
        <f>IF(OR(NOT(ISNUMBER(AT$5)),N(Plano!$G22)=0,N(Plano!$L22)=0),"",IF(Plano!$L22+Plano!$G22*MAX(0,ROUNDUP((AT$5-Plano!$L22)/Plano!$G22,0))&lt;=IF(DAY(AT$5)&gt;=29,EOMONTH(AT$5,0),AT$5+6),"●",""))</f>
        <v/>
      </c>
      <c r="AU25" s="138">
        <f>IF(OR(NOT(ISNUMBER(AU$5)),N(Plano!$G22)=0,N(Plano!$L22)=0),"",IF(Plano!$L22+Plano!$G22*MAX(0,ROUNDUP((AU$5-Plano!$L22)/Plano!$G22,0))&lt;=IF(DAY(AU$5)&gt;=29,EOMONTH(AU$5,0),AU$5+6),"●",""))</f>
        <v/>
      </c>
      <c r="AV25" s="138">
        <f>IF(OR(NOT(ISNUMBER(AV$5)),N(Plano!$G22)=0,N(Plano!$L22)=0),"",IF(Plano!$L22+Plano!$G22*MAX(0,ROUNDUP((AV$5-Plano!$L22)/Plano!$G22,0))&lt;=IF(DAY(AV$5)&gt;=29,EOMONTH(AV$5,0),AV$5+6),"●",""))</f>
        <v/>
      </c>
      <c r="AW25" s="138">
        <f>IF(OR(NOT(ISNUMBER(AW$5)),N(Plano!$G22)=0,N(Plano!$L22)=0),"",IF(Plano!$L22+Plano!$G22*MAX(0,ROUNDUP((AW$5-Plano!$L22)/Plano!$G22,0))&lt;=IF(DAY(AW$5)&gt;=29,EOMONTH(AW$5,0),AW$5+6),"●",""))</f>
        <v/>
      </c>
      <c r="AX25" s="138">
        <f>IF(OR(NOT(ISNUMBER(AX$5)),N(Plano!$G22)=0,N(Plano!$L22)=0),"",IF(Plano!$L22+Plano!$G22*MAX(0,ROUNDUP((AX$5-Plano!$L22)/Plano!$G22,0))&lt;=IF(DAY(AX$5)&gt;=29,EOMONTH(AX$5,0),AX$5+6),"●",""))</f>
        <v/>
      </c>
      <c r="AY25" s="139">
        <f>IF(OR(NOT(ISNUMBER(AY$5)),N(Plano!$G22)=0,N(Plano!$L22)=0),"",IF(Plano!$L22+Plano!$G22*MAX(0,ROUNDUP((AY$5-Plano!$L22)/Plano!$G22,0))&lt;=IF(DAY(AY$5)&gt;=29,EOMONTH(AY$5,0),AY$5+6),"●",""))</f>
        <v/>
      </c>
      <c r="AZ25" s="138">
        <f>IF(OR(NOT(ISNUMBER(AZ$5)),N(Plano!$G22)=0,N(Plano!$L22)=0),"",IF(Plano!$L22+Plano!$G22*MAX(0,ROUNDUP((AZ$5-Plano!$L22)/Plano!$G22,0))&lt;=IF(DAY(AZ$5)&gt;=29,EOMONTH(AZ$5,0),AZ$5+6),"●",""))</f>
        <v/>
      </c>
      <c r="BA25" s="138">
        <f>IF(OR(NOT(ISNUMBER(BA$5)),N(Plano!$G22)=0,N(Plano!$L22)=0),"",IF(Plano!$L22+Plano!$G22*MAX(0,ROUNDUP((BA$5-Plano!$L22)/Plano!$G22,0))&lt;=IF(DAY(BA$5)&gt;=29,EOMONTH(BA$5,0),BA$5+6),"●",""))</f>
        <v/>
      </c>
      <c r="BB25" s="138">
        <f>IF(OR(NOT(ISNUMBER(BB$5)),N(Plano!$G22)=0,N(Plano!$L22)=0),"",IF(Plano!$L22+Plano!$G22*MAX(0,ROUNDUP((BB$5-Plano!$L22)/Plano!$G22,0))&lt;=IF(DAY(BB$5)&gt;=29,EOMONTH(BB$5,0),BB$5+6),"●",""))</f>
        <v/>
      </c>
      <c r="BC25" s="138">
        <f>IF(OR(NOT(ISNUMBER(BC$5)),N(Plano!$G22)=0,N(Plano!$L22)=0),"",IF(Plano!$L22+Plano!$G22*MAX(0,ROUNDUP((BC$5-Plano!$L22)/Plano!$G22,0))&lt;=IF(DAY(BC$5)&gt;=29,EOMONTH(BC$5,0),BC$5+6),"●",""))</f>
        <v/>
      </c>
      <c r="BD25" s="139">
        <f>IF(OR(NOT(ISNUMBER(BD$5)),N(Plano!$G22)=0,N(Plano!$L22)=0),"",IF(Plano!$L22+Plano!$G22*MAX(0,ROUNDUP((BD$5-Plano!$L22)/Plano!$G22,0))&lt;=IF(DAY(BD$5)&gt;=29,EOMONTH(BD$5,0),BD$5+6),"●",""))</f>
        <v/>
      </c>
      <c r="BE25" s="138">
        <f>IF(OR(NOT(ISNUMBER(BE$5)),N(Plano!$G22)=0,N(Plano!$L22)=0),"",IF(Plano!$L22+Plano!$G22*MAX(0,ROUNDUP((BE$5-Plano!$L22)/Plano!$G22,0))&lt;=IF(DAY(BE$5)&gt;=29,EOMONTH(BE$5,0),BE$5+6),"●",""))</f>
        <v/>
      </c>
      <c r="BF25" s="138">
        <f>IF(OR(NOT(ISNUMBER(BF$5)),N(Plano!$G22)=0,N(Plano!$L22)=0),"",IF(Plano!$L22+Plano!$G22*MAX(0,ROUNDUP((BF$5-Plano!$L22)/Plano!$G22,0))&lt;=IF(DAY(BF$5)&gt;=29,EOMONTH(BF$5,0),BF$5+6),"●",""))</f>
        <v/>
      </c>
      <c r="BG25" s="138">
        <f>IF(OR(NOT(ISNUMBER(BG$5)),N(Plano!$G22)=0,N(Plano!$L22)=0),"",IF(Plano!$L22+Plano!$G22*MAX(0,ROUNDUP((BG$5-Plano!$L22)/Plano!$G22,0))&lt;=IF(DAY(BG$5)&gt;=29,EOMONTH(BG$5,0),BG$5+6),"●",""))</f>
        <v/>
      </c>
      <c r="BH25" s="138">
        <f>IF(OR(NOT(ISNUMBER(BH$5)),N(Plano!$G22)=0,N(Plano!$L22)=0),"",IF(Plano!$L22+Plano!$G22*MAX(0,ROUNDUP((BH$5-Plano!$L22)/Plano!$G22,0))&lt;=IF(DAY(BH$5)&gt;=29,EOMONTH(BH$5,0),BH$5+6),"●",""))</f>
        <v/>
      </c>
      <c r="BI25" s="139">
        <f>IF(OR(NOT(ISNUMBER(BI$5)),N(Plano!$G22)=0,N(Plano!$L22)=0),"",IF(Plano!$L22+Plano!$G22*MAX(0,ROUNDUP((BI$5-Plano!$L22)/Plano!$G22,0))&lt;=IF(DAY(BI$5)&gt;=29,EOMONTH(BI$5,0),BI$5+6),"●",""))</f>
        <v/>
      </c>
      <c r="BJ25" s="138">
        <f>IF(OR(NOT(ISNUMBER(BJ$5)),N(Plano!$G22)=0,N(Plano!$L22)=0),"",IF(Plano!$L22+Plano!$G22*MAX(0,ROUNDUP((BJ$5-Plano!$L22)/Plano!$G22,0))&lt;=IF(DAY(BJ$5)&gt;=29,EOMONTH(BJ$5,0),BJ$5+6),"●",""))</f>
        <v/>
      </c>
      <c r="BK25" s="138">
        <f>IF(OR(NOT(ISNUMBER(BK$5)),N(Plano!$G22)=0,N(Plano!$L22)=0),"",IF(Plano!$L22+Plano!$G22*MAX(0,ROUNDUP((BK$5-Plano!$L22)/Plano!$G22,0))&lt;=IF(DAY(BK$5)&gt;=29,EOMONTH(BK$5,0),BK$5+6),"●",""))</f>
        <v/>
      </c>
      <c r="BL25" s="138">
        <f>IF(OR(NOT(ISNUMBER(BL$5)),N(Plano!$G22)=0,N(Plano!$L22)=0),"",IF(Plano!$L22+Plano!$G22*MAX(0,ROUNDUP((BL$5-Plano!$L22)/Plano!$G22,0))&lt;=IF(DAY(BL$5)&gt;=29,EOMONTH(BL$5,0),BL$5+6),"●",""))</f>
        <v/>
      </c>
      <c r="BM25" s="140">
        <f>IF(OR(NOT(ISNUMBER(BM$5)),N(Plano!$G22)=0,N(Plano!$L22)=0),"",IF(Plano!$L22+Plano!$G22*MAX(0,ROUNDUP((BM$5-Plano!$L22)/Plano!$G22,0))&lt;=IF(DAY(BM$5)&gt;=29,EOMONTH(BM$5,0),BM$5+6),"●",""))</f>
        <v/>
      </c>
    </row>
    <row r="26" ht="18" customHeight="1">
      <c r="A26" s="118">
        <f>Plano!A23</f>
        <v/>
      </c>
      <c r="B26" s="136">
        <f>IF(Plano!B23="","",Plano!B23)</f>
        <v/>
      </c>
      <c r="C26" s="70">
        <f>IF(B26="","",IFERROR(INDEX(tb_pcm_ativos[descricao_ativo],MATCH(B26,tb_pcm_ativos[tag],0)),"fora do cadastro"))</f>
        <v/>
      </c>
      <c r="D26" s="70">
        <f>IF(Plano!E23="","",Plano!E23)</f>
        <v/>
      </c>
      <c r="E26" s="137">
        <f>IF(Plano!G23="","",Plano!G23)</f>
        <v/>
      </c>
      <c r="F26" s="138">
        <f>IF(OR(NOT(ISNUMBER(F$5)),N(Plano!$G23)=0,N(Plano!$L23)=0),"",IF(Plano!$L23+Plano!$G23*MAX(0,ROUNDUP((F$5-Plano!$L23)/Plano!$G23,0))&lt;=IF(DAY(F$5)&gt;=29,EOMONTH(F$5,0),F$5+6),"●",""))</f>
        <v/>
      </c>
      <c r="G26" s="138">
        <f>IF(OR(NOT(ISNUMBER(G$5)),N(Plano!$G23)=0,N(Plano!$L23)=0),"",IF(Plano!$L23+Plano!$G23*MAX(0,ROUNDUP((G$5-Plano!$L23)/Plano!$G23,0))&lt;=IF(DAY(G$5)&gt;=29,EOMONTH(G$5,0),G$5+6),"●",""))</f>
        <v/>
      </c>
      <c r="H26" s="138">
        <f>IF(OR(NOT(ISNUMBER(H$5)),N(Plano!$G23)=0,N(Plano!$L23)=0),"",IF(Plano!$L23+Plano!$G23*MAX(0,ROUNDUP((H$5-Plano!$L23)/Plano!$G23,0))&lt;=IF(DAY(H$5)&gt;=29,EOMONTH(H$5,0),H$5+6),"●",""))</f>
        <v/>
      </c>
      <c r="I26" s="138">
        <f>IF(OR(NOT(ISNUMBER(I$5)),N(Plano!$G23)=0,N(Plano!$L23)=0),"",IF(Plano!$L23+Plano!$G23*MAX(0,ROUNDUP((I$5-Plano!$L23)/Plano!$G23,0))&lt;=IF(DAY(I$5)&gt;=29,EOMONTH(I$5,0),I$5+6),"●",""))</f>
        <v/>
      </c>
      <c r="J26" s="138">
        <f>IF(OR(NOT(ISNUMBER(J$5)),N(Plano!$G23)=0,N(Plano!$L23)=0),"",IF(Plano!$L23+Plano!$G23*MAX(0,ROUNDUP((J$5-Plano!$L23)/Plano!$G23,0))&lt;=IF(DAY(J$5)&gt;=29,EOMONTH(J$5,0),J$5+6),"●",""))</f>
        <v/>
      </c>
      <c r="K26" s="139">
        <f>IF(OR(NOT(ISNUMBER(K$5)),N(Plano!$G23)=0,N(Plano!$L23)=0),"",IF(Plano!$L23+Plano!$G23*MAX(0,ROUNDUP((K$5-Plano!$L23)/Plano!$G23,0))&lt;=IF(DAY(K$5)&gt;=29,EOMONTH(K$5,0),K$5+6),"●",""))</f>
        <v/>
      </c>
      <c r="L26" s="138">
        <f>IF(OR(NOT(ISNUMBER(L$5)),N(Plano!$G23)=0,N(Plano!$L23)=0),"",IF(Plano!$L23+Plano!$G23*MAX(0,ROUNDUP((L$5-Plano!$L23)/Plano!$G23,0))&lt;=IF(DAY(L$5)&gt;=29,EOMONTH(L$5,0),L$5+6),"●",""))</f>
        <v/>
      </c>
      <c r="M26" s="138">
        <f>IF(OR(NOT(ISNUMBER(M$5)),N(Plano!$G23)=0,N(Plano!$L23)=0),"",IF(Plano!$L23+Plano!$G23*MAX(0,ROUNDUP((M$5-Plano!$L23)/Plano!$G23,0))&lt;=IF(DAY(M$5)&gt;=29,EOMONTH(M$5,0),M$5+6),"●",""))</f>
        <v/>
      </c>
      <c r="N26" s="138">
        <f>IF(OR(NOT(ISNUMBER(N$5)),N(Plano!$G23)=0,N(Plano!$L23)=0),"",IF(Plano!$L23+Plano!$G23*MAX(0,ROUNDUP((N$5-Plano!$L23)/Plano!$G23,0))&lt;=IF(DAY(N$5)&gt;=29,EOMONTH(N$5,0),N$5+6),"●",""))</f>
        <v/>
      </c>
      <c r="O26" s="138">
        <f>IF(OR(NOT(ISNUMBER(O$5)),N(Plano!$G23)=0,N(Plano!$L23)=0),"",IF(Plano!$L23+Plano!$G23*MAX(0,ROUNDUP((O$5-Plano!$L23)/Plano!$G23,0))&lt;=IF(DAY(O$5)&gt;=29,EOMONTH(O$5,0),O$5+6),"●",""))</f>
        <v/>
      </c>
      <c r="P26" s="139">
        <f>IF(OR(NOT(ISNUMBER(P$5)),N(Plano!$G23)=0,N(Plano!$L23)=0),"",IF(Plano!$L23+Plano!$G23*MAX(0,ROUNDUP((P$5-Plano!$L23)/Plano!$G23,0))&lt;=IF(DAY(P$5)&gt;=29,EOMONTH(P$5,0),P$5+6),"●",""))</f>
        <v/>
      </c>
      <c r="Q26" s="138">
        <f>IF(OR(NOT(ISNUMBER(Q$5)),N(Plano!$G23)=0,N(Plano!$L23)=0),"",IF(Plano!$L23+Plano!$G23*MAX(0,ROUNDUP((Q$5-Plano!$L23)/Plano!$G23,0))&lt;=IF(DAY(Q$5)&gt;=29,EOMONTH(Q$5,0),Q$5+6),"●",""))</f>
        <v/>
      </c>
      <c r="R26" s="138">
        <f>IF(OR(NOT(ISNUMBER(R$5)),N(Plano!$G23)=0,N(Plano!$L23)=0),"",IF(Plano!$L23+Plano!$G23*MAX(0,ROUNDUP((R$5-Plano!$L23)/Plano!$G23,0))&lt;=IF(DAY(R$5)&gt;=29,EOMONTH(R$5,0),R$5+6),"●",""))</f>
        <v/>
      </c>
      <c r="S26" s="138">
        <f>IF(OR(NOT(ISNUMBER(S$5)),N(Plano!$G23)=0,N(Plano!$L23)=0),"",IF(Plano!$L23+Plano!$G23*MAX(0,ROUNDUP((S$5-Plano!$L23)/Plano!$G23,0))&lt;=IF(DAY(S$5)&gt;=29,EOMONTH(S$5,0),S$5+6),"●",""))</f>
        <v/>
      </c>
      <c r="T26" s="138">
        <f>IF(OR(NOT(ISNUMBER(T$5)),N(Plano!$G23)=0,N(Plano!$L23)=0),"",IF(Plano!$L23+Plano!$G23*MAX(0,ROUNDUP((T$5-Plano!$L23)/Plano!$G23,0))&lt;=IF(DAY(T$5)&gt;=29,EOMONTH(T$5,0),T$5+6),"●",""))</f>
        <v/>
      </c>
      <c r="U26" s="139">
        <f>IF(OR(NOT(ISNUMBER(U$5)),N(Plano!$G23)=0,N(Plano!$L23)=0),"",IF(Plano!$L23+Plano!$G23*MAX(0,ROUNDUP((U$5-Plano!$L23)/Plano!$G23,0))&lt;=IF(DAY(U$5)&gt;=29,EOMONTH(U$5,0),U$5+6),"●",""))</f>
        <v/>
      </c>
      <c r="V26" s="138">
        <f>IF(OR(NOT(ISNUMBER(V$5)),N(Plano!$G23)=0,N(Plano!$L23)=0),"",IF(Plano!$L23+Plano!$G23*MAX(0,ROUNDUP((V$5-Plano!$L23)/Plano!$G23,0))&lt;=IF(DAY(V$5)&gt;=29,EOMONTH(V$5,0),V$5+6),"●",""))</f>
        <v/>
      </c>
      <c r="W26" s="138">
        <f>IF(OR(NOT(ISNUMBER(W$5)),N(Plano!$G23)=0,N(Plano!$L23)=0),"",IF(Plano!$L23+Plano!$G23*MAX(0,ROUNDUP((W$5-Plano!$L23)/Plano!$G23,0))&lt;=IF(DAY(W$5)&gt;=29,EOMONTH(W$5,0),W$5+6),"●",""))</f>
        <v/>
      </c>
      <c r="X26" s="138">
        <f>IF(OR(NOT(ISNUMBER(X$5)),N(Plano!$G23)=0,N(Plano!$L23)=0),"",IF(Plano!$L23+Plano!$G23*MAX(0,ROUNDUP((X$5-Plano!$L23)/Plano!$G23,0))&lt;=IF(DAY(X$5)&gt;=29,EOMONTH(X$5,0),X$5+6),"●",""))</f>
        <v/>
      </c>
      <c r="Y26" s="138">
        <f>IF(OR(NOT(ISNUMBER(Y$5)),N(Plano!$G23)=0,N(Plano!$L23)=0),"",IF(Plano!$L23+Plano!$G23*MAX(0,ROUNDUP((Y$5-Plano!$L23)/Plano!$G23,0))&lt;=IF(DAY(Y$5)&gt;=29,EOMONTH(Y$5,0),Y$5+6),"●",""))</f>
        <v/>
      </c>
      <c r="Z26" s="139">
        <f>IF(OR(NOT(ISNUMBER(Z$5)),N(Plano!$G23)=0,N(Plano!$L23)=0),"",IF(Plano!$L23+Plano!$G23*MAX(0,ROUNDUP((Z$5-Plano!$L23)/Plano!$G23,0))&lt;=IF(DAY(Z$5)&gt;=29,EOMONTH(Z$5,0),Z$5+6),"●",""))</f>
        <v/>
      </c>
      <c r="AA26" s="138">
        <f>IF(OR(NOT(ISNUMBER(AA$5)),N(Plano!$G23)=0,N(Plano!$L23)=0),"",IF(Plano!$L23+Plano!$G23*MAX(0,ROUNDUP((AA$5-Plano!$L23)/Plano!$G23,0))&lt;=IF(DAY(AA$5)&gt;=29,EOMONTH(AA$5,0),AA$5+6),"●",""))</f>
        <v/>
      </c>
      <c r="AB26" s="138">
        <f>IF(OR(NOT(ISNUMBER(AB$5)),N(Plano!$G23)=0,N(Plano!$L23)=0),"",IF(Plano!$L23+Plano!$G23*MAX(0,ROUNDUP((AB$5-Plano!$L23)/Plano!$G23,0))&lt;=IF(DAY(AB$5)&gt;=29,EOMONTH(AB$5,0),AB$5+6),"●",""))</f>
        <v/>
      </c>
      <c r="AC26" s="138">
        <f>IF(OR(NOT(ISNUMBER(AC$5)),N(Plano!$G23)=0,N(Plano!$L23)=0),"",IF(Plano!$L23+Plano!$G23*MAX(0,ROUNDUP((AC$5-Plano!$L23)/Plano!$G23,0))&lt;=IF(DAY(AC$5)&gt;=29,EOMONTH(AC$5,0),AC$5+6),"●",""))</f>
        <v/>
      </c>
      <c r="AD26" s="138">
        <f>IF(OR(NOT(ISNUMBER(AD$5)),N(Plano!$G23)=0,N(Plano!$L23)=0),"",IF(Plano!$L23+Plano!$G23*MAX(0,ROUNDUP((AD$5-Plano!$L23)/Plano!$G23,0))&lt;=IF(DAY(AD$5)&gt;=29,EOMONTH(AD$5,0),AD$5+6),"●",""))</f>
        <v/>
      </c>
      <c r="AE26" s="139">
        <f>IF(OR(NOT(ISNUMBER(AE$5)),N(Plano!$G23)=0,N(Plano!$L23)=0),"",IF(Plano!$L23+Plano!$G23*MAX(0,ROUNDUP((AE$5-Plano!$L23)/Plano!$G23,0))&lt;=IF(DAY(AE$5)&gt;=29,EOMONTH(AE$5,0),AE$5+6),"●",""))</f>
        <v/>
      </c>
      <c r="AF26" s="138">
        <f>IF(OR(NOT(ISNUMBER(AF$5)),N(Plano!$G23)=0,N(Plano!$L23)=0),"",IF(Plano!$L23+Plano!$G23*MAX(0,ROUNDUP((AF$5-Plano!$L23)/Plano!$G23,0))&lt;=IF(DAY(AF$5)&gt;=29,EOMONTH(AF$5,0),AF$5+6),"●",""))</f>
        <v/>
      </c>
      <c r="AG26" s="138">
        <f>IF(OR(NOT(ISNUMBER(AG$5)),N(Plano!$G23)=0,N(Plano!$L23)=0),"",IF(Plano!$L23+Plano!$G23*MAX(0,ROUNDUP((AG$5-Plano!$L23)/Plano!$G23,0))&lt;=IF(DAY(AG$5)&gt;=29,EOMONTH(AG$5,0),AG$5+6),"●",""))</f>
        <v/>
      </c>
      <c r="AH26" s="138">
        <f>IF(OR(NOT(ISNUMBER(AH$5)),N(Plano!$G23)=0,N(Plano!$L23)=0),"",IF(Plano!$L23+Plano!$G23*MAX(0,ROUNDUP((AH$5-Plano!$L23)/Plano!$G23,0))&lt;=IF(DAY(AH$5)&gt;=29,EOMONTH(AH$5,0),AH$5+6),"●",""))</f>
        <v/>
      </c>
      <c r="AI26" s="138">
        <f>IF(OR(NOT(ISNUMBER(AI$5)),N(Plano!$G23)=0,N(Plano!$L23)=0),"",IF(Plano!$L23+Plano!$G23*MAX(0,ROUNDUP((AI$5-Plano!$L23)/Plano!$G23,0))&lt;=IF(DAY(AI$5)&gt;=29,EOMONTH(AI$5,0),AI$5+6),"●",""))</f>
        <v/>
      </c>
      <c r="AJ26" s="139">
        <f>IF(OR(NOT(ISNUMBER(AJ$5)),N(Plano!$G23)=0,N(Plano!$L23)=0),"",IF(Plano!$L23+Plano!$G23*MAX(0,ROUNDUP((AJ$5-Plano!$L23)/Plano!$G23,0))&lt;=IF(DAY(AJ$5)&gt;=29,EOMONTH(AJ$5,0),AJ$5+6),"●",""))</f>
        <v/>
      </c>
      <c r="AK26" s="138">
        <f>IF(OR(NOT(ISNUMBER(AK$5)),N(Plano!$G23)=0,N(Plano!$L23)=0),"",IF(Plano!$L23+Plano!$G23*MAX(0,ROUNDUP((AK$5-Plano!$L23)/Plano!$G23,0))&lt;=IF(DAY(AK$5)&gt;=29,EOMONTH(AK$5,0),AK$5+6),"●",""))</f>
        <v/>
      </c>
      <c r="AL26" s="138">
        <f>IF(OR(NOT(ISNUMBER(AL$5)),N(Plano!$G23)=0,N(Plano!$L23)=0),"",IF(Plano!$L23+Plano!$G23*MAX(0,ROUNDUP((AL$5-Plano!$L23)/Plano!$G23,0))&lt;=IF(DAY(AL$5)&gt;=29,EOMONTH(AL$5,0),AL$5+6),"●",""))</f>
        <v/>
      </c>
      <c r="AM26" s="138">
        <f>IF(OR(NOT(ISNUMBER(AM$5)),N(Plano!$G23)=0,N(Plano!$L23)=0),"",IF(Plano!$L23+Plano!$G23*MAX(0,ROUNDUP((AM$5-Plano!$L23)/Plano!$G23,0))&lt;=IF(DAY(AM$5)&gt;=29,EOMONTH(AM$5,0),AM$5+6),"●",""))</f>
        <v/>
      </c>
      <c r="AN26" s="138">
        <f>IF(OR(NOT(ISNUMBER(AN$5)),N(Plano!$G23)=0,N(Plano!$L23)=0),"",IF(Plano!$L23+Plano!$G23*MAX(0,ROUNDUP((AN$5-Plano!$L23)/Plano!$G23,0))&lt;=IF(DAY(AN$5)&gt;=29,EOMONTH(AN$5,0),AN$5+6),"●",""))</f>
        <v/>
      </c>
      <c r="AO26" s="139">
        <f>IF(OR(NOT(ISNUMBER(AO$5)),N(Plano!$G23)=0,N(Plano!$L23)=0),"",IF(Plano!$L23+Plano!$G23*MAX(0,ROUNDUP((AO$5-Plano!$L23)/Plano!$G23,0))&lt;=IF(DAY(AO$5)&gt;=29,EOMONTH(AO$5,0),AO$5+6),"●",""))</f>
        <v/>
      </c>
      <c r="AP26" s="138">
        <f>IF(OR(NOT(ISNUMBER(AP$5)),N(Plano!$G23)=0,N(Plano!$L23)=0),"",IF(Plano!$L23+Plano!$G23*MAX(0,ROUNDUP((AP$5-Plano!$L23)/Plano!$G23,0))&lt;=IF(DAY(AP$5)&gt;=29,EOMONTH(AP$5,0),AP$5+6),"●",""))</f>
        <v/>
      </c>
      <c r="AQ26" s="138">
        <f>IF(OR(NOT(ISNUMBER(AQ$5)),N(Plano!$G23)=0,N(Plano!$L23)=0),"",IF(Plano!$L23+Plano!$G23*MAX(0,ROUNDUP((AQ$5-Plano!$L23)/Plano!$G23,0))&lt;=IF(DAY(AQ$5)&gt;=29,EOMONTH(AQ$5,0),AQ$5+6),"●",""))</f>
        <v/>
      </c>
      <c r="AR26" s="138">
        <f>IF(OR(NOT(ISNUMBER(AR$5)),N(Plano!$G23)=0,N(Plano!$L23)=0),"",IF(Plano!$L23+Plano!$G23*MAX(0,ROUNDUP((AR$5-Plano!$L23)/Plano!$G23,0))&lt;=IF(DAY(AR$5)&gt;=29,EOMONTH(AR$5,0),AR$5+6),"●",""))</f>
        <v/>
      </c>
      <c r="AS26" s="138">
        <f>IF(OR(NOT(ISNUMBER(AS$5)),N(Plano!$G23)=0,N(Plano!$L23)=0),"",IF(Plano!$L23+Plano!$G23*MAX(0,ROUNDUP((AS$5-Plano!$L23)/Plano!$G23,0))&lt;=IF(DAY(AS$5)&gt;=29,EOMONTH(AS$5,0),AS$5+6),"●",""))</f>
        <v/>
      </c>
      <c r="AT26" s="139">
        <f>IF(OR(NOT(ISNUMBER(AT$5)),N(Plano!$G23)=0,N(Plano!$L23)=0),"",IF(Plano!$L23+Plano!$G23*MAX(0,ROUNDUP((AT$5-Plano!$L23)/Plano!$G23,0))&lt;=IF(DAY(AT$5)&gt;=29,EOMONTH(AT$5,0),AT$5+6),"●",""))</f>
        <v/>
      </c>
      <c r="AU26" s="138">
        <f>IF(OR(NOT(ISNUMBER(AU$5)),N(Plano!$G23)=0,N(Plano!$L23)=0),"",IF(Plano!$L23+Plano!$G23*MAX(0,ROUNDUP((AU$5-Plano!$L23)/Plano!$G23,0))&lt;=IF(DAY(AU$5)&gt;=29,EOMONTH(AU$5,0),AU$5+6),"●",""))</f>
        <v/>
      </c>
      <c r="AV26" s="138">
        <f>IF(OR(NOT(ISNUMBER(AV$5)),N(Plano!$G23)=0,N(Plano!$L23)=0),"",IF(Plano!$L23+Plano!$G23*MAX(0,ROUNDUP((AV$5-Plano!$L23)/Plano!$G23,0))&lt;=IF(DAY(AV$5)&gt;=29,EOMONTH(AV$5,0),AV$5+6),"●",""))</f>
        <v/>
      </c>
      <c r="AW26" s="138">
        <f>IF(OR(NOT(ISNUMBER(AW$5)),N(Plano!$G23)=0,N(Plano!$L23)=0),"",IF(Plano!$L23+Plano!$G23*MAX(0,ROUNDUP((AW$5-Plano!$L23)/Plano!$G23,0))&lt;=IF(DAY(AW$5)&gt;=29,EOMONTH(AW$5,0),AW$5+6),"●",""))</f>
        <v/>
      </c>
      <c r="AX26" s="138">
        <f>IF(OR(NOT(ISNUMBER(AX$5)),N(Plano!$G23)=0,N(Plano!$L23)=0),"",IF(Plano!$L23+Plano!$G23*MAX(0,ROUNDUP((AX$5-Plano!$L23)/Plano!$G23,0))&lt;=IF(DAY(AX$5)&gt;=29,EOMONTH(AX$5,0),AX$5+6),"●",""))</f>
        <v/>
      </c>
      <c r="AY26" s="139">
        <f>IF(OR(NOT(ISNUMBER(AY$5)),N(Plano!$G23)=0,N(Plano!$L23)=0),"",IF(Plano!$L23+Plano!$G23*MAX(0,ROUNDUP((AY$5-Plano!$L23)/Plano!$G23,0))&lt;=IF(DAY(AY$5)&gt;=29,EOMONTH(AY$5,0),AY$5+6),"●",""))</f>
        <v/>
      </c>
      <c r="AZ26" s="138">
        <f>IF(OR(NOT(ISNUMBER(AZ$5)),N(Plano!$G23)=0,N(Plano!$L23)=0),"",IF(Plano!$L23+Plano!$G23*MAX(0,ROUNDUP((AZ$5-Plano!$L23)/Plano!$G23,0))&lt;=IF(DAY(AZ$5)&gt;=29,EOMONTH(AZ$5,0),AZ$5+6),"●",""))</f>
        <v/>
      </c>
      <c r="BA26" s="138">
        <f>IF(OR(NOT(ISNUMBER(BA$5)),N(Plano!$G23)=0,N(Plano!$L23)=0),"",IF(Plano!$L23+Plano!$G23*MAX(0,ROUNDUP((BA$5-Plano!$L23)/Plano!$G23,0))&lt;=IF(DAY(BA$5)&gt;=29,EOMONTH(BA$5,0),BA$5+6),"●",""))</f>
        <v/>
      </c>
      <c r="BB26" s="138">
        <f>IF(OR(NOT(ISNUMBER(BB$5)),N(Plano!$G23)=0,N(Plano!$L23)=0),"",IF(Plano!$L23+Plano!$G23*MAX(0,ROUNDUP((BB$5-Plano!$L23)/Plano!$G23,0))&lt;=IF(DAY(BB$5)&gt;=29,EOMONTH(BB$5,0),BB$5+6),"●",""))</f>
        <v/>
      </c>
      <c r="BC26" s="138">
        <f>IF(OR(NOT(ISNUMBER(BC$5)),N(Plano!$G23)=0,N(Plano!$L23)=0),"",IF(Plano!$L23+Plano!$G23*MAX(0,ROUNDUP((BC$5-Plano!$L23)/Plano!$G23,0))&lt;=IF(DAY(BC$5)&gt;=29,EOMONTH(BC$5,0),BC$5+6),"●",""))</f>
        <v/>
      </c>
      <c r="BD26" s="139">
        <f>IF(OR(NOT(ISNUMBER(BD$5)),N(Plano!$G23)=0,N(Plano!$L23)=0),"",IF(Plano!$L23+Plano!$G23*MAX(0,ROUNDUP((BD$5-Plano!$L23)/Plano!$G23,0))&lt;=IF(DAY(BD$5)&gt;=29,EOMONTH(BD$5,0),BD$5+6),"●",""))</f>
        <v/>
      </c>
      <c r="BE26" s="138">
        <f>IF(OR(NOT(ISNUMBER(BE$5)),N(Plano!$G23)=0,N(Plano!$L23)=0),"",IF(Plano!$L23+Plano!$G23*MAX(0,ROUNDUP((BE$5-Plano!$L23)/Plano!$G23,0))&lt;=IF(DAY(BE$5)&gt;=29,EOMONTH(BE$5,0),BE$5+6),"●",""))</f>
        <v/>
      </c>
      <c r="BF26" s="138">
        <f>IF(OR(NOT(ISNUMBER(BF$5)),N(Plano!$G23)=0,N(Plano!$L23)=0),"",IF(Plano!$L23+Plano!$G23*MAX(0,ROUNDUP((BF$5-Plano!$L23)/Plano!$G23,0))&lt;=IF(DAY(BF$5)&gt;=29,EOMONTH(BF$5,0),BF$5+6),"●",""))</f>
        <v/>
      </c>
      <c r="BG26" s="138">
        <f>IF(OR(NOT(ISNUMBER(BG$5)),N(Plano!$G23)=0,N(Plano!$L23)=0),"",IF(Plano!$L23+Plano!$G23*MAX(0,ROUNDUP((BG$5-Plano!$L23)/Plano!$G23,0))&lt;=IF(DAY(BG$5)&gt;=29,EOMONTH(BG$5,0),BG$5+6),"●",""))</f>
        <v/>
      </c>
      <c r="BH26" s="138">
        <f>IF(OR(NOT(ISNUMBER(BH$5)),N(Plano!$G23)=0,N(Plano!$L23)=0),"",IF(Plano!$L23+Plano!$G23*MAX(0,ROUNDUP((BH$5-Plano!$L23)/Plano!$G23,0))&lt;=IF(DAY(BH$5)&gt;=29,EOMONTH(BH$5,0),BH$5+6),"●",""))</f>
        <v/>
      </c>
      <c r="BI26" s="139">
        <f>IF(OR(NOT(ISNUMBER(BI$5)),N(Plano!$G23)=0,N(Plano!$L23)=0),"",IF(Plano!$L23+Plano!$G23*MAX(0,ROUNDUP((BI$5-Plano!$L23)/Plano!$G23,0))&lt;=IF(DAY(BI$5)&gt;=29,EOMONTH(BI$5,0),BI$5+6),"●",""))</f>
        <v/>
      </c>
      <c r="BJ26" s="138">
        <f>IF(OR(NOT(ISNUMBER(BJ$5)),N(Plano!$G23)=0,N(Plano!$L23)=0),"",IF(Plano!$L23+Plano!$G23*MAX(0,ROUNDUP((BJ$5-Plano!$L23)/Plano!$G23,0))&lt;=IF(DAY(BJ$5)&gt;=29,EOMONTH(BJ$5,0),BJ$5+6),"●",""))</f>
        <v/>
      </c>
      <c r="BK26" s="138">
        <f>IF(OR(NOT(ISNUMBER(BK$5)),N(Plano!$G23)=0,N(Plano!$L23)=0),"",IF(Plano!$L23+Plano!$G23*MAX(0,ROUNDUP((BK$5-Plano!$L23)/Plano!$G23,0))&lt;=IF(DAY(BK$5)&gt;=29,EOMONTH(BK$5,0),BK$5+6),"●",""))</f>
        <v/>
      </c>
      <c r="BL26" s="138">
        <f>IF(OR(NOT(ISNUMBER(BL$5)),N(Plano!$G23)=0,N(Plano!$L23)=0),"",IF(Plano!$L23+Plano!$G23*MAX(0,ROUNDUP((BL$5-Plano!$L23)/Plano!$G23,0))&lt;=IF(DAY(BL$5)&gt;=29,EOMONTH(BL$5,0),BL$5+6),"●",""))</f>
        <v/>
      </c>
      <c r="BM26" s="140">
        <f>IF(OR(NOT(ISNUMBER(BM$5)),N(Plano!$G23)=0,N(Plano!$L23)=0),"",IF(Plano!$L23+Plano!$G23*MAX(0,ROUNDUP((BM$5-Plano!$L23)/Plano!$G23,0))&lt;=IF(DAY(BM$5)&gt;=29,EOMONTH(BM$5,0),BM$5+6),"●",""))</f>
        <v/>
      </c>
    </row>
    <row r="27" ht="18" customHeight="1">
      <c r="A27" s="118">
        <f>Plano!A24</f>
        <v/>
      </c>
      <c r="B27" s="136">
        <f>IF(Plano!B24="","",Plano!B24)</f>
        <v/>
      </c>
      <c r="C27" s="70">
        <f>IF(B27="","",IFERROR(INDEX(tb_pcm_ativos[descricao_ativo],MATCH(B27,tb_pcm_ativos[tag],0)),"fora do cadastro"))</f>
        <v/>
      </c>
      <c r="D27" s="70">
        <f>IF(Plano!E24="","",Plano!E24)</f>
        <v/>
      </c>
      <c r="E27" s="137">
        <f>IF(Plano!G24="","",Plano!G24)</f>
        <v/>
      </c>
      <c r="F27" s="138">
        <f>IF(OR(NOT(ISNUMBER(F$5)),N(Plano!$G24)=0,N(Plano!$L24)=0),"",IF(Plano!$L24+Plano!$G24*MAX(0,ROUNDUP((F$5-Plano!$L24)/Plano!$G24,0))&lt;=IF(DAY(F$5)&gt;=29,EOMONTH(F$5,0),F$5+6),"●",""))</f>
        <v/>
      </c>
      <c r="G27" s="138">
        <f>IF(OR(NOT(ISNUMBER(G$5)),N(Plano!$G24)=0,N(Plano!$L24)=0),"",IF(Plano!$L24+Plano!$G24*MAX(0,ROUNDUP((G$5-Plano!$L24)/Plano!$G24,0))&lt;=IF(DAY(G$5)&gt;=29,EOMONTH(G$5,0),G$5+6),"●",""))</f>
        <v/>
      </c>
      <c r="H27" s="138">
        <f>IF(OR(NOT(ISNUMBER(H$5)),N(Plano!$G24)=0,N(Plano!$L24)=0),"",IF(Plano!$L24+Plano!$G24*MAX(0,ROUNDUP((H$5-Plano!$L24)/Plano!$G24,0))&lt;=IF(DAY(H$5)&gt;=29,EOMONTH(H$5,0),H$5+6),"●",""))</f>
        <v/>
      </c>
      <c r="I27" s="138">
        <f>IF(OR(NOT(ISNUMBER(I$5)),N(Plano!$G24)=0,N(Plano!$L24)=0),"",IF(Plano!$L24+Plano!$G24*MAX(0,ROUNDUP((I$5-Plano!$L24)/Plano!$G24,0))&lt;=IF(DAY(I$5)&gt;=29,EOMONTH(I$5,0),I$5+6),"●",""))</f>
        <v/>
      </c>
      <c r="J27" s="138">
        <f>IF(OR(NOT(ISNUMBER(J$5)),N(Plano!$G24)=0,N(Plano!$L24)=0),"",IF(Plano!$L24+Plano!$G24*MAX(0,ROUNDUP((J$5-Plano!$L24)/Plano!$G24,0))&lt;=IF(DAY(J$5)&gt;=29,EOMONTH(J$5,0),J$5+6),"●",""))</f>
        <v/>
      </c>
      <c r="K27" s="139">
        <f>IF(OR(NOT(ISNUMBER(K$5)),N(Plano!$G24)=0,N(Plano!$L24)=0),"",IF(Plano!$L24+Plano!$G24*MAX(0,ROUNDUP((K$5-Plano!$L24)/Plano!$G24,0))&lt;=IF(DAY(K$5)&gt;=29,EOMONTH(K$5,0),K$5+6),"●",""))</f>
        <v/>
      </c>
      <c r="L27" s="138">
        <f>IF(OR(NOT(ISNUMBER(L$5)),N(Plano!$G24)=0,N(Plano!$L24)=0),"",IF(Plano!$L24+Plano!$G24*MAX(0,ROUNDUP((L$5-Plano!$L24)/Plano!$G24,0))&lt;=IF(DAY(L$5)&gt;=29,EOMONTH(L$5,0),L$5+6),"●",""))</f>
        <v/>
      </c>
      <c r="M27" s="138">
        <f>IF(OR(NOT(ISNUMBER(M$5)),N(Plano!$G24)=0,N(Plano!$L24)=0),"",IF(Plano!$L24+Plano!$G24*MAX(0,ROUNDUP((M$5-Plano!$L24)/Plano!$G24,0))&lt;=IF(DAY(M$5)&gt;=29,EOMONTH(M$5,0),M$5+6),"●",""))</f>
        <v/>
      </c>
      <c r="N27" s="138">
        <f>IF(OR(NOT(ISNUMBER(N$5)),N(Plano!$G24)=0,N(Plano!$L24)=0),"",IF(Plano!$L24+Plano!$G24*MAX(0,ROUNDUP((N$5-Plano!$L24)/Plano!$G24,0))&lt;=IF(DAY(N$5)&gt;=29,EOMONTH(N$5,0),N$5+6),"●",""))</f>
        <v/>
      </c>
      <c r="O27" s="138">
        <f>IF(OR(NOT(ISNUMBER(O$5)),N(Plano!$G24)=0,N(Plano!$L24)=0),"",IF(Plano!$L24+Plano!$G24*MAX(0,ROUNDUP((O$5-Plano!$L24)/Plano!$G24,0))&lt;=IF(DAY(O$5)&gt;=29,EOMONTH(O$5,0),O$5+6),"●",""))</f>
        <v/>
      </c>
      <c r="P27" s="139">
        <f>IF(OR(NOT(ISNUMBER(P$5)),N(Plano!$G24)=0,N(Plano!$L24)=0),"",IF(Plano!$L24+Plano!$G24*MAX(0,ROUNDUP((P$5-Plano!$L24)/Plano!$G24,0))&lt;=IF(DAY(P$5)&gt;=29,EOMONTH(P$5,0),P$5+6),"●",""))</f>
        <v/>
      </c>
      <c r="Q27" s="138">
        <f>IF(OR(NOT(ISNUMBER(Q$5)),N(Plano!$G24)=0,N(Plano!$L24)=0),"",IF(Plano!$L24+Plano!$G24*MAX(0,ROUNDUP((Q$5-Plano!$L24)/Plano!$G24,0))&lt;=IF(DAY(Q$5)&gt;=29,EOMONTH(Q$5,0),Q$5+6),"●",""))</f>
        <v/>
      </c>
      <c r="R27" s="138">
        <f>IF(OR(NOT(ISNUMBER(R$5)),N(Plano!$G24)=0,N(Plano!$L24)=0),"",IF(Plano!$L24+Plano!$G24*MAX(0,ROUNDUP((R$5-Plano!$L24)/Plano!$G24,0))&lt;=IF(DAY(R$5)&gt;=29,EOMONTH(R$5,0),R$5+6),"●",""))</f>
        <v/>
      </c>
      <c r="S27" s="138">
        <f>IF(OR(NOT(ISNUMBER(S$5)),N(Plano!$G24)=0,N(Plano!$L24)=0),"",IF(Plano!$L24+Plano!$G24*MAX(0,ROUNDUP((S$5-Plano!$L24)/Plano!$G24,0))&lt;=IF(DAY(S$5)&gt;=29,EOMONTH(S$5,0),S$5+6),"●",""))</f>
        <v/>
      </c>
      <c r="T27" s="138">
        <f>IF(OR(NOT(ISNUMBER(T$5)),N(Plano!$G24)=0,N(Plano!$L24)=0),"",IF(Plano!$L24+Plano!$G24*MAX(0,ROUNDUP((T$5-Plano!$L24)/Plano!$G24,0))&lt;=IF(DAY(T$5)&gt;=29,EOMONTH(T$5,0),T$5+6),"●",""))</f>
        <v/>
      </c>
      <c r="U27" s="139">
        <f>IF(OR(NOT(ISNUMBER(U$5)),N(Plano!$G24)=0,N(Plano!$L24)=0),"",IF(Plano!$L24+Plano!$G24*MAX(0,ROUNDUP((U$5-Plano!$L24)/Plano!$G24,0))&lt;=IF(DAY(U$5)&gt;=29,EOMONTH(U$5,0),U$5+6),"●",""))</f>
        <v/>
      </c>
      <c r="V27" s="138">
        <f>IF(OR(NOT(ISNUMBER(V$5)),N(Plano!$G24)=0,N(Plano!$L24)=0),"",IF(Plano!$L24+Plano!$G24*MAX(0,ROUNDUP((V$5-Plano!$L24)/Plano!$G24,0))&lt;=IF(DAY(V$5)&gt;=29,EOMONTH(V$5,0),V$5+6),"●",""))</f>
        <v/>
      </c>
      <c r="W27" s="138">
        <f>IF(OR(NOT(ISNUMBER(W$5)),N(Plano!$G24)=0,N(Plano!$L24)=0),"",IF(Plano!$L24+Plano!$G24*MAX(0,ROUNDUP((W$5-Plano!$L24)/Plano!$G24,0))&lt;=IF(DAY(W$5)&gt;=29,EOMONTH(W$5,0),W$5+6),"●",""))</f>
        <v/>
      </c>
      <c r="X27" s="138">
        <f>IF(OR(NOT(ISNUMBER(X$5)),N(Plano!$G24)=0,N(Plano!$L24)=0),"",IF(Plano!$L24+Plano!$G24*MAX(0,ROUNDUP((X$5-Plano!$L24)/Plano!$G24,0))&lt;=IF(DAY(X$5)&gt;=29,EOMONTH(X$5,0),X$5+6),"●",""))</f>
        <v/>
      </c>
      <c r="Y27" s="138">
        <f>IF(OR(NOT(ISNUMBER(Y$5)),N(Plano!$G24)=0,N(Plano!$L24)=0),"",IF(Plano!$L24+Plano!$G24*MAX(0,ROUNDUP((Y$5-Plano!$L24)/Plano!$G24,0))&lt;=IF(DAY(Y$5)&gt;=29,EOMONTH(Y$5,0),Y$5+6),"●",""))</f>
        <v/>
      </c>
      <c r="Z27" s="139">
        <f>IF(OR(NOT(ISNUMBER(Z$5)),N(Plano!$G24)=0,N(Plano!$L24)=0),"",IF(Plano!$L24+Plano!$G24*MAX(0,ROUNDUP((Z$5-Plano!$L24)/Plano!$G24,0))&lt;=IF(DAY(Z$5)&gt;=29,EOMONTH(Z$5,0),Z$5+6),"●",""))</f>
        <v/>
      </c>
      <c r="AA27" s="138">
        <f>IF(OR(NOT(ISNUMBER(AA$5)),N(Plano!$G24)=0,N(Plano!$L24)=0),"",IF(Plano!$L24+Plano!$G24*MAX(0,ROUNDUP((AA$5-Plano!$L24)/Plano!$G24,0))&lt;=IF(DAY(AA$5)&gt;=29,EOMONTH(AA$5,0),AA$5+6),"●",""))</f>
        <v/>
      </c>
      <c r="AB27" s="138">
        <f>IF(OR(NOT(ISNUMBER(AB$5)),N(Plano!$G24)=0,N(Plano!$L24)=0),"",IF(Plano!$L24+Plano!$G24*MAX(0,ROUNDUP((AB$5-Plano!$L24)/Plano!$G24,0))&lt;=IF(DAY(AB$5)&gt;=29,EOMONTH(AB$5,0),AB$5+6),"●",""))</f>
        <v/>
      </c>
      <c r="AC27" s="138">
        <f>IF(OR(NOT(ISNUMBER(AC$5)),N(Plano!$G24)=0,N(Plano!$L24)=0),"",IF(Plano!$L24+Plano!$G24*MAX(0,ROUNDUP((AC$5-Plano!$L24)/Plano!$G24,0))&lt;=IF(DAY(AC$5)&gt;=29,EOMONTH(AC$5,0),AC$5+6),"●",""))</f>
        <v/>
      </c>
      <c r="AD27" s="138">
        <f>IF(OR(NOT(ISNUMBER(AD$5)),N(Plano!$G24)=0,N(Plano!$L24)=0),"",IF(Plano!$L24+Plano!$G24*MAX(0,ROUNDUP((AD$5-Plano!$L24)/Plano!$G24,0))&lt;=IF(DAY(AD$5)&gt;=29,EOMONTH(AD$5,0),AD$5+6),"●",""))</f>
        <v/>
      </c>
      <c r="AE27" s="139">
        <f>IF(OR(NOT(ISNUMBER(AE$5)),N(Plano!$G24)=0,N(Plano!$L24)=0),"",IF(Plano!$L24+Plano!$G24*MAX(0,ROUNDUP((AE$5-Plano!$L24)/Plano!$G24,0))&lt;=IF(DAY(AE$5)&gt;=29,EOMONTH(AE$5,0),AE$5+6),"●",""))</f>
        <v/>
      </c>
      <c r="AF27" s="138">
        <f>IF(OR(NOT(ISNUMBER(AF$5)),N(Plano!$G24)=0,N(Plano!$L24)=0),"",IF(Plano!$L24+Plano!$G24*MAX(0,ROUNDUP((AF$5-Plano!$L24)/Plano!$G24,0))&lt;=IF(DAY(AF$5)&gt;=29,EOMONTH(AF$5,0),AF$5+6),"●",""))</f>
        <v/>
      </c>
      <c r="AG27" s="138">
        <f>IF(OR(NOT(ISNUMBER(AG$5)),N(Plano!$G24)=0,N(Plano!$L24)=0),"",IF(Plano!$L24+Plano!$G24*MAX(0,ROUNDUP((AG$5-Plano!$L24)/Plano!$G24,0))&lt;=IF(DAY(AG$5)&gt;=29,EOMONTH(AG$5,0),AG$5+6),"●",""))</f>
        <v/>
      </c>
      <c r="AH27" s="138">
        <f>IF(OR(NOT(ISNUMBER(AH$5)),N(Plano!$G24)=0,N(Plano!$L24)=0),"",IF(Plano!$L24+Plano!$G24*MAX(0,ROUNDUP((AH$5-Plano!$L24)/Plano!$G24,0))&lt;=IF(DAY(AH$5)&gt;=29,EOMONTH(AH$5,0),AH$5+6),"●",""))</f>
        <v/>
      </c>
      <c r="AI27" s="138">
        <f>IF(OR(NOT(ISNUMBER(AI$5)),N(Plano!$G24)=0,N(Plano!$L24)=0),"",IF(Plano!$L24+Plano!$G24*MAX(0,ROUNDUP((AI$5-Plano!$L24)/Plano!$G24,0))&lt;=IF(DAY(AI$5)&gt;=29,EOMONTH(AI$5,0),AI$5+6),"●",""))</f>
        <v/>
      </c>
      <c r="AJ27" s="139">
        <f>IF(OR(NOT(ISNUMBER(AJ$5)),N(Plano!$G24)=0,N(Plano!$L24)=0),"",IF(Plano!$L24+Plano!$G24*MAX(0,ROUNDUP((AJ$5-Plano!$L24)/Plano!$G24,0))&lt;=IF(DAY(AJ$5)&gt;=29,EOMONTH(AJ$5,0),AJ$5+6),"●",""))</f>
        <v/>
      </c>
      <c r="AK27" s="138">
        <f>IF(OR(NOT(ISNUMBER(AK$5)),N(Plano!$G24)=0,N(Plano!$L24)=0),"",IF(Plano!$L24+Plano!$G24*MAX(0,ROUNDUP((AK$5-Plano!$L24)/Plano!$G24,0))&lt;=IF(DAY(AK$5)&gt;=29,EOMONTH(AK$5,0),AK$5+6),"●",""))</f>
        <v/>
      </c>
      <c r="AL27" s="138">
        <f>IF(OR(NOT(ISNUMBER(AL$5)),N(Plano!$G24)=0,N(Plano!$L24)=0),"",IF(Plano!$L24+Plano!$G24*MAX(0,ROUNDUP((AL$5-Plano!$L24)/Plano!$G24,0))&lt;=IF(DAY(AL$5)&gt;=29,EOMONTH(AL$5,0),AL$5+6),"●",""))</f>
        <v/>
      </c>
      <c r="AM27" s="138">
        <f>IF(OR(NOT(ISNUMBER(AM$5)),N(Plano!$G24)=0,N(Plano!$L24)=0),"",IF(Plano!$L24+Plano!$G24*MAX(0,ROUNDUP((AM$5-Plano!$L24)/Plano!$G24,0))&lt;=IF(DAY(AM$5)&gt;=29,EOMONTH(AM$5,0),AM$5+6),"●",""))</f>
        <v/>
      </c>
      <c r="AN27" s="138">
        <f>IF(OR(NOT(ISNUMBER(AN$5)),N(Plano!$G24)=0,N(Plano!$L24)=0),"",IF(Plano!$L24+Plano!$G24*MAX(0,ROUNDUP((AN$5-Plano!$L24)/Plano!$G24,0))&lt;=IF(DAY(AN$5)&gt;=29,EOMONTH(AN$5,0),AN$5+6),"●",""))</f>
        <v/>
      </c>
      <c r="AO27" s="139">
        <f>IF(OR(NOT(ISNUMBER(AO$5)),N(Plano!$G24)=0,N(Plano!$L24)=0),"",IF(Plano!$L24+Plano!$G24*MAX(0,ROUNDUP((AO$5-Plano!$L24)/Plano!$G24,0))&lt;=IF(DAY(AO$5)&gt;=29,EOMONTH(AO$5,0),AO$5+6),"●",""))</f>
        <v/>
      </c>
      <c r="AP27" s="138">
        <f>IF(OR(NOT(ISNUMBER(AP$5)),N(Plano!$G24)=0,N(Plano!$L24)=0),"",IF(Plano!$L24+Plano!$G24*MAX(0,ROUNDUP((AP$5-Plano!$L24)/Plano!$G24,0))&lt;=IF(DAY(AP$5)&gt;=29,EOMONTH(AP$5,0),AP$5+6),"●",""))</f>
        <v/>
      </c>
      <c r="AQ27" s="138">
        <f>IF(OR(NOT(ISNUMBER(AQ$5)),N(Plano!$G24)=0,N(Plano!$L24)=0),"",IF(Plano!$L24+Plano!$G24*MAX(0,ROUNDUP((AQ$5-Plano!$L24)/Plano!$G24,0))&lt;=IF(DAY(AQ$5)&gt;=29,EOMONTH(AQ$5,0),AQ$5+6),"●",""))</f>
        <v/>
      </c>
      <c r="AR27" s="138">
        <f>IF(OR(NOT(ISNUMBER(AR$5)),N(Plano!$G24)=0,N(Plano!$L24)=0),"",IF(Plano!$L24+Plano!$G24*MAX(0,ROUNDUP((AR$5-Plano!$L24)/Plano!$G24,0))&lt;=IF(DAY(AR$5)&gt;=29,EOMONTH(AR$5,0),AR$5+6),"●",""))</f>
        <v/>
      </c>
      <c r="AS27" s="138">
        <f>IF(OR(NOT(ISNUMBER(AS$5)),N(Plano!$G24)=0,N(Plano!$L24)=0),"",IF(Plano!$L24+Plano!$G24*MAX(0,ROUNDUP((AS$5-Plano!$L24)/Plano!$G24,0))&lt;=IF(DAY(AS$5)&gt;=29,EOMONTH(AS$5,0),AS$5+6),"●",""))</f>
        <v/>
      </c>
      <c r="AT27" s="139">
        <f>IF(OR(NOT(ISNUMBER(AT$5)),N(Plano!$G24)=0,N(Plano!$L24)=0),"",IF(Plano!$L24+Plano!$G24*MAX(0,ROUNDUP((AT$5-Plano!$L24)/Plano!$G24,0))&lt;=IF(DAY(AT$5)&gt;=29,EOMONTH(AT$5,0),AT$5+6),"●",""))</f>
        <v/>
      </c>
      <c r="AU27" s="138">
        <f>IF(OR(NOT(ISNUMBER(AU$5)),N(Plano!$G24)=0,N(Plano!$L24)=0),"",IF(Plano!$L24+Plano!$G24*MAX(0,ROUNDUP((AU$5-Plano!$L24)/Plano!$G24,0))&lt;=IF(DAY(AU$5)&gt;=29,EOMONTH(AU$5,0),AU$5+6),"●",""))</f>
        <v/>
      </c>
      <c r="AV27" s="138">
        <f>IF(OR(NOT(ISNUMBER(AV$5)),N(Plano!$G24)=0,N(Plano!$L24)=0),"",IF(Plano!$L24+Plano!$G24*MAX(0,ROUNDUP((AV$5-Plano!$L24)/Plano!$G24,0))&lt;=IF(DAY(AV$5)&gt;=29,EOMONTH(AV$5,0),AV$5+6),"●",""))</f>
        <v/>
      </c>
      <c r="AW27" s="138">
        <f>IF(OR(NOT(ISNUMBER(AW$5)),N(Plano!$G24)=0,N(Plano!$L24)=0),"",IF(Plano!$L24+Plano!$G24*MAX(0,ROUNDUP((AW$5-Plano!$L24)/Plano!$G24,0))&lt;=IF(DAY(AW$5)&gt;=29,EOMONTH(AW$5,0),AW$5+6),"●",""))</f>
        <v/>
      </c>
      <c r="AX27" s="138">
        <f>IF(OR(NOT(ISNUMBER(AX$5)),N(Plano!$G24)=0,N(Plano!$L24)=0),"",IF(Plano!$L24+Plano!$G24*MAX(0,ROUNDUP((AX$5-Plano!$L24)/Plano!$G24,0))&lt;=IF(DAY(AX$5)&gt;=29,EOMONTH(AX$5,0),AX$5+6),"●",""))</f>
        <v/>
      </c>
      <c r="AY27" s="139">
        <f>IF(OR(NOT(ISNUMBER(AY$5)),N(Plano!$G24)=0,N(Plano!$L24)=0),"",IF(Plano!$L24+Plano!$G24*MAX(0,ROUNDUP((AY$5-Plano!$L24)/Plano!$G24,0))&lt;=IF(DAY(AY$5)&gt;=29,EOMONTH(AY$5,0),AY$5+6),"●",""))</f>
        <v/>
      </c>
      <c r="AZ27" s="138">
        <f>IF(OR(NOT(ISNUMBER(AZ$5)),N(Plano!$G24)=0,N(Plano!$L24)=0),"",IF(Plano!$L24+Plano!$G24*MAX(0,ROUNDUP((AZ$5-Plano!$L24)/Plano!$G24,0))&lt;=IF(DAY(AZ$5)&gt;=29,EOMONTH(AZ$5,0),AZ$5+6),"●",""))</f>
        <v/>
      </c>
      <c r="BA27" s="138">
        <f>IF(OR(NOT(ISNUMBER(BA$5)),N(Plano!$G24)=0,N(Plano!$L24)=0),"",IF(Plano!$L24+Plano!$G24*MAX(0,ROUNDUP((BA$5-Plano!$L24)/Plano!$G24,0))&lt;=IF(DAY(BA$5)&gt;=29,EOMONTH(BA$5,0),BA$5+6),"●",""))</f>
        <v/>
      </c>
      <c r="BB27" s="138">
        <f>IF(OR(NOT(ISNUMBER(BB$5)),N(Plano!$G24)=0,N(Plano!$L24)=0),"",IF(Plano!$L24+Plano!$G24*MAX(0,ROUNDUP((BB$5-Plano!$L24)/Plano!$G24,0))&lt;=IF(DAY(BB$5)&gt;=29,EOMONTH(BB$5,0),BB$5+6),"●",""))</f>
        <v/>
      </c>
      <c r="BC27" s="138">
        <f>IF(OR(NOT(ISNUMBER(BC$5)),N(Plano!$G24)=0,N(Plano!$L24)=0),"",IF(Plano!$L24+Plano!$G24*MAX(0,ROUNDUP((BC$5-Plano!$L24)/Plano!$G24,0))&lt;=IF(DAY(BC$5)&gt;=29,EOMONTH(BC$5,0),BC$5+6),"●",""))</f>
        <v/>
      </c>
      <c r="BD27" s="139">
        <f>IF(OR(NOT(ISNUMBER(BD$5)),N(Plano!$G24)=0,N(Plano!$L24)=0),"",IF(Plano!$L24+Plano!$G24*MAX(0,ROUNDUP((BD$5-Plano!$L24)/Plano!$G24,0))&lt;=IF(DAY(BD$5)&gt;=29,EOMONTH(BD$5,0),BD$5+6),"●",""))</f>
        <v/>
      </c>
      <c r="BE27" s="138">
        <f>IF(OR(NOT(ISNUMBER(BE$5)),N(Plano!$G24)=0,N(Plano!$L24)=0),"",IF(Plano!$L24+Plano!$G24*MAX(0,ROUNDUP((BE$5-Plano!$L24)/Plano!$G24,0))&lt;=IF(DAY(BE$5)&gt;=29,EOMONTH(BE$5,0),BE$5+6),"●",""))</f>
        <v/>
      </c>
      <c r="BF27" s="138">
        <f>IF(OR(NOT(ISNUMBER(BF$5)),N(Plano!$G24)=0,N(Plano!$L24)=0),"",IF(Plano!$L24+Plano!$G24*MAX(0,ROUNDUP((BF$5-Plano!$L24)/Plano!$G24,0))&lt;=IF(DAY(BF$5)&gt;=29,EOMONTH(BF$5,0),BF$5+6),"●",""))</f>
        <v/>
      </c>
      <c r="BG27" s="138">
        <f>IF(OR(NOT(ISNUMBER(BG$5)),N(Plano!$G24)=0,N(Plano!$L24)=0),"",IF(Plano!$L24+Plano!$G24*MAX(0,ROUNDUP((BG$5-Plano!$L24)/Plano!$G24,0))&lt;=IF(DAY(BG$5)&gt;=29,EOMONTH(BG$5,0),BG$5+6),"●",""))</f>
        <v/>
      </c>
      <c r="BH27" s="138">
        <f>IF(OR(NOT(ISNUMBER(BH$5)),N(Plano!$G24)=0,N(Plano!$L24)=0),"",IF(Plano!$L24+Plano!$G24*MAX(0,ROUNDUP((BH$5-Plano!$L24)/Plano!$G24,0))&lt;=IF(DAY(BH$5)&gt;=29,EOMONTH(BH$5,0),BH$5+6),"●",""))</f>
        <v/>
      </c>
      <c r="BI27" s="139">
        <f>IF(OR(NOT(ISNUMBER(BI$5)),N(Plano!$G24)=0,N(Plano!$L24)=0),"",IF(Plano!$L24+Plano!$G24*MAX(0,ROUNDUP((BI$5-Plano!$L24)/Plano!$G24,0))&lt;=IF(DAY(BI$5)&gt;=29,EOMONTH(BI$5,0),BI$5+6),"●",""))</f>
        <v/>
      </c>
      <c r="BJ27" s="138">
        <f>IF(OR(NOT(ISNUMBER(BJ$5)),N(Plano!$G24)=0,N(Plano!$L24)=0),"",IF(Plano!$L24+Plano!$G24*MAX(0,ROUNDUP((BJ$5-Plano!$L24)/Plano!$G24,0))&lt;=IF(DAY(BJ$5)&gt;=29,EOMONTH(BJ$5,0),BJ$5+6),"●",""))</f>
        <v/>
      </c>
      <c r="BK27" s="138">
        <f>IF(OR(NOT(ISNUMBER(BK$5)),N(Plano!$G24)=0,N(Plano!$L24)=0),"",IF(Plano!$L24+Plano!$G24*MAX(0,ROUNDUP((BK$5-Plano!$L24)/Plano!$G24,0))&lt;=IF(DAY(BK$5)&gt;=29,EOMONTH(BK$5,0),BK$5+6),"●",""))</f>
        <v/>
      </c>
      <c r="BL27" s="138">
        <f>IF(OR(NOT(ISNUMBER(BL$5)),N(Plano!$G24)=0,N(Plano!$L24)=0),"",IF(Plano!$L24+Plano!$G24*MAX(0,ROUNDUP((BL$5-Plano!$L24)/Plano!$G24,0))&lt;=IF(DAY(BL$5)&gt;=29,EOMONTH(BL$5,0),BL$5+6),"●",""))</f>
        <v/>
      </c>
      <c r="BM27" s="140">
        <f>IF(OR(NOT(ISNUMBER(BM$5)),N(Plano!$G24)=0,N(Plano!$L24)=0),"",IF(Plano!$L24+Plano!$G24*MAX(0,ROUNDUP((BM$5-Plano!$L24)/Plano!$G24,0))&lt;=IF(DAY(BM$5)&gt;=29,EOMONTH(BM$5,0),BM$5+6),"●",""))</f>
        <v/>
      </c>
    </row>
    <row r="28" ht="18" customHeight="1">
      <c r="A28" s="118">
        <f>Plano!A25</f>
        <v/>
      </c>
      <c r="B28" s="136">
        <f>IF(Plano!B25="","",Plano!B25)</f>
        <v/>
      </c>
      <c r="C28" s="70">
        <f>IF(B28="","",IFERROR(INDEX(tb_pcm_ativos[descricao_ativo],MATCH(B28,tb_pcm_ativos[tag],0)),"fora do cadastro"))</f>
        <v/>
      </c>
      <c r="D28" s="70">
        <f>IF(Plano!E25="","",Plano!E25)</f>
        <v/>
      </c>
      <c r="E28" s="137">
        <f>IF(Plano!G25="","",Plano!G25)</f>
        <v/>
      </c>
      <c r="F28" s="138">
        <f>IF(OR(NOT(ISNUMBER(F$5)),N(Plano!$G25)=0,N(Plano!$L25)=0),"",IF(Plano!$L25+Plano!$G25*MAX(0,ROUNDUP((F$5-Plano!$L25)/Plano!$G25,0))&lt;=IF(DAY(F$5)&gt;=29,EOMONTH(F$5,0),F$5+6),"●",""))</f>
        <v/>
      </c>
      <c r="G28" s="138">
        <f>IF(OR(NOT(ISNUMBER(G$5)),N(Plano!$G25)=0,N(Plano!$L25)=0),"",IF(Plano!$L25+Plano!$G25*MAX(0,ROUNDUP((G$5-Plano!$L25)/Plano!$G25,0))&lt;=IF(DAY(G$5)&gt;=29,EOMONTH(G$5,0),G$5+6),"●",""))</f>
        <v/>
      </c>
      <c r="H28" s="138">
        <f>IF(OR(NOT(ISNUMBER(H$5)),N(Plano!$G25)=0,N(Plano!$L25)=0),"",IF(Plano!$L25+Plano!$G25*MAX(0,ROUNDUP((H$5-Plano!$L25)/Plano!$G25,0))&lt;=IF(DAY(H$5)&gt;=29,EOMONTH(H$5,0),H$5+6),"●",""))</f>
        <v/>
      </c>
      <c r="I28" s="138">
        <f>IF(OR(NOT(ISNUMBER(I$5)),N(Plano!$G25)=0,N(Plano!$L25)=0),"",IF(Plano!$L25+Plano!$G25*MAX(0,ROUNDUP((I$5-Plano!$L25)/Plano!$G25,0))&lt;=IF(DAY(I$5)&gt;=29,EOMONTH(I$5,0),I$5+6),"●",""))</f>
        <v/>
      </c>
      <c r="J28" s="138">
        <f>IF(OR(NOT(ISNUMBER(J$5)),N(Plano!$G25)=0,N(Plano!$L25)=0),"",IF(Plano!$L25+Plano!$G25*MAX(0,ROUNDUP((J$5-Plano!$L25)/Plano!$G25,0))&lt;=IF(DAY(J$5)&gt;=29,EOMONTH(J$5,0),J$5+6),"●",""))</f>
        <v/>
      </c>
      <c r="K28" s="139">
        <f>IF(OR(NOT(ISNUMBER(K$5)),N(Plano!$G25)=0,N(Plano!$L25)=0),"",IF(Plano!$L25+Plano!$G25*MAX(0,ROUNDUP((K$5-Plano!$L25)/Plano!$G25,0))&lt;=IF(DAY(K$5)&gt;=29,EOMONTH(K$5,0),K$5+6),"●",""))</f>
        <v/>
      </c>
      <c r="L28" s="138">
        <f>IF(OR(NOT(ISNUMBER(L$5)),N(Plano!$G25)=0,N(Plano!$L25)=0),"",IF(Plano!$L25+Plano!$G25*MAX(0,ROUNDUP((L$5-Plano!$L25)/Plano!$G25,0))&lt;=IF(DAY(L$5)&gt;=29,EOMONTH(L$5,0),L$5+6),"●",""))</f>
        <v/>
      </c>
      <c r="M28" s="138">
        <f>IF(OR(NOT(ISNUMBER(M$5)),N(Plano!$G25)=0,N(Plano!$L25)=0),"",IF(Plano!$L25+Plano!$G25*MAX(0,ROUNDUP((M$5-Plano!$L25)/Plano!$G25,0))&lt;=IF(DAY(M$5)&gt;=29,EOMONTH(M$5,0),M$5+6),"●",""))</f>
        <v/>
      </c>
      <c r="N28" s="138">
        <f>IF(OR(NOT(ISNUMBER(N$5)),N(Plano!$G25)=0,N(Plano!$L25)=0),"",IF(Plano!$L25+Plano!$G25*MAX(0,ROUNDUP((N$5-Plano!$L25)/Plano!$G25,0))&lt;=IF(DAY(N$5)&gt;=29,EOMONTH(N$5,0),N$5+6),"●",""))</f>
        <v/>
      </c>
      <c r="O28" s="138">
        <f>IF(OR(NOT(ISNUMBER(O$5)),N(Plano!$G25)=0,N(Plano!$L25)=0),"",IF(Plano!$L25+Plano!$G25*MAX(0,ROUNDUP((O$5-Plano!$L25)/Plano!$G25,0))&lt;=IF(DAY(O$5)&gt;=29,EOMONTH(O$5,0),O$5+6),"●",""))</f>
        <v/>
      </c>
      <c r="P28" s="139">
        <f>IF(OR(NOT(ISNUMBER(P$5)),N(Plano!$G25)=0,N(Plano!$L25)=0),"",IF(Plano!$L25+Plano!$G25*MAX(0,ROUNDUP((P$5-Plano!$L25)/Plano!$G25,0))&lt;=IF(DAY(P$5)&gt;=29,EOMONTH(P$5,0),P$5+6),"●",""))</f>
        <v/>
      </c>
      <c r="Q28" s="138">
        <f>IF(OR(NOT(ISNUMBER(Q$5)),N(Plano!$G25)=0,N(Plano!$L25)=0),"",IF(Plano!$L25+Plano!$G25*MAX(0,ROUNDUP((Q$5-Plano!$L25)/Plano!$G25,0))&lt;=IF(DAY(Q$5)&gt;=29,EOMONTH(Q$5,0),Q$5+6),"●",""))</f>
        <v/>
      </c>
      <c r="R28" s="138">
        <f>IF(OR(NOT(ISNUMBER(R$5)),N(Plano!$G25)=0,N(Plano!$L25)=0),"",IF(Plano!$L25+Plano!$G25*MAX(0,ROUNDUP((R$5-Plano!$L25)/Plano!$G25,0))&lt;=IF(DAY(R$5)&gt;=29,EOMONTH(R$5,0),R$5+6),"●",""))</f>
        <v/>
      </c>
      <c r="S28" s="138">
        <f>IF(OR(NOT(ISNUMBER(S$5)),N(Plano!$G25)=0,N(Plano!$L25)=0),"",IF(Plano!$L25+Plano!$G25*MAX(0,ROUNDUP((S$5-Plano!$L25)/Plano!$G25,0))&lt;=IF(DAY(S$5)&gt;=29,EOMONTH(S$5,0),S$5+6),"●",""))</f>
        <v/>
      </c>
      <c r="T28" s="138">
        <f>IF(OR(NOT(ISNUMBER(T$5)),N(Plano!$G25)=0,N(Plano!$L25)=0),"",IF(Plano!$L25+Plano!$G25*MAX(0,ROUNDUP((T$5-Plano!$L25)/Plano!$G25,0))&lt;=IF(DAY(T$5)&gt;=29,EOMONTH(T$5,0),T$5+6),"●",""))</f>
        <v/>
      </c>
      <c r="U28" s="139">
        <f>IF(OR(NOT(ISNUMBER(U$5)),N(Plano!$G25)=0,N(Plano!$L25)=0),"",IF(Plano!$L25+Plano!$G25*MAX(0,ROUNDUP((U$5-Plano!$L25)/Plano!$G25,0))&lt;=IF(DAY(U$5)&gt;=29,EOMONTH(U$5,0),U$5+6),"●",""))</f>
        <v/>
      </c>
      <c r="V28" s="138">
        <f>IF(OR(NOT(ISNUMBER(V$5)),N(Plano!$G25)=0,N(Plano!$L25)=0),"",IF(Plano!$L25+Plano!$G25*MAX(0,ROUNDUP((V$5-Plano!$L25)/Plano!$G25,0))&lt;=IF(DAY(V$5)&gt;=29,EOMONTH(V$5,0),V$5+6),"●",""))</f>
        <v/>
      </c>
      <c r="W28" s="138">
        <f>IF(OR(NOT(ISNUMBER(W$5)),N(Plano!$G25)=0,N(Plano!$L25)=0),"",IF(Plano!$L25+Plano!$G25*MAX(0,ROUNDUP((W$5-Plano!$L25)/Plano!$G25,0))&lt;=IF(DAY(W$5)&gt;=29,EOMONTH(W$5,0),W$5+6),"●",""))</f>
        <v/>
      </c>
      <c r="X28" s="138">
        <f>IF(OR(NOT(ISNUMBER(X$5)),N(Plano!$G25)=0,N(Plano!$L25)=0),"",IF(Plano!$L25+Plano!$G25*MAX(0,ROUNDUP((X$5-Plano!$L25)/Plano!$G25,0))&lt;=IF(DAY(X$5)&gt;=29,EOMONTH(X$5,0),X$5+6),"●",""))</f>
        <v/>
      </c>
      <c r="Y28" s="138">
        <f>IF(OR(NOT(ISNUMBER(Y$5)),N(Plano!$G25)=0,N(Plano!$L25)=0),"",IF(Plano!$L25+Plano!$G25*MAX(0,ROUNDUP((Y$5-Plano!$L25)/Plano!$G25,0))&lt;=IF(DAY(Y$5)&gt;=29,EOMONTH(Y$5,0),Y$5+6),"●",""))</f>
        <v/>
      </c>
      <c r="Z28" s="139">
        <f>IF(OR(NOT(ISNUMBER(Z$5)),N(Plano!$G25)=0,N(Plano!$L25)=0),"",IF(Plano!$L25+Plano!$G25*MAX(0,ROUNDUP((Z$5-Plano!$L25)/Plano!$G25,0))&lt;=IF(DAY(Z$5)&gt;=29,EOMONTH(Z$5,0),Z$5+6),"●",""))</f>
        <v/>
      </c>
      <c r="AA28" s="138">
        <f>IF(OR(NOT(ISNUMBER(AA$5)),N(Plano!$G25)=0,N(Plano!$L25)=0),"",IF(Plano!$L25+Plano!$G25*MAX(0,ROUNDUP((AA$5-Plano!$L25)/Plano!$G25,0))&lt;=IF(DAY(AA$5)&gt;=29,EOMONTH(AA$5,0),AA$5+6),"●",""))</f>
        <v/>
      </c>
      <c r="AB28" s="138">
        <f>IF(OR(NOT(ISNUMBER(AB$5)),N(Plano!$G25)=0,N(Plano!$L25)=0),"",IF(Plano!$L25+Plano!$G25*MAX(0,ROUNDUP((AB$5-Plano!$L25)/Plano!$G25,0))&lt;=IF(DAY(AB$5)&gt;=29,EOMONTH(AB$5,0),AB$5+6),"●",""))</f>
        <v/>
      </c>
      <c r="AC28" s="138">
        <f>IF(OR(NOT(ISNUMBER(AC$5)),N(Plano!$G25)=0,N(Plano!$L25)=0),"",IF(Plano!$L25+Plano!$G25*MAX(0,ROUNDUP((AC$5-Plano!$L25)/Plano!$G25,0))&lt;=IF(DAY(AC$5)&gt;=29,EOMONTH(AC$5,0),AC$5+6),"●",""))</f>
        <v/>
      </c>
      <c r="AD28" s="138">
        <f>IF(OR(NOT(ISNUMBER(AD$5)),N(Plano!$G25)=0,N(Plano!$L25)=0),"",IF(Plano!$L25+Plano!$G25*MAX(0,ROUNDUP((AD$5-Plano!$L25)/Plano!$G25,0))&lt;=IF(DAY(AD$5)&gt;=29,EOMONTH(AD$5,0),AD$5+6),"●",""))</f>
        <v/>
      </c>
      <c r="AE28" s="139">
        <f>IF(OR(NOT(ISNUMBER(AE$5)),N(Plano!$G25)=0,N(Plano!$L25)=0),"",IF(Plano!$L25+Plano!$G25*MAX(0,ROUNDUP((AE$5-Plano!$L25)/Plano!$G25,0))&lt;=IF(DAY(AE$5)&gt;=29,EOMONTH(AE$5,0),AE$5+6),"●",""))</f>
        <v/>
      </c>
      <c r="AF28" s="138">
        <f>IF(OR(NOT(ISNUMBER(AF$5)),N(Plano!$G25)=0,N(Plano!$L25)=0),"",IF(Plano!$L25+Plano!$G25*MAX(0,ROUNDUP((AF$5-Plano!$L25)/Plano!$G25,0))&lt;=IF(DAY(AF$5)&gt;=29,EOMONTH(AF$5,0),AF$5+6),"●",""))</f>
        <v/>
      </c>
      <c r="AG28" s="138">
        <f>IF(OR(NOT(ISNUMBER(AG$5)),N(Plano!$G25)=0,N(Plano!$L25)=0),"",IF(Plano!$L25+Plano!$G25*MAX(0,ROUNDUP((AG$5-Plano!$L25)/Plano!$G25,0))&lt;=IF(DAY(AG$5)&gt;=29,EOMONTH(AG$5,0),AG$5+6),"●",""))</f>
        <v/>
      </c>
      <c r="AH28" s="138">
        <f>IF(OR(NOT(ISNUMBER(AH$5)),N(Plano!$G25)=0,N(Plano!$L25)=0),"",IF(Plano!$L25+Plano!$G25*MAX(0,ROUNDUP((AH$5-Plano!$L25)/Plano!$G25,0))&lt;=IF(DAY(AH$5)&gt;=29,EOMONTH(AH$5,0),AH$5+6),"●",""))</f>
        <v/>
      </c>
      <c r="AI28" s="138">
        <f>IF(OR(NOT(ISNUMBER(AI$5)),N(Plano!$G25)=0,N(Plano!$L25)=0),"",IF(Plano!$L25+Plano!$G25*MAX(0,ROUNDUP((AI$5-Plano!$L25)/Plano!$G25,0))&lt;=IF(DAY(AI$5)&gt;=29,EOMONTH(AI$5,0),AI$5+6),"●",""))</f>
        <v/>
      </c>
      <c r="AJ28" s="139">
        <f>IF(OR(NOT(ISNUMBER(AJ$5)),N(Plano!$G25)=0,N(Plano!$L25)=0),"",IF(Plano!$L25+Plano!$G25*MAX(0,ROUNDUP((AJ$5-Plano!$L25)/Plano!$G25,0))&lt;=IF(DAY(AJ$5)&gt;=29,EOMONTH(AJ$5,0),AJ$5+6),"●",""))</f>
        <v/>
      </c>
      <c r="AK28" s="138">
        <f>IF(OR(NOT(ISNUMBER(AK$5)),N(Plano!$G25)=0,N(Plano!$L25)=0),"",IF(Plano!$L25+Plano!$G25*MAX(0,ROUNDUP((AK$5-Plano!$L25)/Plano!$G25,0))&lt;=IF(DAY(AK$5)&gt;=29,EOMONTH(AK$5,0),AK$5+6),"●",""))</f>
        <v/>
      </c>
      <c r="AL28" s="138">
        <f>IF(OR(NOT(ISNUMBER(AL$5)),N(Plano!$G25)=0,N(Plano!$L25)=0),"",IF(Plano!$L25+Plano!$G25*MAX(0,ROUNDUP((AL$5-Plano!$L25)/Plano!$G25,0))&lt;=IF(DAY(AL$5)&gt;=29,EOMONTH(AL$5,0),AL$5+6),"●",""))</f>
        <v/>
      </c>
      <c r="AM28" s="138">
        <f>IF(OR(NOT(ISNUMBER(AM$5)),N(Plano!$G25)=0,N(Plano!$L25)=0),"",IF(Plano!$L25+Plano!$G25*MAX(0,ROUNDUP((AM$5-Plano!$L25)/Plano!$G25,0))&lt;=IF(DAY(AM$5)&gt;=29,EOMONTH(AM$5,0),AM$5+6),"●",""))</f>
        <v/>
      </c>
      <c r="AN28" s="138">
        <f>IF(OR(NOT(ISNUMBER(AN$5)),N(Plano!$G25)=0,N(Plano!$L25)=0),"",IF(Plano!$L25+Plano!$G25*MAX(0,ROUNDUP((AN$5-Plano!$L25)/Plano!$G25,0))&lt;=IF(DAY(AN$5)&gt;=29,EOMONTH(AN$5,0),AN$5+6),"●",""))</f>
        <v/>
      </c>
      <c r="AO28" s="139">
        <f>IF(OR(NOT(ISNUMBER(AO$5)),N(Plano!$G25)=0,N(Plano!$L25)=0),"",IF(Plano!$L25+Plano!$G25*MAX(0,ROUNDUP((AO$5-Plano!$L25)/Plano!$G25,0))&lt;=IF(DAY(AO$5)&gt;=29,EOMONTH(AO$5,0),AO$5+6),"●",""))</f>
        <v/>
      </c>
      <c r="AP28" s="138">
        <f>IF(OR(NOT(ISNUMBER(AP$5)),N(Plano!$G25)=0,N(Plano!$L25)=0),"",IF(Plano!$L25+Plano!$G25*MAX(0,ROUNDUP((AP$5-Plano!$L25)/Plano!$G25,0))&lt;=IF(DAY(AP$5)&gt;=29,EOMONTH(AP$5,0),AP$5+6),"●",""))</f>
        <v/>
      </c>
      <c r="AQ28" s="138">
        <f>IF(OR(NOT(ISNUMBER(AQ$5)),N(Plano!$G25)=0,N(Plano!$L25)=0),"",IF(Plano!$L25+Plano!$G25*MAX(0,ROUNDUP((AQ$5-Plano!$L25)/Plano!$G25,0))&lt;=IF(DAY(AQ$5)&gt;=29,EOMONTH(AQ$5,0),AQ$5+6),"●",""))</f>
        <v/>
      </c>
      <c r="AR28" s="138">
        <f>IF(OR(NOT(ISNUMBER(AR$5)),N(Plano!$G25)=0,N(Plano!$L25)=0),"",IF(Plano!$L25+Plano!$G25*MAX(0,ROUNDUP((AR$5-Plano!$L25)/Plano!$G25,0))&lt;=IF(DAY(AR$5)&gt;=29,EOMONTH(AR$5,0),AR$5+6),"●",""))</f>
        <v/>
      </c>
      <c r="AS28" s="138">
        <f>IF(OR(NOT(ISNUMBER(AS$5)),N(Plano!$G25)=0,N(Plano!$L25)=0),"",IF(Plano!$L25+Plano!$G25*MAX(0,ROUNDUP((AS$5-Plano!$L25)/Plano!$G25,0))&lt;=IF(DAY(AS$5)&gt;=29,EOMONTH(AS$5,0),AS$5+6),"●",""))</f>
        <v/>
      </c>
      <c r="AT28" s="139">
        <f>IF(OR(NOT(ISNUMBER(AT$5)),N(Plano!$G25)=0,N(Plano!$L25)=0),"",IF(Plano!$L25+Plano!$G25*MAX(0,ROUNDUP((AT$5-Plano!$L25)/Plano!$G25,0))&lt;=IF(DAY(AT$5)&gt;=29,EOMONTH(AT$5,0),AT$5+6),"●",""))</f>
        <v/>
      </c>
      <c r="AU28" s="138">
        <f>IF(OR(NOT(ISNUMBER(AU$5)),N(Plano!$G25)=0,N(Plano!$L25)=0),"",IF(Plano!$L25+Plano!$G25*MAX(0,ROUNDUP((AU$5-Plano!$L25)/Plano!$G25,0))&lt;=IF(DAY(AU$5)&gt;=29,EOMONTH(AU$5,0),AU$5+6),"●",""))</f>
        <v/>
      </c>
      <c r="AV28" s="138">
        <f>IF(OR(NOT(ISNUMBER(AV$5)),N(Plano!$G25)=0,N(Plano!$L25)=0),"",IF(Plano!$L25+Plano!$G25*MAX(0,ROUNDUP((AV$5-Plano!$L25)/Plano!$G25,0))&lt;=IF(DAY(AV$5)&gt;=29,EOMONTH(AV$5,0),AV$5+6),"●",""))</f>
        <v/>
      </c>
      <c r="AW28" s="138">
        <f>IF(OR(NOT(ISNUMBER(AW$5)),N(Plano!$G25)=0,N(Plano!$L25)=0),"",IF(Plano!$L25+Plano!$G25*MAX(0,ROUNDUP((AW$5-Plano!$L25)/Plano!$G25,0))&lt;=IF(DAY(AW$5)&gt;=29,EOMONTH(AW$5,0),AW$5+6),"●",""))</f>
        <v/>
      </c>
      <c r="AX28" s="138">
        <f>IF(OR(NOT(ISNUMBER(AX$5)),N(Plano!$G25)=0,N(Plano!$L25)=0),"",IF(Plano!$L25+Plano!$G25*MAX(0,ROUNDUP((AX$5-Plano!$L25)/Plano!$G25,0))&lt;=IF(DAY(AX$5)&gt;=29,EOMONTH(AX$5,0),AX$5+6),"●",""))</f>
        <v/>
      </c>
      <c r="AY28" s="139">
        <f>IF(OR(NOT(ISNUMBER(AY$5)),N(Plano!$G25)=0,N(Plano!$L25)=0),"",IF(Plano!$L25+Plano!$G25*MAX(0,ROUNDUP((AY$5-Plano!$L25)/Plano!$G25,0))&lt;=IF(DAY(AY$5)&gt;=29,EOMONTH(AY$5,0),AY$5+6),"●",""))</f>
        <v/>
      </c>
      <c r="AZ28" s="138">
        <f>IF(OR(NOT(ISNUMBER(AZ$5)),N(Plano!$G25)=0,N(Plano!$L25)=0),"",IF(Plano!$L25+Plano!$G25*MAX(0,ROUNDUP((AZ$5-Plano!$L25)/Plano!$G25,0))&lt;=IF(DAY(AZ$5)&gt;=29,EOMONTH(AZ$5,0),AZ$5+6),"●",""))</f>
        <v/>
      </c>
      <c r="BA28" s="138">
        <f>IF(OR(NOT(ISNUMBER(BA$5)),N(Plano!$G25)=0,N(Plano!$L25)=0),"",IF(Plano!$L25+Plano!$G25*MAX(0,ROUNDUP((BA$5-Plano!$L25)/Plano!$G25,0))&lt;=IF(DAY(BA$5)&gt;=29,EOMONTH(BA$5,0),BA$5+6),"●",""))</f>
        <v/>
      </c>
      <c r="BB28" s="138">
        <f>IF(OR(NOT(ISNUMBER(BB$5)),N(Plano!$G25)=0,N(Plano!$L25)=0),"",IF(Plano!$L25+Plano!$G25*MAX(0,ROUNDUP((BB$5-Plano!$L25)/Plano!$G25,0))&lt;=IF(DAY(BB$5)&gt;=29,EOMONTH(BB$5,0),BB$5+6),"●",""))</f>
        <v/>
      </c>
      <c r="BC28" s="138">
        <f>IF(OR(NOT(ISNUMBER(BC$5)),N(Plano!$G25)=0,N(Plano!$L25)=0),"",IF(Plano!$L25+Plano!$G25*MAX(0,ROUNDUP((BC$5-Plano!$L25)/Plano!$G25,0))&lt;=IF(DAY(BC$5)&gt;=29,EOMONTH(BC$5,0),BC$5+6),"●",""))</f>
        <v/>
      </c>
      <c r="BD28" s="139">
        <f>IF(OR(NOT(ISNUMBER(BD$5)),N(Plano!$G25)=0,N(Plano!$L25)=0),"",IF(Plano!$L25+Plano!$G25*MAX(0,ROUNDUP((BD$5-Plano!$L25)/Plano!$G25,0))&lt;=IF(DAY(BD$5)&gt;=29,EOMONTH(BD$5,0),BD$5+6),"●",""))</f>
        <v/>
      </c>
      <c r="BE28" s="138">
        <f>IF(OR(NOT(ISNUMBER(BE$5)),N(Plano!$G25)=0,N(Plano!$L25)=0),"",IF(Plano!$L25+Plano!$G25*MAX(0,ROUNDUP((BE$5-Plano!$L25)/Plano!$G25,0))&lt;=IF(DAY(BE$5)&gt;=29,EOMONTH(BE$5,0),BE$5+6),"●",""))</f>
        <v/>
      </c>
      <c r="BF28" s="138">
        <f>IF(OR(NOT(ISNUMBER(BF$5)),N(Plano!$G25)=0,N(Plano!$L25)=0),"",IF(Plano!$L25+Plano!$G25*MAX(0,ROUNDUP((BF$5-Plano!$L25)/Plano!$G25,0))&lt;=IF(DAY(BF$5)&gt;=29,EOMONTH(BF$5,0),BF$5+6),"●",""))</f>
        <v/>
      </c>
      <c r="BG28" s="138">
        <f>IF(OR(NOT(ISNUMBER(BG$5)),N(Plano!$G25)=0,N(Plano!$L25)=0),"",IF(Plano!$L25+Plano!$G25*MAX(0,ROUNDUP((BG$5-Plano!$L25)/Plano!$G25,0))&lt;=IF(DAY(BG$5)&gt;=29,EOMONTH(BG$5,0),BG$5+6),"●",""))</f>
        <v/>
      </c>
      <c r="BH28" s="138">
        <f>IF(OR(NOT(ISNUMBER(BH$5)),N(Plano!$G25)=0,N(Plano!$L25)=0),"",IF(Plano!$L25+Plano!$G25*MAX(0,ROUNDUP((BH$5-Plano!$L25)/Plano!$G25,0))&lt;=IF(DAY(BH$5)&gt;=29,EOMONTH(BH$5,0),BH$5+6),"●",""))</f>
        <v/>
      </c>
      <c r="BI28" s="139">
        <f>IF(OR(NOT(ISNUMBER(BI$5)),N(Plano!$G25)=0,N(Plano!$L25)=0),"",IF(Plano!$L25+Plano!$G25*MAX(0,ROUNDUP((BI$5-Plano!$L25)/Plano!$G25,0))&lt;=IF(DAY(BI$5)&gt;=29,EOMONTH(BI$5,0),BI$5+6),"●",""))</f>
        <v/>
      </c>
      <c r="BJ28" s="138">
        <f>IF(OR(NOT(ISNUMBER(BJ$5)),N(Plano!$G25)=0,N(Plano!$L25)=0),"",IF(Plano!$L25+Plano!$G25*MAX(0,ROUNDUP((BJ$5-Plano!$L25)/Plano!$G25,0))&lt;=IF(DAY(BJ$5)&gt;=29,EOMONTH(BJ$5,0),BJ$5+6),"●",""))</f>
        <v/>
      </c>
      <c r="BK28" s="138">
        <f>IF(OR(NOT(ISNUMBER(BK$5)),N(Plano!$G25)=0,N(Plano!$L25)=0),"",IF(Plano!$L25+Plano!$G25*MAX(0,ROUNDUP((BK$5-Plano!$L25)/Plano!$G25,0))&lt;=IF(DAY(BK$5)&gt;=29,EOMONTH(BK$5,0),BK$5+6),"●",""))</f>
        <v/>
      </c>
      <c r="BL28" s="138">
        <f>IF(OR(NOT(ISNUMBER(BL$5)),N(Plano!$G25)=0,N(Plano!$L25)=0),"",IF(Plano!$L25+Plano!$G25*MAX(0,ROUNDUP((BL$5-Plano!$L25)/Plano!$G25,0))&lt;=IF(DAY(BL$5)&gt;=29,EOMONTH(BL$5,0),BL$5+6),"●",""))</f>
        <v/>
      </c>
      <c r="BM28" s="140">
        <f>IF(OR(NOT(ISNUMBER(BM$5)),N(Plano!$G25)=0,N(Plano!$L25)=0),"",IF(Plano!$L25+Plano!$G25*MAX(0,ROUNDUP((BM$5-Plano!$L25)/Plano!$G25,0))&lt;=IF(DAY(BM$5)&gt;=29,EOMONTH(BM$5,0),BM$5+6),"●",""))</f>
        <v/>
      </c>
    </row>
    <row r="29" ht="18" customHeight="1">
      <c r="A29" s="118">
        <f>Plano!A26</f>
        <v/>
      </c>
      <c r="B29" s="136">
        <f>IF(Plano!B26="","",Plano!B26)</f>
        <v/>
      </c>
      <c r="C29" s="70">
        <f>IF(B29="","",IFERROR(INDEX(tb_pcm_ativos[descricao_ativo],MATCH(B29,tb_pcm_ativos[tag],0)),"fora do cadastro"))</f>
        <v/>
      </c>
      <c r="D29" s="70">
        <f>IF(Plano!E26="","",Plano!E26)</f>
        <v/>
      </c>
      <c r="E29" s="137">
        <f>IF(Plano!G26="","",Plano!G26)</f>
        <v/>
      </c>
      <c r="F29" s="138">
        <f>IF(OR(NOT(ISNUMBER(F$5)),N(Plano!$G26)=0,N(Plano!$L26)=0),"",IF(Plano!$L26+Plano!$G26*MAX(0,ROUNDUP((F$5-Plano!$L26)/Plano!$G26,0))&lt;=IF(DAY(F$5)&gt;=29,EOMONTH(F$5,0),F$5+6),"●",""))</f>
        <v/>
      </c>
      <c r="G29" s="138">
        <f>IF(OR(NOT(ISNUMBER(G$5)),N(Plano!$G26)=0,N(Plano!$L26)=0),"",IF(Plano!$L26+Plano!$G26*MAX(0,ROUNDUP((G$5-Plano!$L26)/Plano!$G26,0))&lt;=IF(DAY(G$5)&gt;=29,EOMONTH(G$5,0),G$5+6),"●",""))</f>
        <v/>
      </c>
      <c r="H29" s="138">
        <f>IF(OR(NOT(ISNUMBER(H$5)),N(Plano!$G26)=0,N(Plano!$L26)=0),"",IF(Plano!$L26+Plano!$G26*MAX(0,ROUNDUP((H$5-Plano!$L26)/Plano!$G26,0))&lt;=IF(DAY(H$5)&gt;=29,EOMONTH(H$5,0),H$5+6),"●",""))</f>
        <v/>
      </c>
      <c r="I29" s="138">
        <f>IF(OR(NOT(ISNUMBER(I$5)),N(Plano!$G26)=0,N(Plano!$L26)=0),"",IF(Plano!$L26+Plano!$G26*MAX(0,ROUNDUP((I$5-Plano!$L26)/Plano!$G26,0))&lt;=IF(DAY(I$5)&gt;=29,EOMONTH(I$5,0),I$5+6),"●",""))</f>
        <v/>
      </c>
      <c r="J29" s="138">
        <f>IF(OR(NOT(ISNUMBER(J$5)),N(Plano!$G26)=0,N(Plano!$L26)=0),"",IF(Plano!$L26+Plano!$G26*MAX(0,ROUNDUP((J$5-Plano!$L26)/Plano!$G26,0))&lt;=IF(DAY(J$5)&gt;=29,EOMONTH(J$5,0),J$5+6),"●",""))</f>
        <v/>
      </c>
      <c r="K29" s="139">
        <f>IF(OR(NOT(ISNUMBER(K$5)),N(Plano!$G26)=0,N(Plano!$L26)=0),"",IF(Plano!$L26+Plano!$G26*MAX(0,ROUNDUP((K$5-Plano!$L26)/Plano!$G26,0))&lt;=IF(DAY(K$5)&gt;=29,EOMONTH(K$5,0),K$5+6),"●",""))</f>
        <v/>
      </c>
      <c r="L29" s="138">
        <f>IF(OR(NOT(ISNUMBER(L$5)),N(Plano!$G26)=0,N(Plano!$L26)=0),"",IF(Plano!$L26+Plano!$G26*MAX(0,ROUNDUP((L$5-Plano!$L26)/Plano!$G26,0))&lt;=IF(DAY(L$5)&gt;=29,EOMONTH(L$5,0),L$5+6),"●",""))</f>
        <v/>
      </c>
      <c r="M29" s="138">
        <f>IF(OR(NOT(ISNUMBER(M$5)),N(Plano!$G26)=0,N(Plano!$L26)=0),"",IF(Plano!$L26+Plano!$G26*MAX(0,ROUNDUP((M$5-Plano!$L26)/Plano!$G26,0))&lt;=IF(DAY(M$5)&gt;=29,EOMONTH(M$5,0),M$5+6),"●",""))</f>
        <v/>
      </c>
      <c r="N29" s="138">
        <f>IF(OR(NOT(ISNUMBER(N$5)),N(Plano!$G26)=0,N(Plano!$L26)=0),"",IF(Plano!$L26+Plano!$G26*MAX(0,ROUNDUP((N$5-Plano!$L26)/Plano!$G26,0))&lt;=IF(DAY(N$5)&gt;=29,EOMONTH(N$5,0),N$5+6),"●",""))</f>
        <v/>
      </c>
      <c r="O29" s="138">
        <f>IF(OR(NOT(ISNUMBER(O$5)),N(Plano!$G26)=0,N(Plano!$L26)=0),"",IF(Plano!$L26+Plano!$G26*MAX(0,ROUNDUP((O$5-Plano!$L26)/Plano!$G26,0))&lt;=IF(DAY(O$5)&gt;=29,EOMONTH(O$5,0),O$5+6),"●",""))</f>
        <v/>
      </c>
      <c r="P29" s="139">
        <f>IF(OR(NOT(ISNUMBER(P$5)),N(Plano!$G26)=0,N(Plano!$L26)=0),"",IF(Plano!$L26+Plano!$G26*MAX(0,ROUNDUP((P$5-Plano!$L26)/Plano!$G26,0))&lt;=IF(DAY(P$5)&gt;=29,EOMONTH(P$5,0),P$5+6),"●",""))</f>
        <v/>
      </c>
      <c r="Q29" s="138">
        <f>IF(OR(NOT(ISNUMBER(Q$5)),N(Plano!$G26)=0,N(Plano!$L26)=0),"",IF(Plano!$L26+Plano!$G26*MAX(0,ROUNDUP((Q$5-Plano!$L26)/Plano!$G26,0))&lt;=IF(DAY(Q$5)&gt;=29,EOMONTH(Q$5,0),Q$5+6),"●",""))</f>
        <v/>
      </c>
      <c r="R29" s="138">
        <f>IF(OR(NOT(ISNUMBER(R$5)),N(Plano!$G26)=0,N(Plano!$L26)=0),"",IF(Plano!$L26+Plano!$G26*MAX(0,ROUNDUP((R$5-Plano!$L26)/Plano!$G26,0))&lt;=IF(DAY(R$5)&gt;=29,EOMONTH(R$5,0),R$5+6),"●",""))</f>
        <v/>
      </c>
      <c r="S29" s="138">
        <f>IF(OR(NOT(ISNUMBER(S$5)),N(Plano!$G26)=0,N(Plano!$L26)=0),"",IF(Plano!$L26+Plano!$G26*MAX(0,ROUNDUP((S$5-Plano!$L26)/Plano!$G26,0))&lt;=IF(DAY(S$5)&gt;=29,EOMONTH(S$5,0),S$5+6),"●",""))</f>
        <v/>
      </c>
      <c r="T29" s="138">
        <f>IF(OR(NOT(ISNUMBER(T$5)),N(Plano!$G26)=0,N(Plano!$L26)=0),"",IF(Plano!$L26+Plano!$G26*MAX(0,ROUNDUP((T$5-Plano!$L26)/Plano!$G26,0))&lt;=IF(DAY(T$5)&gt;=29,EOMONTH(T$5,0),T$5+6),"●",""))</f>
        <v/>
      </c>
      <c r="U29" s="139">
        <f>IF(OR(NOT(ISNUMBER(U$5)),N(Plano!$G26)=0,N(Plano!$L26)=0),"",IF(Plano!$L26+Plano!$G26*MAX(0,ROUNDUP((U$5-Plano!$L26)/Plano!$G26,0))&lt;=IF(DAY(U$5)&gt;=29,EOMONTH(U$5,0),U$5+6),"●",""))</f>
        <v/>
      </c>
      <c r="V29" s="138">
        <f>IF(OR(NOT(ISNUMBER(V$5)),N(Plano!$G26)=0,N(Plano!$L26)=0),"",IF(Plano!$L26+Plano!$G26*MAX(0,ROUNDUP((V$5-Plano!$L26)/Plano!$G26,0))&lt;=IF(DAY(V$5)&gt;=29,EOMONTH(V$5,0),V$5+6),"●",""))</f>
        <v/>
      </c>
      <c r="W29" s="138">
        <f>IF(OR(NOT(ISNUMBER(W$5)),N(Plano!$G26)=0,N(Plano!$L26)=0),"",IF(Plano!$L26+Plano!$G26*MAX(0,ROUNDUP((W$5-Plano!$L26)/Plano!$G26,0))&lt;=IF(DAY(W$5)&gt;=29,EOMONTH(W$5,0),W$5+6),"●",""))</f>
        <v/>
      </c>
      <c r="X29" s="138">
        <f>IF(OR(NOT(ISNUMBER(X$5)),N(Plano!$G26)=0,N(Plano!$L26)=0),"",IF(Plano!$L26+Plano!$G26*MAX(0,ROUNDUP((X$5-Plano!$L26)/Plano!$G26,0))&lt;=IF(DAY(X$5)&gt;=29,EOMONTH(X$5,0),X$5+6),"●",""))</f>
        <v/>
      </c>
      <c r="Y29" s="138">
        <f>IF(OR(NOT(ISNUMBER(Y$5)),N(Plano!$G26)=0,N(Plano!$L26)=0),"",IF(Plano!$L26+Plano!$G26*MAX(0,ROUNDUP((Y$5-Plano!$L26)/Plano!$G26,0))&lt;=IF(DAY(Y$5)&gt;=29,EOMONTH(Y$5,0),Y$5+6),"●",""))</f>
        <v/>
      </c>
      <c r="Z29" s="139">
        <f>IF(OR(NOT(ISNUMBER(Z$5)),N(Plano!$G26)=0,N(Plano!$L26)=0),"",IF(Plano!$L26+Plano!$G26*MAX(0,ROUNDUP((Z$5-Plano!$L26)/Plano!$G26,0))&lt;=IF(DAY(Z$5)&gt;=29,EOMONTH(Z$5,0),Z$5+6),"●",""))</f>
        <v/>
      </c>
      <c r="AA29" s="138">
        <f>IF(OR(NOT(ISNUMBER(AA$5)),N(Plano!$G26)=0,N(Plano!$L26)=0),"",IF(Plano!$L26+Plano!$G26*MAX(0,ROUNDUP((AA$5-Plano!$L26)/Plano!$G26,0))&lt;=IF(DAY(AA$5)&gt;=29,EOMONTH(AA$5,0),AA$5+6),"●",""))</f>
        <v/>
      </c>
      <c r="AB29" s="138">
        <f>IF(OR(NOT(ISNUMBER(AB$5)),N(Plano!$G26)=0,N(Plano!$L26)=0),"",IF(Plano!$L26+Plano!$G26*MAX(0,ROUNDUP((AB$5-Plano!$L26)/Plano!$G26,0))&lt;=IF(DAY(AB$5)&gt;=29,EOMONTH(AB$5,0),AB$5+6),"●",""))</f>
        <v/>
      </c>
      <c r="AC29" s="138">
        <f>IF(OR(NOT(ISNUMBER(AC$5)),N(Plano!$G26)=0,N(Plano!$L26)=0),"",IF(Plano!$L26+Plano!$G26*MAX(0,ROUNDUP((AC$5-Plano!$L26)/Plano!$G26,0))&lt;=IF(DAY(AC$5)&gt;=29,EOMONTH(AC$5,0),AC$5+6),"●",""))</f>
        <v/>
      </c>
      <c r="AD29" s="138">
        <f>IF(OR(NOT(ISNUMBER(AD$5)),N(Plano!$G26)=0,N(Plano!$L26)=0),"",IF(Plano!$L26+Plano!$G26*MAX(0,ROUNDUP((AD$5-Plano!$L26)/Plano!$G26,0))&lt;=IF(DAY(AD$5)&gt;=29,EOMONTH(AD$5,0),AD$5+6),"●",""))</f>
        <v/>
      </c>
      <c r="AE29" s="139">
        <f>IF(OR(NOT(ISNUMBER(AE$5)),N(Plano!$G26)=0,N(Plano!$L26)=0),"",IF(Plano!$L26+Plano!$G26*MAX(0,ROUNDUP((AE$5-Plano!$L26)/Plano!$G26,0))&lt;=IF(DAY(AE$5)&gt;=29,EOMONTH(AE$5,0),AE$5+6),"●",""))</f>
        <v/>
      </c>
      <c r="AF29" s="138">
        <f>IF(OR(NOT(ISNUMBER(AF$5)),N(Plano!$G26)=0,N(Plano!$L26)=0),"",IF(Plano!$L26+Plano!$G26*MAX(0,ROUNDUP((AF$5-Plano!$L26)/Plano!$G26,0))&lt;=IF(DAY(AF$5)&gt;=29,EOMONTH(AF$5,0),AF$5+6),"●",""))</f>
        <v/>
      </c>
      <c r="AG29" s="138">
        <f>IF(OR(NOT(ISNUMBER(AG$5)),N(Plano!$G26)=0,N(Plano!$L26)=0),"",IF(Plano!$L26+Plano!$G26*MAX(0,ROUNDUP((AG$5-Plano!$L26)/Plano!$G26,0))&lt;=IF(DAY(AG$5)&gt;=29,EOMONTH(AG$5,0),AG$5+6),"●",""))</f>
        <v/>
      </c>
      <c r="AH29" s="138">
        <f>IF(OR(NOT(ISNUMBER(AH$5)),N(Plano!$G26)=0,N(Plano!$L26)=0),"",IF(Plano!$L26+Plano!$G26*MAX(0,ROUNDUP((AH$5-Plano!$L26)/Plano!$G26,0))&lt;=IF(DAY(AH$5)&gt;=29,EOMONTH(AH$5,0),AH$5+6),"●",""))</f>
        <v/>
      </c>
      <c r="AI29" s="138">
        <f>IF(OR(NOT(ISNUMBER(AI$5)),N(Plano!$G26)=0,N(Plano!$L26)=0),"",IF(Plano!$L26+Plano!$G26*MAX(0,ROUNDUP((AI$5-Plano!$L26)/Plano!$G26,0))&lt;=IF(DAY(AI$5)&gt;=29,EOMONTH(AI$5,0),AI$5+6),"●",""))</f>
        <v/>
      </c>
      <c r="AJ29" s="139">
        <f>IF(OR(NOT(ISNUMBER(AJ$5)),N(Plano!$G26)=0,N(Plano!$L26)=0),"",IF(Plano!$L26+Plano!$G26*MAX(0,ROUNDUP((AJ$5-Plano!$L26)/Plano!$G26,0))&lt;=IF(DAY(AJ$5)&gt;=29,EOMONTH(AJ$5,0),AJ$5+6),"●",""))</f>
        <v/>
      </c>
      <c r="AK29" s="138">
        <f>IF(OR(NOT(ISNUMBER(AK$5)),N(Plano!$G26)=0,N(Plano!$L26)=0),"",IF(Plano!$L26+Plano!$G26*MAX(0,ROUNDUP((AK$5-Plano!$L26)/Plano!$G26,0))&lt;=IF(DAY(AK$5)&gt;=29,EOMONTH(AK$5,0),AK$5+6),"●",""))</f>
        <v/>
      </c>
      <c r="AL29" s="138">
        <f>IF(OR(NOT(ISNUMBER(AL$5)),N(Plano!$G26)=0,N(Plano!$L26)=0),"",IF(Plano!$L26+Plano!$G26*MAX(0,ROUNDUP((AL$5-Plano!$L26)/Plano!$G26,0))&lt;=IF(DAY(AL$5)&gt;=29,EOMONTH(AL$5,0),AL$5+6),"●",""))</f>
        <v/>
      </c>
      <c r="AM29" s="138">
        <f>IF(OR(NOT(ISNUMBER(AM$5)),N(Plano!$G26)=0,N(Plano!$L26)=0),"",IF(Plano!$L26+Plano!$G26*MAX(0,ROUNDUP((AM$5-Plano!$L26)/Plano!$G26,0))&lt;=IF(DAY(AM$5)&gt;=29,EOMONTH(AM$5,0),AM$5+6),"●",""))</f>
        <v/>
      </c>
      <c r="AN29" s="138">
        <f>IF(OR(NOT(ISNUMBER(AN$5)),N(Plano!$G26)=0,N(Plano!$L26)=0),"",IF(Plano!$L26+Plano!$G26*MAX(0,ROUNDUP((AN$5-Plano!$L26)/Plano!$G26,0))&lt;=IF(DAY(AN$5)&gt;=29,EOMONTH(AN$5,0),AN$5+6),"●",""))</f>
        <v/>
      </c>
      <c r="AO29" s="139">
        <f>IF(OR(NOT(ISNUMBER(AO$5)),N(Plano!$G26)=0,N(Plano!$L26)=0),"",IF(Plano!$L26+Plano!$G26*MAX(0,ROUNDUP((AO$5-Plano!$L26)/Plano!$G26,0))&lt;=IF(DAY(AO$5)&gt;=29,EOMONTH(AO$5,0),AO$5+6),"●",""))</f>
        <v/>
      </c>
      <c r="AP29" s="138">
        <f>IF(OR(NOT(ISNUMBER(AP$5)),N(Plano!$G26)=0,N(Plano!$L26)=0),"",IF(Plano!$L26+Plano!$G26*MAX(0,ROUNDUP((AP$5-Plano!$L26)/Plano!$G26,0))&lt;=IF(DAY(AP$5)&gt;=29,EOMONTH(AP$5,0),AP$5+6),"●",""))</f>
        <v/>
      </c>
      <c r="AQ29" s="138">
        <f>IF(OR(NOT(ISNUMBER(AQ$5)),N(Plano!$G26)=0,N(Plano!$L26)=0),"",IF(Plano!$L26+Plano!$G26*MAX(0,ROUNDUP((AQ$5-Plano!$L26)/Plano!$G26,0))&lt;=IF(DAY(AQ$5)&gt;=29,EOMONTH(AQ$5,0),AQ$5+6),"●",""))</f>
        <v/>
      </c>
      <c r="AR29" s="138">
        <f>IF(OR(NOT(ISNUMBER(AR$5)),N(Plano!$G26)=0,N(Plano!$L26)=0),"",IF(Plano!$L26+Plano!$G26*MAX(0,ROUNDUP((AR$5-Plano!$L26)/Plano!$G26,0))&lt;=IF(DAY(AR$5)&gt;=29,EOMONTH(AR$5,0),AR$5+6),"●",""))</f>
        <v/>
      </c>
      <c r="AS29" s="138">
        <f>IF(OR(NOT(ISNUMBER(AS$5)),N(Plano!$G26)=0,N(Plano!$L26)=0),"",IF(Plano!$L26+Plano!$G26*MAX(0,ROUNDUP((AS$5-Plano!$L26)/Plano!$G26,0))&lt;=IF(DAY(AS$5)&gt;=29,EOMONTH(AS$5,0),AS$5+6),"●",""))</f>
        <v/>
      </c>
      <c r="AT29" s="139">
        <f>IF(OR(NOT(ISNUMBER(AT$5)),N(Plano!$G26)=0,N(Plano!$L26)=0),"",IF(Plano!$L26+Plano!$G26*MAX(0,ROUNDUP((AT$5-Plano!$L26)/Plano!$G26,0))&lt;=IF(DAY(AT$5)&gt;=29,EOMONTH(AT$5,0),AT$5+6),"●",""))</f>
        <v/>
      </c>
      <c r="AU29" s="138">
        <f>IF(OR(NOT(ISNUMBER(AU$5)),N(Plano!$G26)=0,N(Plano!$L26)=0),"",IF(Plano!$L26+Plano!$G26*MAX(0,ROUNDUP((AU$5-Plano!$L26)/Plano!$G26,0))&lt;=IF(DAY(AU$5)&gt;=29,EOMONTH(AU$5,0),AU$5+6),"●",""))</f>
        <v/>
      </c>
      <c r="AV29" s="138">
        <f>IF(OR(NOT(ISNUMBER(AV$5)),N(Plano!$G26)=0,N(Plano!$L26)=0),"",IF(Plano!$L26+Plano!$G26*MAX(0,ROUNDUP((AV$5-Plano!$L26)/Plano!$G26,0))&lt;=IF(DAY(AV$5)&gt;=29,EOMONTH(AV$5,0),AV$5+6),"●",""))</f>
        <v/>
      </c>
      <c r="AW29" s="138">
        <f>IF(OR(NOT(ISNUMBER(AW$5)),N(Plano!$G26)=0,N(Plano!$L26)=0),"",IF(Plano!$L26+Plano!$G26*MAX(0,ROUNDUP((AW$5-Plano!$L26)/Plano!$G26,0))&lt;=IF(DAY(AW$5)&gt;=29,EOMONTH(AW$5,0),AW$5+6),"●",""))</f>
        <v/>
      </c>
      <c r="AX29" s="138">
        <f>IF(OR(NOT(ISNUMBER(AX$5)),N(Plano!$G26)=0,N(Plano!$L26)=0),"",IF(Plano!$L26+Plano!$G26*MAX(0,ROUNDUP((AX$5-Plano!$L26)/Plano!$G26,0))&lt;=IF(DAY(AX$5)&gt;=29,EOMONTH(AX$5,0),AX$5+6),"●",""))</f>
        <v/>
      </c>
      <c r="AY29" s="139">
        <f>IF(OR(NOT(ISNUMBER(AY$5)),N(Plano!$G26)=0,N(Plano!$L26)=0),"",IF(Plano!$L26+Plano!$G26*MAX(0,ROUNDUP((AY$5-Plano!$L26)/Plano!$G26,0))&lt;=IF(DAY(AY$5)&gt;=29,EOMONTH(AY$5,0),AY$5+6),"●",""))</f>
        <v/>
      </c>
      <c r="AZ29" s="138">
        <f>IF(OR(NOT(ISNUMBER(AZ$5)),N(Plano!$G26)=0,N(Plano!$L26)=0),"",IF(Plano!$L26+Plano!$G26*MAX(0,ROUNDUP((AZ$5-Plano!$L26)/Plano!$G26,0))&lt;=IF(DAY(AZ$5)&gt;=29,EOMONTH(AZ$5,0),AZ$5+6),"●",""))</f>
        <v/>
      </c>
      <c r="BA29" s="138">
        <f>IF(OR(NOT(ISNUMBER(BA$5)),N(Plano!$G26)=0,N(Plano!$L26)=0),"",IF(Plano!$L26+Plano!$G26*MAX(0,ROUNDUP((BA$5-Plano!$L26)/Plano!$G26,0))&lt;=IF(DAY(BA$5)&gt;=29,EOMONTH(BA$5,0),BA$5+6),"●",""))</f>
        <v/>
      </c>
      <c r="BB29" s="138">
        <f>IF(OR(NOT(ISNUMBER(BB$5)),N(Plano!$G26)=0,N(Plano!$L26)=0),"",IF(Plano!$L26+Plano!$G26*MAX(0,ROUNDUP((BB$5-Plano!$L26)/Plano!$G26,0))&lt;=IF(DAY(BB$5)&gt;=29,EOMONTH(BB$5,0),BB$5+6),"●",""))</f>
        <v/>
      </c>
      <c r="BC29" s="138">
        <f>IF(OR(NOT(ISNUMBER(BC$5)),N(Plano!$G26)=0,N(Plano!$L26)=0),"",IF(Plano!$L26+Plano!$G26*MAX(0,ROUNDUP((BC$5-Plano!$L26)/Plano!$G26,0))&lt;=IF(DAY(BC$5)&gt;=29,EOMONTH(BC$5,0),BC$5+6),"●",""))</f>
        <v/>
      </c>
      <c r="BD29" s="139">
        <f>IF(OR(NOT(ISNUMBER(BD$5)),N(Plano!$G26)=0,N(Plano!$L26)=0),"",IF(Plano!$L26+Plano!$G26*MAX(0,ROUNDUP((BD$5-Plano!$L26)/Plano!$G26,0))&lt;=IF(DAY(BD$5)&gt;=29,EOMONTH(BD$5,0),BD$5+6),"●",""))</f>
        <v/>
      </c>
      <c r="BE29" s="138">
        <f>IF(OR(NOT(ISNUMBER(BE$5)),N(Plano!$G26)=0,N(Plano!$L26)=0),"",IF(Plano!$L26+Plano!$G26*MAX(0,ROUNDUP((BE$5-Plano!$L26)/Plano!$G26,0))&lt;=IF(DAY(BE$5)&gt;=29,EOMONTH(BE$5,0),BE$5+6),"●",""))</f>
        <v/>
      </c>
      <c r="BF29" s="138">
        <f>IF(OR(NOT(ISNUMBER(BF$5)),N(Plano!$G26)=0,N(Plano!$L26)=0),"",IF(Plano!$L26+Plano!$G26*MAX(0,ROUNDUP((BF$5-Plano!$L26)/Plano!$G26,0))&lt;=IF(DAY(BF$5)&gt;=29,EOMONTH(BF$5,0),BF$5+6),"●",""))</f>
        <v/>
      </c>
      <c r="BG29" s="138">
        <f>IF(OR(NOT(ISNUMBER(BG$5)),N(Plano!$G26)=0,N(Plano!$L26)=0),"",IF(Plano!$L26+Plano!$G26*MAX(0,ROUNDUP((BG$5-Plano!$L26)/Plano!$G26,0))&lt;=IF(DAY(BG$5)&gt;=29,EOMONTH(BG$5,0),BG$5+6),"●",""))</f>
        <v/>
      </c>
      <c r="BH29" s="138">
        <f>IF(OR(NOT(ISNUMBER(BH$5)),N(Plano!$G26)=0,N(Plano!$L26)=0),"",IF(Plano!$L26+Plano!$G26*MAX(0,ROUNDUP((BH$5-Plano!$L26)/Plano!$G26,0))&lt;=IF(DAY(BH$5)&gt;=29,EOMONTH(BH$5,0),BH$5+6),"●",""))</f>
        <v/>
      </c>
      <c r="BI29" s="139">
        <f>IF(OR(NOT(ISNUMBER(BI$5)),N(Plano!$G26)=0,N(Plano!$L26)=0),"",IF(Plano!$L26+Plano!$G26*MAX(0,ROUNDUP((BI$5-Plano!$L26)/Plano!$G26,0))&lt;=IF(DAY(BI$5)&gt;=29,EOMONTH(BI$5,0),BI$5+6),"●",""))</f>
        <v/>
      </c>
      <c r="BJ29" s="138">
        <f>IF(OR(NOT(ISNUMBER(BJ$5)),N(Plano!$G26)=0,N(Plano!$L26)=0),"",IF(Plano!$L26+Plano!$G26*MAX(0,ROUNDUP((BJ$5-Plano!$L26)/Plano!$G26,0))&lt;=IF(DAY(BJ$5)&gt;=29,EOMONTH(BJ$5,0),BJ$5+6),"●",""))</f>
        <v/>
      </c>
      <c r="BK29" s="138">
        <f>IF(OR(NOT(ISNUMBER(BK$5)),N(Plano!$G26)=0,N(Plano!$L26)=0),"",IF(Plano!$L26+Plano!$G26*MAX(0,ROUNDUP((BK$5-Plano!$L26)/Plano!$G26,0))&lt;=IF(DAY(BK$5)&gt;=29,EOMONTH(BK$5,0),BK$5+6),"●",""))</f>
        <v/>
      </c>
      <c r="BL29" s="138">
        <f>IF(OR(NOT(ISNUMBER(BL$5)),N(Plano!$G26)=0,N(Plano!$L26)=0),"",IF(Plano!$L26+Plano!$G26*MAX(0,ROUNDUP((BL$5-Plano!$L26)/Plano!$G26,0))&lt;=IF(DAY(BL$5)&gt;=29,EOMONTH(BL$5,0),BL$5+6),"●",""))</f>
        <v/>
      </c>
      <c r="BM29" s="140">
        <f>IF(OR(NOT(ISNUMBER(BM$5)),N(Plano!$G26)=0,N(Plano!$L26)=0),"",IF(Plano!$L26+Plano!$G26*MAX(0,ROUNDUP((BM$5-Plano!$L26)/Plano!$G26,0))&lt;=IF(DAY(BM$5)&gt;=29,EOMONTH(BM$5,0),BM$5+6),"●",""))</f>
        <v/>
      </c>
    </row>
    <row r="30" ht="18" customHeight="1">
      <c r="A30" s="118">
        <f>Plano!A27</f>
        <v/>
      </c>
      <c r="B30" s="136">
        <f>IF(Plano!B27="","",Plano!B27)</f>
        <v/>
      </c>
      <c r="C30" s="70">
        <f>IF(B30="","",IFERROR(INDEX(tb_pcm_ativos[descricao_ativo],MATCH(B30,tb_pcm_ativos[tag],0)),"fora do cadastro"))</f>
        <v/>
      </c>
      <c r="D30" s="70">
        <f>IF(Plano!E27="","",Plano!E27)</f>
        <v/>
      </c>
      <c r="E30" s="137">
        <f>IF(Plano!G27="","",Plano!G27)</f>
        <v/>
      </c>
      <c r="F30" s="138">
        <f>IF(OR(NOT(ISNUMBER(F$5)),N(Plano!$G27)=0,N(Plano!$L27)=0),"",IF(Plano!$L27+Plano!$G27*MAX(0,ROUNDUP((F$5-Plano!$L27)/Plano!$G27,0))&lt;=IF(DAY(F$5)&gt;=29,EOMONTH(F$5,0),F$5+6),"●",""))</f>
        <v/>
      </c>
      <c r="G30" s="138">
        <f>IF(OR(NOT(ISNUMBER(G$5)),N(Plano!$G27)=0,N(Plano!$L27)=0),"",IF(Plano!$L27+Plano!$G27*MAX(0,ROUNDUP((G$5-Plano!$L27)/Plano!$G27,0))&lt;=IF(DAY(G$5)&gt;=29,EOMONTH(G$5,0),G$5+6),"●",""))</f>
        <v/>
      </c>
      <c r="H30" s="138">
        <f>IF(OR(NOT(ISNUMBER(H$5)),N(Plano!$G27)=0,N(Plano!$L27)=0),"",IF(Plano!$L27+Plano!$G27*MAX(0,ROUNDUP((H$5-Plano!$L27)/Plano!$G27,0))&lt;=IF(DAY(H$5)&gt;=29,EOMONTH(H$5,0),H$5+6),"●",""))</f>
        <v/>
      </c>
      <c r="I30" s="138">
        <f>IF(OR(NOT(ISNUMBER(I$5)),N(Plano!$G27)=0,N(Plano!$L27)=0),"",IF(Plano!$L27+Plano!$G27*MAX(0,ROUNDUP((I$5-Plano!$L27)/Plano!$G27,0))&lt;=IF(DAY(I$5)&gt;=29,EOMONTH(I$5,0),I$5+6),"●",""))</f>
        <v/>
      </c>
      <c r="J30" s="138">
        <f>IF(OR(NOT(ISNUMBER(J$5)),N(Plano!$G27)=0,N(Plano!$L27)=0),"",IF(Plano!$L27+Plano!$G27*MAX(0,ROUNDUP((J$5-Plano!$L27)/Plano!$G27,0))&lt;=IF(DAY(J$5)&gt;=29,EOMONTH(J$5,0),J$5+6),"●",""))</f>
        <v/>
      </c>
      <c r="K30" s="139">
        <f>IF(OR(NOT(ISNUMBER(K$5)),N(Plano!$G27)=0,N(Plano!$L27)=0),"",IF(Plano!$L27+Plano!$G27*MAX(0,ROUNDUP((K$5-Plano!$L27)/Plano!$G27,0))&lt;=IF(DAY(K$5)&gt;=29,EOMONTH(K$5,0),K$5+6),"●",""))</f>
        <v/>
      </c>
      <c r="L30" s="138">
        <f>IF(OR(NOT(ISNUMBER(L$5)),N(Plano!$G27)=0,N(Plano!$L27)=0),"",IF(Plano!$L27+Plano!$G27*MAX(0,ROUNDUP((L$5-Plano!$L27)/Plano!$G27,0))&lt;=IF(DAY(L$5)&gt;=29,EOMONTH(L$5,0),L$5+6),"●",""))</f>
        <v/>
      </c>
      <c r="M30" s="138">
        <f>IF(OR(NOT(ISNUMBER(M$5)),N(Plano!$G27)=0,N(Plano!$L27)=0),"",IF(Plano!$L27+Plano!$G27*MAX(0,ROUNDUP((M$5-Plano!$L27)/Plano!$G27,0))&lt;=IF(DAY(M$5)&gt;=29,EOMONTH(M$5,0),M$5+6),"●",""))</f>
        <v/>
      </c>
      <c r="N30" s="138">
        <f>IF(OR(NOT(ISNUMBER(N$5)),N(Plano!$G27)=0,N(Plano!$L27)=0),"",IF(Plano!$L27+Plano!$G27*MAX(0,ROUNDUP((N$5-Plano!$L27)/Plano!$G27,0))&lt;=IF(DAY(N$5)&gt;=29,EOMONTH(N$5,0),N$5+6),"●",""))</f>
        <v/>
      </c>
      <c r="O30" s="138">
        <f>IF(OR(NOT(ISNUMBER(O$5)),N(Plano!$G27)=0,N(Plano!$L27)=0),"",IF(Plano!$L27+Plano!$G27*MAX(0,ROUNDUP((O$5-Plano!$L27)/Plano!$G27,0))&lt;=IF(DAY(O$5)&gt;=29,EOMONTH(O$5,0),O$5+6),"●",""))</f>
        <v/>
      </c>
      <c r="P30" s="139">
        <f>IF(OR(NOT(ISNUMBER(P$5)),N(Plano!$G27)=0,N(Plano!$L27)=0),"",IF(Plano!$L27+Plano!$G27*MAX(0,ROUNDUP((P$5-Plano!$L27)/Plano!$G27,0))&lt;=IF(DAY(P$5)&gt;=29,EOMONTH(P$5,0),P$5+6),"●",""))</f>
        <v/>
      </c>
      <c r="Q30" s="138">
        <f>IF(OR(NOT(ISNUMBER(Q$5)),N(Plano!$G27)=0,N(Plano!$L27)=0),"",IF(Plano!$L27+Plano!$G27*MAX(0,ROUNDUP((Q$5-Plano!$L27)/Plano!$G27,0))&lt;=IF(DAY(Q$5)&gt;=29,EOMONTH(Q$5,0),Q$5+6),"●",""))</f>
        <v/>
      </c>
      <c r="R30" s="138">
        <f>IF(OR(NOT(ISNUMBER(R$5)),N(Plano!$G27)=0,N(Plano!$L27)=0),"",IF(Plano!$L27+Plano!$G27*MAX(0,ROUNDUP((R$5-Plano!$L27)/Plano!$G27,0))&lt;=IF(DAY(R$5)&gt;=29,EOMONTH(R$5,0),R$5+6),"●",""))</f>
        <v/>
      </c>
      <c r="S30" s="138">
        <f>IF(OR(NOT(ISNUMBER(S$5)),N(Plano!$G27)=0,N(Plano!$L27)=0),"",IF(Plano!$L27+Plano!$G27*MAX(0,ROUNDUP((S$5-Plano!$L27)/Plano!$G27,0))&lt;=IF(DAY(S$5)&gt;=29,EOMONTH(S$5,0),S$5+6),"●",""))</f>
        <v/>
      </c>
      <c r="T30" s="138">
        <f>IF(OR(NOT(ISNUMBER(T$5)),N(Plano!$G27)=0,N(Plano!$L27)=0),"",IF(Plano!$L27+Plano!$G27*MAX(0,ROUNDUP((T$5-Plano!$L27)/Plano!$G27,0))&lt;=IF(DAY(T$5)&gt;=29,EOMONTH(T$5,0),T$5+6),"●",""))</f>
        <v/>
      </c>
      <c r="U30" s="139">
        <f>IF(OR(NOT(ISNUMBER(U$5)),N(Plano!$G27)=0,N(Plano!$L27)=0),"",IF(Plano!$L27+Plano!$G27*MAX(0,ROUNDUP((U$5-Plano!$L27)/Plano!$G27,0))&lt;=IF(DAY(U$5)&gt;=29,EOMONTH(U$5,0),U$5+6),"●",""))</f>
        <v/>
      </c>
      <c r="V30" s="138">
        <f>IF(OR(NOT(ISNUMBER(V$5)),N(Plano!$G27)=0,N(Plano!$L27)=0),"",IF(Plano!$L27+Plano!$G27*MAX(0,ROUNDUP((V$5-Plano!$L27)/Plano!$G27,0))&lt;=IF(DAY(V$5)&gt;=29,EOMONTH(V$5,0),V$5+6),"●",""))</f>
        <v/>
      </c>
      <c r="W30" s="138">
        <f>IF(OR(NOT(ISNUMBER(W$5)),N(Plano!$G27)=0,N(Plano!$L27)=0),"",IF(Plano!$L27+Plano!$G27*MAX(0,ROUNDUP((W$5-Plano!$L27)/Plano!$G27,0))&lt;=IF(DAY(W$5)&gt;=29,EOMONTH(W$5,0),W$5+6),"●",""))</f>
        <v/>
      </c>
      <c r="X30" s="138">
        <f>IF(OR(NOT(ISNUMBER(X$5)),N(Plano!$G27)=0,N(Plano!$L27)=0),"",IF(Plano!$L27+Plano!$G27*MAX(0,ROUNDUP((X$5-Plano!$L27)/Plano!$G27,0))&lt;=IF(DAY(X$5)&gt;=29,EOMONTH(X$5,0),X$5+6),"●",""))</f>
        <v/>
      </c>
      <c r="Y30" s="138">
        <f>IF(OR(NOT(ISNUMBER(Y$5)),N(Plano!$G27)=0,N(Plano!$L27)=0),"",IF(Plano!$L27+Plano!$G27*MAX(0,ROUNDUP((Y$5-Plano!$L27)/Plano!$G27,0))&lt;=IF(DAY(Y$5)&gt;=29,EOMONTH(Y$5,0),Y$5+6),"●",""))</f>
        <v/>
      </c>
      <c r="Z30" s="139">
        <f>IF(OR(NOT(ISNUMBER(Z$5)),N(Plano!$G27)=0,N(Plano!$L27)=0),"",IF(Plano!$L27+Plano!$G27*MAX(0,ROUNDUP((Z$5-Plano!$L27)/Plano!$G27,0))&lt;=IF(DAY(Z$5)&gt;=29,EOMONTH(Z$5,0),Z$5+6),"●",""))</f>
        <v/>
      </c>
      <c r="AA30" s="138">
        <f>IF(OR(NOT(ISNUMBER(AA$5)),N(Plano!$G27)=0,N(Plano!$L27)=0),"",IF(Plano!$L27+Plano!$G27*MAX(0,ROUNDUP((AA$5-Plano!$L27)/Plano!$G27,0))&lt;=IF(DAY(AA$5)&gt;=29,EOMONTH(AA$5,0),AA$5+6),"●",""))</f>
        <v/>
      </c>
      <c r="AB30" s="138">
        <f>IF(OR(NOT(ISNUMBER(AB$5)),N(Plano!$G27)=0,N(Plano!$L27)=0),"",IF(Plano!$L27+Plano!$G27*MAX(0,ROUNDUP((AB$5-Plano!$L27)/Plano!$G27,0))&lt;=IF(DAY(AB$5)&gt;=29,EOMONTH(AB$5,0),AB$5+6),"●",""))</f>
        <v/>
      </c>
      <c r="AC30" s="138">
        <f>IF(OR(NOT(ISNUMBER(AC$5)),N(Plano!$G27)=0,N(Plano!$L27)=0),"",IF(Plano!$L27+Plano!$G27*MAX(0,ROUNDUP((AC$5-Plano!$L27)/Plano!$G27,0))&lt;=IF(DAY(AC$5)&gt;=29,EOMONTH(AC$5,0),AC$5+6),"●",""))</f>
        <v/>
      </c>
      <c r="AD30" s="138">
        <f>IF(OR(NOT(ISNUMBER(AD$5)),N(Plano!$G27)=0,N(Plano!$L27)=0),"",IF(Plano!$L27+Plano!$G27*MAX(0,ROUNDUP((AD$5-Plano!$L27)/Plano!$G27,0))&lt;=IF(DAY(AD$5)&gt;=29,EOMONTH(AD$5,0),AD$5+6),"●",""))</f>
        <v/>
      </c>
      <c r="AE30" s="139">
        <f>IF(OR(NOT(ISNUMBER(AE$5)),N(Plano!$G27)=0,N(Plano!$L27)=0),"",IF(Plano!$L27+Plano!$G27*MAX(0,ROUNDUP((AE$5-Plano!$L27)/Plano!$G27,0))&lt;=IF(DAY(AE$5)&gt;=29,EOMONTH(AE$5,0),AE$5+6),"●",""))</f>
        <v/>
      </c>
      <c r="AF30" s="138">
        <f>IF(OR(NOT(ISNUMBER(AF$5)),N(Plano!$G27)=0,N(Plano!$L27)=0),"",IF(Plano!$L27+Plano!$G27*MAX(0,ROUNDUP((AF$5-Plano!$L27)/Plano!$G27,0))&lt;=IF(DAY(AF$5)&gt;=29,EOMONTH(AF$5,0),AF$5+6),"●",""))</f>
        <v/>
      </c>
      <c r="AG30" s="138">
        <f>IF(OR(NOT(ISNUMBER(AG$5)),N(Plano!$G27)=0,N(Plano!$L27)=0),"",IF(Plano!$L27+Plano!$G27*MAX(0,ROUNDUP((AG$5-Plano!$L27)/Plano!$G27,0))&lt;=IF(DAY(AG$5)&gt;=29,EOMONTH(AG$5,0),AG$5+6),"●",""))</f>
        <v/>
      </c>
      <c r="AH30" s="138">
        <f>IF(OR(NOT(ISNUMBER(AH$5)),N(Plano!$G27)=0,N(Plano!$L27)=0),"",IF(Plano!$L27+Plano!$G27*MAX(0,ROUNDUP((AH$5-Plano!$L27)/Plano!$G27,0))&lt;=IF(DAY(AH$5)&gt;=29,EOMONTH(AH$5,0),AH$5+6),"●",""))</f>
        <v/>
      </c>
      <c r="AI30" s="138">
        <f>IF(OR(NOT(ISNUMBER(AI$5)),N(Plano!$G27)=0,N(Plano!$L27)=0),"",IF(Plano!$L27+Plano!$G27*MAX(0,ROUNDUP((AI$5-Plano!$L27)/Plano!$G27,0))&lt;=IF(DAY(AI$5)&gt;=29,EOMONTH(AI$5,0),AI$5+6),"●",""))</f>
        <v/>
      </c>
      <c r="AJ30" s="139">
        <f>IF(OR(NOT(ISNUMBER(AJ$5)),N(Plano!$G27)=0,N(Plano!$L27)=0),"",IF(Plano!$L27+Plano!$G27*MAX(0,ROUNDUP((AJ$5-Plano!$L27)/Plano!$G27,0))&lt;=IF(DAY(AJ$5)&gt;=29,EOMONTH(AJ$5,0),AJ$5+6),"●",""))</f>
        <v/>
      </c>
      <c r="AK30" s="138">
        <f>IF(OR(NOT(ISNUMBER(AK$5)),N(Plano!$G27)=0,N(Plano!$L27)=0),"",IF(Plano!$L27+Plano!$G27*MAX(0,ROUNDUP((AK$5-Plano!$L27)/Plano!$G27,0))&lt;=IF(DAY(AK$5)&gt;=29,EOMONTH(AK$5,0),AK$5+6),"●",""))</f>
        <v/>
      </c>
      <c r="AL30" s="138">
        <f>IF(OR(NOT(ISNUMBER(AL$5)),N(Plano!$G27)=0,N(Plano!$L27)=0),"",IF(Plano!$L27+Plano!$G27*MAX(0,ROUNDUP((AL$5-Plano!$L27)/Plano!$G27,0))&lt;=IF(DAY(AL$5)&gt;=29,EOMONTH(AL$5,0),AL$5+6),"●",""))</f>
        <v/>
      </c>
      <c r="AM30" s="138">
        <f>IF(OR(NOT(ISNUMBER(AM$5)),N(Plano!$G27)=0,N(Plano!$L27)=0),"",IF(Plano!$L27+Plano!$G27*MAX(0,ROUNDUP((AM$5-Plano!$L27)/Plano!$G27,0))&lt;=IF(DAY(AM$5)&gt;=29,EOMONTH(AM$5,0),AM$5+6),"●",""))</f>
        <v/>
      </c>
      <c r="AN30" s="138">
        <f>IF(OR(NOT(ISNUMBER(AN$5)),N(Plano!$G27)=0,N(Plano!$L27)=0),"",IF(Plano!$L27+Plano!$G27*MAX(0,ROUNDUP((AN$5-Plano!$L27)/Plano!$G27,0))&lt;=IF(DAY(AN$5)&gt;=29,EOMONTH(AN$5,0),AN$5+6),"●",""))</f>
        <v/>
      </c>
      <c r="AO30" s="139">
        <f>IF(OR(NOT(ISNUMBER(AO$5)),N(Plano!$G27)=0,N(Plano!$L27)=0),"",IF(Plano!$L27+Plano!$G27*MAX(0,ROUNDUP((AO$5-Plano!$L27)/Plano!$G27,0))&lt;=IF(DAY(AO$5)&gt;=29,EOMONTH(AO$5,0),AO$5+6),"●",""))</f>
        <v/>
      </c>
      <c r="AP30" s="138">
        <f>IF(OR(NOT(ISNUMBER(AP$5)),N(Plano!$G27)=0,N(Plano!$L27)=0),"",IF(Plano!$L27+Plano!$G27*MAX(0,ROUNDUP((AP$5-Plano!$L27)/Plano!$G27,0))&lt;=IF(DAY(AP$5)&gt;=29,EOMONTH(AP$5,0),AP$5+6),"●",""))</f>
        <v/>
      </c>
      <c r="AQ30" s="138">
        <f>IF(OR(NOT(ISNUMBER(AQ$5)),N(Plano!$G27)=0,N(Plano!$L27)=0),"",IF(Plano!$L27+Plano!$G27*MAX(0,ROUNDUP((AQ$5-Plano!$L27)/Plano!$G27,0))&lt;=IF(DAY(AQ$5)&gt;=29,EOMONTH(AQ$5,0),AQ$5+6),"●",""))</f>
        <v/>
      </c>
      <c r="AR30" s="138">
        <f>IF(OR(NOT(ISNUMBER(AR$5)),N(Plano!$G27)=0,N(Plano!$L27)=0),"",IF(Plano!$L27+Plano!$G27*MAX(0,ROUNDUP((AR$5-Plano!$L27)/Plano!$G27,0))&lt;=IF(DAY(AR$5)&gt;=29,EOMONTH(AR$5,0),AR$5+6),"●",""))</f>
        <v/>
      </c>
      <c r="AS30" s="138">
        <f>IF(OR(NOT(ISNUMBER(AS$5)),N(Plano!$G27)=0,N(Plano!$L27)=0),"",IF(Plano!$L27+Plano!$G27*MAX(0,ROUNDUP((AS$5-Plano!$L27)/Plano!$G27,0))&lt;=IF(DAY(AS$5)&gt;=29,EOMONTH(AS$5,0),AS$5+6),"●",""))</f>
        <v/>
      </c>
      <c r="AT30" s="139">
        <f>IF(OR(NOT(ISNUMBER(AT$5)),N(Plano!$G27)=0,N(Plano!$L27)=0),"",IF(Plano!$L27+Plano!$G27*MAX(0,ROUNDUP((AT$5-Plano!$L27)/Plano!$G27,0))&lt;=IF(DAY(AT$5)&gt;=29,EOMONTH(AT$5,0),AT$5+6),"●",""))</f>
        <v/>
      </c>
      <c r="AU30" s="138">
        <f>IF(OR(NOT(ISNUMBER(AU$5)),N(Plano!$G27)=0,N(Plano!$L27)=0),"",IF(Plano!$L27+Plano!$G27*MAX(0,ROUNDUP((AU$5-Plano!$L27)/Plano!$G27,0))&lt;=IF(DAY(AU$5)&gt;=29,EOMONTH(AU$5,0),AU$5+6),"●",""))</f>
        <v/>
      </c>
      <c r="AV30" s="138">
        <f>IF(OR(NOT(ISNUMBER(AV$5)),N(Plano!$G27)=0,N(Plano!$L27)=0),"",IF(Plano!$L27+Plano!$G27*MAX(0,ROUNDUP((AV$5-Plano!$L27)/Plano!$G27,0))&lt;=IF(DAY(AV$5)&gt;=29,EOMONTH(AV$5,0),AV$5+6),"●",""))</f>
        <v/>
      </c>
      <c r="AW30" s="138">
        <f>IF(OR(NOT(ISNUMBER(AW$5)),N(Plano!$G27)=0,N(Plano!$L27)=0),"",IF(Plano!$L27+Plano!$G27*MAX(0,ROUNDUP((AW$5-Plano!$L27)/Plano!$G27,0))&lt;=IF(DAY(AW$5)&gt;=29,EOMONTH(AW$5,0),AW$5+6),"●",""))</f>
        <v/>
      </c>
      <c r="AX30" s="138">
        <f>IF(OR(NOT(ISNUMBER(AX$5)),N(Plano!$G27)=0,N(Plano!$L27)=0),"",IF(Plano!$L27+Plano!$G27*MAX(0,ROUNDUP((AX$5-Plano!$L27)/Plano!$G27,0))&lt;=IF(DAY(AX$5)&gt;=29,EOMONTH(AX$5,0),AX$5+6),"●",""))</f>
        <v/>
      </c>
      <c r="AY30" s="139">
        <f>IF(OR(NOT(ISNUMBER(AY$5)),N(Plano!$G27)=0,N(Plano!$L27)=0),"",IF(Plano!$L27+Plano!$G27*MAX(0,ROUNDUP((AY$5-Plano!$L27)/Plano!$G27,0))&lt;=IF(DAY(AY$5)&gt;=29,EOMONTH(AY$5,0),AY$5+6),"●",""))</f>
        <v/>
      </c>
      <c r="AZ30" s="138">
        <f>IF(OR(NOT(ISNUMBER(AZ$5)),N(Plano!$G27)=0,N(Plano!$L27)=0),"",IF(Plano!$L27+Plano!$G27*MAX(0,ROUNDUP((AZ$5-Plano!$L27)/Plano!$G27,0))&lt;=IF(DAY(AZ$5)&gt;=29,EOMONTH(AZ$5,0),AZ$5+6),"●",""))</f>
        <v/>
      </c>
      <c r="BA30" s="138">
        <f>IF(OR(NOT(ISNUMBER(BA$5)),N(Plano!$G27)=0,N(Plano!$L27)=0),"",IF(Plano!$L27+Plano!$G27*MAX(0,ROUNDUP((BA$5-Plano!$L27)/Plano!$G27,0))&lt;=IF(DAY(BA$5)&gt;=29,EOMONTH(BA$5,0),BA$5+6),"●",""))</f>
        <v/>
      </c>
      <c r="BB30" s="138">
        <f>IF(OR(NOT(ISNUMBER(BB$5)),N(Plano!$G27)=0,N(Plano!$L27)=0),"",IF(Plano!$L27+Plano!$G27*MAX(0,ROUNDUP((BB$5-Plano!$L27)/Plano!$G27,0))&lt;=IF(DAY(BB$5)&gt;=29,EOMONTH(BB$5,0),BB$5+6),"●",""))</f>
        <v/>
      </c>
      <c r="BC30" s="138">
        <f>IF(OR(NOT(ISNUMBER(BC$5)),N(Plano!$G27)=0,N(Plano!$L27)=0),"",IF(Plano!$L27+Plano!$G27*MAX(0,ROUNDUP((BC$5-Plano!$L27)/Plano!$G27,0))&lt;=IF(DAY(BC$5)&gt;=29,EOMONTH(BC$5,0),BC$5+6),"●",""))</f>
        <v/>
      </c>
      <c r="BD30" s="139">
        <f>IF(OR(NOT(ISNUMBER(BD$5)),N(Plano!$G27)=0,N(Plano!$L27)=0),"",IF(Plano!$L27+Plano!$G27*MAX(0,ROUNDUP((BD$5-Plano!$L27)/Plano!$G27,0))&lt;=IF(DAY(BD$5)&gt;=29,EOMONTH(BD$5,0),BD$5+6),"●",""))</f>
        <v/>
      </c>
      <c r="BE30" s="138">
        <f>IF(OR(NOT(ISNUMBER(BE$5)),N(Plano!$G27)=0,N(Plano!$L27)=0),"",IF(Plano!$L27+Plano!$G27*MAX(0,ROUNDUP((BE$5-Plano!$L27)/Plano!$G27,0))&lt;=IF(DAY(BE$5)&gt;=29,EOMONTH(BE$5,0),BE$5+6),"●",""))</f>
        <v/>
      </c>
      <c r="BF30" s="138">
        <f>IF(OR(NOT(ISNUMBER(BF$5)),N(Plano!$G27)=0,N(Plano!$L27)=0),"",IF(Plano!$L27+Plano!$G27*MAX(0,ROUNDUP((BF$5-Plano!$L27)/Plano!$G27,0))&lt;=IF(DAY(BF$5)&gt;=29,EOMONTH(BF$5,0),BF$5+6),"●",""))</f>
        <v/>
      </c>
      <c r="BG30" s="138">
        <f>IF(OR(NOT(ISNUMBER(BG$5)),N(Plano!$G27)=0,N(Plano!$L27)=0),"",IF(Plano!$L27+Plano!$G27*MAX(0,ROUNDUP((BG$5-Plano!$L27)/Plano!$G27,0))&lt;=IF(DAY(BG$5)&gt;=29,EOMONTH(BG$5,0),BG$5+6),"●",""))</f>
        <v/>
      </c>
      <c r="BH30" s="138">
        <f>IF(OR(NOT(ISNUMBER(BH$5)),N(Plano!$G27)=0,N(Plano!$L27)=0),"",IF(Plano!$L27+Plano!$G27*MAX(0,ROUNDUP((BH$5-Plano!$L27)/Plano!$G27,0))&lt;=IF(DAY(BH$5)&gt;=29,EOMONTH(BH$5,0),BH$5+6),"●",""))</f>
        <v/>
      </c>
      <c r="BI30" s="139">
        <f>IF(OR(NOT(ISNUMBER(BI$5)),N(Plano!$G27)=0,N(Plano!$L27)=0),"",IF(Plano!$L27+Plano!$G27*MAX(0,ROUNDUP((BI$5-Plano!$L27)/Plano!$G27,0))&lt;=IF(DAY(BI$5)&gt;=29,EOMONTH(BI$5,0),BI$5+6),"●",""))</f>
        <v/>
      </c>
      <c r="BJ30" s="138">
        <f>IF(OR(NOT(ISNUMBER(BJ$5)),N(Plano!$G27)=0,N(Plano!$L27)=0),"",IF(Plano!$L27+Plano!$G27*MAX(0,ROUNDUP((BJ$5-Plano!$L27)/Plano!$G27,0))&lt;=IF(DAY(BJ$5)&gt;=29,EOMONTH(BJ$5,0),BJ$5+6),"●",""))</f>
        <v/>
      </c>
      <c r="BK30" s="138">
        <f>IF(OR(NOT(ISNUMBER(BK$5)),N(Plano!$G27)=0,N(Plano!$L27)=0),"",IF(Plano!$L27+Plano!$G27*MAX(0,ROUNDUP((BK$5-Plano!$L27)/Plano!$G27,0))&lt;=IF(DAY(BK$5)&gt;=29,EOMONTH(BK$5,0),BK$5+6),"●",""))</f>
        <v/>
      </c>
      <c r="BL30" s="138">
        <f>IF(OR(NOT(ISNUMBER(BL$5)),N(Plano!$G27)=0,N(Plano!$L27)=0),"",IF(Plano!$L27+Plano!$G27*MAX(0,ROUNDUP((BL$5-Plano!$L27)/Plano!$G27,0))&lt;=IF(DAY(BL$5)&gt;=29,EOMONTH(BL$5,0),BL$5+6),"●",""))</f>
        <v/>
      </c>
      <c r="BM30" s="140">
        <f>IF(OR(NOT(ISNUMBER(BM$5)),N(Plano!$G27)=0,N(Plano!$L27)=0),"",IF(Plano!$L27+Plano!$G27*MAX(0,ROUNDUP((BM$5-Plano!$L27)/Plano!$G27,0))&lt;=IF(DAY(BM$5)&gt;=29,EOMONTH(BM$5,0),BM$5+6),"●",""))</f>
        <v/>
      </c>
    </row>
    <row r="31" ht="18" customHeight="1">
      <c r="A31" s="118">
        <f>Plano!A28</f>
        <v/>
      </c>
      <c r="B31" s="136">
        <f>IF(Plano!B28="","",Plano!B28)</f>
        <v/>
      </c>
      <c r="C31" s="70">
        <f>IF(B31="","",IFERROR(INDEX(tb_pcm_ativos[descricao_ativo],MATCH(B31,tb_pcm_ativos[tag],0)),"fora do cadastro"))</f>
        <v/>
      </c>
      <c r="D31" s="70">
        <f>IF(Plano!E28="","",Plano!E28)</f>
        <v/>
      </c>
      <c r="E31" s="137">
        <f>IF(Plano!G28="","",Plano!G28)</f>
        <v/>
      </c>
      <c r="F31" s="138">
        <f>IF(OR(NOT(ISNUMBER(F$5)),N(Plano!$G28)=0,N(Plano!$L28)=0),"",IF(Plano!$L28+Plano!$G28*MAX(0,ROUNDUP((F$5-Plano!$L28)/Plano!$G28,0))&lt;=IF(DAY(F$5)&gt;=29,EOMONTH(F$5,0),F$5+6),"●",""))</f>
        <v/>
      </c>
      <c r="G31" s="138">
        <f>IF(OR(NOT(ISNUMBER(G$5)),N(Plano!$G28)=0,N(Plano!$L28)=0),"",IF(Plano!$L28+Plano!$G28*MAX(0,ROUNDUP((G$5-Plano!$L28)/Plano!$G28,0))&lt;=IF(DAY(G$5)&gt;=29,EOMONTH(G$5,0),G$5+6),"●",""))</f>
        <v/>
      </c>
      <c r="H31" s="138">
        <f>IF(OR(NOT(ISNUMBER(H$5)),N(Plano!$G28)=0,N(Plano!$L28)=0),"",IF(Plano!$L28+Plano!$G28*MAX(0,ROUNDUP((H$5-Plano!$L28)/Plano!$G28,0))&lt;=IF(DAY(H$5)&gt;=29,EOMONTH(H$5,0),H$5+6),"●",""))</f>
        <v/>
      </c>
      <c r="I31" s="138">
        <f>IF(OR(NOT(ISNUMBER(I$5)),N(Plano!$G28)=0,N(Plano!$L28)=0),"",IF(Plano!$L28+Plano!$G28*MAX(0,ROUNDUP((I$5-Plano!$L28)/Plano!$G28,0))&lt;=IF(DAY(I$5)&gt;=29,EOMONTH(I$5,0),I$5+6),"●",""))</f>
        <v/>
      </c>
      <c r="J31" s="138">
        <f>IF(OR(NOT(ISNUMBER(J$5)),N(Plano!$G28)=0,N(Plano!$L28)=0),"",IF(Plano!$L28+Plano!$G28*MAX(0,ROUNDUP((J$5-Plano!$L28)/Plano!$G28,0))&lt;=IF(DAY(J$5)&gt;=29,EOMONTH(J$5,0),J$5+6),"●",""))</f>
        <v/>
      </c>
      <c r="K31" s="139">
        <f>IF(OR(NOT(ISNUMBER(K$5)),N(Plano!$G28)=0,N(Plano!$L28)=0),"",IF(Plano!$L28+Plano!$G28*MAX(0,ROUNDUP((K$5-Plano!$L28)/Plano!$G28,0))&lt;=IF(DAY(K$5)&gt;=29,EOMONTH(K$5,0),K$5+6),"●",""))</f>
        <v/>
      </c>
      <c r="L31" s="138">
        <f>IF(OR(NOT(ISNUMBER(L$5)),N(Plano!$G28)=0,N(Plano!$L28)=0),"",IF(Plano!$L28+Plano!$G28*MAX(0,ROUNDUP((L$5-Plano!$L28)/Plano!$G28,0))&lt;=IF(DAY(L$5)&gt;=29,EOMONTH(L$5,0),L$5+6),"●",""))</f>
        <v/>
      </c>
      <c r="M31" s="138">
        <f>IF(OR(NOT(ISNUMBER(M$5)),N(Plano!$G28)=0,N(Plano!$L28)=0),"",IF(Plano!$L28+Plano!$G28*MAX(0,ROUNDUP((M$5-Plano!$L28)/Plano!$G28,0))&lt;=IF(DAY(M$5)&gt;=29,EOMONTH(M$5,0),M$5+6),"●",""))</f>
        <v/>
      </c>
      <c r="N31" s="138">
        <f>IF(OR(NOT(ISNUMBER(N$5)),N(Plano!$G28)=0,N(Plano!$L28)=0),"",IF(Plano!$L28+Plano!$G28*MAX(0,ROUNDUP((N$5-Plano!$L28)/Plano!$G28,0))&lt;=IF(DAY(N$5)&gt;=29,EOMONTH(N$5,0),N$5+6),"●",""))</f>
        <v/>
      </c>
      <c r="O31" s="138">
        <f>IF(OR(NOT(ISNUMBER(O$5)),N(Plano!$G28)=0,N(Plano!$L28)=0),"",IF(Plano!$L28+Plano!$G28*MAX(0,ROUNDUP((O$5-Plano!$L28)/Plano!$G28,0))&lt;=IF(DAY(O$5)&gt;=29,EOMONTH(O$5,0),O$5+6),"●",""))</f>
        <v/>
      </c>
      <c r="P31" s="139">
        <f>IF(OR(NOT(ISNUMBER(P$5)),N(Plano!$G28)=0,N(Plano!$L28)=0),"",IF(Plano!$L28+Plano!$G28*MAX(0,ROUNDUP((P$5-Plano!$L28)/Plano!$G28,0))&lt;=IF(DAY(P$5)&gt;=29,EOMONTH(P$5,0),P$5+6),"●",""))</f>
        <v/>
      </c>
      <c r="Q31" s="138">
        <f>IF(OR(NOT(ISNUMBER(Q$5)),N(Plano!$G28)=0,N(Plano!$L28)=0),"",IF(Plano!$L28+Plano!$G28*MAX(0,ROUNDUP((Q$5-Plano!$L28)/Plano!$G28,0))&lt;=IF(DAY(Q$5)&gt;=29,EOMONTH(Q$5,0),Q$5+6),"●",""))</f>
        <v/>
      </c>
      <c r="R31" s="138">
        <f>IF(OR(NOT(ISNUMBER(R$5)),N(Plano!$G28)=0,N(Plano!$L28)=0),"",IF(Plano!$L28+Plano!$G28*MAX(0,ROUNDUP((R$5-Plano!$L28)/Plano!$G28,0))&lt;=IF(DAY(R$5)&gt;=29,EOMONTH(R$5,0),R$5+6),"●",""))</f>
        <v/>
      </c>
      <c r="S31" s="138">
        <f>IF(OR(NOT(ISNUMBER(S$5)),N(Plano!$G28)=0,N(Plano!$L28)=0),"",IF(Plano!$L28+Plano!$G28*MAX(0,ROUNDUP((S$5-Plano!$L28)/Plano!$G28,0))&lt;=IF(DAY(S$5)&gt;=29,EOMONTH(S$5,0),S$5+6),"●",""))</f>
        <v/>
      </c>
      <c r="T31" s="138">
        <f>IF(OR(NOT(ISNUMBER(T$5)),N(Plano!$G28)=0,N(Plano!$L28)=0),"",IF(Plano!$L28+Plano!$G28*MAX(0,ROUNDUP((T$5-Plano!$L28)/Plano!$G28,0))&lt;=IF(DAY(T$5)&gt;=29,EOMONTH(T$5,0),T$5+6),"●",""))</f>
        <v/>
      </c>
      <c r="U31" s="139">
        <f>IF(OR(NOT(ISNUMBER(U$5)),N(Plano!$G28)=0,N(Plano!$L28)=0),"",IF(Plano!$L28+Plano!$G28*MAX(0,ROUNDUP((U$5-Plano!$L28)/Plano!$G28,0))&lt;=IF(DAY(U$5)&gt;=29,EOMONTH(U$5,0),U$5+6),"●",""))</f>
        <v/>
      </c>
      <c r="V31" s="138">
        <f>IF(OR(NOT(ISNUMBER(V$5)),N(Plano!$G28)=0,N(Plano!$L28)=0),"",IF(Plano!$L28+Plano!$G28*MAX(0,ROUNDUP((V$5-Plano!$L28)/Plano!$G28,0))&lt;=IF(DAY(V$5)&gt;=29,EOMONTH(V$5,0),V$5+6),"●",""))</f>
        <v/>
      </c>
      <c r="W31" s="138">
        <f>IF(OR(NOT(ISNUMBER(W$5)),N(Plano!$G28)=0,N(Plano!$L28)=0),"",IF(Plano!$L28+Plano!$G28*MAX(0,ROUNDUP((W$5-Plano!$L28)/Plano!$G28,0))&lt;=IF(DAY(W$5)&gt;=29,EOMONTH(W$5,0),W$5+6),"●",""))</f>
        <v/>
      </c>
      <c r="X31" s="138">
        <f>IF(OR(NOT(ISNUMBER(X$5)),N(Plano!$G28)=0,N(Plano!$L28)=0),"",IF(Plano!$L28+Plano!$G28*MAX(0,ROUNDUP((X$5-Plano!$L28)/Plano!$G28,0))&lt;=IF(DAY(X$5)&gt;=29,EOMONTH(X$5,0),X$5+6),"●",""))</f>
        <v/>
      </c>
      <c r="Y31" s="138">
        <f>IF(OR(NOT(ISNUMBER(Y$5)),N(Plano!$G28)=0,N(Plano!$L28)=0),"",IF(Plano!$L28+Plano!$G28*MAX(0,ROUNDUP((Y$5-Plano!$L28)/Plano!$G28,0))&lt;=IF(DAY(Y$5)&gt;=29,EOMONTH(Y$5,0),Y$5+6),"●",""))</f>
        <v/>
      </c>
      <c r="Z31" s="139">
        <f>IF(OR(NOT(ISNUMBER(Z$5)),N(Plano!$G28)=0,N(Plano!$L28)=0),"",IF(Plano!$L28+Plano!$G28*MAX(0,ROUNDUP((Z$5-Plano!$L28)/Plano!$G28,0))&lt;=IF(DAY(Z$5)&gt;=29,EOMONTH(Z$5,0),Z$5+6),"●",""))</f>
        <v/>
      </c>
      <c r="AA31" s="138">
        <f>IF(OR(NOT(ISNUMBER(AA$5)),N(Plano!$G28)=0,N(Plano!$L28)=0),"",IF(Plano!$L28+Plano!$G28*MAX(0,ROUNDUP((AA$5-Plano!$L28)/Plano!$G28,0))&lt;=IF(DAY(AA$5)&gt;=29,EOMONTH(AA$5,0),AA$5+6),"●",""))</f>
        <v/>
      </c>
      <c r="AB31" s="138">
        <f>IF(OR(NOT(ISNUMBER(AB$5)),N(Plano!$G28)=0,N(Plano!$L28)=0),"",IF(Plano!$L28+Plano!$G28*MAX(0,ROUNDUP((AB$5-Plano!$L28)/Plano!$G28,0))&lt;=IF(DAY(AB$5)&gt;=29,EOMONTH(AB$5,0),AB$5+6),"●",""))</f>
        <v/>
      </c>
      <c r="AC31" s="138">
        <f>IF(OR(NOT(ISNUMBER(AC$5)),N(Plano!$G28)=0,N(Plano!$L28)=0),"",IF(Plano!$L28+Plano!$G28*MAX(0,ROUNDUP((AC$5-Plano!$L28)/Plano!$G28,0))&lt;=IF(DAY(AC$5)&gt;=29,EOMONTH(AC$5,0),AC$5+6),"●",""))</f>
        <v/>
      </c>
      <c r="AD31" s="138">
        <f>IF(OR(NOT(ISNUMBER(AD$5)),N(Plano!$G28)=0,N(Plano!$L28)=0),"",IF(Plano!$L28+Plano!$G28*MAX(0,ROUNDUP((AD$5-Plano!$L28)/Plano!$G28,0))&lt;=IF(DAY(AD$5)&gt;=29,EOMONTH(AD$5,0),AD$5+6),"●",""))</f>
        <v/>
      </c>
      <c r="AE31" s="139">
        <f>IF(OR(NOT(ISNUMBER(AE$5)),N(Plano!$G28)=0,N(Plano!$L28)=0),"",IF(Plano!$L28+Plano!$G28*MAX(0,ROUNDUP((AE$5-Plano!$L28)/Plano!$G28,0))&lt;=IF(DAY(AE$5)&gt;=29,EOMONTH(AE$5,0),AE$5+6),"●",""))</f>
        <v/>
      </c>
      <c r="AF31" s="138">
        <f>IF(OR(NOT(ISNUMBER(AF$5)),N(Plano!$G28)=0,N(Plano!$L28)=0),"",IF(Plano!$L28+Plano!$G28*MAX(0,ROUNDUP((AF$5-Plano!$L28)/Plano!$G28,0))&lt;=IF(DAY(AF$5)&gt;=29,EOMONTH(AF$5,0),AF$5+6),"●",""))</f>
        <v/>
      </c>
      <c r="AG31" s="138">
        <f>IF(OR(NOT(ISNUMBER(AG$5)),N(Plano!$G28)=0,N(Plano!$L28)=0),"",IF(Plano!$L28+Plano!$G28*MAX(0,ROUNDUP((AG$5-Plano!$L28)/Plano!$G28,0))&lt;=IF(DAY(AG$5)&gt;=29,EOMONTH(AG$5,0),AG$5+6),"●",""))</f>
        <v/>
      </c>
      <c r="AH31" s="138">
        <f>IF(OR(NOT(ISNUMBER(AH$5)),N(Plano!$G28)=0,N(Plano!$L28)=0),"",IF(Plano!$L28+Plano!$G28*MAX(0,ROUNDUP((AH$5-Plano!$L28)/Plano!$G28,0))&lt;=IF(DAY(AH$5)&gt;=29,EOMONTH(AH$5,0),AH$5+6),"●",""))</f>
        <v/>
      </c>
      <c r="AI31" s="138">
        <f>IF(OR(NOT(ISNUMBER(AI$5)),N(Plano!$G28)=0,N(Plano!$L28)=0),"",IF(Plano!$L28+Plano!$G28*MAX(0,ROUNDUP((AI$5-Plano!$L28)/Plano!$G28,0))&lt;=IF(DAY(AI$5)&gt;=29,EOMONTH(AI$5,0),AI$5+6),"●",""))</f>
        <v/>
      </c>
      <c r="AJ31" s="139">
        <f>IF(OR(NOT(ISNUMBER(AJ$5)),N(Plano!$G28)=0,N(Plano!$L28)=0),"",IF(Plano!$L28+Plano!$G28*MAX(0,ROUNDUP((AJ$5-Plano!$L28)/Plano!$G28,0))&lt;=IF(DAY(AJ$5)&gt;=29,EOMONTH(AJ$5,0),AJ$5+6),"●",""))</f>
        <v/>
      </c>
      <c r="AK31" s="138">
        <f>IF(OR(NOT(ISNUMBER(AK$5)),N(Plano!$G28)=0,N(Plano!$L28)=0),"",IF(Plano!$L28+Plano!$G28*MAX(0,ROUNDUP((AK$5-Plano!$L28)/Plano!$G28,0))&lt;=IF(DAY(AK$5)&gt;=29,EOMONTH(AK$5,0),AK$5+6),"●",""))</f>
        <v/>
      </c>
      <c r="AL31" s="138">
        <f>IF(OR(NOT(ISNUMBER(AL$5)),N(Plano!$G28)=0,N(Plano!$L28)=0),"",IF(Plano!$L28+Plano!$G28*MAX(0,ROUNDUP((AL$5-Plano!$L28)/Plano!$G28,0))&lt;=IF(DAY(AL$5)&gt;=29,EOMONTH(AL$5,0),AL$5+6),"●",""))</f>
        <v/>
      </c>
      <c r="AM31" s="138">
        <f>IF(OR(NOT(ISNUMBER(AM$5)),N(Plano!$G28)=0,N(Plano!$L28)=0),"",IF(Plano!$L28+Plano!$G28*MAX(0,ROUNDUP((AM$5-Plano!$L28)/Plano!$G28,0))&lt;=IF(DAY(AM$5)&gt;=29,EOMONTH(AM$5,0),AM$5+6),"●",""))</f>
        <v/>
      </c>
      <c r="AN31" s="138">
        <f>IF(OR(NOT(ISNUMBER(AN$5)),N(Plano!$G28)=0,N(Plano!$L28)=0),"",IF(Plano!$L28+Plano!$G28*MAX(0,ROUNDUP((AN$5-Plano!$L28)/Plano!$G28,0))&lt;=IF(DAY(AN$5)&gt;=29,EOMONTH(AN$5,0),AN$5+6),"●",""))</f>
        <v/>
      </c>
      <c r="AO31" s="139">
        <f>IF(OR(NOT(ISNUMBER(AO$5)),N(Plano!$G28)=0,N(Plano!$L28)=0),"",IF(Plano!$L28+Plano!$G28*MAX(0,ROUNDUP((AO$5-Plano!$L28)/Plano!$G28,0))&lt;=IF(DAY(AO$5)&gt;=29,EOMONTH(AO$5,0),AO$5+6),"●",""))</f>
        <v/>
      </c>
      <c r="AP31" s="138">
        <f>IF(OR(NOT(ISNUMBER(AP$5)),N(Plano!$G28)=0,N(Plano!$L28)=0),"",IF(Plano!$L28+Plano!$G28*MAX(0,ROUNDUP((AP$5-Plano!$L28)/Plano!$G28,0))&lt;=IF(DAY(AP$5)&gt;=29,EOMONTH(AP$5,0),AP$5+6),"●",""))</f>
        <v/>
      </c>
      <c r="AQ31" s="138">
        <f>IF(OR(NOT(ISNUMBER(AQ$5)),N(Plano!$G28)=0,N(Plano!$L28)=0),"",IF(Plano!$L28+Plano!$G28*MAX(0,ROUNDUP((AQ$5-Plano!$L28)/Plano!$G28,0))&lt;=IF(DAY(AQ$5)&gt;=29,EOMONTH(AQ$5,0),AQ$5+6),"●",""))</f>
        <v/>
      </c>
      <c r="AR31" s="138">
        <f>IF(OR(NOT(ISNUMBER(AR$5)),N(Plano!$G28)=0,N(Plano!$L28)=0),"",IF(Plano!$L28+Plano!$G28*MAX(0,ROUNDUP((AR$5-Plano!$L28)/Plano!$G28,0))&lt;=IF(DAY(AR$5)&gt;=29,EOMONTH(AR$5,0),AR$5+6),"●",""))</f>
        <v/>
      </c>
      <c r="AS31" s="138">
        <f>IF(OR(NOT(ISNUMBER(AS$5)),N(Plano!$G28)=0,N(Plano!$L28)=0),"",IF(Plano!$L28+Plano!$G28*MAX(0,ROUNDUP((AS$5-Plano!$L28)/Plano!$G28,0))&lt;=IF(DAY(AS$5)&gt;=29,EOMONTH(AS$5,0),AS$5+6),"●",""))</f>
        <v/>
      </c>
      <c r="AT31" s="139">
        <f>IF(OR(NOT(ISNUMBER(AT$5)),N(Plano!$G28)=0,N(Plano!$L28)=0),"",IF(Plano!$L28+Plano!$G28*MAX(0,ROUNDUP((AT$5-Plano!$L28)/Plano!$G28,0))&lt;=IF(DAY(AT$5)&gt;=29,EOMONTH(AT$5,0),AT$5+6),"●",""))</f>
        <v/>
      </c>
      <c r="AU31" s="138">
        <f>IF(OR(NOT(ISNUMBER(AU$5)),N(Plano!$G28)=0,N(Plano!$L28)=0),"",IF(Plano!$L28+Plano!$G28*MAX(0,ROUNDUP((AU$5-Plano!$L28)/Plano!$G28,0))&lt;=IF(DAY(AU$5)&gt;=29,EOMONTH(AU$5,0),AU$5+6),"●",""))</f>
        <v/>
      </c>
      <c r="AV31" s="138">
        <f>IF(OR(NOT(ISNUMBER(AV$5)),N(Plano!$G28)=0,N(Plano!$L28)=0),"",IF(Plano!$L28+Plano!$G28*MAX(0,ROUNDUP((AV$5-Plano!$L28)/Plano!$G28,0))&lt;=IF(DAY(AV$5)&gt;=29,EOMONTH(AV$5,0),AV$5+6),"●",""))</f>
        <v/>
      </c>
      <c r="AW31" s="138">
        <f>IF(OR(NOT(ISNUMBER(AW$5)),N(Plano!$G28)=0,N(Plano!$L28)=0),"",IF(Plano!$L28+Plano!$G28*MAX(0,ROUNDUP((AW$5-Plano!$L28)/Plano!$G28,0))&lt;=IF(DAY(AW$5)&gt;=29,EOMONTH(AW$5,0),AW$5+6),"●",""))</f>
        <v/>
      </c>
      <c r="AX31" s="138">
        <f>IF(OR(NOT(ISNUMBER(AX$5)),N(Plano!$G28)=0,N(Plano!$L28)=0),"",IF(Plano!$L28+Plano!$G28*MAX(0,ROUNDUP((AX$5-Plano!$L28)/Plano!$G28,0))&lt;=IF(DAY(AX$5)&gt;=29,EOMONTH(AX$5,0),AX$5+6),"●",""))</f>
        <v/>
      </c>
      <c r="AY31" s="139">
        <f>IF(OR(NOT(ISNUMBER(AY$5)),N(Plano!$G28)=0,N(Plano!$L28)=0),"",IF(Plano!$L28+Plano!$G28*MAX(0,ROUNDUP((AY$5-Plano!$L28)/Plano!$G28,0))&lt;=IF(DAY(AY$5)&gt;=29,EOMONTH(AY$5,0),AY$5+6),"●",""))</f>
        <v/>
      </c>
      <c r="AZ31" s="138">
        <f>IF(OR(NOT(ISNUMBER(AZ$5)),N(Plano!$G28)=0,N(Plano!$L28)=0),"",IF(Plano!$L28+Plano!$G28*MAX(0,ROUNDUP((AZ$5-Plano!$L28)/Plano!$G28,0))&lt;=IF(DAY(AZ$5)&gt;=29,EOMONTH(AZ$5,0),AZ$5+6),"●",""))</f>
        <v/>
      </c>
      <c r="BA31" s="138">
        <f>IF(OR(NOT(ISNUMBER(BA$5)),N(Plano!$G28)=0,N(Plano!$L28)=0),"",IF(Plano!$L28+Plano!$G28*MAX(0,ROUNDUP((BA$5-Plano!$L28)/Plano!$G28,0))&lt;=IF(DAY(BA$5)&gt;=29,EOMONTH(BA$5,0),BA$5+6),"●",""))</f>
        <v/>
      </c>
      <c r="BB31" s="138">
        <f>IF(OR(NOT(ISNUMBER(BB$5)),N(Plano!$G28)=0,N(Plano!$L28)=0),"",IF(Plano!$L28+Plano!$G28*MAX(0,ROUNDUP((BB$5-Plano!$L28)/Plano!$G28,0))&lt;=IF(DAY(BB$5)&gt;=29,EOMONTH(BB$5,0),BB$5+6),"●",""))</f>
        <v/>
      </c>
      <c r="BC31" s="138">
        <f>IF(OR(NOT(ISNUMBER(BC$5)),N(Plano!$G28)=0,N(Plano!$L28)=0),"",IF(Plano!$L28+Plano!$G28*MAX(0,ROUNDUP((BC$5-Plano!$L28)/Plano!$G28,0))&lt;=IF(DAY(BC$5)&gt;=29,EOMONTH(BC$5,0),BC$5+6),"●",""))</f>
        <v/>
      </c>
      <c r="BD31" s="139">
        <f>IF(OR(NOT(ISNUMBER(BD$5)),N(Plano!$G28)=0,N(Plano!$L28)=0),"",IF(Plano!$L28+Plano!$G28*MAX(0,ROUNDUP((BD$5-Plano!$L28)/Plano!$G28,0))&lt;=IF(DAY(BD$5)&gt;=29,EOMONTH(BD$5,0),BD$5+6),"●",""))</f>
        <v/>
      </c>
      <c r="BE31" s="138">
        <f>IF(OR(NOT(ISNUMBER(BE$5)),N(Plano!$G28)=0,N(Plano!$L28)=0),"",IF(Plano!$L28+Plano!$G28*MAX(0,ROUNDUP((BE$5-Plano!$L28)/Plano!$G28,0))&lt;=IF(DAY(BE$5)&gt;=29,EOMONTH(BE$5,0),BE$5+6),"●",""))</f>
        <v/>
      </c>
      <c r="BF31" s="138">
        <f>IF(OR(NOT(ISNUMBER(BF$5)),N(Plano!$G28)=0,N(Plano!$L28)=0),"",IF(Plano!$L28+Plano!$G28*MAX(0,ROUNDUP((BF$5-Plano!$L28)/Plano!$G28,0))&lt;=IF(DAY(BF$5)&gt;=29,EOMONTH(BF$5,0),BF$5+6),"●",""))</f>
        <v/>
      </c>
      <c r="BG31" s="138">
        <f>IF(OR(NOT(ISNUMBER(BG$5)),N(Plano!$G28)=0,N(Plano!$L28)=0),"",IF(Plano!$L28+Plano!$G28*MAX(0,ROUNDUP((BG$5-Plano!$L28)/Plano!$G28,0))&lt;=IF(DAY(BG$5)&gt;=29,EOMONTH(BG$5,0),BG$5+6),"●",""))</f>
        <v/>
      </c>
      <c r="BH31" s="138">
        <f>IF(OR(NOT(ISNUMBER(BH$5)),N(Plano!$G28)=0,N(Plano!$L28)=0),"",IF(Plano!$L28+Plano!$G28*MAX(0,ROUNDUP((BH$5-Plano!$L28)/Plano!$G28,0))&lt;=IF(DAY(BH$5)&gt;=29,EOMONTH(BH$5,0),BH$5+6),"●",""))</f>
        <v/>
      </c>
      <c r="BI31" s="139">
        <f>IF(OR(NOT(ISNUMBER(BI$5)),N(Plano!$G28)=0,N(Plano!$L28)=0),"",IF(Plano!$L28+Plano!$G28*MAX(0,ROUNDUP((BI$5-Plano!$L28)/Plano!$G28,0))&lt;=IF(DAY(BI$5)&gt;=29,EOMONTH(BI$5,0),BI$5+6),"●",""))</f>
        <v/>
      </c>
      <c r="BJ31" s="138">
        <f>IF(OR(NOT(ISNUMBER(BJ$5)),N(Plano!$G28)=0,N(Plano!$L28)=0),"",IF(Plano!$L28+Plano!$G28*MAX(0,ROUNDUP((BJ$5-Plano!$L28)/Plano!$G28,0))&lt;=IF(DAY(BJ$5)&gt;=29,EOMONTH(BJ$5,0),BJ$5+6),"●",""))</f>
        <v/>
      </c>
      <c r="BK31" s="138">
        <f>IF(OR(NOT(ISNUMBER(BK$5)),N(Plano!$G28)=0,N(Plano!$L28)=0),"",IF(Plano!$L28+Plano!$G28*MAX(0,ROUNDUP((BK$5-Plano!$L28)/Plano!$G28,0))&lt;=IF(DAY(BK$5)&gt;=29,EOMONTH(BK$5,0),BK$5+6),"●",""))</f>
        <v/>
      </c>
      <c r="BL31" s="138">
        <f>IF(OR(NOT(ISNUMBER(BL$5)),N(Plano!$G28)=0,N(Plano!$L28)=0),"",IF(Plano!$L28+Plano!$G28*MAX(0,ROUNDUP((BL$5-Plano!$L28)/Plano!$G28,0))&lt;=IF(DAY(BL$5)&gt;=29,EOMONTH(BL$5,0),BL$5+6),"●",""))</f>
        <v/>
      </c>
      <c r="BM31" s="140">
        <f>IF(OR(NOT(ISNUMBER(BM$5)),N(Plano!$G28)=0,N(Plano!$L28)=0),"",IF(Plano!$L28+Plano!$G28*MAX(0,ROUNDUP((BM$5-Plano!$L28)/Plano!$G28,0))&lt;=IF(DAY(BM$5)&gt;=29,EOMONTH(BM$5,0),BM$5+6),"●",""))</f>
        <v/>
      </c>
    </row>
    <row r="32" ht="18" customHeight="1">
      <c r="A32" s="118">
        <f>Plano!A29</f>
        <v/>
      </c>
      <c r="B32" s="136">
        <f>IF(Plano!B29="","",Plano!B29)</f>
        <v/>
      </c>
      <c r="C32" s="70">
        <f>IF(B32="","",IFERROR(INDEX(tb_pcm_ativos[descricao_ativo],MATCH(B32,tb_pcm_ativos[tag],0)),"fora do cadastro"))</f>
        <v/>
      </c>
      <c r="D32" s="70">
        <f>IF(Plano!E29="","",Plano!E29)</f>
        <v/>
      </c>
      <c r="E32" s="137">
        <f>IF(Plano!G29="","",Plano!G29)</f>
        <v/>
      </c>
      <c r="F32" s="138">
        <f>IF(OR(NOT(ISNUMBER(F$5)),N(Plano!$G29)=0,N(Plano!$L29)=0),"",IF(Plano!$L29+Plano!$G29*MAX(0,ROUNDUP((F$5-Plano!$L29)/Plano!$G29,0))&lt;=IF(DAY(F$5)&gt;=29,EOMONTH(F$5,0),F$5+6),"●",""))</f>
        <v/>
      </c>
      <c r="G32" s="138">
        <f>IF(OR(NOT(ISNUMBER(G$5)),N(Plano!$G29)=0,N(Plano!$L29)=0),"",IF(Plano!$L29+Plano!$G29*MAX(0,ROUNDUP((G$5-Plano!$L29)/Plano!$G29,0))&lt;=IF(DAY(G$5)&gt;=29,EOMONTH(G$5,0),G$5+6),"●",""))</f>
        <v/>
      </c>
      <c r="H32" s="138">
        <f>IF(OR(NOT(ISNUMBER(H$5)),N(Plano!$G29)=0,N(Plano!$L29)=0),"",IF(Plano!$L29+Plano!$G29*MAX(0,ROUNDUP((H$5-Plano!$L29)/Plano!$G29,0))&lt;=IF(DAY(H$5)&gt;=29,EOMONTH(H$5,0),H$5+6),"●",""))</f>
        <v/>
      </c>
      <c r="I32" s="138">
        <f>IF(OR(NOT(ISNUMBER(I$5)),N(Plano!$G29)=0,N(Plano!$L29)=0),"",IF(Plano!$L29+Plano!$G29*MAX(0,ROUNDUP((I$5-Plano!$L29)/Plano!$G29,0))&lt;=IF(DAY(I$5)&gt;=29,EOMONTH(I$5,0),I$5+6),"●",""))</f>
        <v/>
      </c>
      <c r="J32" s="138">
        <f>IF(OR(NOT(ISNUMBER(J$5)),N(Plano!$G29)=0,N(Plano!$L29)=0),"",IF(Plano!$L29+Plano!$G29*MAX(0,ROUNDUP((J$5-Plano!$L29)/Plano!$G29,0))&lt;=IF(DAY(J$5)&gt;=29,EOMONTH(J$5,0),J$5+6),"●",""))</f>
        <v/>
      </c>
      <c r="K32" s="139">
        <f>IF(OR(NOT(ISNUMBER(K$5)),N(Plano!$G29)=0,N(Plano!$L29)=0),"",IF(Plano!$L29+Plano!$G29*MAX(0,ROUNDUP((K$5-Plano!$L29)/Plano!$G29,0))&lt;=IF(DAY(K$5)&gt;=29,EOMONTH(K$5,0),K$5+6),"●",""))</f>
        <v/>
      </c>
      <c r="L32" s="138">
        <f>IF(OR(NOT(ISNUMBER(L$5)),N(Plano!$G29)=0,N(Plano!$L29)=0),"",IF(Plano!$L29+Plano!$G29*MAX(0,ROUNDUP((L$5-Plano!$L29)/Plano!$G29,0))&lt;=IF(DAY(L$5)&gt;=29,EOMONTH(L$5,0),L$5+6),"●",""))</f>
        <v/>
      </c>
      <c r="M32" s="138">
        <f>IF(OR(NOT(ISNUMBER(M$5)),N(Plano!$G29)=0,N(Plano!$L29)=0),"",IF(Plano!$L29+Plano!$G29*MAX(0,ROUNDUP((M$5-Plano!$L29)/Plano!$G29,0))&lt;=IF(DAY(M$5)&gt;=29,EOMONTH(M$5,0),M$5+6),"●",""))</f>
        <v/>
      </c>
      <c r="N32" s="138">
        <f>IF(OR(NOT(ISNUMBER(N$5)),N(Plano!$G29)=0,N(Plano!$L29)=0),"",IF(Plano!$L29+Plano!$G29*MAX(0,ROUNDUP((N$5-Plano!$L29)/Plano!$G29,0))&lt;=IF(DAY(N$5)&gt;=29,EOMONTH(N$5,0),N$5+6),"●",""))</f>
        <v/>
      </c>
      <c r="O32" s="138">
        <f>IF(OR(NOT(ISNUMBER(O$5)),N(Plano!$G29)=0,N(Plano!$L29)=0),"",IF(Plano!$L29+Plano!$G29*MAX(0,ROUNDUP((O$5-Plano!$L29)/Plano!$G29,0))&lt;=IF(DAY(O$5)&gt;=29,EOMONTH(O$5,0),O$5+6),"●",""))</f>
        <v/>
      </c>
      <c r="P32" s="139">
        <f>IF(OR(NOT(ISNUMBER(P$5)),N(Plano!$G29)=0,N(Plano!$L29)=0),"",IF(Plano!$L29+Plano!$G29*MAX(0,ROUNDUP((P$5-Plano!$L29)/Plano!$G29,0))&lt;=IF(DAY(P$5)&gt;=29,EOMONTH(P$5,0),P$5+6),"●",""))</f>
        <v/>
      </c>
      <c r="Q32" s="138">
        <f>IF(OR(NOT(ISNUMBER(Q$5)),N(Plano!$G29)=0,N(Plano!$L29)=0),"",IF(Plano!$L29+Plano!$G29*MAX(0,ROUNDUP((Q$5-Plano!$L29)/Plano!$G29,0))&lt;=IF(DAY(Q$5)&gt;=29,EOMONTH(Q$5,0),Q$5+6),"●",""))</f>
        <v/>
      </c>
      <c r="R32" s="138">
        <f>IF(OR(NOT(ISNUMBER(R$5)),N(Plano!$G29)=0,N(Plano!$L29)=0),"",IF(Plano!$L29+Plano!$G29*MAX(0,ROUNDUP((R$5-Plano!$L29)/Plano!$G29,0))&lt;=IF(DAY(R$5)&gt;=29,EOMONTH(R$5,0),R$5+6),"●",""))</f>
        <v/>
      </c>
      <c r="S32" s="138">
        <f>IF(OR(NOT(ISNUMBER(S$5)),N(Plano!$G29)=0,N(Plano!$L29)=0),"",IF(Plano!$L29+Plano!$G29*MAX(0,ROUNDUP((S$5-Plano!$L29)/Plano!$G29,0))&lt;=IF(DAY(S$5)&gt;=29,EOMONTH(S$5,0),S$5+6),"●",""))</f>
        <v/>
      </c>
      <c r="T32" s="138">
        <f>IF(OR(NOT(ISNUMBER(T$5)),N(Plano!$G29)=0,N(Plano!$L29)=0),"",IF(Plano!$L29+Plano!$G29*MAX(0,ROUNDUP((T$5-Plano!$L29)/Plano!$G29,0))&lt;=IF(DAY(T$5)&gt;=29,EOMONTH(T$5,0),T$5+6),"●",""))</f>
        <v/>
      </c>
      <c r="U32" s="139">
        <f>IF(OR(NOT(ISNUMBER(U$5)),N(Plano!$G29)=0,N(Plano!$L29)=0),"",IF(Plano!$L29+Plano!$G29*MAX(0,ROUNDUP((U$5-Plano!$L29)/Plano!$G29,0))&lt;=IF(DAY(U$5)&gt;=29,EOMONTH(U$5,0),U$5+6),"●",""))</f>
        <v/>
      </c>
      <c r="V32" s="138">
        <f>IF(OR(NOT(ISNUMBER(V$5)),N(Plano!$G29)=0,N(Plano!$L29)=0),"",IF(Plano!$L29+Plano!$G29*MAX(0,ROUNDUP((V$5-Plano!$L29)/Plano!$G29,0))&lt;=IF(DAY(V$5)&gt;=29,EOMONTH(V$5,0),V$5+6),"●",""))</f>
        <v/>
      </c>
      <c r="W32" s="138">
        <f>IF(OR(NOT(ISNUMBER(W$5)),N(Plano!$G29)=0,N(Plano!$L29)=0),"",IF(Plano!$L29+Plano!$G29*MAX(0,ROUNDUP((W$5-Plano!$L29)/Plano!$G29,0))&lt;=IF(DAY(W$5)&gt;=29,EOMONTH(W$5,0),W$5+6),"●",""))</f>
        <v/>
      </c>
      <c r="X32" s="138">
        <f>IF(OR(NOT(ISNUMBER(X$5)),N(Plano!$G29)=0,N(Plano!$L29)=0),"",IF(Plano!$L29+Plano!$G29*MAX(0,ROUNDUP((X$5-Plano!$L29)/Plano!$G29,0))&lt;=IF(DAY(X$5)&gt;=29,EOMONTH(X$5,0),X$5+6),"●",""))</f>
        <v/>
      </c>
      <c r="Y32" s="138">
        <f>IF(OR(NOT(ISNUMBER(Y$5)),N(Plano!$G29)=0,N(Plano!$L29)=0),"",IF(Plano!$L29+Plano!$G29*MAX(0,ROUNDUP((Y$5-Plano!$L29)/Plano!$G29,0))&lt;=IF(DAY(Y$5)&gt;=29,EOMONTH(Y$5,0),Y$5+6),"●",""))</f>
        <v/>
      </c>
      <c r="Z32" s="139">
        <f>IF(OR(NOT(ISNUMBER(Z$5)),N(Plano!$G29)=0,N(Plano!$L29)=0),"",IF(Plano!$L29+Plano!$G29*MAX(0,ROUNDUP((Z$5-Plano!$L29)/Plano!$G29,0))&lt;=IF(DAY(Z$5)&gt;=29,EOMONTH(Z$5,0),Z$5+6),"●",""))</f>
        <v/>
      </c>
      <c r="AA32" s="138">
        <f>IF(OR(NOT(ISNUMBER(AA$5)),N(Plano!$G29)=0,N(Plano!$L29)=0),"",IF(Plano!$L29+Plano!$G29*MAX(0,ROUNDUP((AA$5-Plano!$L29)/Plano!$G29,0))&lt;=IF(DAY(AA$5)&gt;=29,EOMONTH(AA$5,0),AA$5+6),"●",""))</f>
        <v/>
      </c>
      <c r="AB32" s="138">
        <f>IF(OR(NOT(ISNUMBER(AB$5)),N(Plano!$G29)=0,N(Plano!$L29)=0),"",IF(Plano!$L29+Plano!$G29*MAX(0,ROUNDUP((AB$5-Plano!$L29)/Plano!$G29,0))&lt;=IF(DAY(AB$5)&gt;=29,EOMONTH(AB$5,0),AB$5+6),"●",""))</f>
        <v/>
      </c>
      <c r="AC32" s="138">
        <f>IF(OR(NOT(ISNUMBER(AC$5)),N(Plano!$G29)=0,N(Plano!$L29)=0),"",IF(Plano!$L29+Plano!$G29*MAX(0,ROUNDUP((AC$5-Plano!$L29)/Plano!$G29,0))&lt;=IF(DAY(AC$5)&gt;=29,EOMONTH(AC$5,0),AC$5+6),"●",""))</f>
        <v/>
      </c>
      <c r="AD32" s="138">
        <f>IF(OR(NOT(ISNUMBER(AD$5)),N(Plano!$G29)=0,N(Plano!$L29)=0),"",IF(Plano!$L29+Plano!$G29*MAX(0,ROUNDUP((AD$5-Plano!$L29)/Plano!$G29,0))&lt;=IF(DAY(AD$5)&gt;=29,EOMONTH(AD$5,0),AD$5+6),"●",""))</f>
        <v/>
      </c>
      <c r="AE32" s="139">
        <f>IF(OR(NOT(ISNUMBER(AE$5)),N(Plano!$G29)=0,N(Plano!$L29)=0),"",IF(Plano!$L29+Plano!$G29*MAX(0,ROUNDUP((AE$5-Plano!$L29)/Plano!$G29,0))&lt;=IF(DAY(AE$5)&gt;=29,EOMONTH(AE$5,0),AE$5+6),"●",""))</f>
        <v/>
      </c>
      <c r="AF32" s="138">
        <f>IF(OR(NOT(ISNUMBER(AF$5)),N(Plano!$G29)=0,N(Plano!$L29)=0),"",IF(Plano!$L29+Plano!$G29*MAX(0,ROUNDUP((AF$5-Plano!$L29)/Plano!$G29,0))&lt;=IF(DAY(AF$5)&gt;=29,EOMONTH(AF$5,0),AF$5+6),"●",""))</f>
        <v/>
      </c>
      <c r="AG32" s="138">
        <f>IF(OR(NOT(ISNUMBER(AG$5)),N(Plano!$G29)=0,N(Plano!$L29)=0),"",IF(Plano!$L29+Plano!$G29*MAX(0,ROUNDUP((AG$5-Plano!$L29)/Plano!$G29,0))&lt;=IF(DAY(AG$5)&gt;=29,EOMONTH(AG$5,0),AG$5+6),"●",""))</f>
        <v/>
      </c>
      <c r="AH32" s="138">
        <f>IF(OR(NOT(ISNUMBER(AH$5)),N(Plano!$G29)=0,N(Plano!$L29)=0),"",IF(Plano!$L29+Plano!$G29*MAX(0,ROUNDUP((AH$5-Plano!$L29)/Plano!$G29,0))&lt;=IF(DAY(AH$5)&gt;=29,EOMONTH(AH$5,0),AH$5+6),"●",""))</f>
        <v/>
      </c>
      <c r="AI32" s="138">
        <f>IF(OR(NOT(ISNUMBER(AI$5)),N(Plano!$G29)=0,N(Plano!$L29)=0),"",IF(Plano!$L29+Plano!$G29*MAX(0,ROUNDUP((AI$5-Plano!$L29)/Plano!$G29,0))&lt;=IF(DAY(AI$5)&gt;=29,EOMONTH(AI$5,0),AI$5+6),"●",""))</f>
        <v/>
      </c>
      <c r="AJ32" s="139">
        <f>IF(OR(NOT(ISNUMBER(AJ$5)),N(Plano!$G29)=0,N(Plano!$L29)=0),"",IF(Plano!$L29+Plano!$G29*MAX(0,ROUNDUP((AJ$5-Plano!$L29)/Plano!$G29,0))&lt;=IF(DAY(AJ$5)&gt;=29,EOMONTH(AJ$5,0),AJ$5+6),"●",""))</f>
        <v/>
      </c>
      <c r="AK32" s="138">
        <f>IF(OR(NOT(ISNUMBER(AK$5)),N(Plano!$G29)=0,N(Plano!$L29)=0),"",IF(Plano!$L29+Plano!$G29*MAX(0,ROUNDUP((AK$5-Plano!$L29)/Plano!$G29,0))&lt;=IF(DAY(AK$5)&gt;=29,EOMONTH(AK$5,0),AK$5+6),"●",""))</f>
        <v/>
      </c>
      <c r="AL32" s="138">
        <f>IF(OR(NOT(ISNUMBER(AL$5)),N(Plano!$G29)=0,N(Plano!$L29)=0),"",IF(Plano!$L29+Plano!$G29*MAX(0,ROUNDUP((AL$5-Plano!$L29)/Plano!$G29,0))&lt;=IF(DAY(AL$5)&gt;=29,EOMONTH(AL$5,0),AL$5+6),"●",""))</f>
        <v/>
      </c>
      <c r="AM32" s="138">
        <f>IF(OR(NOT(ISNUMBER(AM$5)),N(Plano!$G29)=0,N(Plano!$L29)=0),"",IF(Plano!$L29+Plano!$G29*MAX(0,ROUNDUP((AM$5-Plano!$L29)/Plano!$G29,0))&lt;=IF(DAY(AM$5)&gt;=29,EOMONTH(AM$5,0),AM$5+6),"●",""))</f>
        <v/>
      </c>
      <c r="AN32" s="138">
        <f>IF(OR(NOT(ISNUMBER(AN$5)),N(Plano!$G29)=0,N(Plano!$L29)=0),"",IF(Plano!$L29+Plano!$G29*MAX(0,ROUNDUP((AN$5-Plano!$L29)/Plano!$G29,0))&lt;=IF(DAY(AN$5)&gt;=29,EOMONTH(AN$5,0),AN$5+6),"●",""))</f>
        <v/>
      </c>
      <c r="AO32" s="139">
        <f>IF(OR(NOT(ISNUMBER(AO$5)),N(Plano!$G29)=0,N(Plano!$L29)=0),"",IF(Plano!$L29+Plano!$G29*MAX(0,ROUNDUP((AO$5-Plano!$L29)/Plano!$G29,0))&lt;=IF(DAY(AO$5)&gt;=29,EOMONTH(AO$5,0),AO$5+6),"●",""))</f>
        <v/>
      </c>
      <c r="AP32" s="138">
        <f>IF(OR(NOT(ISNUMBER(AP$5)),N(Plano!$G29)=0,N(Plano!$L29)=0),"",IF(Plano!$L29+Plano!$G29*MAX(0,ROUNDUP((AP$5-Plano!$L29)/Plano!$G29,0))&lt;=IF(DAY(AP$5)&gt;=29,EOMONTH(AP$5,0),AP$5+6),"●",""))</f>
        <v/>
      </c>
      <c r="AQ32" s="138">
        <f>IF(OR(NOT(ISNUMBER(AQ$5)),N(Plano!$G29)=0,N(Plano!$L29)=0),"",IF(Plano!$L29+Plano!$G29*MAX(0,ROUNDUP((AQ$5-Plano!$L29)/Plano!$G29,0))&lt;=IF(DAY(AQ$5)&gt;=29,EOMONTH(AQ$5,0),AQ$5+6),"●",""))</f>
        <v/>
      </c>
      <c r="AR32" s="138">
        <f>IF(OR(NOT(ISNUMBER(AR$5)),N(Plano!$G29)=0,N(Plano!$L29)=0),"",IF(Plano!$L29+Plano!$G29*MAX(0,ROUNDUP((AR$5-Plano!$L29)/Plano!$G29,0))&lt;=IF(DAY(AR$5)&gt;=29,EOMONTH(AR$5,0),AR$5+6),"●",""))</f>
        <v/>
      </c>
      <c r="AS32" s="138">
        <f>IF(OR(NOT(ISNUMBER(AS$5)),N(Plano!$G29)=0,N(Plano!$L29)=0),"",IF(Plano!$L29+Plano!$G29*MAX(0,ROUNDUP((AS$5-Plano!$L29)/Plano!$G29,0))&lt;=IF(DAY(AS$5)&gt;=29,EOMONTH(AS$5,0),AS$5+6),"●",""))</f>
        <v/>
      </c>
      <c r="AT32" s="139">
        <f>IF(OR(NOT(ISNUMBER(AT$5)),N(Plano!$G29)=0,N(Plano!$L29)=0),"",IF(Plano!$L29+Plano!$G29*MAX(0,ROUNDUP((AT$5-Plano!$L29)/Plano!$G29,0))&lt;=IF(DAY(AT$5)&gt;=29,EOMONTH(AT$5,0),AT$5+6),"●",""))</f>
        <v/>
      </c>
      <c r="AU32" s="138">
        <f>IF(OR(NOT(ISNUMBER(AU$5)),N(Plano!$G29)=0,N(Plano!$L29)=0),"",IF(Plano!$L29+Plano!$G29*MAX(0,ROUNDUP((AU$5-Plano!$L29)/Plano!$G29,0))&lt;=IF(DAY(AU$5)&gt;=29,EOMONTH(AU$5,0),AU$5+6),"●",""))</f>
        <v/>
      </c>
      <c r="AV32" s="138">
        <f>IF(OR(NOT(ISNUMBER(AV$5)),N(Plano!$G29)=0,N(Plano!$L29)=0),"",IF(Plano!$L29+Plano!$G29*MAX(0,ROUNDUP((AV$5-Plano!$L29)/Plano!$G29,0))&lt;=IF(DAY(AV$5)&gt;=29,EOMONTH(AV$5,0),AV$5+6),"●",""))</f>
        <v/>
      </c>
      <c r="AW32" s="138">
        <f>IF(OR(NOT(ISNUMBER(AW$5)),N(Plano!$G29)=0,N(Plano!$L29)=0),"",IF(Plano!$L29+Plano!$G29*MAX(0,ROUNDUP((AW$5-Plano!$L29)/Plano!$G29,0))&lt;=IF(DAY(AW$5)&gt;=29,EOMONTH(AW$5,0),AW$5+6),"●",""))</f>
        <v/>
      </c>
      <c r="AX32" s="138">
        <f>IF(OR(NOT(ISNUMBER(AX$5)),N(Plano!$G29)=0,N(Plano!$L29)=0),"",IF(Plano!$L29+Plano!$G29*MAX(0,ROUNDUP((AX$5-Plano!$L29)/Plano!$G29,0))&lt;=IF(DAY(AX$5)&gt;=29,EOMONTH(AX$5,0),AX$5+6),"●",""))</f>
        <v/>
      </c>
      <c r="AY32" s="139">
        <f>IF(OR(NOT(ISNUMBER(AY$5)),N(Plano!$G29)=0,N(Plano!$L29)=0),"",IF(Plano!$L29+Plano!$G29*MAX(0,ROUNDUP((AY$5-Plano!$L29)/Plano!$G29,0))&lt;=IF(DAY(AY$5)&gt;=29,EOMONTH(AY$5,0),AY$5+6),"●",""))</f>
        <v/>
      </c>
      <c r="AZ32" s="138">
        <f>IF(OR(NOT(ISNUMBER(AZ$5)),N(Plano!$G29)=0,N(Plano!$L29)=0),"",IF(Plano!$L29+Plano!$G29*MAX(0,ROUNDUP((AZ$5-Plano!$L29)/Plano!$G29,0))&lt;=IF(DAY(AZ$5)&gt;=29,EOMONTH(AZ$5,0),AZ$5+6),"●",""))</f>
        <v/>
      </c>
      <c r="BA32" s="138">
        <f>IF(OR(NOT(ISNUMBER(BA$5)),N(Plano!$G29)=0,N(Plano!$L29)=0),"",IF(Plano!$L29+Plano!$G29*MAX(0,ROUNDUP((BA$5-Plano!$L29)/Plano!$G29,0))&lt;=IF(DAY(BA$5)&gt;=29,EOMONTH(BA$5,0),BA$5+6),"●",""))</f>
        <v/>
      </c>
      <c r="BB32" s="138">
        <f>IF(OR(NOT(ISNUMBER(BB$5)),N(Plano!$G29)=0,N(Plano!$L29)=0),"",IF(Plano!$L29+Plano!$G29*MAX(0,ROUNDUP((BB$5-Plano!$L29)/Plano!$G29,0))&lt;=IF(DAY(BB$5)&gt;=29,EOMONTH(BB$5,0),BB$5+6),"●",""))</f>
        <v/>
      </c>
      <c r="BC32" s="138">
        <f>IF(OR(NOT(ISNUMBER(BC$5)),N(Plano!$G29)=0,N(Plano!$L29)=0),"",IF(Plano!$L29+Plano!$G29*MAX(0,ROUNDUP((BC$5-Plano!$L29)/Plano!$G29,0))&lt;=IF(DAY(BC$5)&gt;=29,EOMONTH(BC$5,0),BC$5+6),"●",""))</f>
        <v/>
      </c>
      <c r="BD32" s="139">
        <f>IF(OR(NOT(ISNUMBER(BD$5)),N(Plano!$G29)=0,N(Plano!$L29)=0),"",IF(Plano!$L29+Plano!$G29*MAX(0,ROUNDUP((BD$5-Plano!$L29)/Plano!$G29,0))&lt;=IF(DAY(BD$5)&gt;=29,EOMONTH(BD$5,0),BD$5+6),"●",""))</f>
        <v/>
      </c>
      <c r="BE32" s="138">
        <f>IF(OR(NOT(ISNUMBER(BE$5)),N(Plano!$G29)=0,N(Plano!$L29)=0),"",IF(Plano!$L29+Plano!$G29*MAX(0,ROUNDUP((BE$5-Plano!$L29)/Plano!$G29,0))&lt;=IF(DAY(BE$5)&gt;=29,EOMONTH(BE$5,0),BE$5+6),"●",""))</f>
        <v/>
      </c>
      <c r="BF32" s="138">
        <f>IF(OR(NOT(ISNUMBER(BF$5)),N(Plano!$G29)=0,N(Plano!$L29)=0),"",IF(Plano!$L29+Plano!$G29*MAX(0,ROUNDUP((BF$5-Plano!$L29)/Plano!$G29,0))&lt;=IF(DAY(BF$5)&gt;=29,EOMONTH(BF$5,0),BF$5+6),"●",""))</f>
        <v/>
      </c>
      <c r="BG32" s="138">
        <f>IF(OR(NOT(ISNUMBER(BG$5)),N(Plano!$G29)=0,N(Plano!$L29)=0),"",IF(Plano!$L29+Plano!$G29*MAX(0,ROUNDUP((BG$5-Plano!$L29)/Plano!$G29,0))&lt;=IF(DAY(BG$5)&gt;=29,EOMONTH(BG$5,0),BG$5+6),"●",""))</f>
        <v/>
      </c>
      <c r="BH32" s="138">
        <f>IF(OR(NOT(ISNUMBER(BH$5)),N(Plano!$G29)=0,N(Plano!$L29)=0),"",IF(Plano!$L29+Plano!$G29*MAX(0,ROUNDUP((BH$5-Plano!$L29)/Plano!$G29,0))&lt;=IF(DAY(BH$5)&gt;=29,EOMONTH(BH$5,0),BH$5+6),"●",""))</f>
        <v/>
      </c>
      <c r="BI32" s="139">
        <f>IF(OR(NOT(ISNUMBER(BI$5)),N(Plano!$G29)=0,N(Plano!$L29)=0),"",IF(Plano!$L29+Plano!$G29*MAX(0,ROUNDUP((BI$5-Plano!$L29)/Plano!$G29,0))&lt;=IF(DAY(BI$5)&gt;=29,EOMONTH(BI$5,0),BI$5+6),"●",""))</f>
        <v/>
      </c>
      <c r="BJ32" s="138">
        <f>IF(OR(NOT(ISNUMBER(BJ$5)),N(Plano!$G29)=0,N(Plano!$L29)=0),"",IF(Plano!$L29+Plano!$G29*MAX(0,ROUNDUP((BJ$5-Plano!$L29)/Plano!$G29,0))&lt;=IF(DAY(BJ$5)&gt;=29,EOMONTH(BJ$5,0),BJ$5+6),"●",""))</f>
        <v/>
      </c>
      <c r="BK32" s="138">
        <f>IF(OR(NOT(ISNUMBER(BK$5)),N(Plano!$G29)=0,N(Plano!$L29)=0),"",IF(Plano!$L29+Plano!$G29*MAX(0,ROUNDUP((BK$5-Plano!$L29)/Plano!$G29,0))&lt;=IF(DAY(BK$5)&gt;=29,EOMONTH(BK$5,0),BK$5+6),"●",""))</f>
        <v/>
      </c>
      <c r="BL32" s="138">
        <f>IF(OR(NOT(ISNUMBER(BL$5)),N(Plano!$G29)=0,N(Plano!$L29)=0),"",IF(Plano!$L29+Plano!$G29*MAX(0,ROUNDUP((BL$5-Plano!$L29)/Plano!$G29,0))&lt;=IF(DAY(BL$5)&gt;=29,EOMONTH(BL$5,0),BL$5+6),"●",""))</f>
        <v/>
      </c>
      <c r="BM32" s="140">
        <f>IF(OR(NOT(ISNUMBER(BM$5)),N(Plano!$G29)=0,N(Plano!$L29)=0),"",IF(Plano!$L29+Plano!$G29*MAX(0,ROUNDUP((BM$5-Plano!$L29)/Plano!$G29,0))&lt;=IF(DAY(BM$5)&gt;=29,EOMONTH(BM$5,0),BM$5+6),"●",""))</f>
        <v/>
      </c>
    </row>
    <row r="33" ht="18" customHeight="1">
      <c r="A33" s="118">
        <f>Plano!A30</f>
        <v/>
      </c>
      <c r="B33" s="136">
        <f>IF(Plano!B30="","",Plano!B30)</f>
        <v/>
      </c>
      <c r="C33" s="70">
        <f>IF(B33="","",IFERROR(INDEX(tb_pcm_ativos[descricao_ativo],MATCH(B33,tb_pcm_ativos[tag],0)),"fora do cadastro"))</f>
        <v/>
      </c>
      <c r="D33" s="70">
        <f>IF(Plano!E30="","",Plano!E30)</f>
        <v/>
      </c>
      <c r="E33" s="137">
        <f>IF(Plano!G30="","",Plano!G30)</f>
        <v/>
      </c>
      <c r="F33" s="138">
        <f>IF(OR(NOT(ISNUMBER(F$5)),N(Plano!$G30)=0,N(Plano!$L30)=0),"",IF(Plano!$L30+Plano!$G30*MAX(0,ROUNDUP((F$5-Plano!$L30)/Plano!$G30,0))&lt;=IF(DAY(F$5)&gt;=29,EOMONTH(F$5,0),F$5+6),"●",""))</f>
        <v/>
      </c>
      <c r="G33" s="138">
        <f>IF(OR(NOT(ISNUMBER(G$5)),N(Plano!$G30)=0,N(Plano!$L30)=0),"",IF(Plano!$L30+Plano!$G30*MAX(0,ROUNDUP((G$5-Plano!$L30)/Plano!$G30,0))&lt;=IF(DAY(G$5)&gt;=29,EOMONTH(G$5,0),G$5+6),"●",""))</f>
        <v/>
      </c>
      <c r="H33" s="138">
        <f>IF(OR(NOT(ISNUMBER(H$5)),N(Plano!$G30)=0,N(Plano!$L30)=0),"",IF(Plano!$L30+Plano!$G30*MAX(0,ROUNDUP((H$5-Plano!$L30)/Plano!$G30,0))&lt;=IF(DAY(H$5)&gt;=29,EOMONTH(H$5,0),H$5+6),"●",""))</f>
        <v/>
      </c>
      <c r="I33" s="138">
        <f>IF(OR(NOT(ISNUMBER(I$5)),N(Plano!$G30)=0,N(Plano!$L30)=0),"",IF(Plano!$L30+Plano!$G30*MAX(0,ROUNDUP((I$5-Plano!$L30)/Plano!$G30,0))&lt;=IF(DAY(I$5)&gt;=29,EOMONTH(I$5,0),I$5+6),"●",""))</f>
        <v/>
      </c>
      <c r="J33" s="138">
        <f>IF(OR(NOT(ISNUMBER(J$5)),N(Plano!$G30)=0,N(Plano!$L30)=0),"",IF(Plano!$L30+Plano!$G30*MAX(0,ROUNDUP((J$5-Plano!$L30)/Plano!$G30,0))&lt;=IF(DAY(J$5)&gt;=29,EOMONTH(J$5,0),J$5+6),"●",""))</f>
        <v/>
      </c>
      <c r="K33" s="139">
        <f>IF(OR(NOT(ISNUMBER(K$5)),N(Plano!$G30)=0,N(Plano!$L30)=0),"",IF(Plano!$L30+Plano!$G30*MAX(0,ROUNDUP((K$5-Plano!$L30)/Plano!$G30,0))&lt;=IF(DAY(K$5)&gt;=29,EOMONTH(K$5,0),K$5+6),"●",""))</f>
        <v/>
      </c>
      <c r="L33" s="138">
        <f>IF(OR(NOT(ISNUMBER(L$5)),N(Plano!$G30)=0,N(Plano!$L30)=0),"",IF(Plano!$L30+Plano!$G30*MAX(0,ROUNDUP((L$5-Plano!$L30)/Plano!$G30,0))&lt;=IF(DAY(L$5)&gt;=29,EOMONTH(L$5,0),L$5+6),"●",""))</f>
        <v/>
      </c>
      <c r="M33" s="138">
        <f>IF(OR(NOT(ISNUMBER(M$5)),N(Plano!$G30)=0,N(Plano!$L30)=0),"",IF(Plano!$L30+Plano!$G30*MAX(0,ROUNDUP((M$5-Plano!$L30)/Plano!$G30,0))&lt;=IF(DAY(M$5)&gt;=29,EOMONTH(M$5,0),M$5+6),"●",""))</f>
        <v/>
      </c>
      <c r="N33" s="138">
        <f>IF(OR(NOT(ISNUMBER(N$5)),N(Plano!$G30)=0,N(Plano!$L30)=0),"",IF(Plano!$L30+Plano!$G30*MAX(0,ROUNDUP((N$5-Plano!$L30)/Plano!$G30,0))&lt;=IF(DAY(N$5)&gt;=29,EOMONTH(N$5,0),N$5+6),"●",""))</f>
        <v/>
      </c>
      <c r="O33" s="138">
        <f>IF(OR(NOT(ISNUMBER(O$5)),N(Plano!$G30)=0,N(Plano!$L30)=0),"",IF(Plano!$L30+Plano!$G30*MAX(0,ROUNDUP((O$5-Plano!$L30)/Plano!$G30,0))&lt;=IF(DAY(O$5)&gt;=29,EOMONTH(O$5,0),O$5+6),"●",""))</f>
        <v/>
      </c>
      <c r="P33" s="139">
        <f>IF(OR(NOT(ISNUMBER(P$5)),N(Plano!$G30)=0,N(Plano!$L30)=0),"",IF(Plano!$L30+Plano!$G30*MAX(0,ROUNDUP((P$5-Plano!$L30)/Plano!$G30,0))&lt;=IF(DAY(P$5)&gt;=29,EOMONTH(P$5,0),P$5+6),"●",""))</f>
        <v/>
      </c>
      <c r="Q33" s="138">
        <f>IF(OR(NOT(ISNUMBER(Q$5)),N(Plano!$G30)=0,N(Plano!$L30)=0),"",IF(Plano!$L30+Plano!$G30*MAX(0,ROUNDUP((Q$5-Plano!$L30)/Plano!$G30,0))&lt;=IF(DAY(Q$5)&gt;=29,EOMONTH(Q$5,0),Q$5+6),"●",""))</f>
        <v/>
      </c>
      <c r="R33" s="138">
        <f>IF(OR(NOT(ISNUMBER(R$5)),N(Plano!$G30)=0,N(Plano!$L30)=0),"",IF(Plano!$L30+Plano!$G30*MAX(0,ROUNDUP((R$5-Plano!$L30)/Plano!$G30,0))&lt;=IF(DAY(R$5)&gt;=29,EOMONTH(R$5,0),R$5+6),"●",""))</f>
        <v/>
      </c>
      <c r="S33" s="138">
        <f>IF(OR(NOT(ISNUMBER(S$5)),N(Plano!$G30)=0,N(Plano!$L30)=0),"",IF(Plano!$L30+Plano!$G30*MAX(0,ROUNDUP((S$5-Plano!$L30)/Plano!$G30,0))&lt;=IF(DAY(S$5)&gt;=29,EOMONTH(S$5,0),S$5+6),"●",""))</f>
        <v/>
      </c>
      <c r="T33" s="138">
        <f>IF(OR(NOT(ISNUMBER(T$5)),N(Plano!$G30)=0,N(Plano!$L30)=0),"",IF(Plano!$L30+Plano!$G30*MAX(0,ROUNDUP((T$5-Plano!$L30)/Plano!$G30,0))&lt;=IF(DAY(T$5)&gt;=29,EOMONTH(T$5,0),T$5+6),"●",""))</f>
        <v/>
      </c>
      <c r="U33" s="139">
        <f>IF(OR(NOT(ISNUMBER(U$5)),N(Plano!$G30)=0,N(Plano!$L30)=0),"",IF(Plano!$L30+Plano!$G30*MAX(0,ROUNDUP((U$5-Plano!$L30)/Plano!$G30,0))&lt;=IF(DAY(U$5)&gt;=29,EOMONTH(U$5,0),U$5+6),"●",""))</f>
        <v/>
      </c>
      <c r="V33" s="138">
        <f>IF(OR(NOT(ISNUMBER(V$5)),N(Plano!$G30)=0,N(Plano!$L30)=0),"",IF(Plano!$L30+Plano!$G30*MAX(0,ROUNDUP((V$5-Plano!$L30)/Plano!$G30,0))&lt;=IF(DAY(V$5)&gt;=29,EOMONTH(V$5,0),V$5+6),"●",""))</f>
        <v/>
      </c>
      <c r="W33" s="138">
        <f>IF(OR(NOT(ISNUMBER(W$5)),N(Plano!$G30)=0,N(Plano!$L30)=0),"",IF(Plano!$L30+Plano!$G30*MAX(0,ROUNDUP((W$5-Plano!$L30)/Plano!$G30,0))&lt;=IF(DAY(W$5)&gt;=29,EOMONTH(W$5,0),W$5+6),"●",""))</f>
        <v/>
      </c>
      <c r="X33" s="138">
        <f>IF(OR(NOT(ISNUMBER(X$5)),N(Plano!$G30)=0,N(Plano!$L30)=0),"",IF(Plano!$L30+Plano!$G30*MAX(0,ROUNDUP((X$5-Plano!$L30)/Plano!$G30,0))&lt;=IF(DAY(X$5)&gt;=29,EOMONTH(X$5,0),X$5+6),"●",""))</f>
        <v/>
      </c>
      <c r="Y33" s="138">
        <f>IF(OR(NOT(ISNUMBER(Y$5)),N(Plano!$G30)=0,N(Plano!$L30)=0),"",IF(Plano!$L30+Plano!$G30*MAX(0,ROUNDUP((Y$5-Plano!$L30)/Plano!$G30,0))&lt;=IF(DAY(Y$5)&gt;=29,EOMONTH(Y$5,0),Y$5+6),"●",""))</f>
        <v/>
      </c>
      <c r="Z33" s="139">
        <f>IF(OR(NOT(ISNUMBER(Z$5)),N(Plano!$G30)=0,N(Plano!$L30)=0),"",IF(Plano!$L30+Plano!$G30*MAX(0,ROUNDUP((Z$5-Plano!$L30)/Plano!$G30,0))&lt;=IF(DAY(Z$5)&gt;=29,EOMONTH(Z$5,0),Z$5+6),"●",""))</f>
        <v/>
      </c>
      <c r="AA33" s="138">
        <f>IF(OR(NOT(ISNUMBER(AA$5)),N(Plano!$G30)=0,N(Plano!$L30)=0),"",IF(Plano!$L30+Plano!$G30*MAX(0,ROUNDUP((AA$5-Plano!$L30)/Plano!$G30,0))&lt;=IF(DAY(AA$5)&gt;=29,EOMONTH(AA$5,0),AA$5+6),"●",""))</f>
        <v/>
      </c>
      <c r="AB33" s="138">
        <f>IF(OR(NOT(ISNUMBER(AB$5)),N(Plano!$G30)=0,N(Plano!$L30)=0),"",IF(Plano!$L30+Plano!$G30*MAX(0,ROUNDUP((AB$5-Plano!$L30)/Plano!$G30,0))&lt;=IF(DAY(AB$5)&gt;=29,EOMONTH(AB$5,0),AB$5+6),"●",""))</f>
        <v/>
      </c>
      <c r="AC33" s="138">
        <f>IF(OR(NOT(ISNUMBER(AC$5)),N(Plano!$G30)=0,N(Plano!$L30)=0),"",IF(Plano!$L30+Plano!$G30*MAX(0,ROUNDUP((AC$5-Plano!$L30)/Plano!$G30,0))&lt;=IF(DAY(AC$5)&gt;=29,EOMONTH(AC$5,0),AC$5+6),"●",""))</f>
        <v/>
      </c>
      <c r="AD33" s="138">
        <f>IF(OR(NOT(ISNUMBER(AD$5)),N(Plano!$G30)=0,N(Plano!$L30)=0),"",IF(Plano!$L30+Plano!$G30*MAX(0,ROUNDUP((AD$5-Plano!$L30)/Plano!$G30,0))&lt;=IF(DAY(AD$5)&gt;=29,EOMONTH(AD$5,0),AD$5+6),"●",""))</f>
        <v/>
      </c>
      <c r="AE33" s="139">
        <f>IF(OR(NOT(ISNUMBER(AE$5)),N(Plano!$G30)=0,N(Plano!$L30)=0),"",IF(Plano!$L30+Plano!$G30*MAX(0,ROUNDUP((AE$5-Plano!$L30)/Plano!$G30,0))&lt;=IF(DAY(AE$5)&gt;=29,EOMONTH(AE$5,0),AE$5+6),"●",""))</f>
        <v/>
      </c>
      <c r="AF33" s="138">
        <f>IF(OR(NOT(ISNUMBER(AF$5)),N(Plano!$G30)=0,N(Plano!$L30)=0),"",IF(Plano!$L30+Plano!$G30*MAX(0,ROUNDUP((AF$5-Plano!$L30)/Plano!$G30,0))&lt;=IF(DAY(AF$5)&gt;=29,EOMONTH(AF$5,0),AF$5+6),"●",""))</f>
        <v/>
      </c>
      <c r="AG33" s="138">
        <f>IF(OR(NOT(ISNUMBER(AG$5)),N(Plano!$G30)=0,N(Plano!$L30)=0),"",IF(Plano!$L30+Plano!$G30*MAX(0,ROUNDUP((AG$5-Plano!$L30)/Plano!$G30,0))&lt;=IF(DAY(AG$5)&gt;=29,EOMONTH(AG$5,0),AG$5+6),"●",""))</f>
        <v/>
      </c>
      <c r="AH33" s="138">
        <f>IF(OR(NOT(ISNUMBER(AH$5)),N(Plano!$G30)=0,N(Plano!$L30)=0),"",IF(Plano!$L30+Plano!$G30*MAX(0,ROUNDUP((AH$5-Plano!$L30)/Plano!$G30,0))&lt;=IF(DAY(AH$5)&gt;=29,EOMONTH(AH$5,0),AH$5+6),"●",""))</f>
        <v/>
      </c>
      <c r="AI33" s="138">
        <f>IF(OR(NOT(ISNUMBER(AI$5)),N(Plano!$G30)=0,N(Plano!$L30)=0),"",IF(Plano!$L30+Plano!$G30*MAX(0,ROUNDUP((AI$5-Plano!$L30)/Plano!$G30,0))&lt;=IF(DAY(AI$5)&gt;=29,EOMONTH(AI$5,0),AI$5+6),"●",""))</f>
        <v/>
      </c>
      <c r="AJ33" s="139">
        <f>IF(OR(NOT(ISNUMBER(AJ$5)),N(Plano!$G30)=0,N(Plano!$L30)=0),"",IF(Plano!$L30+Plano!$G30*MAX(0,ROUNDUP((AJ$5-Plano!$L30)/Plano!$G30,0))&lt;=IF(DAY(AJ$5)&gt;=29,EOMONTH(AJ$5,0),AJ$5+6),"●",""))</f>
        <v/>
      </c>
      <c r="AK33" s="138">
        <f>IF(OR(NOT(ISNUMBER(AK$5)),N(Plano!$G30)=0,N(Plano!$L30)=0),"",IF(Plano!$L30+Plano!$G30*MAX(0,ROUNDUP((AK$5-Plano!$L30)/Plano!$G30,0))&lt;=IF(DAY(AK$5)&gt;=29,EOMONTH(AK$5,0),AK$5+6),"●",""))</f>
        <v/>
      </c>
      <c r="AL33" s="138">
        <f>IF(OR(NOT(ISNUMBER(AL$5)),N(Plano!$G30)=0,N(Plano!$L30)=0),"",IF(Plano!$L30+Plano!$G30*MAX(0,ROUNDUP((AL$5-Plano!$L30)/Plano!$G30,0))&lt;=IF(DAY(AL$5)&gt;=29,EOMONTH(AL$5,0),AL$5+6),"●",""))</f>
        <v/>
      </c>
      <c r="AM33" s="138">
        <f>IF(OR(NOT(ISNUMBER(AM$5)),N(Plano!$G30)=0,N(Plano!$L30)=0),"",IF(Plano!$L30+Plano!$G30*MAX(0,ROUNDUP((AM$5-Plano!$L30)/Plano!$G30,0))&lt;=IF(DAY(AM$5)&gt;=29,EOMONTH(AM$5,0),AM$5+6),"●",""))</f>
        <v/>
      </c>
      <c r="AN33" s="138">
        <f>IF(OR(NOT(ISNUMBER(AN$5)),N(Plano!$G30)=0,N(Plano!$L30)=0),"",IF(Plano!$L30+Plano!$G30*MAX(0,ROUNDUP((AN$5-Plano!$L30)/Plano!$G30,0))&lt;=IF(DAY(AN$5)&gt;=29,EOMONTH(AN$5,0),AN$5+6),"●",""))</f>
        <v/>
      </c>
      <c r="AO33" s="139">
        <f>IF(OR(NOT(ISNUMBER(AO$5)),N(Plano!$G30)=0,N(Plano!$L30)=0),"",IF(Plano!$L30+Plano!$G30*MAX(0,ROUNDUP((AO$5-Plano!$L30)/Plano!$G30,0))&lt;=IF(DAY(AO$5)&gt;=29,EOMONTH(AO$5,0),AO$5+6),"●",""))</f>
        <v/>
      </c>
      <c r="AP33" s="138">
        <f>IF(OR(NOT(ISNUMBER(AP$5)),N(Plano!$G30)=0,N(Plano!$L30)=0),"",IF(Plano!$L30+Plano!$G30*MAX(0,ROUNDUP((AP$5-Plano!$L30)/Plano!$G30,0))&lt;=IF(DAY(AP$5)&gt;=29,EOMONTH(AP$5,0),AP$5+6),"●",""))</f>
        <v/>
      </c>
      <c r="AQ33" s="138">
        <f>IF(OR(NOT(ISNUMBER(AQ$5)),N(Plano!$G30)=0,N(Plano!$L30)=0),"",IF(Plano!$L30+Plano!$G30*MAX(0,ROUNDUP((AQ$5-Plano!$L30)/Plano!$G30,0))&lt;=IF(DAY(AQ$5)&gt;=29,EOMONTH(AQ$5,0),AQ$5+6),"●",""))</f>
        <v/>
      </c>
      <c r="AR33" s="138">
        <f>IF(OR(NOT(ISNUMBER(AR$5)),N(Plano!$G30)=0,N(Plano!$L30)=0),"",IF(Plano!$L30+Plano!$G30*MAX(0,ROUNDUP((AR$5-Plano!$L30)/Plano!$G30,0))&lt;=IF(DAY(AR$5)&gt;=29,EOMONTH(AR$5,0),AR$5+6),"●",""))</f>
        <v/>
      </c>
      <c r="AS33" s="138">
        <f>IF(OR(NOT(ISNUMBER(AS$5)),N(Plano!$G30)=0,N(Plano!$L30)=0),"",IF(Plano!$L30+Plano!$G30*MAX(0,ROUNDUP((AS$5-Plano!$L30)/Plano!$G30,0))&lt;=IF(DAY(AS$5)&gt;=29,EOMONTH(AS$5,0),AS$5+6),"●",""))</f>
        <v/>
      </c>
      <c r="AT33" s="139">
        <f>IF(OR(NOT(ISNUMBER(AT$5)),N(Plano!$G30)=0,N(Plano!$L30)=0),"",IF(Plano!$L30+Plano!$G30*MAX(0,ROUNDUP((AT$5-Plano!$L30)/Plano!$G30,0))&lt;=IF(DAY(AT$5)&gt;=29,EOMONTH(AT$5,0),AT$5+6),"●",""))</f>
        <v/>
      </c>
      <c r="AU33" s="138">
        <f>IF(OR(NOT(ISNUMBER(AU$5)),N(Plano!$G30)=0,N(Plano!$L30)=0),"",IF(Plano!$L30+Plano!$G30*MAX(0,ROUNDUP((AU$5-Plano!$L30)/Plano!$G30,0))&lt;=IF(DAY(AU$5)&gt;=29,EOMONTH(AU$5,0),AU$5+6),"●",""))</f>
        <v/>
      </c>
      <c r="AV33" s="138">
        <f>IF(OR(NOT(ISNUMBER(AV$5)),N(Plano!$G30)=0,N(Plano!$L30)=0),"",IF(Plano!$L30+Plano!$G30*MAX(0,ROUNDUP((AV$5-Plano!$L30)/Plano!$G30,0))&lt;=IF(DAY(AV$5)&gt;=29,EOMONTH(AV$5,0),AV$5+6),"●",""))</f>
        <v/>
      </c>
      <c r="AW33" s="138">
        <f>IF(OR(NOT(ISNUMBER(AW$5)),N(Plano!$G30)=0,N(Plano!$L30)=0),"",IF(Plano!$L30+Plano!$G30*MAX(0,ROUNDUP((AW$5-Plano!$L30)/Plano!$G30,0))&lt;=IF(DAY(AW$5)&gt;=29,EOMONTH(AW$5,0),AW$5+6),"●",""))</f>
        <v/>
      </c>
      <c r="AX33" s="138">
        <f>IF(OR(NOT(ISNUMBER(AX$5)),N(Plano!$G30)=0,N(Plano!$L30)=0),"",IF(Plano!$L30+Plano!$G30*MAX(0,ROUNDUP((AX$5-Plano!$L30)/Plano!$G30,0))&lt;=IF(DAY(AX$5)&gt;=29,EOMONTH(AX$5,0),AX$5+6),"●",""))</f>
        <v/>
      </c>
      <c r="AY33" s="139">
        <f>IF(OR(NOT(ISNUMBER(AY$5)),N(Plano!$G30)=0,N(Plano!$L30)=0),"",IF(Plano!$L30+Plano!$G30*MAX(0,ROUNDUP((AY$5-Plano!$L30)/Plano!$G30,0))&lt;=IF(DAY(AY$5)&gt;=29,EOMONTH(AY$5,0),AY$5+6),"●",""))</f>
        <v/>
      </c>
      <c r="AZ33" s="138">
        <f>IF(OR(NOT(ISNUMBER(AZ$5)),N(Plano!$G30)=0,N(Plano!$L30)=0),"",IF(Plano!$L30+Plano!$G30*MAX(0,ROUNDUP((AZ$5-Plano!$L30)/Plano!$G30,0))&lt;=IF(DAY(AZ$5)&gt;=29,EOMONTH(AZ$5,0),AZ$5+6),"●",""))</f>
        <v/>
      </c>
      <c r="BA33" s="138">
        <f>IF(OR(NOT(ISNUMBER(BA$5)),N(Plano!$G30)=0,N(Plano!$L30)=0),"",IF(Plano!$L30+Plano!$G30*MAX(0,ROUNDUP((BA$5-Plano!$L30)/Plano!$G30,0))&lt;=IF(DAY(BA$5)&gt;=29,EOMONTH(BA$5,0),BA$5+6),"●",""))</f>
        <v/>
      </c>
      <c r="BB33" s="138">
        <f>IF(OR(NOT(ISNUMBER(BB$5)),N(Plano!$G30)=0,N(Plano!$L30)=0),"",IF(Plano!$L30+Plano!$G30*MAX(0,ROUNDUP((BB$5-Plano!$L30)/Plano!$G30,0))&lt;=IF(DAY(BB$5)&gt;=29,EOMONTH(BB$5,0),BB$5+6),"●",""))</f>
        <v/>
      </c>
      <c r="BC33" s="138">
        <f>IF(OR(NOT(ISNUMBER(BC$5)),N(Plano!$G30)=0,N(Plano!$L30)=0),"",IF(Plano!$L30+Plano!$G30*MAX(0,ROUNDUP((BC$5-Plano!$L30)/Plano!$G30,0))&lt;=IF(DAY(BC$5)&gt;=29,EOMONTH(BC$5,0),BC$5+6),"●",""))</f>
        <v/>
      </c>
      <c r="BD33" s="139">
        <f>IF(OR(NOT(ISNUMBER(BD$5)),N(Plano!$G30)=0,N(Plano!$L30)=0),"",IF(Plano!$L30+Plano!$G30*MAX(0,ROUNDUP((BD$5-Plano!$L30)/Plano!$G30,0))&lt;=IF(DAY(BD$5)&gt;=29,EOMONTH(BD$5,0),BD$5+6),"●",""))</f>
        <v/>
      </c>
      <c r="BE33" s="138">
        <f>IF(OR(NOT(ISNUMBER(BE$5)),N(Plano!$G30)=0,N(Plano!$L30)=0),"",IF(Plano!$L30+Plano!$G30*MAX(0,ROUNDUP((BE$5-Plano!$L30)/Plano!$G30,0))&lt;=IF(DAY(BE$5)&gt;=29,EOMONTH(BE$5,0),BE$5+6),"●",""))</f>
        <v/>
      </c>
      <c r="BF33" s="138">
        <f>IF(OR(NOT(ISNUMBER(BF$5)),N(Plano!$G30)=0,N(Plano!$L30)=0),"",IF(Plano!$L30+Plano!$G30*MAX(0,ROUNDUP((BF$5-Plano!$L30)/Plano!$G30,0))&lt;=IF(DAY(BF$5)&gt;=29,EOMONTH(BF$5,0),BF$5+6),"●",""))</f>
        <v/>
      </c>
      <c r="BG33" s="138">
        <f>IF(OR(NOT(ISNUMBER(BG$5)),N(Plano!$G30)=0,N(Plano!$L30)=0),"",IF(Plano!$L30+Plano!$G30*MAX(0,ROUNDUP((BG$5-Plano!$L30)/Plano!$G30,0))&lt;=IF(DAY(BG$5)&gt;=29,EOMONTH(BG$5,0),BG$5+6),"●",""))</f>
        <v/>
      </c>
      <c r="BH33" s="138">
        <f>IF(OR(NOT(ISNUMBER(BH$5)),N(Plano!$G30)=0,N(Plano!$L30)=0),"",IF(Plano!$L30+Plano!$G30*MAX(0,ROUNDUP((BH$5-Plano!$L30)/Plano!$G30,0))&lt;=IF(DAY(BH$5)&gt;=29,EOMONTH(BH$5,0),BH$5+6),"●",""))</f>
        <v/>
      </c>
      <c r="BI33" s="139">
        <f>IF(OR(NOT(ISNUMBER(BI$5)),N(Plano!$G30)=0,N(Plano!$L30)=0),"",IF(Plano!$L30+Plano!$G30*MAX(0,ROUNDUP((BI$5-Plano!$L30)/Plano!$G30,0))&lt;=IF(DAY(BI$5)&gt;=29,EOMONTH(BI$5,0),BI$5+6),"●",""))</f>
        <v/>
      </c>
      <c r="BJ33" s="138">
        <f>IF(OR(NOT(ISNUMBER(BJ$5)),N(Plano!$G30)=0,N(Plano!$L30)=0),"",IF(Plano!$L30+Plano!$G30*MAX(0,ROUNDUP((BJ$5-Plano!$L30)/Plano!$G30,0))&lt;=IF(DAY(BJ$5)&gt;=29,EOMONTH(BJ$5,0),BJ$5+6),"●",""))</f>
        <v/>
      </c>
      <c r="BK33" s="138">
        <f>IF(OR(NOT(ISNUMBER(BK$5)),N(Plano!$G30)=0,N(Plano!$L30)=0),"",IF(Plano!$L30+Plano!$G30*MAX(0,ROUNDUP((BK$5-Plano!$L30)/Plano!$G30,0))&lt;=IF(DAY(BK$5)&gt;=29,EOMONTH(BK$5,0),BK$5+6),"●",""))</f>
        <v/>
      </c>
      <c r="BL33" s="138">
        <f>IF(OR(NOT(ISNUMBER(BL$5)),N(Plano!$G30)=0,N(Plano!$L30)=0),"",IF(Plano!$L30+Plano!$G30*MAX(0,ROUNDUP((BL$5-Plano!$L30)/Plano!$G30,0))&lt;=IF(DAY(BL$5)&gt;=29,EOMONTH(BL$5,0),BL$5+6),"●",""))</f>
        <v/>
      </c>
      <c r="BM33" s="140">
        <f>IF(OR(NOT(ISNUMBER(BM$5)),N(Plano!$G30)=0,N(Plano!$L30)=0),"",IF(Plano!$L30+Plano!$G30*MAX(0,ROUNDUP((BM$5-Plano!$L30)/Plano!$G30,0))&lt;=IF(DAY(BM$5)&gt;=29,EOMONTH(BM$5,0),BM$5+6),"●",""))</f>
        <v/>
      </c>
    </row>
    <row r="34" ht="28" customHeight="1">
      <c r="A34" s="142" t="inlineStr">
        <is>
          <t>Horas planejadas na semana</t>
        </is>
      </c>
      <c r="B34" s="143" t="n"/>
      <c r="C34" s="143" t="n"/>
      <c r="D34" s="143" t="n"/>
      <c r="E34" s="143" t="n"/>
      <c r="F34" s="144">
        <f>IF(SUMPRODUCT(--(F8:F33="●"),Plano!$J$5:$J$30)=0,"",SUMPRODUCT(--(F8:F33="●"),Plano!$J$5:$J$30))</f>
        <v/>
      </c>
      <c r="G34" s="144">
        <f>IF(SUMPRODUCT(--(G8:G33="●"),Plano!$J$5:$J$30)=0,"",SUMPRODUCT(--(G8:G33="●"),Plano!$J$5:$J$30))</f>
        <v/>
      </c>
      <c r="H34" s="144">
        <f>IF(SUMPRODUCT(--(H8:H33="●"),Plano!$J$5:$J$30)=0,"",SUMPRODUCT(--(H8:H33="●"),Plano!$J$5:$J$30))</f>
        <v/>
      </c>
      <c r="I34" s="144">
        <f>IF(SUMPRODUCT(--(I8:I33="●"),Plano!$J$5:$J$30)=0,"",SUMPRODUCT(--(I8:I33="●"),Plano!$J$5:$J$30))</f>
        <v/>
      </c>
      <c r="J34" s="144">
        <f>IF(SUMPRODUCT(--(J8:J33="●"),Plano!$J$5:$J$30)=0,"",SUMPRODUCT(--(J8:J33="●"),Plano!$J$5:$J$30))</f>
        <v/>
      </c>
      <c r="K34" s="145">
        <f>IF(SUMPRODUCT(--(K8:K33="●"),Plano!$J$5:$J$30)=0,"",SUMPRODUCT(--(K8:K33="●"),Plano!$J$5:$J$30))</f>
        <v/>
      </c>
      <c r="L34" s="144">
        <f>IF(SUMPRODUCT(--(L8:L33="●"),Plano!$J$5:$J$30)=0,"",SUMPRODUCT(--(L8:L33="●"),Plano!$J$5:$J$30))</f>
        <v/>
      </c>
      <c r="M34" s="144">
        <f>IF(SUMPRODUCT(--(M8:M33="●"),Plano!$J$5:$J$30)=0,"",SUMPRODUCT(--(M8:M33="●"),Plano!$J$5:$J$30))</f>
        <v/>
      </c>
      <c r="N34" s="144">
        <f>IF(SUMPRODUCT(--(N8:N33="●"),Plano!$J$5:$J$30)=0,"",SUMPRODUCT(--(N8:N33="●"),Plano!$J$5:$J$30))</f>
        <v/>
      </c>
      <c r="O34" s="144">
        <f>IF(SUMPRODUCT(--(O8:O33="●"),Plano!$J$5:$J$30)=0,"",SUMPRODUCT(--(O8:O33="●"),Plano!$J$5:$J$30))</f>
        <v/>
      </c>
      <c r="P34" s="145">
        <f>IF(SUMPRODUCT(--(P8:P33="●"),Plano!$J$5:$J$30)=0,"",SUMPRODUCT(--(P8:P33="●"),Plano!$J$5:$J$30))</f>
        <v/>
      </c>
      <c r="Q34" s="144">
        <f>IF(SUMPRODUCT(--(Q8:Q33="●"),Plano!$J$5:$J$30)=0,"",SUMPRODUCT(--(Q8:Q33="●"),Plano!$J$5:$J$30))</f>
        <v/>
      </c>
      <c r="R34" s="144">
        <f>IF(SUMPRODUCT(--(R8:R33="●"),Plano!$J$5:$J$30)=0,"",SUMPRODUCT(--(R8:R33="●"),Plano!$J$5:$J$30))</f>
        <v/>
      </c>
      <c r="S34" s="144">
        <f>IF(SUMPRODUCT(--(S8:S33="●"),Plano!$J$5:$J$30)=0,"",SUMPRODUCT(--(S8:S33="●"),Plano!$J$5:$J$30))</f>
        <v/>
      </c>
      <c r="T34" s="144">
        <f>IF(SUMPRODUCT(--(T8:T33="●"),Plano!$J$5:$J$30)=0,"",SUMPRODUCT(--(T8:T33="●"),Plano!$J$5:$J$30))</f>
        <v/>
      </c>
      <c r="U34" s="145">
        <f>IF(SUMPRODUCT(--(U8:U33="●"),Plano!$J$5:$J$30)=0,"",SUMPRODUCT(--(U8:U33="●"),Plano!$J$5:$J$30))</f>
        <v/>
      </c>
      <c r="V34" s="144">
        <f>IF(SUMPRODUCT(--(V8:V33="●"),Plano!$J$5:$J$30)=0,"",SUMPRODUCT(--(V8:V33="●"),Plano!$J$5:$J$30))</f>
        <v/>
      </c>
      <c r="W34" s="144">
        <f>IF(SUMPRODUCT(--(W8:W33="●"),Plano!$J$5:$J$30)=0,"",SUMPRODUCT(--(W8:W33="●"),Plano!$J$5:$J$30))</f>
        <v/>
      </c>
      <c r="X34" s="144">
        <f>IF(SUMPRODUCT(--(X8:X33="●"),Plano!$J$5:$J$30)=0,"",SUMPRODUCT(--(X8:X33="●"),Plano!$J$5:$J$30))</f>
        <v/>
      </c>
      <c r="Y34" s="144">
        <f>IF(SUMPRODUCT(--(Y8:Y33="●"),Plano!$J$5:$J$30)=0,"",SUMPRODUCT(--(Y8:Y33="●"),Plano!$J$5:$J$30))</f>
        <v/>
      </c>
      <c r="Z34" s="145">
        <f>IF(SUMPRODUCT(--(Z8:Z33="●"),Plano!$J$5:$J$30)=0,"",SUMPRODUCT(--(Z8:Z33="●"),Plano!$J$5:$J$30))</f>
        <v/>
      </c>
      <c r="AA34" s="144">
        <f>IF(SUMPRODUCT(--(AA8:AA33="●"),Plano!$J$5:$J$30)=0,"",SUMPRODUCT(--(AA8:AA33="●"),Plano!$J$5:$J$30))</f>
        <v/>
      </c>
      <c r="AB34" s="144">
        <f>IF(SUMPRODUCT(--(AB8:AB33="●"),Plano!$J$5:$J$30)=0,"",SUMPRODUCT(--(AB8:AB33="●"),Plano!$J$5:$J$30))</f>
        <v/>
      </c>
      <c r="AC34" s="144">
        <f>IF(SUMPRODUCT(--(AC8:AC33="●"),Plano!$J$5:$J$30)=0,"",SUMPRODUCT(--(AC8:AC33="●"),Plano!$J$5:$J$30))</f>
        <v/>
      </c>
      <c r="AD34" s="144">
        <f>IF(SUMPRODUCT(--(AD8:AD33="●"),Plano!$J$5:$J$30)=0,"",SUMPRODUCT(--(AD8:AD33="●"),Plano!$J$5:$J$30))</f>
        <v/>
      </c>
      <c r="AE34" s="145">
        <f>IF(SUMPRODUCT(--(AE8:AE33="●"),Plano!$J$5:$J$30)=0,"",SUMPRODUCT(--(AE8:AE33="●"),Plano!$J$5:$J$30))</f>
        <v/>
      </c>
      <c r="AF34" s="144">
        <f>IF(SUMPRODUCT(--(AF8:AF33="●"),Plano!$J$5:$J$30)=0,"",SUMPRODUCT(--(AF8:AF33="●"),Plano!$J$5:$J$30))</f>
        <v/>
      </c>
      <c r="AG34" s="144">
        <f>IF(SUMPRODUCT(--(AG8:AG33="●"),Plano!$J$5:$J$30)=0,"",SUMPRODUCT(--(AG8:AG33="●"),Plano!$J$5:$J$30))</f>
        <v/>
      </c>
      <c r="AH34" s="144">
        <f>IF(SUMPRODUCT(--(AH8:AH33="●"),Plano!$J$5:$J$30)=0,"",SUMPRODUCT(--(AH8:AH33="●"),Plano!$J$5:$J$30))</f>
        <v/>
      </c>
      <c r="AI34" s="144">
        <f>IF(SUMPRODUCT(--(AI8:AI33="●"),Plano!$J$5:$J$30)=0,"",SUMPRODUCT(--(AI8:AI33="●"),Plano!$J$5:$J$30))</f>
        <v/>
      </c>
      <c r="AJ34" s="145">
        <f>IF(SUMPRODUCT(--(AJ8:AJ33="●"),Plano!$J$5:$J$30)=0,"",SUMPRODUCT(--(AJ8:AJ33="●"),Plano!$J$5:$J$30))</f>
        <v/>
      </c>
      <c r="AK34" s="144">
        <f>IF(SUMPRODUCT(--(AK8:AK33="●"),Plano!$J$5:$J$30)=0,"",SUMPRODUCT(--(AK8:AK33="●"),Plano!$J$5:$J$30))</f>
        <v/>
      </c>
      <c r="AL34" s="144">
        <f>IF(SUMPRODUCT(--(AL8:AL33="●"),Plano!$J$5:$J$30)=0,"",SUMPRODUCT(--(AL8:AL33="●"),Plano!$J$5:$J$30))</f>
        <v/>
      </c>
      <c r="AM34" s="144">
        <f>IF(SUMPRODUCT(--(AM8:AM33="●"),Plano!$J$5:$J$30)=0,"",SUMPRODUCT(--(AM8:AM33="●"),Plano!$J$5:$J$30))</f>
        <v/>
      </c>
      <c r="AN34" s="144">
        <f>IF(SUMPRODUCT(--(AN8:AN33="●"),Plano!$J$5:$J$30)=0,"",SUMPRODUCT(--(AN8:AN33="●"),Plano!$J$5:$J$30))</f>
        <v/>
      </c>
      <c r="AO34" s="145">
        <f>IF(SUMPRODUCT(--(AO8:AO33="●"),Plano!$J$5:$J$30)=0,"",SUMPRODUCT(--(AO8:AO33="●"),Plano!$J$5:$J$30))</f>
        <v/>
      </c>
      <c r="AP34" s="144">
        <f>IF(SUMPRODUCT(--(AP8:AP33="●"),Plano!$J$5:$J$30)=0,"",SUMPRODUCT(--(AP8:AP33="●"),Plano!$J$5:$J$30))</f>
        <v/>
      </c>
      <c r="AQ34" s="144">
        <f>IF(SUMPRODUCT(--(AQ8:AQ33="●"),Plano!$J$5:$J$30)=0,"",SUMPRODUCT(--(AQ8:AQ33="●"),Plano!$J$5:$J$30))</f>
        <v/>
      </c>
      <c r="AR34" s="144">
        <f>IF(SUMPRODUCT(--(AR8:AR33="●"),Plano!$J$5:$J$30)=0,"",SUMPRODUCT(--(AR8:AR33="●"),Plano!$J$5:$J$30))</f>
        <v/>
      </c>
      <c r="AS34" s="144">
        <f>IF(SUMPRODUCT(--(AS8:AS33="●"),Plano!$J$5:$J$30)=0,"",SUMPRODUCT(--(AS8:AS33="●"),Plano!$J$5:$J$30))</f>
        <v/>
      </c>
      <c r="AT34" s="145">
        <f>IF(SUMPRODUCT(--(AT8:AT33="●"),Plano!$J$5:$J$30)=0,"",SUMPRODUCT(--(AT8:AT33="●"),Plano!$J$5:$J$30))</f>
        <v/>
      </c>
      <c r="AU34" s="144">
        <f>IF(SUMPRODUCT(--(AU8:AU33="●"),Plano!$J$5:$J$30)=0,"",SUMPRODUCT(--(AU8:AU33="●"),Plano!$J$5:$J$30))</f>
        <v/>
      </c>
      <c r="AV34" s="144">
        <f>IF(SUMPRODUCT(--(AV8:AV33="●"),Plano!$J$5:$J$30)=0,"",SUMPRODUCT(--(AV8:AV33="●"),Plano!$J$5:$J$30))</f>
        <v/>
      </c>
      <c r="AW34" s="144">
        <f>IF(SUMPRODUCT(--(AW8:AW33="●"),Plano!$J$5:$J$30)=0,"",SUMPRODUCT(--(AW8:AW33="●"),Plano!$J$5:$J$30))</f>
        <v/>
      </c>
      <c r="AX34" s="144">
        <f>IF(SUMPRODUCT(--(AX8:AX33="●"),Plano!$J$5:$J$30)=0,"",SUMPRODUCT(--(AX8:AX33="●"),Plano!$J$5:$J$30))</f>
        <v/>
      </c>
      <c r="AY34" s="145">
        <f>IF(SUMPRODUCT(--(AY8:AY33="●"),Plano!$J$5:$J$30)=0,"",SUMPRODUCT(--(AY8:AY33="●"),Plano!$J$5:$J$30))</f>
        <v/>
      </c>
      <c r="AZ34" s="144">
        <f>IF(SUMPRODUCT(--(AZ8:AZ33="●"),Plano!$J$5:$J$30)=0,"",SUMPRODUCT(--(AZ8:AZ33="●"),Plano!$J$5:$J$30))</f>
        <v/>
      </c>
      <c r="BA34" s="144">
        <f>IF(SUMPRODUCT(--(BA8:BA33="●"),Plano!$J$5:$J$30)=0,"",SUMPRODUCT(--(BA8:BA33="●"),Plano!$J$5:$J$30))</f>
        <v/>
      </c>
      <c r="BB34" s="144">
        <f>IF(SUMPRODUCT(--(BB8:BB33="●"),Plano!$J$5:$J$30)=0,"",SUMPRODUCT(--(BB8:BB33="●"),Plano!$J$5:$J$30))</f>
        <v/>
      </c>
      <c r="BC34" s="144">
        <f>IF(SUMPRODUCT(--(BC8:BC33="●"),Plano!$J$5:$J$30)=0,"",SUMPRODUCT(--(BC8:BC33="●"),Plano!$J$5:$J$30))</f>
        <v/>
      </c>
      <c r="BD34" s="145">
        <f>IF(SUMPRODUCT(--(BD8:BD33="●"),Plano!$J$5:$J$30)=0,"",SUMPRODUCT(--(BD8:BD33="●"),Plano!$J$5:$J$30))</f>
        <v/>
      </c>
      <c r="BE34" s="144">
        <f>IF(SUMPRODUCT(--(BE8:BE33="●"),Plano!$J$5:$J$30)=0,"",SUMPRODUCT(--(BE8:BE33="●"),Plano!$J$5:$J$30))</f>
        <v/>
      </c>
      <c r="BF34" s="144">
        <f>IF(SUMPRODUCT(--(BF8:BF33="●"),Plano!$J$5:$J$30)=0,"",SUMPRODUCT(--(BF8:BF33="●"),Plano!$J$5:$J$30))</f>
        <v/>
      </c>
      <c r="BG34" s="144">
        <f>IF(SUMPRODUCT(--(BG8:BG33="●"),Plano!$J$5:$J$30)=0,"",SUMPRODUCT(--(BG8:BG33="●"),Plano!$J$5:$J$30))</f>
        <v/>
      </c>
      <c r="BH34" s="144">
        <f>IF(SUMPRODUCT(--(BH8:BH33="●"),Plano!$J$5:$J$30)=0,"",SUMPRODUCT(--(BH8:BH33="●"),Plano!$J$5:$J$30))</f>
        <v/>
      </c>
      <c r="BI34" s="145">
        <f>IF(SUMPRODUCT(--(BI8:BI33="●"),Plano!$J$5:$J$30)=0,"",SUMPRODUCT(--(BI8:BI33="●"),Plano!$J$5:$J$30))</f>
        <v/>
      </c>
      <c r="BJ34" s="144">
        <f>IF(SUMPRODUCT(--(BJ8:BJ33="●"),Plano!$J$5:$J$30)=0,"",SUMPRODUCT(--(BJ8:BJ33="●"),Plano!$J$5:$J$30))</f>
        <v/>
      </c>
      <c r="BK34" s="144">
        <f>IF(SUMPRODUCT(--(BK8:BK33="●"),Plano!$J$5:$J$30)=0,"",SUMPRODUCT(--(BK8:BK33="●"),Plano!$J$5:$J$30))</f>
        <v/>
      </c>
      <c r="BL34" s="144">
        <f>IF(SUMPRODUCT(--(BL8:BL33="●"),Plano!$J$5:$J$30)=0,"",SUMPRODUCT(--(BL8:BL33="●"),Plano!$J$5:$J$30))</f>
        <v/>
      </c>
      <c r="BM34" s="146">
        <f>IF(SUMPRODUCT(--(BM8:BM33="●"),Plano!$J$5:$J$30)=0,"",SUMPRODUCT(--(BM8:BM33="●"),Plano!$J$5:$J$30))</f>
        <v/>
      </c>
    </row>
    <row r="35" ht="20" customHeight="1">
      <c r="A35" s="96" t="inlineStr">
        <is>
          <r>
            <rPr>
              <rFont val="Arial"/>
              <b val="1"/>
              <color rgb="000B2A5B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atividade com data na semana      </t>
          </r>
          <r>
            <rPr>
              <rFont val="Arial"/>
              <b val="1"/>
              <color rgb="006B7686"/>
              <sz val="8"/>
            </rPr>
            <t xml:space="preserve">Semanas do mês: 1 = dias 1 a 7 · 2 = 8 a 14 · 3 = 15 a 21 · 4 = 22 a 28 · 5 = 29 ao fim do mês. Ano em branco = ano atual. Tudo vem do Plano; não digite nesta aba.      </t>
          </r>
        </is>
      </c>
    </row>
  </sheetData>
  <mergeCells count="30">
    <mergeCell ref="A23:BM23"/>
    <mergeCell ref="A34:E34"/>
    <mergeCell ref="A1:D2"/>
    <mergeCell ref="A35:BM35"/>
    <mergeCell ref="Z6:AD6"/>
    <mergeCell ref="U6:Y6"/>
    <mergeCell ref="F3:AI3"/>
    <mergeCell ref="AT6:AX6"/>
    <mergeCell ref="A3:C3"/>
    <mergeCell ref="F6:J6"/>
    <mergeCell ref="E2:AX2"/>
    <mergeCell ref="A6:E6"/>
    <mergeCell ref="AY2:BM2"/>
    <mergeCell ref="P6:T6"/>
    <mergeCell ref="AJ3:BM3"/>
    <mergeCell ref="AY1:BM1"/>
    <mergeCell ref="A4:C4"/>
    <mergeCell ref="AJ4:BM4"/>
    <mergeCell ref="AJ6:AN6"/>
    <mergeCell ref="BI6:BM6"/>
    <mergeCell ref="D4:E4"/>
    <mergeCell ref="BD6:BH6"/>
    <mergeCell ref="D3:E3"/>
    <mergeCell ref="AE6:AI6"/>
    <mergeCell ref="F4:AI4"/>
    <mergeCell ref="B5:C5"/>
    <mergeCell ref="AO6:AS6"/>
    <mergeCell ref="E1:AX1"/>
    <mergeCell ref="AY6:BC6"/>
    <mergeCell ref="K6:O6"/>
  </mergeCells>
  <dataValidations count="1">
    <dataValidation sqref="A4" showDropDown="0" showInputMessage="0" showErrorMessage="1" allowBlank="1" errorTitle="Valor fora da lista" error="Escolha um item da lista." type="list" errorStyle="stop">
      <formula1>"2025,2026,2027,2028,2029,2030,2031,2032,2033,2034,2035"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&amp;K4A5668PCM-MAN-002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J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0" customWidth="1" min="4" max="4"/>
    <col width="3" customWidth="1" min="5" max="5"/>
    <col width="30" customWidth="1" min="6" max="6"/>
    <col width="3" customWidth="1" min="7" max="7"/>
    <col width="30" customWidth="1" min="8" max="8"/>
    <col width="3" customWidth="1" min="9" max="9"/>
    <col width="24" customWidth="1" min="10" max="10"/>
  </cols>
  <sheetData>
    <row r="1" ht="30.75" customHeight="1">
      <c r="A1" s="147" t="n"/>
      <c r="B1" s="148" t="n"/>
      <c r="C1" s="149" t="inlineStr">
        <is>
          <t>Cadastros</t>
        </is>
      </c>
      <c r="D1" s="150" t="n"/>
      <c r="E1" s="150" t="n"/>
      <c r="F1" s="150" t="n"/>
      <c r="G1" s="148" t="n"/>
      <c r="H1" s="151">
        <f>"Rev. "&amp;'Leia-me'!$D$15&amp;"   ·   "&amp;'Leia-me'!$D$16</f>
        <v/>
      </c>
      <c r="I1" s="150" t="n"/>
      <c r="J1" s="148" t="n"/>
    </row>
    <row r="2" ht="28" customHeight="1">
      <c r="A2" s="152" t="n"/>
      <c r="B2" s="153" t="n"/>
      <c r="C2" s="154" t="inlineStr">
        <is>
          <t>Objetivo: Cadastre aqui os itens usados nas listas (▼) das outras abas.</t>
        </is>
      </c>
      <c r="D2" s="155" t="n"/>
      <c r="E2" s="155" t="n"/>
      <c r="F2" s="155" t="n"/>
      <c r="G2" s="153" t="n"/>
      <c r="H2" s="154">
        <f>"Elaborado: "&amp;'Leia-me'!$D$13&amp;"   ·   Aprovado: "&amp;'Leia-me'!$D$14</f>
        <v/>
      </c>
      <c r="I2" s="155" t="n"/>
      <c r="J2" s="153" t="n"/>
    </row>
    <row r="3" ht="32" customHeight="1">
      <c r="A3" s="156" t="inlineStr">
        <is>
          <t>TAG</t>
        </is>
      </c>
      <c r="B3" s="157" t="inlineStr">
        <is>
          <t>Equipamento</t>
        </is>
      </c>
      <c r="C3" s="157" t="inlineStr">
        <is>
          <t>Família de equipamento ▼</t>
        </is>
      </c>
      <c r="D3" s="158" t="inlineStr">
        <is>
          <t>Setor ▼</t>
        </is>
      </c>
      <c r="F3" s="159" t="inlineStr">
        <is>
          <t>Responsável</t>
        </is>
      </c>
      <c r="H3" s="159" t="inlineStr">
        <is>
          <t>Família de equipamento</t>
        </is>
      </c>
      <c r="J3" s="159" t="inlineStr">
        <is>
          <t>Setor</t>
        </is>
      </c>
    </row>
    <row r="4" hidden="1">
      <c r="A4" s="160" t="inlineStr">
        <is>
          <t>tag</t>
        </is>
      </c>
      <c r="B4" s="160" t="inlineStr">
        <is>
          <t>descricao_ativo</t>
        </is>
      </c>
      <c r="C4" s="160" t="inlineStr">
        <is>
          <t>familia</t>
        </is>
      </c>
      <c r="D4" s="160" t="inlineStr">
        <is>
          <t>setor</t>
        </is>
      </c>
      <c r="F4" s="160" t="inlineStr">
        <is>
          <t>nome_pessoa</t>
        </is>
      </c>
      <c r="H4" s="160" t="inlineStr">
        <is>
          <t>nome_familia</t>
        </is>
      </c>
      <c r="J4" s="160" t="inlineStr">
        <is>
          <t>nome_setor</t>
        </is>
      </c>
    </row>
    <row r="5" ht="22" customHeight="1">
      <c r="A5" s="161" t="n"/>
      <c r="B5" s="162" t="n"/>
      <c r="C5" s="162" t="n"/>
      <c r="D5" s="163" t="n"/>
      <c r="F5" s="164" t="n"/>
      <c r="H5" s="164" t="n"/>
      <c r="J5" s="164" t="n"/>
    </row>
    <row r="6" ht="22" customHeight="1">
      <c r="A6" s="161" t="n"/>
      <c r="B6" s="162" t="n"/>
      <c r="C6" s="162" t="n"/>
      <c r="D6" s="163" t="n"/>
      <c r="F6" s="164" t="n"/>
      <c r="H6" s="164" t="n"/>
      <c r="J6" s="164" t="n"/>
    </row>
    <row r="7" ht="22" customHeight="1">
      <c r="A7" s="161" t="n"/>
      <c r="B7" s="162" t="n"/>
      <c r="C7" s="162" t="n"/>
      <c r="D7" s="163" t="n"/>
      <c r="F7" s="164" t="n"/>
      <c r="H7" s="164" t="n"/>
      <c r="J7" s="164" t="n"/>
    </row>
    <row r="8" ht="22" customHeight="1">
      <c r="A8" s="161" t="n"/>
      <c r="B8" s="162" t="n"/>
      <c r="C8" s="162" t="n"/>
      <c r="D8" s="163" t="n"/>
      <c r="F8" s="164" t="n"/>
      <c r="H8" s="164" t="n"/>
      <c r="J8" s="164" t="n"/>
    </row>
    <row r="9" ht="22" customHeight="1">
      <c r="A9" s="161" t="n"/>
      <c r="B9" s="162" t="n"/>
      <c r="C9" s="162" t="n"/>
      <c r="D9" s="163" t="n"/>
      <c r="F9" s="164" t="n"/>
      <c r="H9" s="164" t="n"/>
      <c r="J9" s="164" t="n"/>
    </row>
    <row r="10" ht="22" customHeight="1">
      <c r="A10" s="161" t="n"/>
      <c r="B10" s="162" t="n"/>
      <c r="C10" s="162" t="n"/>
      <c r="D10" s="163" t="n"/>
      <c r="F10" s="164" t="n"/>
      <c r="H10" s="164" t="n"/>
      <c r="J10" s="164" t="n"/>
    </row>
    <row r="11" ht="22" customHeight="1">
      <c r="A11" s="161" t="n"/>
      <c r="B11" s="162" t="n"/>
      <c r="C11" s="162" t="n"/>
      <c r="D11" s="163" t="n"/>
      <c r="F11" s="164" t="n"/>
      <c r="H11" s="164" t="n"/>
      <c r="J11" s="164" t="n"/>
    </row>
    <row r="12" ht="22" customHeight="1">
      <c r="A12" s="161" t="n"/>
      <c r="B12" s="162" t="n"/>
      <c r="C12" s="162" t="n"/>
      <c r="D12" s="163" t="n"/>
      <c r="F12" s="164" t="n"/>
      <c r="H12" s="164" t="n"/>
      <c r="J12" s="164" t="n"/>
    </row>
    <row r="13" ht="22" customHeight="1">
      <c r="A13" s="161" t="n"/>
      <c r="B13" s="162" t="n"/>
      <c r="C13" s="162" t="n"/>
      <c r="D13" s="163" t="n"/>
      <c r="F13" s="164" t="n"/>
      <c r="H13" s="164" t="n"/>
      <c r="J13" s="164" t="n"/>
    </row>
    <row r="14" ht="22" customHeight="1">
      <c r="A14" s="161" t="n"/>
      <c r="B14" s="162" t="n"/>
      <c r="C14" s="162" t="n"/>
      <c r="D14" s="163" t="n"/>
      <c r="F14" s="164" t="n"/>
      <c r="H14" s="164" t="n"/>
      <c r="J14" s="164" t="n"/>
    </row>
    <row r="15" ht="22" customHeight="1">
      <c r="A15" s="161" t="n"/>
      <c r="B15" s="162" t="n"/>
      <c r="C15" s="162" t="n"/>
      <c r="D15" s="163" t="n"/>
      <c r="F15" s="164" t="n"/>
      <c r="H15" s="164" t="n"/>
      <c r="J15" s="164" t="n"/>
    </row>
    <row r="16" ht="22" customHeight="1">
      <c r="A16" s="161" t="n"/>
      <c r="B16" s="162" t="n"/>
      <c r="C16" s="162" t="n"/>
      <c r="D16" s="163" t="n"/>
      <c r="F16" s="164" t="n"/>
      <c r="H16" s="164" t="n"/>
      <c r="J16" s="164" t="n"/>
    </row>
    <row r="17" ht="22" customHeight="1">
      <c r="A17" s="161" t="n"/>
      <c r="B17" s="162" t="n"/>
      <c r="C17" s="162" t="n"/>
      <c r="D17" s="163" t="n"/>
      <c r="F17" s="164" t="n"/>
      <c r="H17" s="164" t="n"/>
      <c r="J17" s="164" t="n"/>
    </row>
    <row r="18" ht="22" customHeight="1">
      <c r="A18" s="161" t="n"/>
      <c r="B18" s="162" t="n"/>
      <c r="C18" s="162" t="n"/>
      <c r="D18" s="163" t="n"/>
      <c r="F18" s="164" t="n"/>
      <c r="H18" s="164" t="n"/>
      <c r="J18" s="164" t="n"/>
    </row>
    <row r="19" ht="22" customHeight="1">
      <c r="A19" s="161" t="n"/>
      <c r="B19" s="162" t="n"/>
      <c r="C19" s="162" t="n"/>
      <c r="D19" s="163" t="n"/>
      <c r="F19" s="164" t="n"/>
      <c r="H19" s="164" t="n"/>
      <c r="J19" s="164" t="n"/>
    </row>
    <row r="20" ht="22" customHeight="1">
      <c r="A20" s="161" t="n"/>
      <c r="B20" s="162" t="n"/>
      <c r="C20" s="162" t="n"/>
      <c r="D20" s="163" t="n"/>
      <c r="F20" s="164" t="n"/>
      <c r="H20" s="164" t="n"/>
      <c r="J20" s="164" t="n"/>
    </row>
    <row r="21" ht="22" customHeight="1">
      <c r="A21" s="161" t="n"/>
      <c r="B21" s="162" t="n"/>
      <c r="C21" s="162" t="n"/>
      <c r="D21" s="163" t="n"/>
      <c r="F21" s="164" t="n"/>
      <c r="H21" s="164" t="n"/>
      <c r="J21" s="164" t="n"/>
    </row>
    <row r="22" ht="22" customHeight="1">
      <c r="A22" s="161" t="n"/>
      <c r="B22" s="162" t="n"/>
      <c r="C22" s="162" t="n"/>
      <c r="D22" s="163" t="n"/>
      <c r="F22" s="164" t="n"/>
      <c r="H22" s="164" t="n"/>
      <c r="J22" s="164" t="n"/>
    </row>
    <row r="23" ht="22" customHeight="1">
      <c r="A23" s="161" t="n"/>
      <c r="B23" s="162" t="n"/>
      <c r="C23" s="162" t="n"/>
      <c r="D23" s="163" t="n"/>
      <c r="F23" s="164" t="n"/>
      <c r="H23" s="164" t="n"/>
      <c r="J23" s="164" t="n"/>
    </row>
    <row r="24" ht="22" customHeight="1">
      <c r="A24" s="161" t="n"/>
      <c r="B24" s="162" t="n"/>
      <c r="C24" s="162" t="n"/>
      <c r="D24" s="163" t="n"/>
      <c r="F24" s="164" t="n"/>
      <c r="H24" s="164" t="n"/>
      <c r="J24" s="164" t="n"/>
    </row>
    <row r="25" ht="22" customHeight="1">
      <c r="A25" s="161" t="n"/>
      <c r="B25" s="162" t="n"/>
      <c r="C25" s="162" t="n"/>
      <c r="D25" s="163" t="n"/>
      <c r="F25" s="164" t="n"/>
      <c r="H25" s="164" t="n"/>
      <c r="J25" s="164" t="n"/>
    </row>
    <row r="26" ht="22" customHeight="1">
      <c r="A26" s="161" t="n"/>
      <c r="B26" s="162" t="n"/>
      <c r="C26" s="162" t="n"/>
      <c r="D26" s="163" t="n"/>
      <c r="F26" s="164" t="n"/>
      <c r="H26" s="164" t="n"/>
      <c r="J26" s="164" t="n"/>
    </row>
    <row r="27" ht="22" customHeight="1">
      <c r="A27" s="161" t="n"/>
      <c r="B27" s="162" t="n"/>
      <c r="C27" s="162" t="n"/>
      <c r="D27" s="163" t="n"/>
      <c r="F27" s="164" t="n"/>
      <c r="H27" s="164" t="n"/>
      <c r="J27" s="164" t="n"/>
    </row>
    <row r="28" ht="22" customHeight="1">
      <c r="A28" s="161" t="n"/>
      <c r="B28" s="162" t="n"/>
      <c r="C28" s="162" t="n"/>
      <c r="D28" s="163" t="n"/>
      <c r="F28" s="164" t="n"/>
      <c r="H28" s="164" t="n"/>
      <c r="J28" s="164" t="n"/>
    </row>
    <row r="29" ht="22" customHeight="1">
      <c r="A29" s="165" t="n"/>
      <c r="B29" s="166" t="n"/>
      <c r="C29" s="166" t="n"/>
      <c r="D29" s="167" t="n"/>
      <c r="F29" s="168" t="n"/>
      <c r="H29" s="168" t="n"/>
      <c r="J29" s="168" t="n"/>
    </row>
    <row r="30" ht="20" customHeight="1">
      <c r="A30" s="169" t="inlineStr">
        <is>
          <t xml:space="preserve"> </t>
        </is>
      </c>
    </row>
  </sheetData>
  <mergeCells count="6">
    <mergeCell ref="H1:J1"/>
    <mergeCell ref="C2:G2"/>
    <mergeCell ref="C1:G1"/>
    <mergeCell ref="A30:J30"/>
    <mergeCell ref="H2:J2"/>
    <mergeCell ref="A1:B2"/>
  </mergeCells>
  <dataValidations count="2">
    <dataValidation sqref="C5:C29" showDropDown="0" showInputMessage="0" showErrorMessage="1" allowBlank="1" errorTitle="Valor fora da lista" error="Escolha um item da lista." type="list" errorStyle="stop">
      <formula1>L_FAMILIAS</formula1>
    </dataValidation>
    <dataValidation sqref="D5:D29" showDropDown="0" showInputMessage="0" showErrorMessage="1" allowBlank="1" errorTitle="Valor fora da lista" error="Escolha um item da lista." type="list" errorStyle="stop">
      <formula1>L_SETORES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&amp;K4A5668PCM-MAN-002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  <col width="30" customWidth="1" min="4" max="4"/>
    <col width="30" customWidth="1" min="5" max="5"/>
  </cols>
  <sheetData>
    <row r="1" ht="30.75" customHeight="1">
      <c r="A1" s="147" t="n"/>
      <c r="B1" s="148" t="n"/>
      <c r="C1" s="126" t="inlineStr">
        <is>
          <t>Revisões</t>
        </is>
      </c>
      <c r="D1" s="151">
        <f>"Rev. "&amp;'Leia-me'!$D$15&amp;"   ·   "&amp;'Leia-me'!$D$16</f>
        <v/>
      </c>
      <c r="E1" s="148" t="n"/>
    </row>
    <row r="2" ht="28" customHeight="1">
      <c r="A2" s="152" t="n"/>
      <c r="B2" s="153" t="n"/>
      <c r="C2" s="47" t="inlineStr">
        <is>
          <t>Objetivo: Registre cada alteração do modelo; a última linha alimenta Rev. e data do cabeçalho.</t>
        </is>
      </c>
      <c r="D2" s="154">
        <f>"Elaborado: "&amp;'Leia-me'!$D$13&amp;"   ·   Aprovado: "&amp;'Leia-me'!$D$14</f>
        <v/>
      </c>
      <c r="E2" s="153" t="n"/>
    </row>
    <row r="3" ht="26" customHeight="1">
      <c r="A3" s="156" t="inlineStr">
        <is>
          <t>Rev</t>
        </is>
      </c>
      <c r="B3" s="157" t="inlineStr">
        <is>
          <t>Data</t>
        </is>
      </c>
      <c r="C3" s="157" t="inlineStr">
        <is>
          <t>Descrição da alteração</t>
        </is>
      </c>
      <c r="D3" s="157" t="inlineStr">
        <is>
          <t>Elaborado por</t>
        </is>
      </c>
      <c r="E3" s="158" t="inlineStr">
        <is>
          <t>Aprovado por</t>
        </is>
      </c>
    </row>
    <row r="4" hidden="1">
      <c r="A4" s="160" t="inlineStr">
        <is>
          <t>revisao</t>
        </is>
      </c>
      <c r="B4" s="160" t="inlineStr">
        <is>
          <t>data_revisao</t>
        </is>
      </c>
      <c r="C4" s="160" t="inlineStr">
        <is>
          <t>descricao_alteracao</t>
        </is>
      </c>
      <c r="D4" s="160" t="inlineStr">
        <is>
          <t>elaborado_por</t>
        </is>
      </c>
      <c r="E4" s="160" t="inlineStr">
        <is>
          <t>aprovado_por</t>
        </is>
      </c>
    </row>
    <row r="5" ht="22" customHeight="1">
      <c r="A5" s="170" t="inlineStr">
        <is>
          <t>00</t>
        </is>
      </c>
      <c r="B5" s="171" t="n">
        <v>46325</v>
      </c>
      <c r="C5" s="172" t="inlineStr">
        <is>
          <t>Emissão inicial</t>
        </is>
      </c>
      <c r="D5" s="162" t="n"/>
      <c r="E5" s="163" t="n"/>
    </row>
    <row r="6" ht="22" customHeight="1">
      <c r="A6" s="170" t="n"/>
      <c r="B6" s="171" t="n"/>
      <c r="C6" s="172" t="n"/>
      <c r="D6" s="162" t="n"/>
      <c r="E6" s="163" t="n"/>
    </row>
    <row r="7" ht="22" customHeight="1">
      <c r="A7" s="170" t="n"/>
      <c r="B7" s="171" t="n"/>
      <c r="C7" s="172" t="n"/>
      <c r="D7" s="162" t="n"/>
      <c r="E7" s="163" t="n"/>
    </row>
    <row r="8" ht="22" customHeight="1">
      <c r="A8" s="170" t="n"/>
      <c r="B8" s="171" t="n"/>
      <c r="C8" s="172" t="n"/>
      <c r="D8" s="162" t="n"/>
      <c r="E8" s="163" t="n"/>
    </row>
    <row r="9" ht="22" customHeight="1">
      <c r="A9" s="170" t="n"/>
      <c r="B9" s="171" t="n"/>
      <c r="C9" s="172" t="n"/>
      <c r="D9" s="162" t="n"/>
      <c r="E9" s="163" t="n"/>
    </row>
    <row r="10" ht="22" customHeight="1">
      <c r="A10" s="170" t="n"/>
      <c r="B10" s="171" t="n"/>
      <c r="C10" s="172" t="n"/>
      <c r="D10" s="162" t="n"/>
      <c r="E10" s="163" t="n"/>
    </row>
    <row r="11" ht="22" customHeight="1">
      <c r="A11" s="170" t="n"/>
      <c r="B11" s="171" t="n"/>
      <c r="C11" s="172" t="n"/>
      <c r="D11" s="162" t="n"/>
      <c r="E11" s="163" t="n"/>
    </row>
    <row r="12" ht="22" customHeight="1">
      <c r="A12" s="170" t="n"/>
      <c r="B12" s="171" t="n"/>
      <c r="C12" s="172" t="n"/>
      <c r="D12" s="162" t="n"/>
      <c r="E12" s="163" t="n"/>
    </row>
    <row r="13" ht="22" customHeight="1">
      <c r="A13" s="170" t="n"/>
      <c r="B13" s="171" t="n"/>
      <c r="C13" s="172" t="n"/>
      <c r="D13" s="162" t="n"/>
      <c r="E13" s="163" t="n"/>
    </row>
    <row r="14" ht="22" customHeight="1">
      <c r="A14" s="170" t="n"/>
      <c r="B14" s="171" t="n"/>
      <c r="C14" s="172" t="n"/>
      <c r="D14" s="162" t="n"/>
      <c r="E14" s="163" t="n"/>
    </row>
    <row r="15" ht="22" customHeight="1">
      <c r="A15" s="170" t="n"/>
      <c r="B15" s="171" t="n"/>
      <c r="C15" s="172" t="n"/>
      <c r="D15" s="162" t="n"/>
      <c r="E15" s="163" t="n"/>
    </row>
    <row r="16" ht="22" customHeight="1">
      <c r="A16" s="170" t="n"/>
      <c r="B16" s="171" t="n"/>
      <c r="C16" s="172" t="n"/>
      <c r="D16" s="162" t="n"/>
      <c r="E16" s="163" t="n"/>
    </row>
    <row r="17" ht="22" customHeight="1">
      <c r="A17" s="170" t="n"/>
      <c r="B17" s="171" t="n"/>
      <c r="C17" s="172" t="n"/>
      <c r="D17" s="162" t="n"/>
      <c r="E17" s="163" t="n"/>
    </row>
    <row r="18" ht="22" customHeight="1">
      <c r="A18" s="170" t="n"/>
      <c r="B18" s="171" t="n"/>
      <c r="C18" s="172" t="n"/>
      <c r="D18" s="162" t="n"/>
      <c r="E18" s="163" t="n"/>
    </row>
    <row r="19" ht="22" customHeight="1">
      <c r="A19" s="170" t="n"/>
      <c r="B19" s="171" t="n"/>
      <c r="C19" s="172" t="n"/>
      <c r="D19" s="162" t="n"/>
      <c r="E19" s="163" t="n"/>
    </row>
    <row r="20" ht="22" customHeight="1">
      <c r="A20" s="170" t="n"/>
      <c r="B20" s="171" t="n"/>
      <c r="C20" s="172" t="n"/>
      <c r="D20" s="162" t="n"/>
      <c r="E20" s="163" t="n"/>
    </row>
    <row r="21" ht="22" customHeight="1">
      <c r="A21" s="170" t="n"/>
      <c r="B21" s="171" t="n"/>
      <c r="C21" s="172" t="n"/>
      <c r="D21" s="162" t="n"/>
      <c r="E21" s="163" t="n"/>
    </row>
    <row r="22" ht="22" customHeight="1">
      <c r="A22" s="170" t="n"/>
      <c r="B22" s="171" t="n"/>
      <c r="C22" s="172" t="n"/>
      <c r="D22" s="162" t="n"/>
      <c r="E22" s="163" t="n"/>
    </row>
    <row r="23" ht="22" customHeight="1">
      <c r="A23" s="170" t="n"/>
      <c r="B23" s="171" t="n"/>
      <c r="C23" s="172" t="n"/>
      <c r="D23" s="162" t="n"/>
      <c r="E23" s="163" t="n"/>
    </row>
    <row r="24" ht="22" customHeight="1">
      <c r="A24" s="170" t="n"/>
      <c r="B24" s="171" t="n"/>
      <c r="C24" s="172" t="n"/>
      <c r="D24" s="162" t="n"/>
      <c r="E24" s="163" t="n"/>
    </row>
    <row r="25" ht="22" customHeight="1">
      <c r="A25" s="170" t="n"/>
      <c r="B25" s="171" t="n"/>
      <c r="C25" s="172" t="n"/>
      <c r="D25" s="162" t="n"/>
      <c r="E25" s="163" t="n"/>
    </row>
    <row r="26" ht="22" customHeight="1">
      <c r="A26" s="170" t="n"/>
      <c r="B26" s="171" t="n"/>
      <c r="C26" s="172" t="n"/>
      <c r="D26" s="162" t="n"/>
      <c r="E26" s="163" t="n"/>
    </row>
    <row r="27" ht="22" customHeight="1">
      <c r="A27" s="170" t="n"/>
      <c r="B27" s="171" t="n"/>
      <c r="C27" s="172" t="n"/>
      <c r="D27" s="162" t="n"/>
      <c r="E27" s="163" t="n"/>
    </row>
    <row r="28" ht="22" customHeight="1">
      <c r="A28" s="170" t="n"/>
      <c r="B28" s="171" t="n"/>
      <c r="C28" s="172" t="n"/>
      <c r="D28" s="162" t="n"/>
      <c r="E28" s="163" t="n"/>
    </row>
    <row r="29" ht="22" customHeight="1">
      <c r="A29" s="173" t="n"/>
      <c r="B29" s="174" t="n"/>
      <c r="C29" s="175" t="n"/>
      <c r="D29" s="166" t="n"/>
      <c r="E29" s="167" t="n"/>
    </row>
    <row r="30" ht="20" customHeight="1">
      <c r="A30" s="169" t="inlineStr">
        <is>
          <t xml:space="preserve"> </t>
        </is>
      </c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&amp;K4A5668PCM-MAN-002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2026-11-01T04:02:53Z</dcterms:created>
  <dcterms:modified xmlns:dcterms="http://purl.org/dc/terms/" xmlns:xsi="http://www.w3.org/2001/XMLSchema-instance" xsi:type="dcterms:W3CDTF">2026-11-01T04:02:56Z</dcterms:modified>
</cp:coreProperties>
</file>