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heck de manutenção autônoma" sheetId="2" state="visible" r:id="rId2"/>
    <sheet xmlns:r="http://schemas.openxmlformats.org/officeDocument/2006/relationships" name="Etiquetas" sheetId="3" state="visible" r:id="rId3"/>
    <sheet xmlns:r="http://schemas.openxmlformats.org/officeDocument/2006/relationships" name="Quadro de MA" sheetId="4" state="visible" r:id="rId4"/>
    <sheet xmlns:r="http://schemas.openxmlformats.org/officeDocument/2006/relationships" name="Cadastros" sheetId="5" state="visible" r:id="rId5"/>
    <sheet xmlns:r="http://schemas.openxmlformats.org/officeDocument/2006/relationships" name="Revisões" sheetId="6" state="visible" r:id="rId6"/>
  </sheets>
  <definedNames>
    <definedName name="L_TAGS">tb_pcm_ativos[tag]</definedName>
    <definedName name="L_PESSOAS">tb_pcm_pessoas[nome_pessoa]</definedName>
    <definedName name="L_SETORES">tb_pcm_setores[nome_setor]</definedName>
    <definedName name="L_FAMILIAS">tb_pcm_familias[nome_familia]</definedName>
    <definedName name="_xlnm.Print_Area" localSheetId="0">'Leia-me'!$A$1:$G$32</definedName>
    <definedName name="_xlnm.Print_Area" localSheetId="1">'Check de manutenção autônoma'!$A$1:$AK$25</definedName>
    <definedName name="_xlnm.Print_Area" localSheetId="2">'Etiquetas'!$A$1:$I$23</definedName>
    <definedName name="_xlnm.Print_Titles" localSheetId="3">'Quadro de MA'!$1:$4</definedName>
    <definedName name="_xlnm.Print_Area" localSheetId="3">'Quadro de MA'!$A$1:$K$25</definedName>
    <definedName name="_xlnm.Print_Titles" localSheetId="4">'Cadastros'!$1:$3</definedName>
    <definedName name="_xlnm.Print_Area" localSheetId="4">'Cadastros'!$A$1:$J$30</definedName>
    <definedName name="_xlnm.Print_Titles" localSheetId="5">'Revisões'!$1:$3</definedName>
    <definedName name="_xlnm.Print_Area" localSheetId="5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yyyy"/>
    <numFmt numFmtId="165" formatCode="dd/mm/yyyy"/>
  </numFmts>
  <fonts count="31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"/>
      <color rgb="006B7686"/>
      <sz val="7"/>
    </font>
    <font>
      <name val="Arial"/>
      <b val="1"/>
      <color rgb="000E1726"/>
      <sz val="8"/>
    </font>
    <font>
      <name val="Arial"/>
      <b val="1"/>
      <color rgb="006B7686"/>
      <sz val="8"/>
    </font>
    <font>
      <name val="Arial"/>
      <color rgb="000E1726"/>
      <sz val="9"/>
    </font>
    <font>
      <name val="Arial"/>
      <b val="1"/>
      <color rgb="000E1726"/>
      <sz val="11"/>
    </font>
    <font>
      <name val="Arial"/>
      <b val="1"/>
      <color rgb="001E7A46"/>
      <sz val="9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 Black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E1726"/>
      <sz val="9"/>
    </font>
    <font>
      <name val="Arial"/>
      <color rgb="008A94A6"/>
      <sz val="7"/>
    </font>
    <font>
      <name val="Arial Black"/>
      <color rgb="000E1726"/>
      <sz val="12"/>
    </font>
    <font>
      <name val="Arial Black"/>
      <color rgb="000E1726"/>
      <sz val="16"/>
    </font>
    <font>
      <name val="Arial"/>
      <b val="1"/>
      <color rgb="000B2A5B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"/>
      <color rgb="000E1726"/>
      <sz val="8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B2A5B"/>
      </patternFill>
    </fill>
    <fill>
      <patternFill patternType="solid">
        <fgColor rgb="008A94A6"/>
      </patternFill>
    </fill>
    <fill>
      <patternFill patternType="solid">
        <fgColor rgb="00F4F7FC"/>
      </patternFill>
    </fill>
    <fill>
      <patternFill patternType="solid">
        <fgColor rgb="004A5668"/>
      </patternFill>
    </fill>
    <fill>
      <patternFill patternType="solid">
        <fgColor rgb="00ECEFF3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</fills>
  <borders count="61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/>
      <right/>
      <top style="thin">
        <color rgb="00D3DEEC"/>
      </top>
      <bottom/>
      <diagonal/>
    </border>
    <border>
      <left/>
      <right/>
      <top/>
      <bottom style="thin">
        <color rgb="00D3DEEC"/>
      </bottom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 style="thin">
        <color rgb="00D3DEEC"/>
      </top>
      <bottom/>
      <diagonal/>
    </border>
    <border>
      <left/>
      <right style="thin">
        <color rgb="00D3DEEC"/>
      </right>
      <top/>
      <bottom/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 style="thin">
        <color rgb="00D3DEEC"/>
      </left>
      <right/>
      <top/>
      <bottom/>
      <diagonal/>
    </border>
    <border>
      <left style="thin">
        <color rgb="00D3DEEC"/>
      </left>
      <right style="thin">
        <color rgb="00D3DEEC"/>
      </right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0B2A5B"/>
      </left>
      <top style="thin">
        <color rgb="000B2A5B"/>
      </top>
    </border>
    <border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bottom style="thin">
        <color rgb="000B2A5B"/>
      </bottom>
    </border>
    <border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 style="thin">
        <color rgb="00D3DEEC"/>
      </left>
      <right/>
      <top/>
      <bottom/>
    </border>
    <border>
      <left/>
      <right style="thin">
        <color rgb="00D3DEEC"/>
      </right>
      <top/>
      <bottom/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right style="thin">
        <color rgb="000B2A5B"/>
      </right>
      <top style="thin">
        <color rgb="000B2A5B"/>
      </top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bottom style="thin">
        <color rgb="00FFFFFF"/>
      </bottom>
    </border>
    <border>
      <top style="medium">
        <color rgb="000B2A5B"/>
      </top>
    </border>
    <border>
      <left/>
      <right/>
      <top style="thin">
        <color rgb="00D3DEEC"/>
      </top>
      <bottom style="thin">
        <color rgb="00D3DEEC"/>
      </bottom>
      <diagonal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/>
      <right style="thin">
        <color rgb="000B2A5B"/>
      </right>
      <top/>
      <bottom/>
      <diagonal/>
    </border>
    <border>
      <left/>
      <right/>
      <top/>
      <bottom style="thin">
        <color rgb="000B2A5B"/>
      </bottom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/>
      <top/>
      <bottom style="thin">
        <color rgb="000B2A5B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right" vertical="center"/>
    </xf>
    <xf numFmtId="0" fontId="0" fillId="0" borderId="43" pivotButton="0" quotePrefix="0" xfId="0"/>
    <xf numFmtId="0" fontId="20" fillId="0" borderId="43" applyAlignment="1" pivotButton="0" quotePrefix="0" xfId="0">
      <alignment horizontal="center" vertical="top"/>
    </xf>
    <xf numFmtId="0" fontId="20" fillId="0" borderId="43" applyAlignment="1" pivotButton="0" quotePrefix="0" xfId="0">
      <alignment horizontal="right" vertical="top"/>
    </xf>
    <xf numFmtId="0" fontId="22" fillId="3" borderId="0" applyAlignment="1" pivotButton="0" quotePrefix="0" xfId="0">
      <alignment vertical="center" indent="1"/>
    </xf>
    <xf numFmtId="0" fontId="0" fillId="3" borderId="0" pivotButton="0" quotePrefix="0" xfId="0"/>
    <xf numFmtId="0" fontId="0" fillId="8" borderId="44" applyAlignment="1" pivotButton="0" quotePrefix="0" xfId="0">
      <alignment vertical="center" indent="1"/>
    </xf>
    <xf numFmtId="0" fontId="0" fillId="8" borderId="46" pivotButton="0" quotePrefix="0" xfId="0"/>
    <xf numFmtId="0" fontId="0" fillId="8" borderId="48" applyAlignment="1" pivotButton="0" quotePrefix="0" xfId="0">
      <alignment vertical="center" indent="1"/>
    </xf>
    <xf numFmtId="0" fontId="23" fillId="8" borderId="45" applyAlignment="1" pivotButton="0" quotePrefix="0" xfId="0">
      <alignment vertical="top" wrapText="1" indent="1"/>
    </xf>
    <xf numFmtId="0" fontId="0" fillId="8" borderId="47" pivotButton="0" quotePrefix="0" xfId="0"/>
    <xf numFmtId="0" fontId="23" fillId="8" borderId="49" applyAlignment="1" pivotButton="0" quotePrefix="0" xfId="0">
      <alignment vertical="top" wrapText="1" indent="1"/>
    </xf>
    <xf numFmtId="0" fontId="0" fillId="3" borderId="0" applyAlignment="1" pivotButton="0" quotePrefix="0" xfId="0">
      <alignment vertical="center" indent="1"/>
    </xf>
    <xf numFmtId="0" fontId="18" fillId="8" borderId="32" applyAlignment="1" pivotButton="0" quotePrefix="0" xfId="0">
      <alignment vertical="center" indent="1"/>
    </xf>
    <xf numFmtId="0" fontId="0" fillId="8" borderId="32" pivotButton="0" quotePrefix="0" xfId="0"/>
    <xf numFmtId="49" fontId="14" fillId="2" borderId="32" applyAlignment="1" pivotButton="0" quotePrefix="0" xfId="0">
      <alignment horizontal="left" vertical="center" wrapText="1" indent="1"/>
    </xf>
    <xf numFmtId="0" fontId="0" fillId="2" borderId="10" pivotButton="0" quotePrefix="0" xfId="0"/>
    <xf numFmtId="0" fontId="24" fillId="2" borderId="11" applyAlignment="1" pivotButton="0" quotePrefix="0" xfId="0">
      <alignment vertical="center" indent="1"/>
    </xf>
    <xf numFmtId="0" fontId="0" fillId="2" borderId="32" pivotButton="0" quotePrefix="0" xfId="0"/>
    <xf numFmtId="0" fontId="25" fillId="2" borderId="11" applyAlignment="1" pivotButton="0" quotePrefix="0" xfId="0">
      <alignment vertical="center" indent="1"/>
    </xf>
    <xf numFmtId="49" fontId="14" fillId="7" borderId="32" applyAlignment="1" pivotButton="0" quotePrefix="0" xfId="0">
      <alignment horizontal="left" vertical="center" wrapText="1" indent="1"/>
    </xf>
    <xf numFmtId="0" fontId="0" fillId="7" borderId="10" pivotButton="0" quotePrefix="0" xfId="0"/>
    <xf numFmtId="0" fontId="22" fillId="9" borderId="50" applyAlignment="1" pivotButton="0" quotePrefix="0" xfId="0">
      <alignment horizontal="center" vertical="center"/>
    </xf>
    <xf numFmtId="0" fontId="26" fillId="0" borderId="5" applyAlignment="1" pivotButton="0" quotePrefix="0" xfId="0">
      <alignment vertical="center" wrapText="1" indent="1"/>
    </xf>
    <xf numFmtId="0" fontId="6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18" fillId="0" borderId="5" applyAlignment="1" pivotButton="0" quotePrefix="0" xfId="0">
      <alignment vertical="center" indent="1"/>
    </xf>
    <xf numFmtId="0" fontId="18" fillId="2" borderId="32" applyAlignment="1" pivotButton="0" quotePrefix="0" xfId="0">
      <alignment vertical="center" indent="1"/>
    </xf>
    <xf numFmtId="0" fontId="18" fillId="7" borderId="32" applyAlignment="1" pivotButton="0" quotePrefix="0" xfId="0">
      <alignment vertical="center" indent="1"/>
    </xf>
    <xf numFmtId="0" fontId="0" fillId="7" borderId="32" pivotButton="0" quotePrefix="0" xfId="0"/>
    <xf numFmtId="0" fontId="0" fillId="10" borderId="51" pivotButton="0" quotePrefix="0" xfId="0"/>
    <xf numFmtId="0" fontId="27" fillId="10" borderId="51" applyAlignment="1" pivotButton="0" quotePrefix="0" xfId="0">
      <alignment vertical="bottom" indent="1"/>
    </xf>
    <xf numFmtId="0" fontId="28" fillId="10" borderId="51" applyAlignment="1" pivotButton="0" quotePrefix="0" xfId="0">
      <alignment horizontal="right" vertical="bottom" indent="1"/>
    </xf>
    <xf numFmtId="0" fontId="0" fillId="10" borderId="0" pivotButton="0" quotePrefix="0" xfId="0"/>
    <xf numFmtId="0" fontId="29" fillId="10" borderId="0" applyAlignment="1" pivotButton="0" quotePrefix="0" xfId="0">
      <alignment vertical="top" wrapText="1" indent="1"/>
    </xf>
    <xf numFmtId="0" fontId="0" fillId="2" borderId="22" pivotButton="0" quotePrefix="0" xfId="0"/>
    <xf numFmtId="0" fontId="0" fillId="2" borderId="23" pivotButton="0" quotePrefix="0" xfId="0"/>
    <xf numFmtId="0" fontId="0" fillId="2" borderId="24" pivotButton="0" quotePrefix="0" xfId="0"/>
    <xf numFmtId="0" fontId="9" fillId="2" borderId="22" applyAlignment="1" pivotButton="0" quotePrefix="0" xfId="0">
      <alignment horizontal="center" vertical="center"/>
    </xf>
    <xf numFmtId="0" fontId="11" fillId="2" borderId="22" applyAlignment="1" pivotButton="0" quotePrefix="0" xfId="0">
      <alignment horizontal="center" vertical="center" shrinkToFit="1"/>
    </xf>
    <xf numFmtId="0" fontId="0" fillId="2" borderId="25" pivotButton="0" quotePrefix="0" xfId="0"/>
    <xf numFmtId="0" fontId="0" fillId="2" borderId="26" pivotButton="0" quotePrefix="0" xfId="0"/>
    <xf numFmtId="0" fontId="0" fillId="2" borderId="27" pivotButton="0" quotePrefix="0" xfId="0"/>
    <xf numFmtId="0" fontId="10" fillId="2" borderId="2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bottom" indent="1"/>
    </xf>
    <xf numFmtId="0" fontId="0" fillId="0" borderId="7" pivotButton="0" quotePrefix="0" xfId="0"/>
    <xf numFmtId="0" fontId="1" fillId="2" borderId="2" applyAlignment="1" pivotButton="0" quotePrefix="0" xfId="0">
      <alignment horizontal="left" vertical="bottom" indent="1"/>
    </xf>
    <xf numFmtId="0" fontId="0" fillId="0" borderId="28" pivotButton="0" quotePrefix="0" xfId="0"/>
    <xf numFmtId="0" fontId="1" fillId="2" borderId="3" applyAlignment="1" pivotButton="0" quotePrefix="0" xfId="0">
      <alignment horizontal="left" vertical="bottom" indent="1"/>
    </xf>
    <xf numFmtId="0" fontId="0" fillId="0" borderId="29" pivotButton="0" quotePrefix="0" xfId="0"/>
    <xf numFmtId="0" fontId="2" fillId="2" borderId="9" applyAlignment="1" pivotButton="0" quotePrefix="0" xfId="0">
      <alignment horizontal="left" vertical="center" wrapText="1" indent="1"/>
    </xf>
    <xf numFmtId="0" fontId="0" fillId="0" borderId="52" pivotButton="0" quotePrefix="0" xfId="0"/>
    <xf numFmtId="0" fontId="14" fillId="7" borderId="9" applyAlignment="1" pivotButton="0" quotePrefix="0" xfId="0">
      <alignment horizontal="left" vertical="center" wrapText="1" indent="1"/>
    </xf>
    <xf numFmtId="164" fontId="2" fillId="2" borderId="9" applyAlignment="1" pivotButton="0" quotePrefix="0" xfId="0">
      <alignment horizontal="center" vertical="center" wrapText="1"/>
    </xf>
    <xf numFmtId="0" fontId="0" fillId="2" borderId="11" pivotButton="0" quotePrefix="0" xfId="0"/>
    <xf numFmtId="0" fontId="0" fillId="2" borderId="0" pivotButton="0" quotePrefix="0" xfId="0"/>
    <xf numFmtId="0" fontId="0" fillId="3" borderId="18" applyAlignment="1" pivotButton="0" quotePrefix="0" xfId="0">
      <alignment horizontal="left" vertical="center" indent="1"/>
    </xf>
    <xf numFmtId="0" fontId="0" fillId="3" borderId="28" pivotButton="0" quotePrefix="0" xfId="0"/>
    <xf numFmtId="0" fontId="0" fillId="3" borderId="29" pivotButton="0" quotePrefix="0" xfId="0"/>
    <xf numFmtId="0" fontId="1" fillId="2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 wrapText="1"/>
    </xf>
    <xf numFmtId="0" fontId="0" fillId="0" borderId="30" pivotButton="0" quotePrefix="0" xfId="0"/>
    <xf numFmtId="0" fontId="4" fillId="2" borderId="16" applyAlignment="1" pivotButton="0" quotePrefix="0" xfId="0">
      <alignment horizontal="center" vertical="center"/>
    </xf>
    <xf numFmtId="0" fontId="0" fillId="0" borderId="31" pivotButton="0" quotePrefix="0" xfId="0"/>
    <xf numFmtId="0" fontId="5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left" vertical="center" wrapText="1" indent="1"/>
    </xf>
    <xf numFmtId="0" fontId="7" fillId="2" borderId="21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0" fillId="4" borderId="28" pivotButton="0" quotePrefix="0" xfId="0"/>
    <xf numFmtId="0" fontId="13" fillId="4" borderId="2" applyAlignment="1" pivotButton="0" quotePrefix="0" xfId="0">
      <alignment horizontal="right" vertical="center" wrapText="1"/>
    </xf>
    <xf numFmtId="0" fontId="7" fillId="5" borderId="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 indent="1"/>
    </xf>
    <xf numFmtId="0" fontId="14" fillId="2" borderId="9" applyAlignment="1" pivotButton="0" quotePrefix="0" xfId="0">
      <alignment horizontal="left" vertical="center" wrapText="1" indent="1"/>
    </xf>
    <xf numFmtId="0" fontId="30" fillId="7" borderId="9" applyAlignment="1" pivotButton="0" quotePrefix="0" xfId="0">
      <alignment horizontal="left" vertical="center" shrinkToFit="1" indent="1"/>
    </xf>
    <xf numFmtId="0" fontId="0" fillId="7" borderId="0" pivotButton="0" quotePrefix="0" xfId="0"/>
    <xf numFmtId="165" fontId="14" fillId="2" borderId="32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left" vertical="center" wrapText="1" indent="1"/>
    </xf>
    <xf numFmtId="0" fontId="14" fillId="2" borderId="32" applyAlignment="1" pivotButton="0" quotePrefix="0" xfId="0">
      <alignment horizontal="left" vertical="center" wrapText="1" indent="1"/>
    </xf>
    <xf numFmtId="0" fontId="5" fillId="2" borderId="20" applyAlignment="1" pivotButton="0" quotePrefix="0" xfId="0">
      <alignment horizontal="left" vertical="bottom" wrapText="1" indent="1"/>
    </xf>
    <xf numFmtId="0" fontId="6" fillId="2" borderId="9" applyAlignment="1" pivotButton="0" quotePrefix="0" xfId="0">
      <alignment vertical="top" wrapText="1" indent="1"/>
    </xf>
    <xf numFmtId="0" fontId="5" fillId="2" borderId="4" applyAlignment="1" pivotButton="0" quotePrefix="0" xfId="0">
      <alignment horizontal="left" vertical="center" wrapText="1" indent="1"/>
    </xf>
    <xf numFmtId="0" fontId="14" fillId="2" borderId="3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center" wrapText="1" indent="1"/>
    </xf>
    <xf numFmtId="0" fontId="0" fillId="2" borderId="0" applyAlignment="1" pivotButton="0" quotePrefix="0" xfId="0">
      <alignment horizontal="left" vertical="center" indent="1"/>
    </xf>
    <xf numFmtId="0" fontId="0" fillId="2" borderId="58" pivotButton="0" quotePrefix="0" xfId="0"/>
    <xf numFmtId="0" fontId="0" fillId="0" borderId="53" pivotButton="0" quotePrefix="0" xfId="0"/>
    <xf numFmtId="0" fontId="0" fillId="0" borderId="54" pivotButton="0" quotePrefix="0" xfId="0"/>
    <xf numFmtId="0" fontId="17" fillId="2" borderId="42" applyAlignment="1" pivotButton="0" quotePrefix="0" xfId="0">
      <alignment horizontal="center" vertical="center"/>
    </xf>
    <xf numFmtId="0" fontId="11" fillId="2" borderId="42" applyAlignment="1" pivotButton="0" quotePrefix="0" xfId="0">
      <alignment horizontal="center" vertical="center" shrinkToFit="1"/>
    </xf>
    <xf numFmtId="0" fontId="0" fillId="0" borderId="60" pivotButton="0" quotePrefix="0" xfId="0"/>
    <xf numFmtId="0" fontId="0" fillId="0" borderId="56" pivotButton="0" quotePrefix="0" xfId="0"/>
    <xf numFmtId="0" fontId="0" fillId="0" borderId="57" pivotButton="0" quotePrefix="0" xfId="0"/>
    <xf numFmtId="0" fontId="10" fillId="2" borderId="4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13" fillId="3" borderId="33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5" fillId="0" borderId="0" pivotButton="0" quotePrefix="0" xfId="0"/>
    <xf numFmtId="0" fontId="6" fillId="2" borderId="35" applyAlignment="1" pivotButton="0" quotePrefix="0" xfId="0">
      <alignment horizontal="center" vertical="center"/>
    </xf>
    <xf numFmtId="0" fontId="30" fillId="7" borderId="35" applyAlignment="1" pivotButton="0" quotePrefix="0" xfId="0">
      <alignment horizontal="left" vertical="center" wrapText="1" indent="1"/>
    </xf>
    <xf numFmtId="0" fontId="6" fillId="2" borderId="21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 vertical="center"/>
    </xf>
    <xf numFmtId="9" fontId="6" fillId="7" borderId="36" applyAlignment="1" pivotButton="0" quotePrefix="0" xfId="0">
      <alignment horizontal="center" vertical="center"/>
    </xf>
    <xf numFmtId="0" fontId="6" fillId="2" borderId="37" applyAlignment="1" pivotButton="0" quotePrefix="0" xfId="0">
      <alignment horizontal="center" vertical="center"/>
    </xf>
    <xf numFmtId="0" fontId="30" fillId="7" borderId="37" applyAlignment="1" pivotButton="0" quotePrefix="0" xfId="0">
      <alignment horizontal="left" vertical="center" wrapText="1" indent="1"/>
    </xf>
    <xf numFmtId="0" fontId="6" fillId="2" borderId="38" applyAlignment="1" pivotButton="0" quotePrefix="0" xfId="0">
      <alignment horizontal="center" vertical="center"/>
    </xf>
    <xf numFmtId="0" fontId="16" fillId="2" borderId="38" applyAlignment="1" pivotButton="0" quotePrefix="0" xfId="0">
      <alignment horizontal="center" vertical="center"/>
    </xf>
    <xf numFmtId="9" fontId="6" fillId="7" borderId="39" applyAlignment="1" pivotButton="0" quotePrefix="0" xfId="0">
      <alignment horizontal="center" vertical="center"/>
    </xf>
    <xf numFmtId="0" fontId="13" fillId="3" borderId="34" applyAlignment="1" pivotButton="0" quotePrefix="0" xfId="0">
      <alignment horizontal="center" vertical="center" wrapText="1"/>
    </xf>
    <xf numFmtId="0" fontId="13" fillId="3" borderId="40" applyAlignment="1" pivotButton="0" quotePrefix="0" xfId="0">
      <alignment horizontal="center" vertical="center" wrapText="1"/>
    </xf>
    <xf numFmtId="49" fontId="18" fillId="2" borderId="35" applyAlignment="1" pivotButton="0" quotePrefix="0" xfId="0">
      <alignment horizontal="left" vertical="center" indent="1"/>
    </xf>
    <xf numFmtId="0" fontId="6" fillId="2" borderId="21" applyAlignment="1" pivotButton="0" quotePrefix="0" xfId="0">
      <alignment horizontal="left" vertical="center" indent="1"/>
    </xf>
    <xf numFmtId="0" fontId="6" fillId="2" borderId="36" applyAlignment="1" pivotButton="0" quotePrefix="0" xfId="0">
      <alignment horizontal="left" vertical="center" indent="1"/>
    </xf>
    <xf numFmtId="0" fontId="18" fillId="2" borderId="40" applyAlignment="1" pivotButton="0" quotePrefix="0" xfId="0">
      <alignment horizontal="left" vertical="center" indent="1"/>
    </xf>
    <xf numFmtId="49" fontId="18" fillId="2" borderId="37" applyAlignment="1" pivotButton="0" quotePrefix="0" xfId="0">
      <alignment horizontal="left" vertical="center" indent="1"/>
    </xf>
    <xf numFmtId="0" fontId="6" fillId="2" borderId="38" applyAlignment="1" pivotButton="0" quotePrefix="0" xfId="0">
      <alignment horizontal="left" vertical="center" indent="1"/>
    </xf>
    <xf numFmtId="0" fontId="6" fillId="2" borderId="39" applyAlignment="1" pivotButton="0" quotePrefix="0" xfId="0">
      <alignment horizontal="left" vertical="center" indent="1"/>
    </xf>
    <xf numFmtId="0" fontId="18" fillId="2" borderId="41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wrapText="1"/>
    </xf>
    <xf numFmtId="0" fontId="9" fillId="2" borderId="42" applyAlignment="1" pivotButton="0" quotePrefix="0" xfId="0">
      <alignment horizontal="center" vertical="center"/>
    </xf>
    <xf numFmtId="49" fontId="18" fillId="2" borderId="35" applyAlignment="1" pivotButton="0" quotePrefix="0" xfId="0">
      <alignment horizontal="center" vertical="center"/>
    </xf>
    <xf numFmtId="165" fontId="6" fillId="2" borderId="21" applyAlignment="1" pivotButton="0" quotePrefix="0" xfId="0">
      <alignment horizontal="center" vertical="center"/>
    </xf>
    <xf numFmtId="0" fontId="6" fillId="2" borderId="21" applyAlignment="1" pivotButton="0" quotePrefix="0" xfId="0">
      <alignment horizontal="left" vertical="center" wrapText="1" indent="1"/>
    </xf>
    <xf numFmtId="49" fontId="18" fillId="2" borderId="37" applyAlignment="1" pivotButton="0" quotePrefix="0" xfId="0">
      <alignment horizontal="center" vertical="center"/>
    </xf>
    <xf numFmtId="165" fontId="6" fillId="2" borderId="38" applyAlignment="1" pivotButton="0" quotePrefix="0" xfId="0">
      <alignment horizontal="center" vertical="center"/>
    </xf>
    <xf numFmtId="0" fontId="6" fillId="2" borderId="38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11"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4A5668"/>
      </font>
      <fill>
        <patternFill patternType="solid">
          <fgColor rgb="00EEF1F5"/>
          <bgColor rgb="00EEF1F5"/>
        </patternFill>
      </fill>
    </dxf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ill>
        <patternFill patternType="solid">
          <fgColor rgb="00D9DEE7"/>
          <bgColor rgb="00D9DEE7"/>
        </patternFill>
      </fill>
    </dxf>
    <dxf>
      <fill>
        <patternFill patternType="solid">
          <fgColor rgb="00EDEFF4"/>
          <bgColor rgb="00EDEFF4"/>
        </patternFill>
      </fill>
    </dxf>
    <dxf>
      <font>
        <b val="1"/>
        <color rgb="00FFFFFF"/>
      </font>
      <fill>
        <patternFill patternType="solid">
          <fgColor rgb="002F80ED"/>
          <bgColor rgb="002F80ED"/>
        </patternFill>
      </fill>
    </dxf>
    <dxf>
      <font>
        <b val="1"/>
        <color rgb="00FFFFFF"/>
      </font>
      <fill>
        <patternFill patternType="solid">
          <fgColor rgb="00D93025"/>
          <bgColor rgb="00D93025"/>
        </patternFill>
      </fill>
    </dxf>
    <dxf>
      <font>
        <b val="1"/>
        <color rgb="000B2A5B"/>
      </font>
      <fill>
        <patternFill patternType="solid">
          <fgColor rgb="00E1ECF6"/>
          <bgColor rgb="00E1EC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PCM Direto</author>
  </authors>
  <commentList>
    <comment ref="D4" authorId="0" shapeId="0">
      <text>
        <t>Em cada passo escolha: ● em andamento ou ✔ concluído. O % de avanço sai sozinho.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Setor.</t>
      </text>
    </comment>
    <comment ref="J3" authorId="0" shapeId="0">
      <text>
        <t>Família de equipamento.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1619250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76200</colOff>
      <row>0</row>
      <rowOff>66675</rowOff>
    </from>
    <ext cx="2143125" cy="638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895350</colOff>
      <row>0</row>
      <rowOff>57150</rowOff>
    </from>
    <ext cx="22098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quadro_autonoma" displayName="tb_pcm_quadro_autonoma" ref="A5:K25" headerRowCount="1">
  <autoFilter ref="A5:K25"/>
  <tableColumns count="11">
    <tableColumn id="1" name="tag"/>
    <tableColumn id="2" name="equipamento"/>
    <tableColumn id="3" name="lider_maquina"/>
    <tableColumn id="4" name="passo_1"/>
    <tableColumn id="5" name="passo_2"/>
    <tableColumn id="6" name="passo_3"/>
    <tableColumn id="7" name="passo_4"/>
    <tableColumn id="8" name="passo_5"/>
    <tableColumn id="9" name="passo_6"/>
    <tableColumn id="10" name="passo_7"/>
    <tableColumn id="11" name="pct_avanco"/>
  </tableColumns>
  <tableStyleInfo name="TableStyleLight1" showRowStripes="0"/>
</table>
</file>

<file path=xl/tables/table2.xml><?xml version="1.0" encoding="utf-8"?>
<table xmlns="http://schemas.openxmlformats.org/spreadsheetml/2006/main" id="2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3.xml><?xml version="1.0" encoding="utf-8"?>
<table xmlns="http://schemas.openxmlformats.org/spreadsheetml/2006/main" id="3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4.xml><?xml version="1.0" encoding="utf-8"?>
<table xmlns="http://schemas.openxmlformats.org/spreadsheetml/2006/main" id="4" name="tb_pcm_setores" displayName="tb_pcm_setores" ref="H4:H29" headerRowCount="1">
  <autoFilter ref="H4:H29"/>
  <tableColumns count="1">
    <tableColumn id="8" name="nome_setor"/>
  </tableColumns>
  <tableStyleInfo name="TableStyleLight1" showRowStripes="0"/>
</table>
</file>

<file path=xl/tables/table5.xml><?xml version="1.0" encoding="utf-8"?>
<table xmlns="http://schemas.openxmlformats.org/spreadsheetml/2006/main" id="5" name="tb_pcm_familias" displayName="tb_pcm_familias" ref="J4:J29" headerRowCount="1">
  <autoFilter ref="J4:J29"/>
  <tableColumns count="1">
    <tableColumn id="10" name="nome_familia"/>
  </tableColumns>
  <tableStyleInfo name="TableStyleLight1" showRowStripes="0"/>
</table>
</file>

<file path=xl/tables/table6.xml><?xml version="1.0" encoding="utf-8"?>
<table xmlns="http://schemas.openxmlformats.org/spreadsheetml/2006/main" id="6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6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F32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PCM-MAN-014  ·  Manutenção autônoma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Check de manutenção autônoma.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</row>
    <row r="10" ht="21" customHeight="1">
      <c r="B10" s="17" t="inlineStr">
        <is>
          <t>Título do documento</t>
        </is>
      </c>
      <c r="C10" s="18" t="n"/>
      <c r="D10" s="19" t="inlineStr">
        <is>
          <t>Manutenção autônoma</t>
        </is>
      </c>
      <c r="E10" s="20" t="n"/>
      <c r="F10" s="21" t="inlineStr">
        <is>
          <t>Já vem pronto. Ajuste se quiser.</t>
        </is>
      </c>
    </row>
    <row r="11" ht="33" customHeight="1">
      <c r="B11" s="17" t="inlineStr">
        <is>
          <t>Objetivo</t>
        </is>
      </c>
      <c r="C11" s="18" t="n"/>
      <c r="D11" s="19" t="inlineStr">
        <is>
          <t>Check diário do operador, etiquetas de anomalia e quadro dos 7 passos da manutenção autônoma</t>
        </is>
      </c>
      <c r="E11" s="22" t="n"/>
      <c r="F11" s="22" t="n"/>
    </row>
    <row r="12" ht="21" customHeight="1">
      <c r="B12" s="17" t="inlineStr">
        <is>
          <t>Código do documento</t>
        </is>
      </c>
      <c r="C12" s="18" t="n"/>
      <c r="D12" s="19" t="inlineStr">
        <is>
          <t>PCM-MAN-014</t>
        </is>
      </c>
      <c r="E12" s="22" t="n"/>
      <c r="F12" s="22" t="n"/>
    </row>
    <row r="13" ht="21" customHeight="1">
      <c r="B13" s="17" t="inlineStr">
        <is>
          <t>Elaborado por</t>
        </is>
      </c>
      <c r="C13" s="18" t="n"/>
      <c r="D13" s="19" t="n"/>
      <c r="E13" s="20" t="n"/>
      <c r="F13" s="23" t="inlineStr">
        <is>
          <t>✎ preencha</t>
        </is>
      </c>
    </row>
    <row r="14" ht="21" customHeight="1">
      <c r="B14" s="17" t="inlineStr">
        <is>
          <t>Aprovado por</t>
        </is>
      </c>
      <c r="C14" s="18" t="n"/>
      <c r="D14" s="19" t="n"/>
      <c r="E14" s="20" t="n"/>
      <c r="F14" s="23" t="inlineStr">
        <is>
          <t>✎ preencha</t>
        </is>
      </c>
    </row>
    <row r="15" ht="21" customHeight="1">
      <c r="B15" s="17" t="inlineStr">
        <is>
          <t>Revisão atual</t>
        </is>
      </c>
      <c r="C15" s="18" t="n"/>
      <c r="D15" s="24">
        <f>IF(COUNTA(tb_pcm_revisoes_modelo[revisao])=0,"-",INDEX(tb_pcm_revisoes_modelo[revisao],COUNTA(tb_pcm_revisoes_modelo[revisao])))</f>
        <v/>
      </c>
      <c r="E15" s="25" t="n"/>
      <c r="F15" s="21" t="inlineStr">
        <is>
          <t>automático: aba Revisões</t>
        </is>
      </c>
    </row>
    <row r="16" ht="21" customHeight="1">
      <c r="B16" s="17" t="inlineStr">
        <is>
          <t>Data da revisão</t>
        </is>
      </c>
      <c r="C16" s="18" t="n"/>
      <c r="D16" s="24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25" t="n"/>
      <c r="F16" s="21" t="inlineStr">
        <is>
          <t>automático: aba Revisões</t>
        </is>
      </c>
    </row>
    <row r="17" ht="10" customHeight="1"/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26" t="n">
        <v>1</v>
      </c>
      <c r="C19" s="27" t="inlineStr">
        <is>
          <t>Cadastros</t>
        </is>
      </c>
      <c r="D19" s="28" t="inlineStr">
        <is>
          <t>Cadastre uma vez TAG, equipamento, família e setor, as pessoas, os setores, as famílias de equipamento. Eles aparecem nas setas ▼ das outras abas.</t>
        </is>
      </c>
      <c r="E19" s="29" t="n"/>
      <c r="F19" s="29" t="n"/>
    </row>
    <row r="20" ht="34" customHeight="1">
      <c r="B20" s="26" t="n">
        <v>2</v>
      </c>
      <c r="C20" s="27" t="inlineStr">
        <is>
          <t>Check de manutenção autônoma</t>
        </is>
      </c>
      <c r="D20" s="28" t="inlineStr">
        <is>
          <t>Escolha a TAG e o mês. Liste as tarefas do operador e marque cada dia com ✔ feito, ✖ anomalia ou – não se aplica.</t>
        </is>
      </c>
      <c r="E20" s="29" t="n"/>
      <c r="F20" s="29" t="n"/>
    </row>
    <row r="21" ht="34" customHeight="1">
      <c r="B21" s="26" t="n">
        <v>3</v>
      </c>
      <c r="C21" s="27" t="inlineStr">
        <is>
          <t>Etiquetas</t>
        </is>
      </c>
      <c r="D21" s="28" t="inlineStr">
        <is>
          <t>Achou anomalia? Preencha uma etiqueta: azul o operador resolve; vermelha vai para a manutenção com o Nº da OS.</t>
        </is>
      </c>
      <c r="E21" s="29" t="n"/>
      <c r="F21" s="29" t="n"/>
    </row>
    <row r="22" ht="22" customHeight="1">
      <c r="B22" s="26" t="n">
        <v>4</v>
      </c>
      <c r="C22" s="27" t="inlineStr">
        <is>
          <t>Quadro de MA</t>
        </is>
      </c>
      <c r="D22" s="28" t="inlineStr">
        <is>
          <t>Marque o passo em que cada máquina está: ● em andamento, ✔ concluído. O % de avanço sai sozinho.</t>
        </is>
      </c>
      <c r="E22" s="29" t="n"/>
      <c r="F22" s="29" t="n"/>
    </row>
    <row r="23" ht="10" customHeight="1"/>
    <row r="24" ht="24" customHeight="1">
      <c r="B24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4" s="9" t="n"/>
      <c r="D24" s="9" t="n"/>
      <c r="E24" s="9" t="n"/>
      <c r="F24" s="9" t="n"/>
    </row>
    <row r="25" ht="21" customHeight="1">
      <c r="B25" s="30" t="inlineStr">
        <is>
          <t>▼  Lista</t>
        </is>
      </c>
      <c r="C25" s="29" t="n"/>
      <c r="D25" s="28" t="inlineStr">
        <is>
          <t>Clique na célula e escolha na seta. Valor fora da lista é recusado.</t>
        </is>
      </c>
      <c r="E25" s="29" t="n"/>
      <c r="F25" s="29" t="n"/>
    </row>
    <row r="26" ht="21" customHeight="1">
      <c r="B26" s="31" t="inlineStr">
        <is>
          <t>Célula branca</t>
        </is>
      </c>
      <c r="C26" s="22" t="n"/>
      <c r="D26" s="28" t="inlineStr">
        <is>
          <t>Campo para digitar.</t>
        </is>
      </c>
      <c r="E26" s="29" t="n"/>
      <c r="F26" s="29" t="n"/>
    </row>
    <row r="27" ht="21" customHeight="1">
      <c r="B27" s="32" t="inlineStr">
        <is>
          <t>Célula cinza</t>
        </is>
      </c>
      <c r="C27" s="33" t="n"/>
      <c r="D27" s="28" t="inlineStr">
        <is>
          <t>Cálculo automático. Não digite: a fórmula preenche sozinha.</t>
        </is>
      </c>
      <c r="E27" s="29" t="n"/>
      <c r="F27" s="29" t="n"/>
    </row>
    <row r="28" ht="21" customHeight="1">
      <c r="B28" s="30" t="inlineStr">
        <is>
          <t>Datas e números</t>
        </is>
      </c>
      <c r="C28" s="29" t="n"/>
      <c r="D28" s="28" t="inlineStr">
        <is>
          <t>Datas em dd/mm/aaaa; decimais com vírgula. Vazio = sem informação; zero é valor real.</t>
        </is>
      </c>
      <c r="E28" s="29" t="n"/>
      <c r="F28" s="29" t="n"/>
    </row>
    <row r="29" ht="21" customHeight="1">
      <c r="B29" s="30" t="inlineStr">
        <is>
          <t>Impressão</t>
        </is>
      </c>
      <c r="C29" s="29" t="n"/>
      <c r="D29" s="28" t="inlineStr">
        <is>
          <t>Cada aba já está ajustada para uma folha A4. Use Arquivo &gt; Imprimir sem mudar a escala.</t>
        </is>
      </c>
      <c r="E29" s="29" t="n"/>
      <c r="F29" s="29" t="n"/>
    </row>
    <row r="30" ht="12" customHeight="1"/>
    <row r="31" ht="22" customHeight="1">
      <c r="B31" s="34" t="n"/>
      <c r="C31" s="34" t="n"/>
      <c r="D31" s="35" t="inlineStr">
        <is>
          <t>SOBRE O PCM DIRETO</t>
        </is>
      </c>
      <c r="E31" s="34" t="n"/>
      <c r="F31" s="36" t="inlineStr">
        <is>
          <t>pcmdireto.me</t>
        </is>
      </c>
    </row>
    <row r="32" ht="34" customHeight="1">
      <c r="B32" s="37" t="n"/>
      <c r="C32" s="37" t="n"/>
      <c r="D32" s="38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2" s="37" t="n"/>
      <c r="F32" s="37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D32:F32"/>
    <mergeCell ref="B27:C27"/>
    <mergeCell ref="D31:E31"/>
    <mergeCell ref="B18:F18"/>
    <mergeCell ref="B12:C12"/>
    <mergeCell ref="D28:F28"/>
    <mergeCell ref="D2:E2"/>
    <mergeCell ref="B11:C11"/>
    <mergeCell ref="D13:E13"/>
    <mergeCell ref="D12:F12"/>
    <mergeCell ref="B14:C14"/>
    <mergeCell ref="D25:F25"/>
    <mergeCell ref="B1:C3"/>
    <mergeCell ref="B13:C13"/>
    <mergeCell ref="D16:E16"/>
    <mergeCell ref="D29:F29"/>
    <mergeCell ref="B29:C29"/>
    <mergeCell ref="B10:C10"/>
    <mergeCell ref="B28:C28"/>
    <mergeCell ref="B31:C32"/>
    <mergeCell ref="D26:F26"/>
    <mergeCell ref="D3:E3"/>
    <mergeCell ref="D20:F20"/>
    <mergeCell ref="B9:F9"/>
    <mergeCell ref="B6:C6"/>
    <mergeCell ref="D19:F19"/>
    <mergeCell ref="B15:C15"/>
    <mergeCell ref="B24:F24"/>
    <mergeCell ref="D15:E15"/>
    <mergeCell ref="D22:F22"/>
    <mergeCell ref="B5:F5"/>
    <mergeCell ref="D14:E14"/>
    <mergeCell ref="B26:C26"/>
    <mergeCell ref="D21:F21"/>
  </mergeCells>
  <hyperlinks>
    <hyperlink xmlns:r="http://schemas.openxmlformats.org/officeDocument/2006/relationships" ref="F2" r:id="rId1"/>
    <hyperlink ref="C19" location="'Cadastros'!A1" display="Cadastros"/>
    <hyperlink ref="C20" location="'Check de manutenção autônoma'!A1" display="Check de manutenção autônoma"/>
    <hyperlink ref="C21" location="'Etiquetas'!A1" display="Etiquetas"/>
    <hyperlink ref="C22" location="'Quadro de MA'!A1" display="Quadro de MA"/>
    <hyperlink xmlns:r="http://schemas.openxmlformats.org/officeDocument/2006/relationships" ref="F31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AK28"/>
  <sheetViews>
    <sheetView showGridLines="0" tabSelected="0" zoomScale="9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62" customWidth="1" min="3" max="3"/>
    <col width="9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6" customWidth="1" min="36" max="36"/>
    <col width="6" customWidth="1" min="37" max="37"/>
  </cols>
  <sheetData>
    <row r="1" ht="30.75" customHeight="1">
      <c r="A1" s="39" t="n"/>
      <c r="B1" s="40" t="n"/>
      <c r="C1" s="41" t="n"/>
      <c r="D1" s="42">
        <f>'Leia-me'!$D$10</f>
        <v/>
      </c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1" t="n"/>
      <c r="AB1" s="43">
        <f>"Rev. "&amp;'Leia-me'!$D$15&amp;"   ·   "&amp;'Leia-me'!$D$16</f>
        <v/>
      </c>
      <c r="AC1" s="40" t="n"/>
      <c r="AD1" s="40" t="n"/>
      <c r="AE1" s="40" t="n"/>
      <c r="AF1" s="40" t="n"/>
      <c r="AG1" s="40" t="n"/>
      <c r="AH1" s="40" t="n"/>
      <c r="AI1" s="40" t="n"/>
      <c r="AJ1" s="40" t="n"/>
      <c r="AK1" s="41" t="n"/>
    </row>
    <row r="2" ht="28" customHeight="1">
      <c r="A2" s="44" t="n"/>
      <c r="B2" s="45" t="n"/>
      <c r="C2" s="46" t="n"/>
      <c r="D2" s="47">
        <f>"Objetivo: "&amp;'Leia-me'!$D$11</f>
        <v/>
      </c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6" t="n"/>
      <c r="AB2" s="47">
        <f>"Elaborado: "&amp;'Leia-me'!$D$13&amp;"   ·   Aprovado: "&amp;'Leia-me'!$D$14</f>
        <v/>
      </c>
      <c r="AC2" s="45" t="n"/>
      <c r="AD2" s="45" t="n"/>
      <c r="AE2" s="45" t="n"/>
      <c r="AF2" s="45" t="n"/>
      <c r="AG2" s="45" t="n"/>
      <c r="AH2" s="45" t="n"/>
      <c r="AI2" s="45" t="n"/>
      <c r="AJ2" s="45" t="n"/>
      <c r="AK2" s="46" t="n"/>
    </row>
    <row r="3" ht="14" customHeight="1">
      <c r="A3" s="48" t="inlineStr">
        <is>
          <t>TAG da máquina</t>
        </is>
      </c>
      <c r="B3" s="49" t="n"/>
      <c r="C3" s="48" t="inlineStr">
        <is>
          <t>Equipamento</t>
        </is>
      </c>
      <c r="D3" s="50" t="inlineStr">
        <is>
          <t>Mês</t>
        </is>
      </c>
      <c r="E3" s="51" t="n"/>
      <c r="F3" s="51" t="n"/>
      <c r="G3" s="51" t="n"/>
      <c r="H3" s="51" t="n"/>
      <c r="I3" s="51" t="n"/>
      <c r="J3" s="51" t="n"/>
      <c r="K3" s="51" t="n"/>
      <c r="L3" s="51" t="n"/>
      <c r="M3" s="50" t="inlineStr">
        <is>
          <t>Operador</t>
        </is>
      </c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2" t="inlineStr">
        <is>
          <t>Líder da equipe</t>
        </is>
      </c>
      <c r="Y3" s="51" t="n"/>
      <c r="Z3" s="51" t="n"/>
      <c r="AA3" s="51" t="n"/>
      <c r="AB3" s="51" t="n"/>
      <c r="AC3" s="51" t="n"/>
      <c r="AD3" s="51" t="n"/>
      <c r="AE3" s="51" t="n"/>
      <c r="AF3" s="51" t="n"/>
      <c r="AG3" s="51" t="n"/>
      <c r="AH3" s="51" t="n"/>
      <c r="AI3" s="51" t="n"/>
      <c r="AJ3" s="51" t="n"/>
      <c r="AK3" s="53" t="n"/>
    </row>
    <row r="4" ht="24" customHeight="1">
      <c r="A4" s="54" t="n"/>
      <c r="B4" s="55" t="n"/>
      <c r="C4" s="56">
        <f>IF(A4="","",IFERROR(INDEX(tb_pcm_ativos[descricao_ativo],MATCH(A4,tb_pcm_ativos[tag],0)),"fora do cadastro"))</f>
        <v/>
      </c>
      <c r="D4" s="57" t="n"/>
      <c r="E4" s="20" t="n"/>
      <c r="F4" s="20" t="n"/>
      <c r="G4" s="20" t="n"/>
      <c r="H4" s="20" t="n"/>
      <c r="I4" s="20" t="n"/>
      <c r="J4" s="20" t="n"/>
      <c r="K4" s="20" t="n"/>
      <c r="L4" s="58" t="n"/>
      <c r="M4" s="54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58" t="n"/>
      <c r="X4" s="54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58" t="n"/>
    </row>
    <row r="5" ht="8" customHeight="1">
      <c r="A5" s="59" t="n"/>
      <c r="B5" s="59" t="n"/>
      <c r="C5" s="59" t="n"/>
      <c r="D5" s="59" t="n"/>
      <c r="E5" s="59" t="n"/>
      <c r="F5" s="59" t="n"/>
      <c r="G5" s="59" t="n"/>
      <c r="H5" s="59" t="n"/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  <c r="AF5" s="59" t="n"/>
      <c r="AG5" s="59" t="n"/>
      <c r="AH5" s="59" t="n"/>
      <c r="AI5" s="59" t="n"/>
      <c r="AJ5" s="59" t="n"/>
      <c r="AK5" s="59" t="n"/>
    </row>
    <row r="6" ht="22" customHeight="1">
      <c r="A6" s="60" t="inlineStr">
        <is>
          <r>
            <rPr>
              <rFont val="Arial"/>
              <b val="1"/>
              <color rgb="00FFFFFF"/>
              <sz val="10"/>
            </rPr>
            <t>Limpeza, inspeção, lubrificação e reaperto</t>
          </r>
          <r>
            <rPr>
              <rFont val="Arial"/>
              <color rgb="00D3DEEC"/>
              <sz val="8"/>
            </rPr>
            <t xml:space="preserve">   uma folha por máquina e mês</t>
          </r>
        </is>
      </c>
      <c r="B6" s="61" t="n"/>
      <c r="C6" s="61" t="n"/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  <c r="V6" s="61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1" t="n"/>
      <c r="AG6" s="61" t="n"/>
      <c r="AH6" s="61" t="n"/>
      <c r="AI6" s="61" t="n"/>
      <c r="AJ6" s="61" t="n"/>
      <c r="AK6" s="62" t="n"/>
    </row>
    <row r="7" ht="14" customHeight="1">
      <c r="A7" s="63" t="inlineStr">
        <is>
          <t>#</t>
        </is>
      </c>
      <c r="B7" s="64" t="inlineStr">
        <is>
          <t>Tipo</t>
        </is>
      </c>
      <c r="C7" s="64" t="inlineStr">
        <is>
          <t>Tarefa (o que o operador faz)</t>
        </is>
      </c>
      <c r="D7" s="64" t="inlineStr">
        <is>
          <t>Frequência</t>
        </is>
      </c>
      <c r="E7" s="65">
        <f>IF(OR(NOT(ISNUMBER($D$4)),E$8&gt;DAY(EOMONTH($D$4,0))),"",CHOOSE(WEEKDAY(DATE(YEAR($D$4),MONTH($D$4),E$8)),"D","S","T","Q","Q","S","S"))</f>
        <v/>
      </c>
      <c r="F7" s="65">
        <f>IF(OR(NOT(ISNUMBER($D$4)),F$8&gt;DAY(EOMONTH($D$4,0))),"",CHOOSE(WEEKDAY(DATE(YEAR($D$4),MONTH($D$4),F$8)),"D","S","T","Q","Q","S","S"))</f>
        <v/>
      </c>
      <c r="G7" s="65">
        <f>IF(OR(NOT(ISNUMBER($D$4)),G$8&gt;DAY(EOMONTH($D$4,0))),"",CHOOSE(WEEKDAY(DATE(YEAR($D$4),MONTH($D$4),G$8)),"D","S","T","Q","Q","S","S"))</f>
        <v/>
      </c>
      <c r="H7" s="65">
        <f>IF(OR(NOT(ISNUMBER($D$4)),H$8&gt;DAY(EOMONTH($D$4,0))),"",CHOOSE(WEEKDAY(DATE(YEAR($D$4),MONTH($D$4),H$8)),"D","S","T","Q","Q","S","S"))</f>
        <v/>
      </c>
      <c r="I7" s="65">
        <f>IF(OR(NOT(ISNUMBER($D$4)),I$8&gt;DAY(EOMONTH($D$4,0))),"",CHOOSE(WEEKDAY(DATE(YEAR($D$4),MONTH($D$4),I$8)),"D","S","T","Q","Q","S","S"))</f>
        <v/>
      </c>
      <c r="J7" s="65">
        <f>IF(OR(NOT(ISNUMBER($D$4)),J$8&gt;DAY(EOMONTH($D$4,0))),"",CHOOSE(WEEKDAY(DATE(YEAR($D$4),MONTH($D$4),J$8)),"D","S","T","Q","Q","S","S"))</f>
        <v/>
      </c>
      <c r="K7" s="65">
        <f>IF(OR(NOT(ISNUMBER($D$4)),K$8&gt;DAY(EOMONTH($D$4,0))),"",CHOOSE(WEEKDAY(DATE(YEAR($D$4),MONTH($D$4),K$8)),"D","S","T","Q","Q","S","S"))</f>
        <v/>
      </c>
      <c r="L7" s="65">
        <f>IF(OR(NOT(ISNUMBER($D$4)),L$8&gt;DAY(EOMONTH($D$4,0))),"",CHOOSE(WEEKDAY(DATE(YEAR($D$4),MONTH($D$4),L$8)),"D","S","T","Q","Q","S","S"))</f>
        <v/>
      </c>
      <c r="M7" s="65">
        <f>IF(OR(NOT(ISNUMBER($D$4)),M$8&gt;DAY(EOMONTH($D$4,0))),"",CHOOSE(WEEKDAY(DATE(YEAR($D$4),MONTH($D$4),M$8)),"D","S","T","Q","Q","S","S"))</f>
        <v/>
      </c>
      <c r="N7" s="65">
        <f>IF(OR(NOT(ISNUMBER($D$4)),N$8&gt;DAY(EOMONTH($D$4,0))),"",CHOOSE(WEEKDAY(DATE(YEAR($D$4),MONTH($D$4),N$8)),"D","S","T","Q","Q","S","S"))</f>
        <v/>
      </c>
      <c r="O7" s="65">
        <f>IF(OR(NOT(ISNUMBER($D$4)),O$8&gt;DAY(EOMONTH($D$4,0))),"",CHOOSE(WEEKDAY(DATE(YEAR($D$4),MONTH($D$4),O$8)),"D","S","T","Q","Q","S","S"))</f>
        <v/>
      </c>
      <c r="P7" s="65">
        <f>IF(OR(NOT(ISNUMBER($D$4)),P$8&gt;DAY(EOMONTH($D$4,0))),"",CHOOSE(WEEKDAY(DATE(YEAR($D$4),MONTH($D$4),P$8)),"D","S","T","Q","Q","S","S"))</f>
        <v/>
      </c>
      <c r="Q7" s="65">
        <f>IF(OR(NOT(ISNUMBER($D$4)),Q$8&gt;DAY(EOMONTH($D$4,0))),"",CHOOSE(WEEKDAY(DATE(YEAR($D$4),MONTH($D$4),Q$8)),"D","S","T","Q","Q","S","S"))</f>
        <v/>
      </c>
      <c r="R7" s="65">
        <f>IF(OR(NOT(ISNUMBER($D$4)),R$8&gt;DAY(EOMONTH($D$4,0))),"",CHOOSE(WEEKDAY(DATE(YEAR($D$4),MONTH($D$4),R$8)),"D","S","T","Q","Q","S","S"))</f>
        <v/>
      </c>
      <c r="S7" s="65">
        <f>IF(OR(NOT(ISNUMBER($D$4)),S$8&gt;DAY(EOMONTH($D$4,0))),"",CHOOSE(WEEKDAY(DATE(YEAR($D$4),MONTH($D$4),S$8)),"D","S","T","Q","Q","S","S"))</f>
        <v/>
      </c>
      <c r="T7" s="65">
        <f>IF(OR(NOT(ISNUMBER($D$4)),T$8&gt;DAY(EOMONTH($D$4,0))),"",CHOOSE(WEEKDAY(DATE(YEAR($D$4),MONTH($D$4),T$8)),"D","S","T","Q","Q","S","S"))</f>
        <v/>
      </c>
      <c r="U7" s="65">
        <f>IF(OR(NOT(ISNUMBER($D$4)),U$8&gt;DAY(EOMONTH($D$4,0))),"",CHOOSE(WEEKDAY(DATE(YEAR($D$4),MONTH($D$4),U$8)),"D","S","T","Q","Q","S","S"))</f>
        <v/>
      </c>
      <c r="V7" s="65">
        <f>IF(OR(NOT(ISNUMBER($D$4)),V$8&gt;DAY(EOMONTH($D$4,0))),"",CHOOSE(WEEKDAY(DATE(YEAR($D$4),MONTH($D$4),V$8)),"D","S","T","Q","Q","S","S"))</f>
        <v/>
      </c>
      <c r="W7" s="65">
        <f>IF(OR(NOT(ISNUMBER($D$4)),W$8&gt;DAY(EOMONTH($D$4,0))),"",CHOOSE(WEEKDAY(DATE(YEAR($D$4),MONTH($D$4),W$8)),"D","S","T","Q","Q","S","S"))</f>
        <v/>
      </c>
      <c r="X7" s="65">
        <f>IF(OR(NOT(ISNUMBER($D$4)),X$8&gt;DAY(EOMONTH($D$4,0))),"",CHOOSE(WEEKDAY(DATE(YEAR($D$4),MONTH($D$4),X$8)),"D","S","T","Q","Q","S","S"))</f>
        <v/>
      </c>
      <c r="Y7" s="65">
        <f>IF(OR(NOT(ISNUMBER($D$4)),Y$8&gt;DAY(EOMONTH($D$4,0))),"",CHOOSE(WEEKDAY(DATE(YEAR($D$4),MONTH($D$4),Y$8)),"D","S","T","Q","Q","S","S"))</f>
        <v/>
      </c>
      <c r="Z7" s="65">
        <f>IF(OR(NOT(ISNUMBER($D$4)),Z$8&gt;DAY(EOMONTH($D$4,0))),"",CHOOSE(WEEKDAY(DATE(YEAR($D$4),MONTH($D$4),Z$8)),"D","S","T","Q","Q","S","S"))</f>
        <v/>
      </c>
      <c r="AA7" s="65">
        <f>IF(OR(NOT(ISNUMBER($D$4)),AA$8&gt;DAY(EOMONTH($D$4,0))),"",CHOOSE(WEEKDAY(DATE(YEAR($D$4),MONTH($D$4),AA$8)),"D","S","T","Q","Q","S","S"))</f>
        <v/>
      </c>
      <c r="AB7" s="65">
        <f>IF(OR(NOT(ISNUMBER($D$4)),AB$8&gt;DAY(EOMONTH($D$4,0))),"",CHOOSE(WEEKDAY(DATE(YEAR($D$4),MONTH($D$4),AB$8)),"D","S","T","Q","Q","S","S"))</f>
        <v/>
      </c>
      <c r="AC7" s="65">
        <f>IF(OR(NOT(ISNUMBER($D$4)),AC$8&gt;DAY(EOMONTH($D$4,0))),"",CHOOSE(WEEKDAY(DATE(YEAR($D$4),MONTH($D$4),AC$8)),"D","S","T","Q","Q","S","S"))</f>
        <v/>
      </c>
      <c r="AD7" s="65">
        <f>IF(OR(NOT(ISNUMBER($D$4)),AD$8&gt;DAY(EOMONTH($D$4,0))),"",CHOOSE(WEEKDAY(DATE(YEAR($D$4),MONTH($D$4),AD$8)),"D","S","T","Q","Q","S","S"))</f>
        <v/>
      </c>
      <c r="AE7" s="65">
        <f>IF(OR(NOT(ISNUMBER($D$4)),AE$8&gt;DAY(EOMONTH($D$4,0))),"",CHOOSE(WEEKDAY(DATE(YEAR($D$4),MONTH($D$4),AE$8)),"D","S","T","Q","Q","S","S"))</f>
        <v/>
      </c>
      <c r="AF7" s="65">
        <f>IF(OR(NOT(ISNUMBER($D$4)),AF$8&gt;DAY(EOMONTH($D$4,0))),"",CHOOSE(WEEKDAY(DATE(YEAR($D$4),MONTH($D$4),AF$8)),"D","S","T","Q","Q","S","S"))</f>
        <v/>
      </c>
      <c r="AG7" s="65">
        <f>IF(OR(NOT(ISNUMBER($D$4)),AG$8&gt;DAY(EOMONTH($D$4,0))),"",CHOOSE(WEEKDAY(DATE(YEAR($D$4),MONTH($D$4),AG$8)),"D","S","T","Q","Q","S","S"))</f>
        <v/>
      </c>
      <c r="AH7" s="65">
        <f>IF(OR(NOT(ISNUMBER($D$4)),AH$8&gt;DAY(EOMONTH($D$4,0))),"",CHOOSE(WEEKDAY(DATE(YEAR($D$4),MONTH($D$4),AH$8)),"D","S","T","Q","Q","S","S"))</f>
        <v/>
      </c>
      <c r="AI7" s="65">
        <f>IF(OR(NOT(ISNUMBER($D$4)),AI$8&gt;DAY(EOMONTH($D$4,0))),"",CHOOSE(WEEKDAY(DATE(YEAR($D$4),MONTH($D$4),AI$8)),"D","S","T","Q","Q","S","S"))</f>
        <v/>
      </c>
      <c r="AJ7" s="64" t="inlineStr">
        <is>
          <t>OK</t>
        </is>
      </c>
      <c r="AK7" s="66" t="inlineStr">
        <is>
          <t>Anom.</t>
        </is>
      </c>
    </row>
    <row r="8" ht="16" customHeight="1">
      <c r="A8" s="67" t="n"/>
      <c r="E8" s="68" t="n">
        <v>1</v>
      </c>
      <c r="F8" s="68" t="n">
        <v>2</v>
      </c>
      <c r="G8" s="68" t="n">
        <v>3</v>
      </c>
      <c r="H8" s="68" t="n">
        <v>4</v>
      </c>
      <c r="I8" s="68" t="n">
        <v>5</v>
      </c>
      <c r="J8" s="68" t="n">
        <v>6</v>
      </c>
      <c r="K8" s="68" t="n">
        <v>7</v>
      </c>
      <c r="L8" s="68" t="n">
        <v>8</v>
      </c>
      <c r="M8" s="68" t="n">
        <v>9</v>
      </c>
      <c r="N8" s="68" t="n">
        <v>10</v>
      </c>
      <c r="O8" s="68" t="n">
        <v>11</v>
      </c>
      <c r="P8" s="68" t="n">
        <v>12</v>
      </c>
      <c r="Q8" s="68" t="n">
        <v>13</v>
      </c>
      <c r="R8" s="68" t="n">
        <v>14</v>
      </c>
      <c r="S8" s="68" t="n">
        <v>15</v>
      </c>
      <c r="T8" s="68" t="n">
        <v>16</v>
      </c>
      <c r="U8" s="68" t="n">
        <v>17</v>
      </c>
      <c r="V8" s="68" t="n">
        <v>18</v>
      </c>
      <c r="W8" s="68" t="n">
        <v>19</v>
      </c>
      <c r="X8" s="68" t="n">
        <v>20</v>
      </c>
      <c r="Y8" s="68" t="n">
        <v>21</v>
      </c>
      <c r="Z8" s="68" t="n">
        <v>22</v>
      </c>
      <c r="AA8" s="68" t="n">
        <v>23</v>
      </c>
      <c r="AB8" s="68" t="n">
        <v>24</v>
      </c>
      <c r="AC8" s="68" t="n">
        <v>25</v>
      </c>
      <c r="AD8" s="68" t="n">
        <v>26</v>
      </c>
      <c r="AE8" s="68" t="n">
        <v>27</v>
      </c>
      <c r="AF8" s="68" t="n">
        <v>28</v>
      </c>
      <c r="AG8" s="68" t="n">
        <v>29</v>
      </c>
      <c r="AH8" s="68" t="n">
        <v>30</v>
      </c>
      <c r="AI8" s="68" t="n">
        <v>31</v>
      </c>
      <c r="AK8" s="69" t="n"/>
    </row>
    <row r="9" ht="22" customHeight="1">
      <c r="A9" s="70" t="n">
        <v>1</v>
      </c>
      <c r="B9" s="71" t="inlineStr">
        <is>
          <t>Limpeza</t>
        </is>
      </c>
      <c r="C9" s="72" t="inlineStr">
        <is>
          <t>Limpar superfícies, painéis e áreas onde acumula pó, óleo ou resíduo</t>
        </is>
      </c>
      <c r="D9" s="71" t="n"/>
      <c r="E9" s="73" t="n"/>
      <c r="F9" s="73" t="n"/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4">
        <f>IF($C9="","",COUNTIF(E9:AI9,"✔"))</f>
        <v/>
      </c>
      <c r="AK9" s="75">
        <f>IF($C9="","",COUNTIF(E9:AI9,"✖"))</f>
        <v/>
      </c>
    </row>
    <row r="10" ht="22" customHeight="1">
      <c r="A10" s="70" t="n">
        <v>2</v>
      </c>
      <c r="B10" s="71" t="inlineStr">
        <is>
          <t>Limpeza</t>
        </is>
      </c>
      <c r="C10" s="72" t="inlineStr">
        <is>
          <t>Limpar sensores, visores e proteções</t>
        </is>
      </c>
      <c r="D10" s="71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  <c r="Z10" s="73" t="n"/>
      <c r="AA10" s="73" t="n"/>
      <c r="AB10" s="73" t="n"/>
      <c r="AC10" s="73" t="n"/>
      <c r="AD10" s="73" t="n"/>
      <c r="AE10" s="73" t="n"/>
      <c r="AF10" s="73" t="n"/>
      <c r="AG10" s="73" t="n"/>
      <c r="AH10" s="73" t="n"/>
      <c r="AI10" s="73" t="n"/>
      <c r="AJ10" s="74">
        <f>IF($C10="","",COUNTIF(E10:AI10,"✔"))</f>
        <v/>
      </c>
      <c r="AK10" s="75">
        <f>IF($C10="","",COUNTIF(E10:AI10,"✖"))</f>
        <v/>
      </c>
    </row>
    <row r="11" ht="22" customHeight="1">
      <c r="A11" s="70" t="n">
        <v>3</v>
      </c>
      <c r="B11" s="71" t="inlineStr">
        <is>
          <t>Inspeção</t>
        </is>
      </c>
      <c r="C11" s="72" t="inlineStr">
        <is>
          <t>Verificar vazamentos de óleo, ar ou água</t>
        </is>
      </c>
      <c r="D11" s="71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4">
        <f>IF($C11="","",COUNTIF(E11:AI11,"✔"))</f>
        <v/>
      </c>
      <c r="AK11" s="75">
        <f>IF($C11="","",COUNTIF(E11:AI11,"✖"))</f>
        <v/>
      </c>
    </row>
    <row r="12" ht="22" customHeight="1">
      <c r="A12" s="70" t="n">
        <v>4</v>
      </c>
      <c r="B12" s="71" t="inlineStr">
        <is>
          <t>Inspeção</t>
        </is>
      </c>
      <c r="C12" s="72" t="inlineStr">
        <is>
          <t>Verificar ruído, vibração e aquecimento anormais</t>
        </is>
      </c>
      <c r="D12" s="71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4">
        <f>IF($C12="","",COUNTIF(E12:AI12,"✔"))</f>
        <v/>
      </c>
      <c r="AK12" s="75">
        <f>IF($C12="","",COUNTIF(E12:AI12,"✖"))</f>
        <v/>
      </c>
    </row>
    <row r="13" ht="22" customHeight="1">
      <c r="A13" s="70" t="n">
        <v>5</v>
      </c>
      <c r="B13" s="71" t="inlineStr">
        <is>
          <t>Inspeção</t>
        </is>
      </c>
      <c r="C13" s="72" t="inlineStr">
        <is>
          <t>Verificar proteções e dispositivos de segurança no lugar</t>
        </is>
      </c>
      <c r="D13" s="71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4">
        <f>IF($C13="","",COUNTIF(E13:AI13,"✔"))</f>
        <v/>
      </c>
      <c r="AK13" s="75">
        <f>IF($C13="","",COUNTIF(E13:AI13,"✖"))</f>
        <v/>
      </c>
    </row>
    <row r="14" ht="22" customHeight="1">
      <c r="A14" s="70" t="n">
        <v>6</v>
      </c>
      <c r="B14" s="71" t="inlineStr">
        <is>
          <t>Inspeção</t>
        </is>
      </c>
      <c r="C14" s="72" t="inlineStr">
        <is>
          <t>Verificar níveis de óleo, fluido e refrigerante</t>
        </is>
      </c>
      <c r="D14" s="71" t="n"/>
      <c r="E14" s="73" t="n"/>
      <c r="F14" s="73" t="n"/>
      <c r="G14" s="73" t="n"/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4">
        <f>IF($C14="","",COUNTIF(E14:AI14,"✔"))</f>
        <v/>
      </c>
      <c r="AK14" s="75">
        <f>IF($C14="","",COUNTIF(E14:AI14,"✖"))</f>
        <v/>
      </c>
    </row>
    <row r="15" ht="22" customHeight="1">
      <c r="A15" s="70" t="n">
        <v>7</v>
      </c>
      <c r="B15" s="71" t="inlineStr">
        <is>
          <t>Inspeção</t>
        </is>
      </c>
      <c r="C15" s="72" t="inlineStr">
        <is>
          <t>Verificar pressões e indicadores dentro da faixa marcada</t>
        </is>
      </c>
      <c r="D15" s="71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4">
        <f>IF($C15="","",COUNTIF(E15:AI15,"✔"))</f>
        <v/>
      </c>
      <c r="AK15" s="75">
        <f>IF($C15="","",COUNTIF(E15:AI15,"✖"))</f>
        <v/>
      </c>
    </row>
    <row r="16" ht="22" customHeight="1">
      <c r="A16" s="70" t="n">
        <v>8</v>
      </c>
      <c r="B16" s="71" t="inlineStr">
        <is>
          <t>Lubrificação</t>
        </is>
      </c>
      <c r="C16" s="72" t="inlineStr">
        <is>
          <t>Lubrificar os pontos conforme o padrão</t>
        </is>
      </c>
      <c r="D16" s="71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4">
        <f>IF($C16="","",COUNTIF(E16:AI16,"✔"))</f>
        <v/>
      </c>
      <c r="AK16" s="75">
        <f>IF($C16="","",COUNTIF(E16:AI16,"✖"))</f>
        <v/>
      </c>
    </row>
    <row r="17" ht="22" customHeight="1">
      <c r="A17" s="70" t="n">
        <v>9</v>
      </c>
      <c r="B17" s="71" t="inlineStr">
        <is>
          <t>Lubrificação</t>
        </is>
      </c>
      <c r="C17" s="72" t="inlineStr">
        <is>
          <t>Conferir nível e estado do lubrificante</t>
        </is>
      </c>
      <c r="D17" s="71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4">
        <f>IF($C17="","",COUNTIF(E17:AI17,"✔"))</f>
        <v/>
      </c>
      <c r="AK17" s="75">
        <f>IF($C17="","",COUNTIF(E17:AI17,"✖"))</f>
        <v/>
      </c>
    </row>
    <row r="18" ht="22" customHeight="1">
      <c r="A18" s="70" t="n">
        <v>10</v>
      </c>
      <c r="B18" s="71" t="inlineStr">
        <is>
          <t>Reapertar</t>
        </is>
      </c>
      <c r="C18" s="72" t="inlineStr">
        <is>
          <t>Reapertar parafusos e fixações nos pontos marcados</t>
        </is>
      </c>
      <c r="D18" s="71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  <c r="Z18" s="73" t="n"/>
      <c r="AA18" s="73" t="n"/>
      <c r="AB18" s="73" t="n"/>
      <c r="AC18" s="73" t="n"/>
      <c r="AD18" s="73" t="n"/>
      <c r="AE18" s="73" t="n"/>
      <c r="AF18" s="73" t="n"/>
      <c r="AG18" s="73" t="n"/>
      <c r="AH18" s="73" t="n"/>
      <c r="AI18" s="73" t="n"/>
      <c r="AJ18" s="74">
        <f>IF($C18="","",COUNTIF(E18:AI18,"✔"))</f>
        <v/>
      </c>
      <c r="AK18" s="75">
        <f>IF($C18="","",COUNTIF(E18:AI18,"✖"))</f>
        <v/>
      </c>
    </row>
    <row r="19" ht="22" customHeight="1">
      <c r="A19" s="70" t="n">
        <v>11</v>
      </c>
      <c r="B19" s="71" t="inlineStr">
        <is>
          <t>Reapertar</t>
        </is>
      </c>
      <c r="C19" s="72" t="inlineStr">
        <is>
          <t>Conferir conexões de mangueira e tubulação, sem vazamento</t>
        </is>
      </c>
      <c r="D19" s="71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4">
        <f>IF($C19="","",COUNTIF(E19:AI19,"✔"))</f>
        <v/>
      </c>
      <c r="AK19" s="75">
        <f>IF($C19="","",COUNTIF(E19:AI19,"✖"))</f>
        <v/>
      </c>
    </row>
    <row r="20" ht="22" customHeight="1">
      <c r="A20" s="70" t="n">
        <v>12</v>
      </c>
      <c r="B20" s="71" t="inlineStr">
        <is>
          <t>Reapertar</t>
        </is>
      </c>
      <c r="C20" s="72" t="inlineStr">
        <is>
          <t>Conferir fixação de sensores, chaves e suportes</t>
        </is>
      </c>
      <c r="D20" s="71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4">
        <f>IF($C20="","",COUNTIF(E20:AI20,"✔"))</f>
        <v/>
      </c>
      <c r="AK20" s="75">
        <f>IF($C20="","",COUNTIF(E20:AI20,"✖"))</f>
        <v/>
      </c>
    </row>
    <row r="21" ht="22" customHeight="1">
      <c r="A21" s="70" t="n">
        <v>13</v>
      </c>
      <c r="B21" s="71" t="n"/>
      <c r="C21" s="72" t="n"/>
      <c r="D21" s="71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4">
        <f>IF($C21="","",COUNTIF(E21:AI21,"✔"))</f>
        <v/>
      </c>
      <c r="AK21" s="75">
        <f>IF($C21="","",COUNTIF(E21:AI21,"✖"))</f>
        <v/>
      </c>
    </row>
    <row r="22" ht="22" customHeight="1">
      <c r="A22" s="70" t="n">
        <v>14</v>
      </c>
      <c r="B22" s="71" t="n"/>
      <c r="C22" s="72" t="n"/>
      <c r="D22" s="71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4">
        <f>IF($C22="","",COUNTIF(E22:AI22,"✔"))</f>
        <v/>
      </c>
      <c r="AK22" s="75">
        <f>IF($C22="","",COUNTIF(E22:AI22,"✖"))</f>
        <v/>
      </c>
    </row>
    <row r="23" ht="22" customHeight="1">
      <c r="A23" s="70" t="n">
        <v>15</v>
      </c>
      <c r="B23" s="71" t="n"/>
      <c r="C23" s="72" t="n"/>
      <c r="D23" s="71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4">
        <f>IF($C23="","",COUNTIF(E23:AI23,"✔"))</f>
        <v/>
      </c>
      <c r="AK23" s="75">
        <f>IF($C23="","",COUNTIF(E23:AI23,"✖"))</f>
        <v/>
      </c>
    </row>
    <row r="24" ht="22" customHeight="1">
      <c r="A24" s="70" t="n">
        <v>16</v>
      </c>
      <c r="B24" s="71" t="n"/>
      <c r="C24" s="72" t="n"/>
      <c r="D24" s="71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4">
        <f>IF($C24="","",COUNTIF(E24:AI24,"✔"))</f>
        <v/>
      </c>
      <c r="AK24" s="75">
        <f>IF($C24="","",COUNTIF(E24:AI24,"✖"))</f>
        <v/>
      </c>
    </row>
    <row r="25" ht="22" customHeight="1">
      <c r="A25" s="76" t="inlineStr">
        <is>
          <r>
            <rPr>
              <rFont val="Arial"/>
              <b val="1"/>
              <color rgb="006B7686"/>
              <sz val="8"/>
            </rPr>
            <t xml:space="preserve"> Legenda:   </t>
          </r>
          <r>
            <rPr>
              <rFont val="Arial"/>
              <b val="1"/>
              <color rgb="001E7A46"/>
              <sz val="11"/>
            </rPr>
            <t xml:space="preserve">✔ </t>
          </r>
          <r>
            <rPr>
              <rFont val="Arial"/>
              <b val="1"/>
              <color rgb="006B7686"/>
              <sz val="8"/>
            </rPr>
            <t xml:space="preserve">feito e OK        </t>
          </r>
          <r>
            <rPr>
              <rFont val="Arial"/>
              <b val="1"/>
              <color rgb="00B3261E"/>
              <sz val="11"/>
            </rPr>
            <t xml:space="preserve">✖ </t>
          </r>
          <r>
            <rPr>
              <rFont val="Arial"/>
              <b val="1"/>
              <color rgb="006B7686"/>
              <sz val="8"/>
            </rPr>
            <t xml:space="preserve">anomalia (abra uma etiqueta de anomalia)        </t>
          </r>
          <r>
            <rPr>
              <rFont val="Arial"/>
              <b val="1"/>
              <color rgb="006B7686"/>
              <sz val="11"/>
            </rPr>
            <t xml:space="preserve">– </t>
          </r>
          <r>
            <rPr>
              <rFont val="Arial"/>
              <b val="1"/>
              <color rgb="006B7686"/>
              <sz val="8"/>
            </rPr>
            <t xml:space="preserve">não se aplica        </t>
          </r>
          <r>
            <rPr>
              <rFont val="Arial"/>
              <b val="1"/>
              <color rgb="00B9C2D0"/>
              <sz val="11"/>
            </rPr>
            <t xml:space="preserve">■ </t>
          </r>
          <r>
            <rPr>
              <rFont val="Arial"/>
              <b val="1"/>
              <color rgb="006B7686"/>
              <sz val="8"/>
            </rPr>
            <t xml:space="preserve">fim de semana        </t>
          </r>
        </is>
      </c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  <c r="AF25" s="59" t="n"/>
      <c r="AG25" s="59" t="n"/>
      <c r="AH25" s="59" t="n"/>
      <c r="AI25" s="59" t="n"/>
      <c r="AJ25" s="59" t="n"/>
      <c r="AK25" s="59" t="n"/>
    </row>
    <row r="26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  <c r="AF26" s="59" t="n"/>
      <c r="AG26" s="59" t="n"/>
      <c r="AH26" s="59" t="n"/>
      <c r="AI26" s="59" t="n"/>
      <c r="AJ26" s="59" t="n"/>
      <c r="AK26" s="59" t="n"/>
    </row>
    <row r="27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  <c r="AB27" s="59" t="n"/>
      <c r="AC27" s="59" t="n"/>
      <c r="AD27" s="59" t="n"/>
      <c r="AE27" s="59" t="n"/>
      <c r="AF27" s="59" t="n"/>
      <c r="AG27" s="59" t="n"/>
      <c r="AH27" s="59" t="n"/>
      <c r="AI27" s="59" t="n"/>
      <c r="AJ27" s="59" t="n"/>
      <c r="AK27" s="59" t="n"/>
    </row>
    <row r="2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</row>
  </sheetData>
  <mergeCells count="21">
    <mergeCell ref="M4:W4"/>
    <mergeCell ref="D2:AA2"/>
    <mergeCell ref="A7:A8"/>
    <mergeCell ref="AJ7:AJ8"/>
    <mergeCell ref="A1:C2"/>
    <mergeCell ref="D4:L4"/>
    <mergeCell ref="D7:D8"/>
    <mergeCell ref="D3:L3"/>
    <mergeCell ref="A3:B3"/>
    <mergeCell ref="X3:AK3"/>
    <mergeCell ref="C7:C8"/>
    <mergeCell ref="AB1:AK1"/>
    <mergeCell ref="A6:AK6"/>
    <mergeCell ref="A4:B4"/>
    <mergeCell ref="M3:W3"/>
    <mergeCell ref="X4:AK4"/>
    <mergeCell ref="A25:AK25"/>
    <mergeCell ref="D1:AA1"/>
    <mergeCell ref="B7:B8"/>
    <mergeCell ref="AK7:AK8"/>
    <mergeCell ref="AB2:AK2"/>
  </mergeCells>
  <conditionalFormatting sqref="B9:B24">
    <cfRule type="expression" priority="1" dxfId="0" stopIfTrue="1">
      <formula>B9="Limpeza"</formula>
    </cfRule>
    <cfRule type="expression" priority="2" dxfId="1" stopIfTrue="1">
      <formula>B9="Inspeção"</formula>
    </cfRule>
    <cfRule type="expression" priority="3" dxfId="2" stopIfTrue="1">
      <formula>B9="Lubrificação"</formula>
    </cfRule>
    <cfRule type="expression" priority="4" dxfId="3" stopIfTrue="1">
      <formula>B9="Reapertar"</formula>
    </cfRule>
  </conditionalFormatting>
  <conditionalFormatting sqref="E9:AI24">
    <cfRule type="expression" priority="5" dxfId="1" stopIfTrue="1">
      <formula>E9="✔"</formula>
    </cfRule>
    <cfRule type="expression" priority="6" dxfId="4" stopIfTrue="1">
      <formula>E9="✖"</formula>
    </cfRule>
    <cfRule type="expression" priority="7" dxfId="5" stopIfTrue="1">
      <formula>E9="–"</formula>
    </cfRule>
    <cfRule type="expression" priority="8" dxfId="6" stopIfTrue="1">
      <formula>AND(ISNUMBER($D$4),E$8&gt;DAY(EOMONTH($D$4,0)))</formula>
    </cfRule>
    <cfRule type="expression" priority="9" dxfId="7" stopIfTrue="1">
      <formula>AND(ISNUMBER($D$4),WEEKDAY(DATE(YEAR($D$4),MONTH($D$4),E$8),2)&gt;5)</formula>
    </cfRule>
  </conditionalFormatting>
  <conditionalFormatting sqref="AK9:AK24">
    <cfRule type="expression" priority="10" dxfId="4" stopIfTrue="1">
      <formula>AND(ISNUMBER(AK9),AK9&gt;0)</formula>
    </cfRule>
  </conditionalFormatting>
  <dataValidations count="6">
    <dataValidation sqref="A4" showDropDown="0" showInputMessage="0" showErrorMessage="1" allowBlank="1" errorTitle="Valor fora da lista" error="Escolha um item da lista." type="list" errorStyle="stop">
      <formula1>L_TAGS</formula1>
    </dataValidation>
    <dataValidation sqref="D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M4" showDropDown="0" showInputMessage="0" showErrorMessage="1" allowBlank="1" errorTitle="Valor fora da lista" error="Escolha um item da lista." type="list" errorStyle="stop">
      <formula1>L_PESSOAS</formula1>
    </dataValidation>
    <dataValidation sqref="X4" showDropDown="0" showInputMessage="0" showErrorMessage="1" allowBlank="1" errorTitle="Valor fora da lista" error="Escolha um item da lista." type="list" errorStyle="stop">
      <formula1>L_PESSOAS</formula1>
    </dataValidation>
    <dataValidation sqref="E9:AI24" showDropDown="0" showInputMessage="0" showErrorMessage="1" allowBlank="1" errorTitle="Valor fora da lista" error="Escolha um item da lista." type="list" errorStyle="stop">
      <formula1>"✔,✖,–"</formula1>
    </dataValidation>
    <dataValidation sqref="D9:D24" showDropDown="0" showInputMessage="0" showErrorMessage="1" allowBlank="1" errorTitle="Valor fora da lista" error="Escolha um item da lista." type="list" errorStyle="stop">
      <formula1>"Turno,Diária,Semanal"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I24"/>
  <sheetViews>
    <sheetView showGridLines="0" tabSelected="0" zoomScale="9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2" customWidth="1" min="4" max="4"/>
    <col width="3" customWidth="1" min="5" max="5"/>
    <col width="11" customWidth="1" min="6" max="6"/>
    <col width="22" customWidth="1" min="7" max="7"/>
    <col width="12" customWidth="1" min="8" max="8"/>
    <col width="22" customWidth="1" min="9" max="9"/>
  </cols>
  <sheetData>
    <row r="1" ht="30.75" customHeight="1">
      <c r="A1" s="39" t="n"/>
      <c r="B1" s="41" t="n"/>
      <c r="C1" s="42" t="inlineStr">
        <is>
          <t>Etiquetas</t>
        </is>
      </c>
      <c r="D1" s="40" t="n"/>
      <c r="E1" s="40" t="n"/>
      <c r="F1" s="40" t="n"/>
      <c r="G1" s="41" t="n"/>
      <c r="H1" s="43">
        <f>"Rev. "&amp;'Leia-me'!$D$15&amp;"   ·   "&amp;'Leia-me'!$D$16</f>
        <v/>
      </c>
      <c r="I1" s="41" t="n"/>
    </row>
    <row r="2" ht="31" customHeight="1">
      <c r="A2" s="44" t="n"/>
      <c r="B2" s="46" t="n"/>
      <c r="C2" s="47" t="inlineStr">
        <is>
          <t>Objetivo: Registrar anomalias: azul o operador resolve, vermelha vai para a manutenção</t>
        </is>
      </c>
      <c r="D2" s="45" t="n"/>
      <c r="E2" s="45" t="n"/>
      <c r="F2" s="45" t="n"/>
      <c r="G2" s="46" t="n"/>
      <c r="H2" s="47">
        <f>"Elaborado: "&amp;'Leia-me'!$D$13&amp;"   ·   Aprovado: "&amp;'Leia-me'!$D$14</f>
        <v/>
      </c>
      <c r="I2" s="46" t="n"/>
    </row>
    <row r="3" ht="28" customHeight="1">
      <c r="A3" s="77" t="inlineStr">
        <is>
          <t>Tipo ▼</t>
        </is>
      </c>
      <c r="B3" s="78" t="n"/>
      <c r="C3" s="79" t="inlineStr">
        <is>
          <t>Nº</t>
        </is>
      </c>
      <c r="D3" s="80" t="n"/>
      <c r="E3" s="59" t="n"/>
      <c r="F3" s="77" t="inlineStr">
        <is>
          <t>Tipo ▼</t>
        </is>
      </c>
      <c r="G3" s="78" t="n"/>
      <c r="H3" s="79" t="inlineStr">
        <is>
          <t>Nº</t>
        </is>
      </c>
      <c r="I3" s="80" t="n"/>
    </row>
    <row r="4" ht="20" customHeight="1">
      <c r="A4" s="81" t="inlineStr">
        <is>
          <t>TAG</t>
        </is>
      </c>
      <c r="B4" s="82" t="n"/>
      <c r="C4" s="83">
        <f>IF(B4="","",IFERROR(INDEX(tb_pcm_ativos[descricao_ativo],MATCH(B4,tb_pcm_ativos[tag],0)),"fora do cadastro"))</f>
        <v/>
      </c>
      <c r="D4" s="84" t="n"/>
      <c r="E4" s="59" t="n"/>
      <c r="F4" s="81" t="inlineStr">
        <is>
          <t>TAG</t>
        </is>
      </c>
      <c r="G4" s="82" t="n"/>
      <c r="H4" s="83">
        <f>IF(G4="","",IFERROR(INDEX(tb_pcm_ativos[descricao_ativo],MATCH(G4,tb_pcm_ativos[tag],0)),"fora do cadastro"))</f>
        <v/>
      </c>
      <c r="I4" s="84" t="n"/>
    </row>
    <row r="5" ht="20" customHeight="1">
      <c r="A5" s="81" t="inlineStr">
        <is>
          <t>Data</t>
        </is>
      </c>
      <c r="B5" s="85" t="n"/>
      <c r="C5" s="86" t="inlineStr">
        <is>
          <t>Achado por</t>
        </is>
      </c>
      <c r="D5" s="87" t="n"/>
      <c r="E5" s="59" t="n"/>
      <c r="F5" s="81" t="inlineStr">
        <is>
          <t>Data</t>
        </is>
      </c>
      <c r="G5" s="85" t="n"/>
      <c r="H5" s="86" t="inlineStr">
        <is>
          <t>Achado por</t>
        </is>
      </c>
      <c r="I5" s="87" t="n"/>
    </row>
    <row r="6" ht="16" customHeight="1">
      <c r="A6" s="88" t="inlineStr">
        <is>
          <t>O que foi encontrado</t>
        </is>
      </c>
      <c r="D6" s="69" t="n"/>
      <c r="E6" s="59" t="n"/>
      <c r="F6" s="88" t="inlineStr">
        <is>
          <t>O que foi encontrado</t>
        </is>
      </c>
      <c r="I6" s="69" t="n"/>
    </row>
    <row r="7" ht="52" customHeight="1">
      <c r="A7" s="89" t="n"/>
      <c r="B7" s="20" t="n"/>
      <c r="C7" s="20" t="n"/>
      <c r="D7" s="58" t="n"/>
      <c r="E7" s="59" t="n"/>
      <c r="F7" s="89" t="n"/>
      <c r="G7" s="20" t="n"/>
      <c r="H7" s="20" t="n"/>
      <c r="I7" s="58" t="n"/>
    </row>
    <row r="8" ht="22" customHeight="1">
      <c r="A8" s="90" t="inlineStr">
        <is>
          <t>Status</t>
        </is>
      </c>
      <c r="B8" s="91" t="n"/>
      <c r="C8" s="92" t="inlineStr">
        <is>
          <t>Nº da OS</t>
        </is>
      </c>
      <c r="D8" s="91" t="n"/>
      <c r="E8" s="59" t="n"/>
      <c r="F8" s="90" t="inlineStr">
        <is>
          <t>Status</t>
        </is>
      </c>
      <c r="G8" s="91" t="n"/>
      <c r="H8" s="92" t="inlineStr">
        <is>
          <t>Nº da OS</t>
        </is>
      </c>
      <c r="I8" s="91" t="n"/>
    </row>
    <row r="9" ht="9" customHeight="1">
      <c r="A9" s="59" t="n"/>
      <c r="B9" s="59" t="n"/>
      <c r="C9" s="59" t="n"/>
      <c r="D9" s="59" t="n"/>
      <c r="E9" s="59" t="n"/>
      <c r="F9" s="59" t="n"/>
      <c r="G9" s="59" t="n"/>
      <c r="H9" s="59" t="n"/>
      <c r="I9" s="59" t="n"/>
    </row>
    <row r="10" ht="28" customHeight="1">
      <c r="A10" s="77" t="inlineStr">
        <is>
          <t>Tipo ▼</t>
        </is>
      </c>
      <c r="B10" s="78" t="n"/>
      <c r="C10" s="79" t="inlineStr">
        <is>
          <t>Nº</t>
        </is>
      </c>
      <c r="D10" s="80" t="n"/>
      <c r="E10" s="59" t="n"/>
      <c r="F10" s="77" t="inlineStr">
        <is>
          <t>Tipo ▼</t>
        </is>
      </c>
      <c r="G10" s="78" t="n"/>
      <c r="H10" s="79" t="inlineStr">
        <is>
          <t>Nº</t>
        </is>
      </c>
      <c r="I10" s="80" t="n"/>
    </row>
    <row r="11" ht="20" customHeight="1">
      <c r="A11" s="81" t="inlineStr">
        <is>
          <t>TAG</t>
        </is>
      </c>
      <c r="B11" s="82" t="n"/>
      <c r="C11" s="83">
        <f>IF(B11="","",IFERROR(INDEX(tb_pcm_ativos[descricao_ativo],MATCH(B11,tb_pcm_ativos[tag],0)),"fora do cadastro"))</f>
        <v/>
      </c>
      <c r="D11" s="84" t="n"/>
      <c r="E11" s="59" t="n"/>
      <c r="F11" s="81" t="inlineStr">
        <is>
          <t>TAG</t>
        </is>
      </c>
      <c r="G11" s="82" t="n"/>
      <c r="H11" s="83">
        <f>IF(G11="","",IFERROR(INDEX(tb_pcm_ativos[descricao_ativo],MATCH(G11,tb_pcm_ativos[tag],0)),"fora do cadastro"))</f>
        <v/>
      </c>
      <c r="I11" s="84" t="n"/>
    </row>
    <row r="12" ht="20" customHeight="1">
      <c r="A12" s="81" t="inlineStr">
        <is>
          <t>Data</t>
        </is>
      </c>
      <c r="B12" s="85" t="n"/>
      <c r="C12" s="86" t="inlineStr">
        <is>
          <t>Achado por</t>
        </is>
      </c>
      <c r="D12" s="87" t="n"/>
      <c r="E12" s="59" t="n"/>
      <c r="F12" s="81" t="inlineStr">
        <is>
          <t>Data</t>
        </is>
      </c>
      <c r="G12" s="85" t="n"/>
      <c r="H12" s="86" t="inlineStr">
        <is>
          <t>Achado por</t>
        </is>
      </c>
      <c r="I12" s="87" t="n"/>
    </row>
    <row r="13" ht="16" customHeight="1">
      <c r="A13" s="88" t="inlineStr">
        <is>
          <t>O que foi encontrado</t>
        </is>
      </c>
      <c r="D13" s="69" t="n"/>
      <c r="E13" s="59" t="n"/>
      <c r="F13" s="88" t="inlineStr">
        <is>
          <t>O que foi encontrado</t>
        </is>
      </c>
      <c r="I13" s="69" t="n"/>
    </row>
    <row r="14" ht="52" customHeight="1">
      <c r="A14" s="89" t="n"/>
      <c r="B14" s="20" t="n"/>
      <c r="C14" s="20" t="n"/>
      <c r="D14" s="58" t="n"/>
      <c r="E14" s="59" t="n"/>
      <c r="F14" s="89" t="n"/>
      <c r="G14" s="20" t="n"/>
      <c r="H14" s="20" t="n"/>
      <c r="I14" s="58" t="n"/>
    </row>
    <row r="15" ht="22" customHeight="1">
      <c r="A15" s="90" t="inlineStr">
        <is>
          <t>Status</t>
        </is>
      </c>
      <c r="B15" s="91" t="n"/>
      <c r="C15" s="92" t="inlineStr">
        <is>
          <t>Nº da OS</t>
        </is>
      </c>
      <c r="D15" s="91" t="n"/>
      <c r="E15" s="59" t="n"/>
      <c r="F15" s="90" t="inlineStr">
        <is>
          <t>Status</t>
        </is>
      </c>
      <c r="G15" s="91" t="n"/>
      <c r="H15" s="92" t="inlineStr">
        <is>
          <t>Nº da OS</t>
        </is>
      </c>
      <c r="I15" s="91" t="n"/>
    </row>
    <row r="16" ht="9" customHeight="1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</row>
    <row r="17" ht="28" customHeight="1">
      <c r="A17" s="77" t="inlineStr">
        <is>
          <t>Tipo ▼</t>
        </is>
      </c>
      <c r="B17" s="78" t="n"/>
      <c r="C17" s="79" t="inlineStr">
        <is>
          <t>Nº</t>
        </is>
      </c>
      <c r="D17" s="80" t="n"/>
      <c r="E17" s="59" t="n"/>
      <c r="F17" s="77" t="inlineStr">
        <is>
          <t>Tipo ▼</t>
        </is>
      </c>
      <c r="G17" s="78" t="n"/>
      <c r="H17" s="79" t="inlineStr">
        <is>
          <t>Nº</t>
        </is>
      </c>
      <c r="I17" s="80" t="n"/>
    </row>
    <row r="18" ht="20" customHeight="1">
      <c r="A18" s="81" t="inlineStr">
        <is>
          <t>TAG</t>
        </is>
      </c>
      <c r="B18" s="82" t="n"/>
      <c r="C18" s="83">
        <f>IF(B18="","",IFERROR(INDEX(tb_pcm_ativos[descricao_ativo],MATCH(B18,tb_pcm_ativos[tag],0)),"fora do cadastro"))</f>
        <v/>
      </c>
      <c r="D18" s="84" t="n"/>
      <c r="E18" s="59" t="n"/>
      <c r="F18" s="81" t="inlineStr">
        <is>
          <t>TAG</t>
        </is>
      </c>
      <c r="G18" s="82" t="n"/>
      <c r="H18" s="83">
        <f>IF(G18="","",IFERROR(INDEX(tb_pcm_ativos[descricao_ativo],MATCH(G18,tb_pcm_ativos[tag],0)),"fora do cadastro"))</f>
        <v/>
      </c>
      <c r="I18" s="84" t="n"/>
    </row>
    <row r="19" ht="20" customHeight="1">
      <c r="A19" s="81" t="inlineStr">
        <is>
          <t>Data</t>
        </is>
      </c>
      <c r="B19" s="85" t="n"/>
      <c r="C19" s="86" t="inlineStr">
        <is>
          <t>Achado por</t>
        </is>
      </c>
      <c r="D19" s="87" t="n"/>
      <c r="E19" s="59" t="n"/>
      <c r="F19" s="81" t="inlineStr">
        <is>
          <t>Data</t>
        </is>
      </c>
      <c r="G19" s="85" t="n"/>
      <c r="H19" s="86" t="inlineStr">
        <is>
          <t>Achado por</t>
        </is>
      </c>
      <c r="I19" s="87" t="n"/>
    </row>
    <row r="20" ht="16" customHeight="1">
      <c r="A20" s="88" t="inlineStr">
        <is>
          <t>O que foi encontrado</t>
        </is>
      </c>
      <c r="D20" s="69" t="n"/>
      <c r="E20" s="59" t="n"/>
      <c r="F20" s="88" t="inlineStr">
        <is>
          <t>O que foi encontrado</t>
        </is>
      </c>
      <c r="I20" s="69" t="n"/>
    </row>
    <row r="21" ht="52" customHeight="1">
      <c r="A21" s="89" t="n"/>
      <c r="B21" s="20" t="n"/>
      <c r="C21" s="20" t="n"/>
      <c r="D21" s="58" t="n"/>
      <c r="E21" s="59" t="n"/>
      <c r="F21" s="89" t="n"/>
      <c r="G21" s="20" t="n"/>
      <c r="H21" s="20" t="n"/>
      <c r="I21" s="58" t="n"/>
    </row>
    <row r="22" ht="22" customHeight="1">
      <c r="A22" s="90" t="inlineStr">
        <is>
          <t>Status</t>
        </is>
      </c>
      <c r="B22" s="91" t="n"/>
      <c r="C22" s="92" t="inlineStr">
        <is>
          <t>Nº da OS</t>
        </is>
      </c>
      <c r="D22" s="91" t="n"/>
      <c r="E22" s="59" t="n"/>
      <c r="F22" s="90" t="inlineStr">
        <is>
          <t>Status</t>
        </is>
      </c>
      <c r="G22" s="91" t="n"/>
      <c r="H22" s="92" t="inlineStr">
        <is>
          <t>Nº da OS</t>
        </is>
      </c>
      <c r="I22" s="91" t="n"/>
    </row>
    <row r="23" ht="20" customHeight="1">
      <c r="A23" s="93" t="inlineStr">
        <is>
          <r>
            <rPr>
              <rFont val="Arial"/>
              <b val="1"/>
              <color rgb="002F80ED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 xml:space="preserve">AZUL: o operador resolve        </t>
          </r>
          <r>
            <rPr>
              <rFont val="Arial"/>
              <b val="1"/>
              <color rgb="00D93025"/>
              <sz val="12"/>
            </rPr>
            <t xml:space="preserve">● </t>
          </r>
          <r>
            <rPr>
              <rFont val="Arial"/>
              <b val="1"/>
              <color rgb="006B7686"/>
              <sz val="8"/>
            </rPr>
            <t>VERMELHA: passa para a manutenção; abra a OS e anote o número.</t>
          </r>
        </is>
      </c>
    </row>
    <row r="24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</row>
  </sheetData>
  <mergeCells count="30">
    <mergeCell ref="F13:I13"/>
    <mergeCell ref="F10:G10"/>
    <mergeCell ref="A20:D20"/>
    <mergeCell ref="H1:I1"/>
    <mergeCell ref="H4:I4"/>
    <mergeCell ref="A13:D13"/>
    <mergeCell ref="C4:D4"/>
    <mergeCell ref="F3:G3"/>
    <mergeCell ref="F14:I14"/>
    <mergeCell ref="C1:G1"/>
    <mergeCell ref="A23:I23"/>
    <mergeCell ref="A3:B3"/>
    <mergeCell ref="F17:G17"/>
    <mergeCell ref="F6:I6"/>
    <mergeCell ref="H11:I11"/>
    <mergeCell ref="H2:I2"/>
    <mergeCell ref="A6:D6"/>
    <mergeCell ref="F7:I7"/>
    <mergeCell ref="C2:G2"/>
    <mergeCell ref="C11:D11"/>
    <mergeCell ref="A7:D7"/>
    <mergeCell ref="F21:I21"/>
    <mergeCell ref="A17:B17"/>
    <mergeCell ref="A1:B2"/>
    <mergeCell ref="F20:I20"/>
    <mergeCell ref="A10:B10"/>
    <mergeCell ref="A21:D21"/>
    <mergeCell ref="H18:I18"/>
    <mergeCell ref="C18:D18"/>
    <mergeCell ref="A14:D14"/>
  </mergeCells>
  <conditionalFormatting sqref="A3:C3">
    <cfRule type="expression" priority="1" dxfId="8" stopIfTrue="1">
      <formula>$A3="AZUL"</formula>
    </cfRule>
    <cfRule type="expression" priority="2" dxfId="9" stopIfTrue="1">
      <formula>$A3="VERMELHA"</formula>
    </cfRule>
  </conditionalFormatting>
  <conditionalFormatting sqref="B8">
    <cfRule type="expression" priority="3" dxfId="2" stopIfTrue="1">
      <formula>B8="Aberta"</formula>
    </cfRule>
    <cfRule type="expression" priority="4" dxfId="0" stopIfTrue="1">
      <formula>B8="Em andamento"</formula>
    </cfRule>
    <cfRule type="expression" priority="5" dxfId="1" stopIfTrue="1">
      <formula>B8="Resolvida"</formula>
    </cfRule>
    <cfRule type="expression" priority="6" dxfId="1" stopIfTrue="1">
      <formula>B8="Concluída"</formula>
    </cfRule>
  </conditionalFormatting>
  <conditionalFormatting sqref="F3:H3">
    <cfRule type="expression" priority="7" dxfId="8" stopIfTrue="1">
      <formula>$F3="AZUL"</formula>
    </cfRule>
    <cfRule type="expression" priority="8" dxfId="9" stopIfTrue="1">
      <formula>$F3="VERMELHA"</formula>
    </cfRule>
  </conditionalFormatting>
  <conditionalFormatting sqref="G8">
    <cfRule type="expression" priority="9" dxfId="2" stopIfTrue="1">
      <formula>G8="Aberta"</formula>
    </cfRule>
    <cfRule type="expression" priority="10" dxfId="0" stopIfTrue="1">
      <formula>G8="Em andamento"</formula>
    </cfRule>
    <cfRule type="expression" priority="11" dxfId="1" stopIfTrue="1">
      <formula>G8="Resolvida"</formula>
    </cfRule>
    <cfRule type="expression" priority="12" dxfId="1" stopIfTrue="1">
      <formula>G8="Concluída"</formula>
    </cfRule>
  </conditionalFormatting>
  <conditionalFormatting sqref="A10:C10">
    <cfRule type="expression" priority="13" dxfId="8" stopIfTrue="1">
      <formula>$A10="AZUL"</formula>
    </cfRule>
    <cfRule type="expression" priority="14" dxfId="9" stopIfTrue="1">
      <formula>$A10="VERMELHA"</formula>
    </cfRule>
  </conditionalFormatting>
  <conditionalFormatting sqref="B15">
    <cfRule type="expression" priority="15" dxfId="2" stopIfTrue="1">
      <formula>B15="Aberta"</formula>
    </cfRule>
    <cfRule type="expression" priority="16" dxfId="0" stopIfTrue="1">
      <formula>B15="Em andamento"</formula>
    </cfRule>
    <cfRule type="expression" priority="17" dxfId="1" stopIfTrue="1">
      <formula>B15="Resolvida"</formula>
    </cfRule>
    <cfRule type="expression" priority="18" dxfId="1" stopIfTrue="1">
      <formula>B15="Concluída"</formula>
    </cfRule>
  </conditionalFormatting>
  <conditionalFormatting sqref="F10:H10">
    <cfRule type="expression" priority="19" dxfId="8" stopIfTrue="1">
      <formula>$F10="AZUL"</formula>
    </cfRule>
    <cfRule type="expression" priority="20" dxfId="9" stopIfTrue="1">
      <formula>$F10="VERMELHA"</formula>
    </cfRule>
  </conditionalFormatting>
  <conditionalFormatting sqref="G15">
    <cfRule type="expression" priority="21" dxfId="2" stopIfTrue="1">
      <formula>G15="Aberta"</formula>
    </cfRule>
    <cfRule type="expression" priority="22" dxfId="0" stopIfTrue="1">
      <formula>G15="Em andamento"</formula>
    </cfRule>
    <cfRule type="expression" priority="23" dxfId="1" stopIfTrue="1">
      <formula>G15="Resolvida"</formula>
    </cfRule>
    <cfRule type="expression" priority="24" dxfId="1" stopIfTrue="1">
      <formula>G15="Concluída"</formula>
    </cfRule>
  </conditionalFormatting>
  <conditionalFormatting sqref="A17:C17">
    <cfRule type="expression" priority="25" dxfId="8" stopIfTrue="1">
      <formula>$A17="AZUL"</formula>
    </cfRule>
    <cfRule type="expression" priority="26" dxfId="9" stopIfTrue="1">
      <formula>$A17="VERMELHA"</formula>
    </cfRule>
  </conditionalFormatting>
  <conditionalFormatting sqref="B22">
    <cfRule type="expression" priority="27" dxfId="2" stopIfTrue="1">
      <formula>B22="Aberta"</formula>
    </cfRule>
    <cfRule type="expression" priority="28" dxfId="0" stopIfTrue="1">
      <formula>B22="Em andamento"</formula>
    </cfRule>
    <cfRule type="expression" priority="29" dxfId="1" stopIfTrue="1">
      <formula>B22="Resolvida"</formula>
    </cfRule>
    <cfRule type="expression" priority="30" dxfId="1" stopIfTrue="1">
      <formula>B22="Concluída"</formula>
    </cfRule>
  </conditionalFormatting>
  <conditionalFormatting sqref="F17:H17">
    <cfRule type="expression" priority="31" dxfId="8" stopIfTrue="1">
      <formula>$F17="AZUL"</formula>
    </cfRule>
    <cfRule type="expression" priority="32" dxfId="9" stopIfTrue="1">
      <formula>$F17="VERMELHA"</formula>
    </cfRule>
  </conditionalFormatting>
  <conditionalFormatting sqref="G22">
    <cfRule type="expression" priority="33" dxfId="2" stopIfTrue="1">
      <formula>G22="Aberta"</formula>
    </cfRule>
    <cfRule type="expression" priority="34" dxfId="0" stopIfTrue="1">
      <formula>G22="Em andamento"</formula>
    </cfRule>
    <cfRule type="expression" priority="35" dxfId="1" stopIfTrue="1">
      <formula>G22="Resolvida"</formula>
    </cfRule>
    <cfRule type="expression" priority="36" dxfId="1" stopIfTrue="1">
      <formula>G22="Concluída"</formula>
    </cfRule>
  </conditionalFormatting>
  <dataValidations count="30">
    <dataValidation sqref="A3" showDropDown="0" showInputMessage="0" showErrorMessage="1" allowBlank="1" errorTitle="Valor fora da lista" error="Escolha um item da lista." type="list" errorStyle="stop">
      <formula1>"AZUL,VERMELHA"</formula1>
    </dataValidation>
    <dataValidation sqref="B4" showDropDown="0" showInputMessage="0" showErrorMessage="1" allowBlank="1" errorTitle="Valor fora da lista" error="Escolha um item da lista." type="list" errorStyle="stop">
      <formula1>L_TAGS</formula1>
    </dataValidation>
    <dataValidation sqref="B5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5" showDropDown="0" showInputMessage="0" showErrorMessage="1" allowBlank="1" errorTitle="Valor fora da lista" error="Escolha um item da lista." type="list" errorStyle="stop">
      <formula1>L_PESSOAS</formula1>
    </dataValidation>
    <dataValidation sqref="B8" showDropDown="0" showInputMessage="0" showErrorMessage="1" allowBlank="1" errorTitle="Valor fora da lista" error="Escolha um item da lista." type="list" errorStyle="stop">
      <formula1>"Aberta,Em andamento,Resolvida"</formula1>
    </dataValidation>
    <dataValidation sqref="F3" showDropDown="0" showInputMessage="0" showErrorMessage="1" allowBlank="1" errorTitle="Valor fora da lista" error="Escolha um item da lista." type="list" errorStyle="stop">
      <formula1>"AZUL,VERMELHA"</formula1>
    </dataValidation>
    <dataValidation sqref="G4" showDropDown="0" showInputMessage="0" showErrorMessage="1" allowBlank="1" errorTitle="Valor fora da lista" error="Escolha um item da lista." type="list" errorStyle="stop">
      <formula1>L_TAGS</formula1>
    </dataValidation>
    <dataValidation sqref="G5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5" showDropDown="0" showInputMessage="0" showErrorMessage="1" allowBlank="1" errorTitle="Valor fora da lista" error="Escolha um item da lista." type="list" errorStyle="stop">
      <formula1>L_PESSOAS</formula1>
    </dataValidation>
    <dataValidation sqref="G8" showDropDown="0" showInputMessage="0" showErrorMessage="1" allowBlank="1" errorTitle="Valor fora da lista" error="Escolha um item da lista." type="list" errorStyle="stop">
      <formula1>"Aberta,Em andamento,Resolvida"</formula1>
    </dataValidation>
    <dataValidation sqref="A10" showDropDown="0" showInputMessage="0" showErrorMessage="1" allowBlank="1" errorTitle="Valor fora da lista" error="Escolha um item da lista." type="list" errorStyle="stop">
      <formula1>"AZUL,VERMELHA"</formula1>
    </dataValidation>
    <dataValidation sqref="B11" showDropDown="0" showInputMessage="0" showErrorMessage="1" allowBlank="1" errorTitle="Valor fora da lista" error="Escolha um item da lista." type="list" errorStyle="stop">
      <formula1>L_TAGS</formula1>
    </dataValidation>
    <dataValidation sqref="B12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12" showDropDown="0" showInputMessage="0" showErrorMessage="1" allowBlank="1" errorTitle="Valor fora da lista" error="Escolha um item da lista." type="list" errorStyle="stop">
      <formula1>L_PESSOAS</formula1>
    </dataValidation>
    <dataValidation sqref="B15" showDropDown="0" showInputMessage="0" showErrorMessage="1" allowBlank="1" errorTitle="Valor fora da lista" error="Escolha um item da lista." type="list" errorStyle="stop">
      <formula1>"Aberta,Em andamento,Resolvida"</formula1>
    </dataValidation>
    <dataValidation sqref="F10" showDropDown="0" showInputMessage="0" showErrorMessage="1" allowBlank="1" errorTitle="Valor fora da lista" error="Escolha um item da lista." type="list" errorStyle="stop">
      <formula1>"AZUL,VERMELHA"</formula1>
    </dataValidation>
    <dataValidation sqref="G11" showDropDown="0" showInputMessage="0" showErrorMessage="1" allowBlank="1" errorTitle="Valor fora da lista" error="Escolha um item da lista." type="list" errorStyle="stop">
      <formula1>L_TAGS</formula1>
    </dataValidation>
    <dataValidation sqref="G12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12" showDropDown="0" showInputMessage="0" showErrorMessage="1" allowBlank="1" errorTitle="Valor fora da lista" error="Escolha um item da lista." type="list" errorStyle="stop">
      <formula1>L_PESSOAS</formula1>
    </dataValidation>
    <dataValidation sqref="G15" showDropDown="0" showInputMessage="0" showErrorMessage="1" allowBlank="1" errorTitle="Valor fora da lista" error="Escolha um item da lista." type="list" errorStyle="stop">
      <formula1>"Aberta,Em andamento,Resolvida"</formula1>
    </dataValidation>
    <dataValidation sqref="A17" showDropDown="0" showInputMessage="0" showErrorMessage="1" allowBlank="1" errorTitle="Valor fora da lista" error="Escolha um item da lista." type="list" errorStyle="stop">
      <formula1>"AZUL,VERMELHA"</formula1>
    </dataValidation>
    <dataValidation sqref="B18" showDropDown="0" showInputMessage="0" showErrorMessage="1" allowBlank="1" errorTitle="Valor fora da lista" error="Escolha um item da lista." type="list" errorStyle="stop">
      <formula1>L_TAGS</formula1>
    </dataValidation>
    <dataValidation sqref="B1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D19" showDropDown="0" showInputMessage="0" showErrorMessage="1" allowBlank="1" errorTitle="Valor fora da lista" error="Escolha um item da lista." type="list" errorStyle="stop">
      <formula1>L_PESSOAS</formula1>
    </dataValidation>
    <dataValidation sqref="B22" showDropDown="0" showInputMessage="0" showErrorMessage="1" allowBlank="1" errorTitle="Valor fora da lista" error="Escolha um item da lista." type="list" errorStyle="stop">
      <formula1>"Aberta,Em andamento,Resolvida"</formula1>
    </dataValidation>
    <dataValidation sqref="F17" showDropDown="0" showInputMessage="0" showErrorMessage="1" allowBlank="1" errorTitle="Valor fora da lista" error="Escolha um item da lista." type="list" errorStyle="stop">
      <formula1>"AZUL,VERMELHA"</formula1>
    </dataValidation>
    <dataValidation sqref="G18" showDropDown="0" showInputMessage="0" showErrorMessage="1" allowBlank="1" errorTitle="Valor fora da lista" error="Escolha um item da lista." type="list" errorStyle="stop">
      <formula1>L_TAGS</formula1>
    </dataValidation>
    <dataValidation sqref="G1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I19" showDropDown="0" showInputMessage="0" showErrorMessage="1" allowBlank="1" errorTitle="Valor fora da lista" error="Escolha um item da lista." type="list" errorStyle="stop">
      <formula1>L_PESSOAS</formula1>
    </dataValidation>
    <dataValidation sqref="G22" showDropDown="0" showInputMessage="0" showErrorMessage="1" allowBlank="1" errorTitle="Valor fora da lista" error="Escolha um item da lista." type="list" errorStyle="stop">
      <formula1>"Aberta,Em andamento,Resolvida"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K25"/>
  <sheetViews>
    <sheetView showGridLines="0" tabSelected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2" customWidth="1" min="11" max="11"/>
  </cols>
  <sheetData>
    <row r="1" ht="30.75" customHeight="1">
      <c r="A1" s="94" t="n"/>
      <c r="B1" s="95" t="n"/>
      <c r="C1" s="96" t="n"/>
      <c r="D1" s="97" t="inlineStr">
        <is>
          <t>Quadro de manutenção autônoma</t>
        </is>
      </c>
      <c r="E1" s="95" t="n"/>
      <c r="F1" s="95" t="n"/>
      <c r="G1" s="95" t="n"/>
      <c r="H1" s="96" t="n"/>
      <c r="I1" s="98">
        <f>"Rev. "&amp;'Leia-me'!$D$15&amp;"   ·   "&amp;'Leia-me'!$D$16</f>
        <v/>
      </c>
      <c r="J1" s="95" t="n"/>
      <c r="K1" s="96" t="n"/>
    </row>
    <row r="2" ht="31" customHeight="1">
      <c r="A2" s="99" t="n"/>
      <c r="B2" s="100" t="n"/>
      <c r="C2" s="101" t="n"/>
      <c r="D2" s="102" t="inlineStr">
        <is>
          <t>Objetivo: Acompanhar, máquina a máquina, o avanço nos 7 passos da manutenção autônoma (Jishu Hozen)</t>
        </is>
      </c>
      <c r="E2" s="100" t="n"/>
      <c r="F2" s="100" t="n"/>
      <c r="G2" s="100" t="n"/>
      <c r="H2" s="101" t="n"/>
      <c r="I2" s="102">
        <f>"Elaborado: "&amp;'Leia-me'!$D$13&amp;"   ·   Aprovado: "&amp;'Leia-me'!$D$14</f>
        <v/>
      </c>
      <c r="J2" s="100" t="n"/>
      <c r="K2" s="101" t="n"/>
    </row>
    <row r="3" ht="24" customHeight="1">
      <c r="A3" s="103" t="inlineStr">
        <is>
          <r>
            <rPr>
              <rFont val="Arial"/>
              <b val="1"/>
              <color rgb="004A5668"/>
              <sz val="8"/>
            </rPr>
            <t xml:space="preserve"> Legenda:   </t>
          </r>
          <r>
            <rPr>
              <rFont val="Arial"/>
              <b val="1"/>
              <color rgb="000B2A5B"/>
              <sz val="12"/>
            </rPr>
            <t xml:space="preserve">● </t>
          </r>
          <r>
            <rPr>
              <rFont val="Arial"/>
              <b val="1"/>
              <color rgb="004A5668"/>
              <sz val="8"/>
            </rPr>
            <t xml:space="preserve">Em andamento       </t>
          </r>
          <r>
            <rPr>
              <rFont val="Arial"/>
              <b val="1"/>
              <color rgb="001E7A46"/>
              <sz val="12"/>
            </rPr>
            <t xml:space="preserve">✔ </t>
          </r>
          <r>
            <rPr>
              <rFont val="Arial"/>
              <b val="1"/>
              <color rgb="004A5668"/>
              <sz val="8"/>
            </rPr>
            <t xml:space="preserve">Concluído       </t>
          </r>
        </is>
      </c>
    </row>
    <row r="4" ht="40" customHeight="1">
      <c r="A4" s="104" t="inlineStr">
        <is>
          <t>TAG ▼</t>
        </is>
      </c>
      <c r="B4" s="104" t="inlineStr">
        <is>
          <t>Equipamento</t>
        </is>
      </c>
      <c r="C4" s="105" t="inlineStr">
        <is>
          <t>Líder da máquina ▼</t>
        </is>
      </c>
      <c r="D4" s="105" t="inlineStr">
        <is>
          <t>1 Limpeza e inspeção</t>
        </is>
      </c>
      <c r="E4" s="105" t="inlineStr">
        <is>
          <t>2 Fontes de sujeira</t>
        </is>
      </c>
      <c r="F4" s="105" t="inlineStr">
        <is>
          <t>3 Lubrificação</t>
        </is>
      </c>
      <c r="G4" s="105" t="inlineStr">
        <is>
          <t>4 Inspeção geral</t>
        </is>
      </c>
      <c r="H4" s="105" t="inlineStr">
        <is>
          <t>5 Inspeção autônoma</t>
        </is>
      </c>
      <c r="I4" s="105" t="inlineStr">
        <is>
          <t>6 Sistematização</t>
        </is>
      </c>
      <c r="J4" s="105" t="inlineStr">
        <is>
          <t>7 Gestão autônoma</t>
        </is>
      </c>
      <c r="K4" s="106" t="inlineStr">
        <is>
          <t>% avanço</t>
        </is>
      </c>
    </row>
    <row r="5" hidden="1">
      <c r="A5" s="107" t="inlineStr">
        <is>
          <t>tag</t>
        </is>
      </c>
      <c r="B5" s="107" t="inlineStr">
        <is>
          <t>equipamento</t>
        </is>
      </c>
      <c r="C5" s="107" t="inlineStr">
        <is>
          <t>lider_maquina</t>
        </is>
      </c>
      <c r="D5" s="107" t="inlineStr">
        <is>
          <t>passo_1</t>
        </is>
      </c>
      <c r="E5" s="107" t="inlineStr">
        <is>
          <t>passo_2</t>
        </is>
      </c>
      <c r="F5" s="107" t="inlineStr">
        <is>
          <t>passo_3</t>
        </is>
      </c>
      <c r="G5" s="107" t="inlineStr">
        <is>
          <t>passo_4</t>
        </is>
      </c>
      <c r="H5" s="107" t="inlineStr">
        <is>
          <t>passo_5</t>
        </is>
      </c>
      <c r="I5" s="107" t="inlineStr">
        <is>
          <t>passo_6</t>
        </is>
      </c>
      <c r="J5" s="107" t="inlineStr">
        <is>
          <t>passo_7</t>
        </is>
      </c>
      <c r="K5" s="107" t="inlineStr">
        <is>
          <t>pct_avanco</t>
        </is>
      </c>
    </row>
    <row r="6" ht="24" customHeight="1">
      <c r="A6" s="108" t="n"/>
      <c r="B6" s="109">
        <f>IF(A6="","",IFERROR(INDEX(tb_pcm_ativos[descricao_ativo],MATCH(A6,tb_pcm_ativos[tag],0)),"fora do cadastro"))</f>
        <v/>
      </c>
      <c r="C6" s="110" t="n"/>
      <c r="D6" s="111" t="n"/>
      <c r="E6" s="111" t="n"/>
      <c r="F6" s="111" t="n"/>
      <c r="G6" s="111" t="n"/>
      <c r="H6" s="111" t="n"/>
      <c r="I6" s="111" t="n"/>
      <c r="J6" s="111" t="n"/>
      <c r="K6" s="112">
        <f>IF($A6="","",COUNTIF(D6:J6,"✔")/7)</f>
        <v/>
      </c>
    </row>
    <row r="7" ht="24" customHeight="1">
      <c r="A7" s="108" t="n"/>
      <c r="B7" s="109">
        <f>IF(A7="","",IFERROR(INDEX(tb_pcm_ativos[descricao_ativo],MATCH(A7,tb_pcm_ativos[tag],0)),"fora do cadastro"))</f>
        <v/>
      </c>
      <c r="C7" s="110" t="n"/>
      <c r="D7" s="111" t="n"/>
      <c r="E7" s="111" t="n"/>
      <c r="F7" s="111" t="n"/>
      <c r="G7" s="111" t="n"/>
      <c r="H7" s="111" t="n"/>
      <c r="I7" s="111" t="n"/>
      <c r="J7" s="111" t="n"/>
      <c r="K7" s="112">
        <f>IF($A7="","",COUNTIF(D7:J7,"✔")/7)</f>
        <v/>
      </c>
    </row>
    <row r="8" ht="24" customHeight="1">
      <c r="A8" s="108" t="n"/>
      <c r="B8" s="109">
        <f>IF(A8="","",IFERROR(INDEX(tb_pcm_ativos[descricao_ativo],MATCH(A8,tb_pcm_ativos[tag],0)),"fora do cadastro"))</f>
        <v/>
      </c>
      <c r="C8" s="110" t="n"/>
      <c r="D8" s="111" t="n"/>
      <c r="E8" s="111" t="n"/>
      <c r="F8" s="111" t="n"/>
      <c r="G8" s="111" t="n"/>
      <c r="H8" s="111" t="n"/>
      <c r="I8" s="111" t="n"/>
      <c r="J8" s="111" t="n"/>
      <c r="K8" s="112">
        <f>IF($A8="","",COUNTIF(D8:J8,"✔")/7)</f>
        <v/>
      </c>
    </row>
    <row r="9" ht="24" customHeight="1">
      <c r="A9" s="108" t="n"/>
      <c r="B9" s="109">
        <f>IF(A9="","",IFERROR(INDEX(tb_pcm_ativos[descricao_ativo],MATCH(A9,tb_pcm_ativos[tag],0)),"fora do cadastro"))</f>
        <v/>
      </c>
      <c r="C9" s="110" t="n"/>
      <c r="D9" s="111" t="n"/>
      <c r="E9" s="111" t="n"/>
      <c r="F9" s="111" t="n"/>
      <c r="G9" s="111" t="n"/>
      <c r="H9" s="111" t="n"/>
      <c r="I9" s="111" t="n"/>
      <c r="J9" s="111" t="n"/>
      <c r="K9" s="112">
        <f>IF($A9="","",COUNTIF(D9:J9,"✔")/7)</f>
        <v/>
      </c>
    </row>
    <row r="10" ht="24" customHeight="1">
      <c r="A10" s="108" t="n"/>
      <c r="B10" s="109">
        <f>IF(A10="","",IFERROR(INDEX(tb_pcm_ativos[descricao_ativo],MATCH(A10,tb_pcm_ativos[tag],0)),"fora do cadastro"))</f>
        <v/>
      </c>
      <c r="C10" s="110" t="n"/>
      <c r="D10" s="111" t="n"/>
      <c r="E10" s="111" t="n"/>
      <c r="F10" s="111" t="n"/>
      <c r="G10" s="111" t="n"/>
      <c r="H10" s="111" t="n"/>
      <c r="I10" s="111" t="n"/>
      <c r="J10" s="111" t="n"/>
      <c r="K10" s="112">
        <f>IF($A10="","",COUNTIF(D10:J10,"✔")/7)</f>
        <v/>
      </c>
    </row>
    <row r="11" ht="24" customHeight="1">
      <c r="A11" s="108" t="n"/>
      <c r="B11" s="109">
        <f>IF(A11="","",IFERROR(INDEX(tb_pcm_ativos[descricao_ativo],MATCH(A11,tb_pcm_ativos[tag],0)),"fora do cadastro"))</f>
        <v/>
      </c>
      <c r="C11" s="110" t="n"/>
      <c r="D11" s="111" t="n"/>
      <c r="E11" s="111" t="n"/>
      <c r="F11" s="111" t="n"/>
      <c r="G11" s="111" t="n"/>
      <c r="H11" s="111" t="n"/>
      <c r="I11" s="111" t="n"/>
      <c r="J11" s="111" t="n"/>
      <c r="K11" s="112">
        <f>IF($A11="","",COUNTIF(D11:J11,"✔")/7)</f>
        <v/>
      </c>
    </row>
    <row r="12" ht="24" customHeight="1">
      <c r="A12" s="108" t="n"/>
      <c r="B12" s="109">
        <f>IF(A12="","",IFERROR(INDEX(tb_pcm_ativos[descricao_ativo],MATCH(A12,tb_pcm_ativos[tag],0)),"fora do cadastro"))</f>
        <v/>
      </c>
      <c r="C12" s="110" t="n"/>
      <c r="D12" s="111" t="n"/>
      <c r="E12" s="111" t="n"/>
      <c r="F12" s="111" t="n"/>
      <c r="G12" s="111" t="n"/>
      <c r="H12" s="111" t="n"/>
      <c r="I12" s="111" t="n"/>
      <c r="J12" s="111" t="n"/>
      <c r="K12" s="112">
        <f>IF($A12="","",COUNTIF(D12:J12,"✔")/7)</f>
        <v/>
      </c>
    </row>
    <row r="13" ht="24" customHeight="1">
      <c r="A13" s="108" t="n"/>
      <c r="B13" s="109">
        <f>IF(A13="","",IFERROR(INDEX(tb_pcm_ativos[descricao_ativo],MATCH(A13,tb_pcm_ativos[tag],0)),"fora do cadastro"))</f>
        <v/>
      </c>
      <c r="C13" s="110" t="n"/>
      <c r="D13" s="111" t="n"/>
      <c r="E13" s="111" t="n"/>
      <c r="F13" s="111" t="n"/>
      <c r="G13" s="111" t="n"/>
      <c r="H13" s="111" t="n"/>
      <c r="I13" s="111" t="n"/>
      <c r="J13" s="111" t="n"/>
      <c r="K13" s="112">
        <f>IF($A13="","",COUNTIF(D13:J13,"✔")/7)</f>
        <v/>
      </c>
    </row>
    <row r="14" ht="24" customHeight="1">
      <c r="A14" s="108" t="n"/>
      <c r="B14" s="109">
        <f>IF(A14="","",IFERROR(INDEX(tb_pcm_ativos[descricao_ativo],MATCH(A14,tb_pcm_ativos[tag],0)),"fora do cadastro"))</f>
        <v/>
      </c>
      <c r="C14" s="110" t="n"/>
      <c r="D14" s="111" t="n"/>
      <c r="E14" s="111" t="n"/>
      <c r="F14" s="111" t="n"/>
      <c r="G14" s="111" t="n"/>
      <c r="H14" s="111" t="n"/>
      <c r="I14" s="111" t="n"/>
      <c r="J14" s="111" t="n"/>
      <c r="K14" s="112">
        <f>IF($A14="","",COUNTIF(D14:J14,"✔")/7)</f>
        <v/>
      </c>
    </row>
    <row r="15" ht="24" customHeight="1">
      <c r="A15" s="108" t="n"/>
      <c r="B15" s="109">
        <f>IF(A15="","",IFERROR(INDEX(tb_pcm_ativos[descricao_ativo],MATCH(A15,tb_pcm_ativos[tag],0)),"fora do cadastro"))</f>
        <v/>
      </c>
      <c r="C15" s="110" t="n"/>
      <c r="D15" s="111" t="n"/>
      <c r="E15" s="111" t="n"/>
      <c r="F15" s="111" t="n"/>
      <c r="G15" s="111" t="n"/>
      <c r="H15" s="111" t="n"/>
      <c r="I15" s="111" t="n"/>
      <c r="J15" s="111" t="n"/>
      <c r="K15" s="112">
        <f>IF($A15="","",COUNTIF(D15:J15,"✔")/7)</f>
        <v/>
      </c>
    </row>
    <row r="16" ht="24" customHeight="1">
      <c r="A16" s="108" t="n"/>
      <c r="B16" s="109">
        <f>IF(A16="","",IFERROR(INDEX(tb_pcm_ativos[descricao_ativo],MATCH(A16,tb_pcm_ativos[tag],0)),"fora do cadastro"))</f>
        <v/>
      </c>
      <c r="C16" s="110" t="n"/>
      <c r="D16" s="111" t="n"/>
      <c r="E16" s="111" t="n"/>
      <c r="F16" s="111" t="n"/>
      <c r="G16" s="111" t="n"/>
      <c r="H16" s="111" t="n"/>
      <c r="I16" s="111" t="n"/>
      <c r="J16" s="111" t="n"/>
      <c r="K16" s="112">
        <f>IF($A16="","",COUNTIF(D16:J16,"✔")/7)</f>
        <v/>
      </c>
    </row>
    <row r="17" ht="24" customHeight="1">
      <c r="A17" s="108" t="n"/>
      <c r="B17" s="109">
        <f>IF(A17="","",IFERROR(INDEX(tb_pcm_ativos[descricao_ativo],MATCH(A17,tb_pcm_ativos[tag],0)),"fora do cadastro"))</f>
        <v/>
      </c>
      <c r="C17" s="110" t="n"/>
      <c r="D17" s="111" t="n"/>
      <c r="E17" s="111" t="n"/>
      <c r="F17" s="111" t="n"/>
      <c r="G17" s="111" t="n"/>
      <c r="H17" s="111" t="n"/>
      <c r="I17" s="111" t="n"/>
      <c r="J17" s="111" t="n"/>
      <c r="K17" s="112">
        <f>IF($A17="","",COUNTIF(D17:J17,"✔")/7)</f>
        <v/>
      </c>
    </row>
    <row r="18" ht="24" customHeight="1">
      <c r="A18" s="108" t="n"/>
      <c r="B18" s="109">
        <f>IF(A18="","",IFERROR(INDEX(tb_pcm_ativos[descricao_ativo],MATCH(A18,tb_pcm_ativos[tag],0)),"fora do cadastro"))</f>
        <v/>
      </c>
      <c r="C18" s="110" t="n"/>
      <c r="D18" s="111" t="n"/>
      <c r="E18" s="111" t="n"/>
      <c r="F18" s="111" t="n"/>
      <c r="G18" s="111" t="n"/>
      <c r="H18" s="111" t="n"/>
      <c r="I18" s="111" t="n"/>
      <c r="J18" s="111" t="n"/>
      <c r="K18" s="112">
        <f>IF($A18="","",COUNTIF(D18:J18,"✔")/7)</f>
        <v/>
      </c>
    </row>
    <row r="19" ht="24" customHeight="1">
      <c r="A19" s="108" t="n"/>
      <c r="B19" s="109">
        <f>IF(A19="","",IFERROR(INDEX(tb_pcm_ativos[descricao_ativo],MATCH(A19,tb_pcm_ativos[tag],0)),"fora do cadastro"))</f>
        <v/>
      </c>
      <c r="C19" s="110" t="n"/>
      <c r="D19" s="111" t="n"/>
      <c r="E19" s="111" t="n"/>
      <c r="F19" s="111" t="n"/>
      <c r="G19" s="111" t="n"/>
      <c r="H19" s="111" t="n"/>
      <c r="I19" s="111" t="n"/>
      <c r="J19" s="111" t="n"/>
      <c r="K19" s="112">
        <f>IF($A19="","",COUNTIF(D19:J19,"✔")/7)</f>
        <v/>
      </c>
    </row>
    <row r="20" ht="24" customHeight="1">
      <c r="A20" s="108" t="n"/>
      <c r="B20" s="109">
        <f>IF(A20="","",IFERROR(INDEX(tb_pcm_ativos[descricao_ativo],MATCH(A20,tb_pcm_ativos[tag],0)),"fora do cadastro"))</f>
        <v/>
      </c>
      <c r="C20" s="110" t="n"/>
      <c r="D20" s="111" t="n"/>
      <c r="E20" s="111" t="n"/>
      <c r="F20" s="111" t="n"/>
      <c r="G20" s="111" t="n"/>
      <c r="H20" s="111" t="n"/>
      <c r="I20" s="111" t="n"/>
      <c r="J20" s="111" t="n"/>
      <c r="K20" s="112">
        <f>IF($A20="","",COUNTIF(D20:J20,"✔")/7)</f>
        <v/>
      </c>
    </row>
    <row r="21" ht="24" customHeight="1">
      <c r="A21" s="108" t="n"/>
      <c r="B21" s="109">
        <f>IF(A21="","",IFERROR(INDEX(tb_pcm_ativos[descricao_ativo],MATCH(A21,tb_pcm_ativos[tag],0)),"fora do cadastro"))</f>
        <v/>
      </c>
      <c r="C21" s="110" t="n"/>
      <c r="D21" s="111" t="n"/>
      <c r="E21" s="111" t="n"/>
      <c r="F21" s="111" t="n"/>
      <c r="G21" s="111" t="n"/>
      <c r="H21" s="111" t="n"/>
      <c r="I21" s="111" t="n"/>
      <c r="J21" s="111" t="n"/>
      <c r="K21" s="112">
        <f>IF($A21="","",COUNTIF(D21:J21,"✔")/7)</f>
        <v/>
      </c>
    </row>
    <row r="22" ht="24" customHeight="1">
      <c r="A22" s="108" t="n"/>
      <c r="B22" s="109">
        <f>IF(A22="","",IFERROR(INDEX(tb_pcm_ativos[descricao_ativo],MATCH(A22,tb_pcm_ativos[tag],0)),"fora do cadastro"))</f>
        <v/>
      </c>
      <c r="C22" s="110" t="n"/>
      <c r="D22" s="111" t="n"/>
      <c r="E22" s="111" t="n"/>
      <c r="F22" s="111" t="n"/>
      <c r="G22" s="111" t="n"/>
      <c r="H22" s="111" t="n"/>
      <c r="I22" s="111" t="n"/>
      <c r="J22" s="111" t="n"/>
      <c r="K22" s="112">
        <f>IF($A22="","",COUNTIF(D22:J22,"✔")/7)</f>
        <v/>
      </c>
    </row>
    <row r="23" ht="24" customHeight="1">
      <c r="A23" s="108" t="n"/>
      <c r="B23" s="109">
        <f>IF(A23="","",IFERROR(INDEX(tb_pcm_ativos[descricao_ativo],MATCH(A23,tb_pcm_ativos[tag],0)),"fora do cadastro"))</f>
        <v/>
      </c>
      <c r="C23" s="110" t="n"/>
      <c r="D23" s="111" t="n"/>
      <c r="E23" s="111" t="n"/>
      <c r="F23" s="111" t="n"/>
      <c r="G23" s="111" t="n"/>
      <c r="H23" s="111" t="n"/>
      <c r="I23" s="111" t="n"/>
      <c r="J23" s="111" t="n"/>
      <c r="K23" s="112">
        <f>IF($A23="","",COUNTIF(D23:J23,"✔")/7)</f>
        <v/>
      </c>
    </row>
    <row r="24" ht="24" customHeight="1">
      <c r="A24" s="108" t="n"/>
      <c r="B24" s="109">
        <f>IF(A24="","",IFERROR(INDEX(tb_pcm_ativos[descricao_ativo],MATCH(A24,tb_pcm_ativos[tag],0)),"fora do cadastro"))</f>
        <v/>
      </c>
      <c r="C24" s="110" t="n"/>
      <c r="D24" s="111" t="n"/>
      <c r="E24" s="111" t="n"/>
      <c r="F24" s="111" t="n"/>
      <c r="G24" s="111" t="n"/>
      <c r="H24" s="111" t="n"/>
      <c r="I24" s="111" t="n"/>
      <c r="J24" s="111" t="n"/>
      <c r="K24" s="112">
        <f>IF($A24="","",COUNTIF(D24:J24,"✔")/7)</f>
        <v/>
      </c>
    </row>
    <row r="25" ht="24" customHeight="1">
      <c r="A25" s="113" t="n"/>
      <c r="B25" s="114">
        <f>IF(A25="","",IFERROR(INDEX(tb_pcm_ativos[descricao_ativo],MATCH(A25,tb_pcm_ativos[tag],0)),"fora do cadastro"))</f>
        <v/>
      </c>
      <c r="C25" s="115" t="n"/>
      <c r="D25" s="116" t="n"/>
      <c r="E25" s="116" t="n"/>
      <c r="F25" s="116" t="n"/>
      <c r="G25" s="116" t="n"/>
      <c r="H25" s="116" t="n"/>
      <c r="I25" s="116" t="n"/>
      <c r="J25" s="116" t="n"/>
      <c r="K25" s="117">
        <f>IF($A25="","",COUNTIF(D25:J25,"✔")/7)</f>
        <v/>
      </c>
    </row>
  </sheetData>
  <mergeCells count="6">
    <mergeCell ref="I2:K2"/>
    <mergeCell ref="A1:C2"/>
    <mergeCell ref="D2:H2"/>
    <mergeCell ref="A3:G3"/>
    <mergeCell ref="D1:H1"/>
    <mergeCell ref="I1:K1"/>
  </mergeCells>
  <conditionalFormatting sqref="D6:J25">
    <cfRule type="expression" priority="1" dxfId="10" stopIfTrue="1">
      <formula>D6="●"</formula>
    </cfRule>
    <cfRule type="expression" priority="2" dxfId="1" stopIfTrue="1">
      <formula>D6="✔"</formula>
    </cfRule>
  </conditionalFormatting>
  <conditionalFormatting sqref="K6:K25">
    <cfRule type="dataBar" priority="3">
      <dataBar showValue="1">
        <cfvo type="num" val="0"/>
        <cfvo type="num" val="1"/>
        <color rgb="001F5AA6"/>
      </dataBar>
    </cfRule>
  </conditionalFormatting>
  <dataValidations count="3">
    <dataValidation sqref="A6:A25" showDropDown="0" showInputMessage="0" showErrorMessage="1" allowBlank="1" errorTitle="Valor fora da lista" error="Escolha um item da lista." type="list" errorStyle="stop">
      <formula1>L_TAGS</formula1>
    </dataValidation>
    <dataValidation sqref="C6:C25" showDropDown="0" showInputMessage="0" showErrorMessage="1" allowBlank="1" errorTitle="Valor fora da lista" error="Escolha um item da lista." type="list" errorStyle="stop">
      <formula1>L_PESSOAS</formula1>
    </dataValidation>
    <dataValidation sqref="D6:J25" showDropDown="0" showInputMessage="0" showErrorMessage="1" allowBlank="1" errorTitle="Valor fora da lista" error="Escolha um dos símbolos da legenda." type="list" errorStyle="stop">
      <formula1>"●,✔"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24" customWidth="1" min="8" max="8"/>
    <col width="3" customWidth="1" min="9" max="9"/>
    <col width="30" customWidth="1" min="10" max="10"/>
  </cols>
  <sheetData>
    <row r="1" ht="30.75" customHeight="1">
      <c r="A1" s="39" t="n"/>
      <c r="B1" s="41" t="n"/>
      <c r="C1" s="42" t="inlineStr">
        <is>
          <t>Cadastros</t>
        </is>
      </c>
      <c r="D1" s="40" t="n"/>
      <c r="E1" s="40" t="n"/>
      <c r="F1" s="40" t="n"/>
      <c r="G1" s="41" t="n"/>
      <c r="H1" s="43">
        <f>"Rev. "&amp;'Leia-me'!$D$15&amp;"   ·   "&amp;'Leia-me'!$D$16</f>
        <v/>
      </c>
      <c r="I1" s="40" t="n"/>
      <c r="J1" s="41" t="n"/>
    </row>
    <row r="2" ht="28" customHeight="1">
      <c r="A2" s="44" t="n"/>
      <c r="B2" s="46" t="n"/>
      <c r="C2" s="47" t="inlineStr">
        <is>
          <t>Objetivo: Cadastre aqui os itens usados nas listas (▼) das outras abas.</t>
        </is>
      </c>
      <c r="D2" s="45" t="n"/>
      <c r="E2" s="45" t="n"/>
      <c r="F2" s="45" t="n"/>
      <c r="G2" s="46" t="n"/>
      <c r="H2" s="47">
        <f>"Elaborado: "&amp;'Leia-me'!$D$13&amp;"   ·   Aprovado: "&amp;'Leia-me'!$D$14</f>
        <v/>
      </c>
      <c r="I2" s="45" t="n"/>
      <c r="J2" s="46" t="n"/>
    </row>
    <row r="3" ht="32" customHeight="1">
      <c r="A3" s="104" t="inlineStr">
        <is>
          <t>TAG</t>
        </is>
      </c>
      <c r="B3" s="105" t="inlineStr">
        <is>
          <t>Equipamento</t>
        </is>
      </c>
      <c r="C3" s="105" t="inlineStr">
        <is>
          <t>Família de equipamento ▼</t>
        </is>
      </c>
      <c r="D3" s="118" t="inlineStr">
        <is>
          <t>Setor ▼</t>
        </is>
      </c>
      <c r="F3" s="119" t="inlineStr">
        <is>
          <t>Responsável</t>
        </is>
      </c>
      <c r="H3" s="119" t="inlineStr">
        <is>
          <t>Setor</t>
        </is>
      </c>
      <c r="J3" s="119" t="inlineStr">
        <is>
          <t>Família de equipamento</t>
        </is>
      </c>
    </row>
    <row r="4" hidden="1">
      <c r="A4" s="107" t="inlineStr">
        <is>
          <t>tag</t>
        </is>
      </c>
      <c r="B4" s="107" t="inlineStr">
        <is>
          <t>descricao_ativo</t>
        </is>
      </c>
      <c r="C4" s="107" t="inlineStr">
        <is>
          <t>familia</t>
        </is>
      </c>
      <c r="D4" s="107" t="inlineStr">
        <is>
          <t>setor</t>
        </is>
      </c>
      <c r="F4" s="107" t="inlineStr">
        <is>
          <t>nome_pessoa</t>
        </is>
      </c>
      <c r="H4" s="107" t="inlineStr">
        <is>
          <t>nome_setor</t>
        </is>
      </c>
      <c r="J4" s="107" t="inlineStr">
        <is>
          <t>nome_familia</t>
        </is>
      </c>
    </row>
    <row r="5" ht="22" customHeight="1">
      <c r="A5" s="120" t="n"/>
      <c r="B5" s="121" t="n"/>
      <c r="C5" s="121" t="n"/>
      <c r="D5" s="122" t="n"/>
      <c r="F5" s="123" t="n"/>
      <c r="H5" s="123" t="n"/>
      <c r="J5" s="123" t="n"/>
    </row>
    <row r="6" ht="22" customHeight="1">
      <c r="A6" s="120" t="n"/>
      <c r="B6" s="121" t="n"/>
      <c r="C6" s="121" t="n"/>
      <c r="D6" s="122" t="n"/>
      <c r="F6" s="123" t="n"/>
      <c r="H6" s="123" t="n"/>
      <c r="J6" s="123" t="n"/>
    </row>
    <row r="7" ht="22" customHeight="1">
      <c r="A7" s="120" t="n"/>
      <c r="B7" s="121" t="n"/>
      <c r="C7" s="121" t="n"/>
      <c r="D7" s="122" t="n"/>
      <c r="F7" s="123" t="n"/>
      <c r="H7" s="123" t="n"/>
      <c r="J7" s="123" t="n"/>
    </row>
    <row r="8" ht="22" customHeight="1">
      <c r="A8" s="120" t="n"/>
      <c r="B8" s="121" t="n"/>
      <c r="C8" s="121" t="n"/>
      <c r="D8" s="122" t="n"/>
      <c r="F8" s="123" t="n"/>
      <c r="H8" s="123" t="n"/>
      <c r="J8" s="123" t="n"/>
    </row>
    <row r="9" ht="22" customHeight="1">
      <c r="A9" s="120" t="n"/>
      <c r="B9" s="121" t="n"/>
      <c r="C9" s="121" t="n"/>
      <c r="D9" s="122" t="n"/>
      <c r="F9" s="123" t="n"/>
      <c r="H9" s="123" t="n"/>
      <c r="J9" s="123" t="n"/>
    </row>
    <row r="10" ht="22" customHeight="1">
      <c r="A10" s="120" t="n"/>
      <c r="B10" s="121" t="n"/>
      <c r="C10" s="121" t="n"/>
      <c r="D10" s="122" t="n"/>
      <c r="F10" s="123" t="n"/>
      <c r="H10" s="123" t="n"/>
      <c r="J10" s="123" t="n"/>
    </row>
    <row r="11" ht="22" customHeight="1">
      <c r="A11" s="120" t="n"/>
      <c r="B11" s="121" t="n"/>
      <c r="C11" s="121" t="n"/>
      <c r="D11" s="122" t="n"/>
      <c r="F11" s="123" t="n"/>
      <c r="H11" s="123" t="n"/>
      <c r="J11" s="123" t="n"/>
    </row>
    <row r="12" ht="22" customHeight="1">
      <c r="A12" s="120" t="n"/>
      <c r="B12" s="121" t="n"/>
      <c r="C12" s="121" t="n"/>
      <c r="D12" s="122" t="n"/>
      <c r="F12" s="123" t="n"/>
      <c r="H12" s="123" t="n"/>
      <c r="J12" s="123" t="n"/>
    </row>
    <row r="13" ht="22" customHeight="1">
      <c r="A13" s="120" t="n"/>
      <c r="B13" s="121" t="n"/>
      <c r="C13" s="121" t="n"/>
      <c r="D13" s="122" t="n"/>
      <c r="F13" s="123" t="n"/>
      <c r="H13" s="123" t="n"/>
      <c r="J13" s="123" t="n"/>
    </row>
    <row r="14" ht="22" customHeight="1">
      <c r="A14" s="120" t="n"/>
      <c r="B14" s="121" t="n"/>
      <c r="C14" s="121" t="n"/>
      <c r="D14" s="122" t="n"/>
      <c r="F14" s="123" t="n"/>
      <c r="H14" s="123" t="n"/>
      <c r="J14" s="123" t="n"/>
    </row>
    <row r="15" ht="22" customHeight="1">
      <c r="A15" s="120" t="n"/>
      <c r="B15" s="121" t="n"/>
      <c r="C15" s="121" t="n"/>
      <c r="D15" s="122" t="n"/>
      <c r="F15" s="123" t="n"/>
      <c r="H15" s="123" t="n"/>
      <c r="J15" s="123" t="n"/>
    </row>
    <row r="16" ht="22" customHeight="1">
      <c r="A16" s="120" t="n"/>
      <c r="B16" s="121" t="n"/>
      <c r="C16" s="121" t="n"/>
      <c r="D16" s="122" t="n"/>
      <c r="F16" s="123" t="n"/>
      <c r="H16" s="123" t="n"/>
      <c r="J16" s="123" t="n"/>
    </row>
    <row r="17" ht="22" customHeight="1">
      <c r="A17" s="120" t="n"/>
      <c r="B17" s="121" t="n"/>
      <c r="C17" s="121" t="n"/>
      <c r="D17" s="122" t="n"/>
      <c r="F17" s="123" t="n"/>
      <c r="H17" s="123" t="n"/>
      <c r="J17" s="123" t="n"/>
    </row>
    <row r="18" ht="22" customHeight="1">
      <c r="A18" s="120" t="n"/>
      <c r="B18" s="121" t="n"/>
      <c r="C18" s="121" t="n"/>
      <c r="D18" s="122" t="n"/>
      <c r="F18" s="123" t="n"/>
      <c r="H18" s="123" t="n"/>
      <c r="J18" s="123" t="n"/>
    </row>
    <row r="19" ht="22" customHeight="1">
      <c r="A19" s="120" t="n"/>
      <c r="B19" s="121" t="n"/>
      <c r="C19" s="121" t="n"/>
      <c r="D19" s="122" t="n"/>
      <c r="F19" s="123" t="n"/>
      <c r="H19" s="123" t="n"/>
      <c r="J19" s="123" t="n"/>
    </row>
    <row r="20" ht="22" customHeight="1">
      <c r="A20" s="120" t="n"/>
      <c r="B20" s="121" t="n"/>
      <c r="C20" s="121" t="n"/>
      <c r="D20" s="122" t="n"/>
      <c r="F20" s="123" t="n"/>
      <c r="H20" s="123" t="n"/>
      <c r="J20" s="123" t="n"/>
    </row>
    <row r="21" ht="22" customHeight="1">
      <c r="A21" s="120" t="n"/>
      <c r="B21" s="121" t="n"/>
      <c r="C21" s="121" t="n"/>
      <c r="D21" s="122" t="n"/>
      <c r="F21" s="123" t="n"/>
      <c r="H21" s="123" t="n"/>
      <c r="J21" s="123" t="n"/>
    </row>
    <row r="22" ht="22" customHeight="1">
      <c r="A22" s="120" t="n"/>
      <c r="B22" s="121" t="n"/>
      <c r="C22" s="121" t="n"/>
      <c r="D22" s="122" t="n"/>
      <c r="F22" s="123" t="n"/>
      <c r="H22" s="123" t="n"/>
      <c r="J22" s="123" t="n"/>
    </row>
    <row r="23" ht="22" customHeight="1">
      <c r="A23" s="120" t="n"/>
      <c r="B23" s="121" t="n"/>
      <c r="C23" s="121" t="n"/>
      <c r="D23" s="122" t="n"/>
      <c r="F23" s="123" t="n"/>
      <c r="H23" s="123" t="n"/>
      <c r="J23" s="123" t="n"/>
    </row>
    <row r="24" ht="22" customHeight="1">
      <c r="A24" s="120" t="n"/>
      <c r="B24" s="121" t="n"/>
      <c r="C24" s="121" t="n"/>
      <c r="D24" s="122" t="n"/>
      <c r="F24" s="123" t="n"/>
      <c r="H24" s="123" t="n"/>
      <c r="J24" s="123" t="n"/>
    </row>
    <row r="25" ht="22" customHeight="1">
      <c r="A25" s="120" t="n"/>
      <c r="B25" s="121" t="n"/>
      <c r="C25" s="121" t="n"/>
      <c r="D25" s="122" t="n"/>
      <c r="F25" s="123" t="n"/>
      <c r="H25" s="123" t="n"/>
      <c r="J25" s="123" t="n"/>
    </row>
    <row r="26" ht="22" customHeight="1">
      <c r="A26" s="120" t="n"/>
      <c r="B26" s="121" t="n"/>
      <c r="C26" s="121" t="n"/>
      <c r="D26" s="122" t="n"/>
      <c r="F26" s="123" t="n"/>
      <c r="H26" s="123" t="n"/>
      <c r="J26" s="123" t="n"/>
    </row>
    <row r="27" ht="22" customHeight="1">
      <c r="A27" s="120" t="n"/>
      <c r="B27" s="121" t="n"/>
      <c r="C27" s="121" t="n"/>
      <c r="D27" s="122" t="n"/>
      <c r="F27" s="123" t="n"/>
      <c r="H27" s="123" t="n"/>
      <c r="J27" s="123" t="n"/>
    </row>
    <row r="28" ht="22" customHeight="1">
      <c r="A28" s="120" t="n"/>
      <c r="B28" s="121" t="n"/>
      <c r="C28" s="121" t="n"/>
      <c r="D28" s="122" t="n"/>
      <c r="F28" s="123" t="n"/>
      <c r="H28" s="123" t="n"/>
      <c r="J28" s="123" t="n"/>
    </row>
    <row r="29" ht="22" customHeight="1">
      <c r="A29" s="124" t="n"/>
      <c r="B29" s="125" t="n"/>
      <c r="C29" s="125" t="n"/>
      <c r="D29" s="126" t="n"/>
      <c r="F29" s="127" t="n"/>
      <c r="H29" s="127" t="n"/>
      <c r="J29" s="127" t="n"/>
    </row>
    <row r="30" ht="20" customHeight="1">
      <c r="A30" s="128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39" t="n"/>
      <c r="B1" s="41" t="n"/>
      <c r="C1" s="129" t="inlineStr">
        <is>
          <t>Revisões</t>
        </is>
      </c>
      <c r="D1" s="43">
        <f>"Rev. "&amp;'Leia-me'!$D$15&amp;"   ·   "&amp;'Leia-me'!$D$16</f>
        <v/>
      </c>
      <c r="E1" s="41" t="n"/>
    </row>
    <row r="2" ht="28" customHeight="1">
      <c r="A2" s="44" t="n"/>
      <c r="B2" s="46" t="n"/>
      <c r="C2" s="102" t="inlineStr">
        <is>
          <t>Objetivo: Registre cada alteração do modelo; a última linha alimenta Rev. e data do cabeçalho.</t>
        </is>
      </c>
      <c r="D2" s="47">
        <f>"Elaborado: "&amp;'Leia-me'!$D$13&amp;"   ·   Aprovado: "&amp;'Leia-me'!$D$14</f>
        <v/>
      </c>
      <c r="E2" s="46" t="n"/>
    </row>
    <row r="3" ht="26" customHeight="1">
      <c r="A3" s="104" t="inlineStr">
        <is>
          <t>Rev</t>
        </is>
      </c>
      <c r="B3" s="105" t="inlineStr">
        <is>
          <t>Data</t>
        </is>
      </c>
      <c r="C3" s="105" t="inlineStr">
        <is>
          <t>Descrição da alteração</t>
        </is>
      </c>
      <c r="D3" s="105" t="inlineStr">
        <is>
          <t>Elaborado por</t>
        </is>
      </c>
      <c r="E3" s="118" t="inlineStr">
        <is>
          <t>Aprovado por</t>
        </is>
      </c>
    </row>
    <row r="4" hidden="1">
      <c r="A4" s="107" t="inlineStr">
        <is>
          <t>revisao</t>
        </is>
      </c>
      <c r="B4" s="107" t="inlineStr">
        <is>
          <t>data_revisao</t>
        </is>
      </c>
      <c r="C4" s="107" t="inlineStr">
        <is>
          <t>descricao_alteracao</t>
        </is>
      </c>
      <c r="D4" s="107" t="inlineStr">
        <is>
          <t>elaborado_por</t>
        </is>
      </c>
      <c r="E4" s="107" t="inlineStr">
        <is>
          <t>aprovado_por</t>
        </is>
      </c>
    </row>
    <row r="5" ht="22" customHeight="1">
      <c r="A5" s="130" t="inlineStr">
        <is>
          <t>00</t>
        </is>
      </c>
      <c r="B5" s="131" t="n">
        <v>46325</v>
      </c>
      <c r="C5" s="132" t="inlineStr">
        <is>
          <t>Emissão inicial</t>
        </is>
      </c>
      <c r="D5" s="121" t="n"/>
      <c r="E5" s="122" t="n"/>
    </row>
    <row r="6" ht="22" customHeight="1">
      <c r="A6" s="130" t="n"/>
      <c r="B6" s="131" t="n"/>
      <c r="C6" s="132" t="n"/>
      <c r="D6" s="121" t="n"/>
      <c r="E6" s="122" t="n"/>
    </row>
    <row r="7" ht="22" customHeight="1">
      <c r="A7" s="130" t="n"/>
      <c r="B7" s="131" t="n"/>
      <c r="C7" s="132" t="n"/>
      <c r="D7" s="121" t="n"/>
      <c r="E7" s="122" t="n"/>
    </row>
    <row r="8" ht="22" customHeight="1">
      <c r="A8" s="130" t="n"/>
      <c r="B8" s="131" t="n"/>
      <c r="C8" s="132" t="n"/>
      <c r="D8" s="121" t="n"/>
      <c r="E8" s="122" t="n"/>
    </row>
    <row r="9" ht="22" customHeight="1">
      <c r="A9" s="130" t="n"/>
      <c r="B9" s="131" t="n"/>
      <c r="C9" s="132" t="n"/>
      <c r="D9" s="121" t="n"/>
      <c r="E9" s="122" t="n"/>
    </row>
    <row r="10" ht="22" customHeight="1">
      <c r="A10" s="130" t="n"/>
      <c r="B10" s="131" t="n"/>
      <c r="C10" s="132" t="n"/>
      <c r="D10" s="121" t="n"/>
      <c r="E10" s="122" t="n"/>
    </row>
    <row r="11" ht="22" customHeight="1">
      <c r="A11" s="130" t="n"/>
      <c r="B11" s="131" t="n"/>
      <c r="C11" s="132" t="n"/>
      <c r="D11" s="121" t="n"/>
      <c r="E11" s="122" t="n"/>
    </row>
    <row r="12" ht="22" customHeight="1">
      <c r="A12" s="130" t="n"/>
      <c r="B12" s="131" t="n"/>
      <c r="C12" s="132" t="n"/>
      <c r="D12" s="121" t="n"/>
      <c r="E12" s="122" t="n"/>
    </row>
    <row r="13" ht="22" customHeight="1">
      <c r="A13" s="130" t="n"/>
      <c r="B13" s="131" t="n"/>
      <c r="C13" s="132" t="n"/>
      <c r="D13" s="121" t="n"/>
      <c r="E13" s="122" t="n"/>
    </row>
    <row r="14" ht="22" customHeight="1">
      <c r="A14" s="130" t="n"/>
      <c r="B14" s="131" t="n"/>
      <c r="C14" s="132" t="n"/>
      <c r="D14" s="121" t="n"/>
      <c r="E14" s="122" t="n"/>
    </row>
    <row r="15" ht="22" customHeight="1">
      <c r="A15" s="130" t="n"/>
      <c r="B15" s="131" t="n"/>
      <c r="C15" s="132" t="n"/>
      <c r="D15" s="121" t="n"/>
      <c r="E15" s="122" t="n"/>
    </row>
    <row r="16" ht="22" customHeight="1">
      <c r="A16" s="130" t="n"/>
      <c r="B16" s="131" t="n"/>
      <c r="C16" s="132" t="n"/>
      <c r="D16" s="121" t="n"/>
      <c r="E16" s="122" t="n"/>
    </row>
    <row r="17" ht="22" customHeight="1">
      <c r="A17" s="130" t="n"/>
      <c r="B17" s="131" t="n"/>
      <c r="C17" s="132" t="n"/>
      <c r="D17" s="121" t="n"/>
      <c r="E17" s="122" t="n"/>
    </row>
    <row r="18" ht="22" customHeight="1">
      <c r="A18" s="130" t="n"/>
      <c r="B18" s="131" t="n"/>
      <c r="C18" s="132" t="n"/>
      <c r="D18" s="121" t="n"/>
      <c r="E18" s="122" t="n"/>
    </row>
    <row r="19" ht="22" customHeight="1">
      <c r="A19" s="130" t="n"/>
      <c r="B19" s="131" t="n"/>
      <c r="C19" s="132" t="n"/>
      <c r="D19" s="121" t="n"/>
      <c r="E19" s="122" t="n"/>
    </row>
    <row r="20" ht="22" customHeight="1">
      <c r="A20" s="130" t="n"/>
      <c r="B20" s="131" t="n"/>
      <c r="C20" s="132" t="n"/>
      <c r="D20" s="121" t="n"/>
      <c r="E20" s="122" t="n"/>
    </row>
    <row r="21" ht="22" customHeight="1">
      <c r="A21" s="130" t="n"/>
      <c r="B21" s="131" t="n"/>
      <c r="C21" s="132" t="n"/>
      <c r="D21" s="121" t="n"/>
      <c r="E21" s="122" t="n"/>
    </row>
    <row r="22" ht="22" customHeight="1">
      <c r="A22" s="130" t="n"/>
      <c r="B22" s="131" t="n"/>
      <c r="C22" s="132" t="n"/>
      <c r="D22" s="121" t="n"/>
      <c r="E22" s="122" t="n"/>
    </row>
    <row r="23" ht="22" customHeight="1">
      <c r="A23" s="130" t="n"/>
      <c r="B23" s="131" t="n"/>
      <c r="C23" s="132" t="n"/>
      <c r="D23" s="121" t="n"/>
      <c r="E23" s="122" t="n"/>
    </row>
    <row r="24" ht="22" customHeight="1">
      <c r="A24" s="130" t="n"/>
      <c r="B24" s="131" t="n"/>
      <c r="C24" s="132" t="n"/>
      <c r="D24" s="121" t="n"/>
      <c r="E24" s="122" t="n"/>
    </row>
    <row r="25" ht="22" customHeight="1">
      <c r="A25" s="130" t="n"/>
      <c r="B25" s="131" t="n"/>
      <c r="C25" s="132" t="n"/>
      <c r="D25" s="121" t="n"/>
      <c r="E25" s="122" t="n"/>
    </row>
    <row r="26" ht="22" customHeight="1">
      <c r="A26" s="130" t="n"/>
      <c r="B26" s="131" t="n"/>
      <c r="C26" s="132" t="n"/>
      <c r="D26" s="121" t="n"/>
      <c r="E26" s="122" t="n"/>
    </row>
    <row r="27" ht="22" customHeight="1">
      <c r="A27" s="130" t="n"/>
      <c r="B27" s="131" t="n"/>
      <c r="C27" s="132" t="n"/>
      <c r="D27" s="121" t="n"/>
      <c r="E27" s="122" t="n"/>
    </row>
    <row r="28" ht="22" customHeight="1">
      <c r="A28" s="130" t="n"/>
      <c r="B28" s="131" t="n"/>
      <c r="C28" s="132" t="n"/>
      <c r="D28" s="121" t="n"/>
      <c r="E28" s="122" t="n"/>
    </row>
    <row r="29" ht="22" customHeight="1">
      <c r="A29" s="133" t="n"/>
      <c r="B29" s="134" t="n"/>
      <c r="C29" s="135" t="n"/>
      <c r="D29" s="125" t="n"/>
      <c r="E29" s="126" t="n"/>
    </row>
    <row r="30" ht="20" customHeight="1">
      <c r="A30" s="128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&amp;K4A5668PCM-MAN-014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2026-10-31T02:04:49Z</dcterms:created>
  <dcterms:modified xmlns:dcterms="http://purl.org/dc/terms/" xmlns:xsi="http://www.w3.org/2001/XMLSchema-instance" xsi:type="dcterms:W3CDTF">2026-10-31T02:04:50Z</dcterms:modified>
</cp:coreProperties>
</file>