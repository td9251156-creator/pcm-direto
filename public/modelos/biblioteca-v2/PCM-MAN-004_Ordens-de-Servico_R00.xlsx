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omments/comment1.xml" ContentType="application/vnd.openxmlformats-officedocument.spreadsheetml.comments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omments/comment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omments/comment3.xml" ContentType="application/vnd.openxmlformats-officedocument.spreadsheetml.comments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Ordem de serviço" sheetId="2" state="visible" r:id="rId2"/>
    <sheet xmlns:r="http://schemas.openxmlformats.org/officeDocument/2006/relationships" name="Ordens de Serviço" sheetId="3" state="visible" r:id="rId3"/>
    <sheet xmlns:r="http://schemas.openxmlformats.org/officeDocument/2006/relationships" name="Cadastros" sheetId="4" state="visible" r:id="rId4"/>
    <sheet xmlns:r="http://schemas.openxmlformats.org/officeDocument/2006/relationships" name="Revisões" sheetId="5" state="visible" r:id="rId5"/>
  </sheets>
  <definedNames>
    <definedName name="L_TAGS">tb_pcm_ativos[tag]</definedName>
    <definedName name="L_PESSOAS">tb_pcm_pessoas[nome_pessoa]</definedName>
    <definedName name="L_SETORES">tb_pcm_setores[nome_setor]</definedName>
    <definedName name="L_OS">tb_pcm_os[numero_os]</definedName>
    <definedName name="L_TIPO">tb_pcm_tipos_manutencao[tipo_manutencao]</definedName>
    <definedName name="L_PRIOR">tb_pcm_prioridades[prioridade]</definedName>
    <definedName name="L_STATUS_OS">tb_pcm_status_os[status_os]</definedName>
    <definedName name="L_FAMILIAS">tb_pcm_familias[nome_familia]</definedName>
    <definedName name="_xlnm.Print_Area" localSheetId="0">'Leia-me'!$A$1:$G$31</definedName>
    <definedName name="_xlnm.Print_Area" localSheetId="1">'Ordem de serviço'!$A$1:$D$34</definedName>
    <definedName name="_xlnm.Print_Titles" localSheetId="2">'Ordens de Serviço'!$1:$3</definedName>
    <definedName name="_xlnm.Print_Area" localSheetId="2">'Ordens de Serviço'!$A$1:$N$30</definedName>
    <definedName name="_xlnm.Print_Titles" localSheetId="3">'Cadastros'!$1:$3</definedName>
    <definedName name="_xlnm.Print_Area" localSheetId="3">'Cadastros'!$A$1:$J$30</definedName>
    <definedName name="_xlnm.Print_Titles" localSheetId="4">'Revisões'!$1:$3</definedName>
    <definedName name="_xlnm.Print_Area" localSheetId="4">'Revisões'!$A$1:$E$30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0.0"/>
    <numFmt numFmtId="166" formatCode="dd/mm/yyyy"/>
  </numFmts>
  <fonts count="24">
    <font>
      <name val="Calibri"/>
      <family val="2"/>
      <color theme="1"/>
      <sz val="11"/>
      <scheme val="minor"/>
    </font>
    <font>
      <name val="Arial"/>
      <b val="1"/>
      <color rgb="006B7686"/>
      <sz val="7.5"/>
    </font>
    <font>
      <name val="Arial"/>
      <b val="1"/>
      <color rgb="000E1726"/>
      <sz val="10"/>
    </font>
    <font>
      <name val="Arial Black"/>
      <color rgb="000E1726"/>
      <sz val="20"/>
    </font>
    <font>
      <name val="Arial"/>
      <color rgb="004A5668"/>
      <sz val="8"/>
    </font>
    <font>
      <name val="Arial Black"/>
      <color rgb="000E1726"/>
      <sz val="10"/>
    </font>
    <font>
      <name val="Arial"/>
      <b val="1"/>
      <color rgb="00FFFFFF"/>
      <sz val="9"/>
    </font>
    <font>
      <name val="Arial"/>
      <color rgb="008A94A6"/>
      <sz val="7"/>
    </font>
    <font>
      <name val="Arial"/>
      <b val="1"/>
      <color rgb="000B2A5B"/>
      <sz val="9"/>
    </font>
    <font>
      <name val="Arial"/>
      <color rgb="000E1726"/>
      <sz val="9"/>
    </font>
    <font>
      <name val="Arial Black"/>
      <color rgb="000B2A5B"/>
      <sz val="16"/>
    </font>
    <font>
      <name val="Arial"/>
      <i val="1"/>
      <color rgb="004A5668"/>
      <sz val="8"/>
    </font>
    <font>
      <name val="Arial Black"/>
      <color rgb="001F5AA6"/>
      <sz val="12"/>
      <u val="single"/>
    </font>
    <font>
      <name val="Arial Black"/>
      <color rgb="00FFFFFF"/>
      <sz val="10"/>
    </font>
    <font>
      <name val="Arial"/>
      <color rgb="000E1726"/>
      <sz val="8.5"/>
    </font>
    <font>
      <name val="Arial"/>
      <b val="1"/>
      <color rgb="000E1726"/>
      <sz val="9"/>
    </font>
    <font>
      <name val="Arial"/>
      <i val="1"/>
      <color rgb="006B7686"/>
      <sz val="8"/>
    </font>
    <font>
      <name val="Arial"/>
      <b val="1"/>
      <color rgb="00B85600"/>
      <sz val="8"/>
    </font>
    <font>
      <name val="Arial"/>
      <b val="1"/>
      <color rgb="001F5AA6"/>
      <sz val="9"/>
      <u val="single"/>
    </font>
    <font>
      <name val="Arial Black"/>
      <color rgb="000B2A5B"/>
      <sz val="10"/>
    </font>
    <font>
      <name val="Arial Black"/>
      <color rgb="001F5AA6"/>
      <sz val="10"/>
      <u val="single"/>
    </font>
    <font>
      <name val="Arial"/>
      <color rgb="004A5668"/>
      <sz val="8.5"/>
    </font>
    <font>
      <name val="Arial Black"/>
      <color rgb="00FFFFFF"/>
      <sz val="9"/>
    </font>
    <font>
      <name val="Arial"/>
      <color rgb="000E1726"/>
      <sz val="8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CEFF3"/>
      </patternFill>
    </fill>
    <fill>
      <patternFill patternType="solid">
        <fgColor rgb="000B2A5B"/>
      </patternFill>
    </fill>
    <fill>
      <patternFill patternType="solid">
        <fgColor rgb="00EAF1FB"/>
      </patternFill>
    </fill>
    <fill>
      <patternFill patternType="solid">
        <fgColor rgb="001F5AA6"/>
      </patternFill>
    </fill>
    <fill>
      <patternFill patternType="solid">
        <fgColor rgb="00F6F8FB"/>
      </patternFill>
    </fill>
    <fill>
      <patternFill patternType="solid">
        <fgColor rgb="004A5668"/>
      </patternFill>
    </fill>
  </fills>
  <borders count="62">
    <border>
      <left/>
      <right/>
      <top/>
      <bottom/>
      <diagonal/>
    </border>
    <border>
      <left style="thin">
        <color rgb="00D3DEEC"/>
      </left>
      <top style="thin">
        <color rgb="00D3DEEC"/>
      </top>
    </border>
    <border>
      <top style="thin">
        <color rgb="00D3DEEC"/>
      </top>
    </border>
    <border>
      <right style="thin">
        <color rgb="00D3DEEC"/>
      </right>
      <top style="thin">
        <color rgb="00D3DEEC"/>
      </top>
    </border>
    <border>
      <left style="thin">
        <color rgb="00D3DEEC"/>
      </left>
      <bottom style="thin">
        <color rgb="00D3DEEC"/>
      </bottom>
    </border>
    <border>
      <bottom style="thin">
        <color rgb="00D3DEEC"/>
      </bottom>
    </border>
    <border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D3DEEC"/>
      </right>
      <top style="thin">
        <color rgb="00D3DEEC"/>
      </top>
      <bottom style="thin">
        <color rgb="00D3DEEC"/>
      </bottom>
    </border>
    <border>
      <left style="thin">
        <color rgb="00D3DEEC"/>
      </left>
    </border>
    <border/>
    <border>
      <right style="thin">
        <color rgb="00D3DEEC"/>
      </right>
    </border>
    <border>
      <left style="thin">
        <color rgb="00D3DEEC"/>
      </left>
      <right style="thin">
        <color rgb="00D3DEEC"/>
      </right>
      <top style="thin">
        <color rgb="00D3DEEC"/>
      </top>
    </border>
    <border>
      <left/>
      <right/>
      <top style="thin">
        <color rgb="00D3DEEC"/>
      </top>
      <bottom/>
      <diagonal/>
    </border>
    <border>
      <left/>
      <right style="thin">
        <color rgb="00D3DEEC"/>
      </right>
      <top style="thin">
        <color rgb="00D3DEEC"/>
      </top>
      <bottom/>
      <diagonal/>
    </border>
    <border>
      <left style="thin">
        <color rgb="00D3DEEC"/>
      </left>
      <top style="thin">
        <color rgb="00D3DEEC"/>
      </top>
      <bottom style="thin">
        <color rgb="00D3DEEC"/>
      </bottom>
    </border>
    <border>
      <right style="thin">
        <color rgb="00D3DEEC"/>
      </right>
      <top style="thin">
        <color rgb="00D3DEEC"/>
      </top>
      <bottom style="thin">
        <color rgb="00D3DEEC"/>
      </bottom>
    </border>
    <border>
      <left/>
      <right style="thin">
        <color rgb="00D3DEEC"/>
      </right>
      <top/>
      <bottom/>
      <diagonal/>
    </border>
    <border>
      <left style="thin">
        <color rgb="00D3DEEC"/>
      </left>
      <right style="thin">
        <color rgb="00D3DEEC"/>
      </right>
    </border>
    <border>
      <left style="thin">
        <color rgb="00D3DEEC"/>
      </left>
      <right/>
      <top/>
      <bottom/>
      <diagonal/>
    </border>
    <border>
      <left/>
      <right/>
      <top/>
      <bottom style="thin">
        <color rgb="00D3DEEC"/>
      </bottom>
      <diagonal/>
    </border>
    <border>
      <left/>
      <right style="thin">
        <color rgb="00D3DEEC"/>
      </right>
      <top/>
      <bottom style="thin">
        <color rgb="00D3DEEC"/>
      </bottom>
      <diagonal/>
    </border>
    <border>
      <left style="thin">
        <color rgb="00D3DEEC"/>
      </left>
      <right style="thin">
        <color rgb="00D3DEEC"/>
      </right>
      <bottom style="thin">
        <color rgb="00D3DEEC"/>
      </bottom>
    </border>
    <border>
      <left style="thin">
        <color rgb="00D3DEEC"/>
      </left>
      <right/>
      <top/>
      <bottom style="thin">
        <color rgb="00D3DEEC"/>
      </bottom>
      <diagonal/>
    </border>
    <border>
      <left style="thin">
        <color rgb="000B2A5B"/>
      </left>
      <right style="thin">
        <color rgb="000B2A5B"/>
      </right>
      <top style="thin">
        <color rgb="000B2A5B"/>
      </top>
    </border>
    <border>
      <left style="thin">
        <color rgb="000B2A5B"/>
      </left>
      <top style="thin">
        <color rgb="000B2A5B"/>
      </top>
    </border>
    <border>
      <right style="thin">
        <color rgb="000B2A5B"/>
      </right>
      <top style="thin">
        <color rgb="000B2A5B"/>
      </top>
    </border>
    <border>
      <left style="thin">
        <color rgb="000B2A5B"/>
      </left>
      <right style="thin">
        <color rgb="000B2A5B"/>
      </right>
      <bottom style="thin">
        <color rgb="000B2A5B"/>
      </bottom>
    </border>
    <border>
      <left style="thin">
        <color rgb="000B2A5B"/>
      </left>
      <bottom style="thin">
        <color rgb="000B2A5B"/>
      </bottom>
    </border>
    <border>
      <right style="thin">
        <color rgb="000B2A5B"/>
      </right>
      <bottom style="thin">
        <color rgb="000B2A5B"/>
      </bottom>
    </border>
    <border>
      <left/>
      <right/>
      <top style="thin">
        <color rgb="00D3DEEC"/>
      </top>
      <bottom/>
    </border>
    <border>
      <left/>
      <right style="thin">
        <color rgb="00D3DEEC"/>
      </right>
      <top style="thin">
        <color rgb="00D3DEEC"/>
      </top>
      <bottom/>
    </border>
    <border>
      <left/>
      <right style="thin">
        <color rgb="00D3DEEC"/>
      </right>
      <top/>
      <bottom/>
    </border>
    <border>
      <left/>
      <right/>
      <top/>
      <bottom style="thin">
        <color rgb="00D3DEEC"/>
      </bottom>
    </border>
    <border>
      <left/>
      <right style="thin">
        <color rgb="00D3DEEC"/>
      </right>
      <top/>
      <bottom style="thin">
        <color rgb="00D3DEEC"/>
      </bottom>
    </border>
    <border>
      <left style="thin">
        <color rgb="000B2A5B"/>
      </left>
      <bottom style="thin">
        <color rgb="00D3DEEC"/>
      </bottom>
    </border>
    <border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D3DEEC"/>
      </bottom>
    </border>
    <border>
      <left style="thin">
        <color rgb="00D3DEEC"/>
      </left>
      <right style="thin">
        <color rgb="000B2A5B"/>
      </right>
      <bottom style="thin">
        <color rgb="00D3DEEC"/>
      </bottom>
    </border>
    <border>
      <left style="thin">
        <color rgb="000B2A5B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D3DEEC"/>
      </right>
      <bottom style="thin">
        <color rgb="000B2A5B"/>
      </bottom>
    </border>
    <border>
      <left style="thin">
        <color rgb="00D3DEEC"/>
      </left>
      <right style="thin">
        <color rgb="000B2A5B"/>
      </right>
      <bottom style="thin">
        <color rgb="000B2A5B"/>
      </bottom>
    </border>
    <border>
      <top style="thin">
        <color rgb="000B2A5B"/>
      </top>
    </border>
    <border>
      <bottom style="thin">
        <color rgb="000B2A5B"/>
      </bottom>
    </border>
    <border>
      <left style="thin">
        <color rgb="000B2A5B"/>
      </left>
      <right style="thin">
        <color rgb="000B2A5B"/>
      </right>
      <bottom style="thin">
        <color rgb="00D3DEEC"/>
      </bottom>
    </border>
    <border>
      <bottom style="thick">
        <color rgb="00F28C28"/>
      </bottom>
    </border>
    <border>
      <left style="medium">
        <color rgb="00FFFFFF"/>
      </left>
      <top style="medium">
        <color rgb="000B2A5B"/>
      </top>
    </border>
    <border>
      <left style="medium">
        <color rgb="00FFFFFF"/>
      </left>
    </border>
    <border>
      <right style="medium">
        <color rgb="00FFFFFF"/>
      </right>
      <top style="medium">
        <color rgb="000B2A5B"/>
      </top>
    </border>
    <border>
      <right style="medium">
        <color rgb="00FFFFFF"/>
      </right>
    </border>
    <border>
      <left style="medium">
        <color rgb="00FFFFFF"/>
      </left>
      <right style="medium">
        <color rgb="00FFFFFF"/>
      </right>
      <top style="medium">
        <color rgb="000B2A5B"/>
      </top>
    </border>
    <border>
      <left style="medium">
        <color rgb="00FFFFFF"/>
      </left>
      <right style="medium">
        <color rgb="00FFFFFF"/>
      </right>
    </border>
    <border>
      <top style="thin">
        <color rgb="00D3DEEC"/>
      </top>
      <bottom style="thin">
        <color rgb="00D3DEEC"/>
      </bottom>
    </border>
    <border>
      <bottom style="thin">
        <color rgb="00FFFFFF"/>
      </bottom>
    </border>
    <border>
      <top style="medium">
        <color rgb="000B2A5B"/>
      </top>
    </border>
    <border>
      <left/>
      <right style="thin">
        <color rgb="000B2A5B"/>
      </right>
      <top/>
      <bottom/>
      <diagonal/>
    </border>
    <border>
      <left/>
      <right style="thin">
        <color rgb="000B2A5B"/>
      </right>
      <top/>
      <bottom style="thin">
        <color rgb="000B2A5B"/>
      </bottom>
      <diagonal/>
    </border>
    <border>
      <left/>
      <right/>
      <top/>
      <bottom style="thin">
        <color rgb="000B2A5B"/>
      </bottom>
      <diagonal/>
    </border>
    <border>
      <left/>
      <right/>
      <top style="thin">
        <color rgb="000B2A5B"/>
      </top>
      <bottom/>
      <diagonal/>
    </border>
    <border>
      <left/>
      <right style="thin">
        <color rgb="000B2A5B"/>
      </right>
      <top style="thin">
        <color rgb="000B2A5B"/>
      </top>
      <bottom/>
      <diagonal/>
    </border>
    <border>
      <left style="thin">
        <color rgb="000B2A5B"/>
      </left>
      <right style="thin">
        <color rgb="000B2A5B"/>
      </right>
      <top style="thin">
        <color rgb="000B2A5B"/>
      </top>
      <bottom style="thin">
        <color rgb="000B2A5B"/>
      </bottom>
    </border>
    <border>
      <left style="thin">
        <color rgb="000B2A5B"/>
      </left>
      <right/>
      <top/>
      <bottom/>
      <diagonal/>
    </border>
    <border>
      <left style="thin">
        <color rgb="000B2A5B"/>
      </left>
      <right/>
      <top/>
      <bottom style="thin">
        <color rgb="000B2A5B"/>
      </bottom>
      <diagonal/>
    </border>
  </borders>
  <cellStyleXfs count="1">
    <xf numFmtId="0" fontId="0" fillId="0" borderId="0"/>
  </cellStyleXfs>
  <cellXfs count="125">
    <xf numFmtId="0" fontId="0" fillId="0" borderId="0" pivotButton="0" quotePrefix="0" xfId="0"/>
    <xf numFmtId="0" fontId="10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right" vertical="center"/>
    </xf>
    <xf numFmtId="0" fontId="0" fillId="0" borderId="44" pivotButton="0" quotePrefix="0" xfId="0"/>
    <xf numFmtId="0" fontId="11" fillId="0" borderId="44" applyAlignment="1" pivotButton="0" quotePrefix="0" xfId="0">
      <alignment horizontal="center" vertical="top"/>
    </xf>
    <xf numFmtId="0" fontId="11" fillId="0" borderId="44" applyAlignment="1" pivotButton="0" quotePrefix="0" xfId="0">
      <alignment horizontal="right" vertical="top"/>
    </xf>
    <xf numFmtId="0" fontId="13" fillId="4" borderId="0" applyAlignment="1" pivotButton="0" quotePrefix="0" xfId="0">
      <alignment vertical="center" indent="1"/>
    </xf>
    <xf numFmtId="0" fontId="0" fillId="4" borderId="0" pivotButton="0" quotePrefix="0" xfId="0"/>
    <xf numFmtId="0" fontId="0" fillId="5" borderId="45" applyAlignment="1" pivotButton="0" quotePrefix="0" xfId="0">
      <alignment vertical="center" indent="1"/>
    </xf>
    <xf numFmtId="0" fontId="0" fillId="5" borderId="47" pivotButton="0" quotePrefix="0" xfId="0"/>
    <xf numFmtId="0" fontId="0" fillId="5" borderId="49" applyAlignment="1" pivotButton="0" quotePrefix="0" xfId="0">
      <alignment vertical="center" indent="1"/>
    </xf>
    <xf numFmtId="0" fontId="14" fillId="5" borderId="46" applyAlignment="1" pivotButton="0" quotePrefix="0" xfId="0">
      <alignment vertical="top" wrapText="1" indent="1"/>
    </xf>
    <xf numFmtId="0" fontId="0" fillId="5" borderId="48" pivotButton="0" quotePrefix="0" xfId="0"/>
    <xf numFmtId="0" fontId="14" fillId="5" borderId="50" applyAlignment="1" pivotButton="0" quotePrefix="0" xfId="0">
      <alignment vertical="top" wrapText="1" indent="1"/>
    </xf>
    <xf numFmtId="0" fontId="0" fillId="4" borderId="0" applyAlignment="1" pivotButton="0" quotePrefix="0" xfId="0">
      <alignment vertical="center" indent="1"/>
    </xf>
    <xf numFmtId="0" fontId="22" fillId="8" borderId="0" applyAlignment="1" pivotButton="0" quotePrefix="0" xfId="0">
      <alignment vertical="center" indent="1"/>
    </xf>
    <xf numFmtId="0" fontId="0" fillId="8" borderId="0" pivotButton="0" quotePrefix="0" xfId="0"/>
    <xf numFmtId="0" fontId="8" fillId="5" borderId="7" applyAlignment="1" pivotButton="0" quotePrefix="0" xfId="0">
      <alignment vertical="center" indent="1"/>
    </xf>
    <xf numFmtId="0" fontId="0" fillId="5" borderId="7" pivotButton="0" quotePrefix="0" xfId="0"/>
    <xf numFmtId="49" fontId="15" fillId="2" borderId="7" applyAlignment="1" pivotButton="0" quotePrefix="0" xfId="0">
      <alignment horizontal="left" vertical="center" wrapText="1" indent="1"/>
    </xf>
    <xf numFmtId="0" fontId="0" fillId="2" borderId="51" pivotButton="0" quotePrefix="0" xfId="0"/>
    <xf numFmtId="0" fontId="16" fillId="2" borderId="15" applyAlignment="1" pivotButton="0" quotePrefix="0" xfId="0">
      <alignment vertical="center" indent="1"/>
    </xf>
    <xf numFmtId="0" fontId="6" fillId="6" borderId="0" applyAlignment="1" pivotButton="0" quotePrefix="0" xfId="0">
      <alignment horizontal="center" vertical="center" wrapText="1"/>
    </xf>
    <xf numFmtId="0" fontId="0" fillId="2" borderId="7" pivotButton="0" quotePrefix="0" xfId="0"/>
    <xf numFmtId="0" fontId="7" fillId="0" borderId="0" applyAlignment="1" pivotButton="0" quotePrefix="0" xfId="0">
      <alignment vertical="center"/>
    </xf>
    <xf numFmtId="0" fontId="9" fillId="0" borderId="5" applyAlignment="1" pivotButton="0" quotePrefix="0" xfId="0">
      <alignment vertical="center" indent="1"/>
    </xf>
    <xf numFmtId="0" fontId="17" fillId="2" borderId="15" applyAlignment="1" pivotButton="0" quotePrefix="0" xfId="0">
      <alignment vertical="center" indent="1"/>
    </xf>
    <xf numFmtId="49" fontId="15" fillId="3" borderId="7" applyAlignment="1" pivotButton="0" quotePrefix="0" xfId="0">
      <alignment horizontal="left" vertical="center" wrapText="1" indent="1"/>
    </xf>
    <xf numFmtId="0" fontId="0" fillId="3" borderId="51" pivotButton="0" quotePrefix="0" xfId="0"/>
    <xf numFmtId="0" fontId="13" fillId="6" borderId="52" applyAlignment="1" pivotButton="0" quotePrefix="0" xfId="0">
      <alignment horizontal="center" vertical="center"/>
    </xf>
    <xf numFmtId="0" fontId="18" fillId="0" borderId="5" applyAlignment="1" pivotButton="0" quotePrefix="0" xfId="0">
      <alignment vertical="center" wrapText="1" indent="1"/>
    </xf>
    <xf numFmtId="0" fontId="9" fillId="0" borderId="5" applyAlignment="1" pivotButton="0" quotePrefix="0" xfId="0">
      <alignment vertical="center" wrapText="1" indent="1"/>
    </xf>
    <xf numFmtId="0" fontId="0" fillId="0" borderId="5" pivotButton="0" quotePrefix="0" xfId="0"/>
    <xf numFmtId="0" fontId="8" fillId="0" borderId="5" applyAlignment="1" pivotButton="0" quotePrefix="0" xfId="0">
      <alignment vertical="center" indent="1"/>
    </xf>
    <xf numFmtId="0" fontId="8" fillId="2" borderId="7" applyAlignment="1" pivotButton="0" quotePrefix="0" xfId="0">
      <alignment vertical="center" indent="1"/>
    </xf>
    <xf numFmtId="0" fontId="8" fillId="3" borderId="7" applyAlignment="1" pivotButton="0" quotePrefix="0" xfId="0">
      <alignment vertical="center" indent="1"/>
    </xf>
    <xf numFmtId="0" fontId="0" fillId="3" borderId="7" pivotButton="0" quotePrefix="0" xfId="0"/>
    <xf numFmtId="0" fontId="0" fillId="7" borderId="53" pivotButton="0" quotePrefix="0" xfId="0"/>
    <xf numFmtId="0" fontId="19" fillId="7" borderId="53" applyAlignment="1" pivotButton="0" quotePrefix="0" xfId="0">
      <alignment vertical="bottom" indent="1"/>
    </xf>
    <xf numFmtId="0" fontId="20" fillId="7" borderId="53" applyAlignment="1" pivotButton="0" quotePrefix="0" xfId="0">
      <alignment horizontal="right" vertical="bottom" indent="1"/>
    </xf>
    <xf numFmtId="0" fontId="0" fillId="7" borderId="0" pivotButton="0" quotePrefix="0" xfId="0"/>
    <xf numFmtId="0" fontId="21" fillId="7" borderId="0" applyAlignment="1" pivotButton="0" quotePrefix="0" xfId="0">
      <alignment vertical="top" wrapText="1" indent="1"/>
    </xf>
    <xf numFmtId="0" fontId="0" fillId="2" borderId="23" pivotButton="0" quotePrefix="0" xfId="0"/>
    <xf numFmtId="0" fontId="3" fillId="2" borderId="24" applyAlignment="1" pivotButton="0" quotePrefix="0" xfId="0">
      <alignment horizontal="center" vertical="center"/>
    </xf>
    <xf numFmtId="0" fontId="0" fillId="2" borderId="25" pivotButton="0" quotePrefix="0" xfId="0"/>
    <xf numFmtId="0" fontId="5" fillId="2" borderId="23" applyAlignment="1" pivotButton="0" quotePrefix="0" xfId="0">
      <alignment horizontal="center" vertical="center" shrinkToFit="1"/>
    </xf>
    <xf numFmtId="0" fontId="0" fillId="2" borderId="26" pivotButton="0" quotePrefix="0" xfId="0"/>
    <xf numFmtId="0" fontId="4" fillId="2" borderId="27" applyAlignment="1" pivotButton="0" quotePrefix="0" xfId="0">
      <alignment horizontal="center" vertical="center" wrapText="1"/>
    </xf>
    <xf numFmtId="0" fontId="0" fillId="2" borderId="28" pivotButton="0" quotePrefix="0" xfId="0"/>
    <xf numFmtId="0" fontId="4" fillId="2" borderId="26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bottom" indent="1"/>
    </xf>
    <xf numFmtId="0" fontId="1" fillId="2" borderId="2" applyAlignment="1" pivotButton="0" quotePrefix="0" xfId="0">
      <alignment horizontal="left" vertical="bottom" indent="1"/>
    </xf>
    <xf numFmtId="0" fontId="1" fillId="2" borderId="3" applyAlignment="1" pivotButton="0" quotePrefix="0" xfId="0">
      <alignment horizontal="left" vertical="bottom" indent="1"/>
    </xf>
    <xf numFmtId="0" fontId="2" fillId="2" borderId="7" applyAlignment="1" pivotButton="0" quotePrefix="0" xfId="0">
      <alignment horizontal="center" vertical="center" wrapText="1"/>
    </xf>
    <xf numFmtId="164" fontId="2" fillId="2" borderId="7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4" borderId="11" applyAlignment="1" pivotButton="0" quotePrefix="0" xfId="0">
      <alignment horizontal="left" vertical="center" indent="1"/>
    </xf>
    <xf numFmtId="0" fontId="0" fillId="4" borderId="29" pivotButton="0" quotePrefix="0" xfId="0"/>
    <xf numFmtId="0" fontId="0" fillId="4" borderId="30" pivotButton="0" quotePrefix="0" xfId="0"/>
    <xf numFmtId="0" fontId="1" fillId="2" borderId="8" applyAlignment="1" pivotButton="0" quotePrefix="0" xfId="0">
      <alignment horizontal="left" vertical="bottom" indent="1"/>
    </xf>
    <xf numFmtId="0" fontId="1" fillId="2" borderId="10" applyAlignment="1" pivotButton="0" quotePrefix="0" xfId="0">
      <alignment horizontal="left" vertical="bottom" indent="1"/>
    </xf>
    <xf numFmtId="0" fontId="0" fillId="0" borderId="31" pivotButton="0" quotePrefix="0" xfId="0"/>
    <xf numFmtId="0" fontId="2" fillId="2" borderId="14" applyAlignment="1" pivotButton="0" quotePrefix="0" xfId="0">
      <alignment horizontal="left" vertical="center" wrapText="1" indent="1"/>
    </xf>
    <xf numFmtId="0" fontId="15" fillId="3" borderId="14" applyAlignment="1" pivotButton="0" quotePrefix="0" xfId="0">
      <alignment horizontal="left" vertical="center" wrapText="1" indent="1"/>
    </xf>
    <xf numFmtId="0" fontId="0" fillId="2" borderId="15" pivotButton="0" quotePrefix="0" xfId="0"/>
    <xf numFmtId="0" fontId="1" fillId="2" borderId="17" applyAlignment="1" pivotButton="0" quotePrefix="0" xfId="0">
      <alignment horizontal="left" vertical="bottom" indent="1"/>
    </xf>
    <xf numFmtId="0" fontId="2" fillId="2" borderId="1" applyAlignment="1" pivotButton="0" quotePrefix="0" xfId="0">
      <alignment horizontal="left" vertical="top" wrapText="1" indent="1"/>
    </xf>
    <xf numFmtId="0" fontId="0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6" pivotButton="0" quotePrefix="0" xfId="0"/>
    <xf numFmtId="0" fontId="1" fillId="2" borderId="9" applyAlignment="1" pivotButton="0" quotePrefix="0" xfId="0">
      <alignment horizontal="left" vertical="bottom" indent="1"/>
    </xf>
    <xf numFmtId="165" fontId="2" fillId="2" borderId="7" applyAlignment="1" pivotButton="0" quotePrefix="0" xfId="0">
      <alignment horizontal="center" vertical="center" wrapText="1"/>
    </xf>
    <xf numFmtId="164" fontId="2" fillId="2" borderId="14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left" vertical="center" wrapText="1" indent="1"/>
    </xf>
    <xf numFmtId="166" fontId="2" fillId="2" borderId="7" applyAlignment="1" pivotButton="0" quotePrefix="0" xfId="0">
      <alignment horizontal="center" vertical="center" wrapText="1"/>
    </xf>
    <xf numFmtId="0" fontId="2" fillId="3" borderId="2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0" fillId="2" borderId="59" pivotButton="0" quotePrefix="0" xfId="0"/>
    <xf numFmtId="0" fontId="0" fillId="0" borderId="57" pivotButton="0" quotePrefix="0" xfId="0"/>
    <xf numFmtId="0" fontId="0" fillId="0" borderId="58" pivotButton="0" quotePrefix="0" xfId="0"/>
    <xf numFmtId="0" fontId="3" fillId="2" borderId="23" applyAlignment="1" pivotButton="0" quotePrefix="0" xfId="0">
      <alignment horizontal="center" vertical="center"/>
    </xf>
    <xf numFmtId="0" fontId="0" fillId="0" borderId="61" pivotButton="0" quotePrefix="0" xfId="0"/>
    <xf numFmtId="0" fontId="0" fillId="0" borderId="56" pivotButton="0" quotePrefix="0" xfId="0"/>
    <xf numFmtId="0" fontId="0" fillId="0" borderId="55" pivotButton="0" quotePrefix="0" xfId="0"/>
    <xf numFmtId="0" fontId="6" fillId="4" borderId="3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6" fillId="4" borderId="35" applyAlignment="1" pivotButton="0" quotePrefix="0" xfId="0">
      <alignment horizontal="center" vertical="center" wrapText="1"/>
    </xf>
    <xf numFmtId="0" fontId="7" fillId="0" borderId="0" pivotButton="0" quotePrefix="0" xfId="0"/>
    <xf numFmtId="49" fontId="8" fillId="2" borderId="36" applyAlignment="1" pivotButton="0" quotePrefix="0" xfId="0">
      <alignment horizontal="left" vertical="center" indent="1"/>
    </xf>
    <xf numFmtId="49" fontId="8" fillId="2" borderId="21" applyAlignment="1" pivotButton="0" quotePrefix="0" xfId="0">
      <alignment horizontal="left" vertical="center" indent="1"/>
    </xf>
    <xf numFmtId="49" fontId="23" fillId="3" borderId="21" applyAlignment="1" pivotButton="0" quotePrefix="0" xfId="0">
      <alignment horizontal="left" vertical="center" wrapText="1" indent="1"/>
    </xf>
    <xf numFmtId="0" fontId="9" fillId="2" borderId="21" applyAlignment="1" pivotButton="0" quotePrefix="0" xfId="0">
      <alignment horizontal="left" vertical="center" wrapText="1" indent="1"/>
    </xf>
    <xf numFmtId="49" fontId="9" fillId="2" borderId="21" applyAlignment="1" pivotButton="0" quotePrefix="0" xfId="0">
      <alignment horizontal="center" vertical="center"/>
    </xf>
    <xf numFmtId="0" fontId="9" fillId="2" borderId="21" applyAlignment="1" pivotButton="0" quotePrefix="0" xfId="0">
      <alignment horizontal="left" vertical="center" indent="1"/>
    </xf>
    <xf numFmtId="166" fontId="9" fillId="2" borderId="21" applyAlignment="1" pivotButton="0" quotePrefix="0" xfId="0">
      <alignment horizontal="center" vertical="center"/>
    </xf>
    <xf numFmtId="2" fontId="9" fillId="2" borderId="21" applyAlignment="1" pivotButton="0" quotePrefix="0" xfId="0">
      <alignment horizontal="right" vertical="center" indent="1"/>
    </xf>
    <xf numFmtId="0" fontId="9" fillId="2" borderId="37" applyAlignment="1" pivotButton="0" quotePrefix="0" xfId="0">
      <alignment horizontal="left" vertical="center" wrapText="1" indent="1"/>
    </xf>
    <xf numFmtId="49" fontId="8" fillId="2" borderId="38" applyAlignment="1" pivotButton="0" quotePrefix="0" xfId="0">
      <alignment horizontal="left" vertical="center" indent="1"/>
    </xf>
    <xf numFmtId="49" fontId="8" fillId="2" borderId="39" applyAlignment="1" pivotButton="0" quotePrefix="0" xfId="0">
      <alignment horizontal="left" vertical="center" indent="1"/>
    </xf>
    <xf numFmtId="49" fontId="23" fillId="3" borderId="39" applyAlignment="1" pivotButton="0" quotePrefix="0" xfId="0">
      <alignment horizontal="left" vertical="center" wrapText="1" indent="1"/>
    </xf>
    <xf numFmtId="0" fontId="9" fillId="2" borderId="39" applyAlignment="1" pivotButton="0" quotePrefix="0" xfId="0">
      <alignment horizontal="left" vertical="center" wrapText="1" indent="1"/>
    </xf>
    <xf numFmtId="49" fontId="9" fillId="2" borderId="39" applyAlignment="1" pivotButton="0" quotePrefix="0" xfId="0">
      <alignment horizontal="center" vertical="center"/>
    </xf>
    <xf numFmtId="0" fontId="9" fillId="2" borderId="39" applyAlignment="1" pivotButton="0" quotePrefix="0" xfId="0">
      <alignment horizontal="left" vertical="center" indent="1"/>
    </xf>
    <xf numFmtId="166" fontId="9" fillId="2" borderId="39" applyAlignment="1" pivotButton="0" quotePrefix="0" xfId="0">
      <alignment horizontal="center" vertical="center"/>
    </xf>
    <xf numFmtId="2" fontId="9" fillId="2" borderId="39" applyAlignment="1" pivotButton="0" quotePrefix="0" xfId="0">
      <alignment horizontal="right" vertical="center" indent="1"/>
    </xf>
    <xf numFmtId="0" fontId="9" fillId="2" borderId="4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41" pivotButton="0" quotePrefix="0" xfId="0"/>
    <xf numFmtId="0" fontId="5" fillId="2" borderId="24" applyAlignment="1" pivotButton="0" quotePrefix="0" xfId="0">
      <alignment horizontal="center" vertical="center" shrinkToFit="1"/>
    </xf>
    <xf numFmtId="0" fontId="0" fillId="2" borderId="27" pivotButton="0" quotePrefix="0" xfId="0"/>
    <xf numFmtId="0" fontId="0" fillId="2" borderId="42" pivotButton="0" quotePrefix="0" xfId="0"/>
    <xf numFmtId="0" fontId="6" fillId="4" borderId="43" applyAlignment="1" pivotButton="0" quotePrefix="0" xfId="0">
      <alignment horizontal="center" vertical="center" wrapText="1"/>
    </xf>
    <xf numFmtId="0" fontId="9" fillId="2" borderId="37" applyAlignment="1" pivotButton="0" quotePrefix="0" xfId="0">
      <alignment horizontal="left" vertical="center" indent="1"/>
    </xf>
    <xf numFmtId="0" fontId="8" fillId="2" borderId="43" applyAlignment="1" pivotButton="0" quotePrefix="0" xfId="0">
      <alignment horizontal="left" vertical="center" indent="1"/>
    </xf>
    <xf numFmtId="0" fontId="9" fillId="2" borderId="40" applyAlignment="1" pivotButton="0" quotePrefix="0" xfId="0">
      <alignment horizontal="left" vertical="center" indent="1"/>
    </xf>
    <xf numFmtId="0" fontId="8" fillId="2" borderId="26" applyAlignment="1" pivotButton="0" quotePrefix="0" xfId="0">
      <alignment horizontal="left" vertical="center" indent="1"/>
    </xf>
    <xf numFmtId="49" fontId="8" fillId="2" borderId="36" applyAlignment="1" pivotButton="0" quotePrefix="0" xfId="0">
      <alignment horizontal="center" vertical="center"/>
    </xf>
    <xf numFmtId="49" fontId="8" fillId="2" borderId="38" applyAlignment="1" pivotButton="0" quotePrefix="0" xfId="0">
      <alignment horizontal="center" vertical="center"/>
    </xf>
  </cellXfs>
  <cellStyles count="1">
    <cellStyle name="Normal" xfId="0" builtinId="0" hidden="0"/>
  </cellStyles>
  <dxfs count="6">
    <dxf>
      <font>
        <b val="1"/>
        <color rgb="00B3261E"/>
      </font>
      <fill>
        <patternFill patternType="solid">
          <fgColor rgb="00FDECEA"/>
          <bgColor rgb="00FDECEA"/>
        </patternFill>
      </fill>
    </dxf>
    <dxf>
      <font>
        <b val="1"/>
        <color rgb="008A5A00"/>
      </font>
      <fill>
        <patternFill patternType="solid">
          <fgColor rgb="00FFF3DC"/>
          <bgColor rgb="00FFF3DC"/>
        </patternFill>
      </fill>
    </dxf>
    <dxf>
      <font>
        <b val="1"/>
        <color rgb="001F5AA6"/>
      </font>
      <fill>
        <patternFill patternType="solid">
          <fgColor rgb="00E1ECF6"/>
          <bgColor rgb="00E1ECF6"/>
        </patternFill>
      </fill>
    </dxf>
    <dxf>
      <font>
        <b val="1"/>
        <color rgb="006B7686"/>
      </font>
      <fill>
        <patternFill patternType="solid">
          <fgColor rgb="00EEF1F5"/>
          <bgColor rgb="00EEF1F5"/>
        </patternFill>
      </fill>
    </dxf>
    <dxf>
      <font>
        <b val="1"/>
        <color rgb="001E7A46"/>
      </font>
      <fill>
        <patternFill patternType="solid">
          <fgColor rgb="00E6F4E8"/>
          <bgColor rgb="00E6F4E8"/>
        </patternFill>
      </fill>
    </dxf>
    <dxf>
      <font>
        <b val="1"/>
        <color rgb="00B85600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PCM Direto</author>
  </authors>
  <commentList>
    <comment ref="A3" authorId="0" shapeId="0">
      <text>
        <t>Nº da OS. Digite como texto (preserva zeros à esquerda). Exemplo: 00123.</t>
      </text>
    </comment>
    <comment ref="B3" authorId="0" shapeId="0">
      <text>
        <t>TAG. Escolha na lista (preencha antes a aba Cadastros).</t>
      </text>
    </comment>
    <comment ref="D3" authorId="0" shapeId="0">
      <text>
        <t>Serviço.</t>
      </text>
    </comment>
    <comment ref="E3" authorId="0" shapeId="0">
      <text>
        <t>Tipo. Escolha na lista: PREVENTIVA, CORRETIVA, PREDITIVA, INSPECAO.</t>
      </text>
    </comment>
    <comment ref="F3" authorId="0" shapeId="0">
      <text>
        <t>Prioridade. Escolha na lista: BAIXA, MEDIA, ALTA, URGENTE.</t>
      </text>
    </comment>
    <comment ref="G3" authorId="0" shapeId="0">
      <text>
        <t>Status. Escolha na lista: ABERTA, PLANEJADA, PROGRAMADA, EM_EXECUCAO, CONCLUIDA, CANCELADA.</t>
      </text>
    </comment>
    <comment ref="H3" authorId="0" shapeId="0">
      <text>
        <t>Responsável. Escolha na lista (preencha antes a aba Cadastros).</t>
      </text>
    </comment>
    <comment ref="I3" authorId="0" shapeId="0">
      <text>
        <t>Abertura. Data no formato dd/mm/aaaa. Exemplo: 30/10/2026.</t>
      </text>
    </comment>
    <comment ref="J3" authorId="0" shapeId="0">
      <text>
        <t>Prazo. Data no formato dd/mm/aaaa. Exemplo: 30/10/2026.</t>
      </text>
    </comment>
    <comment ref="K3" authorId="0" shapeId="0">
      <text>
        <t>Conclusão. Data no formato dd/mm/aaaa. Exemplo: 30/10/2026.</t>
      </text>
    </comment>
    <comment ref="L3" authorId="0" shapeId="0">
      <text>
        <t>Horas estimadas. Número com vírgula (1h30 = 1,5). Vazio = sem informação; zero é valor real.</t>
      </text>
    </comment>
    <comment ref="M3" authorId="0" shapeId="0">
      <text>
        <t>Horas restantes. Número com vírgula (1h30 = 1,5). Vazio = sem informação; zero é valor real.</t>
      </text>
    </comment>
    <comment ref="N3" authorId="0" shapeId="0">
      <text>
        <t>Observação.</t>
      </text>
    </comment>
  </commentList>
</comments>
</file>

<file path=xl/comments/comment2.xml><?xml version="1.0" encoding="utf-8"?>
<comments xmlns="http://schemas.openxmlformats.org/spreadsheetml/2006/main">
  <authors>
    <author>PCM Direto</author>
  </authors>
  <commentList>
    <comment ref="A3" authorId="0" shapeId="0">
      <text>
        <t>TAG. Digite como texto (preserva zeros à esquerda). Exemplo: 00123.</t>
      </text>
    </comment>
    <comment ref="B3" authorId="0" shapeId="0">
      <text>
        <t>Equipamento.</t>
      </text>
    </comment>
    <comment ref="C3" authorId="0" shapeId="0">
      <text>
        <t>Família de equipamento. Escolha na lista (preencha antes a aba Cadastros).</t>
      </text>
    </comment>
    <comment ref="D3" authorId="0" shapeId="0">
      <text>
        <t>Setor. Escolha na lista (preencha antes a aba Cadastros).</t>
      </text>
    </comment>
    <comment ref="F3" authorId="0" shapeId="0">
      <text>
        <t>Responsável.</t>
      </text>
    </comment>
    <comment ref="H3" authorId="0" shapeId="0">
      <text>
        <t>Família de equipamento.</t>
      </text>
    </comment>
    <comment ref="J3" authorId="0" shapeId="0">
      <text>
        <t>Setor.</t>
      </text>
    </comment>
  </commentList>
</comments>
</file>

<file path=xl/comments/comment3.xml><?xml version="1.0" encoding="utf-8"?>
<comments xmlns="http://schemas.openxmlformats.org/spreadsheetml/2006/main">
  <authors>
    <author>PCM Direto</author>
  </authors>
  <commentList>
    <comment ref="A3" authorId="0" shapeId="0">
      <text>
        <t>Rev. Digite como texto (preserva zeros à esquerda). Exemplo: 00123.</t>
      </text>
    </comment>
    <comment ref="B3" authorId="0" shapeId="0">
      <text>
        <t>Data. Data no formato dd/mm/aaaa. Exemplo: 30/10/2026.</t>
      </text>
    </comment>
    <comment ref="C3" authorId="0" shapeId="0">
      <text>
        <t>Descrição da alteração.</t>
      </text>
    </comment>
    <comment ref="D3" authorId="0" shapeId="0">
      <text>
        <t>Elaborado por.</t>
      </text>
    </comment>
    <comment ref="E3" authorId="0" shapeId="0">
      <text>
        <t>Aprovado por.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6.png" Id="rId1"/></Relationships>
</file>

<file path=xl/drawings/drawing1.xml><?xml version="1.0" encoding="utf-8"?>
<wsDr xmlns="http://schemas.openxmlformats.org/drawingml/2006/spreadsheetDrawing">
  <oneCellAnchor>
    <from>
      <col>1</col>
      <colOff>38100</colOff>
      <row>0</row>
      <rowOff>161925</rowOff>
    </from>
    <ext cx="1647825" cy="495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57150</colOff>
      <row>29</row>
      <rowOff>104775</rowOff>
    </from>
    <ext cx="1609725" cy="476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76200</colOff>
      <row>0</row>
      <rowOff>200025</rowOff>
    </from>
    <ext cx="1228725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828675</colOff>
      <row>0</row>
      <rowOff>57150</rowOff>
    </from>
    <ext cx="2076450" cy="619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695325</colOff>
      <row>0</row>
      <rowOff>47625</rowOff>
    </from>
    <ext cx="2162175" cy="64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76200</colOff>
      <row>0</row>
      <rowOff>133350</rowOff>
    </from>
    <ext cx="154305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_pcm_tipos_manutencao" displayName="tb_pcm_tipos_manutencao" ref="I11:J15" headerRowCount="1">
  <autoFilter ref="I11:J15"/>
  <tableColumns count="2">
    <tableColumn id="9" name="tipo_manutencao"/>
    <tableColumn id="10" name="rotulo_tipo"/>
  </tableColumns>
  <tableStyleInfo name="TableStyleLight1" showRowStripes="0"/>
</table>
</file>

<file path=xl/tables/table2.xml><?xml version="1.0" encoding="utf-8"?>
<table xmlns="http://schemas.openxmlformats.org/spreadsheetml/2006/main" id="2" name="tb_pcm_prioridades" displayName="tb_pcm_prioridades" ref="L11:M15" headerRowCount="1">
  <autoFilter ref="L11:M15"/>
  <tableColumns count="2">
    <tableColumn id="12" name="prioridade"/>
    <tableColumn id="13" name="rotulo_prioridade"/>
  </tableColumns>
  <tableStyleInfo name="TableStyleLight1" showRowStripes="0"/>
</table>
</file>

<file path=xl/tables/table3.xml><?xml version="1.0" encoding="utf-8"?>
<table xmlns="http://schemas.openxmlformats.org/spreadsheetml/2006/main" id="3" name="tb_pcm_status_os" displayName="tb_pcm_status_os" ref="O11:P17" headerRowCount="1">
  <autoFilter ref="O11:P17"/>
  <tableColumns count="2">
    <tableColumn id="15" name="status_os"/>
    <tableColumn id="16" name="rotulo_status"/>
  </tableColumns>
  <tableStyleInfo name="TableStyleLight1" showRowStripes="0"/>
</table>
</file>

<file path=xl/tables/table4.xml><?xml version="1.0" encoding="utf-8"?>
<table xmlns="http://schemas.openxmlformats.org/spreadsheetml/2006/main" id="4" name="tb_pcm_os" displayName="tb_pcm_os" ref="A4:N29" headerRowCount="1">
  <autoFilter ref="A4:N29"/>
  <tableColumns count="14">
    <tableColumn id="1" name="numero_os"/>
    <tableColumn id="2" name="tag"/>
    <tableColumn id="3" name="equipamento"/>
    <tableColumn id="4" name="atividade"/>
    <tableColumn id="5" name="tipo_manutencao"/>
    <tableColumn id="6" name="prioridade"/>
    <tableColumn id="7" name="status"/>
    <tableColumn id="8" name="responsavel"/>
    <tableColumn id="9" name="data_abertura"/>
    <tableColumn id="10" name="data_prevista"/>
    <tableColumn id="11" name="data_conclusao"/>
    <tableColumn id="12" name="horas_estimadas"/>
    <tableColumn id="13" name="horas_restantes"/>
    <tableColumn id="14" name="observacao"/>
  </tableColumns>
  <tableStyleInfo name="TableStyleLight1" showRowStripes="0"/>
</table>
</file>

<file path=xl/tables/table5.xml><?xml version="1.0" encoding="utf-8"?>
<table xmlns="http://schemas.openxmlformats.org/spreadsheetml/2006/main" id="5" name="tb_pcm_ativos" displayName="tb_pcm_ativos" ref="A4:D29" headerRowCount="1">
  <autoFilter ref="A4:D29"/>
  <tableColumns count="4">
    <tableColumn id="1" name="tag"/>
    <tableColumn id="2" name="descricao_ativo"/>
    <tableColumn id="3" name="familia"/>
    <tableColumn id="4" name="setor"/>
  </tableColumns>
  <tableStyleInfo name="TableStyleLight1" showRowStripes="0"/>
</table>
</file>

<file path=xl/tables/table6.xml><?xml version="1.0" encoding="utf-8"?>
<table xmlns="http://schemas.openxmlformats.org/spreadsheetml/2006/main" id="6" name="tb_pcm_pessoas" displayName="tb_pcm_pessoas" ref="F4:F29" headerRowCount="1">
  <autoFilter ref="F4:F29"/>
  <tableColumns count="1">
    <tableColumn id="6" name="nome_pessoa"/>
  </tableColumns>
  <tableStyleInfo name="TableStyleLight1" showRowStripes="0"/>
</table>
</file>

<file path=xl/tables/table7.xml><?xml version="1.0" encoding="utf-8"?>
<table xmlns="http://schemas.openxmlformats.org/spreadsheetml/2006/main" id="7" name="tb_pcm_familias" displayName="tb_pcm_familias" ref="H4:H29" headerRowCount="1">
  <autoFilter ref="H4:H29"/>
  <tableColumns count="1">
    <tableColumn id="8" name="nome_familia"/>
  </tableColumns>
  <tableStyleInfo name="TableStyleLight1" showRowStripes="0"/>
</table>
</file>

<file path=xl/tables/table8.xml><?xml version="1.0" encoding="utf-8"?>
<table xmlns="http://schemas.openxmlformats.org/spreadsheetml/2006/main" id="8" name="tb_pcm_setores" displayName="tb_pcm_setores" ref="J4:J29" headerRowCount="1">
  <autoFilter ref="J4:J29"/>
  <tableColumns count="1">
    <tableColumn id="10" name="nome_setor"/>
  </tableColumns>
  <tableStyleInfo name="TableStyleLight1" showRowStripes="0"/>
</table>
</file>

<file path=xl/tables/table9.xml><?xml version="1.0" encoding="utf-8"?>
<table xmlns="http://schemas.openxmlformats.org/spreadsheetml/2006/main" id="9" name="tb_pcm_revisoes_modelo" displayName="tb_pcm_revisoes_modelo" ref="A4:E29" headerRowCount="1">
  <autoFilter ref="A4:E29"/>
  <tableColumns count="5">
    <tableColumn id="1" name="revisao"/>
    <tableColumn id="2" name="data_revisao"/>
    <tableColumn id="3" name="descricao_alteracao"/>
    <tableColumn id="4" name="elaborado_por"/>
    <tableColumn id="5" name="aprovado_por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cmdireto.me" TargetMode="External" Id="rId1"/><Relationship Type="http://schemas.openxmlformats.org/officeDocument/2006/relationships/hyperlink" Target="https://pcmdireto.me" TargetMode="External" Id="rId2"/><Relationship Type="http://schemas.openxmlformats.org/officeDocument/2006/relationships/drawing" Target="/xl/drawings/drawing1.xml" Id="rId3"/><Relationship Type="http://schemas.openxmlformats.org/officeDocument/2006/relationships/table" Target="/xl/tables/table1.xml" Id="rId4"/><Relationship Type="http://schemas.openxmlformats.org/officeDocument/2006/relationships/table" Target="/xl/tables/table2.xml" Id="rId5"/><Relationship Type="http://schemas.openxmlformats.org/officeDocument/2006/relationships/table" Target="/xl/tables/table3.xml" Id="rId6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Relationship Type="http://schemas.openxmlformats.org/officeDocument/2006/relationships/table" Target="/xl/tables/table7.xml" Id="rId4"/><Relationship Type="http://schemas.openxmlformats.org/officeDocument/2006/relationships/table" Target="/xl/tables/table8.xml" Id="rId5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Relationship Type="http://schemas.openxmlformats.org/officeDocument/2006/relationships/table" Target="/xl/tables/table9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0B2A5B"/>
    <outlinePr summaryBelow="1" summaryRight="1"/>
    <pageSetUpPr fitToPage="1"/>
  </sheetPr>
  <dimension ref="A1:P31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6" customWidth="1" min="2" max="2"/>
    <col width="19" customWidth="1" min="3" max="3"/>
    <col width="24" customWidth="1" min="4" max="4"/>
    <col width="24" customWidth="1" min="5" max="5"/>
    <col width="24" customWidth="1" min="6" max="6"/>
    <col width="2" customWidth="1" min="7" max="7"/>
    <col width="16" customWidth="1" min="9" max="9"/>
    <col width="16" customWidth="1" min="10" max="10"/>
    <col width="2" customWidth="1" min="11" max="11"/>
    <col width="16" customWidth="1" min="12" max="12"/>
    <col width="16" customWidth="1" min="13" max="13"/>
    <col width="2" customWidth="1" min="14" max="14"/>
    <col width="16" customWidth="1" min="15" max="15"/>
    <col width="16" customWidth="1" min="16" max="16"/>
    <col width="2" customWidth="1" min="17" max="17"/>
  </cols>
  <sheetData>
    <row r="1" ht="24" customHeight="1">
      <c r="D1" s="1" t="inlineStr">
        <is>
          <t>LEIA-ME  ·  GUIA RÁPIDO</t>
        </is>
      </c>
      <c r="F1" s="2" t="inlineStr">
        <is>
          <t>Modelos, guias e novidades</t>
        </is>
      </c>
    </row>
    <row r="2" ht="22" customHeight="1">
      <c r="D2" s="3" t="inlineStr">
        <is>
          <t>PCM-MAN-004  ·  Ordens de serviço</t>
        </is>
      </c>
      <c r="F2" s="4" t="inlineStr">
        <is>
          <t>pcmdireto.me</t>
        </is>
      </c>
    </row>
    <row r="3" ht="20" customHeight="1">
      <c r="B3" s="5" t="n"/>
      <c r="C3" s="5" t="n"/>
      <c r="D3" s="6" t="inlineStr">
        <is>
          <t>Leia em 1 minuto, preencha os campos brancos e comece a usar.</t>
        </is>
      </c>
      <c r="E3" s="5" t="n"/>
      <c r="F3" s="7" t="inlineStr">
        <is>
          <t>Dúvidas e sugestões pelo site</t>
        </is>
      </c>
    </row>
    <row r="4" ht="10" customHeight="1"/>
    <row r="5" ht="24" customHeight="1">
      <c r="B5" s="8" t="inlineStr">
        <is>
          <t>COMO USAR ESTE MODELO</t>
        </is>
      </c>
      <c r="C5" s="9" t="n"/>
      <c r="D5" s="9" t="n"/>
      <c r="E5" s="9" t="n"/>
      <c r="F5" s="9" t="n"/>
    </row>
    <row r="6" ht="26" customHeight="1">
      <c r="B6" s="10" t="inlineStr">
        <is>
          <r>
            <rPr>
              <rFont val="Arial Black"/>
              <color rgb="00F28C28"/>
              <sz val="14"/>
            </rPr>
            <t xml:space="preserve">1  </t>
          </r>
          <r>
            <rPr>
              <rFont val="Arial Black"/>
              <color rgb="000B2A5B"/>
              <sz val="10"/>
            </rPr>
            <t>Identifique</t>
          </r>
        </is>
      </c>
      <c r="C6" s="11" t="n"/>
      <c r="D6" s="12" t="inlineStr">
        <is>
          <r>
            <rPr>
              <rFont val="Arial Black"/>
              <color rgb="00F28C28"/>
              <sz val="14"/>
            </rPr>
            <t xml:space="preserve">2  </t>
          </r>
          <r>
            <rPr>
              <rFont val="Arial Black"/>
              <color rgb="000B2A5B"/>
              <sz val="10"/>
            </rPr>
            <t>Cadastre</t>
          </r>
        </is>
      </c>
      <c r="E6" s="12" t="inlineStr">
        <is>
          <r>
            <rPr>
              <rFont val="Arial Black"/>
              <color rgb="00F28C28"/>
              <sz val="14"/>
            </rPr>
            <t xml:space="preserve">3  </t>
          </r>
          <r>
            <rPr>
              <rFont val="Arial Black"/>
              <color rgb="000B2A5B"/>
              <sz val="10"/>
            </rPr>
            <t>Preencha</t>
          </r>
        </is>
      </c>
      <c r="F6" s="12" t="inlineStr">
        <is>
          <r>
            <rPr>
              <rFont val="Arial Black"/>
              <color rgb="00F28C28"/>
              <sz val="14"/>
            </rPr>
            <t xml:space="preserve">4  </t>
          </r>
          <r>
            <rPr>
              <rFont val="Arial Black"/>
              <color rgb="000B2A5B"/>
              <sz val="10"/>
            </rPr>
            <t>Imprima e revise</t>
          </r>
        </is>
      </c>
    </row>
    <row r="7" ht="50" customHeight="1">
      <c r="B7" s="13" t="inlineStr">
        <is>
          <t>Preencha Elaborado e Aprovado logo abaixo. Vai para o cabeçalho de todas as abas.</t>
        </is>
      </c>
      <c r="C7" s="14" t="n"/>
      <c r="D7" s="15" t="inlineStr">
        <is>
          <t>Na aba Cadastros, lance TAGs, pessoas e setores uma vez. Eles viram as listas ▼.</t>
        </is>
      </c>
      <c r="E7" s="15" t="inlineStr">
        <is>
          <t>Use as abas na ordem do passo a passo. Comece por Ordem de serviço.</t>
        </is>
      </c>
      <c r="F7" s="15" t="inlineStr">
        <is>
          <t>Cada aba sai em uma folha A4. Mudou o modelo? Registre na aba Revisões.</t>
        </is>
      </c>
    </row>
    <row r="8" ht="10" customHeight="1"/>
    <row r="9" ht="24" customHeight="1">
      <c r="B9" s="16" t="inlineStr">
        <is>
          <r>
            <rPr>
              <rFont val="Arial Black"/>
              <color rgb="00F28C28"/>
              <sz val="10"/>
            </rPr>
            <t xml:space="preserve">1  </t>
          </r>
          <r>
            <rPr>
              <rFont val="Arial Black"/>
              <color rgb="00FFFFFF"/>
              <sz val="10"/>
            </rPr>
            <t>IDENTIFICAÇÃO DO DOCUMENTO  ·  vai para o cabeçalho de todas as abas</t>
          </r>
        </is>
      </c>
      <c r="C9" s="9" t="n"/>
      <c r="D9" s="9" t="n"/>
      <c r="E9" s="9" t="n"/>
      <c r="F9" s="9" t="n"/>
      <c r="I9" s="17" t="inlineStr">
        <is>
          <t>LISTAS DAS SETAS ▼  ·  valores fixos, não altere</t>
        </is>
      </c>
      <c r="J9" s="18" t="n"/>
      <c r="K9" s="18" t="n"/>
      <c r="L9" s="18" t="n"/>
      <c r="M9" s="18" t="n"/>
      <c r="N9" s="18" t="n"/>
      <c r="O9" s="18" t="n"/>
      <c r="P9" s="18" t="n"/>
    </row>
    <row r="10" ht="21" customHeight="1">
      <c r="B10" s="19" t="inlineStr">
        <is>
          <t>Título do documento</t>
        </is>
      </c>
      <c r="C10" s="20" t="n"/>
      <c r="D10" s="21" t="inlineStr">
        <is>
          <t>Ordens de serviço</t>
        </is>
      </c>
      <c r="E10" s="22" t="n"/>
      <c r="F10" s="23" t="inlineStr">
        <is>
          <t>Já vem pronto. Ajuste se quiser.</t>
        </is>
      </c>
      <c r="I10" s="24" t="inlineStr">
        <is>
          <t>Tipo manutencao</t>
        </is>
      </c>
      <c r="J10" s="24" t="inlineStr">
        <is>
          <t>Significado</t>
        </is>
      </c>
      <c r="L10" s="24" t="inlineStr">
        <is>
          <t>Prioridade</t>
        </is>
      </c>
      <c r="M10" s="24" t="inlineStr">
        <is>
          <t>Significado</t>
        </is>
      </c>
      <c r="O10" s="24" t="inlineStr">
        <is>
          <t>Status os</t>
        </is>
      </c>
      <c r="P10" s="24" t="inlineStr">
        <is>
          <t>Significado</t>
        </is>
      </c>
    </row>
    <row r="11" ht="33" customHeight="1">
      <c r="B11" s="19" t="inlineStr">
        <is>
          <t>Objetivo</t>
        </is>
      </c>
      <c r="C11" s="20" t="n"/>
      <c r="D11" s="21" t="inlineStr">
        <is>
          <t>Abrir, executar e fechar ordens de serviço e manter o registro de todas as OS</t>
        </is>
      </c>
      <c r="E11" s="25" t="n"/>
      <c r="F11" s="25" t="n"/>
      <c r="I11" s="26" t="inlineStr">
        <is>
          <t>tipo_manutencao</t>
        </is>
      </c>
      <c r="J11" s="26" t="inlineStr">
        <is>
          <t>rotulo_tipo</t>
        </is>
      </c>
      <c r="L11" s="26" t="inlineStr">
        <is>
          <t>prioridade</t>
        </is>
      </c>
      <c r="M11" s="26" t="inlineStr">
        <is>
          <t>rotulo_prioridade</t>
        </is>
      </c>
      <c r="O11" s="26" t="inlineStr">
        <is>
          <t>status_os</t>
        </is>
      </c>
      <c r="P11" s="26" t="inlineStr">
        <is>
          <t>rotulo_status</t>
        </is>
      </c>
    </row>
    <row r="12" ht="21" customHeight="1">
      <c r="B12" s="19" t="inlineStr">
        <is>
          <t>Código do documento</t>
        </is>
      </c>
      <c r="C12" s="20" t="n"/>
      <c r="D12" s="21" t="inlineStr">
        <is>
          <t>PCM-MAN-004</t>
        </is>
      </c>
      <c r="E12" s="25" t="n"/>
      <c r="F12" s="25" t="n"/>
      <c r="I12" s="27" t="inlineStr">
        <is>
          <t>PREVENTIVA</t>
        </is>
      </c>
      <c r="J12" s="27" t="inlineStr">
        <is>
          <t>Preventiva</t>
        </is>
      </c>
      <c r="L12" s="27" t="inlineStr">
        <is>
          <t>BAIXA</t>
        </is>
      </c>
      <c r="M12" s="27" t="inlineStr">
        <is>
          <t>Baixa</t>
        </is>
      </c>
      <c r="O12" s="27" t="inlineStr">
        <is>
          <t>ABERTA</t>
        </is>
      </c>
      <c r="P12" s="27" t="inlineStr">
        <is>
          <t>Aberta</t>
        </is>
      </c>
    </row>
    <row r="13" ht="21" customHeight="1">
      <c r="B13" s="19" t="inlineStr">
        <is>
          <t>Elaborado por</t>
        </is>
      </c>
      <c r="C13" s="20" t="n"/>
      <c r="D13" s="21" t="n"/>
      <c r="E13" s="22" t="n"/>
      <c r="F13" s="28" t="inlineStr">
        <is>
          <t>✎ preencha</t>
        </is>
      </c>
      <c r="I13" s="27" t="inlineStr">
        <is>
          <t>CORRETIVA</t>
        </is>
      </c>
      <c r="J13" s="27" t="inlineStr">
        <is>
          <t>Corretiva</t>
        </is>
      </c>
      <c r="L13" s="27" t="inlineStr">
        <is>
          <t>MEDIA</t>
        </is>
      </c>
      <c r="M13" s="27" t="inlineStr">
        <is>
          <t>Média</t>
        </is>
      </c>
      <c r="O13" s="27" t="inlineStr">
        <is>
          <t>PLANEJADA</t>
        </is>
      </c>
      <c r="P13" s="27" t="inlineStr">
        <is>
          <t>Planejada</t>
        </is>
      </c>
    </row>
    <row r="14" ht="21" customHeight="1">
      <c r="B14" s="19" t="inlineStr">
        <is>
          <t>Aprovado por</t>
        </is>
      </c>
      <c r="C14" s="20" t="n"/>
      <c r="D14" s="21" t="n"/>
      <c r="E14" s="22" t="n"/>
      <c r="F14" s="28" t="inlineStr">
        <is>
          <t>✎ preencha</t>
        </is>
      </c>
      <c r="I14" s="27" t="inlineStr">
        <is>
          <t>PREDITIVA</t>
        </is>
      </c>
      <c r="J14" s="27" t="inlineStr">
        <is>
          <t>Preditiva</t>
        </is>
      </c>
      <c r="L14" s="27" t="inlineStr">
        <is>
          <t>ALTA</t>
        </is>
      </c>
      <c r="M14" s="27" t="inlineStr">
        <is>
          <t>Alta</t>
        </is>
      </c>
      <c r="O14" s="27" t="inlineStr">
        <is>
          <t>PROGRAMADA</t>
        </is>
      </c>
      <c r="P14" s="27" t="inlineStr">
        <is>
          <t>Programada</t>
        </is>
      </c>
    </row>
    <row r="15" ht="21" customHeight="1">
      <c r="B15" s="19" t="inlineStr">
        <is>
          <t>Revisão atual</t>
        </is>
      </c>
      <c r="C15" s="20" t="n"/>
      <c r="D15" s="29">
        <f>IF(COUNTA(tb_pcm_revisoes_modelo[revisao])=0,"-",INDEX(tb_pcm_revisoes_modelo[revisao],COUNTA(tb_pcm_revisoes_modelo[revisao])))</f>
        <v/>
      </c>
      <c r="E15" s="30" t="n"/>
      <c r="F15" s="23" t="inlineStr">
        <is>
          <t>automático: aba Revisões</t>
        </is>
      </c>
      <c r="I15" s="27" t="inlineStr">
        <is>
          <t>INSPECAO</t>
        </is>
      </c>
      <c r="J15" s="27" t="inlineStr">
        <is>
          <t>Inspeção</t>
        </is>
      </c>
      <c r="L15" s="27" t="inlineStr">
        <is>
          <t>URGENTE</t>
        </is>
      </c>
      <c r="M15" s="27" t="inlineStr">
        <is>
          <t>Urgente</t>
        </is>
      </c>
      <c r="O15" s="27" t="inlineStr">
        <is>
          <t>EM_EXECUCAO</t>
        </is>
      </c>
      <c r="P15" s="27" t="inlineStr">
        <is>
          <t>Em execução</t>
        </is>
      </c>
    </row>
    <row r="16" ht="21" customHeight="1">
      <c r="B16" s="19" t="inlineStr">
        <is>
          <t>Data da revisão</t>
        </is>
      </c>
      <c r="C16" s="20" t="n"/>
      <c r="D16" s="29">
        <f>IF(COUNTA(tb_pcm_revisoes_modelo[revisao])=0,"",IF(INDEX(tb_pcm_revisoes_modelo[data_revisao],COUNTA(tb_pcm_revisoes_modelo[revisao]))="","",RIGHT("0"&amp;DAY(INDEX(tb_pcm_revisoes_modelo[data_revisao],COUNTA(tb_pcm_revisoes_modelo[revisao]))),2)&amp;"/"&amp;CHOOSE(MONTH(INDEX(tb_pcm_revisoes_modelo[data_revisao],COUNTA(tb_pcm_revisoes_modelo[revisao]))),"Jan","Fev","Mar","Abr","Mai","Jun","Jul","Ago","Set","Out","Nov","Dez")&amp;"/"&amp;YEAR(INDEX(tb_pcm_revisoes_modelo[data_revisao],COUNTA(tb_pcm_revisoes_modelo[revisao])))))</f>
        <v/>
      </c>
      <c r="E16" s="30" t="n"/>
      <c r="F16" s="23" t="inlineStr">
        <is>
          <t>automático: aba Revisões</t>
        </is>
      </c>
      <c r="O16" s="27" t="inlineStr">
        <is>
          <t>CONCLUIDA</t>
        </is>
      </c>
      <c r="P16" s="27" t="inlineStr">
        <is>
          <t>Concluída</t>
        </is>
      </c>
    </row>
    <row r="17" ht="10" customHeight="1">
      <c r="O17" s="27" t="inlineStr">
        <is>
          <t>CANCELADA</t>
        </is>
      </c>
      <c r="P17" s="27" t="inlineStr">
        <is>
          <t>Cancelada</t>
        </is>
      </c>
    </row>
    <row r="18" ht="24" customHeight="1">
      <c r="B18" s="16" t="inlineStr">
        <is>
          <r>
            <rPr>
              <rFont val="Arial Black"/>
              <color rgb="00F28C28"/>
              <sz val="10"/>
            </rPr>
            <t xml:space="preserve">2  </t>
          </r>
          <r>
            <rPr>
              <rFont val="Arial Black"/>
              <color rgb="00FFFFFF"/>
              <sz val="10"/>
            </rPr>
            <t>PASSO A PASSO  ·  clique no nome da aba para abrir</t>
          </r>
        </is>
      </c>
      <c r="C18" s="9" t="n"/>
      <c r="D18" s="9" t="n"/>
      <c r="E18" s="9" t="n"/>
      <c r="F18" s="9" t="n"/>
    </row>
    <row r="19" ht="34" customHeight="1">
      <c r="B19" s="31" t="n">
        <v>1</v>
      </c>
      <c r="C19" s="32" t="inlineStr">
        <is>
          <t>Cadastros</t>
        </is>
      </c>
      <c r="D19" s="33" t="inlineStr">
        <is>
          <t>Cadastre uma vez TAG, equipamento, família e setor, as pessoas, as famílias de equipamento, os setores. Eles aparecem nas setas ▼ das outras abas.</t>
        </is>
      </c>
      <c r="E19" s="34" t="n"/>
      <c r="F19" s="34" t="n"/>
    </row>
    <row r="20" ht="34" customHeight="1">
      <c r="B20" s="31" t="n">
        <v>2</v>
      </c>
      <c r="C20" s="32" t="inlineStr">
        <is>
          <t>Ordem de serviço</t>
        </is>
      </c>
      <c r="D20" s="33" t="inlineStr">
        <is>
          <t>Preencha uma folha por serviço: TAG, serviço, prioridade, executantes, horas, materiais e fechamento. Imprima e leve ao campo.</t>
        </is>
      </c>
      <c r="E20" s="34" t="n"/>
      <c r="F20" s="34" t="n"/>
    </row>
    <row r="21" ht="34" customHeight="1">
      <c r="B21" s="31" t="n">
        <v>3</v>
      </c>
      <c r="C21" s="32" t="inlineStr">
        <is>
          <t>Ordens de Serviço</t>
        </is>
      </c>
      <c r="D21" s="33" t="inlineStr">
        <is>
          <t>Lance cada OS em uma linha e mantenha o status em dia. Prazo vencido de OS em aberto fica em vermelho. Use Observação, na última coluna, para anotar qualquer detalhe da OS.</t>
        </is>
      </c>
      <c r="E21" s="34" t="n"/>
      <c r="F21" s="34" t="n"/>
    </row>
    <row r="22" ht="10" customHeight="1"/>
    <row r="23" ht="24" customHeight="1">
      <c r="B23" s="16" t="inlineStr">
        <is>
          <r>
            <rPr>
              <rFont val="Arial Black"/>
              <color rgb="00F28C28"/>
              <sz val="10"/>
            </rPr>
            <t xml:space="preserve">3  </t>
          </r>
          <r>
            <rPr>
              <rFont val="Arial Black"/>
              <color rgb="00FFFFFF"/>
              <sz val="10"/>
            </rPr>
            <t>REGRAS RÁPIDAS</t>
          </r>
        </is>
      </c>
      <c r="C23" s="9" t="n"/>
      <c r="D23" s="9" t="n"/>
      <c r="E23" s="9" t="n"/>
      <c r="F23" s="9" t="n"/>
    </row>
    <row r="24" ht="21" customHeight="1">
      <c r="B24" s="35" t="inlineStr">
        <is>
          <t>▼  Lista</t>
        </is>
      </c>
      <c r="C24" s="34" t="n"/>
      <c r="D24" s="33" t="inlineStr">
        <is>
          <t>Clique na célula e escolha na seta. Valor fora da lista é recusado.</t>
        </is>
      </c>
      <c r="E24" s="34" t="n"/>
      <c r="F24" s="34" t="n"/>
    </row>
    <row r="25" ht="21" customHeight="1">
      <c r="B25" s="36" t="inlineStr">
        <is>
          <t>Célula branca</t>
        </is>
      </c>
      <c r="C25" s="25" t="n"/>
      <c r="D25" s="33" t="inlineStr">
        <is>
          <t>Campo para digitar.</t>
        </is>
      </c>
      <c r="E25" s="34" t="n"/>
      <c r="F25" s="34" t="n"/>
    </row>
    <row r="26" ht="21" customHeight="1">
      <c r="B26" s="37" t="inlineStr">
        <is>
          <t>Célula cinza</t>
        </is>
      </c>
      <c r="C26" s="38" t="n"/>
      <c r="D26" s="33" t="inlineStr">
        <is>
          <t>Cálculo automático. Não digite: a fórmula preenche sozinha.</t>
        </is>
      </c>
      <c r="E26" s="34" t="n"/>
      <c r="F26" s="34" t="n"/>
    </row>
    <row r="27" ht="21" customHeight="1">
      <c r="B27" s="35" t="inlineStr">
        <is>
          <t>Datas e números</t>
        </is>
      </c>
      <c r="C27" s="34" t="n"/>
      <c r="D27" s="33" t="inlineStr">
        <is>
          <t>Datas em dd/mm/aaaa; decimais com vírgula. Vazio = sem informação; zero é valor real.</t>
        </is>
      </c>
      <c r="E27" s="34" t="n"/>
      <c r="F27" s="34" t="n"/>
    </row>
    <row r="28" ht="21" customHeight="1">
      <c r="B28" s="35" t="inlineStr">
        <is>
          <t>Impressão</t>
        </is>
      </c>
      <c r="C28" s="34" t="n"/>
      <c r="D28" s="33" t="inlineStr">
        <is>
          <t>Cada aba já está ajustada para uma folha A4. Use Arquivo &gt; Imprimir sem mudar a escala.</t>
        </is>
      </c>
      <c r="E28" s="34" t="n"/>
      <c r="F28" s="34" t="n"/>
    </row>
    <row r="29" ht="12" customHeight="1"/>
    <row r="30" ht="22" customHeight="1">
      <c r="B30" s="39" t="n"/>
      <c r="C30" s="39" t="n"/>
      <c r="D30" s="40" t="inlineStr">
        <is>
          <t>SOBRE O PCM DIRETO</t>
        </is>
      </c>
      <c r="E30" s="39" t="n"/>
      <c r="F30" s="41" t="inlineStr">
        <is>
          <t>pcmdireto.me</t>
        </is>
      </c>
    </row>
    <row r="31" ht="34" customHeight="1">
      <c r="B31" s="42" t="n"/>
      <c r="C31" s="42" t="n"/>
      <c r="D31" s="43" t="inlineStr">
        <is>
          <t>Modelos de manutenção prontos para usar, do planejamento ao controle: criticidade, plano, ordem de serviço, indicadores e auditorias. Todos no mesmo padrão, para a equipe aprender uma vez e usar em todos.</t>
        </is>
      </c>
      <c r="E31" s="42" t="n"/>
      <c r="F31" s="42" t="n"/>
    </row>
  </sheetData>
  <mergeCells count="41">
    <mergeCell ref="D11:F11"/>
    <mergeCell ref="B16:C16"/>
    <mergeCell ref="D10:E10"/>
    <mergeCell ref="B7:C7"/>
    <mergeCell ref="B25:C25"/>
    <mergeCell ref="D1:E1"/>
    <mergeCell ref="D27:F27"/>
    <mergeCell ref="B27:C27"/>
    <mergeCell ref="B18:F18"/>
    <mergeCell ref="B12:C12"/>
    <mergeCell ref="D28:F28"/>
    <mergeCell ref="D2:E2"/>
    <mergeCell ref="B11:C11"/>
    <mergeCell ref="D13:E13"/>
    <mergeCell ref="D12:F12"/>
    <mergeCell ref="B14:C14"/>
    <mergeCell ref="B23:F23"/>
    <mergeCell ref="B30:C31"/>
    <mergeCell ref="D25:F25"/>
    <mergeCell ref="B1:C3"/>
    <mergeCell ref="D24:F24"/>
    <mergeCell ref="B13:C13"/>
    <mergeCell ref="D16:E16"/>
    <mergeCell ref="B10:C10"/>
    <mergeCell ref="B28:C28"/>
    <mergeCell ref="D26:F26"/>
    <mergeCell ref="D3:E3"/>
    <mergeCell ref="D20:F20"/>
    <mergeCell ref="B9:F9"/>
    <mergeCell ref="B6:C6"/>
    <mergeCell ref="D19:F19"/>
    <mergeCell ref="B24:C24"/>
    <mergeCell ref="B15:C15"/>
    <mergeCell ref="D30:E30"/>
    <mergeCell ref="D15:E15"/>
    <mergeCell ref="D31:F31"/>
    <mergeCell ref="B5:F5"/>
    <mergeCell ref="D14:E14"/>
    <mergeCell ref="B26:C26"/>
    <mergeCell ref="D21:F21"/>
    <mergeCell ref="I9:P9"/>
  </mergeCells>
  <hyperlinks>
    <hyperlink xmlns:r="http://schemas.openxmlformats.org/officeDocument/2006/relationships" ref="F2" r:id="rId1"/>
    <hyperlink ref="C19" location="'Cadastros'!A1" display="Cadastros"/>
    <hyperlink ref="C20" location="'Ordem de serviço'!A1" display="Ordem de serviço"/>
    <hyperlink ref="C21" location="'Ordens de Serviço'!A1" display="Ordens de Serviço"/>
    <hyperlink xmlns:r="http://schemas.openxmlformats.org/officeDocument/2006/relationships" ref="F30" r:id="rId2"/>
  </hyperlinks>
  <printOptions horizontalCentered="1"/>
  <pageMargins left="0.5" right="0.5" top="0.5" bottom="0.6" header="0.5" footer="0.25"/>
  <pageSetup orientation="portrait" paperSize="9" fitToHeight="1" fitToWidth="1"/>
  <headerFooter>
    <oddHeader/>
    <oddFooter>&amp;L&amp;7 &amp;K4A5668PCM-MAN-004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3"/>
  <tableParts count="3"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D36"/>
  <sheetViews>
    <sheetView showGridLines="0" tabSelected="0" zoomScale="90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20" customWidth="1" min="3" max="3"/>
    <col width="34" customWidth="1" min="4" max="4"/>
  </cols>
  <sheetData>
    <row r="1" ht="30.75" customHeight="1">
      <c r="A1" s="44" t="n"/>
      <c r="B1" s="45">
        <f>'Leia-me'!$D$10</f>
        <v/>
      </c>
      <c r="C1" s="46" t="n"/>
      <c r="D1" s="47">
        <f>"Rev. "&amp;'Leia-me'!$D$15&amp;"   ·   "&amp;'Leia-me'!$D$16</f>
        <v/>
      </c>
    </row>
    <row r="2" ht="31" customHeight="1">
      <c r="A2" s="48" t="n"/>
      <c r="B2" s="49">
        <f>"Objetivo: "&amp;'Leia-me'!$D$11</f>
        <v/>
      </c>
      <c r="C2" s="50" t="n"/>
      <c r="D2" s="51">
        <f>"Elaborado: "&amp;'Leia-me'!$D$13&amp;"   ·   Aprovado: "&amp;'Leia-me'!$D$14</f>
        <v/>
      </c>
    </row>
    <row r="3" ht="16.2" customHeight="1">
      <c r="A3" s="52" t="inlineStr">
        <is>
          <t>Nº da OS</t>
        </is>
      </c>
      <c r="B3" s="53" t="inlineStr">
        <is>
          <t>Aberta em (data e hora)</t>
        </is>
      </c>
      <c r="C3" s="53" t="inlineStr">
        <is>
          <t>Prioridade</t>
        </is>
      </c>
      <c r="D3" s="54" t="inlineStr">
        <is>
          <t>Situação</t>
        </is>
      </c>
    </row>
    <row r="4" ht="35.1" customHeight="1">
      <c r="A4" s="55" t="n"/>
      <c r="B4" s="56" t="n"/>
      <c r="C4" s="55" t="n"/>
      <c r="D4" s="57">
        <f>IF(AND(A4="",A8=""),"",IF(AND(ISNUMBER(C24),A28&lt;&gt;""),"Concluída",IF(ISNUMBER(A24),"Em andamento","Aberta")))</f>
        <v/>
      </c>
    </row>
    <row r="5" ht="8" customHeight="1">
      <c r="A5" s="58" t="n"/>
      <c r="B5" s="58" t="n"/>
      <c r="C5" s="58" t="n"/>
      <c r="D5" s="58" t="n"/>
    </row>
    <row r="6" ht="29.7" customHeight="1">
      <c r="A6" s="59" t="inlineStr">
        <is>
          <r>
            <rPr>
              <rFont val="Arial"/>
              <b val="1"/>
              <color rgb="00FFFFFF"/>
              <sz val="10"/>
            </rPr>
            <t>1  Solicitação</t>
          </r>
          <r>
            <rPr>
              <rFont val="Arial"/>
              <color rgb="00D3DEEC"/>
              <sz val="8"/>
            </rPr>
            <t xml:space="preserve">   quem pede e o que está errado</t>
          </r>
        </is>
      </c>
      <c r="B6" s="60" t="n"/>
      <c r="C6" s="60" t="n"/>
      <c r="D6" s="61" t="n"/>
    </row>
    <row r="7" ht="16.2" customHeight="1">
      <c r="A7" s="62" t="inlineStr">
        <is>
          <t>TAG do equipamento</t>
        </is>
      </c>
      <c r="B7" s="62" t="inlineStr">
        <is>
          <t>Equipamento</t>
        </is>
      </c>
      <c r="C7" s="63" t="inlineStr">
        <is>
          <t>Local ou linha</t>
        </is>
      </c>
      <c r="D7" s="64" t="n"/>
    </row>
    <row r="8" ht="32.4" customHeight="1">
      <c r="A8" s="65" t="n"/>
      <c r="B8" s="66">
        <f>IF(A8="","",IFERROR(INDEX(tb_pcm_ativos[descricao_ativo],MATCH(A8,tb_pcm_ativos[tag],0)),"fora do cadastro"))</f>
        <v/>
      </c>
      <c r="C8" s="65" t="n"/>
      <c r="D8" s="67" t="n"/>
    </row>
    <row r="9" ht="16.2" customHeight="1">
      <c r="A9" s="68" t="inlineStr">
        <is>
          <t>Problema: o que se vê, ouve ou mede</t>
        </is>
      </c>
      <c r="D9" s="64" t="n"/>
    </row>
    <row r="10" ht="29.7" customHeight="1">
      <c r="A10" s="69" t="n"/>
      <c r="B10" s="70" t="n"/>
      <c r="C10" s="70" t="n"/>
      <c r="D10" s="71" t="n"/>
    </row>
    <row r="11" ht="29.7" customHeight="1">
      <c r="A11" s="72" t="n"/>
      <c r="B11" s="73" t="n"/>
      <c r="C11" s="73" t="n"/>
      <c r="D11" s="74" t="n"/>
    </row>
    <row r="12" ht="16.2" customHeight="1">
      <c r="A12" s="62" t="inlineStr">
        <is>
          <t>Solicitado por</t>
        </is>
      </c>
      <c r="C12" s="63" t="inlineStr">
        <is>
          <t>Tipo de trabalho</t>
        </is>
      </c>
      <c r="D12" s="64" t="n"/>
    </row>
    <row r="13" ht="32.4" customHeight="1">
      <c r="A13" s="65" t="n"/>
      <c r="B13" s="67" t="n"/>
      <c r="C13" s="65" t="n"/>
      <c r="D13" s="67" t="n"/>
    </row>
    <row r="14" ht="8" customHeight="1">
      <c r="A14" s="58" t="n"/>
      <c r="B14" s="58" t="n"/>
      <c r="C14" s="58" t="n"/>
      <c r="D14" s="58" t="n"/>
    </row>
    <row r="15" ht="29.7" customHeight="1">
      <c r="A15" s="59" t="inlineStr">
        <is>
          <r>
            <rPr>
              <rFont val="Arial"/>
              <b val="1"/>
              <color rgb="00FFFFFF"/>
              <sz val="10"/>
            </rPr>
            <t>2  Planejamento</t>
          </r>
          <r>
            <rPr>
              <rFont val="Arial"/>
              <color rgb="00D3DEEC"/>
              <sz val="8"/>
            </rPr>
            <t xml:space="preserve">   antes de executar</t>
          </r>
        </is>
      </c>
      <c r="B15" s="60" t="n"/>
      <c r="C15" s="60" t="n"/>
      <c r="D15" s="61" t="n"/>
    </row>
    <row r="16" ht="16.2" customHeight="1">
      <c r="A16" s="62" t="inlineStr">
        <is>
          <t>Executante</t>
        </is>
      </c>
      <c r="C16" s="75" t="inlineStr">
        <is>
          <t>Horas estimadas</t>
        </is>
      </c>
      <c r="D16" s="63" t="inlineStr">
        <is>
          <t>Exige bloqueio ou permissão de trabalho?</t>
        </is>
      </c>
    </row>
    <row r="17" ht="32.4" customHeight="1">
      <c r="A17" s="65" t="n"/>
      <c r="B17" s="67" t="n"/>
      <c r="C17" s="76" t="n"/>
      <c r="D17" s="55" t="n"/>
    </row>
    <row r="18" ht="16.2" customHeight="1">
      <c r="A18" s="68" t="inlineStr">
        <is>
          <t>Peças, ferramentas e materiais</t>
        </is>
      </c>
      <c r="D18" s="64" t="n"/>
    </row>
    <row r="19" ht="29.7" customHeight="1">
      <c r="A19" s="69" t="n"/>
      <c r="B19" s="70" t="n"/>
      <c r="C19" s="70" t="n"/>
      <c r="D19" s="71" t="n"/>
    </row>
    <row r="20" ht="29.7" customHeight="1">
      <c r="A20" s="72" t="n"/>
      <c r="B20" s="73" t="n"/>
      <c r="C20" s="73" t="n"/>
      <c r="D20" s="74" t="n"/>
    </row>
    <row r="21" ht="8" customHeight="1">
      <c r="A21" s="58" t="n"/>
      <c r="B21" s="58" t="n"/>
      <c r="C21" s="58" t="n"/>
      <c r="D21" s="58" t="n"/>
    </row>
    <row r="22" ht="29.7" customHeight="1">
      <c r="A22" s="59" t="inlineStr">
        <is>
          <r>
            <rPr>
              <rFont val="Arial"/>
              <b val="1"/>
              <color rgb="00FFFFFF"/>
              <sz val="10"/>
            </rPr>
            <t>3  Execução</t>
          </r>
          <r>
            <rPr>
              <rFont val="Arial"/>
              <color rgb="00D3DEEC"/>
              <sz val="8"/>
            </rPr>
            <t xml:space="preserve">   preencha ao terminar</t>
          </r>
        </is>
      </c>
      <c r="B22" s="60" t="n"/>
      <c r="C22" s="60" t="n"/>
      <c r="D22" s="61" t="n"/>
    </row>
    <row r="23" ht="16.2" customHeight="1">
      <c r="A23" s="62" t="inlineStr">
        <is>
          <t>Início (data e hora)</t>
        </is>
      </c>
      <c r="C23" s="63" t="inlineStr">
        <is>
          <t>Fim (data e hora)</t>
        </is>
      </c>
      <c r="D23" s="64" t="n"/>
    </row>
    <row r="24" ht="32.4" customHeight="1">
      <c r="A24" s="77" t="n"/>
      <c r="B24" s="67" t="n"/>
      <c r="C24" s="77" t="n"/>
      <c r="D24" s="67" t="n"/>
    </row>
    <row r="25" ht="16.2" customHeight="1">
      <c r="A25" s="62" t="inlineStr">
        <is>
          <t>Mão de obra (h)</t>
        </is>
      </c>
      <c r="B25" s="75" t="inlineStr">
        <is>
          <t>Parada do equipamento (h)</t>
        </is>
      </c>
      <c r="C25" s="63" t="inlineStr">
        <is>
          <t>Causa da falha</t>
        </is>
      </c>
      <c r="D25" s="64" t="n"/>
    </row>
    <row r="26" ht="32.4" customHeight="1">
      <c r="A26" s="76" t="n"/>
      <c r="B26" s="76" t="n"/>
      <c r="C26" s="65" t="n"/>
      <c r="D26" s="67" t="n"/>
    </row>
    <row r="27" ht="16.2" customHeight="1">
      <c r="A27" s="68" t="inlineStr">
        <is>
          <t>O que foi feito</t>
        </is>
      </c>
      <c r="D27" s="64" t="n"/>
    </row>
    <row r="28" ht="29.7" customHeight="1">
      <c r="A28" s="69" t="n"/>
      <c r="B28" s="70" t="n"/>
      <c r="C28" s="70" t="n"/>
      <c r="D28" s="71" t="n"/>
    </row>
    <row r="29" ht="29.7" customHeight="1">
      <c r="A29" s="72" t="n"/>
      <c r="B29" s="73" t="n"/>
      <c r="C29" s="73" t="n"/>
      <c r="D29" s="74" t="n"/>
    </row>
    <row r="30" ht="8" customHeight="1">
      <c r="A30" s="58" t="n"/>
      <c r="B30" s="58" t="n"/>
      <c r="C30" s="58" t="n"/>
      <c r="D30" s="58" t="n"/>
    </row>
    <row r="31" ht="29.7" customHeight="1">
      <c r="A31" s="59" t="inlineStr">
        <is>
          <r>
            <rPr>
              <rFont val="Arial"/>
              <b val="1"/>
              <color rgb="00FFFFFF"/>
              <sz val="10"/>
            </rPr>
            <t>4  Fechamento</t>
          </r>
          <r>
            <rPr>
              <rFont val="Arial"/>
              <color rgb="00D3DEEC"/>
              <sz val="8"/>
            </rPr>
            <t/>
          </r>
        </is>
      </c>
      <c r="B31" s="60" t="n"/>
      <c r="C31" s="60" t="n"/>
      <c r="D31" s="61" t="n"/>
    </row>
    <row r="32" ht="16.2" customHeight="1">
      <c r="A32" s="62" t="inlineStr">
        <is>
          <t>Executado por</t>
        </is>
      </c>
      <c r="C32" s="75" t="inlineStr">
        <is>
          <t>Liberado por (operação)</t>
        </is>
      </c>
      <c r="D32" s="63" t="inlineStr">
        <is>
          <t>Data do fechamento</t>
        </is>
      </c>
    </row>
    <row r="33" ht="32.4" customHeight="1">
      <c r="A33" s="65" t="n"/>
      <c r="B33" s="67" t="n"/>
      <c r="C33" s="78" t="n"/>
      <c r="D33" s="79" t="n"/>
    </row>
    <row r="34" ht="29.7" customHeight="1">
      <c r="A34" s="80">
        <f>IF(A8="","Falta a TAG do equipamento",IF(A10="","Falta descrever o problema",IF(A17="","Falta o executante",IF(OR(A24="",C24=""),"Falta o início ou o fim",IF(A28="","Falta registrar o que foi feito",IF(OR(A33="",C33=""),"Falta quem executou ou quem liberou","Pode fechar a OS"))))))</f>
        <v/>
      </c>
      <c r="B34" s="81" t="n"/>
      <c r="C34" s="81" t="n"/>
      <c r="D34" s="82" t="n"/>
    </row>
    <row r="35">
      <c r="A35" s="58" t="n"/>
      <c r="B35" s="58" t="n"/>
      <c r="C35" s="58" t="n"/>
      <c r="D35" s="58" t="n"/>
    </row>
    <row r="36">
      <c r="A36" s="58" t="n"/>
      <c r="B36" s="58" t="n"/>
      <c r="C36" s="58" t="n"/>
      <c r="D36" s="58" t="n"/>
    </row>
  </sheetData>
  <mergeCells count="32">
    <mergeCell ref="A24:B24"/>
    <mergeCell ref="C24:D24"/>
    <mergeCell ref="A22:D22"/>
    <mergeCell ref="C26:D26"/>
    <mergeCell ref="A9:D9"/>
    <mergeCell ref="A16:B16"/>
    <mergeCell ref="A31:D31"/>
    <mergeCell ref="B2:C2"/>
    <mergeCell ref="A34:D34"/>
    <mergeCell ref="C25:D25"/>
    <mergeCell ref="D1"/>
    <mergeCell ref="A15:D15"/>
    <mergeCell ref="B1:C1"/>
    <mergeCell ref="A12:B12"/>
    <mergeCell ref="C12:D12"/>
    <mergeCell ref="A6:D6"/>
    <mergeCell ref="A33:B33"/>
    <mergeCell ref="A32:B32"/>
    <mergeCell ref="D2"/>
    <mergeCell ref="A23:B23"/>
    <mergeCell ref="A17:B17"/>
    <mergeCell ref="A19:D20"/>
    <mergeCell ref="C23:D23"/>
    <mergeCell ref="A10:D11"/>
    <mergeCell ref="C8:D8"/>
    <mergeCell ref="A18:D18"/>
    <mergeCell ref="A27:D27"/>
    <mergeCell ref="C7:D7"/>
    <mergeCell ref="A28:D29"/>
    <mergeCell ref="A13:B13"/>
    <mergeCell ref="C13:D13"/>
    <mergeCell ref="A1:A2"/>
  </mergeCells>
  <conditionalFormatting sqref="C4">
    <cfRule type="expression" priority="1" dxfId="0" stopIfTrue="1">
      <formula>C4="Emergência"</formula>
    </cfRule>
    <cfRule type="expression" priority="2" dxfId="1" stopIfTrue="1">
      <formula>C4="Alta"</formula>
    </cfRule>
    <cfRule type="expression" priority="3" dxfId="2" stopIfTrue="1">
      <formula>C4="Média"</formula>
    </cfRule>
    <cfRule type="expression" priority="4" dxfId="3" stopIfTrue="1">
      <formula>C4="Baixa"</formula>
    </cfRule>
  </conditionalFormatting>
  <conditionalFormatting sqref="D4">
    <cfRule type="expression" priority="5" dxfId="1" stopIfTrue="1">
      <formula>D4="Aberta"</formula>
    </cfRule>
    <cfRule type="expression" priority="6" dxfId="2" stopIfTrue="1">
      <formula>D4="Em andamento"</formula>
    </cfRule>
    <cfRule type="expression" priority="7" dxfId="4" stopIfTrue="1">
      <formula>D4="Concluída"</formula>
    </cfRule>
  </conditionalFormatting>
  <conditionalFormatting sqref="D17">
    <cfRule type="expression" priority="8" dxfId="1" stopIfTrue="1">
      <formula>D17="Sim"</formula>
    </cfRule>
    <cfRule type="expression" priority="9" dxfId="4" stopIfTrue="1">
      <formula>D17="Não"</formula>
    </cfRule>
  </conditionalFormatting>
  <conditionalFormatting sqref="A34">
    <cfRule type="expression" priority="10" dxfId="4" stopIfTrue="1">
      <formula>A34="Pode fechar a OS"</formula>
    </cfRule>
    <cfRule type="expression" priority="11" dxfId="1" stopIfTrue="1">
      <formula>LEFT(A34,5)="Falta"</formula>
    </cfRule>
  </conditionalFormatting>
  <dataValidations count="15">
    <dataValidation sqref="C4" showDropDown="0" showInputMessage="0" showErrorMessage="1" allowBlank="1" errorTitle="Valor fora da lista" error="Escolha um item da lista." type="list" errorStyle="stop">
      <formula1>"Emergência,Alta,Média,Baixa"</formula1>
    </dataValidation>
    <dataValidation sqref="B4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A8" showDropDown="0" showInputMessage="0" showErrorMessage="1" allowBlank="1" errorTitle="Valor fora da lista" error="Escolha um item da lista." type="list" errorStyle="stop">
      <formula1>L_TAGS</formula1>
    </dataValidation>
    <dataValidation sqref="A13" showDropDown="0" showInputMessage="0" showErrorMessage="1" allowBlank="1" errorTitle="Valor fora da lista" error="Escolha um item da lista." type="list" errorStyle="stop">
      <formula1>L_PESSOAS</formula1>
    </dataValidation>
    <dataValidation sqref="C13" showDropDown="0" showInputMessage="0" showErrorMessage="1" allowBlank="1" errorTitle="Valor fora da lista" error="Escolha um item da lista." type="list" errorStyle="stop">
      <formula1>"Corretiva,Preventiva,Preditiva,Inspeção,Melhoria"</formula1>
    </dataValidation>
    <dataValidation sqref="A17" showDropDown="0" showInputMessage="0" showErrorMessage="1" allowBlank="1" errorTitle="Valor fora da lista" error="Escolha um item da lista." type="list" errorStyle="stop">
      <formula1>L_PESSOAS</formula1>
    </dataValidation>
    <dataValidation sqref="D17" showDropDown="0" showInputMessage="0" showErrorMessage="1" allowBlank="1" errorTitle="Valor fora da lista" error="Escolha um item da lista." type="list" errorStyle="stop">
      <formula1>"Sim,Não"</formula1>
    </dataValidation>
    <dataValidation sqref="C17" showDropDown="0" showInputMessage="0" showErrorMessage="1" allowBlank="1" errorTitle="Número inválido" error="Digite um número maior ou igual a 0." type="decimal" errorStyle="stop" operator="greaterThanOrEqual">
      <formula1>0</formula1>
    </dataValidation>
    <dataValidation sqref="A24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C24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A26" showDropDown="0" showInputMessage="0" showErrorMessage="1" allowBlank="1" errorTitle="Número inválido" error="Digite um número maior ou igual a 0." type="decimal" errorStyle="stop" operator="greaterThanOrEqual">
      <formula1>0</formula1>
    </dataValidation>
    <dataValidation sqref="B26" showDropDown="0" showInputMessage="0" showErrorMessage="1" allowBlank="1" errorTitle="Número inválido" error="Digite um número maior ou igual a 0." type="decimal" errorStyle="stop" operator="greaterThanOrEqual">
      <formula1>0</formula1>
    </dataValidation>
    <dataValidation sqref="A33" showDropDown="0" showInputMessage="0" showErrorMessage="1" allowBlank="1" errorTitle="Valor fora da lista" error="Escolha um item da lista." type="list" errorStyle="stop">
      <formula1>L_PESSOAS</formula1>
    </dataValidation>
    <dataValidation sqref="C33" showDropDown="0" showInputMessage="0" showErrorMessage="1" allowBlank="1" errorTitle="Valor fora da lista" error="Escolha um item da lista." type="list" errorStyle="stop">
      <formula1>L_PESSOAS</formula1>
    </dataValidation>
    <dataValidation sqref="D33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portrait" paperSize="9" fitToHeight="1" fitToWidth="1"/>
  <headerFooter>
    <oddHeader/>
    <oddFooter>&amp;L&amp;7 &amp;K4A5668PCM-MAN-004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N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2" customWidth="1" min="3" max="3"/>
    <col width="34" customWidth="1" min="4" max="4"/>
    <col width="13" customWidth="1" min="5" max="5"/>
    <col width="13" customWidth="1" min="6" max="6"/>
    <col width="16.2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 ht="30.75" customHeight="1">
      <c r="A1" s="83" t="n"/>
      <c r="B1" s="84" t="n"/>
      <c r="C1" s="85" t="n"/>
      <c r="D1" s="86" t="inlineStr">
        <is>
          <t>Ordens de Serviço</t>
        </is>
      </c>
      <c r="E1" s="84" t="n"/>
      <c r="F1" s="84" t="n"/>
      <c r="G1" s="84" t="n"/>
      <c r="H1" s="84" t="n"/>
      <c r="I1" s="84" t="n"/>
      <c r="J1" s="84" t="n"/>
      <c r="K1" s="84" t="n"/>
      <c r="L1" s="85" t="n"/>
      <c r="M1" s="47">
        <f>"Rev. "&amp;'Leia-me'!$D$15&amp;"   ·   "&amp;'Leia-me'!$D$16</f>
        <v/>
      </c>
      <c r="N1" s="85" t="n"/>
    </row>
    <row r="2" ht="28" customHeight="1">
      <c r="A2" s="87" t="n"/>
      <c r="B2" s="88" t="n"/>
      <c r="C2" s="89" t="n"/>
      <c r="D2" s="51" t="inlineStr">
        <is>
          <t>Objetivo: Registro: uma linha por OS, com tipo, prioridade, status, prazo e horas</t>
        </is>
      </c>
      <c r="E2" s="88" t="n"/>
      <c r="F2" s="88" t="n"/>
      <c r="G2" s="88" t="n"/>
      <c r="H2" s="88" t="n"/>
      <c r="I2" s="88" t="n"/>
      <c r="J2" s="88" t="n"/>
      <c r="K2" s="88" t="n"/>
      <c r="L2" s="89" t="n"/>
      <c r="M2" s="51">
        <f>"Elaborado: "&amp;'Leia-me'!$D$13&amp;"   ·   Aprovado: "&amp;'Leia-me'!$D$14</f>
        <v/>
      </c>
      <c r="N2" s="89" t="n"/>
    </row>
    <row r="3" ht="32" customHeight="1">
      <c r="A3" s="90" t="inlineStr">
        <is>
          <t>Nº da OS</t>
        </is>
      </c>
      <c r="B3" s="91" t="inlineStr">
        <is>
          <t>TAG ▼</t>
        </is>
      </c>
      <c r="C3" s="91" t="inlineStr">
        <is>
          <t>Equipamento</t>
        </is>
      </c>
      <c r="D3" s="91" t="inlineStr">
        <is>
          <t>Serviço</t>
        </is>
      </c>
      <c r="E3" s="91" t="inlineStr">
        <is>
          <t>Tipo ▼</t>
        </is>
      </c>
      <c r="F3" s="91" t="inlineStr">
        <is>
          <t>Prioridade ▼</t>
        </is>
      </c>
      <c r="G3" s="91" t="inlineStr">
        <is>
          <t>Status ▼</t>
        </is>
      </c>
      <c r="H3" s="91" t="inlineStr">
        <is>
          <t>Responsável ▼</t>
        </is>
      </c>
      <c r="I3" s="91" t="inlineStr">
        <is>
          <t>Abertura</t>
        </is>
      </c>
      <c r="J3" s="91" t="inlineStr">
        <is>
          <t>Prazo</t>
        </is>
      </c>
      <c r="K3" s="91" t="inlineStr">
        <is>
          <t>Conclusão</t>
        </is>
      </c>
      <c r="L3" s="91" t="inlineStr">
        <is>
          <t>Horas estimadas</t>
        </is>
      </c>
      <c r="M3" s="91" t="inlineStr">
        <is>
          <t>Horas restantes</t>
        </is>
      </c>
      <c r="N3" s="92" t="inlineStr">
        <is>
          <t>Observação</t>
        </is>
      </c>
    </row>
    <row r="4" hidden="1">
      <c r="A4" s="93" t="inlineStr">
        <is>
          <t>numero_os</t>
        </is>
      </c>
      <c r="B4" s="93" t="inlineStr">
        <is>
          <t>tag</t>
        </is>
      </c>
      <c r="C4" s="93" t="inlineStr">
        <is>
          <t>equipamento</t>
        </is>
      </c>
      <c r="D4" s="93" t="inlineStr">
        <is>
          <t>atividade</t>
        </is>
      </c>
      <c r="E4" s="93" t="inlineStr">
        <is>
          <t>tipo_manutencao</t>
        </is>
      </c>
      <c r="F4" s="93" t="inlineStr">
        <is>
          <t>prioridade</t>
        </is>
      </c>
      <c r="G4" s="93" t="inlineStr">
        <is>
          <t>status</t>
        </is>
      </c>
      <c r="H4" s="93" t="inlineStr">
        <is>
          <t>responsavel</t>
        </is>
      </c>
      <c r="I4" s="93" t="inlineStr">
        <is>
          <t>data_abertura</t>
        </is>
      </c>
      <c r="J4" s="93" t="inlineStr">
        <is>
          <t>data_prevista</t>
        </is>
      </c>
      <c r="K4" s="93" t="inlineStr">
        <is>
          <t>data_conclusao</t>
        </is>
      </c>
      <c r="L4" s="93" t="inlineStr">
        <is>
          <t>horas_estimadas</t>
        </is>
      </c>
      <c r="M4" s="93" t="inlineStr">
        <is>
          <t>horas_restantes</t>
        </is>
      </c>
      <c r="N4" s="93" t="inlineStr">
        <is>
          <t>observacao</t>
        </is>
      </c>
    </row>
    <row r="5" ht="22" customHeight="1">
      <c r="A5" s="94" t="n"/>
      <c r="B5" s="95" t="n"/>
      <c r="C5" s="96">
        <f>IF(B5="","",IFERROR(INDEX(tb_pcm_ativos[descricao_ativo],MATCH(B5,tb_pcm_ativos[tag],0)),"fora do cadastro"))</f>
        <v/>
      </c>
      <c r="D5" s="97" t="n"/>
      <c r="E5" s="98" t="n"/>
      <c r="F5" s="98" t="n"/>
      <c r="G5" s="98" t="n"/>
      <c r="H5" s="99" t="n"/>
      <c r="I5" s="100" t="n"/>
      <c r="J5" s="100" t="n"/>
      <c r="K5" s="100" t="n"/>
      <c r="L5" s="101" t="n"/>
      <c r="M5" s="101" t="n"/>
      <c r="N5" s="102" t="n"/>
    </row>
    <row r="6" ht="22" customHeight="1">
      <c r="A6" s="94" t="n"/>
      <c r="B6" s="95" t="n"/>
      <c r="C6" s="96">
        <f>IF(B6="","",IFERROR(INDEX(tb_pcm_ativos[descricao_ativo],MATCH(B6,tb_pcm_ativos[tag],0)),"fora do cadastro"))</f>
        <v/>
      </c>
      <c r="D6" s="97" t="n"/>
      <c r="E6" s="98" t="n"/>
      <c r="F6" s="98" t="n"/>
      <c r="G6" s="98" t="n"/>
      <c r="H6" s="99" t="n"/>
      <c r="I6" s="100" t="n"/>
      <c r="J6" s="100" t="n"/>
      <c r="K6" s="100" t="n"/>
      <c r="L6" s="101" t="n"/>
      <c r="M6" s="101" t="n"/>
      <c r="N6" s="102" t="n"/>
    </row>
    <row r="7" ht="22" customHeight="1">
      <c r="A7" s="94" t="n"/>
      <c r="B7" s="95" t="n"/>
      <c r="C7" s="96">
        <f>IF(B7="","",IFERROR(INDEX(tb_pcm_ativos[descricao_ativo],MATCH(B7,tb_pcm_ativos[tag],0)),"fora do cadastro"))</f>
        <v/>
      </c>
      <c r="D7" s="97" t="n"/>
      <c r="E7" s="98" t="n"/>
      <c r="F7" s="98" t="n"/>
      <c r="G7" s="98" t="n"/>
      <c r="H7" s="99" t="n"/>
      <c r="I7" s="100" t="n"/>
      <c r="J7" s="100" t="n"/>
      <c r="K7" s="100" t="n"/>
      <c r="L7" s="101" t="n"/>
      <c r="M7" s="101" t="n"/>
      <c r="N7" s="102" t="n"/>
    </row>
    <row r="8" ht="22" customHeight="1">
      <c r="A8" s="94" t="n"/>
      <c r="B8" s="95" t="n"/>
      <c r="C8" s="96">
        <f>IF(B8="","",IFERROR(INDEX(tb_pcm_ativos[descricao_ativo],MATCH(B8,tb_pcm_ativos[tag],0)),"fora do cadastro"))</f>
        <v/>
      </c>
      <c r="D8" s="97" t="n"/>
      <c r="E8" s="98" t="n"/>
      <c r="F8" s="98" t="n"/>
      <c r="G8" s="98" t="n"/>
      <c r="H8" s="99" t="n"/>
      <c r="I8" s="100" t="n"/>
      <c r="J8" s="100" t="n"/>
      <c r="K8" s="100" t="n"/>
      <c r="L8" s="101" t="n"/>
      <c r="M8" s="101" t="n"/>
      <c r="N8" s="102" t="n"/>
    </row>
    <row r="9" ht="22" customHeight="1">
      <c r="A9" s="94" t="n"/>
      <c r="B9" s="95" t="n"/>
      <c r="C9" s="96">
        <f>IF(B9="","",IFERROR(INDEX(tb_pcm_ativos[descricao_ativo],MATCH(B9,tb_pcm_ativos[tag],0)),"fora do cadastro"))</f>
        <v/>
      </c>
      <c r="D9" s="97" t="n"/>
      <c r="E9" s="98" t="n"/>
      <c r="F9" s="98" t="n"/>
      <c r="G9" s="98" t="n"/>
      <c r="H9" s="99" t="n"/>
      <c r="I9" s="100" t="n"/>
      <c r="J9" s="100" t="n"/>
      <c r="K9" s="100" t="n"/>
      <c r="L9" s="101" t="n"/>
      <c r="M9" s="101" t="n"/>
      <c r="N9" s="102" t="n"/>
    </row>
    <row r="10" ht="22" customHeight="1">
      <c r="A10" s="94" t="n"/>
      <c r="B10" s="95" t="n"/>
      <c r="C10" s="96">
        <f>IF(B10="","",IFERROR(INDEX(tb_pcm_ativos[descricao_ativo],MATCH(B10,tb_pcm_ativos[tag],0)),"fora do cadastro"))</f>
        <v/>
      </c>
      <c r="D10" s="97" t="n"/>
      <c r="E10" s="98" t="n"/>
      <c r="F10" s="98" t="n"/>
      <c r="G10" s="98" t="n"/>
      <c r="H10" s="99" t="n"/>
      <c r="I10" s="100" t="n"/>
      <c r="J10" s="100" t="n"/>
      <c r="K10" s="100" t="n"/>
      <c r="L10" s="101" t="n"/>
      <c r="M10" s="101" t="n"/>
      <c r="N10" s="102" t="n"/>
    </row>
    <row r="11" ht="22" customHeight="1">
      <c r="A11" s="94" t="n"/>
      <c r="B11" s="95" t="n"/>
      <c r="C11" s="96">
        <f>IF(B11="","",IFERROR(INDEX(tb_pcm_ativos[descricao_ativo],MATCH(B11,tb_pcm_ativos[tag],0)),"fora do cadastro"))</f>
        <v/>
      </c>
      <c r="D11" s="97" t="n"/>
      <c r="E11" s="98" t="n"/>
      <c r="F11" s="98" t="n"/>
      <c r="G11" s="98" t="n"/>
      <c r="H11" s="99" t="n"/>
      <c r="I11" s="100" t="n"/>
      <c r="J11" s="100" t="n"/>
      <c r="K11" s="100" t="n"/>
      <c r="L11" s="101" t="n"/>
      <c r="M11" s="101" t="n"/>
      <c r="N11" s="102" t="n"/>
    </row>
    <row r="12" ht="22" customHeight="1">
      <c r="A12" s="94" t="n"/>
      <c r="B12" s="95" t="n"/>
      <c r="C12" s="96">
        <f>IF(B12="","",IFERROR(INDEX(tb_pcm_ativos[descricao_ativo],MATCH(B12,tb_pcm_ativos[tag],0)),"fora do cadastro"))</f>
        <v/>
      </c>
      <c r="D12" s="97" t="n"/>
      <c r="E12" s="98" t="n"/>
      <c r="F12" s="98" t="n"/>
      <c r="G12" s="98" t="n"/>
      <c r="H12" s="99" t="n"/>
      <c r="I12" s="100" t="n"/>
      <c r="J12" s="100" t="n"/>
      <c r="K12" s="100" t="n"/>
      <c r="L12" s="101" t="n"/>
      <c r="M12" s="101" t="n"/>
      <c r="N12" s="102" t="n"/>
    </row>
    <row r="13" ht="22" customHeight="1">
      <c r="A13" s="94" t="n"/>
      <c r="B13" s="95" t="n"/>
      <c r="C13" s="96">
        <f>IF(B13="","",IFERROR(INDEX(tb_pcm_ativos[descricao_ativo],MATCH(B13,tb_pcm_ativos[tag],0)),"fora do cadastro"))</f>
        <v/>
      </c>
      <c r="D13" s="97" t="n"/>
      <c r="E13" s="98" t="n"/>
      <c r="F13" s="98" t="n"/>
      <c r="G13" s="98" t="n"/>
      <c r="H13" s="99" t="n"/>
      <c r="I13" s="100" t="n"/>
      <c r="J13" s="100" t="n"/>
      <c r="K13" s="100" t="n"/>
      <c r="L13" s="101" t="n"/>
      <c r="M13" s="101" t="n"/>
      <c r="N13" s="102" t="n"/>
    </row>
    <row r="14" ht="22" customHeight="1">
      <c r="A14" s="94" t="n"/>
      <c r="B14" s="95" t="n"/>
      <c r="C14" s="96">
        <f>IF(B14="","",IFERROR(INDEX(tb_pcm_ativos[descricao_ativo],MATCH(B14,tb_pcm_ativos[tag],0)),"fora do cadastro"))</f>
        <v/>
      </c>
      <c r="D14" s="97" t="n"/>
      <c r="E14" s="98" t="n"/>
      <c r="F14" s="98" t="n"/>
      <c r="G14" s="98" t="n"/>
      <c r="H14" s="99" t="n"/>
      <c r="I14" s="100" t="n"/>
      <c r="J14" s="100" t="n"/>
      <c r="K14" s="100" t="n"/>
      <c r="L14" s="101" t="n"/>
      <c r="M14" s="101" t="n"/>
      <c r="N14" s="102" t="n"/>
    </row>
    <row r="15" ht="22" customHeight="1">
      <c r="A15" s="94" t="n"/>
      <c r="B15" s="95" t="n"/>
      <c r="C15" s="96">
        <f>IF(B15="","",IFERROR(INDEX(tb_pcm_ativos[descricao_ativo],MATCH(B15,tb_pcm_ativos[tag],0)),"fora do cadastro"))</f>
        <v/>
      </c>
      <c r="D15" s="97" t="n"/>
      <c r="E15" s="98" t="n"/>
      <c r="F15" s="98" t="n"/>
      <c r="G15" s="98" t="n"/>
      <c r="H15" s="99" t="n"/>
      <c r="I15" s="100" t="n"/>
      <c r="J15" s="100" t="n"/>
      <c r="K15" s="100" t="n"/>
      <c r="L15" s="101" t="n"/>
      <c r="M15" s="101" t="n"/>
      <c r="N15" s="102" t="n"/>
    </row>
    <row r="16" ht="22" customHeight="1">
      <c r="A16" s="94" t="n"/>
      <c r="B16" s="95" t="n"/>
      <c r="C16" s="96">
        <f>IF(B16="","",IFERROR(INDEX(tb_pcm_ativos[descricao_ativo],MATCH(B16,tb_pcm_ativos[tag],0)),"fora do cadastro"))</f>
        <v/>
      </c>
      <c r="D16" s="97" t="n"/>
      <c r="E16" s="98" t="n"/>
      <c r="F16" s="98" t="n"/>
      <c r="G16" s="98" t="n"/>
      <c r="H16" s="99" t="n"/>
      <c r="I16" s="100" t="n"/>
      <c r="J16" s="100" t="n"/>
      <c r="K16" s="100" t="n"/>
      <c r="L16" s="101" t="n"/>
      <c r="M16" s="101" t="n"/>
      <c r="N16" s="102" t="n"/>
    </row>
    <row r="17" ht="22" customHeight="1">
      <c r="A17" s="94" t="n"/>
      <c r="B17" s="95" t="n"/>
      <c r="C17" s="96">
        <f>IF(B17="","",IFERROR(INDEX(tb_pcm_ativos[descricao_ativo],MATCH(B17,tb_pcm_ativos[tag],0)),"fora do cadastro"))</f>
        <v/>
      </c>
      <c r="D17" s="97" t="n"/>
      <c r="E17" s="98" t="n"/>
      <c r="F17" s="98" t="n"/>
      <c r="G17" s="98" t="n"/>
      <c r="H17" s="99" t="n"/>
      <c r="I17" s="100" t="n"/>
      <c r="J17" s="100" t="n"/>
      <c r="K17" s="100" t="n"/>
      <c r="L17" s="101" t="n"/>
      <c r="M17" s="101" t="n"/>
      <c r="N17" s="102" t="n"/>
    </row>
    <row r="18" ht="22" customHeight="1">
      <c r="A18" s="94" t="n"/>
      <c r="B18" s="95" t="n"/>
      <c r="C18" s="96">
        <f>IF(B18="","",IFERROR(INDEX(tb_pcm_ativos[descricao_ativo],MATCH(B18,tb_pcm_ativos[tag],0)),"fora do cadastro"))</f>
        <v/>
      </c>
      <c r="D18" s="97" t="n"/>
      <c r="E18" s="98" t="n"/>
      <c r="F18" s="98" t="n"/>
      <c r="G18" s="98" t="n"/>
      <c r="H18" s="99" t="n"/>
      <c r="I18" s="100" t="n"/>
      <c r="J18" s="100" t="n"/>
      <c r="K18" s="100" t="n"/>
      <c r="L18" s="101" t="n"/>
      <c r="M18" s="101" t="n"/>
      <c r="N18" s="102" t="n"/>
    </row>
    <row r="19" ht="22" customHeight="1">
      <c r="A19" s="94" t="n"/>
      <c r="B19" s="95" t="n"/>
      <c r="C19" s="96">
        <f>IF(B19="","",IFERROR(INDEX(tb_pcm_ativos[descricao_ativo],MATCH(B19,tb_pcm_ativos[tag],0)),"fora do cadastro"))</f>
        <v/>
      </c>
      <c r="D19" s="97" t="n"/>
      <c r="E19" s="98" t="n"/>
      <c r="F19" s="98" t="n"/>
      <c r="G19" s="98" t="n"/>
      <c r="H19" s="99" t="n"/>
      <c r="I19" s="100" t="n"/>
      <c r="J19" s="100" t="n"/>
      <c r="K19" s="100" t="n"/>
      <c r="L19" s="101" t="n"/>
      <c r="M19" s="101" t="n"/>
      <c r="N19" s="102" t="n"/>
    </row>
    <row r="20" ht="22" customHeight="1">
      <c r="A20" s="94" t="n"/>
      <c r="B20" s="95" t="n"/>
      <c r="C20" s="96">
        <f>IF(B20="","",IFERROR(INDEX(tb_pcm_ativos[descricao_ativo],MATCH(B20,tb_pcm_ativos[tag],0)),"fora do cadastro"))</f>
        <v/>
      </c>
      <c r="D20" s="97" t="n"/>
      <c r="E20" s="98" t="n"/>
      <c r="F20" s="98" t="n"/>
      <c r="G20" s="98" t="n"/>
      <c r="H20" s="99" t="n"/>
      <c r="I20" s="100" t="n"/>
      <c r="J20" s="100" t="n"/>
      <c r="K20" s="100" t="n"/>
      <c r="L20" s="101" t="n"/>
      <c r="M20" s="101" t="n"/>
      <c r="N20" s="102" t="n"/>
    </row>
    <row r="21" ht="22" customHeight="1">
      <c r="A21" s="94" t="n"/>
      <c r="B21" s="95" t="n"/>
      <c r="C21" s="96">
        <f>IF(B21="","",IFERROR(INDEX(tb_pcm_ativos[descricao_ativo],MATCH(B21,tb_pcm_ativos[tag],0)),"fora do cadastro"))</f>
        <v/>
      </c>
      <c r="D21" s="97" t="n"/>
      <c r="E21" s="98" t="n"/>
      <c r="F21" s="98" t="n"/>
      <c r="G21" s="98" t="n"/>
      <c r="H21" s="99" t="n"/>
      <c r="I21" s="100" t="n"/>
      <c r="J21" s="100" t="n"/>
      <c r="K21" s="100" t="n"/>
      <c r="L21" s="101" t="n"/>
      <c r="M21" s="101" t="n"/>
      <c r="N21" s="102" t="n"/>
    </row>
    <row r="22" ht="22" customHeight="1">
      <c r="A22" s="94" t="n"/>
      <c r="B22" s="95" t="n"/>
      <c r="C22" s="96">
        <f>IF(B22="","",IFERROR(INDEX(tb_pcm_ativos[descricao_ativo],MATCH(B22,tb_pcm_ativos[tag],0)),"fora do cadastro"))</f>
        <v/>
      </c>
      <c r="D22" s="97" t="n"/>
      <c r="E22" s="98" t="n"/>
      <c r="F22" s="98" t="n"/>
      <c r="G22" s="98" t="n"/>
      <c r="H22" s="99" t="n"/>
      <c r="I22" s="100" t="n"/>
      <c r="J22" s="100" t="n"/>
      <c r="K22" s="100" t="n"/>
      <c r="L22" s="101" t="n"/>
      <c r="M22" s="101" t="n"/>
      <c r="N22" s="102" t="n"/>
    </row>
    <row r="23" ht="22" customHeight="1">
      <c r="A23" s="94" t="n"/>
      <c r="B23" s="95" t="n"/>
      <c r="C23" s="96">
        <f>IF(B23="","",IFERROR(INDEX(tb_pcm_ativos[descricao_ativo],MATCH(B23,tb_pcm_ativos[tag],0)),"fora do cadastro"))</f>
        <v/>
      </c>
      <c r="D23" s="97" t="n"/>
      <c r="E23" s="98" t="n"/>
      <c r="F23" s="98" t="n"/>
      <c r="G23" s="98" t="n"/>
      <c r="H23" s="99" t="n"/>
      <c r="I23" s="100" t="n"/>
      <c r="J23" s="100" t="n"/>
      <c r="K23" s="100" t="n"/>
      <c r="L23" s="101" t="n"/>
      <c r="M23" s="101" t="n"/>
      <c r="N23" s="102" t="n"/>
    </row>
    <row r="24" ht="22" customHeight="1">
      <c r="A24" s="94" t="n"/>
      <c r="B24" s="95" t="n"/>
      <c r="C24" s="96">
        <f>IF(B24="","",IFERROR(INDEX(tb_pcm_ativos[descricao_ativo],MATCH(B24,tb_pcm_ativos[tag],0)),"fora do cadastro"))</f>
        <v/>
      </c>
      <c r="D24" s="97" t="n"/>
      <c r="E24" s="98" t="n"/>
      <c r="F24" s="98" t="n"/>
      <c r="G24" s="98" t="n"/>
      <c r="H24" s="99" t="n"/>
      <c r="I24" s="100" t="n"/>
      <c r="J24" s="100" t="n"/>
      <c r="K24" s="100" t="n"/>
      <c r="L24" s="101" t="n"/>
      <c r="M24" s="101" t="n"/>
      <c r="N24" s="102" t="n"/>
    </row>
    <row r="25" ht="22" customHeight="1">
      <c r="A25" s="94" t="n"/>
      <c r="B25" s="95" t="n"/>
      <c r="C25" s="96">
        <f>IF(B25="","",IFERROR(INDEX(tb_pcm_ativos[descricao_ativo],MATCH(B25,tb_pcm_ativos[tag],0)),"fora do cadastro"))</f>
        <v/>
      </c>
      <c r="D25" s="97" t="n"/>
      <c r="E25" s="98" t="n"/>
      <c r="F25" s="98" t="n"/>
      <c r="G25" s="98" t="n"/>
      <c r="H25" s="99" t="n"/>
      <c r="I25" s="100" t="n"/>
      <c r="J25" s="100" t="n"/>
      <c r="K25" s="100" t="n"/>
      <c r="L25" s="101" t="n"/>
      <c r="M25" s="101" t="n"/>
      <c r="N25" s="102" t="n"/>
    </row>
    <row r="26" ht="22" customHeight="1">
      <c r="A26" s="94" t="n"/>
      <c r="B26" s="95" t="n"/>
      <c r="C26" s="96">
        <f>IF(B26="","",IFERROR(INDEX(tb_pcm_ativos[descricao_ativo],MATCH(B26,tb_pcm_ativos[tag],0)),"fora do cadastro"))</f>
        <v/>
      </c>
      <c r="D26" s="97" t="n"/>
      <c r="E26" s="98" t="n"/>
      <c r="F26" s="98" t="n"/>
      <c r="G26" s="98" t="n"/>
      <c r="H26" s="99" t="n"/>
      <c r="I26" s="100" t="n"/>
      <c r="J26" s="100" t="n"/>
      <c r="K26" s="100" t="n"/>
      <c r="L26" s="101" t="n"/>
      <c r="M26" s="101" t="n"/>
      <c r="N26" s="102" t="n"/>
    </row>
    <row r="27" ht="22" customHeight="1">
      <c r="A27" s="94" t="n"/>
      <c r="B27" s="95" t="n"/>
      <c r="C27" s="96">
        <f>IF(B27="","",IFERROR(INDEX(tb_pcm_ativos[descricao_ativo],MATCH(B27,tb_pcm_ativos[tag],0)),"fora do cadastro"))</f>
        <v/>
      </c>
      <c r="D27" s="97" t="n"/>
      <c r="E27" s="98" t="n"/>
      <c r="F27" s="98" t="n"/>
      <c r="G27" s="98" t="n"/>
      <c r="H27" s="99" t="n"/>
      <c r="I27" s="100" t="n"/>
      <c r="J27" s="100" t="n"/>
      <c r="K27" s="100" t="n"/>
      <c r="L27" s="101" t="n"/>
      <c r="M27" s="101" t="n"/>
      <c r="N27" s="102" t="n"/>
    </row>
    <row r="28" ht="22" customHeight="1">
      <c r="A28" s="94" t="n"/>
      <c r="B28" s="95" t="n"/>
      <c r="C28" s="96">
        <f>IF(B28="","",IFERROR(INDEX(tb_pcm_ativos[descricao_ativo],MATCH(B28,tb_pcm_ativos[tag],0)),"fora do cadastro"))</f>
        <v/>
      </c>
      <c r="D28" s="97" t="n"/>
      <c r="E28" s="98" t="n"/>
      <c r="F28" s="98" t="n"/>
      <c r="G28" s="98" t="n"/>
      <c r="H28" s="99" t="n"/>
      <c r="I28" s="100" t="n"/>
      <c r="J28" s="100" t="n"/>
      <c r="K28" s="100" t="n"/>
      <c r="L28" s="101" t="n"/>
      <c r="M28" s="101" t="n"/>
      <c r="N28" s="102" t="n"/>
    </row>
    <row r="29" ht="22" customHeight="1">
      <c r="A29" s="103" t="n"/>
      <c r="B29" s="104" t="n"/>
      <c r="C29" s="105">
        <f>IF(B29="","",IFERROR(INDEX(tb_pcm_ativos[descricao_ativo],MATCH(B29,tb_pcm_ativos[tag],0)),"fora do cadastro"))</f>
        <v/>
      </c>
      <c r="D29" s="106" t="n"/>
      <c r="E29" s="107" t="n"/>
      <c r="F29" s="107" t="n"/>
      <c r="G29" s="107" t="n"/>
      <c r="H29" s="108" t="n"/>
      <c r="I29" s="109" t="n"/>
      <c r="J29" s="109" t="n"/>
      <c r="K29" s="109" t="n"/>
      <c r="L29" s="110" t="n"/>
      <c r="M29" s="110" t="n"/>
      <c r="N29" s="111" t="n"/>
    </row>
    <row r="30" ht="36" customHeight="1">
      <c r="A30" s="112" t="inlineStr">
        <is>
          <r>
            <rPr>
              <rFont val="Arial"/>
              <b val="1"/>
              <color rgb="004A5668"/>
              <sz val="8"/>
            </rPr>
            <t xml:space="preserve">Prioridade:  </t>
          </r>
          <r>
            <rPr>
              <rFont val="Arial"/>
              <color rgb="001E9E4A"/>
              <sz val="13"/>
            </rPr>
            <t xml:space="preserve">● </t>
          </r>
          <r>
            <rPr>
              <rFont val="Arial"/>
              <color rgb="004A5668"/>
              <sz val="8"/>
            </rPr>
            <t xml:space="preserve">Baixa    </t>
          </r>
          <r>
            <rPr>
              <rFont val="Arial"/>
              <color rgb="00F2B705"/>
              <sz val="13"/>
            </rPr>
            <t xml:space="preserve">● </t>
          </r>
          <r>
            <rPr>
              <rFont val="Arial"/>
              <color rgb="004A5668"/>
              <sz val="8"/>
            </rPr>
            <t xml:space="preserve">Média    </t>
          </r>
          <r>
            <rPr>
              <rFont val="Arial"/>
              <color rgb="00F28C28"/>
              <sz val="13"/>
            </rPr>
            <t xml:space="preserve">● </t>
          </r>
          <r>
            <rPr>
              <rFont val="Arial"/>
              <color rgb="004A5668"/>
              <sz val="8"/>
            </rPr>
            <t xml:space="preserve">Alta    </t>
          </r>
          <r>
            <rPr>
              <rFont val="Arial"/>
              <color rgb="00D93025"/>
              <sz val="13"/>
            </rPr>
            <t xml:space="preserve">● </t>
          </r>
          <r>
            <rPr>
              <rFont val="Arial"/>
              <color rgb="004A5668"/>
              <sz val="8"/>
            </rPr>
            <t xml:space="preserve">Urgente    </t>
          </r>
          <r>
            <rPr>
              <rFont val="Arial"/>
              <color rgb="004A5668"/>
              <sz val="8"/>
            </rPr>
            <t xml:space="preserve">        |        </t>
          </r>
          <r>
            <rPr>
              <rFont val="Arial"/>
              <b val="1"/>
              <color rgb="004A5668"/>
              <sz val="8"/>
            </rPr>
            <t xml:space="preserve">Status:  </t>
          </r>
          <r>
            <rPr>
              <rFont val="Arial"/>
              <color rgb="001E9E4A"/>
              <sz val="13"/>
            </rPr>
            <t xml:space="preserve">● </t>
          </r>
          <r>
            <rPr>
              <rFont val="Arial"/>
              <color rgb="004A5668"/>
              <sz val="8"/>
            </rPr>
            <t xml:space="preserve">Concluída    </t>
          </r>
          <r>
            <rPr>
              <rFont val="Arial"/>
              <color rgb="00F2B705"/>
              <sz val="13"/>
            </rPr>
            <t xml:space="preserve">● </t>
          </r>
          <r>
            <rPr>
              <rFont val="Arial"/>
              <color rgb="004A5668"/>
              <sz val="8"/>
            </rPr>
            <t xml:space="preserve">Aberta · Planejada · Programada · Em execução    </t>
          </r>
          <r>
            <rPr>
              <rFont val="Arial"/>
              <color rgb="009AA3B2"/>
              <sz val="13"/>
            </rPr>
            <t xml:space="preserve">● </t>
          </r>
          <r>
            <rPr>
              <rFont val="Arial"/>
              <color rgb="004A5668"/>
              <sz val="8"/>
            </rPr>
            <t xml:space="preserve">Cancelada    </t>
          </r>
          <r>
            <rPr>
              <rFont val="Arial"/>
              <color rgb="004A5668"/>
              <sz val="8"/>
            </rPr>
            <t xml:space="preserve">        |        </t>
          </r>
          <r>
            <rPr>
              <rFont val="Arial"/>
              <color rgb="00B3261E"/>
              <sz val="13"/>
            </rPr>
            <t xml:space="preserve">● </t>
          </r>
          <r>
            <rPr>
              <rFont val="Arial"/>
              <color rgb="004A5668"/>
              <sz val="8"/>
            </rPr>
            <t>Data em vermelho = vencida</t>
          </r>
        </is>
      </c>
    </row>
  </sheetData>
  <mergeCells count="6">
    <mergeCell ref="D2:L2"/>
    <mergeCell ref="M2:N2"/>
    <mergeCell ref="D1:L1"/>
    <mergeCell ref="A1:C2"/>
    <mergeCell ref="A30:N30"/>
    <mergeCell ref="M1:N1"/>
  </mergeCells>
  <conditionalFormatting sqref="F5:F29">
    <cfRule type="expression" priority="1" dxfId="4" stopIfTrue="1">
      <formula>$F5="BAIXA"</formula>
    </cfRule>
    <cfRule type="expression" priority="2" dxfId="1" stopIfTrue="1">
      <formula>$F5="MEDIA"</formula>
    </cfRule>
    <cfRule type="expression" priority="3" dxfId="5" stopIfTrue="1">
      <formula>$F5="ALTA"</formula>
    </cfRule>
    <cfRule type="expression" priority="4" dxfId="0" stopIfTrue="1">
      <formula>$F5="URGENTE"</formula>
    </cfRule>
  </conditionalFormatting>
  <conditionalFormatting sqref="G5:G29">
    <cfRule type="expression" priority="5" dxfId="1" stopIfTrue="1">
      <formula>$G5="ABERTA"</formula>
    </cfRule>
    <cfRule type="expression" priority="6" dxfId="1" stopIfTrue="1">
      <formula>$G5="PLANEJADA"</formula>
    </cfRule>
    <cfRule type="expression" priority="7" dxfId="1" stopIfTrue="1">
      <formula>$G5="PROGRAMADA"</formula>
    </cfRule>
    <cfRule type="expression" priority="8" dxfId="1" stopIfTrue="1">
      <formula>$G5="EM_EXECUCAO"</formula>
    </cfRule>
    <cfRule type="expression" priority="9" dxfId="4" stopIfTrue="1">
      <formula>$G5="CONCLUIDA"</formula>
    </cfRule>
    <cfRule type="expression" priority="10" dxfId="3" stopIfTrue="1">
      <formula>$G5="CANCELADA"</formula>
    </cfRule>
  </conditionalFormatting>
  <conditionalFormatting sqref="J5:J29">
    <cfRule type="expression" priority="11" dxfId="0" stopIfTrue="1">
      <formula>AND(ISNUMBER(J5),J5&lt;TODAY(),$G5&lt;&gt;"CONCLUIDA",$G5&lt;&gt;"CANCELADA")</formula>
    </cfRule>
  </conditionalFormatting>
  <dataValidations count="10">
    <dataValidation sqref="B5:B29" showDropDown="0" showInputMessage="0" showErrorMessage="1" allowBlank="1" errorTitle="Valor fora da lista" error="Escolha um item da lista." type="list" errorStyle="stop">
      <formula1>L_TAGS</formula1>
    </dataValidation>
    <dataValidation sqref="E5:E29" showDropDown="0" showInputMessage="0" showErrorMessage="1" allowBlank="1" errorTitle="Valor fora da lista" error="Escolha um item da lista." type="list" errorStyle="stop">
      <formula1>L_TIPO</formula1>
    </dataValidation>
    <dataValidation sqref="F5:F29" showDropDown="0" showInputMessage="0" showErrorMessage="1" allowBlank="1" errorTitle="Valor fora da lista" error="Escolha um item da lista." type="list" errorStyle="stop">
      <formula1>L_PRIOR</formula1>
    </dataValidation>
    <dataValidation sqref="G5:G29" showDropDown="0" showInputMessage="0" showErrorMessage="1" allowBlank="1" errorTitle="Valor fora da lista" error="Escolha um item da lista." type="list" errorStyle="stop">
      <formula1>L_STATUS_OS</formula1>
    </dataValidation>
    <dataValidation sqref="H5:H29" showDropDown="0" showInputMessage="0" showErrorMessage="1" allowBlank="1" errorTitle="Valor fora da lista" error="Escolha um item da lista." type="list" errorStyle="stop">
      <formula1>L_PESSOAS</formula1>
    </dataValidation>
    <dataValidation sqref="I5:I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J5:J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K5:K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  <dataValidation sqref="L5:L29" showDropDown="0" showInputMessage="0" showErrorMessage="1" allowBlank="1" errorTitle="Número inválido" error="Digite um número maior ou igual a 0." type="decimal" errorStyle="stop" operator="greaterThanOrEqual">
      <formula1>0</formula1>
    </dataValidation>
    <dataValidation sqref="M5:M29" showDropDown="0" showInputMessage="0" showErrorMessage="1" allowBlank="1" errorTitle="Número inválido" error="Digite um número maior ou igual a 0." type="decimal" errorStyle="stop" operator="greaterThanOrEqual">
      <formula1>0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&amp;K4A5668PCM-MAN-004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tabColor rgb="001F5AA6"/>
    <outlinePr summaryBelow="1" summaryRight="1"/>
    <pageSetUpPr fitToPage="1"/>
  </sheetPr>
  <dimension ref="A1:J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2" customWidth="1" min="3" max="3"/>
    <col width="20" customWidth="1" min="4" max="4"/>
    <col width="3" customWidth="1" min="5" max="5"/>
    <col width="30" customWidth="1" min="6" max="6"/>
    <col width="3" customWidth="1" min="7" max="7"/>
    <col width="30" customWidth="1" min="8" max="8"/>
    <col width="3" customWidth="1" min="9" max="9"/>
    <col width="24" customWidth="1" min="10" max="10"/>
  </cols>
  <sheetData>
    <row r="1" ht="30.75" customHeight="1">
      <c r="A1" s="113" t="n"/>
      <c r="B1" s="46" t="n"/>
      <c r="C1" s="45" t="inlineStr">
        <is>
          <t>Cadastros</t>
        </is>
      </c>
      <c r="D1" s="114" t="n"/>
      <c r="E1" s="114" t="n"/>
      <c r="F1" s="114" t="n"/>
      <c r="G1" s="46" t="n"/>
      <c r="H1" s="115">
        <f>"Rev. "&amp;'Leia-me'!$D$15&amp;"   ·   "&amp;'Leia-me'!$D$16</f>
        <v/>
      </c>
      <c r="I1" s="114" t="n"/>
      <c r="J1" s="46" t="n"/>
    </row>
    <row r="2" ht="28" customHeight="1">
      <c r="A2" s="116" t="n"/>
      <c r="B2" s="50" t="n"/>
      <c r="C2" s="49" t="inlineStr">
        <is>
          <t>Objetivo: Cadastre aqui os itens usados nas listas (▼) das outras abas.</t>
        </is>
      </c>
      <c r="D2" s="117" t="n"/>
      <c r="E2" s="117" t="n"/>
      <c r="F2" s="117" t="n"/>
      <c r="G2" s="50" t="n"/>
      <c r="H2" s="49">
        <f>"Elaborado: "&amp;'Leia-me'!$D$13&amp;"   ·   Aprovado: "&amp;'Leia-me'!$D$14</f>
        <v/>
      </c>
      <c r="I2" s="117" t="n"/>
      <c r="J2" s="50" t="n"/>
    </row>
    <row r="3" ht="32" customHeight="1">
      <c r="A3" s="90" t="inlineStr">
        <is>
          <t>TAG</t>
        </is>
      </c>
      <c r="B3" s="91" t="inlineStr">
        <is>
          <t>Equipamento</t>
        </is>
      </c>
      <c r="C3" s="91" t="inlineStr">
        <is>
          <t>Família de equipamento ▼</t>
        </is>
      </c>
      <c r="D3" s="92" t="inlineStr">
        <is>
          <t>Setor ▼</t>
        </is>
      </c>
      <c r="F3" s="118" t="inlineStr">
        <is>
          <t>Responsável</t>
        </is>
      </c>
      <c r="H3" s="118" t="inlineStr">
        <is>
          <t>Família de equipamento</t>
        </is>
      </c>
      <c r="J3" s="118" t="inlineStr">
        <is>
          <t>Setor</t>
        </is>
      </c>
    </row>
    <row r="4" hidden="1">
      <c r="A4" s="93" t="inlineStr">
        <is>
          <t>tag</t>
        </is>
      </c>
      <c r="B4" s="93" t="inlineStr">
        <is>
          <t>descricao_ativo</t>
        </is>
      </c>
      <c r="C4" s="93" t="inlineStr">
        <is>
          <t>familia</t>
        </is>
      </c>
      <c r="D4" s="93" t="inlineStr">
        <is>
          <t>setor</t>
        </is>
      </c>
      <c r="F4" s="93" t="inlineStr">
        <is>
          <t>nome_pessoa</t>
        </is>
      </c>
      <c r="H4" s="93" t="inlineStr">
        <is>
          <t>nome_familia</t>
        </is>
      </c>
      <c r="J4" s="93" t="inlineStr">
        <is>
          <t>nome_setor</t>
        </is>
      </c>
    </row>
    <row r="5" ht="22" customHeight="1">
      <c r="A5" s="94" t="n"/>
      <c r="B5" s="99" t="n"/>
      <c r="C5" s="99" t="n"/>
      <c r="D5" s="119" t="n"/>
      <c r="F5" s="120" t="n"/>
      <c r="H5" s="120" t="n"/>
      <c r="J5" s="120" t="n"/>
    </row>
    <row r="6" ht="22" customHeight="1">
      <c r="A6" s="94" t="n"/>
      <c r="B6" s="99" t="n"/>
      <c r="C6" s="99" t="n"/>
      <c r="D6" s="119" t="n"/>
      <c r="F6" s="120" t="n"/>
      <c r="H6" s="120" t="n"/>
      <c r="J6" s="120" t="n"/>
    </row>
    <row r="7" ht="22" customHeight="1">
      <c r="A7" s="94" t="n"/>
      <c r="B7" s="99" t="n"/>
      <c r="C7" s="99" t="n"/>
      <c r="D7" s="119" t="n"/>
      <c r="F7" s="120" t="n"/>
      <c r="H7" s="120" t="n"/>
      <c r="J7" s="120" t="n"/>
    </row>
    <row r="8" ht="22" customHeight="1">
      <c r="A8" s="94" t="n"/>
      <c r="B8" s="99" t="n"/>
      <c r="C8" s="99" t="n"/>
      <c r="D8" s="119" t="n"/>
      <c r="F8" s="120" t="n"/>
      <c r="H8" s="120" t="n"/>
      <c r="J8" s="120" t="n"/>
    </row>
    <row r="9" ht="22" customHeight="1">
      <c r="A9" s="94" t="n"/>
      <c r="B9" s="99" t="n"/>
      <c r="C9" s="99" t="n"/>
      <c r="D9" s="119" t="n"/>
      <c r="F9" s="120" t="n"/>
      <c r="H9" s="120" t="n"/>
      <c r="J9" s="120" t="n"/>
    </row>
    <row r="10" ht="22" customHeight="1">
      <c r="A10" s="94" t="n"/>
      <c r="B10" s="99" t="n"/>
      <c r="C10" s="99" t="n"/>
      <c r="D10" s="119" t="n"/>
      <c r="F10" s="120" t="n"/>
      <c r="H10" s="120" t="n"/>
      <c r="J10" s="120" t="n"/>
    </row>
    <row r="11" ht="22" customHeight="1">
      <c r="A11" s="94" t="n"/>
      <c r="B11" s="99" t="n"/>
      <c r="C11" s="99" t="n"/>
      <c r="D11" s="119" t="n"/>
      <c r="F11" s="120" t="n"/>
      <c r="H11" s="120" t="n"/>
      <c r="J11" s="120" t="n"/>
    </row>
    <row r="12" ht="22" customHeight="1">
      <c r="A12" s="94" t="n"/>
      <c r="B12" s="99" t="n"/>
      <c r="C12" s="99" t="n"/>
      <c r="D12" s="119" t="n"/>
      <c r="F12" s="120" t="n"/>
      <c r="H12" s="120" t="n"/>
      <c r="J12" s="120" t="n"/>
    </row>
    <row r="13" ht="22" customHeight="1">
      <c r="A13" s="94" t="n"/>
      <c r="B13" s="99" t="n"/>
      <c r="C13" s="99" t="n"/>
      <c r="D13" s="119" t="n"/>
      <c r="F13" s="120" t="n"/>
      <c r="H13" s="120" t="n"/>
      <c r="J13" s="120" t="n"/>
    </row>
    <row r="14" ht="22" customHeight="1">
      <c r="A14" s="94" t="n"/>
      <c r="B14" s="99" t="n"/>
      <c r="C14" s="99" t="n"/>
      <c r="D14" s="119" t="n"/>
      <c r="F14" s="120" t="n"/>
      <c r="H14" s="120" t="n"/>
      <c r="J14" s="120" t="n"/>
    </row>
    <row r="15" ht="22" customHeight="1">
      <c r="A15" s="94" t="n"/>
      <c r="B15" s="99" t="n"/>
      <c r="C15" s="99" t="n"/>
      <c r="D15" s="119" t="n"/>
      <c r="F15" s="120" t="n"/>
      <c r="H15" s="120" t="n"/>
      <c r="J15" s="120" t="n"/>
    </row>
    <row r="16" ht="22" customHeight="1">
      <c r="A16" s="94" t="n"/>
      <c r="B16" s="99" t="n"/>
      <c r="C16" s="99" t="n"/>
      <c r="D16" s="119" t="n"/>
      <c r="F16" s="120" t="n"/>
      <c r="H16" s="120" t="n"/>
      <c r="J16" s="120" t="n"/>
    </row>
    <row r="17" ht="22" customHeight="1">
      <c r="A17" s="94" t="n"/>
      <c r="B17" s="99" t="n"/>
      <c r="C17" s="99" t="n"/>
      <c r="D17" s="119" t="n"/>
      <c r="F17" s="120" t="n"/>
      <c r="H17" s="120" t="n"/>
      <c r="J17" s="120" t="n"/>
    </row>
    <row r="18" ht="22" customHeight="1">
      <c r="A18" s="94" t="n"/>
      <c r="B18" s="99" t="n"/>
      <c r="C18" s="99" t="n"/>
      <c r="D18" s="119" t="n"/>
      <c r="F18" s="120" t="n"/>
      <c r="H18" s="120" t="n"/>
      <c r="J18" s="120" t="n"/>
    </row>
    <row r="19" ht="22" customHeight="1">
      <c r="A19" s="94" t="n"/>
      <c r="B19" s="99" t="n"/>
      <c r="C19" s="99" t="n"/>
      <c r="D19" s="119" t="n"/>
      <c r="F19" s="120" t="n"/>
      <c r="H19" s="120" t="n"/>
      <c r="J19" s="120" t="n"/>
    </row>
    <row r="20" ht="22" customHeight="1">
      <c r="A20" s="94" t="n"/>
      <c r="B20" s="99" t="n"/>
      <c r="C20" s="99" t="n"/>
      <c r="D20" s="119" t="n"/>
      <c r="F20" s="120" t="n"/>
      <c r="H20" s="120" t="n"/>
      <c r="J20" s="120" t="n"/>
    </row>
    <row r="21" ht="22" customHeight="1">
      <c r="A21" s="94" t="n"/>
      <c r="B21" s="99" t="n"/>
      <c r="C21" s="99" t="n"/>
      <c r="D21" s="119" t="n"/>
      <c r="F21" s="120" t="n"/>
      <c r="H21" s="120" t="n"/>
      <c r="J21" s="120" t="n"/>
    </row>
    <row r="22" ht="22" customHeight="1">
      <c r="A22" s="94" t="n"/>
      <c r="B22" s="99" t="n"/>
      <c r="C22" s="99" t="n"/>
      <c r="D22" s="119" t="n"/>
      <c r="F22" s="120" t="n"/>
      <c r="H22" s="120" t="n"/>
      <c r="J22" s="120" t="n"/>
    </row>
    <row r="23" ht="22" customHeight="1">
      <c r="A23" s="94" t="n"/>
      <c r="B23" s="99" t="n"/>
      <c r="C23" s="99" t="n"/>
      <c r="D23" s="119" t="n"/>
      <c r="F23" s="120" t="n"/>
      <c r="H23" s="120" t="n"/>
      <c r="J23" s="120" t="n"/>
    </row>
    <row r="24" ht="22" customHeight="1">
      <c r="A24" s="94" t="n"/>
      <c r="B24" s="99" t="n"/>
      <c r="C24" s="99" t="n"/>
      <c r="D24" s="119" t="n"/>
      <c r="F24" s="120" t="n"/>
      <c r="H24" s="120" t="n"/>
      <c r="J24" s="120" t="n"/>
    </row>
    <row r="25" ht="22" customHeight="1">
      <c r="A25" s="94" t="n"/>
      <c r="B25" s="99" t="n"/>
      <c r="C25" s="99" t="n"/>
      <c r="D25" s="119" t="n"/>
      <c r="F25" s="120" t="n"/>
      <c r="H25" s="120" t="n"/>
      <c r="J25" s="120" t="n"/>
    </row>
    <row r="26" ht="22" customHeight="1">
      <c r="A26" s="94" t="n"/>
      <c r="B26" s="99" t="n"/>
      <c r="C26" s="99" t="n"/>
      <c r="D26" s="119" t="n"/>
      <c r="F26" s="120" t="n"/>
      <c r="H26" s="120" t="n"/>
      <c r="J26" s="120" t="n"/>
    </row>
    <row r="27" ht="22" customHeight="1">
      <c r="A27" s="94" t="n"/>
      <c r="B27" s="99" t="n"/>
      <c r="C27" s="99" t="n"/>
      <c r="D27" s="119" t="n"/>
      <c r="F27" s="120" t="n"/>
      <c r="H27" s="120" t="n"/>
      <c r="J27" s="120" t="n"/>
    </row>
    <row r="28" ht="22" customHeight="1">
      <c r="A28" s="94" t="n"/>
      <c r="B28" s="99" t="n"/>
      <c r="C28" s="99" t="n"/>
      <c r="D28" s="119" t="n"/>
      <c r="F28" s="120" t="n"/>
      <c r="H28" s="120" t="n"/>
      <c r="J28" s="120" t="n"/>
    </row>
    <row r="29" ht="22" customHeight="1">
      <c r="A29" s="103" t="n"/>
      <c r="B29" s="108" t="n"/>
      <c r="C29" s="108" t="n"/>
      <c r="D29" s="121" t="n"/>
      <c r="F29" s="122" t="n"/>
      <c r="H29" s="122" t="n"/>
      <c r="J29" s="122" t="n"/>
    </row>
    <row r="30" ht="20" customHeight="1">
      <c r="A30" s="112" t="inlineStr">
        <is>
          <t xml:space="preserve"> </t>
        </is>
      </c>
    </row>
  </sheetData>
  <mergeCells count="6">
    <mergeCell ref="H1:J1"/>
    <mergeCell ref="C2:G2"/>
    <mergeCell ref="C1:G1"/>
    <mergeCell ref="A30:J30"/>
    <mergeCell ref="H2:J2"/>
    <mergeCell ref="A1:B2"/>
  </mergeCells>
  <dataValidations count="2">
    <dataValidation sqref="C5:C29" showDropDown="0" showInputMessage="0" showErrorMessage="1" allowBlank="1" errorTitle="Valor fora da lista" error="Escolha um item da lista." type="list" errorStyle="stop">
      <formula1>L_FAMILIAS</formula1>
    </dataValidation>
    <dataValidation sqref="D5:D29" showDropDown="0" showInputMessage="0" showErrorMessage="1" allowBlank="1" errorTitle="Valor fora da lista" error="Escolha um item da lista." type="list" errorStyle="stop">
      <formula1>L_SETORES</formula1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&amp;K4A5668PCM-MAN-004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4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5.xml><?xml version="1.0" encoding="utf-8"?>
<worksheet xmlns="http://schemas.openxmlformats.org/spreadsheetml/2006/main">
  <sheetPr>
    <tabColor rgb="009CA3AF"/>
    <outlinePr summaryBelow="1" summaryRight="1"/>
    <pageSetUpPr fitToPage="1"/>
  </sheetPr>
  <dimension ref="A1:E30"/>
  <sheetViews>
    <sheetView showGridLines="0" tabSelected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90" customWidth="1" min="3" max="3"/>
    <col width="30" customWidth="1" min="4" max="4"/>
    <col width="30" customWidth="1" min="5" max="5"/>
  </cols>
  <sheetData>
    <row r="1" ht="30.75" customHeight="1">
      <c r="A1" s="113" t="n"/>
      <c r="B1" s="46" t="n"/>
      <c r="C1" s="86" t="inlineStr">
        <is>
          <t>Revisões</t>
        </is>
      </c>
      <c r="D1" s="115">
        <f>"Rev. "&amp;'Leia-me'!$D$15&amp;"   ·   "&amp;'Leia-me'!$D$16</f>
        <v/>
      </c>
      <c r="E1" s="46" t="n"/>
    </row>
    <row r="2" ht="28" customHeight="1">
      <c r="A2" s="116" t="n"/>
      <c r="B2" s="50" t="n"/>
      <c r="C2" s="51" t="inlineStr">
        <is>
          <t>Objetivo: Registre cada alteração do modelo; a última linha alimenta Rev. e data do cabeçalho.</t>
        </is>
      </c>
      <c r="D2" s="49">
        <f>"Elaborado: "&amp;'Leia-me'!$D$13&amp;"   ·   Aprovado: "&amp;'Leia-me'!$D$14</f>
        <v/>
      </c>
      <c r="E2" s="50" t="n"/>
    </row>
    <row r="3" ht="26" customHeight="1">
      <c r="A3" s="90" t="inlineStr">
        <is>
          <t>Rev</t>
        </is>
      </c>
      <c r="B3" s="91" t="inlineStr">
        <is>
          <t>Data</t>
        </is>
      </c>
      <c r="C3" s="91" t="inlineStr">
        <is>
          <t>Descrição da alteração</t>
        </is>
      </c>
      <c r="D3" s="91" t="inlineStr">
        <is>
          <t>Elaborado por</t>
        </is>
      </c>
      <c r="E3" s="92" t="inlineStr">
        <is>
          <t>Aprovado por</t>
        </is>
      </c>
    </row>
    <row r="4" hidden="1">
      <c r="A4" s="93" t="inlineStr">
        <is>
          <t>revisao</t>
        </is>
      </c>
      <c r="B4" s="93" t="inlineStr">
        <is>
          <t>data_revisao</t>
        </is>
      </c>
      <c r="C4" s="93" t="inlineStr">
        <is>
          <t>descricao_alteracao</t>
        </is>
      </c>
      <c r="D4" s="93" t="inlineStr">
        <is>
          <t>elaborado_por</t>
        </is>
      </c>
      <c r="E4" s="93" t="inlineStr">
        <is>
          <t>aprovado_por</t>
        </is>
      </c>
    </row>
    <row r="5" ht="22" customHeight="1">
      <c r="A5" s="123" t="inlineStr">
        <is>
          <t>00</t>
        </is>
      </c>
      <c r="B5" s="100" t="n">
        <v>46325</v>
      </c>
      <c r="C5" s="97" t="inlineStr">
        <is>
          <t>Emissão inicial</t>
        </is>
      </c>
      <c r="D5" s="99" t="n"/>
      <c r="E5" s="119" t="n"/>
    </row>
    <row r="6" ht="22" customHeight="1">
      <c r="A6" s="123" t="n"/>
      <c r="B6" s="100" t="n"/>
      <c r="C6" s="97" t="n"/>
      <c r="D6" s="99" t="n"/>
      <c r="E6" s="119" t="n"/>
    </row>
    <row r="7" ht="22" customHeight="1">
      <c r="A7" s="123" t="n"/>
      <c r="B7" s="100" t="n"/>
      <c r="C7" s="97" t="n"/>
      <c r="D7" s="99" t="n"/>
      <c r="E7" s="119" t="n"/>
    </row>
    <row r="8" ht="22" customHeight="1">
      <c r="A8" s="123" t="n"/>
      <c r="B8" s="100" t="n"/>
      <c r="C8" s="97" t="n"/>
      <c r="D8" s="99" t="n"/>
      <c r="E8" s="119" t="n"/>
    </row>
    <row r="9" ht="22" customHeight="1">
      <c r="A9" s="123" t="n"/>
      <c r="B9" s="100" t="n"/>
      <c r="C9" s="97" t="n"/>
      <c r="D9" s="99" t="n"/>
      <c r="E9" s="119" t="n"/>
    </row>
    <row r="10" ht="22" customHeight="1">
      <c r="A10" s="123" t="n"/>
      <c r="B10" s="100" t="n"/>
      <c r="C10" s="97" t="n"/>
      <c r="D10" s="99" t="n"/>
      <c r="E10" s="119" t="n"/>
    </row>
    <row r="11" ht="22" customHeight="1">
      <c r="A11" s="123" t="n"/>
      <c r="B11" s="100" t="n"/>
      <c r="C11" s="97" t="n"/>
      <c r="D11" s="99" t="n"/>
      <c r="E11" s="119" t="n"/>
    </row>
    <row r="12" ht="22" customHeight="1">
      <c r="A12" s="123" t="n"/>
      <c r="B12" s="100" t="n"/>
      <c r="C12" s="97" t="n"/>
      <c r="D12" s="99" t="n"/>
      <c r="E12" s="119" t="n"/>
    </row>
    <row r="13" ht="22" customHeight="1">
      <c r="A13" s="123" t="n"/>
      <c r="B13" s="100" t="n"/>
      <c r="C13" s="97" t="n"/>
      <c r="D13" s="99" t="n"/>
      <c r="E13" s="119" t="n"/>
    </row>
    <row r="14" ht="22" customHeight="1">
      <c r="A14" s="123" t="n"/>
      <c r="B14" s="100" t="n"/>
      <c r="C14" s="97" t="n"/>
      <c r="D14" s="99" t="n"/>
      <c r="E14" s="119" t="n"/>
    </row>
    <row r="15" ht="22" customHeight="1">
      <c r="A15" s="123" t="n"/>
      <c r="B15" s="100" t="n"/>
      <c r="C15" s="97" t="n"/>
      <c r="D15" s="99" t="n"/>
      <c r="E15" s="119" t="n"/>
    </row>
    <row r="16" ht="22" customHeight="1">
      <c r="A16" s="123" t="n"/>
      <c r="B16" s="100" t="n"/>
      <c r="C16" s="97" t="n"/>
      <c r="D16" s="99" t="n"/>
      <c r="E16" s="119" t="n"/>
    </row>
    <row r="17" ht="22" customHeight="1">
      <c r="A17" s="123" t="n"/>
      <c r="B17" s="100" t="n"/>
      <c r="C17" s="97" t="n"/>
      <c r="D17" s="99" t="n"/>
      <c r="E17" s="119" t="n"/>
    </row>
    <row r="18" ht="22" customHeight="1">
      <c r="A18" s="123" t="n"/>
      <c r="B18" s="100" t="n"/>
      <c r="C18" s="97" t="n"/>
      <c r="D18" s="99" t="n"/>
      <c r="E18" s="119" t="n"/>
    </row>
    <row r="19" ht="22" customHeight="1">
      <c r="A19" s="123" t="n"/>
      <c r="B19" s="100" t="n"/>
      <c r="C19" s="97" t="n"/>
      <c r="D19" s="99" t="n"/>
      <c r="E19" s="119" t="n"/>
    </row>
    <row r="20" ht="22" customHeight="1">
      <c r="A20" s="123" t="n"/>
      <c r="B20" s="100" t="n"/>
      <c r="C20" s="97" t="n"/>
      <c r="D20" s="99" t="n"/>
      <c r="E20" s="119" t="n"/>
    </row>
    <row r="21" ht="22" customHeight="1">
      <c r="A21" s="123" t="n"/>
      <c r="B21" s="100" t="n"/>
      <c r="C21" s="97" t="n"/>
      <c r="D21" s="99" t="n"/>
      <c r="E21" s="119" t="n"/>
    </row>
    <row r="22" ht="22" customHeight="1">
      <c r="A22" s="123" t="n"/>
      <c r="B22" s="100" t="n"/>
      <c r="C22" s="97" t="n"/>
      <c r="D22" s="99" t="n"/>
      <c r="E22" s="119" t="n"/>
    </row>
    <row r="23" ht="22" customHeight="1">
      <c r="A23" s="123" t="n"/>
      <c r="B23" s="100" t="n"/>
      <c r="C23" s="97" t="n"/>
      <c r="D23" s="99" t="n"/>
      <c r="E23" s="119" t="n"/>
    </row>
    <row r="24" ht="22" customHeight="1">
      <c r="A24" s="123" t="n"/>
      <c r="B24" s="100" t="n"/>
      <c r="C24" s="97" t="n"/>
      <c r="D24" s="99" t="n"/>
      <c r="E24" s="119" t="n"/>
    </row>
    <row r="25" ht="22" customHeight="1">
      <c r="A25" s="123" t="n"/>
      <c r="B25" s="100" t="n"/>
      <c r="C25" s="97" t="n"/>
      <c r="D25" s="99" t="n"/>
      <c r="E25" s="119" t="n"/>
    </row>
    <row r="26" ht="22" customHeight="1">
      <c r="A26" s="123" t="n"/>
      <c r="B26" s="100" t="n"/>
      <c r="C26" s="97" t="n"/>
      <c r="D26" s="99" t="n"/>
      <c r="E26" s="119" t="n"/>
    </row>
    <row r="27" ht="22" customHeight="1">
      <c r="A27" s="123" t="n"/>
      <c r="B27" s="100" t="n"/>
      <c r="C27" s="97" t="n"/>
      <c r="D27" s="99" t="n"/>
      <c r="E27" s="119" t="n"/>
    </row>
    <row r="28" ht="22" customHeight="1">
      <c r="A28" s="123" t="n"/>
      <c r="B28" s="100" t="n"/>
      <c r="C28" s="97" t="n"/>
      <c r="D28" s="99" t="n"/>
      <c r="E28" s="119" t="n"/>
    </row>
    <row r="29" ht="22" customHeight="1">
      <c r="A29" s="124" t="n"/>
      <c r="B29" s="109" t="n"/>
      <c r="C29" s="106" t="n"/>
      <c r="D29" s="108" t="n"/>
      <c r="E29" s="121" t="n"/>
    </row>
    <row r="30" ht="20" customHeight="1">
      <c r="A30" s="112" t="inlineStr">
        <is>
          <t xml:space="preserve"> </t>
        </is>
      </c>
    </row>
  </sheetData>
  <mergeCells count="6">
    <mergeCell ref="A30:E30"/>
    <mergeCell ref="D2:E2"/>
    <mergeCell ref="D1:E1"/>
    <mergeCell ref="C1"/>
    <mergeCell ref="C2"/>
    <mergeCell ref="A1:B2"/>
  </mergeCells>
  <dataValidations count="1">
    <dataValidation sqref="B5:B29" showDropDown="0" showInputMessage="0" showErrorMessage="1" allowBlank="1" errorTitle="Data inválida" error="Digite uma data válida (dd/mm/aaaa)." type="date" errorStyle="stop" operator="between">
      <formula1>DATE(2000,1,1)</formula1>
      <formula2>DATE(2100,12,31)</formula2>
    </dataValidation>
  </dataValidations>
  <printOptions horizontalCentered="1"/>
  <pageMargins left="0.4" right="0.4" top="0.45" bottom="0.6" header="0.2" footer="0.25"/>
  <pageSetup orientation="landscape" paperSize="9" fitToHeight="1" fitToWidth="1"/>
  <headerFooter>
    <oddHeader/>
    <oddFooter>&amp;L&amp;7 &amp;K4A5668PCM-MAN-004  ·  Manutenção planejada. Direto ao ponto.&amp;C&amp;7 &amp;K4A5668Página &amp;P de &amp;N&amp;R&amp;7 &amp;K4A5668PCM Direto  ·  Impresso em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2026-11-01T04:00:12Z</dcterms:created>
  <dcterms:modified xmlns:dcterms="http://purl.org/dc/terms/" xmlns:xsi="http://www.w3.org/2001/XMLSchema-instance" xsi:type="dcterms:W3CDTF">2026-11-01T04:00:12Z</dcterms:modified>
</cp:coreProperties>
</file>