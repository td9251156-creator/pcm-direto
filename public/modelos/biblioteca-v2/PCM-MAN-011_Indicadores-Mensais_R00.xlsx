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Cadastros" sheetId="3" state="visible" r:id="rId3"/>
    <sheet xmlns:r="http://schemas.openxmlformats.org/officeDocument/2006/relationships" name="Revisões" sheetId="4" state="visible" r:id="rId4"/>
  </sheets>
  <definedNames>
    <definedName name="L_PESSOAS">tb_pcm_pessoas[nome_pessoa]</definedName>
    <definedName name="_xlnm.Print_Area" localSheetId="0">'Leia-me'!$A$1:$G$32</definedName>
    <definedName name="_xlnm.Print_Area" localSheetId="1">'Indicadores'!$A$1:$O$39</definedName>
    <definedName name="_xlnm.Print_Titles" localSheetId="2">'Cadastros'!$1:$3</definedName>
    <definedName name="_xlnm.Print_Area" localSheetId="2">'Cadastros'!$A$1:$C$30</definedName>
    <definedName name="_xlnm.Print_Titles" localSheetId="3">'Revisões'!$1:$3</definedName>
    <definedName name="_xlnm.Print_Area" localSheetId="3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yyyy"/>
    <numFmt numFmtId="165" formatCode="mmm/yy"/>
    <numFmt numFmtId="166" formatCode="#,##0.#"/>
    <numFmt numFmtId="167" formatCode="0.0%"/>
    <numFmt numFmtId="168" formatCode="dd/mm/yyyy"/>
  </numFmts>
  <fonts count="23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FFFFFF"/>
      <sz val="8"/>
    </font>
    <font>
      <name val="Arial"/>
      <b val="1"/>
      <color rgb="000E1726"/>
      <sz val="9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"/>
      <color rgb="000E1726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51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 style="thin">
        <color rgb="00D3DEEC"/>
      </left>
      <top style="thin">
        <color rgb="000B2A5B"/>
      </top>
      <bottom style="thin">
        <color rgb="00D3DEEC"/>
      </bottom>
    </border>
    <border>
      <top style="thin">
        <color rgb="000B2A5B"/>
      </top>
      <bottom style="thin">
        <color rgb="00D3DEEC"/>
      </bottom>
    </border>
    <border>
      <right style="thin">
        <color rgb="00D3DEEC"/>
      </right>
      <top style="thin">
        <color rgb="000B2A5B"/>
      </top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2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right" vertical="center"/>
    </xf>
    <xf numFmtId="0" fontId="0" fillId="0" borderId="41" pivotButton="0" quotePrefix="0" xfId="0"/>
    <xf numFmtId="0" fontId="13" fillId="0" borderId="41" applyAlignment="1" pivotButton="0" quotePrefix="0" xfId="0">
      <alignment horizontal="center" vertical="top"/>
    </xf>
    <xf numFmtId="0" fontId="13" fillId="0" borderId="41" applyAlignment="1" pivotButton="0" quotePrefix="0" xfId="0">
      <alignment horizontal="right" vertical="top"/>
    </xf>
    <xf numFmtId="0" fontId="15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5" borderId="42" applyAlignment="1" pivotButton="0" quotePrefix="0" xfId="0">
      <alignment vertical="center" indent="1"/>
    </xf>
    <xf numFmtId="0" fontId="0" fillId="5" borderId="44" pivotButton="0" quotePrefix="0" xfId="0"/>
    <xf numFmtId="0" fontId="0" fillId="5" borderId="46" applyAlignment="1" pivotButton="0" quotePrefix="0" xfId="0">
      <alignment vertical="center" indent="1"/>
    </xf>
    <xf numFmtId="0" fontId="16" fillId="5" borderId="43" applyAlignment="1" pivotButton="0" quotePrefix="0" xfId="0">
      <alignment vertical="top" wrapText="1" indent="1"/>
    </xf>
    <xf numFmtId="0" fontId="0" fillId="5" borderId="45" pivotButton="0" quotePrefix="0" xfId="0"/>
    <xf numFmtId="0" fontId="16" fillId="5" borderId="47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10" fillId="5" borderId="48" applyAlignment="1" pivotButton="0" quotePrefix="0" xfId="0">
      <alignment vertical="center" indent="1"/>
    </xf>
    <xf numFmtId="0" fontId="0" fillId="5" borderId="48" pivotButton="0" quotePrefix="0" xfId="0"/>
    <xf numFmtId="49" fontId="4" fillId="2" borderId="48" applyAlignment="1" pivotButton="0" quotePrefix="0" xfId="0">
      <alignment horizontal="left" vertical="center" wrapText="1" indent="1"/>
    </xf>
    <xf numFmtId="0" fontId="0" fillId="2" borderId="10" pivotButton="0" quotePrefix="0" xfId="0"/>
    <xf numFmtId="0" fontId="17" fillId="2" borderId="11" applyAlignment="1" pivotButton="0" quotePrefix="0" xfId="0">
      <alignment vertical="center" indent="1"/>
    </xf>
    <xf numFmtId="0" fontId="0" fillId="2" borderId="48" pivotButton="0" quotePrefix="0" xfId="0"/>
    <xf numFmtId="0" fontId="18" fillId="2" borderId="11" applyAlignment="1" pivotButton="0" quotePrefix="0" xfId="0">
      <alignment vertical="center" indent="1"/>
    </xf>
    <xf numFmtId="49" fontId="4" fillId="4" borderId="48" applyAlignment="1" pivotButton="0" quotePrefix="0" xfId="0">
      <alignment horizontal="left" vertical="center" wrapText="1" indent="1"/>
    </xf>
    <xf numFmtId="0" fontId="0" fillId="4" borderId="10" pivotButton="0" quotePrefix="0" xfId="0"/>
    <xf numFmtId="0" fontId="15" fillId="6" borderId="49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 wrapText="1" indent="1"/>
    </xf>
    <xf numFmtId="0" fontId="11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10" fillId="0" borderId="5" applyAlignment="1" pivotButton="0" quotePrefix="0" xfId="0">
      <alignment vertical="center" wrapText="1" indent="1"/>
    </xf>
    <xf numFmtId="0" fontId="10" fillId="0" borderId="5" applyAlignment="1" pivotButton="0" quotePrefix="0" xfId="0">
      <alignment vertical="center" indent="1"/>
    </xf>
    <xf numFmtId="0" fontId="10" fillId="2" borderId="48" applyAlignment="1" pivotButton="0" quotePrefix="0" xfId="0">
      <alignment vertical="center" indent="1"/>
    </xf>
    <xf numFmtId="0" fontId="10" fillId="4" borderId="48" applyAlignment="1" pivotButton="0" quotePrefix="0" xfId="0">
      <alignment vertical="center" indent="1"/>
    </xf>
    <xf numFmtId="0" fontId="0" fillId="4" borderId="48" pivotButton="0" quotePrefix="0" xfId="0"/>
    <xf numFmtId="0" fontId="0" fillId="7" borderId="50" pivotButton="0" quotePrefix="0" xfId="0"/>
    <xf numFmtId="0" fontId="20" fillId="7" borderId="50" applyAlignment="1" pivotButton="0" quotePrefix="0" xfId="0">
      <alignment vertical="bottom" indent="1"/>
    </xf>
    <xf numFmtId="0" fontId="21" fillId="7" borderId="50" applyAlignment="1" pivotButton="0" quotePrefix="0" xfId="0">
      <alignment horizontal="right" vertical="bottom" indent="1"/>
    </xf>
    <xf numFmtId="0" fontId="0" fillId="7" borderId="0" pivotButton="0" quotePrefix="0" xfId="0"/>
    <xf numFmtId="0" fontId="22" fillId="7" borderId="0" applyAlignment="1" pivotButton="0" quotePrefix="0" xfId="0">
      <alignment vertical="top" wrapText="1" indent="1"/>
    </xf>
    <xf numFmtId="0" fontId="0" fillId="2" borderId="22" pivotButton="0" quotePrefix="0" xfId="0"/>
    <xf numFmtId="0" fontId="0" fillId="2" borderId="23" pivotButton="0" quotePrefix="0" xfId="0"/>
    <xf numFmtId="0" fontId="0" fillId="2" borderId="24" pivotButton="0" quotePrefix="0" xfId="0"/>
    <xf numFmtId="0" fontId="5" fillId="2" borderId="22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 shrinkToFit="1"/>
    </xf>
    <xf numFmtId="0" fontId="0" fillId="2" borderId="25" pivotButton="0" quotePrefix="0" xfId="0"/>
    <xf numFmtId="0" fontId="0" fillId="2" borderId="26" pivotButton="0" quotePrefix="0" xfId="0"/>
    <xf numFmtId="0" fontId="0" fillId="2" borderId="27" pivotButton="0" quotePrefix="0" xfId="0"/>
    <xf numFmtId="0" fontId="6" fillId="2" borderId="2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bottom" indent="1"/>
    </xf>
    <xf numFmtId="0" fontId="0" fillId="0" borderId="28" pivotButton="0" quotePrefix="0" xfId="0"/>
    <xf numFmtId="0" fontId="1" fillId="2" borderId="2" applyAlignment="1" pivotButton="0" quotePrefix="0" xfId="0">
      <alignment horizontal="left" vertical="bottom" indent="1"/>
    </xf>
    <xf numFmtId="0" fontId="0" fillId="2" borderId="2" pivotButton="0" quotePrefix="0" xfId="0"/>
    <xf numFmtId="0" fontId="1" fillId="2" borderId="3" applyAlignment="1" pivotButton="0" quotePrefix="0" xfId="0">
      <alignment horizontal="left" vertical="bottom" indent="1"/>
    </xf>
    <xf numFmtId="0" fontId="0" fillId="0" borderId="29" pivotButton="0" quotePrefix="0" xfId="0"/>
    <xf numFmtId="0" fontId="2" fillId="2" borderId="9" applyAlignment="1" pivotButton="0" quotePrefix="0" xfId="0">
      <alignment horizontal="left" vertical="center" wrapText="1" indent="1"/>
    </xf>
    <xf numFmtId="0" fontId="0" fillId="2" borderId="11" pivotButton="0" quotePrefix="0" xfId="0"/>
    <xf numFmtId="164" fontId="2" fillId="2" borderId="9" applyAlignment="1" pivotButton="0" quotePrefix="0" xfId="0">
      <alignment horizontal="center" vertical="center" wrapText="1"/>
    </xf>
    <xf numFmtId="9" fontId="2" fillId="2" borderId="9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0" pivotButton="0" quotePrefix="0" xfId="0"/>
    <xf numFmtId="0" fontId="0" fillId="3" borderId="18" applyAlignment="1" pivotButton="0" quotePrefix="0" xfId="0">
      <alignment horizontal="left" vertical="center" indent="1"/>
    </xf>
    <xf numFmtId="0" fontId="0" fillId="3" borderId="28" pivotButton="0" quotePrefix="0" xfId="0"/>
    <xf numFmtId="0" fontId="0" fillId="3" borderId="29" pivotButton="0" quotePrefix="0" xfId="0"/>
    <xf numFmtId="0" fontId="3" fillId="3" borderId="15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165" fontId="4" fillId="2" borderId="4" applyAlignment="1" pivotButton="0" quotePrefix="0" xfId="0">
      <alignment horizontal="center" vertical="center" wrapText="1"/>
    </xf>
    <xf numFmtId="166" fontId="4" fillId="2" borderId="5" applyAlignment="1" pivotButton="0" quotePrefix="0" xfId="0">
      <alignment horizontal="center" vertical="center" wrapText="1"/>
    </xf>
    <xf numFmtId="1" fontId="4" fillId="2" borderId="5" applyAlignment="1" pivotButton="0" quotePrefix="0" xfId="0">
      <alignment horizontal="center" vertical="center" wrapText="1"/>
    </xf>
    <xf numFmtId="166" fontId="4" fillId="2" borderId="6" applyAlignment="1" pivotButton="0" quotePrefix="0" xfId="0">
      <alignment horizontal="center" vertical="center" wrapText="1"/>
    </xf>
    <xf numFmtId="166" fontId="4" fillId="4" borderId="4" applyAlignment="1" pivotButton="0" quotePrefix="0" xfId="0">
      <alignment horizontal="center" vertical="center" wrapText="1"/>
    </xf>
    <xf numFmtId="166" fontId="4" fillId="4" borderId="5" applyAlignment="1" pivotButton="0" quotePrefix="0" xfId="0">
      <alignment horizontal="center" vertical="center" wrapText="1"/>
    </xf>
    <xf numFmtId="167" fontId="4" fillId="4" borderId="5" applyAlignment="1" pivotButton="0" quotePrefix="0" xfId="0">
      <alignment horizontal="center" vertical="center" wrapText="1"/>
    </xf>
    <xf numFmtId="9" fontId="4" fillId="4" borderId="5" applyAlignment="1" pivotButton="0" quotePrefix="0" xfId="0">
      <alignment horizontal="center" vertical="center" wrapText="1"/>
    </xf>
    <xf numFmtId="9" fontId="4" fillId="4" borderId="6" applyAlignment="1" pivotButton="0" quotePrefix="0" xfId="0">
      <alignment horizontal="center" vertical="center" wrapText="1"/>
    </xf>
    <xf numFmtId="165" fontId="4" fillId="2" borderId="15" applyAlignment="1" pivotButton="0" quotePrefix="0" xfId="0">
      <alignment horizontal="center" vertical="center" wrapText="1"/>
    </xf>
    <xf numFmtId="166" fontId="4" fillId="2" borderId="16" applyAlignment="1" pivotButton="0" quotePrefix="0" xfId="0">
      <alignment horizontal="center" vertical="center" wrapText="1"/>
    </xf>
    <xf numFmtId="1" fontId="4" fillId="2" borderId="16" applyAlignment="1" pivotButton="0" quotePrefix="0" xfId="0">
      <alignment horizontal="center" vertical="center" wrapText="1"/>
    </xf>
    <xf numFmtId="166" fontId="4" fillId="2" borderId="17" applyAlignment="1" pivotButton="0" quotePrefix="0" xfId="0">
      <alignment horizontal="center" vertical="center" wrapText="1"/>
    </xf>
    <xf numFmtId="166" fontId="4" fillId="4" borderId="15" applyAlignment="1" pivotButton="0" quotePrefix="0" xfId="0">
      <alignment horizontal="center" vertical="center" wrapText="1"/>
    </xf>
    <xf numFmtId="166" fontId="4" fillId="4" borderId="16" applyAlignment="1" pivotButton="0" quotePrefix="0" xfId="0">
      <alignment horizontal="center" vertical="center" wrapText="1"/>
    </xf>
    <xf numFmtId="167" fontId="4" fillId="4" borderId="16" applyAlignment="1" pivotButton="0" quotePrefix="0" xfId="0">
      <alignment horizontal="center" vertical="center" wrapText="1"/>
    </xf>
    <xf numFmtId="9" fontId="4" fillId="4" borderId="16" applyAlignment="1" pivotButton="0" quotePrefix="0" xfId="0">
      <alignment horizontal="center" vertical="center" wrapText="1"/>
    </xf>
    <xf numFmtId="9" fontId="4" fillId="4" borderId="17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center" vertical="center" wrapText="1"/>
    </xf>
    <xf numFmtId="166" fontId="4" fillId="4" borderId="20" applyAlignment="1" pivotButton="0" quotePrefix="0" xfId="0">
      <alignment horizontal="center" vertical="center" wrapText="1"/>
    </xf>
    <xf numFmtId="166" fontId="4" fillId="4" borderId="21" applyAlignment="1" pivotButton="0" quotePrefix="0" xfId="0">
      <alignment horizontal="center" vertical="center" wrapText="1"/>
    </xf>
    <xf numFmtId="166" fontId="4" fillId="4" borderId="19" applyAlignment="1" pivotButton="0" quotePrefix="0" xfId="0">
      <alignment horizontal="center" vertical="center" wrapText="1"/>
    </xf>
    <xf numFmtId="167" fontId="4" fillId="4" borderId="20" applyAlignment="1" pivotButton="0" quotePrefix="0" xfId="0">
      <alignment horizontal="center" vertical="center" wrapText="1"/>
    </xf>
    <xf numFmtId="9" fontId="4" fillId="4" borderId="20" applyAlignment="1" pivotButton="0" quotePrefix="0" xfId="0">
      <alignment horizontal="center" vertical="center" wrapText="1"/>
    </xf>
    <xf numFmtId="9" fontId="4" fillId="4" borderId="21" applyAlignment="1" pivotButton="0" quotePrefix="0" xfId="0">
      <alignment horizontal="center" vertical="center" wrapText="1"/>
    </xf>
    <xf numFmtId="0" fontId="0" fillId="2" borderId="15" pivotButton="0" quotePrefix="0" xfId="0"/>
    <xf numFmtId="0" fontId="0" fillId="2" borderId="16" pivotButton="0" quotePrefix="0" xfId="0"/>
    <xf numFmtId="0" fontId="0" fillId="2" borderId="17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0" borderId="0" applyAlignment="1" pivotButton="0" quotePrefix="0" xfId="0">
      <alignment horizontal="left" vertical="center" indent="1"/>
    </xf>
    <xf numFmtId="0" fontId="0" fillId="2" borderId="32" pivotButton="0" quotePrefix="0" xfId="0"/>
    <xf numFmtId="0" fontId="5" fillId="2" borderId="32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 shrinkToFit="1"/>
    </xf>
    <xf numFmtId="0" fontId="0" fillId="2" borderId="31" pivotButton="0" quotePrefix="0" xfId="0"/>
    <xf numFmtId="0" fontId="6" fillId="2" borderId="31" applyAlignment="1" pivotButton="0" quotePrefix="0" xfId="0">
      <alignment horizontal="center" vertical="center" wrapText="1"/>
    </xf>
    <xf numFmtId="0" fontId="8" fillId="3" borderId="3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30" applyAlignment="1" pivotButton="0" quotePrefix="0" xfId="0">
      <alignment horizontal="left" vertical="center" indent="1"/>
    </xf>
    <xf numFmtId="0" fontId="10" fillId="2" borderId="3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8" fillId="3" borderId="33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34" applyAlignment="1" pivotButton="0" quotePrefix="0" xfId="0">
      <alignment horizontal="center" vertical="center" wrapText="1"/>
    </xf>
    <xf numFmtId="49" fontId="10" fillId="2" borderId="35" applyAlignment="1" pivotButton="0" quotePrefix="0" xfId="0">
      <alignment horizontal="center" vertical="center"/>
    </xf>
    <xf numFmtId="168" fontId="11" fillId="2" borderId="36" applyAlignment="1" pivotButton="0" quotePrefix="0" xfId="0">
      <alignment horizontal="center" vertical="center"/>
    </xf>
    <xf numFmtId="0" fontId="11" fillId="2" borderId="36" applyAlignment="1" pivotButton="0" quotePrefix="0" xfId="0">
      <alignment horizontal="left" vertical="center" wrapText="1" indent="1"/>
    </xf>
    <xf numFmtId="0" fontId="11" fillId="2" borderId="36" applyAlignment="1" pivotButton="0" quotePrefix="0" xfId="0">
      <alignment horizontal="left" vertical="center" indent="1"/>
    </xf>
    <xf numFmtId="0" fontId="11" fillId="2" borderId="37" applyAlignment="1" pivotButton="0" quotePrefix="0" xfId="0">
      <alignment horizontal="left" vertical="center" indent="1"/>
    </xf>
    <xf numFmtId="49" fontId="10" fillId="2" borderId="38" applyAlignment="1" pivotButton="0" quotePrefix="0" xfId="0">
      <alignment horizontal="center" vertical="center"/>
    </xf>
    <xf numFmtId="168" fontId="11" fillId="2" borderId="39" applyAlignment="1" pivotButton="0" quotePrefix="0" xfId="0">
      <alignment horizontal="center" vertical="center"/>
    </xf>
    <xf numFmtId="0" fontId="11" fillId="2" borderId="39" applyAlignment="1" pivotButton="0" quotePrefix="0" xfId="0">
      <alignment horizontal="left" vertical="center" wrapText="1" indent="1"/>
    </xf>
    <xf numFmtId="0" fontId="11" fillId="2" borderId="39" applyAlignment="1" pivotButton="0" quotePrefix="0" xfId="0">
      <alignment horizontal="left" vertical="center" indent="1"/>
    </xf>
    <xf numFmtId="0" fontId="11" fillId="2" borderId="4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MTBF (h)</v>
          </tx>
          <spPr>
            <a:solidFill xmlns:a="http://schemas.openxmlformats.org/drawingml/2006/main">
              <a:srgbClr val="1F5AA6"/>
            </a:solidFill>
            <a:ln xmlns:a="http://schemas.openxmlformats.org/drawingml/2006/main">
              <a:solidFill>
                <a:srgbClr val="1F5AA6"/>
              </a:solidFill>
              <a:prstDash val="solid"/>
            </a:ln>
          </spPr>
          <cat>
            <numRef>
              <f>'Indicadores'!$A$8:$A$19</f>
            </numRef>
          </cat>
          <val>
            <numRef>
              <f>'Indicadores'!$Q$8:$Q$19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v>MTTR (h)</v>
          </tx>
          <spPr>
            <a:ln xmlns:a="http://schemas.openxmlformats.org/drawingml/2006/main" w="28000">
              <a:solidFill>
                <a:srgbClr val="0B2A5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B2A5B"/>
              </a:solidFill>
              <a:ln xmlns:a="http://schemas.openxmlformats.org/drawingml/2006/main">
                <a:solidFill>
                  <a:srgbClr val="0B2A5B"/>
                </a:solidFill>
                <a:prstDash val="solid"/>
              </a:ln>
            </spPr>
          </marker>
          <val>
            <numRef>
              <f>'Indicadores'!$R$8:$R$19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TickMark val="none"/>
        <minorTickMark val="none"/>
        <crossAx val="10"/>
        <crosses val="max"/>
      </valAx>
    </plotArea>
    <legend>
      <legendPos val="b"/>
    </legend>
    <plotVisOnly val="0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Disponibilidade</v>
          </tx>
          <spPr>
            <a:ln xmlns:a="http://schemas.openxmlformats.org/drawingml/2006/main" w="28000">
              <a:solidFill>
                <a:srgbClr val="1F5AA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5AA6"/>
              </a:solidFill>
              <a:ln xmlns:a="http://schemas.openxmlformats.org/drawingml/2006/main">
                <a:solidFill>
                  <a:srgbClr val="1F5AA6"/>
                </a:solidFill>
                <a:prstDash val="solid"/>
              </a:ln>
            </spPr>
          </marker>
          <cat>
            <numRef>
              <f>'Indicadores'!$A$8:$A$19</f>
            </numRef>
          </cat>
          <val>
            <numRef>
              <f>'Indicadores'!$S$8:$S$19</f>
            </numRef>
          </val>
          <smooth val="0"/>
        </ser>
        <ser>
          <idx val="1"/>
          <order val="1"/>
          <tx>
            <v>Cumprimento da PM</v>
          </tx>
          <spPr>
            <a:ln xmlns:a="http://schemas.openxmlformats.org/drawingml/2006/main" w="28000">
              <a:solidFill>
                <a:srgbClr val="E8A2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8A200"/>
              </a:solidFill>
              <a:ln xmlns:a="http://schemas.openxmlformats.org/drawingml/2006/main">
                <a:solidFill>
                  <a:srgbClr val="E8A200"/>
                </a:solidFill>
                <a:prstDash val="solid"/>
              </a:ln>
            </spPr>
          </marker>
          <cat>
            <numRef>
              <f>'Indicadores'!$A$8:$A$19</f>
            </numRef>
          </cat>
          <val>
            <numRef>
              <f>'Indicadores'!$T$8:$T$19</f>
            </numRef>
          </val>
          <smooth val="0"/>
        </ser>
        <ser>
          <idx val="2"/>
          <order val="2"/>
          <tx>
            <v>% corretiva</v>
          </tx>
          <spPr>
            <a:ln xmlns:a="http://schemas.openxmlformats.org/drawingml/2006/main" w="28000">
              <a:solidFill>
                <a:srgbClr val="D9302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93025"/>
              </a:solidFill>
              <a:ln xmlns:a="http://schemas.openxmlformats.org/drawingml/2006/main">
                <a:solidFill>
                  <a:srgbClr val="D93025"/>
                </a:solidFill>
                <a:prstDash val="solid"/>
              </a:ln>
            </spPr>
          </marker>
          <cat>
            <numRef>
              <f>'Indicadores'!$A$8:$A$19</f>
            </numRef>
          </cat>
          <val>
            <numRef>
              <f>'Indicadores'!$U$8:$U$19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Responsável.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3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4528000" cy="334596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175619" cy="3345968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76200</colOff>
      <row>0</row>
      <rowOff>95250</rowOff>
    </from>
    <ext cx="192405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266700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pessoas" displayName="tb_pcm_pessoas" ref="A4:A29" headerRowCount="1">
  <autoFilter ref="A4:A29"/>
  <tableColumns count="1">
    <tableColumn id="1" name="nome_pessoa"/>
  </tableColumns>
  <tableStyleInfo name="TableStyleLight1" showRowStripes="0"/>
</table>
</file>

<file path=xl/tables/table2.xml><?xml version="1.0" encoding="utf-8"?>
<table xmlns="http://schemas.openxmlformats.org/spreadsheetml/2006/main" id="2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F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PCM-MAN-011  ·  Indicadores mensais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Topo.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Indicadores mensais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Acompanhar mês a mês MTBF, MTTR, disponibilidade, cumprimento da preventiva e % de corretiva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PCM-MAN-011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22" customHeight="1">
      <c r="B19" s="26" t="n">
        <v>1</v>
      </c>
      <c r="C19" s="27" t="inlineStr">
        <is>
          <t>Cadastros</t>
        </is>
      </c>
      <c r="D19" s="28" t="inlineStr">
        <is>
          <t>Cadastre uma vez as pessoas. Eles aparecem nas setas ▼ das outras abas.</t>
        </is>
      </c>
      <c r="E19" s="29" t="n"/>
      <c r="F19" s="29" t="n"/>
    </row>
    <row r="20" ht="34" customHeight="1">
      <c r="B20" s="26" t="n">
        <v>2</v>
      </c>
      <c r="C20" s="30" t="inlineStr">
        <is>
          <t>Topo</t>
        </is>
      </c>
      <c r="D20" s="28" t="inlineStr">
        <is>
          <t>Informe o ativo, o primeiro mês e as metas de disponibilidade, de cumprimento da PM e de corretiva.</t>
        </is>
      </c>
      <c r="E20" s="29" t="n"/>
      <c r="F20" s="29" t="n"/>
    </row>
    <row r="21" ht="70" customHeight="1">
      <c r="B21" s="26" t="n">
        <v>3</v>
      </c>
      <c r="C21" s="30" t="inlineStr">
        <is>
          <t>Dados do mês</t>
        </is>
      </c>
      <c r="D21" s="28" t="inlineStr">
        <is>
          <t>A cada mês: horas programadas (do calendário de turnos) e horas de operação = programadas − horas paradas por falha. Falhas e horas de reparo vêm do Registro de falhas (008). Sem falha no mês, digite 0; sem horas programadas, deixe em branco. Falha ainda aberta: conte até o fim do mês e corrija depois. Falha que passa para o mês seguinte: reparo todo no mês em que começou; as horas paradas, divididas por mês.</t>
        </is>
      </c>
      <c r="E21" s="29" t="n"/>
      <c r="F21" s="29" t="n"/>
    </row>
    <row r="22" ht="46" customHeight="1">
      <c r="B22" s="26" t="n">
        <v>4</v>
      </c>
      <c r="C22" s="30" t="inlineStr">
        <is>
          <t>Resultado</t>
        </is>
      </c>
      <c r="D22" s="28" t="inlineStr">
        <is>
          <t>MTBF = operação ÷ falhas; MTTR = reparo ÷ falhas; disponibilidade = operação ÷ programadas. Sem o divisor (0 falhas ou sem horas) o resultado fica em branco = sem dado, nunca zero. Verde na meta, vermelho fora; os gráficos mostram a evolução.</t>
        </is>
      </c>
      <c r="E22" s="29" t="n"/>
      <c r="F22" s="29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1" t="inlineStr">
        <is>
          <t>▼  Lista</t>
        </is>
      </c>
      <c r="C25" s="29" t="n"/>
      <c r="D25" s="28" t="inlineStr">
        <is>
          <t>Clique na célula e escolha na seta. Valor fora da lista é recusado.</t>
        </is>
      </c>
      <c r="E25" s="29" t="n"/>
      <c r="F25" s="29" t="n"/>
    </row>
    <row r="26" ht="21" customHeight="1">
      <c r="B26" s="32" t="inlineStr">
        <is>
          <t>Célula branca</t>
        </is>
      </c>
      <c r="C26" s="22" t="n"/>
      <c r="D26" s="28" t="inlineStr">
        <is>
          <t>Campo para digitar.</t>
        </is>
      </c>
      <c r="E26" s="29" t="n"/>
      <c r="F26" s="29" t="n"/>
    </row>
    <row r="27" ht="21" customHeight="1">
      <c r="B27" s="33" t="inlineStr">
        <is>
          <t>Célula cinza</t>
        </is>
      </c>
      <c r="C27" s="34" t="n"/>
      <c r="D27" s="28" t="inlineStr">
        <is>
          <t>Cálculo automático. Não digite: a fórmula preenche sozinha.</t>
        </is>
      </c>
      <c r="E27" s="29" t="n"/>
      <c r="F27" s="29" t="n"/>
    </row>
    <row r="28" ht="21" customHeight="1">
      <c r="B28" s="31" t="inlineStr">
        <is>
          <t>Datas e números</t>
        </is>
      </c>
      <c r="C28" s="29" t="n"/>
      <c r="D28" s="28" t="inlineStr">
        <is>
          <t>Datas em dd/mm/aaaa; decimais com vírgula. Vazio = sem informação; zero é valor real.</t>
        </is>
      </c>
      <c r="E28" s="29" t="n"/>
      <c r="F28" s="29" t="n"/>
    </row>
    <row r="29" ht="21" customHeight="1">
      <c r="B29" s="31" t="inlineStr">
        <is>
          <t>Impressão</t>
        </is>
      </c>
      <c r="C29" s="29" t="n"/>
      <c r="D29" s="28" t="inlineStr">
        <is>
          <t>Cada aba já está ajustada para uma folha A4. Use Arquivo &gt; Imprimir sem mudar a escala.</t>
        </is>
      </c>
      <c r="E29" s="29" t="n"/>
      <c r="F29" s="29" t="n"/>
    </row>
    <row r="30" ht="12" customHeight="1"/>
    <row r="31" ht="22" customHeight="1">
      <c r="B31" s="35" t="n"/>
      <c r="C31" s="35" t="n"/>
      <c r="D31" s="36" t="inlineStr">
        <is>
          <t>SOBRE O PCM DIRETO</t>
        </is>
      </c>
      <c r="E31" s="35" t="n"/>
      <c r="F31" s="37" t="inlineStr">
        <is>
          <t>pcmdireto.me</t>
        </is>
      </c>
    </row>
    <row r="32" ht="34" customHeight="1">
      <c r="B32" s="38" t="n"/>
      <c r="C32" s="38" t="n"/>
      <c r="D32" s="39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38" t="n"/>
      <c r="F32" s="38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U39"/>
  <sheetViews>
    <sheetView showGridLines="0" tabSelected="0" zoomScale="9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" customWidth="1" min="10" max="10"/>
    <col width="9" customWidth="1" min="11" max="11"/>
    <col width="9" customWidth="1" min="12" max="12"/>
    <col width="11" customWidth="1" min="13" max="13"/>
    <col width="11" customWidth="1" min="14" max="14"/>
    <col width="11" customWidth="1" min="15" max="15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.75" customHeight="1">
      <c r="A1" s="40" t="n"/>
      <c r="B1" s="41" t="n"/>
      <c r="C1" s="42" t="n"/>
      <c r="D1" s="43">
        <f>'Leia-me'!$D$10</f>
        <v/>
      </c>
      <c r="E1" s="41" t="n"/>
      <c r="F1" s="41" t="n"/>
      <c r="G1" s="41" t="n"/>
      <c r="H1" s="41" t="n"/>
      <c r="I1" s="41" t="n"/>
      <c r="J1" s="41" t="n"/>
      <c r="K1" s="42" t="n"/>
      <c r="L1" s="44">
        <f>"Rev. "&amp;'Leia-me'!$D$15&amp;"   ·   "&amp;'Leia-me'!$D$16</f>
        <v/>
      </c>
      <c r="M1" s="41" t="n"/>
      <c r="N1" s="41" t="n"/>
      <c r="O1" s="42" t="n"/>
    </row>
    <row r="2" ht="31" customHeight="1">
      <c r="A2" s="45" t="n"/>
      <c r="B2" s="46" t="n"/>
      <c r="C2" s="47" t="n"/>
      <c r="D2" s="48">
        <f>"Objetivo: "&amp;'Leia-me'!$D$11</f>
        <v/>
      </c>
      <c r="E2" s="46" t="n"/>
      <c r="F2" s="46" t="n"/>
      <c r="G2" s="46" t="n"/>
      <c r="H2" s="46" t="n"/>
      <c r="I2" s="46" t="n"/>
      <c r="J2" s="46" t="n"/>
      <c r="K2" s="47" t="n"/>
      <c r="L2" s="48">
        <f>"Elaborado: "&amp;'Leia-me'!$D$13&amp;"   ·   Aprovado: "&amp;'Leia-me'!$D$14</f>
        <v/>
      </c>
      <c r="M2" s="46" t="n"/>
      <c r="N2" s="46" t="n"/>
      <c r="O2" s="47" t="n"/>
    </row>
    <row r="3" ht="12" customHeight="1">
      <c r="A3" s="49" t="inlineStr">
        <is>
          <t>Ativo, linha ou planta</t>
        </is>
      </c>
      <c r="B3" s="50" t="n"/>
      <c r="C3" s="50" t="n"/>
      <c r="D3" s="51" t="inlineStr">
        <is>
          <t>Primeiro mês</t>
        </is>
      </c>
      <c r="E3" s="50" t="n"/>
      <c r="F3" s="51" t="inlineStr">
        <is>
          <t>Meta de disponibilidade</t>
        </is>
      </c>
      <c r="G3" s="50" t="n"/>
      <c r="H3" s="51" t="inlineStr">
        <is>
          <t>Meta de cumprimento da PM</t>
        </is>
      </c>
      <c r="I3" s="50" t="n"/>
      <c r="J3" s="52" t="n"/>
      <c r="K3" s="51" t="inlineStr">
        <is>
          <t>Meta de corretiva (até)</t>
        </is>
      </c>
      <c r="L3" s="50" t="n"/>
      <c r="M3" s="53" t="inlineStr">
        <is>
          <t>Responsável ▼</t>
        </is>
      </c>
      <c r="N3" s="50" t="n"/>
      <c r="O3" s="54" t="n"/>
    </row>
    <row r="4" ht="24" customHeight="1">
      <c r="A4" s="55" t="n"/>
      <c r="B4" s="20" t="n"/>
      <c r="C4" s="56" t="n"/>
      <c r="D4" s="57" t="n"/>
      <c r="E4" s="56" t="n"/>
      <c r="F4" s="58" t="n"/>
      <c r="G4" s="56" t="n"/>
      <c r="H4" s="58" t="n"/>
      <c r="I4" s="56" t="n"/>
      <c r="J4" s="59" t="n"/>
      <c r="K4" s="58" t="n"/>
      <c r="L4" s="56" t="n"/>
      <c r="M4" s="55" t="n"/>
      <c r="N4" s="20" t="n"/>
      <c r="O4" s="56" t="n"/>
    </row>
    <row r="5" ht="8" customHeight="1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  <c r="L5" s="60" t="n"/>
      <c r="M5" s="60" t="n"/>
      <c r="N5" s="60" t="n"/>
      <c r="O5" s="60" t="n"/>
    </row>
    <row r="6" ht="22" customHeight="1">
      <c r="A6" s="61" t="inlineStr">
        <is>
          <r>
            <rPr>
              <rFont val="Arial"/>
              <b val="1"/>
              <color rgb="00FFFFFF"/>
              <sz val="10"/>
            </rPr>
            <t>Dados do mês</t>
          </r>
          <r>
            <rPr>
              <rFont val="Arial"/>
              <color rgb="00D3DEEC"/>
              <sz val="8"/>
            </rPr>
            <t xml:space="preserve">   digite só estes números</t>
          </r>
        </is>
      </c>
      <c r="B6" s="62" t="n"/>
      <c r="C6" s="62" t="n"/>
      <c r="D6" s="62" t="n"/>
      <c r="E6" s="62" t="n"/>
      <c r="F6" s="62" t="n"/>
      <c r="G6" s="62" t="n"/>
      <c r="H6" s="62" t="n"/>
      <c r="I6" s="63" t="n"/>
      <c r="J6" s="60" t="n"/>
      <c r="K6" s="61" t="inlineStr">
        <is>
          <r>
            <rPr>
              <rFont val="Arial"/>
              <b val="1"/>
              <color rgb="00FFFFFF"/>
              <sz val="10"/>
            </rPr>
            <t>Resultado</t>
          </r>
          <r>
            <rPr>
              <rFont val="Arial"/>
              <color rgb="00D3DEEC"/>
              <sz val="8"/>
            </rPr>
            <t xml:space="preserve">   calculado sozinho</t>
          </r>
        </is>
      </c>
      <c r="L6" s="62" t="n"/>
      <c r="M6" s="62" t="n"/>
      <c r="N6" s="62" t="n"/>
      <c r="O6" s="63" t="n"/>
    </row>
    <row r="7" ht="30" customHeight="1">
      <c r="A7" s="64" t="inlineStr">
        <is>
          <t>Mês</t>
        </is>
      </c>
      <c r="B7" s="65" t="inlineStr">
        <is>
          <t>Horas programadas</t>
        </is>
      </c>
      <c r="C7" s="65" t="inlineStr">
        <is>
          <t>Horas de operação</t>
        </is>
      </c>
      <c r="D7" s="65" t="inlineStr">
        <is>
          <t>Nº de falhas</t>
        </is>
      </c>
      <c r="E7" s="65" t="inlineStr">
        <is>
          <t>Horas de reparo</t>
        </is>
      </c>
      <c r="F7" s="65" t="inlineStr">
        <is>
          <t>PM planejadas</t>
        </is>
      </c>
      <c r="G7" s="65" t="inlineStr">
        <is>
          <t>PM feitas</t>
        </is>
      </c>
      <c r="H7" s="65" t="inlineStr">
        <is>
          <t>Horas em corretiva</t>
        </is>
      </c>
      <c r="I7" s="66" t="inlineStr">
        <is>
          <t>Horas em preventiva</t>
        </is>
      </c>
      <c r="J7" s="60" t="n"/>
      <c r="K7" s="64" t="inlineStr">
        <is>
          <t>MTBF (h)</t>
        </is>
      </c>
      <c r="L7" s="65" t="inlineStr">
        <is>
          <t>MTTR (h)</t>
        </is>
      </c>
      <c r="M7" s="65" t="inlineStr">
        <is>
          <t>Disponibilidade</t>
        </is>
      </c>
      <c r="N7" s="65" t="inlineStr">
        <is>
          <t>Cumprimento da PM</t>
        </is>
      </c>
      <c r="O7" s="66" t="inlineStr">
        <is>
          <t>% corretiva</t>
        </is>
      </c>
    </row>
    <row r="8" ht="21" customHeight="1">
      <c r="A8" s="67">
        <f>IF(ISNUMBER($D$4),DATE(YEAR($D$4),MONTH($D$4)+0,1),"")</f>
        <v/>
      </c>
      <c r="B8" s="68" t="n"/>
      <c r="C8" s="68" t="n"/>
      <c r="D8" s="69" t="n"/>
      <c r="E8" s="68" t="n"/>
      <c r="F8" s="69" t="n"/>
      <c r="G8" s="69" t="n"/>
      <c r="H8" s="68" t="n"/>
      <c r="I8" s="70" t="n"/>
      <c r="J8" s="60" t="n"/>
      <c r="K8" s="71">
        <f>IF(AND(ISNUMBER(C8),N(D8)&gt;0),C8/D8,"")</f>
        <v/>
      </c>
      <c r="L8" s="72">
        <f>IF(AND(ISNUMBER(E8),N(D8)&gt;0),E8/D8,"")</f>
        <v/>
      </c>
      <c r="M8" s="73">
        <f>IF(AND(ISNUMBER(C8),N(B8)&gt;0),C8/B8,"")</f>
        <v/>
      </c>
      <c r="N8" s="74">
        <f>IF(N(F8)&gt;0,N(G8)/F8,"")</f>
        <v/>
      </c>
      <c r="O8" s="75">
        <f>IF(N(H8)+N(I8)&gt;0,N(H8)/(N(H8)+N(I8)),"")</f>
        <v/>
      </c>
      <c r="Q8">
        <f>IF(ISNUMBER(K8),K8,NA())</f>
        <v/>
      </c>
      <c r="R8">
        <f>IF(ISNUMBER(L8),L8,NA())</f>
        <v/>
      </c>
      <c r="S8">
        <f>IF(ISNUMBER(M8),M8,NA())</f>
        <v/>
      </c>
      <c r="T8">
        <f>IF(ISNUMBER(N8),N8,NA())</f>
        <v/>
      </c>
      <c r="U8">
        <f>IF(ISNUMBER(O8),O8,NA())</f>
        <v/>
      </c>
    </row>
    <row r="9" ht="21" customHeight="1">
      <c r="A9" s="67">
        <f>IF(ISNUMBER($D$4),DATE(YEAR($D$4),MONTH($D$4)+1,1),"")</f>
        <v/>
      </c>
      <c r="B9" s="68" t="n"/>
      <c r="C9" s="68" t="n"/>
      <c r="D9" s="69" t="n"/>
      <c r="E9" s="68" t="n"/>
      <c r="F9" s="69" t="n"/>
      <c r="G9" s="69" t="n"/>
      <c r="H9" s="68" t="n"/>
      <c r="I9" s="70" t="n"/>
      <c r="J9" s="60" t="n"/>
      <c r="K9" s="71">
        <f>IF(AND(ISNUMBER(C9),N(D9)&gt;0),C9/D9,"")</f>
        <v/>
      </c>
      <c r="L9" s="72">
        <f>IF(AND(ISNUMBER(E9),N(D9)&gt;0),E9/D9,"")</f>
        <v/>
      </c>
      <c r="M9" s="73">
        <f>IF(AND(ISNUMBER(C9),N(B9)&gt;0),C9/B9,"")</f>
        <v/>
      </c>
      <c r="N9" s="74">
        <f>IF(N(F9)&gt;0,N(G9)/F9,"")</f>
        <v/>
      </c>
      <c r="O9" s="75">
        <f>IF(N(H9)+N(I9)&gt;0,N(H9)/(N(H9)+N(I9)),"")</f>
        <v/>
      </c>
      <c r="Q9">
        <f>IF(ISNUMBER(K9),K9,NA())</f>
        <v/>
      </c>
      <c r="R9">
        <f>IF(ISNUMBER(L9),L9,NA())</f>
        <v/>
      </c>
      <c r="S9">
        <f>IF(ISNUMBER(M9),M9,NA())</f>
        <v/>
      </c>
      <c r="T9">
        <f>IF(ISNUMBER(N9),N9,NA())</f>
        <v/>
      </c>
      <c r="U9">
        <f>IF(ISNUMBER(O9),O9,NA())</f>
        <v/>
      </c>
    </row>
    <row r="10" ht="21" customHeight="1">
      <c r="A10" s="67">
        <f>IF(ISNUMBER($D$4),DATE(YEAR($D$4),MONTH($D$4)+2,1),"")</f>
        <v/>
      </c>
      <c r="B10" s="68" t="n"/>
      <c r="C10" s="68" t="n"/>
      <c r="D10" s="69" t="n"/>
      <c r="E10" s="68" t="n"/>
      <c r="F10" s="69" t="n"/>
      <c r="G10" s="69" t="n"/>
      <c r="H10" s="68" t="n"/>
      <c r="I10" s="70" t="n"/>
      <c r="J10" s="60" t="n"/>
      <c r="K10" s="71">
        <f>IF(AND(ISNUMBER(C10),N(D10)&gt;0),C10/D10,"")</f>
        <v/>
      </c>
      <c r="L10" s="72">
        <f>IF(AND(ISNUMBER(E10),N(D10)&gt;0),E10/D10,"")</f>
        <v/>
      </c>
      <c r="M10" s="73">
        <f>IF(AND(ISNUMBER(C10),N(B10)&gt;0),C10/B10,"")</f>
        <v/>
      </c>
      <c r="N10" s="74">
        <f>IF(N(F10)&gt;0,N(G10)/F10,"")</f>
        <v/>
      </c>
      <c r="O10" s="75">
        <f>IF(N(H10)+N(I10)&gt;0,N(H10)/(N(H10)+N(I10)),"")</f>
        <v/>
      </c>
      <c r="Q10">
        <f>IF(ISNUMBER(K10),K10,NA())</f>
        <v/>
      </c>
      <c r="R10">
        <f>IF(ISNUMBER(L10),L10,NA())</f>
        <v/>
      </c>
      <c r="S10">
        <f>IF(ISNUMBER(M10),M10,NA())</f>
        <v/>
      </c>
      <c r="T10">
        <f>IF(ISNUMBER(N10),N10,NA())</f>
        <v/>
      </c>
      <c r="U10">
        <f>IF(ISNUMBER(O10),O10,NA())</f>
        <v/>
      </c>
    </row>
    <row r="11" ht="21" customHeight="1">
      <c r="A11" s="67">
        <f>IF(ISNUMBER($D$4),DATE(YEAR($D$4),MONTH($D$4)+3,1),"")</f>
        <v/>
      </c>
      <c r="B11" s="68" t="n"/>
      <c r="C11" s="68" t="n"/>
      <c r="D11" s="69" t="n"/>
      <c r="E11" s="68" t="n"/>
      <c r="F11" s="69" t="n"/>
      <c r="G11" s="69" t="n"/>
      <c r="H11" s="68" t="n"/>
      <c r="I11" s="70" t="n"/>
      <c r="J11" s="60" t="n"/>
      <c r="K11" s="71">
        <f>IF(AND(ISNUMBER(C11),N(D11)&gt;0),C11/D11,"")</f>
        <v/>
      </c>
      <c r="L11" s="72">
        <f>IF(AND(ISNUMBER(E11),N(D11)&gt;0),E11/D11,"")</f>
        <v/>
      </c>
      <c r="M11" s="73">
        <f>IF(AND(ISNUMBER(C11),N(B11)&gt;0),C11/B11,"")</f>
        <v/>
      </c>
      <c r="N11" s="74">
        <f>IF(N(F11)&gt;0,N(G11)/F11,"")</f>
        <v/>
      </c>
      <c r="O11" s="75">
        <f>IF(N(H11)+N(I11)&gt;0,N(H11)/(N(H11)+N(I11)),"")</f>
        <v/>
      </c>
      <c r="Q11">
        <f>IF(ISNUMBER(K11),K11,NA())</f>
        <v/>
      </c>
      <c r="R11">
        <f>IF(ISNUMBER(L11),L11,NA())</f>
        <v/>
      </c>
      <c r="S11">
        <f>IF(ISNUMBER(M11),M11,NA())</f>
        <v/>
      </c>
      <c r="T11">
        <f>IF(ISNUMBER(N11),N11,NA())</f>
        <v/>
      </c>
      <c r="U11">
        <f>IF(ISNUMBER(O11),O11,NA())</f>
        <v/>
      </c>
    </row>
    <row r="12" ht="21" customHeight="1">
      <c r="A12" s="67">
        <f>IF(ISNUMBER($D$4),DATE(YEAR($D$4),MONTH($D$4)+4,1),"")</f>
        <v/>
      </c>
      <c r="B12" s="68" t="n"/>
      <c r="C12" s="68" t="n"/>
      <c r="D12" s="69" t="n"/>
      <c r="E12" s="68" t="n"/>
      <c r="F12" s="69" t="n"/>
      <c r="G12" s="69" t="n"/>
      <c r="H12" s="68" t="n"/>
      <c r="I12" s="70" t="n"/>
      <c r="J12" s="60" t="n"/>
      <c r="K12" s="71">
        <f>IF(AND(ISNUMBER(C12),N(D12)&gt;0),C12/D12,"")</f>
        <v/>
      </c>
      <c r="L12" s="72">
        <f>IF(AND(ISNUMBER(E12),N(D12)&gt;0),E12/D12,"")</f>
        <v/>
      </c>
      <c r="M12" s="73">
        <f>IF(AND(ISNUMBER(C12),N(B12)&gt;0),C12/B12,"")</f>
        <v/>
      </c>
      <c r="N12" s="74">
        <f>IF(N(F12)&gt;0,N(G12)/F12,"")</f>
        <v/>
      </c>
      <c r="O12" s="75">
        <f>IF(N(H12)+N(I12)&gt;0,N(H12)/(N(H12)+N(I12)),"")</f>
        <v/>
      </c>
      <c r="Q12">
        <f>IF(ISNUMBER(K12),K12,NA())</f>
        <v/>
      </c>
      <c r="R12">
        <f>IF(ISNUMBER(L12),L12,NA())</f>
        <v/>
      </c>
      <c r="S12">
        <f>IF(ISNUMBER(M12),M12,NA())</f>
        <v/>
      </c>
      <c r="T12">
        <f>IF(ISNUMBER(N12),N12,NA())</f>
        <v/>
      </c>
      <c r="U12">
        <f>IF(ISNUMBER(O12),O12,NA())</f>
        <v/>
      </c>
    </row>
    <row r="13" ht="21" customHeight="1">
      <c r="A13" s="67">
        <f>IF(ISNUMBER($D$4),DATE(YEAR($D$4),MONTH($D$4)+5,1),"")</f>
        <v/>
      </c>
      <c r="B13" s="68" t="n"/>
      <c r="C13" s="68" t="n"/>
      <c r="D13" s="69" t="n"/>
      <c r="E13" s="68" t="n"/>
      <c r="F13" s="69" t="n"/>
      <c r="G13" s="69" t="n"/>
      <c r="H13" s="68" t="n"/>
      <c r="I13" s="70" t="n"/>
      <c r="J13" s="60" t="n"/>
      <c r="K13" s="71">
        <f>IF(AND(ISNUMBER(C13),N(D13)&gt;0),C13/D13,"")</f>
        <v/>
      </c>
      <c r="L13" s="72">
        <f>IF(AND(ISNUMBER(E13),N(D13)&gt;0),E13/D13,"")</f>
        <v/>
      </c>
      <c r="M13" s="73">
        <f>IF(AND(ISNUMBER(C13),N(B13)&gt;0),C13/B13,"")</f>
        <v/>
      </c>
      <c r="N13" s="74">
        <f>IF(N(F13)&gt;0,N(G13)/F13,"")</f>
        <v/>
      </c>
      <c r="O13" s="75">
        <f>IF(N(H13)+N(I13)&gt;0,N(H13)/(N(H13)+N(I13)),"")</f>
        <v/>
      </c>
      <c r="Q13">
        <f>IF(ISNUMBER(K13),K13,NA())</f>
        <v/>
      </c>
      <c r="R13">
        <f>IF(ISNUMBER(L13),L13,NA())</f>
        <v/>
      </c>
      <c r="S13">
        <f>IF(ISNUMBER(M13),M13,NA())</f>
        <v/>
      </c>
      <c r="T13">
        <f>IF(ISNUMBER(N13),N13,NA())</f>
        <v/>
      </c>
      <c r="U13">
        <f>IF(ISNUMBER(O13),O13,NA())</f>
        <v/>
      </c>
    </row>
    <row r="14" ht="21" customHeight="1">
      <c r="A14" s="67">
        <f>IF(ISNUMBER($D$4),DATE(YEAR($D$4),MONTH($D$4)+6,1),"")</f>
        <v/>
      </c>
      <c r="B14" s="68" t="n"/>
      <c r="C14" s="68" t="n"/>
      <c r="D14" s="69" t="n"/>
      <c r="E14" s="68" t="n"/>
      <c r="F14" s="69" t="n"/>
      <c r="G14" s="69" t="n"/>
      <c r="H14" s="68" t="n"/>
      <c r="I14" s="70" t="n"/>
      <c r="J14" s="60" t="n"/>
      <c r="K14" s="71">
        <f>IF(AND(ISNUMBER(C14),N(D14)&gt;0),C14/D14,"")</f>
        <v/>
      </c>
      <c r="L14" s="72">
        <f>IF(AND(ISNUMBER(E14),N(D14)&gt;0),E14/D14,"")</f>
        <v/>
      </c>
      <c r="M14" s="73">
        <f>IF(AND(ISNUMBER(C14),N(B14)&gt;0),C14/B14,"")</f>
        <v/>
      </c>
      <c r="N14" s="74">
        <f>IF(N(F14)&gt;0,N(G14)/F14,"")</f>
        <v/>
      </c>
      <c r="O14" s="75">
        <f>IF(N(H14)+N(I14)&gt;0,N(H14)/(N(H14)+N(I14)),"")</f>
        <v/>
      </c>
      <c r="Q14">
        <f>IF(ISNUMBER(K14),K14,NA())</f>
        <v/>
      </c>
      <c r="R14">
        <f>IF(ISNUMBER(L14),L14,NA())</f>
        <v/>
      </c>
      <c r="S14">
        <f>IF(ISNUMBER(M14),M14,NA())</f>
        <v/>
      </c>
      <c r="T14">
        <f>IF(ISNUMBER(N14),N14,NA())</f>
        <v/>
      </c>
      <c r="U14">
        <f>IF(ISNUMBER(O14),O14,NA())</f>
        <v/>
      </c>
    </row>
    <row r="15" ht="21" customHeight="1">
      <c r="A15" s="67">
        <f>IF(ISNUMBER($D$4),DATE(YEAR($D$4),MONTH($D$4)+7,1),"")</f>
        <v/>
      </c>
      <c r="B15" s="68" t="n"/>
      <c r="C15" s="68" t="n"/>
      <c r="D15" s="69" t="n"/>
      <c r="E15" s="68" t="n"/>
      <c r="F15" s="69" t="n"/>
      <c r="G15" s="69" t="n"/>
      <c r="H15" s="68" t="n"/>
      <c r="I15" s="70" t="n"/>
      <c r="J15" s="60" t="n"/>
      <c r="K15" s="71">
        <f>IF(AND(ISNUMBER(C15),N(D15)&gt;0),C15/D15,"")</f>
        <v/>
      </c>
      <c r="L15" s="72">
        <f>IF(AND(ISNUMBER(E15),N(D15)&gt;0),E15/D15,"")</f>
        <v/>
      </c>
      <c r="M15" s="73">
        <f>IF(AND(ISNUMBER(C15),N(B15)&gt;0),C15/B15,"")</f>
        <v/>
      </c>
      <c r="N15" s="74">
        <f>IF(N(F15)&gt;0,N(G15)/F15,"")</f>
        <v/>
      </c>
      <c r="O15" s="75">
        <f>IF(N(H15)+N(I15)&gt;0,N(H15)/(N(H15)+N(I15)),"")</f>
        <v/>
      </c>
      <c r="Q15">
        <f>IF(ISNUMBER(K15),K15,NA())</f>
        <v/>
      </c>
      <c r="R15">
        <f>IF(ISNUMBER(L15),L15,NA())</f>
        <v/>
      </c>
      <c r="S15">
        <f>IF(ISNUMBER(M15),M15,NA())</f>
        <v/>
      </c>
      <c r="T15">
        <f>IF(ISNUMBER(N15),N15,NA())</f>
        <v/>
      </c>
      <c r="U15">
        <f>IF(ISNUMBER(O15),O15,NA())</f>
        <v/>
      </c>
    </row>
    <row r="16" ht="21" customHeight="1">
      <c r="A16" s="67">
        <f>IF(ISNUMBER($D$4),DATE(YEAR($D$4),MONTH($D$4)+8,1),"")</f>
        <v/>
      </c>
      <c r="B16" s="68" t="n"/>
      <c r="C16" s="68" t="n"/>
      <c r="D16" s="69" t="n"/>
      <c r="E16" s="68" t="n"/>
      <c r="F16" s="69" t="n"/>
      <c r="G16" s="69" t="n"/>
      <c r="H16" s="68" t="n"/>
      <c r="I16" s="70" t="n"/>
      <c r="J16" s="60" t="n"/>
      <c r="K16" s="71">
        <f>IF(AND(ISNUMBER(C16),N(D16)&gt;0),C16/D16,"")</f>
        <v/>
      </c>
      <c r="L16" s="72">
        <f>IF(AND(ISNUMBER(E16),N(D16)&gt;0),E16/D16,"")</f>
        <v/>
      </c>
      <c r="M16" s="73">
        <f>IF(AND(ISNUMBER(C16),N(B16)&gt;0),C16/B16,"")</f>
        <v/>
      </c>
      <c r="N16" s="74">
        <f>IF(N(F16)&gt;0,N(G16)/F16,"")</f>
        <v/>
      </c>
      <c r="O16" s="75">
        <f>IF(N(H16)+N(I16)&gt;0,N(H16)/(N(H16)+N(I16)),"")</f>
        <v/>
      </c>
      <c r="Q16">
        <f>IF(ISNUMBER(K16),K16,NA())</f>
        <v/>
      </c>
      <c r="R16">
        <f>IF(ISNUMBER(L16),L16,NA())</f>
        <v/>
      </c>
      <c r="S16">
        <f>IF(ISNUMBER(M16),M16,NA())</f>
        <v/>
      </c>
      <c r="T16">
        <f>IF(ISNUMBER(N16),N16,NA())</f>
        <v/>
      </c>
      <c r="U16">
        <f>IF(ISNUMBER(O16),O16,NA())</f>
        <v/>
      </c>
    </row>
    <row r="17" ht="21" customHeight="1">
      <c r="A17" s="67">
        <f>IF(ISNUMBER($D$4),DATE(YEAR($D$4),MONTH($D$4)+9,1),"")</f>
        <v/>
      </c>
      <c r="B17" s="68" t="n"/>
      <c r="C17" s="68" t="n"/>
      <c r="D17" s="69" t="n"/>
      <c r="E17" s="68" t="n"/>
      <c r="F17" s="69" t="n"/>
      <c r="G17" s="69" t="n"/>
      <c r="H17" s="68" t="n"/>
      <c r="I17" s="70" t="n"/>
      <c r="J17" s="60" t="n"/>
      <c r="K17" s="71">
        <f>IF(AND(ISNUMBER(C17),N(D17)&gt;0),C17/D17,"")</f>
        <v/>
      </c>
      <c r="L17" s="72">
        <f>IF(AND(ISNUMBER(E17),N(D17)&gt;0),E17/D17,"")</f>
        <v/>
      </c>
      <c r="M17" s="73">
        <f>IF(AND(ISNUMBER(C17),N(B17)&gt;0),C17/B17,"")</f>
        <v/>
      </c>
      <c r="N17" s="74">
        <f>IF(N(F17)&gt;0,N(G17)/F17,"")</f>
        <v/>
      </c>
      <c r="O17" s="75">
        <f>IF(N(H17)+N(I17)&gt;0,N(H17)/(N(H17)+N(I17)),"")</f>
        <v/>
      </c>
      <c r="Q17">
        <f>IF(ISNUMBER(K17),K17,NA())</f>
        <v/>
      </c>
      <c r="R17">
        <f>IF(ISNUMBER(L17),L17,NA())</f>
        <v/>
      </c>
      <c r="S17">
        <f>IF(ISNUMBER(M17),M17,NA())</f>
        <v/>
      </c>
      <c r="T17">
        <f>IF(ISNUMBER(N17),N17,NA())</f>
        <v/>
      </c>
      <c r="U17">
        <f>IF(ISNUMBER(O17),O17,NA())</f>
        <v/>
      </c>
    </row>
    <row r="18" ht="21" customHeight="1">
      <c r="A18" s="67">
        <f>IF(ISNUMBER($D$4),DATE(YEAR($D$4),MONTH($D$4)+10,1),"")</f>
        <v/>
      </c>
      <c r="B18" s="68" t="n"/>
      <c r="C18" s="68" t="n"/>
      <c r="D18" s="69" t="n"/>
      <c r="E18" s="68" t="n"/>
      <c r="F18" s="69" t="n"/>
      <c r="G18" s="69" t="n"/>
      <c r="H18" s="68" t="n"/>
      <c r="I18" s="70" t="n"/>
      <c r="J18" s="60" t="n"/>
      <c r="K18" s="71">
        <f>IF(AND(ISNUMBER(C18),N(D18)&gt;0),C18/D18,"")</f>
        <v/>
      </c>
      <c r="L18" s="72">
        <f>IF(AND(ISNUMBER(E18),N(D18)&gt;0),E18/D18,"")</f>
        <v/>
      </c>
      <c r="M18" s="73">
        <f>IF(AND(ISNUMBER(C18),N(B18)&gt;0),C18/B18,"")</f>
        <v/>
      </c>
      <c r="N18" s="74">
        <f>IF(N(F18)&gt;0,N(G18)/F18,"")</f>
        <v/>
      </c>
      <c r="O18" s="75">
        <f>IF(N(H18)+N(I18)&gt;0,N(H18)/(N(H18)+N(I18)),"")</f>
        <v/>
      </c>
      <c r="Q18">
        <f>IF(ISNUMBER(K18),K18,NA())</f>
        <v/>
      </c>
      <c r="R18">
        <f>IF(ISNUMBER(L18),L18,NA())</f>
        <v/>
      </c>
      <c r="S18">
        <f>IF(ISNUMBER(M18),M18,NA())</f>
        <v/>
      </c>
      <c r="T18">
        <f>IF(ISNUMBER(N18),N18,NA())</f>
        <v/>
      </c>
      <c r="U18">
        <f>IF(ISNUMBER(O18),O18,NA())</f>
        <v/>
      </c>
    </row>
    <row r="19" ht="21" customHeight="1">
      <c r="A19" s="76">
        <f>IF(ISNUMBER($D$4),DATE(YEAR($D$4),MONTH($D$4)+11,1),"")</f>
        <v/>
      </c>
      <c r="B19" s="77" t="n"/>
      <c r="C19" s="77" t="n"/>
      <c r="D19" s="78" t="n"/>
      <c r="E19" s="77" t="n"/>
      <c r="F19" s="78" t="n"/>
      <c r="G19" s="78" t="n"/>
      <c r="H19" s="77" t="n"/>
      <c r="I19" s="79" t="n"/>
      <c r="J19" s="60" t="n"/>
      <c r="K19" s="80">
        <f>IF(AND(ISNUMBER(C19),N(D19)&gt;0),C19/D19,"")</f>
        <v/>
      </c>
      <c r="L19" s="81">
        <f>IF(AND(ISNUMBER(E19),N(D19)&gt;0),E19/D19,"")</f>
        <v/>
      </c>
      <c r="M19" s="82">
        <f>IF(AND(ISNUMBER(C19),N(B19)&gt;0),C19/B19,"")</f>
        <v/>
      </c>
      <c r="N19" s="83">
        <f>IF(N(F19)&gt;0,N(G19)/F19,"")</f>
        <v/>
      </c>
      <c r="O19" s="84">
        <f>IF(N(H19)+N(I19)&gt;0,N(H19)/(N(H19)+N(I19)),"")</f>
        <v/>
      </c>
      <c r="Q19">
        <f>IF(ISNUMBER(K19),K19,NA())</f>
        <v/>
      </c>
      <c r="R19">
        <f>IF(ISNUMBER(L19),L19,NA())</f>
        <v/>
      </c>
      <c r="S19">
        <f>IF(ISNUMBER(M19),M19,NA())</f>
        <v/>
      </c>
      <c r="T19">
        <f>IF(ISNUMBER(N19),N19,NA())</f>
        <v/>
      </c>
      <c r="U19">
        <f>IF(ISNUMBER(O19),O19,NA())</f>
        <v/>
      </c>
    </row>
    <row r="20" ht="24" customHeight="1">
      <c r="A20" s="85" t="inlineStr">
        <is>
          <t>Ano</t>
        </is>
      </c>
      <c r="B20" s="86">
        <f>SUM(B8:B19)</f>
        <v/>
      </c>
      <c r="C20" s="86">
        <f>SUM(C8:C19)</f>
        <v/>
      </c>
      <c r="D20" s="86">
        <f>SUM(D8:D19)</f>
        <v/>
      </c>
      <c r="E20" s="86">
        <f>SUM(E8:E19)</f>
        <v/>
      </c>
      <c r="F20" s="86">
        <f>SUM(F8:F19)</f>
        <v/>
      </c>
      <c r="G20" s="86">
        <f>SUM(G8:G19)</f>
        <v/>
      </c>
      <c r="H20" s="86">
        <f>SUM(H8:H19)</f>
        <v/>
      </c>
      <c r="I20" s="87">
        <f>SUM(I8:I19)</f>
        <v/>
      </c>
      <c r="J20" s="60" t="n"/>
      <c r="K20" s="88">
        <f>IF(N(D20)&gt;0,C20/D20,"")</f>
        <v/>
      </c>
      <c r="L20" s="86">
        <f>IF(N(D20)&gt;0,E20/D20,"")</f>
        <v/>
      </c>
      <c r="M20" s="89">
        <f>IF(N(B20)&gt;0,C20/B20,"")</f>
        <v/>
      </c>
      <c r="N20" s="90">
        <f>IF(N(F20)&gt;0,G20/F20,"")</f>
        <v/>
      </c>
      <c r="O20" s="91">
        <f>IF(N(H20)+N(I20)&gt;0,H20/(H20+I20),"")</f>
        <v/>
      </c>
    </row>
    <row r="21" ht="8" customHeight="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</row>
    <row r="22" ht="22" customHeight="1">
      <c r="A22" s="61" t="inlineStr">
        <is>
          <r>
            <rPr>
              <rFont val="Arial"/>
              <b val="1"/>
              <color rgb="00FFFFFF"/>
              <sz val="10"/>
            </rPr>
            <t>Evolução no ano</t>
          </r>
          <r>
            <rPr>
              <rFont val="Arial"/>
              <color rgb="00D3DEEC"/>
              <sz val="8"/>
            </rPr>
            <t xml:space="preserve">   MTBF e MTTR à esquerda; disponibilidade, cumprimento da PM e % corretiva à direita</t>
          </r>
        </is>
      </c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3" t="n"/>
    </row>
    <row r="23" ht="17" customHeight="1">
      <c r="A23" s="92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4" t="n"/>
    </row>
    <row r="24" ht="17" customHeight="1">
      <c r="A24" s="92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4" t="n"/>
    </row>
    <row r="25" ht="17" customHeight="1">
      <c r="A25" s="92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4" t="n"/>
    </row>
    <row r="26" ht="17" customHeight="1">
      <c r="A26" s="92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4" t="n"/>
    </row>
    <row r="27" ht="17" customHeight="1">
      <c r="A27" s="92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4" t="n"/>
    </row>
    <row r="28" ht="17" customHeight="1">
      <c r="A28" s="92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4" t="n"/>
    </row>
    <row r="29" ht="17" customHeight="1">
      <c r="A29" s="92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4" t="n"/>
    </row>
    <row r="30" ht="17" customHeight="1">
      <c r="A30" s="92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4" t="n"/>
    </row>
    <row r="31" ht="17" customHeight="1">
      <c r="A31" s="92" t="n"/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4" t="n"/>
    </row>
    <row r="32" ht="17" customHeight="1">
      <c r="A32" s="92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4" t="n"/>
    </row>
    <row r="33" ht="17" customHeight="1">
      <c r="A33" s="92" t="n"/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4" t="n"/>
    </row>
    <row r="34" ht="17" customHeight="1">
      <c r="A34" s="92" t="n"/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4" t="n"/>
    </row>
    <row r="35" ht="17" customHeight="1">
      <c r="A35" s="92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4" t="n"/>
    </row>
    <row r="36" ht="17" customHeight="1">
      <c r="A36" s="92" t="n"/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4" t="n"/>
    </row>
    <row r="37" ht="17" customHeight="1">
      <c r="A37" s="92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4" t="n"/>
    </row>
    <row r="38" ht="17" customHeight="1">
      <c r="A38" s="95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96" t="n"/>
    </row>
    <row r="39" ht="20" customHeight="1">
      <c r="A39" s="97" t="inlineStr">
        <is>
          <r>
            <rPr>
              <rFont val="Arial"/>
              <b val="1"/>
              <color rgb="001E7A4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dentro da meta   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fora da meta      </t>
          </r>
          <r>
            <rPr>
              <rFont val="Arial"/>
              <b val="1"/>
              <color rgb="006B7686"/>
              <sz val="8"/>
            </rPr>
            <t xml:space="preserve">% corretiva = horas em corretiva ÷ (corretiva + preventiva). Referência de mercado: corretiva até 20%.      </t>
          </r>
        </is>
      </c>
    </row>
  </sheetData>
  <mergeCells count="21">
    <mergeCell ref="F4:G4"/>
    <mergeCell ref="D1:K1"/>
    <mergeCell ref="A3:C3"/>
    <mergeCell ref="H4:I4"/>
    <mergeCell ref="F3:G3"/>
    <mergeCell ref="A1:C2"/>
    <mergeCell ref="M3:O3"/>
    <mergeCell ref="D2:K2"/>
    <mergeCell ref="L2:O2"/>
    <mergeCell ref="A22:O22"/>
    <mergeCell ref="A4:C4"/>
    <mergeCell ref="M4:O4"/>
    <mergeCell ref="D4:E4"/>
    <mergeCell ref="D3:E3"/>
    <mergeCell ref="A39:O39"/>
    <mergeCell ref="H3:I3"/>
    <mergeCell ref="K6:O6"/>
    <mergeCell ref="A6:I6"/>
    <mergeCell ref="K4:L4"/>
    <mergeCell ref="L1:O1"/>
    <mergeCell ref="K3:L3"/>
  </mergeCells>
  <conditionalFormatting sqref="M8:M19">
    <cfRule type="expression" priority="1" dxfId="0" stopIfTrue="1">
      <formula>AND(ISNUMBER(M8),N($F$4)&gt;0,M8&gt;=$F$4)</formula>
    </cfRule>
    <cfRule type="expression" priority="2" dxfId="1" stopIfTrue="1">
      <formula>AND(ISNUMBER(M8),N($F$4)&gt;0,M8&lt;$F$4)</formula>
    </cfRule>
  </conditionalFormatting>
  <conditionalFormatting sqref="N8:N19">
    <cfRule type="expression" priority="3" dxfId="0" stopIfTrue="1">
      <formula>AND(ISNUMBER(N8),N($H$4)&gt;0,N8&gt;=$H$4)</formula>
    </cfRule>
    <cfRule type="expression" priority="4" dxfId="1" stopIfTrue="1">
      <formula>AND(ISNUMBER(N8),N($H$4)&gt;0,N8&lt;$H$4)</formula>
    </cfRule>
  </conditionalFormatting>
  <conditionalFormatting sqref="O8:O19">
    <cfRule type="expression" priority="5" dxfId="0" stopIfTrue="1">
      <formula>AND(ISNUMBER(O8),N($K$4)&gt;0,O8&lt;=$K$4)</formula>
    </cfRule>
    <cfRule type="expression" priority="6" dxfId="1" stopIfTrue="1">
      <formula>AND(ISNUMBER(O8),N($K$4)&gt;0,O8&gt;$K$4)</formula>
    </cfRule>
  </conditionalFormatting>
  <dataValidations count="10">
    <dataValidation sqref="D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M4" showDropDown="0" showInputMessage="0" showErrorMessage="1" allowBlank="1" errorTitle="Valor fora da lista" error="Escolha um item da lista." type="list" errorStyle="stop">
      <formula1>L_PESSOAS</formula1>
    </dataValidation>
    <dataValidation sqref="F4" showDropDown="0" showInputMessage="0" showErrorMessage="1" allowBlank="1" errorTitle="Número inválido" error="Digite um número de 0 a 1." type="decimal" errorStyle="stop" operator="between">
      <formula1>0</formula1>
      <formula2>1</formula2>
    </dataValidation>
    <dataValidation sqref="H4" showDropDown="0" showInputMessage="0" showErrorMessage="1" allowBlank="1" errorTitle="Número inválido" error="Digite um número de 0 a 1." type="decimal" errorStyle="stop" operator="between">
      <formula1>0</formula1>
      <formula2>1</formula2>
    </dataValidation>
    <dataValidation sqref="K4" showDropDown="0" showInputMessage="0" showErrorMessage="1" allowBlank="1" errorTitle="Número inválido" error="Digite um número de 0 a 1." type="decimal" errorStyle="stop" operator="between">
      <formula1>0</formula1>
      <formula2>1</formula2>
    </dataValidation>
    <dataValidation sqref="B8:C19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D8:D19" showDropDown="0" showInputMessage="0" showErrorMessage="1" allowBlank="1" errorTitle="Número inválido" error="Digite um número inteiro maior ou igual a 0." type="whole" errorStyle="stop" operator="greaterThanOrEqual">
      <formula1>0</formula1>
    </dataValidation>
    <dataValidation sqref="E8:E19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F8:G19" showDropDown="0" showInputMessage="0" showErrorMessage="1" allowBlank="1" errorTitle="Número inválido" error="Digite um número inteiro maior ou igual a 0." type="whole" errorStyle="stop" operator="greaterThanOrEqual">
      <formula1>0</formula1>
    </dataValidation>
    <dataValidation sqref="H8:I19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C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5" customWidth="1" min="2" max="2"/>
    <col width="40" customWidth="1" min="3" max="3"/>
  </cols>
  <sheetData>
    <row r="1" ht="30.75" customHeight="1">
      <c r="A1" s="98" t="n"/>
      <c r="B1" s="99" t="inlineStr">
        <is>
          <t>Cadastros</t>
        </is>
      </c>
      <c r="C1" s="100">
        <f>"Rev. "&amp;'Leia-me'!$D$15&amp;"   ·   "&amp;'Leia-me'!$D$16</f>
        <v/>
      </c>
    </row>
    <row r="2" ht="28" customHeight="1">
      <c r="A2" s="101" t="n"/>
      <c r="B2" s="102" t="inlineStr">
        <is>
          <t>Objetivo: Cadastre aqui os itens usados nas listas (▼) das outras abas.</t>
        </is>
      </c>
      <c r="C2" s="102">
        <f>"Elaborado: "&amp;'Leia-me'!$D$13&amp;"   ·   Aprovado: "&amp;'Leia-me'!$D$14</f>
        <v/>
      </c>
    </row>
    <row r="3" ht="26" customHeight="1">
      <c r="A3" s="103" t="inlineStr">
        <is>
          <t>Responsável</t>
        </is>
      </c>
    </row>
    <row r="4" hidden="1">
      <c r="A4" s="104" t="inlineStr">
        <is>
          <t>nome_pessoa</t>
        </is>
      </c>
    </row>
    <row r="5" ht="22" customHeight="1">
      <c r="A5" s="105" t="n"/>
    </row>
    <row r="6" ht="22" customHeight="1">
      <c r="A6" s="105" t="n"/>
    </row>
    <row r="7" ht="22" customHeight="1">
      <c r="A7" s="105" t="n"/>
    </row>
    <row r="8" ht="22" customHeight="1">
      <c r="A8" s="105" t="n"/>
    </row>
    <row r="9" ht="22" customHeight="1">
      <c r="A9" s="105" t="n"/>
    </row>
    <row r="10" ht="22" customHeight="1">
      <c r="A10" s="105" t="n"/>
    </row>
    <row r="11" ht="22" customHeight="1">
      <c r="A11" s="105" t="n"/>
    </row>
    <row r="12" ht="22" customHeight="1">
      <c r="A12" s="105" t="n"/>
    </row>
    <row r="13" ht="22" customHeight="1">
      <c r="A13" s="105" t="n"/>
    </row>
    <row r="14" ht="22" customHeight="1">
      <c r="A14" s="105" t="n"/>
    </row>
    <row r="15" ht="22" customHeight="1">
      <c r="A15" s="105" t="n"/>
    </row>
    <row r="16" ht="22" customHeight="1">
      <c r="A16" s="105" t="n"/>
    </row>
    <row r="17" ht="22" customHeight="1">
      <c r="A17" s="105" t="n"/>
    </row>
    <row r="18" ht="22" customHeight="1">
      <c r="A18" s="105" t="n"/>
    </row>
    <row r="19" ht="22" customHeight="1">
      <c r="A19" s="105" t="n"/>
    </row>
    <row r="20" ht="22" customHeight="1">
      <c r="A20" s="105" t="n"/>
    </row>
    <row r="21" ht="22" customHeight="1">
      <c r="A21" s="105" t="n"/>
    </row>
    <row r="22" ht="22" customHeight="1">
      <c r="A22" s="105" t="n"/>
    </row>
    <row r="23" ht="22" customHeight="1">
      <c r="A23" s="105" t="n"/>
    </row>
    <row r="24" ht="22" customHeight="1">
      <c r="A24" s="105" t="n"/>
    </row>
    <row r="25" ht="22" customHeight="1">
      <c r="A25" s="105" t="n"/>
    </row>
    <row r="26" ht="22" customHeight="1">
      <c r="A26" s="105" t="n"/>
    </row>
    <row r="27" ht="22" customHeight="1">
      <c r="A27" s="105" t="n"/>
    </row>
    <row r="28" ht="22" customHeight="1">
      <c r="A28" s="105" t="n"/>
    </row>
    <row r="29" ht="22" customHeight="1">
      <c r="A29" s="106" t="n"/>
    </row>
    <row r="30" ht="20" customHeight="1">
      <c r="A30" s="107" t="inlineStr">
        <is>
          <t xml:space="preserve"> </t>
        </is>
      </c>
    </row>
  </sheetData>
  <mergeCells count="6">
    <mergeCell ref="B1"/>
    <mergeCell ref="C1"/>
    <mergeCell ref="B2"/>
    <mergeCell ref="C2"/>
    <mergeCell ref="A30:C30"/>
    <mergeCell ref="A1:A2"/>
  </mergeCell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0" t="n"/>
      <c r="B1" s="42" t="n"/>
      <c r="C1" s="99" t="inlineStr">
        <is>
          <t>Revisões</t>
        </is>
      </c>
      <c r="D1" s="44">
        <f>"Rev. "&amp;'Leia-me'!$D$15&amp;"   ·   "&amp;'Leia-me'!$D$16</f>
        <v/>
      </c>
      <c r="E1" s="42" t="n"/>
    </row>
    <row r="2" ht="28" customHeight="1">
      <c r="A2" s="45" t="n"/>
      <c r="B2" s="47" t="n"/>
      <c r="C2" s="102" t="inlineStr">
        <is>
          <t>Objetivo: Registre cada alteração do modelo; a última linha alimenta Rev. e data do cabeçalho.</t>
        </is>
      </c>
      <c r="D2" s="48">
        <f>"Elaborado: "&amp;'Leia-me'!$D$13&amp;"   ·   Aprovado: "&amp;'Leia-me'!$D$14</f>
        <v/>
      </c>
      <c r="E2" s="47" t="n"/>
    </row>
    <row r="3" ht="26" customHeight="1">
      <c r="A3" s="108" t="inlineStr">
        <is>
          <t>Rev</t>
        </is>
      </c>
      <c r="B3" s="109" t="inlineStr">
        <is>
          <t>Data</t>
        </is>
      </c>
      <c r="C3" s="109" t="inlineStr">
        <is>
          <t>Descrição da alteração</t>
        </is>
      </c>
      <c r="D3" s="109" t="inlineStr">
        <is>
          <t>Elaborado por</t>
        </is>
      </c>
      <c r="E3" s="110" t="inlineStr">
        <is>
          <t>Aprovado por</t>
        </is>
      </c>
    </row>
    <row r="4" hidden="1">
      <c r="A4" s="104" t="inlineStr">
        <is>
          <t>revisao</t>
        </is>
      </c>
      <c r="B4" s="104" t="inlineStr">
        <is>
          <t>data_revisao</t>
        </is>
      </c>
      <c r="C4" s="104" t="inlineStr">
        <is>
          <t>descricao_alteracao</t>
        </is>
      </c>
      <c r="D4" s="104" t="inlineStr">
        <is>
          <t>elaborado_por</t>
        </is>
      </c>
      <c r="E4" s="104" t="inlineStr">
        <is>
          <t>aprovado_por</t>
        </is>
      </c>
    </row>
    <row r="5" ht="22" customHeight="1">
      <c r="A5" s="111" t="inlineStr">
        <is>
          <t>00</t>
        </is>
      </c>
      <c r="B5" s="112" t="n">
        <v>46325</v>
      </c>
      <c r="C5" s="113" t="inlineStr">
        <is>
          <t>Emissão inicial</t>
        </is>
      </c>
      <c r="D5" s="114" t="n"/>
      <c r="E5" s="115" t="n"/>
    </row>
    <row r="6" ht="22" customHeight="1">
      <c r="A6" s="111" t="n"/>
      <c r="B6" s="112" t="n"/>
      <c r="C6" s="113" t="n"/>
      <c r="D6" s="114" t="n"/>
      <c r="E6" s="115" t="n"/>
    </row>
    <row r="7" ht="22" customHeight="1">
      <c r="A7" s="111" t="n"/>
      <c r="B7" s="112" t="n"/>
      <c r="C7" s="113" t="n"/>
      <c r="D7" s="114" t="n"/>
      <c r="E7" s="115" t="n"/>
    </row>
    <row r="8" ht="22" customHeight="1">
      <c r="A8" s="111" t="n"/>
      <c r="B8" s="112" t="n"/>
      <c r="C8" s="113" t="n"/>
      <c r="D8" s="114" t="n"/>
      <c r="E8" s="115" t="n"/>
    </row>
    <row r="9" ht="22" customHeight="1">
      <c r="A9" s="111" t="n"/>
      <c r="B9" s="112" t="n"/>
      <c r="C9" s="113" t="n"/>
      <c r="D9" s="114" t="n"/>
      <c r="E9" s="115" t="n"/>
    </row>
    <row r="10" ht="22" customHeight="1">
      <c r="A10" s="111" t="n"/>
      <c r="B10" s="112" t="n"/>
      <c r="C10" s="113" t="n"/>
      <c r="D10" s="114" t="n"/>
      <c r="E10" s="115" t="n"/>
    </row>
    <row r="11" ht="22" customHeight="1">
      <c r="A11" s="111" t="n"/>
      <c r="B11" s="112" t="n"/>
      <c r="C11" s="113" t="n"/>
      <c r="D11" s="114" t="n"/>
      <c r="E11" s="115" t="n"/>
    </row>
    <row r="12" ht="22" customHeight="1">
      <c r="A12" s="111" t="n"/>
      <c r="B12" s="112" t="n"/>
      <c r="C12" s="113" t="n"/>
      <c r="D12" s="114" t="n"/>
      <c r="E12" s="115" t="n"/>
    </row>
    <row r="13" ht="22" customHeight="1">
      <c r="A13" s="111" t="n"/>
      <c r="B13" s="112" t="n"/>
      <c r="C13" s="113" t="n"/>
      <c r="D13" s="114" t="n"/>
      <c r="E13" s="115" t="n"/>
    </row>
    <row r="14" ht="22" customHeight="1">
      <c r="A14" s="111" t="n"/>
      <c r="B14" s="112" t="n"/>
      <c r="C14" s="113" t="n"/>
      <c r="D14" s="114" t="n"/>
      <c r="E14" s="115" t="n"/>
    </row>
    <row r="15" ht="22" customHeight="1">
      <c r="A15" s="111" t="n"/>
      <c r="B15" s="112" t="n"/>
      <c r="C15" s="113" t="n"/>
      <c r="D15" s="114" t="n"/>
      <c r="E15" s="115" t="n"/>
    </row>
    <row r="16" ht="22" customHeight="1">
      <c r="A16" s="111" t="n"/>
      <c r="B16" s="112" t="n"/>
      <c r="C16" s="113" t="n"/>
      <c r="D16" s="114" t="n"/>
      <c r="E16" s="115" t="n"/>
    </row>
    <row r="17" ht="22" customHeight="1">
      <c r="A17" s="111" t="n"/>
      <c r="B17" s="112" t="n"/>
      <c r="C17" s="113" t="n"/>
      <c r="D17" s="114" t="n"/>
      <c r="E17" s="115" t="n"/>
    </row>
    <row r="18" ht="22" customHeight="1">
      <c r="A18" s="111" t="n"/>
      <c r="B18" s="112" t="n"/>
      <c r="C18" s="113" t="n"/>
      <c r="D18" s="114" t="n"/>
      <c r="E18" s="115" t="n"/>
    </row>
    <row r="19" ht="22" customHeight="1">
      <c r="A19" s="111" t="n"/>
      <c r="B19" s="112" t="n"/>
      <c r="C19" s="113" t="n"/>
      <c r="D19" s="114" t="n"/>
      <c r="E19" s="115" t="n"/>
    </row>
    <row r="20" ht="22" customHeight="1">
      <c r="A20" s="111" t="n"/>
      <c r="B20" s="112" t="n"/>
      <c r="C20" s="113" t="n"/>
      <c r="D20" s="114" t="n"/>
      <c r="E20" s="115" t="n"/>
    </row>
    <row r="21" ht="22" customHeight="1">
      <c r="A21" s="111" t="n"/>
      <c r="B21" s="112" t="n"/>
      <c r="C21" s="113" t="n"/>
      <c r="D21" s="114" t="n"/>
      <c r="E21" s="115" t="n"/>
    </row>
    <row r="22" ht="22" customHeight="1">
      <c r="A22" s="111" t="n"/>
      <c r="B22" s="112" t="n"/>
      <c r="C22" s="113" t="n"/>
      <c r="D22" s="114" t="n"/>
      <c r="E22" s="115" t="n"/>
    </row>
    <row r="23" ht="22" customHeight="1">
      <c r="A23" s="111" t="n"/>
      <c r="B23" s="112" t="n"/>
      <c r="C23" s="113" t="n"/>
      <c r="D23" s="114" t="n"/>
      <c r="E23" s="115" t="n"/>
    </row>
    <row r="24" ht="22" customHeight="1">
      <c r="A24" s="111" t="n"/>
      <c r="B24" s="112" t="n"/>
      <c r="C24" s="113" t="n"/>
      <c r="D24" s="114" t="n"/>
      <c r="E24" s="115" t="n"/>
    </row>
    <row r="25" ht="22" customHeight="1">
      <c r="A25" s="111" t="n"/>
      <c r="B25" s="112" t="n"/>
      <c r="C25" s="113" t="n"/>
      <c r="D25" s="114" t="n"/>
      <c r="E25" s="115" t="n"/>
    </row>
    <row r="26" ht="22" customHeight="1">
      <c r="A26" s="111" t="n"/>
      <c r="B26" s="112" t="n"/>
      <c r="C26" s="113" t="n"/>
      <c r="D26" s="114" t="n"/>
      <c r="E26" s="115" t="n"/>
    </row>
    <row r="27" ht="22" customHeight="1">
      <c r="A27" s="111" t="n"/>
      <c r="B27" s="112" t="n"/>
      <c r="C27" s="113" t="n"/>
      <c r="D27" s="114" t="n"/>
      <c r="E27" s="115" t="n"/>
    </row>
    <row r="28" ht="22" customHeight="1">
      <c r="A28" s="111" t="n"/>
      <c r="B28" s="112" t="n"/>
      <c r="C28" s="113" t="n"/>
      <c r="D28" s="114" t="n"/>
      <c r="E28" s="115" t="n"/>
    </row>
    <row r="29" ht="22" customHeight="1">
      <c r="A29" s="116" t="n"/>
      <c r="B29" s="117" t="n"/>
      <c r="C29" s="118" t="n"/>
      <c r="D29" s="119" t="n"/>
      <c r="E29" s="120" t="n"/>
    </row>
    <row r="30" ht="20" customHeight="1">
      <c r="A30" s="107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2026-11-01T05:52:17Z</dcterms:created>
  <dcterms:modified xmlns:dcterms="http://purl.org/dc/terms/" xmlns:xsi="http://www.w3.org/2001/XMLSchema-instance" xsi:type="dcterms:W3CDTF">2026-11-01T05:52:17Z</dcterms:modified>
</cp:coreProperties>
</file>