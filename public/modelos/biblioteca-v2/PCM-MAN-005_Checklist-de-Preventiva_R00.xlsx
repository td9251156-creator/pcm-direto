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hecklist de preventiva" sheetId="2" state="visible" r:id="rId2"/>
    <sheet xmlns:r="http://schemas.openxmlformats.org/officeDocument/2006/relationships" name="Cadastros" sheetId="3" state="visible" r:id="rId3"/>
    <sheet xmlns:r="http://schemas.openxmlformats.org/officeDocument/2006/relationships" name="Revisões" sheetId="4" state="visible" r:id="rId4"/>
  </sheets>
  <definedNames>
    <definedName name="L_TAGS">tb_pcm_ativos[tag]</definedName>
    <definedName name="L_PESSOAS">tb_pcm_pessoas[nome_pessoa]</definedName>
    <definedName name="L_SETORES">tb_pcm_setores[nome_setor]</definedName>
    <definedName name="L_FAMILIAS">tb_pcm_familias[nome_familia]</definedName>
    <definedName name="_xlnm.Print_Area" localSheetId="0">'Leia-me'!$A$1:$G$32</definedName>
    <definedName name="_xlnm.Print_Area" localSheetId="1">'Checklist de preventiva'!$A$1:$E$52</definedName>
    <definedName name="_xlnm.Print_Titles" localSheetId="2">'Cadastros'!$1:$3</definedName>
    <definedName name="_xlnm.Print_Area" localSheetId="2">'Cadastros'!$A$1:$J$30</definedName>
    <definedName name="_xlnm.Print_Titles" localSheetId="3">'Revisões'!$1:$3</definedName>
    <definedName name="_xlnm.Print_Area" localSheetId="3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5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"/>
      <b val="1"/>
      <color rgb="00FFFFFF"/>
      <sz val="8"/>
    </font>
    <font>
      <name val="Arial"/>
      <b val="1"/>
      <color rgb="000B2A5B"/>
      <sz val="9"/>
    </font>
    <font>
      <name val="Arial"/>
      <b val="1"/>
      <color rgb="006B7686"/>
      <sz val="8"/>
    </font>
    <font>
      <name val="Arial"/>
      <color rgb="000E1726"/>
      <sz val="9"/>
    </font>
    <font>
      <name val="Arial"/>
      <b val="1"/>
      <color rgb="000E1726"/>
      <sz val="9"/>
    </font>
    <font>
      <name val="Arial"/>
      <color rgb="000E1726"/>
      <sz val="8.5"/>
    </font>
    <font>
      <name val="Arial Black"/>
      <color rgb="000E1726"/>
      <sz val="12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FFFFFF"/>
      <sz val="9"/>
    </font>
    <font>
      <name val="Arial"/>
      <color rgb="008A94A6"/>
      <sz val="7"/>
    </font>
    <font>
      <name val="Arial Black"/>
      <color rgb="000E1726"/>
      <sz val="20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B2A5B"/>
      </patternFill>
    </fill>
    <fill>
      <patternFill patternType="solid">
        <fgColor rgb="00E1ECF6"/>
      </patternFill>
    </fill>
    <fill>
      <patternFill patternType="solid">
        <fgColor rgb="00ECEFF3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</fills>
  <borders count="51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/>
      <right/>
      <top style="thin">
        <color rgb="00D3DEEC"/>
      </top>
      <bottom/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/>
      <right style="thin">
        <color rgb="00D3DEEC"/>
      </right>
      <top style="thin">
        <color rgb="00D3DEEC"/>
      </top>
      <bottom/>
      <diagonal/>
    </border>
    <border>
      <left/>
      <right style="thin">
        <color rgb="00D3DEEC"/>
      </right>
      <top/>
      <bottom/>
      <diagonal/>
    </border>
    <border>
      <left/>
      <right/>
      <top/>
      <bottom style="thin">
        <color rgb="00D3DEEC"/>
      </bottom>
      <diagonal/>
    </border>
    <border>
      <left/>
      <right style="thin">
        <color rgb="00D3DEEC"/>
      </right>
      <top/>
      <bottom style="thin">
        <color rgb="00D3DEEC"/>
      </bottom>
      <diagonal/>
    </border>
    <border>
      <left style="thin">
        <color rgb="00D3DEEC"/>
      </left>
      <right style="thin">
        <color rgb="00D3DEEC"/>
      </right>
    </border>
    <border>
      <left/>
      <right/>
      <top/>
      <bottom style="thin">
        <color rgb="00D3DEEC"/>
      </bottom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left style="thin">
        <color rgb="000B2A5B"/>
      </left>
      <right style="thin">
        <color rgb="000B2A5B"/>
      </right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/>
      <right style="thin">
        <color rgb="00D3DEEC"/>
      </right>
      <top/>
      <bottom/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top style="thin">
        <color rgb="000B2A5B"/>
      </top>
    </border>
    <border>
      <bottom style="thin">
        <color rgb="000B2A5B"/>
      </bottom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bottom style="thin">
        <color rgb="00FFFFFF"/>
      </bottom>
    </border>
    <border>
      <top style="medium">
        <color rgb="000B2A5B"/>
      </top>
    </border>
    <border>
      <left/>
      <right/>
      <top style="thin">
        <color rgb="00D3DEEC"/>
      </top>
      <bottom style="thin">
        <color rgb="00D3DEEC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5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17" fillId="0" borderId="0" applyAlignment="1" pivotButton="0" quotePrefix="0" xfId="0">
      <alignment horizontal="right" vertical="center"/>
    </xf>
    <xf numFmtId="0" fontId="0" fillId="0" borderId="40" pivotButton="0" quotePrefix="0" xfId="0"/>
    <xf numFmtId="0" fontId="16" fillId="0" borderId="40" applyAlignment="1" pivotButton="0" quotePrefix="0" xfId="0">
      <alignment horizontal="center" vertical="top"/>
    </xf>
    <xf numFmtId="0" fontId="16" fillId="0" borderId="40" applyAlignment="1" pivotButton="0" quotePrefix="0" xfId="0">
      <alignment horizontal="right" vertical="top"/>
    </xf>
    <xf numFmtId="0" fontId="18" fillId="3" borderId="0" applyAlignment="1" pivotButton="0" quotePrefix="0" xfId="0">
      <alignment vertical="center" indent="1"/>
    </xf>
    <xf numFmtId="0" fontId="0" fillId="3" borderId="0" pivotButton="0" quotePrefix="0" xfId="0"/>
    <xf numFmtId="0" fontId="0" fillId="6" borderId="41" applyAlignment="1" pivotButton="0" quotePrefix="0" xfId="0">
      <alignment vertical="center" indent="1"/>
    </xf>
    <xf numFmtId="0" fontId="0" fillId="6" borderId="43" pivotButton="0" quotePrefix="0" xfId="0"/>
    <xf numFmtId="0" fontId="0" fillId="6" borderId="45" applyAlignment="1" pivotButton="0" quotePrefix="0" xfId="0">
      <alignment vertical="center" indent="1"/>
    </xf>
    <xf numFmtId="0" fontId="8" fillId="6" borderId="42" applyAlignment="1" pivotButton="0" quotePrefix="0" xfId="0">
      <alignment vertical="top" wrapText="1" indent="1"/>
    </xf>
    <xf numFmtId="0" fontId="0" fillId="6" borderId="44" pivotButton="0" quotePrefix="0" xfId="0"/>
    <xf numFmtId="0" fontId="8" fillId="6" borderId="46" applyAlignment="1" pivotButton="0" quotePrefix="0" xfId="0">
      <alignment vertical="top" wrapText="1" indent="1"/>
    </xf>
    <xf numFmtId="0" fontId="0" fillId="3" borderId="0" applyAlignment="1" pivotButton="0" quotePrefix="0" xfId="0">
      <alignment vertical="center" indent="1"/>
    </xf>
    <xf numFmtId="0" fontId="4" fillId="6" borderId="47" applyAlignment="1" pivotButton="0" quotePrefix="0" xfId="0">
      <alignment vertical="center" indent="1"/>
    </xf>
    <xf numFmtId="0" fontId="0" fillId="6" borderId="47" pivotButton="0" quotePrefix="0" xfId="0"/>
    <xf numFmtId="49" fontId="7" fillId="2" borderId="47" applyAlignment="1" pivotButton="0" quotePrefix="0" xfId="0">
      <alignment horizontal="left" vertical="center" wrapText="1" indent="1"/>
    </xf>
    <xf numFmtId="0" fontId="0" fillId="2" borderId="12" pivotButton="0" quotePrefix="0" xfId="0"/>
    <xf numFmtId="0" fontId="19" fillId="2" borderId="13" applyAlignment="1" pivotButton="0" quotePrefix="0" xfId="0">
      <alignment vertical="center" indent="1"/>
    </xf>
    <xf numFmtId="0" fontId="0" fillId="2" borderId="47" pivotButton="0" quotePrefix="0" xfId="0"/>
    <xf numFmtId="0" fontId="20" fillId="2" borderId="13" applyAlignment="1" pivotButton="0" quotePrefix="0" xfId="0">
      <alignment vertical="center" indent="1"/>
    </xf>
    <xf numFmtId="49" fontId="7" fillId="5" borderId="47" applyAlignment="1" pivotButton="0" quotePrefix="0" xfId="0">
      <alignment horizontal="left" vertical="center" wrapText="1" indent="1"/>
    </xf>
    <xf numFmtId="0" fontId="0" fillId="5" borderId="12" pivotButton="0" quotePrefix="0" xfId="0"/>
    <xf numFmtId="0" fontId="18" fillId="7" borderId="48" applyAlignment="1" pivotButton="0" quotePrefix="0" xfId="0">
      <alignment horizontal="center" vertical="center"/>
    </xf>
    <xf numFmtId="0" fontId="21" fillId="0" borderId="8" applyAlignment="1" pivotButton="0" quotePrefix="0" xfId="0">
      <alignment vertical="center" wrapText="1" indent="1"/>
    </xf>
    <xf numFmtId="0" fontId="6" fillId="0" borderId="8" applyAlignment="1" pivotButton="0" quotePrefix="0" xfId="0">
      <alignment vertical="center" wrapText="1" indent="1"/>
    </xf>
    <xf numFmtId="0" fontId="0" fillId="0" borderId="8" pivotButton="0" quotePrefix="0" xfId="0"/>
    <xf numFmtId="0" fontId="4" fillId="0" borderId="8" applyAlignment="1" pivotButton="0" quotePrefix="0" xfId="0">
      <alignment vertical="center" wrapText="1" indent="1"/>
    </xf>
    <xf numFmtId="0" fontId="4" fillId="0" borderId="8" applyAlignment="1" pivotButton="0" quotePrefix="0" xfId="0">
      <alignment vertical="center" indent="1"/>
    </xf>
    <xf numFmtId="0" fontId="4" fillId="2" borderId="47" applyAlignment="1" pivotButton="0" quotePrefix="0" xfId="0">
      <alignment vertical="center" indent="1"/>
    </xf>
    <xf numFmtId="0" fontId="4" fillId="5" borderId="47" applyAlignment="1" pivotButton="0" quotePrefix="0" xfId="0">
      <alignment vertical="center" indent="1"/>
    </xf>
    <xf numFmtId="0" fontId="0" fillId="5" borderId="47" pivotButton="0" quotePrefix="0" xfId="0"/>
    <xf numFmtId="0" fontId="0" fillId="8" borderId="49" pivotButton="0" quotePrefix="0" xfId="0"/>
    <xf numFmtId="0" fontId="22" fillId="8" borderId="49" applyAlignment="1" pivotButton="0" quotePrefix="0" xfId="0">
      <alignment vertical="bottom" indent="1"/>
    </xf>
    <xf numFmtId="0" fontId="23" fillId="8" borderId="49" applyAlignment="1" pivotButton="0" quotePrefix="0" xfId="0">
      <alignment horizontal="right" vertical="bottom" indent="1"/>
    </xf>
    <xf numFmtId="0" fontId="0" fillId="8" borderId="0" pivotButton="0" quotePrefix="0" xfId="0"/>
    <xf numFmtId="0" fontId="24" fillId="8" borderId="0" applyAlignment="1" pivotButton="0" quotePrefix="0" xfId="0">
      <alignment vertical="top" wrapText="1" indent="1"/>
    </xf>
    <xf numFmtId="0" fontId="0" fillId="2" borderId="20" pivotButton="0" quotePrefix="0" xfId="0"/>
    <xf numFmtId="0" fontId="0" fillId="2" borderId="21" pivotButton="0" quotePrefix="0" xfId="0"/>
    <xf numFmtId="0" fontId="9" fillId="2" borderId="20" applyAlignment="1" pivotButton="0" quotePrefix="0" xfId="0">
      <alignment horizontal="center" vertical="center"/>
    </xf>
    <xf numFmtId="0" fontId="11" fillId="2" borderId="22" applyAlignment="1" pivotButton="0" quotePrefix="0" xfId="0">
      <alignment horizontal="center" vertical="center" shrinkToFit="1"/>
    </xf>
    <xf numFmtId="0" fontId="0" fillId="2" borderId="23" pivotButton="0" quotePrefix="0" xfId="0"/>
    <xf numFmtId="0" fontId="0" fillId="2" borderId="24" pivotButton="0" quotePrefix="0" xfId="0"/>
    <xf numFmtId="0" fontId="10" fillId="2" borderId="23" applyAlignment="1" pivotButton="0" quotePrefix="0" xfId="0">
      <alignment horizontal="center" vertical="center" wrapText="1"/>
    </xf>
    <xf numFmtId="0" fontId="10" fillId="2" borderId="25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bottom" indent="1"/>
    </xf>
    <xf numFmtId="0" fontId="0" fillId="0" borderId="10" pivotButton="0" quotePrefix="0" xfId="0"/>
    <xf numFmtId="0" fontId="1" fillId="2" borderId="3" applyAlignment="1" pivotButton="0" quotePrefix="0" xfId="0">
      <alignment horizontal="left" vertical="bottom" indent="1"/>
    </xf>
    <xf numFmtId="0" fontId="0" fillId="0" borderId="27" pivotButton="0" quotePrefix="0" xfId="0"/>
    <xf numFmtId="0" fontId="2" fillId="2" borderId="11" applyAlignment="1" pivotButton="0" quotePrefix="0" xfId="0">
      <alignment horizontal="left" vertical="center" wrapText="1" indent="1"/>
    </xf>
    <xf numFmtId="0" fontId="0" fillId="0" borderId="50" pivotButton="0" quotePrefix="0" xfId="0"/>
    <xf numFmtId="0" fontId="7" fillId="5" borderId="11" applyAlignment="1" pivotButton="0" quotePrefix="0" xfId="0">
      <alignment horizontal="left" vertical="center" wrapText="1" indent="1"/>
    </xf>
    <xf numFmtId="164" fontId="2" fillId="2" borderId="11" applyAlignment="1" pivotButton="0" quotePrefix="0" xfId="0">
      <alignment horizontal="center" vertical="center" wrapText="1"/>
    </xf>
    <xf numFmtId="0" fontId="0" fillId="2" borderId="13" pivotButton="0" quotePrefix="0" xfId="0"/>
    <xf numFmtId="0" fontId="1" fillId="2" borderId="4" applyAlignment="1" pivotButton="0" quotePrefix="0" xfId="0">
      <alignment horizontal="left" vertical="bottom" indent="1"/>
    </xf>
    <xf numFmtId="0" fontId="1" fillId="2" borderId="6" applyAlignment="1" pivotButton="0" quotePrefix="0" xfId="0">
      <alignment horizontal="left" vertical="bottom" indent="1"/>
    </xf>
    <xf numFmtId="0" fontId="0" fillId="0" borderId="28" pivotButton="0" quotePrefix="0" xfId="0"/>
    <xf numFmtId="3" fontId="2" fillId="2" borderId="1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0" fillId="5" borderId="13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6" pivotButton="0" quotePrefix="0" xfId="0"/>
    <xf numFmtId="0" fontId="3" fillId="3" borderId="3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indent="1"/>
    </xf>
    <xf numFmtId="0" fontId="0" fillId="4" borderId="0" pivotButton="0" quotePrefix="0" xfId="0"/>
    <xf numFmtId="0" fontId="0" fillId="4" borderId="28" pivotButton="0" quotePrefix="0" xfId="0"/>
    <xf numFmtId="0" fontId="5" fillId="2" borderId="7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left" vertical="center" wrapText="1" indent="1"/>
    </xf>
    <xf numFmtId="0" fontId="0" fillId="0" borderId="19" pivotButton="0" quotePrefix="0" xfId="0"/>
    <xf numFmtId="0" fontId="7" fillId="2" borderId="8" applyAlignment="1" pivotButton="0" quotePrefix="0" xfId="0">
      <alignment horizontal="center" vertical="center" wrapText="1"/>
    </xf>
    <xf numFmtId="0" fontId="8" fillId="2" borderId="9" applyAlignment="1" pivotButton="0" quotePrefix="0" xfId="0">
      <alignment horizontal="left" vertical="center" wrapText="1" indent="1"/>
    </xf>
    <xf numFmtId="0" fontId="4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0" fillId="0" borderId="0" applyAlignment="1" pivotButton="0" quotePrefix="0" xfId="0">
      <alignment horizontal="left" vertical="center" wrapText="1" indent="1"/>
    </xf>
    <xf numFmtId="0" fontId="14" fillId="2" borderId="20" applyAlignment="1" pivotButton="0" quotePrefix="0" xfId="0">
      <alignment horizontal="center" vertical="center"/>
    </xf>
    <xf numFmtId="0" fontId="0" fillId="2" borderId="38" pivotButton="0" quotePrefix="0" xfId="0"/>
    <xf numFmtId="0" fontId="11" fillId="2" borderId="20" applyAlignment="1" pivotButton="0" quotePrefix="0" xfId="0">
      <alignment horizontal="center" vertical="center" shrinkToFit="1"/>
    </xf>
    <xf numFmtId="0" fontId="0" fillId="2" borderId="39" pivotButton="0" quotePrefix="0" xfId="0"/>
    <xf numFmtId="0" fontId="12" fillId="3" borderId="29" applyAlignment="1" pivotButton="0" quotePrefix="0" xfId="0">
      <alignment horizontal="center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3" borderId="30" applyAlignment="1" pivotButton="0" quotePrefix="0" xfId="0">
      <alignment horizontal="center" vertical="center" wrapText="1"/>
    </xf>
    <xf numFmtId="0" fontId="12" fillId="3" borderId="37" applyAlignment="1" pivotButton="0" quotePrefix="0" xfId="0">
      <alignment horizontal="center" vertical="center" wrapText="1"/>
    </xf>
    <xf numFmtId="0" fontId="13" fillId="0" borderId="0" pivotButton="0" quotePrefix="0" xfId="0"/>
    <xf numFmtId="49" fontId="4" fillId="2" borderId="31" applyAlignment="1" pivotButton="0" quotePrefix="0" xfId="0">
      <alignment horizontal="left" vertical="center" indent="1"/>
    </xf>
    <xf numFmtId="0" fontId="6" fillId="2" borderId="32" applyAlignment="1" pivotButton="0" quotePrefix="0" xfId="0">
      <alignment horizontal="left" vertical="center" indent="1"/>
    </xf>
    <xf numFmtId="0" fontId="6" fillId="2" borderId="33" applyAlignment="1" pivotButton="0" quotePrefix="0" xfId="0">
      <alignment horizontal="left" vertical="center" indent="1"/>
    </xf>
    <xf numFmtId="0" fontId="4" fillId="2" borderId="37" applyAlignment="1" pivotButton="0" quotePrefix="0" xfId="0">
      <alignment horizontal="left" vertical="center" indent="1"/>
    </xf>
    <xf numFmtId="49" fontId="4" fillId="2" borderId="34" applyAlignment="1" pivotButton="0" quotePrefix="0" xfId="0">
      <alignment horizontal="left" vertical="center" indent="1"/>
    </xf>
    <xf numFmtId="0" fontId="6" fillId="2" borderId="35" applyAlignment="1" pivotButton="0" quotePrefix="0" xfId="0">
      <alignment horizontal="left" vertical="center" indent="1"/>
    </xf>
    <xf numFmtId="0" fontId="6" fillId="2" borderId="36" applyAlignment="1" pivotButton="0" quotePrefix="0" xfId="0">
      <alignment horizontal="left" vertical="center" indent="1"/>
    </xf>
    <xf numFmtId="0" fontId="4" fillId="2" borderId="25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0" fontId="14" fillId="2" borderId="22" applyAlignment="1" pivotButton="0" quotePrefix="0" xfId="0">
      <alignment horizontal="center" vertical="center"/>
    </xf>
    <xf numFmtId="49" fontId="4" fillId="2" borderId="31" applyAlignment="1" pivotButton="0" quotePrefix="0" xfId="0">
      <alignment horizontal="center" vertical="center"/>
    </xf>
    <xf numFmtId="164" fontId="6" fillId="2" borderId="32" applyAlignment="1" pivotButton="0" quotePrefix="0" xfId="0">
      <alignment horizontal="center" vertical="center"/>
    </xf>
    <xf numFmtId="0" fontId="6" fillId="2" borderId="32" applyAlignment="1" pivotButton="0" quotePrefix="0" xfId="0">
      <alignment horizontal="left" vertical="center" wrapText="1" indent="1"/>
    </xf>
    <xf numFmtId="49" fontId="4" fillId="2" borderId="34" applyAlignment="1" pivotButton="0" quotePrefix="0" xfId="0">
      <alignment horizontal="center" vertical="center"/>
    </xf>
    <xf numFmtId="164" fontId="6" fillId="2" borderId="35" applyAlignment="1" pivotButton="0" quotePrefix="0" xfId="0">
      <alignment horizontal="center" vertical="center"/>
    </xf>
    <xf numFmtId="0" fontId="6" fillId="2" borderId="35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4"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6B7686"/>
      </font>
      <fill>
        <patternFill patternType="solid">
          <fgColor rgb="00EEF1F5"/>
          <bgColor rgb="00EEF1F5"/>
        </patternFill>
      </fill>
    </dxf>
    <dxf>
      <font>
        <b val="1"/>
        <color rgb="00B3261E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Responsável.</t>
      </text>
    </comment>
    <comment ref="H3" authorId="0" shapeId="0">
      <text>
        <t>Família de equipamento.</t>
      </text>
    </comment>
    <comment ref="J3" authorId="0" shapeId="0">
      <text>
        <t>Setor.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76200</colOff>
      <row>0</row>
      <rowOff>104775</rowOff>
    </from>
    <ext cx="1876425" cy="561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695325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2.xml><?xml version="1.0" encoding="utf-8"?>
<table xmlns="http://schemas.openxmlformats.org/spreadsheetml/2006/main" id="2" name="tb_pcm_pessoas" displayName="tb_pcm_pessoas" ref="F4:F29" headerRowCount="1">
  <autoFilter ref="F4:F29"/>
  <tableColumns count="1">
    <tableColumn id="6" name="nome_pessoa"/>
  </tableColumns>
  <tableStyleInfo name="TableStyleLight1" showRowStripes="0"/>
</table>
</file>

<file path=xl/tables/table3.xml><?xml version="1.0" encoding="utf-8"?>
<table xmlns="http://schemas.openxmlformats.org/spreadsheetml/2006/main" id="3" name="tb_pcm_familias" displayName="tb_pcm_familias" ref="H4:H29" headerRowCount="1">
  <autoFilter ref="H4:H29"/>
  <tableColumns count="1">
    <tableColumn id="8" name="nome_familia"/>
  </tableColumns>
  <tableStyleInfo name="TableStyleLight1" showRowStripes="0"/>
</table>
</file>

<file path=xl/tables/table4.xml><?xml version="1.0" encoding="utf-8"?>
<table xmlns="http://schemas.openxmlformats.org/spreadsheetml/2006/main" id="4" name="tb_pcm_setores" displayName="tb_pcm_setores" ref="J4:J29" headerRowCount="1">
  <autoFilter ref="J4:J29"/>
  <tableColumns count="1">
    <tableColumn id="10" name="nome_setor"/>
  </tableColumns>
  <tableStyleInfo name="TableStyleLight1" showRowStripes="0"/>
</table>
</file>

<file path=xl/tables/table5.xml><?xml version="1.0" encoding="utf-8"?>
<table xmlns="http://schemas.openxmlformats.org/spreadsheetml/2006/main" id="5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B1:F32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PCM-MAN-005  ·  Checklist de preventiva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Identificação.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</row>
    <row r="10" ht="21" customHeight="1">
      <c r="B10" s="17" t="inlineStr">
        <is>
          <t>Título do documento</t>
        </is>
      </c>
      <c r="C10" s="18" t="n"/>
      <c r="D10" s="19" t="inlineStr">
        <is>
          <t>Checklist de preventiva</t>
        </is>
      </c>
      <c r="E10" s="20" t="n"/>
      <c r="F10" s="21" t="inlineStr">
        <is>
          <t>Já vem pronto. Ajuste se quiser.</t>
        </is>
      </c>
    </row>
    <row r="11" ht="33" customHeight="1">
      <c r="B11" s="17" t="inlineStr">
        <is>
          <t>Objetivo</t>
        </is>
      </c>
      <c r="C11" s="18" t="n"/>
      <c r="D11" s="19" t="inlineStr">
        <is>
          <t>Executar a preventiva item a item e registrar o resultado com parecer automático</t>
        </is>
      </c>
      <c r="E11" s="22" t="n"/>
      <c r="F11" s="22" t="n"/>
    </row>
    <row r="12" ht="21" customHeight="1">
      <c r="B12" s="17" t="inlineStr">
        <is>
          <t>Código do documento</t>
        </is>
      </c>
      <c r="C12" s="18" t="n"/>
      <c r="D12" s="19" t="inlineStr">
        <is>
          <t>PCM-MAN-005</t>
        </is>
      </c>
      <c r="E12" s="22" t="n"/>
      <c r="F12" s="22" t="n"/>
    </row>
    <row r="13" ht="21" customHeight="1">
      <c r="B13" s="17" t="inlineStr">
        <is>
          <t>Elaborado por</t>
        </is>
      </c>
      <c r="C13" s="18" t="n"/>
      <c r="D13" s="19" t="n"/>
      <c r="E13" s="20" t="n"/>
      <c r="F13" s="23" t="inlineStr">
        <is>
          <t>✎ preencha</t>
        </is>
      </c>
    </row>
    <row r="14" ht="21" customHeight="1">
      <c r="B14" s="17" t="inlineStr">
        <is>
          <t>Aprovado por</t>
        </is>
      </c>
      <c r="C14" s="18" t="n"/>
      <c r="D14" s="19" t="n"/>
      <c r="E14" s="20" t="n"/>
      <c r="F14" s="23" t="inlineStr">
        <is>
          <t>✎ preencha</t>
        </is>
      </c>
    </row>
    <row r="15" ht="21" customHeight="1">
      <c r="B15" s="17" t="inlineStr">
        <is>
          <t>Revisão atual</t>
        </is>
      </c>
      <c r="C15" s="18" t="n"/>
      <c r="D15" s="24">
        <f>IF(COUNTA(tb_pcm_revisoes_modelo[revisao])=0,"-",INDEX(tb_pcm_revisoes_modelo[revisao],COUNTA(tb_pcm_revisoes_modelo[revisao])))</f>
        <v/>
      </c>
      <c r="E15" s="25" t="n"/>
      <c r="F15" s="21" t="inlineStr">
        <is>
          <t>automático: aba Revisões</t>
        </is>
      </c>
    </row>
    <row r="16" ht="21" customHeight="1">
      <c r="B16" s="17" t="inlineStr">
        <is>
          <t>Data da revisão</t>
        </is>
      </c>
      <c r="C16" s="18" t="n"/>
      <c r="D16" s="24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25" t="n"/>
      <c r="F16" s="21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26" t="n">
        <v>1</v>
      </c>
      <c r="C19" s="27" t="inlineStr">
        <is>
          <t>Cadastros</t>
        </is>
      </c>
      <c r="D19" s="28" t="inlineStr">
        <is>
          <t>Cadastre uma vez TAG, equipamento, família e setor, as pessoas, as famílias de equipamento, os setores. Eles aparecem nas setas ▼ das outras abas.</t>
        </is>
      </c>
      <c r="E19" s="29" t="n"/>
      <c r="F19" s="29" t="n"/>
    </row>
    <row r="20" ht="22" customHeight="1">
      <c r="B20" s="26" t="n">
        <v>2</v>
      </c>
      <c r="C20" s="30" t="inlineStr">
        <is>
          <t>Identificação</t>
        </is>
      </c>
      <c r="D20" s="28" t="inlineStr">
        <is>
          <t>Preencha TAG, data, serviço ou intervalo, técnico, horímetro e Nº da OS.</t>
        </is>
      </c>
      <c r="E20" s="29" t="n"/>
      <c r="F20" s="29" t="n"/>
    </row>
    <row r="21" ht="34" customHeight="1">
      <c r="B21" s="26" t="n">
        <v>3</v>
      </c>
      <c r="C21" s="30" t="inlineStr">
        <is>
          <t>Itens</t>
        </is>
      </c>
      <c r="D21" s="28" t="inlineStr">
        <is>
          <t>Em cada item escolha OK, Ação ou N/A e anote a observação ou a peça usada. Os itens são gerais: ajuste o texto ao seu equipamento.</t>
        </is>
      </c>
      <c r="E21" s="29" t="n"/>
      <c r="F21" s="29" t="n"/>
    </row>
    <row r="22" ht="22" customHeight="1">
      <c r="B22" s="26" t="n">
        <v>4</v>
      </c>
      <c r="C22" s="30" t="inlineStr">
        <is>
          <t>Parecer</t>
        </is>
      </c>
      <c r="D22" s="28" t="inlineStr">
        <is>
          <t>Sai sozinho: Concluído, Incompleto ou Ação necessária. Com ação, abra a OS e anote o número.</t>
        </is>
      </c>
      <c r="E22" s="29" t="n"/>
      <c r="F22" s="29" t="n"/>
    </row>
    <row r="23" ht="10" customHeight="1"/>
    <row r="24" ht="24" customHeight="1">
      <c r="B24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4" s="9" t="n"/>
      <c r="D24" s="9" t="n"/>
      <c r="E24" s="9" t="n"/>
      <c r="F24" s="9" t="n"/>
    </row>
    <row r="25" ht="21" customHeight="1">
      <c r="B25" s="31" t="inlineStr">
        <is>
          <t>▼  Lista</t>
        </is>
      </c>
      <c r="C25" s="29" t="n"/>
      <c r="D25" s="28" t="inlineStr">
        <is>
          <t>Clique na célula e escolha na seta. Valor fora da lista é recusado.</t>
        </is>
      </c>
      <c r="E25" s="29" t="n"/>
      <c r="F25" s="29" t="n"/>
    </row>
    <row r="26" ht="21" customHeight="1">
      <c r="B26" s="32" t="inlineStr">
        <is>
          <t>Célula branca</t>
        </is>
      </c>
      <c r="C26" s="22" t="n"/>
      <c r="D26" s="28" t="inlineStr">
        <is>
          <t>Campo para digitar.</t>
        </is>
      </c>
      <c r="E26" s="29" t="n"/>
      <c r="F26" s="29" t="n"/>
    </row>
    <row r="27" ht="21" customHeight="1">
      <c r="B27" s="33" t="inlineStr">
        <is>
          <t>Célula cinza</t>
        </is>
      </c>
      <c r="C27" s="34" t="n"/>
      <c r="D27" s="28" t="inlineStr">
        <is>
          <t>Cálculo automático. Não digite: a fórmula preenche sozinha.</t>
        </is>
      </c>
      <c r="E27" s="29" t="n"/>
      <c r="F27" s="29" t="n"/>
    </row>
    <row r="28" ht="21" customHeight="1">
      <c r="B28" s="31" t="inlineStr">
        <is>
          <t>Datas e números</t>
        </is>
      </c>
      <c r="C28" s="29" t="n"/>
      <c r="D28" s="28" t="inlineStr">
        <is>
          <t>Datas em dd/mm/aaaa; decimais com vírgula. Vazio = sem informação; zero é valor real.</t>
        </is>
      </c>
      <c r="E28" s="29" t="n"/>
      <c r="F28" s="29" t="n"/>
    </row>
    <row r="29" ht="21" customHeight="1">
      <c r="B29" s="31" t="inlineStr">
        <is>
          <t>Impressão</t>
        </is>
      </c>
      <c r="C29" s="29" t="n"/>
      <c r="D29" s="28" t="inlineStr">
        <is>
          <t>Cada aba já está ajustada para uma folha A4. Use Arquivo &gt; Imprimir sem mudar a escala.</t>
        </is>
      </c>
      <c r="E29" s="29" t="n"/>
      <c r="F29" s="29" t="n"/>
    </row>
    <row r="30" ht="12" customHeight="1"/>
    <row r="31" ht="22" customHeight="1">
      <c r="B31" s="35" t="n"/>
      <c r="C31" s="35" t="n"/>
      <c r="D31" s="36" t="inlineStr">
        <is>
          <t>SOBRE O PCM DIRETO</t>
        </is>
      </c>
      <c r="E31" s="35" t="n"/>
      <c r="F31" s="37" t="inlineStr">
        <is>
          <t>pcmdireto.me</t>
        </is>
      </c>
    </row>
    <row r="32" ht="34" customHeight="1">
      <c r="B32" s="38" t="n"/>
      <c r="C32" s="38" t="n"/>
      <c r="D32" s="39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2" s="38" t="n"/>
      <c r="F32" s="38" t="n"/>
    </row>
  </sheetData>
  <mergeCells count="41">
    <mergeCell ref="D11:F11"/>
    <mergeCell ref="B16:C16"/>
    <mergeCell ref="D10:E10"/>
    <mergeCell ref="B7:C7"/>
    <mergeCell ref="B25:C25"/>
    <mergeCell ref="D1:E1"/>
    <mergeCell ref="D27:F27"/>
    <mergeCell ref="D32:F32"/>
    <mergeCell ref="B27:C27"/>
    <mergeCell ref="D31:E31"/>
    <mergeCell ref="B18:F18"/>
    <mergeCell ref="B12:C12"/>
    <mergeCell ref="D28:F28"/>
    <mergeCell ref="D2:E2"/>
    <mergeCell ref="B11:C11"/>
    <mergeCell ref="D13:E13"/>
    <mergeCell ref="D12:F12"/>
    <mergeCell ref="B14:C14"/>
    <mergeCell ref="D25:F25"/>
    <mergeCell ref="B1:C3"/>
    <mergeCell ref="B13:C13"/>
    <mergeCell ref="D16:E16"/>
    <mergeCell ref="D29:F29"/>
    <mergeCell ref="B29:C29"/>
    <mergeCell ref="B10:C10"/>
    <mergeCell ref="B28:C28"/>
    <mergeCell ref="B31:C32"/>
    <mergeCell ref="D26:F26"/>
    <mergeCell ref="D3:E3"/>
    <mergeCell ref="D20:F20"/>
    <mergeCell ref="B9:F9"/>
    <mergeCell ref="B6:C6"/>
    <mergeCell ref="D19:F19"/>
    <mergeCell ref="B15:C15"/>
    <mergeCell ref="B24:F24"/>
    <mergeCell ref="D15:E15"/>
    <mergeCell ref="D22:F22"/>
    <mergeCell ref="B5:F5"/>
    <mergeCell ref="D14:E14"/>
    <mergeCell ref="B26:C26"/>
    <mergeCell ref="D21:F21"/>
  </mergeCells>
  <hyperlinks>
    <hyperlink xmlns:r="http://schemas.openxmlformats.org/officeDocument/2006/relationships" ref="F2" r:id="rId1"/>
    <hyperlink ref="C19" location="'Cadastros'!A1" display="Cadastros"/>
    <hyperlink xmlns:r="http://schemas.openxmlformats.org/officeDocument/2006/relationships" ref="F31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&amp;K4A5668PCM-MAN-005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E52"/>
  <sheetViews>
    <sheetView showGridLines="0" tabSelected="0" zoomScale="9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2" customWidth="1" min="4" max="4"/>
    <col width="36" customWidth="1" min="5" max="5"/>
  </cols>
  <sheetData>
    <row r="1" ht="30.75" customHeight="1">
      <c r="A1" s="40" t="n"/>
      <c r="B1" s="41" t="n"/>
      <c r="C1" s="42">
        <f>'Leia-me'!$D$10</f>
        <v/>
      </c>
      <c r="D1" s="41" t="n"/>
      <c r="E1" s="43">
        <f>"Rev. "&amp;'Leia-me'!$D$15&amp;"   ·   "&amp;'Leia-me'!$D$16</f>
        <v/>
      </c>
    </row>
    <row r="2" ht="31" customHeight="1">
      <c r="A2" s="44" t="n"/>
      <c r="B2" s="45" t="n"/>
      <c r="C2" s="46">
        <f>"Objetivo: "&amp;'Leia-me'!$D$11</f>
        <v/>
      </c>
      <c r="D2" s="45" t="n"/>
      <c r="E2" s="47">
        <f>"Elaborado: "&amp;'Leia-me'!$D$13&amp;"   ·   Aprovado: "&amp;'Leia-me'!$D$14</f>
        <v/>
      </c>
    </row>
    <row r="3" ht="12" customHeight="1">
      <c r="A3" s="48" t="inlineStr">
        <is>
          <t>TAG do equipamento ▼</t>
        </is>
      </c>
      <c r="B3" s="49" t="n"/>
      <c r="C3" s="48" t="inlineStr">
        <is>
          <t>Equipamento</t>
        </is>
      </c>
      <c r="D3" s="50" t="inlineStr">
        <is>
          <t>Data do serviço</t>
        </is>
      </c>
      <c r="E3" s="51" t="n"/>
    </row>
    <row r="4" ht="22" customHeight="1">
      <c r="A4" s="52" t="n"/>
      <c r="B4" s="53" t="n"/>
      <c r="C4" s="54">
        <f>IF(A4="","",IFERROR(INDEX(tb_pcm_ativos[descricao_ativo],MATCH(A4,tb_pcm_ativos[tag],0)),"fora do cadastro"))</f>
        <v/>
      </c>
      <c r="D4" s="55" t="n"/>
      <c r="E4" s="56" t="n"/>
    </row>
    <row r="5" ht="12" customHeight="1">
      <c r="A5" s="57" t="inlineStr">
        <is>
          <t>Serviço ou intervalo (ex.: mensal, 500 h)</t>
        </is>
      </c>
      <c r="D5" s="58" t="inlineStr">
        <is>
          <t>Técnico ▼</t>
        </is>
      </c>
      <c r="E5" s="59" t="n"/>
    </row>
    <row r="6" ht="22" customHeight="1">
      <c r="A6" s="52" t="n"/>
      <c r="B6" s="20" t="n"/>
      <c r="C6" s="56" t="n"/>
      <c r="D6" s="52" t="n"/>
      <c r="E6" s="56" t="n"/>
    </row>
    <row r="7" ht="12" customHeight="1">
      <c r="A7" s="57" t="inlineStr">
        <is>
          <t>Horímetro ou contador no serviço</t>
        </is>
      </c>
      <c r="D7" s="58" t="inlineStr">
        <is>
          <t>Próximo serviço (data ou horas)</t>
        </is>
      </c>
      <c r="E7" s="59" t="n"/>
    </row>
    <row r="8" ht="22" customHeight="1">
      <c r="A8" s="60" t="n"/>
      <c r="B8" s="20" t="n"/>
      <c r="C8" s="56" t="n"/>
      <c r="D8" s="61" t="n"/>
      <c r="E8" s="56" t="n"/>
    </row>
    <row r="9" ht="12" customHeight="1">
      <c r="A9" s="57" t="inlineStr">
        <is>
          <t>Nº da OS</t>
        </is>
      </c>
      <c r="D9" s="58" t="inlineStr">
        <is>
          <t>Parecer</t>
        </is>
      </c>
      <c r="E9" s="59" t="n"/>
    </row>
    <row r="10" ht="22" customHeight="1">
      <c r="A10" s="61" t="n"/>
      <c r="B10" s="20" t="n"/>
      <c r="C10" s="56" t="n"/>
      <c r="D10" s="62">
        <f>IF(COUNTA(D14:D18,D20:D24,D26:D29,D31:D34,D36:D40,D42:D45,D47:D49)=0,"",IF(COUNTIF(D14:D18,"Ação")+COUNTIF(D20:D24,"Ação")+COUNTIF(D26:D29,"Ação")+COUNTIF(D31:D34,"Ação")+COUNTIF(D36:D40,"Ação")+COUNTIF(D42:D45,"Ação")+COUNTIF(D47:D49,"Ação")&gt;0,"Ação necessária: abrir OS",IF(COUNTA(D14:D18,D20:D24,D26:D29,D31:D34,D36:D40,D42:D45,D47:D49)&lt;30,"Incompleto ("&amp;COUNTA(D14:D18,D20:D24,D26:D29,D31:D34,D36:D40,D42:D45,D47:D49)&amp;" de 30)","Concluído")))</f>
        <v/>
      </c>
      <c r="E10" s="63" t="n"/>
    </row>
    <row r="11" ht="8" customHeight="1">
      <c r="A11" s="64" t="n"/>
      <c r="B11" s="64" t="n"/>
      <c r="C11" s="64" t="n"/>
      <c r="D11" s="64" t="n"/>
      <c r="E11" s="64" t="n"/>
    </row>
    <row r="12" ht="20" customHeight="1">
      <c r="A12" s="65" t="inlineStr">
        <is>
          <t>Nº</t>
        </is>
      </c>
      <c r="B12" s="66" t="inlineStr">
        <is>
          <t>O que verificar</t>
        </is>
      </c>
      <c r="C12" s="67" t="n"/>
      <c r="D12" s="66" t="inlineStr">
        <is>
          <t>Resultado ▼</t>
        </is>
      </c>
      <c r="E12" s="68" t="inlineStr">
        <is>
          <t>Observação ou peça usada</t>
        </is>
      </c>
    </row>
    <row r="13" ht="17" customHeight="1">
      <c r="A13" s="69" t="inlineStr">
        <is>
          <t>1  Inspeção geral</t>
        </is>
      </c>
      <c r="B13" s="70" t="n"/>
      <c r="C13" s="70" t="n"/>
      <c r="D13" s="70" t="n"/>
      <c r="E13" s="71" t="n"/>
    </row>
    <row r="14" ht="17" customHeight="1">
      <c r="A14" s="72" t="n">
        <v>1</v>
      </c>
      <c r="B14" s="73" t="inlineStr">
        <is>
          <t>Estado geral sem dano, desgaste ou corrosão</t>
        </is>
      </c>
      <c r="C14" s="74" t="n"/>
      <c r="D14" s="75" t="n"/>
      <c r="E14" s="76" t="n"/>
    </row>
    <row r="15" ht="17" customHeight="1">
      <c r="A15" s="72" t="n">
        <v>2</v>
      </c>
      <c r="B15" s="73" t="inlineStr">
        <is>
          <t>Sem vazamento de óleo, ar, água ou fluido</t>
        </is>
      </c>
      <c r="C15" s="74" t="n"/>
      <c r="D15" s="75" t="n"/>
      <c r="E15" s="76" t="n"/>
    </row>
    <row r="16" ht="17" customHeight="1">
      <c r="A16" s="72" t="n">
        <v>3</v>
      </c>
      <c r="B16" s="73" t="inlineStr">
        <is>
          <t>Placas e sinalização de segurança legíveis</t>
        </is>
      </c>
      <c r="C16" s="74" t="n"/>
      <c r="D16" s="75" t="n"/>
      <c r="E16" s="76" t="n"/>
    </row>
    <row r="17" ht="17" customHeight="1">
      <c r="A17" s="72" t="n">
        <v>4</v>
      </c>
      <c r="B17" s="73" t="inlineStr">
        <is>
          <t>Proteções e guardas firmes e sem dano</t>
        </is>
      </c>
      <c r="C17" s="74" t="n"/>
      <c r="D17" s="75" t="n"/>
      <c r="E17" s="76" t="n"/>
    </row>
    <row r="18" ht="17" customHeight="1">
      <c r="A18" s="72" t="n">
        <v>5</v>
      </c>
      <c r="B18" s="73" t="inlineStr">
        <is>
          <t>Acessos, plataformas e corrimãos seguros</t>
        </is>
      </c>
      <c r="C18" s="74" t="n"/>
      <c r="D18" s="75" t="n"/>
      <c r="E18" s="76" t="n"/>
    </row>
    <row r="19" ht="17" customHeight="1">
      <c r="A19" s="69" t="inlineStr">
        <is>
          <t>2  Fluidos e filtros</t>
        </is>
      </c>
      <c r="B19" s="70" t="n"/>
      <c r="C19" s="70" t="n"/>
      <c r="D19" s="70" t="n"/>
      <c r="E19" s="71" t="n"/>
    </row>
    <row r="20" ht="17" customHeight="1">
      <c r="A20" s="72" t="n">
        <v>6</v>
      </c>
      <c r="B20" s="73" t="inlineStr">
        <is>
          <t>Nível e estado do óleo hidráulico</t>
        </is>
      </c>
      <c r="C20" s="74" t="n"/>
      <c r="D20" s="75" t="n"/>
      <c r="E20" s="76" t="n"/>
    </row>
    <row r="21" ht="17" customHeight="1">
      <c r="A21" s="72" t="n">
        <v>7</v>
      </c>
      <c r="B21" s="73" t="inlineStr">
        <is>
          <t>Nível e estado do óleo do redutor ou caixa</t>
        </is>
      </c>
      <c r="C21" s="74" t="n"/>
      <c r="D21" s="75" t="n"/>
      <c r="E21" s="76" t="n"/>
    </row>
    <row r="22" ht="17" customHeight="1">
      <c r="A22" s="72" t="n">
        <v>8</v>
      </c>
      <c r="B22" s="73" t="inlineStr">
        <is>
          <t>Filtros de óleo trocados, se vencidos</t>
        </is>
      </c>
      <c r="C22" s="74" t="n"/>
      <c r="D22" s="75" t="n"/>
      <c r="E22" s="76" t="n"/>
    </row>
    <row r="23" ht="17" customHeight="1">
      <c r="A23" s="72" t="n">
        <v>9</v>
      </c>
      <c r="B23" s="73" t="inlineStr">
        <is>
          <t>Filtros de ar e respiros limpos ou trocados</t>
        </is>
      </c>
      <c r="C23" s="74" t="n"/>
      <c r="D23" s="75" t="n"/>
      <c r="E23" s="76" t="n"/>
    </row>
    <row r="24" ht="17" customHeight="1">
      <c r="A24" s="72" t="n">
        <v>10</v>
      </c>
      <c r="B24" s="73" t="inlineStr">
        <is>
          <t>Fluido de arrefecimento no nível</t>
        </is>
      </c>
      <c r="C24" s="74" t="n"/>
      <c r="D24" s="75" t="n"/>
      <c r="E24" s="76" t="n"/>
    </row>
    <row r="25" ht="17" customHeight="1">
      <c r="A25" s="69" t="inlineStr">
        <is>
          <t>3  Lubrificação</t>
        </is>
      </c>
      <c r="B25" s="70" t="n"/>
      <c r="C25" s="70" t="n"/>
      <c r="D25" s="70" t="n"/>
      <c r="E25" s="71" t="n"/>
    </row>
    <row r="26" ht="17" customHeight="1">
      <c r="A26" s="72" t="n">
        <v>11</v>
      </c>
      <c r="B26" s="73" t="inlineStr">
        <is>
          <t>Pontos de graxa lubrificados com o lubrificante certo</t>
        </is>
      </c>
      <c r="C26" s="74" t="n"/>
      <c r="D26" s="75" t="n"/>
      <c r="E26" s="76" t="n"/>
    </row>
    <row r="27" ht="17" customHeight="1">
      <c r="A27" s="72" t="n">
        <v>12</v>
      </c>
      <c r="B27" s="73" t="inlineStr">
        <is>
          <t>Mancais e rolamentos sem ruído ou aquecimento</t>
        </is>
      </c>
      <c r="C27" s="74" t="n"/>
      <c r="D27" s="75" t="n"/>
      <c r="E27" s="76" t="n"/>
    </row>
    <row r="28" ht="17" customHeight="1">
      <c r="A28" s="72" t="n">
        <v>13</v>
      </c>
      <c r="B28" s="73" t="inlineStr">
        <is>
          <t>Correntes e guias lubrificadas</t>
        </is>
      </c>
      <c r="C28" s="74" t="n"/>
      <c r="D28" s="75" t="n"/>
      <c r="E28" s="76" t="n"/>
    </row>
    <row r="29" ht="17" customHeight="1">
      <c r="A29" s="72" t="n">
        <v>14</v>
      </c>
      <c r="B29" s="73" t="inlineStr">
        <is>
          <t>Lubrificação automática funcionando</t>
        </is>
      </c>
      <c r="C29" s="74" t="n"/>
      <c r="D29" s="75" t="n"/>
      <c r="E29" s="76" t="n"/>
    </row>
    <row r="30" ht="17" customHeight="1">
      <c r="A30" s="69" t="inlineStr">
        <is>
          <t>4  Transmissões e mangueiras</t>
        </is>
      </c>
      <c r="B30" s="70" t="n"/>
      <c r="C30" s="70" t="n"/>
      <c r="D30" s="70" t="n"/>
      <c r="E30" s="71" t="n"/>
    </row>
    <row r="31" ht="17" customHeight="1">
      <c r="A31" s="72" t="n">
        <v>15</v>
      </c>
      <c r="B31" s="73" t="inlineStr">
        <is>
          <t>Correias com tensão e estado corretos</t>
        </is>
      </c>
      <c r="C31" s="74" t="n"/>
      <c r="D31" s="75" t="n"/>
      <c r="E31" s="76" t="n"/>
    </row>
    <row r="32" ht="17" customHeight="1">
      <c r="A32" s="72" t="n">
        <v>16</v>
      </c>
      <c r="B32" s="73" t="inlineStr">
        <is>
          <t>Acoplamentos e alinhamento sem folga</t>
        </is>
      </c>
      <c r="C32" s="74" t="n"/>
      <c r="D32" s="75" t="n"/>
      <c r="E32" s="76" t="n"/>
    </row>
    <row r="33" ht="17" customHeight="1">
      <c r="A33" s="72" t="n">
        <v>17</v>
      </c>
      <c r="B33" s="73" t="inlineStr">
        <is>
          <t>Mangueiras e conexões sem vazamento ou desgaste</t>
        </is>
      </c>
      <c r="C33" s="74" t="n"/>
      <c r="D33" s="75" t="n"/>
      <c r="E33" s="76" t="n"/>
    </row>
    <row r="34" ht="17" customHeight="1">
      <c r="A34" s="72" t="n">
        <v>18</v>
      </c>
      <c r="B34" s="73" t="inlineStr">
        <is>
          <t>Engrenagens e correntes sem desgaste anormal</t>
        </is>
      </c>
      <c r="C34" s="74" t="n"/>
      <c r="D34" s="75" t="n"/>
      <c r="E34" s="76" t="n"/>
    </row>
    <row r="35" ht="17" customHeight="1">
      <c r="A35" s="69" t="inlineStr">
        <is>
          <t>5  Elétrica e comandos</t>
        </is>
      </c>
      <c r="B35" s="70" t="n"/>
      <c r="C35" s="70" t="n"/>
      <c r="D35" s="70" t="n"/>
      <c r="E35" s="71" t="n"/>
    </row>
    <row r="36" ht="17" customHeight="1">
      <c r="A36" s="72" t="n">
        <v>19</v>
      </c>
      <c r="B36" s="73" t="inlineStr">
        <is>
          <t>Painel limpo, fechado e sem aquecimento</t>
        </is>
      </c>
      <c r="C36" s="74" t="n"/>
      <c r="D36" s="75" t="n"/>
      <c r="E36" s="76" t="n"/>
    </row>
    <row r="37" ht="17" customHeight="1">
      <c r="A37" s="72" t="n">
        <v>20</v>
      </c>
      <c r="B37" s="73" t="inlineStr">
        <is>
          <t>Cabos, bornes e aterramento firmes</t>
        </is>
      </c>
      <c r="C37" s="74" t="n"/>
      <c r="D37" s="75" t="n"/>
      <c r="E37" s="76" t="n"/>
    </row>
    <row r="38" ht="17" customHeight="1">
      <c r="A38" s="72" t="n">
        <v>21</v>
      </c>
      <c r="B38" s="73" t="inlineStr">
        <is>
          <t>Motores sem aquecimento ou ruído anormal</t>
        </is>
      </c>
      <c r="C38" s="74" t="n"/>
      <c r="D38" s="75" t="n"/>
      <c r="E38" s="76" t="n"/>
    </row>
    <row r="39" ht="17" customHeight="1">
      <c r="A39" s="72" t="n">
        <v>22</v>
      </c>
      <c r="B39" s="73" t="inlineStr">
        <is>
          <t>Instrumentos e indicadores funcionando</t>
        </is>
      </c>
      <c r="C39" s="74" t="n"/>
      <c r="D39" s="75" t="n"/>
      <c r="E39" s="76" t="n"/>
    </row>
    <row r="40" ht="17" customHeight="1">
      <c r="A40" s="72" t="n">
        <v>23</v>
      </c>
      <c r="B40" s="73" t="inlineStr">
        <is>
          <t>Alarmes e sinalizadores testados</t>
        </is>
      </c>
      <c r="C40" s="74" t="n"/>
      <c r="D40" s="75" t="n"/>
      <c r="E40" s="76" t="n"/>
    </row>
    <row r="41" ht="17" customHeight="1">
      <c r="A41" s="69" t="inlineStr">
        <is>
          <t>6  Segurança</t>
        </is>
      </c>
      <c r="B41" s="70" t="n"/>
      <c r="C41" s="70" t="n"/>
      <c r="D41" s="70" t="n"/>
      <c r="E41" s="71" t="n"/>
    </row>
    <row r="42" ht="17" customHeight="1">
      <c r="A42" s="72" t="n">
        <v>24</v>
      </c>
      <c r="B42" s="73" t="inlineStr">
        <is>
          <t>Parada de emergência testada</t>
        </is>
      </c>
      <c r="C42" s="74" t="n"/>
      <c r="D42" s="75" t="n"/>
      <c r="E42" s="76" t="n"/>
    </row>
    <row r="43" ht="17" customHeight="1">
      <c r="A43" s="72" t="n">
        <v>25</v>
      </c>
      <c r="B43" s="73" t="inlineStr">
        <is>
          <t>Intertravamentos e sensores de segurança testados</t>
        </is>
      </c>
      <c r="C43" s="74" t="n"/>
      <c r="D43" s="75" t="n"/>
      <c r="E43" s="76" t="n"/>
    </row>
    <row r="44" ht="17" customHeight="1">
      <c r="A44" s="72" t="n">
        <v>26</v>
      </c>
      <c r="B44" s="73" t="inlineStr">
        <is>
          <t>Extintor no lugar e na validade</t>
        </is>
      </c>
      <c r="C44" s="74" t="n"/>
      <c r="D44" s="75" t="n"/>
      <c r="E44" s="76" t="n"/>
    </row>
    <row r="45" ht="17" customHeight="1">
      <c r="A45" s="72" t="n">
        <v>27</v>
      </c>
      <c r="B45" s="73" t="inlineStr">
        <is>
          <t>Bloqueio retirado e área liberada</t>
        </is>
      </c>
      <c r="C45" s="74" t="n"/>
      <c r="D45" s="75" t="n"/>
      <c r="E45" s="76" t="n"/>
    </row>
    <row r="46" ht="17" customHeight="1">
      <c r="A46" s="69" t="inlineStr">
        <is>
          <t>7  Fixações e fechamento</t>
        </is>
      </c>
      <c r="B46" s="70" t="n"/>
      <c r="C46" s="70" t="n"/>
      <c r="D46" s="70" t="n"/>
      <c r="E46" s="71" t="n"/>
    </row>
    <row r="47" ht="17" customHeight="1">
      <c r="A47" s="72" t="n">
        <v>28</v>
      </c>
      <c r="B47" s="73" t="inlineStr">
        <is>
          <t>Parafusos e fixações críticas reapertados</t>
        </is>
      </c>
      <c r="C47" s="74" t="n"/>
      <c r="D47" s="75" t="n"/>
      <c r="E47" s="76" t="n"/>
    </row>
    <row r="48" ht="17" customHeight="1">
      <c r="A48" s="72" t="n">
        <v>29</v>
      </c>
      <c r="B48" s="73" t="inlineStr">
        <is>
          <t>Folgas de pinos, buchas e guias na tolerância</t>
        </is>
      </c>
      <c r="C48" s="74" t="n"/>
      <c r="D48" s="75" t="n"/>
      <c r="E48" s="76" t="n"/>
    </row>
    <row r="49" ht="17" customHeight="1">
      <c r="A49" s="72" t="n">
        <v>30</v>
      </c>
      <c r="B49" s="73" t="inlineStr">
        <is>
          <t>Máquina limpa e área organizada</t>
        </is>
      </c>
      <c r="C49" s="74" t="n"/>
      <c r="D49" s="75" t="n"/>
      <c r="E49" s="76" t="n"/>
    </row>
    <row r="50" ht="8" customHeight="1">
      <c r="A50" s="64" t="n"/>
      <c r="B50" s="64" t="n"/>
      <c r="C50" s="64" t="n"/>
      <c r="D50" s="64" t="n"/>
      <c r="E50" s="64" t="n"/>
    </row>
    <row r="51" ht="20" customHeight="1">
      <c r="A51" s="77">
        <f>"Resumo:   OK "&amp;(COUNTIF(D14:D18,"OK")+COUNTIF(D20:D24,"OK")+COUNTIF(D26:D29,"OK")+COUNTIF(D31:D34,"OK")+COUNTIF(D36:D40,"OK")+COUNTIF(D42:D45,"OK")+COUNTIF(D47:D49,"OK"))&amp;"     ·     Ação "&amp;(COUNTIF(D14:D18,"Ação")+COUNTIF(D20:D24,"Ação")+COUNTIF(D26:D29,"Ação")+COUNTIF(D31:D34,"Ação")+COUNTIF(D36:D40,"Ação")+COUNTIF(D42:D45,"Ação")+COUNTIF(D47:D49,"Ação"))&amp;"     ·     N/A "&amp;(COUNTIF(D14:D18,"N/A")+COUNTIF(D20:D24,"N/A")+COUNTIF(D26:D29,"N/A")+COUNTIF(D31:D34,"N/A")+COUNTIF(D36:D40,"N/A")+COUNTIF(D42:D45,"N/A")+COUNTIF(D47:D49,"N/A"))&amp;"     ·     Sem resposta "&amp;(30-COUNTA(D14:D18,D20:D24,D26:D29,D31:D34,D36:D40,D42:D45,D47:D49))</f>
        <v/>
      </c>
      <c r="B51" s="78" t="n"/>
      <c r="C51" s="78" t="n"/>
      <c r="D51" s="78" t="n"/>
      <c r="E51" s="78" t="n"/>
    </row>
    <row r="52" ht="30" customHeight="1">
      <c r="A52" s="79" t="inlineStr">
        <is>
          <r>
            <rPr>
              <rFont val="Arial"/>
              <b val="1"/>
              <color rgb="006B7686"/>
              <sz val="8"/>
            </rPr>
            <t xml:space="preserve">Resultado:   </t>
          </r>
          <r>
            <rPr>
              <rFont val="Arial"/>
              <b val="1"/>
              <color rgb="001E7A46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OK: feito ou em ordem     </t>
          </r>
          <r>
            <rPr>
              <rFont val="Arial"/>
              <b val="1"/>
              <color rgb="00E0A100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Ação: reparar ou trocar (descreva e abra OS)     </t>
          </r>
          <r>
            <rPr>
              <rFont val="Arial"/>
              <b val="1"/>
              <color rgb="006B7686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>N/A: não se aplica</t>
          </r>
        </is>
      </c>
    </row>
  </sheetData>
  <mergeCells count="61">
    <mergeCell ref="A30:E30"/>
    <mergeCell ref="B47:C47"/>
    <mergeCell ref="B16:C16"/>
    <mergeCell ref="D10:E10"/>
    <mergeCell ref="A51:E51"/>
    <mergeCell ref="B22:C22"/>
    <mergeCell ref="B31:C31"/>
    <mergeCell ref="B18:C18"/>
    <mergeCell ref="B27:C27"/>
    <mergeCell ref="B43:C43"/>
    <mergeCell ref="B12:C12"/>
    <mergeCell ref="B39:C39"/>
    <mergeCell ref="D6:E6"/>
    <mergeCell ref="B21:C21"/>
    <mergeCell ref="B48:C48"/>
    <mergeCell ref="A5:C5"/>
    <mergeCell ref="C1:D1"/>
    <mergeCell ref="A8:C8"/>
    <mergeCell ref="A25:E25"/>
    <mergeCell ref="A41:E41"/>
    <mergeCell ref="B42:C42"/>
    <mergeCell ref="B23:C23"/>
    <mergeCell ref="B14:C14"/>
    <mergeCell ref="A46:E46"/>
    <mergeCell ref="B17:C17"/>
    <mergeCell ref="A3:B3"/>
    <mergeCell ref="A10:C10"/>
    <mergeCell ref="B38:C38"/>
    <mergeCell ref="B44:C44"/>
    <mergeCell ref="D7:E7"/>
    <mergeCell ref="B29:C29"/>
    <mergeCell ref="C2:D2"/>
    <mergeCell ref="B34:C34"/>
    <mergeCell ref="B37:C37"/>
    <mergeCell ref="B28:C28"/>
    <mergeCell ref="A9:C9"/>
    <mergeCell ref="E1"/>
    <mergeCell ref="D4:E4"/>
    <mergeCell ref="B40:C40"/>
    <mergeCell ref="A1:B2"/>
    <mergeCell ref="D9:E9"/>
    <mergeCell ref="D3:E3"/>
    <mergeCell ref="B49:C49"/>
    <mergeCell ref="D8:E8"/>
    <mergeCell ref="A4:B4"/>
    <mergeCell ref="B24:C24"/>
    <mergeCell ref="A35:E35"/>
    <mergeCell ref="B15:C15"/>
    <mergeCell ref="B33:C33"/>
    <mergeCell ref="A52:E52"/>
    <mergeCell ref="B20:C20"/>
    <mergeCell ref="A6:C6"/>
    <mergeCell ref="D5:E5"/>
    <mergeCell ref="A19:E19"/>
    <mergeCell ref="B45:C45"/>
    <mergeCell ref="B36:C36"/>
    <mergeCell ref="B32:C32"/>
    <mergeCell ref="A13:E13"/>
    <mergeCell ref="B26:C26"/>
    <mergeCell ref="E2"/>
    <mergeCell ref="A7:C7"/>
  </mergeCells>
  <conditionalFormatting sqref="D14:D18">
    <cfRule type="expression" priority="1" dxfId="0" stopIfTrue="1">
      <formula>D14="OK"</formula>
    </cfRule>
    <cfRule type="expression" priority="2" dxfId="1" stopIfTrue="1">
      <formula>D14="Ação"</formula>
    </cfRule>
    <cfRule type="expression" priority="3" dxfId="2" stopIfTrue="1">
      <formula>D14="N/A"</formula>
    </cfRule>
  </conditionalFormatting>
  <conditionalFormatting sqref="D20:D24">
    <cfRule type="expression" priority="4" dxfId="0" stopIfTrue="1">
      <formula>D20="OK"</formula>
    </cfRule>
    <cfRule type="expression" priority="5" dxfId="1" stopIfTrue="1">
      <formula>D20="Ação"</formula>
    </cfRule>
    <cfRule type="expression" priority="6" dxfId="2" stopIfTrue="1">
      <formula>D20="N/A"</formula>
    </cfRule>
  </conditionalFormatting>
  <conditionalFormatting sqref="D26:D29">
    <cfRule type="expression" priority="7" dxfId="0" stopIfTrue="1">
      <formula>D26="OK"</formula>
    </cfRule>
    <cfRule type="expression" priority="8" dxfId="1" stopIfTrue="1">
      <formula>D26="Ação"</formula>
    </cfRule>
    <cfRule type="expression" priority="9" dxfId="2" stopIfTrue="1">
      <formula>D26="N/A"</formula>
    </cfRule>
  </conditionalFormatting>
  <conditionalFormatting sqref="D31:D34">
    <cfRule type="expression" priority="10" dxfId="0" stopIfTrue="1">
      <formula>D31="OK"</formula>
    </cfRule>
    <cfRule type="expression" priority="11" dxfId="1" stopIfTrue="1">
      <formula>D31="Ação"</formula>
    </cfRule>
    <cfRule type="expression" priority="12" dxfId="2" stopIfTrue="1">
      <formula>D31="N/A"</formula>
    </cfRule>
  </conditionalFormatting>
  <conditionalFormatting sqref="D36:D40">
    <cfRule type="expression" priority="13" dxfId="0" stopIfTrue="1">
      <formula>D36="OK"</formula>
    </cfRule>
    <cfRule type="expression" priority="14" dxfId="1" stopIfTrue="1">
      <formula>D36="Ação"</formula>
    </cfRule>
    <cfRule type="expression" priority="15" dxfId="2" stopIfTrue="1">
      <formula>D36="N/A"</formula>
    </cfRule>
  </conditionalFormatting>
  <conditionalFormatting sqref="D42:D45">
    <cfRule type="expression" priority="16" dxfId="0" stopIfTrue="1">
      <formula>D42="OK"</formula>
    </cfRule>
    <cfRule type="expression" priority="17" dxfId="1" stopIfTrue="1">
      <formula>D42="Ação"</formula>
    </cfRule>
    <cfRule type="expression" priority="18" dxfId="2" stopIfTrue="1">
      <formula>D42="N/A"</formula>
    </cfRule>
  </conditionalFormatting>
  <conditionalFormatting sqref="D47:D49">
    <cfRule type="expression" priority="19" dxfId="0" stopIfTrue="1">
      <formula>D47="OK"</formula>
    </cfRule>
    <cfRule type="expression" priority="20" dxfId="1" stopIfTrue="1">
      <formula>D47="Ação"</formula>
    </cfRule>
    <cfRule type="expression" priority="21" dxfId="2" stopIfTrue="1">
      <formula>D47="N/A"</formula>
    </cfRule>
  </conditionalFormatting>
  <conditionalFormatting sqref="D10">
    <cfRule type="expression" priority="22" dxfId="0" stopIfTrue="1">
      <formula>D10="Concluído"</formula>
    </cfRule>
    <cfRule type="expression" priority="23" dxfId="3" stopIfTrue="1">
      <formula>LEFT($D$10,4)="Ação"</formula>
    </cfRule>
    <cfRule type="expression" priority="24" dxfId="1" stopIfTrue="1">
      <formula>LEFT($D$10,4)="Inco"</formula>
    </cfRule>
  </conditionalFormatting>
  <dataValidations count="11">
    <dataValidation sqref="A4" showDropDown="0" showInputMessage="0" showErrorMessage="1" allowBlank="1" errorTitle="Valor fora da lista" error="Escolha um item da lista." type="list" errorStyle="stop">
      <formula1>L_TAGS</formula1>
    </dataValidation>
    <dataValidation sqref="D6" showDropDown="0" showInputMessage="0" showErrorMessage="1" allowBlank="1" errorTitle="Valor fora da lista" error="Escolha um item da lista." type="list" errorStyle="stop">
      <formula1>L_PESSOAS</formula1>
    </dataValidation>
    <dataValidation sqref="D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A8" showDropDown="0" showInputMessage="0" showErrorMessage="1" allowBlank="1" errorTitle="Número inválido" error="Digite um número maior ou igual a 0." type="decimal" errorStyle="stop" operator="greaterThanOrEqual">
      <formula1>0</formula1>
    </dataValidation>
    <dataValidation sqref="D14:D18" showDropDown="0" showInputMessage="0" showErrorMessage="1" allowBlank="1" errorTitle="Valor fora da lista" error="Escolha um item da lista." type="list" errorStyle="stop">
      <formula1>"OK,Ação,N/A"</formula1>
    </dataValidation>
    <dataValidation sqref="D20:D24" showDropDown="0" showInputMessage="0" showErrorMessage="1" allowBlank="1" errorTitle="Valor fora da lista" error="Escolha um item da lista." type="list" errorStyle="stop">
      <formula1>"OK,Ação,N/A"</formula1>
    </dataValidation>
    <dataValidation sqref="D26:D29" showDropDown="0" showInputMessage="0" showErrorMessage="1" allowBlank="1" errorTitle="Valor fora da lista" error="Escolha um item da lista." type="list" errorStyle="stop">
      <formula1>"OK,Ação,N/A"</formula1>
    </dataValidation>
    <dataValidation sqref="D31:D34" showDropDown="0" showInputMessage="0" showErrorMessage="1" allowBlank="1" errorTitle="Valor fora da lista" error="Escolha um item da lista." type="list" errorStyle="stop">
      <formula1>"OK,Ação,N/A"</formula1>
    </dataValidation>
    <dataValidation sqref="D36:D40" showDropDown="0" showInputMessage="0" showErrorMessage="1" allowBlank="1" errorTitle="Valor fora da lista" error="Escolha um item da lista." type="list" errorStyle="stop">
      <formula1>"OK,Ação,N/A"</formula1>
    </dataValidation>
    <dataValidation sqref="D42:D45" showDropDown="0" showInputMessage="0" showErrorMessage="1" allowBlank="1" errorTitle="Valor fora da lista" error="Escolha um item da lista." type="list" errorStyle="stop">
      <formula1>"OK,Ação,N/A"</formula1>
    </dataValidation>
    <dataValidation sqref="D47:D49" showDropDown="0" showInputMessage="0" showErrorMessage="1" allowBlank="1" errorTitle="Valor fora da lista" error="Escolha um item da lista." type="list" errorStyle="stop">
      <formula1>"OK,Ação,N/A"</formula1>
    </dataValidation>
  </dataValidations>
  <printOptions horizontalCentered="1"/>
  <pageMargins left="0.4" right="0.4" top="0.45" bottom="0.6" header="0.2" footer="0.25"/>
  <pageSetup orientation="portrait" paperSize="9" fitToHeight="1" fitToWidth="1"/>
  <headerFooter>
    <oddHeader/>
    <oddFooter>&amp;L&amp;7 &amp;K4A5668PCM-MAN-005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4" customWidth="1" min="10" max="10"/>
  </cols>
  <sheetData>
    <row r="1" ht="30.75" customHeight="1">
      <c r="A1" s="40" t="n"/>
      <c r="B1" s="41" t="n"/>
      <c r="C1" s="80" t="inlineStr">
        <is>
          <t>Cadastros</t>
        </is>
      </c>
      <c r="D1" s="81" t="n"/>
      <c r="E1" s="81" t="n"/>
      <c r="F1" s="81" t="n"/>
      <c r="G1" s="41" t="n"/>
      <c r="H1" s="82">
        <f>"Rev. "&amp;'Leia-me'!$D$15&amp;"   ·   "&amp;'Leia-me'!$D$16</f>
        <v/>
      </c>
      <c r="I1" s="81" t="n"/>
      <c r="J1" s="41" t="n"/>
    </row>
    <row r="2" ht="28" customHeight="1">
      <c r="A2" s="44" t="n"/>
      <c r="B2" s="45" t="n"/>
      <c r="C2" s="46" t="inlineStr">
        <is>
          <t>Objetivo: Cadastre aqui os itens usados nas listas (▼) das outras abas.</t>
        </is>
      </c>
      <c r="D2" s="83" t="n"/>
      <c r="E2" s="83" t="n"/>
      <c r="F2" s="83" t="n"/>
      <c r="G2" s="45" t="n"/>
      <c r="H2" s="46">
        <f>"Elaborado: "&amp;'Leia-me'!$D$13&amp;"   ·   Aprovado: "&amp;'Leia-me'!$D$14</f>
        <v/>
      </c>
      <c r="I2" s="83" t="n"/>
      <c r="J2" s="45" t="n"/>
    </row>
    <row r="3" ht="32" customHeight="1">
      <c r="A3" s="84" t="inlineStr">
        <is>
          <t>TAG</t>
        </is>
      </c>
      <c r="B3" s="85" t="inlineStr">
        <is>
          <t>Equipamento</t>
        </is>
      </c>
      <c r="C3" s="85" t="inlineStr">
        <is>
          <t>Família de equipamento ▼</t>
        </is>
      </c>
      <c r="D3" s="86" t="inlineStr">
        <is>
          <t>Setor ▼</t>
        </is>
      </c>
      <c r="F3" s="87" t="inlineStr">
        <is>
          <t>Responsável</t>
        </is>
      </c>
      <c r="H3" s="87" t="inlineStr">
        <is>
          <t>Família de equipamento</t>
        </is>
      </c>
      <c r="J3" s="87" t="inlineStr">
        <is>
          <t>Setor</t>
        </is>
      </c>
    </row>
    <row r="4" hidden="1">
      <c r="A4" s="88" t="inlineStr">
        <is>
          <t>tag</t>
        </is>
      </c>
      <c r="B4" s="88" t="inlineStr">
        <is>
          <t>descricao_ativo</t>
        </is>
      </c>
      <c r="C4" s="88" t="inlineStr">
        <is>
          <t>familia</t>
        </is>
      </c>
      <c r="D4" s="88" t="inlineStr">
        <is>
          <t>setor</t>
        </is>
      </c>
      <c r="F4" s="88" t="inlineStr">
        <is>
          <t>nome_pessoa</t>
        </is>
      </c>
      <c r="H4" s="88" t="inlineStr">
        <is>
          <t>nome_familia</t>
        </is>
      </c>
      <c r="J4" s="88" t="inlineStr">
        <is>
          <t>nome_setor</t>
        </is>
      </c>
    </row>
    <row r="5" ht="22" customHeight="1">
      <c r="A5" s="89" t="n"/>
      <c r="B5" s="90" t="n"/>
      <c r="C5" s="90" t="n"/>
      <c r="D5" s="91" t="n"/>
      <c r="F5" s="92" t="n"/>
      <c r="H5" s="92" t="n"/>
      <c r="J5" s="92" t="n"/>
    </row>
    <row r="6" ht="22" customHeight="1">
      <c r="A6" s="89" t="n"/>
      <c r="B6" s="90" t="n"/>
      <c r="C6" s="90" t="n"/>
      <c r="D6" s="91" t="n"/>
      <c r="F6" s="92" t="n"/>
      <c r="H6" s="92" t="n"/>
      <c r="J6" s="92" t="n"/>
    </row>
    <row r="7" ht="22" customHeight="1">
      <c r="A7" s="89" t="n"/>
      <c r="B7" s="90" t="n"/>
      <c r="C7" s="90" t="n"/>
      <c r="D7" s="91" t="n"/>
      <c r="F7" s="92" t="n"/>
      <c r="H7" s="92" t="n"/>
      <c r="J7" s="92" t="n"/>
    </row>
    <row r="8" ht="22" customHeight="1">
      <c r="A8" s="89" t="n"/>
      <c r="B8" s="90" t="n"/>
      <c r="C8" s="90" t="n"/>
      <c r="D8" s="91" t="n"/>
      <c r="F8" s="92" t="n"/>
      <c r="H8" s="92" t="n"/>
      <c r="J8" s="92" t="n"/>
    </row>
    <row r="9" ht="22" customHeight="1">
      <c r="A9" s="89" t="n"/>
      <c r="B9" s="90" t="n"/>
      <c r="C9" s="90" t="n"/>
      <c r="D9" s="91" t="n"/>
      <c r="F9" s="92" t="n"/>
      <c r="H9" s="92" t="n"/>
      <c r="J9" s="92" t="n"/>
    </row>
    <row r="10" ht="22" customHeight="1">
      <c r="A10" s="89" t="n"/>
      <c r="B10" s="90" t="n"/>
      <c r="C10" s="90" t="n"/>
      <c r="D10" s="91" t="n"/>
      <c r="F10" s="92" t="n"/>
      <c r="H10" s="92" t="n"/>
      <c r="J10" s="92" t="n"/>
    </row>
    <row r="11" ht="22" customHeight="1">
      <c r="A11" s="89" t="n"/>
      <c r="B11" s="90" t="n"/>
      <c r="C11" s="90" t="n"/>
      <c r="D11" s="91" t="n"/>
      <c r="F11" s="92" t="n"/>
      <c r="H11" s="92" t="n"/>
      <c r="J11" s="92" t="n"/>
    </row>
    <row r="12" ht="22" customHeight="1">
      <c r="A12" s="89" t="n"/>
      <c r="B12" s="90" t="n"/>
      <c r="C12" s="90" t="n"/>
      <c r="D12" s="91" t="n"/>
      <c r="F12" s="92" t="n"/>
      <c r="H12" s="92" t="n"/>
      <c r="J12" s="92" t="n"/>
    </row>
    <row r="13" ht="22" customHeight="1">
      <c r="A13" s="89" t="n"/>
      <c r="B13" s="90" t="n"/>
      <c r="C13" s="90" t="n"/>
      <c r="D13" s="91" t="n"/>
      <c r="F13" s="92" t="n"/>
      <c r="H13" s="92" t="n"/>
      <c r="J13" s="92" t="n"/>
    </row>
    <row r="14" ht="22" customHeight="1">
      <c r="A14" s="89" t="n"/>
      <c r="B14" s="90" t="n"/>
      <c r="C14" s="90" t="n"/>
      <c r="D14" s="91" t="n"/>
      <c r="F14" s="92" t="n"/>
      <c r="H14" s="92" t="n"/>
      <c r="J14" s="92" t="n"/>
    </row>
    <row r="15" ht="22" customHeight="1">
      <c r="A15" s="89" t="n"/>
      <c r="B15" s="90" t="n"/>
      <c r="C15" s="90" t="n"/>
      <c r="D15" s="91" t="n"/>
      <c r="F15" s="92" t="n"/>
      <c r="H15" s="92" t="n"/>
      <c r="J15" s="92" t="n"/>
    </row>
    <row r="16" ht="22" customHeight="1">
      <c r="A16" s="89" t="n"/>
      <c r="B16" s="90" t="n"/>
      <c r="C16" s="90" t="n"/>
      <c r="D16" s="91" t="n"/>
      <c r="F16" s="92" t="n"/>
      <c r="H16" s="92" t="n"/>
      <c r="J16" s="92" t="n"/>
    </row>
    <row r="17" ht="22" customHeight="1">
      <c r="A17" s="89" t="n"/>
      <c r="B17" s="90" t="n"/>
      <c r="C17" s="90" t="n"/>
      <c r="D17" s="91" t="n"/>
      <c r="F17" s="92" t="n"/>
      <c r="H17" s="92" t="n"/>
      <c r="J17" s="92" t="n"/>
    </row>
    <row r="18" ht="22" customHeight="1">
      <c r="A18" s="89" t="n"/>
      <c r="B18" s="90" t="n"/>
      <c r="C18" s="90" t="n"/>
      <c r="D18" s="91" t="n"/>
      <c r="F18" s="92" t="n"/>
      <c r="H18" s="92" t="n"/>
      <c r="J18" s="92" t="n"/>
    </row>
    <row r="19" ht="22" customHeight="1">
      <c r="A19" s="89" t="n"/>
      <c r="B19" s="90" t="n"/>
      <c r="C19" s="90" t="n"/>
      <c r="D19" s="91" t="n"/>
      <c r="F19" s="92" t="n"/>
      <c r="H19" s="92" t="n"/>
      <c r="J19" s="92" t="n"/>
    </row>
    <row r="20" ht="22" customHeight="1">
      <c r="A20" s="89" t="n"/>
      <c r="B20" s="90" t="n"/>
      <c r="C20" s="90" t="n"/>
      <c r="D20" s="91" t="n"/>
      <c r="F20" s="92" t="n"/>
      <c r="H20" s="92" t="n"/>
      <c r="J20" s="92" t="n"/>
    </row>
    <row r="21" ht="22" customHeight="1">
      <c r="A21" s="89" t="n"/>
      <c r="B21" s="90" t="n"/>
      <c r="C21" s="90" t="n"/>
      <c r="D21" s="91" t="n"/>
      <c r="F21" s="92" t="n"/>
      <c r="H21" s="92" t="n"/>
      <c r="J21" s="92" t="n"/>
    </row>
    <row r="22" ht="22" customHeight="1">
      <c r="A22" s="89" t="n"/>
      <c r="B22" s="90" t="n"/>
      <c r="C22" s="90" t="n"/>
      <c r="D22" s="91" t="n"/>
      <c r="F22" s="92" t="n"/>
      <c r="H22" s="92" t="n"/>
      <c r="J22" s="92" t="n"/>
    </row>
    <row r="23" ht="22" customHeight="1">
      <c r="A23" s="89" t="n"/>
      <c r="B23" s="90" t="n"/>
      <c r="C23" s="90" t="n"/>
      <c r="D23" s="91" t="n"/>
      <c r="F23" s="92" t="n"/>
      <c r="H23" s="92" t="n"/>
      <c r="J23" s="92" t="n"/>
    </row>
    <row r="24" ht="22" customHeight="1">
      <c r="A24" s="89" t="n"/>
      <c r="B24" s="90" t="n"/>
      <c r="C24" s="90" t="n"/>
      <c r="D24" s="91" t="n"/>
      <c r="F24" s="92" t="n"/>
      <c r="H24" s="92" t="n"/>
      <c r="J24" s="92" t="n"/>
    </row>
    <row r="25" ht="22" customHeight="1">
      <c r="A25" s="89" t="n"/>
      <c r="B25" s="90" t="n"/>
      <c r="C25" s="90" t="n"/>
      <c r="D25" s="91" t="n"/>
      <c r="F25" s="92" t="n"/>
      <c r="H25" s="92" t="n"/>
      <c r="J25" s="92" t="n"/>
    </row>
    <row r="26" ht="22" customHeight="1">
      <c r="A26" s="89" t="n"/>
      <c r="B26" s="90" t="n"/>
      <c r="C26" s="90" t="n"/>
      <c r="D26" s="91" t="n"/>
      <c r="F26" s="92" t="n"/>
      <c r="H26" s="92" t="n"/>
      <c r="J26" s="92" t="n"/>
    </row>
    <row r="27" ht="22" customHeight="1">
      <c r="A27" s="89" t="n"/>
      <c r="B27" s="90" t="n"/>
      <c r="C27" s="90" t="n"/>
      <c r="D27" s="91" t="n"/>
      <c r="F27" s="92" t="n"/>
      <c r="H27" s="92" t="n"/>
      <c r="J27" s="92" t="n"/>
    </row>
    <row r="28" ht="22" customHeight="1">
      <c r="A28" s="89" t="n"/>
      <c r="B28" s="90" t="n"/>
      <c r="C28" s="90" t="n"/>
      <c r="D28" s="91" t="n"/>
      <c r="F28" s="92" t="n"/>
      <c r="H28" s="92" t="n"/>
      <c r="J28" s="92" t="n"/>
    </row>
    <row r="29" ht="22" customHeight="1">
      <c r="A29" s="93" t="n"/>
      <c r="B29" s="94" t="n"/>
      <c r="C29" s="94" t="n"/>
      <c r="D29" s="95" t="n"/>
      <c r="F29" s="96" t="n"/>
      <c r="H29" s="96" t="n"/>
      <c r="J29" s="96" t="n"/>
    </row>
    <row r="30" ht="20" customHeight="1">
      <c r="A30" s="97" t="inlineStr">
        <is>
          <t xml:space="preserve"> </t>
        </is>
      </c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&amp;K4A5668PCM-MAN-005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40" t="n"/>
      <c r="B1" s="41" t="n"/>
      <c r="C1" s="98" t="inlineStr">
        <is>
          <t>Revisões</t>
        </is>
      </c>
      <c r="D1" s="82">
        <f>"Rev. "&amp;'Leia-me'!$D$15&amp;"   ·   "&amp;'Leia-me'!$D$16</f>
        <v/>
      </c>
      <c r="E1" s="41" t="n"/>
    </row>
    <row r="2" ht="28" customHeight="1">
      <c r="A2" s="44" t="n"/>
      <c r="B2" s="45" t="n"/>
      <c r="C2" s="47" t="inlineStr">
        <is>
          <t>Objetivo: Registre cada alteração do modelo; a última linha alimenta Rev. e data do cabeçalho.</t>
        </is>
      </c>
      <c r="D2" s="46">
        <f>"Elaborado: "&amp;'Leia-me'!$D$13&amp;"   ·   Aprovado: "&amp;'Leia-me'!$D$14</f>
        <v/>
      </c>
      <c r="E2" s="45" t="n"/>
    </row>
    <row r="3" ht="26" customHeight="1">
      <c r="A3" s="84" t="inlineStr">
        <is>
          <t>Rev</t>
        </is>
      </c>
      <c r="B3" s="85" t="inlineStr">
        <is>
          <t>Data</t>
        </is>
      </c>
      <c r="C3" s="85" t="inlineStr">
        <is>
          <t>Descrição da alteração</t>
        </is>
      </c>
      <c r="D3" s="85" t="inlineStr">
        <is>
          <t>Elaborado por</t>
        </is>
      </c>
      <c r="E3" s="86" t="inlineStr">
        <is>
          <t>Aprovado por</t>
        </is>
      </c>
    </row>
    <row r="4" hidden="1">
      <c r="A4" s="88" t="inlineStr">
        <is>
          <t>revisao</t>
        </is>
      </c>
      <c r="B4" s="88" t="inlineStr">
        <is>
          <t>data_revisao</t>
        </is>
      </c>
      <c r="C4" s="88" t="inlineStr">
        <is>
          <t>descricao_alteracao</t>
        </is>
      </c>
      <c r="D4" s="88" t="inlineStr">
        <is>
          <t>elaborado_por</t>
        </is>
      </c>
      <c r="E4" s="88" t="inlineStr">
        <is>
          <t>aprovado_por</t>
        </is>
      </c>
    </row>
    <row r="5" ht="22" customHeight="1">
      <c r="A5" s="99" t="inlineStr">
        <is>
          <t>00</t>
        </is>
      </c>
      <c r="B5" s="100" t="n">
        <v>46325</v>
      </c>
      <c r="C5" s="101" t="inlineStr">
        <is>
          <t>Emissão inicial</t>
        </is>
      </c>
      <c r="D5" s="90" t="n"/>
      <c r="E5" s="91" t="n"/>
    </row>
    <row r="6" ht="22" customHeight="1">
      <c r="A6" s="99" t="n"/>
      <c r="B6" s="100" t="n"/>
      <c r="C6" s="101" t="n"/>
      <c r="D6" s="90" t="n"/>
      <c r="E6" s="91" t="n"/>
    </row>
    <row r="7" ht="22" customHeight="1">
      <c r="A7" s="99" t="n"/>
      <c r="B7" s="100" t="n"/>
      <c r="C7" s="101" t="n"/>
      <c r="D7" s="90" t="n"/>
      <c r="E7" s="91" t="n"/>
    </row>
    <row r="8" ht="22" customHeight="1">
      <c r="A8" s="99" t="n"/>
      <c r="B8" s="100" t="n"/>
      <c r="C8" s="101" t="n"/>
      <c r="D8" s="90" t="n"/>
      <c r="E8" s="91" t="n"/>
    </row>
    <row r="9" ht="22" customHeight="1">
      <c r="A9" s="99" t="n"/>
      <c r="B9" s="100" t="n"/>
      <c r="C9" s="101" t="n"/>
      <c r="D9" s="90" t="n"/>
      <c r="E9" s="91" t="n"/>
    </row>
    <row r="10" ht="22" customHeight="1">
      <c r="A10" s="99" t="n"/>
      <c r="B10" s="100" t="n"/>
      <c r="C10" s="101" t="n"/>
      <c r="D10" s="90" t="n"/>
      <c r="E10" s="91" t="n"/>
    </row>
    <row r="11" ht="22" customHeight="1">
      <c r="A11" s="99" t="n"/>
      <c r="B11" s="100" t="n"/>
      <c r="C11" s="101" t="n"/>
      <c r="D11" s="90" t="n"/>
      <c r="E11" s="91" t="n"/>
    </row>
    <row r="12" ht="22" customHeight="1">
      <c r="A12" s="99" t="n"/>
      <c r="B12" s="100" t="n"/>
      <c r="C12" s="101" t="n"/>
      <c r="D12" s="90" t="n"/>
      <c r="E12" s="91" t="n"/>
    </row>
    <row r="13" ht="22" customHeight="1">
      <c r="A13" s="99" t="n"/>
      <c r="B13" s="100" t="n"/>
      <c r="C13" s="101" t="n"/>
      <c r="D13" s="90" t="n"/>
      <c r="E13" s="91" t="n"/>
    </row>
    <row r="14" ht="22" customHeight="1">
      <c r="A14" s="99" t="n"/>
      <c r="B14" s="100" t="n"/>
      <c r="C14" s="101" t="n"/>
      <c r="D14" s="90" t="n"/>
      <c r="E14" s="91" t="n"/>
    </row>
    <row r="15" ht="22" customHeight="1">
      <c r="A15" s="99" t="n"/>
      <c r="B15" s="100" t="n"/>
      <c r="C15" s="101" t="n"/>
      <c r="D15" s="90" t="n"/>
      <c r="E15" s="91" t="n"/>
    </row>
    <row r="16" ht="22" customHeight="1">
      <c r="A16" s="99" t="n"/>
      <c r="B16" s="100" t="n"/>
      <c r="C16" s="101" t="n"/>
      <c r="D16" s="90" t="n"/>
      <c r="E16" s="91" t="n"/>
    </row>
    <row r="17" ht="22" customHeight="1">
      <c r="A17" s="99" t="n"/>
      <c r="B17" s="100" t="n"/>
      <c r="C17" s="101" t="n"/>
      <c r="D17" s="90" t="n"/>
      <c r="E17" s="91" t="n"/>
    </row>
    <row r="18" ht="22" customHeight="1">
      <c r="A18" s="99" t="n"/>
      <c r="B18" s="100" t="n"/>
      <c r="C18" s="101" t="n"/>
      <c r="D18" s="90" t="n"/>
      <c r="E18" s="91" t="n"/>
    </row>
    <row r="19" ht="22" customHeight="1">
      <c r="A19" s="99" t="n"/>
      <c r="B19" s="100" t="n"/>
      <c r="C19" s="101" t="n"/>
      <c r="D19" s="90" t="n"/>
      <c r="E19" s="91" t="n"/>
    </row>
    <row r="20" ht="22" customHeight="1">
      <c r="A20" s="99" t="n"/>
      <c r="B20" s="100" t="n"/>
      <c r="C20" s="101" t="n"/>
      <c r="D20" s="90" t="n"/>
      <c r="E20" s="91" t="n"/>
    </row>
    <row r="21" ht="22" customHeight="1">
      <c r="A21" s="99" t="n"/>
      <c r="B21" s="100" t="n"/>
      <c r="C21" s="101" t="n"/>
      <c r="D21" s="90" t="n"/>
      <c r="E21" s="91" t="n"/>
    </row>
    <row r="22" ht="22" customHeight="1">
      <c r="A22" s="99" t="n"/>
      <c r="B22" s="100" t="n"/>
      <c r="C22" s="101" t="n"/>
      <c r="D22" s="90" t="n"/>
      <c r="E22" s="91" t="n"/>
    </row>
    <row r="23" ht="22" customHeight="1">
      <c r="A23" s="99" t="n"/>
      <c r="B23" s="100" t="n"/>
      <c r="C23" s="101" t="n"/>
      <c r="D23" s="90" t="n"/>
      <c r="E23" s="91" t="n"/>
    </row>
    <row r="24" ht="22" customHeight="1">
      <c r="A24" s="99" t="n"/>
      <c r="B24" s="100" t="n"/>
      <c r="C24" s="101" t="n"/>
      <c r="D24" s="90" t="n"/>
      <c r="E24" s="91" t="n"/>
    </row>
    <row r="25" ht="22" customHeight="1">
      <c r="A25" s="99" t="n"/>
      <c r="B25" s="100" t="n"/>
      <c r="C25" s="101" t="n"/>
      <c r="D25" s="90" t="n"/>
      <c r="E25" s="91" t="n"/>
    </row>
    <row r="26" ht="22" customHeight="1">
      <c r="A26" s="99" t="n"/>
      <c r="B26" s="100" t="n"/>
      <c r="C26" s="101" t="n"/>
      <c r="D26" s="90" t="n"/>
      <c r="E26" s="91" t="n"/>
    </row>
    <row r="27" ht="22" customHeight="1">
      <c r="A27" s="99" t="n"/>
      <c r="B27" s="100" t="n"/>
      <c r="C27" s="101" t="n"/>
      <c r="D27" s="90" t="n"/>
      <c r="E27" s="91" t="n"/>
    </row>
    <row r="28" ht="22" customHeight="1">
      <c r="A28" s="99" t="n"/>
      <c r="B28" s="100" t="n"/>
      <c r="C28" s="101" t="n"/>
      <c r="D28" s="90" t="n"/>
      <c r="E28" s="91" t="n"/>
    </row>
    <row r="29" ht="22" customHeight="1">
      <c r="A29" s="102" t="n"/>
      <c r="B29" s="103" t="n"/>
      <c r="C29" s="104" t="n"/>
      <c r="D29" s="94" t="n"/>
      <c r="E29" s="95" t="n"/>
    </row>
    <row r="30" ht="20" customHeight="1">
      <c r="A30" s="97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&amp;K4A5668PCM-MAN-005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2026-10-31T02:28:46Z</dcterms:created>
  <dcterms:modified xmlns:dcterms="http://purl.org/dc/terms/" xmlns:xsi="http://www.w3.org/2001/XMLSchema-instance" xsi:type="dcterms:W3CDTF">2026-10-31T02:28:46Z</dcterms:modified>
</cp:coreProperties>
</file>